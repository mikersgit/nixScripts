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wroberts\Documents\bugs\"/>
    </mc:Choice>
  </mc:AlternateContent>
  <bookViews>
    <workbookView xWindow="1692" yWindow="-192" windowWidth="9564" windowHeight="6216" tabRatio="724"/>
  </bookViews>
  <sheets>
    <sheet name="LiveBugData" sheetId="247" r:id="rId1"/>
    <sheet name="1.1.0ReWaiverBillPhil" sheetId="507" r:id="rId2"/>
    <sheet name="CRB" sheetId="482" r:id="rId3"/>
    <sheet name="bugs-2015-08-20" sheetId="523" r:id="rId4"/>
    <sheet name="bugs-2015-06-29" sheetId="521" r:id="rId5"/>
    <sheet name="bugs-2015-06-17" sheetId="520" r:id="rId6"/>
    <sheet name="bugs-2015-06-16" sheetId="519" r:id="rId7"/>
    <sheet name="bugs-2015-06-05" sheetId="518" r:id="rId8"/>
    <sheet name="bugs-2015-06-01-1" sheetId="517" r:id="rId9"/>
    <sheet name="Assignees" sheetId="3" r:id="rId10"/>
    <sheet name="Sheet2" sheetId="20" r:id="rId11"/>
  </sheets>
  <externalReferences>
    <externalReference r:id="rId12"/>
    <externalReference r:id="rId13"/>
    <externalReference r:id="rId14"/>
    <externalReference r:id="rId15"/>
  </externalReferences>
  <definedNames>
    <definedName name="_xlnm._FilterDatabase" localSheetId="8" hidden="1">'bugs-2015-06-01-1'!$I$1:$AK$800</definedName>
    <definedName name="_xlnm._FilterDatabase" localSheetId="7" hidden="1">'bugs-2015-06-05'!$I$1:$AK$800</definedName>
    <definedName name="_xlnm._FilterDatabase" localSheetId="6" hidden="1">'bugs-2015-06-16'!$I$1:$AK$800</definedName>
    <definedName name="_xlnm._FilterDatabase" localSheetId="5" hidden="1">'bugs-2015-06-17'!$I$1:$AK$800</definedName>
    <definedName name="_xlnm._FilterDatabase" localSheetId="4" hidden="1">'bugs-2015-06-29'!$I$1:$AK$800</definedName>
    <definedName name="_xlnm._FilterDatabase" localSheetId="3" hidden="1">'bugs-2015-08-20'!$I$1:$AK$841</definedName>
    <definedName name="_xlnm._FilterDatabase" localSheetId="2" hidden="1">CRB!$A$1:$G$18</definedName>
    <definedName name="_xlnm._FilterDatabase" localSheetId="0" hidden="1">LiveBugData!$C$35:$AB$598</definedName>
    <definedName name="_xlnm._FilterDatabase" localSheetId="10" hidden="1">Sheet2!$A$1:$S$87</definedName>
    <definedName name="analysis" comment="has all of the calculations">'[1]bugs-2014-03-11'!$A$1:$G$69</definedName>
    <definedName name="_xlnm.Extract" localSheetId="9">Assignees!#REF!</definedName>
    <definedName name="openProtNewDev" localSheetId="0">LiveBugData!$E$7:$AB$287</definedName>
    <definedName name="reporter">'[2]bugs-2014-02-06'!$Q$2:$Q$1048576</definedName>
    <definedName name="Targets">[3]CloneBugs!$H$20:$H$26</definedName>
    <definedName name="top">LiveBugData!$A$433</definedName>
  </definedNames>
  <calcPr calcId="152511"/>
</workbook>
</file>

<file path=xl/calcChain.xml><?xml version="1.0" encoding="utf-8"?>
<calcChain xmlns="http://schemas.openxmlformats.org/spreadsheetml/2006/main">
  <c r="N54" i="3" l="1"/>
  <c r="O45" i="3" s="1"/>
  <c r="N52" i="3"/>
  <c r="L52" i="3"/>
  <c r="N51" i="3"/>
  <c r="N50" i="3"/>
  <c r="N49" i="3"/>
  <c r="F18" i="3"/>
  <c r="A66" i="517"/>
  <c r="D48" i="517"/>
  <c r="D47" i="517"/>
  <c r="D46" i="517"/>
  <c r="D45" i="517"/>
  <c r="D44" i="517"/>
  <c r="D43" i="517"/>
  <c r="D42" i="517"/>
  <c r="D40" i="517"/>
  <c r="D39" i="517"/>
  <c r="D38" i="517"/>
  <c r="B38" i="517"/>
  <c r="D37" i="517"/>
  <c r="B37" i="517"/>
  <c r="D36" i="517"/>
  <c r="B36" i="517"/>
  <c r="D35" i="517"/>
  <c r="B35" i="517"/>
  <c r="D34" i="517"/>
  <c r="B34" i="517"/>
  <c r="B33" i="517"/>
  <c r="B32" i="517"/>
  <c r="B31" i="517"/>
  <c r="B30" i="517"/>
  <c r="D29" i="517"/>
  <c r="B29" i="517"/>
  <c r="D28" i="517"/>
  <c r="B28" i="517"/>
  <c r="D27" i="517"/>
  <c r="B27" i="517"/>
  <c r="D26" i="517"/>
  <c r="B26" i="517"/>
  <c r="D25" i="517"/>
  <c r="B25" i="517"/>
  <c r="D24" i="517"/>
  <c r="B24" i="517"/>
  <c r="B23" i="517"/>
  <c r="D22" i="517"/>
  <c r="B22" i="517"/>
  <c r="D21" i="517"/>
  <c r="B21" i="517"/>
  <c r="D20" i="517"/>
  <c r="B20" i="517"/>
  <c r="D19" i="517"/>
  <c r="B19" i="517"/>
  <c r="B18" i="517"/>
  <c r="B17" i="517"/>
  <c r="B16" i="517"/>
  <c r="B15" i="517"/>
  <c r="B14" i="517"/>
  <c r="B13" i="517"/>
  <c r="D12" i="517"/>
  <c r="B12" i="517"/>
  <c r="D11" i="517"/>
  <c r="B11" i="517"/>
  <c r="D10" i="517"/>
  <c r="B10" i="517"/>
  <c r="D9" i="517"/>
  <c r="B9" i="517"/>
  <c r="D8" i="517"/>
  <c r="B8" i="517"/>
  <c r="D7" i="517"/>
  <c r="B7" i="517"/>
  <c r="D6" i="517"/>
  <c r="E46" i="517" s="1"/>
  <c r="B6" i="517"/>
  <c r="D5" i="517"/>
  <c r="E45" i="517" s="1"/>
  <c r="B5" i="517"/>
  <c r="D4" i="517"/>
  <c r="B4" i="517"/>
  <c r="D3" i="517"/>
  <c r="B3" i="517"/>
  <c r="D2" i="517"/>
  <c r="B2" i="517"/>
  <c r="A66" i="518"/>
  <c r="D48" i="518"/>
  <c r="D47" i="518"/>
  <c r="D46" i="518"/>
  <c r="D45" i="518"/>
  <c r="D44" i="518"/>
  <c r="D43" i="518"/>
  <c r="D42" i="518"/>
  <c r="D40" i="518"/>
  <c r="D39" i="518"/>
  <c r="D38" i="518"/>
  <c r="B38" i="518"/>
  <c r="D37" i="518"/>
  <c r="B37" i="518"/>
  <c r="D36" i="518"/>
  <c r="B36" i="518"/>
  <c r="D35" i="518"/>
  <c r="B35" i="518"/>
  <c r="D34" i="518"/>
  <c r="B34" i="518"/>
  <c r="B33" i="518"/>
  <c r="B32" i="518"/>
  <c r="B31" i="518"/>
  <c r="B30" i="518"/>
  <c r="D29" i="518"/>
  <c r="B29" i="518"/>
  <c r="D28" i="518"/>
  <c r="B28" i="518"/>
  <c r="D27" i="518"/>
  <c r="B27" i="518"/>
  <c r="D26" i="518"/>
  <c r="B26" i="518"/>
  <c r="D25" i="518"/>
  <c r="B25" i="518"/>
  <c r="D24" i="518"/>
  <c r="B24" i="518"/>
  <c r="B23" i="518"/>
  <c r="D22" i="518"/>
  <c r="B22" i="518"/>
  <c r="D21" i="518"/>
  <c r="B21" i="518"/>
  <c r="D20" i="518"/>
  <c r="B20" i="518"/>
  <c r="D19" i="518"/>
  <c r="B19" i="518"/>
  <c r="B18" i="518"/>
  <c r="B17" i="518"/>
  <c r="B16" i="518"/>
  <c r="B15" i="518"/>
  <c r="B14" i="518"/>
  <c r="B13" i="518"/>
  <c r="D12" i="518"/>
  <c r="B12" i="518"/>
  <c r="D11" i="518"/>
  <c r="B11" i="518"/>
  <c r="D10" i="518"/>
  <c r="B10" i="518"/>
  <c r="D9" i="518"/>
  <c r="B9" i="518"/>
  <c r="D8" i="518"/>
  <c r="B8" i="518"/>
  <c r="D7" i="518"/>
  <c r="E47" i="518" s="1"/>
  <c r="B7" i="518"/>
  <c r="D6" i="518"/>
  <c r="E46" i="518" s="1"/>
  <c r="B6" i="518"/>
  <c r="D5" i="518"/>
  <c r="E37" i="518" s="1"/>
  <c r="B5" i="518"/>
  <c r="D4" i="518"/>
  <c r="E44" i="518" s="1"/>
  <c r="B4" i="518"/>
  <c r="D3" i="518"/>
  <c r="B3" i="518"/>
  <c r="D2" i="518"/>
  <c r="D30" i="518" s="1"/>
  <c r="B2" i="518"/>
  <c r="A66" i="519"/>
  <c r="D48" i="519"/>
  <c r="D47" i="519"/>
  <c r="D46" i="519"/>
  <c r="D45" i="519"/>
  <c r="D44" i="519"/>
  <c r="D43" i="519"/>
  <c r="D42" i="519"/>
  <c r="D40" i="519"/>
  <c r="D39" i="519"/>
  <c r="D38" i="519"/>
  <c r="B38" i="519"/>
  <c r="D37" i="519"/>
  <c r="B37" i="519"/>
  <c r="D36" i="519"/>
  <c r="B36" i="519"/>
  <c r="D35" i="519"/>
  <c r="B35" i="519"/>
  <c r="D34" i="519"/>
  <c r="B34" i="519"/>
  <c r="B33" i="519"/>
  <c r="B32" i="519"/>
  <c r="B31" i="519"/>
  <c r="B30" i="519"/>
  <c r="D29" i="519"/>
  <c r="B29" i="519"/>
  <c r="D28" i="519"/>
  <c r="B28" i="519"/>
  <c r="D27" i="519"/>
  <c r="B27" i="519"/>
  <c r="D26" i="519"/>
  <c r="B26" i="519"/>
  <c r="D25" i="519"/>
  <c r="B25" i="519"/>
  <c r="D24" i="519"/>
  <c r="B24" i="519"/>
  <c r="B23" i="519"/>
  <c r="D22" i="519"/>
  <c r="B22" i="519"/>
  <c r="D21" i="519"/>
  <c r="B21" i="519"/>
  <c r="D20" i="519"/>
  <c r="B20" i="519"/>
  <c r="D19" i="519"/>
  <c r="B19" i="519"/>
  <c r="B18" i="519"/>
  <c r="B17" i="519"/>
  <c r="B16" i="519"/>
  <c r="B15" i="519"/>
  <c r="B14" i="519"/>
  <c r="B13" i="519"/>
  <c r="D12" i="519"/>
  <c r="B12" i="519"/>
  <c r="D11" i="519"/>
  <c r="B11" i="519"/>
  <c r="D10" i="519"/>
  <c r="B10" i="519"/>
  <c r="D9" i="519"/>
  <c r="B9" i="519"/>
  <c r="D8" i="519"/>
  <c r="B8" i="519"/>
  <c r="D7" i="519"/>
  <c r="E39" i="519" s="1"/>
  <c r="B7" i="519"/>
  <c r="D6" i="519"/>
  <c r="E38" i="519" s="1"/>
  <c r="B6" i="519"/>
  <c r="D5" i="519"/>
  <c r="E37" i="519" s="1"/>
  <c r="B5" i="519"/>
  <c r="D4" i="519"/>
  <c r="B4" i="519"/>
  <c r="D3" i="519"/>
  <c r="E43" i="519" s="1"/>
  <c r="B3" i="519"/>
  <c r="D2" i="519"/>
  <c r="E42" i="519" s="1"/>
  <c r="B2" i="519"/>
  <c r="A66" i="520"/>
  <c r="D48" i="520"/>
  <c r="D47" i="520"/>
  <c r="D46" i="520"/>
  <c r="D45" i="520"/>
  <c r="D44" i="520"/>
  <c r="D43" i="520"/>
  <c r="D42" i="520"/>
  <c r="D40" i="520"/>
  <c r="D39" i="520"/>
  <c r="D38" i="520"/>
  <c r="B38" i="520"/>
  <c r="D37" i="520"/>
  <c r="B37" i="520"/>
  <c r="D36" i="520"/>
  <c r="B36" i="520"/>
  <c r="D35" i="520"/>
  <c r="B35" i="520"/>
  <c r="D34" i="520"/>
  <c r="B34" i="520"/>
  <c r="B33" i="520"/>
  <c r="B32" i="520"/>
  <c r="B31" i="520"/>
  <c r="B30" i="520"/>
  <c r="D29" i="520"/>
  <c r="B29" i="520"/>
  <c r="D28" i="520"/>
  <c r="B28" i="520"/>
  <c r="D27" i="520"/>
  <c r="B27" i="520"/>
  <c r="D26" i="520"/>
  <c r="B26" i="520"/>
  <c r="D25" i="520"/>
  <c r="B25" i="520"/>
  <c r="D24" i="520"/>
  <c r="B24" i="520"/>
  <c r="B23" i="520"/>
  <c r="D22" i="520"/>
  <c r="B22" i="520"/>
  <c r="D21" i="520"/>
  <c r="B21" i="520"/>
  <c r="D20" i="520"/>
  <c r="B20" i="520"/>
  <c r="D19" i="520"/>
  <c r="B19" i="520"/>
  <c r="B18" i="520"/>
  <c r="B17" i="520"/>
  <c r="B16" i="520"/>
  <c r="B15" i="520"/>
  <c r="B14" i="520"/>
  <c r="B13" i="520"/>
  <c r="D12" i="520"/>
  <c r="B12" i="520"/>
  <c r="D11" i="520"/>
  <c r="B11" i="520"/>
  <c r="D10" i="520"/>
  <c r="B10" i="520"/>
  <c r="D9" i="520"/>
  <c r="B9" i="520"/>
  <c r="D8" i="520"/>
  <c r="E48" i="520" s="1"/>
  <c r="B8" i="520"/>
  <c r="D7" i="520"/>
  <c r="E39" i="520" s="1"/>
  <c r="B7" i="520"/>
  <c r="D6" i="520"/>
  <c r="B6" i="520"/>
  <c r="D5" i="520"/>
  <c r="B5" i="520"/>
  <c r="D4" i="520"/>
  <c r="E36" i="520" s="1"/>
  <c r="B4" i="520"/>
  <c r="D3" i="520"/>
  <c r="E43" i="520" s="1"/>
  <c r="B3" i="520"/>
  <c r="D2" i="520"/>
  <c r="E34" i="520" s="1"/>
  <c r="B2" i="520"/>
  <c r="A66" i="521"/>
  <c r="D48" i="521"/>
  <c r="D47" i="521"/>
  <c r="D46" i="521"/>
  <c r="D45" i="521"/>
  <c r="D44" i="521"/>
  <c r="D43" i="521"/>
  <c r="D42" i="521"/>
  <c r="D40" i="521"/>
  <c r="D39" i="521"/>
  <c r="D38" i="521"/>
  <c r="B38" i="521"/>
  <c r="D37" i="521"/>
  <c r="B37" i="521"/>
  <c r="D36" i="521"/>
  <c r="B36" i="521"/>
  <c r="D35" i="521"/>
  <c r="B35" i="521"/>
  <c r="D34" i="521"/>
  <c r="B34" i="521"/>
  <c r="B33" i="521"/>
  <c r="B32" i="521"/>
  <c r="B31" i="521"/>
  <c r="B30" i="521"/>
  <c r="D29" i="521"/>
  <c r="B29" i="521"/>
  <c r="D28" i="521"/>
  <c r="B28" i="521"/>
  <c r="D27" i="521"/>
  <c r="B27" i="521"/>
  <c r="D26" i="521"/>
  <c r="B26" i="521"/>
  <c r="D25" i="521"/>
  <c r="B25" i="521"/>
  <c r="D24" i="521"/>
  <c r="B24" i="521"/>
  <c r="B23" i="521"/>
  <c r="D22" i="521"/>
  <c r="B22" i="521"/>
  <c r="D21" i="521"/>
  <c r="B21" i="521"/>
  <c r="D20" i="521"/>
  <c r="B20" i="521"/>
  <c r="D19" i="521"/>
  <c r="B19" i="521"/>
  <c r="B18" i="521"/>
  <c r="B17" i="521"/>
  <c r="B16" i="521"/>
  <c r="B15" i="521"/>
  <c r="B14" i="521"/>
  <c r="B13" i="521"/>
  <c r="D12" i="521"/>
  <c r="B12" i="521"/>
  <c r="D11" i="521"/>
  <c r="B11" i="521"/>
  <c r="D10" i="521"/>
  <c r="B10" i="521"/>
  <c r="D9" i="521"/>
  <c r="B9" i="521"/>
  <c r="D8" i="521"/>
  <c r="B8" i="521"/>
  <c r="D7" i="521"/>
  <c r="E47" i="521" s="1"/>
  <c r="B7" i="521"/>
  <c r="D6" i="521"/>
  <c r="B6" i="521"/>
  <c r="D5" i="521"/>
  <c r="E37" i="521" s="1"/>
  <c r="B5" i="521"/>
  <c r="D4" i="521"/>
  <c r="E36" i="521" s="1"/>
  <c r="B4" i="521"/>
  <c r="D3" i="521"/>
  <c r="E35" i="521" s="1"/>
  <c r="B3" i="521"/>
  <c r="D2" i="521"/>
  <c r="B2" i="521"/>
  <c r="A66" i="523"/>
  <c r="D48" i="523"/>
  <c r="D47" i="523"/>
  <c r="D46" i="523"/>
  <c r="D45" i="523"/>
  <c r="D44" i="523"/>
  <c r="D43" i="523"/>
  <c r="D42" i="523"/>
  <c r="D40" i="523"/>
  <c r="D39" i="523"/>
  <c r="D38" i="523"/>
  <c r="B38" i="523"/>
  <c r="D37" i="523"/>
  <c r="B37" i="523"/>
  <c r="D36" i="523"/>
  <c r="B36" i="523"/>
  <c r="D35" i="523"/>
  <c r="B35" i="523"/>
  <c r="D34" i="523"/>
  <c r="B34" i="523"/>
  <c r="B33" i="523"/>
  <c r="B32" i="523"/>
  <c r="B31" i="523"/>
  <c r="B30" i="523"/>
  <c r="D29" i="523"/>
  <c r="B29" i="523"/>
  <c r="D28" i="523"/>
  <c r="B28" i="523"/>
  <c r="D27" i="523"/>
  <c r="B27" i="523"/>
  <c r="D26" i="523"/>
  <c r="B26" i="523"/>
  <c r="D25" i="523"/>
  <c r="B25" i="523"/>
  <c r="D24" i="523"/>
  <c r="B24" i="523"/>
  <c r="B23" i="523"/>
  <c r="D22" i="523"/>
  <c r="B22" i="523"/>
  <c r="D21" i="523"/>
  <c r="B21" i="523"/>
  <c r="D20" i="523"/>
  <c r="B20" i="523"/>
  <c r="D19" i="523"/>
  <c r="B19" i="523"/>
  <c r="B18" i="523"/>
  <c r="B17" i="523"/>
  <c r="B16" i="523"/>
  <c r="B15" i="523"/>
  <c r="B14" i="523"/>
  <c r="B13" i="523"/>
  <c r="D12" i="523"/>
  <c r="B12" i="523"/>
  <c r="D11" i="523"/>
  <c r="B11" i="523"/>
  <c r="D10" i="523"/>
  <c r="B10" i="523"/>
  <c r="D9" i="523"/>
  <c r="B9" i="523"/>
  <c r="D8" i="523"/>
  <c r="B8" i="523"/>
  <c r="D7" i="523"/>
  <c r="B7" i="523"/>
  <c r="D6" i="523"/>
  <c r="E46" i="523" s="1"/>
  <c r="B6" i="523"/>
  <c r="D5" i="523"/>
  <c r="E37" i="523" s="1"/>
  <c r="B5" i="523"/>
  <c r="D4" i="523"/>
  <c r="E36" i="523" s="1"/>
  <c r="B4" i="523"/>
  <c r="D3" i="523"/>
  <c r="E43" i="523" s="1"/>
  <c r="B3" i="523"/>
  <c r="D2" i="523"/>
  <c r="B2" i="523"/>
  <c r="C31" i="482"/>
  <c r="A475" i="247"/>
  <c r="A472" i="247"/>
  <c r="A445" i="247"/>
  <c r="A442" i="247"/>
  <c r="A408" i="247"/>
  <c r="A380" i="247"/>
  <c r="A345" i="247"/>
  <c r="E40" i="520" l="1"/>
  <c r="E47" i="519"/>
  <c r="E45" i="521"/>
  <c r="E35" i="519"/>
  <c r="E39" i="521"/>
  <c r="E43" i="521"/>
  <c r="E44" i="520"/>
  <c r="E44" i="521"/>
  <c r="E38" i="518"/>
  <c r="E37" i="517"/>
  <c r="E34" i="519"/>
  <c r="E45" i="519"/>
  <c r="E38" i="517"/>
  <c r="O16" i="3"/>
  <c r="O14" i="3"/>
  <c r="O2" i="3"/>
  <c r="O8" i="3"/>
  <c r="O4" i="3"/>
  <c r="N53" i="3"/>
  <c r="O10" i="3"/>
  <c r="O12" i="3"/>
  <c r="E48" i="521"/>
  <c r="E40" i="521"/>
  <c r="E38" i="523"/>
  <c r="D31" i="523"/>
  <c r="E42" i="523"/>
  <c r="E47" i="523"/>
  <c r="E39" i="523"/>
  <c r="E48" i="523"/>
  <c r="E40" i="523"/>
  <c r="E35" i="523"/>
  <c r="E44" i="523"/>
  <c r="E45" i="523"/>
  <c r="E34" i="521"/>
  <c r="D31" i="521"/>
  <c r="E46" i="520"/>
  <c r="E38" i="520"/>
  <c r="D30" i="521"/>
  <c r="E42" i="521"/>
  <c r="D30" i="520"/>
  <c r="E42" i="520"/>
  <c r="D31" i="520"/>
  <c r="E48" i="519"/>
  <c r="E40" i="519"/>
  <c r="E35" i="520"/>
  <c r="E36" i="519"/>
  <c r="E44" i="519"/>
  <c r="D31" i="519"/>
  <c r="D30" i="519"/>
  <c r="E48" i="518"/>
  <c r="E40" i="518"/>
  <c r="E46" i="519"/>
  <c r="E39" i="518"/>
  <c r="E43" i="518"/>
  <c r="E35" i="518"/>
  <c r="E36" i="518"/>
  <c r="E42" i="518"/>
  <c r="E45" i="518"/>
  <c r="E35" i="517"/>
  <c r="E43" i="517"/>
  <c r="E39" i="517"/>
  <c r="E47" i="517"/>
  <c r="E42" i="517"/>
  <c r="D31" i="517"/>
  <c r="O18" i="3"/>
  <c r="O20" i="3"/>
  <c r="O22" i="3"/>
  <c r="O24" i="3"/>
  <c r="O26" i="3"/>
  <c r="O28" i="3"/>
  <c r="O30" i="3"/>
  <c r="O32" i="3"/>
  <c r="O34" i="3"/>
  <c r="O36" i="3"/>
  <c r="O38" i="3"/>
  <c r="O40" i="3"/>
  <c r="O42" i="3"/>
  <c r="O44" i="3"/>
  <c r="O46" i="3"/>
  <c r="O1" i="3"/>
  <c r="O3" i="3"/>
  <c r="O5" i="3"/>
  <c r="O7" i="3"/>
  <c r="O9" i="3"/>
  <c r="O11" i="3"/>
  <c r="O13" i="3"/>
  <c r="O15" i="3"/>
  <c r="O17" i="3"/>
  <c r="O19" i="3"/>
  <c r="O21" i="3"/>
  <c r="O23" i="3"/>
  <c r="O25" i="3"/>
  <c r="O27" i="3"/>
  <c r="O29" i="3"/>
  <c r="O31" i="3"/>
  <c r="O33" i="3"/>
  <c r="O35" i="3"/>
  <c r="O37" i="3"/>
  <c r="O39" i="3"/>
  <c r="O41" i="3"/>
  <c r="O43" i="3"/>
  <c r="E46" i="521" l="1"/>
  <c r="E38" i="521"/>
  <c r="D30" i="517"/>
  <c r="E34" i="517"/>
  <c r="E36" i="517"/>
  <c r="E44" i="517"/>
  <c r="E40" i="517"/>
  <c r="E48" i="517"/>
  <c r="E37" i="520"/>
  <c r="E45" i="520"/>
  <c r="D30" i="523"/>
  <c r="E34" i="523"/>
  <c r="D31" i="518"/>
  <c r="E34" i="518"/>
  <c r="E47" i="520"/>
  <c r="O6" i="3"/>
  <c r="I148" i="518"/>
  <c r="K649" i="517"/>
  <c r="I554" i="517"/>
  <c r="L799" i="523"/>
  <c r="J631" i="519"/>
  <c r="M177" i="519"/>
  <c r="K514" i="518"/>
  <c r="K93" i="519"/>
  <c r="C322" i="247"/>
  <c r="J590" i="521"/>
  <c r="L421" i="518"/>
  <c r="K378" i="517"/>
  <c r="L176" i="518"/>
  <c r="M418" i="518"/>
  <c r="C416" i="247"/>
  <c r="I516" i="520"/>
  <c r="J122" i="523"/>
  <c r="J442" i="519"/>
  <c r="M21" i="523"/>
  <c r="I187" i="523"/>
  <c r="J74" i="517"/>
  <c r="M574" i="518"/>
  <c r="I250" i="517"/>
  <c r="L684" i="518"/>
  <c r="M150" i="521"/>
  <c r="I17" i="517"/>
  <c r="M363" i="521"/>
  <c r="M552" i="521"/>
  <c r="I547" i="521"/>
  <c r="J530" i="517"/>
  <c r="J19" i="523"/>
  <c r="J316" i="517"/>
  <c r="J560" i="519"/>
  <c r="J263" i="523"/>
  <c r="I584" i="518"/>
  <c r="L231" i="520"/>
  <c r="G3" i="523"/>
  <c r="L388" i="520"/>
  <c r="M52" i="517"/>
  <c r="L687" i="523"/>
  <c r="K590" i="520"/>
  <c r="J11" i="523"/>
  <c r="J234" i="518"/>
  <c r="I270" i="519"/>
  <c r="J179" i="521"/>
  <c r="M56" i="520"/>
  <c r="C172" i="247"/>
  <c r="K268" i="518"/>
  <c r="J292" i="517"/>
  <c r="K30" i="521"/>
  <c r="I193" i="517"/>
  <c r="I487" i="521"/>
  <c r="J421" i="519"/>
  <c r="L479" i="521"/>
  <c r="G11" i="520"/>
  <c r="I275" i="521"/>
  <c r="L66" i="520"/>
  <c r="K586" i="523"/>
  <c r="L213" i="518"/>
  <c r="K302" i="517"/>
  <c r="M495" i="517"/>
  <c r="M99" i="521"/>
  <c r="K60" i="518"/>
  <c r="K587" i="521"/>
  <c r="J688" i="523"/>
  <c r="L11" i="517"/>
  <c r="L170" i="523"/>
  <c r="M361" i="519"/>
  <c r="I251" i="517"/>
  <c r="I370" i="519"/>
  <c r="I463" i="519"/>
  <c r="L635" i="519"/>
  <c r="K289" i="517"/>
  <c r="J574" i="523"/>
  <c r="G27" i="523"/>
  <c r="J102" i="523"/>
  <c r="J116" i="519"/>
  <c r="I26" i="519"/>
  <c r="K662" i="520"/>
  <c r="I123" i="518"/>
  <c r="L12" i="517"/>
  <c r="M25" i="523"/>
  <c r="M343" i="517"/>
  <c r="K794" i="523"/>
  <c r="L195" i="519"/>
  <c r="J54" i="518"/>
  <c r="J473" i="520"/>
  <c r="J43" i="520"/>
  <c r="A33" i="521"/>
  <c r="L551" i="521"/>
  <c r="I150" i="518"/>
  <c r="L86" i="518"/>
  <c r="J492" i="517"/>
  <c r="A27" i="519"/>
  <c r="K34" i="519"/>
  <c r="L340" i="517"/>
  <c r="L582" i="523"/>
  <c r="J495" i="518"/>
  <c r="L618" i="520"/>
  <c r="K66" i="520"/>
  <c r="J473" i="519"/>
  <c r="I190" i="517"/>
  <c r="K558" i="521"/>
  <c r="G12" i="520"/>
  <c r="L498" i="523"/>
  <c r="I39" i="519"/>
  <c r="M607" i="523"/>
  <c r="K216" i="523"/>
  <c r="I134" i="518"/>
  <c r="I287" i="520"/>
  <c r="M558" i="520"/>
  <c r="L433" i="523"/>
  <c r="L598" i="521"/>
  <c r="K658" i="519"/>
  <c r="I238" i="518"/>
  <c r="M43" i="520"/>
  <c r="K544" i="521"/>
  <c r="J425" i="518"/>
  <c r="M134" i="518"/>
  <c r="I228" i="519"/>
  <c r="L707" i="523"/>
  <c r="L538" i="520"/>
  <c r="I25" i="517"/>
  <c r="J758" i="523"/>
  <c r="I601" i="517"/>
  <c r="K50" i="520"/>
  <c r="L580" i="517"/>
  <c r="K233" i="521"/>
  <c r="L441" i="518"/>
  <c r="I729" i="523"/>
  <c r="I473" i="517"/>
  <c r="I413" i="520"/>
  <c r="C308" i="247"/>
  <c r="J559" i="517"/>
  <c r="I785" i="523"/>
  <c r="L643" i="523"/>
  <c r="J555" i="521"/>
  <c r="L178" i="521"/>
  <c r="I510" i="521"/>
  <c r="M52" i="519"/>
  <c r="J332" i="518"/>
  <c r="M270" i="518"/>
  <c r="J380" i="519"/>
  <c r="I261" i="517"/>
  <c r="I148" i="517"/>
  <c r="K418" i="519"/>
  <c r="I509" i="523"/>
  <c r="J359" i="521"/>
  <c r="J605" i="517"/>
  <c r="I60" i="519"/>
  <c r="L541" i="517"/>
  <c r="M140" i="517"/>
  <c r="J597" i="519"/>
  <c r="L377" i="520"/>
  <c r="L570" i="518"/>
  <c r="K438" i="520"/>
  <c r="M710" i="523"/>
  <c r="M769" i="523"/>
  <c r="M57" i="518"/>
  <c r="M594" i="523"/>
  <c r="K350" i="518"/>
  <c r="M228" i="523"/>
  <c r="C389" i="247"/>
  <c r="K483" i="519"/>
  <c r="I41" i="523"/>
  <c r="L412" i="519"/>
  <c r="I531" i="523"/>
  <c r="D455" i="247"/>
  <c r="I377" i="521"/>
  <c r="M787" i="523"/>
  <c r="K279" i="519"/>
  <c r="I479" i="519"/>
  <c r="M72" i="517"/>
  <c r="J224" i="517"/>
  <c r="K616" i="519"/>
  <c r="L422" i="519"/>
  <c r="K302" i="519"/>
  <c r="K110" i="517"/>
  <c r="K46" i="520"/>
  <c r="I145" i="517"/>
  <c r="J195" i="517"/>
  <c r="J34" i="520"/>
  <c r="J355" i="519"/>
  <c r="K666" i="519"/>
  <c r="L240" i="519"/>
  <c r="I603" i="519"/>
  <c r="K444" i="518"/>
  <c r="M835" i="523"/>
  <c r="J327" i="523"/>
  <c r="L24" i="517"/>
  <c r="D376" i="247"/>
  <c r="I412" i="520"/>
  <c r="L582" i="521"/>
  <c r="A26" i="517"/>
  <c r="I596" i="519"/>
  <c r="J190" i="518"/>
  <c r="K463" i="519"/>
  <c r="K134" i="517"/>
  <c r="K228" i="519"/>
  <c r="I28" i="519"/>
  <c r="J48" i="517"/>
  <c r="I203" i="523"/>
  <c r="J264" i="518"/>
  <c r="J356" i="519"/>
  <c r="J445" i="520"/>
  <c r="C206" i="247"/>
  <c r="M515" i="521"/>
  <c r="I348" i="519"/>
  <c r="M589" i="517"/>
  <c r="J298" i="521"/>
  <c r="J86" i="521"/>
  <c r="K198" i="517"/>
  <c r="K400" i="517"/>
  <c r="L353" i="517"/>
  <c r="L571" i="520"/>
  <c r="M520" i="523"/>
  <c r="J434" i="520"/>
  <c r="I410" i="517"/>
  <c r="I286" i="521"/>
  <c r="I558" i="520"/>
  <c r="J390" i="519"/>
  <c r="K577" i="519"/>
  <c r="K503" i="517"/>
  <c r="I2" i="519"/>
  <c r="A13" i="523"/>
  <c r="J344" i="517"/>
  <c r="K506" i="517"/>
  <c r="K130" i="518"/>
  <c r="M65" i="521"/>
  <c r="M472" i="517"/>
  <c r="K200" i="519"/>
  <c r="J697" i="523"/>
  <c r="J511" i="517"/>
  <c r="I63" i="519"/>
  <c r="K475" i="519"/>
  <c r="K54" i="521"/>
  <c r="L480" i="519"/>
  <c r="M526" i="519"/>
  <c r="M516" i="520"/>
  <c r="J95" i="523"/>
  <c r="K135" i="523"/>
  <c r="M676" i="517"/>
  <c r="K303" i="523"/>
  <c r="D71" i="247"/>
  <c r="L691" i="523"/>
  <c r="M53" i="519"/>
  <c r="I219" i="517"/>
  <c r="C288" i="247"/>
  <c r="K269" i="523"/>
  <c r="I68" i="519"/>
  <c r="I200" i="521"/>
  <c r="K441" i="517"/>
  <c r="D582" i="247"/>
  <c r="C250" i="247"/>
  <c r="M273" i="517"/>
  <c r="L561" i="519"/>
  <c r="K39" i="519"/>
  <c r="M468" i="520"/>
  <c r="A14" i="523"/>
  <c r="J163" i="517"/>
  <c r="K207" i="523"/>
  <c r="L672" i="517"/>
  <c r="I616" i="521"/>
  <c r="J591" i="517"/>
  <c r="K516" i="519"/>
  <c r="J274" i="520"/>
  <c r="J50" i="519"/>
  <c r="M813" i="523"/>
  <c r="L457" i="521"/>
  <c r="J629" i="523"/>
  <c r="J661" i="521"/>
  <c r="K174" i="518"/>
  <c r="L147" i="517"/>
  <c r="M481" i="523"/>
  <c r="J586" i="517"/>
  <c r="C255" i="247"/>
  <c r="I208" i="518"/>
  <c r="M665" i="518"/>
  <c r="M364" i="517"/>
  <c r="J337" i="517"/>
  <c r="M675" i="518"/>
  <c r="J265" i="523"/>
  <c r="D128" i="247"/>
  <c r="I72" i="519"/>
  <c r="I399" i="520"/>
  <c r="L439" i="521"/>
  <c r="J37" i="519"/>
  <c r="J607" i="518"/>
  <c r="L683" i="520"/>
  <c r="J283" i="523"/>
  <c r="J143" i="520"/>
  <c r="I68" i="517"/>
  <c r="L230" i="517"/>
  <c r="D562" i="247"/>
  <c r="K493" i="521"/>
  <c r="L248" i="521"/>
  <c r="L600" i="523"/>
  <c r="J206" i="518"/>
  <c r="M629" i="518"/>
  <c r="C7" i="521"/>
  <c r="K42" i="521"/>
  <c r="K225" i="520"/>
  <c r="Q27" i="3"/>
  <c r="L689" i="521"/>
  <c r="J600" i="520"/>
  <c r="L832" i="523"/>
  <c r="I496" i="517"/>
  <c r="J630" i="519"/>
  <c r="M376" i="519"/>
  <c r="J649" i="519"/>
  <c r="C19" i="518"/>
  <c r="K828" i="523"/>
  <c r="J359" i="519"/>
  <c r="M59" i="518"/>
  <c r="L682" i="523"/>
  <c r="A36" i="520"/>
  <c r="J330" i="518"/>
  <c r="M309" i="521"/>
  <c r="K460" i="520"/>
  <c r="M487" i="520"/>
  <c r="G21" i="520"/>
  <c r="P40" i="3"/>
  <c r="M55" i="521"/>
  <c r="M287" i="521"/>
  <c r="K477" i="517"/>
  <c r="F3" i="518"/>
  <c r="I318" i="520"/>
  <c r="M101" i="518"/>
  <c r="M7" i="518"/>
  <c r="M390" i="521"/>
  <c r="M105" i="520"/>
  <c r="G25" i="520"/>
  <c r="J731" i="523"/>
  <c r="E19" i="520"/>
  <c r="K17" i="517"/>
  <c r="M287" i="517"/>
  <c r="I494" i="517"/>
  <c r="L424" i="518"/>
  <c r="D118" i="247"/>
  <c r="K272" i="517"/>
  <c r="L689" i="517"/>
  <c r="L341" i="517"/>
  <c r="I335" i="521"/>
  <c r="M91" i="517"/>
  <c r="L138" i="523"/>
  <c r="C386" i="247"/>
  <c r="L182" i="517"/>
  <c r="L227" i="517"/>
  <c r="L568" i="517"/>
  <c r="I448" i="521"/>
  <c r="D566" i="247"/>
  <c r="K304" i="518"/>
  <c r="L401" i="517"/>
  <c r="L208" i="520"/>
  <c r="M335" i="519"/>
  <c r="L15" i="520"/>
  <c r="K492" i="517"/>
  <c r="J447" i="520"/>
  <c r="D546" i="247"/>
  <c r="L588" i="518"/>
  <c r="K281" i="523"/>
  <c r="L172" i="519"/>
  <c r="I125" i="517"/>
  <c r="I355" i="517"/>
  <c r="K659" i="520"/>
  <c r="I506" i="518"/>
  <c r="J407" i="521"/>
  <c r="J391" i="523"/>
  <c r="I485" i="519"/>
  <c r="C398" i="247"/>
  <c r="H20" i="519"/>
  <c r="A15" i="519"/>
  <c r="M35" i="517"/>
  <c r="J209" i="517"/>
  <c r="M167" i="519"/>
  <c r="D372" i="247"/>
  <c r="I538" i="517"/>
  <c r="M567" i="517"/>
  <c r="K613" i="517"/>
  <c r="L18" i="518"/>
  <c r="C6" i="517"/>
  <c r="K59" i="517"/>
  <c r="K147" i="519"/>
  <c r="J280" i="517"/>
  <c r="K452" i="521"/>
  <c r="J145" i="517"/>
  <c r="M221" i="517"/>
  <c r="K213" i="523"/>
  <c r="J607" i="523"/>
  <c r="M361" i="517"/>
  <c r="L680" i="518"/>
  <c r="M319" i="521"/>
  <c r="P44" i="3"/>
  <c r="I320" i="520"/>
  <c r="K560" i="520"/>
  <c r="M22" i="517"/>
  <c r="L234" i="519"/>
  <c r="J665" i="519"/>
  <c r="K634" i="521"/>
  <c r="M209" i="521"/>
  <c r="I160" i="518"/>
  <c r="K568" i="520"/>
  <c r="L315" i="520"/>
  <c r="L120" i="517"/>
  <c r="K482" i="519"/>
  <c r="K185" i="520"/>
  <c r="J588" i="518"/>
  <c r="I135" i="518"/>
  <c r="I265" i="520"/>
  <c r="J736" i="523"/>
  <c r="J265" i="517"/>
  <c r="I659" i="518"/>
  <c r="J547" i="520"/>
  <c r="J276" i="521"/>
  <c r="I606" i="520"/>
  <c r="K358" i="521"/>
  <c r="L109" i="517"/>
  <c r="L765" i="523"/>
  <c r="J539" i="521"/>
  <c r="J468" i="517"/>
  <c r="I99" i="519"/>
  <c r="K283" i="520"/>
  <c r="J568" i="521"/>
  <c r="K730" i="523"/>
  <c r="L131" i="523"/>
  <c r="J226" i="523"/>
  <c r="J243" i="518"/>
  <c r="J227" i="518"/>
  <c r="J621" i="517"/>
  <c r="K678" i="520"/>
  <c r="J324" i="518"/>
  <c r="L326" i="521"/>
  <c r="I647" i="523"/>
  <c r="J103" i="518"/>
  <c r="J220" i="517"/>
  <c r="J126" i="519"/>
  <c r="J616" i="519"/>
  <c r="L586" i="523"/>
  <c r="J14" i="517"/>
  <c r="K328" i="520"/>
  <c r="K555" i="518"/>
  <c r="J406" i="517"/>
  <c r="J74" i="521"/>
  <c r="J396" i="519"/>
  <c r="Q9" i="3"/>
  <c r="M21" i="521"/>
  <c r="K310" i="517"/>
  <c r="I434" i="518"/>
  <c r="K694" i="520"/>
  <c r="J526" i="519"/>
  <c r="D576" i="247"/>
  <c r="J321" i="520"/>
  <c r="J578" i="523"/>
  <c r="L343" i="517"/>
  <c r="J390" i="523"/>
  <c r="M13" i="520"/>
  <c r="L627" i="519"/>
  <c r="B6" i="482"/>
  <c r="I142" i="520"/>
  <c r="L136" i="521"/>
  <c r="I154" i="519"/>
  <c r="M597" i="518"/>
  <c r="M359" i="523"/>
  <c r="M606" i="521"/>
  <c r="M15" i="517"/>
  <c r="J216" i="517"/>
  <c r="L504" i="523"/>
  <c r="J348" i="519"/>
  <c r="J734" i="523"/>
  <c r="K85" i="523"/>
  <c r="M295" i="521"/>
  <c r="J419" i="523"/>
  <c r="J518" i="521"/>
  <c r="J80" i="518"/>
  <c r="M94" i="520"/>
  <c r="K412" i="519"/>
  <c r="K569" i="520"/>
  <c r="K217" i="523"/>
  <c r="K433" i="521"/>
  <c r="L25" i="519"/>
  <c r="K232" i="519"/>
  <c r="K69" i="519"/>
  <c r="M102" i="517"/>
  <c r="L399" i="517"/>
  <c r="K334" i="521"/>
  <c r="J43" i="519"/>
  <c r="M260" i="518"/>
  <c r="L67" i="518"/>
  <c r="L583" i="518"/>
  <c r="K354" i="519"/>
  <c r="I495" i="521"/>
  <c r="M588" i="520"/>
  <c r="L92" i="520"/>
  <c r="K137" i="523"/>
  <c r="J85" i="519"/>
  <c r="L542" i="517"/>
  <c r="L59" i="517"/>
  <c r="I165" i="523"/>
  <c r="L119" i="517"/>
  <c r="L362" i="519"/>
  <c r="K351" i="518"/>
  <c r="J495" i="520"/>
  <c r="J188" i="521"/>
  <c r="J636" i="520"/>
  <c r="J539" i="520"/>
  <c r="K199" i="519"/>
  <c r="J259" i="518"/>
  <c r="K826" i="523"/>
  <c r="M479" i="519"/>
  <c r="J542" i="519"/>
  <c r="J260" i="519"/>
  <c r="L127" i="518"/>
  <c r="J421" i="520"/>
  <c r="D40" i="247"/>
  <c r="M58" i="518"/>
  <c r="M503" i="523"/>
  <c r="M708" i="523"/>
  <c r="L187" i="521"/>
  <c r="I151" i="520"/>
  <c r="J498" i="517"/>
  <c r="M654" i="521"/>
  <c r="K626" i="521"/>
  <c r="M156" i="523"/>
  <c r="M250" i="520"/>
  <c r="J541" i="523"/>
  <c r="L626" i="523"/>
  <c r="I608" i="520"/>
  <c r="J808" i="523"/>
  <c r="I280" i="519"/>
  <c r="L469" i="518"/>
  <c r="L512" i="523"/>
  <c r="C259" i="247"/>
  <c r="L322" i="517"/>
  <c r="L216" i="517"/>
  <c r="I623" i="520"/>
  <c r="M468" i="519"/>
  <c r="J171" i="521"/>
  <c r="L526" i="520"/>
  <c r="M517" i="519"/>
  <c r="K626" i="523"/>
  <c r="M341" i="518"/>
  <c r="K150" i="517"/>
  <c r="K8" i="521"/>
  <c r="I97" i="523"/>
  <c r="K395" i="518"/>
  <c r="I479" i="517"/>
  <c r="I783" i="523"/>
  <c r="J475" i="518"/>
  <c r="C267" i="247"/>
  <c r="L12" i="519"/>
  <c r="M751" i="523"/>
  <c r="K551" i="518"/>
  <c r="J549" i="517"/>
  <c r="I146" i="520"/>
  <c r="J374" i="517"/>
  <c r="J501" i="518"/>
  <c r="L838" i="523"/>
  <c r="M161" i="523"/>
  <c r="H10" i="517"/>
  <c r="I504" i="517"/>
  <c r="K189" i="518"/>
  <c r="J373" i="518"/>
  <c r="M10" i="518"/>
  <c r="I77" i="519"/>
  <c r="L275" i="523"/>
  <c r="H6" i="521"/>
  <c r="K432" i="520"/>
  <c r="J648" i="517"/>
  <c r="C66" i="247"/>
  <c r="K242" i="523"/>
  <c r="I476" i="521"/>
  <c r="K95" i="520"/>
  <c r="A6" i="517"/>
  <c r="J364" i="520"/>
  <c r="L642" i="517"/>
  <c r="I305" i="521"/>
  <c r="K293" i="520"/>
  <c r="M368" i="520"/>
  <c r="J683" i="520"/>
  <c r="I278" i="519"/>
  <c r="M459" i="520"/>
  <c r="F26" i="518"/>
  <c r="M582" i="523"/>
  <c r="M404" i="517"/>
  <c r="L374" i="523"/>
  <c r="M36" i="521"/>
  <c r="I636" i="518"/>
  <c r="K218" i="519"/>
  <c r="M604" i="519"/>
  <c r="M197" i="521"/>
  <c r="K572" i="519"/>
  <c r="J567" i="517"/>
  <c r="J397" i="517"/>
  <c r="M623" i="521"/>
  <c r="K261" i="520"/>
  <c r="J246" i="519"/>
  <c r="J458" i="518"/>
  <c r="L134" i="523"/>
  <c r="L327" i="521"/>
  <c r="K15" i="521"/>
  <c r="A26" i="519"/>
  <c r="J26" i="518"/>
  <c r="C457" i="247"/>
  <c r="M678" i="520"/>
  <c r="I376" i="523"/>
  <c r="I210" i="517"/>
  <c r="K603" i="517"/>
  <c r="J675" i="523"/>
  <c r="I347" i="520"/>
  <c r="C474" i="247"/>
  <c r="M176" i="519"/>
  <c r="J613" i="521"/>
  <c r="L387" i="517"/>
  <c r="I623" i="517"/>
  <c r="I437" i="520"/>
  <c r="I360" i="520"/>
  <c r="D330" i="247"/>
  <c r="J524" i="521"/>
  <c r="M520" i="521"/>
  <c r="J331" i="518"/>
  <c r="L652" i="519"/>
  <c r="I221" i="517"/>
  <c r="C48" i="247"/>
  <c r="M259" i="520"/>
  <c r="K617" i="520"/>
  <c r="L334" i="523"/>
  <c r="J16" i="520"/>
  <c r="M612" i="523"/>
  <c r="M223" i="523"/>
  <c r="L554" i="520"/>
  <c r="K355" i="520"/>
  <c r="L215" i="520"/>
  <c r="M386" i="521"/>
  <c r="J257" i="520"/>
  <c r="M563" i="517"/>
  <c r="J609" i="521"/>
  <c r="L410" i="519"/>
  <c r="I472" i="518"/>
  <c r="K223" i="517"/>
  <c r="I436" i="518"/>
  <c r="L38" i="521"/>
  <c r="I703" i="523"/>
  <c r="M230" i="521"/>
  <c r="K85" i="521"/>
  <c r="J429" i="519"/>
  <c r="K682" i="521"/>
  <c r="M451" i="518"/>
  <c r="I234" i="521"/>
  <c r="G20" i="518"/>
  <c r="K437" i="523"/>
  <c r="I26" i="517"/>
  <c r="I488" i="519"/>
  <c r="C35" i="517"/>
  <c r="K221" i="521"/>
  <c r="L337" i="517"/>
  <c r="K337" i="519"/>
  <c r="L185" i="520"/>
  <c r="J157" i="518"/>
  <c r="C11" i="517"/>
  <c r="C305" i="247"/>
  <c r="H6" i="519"/>
  <c r="J211" i="521"/>
  <c r="I571" i="521"/>
  <c r="K521" i="521"/>
  <c r="M387" i="517"/>
  <c r="I306" i="517"/>
  <c r="K510" i="523"/>
  <c r="I308" i="517"/>
  <c r="M23" i="517"/>
  <c r="K194" i="517"/>
  <c r="L738" i="523"/>
  <c r="M382" i="519"/>
  <c r="I338" i="519"/>
  <c r="K17" i="521"/>
  <c r="I476" i="520"/>
  <c r="C152" i="247"/>
  <c r="C211" i="247"/>
  <c r="K149" i="521"/>
  <c r="M109" i="520"/>
  <c r="L313" i="520"/>
  <c r="J32" i="520"/>
  <c r="C12" i="521"/>
  <c r="I659" i="519"/>
  <c r="J166" i="523"/>
  <c r="D481" i="247"/>
  <c r="I253" i="523"/>
  <c r="M573" i="520"/>
  <c r="M158" i="517"/>
  <c r="L473" i="521"/>
  <c r="J319" i="518"/>
  <c r="K40" i="517"/>
  <c r="M294" i="523"/>
  <c r="M98" i="517"/>
  <c r="K167" i="520"/>
  <c r="I147" i="521"/>
  <c r="M501" i="521"/>
  <c r="I682" i="520"/>
  <c r="K295" i="523"/>
  <c r="I168" i="519"/>
  <c r="J555" i="520"/>
  <c r="I187" i="519"/>
  <c r="L605" i="523"/>
  <c r="J733" i="523"/>
  <c r="K633" i="521"/>
  <c r="I248" i="523"/>
  <c r="M585" i="520"/>
  <c r="I238" i="519"/>
  <c r="C150" i="247"/>
  <c r="D232" i="247"/>
  <c r="M104" i="518"/>
  <c r="M192" i="521"/>
  <c r="L45" i="517"/>
  <c r="M750" i="523"/>
  <c r="K489" i="517"/>
  <c r="K169" i="518"/>
  <c r="L69" i="518"/>
  <c r="I470" i="519"/>
  <c r="L160" i="517"/>
  <c r="L521" i="521"/>
  <c r="L571" i="521"/>
  <c r="C27" i="521"/>
  <c r="J476" i="518"/>
  <c r="K292" i="521"/>
  <c r="L695" i="520"/>
  <c r="M536" i="518"/>
  <c r="K419" i="521"/>
  <c r="C514" i="247"/>
  <c r="K200" i="523"/>
  <c r="C11" i="520"/>
  <c r="M258" i="523"/>
  <c r="I196" i="523"/>
  <c r="I546" i="517"/>
  <c r="J610" i="520"/>
  <c r="M480" i="520"/>
  <c r="K78" i="521"/>
  <c r="J57" i="520"/>
  <c r="L58" i="523"/>
  <c r="I641" i="518"/>
  <c r="L202" i="518"/>
  <c r="I97" i="520"/>
  <c r="I678" i="519"/>
  <c r="J403" i="523"/>
  <c r="J478" i="521"/>
  <c r="K309" i="520"/>
  <c r="I247" i="521"/>
  <c r="K530" i="518"/>
  <c r="J456" i="520"/>
  <c r="K73" i="518"/>
  <c r="J148" i="518"/>
  <c r="L68" i="517"/>
  <c r="J710" i="523"/>
  <c r="K179" i="518"/>
  <c r="C121" i="247"/>
  <c r="I275" i="517"/>
  <c r="K67" i="521"/>
  <c r="L456" i="523"/>
  <c r="J507" i="518"/>
  <c r="M491" i="519"/>
  <c r="K543" i="523"/>
  <c r="I522" i="521"/>
  <c r="J647" i="517"/>
  <c r="I587" i="520"/>
  <c r="I644" i="518"/>
  <c r="K588" i="517"/>
  <c r="J235" i="518"/>
  <c r="L99" i="520"/>
  <c r="J568" i="523"/>
  <c r="I839" i="523"/>
  <c r="L327" i="523"/>
  <c r="L251" i="523"/>
  <c r="L259" i="520"/>
  <c r="J664" i="521"/>
  <c r="M36" i="519"/>
  <c r="L399" i="521"/>
  <c r="M399" i="523"/>
  <c r="L22" i="517"/>
  <c r="M229" i="523"/>
  <c r="J420" i="521"/>
  <c r="K263" i="521"/>
  <c r="I597" i="518"/>
  <c r="G9" i="520"/>
  <c r="M138" i="523"/>
  <c r="M56" i="517"/>
  <c r="C332" i="247"/>
  <c r="M618" i="517"/>
  <c r="I81" i="517"/>
  <c r="D278" i="247"/>
  <c r="K618" i="521"/>
  <c r="C531" i="247"/>
  <c r="K351" i="517"/>
  <c r="M601" i="523"/>
  <c r="M521" i="519"/>
  <c r="I431" i="520"/>
  <c r="J223" i="517"/>
  <c r="L548" i="523"/>
  <c r="M551" i="519"/>
  <c r="M592" i="520"/>
  <c r="L214" i="517"/>
  <c r="K561" i="521"/>
  <c r="J617" i="521"/>
  <c r="L581" i="523"/>
  <c r="I488" i="517"/>
  <c r="J164" i="518"/>
  <c r="I190" i="519"/>
  <c r="B17" i="482"/>
  <c r="I444" i="517"/>
  <c r="I156" i="520"/>
  <c r="K331" i="521"/>
  <c r="L797" i="523"/>
  <c r="J377" i="521"/>
  <c r="K29" i="520"/>
  <c r="J382" i="521"/>
  <c r="M498" i="519"/>
  <c r="L501" i="521"/>
  <c r="M285" i="521"/>
  <c r="I312" i="519"/>
  <c r="K678" i="517"/>
  <c r="L163" i="520"/>
  <c r="L38" i="520"/>
  <c r="M427" i="518"/>
  <c r="M583" i="517"/>
  <c r="K433" i="517"/>
  <c r="K502" i="520"/>
  <c r="I657" i="520"/>
  <c r="I628" i="518"/>
  <c r="C229" i="247"/>
  <c r="L588" i="523"/>
  <c r="M212" i="519"/>
  <c r="A38" i="517"/>
  <c r="J549" i="518"/>
  <c r="I629" i="517"/>
  <c r="M252" i="523"/>
  <c r="I281" i="519"/>
  <c r="I500" i="520"/>
  <c r="K605" i="520"/>
  <c r="M203" i="521"/>
  <c r="M487" i="519"/>
  <c r="I138" i="521"/>
  <c r="K622" i="520"/>
  <c r="I579" i="517"/>
  <c r="M43" i="521"/>
  <c r="J317" i="523"/>
  <c r="I493" i="523"/>
  <c r="J492" i="523"/>
  <c r="M89" i="523"/>
  <c r="I444" i="521"/>
  <c r="A41" i="521"/>
  <c r="K164" i="517"/>
  <c r="I393" i="519"/>
  <c r="L533" i="519"/>
  <c r="L442" i="519"/>
  <c r="J367" i="518"/>
  <c r="J227" i="520"/>
  <c r="D307" i="247"/>
  <c r="K435" i="519"/>
  <c r="M273" i="520"/>
  <c r="M114" i="518"/>
  <c r="I562" i="521"/>
  <c r="K246" i="520"/>
  <c r="L614" i="523"/>
  <c r="I227" i="517"/>
  <c r="I409" i="521"/>
  <c r="K300" i="519"/>
  <c r="E22" i="523"/>
  <c r="L234" i="517"/>
  <c r="J40" i="521"/>
  <c r="I358" i="521"/>
  <c r="I470" i="521"/>
  <c r="K265" i="521"/>
  <c r="J426" i="517"/>
  <c r="L627" i="517"/>
  <c r="J622" i="519"/>
  <c r="K494" i="517"/>
  <c r="K516" i="523"/>
  <c r="M514" i="520"/>
  <c r="K43" i="519"/>
  <c r="J457" i="521"/>
  <c r="J590" i="517"/>
  <c r="J105" i="518"/>
  <c r="M136" i="520"/>
  <c r="L505" i="520"/>
  <c r="M434" i="520"/>
  <c r="K613" i="521"/>
  <c r="J112" i="523"/>
  <c r="I523" i="520"/>
  <c r="K372" i="517"/>
  <c r="M504" i="519"/>
  <c r="L244" i="521"/>
  <c r="I683" i="521"/>
  <c r="K596" i="520"/>
  <c r="K422" i="520"/>
  <c r="C509" i="247"/>
  <c r="M403" i="518"/>
  <c r="J107" i="517"/>
  <c r="I323" i="518"/>
  <c r="K266" i="523"/>
  <c r="I403" i="517"/>
  <c r="M479" i="517"/>
  <c r="L339" i="520"/>
  <c r="J737" i="523"/>
  <c r="J493" i="519"/>
  <c r="M132" i="519"/>
  <c r="K371" i="517"/>
  <c r="M832" i="523"/>
  <c r="K46" i="517"/>
  <c r="J14" i="523"/>
  <c r="L404" i="518"/>
  <c r="L75" i="518"/>
  <c r="L346" i="517"/>
  <c r="M260" i="517"/>
  <c r="K50" i="523"/>
  <c r="J535" i="523"/>
  <c r="M453" i="521"/>
  <c r="I248" i="520"/>
  <c r="I501" i="517"/>
  <c r="K339" i="518"/>
  <c r="I725" i="523"/>
  <c r="I562" i="518"/>
  <c r="K308" i="518"/>
  <c r="L391" i="519"/>
  <c r="I525" i="520"/>
  <c r="M200" i="517"/>
  <c r="L430" i="523"/>
  <c r="J167" i="517"/>
  <c r="J577" i="518"/>
  <c r="C256" i="247"/>
  <c r="K354" i="523"/>
  <c r="M574" i="521"/>
  <c r="J583" i="520"/>
  <c r="I482" i="517"/>
  <c r="L352" i="518"/>
  <c r="M465" i="518"/>
  <c r="I403" i="523"/>
  <c r="I201" i="517"/>
  <c r="I541" i="518"/>
  <c r="C421" i="247"/>
  <c r="I210" i="520"/>
  <c r="J507" i="523"/>
  <c r="L141" i="521"/>
  <c r="J46" i="517"/>
  <c r="A31" i="520"/>
  <c r="K239" i="519"/>
  <c r="M12" i="523"/>
  <c r="K264" i="517"/>
  <c r="I375" i="518"/>
  <c r="F29" i="520"/>
  <c r="I302" i="521"/>
  <c r="J290" i="523"/>
  <c r="I540" i="517"/>
  <c r="I829" i="523"/>
  <c r="L64" i="523"/>
  <c r="L82" i="520"/>
  <c r="I724" i="523"/>
  <c r="K687" i="519"/>
  <c r="J3" i="517"/>
  <c r="I588" i="519"/>
  <c r="J345" i="517"/>
  <c r="I358" i="523"/>
  <c r="J477" i="518"/>
  <c r="M203" i="517"/>
  <c r="M306" i="517"/>
  <c r="K391" i="523"/>
  <c r="M238" i="517"/>
  <c r="K353" i="520"/>
  <c r="I373" i="518"/>
  <c r="M605" i="520"/>
  <c r="M422" i="519"/>
  <c r="L484" i="520"/>
  <c r="K593" i="523"/>
  <c r="H11" i="519"/>
  <c r="K415" i="517"/>
  <c r="L483" i="518"/>
  <c r="M644" i="523"/>
  <c r="L582" i="518"/>
  <c r="I254" i="518"/>
  <c r="L540" i="519"/>
  <c r="M132" i="520"/>
  <c r="I661" i="520"/>
  <c r="L298" i="518"/>
  <c r="K209" i="519"/>
  <c r="K643" i="517"/>
  <c r="K352" i="518"/>
  <c r="M602" i="521"/>
  <c r="D214" i="247"/>
  <c r="I20" i="520"/>
  <c r="J488" i="519"/>
  <c r="A12" i="520"/>
  <c r="M161" i="519"/>
  <c r="J436" i="517"/>
  <c r="M406" i="517"/>
  <c r="J125" i="517"/>
  <c r="I19" i="520"/>
  <c r="K533" i="520"/>
  <c r="I227" i="523"/>
  <c r="L126" i="519"/>
  <c r="I80" i="519"/>
  <c r="M358" i="518"/>
  <c r="C140" i="247"/>
  <c r="K414" i="520"/>
  <c r="L399" i="518"/>
  <c r="I607" i="520"/>
  <c r="M446" i="518"/>
  <c r="I345" i="521"/>
  <c r="K543" i="521"/>
  <c r="J645" i="519"/>
  <c r="D361" i="247"/>
  <c r="I442" i="518"/>
  <c r="I495" i="518"/>
  <c r="J658" i="523"/>
  <c r="I202" i="521"/>
  <c r="L480" i="518"/>
  <c r="M613" i="523"/>
  <c r="J350" i="517"/>
  <c r="L447" i="523"/>
  <c r="K561" i="519"/>
  <c r="L840" i="523"/>
  <c r="I223" i="523"/>
  <c r="J486" i="519"/>
  <c r="M215" i="523"/>
  <c r="J491" i="523"/>
  <c r="J603" i="518"/>
  <c r="K91" i="521"/>
  <c r="I151" i="521"/>
  <c r="G27" i="518"/>
  <c r="K235" i="519"/>
  <c r="K199" i="520"/>
  <c r="K75" i="519"/>
  <c r="L295" i="521"/>
  <c r="J477" i="519"/>
  <c r="M492" i="521"/>
  <c r="E9" i="520"/>
  <c r="J415" i="518"/>
  <c r="L730" i="523"/>
  <c r="J269" i="517"/>
  <c r="M506" i="523"/>
  <c r="L559" i="523"/>
  <c r="I143" i="520"/>
  <c r="M440" i="521"/>
  <c r="K91" i="517"/>
  <c r="L109" i="518"/>
  <c r="L688" i="521"/>
  <c r="K92" i="519"/>
  <c r="D488" i="247"/>
  <c r="D181" i="247"/>
  <c r="L346" i="523"/>
  <c r="M438" i="519"/>
  <c r="I453" i="521"/>
  <c r="I71" i="518"/>
  <c r="J552" i="518"/>
  <c r="M378" i="518"/>
  <c r="I369" i="519"/>
  <c r="J397" i="518"/>
  <c r="D545" i="247"/>
  <c r="J591" i="521"/>
  <c r="K689" i="517"/>
  <c r="M234" i="519"/>
  <c r="L450" i="518"/>
  <c r="I158" i="517"/>
  <c r="J160" i="519"/>
  <c r="L434" i="523"/>
  <c r="M334" i="517"/>
  <c r="J374" i="523"/>
  <c r="J94" i="523"/>
  <c r="K125" i="517"/>
  <c r="J43" i="517"/>
  <c r="M393" i="518"/>
  <c r="J593" i="517"/>
  <c r="I153" i="521"/>
  <c r="I295" i="521"/>
  <c r="K212" i="517"/>
  <c r="K353" i="517"/>
  <c r="L665" i="520"/>
  <c r="K214" i="518"/>
  <c r="L336" i="519"/>
  <c r="L110" i="517"/>
  <c r="D515" i="247"/>
  <c r="L166" i="521"/>
  <c r="J481" i="519"/>
  <c r="H19" i="518"/>
  <c r="M423" i="519"/>
  <c r="M486" i="523"/>
  <c r="M534" i="518"/>
  <c r="J132" i="518"/>
  <c r="I258" i="518"/>
  <c r="J203" i="520"/>
  <c r="J598" i="519"/>
  <c r="M367" i="521"/>
  <c r="I203" i="520"/>
  <c r="I615" i="518"/>
  <c r="K66" i="518"/>
  <c r="I127" i="523"/>
  <c r="K413" i="517"/>
  <c r="L626" i="517"/>
  <c r="L261" i="523"/>
  <c r="C459" i="247"/>
  <c r="I121" i="520"/>
  <c r="K439" i="523"/>
  <c r="K234" i="518"/>
  <c r="M458" i="519"/>
  <c r="D276" i="247"/>
  <c r="L111" i="521"/>
  <c r="L273" i="517"/>
  <c r="I781" i="523"/>
  <c r="J641" i="523"/>
  <c r="J180" i="521"/>
  <c r="J75" i="523"/>
  <c r="L547" i="518"/>
  <c r="J540" i="518"/>
  <c r="D88" i="247"/>
  <c r="K39" i="523"/>
  <c r="K686" i="517"/>
  <c r="I461" i="520"/>
  <c r="J513" i="520"/>
  <c r="J686" i="519"/>
  <c r="M545" i="519"/>
  <c r="I153" i="518"/>
  <c r="K637" i="518"/>
  <c r="K92" i="518"/>
  <c r="I276" i="520"/>
  <c r="K698" i="523"/>
  <c r="M409" i="518"/>
  <c r="I328" i="521"/>
  <c r="M138" i="520"/>
  <c r="M475" i="517"/>
  <c r="M248" i="521"/>
  <c r="K271" i="519"/>
  <c r="J568" i="520"/>
  <c r="J186" i="523"/>
  <c r="I687" i="520"/>
  <c r="I678" i="523"/>
  <c r="K368" i="517"/>
  <c r="I5" i="518"/>
  <c r="M613" i="517"/>
  <c r="D374" i="247"/>
  <c r="K395" i="520"/>
  <c r="K387" i="518"/>
  <c r="K206" i="520"/>
  <c r="J402" i="517"/>
  <c r="L63" i="518"/>
  <c r="L362" i="521"/>
  <c r="J103" i="520"/>
  <c r="L510" i="518"/>
  <c r="K748" i="523"/>
  <c r="J466" i="519"/>
  <c r="M255" i="521"/>
  <c r="J346" i="523"/>
  <c r="K536" i="520"/>
  <c r="M544" i="520"/>
  <c r="H12" i="519"/>
  <c r="I655" i="520"/>
  <c r="K516" i="518"/>
  <c r="K164" i="519"/>
  <c r="J400" i="521"/>
  <c r="K583" i="517"/>
  <c r="K432" i="519"/>
  <c r="I385" i="517"/>
  <c r="H8" i="517"/>
  <c r="M246" i="517"/>
  <c r="C393" i="247"/>
  <c r="L319" i="518"/>
  <c r="I224" i="520"/>
  <c r="K294" i="523"/>
  <c r="I352" i="523"/>
  <c r="L395" i="518"/>
  <c r="I675" i="519"/>
  <c r="J433" i="517"/>
  <c r="L29" i="521"/>
  <c r="I159" i="521"/>
  <c r="L489" i="521"/>
  <c r="J408" i="517"/>
  <c r="H3" i="521"/>
  <c r="I204" i="518"/>
  <c r="I379" i="518"/>
  <c r="I647" i="518"/>
  <c r="L599" i="517"/>
  <c r="J642" i="517"/>
  <c r="L337" i="518"/>
  <c r="M219" i="521"/>
  <c r="K250" i="523"/>
  <c r="I132" i="519"/>
  <c r="I544" i="517"/>
  <c r="L398" i="520"/>
  <c r="I645" i="517"/>
  <c r="J590" i="518"/>
  <c r="I429" i="517"/>
  <c r="I7" i="517"/>
  <c r="F29" i="517"/>
  <c r="J523" i="517"/>
  <c r="K421" i="518"/>
  <c r="I114" i="519"/>
  <c r="I374" i="521"/>
  <c r="K305" i="518"/>
  <c r="L483" i="520"/>
  <c r="K378" i="519"/>
  <c r="L72" i="517"/>
  <c r="J320" i="520"/>
  <c r="J2" i="518"/>
  <c r="K526" i="518"/>
  <c r="F6" i="519"/>
  <c r="L566" i="519"/>
  <c r="L615" i="519"/>
  <c r="J107" i="519"/>
  <c r="C518" i="247"/>
  <c r="K156" i="518"/>
  <c r="M500" i="523"/>
  <c r="J665" i="521"/>
  <c r="K263" i="518"/>
  <c r="I469" i="517"/>
  <c r="L381" i="517"/>
  <c r="L199" i="523"/>
  <c r="K313" i="518"/>
  <c r="L193" i="521"/>
  <c r="L617" i="523"/>
  <c r="I544" i="523"/>
  <c r="M169" i="517"/>
  <c r="L474" i="519"/>
  <c r="J672" i="517"/>
  <c r="K234" i="520"/>
  <c r="K225" i="519"/>
  <c r="M161" i="518"/>
  <c r="I299" i="517"/>
  <c r="J111" i="517"/>
  <c r="M76" i="517"/>
  <c r="L169" i="517"/>
  <c r="J610" i="519"/>
  <c r="M143" i="517"/>
  <c r="K53" i="520"/>
  <c r="K71" i="521"/>
  <c r="K120" i="523"/>
  <c r="M137" i="519"/>
  <c r="J107" i="523"/>
  <c r="I24" i="517"/>
  <c r="M120" i="518"/>
  <c r="J294" i="517"/>
  <c r="L189" i="519"/>
  <c r="I350" i="521"/>
  <c r="J461" i="518"/>
  <c r="J167" i="519"/>
  <c r="M169" i="518"/>
  <c r="D587" i="247"/>
  <c r="J106" i="519"/>
  <c r="M613" i="521"/>
  <c r="K379" i="521"/>
  <c r="I79" i="520"/>
  <c r="J33" i="518"/>
  <c r="K177" i="523"/>
  <c r="K488" i="519"/>
  <c r="A18" i="518"/>
  <c r="I350" i="518"/>
  <c r="C24" i="523"/>
  <c r="M160" i="521"/>
  <c r="M496" i="521"/>
  <c r="M388" i="517"/>
  <c r="J572" i="520"/>
  <c r="J643" i="523"/>
  <c r="I359" i="518"/>
  <c r="I638" i="519"/>
  <c r="I530" i="519"/>
  <c r="I432" i="517"/>
  <c r="K376" i="517"/>
  <c r="M378" i="520"/>
  <c r="M647" i="517"/>
  <c r="K472" i="523"/>
  <c r="I188" i="521"/>
  <c r="L245" i="518"/>
  <c r="L272" i="520"/>
  <c r="M277" i="523"/>
  <c r="E29" i="519"/>
  <c r="K397" i="518"/>
  <c r="L547" i="521"/>
  <c r="L61" i="518"/>
  <c r="M75" i="519"/>
  <c r="M279" i="521"/>
  <c r="M8" i="519"/>
  <c r="M620" i="521"/>
  <c r="I519" i="517"/>
  <c r="K616" i="518"/>
  <c r="M809" i="523"/>
  <c r="M55" i="517"/>
  <c r="M294" i="517"/>
  <c r="K646" i="517"/>
  <c r="I365" i="518"/>
  <c r="L623" i="519"/>
  <c r="D146" i="247"/>
  <c r="C484" i="247"/>
  <c r="J162" i="517"/>
  <c r="J529" i="518"/>
  <c r="M675" i="520"/>
  <c r="L205" i="523"/>
  <c r="L345" i="523"/>
  <c r="L128" i="521"/>
  <c r="J332" i="521"/>
  <c r="J637" i="517"/>
  <c r="K102" i="518"/>
  <c r="M373" i="521"/>
  <c r="J318" i="523"/>
  <c r="I485" i="518"/>
  <c r="I239" i="519"/>
  <c r="M649" i="518"/>
  <c r="J459" i="521"/>
  <c r="J840" i="523"/>
  <c r="J691" i="521"/>
  <c r="K229" i="520"/>
  <c r="L610" i="519"/>
  <c r="M641" i="518"/>
  <c r="M493" i="517"/>
  <c r="J449" i="519"/>
  <c r="K10" i="521"/>
  <c r="J471" i="520"/>
  <c r="I458" i="523"/>
  <c r="M45" i="520"/>
  <c r="I607" i="521"/>
  <c r="J383" i="520"/>
  <c r="K253" i="517"/>
  <c r="I96" i="518"/>
  <c r="L365" i="523"/>
  <c r="K461" i="518"/>
  <c r="K116" i="517"/>
  <c r="M154" i="518"/>
  <c r="I612" i="519"/>
  <c r="L472" i="518"/>
  <c r="J484" i="523"/>
  <c r="I481" i="520"/>
  <c r="L50" i="517"/>
  <c r="I254" i="523"/>
  <c r="K565" i="518"/>
  <c r="J347" i="523"/>
  <c r="M652" i="520"/>
  <c r="I599" i="520"/>
  <c r="M5" i="520"/>
  <c r="K171" i="518"/>
  <c r="J574" i="518"/>
  <c r="K812" i="523"/>
  <c r="C512" i="247"/>
  <c r="M152" i="520"/>
  <c r="K9" i="520"/>
  <c r="I152" i="518"/>
  <c r="J492" i="519"/>
  <c r="L497" i="519"/>
  <c r="L64" i="519"/>
  <c r="J430" i="518"/>
  <c r="K447" i="520"/>
  <c r="J678" i="523"/>
  <c r="L554" i="517"/>
  <c r="G26" i="521"/>
  <c r="J99" i="521"/>
  <c r="L386" i="517"/>
  <c r="J300" i="518"/>
  <c r="L135" i="520"/>
  <c r="K823" i="523"/>
  <c r="I44" i="518"/>
  <c r="C359" i="247"/>
  <c r="L486" i="517"/>
  <c r="I371" i="520"/>
  <c r="M121" i="518"/>
  <c r="K710" i="523"/>
  <c r="C525" i="247"/>
  <c r="L806" i="523"/>
  <c r="C190" i="247"/>
  <c r="K129" i="518"/>
  <c r="I688" i="517"/>
  <c r="K623" i="521"/>
  <c r="K171" i="517"/>
  <c r="M559" i="519"/>
  <c r="L27" i="521"/>
  <c r="D229" i="247"/>
  <c r="J233" i="517"/>
  <c r="J807" i="523"/>
  <c r="M435" i="520"/>
  <c r="M128" i="520"/>
  <c r="K553" i="520"/>
  <c r="M246" i="519"/>
  <c r="M521" i="518"/>
  <c r="K339" i="517"/>
  <c r="K124" i="518"/>
  <c r="J171" i="519"/>
  <c r="L24" i="523"/>
  <c r="K221" i="523"/>
  <c r="I358" i="519"/>
  <c r="J327" i="520"/>
  <c r="J501" i="519"/>
  <c r="M38" i="523"/>
  <c r="I168" i="518"/>
  <c r="M18" i="518"/>
  <c r="K578" i="517"/>
  <c r="I226" i="520"/>
  <c r="M399" i="518"/>
  <c r="J121" i="517"/>
  <c r="K137" i="520"/>
  <c r="I385" i="518"/>
  <c r="J636" i="521"/>
  <c r="M525" i="519"/>
  <c r="M243" i="517"/>
  <c r="I52" i="517"/>
  <c r="M623" i="519"/>
  <c r="J228" i="517"/>
  <c r="L121" i="517"/>
  <c r="I211" i="518"/>
  <c r="J122" i="521"/>
  <c r="C377" i="247"/>
  <c r="I655" i="518"/>
  <c r="M410" i="518"/>
  <c r="L523" i="519"/>
  <c r="L652" i="517"/>
  <c r="K535" i="520"/>
  <c r="J532" i="518"/>
  <c r="L33" i="523"/>
  <c r="L711" i="523"/>
  <c r="K515" i="518"/>
  <c r="K60" i="521"/>
  <c r="L486" i="521"/>
  <c r="I256" i="518"/>
  <c r="M194" i="523"/>
  <c r="I212" i="518"/>
  <c r="J221" i="520"/>
  <c r="K338" i="519"/>
  <c r="K407" i="519"/>
  <c r="K157" i="519"/>
  <c r="M313" i="518"/>
  <c r="J667" i="519"/>
  <c r="J351" i="518"/>
  <c r="M583" i="519"/>
  <c r="K54" i="518"/>
  <c r="L316" i="519"/>
  <c r="J82" i="521"/>
  <c r="M313" i="521"/>
  <c r="J449" i="517"/>
  <c r="J464" i="520"/>
  <c r="J480" i="521"/>
  <c r="L511" i="518"/>
  <c r="M28" i="518"/>
  <c r="M530" i="517"/>
  <c r="J464" i="521"/>
  <c r="K654" i="517"/>
  <c r="I656" i="521"/>
  <c r="K228" i="521"/>
  <c r="K173" i="517"/>
  <c r="K414" i="521"/>
  <c r="L302" i="523"/>
  <c r="L619" i="519"/>
  <c r="M625" i="520"/>
  <c r="J424" i="517"/>
  <c r="K467" i="518"/>
  <c r="K414" i="519"/>
  <c r="I104" i="517"/>
  <c r="I522" i="520"/>
  <c r="L547" i="523"/>
  <c r="L602" i="517"/>
  <c r="M380" i="523"/>
  <c r="L439" i="518"/>
  <c r="J167" i="523"/>
  <c r="M402" i="521"/>
  <c r="K575" i="523"/>
  <c r="J140" i="518"/>
  <c r="M364" i="518"/>
  <c r="K512" i="519"/>
  <c r="I480" i="521"/>
  <c r="I19" i="523"/>
  <c r="I493" i="521"/>
  <c r="M395" i="521"/>
  <c r="K597" i="520"/>
  <c r="M247" i="519"/>
  <c r="L385" i="523"/>
  <c r="K600" i="519"/>
  <c r="M458" i="520"/>
  <c r="L391" i="517"/>
  <c r="M191" i="521"/>
  <c r="K626" i="519"/>
  <c r="J609" i="520"/>
  <c r="K644" i="518"/>
  <c r="D192" i="247"/>
  <c r="M657" i="519"/>
  <c r="M345" i="518"/>
  <c r="M3" i="517"/>
  <c r="K63" i="519"/>
  <c r="M109" i="518"/>
  <c r="I226" i="523"/>
  <c r="G10" i="517"/>
  <c r="L661" i="517"/>
  <c r="M94" i="523"/>
  <c r="J137" i="518"/>
  <c r="L235" i="517"/>
  <c r="K96" i="517"/>
  <c r="I148" i="520"/>
  <c r="K741" i="523"/>
  <c r="I612" i="520"/>
  <c r="J529" i="521"/>
  <c r="J405" i="517"/>
  <c r="I267" i="520"/>
  <c r="L170" i="517"/>
  <c r="K3" i="520"/>
  <c r="M301" i="520"/>
  <c r="I100" i="520"/>
  <c r="J729" i="523"/>
  <c r="J266" i="520"/>
  <c r="K263" i="517"/>
  <c r="I553" i="520"/>
  <c r="K194" i="518"/>
  <c r="G8" i="520"/>
  <c r="L152" i="519"/>
  <c r="K591" i="517"/>
  <c r="J306" i="518"/>
  <c r="M711" i="523"/>
  <c r="J523" i="519"/>
  <c r="K548" i="520"/>
  <c r="L401" i="519"/>
  <c r="J327" i="517"/>
  <c r="M28" i="521"/>
  <c r="L88" i="520"/>
  <c r="I470" i="523"/>
  <c r="C223" i="247"/>
  <c r="H3" i="517"/>
  <c r="J247" i="518"/>
  <c r="J657" i="523"/>
  <c r="J572" i="523"/>
  <c r="D270" i="247"/>
  <c r="L481" i="521"/>
  <c r="J447" i="521"/>
  <c r="I523" i="518"/>
  <c r="I23" i="517"/>
  <c r="M659" i="518"/>
  <c r="K611" i="520"/>
  <c r="M179" i="519"/>
  <c r="K591" i="521"/>
  <c r="M561" i="523"/>
  <c r="K500" i="521"/>
  <c r="K671" i="523"/>
  <c r="J497" i="520"/>
  <c r="M424" i="523"/>
  <c r="I665" i="521"/>
  <c r="I609" i="517"/>
  <c r="J540" i="521"/>
  <c r="J343" i="520"/>
  <c r="J78" i="518"/>
  <c r="K631" i="517"/>
  <c r="I593" i="517"/>
  <c r="I827" i="523"/>
  <c r="I302" i="517"/>
  <c r="M10" i="519"/>
  <c r="J547" i="519"/>
  <c r="M406" i="518"/>
  <c r="L591" i="517"/>
  <c r="I357" i="520"/>
  <c r="M485" i="519"/>
  <c r="I112" i="521"/>
  <c r="J20" i="518"/>
  <c r="J175" i="518"/>
  <c r="M654" i="517"/>
  <c r="M65" i="517"/>
  <c r="M601" i="521"/>
  <c r="J373" i="523"/>
  <c r="J508" i="517"/>
  <c r="M403" i="517"/>
  <c r="C120" i="247"/>
  <c r="K427" i="519"/>
  <c r="K145" i="521"/>
  <c r="L620" i="520"/>
  <c r="I37" i="518"/>
  <c r="I620" i="523"/>
  <c r="K606" i="520"/>
  <c r="M512" i="517"/>
  <c r="D395" i="247"/>
  <c r="K49" i="519"/>
  <c r="M178" i="519"/>
  <c r="L298" i="519"/>
  <c r="K825" i="523"/>
  <c r="K177" i="518"/>
  <c r="I266" i="521"/>
  <c r="K366" i="518"/>
  <c r="L602" i="519"/>
  <c r="J244" i="517"/>
  <c r="J368" i="520"/>
  <c r="K119" i="520"/>
  <c r="L289" i="517"/>
  <c r="K16" i="521"/>
  <c r="A14" i="518"/>
  <c r="J182" i="517"/>
  <c r="A7" i="521"/>
  <c r="J311" i="519"/>
  <c r="K347" i="517"/>
  <c r="L386" i="521"/>
  <c r="J7" i="520"/>
  <c r="L49" i="518"/>
  <c r="L192" i="517"/>
  <c r="K30" i="518"/>
  <c r="J624" i="520"/>
  <c r="L367" i="523"/>
  <c r="L110" i="520"/>
  <c r="M278" i="520"/>
  <c r="M100" i="519"/>
  <c r="I181" i="521"/>
  <c r="K393" i="523"/>
  <c r="K208" i="519"/>
  <c r="M420" i="523"/>
  <c r="M5" i="517"/>
  <c r="K323" i="519"/>
  <c r="I286" i="518"/>
  <c r="K224" i="521"/>
  <c r="I556" i="517"/>
  <c r="K228" i="517"/>
  <c r="I18" i="521"/>
  <c r="L164" i="518"/>
  <c r="K354" i="517"/>
  <c r="M443" i="520"/>
  <c r="C371" i="247"/>
  <c r="I7" i="521"/>
  <c r="L514" i="520"/>
  <c r="L343" i="521"/>
  <c r="K314" i="523"/>
  <c r="I400" i="521"/>
  <c r="I634" i="519"/>
  <c r="I309" i="521"/>
  <c r="M688" i="521"/>
  <c r="H11" i="523"/>
  <c r="L286" i="523"/>
  <c r="K347" i="520"/>
  <c r="L78" i="519"/>
  <c r="L623" i="520"/>
  <c r="I20" i="523"/>
  <c r="J586" i="523"/>
  <c r="L682" i="517"/>
  <c r="K383" i="520"/>
  <c r="M354" i="518"/>
  <c r="L180" i="521"/>
  <c r="K513" i="521"/>
  <c r="K126" i="518"/>
  <c r="L151" i="517"/>
  <c r="M660" i="517"/>
  <c r="K389" i="521"/>
  <c r="L40" i="517"/>
  <c r="J76" i="523"/>
  <c r="I411" i="517"/>
  <c r="I770" i="523"/>
  <c r="L315" i="523"/>
  <c r="J549" i="519"/>
  <c r="I98" i="523"/>
  <c r="J703" i="523"/>
  <c r="I265" i="517"/>
  <c r="L671" i="523"/>
  <c r="J546" i="518"/>
  <c r="D138" i="247"/>
  <c r="K227" i="523"/>
  <c r="I63" i="523"/>
  <c r="K264" i="518"/>
  <c r="L74" i="519"/>
  <c r="M586" i="520"/>
  <c r="M44" i="520"/>
  <c r="J644" i="517"/>
  <c r="L607" i="517"/>
  <c r="L593" i="518"/>
  <c r="L204" i="518"/>
  <c r="L180" i="520"/>
  <c r="L500" i="517"/>
  <c r="M160" i="517"/>
  <c r="J441" i="520"/>
  <c r="I6" i="521"/>
  <c r="K216" i="519"/>
  <c r="J225" i="518"/>
  <c r="J411" i="519"/>
  <c r="J259" i="517"/>
  <c r="L481" i="517"/>
  <c r="K246" i="517"/>
  <c r="J667" i="518"/>
  <c r="K499" i="520"/>
  <c r="J439" i="517"/>
  <c r="D489" i="247"/>
  <c r="M124" i="523"/>
  <c r="I291" i="521"/>
  <c r="I21" i="523"/>
  <c r="I387" i="517"/>
  <c r="I313" i="520"/>
  <c r="L628" i="520"/>
  <c r="G28" i="517"/>
  <c r="J11" i="521"/>
  <c r="I244" i="523"/>
  <c r="M109" i="523"/>
  <c r="J627" i="518"/>
  <c r="I35" i="519"/>
  <c r="I587" i="519"/>
  <c r="J519" i="518"/>
  <c r="I380" i="517"/>
  <c r="L306" i="519"/>
  <c r="M412" i="521"/>
  <c r="I268" i="518"/>
  <c r="M312" i="517"/>
  <c r="J39" i="519"/>
  <c r="L670" i="518"/>
  <c r="J321" i="521"/>
  <c r="I308" i="521"/>
  <c r="K636" i="518"/>
  <c r="K430" i="519"/>
  <c r="K394" i="519"/>
  <c r="I296" i="518"/>
  <c r="K670" i="518"/>
  <c r="J639" i="519"/>
  <c r="L416" i="520"/>
  <c r="D357" i="247"/>
  <c r="L238" i="520"/>
  <c r="K179" i="521"/>
  <c r="K162" i="521"/>
  <c r="J88" i="517"/>
  <c r="M385" i="517"/>
  <c r="M440" i="523"/>
  <c r="D136" i="247"/>
  <c r="J517" i="521"/>
  <c r="I250" i="518"/>
  <c r="I628" i="520"/>
  <c r="K254" i="519"/>
  <c r="L665" i="518"/>
  <c r="M593" i="517"/>
  <c r="I365" i="521"/>
  <c r="I420" i="520"/>
  <c r="J495" i="523"/>
  <c r="A32" i="517"/>
  <c r="K606" i="521"/>
  <c r="I88" i="519"/>
  <c r="I686" i="518"/>
  <c r="K420" i="520"/>
  <c r="J321" i="518"/>
  <c r="K107" i="519"/>
  <c r="L243" i="518"/>
  <c r="L296" i="519"/>
  <c r="I221" i="519"/>
  <c r="L41" i="518"/>
  <c r="J467" i="517"/>
  <c r="L55" i="523"/>
  <c r="D569" i="247"/>
  <c r="I484" i="523"/>
  <c r="I471" i="517"/>
  <c r="M527" i="518"/>
  <c r="K485" i="520"/>
  <c r="J484" i="519"/>
  <c r="L348" i="520"/>
  <c r="L384" i="523"/>
  <c r="L87" i="520"/>
  <c r="L164" i="521"/>
  <c r="J431" i="518"/>
  <c r="J386" i="519"/>
  <c r="J69" i="521"/>
  <c r="C9" i="523"/>
  <c r="I171" i="520"/>
  <c r="I172" i="523"/>
  <c r="K391" i="521"/>
  <c r="I399" i="517"/>
  <c r="L685" i="521"/>
  <c r="M261" i="521"/>
  <c r="M128" i="521"/>
  <c r="L599" i="518"/>
  <c r="K562" i="518"/>
  <c r="I49" i="521"/>
  <c r="K23" i="517"/>
  <c r="I456" i="517"/>
  <c r="J431" i="523"/>
  <c r="I626" i="521"/>
  <c r="L675" i="523"/>
  <c r="J52" i="518"/>
  <c r="J114" i="518"/>
  <c r="L324" i="523"/>
  <c r="J112" i="520"/>
  <c r="J578" i="521"/>
  <c r="L330" i="517"/>
  <c r="L197" i="521"/>
  <c r="I212" i="520"/>
  <c r="B22" i="482"/>
  <c r="J617" i="518"/>
  <c r="J394" i="521"/>
  <c r="I410" i="521"/>
  <c r="J94" i="520"/>
  <c r="K234" i="519"/>
  <c r="K246" i="518"/>
  <c r="I727" i="523"/>
  <c r="K245" i="523"/>
  <c r="J551" i="518"/>
  <c r="D179" i="247"/>
  <c r="M372" i="518"/>
  <c r="L431" i="521"/>
  <c r="M285" i="517"/>
  <c r="L55" i="521"/>
  <c r="I815" i="523"/>
  <c r="L268" i="518"/>
  <c r="M352" i="521"/>
  <c r="I604" i="520"/>
  <c r="K780" i="523"/>
  <c r="J512" i="520"/>
  <c r="I795" i="523"/>
  <c r="J134" i="520"/>
  <c r="I576" i="519"/>
  <c r="J39" i="523"/>
  <c r="L175" i="521"/>
  <c r="C88" i="247"/>
  <c r="I752" i="523"/>
  <c r="I146" i="517"/>
  <c r="K384" i="523"/>
  <c r="I631" i="519"/>
  <c r="K620" i="523"/>
  <c r="M475" i="523"/>
  <c r="J121" i="519"/>
  <c r="L153" i="519"/>
  <c r="I659" i="517"/>
  <c r="M782" i="523"/>
  <c r="M606" i="520"/>
  <c r="L205" i="518"/>
  <c r="K104" i="523"/>
  <c r="J506" i="520"/>
  <c r="L658" i="520"/>
  <c r="L442" i="517"/>
  <c r="K216" i="521"/>
  <c r="M486" i="517"/>
  <c r="K686" i="519"/>
  <c r="I8" i="519"/>
  <c r="J47" i="520"/>
  <c r="L384" i="521"/>
  <c r="L254" i="523"/>
  <c r="M530" i="518"/>
  <c r="L406" i="517"/>
  <c r="J575" i="517"/>
  <c r="M607" i="520"/>
  <c r="M404" i="521"/>
  <c r="K519" i="519"/>
  <c r="Q40" i="3"/>
  <c r="J631" i="518"/>
  <c r="M301" i="518"/>
  <c r="L328" i="523"/>
  <c r="K362" i="517"/>
  <c r="J274" i="523"/>
  <c r="I679" i="517"/>
  <c r="M369" i="520"/>
  <c r="L47" i="517"/>
  <c r="L301" i="519"/>
  <c r="M643" i="520"/>
  <c r="G7" i="517"/>
  <c r="L66" i="523"/>
  <c r="L484" i="518"/>
  <c r="K392" i="519"/>
  <c r="M337" i="518"/>
  <c r="K317" i="519"/>
  <c r="L186" i="523"/>
  <c r="L25" i="518"/>
  <c r="M88" i="518"/>
  <c r="K651" i="521"/>
  <c r="M416" i="520"/>
  <c r="I595" i="519"/>
  <c r="I686" i="519"/>
  <c r="M404" i="523"/>
  <c r="C516" i="247"/>
  <c r="J685" i="517"/>
  <c r="J435" i="521"/>
  <c r="I305" i="519"/>
  <c r="K629" i="518"/>
  <c r="L260" i="520"/>
  <c r="L40" i="521"/>
  <c r="K566" i="517"/>
  <c r="K298" i="520"/>
  <c r="M229" i="518"/>
  <c r="M628" i="517"/>
  <c r="J343" i="523"/>
  <c r="E21" i="523"/>
  <c r="L220" i="518"/>
  <c r="I229" i="517"/>
  <c r="J348" i="520"/>
  <c r="I438" i="519"/>
  <c r="M365" i="523"/>
  <c r="I490" i="518"/>
  <c r="J602" i="519"/>
  <c r="I55" i="518"/>
  <c r="M294" i="520"/>
  <c r="D148" i="247"/>
  <c r="K291" i="521"/>
  <c r="L107" i="520"/>
  <c r="K262" i="521"/>
  <c r="I84" i="519"/>
  <c r="C506" i="247"/>
  <c r="L553" i="520"/>
  <c r="M37" i="519"/>
  <c r="I818" i="523"/>
  <c r="J486" i="520"/>
  <c r="J272" i="520"/>
  <c r="M535" i="517"/>
  <c r="L417" i="523"/>
  <c r="L349" i="518"/>
  <c r="J575" i="518"/>
  <c r="L710" i="523"/>
  <c r="M36" i="520"/>
  <c r="L184" i="520"/>
  <c r="L108" i="523"/>
  <c r="M359" i="520"/>
  <c r="C5" i="507"/>
  <c r="I563" i="517"/>
  <c r="I4" i="518"/>
  <c r="L527" i="520"/>
  <c r="I417" i="523"/>
  <c r="L391" i="523"/>
  <c r="K333" i="520"/>
  <c r="L405" i="521"/>
  <c r="L239" i="519"/>
  <c r="C26" i="519"/>
  <c r="C25" i="518"/>
  <c r="K649" i="520"/>
  <c r="L146" i="519"/>
  <c r="I504" i="520"/>
  <c r="L211" i="518"/>
  <c r="J183" i="518"/>
  <c r="M574" i="519"/>
  <c r="J360" i="519"/>
  <c r="L512" i="520"/>
  <c r="K262" i="520"/>
  <c r="I329" i="523"/>
  <c r="I472" i="519"/>
  <c r="M125" i="517"/>
  <c r="I458" i="521"/>
  <c r="C78" i="247"/>
  <c r="J203" i="517"/>
  <c r="J83" i="519"/>
  <c r="B24" i="482"/>
  <c r="L130" i="519"/>
  <c r="J256" i="518"/>
  <c r="J607" i="519"/>
  <c r="M74" i="520"/>
  <c r="M277" i="518"/>
  <c r="I464" i="518"/>
  <c r="I498" i="519"/>
  <c r="I690" i="521"/>
  <c r="I378" i="521"/>
  <c r="I203" i="521"/>
  <c r="I198" i="517"/>
  <c r="D264" i="247"/>
  <c r="J593" i="520"/>
  <c r="L447" i="518"/>
  <c r="L75" i="517"/>
  <c r="M266" i="520"/>
  <c r="K107" i="520"/>
  <c r="J76" i="521"/>
  <c r="I397" i="517"/>
  <c r="J663" i="521"/>
  <c r="J617" i="517"/>
  <c r="I577" i="520"/>
  <c r="K262" i="518"/>
  <c r="J426" i="518"/>
  <c r="J666" i="519"/>
  <c r="D533" i="247"/>
  <c r="J601" i="520"/>
  <c r="I452" i="518"/>
  <c r="K297" i="521"/>
  <c r="L675" i="517"/>
  <c r="I222" i="523"/>
  <c r="J242" i="517"/>
  <c r="M437" i="517"/>
  <c r="L426" i="517"/>
  <c r="J187" i="519"/>
  <c r="K671" i="521"/>
  <c r="I327" i="520"/>
  <c r="I148" i="523"/>
  <c r="L297" i="519"/>
  <c r="M238" i="521"/>
  <c r="M221" i="521"/>
  <c r="L136" i="523"/>
  <c r="L376" i="523"/>
  <c r="M630" i="520"/>
  <c r="J53" i="518"/>
  <c r="J507" i="517"/>
  <c r="C44" i="521"/>
  <c r="K329" i="520"/>
  <c r="J650" i="523"/>
  <c r="M688" i="523"/>
  <c r="L45" i="520"/>
  <c r="L145" i="518"/>
  <c r="K489" i="521"/>
  <c r="M111" i="520"/>
  <c r="K103" i="523"/>
  <c r="M253" i="523"/>
  <c r="M841" i="523"/>
  <c r="J747" i="523"/>
  <c r="K194" i="519"/>
  <c r="I45" i="519"/>
  <c r="J82" i="520"/>
  <c r="K597" i="519"/>
  <c r="L287" i="517"/>
  <c r="M518" i="519"/>
  <c r="J97" i="523"/>
  <c r="M522" i="520"/>
  <c r="M274" i="518"/>
  <c r="L29" i="518"/>
  <c r="K378" i="523"/>
  <c r="K394" i="517"/>
  <c r="M133" i="521"/>
  <c r="J114" i="520"/>
  <c r="K298" i="519"/>
  <c r="I486" i="519"/>
  <c r="J258" i="517"/>
  <c r="L150" i="521"/>
  <c r="J623" i="518"/>
  <c r="J131" i="523"/>
  <c r="I370" i="517"/>
  <c r="M61" i="523"/>
  <c r="J160" i="523"/>
  <c r="L513" i="521"/>
  <c r="E6" i="523"/>
  <c r="M106" i="523"/>
  <c r="J668" i="517"/>
  <c r="I448" i="520"/>
  <c r="J189" i="517"/>
  <c r="C269" i="247"/>
  <c r="H25" i="520"/>
  <c r="I450" i="518"/>
  <c r="K253" i="519"/>
  <c r="K560" i="521"/>
  <c r="L719" i="523"/>
  <c r="I666" i="518"/>
  <c r="L569" i="517"/>
  <c r="M310" i="517"/>
  <c r="I223" i="520"/>
  <c r="L112" i="520"/>
  <c r="J130" i="523"/>
  <c r="H26" i="518"/>
  <c r="A12" i="523"/>
  <c r="I362" i="518"/>
  <c r="L404" i="521"/>
  <c r="J468" i="518"/>
  <c r="J798" i="523"/>
  <c r="L550" i="523"/>
  <c r="I660" i="518"/>
  <c r="M320" i="520"/>
  <c r="I764" i="523"/>
  <c r="L435" i="518"/>
  <c r="I685" i="518"/>
  <c r="J581" i="517"/>
  <c r="L266" i="520"/>
  <c r="J229" i="518"/>
  <c r="K622" i="523"/>
  <c r="L384" i="519"/>
  <c r="L273" i="523"/>
  <c r="M274" i="523"/>
  <c r="L174" i="518"/>
  <c r="G25" i="519"/>
  <c r="J577" i="521"/>
  <c r="K535" i="517"/>
  <c r="J402" i="518"/>
  <c r="I518" i="523"/>
  <c r="K543" i="520"/>
  <c r="M523" i="521"/>
  <c r="J449" i="520"/>
  <c r="M608" i="523"/>
  <c r="K479" i="523"/>
  <c r="I30" i="523"/>
  <c r="J446" i="521"/>
  <c r="K296" i="520"/>
  <c r="K366" i="517"/>
  <c r="M424" i="521"/>
  <c r="L648" i="519"/>
  <c r="I606" i="523"/>
  <c r="K574" i="523"/>
  <c r="L129" i="517"/>
  <c r="I172" i="517"/>
  <c r="M69" i="521"/>
  <c r="J127" i="523"/>
  <c r="I25" i="521"/>
  <c r="L455" i="521"/>
  <c r="K687" i="523"/>
  <c r="I431" i="518"/>
  <c r="I590" i="521"/>
  <c r="J273" i="519"/>
  <c r="L334" i="521"/>
  <c r="C411" i="247"/>
  <c r="I32" i="523"/>
  <c r="I18" i="520"/>
  <c r="M478" i="521"/>
  <c r="L372" i="518"/>
  <c r="L488" i="517"/>
  <c r="G27" i="519"/>
  <c r="M429" i="520"/>
  <c r="K301" i="519"/>
  <c r="K196" i="520"/>
  <c r="K58" i="521"/>
  <c r="M621" i="517"/>
  <c r="L659" i="521"/>
  <c r="I69" i="519"/>
  <c r="K28" i="521"/>
  <c r="K597" i="523"/>
  <c r="J523" i="518"/>
  <c r="K280" i="517"/>
  <c r="I553" i="519"/>
  <c r="L301" i="523"/>
  <c r="M316" i="521"/>
  <c r="K439" i="517"/>
  <c r="L224" i="520"/>
  <c r="K262" i="519"/>
  <c r="L287" i="523"/>
  <c r="L366" i="523"/>
  <c r="K578" i="518"/>
  <c r="K583" i="520"/>
  <c r="J472" i="517"/>
  <c r="J45" i="517"/>
  <c r="L355" i="517"/>
  <c r="I185" i="519"/>
  <c r="K427" i="517"/>
  <c r="K432" i="518"/>
  <c r="J24" i="520"/>
  <c r="M268" i="518"/>
  <c r="M146" i="523"/>
  <c r="L20" i="521"/>
  <c r="I649" i="521"/>
  <c r="I105" i="521"/>
  <c r="L260" i="523"/>
  <c r="M290" i="519"/>
  <c r="I337" i="521"/>
  <c r="M419" i="517"/>
  <c r="I606" i="519"/>
  <c r="J652" i="521"/>
  <c r="J426" i="521"/>
  <c r="C293" i="247"/>
  <c r="J489" i="520"/>
  <c r="I416" i="523"/>
  <c r="I301" i="518"/>
  <c r="L499" i="517"/>
  <c r="J395" i="517"/>
  <c r="K357" i="519"/>
  <c r="J626" i="520"/>
  <c r="L201" i="518"/>
  <c r="J479" i="521"/>
  <c r="I515" i="523"/>
  <c r="I44" i="523"/>
  <c r="L299" i="523"/>
  <c r="K103" i="520"/>
  <c r="M632" i="521"/>
  <c r="I304" i="518"/>
  <c r="C3" i="517"/>
  <c r="L329" i="518"/>
  <c r="I484" i="519"/>
  <c r="L170" i="521"/>
  <c r="M62" i="518"/>
  <c r="K393" i="518"/>
  <c r="K289" i="518"/>
  <c r="I340" i="519"/>
  <c r="A7" i="519"/>
  <c r="D522" i="247"/>
  <c r="I246" i="521"/>
  <c r="J557" i="519"/>
  <c r="J133" i="519"/>
  <c r="K204" i="520"/>
  <c r="K443" i="518"/>
  <c r="C310" i="247"/>
  <c r="M256" i="518"/>
  <c r="M11" i="523"/>
  <c r="I787" i="523"/>
  <c r="L54" i="520"/>
  <c r="L644" i="521"/>
  <c r="L26" i="519"/>
  <c r="I664" i="523"/>
  <c r="K580" i="521"/>
  <c r="J616" i="518"/>
  <c r="I275" i="519"/>
  <c r="L23" i="519"/>
  <c r="I360" i="519"/>
  <c r="M95" i="518"/>
  <c r="L575" i="520"/>
  <c r="I594" i="517"/>
  <c r="L508" i="519"/>
  <c r="I45" i="520"/>
  <c r="I614" i="517"/>
  <c r="M571" i="520"/>
  <c r="I393" i="518"/>
  <c r="K184" i="517"/>
  <c r="K264" i="523"/>
  <c r="M651" i="523"/>
  <c r="I643" i="520"/>
  <c r="M589" i="520"/>
  <c r="M47" i="523"/>
  <c r="K182" i="521"/>
  <c r="I225" i="517"/>
  <c r="B12" i="482"/>
  <c r="K52" i="523"/>
  <c r="J189" i="521"/>
  <c r="M499" i="523"/>
  <c r="L685" i="517"/>
  <c r="I429" i="523"/>
  <c r="L294" i="518"/>
  <c r="I79" i="521"/>
  <c r="I278" i="520"/>
  <c r="I86" i="518"/>
  <c r="K593" i="519"/>
  <c r="K533" i="518"/>
  <c r="L507" i="518"/>
  <c r="M532" i="519"/>
  <c r="K10" i="519"/>
  <c r="K121" i="521"/>
  <c r="D571" i="247"/>
  <c r="I653" i="519"/>
  <c r="I690" i="519"/>
  <c r="K179" i="523"/>
  <c r="J346" i="521"/>
  <c r="K130" i="519"/>
  <c r="K251" i="521"/>
  <c r="M61" i="519"/>
  <c r="K473" i="520"/>
  <c r="M55" i="523"/>
  <c r="L169" i="518"/>
  <c r="M630" i="521"/>
  <c r="K457" i="519"/>
  <c r="I403" i="521"/>
  <c r="A40" i="521"/>
  <c r="J153" i="518"/>
  <c r="J199" i="519"/>
  <c r="J553" i="517"/>
  <c r="K545" i="517"/>
  <c r="K223" i="521"/>
  <c r="I230" i="518"/>
  <c r="M586" i="519"/>
  <c r="K15" i="518"/>
  <c r="M102" i="518"/>
  <c r="I134" i="520"/>
  <c r="J516" i="518"/>
  <c r="M45" i="521"/>
  <c r="M255" i="517"/>
  <c r="K13" i="521"/>
  <c r="K122" i="518"/>
  <c r="L130" i="518"/>
  <c r="I716" i="523"/>
  <c r="M258" i="520"/>
  <c r="J412" i="519"/>
  <c r="L232" i="519"/>
  <c r="L222" i="519"/>
  <c r="I292" i="523"/>
  <c r="K95" i="518"/>
  <c r="L605" i="520"/>
  <c r="L255" i="521"/>
  <c r="G24" i="520"/>
  <c r="J643" i="520"/>
  <c r="M194" i="520"/>
  <c r="M144" i="521"/>
  <c r="L174" i="521"/>
  <c r="K594" i="517"/>
  <c r="D238" i="247"/>
  <c r="L570" i="519"/>
  <c r="D590" i="247"/>
  <c r="I347" i="521"/>
  <c r="I296" i="517"/>
  <c r="I66" i="523"/>
  <c r="M243" i="520"/>
  <c r="L584" i="521"/>
  <c r="D572" i="247"/>
  <c r="L563" i="521"/>
  <c r="K617" i="519"/>
  <c r="L675" i="518"/>
  <c r="I690" i="520"/>
  <c r="K454" i="519"/>
  <c r="K161" i="521"/>
  <c r="L50" i="521"/>
  <c r="J220" i="521"/>
  <c r="K179" i="520"/>
  <c r="K449" i="517"/>
  <c r="L520" i="521"/>
  <c r="I403" i="520"/>
  <c r="J301" i="520"/>
  <c r="I173" i="517"/>
  <c r="K163" i="520"/>
  <c r="K416" i="523"/>
  <c r="A21" i="520"/>
  <c r="K187" i="517"/>
  <c r="J32" i="519"/>
  <c r="I405" i="519"/>
  <c r="M111" i="521"/>
  <c r="I394" i="518"/>
  <c r="L468" i="520"/>
  <c r="K561" i="523"/>
  <c r="K474" i="519"/>
  <c r="M6" i="519"/>
  <c r="K100" i="519"/>
  <c r="L626" i="520"/>
  <c r="K639" i="523"/>
  <c r="I567" i="519"/>
  <c r="M252" i="518"/>
  <c r="I423" i="521"/>
  <c r="M391" i="523"/>
  <c r="K86" i="520"/>
  <c r="M477" i="520"/>
  <c r="L393" i="519"/>
  <c r="K53" i="523"/>
  <c r="C8" i="517"/>
  <c r="K665" i="521"/>
  <c r="I555" i="520"/>
  <c r="K197" i="518"/>
  <c r="L595" i="520"/>
  <c r="I583" i="517"/>
  <c r="K272" i="518"/>
  <c r="J490" i="523"/>
  <c r="K338" i="520"/>
  <c r="L30" i="521"/>
  <c r="K560" i="523"/>
  <c r="M367" i="523"/>
  <c r="J349" i="519"/>
  <c r="L581" i="517"/>
  <c r="L194" i="519"/>
  <c r="D273" i="247"/>
  <c r="L226" i="523"/>
  <c r="I363" i="519"/>
  <c r="M167" i="523"/>
  <c r="M189" i="518"/>
  <c r="K629" i="523"/>
  <c r="K618" i="518"/>
  <c r="J221" i="517"/>
  <c r="L562" i="517"/>
  <c r="L54" i="523"/>
  <c r="K362" i="519"/>
  <c r="K685" i="519"/>
  <c r="M106" i="520"/>
  <c r="J563" i="517"/>
  <c r="K653" i="519"/>
  <c r="K18" i="517"/>
  <c r="I133" i="518"/>
  <c r="L681" i="523"/>
  <c r="M503" i="520"/>
  <c r="A17" i="519"/>
  <c r="M95" i="517"/>
  <c r="J83" i="520"/>
  <c r="J243" i="521"/>
  <c r="L683" i="517"/>
  <c r="M145" i="517"/>
  <c r="J438" i="517"/>
  <c r="I31" i="517"/>
  <c r="L375" i="517"/>
  <c r="J424" i="520"/>
  <c r="J19" i="518"/>
  <c r="I485" i="520"/>
  <c r="M647" i="520"/>
  <c r="J15" i="518"/>
  <c r="L166" i="517"/>
  <c r="I597" i="519"/>
  <c r="J63" i="521"/>
  <c r="K596" i="519"/>
  <c r="J468" i="521"/>
  <c r="L532" i="519"/>
  <c r="K159" i="520"/>
  <c r="J173" i="517"/>
  <c r="K142" i="520"/>
  <c r="C26" i="517"/>
  <c r="M219" i="519"/>
  <c r="L500" i="519"/>
  <c r="J407" i="519"/>
  <c r="K74" i="523"/>
  <c r="K470" i="518"/>
  <c r="I157" i="523"/>
  <c r="H9" i="523"/>
  <c r="L483" i="523"/>
  <c r="C11" i="519"/>
  <c r="L259" i="517"/>
  <c r="L321" i="521"/>
  <c r="M454" i="521"/>
  <c r="M658" i="523"/>
  <c r="I64" i="519"/>
  <c r="K280" i="519"/>
  <c r="C39" i="519"/>
  <c r="M258" i="521"/>
  <c r="J204" i="519"/>
  <c r="L512" i="518"/>
  <c r="M267" i="519"/>
  <c r="K482" i="523"/>
  <c r="I206" i="523"/>
  <c r="K486" i="517"/>
  <c r="G7" i="520"/>
  <c r="L586" i="518"/>
  <c r="M586" i="523"/>
  <c r="K226" i="518"/>
  <c r="I82" i="518"/>
  <c r="P18" i="3"/>
  <c r="L159" i="517"/>
  <c r="M401" i="523"/>
  <c r="I462" i="521"/>
  <c r="I29" i="519"/>
  <c r="L392" i="521"/>
  <c r="L284" i="521"/>
  <c r="L344" i="519"/>
  <c r="J77" i="520"/>
  <c r="K254" i="517"/>
  <c r="L154" i="520"/>
  <c r="J616" i="523"/>
  <c r="K156" i="517"/>
  <c r="M202" i="521"/>
  <c r="M604" i="521"/>
  <c r="J529" i="520"/>
  <c r="L647" i="519"/>
  <c r="J592" i="523"/>
  <c r="M134" i="520"/>
  <c r="M226" i="520"/>
  <c r="M290" i="521"/>
  <c r="K248" i="521"/>
  <c r="I277" i="519"/>
  <c r="K658" i="517"/>
  <c r="K321" i="523"/>
  <c r="M101" i="517"/>
  <c r="I573" i="523"/>
  <c r="M646" i="520"/>
  <c r="K430" i="523"/>
  <c r="I482" i="518"/>
  <c r="I361" i="520"/>
  <c r="M680" i="519"/>
  <c r="K566" i="520"/>
  <c r="M162" i="521"/>
  <c r="M553" i="517"/>
  <c r="K630" i="523"/>
  <c r="I491" i="518"/>
  <c r="L554" i="518"/>
  <c r="M560" i="520"/>
  <c r="K613" i="519"/>
  <c r="J749" i="523"/>
  <c r="L321" i="517"/>
  <c r="J131" i="519"/>
  <c r="I547" i="518"/>
  <c r="K216" i="520"/>
  <c r="M398" i="520"/>
  <c r="I345" i="520"/>
  <c r="L613" i="519"/>
  <c r="M226" i="521"/>
  <c r="I585" i="523"/>
  <c r="J21" i="517"/>
  <c r="J463" i="519"/>
  <c r="L438" i="523"/>
  <c r="M3" i="523"/>
  <c r="L182" i="518"/>
  <c r="I113" i="517"/>
  <c r="J485" i="518"/>
  <c r="L662" i="518"/>
  <c r="J422" i="518"/>
  <c r="I433" i="518"/>
  <c r="C27" i="520"/>
  <c r="M100" i="517"/>
  <c r="E6" i="517"/>
  <c r="K486" i="523"/>
  <c r="K533" i="523"/>
  <c r="L37" i="519"/>
  <c r="I125" i="520"/>
  <c r="K367" i="523"/>
  <c r="Q35" i="3"/>
  <c r="I231" i="520"/>
  <c r="K295" i="520"/>
  <c r="M148" i="519"/>
  <c r="D101" i="247"/>
  <c r="L389" i="517"/>
  <c r="I266" i="517"/>
  <c r="K280" i="523"/>
  <c r="K116" i="518"/>
  <c r="K232" i="523"/>
  <c r="I92" i="523"/>
  <c r="L57" i="521"/>
  <c r="I197" i="517"/>
  <c r="L165" i="523"/>
  <c r="L687" i="520"/>
  <c r="L138" i="519"/>
  <c r="I96" i="517"/>
  <c r="M78" i="517"/>
  <c r="H24" i="523"/>
  <c r="K624" i="523"/>
  <c r="C43" i="247"/>
  <c r="L233" i="517"/>
  <c r="M147" i="519"/>
  <c r="L107" i="518"/>
  <c r="I184" i="521"/>
  <c r="I271" i="519"/>
  <c r="J126" i="517"/>
  <c r="I250" i="523"/>
  <c r="K277" i="519"/>
  <c r="M557" i="523"/>
  <c r="M610" i="520"/>
  <c r="K645" i="517"/>
  <c r="L360" i="518"/>
  <c r="J2" i="521"/>
  <c r="L267" i="523"/>
  <c r="M234" i="517"/>
  <c r="B26" i="482"/>
  <c r="M141" i="519"/>
  <c r="M552" i="518"/>
  <c r="J235" i="520"/>
  <c r="D200" i="247"/>
  <c r="M219" i="518"/>
  <c r="K267" i="517"/>
  <c r="K665" i="520"/>
  <c r="M535" i="520"/>
  <c r="I760" i="523"/>
  <c r="I349" i="518"/>
  <c r="K663" i="518"/>
  <c r="L811" i="523"/>
  <c r="J795" i="523"/>
  <c r="K178" i="519"/>
  <c r="M136" i="523"/>
  <c r="M303" i="518"/>
  <c r="L636" i="523"/>
  <c r="I789" i="523"/>
  <c r="I120" i="521"/>
  <c r="J643" i="521"/>
  <c r="J541" i="520"/>
  <c r="M616" i="520"/>
  <c r="D408" i="247"/>
  <c r="M353" i="518"/>
  <c r="I616" i="517"/>
  <c r="K38" i="521"/>
  <c r="I566" i="519"/>
  <c r="J142" i="519"/>
  <c r="L428" i="517"/>
  <c r="J460" i="523"/>
  <c r="J674" i="519"/>
  <c r="J622" i="523"/>
  <c r="I426" i="517"/>
  <c r="M543" i="520"/>
  <c r="M483" i="520"/>
  <c r="M34" i="521"/>
  <c r="I44" i="520"/>
  <c r="D321" i="247"/>
  <c r="K641" i="519"/>
  <c r="K465" i="517"/>
  <c r="J434" i="519"/>
  <c r="J357" i="519"/>
  <c r="M628" i="523"/>
  <c r="J356" i="523"/>
  <c r="M124" i="517"/>
  <c r="L418" i="518"/>
  <c r="J250" i="519"/>
  <c r="J353" i="517"/>
  <c r="I286" i="517"/>
  <c r="K305" i="521"/>
  <c r="K608" i="523"/>
  <c r="M519" i="523"/>
  <c r="M503" i="519"/>
  <c r="I53" i="517"/>
  <c r="L782" i="523"/>
  <c r="I768" i="523"/>
  <c r="M516" i="517"/>
  <c r="L568" i="523"/>
  <c r="M626" i="520"/>
  <c r="L407" i="520"/>
  <c r="I624" i="518"/>
  <c r="M735" i="523"/>
  <c r="I324" i="523"/>
  <c r="L202" i="521"/>
  <c r="I577" i="517"/>
  <c r="M608" i="520"/>
  <c r="K99" i="523"/>
  <c r="J562" i="517"/>
  <c r="J240" i="517"/>
  <c r="I619" i="519"/>
  <c r="K612" i="519"/>
  <c r="M469" i="519"/>
  <c r="K661" i="518"/>
  <c r="K620" i="521"/>
  <c r="L635" i="521"/>
  <c r="I447" i="518"/>
  <c r="M70" i="523"/>
  <c r="M190" i="519"/>
  <c r="D158" i="247"/>
  <c r="L125" i="523"/>
  <c r="M319" i="519"/>
  <c r="K107" i="517"/>
  <c r="K34" i="521"/>
  <c r="K219" i="521"/>
  <c r="J606" i="520"/>
  <c r="L227" i="520"/>
  <c r="M410" i="519"/>
  <c r="L231" i="519"/>
  <c r="L495" i="518"/>
  <c r="M472" i="521"/>
  <c r="L626" i="521"/>
  <c r="L191" i="520"/>
  <c r="J216" i="518"/>
  <c r="J19" i="517"/>
  <c r="K341" i="518"/>
  <c r="M9" i="519"/>
  <c r="I193" i="523"/>
  <c r="M419" i="523"/>
  <c r="J605" i="519"/>
  <c r="J678" i="518"/>
  <c r="L544" i="521"/>
  <c r="G28" i="521"/>
  <c r="J612" i="519"/>
  <c r="M30" i="519"/>
  <c r="I469" i="519"/>
  <c r="K394" i="521"/>
  <c r="M555" i="518"/>
  <c r="M610" i="519"/>
  <c r="J123" i="521"/>
  <c r="I102" i="520"/>
  <c r="M115" i="519"/>
  <c r="J380" i="517"/>
  <c r="K64" i="520"/>
  <c r="J245" i="517"/>
  <c r="I352" i="518"/>
  <c r="M688" i="518"/>
  <c r="D257" i="247"/>
  <c r="L283" i="517"/>
  <c r="J205" i="523"/>
  <c r="K349" i="523"/>
  <c r="K48" i="523"/>
  <c r="K436" i="517"/>
  <c r="K59" i="521"/>
  <c r="J151" i="520"/>
  <c r="I596" i="518"/>
  <c r="M224" i="523"/>
  <c r="J170" i="517"/>
  <c r="M97" i="518"/>
  <c r="K418" i="521"/>
  <c r="J104" i="521"/>
  <c r="M105" i="517"/>
  <c r="K587" i="519"/>
  <c r="D61" i="247"/>
  <c r="H21" i="520"/>
  <c r="L190" i="518"/>
  <c r="I95" i="521"/>
  <c r="M223" i="519"/>
  <c r="M71" i="521"/>
  <c r="M108" i="520"/>
  <c r="I156" i="519"/>
  <c r="M206" i="519"/>
  <c r="M440" i="518"/>
  <c r="I713" i="523"/>
  <c r="L99" i="521"/>
  <c r="J660" i="521"/>
  <c r="I430" i="517"/>
  <c r="K475" i="518"/>
  <c r="K10" i="517"/>
  <c r="I110" i="521"/>
  <c r="M672" i="517"/>
  <c r="L139" i="518"/>
  <c r="J315" i="523"/>
  <c r="D318" i="247"/>
  <c r="K152" i="518"/>
  <c r="L203" i="517"/>
  <c r="M21" i="520"/>
  <c r="K357" i="520"/>
  <c r="J201" i="523"/>
  <c r="I500" i="521"/>
  <c r="K279" i="521"/>
  <c r="M283" i="523"/>
  <c r="I687" i="519"/>
  <c r="M388" i="521"/>
  <c r="J5" i="517"/>
  <c r="K829" i="523"/>
  <c r="A14" i="517"/>
  <c r="I621" i="520"/>
  <c r="I90" i="517"/>
  <c r="J162" i="520"/>
  <c r="L600" i="517"/>
  <c r="L356" i="518"/>
  <c r="M592" i="523"/>
  <c r="J82" i="519"/>
  <c r="P32" i="3"/>
  <c r="P3" i="3"/>
  <c r="L587" i="518"/>
  <c r="L624" i="517"/>
  <c r="L53" i="521"/>
  <c r="J767" i="523"/>
  <c r="L427" i="517"/>
  <c r="I302" i="523"/>
  <c r="K646" i="521"/>
  <c r="I419" i="519"/>
  <c r="L124" i="517"/>
  <c r="P19" i="3"/>
  <c r="J592" i="521"/>
  <c r="I515" i="521"/>
  <c r="I301" i="523"/>
  <c r="L374" i="520"/>
  <c r="M171" i="518"/>
  <c r="I97" i="521"/>
  <c r="M182" i="518"/>
  <c r="L298" i="521"/>
  <c r="M168" i="521"/>
  <c r="K279" i="517"/>
  <c r="L572" i="523"/>
  <c r="L426" i="518"/>
  <c r="J775" i="523"/>
  <c r="G10" i="518"/>
  <c r="J713" i="523"/>
  <c r="M534" i="523"/>
  <c r="M394" i="517"/>
  <c r="I54" i="518"/>
  <c r="L320" i="520"/>
  <c r="M452" i="520"/>
  <c r="D185" i="247"/>
  <c r="J96" i="519"/>
  <c r="K146" i="517"/>
  <c r="K677" i="517"/>
  <c r="I546" i="518"/>
  <c r="K182" i="518"/>
  <c r="L227" i="523"/>
  <c r="K259" i="519"/>
  <c r="I171" i="523"/>
  <c r="J427" i="518"/>
  <c r="L515" i="518"/>
  <c r="I645" i="518"/>
  <c r="J301" i="521"/>
  <c r="J536" i="519"/>
  <c r="K241" i="521"/>
  <c r="M500" i="518"/>
  <c r="I515" i="519"/>
  <c r="K590" i="519"/>
  <c r="L42" i="521"/>
  <c r="K438" i="519"/>
  <c r="M497" i="523"/>
  <c r="J55" i="519"/>
  <c r="F28" i="519"/>
  <c r="M289" i="518"/>
  <c r="J664" i="517"/>
  <c r="M316" i="523"/>
  <c r="J63" i="518"/>
  <c r="I320" i="517"/>
  <c r="I441" i="517"/>
  <c r="J129" i="521"/>
  <c r="J630" i="521"/>
  <c r="K308" i="520"/>
  <c r="H19" i="519"/>
  <c r="I418" i="519"/>
  <c r="K483" i="521"/>
  <c r="L41" i="520"/>
  <c r="I402" i="520"/>
  <c r="I380" i="519"/>
  <c r="L5" i="517"/>
  <c r="L2" i="517"/>
  <c r="H9" i="518"/>
  <c r="H21" i="523"/>
  <c r="M249" i="518"/>
  <c r="I539" i="523"/>
  <c r="K87" i="518"/>
  <c r="J411" i="520"/>
  <c r="L525" i="518"/>
  <c r="I97" i="517"/>
  <c r="I185" i="518"/>
  <c r="I437" i="519"/>
  <c r="M132" i="521"/>
  <c r="K117" i="518"/>
  <c r="I305" i="520"/>
  <c r="I643" i="518"/>
  <c r="K250" i="518"/>
  <c r="K783" i="523"/>
  <c r="K535" i="519"/>
  <c r="K67" i="523"/>
  <c r="M552" i="517"/>
  <c r="C271" i="247"/>
  <c r="J381" i="519"/>
  <c r="M674" i="517"/>
  <c r="L64" i="517"/>
  <c r="C32" i="521"/>
  <c r="M397" i="521"/>
  <c r="K169" i="521"/>
  <c r="I118" i="517"/>
  <c r="J724" i="523"/>
  <c r="J451" i="517"/>
  <c r="K26" i="519"/>
  <c r="M87" i="520"/>
  <c r="I240" i="519"/>
  <c r="M30" i="517"/>
  <c r="J609" i="523"/>
  <c r="I183" i="519"/>
  <c r="I432" i="519"/>
  <c r="L504" i="518"/>
  <c r="L421" i="520"/>
  <c r="K423" i="518"/>
  <c r="I676" i="519"/>
  <c r="L171" i="520"/>
  <c r="A14" i="520"/>
  <c r="L13" i="517"/>
  <c r="M679" i="517"/>
  <c r="J507" i="520"/>
  <c r="M150" i="518"/>
  <c r="M362" i="517"/>
  <c r="J65" i="521"/>
  <c r="L596" i="520"/>
  <c r="I718" i="523"/>
  <c r="J628" i="519"/>
  <c r="L277" i="517"/>
  <c r="K637" i="517"/>
  <c r="J166" i="518"/>
  <c r="K679" i="519"/>
  <c r="K22" i="521"/>
  <c r="K182" i="519"/>
  <c r="J264" i="523"/>
  <c r="K332" i="517"/>
  <c r="L448" i="521"/>
  <c r="M322" i="517"/>
  <c r="K667" i="520"/>
  <c r="F19" i="519"/>
  <c r="L482" i="517"/>
  <c r="L598" i="517"/>
  <c r="M506" i="518"/>
  <c r="J105" i="517"/>
  <c r="L216" i="523"/>
  <c r="M614" i="521"/>
  <c r="M484" i="519"/>
  <c r="M197" i="517"/>
  <c r="I621" i="517"/>
  <c r="J78" i="519"/>
  <c r="M401" i="521"/>
  <c r="L350" i="520"/>
  <c r="M467" i="517"/>
  <c r="J41" i="521"/>
  <c r="L95" i="521"/>
  <c r="J566" i="520"/>
  <c r="I177" i="517"/>
  <c r="L553" i="523"/>
  <c r="J207" i="519"/>
  <c r="L402" i="523"/>
  <c r="J294" i="518"/>
  <c r="L17" i="523"/>
  <c r="J354" i="518"/>
  <c r="L228" i="520"/>
  <c r="E8" i="518"/>
  <c r="J513" i="517"/>
  <c r="L6" i="519"/>
  <c r="J585" i="520"/>
  <c r="J566" i="517"/>
  <c r="L128" i="523"/>
  <c r="J566" i="523"/>
  <c r="I560" i="521"/>
  <c r="I455" i="520"/>
  <c r="J563" i="518"/>
  <c r="M346" i="519"/>
  <c r="J432" i="517"/>
  <c r="K22" i="520"/>
  <c r="L332" i="517"/>
  <c r="J528" i="521"/>
  <c r="I307" i="520"/>
  <c r="I126" i="520"/>
  <c r="M433" i="518"/>
  <c r="M310" i="523"/>
  <c r="K665" i="523"/>
  <c r="L325" i="521"/>
  <c r="L534" i="519"/>
  <c r="J34" i="519"/>
  <c r="K565" i="517"/>
  <c r="J10" i="523"/>
  <c r="G12" i="523"/>
  <c r="M32" i="519"/>
  <c r="K158" i="518"/>
  <c r="I545" i="517"/>
  <c r="K412" i="521"/>
  <c r="J91" i="520"/>
  <c r="M221" i="520"/>
  <c r="F8" i="517"/>
  <c r="I232" i="521"/>
  <c r="L253" i="519"/>
  <c r="I371" i="518"/>
  <c r="J242" i="523"/>
  <c r="M203" i="518"/>
  <c r="L134" i="517"/>
  <c r="K604" i="520"/>
  <c r="K680" i="521"/>
  <c r="L515" i="517"/>
  <c r="K619" i="521"/>
  <c r="K89" i="521"/>
  <c r="M358" i="520"/>
  <c r="K613" i="518"/>
  <c r="K443" i="523"/>
  <c r="M127" i="517"/>
  <c r="M201" i="518"/>
  <c r="M141" i="520"/>
  <c r="D70" i="247"/>
  <c r="J90" i="518"/>
  <c r="E6" i="519"/>
  <c r="K200" i="518"/>
  <c r="L177" i="519"/>
  <c r="I630" i="521"/>
  <c r="M636" i="517"/>
  <c r="I345" i="523"/>
  <c r="J436" i="518"/>
  <c r="M671" i="520"/>
  <c r="Q30" i="3"/>
  <c r="K390" i="519"/>
  <c r="E29" i="523"/>
  <c r="L440" i="517"/>
  <c r="J585" i="517"/>
  <c r="I351" i="523"/>
  <c r="I595" i="523"/>
  <c r="J218" i="518"/>
  <c r="M61" i="520"/>
  <c r="I194" i="517"/>
  <c r="L591" i="523"/>
  <c r="K462" i="520"/>
  <c r="J128" i="520"/>
  <c r="M371" i="521"/>
  <c r="J445" i="517"/>
  <c r="L175" i="523"/>
  <c r="M215" i="519"/>
  <c r="M617" i="519"/>
  <c r="K493" i="520"/>
  <c r="I731" i="523"/>
  <c r="C74" i="247"/>
  <c r="I245" i="520"/>
  <c r="L157" i="518"/>
  <c r="F2" i="523"/>
  <c r="K13" i="518"/>
  <c r="K278" i="521"/>
  <c r="M620" i="520"/>
  <c r="K512" i="523"/>
  <c r="J43" i="521"/>
  <c r="M536" i="517"/>
  <c r="M244" i="521"/>
  <c r="J267" i="519"/>
  <c r="J246" i="523"/>
  <c r="M107" i="521"/>
  <c r="J801" i="523"/>
  <c r="D424" i="247"/>
  <c r="J409" i="521"/>
  <c r="M401" i="520"/>
  <c r="J194" i="518"/>
  <c r="L252" i="523"/>
  <c r="M478" i="520"/>
  <c r="K7" i="520"/>
  <c r="K383" i="523"/>
  <c r="J255" i="518"/>
  <c r="J358" i="517"/>
  <c r="I273" i="517"/>
  <c r="L621" i="517"/>
  <c r="L11" i="519"/>
  <c r="I433" i="521"/>
  <c r="I376" i="521"/>
  <c r="K244" i="521"/>
  <c r="M535" i="519"/>
  <c r="J117" i="523"/>
  <c r="C42" i="517"/>
  <c r="K711" i="523"/>
  <c r="J488" i="523"/>
  <c r="J136" i="518"/>
  <c r="M35" i="518"/>
  <c r="J410" i="521"/>
  <c r="M621" i="520"/>
  <c r="K688" i="523"/>
  <c r="M686" i="517"/>
  <c r="M496" i="517"/>
  <c r="L289" i="518"/>
  <c r="I52" i="521"/>
  <c r="K576" i="519"/>
  <c r="K549" i="519"/>
  <c r="M314" i="518"/>
  <c r="M489" i="518"/>
  <c r="L558" i="523"/>
  <c r="J108" i="519"/>
  <c r="I217" i="520"/>
  <c r="L612" i="519"/>
  <c r="M342" i="517"/>
  <c r="L93" i="523"/>
  <c r="L120" i="521"/>
  <c r="L226" i="518"/>
  <c r="M178" i="517"/>
  <c r="K442" i="519"/>
  <c r="J671" i="523"/>
  <c r="I303" i="521"/>
  <c r="K142" i="518"/>
  <c r="I109" i="519"/>
  <c r="K100" i="520"/>
  <c r="M400" i="517"/>
  <c r="L596" i="519"/>
  <c r="L413" i="523"/>
  <c r="J87" i="518"/>
  <c r="M585" i="518"/>
  <c r="I253" i="517"/>
  <c r="K400" i="519"/>
  <c r="K685" i="517"/>
  <c r="I511" i="523"/>
  <c r="L581" i="520"/>
  <c r="C314" i="247"/>
  <c r="C301" i="247"/>
  <c r="K21" i="523"/>
  <c r="I271" i="521"/>
  <c r="L605" i="519"/>
  <c r="M160" i="523"/>
  <c r="M385" i="523"/>
  <c r="K61" i="518"/>
  <c r="L647" i="517"/>
  <c r="K378" i="518"/>
  <c r="J20" i="521"/>
  <c r="K259" i="517"/>
  <c r="M164" i="520"/>
  <c r="C476" i="247"/>
  <c r="M471" i="523"/>
  <c r="J257" i="517"/>
  <c r="K7" i="523"/>
  <c r="L234" i="518"/>
  <c r="D263" i="247"/>
  <c r="J616" i="521"/>
  <c r="L30" i="520"/>
  <c r="I302" i="518"/>
  <c r="K494" i="518"/>
  <c r="L411" i="517"/>
  <c r="M616" i="523"/>
  <c r="K584" i="521"/>
  <c r="M564" i="520"/>
  <c r="K666" i="517"/>
  <c r="K441" i="519"/>
  <c r="J13" i="523"/>
  <c r="J271" i="517"/>
  <c r="J226" i="521"/>
  <c r="K65" i="521"/>
  <c r="L156" i="521"/>
  <c r="K93" i="521"/>
  <c r="J73" i="519"/>
  <c r="M595" i="518"/>
  <c r="K380" i="519"/>
  <c r="M185" i="518"/>
  <c r="K157" i="521"/>
  <c r="C450" i="247"/>
  <c r="K459" i="523"/>
  <c r="J611" i="519"/>
  <c r="I689" i="520"/>
  <c r="I429" i="520"/>
  <c r="M463" i="517"/>
  <c r="J130" i="518"/>
  <c r="K487" i="519"/>
  <c r="L219" i="521"/>
  <c r="L484" i="519"/>
  <c r="J687" i="523"/>
  <c r="I33" i="518"/>
  <c r="M518" i="517"/>
  <c r="K33" i="521"/>
  <c r="I435" i="518"/>
  <c r="E12" i="521"/>
  <c r="M210" i="523"/>
  <c r="C123" i="247"/>
  <c r="C42" i="521"/>
  <c r="M361" i="521"/>
  <c r="L233" i="520"/>
  <c r="K354" i="518"/>
  <c r="J212" i="517"/>
  <c r="K302" i="523"/>
  <c r="I422" i="523"/>
  <c r="I519" i="520"/>
  <c r="K256" i="518"/>
  <c r="I417" i="521"/>
  <c r="I595" i="521"/>
  <c r="F12" i="518"/>
  <c r="K144" i="523"/>
  <c r="K329" i="521"/>
  <c r="L222" i="521"/>
  <c r="L218" i="523"/>
  <c r="J223" i="518"/>
  <c r="L503" i="520"/>
  <c r="K190" i="520"/>
  <c r="K77" i="518"/>
  <c r="L319" i="520"/>
  <c r="I513" i="519"/>
  <c r="L225" i="519"/>
  <c r="L561" i="523"/>
  <c r="K167" i="523"/>
  <c r="L375" i="521"/>
  <c r="L127" i="521"/>
  <c r="M266" i="518"/>
  <c r="J515" i="519"/>
  <c r="K363" i="519"/>
  <c r="I342" i="517"/>
  <c r="L87" i="517"/>
  <c r="C202" i="247"/>
  <c r="F6" i="520"/>
  <c r="I373" i="519"/>
  <c r="M687" i="517"/>
  <c r="I417" i="519"/>
  <c r="L77" i="523"/>
  <c r="M588" i="518"/>
  <c r="L591" i="518"/>
  <c r="J248" i="517"/>
  <c r="I48" i="521"/>
  <c r="M473" i="521"/>
  <c r="L66" i="517"/>
  <c r="L427" i="520"/>
  <c r="I491" i="520"/>
  <c r="L352" i="521"/>
  <c r="J408" i="521"/>
  <c r="J318" i="517"/>
  <c r="M507" i="519"/>
  <c r="M639" i="518"/>
  <c r="K203" i="518"/>
  <c r="K88" i="520"/>
  <c r="J293" i="517"/>
  <c r="M496" i="523"/>
  <c r="K358" i="519"/>
  <c r="L304" i="520"/>
  <c r="A15" i="521"/>
  <c r="M483" i="521"/>
  <c r="C9" i="507"/>
  <c r="J208" i="521"/>
  <c r="K386" i="521"/>
  <c r="M550" i="523"/>
  <c r="K674" i="518"/>
  <c r="L45" i="523"/>
  <c r="M350" i="518"/>
  <c r="J296" i="519"/>
  <c r="L35" i="518"/>
  <c r="I321" i="521"/>
  <c r="K837" i="523"/>
  <c r="I17" i="521"/>
  <c r="I610" i="519"/>
  <c r="L457" i="519"/>
  <c r="J390" i="517"/>
  <c r="L215" i="523"/>
  <c r="M346" i="521"/>
  <c r="I246" i="523"/>
  <c r="K561" i="518"/>
  <c r="L62" i="519"/>
  <c r="L83" i="521"/>
  <c r="L81" i="520"/>
  <c r="J620" i="520"/>
  <c r="K824" i="523"/>
  <c r="M504" i="521"/>
  <c r="J231" i="521"/>
  <c r="E12" i="519"/>
  <c r="I425" i="521"/>
  <c r="J648" i="521"/>
  <c r="M78" i="520"/>
  <c r="L585" i="521"/>
  <c r="M385" i="518"/>
  <c r="M624" i="519"/>
  <c r="J12" i="520"/>
  <c r="L451" i="519"/>
  <c r="M582" i="521"/>
  <c r="M754" i="523"/>
  <c r="I624" i="520"/>
  <c r="I73" i="519"/>
  <c r="G10" i="519"/>
  <c r="M123" i="518"/>
  <c r="I358" i="517"/>
  <c r="I164" i="523"/>
  <c r="I681" i="517"/>
  <c r="K288" i="521"/>
  <c r="L329" i="520"/>
  <c r="J610" i="523"/>
  <c r="K446" i="519"/>
  <c r="I91" i="519"/>
  <c r="J571" i="517"/>
  <c r="I118" i="521"/>
  <c r="I274" i="521"/>
  <c r="J269" i="518"/>
  <c r="L313" i="523"/>
  <c r="J431" i="519"/>
  <c r="C327" i="247"/>
  <c r="I331" i="519"/>
  <c r="L431" i="519"/>
  <c r="J544" i="517"/>
  <c r="M267" i="518"/>
  <c r="F11" i="518"/>
  <c r="J671" i="521"/>
  <c r="J565" i="518"/>
  <c r="L457" i="518"/>
  <c r="J71" i="521"/>
  <c r="L180" i="523"/>
  <c r="J382" i="519"/>
  <c r="L268" i="517"/>
  <c r="K88" i="519"/>
  <c r="L308" i="517"/>
  <c r="M596" i="518"/>
  <c r="I497" i="519"/>
  <c r="M640" i="521"/>
  <c r="M152" i="518"/>
  <c r="K336" i="517"/>
  <c r="L250" i="523"/>
  <c r="L16" i="519"/>
  <c r="I600" i="519"/>
  <c r="M159" i="521"/>
  <c r="J53" i="521"/>
  <c r="J604" i="520"/>
  <c r="K682" i="520"/>
  <c r="J80" i="520"/>
  <c r="D365" i="247"/>
  <c r="I325" i="519"/>
  <c r="K602" i="523"/>
  <c r="K212" i="521"/>
  <c r="I765" i="523"/>
  <c r="M570" i="518"/>
  <c r="I327" i="521"/>
  <c r="I638" i="520"/>
  <c r="J387" i="517"/>
  <c r="K330" i="521"/>
  <c r="M104" i="521"/>
  <c r="J400" i="519"/>
  <c r="K94" i="521"/>
  <c r="I225" i="523"/>
  <c r="M801" i="523"/>
  <c r="I356" i="518"/>
  <c r="L348" i="521"/>
  <c r="L513" i="520"/>
  <c r="I266" i="518"/>
  <c r="J456" i="519"/>
  <c r="I136" i="518"/>
  <c r="L537" i="517"/>
  <c r="L141" i="523"/>
  <c r="K166" i="520"/>
  <c r="J417" i="521"/>
  <c r="J14" i="520"/>
  <c r="J392" i="520"/>
  <c r="J451" i="518"/>
  <c r="L380" i="519"/>
  <c r="J657" i="520"/>
  <c r="L79" i="518"/>
  <c r="K594" i="519"/>
  <c r="I189" i="520"/>
  <c r="L285" i="519"/>
  <c r="J357" i="518"/>
  <c r="K545" i="523"/>
  <c r="K215" i="521"/>
  <c r="L393" i="520"/>
  <c r="A14" i="519"/>
  <c r="L632" i="521"/>
  <c r="I654" i="518"/>
  <c r="L781" i="523"/>
  <c r="M299" i="523"/>
  <c r="J653" i="520"/>
  <c r="J657" i="518"/>
  <c r="M412" i="519"/>
  <c r="M47" i="521"/>
  <c r="A17" i="521"/>
  <c r="M105" i="521"/>
  <c r="L333" i="523"/>
  <c r="M54" i="517"/>
  <c r="M638" i="518"/>
  <c r="I777" i="523"/>
  <c r="I746" i="523"/>
  <c r="I639" i="518"/>
  <c r="I695" i="521"/>
  <c r="L510" i="519"/>
  <c r="M430" i="518"/>
  <c r="I690" i="517"/>
  <c r="M411" i="521"/>
  <c r="M199" i="517"/>
  <c r="M732" i="523"/>
  <c r="M263" i="519"/>
  <c r="M80" i="518"/>
  <c r="I242" i="518"/>
  <c r="D354" i="247"/>
  <c r="M46" i="518"/>
  <c r="I665" i="518"/>
  <c r="M132" i="523"/>
  <c r="J513" i="523"/>
  <c r="M471" i="518"/>
  <c r="L798" i="523"/>
  <c r="L147" i="523"/>
  <c r="M643" i="518"/>
  <c r="L72" i="518"/>
  <c r="K413" i="520"/>
  <c r="M685" i="518"/>
  <c r="I11" i="518"/>
  <c r="L555" i="519"/>
  <c r="M716" i="523"/>
  <c r="M379" i="523"/>
  <c r="J140" i="523"/>
  <c r="I464" i="520"/>
  <c r="A13" i="520"/>
  <c r="M470" i="519"/>
  <c r="P30" i="3"/>
  <c r="L432" i="517"/>
  <c r="L464" i="519"/>
  <c r="J657" i="521"/>
  <c r="M630" i="519"/>
  <c r="J149" i="523"/>
  <c r="I684" i="523"/>
  <c r="M556" i="520"/>
  <c r="C108" i="247"/>
  <c r="M211" i="521"/>
  <c r="J278" i="521"/>
  <c r="L264" i="523"/>
  <c r="M210" i="517"/>
  <c r="J190" i="520"/>
  <c r="L489" i="517"/>
  <c r="I341" i="521"/>
  <c r="L307" i="519"/>
  <c r="K152" i="523"/>
  <c r="G22" i="523"/>
  <c r="J555" i="519"/>
  <c r="K563" i="523"/>
  <c r="M555" i="521"/>
  <c r="M539" i="520"/>
  <c r="I16" i="520"/>
  <c r="J673" i="517"/>
  <c r="K471" i="519"/>
  <c r="A29" i="520"/>
  <c r="J668" i="518"/>
  <c r="I231" i="519"/>
  <c r="M208" i="519"/>
  <c r="M547" i="520"/>
  <c r="L123" i="517"/>
  <c r="M396" i="519"/>
  <c r="M677" i="517"/>
  <c r="M354" i="517"/>
  <c r="I118" i="523"/>
  <c r="I433" i="520"/>
  <c r="M318" i="517"/>
  <c r="I279" i="517"/>
  <c r="I451" i="518"/>
  <c r="G9" i="521"/>
  <c r="M517" i="518"/>
  <c r="M282" i="518"/>
  <c r="K617" i="518"/>
  <c r="M461" i="521"/>
  <c r="C24" i="519"/>
  <c r="K287" i="517"/>
  <c r="M79" i="523"/>
  <c r="I166" i="519"/>
  <c r="F9" i="519"/>
  <c r="I673" i="518"/>
  <c r="K242" i="518"/>
  <c r="L419" i="517"/>
  <c r="J107" i="521"/>
  <c r="J203" i="523"/>
  <c r="I375" i="517"/>
  <c r="M27" i="519"/>
  <c r="L72" i="523"/>
  <c r="K131" i="523"/>
  <c r="K225" i="518"/>
  <c r="J126" i="520"/>
  <c r="L494" i="518"/>
  <c r="D176" i="247"/>
  <c r="M271" i="521"/>
  <c r="J306" i="517"/>
  <c r="M454" i="517"/>
  <c r="L837" i="523"/>
  <c r="I347" i="523"/>
  <c r="J633" i="520"/>
  <c r="L38" i="517"/>
  <c r="K62" i="519"/>
  <c r="K419" i="518"/>
  <c r="K133" i="520"/>
  <c r="J583" i="519"/>
  <c r="L763" i="523"/>
  <c r="J493" i="521"/>
  <c r="J630" i="523"/>
  <c r="M143" i="523"/>
  <c r="G19" i="517"/>
  <c r="L645" i="517"/>
  <c r="M441" i="521"/>
  <c r="J227" i="519"/>
  <c r="L302" i="520"/>
  <c r="L192" i="523"/>
  <c r="I443" i="521"/>
  <c r="L742" i="523"/>
  <c r="P12" i="3"/>
  <c r="J82" i="517"/>
  <c r="I650" i="517"/>
  <c r="I7" i="523"/>
  <c r="E29" i="521"/>
  <c r="M72" i="523"/>
  <c r="K173" i="518"/>
  <c r="L10" i="518"/>
  <c r="K132" i="523"/>
  <c r="J246" i="517"/>
  <c r="I300" i="520"/>
  <c r="K622" i="517"/>
  <c r="M391" i="521"/>
  <c r="J400" i="518"/>
  <c r="C539" i="247"/>
  <c r="M454" i="518"/>
  <c r="L87" i="521"/>
  <c r="J146" i="523"/>
  <c r="L100" i="518"/>
  <c r="K504" i="519"/>
  <c r="M198" i="521"/>
  <c r="K147" i="517"/>
  <c r="K518" i="517"/>
  <c r="E24" i="517"/>
  <c r="M405" i="521"/>
  <c r="K35" i="518"/>
  <c r="M249" i="521"/>
  <c r="L103" i="517"/>
  <c r="J227" i="517"/>
  <c r="J507" i="519"/>
  <c r="J539" i="523"/>
  <c r="L461" i="518"/>
  <c r="I636" i="519"/>
  <c r="I450" i="517"/>
  <c r="M282" i="520"/>
  <c r="K229" i="517"/>
  <c r="L454" i="521"/>
  <c r="I348" i="517"/>
  <c r="I35" i="518"/>
  <c r="D439" i="247"/>
  <c r="I374" i="519"/>
  <c r="K333" i="518"/>
  <c r="K338" i="517"/>
  <c r="G29" i="519"/>
  <c r="G8" i="518"/>
  <c r="J487" i="519"/>
  <c r="I381" i="518"/>
  <c r="L428" i="518"/>
  <c r="J149" i="521"/>
  <c r="K669" i="523"/>
  <c r="J397" i="521"/>
  <c r="I655" i="523"/>
  <c r="M627" i="520"/>
  <c r="J12" i="521"/>
  <c r="L342" i="520"/>
  <c r="D319" i="247"/>
  <c r="L204" i="521"/>
  <c r="L36" i="521"/>
  <c r="F6" i="523"/>
  <c r="M157" i="521"/>
  <c r="I85" i="517"/>
  <c r="K80" i="519"/>
  <c r="L193" i="518"/>
  <c r="L228" i="518"/>
  <c r="L99" i="518"/>
  <c r="K243" i="518"/>
  <c r="L118" i="523"/>
  <c r="K287" i="521"/>
  <c r="L653" i="520"/>
  <c r="C38" i="520"/>
  <c r="K113" i="517"/>
  <c r="L685" i="523"/>
  <c r="I802" i="523"/>
  <c r="J582" i="520"/>
  <c r="L270" i="519"/>
  <c r="H12" i="521"/>
  <c r="K530" i="521"/>
  <c r="J162" i="523"/>
  <c r="I540" i="523"/>
  <c r="C3" i="521"/>
  <c r="I496" i="521"/>
  <c r="J343" i="518"/>
  <c r="J595" i="518"/>
  <c r="I565" i="517"/>
  <c r="L427" i="523"/>
  <c r="J187" i="523"/>
  <c r="K430" i="521"/>
  <c r="L652" i="521"/>
  <c r="L281" i="519"/>
  <c r="A33" i="519"/>
  <c r="I357" i="518"/>
  <c r="K504" i="518"/>
  <c r="I492" i="517"/>
  <c r="L754" i="523"/>
  <c r="L78" i="521"/>
  <c r="K654" i="521"/>
  <c r="M101" i="523"/>
  <c r="K402" i="521"/>
  <c r="D202" i="247"/>
  <c r="M113" i="518"/>
  <c r="K735" i="523"/>
  <c r="J516" i="523"/>
  <c r="J198" i="523"/>
  <c r="J670" i="517"/>
  <c r="M21" i="518"/>
  <c r="K65" i="523"/>
  <c r="I333" i="520"/>
  <c r="M28" i="520"/>
  <c r="J649" i="518"/>
  <c r="I556" i="519"/>
  <c r="K576" i="523"/>
  <c r="I344" i="518"/>
  <c r="J415" i="519"/>
  <c r="J190" i="523"/>
  <c r="I197" i="520"/>
  <c r="J77" i="518"/>
  <c r="I280" i="521"/>
  <c r="C493" i="247"/>
  <c r="L557" i="519"/>
  <c r="I529" i="517"/>
  <c r="M196" i="520"/>
  <c r="L229" i="517"/>
  <c r="L306" i="521"/>
  <c r="L330" i="520"/>
  <c r="I415" i="519"/>
  <c r="J547" i="518"/>
  <c r="J363" i="523"/>
  <c r="D60" i="247"/>
  <c r="I526" i="521"/>
  <c r="L377" i="521"/>
  <c r="F19" i="518"/>
  <c r="J473" i="517"/>
  <c r="C158" i="247"/>
  <c r="L515" i="523"/>
  <c r="M667" i="518"/>
  <c r="L533" i="520"/>
  <c r="L100" i="519"/>
  <c r="M689" i="518"/>
  <c r="I320" i="519"/>
  <c r="L270" i="517"/>
  <c r="L407" i="523"/>
  <c r="M582" i="517"/>
  <c r="K32" i="521"/>
  <c r="K565" i="519"/>
  <c r="I533" i="518"/>
  <c r="L210" i="518"/>
  <c r="I676" i="523"/>
  <c r="I22" i="521"/>
  <c r="I167" i="520"/>
  <c r="K165" i="519"/>
  <c r="M633" i="521"/>
  <c r="D187" i="247"/>
  <c r="J53" i="520"/>
  <c r="M43" i="517"/>
  <c r="M315" i="520"/>
  <c r="J314" i="517"/>
  <c r="L413" i="517"/>
  <c r="M239" i="521"/>
  <c r="I375" i="520"/>
  <c r="K116" i="523"/>
  <c r="L696" i="523"/>
  <c r="C312" i="247"/>
  <c r="K668" i="517"/>
  <c r="I280" i="523"/>
  <c r="L508" i="518"/>
  <c r="H10" i="523"/>
  <c r="J22" i="518"/>
  <c r="M247" i="521"/>
  <c r="A27" i="517"/>
  <c r="J322" i="518"/>
  <c r="J237" i="520"/>
  <c r="I665" i="523"/>
  <c r="J269" i="519"/>
  <c r="L448" i="520"/>
  <c r="L23" i="521"/>
  <c r="K827" i="523"/>
  <c r="L243" i="521"/>
  <c r="L251" i="519"/>
  <c r="M462" i="523"/>
  <c r="J510" i="518"/>
  <c r="J89" i="521"/>
  <c r="L646" i="521"/>
  <c r="M592" i="521"/>
  <c r="K481" i="517"/>
  <c r="K451" i="517"/>
  <c r="L302" i="518"/>
  <c r="K123" i="520"/>
  <c r="M398" i="523"/>
  <c r="K217" i="517"/>
  <c r="I61" i="523"/>
  <c r="K43" i="518"/>
  <c r="K312" i="518"/>
  <c r="L29" i="520"/>
  <c r="I571" i="519"/>
  <c r="J480" i="519"/>
  <c r="I210" i="518"/>
  <c r="I668" i="523"/>
  <c r="K641" i="520"/>
  <c r="C358" i="247"/>
  <c r="K312" i="521"/>
  <c r="C40" i="521"/>
  <c r="K565" i="523"/>
  <c r="K211" i="518"/>
  <c r="K527" i="518"/>
  <c r="K468" i="520"/>
  <c r="M136" i="519"/>
  <c r="D226" i="247"/>
  <c r="J159" i="518"/>
  <c r="L263" i="518"/>
  <c r="K639" i="520"/>
  <c r="L491" i="517"/>
  <c r="I500" i="517"/>
  <c r="L609" i="520"/>
  <c r="I612" i="521"/>
  <c r="L373" i="520"/>
  <c r="K303" i="517"/>
  <c r="M10" i="521"/>
  <c r="I587" i="517"/>
  <c r="K566" i="523"/>
  <c r="M116" i="521"/>
  <c r="M374" i="523"/>
  <c r="I491" i="523"/>
  <c r="M307" i="519"/>
  <c r="J262" i="519"/>
  <c r="C440" i="247"/>
  <c r="I234" i="518"/>
  <c r="M394" i="520"/>
  <c r="M222" i="523"/>
  <c r="I611" i="523"/>
  <c r="D349" i="247"/>
  <c r="M662" i="521"/>
  <c r="L392" i="517"/>
  <c r="L308" i="518"/>
  <c r="J70" i="521"/>
  <c r="K470" i="519"/>
  <c r="M568" i="519"/>
  <c r="J688" i="517"/>
  <c r="L305" i="521"/>
  <c r="I344" i="519"/>
  <c r="J89" i="517"/>
  <c r="M534" i="520"/>
  <c r="L748" i="523"/>
  <c r="M394" i="519"/>
  <c r="M507" i="523"/>
  <c r="C351" i="247"/>
  <c r="J210" i="517"/>
  <c r="J335" i="523"/>
  <c r="K448" i="521"/>
  <c r="K165" i="521"/>
  <c r="J268" i="520"/>
  <c r="M266" i="519"/>
  <c r="L33" i="520"/>
  <c r="K299" i="520"/>
  <c r="J251" i="519"/>
  <c r="L805" i="523"/>
  <c r="K255" i="521"/>
  <c r="K840" i="523"/>
  <c r="L579" i="519"/>
  <c r="K160" i="520"/>
  <c r="I115" i="519"/>
  <c r="K593" i="520"/>
  <c r="J527" i="517"/>
  <c r="I550" i="517"/>
  <c r="I647" i="517"/>
  <c r="I9" i="519"/>
  <c r="M431" i="520"/>
  <c r="I533" i="520"/>
  <c r="M485" i="520"/>
  <c r="I555" i="521"/>
  <c r="I255" i="523"/>
  <c r="I180" i="520"/>
  <c r="M639" i="519"/>
  <c r="M305" i="520"/>
  <c r="J450" i="520"/>
  <c r="L575" i="521"/>
  <c r="J525" i="517"/>
  <c r="L63" i="517"/>
  <c r="J658" i="521"/>
  <c r="J428" i="521"/>
  <c r="K77" i="519"/>
  <c r="K242" i="519"/>
  <c r="L169" i="519"/>
  <c r="D159" i="247"/>
  <c r="I754" i="523"/>
  <c r="M531" i="518"/>
  <c r="A26" i="521"/>
  <c r="K293" i="518"/>
  <c r="M454" i="520"/>
  <c r="M622" i="517"/>
  <c r="J520" i="517"/>
  <c r="K150" i="520"/>
  <c r="K232" i="520"/>
  <c r="K369" i="521"/>
  <c r="L237" i="518"/>
  <c r="M679" i="521"/>
  <c r="L221" i="517"/>
  <c r="K258" i="521"/>
  <c r="M149" i="520"/>
  <c r="M190" i="523"/>
  <c r="J154" i="521"/>
  <c r="J170" i="520"/>
  <c r="M420" i="518"/>
  <c r="B14" i="482"/>
  <c r="M302" i="519"/>
  <c r="K233" i="518"/>
  <c r="J668" i="520"/>
  <c r="K80" i="518"/>
  <c r="L465" i="518"/>
  <c r="K699" i="523"/>
  <c r="J433" i="518"/>
  <c r="K570" i="523"/>
  <c r="L590" i="517"/>
  <c r="K648" i="518"/>
  <c r="L58" i="517"/>
  <c r="M112" i="521"/>
  <c r="C9" i="517"/>
  <c r="M164" i="518"/>
  <c r="E11" i="521"/>
  <c r="F8" i="521"/>
  <c r="M167" i="517"/>
  <c r="M336" i="518"/>
  <c r="C162" i="247"/>
  <c r="E8" i="523"/>
  <c r="C33" i="521"/>
  <c r="J245" i="519"/>
  <c r="K340" i="519"/>
  <c r="J50" i="518"/>
  <c r="M18" i="523"/>
  <c r="C133" i="247"/>
  <c r="G9" i="519"/>
  <c r="M97" i="520"/>
  <c r="L537" i="521"/>
  <c r="M301" i="519"/>
  <c r="J97" i="518"/>
  <c r="I219" i="523"/>
  <c r="K40" i="520"/>
  <c r="L447" i="521"/>
  <c r="M838" i="523"/>
  <c r="J236" i="520"/>
  <c r="M317" i="521"/>
  <c r="L232" i="520"/>
  <c r="J95" i="520"/>
  <c r="L11" i="520"/>
  <c r="M440" i="520"/>
  <c r="H12" i="518"/>
  <c r="K199" i="523"/>
  <c r="I557" i="517"/>
  <c r="J205" i="518"/>
  <c r="M122" i="521"/>
  <c r="J155" i="520"/>
  <c r="L10" i="517"/>
  <c r="K413" i="519"/>
  <c r="M223" i="518"/>
  <c r="I327" i="517"/>
  <c r="F4" i="519"/>
  <c r="I369" i="517"/>
  <c r="K683" i="519"/>
  <c r="M586" i="518"/>
  <c r="K644" i="521"/>
  <c r="C430" i="247"/>
  <c r="K785" i="523"/>
  <c r="M488" i="521"/>
  <c r="I453" i="523"/>
  <c r="I46" i="518"/>
  <c r="K346" i="517"/>
  <c r="K410" i="523"/>
  <c r="L102" i="518"/>
  <c r="C155" i="247"/>
  <c r="C2" i="520"/>
  <c r="J283" i="518"/>
  <c r="M554" i="518"/>
  <c r="K611" i="518"/>
  <c r="I172" i="518"/>
  <c r="L658" i="519"/>
  <c r="L151" i="518"/>
  <c r="I591" i="518"/>
  <c r="M154" i="523"/>
  <c r="L613" i="518"/>
  <c r="M484" i="521"/>
  <c r="I180" i="518"/>
  <c r="L532" i="521"/>
  <c r="I523" i="521"/>
  <c r="M46" i="519"/>
  <c r="L749" i="523"/>
  <c r="M8" i="517"/>
  <c r="C71" i="247"/>
  <c r="I289" i="520"/>
  <c r="L96" i="521"/>
  <c r="I306" i="518"/>
  <c r="M358" i="517"/>
  <c r="J258" i="521"/>
  <c r="K799" i="523"/>
  <c r="J27" i="517"/>
  <c r="M587" i="520"/>
  <c r="K238" i="517"/>
  <c r="L522" i="520"/>
  <c r="I240" i="520"/>
  <c r="M220" i="523"/>
  <c r="M86" i="517"/>
  <c r="J301" i="517"/>
  <c r="J435" i="517"/>
  <c r="I413" i="519"/>
  <c r="M553" i="523"/>
  <c r="L505" i="521"/>
  <c r="M240" i="517"/>
  <c r="M221" i="523"/>
  <c r="M482" i="520"/>
  <c r="J645" i="523"/>
  <c r="L650" i="518"/>
  <c r="M14" i="517"/>
  <c r="J804" i="523"/>
  <c r="M379" i="518"/>
  <c r="M514" i="518"/>
  <c r="L174" i="520"/>
  <c r="M290" i="523"/>
  <c r="J679" i="519"/>
  <c r="J652" i="518"/>
  <c r="L418" i="523"/>
  <c r="M565" i="517"/>
  <c r="F25" i="517"/>
  <c r="K140" i="518"/>
  <c r="I632" i="517"/>
  <c r="I621" i="519"/>
  <c r="L161" i="519"/>
  <c r="K124" i="521"/>
  <c r="M655" i="519"/>
  <c r="K468" i="523"/>
  <c r="J310" i="517"/>
  <c r="J817" i="523"/>
  <c r="J443" i="517"/>
  <c r="L463" i="520"/>
  <c r="K188" i="523"/>
  <c r="D140" i="247"/>
  <c r="K428" i="523"/>
  <c r="C553" i="247"/>
  <c r="I402" i="521"/>
  <c r="J17" i="517"/>
  <c r="L102" i="520"/>
  <c r="K388" i="521"/>
  <c r="M595" i="521"/>
  <c r="I556" i="520"/>
  <c r="I163" i="519"/>
  <c r="K555" i="523"/>
  <c r="I601" i="521"/>
  <c r="K214" i="517"/>
  <c r="I830" i="523"/>
  <c r="J394" i="519"/>
  <c r="I501" i="521"/>
  <c r="J283" i="521"/>
  <c r="I433" i="517"/>
  <c r="J226" i="518"/>
  <c r="K679" i="518"/>
  <c r="M430" i="520"/>
  <c r="J452" i="519"/>
  <c r="L269" i="518"/>
  <c r="C46" i="517"/>
  <c r="K620" i="517"/>
  <c r="M597" i="523"/>
  <c r="L633" i="518"/>
  <c r="K106" i="521"/>
  <c r="M659" i="519"/>
  <c r="D410" i="247"/>
  <c r="L604" i="519"/>
  <c r="M513" i="523"/>
  <c r="M366" i="521"/>
  <c r="M814" i="523"/>
  <c r="J189" i="523"/>
  <c r="L220" i="520"/>
  <c r="M103" i="519"/>
  <c r="I251" i="520"/>
  <c r="L217" i="519"/>
  <c r="K406" i="521"/>
  <c r="M312" i="523"/>
  <c r="I13" i="518"/>
  <c r="L539" i="519"/>
  <c r="M15" i="519"/>
  <c r="K464" i="518"/>
  <c r="K91" i="523"/>
  <c r="J134" i="521"/>
  <c r="M176" i="523"/>
  <c r="M612" i="519"/>
  <c r="I336" i="520"/>
  <c r="M186" i="521"/>
  <c r="J539" i="518"/>
  <c r="M687" i="521"/>
  <c r="M173" i="518"/>
  <c r="J44" i="518"/>
  <c r="K777" i="523"/>
  <c r="J445" i="521"/>
  <c r="K339" i="519"/>
  <c r="M195" i="519"/>
  <c r="I39" i="521"/>
  <c r="L689" i="519"/>
  <c r="J611" i="518"/>
  <c r="L288" i="517"/>
  <c r="K293" i="523"/>
  <c r="I583" i="518"/>
  <c r="L649" i="523"/>
  <c r="I516" i="521"/>
  <c r="I139" i="523"/>
  <c r="L260" i="519"/>
  <c r="I332" i="521"/>
  <c r="M541" i="523"/>
  <c r="I650" i="518"/>
  <c r="C282" i="247"/>
  <c r="J811" i="523"/>
  <c r="I200" i="520"/>
  <c r="J171" i="518"/>
  <c r="I616" i="518"/>
  <c r="L647" i="521"/>
  <c r="J599" i="520"/>
  <c r="L566" i="518"/>
  <c r="M610" i="521"/>
  <c r="L488" i="519"/>
  <c r="I837" i="523"/>
  <c r="K567" i="518"/>
  <c r="L624" i="519"/>
  <c r="I428" i="517"/>
  <c r="L60" i="519"/>
  <c r="I36" i="523"/>
  <c r="M122" i="517"/>
  <c r="I524" i="517"/>
  <c r="F4" i="521"/>
  <c r="P34" i="3"/>
  <c r="I186" i="518"/>
  <c r="K669" i="517"/>
  <c r="D237" i="247"/>
  <c r="J358" i="519"/>
  <c r="L342" i="517"/>
  <c r="L132" i="518"/>
  <c r="K681" i="521"/>
  <c r="M197" i="523"/>
  <c r="J440" i="518"/>
  <c r="I346" i="520"/>
  <c r="L227" i="519"/>
  <c r="M516" i="523"/>
  <c r="L437" i="523"/>
  <c r="I315" i="523"/>
  <c r="M47" i="520"/>
  <c r="I174" i="517"/>
  <c r="M508" i="519"/>
  <c r="L669" i="518"/>
  <c r="J500" i="521"/>
  <c r="K444" i="521"/>
  <c r="M283" i="521"/>
  <c r="L644" i="520"/>
  <c r="M467" i="518"/>
  <c r="M100" i="520"/>
  <c r="K616" i="517"/>
  <c r="I615" i="520"/>
  <c r="K54" i="520"/>
  <c r="I278" i="517"/>
  <c r="M536" i="519"/>
  <c r="L84" i="523"/>
  <c r="K401" i="518"/>
  <c r="M468" i="517"/>
  <c r="M668" i="518"/>
  <c r="L400" i="520"/>
  <c r="A36" i="517"/>
  <c r="C110" i="247"/>
  <c r="J308" i="521"/>
  <c r="K127" i="523"/>
  <c r="M242" i="519"/>
  <c r="J240" i="523"/>
  <c r="J583" i="523"/>
  <c r="J613" i="523"/>
  <c r="L52" i="520"/>
  <c r="M343" i="520"/>
  <c r="I406" i="520"/>
  <c r="M466" i="519"/>
  <c r="A38" i="521"/>
  <c r="K50" i="517"/>
  <c r="D451" i="247"/>
  <c r="J392" i="521"/>
  <c r="J441" i="517"/>
  <c r="I176" i="517"/>
  <c r="K271" i="523"/>
  <c r="M57" i="523"/>
  <c r="D411" i="247"/>
  <c r="G19" i="518"/>
  <c r="I108" i="521"/>
  <c r="J60" i="519"/>
  <c r="K310" i="519"/>
  <c r="M116" i="517"/>
  <c r="K677" i="518"/>
  <c r="I613" i="520"/>
  <c r="K191" i="518"/>
  <c r="I373" i="521"/>
  <c r="C541" i="247"/>
  <c r="L496" i="519"/>
  <c r="K17" i="520"/>
  <c r="J692" i="520"/>
  <c r="L670" i="519"/>
  <c r="J219" i="521"/>
  <c r="L546" i="518"/>
  <c r="L618" i="517"/>
  <c r="J520" i="519"/>
  <c r="I293" i="519"/>
  <c r="M514" i="519"/>
  <c r="J207" i="517"/>
  <c r="M338" i="518"/>
  <c r="K101" i="523"/>
  <c r="L397" i="523"/>
  <c r="I277" i="523"/>
  <c r="K189" i="521"/>
  <c r="M610" i="523"/>
  <c r="L445" i="523"/>
  <c r="L15" i="519"/>
  <c r="K149" i="518"/>
  <c r="K81" i="519"/>
  <c r="I800" i="523"/>
  <c r="J251" i="523"/>
  <c r="J419" i="517"/>
  <c r="A2" i="518"/>
  <c r="I560" i="523"/>
  <c r="L533" i="521"/>
  <c r="J711" i="523"/>
  <c r="L121" i="520"/>
  <c r="K72" i="518"/>
  <c r="J235" i="523"/>
  <c r="K343" i="518"/>
  <c r="E6" i="520"/>
  <c r="J670" i="523"/>
  <c r="K328" i="523"/>
  <c r="K324" i="523"/>
  <c r="L46" i="518"/>
  <c r="K36" i="523"/>
  <c r="K241" i="523"/>
  <c r="I418" i="517"/>
  <c r="J352" i="521"/>
  <c r="D119" i="247"/>
  <c r="I619" i="518"/>
  <c r="M188" i="517"/>
  <c r="K690" i="520"/>
  <c r="L631" i="517"/>
  <c r="K655" i="517"/>
  <c r="L404" i="519"/>
  <c r="M347" i="521"/>
  <c r="J408" i="520"/>
  <c r="J191" i="521"/>
  <c r="J612" i="523"/>
  <c r="L521" i="518"/>
  <c r="K350" i="517"/>
  <c r="J473" i="523"/>
  <c r="M505" i="523"/>
  <c r="I99" i="520"/>
  <c r="D34" i="247"/>
  <c r="L593" i="517"/>
  <c r="M198" i="520"/>
  <c r="L486" i="519"/>
  <c r="I670" i="519"/>
  <c r="L402" i="520"/>
  <c r="M405" i="518"/>
  <c r="J576" i="523"/>
  <c r="J680" i="523"/>
  <c r="K678" i="523"/>
  <c r="J812" i="523"/>
  <c r="J260" i="517"/>
  <c r="L153" i="523"/>
  <c r="J544" i="518"/>
  <c r="I141" i="518"/>
  <c r="M196" i="517"/>
  <c r="K79" i="520"/>
  <c r="M347" i="523"/>
  <c r="M386" i="517"/>
  <c r="I190" i="523"/>
  <c r="L344" i="523"/>
  <c r="M471" i="519"/>
  <c r="I405" i="523"/>
  <c r="J20" i="517"/>
  <c r="M363" i="517"/>
  <c r="M60" i="517"/>
  <c r="M249" i="523"/>
  <c r="I171" i="521"/>
  <c r="L572" i="520"/>
  <c r="M486" i="518"/>
  <c r="J558" i="517"/>
  <c r="I602" i="517"/>
  <c r="K128" i="518"/>
  <c r="J426" i="519"/>
  <c r="K321" i="520"/>
  <c r="K537" i="519"/>
  <c r="I353" i="520"/>
  <c r="M156" i="520"/>
  <c r="M464" i="521"/>
  <c r="L418" i="521"/>
  <c r="K161" i="517"/>
  <c r="K551" i="520"/>
  <c r="L470" i="520"/>
  <c r="L346" i="520"/>
  <c r="L114" i="519"/>
  <c r="K532" i="519"/>
  <c r="E3" i="517"/>
  <c r="K227" i="518"/>
  <c r="I629" i="518"/>
  <c r="K59" i="519"/>
  <c r="M591" i="523"/>
  <c r="M43" i="518"/>
  <c r="G26" i="523"/>
  <c r="M625" i="519"/>
  <c r="L512" i="519"/>
  <c r="K501" i="517"/>
  <c r="I158" i="518"/>
  <c r="J560" i="521"/>
  <c r="J154" i="523"/>
  <c r="M578" i="521"/>
  <c r="M360" i="517"/>
  <c r="M92" i="517"/>
  <c r="K21" i="518"/>
  <c r="C154" i="247"/>
  <c r="D468" i="247"/>
  <c r="J297" i="523"/>
  <c r="L401" i="520"/>
  <c r="M533" i="517"/>
  <c r="M192" i="517"/>
  <c r="J388" i="521"/>
  <c r="L43" i="523"/>
  <c r="K47" i="520"/>
  <c r="M554" i="517"/>
  <c r="M75" i="520"/>
  <c r="M258" i="518"/>
  <c r="J576" i="519"/>
  <c r="K628" i="519"/>
  <c r="I333" i="519"/>
  <c r="L423" i="517"/>
  <c r="I131" i="517"/>
  <c r="J654" i="521"/>
  <c r="J592" i="520"/>
  <c r="P20" i="3"/>
  <c r="M222" i="520"/>
  <c r="L101" i="523"/>
  <c r="K479" i="519"/>
  <c r="K653" i="518"/>
  <c r="L453" i="519"/>
  <c r="K115" i="519"/>
  <c r="L636" i="517"/>
  <c r="L577" i="520"/>
  <c r="J472" i="519"/>
  <c r="M540" i="519"/>
  <c r="J674" i="523"/>
  <c r="L115" i="519"/>
  <c r="M282" i="517"/>
  <c r="L597" i="521"/>
  <c r="M638" i="517"/>
  <c r="J16" i="523"/>
  <c r="L290" i="517"/>
  <c r="M618" i="518"/>
  <c r="M9" i="518"/>
  <c r="L213" i="517"/>
  <c r="J97" i="520"/>
  <c r="I277" i="517"/>
  <c r="I133" i="521"/>
  <c r="K432" i="523"/>
  <c r="J566" i="521"/>
  <c r="J293" i="521"/>
  <c r="L394" i="521"/>
  <c r="L481" i="520"/>
  <c r="K518" i="521"/>
  <c r="J35" i="518"/>
  <c r="I237" i="519"/>
  <c r="L17" i="519"/>
  <c r="M331" i="520"/>
  <c r="L127" i="520"/>
  <c r="I467" i="517"/>
  <c r="K186" i="520"/>
  <c r="D282" i="247"/>
  <c r="J428" i="519"/>
  <c r="D153" i="247"/>
  <c r="K356" i="518"/>
  <c r="L441" i="521"/>
  <c r="I236" i="519"/>
  <c r="K471" i="521"/>
  <c r="L214" i="519"/>
  <c r="J74" i="523"/>
  <c r="L556" i="517"/>
  <c r="I679" i="523"/>
  <c r="I404" i="517"/>
  <c r="J685" i="518"/>
  <c r="M96" i="521"/>
  <c r="J651" i="517"/>
  <c r="M607" i="517"/>
  <c r="K150" i="523"/>
  <c r="K635" i="523"/>
  <c r="M692" i="523"/>
  <c r="M628" i="518"/>
  <c r="K529" i="520"/>
  <c r="M563" i="518"/>
  <c r="I50" i="519"/>
  <c r="J47" i="521"/>
  <c r="L57" i="517"/>
  <c r="A40" i="519"/>
  <c r="L177" i="520"/>
  <c r="L298" i="517"/>
  <c r="M288" i="517"/>
  <c r="L5" i="521"/>
  <c r="I182" i="518"/>
  <c r="M145" i="521"/>
  <c r="I224" i="523"/>
  <c r="J120" i="523"/>
  <c r="I698" i="523"/>
  <c r="L515" i="521"/>
  <c r="M456" i="518"/>
  <c r="I222" i="521"/>
  <c r="L440" i="520"/>
  <c r="J509" i="517"/>
  <c r="J245" i="523"/>
  <c r="I101" i="520"/>
  <c r="G2" i="519"/>
  <c r="K485" i="521"/>
  <c r="C33" i="520"/>
  <c r="I4" i="520"/>
  <c r="J755" i="523"/>
  <c r="K508" i="518"/>
  <c r="M569" i="519"/>
  <c r="K690" i="517"/>
  <c r="M465" i="519"/>
  <c r="M34" i="519"/>
  <c r="M312" i="521"/>
  <c r="M583" i="523"/>
  <c r="J263" i="517"/>
  <c r="M17" i="520"/>
  <c r="M200" i="521"/>
  <c r="I220" i="520"/>
  <c r="L456" i="519"/>
  <c r="I410" i="518"/>
  <c r="A35" i="521"/>
  <c r="I276" i="518"/>
  <c r="L673" i="518"/>
  <c r="C10" i="521"/>
  <c r="J313" i="519"/>
  <c r="J690" i="517"/>
  <c r="M286" i="520"/>
  <c r="J654" i="520"/>
  <c r="K409" i="519"/>
  <c r="L322" i="518"/>
  <c r="I271" i="517"/>
  <c r="L173" i="519"/>
  <c r="L466" i="517"/>
  <c r="I589" i="517"/>
  <c r="J21" i="520"/>
  <c r="J683" i="523"/>
  <c r="L556" i="520"/>
  <c r="K4" i="519"/>
  <c r="D293" i="247"/>
  <c r="J325" i="523"/>
  <c r="K610" i="520"/>
  <c r="M215" i="520"/>
  <c r="M308" i="517"/>
  <c r="H7" i="517"/>
  <c r="M561" i="517"/>
  <c r="J645" i="521"/>
  <c r="K684" i="520"/>
  <c r="K43" i="517"/>
  <c r="L44" i="517"/>
  <c r="M658" i="518"/>
  <c r="L55" i="519"/>
  <c r="H26" i="517"/>
  <c r="L61" i="517"/>
  <c r="A8" i="521"/>
  <c r="C200" i="247"/>
  <c r="J59" i="520"/>
  <c r="M655" i="523"/>
  <c r="L545" i="517"/>
  <c r="K171" i="519"/>
  <c r="J549" i="520"/>
  <c r="M470" i="517"/>
  <c r="K659" i="521"/>
  <c r="L638" i="521"/>
  <c r="L3" i="521"/>
  <c r="J618" i="517"/>
  <c r="L158" i="521"/>
  <c r="M594" i="520"/>
  <c r="L122" i="517"/>
  <c r="K155" i="519"/>
  <c r="D382" i="247"/>
  <c r="K48" i="518"/>
  <c r="K414" i="518"/>
  <c r="I445" i="518"/>
  <c r="K652" i="520"/>
  <c r="M246" i="523"/>
  <c r="J64" i="519"/>
  <c r="M86" i="519"/>
  <c r="L39" i="520"/>
  <c r="J425" i="521"/>
  <c r="B10" i="482"/>
  <c r="K113" i="518"/>
  <c r="L363" i="520"/>
  <c r="I71" i="517"/>
  <c r="D131" i="247"/>
  <c r="I16" i="523"/>
  <c r="I275" i="518"/>
  <c r="M534" i="521"/>
  <c r="L320" i="517"/>
  <c r="F21" i="517"/>
  <c r="L506" i="521"/>
  <c r="K415" i="521"/>
  <c r="J333" i="517"/>
  <c r="K12" i="519"/>
  <c r="I352" i="521"/>
  <c r="L390" i="520"/>
  <c r="M583" i="518"/>
  <c r="C84" i="247"/>
  <c r="I196" i="518"/>
  <c r="L536" i="521"/>
  <c r="K767" i="523"/>
  <c r="M400" i="518"/>
  <c r="I360" i="521"/>
  <c r="J62" i="518"/>
  <c r="M631" i="523"/>
  <c r="L674" i="523"/>
  <c r="J70" i="520"/>
  <c r="M303" i="521"/>
  <c r="J612" i="521"/>
  <c r="M502" i="523"/>
  <c r="D329" i="247"/>
  <c r="I504" i="521"/>
  <c r="K462" i="517"/>
  <c r="J490" i="520"/>
  <c r="Q34" i="3"/>
  <c r="I253" i="518"/>
  <c r="L24" i="519"/>
  <c r="M211" i="520"/>
  <c r="L323" i="523"/>
  <c r="M158" i="519"/>
  <c r="K566" i="519"/>
  <c r="I356" i="520"/>
  <c r="K585" i="519"/>
  <c r="K78" i="519"/>
  <c r="K274" i="520"/>
  <c r="M178" i="521"/>
  <c r="M581" i="523"/>
  <c r="L695" i="521"/>
  <c r="I139" i="520"/>
  <c r="J495" i="517"/>
  <c r="I439" i="519"/>
  <c r="I365" i="520"/>
  <c r="M625" i="517"/>
  <c r="I484" i="521"/>
  <c r="J67" i="519"/>
  <c r="I651" i="520"/>
  <c r="J71" i="520"/>
  <c r="M358" i="523"/>
  <c r="I288" i="519"/>
  <c r="C7" i="507"/>
  <c r="M679" i="523"/>
  <c r="L353" i="520"/>
  <c r="L257" i="521"/>
  <c r="J141" i="520"/>
  <c r="L239" i="520"/>
  <c r="K122" i="523"/>
  <c r="K609" i="521"/>
  <c r="I293" i="518"/>
  <c r="M99" i="523"/>
  <c r="K255" i="523"/>
  <c r="L570" i="523"/>
  <c r="D152" i="247"/>
  <c r="M244" i="523"/>
  <c r="M667" i="521"/>
  <c r="L309" i="520"/>
  <c r="J200" i="520"/>
  <c r="C347" i="247"/>
  <c r="M34" i="520"/>
  <c r="J232" i="520"/>
  <c r="F26" i="519"/>
  <c r="M238" i="523"/>
  <c r="M506" i="517"/>
  <c r="M240" i="519"/>
  <c r="K304" i="521"/>
  <c r="I523" i="523"/>
  <c r="K27" i="521"/>
  <c r="I85" i="519"/>
  <c r="J109" i="518"/>
  <c r="J380" i="521"/>
  <c r="M170" i="518"/>
  <c r="J441" i="519"/>
  <c r="J537" i="523"/>
  <c r="C357" i="247"/>
  <c r="L528" i="523"/>
  <c r="K513" i="520"/>
  <c r="J782" i="523"/>
  <c r="M689" i="520"/>
  <c r="J591" i="519"/>
  <c r="M346" i="517"/>
  <c r="K373" i="519"/>
  <c r="L585" i="519"/>
  <c r="I99" i="517"/>
  <c r="I123" i="520"/>
  <c r="A13" i="517"/>
  <c r="J201" i="517"/>
  <c r="L496" i="518"/>
  <c r="L52" i="517"/>
  <c r="K403" i="523"/>
  <c r="J60" i="523"/>
  <c r="K564" i="523"/>
  <c r="L529" i="517"/>
  <c r="M217" i="520"/>
  <c r="K426" i="517"/>
  <c r="C203" i="247"/>
  <c r="M368" i="517"/>
  <c r="K619" i="519"/>
  <c r="J71" i="518"/>
  <c r="M314" i="520"/>
  <c r="M473" i="519"/>
  <c r="J117" i="518"/>
  <c r="L567" i="523"/>
  <c r="L324" i="521"/>
  <c r="M493" i="518"/>
  <c r="K579" i="519"/>
  <c r="I600" i="518"/>
  <c r="K753" i="523"/>
  <c r="L672" i="519"/>
  <c r="J553" i="520"/>
  <c r="I677" i="521"/>
  <c r="K454" i="520"/>
  <c r="J611" i="517"/>
  <c r="L444" i="518"/>
  <c r="I821" i="523"/>
  <c r="L576" i="517"/>
  <c r="K585" i="521"/>
  <c r="C540" i="247"/>
  <c r="M244" i="517"/>
  <c r="L359" i="521"/>
  <c r="J80" i="519"/>
  <c r="M265" i="520"/>
  <c r="J100" i="521"/>
  <c r="C409" i="247"/>
  <c r="I318" i="521"/>
  <c r="J64" i="518"/>
  <c r="M66" i="520"/>
  <c r="C8" i="518"/>
  <c r="E24" i="519"/>
  <c r="D500" i="247"/>
  <c r="L436" i="518"/>
  <c r="I417" i="520"/>
  <c r="J362" i="519"/>
  <c r="C564" i="247"/>
  <c r="I415" i="517"/>
  <c r="J104" i="517"/>
  <c r="L216" i="521"/>
  <c r="J490" i="519"/>
  <c r="I454" i="519"/>
  <c r="L275" i="518"/>
  <c r="F4" i="520"/>
  <c r="J549" i="521"/>
  <c r="D401" i="247"/>
  <c r="J646" i="523"/>
  <c r="L283" i="521"/>
  <c r="M328" i="523"/>
  <c r="L81" i="519"/>
  <c r="L646" i="517"/>
  <c r="I292" i="521"/>
  <c r="L480" i="517"/>
  <c r="K189" i="523"/>
  <c r="M148" i="521"/>
  <c r="J279" i="520"/>
  <c r="K217" i="519"/>
  <c r="I522" i="519"/>
  <c r="I624" i="519"/>
  <c r="L800" i="523"/>
  <c r="L193" i="519"/>
  <c r="L194" i="523"/>
  <c r="J839" i="523"/>
  <c r="M308" i="520"/>
  <c r="I365" i="517"/>
  <c r="I389" i="519"/>
  <c r="K365" i="518"/>
  <c r="L756" i="523"/>
  <c r="M119" i="523"/>
  <c r="D92" i="247"/>
  <c r="L623" i="518"/>
  <c r="I199" i="520"/>
  <c r="K3" i="523"/>
  <c r="K222" i="518"/>
  <c r="L46" i="523"/>
  <c r="M33" i="521"/>
  <c r="M569" i="521"/>
  <c r="M115" i="521"/>
  <c r="J288" i="518"/>
  <c r="K605" i="517"/>
  <c r="C156" i="247"/>
  <c r="I381" i="521"/>
  <c r="G3" i="521"/>
  <c r="M419" i="518"/>
  <c r="M464" i="523"/>
  <c r="K622" i="519"/>
  <c r="L402" i="518"/>
  <c r="K568" i="518"/>
  <c r="K138" i="521"/>
  <c r="I545" i="520"/>
  <c r="I37" i="523"/>
  <c r="K750" i="523"/>
  <c r="M720" i="523"/>
  <c r="K144" i="521"/>
  <c r="I569" i="518"/>
  <c r="K74" i="521"/>
  <c r="L176" i="520"/>
  <c r="I589" i="523"/>
  <c r="I143" i="517"/>
  <c r="L817" i="523"/>
  <c r="I175" i="520"/>
  <c r="D305" i="247"/>
  <c r="C153" i="247"/>
  <c r="I128" i="521"/>
  <c r="M623" i="520"/>
  <c r="M237" i="521"/>
  <c r="J571" i="520"/>
  <c r="M663" i="519"/>
  <c r="M235" i="517"/>
  <c r="I549" i="519"/>
  <c r="F10" i="519"/>
  <c r="L181" i="517"/>
  <c r="I632" i="519"/>
  <c r="M12" i="521"/>
  <c r="J429" i="520"/>
  <c r="M235" i="520"/>
  <c r="I669" i="523"/>
  <c r="L123" i="519"/>
  <c r="K656" i="517"/>
  <c r="J446" i="520"/>
  <c r="J56" i="521"/>
  <c r="J39" i="520"/>
  <c r="M323" i="517"/>
  <c r="K43" i="520"/>
  <c r="M175" i="519"/>
  <c r="I216" i="523"/>
  <c r="I237" i="518"/>
  <c r="L221" i="518"/>
  <c r="L503" i="518"/>
  <c r="J575" i="519"/>
  <c r="L190" i="519"/>
  <c r="J628" i="517"/>
  <c r="J374" i="518"/>
  <c r="K29" i="519"/>
  <c r="K96" i="520"/>
  <c r="K101" i="520"/>
  <c r="I245" i="523"/>
  <c r="F7" i="517"/>
  <c r="J422" i="519"/>
  <c r="L254" i="520"/>
  <c r="K599" i="521"/>
  <c r="J522" i="521"/>
  <c r="M58" i="523"/>
  <c r="I364" i="523"/>
  <c r="M5" i="518"/>
  <c r="I98" i="521"/>
  <c r="M602" i="520"/>
  <c r="L542" i="521"/>
  <c r="J564" i="518"/>
  <c r="K172" i="519"/>
  <c r="M395" i="519"/>
  <c r="K667" i="517"/>
  <c r="I418" i="520"/>
  <c r="M471" i="517"/>
  <c r="K782" i="523"/>
  <c r="M5" i="523"/>
  <c r="L381" i="521"/>
  <c r="L58" i="520"/>
  <c r="M343" i="519"/>
  <c r="I525" i="521"/>
  <c r="J404" i="523"/>
  <c r="K168" i="520"/>
  <c r="M343" i="518"/>
  <c r="I246" i="520"/>
  <c r="J416" i="523"/>
  <c r="I117" i="520"/>
  <c r="J614" i="523"/>
  <c r="I53" i="518"/>
  <c r="K582" i="517"/>
  <c r="I521" i="521"/>
  <c r="C365" i="247"/>
  <c r="D266" i="247"/>
  <c r="E22" i="519"/>
  <c r="K196" i="518"/>
  <c r="K131" i="520"/>
  <c r="L633" i="520"/>
  <c r="M511" i="520"/>
  <c r="J575" i="523"/>
  <c r="J206" i="520"/>
  <c r="L136" i="519"/>
  <c r="K286" i="520"/>
  <c r="K310" i="521"/>
  <c r="K613" i="520"/>
  <c r="I390" i="521"/>
  <c r="M169" i="521"/>
  <c r="I51" i="519"/>
  <c r="K363" i="517"/>
  <c r="K671" i="517"/>
  <c r="I303" i="519"/>
  <c r="M402" i="518"/>
  <c r="M494" i="523"/>
  <c r="I90" i="519"/>
  <c r="I572" i="518"/>
  <c r="L597" i="518"/>
  <c r="D224" i="247"/>
  <c r="M591" i="520"/>
  <c r="L649" i="519"/>
  <c r="L65" i="520"/>
  <c r="C562" i="247"/>
  <c r="J518" i="523"/>
  <c r="M653" i="517"/>
  <c r="L247" i="519"/>
  <c r="M100" i="521"/>
  <c r="M464" i="518"/>
  <c r="I103" i="521"/>
  <c r="M183" i="523"/>
  <c r="J661" i="520"/>
  <c r="K225" i="523"/>
  <c r="M640" i="520"/>
  <c r="I327" i="519"/>
  <c r="K244" i="523"/>
  <c r="M413" i="518"/>
  <c r="L390" i="517"/>
  <c r="M724" i="523"/>
  <c r="J420" i="518"/>
  <c r="M657" i="520"/>
  <c r="K425" i="518"/>
  <c r="K435" i="523"/>
  <c r="K260" i="519"/>
  <c r="L22" i="523"/>
  <c r="K554" i="521"/>
  <c r="I508" i="520"/>
  <c r="C290" i="247"/>
  <c r="K256" i="519"/>
  <c r="D539" i="247"/>
  <c r="C168" i="247"/>
  <c r="K612" i="523"/>
  <c r="I458" i="520"/>
  <c r="J569" i="518"/>
  <c r="I283" i="520"/>
  <c r="I738" i="523"/>
  <c r="J100" i="517"/>
  <c r="K31" i="519"/>
  <c r="I687" i="518"/>
  <c r="I642" i="523"/>
  <c r="K396" i="519"/>
  <c r="K623" i="518"/>
  <c r="I297" i="521"/>
  <c r="M669" i="517"/>
  <c r="K724" i="523"/>
  <c r="J131" i="518"/>
  <c r="L280" i="521"/>
  <c r="I458" i="518"/>
  <c r="M71" i="517"/>
  <c r="K100" i="517"/>
  <c r="J489" i="517"/>
  <c r="K214" i="519"/>
  <c r="K505" i="521"/>
  <c r="J494" i="519"/>
  <c r="D267" i="247"/>
  <c r="L8" i="517"/>
  <c r="L429" i="518"/>
  <c r="I704" i="523"/>
  <c r="K83" i="518"/>
  <c r="L155" i="520"/>
  <c r="L481" i="518"/>
  <c r="L268" i="520"/>
  <c r="C40" i="523"/>
  <c r="L610" i="523"/>
  <c r="L133" i="521"/>
  <c r="L580" i="518"/>
  <c r="J662" i="519"/>
  <c r="K453" i="521"/>
  <c r="K395" i="519"/>
  <c r="L387" i="518"/>
  <c r="L184" i="519"/>
  <c r="I486" i="523"/>
  <c r="J675" i="520"/>
  <c r="I35" i="521"/>
  <c r="J631" i="521"/>
  <c r="L655" i="519"/>
  <c r="K687" i="520"/>
  <c r="M528" i="523"/>
  <c r="M348" i="519"/>
  <c r="J224" i="519"/>
  <c r="M103" i="520"/>
  <c r="L502" i="518"/>
  <c r="L596" i="517"/>
  <c r="M449" i="521"/>
  <c r="J580" i="519"/>
  <c r="I359" i="520"/>
  <c r="L612" i="518"/>
  <c r="M150" i="520"/>
  <c r="K597" i="521"/>
  <c r="D194" i="247"/>
  <c r="K149" i="519"/>
  <c r="K362" i="523"/>
  <c r="C324" i="247"/>
  <c r="K367" i="519"/>
  <c r="D105" i="247"/>
  <c r="I142" i="518"/>
  <c r="K538" i="518"/>
  <c r="I337" i="523"/>
  <c r="M828" i="523"/>
  <c r="M44" i="523"/>
  <c r="L552" i="519"/>
  <c r="K274" i="517"/>
  <c r="C195" i="247"/>
  <c r="M236" i="518"/>
  <c r="J326" i="519"/>
  <c r="J384" i="517"/>
  <c r="J288" i="519"/>
  <c r="M405" i="519"/>
  <c r="L592" i="521"/>
  <c r="I589" i="519"/>
  <c r="M3" i="518"/>
  <c r="K501" i="520"/>
  <c r="K491" i="517"/>
  <c r="J135" i="523"/>
  <c r="L155" i="521"/>
  <c r="M521" i="517"/>
  <c r="M252" i="519"/>
  <c r="K257" i="521"/>
  <c r="J554" i="517"/>
  <c r="L315" i="521"/>
  <c r="J194" i="523"/>
  <c r="I296" i="519"/>
  <c r="C373" i="247"/>
  <c r="I96" i="523"/>
  <c r="M572" i="521"/>
  <c r="L160" i="520"/>
  <c r="K508" i="521"/>
  <c r="K621" i="521"/>
  <c r="I229" i="518"/>
  <c r="J102" i="521"/>
  <c r="I21" i="520"/>
  <c r="K80" i="520"/>
  <c r="L632" i="519"/>
  <c r="M597" i="519"/>
  <c r="K615" i="521"/>
  <c r="M22" i="519"/>
  <c r="M19" i="520"/>
  <c r="L543" i="518"/>
  <c r="L196" i="521"/>
  <c r="J238" i="520"/>
  <c r="M90" i="519"/>
  <c r="M662" i="517"/>
  <c r="I279" i="520"/>
  <c r="I319" i="521"/>
  <c r="M364" i="521"/>
  <c r="J170" i="521"/>
  <c r="M198" i="518"/>
  <c r="J454" i="519"/>
  <c r="M672" i="518"/>
  <c r="L527" i="521"/>
  <c r="J188" i="518"/>
  <c r="A23" i="521"/>
  <c r="K205" i="520"/>
  <c r="J584" i="521"/>
  <c r="J586" i="518"/>
  <c r="L150" i="518"/>
  <c r="I197" i="521"/>
  <c r="M173" i="517"/>
  <c r="I487" i="523"/>
  <c r="M234" i="521"/>
  <c r="K102" i="517"/>
  <c r="K371" i="518"/>
  <c r="D272" i="247"/>
  <c r="J224" i="520"/>
  <c r="G4" i="521"/>
  <c r="K288" i="519"/>
  <c r="L347" i="523"/>
  <c r="G9" i="518"/>
  <c r="K546" i="521"/>
  <c r="J206" i="519"/>
  <c r="M648" i="521"/>
  <c r="H10" i="519"/>
  <c r="M633" i="520"/>
  <c r="K124" i="520"/>
  <c r="I317" i="521"/>
  <c r="L235" i="518"/>
  <c r="D518" i="247"/>
  <c r="M692" i="520"/>
  <c r="L39" i="519"/>
  <c r="L735" i="523"/>
  <c r="J361" i="520"/>
  <c r="M232" i="519"/>
  <c r="M68" i="521"/>
  <c r="M342" i="518"/>
  <c r="K79" i="518"/>
  <c r="K725" i="523"/>
  <c r="M190" i="517"/>
  <c r="J778" i="523"/>
  <c r="D201" i="247"/>
  <c r="L639" i="519"/>
  <c r="I279" i="518"/>
  <c r="K380" i="523"/>
  <c r="A12" i="519"/>
  <c r="M157" i="517"/>
  <c r="I666" i="520"/>
  <c r="L619" i="518"/>
  <c r="C507" i="247"/>
  <c r="J796" i="523"/>
  <c r="J50" i="520"/>
  <c r="K96" i="519"/>
  <c r="J71" i="523"/>
  <c r="J352" i="520"/>
  <c r="M188" i="521"/>
  <c r="L150" i="520"/>
  <c r="K551" i="519"/>
  <c r="M322" i="520"/>
  <c r="J44" i="517"/>
  <c r="L498" i="520"/>
  <c r="J483" i="518"/>
  <c r="J545" i="520"/>
  <c r="L143" i="523"/>
  <c r="I549" i="518"/>
  <c r="M496" i="519"/>
  <c r="I314" i="521"/>
  <c r="K527" i="523"/>
  <c r="L458" i="523"/>
  <c r="I666" i="521"/>
  <c r="L370" i="519"/>
  <c r="I117" i="517"/>
  <c r="K31" i="521"/>
  <c r="I447" i="520"/>
  <c r="I295" i="518"/>
  <c r="C28" i="520"/>
  <c r="M207" i="517"/>
  <c r="J368" i="517"/>
  <c r="K49" i="517"/>
  <c r="M657" i="518"/>
  <c r="K540" i="519"/>
  <c r="I334" i="517"/>
  <c r="J259" i="520"/>
  <c r="J626" i="517"/>
  <c r="L122" i="518"/>
  <c r="M450" i="521"/>
  <c r="K97" i="518"/>
  <c r="I384" i="519"/>
  <c r="D283" i="247"/>
  <c r="J65" i="518"/>
  <c r="J50" i="523"/>
  <c r="M442" i="523"/>
  <c r="K227" i="521"/>
  <c r="I401" i="521"/>
  <c r="L219" i="519"/>
  <c r="M126" i="518"/>
  <c r="D169" i="247"/>
  <c r="L603" i="517"/>
  <c r="M146" i="520"/>
  <c r="J400" i="523"/>
  <c r="K587" i="517"/>
  <c r="K91" i="519"/>
  <c r="I375" i="523"/>
  <c r="J118" i="523"/>
  <c r="D353" i="247"/>
  <c r="M384" i="520"/>
  <c r="L80" i="519"/>
  <c r="J48" i="518"/>
  <c r="K40" i="518"/>
  <c r="K292" i="517"/>
  <c r="I499" i="520"/>
  <c r="J312" i="523"/>
  <c r="K103" i="517"/>
  <c r="M202" i="518"/>
  <c r="M140" i="521"/>
  <c r="D50" i="247"/>
  <c r="K407" i="523"/>
  <c r="L442" i="518"/>
  <c r="I83" i="519"/>
  <c r="K55" i="523"/>
  <c r="M260" i="521"/>
  <c r="L221" i="520"/>
  <c r="L264" i="520"/>
  <c r="J251" i="518"/>
  <c r="K525" i="523"/>
  <c r="J174" i="519"/>
  <c r="J816" i="523"/>
  <c r="J542" i="517"/>
  <c r="L328" i="517"/>
  <c r="K200" i="517"/>
  <c r="F22" i="519"/>
  <c r="M301" i="523"/>
  <c r="L599" i="520"/>
  <c r="M211" i="517"/>
  <c r="D284" i="247"/>
  <c r="K108" i="518"/>
  <c r="I206" i="518"/>
  <c r="L506" i="520"/>
  <c r="J267" i="517"/>
  <c r="M370" i="523"/>
  <c r="L460" i="521"/>
  <c r="J325" i="521"/>
  <c r="M657" i="517"/>
  <c r="J450" i="518"/>
  <c r="K572" i="517"/>
  <c r="M572" i="519"/>
  <c r="K133" i="521"/>
  <c r="K40" i="521"/>
  <c r="I773" i="523"/>
  <c r="L248" i="520"/>
  <c r="M377" i="517"/>
  <c r="J169" i="519"/>
  <c r="D154" i="247"/>
  <c r="L86" i="521"/>
  <c r="E28" i="523"/>
  <c r="I574" i="517"/>
  <c r="M166" i="523"/>
  <c r="K266" i="521"/>
  <c r="A20" i="520"/>
  <c r="L201" i="523"/>
  <c r="C437" i="247"/>
  <c r="L253" i="517"/>
  <c r="K344" i="519"/>
  <c r="J261" i="518"/>
  <c r="K708" i="523"/>
  <c r="K126" i="521"/>
  <c r="I509" i="521"/>
  <c r="K409" i="518"/>
  <c r="J695" i="523"/>
  <c r="L9" i="520"/>
  <c r="I832" i="523"/>
  <c r="M86" i="518"/>
  <c r="D387" i="247"/>
  <c r="I617" i="518"/>
  <c r="K138" i="517"/>
  <c r="L712" i="523"/>
  <c r="J111" i="519"/>
  <c r="M174" i="523"/>
  <c r="K359" i="521"/>
  <c r="M433" i="523"/>
  <c r="I631" i="521"/>
  <c r="L15" i="518"/>
  <c r="J23" i="517"/>
  <c r="M24" i="520"/>
  <c r="I159" i="519"/>
  <c r="K447" i="517"/>
  <c r="L350" i="518"/>
  <c r="K331" i="523"/>
  <c r="D206" i="247"/>
  <c r="K517" i="518"/>
  <c r="I449" i="518"/>
  <c r="G11" i="521"/>
  <c r="J9" i="521"/>
  <c r="C69" i="247"/>
  <c r="L403" i="523"/>
  <c r="I584" i="521"/>
  <c r="K10" i="520"/>
  <c r="E29" i="517"/>
  <c r="D304" i="247"/>
  <c r="J391" i="521"/>
  <c r="K361" i="523"/>
  <c r="L85" i="520"/>
  <c r="K547" i="517"/>
  <c r="I166" i="523"/>
  <c r="M603" i="520"/>
  <c r="M165" i="517"/>
  <c r="L70" i="517"/>
  <c r="L582" i="520"/>
  <c r="G27" i="517"/>
  <c r="L213" i="520"/>
  <c r="M689" i="519"/>
  <c r="K707" i="523"/>
  <c r="C151" i="247"/>
  <c r="L537" i="519"/>
  <c r="I388" i="521"/>
  <c r="J595" i="520"/>
  <c r="M171" i="520"/>
  <c r="L521" i="519"/>
  <c r="J646" i="519"/>
  <c r="M365" i="517"/>
  <c r="K457" i="517"/>
  <c r="D244" i="247"/>
  <c r="C216" i="247"/>
  <c r="J634" i="519"/>
  <c r="K230" i="519"/>
  <c r="M110" i="521"/>
  <c r="I200" i="517"/>
  <c r="F27" i="523"/>
  <c r="J48" i="520"/>
  <c r="C65" i="247"/>
  <c r="I511" i="517"/>
  <c r="K819" i="523"/>
  <c r="K691" i="521"/>
  <c r="I257" i="519"/>
  <c r="L252" i="519"/>
  <c r="I432" i="520"/>
  <c r="I430" i="523"/>
  <c r="J205" i="521"/>
  <c r="M198" i="517"/>
  <c r="I656" i="517"/>
  <c r="J98" i="518"/>
  <c r="I270" i="518"/>
  <c r="L458" i="518"/>
  <c r="I100" i="518"/>
  <c r="K210" i="521"/>
  <c r="K282" i="521"/>
  <c r="L479" i="520"/>
  <c r="L88" i="518"/>
  <c r="B8" i="482"/>
  <c r="K291" i="518"/>
  <c r="L529" i="518"/>
  <c r="I460" i="517"/>
  <c r="M621" i="523"/>
  <c r="M283" i="517"/>
  <c r="J512" i="519"/>
  <c r="I363" i="517"/>
  <c r="I486" i="521"/>
  <c r="K386" i="517"/>
  <c r="J511" i="519"/>
  <c r="J424" i="521"/>
  <c r="K155" i="518"/>
  <c r="C492" i="247"/>
  <c r="M169" i="520"/>
  <c r="M380" i="519"/>
  <c r="I671" i="517"/>
  <c r="J465" i="517"/>
  <c r="M32" i="518"/>
  <c r="K695" i="523"/>
  <c r="J218" i="519"/>
  <c r="L362" i="518"/>
  <c r="M605" i="517"/>
  <c r="I363" i="520"/>
  <c r="K683" i="517"/>
  <c r="I588" i="517"/>
  <c r="A22" i="518"/>
  <c r="L162" i="517"/>
  <c r="K535" i="521"/>
  <c r="K453" i="518"/>
  <c r="J588" i="521"/>
  <c r="K83" i="521"/>
  <c r="I141" i="519"/>
  <c r="M300" i="518"/>
  <c r="C565" i="247"/>
  <c r="I203" i="517"/>
  <c r="I292" i="519"/>
  <c r="K404" i="521"/>
  <c r="M142" i="517"/>
  <c r="L160" i="519"/>
  <c r="J365" i="518"/>
  <c r="I54" i="519"/>
  <c r="J656" i="518"/>
  <c r="I44" i="521"/>
  <c r="K210" i="520"/>
  <c r="L418" i="520"/>
  <c r="I388" i="517"/>
  <c r="I452" i="517"/>
  <c r="I517" i="518"/>
  <c r="J457" i="520"/>
  <c r="I662" i="518"/>
  <c r="J169" i="517"/>
  <c r="J499" i="520"/>
  <c r="M163" i="521"/>
  <c r="I123" i="519"/>
  <c r="M533" i="523"/>
  <c r="K658" i="520"/>
  <c r="M297" i="523"/>
  <c r="K50" i="521"/>
  <c r="M318" i="518"/>
  <c r="M281" i="519"/>
  <c r="I297" i="523"/>
  <c r="K452" i="523"/>
  <c r="L637" i="523"/>
  <c r="K481" i="520"/>
  <c r="J482" i="519"/>
  <c r="I629" i="520"/>
  <c r="J266" i="523"/>
  <c r="M675" i="519"/>
  <c r="L398" i="519"/>
  <c r="K370" i="517"/>
  <c r="H6" i="518"/>
  <c r="L286" i="518"/>
  <c r="I473" i="523"/>
  <c r="J614" i="521"/>
  <c r="J64" i="520"/>
  <c r="L149" i="519"/>
  <c r="K436" i="523"/>
  <c r="L144" i="517"/>
  <c r="C116" i="247"/>
  <c r="I761" i="523"/>
  <c r="L96" i="520"/>
  <c r="L189" i="523"/>
  <c r="D580" i="247"/>
  <c r="J71" i="519"/>
  <c r="I86" i="519"/>
  <c r="M562" i="520"/>
  <c r="D503" i="247"/>
  <c r="A27" i="521"/>
  <c r="J30" i="519"/>
  <c r="J198" i="517"/>
  <c r="K12" i="523"/>
  <c r="J391" i="517"/>
  <c r="K664" i="517"/>
  <c r="L494" i="521"/>
  <c r="M483" i="519"/>
  <c r="D426" i="247"/>
  <c r="J164" i="523"/>
  <c r="I582" i="520"/>
  <c r="J609" i="517"/>
  <c r="I379" i="520"/>
  <c r="J15" i="519"/>
  <c r="I219" i="518"/>
  <c r="J110" i="521"/>
  <c r="I282" i="517"/>
  <c r="L361" i="518"/>
  <c r="I306" i="519"/>
  <c r="J333" i="523"/>
  <c r="I627" i="517"/>
  <c r="M523" i="517"/>
  <c r="M378" i="521"/>
  <c r="L275" i="517"/>
  <c r="J355" i="520"/>
  <c r="J172" i="517"/>
  <c r="K480" i="520"/>
  <c r="M114" i="521"/>
  <c r="L267" i="517"/>
  <c r="I143" i="523"/>
  <c r="I71" i="521"/>
  <c r="M58" i="519"/>
  <c r="I809" i="523"/>
  <c r="J622" i="517"/>
  <c r="L459" i="520"/>
  <c r="M573" i="521"/>
  <c r="J580" i="518"/>
  <c r="J17" i="519"/>
  <c r="K314" i="519"/>
  <c r="J275" i="517"/>
  <c r="K128" i="521"/>
  <c r="L179" i="519"/>
  <c r="M218" i="517"/>
  <c r="A25" i="523"/>
  <c r="I710" i="523"/>
  <c r="M677" i="523"/>
  <c r="I424" i="518"/>
  <c r="L332" i="518"/>
  <c r="M566" i="518"/>
  <c r="L465" i="523"/>
  <c r="J660" i="518"/>
  <c r="J301" i="523"/>
  <c r="M538" i="520"/>
  <c r="M625" i="523"/>
  <c r="I231" i="521"/>
  <c r="I379" i="519"/>
  <c r="I551" i="518"/>
  <c r="M241" i="521"/>
  <c r="L438" i="521"/>
  <c r="J231" i="519"/>
  <c r="J378" i="518"/>
  <c r="J345" i="519"/>
  <c r="L263" i="517"/>
  <c r="K57" i="517"/>
  <c r="J528" i="523"/>
  <c r="I223" i="519"/>
  <c r="A36" i="519"/>
  <c r="I682" i="517"/>
  <c r="K142" i="517"/>
  <c r="M392" i="518"/>
  <c r="D247" i="247"/>
  <c r="M337" i="523"/>
  <c r="M34" i="523"/>
  <c r="J262" i="517"/>
  <c r="I440" i="518"/>
  <c r="L4" i="518"/>
  <c r="L477" i="520"/>
  <c r="I179" i="518"/>
  <c r="I304" i="523"/>
  <c r="M170" i="521"/>
  <c r="M314" i="517"/>
  <c r="J325" i="520"/>
  <c r="I91" i="521"/>
  <c r="J429" i="521"/>
  <c r="L668" i="520"/>
  <c r="J81" i="519"/>
  <c r="C329" i="247"/>
  <c r="C547" i="247"/>
  <c r="J458" i="519"/>
  <c r="M401" i="519"/>
  <c r="M177" i="521"/>
  <c r="M538" i="519"/>
  <c r="I682" i="519"/>
  <c r="I419" i="518"/>
  <c r="M130" i="518"/>
  <c r="J322" i="520"/>
  <c r="L741" i="523"/>
  <c r="J448" i="521"/>
  <c r="M384" i="519"/>
  <c r="I828" i="523"/>
  <c r="J284" i="523"/>
  <c r="L611" i="519"/>
  <c r="I309" i="523"/>
  <c r="M91" i="523"/>
  <c r="I351" i="521"/>
  <c r="J170" i="523"/>
  <c r="I53" i="519"/>
  <c r="M163" i="519"/>
  <c r="J210" i="523"/>
  <c r="I220" i="518"/>
  <c r="J405" i="519"/>
  <c r="K669" i="519"/>
  <c r="A35" i="518"/>
  <c r="I258" i="523"/>
  <c r="J342" i="519"/>
  <c r="M770" i="523"/>
  <c r="K28" i="520"/>
  <c r="A10" i="520"/>
  <c r="K599" i="518"/>
  <c r="L244" i="523"/>
  <c r="J40" i="520"/>
  <c r="M171" i="521"/>
  <c r="L81" i="518"/>
  <c r="J229" i="523"/>
  <c r="J682" i="520"/>
  <c r="I667" i="518"/>
  <c r="L379" i="517"/>
  <c r="K818" i="523"/>
  <c r="L31" i="521"/>
  <c r="K255" i="517"/>
  <c r="J377" i="518"/>
  <c r="J196" i="521"/>
  <c r="L807" i="523"/>
  <c r="M488" i="523"/>
  <c r="I631" i="517"/>
  <c r="J289" i="520"/>
  <c r="M493" i="520"/>
  <c r="L262" i="523"/>
  <c r="M50" i="520"/>
  <c r="M517" i="523"/>
  <c r="D66" i="247"/>
  <c r="K459" i="521"/>
  <c r="K608" i="518"/>
  <c r="K161" i="518"/>
  <c r="L654" i="521"/>
  <c r="K489" i="518"/>
  <c r="J572" i="518"/>
  <c r="J400" i="517"/>
  <c r="K336" i="521"/>
  <c r="J287" i="521"/>
  <c r="K23" i="521"/>
  <c r="L132" i="517"/>
  <c r="L682" i="518"/>
  <c r="M33" i="520"/>
  <c r="I461" i="517"/>
  <c r="K222" i="519"/>
  <c r="M662" i="520"/>
  <c r="M524" i="518"/>
  <c r="I26" i="520"/>
  <c r="I21" i="519"/>
  <c r="J548" i="518"/>
  <c r="I233" i="517"/>
  <c r="M442" i="519"/>
  <c r="I3" i="517"/>
  <c r="K536" i="521"/>
  <c r="K660" i="517"/>
  <c r="J468" i="520"/>
  <c r="I397" i="521"/>
  <c r="I445" i="523"/>
  <c r="J207" i="521"/>
  <c r="K183" i="519"/>
  <c r="J162" i="521"/>
  <c r="M84" i="521"/>
  <c r="I711" i="523"/>
  <c r="L841" i="523"/>
  <c r="M553" i="518"/>
  <c r="P31" i="3"/>
  <c r="L368" i="518"/>
  <c r="M461" i="520"/>
  <c r="M497" i="519"/>
  <c r="I354" i="518"/>
  <c r="D465" i="247"/>
  <c r="I611" i="518"/>
  <c r="M601" i="518"/>
  <c r="L66" i="519"/>
  <c r="J359" i="520"/>
  <c r="C76" i="247"/>
  <c r="K19" i="520"/>
  <c r="M475" i="521"/>
  <c r="M597" i="517"/>
  <c r="J439" i="523"/>
  <c r="I683" i="518"/>
  <c r="M295" i="517"/>
  <c r="I92" i="517"/>
  <c r="K579" i="523"/>
  <c r="M579" i="518"/>
  <c r="I510" i="519"/>
  <c r="M567" i="519"/>
  <c r="L104" i="518"/>
  <c r="M226" i="519"/>
  <c r="L396" i="520"/>
  <c r="I178" i="517"/>
  <c r="J263" i="518"/>
  <c r="I486" i="520"/>
  <c r="M548" i="521"/>
  <c r="J313" i="518"/>
  <c r="I207" i="518"/>
  <c r="I512" i="519"/>
  <c r="J619" i="519"/>
  <c r="I138" i="523"/>
  <c r="M349" i="520"/>
  <c r="I291" i="518"/>
  <c r="K418" i="518"/>
  <c r="L198" i="519"/>
  <c r="I240" i="521"/>
  <c r="Q22" i="3"/>
  <c r="L555" i="517"/>
  <c r="C306" i="247"/>
  <c r="J112" i="518"/>
  <c r="K407" i="521"/>
  <c r="J563" i="523"/>
  <c r="C559" i="247"/>
  <c r="I565" i="521"/>
  <c r="M189" i="520"/>
  <c r="I52" i="523"/>
  <c r="L662" i="523"/>
  <c r="M568" i="520"/>
  <c r="I394" i="521"/>
  <c r="L423" i="519"/>
  <c r="L242" i="523"/>
  <c r="L470" i="519"/>
  <c r="K373" i="520"/>
  <c r="A34" i="523"/>
  <c r="L102" i="519"/>
  <c r="M14" i="520"/>
  <c r="I590" i="519"/>
  <c r="L636" i="519"/>
  <c r="L511" i="521"/>
  <c r="J364" i="523"/>
  <c r="D256" i="247"/>
  <c r="K38" i="519"/>
  <c r="I503" i="521"/>
  <c r="J794" i="523"/>
  <c r="J682" i="517"/>
  <c r="I456" i="521"/>
  <c r="K130" i="521"/>
  <c r="K437" i="519"/>
  <c r="I314" i="519"/>
  <c r="M498" i="521"/>
  <c r="C36" i="518"/>
  <c r="L660" i="519"/>
  <c r="L176" i="519"/>
  <c r="K167" i="517"/>
  <c r="M261" i="520"/>
  <c r="I111" i="518"/>
  <c r="D514" i="247"/>
  <c r="I47" i="521"/>
  <c r="I442" i="519"/>
  <c r="M433" i="519"/>
  <c r="K209" i="520"/>
  <c r="K599" i="519"/>
  <c r="M446" i="517"/>
  <c r="I605" i="520"/>
  <c r="J382" i="518"/>
  <c r="J547" i="523"/>
  <c r="D198" i="247"/>
  <c r="M786" i="523"/>
  <c r="K669" i="521"/>
  <c r="I434" i="517"/>
  <c r="I309" i="520"/>
  <c r="K492" i="518"/>
  <c r="J230" i="521"/>
  <c r="J417" i="517"/>
  <c r="M8" i="518"/>
  <c r="M178" i="518"/>
  <c r="J37" i="521"/>
  <c r="J123" i="518"/>
  <c r="K307" i="518"/>
  <c r="E10" i="517"/>
  <c r="K93" i="523"/>
  <c r="M327" i="520"/>
  <c r="M442" i="520"/>
  <c r="M447" i="521"/>
  <c r="M239" i="517"/>
  <c r="C99" i="247"/>
  <c r="C27" i="519"/>
  <c r="L414" i="520"/>
  <c r="M574" i="520"/>
  <c r="L336" i="521"/>
  <c r="D151" i="247"/>
  <c r="I766" i="523"/>
  <c r="H3" i="520"/>
  <c r="K478" i="520"/>
  <c r="L674" i="521"/>
  <c r="K242" i="520"/>
  <c r="M508" i="518"/>
  <c r="A18" i="521"/>
  <c r="I12" i="520"/>
  <c r="K633" i="523"/>
  <c r="J67" i="518"/>
  <c r="I320" i="521"/>
  <c r="M377" i="520"/>
  <c r="J109" i="520"/>
  <c r="K159" i="523"/>
  <c r="K312" i="523"/>
  <c r="J460" i="517"/>
  <c r="M68" i="517"/>
  <c r="M172" i="523"/>
  <c r="I684" i="520"/>
  <c r="I694" i="523"/>
  <c r="M549" i="521"/>
  <c r="M649" i="520"/>
  <c r="L65" i="517"/>
  <c r="K11" i="518"/>
  <c r="J44" i="519"/>
  <c r="K343" i="517"/>
  <c r="K147" i="523"/>
  <c r="K616" i="521"/>
  <c r="L446" i="521"/>
  <c r="M484" i="520"/>
  <c r="I70" i="523"/>
  <c r="J412" i="523"/>
  <c r="C39" i="520"/>
  <c r="I598" i="520"/>
  <c r="C292" i="247"/>
  <c r="K291" i="517"/>
  <c r="C182" i="247"/>
  <c r="M384" i="521"/>
  <c r="L414" i="518"/>
  <c r="I340" i="518"/>
  <c r="L471" i="517"/>
  <c r="I574" i="523"/>
  <c r="K537" i="521"/>
  <c r="L502" i="517"/>
  <c r="F25" i="520"/>
  <c r="M107" i="520"/>
  <c r="M568" i="523"/>
  <c r="M150" i="519"/>
  <c r="K36" i="517"/>
  <c r="K160" i="519"/>
  <c r="M337" i="517"/>
  <c r="M338" i="517"/>
  <c r="J324" i="519"/>
  <c r="K114" i="519"/>
  <c r="J55" i="520"/>
  <c r="M745" i="523"/>
  <c r="L232" i="517"/>
  <c r="K221" i="520"/>
  <c r="C321" i="247"/>
  <c r="C24" i="520"/>
  <c r="L661" i="520"/>
  <c r="D230" i="247"/>
  <c r="K2" i="521"/>
  <c r="L130" i="517"/>
  <c r="J444" i="520"/>
  <c r="D306" i="247"/>
  <c r="D48" i="247"/>
  <c r="M399" i="520"/>
  <c r="K545" i="518"/>
  <c r="K498" i="517"/>
  <c r="L404" i="517"/>
  <c r="J689" i="519"/>
  <c r="M77" i="520"/>
  <c r="M119" i="521"/>
  <c r="L7" i="520"/>
  <c r="M302" i="518"/>
  <c r="K536" i="517"/>
  <c r="M672" i="519"/>
  <c r="M154" i="517"/>
  <c r="I93" i="517"/>
  <c r="M555" i="520"/>
  <c r="L461" i="520"/>
  <c r="K504" i="520"/>
  <c r="L91" i="523"/>
  <c r="M344" i="518"/>
  <c r="I792" i="523"/>
  <c r="C417" i="247"/>
  <c r="K511" i="518"/>
  <c r="J431" i="520"/>
  <c r="K508" i="520"/>
  <c r="L630" i="517"/>
  <c r="J653" i="521"/>
  <c r="D215" i="247"/>
  <c r="K676" i="518"/>
  <c r="J122" i="520"/>
  <c r="K4" i="523"/>
  <c r="M521" i="521"/>
  <c r="L148" i="519"/>
  <c r="K253" i="518"/>
  <c r="M627" i="519"/>
  <c r="C452" i="247"/>
  <c r="M19" i="518"/>
  <c r="M74" i="523"/>
  <c r="J45" i="523"/>
  <c r="M252" i="520"/>
  <c r="J390" i="521"/>
  <c r="I244" i="517"/>
  <c r="L359" i="523"/>
  <c r="M373" i="520"/>
  <c r="K559" i="518"/>
  <c r="L572" i="518"/>
  <c r="K291" i="523"/>
  <c r="J174" i="517"/>
  <c r="L140" i="523"/>
  <c r="J593" i="523"/>
  <c r="I270" i="517"/>
  <c r="L289" i="521"/>
  <c r="L623" i="523"/>
  <c r="J352" i="523"/>
  <c r="K545" i="520"/>
  <c r="C187" i="247"/>
  <c r="L517" i="523"/>
  <c r="J184" i="518"/>
  <c r="J282" i="520"/>
  <c r="L126" i="518"/>
  <c r="I395" i="517"/>
  <c r="L51" i="520"/>
  <c r="K570" i="519"/>
  <c r="I365" i="519"/>
  <c r="I260" i="519"/>
  <c r="I554" i="520"/>
  <c r="J110" i="523"/>
  <c r="M163" i="518"/>
  <c r="I614" i="521"/>
  <c r="J395" i="521"/>
  <c r="K71" i="520"/>
  <c r="L537" i="523"/>
  <c r="J246" i="521"/>
  <c r="K113" i="523"/>
  <c r="K488" i="518"/>
  <c r="M113" i="519"/>
  <c r="I610" i="520"/>
  <c r="K371" i="521"/>
  <c r="I35" i="517"/>
  <c r="L492" i="521"/>
  <c r="J692" i="523"/>
  <c r="I45" i="517"/>
  <c r="I197" i="518"/>
  <c r="I477" i="520"/>
  <c r="M504" i="523"/>
  <c r="I394" i="517"/>
  <c r="K322" i="520"/>
  <c r="I361" i="517"/>
  <c r="C468" i="247"/>
  <c r="I346" i="519"/>
  <c r="I511" i="518"/>
  <c r="D73" i="247"/>
  <c r="L81" i="523"/>
  <c r="J56" i="518"/>
  <c r="K372" i="519"/>
  <c r="D441" i="247"/>
  <c r="L181" i="521"/>
  <c r="M616" i="518"/>
  <c r="M637" i="517"/>
  <c r="J658" i="518"/>
  <c r="D69" i="247"/>
  <c r="M469" i="518"/>
  <c r="I174" i="520"/>
  <c r="M93" i="523"/>
  <c r="I117" i="519"/>
  <c r="M414" i="523"/>
  <c r="L433" i="518"/>
  <c r="I564" i="518"/>
  <c r="K460" i="521"/>
  <c r="J555" i="517"/>
  <c r="K214" i="523"/>
  <c r="J8" i="518"/>
  <c r="M375" i="519"/>
  <c r="D427" i="247"/>
  <c r="L453" i="517"/>
  <c r="A40" i="518"/>
  <c r="M12" i="517"/>
  <c r="M274" i="521"/>
  <c r="J84" i="518"/>
  <c r="K690" i="519"/>
  <c r="I635" i="523"/>
  <c r="I565" i="518"/>
  <c r="K153" i="519"/>
  <c r="L35" i="520"/>
  <c r="I284" i="521"/>
  <c r="K434" i="521"/>
  <c r="L468" i="519"/>
  <c r="J49" i="523"/>
  <c r="L549" i="518"/>
  <c r="J92" i="517"/>
  <c r="K438" i="518"/>
  <c r="L523" i="518"/>
  <c r="M410" i="523"/>
  <c r="L297" i="518"/>
  <c r="M144" i="519"/>
  <c r="C432" i="247"/>
  <c r="I297" i="519"/>
  <c r="M164" i="523"/>
  <c r="K510" i="519"/>
  <c r="M680" i="518"/>
  <c r="K240" i="523"/>
  <c r="K461" i="517"/>
  <c r="M578" i="519"/>
  <c r="I277" i="521"/>
  <c r="L682" i="519"/>
  <c r="L269" i="519"/>
  <c r="I684" i="518"/>
  <c r="L177" i="518"/>
  <c r="M695" i="520"/>
  <c r="L364" i="519"/>
  <c r="J742" i="523"/>
  <c r="K323" i="521"/>
  <c r="J510" i="519"/>
  <c r="M79" i="519"/>
  <c r="J535" i="518"/>
  <c r="K594" i="518"/>
  <c r="L350" i="523"/>
  <c r="K368" i="523"/>
  <c r="L114" i="521"/>
  <c r="J40" i="519"/>
  <c r="J474" i="520"/>
  <c r="L471" i="520"/>
  <c r="K410" i="520"/>
  <c r="K481" i="523"/>
  <c r="E25" i="517"/>
  <c r="M289" i="523"/>
  <c r="K515" i="517"/>
  <c r="L241" i="523"/>
  <c r="L250" i="520"/>
  <c r="M186" i="519"/>
  <c r="I460" i="520"/>
  <c r="D340" i="247"/>
  <c r="J247" i="521"/>
  <c r="I91" i="518"/>
  <c r="L463" i="523"/>
  <c r="J442" i="520"/>
  <c r="J7" i="517"/>
  <c r="J621" i="523"/>
  <c r="K97" i="520"/>
  <c r="M351" i="521"/>
  <c r="M374" i="518"/>
  <c r="K480" i="519"/>
  <c r="J672" i="520"/>
  <c r="J243" i="523"/>
  <c r="L8" i="519"/>
  <c r="J606" i="519"/>
  <c r="C5" i="517"/>
  <c r="L356" i="523"/>
  <c r="K736" i="523"/>
  <c r="J347" i="517"/>
  <c r="K482" i="521"/>
  <c r="I571" i="517"/>
  <c r="I187" i="520"/>
  <c r="I75" i="517"/>
  <c r="K457" i="520"/>
  <c r="L111" i="519"/>
  <c r="M757" i="523"/>
  <c r="J279" i="519"/>
  <c r="J290" i="518"/>
  <c r="L627" i="523"/>
  <c r="J146" i="521"/>
  <c r="L498" i="518"/>
  <c r="L626" i="518"/>
  <c r="M636" i="518"/>
  <c r="J315" i="517"/>
  <c r="I20" i="519"/>
  <c r="C353" i="247"/>
  <c r="J13" i="520"/>
  <c r="I460" i="518"/>
  <c r="L136" i="520"/>
  <c r="L645" i="523"/>
  <c r="I483" i="519"/>
  <c r="M225" i="517"/>
  <c r="M176" i="518"/>
  <c r="M587" i="518"/>
  <c r="L237" i="517"/>
  <c r="K674" i="520"/>
  <c r="K68" i="517"/>
  <c r="K379" i="517"/>
  <c r="C546" i="247"/>
  <c r="I218" i="520"/>
  <c r="K191" i="521"/>
  <c r="L272" i="523"/>
  <c r="I334" i="520"/>
  <c r="L2" i="519"/>
  <c r="J119" i="518"/>
  <c r="J238" i="523"/>
  <c r="M507" i="517"/>
  <c r="K624" i="517"/>
  <c r="L601" i="520"/>
  <c r="M249" i="519"/>
  <c r="D172" i="247"/>
  <c r="K283" i="519"/>
  <c r="I300" i="519"/>
  <c r="I313" i="517"/>
  <c r="M18" i="520"/>
  <c r="K331" i="518"/>
  <c r="K454" i="517"/>
  <c r="L47" i="523"/>
  <c r="J630" i="517"/>
  <c r="I594" i="520"/>
  <c r="M64" i="518"/>
  <c r="J622" i="520"/>
  <c r="M634" i="517"/>
  <c r="C175" i="247"/>
  <c r="K676" i="517"/>
  <c r="J679" i="521"/>
  <c r="L139" i="517"/>
  <c r="I670" i="520"/>
  <c r="J89" i="523"/>
  <c r="F21" i="521"/>
  <c r="I498" i="518"/>
  <c r="J57" i="518"/>
  <c r="K192" i="521"/>
  <c r="J169" i="518"/>
  <c r="M329" i="521"/>
  <c r="L285" i="517"/>
  <c r="I164" i="520"/>
  <c r="L275" i="521"/>
  <c r="J317" i="519"/>
  <c r="M181" i="521"/>
  <c r="K482" i="520"/>
  <c r="I437" i="521"/>
  <c r="I15" i="519"/>
  <c r="J49" i="519"/>
  <c r="K458" i="523"/>
  <c r="M532" i="518"/>
  <c r="J13" i="521"/>
  <c r="K529" i="518"/>
  <c r="L437" i="521"/>
  <c r="M163" i="517"/>
  <c r="L416" i="517"/>
  <c r="J36" i="517"/>
  <c r="J636" i="517"/>
  <c r="L55" i="518"/>
  <c r="L27" i="517"/>
  <c r="C201" i="247"/>
  <c r="M460" i="517"/>
  <c r="L683" i="521"/>
  <c r="A20" i="519"/>
  <c r="J472" i="523"/>
  <c r="C29" i="523"/>
  <c r="K357" i="517"/>
  <c r="K194" i="521"/>
  <c r="M2" i="519"/>
  <c r="L604" i="523"/>
  <c r="L637" i="517"/>
  <c r="K461" i="523"/>
  <c r="J157" i="519"/>
  <c r="L118" i="519"/>
  <c r="J477" i="523"/>
  <c r="I533" i="517"/>
  <c r="A7" i="518"/>
  <c r="I415" i="518"/>
  <c r="I726" i="523"/>
  <c r="M475" i="520"/>
  <c r="J125" i="518"/>
  <c r="J483" i="519"/>
  <c r="K700" i="523"/>
  <c r="I645" i="519"/>
  <c r="J266" i="517"/>
  <c r="J394" i="517"/>
  <c r="J606" i="518"/>
  <c r="J756" i="523"/>
  <c r="M118" i="520"/>
  <c r="L699" i="523"/>
  <c r="I284" i="523"/>
  <c r="I68" i="521"/>
  <c r="I438" i="517"/>
  <c r="I563" i="518"/>
  <c r="I581" i="523"/>
  <c r="I494" i="518"/>
  <c r="K180" i="519"/>
  <c r="C22" i="519"/>
  <c r="I232" i="519"/>
  <c r="I798" i="523"/>
  <c r="G24" i="523"/>
  <c r="L403" i="519"/>
  <c r="J420" i="520"/>
  <c r="G3" i="517"/>
  <c r="K671" i="518"/>
  <c r="I381" i="520"/>
  <c r="K21" i="519"/>
  <c r="M209" i="519"/>
  <c r="M495" i="518"/>
  <c r="M404" i="518"/>
  <c r="M337" i="521"/>
  <c r="J677" i="517"/>
  <c r="L279" i="519"/>
  <c r="A32" i="521"/>
  <c r="C21" i="517"/>
  <c r="M270" i="520"/>
  <c r="J637" i="520"/>
  <c r="J172" i="523"/>
  <c r="L519" i="519"/>
  <c r="D251" i="247"/>
  <c r="D133" i="247"/>
  <c r="K42" i="517"/>
  <c r="J573" i="520"/>
  <c r="M476" i="523"/>
  <c r="I237" i="520"/>
  <c r="J321" i="523"/>
  <c r="I174" i="521"/>
  <c r="L183" i="521"/>
  <c r="K580" i="517"/>
  <c r="M352" i="523"/>
  <c r="J150" i="521"/>
  <c r="M166" i="517"/>
  <c r="L597" i="517"/>
  <c r="J454" i="517"/>
  <c r="D248" i="247"/>
  <c r="M52" i="521"/>
  <c r="I230" i="517"/>
  <c r="J369" i="520"/>
  <c r="K353" i="521"/>
  <c r="M42" i="517"/>
  <c r="A26" i="523"/>
  <c r="K709" i="523"/>
  <c r="M88" i="523"/>
  <c r="K402" i="520"/>
  <c r="J819" i="523"/>
  <c r="L274" i="523"/>
  <c r="M51" i="518"/>
  <c r="M201" i="523"/>
  <c r="J372" i="519"/>
  <c r="M584" i="519"/>
  <c r="K56" i="521"/>
  <c r="M147" i="520"/>
  <c r="J472" i="520"/>
  <c r="I471" i="521"/>
  <c r="L486" i="518"/>
  <c r="J695" i="521"/>
  <c r="K92" i="517"/>
  <c r="J213" i="519"/>
  <c r="I177" i="519"/>
  <c r="M224" i="517"/>
  <c r="J296" i="518"/>
  <c r="I115" i="518"/>
  <c r="L657" i="521"/>
  <c r="I195" i="520"/>
  <c r="K148" i="519"/>
  <c r="L229" i="521"/>
  <c r="I471" i="518"/>
  <c r="K139" i="520"/>
  <c r="J119" i="523"/>
  <c r="C380" i="247"/>
  <c r="M605" i="523"/>
  <c r="L478" i="518"/>
  <c r="M549" i="517"/>
  <c r="J688" i="519"/>
  <c r="I116" i="518"/>
  <c r="K675" i="519"/>
  <c r="M544" i="523"/>
  <c r="I608" i="518"/>
  <c r="E19" i="519"/>
  <c r="D122" i="247"/>
  <c r="L406" i="520"/>
  <c r="I666" i="519"/>
  <c r="C456" i="247"/>
  <c r="I97" i="518"/>
  <c r="L657" i="523"/>
  <c r="J658" i="517"/>
  <c r="J61" i="518"/>
  <c r="J289" i="519"/>
  <c r="M661" i="518"/>
  <c r="I281" i="521"/>
  <c r="J92" i="519"/>
  <c r="I237" i="521"/>
  <c r="K145" i="517"/>
  <c r="M443" i="518"/>
  <c r="K115" i="518"/>
  <c r="K478" i="519"/>
  <c r="J235" i="517"/>
  <c r="I663" i="519"/>
  <c r="M333" i="517"/>
  <c r="M83" i="518"/>
  <c r="M464" i="520"/>
  <c r="J41" i="520"/>
  <c r="M255" i="523"/>
  <c r="L266" i="518"/>
  <c r="L10" i="521"/>
  <c r="K37" i="523"/>
  <c r="K178" i="520"/>
  <c r="I513" i="518"/>
  <c r="L392" i="523"/>
  <c r="K226" i="523"/>
  <c r="C511" i="247"/>
  <c r="K664" i="520"/>
  <c r="M62" i="523"/>
  <c r="L455" i="517"/>
  <c r="D457" i="247"/>
  <c r="M546" i="518"/>
  <c r="I382" i="520"/>
  <c r="M697" i="523"/>
  <c r="M298" i="521"/>
  <c r="K257" i="517"/>
  <c r="J395" i="518"/>
  <c r="L22" i="521"/>
  <c r="I166" i="518"/>
  <c r="J411" i="518"/>
  <c r="J409" i="519"/>
  <c r="J243" i="519"/>
  <c r="M660" i="523"/>
  <c r="M572" i="518"/>
  <c r="J200" i="518"/>
  <c r="J222" i="520"/>
  <c r="K590" i="523"/>
  <c r="K257" i="523"/>
  <c r="I502" i="521"/>
  <c r="I285" i="518"/>
  <c r="I327" i="523"/>
  <c r="J96" i="521"/>
  <c r="K429" i="518"/>
  <c r="M584" i="518"/>
  <c r="J770" i="523"/>
  <c r="J128" i="519"/>
  <c r="L453" i="518"/>
  <c r="L570" i="517"/>
  <c r="L81" i="517"/>
  <c r="I114" i="521"/>
  <c r="M322" i="523"/>
  <c r="K663" i="517"/>
  <c r="I535" i="518"/>
  <c r="M268" i="520"/>
  <c r="J241" i="518"/>
  <c r="J579" i="518"/>
  <c r="L825" i="523"/>
  <c r="L370" i="521"/>
  <c r="K520" i="523"/>
  <c r="I139" i="518"/>
  <c r="M558" i="517"/>
  <c r="K515" i="523"/>
  <c r="L613" i="517"/>
  <c r="I294" i="519"/>
  <c r="L808" i="523"/>
  <c r="L605" i="517"/>
  <c r="L250" i="518"/>
  <c r="I76" i="521"/>
  <c r="I57" i="518"/>
  <c r="J367" i="519"/>
  <c r="M573" i="523"/>
  <c r="M476" i="517"/>
  <c r="I537" i="517"/>
  <c r="L572" i="521"/>
  <c r="J401" i="523"/>
  <c r="I638" i="518"/>
  <c r="M294" i="519"/>
  <c r="L649" i="517"/>
  <c r="D554" i="247"/>
  <c r="I401" i="520"/>
  <c r="J135" i="521"/>
  <c r="K94" i="517"/>
  <c r="M405" i="517"/>
  <c r="K13" i="520"/>
  <c r="K268" i="521"/>
  <c r="C19" i="523"/>
  <c r="J557" i="520"/>
  <c r="I508" i="518"/>
  <c r="L14" i="517"/>
  <c r="J304" i="521"/>
  <c r="L113" i="518"/>
  <c r="I592" i="518"/>
  <c r="L417" i="520"/>
  <c r="J373" i="519"/>
  <c r="K449" i="520"/>
  <c r="J22" i="519"/>
  <c r="J233" i="518"/>
  <c r="K299" i="519"/>
  <c r="L456" i="520"/>
  <c r="I655" i="521"/>
  <c r="I305" i="523"/>
  <c r="L358" i="518"/>
  <c r="C5" i="518"/>
  <c r="L112" i="523"/>
  <c r="J42" i="523"/>
  <c r="M648" i="523"/>
  <c r="L275" i="519"/>
  <c r="M643" i="517"/>
  <c r="I186" i="517"/>
  <c r="M388" i="519"/>
  <c r="K426" i="518"/>
  <c r="J312" i="518"/>
  <c r="J654" i="517"/>
  <c r="C348" i="247"/>
  <c r="K271" i="520"/>
  <c r="J158" i="517"/>
  <c r="C406" i="247"/>
  <c r="L540" i="518"/>
  <c r="J402" i="519"/>
  <c r="L54" i="519"/>
  <c r="J522" i="517"/>
  <c r="K577" i="521"/>
  <c r="J512" i="523"/>
  <c r="K139" i="521"/>
  <c r="K408" i="521"/>
  <c r="J8" i="520"/>
  <c r="K542" i="519"/>
  <c r="K164" i="521"/>
  <c r="L713" i="523"/>
  <c r="M383" i="523"/>
  <c r="I610" i="521"/>
  <c r="F5" i="517"/>
  <c r="I272" i="517"/>
  <c r="M313" i="517"/>
  <c r="K466" i="523"/>
  <c r="K676" i="521"/>
  <c r="J219" i="519"/>
  <c r="J412" i="520"/>
  <c r="J541" i="521"/>
  <c r="L117" i="523"/>
  <c r="I299" i="519"/>
  <c r="M69" i="517"/>
  <c r="M242" i="521"/>
  <c r="I12" i="523"/>
  <c r="L433" i="520"/>
  <c r="M492" i="518"/>
  <c r="I448" i="518"/>
  <c r="M432" i="521"/>
  <c r="M590" i="520"/>
  <c r="L341" i="523"/>
  <c r="L224" i="521"/>
  <c r="F29" i="523"/>
  <c r="I417" i="518"/>
  <c r="M210" i="519"/>
  <c r="I190" i="520"/>
  <c r="J602" i="523"/>
  <c r="L558" i="517"/>
  <c r="K5" i="518"/>
  <c r="I413" i="518"/>
  <c r="K469" i="521"/>
  <c r="L609" i="519"/>
  <c r="L826" i="523"/>
  <c r="M556" i="523"/>
  <c r="J343" i="521"/>
  <c r="L394" i="518"/>
  <c r="M424" i="517"/>
  <c r="I96" i="520"/>
  <c r="K135" i="521"/>
  <c r="I394" i="519"/>
  <c r="J254" i="519"/>
  <c r="J492" i="520"/>
  <c r="I573" i="520"/>
  <c r="L629" i="517"/>
  <c r="M647" i="519"/>
  <c r="C37" i="247"/>
  <c r="K387" i="523"/>
  <c r="C191" i="247"/>
  <c r="J34" i="523"/>
  <c r="J476" i="521"/>
  <c r="I439" i="521"/>
  <c r="J385" i="519"/>
  <c r="I318" i="523"/>
  <c r="K2" i="523"/>
  <c r="D83" i="247"/>
  <c r="J650" i="519"/>
  <c r="K398" i="523"/>
  <c r="M49" i="519"/>
  <c r="M43" i="519"/>
  <c r="K280" i="518"/>
  <c r="L37" i="521"/>
  <c r="K315" i="519"/>
  <c r="K317" i="523"/>
  <c r="M10" i="523"/>
  <c r="M513" i="517"/>
  <c r="L17" i="517"/>
  <c r="K406" i="523"/>
  <c r="J634" i="517"/>
  <c r="L30" i="518"/>
  <c r="I68" i="518"/>
  <c r="J165" i="521"/>
  <c r="J255" i="521"/>
  <c r="K808" i="523"/>
  <c r="I308" i="520"/>
  <c r="J208" i="517"/>
  <c r="E21" i="519"/>
  <c r="M666" i="519"/>
  <c r="I652" i="517"/>
  <c r="I82" i="523"/>
  <c r="I247" i="519"/>
  <c r="L416" i="521"/>
  <c r="M666" i="523"/>
  <c r="J836" i="523"/>
  <c r="M589" i="521"/>
  <c r="L159" i="520"/>
  <c r="M200" i="519"/>
  <c r="I790" i="523"/>
  <c r="D255" i="247"/>
  <c r="I157" i="519"/>
  <c r="M383" i="518"/>
  <c r="K185" i="521"/>
  <c r="K33" i="519"/>
  <c r="L109" i="519"/>
  <c r="L49" i="521"/>
  <c r="J317" i="521"/>
  <c r="Q21" i="3"/>
  <c r="L401" i="518"/>
  <c r="M334" i="519"/>
  <c r="A10" i="521"/>
  <c r="M571" i="519"/>
  <c r="I452" i="519"/>
  <c r="L510" i="521"/>
  <c r="K237" i="520"/>
  <c r="K91" i="520"/>
  <c r="M579" i="517"/>
  <c r="K81" i="518"/>
  <c r="I639" i="523"/>
  <c r="K659" i="523"/>
  <c r="M614" i="517"/>
  <c r="M379" i="521"/>
  <c r="K335" i="517"/>
  <c r="K342" i="518"/>
  <c r="M58" i="517"/>
  <c r="J425" i="517"/>
  <c r="K505" i="519"/>
  <c r="I44" i="519"/>
  <c r="K175" i="517"/>
  <c r="D171" i="247"/>
  <c r="I576" i="523"/>
  <c r="A38" i="518"/>
  <c r="M187" i="520"/>
  <c r="P14" i="3"/>
  <c r="M133" i="517"/>
  <c r="J312" i="521"/>
  <c r="K277" i="523"/>
  <c r="J651" i="523"/>
  <c r="I480" i="520"/>
  <c r="L558" i="518"/>
  <c r="K318" i="519"/>
  <c r="K684" i="517"/>
  <c r="J273" i="518"/>
  <c r="D334" i="247"/>
  <c r="K654" i="519"/>
  <c r="I488" i="521"/>
  <c r="F11" i="517"/>
  <c r="L275" i="520"/>
  <c r="J690" i="518"/>
  <c r="K765" i="523"/>
  <c r="J357" i="523"/>
  <c r="K600" i="518"/>
  <c r="I243" i="523"/>
  <c r="K809" i="523"/>
  <c r="I521" i="523"/>
  <c r="C5" i="523"/>
  <c r="I205" i="521"/>
  <c r="L241" i="517"/>
  <c r="K324" i="519"/>
  <c r="L476" i="518"/>
  <c r="J510" i="523"/>
  <c r="M81" i="520"/>
  <c r="M34" i="518"/>
  <c r="J788" i="523"/>
  <c r="I181" i="519"/>
  <c r="K6" i="518"/>
  <c r="I251" i="518"/>
  <c r="I142" i="523"/>
  <c r="J29" i="523"/>
  <c r="K333" i="517"/>
  <c r="K296" i="518"/>
  <c r="I786" i="523"/>
  <c r="I517" i="517"/>
  <c r="J116" i="520"/>
  <c r="I438" i="523"/>
  <c r="J410" i="523"/>
  <c r="J105" i="520"/>
  <c r="E12" i="518"/>
  <c r="I629" i="521"/>
  <c r="K631" i="519"/>
  <c r="I431" i="517"/>
  <c r="K19" i="519"/>
  <c r="K15" i="517"/>
  <c r="J651" i="521"/>
  <c r="I13" i="517"/>
  <c r="K176" i="520"/>
  <c r="K108" i="523"/>
  <c r="L463" i="517"/>
  <c r="I200" i="523"/>
  <c r="M366" i="520"/>
  <c r="I456" i="523"/>
  <c r="K422" i="517"/>
  <c r="J292" i="518"/>
  <c r="M573" i="517"/>
  <c r="J408" i="519"/>
  <c r="K484" i="520"/>
  <c r="J441" i="518"/>
  <c r="I553" i="517"/>
  <c r="D331" i="247"/>
  <c r="K24" i="520"/>
  <c r="L233" i="518"/>
  <c r="I78" i="518"/>
  <c r="K8" i="518"/>
  <c r="K85" i="518"/>
  <c r="I58" i="518"/>
  <c r="K166" i="518"/>
  <c r="K301" i="521"/>
  <c r="K122" i="519"/>
  <c r="K487" i="517"/>
  <c r="J572" i="519"/>
  <c r="J476" i="520"/>
  <c r="I381" i="517"/>
  <c r="J90" i="517"/>
  <c r="C109" i="247"/>
  <c r="C561" i="247"/>
  <c r="M667" i="519"/>
  <c r="L675" i="520"/>
  <c r="M392" i="521"/>
  <c r="L39" i="517"/>
  <c r="I62" i="523"/>
  <c r="F20" i="520"/>
  <c r="M424" i="518"/>
  <c r="J174" i="521"/>
  <c r="K342" i="517"/>
  <c r="E10" i="523"/>
  <c r="M15" i="520"/>
  <c r="J215" i="518"/>
  <c r="L541" i="520"/>
  <c r="J383" i="517"/>
  <c r="L557" i="517"/>
  <c r="L685" i="520"/>
  <c r="J350" i="521"/>
  <c r="L511" i="519"/>
  <c r="D498" i="247"/>
  <c r="L672" i="523"/>
  <c r="E24" i="520"/>
  <c r="C448" i="247"/>
  <c r="I478" i="523"/>
  <c r="J688" i="520"/>
  <c r="M542" i="519"/>
  <c r="J562" i="520"/>
  <c r="C12" i="520"/>
  <c r="A21" i="518"/>
  <c r="I691" i="521"/>
  <c r="K390" i="517"/>
  <c r="K335" i="519"/>
  <c r="L228" i="523"/>
  <c r="J133" i="520"/>
  <c r="J505" i="520"/>
  <c r="M161" i="520"/>
  <c r="I429" i="521"/>
  <c r="I424" i="517"/>
  <c r="L464" i="520"/>
  <c r="I86" i="520"/>
  <c r="K335" i="520"/>
  <c r="K832" i="523"/>
  <c r="E27" i="521"/>
  <c r="I382" i="517"/>
  <c r="H10" i="521"/>
  <c r="J686" i="517"/>
  <c r="J62" i="523"/>
  <c r="M349" i="521"/>
  <c r="K581" i="519"/>
  <c r="K480" i="523"/>
  <c r="L354" i="520"/>
  <c r="M155" i="520"/>
  <c r="I139" i="519"/>
  <c r="J594" i="517"/>
  <c r="M546" i="520"/>
  <c r="I45" i="518"/>
  <c r="L295" i="517"/>
  <c r="M518" i="523"/>
  <c r="C89" i="247"/>
  <c r="K276" i="521"/>
  <c r="M481" i="520"/>
  <c r="K82" i="523"/>
  <c r="K162" i="518"/>
  <c r="L766" i="523"/>
  <c r="I86" i="521"/>
  <c r="J596" i="518"/>
  <c r="M16" i="520"/>
  <c r="I441" i="520"/>
  <c r="I40" i="519"/>
  <c r="K584" i="523"/>
  <c r="L335" i="519"/>
  <c r="L461" i="523"/>
  <c r="L615" i="517"/>
  <c r="I535" i="520"/>
  <c r="K216" i="517"/>
  <c r="J505" i="518"/>
  <c r="I85" i="521"/>
  <c r="J36" i="518"/>
  <c r="L524" i="518"/>
  <c r="E10" i="519"/>
  <c r="I594" i="519"/>
  <c r="K570" i="518"/>
  <c r="K184" i="518"/>
  <c r="M399" i="521"/>
  <c r="I111" i="519"/>
  <c r="K180" i="517"/>
  <c r="M249" i="517"/>
  <c r="M71" i="520"/>
  <c r="L470" i="521"/>
  <c r="M204" i="520"/>
  <c r="I484" i="518"/>
  <c r="I95" i="520"/>
  <c r="I258" i="519"/>
  <c r="J163" i="523"/>
  <c r="C46" i="518"/>
  <c r="K334" i="519"/>
  <c r="I100" i="521"/>
  <c r="L657" i="519"/>
  <c r="L487" i="518"/>
  <c r="C451" i="247"/>
  <c r="I5" i="519"/>
  <c r="J329" i="517"/>
  <c r="M624" i="518"/>
  <c r="K645" i="520"/>
  <c r="L105" i="517"/>
  <c r="L77" i="519"/>
  <c r="I150" i="520"/>
  <c r="M370" i="518"/>
  <c r="I421" i="523"/>
  <c r="D310" i="247"/>
  <c r="J292" i="523"/>
  <c r="K445" i="519"/>
  <c r="J418" i="519"/>
  <c r="M145" i="518"/>
  <c r="M57" i="519"/>
  <c r="M207" i="518"/>
  <c r="L6" i="517"/>
  <c r="K72" i="519"/>
  <c r="I353" i="521"/>
  <c r="J407" i="523"/>
  <c r="J723" i="523"/>
  <c r="J642" i="518"/>
  <c r="J569" i="520"/>
  <c r="J411" i="521"/>
  <c r="I639" i="519"/>
  <c r="Q32" i="3"/>
  <c r="C328" i="247"/>
  <c r="D250" i="247"/>
  <c r="J81" i="518"/>
  <c r="K341" i="523"/>
  <c r="L809" i="523"/>
  <c r="I748" i="523"/>
  <c r="J70" i="523"/>
  <c r="J681" i="520"/>
  <c r="K553" i="518"/>
  <c r="M200" i="518"/>
  <c r="M96" i="517"/>
  <c r="L204" i="519"/>
  <c r="J384" i="519"/>
  <c r="K289" i="521"/>
  <c r="J624" i="519"/>
  <c r="J607" i="520"/>
  <c r="L138" i="521"/>
  <c r="L57" i="520"/>
  <c r="I530" i="523"/>
  <c r="L235" i="521"/>
  <c r="I106" i="517"/>
  <c r="L499" i="518"/>
  <c r="K372" i="520"/>
  <c r="L665" i="519"/>
  <c r="L525" i="520"/>
  <c r="L165" i="518"/>
  <c r="I603" i="521"/>
  <c r="G19" i="519"/>
  <c r="K627" i="523"/>
  <c r="I546" i="519"/>
  <c r="K174" i="523"/>
  <c r="K319" i="518"/>
  <c r="J64" i="523"/>
  <c r="K687" i="518"/>
  <c r="I404" i="523"/>
  <c r="I376" i="519"/>
  <c r="L116" i="519"/>
  <c r="M514" i="523"/>
  <c r="F21" i="518"/>
  <c r="K371" i="519"/>
  <c r="L31" i="519"/>
  <c r="J484" i="520"/>
  <c r="M427" i="523"/>
  <c r="M554" i="520"/>
  <c r="I17" i="519"/>
  <c r="K239" i="521"/>
  <c r="M604" i="520"/>
  <c r="L368" i="520"/>
  <c r="M241" i="523"/>
  <c r="L76" i="520"/>
  <c r="A23" i="523"/>
  <c r="M463" i="521"/>
  <c r="I346" i="523"/>
  <c r="C46" i="523"/>
  <c r="M241" i="520"/>
  <c r="K496" i="519"/>
  <c r="I76" i="523"/>
  <c r="K713" i="523"/>
  <c r="M85" i="518"/>
  <c r="M539" i="517"/>
  <c r="D280" i="247"/>
  <c r="A37" i="521"/>
  <c r="J349" i="523"/>
  <c r="M379" i="517"/>
  <c r="K524" i="518"/>
  <c r="M211" i="518"/>
  <c r="I47" i="523"/>
  <c r="J70" i="519"/>
  <c r="L315" i="517"/>
  <c r="J689" i="520"/>
  <c r="L411" i="519"/>
  <c r="C72" i="247"/>
  <c r="L595" i="523"/>
  <c r="K172" i="517"/>
  <c r="M54" i="523"/>
  <c r="J63" i="519"/>
  <c r="I29" i="518"/>
  <c r="J407" i="517"/>
  <c r="K489" i="523"/>
  <c r="E5" i="523"/>
  <c r="I170" i="517"/>
  <c r="L480" i="523"/>
  <c r="M20" i="517"/>
  <c r="I225" i="518"/>
  <c r="M227" i="521"/>
  <c r="M685" i="519"/>
  <c r="I608" i="519"/>
  <c r="K221" i="519"/>
  <c r="K539" i="519"/>
  <c r="L440" i="518"/>
  <c r="J609" i="518"/>
  <c r="K72" i="517"/>
  <c r="L598" i="518"/>
  <c r="D347" i="247"/>
  <c r="M133" i="519"/>
  <c r="K163" i="519"/>
  <c r="I540" i="519"/>
  <c r="K361" i="518"/>
  <c r="J445" i="523"/>
  <c r="H25" i="517"/>
  <c r="I323" i="523"/>
  <c r="I823" i="523"/>
  <c r="M190" i="520"/>
  <c r="K419" i="523"/>
  <c r="M18" i="521"/>
  <c r="L467" i="517"/>
  <c r="D338" i="247"/>
  <c r="M316" i="518"/>
  <c r="I151" i="518"/>
  <c r="L181" i="519"/>
  <c r="K544" i="523"/>
  <c r="J314" i="518"/>
  <c r="J174" i="523"/>
  <c r="M333" i="523"/>
  <c r="K219" i="519"/>
  <c r="J571" i="521"/>
  <c r="K452" i="518"/>
  <c r="D130" i="247"/>
  <c r="L647" i="523"/>
  <c r="J212" i="521"/>
  <c r="J454" i="518"/>
  <c r="J24" i="521"/>
  <c r="C346" i="247"/>
  <c r="I378" i="519"/>
  <c r="J561" i="518"/>
  <c r="J326" i="520"/>
  <c r="K137" i="519"/>
  <c r="I231" i="518"/>
  <c r="K56" i="519"/>
  <c r="J18" i="519"/>
  <c r="L672" i="518"/>
  <c r="C70" i="247"/>
  <c r="L299" i="518"/>
  <c r="J779" i="523"/>
  <c r="K184" i="523"/>
  <c r="J150" i="518"/>
  <c r="L308" i="523"/>
  <c r="K485" i="519"/>
  <c r="I549" i="523"/>
  <c r="M291" i="523"/>
  <c r="I66" i="521"/>
  <c r="K79" i="521"/>
  <c r="I492" i="519"/>
  <c r="L216" i="519"/>
  <c r="I630" i="520"/>
  <c r="K156" i="520"/>
  <c r="J666" i="517"/>
  <c r="L661" i="521"/>
  <c r="K624" i="519"/>
  <c r="I368" i="520"/>
  <c r="L238" i="521"/>
  <c r="I283" i="519"/>
  <c r="J158" i="518"/>
  <c r="K509" i="520"/>
  <c r="M596" i="523"/>
  <c r="I81" i="518"/>
  <c r="J751" i="523"/>
  <c r="L291" i="518"/>
  <c r="M271" i="520"/>
  <c r="M449" i="520"/>
  <c r="I218" i="523"/>
  <c r="I228" i="520"/>
  <c r="I183" i="521"/>
  <c r="J282" i="521"/>
  <c r="M550" i="521"/>
  <c r="C125" i="247"/>
  <c r="K532" i="523"/>
  <c r="L429" i="517"/>
  <c r="K496" i="521"/>
  <c r="G11" i="517"/>
  <c r="P35" i="3"/>
  <c r="K429" i="520"/>
  <c r="K21" i="517"/>
  <c r="L251" i="518"/>
  <c r="K58" i="520"/>
  <c r="L645" i="518"/>
  <c r="L578" i="517"/>
  <c r="K321" i="519"/>
  <c r="I106" i="523"/>
  <c r="L656" i="520"/>
  <c r="J618" i="518"/>
  <c r="J476" i="519"/>
  <c r="L527" i="519"/>
  <c r="L14" i="523"/>
  <c r="I267" i="523"/>
  <c r="C2" i="507"/>
  <c r="J376" i="521"/>
  <c r="L303" i="523"/>
  <c r="D287" i="247"/>
  <c r="K432" i="517"/>
  <c r="C363" i="247"/>
  <c r="J299" i="519"/>
  <c r="C37" i="521"/>
  <c r="M395" i="518"/>
  <c r="J440" i="520"/>
  <c r="J56" i="520"/>
  <c r="L146" i="518"/>
  <c r="M367" i="520"/>
  <c r="K685" i="520"/>
  <c r="K7" i="517"/>
  <c r="M276" i="521"/>
  <c r="I499" i="521"/>
  <c r="M304" i="523"/>
  <c r="L6" i="523"/>
  <c r="I46" i="521"/>
  <c r="I465" i="518"/>
  <c r="L89" i="518"/>
  <c r="K183" i="517"/>
  <c r="I592" i="517"/>
  <c r="J684" i="517"/>
  <c r="M323" i="518"/>
  <c r="M383" i="519"/>
  <c r="K257" i="520"/>
  <c r="J42" i="518"/>
  <c r="L740" i="523"/>
  <c r="I377" i="523"/>
  <c r="L467" i="520"/>
  <c r="K652" i="519"/>
  <c r="K365" i="520"/>
  <c r="L265" i="520"/>
  <c r="I686" i="523"/>
  <c r="J175" i="521"/>
  <c r="K370" i="521"/>
  <c r="K488" i="523"/>
  <c r="J481" i="517"/>
  <c r="Q16" i="3"/>
  <c r="L693" i="523"/>
  <c r="L303" i="521"/>
  <c r="J451" i="523"/>
  <c r="L192" i="519"/>
  <c r="I115" i="521"/>
  <c r="M333" i="519"/>
  <c r="M180" i="517"/>
  <c r="D123" i="247"/>
  <c r="J144" i="519"/>
  <c r="M652" i="517"/>
  <c r="I460" i="523"/>
  <c r="I122" i="517"/>
  <c r="L94" i="520"/>
  <c r="M508" i="520"/>
  <c r="L583" i="519"/>
  <c r="K136" i="517"/>
  <c r="K327" i="518"/>
  <c r="M633" i="523"/>
  <c r="L830" i="523"/>
  <c r="L679" i="517"/>
  <c r="I561" i="521"/>
  <c r="M314" i="519"/>
  <c r="M313" i="519"/>
  <c r="J52" i="523"/>
  <c r="M268" i="519"/>
  <c r="J369" i="519"/>
  <c r="J453" i="517"/>
  <c r="L371" i="518"/>
  <c r="K490" i="521"/>
  <c r="J534" i="517"/>
  <c r="J95" i="521"/>
  <c r="E2" i="519"/>
  <c r="G24" i="519"/>
  <c r="J215" i="519"/>
  <c r="L284" i="523"/>
  <c r="I439" i="520"/>
  <c r="K258" i="518"/>
  <c r="I31" i="518"/>
  <c r="L218" i="517"/>
  <c r="K404" i="520"/>
  <c r="K285" i="523"/>
  <c r="M397" i="517"/>
  <c r="K424" i="521"/>
  <c r="L436" i="521"/>
  <c r="L565" i="523"/>
  <c r="J469" i="521"/>
  <c r="J175" i="520"/>
  <c r="M728" i="523"/>
  <c r="K643" i="520"/>
  <c r="I186" i="520"/>
  <c r="L223" i="520"/>
  <c r="I555" i="519"/>
  <c r="I167" i="519"/>
  <c r="J562" i="518"/>
  <c r="J534" i="520"/>
  <c r="L395" i="519"/>
  <c r="L12" i="518"/>
  <c r="I110" i="517"/>
  <c r="L25" i="521"/>
  <c r="J489" i="521"/>
  <c r="M437" i="523"/>
  <c r="J79" i="519"/>
  <c r="K627" i="519"/>
  <c r="I838" i="523"/>
  <c r="J403" i="520"/>
  <c r="D52" i="247"/>
  <c r="M269" i="518"/>
  <c r="K47" i="521"/>
  <c r="M535" i="518"/>
  <c r="K596" i="517"/>
  <c r="M434" i="521"/>
  <c r="M424" i="519"/>
  <c r="J690" i="521"/>
  <c r="M436" i="520"/>
  <c r="J356" i="520"/>
  <c r="L195" i="518"/>
  <c r="L536" i="523"/>
  <c r="K32" i="517"/>
  <c r="L47" i="518"/>
  <c r="I622" i="521"/>
  <c r="E10" i="520"/>
  <c r="M543" i="523"/>
  <c r="M242" i="523"/>
  <c r="I262" i="520"/>
  <c r="L80" i="518"/>
  <c r="I333" i="518"/>
  <c r="I249" i="521"/>
  <c r="L631" i="519"/>
  <c r="M238" i="519"/>
  <c r="M500" i="519"/>
  <c r="I487" i="517"/>
  <c r="I10" i="523"/>
  <c r="J620" i="518"/>
  <c r="C225" i="247"/>
  <c r="M298" i="519"/>
  <c r="K773" i="523"/>
  <c r="L697" i="523"/>
  <c r="K508" i="523"/>
  <c r="I312" i="517"/>
  <c r="K440" i="517"/>
  <c r="M42" i="521"/>
  <c r="K404" i="517"/>
  <c r="I612" i="517"/>
  <c r="L443" i="517"/>
  <c r="K559" i="521"/>
  <c r="L570" i="520"/>
  <c r="L505" i="517"/>
  <c r="L400" i="519"/>
  <c r="A27" i="520"/>
  <c r="J370" i="517"/>
  <c r="K119" i="517"/>
  <c r="J322" i="523"/>
  <c r="D423" i="247"/>
  <c r="L475" i="523"/>
  <c r="L39" i="523"/>
  <c r="K479" i="521"/>
  <c r="M381" i="518"/>
  <c r="C414" i="247"/>
  <c r="I22" i="517"/>
  <c r="I161" i="521"/>
  <c r="L549" i="523"/>
  <c r="K406" i="520"/>
  <c r="L205" i="521"/>
  <c r="M585" i="519"/>
  <c r="L510" i="523"/>
  <c r="K97" i="517"/>
  <c r="J336" i="519"/>
  <c r="J290" i="521"/>
  <c r="K644" i="520"/>
  <c r="L174" i="519"/>
  <c r="L263" i="519"/>
  <c r="M764" i="523"/>
  <c r="L588" i="520"/>
  <c r="L156" i="519"/>
  <c r="I132" i="521"/>
  <c r="M680" i="521"/>
  <c r="K23" i="519"/>
  <c r="M532" i="520"/>
  <c r="C520" i="247"/>
  <c r="C6" i="507"/>
  <c r="K674" i="523"/>
  <c r="D246" i="247"/>
  <c r="C59" i="247"/>
  <c r="K440" i="523"/>
  <c r="L513" i="517"/>
  <c r="I592" i="523"/>
  <c r="I292" i="518"/>
  <c r="J462" i="520"/>
  <c r="K672" i="520"/>
  <c r="J750" i="523"/>
  <c r="M441" i="520"/>
  <c r="L572" i="517"/>
  <c r="K299" i="521"/>
  <c r="J209" i="523"/>
  <c r="I304" i="517"/>
  <c r="M551" i="521"/>
  <c r="L487" i="520"/>
  <c r="J427" i="517"/>
  <c r="I658" i="521"/>
  <c r="K231" i="521"/>
  <c r="C35" i="521"/>
  <c r="L344" i="520"/>
  <c r="M564" i="517"/>
  <c r="J598" i="517"/>
  <c r="J410" i="517"/>
  <c r="I73" i="518"/>
  <c r="L466" i="518"/>
  <c r="L612" i="523"/>
  <c r="J413" i="519"/>
  <c r="K330" i="519"/>
  <c r="M390" i="518"/>
  <c r="G6" i="521"/>
  <c r="L637" i="521"/>
  <c r="K798" i="523"/>
  <c r="J688" i="521"/>
  <c r="I600" i="521"/>
  <c r="J231" i="523"/>
  <c r="K168" i="523"/>
  <c r="M310" i="518"/>
  <c r="K581" i="523"/>
  <c r="J294" i="520"/>
  <c r="L441" i="520"/>
  <c r="J578" i="519"/>
  <c r="L544" i="519"/>
  <c r="M650" i="517"/>
  <c r="I415" i="520"/>
  <c r="L608" i="523"/>
  <c r="L470" i="517"/>
  <c r="L425" i="517"/>
  <c r="K310" i="518"/>
  <c r="M653" i="518"/>
  <c r="I566" i="521"/>
  <c r="M59" i="521"/>
  <c r="I298" i="520"/>
  <c r="K628" i="520"/>
  <c r="M97" i="519"/>
  <c r="C58" i="247"/>
  <c r="M130" i="517"/>
  <c r="L78" i="520"/>
  <c r="J414" i="519"/>
  <c r="L372" i="519"/>
  <c r="L447" i="520"/>
  <c r="K376" i="523"/>
  <c r="I73" i="517"/>
  <c r="K395" i="523"/>
  <c r="K607" i="523"/>
  <c r="K308" i="517"/>
  <c r="K561" i="517"/>
  <c r="M624" i="520"/>
  <c r="K338" i="523"/>
  <c r="K18" i="519"/>
  <c r="M626" i="517"/>
  <c r="L761" i="523"/>
  <c r="E25" i="523"/>
  <c r="I98" i="518"/>
  <c r="M473" i="523"/>
  <c r="G7" i="521"/>
  <c r="L290" i="521"/>
  <c r="J38" i="519"/>
  <c r="J45" i="518"/>
  <c r="K152" i="520"/>
  <c r="I794" i="523"/>
  <c r="K143" i="523"/>
  <c r="I468" i="523"/>
  <c r="L43" i="521"/>
  <c r="K311" i="521"/>
  <c r="C20" i="519"/>
  <c r="L227" i="518"/>
  <c r="I56" i="517"/>
  <c r="I619" i="521"/>
  <c r="J406" i="521"/>
  <c r="K70" i="518"/>
  <c r="L90" i="523"/>
  <c r="J383" i="523"/>
  <c r="I157" i="521"/>
  <c r="I286" i="520"/>
  <c r="I511" i="520"/>
  <c r="M262" i="517"/>
  <c r="J222" i="523"/>
  <c r="J401" i="518"/>
  <c r="K116" i="520"/>
  <c r="M532" i="523"/>
  <c r="L547" i="520"/>
  <c r="G12" i="518"/>
  <c r="J686" i="520"/>
  <c r="L538" i="521"/>
  <c r="J315" i="521"/>
  <c r="M152" i="517"/>
  <c r="J444" i="519"/>
  <c r="J371" i="521"/>
  <c r="K187" i="521"/>
  <c r="J662" i="517"/>
  <c r="J578" i="518"/>
  <c r="I671" i="520"/>
  <c r="K761" i="523"/>
  <c r="M215" i="518"/>
  <c r="M290" i="518"/>
  <c r="K96" i="523"/>
  <c r="I623" i="518"/>
  <c r="I610" i="518"/>
  <c r="L523" i="517"/>
  <c r="M248" i="520"/>
  <c r="L59" i="520"/>
  <c r="I76" i="518"/>
  <c r="L25" i="517"/>
  <c r="I396" i="523"/>
  <c r="I649" i="519"/>
  <c r="L298" i="523"/>
  <c r="M403" i="519"/>
  <c r="L438" i="517"/>
  <c r="M276" i="517"/>
  <c r="K528" i="523"/>
  <c r="K144" i="519"/>
  <c r="L220" i="521"/>
  <c r="I386" i="520"/>
  <c r="L243" i="523"/>
  <c r="I741" i="523"/>
  <c r="J612" i="517"/>
  <c r="D389" i="247"/>
  <c r="M353" i="523"/>
  <c r="I125" i="518"/>
  <c r="J506" i="523"/>
  <c r="J336" i="521"/>
  <c r="K657" i="518"/>
  <c r="I643" i="523"/>
  <c r="I175" i="518"/>
  <c r="M210" i="518"/>
  <c r="M99" i="520"/>
  <c r="K400" i="518"/>
  <c r="K213" i="519"/>
  <c r="I541" i="517"/>
  <c r="L265" i="518"/>
  <c r="I398" i="523"/>
  <c r="H4" i="519"/>
  <c r="I353" i="519"/>
  <c r="M86" i="523"/>
  <c r="I214" i="520"/>
  <c r="M544" i="517"/>
  <c r="M99" i="517"/>
  <c r="J316" i="523"/>
  <c r="K387" i="517"/>
  <c r="J487" i="520"/>
  <c r="L4" i="520"/>
  <c r="J512" i="518"/>
  <c r="I404" i="521"/>
  <c r="L441" i="519"/>
  <c r="I400" i="518"/>
  <c r="I259" i="519"/>
  <c r="L423" i="523"/>
  <c r="K406" i="517"/>
  <c r="K244" i="518"/>
  <c r="M106" i="521"/>
  <c r="K80" i="517"/>
  <c r="M400" i="523"/>
  <c r="L552" i="523"/>
  <c r="I403" i="518"/>
  <c r="K310" i="523"/>
  <c r="D431" i="247"/>
  <c r="I340" i="520"/>
  <c r="K413" i="518"/>
  <c r="L645" i="520"/>
  <c r="F5" i="523"/>
  <c r="I524" i="523"/>
  <c r="K643" i="518"/>
  <c r="L249" i="523"/>
  <c r="M546" i="519"/>
  <c r="K601" i="519"/>
  <c r="I655" i="517"/>
  <c r="D104" i="247"/>
  <c r="K11" i="517"/>
  <c r="I313" i="519"/>
  <c r="C447" i="247"/>
  <c r="I428" i="518"/>
  <c r="M332" i="519"/>
  <c r="M508" i="523"/>
  <c r="K315" i="521"/>
  <c r="M825" i="523"/>
  <c r="L425" i="519"/>
  <c r="I495" i="517"/>
  <c r="I290" i="518"/>
  <c r="L539" i="521"/>
  <c r="M389" i="519"/>
  <c r="I602" i="520"/>
  <c r="K841" i="523"/>
  <c r="I594" i="518"/>
  <c r="L281" i="517"/>
  <c r="L443" i="521"/>
  <c r="M631" i="518"/>
  <c r="G19" i="521"/>
  <c r="M472" i="518"/>
  <c r="M87" i="518"/>
  <c r="K83" i="520"/>
  <c r="M437" i="520"/>
  <c r="L315" i="518"/>
  <c r="C29" i="518"/>
  <c r="I89" i="523"/>
  <c r="J496" i="519"/>
  <c r="M6" i="520"/>
  <c r="C45" i="518"/>
  <c r="L196" i="520"/>
  <c r="E3" i="523"/>
  <c r="E25" i="520"/>
  <c r="L285" i="520"/>
  <c r="J640" i="518"/>
  <c r="J629" i="521"/>
  <c r="I154" i="518"/>
  <c r="D496" i="247"/>
  <c r="K149" i="517"/>
  <c r="J566" i="518"/>
  <c r="K198" i="519"/>
  <c r="M302" i="523"/>
  <c r="K574" i="518"/>
  <c r="M658" i="519"/>
  <c r="I682" i="518"/>
  <c r="A19" i="518"/>
  <c r="L33" i="521"/>
  <c r="L341" i="519"/>
  <c r="J204" i="518"/>
  <c r="I463" i="518"/>
  <c r="D222" i="247"/>
  <c r="K729" i="523"/>
  <c r="I215" i="518"/>
  <c r="L686" i="521"/>
  <c r="M598" i="518"/>
  <c r="L557" i="520"/>
  <c r="J25" i="521"/>
  <c r="L375" i="520"/>
  <c r="I55" i="521"/>
  <c r="M28" i="517"/>
  <c r="J108" i="518"/>
  <c r="J149" i="518"/>
  <c r="L528" i="519"/>
  <c r="L212" i="519"/>
  <c r="L152" i="518"/>
  <c r="M682" i="523"/>
  <c r="I25" i="520"/>
  <c r="K606" i="519"/>
  <c r="M694" i="521"/>
  <c r="M338" i="520"/>
  <c r="K224" i="517"/>
  <c r="L206" i="520"/>
  <c r="I58" i="523"/>
  <c r="J637" i="523"/>
  <c r="L519" i="518"/>
  <c r="I244" i="520"/>
  <c r="I322" i="518"/>
  <c r="L343" i="519"/>
  <c r="M138" i="519"/>
  <c r="C147" i="247"/>
  <c r="F28" i="521"/>
  <c r="I220" i="523"/>
  <c r="D521" i="247"/>
  <c r="J340" i="523"/>
  <c r="K680" i="517"/>
  <c r="L77" i="517"/>
  <c r="D326" i="247"/>
  <c r="M397" i="519"/>
  <c r="M771" i="523"/>
  <c r="L215" i="518"/>
  <c r="I48" i="520"/>
  <c r="K326" i="521"/>
  <c r="M146" i="517"/>
  <c r="D258" i="247"/>
  <c r="L247" i="521"/>
  <c r="K277" i="521"/>
  <c r="M44" i="521"/>
  <c r="K506" i="518"/>
  <c r="I443" i="523"/>
  <c r="D196" i="247"/>
  <c r="M232" i="518"/>
  <c r="I217" i="521"/>
  <c r="J196" i="520"/>
  <c r="L666" i="519"/>
  <c r="F25" i="523"/>
  <c r="M280" i="520"/>
  <c r="L679" i="519"/>
  <c r="K77" i="520"/>
  <c r="I391" i="523"/>
  <c r="J380" i="523"/>
  <c r="M522" i="517"/>
  <c r="L245" i="520"/>
  <c r="K526" i="519"/>
  <c r="K104" i="517"/>
  <c r="J549" i="523"/>
  <c r="I311" i="518"/>
  <c r="M571" i="521"/>
  <c r="K139" i="519"/>
  <c r="M649" i="517"/>
  <c r="M49" i="520"/>
  <c r="L639" i="518"/>
  <c r="H7" i="523"/>
  <c r="I319" i="520"/>
  <c r="J444" i="517"/>
  <c r="K421" i="521"/>
  <c r="C192" i="247"/>
  <c r="K429" i="521"/>
  <c r="M90" i="517"/>
  <c r="K464" i="523"/>
  <c r="M79" i="518"/>
  <c r="K586" i="517"/>
  <c r="K494" i="521"/>
  <c r="L594" i="520"/>
  <c r="K387" i="520"/>
  <c r="I42" i="520"/>
  <c r="J632" i="521"/>
  <c r="I505" i="523"/>
  <c r="I242" i="519"/>
  <c r="M525" i="518"/>
  <c r="E5" i="519"/>
  <c r="K612" i="517"/>
  <c r="M70" i="519"/>
  <c r="K300" i="521"/>
  <c r="H26" i="520"/>
  <c r="M494" i="517"/>
  <c r="J393" i="520"/>
  <c r="D240" i="247"/>
  <c r="L279" i="520"/>
  <c r="G26" i="519"/>
  <c r="M228" i="518"/>
  <c r="J455" i="517"/>
  <c r="K579" i="521"/>
  <c r="J719" i="523"/>
  <c r="J77" i="519"/>
  <c r="D557" i="247"/>
  <c r="K182" i="520"/>
  <c r="I384" i="523"/>
  <c r="I500" i="523"/>
  <c r="M681" i="521"/>
  <c r="K262" i="517"/>
  <c r="J407" i="518"/>
  <c r="I545" i="518"/>
  <c r="I33" i="517"/>
  <c r="L643" i="519"/>
  <c r="J7" i="519"/>
  <c r="K487" i="520"/>
  <c r="M645" i="521"/>
  <c r="I430" i="521"/>
  <c r="M154" i="519"/>
  <c r="M390" i="517"/>
  <c r="L297" i="521"/>
  <c r="J188" i="523"/>
  <c r="L508" i="521"/>
  <c r="A12" i="517"/>
  <c r="L650" i="520"/>
  <c r="J55" i="521"/>
  <c r="J342" i="517"/>
  <c r="I161" i="520"/>
  <c r="J277" i="523"/>
  <c r="J518" i="518"/>
  <c r="M78" i="519"/>
  <c r="K474" i="523"/>
  <c r="I582" i="519"/>
  <c r="I243" i="517"/>
  <c r="I278" i="523"/>
  <c r="L165" i="519"/>
  <c r="K557" i="523"/>
  <c r="K191" i="520"/>
  <c r="K651" i="518"/>
  <c r="I230" i="520"/>
  <c r="K507" i="520"/>
  <c r="K207" i="518"/>
  <c r="I344" i="520"/>
  <c r="M614" i="523"/>
  <c r="L119" i="518"/>
  <c r="M518" i="520"/>
  <c r="I523" i="519"/>
  <c r="M658" i="521"/>
  <c r="L184" i="521"/>
  <c r="J52" i="517"/>
  <c r="L590" i="521"/>
  <c r="M111" i="518"/>
  <c r="K672" i="521"/>
  <c r="L7" i="519"/>
  <c r="K474" i="517"/>
  <c r="J178" i="523"/>
  <c r="K117" i="521"/>
  <c r="L106" i="520"/>
  <c r="J673" i="523"/>
  <c r="P43" i="3"/>
  <c r="J558" i="520"/>
  <c r="L574" i="521"/>
  <c r="L254" i="521"/>
  <c r="K644" i="523"/>
  <c r="L432" i="523"/>
  <c r="L276" i="521"/>
  <c r="C508" i="247"/>
  <c r="J611" i="520"/>
  <c r="K110" i="518"/>
  <c r="L264" i="519"/>
  <c r="K524" i="521"/>
  <c r="D400" i="247"/>
  <c r="C12" i="519"/>
  <c r="L371" i="521"/>
  <c r="K607" i="519"/>
  <c r="K505" i="517"/>
  <c r="J22" i="520"/>
  <c r="K277" i="520"/>
  <c r="K293" i="521"/>
  <c r="J641" i="521"/>
  <c r="J143" i="518"/>
  <c r="M76" i="519"/>
  <c r="J367" i="520"/>
  <c r="M121" i="520"/>
  <c r="J456" i="521"/>
  <c r="J341" i="520"/>
  <c r="J267" i="523"/>
  <c r="J179" i="518"/>
  <c r="M700" i="523"/>
  <c r="I415" i="523"/>
  <c r="J300" i="521"/>
  <c r="J213" i="520"/>
  <c r="I273" i="521"/>
  <c r="I316" i="518"/>
  <c r="I392" i="520"/>
  <c r="L326" i="518"/>
  <c r="M681" i="518"/>
  <c r="L131" i="520"/>
  <c r="K723" i="523"/>
  <c r="K424" i="520"/>
  <c r="J639" i="523"/>
  <c r="M366" i="523"/>
  <c r="J39" i="521"/>
  <c r="M350" i="519"/>
  <c r="L304" i="519"/>
  <c r="M538" i="517"/>
  <c r="E20" i="519"/>
  <c r="L389" i="523"/>
  <c r="K321" i="521"/>
  <c r="L515" i="519"/>
  <c r="M325" i="521"/>
  <c r="M569" i="517"/>
  <c r="L179" i="517"/>
  <c r="A4" i="518"/>
  <c r="K565" i="520"/>
  <c r="K500" i="520"/>
  <c r="M203" i="520"/>
  <c r="J106" i="517"/>
  <c r="I430" i="520"/>
  <c r="J197" i="518"/>
  <c r="L629" i="518"/>
  <c r="J99" i="523"/>
  <c r="J119" i="517"/>
  <c r="L73" i="523"/>
  <c r="J446" i="517"/>
  <c r="M527" i="519"/>
  <c r="M659" i="517"/>
  <c r="J143" i="523"/>
  <c r="M29" i="518"/>
  <c r="L224" i="518"/>
  <c r="M589" i="519"/>
  <c r="L305" i="518"/>
  <c r="K438" i="517"/>
  <c r="K549" i="517"/>
  <c r="I65" i="518"/>
  <c r="J123" i="520"/>
  <c r="M120" i="517"/>
  <c r="J679" i="523"/>
  <c r="I301" i="517"/>
  <c r="I514" i="518"/>
  <c r="L426" i="520"/>
  <c r="K23" i="518"/>
  <c r="I79" i="523"/>
  <c r="M98" i="518"/>
  <c r="G5" i="520"/>
  <c r="L492" i="523"/>
  <c r="J500" i="518"/>
  <c r="I394" i="523"/>
  <c r="M623" i="523"/>
  <c r="M372" i="519"/>
  <c r="L631" i="520"/>
  <c r="K178" i="521"/>
  <c r="L529" i="523"/>
  <c r="M421" i="517"/>
  <c r="I111" i="517"/>
  <c r="K28" i="523"/>
  <c r="K383" i="519"/>
  <c r="J257" i="519"/>
  <c r="K8" i="523"/>
  <c r="K690" i="523"/>
  <c r="I489" i="519"/>
  <c r="M332" i="517"/>
  <c r="M690" i="520"/>
  <c r="J344" i="519"/>
  <c r="K476" i="523"/>
  <c r="L339" i="518"/>
  <c r="M531" i="520"/>
  <c r="A7" i="523"/>
  <c r="L516" i="518"/>
  <c r="K55" i="521"/>
  <c r="I672" i="523"/>
  <c r="I322" i="517"/>
  <c r="I439" i="518"/>
  <c r="I469" i="523"/>
  <c r="J802" i="523"/>
  <c r="D344" i="247"/>
  <c r="J646" i="517"/>
  <c r="L101" i="519"/>
  <c r="M621" i="518"/>
  <c r="L538" i="518"/>
  <c r="M134" i="523"/>
  <c r="L28" i="519"/>
  <c r="M623" i="518"/>
  <c r="C36" i="521"/>
  <c r="M70" i="518"/>
  <c r="M203" i="519"/>
  <c r="J460" i="521"/>
  <c r="I83" i="521"/>
  <c r="K125" i="520"/>
  <c r="M58" i="520"/>
  <c r="J108" i="517"/>
  <c r="I646" i="520"/>
  <c r="I61" i="520"/>
  <c r="M194" i="521"/>
  <c r="A10" i="518"/>
  <c r="I313" i="518"/>
  <c r="K409" i="523"/>
  <c r="J88" i="518"/>
  <c r="I680" i="519"/>
  <c r="K434" i="520"/>
  <c r="K571" i="521"/>
  <c r="I55" i="519"/>
  <c r="L433" i="521"/>
  <c r="J97" i="521"/>
  <c r="J606" i="523"/>
  <c r="L442" i="523"/>
  <c r="L383" i="521"/>
  <c r="L464" i="521"/>
  <c r="L318" i="520"/>
  <c r="M265" i="521"/>
  <c r="M88" i="520"/>
  <c r="J119" i="520"/>
  <c r="G25" i="521"/>
  <c r="L24" i="518"/>
  <c r="M60" i="519"/>
  <c r="I599" i="523"/>
  <c r="E20" i="523"/>
  <c r="I501" i="520"/>
  <c r="I57" i="517"/>
  <c r="M287" i="518"/>
  <c r="L363" i="517"/>
  <c r="K684" i="521"/>
  <c r="K510" i="521"/>
  <c r="K25" i="517"/>
  <c r="Q13" i="3"/>
  <c r="I212" i="517"/>
  <c r="J515" i="521"/>
  <c r="J466" i="520"/>
  <c r="K16" i="519"/>
  <c r="K209" i="521"/>
  <c r="J610" i="517"/>
  <c r="M27" i="523"/>
  <c r="L553" i="517"/>
  <c r="M227" i="523"/>
  <c r="I262" i="521"/>
  <c r="J113" i="519"/>
  <c r="M298" i="520"/>
  <c r="J482" i="521"/>
  <c r="J442" i="517"/>
  <c r="J51" i="519"/>
  <c r="L450" i="523"/>
  <c r="L488" i="520"/>
  <c r="L64" i="518"/>
  <c r="K154" i="519"/>
  <c r="K813" i="523"/>
  <c r="M516" i="519"/>
  <c r="M277" i="520"/>
  <c r="J589" i="517"/>
  <c r="J669" i="519"/>
  <c r="L540" i="520"/>
  <c r="F25" i="519"/>
  <c r="I13" i="523"/>
  <c r="M403" i="521"/>
  <c r="K283" i="518"/>
  <c r="I26" i="523"/>
  <c r="M119" i="518"/>
  <c r="M76" i="523"/>
  <c r="I505" i="521"/>
  <c r="K760" i="523"/>
  <c r="I46" i="519"/>
  <c r="J563" i="519"/>
  <c r="J745" i="523"/>
  <c r="J504" i="521"/>
  <c r="I534" i="517"/>
  <c r="J269" i="520"/>
  <c r="L708" i="523"/>
  <c r="L676" i="520"/>
  <c r="I692" i="521"/>
  <c r="L239" i="517"/>
  <c r="K499" i="523"/>
  <c r="I404" i="520"/>
  <c r="I462" i="519"/>
  <c r="I384" i="518"/>
  <c r="I461" i="519"/>
  <c r="L178" i="518"/>
  <c r="M402" i="519"/>
  <c r="I659" i="523"/>
  <c r="L301" i="521"/>
  <c r="K313" i="517"/>
  <c r="M665" i="520"/>
  <c r="I581" i="521"/>
  <c r="J351" i="520"/>
  <c r="J62" i="520"/>
  <c r="M344" i="521"/>
  <c r="C218" i="247"/>
  <c r="L330" i="519"/>
  <c r="L476" i="517"/>
  <c r="I271" i="518"/>
  <c r="I637" i="521"/>
  <c r="J420" i="523"/>
  <c r="I486" i="518"/>
  <c r="M432" i="519"/>
  <c r="J336" i="523"/>
  <c r="I653" i="523"/>
  <c r="C367" i="247"/>
  <c r="C146" i="247"/>
  <c r="K86" i="523"/>
  <c r="L540" i="517"/>
  <c r="L30" i="519"/>
  <c r="J522" i="518"/>
  <c r="C160" i="247"/>
  <c r="K603" i="520"/>
  <c r="M741" i="523"/>
  <c r="I349" i="520"/>
  <c r="M142" i="521"/>
  <c r="K623" i="523"/>
  <c r="L35" i="521"/>
  <c r="K277" i="517"/>
  <c r="M68" i="519"/>
  <c r="L142" i="519"/>
  <c r="I479" i="520"/>
  <c r="I477" i="519"/>
  <c r="J828" i="523"/>
  <c r="L238" i="519"/>
  <c r="D147" i="247"/>
  <c r="M19" i="521"/>
  <c r="C395" i="247"/>
  <c r="K426" i="521"/>
  <c r="L559" i="517"/>
  <c r="L204" i="517"/>
  <c r="E22" i="518"/>
  <c r="I776" i="523"/>
  <c r="L4" i="517"/>
  <c r="K340" i="521"/>
  <c r="I189" i="517"/>
  <c r="I57" i="523"/>
  <c r="M336" i="523"/>
  <c r="I45" i="523"/>
  <c r="B23" i="482"/>
  <c r="L106" i="523"/>
  <c r="J477" i="517"/>
  <c r="L191" i="518"/>
  <c r="L120" i="519"/>
  <c r="J119" i="519"/>
  <c r="J168" i="517"/>
  <c r="J531" i="517"/>
  <c r="J364" i="521"/>
  <c r="K217" i="518"/>
  <c r="M507" i="520"/>
  <c r="J2" i="519"/>
  <c r="I549" i="520"/>
  <c r="J620" i="519"/>
  <c r="K170" i="520"/>
  <c r="J618" i="520"/>
  <c r="J346" i="518"/>
  <c r="K300" i="517"/>
  <c r="J661" i="519"/>
  <c r="K669" i="518"/>
  <c r="L651" i="519"/>
  <c r="M567" i="523"/>
  <c r="J436" i="523"/>
  <c r="L137" i="518"/>
  <c r="I507" i="517"/>
  <c r="I743" i="523"/>
  <c r="J142" i="521"/>
  <c r="J540" i="517"/>
  <c r="L377" i="523"/>
  <c r="Q33" i="3"/>
  <c r="L376" i="519"/>
  <c r="I481" i="519"/>
  <c r="L718" i="523"/>
  <c r="J596" i="523"/>
  <c r="J689" i="523"/>
  <c r="I689" i="517"/>
  <c r="J593" i="521"/>
  <c r="M339" i="517"/>
  <c r="M795" i="523"/>
  <c r="J317" i="517"/>
  <c r="I332" i="518"/>
  <c r="J638" i="517"/>
  <c r="L322" i="519"/>
  <c r="L656" i="519"/>
  <c r="J277" i="518"/>
  <c r="I267" i="518"/>
  <c r="I311" i="520"/>
  <c r="J499" i="521"/>
  <c r="J616" i="517"/>
  <c r="L5" i="518"/>
  <c r="J56" i="523"/>
  <c r="M340" i="517"/>
  <c r="L96" i="518"/>
  <c r="L580" i="523"/>
  <c r="K271" i="521"/>
  <c r="L16" i="523"/>
  <c r="M182" i="523"/>
  <c r="J99" i="518"/>
  <c r="I435" i="517"/>
  <c r="C463" i="247"/>
  <c r="L376" i="517"/>
  <c r="M13" i="521"/>
  <c r="L530" i="520"/>
  <c r="I437" i="518"/>
  <c r="I577" i="518"/>
  <c r="J288" i="523"/>
  <c r="M197" i="518"/>
  <c r="L93" i="519"/>
  <c r="J121" i="520"/>
  <c r="C549" i="247"/>
  <c r="I36" i="521"/>
  <c r="L36" i="517"/>
  <c r="K643" i="523"/>
  <c r="I459" i="521"/>
  <c r="I281" i="520"/>
  <c r="K507" i="519"/>
  <c r="K39" i="520"/>
  <c r="I98" i="519"/>
  <c r="M477" i="519"/>
  <c r="I255" i="518"/>
  <c r="L571" i="517"/>
  <c r="M667" i="517"/>
  <c r="M549" i="519"/>
  <c r="I390" i="517"/>
  <c r="C165" i="247"/>
  <c r="M713" i="523"/>
  <c r="L343" i="523"/>
  <c r="I532" i="518"/>
  <c r="M227" i="519"/>
  <c r="L643" i="520"/>
  <c r="L172" i="520"/>
  <c r="K38" i="520"/>
  <c r="M295" i="518"/>
  <c r="B34" i="247"/>
  <c r="I387" i="519"/>
  <c r="J518" i="517"/>
  <c r="L197" i="517"/>
  <c r="L6" i="518"/>
  <c r="Q20" i="3"/>
  <c r="L247" i="520"/>
  <c r="K417" i="519"/>
  <c r="J453" i="520"/>
  <c r="M499" i="520"/>
  <c r="K361" i="517"/>
  <c r="M666" i="517"/>
  <c r="I485" i="517"/>
  <c r="L69" i="523"/>
  <c r="M84" i="517"/>
  <c r="K105" i="520"/>
  <c r="D363" i="247"/>
  <c r="D317" i="247"/>
  <c r="L652" i="520"/>
  <c r="I599" i="519"/>
  <c r="L326" i="517"/>
  <c r="C296" i="247"/>
  <c r="K682" i="517"/>
  <c r="L505" i="519"/>
  <c r="I498" i="523"/>
  <c r="I144" i="518"/>
  <c r="I418" i="518"/>
  <c r="J151" i="517"/>
  <c r="M55" i="520"/>
  <c r="K465" i="523"/>
  <c r="I398" i="517"/>
  <c r="L320" i="521"/>
  <c r="L133" i="518"/>
  <c r="I138" i="519"/>
  <c r="I582" i="521"/>
  <c r="I425" i="518"/>
  <c r="M77" i="521"/>
  <c r="I575" i="521"/>
  <c r="M651" i="517"/>
  <c r="J275" i="521"/>
  <c r="J6" i="517"/>
  <c r="M285" i="520"/>
  <c r="C442" i="247"/>
  <c r="M109" i="517"/>
  <c r="M84" i="523"/>
  <c r="K409" i="521"/>
  <c r="M444" i="520"/>
  <c r="J642" i="519"/>
  <c r="L174" i="517"/>
  <c r="A7" i="520"/>
  <c r="K226" i="517"/>
  <c r="M275" i="520"/>
  <c r="K364" i="518"/>
  <c r="M192" i="523"/>
  <c r="K83" i="519"/>
  <c r="M560" i="523"/>
  <c r="K393" i="521"/>
  <c r="M264" i="520"/>
  <c r="L620" i="518"/>
  <c r="K227" i="517"/>
  <c r="D81" i="247"/>
  <c r="L610" i="521"/>
  <c r="J110" i="520"/>
  <c r="J135" i="519"/>
  <c r="K369" i="518"/>
  <c r="L705" i="523"/>
  <c r="L664" i="521"/>
  <c r="L28" i="521"/>
  <c r="I618" i="518"/>
  <c r="J225" i="521"/>
  <c r="J561" i="523"/>
  <c r="J415" i="523"/>
  <c r="K500" i="523"/>
  <c r="L199" i="517"/>
  <c r="K195" i="518"/>
  <c r="K161" i="523"/>
  <c r="C25" i="517"/>
  <c r="C37" i="517"/>
  <c r="L456" i="517"/>
  <c r="J473" i="521"/>
  <c r="J276" i="523"/>
  <c r="M656" i="520"/>
  <c r="I342" i="520"/>
  <c r="K187" i="523"/>
  <c r="J256" i="520"/>
  <c r="L327" i="519"/>
  <c r="K202" i="518"/>
  <c r="D436" i="247"/>
  <c r="L314" i="523"/>
  <c r="L359" i="519"/>
  <c r="M646" i="521"/>
  <c r="I425" i="523"/>
  <c r="I457" i="519"/>
  <c r="K179" i="517"/>
  <c r="I248" i="517"/>
  <c r="K555" i="521"/>
  <c r="K391" i="520"/>
  <c r="J585" i="519"/>
  <c r="D472" i="247"/>
  <c r="I610" i="517"/>
  <c r="M230" i="520"/>
  <c r="M455" i="518"/>
  <c r="I80" i="518"/>
  <c r="K151" i="523"/>
  <c r="I211" i="523"/>
  <c r="M551" i="520"/>
  <c r="K108" i="519"/>
  <c r="J557" i="517"/>
  <c r="M402" i="520"/>
  <c r="L122" i="523"/>
  <c r="K541" i="523"/>
  <c r="L644" i="523"/>
  <c r="K349" i="517"/>
  <c r="M370" i="517"/>
  <c r="I68" i="523"/>
  <c r="M590" i="523"/>
  <c r="I673" i="519"/>
  <c r="L60" i="517"/>
  <c r="D162" i="247"/>
  <c r="J786" i="523"/>
  <c r="K283" i="517"/>
  <c r="L132" i="520"/>
  <c r="M320" i="519"/>
  <c r="J443" i="518"/>
  <c r="L295" i="520"/>
  <c r="J678" i="521"/>
  <c r="Q14" i="3"/>
  <c r="C26" i="521"/>
  <c r="J675" i="521"/>
  <c r="I287" i="519"/>
  <c r="E24" i="518"/>
  <c r="M502" i="521"/>
  <c r="M35" i="523"/>
  <c r="K448" i="520"/>
  <c r="K332" i="521"/>
  <c r="D449" i="247"/>
  <c r="L386" i="518"/>
  <c r="M310" i="519"/>
  <c r="J18" i="517"/>
  <c r="L561" i="517"/>
  <c r="J52" i="519"/>
  <c r="L243" i="517"/>
  <c r="M667" i="520"/>
  <c r="M674" i="518"/>
  <c r="J325" i="518"/>
  <c r="J680" i="518"/>
  <c r="M577" i="518"/>
  <c r="C29" i="521"/>
  <c r="L194" i="521"/>
  <c r="C9" i="519"/>
  <c r="I94" i="519"/>
  <c r="J619" i="521"/>
  <c r="L551" i="519"/>
  <c r="J464" i="519"/>
  <c r="L283" i="518"/>
  <c r="K20" i="520"/>
  <c r="I128" i="520"/>
  <c r="J295" i="523"/>
  <c r="L454" i="517"/>
  <c r="K408" i="517"/>
  <c r="M486" i="521"/>
  <c r="M377" i="521"/>
  <c r="J629" i="520"/>
  <c r="K152" i="521"/>
  <c r="L656" i="523"/>
  <c r="L564" i="523"/>
  <c r="L599" i="523"/>
  <c r="M559" i="517"/>
  <c r="J325" i="519"/>
  <c r="M428" i="517"/>
  <c r="Q10" i="3"/>
  <c r="L602" i="523"/>
  <c r="I72" i="518"/>
  <c r="J322" i="517"/>
  <c r="L641" i="521"/>
  <c r="M79" i="521"/>
  <c r="M372" i="517"/>
  <c r="J30" i="523"/>
  <c r="J722" i="523"/>
  <c r="M255" i="520"/>
  <c r="I593" i="521"/>
  <c r="M93" i="517"/>
  <c r="K231" i="520"/>
  <c r="M262" i="518"/>
  <c r="I661" i="518"/>
  <c r="M14" i="519"/>
  <c r="K685" i="521"/>
  <c r="M240" i="521"/>
  <c r="L423" i="521"/>
  <c r="L207" i="521"/>
  <c r="J302" i="517"/>
  <c r="J148" i="520"/>
  <c r="M497" i="517"/>
  <c r="L387" i="521"/>
  <c r="K442" i="517"/>
  <c r="L614" i="518"/>
  <c r="J86" i="519"/>
  <c r="I361" i="518"/>
  <c r="M510" i="519"/>
  <c r="K278" i="518"/>
  <c r="M214" i="520"/>
  <c r="I561" i="519"/>
  <c r="L491" i="518"/>
  <c r="I43" i="519"/>
  <c r="L534" i="521"/>
  <c r="K299" i="518"/>
  <c r="J102" i="518"/>
  <c r="M447" i="523"/>
  <c r="C43" i="519"/>
  <c r="L569" i="520"/>
  <c r="D165" i="247"/>
  <c r="D300" i="247"/>
  <c r="I61" i="517"/>
  <c r="M536" i="520"/>
  <c r="M316" i="519"/>
  <c r="M417" i="518"/>
  <c r="M588" i="521"/>
  <c r="M490" i="521"/>
  <c r="K746" i="523"/>
  <c r="K781" i="523"/>
  <c r="I189" i="519"/>
  <c r="L230" i="521"/>
  <c r="M686" i="518"/>
  <c r="K393" i="519"/>
  <c r="M183" i="520"/>
  <c r="I657" i="521"/>
  <c r="L651" i="517"/>
  <c r="K536" i="523"/>
  <c r="I593" i="519"/>
  <c r="M520" i="519"/>
  <c r="M455" i="517"/>
  <c r="I596" i="521"/>
  <c r="J66" i="519"/>
  <c r="H22" i="521"/>
  <c r="J284" i="518"/>
  <c r="M230" i="523"/>
  <c r="I663" i="521"/>
  <c r="K324" i="520"/>
  <c r="M144" i="523"/>
  <c r="J336" i="520"/>
  <c r="L684" i="521"/>
  <c r="M142" i="518"/>
  <c r="K283" i="523"/>
  <c r="M396" i="518"/>
  <c r="C12" i="518"/>
  <c r="M440" i="517"/>
  <c r="J577" i="517"/>
  <c r="C462" i="247"/>
  <c r="M620" i="523"/>
  <c r="M41" i="518"/>
  <c r="I285" i="520"/>
  <c r="L159" i="518"/>
  <c r="D437" i="247"/>
  <c r="C412" i="247"/>
  <c r="K503" i="518"/>
  <c r="L818" i="523"/>
  <c r="I350" i="519"/>
  <c r="K57" i="518"/>
  <c r="M306" i="521"/>
  <c r="J430" i="521"/>
  <c r="M460" i="518"/>
  <c r="I357" i="519"/>
  <c r="I190" i="518"/>
  <c r="J148" i="519"/>
  <c r="M336" i="521"/>
  <c r="J273" i="523"/>
  <c r="I260" i="517"/>
  <c r="M393" i="523"/>
  <c r="K803" i="523"/>
  <c r="I637" i="523"/>
  <c r="K270" i="521"/>
  <c r="K473" i="523"/>
  <c r="L656" i="521"/>
  <c r="M524" i="519"/>
  <c r="J451" i="520"/>
  <c r="I353" i="518"/>
  <c r="I648" i="518"/>
  <c r="J284" i="520"/>
  <c r="M160" i="520"/>
  <c r="A10" i="523"/>
  <c r="I593" i="520"/>
  <c r="I593" i="523"/>
  <c r="M337" i="519"/>
  <c r="L167" i="518"/>
  <c r="K600" i="520"/>
  <c r="J210" i="519"/>
  <c r="I312" i="518"/>
  <c r="L621" i="518"/>
  <c r="L416" i="519"/>
  <c r="L622" i="517"/>
  <c r="M102" i="520"/>
  <c r="L124" i="521"/>
  <c r="M682" i="520"/>
  <c r="D516" i="247"/>
  <c r="I87" i="521"/>
  <c r="M167" i="520"/>
  <c r="L225" i="518"/>
  <c r="J277" i="521"/>
  <c r="L618" i="518"/>
  <c r="I202" i="520"/>
  <c r="L130" i="523"/>
  <c r="I51" i="518"/>
  <c r="I193" i="520"/>
  <c r="I169" i="523"/>
  <c r="L50" i="523"/>
  <c r="K267" i="519"/>
  <c r="K140" i="523"/>
  <c r="J793" i="523"/>
  <c r="M24" i="519"/>
  <c r="K540" i="521"/>
  <c r="I77" i="517"/>
  <c r="A31" i="521"/>
  <c r="J397" i="519"/>
  <c r="J647" i="521"/>
  <c r="I723" i="523"/>
  <c r="M324" i="520"/>
  <c r="I631" i="523"/>
  <c r="J308" i="519"/>
  <c r="L231" i="517"/>
  <c r="M636" i="521"/>
  <c r="K539" i="518"/>
  <c r="K490" i="520"/>
  <c r="I664" i="518"/>
  <c r="L653" i="519"/>
  <c r="M522" i="521"/>
  <c r="K5" i="520"/>
  <c r="L23" i="518"/>
  <c r="I419" i="523"/>
  <c r="M619" i="523"/>
  <c r="K387" i="519"/>
  <c r="I127" i="518"/>
  <c r="M30" i="520"/>
  <c r="L84" i="520"/>
  <c r="L564" i="518"/>
  <c r="M130" i="520"/>
  <c r="I464" i="517"/>
  <c r="C482" i="247"/>
  <c r="J671" i="518"/>
  <c r="M295" i="520"/>
  <c r="K391" i="518"/>
  <c r="M88" i="521"/>
  <c r="M426" i="519"/>
  <c r="C5" i="519"/>
  <c r="M551" i="523"/>
  <c r="C145" i="247"/>
  <c r="I476" i="517"/>
  <c r="I409" i="518"/>
  <c r="I19" i="517"/>
  <c r="I340" i="517"/>
  <c r="M293" i="520"/>
  <c r="I367" i="523"/>
  <c r="L551" i="517"/>
  <c r="M328" i="518"/>
  <c r="M680" i="517"/>
  <c r="J303" i="520"/>
  <c r="J676" i="518"/>
  <c r="J232" i="517"/>
  <c r="K442" i="520"/>
  <c r="J335" i="518"/>
  <c r="J84" i="523"/>
  <c r="M691" i="520"/>
  <c r="J561" i="519"/>
  <c r="M560" i="517"/>
  <c r="K260" i="520"/>
  <c r="I42" i="521"/>
  <c r="L347" i="521"/>
  <c r="H4" i="517"/>
  <c r="L410" i="523"/>
  <c r="L121" i="518"/>
  <c r="L674" i="520"/>
  <c r="K673" i="521"/>
  <c r="M553" i="520"/>
  <c r="L378" i="518"/>
  <c r="I567" i="520"/>
  <c r="L334" i="519"/>
  <c r="K182" i="517"/>
  <c r="K134" i="518"/>
  <c r="I212" i="519"/>
  <c r="J350" i="523"/>
  <c r="K460" i="523"/>
  <c r="I691" i="523"/>
  <c r="I571" i="518"/>
  <c r="L286" i="517"/>
  <c r="K658" i="521"/>
  <c r="K356" i="521"/>
  <c r="L173" i="518"/>
  <c r="K681" i="519"/>
  <c r="M73" i="520"/>
  <c r="J604" i="519"/>
  <c r="M326" i="520"/>
  <c r="L424" i="520"/>
  <c r="M129" i="517"/>
  <c r="I516" i="519"/>
  <c r="M593" i="521"/>
  <c r="I436" i="521"/>
  <c r="J46" i="518"/>
  <c r="I465" i="523"/>
  <c r="M815" i="523"/>
  <c r="I18" i="518"/>
  <c r="M523" i="523"/>
  <c r="K106" i="517"/>
  <c r="M487" i="517"/>
  <c r="J563" i="520"/>
  <c r="M365" i="521"/>
  <c r="J6" i="520"/>
  <c r="M489" i="521"/>
  <c r="I310" i="523"/>
  <c r="D586" i="247"/>
  <c r="C38" i="517"/>
  <c r="C93" i="247"/>
  <c r="M99" i="519"/>
  <c r="L93" i="520"/>
  <c r="L226" i="519"/>
  <c r="L136" i="517"/>
  <c r="I76" i="519"/>
  <c r="K142" i="523"/>
  <c r="D49" i="247"/>
  <c r="M138" i="521"/>
  <c r="D39" i="247"/>
  <c r="M425" i="518"/>
  <c r="I622" i="517"/>
  <c r="I377" i="520"/>
  <c r="L540" i="521"/>
  <c r="L163" i="518"/>
  <c r="L820" i="523"/>
  <c r="K155" i="517"/>
  <c r="L51" i="518"/>
  <c r="L231" i="521"/>
  <c r="I79" i="517"/>
  <c r="L257" i="518"/>
  <c r="L290" i="523"/>
  <c r="J15" i="517"/>
  <c r="J626" i="521"/>
  <c r="I134" i="519"/>
  <c r="K390" i="520"/>
  <c r="I338" i="520"/>
  <c r="I96" i="521"/>
  <c r="K341" i="517"/>
  <c r="J287" i="520"/>
  <c r="I150" i="517"/>
  <c r="C470" i="247"/>
  <c r="M512" i="521"/>
  <c r="L567" i="518"/>
  <c r="J279" i="517"/>
  <c r="M261" i="523"/>
  <c r="I475" i="519"/>
  <c r="L278" i="523"/>
  <c r="D393" i="247"/>
  <c r="K14" i="523"/>
  <c r="M341" i="519"/>
  <c r="L415" i="523"/>
  <c r="J521" i="521"/>
  <c r="L507" i="517"/>
  <c r="M393" i="517"/>
  <c r="I142" i="521"/>
  <c r="J66" i="518"/>
  <c r="J389" i="523"/>
  <c r="C33" i="518"/>
  <c r="L480" i="520"/>
  <c r="I370" i="518"/>
  <c r="K37" i="518"/>
  <c r="K3" i="518"/>
  <c r="K172" i="518"/>
  <c r="L451" i="523"/>
  <c r="J204" i="521"/>
  <c r="M344" i="520"/>
  <c r="K125" i="521"/>
  <c r="J523" i="523"/>
  <c r="J113" i="521"/>
  <c r="M324" i="521"/>
  <c r="M524" i="523"/>
  <c r="M615" i="523"/>
  <c r="J278" i="518"/>
  <c r="K390" i="518"/>
  <c r="I683" i="523"/>
  <c r="I390" i="518"/>
  <c r="L503" i="523"/>
  <c r="I294" i="518"/>
  <c r="K258" i="519"/>
  <c r="J3" i="520"/>
  <c r="L366" i="519"/>
  <c r="M177" i="517"/>
  <c r="J354" i="517"/>
  <c r="I28" i="520"/>
  <c r="K32" i="523"/>
  <c r="J511" i="520"/>
  <c r="I303" i="518"/>
  <c r="I93" i="523"/>
  <c r="F27" i="521"/>
  <c r="M620" i="517"/>
  <c r="I412" i="521"/>
  <c r="L530" i="523"/>
  <c r="M58" i="521"/>
  <c r="K205" i="519"/>
  <c r="K570" i="521"/>
  <c r="L62" i="518"/>
  <c r="L280" i="518"/>
  <c r="L76" i="518"/>
  <c r="M477" i="518"/>
  <c r="L291" i="520"/>
  <c r="M352" i="519"/>
  <c r="M74" i="517"/>
  <c r="M467" i="523"/>
  <c r="L292" i="517"/>
  <c r="I407" i="521"/>
  <c r="M235" i="519"/>
  <c r="L245" i="523"/>
  <c r="L607" i="521"/>
  <c r="I6" i="517"/>
  <c r="C33" i="517"/>
  <c r="M592" i="518"/>
  <c r="J383" i="521"/>
  <c r="I455" i="517"/>
  <c r="H4" i="521"/>
  <c r="M139" i="520"/>
  <c r="J672" i="518"/>
  <c r="L658" i="523"/>
  <c r="J623" i="520"/>
  <c r="M766" i="523"/>
  <c r="J525" i="519"/>
  <c r="M519" i="521"/>
  <c r="J12" i="517"/>
  <c r="A9" i="521"/>
  <c r="I260" i="520"/>
  <c r="J529" i="523"/>
  <c r="J344" i="518"/>
  <c r="L495" i="520"/>
  <c r="K128" i="520"/>
  <c r="D183" i="247"/>
  <c r="I619" i="520"/>
  <c r="J635" i="518"/>
  <c r="J240" i="521"/>
  <c r="L24" i="520"/>
  <c r="J154" i="520"/>
  <c r="C285" i="247"/>
  <c r="M613" i="518"/>
  <c r="D335" i="247"/>
  <c r="J69" i="523"/>
  <c r="K170" i="518"/>
  <c r="M123" i="519"/>
  <c r="L382" i="518"/>
  <c r="K102" i="519"/>
  <c r="J176" i="521"/>
  <c r="D320" i="247"/>
  <c r="M442" i="518"/>
  <c r="I229" i="523"/>
  <c r="L597" i="519"/>
  <c r="I215" i="517"/>
  <c r="L387" i="520"/>
  <c r="K647" i="518"/>
  <c r="M284" i="517"/>
  <c r="I154" i="517"/>
  <c r="L614" i="517"/>
  <c r="M37" i="517"/>
  <c r="M663" i="518"/>
  <c r="K657" i="521"/>
  <c r="J687" i="517"/>
  <c r="I263" i="520"/>
  <c r="J181" i="517"/>
  <c r="L512" i="521"/>
  <c r="K255" i="518"/>
  <c r="M620" i="518"/>
  <c r="J663" i="520"/>
  <c r="J315" i="519"/>
  <c r="K604" i="519"/>
  <c r="K565" i="521"/>
  <c r="M622" i="520"/>
  <c r="M17" i="521"/>
  <c r="I804" i="523"/>
  <c r="K580" i="520"/>
  <c r="G3" i="518"/>
  <c r="K70" i="521"/>
  <c r="I481" i="517"/>
  <c r="C510" i="247"/>
  <c r="K87" i="517"/>
  <c r="L430" i="518"/>
  <c r="J87" i="523"/>
  <c r="I229" i="520"/>
  <c r="I590" i="517"/>
  <c r="I730" i="523"/>
  <c r="J524" i="520"/>
  <c r="C524" i="247"/>
  <c r="L395" i="521"/>
  <c r="K637" i="523"/>
  <c r="J571" i="519"/>
  <c r="M2" i="520"/>
  <c r="L649" i="521"/>
  <c r="J521" i="517"/>
  <c r="M524" i="520"/>
  <c r="M186" i="517"/>
  <c r="J428" i="520"/>
  <c r="M344" i="519"/>
  <c r="L366" i="520"/>
  <c r="L123" i="520"/>
  <c r="I298" i="518"/>
  <c r="I514" i="521"/>
  <c r="M240" i="518"/>
  <c r="J373" i="517"/>
  <c r="L356" i="520"/>
  <c r="I104" i="518"/>
  <c r="I559" i="517"/>
  <c r="I372" i="518"/>
  <c r="K682" i="519"/>
  <c r="J545" i="519"/>
  <c r="I662" i="523"/>
  <c r="C368" i="247"/>
  <c r="I462" i="523"/>
  <c r="M127" i="523"/>
  <c r="I567" i="521"/>
  <c r="K522" i="519"/>
  <c r="M253" i="517"/>
  <c r="L453" i="523"/>
  <c r="I81" i="520"/>
  <c r="M130" i="523"/>
  <c r="I475" i="521"/>
  <c r="L198" i="518"/>
  <c r="M530" i="520"/>
  <c r="J62" i="521"/>
  <c r="J732" i="523"/>
  <c r="I377" i="519"/>
  <c r="J644" i="518"/>
  <c r="L272" i="518"/>
  <c r="I70" i="518"/>
  <c r="M244" i="520"/>
  <c r="L501" i="517"/>
  <c r="D379" i="247"/>
  <c r="M594" i="517"/>
  <c r="L317" i="519"/>
  <c r="M675" i="521"/>
  <c r="K153" i="520"/>
  <c r="J57" i="521"/>
  <c r="M581" i="517"/>
  <c r="M422" i="520"/>
  <c r="J75" i="519"/>
  <c r="C126" i="247"/>
  <c r="Q29" i="3"/>
  <c r="I265" i="523"/>
  <c r="K284" i="520"/>
  <c r="I10" i="520"/>
  <c r="J608" i="519"/>
  <c r="L426" i="523"/>
  <c r="D394" i="247"/>
  <c r="J18" i="520"/>
  <c r="K435" i="520"/>
  <c r="C254" i="247"/>
  <c r="M634" i="523"/>
  <c r="L460" i="519"/>
  <c r="M651" i="521"/>
  <c r="J370" i="519"/>
  <c r="M193" i="521"/>
  <c r="K147" i="521"/>
  <c r="K575" i="517"/>
  <c r="I187" i="518"/>
  <c r="M32" i="523"/>
  <c r="D383" i="247"/>
  <c r="K75" i="521"/>
  <c r="M26" i="521"/>
  <c r="J526" i="517"/>
  <c r="I615" i="517"/>
  <c r="D585" i="247"/>
  <c r="K362" i="518"/>
  <c r="J309" i="520"/>
  <c r="C173" i="247"/>
  <c r="I656" i="519"/>
  <c r="C399" i="247"/>
  <c r="K492" i="521"/>
  <c r="M224" i="520"/>
  <c r="M601" i="520"/>
  <c r="L111" i="517"/>
  <c r="H7" i="521"/>
  <c r="L467" i="523"/>
  <c r="M199" i="520"/>
  <c r="L258" i="517"/>
  <c r="J552" i="519"/>
  <c r="A24" i="520"/>
  <c r="E26" i="523"/>
  <c r="J53" i="519"/>
  <c r="L102" i="517"/>
  <c r="K247" i="519"/>
  <c r="I265" i="521"/>
  <c r="J556" i="518"/>
  <c r="I391" i="518"/>
  <c r="M162" i="523"/>
  <c r="L104" i="517"/>
  <c r="I90" i="523"/>
  <c r="M622" i="519"/>
  <c r="I157" i="520"/>
  <c r="I526" i="519"/>
  <c r="K471" i="523"/>
  <c r="M61" i="517"/>
  <c r="L733" i="523"/>
  <c r="I615" i="521"/>
  <c r="L222" i="517"/>
  <c r="J92" i="518"/>
  <c r="J224" i="521"/>
  <c r="M412" i="518"/>
  <c r="M302" i="520"/>
  <c r="J256" i="523"/>
  <c r="J207" i="523"/>
  <c r="I108" i="520"/>
  <c r="I71" i="519"/>
  <c r="C330" i="247"/>
  <c r="L381" i="523"/>
  <c r="M17" i="519"/>
  <c r="M602" i="523"/>
  <c r="D589" i="247"/>
  <c r="J265" i="521"/>
  <c r="H7" i="519"/>
  <c r="J166" i="521"/>
  <c r="I306" i="523"/>
  <c r="P46" i="3"/>
  <c r="M588" i="517"/>
  <c r="L415" i="520"/>
  <c r="I672" i="518"/>
  <c r="M504" i="520"/>
  <c r="I55" i="517"/>
  <c r="I502" i="523"/>
  <c r="K65" i="518"/>
  <c r="K266" i="518"/>
  <c r="M470" i="521"/>
  <c r="M34" i="517"/>
  <c r="L560" i="523"/>
  <c r="M376" i="520"/>
  <c r="J565" i="517"/>
  <c r="C378" i="247"/>
  <c r="L673" i="521"/>
  <c r="K290" i="518"/>
  <c r="L454" i="518"/>
  <c r="L593" i="519"/>
  <c r="K112" i="520"/>
  <c r="L160" i="521"/>
  <c r="I367" i="517"/>
  <c r="I193" i="521"/>
  <c r="J493" i="518"/>
  <c r="L567" i="520"/>
  <c r="J594" i="521"/>
  <c r="K437" i="517"/>
  <c r="C477" i="247"/>
  <c r="I689" i="523"/>
  <c r="M117" i="517"/>
  <c r="M642" i="517"/>
  <c r="I717" i="523"/>
  <c r="K311" i="518"/>
  <c r="H24" i="520"/>
  <c r="I217" i="518"/>
  <c r="K534" i="520"/>
  <c r="M335" i="520"/>
  <c r="I65" i="519"/>
  <c r="M802" i="523"/>
  <c r="M170" i="517"/>
  <c r="K94" i="520"/>
  <c r="L205" i="520"/>
  <c r="K642" i="520"/>
  <c r="J538" i="523"/>
  <c r="K275" i="518"/>
  <c r="I435" i="523"/>
  <c r="I500" i="518"/>
  <c r="K457" i="521"/>
  <c r="K303" i="519"/>
  <c r="K2" i="520"/>
  <c r="L88" i="523"/>
  <c r="M596" i="521"/>
  <c r="I132" i="520"/>
  <c r="L280" i="523"/>
  <c r="K398" i="518"/>
  <c r="I38" i="519"/>
  <c r="I634" i="520"/>
  <c r="L354" i="521"/>
  <c r="L9" i="523"/>
  <c r="M63" i="519"/>
  <c r="L471" i="523"/>
  <c r="J314" i="520"/>
  <c r="I367" i="520"/>
  <c r="L473" i="520"/>
  <c r="D346" i="247"/>
  <c r="L330" i="521"/>
  <c r="C528" i="247"/>
  <c r="K112" i="521"/>
  <c r="J130" i="519"/>
  <c r="J357" i="517"/>
  <c r="M63" i="521"/>
  <c r="J538" i="520"/>
  <c r="J527" i="518"/>
  <c r="J319" i="517"/>
  <c r="I487" i="519"/>
  <c r="I157" i="518"/>
  <c r="C240" i="247"/>
  <c r="H21" i="518"/>
  <c r="M659" i="520"/>
  <c r="I522" i="523"/>
  <c r="J670" i="520"/>
  <c r="I676" i="521"/>
  <c r="J259" i="521"/>
  <c r="J354" i="520"/>
  <c r="L268" i="519"/>
  <c r="I246" i="519"/>
  <c r="J113" i="523"/>
  <c r="I601" i="523"/>
  <c r="M157" i="520"/>
  <c r="L9" i="517"/>
  <c r="L496" i="520"/>
  <c r="L450" i="521"/>
  <c r="I121" i="519"/>
  <c r="M285" i="519"/>
  <c r="M733" i="523"/>
  <c r="J136" i="519"/>
  <c r="M525" i="521"/>
  <c r="I446" i="517"/>
  <c r="K380" i="521"/>
  <c r="J656" i="517"/>
  <c r="L791" i="523"/>
  <c r="K494" i="520"/>
  <c r="M831" i="523"/>
  <c r="K527" i="520"/>
  <c r="J152" i="517"/>
  <c r="I549" i="521"/>
  <c r="L457" i="520"/>
  <c r="I359" i="517"/>
  <c r="I362" i="521"/>
  <c r="M181" i="520"/>
  <c r="C38" i="523"/>
  <c r="I277" i="520"/>
  <c r="I195" i="523"/>
  <c r="L401" i="521"/>
  <c r="K202" i="521"/>
  <c r="J398" i="518"/>
  <c r="J281" i="520"/>
  <c r="K526" i="523"/>
  <c r="I680" i="518"/>
  <c r="J325" i="517"/>
  <c r="M448" i="517"/>
  <c r="K35" i="521"/>
  <c r="E22" i="517"/>
  <c r="K275" i="523"/>
  <c r="J532" i="519"/>
  <c r="L76" i="521"/>
  <c r="M142" i="520"/>
  <c r="J113" i="520"/>
  <c r="C480" i="247"/>
  <c r="I483" i="520"/>
  <c r="K388" i="520"/>
  <c r="I314" i="517"/>
  <c r="M3" i="519"/>
  <c r="L319" i="523"/>
  <c r="I319" i="517"/>
  <c r="I358" i="518"/>
  <c r="D44" i="247"/>
  <c r="K662" i="518"/>
  <c r="D150" i="247"/>
  <c r="I522" i="518"/>
  <c r="K218" i="517"/>
  <c r="K394" i="518"/>
  <c r="L306" i="517"/>
  <c r="L37" i="523"/>
  <c r="I255" i="519"/>
  <c r="M636" i="523"/>
  <c r="L188" i="523"/>
  <c r="J69" i="518"/>
  <c r="L40" i="523"/>
  <c r="I393" i="521"/>
  <c r="K243" i="517"/>
  <c r="M591" i="517"/>
  <c r="L347" i="517"/>
  <c r="L420" i="521"/>
  <c r="L444" i="520"/>
  <c r="M503" i="521"/>
  <c r="J202" i="523"/>
  <c r="K524" i="517"/>
  <c r="M195" i="523"/>
  <c r="K322" i="519"/>
  <c r="M509" i="520"/>
  <c r="K29" i="523"/>
  <c r="I9" i="517"/>
  <c r="L233" i="519"/>
  <c r="K193" i="523"/>
  <c r="L578" i="521"/>
  <c r="I395" i="520"/>
  <c r="L147" i="518"/>
  <c r="A7" i="517"/>
  <c r="C249" i="247"/>
  <c r="M308" i="523"/>
  <c r="J673" i="519"/>
  <c r="J137" i="521"/>
  <c r="M264" i="518"/>
  <c r="L373" i="521"/>
  <c r="I2" i="520"/>
  <c r="K509" i="521"/>
  <c r="M95" i="519"/>
  <c r="J151" i="523"/>
  <c r="J585" i="521"/>
  <c r="M264" i="523"/>
  <c r="J479" i="518"/>
  <c r="L302" i="517"/>
  <c r="M671" i="519"/>
  <c r="M140" i="518"/>
  <c r="M106" i="517"/>
  <c r="K596" i="518"/>
  <c r="L72" i="521"/>
  <c r="L251" i="520"/>
  <c r="I228" i="518"/>
  <c r="J384" i="521"/>
  <c r="K20" i="523"/>
  <c r="L99" i="517"/>
  <c r="M89" i="521"/>
  <c r="K561" i="520"/>
  <c r="K110" i="519"/>
  <c r="I480" i="517"/>
  <c r="M110" i="523"/>
  <c r="L509" i="517"/>
  <c r="H22" i="519"/>
  <c r="L279" i="517"/>
  <c r="L559" i="520"/>
  <c r="L341" i="520"/>
  <c r="J826" i="523"/>
  <c r="I591" i="521"/>
  <c r="D549" i="247"/>
  <c r="K293" i="517"/>
  <c r="M619" i="519"/>
  <c r="I683" i="520"/>
  <c r="L143" i="518"/>
  <c r="I17" i="518"/>
  <c r="K601" i="518"/>
  <c r="L572" i="519"/>
  <c r="I252" i="523"/>
  <c r="J463" i="521"/>
  <c r="Q24" i="3"/>
  <c r="M479" i="521"/>
  <c r="L249" i="517"/>
  <c r="J679" i="517"/>
  <c r="J212" i="519"/>
  <c r="K646" i="518"/>
  <c r="K73" i="519"/>
  <c r="K573" i="518"/>
  <c r="J475" i="517"/>
  <c r="K408" i="519"/>
  <c r="M140" i="523"/>
  <c r="J114" i="523"/>
  <c r="J365" i="520"/>
  <c r="M451" i="523"/>
  <c r="I609" i="518"/>
  <c r="L435" i="519"/>
  <c r="M362" i="518"/>
  <c r="M40" i="518"/>
  <c r="J59" i="517"/>
  <c r="K218" i="523"/>
  <c r="L294" i="523"/>
  <c r="M51" i="519"/>
  <c r="L586" i="521"/>
  <c r="I496" i="518"/>
  <c r="K488" i="517"/>
  <c r="L357" i="517"/>
  <c r="C420" i="247"/>
  <c r="K456" i="520"/>
  <c r="K233" i="519"/>
  <c r="E8" i="519"/>
  <c r="M743" i="523"/>
  <c r="L558" i="519"/>
  <c r="C521" i="247"/>
  <c r="H2" i="519"/>
  <c r="I382" i="523"/>
  <c r="J286" i="520"/>
  <c r="L134" i="521"/>
  <c r="J617" i="520"/>
  <c r="D113" i="247"/>
  <c r="M729" i="523"/>
  <c r="L664" i="520"/>
  <c r="J250" i="518"/>
  <c r="J353" i="518"/>
  <c r="J104" i="519"/>
  <c r="K270" i="518"/>
  <c r="K485" i="523"/>
  <c r="J431" i="521"/>
  <c r="L463" i="518"/>
  <c r="L432" i="521"/>
  <c r="I466" i="520"/>
  <c r="A4" i="519"/>
  <c r="I321" i="523"/>
  <c r="K602" i="520"/>
  <c r="M44" i="519"/>
  <c r="M323" i="520"/>
  <c r="K684" i="523"/>
  <c r="J359" i="518"/>
  <c r="L588" i="519"/>
  <c r="I692" i="520"/>
  <c r="L454" i="519"/>
  <c r="L523" i="523"/>
  <c r="M332" i="518"/>
  <c r="K679" i="517"/>
  <c r="L589" i="521"/>
  <c r="K239" i="523"/>
  <c r="M33" i="523"/>
  <c r="I774" i="523"/>
  <c r="L142" i="523"/>
  <c r="L233" i="521"/>
  <c r="J336" i="518"/>
  <c r="A24" i="521"/>
  <c r="I57" i="519"/>
  <c r="I230" i="519"/>
  <c r="M28" i="519"/>
  <c r="J366" i="523"/>
  <c r="L587" i="523"/>
  <c r="K290" i="520"/>
  <c r="K664" i="518"/>
  <c r="M271" i="517"/>
  <c r="K636" i="521"/>
  <c r="I216" i="518"/>
  <c r="I603" i="523"/>
  <c r="I145" i="520"/>
  <c r="J425" i="523"/>
  <c r="L361" i="517"/>
  <c r="I128" i="519"/>
  <c r="L335" i="523"/>
  <c r="L257" i="523"/>
  <c r="J38" i="523"/>
  <c r="J440" i="519"/>
  <c r="K529" i="521"/>
  <c r="J285" i="519"/>
  <c r="I418" i="523"/>
  <c r="K406" i="519"/>
  <c r="J164" i="520"/>
  <c r="M253" i="518"/>
  <c r="K611" i="519"/>
  <c r="L531" i="523"/>
  <c r="M63" i="517"/>
  <c r="M664" i="517"/>
  <c r="K478" i="518"/>
  <c r="M153" i="521"/>
  <c r="J677" i="520"/>
  <c r="K117" i="517"/>
  <c r="I272" i="523"/>
  <c r="I18" i="517"/>
  <c r="L48" i="523"/>
  <c r="M327" i="523"/>
  <c r="I563" i="521"/>
  <c r="K307" i="520"/>
  <c r="K574" i="517"/>
  <c r="M98" i="519"/>
  <c r="L412" i="521"/>
  <c r="L494" i="517"/>
  <c r="L335" i="517"/>
  <c r="L322" i="521"/>
  <c r="K334" i="520"/>
  <c r="M173" i="520"/>
  <c r="K223" i="518"/>
  <c r="I71" i="520"/>
  <c r="I658" i="520"/>
  <c r="I101" i="523"/>
  <c r="J304" i="518"/>
  <c r="M525" i="520"/>
  <c r="D47" i="247"/>
  <c r="J194" i="521"/>
  <c r="I594" i="521"/>
  <c r="K126" i="517"/>
  <c r="J489" i="519"/>
  <c r="K292" i="523"/>
  <c r="J764" i="523"/>
  <c r="K555" i="517"/>
  <c r="M375" i="520"/>
  <c r="K251" i="518"/>
  <c r="L83" i="519"/>
  <c r="L615" i="521"/>
  <c r="K10" i="518"/>
  <c r="M639" i="521"/>
  <c r="L625" i="519"/>
  <c r="K96" i="521"/>
  <c r="M143" i="520"/>
  <c r="A11" i="519"/>
  <c r="J437" i="518"/>
  <c r="I427" i="523"/>
  <c r="L135" i="521"/>
  <c r="I162" i="523"/>
  <c r="M106" i="519"/>
  <c r="M248" i="517"/>
  <c r="I188" i="518"/>
  <c r="M324" i="519"/>
  <c r="J565" i="523"/>
  <c r="J265" i="518"/>
  <c r="L588" i="517"/>
  <c r="K618" i="520"/>
  <c r="J437" i="521"/>
  <c r="M380" i="521"/>
  <c r="L316" i="517"/>
  <c r="J230" i="520"/>
  <c r="J559" i="519"/>
  <c r="J163" i="519"/>
  <c r="L692" i="520"/>
  <c r="L536" i="520"/>
  <c r="J120" i="518"/>
  <c r="I130" i="523"/>
  <c r="G28" i="519"/>
  <c r="J127" i="519"/>
  <c r="L115" i="521"/>
  <c r="M79" i="517"/>
  <c r="I489" i="517"/>
  <c r="J229" i="519"/>
  <c r="L479" i="518"/>
  <c r="L549" i="517"/>
  <c r="I336" i="518"/>
  <c r="K513" i="519"/>
  <c r="J401" i="517"/>
  <c r="J77" i="521"/>
  <c r="A13" i="519"/>
  <c r="M425" i="523"/>
  <c r="J609" i="519"/>
  <c r="J638" i="520"/>
  <c r="I126" i="518"/>
  <c r="I506" i="520"/>
  <c r="M669" i="518"/>
  <c r="M84" i="518"/>
  <c r="J128" i="518"/>
  <c r="K307" i="517"/>
  <c r="I393" i="517"/>
  <c r="J475" i="519"/>
  <c r="K479" i="520"/>
  <c r="M395" i="517"/>
  <c r="M20" i="521"/>
  <c r="L35" i="519"/>
  <c r="K458" i="518"/>
  <c r="I405" i="518"/>
  <c r="M69" i="523"/>
  <c r="M143" i="521"/>
  <c r="M677" i="521"/>
  <c r="K25" i="523"/>
  <c r="K32" i="519"/>
  <c r="L182" i="521"/>
  <c r="M275" i="521"/>
  <c r="I14" i="523"/>
  <c r="I676" i="518"/>
  <c r="K341" i="521"/>
  <c r="D41" i="247"/>
  <c r="K395" i="521"/>
  <c r="L104" i="521"/>
  <c r="L348" i="517"/>
  <c r="M241" i="519"/>
  <c r="I194" i="523"/>
  <c r="M465" i="520"/>
  <c r="K316" i="523"/>
  <c r="I97" i="519"/>
  <c r="M352" i="517"/>
  <c r="L91" i="521"/>
  <c r="J355" i="517"/>
  <c r="L141" i="520"/>
  <c r="I43" i="521"/>
  <c r="L506" i="523"/>
  <c r="M279" i="517"/>
  <c r="L290" i="518"/>
  <c r="L528" i="518"/>
  <c r="K621" i="518"/>
  <c r="I651" i="521"/>
  <c r="J159" i="521"/>
  <c r="J12" i="523"/>
  <c r="J54" i="519"/>
  <c r="J207" i="518"/>
  <c r="M297" i="520"/>
  <c r="M439" i="523"/>
  <c r="K97" i="523"/>
  <c r="I263" i="517"/>
  <c r="M275" i="517"/>
  <c r="I282" i="523"/>
  <c r="M578" i="517"/>
  <c r="K436" i="518"/>
  <c r="I605" i="518"/>
  <c r="J595" i="519"/>
  <c r="K195" i="519"/>
  <c r="K384" i="520"/>
  <c r="K743" i="523"/>
  <c r="K292" i="520"/>
  <c r="J599" i="517"/>
  <c r="C413" i="247"/>
  <c r="I98" i="517"/>
  <c r="I578" i="523"/>
  <c r="I624" i="521"/>
  <c r="J693" i="520"/>
  <c r="I14" i="521"/>
  <c r="I100" i="519"/>
  <c r="M556" i="521"/>
  <c r="M377" i="518"/>
  <c r="M627" i="517"/>
  <c r="M626" i="521"/>
  <c r="J577" i="519"/>
  <c r="L225" i="520"/>
  <c r="K46" i="521"/>
  <c r="M425" i="519"/>
  <c r="K109" i="520"/>
  <c r="M39" i="519"/>
  <c r="J467" i="518"/>
  <c r="K107" i="518"/>
  <c r="M40" i="521"/>
  <c r="J211" i="517"/>
  <c r="M443" i="523"/>
  <c r="I469" i="518"/>
  <c r="J469" i="517"/>
  <c r="K564" i="518"/>
  <c r="M237" i="523"/>
  <c r="I530" i="517"/>
  <c r="J439" i="519"/>
  <c r="C45" i="517"/>
  <c r="I626" i="523"/>
  <c r="K237" i="518"/>
  <c r="M572" i="523"/>
  <c r="I597" i="523"/>
  <c r="J253" i="521"/>
  <c r="K93" i="517"/>
  <c r="K520" i="520"/>
  <c r="I53" i="521"/>
  <c r="J622" i="521"/>
  <c r="J108" i="520"/>
  <c r="L390" i="521"/>
  <c r="J202" i="520"/>
  <c r="M312" i="518"/>
  <c r="L571" i="519"/>
  <c r="J827" i="523"/>
  <c r="I400" i="520"/>
  <c r="M661" i="523"/>
  <c r="K557" i="519"/>
  <c r="J42" i="521"/>
  <c r="M253" i="519"/>
  <c r="I309" i="517"/>
  <c r="M476" i="520"/>
  <c r="I532" i="517"/>
  <c r="K71" i="523"/>
  <c r="J121" i="521"/>
  <c r="L503" i="519"/>
  <c r="K457" i="518"/>
  <c r="J445" i="518"/>
  <c r="L19" i="521"/>
  <c r="J58" i="518"/>
  <c r="L151" i="523"/>
  <c r="L670" i="521"/>
  <c r="L35" i="523"/>
  <c r="L725" i="523"/>
  <c r="M541" i="520"/>
  <c r="L410" i="518"/>
  <c r="I485" i="523"/>
  <c r="E12" i="517"/>
  <c r="J189" i="518"/>
  <c r="L650" i="523"/>
  <c r="I555" i="523"/>
  <c r="I304" i="520"/>
  <c r="A29" i="517"/>
  <c r="L56" i="523"/>
  <c r="K475" i="520"/>
  <c r="M150" i="517"/>
  <c r="K14" i="518"/>
  <c r="I647" i="521"/>
  <c r="L74" i="518"/>
  <c r="I526" i="517"/>
  <c r="A11" i="521"/>
  <c r="M276" i="520"/>
  <c r="L137" i="520"/>
  <c r="K33" i="520"/>
  <c r="K133" i="518"/>
  <c r="L286" i="519"/>
  <c r="L17" i="521"/>
  <c r="K202" i="519"/>
  <c r="K418" i="517"/>
  <c r="L439" i="517"/>
  <c r="J368" i="518"/>
  <c r="J586" i="519"/>
  <c r="M529" i="523"/>
  <c r="J171" i="517"/>
  <c r="J306" i="523"/>
  <c r="I744" i="523"/>
  <c r="M504" i="518"/>
  <c r="M204" i="521"/>
  <c r="J485" i="523"/>
  <c r="K143" i="520"/>
  <c r="M827" i="523"/>
  <c r="K39" i="521"/>
  <c r="K538" i="521"/>
  <c r="L361" i="520"/>
  <c r="J293" i="523"/>
  <c r="J471" i="517"/>
  <c r="I782" i="523"/>
  <c r="K98" i="517"/>
  <c r="K210" i="517"/>
  <c r="M546" i="517"/>
  <c r="G22" i="519"/>
  <c r="M124" i="519"/>
  <c r="J706" i="523"/>
  <c r="I254" i="520"/>
  <c r="J269" i="523"/>
  <c r="L370" i="520"/>
  <c r="L345" i="518"/>
  <c r="L143" i="519"/>
  <c r="K172" i="521"/>
  <c r="I37" i="521"/>
  <c r="C209" i="247"/>
  <c r="J263" i="519"/>
  <c r="I559" i="518"/>
  <c r="K553" i="517"/>
  <c r="J85" i="517"/>
  <c r="I401" i="523"/>
  <c r="D303" i="247"/>
  <c r="I690" i="518"/>
  <c r="I575" i="520"/>
  <c r="J349" i="520"/>
  <c r="I310" i="517"/>
  <c r="I8" i="521"/>
  <c r="M151" i="520"/>
  <c r="M270" i="517"/>
  <c r="M314" i="523"/>
  <c r="M152" i="521"/>
  <c r="K211" i="520"/>
  <c r="M626" i="519"/>
  <c r="K276" i="517"/>
  <c r="M92" i="518"/>
  <c r="M492" i="517"/>
  <c r="J198" i="518"/>
  <c r="I408" i="517"/>
  <c r="M169" i="523"/>
  <c r="I426" i="521"/>
  <c r="D54" i="247"/>
  <c r="K36" i="519"/>
  <c r="I501" i="519"/>
  <c r="I678" i="517"/>
  <c r="I498" i="520"/>
  <c r="I405" i="521"/>
  <c r="I627" i="521"/>
  <c r="M537" i="518"/>
  <c r="L591" i="521"/>
  <c r="C294" i="247"/>
  <c r="J386" i="521"/>
  <c r="L276" i="519"/>
  <c r="K623" i="517"/>
  <c r="K343" i="520"/>
  <c r="K13" i="523"/>
  <c r="I16" i="517"/>
  <c r="L90" i="520"/>
  <c r="I243" i="521"/>
  <c r="J139" i="519"/>
  <c r="K364" i="517"/>
  <c r="L150" i="519"/>
  <c r="K244" i="520"/>
  <c r="I598" i="517"/>
  <c r="I520" i="520"/>
  <c r="K590" i="517"/>
  <c r="J318" i="520"/>
  <c r="L451" i="521"/>
  <c r="M401" i="518"/>
  <c r="L506" i="517"/>
  <c r="J333" i="518"/>
  <c r="I524" i="520"/>
  <c r="L326" i="519"/>
  <c r="K353" i="523"/>
  <c r="J449" i="518"/>
  <c r="J423" i="518"/>
  <c r="I547" i="519"/>
  <c r="I279" i="521"/>
  <c r="M345" i="520"/>
  <c r="L533" i="518"/>
  <c r="C238" i="247"/>
  <c r="M145" i="520"/>
  <c r="K582" i="519"/>
  <c r="D243" i="247"/>
  <c r="I637" i="518"/>
  <c r="M652" i="521"/>
  <c r="K492" i="519"/>
  <c r="M53" i="518"/>
  <c r="C26" i="518"/>
  <c r="M510" i="517"/>
  <c r="J138" i="523"/>
  <c r="I3" i="519"/>
  <c r="K64" i="517"/>
  <c r="I618" i="519"/>
  <c r="L589" i="519"/>
  <c r="L627" i="521"/>
  <c r="L223" i="521"/>
  <c r="M540" i="523"/>
  <c r="K106" i="518"/>
  <c r="J24" i="519"/>
  <c r="M321" i="517"/>
  <c r="K36" i="521"/>
  <c r="M612" i="520"/>
  <c r="J656" i="519"/>
  <c r="M685" i="520"/>
  <c r="I342" i="521"/>
  <c r="J118" i="519"/>
  <c r="M305" i="517"/>
  <c r="I447" i="519"/>
  <c r="J217" i="518"/>
  <c r="K434" i="523"/>
  <c r="L419" i="521"/>
  <c r="I654" i="523"/>
  <c r="K284" i="519"/>
  <c r="I41" i="519"/>
  <c r="L226" i="520"/>
  <c r="K289" i="523"/>
  <c r="I103" i="517"/>
  <c r="L724" i="523"/>
  <c r="J275" i="519"/>
  <c r="L690" i="521"/>
  <c r="H4" i="520"/>
  <c r="D323" i="247"/>
  <c r="J163" i="520"/>
  <c r="M380" i="518"/>
  <c r="M537" i="517"/>
  <c r="K481" i="518"/>
  <c r="J397" i="523"/>
  <c r="L78" i="517"/>
  <c r="K306" i="517"/>
  <c r="C475" i="247"/>
  <c r="K400" i="521"/>
  <c r="M513" i="521"/>
  <c r="C350" i="247"/>
  <c r="C20" i="520"/>
  <c r="M500" i="520"/>
  <c r="A41" i="520"/>
  <c r="M615" i="518"/>
  <c r="K25" i="520"/>
  <c r="K228" i="523"/>
  <c r="K446" i="517"/>
  <c r="J103" i="517"/>
  <c r="K481" i="519"/>
  <c r="L668" i="518"/>
  <c r="K468" i="518"/>
  <c r="I332" i="520"/>
  <c r="K632" i="520"/>
  <c r="I251" i="521"/>
  <c r="M274" i="520"/>
  <c r="H21" i="521"/>
  <c r="K494" i="519"/>
  <c r="L689" i="518"/>
  <c r="L278" i="520"/>
  <c r="C42" i="520"/>
  <c r="C22" i="520"/>
  <c r="J388" i="518"/>
  <c r="J249" i="518"/>
  <c r="I318" i="518"/>
  <c r="J358" i="523"/>
  <c r="J280" i="520"/>
  <c r="L143" i="521"/>
  <c r="J376" i="518"/>
  <c r="J3" i="518"/>
  <c r="M573" i="519"/>
  <c r="L504" i="520"/>
  <c r="D366" i="247"/>
  <c r="I596" i="523"/>
  <c r="L686" i="523"/>
  <c r="K547" i="519"/>
  <c r="I483" i="517"/>
  <c r="K648" i="523"/>
  <c r="M166" i="520"/>
  <c r="L542" i="518"/>
  <c r="M469" i="520"/>
  <c r="M70" i="521"/>
  <c r="L549" i="521"/>
  <c r="F6" i="518"/>
  <c r="L137" i="517"/>
  <c r="I60" i="517"/>
  <c r="J271" i="523"/>
  <c r="A2" i="520"/>
  <c r="K188" i="519"/>
  <c r="J833" i="523"/>
  <c r="L274" i="521"/>
  <c r="L536" i="518"/>
  <c r="I539" i="518"/>
  <c r="L36" i="523"/>
  <c r="M489" i="520"/>
  <c r="I438" i="518"/>
  <c r="K81" i="520"/>
  <c r="L439" i="523"/>
  <c r="K838" i="523"/>
  <c r="L94" i="519"/>
  <c r="I34" i="520"/>
  <c r="K90" i="518"/>
  <c r="G29" i="521"/>
  <c r="I622" i="518"/>
  <c r="J158" i="519"/>
  <c r="J5" i="518"/>
  <c r="L231" i="523"/>
  <c r="J545" i="517"/>
  <c r="I603" i="518"/>
  <c r="K113" i="520"/>
  <c r="L501" i="518"/>
  <c r="M247" i="518"/>
  <c r="K430" i="517"/>
  <c r="I422" i="521"/>
  <c r="M254" i="521"/>
  <c r="I351" i="518"/>
  <c r="L302" i="521"/>
  <c r="M514" i="521"/>
  <c r="M421" i="520"/>
  <c r="I211" i="521"/>
  <c r="L373" i="523"/>
  <c r="C24" i="521"/>
  <c r="J482" i="520"/>
  <c r="M328" i="520"/>
  <c r="J306" i="521"/>
  <c r="J392" i="518"/>
  <c r="K574" i="519"/>
  <c r="J49" i="517"/>
  <c r="E8" i="520"/>
  <c r="K346" i="520"/>
  <c r="M471" i="521"/>
  <c r="L334" i="517"/>
  <c r="I43" i="520"/>
  <c r="K108" i="517"/>
  <c r="G8" i="521"/>
  <c r="K386" i="518"/>
  <c r="I242" i="521"/>
  <c r="D121" i="247"/>
  <c r="K388" i="518"/>
  <c r="I168" i="520"/>
  <c r="M445" i="521"/>
  <c r="L245" i="519"/>
  <c r="L115" i="523"/>
  <c r="J166" i="520"/>
  <c r="L686" i="519"/>
  <c r="L249" i="519"/>
  <c r="M587" i="519"/>
  <c r="J427" i="520"/>
  <c r="I714" i="523"/>
  <c r="I552" i="517"/>
  <c r="M70" i="520"/>
  <c r="I28" i="521"/>
  <c r="M606" i="519"/>
  <c r="J54" i="520"/>
  <c r="I134" i="521"/>
  <c r="L368" i="521"/>
  <c r="M148" i="523"/>
  <c r="M529" i="519"/>
  <c r="M284" i="519"/>
  <c r="J301" i="518"/>
  <c r="J509" i="523"/>
  <c r="M261" i="517"/>
  <c r="L610" i="518"/>
  <c r="L668" i="517"/>
  <c r="J267" i="518"/>
  <c r="I388" i="518"/>
  <c r="M557" i="519"/>
  <c r="I168" i="521"/>
  <c r="K577" i="517"/>
  <c r="M64" i="520"/>
  <c r="L610" i="517"/>
  <c r="J437" i="517"/>
  <c r="C537" i="247"/>
  <c r="I298" i="519"/>
  <c r="J309" i="519"/>
  <c r="I650" i="523"/>
  <c r="J536" i="520"/>
  <c r="K45" i="517"/>
  <c r="J685" i="521"/>
  <c r="L209" i="517"/>
  <c r="M622" i="523"/>
  <c r="I179" i="517"/>
  <c r="C231" i="247"/>
  <c r="L531" i="517"/>
  <c r="F20" i="521"/>
  <c r="L3" i="523"/>
  <c r="C244" i="247"/>
  <c r="J176" i="519"/>
  <c r="L33" i="519"/>
  <c r="K48" i="521"/>
  <c r="K625" i="520"/>
  <c r="E21" i="517"/>
  <c r="M242" i="518"/>
  <c r="I632" i="523"/>
  <c r="L446" i="518"/>
  <c r="J87" i="517"/>
  <c r="I315" i="518"/>
  <c r="C418" i="247"/>
  <c r="L743" i="523"/>
  <c r="C274" i="247"/>
  <c r="L21" i="518"/>
  <c r="L55" i="517"/>
  <c r="I454" i="518"/>
  <c r="K240" i="518"/>
  <c r="C286" i="247"/>
  <c r="L796" i="523"/>
  <c r="L440" i="519"/>
  <c r="M674" i="519"/>
  <c r="L150" i="517"/>
  <c r="I446" i="518"/>
  <c r="K339" i="521"/>
  <c r="I309" i="519"/>
  <c r="K27" i="523"/>
  <c r="K201" i="521"/>
  <c r="M513" i="519"/>
  <c r="L345" i="520"/>
  <c r="L674" i="518"/>
  <c r="J415" i="521"/>
  <c r="I564" i="521"/>
  <c r="J14" i="519"/>
  <c r="M250" i="517"/>
  <c r="K92" i="523"/>
  <c r="I169" i="517"/>
  <c r="K140" i="517"/>
  <c r="L652" i="518"/>
  <c r="L138" i="517"/>
  <c r="I52" i="519"/>
  <c r="I133" i="523"/>
  <c r="L654" i="518"/>
  <c r="J422" i="521"/>
  <c r="M411" i="517"/>
  <c r="K345" i="520"/>
  <c r="M321" i="520"/>
  <c r="I638" i="523"/>
  <c r="L144" i="521"/>
  <c r="C11" i="518"/>
  <c r="M39" i="523"/>
  <c r="J361" i="521"/>
  <c r="L115" i="517"/>
  <c r="J326" i="518"/>
  <c r="M640" i="518"/>
  <c r="M539" i="519"/>
  <c r="J271" i="520"/>
  <c r="I199" i="517"/>
  <c r="M382" i="520"/>
  <c r="M459" i="523"/>
  <c r="I163" i="521"/>
  <c r="L595" i="517"/>
  <c r="D506" i="247"/>
  <c r="J227" i="521"/>
  <c r="D102" i="247"/>
  <c r="J596" i="521"/>
  <c r="J388" i="523"/>
  <c r="L263" i="523"/>
  <c r="L313" i="519"/>
  <c r="K33" i="523"/>
  <c r="L380" i="517"/>
  <c r="M355" i="523"/>
  <c r="K68" i="521"/>
  <c r="L90" i="517"/>
  <c r="G21" i="517"/>
  <c r="L149" i="517"/>
  <c r="K240" i="517"/>
  <c r="I166" i="521"/>
  <c r="L94" i="521"/>
  <c r="K120" i="521"/>
  <c r="P11" i="3"/>
  <c r="M236" i="521"/>
  <c r="I414" i="518"/>
  <c r="J599" i="523"/>
  <c r="J150" i="523"/>
  <c r="M355" i="519"/>
  <c r="I806" i="523"/>
  <c r="I137" i="518"/>
  <c r="I14" i="519"/>
  <c r="I740" i="523"/>
  <c r="M615" i="519"/>
  <c r="K222" i="521"/>
  <c r="L195" i="517"/>
  <c r="D268" i="247"/>
  <c r="L109" i="521"/>
  <c r="K650" i="520"/>
  <c r="I136" i="523"/>
  <c r="L35" i="517"/>
  <c r="M3" i="521"/>
  <c r="J242" i="520"/>
  <c r="M633" i="518"/>
  <c r="I814" i="523"/>
  <c r="I176" i="518"/>
  <c r="K545" i="521"/>
  <c r="K375" i="519"/>
  <c r="K90" i="523"/>
  <c r="M599" i="519"/>
  <c r="J501" i="517"/>
  <c r="L329" i="517"/>
  <c r="I257" i="521"/>
  <c r="M66" i="523"/>
  <c r="J190" i="517"/>
  <c r="J334" i="520"/>
  <c r="L584" i="520"/>
  <c r="K505" i="523"/>
  <c r="I103" i="519"/>
  <c r="M428" i="521"/>
  <c r="L211" i="517"/>
  <c r="L6" i="521"/>
  <c r="M283" i="518"/>
  <c r="C454" i="247"/>
  <c r="L675" i="521"/>
  <c r="C33" i="519"/>
  <c r="M254" i="523"/>
  <c r="L203" i="523"/>
  <c r="H24" i="517"/>
  <c r="J387" i="523"/>
  <c r="K668" i="519"/>
  <c r="J512" i="521"/>
  <c r="J407" i="520"/>
  <c r="J595" i="517"/>
  <c r="K356" i="520"/>
  <c r="L737" i="523"/>
  <c r="J504" i="518"/>
  <c r="J125" i="523"/>
  <c r="L508" i="523"/>
  <c r="J63" i="517"/>
  <c r="L222" i="518"/>
  <c r="M513" i="518"/>
  <c r="M49" i="517"/>
  <c r="M104" i="523"/>
  <c r="K205" i="517"/>
  <c r="J61" i="521"/>
  <c r="J449" i="523"/>
  <c r="L325" i="520"/>
  <c r="M514" i="517"/>
  <c r="J7" i="521"/>
  <c r="I586" i="519"/>
  <c r="I534" i="521"/>
  <c r="I812" i="523"/>
  <c r="K18" i="523"/>
  <c r="J59" i="519"/>
  <c r="M174" i="521"/>
  <c r="I518" i="518"/>
  <c r="K503" i="523"/>
  <c r="K475" i="517"/>
  <c r="K244" i="517"/>
  <c r="K562" i="519"/>
  <c r="J417" i="518"/>
  <c r="K536" i="518"/>
  <c r="I57" i="520"/>
  <c r="J546" i="517"/>
  <c r="K183" i="520"/>
  <c r="K134" i="519"/>
  <c r="I222" i="520"/>
  <c r="I476" i="519"/>
  <c r="K303" i="520"/>
  <c r="I571" i="523"/>
  <c r="I277" i="518"/>
  <c r="M398" i="521"/>
  <c r="K653" i="523"/>
  <c r="I527" i="518"/>
  <c r="J486" i="517"/>
  <c r="K267" i="523"/>
  <c r="M39" i="520"/>
  <c r="A37" i="517"/>
  <c r="I226" i="518"/>
  <c r="M178" i="523"/>
  <c r="M216" i="519"/>
  <c r="I510" i="523"/>
  <c r="I603" i="520"/>
  <c r="K90" i="520"/>
  <c r="J278" i="519"/>
  <c r="L89" i="521"/>
  <c r="M209" i="518"/>
  <c r="J139" i="521"/>
  <c r="C28" i="521"/>
  <c r="I598" i="518"/>
  <c r="K570" i="517"/>
  <c r="C272" i="247"/>
  <c r="M370" i="520"/>
  <c r="L613" i="521"/>
  <c r="K421" i="520"/>
  <c r="L397" i="520"/>
  <c r="M655" i="520"/>
  <c r="F24" i="520"/>
  <c r="L29" i="523"/>
  <c r="K377" i="521"/>
  <c r="L655" i="523"/>
  <c r="K417" i="521"/>
  <c r="I634" i="518"/>
  <c r="L753" i="523"/>
  <c r="J565" i="519"/>
  <c r="M81" i="519"/>
  <c r="K250" i="517"/>
  <c r="K575" i="519"/>
  <c r="D577" i="247"/>
  <c r="I67" i="519"/>
  <c r="M170" i="523"/>
  <c r="L319" i="519"/>
  <c r="M76" i="518"/>
  <c r="D523" i="247"/>
  <c r="I182" i="517"/>
  <c r="K186" i="518"/>
  <c r="D553" i="247"/>
  <c r="J438" i="523"/>
  <c r="M562" i="517"/>
  <c r="M220" i="518"/>
  <c r="E20" i="518"/>
  <c r="L731" i="523"/>
  <c r="J584" i="520"/>
  <c r="M391" i="519"/>
  <c r="M412" i="523"/>
  <c r="I650" i="521"/>
  <c r="K206" i="517"/>
  <c r="M224" i="521"/>
  <c r="M77" i="519"/>
  <c r="K235" i="520"/>
  <c r="M265" i="517"/>
  <c r="K109" i="519"/>
  <c r="I341" i="523"/>
  <c r="K499" i="518"/>
  <c r="I133" i="520"/>
  <c r="K215" i="518"/>
  <c r="I80" i="521"/>
  <c r="K152" i="517"/>
  <c r="K564" i="521"/>
  <c r="J412" i="518"/>
  <c r="M123" i="517"/>
  <c r="J418" i="520"/>
  <c r="L431" i="523"/>
  <c r="I192" i="523"/>
  <c r="M527" i="520"/>
  <c r="L238" i="518"/>
  <c r="C217" i="247"/>
  <c r="L630" i="518"/>
  <c r="J218" i="517"/>
  <c r="K754" i="523"/>
  <c r="M275" i="519"/>
  <c r="I352" i="517"/>
  <c r="I173" i="518"/>
  <c r="K564" i="519"/>
  <c r="J60" i="518"/>
  <c r="I374" i="517"/>
  <c r="J423" i="519"/>
  <c r="M35" i="521"/>
  <c r="L264" i="518"/>
  <c r="M284" i="521"/>
  <c r="L489" i="523"/>
  <c r="K17" i="518"/>
  <c r="I87" i="519"/>
  <c r="K207" i="521"/>
  <c r="K44" i="518"/>
  <c r="M126" i="523"/>
  <c r="L552" i="521"/>
  <c r="I183" i="518"/>
  <c r="K190" i="517"/>
  <c r="I288" i="520"/>
  <c r="L57" i="518"/>
  <c r="K325" i="520"/>
  <c r="K153" i="518"/>
  <c r="J304" i="517"/>
  <c r="M309" i="517"/>
  <c r="J234" i="523"/>
  <c r="M129" i="519"/>
  <c r="I516" i="517"/>
  <c r="J535" i="521"/>
  <c r="D563" i="247"/>
  <c r="J177" i="523"/>
  <c r="L355" i="523"/>
  <c r="K557" i="517"/>
  <c r="M232" i="523"/>
  <c r="M467" i="520"/>
  <c r="M413" i="519"/>
  <c r="I131" i="521"/>
  <c r="M459" i="517"/>
  <c r="L272" i="521"/>
  <c r="D184" i="247"/>
  <c r="J550" i="519"/>
  <c r="M437" i="518"/>
  <c r="M572" i="520"/>
  <c r="C544" i="247"/>
  <c r="L353" i="519"/>
  <c r="M673" i="523"/>
  <c r="F20" i="518"/>
  <c r="I489" i="521"/>
  <c r="D78" i="247"/>
  <c r="I506" i="521"/>
  <c r="C273" i="247"/>
  <c r="I457" i="523"/>
  <c r="J243" i="520"/>
  <c r="I149" i="523"/>
  <c r="J214" i="523"/>
  <c r="L655" i="521"/>
  <c r="I88" i="517"/>
  <c r="L568" i="519"/>
  <c r="K678" i="518"/>
  <c r="K45" i="523"/>
  <c r="K445" i="517"/>
  <c r="F8" i="519"/>
  <c r="M278" i="521"/>
  <c r="L636" i="518"/>
  <c r="L300" i="520"/>
  <c r="K48" i="517"/>
  <c r="I577" i="523"/>
  <c r="L418" i="517"/>
  <c r="L14" i="520"/>
  <c r="K613" i="523"/>
  <c r="G12" i="521"/>
  <c r="I189" i="523"/>
  <c r="K654" i="520"/>
  <c r="I395" i="523"/>
  <c r="M23" i="518"/>
  <c r="I334" i="523"/>
  <c r="M676" i="520"/>
  <c r="K382" i="519"/>
  <c r="E28" i="517"/>
  <c r="M57" i="521"/>
  <c r="K370" i="520"/>
  <c r="I284" i="520"/>
  <c r="A28" i="520"/>
  <c r="I598" i="519"/>
  <c r="L277" i="519"/>
  <c r="I24" i="520"/>
  <c r="I23" i="521"/>
  <c r="M653" i="523"/>
  <c r="L646" i="518"/>
  <c r="K259" i="521"/>
  <c r="L216" i="520"/>
  <c r="L693" i="521"/>
  <c r="I146" i="523"/>
  <c r="L485" i="521"/>
  <c r="I147" i="517"/>
  <c r="C374" i="247"/>
  <c r="J496" i="521"/>
  <c r="I63" i="520"/>
  <c r="M148" i="518"/>
  <c r="J525" i="520"/>
  <c r="K189" i="519"/>
  <c r="L324" i="519"/>
  <c r="L690" i="520"/>
  <c r="J365" i="519"/>
  <c r="J253" i="520"/>
  <c r="M255" i="518"/>
  <c r="I640" i="518"/>
  <c r="I110" i="518"/>
  <c r="J338" i="518"/>
  <c r="K278" i="523"/>
  <c r="J83" i="523"/>
  <c r="K672" i="518"/>
  <c r="I112" i="519"/>
  <c r="I501" i="518"/>
  <c r="J393" i="519"/>
  <c r="A41" i="523"/>
  <c r="J823" i="523"/>
  <c r="I189" i="518"/>
  <c r="I282" i="521"/>
  <c r="L412" i="518"/>
  <c r="J84" i="517"/>
  <c r="K135" i="520"/>
  <c r="M687" i="519"/>
  <c r="K205" i="521"/>
  <c r="J240" i="518"/>
  <c r="K685" i="523"/>
  <c r="K311" i="523"/>
  <c r="L249" i="521"/>
  <c r="L132" i="519"/>
  <c r="M521" i="520"/>
  <c r="K456" i="518"/>
  <c r="J438" i="521"/>
  <c r="J366" i="520"/>
  <c r="J288" i="520"/>
  <c r="K463" i="523"/>
  <c r="K478" i="523"/>
  <c r="C45" i="521"/>
  <c r="J492" i="521"/>
  <c r="L247" i="523"/>
  <c r="I555" i="518"/>
  <c r="K375" i="523"/>
  <c r="L466" i="521"/>
  <c r="M222" i="517"/>
  <c r="M39" i="521"/>
  <c r="B11" i="482"/>
  <c r="I307" i="518"/>
  <c r="K601" i="520"/>
  <c r="D316" i="247"/>
  <c r="K649" i="521"/>
  <c r="I165" i="519"/>
  <c r="L18" i="523"/>
  <c r="J740" i="523"/>
  <c r="J384" i="520"/>
  <c r="K599" i="517"/>
  <c r="M302" i="521"/>
  <c r="L451" i="518"/>
  <c r="K589" i="518"/>
  <c r="K327" i="517"/>
  <c r="L287" i="521"/>
  <c r="J442" i="521"/>
  <c r="L435" i="521"/>
  <c r="L680" i="519"/>
  <c r="J837" i="523"/>
  <c r="J390" i="518"/>
  <c r="L459" i="517"/>
  <c r="M48" i="520"/>
  <c r="I424" i="519"/>
  <c r="K620" i="520"/>
  <c r="I93" i="519"/>
  <c r="C7" i="523"/>
  <c r="I208" i="520"/>
  <c r="L458" i="521"/>
  <c r="I38" i="517"/>
  <c r="M362" i="523"/>
  <c r="L642" i="519"/>
  <c r="L291" i="517"/>
  <c r="M282" i="519"/>
  <c r="M586" i="517"/>
  <c r="L511" i="523"/>
  <c r="L683" i="523"/>
  <c r="M292" i="521"/>
  <c r="I304" i="519"/>
  <c r="C503" i="247"/>
  <c r="K138" i="520"/>
  <c r="M393" i="521"/>
  <c r="L681" i="521"/>
  <c r="I191" i="521"/>
  <c r="J575" i="520"/>
  <c r="K189" i="517"/>
  <c r="J523" i="521"/>
  <c r="M638" i="523"/>
  <c r="K582" i="520"/>
  <c r="K448" i="517"/>
  <c r="K366" i="519"/>
  <c r="M386" i="520"/>
  <c r="J422" i="520"/>
  <c r="J453" i="518"/>
  <c r="K442" i="521"/>
  <c r="K541" i="517"/>
  <c r="K688" i="521"/>
  <c r="D454" i="247"/>
  <c r="L443" i="518"/>
  <c r="K557" i="520"/>
  <c r="J502" i="523"/>
  <c r="I519" i="519"/>
  <c r="J567" i="521"/>
  <c r="K46" i="523"/>
  <c r="L300" i="523"/>
  <c r="K498" i="523"/>
  <c r="L829" i="523"/>
  <c r="J557" i="523"/>
  <c r="I69" i="521"/>
  <c r="M380" i="520"/>
  <c r="I443" i="519"/>
  <c r="I671" i="519"/>
  <c r="M287" i="519"/>
  <c r="L434" i="520"/>
  <c r="K637" i="521"/>
  <c r="J51" i="517"/>
  <c r="J11" i="517"/>
  <c r="J601" i="523"/>
  <c r="M456" i="517"/>
  <c r="K648" i="519"/>
  <c r="K316" i="518"/>
  <c r="L116" i="523"/>
  <c r="J525" i="518"/>
  <c r="J552" i="521"/>
  <c r="L368" i="519"/>
  <c r="K223" i="519"/>
  <c r="C40" i="247"/>
  <c r="J603" i="517"/>
  <c r="A30" i="520"/>
  <c r="I572" i="517"/>
  <c r="D341" i="247"/>
  <c r="D438" i="247"/>
  <c r="K30" i="519"/>
  <c r="L491" i="521"/>
  <c r="K285" i="521"/>
  <c r="I199" i="521"/>
  <c r="J264" i="519"/>
  <c r="K591" i="518"/>
  <c r="L651" i="520"/>
  <c r="J509" i="518"/>
  <c r="M538" i="518"/>
  <c r="I235" i="517"/>
  <c r="J185" i="518"/>
  <c r="M28" i="523"/>
  <c r="G2" i="521"/>
  <c r="J32" i="518"/>
  <c r="K188" i="517"/>
  <c r="F12" i="521"/>
  <c r="L101" i="520"/>
  <c r="K484" i="519"/>
  <c r="K508" i="517"/>
  <c r="K355" i="518"/>
  <c r="I640" i="519"/>
  <c r="J687" i="520"/>
  <c r="I259" i="520"/>
  <c r="L238" i="517"/>
  <c r="I239" i="520"/>
  <c r="K497" i="519"/>
  <c r="M84" i="519"/>
  <c r="K367" i="521"/>
  <c r="J310" i="523"/>
  <c r="K493" i="518"/>
  <c r="M236" i="520"/>
  <c r="M205" i="517"/>
  <c r="K374" i="519"/>
  <c r="C3" i="519"/>
  <c r="M166" i="521"/>
  <c r="J598" i="521"/>
  <c r="M599" i="517"/>
  <c r="J56" i="519"/>
  <c r="D205" i="247"/>
  <c r="M220" i="520"/>
  <c r="D191" i="247"/>
  <c r="L672" i="520"/>
  <c r="J436" i="521"/>
  <c r="J650" i="521"/>
  <c r="J156" i="520"/>
  <c r="I415" i="521"/>
  <c r="J761" i="523"/>
  <c r="L173" i="517"/>
  <c r="K337" i="521"/>
  <c r="M24" i="521"/>
  <c r="L297" i="517"/>
  <c r="C4" i="521"/>
  <c r="L545" i="521"/>
  <c r="I639" i="520"/>
  <c r="M369" i="519"/>
  <c r="L135" i="519"/>
  <c r="M278" i="519"/>
  <c r="M276" i="523"/>
  <c r="K374" i="520"/>
  <c r="K405" i="520"/>
  <c r="L13" i="521"/>
  <c r="J588" i="517"/>
  <c r="L357" i="520"/>
  <c r="K292" i="519"/>
  <c r="K394" i="523"/>
  <c r="G9" i="523"/>
  <c r="I578" i="520"/>
  <c r="M259" i="518"/>
  <c r="J82" i="523"/>
  <c r="K314" i="520"/>
  <c r="J540" i="519"/>
  <c r="J112" i="517"/>
  <c r="J252" i="519"/>
  <c r="I468" i="520"/>
  <c r="J303" i="523"/>
  <c r="M256" i="517"/>
  <c r="J435" i="518"/>
  <c r="J210" i="521"/>
  <c r="I213" i="520"/>
  <c r="L398" i="521"/>
  <c r="C227" i="247"/>
  <c r="K26" i="521"/>
  <c r="M104" i="517"/>
  <c r="J599" i="521"/>
  <c r="L640" i="519"/>
  <c r="L88" i="521"/>
  <c r="I32" i="519"/>
  <c r="L165" i="521"/>
  <c r="I376" i="517"/>
  <c r="K631" i="518"/>
  <c r="I147" i="519"/>
  <c r="D360" i="247"/>
  <c r="J268" i="518"/>
  <c r="L429" i="520"/>
  <c r="L219" i="518"/>
  <c r="M617" i="518"/>
  <c r="L657" i="518"/>
  <c r="K114" i="523"/>
  <c r="L39" i="518"/>
  <c r="M403" i="523"/>
  <c r="L734" i="523"/>
  <c r="J248" i="523"/>
  <c r="K182" i="523"/>
  <c r="J806" i="523"/>
  <c r="L323" i="517"/>
  <c r="C469" i="247"/>
  <c r="K215" i="523"/>
  <c r="K638" i="523"/>
  <c r="M587" i="521"/>
  <c r="I445" i="520"/>
  <c r="I350" i="520"/>
  <c r="J170" i="519"/>
  <c r="J694" i="520"/>
  <c r="J244" i="519"/>
  <c r="M44" i="517"/>
  <c r="I667" i="517"/>
  <c r="L589" i="517"/>
  <c r="M26" i="523"/>
  <c r="H22" i="518"/>
  <c r="M91" i="521"/>
  <c r="I187" i="517"/>
  <c r="D252" i="247"/>
  <c r="L210" i="517"/>
  <c r="M40" i="519"/>
  <c r="L657" i="517"/>
  <c r="D324" i="247"/>
  <c r="M266" i="521"/>
  <c r="I234" i="520"/>
  <c r="K464" i="520"/>
  <c r="L346" i="518"/>
  <c r="K434" i="519"/>
  <c r="J552" i="523"/>
  <c r="K176" i="523"/>
  <c r="L248" i="518"/>
  <c r="I247" i="517"/>
  <c r="J545" i="523"/>
  <c r="I130" i="517"/>
  <c r="I541" i="519"/>
  <c r="K514" i="517"/>
  <c r="K119" i="521"/>
  <c r="H22" i="520"/>
  <c r="L686" i="518"/>
  <c r="E9" i="519"/>
  <c r="L563" i="520"/>
  <c r="I390" i="520"/>
  <c r="J39" i="518"/>
  <c r="D297" i="247"/>
  <c r="I441" i="519"/>
  <c r="K580" i="523"/>
  <c r="K138" i="523"/>
  <c r="I42" i="518"/>
  <c r="L310" i="517"/>
  <c r="K163" i="518"/>
  <c r="D542" i="247"/>
  <c r="L476" i="521"/>
  <c r="I87" i="520"/>
  <c r="M527" i="523"/>
  <c r="I567" i="517"/>
  <c r="M109" i="519"/>
  <c r="J302" i="523"/>
  <c r="I118" i="518"/>
  <c r="K455" i="517"/>
  <c r="J79" i="520"/>
  <c r="J465" i="520"/>
  <c r="I155" i="521"/>
  <c r="L105" i="523"/>
  <c r="M646" i="519"/>
  <c r="J497" i="518"/>
  <c r="K13" i="517"/>
  <c r="I449" i="523"/>
  <c r="J16" i="517"/>
  <c r="I397" i="518"/>
  <c r="I177" i="518"/>
  <c r="K239" i="518"/>
  <c r="L9" i="521"/>
  <c r="K749" i="523"/>
  <c r="M356" i="520"/>
  <c r="K332" i="518"/>
  <c r="K228" i="518"/>
  <c r="P36" i="3"/>
  <c r="K248" i="519"/>
  <c r="L575" i="519"/>
  <c r="C276" i="247"/>
  <c r="J662" i="518"/>
  <c r="I33" i="521"/>
  <c r="M162" i="520"/>
  <c r="K225" i="521"/>
  <c r="J514" i="520"/>
  <c r="D579" i="247"/>
  <c r="M519" i="520"/>
  <c r="I644" i="517"/>
  <c r="K585" i="520"/>
  <c r="K192" i="517"/>
  <c r="K588" i="520"/>
  <c r="M315" i="523"/>
  <c r="K133" i="519"/>
  <c r="I258" i="517"/>
  <c r="M641" i="521"/>
  <c r="M48" i="517"/>
  <c r="J330" i="519"/>
  <c r="M765" i="523"/>
  <c r="I341" i="518"/>
  <c r="J368" i="523"/>
  <c r="M712" i="523"/>
  <c r="I223" i="518"/>
  <c r="L307" i="518"/>
  <c r="K288" i="518"/>
  <c r="I143" i="518"/>
  <c r="D142" i="247"/>
  <c r="I559" i="519"/>
  <c r="L212" i="518"/>
  <c r="J619" i="520"/>
  <c r="K435" i="517"/>
  <c r="L472" i="521"/>
  <c r="J107" i="518"/>
  <c r="K630" i="518"/>
  <c r="M52" i="518"/>
  <c r="J340" i="518"/>
  <c r="I105" i="518"/>
  <c r="L539" i="520"/>
  <c r="M444" i="523"/>
  <c r="J783" i="523"/>
  <c r="I47" i="517"/>
  <c r="I835" i="523"/>
  <c r="M361" i="518"/>
  <c r="J290" i="520"/>
  <c r="I619" i="523"/>
  <c r="I444" i="523"/>
  <c r="C488" i="247"/>
  <c r="K210" i="518"/>
  <c r="K666" i="520"/>
  <c r="M216" i="517"/>
  <c r="J537" i="517"/>
  <c r="I316" i="517"/>
  <c r="J286" i="519"/>
  <c r="J68" i="523"/>
  <c r="L140" i="518"/>
  <c r="K651" i="517"/>
  <c r="K60" i="523"/>
  <c r="K149" i="520"/>
  <c r="I134" i="517"/>
  <c r="K716" i="523"/>
  <c r="M268" i="517"/>
  <c r="I424" i="521"/>
  <c r="M633" i="517"/>
  <c r="C228" i="247"/>
  <c r="L608" i="517"/>
  <c r="K264" i="520"/>
  <c r="K594" i="521"/>
  <c r="L135" i="517"/>
  <c r="L660" i="518"/>
  <c r="I543" i="518"/>
  <c r="I221" i="520"/>
  <c r="C139" i="247"/>
  <c r="F6" i="517"/>
  <c r="K687" i="521"/>
  <c r="J524" i="523"/>
  <c r="D570" i="247"/>
  <c r="K439" i="518"/>
  <c r="G5" i="518"/>
  <c r="I627" i="523"/>
  <c r="L412" i="523"/>
  <c r="D490" i="247"/>
  <c r="J493" i="517"/>
  <c r="H5" i="517"/>
  <c r="I87" i="523"/>
  <c r="M458" i="517"/>
  <c r="L685" i="518"/>
  <c r="K419" i="520"/>
  <c r="L201" i="521"/>
  <c r="J124" i="520"/>
  <c r="L288" i="523"/>
  <c r="J42" i="517"/>
  <c r="K67" i="520"/>
  <c r="J687" i="521"/>
  <c r="L532" i="518"/>
  <c r="L85" i="521"/>
  <c r="K512" i="518"/>
  <c r="K549" i="518"/>
  <c r="L459" i="523"/>
  <c r="M321" i="519"/>
  <c r="M625" i="518"/>
  <c r="J455" i="521"/>
  <c r="I228" i="521"/>
  <c r="K575" i="520"/>
  <c r="J21" i="521"/>
  <c r="K62" i="520"/>
  <c r="K493" i="523"/>
  <c r="J90" i="523"/>
  <c r="M36" i="517"/>
  <c r="L619" i="521"/>
  <c r="J396" i="517"/>
  <c r="C184" i="247"/>
  <c r="K667" i="523"/>
  <c r="J409" i="523"/>
  <c r="I124" i="521"/>
  <c r="L687" i="517"/>
  <c r="L601" i="521"/>
  <c r="M294" i="521"/>
  <c r="J472" i="518"/>
  <c r="C405" i="247"/>
  <c r="L449" i="520"/>
  <c r="K294" i="519"/>
  <c r="I499" i="519"/>
  <c r="J588" i="523"/>
  <c r="M519" i="519"/>
  <c r="I347" i="517"/>
  <c r="I249" i="518"/>
  <c r="J499" i="518"/>
  <c r="J581" i="523"/>
  <c r="J182" i="518"/>
  <c r="M135" i="521"/>
  <c r="L378" i="523"/>
  <c r="J542" i="518"/>
  <c r="L34" i="520"/>
  <c r="J310" i="518"/>
  <c r="M439" i="520"/>
  <c r="C10" i="507"/>
  <c r="M416" i="521"/>
  <c r="J9" i="519"/>
  <c r="K392" i="517"/>
  <c r="M319" i="520"/>
  <c r="M225" i="519"/>
  <c r="L405" i="518"/>
  <c r="M783" i="523"/>
  <c r="D425" i="247"/>
  <c r="M124" i="520"/>
  <c r="I232" i="520"/>
  <c r="M658" i="520"/>
  <c r="J478" i="520"/>
  <c r="I481" i="518"/>
  <c r="L664" i="518"/>
  <c r="C298" i="247"/>
  <c r="I442" i="517"/>
  <c r="M335" i="523"/>
  <c r="J481" i="518"/>
  <c r="I366" i="521"/>
  <c r="A28" i="519"/>
  <c r="M465" i="521"/>
  <c r="J94" i="521"/>
  <c r="I689" i="521"/>
  <c r="J250" i="520"/>
  <c r="I319" i="523"/>
  <c r="J67" i="521"/>
  <c r="F19" i="521"/>
  <c r="M308" i="521"/>
  <c r="K758" i="523"/>
  <c r="L562" i="523"/>
  <c r="J459" i="517"/>
  <c r="J529" i="519"/>
  <c r="I411" i="521"/>
  <c r="L130" i="520"/>
  <c r="K689" i="520"/>
  <c r="L437" i="517"/>
  <c r="K577" i="520"/>
  <c r="I617" i="519"/>
  <c r="J165" i="518"/>
  <c r="J651" i="518"/>
  <c r="M177" i="520"/>
  <c r="J406" i="523"/>
  <c r="I70" i="521"/>
  <c r="M69" i="519"/>
  <c r="M490" i="523"/>
  <c r="K546" i="523"/>
  <c r="I424" i="520"/>
  <c r="K262" i="523"/>
  <c r="J209" i="520"/>
  <c r="J311" i="517"/>
  <c r="K634" i="523"/>
  <c r="M702" i="523"/>
  <c r="K715" i="523"/>
  <c r="J476" i="523"/>
  <c r="J298" i="518"/>
  <c r="L34" i="518"/>
  <c r="L143" i="520"/>
  <c r="L511" i="517"/>
  <c r="L380" i="521"/>
  <c r="M105" i="519"/>
  <c r="I440" i="520"/>
  <c r="K249" i="518"/>
  <c r="C283" i="247"/>
  <c r="M71" i="523"/>
  <c r="J27" i="519"/>
  <c r="D111" i="247"/>
  <c r="K148" i="520"/>
  <c r="K44" i="523"/>
  <c r="I531" i="518"/>
  <c r="M387" i="518"/>
  <c r="M510" i="518"/>
  <c r="I497" i="518"/>
  <c r="J665" i="518"/>
  <c r="J228" i="518"/>
  <c r="L668" i="523"/>
  <c r="I152" i="521"/>
  <c r="I191" i="523"/>
  <c r="M374" i="520"/>
  <c r="L595" i="521"/>
  <c r="L648" i="517"/>
  <c r="I204" i="517"/>
  <c r="D416" i="247"/>
  <c r="K609" i="519"/>
  <c r="I355" i="518"/>
  <c r="D428" i="247"/>
  <c r="L211" i="519"/>
  <c r="M482" i="517"/>
  <c r="I652" i="518"/>
  <c r="K567" i="521"/>
  <c r="A37" i="520"/>
  <c r="M135" i="518"/>
  <c r="I671" i="518"/>
  <c r="L159" i="521"/>
  <c r="J382" i="520"/>
  <c r="L20" i="523"/>
  <c r="K542" i="517"/>
  <c r="J544" i="523"/>
  <c r="K343" i="521"/>
  <c r="I312" i="521"/>
  <c r="I449" i="519"/>
  <c r="M595" i="519"/>
  <c r="L409" i="521"/>
  <c r="C352" i="247"/>
  <c r="M547" i="519"/>
  <c r="L790" i="523"/>
  <c r="D99" i="247"/>
  <c r="L634" i="518"/>
  <c r="K104" i="518"/>
  <c r="M163" i="523"/>
  <c r="K334" i="523"/>
  <c r="M475" i="518"/>
  <c r="L359" i="517"/>
  <c r="C4" i="507"/>
  <c r="I206" i="517"/>
  <c r="J326" i="521"/>
  <c r="K426" i="519"/>
  <c r="L596" i="518"/>
  <c r="J28" i="517"/>
  <c r="I246" i="517"/>
  <c r="M208" i="520"/>
  <c r="K412" i="518"/>
  <c r="K256" i="520"/>
  <c r="C42" i="523"/>
  <c r="J89" i="518"/>
  <c r="M128" i="518"/>
  <c r="K670" i="519"/>
  <c r="C80" i="247"/>
  <c r="I733" i="523"/>
  <c r="J132" i="523"/>
  <c r="J526" i="520"/>
  <c r="I136" i="517"/>
  <c r="J458" i="523"/>
  <c r="M180" i="523"/>
  <c r="E2" i="518"/>
  <c r="I293" i="517"/>
  <c r="K476" i="521"/>
  <c r="L84" i="517"/>
  <c r="C517" i="247"/>
  <c r="L208" i="519"/>
  <c r="M304" i="518"/>
  <c r="J105" i="519"/>
  <c r="K802" i="523"/>
  <c r="K621" i="523"/>
  <c r="K625" i="517"/>
  <c r="L414" i="523"/>
  <c r="M254" i="517"/>
  <c r="K606" i="523"/>
  <c r="I378" i="518"/>
  <c r="K352" i="517"/>
  <c r="J306" i="519"/>
  <c r="K142" i="519"/>
  <c r="J297" i="517"/>
  <c r="M509" i="519"/>
  <c r="I580" i="521"/>
  <c r="M441" i="517"/>
  <c r="I482" i="519"/>
  <c r="J125" i="521"/>
  <c r="L78" i="518"/>
  <c r="L669" i="519"/>
  <c r="H20" i="517"/>
  <c r="I531" i="519"/>
  <c r="M632" i="519"/>
  <c r="I76" i="520"/>
  <c r="M223" i="517"/>
  <c r="M742" i="523"/>
  <c r="D82" i="247"/>
  <c r="K497" i="518"/>
  <c r="J689" i="521"/>
  <c r="J146" i="518"/>
  <c r="J103" i="519"/>
  <c r="I129" i="523"/>
  <c r="C44" i="517"/>
  <c r="I37" i="517"/>
  <c r="L509" i="519"/>
  <c r="L246" i="521"/>
  <c r="J181" i="521"/>
  <c r="E20" i="520"/>
  <c r="I606" i="518"/>
  <c r="M784" i="523"/>
  <c r="J184" i="521"/>
  <c r="M598" i="519"/>
  <c r="M303" i="523"/>
  <c r="L644" i="517"/>
  <c r="M490" i="520"/>
  <c r="L624" i="520"/>
  <c r="C419" i="247"/>
  <c r="M309" i="518"/>
  <c r="K631" i="521"/>
  <c r="M617" i="517"/>
  <c r="K356" i="523"/>
  <c r="K412" i="523"/>
  <c r="L34" i="517"/>
  <c r="J548" i="520"/>
  <c r="L127" i="519"/>
  <c r="K379" i="520"/>
  <c r="I224" i="521"/>
  <c r="K254" i="523"/>
  <c r="I547" i="517"/>
  <c r="D76" i="247"/>
  <c r="I252" i="521"/>
  <c r="L640" i="521"/>
  <c r="L117" i="518"/>
  <c r="K604" i="517"/>
  <c r="M432" i="517"/>
  <c r="I611" i="517"/>
  <c r="J766" i="523"/>
  <c r="K454" i="523"/>
  <c r="I513" i="520"/>
  <c r="I177" i="521"/>
  <c r="J576" i="517"/>
  <c r="L118" i="520"/>
  <c r="L556" i="518"/>
  <c r="I149" i="517"/>
  <c r="I268" i="517"/>
  <c r="I440" i="523"/>
  <c r="J693" i="523"/>
  <c r="J659" i="520"/>
  <c r="L107" i="523"/>
  <c r="K650" i="517"/>
  <c r="I364" i="521"/>
  <c r="L499" i="520"/>
  <c r="M451" i="520"/>
  <c r="I528" i="523"/>
  <c r="M6" i="517"/>
  <c r="K148" i="521"/>
  <c r="L465" i="520"/>
  <c r="J426" i="520"/>
  <c r="D36" i="247"/>
  <c r="C467" i="247"/>
  <c r="I538" i="523"/>
  <c r="M70" i="517"/>
  <c r="I579" i="520"/>
  <c r="L394" i="523"/>
  <c r="K467" i="521"/>
  <c r="I645" i="520"/>
  <c r="L288" i="520"/>
  <c r="K378" i="520"/>
  <c r="M202" i="520"/>
  <c r="M704" i="523"/>
  <c r="D430" i="247"/>
  <c r="J366" i="518"/>
  <c r="L114" i="520"/>
  <c r="K340" i="518"/>
  <c r="K618" i="519"/>
  <c r="K476" i="520"/>
  <c r="K202" i="523"/>
  <c r="M595" i="523"/>
  <c r="J494" i="517"/>
  <c r="J677" i="518"/>
  <c r="I558" i="519"/>
  <c r="K366" i="520"/>
  <c r="C39" i="523"/>
  <c r="D511" i="247"/>
  <c r="L271" i="523"/>
  <c r="L784" i="523"/>
  <c r="M273" i="518"/>
  <c r="K483" i="520"/>
  <c r="K160" i="521"/>
  <c r="C163" i="247"/>
  <c r="K672" i="519"/>
  <c r="L19" i="520"/>
  <c r="L488" i="518"/>
  <c r="I176" i="523"/>
  <c r="L245" i="517"/>
  <c r="L615" i="523"/>
  <c r="M324" i="523"/>
  <c r="M67" i="518"/>
  <c r="I372" i="519"/>
  <c r="L565" i="521"/>
  <c r="M419" i="521"/>
  <c r="J36" i="521"/>
  <c r="I709" i="523"/>
  <c r="M139" i="521"/>
  <c r="K102" i="523"/>
  <c r="I412" i="517"/>
  <c r="L210" i="520"/>
  <c r="K327" i="520"/>
  <c r="J537" i="518"/>
  <c r="I335" i="517"/>
  <c r="B16" i="482"/>
  <c r="J585" i="523"/>
  <c r="K120" i="518"/>
  <c r="M111" i="519"/>
  <c r="K349" i="520"/>
  <c r="F4" i="517"/>
  <c r="M806" i="523"/>
  <c r="K462" i="518"/>
  <c r="M670" i="521"/>
  <c r="L425" i="521"/>
  <c r="K405" i="523"/>
  <c r="I676" i="520"/>
  <c r="L582" i="519"/>
  <c r="I425" i="520"/>
  <c r="J209" i="518"/>
  <c r="J637" i="518"/>
  <c r="I570" i="521"/>
  <c r="L802" i="523"/>
  <c r="L31" i="517"/>
  <c r="I289" i="518"/>
  <c r="I373" i="523"/>
  <c r="D208" i="247"/>
  <c r="J72" i="517"/>
  <c r="I662" i="521"/>
  <c r="L506" i="518"/>
  <c r="J351" i="517"/>
  <c r="D249" i="247"/>
  <c r="M184" i="519"/>
  <c r="J640" i="520"/>
  <c r="H6" i="523"/>
  <c r="K639" i="519"/>
  <c r="K74" i="519"/>
  <c r="M38" i="517"/>
  <c r="I38" i="521"/>
  <c r="K105" i="519"/>
  <c r="J80" i="521"/>
  <c r="J201" i="520"/>
  <c r="Q7" i="3"/>
  <c r="J331" i="519"/>
  <c r="M280" i="523"/>
  <c r="K400" i="520"/>
  <c r="L405" i="523"/>
  <c r="I493" i="520"/>
  <c r="J465" i="518"/>
  <c r="C394" i="247"/>
  <c r="M261" i="519"/>
  <c r="I325" i="518"/>
  <c r="J302" i="521"/>
  <c r="L423" i="520"/>
  <c r="K606" i="517"/>
  <c r="K376" i="518"/>
  <c r="K121" i="518"/>
  <c r="J494" i="523"/>
  <c r="K221" i="517"/>
  <c r="M643" i="523"/>
  <c r="L211" i="521"/>
  <c r="J666" i="523"/>
  <c r="F22" i="517"/>
  <c r="L372" i="523"/>
  <c r="I78" i="520"/>
  <c r="K336" i="519"/>
  <c r="E21" i="520"/>
  <c r="K497" i="520"/>
  <c r="K158" i="521"/>
  <c r="L566" i="521"/>
  <c r="I801" i="523"/>
  <c r="L148" i="521"/>
  <c r="M42" i="519"/>
  <c r="M635" i="517"/>
  <c r="I167" i="518"/>
  <c r="K56" i="520"/>
  <c r="I104" i="523"/>
  <c r="K241" i="519"/>
  <c r="J259" i="523"/>
  <c r="C446" i="247"/>
  <c r="L277" i="520"/>
  <c r="J211" i="518"/>
  <c r="J23" i="518"/>
  <c r="J167" i="518"/>
  <c r="C23" i="247"/>
  <c r="M761" i="523"/>
  <c r="I198" i="520"/>
  <c r="C427" i="247"/>
  <c r="I269" i="518"/>
  <c r="L141" i="519"/>
  <c r="J250" i="517"/>
  <c r="I556" i="518"/>
  <c r="L679" i="523"/>
  <c r="J331" i="520"/>
  <c r="L677" i="517"/>
  <c r="K648" i="517"/>
  <c r="J531" i="521"/>
  <c r="L419" i="523"/>
  <c r="I542" i="520"/>
  <c r="C38" i="518"/>
  <c r="J184" i="520"/>
  <c r="J126" i="521"/>
  <c r="K642" i="518"/>
  <c r="M269" i="519"/>
  <c r="L560" i="520"/>
  <c r="I651" i="519"/>
  <c r="K325" i="521"/>
  <c r="I670" i="521"/>
  <c r="L73" i="520"/>
  <c r="A16" i="519"/>
  <c r="I289" i="517"/>
  <c r="I412" i="518"/>
  <c r="G21" i="519"/>
  <c r="J594" i="518"/>
  <c r="C2" i="521"/>
  <c r="K376" i="521"/>
  <c r="L190" i="523"/>
  <c r="I427" i="519"/>
  <c r="L493" i="523"/>
  <c r="L667" i="518"/>
  <c r="K404" i="519"/>
  <c r="K496" i="520"/>
  <c r="I113" i="519"/>
  <c r="D469" i="247"/>
  <c r="L256" i="521"/>
  <c r="M345" i="521"/>
  <c r="I39" i="520"/>
  <c r="L377" i="519"/>
  <c r="J655" i="519"/>
  <c r="I440" i="521"/>
  <c r="H5" i="523"/>
  <c r="M120" i="521"/>
  <c r="C45" i="247"/>
  <c r="J576" i="520"/>
  <c r="M568" i="521"/>
  <c r="J248" i="520"/>
  <c r="J132" i="520"/>
  <c r="I36" i="519"/>
  <c r="I50" i="523"/>
  <c r="L308" i="519"/>
  <c r="M661" i="519"/>
  <c r="L451" i="517"/>
  <c r="I660" i="520"/>
  <c r="K49" i="521"/>
  <c r="K556" i="523"/>
  <c r="L3" i="518"/>
  <c r="M527" i="521"/>
  <c r="J656" i="521"/>
  <c r="K245" i="518"/>
  <c r="I71" i="523"/>
  <c r="M674" i="523"/>
  <c r="C3" i="523"/>
  <c r="H12" i="523"/>
  <c r="L560" i="517"/>
  <c r="K536" i="519"/>
  <c r="L453" i="521"/>
  <c r="K61" i="517"/>
  <c r="K235" i="517"/>
  <c r="I416" i="519"/>
  <c r="J537" i="519"/>
  <c r="M167" i="521"/>
  <c r="L521" i="523"/>
  <c r="M450" i="518"/>
  <c r="M137" i="517"/>
  <c r="M17" i="523"/>
  <c r="K280" i="521"/>
  <c r="K115" i="520"/>
  <c r="M131" i="518"/>
  <c r="L473" i="523"/>
  <c r="J707" i="523"/>
  <c r="I47" i="519"/>
  <c r="I41" i="520"/>
  <c r="C32" i="520"/>
  <c r="M418" i="517"/>
  <c r="M575" i="523"/>
  <c r="M92" i="523"/>
  <c r="H2" i="517"/>
  <c r="L133" i="523"/>
  <c r="Q46" i="3"/>
  <c r="M313" i="520"/>
  <c r="K31" i="518"/>
  <c r="L804" i="523"/>
  <c r="M542" i="517"/>
  <c r="K546" i="519"/>
  <c r="L195" i="521"/>
  <c r="I215" i="521"/>
  <c r="L188" i="521"/>
  <c r="L83" i="520"/>
  <c r="J481" i="523"/>
  <c r="M642" i="521"/>
  <c r="M284" i="523"/>
  <c r="I473" i="518"/>
  <c r="E9" i="521"/>
  <c r="M427" i="520"/>
  <c r="K511" i="520"/>
  <c r="K146" i="523"/>
  <c r="E27" i="519"/>
  <c r="K273" i="520"/>
  <c r="I507" i="520"/>
  <c r="M87" i="521"/>
  <c r="M46" i="520"/>
  <c r="D462" i="247"/>
  <c r="I578" i="517"/>
  <c r="K291" i="519"/>
  <c r="J361" i="518"/>
  <c r="M345" i="517"/>
  <c r="L53" i="523"/>
  <c r="K131" i="519"/>
  <c r="L135" i="523"/>
  <c r="J145" i="520"/>
  <c r="J627" i="523"/>
  <c r="L30" i="523"/>
  <c r="I659" i="520"/>
  <c r="I106" i="520"/>
  <c r="I166" i="520"/>
  <c r="I673" i="521"/>
  <c r="J589" i="521"/>
  <c r="K635" i="521"/>
  <c r="M311" i="518"/>
  <c r="A11" i="518"/>
  <c r="M465" i="523"/>
  <c r="M11" i="517"/>
  <c r="M429" i="517"/>
  <c r="K197" i="519"/>
  <c r="C542" i="247"/>
  <c r="I183" i="523"/>
  <c r="J572" i="521"/>
  <c r="J308" i="517"/>
  <c r="L166" i="518"/>
  <c r="K431" i="520"/>
  <c r="J709" i="523"/>
  <c r="M121" i="519"/>
  <c r="K642" i="523"/>
  <c r="L664" i="517"/>
  <c r="I160" i="520"/>
  <c r="C252" i="247"/>
  <c r="J771" i="523"/>
  <c r="I668" i="521"/>
  <c r="C233" i="247"/>
  <c r="A33" i="523"/>
  <c r="K91" i="518"/>
  <c r="L305" i="519"/>
  <c r="J159" i="519"/>
  <c r="K358" i="523"/>
  <c r="J57" i="519"/>
  <c r="K534" i="519"/>
  <c r="L199" i="520"/>
  <c r="M612" i="518"/>
  <c r="I12" i="519"/>
  <c r="J138" i="517"/>
  <c r="I398" i="520"/>
  <c r="M146" i="518"/>
  <c r="I330" i="518"/>
  <c r="M580" i="521"/>
  <c r="L341" i="518"/>
  <c r="M215" i="517"/>
  <c r="J213" i="517"/>
  <c r="I222" i="517"/>
  <c r="M14" i="518"/>
  <c r="M331" i="518"/>
  <c r="M245" i="518"/>
  <c r="C278" i="247"/>
  <c r="I74" i="520"/>
  <c r="I326" i="519"/>
  <c r="J98" i="521"/>
  <c r="L469" i="520"/>
  <c r="K13" i="519"/>
  <c r="C277" i="247"/>
  <c r="K650" i="518"/>
  <c r="L450" i="519"/>
  <c r="K388" i="519"/>
  <c r="I558" i="523"/>
  <c r="M3" i="520"/>
  <c r="L403" i="520"/>
  <c r="M25" i="520"/>
  <c r="K26" i="523"/>
  <c r="K316" i="517"/>
  <c r="L681" i="519"/>
  <c r="J35" i="517"/>
  <c r="K155" i="523"/>
  <c r="I236" i="517"/>
  <c r="J102" i="520"/>
  <c r="J543" i="523"/>
  <c r="I49" i="519"/>
  <c r="M561" i="518"/>
  <c r="J298" i="517"/>
  <c r="M692" i="521"/>
  <c r="M22" i="520"/>
  <c r="J398" i="520"/>
  <c r="M183" i="518"/>
  <c r="K20" i="519"/>
  <c r="I43" i="518"/>
  <c r="J142" i="523"/>
  <c r="J481" i="520"/>
  <c r="A15" i="517"/>
  <c r="K550" i="517"/>
  <c r="I520" i="523"/>
  <c r="L474" i="517"/>
  <c r="M25" i="519"/>
  <c r="M95" i="523"/>
  <c r="J440" i="523"/>
  <c r="I429" i="519"/>
  <c r="I262" i="518"/>
  <c r="L535" i="520"/>
  <c r="C106" i="247"/>
  <c r="J487" i="518"/>
  <c r="I116" i="519"/>
  <c r="K114" i="517"/>
  <c r="K152" i="519"/>
  <c r="E21" i="518"/>
  <c r="J340" i="520"/>
  <c r="M188" i="520"/>
  <c r="I595" i="517"/>
  <c r="J354" i="523"/>
  <c r="J422" i="517"/>
  <c r="L318" i="519"/>
  <c r="J46" i="521"/>
  <c r="J371" i="518"/>
  <c r="K480" i="517"/>
  <c r="L684" i="519"/>
  <c r="M97" i="523"/>
  <c r="I466" i="518"/>
  <c r="J280" i="518"/>
  <c r="J30" i="521"/>
  <c r="I295" i="517"/>
  <c r="K320" i="518"/>
  <c r="M448" i="523"/>
  <c r="M600" i="519"/>
  <c r="K721" i="523"/>
  <c r="D291" i="247"/>
  <c r="C196" i="247"/>
  <c r="M333" i="518"/>
  <c r="L121" i="519"/>
  <c r="J320" i="521"/>
  <c r="K683" i="520"/>
  <c r="J340" i="517"/>
  <c r="D288" i="247"/>
  <c r="I274" i="517"/>
  <c r="I81" i="523"/>
  <c r="L126" i="521"/>
  <c r="J185" i="519"/>
  <c r="K548" i="519"/>
  <c r="C144" i="247"/>
  <c r="I451" i="520"/>
  <c r="K523" i="517"/>
  <c r="J383" i="519"/>
  <c r="M613" i="520"/>
  <c r="I144" i="523"/>
  <c r="M450" i="517"/>
  <c r="L674" i="519"/>
  <c r="L422" i="523"/>
  <c r="L101" i="518"/>
  <c r="I398" i="518"/>
  <c r="I551" i="519"/>
  <c r="M426" i="517"/>
  <c r="M2" i="518"/>
  <c r="M603" i="519"/>
  <c r="I40" i="523"/>
  <c r="C400" i="247"/>
  <c r="M289" i="517"/>
  <c r="I290" i="519"/>
  <c r="K459" i="517"/>
  <c r="I459" i="517"/>
  <c r="K130" i="523"/>
  <c r="I146" i="521"/>
  <c r="D178" i="247"/>
  <c r="J668" i="521"/>
  <c r="J459" i="519"/>
  <c r="M507" i="518"/>
  <c r="L378" i="517"/>
  <c r="K449" i="523"/>
  <c r="I503" i="520"/>
  <c r="J287" i="519"/>
  <c r="I129" i="519"/>
  <c r="J266" i="521"/>
  <c r="J183" i="523"/>
  <c r="J437" i="519"/>
  <c r="K385" i="518"/>
  <c r="K410" i="518"/>
  <c r="I597" i="517"/>
  <c r="M350" i="517"/>
  <c r="M491" i="523"/>
  <c r="K704" i="523"/>
  <c r="L688" i="518"/>
  <c r="L435" i="523"/>
  <c r="I209" i="523"/>
  <c r="I406" i="523"/>
  <c r="D548" i="247"/>
  <c r="K692" i="520"/>
  <c r="I59" i="518"/>
  <c r="L295" i="519"/>
  <c r="L567" i="517"/>
  <c r="D57" i="247"/>
  <c r="M162" i="519"/>
  <c r="D253" i="247"/>
  <c r="C279" i="247"/>
  <c r="J321" i="519"/>
  <c r="I200" i="518"/>
  <c r="I475" i="523"/>
  <c r="J216" i="523"/>
  <c r="I286" i="519"/>
  <c r="I314" i="523"/>
  <c r="J546" i="523"/>
  <c r="K202" i="517"/>
  <c r="J236" i="518"/>
  <c r="J544" i="520"/>
  <c r="L595" i="519"/>
  <c r="C37" i="519"/>
  <c r="I100" i="517"/>
  <c r="M149" i="518"/>
  <c r="J554" i="519"/>
  <c r="K446" i="523"/>
  <c r="I840" i="523"/>
  <c r="M638" i="520"/>
  <c r="K573" i="517"/>
  <c r="J627" i="519"/>
  <c r="K67" i="518"/>
  <c r="M473" i="518"/>
  <c r="L663" i="519"/>
  <c r="C387" i="247"/>
  <c r="L434" i="517"/>
  <c r="M501" i="520"/>
  <c r="L659" i="519"/>
  <c r="K504" i="523"/>
  <c r="M192" i="520"/>
  <c r="D233" i="247"/>
  <c r="L70" i="519"/>
  <c r="I499" i="518"/>
  <c r="M237" i="519"/>
  <c r="M452" i="523"/>
  <c r="M87" i="523"/>
  <c r="I426" i="520"/>
  <c r="L577" i="517"/>
  <c r="C35" i="520"/>
  <c r="I584" i="520"/>
  <c r="I118" i="520"/>
  <c r="L43" i="520"/>
  <c r="I412" i="523"/>
  <c r="J48" i="519"/>
  <c r="M478" i="519"/>
  <c r="J785" i="523"/>
  <c r="L157" i="521"/>
  <c r="J634" i="521"/>
  <c r="J376" i="519"/>
  <c r="L630" i="519"/>
  <c r="G29" i="517"/>
  <c r="I423" i="517"/>
  <c r="L497" i="517"/>
  <c r="I300" i="518"/>
  <c r="I325" i="521"/>
  <c r="K93" i="520"/>
  <c r="A33" i="520"/>
  <c r="A5" i="520"/>
  <c r="J570" i="518"/>
  <c r="I269" i="521"/>
  <c r="I178" i="520"/>
  <c r="K111" i="523"/>
  <c r="M214" i="521"/>
  <c r="J81" i="520"/>
  <c r="I679" i="521"/>
  <c r="I360" i="523"/>
  <c r="M603" i="518"/>
  <c r="A33" i="518"/>
  <c r="L71" i="517"/>
  <c r="M650" i="521"/>
  <c r="G4" i="517"/>
  <c r="K390" i="521"/>
  <c r="K384" i="518"/>
  <c r="K88" i="517"/>
  <c r="J650" i="520"/>
  <c r="K195" i="520"/>
  <c r="K579" i="517"/>
  <c r="J256" i="517"/>
  <c r="K28" i="519"/>
  <c r="K473" i="519"/>
  <c r="J466" i="521"/>
  <c r="K106" i="523"/>
  <c r="J17" i="523"/>
  <c r="E25" i="519"/>
  <c r="M566" i="523"/>
  <c r="L535" i="521"/>
  <c r="J498" i="518"/>
  <c r="J322" i="521"/>
  <c r="D110" i="247"/>
  <c r="J374" i="521"/>
  <c r="I340" i="521"/>
  <c r="J309" i="518"/>
  <c r="L359" i="518"/>
  <c r="J434" i="523"/>
  <c r="K589" i="523"/>
  <c r="J45" i="519"/>
  <c r="J326" i="517"/>
  <c r="K578" i="521"/>
  <c r="I290" i="520"/>
  <c r="I23" i="523"/>
  <c r="K440" i="519"/>
  <c r="K619" i="517"/>
  <c r="M298" i="523"/>
  <c r="J68" i="518"/>
  <c r="K600" i="521"/>
  <c r="J158" i="523"/>
  <c r="M360" i="519"/>
  <c r="K740" i="523"/>
  <c r="L26" i="518"/>
  <c r="D174" i="247"/>
  <c r="I375" i="519"/>
  <c r="C52" i="247"/>
  <c r="M110" i="518"/>
  <c r="I626" i="518"/>
  <c r="J327" i="519"/>
  <c r="C98" i="247"/>
  <c r="I285" i="517"/>
  <c r="I125" i="519"/>
  <c r="J474" i="521"/>
  <c r="K619" i="520"/>
  <c r="G8" i="519"/>
  <c r="L42" i="523"/>
  <c r="K347" i="521"/>
  <c r="F24" i="523"/>
  <c r="K295" i="518"/>
  <c r="L183" i="523"/>
  <c r="L199" i="521"/>
  <c r="M340" i="523"/>
  <c r="K272" i="523"/>
  <c r="M512" i="520"/>
  <c r="C37" i="523"/>
  <c r="L8" i="521"/>
  <c r="G4" i="519"/>
  <c r="M523" i="519"/>
  <c r="L565" i="519"/>
  <c r="J218" i="523"/>
  <c r="L583" i="520"/>
  <c r="I528" i="517"/>
  <c r="M320" i="518"/>
  <c r="K423" i="523"/>
  <c r="L329" i="523"/>
  <c r="D62" i="247"/>
  <c r="J655" i="521"/>
  <c r="J435" i="523"/>
  <c r="K9" i="521"/>
  <c r="L381" i="519"/>
  <c r="D464" i="247"/>
  <c r="L405" i="517"/>
  <c r="J799" i="523"/>
  <c r="I490" i="519"/>
  <c r="I333" i="521"/>
  <c r="D477" i="247"/>
  <c r="J629" i="517"/>
  <c r="K531" i="519"/>
  <c r="K304" i="519"/>
  <c r="K325" i="523"/>
  <c r="I585" i="517"/>
  <c r="L538" i="517"/>
  <c r="M132" i="518"/>
  <c r="K417" i="518"/>
  <c r="I171" i="519"/>
  <c r="J414" i="518"/>
  <c r="L178" i="519"/>
  <c r="I114" i="520"/>
  <c r="L694" i="521"/>
  <c r="J166" i="519"/>
  <c r="M107" i="519"/>
  <c r="I60" i="523"/>
  <c r="M416" i="518"/>
  <c r="I121" i="517"/>
  <c r="K393" i="517"/>
  <c r="I668" i="517"/>
  <c r="J127" i="521"/>
  <c r="M15" i="523"/>
  <c r="I165" i="520"/>
  <c r="I88" i="523"/>
  <c r="G12" i="517"/>
  <c r="L660" i="517"/>
  <c r="K123" i="517"/>
  <c r="L666" i="521"/>
  <c r="M441" i="523"/>
  <c r="M136" i="521"/>
  <c r="L282" i="520"/>
  <c r="L291" i="523"/>
  <c r="M263" i="521"/>
  <c r="M576" i="521"/>
  <c r="K4" i="521"/>
  <c r="J94" i="517"/>
  <c r="K477" i="521"/>
  <c r="J498" i="520"/>
  <c r="J647" i="518"/>
  <c r="K661" i="519"/>
  <c r="I273" i="518"/>
  <c r="K517" i="519"/>
  <c r="D225" i="247"/>
  <c r="K178" i="518"/>
  <c r="J532" i="517"/>
  <c r="M654" i="520"/>
  <c r="D588" i="247"/>
  <c r="K295" i="517"/>
  <c r="K282" i="519"/>
  <c r="I491" i="517"/>
  <c r="J129" i="519"/>
  <c r="L223" i="519"/>
  <c r="K526" i="521"/>
  <c r="L23" i="523"/>
  <c r="I26" i="518"/>
  <c r="K12" i="517"/>
  <c r="K269" i="519"/>
  <c r="K86" i="521"/>
  <c r="K329" i="523"/>
  <c r="L176" i="521"/>
  <c r="J455" i="520"/>
  <c r="I383" i="517"/>
  <c r="L312" i="519"/>
  <c r="L475" i="517"/>
  <c r="J309" i="517"/>
  <c r="M447" i="520"/>
  <c r="K141" i="517"/>
  <c r="K564" i="520"/>
  <c r="K477" i="519"/>
  <c r="L575" i="518"/>
  <c r="I230" i="523"/>
  <c r="L629" i="520"/>
  <c r="M173" i="523"/>
  <c r="J424" i="523"/>
  <c r="J279" i="523"/>
  <c r="L474" i="520"/>
  <c r="I188" i="517"/>
  <c r="K617" i="517"/>
  <c r="M364" i="523"/>
  <c r="L513" i="523"/>
  <c r="A6" i="520"/>
  <c r="J684" i="519"/>
  <c r="M478" i="518"/>
  <c r="K439" i="520"/>
  <c r="E29" i="520"/>
  <c r="K568" i="517"/>
  <c r="D292" i="247"/>
  <c r="L535" i="517"/>
  <c r="M487" i="518"/>
  <c r="I396" i="520"/>
  <c r="M645" i="520"/>
  <c r="J553" i="518"/>
  <c r="I657" i="517"/>
  <c r="K88" i="523"/>
  <c r="K676" i="519"/>
  <c r="K571" i="520"/>
  <c r="K240" i="520"/>
  <c r="M571" i="517"/>
  <c r="C407" i="247"/>
  <c r="J654" i="523"/>
  <c r="I360" i="517"/>
  <c r="K421" i="519"/>
  <c r="D209" i="247"/>
  <c r="K596" i="523"/>
  <c r="K34" i="520"/>
  <c r="K502" i="517"/>
  <c r="L110" i="519"/>
  <c r="I175" i="519"/>
  <c r="K34" i="518"/>
  <c r="M673" i="520"/>
  <c r="I366" i="519"/>
  <c r="K552" i="518"/>
  <c r="K290" i="517"/>
  <c r="M182" i="519"/>
  <c r="M339" i="523"/>
  <c r="L262" i="519"/>
  <c r="J620" i="517"/>
  <c r="M669" i="519"/>
  <c r="M292" i="519"/>
  <c r="M760" i="523"/>
  <c r="M681" i="523"/>
  <c r="K434" i="518"/>
  <c r="L382" i="517"/>
  <c r="I402" i="517"/>
  <c r="L524" i="523"/>
  <c r="L366" i="521"/>
  <c r="D450" i="247"/>
  <c r="M315" i="518"/>
  <c r="J689" i="518"/>
  <c r="K213" i="521"/>
  <c r="M160" i="519"/>
  <c r="L598" i="520"/>
  <c r="K141" i="521"/>
  <c r="K237" i="521"/>
  <c r="K58" i="519"/>
  <c r="J137" i="520"/>
  <c r="L628" i="523"/>
  <c r="K165" i="517"/>
  <c r="Q6" i="3"/>
  <c r="L515" i="520"/>
  <c r="L427" i="519"/>
  <c r="J588" i="520"/>
  <c r="I175" i="517"/>
  <c r="K429" i="519"/>
  <c r="L526" i="521"/>
  <c r="M210" i="521"/>
  <c r="K174" i="520"/>
  <c r="J117" i="520"/>
  <c r="L126" i="520"/>
  <c r="D479" i="247"/>
  <c r="J245" i="521"/>
  <c r="I285" i="519"/>
  <c r="D402" i="247"/>
  <c r="K22" i="523"/>
  <c r="K460" i="517"/>
  <c r="K162" i="517"/>
  <c r="J535" i="519"/>
  <c r="C11" i="521"/>
  <c r="K27" i="518"/>
  <c r="K384" i="521"/>
  <c r="L119" i="520"/>
  <c r="J59" i="523"/>
  <c r="K358" i="518"/>
  <c r="M281" i="520"/>
  <c r="M238" i="518"/>
  <c r="L52" i="521"/>
  <c r="K89" i="523"/>
  <c r="J33" i="521"/>
  <c r="L312" i="518"/>
  <c r="K674" i="517"/>
  <c r="I745" i="523"/>
  <c r="J790" i="523"/>
  <c r="I242" i="523"/>
  <c r="I351" i="519"/>
  <c r="I35" i="523"/>
  <c r="E28" i="521"/>
  <c r="J183" i="519"/>
  <c r="K652" i="521"/>
  <c r="I685" i="519"/>
  <c r="L229" i="518"/>
  <c r="D412" i="247"/>
  <c r="M409" i="519"/>
  <c r="L332" i="521"/>
  <c r="I370" i="523"/>
  <c r="K509" i="519"/>
  <c r="L492" i="518"/>
  <c r="K415" i="520"/>
  <c r="J195" i="521"/>
  <c r="M9" i="517"/>
  <c r="E5" i="518"/>
  <c r="I336" i="517"/>
  <c r="M307" i="518"/>
  <c r="I89" i="517"/>
  <c r="I341" i="520"/>
  <c r="I65" i="517"/>
  <c r="M672" i="521"/>
  <c r="L785" i="523"/>
  <c r="L382" i="523"/>
  <c r="K527" i="519"/>
  <c r="K181" i="517"/>
  <c r="K655" i="519"/>
  <c r="E3" i="521"/>
  <c r="L615" i="518"/>
  <c r="I331" i="521"/>
  <c r="I369" i="521"/>
  <c r="J69" i="520"/>
  <c r="L338" i="519"/>
  <c r="M263" i="517"/>
  <c r="K253" i="521"/>
  <c r="I69" i="518"/>
  <c r="K204" i="517"/>
  <c r="K493" i="517"/>
  <c r="K324" i="517"/>
  <c r="M251" i="518"/>
  <c r="K727" i="523"/>
  <c r="J530" i="520"/>
  <c r="I144" i="521"/>
  <c r="M65" i="523"/>
  <c r="J124" i="521"/>
  <c r="L757" i="523"/>
  <c r="K514" i="519"/>
  <c r="D452" i="247"/>
  <c r="K175" i="523"/>
  <c r="M304" i="521"/>
  <c r="I504" i="519"/>
  <c r="J520" i="520"/>
  <c r="J247" i="520"/>
  <c r="L258" i="521"/>
  <c r="I509" i="517"/>
  <c r="I666" i="523"/>
  <c r="K82" i="521"/>
  <c r="L32" i="517"/>
  <c r="I178" i="521"/>
  <c r="I416" i="518"/>
  <c r="K692" i="523"/>
  <c r="C344" i="247"/>
  <c r="D583" i="247"/>
  <c r="K636" i="523"/>
  <c r="L58" i="521"/>
  <c r="L206" i="517"/>
  <c r="I533" i="523"/>
  <c r="L624" i="523"/>
  <c r="M422" i="517"/>
  <c r="J45" i="521"/>
  <c r="M73" i="517"/>
  <c r="L190" i="520"/>
  <c r="I75" i="519"/>
  <c r="M91" i="519"/>
  <c r="K261" i="519"/>
  <c r="L527" i="523"/>
  <c r="K220" i="523"/>
  <c r="L424" i="523"/>
  <c r="I158" i="520"/>
  <c r="I111" i="523"/>
  <c r="C554" i="247"/>
  <c r="J615" i="521"/>
  <c r="M677" i="520"/>
  <c r="D180" i="247"/>
  <c r="J514" i="523"/>
  <c r="D322" i="247"/>
  <c r="M437" i="521"/>
  <c r="L28" i="518"/>
  <c r="L274" i="518"/>
  <c r="M76" i="520"/>
  <c r="L523" i="520"/>
  <c r="K581" i="520"/>
  <c r="L49" i="519"/>
  <c r="I487" i="520"/>
  <c r="M480" i="523"/>
  <c r="K76" i="523"/>
  <c r="K485" i="517"/>
  <c r="C220" i="247"/>
  <c r="L556" i="523"/>
  <c r="L510" i="517"/>
  <c r="M171" i="519"/>
  <c r="C311" i="247"/>
  <c r="J520" i="518"/>
  <c r="L490" i="519"/>
  <c r="J394" i="523"/>
  <c r="K542" i="521"/>
  <c r="D262" i="247"/>
  <c r="J615" i="517"/>
  <c r="J487" i="523"/>
  <c r="L465" i="517"/>
  <c r="L670" i="520"/>
  <c r="K129" i="520"/>
  <c r="L46" i="519"/>
  <c r="L436" i="523"/>
  <c r="D358" i="247"/>
  <c r="J230" i="518"/>
  <c r="L251" i="521"/>
  <c r="L19" i="518"/>
  <c r="M654" i="523"/>
  <c r="A29" i="518"/>
  <c r="I30" i="519"/>
  <c r="J676" i="523"/>
  <c r="J568" i="518"/>
  <c r="L128" i="519"/>
  <c r="L76" i="517"/>
  <c r="K297" i="520"/>
  <c r="L462" i="519"/>
  <c r="I521" i="518"/>
  <c r="J147" i="519"/>
  <c r="J784" i="523"/>
  <c r="D398" i="247"/>
  <c r="K681" i="523"/>
  <c r="A5" i="519"/>
  <c r="C8" i="507"/>
  <c r="M235" i="521"/>
  <c r="D134" i="247"/>
  <c r="I64" i="518"/>
  <c r="M174" i="519"/>
  <c r="L663" i="523"/>
  <c r="K582" i="523"/>
  <c r="M200" i="520"/>
  <c r="K640" i="521"/>
  <c r="M108" i="518"/>
  <c r="K660" i="519"/>
  <c r="K542" i="520"/>
  <c r="J254" i="521"/>
  <c r="J624" i="517"/>
  <c r="I612" i="523"/>
  <c r="J462" i="519"/>
  <c r="M357" i="520"/>
  <c r="I77" i="523"/>
  <c r="M125" i="521"/>
  <c r="M5" i="519"/>
  <c r="B18" i="482"/>
  <c r="J148" i="521"/>
  <c r="L240" i="523"/>
  <c r="K132" i="521"/>
  <c r="M108" i="517"/>
  <c r="I386" i="523"/>
  <c r="F3" i="521"/>
  <c r="M469" i="517"/>
  <c r="M359" i="519"/>
  <c r="M476" i="519"/>
  <c r="J309" i="521"/>
  <c r="J591" i="523"/>
  <c r="I608" i="521"/>
  <c r="J821" i="523"/>
  <c r="L436" i="517"/>
  <c r="L459" i="518"/>
  <c r="K46" i="519"/>
  <c r="J285" i="518"/>
  <c r="M339" i="519"/>
  <c r="L615" i="520"/>
  <c r="L520" i="518"/>
  <c r="L585" i="520"/>
  <c r="J540" i="520"/>
  <c r="K111" i="517"/>
  <c r="J496" i="518"/>
  <c r="M49" i="521"/>
  <c r="I196" i="520"/>
  <c r="M628" i="521"/>
  <c r="I219" i="520"/>
  <c r="M314" i="521"/>
  <c r="K586" i="521"/>
  <c r="M47" i="517"/>
  <c r="I161" i="523"/>
  <c r="I17" i="523"/>
  <c r="L642" i="518"/>
  <c r="I5" i="520"/>
  <c r="M591" i="518"/>
  <c r="L513" i="518"/>
  <c r="M371" i="523"/>
  <c r="K237" i="523"/>
  <c r="K645" i="523"/>
  <c r="C32" i="247"/>
  <c r="K82" i="517"/>
  <c r="I34" i="523"/>
  <c r="L586" i="519"/>
  <c r="I547" i="520"/>
  <c r="L18" i="521"/>
  <c r="K151" i="520"/>
  <c r="K355" i="523"/>
  <c r="J381" i="517"/>
  <c r="J644" i="523"/>
  <c r="L683" i="518"/>
  <c r="L85" i="519"/>
  <c r="J55" i="517"/>
  <c r="J579" i="517"/>
  <c r="K232" i="518"/>
  <c r="J90" i="520"/>
  <c r="I102" i="519"/>
  <c r="M564" i="518"/>
  <c r="K123" i="519"/>
  <c r="C248" i="247"/>
  <c r="K654" i="518"/>
  <c r="J395" i="523"/>
  <c r="K449" i="521"/>
  <c r="I531" i="517"/>
  <c r="L482" i="523"/>
  <c r="J212" i="520"/>
  <c r="J366" i="521"/>
  <c r="J155" i="517"/>
  <c r="I323" i="520"/>
  <c r="J514" i="518"/>
  <c r="L678" i="523"/>
  <c r="J669" i="517"/>
  <c r="I339" i="517"/>
  <c r="J31" i="517"/>
  <c r="I471" i="519"/>
  <c r="L5" i="520"/>
  <c r="K583" i="518"/>
  <c r="J347" i="518"/>
  <c r="M291" i="517"/>
  <c r="L339" i="519"/>
  <c r="J427" i="523"/>
  <c r="K533" i="519"/>
  <c r="J554" i="521"/>
  <c r="A11" i="520"/>
  <c r="K285" i="517"/>
  <c r="M396" i="517"/>
  <c r="M20" i="520"/>
  <c r="K416" i="517"/>
  <c r="P27" i="3"/>
  <c r="J93" i="520"/>
  <c r="K433" i="518"/>
  <c r="I527" i="521"/>
  <c r="I653" i="517"/>
  <c r="L179" i="518"/>
  <c r="D85" i="247"/>
  <c r="M485" i="523"/>
  <c r="J397" i="520"/>
  <c r="I614" i="523"/>
  <c r="I206" i="520"/>
  <c r="K47" i="523"/>
  <c r="I445" i="519"/>
  <c r="I599" i="517"/>
  <c r="K516" i="517"/>
  <c r="L414" i="517"/>
  <c r="L284" i="517"/>
  <c r="K286" i="518"/>
  <c r="I520" i="517"/>
  <c r="D568" i="247"/>
  <c r="L527" i="517"/>
  <c r="J805" i="523"/>
  <c r="M459" i="521"/>
  <c r="L92" i="523"/>
  <c r="K40" i="523"/>
  <c r="I363" i="523"/>
  <c r="M225" i="520"/>
  <c r="M90" i="523"/>
  <c r="J574" i="517"/>
  <c r="A11" i="523"/>
  <c r="M191" i="523"/>
  <c r="M726" i="523"/>
  <c r="K389" i="518"/>
  <c r="L107" i="521"/>
  <c r="K167" i="518"/>
  <c r="A6" i="519"/>
  <c r="J168" i="518"/>
  <c r="L81" i="521"/>
  <c r="I411" i="519"/>
  <c r="I466" i="519"/>
  <c r="K70" i="517"/>
  <c r="J72" i="518"/>
  <c r="M417" i="523"/>
  <c r="J253" i="519"/>
  <c r="M482" i="519"/>
  <c r="L330" i="518"/>
  <c r="I232" i="517"/>
  <c r="J307" i="518"/>
  <c r="L334" i="518"/>
  <c r="L171" i="523"/>
  <c r="M822" i="523"/>
  <c r="I274" i="518"/>
  <c r="J522" i="523"/>
  <c r="I33" i="523"/>
  <c r="I235" i="521"/>
  <c r="M144" i="520"/>
  <c r="L383" i="518"/>
  <c r="L180" i="517"/>
  <c r="K413" i="523"/>
  <c r="M463" i="520"/>
  <c r="I16" i="519"/>
  <c r="J194" i="519"/>
  <c r="M48" i="519"/>
  <c r="L27" i="519"/>
  <c r="M262" i="521"/>
  <c r="K498" i="519"/>
  <c r="M626" i="523"/>
  <c r="L611" i="523"/>
  <c r="L454" i="523"/>
  <c r="K539" i="517"/>
  <c r="J261" i="520"/>
  <c r="L601" i="518"/>
  <c r="K234" i="517"/>
  <c r="L19" i="517"/>
  <c r="J239" i="517"/>
  <c r="M281" i="517"/>
  <c r="K132" i="519"/>
  <c r="I73" i="523"/>
  <c r="M798" i="523"/>
  <c r="C441" i="247"/>
  <c r="M554" i="521"/>
  <c r="L13" i="523"/>
  <c r="K187" i="520"/>
  <c r="K56" i="523"/>
  <c r="J6" i="523"/>
  <c r="K658" i="523"/>
  <c r="C2" i="519"/>
  <c r="L389" i="521"/>
  <c r="L140" i="521"/>
  <c r="I604" i="519"/>
  <c r="L684" i="523"/>
  <c r="G5" i="517"/>
  <c r="M477" i="521"/>
  <c r="F24" i="518"/>
  <c r="M325" i="519"/>
  <c r="K127" i="521"/>
  <c r="I562" i="517"/>
  <c r="L94" i="523"/>
  <c r="K157" i="518"/>
  <c r="J151" i="519"/>
  <c r="K592" i="518"/>
  <c r="M338" i="521"/>
  <c r="L389" i="520"/>
  <c r="L604" i="520"/>
  <c r="I50" i="520"/>
  <c r="M558" i="523"/>
  <c r="L566" i="520"/>
  <c r="L98" i="520"/>
  <c r="K593" i="521"/>
  <c r="L175" i="520"/>
  <c r="K578" i="523"/>
  <c r="I205" i="520"/>
  <c r="K327" i="523"/>
  <c r="I557" i="519"/>
  <c r="I686" i="517"/>
  <c r="K50" i="518"/>
  <c r="I719" i="523"/>
  <c r="I552" i="519"/>
  <c r="K265" i="518"/>
  <c r="M444" i="519"/>
  <c r="C436" i="247"/>
  <c r="L400" i="518"/>
  <c r="L356" i="517"/>
  <c r="M649" i="523"/>
  <c r="C369" i="247"/>
  <c r="L38" i="519"/>
  <c r="J615" i="518"/>
  <c r="L565" i="518"/>
  <c r="I348" i="518"/>
  <c r="L4" i="521"/>
  <c r="L132" i="521"/>
  <c r="K345" i="517"/>
  <c r="E26" i="519"/>
  <c r="L545" i="518"/>
  <c r="M460" i="523"/>
  <c r="J363" i="520"/>
  <c r="K259" i="523"/>
  <c r="C181" i="247"/>
  <c r="M41" i="521"/>
  <c r="K42" i="518"/>
  <c r="K289" i="520"/>
  <c r="L500" i="518"/>
  <c r="I488" i="518"/>
  <c r="J303" i="518"/>
  <c r="J246" i="520"/>
  <c r="M190" i="521"/>
  <c r="M687" i="523"/>
  <c r="I39" i="517"/>
  <c r="M116" i="518"/>
  <c r="C124" i="247"/>
  <c r="J334" i="519"/>
  <c r="J587" i="521"/>
  <c r="M550" i="518"/>
  <c r="M689" i="517"/>
  <c r="I61" i="519"/>
  <c r="I677" i="519"/>
  <c r="L638" i="520"/>
  <c r="J660" i="519"/>
  <c r="L289" i="523"/>
  <c r="L569" i="521"/>
  <c r="J29" i="519"/>
  <c r="D228" i="247"/>
  <c r="I439" i="517"/>
  <c r="K134" i="520"/>
  <c r="K675" i="521"/>
  <c r="L168" i="521"/>
  <c r="I176" i="519"/>
  <c r="M565" i="520"/>
  <c r="J104" i="523"/>
  <c r="L76" i="523"/>
  <c r="K602" i="517"/>
  <c r="M57" i="517"/>
  <c r="M323" i="521"/>
  <c r="J519" i="523"/>
  <c r="K350" i="519"/>
  <c r="M19" i="517"/>
  <c r="M456" i="520"/>
  <c r="I66" i="518"/>
  <c r="C22" i="521"/>
  <c r="K628" i="518"/>
  <c r="C533" i="247"/>
  <c r="J573" i="523"/>
  <c r="L296" i="518"/>
  <c r="F4" i="518"/>
  <c r="L192" i="520"/>
  <c r="M409" i="520"/>
  <c r="I541" i="521"/>
  <c r="K556" i="519"/>
  <c r="M351" i="523"/>
  <c r="J484" i="521"/>
  <c r="J561" i="521"/>
  <c r="L455" i="520"/>
  <c r="K222" i="520"/>
  <c r="J93" i="519"/>
  <c r="M678" i="517"/>
  <c r="J91" i="519"/>
  <c r="I10" i="521"/>
  <c r="M511" i="517"/>
  <c r="M2" i="523"/>
  <c r="I257" i="523"/>
  <c r="M542" i="520"/>
  <c r="K355" i="519"/>
  <c r="M102" i="523"/>
  <c r="L153" i="521"/>
  <c r="J674" i="520"/>
  <c r="I244" i="518"/>
  <c r="I320" i="518"/>
  <c r="J841" i="523"/>
  <c r="L7" i="518"/>
  <c r="L648" i="523"/>
  <c r="M42" i="518"/>
  <c r="J281" i="517"/>
  <c r="K325" i="519"/>
  <c r="L517" i="519"/>
  <c r="M212" i="520"/>
  <c r="I585" i="521"/>
  <c r="D467" i="247"/>
  <c r="M502" i="520"/>
  <c r="I398" i="521"/>
  <c r="C35" i="518"/>
  <c r="K181" i="519"/>
  <c r="L581" i="518"/>
  <c r="M614" i="520"/>
  <c r="M65" i="520"/>
  <c r="L86" i="523"/>
  <c r="C131" i="247"/>
  <c r="L449" i="518"/>
  <c r="J452" i="517"/>
  <c r="L589" i="523"/>
  <c r="K787" i="523"/>
  <c r="I188" i="520"/>
  <c r="K455" i="520"/>
  <c r="L469" i="521"/>
  <c r="L573" i="520"/>
  <c r="J677" i="523"/>
  <c r="G20" i="517"/>
  <c r="L391" i="518"/>
  <c r="I414" i="519"/>
  <c r="L585" i="518"/>
  <c r="D351" i="247"/>
  <c r="M452" i="518"/>
  <c r="K671" i="520"/>
  <c r="M511" i="518"/>
  <c r="M664" i="520"/>
  <c r="L397" i="517"/>
  <c r="M281" i="518"/>
  <c r="I479" i="523"/>
  <c r="M89" i="520"/>
  <c r="J491" i="521"/>
  <c r="Q12" i="3"/>
  <c r="J601" i="517"/>
  <c r="L225" i="523"/>
  <c r="L8" i="518"/>
  <c r="K348" i="521"/>
  <c r="I137" i="519"/>
  <c r="I654" i="521"/>
  <c r="M569" i="518"/>
  <c r="L61" i="521"/>
  <c r="L256" i="517"/>
  <c r="J406" i="518"/>
  <c r="C464" i="247"/>
  <c r="L340" i="521"/>
  <c r="K208" i="521"/>
  <c r="K33" i="518"/>
  <c r="M501" i="523"/>
  <c r="I252" i="519"/>
  <c r="C19" i="517"/>
  <c r="I136" i="520"/>
  <c r="M369" i="521"/>
  <c r="I330" i="521"/>
  <c r="M446" i="520"/>
  <c r="J357" i="520"/>
  <c r="I596" i="517"/>
  <c r="J656" i="523"/>
  <c r="L600" i="520"/>
  <c r="J635" i="523"/>
  <c r="J557" i="518"/>
  <c r="I227" i="521"/>
  <c r="D333" i="247"/>
  <c r="C425" i="247"/>
  <c r="M33" i="518"/>
  <c r="I514" i="519"/>
  <c r="M74" i="519"/>
  <c r="L318" i="518"/>
  <c r="K528" i="519"/>
  <c r="C9" i="521"/>
  <c r="I317" i="523"/>
  <c r="J421" i="518"/>
  <c r="L546" i="519"/>
  <c r="I220" i="521"/>
  <c r="I493" i="519"/>
  <c r="K219" i="517"/>
  <c r="I184" i="523"/>
  <c r="K117" i="520"/>
  <c r="C5" i="520"/>
  <c r="L466" i="520"/>
  <c r="I152" i="519"/>
  <c r="J185" i="520"/>
  <c r="K532" i="518"/>
  <c r="M670" i="519"/>
  <c r="L67" i="519"/>
  <c r="K281" i="520"/>
  <c r="K506" i="523"/>
  <c r="M506" i="521"/>
  <c r="A6" i="518"/>
  <c r="J400" i="520"/>
  <c r="D193" i="247"/>
  <c r="K603" i="518"/>
  <c r="D471" i="247"/>
  <c r="I326" i="523"/>
  <c r="C349" i="247"/>
  <c r="J10" i="519"/>
  <c r="D485" i="247"/>
  <c r="J237" i="523"/>
  <c r="K344" i="520"/>
  <c r="M414" i="517"/>
  <c r="C243" i="247"/>
  <c r="L772" i="523"/>
  <c r="J18" i="523"/>
  <c r="K464" i="521"/>
  <c r="D301" i="247"/>
  <c r="J613" i="518"/>
  <c r="I137" i="517"/>
  <c r="M279" i="520"/>
  <c r="I108" i="518"/>
  <c r="F5" i="518"/>
  <c r="I85" i="518"/>
  <c r="J288" i="517"/>
  <c r="K248" i="523"/>
  <c r="L600" i="518"/>
  <c r="I645" i="521"/>
  <c r="K346" i="519"/>
  <c r="D87" i="247"/>
  <c r="L224" i="523"/>
  <c r="L625" i="520"/>
  <c r="K217" i="521"/>
  <c r="I484" i="517"/>
  <c r="J613" i="520"/>
  <c r="I477" i="523"/>
  <c r="J132" i="521"/>
  <c r="M230" i="517"/>
  <c r="L231" i="518"/>
  <c r="L5" i="523"/>
  <c r="M609" i="517"/>
  <c r="K6" i="519"/>
  <c r="M386" i="518"/>
  <c r="D578" i="247"/>
  <c r="J328" i="523"/>
  <c r="K814" i="523"/>
  <c r="I436" i="523"/>
  <c r="I40" i="521"/>
  <c r="J527" i="523"/>
  <c r="I685" i="523"/>
  <c r="M312" i="520"/>
  <c r="M385" i="519"/>
  <c r="K100" i="518"/>
  <c r="J2" i="520"/>
  <c r="M160" i="518"/>
  <c r="G4" i="520"/>
  <c r="F28" i="523"/>
  <c r="M420" i="519"/>
  <c r="J389" i="518"/>
  <c r="J247" i="517"/>
  <c r="J608" i="520"/>
  <c r="K610" i="521"/>
  <c r="I100" i="523"/>
  <c r="L200" i="519"/>
  <c r="I449" i="520"/>
  <c r="L46" i="520"/>
  <c r="F9" i="523"/>
  <c r="K60" i="520"/>
  <c r="K528" i="520"/>
  <c r="D295" i="247"/>
  <c r="K58" i="518"/>
  <c r="L378" i="521"/>
  <c r="M60" i="523"/>
  <c r="K381" i="517"/>
  <c r="K621" i="517"/>
  <c r="K109" i="518"/>
  <c r="I368" i="517"/>
  <c r="M796" i="523"/>
  <c r="M517" i="521"/>
  <c r="I252" i="517"/>
  <c r="L351" i="517"/>
  <c r="J638" i="519"/>
  <c r="M259" i="523"/>
  <c r="L300" i="517"/>
  <c r="M123" i="523"/>
  <c r="J580" i="523"/>
  <c r="M261" i="518"/>
  <c r="L89" i="517"/>
  <c r="L129" i="518"/>
  <c r="L627" i="518"/>
  <c r="I207" i="521"/>
  <c r="J320" i="523"/>
  <c r="L246" i="523"/>
  <c r="L755" i="523"/>
  <c r="J414" i="517"/>
  <c r="M773" i="523"/>
  <c r="C490" i="247"/>
  <c r="J665" i="520"/>
  <c r="M449" i="523"/>
  <c r="L309" i="519"/>
  <c r="K291" i="520"/>
  <c r="I336" i="523"/>
  <c r="J106" i="521"/>
  <c r="I62" i="519"/>
  <c r="M520" i="517"/>
  <c r="M203" i="523"/>
  <c r="D84" i="247"/>
  <c r="M268" i="523"/>
  <c r="K84" i="517"/>
  <c r="M553" i="521"/>
  <c r="J202" i="521"/>
  <c r="L219" i="517"/>
  <c r="J161" i="520"/>
  <c r="L230" i="520"/>
  <c r="K554" i="523"/>
  <c r="K675" i="523"/>
  <c r="B5" i="482"/>
  <c r="J41" i="517"/>
  <c r="I414" i="521"/>
  <c r="J725" i="523"/>
  <c r="M113" i="520"/>
  <c r="M334" i="523"/>
  <c r="K788" i="523"/>
  <c r="M152" i="523"/>
  <c r="L477" i="518"/>
  <c r="K150" i="521"/>
  <c r="J316" i="521"/>
  <c r="K42" i="523"/>
  <c r="K379" i="519"/>
  <c r="C485" i="247"/>
  <c r="M472" i="523"/>
  <c r="M54" i="519"/>
  <c r="L367" i="520"/>
  <c r="K411" i="520"/>
  <c r="I494" i="519"/>
  <c r="I497" i="517"/>
  <c r="I49" i="517"/>
  <c r="L156" i="518"/>
  <c r="K605" i="521"/>
  <c r="J333" i="521"/>
  <c r="I669" i="520"/>
  <c r="I636" i="521"/>
  <c r="I120" i="520"/>
  <c r="M548" i="519"/>
  <c r="A15" i="520"/>
  <c r="J125" i="520"/>
  <c r="M693" i="520"/>
  <c r="J672" i="523"/>
  <c r="M722" i="523"/>
  <c r="M300" i="520"/>
  <c r="K135" i="518"/>
  <c r="I437" i="517"/>
  <c r="J485" i="521"/>
  <c r="L324" i="520"/>
  <c r="L133" i="520"/>
  <c r="K35" i="519"/>
  <c r="K595" i="520"/>
  <c r="L259" i="518"/>
  <c r="J457" i="517"/>
  <c r="J516" i="520"/>
  <c r="K563" i="517"/>
  <c r="M566" i="519"/>
  <c r="L352" i="520"/>
  <c r="I834" i="523"/>
  <c r="J623" i="517"/>
  <c r="L457" i="523"/>
  <c r="D227" i="247"/>
  <c r="K551" i="521"/>
  <c r="M286" i="518"/>
  <c r="M98" i="521"/>
  <c r="J352" i="519"/>
  <c r="J83" i="521"/>
  <c r="J193" i="523"/>
  <c r="J561" i="520"/>
  <c r="I411" i="518"/>
  <c r="F27" i="520"/>
  <c r="K23" i="523"/>
  <c r="M191" i="520"/>
  <c r="K755" i="523"/>
  <c r="M156" i="519"/>
  <c r="I199" i="518"/>
  <c r="K673" i="518"/>
  <c r="M398" i="517"/>
  <c r="L16" i="518"/>
  <c r="I310" i="518"/>
  <c r="L13" i="520"/>
  <c r="K595" i="523"/>
  <c r="J497" i="523"/>
  <c r="I548" i="521"/>
  <c r="J89" i="520"/>
  <c r="L462" i="521"/>
  <c r="L237" i="520"/>
  <c r="J54" i="521"/>
  <c r="L244" i="519"/>
  <c r="L574" i="523"/>
  <c r="K405" i="517"/>
  <c r="E7" i="517"/>
  <c r="K535" i="523"/>
  <c r="M118" i="518"/>
  <c r="J319" i="521"/>
  <c r="J434" i="517"/>
  <c r="M206" i="518"/>
  <c r="J459" i="523"/>
  <c r="I16" i="518"/>
  <c r="K466" i="518"/>
  <c r="M176" i="517"/>
  <c r="M307" i="517"/>
  <c r="I407" i="518"/>
  <c r="L403" i="521"/>
  <c r="J774" i="523"/>
  <c r="J372" i="517"/>
  <c r="I328" i="517"/>
  <c r="I166" i="517"/>
  <c r="M392" i="517"/>
  <c r="M545" i="521"/>
  <c r="D170" i="247"/>
  <c r="L502" i="520"/>
  <c r="K191" i="517"/>
  <c r="L562" i="519"/>
  <c r="I676" i="517"/>
  <c r="M12" i="519"/>
  <c r="J574" i="520"/>
  <c r="L120" i="518"/>
  <c r="J587" i="517"/>
  <c r="I816" i="523"/>
  <c r="J454" i="520"/>
  <c r="J633" i="519"/>
  <c r="J447" i="519"/>
  <c r="M371" i="518"/>
  <c r="I269" i="523"/>
  <c r="K252" i="521"/>
  <c r="J674" i="518"/>
  <c r="A23" i="518"/>
  <c r="M82" i="517"/>
  <c r="K296" i="517"/>
  <c r="M526" i="521"/>
  <c r="M583" i="521"/>
  <c r="K517" i="523"/>
  <c r="K403" i="517"/>
  <c r="K422" i="519"/>
  <c r="K212" i="519"/>
  <c r="M582" i="518"/>
  <c r="M756" i="523"/>
  <c r="M186" i="520"/>
  <c r="I473" i="519"/>
  <c r="M112" i="519"/>
  <c r="L281" i="523"/>
  <c r="I720" i="523"/>
  <c r="K553" i="521"/>
  <c r="I360" i="518"/>
  <c r="I17" i="520"/>
  <c r="L336" i="520"/>
  <c r="J554" i="523"/>
  <c r="J206" i="521"/>
  <c r="I586" i="520"/>
  <c r="J776" i="523"/>
  <c r="M214" i="519"/>
  <c r="L421" i="523"/>
  <c r="M325" i="523"/>
  <c r="L116" i="520"/>
  <c r="L455" i="519"/>
  <c r="J152" i="523"/>
  <c r="I689" i="519"/>
  <c r="M632" i="517"/>
  <c r="M540" i="517"/>
  <c r="M642" i="523"/>
  <c r="J23" i="521"/>
  <c r="L321" i="519"/>
  <c r="L638" i="517"/>
  <c r="M174" i="518"/>
  <c r="H22" i="523"/>
  <c r="I652" i="521"/>
  <c r="C567" i="247"/>
  <c r="I109" i="520"/>
  <c r="I247" i="518"/>
  <c r="K77" i="521"/>
  <c r="K76" i="518"/>
  <c r="J489" i="518"/>
  <c r="L40" i="519"/>
  <c r="M239" i="519"/>
  <c r="J28" i="520"/>
  <c r="C270" i="247"/>
  <c r="J172" i="521"/>
  <c r="M40" i="517"/>
  <c r="M320" i="523"/>
  <c r="K348" i="517"/>
  <c r="M272" i="520"/>
  <c r="J418" i="521"/>
  <c r="I416" i="520"/>
  <c r="I309" i="518"/>
  <c r="I272" i="520"/>
  <c r="J619" i="523"/>
  <c r="L157" i="523"/>
  <c r="I259" i="521"/>
  <c r="J334" i="521"/>
  <c r="K311" i="519"/>
  <c r="J625" i="518"/>
  <c r="K446" i="521"/>
  <c r="L546" i="523"/>
  <c r="M804" i="523"/>
  <c r="L311" i="521"/>
  <c r="K664" i="519"/>
  <c r="I380" i="520"/>
  <c r="I443" i="520"/>
  <c r="K458" i="517"/>
  <c r="K398" i="517"/>
  <c r="K751" i="523"/>
  <c r="M188" i="518"/>
  <c r="K181" i="521"/>
  <c r="K314" i="518"/>
  <c r="J676" i="520"/>
  <c r="M488" i="517"/>
  <c r="K364" i="519"/>
  <c r="K223" i="523"/>
  <c r="L348" i="518"/>
  <c r="D413" i="247"/>
  <c r="M589" i="523"/>
  <c r="M385" i="521"/>
  <c r="M183" i="521"/>
  <c r="L204" i="523"/>
  <c r="I175" i="523"/>
  <c r="M236" i="523"/>
  <c r="L388" i="523"/>
  <c r="K158" i="520"/>
  <c r="J482" i="523"/>
  <c r="L628" i="518"/>
  <c r="J4" i="517"/>
  <c r="M195" i="517"/>
  <c r="K166" i="519"/>
  <c r="L520" i="523"/>
  <c r="M149" i="523"/>
  <c r="K19" i="521"/>
  <c r="M407" i="518"/>
  <c r="L368" i="523"/>
  <c r="M46" i="521"/>
  <c r="K47" i="517"/>
  <c r="J137" i="519"/>
  <c r="K657" i="523"/>
  <c r="I210" i="519"/>
  <c r="J111" i="520"/>
  <c r="J663" i="519"/>
  <c r="M319" i="523"/>
  <c r="L607" i="519"/>
  <c r="J430" i="520"/>
  <c r="L751" i="523"/>
  <c r="M305" i="519"/>
  <c r="L215" i="519"/>
  <c r="I247" i="523"/>
  <c r="K104" i="521"/>
  <c r="M681" i="520"/>
  <c r="L143" i="517"/>
  <c r="K634" i="517"/>
  <c r="J124" i="517"/>
  <c r="K31" i="523"/>
  <c r="C345" i="247"/>
  <c r="J402" i="520"/>
  <c r="I266" i="523"/>
  <c r="K271" i="517"/>
  <c r="J607" i="517"/>
  <c r="I145" i="518"/>
  <c r="K137" i="521"/>
  <c r="L568" i="518"/>
  <c r="M682" i="518"/>
  <c r="K363" i="520"/>
  <c r="C44" i="523"/>
  <c r="M212" i="521"/>
  <c r="J379" i="521"/>
  <c r="L631" i="521"/>
  <c r="L435" i="520"/>
  <c r="L721" i="523"/>
  <c r="K456" i="521"/>
  <c r="M528" i="521"/>
  <c r="I330" i="520"/>
  <c r="K353" i="519"/>
  <c r="J93" i="517"/>
  <c r="L676" i="517"/>
  <c r="L237" i="523"/>
  <c r="M397" i="520"/>
  <c r="K633" i="518"/>
  <c r="L646" i="520"/>
  <c r="L385" i="517"/>
  <c r="K352" i="523"/>
  <c r="L606" i="520"/>
  <c r="I182" i="520"/>
  <c r="L690" i="523"/>
  <c r="J474" i="517"/>
  <c r="J541" i="519"/>
  <c r="L317" i="518"/>
  <c r="M27" i="520"/>
  <c r="M593" i="519"/>
  <c r="M179" i="518"/>
  <c r="J597" i="517"/>
  <c r="J253" i="518"/>
  <c r="M288" i="523"/>
  <c r="J23" i="523"/>
  <c r="I614" i="518"/>
  <c r="K377" i="523"/>
  <c r="L453" i="520"/>
  <c r="M196" i="521"/>
  <c r="K815" i="523"/>
  <c r="I209" i="519"/>
  <c r="I293" i="521"/>
  <c r="L455" i="518"/>
  <c r="L472" i="523"/>
  <c r="K586" i="519"/>
  <c r="J653" i="523"/>
  <c r="M534" i="517"/>
  <c r="L683" i="519"/>
  <c r="L443" i="519"/>
  <c r="K543" i="518"/>
  <c r="K644" i="519"/>
  <c r="L292" i="521"/>
  <c r="K128" i="519"/>
  <c r="K541" i="521"/>
  <c r="M621" i="519"/>
  <c r="I550" i="518"/>
  <c r="J463" i="520"/>
  <c r="J22" i="521"/>
  <c r="K651" i="519"/>
  <c r="C258" i="247"/>
  <c r="J155" i="521"/>
  <c r="M172" i="519"/>
  <c r="C32" i="519"/>
  <c r="I735" i="523"/>
  <c r="K454" i="518"/>
  <c r="L379" i="520"/>
  <c r="K229" i="523"/>
  <c r="M317" i="520"/>
  <c r="J654" i="519"/>
  <c r="K249" i="523"/>
  <c r="L548" i="517"/>
  <c r="M370" i="521"/>
  <c r="E20" i="521"/>
  <c r="Q28" i="3"/>
  <c r="L605" i="518"/>
  <c r="M89" i="517"/>
  <c r="L108" i="518"/>
  <c r="A41" i="518"/>
  <c r="K684" i="519"/>
  <c r="L364" i="517"/>
  <c r="J556" i="521"/>
  <c r="J772" i="523"/>
  <c r="K108" i="520"/>
  <c r="I59" i="523"/>
  <c r="L645" i="519"/>
  <c r="L29" i="519"/>
  <c r="I348" i="520"/>
  <c r="K518" i="523"/>
  <c r="L648" i="520"/>
  <c r="I402" i="518"/>
  <c r="I586" i="523"/>
  <c r="J233" i="520"/>
  <c r="I119" i="519"/>
  <c r="I14" i="517"/>
  <c r="J160" i="521"/>
  <c r="L440" i="521"/>
  <c r="L187" i="519"/>
  <c r="J438" i="519"/>
  <c r="L508" i="517"/>
  <c r="M762" i="523"/>
  <c r="L261" i="517"/>
  <c r="M629" i="521"/>
  <c r="L280" i="519"/>
  <c r="M181" i="519"/>
  <c r="K431" i="523"/>
  <c r="I465" i="520"/>
  <c r="J88" i="520"/>
  <c r="M529" i="517"/>
  <c r="M129" i="521"/>
  <c r="L513" i="519"/>
  <c r="K537" i="518"/>
  <c r="K418" i="523"/>
  <c r="M33" i="519"/>
  <c r="J405" i="523"/>
  <c r="I188" i="523"/>
  <c r="J77" i="523"/>
  <c r="K608" i="519"/>
  <c r="L225" i="521"/>
  <c r="K164" i="518"/>
  <c r="K580" i="519"/>
  <c r="J601" i="518"/>
  <c r="J478" i="518"/>
  <c r="J404" i="520"/>
  <c r="M199" i="519"/>
  <c r="L444" i="519"/>
  <c r="I59" i="521"/>
  <c r="L351" i="521"/>
  <c r="K420" i="523"/>
  <c r="I50" i="521"/>
  <c r="M213" i="521"/>
  <c r="K424" i="523"/>
  <c r="M685" i="521"/>
  <c r="K113" i="519"/>
  <c r="K465" i="521"/>
  <c r="L516" i="519"/>
  <c r="D561" i="247"/>
  <c r="K23" i="520"/>
  <c r="I123" i="521"/>
  <c r="I701" i="523"/>
  <c r="K250" i="520"/>
  <c r="J75" i="518"/>
  <c r="M571" i="518"/>
  <c r="M358" i="521"/>
  <c r="L559" i="518"/>
  <c r="M629" i="519"/>
  <c r="C479" i="247"/>
  <c r="J14" i="521"/>
  <c r="K594" i="520"/>
  <c r="K506" i="521"/>
  <c r="E19" i="523"/>
  <c r="L114" i="517"/>
  <c r="I201" i="519"/>
  <c r="J324" i="520"/>
  <c r="M316" i="520"/>
  <c r="J708" i="523"/>
  <c r="F7" i="520"/>
  <c r="M161" i="517"/>
  <c r="P25" i="3"/>
  <c r="K12" i="521"/>
  <c r="J613" i="517"/>
  <c r="K197" i="517"/>
  <c r="K360" i="521"/>
  <c r="J142" i="517"/>
  <c r="I321" i="519"/>
  <c r="M657" i="523"/>
  <c r="I512" i="518"/>
  <c r="L274" i="520"/>
  <c r="I257" i="517"/>
  <c r="J405" i="521"/>
  <c r="I646" i="521"/>
  <c r="K695" i="521"/>
  <c r="I561" i="517"/>
  <c r="K313" i="519"/>
  <c r="M189" i="519"/>
  <c r="M388" i="520"/>
  <c r="A18" i="517"/>
  <c r="J134" i="517"/>
  <c r="I140" i="518"/>
  <c r="M427" i="521"/>
  <c r="M82" i="520"/>
  <c r="K4" i="518"/>
  <c r="J461" i="517"/>
  <c r="I601" i="520"/>
  <c r="J498" i="523"/>
  <c r="J500" i="517"/>
  <c r="L22" i="520"/>
  <c r="C504" i="247"/>
  <c r="I64" i="520"/>
  <c r="M431" i="518"/>
  <c r="A41" i="519"/>
  <c r="I185" i="521"/>
  <c r="M663" i="521"/>
  <c r="M577" i="520"/>
  <c r="J264" i="521"/>
  <c r="J74" i="520"/>
  <c r="J458" i="521"/>
  <c r="I21" i="521"/>
  <c r="I473" i="520"/>
  <c r="J298" i="519"/>
  <c r="I211" i="517"/>
  <c r="K88" i="521"/>
  <c r="I36" i="520"/>
  <c r="L252" i="521"/>
  <c r="L542" i="520"/>
  <c r="J289" i="523"/>
  <c r="L651" i="521"/>
  <c r="J204" i="517"/>
  <c r="J78" i="520"/>
  <c r="I511" i="519"/>
  <c r="M481" i="519"/>
  <c r="K103" i="518"/>
  <c r="C45" i="520"/>
  <c r="M218" i="521"/>
  <c r="I681" i="523"/>
  <c r="I300" i="523"/>
  <c r="M484" i="518"/>
  <c r="K668" i="520"/>
  <c r="K136" i="521"/>
  <c r="M115" i="517"/>
  <c r="L173" i="520"/>
  <c r="C6" i="523"/>
  <c r="J363" i="521"/>
  <c r="L131" i="521"/>
  <c r="I41" i="518"/>
  <c r="I826" i="523"/>
  <c r="L669" i="521"/>
  <c r="K547" i="521"/>
  <c r="M240" i="523"/>
  <c r="K189" i="520"/>
  <c r="M145" i="519"/>
  <c r="M550" i="519"/>
  <c r="K703" i="523"/>
  <c r="K110" i="520"/>
  <c r="K689" i="521"/>
  <c r="M376" i="517"/>
  <c r="I208" i="523"/>
  <c r="J244" i="521"/>
  <c r="I135" i="520"/>
  <c r="I417" i="517"/>
  <c r="D108" i="247"/>
  <c r="D294" i="247"/>
  <c r="M77" i="518"/>
  <c r="I580" i="517"/>
  <c r="I502" i="520"/>
  <c r="L282" i="521"/>
  <c r="L574" i="517"/>
  <c r="L642" i="520"/>
  <c r="A4" i="517"/>
  <c r="J579" i="521"/>
  <c r="M22" i="518"/>
  <c r="I546" i="523"/>
  <c r="K396" i="521"/>
  <c r="M549" i="523"/>
  <c r="I479" i="518"/>
  <c r="I89" i="518"/>
  <c r="J668" i="523"/>
  <c r="L835" i="523"/>
  <c r="H6" i="520"/>
  <c r="M546" i="521"/>
  <c r="K396" i="520"/>
  <c r="K479" i="518"/>
  <c r="K167" i="519"/>
  <c r="I534" i="520"/>
  <c r="L334" i="520"/>
  <c r="J190" i="521"/>
  <c r="I128" i="518"/>
  <c r="K99" i="519"/>
  <c r="I391" i="517"/>
  <c r="G5" i="523"/>
  <c r="I288" i="521"/>
  <c r="C8" i="519"/>
  <c r="J636" i="523"/>
  <c r="C438" i="247"/>
  <c r="J354" i="519"/>
  <c r="I135" i="519"/>
  <c r="M591" i="519"/>
  <c r="L614" i="520"/>
  <c r="L395" i="520"/>
  <c r="L137" i="521"/>
  <c r="I215" i="519"/>
  <c r="J331" i="521"/>
  <c r="A5" i="517"/>
  <c r="J132" i="519"/>
  <c r="I591" i="523"/>
  <c r="I382" i="521"/>
  <c r="K261" i="517"/>
  <c r="K238" i="520"/>
  <c r="M147" i="523"/>
  <c r="M653" i="519"/>
  <c r="J61" i="520"/>
  <c r="K326" i="517"/>
  <c r="J358" i="520"/>
  <c r="M342" i="519"/>
  <c r="L474" i="521"/>
  <c r="L341" i="521"/>
  <c r="I53" i="520"/>
  <c r="I149" i="520"/>
  <c r="K512" i="520"/>
  <c r="K486" i="520"/>
  <c r="K776" i="523"/>
  <c r="I460" i="521"/>
  <c r="M408" i="521"/>
  <c r="I214" i="517"/>
  <c r="M127" i="520"/>
  <c r="I187" i="521"/>
  <c r="J119" i="521"/>
  <c r="J452" i="518"/>
  <c r="I580" i="519"/>
  <c r="C142" i="247"/>
  <c r="C495" i="247"/>
  <c r="M14" i="523"/>
  <c r="L452" i="521"/>
  <c r="J188" i="519"/>
  <c r="I525" i="518"/>
  <c r="I253" i="519"/>
  <c r="I245" i="517"/>
  <c r="M618" i="523"/>
  <c r="M619" i="521"/>
  <c r="J219" i="520"/>
  <c r="D166" i="247"/>
  <c r="L99" i="519"/>
  <c r="I348" i="521"/>
  <c r="M641" i="523"/>
  <c r="I552" i="520"/>
  <c r="M357" i="519"/>
  <c r="K320" i="523"/>
  <c r="M308" i="519"/>
  <c r="J180" i="519"/>
  <c r="I181" i="523"/>
  <c r="I432" i="518"/>
  <c r="I74" i="523"/>
  <c r="I214" i="518"/>
  <c r="K129" i="519"/>
  <c r="J268" i="519"/>
  <c r="Q1" i="3"/>
  <c r="K443" i="521"/>
  <c r="M359" i="517"/>
  <c r="L300" i="519"/>
  <c r="M500" i="521"/>
  <c r="M239" i="520"/>
  <c r="J275" i="520"/>
  <c r="M690" i="521"/>
  <c r="K539" i="520"/>
  <c r="K450" i="519"/>
  <c r="J551" i="517"/>
  <c r="M269" i="520"/>
  <c r="I183" i="520"/>
  <c r="K491" i="519"/>
  <c r="L494" i="520"/>
  <c r="I3" i="521"/>
  <c r="G21" i="521"/>
  <c r="J164" i="517"/>
  <c r="M282" i="521"/>
  <c r="I497" i="523"/>
  <c r="K557" i="518"/>
  <c r="M585" i="521"/>
  <c r="L286" i="521"/>
  <c r="L801" i="523"/>
  <c r="I116" i="523"/>
  <c r="M210" i="520"/>
  <c r="I630" i="518"/>
  <c r="J608" i="523"/>
  <c r="L107" i="519"/>
  <c r="J260" i="518"/>
  <c r="I536" i="518"/>
  <c r="L48" i="518"/>
  <c r="I496" i="519"/>
  <c r="I518" i="520"/>
  <c r="I3" i="518"/>
  <c r="J145" i="523"/>
  <c r="J270" i="521"/>
  <c r="I161" i="519"/>
  <c r="M13" i="523"/>
  <c r="L160" i="523"/>
  <c r="I383" i="520"/>
  <c r="I686" i="521"/>
  <c r="I164" i="518"/>
  <c r="L448" i="518"/>
  <c r="C42" i="519"/>
  <c r="I449" i="521"/>
  <c r="I663" i="517"/>
  <c r="K326" i="518"/>
  <c r="J305" i="517"/>
  <c r="I465" i="517"/>
  <c r="K120" i="519"/>
  <c r="K359" i="523"/>
  <c r="F3" i="517"/>
  <c r="I560" i="518"/>
  <c r="J302" i="519"/>
  <c r="L441" i="517"/>
  <c r="M615" i="520"/>
  <c r="L284" i="520"/>
  <c r="J9" i="518"/>
  <c r="D541" i="247"/>
  <c r="K133" i="517"/>
  <c r="M296" i="518"/>
  <c r="L251" i="517"/>
  <c r="L636" i="520"/>
  <c r="M159" i="519"/>
  <c r="J231" i="520"/>
  <c r="I567" i="523"/>
  <c r="M415" i="523"/>
  <c r="J39" i="517"/>
  <c r="K220" i="521"/>
  <c r="J675" i="518"/>
  <c r="J61" i="523"/>
  <c r="D241" i="247"/>
  <c r="M300" i="517"/>
  <c r="L165" i="517"/>
  <c r="L360" i="521"/>
  <c r="L100" i="523"/>
  <c r="J31" i="521"/>
  <c r="I12" i="518"/>
  <c r="H21" i="519"/>
  <c r="D476" i="247"/>
  <c r="J444" i="521"/>
  <c r="K209" i="517"/>
  <c r="E19" i="521"/>
  <c r="M439" i="518"/>
  <c r="L408" i="517"/>
  <c r="L98" i="521"/>
  <c r="L283" i="523"/>
  <c r="M173" i="519"/>
  <c r="K9" i="517"/>
  <c r="I170" i="518"/>
  <c r="I8" i="520"/>
  <c r="M303" i="519"/>
  <c r="L482" i="519"/>
  <c r="A21" i="519"/>
  <c r="J672" i="521"/>
  <c r="J441" i="521"/>
  <c r="K726" i="523"/>
  <c r="C235" i="247"/>
  <c r="I669" i="519"/>
  <c r="M269" i="523"/>
  <c r="I93" i="520"/>
  <c r="A29" i="523"/>
  <c r="K193" i="517"/>
  <c r="K674" i="521"/>
  <c r="J160" i="518"/>
  <c r="A22" i="517"/>
  <c r="J470" i="519"/>
  <c r="M407" i="523"/>
  <c r="D378" i="247"/>
  <c r="I570" i="517"/>
  <c r="L641" i="518"/>
  <c r="D161" i="247"/>
  <c r="J134" i="518"/>
  <c r="K66" i="521"/>
  <c r="J47" i="519"/>
  <c r="L271" i="517"/>
  <c r="J248" i="521"/>
  <c r="I532" i="521"/>
  <c r="M682" i="517"/>
  <c r="K558" i="517"/>
  <c r="I566" i="523"/>
  <c r="K471" i="520"/>
  <c r="M634" i="518"/>
  <c r="K177" i="519"/>
  <c r="L117" i="521"/>
  <c r="J377" i="520"/>
  <c r="J191" i="519"/>
  <c r="M635" i="520"/>
  <c r="J343" i="519"/>
  <c r="M247" i="517"/>
  <c r="J691" i="523"/>
  <c r="L587" i="517"/>
  <c r="J2" i="517"/>
  <c r="L660" i="521"/>
  <c r="F28" i="518"/>
  <c r="L145" i="520"/>
  <c r="M682" i="519"/>
  <c r="J296" i="517"/>
  <c r="L151" i="520"/>
  <c r="I355" i="519"/>
  <c r="L590" i="518"/>
  <c r="J489" i="523"/>
  <c r="K187" i="518"/>
  <c r="M462" i="521"/>
  <c r="M422" i="521"/>
  <c r="K399" i="520"/>
  <c r="K200" i="520"/>
  <c r="I579" i="519"/>
  <c r="L369" i="521"/>
  <c r="K219" i="518"/>
  <c r="J329" i="521"/>
  <c r="J329" i="520"/>
  <c r="I247" i="520"/>
  <c r="C10" i="523"/>
  <c r="J404" i="518"/>
  <c r="J518" i="519"/>
  <c r="M579" i="519"/>
  <c r="I551" i="521"/>
  <c r="I343" i="520"/>
  <c r="I553" i="523"/>
  <c r="J70" i="518"/>
  <c r="L73" i="519"/>
  <c r="K632" i="518"/>
  <c r="I297" i="517"/>
  <c r="C410" i="247"/>
  <c r="M547" i="518"/>
  <c r="L148" i="517"/>
  <c r="J154" i="519"/>
  <c r="I535" i="519"/>
  <c r="M679" i="520"/>
  <c r="M604" i="523"/>
  <c r="L217" i="521"/>
  <c r="C143" i="247"/>
  <c r="I78" i="523"/>
  <c r="M668" i="519"/>
  <c r="J634" i="518"/>
  <c r="M629" i="520"/>
  <c r="I4" i="523"/>
  <c r="K404" i="523"/>
  <c r="M275" i="523"/>
  <c r="J468" i="519"/>
  <c r="J267" i="521"/>
  <c r="K491" i="523"/>
  <c r="K294" i="520"/>
  <c r="L201" i="517"/>
  <c r="I55" i="523"/>
  <c r="K548" i="518"/>
  <c r="J332" i="517"/>
  <c r="J604" i="521"/>
  <c r="M417" i="519"/>
  <c r="I160" i="517"/>
  <c r="J60" i="521"/>
  <c r="I489" i="518"/>
  <c r="I265" i="518"/>
  <c r="L17" i="520"/>
  <c r="I354" i="517"/>
  <c r="M50" i="521"/>
  <c r="M689" i="523"/>
  <c r="K242" i="517"/>
  <c r="M374" i="519"/>
  <c r="M235" i="518"/>
  <c r="K227" i="519"/>
  <c r="D234" i="247"/>
  <c r="I207" i="520"/>
  <c r="K661" i="517"/>
  <c r="K101" i="517"/>
  <c r="K529" i="517"/>
  <c r="J222" i="519"/>
  <c r="L198" i="523"/>
  <c r="L634" i="519"/>
  <c r="L767" i="523"/>
  <c r="M758" i="523"/>
  <c r="L162" i="520"/>
  <c r="I633" i="520"/>
  <c r="L147" i="520"/>
  <c r="K347" i="519"/>
  <c r="L158" i="519"/>
  <c r="K546" i="520"/>
  <c r="D512" i="247"/>
  <c r="J426" i="523"/>
  <c r="M93" i="521"/>
  <c r="L70" i="521"/>
  <c r="M190" i="518"/>
  <c r="K643" i="521"/>
  <c r="J304" i="523"/>
  <c r="L478" i="517"/>
  <c r="J310" i="519"/>
  <c r="C54" i="247"/>
  <c r="M250" i="521"/>
  <c r="F24" i="517"/>
  <c r="M542" i="523"/>
  <c r="J564" i="520"/>
  <c r="L41" i="521"/>
  <c r="K474" i="520"/>
  <c r="I542" i="521"/>
  <c r="K17" i="523"/>
  <c r="J642" i="521"/>
  <c r="L439" i="520"/>
  <c r="L526" i="518"/>
  <c r="M549" i="520"/>
  <c r="L787" i="523"/>
  <c r="J28" i="523"/>
  <c r="I685" i="517"/>
  <c r="C4" i="519"/>
  <c r="L164" i="520"/>
  <c r="K372" i="521"/>
  <c r="I8" i="517"/>
  <c r="C95" i="247"/>
  <c r="K472" i="517"/>
  <c r="I205" i="523"/>
  <c r="J589" i="518"/>
  <c r="L196" i="517"/>
  <c r="L244" i="518"/>
  <c r="J529" i="517"/>
  <c r="L92" i="521"/>
  <c r="L561" i="520"/>
  <c r="L662" i="519"/>
  <c r="M590" i="519"/>
  <c r="L340" i="520"/>
  <c r="J305" i="523"/>
  <c r="M60" i="518"/>
  <c r="K130" i="520"/>
  <c r="M323" i="519"/>
  <c r="K196" i="521"/>
  <c r="I572" i="519"/>
  <c r="L44" i="521"/>
  <c r="I357" i="517"/>
  <c r="J628" i="521"/>
  <c r="L239" i="518"/>
  <c r="L507" i="520"/>
  <c r="L229" i="520"/>
  <c r="I609" i="519"/>
  <c r="J115" i="520"/>
  <c r="J187" i="517"/>
  <c r="L91" i="520"/>
  <c r="J515" i="517"/>
  <c r="J337" i="519"/>
  <c r="K205" i="518"/>
  <c r="J404" i="519"/>
  <c r="L474" i="518"/>
  <c r="K620" i="518"/>
  <c r="I408" i="520"/>
  <c r="J362" i="520"/>
  <c r="K136" i="520"/>
  <c r="L407" i="517"/>
  <c r="K412" i="517"/>
  <c r="L824" i="523"/>
  <c r="M268" i="521"/>
  <c r="M737" i="523"/>
  <c r="M666" i="518"/>
  <c r="F10" i="520"/>
  <c r="L371" i="519"/>
  <c r="M90" i="521"/>
  <c r="A2" i="523"/>
  <c r="M580" i="517"/>
  <c r="M262" i="523"/>
  <c r="J204" i="520"/>
  <c r="D327" i="247"/>
  <c r="I73" i="521"/>
  <c r="C473" i="247"/>
  <c r="I24" i="521"/>
  <c r="J683" i="517"/>
  <c r="I551" i="520"/>
  <c r="C7" i="518"/>
  <c r="E28" i="518"/>
  <c r="J359" i="517"/>
  <c r="K295" i="519"/>
  <c r="F4" i="523"/>
  <c r="K535" i="518"/>
  <c r="L447" i="519"/>
  <c r="I343" i="523"/>
  <c r="L587" i="519"/>
  <c r="I620" i="521"/>
  <c r="I151" i="523"/>
  <c r="L168" i="520"/>
  <c r="K6" i="517"/>
  <c r="I674" i="521"/>
  <c r="J36" i="520"/>
  <c r="K673" i="519"/>
  <c r="I77" i="518"/>
  <c r="M709" i="523"/>
  <c r="M336" i="520"/>
  <c r="J180" i="517"/>
  <c r="K363" i="521"/>
  <c r="L391" i="520"/>
  <c r="K804" i="523"/>
  <c r="F28" i="517"/>
  <c r="I613" i="521"/>
  <c r="J22" i="517"/>
  <c r="L717" i="523"/>
  <c r="J527" i="520"/>
  <c r="L69" i="519"/>
  <c r="L372" i="517"/>
  <c r="K318" i="520"/>
  <c r="K64" i="518"/>
  <c r="C362" i="247"/>
  <c r="J416" i="517"/>
  <c r="J391" i="518"/>
  <c r="L210" i="519"/>
  <c r="L619" i="523"/>
  <c r="J433" i="520"/>
  <c r="I216" i="520"/>
  <c r="K577" i="518"/>
  <c r="M501" i="517"/>
  <c r="C8" i="520"/>
  <c r="L4" i="523"/>
  <c r="M595" i="520"/>
  <c r="L579" i="518"/>
  <c r="F8" i="523"/>
  <c r="M650" i="518"/>
  <c r="L667" i="523"/>
  <c r="J458" i="517"/>
  <c r="I568" i="519"/>
  <c r="L564" i="520"/>
  <c r="I241" i="521"/>
  <c r="M415" i="519"/>
  <c r="M142" i="523"/>
  <c r="I107" i="519"/>
  <c r="K683" i="518"/>
  <c r="K163" i="517"/>
  <c r="M330" i="519"/>
  <c r="J485" i="519"/>
  <c r="J231" i="517"/>
  <c r="M269" i="521"/>
  <c r="D332" i="247"/>
  <c r="D556" i="247"/>
  <c r="I108" i="519"/>
  <c r="I572" i="520"/>
  <c r="J282" i="517"/>
  <c r="L364" i="520"/>
  <c r="I478" i="521"/>
  <c r="I694" i="520"/>
  <c r="M826" i="523"/>
  <c r="J68" i="521"/>
  <c r="K364" i="521"/>
  <c r="K463" i="517"/>
  <c r="L558" i="521"/>
  <c r="M559" i="518"/>
  <c r="M496" i="518"/>
  <c r="K455" i="518"/>
  <c r="J136" i="521"/>
  <c r="K369" i="519"/>
  <c r="I201" i="523"/>
  <c r="J44" i="521"/>
  <c r="J419" i="519"/>
  <c r="K495" i="520"/>
  <c r="L815" i="523"/>
  <c r="L158" i="518"/>
  <c r="J685" i="520"/>
  <c r="I253" i="521"/>
  <c r="K39" i="517"/>
  <c r="C189" i="247"/>
  <c r="M118" i="521"/>
  <c r="J449" i="521"/>
  <c r="L129" i="523"/>
  <c r="M672" i="520"/>
  <c r="I74" i="521"/>
  <c r="M305" i="523"/>
  <c r="K720" i="523"/>
  <c r="I339" i="519"/>
  <c r="M491" i="520"/>
  <c r="I222" i="519"/>
  <c r="M727" i="523"/>
  <c r="J567" i="523"/>
  <c r="L73" i="518"/>
  <c r="I193" i="518"/>
  <c r="J341" i="521"/>
  <c r="J615" i="520"/>
  <c r="E26" i="521"/>
  <c r="C44" i="247"/>
  <c r="K424" i="517"/>
  <c r="M243" i="518"/>
  <c r="J106" i="518"/>
  <c r="J656" i="520"/>
  <c r="M291" i="520"/>
  <c r="K592" i="519"/>
  <c r="M39" i="518"/>
  <c r="I394" i="520"/>
  <c r="L185" i="518"/>
  <c r="K230" i="523"/>
  <c r="J225" i="520"/>
  <c r="J31" i="523"/>
  <c r="J474" i="518"/>
  <c r="J68" i="517"/>
  <c r="M631" i="520"/>
  <c r="C92" i="247"/>
  <c r="K614" i="518"/>
  <c r="K338" i="521"/>
  <c r="J354" i="521"/>
  <c r="K469" i="520"/>
  <c r="D212" i="247"/>
  <c r="L509" i="521"/>
  <c r="M253" i="521"/>
  <c r="J615" i="523"/>
  <c r="I386" i="518"/>
  <c r="J94" i="519"/>
  <c r="M107" i="517"/>
  <c r="L456" i="521"/>
  <c r="M265" i="518"/>
  <c r="K656" i="518"/>
  <c r="L151" i="521"/>
  <c r="K165" i="518"/>
  <c r="I435" i="521"/>
  <c r="A2" i="521"/>
  <c r="M524" i="521"/>
  <c r="L41" i="517"/>
  <c r="J408" i="518"/>
  <c r="K315" i="518"/>
  <c r="C29" i="520"/>
  <c r="A31" i="518"/>
  <c r="J90" i="519"/>
  <c r="M443" i="519"/>
  <c r="K639" i="518"/>
  <c r="M31" i="521"/>
  <c r="K427" i="520"/>
  <c r="J684" i="518"/>
  <c r="C138" i="247"/>
  <c r="K470" i="523"/>
  <c r="L145" i="521"/>
  <c r="I293" i="523"/>
  <c r="L156" i="523"/>
  <c r="J832" i="523"/>
  <c r="I129" i="521"/>
  <c r="I274" i="523"/>
  <c r="K37" i="519"/>
  <c r="J486" i="521"/>
  <c r="K482" i="518"/>
  <c r="I44" i="517"/>
  <c r="M118" i="519"/>
  <c r="K124" i="523"/>
  <c r="M165" i="521"/>
  <c r="D177" i="247"/>
  <c r="M450" i="523"/>
  <c r="J769" i="523"/>
  <c r="J30" i="517"/>
  <c r="L577" i="518"/>
  <c r="C415" i="247"/>
  <c r="J144" i="518"/>
  <c r="J3" i="519"/>
  <c r="M350" i="521"/>
  <c r="J5" i="519"/>
  <c r="M646" i="517"/>
  <c r="J10" i="518"/>
  <c r="D86" i="247"/>
  <c r="M794" i="523"/>
  <c r="J190" i="519"/>
  <c r="J212" i="523"/>
  <c r="K475" i="523"/>
  <c r="M382" i="517"/>
  <c r="I340" i="523"/>
  <c r="I354" i="523"/>
  <c r="I34" i="519"/>
  <c r="I459" i="523"/>
  <c r="G2" i="520"/>
  <c r="K635" i="518"/>
  <c r="I354" i="520"/>
  <c r="I116" i="520"/>
  <c r="M180" i="518"/>
  <c r="J655" i="520"/>
  <c r="I448" i="523"/>
  <c r="L354" i="517"/>
  <c r="I368" i="521"/>
  <c r="K544" i="518"/>
  <c r="C61" i="247"/>
  <c r="K495" i="523"/>
  <c r="J281" i="521"/>
  <c r="A25" i="521"/>
  <c r="K443" i="517"/>
  <c r="J672" i="519"/>
  <c r="J748" i="523"/>
  <c r="L316" i="520"/>
  <c r="G24" i="521"/>
  <c r="K405" i="519"/>
  <c r="M495" i="519"/>
  <c r="I618" i="517"/>
  <c r="L524" i="520"/>
  <c r="J445" i="519"/>
  <c r="M153" i="523"/>
  <c r="I565" i="523"/>
  <c r="L677" i="519"/>
  <c r="M393" i="520"/>
  <c r="I686" i="520"/>
  <c r="J240" i="520"/>
  <c r="J641" i="520"/>
  <c r="I254" i="519"/>
  <c r="J508" i="518"/>
  <c r="J199" i="517"/>
  <c r="L393" i="518"/>
  <c r="K220" i="520"/>
  <c r="G26" i="518"/>
  <c r="M691" i="523"/>
  <c r="L57" i="519"/>
  <c r="I493" i="518"/>
  <c r="K585" i="518"/>
  <c r="C204" i="247"/>
  <c r="K397" i="519"/>
  <c r="I311" i="523"/>
  <c r="D98" i="247"/>
  <c r="K628" i="523"/>
  <c r="I191" i="520"/>
  <c r="J594" i="520"/>
  <c r="L491" i="519"/>
  <c r="I310" i="519"/>
  <c r="M538" i="523"/>
  <c r="K391" i="519"/>
  <c r="M644" i="519"/>
  <c r="K235" i="518"/>
  <c r="J147" i="517"/>
  <c r="J593" i="518"/>
  <c r="K581" i="521"/>
  <c r="L539" i="517"/>
  <c r="K738" i="523"/>
  <c r="I651" i="518"/>
  <c r="L320" i="518"/>
  <c r="J323" i="523"/>
  <c r="L390" i="518"/>
  <c r="J469" i="520"/>
  <c r="I568" i="520"/>
  <c r="I649" i="518"/>
  <c r="Q23" i="3"/>
  <c r="K342" i="519"/>
  <c r="K481" i="521"/>
  <c r="K63" i="518"/>
  <c r="J311" i="518"/>
  <c r="J123" i="517"/>
  <c r="I37" i="520"/>
  <c r="K425" i="519"/>
  <c r="I585" i="518"/>
  <c r="M31" i="519"/>
  <c r="I651" i="517"/>
  <c r="K136" i="518"/>
  <c r="L21" i="517"/>
  <c r="L536" i="519"/>
  <c r="K73" i="523"/>
  <c r="M380" i="517"/>
  <c r="J328" i="521"/>
  <c r="G3" i="520"/>
  <c r="M182" i="521"/>
  <c r="M599" i="521"/>
  <c r="I581" i="519"/>
  <c r="K477" i="518"/>
  <c r="I338" i="517"/>
  <c r="K632" i="523"/>
  <c r="D419" i="247"/>
  <c r="A38" i="523"/>
  <c r="L202" i="523"/>
  <c r="L354" i="518"/>
  <c r="D432" i="247"/>
  <c r="M810" i="523"/>
  <c r="M204" i="523"/>
  <c r="A21" i="521"/>
  <c r="J10" i="517"/>
  <c r="J153" i="519"/>
  <c r="E9" i="518"/>
  <c r="M837" i="523"/>
  <c r="M118" i="517"/>
  <c r="C197" i="247"/>
  <c r="I568" i="518"/>
  <c r="J97" i="519"/>
  <c r="M105" i="523"/>
  <c r="M141" i="517"/>
  <c r="D386" i="247"/>
  <c r="K164" i="520"/>
  <c r="I113" i="523"/>
  <c r="I355" i="521"/>
  <c r="I131" i="518"/>
  <c r="I441" i="523"/>
  <c r="M382" i="521"/>
  <c r="M131" i="521"/>
  <c r="K30" i="517"/>
  <c r="K268" i="519"/>
  <c r="M304" i="517"/>
  <c r="I339" i="521"/>
  <c r="A26" i="518"/>
  <c r="K141" i="518"/>
  <c r="J239" i="521"/>
  <c r="L383" i="523"/>
  <c r="J178" i="520"/>
  <c r="J663" i="518"/>
  <c r="D96" i="247"/>
  <c r="M289" i="521"/>
  <c r="J251" i="520"/>
  <c r="G22" i="517"/>
  <c r="L71" i="523"/>
  <c r="J110" i="518"/>
  <c r="K285" i="518"/>
  <c r="L588" i="521"/>
  <c r="M423" i="517"/>
  <c r="J233" i="519"/>
  <c r="L603" i="519"/>
  <c r="J122" i="518"/>
  <c r="I466" i="523"/>
  <c r="L32" i="518"/>
  <c r="K87" i="520"/>
  <c r="K346" i="521"/>
  <c r="K127" i="520"/>
  <c r="L491" i="520"/>
  <c r="K49" i="523"/>
  <c r="K129" i="517"/>
  <c r="J197" i="523"/>
  <c r="K294" i="517"/>
  <c r="L726" i="523"/>
  <c r="K606" i="518"/>
  <c r="I193" i="519"/>
  <c r="K92" i="521"/>
  <c r="J291" i="523"/>
  <c r="I560" i="520"/>
  <c r="L142" i="521"/>
  <c r="L462" i="518"/>
  <c r="I172" i="519"/>
  <c r="L671" i="520"/>
  <c r="L605" i="521"/>
  <c r="K227" i="520"/>
  <c r="J43" i="523"/>
  <c r="D94" i="247"/>
  <c r="M15" i="521"/>
  <c r="I458" i="517"/>
  <c r="I322" i="519"/>
  <c r="L457" i="517"/>
  <c r="C334" i="247"/>
  <c r="K306" i="520"/>
  <c r="I357" i="523"/>
  <c r="I570" i="519"/>
  <c r="L299" i="517"/>
  <c r="I682" i="521"/>
  <c r="I7" i="518"/>
  <c r="J324" i="523"/>
  <c r="I660" i="519"/>
  <c r="M193" i="518"/>
  <c r="K360" i="520"/>
  <c r="I128" i="517"/>
  <c r="L316" i="523"/>
  <c r="M504" i="517"/>
  <c r="M680" i="520"/>
  <c r="K689" i="519"/>
  <c r="J214" i="521"/>
  <c r="J196" i="518"/>
  <c r="I72" i="520"/>
  <c r="C315" i="247"/>
  <c r="J362" i="517"/>
  <c r="L643" i="517"/>
  <c r="M231" i="519"/>
  <c r="K281" i="518"/>
  <c r="L209" i="521"/>
  <c r="I588" i="518"/>
  <c r="J179" i="517"/>
  <c r="L206" i="521"/>
  <c r="M348" i="523"/>
  <c r="L11" i="518"/>
  <c r="J131" i="517"/>
  <c r="K247" i="523"/>
  <c r="J183" i="520"/>
  <c r="K576" i="517"/>
  <c r="L131" i="519"/>
  <c r="K476" i="517"/>
  <c r="I143" i="521"/>
  <c r="L514" i="518"/>
  <c r="I788" i="523"/>
  <c r="L190" i="521"/>
  <c r="M168" i="519"/>
  <c r="L411" i="518"/>
  <c r="I119" i="520"/>
  <c r="K278" i="517"/>
  <c r="L32" i="519"/>
  <c r="I578" i="519"/>
  <c r="I307" i="517"/>
  <c r="M593" i="523"/>
  <c r="I568" i="517"/>
  <c r="J423" i="523"/>
  <c r="M414" i="520"/>
  <c r="J200" i="519"/>
  <c r="J422" i="523"/>
  <c r="L62" i="523"/>
  <c r="J204" i="523"/>
  <c r="L545" i="519"/>
  <c r="K490" i="519"/>
  <c r="L441" i="523"/>
  <c r="K552" i="519"/>
  <c r="M331" i="517"/>
  <c r="L145" i="523"/>
  <c r="K337" i="520"/>
  <c r="L161" i="517"/>
  <c r="M227" i="518"/>
  <c r="L207" i="517"/>
  <c r="M26" i="520"/>
  <c r="J399" i="518"/>
  <c r="J359" i="523"/>
  <c r="K82" i="518"/>
  <c r="J688" i="518"/>
  <c r="I540" i="520"/>
  <c r="L655" i="517"/>
  <c r="K79" i="517"/>
  <c r="G22" i="520"/>
  <c r="J92" i="521"/>
  <c r="J13" i="517"/>
  <c r="J470" i="517"/>
  <c r="M415" i="521"/>
  <c r="J453" i="519"/>
  <c r="L155" i="523"/>
  <c r="L257" i="519"/>
  <c r="J196" i="519"/>
  <c r="K648" i="521"/>
  <c r="K284" i="523"/>
  <c r="J95" i="517"/>
  <c r="M563" i="523"/>
  <c r="I300" i="521"/>
  <c r="J101" i="520"/>
  <c r="M510" i="521"/>
  <c r="M593" i="518"/>
  <c r="I548" i="518"/>
  <c r="J701" i="523"/>
  <c r="I646" i="519"/>
  <c r="I445" i="521"/>
  <c r="D369" i="247"/>
  <c r="L681" i="518"/>
  <c r="L395" i="517"/>
  <c r="L497" i="521"/>
  <c r="C281" i="247"/>
  <c r="M138" i="517"/>
  <c r="M670" i="517"/>
  <c r="I525" i="519"/>
  <c r="M445" i="523"/>
  <c r="K194" i="523"/>
  <c r="I625" i="523"/>
  <c r="M371" i="517"/>
  <c r="J162" i="519"/>
  <c r="K5" i="519"/>
  <c r="I465" i="521"/>
  <c r="J253" i="517"/>
  <c r="J430" i="519"/>
  <c r="I211" i="520"/>
  <c r="I51" i="523"/>
  <c r="L87" i="519"/>
  <c r="J100" i="518"/>
  <c r="I530" i="518"/>
  <c r="C157" i="247"/>
  <c r="I492" i="523"/>
  <c r="L314" i="521"/>
  <c r="I361" i="521"/>
  <c r="K635" i="519"/>
  <c r="K321" i="518"/>
  <c r="M585" i="517"/>
  <c r="K241" i="518"/>
  <c r="C403" i="247"/>
  <c r="J342" i="518"/>
  <c r="J240" i="519"/>
  <c r="M371" i="519"/>
  <c r="M92" i="519"/>
  <c r="L473" i="517"/>
  <c r="I197" i="523"/>
  <c r="E7" i="523"/>
  <c r="J49" i="520"/>
  <c r="M85" i="523"/>
  <c r="M662" i="518"/>
  <c r="K355" i="521"/>
  <c r="L773" i="523"/>
  <c r="K59" i="523"/>
  <c r="I54" i="520"/>
  <c r="J255" i="523"/>
  <c r="K572" i="518"/>
  <c r="K568" i="523"/>
  <c r="K187" i="519"/>
  <c r="J623" i="519"/>
  <c r="M299" i="519"/>
  <c r="M287" i="523"/>
  <c r="K688" i="519"/>
  <c r="K174" i="521"/>
  <c r="J297" i="518"/>
  <c r="J188" i="520"/>
  <c r="M689" i="521"/>
  <c r="I642" i="521"/>
  <c r="L331" i="518"/>
  <c r="K138" i="519"/>
  <c r="J188" i="517"/>
  <c r="K251" i="520"/>
  <c r="J163" i="521"/>
  <c r="M485" i="517"/>
  <c r="L53" i="517"/>
  <c r="M670" i="523"/>
  <c r="L44" i="518"/>
  <c r="K73" i="517"/>
  <c r="E28" i="519"/>
  <c r="L413" i="518"/>
  <c r="L75" i="519"/>
  <c r="J259" i="519"/>
  <c r="M87" i="517"/>
  <c r="L692" i="521"/>
  <c r="L339" i="523"/>
  <c r="L616" i="520"/>
  <c r="J208" i="518"/>
  <c r="I239" i="523"/>
  <c r="L52" i="518"/>
  <c r="K545" i="519"/>
  <c r="H7" i="518"/>
  <c r="J6" i="518"/>
  <c r="L238" i="523"/>
  <c r="M208" i="518"/>
  <c r="M669" i="520"/>
  <c r="L509" i="523"/>
  <c r="M414" i="521"/>
  <c r="I369" i="520"/>
  <c r="K234" i="523"/>
  <c r="I110" i="520"/>
  <c r="L590" i="523"/>
  <c r="L167" i="521"/>
  <c r="K282" i="520"/>
  <c r="L98" i="517"/>
  <c r="L69" i="521"/>
  <c r="J223" i="519"/>
  <c r="L593" i="521"/>
  <c r="I157" i="517"/>
  <c r="M233" i="517"/>
  <c r="A28" i="517"/>
  <c r="L692" i="523"/>
  <c r="M812" i="523"/>
  <c r="K583" i="521"/>
  <c r="K519" i="520"/>
  <c r="L154" i="517"/>
  <c r="L61" i="520"/>
  <c r="M2" i="521"/>
  <c r="L428" i="520"/>
  <c r="I316" i="520"/>
  <c r="C323" i="247"/>
  <c r="C20" i="517"/>
  <c r="M701" i="523"/>
  <c r="J682" i="521"/>
  <c r="K281" i="519"/>
  <c r="I663" i="518"/>
  <c r="M602" i="517"/>
  <c r="K27" i="519"/>
  <c r="I317" i="518"/>
  <c r="K270" i="519"/>
  <c r="M63" i="523"/>
  <c r="M511" i="521"/>
  <c r="L377" i="517"/>
  <c r="L616" i="521"/>
  <c r="I262" i="523"/>
  <c r="L103" i="520"/>
  <c r="M686" i="519"/>
  <c r="L523" i="521"/>
  <c r="J20" i="519"/>
  <c r="C287" i="247"/>
  <c r="L579" i="520"/>
  <c r="K31" i="517"/>
  <c r="L408" i="523"/>
  <c r="K44" i="520"/>
  <c r="D555" i="247"/>
  <c r="I153" i="520"/>
  <c r="F9" i="517"/>
  <c r="J254" i="523"/>
  <c r="M90" i="518"/>
  <c r="L522" i="523"/>
  <c r="M566" i="517"/>
  <c r="M648" i="519"/>
  <c r="L196" i="519"/>
  <c r="D352" i="247"/>
  <c r="M436" i="523"/>
  <c r="L7" i="521"/>
  <c r="J180" i="523"/>
  <c r="I207" i="517"/>
  <c r="I122" i="518"/>
  <c r="M67" i="520"/>
  <c r="K48" i="520"/>
  <c r="J495" i="521"/>
  <c r="I564" i="517"/>
  <c r="L365" i="521"/>
  <c r="I628" i="517"/>
  <c r="L461" i="519"/>
  <c r="K525" i="518"/>
  <c r="I222" i="518"/>
  <c r="L109" i="520"/>
  <c r="J318" i="521"/>
  <c r="I687" i="523"/>
  <c r="J488" i="521"/>
  <c r="I48" i="517"/>
  <c r="J405" i="520"/>
  <c r="I186" i="523"/>
  <c r="I199" i="523"/>
  <c r="M306" i="519"/>
  <c r="I396" i="518"/>
  <c r="I532" i="519"/>
  <c r="J307" i="519"/>
  <c r="J220" i="518"/>
  <c r="K292" i="518"/>
  <c r="C560" i="247"/>
  <c r="C497" i="247"/>
  <c r="J141" i="519"/>
  <c r="M423" i="518"/>
  <c r="J249" i="519"/>
  <c r="K319" i="523"/>
  <c r="J338" i="521"/>
  <c r="I27" i="520"/>
  <c r="G27" i="521"/>
  <c r="M4" i="519"/>
  <c r="L282" i="517"/>
  <c r="L205" i="519"/>
  <c r="I572" i="523"/>
  <c r="M775" i="523"/>
  <c r="M644" i="517"/>
  <c r="K663" i="521"/>
  <c r="K560" i="519"/>
  <c r="L624" i="521"/>
  <c r="I291" i="523"/>
  <c r="I233" i="518"/>
  <c r="M293" i="518"/>
  <c r="I600" i="520"/>
  <c r="L578" i="519"/>
  <c r="I229" i="521"/>
  <c r="I106" i="519"/>
  <c r="K322" i="518"/>
  <c r="D377" i="247"/>
  <c r="I575" i="518"/>
  <c r="L91" i="519"/>
  <c r="J473" i="518"/>
  <c r="K204" i="519"/>
  <c r="M237" i="517"/>
  <c r="J305" i="519"/>
  <c r="I662" i="519"/>
  <c r="J152" i="519"/>
  <c r="L813" i="523"/>
  <c r="K766" i="523"/>
  <c r="M517" i="520"/>
  <c r="M209" i="520"/>
  <c r="J421" i="517"/>
  <c r="D495" i="247"/>
  <c r="M174" i="517"/>
  <c r="K486" i="521"/>
  <c r="M421" i="519"/>
  <c r="I336" i="519"/>
  <c r="M303" i="517"/>
  <c r="L117" i="520"/>
  <c r="K246" i="523"/>
  <c r="L516" i="520"/>
  <c r="A4" i="521"/>
  <c r="L543" i="519"/>
  <c r="L390" i="523"/>
  <c r="J385" i="523"/>
  <c r="M544" i="519"/>
  <c r="M600" i="518"/>
  <c r="J2" i="523"/>
  <c r="D397" i="247"/>
  <c r="K193" i="521"/>
  <c r="M480" i="517"/>
  <c r="A18" i="520"/>
  <c r="J95" i="518"/>
  <c r="L355" i="520"/>
  <c r="J573" i="521"/>
  <c r="L720" i="523"/>
  <c r="I687" i="517"/>
  <c r="L228" i="519"/>
  <c r="L609" i="521"/>
  <c r="J388" i="520"/>
  <c r="L116" i="521"/>
  <c r="K79" i="519"/>
  <c r="I158" i="521"/>
  <c r="L212" i="523"/>
  <c r="J510" i="520"/>
  <c r="J34" i="518"/>
  <c r="J411" i="517"/>
  <c r="M498" i="523"/>
  <c r="J684" i="523"/>
  <c r="K587" i="520"/>
  <c r="L311" i="519"/>
  <c r="I141" i="521"/>
  <c r="J600" i="517"/>
  <c r="L576" i="518"/>
  <c r="I421" i="519"/>
  <c r="J338" i="519"/>
  <c r="M379" i="519"/>
  <c r="J100" i="519"/>
  <c r="J232" i="519"/>
  <c r="M207" i="520"/>
  <c r="L146" i="523"/>
  <c r="M124" i="521"/>
  <c r="K132" i="518"/>
  <c r="I126" i="517"/>
  <c r="I107" i="517"/>
  <c r="J418" i="523"/>
  <c r="L367" i="519"/>
  <c r="J229" i="517"/>
  <c r="I171" i="517"/>
  <c r="K185" i="523"/>
  <c r="J559" i="523"/>
  <c r="A32" i="519"/>
  <c r="L263" i="521"/>
  <c r="I667" i="520"/>
  <c r="K551" i="523"/>
  <c r="C11" i="523"/>
  <c r="F5" i="521"/>
  <c r="I700" i="523"/>
  <c r="M279" i="519"/>
  <c r="I684" i="517"/>
  <c r="I543" i="521"/>
  <c r="I124" i="517"/>
  <c r="M447" i="518"/>
  <c r="L621" i="521"/>
  <c r="I512" i="517"/>
  <c r="L246" i="519"/>
  <c r="C383" i="247"/>
  <c r="L671" i="517"/>
  <c r="J238" i="518"/>
  <c r="J307" i="517"/>
  <c r="L534" i="518"/>
  <c r="I96" i="519"/>
  <c r="J616" i="520"/>
  <c r="E4" i="520"/>
  <c r="L52" i="523"/>
  <c r="K197" i="523"/>
  <c r="K72" i="523"/>
  <c r="L127" i="517"/>
  <c r="K229" i="518"/>
  <c r="J102" i="519"/>
  <c r="K5" i="523"/>
  <c r="L690" i="519"/>
  <c r="J599" i="519"/>
  <c r="F22" i="523"/>
  <c r="L468" i="517"/>
  <c r="K478" i="521"/>
  <c r="M29" i="519"/>
  <c r="I494" i="521"/>
  <c r="J149" i="519"/>
  <c r="L77" i="520"/>
  <c r="L445" i="518"/>
  <c r="A9" i="523"/>
  <c r="L651" i="518"/>
  <c r="L620" i="523"/>
  <c r="L636" i="521"/>
  <c r="I456" i="518"/>
  <c r="L97" i="520"/>
  <c r="K269" i="518"/>
  <c r="L15" i="523"/>
  <c r="K3" i="519"/>
  <c r="D239" i="247"/>
  <c r="M45" i="519"/>
  <c r="L338" i="518"/>
  <c r="M545" i="518"/>
  <c r="J777" i="523"/>
  <c r="J101" i="519"/>
  <c r="K679" i="520"/>
  <c r="I81" i="521"/>
  <c r="I631" i="520"/>
  <c r="L628" i="521"/>
  <c r="I262" i="517"/>
  <c r="I420" i="521"/>
  <c r="L518" i="523"/>
  <c r="L490" i="517"/>
  <c r="L45" i="518"/>
  <c r="L333" i="517"/>
  <c r="M378" i="517"/>
  <c r="K661" i="521"/>
  <c r="K415" i="519"/>
  <c r="K180" i="523"/>
  <c r="I239" i="517"/>
  <c r="K18" i="521"/>
  <c r="I564" i="519"/>
  <c r="L576" i="519"/>
  <c r="K585" i="517"/>
  <c r="J14" i="518"/>
  <c r="M591" i="521"/>
  <c r="J165" i="519"/>
  <c r="A34" i="521"/>
  <c r="C48" i="521"/>
  <c r="I141" i="520"/>
  <c r="J637" i="521"/>
  <c r="J410" i="520"/>
  <c r="K706" i="523"/>
  <c r="K547" i="520"/>
  <c r="M494" i="520"/>
  <c r="L358" i="520"/>
  <c r="G11" i="523"/>
  <c r="I463" i="521"/>
  <c r="M820" i="523"/>
  <c r="J64" i="521"/>
  <c r="E19" i="518"/>
  <c r="K463" i="518"/>
  <c r="L646" i="519"/>
  <c r="L153" i="518"/>
  <c r="D290" i="247"/>
  <c r="L67" i="521"/>
  <c r="C47" i="517"/>
  <c r="L622" i="519"/>
  <c r="C20" i="523"/>
  <c r="L351" i="518"/>
  <c r="K679" i="521"/>
  <c r="I693" i="523"/>
  <c r="I641" i="517"/>
  <c r="L526" i="523"/>
  <c r="J31" i="518"/>
  <c r="I149" i="521"/>
  <c r="L83" i="523"/>
  <c r="L182" i="520"/>
  <c r="J3" i="523"/>
  <c r="J34" i="517"/>
  <c r="H11" i="520"/>
  <c r="J564" i="517"/>
  <c r="K625" i="521"/>
  <c r="M192" i="519"/>
  <c r="M608" i="519"/>
  <c r="C551" i="247"/>
  <c r="I83" i="517"/>
  <c r="L547" i="517"/>
  <c r="M329" i="523"/>
  <c r="J681" i="517"/>
  <c r="I74" i="519"/>
  <c r="L213" i="523"/>
  <c r="K302" i="518"/>
  <c r="M273" i="523"/>
  <c r="K552" i="517"/>
  <c r="L261" i="518"/>
  <c r="M381" i="517"/>
  <c r="L6" i="520"/>
  <c r="L551" i="523"/>
  <c r="I569" i="517"/>
  <c r="K387" i="521"/>
  <c r="M64" i="519"/>
  <c r="L191" i="517"/>
  <c r="C275" i="247"/>
  <c r="J147" i="518"/>
  <c r="I160" i="521"/>
  <c r="J139" i="520"/>
  <c r="M288" i="521"/>
  <c r="J51" i="518"/>
  <c r="I510" i="520"/>
  <c r="L197" i="520"/>
  <c r="M548" i="523"/>
  <c r="J26" i="517"/>
  <c r="M135" i="517"/>
  <c r="I330" i="523"/>
  <c r="L222" i="523"/>
  <c r="I145" i="523"/>
  <c r="L504" i="517"/>
  <c r="K397" i="517"/>
  <c r="I757" i="523"/>
  <c r="C253" i="247"/>
  <c r="L49" i="520"/>
  <c r="J385" i="518"/>
  <c r="J53" i="517"/>
  <c r="J252" i="521"/>
  <c r="J676" i="517"/>
  <c r="K371" i="523"/>
  <c r="J245" i="520"/>
  <c r="J760" i="523"/>
  <c r="J186" i="517"/>
  <c r="I641" i="520"/>
  <c r="J636" i="519"/>
  <c r="J84" i="519"/>
  <c r="M749" i="523"/>
  <c r="L146" i="517"/>
  <c r="M113" i="523"/>
  <c r="J562" i="523"/>
  <c r="I570" i="520"/>
  <c r="K641" i="523"/>
  <c r="D526" i="247"/>
  <c r="M652" i="519"/>
  <c r="M404" i="519"/>
  <c r="J220" i="520"/>
  <c r="L659" i="518"/>
  <c r="K118" i="517"/>
  <c r="L651" i="523"/>
  <c r="M19" i="523"/>
  <c r="J447" i="517"/>
  <c r="K360" i="519"/>
  <c r="M146" i="519"/>
  <c r="J542" i="523"/>
  <c r="L211" i="523"/>
  <c r="K323" i="518"/>
  <c r="J127" i="518"/>
  <c r="C262" i="247"/>
  <c r="L682" i="521"/>
  <c r="K688" i="518"/>
  <c r="J47" i="523"/>
  <c r="K16" i="518"/>
  <c r="J814" i="523"/>
  <c r="M281" i="521"/>
  <c r="K76" i="520"/>
  <c r="K518" i="519"/>
  <c r="L667" i="517"/>
  <c r="L7" i="517"/>
  <c r="M656" i="518"/>
  <c r="C3" i="518"/>
  <c r="L243" i="520"/>
  <c r="L313" i="518"/>
  <c r="L422" i="517"/>
  <c r="M669" i="521"/>
  <c r="K784" i="523"/>
  <c r="L400" i="523"/>
  <c r="M383" i="521"/>
  <c r="M347" i="520"/>
  <c r="J402" i="523"/>
  <c r="K231" i="518"/>
  <c r="M219" i="523"/>
  <c r="L82" i="518"/>
  <c r="M12" i="520"/>
  <c r="M405" i="520"/>
  <c r="M273" i="519"/>
  <c r="J245" i="518"/>
  <c r="D116" i="247"/>
  <c r="M77" i="523"/>
  <c r="K278" i="519"/>
  <c r="M20" i="518"/>
  <c r="A8" i="518"/>
  <c r="J215" i="521"/>
  <c r="M377" i="519"/>
  <c r="K532" i="520"/>
  <c r="J728" i="523"/>
  <c r="M663" i="523"/>
  <c r="J491" i="518"/>
  <c r="M236" i="519"/>
  <c r="I372" i="523"/>
  <c r="K52" i="521"/>
  <c r="D112" i="247"/>
  <c r="K123" i="523"/>
  <c r="M467" i="521"/>
  <c r="K19" i="523"/>
  <c r="D370" i="247"/>
  <c r="J405" i="518"/>
  <c r="L795" i="523"/>
  <c r="K42" i="520"/>
  <c r="I250" i="519"/>
  <c r="L762" i="523"/>
  <c r="I59" i="520"/>
  <c r="J293" i="519"/>
  <c r="C25" i="523"/>
  <c r="M23" i="523"/>
  <c r="I621" i="518"/>
  <c r="L346" i="519"/>
  <c r="L310" i="518"/>
  <c r="J576" i="518"/>
  <c r="J602" i="517"/>
  <c r="I362" i="520"/>
  <c r="M509" i="521"/>
  <c r="K822" i="523"/>
  <c r="I272" i="519"/>
  <c r="I364" i="520"/>
  <c r="M37" i="520"/>
  <c r="L324" i="518"/>
  <c r="J274" i="521"/>
  <c r="M155" i="517"/>
  <c r="L592" i="518"/>
  <c r="I577" i="521"/>
  <c r="J133" i="518"/>
  <c r="J78" i="521"/>
  <c r="J503" i="523"/>
  <c r="I121" i="523"/>
  <c r="K127" i="519"/>
  <c r="K74" i="517"/>
  <c r="J403" i="517"/>
  <c r="M327" i="521"/>
  <c r="L450" i="520"/>
  <c r="D160" i="247"/>
  <c r="M671" i="517"/>
  <c r="L408" i="518"/>
  <c r="M322" i="521"/>
  <c r="K577" i="523"/>
  <c r="J459" i="520"/>
  <c r="L157" i="520"/>
  <c r="K143" i="521"/>
  <c r="I151" i="519"/>
  <c r="L87" i="518"/>
  <c r="M357" i="523"/>
  <c r="M635" i="523"/>
  <c r="M13" i="518"/>
  <c r="K361" i="520"/>
  <c r="M42" i="523"/>
  <c r="M665" i="519"/>
  <c r="I456" i="520"/>
  <c r="E4" i="517"/>
  <c r="I506" i="523"/>
  <c r="J103" i="521"/>
  <c r="K621" i="519"/>
  <c r="J639" i="521"/>
  <c r="I192" i="520"/>
  <c r="M346" i="518"/>
  <c r="M216" i="523"/>
  <c r="M485" i="518"/>
  <c r="J55" i="523"/>
  <c r="E28" i="520"/>
  <c r="M230" i="518"/>
  <c r="M432" i="518"/>
  <c r="I137" i="521"/>
  <c r="J582" i="521"/>
  <c r="K502" i="523"/>
  <c r="K405" i="521"/>
  <c r="I134" i="523"/>
  <c r="K208" i="517"/>
  <c r="M469" i="523"/>
  <c r="K348" i="519"/>
  <c r="J92" i="523"/>
  <c r="J97" i="517"/>
  <c r="I324" i="521"/>
  <c r="L172" i="517"/>
  <c r="I13" i="520"/>
  <c r="K45" i="518"/>
  <c r="K144" i="520"/>
  <c r="K249" i="520"/>
  <c r="K380" i="518"/>
  <c r="I58" i="519"/>
  <c r="A12" i="518"/>
  <c r="K491" i="521"/>
  <c r="K276" i="519"/>
  <c r="M289" i="520"/>
  <c r="J336" i="517"/>
  <c r="I563" i="519"/>
  <c r="K444" i="523"/>
  <c r="J530" i="521"/>
  <c r="K115" i="521"/>
  <c r="M94" i="521"/>
  <c r="D74" i="247"/>
  <c r="K27" i="520"/>
  <c r="K294" i="521"/>
  <c r="I273" i="523"/>
  <c r="J401" i="520"/>
  <c r="I426" i="519"/>
  <c r="I424" i="523"/>
  <c r="I683" i="519"/>
  <c r="K801" i="523"/>
  <c r="J83" i="517"/>
  <c r="M476" i="521"/>
  <c r="J345" i="520"/>
  <c r="L464" i="517"/>
  <c r="L538" i="519"/>
  <c r="L322" i="523"/>
  <c r="G25" i="517"/>
  <c r="L525" i="519"/>
  <c r="M373" i="518"/>
  <c r="J79" i="517"/>
  <c r="K588" i="521"/>
  <c r="J497" i="519"/>
  <c r="L118" i="518"/>
  <c r="I288" i="523"/>
  <c r="L152" i="523"/>
  <c r="L642" i="521"/>
  <c r="J215" i="523"/>
  <c r="L480" i="521"/>
  <c r="I154" i="523"/>
  <c r="J501" i="523"/>
  <c r="M248" i="519"/>
  <c r="I345" i="517"/>
  <c r="D221" i="247"/>
  <c r="L196" i="523"/>
  <c r="L250" i="521"/>
  <c r="K444" i="517"/>
  <c r="L609" i="523"/>
  <c r="I302" i="519"/>
  <c r="I99" i="523"/>
  <c r="K199" i="521"/>
  <c r="M245" i="517"/>
  <c r="C550" i="247"/>
  <c r="M696" i="523"/>
  <c r="M13" i="517"/>
  <c r="I196" i="521"/>
  <c r="M153" i="517"/>
  <c r="M208" i="523"/>
  <c r="L560" i="519"/>
  <c r="L119" i="519"/>
  <c r="I194" i="521"/>
  <c r="J678" i="519"/>
  <c r="K470" i="520"/>
  <c r="C401" i="247"/>
  <c r="K232" i="517"/>
  <c r="M299" i="517"/>
  <c r="M653" i="521"/>
  <c r="J402" i="521"/>
  <c r="M317" i="523"/>
  <c r="D315" i="247"/>
  <c r="D417" i="247"/>
  <c r="K252" i="520"/>
  <c r="M557" i="518"/>
  <c r="K474" i="518"/>
  <c r="M557" i="521"/>
  <c r="C501" i="247"/>
  <c r="K601" i="523"/>
  <c r="I254" i="517"/>
  <c r="K592" i="520"/>
  <c r="L99" i="523"/>
  <c r="M372" i="520"/>
  <c r="L22" i="518"/>
  <c r="M330" i="523"/>
  <c r="L417" i="518"/>
  <c r="J248" i="518"/>
  <c r="K334" i="517"/>
  <c r="K330" i="520"/>
  <c r="M33" i="517"/>
  <c r="M642" i="520"/>
  <c r="L97" i="519"/>
  <c r="J694" i="523"/>
  <c r="J623" i="523"/>
  <c r="L362" i="520"/>
  <c r="M687" i="520"/>
  <c r="L45" i="521"/>
  <c r="L511" i="520"/>
  <c r="M645" i="517"/>
  <c r="I252" i="520"/>
  <c r="M491" i="518"/>
  <c r="I178" i="519"/>
  <c r="J686" i="521"/>
  <c r="J510" i="517"/>
  <c r="I408" i="519"/>
  <c r="D373" i="247"/>
  <c r="M665" i="517"/>
  <c r="M42" i="520"/>
  <c r="K72" i="520"/>
  <c r="L698" i="523"/>
  <c r="I662" i="520"/>
  <c r="D435" i="247"/>
  <c r="L543" i="523"/>
  <c r="M283" i="520"/>
  <c r="K550" i="523"/>
  <c r="I39" i="518"/>
  <c r="K538" i="523"/>
  <c r="I554" i="523"/>
  <c r="J569" i="521"/>
  <c r="I356" i="521"/>
  <c r="K211" i="521"/>
  <c r="L176" i="517"/>
  <c r="I680" i="517"/>
  <c r="M30" i="518"/>
  <c r="M250" i="519"/>
  <c r="K661" i="523"/>
  <c r="I457" i="517"/>
  <c r="K622" i="521"/>
  <c r="M11" i="520"/>
  <c r="M816" i="523"/>
  <c r="L589" i="520"/>
  <c r="J768" i="523"/>
  <c r="K580" i="518"/>
  <c r="M188" i="523"/>
  <c r="M324" i="518"/>
  <c r="K569" i="521"/>
  <c r="M628" i="519"/>
  <c r="L632" i="523"/>
  <c r="K66" i="517"/>
  <c r="C48" i="518"/>
  <c r="J691" i="520"/>
  <c r="J721" i="523"/>
  <c r="L207" i="523"/>
  <c r="L529" i="520"/>
  <c r="L352" i="517"/>
  <c r="L312" i="520"/>
  <c r="M580" i="518"/>
  <c r="M53" i="523"/>
  <c r="M559" i="520"/>
  <c r="K207" i="520"/>
  <c r="L37" i="520"/>
  <c r="I236" i="521"/>
  <c r="L324" i="517"/>
  <c r="K522" i="517"/>
  <c r="M384" i="523"/>
  <c r="J143" i="521"/>
  <c r="L541" i="518"/>
  <c r="K386" i="520"/>
  <c r="K601" i="517"/>
  <c r="L669" i="520"/>
  <c r="K610" i="519"/>
  <c r="M302" i="517"/>
  <c r="J230" i="519"/>
  <c r="K408" i="523"/>
  <c r="C39" i="518"/>
  <c r="L179" i="521"/>
  <c r="L422" i="521"/>
  <c r="I538" i="519"/>
  <c r="C545" i="247"/>
  <c r="K343" i="519"/>
  <c r="K46" i="518"/>
  <c r="C36" i="247"/>
  <c r="M774" i="523"/>
  <c r="I668" i="518"/>
  <c r="I5" i="523"/>
  <c r="I831" i="523"/>
  <c r="E8" i="521"/>
  <c r="J239" i="518"/>
  <c r="K671" i="519"/>
  <c r="M85" i="521"/>
  <c r="M565" i="518"/>
  <c r="I31" i="519"/>
  <c r="L271" i="519"/>
  <c r="I315" i="521"/>
  <c r="K107" i="521"/>
  <c r="K636" i="517"/>
  <c r="K506" i="520"/>
  <c r="J277" i="519"/>
  <c r="I18" i="523"/>
  <c r="M654" i="519"/>
  <c r="K180" i="518"/>
  <c r="K428" i="521"/>
  <c r="J631" i="523"/>
  <c r="L264" i="517"/>
  <c r="K659" i="519"/>
  <c r="J559" i="520"/>
  <c r="J131" i="521"/>
  <c r="M488" i="519"/>
  <c r="K490" i="518"/>
  <c r="J355" i="518"/>
  <c r="M644" i="518"/>
  <c r="K589" i="521"/>
  <c r="E3" i="519"/>
  <c r="I522" i="517"/>
  <c r="K569" i="517"/>
  <c r="L285" i="521"/>
  <c r="I136" i="521"/>
  <c r="K335" i="518"/>
  <c r="J66" i="521"/>
  <c r="M216" i="518"/>
  <c r="G24" i="518"/>
  <c r="M346" i="523"/>
  <c r="I671" i="523"/>
  <c r="L278" i="518"/>
  <c r="M54" i="518"/>
  <c r="I793" i="523"/>
  <c r="L347" i="520"/>
  <c r="J371" i="523"/>
  <c r="I604" i="523"/>
  <c r="M654" i="518"/>
  <c r="L402" i="521"/>
  <c r="M21" i="519"/>
  <c r="I430" i="519"/>
  <c r="M459" i="519"/>
  <c r="I521" i="517"/>
  <c r="K542" i="518"/>
  <c r="M474" i="519"/>
  <c r="I643" i="521"/>
  <c r="M353" i="520"/>
  <c r="I409" i="519"/>
  <c r="I214" i="523"/>
  <c r="I169" i="520"/>
  <c r="M53" i="521"/>
  <c r="L759" i="523"/>
  <c r="M443" i="517"/>
  <c r="M560" i="519"/>
  <c r="D279" i="247"/>
  <c r="K314" i="517"/>
  <c r="I34" i="517"/>
  <c r="J296" i="521"/>
  <c r="I590" i="520"/>
  <c r="J470" i="523"/>
  <c r="I279" i="523"/>
  <c r="I841" i="523"/>
  <c r="K309" i="521"/>
  <c r="L105" i="518"/>
  <c r="M206" i="523"/>
  <c r="M111" i="517"/>
  <c r="J533" i="519"/>
  <c r="K29" i="521"/>
  <c r="K525" i="519"/>
  <c r="J557" i="521"/>
  <c r="K344" i="518"/>
  <c r="M318" i="521"/>
  <c r="Q38" i="3"/>
  <c r="K238" i="519"/>
  <c r="K500" i="518"/>
  <c r="J58" i="520"/>
  <c r="I29" i="521"/>
  <c r="J614" i="520"/>
  <c r="L188" i="519"/>
  <c r="L452" i="523"/>
  <c r="M627" i="523"/>
  <c r="L192" i="518"/>
  <c r="P29" i="3"/>
  <c r="K95" i="519"/>
  <c r="K68" i="520"/>
  <c r="M141" i="523"/>
  <c r="K573" i="521"/>
  <c r="P39" i="3"/>
  <c r="M576" i="523"/>
  <c r="I451" i="521"/>
  <c r="K340" i="523"/>
  <c r="K511" i="523"/>
  <c r="D46" i="247"/>
  <c r="J624" i="523"/>
  <c r="L295" i="518"/>
  <c r="K51" i="517"/>
  <c r="J633" i="518"/>
  <c r="M653" i="520"/>
  <c r="K563" i="521"/>
  <c r="M663" i="520"/>
  <c r="J642" i="520"/>
  <c r="L64" i="521"/>
  <c r="I441" i="521"/>
  <c r="K339" i="520"/>
  <c r="C264" i="247"/>
  <c r="J488" i="518"/>
  <c r="D285" i="247"/>
  <c r="I14" i="518"/>
  <c r="C465" i="247"/>
  <c r="J803" i="523"/>
  <c r="L447" i="517"/>
  <c r="J338" i="517"/>
  <c r="C32" i="517"/>
  <c r="J4" i="520"/>
  <c r="J81" i="523"/>
  <c r="J339" i="518"/>
  <c r="L585" i="517"/>
  <c r="I127" i="520"/>
  <c r="L502" i="521"/>
  <c r="M101" i="521"/>
  <c r="M61" i="521"/>
  <c r="A10" i="517"/>
  <c r="M348" i="520"/>
  <c r="L144" i="518"/>
  <c r="M421" i="518"/>
  <c r="L87" i="523"/>
  <c r="K210" i="523"/>
  <c r="M746" i="523"/>
  <c r="D211" i="247"/>
  <c r="M77" i="517"/>
  <c r="L61" i="519"/>
  <c r="L428" i="519"/>
  <c r="C46" i="520"/>
  <c r="I655" i="519"/>
  <c r="I678" i="521"/>
  <c r="J368" i="521"/>
  <c r="K473" i="518"/>
  <c r="I383" i="519"/>
  <c r="M673" i="521"/>
  <c r="L604" i="521"/>
  <c r="K514" i="521"/>
  <c r="M609" i="519"/>
  <c r="K652" i="517"/>
  <c r="M658" i="517"/>
  <c r="I143" i="519"/>
  <c r="L84" i="519"/>
  <c r="L387" i="519"/>
  <c r="J535" i="517"/>
  <c r="I558" i="521"/>
  <c r="M46" i="517"/>
  <c r="I155" i="518"/>
  <c r="M555" i="519"/>
  <c r="M52" i="520"/>
  <c r="M418" i="523"/>
  <c r="A19" i="523"/>
  <c r="L122" i="520"/>
  <c r="K284" i="521"/>
  <c r="J515" i="518"/>
  <c r="I132" i="523"/>
  <c r="L91" i="518"/>
  <c r="K589" i="520"/>
  <c r="J260" i="523"/>
  <c r="J552" i="517"/>
  <c r="I775" i="523"/>
  <c r="C164" i="247"/>
  <c r="I62" i="520"/>
  <c r="I107" i="520"/>
  <c r="K224" i="523"/>
  <c r="M620" i="519"/>
  <c r="L321" i="520"/>
  <c r="M196" i="518"/>
  <c r="K599" i="523"/>
  <c r="M632" i="518"/>
  <c r="M170" i="520"/>
  <c r="J513" i="519"/>
  <c r="K90" i="517"/>
  <c r="J559" i="521"/>
  <c r="M411" i="519"/>
  <c r="J273" i="520"/>
  <c r="J792" i="523"/>
  <c r="K573" i="519"/>
  <c r="I688" i="519"/>
  <c r="K476" i="518"/>
  <c r="L406" i="518"/>
  <c r="K106" i="519"/>
  <c r="I580" i="523"/>
  <c r="I298" i="523"/>
  <c r="J517" i="517"/>
  <c r="J386" i="523"/>
  <c r="M493" i="523"/>
  <c r="L665" i="523"/>
  <c r="K275" i="520"/>
  <c r="L270" i="518"/>
  <c r="M108" i="521"/>
  <c r="L599" i="519"/>
  <c r="I419" i="521"/>
  <c r="I267" i="517"/>
  <c r="I366" i="523"/>
  <c r="J351" i="521"/>
  <c r="J267" i="520"/>
  <c r="L79" i="523"/>
  <c r="L218" i="520"/>
  <c r="I102" i="521"/>
  <c r="F12" i="520"/>
  <c r="M520" i="520"/>
  <c r="J155" i="519"/>
  <c r="J173" i="521"/>
  <c r="I324" i="518"/>
  <c r="L262" i="520"/>
  <c r="K396" i="518"/>
  <c r="L556" i="521"/>
  <c r="I628" i="519"/>
  <c r="Q37" i="3"/>
  <c r="K163" i="521"/>
  <c r="M580" i="519"/>
  <c r="M618" i="521"/>
  <c r="L32" i="520"/>
  <c r="M117" i="518"/>
  <c r="I589" i="518"/>
  <c r="L667" i="519"/>
  <c r="K298" i="523"/>
  <c r="F22" i="518"/>
  <c r="J646" i="520"/>
  <c r="C34" i="523"/>
  <c r="L483" i="517"/>
  <c r="K513" i="517"/>
  <c r="L127" i="523"/>
  <c r="I376" i="520"/>
  <c r="I599" i="518"/>
  <c r="J531" i="520"/>
  <c r="L209" i="523"/>
  <c r="I527" i="520"/>
  <c r="K374" i="521"/>
  <c r="J26" i="521"/>
  <c r="K57" i="521"/>
  <c r="L375" i="523"/>
  <c r="L678" i="519"/>
  <c r="J120" i="521"/>
  <c r="E6" i="521"/>
  <c r="J364" i="519"/>
  <c r="J687" i="518"/>
  <c r="M502" i="517"/>
  <c r="K488" i="521"/>
  <c r="M39" i="517"/>
  <c r="L306" i="523"/>
  <c r="K447" i="519"/>
  <c r="K505" i="518"/>
  <c r="K297" i="518"/>
  <c r="J297" i="520"/>
  <c r="M195" i="520"/>
  <c r="M347" i="519"/>
  <c r="L51" i="519"/>
  <c r="M54" i="520"/>
  <c r="M392" i="520"/>
  <c r="I113" i="518"/>
  <c r="I291" i="517"/>
  <c r="L167" i="519"/>
  <c r="J270" i="520"/>
  <c r="E24" i="521"/>
  <c r="K69" i="523"/>
  <c r="M117" i="519"/>
  <c r="C47" i="247"/>
  <c r="C169" i="247"/>
  <c r="E5" i="517"/>
  <c r="I351" i="517"/>
  <c r="J556" i="519"/>
  <c r="L279" i="523"/>
  <c r="C257" i="247"/>
  <c r="M217" i="523"/>
  <c r="I559" i="521"/>
  <c r="C63" i="247"/>
  <c r="K373" i="517"/>
  <c r="M110" i="517"/>
  <c r="I240" i="518"/>
  <c r="L236" i="519"/>
  <c r="J652" i="517"/>
  <c r="L146" i="520"/>
  <c r="M495" i="523"/>
  <c r="K680" i="518"/>
  <c r="I262" i="519"/>
  <c r="J277" i="517"/>
  <c r="C6" i="519"/>
  <c r="K645" i="518"/>
  <c r="D204" i="247"/>
  <c r="E4" i="518"/>
  <c r="M788" i="523"/>
  <c r="J605" i="520"/>
  <c r="J797" i="523"/>
  <c r="K323" i="520"/>
  <c r="M137" i="523"/>
  <c r="M326" i="518"/>
  <c r="K224" i="520"/>
  <c r="K337" i="517"/>
  <c r="I135" i="521"/>
  <c r="I550" i="520"/>
  <c r="K327" i="521"/>
  <c r="J579" i="519"/>
  <c r="K562" i="521"/>
  <c r="M23" i="520"/>
  <c r="I275" i="520"/>
  <c r="I537" i="520"/>
  <c r="P26" i="3"/>
  <c r="J132" i="517"/>
  <c r="K116" i="521"/>
  <c r="I680" i="521"/>
  <c r="M408" i="517"/>
  <c r="K326" i="523"/>
  <c r="J176" i="517"/>
  <c r="J386" i="518"/>
  <c r="L44" i="519"/>
  <c r="J506" i="519"/>
  <c r="J173" i="520"/>
  <c r="I93" i="521"/>
  <c r="I190" i="521"/>
  <c r="D459" i="247"/>
  <c r="L152" i="521"/>
  <c r="I414" i="520"/>
  <c r="J111" i="518"/>
  <c r="L101" i="517"/>
  <c r="H26" i="521"/>
  <c r="K56" i="517"/>
  <c r="K373" i="523"/>
  <c r="I550" i="523"/>
  <c r="L139" i="523"/>
  <c r="I399" i="519"/>
  <c r="M245" i="519"/>
  <c r="K298" i="517"/>
  <c r="C251" i="247"/>
  <c r="M588" i="523"/>
  <c r="D296" i="247"/>
  <c r="C428" i="247"/>
  <c r="L546" i="520"/>
  <c r="L150" i="523"/>
  <c r="J192" i="519"/>
  <c r="J299" i="523"/>
  <c r="I300" i="517"/>
  <c r="L149" i="520"/>
  <c r="M402" i="523"/>
  <c r="C68" i="247"/>
  <c r="I576" i="521"/>
  <c r="M478" i="517"/>
  <c r="M208" i="517"/>
  <c r="J372" i="521"/>
  <c r="M32" i="520"/>
  <c r="M584" i="520"/>
  <c r="I69" i="523"/>
  <c r="I147" i="520"/>
  <c r="M189" i="517"/>
  <c r="I381" i="519"/>
  <c r="A34" i="519"/>
  <c r="I233" i="519"/>
  <c r="M736" i="523"/>
  <c r="I9" i="518"/>
  <c r="L617" i="521"/>
  <c r="I538" i="520"/>
  <c r="P21" i="3"/>
  <c r="K349" i="521"/>
  <c r="J295" i="518"/>
  <c r="I510" i="518"/>
  <c r="J8" i="521"/>
  <c r="J537" i="521"/>
  <c r="J237" i="519"/>
  <c r="J659" i="519"/>
  <c r="K584" i="519"/>
  <c r="L201" i="520"/>
  <c r="I632" i="518"/>
  <c r="I73" i="520"/>
  <c r="J514" i="521"/>
  <c r="J85" i="523"/>
  <c r="L42" i="517"/>
  <c r="I66" i="519"/>
  <c r="M98" i="520"/>
  <c r="L625" i="518"/>
  <c r="I92" i="519"/>
  <c r="K364" i="523"/>
  <c r="J274" i="518"/>
  <c r="L304" i="518"/>
  <c r="J312" i="517"/>
  <c r="K705" i="523"/>
  <c r="I833" i="523"/>
  <c r="L157" i="519"/>
  <c r="L449" i="519"/>
  <c r="M293" i="521"/>
  <c r="K402" i="523"/>
  <c r="M531" i="521"/>
  <c r="K429" i="517"/>
  <c r="I244" i="519"/>
  <c r="I436" i="520"/>
  <c r="I320" i="523"/>
  <c r="J242" i="519"/>
  <c r="I557" i="523"/>
  <c r="I619" i="517"/>
  <c r="C27" i="517"/>
  <c r="M629" i="523"/>
  <c r="M310" i="521"/>
  <c r="L367" i="521"/>
  <c r="L17" i="518"/>
  <c r="M81" i="517"/>
  <c r="K172" i="520"/>
  <c r="L51" i="521"/>
  <c r="M151" i="521"/>
  <c r="J234" i="520"/>
  <c r="K205" i="523"/>
  <c r="K411" i="519"/>
  <c r="M361" i="523"/>
  <c r="L103" i="519"/>
  <c r="J581" i="521"/>
  <c r="J115" i="523"/>
  <c r="K61" i="520"/>
  <c r="I75" i="521"/>
  <c r="M342" i="520"/>
  <c r="J165" i="523"/>
  <c r="H20" i="521"/>
  <c r="C10" i="517"/>
  <c r="A19" i="519"/>
  <c r="L30" i="517"/>
  <c r="M129" i="518"/>
  <c r="C237" i="247"/>
  <c r="M24" i="523"/>
  <c r="L564" i="519"/>
  <c r="M759" i="523"/>
  <c r="J287" i="517"/>
  <c r="K394" i="520"/>
  <c r="K653" i="521"/>
  <c r="I339" i="520"/>
  <c r="L357" i="518"/>
  <c r="J114" i="517"/>
  <c r="L374" i="519"/>
  <c r="J370" i="518"/>
  <c r="L10" i="519"/>
  <c r="D79" i="247"/>
  <c r="I50" i="517"/>
  <c r="I130" i="521"/>
  <c r="K445" i="518"/>
  <c r="L319" i="521"/>
  <c r="I617" i="521"/>
  <c r="J551" i="519"/>
  <c r="L778" i="523"/>
  <c r="L260" i="518"/>
  <c r="M547" i="523"/>
  <c r="L262" i="517"/>
  <c r="L80" i="521"/>
  <c r="M330" i="517"/>
  <c r="L836" i="523"/>
  <c r="I561" i="523"/>
  <c r="M429" i="523"/>
  <c r="M412" i="520"/>
  <c r="C382" i="247"/>
  <c r="J592" i="519"/>
  <c r="L528" i="520"/>
  <c r="J531" i="518"/>
  <c r="I79" i="519"/>
  <c r="I58" i="517"/>
  <c r="L620" i="517"/>
  <c r="J504" i="517"/>
  <c r="K464" i="517"/>
  <c r="A30" i="523"/>
  <c r="I692" i="523"/>
  <c r="K396" i="523"/>
  <c r="J18" i="521"/>
  <c r="I389" i="517"/>
  <c r="I502" i="517"/>
  <c r="I485" i="521"/>
  <c r="I428" i="519"/>
  <c r="I474" i="519"/>
  <c r="I470" i="518"/>
  <c r="D37" i="247"/>
  <c r="K557" i="521"/>
  <c r="I464" i="519"/>
  <c r="I261" i="518"/>
  <c r="K691" i="523"/>
  <c r="K352" i="520"/>
  <c r="K597" i="518"/>
  <c r="L207" i="520"/>
  <c r="K416" i="520"/>
  <c r="K540" i="523"/>
  <c r="I611" i="519"/>
  <c r="A35" i="519"/>
  <c r="L529" i="519"/>
  <c r="I206" i="521"/>
  <c r="C135" i="247"/>
  <c r="L479" i="517"/>
  <c r="L118" i="517"/>
  <c r="I423" i="518"/>
  <c r="I205" i="519"/>
  <c r="M660" i="519"/>
  <c r="D517" i="247"/>
  <c r="L444" i="521"/>
  <c r="L163" i="523"/>
  <c r="I389" i="520"/>
  <c r="L478" i="520"/>
  <c r="J327" i="518"/>
  <c r="M634" i="519"/>
  <c r="K662" i="517"/>
  <c r="K156" i="523"/>
  <c r="L392" i="520"/>
  <c r="I410" i="520"/>
  <c r="K38" i="523"/>
  <c r="D559" i="247"/>
  <c r="M175" i="517"/>
  <c r="F19" i="523"/>
  <c r="J187" i="521"/>
  <c r="C247" i="247"/>
  <c r="L161" i="518"/>
  <c r="J319" i="520"/>
  <c r="K592" i="521"/>
  <c r="M684" i="523"/>
  <c r="J130" i="521"/>
  <c r="K273" i="523"/>
  <c r="M493" i="519"/>
  <c r="M43" i="523"/>
  <c r="C28" i="518"/>
  <c r="K505" i="520"/>
  <c r="J153" i="521"/>
  <c r="L115" i="520"/>
  <c r="M292" i="520"/>
  <c r="M596" i="517"/>
  <c r="I334" i="518"/>
  <c r="I67" i="518"/>
  <c r="K176" i="521"/>
  <c r="J247" i="519"/>
  <c r="I609" i="523"/>
  <c r="L22" i="519"/>
  <c r="C34" i="518"/>
  <c r="J594" i="523"/>
  <c r="M37" i="523"/>
  <c r="I581" i="518"/>
  <c r="M423" i="521"/>
  <c r="M533" i="519"/>
  <c r="J693" i="521"/>
  <c r="K162" i="520"/>
  <c r="J510" i="521"/>
  <c r="J113" i="517"/>
  <c r="J469" i="523"/>
  <c r="M356" i="521"/>
  <c r="K315" i="523"/>
  <c r="I119" i="523"/>
  <c r="L613" i="523"/>
  <c r="K265" i="517"/>
  <c r="I547" i="523"/>
  <c r="J330" i="521"/>
  <c r="M640" i="519"/>
  <c r="J11" i="518"/>
  <c r="C320" i="247"/>
  <c r="J38" i="520"/>
  <c r="J291" i="517"/>
  <c r="I63" i="517"/>
  <c r="J203" i="518"/>
  <c r="H10" i="520"/>
  <c r="F19" i="517"/>
  <c r="L777" i="523"/>
  <c r="M164" i="517"/>
  <c r="L13" i="518"/>
  <c r="K341" i="519"/>
  <c r="M397" i="523"/>
  <c r="M232" i="521"/>
  <c r="M679" i="518"/>
  <c r="L135" i="518"/>
  <c r="M243" i="523"/>
  <c r="M470" i="523"/>
  <c r="L63" i="523"/>
  <c r="J296" i="520"/>
  <c r="L43" i="519"/>
  <c r="I640" i="521"/>
  <c r="J127" i="520"/>
  <c r="F8" i="520"/>
  <c r="D65" i="247"/>
  <c r="L614" i="519"/>
  <c r="K544" i="519"/>
  <c r="M405" i="523"/>
  <c r="J465" i="521"/>
  <c r="M499" i="521"/>
  <c r="K610" i="518"/>
  <c r="M340" i="521"/>
  <c r="K338" i="518"/>
  <c r="I331" i="517"/>
  <c r="K658" i="518"/>
  <c r="I411" i="523"/>
  <c r="C83" i="247"/>
  <c r="K147" i="518"/>
  <c r="J257" i="518"/>
  <c r="M650" i="519"/>
  <c r="K453" i="523"/>
  <c r="L113" i="521"/>
  <c r="J544" i="521"/>
  <c r="L252" i="518"/>
  <c r="L659" i="520"/>
  <c r="M329" i="518"/>
  <c r="M195" i="521"/>
  <c r="K30" i="520"/>
  <c r="I492" i="518"/>
  <c r="J221" i="518"/>
  <c r="I509" i="520"/>
  <c r="K519" i="523"/>
  <c r="L661" i="523"/>
  <c r="L14" i="518"/>
  <c r="M36" i="518"/>
  <c r="J640" i="519"/>
  <c r="K150" i="518"/>
  <c r="M205" i="519"/>
  <c r="L608" i="518"/>
  <c r="M552" i="523"/>
  <c r="K645" i="519"/>
  <c r="M656" i="523"/>
  <c r="I242" i="517"/>
  <c r="J201" i="518"/>
  <c r="L663" i="518"/>
  <c r="K470" i="521"/>
  <c r="M140" i="519"/>
  <c r="L500" i="520"/>
  <c r="L272" i="517"/>
  <c r="J403" i="518"/>
  <c r="K538" i="520"/>
  <c r="L260" i="521"/>
  <c r="J551" i="521"/>
  <c r="L130" i="521"/>
  <c r="L679" i="518"/>
  <c r="K105" i="523"/>
  <c r="I474" i="518"/>
  <c r="I475" i="518"/>
  <c r="M120" i="523"/>
  <c r="I599" i="521"/>
  <c r="I217" i="517"/>
  <c r="I297" i="518"/>
  <c r="L58" i="519"/>
  <c r="I472" i="517"/>
  <c r="K146" i="519"/>
  <c r="M544" i="518"/>
  <c r="M375" i="518"/>
  <c r="L372" i="520"/>
  <c r="I677" i="517"/>
  <c r="K616" i="520"/>
  <c r="L314" i="520"/>
  <c r="M545" i="520"/>
  <c r="J289" i="518"/>
  <c r="D236" i="247"/>
  <c r="K308" i="523"/>
  <c r="J369" i="517"/>
  <c r="K576" i="518"/>
  <c r="J376" i="517"/>
  <c r="J409" i="517"/>
  <c r="J453" i="521"/>
  <c r="L243" i="519"/>
  <c r="D510" i="247"/>
  <c r="I36" i="518"/>
  <c r="J313" i="520"/>
  <c r="L224" i="517"/>
  <c r="L492" i="517"/>
  <c r="I689" i="518"/>
  <c r="K462" i="521"/>
  <c r="L673" i="519"/>
  <c r="J20" i="523"/>
  <c r="J660" i="520"/>
  <c r="L424" i="519"/>
  <c r="K306" i="519"/>
  <c r="L483" i="519"/>
  <c r="J181" i="518"/>
  <c r="M394" i="518"/>
  <c r="M97" i="517"/>
  <c r="J279" i="518"/>
  <c r="J111" i="521"/>
  <c r="J570" i="517"/>
  <c r="K356" i="519"/>
  <c r="I357" i="521"/>
  <c r="M489" i="519"/>
  <c r="J140" i="520"/>
  <c r="L535" i="523"/>
  <c r="M548" i="518"/>
  <c r="L645" i="521"/>
  <c r="L74" i="520"/>
  <c r="L637" i="520"/>
  <c r="K336" i="523"/>
  <c r="J391" i="520"/>
  <c r="K460" i="518"/>
  <c r="I4" i="519"/>
  <c r="J91" i="518"/>
  <c r="C29" i="517"/>
  <c r="I99" i="518"/>
  <c r="K80" i="523"/>
  <c r="J533" i="517"/>
  <c r="A13" i="518"/>
  <c r="L343" i="518"/>
  <c r="K218" i="521"/>
  <c r="K135" i="517"/>
  <c r="K249" i="517"/>
  <c r="K29" i="518"/>
  <c r="J44" i="523"/>
  <c r="M497" i="518"/>
  <c r="J195" i="518"/>
  <c r="J587" i="520"/>
  <c r="C129" i="247"/>
  <c r="I165" i="518"/>
  <c r="J129" i="523"/>
  <c r="K689" i="518"/>
  <c r="I697" i="523"/>
  <c r="L164" i="519"/>
  <c r="J567" i="518"/>
  <c r="J25" i="517"/>
  <c r="L350" i="519"/>
  <c r="M256" i="523"/>
  <c r="J463" i="518"/>
  <c r="J477" i="521"/>
  <c r="C27" i="518"/>
  <c r="M691" i="521"/>
  <c r="A5" i="518"/>
  <c r="L307" i="517"/>
  <c r="J387" i="518"/>
  <c r="J435" i="519"/>
  <c r="J157" i="520"/>
  <c r="I280" i="518"/>
  <c r="I153" i="517"/>
  <c r="J25" i="519"/>
  <c r="M361" i="520"/>
  <c r="M272" i="518"/>
  <c r="J197" i="519"/>
  <c r="L420" i="520"/>
  <c r="J289" i="521"/>
  <c r="I442" i="520"/>
  <c r="M76" i="521"/>
  <c r="I83" i="523"/>
  <c r="D126" i="247"/>
  <c r="J189" i="519"/>
  <c r="L575" i="523"/>
  <c r="J574" i="521"/>
  <c r="C483" i="247"/>
  <c r="J543" i="520"/>
  <c r="C137" i="247"/>
  <c r="L349" i="520"/>
  <c r="K208" i="523"/>
  <c r="I461" i="523"/>
  <c r="I677" i="520"/>
  <c r="D188" i="247"/>
  <c r="F26" i="521"/>
  <c r="M556" i="519"/>
  <c r="J627" i="521"/>
  <c r="I335" i="520"/>
  <c r="M166" i="519"/>
  <c r="I142" i="517"/>
  <c r="M389" i="517"/>
  <c r="J221" i="521"/>
  <c r="J71" i="517"/>
  <c r="I303" i="520"/>
  <c r="K483" i="517"/>
  <c r="L325" i="519"/>
  <c r="M632" i="520"/>
  <c r="C453" i="247"/>
  <c r="I397" i="520"/>
  <c r="J582" i="523"/>
  <c r="M503" i="518"/>
  <c r="L232" i="518"/>
  <c r="L338" i="521"/>
  <c r="I427" i="520"/>
  <c r="M834" i="523"/>
  <c r="C43" i="523"/>
  <c r="J506" i="518"/>
  <c r="C86" i="247"/>
  <c r="I225" i="521"/>
  <c r="K420" i="519"/>
  <c r="K228" i="520"/>
  <c r="M384" i="518"/>
  <c r="L392" i="518"/>
  <c r="I582" i="518"/>
  <c r="I116" i="521"/>
  <c r="L584" i="523"/>
  <c r="K279" i="523"/>
  <c r="I345" i="519"/>
  <c r="I50" i="518"/>
  <c r="J40" i="523"/>
  <c r="C472" i="247"/>
  <c r="L194" i="520"/>
  <c r="J166" i="517"/>
  <c r="K599" i="520"/>
  <c r="A16" i="523"/>
  <c r="I624" i="517"/>
  <c r="K417" i="517"/>
  <c r="M693" i="521"/>
  <c r="G19" i="520"/>
  <c r="I279" i="519"/>
  <c r="M157" i="518"/>
  <c r="J21" i="519"/>
  <c r="C40" i="518"/>
  <c r="K273" i="518"/>
  <c r="L15" i="517"/>
  <c r="I392" i="521"/>
  <c r="L386" i="519"/>
  <c r="K611" i="521"/>
  <c r="M122" i="518"/>
  <c r="C8" i="521"/>
  <c r="I20" i="521"/>
  <c r="M686" i="523"/>
  <c r="C19" i="520"/>
  <c r="J305" i="518"/>
  <c r="I84" i="517"/>
  <c r="J640" i="521"/>
  <c r="I338" i="518"/>
  <c r="J257" i="523"/>
  <c r="I574" i="518"/>
  <c r="K489" i="519"/>
  <c r="L520" i="517"/>
  <c r="J535" i="520"/>
  <c r="J569" i="519"/>
  <c r="J414" i="521"/>
  <c r="K458" i="521"/>
  <c r="J17" i="520"/>
  <c r="I328" i="523"/>
  <c r="J51" i="523"/>
  <c r="I576" i="518"/>
  <c r="J621" i="520"/>
  <c r="J497" i="517"/>
  <c r="J503" i="519"/>
  <c r="J478" i="523"/>
  <c r="I163" i="523"/>
  <c r="M133" i="520"/>
  <c r="J278" i="517"/>
  <c r="L250" i="517"/>
  <c r="K180" i="521"/>
  <c r="J40" i="517"/>
  <c r="J554" i="520"/>
  <c r="L213" i="521"/>
  <c r="K59" i="520"/>
  <c r="M59" i="519"/>
  <c r="M354" i="519"/>
  <c r="M491" i="521"/>
  <c r="J226" i="517"/>
  <c r="J129" i="518"/>
  <c r="K375" i="518"/>
  <c r="J532" i="521"/>
  <c r="J312" i="520"/>
  <c r="M149" i="517"/>
  <c r="K368" i="521"/>
  <c r="K329" i="519"/>
  <c r="I24" i="519"/>
  <c r="L573" i="517"/>
  <c r="M611" i="521"/>
  <c r="K56" i="518"/>
  <c r="I101" i="519"/>
  <c r="J56" i="517"/>
  <c r="C39" i="517"/>
  <c r="I373" i="520"/>
  <c r="D182" i="247"/>
  <c r="L51" i="517"/>
  <c r="J530" i="519"/>
  <c r="K330" i="518"/>
  <c r="K402" i="518"/>
  <c r="M319" i="518"/>
  <c r="M446" i="519"/>
  <c r="I141" i="523"/>
  <c r="J87" i="520"/>
  <c r="L673" i="520"/>
  <c r="J654" i="518"/>
  <c r="K55" i="518"/>
  <c r="J635" i="519"/>
  <c r="I539" i="517"/>
  <c r="M63" i="520"/>
  <c r="I436" i="517"/>
  <c r="M348" i="521"/>
  <c r="J621" i="519"/>
  <c r="M385" i="520"/>
  <c r="K412" i="520"/>
  <c r="C443" i="247"/>
  <c r="I571" i="520"/>
  <c r="K517" i="521"/>
  <c r="H20" i="523"/>
  <c r="K14" i="519"/>
  <c r="I194" i="518"/>
  <c r="M128" i="523"/>
  <c r="K243" i="521"/>
  <c r="K681" i="517"/>
  <c r="J493" i="520"/>
  <c r="J271" i="518"/>
  <c r="K274" i="521"/>
  <c r="D299" i="247"/>
  <c r="J560" i="520"/>
  <c r="K272" i="521"/>
  <c r="J32" i="521"/>
  <c r="L173" i="523"/>
  <c r="J572" i="517"/>
  <c r="K62" i="518"/>
  <c r="I721" i="523"/>
  <c r="D298" i="247"/>
  <c r="K831" i="523"/>
  <c r="L580" i="519"/>
  <c r="L71" i="519"/>
  <c r="K125" i="523"/>
  <c r="A16" i="521"/>
  <c r="I93" i="518"/>
  <c r="L504" i="519"/>
  <c r="M531" i="519"/>
  <c r="I69" i="520"/>
  <c r="M526" i="517"/>
  <c r="C307" i="247"/>
  <c r="I109" i="517"/>
  <c r="I176" i="520"/>
  <c r="I425" i="517"/>
  <c r="L203" i="518"/>
  <c r="J496" i="523"/>
  <c r="K450" i="517"/>
  <c r="K609" i="520"/>
  <c r="L174" i="523"/>
  <c r="L611" i="517"/>
  <c r="M581" i="518"/>
  <c r="I89" i="519"/>
  <c r="I22" i="520"/>
  <c r="C3" i="507"/>
  <c r="K130" i="517"/>
  <c r="J47" i="517"/>
  <c r="K324" i="521"/>
  <c r="K284" i="518"/>
  <c r="J583" i="517"/>
  <c r="I70" i="520"/>
  <c r="M9" i="523"/>
  <c r="I575" i="519"/>
  <c r="J664" i="523"/>
  <c r="L501" i="523"/>
  <c r="E11" i="518"/>
  <c r="K382" i="520"/>
  <c r="K820" i="523"/>
  <c r="L136" i="518"/>
  <c r="L295" i="523"/>
  <c r="M645" i="523"/>
  <c r="L140" i="519"/>
  <c r="I674" i="517"/>
  <c r="I453" i="517"/>
  <c r="K181" i="523"/>
  <c r="M669" i="523"/>
  <c r="M258" i="519"/>
  <c r="D443" i="247"/>
  <c r="K102" i="520"/>
  <c r="M576" i="518"/>
  <c r="I647" i="520"/>
  <c r="M465" i="517"/>
  <c r="J25" i="518"/>
  <c r="J74" i="519"/>
  <c r="I521" i="519"/>
  <c r="M27" i="521"/>
  <c r="L427" i="521"/>
  <c r="K575" i="518"/>
  <c r="I335" i="523"/>
  <c r="I508" i="519"/>
  <c r="M301" i="517"/>
  <c r="K209" i="523"/>
  <c r="L476" i="519"/>
  <c r="K183" i="523"/>
  <c r="M508" i="517"/>
  <c r="L422" i="518"/>
  <c r="L10" i="520"/>
  <c r="L125" i="520"/>
  <c r="L331" i="517"/>
  <c r="G11" i="519"/>
  <c r="D91" i="247"/>
  <c r="I156" i="517"/>
  <c r="I213" i="519"/>
  <c r="K719" i="523"/>
  <c r="I311" i="519"/>
  <c r="J490" i="521"/>
  <c r="J110" i="517"/>
  <c r="L222" i="520"/>
  <c r="D505" i="247"/>
  <c r="I625" i="519"/>
  <c r="K431" i="518"/>
  <c r="M668" i="523"/>
  <c r="K676" i="520"/>
  <c r="L360" i="519"/>
  <c r="K75" i="523"/>
  <c r="M611" i="518"/>
  <c r="D486" i="247"/>
  <c r="I291" i="519"/>
  <c r="J255" i="519"/>
  <c r="I296" i="520"/>
  <c r="M323" i="523"/>
  <c r="K110" i="521"/>
  <c r="M68" i="523"/>
  <c r="C557" i="247"/>
  <c r="I86" i="523"/>
  <c r="J462" i="521"/>
  <c r="K419" i="519"/>
  <c r="L558" i="520"/>
  <c r="M453" i="518"/>
  <c r="M96" i="523"/>
  <c r="I65" i="523"/>
  <c r="K472" i="520"/>
  <c r="L634" i="520"/>
  <c r="J225" i="517"/>
  <c r="J290" i="517"/>
  <c r="K512" i="521"/>
  <c r="K335" i="523"/>
  <c r="J671" i="519"/>
  <c r="J280" i="521"/>
  <c r="J342" i="520"/>
  <c r="K140" i="520"/>
  <c r="K510" i="517"/>
  <c r="L648" i="521"/>
  <c r="I464" i="523"/>
  <c r="M429" i="521"/>
  <c r="J180" i="520"/>
  <c r="M457" i="523"/>
  <c r="J417" i="520"/>
  <c r="J462" i="518"/>
  <c r="J340" i="519"/>
  <c r="L142" i="518"/>
  <c r="M448" i="520"/>
  <c r="M607" i="521"/>
  <c r="M80" i="523"/>
  <c r="I341" i="517"/>
  <c r="I249" i="519"/>
  <c r="M408" i="519"/>
  <c r="M378" i="519"/>
  <c r="M114" i="519"/>
  <c r="L608" i="519"/>
  <c r="K193" i="518"/>
  <c r="J60" i="520"/>
  <c r="I620" i="518"/>
  <c r="I678" i="520"/>
  <c r="M72" i="521"/>
  <c r="C38" i="521"/>
  <c r="F28" i="520"/>
  <c r="I672" i="519"/>
  <c r="I628" i="521"/>
  <c r="L208" i="521"/>
  <c r="K343" i="523"/>
  <c r="K208" i="520"/>
  <c r="I322" i="523"/>
  <c r="I287" i="523"/>
  <c r="M79" i="520"/>
  <c r="J636" i="518"/>
  <c r="J108" i="521"/>
  <c r="M719" i="523"/>
  <c r="J456" i="518"/>
  <c r="M528" i="519"/>
  <c r="L32" i="523"/>
  <c r="M326" i="517"/>
  <c r="J831" i="523"/>
  <c r="M251" i="521"/>
  <c r="I387" i="518"/>
  <c r="M344" i="517"/>
  <c r="J165" i="520"/>
  <c r="J829" i="523"/>
  <c r="M449" i="518"/>
  <c r="M219" i="520"/>
  <c r="I32" i="520"/>
  <c r="K468" i="521"/>
  <c r="I181" i="520"/>
  <c r="K223" i="520"/>
  <c r="C487" i="247"/>
  <c r="J614" i="517"/>
  <c r="I582" i="523"/>
  <c r="J173" i="523"/>
  <c r="M430" i="521"/>
  <c r="J128" i="521"/>
  <c r="K160" i="523"/>
  <c r="I212" i="523"/>
  <c r="M372" i="521"/>
  <c r="L365" i="519"/>
  <c r="L495" i="519"/>
  <c r="M191" i="518"/>
  <c r="L356" i="519"/>
  <c r="L219" i="520"/>
  <c r="I677" i="523"/>
  <c r="K688" i="517"/>
  <c r="L508" i="520"/>
  <c r="M543" i="517"/>
  <c r="L643" i="518"/>
  <c r="L15" i="521"/>
  <c r="C20" i="518"/>
  <c r="I246" i="518"/>
  <c r="K129" i="523"/>
  <c r="K669" i="520"/>
  <c r="K318" i="523"/>
  <c r="J4" i="518"/>
  <c r="A14" i="521"/>
  <c r="L342" i="521"/>
  <c r="K55" i="517"/>
  <c r="L475" i="518"/>
  <c r="I442" i="521"/>
  <c r="K653" i="520"/>
  <c r="J416" i="521"/>
  <c r="K45" i="519"/>
  <c r="L616" i="519"/>
  <c r="M463" i="519"/>
  <c r="M612" i="521"/>
  <c r="L248" i="523"/>
  <c r="H19" i="520"/>
  <c r="I529" i="519"/>
  <c r="M490" i="518"/>
  <c r="L69" i="517"/>
  <c r="K665" i="517"/>
  <c r="I315" i="520"/>
  <c r="K300" i="523"/>
  <c r="K427" i="521"/>
  <c r="I657" i="523"/>
  <c r="L399" i="523"/>
  <c r="I264" i="519"/>
  <c r="L575" i="517"/>
  <c r="K123" i="521"/>
  <c r="K651" i="523"/>
  <c r="I131" i="523"/>
  <c r="K176" i="518"/>
  <c r="J634" i="523"/>
  <c r="D89" i="247"/>
  <c r="M245" i="521"/>
  <c r="C498" i="247"/>
  <c r="J76" i="517"/>
  <c r="E7" i="521"/>
  <c r="L491" i="523"/>
  <c r="L114" i="523"/>
  <c r="I202" i="519"/>
  <c r="M425" i="521"/>
  <c r="L161" i="523"/>
  <c r="J676" i="521"/>
  <c r="I263" i="523"/>
  <c r="K346" i="518"/>
  <c r="I669" i="517"/>
  <c r="J517" i="518"/>
  <c r="C471" i="247"/>
  <c r="J323" i="519"/>
  <c r="K176" i="517"/>
  <c r="L232" i="523"/>
  <c r="I326" i="520"/>
  <c r="C556" i="247"/>
  <c r="M558" i="519"/>
  <c r="K222" i="517"/>
  <c r="J66" i="523"/>
  <c r="L226" i="521"/>
  <c r="J252" i="523"/>
  <c r="D564" i="247"/>
  <c r="L485" i="520"/>
  <c r="L188" i="520"/>
  <c r="A24" i="517"/>
  <c r="J369" i="518"/>
  <c r="I301" i="520"/>
  <c r="M502" i="518"/>
  <c r="J273" i="517"/>
  <c r="K233" i="520"/>
  <c r="J285" i="520"/>
  <c r="L632" i="520"/>
  <c r="H24" i="521"/>
  <c r="M227" i="520"/>
  <c r="C379" i="247"/>
  <c r="L499" i="523"/>
  <c r="L810" i="523"/>
  <c r="J466" i="517"/>
  <c r="K54" i="523"/>
  <c r="M242" i="520"/>
  <c r="J452" i="521"/>
  <c r="C236" i="247"/>
  <c r="I26" i="521"/>
  <c r="D544" i="247"/>
  <c r="I433" i="519"/>
  <c r="M417" i="520"/>
  <c r="I261" i="521"/>
  <c r="J762" i="523"/>
  <c r="L124" i="520"/>
  <c r="J189" i="520"/>
  <c r="M577" i="521"/>
  <c r="K547" i="523"/>
  <c r="D125" i="247"/>
  <c r="I208" i="519"/>
  <c r="J500" i="519"/>
  <c r="H11" i="517"/>
  <c r="L487" i="519"/>
  <c r="L415" i="519"/>
  <c r="L660" i="523"/>
  <c r="M555" i="517"/>
  <c r="I641" i="519"/>
  <c r="C12" i="517"/>
  <c r="M484" i="517"/>
  <c r="M193" i="517"/>
  <c r="L80" i="517"/>
  <c r="A24" i="518"/>
  <c r="I606" i="517"/>
  <c r="J650" i="517"/>
  <c r="M791" i="523"/>
  <c r="L148" i="518"/>
  <c r="M461" i="518"/>
  <c r="K452" i="517"/>
  <c r="K168" i="521"/>
  <c r="L663" i="520"/>
  <c r="K381" i="518"/>
  <c r="D350" i="247"/>
  <c r="M62" i="519"/>
  <c r="M619" i="517"/>
  <c r="J539" i="517"/>
  <c r="K630" i="517"/>
  <c r="K548" i="523"/>
  <c r="K428" i="517"/>
  <c r="K255" i="520"/>
  <c r="M644" i="520"/>
  <c r="M165" i="519"/>
  <c r="J30" i="520"/>
  <c r="J214" i="519"/>
  <c r="M672" i="523"/>
  <c r="I308" i="518"/>
  <c r="J146" i="519"/>
  <c r="D429" i="247"/>
  <c r="M780" i="523"/>
  <c r="M445" i="517"/>
  <c r="I630" i="523"/>
  <c r="I281" i="518"/>
  <c r="L387" i="523"/>
  <c r="M251" i="523"/>
  <c r="K207" i="519"/>
  <c r="K466" i="521"/>
  <c r="J538" i="521"/>
  <c r="M155" i="521"/>
  <c r="J519" i="521"/>
  <c r="L223" i="518"/>
  <c r="M601" i="519"/>
  <c r="I122" i="520"/>
  <c r="K317" i="517"/>
  <c r="I257" i="520"/>
  <c r="M464" i="517"/>
  <c r="J461" i="521"/>
  <c r="L793" i="523"/>
  <c r="C10" i="520"/>
  <c r="J231" i="518"/>
  <c r="J617" i="523"/>
  <c r="K72" i="521"/>
  <c r="D277" i="247"/>
  <c r="M131" i="520"/>
  <c r="I56" i="523"/>
  <c r="L623" i="517"/>
  <c r="K86" i="517"/>
  <c r="K173" i="523"/>
  <c r="M114" i="517"/>
  <c r="L108" i="519"/>
  <c r="J52" i="520"/>
  <c r="J513" i="518"/>
  <c r="B4" i="482"/>
  <c r="K659" i="518"/>
  <c r="I406" i="519"/>
  <c r="L132" i="523"/>
  <c r="K86" i="518"/>
  <c r="J377" i="517"/>
  <c r="A19" i="517"/>
  <c r="L294" i="519"/>
  <c r="M337" i="520"/>
  <c r="M664" i="518"/>
  <c r="I534" i="519"/>
  <c r="K518" i="518"/>
  <c r="I650" i="520"/>
  <c r="M306" i="523"/>
  <c r="M541" i="521"/>
  <c r="K556" i="517"/>
  <c r="L574" i="520"/>
  <c r="L347" i="518"/>
  <c r="M543" i="518"/>
  <c r="M53" i="517"/>
  <c r="K640" i="518"/>
  <c r="K347" i="523"/>
  <c r="I483" i="521"/>
  <c r="M321" i="523"/>
  <c r="J406" i="519"/>
  <c r="J401" i="521"/>
  <c r="K261" i="518"/>
  <c r="K71" i="518"/>
  <c r="L12" i="520"/>
  <c r="L369" i="523"/>
  <c r="M179" i="521"/>
  <c r="I647" i="519"/>
  <c r="I216" i="517"/>
  <c r="L432" i="520"/>
  <c r="M647" i="518"/>
  <c r="L490" i="521"/>
  <c r="L59" i="519"/>
  <c r="L88" i="519"/>
  <c r="K630" i="521"/>
  <c r="M618" i="520"/>
  <c r="J638" i="523"/>
  <c r="L151" i="519"/>
  <c r="L533" i="523"/>
  <c r="L148" i="520"/>
  <c r="L490" i="523"/>
  <c r="M664" i="519"/>
  <c r="J196" i="517"/>
  <c r="M482" i="521"/>
  <c r="E10" i="521"/>
  <c r="I434" i="523"/>
  <c r="I325" i="520"/>
  <c r="L639" i="520"/>
  <c r="L293" i="523"/>
  <c r="L125" i="521"/>
  <c r="K108" i="521"/>
  <c r="M158" i="521"/>
  <c r="K484" i="517"/>
  <c r="L476" i="520"/>
  <c r="I288" i="517"/>
  <c r="J295" i="519"/>
  <c r="B7" i="482"/>
  <c r="L684" i="520"/>
  <c r="L551" i="518"/>
  <c r="K519" i="518"/>
  <c r="A19" i="520"/>
  <c r="L590" i="519"/>
  <c r="J272" i="523"/>
  <c r="D155" i="247"/>
  <c r="K839" i="523"/>
  <c r="M406" i="519"/>
  <c r="C372" i="247"/>
  <c r="J738" i="523"/>
  <c r="K605" i="523"/>
  <c r="M536" i="521"/>
  <c r="K453" i="520"/>
  <c r="K634" i="518"/>
  <c r="K441" i="521"/>
  <c r="K571" i="518"/>
  <c r="M435" i="517"/>
  <c r="M254" i="518"/>
  <c r="I592" i="520"/>
  <c r="K211" i="519"/>
  <c r="D552" i="247"/>
  <c r="K160" i="517"/>
  <c r="I695" i="520"/>
  <c r="L363" i="519"/>
  <c r="A8" i="519"/>
  <c r="J680" i="519"/>
  <c r="J410" i="518"/>
  <c r="K629" i="519"/>
  <c r="K374" i="518"/>
  <c r="K299" i="517"/>
  <c r="K256" i="523"/>
  <c r="J252" i="518"/>
  <c r="J362" i="523"/>
  <c r="J435" i="520"/>
  <c r="I514" i="517"/>
  <c r="C536" i="247"/>
  <c r="K170" i="523"/>
  <c r="M580" i="523"/>
  <c r="A5" i="521"/>
  <c r="L36" i="520"/>
  <c r="K333" i="523"/>
  <c r="J478" i="517"/>
  <c r="M408" i="523"/>
  <c r="I435" i="520"/>
  <c r="K558" i="519"/>
  <c r="C433" i="247"/>
  <c r="J206" i="517"/>
  <c r="L687" i="521"/>
  <c r="L565" i="520"/>
  <c r="H25" i="518"/>
  <c r="L555" i="518"/>
  <c r="K78" i="517"/>
  <c r="K28" i="517"/>
  <c r="L91" i="517"/>
  <c r="M94" i="518"/>
  <c r="I546" i="521"/>
  <c r="G4" i="523"/>
  <c r="J101" i="518"/>
  <c r="L21" i="521"/>
  <c r="I805" i="523"/>
  <c r="M325" i="517"/>
  <c r="K37" i="517"/>
  <c r="L111" i="520"/>
  <c r="L157" i="517"/>
  <c r="L544" i="517"/>
  <c r="K44" i="517"/>
  <c r="K264" i="521"/>
  <c r="I28" i="518"/>
  <c r="L166" i="520"/>
  <c r="K247" i="521"/>
  <c r="J258" i="520"/>
  <c r="I251" i="523"/>
  <c r="J312" i="519"/>
  <c r="K8" i="520"/>
  <c r="L343" i="520"/>
  <c r="L768" i="523"/>
  <c r="M155" i="523"/>
  <c r="I638" i="521"/>
  <c r="L411" i="523"/>
  <c r="L77" i="521"/>
  <c r="I210" i="521"/>
  <c r="I762" i="523"/>
  <c r="L171" i="517"/>
  <c r="I482" i="521"/>
  <c r="P28" i="3"/>
  <c r="J199" i="518"/>
  <c r="J461" i="519"/>
  <c r="J538" i="518"/>
  <c r="M363" i="519"/>
  <c r="K595" i="519"/>
  <c r="I510" i="517"/>
  <c r="L240" i="517"/>
  <c r="I294" i="523"/>
  <c r="M339" i="520"/>
  <c r="M149" i="519"/>
  <c r="M366" i="519"/>
  <c r="I220" i="519"/>
  <c r="M466" i="520"/>
  <c r="L497" i="518"/>
  <c r="K45" i="521"/>
  <c r="M285" i="523"/>
  <c r="J264" i="517"/>
  <c r="J238" i="521"/>
  <c r="C9" i="520"/>
  <c r="M341" i="521"/>
  <c r="J631" i="520"/>
  <c r="I238" i="521"/>
  <c r="J285" i="521"/>
  <c r="J6" i="521"/>
  <c r="C21" i="521"/>
  <c r="K503" i="520"/>
  <c r="J314" i="519"/>
  <c r="I119" i="521"/>
  <c r="J35" i="523"/>
  <c r="M187" i="517"/>
  <c r="L255" i="523"/>
  <c r="I552" i="521"/>
  <c r="M484" i="523"/>
  <c r="J451" i="521"/>
  <c r="K439" i="519"/>
  <c r="C193" i="247"/>
  <c r="M694" i="523"/>
  <c r="I78" i="521"/>
  <c r="L201" i="519"/>
  <c r="J202" i="518"/>
  <c r="I611" i="520"/>
  <c r="L573" i="523"/>
  <c r="M565" i="523"/>
  <c r="I670" i="523"/>
  <c r="I544" i="519"/>
  <c r="J438" i="520"/>
  <c r="K527" i="517"/>
  <c r="D312" i="247"/>
  <c r="L494" i="523"/>
  <c r="K563" i="520"/>
  <c r="L133" i="519"/>
  <c r="K479" i="517"/>
  <c r="I552" i="523"/>
  <c r="M233" i="521"/>
  <c r="I188" i="519"/>
  <c r="K121" i="523"/>
  <c r="I43" i="517"/>
  <c r="L281" i="521"/>
  <c r="J392" i="517"/>
  <c r="L828" i="523"/>
  <c r="M239" i="523"/>
  <c r="K37" i="520"/>
  <c r="L379" i="523"/>
  <c r="M71" i="519"/>
  <c r="K324" i="518"/>
  <c r="M438" i="521"/>
  <c r="K588" i="523"/>
  <c r="K597" i="517"/>
  <c r="M222" i="519"/>
  <c r="K161" i="519"/>
  <c r="I431" i="519"/>
  <c r="M570" i="517"/>
  <c r="J159" i="520"/>
  <c r="J583" i="521"/>
  <c r="K540" i="517"/>
  <c r="J545" i="518"/>
  <c r="L542" i="523"/>
  <c r="K566" i="521"/>
  <c r="M228" i="519"/>
  <c r="I467" i="523"/>
  <c r="I149" i="518"/>
  <c r="C38" i="247"/>
  <c r="F24" i="519"/>
  <c r="L202" i="517"/>
  <c r="J590" i="520"/>
  <c r="I153" i="519"/>
  <c r="L459" i="521"/>
  <c r="L408" i="520"/>
  <c r="M415" i="520"/>
  <c r="L321" i="518"/>
  <c r="M410" i="517"/>
  <c r="M564" i="519"/>
  <c r="L183" i="519"/>
  <c r="L162" i="521"/>
  <c r="K307" i="523"/>
  <c r="L215" i="517"/>
  <c r="M355" i="518"/>
  <c r="J524" i="519"/>
  <c r="J315" i="518"/>
  <c r="J548" i="521"/>
  <c r="C261" i="247"/>
  <c r="I383" i="521"/>
  <c r="I32" i="518"/>
  <c r="L487" i="521"/>
  <c r="I328" i="520"/>
  <c r="K342" i="520"/>
  <c r="K682" i="523"/>
  <c r="M549" i="518"/>
  <c r="M683" i="519"/>
  <c r="L51" i="523"/>
  <c r="Q31" i="3"/>
  <c r="J157" i="523"/>
  <c r="J500" i="520"/>
  <c r="L597" i="520"/>
  <c r="K230" i="517"/>
  <c r="D311" i="247"/>
  <c r="L503" i="521"/>
  <c r="J702" i="523"/>
  <c r="L241" i="520"/>
  <c r="M121" i="517"/>
  <c r="I236" i="518"/>
  <c r="M455" i="520"/>
  <c r="J471" i="521"/>
  <c r="K121" i="519"/>
  <c r="J619" i="518"/>
  <c r="J67" i="523"/>
  <c r="I272" i="521"/>
  <c r="I48" i="518"/>
  <c r="L522" i="521"/>
  <c r="L507" i="523"/>
  <c r="K202" i="520"/>
  <c r="M136" i="518"/>
  <c r="K51" i="520"/>
  <c r="K250" i="519"/>
  <c r="J281" i="519"/>
  <c r="I201" i="520"/>
  <c r="M51" i="521"/>
  <c r="L297" i="520"/>
  <c r="M562" i="519"/>
  <c r="I254" i="521"/>
  <c r="K416" i="519"/>
  <c r="I519" i="518"/>
  <c r="K290" i="523"/>
  <c r="M600" i="517"/>
  <c r="K547" i="518"/>
  <c r="L25" i="520"/>
  <c r="I361" i="519"/>
  <c r="J18" i="518"/>
  <c r="L333" i="521"/>
  <c r="M7" i="521"/>
  <c r="J108" i="523"/>
  <c r="L372" i="521"/>
  <c r="M682" i="521"/>
  <c r="M347" i="517"/>
  <c r="I226" i="517"/>
  <c r="I564" i="520"/>
  <c r="K739" i="523"/>
  <c r="I124" i="523"/>
  <c r="J378" i="523"/>
  <c r="A29" i="521"/>
  <c r="J459" i="518"/>
  <c r="L543" i="521"/>
  <c r="M360" i="520"/>
  <c r="M592" i="519"/>
  <c r="M325" i="518"/>
  <c r="L179" i="520"/>
  <c r="I78" i="519"/>
  <c r="L348" i="523"/>
  <c r="M247" i="520"/>
  <c r="J186" i="520"/>
  <c r="J15" i="523"/>
  <c r="K772" i="523"/>
  <c r="M177" i="523"/>
  <c r="I539" i="520"/>
  <c r="L240" i="518"/>
  <c r="L531" i="520"/>
  <c r="K249" i="519"/>
  <c r="I665" i="520"/>
  <c r="K805" i="523"/>
  <c r="L388" i="521"/>
  <c r="K531" i="521"/>
  <c r="J479" i="523"/>
  <c r="K14" i="517"/>
  <c r="I494" i="520"/>
  <c r="J483" i="523"/>
  <c r="M573" i="518"/>
  <c r="M414" i="518"/>
  <c r="L488" i="521"/>
  <c r="I625" i="521"/>
  <c r="K377" i="517"/>
  <c r="L279" i="518"/>
  <c r="M622" i="518"/>
  <c r="K744" i="523"/>
  <c r="A11" i="517"/>
  <c r="M141" i="518"/>
  <c r="L337" i="519"/>
  <c r="L267" i="521"/>
  <c r="I531" i="521"/>
  <c r="K487" i="523"/>
  <c r="M428" i="519"/>
  <c r="L495" i="517"/>
  <c r="H9" i="517"/>
  <c r="I664" i="521"/>
  <c r="K85" i="519"/>
  <c r="I590" i="518"/>
  <c r="K507" i="518"/>
  <c r="J669" i="520"/>
  <c r="K333" i="519"/>
  <c r="K12" i="520"/>
  <c r="J429" i="517"/>
  <c r="I583" i="523"/>
  <c r="K47" i="519"/>
  <c r="L203" i="519"/>
  <c r="M416" i="523"/>
  <c r="M435" i="521"/>
  <c r="K95" i="517"/>
  <c r="M251" i="519"/>
  <c r="A31" i="523"/>
  <c r="I644" i="523"/>
  <c r="K94" i="519"/>
  <c r="L267" i="519"/>
  <c r="J615" i="519"/>
  <c r="K125" i="519"/>
  <c r="M126" i="517"/>
  <c r="J66" i="520"/>
  <c r="L407" i="521"/>
  <c r="L388" i="519"/>
  <c r="C289" i="247"/>
  <c r="I589" i="521"/>
  <c r="M150" i="523"/>
  <c r="L259" i="519"/>
  <c r="K399" i="517"/>
  <c r="K188" i="520"/>
  <c r="J378" i="521"/>
  <c r="I256" i="523"/>
  <c r="J659" i="523"/>
  <c r="I271" i="523"/>
  <c r="M89" i="519"/>
  <c r="K522" i="523"/>
  <c r="M598" i="523"/>
  <c r="J118" i="520"/>
  <c r="L254" i="517"/>
  <c r="J143" i="519"/>
  <c r="J591" i="518"/>
  <c r="I214" i="521"/>
  <c r="M515" i="520"/>
  <c r="M152" i="519"/>
  <c r="J337" i="518"/>
  <c r="J584" i="523"/>
  <c r="J406" i="520"/>
  <c r="L671" i="518"/>
  <c r="C46" i="521"/>
  <c r="K15" i="519"/>
  <c r="I574" i="521"/>
  <c r="J329" i="523"/>
  <c r="K73" i="521"/>
  <c r="L147" i="521"/>
  <c r="I622" i="520"/>
  <c r="J266" i="518"/>
  <c r="J659" i="518"/>
  <c r="K647" i="520"/>
  <c r="L530" i="519"/>
  <c r="L221" i="523"/>
  <c r="K174" i="519"/>
  <c r="M305" i="518"/>
  <c r="K681" i="518"/>
  <c r="I112" i="523"/>
  <c r="I755" i="523"/>
  <c r="M383" i="517"/>
  <c r="I260" i="518"/>
  <c r="L352" i="523"/>
  <c r="L200" i="523"/>
  <c r="L640" i="517"/>
  <c r="I579" i="523"/>
  <c r="K576" i="520"/>
  <c r="L98" i="519"/>
  <c r="K835" i="523"/>
  <c r="C105" i="247"/>
  <c r="M675" i="517"/>
  <c r="M540" i="521"/>
  <c r="I135" i="517"/>
  <c r="J255" i="520"/>
  <c r="J339" i="523"/>
  <c r="K306" i="518"/>
  <c r="I88" i="521"/>
  <c r="I243" i="520"/>
  <c r="K141" i="520"/>
  <c r="J23" i="520"/>
  <c r="L240" i="520"/>
  <c r="M351" i="520"/>
  <c r="K446" i="520"/>
  <c r="M93" i="519"/>
  <c r="M370" i="519"/>
  <c r="K401" i="517"/>
  <c r="M413" i="521"/>
  <c r="J680" i="520"/>
  <c r="C47" i="519"/>
  <c r="J513" i="521"/>
  <c r="J96" i="517"/>
  <c r="K204" i="521"/>
  <c r="M182" i="520"/>
  <c r="M606" i="523"/>
  <c r="I602" i="519"/>
  <c r="K132" i="517"/>
  <c r="L170" i="520"/>
  <c r="K186" i="523"/>
  <c r="I591" i="517"/>
  <c r="J303" i="517"/>
  <c r="M209" i="517"/>
  <c r="J664" i="518"/>
  <c r="L140" i="517"/>
  <c r="C299" i="247"/>
  <c r="I292" i="517"/>
  <c r="J124" i="523"/>
  <c r="M29" i="523"/>
  <c r="I675" i="518"/>
  <c r="L609" i="517"/>
  <c r="L522" i="519"/>
  <c r="L232" i="521"/>
  <c r="K104" i="519"/>
  <c r="K146" i="518"/>
  <c r="I502" i="519"/>
  <c r="M168" i="518"/>
  <c r="K352" i="519"/>
  <c r="M642" i="518"/>
  <c r="M506" i="520"/>
  <c r="K572" i="523"/>
  <c r="I371" i="523"/>
  <c r="M186" i="518"/>
  <c r="M239" i="518"/>
  <c r="J753" i="523"/>
  <c r="L522" i="517"/>
  <c r="K309" i="523"/>
  <c r="L668" i="521"/>
  <c r="I406" i="517"/>
  <c r="L301" i="518"/>
  <c r="M438" i="517"/>
  <c r="K558" i="518"/>
  <c r="I658" i="519"/>
  <c r="L158" i="523"/>
  <c r="J448" i="517"/>
  <c r="K269" i="517"/>
  <c r="M610" i="517"/>
  <c r="M168" i="520"/>
  <c r="M397" i="518"/>
  <c r="L438" i="518"/>
  <c r="M32" i="517"/>
  <c r="C199" i="247"/>
  <c r="J509" i="521"/>
  <c r="M144" i="517"/>
  <c r="K429" i="523"/>
  <c r="K651" i="520"/>
  <c r="J620" i="521"/>
  <c r="M279" i="523"/>
  <c r="J5" i="521"/>
  <c r="J645" i="517"/>
  <c r="I276" i="521"/>
  <c r="L235" i="523"/>
  <c r="K301" i="517"/>
  <c r="K680" i="519"/>
  <c r="M82" i="523"/>
  <c r="K190" i="519"/>
  <c r="J134" i="523"/>
  <c r="I413" i="523"/>
  <c r="J156" i="523"/>
  <c r="M300" i="523"/>
  <c r="J299" i="520"/>
  <c r="L255" i="517"/>
  <c r="I325" i="517"/>
  <c r="L378" i="519"/>
  <c r="I22" i="519"/>
  <c r="K99" i="518"/>
  <c r="J90" i="521"/>
  <c r="J291" i="518"/>
  <c r="D56" i="247"/>
  <c r="J79" i="521"/>
  <c r="J519" i="519"/>
  <c r="K472" i="518"/>
  <c r="I77" i="521"/>
  <c r="M481" i="518"/>
  <c r="K630" i="519"/>
  <c r="J76" i="518"/>
  <c r="I440" i="519"/>
  <c r="C134" i="247"/>
  <c r="J101" i="517"/>
  <c r="K267" i="518"/>
  <c r="K363" i="523"/>
  <c r="J446" i="523"/>
  <c r="L823" i="523"/>
  <c r="L88" i="517"/>
  <c r="K656" i="521"/>
  <c r="A27" i="523"/>
  <c r="K31" i="520"/>
  <c r="M426" i="521"/>
  <c r="M213" i="520"/>
  <c r="I91" i="523"/>
  <c r="K615" i="517"/>
  <c r="J754" i="523"/>
  <c r="J304" i="520"/>
  <c r="L629" i="519"/>
  <c r="M222" i="518"/>
  <c r="M348" i="517"/>
  <c r="I49" i="518"/>
  <c r="I105" i="523"/>
  <c r="K84" i="520"/>
  <c r="M436" i="518"/>
  <c r="J409" i="520"/>
  <c r="J448" i="519"/>
  <c r="L124" i="518"/>
  <c r="M278" i="523"/>
  <c r="E7" i="518"/>
  <c r="K297" i="517"/>
  <c r="K362" i="521"/>
  <c r="I634" i="521"/>
  <c r="J330" i="520"/>
  <c r="L396" i="517"/>
  <c r="L134" i="520"/>
  <c r="I180" i="523"/>
  <c r="M135" i="523"/>
  <c r="I299" i="521"/>
  <c r="M401" i="517"/>
  <c r="L241" i="521"/>
  <c r="K351" i="523"/>
  <c r="J565" i="520"/>
  <c r="M164" i="521"/>
  <c r="J558" i="518"/>
  <c r="J550" i="520"/>
  <c r="D51" i="247"/>
  <c r="M497" i="521"/>
  <c r="M789" i="523"/>
  <c r="G28" i="518"/>
  <c r="M449" i="517"/>
  <c r="L544" i="523"/>
  <c r="L110" i="521"/>
  <c r="L505" i="523"/>
  <c r="L493" i="521"/>
  <c r="L544" i="520"/>
  <c r="I291" i="520"/>
  <c r="J298" i="523"/>
  <c r="J329" i="519"/>
  <c r="I739" i="523"/>
  <c r="B3" i="482"/>
  <c r="J718" i="523"/>
  <c r="J117" i="519"/>
  <c r="K84" i="521"/>
  <c r="K673" i="517"/>
  <c r="L617" i="518"/>
  <c r="I112" i="518"/>
  <c r="I292" i="520"/>
  <c r="J98" i="523"/>
  <c r="I219" i="521"/>
  <c r="C219" i="247"/>
  <c r="L187" i="517"/>
  <c r="J627" i="517"/>
  <c r="M252" i="517"/>
  <c r="L246" i="517"/>
  <c r="M335" i="521"/>
  <c r="I482" i="520"/>
  <c r="I248" i="519"/>
  <c r="I11" i="519"/>
  <c r="D507" i="247"/>
  <c r="J649" i="520"/>
  <c r="D314" i="247"/>
  <c r="J300" i="520"/>
  <c r="D502" i="247"/>
  <c r="J26" i="519"/>
  <c r="L633" i="523"/>
  <c r="J673" i="520"/>
  <c r="L667" i="520"/>
  <c r="L276" i="518"/>
  <c r="L95" i="518"/>
  <c r="J200" i="523"/>
  <c r="J575" i="521"/>
  <c r="I339" i="523"/>
  <c r="M513" i="520"/>
  <c r="M92" i="520"/>
  <c r="J633" i="517"/>
  <c r="M533" i="520"/>
  <c r="L578" i="520"/>
  <c r="M180" i="519"/>
  <c r="I120" i="519"/>
  <c r="J567" i="519"/>
  <c r="J479" i="520"/>
  <c r="M53" i="520"/>
  <c r="L551" i="520"/>
  <c r="I10" i="519"/>
  <c r="J12" i="519"/>
  <c r="M373" i="523"/>
  <c r="H6" i="517"/>
  <c r="K368" i="519"/>
  <c r="L172" i="521"/>
  <c r="M207" i="523"/>
  <c r="C552" i="247"/>
  <c r="I155" i="520"/>
  <c r="J598" i="523"/>
  <c r="J379" i="523"/>
  <c r="K10" i="523"/>
  <c r="J661" i="518"/>
  <c r="K237" i="519"/>
  <c r="K477" i="523"/>
  <c r="M576" i="517"/>
  <c r="J381" i="518"/>
  <c r="L100" i="517"/>
  <c r="A9" i="520"/>
  <c r="J198" i="520"/>
  <c r="E10" i="518"/>
  <c r="M516" i="518"/>
  <c r="L43" i="517"/>
  <c r="D55" i="247"/>
  <c r="J255" i="517"/>
  <c r="I595" i="518"/>
  <c r="M95" i="521"/>
  <c r="J356" i="517"/>
  <c r="I554" i="521"/>
  <c r="K554" i="518"/>
  <c r="K50" i="519"/>
  <c r="K352" i="521"/>
  <c r="I203" i="518"/>
  <c r="L584" i="518"/>
  <c r="K650" i="519"/>
  <c r="J239" i="519"/>
  <c r="L168" i="517"/>
  <c r="D135" i="247"/>
  <c r="L241" i="518"/>
  <c r="L71" i="520"/>
  <c r="M330" i="518"/>
  <c r="K512" i="517"/>
  <c r="L462" i="520"/>
  <c r="H8" i="520"/>
  <c r="J73" i="521"/>
  <c r="I186" i="519"/>
  <c r="K33" i="517"/>
  <c r="J349" i="518"/>
  <c r="M420" i="517"/>
  <c r="K132" i="520"/>
  <c r="I195" i="519"/>
  <c r="K309" i="519"/>
  <c r="M65" i="519"/>
  <c r="J238" i="519"/>
  <c r="K455" i="523"/>
  <c r="K254" i="518"/>
  <c r="I104" i="520"/>
  <c r="A10" i="519"/>
  <c r="K605" i="518"/>
  <c r="L68" i="518"/>
  <c r="L490" i="520"/>
  <c r="L423" i="518"/>
  <c r="J100" i="523"/>
  <c r="M24" i="517"/>
  <c r="K100" i="521"/>
  <c r="I147" i="518"/>
  <c r="J333" i="519"/>
  <c r="P8" i="3"/>
  <c r="K411" i="523"/>
  <c r="M578" i="518"/>
  <c r="J589" i="520"/>
  <c r="K652" i="518"/>
  <c r="J660" i="517"/>
  <c r="I688" i="518"/>
  <c r="M473" i="517"/>
  <c r="I463" i="517"/>
  <c r="M338" i="523"/>
  <c r="L618" i="523"/>
  <c r="K530" i="519"/>
  <c r="J27" i="518"/>
  <c r="L214" i="520"/>
  <c r="K166" i="523"/>
  <c r="C526" i="247"/>
  <c r="L8" i="523"/>
  <c r="M82" i="518"/>
  <c r="K44" i="521"/>
  <c r="I734" i="523"/>
  <c r="L544" i="518"/>
  <c r="M86" i="521"/>
  <c r="I436" i="519"/>
  <c r="J415" i="520"/>
  <c r="L189" i="520"/>
  <c r="J221" i="523"/>
  <c r="M542" i="518"/>
  <c r="J585" i="518"/>
  <c r="K513" i="523"/>
  <c r="J590" i="523"/>
  <c r="G6" i="520"/>
  <c r="C523" i="247"/>
  <c r="L128" i="517"/>
  <c r="L224" i="519"/>
  <c r="C342" i="247"/>
  <c r="K279" i="518"/>
  <c r="I189" i="521"/>
  <c r="M665" i="523"/>
  <c r="J340" i="521"/>
  <c r="L566" i="523"/>
  <c r="M373" i="519"/>
  <c r="J519" i="517"/>
  <c r="K282" i="523"/>
  <c r="I64" i="517"/>
  <c r="K407" i="520"/>
  <c r="M349" i="517"/>
  <c r="K638" i="518"/>
  <c r="K89" i="517"/>
  <c r="M108" i="523"/>
  <c r="I95" i="519"/>
  <c r="M72" i="520"/>
  <c r="L393" i="517"/>
  <c r="M369" i="523"/>
  <c r="I110" i="523"/>
  <c r="K461" i="520"/>
  <c r="L246" i="520"/>
  <c r="K204" i="523"/>
  <c r="I290" i="523"/>
  <c r="J118" i="517"/>
  <c r="L266" i="517"/>
  <c r="I4" i="517"/>
  <c r="K45" i="520"/>
  <c r="L90" i="518"/>
  <c r="M535" i="523"/>
  <c r="C455" i="247"/>
  <c r="K486" i="518"/>
  <c r="M303" i="520"/>
  <c r="I682" i="523"/>
  <c r="L336" i="523"/>
  <c r="L37" i="518"/>
  <c r="M206" i="521"/>
  <c r="K198" i="523"/>
  <c r="M4" i="517"/>
  <c r="M197" i="519"/>
  <c r="J307" i="521"/>
  <c r="I280" i="517"/>
  <c r="J241" i="519"/>
  <c r="K585" i="523"/>
  <c r="K416" i="521"/>
  <c r="M433" i="517"/>
  <c r="K59" i="518"/>
  <c r="M238" i="520"/>
  <c r="M12" i="518"/>
  <c r="L534" i="523"/>
  <c r="I316" i="523"/>
  <c r="M244" i="518"/>
  <c r="K507" i="517"/>
  <c r="I389" i="521"/>
  <c r="J328" i="518"/>
  <c r="C291" i="247"/>
  <c r="J106" i="520"/>
  <c r="D584" i="247"/>
  <c r="I219" i="519"/>
  <c r="L745" i="523"/>
  <c r="J581" i="519"/>
  <c r="J237" i="521"/>
  <c r="L277" i="521"/>
  <c r="I127" i="519"/>
  <c r="L633" i="521"/>
  <c r="L621" i="520"/>
  <c r="M381" i="519"/>
  <c r="K126" i="519"/>
  <c r="L676" i="519"/>
  <c r="L611" i="518"/>
  <c r="K145" i="519"/>
  <c r="J757" i="523"/>
  <c r="M287" i="520"/>
  <c r="M492" i="523"/>
  <c r="K550" i="521"/>
  <c r="L671" i="521"/>
  <c r="M318" i="520"/>
  <c r="M146" i="521"/>
  <c r="K462" i="519"/>
  <c r="M390" i="520"/>
  <c r="J226" i="520"/>
  <c r="K529" i="519"/>
  <c r="J141" i="521"/>
  <c r="M15" i="518"/>
  <c r="K170" i="521"/>
  <c r="L19" i="519"/>
  <c r="I209" i="520"/>
  <c r="L462" i="517"/>
  <c r="L217" i="517"/>
  <c r="J358" i="518"/>
  <c r="M110" i="519"/>
  <c r="C434" i="247"/>
  <c r="M229" i="517"/>
  <c r="M641" i="519"/>
  <c r="K276" i="523"/>
  <c r="J180" i="518"/>
  <c r="L14" i="519"/>
  <c r="J667" i="520"/>
  <c r="K322" i="523"/>
  <c r="L129" i="519"/>
  <c r="I670" i="517"/>
  <c r="J448" i="520"/>
  <c r="M747" i="523"/>
  <c r="K492" i="520"/>
  <c r="J137" i="523"/>
  <c r="J499" i="517"/>
  <c r="I480" i="518"/>
  <c r="A26" i="520"/>
  <c r="A22" i="523"/>
  <c r="L271" i="518"/>
  <c r="I333" i="523"/>
  <c r="J641" i="519"/>
  <c r="I150" i="523"/>
  <c r="J543" i="519"/>
  <c r="I667" i="523"/>
  <c r="K425" i="520"/>
  <c r="K253" i="523"/>
  <c r="L471" i="521"/>
  <c r="L666" i="520"/>
  <c r="L445" i="517"/>
  <c r="I661" i="523"/>
  <c r="K122" i="521"/>
  <c r="I591" i="519"/>
  <c r="L33" i="518"/>
  <c r="K484" i="521"/>
  <c r="M683" i="523"/>
  <c r="J152" i="521"/>
  <c r="D368" i="247"/>
  <c r="I221" i="518"/>
  <c r="J313" i="521"/>
  <c r="I534" i="518"/>
  <c r="L623" i="521"/>
  <c r="L635" i="518"/>
  <c r="M671" i="521"/>
  <c r="J13" i="519"/>
  <c r="M187" i="521"/>
  <c r="I59" i="519"/>
  <c r="M558" i="521"/>
  <c r="J527" i="519"/>
  <c r="K18" i="518"/>
  <c r="L338" i="520"/>
  <c r="M297" i="521"/>
  <c r="J634" i="520"/>
  <c r="J163" i="518"/>
  <c r="K414" i="517"/>
  <c r="L311" i="518"/>
  <c r="K51" i="518"/>
  <c r="M569" i="520"/>
  <c r="K41" i="523"/>
  <c r="K665" i="518"/>
  <c r="D380" i="247"/>
  <c r="L33" i="517"/>
  <c r="L444" i="523"/>
  <c r="I601" i="519"/>
  <c r="J123" i="519"/>
  <c r="D453" i="247"/>
  <c r="L194" i="518"/>
  <c r="M583" i="520"/>
  <c r="M188" i="519"/>
  <c r="K311" i="517"/>
  <c r="K325" i="518"/>
  <c r="L320" i="519"/>
  <c r="K428" i="519"/>
  <c r="F26" i="517"/>
  <c r="L601" i="523"/>
  <c r="K62" i="521"/>
  <c r="L489" i="518"/>
  <c r="J648" i="520"/>
  <c r="E12" i="523"/>
  <c r="J169" i="523"/>
  <c r="K562" i="520"/>
  <c r="D367" i="247"/>
  <c r="I388" i="520"/>
  <c r="L212" i="520"/>
  <c r="K522" i="520"/>
  <c r="M666" i="520"/>
  <c r="J387" i="521"/>
  <c r="J383" i="518"/>
  <c r="I329" i="520"/>
  <c r="D213" i="247"/>
  <c r="K86" i="519"/>
  <c r="J151" i="518"/>
  <c r="K169" i="519"/>
  <c r="M627" i="518"/>
  <c r="I586" i="521"/>
  <c r="J45" i="520"/>
  <c r="L310" i="520"/>
  <c r="K550" i="518"/>
  <c r="L220" i="517"/>
  <c r="M568" i="517"/>
  <c r="I301" i="521"/>
  <c r="M599" i="523"/>
  <c r="L650" i="517"/>
  <c r="L283" i="519"/>
  <c r="I625" i="517"/>
  <c r="K290" i="521"/>
  <c r="C6" i="518"/>
  <c r="K200" i="521"/>
  <c r="J9" i="517"/>
  <c r="K57" i="523"/>
  <c r="I155" i="517"/>
  <c r="E11" i="520"/>
  <c r="J73" i="523"/>
  <c r="K29" i="517"/>
  <c r="J219" i="523"/>
  <c r="I268" i="521"/>
  <c r="K756" i="523"/>
  <c r="I125" i="521"/>
  <c r="L643" i="521"/>
  <c r="L282" i="519"/>
  <c r="I413" i="517"/>
  <c r="L184" i="523"/>
  <c r="M486" i="519"/>
  <c r="A15" i="523"/>
  <c r="L632" i="518"/>
  <c r="J419" i="521"/>
  <c r="J178" i="519"/>
  <c r="J632" i="519"/>
  <c r="K4" i="520"/>
  <c r="I496" i="520"/>
  <c r="K282" i="518"/>
  <c r="K346" i="523"/>
  <c r="M442" i="521"/>
  <c r="L114" i="518"/>
  <c r="L71" i="518"/>
  <c r="M270" i="523"/>
  <c r="J52" i="521"/>
  <c r="L576" i="521"/>
  <c r="J268" i="517"/>
  <c r="J88" i="523"/>
  <c r="I54" i="517"/>
  <c r="I7" i="519"/>
  <c r="L519" i="521"/>
  <c r="K377" i="518"/>
  <c r="I529" i="518"/>
  <c r="D456" i="247"/>
  <c r="I19" i="518"/>
  <c r="J526" i="523"/>
  <c r="K602" i="518"/>
  <c r="J399" i="520"/>
  <c r="K316" i="519"/>
  <c r="L500" i="521"/>
  <c r="L255" i="518"/>
  <c r="M577" i="523"/>
  <c r="I453" i="518"/>
  <c r="J429" i="518"/>
  <c r="I285" i="521"/>
  <c r="M82" i="521"/>
  <c r="J353" i="523"/>
  <c r="L257" i="517"/>
  <c r="C385" i="247"/>
  <c r="I643" i="517"/>
  <c r="J508" i="521"/>
  <c r="L250" i="519"/>
  <c r="I159" i="520"/>
  <c r="M109" i="521"/>
  <c r="K639" i="521"/>
  <c r="I31" i="523"/>
  <c r="J490" i="517"/>
  <c r="J152" i="518"/>
  <c r="M103" i="521"/>
  <c r="J27" i="521"/>
  <c r="L404" i="520"/>
  <c r="M636" i="519"/>
  <c r="J628" i="518"/>
  <c r="J526" i="521"/>
  <c r="I414" i="523"/>
  <c r="I581" i="517"/>
  <c r="I161" i="517"/>
  <c r="L288" i="521"/>
  <c r="M277" i="521"/>
  <c r="M474" i="520"/>
  <c r="M148" i="520"/>
  <c r="I281" i="523"/>
  <c r="L386" i="523"/>
  <c r="I239" i="521"/>
  <c r="I824" i="523"/>
  <c r="I367" i="519"/>
  <c r="I194" i="520"/>
  <c r="K582" i="518"/>
  <c r="L640" i="518"/>
  <c r="I54" i="521"/>
  <c r="L362" i="517"/>
  <c r="I215" i="520"/>
  <c r="J238" i="517"/>
  <c r="F21" i="523"/>
  <c r="L616" i="523"/>
  <c r="I10" i="517"/>
  <c r="K466" i="519"/>
  <c r="K112" i="518"/>
  <c r="K2" i="519"/>
  <c r="I646" i="518"/>
  <c r="K608" i="521"/>
  <c r="M428" i="523"/>
  <c r="J197" i="520"/>
  <c r="K602" i="519"/>
  <c r="L316" i="521"/>
  <c r="M116" i="519"/>
  <c r="M569" i="523"/>
  <c r="P4" i="3"/>
  <c r="L468" i="518"/>
  <c r="J96" i="523"/>
  <c r="K668" i="518"/>
  <c r="I529" i="523"/>
  <c r="I371" i="519"/>
  <c r="J182" i="519"/>
  <c r="M374" i="521"/>
  <c r="J232" i="521"/>
  <c r="K126" i="520"/>
  <c r="L71" i="521"/>
  <c r="L60" i="523"/>
  <c r="I152" i="523"/>
  <c r="J433" i="521"/>
  <c r="C532" i="247"/>
  <c r="L493" i="517"/>
  <c r="I342" i="519"/>
  <c r="K385" i="523"/>
  <c r="J467" i="519"/>
  <c r="M413" i="517"/>
  <c r="K268" i="520"/>
  <c r="L617" i="520"/>
  <c r="C210" i="247"/>
  <c r="M73" i="521"/>
  <c r="J332" i="520"/>
  <c r="J145" i="519"/>
  <c r="I316" i="519"/>
  <c r="M2" i="517"/>
  <c r="H21" i="517"/>
  <c r="K69" i="518"/>
  <c r="M91" i="518"/>
  <c r="K349" i="518"/>
  <c r="I173" i="520"/>
  <c r="J62" i="519"/>
  <c r="I164" i="517"/>
  <c r="I126" i="521"/>
  <c r="M453" i="520"/>
  <c r="L834" i="523"/>
  <c r="L465" i="519"/>
  <c r="M264" i="519"/>
  <c r="I200" i="519"/>
  <c r="J144" i="520"/>
  <c r="M699" i="523"/>
  <c r="C245" i="247"/>
  <c r="J492" i="518"/>
  <c r="I444" i="520"/>
  <c r="J207" i="520"/>
  <c r="K664" i="523"/>
  <c r="M74" i="521"/>
  <c r="L24" i="521"/>
  <c r="M823" i="523"/>
  <c r="L783" i="523"/>
  <c r="H5" i="520"/>
  <c r="K388" i="517"/>
  <c r="I380" i="518"/>
  <c r="K280" i="520"/>
  <c r="J176" i="520"/>
  <c r="L502" i="523"/>
  <c r="J644" i="519"/>
  <c r="M568" i="518"/>
  <c r="J269" i="521"/>
  <c r="K22" i="517"/>
  <c r="I546" i="520"/>
  <c r="K656" i="523"/>
  <c r="L228" i="521"/>
  <c r="I119" i="517"/>
  <c r="J603" i="521"/>
  <c r="J726" i="523"/>
  <c r="J515" i="523"/>
  <c r="J528" i="518"/>
  <c r="J412" i="521"/>
  <c r="J516" i="517"/>
  <c r="M307" i="520"/>
  <c r="J64" i="517"/>
  <c r="I270" i="520"/>
  <c r="L473" i="519"/>
  <c r="L228" i="517"/>
  <c r="D567" i="247"/>
  <c r="I142" i="519"/>
  <c r="K582" i="521"/>
  <c r="L691" i="521"/>
  <c r="I694" i="521"/>
  <c r="L467" i="521"/>
  <c r="M218" i="518"/>
  <c r="L11" i="521"/>
  <c r="I6" i="519"/>
  <c r="I526" i="518"/>
  <c r="K231" i="519"/>
  <c r="E4" i="519"/>
  <c r="J670" i="518"/>
  <c r="F2" i="518"/>
  <c r="I227" i="519"/>
  <c r="K119" i="523"/>
  <c r="I460" i="519"/>
  <c r="K211" i="523"/>
  <c r="K607" i="521"/>
  <c r="K601" i="521"/>
  <c r="C354" i="247"/>
  <c r="I416" i="521"/>
  <c r="J543" i="517"/>
  <c r="I563" i="523"/>
  <c r="I107" i="521"/>
  <c r="I535" i="523"/>
  <c r="P7" i="3"/>
  <c r="L338" i="523"/>
  <c r="M792" i="523"/>
  <c r="L337" i="520"/>
  <c r="J333" i="520"/>
  <c r="M251" i="517"/>
  <c r="D531" i="247"/>
  <c r="J528" i="520"/>
  <c r="K6" i="523"/>
  <c r="K78" i="523"/>
  <c r="M110" i="520"/>
  <c r="M388" i="518"/>
  <c r="D381" i="247"/>
  <c r="M185" i="520"/>
  <c r="M594" i="518"/>
  <c r="L352" i="519"/>
  <c r="J193" i="518"/>
  <c r="L603" i="521"/>
  <c r="I680" i="523"/>
  <c r="L639" i="521"/>
  <c r="C431" i="247"/>
  <c r="J155" i="518"/>
  <c r="M479" i="523"/>
  <c r="K474" i="521"/>
  <c r="M127" i="518"/>
  <c r="M317" i="519"/>
  <c r="J475" i="520"/>
  <c r="I51" i="517"/>
  <c r="L452" i="520"/>
  <c r="K786" i="523"/>
  <c r="D355" i="247"/>
  <c r="J520" i="523"/>
  <c r="J55" i="518"/>
  <c r="M233" i="520"/>
  <c r="L112" i="521"/>
  <c r="M479" i="520"/>
  <c r="J323" i="518"/>
  <c r="L187" i="518"/>
  <c r="I84" i="523"/>
  <c r="L814" i="523"/>
  <c r="J583" i="518"/>
  <c r="J86" i="518"/>
  <c r="I223" i="517"/>
  <c r="M598" i="521"/>
  <c r="K647" i="517"/>
  <c r="M416" i="517"/>
  <c r="M328" i="517"/>
  <c r="I83" i="520"/>
  <c r="I244" i="521"/>
  <c r="M257" i="517"/>
  <c r="I11" i="523"/>
  <c r="K401" i="519"/>
  <c r="K401" i="521"/>
  <c r="M408" i="518"/>
  <c r="C458" i="247"/>
  <c r="K167" i="521"/>
  <c r="I369" i="523"/>
  <c r="J256" i="521"/>
  <c r="J21" i="518"/>
  <c r="K248" i="520"/>
  <c r="K30" i="523"/>
  <c r="M25" i="517"/>
  <c r="J284" i="521"/>
  <c r="L379" i="521"/>
  <c r="J773" i="523"/>
  <c r="K523" i="519"/>
  <c r="M567" i="521"/>
  <c r="M154" i="521"/>
  <c r="M216" i="520"/>
  <c r="I248" i="521"/>
  <c r="M161" i="521"/>
  <c r="K405" i="518"/>
  <c r="J436" i="520"/>
  <c r="J287" i="518"/>
  <c r="M122" i="520"/>
  <c r="J363" i="517"/>
  <c r="J633" i="521"/>
  <c r="K792" i="523"/>
  <c r="I635" i="517"/>
  <c r="K558" i="523"/>
  <c r="L303" i="520"/>
  <c r="M357" i="521"/>
  <c r="I537" i="518"/>
  <c r="I227" i="520"/>
  <c r="M329" i="519"/>
  <c r="K625" i="519"/>
  <c r="K359" i="518"/>
  <c r="I104" i="519"/>
  <c r="M528" i="517"/>
  <c r="L2" i="520"/>
  <c r="I28" i="523"/>
  <c r="I366" i="517"/>
  <c r="K131" i="517"/>
  <c r="L794" i="523"/>
  <c r="C356" i="247"/>
  <c r="J38" i="517"/>
  <c r="J474" i="519"/>
  <c r="I359" i="521"/>
  <c r="M450" i="519"/>
  <c r="L168" i="523"/>
  <c r="K354" i="520"/>
  <c r="C4" i="517"/>
  <c r="M68" i="520"/>
  <c r="K154" i="517"/>
  <c r="J135" i="520"/>
  <c r="M96" i="518"/>
  <c r="M199" i="521"/>
  <c r="L494" i="519"/>
  <c r="K461" i="519"/>
  <c r="I433" i="523"/>
  <c r="M292" i="523"/>
  <c r="K349" i="519"/>
  <c r="J348" i="517"/>
  <c r="M651" i="519"/>
  <c r="M366" i="518"/>
  <c r="M748" i="523"/>
  <c r="M390" i="519"/>
  <c r="L421" i="519"/>
  <c r="L197" i="523"/>
  <c r="I469" i="521"/>
  <c r="J463" i="517"/>
  <c r="J59" i="518"/>
  <c r="J352" i="517"/>
  <c r="L253" i="523"/>
  <c r="J650" i="518"/>
  <c r="M572" i="517"/>
  <c r="L312" i="517"/>
  <c r="L270" i="520"/>
  <c r="J360" i="517"/>
  <c r="J463" i="523"/>
  <c r="A9" i="519"/>
  <c r="M635" i="519"/>
  <c r="D444" i="247"/>
  <c r="J27" i="523"/>
  <c r="A37" i="518"/>
  <c r="J381" i="523"/>
  <c r="I319" i="519"/>
  <c r="I15" i="520"/>
  <c r="L498" i="517"/>
  <c r="L581" i="519"/>
  <c r="J271" i="521"/>
  <c r="I179" i="523"/>
  <c r="G6" i="517"/>
  <c r="L545" i="520"/>
  <c r="G28" i="520"/>
  <c r="L196" i="518"/>
  <c r="J350" i="518"/>
  <c r="K686" i="521"/>
  <c r="K333" i="521"/>
  <c r="M189" i="521"/>
  <c r="L361" i="523"/>
  <c r="L638" i="519"/>
  <c r="K9" i="519"/>
  <c r="M648" i="517"/>
  <c r="J448" i="518"/>
  <c r="I437" i="523"/>
  <c r="M615" i="517"/>
  <c r="K504" i="521"/>
  <c r="M155" i="518"/>
  <c r="I32" i="521"/>
  <c r="C40" i="519"/>
  <c r="L217" i="520"/>
  <c r="L206" i="523"/>
  <c r="L184" i="517"/>
  <c r="J328" i="517"/>
  <c r="L16" i="521"/>
  <c r="L739" i="523"/>
  <c r="J140" i="521"/>
  <c r="C449" i="247"/>
  <c r="K499" i="519"/>
  <c r="J181" i="523"/>
  <c r="M776" i="523"/>
  <c r="I180" i="521"/>
  <c r="D72" i="247"/>
  <c r="M151" i="518"/>
  <c r="L396" i="521"/>
  <c r="J8" i="517"/>
  <c r="J332" i="519"/>
  <c r="K478" i="517"/>
  <c r="L628" i="519"/>
  <c r="J375" i="523"/>
  <c r="I575" i="517"/>
  <c r="K181" i="520"/>
  <c r="K348" i="520"/>
  <c r="D339" i="247"/>
  <c r="I40" i="518"/>
  <c r="I58" i="520"/>
  <c r="J192" i="520"/>
  <c r="J274" i="517"/>
  <c r="L50" i="520"/>
  <c r="K817" i="523"/>
  <c r="I133" i="519"/>
  <c r="J671" i="517"/>
  <c r="K584" i="517"/>
  <c r="L163" i="519"/>
  <c r="M201" i="519"/>
  <c r="J74" i="518"/>
  <c r="J498" i="521"/>
  <c r="H3" i="518"/>
  <c r="J626" i="523"/>
  <c r="L297" i="523"/>
  <c r="I101" i="518"/>
  <c r="D156" i="247"/>
  <c r="K619" i="523"/>
  <c r="K360" i="518"/>
  <c r="L236" i="517"/>
  <c r="I396" i="519"/>
  <c r="J187" i="520"/>
  <c r="M120" i="519"/>
  <c r="K569" i="523"/>
  <c r="M643" i="521"/>
  <c r="J447" i="518"/>
  <c r="J338" i="523"/>
  <c r="M839" i="523"/>
  <c r="K634" i="519"/>
  <c r="I520" i="519"/>
  <c r="K173" i="519"/>
  <c r="J198" i="519"/>
  <c r="M205" i="520"/>
  <c r="M246" i="518"/>
  <c r="I206" i="519"/>
  <c r="L528" i="521"/>
  <c r="L266" i="519"/>
  <c r="I528" i="520"/>
  <c r="L293" i="518"/>
  <c r="P41" i="3"/>
  <c r="I528" i="518"/>
  <c r="I607" i="518"/>
  <c r="L665" i="517"/>
  <c r="A29" i="519"/>
  <c r="J341" i="517"/>
  <c r="J277" i="520"/>
  <c r="I237" i="517"/>
  <c r="J456" i="523"/>
  <c r="F25" i="518"/>
  <c r="M7" i="523"/>
  <c r="I111" i="520"/>
  <c r="I670" i="518"/>
  <c r="I563" i="520"/>
  <c r="L166" i="519"/>
  <c r="M450" i="520"/>
  <c r="L53" i="520"/>
  <c r="I464" i="521"/>
  <c r="I269" i="519"/>
  <c r="K676" i="523"/>
  <c r="M510" i="523"/>
  <c r="J375" i="519"/>
  <c r="I24" i="523"/>
  <c r="J72" i="523"/>
  <c r="J651" i="519"/>
  <c r="J305" i="520"/>
  <c r="M286" i="523"/>
  <c r="I323" i="519"/>
  <c r="K101" i="518"/>
  <c r="M279" i="518"/>
  <c r="K87" i="521"/>
  <c r="K615" i="523"/>
  <c r="K377" i="519"/>
  <c r="M168" i="523"/>
  <c r="M68" i="518"/>
  <c r="K506" i="519"/>
  <c r="J154" i="517"/>
  <c r="K330" i="523"/>
  <c r="L96" i="519"/>
  <c r="L468" i="523"/>
  <c r="M636" i="520"/>
  <c r="F2" i="519"/>
  <c r="I707" i="523"/>
  <c r="I573" i="519"/>
  <c r="I553" i="518"/>
  <c r="M229" i="520"/>
  <c r="J574" i="519"/>
  <c r="J592" i="517"/>
  <c r="L317" i="521"/>
  <c r="J244" i="518"/>
  <c r="M201" i="517"/>
  <c r="I468" i="519"/>
  <c r="K229" i="521"/>
  <c r="J13" i="518"/>
  <c r="J94" i="518"/>
  <c r="L189" i="518"/>
  <c r="L332" i="523"/>
  <c r="K530" i="517"/>
  <c r="J374" i="519"/>
  <c r="J347" i="520"/>
  <c r="J752" i="523"/>
  <c r="L180" i="519"/>
  <c r="L323" i="520"/>
  <c r="G7" i="523"/>
  <c r="J109" i="519"/>
  <c r="I125" i="523"/>
  <c r="L661" i="519"/>
  <c r="K28" i="518"/>
  <c r="L640" i="523"/>
  <c r="M460" i="521"/>
  <c r="K632" i="517"/>
  <c r="L326" i="520"/>
  <c r="L216" i="518"/>
  <c r="M386" i="519"/>
  <c r="I643" i="519"/>
  <c r="L658" i="521"/>
  <c r="L168" i="519"/>
  <c r="M117" i="523"/>
  <c r="I2" i="523"/>
  <c r="I299" i="520"/>
  <c r="L92" i="519"/>
  <c r="K235" i="523"/>
  <c r="I420" i="518"/>
  <c r="K467" i="523"/>
  <c r="K197" i="520"/>
  <c r="L479" i="523"/>
  <c r="L166" i="523"/>
  <c r="L687" i="518"/>
  <c r="I29" i="517"/>
  <c r="I503" i="519"/>
  <c r="J503" i="521"/>
  <c r="K311" i="520"/>
  <c r="I79" i="518"/>
  <c r="M296" i="523"/>
  <c r="G20" i="521"/>
  <c r="I315" i="517"/>
  <c r="J373" i="521"/>
  <c r="M541" i="517"/>
  <c r="I378" i="520"/>
  <c r="F10" i="517"/>
  <c r="K77" i="517"/>
  <c r="M360" i="521"/>
  <c r="K327" i="519"/>
  <c r="L175" i="517"/>
  <c r="M153" i="518"/>
  <c r="M201" i="521"/>
  <c r="L280" i="520"/>
  <c r="L548" i="518"/>
  <c r="L304" i="523"/>
  <c r="L303" i="519"/>
  <c r="J112" i="521"/>
  <c r="L472" i="520"/>
  <c r="C7" i="520"/>
  <c r="I403" i="519"/>
  <c r="I674" i="520"/>
  <c r="L158" i="517"/>
  <c r="L227" i="521"/>
  <c r="M240" i="520"/>
  <c r="M331" i="523"/>
  <c r="M695" i="521"/>
  <c r="I383" i="523"/>
  <c r="L603" i="520"/>
  <c r="C48" i="519"/>
  <c r="I675" i="523"/>
  <c r="K574" i="521"/>
  <c r="I43" i="523"/>
  <c r="L113" i="523"/>
  <c r="K7" i="518"/>
  <c r="M315" i="517"/>
  <c r="L329" i="519"/>
  <c r="C102" i="247"/>
  <c r="J265" i="520"/>
  <c r="K359" i="520"/>
  <c r="L236" i="518"/>
  <c r="J625" i="519"/>
  <c r="M213" i="518"/>
  <c r="J658" i="519"/>
  <c r="I632" i="520"/>
  <c r="M522" i="523"/>
  <c r="J593" i="519"/>
  <c r="J199" i="523"/>
  <c r="L142" i="517"/>
  <c r="L618" i="521"/>
  <c r="L272" i="519"/>
  <c r="I184" i="518"/>
  <c r="A3" i="520"/>
  <c r="K303" i="518"/>
  <c r="M296" i="517"/>
  <c r="K357" i="518"/>
  <c r="J558" i="519"/>
  <c r="J293" i="518"/>
  <c r="K11" i="521"/>
  <c r="M267" i="517"/>
  <c r="M584" i="521"/>
  <c r="J662" i="520"/>
  <c r="J35" i="520"/>
  <c r="C19" i="521"/>
  <c r="M645" i="519"/>
  <c r="K609" i="523"/>
  <c r="G29" i="518"/>
  <c r="M466" i="517"/>
  <c r="B27" i="482"/>
  <c r="K672" i="517"/>
  <c r="L350" i="521"/>
  <c r="K79" i="523"/>
  <c r="L26" i="517"/>
  <c r="J647" i="520"/>
  <c r="H4" i="523"/>
  <c r="M715" i="523"/>
  <c r="I112" i="520"/>
  <c r="I477" i="518"/>
  <c r="L563" i="518"/>
  <c r="K473" i="517"/>
  <c r="K269" i="520"/>
  <c r="I312" i="523"/>
  <c r="J431" i="517"/>
  <c r="J360" i="518"/>
  <c r="C34" i="520"/>
  <c r="M62" i="517"/>
  <c r="M284" i="518"/>
  <c r="J589" i="519"/>
  <c r="P16" i="3"/>
  <c r="L86" i="517"/>
  <c r="L66" i="518"/>
  <c r="K105" i="517"/>
  <c r="I120" i="518"/>
  <c r="I234" i="523"/>
  <c r="M461" i="523"/>
  <c r="G8" i="517"/>
  <c r="J466" i="523"/>
  <c r="K135" i="519"/>
  <c r="L149" i="523"/>
  <c r="I343" i="519"/>
  <c r="J487" i="517"/>
  <c r="M347" i="518"/>
  <c r="L460" i="520"/>
  <c r="J58" i="521"/>
  <c r="M739" i="523"/>
  <c r="L436" i="519"/>
  <c r="L269" i="521"/>
  <c r="M118" i="523"/>
  <c r="I313" i="523"/>
  <c r="M435" i="519"/>
  <c r="I30" i="518"/>
  <c r="I27" i="523"/>
  <c r="I226" i="519"/>
  <c r="I602" i="523"/>
  <c r="L107" i="517"/>
  <c r="J404" i="517"/>
  <c r="M277" i="517"/>
  <c r="M181" i="523"/>
  <c r="M557" i="520"/>
  <c r="I545" i="519"/>
  <c r="M143" i="519"/>
  <c r="C178" i="247"/>
  <c r="J261" i="519"/>
  <c r="M97" i="521"/>
  <c r="M328" i="521"/>
  <c r="D308" i="247"/>
  <c r="L499" i="519"/>
  <c r="J394" i="518"/>
  <c r="I513" i="517"/>
  <c r="K158" i="519"/>
  <c r="J173" i="519"/>
  <c r="M407" i="520"/>
  <c r="K198" i="518"/>
  <c r="L518" i="517"/>
  <c r="L239" i="521"/>
  <c r="M31" i="523"/>
  <c r="J830" i="523"/>
  <c r="I626" i="519"/>
  <c r="I289" i="523"/>
  <c r="J69" i="517"/>
  <c r="K264" i="519"/>
  <c r="M24" i="518"/>
  <c r="K553" i="519"/>
  <c r="L85" i="518"/>
  <c r="C24" i="518"/>
  <c r="H19" i="523"/>
  <c r="J152" i="520"/>
  <c r="I67" i="523"/>
  <c r="J326" i="523"/>
  <c r="L400" i="517"/>
  <c r="L510" i="520"/>
  <c r="I579" i="521"/>
  <c r="K449" i="518"/>
  <c r="M559" i="521"/>
  <c r="K319" i="521"/>
  <c r="J142" i="518"/>
  <c r="K415" i="523"/>
  <c r="M587" i="517"/>
  <c r="K609" i="518"/>
  <c r="J536" i="523"/>
  <c r="K497" i="517"/>
  <c r="J88" i="519"/>
  <c r="M451" i="517"/>
  <c r="L323" i="518"/>
  <c r="C260" i="247"/>
  <c r="I352" i="519"/>
  <c r="L709" i="523"/>
  <c r="D404" i="247"/>
  <c r="M16" i="523"/>
  <c r="K607" i="518"/>
  <c r="L385" i="520"/>
  <c r="C91" i="247"/>
  <c r="L653" i="518"/>
  <c r="M637" i="518"/>
  <c r="A12" i="521"/>
  <c r="I370" i="520"/>
  <c r="I508" i="517"/>
  <c r="L606" i="517"/>
  <c r="C10" i="519"/>
  <c r="L602" i="518"/>
  <c r="J558" i="523"/>
  <c r="K229" i="519"/>
  <c r="K171" i="521"/>
  <c r="J351" i="519"/>
  <c r="J454" i="523"/>
  <c r="K638" i="517"/>
  <c r="I674" i="523"/>
  <c r="L560" i="518"/>
  <c r="L293" i="519"/>
  <c r="M153" i="519"/>
  <c r="C37" i="518"/>
  <c r="J185" i="523"/>
  <c r="L158" i="520"/>
  <c r="J38" i="518"/>
  <c r="L34" i="519"/>
  <c r="K608" i="517"/>
  <c r="K276" i="518"/>
  <c r="J586" i="521"/>
  <c r="L25" i="523"/>
  <c r="J199" i="520"/>
  <c r="M202" i="519"/>
  <c r="M491" i="517"/>
  <c r="I465" i="519"/>
  <c r="L307" i="520"/>
  <c r="I620" i="520"/>
  <c r="I663" i="523"/>
  <c r="M609" i="518"/>
  <c r="L41" i="523"/>
  <c r="M639" i="523"/>
  <c r="J481" i="521"/>
  <c r="L641" i="520"/>
  <c r="I238" i="520"/>
  <c r="I70" i="517"/>
  <c r="L52" i="519"/>
  <c r="L516" i="521"/>
  <c r="C37" i="520"/>
  <c r="C127" i="247"/>
  <c r="L456" i="518"/>
  <c r="K177" i="520"/>
  <c r="K136" i="523"/>
  <c r="J8" i="519"/>
  <c r="I822" i="523"/>
  <c r="K47" i="518"/>
  <c r="J415" i="517"/>
  <c r="L230" i="518"/>
  <c r="I22" i="523"/>
  <c r="M211" i="523"/>
  <c r="K586" i="520"/>
  <c r="M4" i="520"/>
  <c r="E22" i="520"/>
  <c r="K203" i="520"/>
  <c r="J438" i="518"/>
  <c r="L703" i="523"/>
  <c r="M694" i="520"/>
  <c r="D189" i="247"/>
  <c r="L65" i="519"/>
  <c r="M510" i="520"/>
  <c r="I640" i="517"/>
  <c r="C21" i="523"/>
  <c r="J592" i="518"/>
  <c r="K214" i="520"/>
  <c r="K464" i="519"/>
  <c r="L695" i="523"/>
  <c r="M536" i="523"/>
  <c r="L392" i="519"/>
  <c r="M11" i="519"/>
  <c r="J175" i="517"/>
  <c r="M338" i="519"/>
  <c r="M516" i="521"/>
  <c r="I364" i="519"/>
  <c r="J657" i="519"/>
  <c r="J505" i="519"/>
  <c r="M73" i="519"/>
  <c r="I218" i="518"/>
  <c r="K120" i="517"/>
  <c r="I151" i="517"/>
  <c r="I675" i="521"/>
  <c r="I76" i="517"/>
  <c r="L46" i="521"/>
  <c r="L364" i="523"/>
  <c r="J298" i="520"/>
  <c r="M730" i="523"/>
  <c r="I3" i="520"/>
  <c r="L405" i="519"/>
  <c r="M410" i="521"/>
  <c r="C48" i="517"/>
  <c r="M594" i="519"/>
  <c r="I384" i="520"/>
  <c r="I617" i="520"/>
  <c r="L586" i="520"/>
  <c r="L607" i="523"/>
  <c r="L492" i="519"/>
  <c r="M505" i="521"/>
  <c r="L376" i="518"/>
  <c r="M624" i="523"/>
  <c r="M411" i="520"/>
  <c r="L552" i="518"/>
  <c r="I272" i="518"/>
  <c r="L374" i="521"/>
  <c r="I455" i="519"/>
  <c r="J144" i="517"/>
  <c r="J337" i="521"/>
  <c r="K452" i="519"/>
  <c r="I47" i="518"/>
  <c r="M790" i="523"/>
  <c r="J597" i="521"/>
  <c r="L775" i="523"/>
  <c r="C43" i="521"/>
  <c r="K379" i="523"/>
  <c r="K76" i="519"/>
  <c r="K592" i="523"/>
  <c r="L659" i="517"/>
  <c r="J272" i="519"/>
  <c r="K296" i="519"/>
  <c r="M220" i="519"/>
  <c r="E21" i="521"/>
  <c r="I808" i="523"/>
  <c r="L309" i="521"/>
  <c r="M596" i="520"/>
  <c r="K235" i="521"/>
  <c r="F20" i="523"/>
  <c r="M478" i="523"/>
  <c r="I558" i="518"/>
  <c r="M624" i="521"/>
  <c r="J139" i="518"/>
  <c r="L532" i="517"/>
  <c r="M81" i="523"/>
  <c r="E29" i="518"/>
  <c r="J34" i="521"/>
  <c r="K402" i="517"/>
  <c r="J664" i="519"/>
  <c r="I241" i="523"/>
  <c r="K54" i="517"/>
  <c r="I491" i="521"/>
  <c r="K142" i="521"/>
  <c r="D107" i="247"/>
  <c r="J780" i="523"/>
  <c r="I779" i="523"/>
  <c r="I47" i="520"/>
  <c r="J461" i="523"/>
  <c r="J138" i="519"/>
  <c r="L124" i="523"/>
  <c r="J361" i="523"/>
  <c r="M740" i="523"/>
  <c r="J192" i="521"/>
  <c r="J589" i="523"/>
  <c r="J124" i="518"/>
  <c r="I318" i="519"/>
  <c r="K312" i="517"/>
  <c r="I283" i="518"/>
  <c r="J19" i="521"/>
  <c r="J49" i="518"/>
  <c r="A16" i="518"/>
  <c r="M88" i="517"/>
  <c r="M680" i="523"/>
  <c r="I645" i="523"/>
  <c r="M13" i="519"/>
  <c r="J659" i="517"/>
  <c r="M542" i="521"/>
  <c r="M587" i="523"/>
  <c r="K105" i="521"/>
  <c r="L469" i="517"/>
  <c r="I597" i="520"/>
  <c r="M50" i="518"/>
  <c r="M797" i="523"/>
  <c r="J33" i="523"/>
  <c r="M511" i="519"/>
  <c r="M690" i="517"/>
  <c r="J430" i="517"/>
  <c r="L514" i="519"/>
  <c r="M530" i="519"/>
  <c r="I499" i="517"/>
  <c r="K316" i="520"/>
  <c r="C36" i="517"/>
  <c r="J116" i="518"/>
  <c r="J404" i="521"/>
  <c r="L274" i="519"/>
  <c r="I281" i="517"/>
  <c r="I584" i="523"/>
  <c r="M840" i="523"/>
  <c r="J437" i="520"/>
  <c r="D359" i="247"/>
  <c r="I11" i="517"/>
  <c r="B9" i="482"/>
  <c r="I379" i="521"/>
  <c r="K201" i="523"/>
  <c r="J222" i="518"/>
  <c r="M376" i="518"/>
  <c r="I63" i="521"/>
  <c r="M175" i="523"/>
  <c r="K641" i="521"/>
  <c r="I470" i="520"/>
  <c r="L304" i="517"/>
  <c r="I49" i="523"/>
  <c r="J649" i="523"/>
  <c r="K35" i="517"/>
  <c r="K230" i="521"/>
  <c r="E26" i="518"/>
  <c r="K466" i="517"/>
  <c r="I509" i="519"/>
  <c r="M482" i="518"/>
  <c r="M687" i="518"/>
  <c r="H9" i="520"/>
  <c r="K496" i="517"/>
  <c r="J388" i="517"/>
  <c r="C429" i="247"/>
  <c r="M182" i="517"/>
  <c r="J384" i="518"/>
  <c r="L16" i="520"/>
  <c r="L181" i="520"/>
  <c r="J84" i="520"/>
  <c r="L587" i="520"/>
  <c r="I41" i="521"/>
  <c r="L274" i="517"/>
  <c r="I554" i="519"/>
  <c r="K399" i="523"/>
  <c r="I135" i="523"/>
  <c r="L407" i="518"/>
  <c r="A38" i="520"/>
  <c r="L530" i="521"/>
  <c r="L10" i="523"/>
  <c r="J283" i="517"/>
  <c r="L630" i="523"/>
  <c r="J582" i="517"/>
  <c r="P5" i="3"/>
  <c r="M104" i="519"/>
  <c r="I495" i="519"/>
  <c r="L123" i="518"/>
  <c r="L191" i="521"/>
  <c r="K540" i="520"/>
  <c r="E22" i="521"/>
  <c r="I322" i="521"/>
  <c r="M148" i="517"/>
  <c r="I339" i="518"/>
  <c r="L630" i="520"/>
  <c r="L102" i="523"/>
  <c r="K345" i="519"/>
  <c r="M673" i="518"/>
  <c r="K192" i="518"/>
  <c r="I536" i="521"/>
  <c r="M515" i="523"/>
  <c r="M477" i="523"/>
  <c r="I60" i="518"/>
  <c r="K295" i="521"/>
  <c r="I372" i="517"/>
  <c r="I648" i="523"/>
  <c r="M66" i="518"/>
  <c r="I215" i="523"/>
  <c r="M399" i="517"/>
  <c r="M541" i="519"/>
  <c r="C445" i="247"/>
  <c r="I390" i="519"/>
  <c r="I140" i="520"/>
  <c r="I274" i="519"/>
  <c r="K775" i="523"/>
  <c r="M149" i="521"/>
  <c r="F9" i="518"/>
  <c r="J612" i="520"/>
  <c r="M11" i="518"/>
  <c r="I408" i="521"/>
  <c r="K157" i="517"/>
  <c r="I548" i="520"/>
  <c r="I288" i="518"/>
  <c r="M617" i="521"/>
  <c r="J735" i="523"/>
  <c r="L229" i="519"/>
  <c r="L531" i="521"/>
  <c r="I137" i="523"/>
  <c r="J460" i="518"/>
  <c r="C335" i="247"/>
  <c r="M663" i="517"/>
  <c r="M579" i="521"/>
  <c r="M225" i="518"/>
  <c r="D385" i="247"/>
  <c r="M208" i="521"/>
  <c r="J486" i="518"/>
  <c r="I198" i="519"/>
  <c r="J49" i="521"/>
  <c r="I269" i="517"/>
  <c r="M286" i="519"/>
  <c r="J659" i="521"/>
  <c r="J360" i="520"/>
  <c r="L230" i="519"/>
  <c r="K274" i="519"/>
  <c r="M50" i="519"/>
  <c r="I396" i="521"/>
  <c r="I39" i="523"/>
  <c r="J120" i="520"/>
  <c r="K447" i="518"/>
  <c r="M145" i="523"/>
  <c r="I527" i="519"/>
  <c r="J345" i="523"/>
  <c r="L344" i="518"/>
  <c r="K374" i="517"/>
  <c r="A36" i="518"/>
  <c r="J141" i="518"/>
  <c r="L642" i="523"/>
  <c r="L367" i="518"/>
  <c r="K173" i="521"/>
  <c r="M435" i="523"/>
  <c r="I508" i="523"/>
  <c r="M349" i="523"/>
  <c r="M235" i="523"/>
  <c r="L77" i="518"/>
  <c r="K210" i="519"/>
  <c r="K373" i="518"/>
  <c r="M590" i="521"/>
  <c r="M231" i="523"/>
  <c r="M637" i="519"/>
  <c r="L677" i="520"/>
  <c r="M546" i="523"/>
  <c r="L115" i="518"/>
  <c r="K774" i="523"/>
  <c r="J553" i="523"/>
  <c r="L580" i="520"/>
  <c r="L397" i="521"/>
  <c r="J342" i="523"/>
  <c r="I572" i="521"/>
  <c r="M683" i="521"/>
  <c r="L577" i="521"/>
  <c r="K363" i="518"/>
  <c r="K634" i="520"/>
  <c r="C8" i="523"/>
  <c r="K656" i="520"/>
  <c r="K410" i="519"/>
  <c r="L360" i="517"/>
  <c r="J197" i="521"/>
  <c r="L496" i="521"/>
  <c r="D391" i="247"/>
  <c r="K519" i="517"/>
  <c r="J394" i="520"/>
  <c r="K226" i="521"/>
  <c r="A35" i="517"/>
  <c r="M566" i="520"/>
  <c r="C486" i="247"/>
  <c r="M659" i="521"/>
  <c r="K122" i="520"/>
  <c r="J367" i="521"/>
  <c r="I543" i="520"/>
  <c r="L486" i="520"/>
  <c r="L428" i="521"/>
  <c r="K574" i="520"/>
  <c r="I326" i="517"/>
  <c r="L606" i="521"/>
  <c r="K196" i="523"/>
  <c r="J618" i="523"/>
  <c r="M175" i="520"/>
  <c r="M198" i="519"/>
  <c r="I537" i="523"/>
  <c r="I519" i="523"/>
  <c r="K508" i="519"/>
  <c r="I487" i="518"/>
  <c r="I565" i="519"/>
  <c r="M232" i="517"/>
  <c r="K437" i="520"/>
  <c r="C515" i="247"/>
  <c r="L555" i="523"/>
  <c r="L102" i="521"/>
  <c r="J586" i="520"/>
  <c r="L153" i="517"/>
  <c r="D493" i="247"/>
  <c r="D581" i="247"/>
  <c r="M533" i="518"/>
  <c r="L145" i="519"/>
  <c r="J681" i="519"/>
  <c r="C44" i="518"/>
  <c r="C234" i="247"/>
  <c r="K76" i="521"/>
  <c r="L261" i="521"/>
  <c r="J168" i="521"/>
  <c r="M526" i="518"/>
  <c r="D442" i="247"/>
  <c r="D42" i="247"/>
  <c r="I329" i="521"/>
  <c r="I308" i="519"/>
  <c r="C47" i="521"/>
  <c r="J351" i="523"/>
  <c r="E27" i="517"/>
  <c r="M269" i="517"/>
  <c r="I170" i="520"/>
  <c r="J581" i="520"/>
  <c r="M395" i="520"/>
  <c r="K440" i="520"/>
  <c r="K118" i="518"/>
  <c r="M171" i="523"/>
  <c r="K501" i="518"/>
  <c r="L561" i="518"/>
  <c r="K439" i="521"/>
  <c r="C27" i="523"/>
  <c r="K450" i="521"/>
  <c r="M349" i="519"/>
  <c r="L54" i="521"/>
  <c r="M667" i="523"/>
  <c r="M25" i="521"/>
  <c r="M409" i="523"/>
  <c r="L629" i="523"/>
  <c r="J361" i="519"/>
  <c r="J323" i="520"/>
  <c r="J623" i="521"/>
  <c r="K667" i="521"/>
  <c r="I512" i="523"/>
  <c r="J421" i="521"/>
  <c r="I617" i="523"/>
  <c r="L694" i="520"/>
  <c r="J525" i="521"/>
  <c r="J366" i="519"/>
  <c r="L31" i="523"/>
  <c r="I167" i="523"/>
  <c r="K341" i="520"/>
  <c r="J217" i="517"/>
  <c r="K614" i="520"/>
  <c r="I633" i="523"/>
  <c r="L576" i="523"/>
  <c r="M481" i="517"/>
  <c r="M495" i="520"/>
  <c r="J228" i="523"/>
  <c r="J522" i="520"/>
  <c r="J131" i="520"/>
  <c r="J68" i="519"/>
  <c r="K459" i="518"/>
  <c r="K467" i="519"/>
  <c r="J130" i="520"/>
  <c r="M755" i="523"/>
  <c r="I220" i="517"/>
  <c r="K305" i="523"/>
  <c r="L538" i="523"/>
  <c r="K598" i="519"/>
  <c r="J37" i="517"/>
  <c r="M205" i="521"/>
  <c r="J388" i="519"/>
  <c r="J419" i="520"/>
  <c r="K180" i="520"/>
  <c r="I32" i="517"/>
  <c r="J310" i="521"/>
  <c r="I38" i="518"/>
  <c r="G22" i="518"/>
  <c r="M538" i="521"/>
  <c r="K531" i="520"/>
  <c r="L669" i="517"/>
  <c r="J124" i="519"/>
  <c r="L106" i="517"/>
  <c r="L111" i="523"/>
  <c r="K153" i="523"/>
  <c r="K61" i="521"/>
  <c r="M376" i="523"/>
  <c r="D90" i="247"/>
  <c r="I303" i="523"/>
  <c r="L574" i="518"/>
  <c r="L283" i="520"/>
  <c r="J581" i="518"/>
  <c r="I203" i="519"/>
  <c r="I472" i="520"/>
  <c r="L47" i="521"/>
  <c r="K351" i="519"/>
  <c r="M512" i="523"/>
  <c r="I95" i="518"/>
  <c r="I642" i="520"/>
  <c r="I191" i="518"/>
  <c r="J191" i="523"/>
  <c r="I658" i="523"/>
  <c r="I469" i="520"/>
  <c r="L431" i="517"/>
  <c r="K249" i="521"/>
  <c r="M387" i="520"/>
  <c r="M426" i="518"/>
  <c r="K75" i="517"/>
  <c r="C130" i="247"/>
  <c r="J517" i="523"/>
  <c r="M274" i="517"/>
  <c r="K657" i="519"/>
  <c r="J232" i="518"/>
  <c r="J789" i="523"/>
  <c r="M501" i="518"/>
  <c r="L293" i="520"/>
  <c r="I646" i="523"/>
  <c r="I382" i="519"/>
  <c r="I489" i="520"/>
  <c r="I207" i="523"/>
  <c r="L438" i="519"/>
  <c r="J282" i="519"/>
  <c r="K296" i="521"/>
  <c r="L62" i="521"/>
  <c r="H11" i="521"/>
  <c r="M181" i="517"/>
  <c r="K234" i="521"/>
  <c r="L409" i="518"/>
  <c r="L318" i="521"/>
  <c r="I140" i="519"/>
  <c r="J622" i="518"/>
  <c r="L465" i="521"/>
  <c r="M260" i="520"/>
  <c r="L2" i="523"/>
  <c r="L27" i="520"/>
  <c r="M260" i="519"/>
  <c r="M634" i="521"/>
  <c r="L358" i="523"/>
  <c r="M49" i="523"/>
  <c r="I623" i="523"/>
  <c r="L517" i="520"/>
  <c r="C364" i="247"/>
  <c r="J671" i="520"/>
  <c r="K217" i="520"/>
  <c r="L603" i="523"/>
  <c r="J418" i="517"/>
  <c r="L716" i="523"/>
  <c r="I661" i="519"/>
  <c r="I80" i="523"/>
  <c r="J157" i="521"/>
  <c r="I303" i="517"/>
  <c r="I558" i="517"/>
  <c r="C25" i="519"/>
  <c r="M685" i="517"/>
  <c r="I472" i="521"/>
  <c r="L567" i="521"/>
  <c r="K694" i="523"/>
  <c r="M533" i="521"/>
  <c r="I56" i="521"/>
  <c r="D407" i="247"/>
  <c r="J96" i="518"/>
  <c r="C45" i="519"/>
  <c r="G21" i="523"/>
  <c r="J99" i="517"/>
  <c r="K494" i="523"/>
  <c r="K368" i="518"/>
  <c r="D403" i="247"/>
  <c r="G10" i="521"/>
  <c r="L452" i="518"/>
  <c r="J596" i="520"/>
  <c r="I317" i="520"/>
  <c r="L185" i="521"/>
  <c r="I21" i="518"/>
  <c r="L198" i="520"/>
  <c r="M677" i="518"/>
  <c r="M164" i="519"/>
  <c r="I426" i="518"/>
  <c r="I443" i="518"/>
  <c r="K642" i="517"/>
  <c r="E25" i="521"/>
  <c r="L313" i="521"/>
  <c r="K624" i="521"/>
  <c r="K101" i="519"/>
  <c r="K270" i="517"/>
  <c r="K567" i="517"/>
  <c r="J70" i="517"/>
  <c r="M207" i="519"/>
  <c r="L348" i="519"/>
  <c r="K523" i="523"/>
  <c r="I820" i="523"/>
  <c r="Q18" i="3"/>
  <c r="L310" i="523"/>
  <c r="I274" i="520"/>
  <c r="K215" i="520"/>
  <c r="L654" i="523"/>
  <c r="C167" i="247"/>
  <c r="M575" i="519"/>
  <c r="L342" i="518"/>
  <c r="K550" i="519"/>
  <c r="M41" i="523"/>
  <c r="K345" i="521"/>
  <c r="K655" i="521"/>
  <c r="L360" i="523"/>
  <c r="L92" i="517"/>
  <c r="I136" i="519"/>
  <c r="M280" i="518"/>
  <c r="K421" i="517"/>
  <c r="I344" i="517"/>
  <c r="L600" i="519"/>
  <c r="K211" i="517"/>
  <c r="D175" i="247"/>
  <c r="I584" i="517"/>
  <c r="I316" i="521"/>
  <c r="J450" i="517"/>
  <c r="L403" i="517"/>
  <c r="L674" i="517"/>
  <c r="J242" i="518"/>
  <c r="J109" i="523"/>
  <c r="A32" i="518"/>
  <c r="I356" i="519"/>
  <c r="J430" i="523"/>
  <c r="M295" i="519"/>
  <c r="K470" i="517"/>
  <c r="M234" i="523"/>
  <c r="L409" i="517"/>
  <c r="A24" i="523"/>
  <c r="L159" i="523"/>
  <c r="J696" i="523"/>
  <c r="M114" i="520"/>
  <c r="L339" i="521"/>
  <c r="M357" i="517"/>
  <c r="I453" i="519"/>
  <c r="J158" i="520"/>
  <c r="I287" i="517"/>
  <c r="L367" i="517"/>
  <c r="L550" i="519"/>
  <c r="M495" i="521"/>
  <c r="M179" i="523"/>
  <c r="K70" i="520"/>
  <c r="K639" i="517"/>
  <c r="K625" i="518"/>
  <c r="K138" i="518"/>
  <c r="I84" i="518"/>
  <c r="L317" i="517"/>
  <c r="K373" i="521"/>
  <c r="I159" i="523"/>
  <c r="K810" i="523"/>
  <c r="I490" i="517"/>
  <c r="J506" i="521"/>
  <c r="I338" i="523"/>
  <c r="K389" i="520"/>
  <c r="M543" i="521"/>
  <c r="L199" i="519"/>
  <c r="I351" i="520"/>
  <c r="M683" i="520"/>
  <c r="D173" i="247"/>
  <c r="M233" i="523"/>
  <c r="L188" i="517"/>
  <c r="C32" i="523"/>
  <c r="J84" i="521"/>
  <c r="L212" i="517"/>
  <c r="M603" i="521"/>
  <c r="M602" i="518"/>
  <c r="I290" i="517"/>
  <c r="K664" i="521"/>
  <c r="M147" i="518"/>
  <c r="J627" i="520"/>
  <c r="I30" i="520"/>
  <c r="K111" i="518"/>
  <c r="J584" i="519"/>
  <c r="J564" i="523"/>
  <c r="K448" i="519"/>
  <c r="L639" i="523"/>
  <c r="J652" i="519"/>
  <c r="D274" i="247"/>
  <c r="J161" i="521"/>
  <c r="J217" i="523"/>
  <c r="I629" i="523"/>
  <c r="J308" i="518"/>
  <c r="L44" i="520"/>
  <c r="C100" i="247"/>
  <c r="L589" i="518"/>
  <c r="M498" i="520"/>
  <c r="I62" i="517"/>
  <c r="C461" i="247"/>
  <c r="K128" i="517"/>
  <c r="M455" i="521"/>
  <c r="J423" i="521"/>
  <c r="K267" i="520"/>
  <c r="L131" i="517"/>
  <c r="L654" i="520"/>
  <c r="L594" i="521"/>
  <c r="L646" i="523"/>
  <c r="I325" i="523"/>
  <c r="J272" i="518"/>
  <c r="K313" i="520"/>
  <c r="J686" i="523"/>
  <c r="I461" i="518"/>
  <c r="K476" i="519"/>
  <c r="I542" i="518"/>
  <c r="K328" i="521"/>
  <c r="L281" i="520"/>
  <c r="K159" i="521"/>
  <c r="K184" i="521"/>
  <c r="J414" i="523"/>
  <c r="L106" i="518"/>
  <c r="K94" i="518"/>
  <c r="K816" i="523"/>
  <c r="M272" i="519"/>
  <c r="M8" i="520"/>
  <c r="L599" i="521"/>
  <c r="M86" i="520"/>
  <c r="J471" i="519"/>
  <c r="L65" i="518"/>
  <c r="M81" i="521"/>
  <c r="M245" i="523"/>
  <c r="K428" i="520"/>
  <c r="I390" i="523"/>
  <c r="K318" i="518"/>
  <c r="I280" i="520"/>
  <c r="F7" i="518"/>
  <c r="J126" i="523"/>
  <c r="K614" i="519"/>
  <c r="I253" i="520"/>
  <c r="K688" i="520"/>
  <c r="J140" i="517"/>
  <c r="L169" i="521"/>
  <c r="K165" i="523"/>
  <c r="L149" i="521"/>
  <c r="D137" i="247"/>
  <c r="I387" i="520"/>
  <c r="J115" i="519"/>
  <c r="M458" i="523"/>
  <c r="J759" i="523"/>
  <c r="M389" i="523"/>
  <c r="J98" i="520"/>
  <c r="L160" i="518"/>
  <c r="M575" i="518"/>
  <c r="K270" i="520"/>
  <c r="H25" i="519"/>
  <c r="K107" i="523"/>
  <c r="I656" i="523"/>
  <c r="L658" i="518"/>
  <c r="L49" i="523"/>
  <c r="J182" i="523"/>
  <c r="J195" i="519"/>
  <c r="M388" i="523"/>
  <c r="I82" i="521"/>
  <c r="L746" i="523"/>
  <c r="J514" i="519"/>
  <c r="J533" i="521"/>
  <c r="M429" i="519"/>
  <c r="L477" i="521"/>
  <c r="M440" i="519"/>
  <c r="K684" i="518"/>
  <c r="M315" i="521"/>
  <c r="M356" i="518"/>
  <c r="J699" i="523"/>
  <c r="D371" i="247"/>
  <c r="L670" i="517"/>
  <c r="D364" i="247"/>
  <c r="J292" i="520"/>
  <c r="D124" i="247"/>
  <c r="J363" i="519"/>
  <c r="K579" i="518"/>
  <c r="M38" i="520"/>
  <c r="I441" i="518"/>
  <c r="J502" i="518"/>
  <c r="A36" i="523"/>
  <c r="A3" i="518"/>
  <c r="I321" i="518"/>
  <c r="J487" i="521"/>
  <c r="M563" i="519"/>
  <c r="L200" i="518"/>
  <c r="I525" i="517"/>
  <c r="K145" i="520"/>
  <c r="J159" i="523"/>
  <c r="L658" i="517"/>
  <c r="L336" i="517"/>
  <c r="L181" i="523"/>
  <c r="K468" i="517"/>
  <c r="K201" i="520"/>
  <c r="K701" i="523"/>
  <c r="M184" i="518"/>
  <c r="I150" i="521"/>
  <c r="J211" i="523"/>
  <c r="M19" i="519"/>
  <c r="I497" i="520"/>
  <c r="I507" i="523"/>
  <c r="I271" i="520"/>
  <c r="K450" i="520"/>
  <c r="J86" i="520"/>
  <c r="M213" i="523"/>
  <c r="L186" i="521"/>
  <c r="J644" i="521"/>
  <c r="I569" i="521"/>
  <c r="I278" i="521"/>
  <c r="M793" i="523"/>
  <c r="M767" i="523"/>
  <c r="M193" i="520"/>
  <c r="M273" i="521"/>
  <c r="K49" i="520"/>
  <c r="I568" i="521"/>
  <c r="K398" i="521"/>
  <c r="J202" i="517"/>
  <c r="I555" i="517"/>
  <c r="D513" i="247"/>
  <c r="I769" i="523"/>
  <c r="L254" i="518"/>
  <c r="J86" i="517"/>
  <c r="J291" i="519"/>
  <c r="M515" i="518"/>
  <c r="G6" i="519"/>
  <c r="J625" i="520"/>
  <c r="I169" i="518"/>
  <c r="I62" i="518"/>
  <c r="L463" i="521"/>
  <c r="I119" i="518"/>
  <c r="I15" i="523"/>
  <c r="L420" i="517"/>
  <c r="J69" i="519"/>
  <c r="L686" i="517"/>
  <c r="M67" i="521"/>
  <c r="L583" i="517"/>
  <c r="D167" i="247"/>
  <c r="I477" i="517"/>
  <c r="M436" i="519"/>
  <c r="I658" i="517"/>
  <c r="C325" i="247"/>
  <c r="J504" i="519"/>
  <c r="L292" i="519"/>
  <c r="D445" i="247"/>
  <c r="M293" i="519"/>
  <c r="D422" i="247"/>
  <c r="I261" i="523"/>
  <c r="L84" i="521"/>
  <c r="K81" i="517"/>
  <c r="J835" i="523"/>
  <c r="K509" i="517"/>
  <c r="K667" i="518"/>
  <c r="M126" i="521"/>
  <c r="M560" i="518"/>
  <c r="I557" i="520"/>
  <c r="L125" i="518"/>
  <c r="L548" i="519"/>
  <c r="J7" i="518"/>
  <c r="L487" i="523"/>
  <c r="L21" i="519"/>
  <c r="M31" i="518"/>
  <c r="M115" i="523"/>
  <c r="J448" i="523"/>
  <c r="M677" i="519"/>
  <c r="L170" i="518"/>
  <c r="L581" i="521"/>
  <c r="M295" i="523"/>
  <c r="J447" i="523"/>
  <c r="J341" i="518"/>
  <c r="M51" i="520"/>
  <c r="I102" i="517"/>
  <c r="J286" i="518"/>
  <c r="G21" i="518"/>
  <c r="K151" i="519"/>
  <c r="K353" i="518"/>
  <c r="K401" i="523"/>
  <c r="I356" i="523"/>
  <c r="K559" i="520"/>
  <c r="J685" i="523"/>
  <c r="I567" i="518"/>
  <c r="K244" i="519"/>
  <c r="D487" i="247"/>
  <c r="K428" i="518"/>
  <c r="I634" i="517"/>
  <c r="I37" i="519"/>
  <c r="K629" i="520"/>
  <c r="L566" i="517"/>
  <c r="H26" i="519"/>
  <c r="J67" i="517"/>
  <c r="K396" i="517"/>
  <c r="I398" i="519"/>
  <c r="M436" i="521"/>
  <c r="L614" i="521"/>
  <c r="I659" i="521"/>
  <c r="K636" i="520"/>
  <c r="J346" i="519"/>
  <c r="L537" i="520"/>
  <c r="M339" i="521"/>
  <c r="K399" i="519"/>
  <c r="H12" i="520"/>
  <c r="I457" i="520"/>
  <c r="K400" i="523"/>
  <c r="K105" i="518"/>
  <c r="I400" i="517"/>
  <c r="L448" i="519"/>
  <c r="I294" i="521"/>
  <c r="I31" i="521"/>
  <c r="I348" i="523"/>
  <c r="J730" i="523"/>
  <c r="M45" i="523"/>
  <c r="C381" i="247"/>
  <c r="M342" i="521"/>
  <c r="D163" i="247"/>
  <c r="M92" i="521"/>
  <c r="K603" i="521"/>
  <c r="I4" i="521"/>
  <c r="L485" i="518"/>
  <c r="M444" i="518"/>
  <c r="H19" i="517"/>
  <c r="E2" i="523"/>
  <c r="L499" i="521"/>
  <c r="L241" i="519"/>
  <c r="K282" i="517"/>
  <c r="K752" i="523"/>
  <c r="I129" i="518"/>
  <c r="I404" i="519"/>
  <c r="J205" i="520"/>
  <c r="I72" i="523"/>
  <c r="M180" i="520"/>
  <c r="M375" i="523"/>
  <c r="M407" i="517"/>
  <c r="J668" i="519"/>
  <c r="L41" i="519"/>
  <c r="K289" i="519"/>
  <c r="I113" i="521"/>
  <c r="J199" i="521"/>
  <c r="J317" i="520"/>
  <c r="M333" i="520"/>
  <c r="J332" i="523"/>
  <c r="K453" i="517"/>
  <c r="K543" i="519"/>
  <c r="I592" i="521"/>
  <c r="I138" i="520"/>
  <c r="M458" i="518"/>
  <c r="B15" i="482"/>
  <c r="M665" i="521"/>
  <c r="L612" i="517"/>
  <c r="G7" i="519"/>
  <c r="L309" i="518"/>
  <c r="M561" i="521"/>
  <c r="L656" i="517"/>
  <c r="J101" i="521"/>
  <c r="K242" i="521"/>
  <c r="K430" i="518"/>
  <c r="I478" i="520"/>
  <c r="I491" i="519"/>
  <c r="I243" i="519"/>
  <c r="B20" i="482"/>
  <c r="K96" i="518"/>
  <c r="K252" i="523"/>
  <c r="L223" i="517"/>
  <c r="I627" i="519"/>
  <c r="I268" i="519"/>
  <c r="L482" i="518"/>
  <c r="L631" i="523"/>
  <c r="I114" i="518"/>
  <c r="M35" i="520"/>
  <c r="C22" i="517"/>
  <c r="C21" i="520"/>
  <c r="J643" i="518"/>
  <c r="J161" i="517"/>
  <c r="K53" i="521"/>
  <c r="J318" i="518"/>
  <c r="M511" i="523"/>
  <c r="J511" i="521"/>
  <c r="L463" i="519"/>
  <c r="K697" i="523"/>
  <c r="I534" i="523"/>
  <c r="K420" i="517"/>
  <c r="J311" i="521"/>
  <c r="J469" i="519"/>
  <c r="I72" i="517"/>
  <c r="I264" i="523"/>
  <c r="L19" i="523"/>
  <c r="J646" i="518"/>
  <c r="M143" i="518"/>
  <c r="M214" i="523"/>
  <c r="I40" i="520"/>
  <c r="K423" i="517"/>
  <c r="L13" i="519"/>
  <c r="L125" i="517"/>
  <c r="M605" i="521"/>
  <c r="I126" i="519"/>
  <c r="K466" i="520"/>
  <c r="K530" i="520"/>
  <c r="I569" i="519"/>
  <c r="K358" i="520"/>
  <c r="L248" i="519"/>
  <c r="K465" i="518"/>
  <c r="K380" i="520"/>
  <c r="K263" i="520"/>
  <c r="J599" i="518"/>
  <c r="K185" i="517"/>
  <c r="M656" i="519"/>
  <c r="J548" i="519"/>
  <c r="L177" i="523"/>
  <c r="A9" i="517"/>
  <c r="L47" i="520"/>
  <c r="J638" i="518"/>
  <c r="I293" i="520"/>
  <c r="K113" i="521"/>
  <c r="L2" i="521"/>
  <c r="M567" i="520"/>
  <c r="M777" i="523"/>
  <c r="L50" i="518"/>
  <c r="M424" i="520"/>
  <c r="J483" i="517"/>
  <c r="I33" i="520"/>
  <c r="M574" i="517"/>
  <c r="A3" i="521"/>
  <c r="L300" i="521"/>
  <c r="K614" i="521"/>
  <c r="L525" i="517"/>
  <c r="K520" i="519"/>
  <c r="K370" i="518"/>
  <c r="L293" i="517"/>
  <c r="M127" i="519"/>
  <c r="J23" i="519"/>
  <c r="J516" i="519"/>
  <c r="J115" i="518"/>
  <c r="I273" i="519"/>
  <c r="J416" i="518"/>
  <c r="J331" i="523"/>
  <c r="J156" i="517"/>
  <c r="J270" i="518"/>
  <c r="I539" i="519"/>
  <c r="I385" i="519"/>
  <c r="K342" i="521"/>
  <c r="I528" i="521"/>
  <c r="I453" i="520"/>
  <c r="M645" i="518"/>
  <c r="L559" i="521"/>
  <c r="D143" i="247"/>
  <c r="I299" i="518"/>
  <c r="I580" i="520"/>
  <c r="L633" i="517"/>
  <c r="K401" i="520"/>
  <c r="K659" i="517"/>
  <c r="K220" i="519"/>
  <c r="L269" i="517"/>
  <c r="I535" i="517"/>
  <c r="M151" i="523"/>
  <c r="K7" i="521"/>
  <c r="J519" i="520"/>
  <c r="J424" i="518"/>
  <c r="I289" i="519"/>
  <c r="I117" i="523"/>
  <c r="M567" i="518"/>
  <c r="I258" i="521"/>
  <c r="I105" i="520"/>
  <c r="M103" i="518"/>
  <c r="I182" i="521"/>
  <c r="I568" i="523"/>
  <c r="M212" i="523"/>
  <c r="K359" i="519"/>
  <c r="M153" i="520"/>
  <c r="I160" i="523"/>
  <c r="K198" i="521"/>
  <c r="M512" i="518"/>
  <c r="I512" i="520"/>
  <c r="J385" i="517"/>
  <c r="L53" i="519"/>
  <c r="F10" i="523"/>
  <c r="K677" i="520"/>
  <c r="M452" i="521"/>
  <c r="K559" i="519"/>
  <c r="L7" i="523"/>
  <c r="J568" i="517"/>
  <c r="I688" i="521"/>
  <c r="P38" i="3"/>
  <c r="K102" i="521"/>
  <c r="I393" i="520"/>
  <c r="J379" i="519"/>
  <c r="H8" i="523"/>
  <c r="L244" i="520"/>
  <c r="M27" i="518"/>
  <c r="L520" i="520"/>
  <c r="J743" i="523"/>
  <c r="J249" i="520"/>
  <c r="I503" i="517"/>
  <c r="M434" i="523"/>
  <c r="J528" i="519"/>
  <c r="J494" i="521"/>
  <c r="L454" i="520"/>
  <c r="J377" i="519"/>
  <c r="L501" i="520"/>
  <c r="J541" i="518"/>
  <c r="G10" i="523"/>
  <c r="M38" i="519"/>
  <c r="L142" i="520"/>
  <c r="L470" i="518"/>
  <c r="J178" i="521"/>
  <c r="M6" i="521"/>
  <c r="J608" i="518"/>
  <c r="M229" i="519"/>
  <c r="I225" i="519"/>
  <c r="I527" i="523"/>
  <c r="J396" i="523"/>
  <c r="L535" i="518"/>
  <c r="K146" i="521"/>
  <c r="M123" i="521"/>
  <c r="J271" i="519"/>
  <c r="K546" i="517"/>
  <c r="J568" i="519"/>
  <c r="J35" i="521"/>
  <c r="L371" i="520"/>
  <c r="M40" i="523"/>
  <c r="L412" i="517"/>
  <c r="D260" i="247"/>
  <c r="I87" i="518"/>
  <c r="D575" i="247"/>
  <c r="I457" i="521"/>
  <c r="J141" i="517"/>
  <c r="L492" i="520"/>
  <c r="K644" i="517"/>
  <c r="M306" i="518"/>
  <c r="K521" i="520"/>
  <c r="J32" i="517"/>
  <c r="M215" i="521"/>
  <c r="J208" i="523"/>
  <c r="I459" i="518"/>
  <c r="J138" i="520"/>
  <c r="K192" i="520"/>
  <c r="D520" i="247"/>
  <c r="I642" i="517"/>
  <c r="I616" i="520"/>
  <c r="Q43" i="3"/>
  <c r="I11" i="520"/>
  <c r="M139" i="523"/>
  <c r="I301" i="519"/>
  <c r="K763" i="523"/>
  <c r="J201" i="519"/>
  <c r="K423" i="519"/>
  <c r="M670" i="518"/>
  <c r="M642" i="519"/>
  <c r="L123" i="523"/>
  <c r="I9" i="520"/>
  <c r="C302" i="247"/>
  <c r="K386" i="519"/>
  <c r="C81" i="247"/>
  <c r="M601" i="517"/>
  <c r="I407" i="523"/>
  <c r="I407" i="520"/>
  <c r="I307" i="521"/>
  <c r="J194" i="520"/>
  <c r="K397" i="521"/>
  <c r="M121" i="523"/>
  <c r="M327" i="519"/>
  <c r="J179" i="523"/>
  <c r="K159" i="518"/>
  <c r="I673" i="520"/>
  <c r="A2" i="519"/>
  <c r="K425" i="521"/>
  <c r="K491" i="520"/>
  <c r="M233" i="519"/>
  <c r="M579" i="523"/>
  <c r="C104" i="247"/>
  <c r="I402" i="523"/>
  <c r="M526" i="523"/>
  <c r="K643" i="519"/>
  <c r="J217" i="520"/>
  <c r="J280" i="519"/>
  <c r="J375" i="518"/>
  <c r="I631" i="518"/>
  <c r="J314" i="521"/>
  <c r="M356" i="523"/>
  <c r="M714" i="523"/>
  <c r="J560" i="517"/>
  <c r="J121" i="518"/>
  <c r="M214" i="517"/>
  <c r="K320" i="520"/>
  <c r="C337" i="247"/>
  <c r="K571" i="519"/>
  <c r="K49" i="518"/>
  <c r="I407" i="517"/>
  <c r="K112" i="517"/>
  <c r="J184" i="523"/>
  <c r="I352" i="520"/>
  <c r="I284" i="519"/>
  <c r="M545" i="517"/>
  <c r="M308" i="518"/>
  <c r="L547" i="519"/>
  <c r="J423" i="520"/>
  <c r="K598" i="520"/>
  <c r="I115" i="517"/>
  <c r="K186" i="521"/>
  <c r="I652" i="523"/>
  <c r="L412" i="520"/>
  <c r="C136" i="247"/>
  <c r="I329" i="519"/>
  <c r="A6" i="523"/>
  <c r="D392" i="247"/>
  <c r="M387" i="519"/>
  <c r="L339" i="517"/>
  <c r="L116" i="518"/>
  <c r="J286" i="517"/>
  <c r="M529" i="521"/>
  <c r="J296" i="523"/>
  <c r="I452" i="520"/>
  <c r="I574" i="519"/>
  <c r="I198" i="518"/>
  <c r="C39" i="247"/>
  <c r="I201" i="518"/>
  <c r="K302" i="520"/>
  <c r="I569" i="520"/>
  <c r="M298" i="517"/>
  <c r="J160" i="520"/>
  <c r="J33" i="520"/>
  <c r="K381" i="520"/>
  <c r="I156" i="523"/>
  <c r="L364" i="521"/>
  <c r="L61" i="523"/>
  <c r="M646" i="523"/>
  <c r="K383" i="518"/>
  <c r="I419" i="520"/>
  <c r="I807" i="523"/>
  <c r="J460" i="520"/>
  <c r="J610" i="518"/>
  <c r="J125" i="519"/>
  <c r="J193" i="521"/>
  <c r="G5" i="519"/>
  <c r="M185" i="523"/>
  <c r="J698" i="523"/>
  <c r="L681" i="520"/>
  <c r="M267" i="520"/>
  <c r="J117" i="521"/>
  <c r="M231" i="517"/>
  <c r="J327" i="521"/>
  <c r="L190" i="517"/>
  <c r="J228" i="520"/>
  <c r="J219" i="517"/>
  <c r="I84" i="521"/>
  <c r="I540" i="521"/>
  <c r="J161" i="523"/>
  <c r="J362" i="518"/>
  <c r="L598" i="523"/>
  <c r="J169" i="520"/>
  <c r="I179" i="519"/>
  <c r="J393" i="521"/>
  <c r="K97" i="521"/>
  <c r="M469" i="521"/>
  <c r="M342" i="523"/>
  <c r="M252" i="521"/>
  <c r="L265" i="523"/>
  <c r="J57" i="517"/>
  <c r="D271" i="247"/>
  <c r="K272" i="519"/>
  <c r="L292" i="518"/>
  <c r="M830" i="523"/>
  <c r="I397" i="523"/>
  <c r="J379" i="520"/>
  <c r="I115" i="520"/>
  <c r="I314" i="518"/>
  <c r="M703" i="523"/>
  <c r="D480" i="247"/>
  <c r="M85" i="519"/>
  <c r="J605" i="521"/>
  <c r="L370" i="518"/>
  <c r="L677" i="523"/>
  <c r="I644" i="521"/>
  <c r="J413" i="523"/>
  <c r="J690" i="523"/>
  <c r="M818" i="523"/>
  <c r="M455" i="519"/>
  <c r="M597" i="520"/>
  <c r="I259" i="523"/>
  <c r="L134" i="518"/>
  <c r="M204" i="518"/>
  <c r="M285" i="518"/>
  <c r="K351" i="520"/>
  <c r="L351" i="523"/>
  <c r="I577" i="519"/>
  <c r="M464" i="519"/>
  <c r="M263" i="518"/>
  <c r="E26" i="520"/>
  <c r="I103" i="520"/>
  <c r="K225" i="517"/>
  <c r="L611" i="521"/>
  <c r="J673" i="518"/>
  <c r="K203" i="517"/>
  <c r="I243" i="518"/>
  <c r="L359" i="520"/>
  <c r="K648" i="520"/>
  <c r="M231" i="520"/>
  <c r="M293" i="523"/>
  <c r="I317" i="519"/>
  <c r="K588" i="519"/>
  <c r="J629" i="518"/>
  <c r="L172" i="518"/>
  <c r="D530" i="247"/>
  <c r="M431" i="519"/>
  <c r="J338" i="520"/>
  <c r="I668" i="519"/>
  <c r="J457" i="519"/>
  <c r="K467" i="520"/>
  <c r="K219" i="523"/>
  <c r="J73" i="517"/>
  <c r="M341" i="523"/>
  <c r="L276" i="517"/>
  <c r="C44" i="519"/>
  <c r="J632" i="520"/>
  <c r="I367" i="521"/>
  <c r="J15" i="520"/>
  <c r="M509" i="518"/>
  <c r="L429" i="519"/>
  <c r="K239" i="517"/>
  <c r="I452" i="523"/>
  <c r="M532" i="521"/>
  <c r="L553" i="518"/>
  <c r="J633" i="523"/>
  <c r="K192" i="523"/>
  <c r="L105" i="520"/>
  <c r="I560" i="519"/>
  <c r="L106" i="521"/>
  <c r="M83" i="519"/>
  <c r="I742" i="523"/>
  <c r="K305" i="519"/>
  <c r="A30" i="518"/>
  <c r="J215" i="520"/>
  <c r="B2" i="482"/>
  <c r="I450" i="523"/>
  <c r="F5" i="520"/>
  <c r="M184" i="523"/>
  <c r="K307" i="519"/>
  <c r="M286" i="517"/>
  <c r="K236" i="523"/>
  <c r="I620" i="519"/>
  <c r="L431" i="520"/>
  <c r="J278" i="520"/>
  <c r="K516" i="521"/>
  <c r="J229" i="521"/>
  <c r="J450" i="519"/>
  <c r="M541" i="518"/>
  <c r="L641" i="519"/>
  <c r="J619" i="517"/>
  <c r="I302" i="520"/>
  <c r="J224" i="523"/>
  <c r="K501" i="523"/>
  <c r="K337" i="523"/>
  <c r="I684" i="519"/>
  <c r="K384" i="519"/>
  <c r="K426" i="520"/>
  <c r="K433" i="519"/>
  <c r="I483" i="518"/>
  <c r="L669" i="523"/>
  <c r="L38" i="518"/>
  <c r="J348" i="521"/>
  <c r="L670" i="523"/>
  <c r="L169" i="523"/>
  <c r="K99" i="517"/>
  <c r="J342" i="521"/>
  <c r="K678" i="519"/>
  <c r="K520" i="517"/>
  <c r="J667" i="521"/>
  <c r="A3" i="523"/>
  <c r="M297" i="519"/>
  <c r="M275" i="518"/>
  <c r="K501" i="519"/>
  <c r="I625" i="520"/>
  <c r="M80" i="521"/>
  <c r="J136" i="520"/>
  <c r="L617" i="519"/>
  <c r="K98" i="523"/>
  <c r="M606" i="517"/>
  <c r="J337" i="523"/>
  <c r="I409" i="517"/>
  <c r="K199" i="517"/>
  <c r="I660" i="523"/>
  <c r="I505" i="518"/>
  <c r="K442" i="518"/>
  <c r="C166" i="247"/>
  <c r="I490" i="523"/>
  <c r="K533" i="517"/>
  <c r="D132" i="247"/>
  <c r="M267" i="521"/>
  <c r="I194" i="519"/>
  <c r="M409" i="517"/>
  <c r="I332" i="519"/>
  <c r="L26" i="521"/>
  <c r="I209" i="521"/>
  <c r="J139" i="523"/>
  <c r="L355" i="518"/>
  <c r="L569" i="523"/>
  <c r="I373" i="517"/>
  <c r="K9" i="523"/>
  <c r="J63" i="523"/>
  <c r="K398" i="519"/>
  <c r="J465" i="519"/>
  <c r="J628" i="523"/>
  <c r="M577" i="517"/>
  <c r="I481" i="523"/>
  <c r="I615" i="519"/>
  <c r="L666" i="518"/>
  <c r="D199" i="247"/>
  <c r="I618" i="521"/>
  <c r="L82" i="519"/>
  <c r="L601" i="517"/>
  <c r="L626" i="519"/>
  <c r="K567" i="523"/>
  <c r="I573" i="517"/>
  <c r="L381" i="518"/>
  <c r="M503" i="517"/>
  <c r="L545" i="523"/>
  <c r="K7" i="519"/>
  <c r="J427" i="519"/>
  <c r="I652" i="520"/>
  <c r="C38" i="519"/>
  <c r="K119" i="519"/>
  <c r="M101" i="519"/>
  <c r="L62" i="520"/>
  <c r="K19" i="518"/>
  <c r="K21" i="521"/>
  <c r="M26" i="518"/>
  <c r="D524" i="247"/>
  <c r="J560" i="518"/>
  <c r="M187" i="518"/>
  <c r="M707" i="523"/>
  <c r="M606" i="518"/>
  <c r="I45" i="521"/>
  <c r="C505" i="247"/>
  <c r="J526" i="518"/>
  <c r="M29" i="520"/>
  <c r="C114" i="247"/>
  <c r="C87" i="247"/>
  <c r="G2" i="523"/>
  <c r="M445" i="520"/>
  <c r="L273" i="519"/>
  <c r="I183" i="517"/>
  <c r="J249" i="523"/>
  <c r="C212" i="247"/>
  <c r="L667" i="521"/>
  <c r="K128" i="523"/>
  <c r="K275" i="521"/>
  <c r="M44" i="518"/>
  <c r="I173" i="519"/>
  <c r="M130" i="519"/>
  <c r="I523" i="517"/>
  <c r="I108" i="523"/>
  <c r="I282" i="518"/>
  <c r="K308" i="519"/>
  <c r="F10" i="521"/>
  <c r="M111" i="523"/>
  <c r="J579" i="520"/>
  <c r="C242" i="247"/>
  <c r="J75" i="517"/>
  <c r="L128" i="518"/>
  <c r="M518" i="518"/>
  <c r="L333" i="518"/>
  <c r="A16" i="520"/>
  <c r="J272" i="521"/>
  <c r="I385" i="521"/>
  <c r="L58" i="518"/>
  <c r="P6" i="3"/>
  <c r="L481" i="519"/>
  <c r="K541" i="519"/>
  <c r="K612" i="518"/>
  <c r="L654" i="517"/>
  <c r="K361" i="519"/>
  <c r="M356" i="519"/>
  <c r="M4" i="523"/>
  <c r="K540" i="518"/>
  <c r="M151" i="517"/>
  <c r="I363" i="518"/>
  <c r="C466" i="247"/>
  <c r="I691" i="520"/>
  <c r="J503" i="518"/>
  <c r="L464" i="523"/>
  <c r="I139" i="521"/>
  <c r="K626" i="520"/>
  <c r="K604" i="521"/>
  <c r="C44" i="520"/>
  <c r="L139" i="520"/>
  <c r="M312" i="519"/>
  <c r="J111" i="523"/>
  <c r="L406" i="521"/>
  <c r="L487" i="517"/>
  <c r="M392" i="523"/>
  <c r="M256" i="520"/>
  <c r="K365" i="521"/>
  <c r="I95" i="523"/>
  <c r="I399" i="523"/>
  <c r="M582" i="519"/>
  <c r="I13" i="521"/>
  <c r="L562" i="521"/>
  <c r="J765" i="523"/>
  <c r="J334" i="523"/>
  <c r="M348" i="518"/>
  <c r="F11" i="521"/>
  <c r="J700" i="523"/>
  <c r="M646" i="518"/>
  <c r="D519" i="247"/>
  <c r="C566" i="247"/>
  <c r="M623" i="517"/>
  <c r="C230" i="247"/>
  <c r="K629" i="517"/>
  <c r="J432" i="519"/>
  <c r="L524" i="519"/>
  <c r="L83" i="518"/>
  <c r="J182" i="520"/>
  <c r="J16" i="521"/>
  <c r="J191" i="517"/>
  <c r="I408" i="518"/>
  <c r="K42" i="519"/>
  <c r="M280" i="521"/>
  <c r="M402" i="517"/>
  <c r="I107" i="523"/>
  <c r="L318" i="523"/>
  <c r="K409" i="517"/>
  <c r="K544" i="520"/>
  <c r="M519" i="517"/>
  <c r="F24" i="521"/>
  <c r="L155" i="519"/>
  <c r="M141" i="521"/>
  <c r="L540" i="523"/>
  <c r="J352" i="518"/>
  <c r="L563" i="517"/>
  <c r="J4" i="523"/>
  <c r="K12" i="518"/>
  <c r="L369" i="519"/>
  <c r="I543" i="517"/>
  <c r="L258" i="519"/>
  <c r="I82" i="520"/>
  <c r="J613" i="519"/>
  <c r="J675" i="519"/>
  <c r="K793" i="523"/>
  <c r="L28" i="523"/>
  <c r="L103" i="521"/>
  <c r="K409" i="520"/>
  <c r="K288" i="520"/>
  <c r="K517" i="517"/>
  <c r="L349" i="519"/>
  <c r="I621" i="523"/>
  <c r="M272" i="523"/>
  <c r="L435" i="517"/>
  <c r="L346" i="521"/>
  <c r="K534" i="523"/>
  <c r="K193" i="520"/>
  <c r="K65" i="519"/>
  <c r="I264" i="517"/>
  <c r="D499" i="247"/>
  <c r="K177" i="521"/>
  <c r="L537" i="518"/>
  <c r="L206" i="518"/>
  <c r="J364" i="517"/>
  <c r="I420" i="517"/>
  <c r="J10" i="520"/>
  <c r="M156" i="518"/>
  <c r="I665" i="519"/>
  <c r="K728" i="523"/>
  <c r="I347" i="519"/>
  <c r="M16" i="519"/>
  <c r="K350" i="521"/>
  <c r="J660" i="523"/>
  <c r="J262" i="520"/>
  <c r="M439" i="517"/>
  <c r="I536" i="517"/>
  <c r="J133" i="521"/>
  <c r="J66" i="517"/>
  <c r="L455" i="523"/>
  <c r="K5" i="521"/>
  <c r="K206" i="523"/>
  <c r="M189" i="523"/>
  <c r="M483" i="518"/>
  <c r="M571" i="523"/>
  <c r="M202" i="523"/>
  <c r="M664" i="521"/>
  <c r="K456" i="519"/>
  <c r="L353" i="523"/>
  <c r="J411" i="523"/>
  <c r="J136" i="517"/>
  <c r="K362" i="520"/>
  <c r="L530" i="518"/>
  <c r="M698" i="523"/>
  <c r="J611" i="523"/>
  <c r="A32" i="520"/>
  <c r="M421" i="523"/>
  <c r="M94" i="519"/>
  <c r="L3" i="519"/>
  <c r="L546" i="521"/>
  <c r="J417" i="519"/>
  <c r="K115" i="517"/>
  <c r="J508" i="519"/>
  <c r="I626" i="520"/>
  <c r="L63" i="521"/>
  <c r="M334" i="518"/>
  <c r="K407" i="517"/>
  <c r="L36" i="519"/>
  <c r="K236" i="519"/>
  <c r="J643" i="519"/>
  <c r="L426" i="519"/>
  <c r="A23" i="517"/>
  <c r="J434" i="518"/>
  <c r="M688" i="520"/>
  <c r="L186" i="519"/>
  <c r="I672" i="517"/>
  <c r="I11" i="521"/>
  <c r="L187" i="523"/>
  <c r="K523" i="518"/>
  <c r="J292" i="521"/>
  <c r="I259" i="517"/>
  <c r="I2" i="521"/>
  <c r="J570" i="521"/>
  <c r="I334" i="519"/>
  <c r="M128" i="519"/>
  <c r="I102" i="523"/>
  <c r="J479" i="517"/>
  <c r="F12" i="519"/>
  <c r="J122" i="517"/>
  <c r="J276" i="517"/>
  <c r="J379" i="518"/>
  <c r="I15" i="518"/>
  <c r="M456" i="519"/>
  <c r="M75" i="523"/>
  <c r="K528" i="518"/>
  <c r="J24" i="517"/>
  <c r="K286" i="517"/>
  <c r="L466" i="519"/>
  <c r="J177" i="518"/>
  <c r="J605" i="523"/>
  <c r="J214" i="517"/>
  <c r="K495" i="521"/>
  <c r="J637" i="519"/>
  <c r="K616" i="523"/>
  <c r="K154" i="523"/>
  <c r="M661" i="517"/>
  <c r="L639" i="517"/>
  <c r="M652" i="518"/>
  <c r="K663" i="519"/>
  <c r="K465" i="519"/>
  <c r="K194" i="520"/>
  <c r="M331" i="519"/>
  <c r="M515" i="519"/>
  <c r="M444" i="517"/>
  <c r="I565" i="520"/>
  <c r="M367" i="517"/>
  <c r="K286" i="519"/>
  <c r="J153" i="517"/>
  <c r="K92" i="520"/>
  <c r="L758" i="523"/>
  <c r="K224" i="518"/>
  <c r="I362" i="523"/>
  <c r="K640" i="517"/>
  <c r="C94" i="247"/>
  <c r="L399" i="519"/>
  <c r="K531" i="523"/>
  <c r="C149" i="247"/>
  <c r="M435" i="518"/>
  <c r="L50" i="519"/>
  <c r="L117" i="517"/>
  <c r="M242" i="517"/>
  <c r="L427" i="518"/>
  <c r="L148" i="523"/>
  <c r="I238" i="523"/>
  <c r="I98" i="520"/>
  <c r="K16" i="520"/>
  <c r="I618" i="523"/>
  <c r="J141" i="523"/>
  <c r="J33" i="519"/>
  <c r="M383" i="520"/>
  <c r="J437" i="523"/>
  <c r="I644" i="520"/>
  <c r="I102" i="518"/>
  <c r="K319" i="520"/>
  <c r="I224" i="519"/>
  <c r="J553" i="521"/>
  <c r="J120" i="519"/>
  <c r="I553" i="521"/>
  <c r="M21" i="517"/>
  <c r="J197" i="517"/>
  <c r="K238" i="523"/>
  <c r="J230" i="517"/>
  <c r="J120" i="517"/>
  <c r="C280" i="247"/>
  <c r="L309" i="523"/>
  <c r="L520" i="519"/>
  <c r="J582" i="519"/>
  <c r="I516" i="518"/>
  <c r="I507" i="521"/>
  <c r="I635" i="518"/>
  <c r="K154" i="520"/>
  <c r="K377" i="520"/>
  <c r="K668" i="523"/>
  <c r="M11" i="521"/>
  <c r="L432" i="518"/>
  <c r="I296" i="521"/>
  <c r="I214" i="519"/>
  <c r="M69" i="520"/>
  <c r="J311" i="523"/>
  <c r="C7" i="517"/>
  <c r="L144" i="519"/>
  <c r="K336" i="520"/>
  <c r="L12" i="523"/>
  <c r="I459" i="519"/>
  <c r="C122" i="247"/>
  <c r="L771" i="523"/>
  <c r="M403" i="520"/>
  <c r="I679" i="520"/>
  <c r="M476" i="518"/>
  <c r="J184" i="517"/>
  <c r="K95" i="521"/>
  <c r="L357" i="519"/>
  <c r="M365" i="519"/>
  <c r="I602" i="518"/>
  <c r="K533" i="521"/>
  <c r="I162" i="520"/>
  <c r="J365" i="523"/>
  <c r="J781" i="523"/>
  <c r="J543" i="518"/>
  <c r="J183" i="517"/>
  <c r="M352" i="518"/>
  <c r="L192" i="521"/>
  <c r="I58" i="521"/>
  <c r="J153" i="523"/>
  <c r="J334" i="518"/>
  <c r="M59" i="520"/>
  <c r="I172" i="520"/>
  <c r="H25" i="521"/>
  <c r="K542" i="523"/>
  <c r="J625" i="517"/>
  <c r="L3" i="517"/>
  <c r="D218" i="247"/>
  <c r="J486" i="523"/>
  <c r="E8" i="517"/>
  <c r="I290" i="521"/>
  <c r="K224" i="519"/>
  <c r="L36" i="518"/>
  <c r="K236" i="521"/>
  <c r="K376" i="520"/>
  <c r="J424" i="519"/>
  <c r="L313" i="517"/>
  <c r="E7" i="520"/>
  <c r="L305" i="523"/>
  <c r="L32" i="521"/>
  <c r="H8" i="519"/>
  <c r="K344" i="517"/>
  <c r="E26" i="517"/>
  <c r="I75" i="523"/>
  <c r="K621" i="520"/>
  <c r="K591" i="523"/>
  <c r="L429" i="523"/>
  <c r="C265" i="247"/>
  <c r="J371" i="520"/>
  <c r="K334" i="518"/>
  <c r="J239" i="523"/>
  <c r="L729" i="523"/>
  <c r="K287" i="520"/>
  <c r="K386" i="523"/>
  <c r="I209" i="517"/>
  <c r="J317" i="518"/>
  <c r="J652" i="523"/>
  <c r="K584" i="520"/>
  <c r="M678" i="521"/>
  <c r="K85" i="520"/>
  <c r="L98" i="518"/>
  <c r="K258" i="517"/>
  <c r="M292" i="518"/>
  <c r="M391" i="517"/>
  <c r="K702" i="523"/>
  <c r="C77" i="247"/>
  <c r="K204" i="518"/>
  <c r="J595" i="523"/>
  <c r="J683" i="519"/>
  <c r="M430" i="523"/>
  <c r="L168" i="518"/>
  <c r="D289" i="247"/>
  <c r="L48" i="519"/>
  <c r="M488" i="520"/>
  <c r="C502" i="247"/>
  <c r="K657" i="520"/>
  <c r="L366" i="517"/>
  <c r="L141" i="517"/>
  <c r="M309" i="520"/>
  <c r="M381" i="520"/>
  <c r="L612" i="521"/>
  <c r="M483" i="523"/>
  <c r="M829" i="523"/>
  <c r="I653" i="521"/>
  <c r="I680" i="520"/>
  <c r="L248" i="517"/>
  <c r="I123" i="523"/>
  <c r="I307" i="519"/>
  <c r="K287" i="518"/>
  <c r="C40" i="520"/>
  <c r="K287" i="519"/>
  <c r="I427" i="521"/>
  <c r="C404" i="247"/>
  <c r="M468" i="521"/>
  <c r="M205" i="523"/>
  <c r="L452" i="519"/>
  <c r="J567" i="520"/>
  <c r="I284" i="517"/>
  <c r="J677" i="519"/>
  <c r="M263" i="523"/>
  <c r="J482" i="518"/>
  <c r="C118" i="247"/>
  <c r="J193" i="520"/>
  <c r="J115" i="517"/>
  <c r="K503" i="519"/>
  <c r="L610" i="520"/>
  <c r="M122" i="523"/>
  <c r="C198" i="247"/>
  <c r="M205" i="518"/>
  <c r="L531" i="518"/>
  <c r="C29" i="519"/>
  <c r="M332" i="520"/>
  <c r="J564" i="519"/>
  <c r="J208" i="519"/>
  <c r="M223" i="520"/>
  <c r="K145" i="523"/>
  <c r="L48" i="517"/>
  <c r="M575" i="520"/>
  <c r="J19" i="520"/>
  <c r="K524" i="520"/>
  <c r="L438" i="520"/>
  <c r="J392" i="523"/>
  <c r="M641" i="517"/>
  <c r="J562" i="519"/>
  <c r="L178" i="517"/>
  <c r="I454" i="517"/>
  <c r="J21" i="523"/>
  <c r="L722" i="523"/>
  <c r="M487" i="523"/>
  <c r="I152" i="517"/>
  <c r="L282" i="523"/>
  <c r="L596" i="523"/>
  <c r="I278" i="518"/>
  <c r="I616" i="523"/>
  <c r="J439" i="521"/>
  <c r="M595" i="517"/>
  <c r="J536" i="517"/>
  <c r="I461" i="521"/>
  <c r="I105" i="517"/>
  <c r="L344" i="521"/>
  <c r="J655" i="517"/>
  <c r="M684" i="517"/>
  <c r="K450" i="518"/>
  <c r="C26" i="520"/>
  <c r="M100" i="518"/>
  <c r="K539" i="521"/>
  <c r="M643" i="519"/>
  <c r="K469" i="517"/>
  <c r="M147" i="521"/>
  <c r="G25" i="523"/>
  <c r="I78" i="517"/>
  <c r="I685" i="521"/>
  <c r="I38" i="523"/>
  <c r="L688" i="523"/>
  <c r="L195" i="523"/>
  <c r="J665" i="517"/>
  <c r="J16" i="519"/>
  <c r="L79" i="521"/>
  <c r="J365" i="517"/>
  <c r="L82" i="523"/>
  <c r="I372" i="520"/>
  <c r="J601" i="519"/>
  <c r="M119" i="517"/>
  <c r="M563" i="521"/>
  <c r="I420" i="519"/>
  <c r="J324" i="521"/>
  <c r="I374" i="518"/>
  <c r="K20" i="521"/>
  <c r="K433" i="520"/>
  <c r="K255" i="519"/>
  <c r="J348" i="518"/>
  <c r="L382" i="521"/>
  <c r="C535" i="247"/>
  <c r="M336" i="517"/>
  <c r="I544" i="520"/>
  <c r="K112" i="523"/>
  <c r="M611" i="523"/>
  <c r="M351" i="519"/>
  <c r="L154" i="518"/>
  <c r="I120" i="517"/>
  <c r="L290" i="519"/>
  <c r="C62" i="247"/>
  <c r="L556" i="519"/>
  <c r="L323" i="521"/>
  <c r="K581" i="518"/>
  <c r="L617" i="517"/>
  <c r="L381" i="520"/>
  <c r="K103" i="519"/>
  <c r="J218" i="520"/>
  <c r="J268" i="521"/>
  <c r="M537" i="520"/>
  <c r="J496" i="517"/>
  <c r="M398" i="518"/>
  <c r="K489" i="520"/>
  <c r="L112" i="518"/>
  <c r="I20" i="517"/>
  <c r="I594" i="523"/>
  <c r="M50" i="523"/>
  <c r="J178" i="518"/>
  <c r="F29" i="519"/>
  <c r="J538" i="517"/>
  <c r="K340" i="520"/>
  <c r="M430" i="519"/>
  <c r="K501" i="521"/>
  <c r="M600" i="521"/>
  <c r="K14" i="521"/>
  <c r="I362" i="519"/>
  <c r="J344" i="521"/>
  <c r="L437" i="518"/>
  <c r="K206" i="521"/>
  <c r="I444" i="519"/>
  <c r="A20" i="521"/>
  <c r="M249" i="520"/>
  <c r="I66" i="517"/>
  <c r="I810" i="523"/>
  <c r="G2" i="517"/>
  <c r="K175" i="519"/>
  <c r="I392" i="518"/>
  <c r="M618" i="519"/>
  <c r="I268" i="523"/>
  <c r="M555" i="523"/>
  <c r="K144" i="518"/>
  <c r="M505" i="517"/>
  <c r="M352" i="520"/>
  <c r="I536" i="523"/>
  <c r="D460" i="247"/>
  <c r="K421" i="523"/>
  <c r="J220" i="519"/>
  <c r="M80" i="520"/>
  <c r="J214" i="520"/>
  <c r="M101" i="520"/>
  <c r="J584" i="518"/>
  <c r="L167" i="517"/>
  <c r="J11" i="519"/>
  <c r="I396" i="517"/>
  <c r="M322" i="518"/>
  <c r="J667" i="523"/>
  <c r="M375" i="521"/>
  <c r="L189" i="521"/>
  <c r="L444" i="517"/>
  <c r="D573" i="247"/>
  <c r="K440" i="518"/>
  <c r="A8" i="517"/>
  <c r="C207" i="247"/>
  <c r="K80" i="521"/>
  <c r="P24" i="3"/>
  <c r="K714" i="523"/>
  <c r="I184" i="517"/>
  <c r="L417" i="517"/>
  <c r="L223" i="523"/>
  <c r="M311" i="519"/>
  <c r="K438" i="521"/>
  <c r="K678" i="521"/>
  <c r="C481" i="247"/>
  <c r="L417" i="521"/>
  <c r="M433" i="521"/>
  <c r="M718" i="523"/>
  <c r="M563" i="520"/>
  <c r="I289" i="521"/>
  <c r="M480" i="521"/>
  <c r="J185" i="517"/>
  <c r="M461" i="519"/>
  <c r="D114" i="247"/>
  <c r="K690" i="521"/>
  <c r="J580" i="521"/>
  <c r="E20" i="517"/>
  <c r="M543" i="519"/>
  <c r="J114" i="521"/>
  <c r="I191" i="519"/>
  <c r="L208" i="523"/>
  <c r="K693" i="521"/>
  <c r="E19" i="517"/>
  <c r="L82" i="521"/>
  <c r="L518" i="521"/>
  <c r="I354" i="521"/>
  <c r="J470" i="518"/>
  <c r="J502" i="520"/>
  <c r="M156" i="521"/>
  <c r="C239" i="247"/>
  <c r="K424" i="518"/>
  <c r="C53" i="247"/>
  <c r="J809" i="523"/>
  <c r="K302" i="521"/>
  <c r="L293" i="521"/>
  <c r="I455" i="518"/>
  <c r="J175" i="523"/>
  <c r="I560" i="517"/>
  <c r="K532" i="517"/>
  <c r="J429" i="523"/>
  <c r="M137" i="521"/>
  <c r="L369" i="518"/>
  <c r="I159" i="518"/>
  <c r="D115" i="247"/>
  <c r="I605" i="519"/>
  <c r="L48" i="521"/>
  <c r="G20" i="520"/>
  <c r="J444" i="523"/>
  <c r="J68" i="520"/>
  <c r="K274" i="518"/>
  <c r="K313" i="523"/>
  <c r="L67" i="523"/>
  <c r="K608" i="520"/>
  <c r="B13" i="482"/>
  <c r="L634" i="517"/>
  <c r="L564" i="517"/>
  <c r="M126" i="519"/>
  <c r="M418" i="520"/>
  <c r="J539" i="519"/>
  <c r="M649" i="519"/>
  <c r="C90" i="247"/>
  <c r="I588" i="523"/>
  <c r="I155" i="519"/>
  <c r="M364" i="520"/>
  <c r="J679" i="518"/>
  <c r="M671" i="518"/>
  <c r="M589" i="518"/>
  <c r="J669" i="521"/>
  <c r="M499" i="518"/>
  <c r="I426" i="523"/>
  <c r="K796" i="523"/>
  <c r="M297" i="517"/>
  <c r="I366" i="518"/>
  <c r="M483" i="517"/>
  <c r="Q3" i="3"/>
  <c r="K185" i="519"/>
  <c r="M191" i="519"/>
  <c r="L389" i="518"/>
  <c r="K326" i="520"/>
  <c r="L137" i="523"/>
  <c r="J369" i="521"/>
  <c r="L94" i="517"/>
  <c r="M87" i="519"/>
  <c r="L298" i="520"/>
  <c r="K53" i="518"/>
  <c r="I780" i="523"/>
  <c r="K382" i="521"/>
  <c r="K139" i="517"/>
  <c r="I406" i="518"/>
  <c r="C188" i="247"/>
  <c r="M31" i="517"/>
  <c r="J547" i="517"/>
  <c r="K587" i="523"/>
  <c r="L237" i="521"/>
  <c r="K590" i="521"/>
  <c r="K151" i="518"/>
  <c r="J680" i="521"/>
  <c r="L100" i="520"/>
  <c r="P37" i="3"/>
  <c r="J181" i="519"/>
  <c r="M74" i="518"/>
  <c r="M420" i="520"/>
  <c r="M744" i="523"/>
  <c r="K399" i="518"/>
  <c r="F12" i="517"/>
  <c r="K172" i="523"/>
  <c r="D313" i="247"/>
  <c r="I627" i="518"/>
  <c r="I446" i="519"/>
  <c r="I25" i="523"/>
  <c r="J322" i="519"/>
  <c r="L622" i="523"/>
  <c r="M16" i="518"/>
  <c r="L458" i="517"/>
  <c r="J562" i="521"/>
  <c r="I648" i="521"/>
  <c r="K151" i="517"/>
  <c r="I401" i="519"/>
  <c r="I158" i="523"/>
  <c r="M18" i="519"/>
  <c r="L331" i="523"/>
  <c r="M22" i="521"/>
  <c r="J86" i="523"/>
  <c r="I681" i="519"/>
  <c r="I367" i="518"/>
  <c r="M248" i="518"/>
  <c r="M54" i="521"/>
  <c r="I557" i="521"/>
  <c r="L554" i="523"/>
  <c r="K497" i="523"/>
  <c r="K558" i="520"/>
  <c r="K124" i="519"/>
  <c r="D446" i="247"/>
  <c r="K78" i="518"/>
  <c r="M564" i="523"/>
  <c r="J316" i="519"/>
  <c r="J389" i="520"/>
  <c r="J528" i="517"/>
  <c r="L402" i="517"/>
  <c r="M343" i="523"/>
  <c r="I751" i="523"/>
  <c r="K265" i="520"/>
  <c r="L569" i="519"/>
  <c r="K126" i="523"/>
  <c r="M176" i="520"/>
  <c r="I552" i="518"/>
  <c r="L522" i="518"/>
  <c r="M506" i="519"/>
  <c r="J22" i="523"/>
  <c r="J275" i="523"/>
  <c r="J46" i="523"/>
  <c r="M578" i="523"/>
  <c r="C171" i="247"/>
  <c r="M531" i="517"/>
  <c r="I276" i="519"/>
  <c r="K241" i="520"/>
  <c r="F22" i="520"/>
  <c r="I328" i="519"/>
  <c r="M430" i="517"/>
  <c r="M199" i="518"/>
  <c r="M617" i="523"/>
  <c r="I665" i="517"/>
  <c r="J191" i="518"/>
  <c r="M686" i="521"/>
  <c r="M266" i="523"/>
  <c r="M41" i="520"/>
  <c r="M600" i="523"/>
  <c r="J515" i="520"/>
  <c r="M184" i="520"/>
  <c r="L690" i="517"/>
  <c r="L628" i="517"/>
  <c r="J432" i="521"/>
  <c r="J412" i="517"/>
  <c r="I242" i="520"/>
  <c r="J105" i="521"/>
  <c r="L342" i="523"/>
  <c r="L31" i="520"/>
  <c r="M522" i="519"/>
  <c r="C295" i="247"/>
  <c r="I138" i="518"/>
  <c r="I241" i="519"/>
  <c r="J286" i="521"/>
  <c r="J443" i="523"/>
  <c r="I371" i="521"/>
  <c r="M779" i="523"/>
  <c r="I152" i="520"/>
  <c r="K151" i="521"/>
  <c r="J98" i="517"/>
  <c r="K168" i="517"/>
  <c r="M540" i="518"/>
  <c r="K622" i="518"/>
  <c r="L294" i="517"/>
  <c r="J254" i="520"/>
  <c r="L410" i="520"/>
  <c r="J281" i="518"/>
  <c r="I198" i="521"/>
  <c r="M525" i="517"/>
  <c r="D592" i="247"/>
  <c r="I368" i="518"/>
  <c r="J15" i="521"/>
  <c r="K588" i="518"/>
  <c r="M459" i="518"/>
  <c r="J639" i="520"/>
  <c r="J339" i="520"/>
  <c r="M83" i="523"/>
  <c r="J229" i="520"/>
  <c r="M345" i="519"/>
  <c r="I505" i="520"/>
  <c r="I507" i="519"/>
  <c r="K336" i="518"/>
  <c r="J256" i="519"/>
  <c r="J635" i="517"/>
  <c r="M259" i="521"/>
  <c r="D97" i="247"/>
  <c r="K732" i="523"/>
  <c r="I161" i="518"/>
  <c r="J59" i="521"/>
  <c r="M407" i="519"/>
  <c r="K420" i="521"/>
  <c r="E2" i="520"/>
  <c r="J213" i="518"/>
  <c r="C36" i="520"/>
  <c r="K52" i="518"/>
  <c r="L635" i="517"/>
  <c r="H3" i="523"/>
  <c r="K190" i="523"/>
  <c r="L430" i="520"/>
  <c r="M628" i="520"/>
  <c r="J466" i="518"/>
  <c r="J618" i="521"/>
  <c r="I377" i="518"/>
  <c r="K556" i="518"/>
  <c r="M196" i="519"/>
  <c r="K317" i="521"/>
  <c r="L4" i="519"/>
  <c r="L430" i="519"/>
  <c r="J37" i="518"/>
  <c r="K168" i="519"/>
  <c r="K406" i="518"/>
  <c r="L83" i="517"/>
  <c r="K378" i="521"/>
  <c r="J716" i="523"/>
  <c r="M324" i="517"/>
  <c r="J116" i="517"/>
  <c r="A34" i="517"/>
  <c r="L234" i="520"/>
  <c r="I633" i="519"/>
  <c r="D466" i="247"/>
  <c r="I192" i="518"/>
  <c r="L355" i="521"/>
  <c r="K381" i="519"/>
  <c r="L414" i="519"/>
  <c r="A40" i="523"/>
  <c r="J9" i="520"/>
  <c r="M298" i="518"/>
  <c r="L253" i="521"/>
  <c r="M138" i="518"/>
  <c r="M389" i="520"/>
  <c r="M26" i="519"/>
  <c r="I497" i="521"/>
  <c r="K600" i="523"/>
  <c r="L211" i="520"/>
  <c r="M376" i="521"/>
  <c r="K156" i="521"/>
  <c r="M173" i="521"/>
  <c r="I413" i="521"/>
  <c r="K445" i="521"/>
  <c r="I813" i="523"/>
  <c r="I416" i="517"/>
  <c r="J367" i="523"/>
  <c r="I295" i="520"/>
  <c r="A16" i="517"/>
  <c r="K306" i="523"/>
  <c r="J80" i="523"/>
  <c r="M309" i="523"/>
  <c r="L552" i="520"/>
  <c r="I474" i="520"/>
  <c r="I588" i="521"/>
  <c r="L28" i="520"/>
  <c r="M16" i="517"/>
  <c r="M454" i="523"/>
  <c r="I335" i="519"/>
  <c r="I361" i="523"/>
  <c r="J135" i="517"/>
  <c r="J72" i="519"/>
  <c r="M634" i="520"/>
  <c r="J153" i="520"/>
  <c r="C28" i="523"/>
  <c r="K298" i="521"/>
  <c r="I218" i="517"/>
  <c r="H19" i="521"/>
  <c r="L103" i="523"/>
  <c r="M608" i="518"/>
  <c r="J396" i="518"/>
  <c r="K598" i="518"/>
  <c r="K67" i="517"/>
  <c r="L54" i="518"/>
  <c r="I341" i="519"/>
  <c r="L495" i="523"/>
  <c r="K556" i="520"/>
  <c r="J133" i="517"/>
  <c r="L252" i="517"/>
  <c r="M18" i="517"/>
  <c r="I173" i="523"/>
  <c r="J328" i="519"/>
  <c r="I508" i="521"/>
  <c r="J433" i="519"/>
  <c r="I250" i="520"/>
  <c r="M519" i="518"/>
  <c r="L144" i="523"/>
  <c r="K404" i="518"/>
  <c r="K240" i="521"/>
  <c r="C177" i="247"/>
  <c r="J247" i="523"/>
  <c r="L373" i="517"/>
  <c r="I455" i="523"/>
  <c r="L425" i="520"/>
  <c r="M162" i="517"/>
  <c r="M412" i="517"/>
  <c r="J65" i="519"/>
  <c r="K186" i="517"/>
  <c r="J128" i="517"/>
  <c r="K236" i="517"/>
  <c r="M637" i="523"/>
  <c r="I91" i="517"/>
  <c r="I51" i="521"/>
  <c r="M550" i="520"/>
  <c r="J187" i="518"/>
  <c r="I2" i="518"/>
  <c r="L234" i="521"/>
  <c r="K127" i="517"/>
  <c r="M640" i="523"/>
  <c r="J335" i="520"/>
  <c r="I654" i="519"/>
  <c r="L676" i="518"/>
  <c r="L277" i="523"/>
  <c r="I282" i="520"/>
  <c r="I468" i="517"/>
  <c r="K381" i="521"/>
  <c r="M10" i="520"/>
  <c r="M85" i="517"/>
  <c r="H10" i="518"/>
  <c r="L277" i="518"/>
  <c r="M674" i="521"/>
  <c r="I585" i="520"/>
  <c r="M409" i="521"/>
  <c r="L69" i="520"/>
  <c r="K618" i="517"/>
  <c r="K304" i="517"/>
  <c r="M446" i="521"/>
  <c r="L345" i="521"/>
  <c r="J663" i="523"/>
  <c r="K646" i="520"/>
  <c r="M593" i="520"/>
  <c r="K530" i="523"/>
  <c r="M331" i="521"/>
  <c r="J164" i="521"/>
  <c r="J497" i="521"/>
  <c r="M130" i="521"/>
  <c r="K696" i="523"/>
  <c r="L335" i="521"/>
  <c r="L80" i="523"/>
  <c r="I797" i="523"/>
  <c r="M621" i="521"/>
  <c r="J428" i="517"/>
  <c r="I747" i="523"/>
  <c r="I255" i="517"/>
  <c r="M803" i="523"/>
  <c r="I538" i="521"/>
  <c r="I722" i="523"/>
  <c r="K680" i="520"/>
  <c r="L723" i="523"/>
  <c r="M260" i="523"/>
  <c r="L502" i="519"/>
  <c r="L28" i="517"/>
  <c r="J314" i="523"/>
  <c r="J346" i="517"/>
  <c r="E6" i="518"/>
  <c r="I368" i="519"/>
  <c r="I569" i="523"/>
  <c r="J72" i="521"/>
  <c r="K482" i="517"/>
  <c r="M637" i="520"/>
  <c r="I457" i="518"/>
  <c r="J363" i="518"/>
  <c r="M193" i="519"/>
  <c r="K98" i="518"/>
  <c r="J213" i="521"/>
  <c r="J418" i="518"/>
  <c r="K109" i="517"/>
  <c r="K500" i="519"/>
  <c r="M517" i="517"/>
  <c r="L147" i="519"/>
  <c r="L675" i="519"/>
  <c r="I8" i="523"/>
  <c r="J143" i="517"/>
  <c r="M69" i="518"/>
  <c r="G20" i="519"/>
  <c r="L20" i="517"/>
  <c r="M528" i="518"/>
  <c r="D68" i="247"/>
  <c r="I423" i="523"/>
  <c r="K543" i="517"/>
  <c r="M52" i="523"/>
  <c r="C64" i="247"/>
  <c r="I525" i="523"/>
  <c r="K245" i="519"/>
  <c r="I111" i="521"/>
  <c r="J167" i="520"/>
  <c r="J136" i="523"/>
  <c r="I392" i="517"/>
  <c r="K20" i="517"/>
  <c r="J289" i="517"/>
  <c r="K587" i="518"/>
  <c r="D536" i="247"/>
  <c r="I617" i="517"/>
  <c r="I514" i="523"/>
  <c r="M499" i="517"/>
  <c r="K9" i="518"/>
  <c r="M265" i="519"/>
  <c r="I513" i="523"/>
  <c r="J225" i="523"/>
  <c r="I131" i="520"/>
  <c r="F21" i="520"/>
  <c r="I612" i="518"/>
  <c r="M107" i="518"/>
  <c r="M115" i="518"/>
  <c r="K95" i="523"/>
  <c r="J276" i="519"/>
  <c r="C32" i="518"/>
  <c r="M676" i="518"/>
  <c r="H3" i="519"/>
  <c r="I204" i="520"/>
  <c r="J685" i="519"/>
  <c r="K830" i="523"/>
  <c r="I490" i="520"/>
  <c r="M48" i="518"/>
  <c r="M605" i="518"/>
  <c r="J251" i="517"/>
  <c r="J104" i="520"/>
  <c r="L284" i="519"/>
  <c r="J186" i="518"/>
  <c r="J104" i="518"/>
  <c r="K528" i="517"/>
  <c r="M706" i="523"/>
  <c r="K578" i="520"/>
  <c r="J603" i="523"/>
  <c r="I294" i="520"/>
  <c r="L449" i="523"/>
  <c r="M562" i="523"/>
  <c r="J24" i="518"/>
  <c r="K436" i="521"/>
  <c r="J607" i="521"/>
  <c r="L410" i="521"/>
  <c r="K619" i="518"/>
  <c r="I174" i="523"/>
  <c r="I570" i="518"/>
  <c r="I557" i="518"/>
  <c r="D390" i="247"/>
  <c r="M439" i="519"/>
  <c r="K440" i="521"/>
  <c r="L66" i="521"/>
  <c r="L458" i="520"/>
  <c r="I543" i="523"/>
  <c r="L449" i="517"/>
  <c r="M523" i="520"/>
  <c r="K354" i="521"/>
  <c r="J425" i="520"/>
  <c r="K326" i="519"/>
  <c r="M427" i="519"/>
  <c r="K208" i="518"/>
  <c r="I233" i="523"/>
  <c r="I130" i="520"/>
  <c r="M372" i="523"/>
  <c r="I315" i="519"/>
  <c r="C25" i="520"/>
  <c r="C2" i="517"/>
  <c r="L478" i="523"/>
  <c r="I192" i="521"/>
  <c r="K480" i="518"/>
  <c r="K51" i="519"/>
  <c r="I732" i="523"/>
  <c r="I208" i="517"/>
  <c r="H26" i="523"/>
  <c r="J91" i="523"/>
  <c r="J249" i="517"/>
  <c r="L445" i="519"/>
  <c r="L657" i="520"/>
  <c r="K69" i="520"/>
  <c r="G4" i="518"/>
  <c r="J432" i="520"/>
  <c r="C35" i="519"/>
  <c r="I598" i="523"/>
  <c r="J138" i="518"/>
  <c r="C43" i="520"/>
  <c r="K230" i="520"/>
  <c r="M4" i="518"/>
  <c r="L527" i="518"/>
  <c r="L620" i="519"/>
  <c r="L484" i="523"/>
  <c r="K524" i="519"/>
  <c r="M299" i="518"/>
  <c r="I60" i="521"/>
  <c r="M481" i="521"/>
  <c r="D145" i="247"/>
  <c r="M616" i="519"/>
  <c r="J714" i="523"/>
  <c r="C36" i="519"/>
  <c r="L65" i="521"/>
  <c r="K392" i="521"/>
  <c r="J330" i="523"/>
  <c r="M168" i="517"/>
  <c r="K672" i="523"/>
  <c r="I610" i="523"/>
  <c r="J156" i="518"/>
  <c r="I209" i="518"/>
  <c r="M438" i="523"/>
  <c r="M198" i="523"/>
  <c r="K427" i="523"/>
  <c r="M393" i="519"/>
  <c r="I448" i="519"/>
  <c r="C522" i="247"/>
  <c r="I388" i="523"/>
  <c r="I153" i="523"/>
  <c r="K231" i="523"/>
  <c r="I84" i="520"/>
  <c r="I263" i="518"/>
  <c r="D157" i="247"/>
  <c r="M172" i="521"/>
  <c r="J584" i="517"/>
  <c r="I260" i="521"/>
  <c r="K114" i="518"/>
  <c r="F7" i="523"/>
  <c r="M103" i="517"/>
  <c r="I495" i="523"/>
  <c r="C319" i="247"/>
  <c r="L493" i="519"/>
  <c r="M474" i="521"/>
  <c r="K169" i="523"/>
  <c r="J502" i="519"/>
  <c r="L141" i="518"/>
  <c r="J551" i="520"/>
  <c r="J727" i="523"/>
  <c r="J263" i="520"/>
  <c r="J146" i="517"/>
  <c r="I306" i="521"/>
  <c r="I149" i="519"/>
  <c r="M684" i="518"/>
  <c r="J205" i="517"/>
  <c r="K524" i="523"/>
  <c r="L819" i="523"/>
  <c r="M498" i="517"/>
  <c r="K221" i="518"/>
  <c r="K495" i="518"/>
  <c r="J261" i="521"/>
  <c r="K253" i="520"/>
  <c r="J503" i="520"/>
  <c r="I42" i="523"/>
  <c r="J563" i="521"/>
  <c r="L574" i="519"/>
  <c r="J57" i="523"/>
  <c r="M37" i="521"/>
  <c r="K157" i="520"/>
  <c r="C47" i="523"/>
  <c r="L374" i="517"/>
  <c r="K213" i="518"/>
  <c r="C527" i="247"/>
  <c r="I618" i="520"/>
  <c r="K679" i="523"/>
  <c r="L482" i="521"/>
  <c r="I644" i="519"/>
  <c r="M817" i="523"/>
  <c r="L418" i="519"/>
  <c r="L660" i="520"/>
  <c r="J73" i="520"/>
  <c r="I431" i="523"/>
  <c r="J550" i="523"/>
  <c r="C9" i="518"/>
  <c r="K683" i="521"/>
  <c r="I235" i="519"/>
  <c r="I34" i="518"/>
  <c r="M570" i="520"/>
  <c r="K271" i="518"/>
  <c r="M662" i="523"/>
  <c r="K347" i="518"/>
  <c r="L478" i="521"/>
  <c r="J341" i="519"/>
  <c r="K17" i="519"/>
  <c r="K2" i="517"/>
  <c r="L86" i="520"/>
  <c r="L550" i="521"/>
  <c r="M633" i="519"/>
  <c r="M60" i="521"/>
  <c r="L70" i="520"/>
  <c r="G20" i="523"/>
  <c r="I356" i="517"/>
  <c r="I517" i="521"/>
  <c r="L300" i="518"/>
  <c r="K764" i="523"/>
  <c r="C402" i="247"/>
  <c r="I48" i="519"/>
  <c r="L255" i="519"/>
  <c r="M311" i="521"/>
  <c r="K693" i="520"/>
  <c r="M212" i="518"/>
  <c r="D551" i="247"/>
  <c r="J93" i="518"/>
  <c r="I650" i="519"/>
  <c r="J678" i="517"/>
  <c r="J614" i="519"/>
  <c r="I150" i="519"/>
  <c r="L554" i="519"/>
  <c r="K502" i="519"/>
  <c r="K360" i="523"/>
  <c r="M51" i="517"/>
  <c r="I337" i="519"/>
  <c r="C568" i="247"/>
  <c r="L563" i="519"/>
  <c r="L429" i="521"/>
  <c r="Q15" i="3"/>
  <c r="D473" i="247"/>
  <c r="C49" i="247"/>
  <c r="L332" i="520"/>
  <c r="M524" i="517"/>
  <c r="J126" i="518"/>
  <c r="K355" i="517"/>
  <c r="L183" i="517"/>
  <c r="J6" i="519"/>
  <c r="L821" i="523"/>
  <c r="L416" i="523"/>
  <c r="I452" i="521"/>
  <c r="K675" i="520"/>
  <c r="K552" i="521"/>
  <c r="J292" i="519"/>
  <c r="L370" i="517"/>
  <c r="K397" i="520"/>
  <c r="K243" i="520"/>
  <c r="K624" i="518"/>
  <c r="K87" i="523"/>
  <c r="K312" i="519"/>
  <c r="I8" i="518"/>
  <c r="L569" i="518"/>
  <c r="L687" i="519"/>
  <c r="I410" i="523"/>
  <c r="M554" i="519"/>
  <c r="L215" i="521"/>
  <c r="K806" i="523"/>
  <c r="C10" i="518"/>
  <c r="K532" i="521"/>
  <c r="K465" i="520"/>
  <c r="L253" i="520"/>
  <c r="K104" i="520"/>
  <c r="M243" i="521"/>
  <c r="J76" i="519"/>
  <c r="J235" i="519"/>
  <c r="L121" i="521"/>
  <c r="I162" i="517"/>
  <c r="A36" i="521"/>
  <c r="J506" i="517"/>
  <c r="M539" i="523"/>
  <c r="J168" i="523"/>
  <c r="J442" i="523"/>
  <c r="L322" i="520"/>
  <c r="K250" i="521"/>
  <c r="K203" i="521"/>
  <c r="I576" i="520"/>
  <c r="K258" i="523"/>
  <c r="L568" i="520"/>
  <c r="L506" i="519"/>
  <c r="L613" i="520"/>
  <c r="L653" i="521"/>
  <c r="I118" i="519"/>
  <c r="I317" i="517"/>
  <c r="L386" i="520"/>
  <c r="A28" i="518"/>
  <c r="L90" i="521"/>
  <c r="H24" i="518"/>
  <c r="M622" i="521"/>
  <c r="C55" i="247"/>
  <c r="J360" i="521"/>
  <c r="M112" i="517"/>
  <c r="K66" i="519"/>
  <c r="J380" i="520"/>
  <c r="J661" i="517"/>
  <c r="J464" i="523"/>
  <c r="L684" i="517"/>
  <c r="J482" i="517"/>
  <c r="L786" i="523"/>
  <c r="J172" i="518"/>
  <c r="J375" i="517"/>
  <c r="L64" i="520"/>
  <c r="J103" i="523"/>
  <c r="P45" i="3"/>
  <c r="I363" i="521"/>
  <c r="E27" i="520"/>
  <c r="I529" i="521"/>
  <c r="K463" i="521"/>
  <c r="K328" i="517"/>
  <c r="J16" i="518"/>
  <c r="I213" i="517"/>
  <c r="K668" i="521"/>
  <c r="K426" i="523"/>
  <c r="M661" i="520"/>
  <c r="M453" i="523"/>
  <c r="M78" i="521"/>
  <c r="K89" i="518"/>
  <c r="J499" i="519"/>
  <c r="J355" i="521"/>
  <c r="J346" i="520"/>
  <c r="J566" i="519"/>
  <c r="J29" i="521"/>
  <c r="K77" i="523"/>
  <c r="K89" i="520"/>
  <c r="M379" i="520"/>
  <c r="L770" i="523"/>
  <c r="J550" i="517"/>
  <c r="L666" i="517"/>
  <c r="I803" i="523"/>
  <c r="A22" i="521"/>
  <c r="J648" i="518"/>
  <c r="K654" i="523"/>
  <c r="I210" i="523"/>
  <c r="L355" i="519"/>
  <c r="M139" i="519"/>
  <c r="M534" i="519"/>
  <c r="K821" i="523"/>
  <c r="J306" i="520"/>
  <c r="I636" i="520"/>
  <c r="L120" i="523"/>
  <c r="K88" i="518"/>
  <c r="I217" i="519"/>
  <c r="J533" i="523"/>
  <c r="K734" i="523"/>
  <c r="K402" i="519"/>
  <c r="L296" i="521"/>
  <c r="L378" i="520"/>
  <c r="M596" i="519"/>
  <c r="K520" i="518"/>
  <c r="C4" i="520"/>
  <c r="J169" i="521"/>
  <c r="K554" i="519"/>
  <c r="J523" i="520"/>
  <c r="J739" i="523"/>
  <c r="J681" i="521"/>
  <c r="K674" i="519"/>
  <c r="L212" i="521"/>
  <c r="J293" i="520"/>
  <c r="K238" i="521"/>
  <c r="I395" i="518"/>
  <c r="M539" i="518"/>
  <c r="K263" i="523"/>
  <c r="I138" i="517"/>
  <c r="K385" i="517"/>
  <c r="K119" i="518"/>
  <c r="E11" i="519"/>
  <c r="J4" i="521"/>
  <c r="M317" i="518"/>
  <c r="L529" i="521"/>
  <c r="I759" i="523"/>
  <c r="K218" i="520"/>
  <c r="J300" i="519"/>
  <c r="J603" i="520"/>
  <c r="K203" i="523"/>
  <c r="I387" i="521"/>
  <c r="L470" i="523"/>
  <c r="I633" i="521"/>
  <c r="L622" i="521"/>
  <c r="J423" i="517"/>
  <c r="M300" i="519"/>
  <c r="K638" i="521"/>
  <c r="M155" i="519"/>
  <c r="J399" i="523"/>
  <c r="M366" i="517"/>
  <c r="I347" i="518"/>
  <c r="K124" i="517"/>
  <c r="J63" i="520"/>
  <c r="Q2" i="3"/>
  <c r="I648" i="517"/>
  <c r="K595" i="518"/>
  <c r="M399" i="519"/>
  <c r="D63" i="247"/>
  <c r="K11" i="519"/>
  <c r="D528" i="247"/>
  <c r="K677" i="523"/>
  <c r="M172" i="520"/>
  <c r="K445" i="523"/>
  <c r="M821" i="523"/>
  <c r="K395" i="517"/>
  <c r="M241" i="517"/>
  <c r="L164" i="523"/>
  <c r="I669" i="521"/>
  <c r="I182" i="519"/>
  <c r="M721" i="523"/>
  <c r="F22" i="521"/>
  <c r="J53" i="523"/>
  <c r="M353" i="517"/>
  <c r="L620" i="521"/>
  <c r="J46" i="519"/>
  <c r="L178" i="523"/>
  <c r="C7" i="519"/>
  <c r="J570" i="520"/>
  <c r="J451" i="519"/>
  <c r="J573" i="518"/>
  <c r="L282" i="518"/>
  <c r="M204" i="517"/>
  <c r="L57" i="523"/>
  <c r="J524" i="518"/>
  <c r="M557" i="517"/>
  <c r="I48" i="523"/>
  <c r="P2" i="3"/>
  <c r="M320" i="517"/>
  <c r="M179" i="517"/>
  <c r="L218" i="521"/>
  <c r="M683" i="517"/>
  <c r="I391" i="519"/>
  <c r="I434" i="521"/>
  <c r="I595" i="520"/>
  <c r="J389" i="517"/>
  <c r="K367" i="517"/>
  <c r="I108" i="517"/>
  <c r="M824" i="523"/>
  <c r="M88" i="519"/>
  <c r="K610" i="523"/>
  <c r="L285" i="518"/>
  <c r="L327" i="518"/>
  <c r="L402" i="519"/>
  <c r="L424" i="517"/>
  <c r="I629" i="519"/>
  <c r="A30" i="519"/>
  <c r="L497" i="520"/>
  <c r="M234" i="518"/>
  <c r="I332" i="517"/>
  <c r="M157" i="519"/>
  <c r="J494" i="520"/>
  <c r="K563" i="518"/>
  <c r="I94" i="520"/>
  <c r="I537" i="519"/>
  <c r="K201" i="518"/>
  <c r="I506" i="519"/>
  <c r="I636" i="517"/>
  <c r="I344" i="523"/>
  <c r="L184" i="518"/>
  <c r="D534" i="247"/>
  <c r="L73" i="517"/>
  <c r="I613" i="517"/>
  <c r="L75" i="523"/>
  <c r="I343" i="521"/>
  <c r="L258" i="520"/>
  <c r="M122" i="519"/>
  <c r="M482" i="523"/>
  <c r="L213" i="519"/>
  <c r="I566" i="517"/>
  <c r="I165" i="517"/>
  <c r="C43" i="517"/>
  <c r="I750" i="523"/>
  <c r="J542" i="521"/>
  <c r="I121" i="521"/>
  <c r="L532" i="523"/>
  <c r="M808" i="523"/>
  <c r="J382" i="517"/>
  <c r="J679" i="520"/>
  <c r="C5" i="521"/>
  <c r="L449" i="521"/>
  <c r="L764" i="523"/>
  <c r="K222" i="523"/>
  <c r="J17" i="521"/>
  <c r="K188" i="521"/>
  <c r="K38" i="517"/>
  <c r="C317" i="247"/>
  <c r="J200" i="517"/>
  <c r="J488" i="517"/>
  <c r="F29" i="518"/>
  <c r="L336" i="518"/>
  <c r="D375" i="247"/>
  <c r="M340" i="520"/>
  <c r="K620" i="519"/>
  <c r="K344" i="523"/>
  <c r="I370" i="521"/>
  <c r="L635" i="520"/>
  <c r="I667" i="519"/>
  <c r="M332" i="523"/>
  <c r="L479" i="519"/>
  <c r="K178" i="517"/>
  <c r="I512" i="521"/>
  <c r="L323" i="519"/>
  <c r="J690" i="520"/>
  <c r="I679" i="519"/>
  <c r="K631" i="523"/>
  <c r="L110" i="523"/>
  <c r="K790" i="523"/>
  <c r="M734" i="523"/>
  <c r="I218" i="521"/>
  <c r="I156" i="518"/>
  <c r="D447" i="247"/>
  <c r="I542" i="523"/>
  <c r="K65" i="517"/>
  <c r="I479" i="521"/>
  <c r="K475" i="521"/>
  <c r="L23" i="517"/>
  <c r="I405" i="517"/>
  <c r="I65" i="521"/>
  <c r="M154" i="520"/>
  <c r="L458" i="519"/>
  <c r="K118" i="521"/>
  <c r="M436" i="517"/>
  <c r="I180" i="517"/>
  <c r="I380" i="521"/>
  <c r="M159" i="518"/>
  <c r="K451" i="523"/>
  <c r="L320" i="523"/>
  <c r="M427" i="517"/>
  <c r="I687" i="521"/>
  <c r="J237" i="517"/>
  <c r="K392" i="518"/>
  <c r="I660" i="521"/>
  <c r="J31" i="520"/>
  <c r="L186" i="518"/>
  <c r="A35" i="523"/>
  <c r="M48" i="521"/>
  <c r="C375" i="247"/>
  <c r="I224" i="517"/>
  <c r="K254" i="521"/>
  <c r="L326" i="523"/>
  <c r="K425" i="517"/>
  <c r="G7" i="518"/>
  <c r="J24" i="523"/>
  <c r="K483" i="518"/>
  <c r="M309" i="519"/>
  <c r="L242" i="519"/>
  <c r="L518" i="519"/>
  <c r="C112" i="247"/>
  <c r="C491" i="247"/>
  <c r="I681" i="521"/>
  <c r="L415" i="521"/>
  <c r="K369" i="523"/>
  <c r="J263" i="521"/>
  <c r="L16" i="517"/>
  <c r="L353" i="521"/>
  <c r="I432" i="521"/>
  <c r="K265" i="519"/>
  <c r="L446" i="520"/>
  <c r="M30" i="521"/>
  <c r="J498" i="519"/>
  <c r="M420" i="521"/>
  <c r="J484" i="518"/>
  <c r="L369" i="517"/>
  <c r="J73" i="518"/>
  <c r="J551" i="523"/>
  <c r="K116" i="519"/>
  <c r="J565" i="521"/>
  <c r="K549" i="521"/>
  <c r="I513" i="521"/>
  <c r="M781" i="523"/>
  <c r="J51" i="521"/>
  <c r="K195" i="521"/>
  <c r="M560" i="521"/>
  <c r="L327" i="520"/>
  <c r="I397" i="519"/>
  <c r="J307" i="523"/>
  <c r="K269" i="521"/>
  <c r="L688" i="517"/>
  <c r="K360" i="517"/>
  <c r="J348" i="523"/>
  <c r="L509" i="518"/>
  <c r="K24" i="523"/>
  <c r="I305" i="518"/>
  <c r="K722" i="523"/>
  <c r="J632" i="518"/>
  <c r="D504" i="247"/>
  <c r="I562" i="519"/>
  <c r="I145" i="521"/>
  <c r="M609" i="521"/>
  <c r="M108" i="519"/>
  <c r="K410" i="521"/>
  <c r="J600" i="521"/>
  <c r="K662" i="523"/>
  <c r="L310" i="519"/>
  <c r="L296" i="523"/>
  <c r="I213" i="521"/>
  <c r="I318" i="517"/>
  <c r="J294" i="519"/>
  <c r="L489" i="519"/>
  <c r="L220" i="523"/>
  <c r="I264" i="520"/>
  <c r="I133" i="517"/>
  <c r="C28" i="517"/>
  <c r="J339" i="521"/>
  <c r="K246" i="519"/>
  <c r="L485" i="517"/>
  <c r="M473" i="520"/>
  <c r="I817" i="523"/>
  <c r="I705" i="523"/>
  <c r="M213" i="519"/>
  <c r="J398" i="521"/>
  <c r="M396" i="520"/>
  <c r="L308" i="521"/>
  <c r="K389" i="523"/>
  <c r="K41" i="520"/>
  <c r="J614" i="518"/>
  <c r="K436" i="519"/>
  <c r="K642" i="521"/>
  <c r="C107" i="247"/>
  <c r="K248" i="518"/>
  <c r="L471" i="519"/>
  <c r="M270" i="519"/>
  <c r="D197" i="247"/>
  <c r="J717" i="523"/>
  <c r="J135" i="518"/>
  <c r="I322" i="520"/>
  <c r="M200" i="523"/>
  <c r="I204" i="519"/>
  <c r="J439" i="520"/>
  <c r="K391" i="517"/>
  <c r="M375" i="517"/>
  <c r="J122" i="519"/>
  <c r="I736" i="523"/>
  <c r="M230" i="519"/>
  <c r="J217" i="519"/>
  <c r="M453" i="519"/>
  <c r="M253" i="520"/>
  <c r="J478" i="519"/>
  <c r="K531" i="518"/>
  <c r="M599" i="518"/>
  <c r="K647" i="523"/>
  <c r="M321" i="521"/>
  <c r="J822" i="523"/>
  <c r="L516" i="523"/>
  <c r="K8" i="519"/>
  <c r="L182" i="523"/>
  <c r="M683" i="518"/>
  <c r="L331" i="520"/>
  <c r="I29" i="523"/>
  <c r="I543" i="519"/>
  <c r="I462" i="520"/>
  <c r="M73" i="518"/>
  <c r="K572" i="520"/>
  <c r="L40" i="520"/>
  <c r="M413" i="523"/>
  <c r="C538" i="247"/>
  <c r="J484" i="517"/>
  <c r="I46" i="517"/>
  <c r="J624" i="521"/>
  <c r="K125" i="518"/>
  <c r="M255" i="519"/>
  <c r="M222" i="521"/>
  <c r="M445" i="518"/>
  <c r="M428" i="518"/>
  <c r="J353" i="520"/>
  <c r="L183" i="520"/>
  <c r="I162" i="518"/>
  <c r="J818" i="523"/>
  <c r="M251" i="520"/>
  <c r="J537" i="520"/>
  <c r="J630" i="520"/>
  <c r="K443" i="520"/>
  <c r="K444" i="519"/>
  <c r="L654" i="519"/>
  <c r="J631" i="517"/>
  <c r="I324" i="519"/>
  <c r="M226" i="518"/>
  <c r="A8" i="523"/>
  <c r="L609" i="518"/>
  <c r="M785" i="523"/>
  <c r="L475" i="521"/>
  <c r="I587" i="521"/>
  <c r="I264" i="518"/>
  <c r="M466" i="523"/>
  <c r="M431" i="521"/>
  <c r="J483" i="521"/>
  <c r="I90" i="520"/>
  <c r="I105" i="519"/>
  <c r="I530" i="520"/>
  <c r="I184" i="519"/>
  <c r="I344" i="521"/>
  <c r="Q19" i="3"/>
  <c r="F8" i="518"/>
  <c r="L96" i="517"/>
  <c r="L519" i="523"/>
  <c r="L679" i="521"/>
  <c r="K159" i="519"/>
  <c r="I311" i="521"/>
  <c r="L263" i="520"/>
  <c r="J47" i="518"/>
  <c r="M391" i="518"/>
  <c r="K340" i="517"/>
  <c r="L89" i="519"/>
  <c r="A23" i="520"/>
  <c r="I270" i="523"/>
  <c r="K101" i="521"/>
  <c r="I92" i="520"/>
  <c r="K568" i="521"/>
  <c r="J181" i="520"/>
  <c r="K323" i="517"/>
  <c r="K499" i="517"/>
  <c r="I498" i="517"/>
  <c r="K153" i="521"/>
  <c r="F27" i="519"/>
  <c r="M652" i="523"/>
  <c r="E27" i="523"/>
  <c r="M480" i="519"/>
  <c r="M218" i="523"/>
  <c r="I520" i="518"/>
  <c r="I589" i="520"/>
  <c r="I454" i="520"/>
  <c r="L56" i="520"/>
  <c r="E3" i="520"/>
  <c r="M651" i="520"/>
  <c r="J655" i="523"/>
  <c r="K179" i="519"/>
  <c r="K52" i="520"/>
  <c r="I46" i="523"/>
  <c r="A22" i="519"/>
  <c r="K649" i="523"/>
  <c r="C28" i="519"/>
  <c r="J450" i="523"/>
  <c r="C224" i="247"/>
  <c r="M311" i="517"/>
  <c r="K112" i="519"/>
  <c r="I122" i="519"/>
  <c r="L258" i="523"/>
  <c r="C366" i="247"/>
  <c r="M7" i="519"/>
  <c r="M681" i="517"/>
  <c r="L747" i="523"/>
  <c r="I177" i="520"/>
  <c r="I131" i="519"/>
  <c r="K423" i="521"/>
  <c r="J36" i="519"/>
  <c r="I480" i="523"/>
  <c r="M57" i="520"/>
  <c r="M539" i="521"/>
  <c r="J635" i="520"/>
  <c r="J358" i="521"/>
  <c r="L550" i="517"/>
  <c r="L229" i="523"/>
  <c r="I329" i="517"/>
  <c r="M195" i="518"/>
  <c r="J682" i="519"/>
  <c r="J78" i="517"/>
  <c r="D399" i="247"/>
  <c r="J177" i="520"/>
  <c r="L603" i="518"/>
  <c r="K186" i="519"/>
  <c r="J251" i="521"/>
  <c r="L303" i="517"/>
  <c r="K117" i="523"/>
  <c r="K645" i="521"/>
  <c r="L486" i="523"/>
  <c r="I449" i="517"/>
  <c r="I163" i="517"/>
  <c r="I690" i="523"/>
  <c r="L686" i="520"/>
  <c r="I554" i="518"/>
  <c r="L430" i="517"/>
  <c r="L20" i="518"/>
  <c r="M135" i="519"/>
  <c r="I423" i="520"/>
  <c r="M83" i="521"/>
  <c r="K627" i="517"/>
  <c r="K281" i="517"/>
  <c r="M38" i="518"/>
  <c r="G22" i="521"/>
  <c r="I625" i="518"/>
  <c r="L155" i="518"/>
  <c r="K226" i="519"/>
  <c r="I27" i="519"/>
  <c r="I463" i="523"/>
  <c r="D433" i="247"/>
  <c r="L678" i="520"/>
  <c r="M522" i="518"/>
  <c r="I505" i="519"/>
  <c r="L591" i="520"/>
  <c r="J639" i="518"/>
  <c r="I517" i="523"/>
  <c r="I158" i="519"/>
  <c r="L557" i="521"/>
  <c r="K215" i="517"/>
  <c r="K490" i="523"/>
  <c r="J283" i="519"/>
  <c r="L163" i="517"/>
  <c r="M63" i="518"/>
  <c r="L542" i="519"/>
  <c r="D245" i="247"/>
  <c r="M616" i="521"/>
  <c r="M304" i="520"/>
  <c r="J77" i="517"/>
  <c r="M434" i="519"/>
  <c r="C478" i="247"/>
  <c r="K538" i="517"/>
  <c r="L577" i="519"/>
  <c r="L666" i="523"/>
  <c r="A23" i="519"/>
  <c r="I5" i="521"/>
  <c r="J75" i="521"/>
  <c r="K635" i="517"/>
  <c r="K420" i="518"/>
  <c r="I501" i="523"/>
  <c r="I349" i="523"/>
  <c r="K246" i="521"/>
  <c r="J376" i="520"/>
  <c r="I257" i="518"/>
  <c r="K503" i="521"/>
  <c r="L633" i="519"/>
  <c r="L146" i="521"/>
  <c r="K323" i="523"/>
  <c r="C179" i="247"/>
  <c r="J167" i="521"/>
  <c r="K411" i="517"/>
  <c r="I673" i="523"/>
  <c r="L400" i="521"/>
  <c r="L744" i="523"/>
  <c r="Q26" i="3"/>
  <c r="L443" i="520"/>
  <c r="M678" i="523"/>
  <c r="C22" i="523"/>
  <c r="D80" i="247"/>
  <c r="L606" i="518"/>
  <c r="L314" i="519"/>
  <c r="J203" i="521"/>
  <c r="D458" i="247"/>
  <c r="L493" i="518"/>
  <c r="J678" i="520"/>
  <c r="L390" i="519"/>
  <c r="J550" i="521"/>
  <c r="K745" i="523"/>
  <c r="M431" i="523"/>
  <c r="L564" i="521"/>
  <c r="I389" i="518"/>
  <c r="M629" i="517"/>
  <c r="L112" i="517"/>
  <c r="I67" i="520"/>
  <c r="M400" i="521"/>
  <c r="J252" i="517"/>
  <c r="M406" i="523"/>
  <c r="I382" i="518"/>
  <c r="I586" i="517"/>
  <c r="L681" i="517"/>
  <c r="L68" i="523"/>
  <c r="J114" i="519"/>
  <c r="J42" i="520"/>
  <c r="L561" i="521"/>
  <c r="L549" i="519"/>
  <c r="M355" i="520"/>
  <c r="J454" i="521"/>
  <c r="M82" i="519"/>
  <c r="M217" i="521"/>
  <c r="J128" i="523"/>
  <c r="J349" i="517"/>
  <c r="J224" i="518"/>
  <c r="I228" i="523"/>
  <c r="L53" i="518"/>
  <c r="K612" i="520"/>
  <c r="J556" i="520"/>
  <c r="H25" i="523"/>
  <c r="K111" i="521"/>
  <c r="K65" i="520"/>
  <c r="J658" i="520"/>
  <c r="M673" i="519"/>
  <c r="J176" i="518"/>
  <c r="K69" i="517"/>
  <c r="E11" i="517"/>
  <c r="J320" i="519"/>
  <c r="J428" i="523"/>
  <c r="M119" i="520"/>
  <c r="L803" i="523"/>
  <c r="M50" i="517"/>
  <c r="I638" i="517"/>
  <c r="M8" i="521"/>
  <c r="L601" i="519"/>
  <c r="I139" i="517"/>
  <c r="L207" i="518"/>
  <c r="L437" i="519"/>
  <c r="J75" i="520"/>
  <c r="I642" i="519"/>
  <c r="L655" i="520"/>
  <c r="I235" i="518"/>
  <c r="K40" i="519"/>
  <c r="A30" i="521"/>
  <c r="I388" i="519"/>
  <c r="M257" i="518"/>
  <c r="K548" i="517"/>
  <c r="J533" i="518"/>
  <c r="K147" i="520"/>
  <c r="K467" i="517"/>
  <c r="M233" i="518"/>
  <c r="L420" i="523"/>
  <c r="M611" i="519"/>
  <c r="M452" i="519"/>
  <c r="L594" i="517"/>
  <c r="C42" i="518"/>
  <c r="K256" i="517"/>
  <c r="J552" i="520"/>
  <c r="I46" i="520"/>
  <c r="M489" i="517"/>
  <c r="M7" i="520"/>
  <c r="I763" i="523"/>
  <c r="I467" i="518"/>
  <c r="C101" i="247"/>
  <c r="I616" i="519"/>
  <c r="L493" i="520"/>
  <c r="J531" i="519"/>
  <c r="K692" i="521"/>
  <c r="K259" i="518"/>
  <c r="I503" i="518"/>
  <c r="C297" i="247"/>
  <c r="M120" i="520"/>
  <c r="M246" i="520"/>
  <c r="J626" i="519"/>
  <c r="I470" i="517"/>
  <c r="K41" i="518"/>
  <c r="J319" i="523"/>
  <c r="I456" i="519"/>
  <c r="I819" i="523"/>
  <c r="L541" i="521"/>
  <c r="J597" i="520"/>
  <c r="M197" i="520"/>
  <c r="P17" i="3"/>
  <c r="J646" i="521"/>
  <c r="L210" i="523"/>
  <c r="D501" i="247"/>
  <c r="L261" i="519"/>
  <c r="M259" i="517"/>
  <c r="L380" i="520"/>
  <c r="I177" i="523"/>
  <c r="K284" i="517"/>
  <c r="L299" i="520"/>
  <c r="K460" i="519"/>
  <c r="L421" i="521"/>
  <c r="I598" i="521"/>
  <c r="K162" i="523"/>
  <c r="K589" i="519"/>
  <c r="J109" i="521"/>
  <c r="I350" i="523"/>
  <c r="J50" i="521"/>
  <c r="M625" i="521"/>
  <c r="K103" i="521"/>
  <c r="L579" i="517"/>
  <c r="I504" i="523"/>
  <c r="C67" i="247"/>
  <c r="L11" i="523"/>
  <c r="J645" i="518"/>
  <c r="I249" i="520"/>
  <c r="J570" i="523"/>
  <c r="J639" i="517"/>
  <c r="L439" i="519"/>
  <c r="M565" i="521"/>
  <c r="I391" i="520"/>
  <c r="J308" i="520"/>
  <c r="K491" i="518"/>
  <c r="L26" i="523"/>
  <c r="L679" i="520"/>
  <c r="M660" i="521"/>
  <c r="C73" i="247"/>
  <c r="I474" i="523"/>
  <c r="I615" i="523"/>
  <c r="K38" i="518"/>
  <c r="K667" i="519"/>
  <c r="L236" i="523"/>
  <c r="M666" i="521"/>
  <c r="F29" i="521"/>
  <c r="L311" i="520"/>
  <c r="C22" i="518"/>
  <c r="I405" i="520"/>
  <c r="L350" i="517"/>
  <c r="M426" i="520"/>
  <c r="K237" i="517"/>
  <c r="M676" i="523"/>
  <c r="J413" i="520"/>
  <c r="M59" i="523"/>
  <c r="M329" i="517"/>
  <c r="L662" i="520"/>
  <c r="K114" i="521"/>
  <c r="I232" i="523"/>
  <c r="I117" i="521"/>
  <c r="L625" i="517"/>
  <c r="J458" i="520"/>
  <c r="I354" i="519"/>
  <c r="J5" i="520"/>
  <c r="K60" i="517"/>
  <c r="M93" i="520"/>
  <c r="L356" i="521"/>
  <c r="M681" i="519"/>
  <c r="I87" i="517"/>
  <c r="M565" i="519"/>
  <c r="K602" i="521"/>
  <c r="D286" i="247"/>
  <c r="K70" i="523"/>
  <c r="K388" i="523"/>
  <c r="I421" i="520"/>
  <c r="M291" i="521"/>
  <c r="M271" i="519"/>
  <c r="K131" i="518"/>
  <c r="K359" i="517"/>
  <c r="K441" i="523"/>
  <c r="M288" i="520"/>
  <c r="C316" i="247"/>
  <c r="L200" i="521"/>
  <c r="L221" i="521"/>
  <c r="J468" i="523"/>
  <c r="L462" i="523"/>
  <c r="K256" i="521"/>
  <c r="I514" i="520"/>
  <c r="L395" i="523"/>
  <c r="L627" i="520"/>
  <c r="M630" i="517"/>
  <c r="L287" i="520"/>
  <c r="L433" i="519"/>
  <c r="J522" i="519"/>
  <c r="K83" i="517"/>
  <c r="L305" i="520"/>
  <c r="M294" i="518"/>
  <c r="J65" i="517"/>
  <c r="J155" i="523"/>
  <c r="K207" i="517"/>
  <c r="J225" i="519"/>
  <c r="L357" i="521"/>
  <c r="M360" i="523"/>
  <c r="D558" i="247"/>
  <c r="L619" i="517"/>
  <c r="L517" i="517"/>
  <c r="G3" i="519"/>
  <c r="K435" i="518"/>
  <c r="L583" i="523"/>
  <c r="I551" i="523"/>
  <c r="I654" i="517"/>
  <c r="I580" i="518"/>
  <c r="L218" i="519"/>
  <c r="J384" i="523"/>
  <c r="J472" i="521"/>
  <c r="M605" i="519"/>
  <c r="M547" i="521"/>
  <c r="M374" i="517"/>
  <c r="L361" i="519"/>
  <c r="M174" i="520"/>
  <c r="M359" i="518"/>
  <c r="M227" i="517"/>
  <c r="L489" i="520"/>
  <c r="I338" i="521"/>
  <c r="I653" i="518"/>
  <c r="D64" i="247"/>
  <c r="L653" i="517"/>
  <c r="J399" i="519"/>
  <c r="J25" i="520"/>
  <c r="K778" i="523"/>
  <c r="M497" i="520"/>
  <c r="K673" i="520"/>
  <c r="J233" i="523"/>
  <c r="I444" i="518"/>
  <c r="M326" i="519"/>
  <c r="J129" i="517"/>
  <c r="C170" i="247"/>
  <c r="J387" i="520"/>
  <c r="J393" i="518"/>
  <c r="J282" i="523"/>
  <c r="K422" i="523"/>
  <c r="L177" i="521"/>
  <c r="J555" i="523"/>
  <c r="I624" i="523"/>
  <c r="L413" i="520"/>
  <c r="J356" i="521"/>
  <c r="J339" i="519"/>
  <c r="M373" i="517"/>
  <c r="L40" i="518"/>
  <c r="J474" i="523"/>
  <c r="L182" i="519"/>
  <c r="L256" i="523"/>
  <c r="I628" i="523"/>
  <c r="G19" i="523"/>
  <c r="I168" i="523"/>
  <c r="L361" i="521"/>
  <c r="J385" i="521"/>
  <c r="K471" i="517"/>
  <c r="K236" i="518"/>
  <c r="M267" i="523"/>
  <c r="I42" i="517"/>
  <c r="J517" i="519"/>
  <c r="I622" i="523"/>
  <c r="I637" i="517"/>
  <c r="P22" i="3"/>
  <c r="M526" i="520"/>
  <c r="K25" i="521"/>
  <c r="A4" i="520"/>
  <c r="K303" i="521"/>
  <c r="M345" i="523"/>
  <c r="I600" i="523"/>
  <c r="I337" i="517"/>
  <c r="J580" i="517"/>
  <c r="K275" i="517"/>
  <c r="L45" i="519"/>
  <c r="Q42" i="3"/>
  <c r="K552" i="520"/>
  <c r="I38" i="520"/>
  <c r="I256" i="519"/>
  <c r="I74" i="518"/>
  <c r="K633" i="520"/>
  <c r="K431" i="519"/>
  <c r="L247" i="518"/>
  <c r="J159" i="517"/>
  <c r="K296" i="523"/>
  <c r="L106" i="519"/>
  <c r="K299" i="523"/>
  <c r="J815" i="523"/>
  <c r="M4" i="521"/>
  <c r="K54" i="519"/>
  <c r="L72" i="519"/>
  <c r="M296" i="520"/>
  <c r="L138" i="520"/>
  <c r="I258" i="520"/>
  <c r="K650" i="521"/>
  <c r="J87" i="521"/>
  <c r="L79" i="517"/>
  <c r="C300" i="247"/>
  <c r="K32" i="518"/>
  <c r="L394" i="519"/>
  <c r="M237" i="520"/>
  <c r="L760" i="523"/>
  <c r="L42" i="520"/>
  <c r="J491" i="517"/>
  <c r="I34" i="521"/>
  <c r="J26" i="523"/>
  <c r="K490" i="517"/>
  <c r="L419" i="520"/>
  <c r="M354" i="521"/>
  <c r="M468" i="523"/>
  <c r="I124" i="519"/>
  <c r="K413" i="521"/>
  <c r="I556" i="523"/>
  <c r="M559" i="523"/>
  <c r="K615" i="520"/>
  <c r="L138" i="518"/>
  <c r="J514" i="517"/>
  <c r="I518" i="519"/>
  <c r="J149" i="517"/>
  <c r="K573" i="523"/>
  <c r="L126" i="517"/>
  <c r="K238" i="518"/>
  <c r="I489" i="523"/>
  <c r="G5" i="521"/>
  <c r="M717" i="523"/>
  <c r="K36" i="518"/>
  <c r="A25" i="520"/>
  <c r="C333" i="247"/>
  <c r="M216" i="521"/>
  <c r="I583" i="520"/>
  <c r="J374" i="520"/>
  <c r="I18" i="519"/>
  <c r="I663" i="520"/>
  <c r="M466" i="518"/>
  <c r="J172" i="520"/>
  <c r="L140" i="520"/>
  <c r="C12" i="523"/>
  <c r="J440" i="517"/>
  <c r="J176" i="523"/>
  <c r="I202" i="523"/>
  <c r="L214" i="518"/>
  <c r="K164" i="523"/>
  <c r="J203" i="519"/>
  <c r="I170" i="523"/>
  <c r="J534" i="523"/>
  <c r="K660" i="518"/>
  <c r="J494" i="518"/>
  <c r="L420" i="518"/>
  <c r="I520" i="521"/>
  <c r="K148" i="523"/>
  <c r="I70" i="519"/>
  <c r="I749" i="523"/>
  <c r="A17" i="523"/>
  <c r="J216" i="521"/>
  <c r="M688" i="519"/>
  <c r="K646" i="523"/>
  <c r="L167" i="523"/>
  <c r="K219" i="520"/>
  <c r="L664" i="523"/>
  <c r="K206" i="518"/>
  <c r="J88" i="521"/>
  <c r="K21" i="520"/>
  <c r="L637" i="519"/>
  <c r="L225" i="517"/>
  <c r="M106" i="518"/>
  <c r="K272" i="520"/>
  <c r="J380" i="518"/>
  <c r="L328" i="518"/>
  <c r="M327" i="518"/>
  <c r="M167" i="518"/>
  <c r="L129" i="521"/>
  <c r="J262" i="518"/>
  <c r="I114" i="523"/>
  <c r="J683" i="521"/>
  <c r="L332" i="519"/>
  <c r="L380" i="523"/>
  <c r="I652" i="519"/>
  <c r="C422" i="247"/>
  <c r="K345" i="523"/>
  <c r="F10" i="518"/>
  <c r="J540" i="523"/>
  <c r="H20" i="520"/>
  <c r="J381" i="521"/>
  <c r="L414" i="521"/>
  <c r="M419" i="520"/>
  <c r="K177" i="517"/>
  <c r="K156" i="519"/>
  <c r="M142" i="519"/>
  <c r="J40" i="518"/>
  <c r="K603" i="519"/>
  <c r="L292" i="523"/>
  <c r="J171" i="520"/>
  <c r="J387" i="519"/>
  <c r="Q5" i="3"/>
  <c r="D540" i="247"/>
  <c r="J262" i="523"/>
  <c r="I467" i="519"/>
  <c r="I466" i="517"/>
  <c r="K550" i="520"/>
  <c r="L634" i="523"/>
  <c r="J321" i="517"/>
  <c r="J475" i="523"/>
  <c r="J60" i="517"/>
  <c r="M475" i="519"/>
  <c r="L164" i="517"/>
  <c r="I82" i="517"/>
  <c r="I614" i="520"/>
  <c r="J610" i="521"/>
  <c r="J144" i="523"/>
  <c r="M649" i="521"/>
  <c r="L74" i="521"/>
  <c r="M332" i="521"/>
  <c r="Q25" i="3"/>
  <c r="I442" i="523"/>
  <c r="J273" i="521"/>
  <c r="I65" i="520"/>
  <c r="L21" i="523"/>
  <c r="M799" i="523"/>
  <c r="I331" i="523"/>
  <c r="L518" i="518"/>
  <c r="J295" i="521"/>
  <c r="M84" i="520"/>
  <c r="J398" i="519"/>
  <c r="I155" i="523"/>
  <c r="I310" i="521"/>
  <c r="J546" i="519"/>
  <c r="K68" i="523"/>
  <c r="M418" i="519"/>
  <c r="D418" i="247"/>
  <c r="I321" i="517"/>
  <c r="K459" i="520"/>
  <c r="J241" i="523"/>
  <c r="I668" i="520"/>
  <c r="K275" i="519"/>
  <c r="I706" i="523"/>
  <c r="K647" i="519"/>
  <c r="I218" i="519"/>
  <c r="L474" i="523"/>
  <c r="M452" i="517"/>
  <c r="L218" i="518"/>
  <c r="C45" i="523"/>
  <c r="L185" i="523"/>
  <c r="J272" i="517"/>
  <c r="I387" i="523"/>
  <c r="C214" i="247"/>
  <c r="M619" i="518"/>
  <c r="M558" i="518"/>
  <c r="M165" i="523"/>
  <c r="L317" i="520"/>
  <c r="M107" i="523"/>
  <c r="M341" i="517"/>
  <c r="K425" i="523"/>
  <c r="D414" i="247"/>
  <c r="L156" i="517"/>
  <c r="M310" i="520"/>
  <c r="I633" i="518"/>
  <c r="I249" i="523"/>
  <c r="M204" i="519"/>
  <c r="I169" i="521"/>
  <c r="D543" i="247"/>
  <c r="M320" i="521"/>
  <c r="I319" i="518"/>
  <c r="K384" i="517"/>
  <c r="M456" i="521"/>
  <c r="M100" i="523"/>
  <c r="M162" i="518"/>
  <c r="M537" i="521"/>
  <c r="K68" i="519"/>
  <c r="C97" i="247"/>
  <c r="K675" i="518"/>
  <c r="J618" i="519"/>
  <c r="J501" i="520"/>
  <c r="L501" i="519"/>
  <c r="I375" i="521"/>
  <c r="J147" i="521"/>
  <c r="M378" i="523"/>
  <c r="D348" i="247"/>
  <c r="C47" i="520"/>
  <c r="J220" i="523"/>
  <c r="J61" i="519"/>
  <c r="K477" i="520"/>
  <c r="M552" i="520"/>
  <c r="I216" i="521"/>
  <c r="I384" i="517"/>
  <c r="M326" i="523"/>
  <c r="L433" i="517"/>
  <c r="K572" i="521"/>
  <c r="C50" i="247"/>
  <c r="M472" i="519"/>
  <c r="D475" i="247"/>
  <c r="L329" i="521"/>
  <c r="D75" i="247"/>
  <c r="M36" i="523"/>
  <c r="M94" i="517"/>
  <c r="J209" i="521"/>
  <c r="L391" i="521"/>
  <c r="I455" i="521"/>
  <c r="K374" i="523"/>
  <c r="I178" i="523"/>
  <c r="K4" i="517"/>
  <c r="K63" i="520"/>
  <c r="J311" i="520"/>
  <c r="K549" i="523"/>
  <c r="M306" i="520"/>
  <c r="M520" i="518"/>
  <c r="J834" i="523"/>
  <c r="K190" i="518"/>
  <c r="J676" i="519"/>
  <c r="I498" i="521"/>
  <c r="I86" i="517"/>
  <c r="L482" i="520"/>
  <c r="D491" i="247"/>
  <c r="J464" i="517"/>
  <c r="M218" i="520"/>
  <c r="M477" i="517"/>
  <c r="I540" i="518"/>
  <c r="M608" i="517"/>
  <c r="L358" i="519"/>
  <c r="I195" i="521"/>
  <c r="M425" i="517"/>
  <c r="D259" i="247"/>
  <c r="K422" i="518"/>
  <c r="L354" i="519"/>
  <c r="G2" i="518"/>
  <c r="D141" i="247"/>
  <c r="L60" i="518"/>
  <c r="J222" i="521"/>
  <c r="M463" i="518"/>
  <c r="J157" i="517"/>
  <c r="D120" i="247"/>
  <c r="L611" i="520"/>
  <c r="I532" i="523"/>
  <c r="J546" i="521"/>
  <c r="J313" i="517"/>
  <c r="K365" i="519"/>
  <c r="L37" i="517"/>
  <c r="L691" i="520"/>
  <c r="L155" i="517"/>
  <c r="L195" i="520"/>
  <c r="C19" i="519"/>
  <c r="K369" i="520"/>
  <c r="K290" i="519"/>
  <c r="A20" i="523"/>
  <c r="L622" i="518"/>
  <c r="I521" i="520"/>
  <c r="K627" i="520"/>
  <c r="L388" i="518"/>
  <c r="L247" i="517"/>
  <c r="K195" i="517"/>
  <c r="M616" i="517"/>
  <c r="C397" i="247"/>
  <c r="M224" i="519"/>
  <c r="M78" i="518"/>
  <c r="I295" i="523"/>
  <c r="L565" i="517"/>
  <c r="I364" i="518"/>
  <c r="K537" i="520"/>
  <c r="J145" i="521"/>
  <c r="L567" i="519"/>
  <c r="M693" i="523"/>
  <c r="J257" i="521"/>
  <c r="J350" i="520"/>
  <c r="K201" i="517"/>
  <c r="D106" i="247"/>
  <c r="I195" i="517"/>
  <c r="L270" i="523"/>
  <c r="M225" i="523"/>
  <c r="J576" i="521"/>
  <c r="K74" i="518"/>
  <c r="M126" i="520"/>
  <c r="M458" i="521"/>
  <c r="I261" i="520"/>
  <c r="J116" i="523"/>
  <c r="J67" i="520"/>
  <c r="I9" i="523"/>
  <c r="L460" i="523"/>
  <c r="C34" i="521"/>
  <c r="J253" i="523"/>
  <c r="C439" i="247"/>
  <c r="L521" i="520"/>
  <c r="J564" i="521"/>
  <c r="J179" i="519"/>
  <c r="D275" i="247"/>
  <c r="M166" i="518"/>
  <c r="K461" i="521"/>
  <c r="I350" i="517"/>
  <c r="G11" i="518"/>
  <c r="L345" i="519"/>
  <c r="J223" i="521"/>
  <c r="M311" i="523"/>
  <c r="I61" i="521"/>
  <c r="J502" i="517"/>
  <c r="J304" i="519"/>
  <c r="K379" i="518"/>
  <c r="K502" i="521"/>
  <c r="L154" i="523"/>
  <c r="J164" i="519"/>
  <c r="C33" i="523"/>
  <c r="M351" i="518"/>
  <c r="M576" i="519"/>
  <c r="I275" i="523"/>
  <c r="L473" i="518"/>
  <c r="L105" i="519"/>
  <c r="A20" i="517"/>
  <c r="I473" i="521"/>
  <c r="I146" i="519"/>
  <c r="L328" i="521"/>
  <c r="C355" i="247"/>
  <c r="K332" i="520"/>
  <c r="I664" i="519"/>
  <c r="K833" i="523"/>
  <c r="J99" i="519"/>
  <c r="K26" i="517"/>
  <c r="K366" i="523"/>
  <c r="I496" i="523"/>
  <c r="L181" i="518"/>
  <c r="K3" i="521"/>
  <c r="J58" i="517"/>
  <c r="Q36" i="3"/>
  <c r="M460" i="520"/>
  <c r="M315" i="519"/>
  <c r="M635" i="518"/>
  <c r="L448" i="517"/>
  <c r="L319" i="517"/>
  <c r="K635" i="520"/>
  <c r="I89" i="521"/>
  <c r="I321" i="520"/>
  <c r="K650" i="523"/>
  <c r="J140" i="519"/>
  <c r="K315" i="517"/>
  <c r="M417" i="521"/>
  <c r="G29" i="520"/>
  <c r="L694" i="523"/>
  <c r="L532" i="520"/>
  <c r="K274" i="523"/>
  <c r="L647" i="518"/>
  <c r="K331" i="517"/>
  <c r="I60" i="520"/>
  <c r="M731" i="523"/>
  <c r="I156" i="521"/>
  <c r="I472" i="523"/>
  <c r="K515" i="519"/>
  <c r="I483" i="523"/>
  <c r="C313" i="247"/>
  <c r="J300" i="523"/>
  <c r="K265" i="523"/>
  <c r="C183" i="247"/>
  <c r="H2" i="518"/>
  <c r="L214" i="521"/>
  <c r="I63" i="518"/>
  <c r="M471" i="520"/>
  <c r="J548" i="517"/>
  <c r="M545" i="523"/>
  <c r="L677" i="518"/>
  <c r="J344" i="520"/>
  <c r="L217" i="518"/>
  <c r="J432" i="523"/>
  <c r="J379" i="517"/>
  <c r="H11" i="518"/>
  <c r="J147" i="520"/>
  <c r="I205" i="517"/>
  <c r="L434" i="518"/>
  <c r="L105" i="521"/>
  <c r="L652" i="523"/>
  <c r="K34" i="523"/>
  <c r="K647" i="521"/>
  <c r="I451" i="519"/>
  <c r="M381" i="523"/>
  <c r="J223" i="523"/>
  <c r="I186" i="521"/>
  <c r="M270" i="521"/>
  <c r="D309" i="247"/>
  <c r="D67" i="247"/>
  <c r="K614" i="517"/>
  <c r="I386" i="519"/>
  <c r="L202" i="519"/>
  <c r="L89" i="523"/>
  <c r="K357" i="521"/>
  <c r="K67" i="519"/>
  <c r="M400" i="520"/>
  <c r="J206" i="523"/>
  <c r="C208" i="247"/>
  <c r="K57" i="519"/>
  <c r="K626" i="518"/>
  <c r="M603" i="517"/>
  <c r="K731" i="523"/>
  <c r="C82" i="247"/>
  <c r="I384" i="521"/>
  <c r="K70" i="519"/>
  <c r="C205" i="247"/>
  <c r="M462" i="520"/>
  <c r="M257" i="520"/>
  <c r="H9" i="519"/>
  <c r="L693" i="520"/>
  <c r="P15" i="3"/>
  <c r="K534" i="517"/>
  <c r="J318" i="519"/>
  <c r="L171" i="521"/>
  <c r="K196" i="517"/>
  <c r="M392" i="519"/>
  <c r="M763" i="523"/>
  <c r="L714" i="523"/>
  <c r="M350" i="523"/>
  <c r="L204" i="520"/>
  <c r="I758" i="523"/>
  <c r="K75" i="518"/>
  <c r="C543" i="247"/>
  <c r="M292" i="517"/>
  <c r="L407" i="519"/>
  <c r="K55" i="520"/>
  <c r="M282" i="523"/>
  <c r="M318" i="523"/>
  <c r="L200" i="517"/>
  <c r="Q17" i="3"/>
  <c r="E11" i="523"/>
  <c r="K127" i="518"/>
  <c r="D207" i="247"/>
  <c r="I221" i="523"/>
  <c r="L568" i="521"/>
  <c r="M684" i="519"/>
  <c r="I305" i="517"/>
  <c r="J601" i="521"/>
  <c r="M48" i="523"/>
  <c r="J99" i="520"/>
  <c r="I490" i="521"/>
  <c r="M578" i="520"/>
  <c r="C326" i="247"/>
  <c r="M221" i="519"/>
  <c r="K514" i="523"/>
  <c r="M350" i="520"/>
  <c r="M554" i="523"/>
  <c r="J26" i="520"/>
  <c r="M17" i="518"/>
  <c r="I346" i="518"/>
  <c r="L550" i="518"/>
  <c r="K268" i="517"/>
  <c r="D415" i="247"/>
  <c r="C46" i="247"/>
  <c r="D440" i="247"/>
  <c r="A9" i="518"/>
  <c r="K285" i="519"/>
  <c r="L79" i="520"/>
  <c r="L833" i="523"/>
  <c r="M140" i="520"/>
  <c r="J193" i="517"/>
  <c r="I484" i="520"/>
  <c r="K317" i="520"/>
  <c r="I541" i="520"/>
  <c r="J76" i="520"/>
  <c r="I636" i="523"/>
  <c r="K549" i="520"/>
  <c r="J37" i="520"/>
  <c r="L75" i="521"/>
  <c r="J244" i="520"/>
  <c r="K737" i="523"/>
  <c r="K454" i="521"/>
  <c r="M134" i="519"/>
  <c r="K178" i="523"/>
  <c r="I56" i="519"/>
  <c r="J611" i="521"/>
  <c r="I601" i="518"/>
  <c r="I696" i="523"/>
  <c r="M121" i="521"/>
  <c r="L144" i="520"/>
  <c r="J375" i="520"/>
  <c r="J193" i="519"/>
  <c r="L27" i="523"/>
  <c r="I674" i="518"/>
  <c r="I225" i="520"/>
  <c r="I13" i="519"/>
  <c r="M619" i="520"/>
  <c r="L301" i="517"/>
  <c r="L262" i="518"/>
  <c r="M158" i="518"/>
  <c r="I561" i="518"/>
  <c r="M237" i="518"/>
  <c r="L104" i="519"/>
  <c r="I708" i="523"/>
  <c r="K41" i="519"/>
  <c r="L571" i="518"/>
  <c r="K529" i="523"/>
  <c r="M17" i="517"/>
  <c r="M603" i="523"/>
  <c r="K673" i="523"/>
  <c r="L292" i="520"/>
  <c r="M660" i="518"/>
  <c r="J825" i="523"/>
  <c r="K579" i="520"/>
  <c r="I664" i="520"/>
  <c r="K733" i="523"/>
  <c r="L398" i="518"/>
  <c r="L638" i="518"/>
  <c r="K358" i="517"/>
  <c r="I19" i="519"/>
  <c r="K484" i="523"/>
  <c r="J260" i="521"/>
  <c r="L221" i="519"/>
  <c r="K356" i="517"/>
  <c r="A35" i="520"/>
  <c r="K118" i="520"/>
  <c r="L592" i="519"/>
  <c r="I401" i="518"/>
  <c r="M676" i="519"/>
  <c r="J5" i="523"/>
  <c r="M291" i="518"/>
  <c r="I204" i="521"/>
  <c r="M217" i="517"/>
  <c r="L93" i="521"/>
  <c r="Q41" i="3"/>
  <c r="L104" i="523"/>
  <c r="J647" i="523"/>
  <c r="J27" i="520"/>
  <c r="J209" i="519"/>
  <c r="I412" i="519"/>
  <c r="L518" i="520"/>
  <c r="K348" i="518"/>
  <c r="K233" i="523"/>
  <c r="J409" i="518"/>
  <c r="K537" i="523"/>
  <c r="L563" i="523"/>
  <c r="K436" i="520"/>
  <c r="L276" i="520"/>
  <c r="L345" i="517"/>
  <c r="M73" i="523"/>
  <c r="K39" i="518"/>
  <c r="J192" i="517"/>
  <c r="J355" i="523"/>
  <c r="I122" i="521"/>
  <c r="C21" i="519"/>
  <c r="K61" i="523"/>
  <c r="L576" i="520"/>
  <c r="F2" i="520"/>
  <c r="L79" i="519"/>
  <c r="I24" i="518"/>
  <c r="J467" i="520"/>
  <c r="K600" i="517"/>
  <c r="I791" i="523"/>
  <c r="K411" i="521"/>
  <c r="J417" i="523"/>
  <c r="L644" i="519"/>
  <c r="L133" i="517"/>
  <c r="M512" i="519"/>
  <c r="K686" i="523"/>
  <c r="L616" i="517"/>
  <c r="I613" i="518"/>
  <c r="L624" i="518"/>
  <c r="J493" i="523"/>
  <c r="K497" i="521"/>
  <c r="K434" i="517"/>
  <c r="K515" i="520"/>
  <c r="I630" i="519"/>
  <c r="D203" i="247"/>
  <c r="J302" i="518"/>
  <c r="M199" i="523"/>
  <c r="I737" i="523"/>
  <c r="M467" i="519"/>
  <c r="J476" i="517"/>
  <c r="M592" i="517"/>
  <c r="K367" i="518"/>
  <c r="J640" i="517"/>
  <c r="J371" i="517"/>
  <c r="L255" i="520"/>
  <c r="M675" i="523"/>
  <c r="K64" i="519"/>
  <c r="K571" i="517"/>
  <c r="L408" i="519"/>
  <c r="M248" i="523"/>
  <c r="I250" i="521"/>
  <c r="J475" i="521"/>
  <c r="M321" i="518"/>
  <c r="I270" i="521"/>
  <c r="I199" i="519"/>
  <c r="L397" i="518"/>
  <c r="K58" i="517"/>
  <c r="L207" i="519"/>
  <c r="K304" i="523"/>
  <c r="I266" i="519"/>
  <c r="M265" i="523"/>
  <c r="L426" i="521"/>
  <c r="L73" i="521"/>
  <c r="L406" i="523"/>
  <c r="K247" i="517"/>
  <c r="L162" i="519"/>
  <c r="K6" i="521"/>
  <c r="L573" i="518"/>
  <c r="L594" i="518"/>
  <c r="M51" i="523"/>
  <c r="K797" i="523"/>
  <c r="J464" i="518"/>
  <c r="M725" i="523"/>
  <c r="M83" i="517"/>
  <c r="M316" i="517"/>
  <c r="J79" i="518"/>
  <c r="L440" i="523"/>
  <c r="M83" i="520"/>
  <c r="K90" i="521"/>
  <c r="L198" i="521"/>
  <c r="J330" i="517"/>
  <c r="K24" i="517"/>
  <c r="K686" i="518"/>
  <c r="K575" i="521"/>
  <c r="J532" i="520"/>
  <c r="I639" i="521"/>
  <c r="L673" i="523"/>
  <c r="L582" i="517"/>
  <c r="J344" i="523"/>
  <c r="M340" i="518"/>
  <c r="C340" i="247"/>
  <c r="I299" i="523"/>
  <c r="M9" i="520"/>
  <c r="L75" i="520"/>
  <c r="J211" i="520"/>
  <c r="J587" i="523"/>
  <c r="L363" i="521"/>
  <c r="J452" i="520"/>
  <c r="L308" i="520"/>
  <c r="J455" i="518"/>
  <c r="J480" i="523"/>
  <c r="K100" i="523"/>
  <c r="I428" i="520"/>
  <c r="M660" i="520"/>
  <c r="K499" i="521"/>
  <c r="J663" i="517"/>
  <c r="J191" i="520"/>
  <c r="J105" i="523"/>
  <c r="K36" i="520"/>
  <c r="C221" i="247"/>
  <c r="K260" i="523"/>
  <c r="I600" i="517"/>
  <c r="K383" i="521"/>
  <c r="M580" i="520"/>
  <c r="I162" i="521"/>
  <c r="D337" i="247"/>
  <c r="I583" i="519"/>
  <c r="L596" i="521"/>
  <c r="J186" i="519"/>
  <c r="I548" i="517"/>
  <c r="I92" i="518"/>
  <c r="J378" i="519"/>
  <c r="I269" i="520"/>
  <c r="I342" i="518"/>
  <c r="I466" i="521"/>
  <c r="I295" i="519"/>
  <c r="K62" i="517"/>
  <c r="L278" i="517"/>
  <c r="L366" i="518"/>
  <c r="L296" i="517"/>
  <c r="L557" i="518"/>
  <c r="J705" i="523"/>
  <c r="E12" i="520"/>
  <c r="D342" i="247"/>
  <c r="L442" i="521"/>
  <c r="A40" i="517"/>
  <c r="J195" i="520"/>
  <c r="K653" i="517"/>
  <c r="D261" i="247"/>
  <c r="C426" i="247"/>
  <c r="I575" i="523"/>
  <c r="I505" i="517"/>
  <c r="J210" i="518"/>
  <c r="D77" i="247"/>
  <c r="K522" i="521"/>
  <c r="L276" i="523"/>
  <c r="L385" i="521"/>
  <c r="L625" i="521"/>
  <c r="K666" i="518"/>
  <c r="F12" i="523"/>
  <c r="J262" i="521"/>
  <c r="D265" i="247"/>
  <c r="L124" i="519"/>
  <c r="J41" i="518"/>
  <c r="M257" i="521"/>
  <c r="M66" i="519"/>
  <c r="M313" i="523"/>
  <c r="M518" i="521"/>
  <c r="K64" i="523"/>
  <c r="I634" i="523"/>
  <c r="D550" i="247"/>
  <c r="I324" i="517"/>
  <c r="P1" i="3"/>
  <c r="J571" i="518"/>
  <c r="I228" i="517"/>
  <c r="J638" i="521"/>
  <c r="K84" i="518"/>
  <c r="L552" i="517"/>
  <c r="I64" i="521"/>
  <c r="K437" i="518"/>
  <c r="M362" i="520"/>
  <c r="L311" i="523"/>
  <c r="I62" i="521"/>
  <c r="I223" i="521"/>
  <c r="K24" i="521"/>
  <c r="J150" i="519"/>
  <c r="L616" i="518"/>
  <c r="K687" i="517"/>
  <c r="J421" i="523"/>
  <c r="J62" i="517"/>
  <c r="J365" i="521"/>
  <c r="J130" i="517"/>
  <c r="L752" i="523"/>
  <c r="I204" i="523"/>
  <c r="K345" i="518"/>
  <c r="D45" i="247"/>
  <c r="J499" i="523"/>
  <c r="M509" i="517"/>
  <c r="J168" i="520"/>
  <c r="M690" i="519"/>
  <c r="K315" i="520"/>
  <c r="I408" i="523"/>
  <c r="L302" i="519"/>
  <c r="I582" i="517"/>
  <c r="J488" i="520"/>
  <c r="I664" i="517"/>
  <c r="M676" i="521"/>
  <c r="M521" i="523"/>
  <c r="M243" i="519"/>
  <c r="J399" i="521"/>
  <c r="K369" i="517"/>
  <c r="K220" i="518"/>
  <c r="D336" i="247"/>
  <c r="C268" i="247"/>
  <c r="M434" i="518"/>
  <c r="I284" i="518"/>
  <c r="M485" i="521"/>
  <c r="M548" i="517"/>
  <c r="L209" i="518"/>
  <c r="L661" i="518"/>
  <c r="J139" i="517"/>
  <c r="L93" i="518"/>
  <c r="I654" i="520"/>
  <c r="J246" i="518"/>
  <c r="L268" i="521"/>
  <c r="K89" i="519"/>
  <c r="M202" i="517"/>
  <c r="J645" i="520"/>
  <c r="L119" i="523"/>
  <c r="L360" i="520"/>
  <c r="I107" i="518"/>
  <c r="D529" i="247"/>
  <c r="I15" i="521"/>
  <c r="A18" i="519"/>
  <c r="M655" i="518"/>
  <c r="M194" i="517"/>
  <c r="D508" i="247"/>
  <c r="L110" i="518"/>
  <c r="M335" i="518"/>
  <c r="L485" i="519"/>
  <c r="J276" i="520"/>
  <c r="F20" i="517"/>
  <c r="J441" i="523"/>
  <c r="I573" i="521"/>
  <c r="J134" i="519"/>
  <c r="J651" i="520"/>
  <c r="M56" i="518"/>
  <c r="J186" i="521"/>
  <c r="I12" i="517"/>
  <c r="I661" i="517"/>
  <c r="L419" i="518"/>
  <c r="L315" i="519"/>
  <c r="I235" i="520"/>
  <c r="I395" i="521"/>
  <c r="A21" i="517"/>
  <c r="J505" i="521"/>
  <c r="C159" i="247"/>
  <c r="I51" i="520"/>
  <c r="I431" i="521"/>
  <c r="J371" i="519"/>
  <c r="L404" i="523"/>
  <c r="K604" i="518"/>
  <c r="I446" i="521"/>
  <c r="M570" i="523"/>
  <c r="L521" i="517"/>
  <c r="M577" i="519"/>
  <c r="L469" i="519"/>
  <c r="M192" i="518"/>
  <c r="L3" i="520"/>
  <c r="J579" i="523"/>
  <c r="K35" i="520"/>
  <c r="J19" i="519"/>
  <c r="K393" i="520"/>
  <c r="I401" i="517"/>
  <c r="I53" i="523"/>
  <c r="J491" i="519"/>
  <c r="K527" i="521"/>
  <c r="I327" i="518"/>
  <c r="M566" i="521"/>
  <c r="M288" i="519"/>
  <c r="K670" i="523"/>
  <c r="J398" i="517"/>
  <c r="K691" i="520"/>
  <c r="J595" i="521"/>
  <c r="M125" i="518"/>
  <c r="J649" i="521"/>
  <c r="K176" i="519"/>
  <c r="D235" i="247"/>
  <c r="J168" i="519"/>
  <c r="M6" i="523"/>
  <c r="M553" i="519"/>
  <c r="J763" i="523"/>
  <c r="L621" i="523"/>
  <c r="I326" i="518"/>
  <c r="L113" i="519"/>
  <c r="K584" i="518"/>
  <c r="E2" i="517"/>
  <c r="J341" i="523"/>
  <c r="M444" i="521"/>
  <c r="M339" i="518"/>
  <c r="M102" i="521"/>
  <c r="I587" i="518"/>
  <c r="L637" i="518"/>
  <c r="M221" i="518"/>
  <c r="J580" i="520"/>
  <c r="K510" i="518"/>
  <c r="M453" i="517"/>
  <c r="K350" i="523"/>
  <c r="H4" i="518"/>
  <c r="M363" i="518"/>
  <c r="M807" i="523"/>
  <c r="I207" i="519"/>
  <c r="K591" i="519"/>
  <c r="J419" i="518"/>
  <c r="I672" i="520"/>
  <c r="J182" i="521"/>
  <c r="L2" i="518"/>
  <c r="K712" i="523"/>
  <c r="J370" i="520"/>
  <c r="L96" i="523"/>
  <c r="L369" i="520"/>
  <c r="M65" i="518"/>
  <c r="J649" i="517"/>
  <c r="L318" i="517"/>
  <c r="M304" i="519"/>
  <c r="K191" i="523"/>
  <c r="M474" i="517"/>
  <c r="I27" i="521"/>
  <c r="K603" i="523"/>
  <c r="I129" i="520"/>
  <c r="K632" i="521"/>
  <c r="M335" i="517"/>
  <c r="L325" i="518"/>
  <c r="K403" i="518"/>
  <c r="H2" i="520"/>
  <c r="J282" i="518"/>
  <c r="Q8" i="3"/>
  <c r="L240" i="521"/>
  <c r="I173" i="521"/>
  <c r="L524" i="521"/>
  <c r="L466" i="523"/>
  <c r="I6" i="523"/>
  <c r="M56" i="519"/>
  <c r="L443" i="523"/>
  <c r="K309" i="518"/>
  <c r="D409" i="247"/>
  <c r="I232" i="518"/>
  <c r="L505" i="518"/>
  <c r="J294" i="523"/>
  <c r="M250" i="523"/>
  <c r="K93" i="518"/>
  <c r="J508" i="520"/>
  <c r="L822" i="523"/>
  <c r="M368" i="519"/>
  <c r="L584" i="517"/>
  <c r="J509" i="519"/>
  <c r="M163" i="520"/>
  <c r="J534" i="521"/>
  <c r="I103" i="518"/>
  <c r="L197" i="518"/>
  <c r="J640" i="523"/>
  <c r="C51" i="247"/>
  <c r="L314" i="518"/>
  <c r="J624" i="518"/>
  <c r="M368" i="521"/>
  <c r="J72" i="520"/>
  <c r="I399" i="521"/>
  <c r="M16" i="521"/>
  <c r="K417" i="520"/>
  <c r="M89" i="518"/>
  <c r="K403" i="521"/>
  <c r="K331" i="519"/>
  <c r="J51" i="520"/>
  <c r="I661" i="521"/>
  <c r="P10" i="3"/>
  <c r="J434" i="521"/>
  <c r="I140" i="523"/>
  <c r="K163" i="523"/>
  <c r="L365" i="518"/>
  <c r="M688" i="517"/>
  <c r="L74" i="517"/>
  <c r="P23" i="3"/>
  <c r="K560" i="518"/>
  <c r="L249" i="518"/>
  <c r="I421" i="521"/>
  <c r="K118" i="519"/>
  <c r="L672" i="521"/>
  <c r="L384" i="518"/>
  <c r="K375" i="521"/>
  <c r="A27" i="518"/>
  <c r="L62" i="517"/>
  <c r="K662" i="519"/>
  <c r="M136" i="517"/>
  <c r="L267" i="520"/>
  <c r="K330" i="517"/>
  <c r="K573" i="520"/>
  <c r="K230" i="518"/>
  <c r="L161" i="520"/>
  <c r="I635" i="519"/>
  <c r="M80" i="517"/>
  <c r="L648" i="518"/>
  <c r="L528" i="517"/>
  <c r="L203" i="521"/>
  <c r="L338" i="517"/>
  <c r="K153" i="517"/>
  <c r="J299" i="517"/>
  <c r="I467" i="521"/>
  <c r="K521" i="519"/>
  <c r="L335" i="520"/>
  <c r="L113" i="517"/>
  <c r="L413" i="521"/>
  <c r="L351" i="519"/>
  <c r="I440" i="517"/>
  <c r="I386" i="517"/>
  <c r="A21" i="523"/>
  <c r="L816" i="523"/>
  <c r="L239" i="523"/>
  <c r="M486" i="520"/>
  <c r="C6" i="520"/>
  <c r="H24" i="519"/>
  <c r="L85" i="523"/>
  <c r="C304" i="247"/>
  <c r="M330" i="521"/>
  <c r="M390" i="523"/>
  <c r="I9" i="521"/>
  <c r="F5" i="519"/>
  <c r="M194" i="519"/>
  <c r="J37" i="523"/>
  <c r="L586" i="517"/>
  <c r="M394" i="523"/>
  <c r="I542" i="519"/>
  <c r="I423" i="519"/>
  <c r="M224" i="518"/>
  <c r="I68" i="520"/>
  <c r="L55" i="520"/>
  <c r="G9" i="517"/>
  <c r="I349" i="519"/>
  <c r="H5" i="519"/>
  <c r="I653" i="520"/>
  <c r="L445" i="521"/>
  <c r="I646" i="517"/>
  <c r="L244" i="517"/>
  <c r="L839" i="523"/>
  <c r="M468" i="518"/>
  <c r="I201" i="521"/>
  <c r="J428" i="518"/>
  <c r="A15" i="518"/>
  <c r="M112" i="520"/>
  <c r="M406" i="521"/>
  <c r="J252" i="520"/>
  <c r="J396" i="520"/>
  <c r="K243" i="519"/>
  <c r="K646" i="519"/>
  <c r="M428" i="520"/>
  <c r="C57" i="247"/>
  <c r="I126" i="523"/>
  <c r="I506" i="517"/>
  <c r="I117" i="518"/>
  <c r="I537" i="521"/>
  <c r="I179" i="521"/>
  <c r="J307" i="520"/>
  <c r="K660" i="521"/>
  <c r="K403" i="519"/>
  <c r="J339" i="517"/>
  <c r="D509" i="247"/>
  <c r="M529" i="518"/>
  <c r="J600" i="518"/>
  <c r="J177" i="519"/>
  <c r="K134" i="521"/>
  <c r="I579" i="518"/>
  <c r="L154" i="519"/>
  <c r="M363" i="523"/>
  <c r="M556" i="517"/>
  <c r="L578" i="518"/>
  <c r="M134" i="521"/>
  <c r="K15" i="520"/>
  <c r="G28" i="523"/>
  <c r="J490" i="518"/>
  <c r="I613" i="523"/>
  <c r="I101" i="521"/>
  <c r="M245" i="520"/>
  <c r="I581" i="520"/>
  <c r="J85" i="518"/>
  <c r="L827" i="523"/>
  <c r="I10" i="518"/>
  <c r="C424" i="247"/>
  <c r="F3" i="519"/>
  <c r="J511" i="523"/>
  <c r="L325" i="517"/>
  <c r="K655" i="520"/>
  <c r="J150" i="520"/>
  <c r="K458" i="519"/>
  <c r="C376" i="247"/>
  <c r="I607" i="517"/>
  <c r="G26" i="517"/>
  <c r="K199" i="518"/>
  <c r="I20" i="518"/>
  <c r="K308" i="521"/>
  <c r="L594" i="523"/>
  <c r="J137" i="517"/>
  <c r="M288" i="518"/>
  <c r="L612" i="520"/>
  <c r="I685" i="520"/>
  <c r="I298" i="521"/>
  <c r="M562" i="521"/>
  <c r="J234" i="519"/>
  <c r="L54" i="517"/>
  <c r="I346" i="521"/>
  <c r="I167" i="521"/>
  <c r="M626" i="518"/>
  <c r="M836" i="523"/>
  <c r="J110" i="519"/>
  <c r="K511" i="519"/>
  <c r="C21" i="518"/>
  <c r="L481" i="523"/>
  <c r="L273" i="518"/>
  <c r="J598" i="518"/>
  <c r="J608" i="517"/>
  <c r="L445" i="520"/>
  <c r="L543" i="520"/>
  <c r="L408" i="521"/>
  <c r="K807" i="523"/>
  <c r="L219" i="523"/>
  <c r="I88" i="518"/>
  <c r="K300" i="518"/>
  <c r="J313" i="523"/>
  <c r="I221" i="521"/>
  <c r="L469" i="523"/>
  <c r="K155" i="520"/>
  <c r="K423" i="520"/>
  <c r="L349" i="517"/>
  <c r="M209" i="523"/>
  <c r="L507" i="521"/>
  <c r="I311" i="517"/>
  <c r="J674" i="517"/>
  <c r="M172" i="518"/>
  <c r="J687" i="519"/>
  <c r="L242" i="520"/>
  <c r="J101" i="523"/>
  <c r="M686" i="520"/>
  <c r="K252" i="519"/>
  <c r="L750" i="523"/>
  <c r="J294" i="521"/>
  <c r="K485" i="518"/>
  <c r="J641" i="518"/>
  <c r="J118" i="518"/>
  <c r="M419" i="519"/>
  <c r="I75" i="518"/>
  <c r="M574" i="523"/>
  <c r="J205" i="519"/>
  <c r="I443" i="517"/>
  <c r="J516" i="521"/>
  <c r="J148" i="523"/>
  <c r="I144" i="517"/>
  <c r="I434" i="520"/>
  <c r="K158" i="523"/>
  <c r="J573" i="519"/>
  <c r="K415" i="518"/>
  <c r="M125" i="519"/>
  <c r="K432" i="521"/>
  <c r="I233" i="521"/>
  <c r="L555" i="520"/>
  <c r="K154" i="518"/>
  <c r="J677" i="521"/>
  <c r="K493" i="519"/>
  <c r="K562" i="517"/>
  <c r="M262" i="520"/>
  <c r="M129" i="520"/>
  <c r="L436" i="520"/>
  <c r="L607" i="518"/>
  <c r="I481" i="521"/>
  <c r="M819" i="523"/>
  <c r="M105" i="518"/>
  <c r="K150" i="519"/>
  <c r="K595" i="521"/>
  <c r="I184" i="520"/>
  <c r="M494" i="519"/>
  <c r="K337" i="518"/>
  <c r="J461" i="520"/>
  <c r="K431" i="521"/>
  <c r="F2" i="517"/>
  <c r="M322" i="519"/>
  <c r="L260" i="517"/>
  <c r="I446" i="523"/>
  <c r="M172" i="517"/>
  <c r="G29" i="523"/>
  <c r="C174" i="247"/>
  <c r="J521" i="518"/>
  <c r="I392" i="523"/>
  <c r="I675" i="517"/>
  <c r="B25" i="482"/>
  <c r="K185" i="518"/>
  <c r="J661" i="523"/>
  <c r="L249" i="520"/>
  <c r="I72" i="521"/>
  <c r="M75" i="517"/>
  <c r="J275" i="518"/>
  <c r="L305" i="517"/>
  <c r="L358" i="517"/>
  <c r="M49" i="518"/>
  <c r="M474" i="523"/>
  <c r="K636" i="519"/>
  <c r="K768" i="523"/>
  <c r="K747" i="523"/>
  <c r="L165" i="520"/>
  <c r="M228" i="521"/>
  <c r="L403" i="518"/>
  <c r="L676" i="523"/>
  <c r="I285" i="523"/>
  <c r="M193" i="523"/>
  <c r="K122" i="517"/>
  <c r="M72" i="518"/>
  <c r="J234" i="521"/>
  <c r="I114" i="517"/>
  <c r="M470" i="520"/>
  <c r="K513" i="518"/>
  <c r="J629" i="519"/>
  <c r="I532" i="520"/>
  <c r="F9" i="520"/>
  <c r="F7" i="521"/>
  <c r="M655" i="521"/>
  <c r="K640" i="520"/>
  <c r="M185" i="521"/>
  <c r="F11" i="519"/>
  <c r="L365" i="517"/>
  <c r="K789" i="523"/>
  <c r="I458" i="519"/>
  <c r="K261" i="523"/>
  <c r="K604" i="523"/>
  <c r="L193" i="520"/>
  <c r="M690" i="518"/>
  <c r="I548" i="519"/>
  <c r="I6" i="520"/>
  <c r="K410" i="517"/>
  <c r="L664" i="519"/>
  <c r="M377" i="523"/>
  <c r="I196" i="519"/>
  <c r="K382" i="523"/>
  <c r="M96" i="520"/>
  <c r="L312" i="523"/>
  <c r="I123" i="517"/>
  <c r="L76" i="519"/>
  <c r="J370" i="523"/>
  <c r="K203" i="519"/>
  <c r="C60" i="247"/>
  <c r="J232" i="523"/>
  <c r="L199" i="518"/>
  <c r="D219" i="247"/>
  <c r="M20" i="519"/>
  <c r="I120" i="523"/>
  <c r="J91" i="521"/>
  <c r="L171" i="518"/>
  <c r="J48" i="521"/>
  <c r="J398" i="523"/>
  <c r="M586" i="521"/>
  <c r="I196" i="517"/>
  <c r="J287" i="523"/>
  <c r="M127" i="521"/>
  <c r="K563" i="519"/>
  <c r="L18" i="520"/>
  <c r="L570" i="521"/>
  <c r="I256" i="521"/>
  <c r="J436" i="519"/>
  <c r="K319" i="519"/>
  <c r="K58" i="523"/>
  <c r="K534" i="518"/>
  <c r="L253" i="518"/>
  <c r="K52" i="517"/>
  <c r="K408" i="520"/>
  <c r="K455" i="519"/>
  <c r="J838" i="523"/>
  <c r="J320" i="517"/>
  <c r="J324" i="517"/>
  <c r="C563" i="247"/>
  <c r="L306" i="518"/>
  <c r="Q11" i="3"/>
  <c r="K655" i="518"/>
  <c r="L108" i="521"/>
  <c r="M584" i="523"/>
  <c r="K598" i="523"/>
  <c r="D461" i="247"/>
  <c r="J349" i="521"/>
  <c r="L478" i="519"/>
  <c r="I715" i="523"/>
  <c r="K655" i="523"/>
  <c r="M515" i="517"/>
  <c r="I162" i="519"/>
  <c r="C47" i="518"/>
  <c r="M508" i="521"/>
  <c r="J443" i="521"/>
  <c r="I349" i="517"/>
  <c r="D532" i="247"/>
  <c r="M561" i="519"/>
  <c r="I526" i="520"/>
  <c r="M38" i="521"/>
  <c r="L475" i="519"/>
  <c r="K375" i="520"/>
  <c r="K165" i="520"/>
  <c r="J234" i="517"/>
  <c r="I106" i="521"/>
  <c r="M434" i="517"/>
  <c r="I211" i="519"/>
  <c r="C4" i="523"/>
  <c r="M41" i="517"/>
  <c r="M581" i="519"/>
  <c r="K662" i="521"/>
  <c r="M833" i="523"/>
  <c r="C2" i="523"/>
  <c r="L682" i="520"/>
  <c r="M290" i="520"/>
  <c r="J536" i="518"/>
  <c r="K649" i="518"/>
  <c r="I241" i="517"/>
  <c r="I236" i="520"/>
  <c r="M638" i="519"/>
  <c r="K218" i="518"/>
  <c r="M363" i="520"/>
  <c r="J82" i="518"/>
  <c r="L63" i="519"/>
  <c r="J29" i="517"/>
  <c r="J630" i="518"/>
  <c r="L396" i="523"/>
  <c r="I75" i="520"/>
  <c r="A28" i="523"/>
  <c r="K592" i="517"/>
  <c r="I635" i="521"/>
  <c r="L89" i="520"/>
  <c r="J25" i="523"/>
  <c r="K11" i="520"/>
  <c r="L519" i="520"/>
  <c r="M356" i="517"/>
  <c r="K555" i="520"/>
  <c r="L265" i="517"/>
  <c r="L550" i="520"/>
  <c r="A19" i="521"/>
  <c r="J353" i="519"/>
  <c r="J319" i="519"/>
  <c r="J115" i="521"/>
  <c r="L450" i="517"/>
  <c r="K175" i="518"/>
  <c r="L461" i="521"/>
  <c r="L475" i="520"/>
  <c r="M381" i="521"/>
  <c r="L776" i="523"/>
  <c r="I148" i="521"/>
  <c r="I130" i="518"/>
  <c r="J270" i="523"/>
  <c r="J200" i="521"/>
  <c r="J61" i="517"/>
  <c r="D242" i="247"/>
  <c r="K328" i="518"/>
  <c r="L39" i="521"/>
  <c r="K24" i="519"/>
  <c r="L583" i="521"/>
  <c r="M600" i="520"/>
  <c r="C423" i="247"/>
  <c r="K462" i="523"/>
  <c r="L242" i="517"/>
  <c r="L504" i="521"/>
  <c r="I549" i="517"/>
  <c r="M410" i="520"/>
  <c r="L34" i="521"/>
  <c r="M411" i="523"/>
  <c r="K642" i="519"/>
  <c r="I648" i="519"/>
  <c r="I22" i="518"/>
  <c r="K531" i="517"/>
  <c r="L59" i="518"/>
  <c r="K71" i="519"/>
  <c r="M185" i="517"/>
  <c r="M631" i="517"/>
  <c r="L279" i="521"/>
  <c r="I674" i="519"/>
  <c r="I439" i="523"/>
  <c r="D217" i="247"/>
  <c r="L29" i="517"/>
  <c r="L208" i="518"/>
  <c r="K473" i="521"/>
  <c r="I386" i="521"/>
  <c r="L362" i="523"/>
  <c r="J457" i="518"/>
  <c r="J570" i="519"/>
  <c r="K437" i="521"/>
  <c r="K146" i="520"/>
  <c r="J211" i="519"/>
  <c r="L512" i="517"/>
  <c r="L342" i="519"/>
  <c r="M437" i="519"/>
  <c r="L488" i="523"/>
  <c r="M113" i="517"/>
  <c r="J524" i="517"/>
  <c r="L812" i="523"/>
  <c r="L554" i="521"/>
  <c r="L176" i="523"/>
  <c r="L153" i="520"/>
  <c r="M37" i="518"/>
  <c r="C185" i="247"/>
  <c r="L206" i="519"/>
  <c r="C148" i="247"/>
  <c r="M289" i="519"/>
  <c r="I588" i="520"/>
  <c r="M451" i="519"/>
  <c r="J85" i="520"/>
  <c r="J554" i="518"/>
  <c r="M325" i="520"/>
  <c r="M599" i="520"/>
  <c r="J669" i="518"/>
  <c r="L285" i="523"/>
  <c r="J375" i="521"/>
  <c r="N48" i="3"/>
  <c r="M501" i="519"/>
  <c r="L265" i="519"/>
  <c r="J408" i="523"/>
  <c r="I235" i="523"/>
  <c r="D527" i="247"/>
  <c r="L98" i="523"/>
  <c r="I649" i="517"/>
  <c r="L471" i="518"/>
  <c r="L43" i="518"/>
  <c r="J416" i="519"/>
  <c r="J350" i="519"/>
  <c r="J664" i="520"/>
  <c r="M311" i="520"/>
  <c r="M406" i="520"/>
  <c r="M246" i="521"/>
  <c r="D497" i="247"/>
  <c r="D470" i="247"/>
  <c r="L409" i="523"/>
  <c r="K455" i="521"/>
  <c r="L152" i="520"/>
  <c r="L656" i="518"/>
  <c r="I551" i="517"/>
  <c r="C194" i="247"/>
  <c r="J681" i="523"/>
  <c r="K188" i="518"/>
  <c r="J386" i="517"/>
  <c r="L325" i="523"/>
  <c r="L125" i="519"/>
  <c r="L495" i="521"/>
  <c r="L235" i="519"/>
  <c r="I165" i="521"/>
  <c r="L21" i="520"/>
  <c r="C534" i="247"/>
  <c r="M354" i="520"/>
  <c r="I585" i="519"/>
  <c r="M116" i="523"/>
  <c r="L650" i="519"/>
  <c r="J192" i="518"/>
  <c r="I160" i="519"/>
  <c r="K605" i="519"/>
  <c r="L291" i="521"/>
  <c r="L261" i="520"/>
  <c r="K625" i="523"/>
  <c r="K463" i="520"/>
  <c r="I54" i="523"/>
  <c r="M95" i="520"/>
  <c r="J389" i="519"/>
  <c r="M664" i="523"/>
  <c r="C96" i="247"/>
  <c r="M547" i="517"/>
  <c r="D95" i="247"/>
  <c r="C370" i="247"/>
  <c r="J443" i="520"/>
  <c r="K43" i="521"/>
  <c r="L31" i="518"/>
  <c r="I406" i="521"/>
  <c r="L393" i="523"/>
  <c r="K170" i="519"/>
  <c r="M355" i="517"/>
  <c r="I468" i="518"/>
  <c r="I699" i="523"/>
  <c r="I474" i="521"/>
  <c r="M177" i="518"/>
  <c r="J603" i="519"/>
  <c r="I379" i="523"/>
  <c r="M414" i="519"/>
  <c r="D109" i="247"/>
  <c r="K133" i="523"/>
  <c r="M429" i="518"/>
  <c r="M196" i="523"/>
  <c r="M297" i="518"/>
  <c r="K137" i="517"/>
  <c r="L779" i="523"/>
  <c r="L379" i="519"/>
  <c r="L411" i="521"/>
  <c r="M531" i="523"/>
  <c r="I90" i="521"/>
  <c r="I231" i="517"/>
  <c r="K507" i="521"/>
  <c r="I255" i="520"/>
  <c r="K509" i="523"/>
  <c r="J151" i="521"/>
  <c r="C180" i="247"/>
  <c r="C331" i="247"/>
  <c r="K554" i="520"/>
  <c r="M772" i="523"/>
  <c r="K318" i="521"/>
  <c r="I74" i="517"/>
  <c r="M670" i="520"/>
  <c r="C213" i="247"/>
  <c r="L411" i="520"/>
  <c r="L507" i="519"/>
  <c r="I378" i="517"/>
  <c r="L543" i="517"/>
  <c r="L584" i="519"/>
  <c r="K556" i="521"/>
  <c r="J389" i="521"/>
  <c r="C519" i="247"/>
  <c r="J462" i="523"/>
  <c r="I604" i="518"/>
  <c r="I147" i="523"/>
  <c r="L185" i="519"/>
  <c r="K301" i="518"/>
  <c r="M225" i="521"/>
  <c r="M56" i="521"/>
  <c r="M226" i="517"/>
  <c r="K175" i="520"/>
  <c r="M422" i="523"/>
  <c r="K361" i="521"/>
  <c r="L365" i="520"/>
  <c r="L56" i="517"/>
  <c r="I129" i="517"/>
  <c r="J617" i="519"/>
  <c r="I712" i="523"/>
  <c r="J682" i="523"/>
  <c r="M627" i="521"/>
  <c r="M236" i="517"/>
  <c r="M590" i="517"/>
  <c r="L180" i="518"/>
  <c r="I404" i="518"/>
  <c r="K615" i="518"/>
  <c r="K498" i="520"/>
  <c r="J561" i="517"/>
  <c r="K663" i="520"/>
  <c r="J427" i="521"/>
  <c r="J485" i="520"/>
  <c r="L602" i="520"/>
  <c r="K279" i="520"/>
  <c r="M213" i="517"/>
  <c r="K633" i="517"/>
  <c r="L214" i="523"/>
  <c r="I603" i="517"/>
  <c r="L217" i="523"/>
  <c r="J212" i="518"/>
  <c r="I613" i="519"/>
  <c r="M630" i="523"/>
  <c r="I364" i="517"/>
  <c r="L632" i="517"/>
  <c r="M102" i="519"/>
  <c r="M99" i="518"/>
  <c r="L358" i="521"/>
  <c r="I564" i="523"/>
  <c r="I185" i="520"/>
  <c r="I25" i="518"/>
  <c r="K502" i="518"/>
  <c r="K184" i="519"/>
  <c r="C555" i="247"/>
  <c r="L662" i="517"/>
  <c r="I245" i="521"/>
  <c r="M684" i="521"/>
  <c r="I69" i="517"/>
  <c r="L629" i="521"/>
  <c r="L562" i="520"/>
  <c r="K430" i="520"/>
  <c r="L702" i="523"/>
  <c r="I419" i="517"/>
  <c r="K240" i="519"/>
  <c r="I542" i="517"/>
  <c r="L286" i="520"/>
  <c r="L242" i="518"/>
  <c r="M527" i="517"/>
  <c r="M353" i="519"/>
  <c r="M147" i="517"/>
  <c r="I49" i="520"/>
  <c r="M590" i="518"/>
  <c r="L415" i="517"/>
  <c r="C241" i="247"/>
  <c r="J720" i="523"/>
  <c r="M472" i="520"/>
  <c r="M144" i="518"/>
  <c r="K458" i="520"/>
  <c r="L595" i="518"/>
  <c r="K44" i="519"/>
  <c r="J810" i="523"/>
  <c r="M447" i="517"/>
  <c r="K257" i="518"/>
  <c r="K11" i="523"/>
  <c r="L663" i="517"/>
  <c r="J538" i="519"/>
  <c r="I307" i="523"/>
  <c r="I524" i="519"/>
  <c r="I474" i="517"/>
  <c r="J221" i="519"/>
  <c r="J555" i="518"/>
  <c r="K571" i="523"/>
  <c r="L59" i="523"/>
  <c r="C75" i="247"/>
  <c r="M550" i="517"/>
  <c r="I181" i="517"/>
  <c r="K521" i="517"/>
  <c r="M276" i="519"/>
  <c r="K131" i="521"/>
  <c r="K206" i="519"/>
  <c r="K375" i="517"/>
  <c r="J264" i="520"/>
  <c r="K632" i="519"/>
  <c r="M31" i="520"/>
  <c r="K310" i="520"/>
  <c r="I202" i="517"/>
  <c r="J455" i="523"/>
  <c r="M256" i="519"/>
  <c r="K301" i="523"/>
  <c r="C39" i="521"/>
  <c r="K690" i="518"/>
  <c r="J357" i="521"/>
  <c r="I545" i="521"/>
  <c r="K411" i="518"/>
  <c r="J260" i="520"/>
  <c r="J582" i="518"/>
  <c r="L676" i="521"/>
  <c r="K611" i="517"/>
  <c r="K628" i="521"/>
  <c r="M395" i="523"/>
  <c r="J316" i="518"/>
  <c r="I535" i="521"/>
  <c r="C226" i="247"/>
  <c r="I583" i="521"/>
  <c r="L18" i="517"/>
  <c r="M442" i="517"/>
  <c r="D494" i="247"/>
  <c r="K231" i="517"/>
  <c r="J3" i="521"/>
  <c r="M176" i="521"/>
  <c r="M169" i="519"/>
  <c r="M93" i="518"/>
  <c r="K232" i="521"/>
  <c r="J455" i="519"/>
  <c r="J403" i="519"/>
  <c r="J530" i="518"/>
  <c r="K528" i="521"/>
  <c r="J107" i="520"/>
  <c r="J813" i="523"/>
  <c r="J521" i="520"/>
  <c r="D478" i="247"/>
  <c r="D448" i="247"/>
  <c r="M98" i="523"/>
  <c r="K344" i="521"/>
  <c r="I639" i="517"/>
  <c r="K71" i="517"/>
  <c r="L539" i="523"/>
  <c r="I476" i="518"/>
  <c r="K285" i="520"/>
  <c r="M449" i="519"/>
  <c r="M386" i="523"/>
  <c r="K41" i="521"/>
  <c r="G26" i="520"/>
  <c r="L774" i="523"/>
  <c r="D384" i="247"/>
  <c r="I365" i="523"/>
  <c r="J457" i="523"/>
  <c r="C2" i="518"/>
  <c r="J236" i="523"/>
  <c r="K267" i="521"/>
  <c r="L534" i="520"/>
  <c r="M396" i="521"/>
  <c r="D406" i="247"/>
  <c r="J621" i="518"/>
  <c r="K293" i="519"/>
  <c r="M64" i="517"/>
  <c r="I507" i="518"/>
  <c r="K98" i="519"/>
  <c r="I343" i="518"/>
  <c r="M579" i="520"/>
  <c r="M604" i="517"/>
  <c r="K301" i="520"/>
  <c r="C34" i="517"/>
  <c r="L154" i="521"/>
  <c r="J121" i="523"/>
  <c r="J154" i="518"/>
  <c r="M257" i="523"/>
  <c r="M274" i="519"/>
  <c r="M413" i="520"/>
  <c r="M256" i="521"/>
  <c r="L321" i="523"/>
  <c r="I566" i="518"/>
  <c r="M462" i="518"/>
  <c r="J433" i="523"/>
  <c r="K422" i="521"/>
  <c r="M690" i="523"/>
  <c r="D484" i="247"/>
  <c r="M594" i="521"/>
  <c r="K297" i="523"/>
  <c r="D231" i="247"/>
  <c r="C460" i="247"/>
  <c r="J667" i="517"/>
  <c r="F19" i="520"/>
  <c r="L330" i="523"/>
  <c r="I276" i="517"/>
  <c r="J291" i="521"/>
  <c r="L47" i="519"/>
  <c r="L163" i="521"/>
  <c r="K307" i="521"/>
  <c r="K120" i="520"/>
  <c r="K614" i="523"/>
  <c r="I192" i="519"/>
  <c r="I607" i="523"/>
  <c r="I681" i="518"/>
  <c r="M365" i="518"/>
  <c r="M614" i="518"/>
  <c r="I337" i="520"/>
  <c r="J250" i="521"/>
  <c r="J33" i="517"/>
  <c r="K273" i="517"/>
  <c r="K836" i="523"/>
  <c r="A17" i="517"/>
  <c r="I517" i="519"/>
  <c r="I658" i="518"/>
  <c r="K769" i="523"/>
  <c r="K82" i="519"/>
  <c r="M423" i="523"/>
  <c r="L245" i="521"/>
  <c r="L585" i="523"/>
  <c r="J501" i="521"/>
  <c r="I260" i="523"/>
  <c r="K537" i="517"/>
  <c r="J178" i="517"/>
  <c r="K591" i="520"/>
  <c r="M668" i="520"/>
  <c r="C176" i="247"/>
  <c r="I480" i="519"/>
  <c r="I422" i="517"/>
  <c r="I141" i="517"/>
  <c r="L371" i="523"/>
  <c r="J148" i="517"/>
  <c r="J335" i="519"/>
  <c r="M329" i="520"/>
  <c r="D164" i="247"/>
  <c r="I516" i="523"/>
  <c r="L208" i="517"/>
  <c r="M582" i="520"/>
  <c r="M349" i="518"/>
  <c r="M364" i="519"/>
  <c r="L363" i="518"/>
  <c r="K81" i="521"/>
  <c r="I570" i="523"/>
  <c r="I771" i="523"/>
  <c r="A25" i="518"/>
  <c r="L328" i="519"/>
  <c r="K598" i="521"/>
  <c r="K63" i="517"/>
  <c r="L460" i="517"/>
  <c r="M299" i="521"/>
  <c r="I836" i="523"/>
  <c r="C111" i="247"/>
  <c r="J198" i="521"/>
  <c r="D129" i="247"/>
  <c r="I492" i="521"/>
  <c r="M234" i="520"/>
  <c r="J597" i="523"/>
  <c r="I448" i="517"/>
  <c r="J800" i="523"/>
  <c r="L678" i="521"/>
  <c r="I621" i="521"/>
  <c r="M581" i="520"/>
  <c r="L209" i="519"/>
  <c r="J395" i="519"/>
  <c r="L548" i="521"/>
  <c r="M14" i="521"/>
  <c r="I445" i="517"/>
  <c r="I35" i="520"/>
  <c r="M272" i="521"/>
  <c r="K161" i="520"/>
  <c r="K145" i="518"/>
  <c r="I500" i="519"/>
  <c r="I180" i="519"/>
  <c r="M607" i="518"/>
  <c r="L259" i="523"/>
  <c r="L18" i="519"/>
  <c r="K212" i="523"/>
  <c r="K433" i="523"/>
  <c r="I19" i="521"/>
  <c r="K318" i="517"/>
  <c r="C530" i="247"/>
  <c r="M212" i="517"/>
  <c r="I675" i="520"/>
  <c r="L20" i="519"/>
  <c r="I478" i="518"/>
  <c r="K548" i="521"/>
  <c r="I208" i="521"/>
  <c r="D362" i="247"/>
  <c r="L580" i="521"/>
  <c r="M487" i="521"/>
  <c r="L117" i="519"/>
  <c r="L421" i="517"/>
  <c r="M438" i="520"/>
  <c r="J480" i="518"/>
  <c r="J520" i="521"/>
  <c r="I122" i="523"/>
  <c r="J360" i="523"/>
  <c r="M41" i="519"/>
  <c r="K633" i="519"/>
  <c r="C48" i="520"/>
  <c r="I36" i="517"/>
  <c r="I181" i="518"/>
  <c r="L72" i="520"/>
  <c r="F11" i="520"/>
  <c r="I642" i="518"/>
  <c r="H12" i="517"/>
  <c r="J642" i="523"/>
  <c r="K521" i="518"/>
  <c r="L655" i="518"/>
  <c r="J213" i="523"/>
  <c r="L108" i="517"/>
  <c r="I409" i="523"/>
  <c r="K518" i="520"/>
  <c r="K157" i="523"/>
  <c r="K325" i="517"/>
  <c r="L294" i="521"/>
  <c r="K339" i="523"/>
  <c r="J100" i="520"/>
  <c r="I767" i="523"/>
  <c r="K166" i="521"/>
  <c r="K53" i="519"/>
  <c r="L80" i="520"/>
  <c r="L680" i="520"/>
  <c r="J133" i="523"/>
  <c r="C24" i="517"/>
  <c r="K261" i="521"/>
  <c r="A25" i="517"/>
  <c r="J236" i="517"/>
  <c r="J335" i="521"/>
  <c r="L432" i="519"/>
  <c r="M125" i="523"/>
  <c r="L671" i="519"/>
  <c r="M23" i="519"/>
  <c r="L357" i="523"/>
  <c r="L349" i="523"/>
  <c r="L191" i="519"/>
  <c r="L337" i="521"/>
  <c r="J675" i="517"/>
  <c r="M811" i="523"/>
  <c r="J283" i="520"/>
  <c r="J48" i="523"/>
  <c r="K397" i="523"/>
  <c r="I592" i="519"/>
  <c r="L431" i="518"/>
  <c r="L353" i="518"/>
  <c r="L562" i="518"/>
  <c r="I630" i="517"/>
  <c r="J635" i="521"/>
  <c r="I296" i="523"/>
  <c r="K365" i="517"/>
  <c r="K140" i="521"/>
  <c r="M341" i="520"/>
  <c r="K288" i="523"/>
  <c r="L27" i="518"/>
  <c r="K266" i="520"/>
  <c r="J10" i="521"/>
  <c r="M537" i="519"/>
  <c r="K66" i="523"/>
  <c r="K192" i="519"/>
  <c r="I109" i="518"/>
  <c r="I267" i="521"/>
  <c r="I21" i="517"/>
  <c r="M301" i="521"/>
  <c r="I640" i="523"/>
  <c r="L678" i="517"/>
  <c r="J587" i="518"/>
  <c r="L650" i="521"/>
  <c r="M26" i="517"/>
  <c r="K209" i="518"/>
  <c r="M358" i="519"/>
  <c r="L649" i="518"/>
  <c r="M293" i="517"/>
  <c r="J303" i="521"/>
  <c r="J165" i="517"/>
  <c r="L262" i="521"/>
  <c r="I144" i="520"/>
  <c r="K68" i="518"/>
  <c r="K143" i="517"/>
  <c r="I454" i="523"/>
  <c r="J604" i="518"/>
  <c r="K22" i="518"/>
  <c r="J361" i="517"/>
  <c r="I494" i="523"/>
  <c r="J241" i="517"/>
  <c r="K517" i="520"/>
  <c r="I130" i="519"/>
  <c r="K158" i="517"/>
  <c r="M59" i="517"/>
  <c r="J462" i="517"/>
  <c r="M175" i="518"/>
  <c r="J559" i="518"/>
  <c r="I562" i="520"/>
  <c r="K385" i="521"/>
  <c r="I113" i="520"/>
  <c r="K60" i="519"/>
  <c r="J316" i="520"/>
  <c r="K682" i="518"/>
  <c r="D190" i="247"/>
  <c r="K251" i="517"/>
  <c r="L685" i="519"/>
  <c r="L186" i="520"/>
  <c r="I249" i="517"/>
  <c r="L622" i="520"/>
  <c r="L175" i="519"/>
  <c r="M684" i="520"/>
  <c r="I637" i="520"/>
  <c r="M244" i="519"/>
  <c r="I77" i="520"/>
  <c r="L680" i="517"/>
  <c r="I148" i="519"/>
  <c r="I233" i="520"/>
  <c r="K191" i="519"/>
  <c r="L258" i="518"/>
  <c r="K252" i="517"/>
  <c r="A22" i="520"/>
  <c r="C186" i="247"/>
  <c r="J250" i="523"/>
  <c r="L354" i="523"/>
  <c r="J657" i="517"/>
  <c r="K6" i="520"/>
  <c r="J9" i="523"/>
  <c r="J288" i="521"/>
  <c r="I492" i="520"/>
  <c r="L299" i="519"/>
  <c r="K447" i="521"/>
  <c r="I198" i="523"/>
  <c r="L472" i="517"/>
  <c r="E24" i="523"/>
  <c r="J291" i="520"/>
  <c r="I230" i="521"/>
  <c r="M530" i="523"/>
  <c r="L167" i="520"/>
  <c r="J746" i="523"/>
  <c r="K717" i="523"/>
  <c r="K383" i="517"/>
  <c r="J471" i="523"/>
  <c r="L101" i="521"/>
  <c r="J682" i="518"/>
  <c r="M570" i="519"/>
  <c r="M480" i="518"/>
  <c r="K525" i="520"/>
  <c r="L49" i="517"/>
  <c r="L161" i="521"/>
  <c r="M368" i="523"/>
  <c r="M604" i="518"/>
  <c r="M66" i="517"/>
  <c r="J569" i="523"/>
  <c r="M131" i="523"/>
  <c r="L689" i="520"/>
  <c r="I623" i="521"/>
  <c r="K115" i="523"/>
  <c r="K627" i="521"/>
  <c r="I574" i="520"/>
  <c r="M624" i="517"/>
  <c r="M575" i="521"/>
  <c r="J485" i="517"/>
  <c r="J505" i="517"/>
  <c r="L533" i="517"/>
  <c r="M556" i="518"/>
  <c r="L67" i="520"/>
  <c r="K357" i="523"/>
  <c r="M55" i="519"/>
  <c r="J285" i="523"/>
  <c r="I463" i="520"/>
  <c r="K686" i="520"/>
  <c r="K390" i="523"/>
  <c r="J179" i="520"/>
  <c r="D186" i="247"/>
  <c r="L205" i="517"/>
  <c r="I240" i="517"/>
  <c r="K314" i="521"/>
  <c r="J377" i="523"/>
  <c r="L95" i="523"/>
  <c r="K472" i="521"/>
  <c r="K365" i="523"/>
  <c r="L371" i="517"/>
  <c r="M530" i="521"/>
  <c r="K304" i="520"/>
  <c r="K171" i="520"/>
  <c r="K144" i="517"/>
  <c r="K641" i="518"/>
  <c r="I753" i="523"/>
  <c r="Q4" i="3"/>
  <c r="K322" i="521"/>
  <c r="I488" i="523"/>
  <c r="I212" i="521"/>
  <c r="M158" i="523"/>
  <c r="K24" i="518"/>
  <c r="L410" i="517"/>
  <c r="J453" i="523"/>
  <c r="K283" i="521"/>
  <c r="L20" i="520"/>
  <c r="K392" i="523"/>
  <c r="K109" i="521"/>
  <c r="M133" i="523"/>
  <c r="I283" i="517"/>
  <c r="M272" i="517"/>
  <c r="J442" i="518"/>
  <c r="I16" i="521"/>
  <c r="M135" i="520"/>
  <c r="J175" i="519"/>
  <c r="K298" i="518"/>
  <c r="A13" i="521"/>
  <c r="L688" i="520"/>
  <c r="M685" i="523"/>
  <c r="K495" i="517"/>
  <c r="E3" i="518"/>
  <c r="K174" i="517"/>
  <c r="M647" i="523"/>
  <c r="J35" i="519"/>
  <c r="J653" i="518"/>
  <c r="J113" i="518"/>
  <c r="K414" i="523"/>
  <c r="K496" i="518"/>
  <c r="I418" i="521"/>
  <c r="L792" i="523"/>
  <c r="I12" i="521"/>
  <c r="L385" i="519"/>
  <c r="K370" i="519"/>
  <c r="I593" i="518"/>
  <c r="Q39" i="3"/>
  <c r="K329" i="517"/>
  <c r="K637" i="520"/>
  <c r="I409" i="520"/>
  <c r="K263" i="519"/>
  <c r="M299" i="520"/>
  <c r="I174" i="518"/>
  <c r="J160" i="517"/>
  <c r="M655" i="517"/>
  <c r="K510" i="520"/>
  <c r="I641" i="523"/>
  <c r="I633" i="517"/>
  <c r="J274" i="519"/>
  <c r="J662" i="523"/>
  <c r="J217" i="521"/>
  <c r="L477" i="519"/>
  <c r="M55" i="518"/>
  <c r="M611" i="517"/>
  <c r="C496" i="247"/>
  <c r="J192" i="523"/>
  <c r="L690" i="518"/>
  <c r="J460" i="519"/>
  <c r="M280" i="519"/>
  <c r="L394" i="517"/>
  <c r="I353" i="517"/>
  <c r="D195" i="247"/>
  <c r="J93" i="521"/>
  <c r="L67" i="517"/>
  <c r="J669" i="523"/>
  <c r="L290" i="520"/>
  <c r="K73" i="520"/>
  <c r="L280" i="517"/>
  <c r="L340" i="518"/>
  <c r="K52" i="519"/>
  <c r="I358" i="520"/>
  <c r="J28" i="518"/>
  <c r="L122" i="521"/>
  <c r="L413" i="519"/>
  <c r="J446" i="519"/>
  <c r="M638" i="521"/>
  <c r="L375" i="518"/>
  <c r="L509" i="520"/>
  <c r="I265" i="519"/>
  <c r="K594" i="523"/>
  <c r="C339" i="247"/>
  <c r="D216" i="247"/>
  <c r="I306" i="520"/>
  <c r="M432" i="520"/>
  <c r="J666" i="520"/>
  <c r="L483" i="521"/>
  <c r="J78" i="523"/>
  <c r="L560" i="521"/>
  <c r="I2" i="517"/>
  <c r="K84" i="523"/>
  <c r="M650" i="523"/>
  <c r="L638" i="523"/>
  <c r="J58" i="519"/>
  <c r="G6" i="518"/>
  <c r="I772" i="523"/>
  <c r="I185" i="517"/>
  <c r="I578" i="521"/>
  <c r="K143" i="519"/>
  <c r="L254" i="519"/>
  <c r="J470" i="521"/>
  <c r="L269" i="520"/>
  <c r="K666" i="521"/>
  <c r="J347" i="521"/>
  <c r="I541" i="523"/>
  <c r="J591" i="520"/>
  <c r="J241" i="520"/>
  <c r="J347" i="519"/>
  <c r="M648" i="520"/>
  <c r="J149" i="520"/>
  <c r="I88" i="520"/>
  <c r="J162" i="518"/>
  <c r="I468" i="521"/>
  <c r="J504" i="520"/>
  <c r="J534" i="518"/>
  <c r="K226" i="520"/>
  <c r="K148" i="517"/>
  <c r="L169" i="520"/>
  <c r="I170" i="521"/>
  <c r="K118" i="523"/>
  <c r="I407" i="519"/>
  <c r="I702" i="523"/>
  <c r="H9" i="521"/>
  <c r="K385" i="519"/>
  <c r="K640" i="523"/>
  <c r="J284" i="519"/>
  <c r="J320" i="518"/>
  <c r="J393" i="523"/>
  <c r="L197" i="519"/>
  <c r="M668" i="517"/>
  <c r="I679" i="518"/>
  <c r="M90" i="520"/>
  <c r="A34" i="520"/>
  <c r="I282" i="519"/>
  <c r="I451" i="523"/>
  <c r="J483" i="520"/>
  <c r="M47" i="518"/>
  <c r="J496" i="520"/>
  <c r="J65" i="520"/>
  <c r="M610" i="518"/>
  <c r="L347" i="519"/>
  <c r="L579" i="521"/>
  <c r="M479" i="518"/>
  <c r="H7" i="520"/>
  <c r="I334" i="521"/>
  <c r="J386" i="520"/>
  <c r="I450" i="521"/>
  <c r="L780" i="523"/>
  <c r="J536" i="521"/>
  <c r="J92" i="520"/>
  <c r="K618" i="523"/>
  <c r="M104" i="520"/>
  <c r="J54" i="523"/>
  <c r="K169" i="517"/>
  <c r="J284" i="517"/>
  <c r="J450" i="521"/>
  <c r="D474" i="247"/>
  <c r="J477" i="520"/>
  <c r="M67" i="517"/>
  <c r="L288" i="518"/>
  <c r="J145" i="518"/>
  <c r="J396" i="521"/>
  <c r="K389" i="517"/>
  <c r="K509" i="518"/>
  <c r="I533" i="519"/>
  <c r="L291" i="519"/>
  <c r="K446" i="518"/>
  <c r="I310" i="520"/>
  <c r="C43" i="518"/>
  <c r="C246" i="247"/>
  <c r="J299" i="518"/>
  <c r="I170" i="519"/>
  <c r="J241" i="521"/>
  <c r="K160" i="518"/>
  <c r="K75" i="520"/>
  <c r="K598" i="517"/>
  <c r="M257" i="519"/>
  <c r="F11" i="523"/>
  <c r="K53" i="517"/>
  <c r="J270" i="517"/>
  <c r="J647" i="519"/>
  <c r="I454" i="521"/>
  <c r="J666" i="521"/>
  <c r="I536" i="520"/>
  <c r="L789" i="523"/>
  <c r="I263" i="521"/>
  <c r="E4" i="523"/>
  <c r="M490" i="517"/>
  <c r="J218" i="521"/>
  <c r="L425" i="518"/>
  <c r="L618" i="519"/>
  <c r="L309" i="517"/>
  <c r="I562" i="523"/>
  <c r="M263" i="520"/>
  <c r="K385" i="520"/>
  <c r="K139" i="523"/>
  <c r="K74" i="520"/>
  <c r="K3" i="517"/>
  <c r="M387" i="521"/>
  <c r="C309" i="247"/>
  <c r="M367" i="518"/>
  <c r="I626" i="517"/>
  <c r="M505" i="518"/>
  <c r="J569" i="517"/>
  <c r="C343" i="247"/>
  <c r="L351" i="520"/>
  <c r="J530" i="523"/>
  <c r="G12" i="519"/>
  <c r="K617" i="523"/>
  <c r="K51" i="523"/>
  <c r="M695" i="523"/>
  <c r="K233" i="517"/>
  <c r="K26" i="520"/>
  <c r="L93" i="517"/>
  <c r="E5" i="520"/>
  <c r="M509" i="523"/>
  <c r="L210" i="521"/>
  <c r="C338" i="247"/>
  <c r="J372" i="518"/>
  <c r="M61" i="518"/>
  <c r="I684" i="521"/>
  <c r="I529" i="520"/>
  <c r="L437" i="520"/>
  <c r="J50" i="517"/>
  <c r="K305" i="520"/>
  <c r="J652" i="520"/>
  <c r="M116" i="520"/>
  <c r="I27" i="517"/>
  <c r="K498" i="518"/>
  <c r="L268" i="523"/>
  <c r="I778" i="523"/>
  <c r="L26" i="520"/>
  <c r="K321" i="517"/>
  <c r="L788" i="523"/>
  <c r="I192" i="517"/>
  <c r="L668" i="519"/>
  <c r="J545" i="521"/>
  <c r="K670" i="517"/>
  <c r="I104" i="521"/>
  <c r="K593" i="518"/>
  <c r="J393" i="517"/>
  <c r="I329" i="518"/>
  <c r="L604" i="518"/>
  <c r="K525" i="517"/>
  <c r="J372" i="523"/>
  <c r="D223" i="247"/>
  <c r="L340" i="519"/>
  <c r="J480" i="517"/>
  <c r="K418" i="520"/>
  <c r="K677" i="519"/>
  <c r="L451" i="520"/>
  <c r="J156" i="521"/>
  <c r="K693" i="523"/>
  <c r="L56" i="519"/>
  <c r="L112" i="519"/>
  <c r="L409" i="520"/>
  <c r="J594" i="519"/>
  <c r="I503" i="523"/>
  <c r="L340" i="523"/>
  <c r="I688" i="523"/>
  <c r="D139" i="247"/>
  <c r="C303" i="247"/>
  <c r="A34" i="518"/>
  <c r="J38" i="521"/>
  <c r="L126" i="523"/>
  <c r="I5" i="517"/>
  <c r="L162" i="523"/>
  <c r="M66" i="521"/>
  <c r="M32" i="521"/>
  <c r="F26" i="523"/>
  <c r="M630" i="518"/>
  <c r="K568" i="519"/>
  <c r="J144" i="521"/>
  <c r="M460" i="519"/>
  <c r="J44" i="520"/>
  <c r="M220" i="517"/>
  <c r="J692" i="521"/>
  <c r="B19" i="482"/>
  <c r="I202" i="518"/>
  <c r="I33" i="519"/>
  <c r="K335" i="521"/>
  <c r="M10" i="517"/>
  <c r="J504" i="523"/>
  <c r="L394" i="520"/>
  <c r="J503" i="517"/>
  <c r="L48" i="520"/>
  <c r="K123" i="518"/>
  <c r="I263" i="519"/>
  <c r="A31" i="519"/>
  <c r="I544" i="518"/>
  <c r="M9" i="521"/>
  <c r="L159" i="519"/>
  <c r="I355" i="520"/>
  <c r="M678" i="519"/>
  <c r="L484" i="521"/>
  <c r="J690" i="519"/>
  <c r="J142" i="520"/>
  <c r="K472" i="519"/>
  <c r="A38" i="519"/>
  <c r="I400" i="523"/>
  <c r="M657" i="521"/>
  <c r="J632" i="517"/>
  <c r="I586" i="518"/>
  <c r="I331" i="520"/>
  <c r="M266" i="517"/>
  <c r="J323" i="521"/>
  <c r="J309" i="523"/>
  <c r="L415" i="518"/>
  <c r="K51" i="521"/>
  <c r="L385" i="518"/>
  <c r="I256" i="520"/>
  <c r="M648" i="518"/>
  <c r="I239" i="518"/>
  <c r="L555" i="521"/>
  <c r="I261" i="519"/>
  <c r="I576" i="517"/>
  <c r="J399" i="517"/>
  <c r="J420" i="519"/>
  <c r="L769" i="523"/>
  <c r="M60" i="520"/>
  <c r="K134" i="523"/>
  <c r="J258" i="519"/>
  <c r="M371" i="520"/>
  <c r="M494" i="518"/>
  <c r="J106" i="523"/>
  <c r="I623" i="519"/>
  <c r="K484" i="518"/>
  <c r="L104" i="520"/>
  <c r="I538" i="518"/>
  <c r="L8" i="520"/>
  <c r="M387" i="523"/>
  <c r="K286" i="521"/>
  <c r="I89" i="520"/>
  <c r="M229" i="521"/>
  <c r="I432" i="523"/>
  <c r="I80" i="520"/>
  <c r="M408" i="520"/>
  <c r="I27" i="518"/>
  <c r="K607" i="520"/>
  <c r="I430" i="518"/>
  <c r="M562" i="518"/>
  <c r="E5" i="521"/>
  <c r="L235" i="520"/>
  <c r="I163" i="518"/>
  <c r="K305" i="517"/>
  <c r="M753" i="523"/>
  <c r="L396" i="519"/>
  <c r="H5" i="521"/>
  <c r="K32" i="520"/>
  <c r="J161" i="518"/>
  <c r="A2" i="517"/>
  <c r="L209" i="520"/>
  <c r="J156" i="519"/>
  <c r="K526" i="520"/>
  <c r="L94" i="518"/>
  <c r="L60" i="520"/>
  <c r="I337" i="518"/>
  <c r="J578" i="520"/>
  <c r="L237" i="519"/>
  <c r="K214" i="521"/>
  <c r="K586" i="518"/>
  <c r="J323" i="517"/>
  <c r="K25" i="518"/>
  <c r="K196" i="519"/>
  <c r="M462" i="517"/>
  <c r="K372" i="518"/>
  <c r="L175" i="518"/>
  <c r="L331" i="519"/>
  <c r="I478" i="517"/>
  <c r="I15" i="517"/>
  <c r="L379" i="518"/>
  <c r="K245" i="521"/>
  <c r="M91" i="520"/>
  <c r="K63" i="521"/>
  <c r="I332" i="523"/>
  <c r="I528" i="519"/>
  <c r="I641" i="521"/>
  <c r="J820" i="523"/>
  <c r="K278" i="520"/>
  <c r="C388" i="247"/>
  <c r="J628" i="520"/>
  <c r="M307" i="521"/>
  <c r="I30" i="517"/>
  <c r="M181" i="518"/>
  <c r="K456" i="517"/>
  <c r="I287" i="518"/>
  <c r="K78" i="520"/>
  <c r="J356" i="518"/>
  <c r="J531" i="523"/>
  <c r="M368" i="518"/>
  <c r="L593" i="523"/>
  <c r="L97" i="521"/>
  <c r="I371" i="517"/>
  <c r="M499" i="519"/>
  <c r="I174" i="519"/>
  <c r="J268" i="523"/>
  <c r="L194" i="517"/>
  <c r="J413" i="521"/>
  <c r="K276" i="520"/>
  <c r="J270" i="519"/>
  <c r="K259" i="520"/>
  <c r="E7" i="519"/>
  <c r="J173" i="518"/>
  <c r="C513" i="247"/>
  <c r="K213" i="517"/>
  <c r="L278" i="521"/>
  <c r="I533" i="521"/>
  <c r="I324" i="520"/>
  <c r="L553" i="521"/>
  <c r="M647" i="521"/>
  <c r="L273" i="520"/>
  <c r="J376" i="523"/>
  <c r="L384" i="520"/>
  <c r="J297" i="521"/>
  <c r="D345" i="247"/>
  <c r="K149" i="523"/>
  <c r="I241" i="520"/>
  <c r="K459" i="519"/>
  <c r="L284" i="518"/>
  <c r="K657" i="517"/>
  <c r="M184" i="521"/>
  <c r="L294" i="520"/>
  <c r="I467" i="520"/>
  <c r="K660" i="520"/>
  <c r="I410" i="519"/>
  <c r="M581" i="521"/>
  <c r="M283" i="519"/>
  <c r="C48" i="523"/>
  <c r="J491" i="520"/>
  <c r="J285" i="517"/>
  <c r="L476" i="523"/>
  <c r="M131" i="519"/>
  <c r="J469" i="518"/>
  <c r="M22" i="523"/>
  <c r="M125" i="520"/>
  <c r="I52" i="520"/>
  <c r="K515" i="521"/>
  <c r="D38" i="247"/>
  <c r="I171" i="518"/>
  <c r="J479" i="519"/>
  <c r="M505" i="520"/>
  <c r="K675" i="517"/>
  <c r="M635" i="521"/>
  <c r="L525" i="523"/>
  <c r="M254" i="519"/>
  <c r="J604" i="523"/>
  <c r="M496" i="520"/>
  <c r="M217" i="518"/>
  <c r="K480" i="521"/>
  <c r="L121" i="523"/>
  <c r="J223" i="520"/>
  <c r="I422" i="520"/>
  <c r="I169" i="519"/>
  <c r="J236" i="521"/>
  <c r="D421" i="247"/>
  <c r="C161" i="247"/>
  <c r="L541" i="523"/>
  <c r="M415" i="517"/>
  <c r="L266" i="521"/>
  <c r="L152" i="517"/>
  <c r="I286" i="523"/>
  <c r="K525" i="521"/>
  <c r="I428" i="521"/>
  <c r="I446" i="520"/>
  <c r="J507" i="521"/>
  <c r="J29" i="518"/>
  <c r="I67" i="521"/>
  <c r="D396" i="247"/>
  <c r="M443" i="521"/>
  <c r="I234" i="519"/>
  <c r="I518" i="517"/>
  <c r="I602" i="521"/>
  <c r="L635" i="523"/>
  <c r="M609" i="520"/>
  <c r="M551" i="517"/>
  <c r="D93" i="247"/>
  <c r="K99" i="521"/>
  <c r="I283" i="523"/>
  <c r="I175" i="521"/>
  <c r="M382" i="518"/>
  <c r="I502" i="518"/>
  <c r="K641" i="517"/>
  <c r="I64" i="523"/>
  <c r="J81" i="521"/>
  <c r="M394" i="521"/>
  <c r="I267" i="519"/>
  <c r="J109" i="517"/>
  <c r="J249" i="521"/>
  <c r="J643" i="517"/>
  <c r="I784" i="523"/>
  <c r="J544" i="519"/>
  <c r="M330" i="520"/>
  <c r="M247" i="523"/>
  <c r="C20" i="521"/>
  <c r="M228" i="517"/>
  <c r="J331" i="517"/>
  <c r="L549" i="520"/>
  <c r="L546" i="517"/>
  <c r="L382" i="519"/>
  <c r="L498" i="521"/>
  <c r="L327" i="517"/>
  <c r="M490" i="519"/>
  <c r="M6" i="518"/>
  <c r="L405" i="520"/>
  <c r="M139" i="518"/>
  <c r="I504" i="518"/>
  <c r="K143" i="518"/>
  <c r="M80" i="519"/>
  <c r="M183" i="517"/>
  <c r="I606" i="521"/>
  <c r="M608" i="521"/>
  <c r="L44" i="523"/>
  <c r="I459" i="520"/>
  <c r="D538" i="247"/>
  <c r="M128" i="517"/>
  <c r="M72" i="519"/>
  <c r="L364" i="518"/>
  <c r="K342" i="523"/>
  <c r="K452" i="520"/>
  <c r="J534" i="519"/>
  <c r="L287" i="519"/>
  <c r="L631" i="518"/>
  <c r="J117" i="517"/>
  <c r="I40" i="517"/>
  <c r="C115" i="247"/>
  <c r="L145" i="517"/>
  <c r="M400" i="519"/>
  <c r="I124" i="520"/>
  <c r="I573" i="518"/>
  <c r="M191" i="517"/>
  <c r="K268" i="523"/>
  <c r="K252" i="518"/>
  <c r="J541" i="517"/>
  <c r="J378" i="517"/>
  <c r="J219" i="518"/>
  <c r="K795" i="523"/>
  <c r="K468" i="519"/>
  <c r="I377" i="517"/>
  <c r="K567" i="519"/>
  <c r="L424" i="521"/>
  <c r="F25" i="521"/>
  <c r="L256" i="518"/>
  <c r="L389" i="519"/>
  <c r="J480" i="520"/>
  <c r="L78" i="523"/>
  <c r="K560" i="517"/>
  <c r="K294" i="518"/>
  <c r="I688" i="520"/>
  <c r="J824" i="523"/>
  <c r="K431" i="517"/>
  <c r="L317" i="523"/>
  <c r="M369" i="518"/>
  <c r="K309" i="517"/>
  <c r="K566" i="518"/>
  <c r="C26" i="523"/>
  <c r="D420" i="247"/>
  <c r="I651" i="523"/>
  <c r="K43" i="523"/>
  <c r="J248" i="519"/>
  <c r="K638" i="520"/>
  <c r="K55" i="519"/>
  <c r="L665" i="521"/>
  <c r="I164" i="519"/>
  <c r="K539" i="523"/>
  <c r="K611" i="523"/>
  <c r="K19" i="517"/>
  <c r="M641" i="520"/>
  <c r="M535" i="521"/>
  <c r="I527" i="517"/>
  <c r="C444" i="247"/>
  <c r="L257" i="520"/>
  <c r="L86" i="519"/>
  <c r="C500" i="247"/>
  <c r="K129" i="521"/>
  <c r="M334" i="520"/>
  <c r="M611" i="520"/>
  <c r="L591" i="519"/>
  <c r="L375" i="519"/>
  <c r="I435" i="519"/>
  <c r="I154" i="520"/>
  <c r="L289" i="520"/>
  <c r="J235" i="521"/>
  <c r="I519" i="521"/>
  <c r="L90" i="519"/>
  <c r="A17" i="520"/>
  <c r="J20" i="520"/>
  <c r="M119" i="519"/>
  <c r="K567" i="520"/>
  <c r="L535" i="519"/>
  <c r="L736" i="523"/>
  <c r="D103" i="247"/>
  <c r="L113" i="520"/>
  <c r="J444" i="518"/>
  <c r="M639" i="517"/>
  <c r="C128" i="247"/>
  <c r="L307" i="523"/>
  <c r="I61" i="518"/>
  <c r="K652" i="523"/>
  <c r="I132" i="517"/>
  <c r="J712" i="523"/>
  <c r="L448" i="523"/>
  <c r="M529" i="520"/>
  <c r="F7" i="519"/>
  <c r="J632" i="523"/>
  <c r="I217" i="523"/>
  <c r="K266" i="517"/>
  <c r="L310" i="521"/>
  <c r="L606" i="519"/>
  <c r="I251" i="519"/>
  <c r="L383" i="517"/>
  <c r="M232" i="520"/>
  <c r="I799" i="523"/>
  <c r="L82" i="517"/>
  <c r="K106" i="520"/>
  <c r="J170" i="518"/>
  <c r="M56" i="523"/>
  <c r="K320" i="517"/>
  <c r="L287" i="518"/>
  <c r="C34" i="519"/>
  <c r="J112" i="519"/>
  <c r="J295" i="517"/>
  <c r="J439" i="518"/>
  <c r="K610" i="517"/>
  <c r="M305" i="521"/>
  <c r="L701" i="523"/>
  <c r="I94" i="518"/>
  <c r="L5" i="519"/>
  <c r="I266" i="520"/>
  <c r="J369" i="523"/>
  <c r="L579" i="523"/>
  <c r="M551" i="518"/>
  <c r="K456" i="523"/>
  <c r="I477" i="521"/>
  <c r="M656" i="517"/>
  <c r="M418" i="521"/>
  <c r="I660" i="517"/>
  <c r="L314" i="517"/>
  <c r="L256" i="520"/>
  <c r="I402" i="519"/>
  <c r="M357" i="518"/>
  <c r="D144" i="247"/>
  <c r="K195" i="523"/>
  <c r="K486" i="519"/>
  <c r="K251" i="523"/>
  <c r="K110" i="523"/>
  <c r="L446" i="523"/>
  <c r="M286" i="521"/>
  <c r="L388" i="517"/>
  <c r="L303" i="518"/>
  <c r="L606" i="523"/>
  <c r="H20" i="518"/>
  <c r="L484" i="517"/>
  <c r="K15" i="523"/>
  <c r="C361" i="247"/>
  <c r="K25" i="519"/>
  <c r="I213" i="523"/>
  <c r="I524" i="521"/>
  <c r="L242" i="521"/>
  <c r="L516" i="517"/>
  <c r="M231" i="518"/>
  <c r="L376" i="520"/>
  <c r="L459" i="519"/>
  <c r="L236" i="521"/>
  <c r="K220" i="517"/>
  <c r="K559" i="517"/>
  <c r="I550" i="519"/>
  <c r="L188" i="518"/>
  <c r="L296" i="520"/>
  <c r="L312" i="521"/>
  <c r="J373" i="520"/>
  <c r="M362" i="519"/>
  <c r="I531" i="520"/>
  <c r="D127" i="247"/>
  <c r="L422" i="520"/>
  <c r="D591" i="247"/>
  <c r="J343" i="517"/>
  <c r="L316" i="518"/>
  <c r="J556" i="517"/>
  <c r="J432" i="518"/>
  <c r="A37" i="523"/>
  <c r="M159" i="517"/>
  <c r="I422" i="519"/>
  <c r="J511" i="518"/>
  <c r="K511" i="521"/>
  <c r="J744" i="523"/>
  <c r="K16" i="517"/>
  <c r="I451" i="517"/>
  <c r="I298" i="517"/>
  <c r="L434" i="521"/>
  <c r="D117" i="247"/>
  <c r="M23" i="521"/>
  <c r="K155" i="521"/>
  <c r="L281" i="518"/>
  <c r="M241" i="518"/>
  <c r="K35" i="523"/>
  <c r="A41" i="517"/>
  <c r="K258" i="520"/>
  <c r="L525" i="521"/>
  <c r="I328" i="518"/>
  <c r="L230" i="523"/>
  <c r="J301" i="519"/>
  <c r="K300" i="520"/>
  <c r="M362" i="521"/>
  <c r="D149" i="247"/>
  <c r="L171" i="519"/>
  <c r="A32" i="523"/>
  <c r="I604" i="521"/>
  <c r="L307" i="521"/>
  <c r="J239" i="520"/>
  <c r="K498" i="521"/>
  <c r="H5" i="518"/>
  <c r="J571" i="523"/>
  <c r="K564" i="517"/>
  <c r="K381" i="523"/>
  <c r="J210" i="520"/>
  <c r="K762" i="523"/>
  <c r="L608" i="521"/>
  <c r="M678" i="518"/>
  <c r="I447" i="521"/>
  <c r="I728" i="523"/>
  <c r="J791" i="523"/>
  <c r="D405" i="247"/>
  <c r="M532" i="517"/>
  <c r="I323" i="521"/>
  <c r="J533" i="520"/>
  <c r="I331" i="518"/>
  <c r="K607" i="517"/>
  <c r="K389" i="519"/>
  <c r="J674" i="521"/>
  <c r="L500" i="523"/>
  <c r="K665" i="519"/>
  <c r="L477" i="523"/>
  <c r="L123" i="521"/>
  <c r="K791" i="523"/>
  <c r="J587" i="519"/>
  <c r="I635" i="520"/>
  <c r="K689" i="523"/>
  <c r="J81" i="517"/>
  <c r="L592" i="520"/>
  <c r="A5" i="523"/>
  <c r="K287" i="523"/>
  <c r="F21" i="519"/>
  <c r="L92" i="518"/>
  <c r="K371" i="520"/>
  <c r="K162" i="519"/>
  <c r="K451" i="519"/>
  <c r="K260" i="518"/>
  <c r="L625" i="523"/>
  <c r="M396" i="523"/>
  <c r="I234" i="517"/>
  <c r="L662" i="521"/>
  <c r="L490" i="518"/>
  <c r="M351" i="517"/>
  <c r="M455" i="523"/>
  <c r="I85" i="520"/>
  <c r="I811" i="523"/>
  <c r="J201" i="521"/>
  <c r="H8" i="518"/>
  <c r="M185" i="519"/>
  <c r="L119" i="521"/>
  <c r="M114" i="523"/>
  <c r="C558" i="247"/>
  <c r="I362" i="517"/>
  <c r="M132" i="517"/>
  <c r="L396" i="518"/>
  <c r="C25" i="521"/>
  <c r="K247" i="518"/>
  <c r="I608" i="523"/>
  <c r="I294" i="517"/>
  <c r="J588" i="519"/>
  <c r="J353" i="521"/>
  <c r="L485" i="523"/>
  <c r="K62" i="523"/>
  <c r="I343" i="517"/>
  <c r="I597" i="521"/>
  <c r="K175" i="521"/>
  <c r="M805" i="523"/>
  <c r="L63" i="520"/>
  <c r="M62" i="520"/>
  <c r="J556" i="523"/>
  <c r="I185" i="523"/>
  <c r="K20" i="518"/>
  <c r="K407" i="518"/>
  <c r="K312" i="520"/>
  <c r="L335" i="518"/>
  <c r="M179" i="520"/>
  <c r="I545" i="523"/>
  <c r="K27" i="517"/>
  <c r="K623" i="519"/>
  <c r="J648" i="519"/>
  <c r="J590" i="519"/>
  <c r="K248" i="517"/>
  <c r="I236" i="523"/>
  <c r="M575" i="517"/>
  <c r="M415" i="518"/>
  <c r="I101" i="517"/>
  <c r="I524" i="518"/>
  <c r="J335" i="517"/>
  <c r="L600" i="521"/>
  <c r="G27" i="520"/>
  <c r="D483" i="247"/>
  <c r="D560" i="247"/>
  <c r="L514" i="521"/>
  <c r="I159" i="517"/>
  <c r="L464" i="518"/>
  <c r="I395" i="519"/>
  <c r="D388" i="247"/>
  <c r="J452" i="523"/>
  <c r="M226" i="523"/>
  <c r="K631" i="520"/>
  <c r="K63" i="523"/>
  <c r="I276" i="523"/>
  <c r="L536" i="517"/>
  <c r="M346" i="520"/>
  <c r="L344" i="517"/>
  <c r="K435" i="521"/>
  <c r="L677" i="521"/>
  <c r="J177" i="517"/>
  <c r="I559" i="523"/>
  <c r="J532" i="523"/>
  <c r="I366" i="520"/>
  <c r="I578" i="518"/>
  <c r="K834" i="523"/>
  <c r="D492" i="247"/>
  <c r="M598" i="520"/>
  <c r="C284" i="247"/>
  <c r="I434" i="519"/>
  <c r="K313" i="521"/>
  <c r="K623" i="520"/>
  <c r="I245" i="519"/>
  <c r="K5" i="517"/>
  <c r="I462" i="517"/>
  <c r="I518" i="521"/>
  <c r="L539" i="518"/>
  <c r="M186" i="523"/>
  <c r="L266" i="523"/>
  <c r="A18" i="523"/>
  <c r="M523" i="518"/>
  <c r="C360" i="247"/>
  <c r="L9" i="518"/>
  <c r="L95" i="519"/>
  <c r="J382" i="523"/>
  <c r="K555" i="519"/>
  <c r="M75" i="521"/>
  <c r="L678" i="518"/>
  <c r="K94" i="523"/>
  <c r="I30" i="521"/>
  <c r="I106" i="518"/>
  <c r="J334" i="517"/>
  <c r="F6" i="521"/>
  <c r="D463" i="247"/>
  <c r="F27" i="517"/>
  <c r="I80" i="517"/>
  <c r="G10" i="520"/>
  <c r="J158" i="521"/>
  <c r="M344" i="523"/>
  <c r="K8" i="517"/>
  <c r="M112" i="518"/>
  <c r="M187" i="519"/>
  <c r="M650" i="520"/>
  <c r="M254" i="520"/>
  <c r="K496" i="523"/>
  <c r="I167" i="517"/>
  <c r="M662" i="519"/>
  <c r="K382" i="517"/>
  <c r="I304" i="521"/>
  <c r="M389" i="521"/>
  <c r="M29" i="517"/>
  <c r="K216" i="518"/>
  <c r="K630" i="520"/>
  <c r="C56" i="247"/>
  <c r="L128" i="520"/>
  <c r="M384" i="517"/>
  <c r="I536" i="519"/>
  <c r="L732" i="523"/>
  <c r="L236" i="520"/>
  <c r="I414" i="517"/>
  <c r="D547" i="247"/>
  <c r="J290" i="519"/>
  <c r="I179" i="520"/>
  <c r="L363" i="523"/>
  <c r="K98" i="521"/>
  <c r="I28" i="517"/>
  <c r="K403" i="520"/>
  <c r="I67" i="517"/>
  <c r="L383" i="519"/>
  <c r="E9" i="517"/>
  <c r="K562" i="523"/>
  <c r="K236" i="520"/>
  <c r="I145" i="519"/>
  <c r="I124" i="518"/>
  <c r="I475" i="520"/>
  <c r="D58" i="247"/>
  <c r="L193" i="523"/>
  <c r="K519" i="521"/>
  <c r="K316" i="521"/>
  <c r="K487" i="521"/>
  <c r="L333" i="519"/>
  <c r="I486" i="517"/>
  <c r="M637" i="521"/>
  <c r="C396" i="247"/>
  <c r="K398" i="520"/>
  <c r="L602" i="521"/>
  <c r="K417" i="523"/>
  <c r="M85" i="520"/>
  <c r="A33" i="517"/>
  <c r="L172" i="523"/>
  <c r="K416" i="518"/>
  <c r="I6" i="518"/>
  <c r="L397" i="519"/>
  <c r="M494" i="521"/>
  <c r="L108" i="520"/>
  <c r="P9" i="3"/>
  <c r="J36" i="523"/>
  <c r="G24" i="517"/>
  <c r="K159" i="517"/>
  <c r="J684" i="520"/>
  <c r="J300" i="517"/>
  <c r="K453" i="519"/>
  <c r="K212" i="518"/>
  <c r="J89" i="519"/>
  <c r="L373" i="519"/>
  <c r="M157" i="523"/>
  <c r="L831" i="523"/>
  <c r="I323" i="517"/>
  <c r="M296" i="519"/>
  <c r="J29" i="520"/>
  <c r="L519" i="517"/>
  <c r="J42" i="519"/>
  <c r="L641" i="517"/>
  <c r="L368" i="517"/>
  <c r="I25" i="519"/>
  <c r="L129" i="520"/>
  <c r="M64" i="523"/>
  <c r="C79" i="247"/>
  <c r="M613" i="519"/>
  <c r="K628" i="517"/>
  <c r="L97" i="518"/>
  <c r="I471" i="520"/>
  <c r="M451" i="521"/>
  <c r="I796" i="523"/>
  <c r="K22" i="519"/>
  <c r="L328" i="520"/>
  <c r="I611" i="521"/>
  <c r="J470" i="520"/>
  <c r="M382" i="523"/>
  <c r="H8" i="521"/>
  <c r="M223" i="521"/>
  <c r="L688" i="519"/>
  <c r="M644" i="521"/>
  <c r="I178" i="518"/>
  <c r="J596" i="517"/>
  <c r="K442" i="523"/>
  <c r="J230" i="523"/>
  <c r="J196" i="523"/>
  <c r="L531" i="519"/>
  <c r="M134" i="517"/>
  <c r="I499" i="523"/>
  <c r="L189" i="517"/>
  <c r="J467" i="521"/>
  <c r="K569" i="518"/>
  <c r="K522" i="518"/>
  <c r="M548" i="520"/>
  <c r="J413" i="518"/>
  <c r="E27" i="518"/>
  <c r="J543" i="521"/>
  <c r="K320" i="519"/>
  <c r="I656" i="520"/>
  <c r="K322" i="517"/>
  <c r="K483" i="523"/>
  <c r="J254" i="518"/>
  <c r="M211" i="519"/>
  <c r="L14" i="521"/>
  <c r="L198" i="517"/>
  <c r="K451" i="521"/>
  <c r="I330" i="517"/>
  <c r="L434" i="519"/>
  <c r="J299" i="521"/>
  <c r="J662" i="521"/>
  <c r="L524" i="517"/>
  <c r="M340" i="519"/>
  <c r="M441" i="519"/>
  <c r="L374" i="518"/>
  <c r="I127" i="517"/>
  <c r="M369" i="517"/>
  <c r="M35" i="519"/>
  <c r="K523" i="520"/>
  <c r="I216" i="519"/>
  <c r="J41" i="519"/>
  <c r="L727" i="523"/>
  <c r="M20" i="523"/>
  <c r="L467" i="519"/>
  <c r="K366" i="521"/>
  <c r="L191" i="523"/>
  <c r="M778" i="523"/>
  <c r="J329" i="518"/>
  <c r="K57" i="520"/>
  <c r="K526" i="517"/>
  <c r="K609" i="517"/>
  <c r="J138" i="521"/>
  <c r="C222" i="247"/>
  <c r="J7" i="523"/>
  <c r="K578" i="519"/>
  <c r="J244" i="523"/>
  <c r="K666" i="523"/>
  <c r="K495" i="519"/>
  <c r="M353" i="521"/>
  <c r="I182" i="523"/>
  <c r="J620" i="523"/>
  <c r="M360" i="518"/>
  <c r="K615" i="519"/>
  <c r="I42" i="519"/>
  <c r="J226" i="519"/>
  <c r="M264" i="517"/>
  <c r="I391" i="521"/>
  <c r="C392" i="247"/>
  <c r="M423" i="520"/>
  <c r="M123" i="520"/>
  <c r="M607" i="519"/>
  <c r="J202" i="519"/>
  <c r="K779" i="523"/>
  <c r="K593" i="517"/>
  <c r="M333" i="521"/>
  <c r="K173" i="520"/>
  <c r="M250" i="518"/>
  <c r="I245" i="518"/>
  <c r="J612" i="518"/>
  <c r="D254" i="247"/>
  <c r="L534" i="517"/>
  <c r="A3" i="519"/>
  <c r="J550" i="518"/>
  <c r="L393" i="521"/>
  <c r="M159" i="523"/>
  <c r="K245" i="517"/>
  <c r="K670" i="520"/>
  <c r="K247" i="520"/>
  <c r="K98" i="520"/>
  <c r="K800" i="523"/>
  <c r="M492" i="519"/>
  <c r="J381" i="520"/>
  <c r="I678" i="518"/>
  <c r="J279" i="521"/>
  <c r="M271" i="523"/>
  <c r="K367" i="520"/>
  <c r="K16" i="523"/>
  <c r="J65" i="523"/>
  <c r="J465" i="523"/>
  <c r="K469" i="523"/>
  <c r="I248" i="518"/>
  <c r="L256" i="519"/>
  <c r="L179" i="523"/>
  <c r="L220" i="519"/>
  <c r="M103" i="523"/>
  <c r="L430" i="521"/>
  <c r="I637" i="519"/>
  <c r="M651" i="518"/>
  <c r="K18" i="520"/>
  <c r="I471" i="523"/>
  <c r="L373" i="518"/>
  <c r="J605" i="518"/>
  <c r="J266" i="519"/>
  <c r="L399" i="520"/>
  <c r="J297" i="519"/>
  <c r="C215" i="247"/>
  <c r="L590" i="520"/>
  <c r="L271" i="521"/>
  <c r="J302" i="520"/>
  <c r="L178" i="520"/>
  <c r="L700" i="523"/>
  <c r="L97" i="523"/>
  <c r="L416" i="518"/>
  <c r="J43" i="518"/>
  <c r="J625" i="523"/>
  <c r="L203" i="520"/>
  <c r="J508" i="523"/>
  <c r="J509" i="520"/>
  <c r="I103" i="523"/>
  <c r="M446" i="523"/>
  <c r="J517" i="520"/>
  <c r="K516" i="520"/>
  <c r="M178" i="520"/>
  <c r="J370" i="521"/>
  <c r="K61" i="519"/>
  <c r="M219" i="517"/>
  <c r="D328" i="247"/>
  <c r="I91" i="520"/>
  <c r="K184" i="520"/>
  <c r="M507" i="521"/>
  <c r="K266" i="519"/>
  <c r="L103" i="518"/>
  <c r="I672" i="521"/>
  <c r="I447" i="517"/>
  <c r="I335" i="518"/>
  <c r="L517" i="521"/>
  <c r="K350" i="520"/>
  <c r="M422" i="518"/>
  <c r="J471" i="518"/>
  <c r="L452" i="517"/>
  <c r="J214" i="518"/>
  <c r="C6" i="521"/>
  <c r="M5" i="521"/>
  <c r="I511" i="521"/>
  <c r="I41" i="517"/>
  <c r="K438" i="523"/>
  <c r="J446" i="518"/>
  <c r="L301" i="520"/>
  <c r="I241" i="518"/>
  <c r="M470" i="518"/>
  <c r="L74" i="523"/>
  <c r="A25" i="519"/>
  <c r="J233" i="521"/>
  <c r="D356" i="247"/>
  <c r="M291" i="519"/>
  <c r="I213" i="518"/>
  <c r="J276" i="518"/>
  <c r="L621" i="519"/>
  <c r="L46" i="517"/>
  <c r="L269" i="523"/>
  <c r="I420" i="523"/>
  <c r="M584" i="517"/>
  <c r="K97" i="519"/>
  <c r="L333" i="520"/>
  <c r="M334" i="521"/>
  <c r="M217" i="519"/>
  <c r="M45" i="518"/>
  <c r="L234" i="523"/>
  <c r="K447" i="523"/>
  <c r="C408" i="247"/>
  <c r="A3" i="517"/>
  <c r="F27" i="518"/>
  <c r="J17" i="518"/>
  <c r="J548" i="523"/>
  <c r="K554" i="517"/>
  <c r="I345" i="518"/>
  <c r="J310" i="520"/>
  <c r="K270" i="523"/>
  <c r="K612" i="521"/>
  <c r="L100" i="521"/>
  <c r="K121" i="520"/>
  <c r="L592" i="517"/>
  <c r="C3" i="520"/>
  <c r="I226" i="521"/>
  <c r="J85" i="521"/>
  <c r="K332" i="519"/>
  <c r="J606" i="517"/>
  <c r="K212" i="520"/>
  <c r="I421" i="518"/>
  <c r="J98" i="519"/>
  <c r="L598" i="519"/>
  <c r="K84" i="519"/>
  <c r="K81" i="523"/>
  <c r="C529" i="247"/>
  <c r="K626" i="517"/>
  <c r="K201" i="519"/>
  <c r="J31" i="519"/>
  <c r="K660" i="523"/>
  <c r="J215" i="517"/>
  <c r="J505" i="523"/>
  <c r="J560" i="523"/>
  <c r="A40" i="520"/>
  <c r="J146" i="520"/>
  <c r="L557" i="523"/>
  <c r="J308" i="523"/>
  <c r="M639" i="520"/>
  <c r="J147" i="523"/>
  <c r="A24" i="519"/>
  <c r="M433" i="520"/>
  <c r="I3" i="523"/>
  <c r="K617" i="521"/>
  <c r="K451" i="520"/>
  <c r="I657" i="518"/>
  <c r="L252" i="520"/>
  <c r="K380" i="517"/>
  <c r="C232" i="247"/>
  <c r="I671" i="521"/>
  <c r="L608" i="520"/>
  <c r="L273" i="521"/>
  <c r="M29" i="521"/>
  <c r="J608" i="521"/>
  <c r="J578" i="517"/>
  <c r="L680" i="523"/>
  <c r="K166" i="517"/>
  <c r="C117" i="247"/>
  <c r="J258" i="518"/>
  <c r="M78" i="523"/>
  <c r="I607" i="519"/>
  <c r="I673" i="517"/>
  <c r="M598" i="517"/>
  <c r="C4" i="518"/>
  <c r="K169" i="520"/>
  <c r="L139" i="519"/>
  <c r="H22" i="517"/>
  <c r="M407" i="521"/>
  <c r="K445" i="520"/>
  <c r="K251" i="519"/>
  <c r="I23" i="519"/>
  <c r="C42" i="247"/>
  <c r="I556" i="521"/>
  <c r="L134" i="519"/>
  <c r="M133" i="518"/>
  <c r="L541" i="519"/>
  <c r="M67" i="519"/>
  <c r="M585" i="523"/>
  <c r="K331" i="520"/>
  <c r="L162" i="518"/>
  <c r="K553" i="523"/>
  <c r="J87" i="519"/>
  <c r="J261" i="523"/>
  <c r="I614" i="519"/>
  <c r="K399" i="521"/>
  <c r="L95" i="517"/>
  <c r="J577" i="520"/>
  <c r="I438" i="521"/>
  <c r="M328" i="519"/>
  <c r="M391" i="520"/>
  <c r="M502" i="519"/>
  <c r="K520" i="521"/>
  <c r="I389" i="523"/>
  <c r="J150" i="517"/>
  <c r="M137" i="518"/>
  <c r="J41" i="523"/>
  <c r="J345" i="521"/>
  <c r="M454" i="519"/>
  <c r="J553" i="519"/>
  <c r="K583" i="519"/>
  <c r="L118" i="521"/>
  <c r="L306" i="520"/>
  <c r="I381" i="523"/>
  <c r="M278" i="517"/>
  <c r="J558" i="521"/>
  <c r="C548" i="247"/>
  <c r="A28" i="521"/>
  <c r="P33" i="3"/>
  <c r="K661" i="520"/>
  <c r="I297" i="520"/>
  <c r="E4" i="521"/>
  <c r="I548" i="523"/>
  <c r="L384" i="517"/>
  <c r="K759" i="523"/>
  <c r="J237" i="518"/>
  <c r="I450" i="519"/>
  <c r="D59" i="247"/>
  <c r="J345" i="518"/>
  <c r="I154" i="521"/>
  <c r="M640" i="517"/>
  <c r="I31" i="520"/>
  <c r="K370" i="523"/>
  <c r="M47" i="519"/>
  <c r="I462" i="518"/>
  <c r="M343" i="521"/>
  <c r="M183" i="519"/>
  <c r="K329" i="518"/>
  <c r="M463" i="523"/>
  <c r="M398" i="519"/>
  <c r="I52" i="518"/>
  <c r="K492" i="523"/>
  <c r="J366" i="517"/>
  <c r="I515" i="517"/>
  <c r="I109" i="521"/>
  <c r="M752" i="523"/>
  <c r="I374" i="523"/>
  <c r="J161" i="519"/>
  <c r="I229" i="519"/>
  <c r="L673" i="517"/>
  <c r="M156" i="517"/>
  <c r="M327" i="517"/>
  <c r="M447" i="519"/>
  <c r="M300" i="521"/>
  <c r="K85" i="517"/>
  <c r="K41" i="517"/>
  <c r="M231" i="521"/>
  <c r="M661" i="521"/>
  <c r="I566" i="520"/>
  <c r="I428" i="523"/>
  <c r="L428" i="523"/>
  <c r="M27" i="517"/>
  <c r="I693" i="521"/>
  <c r="M129" i="523"/>
  <c r="D43" i="247"/>
  <c r="J512" i="517"/>
  <c r="L425" i="523"/>
  <c r="I238" i="517"/>
  <c r="I359" i="519"/>
  <c r="K441" i="518"/>
  <c r="I590" i="523"/>
  <c r="J414" i="520"/>
  <c r="M201" i="520"/>
  <c r="L299" i="521"/>
  <c r="M25" i="518"/>
  <c r="M259" i="519"/>
  <c r="M439" i="521"/>
  <c r="K419" i="517"/>
  <c r="I591" i="520"/>
  <c r="J208" i="520"/>
  <c r="M318" i="519"/>
  <c r="J11" i="520"/>
  <c r="K368" i="520"/>
  <c r="I140" i="517"/>
  <c r="K372" i="523"/>
  <c r="F26" i="520"/>
  <c r="K111" i="519"/>
  <c r="K576" i="521"/>
  <c r="M570" i="521"/>
  <c r="K69" i="521"/>
  <c r="D168" i="247"/>
  <c r="L111" i="518"/>
  <c r="K181" i="518"/>
  <c r="M64" i="521"/>
  <c r="I330" i="519"/>
  <c r="L380" i="518"/>
  <c r="K457" i="523"/>
  <c r="M561" i="520"/>
  <c r="J495" i="519"/>
  <c r="K114" i="520"/>
  <c r="I268" i="520"/>
  <c r="J440" i="521"/>
  <c r="M723" i="523"/>
  <c r="I411" i="520"/>
  <c r="M445" i="519"/>
  <c r="I55" i="520"/>
  <c r="C46" i="519"/>
  <c r="L496" i="523"/>
  <c r="I195" i="518"/>
  <c r="C141" i="247"/>
  <c r="H2" i="521"/>
  <c r="M800" i="523"/>
  <c r="K83" i="523"/>
  <c r="M75" i="518"/>
  <c r="I144" i="519"/>
  <c r="M81" i="518"/>
  <c r="I164" i="521"/>
  <c r="L420" i="519"/>
  <c r="D525" i="247"/>
  <c r="I313" i="521"/>
  <c r="J54" i="517"/>
  <c r="J385" i="520"/>
  <c r="J655" i="518"/>
  <c r="I255" i="521"/>
  <c r="I667" i="521"/>
  <c r="J467" i="523"/>
  <c r="M466" i="521"/>
  <c r="M228" i="520"/>
  <c r="I429" i="518"/>
  <c r="L401" i="523"/>
  <c r="J644" i="520"/>
  <c r="I517" i="520"/>
  <c r="M609" i="523"/>
  <c r="M277" i="519"/>
  <c r="K443" i="519"/>
  <c r="L271" i="520"/>
  <c r="M492" i="520"/>
  <c r="M281" i="523"/>
  <c r="M417" i="517"/>
  <c r="L526" i="517"/>
  <c r="D325" i="247"/>
  <c r="L680" i="521"/>
  <c r="K277" i="518"/>
  <c r="M151" i="519"/>
  <c r="M159" i="520"/>
  <c r="L97" i="517"/>
  <c r="J547" i="521"/>
  <c r="J58" i="523"/>
  <c r="K570" i="520"/>
  <c r="M404" i="520"/>
  <c r="M180" i="521"/>
  <c r="M206" i="517"/>
  <c r="M768" i="523"/>
  <c r="L173" i="521"/>
  <c r="D100" i="247"/>
  <c r="M262" i="519"/>
  <c r="L409" i="519"/>
  <c r="L349" i="521"/>
  <c r="K649" i="519"/>
  <c r="J236" i="519"/>
  <c r="C391" i="247"/>
  <c r="L634" i="521"/>
  <c r="I605" i="517"/>
  <c r="J96" i="520"/>
  <c r="I596" i="520"/>
  <c r="J596" i="519"/>
  <c r="J194" i="517"/>
  <c r="E9" i="523"/>
  <c r="I609" i="520"/>
  <c r="L468" i="521"/>
  <c r="J129" i="520"/>
  <c r="J254" i="517"/>
  <c r="M614" i="519"/>
  <c r="J527" i="521"/>
  <c r="I110" i="519"/>
  <c r="L193" i="517"/>
  <c r="C119" i="247"/>
  <c r="K332" i="523"/>
  <c r="J403" i="521"/>
  <c r="I640" i="520"/>
  <c r="I99" i="521"/>
  <c r="L548" i="520"/>
  <c r="I438" i="520"/>
  <c r="K596" i="521"/>
  <c r="K757" i="523"/>
  <c r="C35" i="523"/>
  <c r="J602" i="518"/>
  <c r="J184" i="519"/>
  <c r="M426" i="523"/>
  <c r="K685" i="518"/>
  <c r="K637" i="519"/>
  <c r="L517" i="518"/>
  <c r="I252" i="518"/>
  <c r="I128" i="523"/>
  <c r="I287" i="521"/>
  <c r="L186" i="517"/>
  <c r="L23" i="520"/>
  <c r="K288" i="517"/>
  <c r="M448" i="521"/>
  <c r="L331" i="521"/>
  <c r="I656" i="518"/>
  <c r="I649" i="523"/>
  <c r="I383" i="518"/>
  <c r="K581" i="517"/>
  <c r="K640" i="519"/>
  <c r="K590" i="518"/>
  <c r="K507" i="523"/>
  <c r="J337" i="520"/>
  <c r="J500" i="523"/>
  <c r="K546" i="518"/>
  <c r="L630" i="521"/>
  <c r="L514" i="523"/>
  <c r="I94" i="517"/>
  <c r="J93" i="523"/>
  <c r="I23" i="518"/>
  <c r="I393" i="523"/>
  <c r="K351" i="521"/>
  <c r="I349" i="521"/>
  <c r="M488" i="518"/>
  <c r="M46" i="523"/>
  <c r="J573" i="517"/>
  <c r="M336" i="519"/>
  <c r="K811" i="523"/>
  <c r="I314" i="520"/>
  <c r="L370" i="523"/>
  <c r="K742" i="523"/>
  <c r="L12" i="521"/>
  <c r="I756" i="523"/>
  <c r="I385" i="520"/>
  <c r="M617" i="520"/>
  <c r="I92" i="521"/>
  <c r="I59" i="517"/>
  <c r="J4" i="519"/>
  <c r="L419" i="519"/>
  <c r="L200" i="520"/>
  <c r="K541" i="518"/>
  <c r="K260" i="521"/>
  <c r="K136" i="519"/>
  <c r="P42" i="3"/>
  <c r="I259" i="518"/>
  <c r="L289" i="519"/>
  <c r="K37" i="521"/>
  <c r="M461" i="517"/>
  <c r="I609" i="521"/>
  <c r="J694" i="521"/>
  <c r="J621" i="521"/>
  <c r="I604" i="517"/>
  <c r="L139" i="521"/>
  <c r="C390" i="247"/>
  <c r="K500" i="517"/>
  <c r="M170" i="519"/>
  <c r="M367" i="519"/>
  <c r="M365" i="520"/>
  <c r="L259" i="521"/>
  <c r="L264" i="521"/>
  <c r="F20" i="519"/>
  <c r="K273" i="519"/>
  <c r="I137" i="520"/>
  <c r="I312" i="520"/>
  <c r="J174" i="518"/>
  <c r="L70" i="523"/>
  <c r="I392" i="519"/>
  <c r="I374" i="520"/>
  <c r="I353" i="523"/>
  <c r="M359" i="521"/>
  <c r="L553" i="519"/>
  <c r="A31" i="517"/>
  <c r="L233" i="523"/>
  <c r="K273" i="521"/>
  <c r="F2" i="521"/>
  <c r="J228" i="519"/>
  <c r="L663" i="521"/>
  <c r="J362" i="521"/>
  <c r="K511" i="517"/>
  <c r="J228" i="521"/>
  <c r="M432" i="523"/>
  <c r="I427" i="517"/>
  <c r="M307" i="523"/>
  <c r="M67" i="523"/>
  <c r="K624" i="520"/>
  <c r="M194" i="518"/>
  <c r="K183" i="521"/>
  <c r="J315" i="520"/>
  <c r="I544" i="521"/>
  <c r="J222" i="517"/>
  <c r="L640" i="520"/>
  <c r="J83" i="518"/>
  <c r="J367" i="517"/>
  <c r="I368" i="523"/>
  <c r="J390" i="520"/>
  <c r="J410" i="519"/>
  <c r="C113" i="247"/>
  <c r="K449" i="519"/>
  <c r="J392" i="519"/>
  <c r="L38" i="523"/>
  <c r="J597" i="518"/>
  <c r="K638" i="519"/>
  <c r="K215" i="519"/>
  <c r="A4" i="523"/>
  <c r="M7" i="517"/>
  <c r="M421" i="521"/>
  <c r="K348" i="523"/>
  <c r="M112" i="523"/>
  <c r="I476" i="523"/>
  <c r="L559" i="519"/>
  <c r="C132" i="247"/>
  <c r="J542" i="520"/>
  <c r="A37" i="519"/>
  <c r="I488" i="520"/>
  <c r="I515" i="518"/>
  <c r="J303" i="519"/>
  <c r="K569" i="519"/>
  <c r="K317" i="518"/>
  <c r="J185" i="521"/>
  <c r="M326" i="521"/>
  <c r="L377" i="518"/>
  <c r="M40" i="520"/>
  <c r="I94" i="523"/>
  <c r="K450" i="523"/>
  <c r="J278" i="523"/>
  <c r="L59" i="521"/>
  <c r="L689" i="523"/>
  <c r="M631" i="519"/>
  <c r="L383" i="520"/>
  <c r="C85" i="247"/>
  <c r="L177" i="517"/>
  <c r="J305" i="521"/>
  <c r="M207" i="521"/>
  <c r="K392" i="520"/>
  <c r="M96" i="519"/>
  <c r="L68" i="521"/>
  <c r="M493" i="521"/>
  <c r="K245" i="520"/>
  <c r="L417" i="519"/>
  <c r="I56" i="518"/>
  <c r="I657" i="519"/>
  <c r="I379" i="517"/>
  <c r="D482" i="247"/>
  <c r="K656" i="519"/>
  <c r="J174" i="520"/>
  <c r="M206" i="520"/>
  <c r="L715" i="523"/>
  <c r="M552" i="519"/>
  <c r="H2" i="523"/>
  <c r="L68" i="519"/>
  <c r="K319" i="517"/>
  <c r="J416" i="520"/>
  <c r="K514" i="520"/>
  <c r="J258" i="523"/>
  <c r="I326" i="521"/>
  <c r="M264" i="521"/>
  <c r="L460" i="518"/>
  <c r="J689" i="517"/>
  <c r="I191" i="517"/>
  <c r="D574" i="247"/>
  <c r="M540" i="520"/>
  <c r="J395" i="520"/>
  <c r="I425" i="519"/>
  <c r="A6" i="521"/>
  <c r="L597" i="523"/>
  <c r="K718" i="523"/>
  <c r="D434" i="247"/>
  <c r="K281" i="521"/>
  <c r="D220" i="247"/>
  <c r="D302" i="247"/>
  <c r="K488" i="520"/>
  <c r="M474" i="518"/>
  <c r="J227" i="523"/>
  <c r="C103" i="247"/>
  <c r="K241" i="517"/>
  <c r="K471" i="518"/>
  <c r="L68" i="520"/>
  <c r="I283" i="521"/>
  <c r="L647" i="520"/>
  <c r="I95" i="517"/>
  <c r="K90" i="519"/>
  <c r="I163" i="520"/>
  <c r="J425" i="519"/>
  <c r="J261" i="517"/>
  <c r="I336" i="521"/>
  <c r="L497" i="523"/>
  <c r="K504" i="517"/>
  <c r="L587" i="521"/>
  <c r="K183" i="518"/>
  <c r="I380" i="523"/>
  <c r="M673" i="517"/>
  <c r="D537" i="247"/>
  <c r="I85" i="523"/>
  <c r="L311" i="517"/>
  <c r="J28" i="519"/>
  <c r="L442" i="520"/>
  <c r="A8" i="520"/>
  <c r="J502" i="521"/>
  <c r="M576" i="520"/>
  <c r="J648" i="523"/>
  <c r="J123" i="523"/>
  <c r="M284" i="520"/>
  <c r="I608" i="517"/>
  <c r="I666" i="517"/>
  <c r="L467" i="518"/>
  <c r="I81" i="519"/>
  <c r="J600" i="519"/>
  <c r="D565" i="247"/>
  <c r="M668" i="521"/>
  <c r="K770" i="523"/>
  <c r="I94" i="521"/>
  <c r="M564" i="521"/>
  <c r="I632" i="521"/>
  <c r="K239" i="520"/>
  <c r="M448" i="519"/>
  <c r="K254" i="520"/>
  <c r="K76" i="517"/>
  <c r="I450" i="520"/>
  <c r="L376" i="521"/>
  <c r="I308" i="523"/>
  <c r="J525" i="523"/>
  <c r="K448" i="523"/>
  <c r="K680" i="523"/>
  <c r="J606" i="521"/>
  <c r="I172" i="521"/>
  <c r="L183" i="518"/>
  <c r="I478" i="519"/>
  <c r="M679" i="519"/>
  <c r="L649" i="520"/>
  <c r="I495" i="520"/>
  <c r="I422" i="518"/>
  <c r="K771" i="523"/>
  <c r="M411" i="518"/>
  <c r="L594" i="519"/>
  <c r="M354" i="523"/>
  <c r="K627" i="518"/>
  <c r="J91" i="517"/>
  <c r="I346" i="517"/>
  <c r="M656" i="521"/>
  <c r="M165" i="520"/>
  <c r="M544" i="521"/>
  <c r="M278" i="518"/>
  <c r="M389" i="518"/>
  <c r="M674" i="520"/>
  <c r="I539" i="521"/>
  <c r="I237" i="523"/>
  <c r="K87" i="519"/>
  <c r="J741" i="523"/>
  <c r="J641" i="517"/>
  <c r="M158" i="520"/>
  <c r="K695" i="520"/>
  <c r="I627" i="520"/>
  <c r="K534" i="521"/>
  <c r="C494" i="247"/>
  <c r="D53" i="247"/>
  <c r="I475" i="517"/>
  <c r="I231" i="523"/>
  <c r="M218" i="519"/>
  <c r="I57" i="521"/>
  <c r="J681" i="518"/>
  <c r="L496" i="517"/>
  <c r="C435" i="247"/>
  <c r="L304" i="521"/>
  <c r="L573" i="521"/>
  <c r="I649" i="520"/>
  <c r="I116" i="517"/>
  <c r="K121" i="517"/>
  <c r="L573" i="519"/>
  <c r="K451" i="518"/>
  <c r="K589" i="517"/>
  <c r="M500" i="517"/>
  <c r="I176" i="521"/>
  <c r="M117" i="521"/>
  <c r="I385" i="523"/>
  <c r="L109" i="523"/>
  <c r="I83" i="518"/>
  <c r="I121" i="518"/>
  <c r="K140" i="519"/>
  <c r="J364" i="518"/>
  <c r="M280" i="517"/>
  <c r="M498" i="518"/>
  <c r="K141" i="523"/>
  <c r="L95" i="520"/>
  <c r="I693" i="520"/>
  <c r="L706" i="523"/>
  <c r="M525" i="523"/>
  <c r="C36" i="523"/>
  <c r="M214" i="518"/>
  <c r="L593" i="520"/>
  <c r="L498" i="519"/>
  <c r="K551" i="517"/>
  <c r="J177" i="521"/>
  <c r="J46" i="520"/>
  <c r="I509" i="518"/>
  <c r="J102" i="517"/>
  <c r="M456" i="523"/>
  <c r="J95" i="519"/>
  <c r="L270" i="521"/>
  <c r="M139" i="517"/>
  <c r="C336" i="247"/>
  <c r="K111" i="520"/>
  <c r="I372" i="521"/>
  <c r="C318" i="247"/>
  <c r="K257" i="519"/>
  <c r="K34" i="517"/>
  <c r="I82" i="519"/>
  <c r="K487" i="518"/>
  <c r="M528" i="520"/>
  <c r="K109" i="523"/>
  <c r="L526" i="519"/>
  <c r="C263" i="247"/>
  <c r="J670" i="521"/>
  <c r="L56" i="521"/>
  <c r="I66" i="520"/>
  <c r="M113" i="521"/>
  <c r="I90" i="518"/>
  <c r="M45" i="517"/>
  <c r="K523" i="521"/>
  <c r="I622" i="519"/>
  <c r="J80" i="517"/>
  <c r="L122" i="519"/>
  <c r="J686" i="518"/>
  <c r="D35" i="247"/>
  <c r="K595" i="517"/>
  <c r="K681" i="520"/>
  <c r="L641" i="523"/>
  <c r="I355" i="523"/>
  <c r="L446" i="519"/>
  <c r="I605" i="523"/>
  <c r="C499" i="247"/>
  <c r="K694" i="521"/>
  <c r="J118" i="521"/>
  <c r="C41" i="247"/>
  <c r="C40" i="517"/>
  <c r="K154" i="521"/>
  <c r="J420" i="517"/>
  <c r="L446" i="517"/>
  <c r="M317" i="517"/>
  <c r="A20" i="518"/>
  <c r="L85" i="517"/>
  <c r="L398" i="517"/>
  <c r="L472" i="519"/>
  <c r="I256" i="517"/>
  <c r="M290" i="517"/>
  <c r="M425" i="520"/>
  <c r="M671" i="523"/>
  <c r="L461" i="517"/>
  <c r="K469" i="518"/>
  <c r="M631" i="521"/>
  <c r="M165" i="518"/>
  <c r="J216" i="519"/>
  <c r="K677" i="521"/>
  <c r="J625" i="521"/>
  <c r="K190" i="521"/>
  <c r="I493" i="517"/>
  <c r="I224" i="518"/>
  <c r="I376" i="518"/>
  <c r="K444" i="520"/>
  <c r="I662" i="517"/>
  <c r="J787" i="523"/>
  <c r="J32" i="523"/>
  <c r="J715" i="523"/>
  <c r="J12" i="518"/>
  <c r="I681" i="520"/>
  <c r="M171" i="517"/>
  <c r="D535" i="247"/>
  <c r="J683" i="518"/>
  <c r="M8" i="523"/>
  <c r="L137" i="519"/>
  <c r="I333" i="517"/>
  <c r="M30" i="523"/>
  <c r="K408" i="518"/>
  <c r="K14" i="520"/>
  <c r="J127" i="517"/>
  <c r="I400" i="519"/>
  <c r="I825" i="523"/>
  <c r="L578" i="523"/>
  <c r="J413" i="517"/>
  <c r="K320" i="521"/>
  <c r="F3" i="520"/>
  <c r="J242" i="521"/>
  <c r="I359" i="523"/>
  <c r="I140" i="521"/>
  <c r="J665" i="523"/>
  <c r="K193" i="519"/>
  <c r="E25" i="518"/>
  <c r="K213" i="520"/>
  <c r="J602" i="521"/>
  <c r="L477" i="517"/>
  <c r="J598" i="520"/>
  <c r="I112" i="517"/>
  <c r="C384" i="247"/>
  <c r="L70" i="518"/>
  <c r="M220" i="521"/>
  <c r="I127" i="521"/>
  <c r="M632" i="523"/>
  <c r="K541" i="520"/>
  <c r="J28" i="521"/>
  <c r="L577" i="523"/>
  <c r="K117" i="519"/>
  <c r="L530" i="517"/>
  <c r="J195" i="523"/>
  <c r="L337" i="523"/>
  <c r="K198" i="520"/>
  <c r="L704" i="523"/>
  <c r="J280" i="523"/>
  <c r="J30" i="518"/>
  <c r="J265" i="519"/>
  <c r="I56" i="520"/>
  <c r="I342" i="523"/>
  <c r="M319" i="517"/>
  <c r="I264" i="521"/>
  <c r="M276" i="518"/>
  <c r="L42" i="519"/>
  <c r="J653" i="517"/>
  <c r="I29" i="520"/>
  <c r="K148" i="518"/>
  <c r="I197" i="519"/>
  <c r="K297" i="519"/>
  <c r="K559" i="523"/>
  <c r="M431" i="517"/>
  <c r="J653" i="519"/>
  <c r="K137" i="518"/>
  <c r="I587" i="523"/>
  <c r="I447" i="523"/>
  <c r="M537" i="523"/>
  <c r="K469" i="519"/>
  <c r="K306" i="521"/>
  <c r="J295" i="520"/>
  <c r="I369" i="518"/>
  <c r="M355" i="521"/>
  <c r="J521" i="523"/>
  <c r="I677" i="518"/>
  <c r="L131" i="518"/>
  <c r="J116" i="521"/>
  <c r="L149" i="518"/>
  <c r="I273" i="520"/>
  <c r="L202" i="520"/>
  <c r="J8" i="523"/>
  <c r="K82" i="520"/>
  <c r="M588" i="519"/>
  <c r="I23" i="520"/>
  <c r="J521" i="519"/>
  <c r="I14" i="520"/>
  <c r="I227" i="518"/>
  <c r="K141" i="519"/>
  <c r="K64" i="521"/>
  <c r="I109" i="523"/>
  <c r="J286" i="523"/>
  <c r="I482" i="523"/>
  <c r="L34" i="523"/>
  <c r="L592" i="523"/>
  <c r="K171" i="523"/>
  <c r="K670" i="521"/>
  <c r="M296" i="521"/>
  <c r="L728" i="523"/>
  <c r="I559" i="520"/>
  <c r="I205" i="518"/>
  <c r="J704" i="523"/>
  <c r="I240" i="523"/>
  <c r="J546" i="520"/>
  <c r="L659" i="523"/>
  <c r="I378" i="523"/>
  <c r="L187" i="520"/>
  <c r="I669" i="518"/>
  <c r="G25" i="518"/>
  <c r="M416" i="519"/>
  <c r="K364" i="520"/>
  <c r="L60" i="521"/>
  <c r="F3" i="523"/>
  <c r="K538" i="519"/>
  <c r="A30" i="517"/>
  <c r="L398" i="523"/>
  <c r="K170" i="517"/>
  <c r="I515" i="520"/>
  <c r="J216" i="520"/>
  <c r="L514" i="517"/>
  <c r="C266" i="247"/>
  <c r="E2" i="521"/>
  <c r="Q45" i="3"/>
  <c r="I427" i="518"/>
  <c r="K328" i="519"/>
  <c r="J172" i="519"/>
  <c r="J666" i="518"/>
  <c r="L406" i="519"/>
  <c r="K243" i="523"/>
  <c r="L571" i="523"/>
  <c r="L42" i="518"/>
  <c r="M117" i="520"/>
  <c r="K48" i="519"/>
  <c r="A17" i="518"/>
  <c r="M612" i="517"/>
  <c r="I526" i="523"/>
  <c r="J378" i="520"/>
  <c r="C489" i="247"/>
  <c r="K448" i="518"/>
  <c r="I683" i="517"/>
  <c r="J684" i="521"/>
  <c r="K286" i="523"/>
  <c r="J518" i="520"/>
  <c r="I146" i="518"/>
  <c r="L267" i="518"/>
  <c r="M505" i="519"/>
  <c r="J328" i="520"/>
  <c r="L604" i="517"/>
  <c r="M462" i="519"/>
  <c r="M137" i="520"/>
  <c r="K683" i="523"/>
  <c r="M175" i="521"/>
  <c r="K260" i="517"/>
  <c r="J391" i="519"/>
  <c r="J626" i="518"/>
  <c r="C31" i="518" s="1"/>
  <c r="J695" i="520"/>
  <c r="L65" i="523"/>
  <c r="M71" i="518"/>
  <c r="J183" i="521"/>
  <c r="L619" i="520"/>
  <c r="L84" i="518"/>
  <c r="J401" i="519"/>
  <c r="D269" i="247"/>
  <c r="L644" i="518"/>
  <c r="M738" i="523"/>
  <c r="K2" i="518"/>
  <c r="M615" i="521"/>
  <c r="J670" i="519"/>
  <c r="K427" i="518"/>
  <c r="I421" i="517"/>
  <c r="L9" i="519"/>
  <c r="J602" i="520"/>
  <c r="L56" i="518"/>
  <c r="J604" i="517"/>
  <c r="J171" i="523"/>
  <c r="Q44" i="3"/>
  <c r="M602" i="519"/>
  <c r="K26" i="518"/>
  <c r="L607" i="520"/>
  <c r="K168" i="518"/>
  <c r="I530" i="521"/>
  <c r="K376" i="519"/>
  <c r="M597" i="521"/>
  <c r="C341" i="247"/>
  <c r="K382" i="518"/>
  <c r="K139" i="518"/>
  <c r="D281" i="247"/>
  <c r="I168" i="517"/>
  <c r="M62" i="521"/>
  <c r="L382" i="520"/>
  <c r="M187" i="523"/>
  <c r="J79" i="523"/>
  <c r="M659" i="523"/>
  <c r="K544" i="517"/>
  <c r="J372" i="520"/>
  <c r="L156" i="520"/>
  <c r="K99" i="520"/>
  <c r="M489" i="523"/>
  <c r="L246" i="518"/>
  <c r="M124" i="518"/>
  <c r="M705" i="523"/>
  <c r="K663" i="523"/>
  <c r="B55" i="517"/>
  <c r="I695" i="523"/>
  <c r="L503" i="517"/>
  <c r="K583" i="523"/>
  <c r="I550" i="521"/>
  <c r="I620" i="517"/>
  <c r="J680" i="517"/>
  <c r="M271" i="518"/>
  <c r="G8" i="523"/>
  <c r="L226" i="517"/>
  <c r="P13" i="3"/>
  <c r="L265" i="521"/>
  <c r="E57" i="521" s="1"/>
  <c r="I605" i="521"/>
  <c r="K629" i="521"/>
  <c r="K441" i="520"/>
  <c r="B53" i="520" s="1"/>
  <c r="M115" i="520"/>
  <c r="J243" i="517"/>
  <c r="J456" i="517"/>
  <c r="J673" i="521"/>
  <c r="I399" i="518"/>
  <c r="J368" i="519"/>
  <c r="G6" i="523"/>
  <c r="D210" i="247"/>
  <c r="M438" i="518"/>
  <c r="L120" i="520"/>
  <c r="J443" i="519"/>
  <c r="I132" i="518"/>
  <c r="M448" i="518"/>
  <c r="F9" i="521"/>
  <c r="L653" i="523"/>
  <c r="I584" i="519"/>
  <c r="L185" i="517"/>
  <c r="L170" i="519"/>
  <c r="L116" i="517"/>
  <c r="K521" i="523"/>
  <c r="M131" i="517"/>
  <c r="J600" i="523"/>
  <c r="J281" i="523"/>
  <c r="I115" i="523"/>
  <c r="C30" i="523" s="1"/>
  <c r="I648" i="520"/>
  <c r="L278" i="519"/>
  <c r="M184" i="517"/>
  <c r="L288" i="519"/>
  <c r="K424" i="519"/>
  <c r="B58" i="519" s="1"/>
  <c r="D343" i="247"/>
  <c r="I7" i="520"/>
  <c r="M441" i="518"/>
  <c r="K552" i="523"/>
  <c r="B57" i="523" s="1"/>
  <c r="M258" i="517"/>
  <c r="J577" i="523"/>
  <c r="I561" i="520"/>
  <c r="K197" i="521"/>
  <c r="E56" i="519"/>
  <c r="B54" i="517"/>
  <c r="B58" i="517"/>
  <c r="B57" i="517"/>
  <c r="B56" i="519"/>
  <c r="B61" i="519"/>
  <c r="E58" i="523"/>
  <c r="E55" i="523"/>
  <c r="E54" i="523"/>
  <c r="B58" i="521"/>
  <c r="B53" i="521"/>
  <c r="B57" i="521"/>
  <c r="B54" i="521"/>
  <c r="E53" i="520"/>
  <c r="E57" i="520"/>
  <c r="E58" i="520"/>
  <c r="E54" i="520"/>
  <c r="E55" i="518"/>
  <c r="E54" i="518"/>
  <c r="E53" i="518"/>
  <c r="E57" i="518"/>
  <c r="B58" i="523"/>
  <c r="B56" i="523"/>
  <c r="B56" i="517"/>
  <c r="B53" i="517"/>
  <c r="B61" i="517"/>
  <c r="E53" i="519"/>
  <c r="E61" i="519"/>
  <c r="E58" i="519"/>
  <c r="E57" i="519"/>
  <c r="B53" i="523"/>
  <c r="B61" i="523"/>
  <c r="B54" i="523"/>
  <c r="E56" i="518"/>
  <c r="E61" i="518"/>
  <c r="B55" i="519"/>
  <c r="B54" i="519"/>
  <c r="B57" i="519"/>
  <c r="B53" i="519"/>
  <c r="E53" i="517"/>
  <c r="E54" i="517"/>
  <c r="E57" i="517"/>
  <c r="E61" i="520"/>
  <c r="E56" i="520"/>
  <c r="E58" i="521"/>
  <c r="E61" i="521"/>
  <c r="E56" i="521"/>
  <c r="E53" i="521"/>
  <c r="E54" i="521"/>
  <c r="E55" i="521"/>
  <c r="B56" i="521"/>
  <c r="B61" i="521"/>
  <c r="B55" i="521"/>
  <c r="E58" i="517"/>
  <c r="E55" i="517"/>
  <c r="B54" i="520"/>
  <c r="B61" i="520"/>
  <c r="B56" i="520"/>
  <c r="B57" i="520"/>
  <c r="B55" i="520"/>
  <c r="E57" i="523"/>
  <c r="E56" i="523"/>
  <c r="E61" i="523"/>
  <c r="E53" i="523"/>
  <c r="B54" i="518"/>
  <c r="B61" i="518"/>
  <c r="B58" i="518"/>
  <c r="B55" i="518"/>
  <c r="B56" i="518"/>
  <c r="B53" i="518"/>
  <c r="E55" i="519"/>
  <c r="E54" i="519"/>
  <c r="B59" i="521" l="1"/>
  <c r="E59" i="519"/>
  <c r="E59" i="521"/>
  <c r="E59" i="523"/>
  <c r="B59" i="517"/>
  <c r="B59" i="519"/>
  <c r="G16" i="518"/>
  <c r="C16" i="517"/>
  <c r="F16" i="518"/>
  <c r="H16" i="520"/>
  <c r="G16" i="523"/>
  <c r="H16" i="521"/>
  <c r="F16" i="521"/>
  <c r="E16" i="517"/>
  <c r="C49" i="518"/>
  <c r="E16" i="521"/>
  <c r="A42" i="523"/>
  <c r="E16" i="520"/>
  <c r="C41" i="523"/>
  <c r="A39" i="519"/>
  <c r="A42" i="517"/>
  <c r="A39" i="517"/>
  <c r="C41" i="517"/>
  <c r="C16" i="518"/>
  <c r="G16" i="520"/>
  <c r="C41" i="519"/>
  <c r="A39" i="521"/>
  <c r="C41" i="520"/>
  <c r="F16" i="520"/>
  <c r="F16" i="517"/>
  <c r="E16" i="523"/>
  <c r="C41" i="521"/>
  <c r="H16" i="523"/>
  <c r="A39" i="523"/>
  <c r="A42" i="520"/>
  <c r="F16" i="519"/>
  <c r="G16" i="517"/>
  <c r="C49" i="519"/>
  <c r="C41" i="518"/>
  <c r="C16" i="519"/>
  <c r="H16" i="517"/>
  <c r="C16" i="521"/>
  <c r="C49" i="520"/>
  <c r="C16" i="523"/>
  <c r="E16" i="519"/>
  <c r="G16" i="521"/>
  <c r="A42" i="518"/>
  <c r="E16" i="518"/>
  <c r="A39" i="518"/>
  <c r="H16" i="519"/>
  <c r="G16" i="519"/>
  <c r="C49" i="523"/>
  <c r="A42" i="519"/>
  <c r="C49" i="517"/>
  <c r="F16" i="523"/>
  <c r="A39" i="520"/>
  <c r="H16" i="518"/>
  <c r="C49" i="521"/>
  <c r="A42" i="521"/>
  <c r="C16" i="520"/>
  <c r="E61" i="517"/>
  <c r="B7" i="3"/>
  <c r="C30" i="521"/>
  <c r="C30" i="517"/>
  <c r="B2" i="3"/>
  <c r="B16" i="3"/>
  <c r="B26" i="3"/>
  <c r="B47" i="3"/>
  <c r="B25" i="3"/>
  <c r="C31" i="519"/>
  <c r="B12" i="3"/>
  <c r="B29" i="247"/>
  <c r="B32" i="247"/>
  <c r="A32" i="247" s="1"/>
  <c r="B5" i="3"/>
  <c r="C30" i="247"/>
  <c r="B30" i="247"/>
  <c r="B14" i="3"/>
  <c r="B22" i="3"/>
  <c r="C30" i="519"/>
  <c r="B44" i="3"/>
  <c r="B40" i="3"/>
  <c r="B35" i="3"/>
  <c r="B28" i="247"/>
  <c r="B24" i="3"/>
  <c r="B10" i="3"/>
  <c r="C31" i="247"/>
  <c r="B18" i="3"/>
  <c r="B58" i="520"/>
  <c r="B15" i="3"/>
  <c r="C29" i="247"/>
  <c r="B11" i="3"/>
  <c r="B31" i="247"/>
  <c r="B29" i="3"/>
  <c r="B57" i="518"/>
  <c r="B21" i="3"/>
  <c r="B32" i="3"/>
  <c r="B39" i="3"/>
  <c r="B38" i="3"/>
  <c r="B43" i="3"/>
  <c r="C31" i="521"/>
  <c r="B27" i="3"/>
  <c r="C31" i="517"/>
  <c r="B3" i="3"/>
  <c r="B6" i="3"/>
  <c r="B30" i="3"/>
  <c r="C28" i="247"/>
  <c r="B1" i="3"/>
  <c r="C30" i="520"/>
  <c r="B55" i="523"/>
  <c r="B46" i="3"/>
  <c r="E55" i="520"/>
  <c r="C31" i="520"/>
  <c r="E56" i="517"/>
  <c r="B19" i="3"/>
  <c r="B13" i="3"/>
  <c r="B20" i="3"/>
  <c r="B9" i="3"/>
  <c r="C30" i="518"/>
  <c r="C31" i="523"/>
  <c r="B8" i="3"/>
  <c r="B17" i="3"/>
  <c r="B42" i="3"/>
  <c r="E58" i="518"/>
  <c r="B37" i="3"/>
  <c r="B33" i="3"/>
  <c r="B45" i="3"/>
  <c r="B48" i="3"/>
  <c r="B31" i="3"/>
  <c r="B23" i="3"/>
  <c r="B28" i="3"/>
  <c r="B34" i="3"/>
  <c r="B41" i="3"/>
  <c r="B4" i="3"/>
  <c r="B36" i="3"/>
  <c r="E59" i="520" l="1"/>
  <c r="B59" i="523"/>
  <c r="B59" i="518"/>
  <c r="C50" i="521"/>
  <c r="C18" i="521" s="1"/>
  <c r="C17" i="520"/>
  <c r="C17" i="523"/>
  <c r="C50" i="523"/>
  <c r="C18" i="523" s="1"/>
  <c r="C17" i="518"/>
  <c r="C17" i="517"/>
  <c r="C17" i="521"/>
  <c r="C50" i="518"/>
  <c r="C18" i="518" s="1"/>
  <c r="C50" i="517"/>
  <c r="C18" i="517" s="1"/>
  <c r="E59" i="518"/>
  <c r="B59" i="520"/>
  <c r="B52" i="3"/>
  <c r="E59" i="517"/>
  <c r="C50" i="520"/>
  <c r="C18" i="520" s="1"/>
  <c r="C17" i="519"/>
  <c r="C50" i="519"/>
  <c r="C18" i="519" s="1"/>
  <c r="A30" i="247"/>
  <c r="A29" i="247"/>
  <c r="A31" i="247"/>
  <c r="A28" i="247"/>
</calcChain>
</file>

<file path=xl/connections.xml><?xml version="1.0" encoding="utf-8"?>
<connections xmlns="http://schemas.openxmlformats.org/spreadsheetml/2006/main">
  <connection id="1" interval="25" name="openProtNewDev" type="4" refreshedVersion="5" background="1" saveData="1">
    <webPr sourceData="1" parsePre="1" consecutive="1" xl2000="1" url="https://bugzilla.houston.hpecorp.net:1181/bugzilla/buglist.cgi?cmdtype=runnamed&amp;namedcmd=OpenProtNewDev&amp;list_id=948581"/>
  </connection>
</connections>
</file>

<file path=xl/sharedStrings.xml><?xml version="1.0" encoding="utf-8"?>
<sst xmlns="http://schemas.openxmlformats.org/spreadsheetml/2006/main" count="79333" uniqueCount="2112">
  <si>
    <t>Count</t>
  </si>
  <si>
    <t>Version Found</t>
  </si>
  <si>
    <t>Target</t>
  </si>
  <si>
    <t>Critical</t>
  </si>
  <si>
    <t>Major</t>
  </si>
  <si>
    <t>Bug ID</t>
  </si>
  <si>
    <t>Assignee</t>
  </si>
  <si>
    <t>Summary</t>
  </si>
  <si>
    <t>Severity</t>
  </si>
  <si>
    <t>Target Milestone</t>
  </si>
  <si>
    <t>Reporter</t>
  </si>
  <si>
    <t>Whiteboard</t>
  </si>
  <si>
    <t>Changed</t>
  </si>
  <si>
    <t>Status</t>
  </si>
  <si>
    <t>Version</t>
  </si>
  <si>
    <t>aga.shahi@hp.com</t>
  </si>
  <si>
    <t>normal</t>
  </si>
  <si>
    <t>Astra</t>
  </si>
  <si>
    <t>NEW</t>
  </si>
  <si>
    <t>brandon.sco.schaffer@hp.com</t>
  </si>
  <si>
    <t>Astra-IR8</t>
  </si>
  <si>
    <t>brian.zimpfer@hp.com</t>
  </si>
  <si>
    <t>thomas.jam.hromatka@hp.com</t>
  </si>
  <si>
    <t>TOTAL</t>
  </si>
  <si>
    <t>john.fiorillo@hp.com</t>
  </si>
  <si>
    <t>major</t>
  </si>
  <si>
    <t>TOTAL non-PML dev</t>
  </si>
  <si>
    <t>Astra-IR9</t>
  </si>
  <si>
    <t>ulf.weltman@hp.com</t>
  </si>
  <si>
    <t>TOTAL external found FTC owned HP-SMB bugs</t>
  </si>
  <si>
    <t>Wipro</t>
  </si>
  <si>
    <t>ggupta@hp.com</t>
  </si>
  <si>
    <t>Astra-IR7</t>
  </si>
  <si>
    <t>akshay.ballal@hp.com</t>
  </si>
  <si>
    <t>Horizontal feature bugs</t>
  </si>
  <si>
    <t>ASSIGNED</t>
  </si>
  <si>
    <t>douglas.lee.potts@hp.com</t>
  </si>
  <si>
    <t>anand.phatak@hp.com</t>
  </si>
  <si>
    <t>blocker</t>
  </si>
  <si>
    <t>critical</t>
  </si>
  <si>
    <t>REOPENED</t>
  </si>
  <si>
    <t>samir.raval@hp.com</t>
  </si>
  <si>
    <t>jose.a.sousa@hp.com</t>
  </si>
  <si>
    <t>matt.dumm@hp.com</t>
  </si>
  <si>
    <t>michael.roberts@hp.com</t>
  </si>
  <si>
    <t>moorthy.mm@hp.com</t>
  </si>
  <si>
    <t>bryan.mcdade@hp.com</t>
  </si>
  <si>
    <t>tim.beaudin@hp.com</t>
  </si>
  <si>
    <t>Analysis in progress</t>
  </si>
  <si>
    <t>sue-pei.wang@hp.com</t>
  </si>
  <si>
    <t>nandesh.palanisamy@hp.com</t>
  </si>
  <si>
    <t>rob.lucke@hp.com</t>
  </si>
  <si>
    <t>suruchi.gondkar@hp.com</t>
  </si>
  <si>
    <t>santanug@hp.com</t>
  </si>
  <si>
    <t>Pending for review</t>
  </si>
  <si>
    <t>sayan.ghosh@hp.com</t>
  </si>
  <si>
    <t>shounak.banerjee@hp.com</t>
  </si>
  <si>
    <t>6.3 (FlyingSaucer)</t>
  </si>
  <si>
    <t>6.1 (Ensenada)</t>
  </si>
  <si>
    <t>arnab.das@hp.com</t>
  </si>
  <si>
    <t>6.2 (Fiji)</t>
  </si>
  <si>
    <t>ashustosh.kumar@hp.com</t>
  </si>
  <si>
    <t>niharika.yedelli@hp.com</t>
  </si>
  <si>
    <t>Halo</t>
  </si>
  <si>
    <t>unspecified</t>
  </si>
  <si>
    <t>bret.mckee@hp.com</t>
  </si>
  <si>
    <t>steve.e.douglas@hp.com</t>
  </si>
  <si>
    <t>prince.sharma@hp.com</t>
  </si>
  <si>
    <t>sasha.epstein@hp.com</t>
  </si>
  <si>
    <t>Filter-&gt;Advanced-&gt;copy to location-&gt;'bugs-2014-02-28'!m2:m210</t>
  </si>
  <si>
    <t>Row a == assignee</t>
  </si>
  <si>
    <t>Row c == version found</t>
  </si>
  <si>
    <t>Row d == target version</t>
  </si>
  <si>
    <t>\=Assignees!D1:D5</t>
  </si>
  <si>
    <t>target</t>
  </si>
  <si>
    <t>\=Assignees!c1:c11</t>
  </si>
  <si>
    <t>found</t>
  </si>
  <si>
    <t>\=Assignees!a1:a17</t>
  </si>
  <si>
    <t>assignee</t>
  </si>
  <si>
    <t>Astra-IR11</t>
  </si>
  <si>
    <t>&lt; 30 days</t>
  </si>
  <si>
    <t>&gt;= 30 , &lt;60 days</t>
  </si>
  <si>
    <t>&gt;= 60 , &lt;90 days</t>
  </si>
  <si>
    <t>&gt;= 90 , &lt;120 days</t>
  </si>
  <si>
    <t>&gt;= 120 , &lt;150 days</t>
  </si>
  <si>
    <t>&gt;=150 days</t>
  </si>
  <si>
    <t>last activity</t>
  </si>
  <si>
    <t>age since submitted</t>
  </si>
  <si>
    <t>lance.swift@hp.com</t>
  </si>
  <si>
    <t>Astra-IR10</t>
  </si>
  <si>
    <t>Opened</t>
  </si>
  <si>
    <t>Mean days</t>
  </si>
  <si>
    <t>Age count</t>
  </si>
  <si>
    <t>Last changed count</t>
  </si>
  <si>
    <t>tomer.meshorer@hp.com</t>
  </si>
  <si>
    <t>j</t>
  </si>
  <si>
    <t>i</t>
  </si>
  <si>
    <t>u</t>
  </si>
  <si>
    <t xml:space="preserve">Master </t>
  </si>
  <si>
    <t>a1</t>
  </si>
  <si>
    <t>p</t>
  </si>
  <si>
    <t>n</t>
  </si>
  <si>
    <t>o</t>
  </si>
  <si>
    <t>version found</t>
  </si>
  <si>
    <t>whiteboard</t>
  </si>
  <si>
    <t>target milestone</t>
  </si>
  <si>
    <t>summary</t>
  </si>
  <si>
    <t>severity</t>
  </si>
  <si>
    <t>last active days</t>
  </si>
  <si>
    <t>age in days</t>
  </si>
  <si>
    <t>last row</t>
  </si>
  <si>
    <t>first row</t>
  </si>
  <si>
    <t>w</t>
  </si>
  <si>
    <t>x</t>
  </si>
  <si>
    <t>found by</t>
  </si>
  <si>
    <t>also seen</t>
  </si>
  <si>
    <t>First found by</t>
  </si>
  <si>
    <t>Also seen by</t>
  </si>
  <si>
    <t>Code Review</t>
  </si>
  <si>
    <t>Integration Test</t>
  </si>
  <si>
    <t>UDU/MSDU</t>
  </si>
  <si>
    <t>---</t>
  </si>
  <si>
    <t>Other</t>
  </si>
  <si>
    <t>Automated Testing</t>
  </si>
  <si>
    <t>Feature Test</t>
  </si>
  <si>
    <t>Customer</t>
  </si>
  <si>
    <t>integration</t>
  </si>
  <si>
    <t>Automated</t>
  </si>
  <si>
    <t>QA Found</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</si>
  <si>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</si>
  <si>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</si>
  <si>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</si>
  <si>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</si>
  <si>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</si>
  <si>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</si>
  <si>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</si>
  <si>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</si>
  <si>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</si>
  <si>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</si>
  <si>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</si>
  <si>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</si>
  <si>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</si>
  <si>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</si>
  <si>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</si>
  <si>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</si>
  <si>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</si>
  <si>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</si>
  <si>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</si>
  <si>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</si>
  <si>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</si>
  <si>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</si>
  <si>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</si>
  <si>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</si>
  <si>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</si>
  <si>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shounak</t>
  </si>
  <si>
    <t>balachandrudu.vavilapalli@hp.com</t>
  </si>
  <si>
    <t>ankur.verma@hp.com</t>
  </si>
  <si>
    <t>rob.lucke</t>
  </si>
  <si>
    <t>NFS</t>
  </si>
  <si>
    <t>[PML]</t>
  </si>
  <si>
    <t xml:space="preserve"> search term</t>
  </si>
  <si>
    <t>NFS core search</t>
  </si>
  <si>
    <t>NFS in the summary</t>
  </si>
  <si>
    <t>in the summary</t>
  </si>
  <si>
    <t>avik.mondal@hp.com</t>
  </si>
  <si>
    <t>Blocker</t>
  </si>
  <si>
    <t>HP-SMB</t>
  </si>
  <si>
    <t>Link to bug number:</t>
  </si>
  <si>
    <t>prashanth.iyengar@hp.com</t>
  </si>
  <si>
    <t>requirement</t>
  </si>
  <si>
    <t>horizontal search term</t>
  </si>
  <si>
    <t>Astra-IR12</t>
  </si>
  <si>
    <t>Astra-IR13</t>
  </si>
  <si>
    <t>6.5 (Ghost)</t>
  </si>
  <si>
    <t>shrikant.surve@hp.com</t>
  </si>
  <si>
    <t>Assignees</t>
  </si>
  <si>
    <t>bugs-2014-04-01</t>
  </si>
  <si>
    <t>sudarshan.patil@hp.com</t>
  </si>
  <si>
    <t>a27</t>
  </si>
  <si>
    <t>a28</t>
  </si>
  <si>
    <t>sebastian.zangaro@hp.com</t>
  </si>
  <si>
    <t>Functional Regression</t>
  </si>
  <si>
    <t>ray.lee@hp.com</t>
  </si>
  <si>
    <t>madhu.gupta.dewan@hp.com</t>
  </si>
  <si>
    <t>IncorrectBehavior</t>
  </si>
  <si>
    <t>Keywords</t>
  </si>
  <si>
    <t>6.5.x (Ghost patch)</t>
  </si>
  <si>
    <t>abhisek.banerjee@hp.com</t>
  </si>
  <si>
    <t>tom.nelson@hp.com</t>
  </si>
  <si>
    <t>tarun.sant@hp.com</t>
  </si>
  <si>
    <t>Integration Testing</t>
  </si>
  <si>
    <t>colm.mckenna@hp.com</t>
  </si>
  <si>
    <t>bijita.jena@hp.com</t>
  </si>
  <si>
    <t>garry.brady@hp.com</t>
  </si>
  <si>
    <t>amit.debnath@hp.com</t>
  </si>
  <si>
    <t>a29</t>
  </si>
  <si>
    <t>a30</t>
  </si>
  <si>
    <t>a31</t>
  </si>
  <si>
    <t>a32</t>
  </si>
  <si>
    <t>High</t>
  </si>
  <si>
    <t>Medium</t>
  </si>
  <si>
    <t>Low</t>
  </si>
  <si>
    <t>Bedrock Probability</t>
  </si>
  <si>
    <t>sujasha.de@hp.com</t>
  </si>
  <si>
    <t>roushan.kumar.sinha@hp.com</t>
  </si>
  <si>
    <t>Astra-Post IR13 06-27-RTI</t>
  </si>
  <si>
    <t>Astra-Post IR13 06-20</t>
  </si>
  <si>
    <t>Astra-Post IR13 07-11-RTI</t>
  </si>
  <si>
    <t>[Master] FSCT Fails when ISIS is mounted on a multilevel subdirectory</t>
  </si>
  <si>
    <t>Astra-Post IR13 07-25-RTI</t>
  </si>
  <si>
    <t>gobinath.p@hp.com</t>
  </si>
  <si>
    <t>Astra-Post IR13 08-08-RTI</t>
  </si>
  <si>
    <t>justin.venegas@hp.com</t>
  </si>
  <si>
    <t>rekha.s-p@hp.com</t>
  </si>
  <si>
    <t>sandeep.mandal@hp.com</t>
  </si>
  <si>
    <t>Astra-Post IR13 07-18</t>
  </si>
  <si>
    <t>Defect (same as --)</t>
  </si>
  <si>
    <t>Usability Bug</t>
  </si>
  <si>
    <t>Record type</t>
  </si>
  <si>
    <t>Server-SMB</t>
  </si>
  <si>
    <t>Protocols-SMB</t>
  </si>
  <si>
    <t>Authentication-AAUM</t>
  </si>
  <si>
    <t>Protocols-AAUM</t>
  </si>
  <si>
    <t>Other-SMB</t>
  </si>
  <si>
    <t>Documentation-SMB</t>
  </si>
  <si>
    <t>Manageability-AAUM</t>
  </si>
  <si>
    <t>Manageability-NFS</t>
  </si>
  <si>
    <t>Protocols-NFS</t>
  </si>
  <si>
    <t>Documentation-AAUM</t>
  </si>
  <si>
    <t>Manageability-SMB</t>
  </si>
  <si>
    <t>Documentation-NFS</t>
  </si>
  <si>
    <t>Server-NFS</t>
  </si>
  <si>
    <t>User Mapping-AAUM</t>
  </si>
  <si>
    <t>Server-AAUM</t>
  </si>
  <si>
    <t>Component</t>
  </si>
  <si>
    <t>Product</t>
  </si>
  <si>
    <t>matthew.dav.bondurant@hp.com</t>
  </si>
  <si>
    <t>*Unknown (Triage)-NFS</t>
  </si>
  <si>
    <t>Authentication-NFS</t>
  </si>
  <si>
    <t>manjula-c.manjappa@hp.com</t>
  </si>
  <si>
    <t>*Unknown (Triage)-AAUM</t>
  </si>
  <si>
    <t>charles.wahlquist@hp.com</t>
  </si>
  <si>
    <t>BUC1</t>
  </si>
  <si>
    <t>*Unknown (Triage)-SMB</t>
  </si>
  <si>
    <t>UDU</t>
  </si>
  <si>
    <t>SET</t>
  </si>
  <si>
    <t>MSDU</t>
  </si>
  <si>
    <t>Defect</t>
  </si>
  <si>
    <t>Atlas</t>
  </si>
  <si>
    <t>matthew.glover@hp.com</t>
  </si>
  <si>
    <t>kyle.barry@hp.com</t>
  </si>
  <si>
    <t>Master</t>
  </si>
  <si>
    <t>Bellatrix</t>
  </si>
  <si>
    <t>nguyen.p.tuong@hp.com</t>
  </si>
  <si>
    <t>[Master] /var/log/messages is flooded with hundreds messages per second</t>
  </si>
  <si>
    <t>System Test</t>
  </si>
  <si>
    <t>Astra-Post IR13 09-12</t>
  </si>
  <si>
    <t>Astra-Post IR13 08-29</t>
  </si>
  <si>
    <t>Astra-Post IR13 08-15</t>
  </si>
  <si>
    <t>Deadline</t>
  </si>
  <si>
    <t>Astra-Post IR13 08-22</t>
  </si>
  <si>
    <t>AAUM</t>
  </si>
  <si>
    <t>SMB</t>
  </si>
  <si>
    <t>ac</t>
  </si>
  <si>
    <t>t</t>
  </si>
  <si>
    <t>status</t>
  </si>
  <si>
    <t>bedrock probability</t>
  </si>
  <si>
    <t>rz</t>
  </si>
  <si>
    <t>redzone boolean</t>
  </si>
  <si>
    <t>Record Type</t>
  </si>
  <si>
    <t>task</t>
  </si>
  <si>
    <t>k</t>
  </si>
  <si>
    <t>v</t>
  </si>
  <si>
    <t>q</t>
  </si>
  <si>
    <t>y</t>
  </si>
  <si>
    <t>ad</t>
  </si>
  <si>
    <t>changed</t>
  </si>
  <si>
    <t>opened</t>
  </si>
  <si>
    <t>[Master] if highly restrictive permissions are set on shares and higher directories, we cannot map a subfolder</t>
  </si>
  <si>
    <t>[Master] PvfsGetParentSecDesc() can cross the root of a share</t>
  </si>
  <si>
    <t>Home</t>
  </si>
  <si>
    <t>| New</t>
  </si>
  <si>
    <t>| Browse</t>
  </si>
  <si>
    <t>| Search</t>
  </si>
  <si>
    <t>| [?]</t>
  </si>
  <si>
    <t>| Reports</t>
  </si>
  <si>
    <t>(PRO) Bugzilla Production Server for SWD USD NAS</t>
  </si>
  <si>
    <t>Analysis in Progress;Complexity: [Med] Risk:[Med]</t>
  </si>
  <si>
    <t>Astra-Post IR13 09-05</t>
  </si>
  <si>
    <t>Astra-Waiver</t>
  </si>
  <si>
    <t>Install/Upgrade-SMB</t>
  </si>
  <si>
    <t>[Master] Backup privilege does not seem to work</t>
  </si>
  <si>
    <t>paul.evertson@hp.com</t>
  </si>
  <si>
    <t>Open New Dev Protocol bugs</t>
  </si>
  <si>
    <t>rohit.pandey@hp.com</t>
  </si>
  <si>
    <t>Astra-Post IR13 10-03</t>
  </si>
  <si>
    <t>tom.connolly@hp.com</t>
  </si>
  <si>
    <t>Most recent 5 bugs</t>
  </si>
  <si>
    <t>roselle.fernandez@hp.com</t>
  </si>
  <si>
    <t>a33</t>
  </si>
  <si>
    <t>a34</t>
  </si>
  <si>
    <t>a35</t>
  </si>
  <si>
    <t>a36</t>
  </si>
  <si>
    <t>a37</t>
  </si>
  <si>
    <t>a38</t>
  </si>
  <si>
    <t>a39</t>
  </si>
  <si>
    <t>a40</t>
  </si>
  <si>
    <t>a41</t>
  </si>
  <si>
    <t>a42</t>
  </si>
  <si>
    <t>a43</t>
  </si>
  <si>
    <t>a44</t>
  </si>
  <si>
    <t>a45</t>
  </si>
  <si>
    <t>a46</t>
  </si>
  <si>
    <t>Bottom</t>
  </si>
  <si>
    <t>top</t>
  </si>
  <si>
    <t>abubaker.siddique@hp.com</t>
  </si>
  <si>
    <t>bharatp@hp.com</t>
  </si>
  <si>
    <t>Astra-Post IR13 09-19</t>
  </si>
  <si>
    <t>Once</t>
  </si>
  <si>
    <t>sergio.ramos@hp.com</t>
  </si>
  <si>
    <t>aparna.srinivasamurthy@hp.com</t>
  </si>
  <si>
    <t>nagaraj.g-r@hp.com</t>
  </si>
  <si>
    <t>Astra-Post IR13 10-10</t>
  </si>
  <si>
    <t>varun.hariharan@hp.com</t>
  </si>
  <si>
    <t>Astra-Post IR13 09-26</t>
  </si>
  <si>
    <t>RedZone Review Flag</t>
  </si>
  <si>
    <t>jeff.hsue@hp.com</t>
  </si>
  <si>
    <t>P2</t>
  </si>
  <si>
    <t>P1</t>
  </si>
  <si>
    <t>Priority</t>
  </si>
  <si>
    <t>william.weitzel@hp.com</t>
  </si>
  <si>
    <t>[Master=NA] (IR11) - Changing group from Linux to unresolved GID and verifying the permissions from Windows Server 2012 client gives a random GID</t>
  </si>
  <si>
    <t>[Master=50493, Atlas] showfsuser returns exception "com.hp.storage.pml.file.protocols.api.exception.HPProtocolServiceImplException: Could not get groups for user: Sam database is locked"</t>
  </si>
  <si>
    <t>[Master] showfsuser returns exception "com.hp.storage.pml.file.protocols.api.exception.HPProtocolServiceImplException: Could not get groups for user: Sam database is locked"</t>
  </si>
  <si>
    <t>scott.scott.hamilton@hp.com</t>
  </si>
  <si>
    <t>nadeem.ameer@hp.com</t>
  </si>
  <si>
    <t>eddy.hutson@hp.com</t>
  </si>
  <si>
    <t>Approved by QA</t>
  </si>
  <si>
    <t>Listing directories on Unity NFS share with NFSv4 client extremely slow using LDAP - NFSv3 client works fine</t>
  </si>
  <si>
    <t>Astra-Post IR13 11-07</t>
  </si>
  <si>
    <t>Astra-Post IR13 10-17</t>
  </si>
  <si>
    <t>Astra-Post IR13 10-31</t>
  </si>
  <si>
    <t>Customer (during EAP)</t>
  </si>
  <si>
    <t>Astra-Post IR13 10-24</t>
  </si>
  <si>
    <t>rakshitha.venkatesh@hp.com</t>
  </si>
  <si>
    <t>krishk@hp.com</t>
  </si>
  <si>
    <t>yellowzone</t>
  </si>
  <si>
    <t>yellowZone Boolean</t>
  </si>
  <si>
    <t>r</t>
  </si>
  <si>
    <t>l</t>
  </si>
  <si>
    <t>z</t>
  </si>
  <si>
    <t>ae</t>
  </si>
  <si>
    <t>ab</t>
  </si>
  <si>
    <t>[SMBTorture]</t>
  </si>
  <si>
    <t>hemant.anvekar@hp.com</t>
  </si>
  <si>
    <t>StoreOnce Xanadu(SMB 5.6.x)</t>
  </si>
  <si>
    <t>raw bug number</t>
  </si>
  <si>
    <t>filter row == o</t>
  </si>
  <si>
    <t>filter row == w</t>
  </si>
  <si>
    <t>filter row == r</t>
  </si>
  <si>
    <t>Astra-Post IR13 11-14</t>
  </si>
  <si>
    <t>Release or Service Notes</t>
  </si>
  <si>
    <t>yes RN</t>
  </si>
  <si>
    <t>yes SN</t>
  </si>
  <si>
    <t>philip.wilson@hp.com</t>
  </si>
  <si>
    <t>marjorie.carlson@hp.com</t>
  </si>
  <si>
    <t>sundaravadivel.murugavel@hp.com</t>
  </si>
  <si>
    <t>sanjay.mehrotra@hp.com</t>
  </si>
  <si>
    <t>tim.thomas2@hp.com</t>
  </si>
  <si>
    <t>jose.calderon@hp.com</t>
  </si>
  <si>
    <t>Other-NFS</t>
  </si>
  <si>
    <t>03. Unit Test</t>
  </si>
  <si>
    <t>Astra-Post IR13 11-21</t>
  </si>
  <si>
    <t>Normal</t>
  </si>
  <si>
    <t>nkoul@hp.com</t>
  </si>
  <si>
    <t>Documentation</t>
  </si>
  <si>
    <t>[Master=48692, Atlas] if highly restrictive permissions are set on shares and higher directories, we cannot map a subfolder</t>
  </si>
  <si>
    <t>[Master=48691, Atlas] PvfsGetParentSecDesc() can cross the root of a share</t>
  </si>
  <si>
    <t>[Master=41344, Atlas] persistent handles: We probably need to allow read-attribute opens even when there's a disconnected PHE</t>
  </si>
  <si>
    <t>[Master=41238, Atlas] Do we need to do better than using "ibrix:ibrix" credentials for curl calls from hp-smb?</t>
  </si>
  <si>
    <t>[Master=40147, Atlas] /var/lib/likewise/distrib doesn't stash a copy of the rpm on initial install (only on upgrades)</t>
  </si>
  <si>
    <t>[Master=39639, Atlas] FSCT Fails when ISIS is mounted on a multilevel subdirectory</t>
  </si>
  <si>
    <t>[Master=37855, Atlas] oplock level2 to none breaks are not happening correctly with posix backing disabled (periodic failure of pike "test_reconnect_oplock_break_none" test)</t>
  </si>
  <si>
    <t>[Master=37654, Atlas] The Oplock grant result shows strange levels</t>
  </si>
  <si>
    <t>[Master] persistent handles: We probably need to allow read-attribute opens even when there's a disconnected PHE</t>
  </si>
  <si>
    <t>[Master] Do we need to do better than using "ibrix:ibrix" credentials for curl calls from hp-smb?</t>
  </si>
  <si>
    <t>[Master] /var/lib/likewise/distrib doesn't stash a copy of the rpm on initial install (only on upgrades)</t>
  </si>
  <si>
    <t>[Master] Requirement to add and return NFS share UUID</t>
  </si>
  <si>
    <t>[Master] oplock level2 to none breaks are not happening correctly with posix backing disabled (periodic failure of pike "test_reconnect_oplock_break_none" test)</t>
  </si>
  <si>
    <t>[Master] The Oplock grant result shows strange levels</t>
  </si>
  <si>
    <t>[Master=52554, Atlas] Investigate better responses (code or errors) for MTU changing while protocol is active</t>
  </si>
  <si>
    <t>[Master=52552, Atlas] mkdir on NFS share mounted on V3 client returns "mkdir: cannot create directory `&lt;name&gt;': invalid argument" - but dir is still created</t>
  </si>
  <si>
    <t>[Master=52136, Atlas] the FS should have a better way of identifying SMB besides using our process name</t>
  </si>
  <si>
    <t>[Master=51523, Atlas] AD PML Plugin should have null administrator and password attributes</t>
  </si>
  <si>
    <t>[Master=51276, Atlas] createfsuser-Inadequate error message</t>
  </si>
  <si>
    <t>[Master=51197, Atlas] File system unmount fails - if the fs name &amp; its mount path directory name are different</t>
  </si>
  <si>
    <t>[Master=51092, Atlas] Switch Back to using Port 9443</t>
  </si>
  <si>
    <t>[Master=51087, Atlas] (Post IR13 09-26) Probable Race condition of hp-smb start and PML when FS/Mtree is getting created</t>
  </si>
  <si>
    <t>[Master=50667, Atlas] when fuse is mounted on a nfsshare and same share is mounted on a client machine using NFS version=4, it doesn't list out the files of nfsshare at client</t>
  </si>
  <si>
    <t>[Master=50644, Atlas] Parsing mount table option string is buggy</t>
  </si>
  <si>
    <t>[Master=50489, Atlas] With domain access control configured, clients not in the domain should not be able to mount the share with NFSv4</t>
  </si>
  <si>
    <t>[Master=49964, Atlas] SMB does a startup scan of all FSes/mtrees -- could lead to race conditions at startup</t>
  </si>
  <si>
    <t>[Master=49957, Atlas] GetMtreeAssociatedIPAddressFromXml() and our mtree structures should be able to handle &gt;4 mtree VIF ip addresses</t>
  </si>
  <si>
    <t>[Master=49332, Atlas] removefsgroup neither deletes the groups nor returns an error</t>
  </si>
  <si>
    <t>[Master=49330, Atlas] removefsgroup does not delete groups created using createfsgroup</t>
  </si>
  <si>
    <t>[Master=49329, Atlas] createfsgroup allows creation of invalid groupnames</t>
  </si>
  <si>
    <t>[Master=49328, Atlas] removefsuser neither deletes the users nor returns an error</t>
  </si>
  <si>
    <t>[Master=49327, Atlas] removefsuser does not delete users created using createfsuser</t>
  </si>
  <si>
    <t>[Master=49317, Atlas] Desire to store SIDS in nfsv4 acls, not UPN names or UIDs</t>
  </si>
  <si>
    <t>[Master=49291, Atlas] createfsuser- incorrect help text or command behavior</t>
  </si>
  <si>
    <t>[Master=49096, Atlas] After Upgrade Online Serial isoAttached rebootTrue is performed, error 'Health has failed unexpectedly.  Socket error' is seen for the approx 10 mins for the AD domain join check on the passive node.</t>
  </si>
  <si>
    <t>[Master=48965, Atlas] Remove ACL Workarounds from HP-SMB</t>
  </si>
  <si>
    <t>[Master=48696, Atlas] No cross-protocol locking. NFS clients can corrupt Word docs while in use</t>
  </si>
  <si>
    <t>[Master=47515, Atlas] (IR13) Resource location is not showed properly in the asynchronous response of Domain Join REST call</t>
  </si>
  <si>
    <t>[Master=47269, Atlas] Error from remote readall for node while showfshare smb on s739</t>
  </si>
  <si>
    <t>[Master=47187, Atlas] FPG failover with open files on filesystem's mountpoint, lost VFS IP in both nodes (node0fs and node1fs)</t>
  </si>
  <si>
    <t>[Master=44024, Atlas] LocalAuth: Limit size of sam.db from PML as per Unity product limits</t>
  </si>
  <si>
    <t>[Master=43867, Atlas] Health Status results sometimes empty</t>
  </si>
  <si>
    <t>[Master=43571, Atlas] need ability to restore local users</t>
  </si>
  <si>
    <t>[Master=42322, Atlas] (IR10) Netbios name of Unity cluster node cannot be resolved from Windows clients using nbtstat</t>
  </si>
  <si>
    <t>[Master=42317, Atlas] LocalAuth: Domain name for local user not updated after change in NetBIOS name</t>
  </si>
  <si>
    <t>[Master=42234, Atlas] "lwsm stop lwreg" (SMB shutdown, restart, upgrade) hangs if service monitoring check/stop/start happens at the same time</t>
  </si>
  <si>
    <t>[Master=41906, Atlas] LocalAuth: REST call allow user to create root local user/group</t>
  </si>
  <si>
    <t>[Master] Createfsuser and createfsgroup returning  Invalid character '^' in name.  Use ' ' instead.</t>
  </si>
  <si>
    <t>[Master] Investigate better responses (code or errors) for MTU changing while protocol is active</t>
  </si>
  <si>
    <t>[Master] mkdir on NFS share mounted on V3 client returns "mkdir: cannot create directory `&lt;name&gt;': invalid argument" - but dir is still created</t>
  </si>
  <si>
    <t>[Master] the FS should have a better way of identifying SMB besides using our process name</t>
  </si>
  <si>
    <t>[Master] AD PML Plugin should have null administrator and password attributes</t>
  </si>
  <si>
    <t>[Master] createfsuser-Inadequate error message</t>
  </si>
  <si>
    <t>[Master] File system unmount fails - if the fs name &amp; its mount path directory name are different</t>
  </si>
  <si>
    <t>[Master] Switch Back to using Port 9443</t>
  </si>
  <si>
    <t>[Master] (Post IR13 09-26) Probable Race condition of hp-smb start and PML when FS/Mtree is getting created</t>
  </si>
  <si>
    <t>[Master] when fuse is mounted on a nfsshare and same share is mounted on a client machine using NFS version=4, it doesn't list out the files of nfsshare at client</t>
  </si>
  <si>
    <t>[Master] Parsing mount table option string is buggy</t>
  </si>
  <si>
    <t>[Master] With domain access control configured, clients not in the domain should not be able to mount the share with NFSv4</t>
  </si>
  <si>
    <t>[Master] SMB does a startup scan of all FSes/mtrees -- could lead to race conditions at startup</t>
  </si>
  <si>
    <t>[Master] GetMtreeAssociatedIPAddressFromXml() and our mtree structures should be able to handle &gt;4 mtree VIF ip addresses</t>
  </si>
  <si>
    <t>[Master] removefsgroup neither deletes the groups nor returns an error</t>
  </si>
  <si>
    <t>[Master] removefsgroup does not delete groups created using createfsgroup</t>
  </si>
  <si>
    <t>[Master] createfsgroup allows creation of invalid groupnames</t>
  </si>
  <si>
    <t>[Master] removefsuser neither deletes the users nor returns an error</t>
  </si>
  <si>
    <t>[Master] removefsuser does not delete users created using createfsuser</t>
  </si>
  <si>
    <t>[Master] Desire to store SIDS in nfsv4 acls, not UPN names or UIDs</t>
  </si>
  <si>
    <t>[Master] createfsuser- incorrect help text or command behavior</t>
  </si>
  <si>
    <t>[Master] After Upgrade Online Serial isoAttached rebootTrue is performed, error 'Health has failed unexpectedly.  Socket error' is seen for the approx 10 mins for the AD domain join check on the passive node.</t>
  </si>
  <si>
    <t>[Master] Remove ACL Workarounds from HP-SMB</t>
  </si>
  <si>
    <t>[Master] No cross-protocol locking. NFS clients can corrupt Word docs while in use</t>
  </si>
  <si>
    <t>[Master] (IR13) Resource location is not showed properly in the asynchronous response of Domain Join REST call</t>
  </si>
  <si>
    <t>[Master] Error from remote readall for node while showfshare smb on s739</t>
  </si>
  <si>
    <t>[Master] FPG failover with open files on filesystem's mountpoint, lost VFS IP in both nodes (node0fs and node1fs)</t>
  </si>
  <si>
    <t>[Master] LocalAuth: Limit size of sam.db from PML as per Unity product limits</t>
  </si>
  <si>
    <t>[Master] Health Status results sometimes empty</t>
  </si>
  <si>
    <t>[Master] need ability to restore local users</t>
  </si>
  <si>
    <t>[Master] (IR10) Netbios name of Unity cluster node cannot be resolved from Windows clients using nbtstat</t>
  </si>
  <si>
    <t>[Master] LocalAuth: Domain name for local user not updated after change in NetBIOS name</t>
  </si>
  <si>
    <t>[Master] "lwsm stop lwreg" (SMB shutdown, restart, upgrade) hangs if service monitoring check/stop/start happens at the same time</t>
  </si>
  <si>
    <t>[Master] LocalAuth: REST call allow user to create root local user/group</t>
  </si>
  <si>
    <t>[Master=50242, Astra] Cannot delete local user if duplicate UID present on other providers</t>
  </si>
  <si>
    <t>[Master=49740, Atlas] SMBtorture "RAW-ACLS-NULLDACL" failed</t>
  </si>
  <si>
    <t>[Master=49740, Astra] SMBtorture "RAW-ACLS-NULLDACL" failed</t>
  </si>
  <si>
    <t>[Master=49732, Atlas] NFS version 4 mount with single client IP set allowed other clients permitted</t>
  </si>
  <si>
    <t>[Master=49007, Atlas] Createfsuser and createfsgroup returning  Invalid character '^' in name.  Use ' ' instead.</t>
  </si>
  <si>
    <t>[Master=47337, Atlas] [UDU111145] Unable to add local user folder permissions when connected from a Win8/WS2K12 client as local Administrator, when neither client or array is joined to a domain</t>
  </si>
  <si>
    <t>[Master=46771, Astra] Unable to get 'Disk quota exceeded' message on attempting to exceed stree HARD_SIZE limit from NFS client.</t>
  </si>
  <si>
    <t>[Master=53105, Atlas] Unity-LOCAL_CLUSTER\cifsuser permissions issue</t>
  </si>
  <si>
    <t>[Master=53006, Atlas] file lock inconsistency detected when failover is in progress</t>
  </si>
  <si>
    <t>[Master=53006, Astra] file lock inconsistency detected when failover is in progress</t>
  </si>
  <si>
    <t>[Master=52678, Atlas] NFSD related panic during SPECsfs</t>
  </si>
  <si>
    <t>[Master] Unity-LOCAL_CLUSTER\cifsuser permissions issue</t>
  </si>
  <si>
    <t>[Master] file lock inconsistency detected when failover is in progress</t>
  </si>
  <si>
    <t>[Master] NFSD related panic during SPECsfs</t>
  </si>
  <si>
    <t>[Master] When MMC creates a share, it sets the CA bit to 0, disabling persistent handles on that share</t>
  </si>
  <si>
    <t>[Master] Cannot delete local user if duplicate UID present on other providers</t>
  </si>
  <si>
    <t>[Master] SMBtorture "RAW-ACLS-NULLDACL" failed</t>
  </si>
  <si>
    <t>[Master] NFS version 4 mount with single client IP set allowed other clients permitted</t>
  </si>
  <si>
    <t>[Master] [UDU111145] Unable to add local user folder permissions when connected from a Win8/WS2K12 client as local Administrator, when neither client or array is joined to a domain</t>
  </si>
  <si>
    <t>[Master=46771, Atlas] Unable to get 'Disk quota exceeded' message on attempting to exceed stree HARD_SIZE limit from NFS client.</t>
  </si>
  <si>
    <t>anthony.cheung@hp.com</t>
  </si>
  <si>
    <t>[Master] Unable to get 'Disk quota exceeded' message on attempting to exceed stree HARD_SIZE limit from NFS client.</t>
  </si>
  <si>
    <t>[Master=53713, Atlas] Unity BETA: Users may expect that domain/local administrators always get to access a share, but they actually need an allowperm granting share access (like other users)</t>
  </si>
  <si>
    <t>[Master] Unity BETA: Users may expect that domain/local administrators always get to access a share, but they actually need an allowperm granting share access (like other users)</t>
  </si>
  <si>
    <t>[Master] "lwsm start" can time out and return an error after 30 seconds, causing service monitor to fall into kill/restart loop</t>
  </si>
  <si>
    <t>[Master=52603, Atlas] SMB fails to list the shares(created when VFS IP was present) after removing VFS IP. Allows to create and list a new share.</t>
  </si>
  <si>
    <t>[Master=52933, Atlas] Index order option doesn't work with "nfs4_setfacl" command</t>
  </si>
  <si>
    <t>[master=52933, Astra-Waiver]Index order option doesn't work with "nfs4_setfacl" command</t>
  </si>
  <si>
    <t>[Master=52707, Atlas] Incorrect groupid,  when NFS 4 file system is mounted on AIX platform as compared to NFS3</t>
  </si>
  <si>
    <t>[Master=52318, Atlas] coredump with lwsmd seen with "Core was generated by `lw-container lsass'."</t>
  </si>
  <si>
    <t>[master=52318, Astra-Waiver]coredump with lwsmd seen with "Core was generated by `lw-container lsass'."</t>
  </si>
  <si>
    <t>[Master] Quota issues with Unity</t>
  </si>
  <si>
    <t>[Master] Index order option doesn't work with "nfs4_setfacl" command</t>
  </si>
  <si>
    <t>[Master] Incorrect groupid,  when NFS 4 file system is mounted on AIX platform as compared to NFS3</t>
  </si>
  <si>
    <t>[Master] SMB fails to list the shares(created when VFS IP was present) after removing VFS IP. Allows to create and list a new share.</t>
  </si>
  <si>
    <t>[Master] coredump with lwsmd seen with "Core was generated by `lw-container lsass'."</t>
  </si>
  <si>
    <t>[Master=54283, Atlas] SuSE SLES10 client does not support NFS4 ACL</t>
  </si>
  <si>
    <t>[Master] SuSE SLES10 client does not support NFS4 ACL</t>
  </si>
  <si>
    <t>[Master=54215, Atlas] NFSv4 ACLs: NFSv3 clients:  AIX reports aclget: The system call does not exist on this system.</t>
  </si>
  <si>
    <t>[Master=54215, Astra] NFSv4 ACLs: NFSv3 clients:  AIX reports aclget: The system call does not exist on this system.</t>
  </si>
  <si>
    <t>[Master=54214, Atlas] NFS share creation succeeded with subset IP list when "clientip" option value is separated with other than comma character</t>
  </si>
  <si>
    <t>[Master=54221, Atlas] "lwsm start" can time out and return an error after 30 seconds, causing service monitor to fall into kill/restart loop</t>
  </si>
  <si>
    <t>[Master=54283, Astra] SuSE SLES10 client does not support NFS4 ACL</t>
  </si>
  <si>
    <t>[Master] NFSv4 ACLs: NFSv3 clients:  AIX reports aclget: The system call does not exist on this system.</t>
  </si>
  <si>
    <t>[Master] NFS share creation succeeded with subset IP list when "clientip" option value is separated with other than comma character</t>
  </si>
  <si>
    <t>[Master] PML registry code is mismanaging SMB registry defaults</t>
  </si>
  <si>
    <t>[Master] Copying STREAMS files from cifs share to Windows client extremely slow (drag and drop from cifs share to client)</t>
  </si>
  <si>
    <t>[Master=54393, Atlas] [UDU 120042] Unable to remove a previously added group named "Local".</t>
  </si>
  <si>
    <t>[Master] [UDU 120042] Unable to remove a previously added group named "Local".</t>
  </si>
  <si>
    <t>[master=52603, Astra-Waiver]SMB fails to list the shares(created when VFS IP was present) after removing VFS IP. Allows to create and list a new share.</t>
  </si>
  <si>
    <t>[Master=54458, Atlas] lsass error 2692 occuring a few times in the linux messages log after a boot.</t>
  </si>
  <si>
    <t>Astra-1.0.0.24 (20141208)</t>
  </si>
  <si>
    <t>[Master=54734, Atlas] Not building hp-smb-iu-utils (install/upgrade) RPM on our own and script needs to be in hp-smb git repo</t>
  </si>
  <si>
    <t>[Master] Not building hp-smb-iu-utils (install/upgrade) RPM on our own and script needs to be in hp-smb git repo</t>
  </si>
  <si>
    <t>[Master=54687, Atlas] Permissions of the files created by cross protocol(SMB/HTTP/NFS) I/O are different for each protocol.</t>
  </si>
  <si>
    <t>Astra-1.0.0.23 (20141201)</t>
  </si>
  <si>
    <t>[master=54823, Astra][UDU123981] Mount to share RO when I remove a share</t>
  </si>
  <si>
    <t>Astra-1.0.0.27 (20141229)</t>
  </si>
  <si>
    <t>[Master=55054, Atlas] NFS PML Plugin for Atlas needs to be updated to match changes made in pml.file.netprotcoord</t>
  </si>
  <si>
    <t>eric.collart@hp.com</t>
  </si>
  <si>
    <t>[Master] Repeating error in /var/log/messages: [lsass] Net Bios Name not matched. Please check the input Netbios name (or) LDAP provider configuration. This is an error message.#012</t>
  </si>
  <si>
    <t>[Master=54986, Atlas] Need to handle com.hp.storage.pml.file.policystore.api.FileSystemDoesNotExistException</t>
  </si>
  <si>
    <t>[Master] Need to handle com.hp.storage.pml.file.policystore.api.FileSystemDoesNotExistException</t>
  </si>
  <si>
    <t>[Master] UNITY BETA: Size on disk reported incorrectly over SMB 3.0</t>
  </si>
  <si>
    <t>[Master] Ldap status reported OK even when some of LDAP not working and lw-get-status status showing offline</t>
  </si>
  <si>
    <t>[master=54823, Atlas][UDU123981] Mount to share RO when I remove a share</t>
  </si>
  <si>
    <t>sachidananda.gs@hp.com</t>
  </si>
  <si>
    <t>[Master] [UDU123981] Mount to share RO when I remove a share</t>
  </si>
  <si>
    <t>Astra-1.0.0.25 (20141215)</t>
  </si>
  <si>
    <t>venkateshl@hp.com</t>
  </si>
  <si>
    <t>[Master=55094, Atlas] quota restore from file  partially restores the quota when ldap  on passive node is not connected.</t>
  </si>
  <si>
    <t>jhilik.roy@hp.com</t>
  </si>
  <si>
    <t>[Master] stray entries in /etc/exports after CURL delete/update export having more than 31 individual client ips</t>
  </si>
  <si>
    <t>[Master] quota restore from file  partially restores the quota when ldap  on passive node is not connected.</t>
  </si>
  <si>
    <t>Astra-1.0.0.29 (20150112)</t>
  </si>
  <si>
    <t>[MASTER] HP-SMB services were found stuck: SERVICE_UNRESPONSIVE in astra emulator</t>
  </si>
  <si>
    <t>[Master=55128, Atlas]stray entries in /etc/exports after CURL delete/update export having more than 31 individual client ips</t>
  </si>
  <si>
    <t>[Master=55128, Astra]stray entries in /etc/exports after CURL delete/update export having more than 31 individual client ips</t>
  </si>
  <si>
    <t>Final System Test</t>
  </si>
  <si>
    <t>[Master=39670, Atlas] [Error Handling] Creating a CIFS share with @ in name its name fails with exception</t>
  </si>
  <si>
    <t>[Master] LDAP REST-API does not return the status of LDAP server</t>
  </si>
  <si>
    <t>[Master] SSMC setfsuser regression test fails since the command completion is reported using multiple events after the command returns</t>
  </si>
  <si>
    <t>[Master] SSMC does not display MMC created share</t>
  </si>
  <si>
    <t>[Master] [Error Handling] Creating a CIFS share with @ in name its name fails with exception</t>
  </si>
  <si>
    <t>[Master=55314,Atlas] SrvProcessLockRequest_SMB_V2() crash (assert failure) trying to update PHS with BRL info</t>
  </si>
  <si>
    <t>[Master] SrvProcessLockRequest_SMB_V2() crash (assert failure) trying to update PHS with BRL info</t>
  </si>
  <si>
    <t>[Master=52923, Atlas] Enumerate Quota Support in Astra not working</t>
  </si>
  <si>
    <t>[Master=53313, Atlas] followup to bug 43948: Should hp-smb do something better for gids that it cannot look up?</t>
  </si>
  <si>
    <t>ramesh.velusamy@hp.com</t>
  </si>
  <si>
    <t>[Master] Enumerate Quota Support in Astra not working</t>
  </si>
  <si>
    <t>resolv</t>
  </si>
  <si>
    <t>[Master] hp-smb segfault in lsass while running smbtorture tests</t>
  </si>
  <si>
    <t>[Master] Request to generate event for loss of persistent handle</t>
  </si>
  <si>
    <t>harry.kellogg@hp.com</t>
  </si>
  <si>
    <t>[Master] With heavy load and STONITH failure multiple join request coming from partner node</t>
  </si>
  <si>
    <t>BugzillaCloningAutomation@hp.com</t>
  </si>
  <si>
    <t>anusha.mohandas@hp.com</t>
  </si>
  <si>
    <t>[Master] Not able to set and list ad group quota if group name is having caret(^) character in its name</t>
  </si>
  <si>
    <t>[Master] NFS Restore Fail using NBU ISV to VTL</t>
  </si>
  <si>
    <t>[Master=55690, Atlas]Remove dead code from LocalAuthStore.java</t>
  </si>
  <si>
    <t>[Master] Remove dead code from LocalAuthStore.java</t>
  </si>
  <si>
    <t>[Master] C$ share has "everyone:fullcontrol" perms -- is that too open?</t>
  </si>
  <si>
    <t>[Master=55928, Atlas] lsass crash in rpc__binding_free while running smbtorture [rpc.samba3.lsa.lsa] test</t>
  </si>
  <si>
    <t>[Master=55929, Atlas] lsass crash in rpc__smb_socket_destroy() while running smbtorture  [rpc.echo.echo.enum]  test</t>
  </si>
  <si>
    <t>[Master] lsass crash in rpc__smb_socket_destroy() while running smbtorture  [rpc.echo.echo.enum]  test</t>
  </si>
  <si>
    <t>[Master] lsass crash in rpc__binding_free while running smbtorture [rpc.samba3.lsa.lsa] test</t>
  </si>
  <si>
    <t>[Master=55920, Atlas] lsass crash in rpc__smb_close_file_complete() while running smbtorture  [rpc.echo.echo.doublepointer] test</t>
  </si>
  <si>
    <t>[Master] lsass crash in rpc__smb_close_file_complete() while running smbtorture  [rpc.echo.echo.doublepointer] test</t>
  </si>
  <si>
    <t>[Master] lsass  crash in  NtlmServerDecryptMessage() while runing smbtorture the [rpc.samba3.winreg.winreg] test</t>
  </si>
  <si>
    <t>[Master] Static Code Analysis Run HP-SMB</t>
  </si>
  <si>
    <t>[Master=55978, Atlas] lsass crash in rpc__smb_close_file_complete() while running smbtorture  [rpc.lsa.lsa] test</t>
  </si>
  <si>
    <t>[Master] lsass crash in rpc__smb_close_file_complete() while running smbtorture  [rpc.lsa.lsa] test</t>
  </si>
  <si>
    <t>[Master=55971, Atlas] lsass crash in NtlmVerifySignature() while running smbtorture [rpc.bind.ntlm,sign.ntlm,sign] test</t>
  </si>
  <si>
    <t>[Master] lsass crash in NtlmVerifySignature() while running smbtorture [rpc.bind.ntlm,sign.ntlm,sign] test</t>
  </si>
  <si>
    <t>[Master=56033, Atlas] lsass crash in rpc__cn_assoc_receive_frag() while running smbtorture unidentified test</t>
  </si>
  <si>
    <t>[Master=55968, Atlas] With expansion of the node, LDAP entry do not exist on expanded node, so need to remove and re-join the LDAP</t>
  </si>
  <si>
    <t>[Master=55967, Atlas] With Expansion of the node, provider stacking is not preserved, so need to setup again</t>
  </si>
  <si>
    <t>[Master] With expansion of the node, LDAP entry do not exist on expanded node, so need to remove and re-join the LDAP</t>
  </si>
  <si>
    <t>[Master] With Expansion of the node, provider stacking is not preserved, so need to setup again</t>
  </si>
  <si>
    <t>Astra-1.0.0.31 (20150126)</t>
  </si>
  <si>
    <t>rama-srinath.kondaveeti@hp.com</t>
  </si>
  <si>
    <t>[Master] Investigate blocking instead of "database is locked" failure mode during Unity samdb update operation</t>
  </si>
  <si>
    <t>Astra-Maint</t>
  </si>
  <si>
    <t>[Master=55944, Astra-Maint] [Customer: BT - Harmondsworth]System error 58 has occurred while accessing SMB shares</t>
  </si>
  <si>
    <t>[Master=56067, Atlas] lsass crash in profile_parse_file() malloc() while running smbtorture [rpc.lsa.lsa] test</t>
  </si>
  <si>
    <t>[Master] lsass crash in profile_parse_file() malloc() while running smbtorture [rpc.lsa.lsa] test</t>
  </si>
  <si>
    <t>[Master=56053, Atlas] lsass crash in rpc_ss_default_free() while running smbtorure [rpc.bind.ntlm,sign,seal.ntlm,sign,seal] test</t>
  </si>
  <si>
    <t>[Master] lsass crash in rpc_ss_default_free() while running smbtorure [rpc.bind.ntlm,sign,seal.ntlm,sign,seal] test</t>
  </si>
  <si>
    <t>[Master] lsass crash in rpc__cn_assoc_receive_frag() while running smbtorture [rpc.lsa] test</t>
  </si>
  <si>
    <t>[Master=55198, Atlas] Some SSMC smoke tests in Users/Groups/Quotas fail with VDU build FileServices-1.0.0.28-20150102.iso</t>
  </si>
  <si>
    <t>shari.shashidharan@hp.com</t>
  </si>
  <si>
    <t>Request Approval</t>
  </si>
  <si>
    <t>[Master=56450, Atlas] srvsvc crash in rpc__cn_sm_eval_event() while running smbtorture [rpc.srvsvc.srvsvc (admin access).NetNameValidate] test</t>
  </si>
  <si>
    <t>[Master] srvsvc crash in rpc__cn_sm_eval_event() while running smbtorture [rpc.srvsvc.srvsvc (admin access).NetNameValidate] test</t>
  </si>
  <si>
    <t>[Master=56388, Atlas] lsass crash in lwmsg_data_free_graph_visit() while running smbtorture [rpc.samba3.bind.bind] test</t>
  </si>
  <si>
    <t>[Master=56425, Atlas] lsass crash in lwmsg_type_iterate_promoted() while running smbtorture [rpc.bind.ntlm,sign.ntlm,sign] test</t>
  </si>
  <si>
    <t>[Master=56388, Astra-Maint] lsass crash in lwmsg_data_free_graph_visit() while running smbtorture [rpc.samba3.bind.bind] test</t>
  </si>
  <si>
    <t>[Master=56425, Astra-Maint] lsass crash in lwmsg_type_iterate_promoted() while running smbtorture [rpc.bind.ntlm,sign.ntlm,sign] test</t>
  </si>
  <si>
    <t>[Master] lsass crash in lwmsg_type_iterate_promoted() while running smbtorture [rpc.bind.ntlm,sign.ntlm,sign] test</t>
  </si>
  <si>
    <t>[Master] lsass crash in lwmsg_data_free_graph_visit() while running smbtorture [rpc.samba3.bind.bind] test</t>
  </si>
  <si>
    <t>[Master=56502, Atlas] Ldap user can still map share and access files after Ldap configuration removed from cluster</t>
  </si>
  <si>
    <t>[Master=56502, Astra-Maint] Ldap user can still map share and access files after Ldap configuration removed from cluster</t>
  </si>
  <si>
    <t>[Master] Ldap user can still map share and access files after Ldap configuration removed from cluster</t>
  </si>
  <si>
    <t>[Master=56586, Atlas]"lwsm restart lwreg" returned success even though srvsvc failed to start properly</t>
  </si>
  <si>
    <t>[MASTER] "lwsm restart lwreg" returned success even though srvsvc failed to start properly</t>
  </si>
  <si>
    <t>[Master=42454, Astra-Maint] [Customer: BT, LAWA] CIFS connections lost intermittently on certain clients, new connections not allowed until likewise restart</t>
  </si>
  <si>
    <t>[Master=55972, Atlas] lsass crash in rpc__binding_free() while running smbtorture [rpc.samba3.bind.bind] test</t>
  </si>
  <si>
    <t>[Master=52720, Astra-Maint] PML requests hang in PAM authentication, and very slow to ssh into node, when LDAP enabled and node IP fails to activate due to duplicate in network</t>
  </si>
  <si>
    <t>[Master=54914, Astra-Maint] UNITY BETA: Size on disk reported incorrectly over SMB 3.0</t>
  </si>
  <si>
    <t>[Master=52678, Astra-Maint] NFSD related panic during SPECsfs</t>
  </si>
  <si>
    <t>[Master=54350, Astra-Maint] [UDU 122943] "No such local group" error adding AD or Local users to Administrators group with setfsgroup</t>
  </si>
  <si>
    <t>[Master=48696, Astra-Maint] No cross-protocol locking. NFS clients can corrupt Word docs while in use</t>
  </si>
  <si>
    <t>[Master] lsass crash in rpc__binding_free() while running smbtorture [rpc.samba3.bind.bind] test</t>
  </si>
  <si>
    <t>[Not GA]</t>
  </si>
  <si>
    <t>[Master=48703, Atlas] Backup privilege does not seem to work</t>
  </si>
  <si>
    <t>[Master=55490, Atlas] Request to generate event for loss of persistent handle</t>
  </si>
  <si>
    <t>[Master=55135, Atlas] HP-SMB services were found stuck: SERVICE_UNRESPONSIVE in astra emulator</t>
  </si>
  <si>
    <t>[Master=53355, Atlas] Quota issues with Unity</t>
  </si>
  <si>
    <t>[Master=54292, Atlas] PML registry code is mismanaging SMB registry defaults</t>
  </si>
  <si>
    <t>[Master=54893, Atlas] Ldap status reported OK even when some of LDAP not working and lw-get-status status showing offline</t>
  </si>
  <si>
    <t>[Master=54992, Atlas] Repeating error in /var/log/messages: [lsass] Net Bios Name not matched. Please check the input Netbios name (or) LDAP provider configuration. This is an error message.#012</t>
  </si>
  <si>
    <t>[Master=55269, Atlas] LDAP REST-API does not return the status of LDAP server</t>
  </si>
  <si>
    <t>[Master=55539, Atlas] Fail back failed while doing http share download/upload</t>
  </si>
  <si>
    <t>[Master=55707, Atlas] NFS Restore Fail using NBU ISV to VTL</t>
  </si>
  <si>
    <t>[Master=55766, Atlas] C$ share has "everyone:fullcontrol" perms -- is that too open?</t>
  </si>
  <si>
    <t>[Master=49537, Atlas] PML fun test needed.  CRUD functionality for NFS export as stree</t>
  </si>
  <si>
    <t>[Master=50880, Atlas] hp-smb segfault in lsass while running smbtorture tests in SSL code path</t>
  </si>
  <si>
    <t>[Master=50187, Atlas] RPL : During SRV shutdown RPL returning STATUS_DS_INIT_FAILURE</t>
  </si>
  <si>
    <t>[Master=49164, Atlas] [UDU113325] Could not get groups for user: The authentication request could not be handled</t>
  </si>
  <si>
    <t>[Master=42962, Atlas] LocalAuth: modifying a local group to add/remove non-existing user results in non-intuitive error: ERROR_INVALID_FUNCTION</t>
  </si>
  <si>
    <t>[Master=50497, Atlas] Localauth: user/group creation with valid ( or ) character fails with ERROR_INVALID_FUNCTION but creates the user/group anyways</t>
  </si>
  <si>
    <t>[Master=53446, Atlas] Validation of fail over data for BRL Struture</t>
  </si>
  <si>
    <t>[Master=50237, Atlas] BRL Sequence Number Implementation in Astra</t>
  </si>
  <si>
    <t>[Master=49234, Atlas] Share delete sometimes returns error 31</t>
  </si>
  <si>
    <t>[Master=44771, Atlas] LDAP support for LSA_OBJECT_TYPE_UNDEFINED enumeration</t>
  </si>
  <si>
    <t>[Master=52830, Atlas] 1.0.0.18-20141021.055314: unity:  SMB share connection lost from windows client</t>
  </si>
  <si>
    <t>[Master=52390, Atlas][BUILD] Build failure on buildenv dependency leaves env. in bad state</t>
  </si>
  <si>
    <t>[Master=48400, Atlas] 3 different ways durable handle information is cleaned up</t>
  </si>
  <si>
    <t>[Master=52985, Atlas] Directory Created on a cifs share in 2k3 client is not always visible in 2k8 client</t>
  </si>
  <si>
    <t>[Master=50953, Atlas] quickTest_NFS_test_nfs_failover.py failing often</t>
  </si>
  <si>
    <t>[Master=52912, Atlas] Need a REST call to check that identity mapping is working and REST calls for other HP-SMB stored information that customers need to be able to query</t>
  </si>
  <si>
    <t>[Master=51898, Atlas] SMBTorture - raw.notify tests not passing</t>
  </si>
  <si>
    <t>[Master=46326, Atlas][UDU 110113 ] Tracking purpose: Displayed "Resource temporarily unavailable" while execute "setfacl" command</t>
  </si>
  <si>
    <t>[Master=46238, Atlas] Socket errors observed on 7400 during AD join &amp; also enum of local user failed</t>
  </si>
  <si>
    <t>[Master=42414, Atlas] PHS leasev2 handling when lease state requested is SMB2_LEASE_NONE</t>
  </si>
  <si>
    <t>[Master=50432, Atlas] Permissions on Restored file are different after restore</t>
  </si>
  <si>
    <t>[Master=52294, Atlas] raw.acls.sd.sd test failure: ACEs are not handled in the correct order</t>
  </si>
  <si>
    <t>[Master=47697, Atlas] Directory created for share with relative path is not deleted when share is deleted</t>
  </si>
  <si>
    <t>[Master=49412, Atlas] srv crash in SrvCheckOngoingPheReplicationCallback during shutdown</t>
  </si>
  <si>
    <t>[Master=50012, Atlas] Regression: NetrVFSStateChange returns error 1168 all the time</t>
  </si>
  <si>
    <t>[Master=48464, Atlas] Need mechanism to wait for async closes when running down disconnected durables.</t>
  </si>
  <si>
    <t>[Master=52820, Atlas] [UDU 121034] - Local User/Group getting created with invalid character(dash as the first character)</t>
  </si>
  <si>
    <t>[Master=47415, Atlas] SMB created share directories are not set up with correct inheritance by default</t>
  </si>
  <si>
    <t>[Master=49712, Atlas] Connection error on CIFS client due to lwsm services</t>
  </si>
  <si>
    <t>[Master=46659, Atlas] Create LDAP Config: when one VM is down, reports error but still creates it</t>
  </si>
  <si>
    <t>[Master=48872, Atlas] Folder redirection fails when we set Target folder location as "Redirect to the following Location"</t>
  </si>
  <si>
    <t>[Master=47877, Atlas] ACL:Snapshots:sometimes ace's are missing while copying the snapshot file:Resource temporarily unavailable</t>
  </si>
  <si>
    <t>[Master=55549, Atlas] hp-smb segfault in lsass while running smbtorture tests</t>
  </si>
  <si>
    <t>[Master=46293, Atlas] Lwsmd crashed with ASSERTION FAILED: Expression = (0) after cluster reboot</t>
  </si>
  <si>
    <t>[Master=54094, Atlas] Registry util returns the same error 40700 "key/value not found" when services are down</t>
  </si>
  <si>
    <t>[Master=48484, Atlas] (POST IR13 Quota limit list does not work when AD user details(Domain name) specified in lower case.</t>
  </si>
  <si>
    <t>[Master=52811, Atlas] with AD configured but AD removed from stack, GET AD status returns no providers</t>
  </si>
  <si>
    <t>[Master=52807, Atlas] configuring AD auth fails with generic error when AD isn't in the auth stack</t>
  </si>
  <si>
    <t>[Master=49170, Atlas] PHS-RPL socket read/write hang on partner node can cause outage on working node</t>
  </si>
  <si>
    <t>[Master=49746, Atlas] SMBtorture test SMB2-ACLS-GENERIC is failing</t>
  </si>
  <si>
    <t>[Master=50470, Atlas] Purposely killing lwsmd process does not induce automatic restart of SMB or a failover.</t>
  </si>
  <si>
    <t>[Master=43596, Atlas] (IR12) - User quota on a Roaming profile user allows to create upto one file less than the hard inode limit. (Win Client - WinXP, AD server - WinServer 2008)</t>
  </si>
  <si>
    <t>[Master=55627, Atlas] With heavy load and STONITH failure multiple join request coming from partner node</t>
  </si>
  <si>
    <t>[Master=55719, Atlas] Not able to set and list ad group quota if group name is having caret(^) character in its name</t>
  </si>
  <si>
    <t>[Master=55549, Astra-Maint] hp-smb segfault in lsass while running smbtorture tests</t>
  </si>
  <si>
    <t>[Master=49170, Astra-Maint] PHS-RPL socket read/write hang on partner node can cause outage on working node</t>
  </si>
  <si>
    <t>[Master=52807, Astra-Maint] configuring AD auth fails with generic error when AD isn't in the auth stack</t>
  </si>
  <si>
    <t>[Master=48484, Astra-Maint] (POST IR13 Quota limit list does not work when AD user details(Domain name) specified in lower case.</t>
  </si>
  <si>
    <t>[Master=50470, Astra-Maint] Purposely killing lwsmd process does not induce automatic restart of SMB or a failover.</t>
  </si>
  <si>
    <t>[Master=52811, Astra-Maint] with AD configured but AD removed from stack, GET AD status returns no providers</t>
  </si>
  <si>
    <t>[Master=55719, Astra-Maint] Not able to set and list ad group quota if group name is having caret(^) character in its name</t>
  </si>
  <si>
    <t>[Master] Registry util returns the same error 40700 "key/value not found" when services are down</t>
  </si>
  <si>
    <t>[Master] Validation of fail over data for BRL Struture</t>
  </si>
  <si>
    <t>[Master] Directory Created on a cifs share in 2k3 client is not always visible in 2k8 client</t>
  </si>
  <si>
    <t>[Master] Need a REST call to check that identity mapping is working and REST calls for other HP-SMB stored information that customers need to be able to query</t>
  </si>
  <si>
    <t>[Master] 1.0.0.18-20141021.055314: unity:  SMB share connection lost from windows client</t>
  </si>
  <si>
    <t>[Master] [UDU 121034] - Local User/Group getting created with invalid character(dash as the first character)</t>
  </si>
  <si>
    <t>[Master] with AD configured but AD removed from stack, GET AD status returns no providers</t>
  </si>
  <si>
    <t>[Master] configuring AD auth fails with generic error when AD isn't in the auth stack</t>
  </si>
  <si>
    <t>[Master][BUILD] Build failure on buildenv dependency leaves env. in bad state</t>
  </si>
  <si>
    <t>[Master] raw.acls.sd.sd test failure: ACEs are not handled in the correct order</t>
  </si>
  <si>
    <t>[Master] SMBTorture - raw.notify tests not passing</t>
  </si>
  <si>
    <t>[Master] quickTest_NFS_test_nfs_failover.py failing often</t>
  </si>
  <si>
    <t>[Master] hp-smb segfault in lsass while running smbtorture tests in SSL code path</t>
  </si>
  <si>
    <t>[Master] Localauth: user/group creation with valid ( or ) character fails with ERROR_INVALID_FUNCTION but creates the user/group anyways</t>
  </si>
  <si>
    <t>[Master] Purposely killing lwsmd process does not induce automatic restart of SMB or a failover.</t>
  </si>
  <si>
    <t>[Master] Permissions on Restored file are different after restore</t>
  </si>
  <si>
    <t>[Master] BRL Sequence Number Implementation in Astra</t>
  </si>
  <si>
    <t>[Master] RPL : During SRV shutdown RPL returning STATUS_DS_INIT_FAILURE</t>
  </si>
  <si>
    <t>[Master] Regression: NetrVFSStateChange returns error 1168 all the time</t>
  </si>
  <si>
    <t>[Master] SMBtorture test SMB2-ACLS-GENERIC is failing</t>
  </si>
  <si>
    <t>[Master] Connection error on CIFS client due to lwsm services</t>
  </si>
  <si>
    <t>[Master] PML fun test needed.  CRUD functionality for NFS export as stree</t>
  </si>
  <si>
    <t>[Master] srv crash in SrvCheckOngoingPheReplicationCallback during shutdown</t>
  </si>
  <si>
    <t>[Master] Share delete sometimes returns error 31</t>
  </si>
  <si>
    <t>[Master] PHS-RPL socket read/write hang on partner node can cause outage on working node</t>
  </si>
  <si>
    <t>[Master] [UDU113325] Could not get groups for user: The authentication request could not be handled</t>
  </si>
  <si>
    <t>[Master] Folder redirection fails when we set Target folder location as "Redirect to the following Location"</t>
  </si>
  <si>
    <t>[Master] (POST IR13 Quota limit list does not work when AD user details(Domain name) specified in lower case.</t>
  </si>
  <si>
    <t>[Master] Need mechanism to wait for async closes when running down disconnected durables.</t>
  </si>
  <si>
    <t>[Master] 3 different ways durable handle information is cleaned up</t>
  </si>
  <si>
    <t>[Master] ACL:Snapshots:sometimes ace's are missing while copying the snapshot file:Resource temporarily unavailable</t>
  </si>
  <si>
    <t>[Master] Directory created for share with relative path is not deleted when share is deleted</t>
  </si>
  <si>
    <t>[Master] SMB created share directories are not set up with correct inheritance by default</t>
  </si>
  <si>
    <t>[Master] Create LDAP Config: when one VM is down, reports error but still creates it</t>
  </si>
  <si>
    <t>[Master][UDU 110113 ] Tracking purpose: Displayed "Resource temporarily unavailable" while execute "setfacl" command</t>
  </si>
  <si>
    <t>[Master] Lwsmd crashed with ASSERTION FAILED: Expression = (0) after cluster reboot</t>
  </si>
  <si>
    <t>[Master] Socket errors observed on 7400 during AD join &amp; also enum of local user failed</t>
  </si>
  <si>
    <t>[Master] LDAP support for LSA_OBJECT_TYPE_UNDEFINED enumeration</t>
  </si>
  <si>
    <t>[Master] (IR12) - User quota on a Roaming profile user allows to create upto one file less than the hard inode limit. (Win Client - WinXP, AD server - WinServer 2008)</t>
  </si>
  <si>
    <t>[Master] LocalAuth: modifying a local group to add/remove non-existing user results in non-intuitive error: ERROR_INVALID_FUNCTION</t>
  </si>
  <si>
    <t>[Master] PHS leasev2 handling when lease state requested is SMB2_LEASE_NONE</t>
  </si>
  <si>
    <t>Bedrock Value</t>
  </si>
  <si>
    <t>Red Zone</t>
  </si>
  <si>
    <t>Yellow Zone</t>
  </si>
  <si>
    <t>Green Zone</t>
  </si>
  <si>
    <t>[Not GA] document?</t>
  </si>
  <si>
    <t>[Not GA] no fix in Manchester?</t>
  </si>
  <si>
    <t>[Master] lwio needs consistent handling of STONITH failures (fail SMB3 request)</t>
  </si>
  <si>
    <t>[Master=57072, Atlas] Adding LDAP group ACL from NFSv3 or on VM node using setfacl returns "Invalid Argument" and "ade_idmapd: getgrgid_r error 34 for gid "</t>
  </si>
  <si>
    <t>[Master=57072, Astra-Maint] Adding LDAP group ACL from NFSv3 or on VM node using setfacl returns "Invalid Argument" and "ade_idmapd: getgrgid_r error 34 for gid "</t>
  </si>
  <si>
    <t>[Master] Adding LDAP group ACL from NFSv3 or on VM node using setfacl returns "Invalid Argument" and "ade_idmapd: getgrgid_r error 34 for gid "</t>
  </si>
  <si>
    <t>[Master=52651, Atlas] SMB server performance statistics need to be included in the 3PAR phone home data</t>
  </si>
  <si>
    <t>[Master=47791, Atlas] Need unit/regression tests for ACL bug 44043</t>
  </si>
  <si>
    <t>[Master=48706, Atlas] SMB Server allows creation and use of user on SSID1, but not on SSID2</t>
  </si>
  <si>
    <t>[Master=52482, Atlas] Add additional well known sids</t>
  </si>
  <si>
    <t>[Master=52549, Atlas][UDU118475] No Ldap user access from CIFS or NFS after configuring Ldap with REST - "Ldap" not added to stacking order</t>
  </si>
  <si>
    <t>[Master=52558, Atlas] SMBtorture "RAW-ACLS-NULLDACL" failed</t>
  </si>
  <si>
    <t>[Master=52633, Atlas][UDU 120669] Modify SMB share:Unexpected error ERROR_INVALID_PARAMETER, there is no way to know which Parameter.</t>
  </si>
  <si>
    <t>[Master=53441, Atlas] HP-SMB must take Product Configuration limits from PML as the only reference point</t>
  </si>
  <si>
    <t>[Master=54173, Atlas] Cleanup code required for nfs share creation</t>
  </si>
  <si>
    <t>[Master=55159, Atlas] SMB share created on .admin fstore is not getting restored after performing config restore</t>
  </si>
  <si>
    <t>[Master=56895, Atlas] SMB share list shows "no shares" even though the shares are successfully created and listed  (lost share information).</t>
  </si>
  <si>
    <t>[Master=57010, Atlas] Lsass crashed while running smbtorture tests</t>
  </si>
  <si>
    <t>[Master=57016, Atlas] Config Backup Restore: SEVERE: Completion notification: Failed to create NFS share  for file system mounted on passive nodes</t>
  </si>
  <si>
    <t>[Master] Config Backup Restore: SEVERE: Completion notification: Failed to create NFS share  for file system mounted on passive nodes</t>
  </si>
  <si>
    <t>[Master] SMB share list shows "no shares" even though the shares are successfully created and listed  (lost share information).</t>
  </si>
  <si>
    <t>[Master] SMB share created on .admin fstore is not getting restored after performing config restore</t>
  </si>
  <si>
    <t>suchita.naik@hp.com</t>
  </si>
  <si>
    <t>[Master][UDU 120669] Modify SMB share:Unexpected error ERROR_INVALID_PARAMETER, there is no way to know which Parameter.</t>
  </si>
  <si>
    <t>[Master][UDU118475] No Ldap user access from CIFS or NFS after configuring Ldap with REST - "Ldap" not added to stacking order</t>
  </si>
  <si>
    <t>[Master] Add additional well known sids</t>
  </si>
  <si>
    <t>[Master] Need unit/regression tests for ACL bug 44043</t>
  </si>
  <si>
    <t>[Master=56895, Astra-Maint] SMB share list shows "no shares" even though the shares are successfully created and listed  (lost share information).</t>
  </si>
  <si>
    <t>[Master] "lwsm kill-all" command errors out if a service is already dead</t>
  </si>
  <si>
    <t>[Master=55626, Atlas] hp-smb is getting STONITH failure on requested node when services are not running on partner node</t>
  </si>
  <si>
    <t>[Master] hp-smb is getting STONITH failure on requested node when services are not running on partner node</t>
  </si>
  <si>
    <t>[Master=55619, Atlas] hp-smb segfault in lsass while running smbtorture tests</t>
  </si>
  <si>
    <t>[Master=55915, Atlas] lsass  crash in  NtlmServerDecryptMessage() while runing smbtorture the [rpc.samba3.winreg.winreg] test</t>
  </si>
  <si>
    <t>[Master=56385, Atlas] Investigate blocking instead of "database is locked" failure mode during Unity samdb update operation</t>
  </si>
  <si>
    <t>[Master=56495, Astra-Maint] sometimes "Domain Admins" isn't a member of share admins group (Builtin\administrators) after install</t>
  </si>
  <si>
    <t>[Master=57153, Atlas] lwio needs consistent handling of STONITH failures (fail SMB3 request)</t>
  </si>
  <si>
    <t>[Master=52555, Astra-Maint] When MMC creates a share, it sets the CA bit to 0, disabling persistent handles on that share</t>
  </si>
  <si>
    <t>[Master=57468, Atlas] Stonith Failure may cause orphan PHE</t>
  </si>
  <si>
    <t>[Master=57455, Atlas] Setting LSASS provisioned mode fails to provide NFSv4 ID mapping</t>
  </si>
  <si>
    <t>[Master=57455, Astra-Maint] Setting LSASS provisioned mode fails to provide NFSv4 ID mapping</t>
  </si>
  <si>
    <t>[Master] Stonith Failure may cause orphan PHE</t>
  </si>
  <si>
    <t>[Master=55128, Astra-Maint]stray entries in /etc/exports after CURL delete/update export having more than 31 individual client ips</t>
  </si>
  <si>
    <t>[Master=52552, Astra-Maint] mkdir on NFS share mounted on V3 client returns "mkdir: cannot create directory `&lt;name&gt;': invalid argument" - but dir is still created</t>
  </si>
  <si>
    <t>Target Build</t>
  </si>
  <si>
    <t>[Master=54268, Atlas] Copying STREAMS files from cifs share to Windows client extremely slow (drag and drop from cifs share to client)</t>
  </si>
  <si>
    <t>[Master=57500, Atlas] Group permissions and ACL xattr are not restored after performing NDMP based backup and restore</t>
  </si>
  <si>
    <t>Astra-1.0.1</t>
  </si>
  <si>
    <t>precilla.menezes@hp.com</t>
  </si>
  <si>
    <t>[Master] Group permissions and ACL xattr are not restored after performing NDMP based backup and restore</t>
  </si>
  <si>
    <t>[Master] Setting LSASS provisioned mode fails to provide NFSv4 ID mapping</t>
  </si>
  <si>
    <t>P3</t>
  </si>
  <si>
    <t>[Master=58074, Atlas] HP-SMB server hangs when only 1 CPU core is allocated to Unity KVM</t>
  </si>
  <si>
    <t>[Master=58079, Atlas] (Cross-Protocol) hp-smb  doesn't handle files correctly when their names differ in case only.</t>
  </si>
  <si>
    <t>[Master=58079, Astra-Maint] (Cross-Protocol) hp-smb  doesn't handle files correctly when their names differ in case only.</t>
  </si>
  <si>
    <t>[Master] (Cross-Protocol) hp-smb  doesn't handle files correctly when their names differ in case only.</t>
  </si>
  <si>
    <t>denis.k.legeido@hp.com</t>
  </si>
  <si>
    <t>[Master] HP-SMB server hangs when only 1 CPU core is allocated to Unity KVM</t>
  </si>
  <si>
    <t>[Master=57964, Atlas] Insufficient diagnostic information in logs to understand reason for filesystem freeze conditions caused by smb</t>
  </si>
  <si>
    <t>[Master=57963, Atlas] Insufficient diagnostic information in logs to understand reason for filesystem freeze conditions caused by nfs</t>
  </si>
  <si>
    <t>[Master] Insufficient diagnostic information in logs to understand reason for filesystem freeze conditions caused by smb</t>
  </si>
  <si>
    <t>[Master] Insufficient diagnostic information in logs to understand reason for filesystem freeze conditions caused by nfs</t>
  </si>
  <si>
    <t>[Master=52686, Astra-Maint] [Customer OCSL] Unity Beta: Unable to modify the case of Folder and File names</t>
  </si>
  <si>
    <t>[Master=58308, Atlas] [Customer: Army National Guard] Large Domain Controller tree (the customer has over 150 Domain Controllers) would cause authentication fail, "setfs ad" run several times for all nodes in the cluster to be authenticated in AD.</t>
  </si>
  <si>
    <t>[Master] [Customer: Army National Guard] Large Domain Controller tree (the customer has over 150 Domain Controllers) would cause authentication fail, "setfs ad" need to be run several times in order for all nodes in the cluster to be authenticated in AD.</t>
  </si>
  <si>
    <t>[Cross Protocol]</t>
  </si>
  <si>
    <t>Astra-1.1.0</t>
  </si>
  <si>
    <t>olga.revsin@hp.com</t>
  </si>
  <si>
    <t>QPnT: Performance Test</t>
  </si>
  <si>
    <t>Unit \ Sub System Test</t>
  </si>
  <si>
    <t>QPnT: ISV Test</t>
  </si>
  <si>
    <t>Static Analysis Tools (e.g. Coverity)</t>
  </si>
  <si>
    <t>[Master=56087, Atlas] [Customer: Army National Guard] Cannot change the owner of folder to a group from the Windows client(Error message on Windows client: The security ID structure is invalid )</t>
  </si>
  <si>
    <t>[Master=56087, Astra-Maint] [Customer: Army National Guard] Cannot change the owner of folder to a group from the Windows client(Error message on Windows client: The security ID structure is invalid )</t>
  </si>
  <si>
    <t>[Master] [Customer: Army National Guard] Cannot change the owner of folder to a group from the Windows client(Error message on Windows client: The security ID structure is invalid )</t>
  </si>
  <si>
    <t>Random Test</t>
  </si>
  <si>
    <t>Functional Test</t>
  </si>
  <si>
    <t>[Convert to Rally User Story]</t>
  </si>
  <si>
    <t>RESOLVED</t>
  </si>
  <si>
    <t>[Master=58612, Atlas] [Unity 1.1] NFSv4 share with async option showing longer write times than sync options (File size 2GB)</t>
  </si>
  <si>
    <t>[Master=58612, Astra-Maint] [Unity 1.1] NFSv4 share with async option showing longer write times than sync options (File size 2GB)</t>
  </si>
  <si>
    <t>[Perf]</t>
  </si>
  <si>
    <t>[Master] [Unity 1.1] NFSv4 share with async option showing longer write times than sync options (File size 2GB)</t>
  </si>
  <si>
    <t>[Master=56399, Astra-Maint] [Customer: Army National Guard] removefstore fails when the file store path is a substring of another file store path which contains shares still</t>
  </si>
  <si>
    <t>Bench Test</t>
  </si>
  <si>
    <t>[Master] [Customer: Army National Guard] removefstore fails when the file store path is a substring of another file store path which contains shares still</t>
  </si>
  <si>
    <t>Analysis in progress [Cross Protocol]</t>
  </si>
  <si>
    <t>Scrubbed 0313, class OK</t>
  </si>
  <si>
    <t>[Master=58719, Atlas] LDAP crash observed in development branch</t>
  </si>
  <si>
    <t>[Master=58713, Atlas] nscd is caching the incorrect UID / GID after rfc2307 is enabled on the 7000c array with setfs rfc2307 enable</t>
  </si>
  <si>
    <t>[Master=58713, Astra-Maint] nscd is caching the incorrect UID / GID after rfc2307 is enabled on the 7000c array with setfs rfc2307 enable</t>
  </si>
  <si>
    <t>[Master] nscd is caching the incorrect UID / GID after rfc2307 is enabled on the 7000c array with setfs rfc2307 enable</t>
  </si>
  <si>
    <t>PCR32</t>
  </si>
  <si>
    <t>QPnT : Maintenance Release Test</t>
  </si>
  <si>
    <t>[Master=58905, Atlas] PCR UN_32  Granting Everyone access from SMB does not allow all AD static users to Read from NFS</t>
  </si>
  <si>
    <t>[Master] PCR UN_32  Granting Everyone access from SMB does not allow all AD static users to Read from NFS</t>
  </si>
  <si>
    <t>[Master] RPL deadlock on replicating node observed due to System/kernel crash on partner Node.</t>
  </si>
  <si>
    <t>[Master] STONITH request fails if the node you're trying to kill is crashed/rebooting</t>
  </si>
  <si>
    <t>0324, RZ documentation, not a waiver, need to doc</t>
  </si>
  <si>
    <t>0324, not for GA, proceed to waiver - fix for Manchester</t>
  </si>
  <si>
    <t>[Master=59230, Atlas] [Unity 1.1] Even after deleting an AD user from the group, user can still modify the contents of a folder which has modify permissions for the group.</t>
  </si>
  <si>
    <t>[Master=59230, Astra-Maint] [Unity 1.1] Even after deleting an AD user from the group, user can still modify the contents of a folder which has modify permissions for the group.</t>
  </si>
  <si>
    <t>[Master] [Unity 1.1] Even after deleting an AD user from the group, user can still modify the contents of a folder which has modify permissions for the group.</t>
  </si>
  <si>
    <t xml:space="preserve">0324, not for GA, proceed to waiver </t>
  </si>
  <si>
    <t>Scrubbed 0326, waiver</t>
  </si>
  <si>
    <t>0326 scrub, proceed to waiver</t>
  </si>
  <si>
    <t>chandni.kumari@hp.com</t>
  </si>
  <si>
    <t>[Master=59347, Atlas] [UDU 130538] could not modify user : ERROR_NO_SUCH_USER - Managing a local FS user that matches the name of LDAP user fails</t>
  </si>
  <si>
    <t>[Master=59002, Astra-Maint] STONITH request fails if the node you're trying to kill is crashed/rebooting</t>
  </si>
  <si>
    <t>[Master] Share config  marked corrupted upon restart of HP-SMB services when there was a '\n' in the comment field</t>
  </si>
  <si>
    <t>[Master=59348, Atlas] [UDU 130413] showfsquota does not show netbios name for Ldap user quota</t>
  </si>
  <si>
    <t>[Master=59348, Astra-Maint] [UDU 130413] showfsquota does not show netbios name for Ldap user quota</t>
  </si>
  <si>
    <t>[Master] [UDU 130413] showfsquota does not show netbios name for Ldap user quota</t>
  </si>
  <si>
    <t>[Master] [UDU 130538] could not modify user : ERROR_NO_SUCH_USER - Managing a local FS user that matches the name of LDAP user fails</t>
  </si>
  <si>
    <t>[Master=59551, Atlas] Unable to create SMB share through MMC with AD user added to local â€œAdministratorsâ€ group.</t>
  </si>
  <si>
    <t>[Master=59551, Astra-Maint] Unable to create SMB share through MMC with AD user added to local â€œAdministratorsâ€ group.</t>
  </si>
  <si>
    <t>[Master] Unable to create SMB share through MMC with AD user added to local â€œAdministratorsâ€ group.</t>
  </si>
  <si>
    <t>[Master=59484, Atlas]Creating share with incorrect share permission, creates the share successfully.</t>
  </si>
  <si>
    <t>Scrubbed 0331, bedrock rating OK, close as won't fix</t>
  </si>
  <si>
    <t>[Master=59637, Atlas] Local user is mapped to "nfsnobody" intermittently when listed quota information.</t>
  </si>
  <si>
    <t>[Master=59637, Astra-Maint] Local user is mapped to "nfsnobody" intermittently when listed quota information.</t>
  </si>
  <si>
    <t>[Master] Local user is mapped to "nfsnobody" intermittently when listed quota information.</t>
  </si>
  <si>
    <t>Reviewed 0401, PCR_UN_1_009</t>
  </si>
  <si>
    <t>[Master=59659, Atlas] [UDU 131575] setfsquota creates wrong user name when domain user name has space in between</t>
  </si>
  <si>
    <t>[Master=59659, Astra-Maint] [UDU 131575] setfsquota creates wrong user name when domain user name has space in between</t>
  </si>
  <si>
    <t>[Enhancement][Convert to Rally User Story]</t>
  </si>
  <si>
    <t>[Master=47337, Astra-Maint] [UDU111145] Unable to add local user folder permissions when connected from a Win8/WS2K12 client as local Administrator, when neither client or array is joined to a domain</t>
  </si>
  <si>
    <t>[Master] [UDU 131575] setfsquota creates wrong user name when domain user name has space in between</t>
  </si>
  <si>
    <t>[Master] Creating share with incorrect share permission, creates the share successfully.</t>
  </si>
  <si>
    <t>Platform QA</t>
  </si>
  <si>
    <t>[Master=59751, Atlas] "Catastrophic failure"  while creating folder/file on mounted SMB share in 1.0.1.8-20150330.065036 version</t>
  </si>
  <si>
    <t>[Master=59751, Astra-Maint] "Catastrophic failure"  while creating folder/file on mounted SMB share in 1.0.1.8-20150330.065036 version</t>
  </si>
  <si>
    <t>[Master=59748, Atlas] Atlas v1.2 install has continuing error: Ldap command does not exist: health</t>
  </si>
  <si>
    <t>[Master] "Catastrophic failure"  while creating folder/file on mounted SMB share in 1.0.1.8-20150330.065036 version</t>
  </si>
  <si>
    <t>Reviewed 0406, more info needed</t>
  </si>
  <si>
    <t>[Master=59909, Atlas] Got "com.hp.storage.pml.file.protocols.api.data.ProtocolServiceException: Registry update in progress" exception when trying to add a local user to Administrators group</t>
  </si>
  <si>
    <t>[Master=59909, Astra-Maint] Got "com.hp.storage.pml.file.protocols.api.data.ProtocolServiceException: Registry update in progress" exception when trying to add a local user to Administrators group</t>
  </si>
  <si>
    <t>sunita.panda@hp.com</t>
  </si>
  <si>
    <t>[Master] Got "com.hp.storage.pml.file.protocols.api.data.ProtocolServiceException: Registry update in progress" exception when trying to add a local user to Administrators group</t>
  </si>
  <si>
    <t>gobinathp@hp.com</t>
  </si>
  <si>
    <t>[Master] PML requests hang in PAM authentication, when LDAP enabled and network anomalies prevent communication with LDAP server</t>
  </si>
  <si>
    <t>Reviewed 0409, more info needed</t>
  </si>
  <si>
    <t>Reviewed 0410, duplicate defect, to be closed</t>
  </si>
  <si>
    <t>[Master=60262, Atlas] Got "Error: LW_ERROR_ERRNO_EPIPE" error while executing command "./opt/likewise/bin/lwsm stop srvsvc"</t>
  </si>
  <si>
    <t>0413, proceed to waiver</t>
  </si>
  <si>
    <t>[Master=55017, Astra-Maint] SSMC does not display MMC created share</t>
  </si>
  <si>
    <t>[Master] Got "Error: LW_ERROR_ERRNO_EPIPE" error while executing command "./opt/likewise/bin/lwsm stop srvsvc"</t>
  </si>
  <si>
    <t>[Master] Unable to create file share with long name, unclear error messages</t>
  </si>
  <si>
    <t>Waiting for more Information</t>
  </si>
  <si>
    <t xml:space="preserve">Reviewed 0410, sync master to clone </t>
  </si>
  <si>
    <t>[Master] error "The specified group does not exist" changing folder permissions from Windows Client, if a invalid gid owns the folder in question</t>
  </si>
  <si>
    <t>[Master=60424, Atlas] After applied ACL permission, user can't access folder which was created by him</t>
  </si>
  <si>
    <t>[Master=60424, Astra-Maint] After applied ACL permission, user can't access folder which was created by him</t>
  </si>
  <si>
    <t>lakshmi.varrier@hp.com</t>
  </si>
  <si>
    <t>[Master] After applied ACL permission, user can't access folder which was created by him</t>
  </si>
  <si>
    <t>Awaiting for CRB approval</t>
  </si>
  <si>
    <t>[Master=60357, Astra-maint] Adding NFS share failed with error - export option invalid - problem is the fstore name of ()</t>
  </si>
  <si>
    <t>VERIFIED</t>
  </si>
  <si>
    <t xml:space="preserve"> 0325 scrub, pursue CRB if risk is low</t>
  </si>
  <si>
    <t>[Master=58924, Astra-Maint] RPL deadlock on replicating node observed due to System/kernel crash on partner Node.</t>
  </si>
  <si>
    <t>[Master=58260, Astra-Maint] Cannot modify a permission on a share that contains a deleted user</t>
  </si>
  <si>
    <t>[Master=57332, Astra-Maint] "lwsm kill-all" command errors out if a service is already dead</t>
  </si>
  <si>
    <t>[Master=57466, Astra-Maint] RPL Should retry if it receive Stonith request fails</t>
  </si>
  <si>
    <t>[Master=57465, Astra-Maint] Prevent multiple Stonith request when one Stonith request is in progress</t>
  </si>
  <si>
    <t>[Master=57214, Astra-Maint] SMB share mount operation failed with error "No more data available" after performing configuration restore.</t>
  </si>
  <si>
    <t>[Master=56671, Astra-Maint] rpc.idmapd grabs port 3493 on failover, prevents protocolsserviced from starting</t>
  </si>
  <si>
    <t>[Master=56248, Astra-Maint] Cluster aware health reporting for LDAP</t>
  </si>
  <si>
    <t>Astra-1.0.0.30 (20150119)</t>
  </si>
  <si>
    <t>[Master=57500, Astra-Maint] Group permissions and ACL xattr are not restored after performing NDMP based backup and restore</t>
  </si>
  <si>
    <t>[Master=58968, Astra-Maint] [Unity 1.1] Setting up load order fails with error message "Error: Registry update in progress."</t>
  </si>
  <si>
    <t>[Master=55870, Astra-Maint] Improve localauth PM store performance</t>
  </si>
  <si>
    <t>Delivered</t>
  </si>
  <si>
    <t>Reviewed 0415, more info (is this a duplicate)</t>
  </si>
  <si>
    <t>PML</t>
  </si>
  <si>
    <t>[Master=60453, Astra-Maint] setfshare does not handle long commands</t>
  </si>
  <si>
    <t>[Master=60382, Astra-Maint] Removal of file store on passive node not rejected when SMB shares present, and leaves stale share info configured</t>
  </si>
  <si>
    <t>[Master] Removal of file store on passive node not rejected when SMB shares present, and leaves stale share info configured</t>
  </si>
  <si>
    <t>[Master=60601, Atlas] [UDU 132255] Restarting a robocopy session reports all newer files and copy data again</t>
  </si>
  <si>
    <t>[Master] [UDU 132255] Restarting a robocopy session reports all newer files and copy data again</t>
  </si>
  <si>
    <t>[Master=60556, Atlas] [UDU 132938] - Exception in showfsuer and createuser commands: com.hp.storage.pml.file.protocols.api.exception.HPProtocolServiceImplException: Could not get groups for user: ERROR_WRONG_DISK</t>
  </si>
  <si>
    <t>[Master=60556, Astra-Maint] [UDU 132938] - Exception in showfsuer and createuser commands: com.hp.storage.pml.file.protocols.api.exception.HPProtocolServiceImplException: Could not get groups for user: ERROR_WRONG_DISK</t>
  </si>
  <si>
    <t>[Master=60262, Astra-1.1.0] Got "Error: LW_ERROR_ERRNO_EPIPE" error while executing command "./opt/likewise/bin/lwsm stop srvsvc"</t>
  </si>
  <si>
    <t>[Master=59909, Astra-1.1.0] Got "com.hp.storage.pml.file.protocols.api.data.ProtocolServiceException: Registry update in progress" exception when trying to add a local user to Administrators group</t>
  </si>
  <si>
    <t>[Master=59751, Astra-1.1.0] "Catastrophic failure"  while creating folder/file on mounted SMB share in 1.0.1.8-20150330.065036 version</t>
  </si>
  <si>
    <t>[Master=59659, Astra-1.1.0] [UDU 131575] setfsquota creates wrong user name when domain user name has space in between</t>
  </si>
  <si>
    <t>[Master=59637, Astra-1.1.0] Local user is mapped to "nfsnobody" intermittently when listed quota information.</t>
  </si>
  <si>
    <t>[Master=59551, Astra-1.1.0] Unable to create SMB share through MMC with AD user added to local â€œAdministratorsâ€ group.</t>
  </si>
  <si>
    <t>[Master=59366, Astra-1.1.0] Share config  marked corrupted upon restart of HP-SMB services when there was a '\n' in the comment field</t>
  </si>
  <si>
    <t>[Master=59348, Astra-1.1.0] [UDU 130413] showfsquota does not show netbios name for Ldap user quota</t>
  </si>
  <si>
    <t>[Master=59230, Astra-1.1.0] [Unity 1.1] Even after deleting an AD user from the group, user can still modify the contents of a folder which has modify permissions for the group.</t>
  </si>
  <si>
    <t>[Master=58905, Astra-1.1.0] PCR UN_32  Granting Everyone access from SMB does not allow all AD static users to Read from NFS</t>
  </si>
  <si>
    <t>[Master=58713, Astra-1.1.0] nscd is caching the incorrect UID / GID after rfc2307 is enabled on the 7000c array with setfs rfc2307 enable</t>
  </si>
  <si>
    <t>[Master=58612, Astra-1.1.0] [Unity 1.1] NFSv4 share with async option showing longer write times than sync options (File size 2GB)</t>
  </si>
  <si>
    <t>[Master=57455, Astra-1.1.0] Setting LSASS provisioned mode fails to provide NFSv4 ID mapping</t>
  </si>
  <si>
    <t>[Master=55128, Astra-1.1.0] stray entries in /etc/exports after CURL delete/update export having more than 31 individual client ips</t>
  </si>
  <si>
    <t>[Master=42454, Astra-1.1.0] [Customer: BT, LAWA] CIFS connections lost intermittently on certain clients, new connections not allowed until likewise restart</t>
  </si>
  <si>
    <t>[Master] [UDU 132938] - Exception in showfuser and createuser commands: com.hp.storage.pml.file.protocols.api.exception.HPProtocolServiceImplException: Could not get groups for user: ERROR_WRONG_DISK</t>
  </si>
  <si>
    <t>[Master=60198, Astra-Maint] 3PAR install of v1.1 3/26 continuing error: Could not open Enum Objects Filter</t>
  </si>
  <si>
    <t>[Master=60285, Astra-Maint] Special character '%' in Mtree name causes restore failed with error message "Failed to restore configuration for component com.hp.storage.pml.file.nfs.impl.backuprestore.NFSBackupRestore"</t>
  </si>
  <si>
    <t>[Master] Special character '%' in Mtree name causes restore failed with error message "Failed to restore configuration for component com.hp.storage.pml.file.nfs.impl.backuprestore.NFSBackupRestore"</t>
  </si>
  <si>
    <t>trick.runions@hp.com</t>
  </si>
  <si>
    <t>[Master] 3PAR install of v1.1 3/26 continuing error: Could not open Enum Objects Filter</t>
  </si>
  <si>
    <t>joe.tisa@hp.com</t>
  </si>
  <si>
    <t>Scrubbed 0417, waiver</t>
  </si>
  <si>
    <t>Reviewed 0417, more info needed to determine BR rating</t>
  </si>
  <si>
    <t>Scrubbed 0417, classification ok</t>
  </si>
  <si>
    <t>[Master=60724, Atlas] [Unity 1.1] After setting permissions to a non-owner user on a directory created on the HP-SMB share, inconsistency observed between "cd" and accessing a directory via GUI</t>
  </si>
  <si>
    <t>[Master=60724, Astra-1.1.0] [Unity 1.1] After setting permissions to a non-owner user on a directory created on the HP-SMB share, inconsistency observed between "cd" and accessing a directory via GUI</t>
  </si>
  <si>
    <t>[Master=60724, Astra-Maint] [Unity 1.1] After setting permissions to a non-owner user on a directory created on the HP-SMB share, inconsistency observed between "cd" and accessing a directory via GUI</t>
  </si>
  <si>
    <t>[Master] [Unity 1.1] After setting permissions to a non-owner user on a directory created on the HP-SMB share, inconsistency observed between "cd" and accessing a directory via GUI</t>
  </si>
  <si>
    <t>[Master=60453, Astra-1.1.0] setfshare does not handle long commands</t>
  </si>
  <si>
    <t>[Master] setfshare does not handle long commands</t>
  </si>
  <si>
    <t>[Master] SMB server performance statistics need to be included in the 3PAR phone home data</t>
  </si>
  <si>
    <t>Scrubbed 0421, reduced probability to low</t>
  </si>
  <si>
    <t>0423, working to reproduce via wireshark</t>
  </si>
  <si>
    <t>24-Apr ERT waived for Astra-Maint. No fix for 1.1.0 (re-waive for 1.1?)</t>
  </si>
  <si>
    <t>Enhancement</t>
  </si>
  <si>
    <t>[Master=61271, Atlas] 'setfs idmap' queues configuration changes and each has to be removed in turn to disable idmap</t>
  </si>
  <si>
    <t>[Master=61271, Astra-Maint] 'setfs idmap' queues configuration changes and each has to be removed in turn to disable idmap</t>
  </si>
  <si>
    <t>[Master] 'setfs idmap' queues configuration changes and each has to be removed in turn to disable idmap</t>
  </si>
  <si>
    <t>[Master=57153, Astra-1.1.0] lwio needs consistent handling of STONITH failures (fail SMB3 request)</t>
  </si>
  <si>
    <t>[Master=60601, Astra-1.1.0] [UDU 132255] Restarting a robocopy session reports all newer files and copy data again</t>
  </si>
  <si>
    <t>[Master=53313, Astra-1.1.0] error "The specified group does not exist" changing folder permissions from Windows Client, if a invalid gid owns the folder in question</t>
  </si>
  <si>
    <t>[Master=55619, Astra-1.1.0] hp-smb segfault in lsass while running smbtorture tests</t>
  </si>
  <si>
    <t>[Master=55626, Astra-1.1.0] hp-smb is getting STONITH failure on requested node when services are not running on partner node</t>
  </si>
  <si>
    <t>[Master=56895, Astra-1.1.0] SMB share list shows "no shares" even though the shares are successfully created and listed  (lost share information).</t>
  </si>
  <si>
    <t>[Master=55549, Astra-1.1.0] hp-smb segfault in lsass while running smbtorture tests</t>
  </si>
  <si>
    <t>[Master=54094, Astra-1.1.0] Registry util returns the same error 40700 "key/value not found" when services are down</t>
  </si>
  <si>
    <t>[Master=43596, Astra-1.1.0] (IR12) - User quota on a Roaming profile user allows to create upto one file less than the hard inode limit. (Win Client - WinXP, AD server - WinServer 2008)</t>
  </si>
  <si>
    <t>[Master=50470, Astra-1.1.0] Purposely killing lwsmd process does not induce automatic restart of SMB or a failover.</t>
  </si>
  <si>
    <t>[Master=49746, Astra-1.1.0] SMBtorture test SMB2-ACLS-GENERIC is failing</t>
  </si>
  <si>
    <t>[Master=55627, Astra-1.1.0] With heavy load and STONITH failure multiple join request coming from partner node</t>
  </si>
  <si>
    <t>[Master=46293, Astra-1.1.0] Lwsmd crashed with ASSERTION FAILED: Expression = (0) after cluster reboot</t>
  </si>
  <si>
    <t>[Master=55972, Astra-1.1.0] lsass crash in rpc__binding_free() while running smbtorture [rpc.samba3.bind.bind] test</t>
  </si>
  <si>
    <t>[Master=56450, Astra-1.1.0] srvsvc crash in rpc__cn_sm_eval_event() while running smbtorture [rpc.srvsvc.srvsvc (admin access).NetNameValidate] test</t>
  </si>
  <si>
    <t>[Master=56067, Astra-1.1.0] lsass crash in profile_parse_file() malloc() while running smbtorture [rpc.lsa.lsa] test</t>
  </si>
  <si>
    <t>[Master=56053, Astra-1.1.0] lsass crash in rpc_ss_default_free() while running smbtorure [rpc.bind.ntlm,sign,seal.ntlm,sign,seal] test</t>
  </si>
  <si>
    <t>[Master=55978, Astra-1.1.0] lsass crash in rpc__smb_close_file_complete() while running smbtorture  [rpc.lsa.lsa] test</t>
  </si>
  <si>
    <t>[Master=55928, Astra-1.1.0] lsass crash in rpc__binding_free while running smbtorture [rpc.samba3.lsa.lsa] test</t>
  </si>
  <si>
    <t>[Master=55920, Astra-1.1.0] lsass crash in rpc__smb_close_file_complete() while running smbtorture  [rpc.echo.echo.doublepointer] test</t>
  </si>
  <si>
    <t>[Master=58413, Astra-1.1.0] LoadDynamix testing  runnnig  Max TreeConnect and Max File descriptor scenario caused hp-smb to not respond to subsequent Tree Connects.</t>
  </si>
  <si>
    <t>[Master=58079, Astra-1.1.0] (Cross-Protocol) hp-smb  doesn't handle files correctly when their names differ in case only.</t>
  </si>
  <si>
    <t>[Master=52552, Astra-1.1.0] mkdir on NFS share mounted on V3 client returns "mkdir: cannot create directory `&lt;name&gt;': invalid argument" - but dir is still created</t>
  </si>
  <si>
    <t>[Master=57072, Astra-1.1.0] Adding LDAP group ACL from NFSv3 or on VM node using setfacl returns "Invalid Argument" and "ade_idmapd: getgrgid_r error 34 for gid "</t>
  </si>
  <si>
    <t>[Master=52678, Astra-1.1.0] NFSD related panic during SPECsfs</t>
  </si>
  <si>
    <t>[Master=48696, Astra-1.1.0] No cross-protocol locking. NFS clients can corrupt Word docs while in use</t>
  </si>
  <si>
    <t>[Master=53006, Astra-1.1.0] file lock inconsistency detected when failover is in progress</t>
  </si>
  <si>
    <t>[Master=50644, Astra-1.1.0] Parsing mount table option string is buggy</t>
  </si>
  <si>
    <t>[Master=37973, Astra-1.1.0] lsass &amp; ibfs stuck while configuring idMapping</t>
  </si>
  <si>
    <t>[determining validity of issue]</t>
  </si>
  <si>
    <t>[Master=49537, Astra-1.1.0] PML fun test needed.  CRUD functionality for NFS export as stree</t>
  </si>
  <si>
    <t>[Master=50880, Astra-1.1.0] hp-smb segfault in lsass while running smbtorture tests in SSL code path</t>
  </si>
  <si>
    <t>[Master=50187, Astra-1.1.0] RPL : During SRV shutdown RPL returning STATUS_DS_INIT_FAILURE</t>
  </si>
  <si>
    <t>[Master=49164, Astra-1.1.0] [UDU113325] Could not get groups for user: The authentication request could not be handled</t>
  </si>
  <si>
    <t>[Master=42962, Astra-1.1.0] LocalAuth: modifying a local group to add/remove non-existing user results in non-intuitive error: ERROR_INVALID_FUNCTION</t>
  </si>
  <si>
    <t>[Master=52985, Astta-1.1.0] Directory Created on a cifs share in 2k3 client is not always visible in 2k8 client</t>
  </si>
  <si>
    <t>[Master=50953, Astra-1.1.0] quickTest_NFS_test_nfs_failover.py failing often</t>
  </si>
  <si>
    <t>[Master=51898, Astra-1.1.0] SMBTorture - raw.notify tests not passing</t>
  </si>
  <si>
    <t>[Master=61403, Atlas] "showfsquota" command displayed local group (Linux group) instead of ldap group on which quota limits applied.</t>
  </si>
  <si>
    <t>[Master=61403, Astra-1.1.0] "showfsquota" command displayed local group (Linux group) instead of ldap group on which quota limits applied.</t>
  </si>
  <si>
    <t>[Master=61403, Astra-Maint] "showfsquota" command displayed local group (Linux group) instead of ldap group on which quota limits applied.</t>
  </si>
  <si>
    <t>[Master] "showfsquota" command displayed local group (Linux group) instead of ldap group on which quota limits applied.</t>
  </si>
  <si>
    <t>Review completed - Ready to Checkin</t>
  </si>
  <si>
    <t>Scrubbed 0429, bedrock rating confirmed</t>
  </si>
  <si>
    <t>[Master=61543, Atlas] Need to document the supported features when using Microsoft Management Console (MMC) to manage a File Persona share</t>
  </si>
  <si>
    <t>[Master=61543, Astra-1.1.0] Need to document the supported features when using Microsoft Management Console (MMC) to manage a File Persona share</t>
  </si>
  <si>
    <t>[Master] Need to document the supported features when using Microsoft Management Console (MMC) to manage a File Persona share</t>
  </si>
  <si>
    <t>[Master=61482, Atlas] Renaming of file is slow from SMB clients</t>
  </si>
  <si>
    <t>[Master=61482, Astra-1.1.0] Renaming of file is slow from SMB clients</t>
  </si>
  <si>
    <t>[Master=61468, Atlas] [UDU 133573] - Need to update error message while "createfsuser" command failed due to user limit</t>
  </si>
  <si>
    <t>[Master=61468, Astra-1.1.0] [UDU 133573] - Need to update error message while "createfsuser" command failed due to user limit</t>
  </si>
  <si>
    <t>[Master] [UDU 133573] - Need to update error message while "createfsuser" command failed due to user limit</t>
  </si>
  <si>
    <t>[Master=61626, Atlas] Support File Persona user and groups with an id &lt; 1000 and &gt;65535</t>
  </si>
  <si>
    <t>[Master=61626, Astra-1.1.0] Support File Persona user and groups with an id &lt; 1000 and &gt;65535</t>
  </si>
  <si>
    <t>[Master] Support File Persona user and groups with an id &lt; 1000 and &gt;65535</t>
  </si>
  <si>
    <t>[Master=61563, Atlas] process=lwsmd, pid=8387) crashed; auto log collection called, after Revert</t>
  </si>
  <si>
    <t>[Master=61563, Astra-1.1.0] process=lwsmd, pid=8387) crashed; auto log collection called, after Revert</t>
  </si>
  <si>
    <t>[Master] process=lwsmd, pid=8387) crashed; auto log collection called, after Revert</t>
  </si>
  <si>
    <t>[Master=61555, Atlas] Some NFS shares reporting state unknown</t>
  </si>
  <si>
    <t>[Master=61555, Astra-1.1.0] Some NFS shares reporting state unknown</t>
  </si>
  <si>
    <t>[Master] Some NFS shares reporting state unknown</t>
  </si>
  <si>
    <t>May 5th waiver review mtg, waiver and support plan defined</t>
  </si>
  <si>
    <t>May 5th waiver review mtg, waiver support plan defined</t>
  </si>
  <si>
    <t>May 5th waiver review mtg, reduced to major low</t>
  </si>
  <si>
    <t>[Master=61696, Astra-Maint] Able to create NFS shares with duplicate name at mtree level.</t>
  </si>
  <si>
    <t>[Master=61692, Atlas] Windows users should not be able to browse the C$ (admin share) of a VFS and see fstores that are not shared via SMB.</t>
  </si>
  <si>
    <t>[Master=61692, Astra-1.1.0] Windows users should not be able to browse the C$ (admin share) of a VFS and see fstores that are not shared via SMB.</t>
  </si>
  <si>
    <t>[Master=61692, Astra-Maint] Windows users should not be able to browse the C$ (admin share) of a VFS and see fstores that are not shared via SMB.</t>
  </si>
  <si>
    <t>[Master] Windows users should not be able to browse the C$ (admin share) of a VFS and see fstores that are not shared via SMB.</t>
  </si>
  <si>
    <t>[Master=61595, Atlas] Not able to create NFS share on DR setup with Unity1.2 and PML Sprint#5 rpms</t>
  </si>
  <si>
    <t>Scrubbed 0506, reduced to YZ</t>
  </si>
  <si>
    <t>[Master=61875, Atlas] Document the list of SMB, NFS, LDAP, and AD ports required to support File Persona behind a customer firewall.</t>
  </si>
  <si>
    <t>[Master=61875, Astra-1.1.0] Document the list of SMB, NFS, LDAP, and AD ports required to support File Persona behind a customer firewall.</t>
  </si>
  <si>
    <t>[Master] Document the list of SMB, NFS, LDAP, and AD ports required to support File Persona behind a customer firewall.</t>
  </si>
  <si>
    <t>[Master] [Customer: Army National Guard] User Quotas: Changing ownership of files from one user to another, does not show/calculate in quota for new file owner</t>
  </si>
  <si>
    <t>[Master=61956, Astra-Maint] Removing all ACEs from an SMB ACL results in loss of access to the file</t>
  </si>
  <si>
    <t>[Master] Removing all ACEs from an SMB ACL results in loss of access to the file</t>
  </si>
  <si>
    <t>[Master=61897, Astra-1.1.0] setfacl over nfsv3 fails where the UID or GID cannot be resolved to a name by the File Persona node.</t>
  </si>
  <si>
    <t>[Master] setfacl over nfsv3 fails where the UID or GID cannot be resolved to a name by the File Persona node.</t>
  </si>
  <si>
    <t>[Master=49170, Astra-1.1.0] PHS-RPL socket read/write hang on partner node can cause outage on working node</t>
  </si>
  <si>
    <t>8-May need more info, appears uncommon usage</t>
  </si>
  <si>
    <t>Scrubbed 0508, proceed to waiver</t>
  </si>
  <si>
    <t>Scrubbed 0508, reduced to major low</t>
  </si>
  <si>
    <t>[Master=50242, Astra-Maint] Cannot delete local user if duplicate UID present on other providers</t>
  </si>
  <si>
    <t>[Master] Able to create only two NFS shares with duplicate name at mtree level.</t>
  </si>
  <si>
    <t>[Master=62165, Atlas] Size on disk reported inconsistently over SMB 2.x/1.0 as compared to SMB 3.0 (4KB vs. 8KB)</t>
  </si>
  <si>
    <t>[Master=62165, Astra-1.1.0] Size on disk reported inconsistently over SMB 2.x/1.0 as compared to SMB 3.0 (4KB vs. 8KB)</t>
  </si>
  <si>
    <t>12-May Proceed to waiver</t>
  </si>
  <si>
    <t>Scrubbed 0330, changed severity to major, prob to low</t>
  </si>
  <si>
    <t>External Advisory</t>
  </si>
  <si>
    <t>Task</t>
  </si>
  <si>
    <t>[Master=61543, Astra-Maint] Need to document the supported features when using Microsoft Management Console (MMC) to manage a File Persona share</t>
  </si>
  <si>
    <t>P7</t>
  </si>
  <si>
    <t>[Master=50105, Atlas] Follow up to 49630,  Need to have utils rpm built by hp-smb</t>
  </si>
  <si>
    <t>[Master=53213, Atlas] No continuation of enumeration is implemented. This is a violation of Microsoft spec.</t>
  </si>
  <si>
    <t>[Master=51589, Atlas] Crash in lsass while runing smbtorture tests</t>
  </si>
  <si>
    <t>[Master=51177, Atlas] (Post IR13 09-26) Adding folder targets as DFS Replication members fails with error message "The Windows NT 4.0 account name cannot be converted to a FQDN"</t>
  </si>
  <si>
    <t>[Master=51177, Astra-1.1.0] (Post IR13 09-26) Adding folder targets as DFS Replication members fails with error message "The Windows NT 4.0 account name cannot be converted to a FQDN"</t>
  </si>
  <si>
    <t>[Master=39099, Atlas] Persistent Handles: RPL dead lock between two node</t>
  </si>
  <si>
    <t>[Master=61593, Atlas] Not able to create NFS share on DR setup with Unity1.2 and PML Sprint#5 rpms</t>
  </si>
  <si>
    <t>[Master=60468, Atlas] OpenSSL March 2015 advisories require new OpenSSL library in HP-SMB</t>
  </si>
  <si>
    <t>[Master=60468, Astra-1.1.0] OpenSSL March 2015 advisories require new OpenSSL library in HP-SMB</t>
  </si>
  <si>
    <t>[Master=60468, Astra-Maint] OpenSSL March 2015 advisories require new OpenSSL library in HP-SMB</t>
  </si>
  <si>
    <t>[Master=62099, Atlas] Cannot mount VFS/SMB share reliably with more than 2 interfaces simultaneously</t>
  </si>
  <si>
    <t>[Master=62099, Astra-1.1.0] Cannot mount VFS/SMB share reliably with more than 2 interfaces simultaneously</t>
  </si>
  <si>
    <t>[Master=62099, Astra-Maint] Cannot mount VFS/SMB share reliably with more than 2 interfaces simultaneously</t>
  </si>
  <si>
    <t>terry.dean@hp.com</t>
  </si>
  <si>
    <t>[Master] Cannot mount VFS/SMB share reliably with more than 2 interfaces simultaneously</t>
  </si>
  <si>
    <t>rakesh-arun.khachane@hp.com</t>
  </si>
  <si>
    <t>[Master=59164, Atlas] [Customer: Army National Guard] User Quotas: Changing ownership of files from one user to another, does not show/calculate in quota for new file owner</t>
  </si>
  <si>
    <t>[Master=59164, Astra-Maint] [Customer: Army National Guard] User Quotas: Changing ownership of files from one user to another, does not show/calculate in quota for new file owner</t>
  </si>
  <si>
    <t>[Master=59164, Astra-1.1.0] [Customer: Army National Guard] User Quotas: Changing ownership of files from one user to another, does not show/calculate in quota for new file owner</t>
  </si>
  <si>
    <t>[Master] No continuation of enumeration is implemented. This is a violation of Microsoft spec.</t>
  </si>
  <si>
    <t>[Master] Crash in lsass while runing smbtorture tests</t>
  </si>
  <si>
    <t>[Master] (Post IR13 09-26) Adding folder targets as DFS Replication members fails with error message "The Windows NT 4.0 account name cannot be converted to a FQDN"</t>
  </si>
  <si>
    <t>[Master] Follow up to 49630,  Need to have utils rpm built by hp-smb</t>
  </si>
  <si>
    <t>[Master] Persistent Handles: RPL dead lock between two node</t>
  </si>
  <si>
    <t>Reviewed 0513, working to reproduce</t>
  </si>
  <si>
    <t>[Master=62359, Atlas] Need mechanism to disable ejecting LDAP from stack when LDAP server is zombie</t>
  </si>
  <si>
    <t>[Master=62359, Astra-1.1.0] Need mechanism to disable ejecting LDAP from stack when LDAP server is zombie</t>
  </si>
  <si>
    <t>[Master] Need mechanism to disable ejecting LDAP from stack when LDAP server is zombie</t>
  </si>
  <si>
    <t>Reviewed 0429, working to reproduce</t>
  </si>
  <si>
    <t>[Master=61184, Atlas] "Unknown error 528" error message appeared at NFS client side while reach 100k files</t>
  </si>
  <si>
    <t>[Master=61184, Astra-1.1.0] "Unknown error 528" error message appeared at NFS client side while reach 100k files</t>
  </si>
  <si>
    <t>[Master=61184, Astra-Maint] "Unknown error 528" error message appeared at NFS client side while reach 100k files</t>
  </si>
  <si>
    <t>[Master] "Unknown error 528" error message appeared at NFS client side while reach 100k files</t>
  </si>
  <si>
    <t>[Master=60118, Astra-1.1.0] Unable to create file share with long name, unclear error messages</t>
  </si>
  <si>
    <t>[MASTER=62407, Atlas]Share name ending with $ doesn't go away even after unmounting the file system</t>
  </si>
  <si>
    <t>[MASTER=62407, Astra-1.1.0]Share name ending with $ doesn't go away even after unmounting the file system</t>
  </si>
  <si>
    <t>Astra_1.1.0.23-20150528</t>
  </si>
  <si>
    <t>*Unknown (Triage)-HTTP DataPath</t>
  </si>
  <si>
    <t>Protocols-HTTP-DataPath</t>
  </si>
  <si>
    <t>vijaya-sai.vakacharla@hp.com</t>
  </si>
  <si>
    <t>[Master=54778,Astra-1.1.0] NFS/HTTP users donâ€™t have access folder if permission given with built in â€œdomain usersâ€ group</t>
  </si>
  <si>
    <t>kantharaju.erachar@hp.com</t>
  </si>
  <si>
    <t>Product working as designed. VERY rare circumstance</t>
  </si>
  <si>
    <t>Install/Upgrade-AAUM</t>
  </si>
  <si>
    <t>[Master=62607, Atlas] SMB outage (du) on shares of both nodes in couplet pair due to kernel panic of one node and failover</t>
  </si>
  <si>
    <t>[Master=62607, Astra-1.1.0] SMB outage (du) on shares of both nodes in couplet pair due to kernel panic of one node and failover</t>
  </si>
  <si>
    <t>[Master=62607, Astra-Maint] SMB outage (du) on shares of both nodes in couplet pair due to kernel panic of one node and failover</t>
  </si>
  <si>
    <t>[Master] SMB outage (du) on shares of both nodes in couplet pair due to kernel panic of one node and failover</t>
  </si>
  <si>
    <t>[Master=62559, Atlas] POSIX tests fail for the chown to root user using NFSv4 and no_root_squash</t>
  </si>
  <si>
    <t>[Master=62559, Astra-Maint] POSIX tests fail for the chown to root user using NFSv4 and no_root_squash</t>
  </si>
  <si>
    <t>james.mcevoy@hp.com</t>
  </si>
  <si>
    <t>[Master] POSIX tests fail for the chown to root user using NFSv4 and no_root_squash</t>
  </si>
  <si>
    <t>Denied by QA</t>
  </si>
  <si>
    <t>[Master=62719, Atlas] [UDU Bug 136049] - "showfs -ldap" shows LDAP configuration details even though the "setfs ldap" failed with error message.</t>
  </si>
  <si>
    <t>[Master=62719, Astra-1.1.0] [UDU Bug 136049] - "showfs -ldap" shows LDAP configuration details even though the "setfs ldap" failed with error message.</t>
  </si>
  <si>
    <t>[Master=62719, Astra-Maint] [UDU Bug 136049] - "showfs -ldap" shows LDAP configuration details even though the "setfs ldap" failed with error message.</t>
  </si>
  <si>
    <t>[Master] [UDU Bug 136049] - "showfs -ldap" shows LDAP configuration details even though the "setfs ldap" failed with error message.</t>
  </si>
  <si>
    <t>[Master=62690, Astra-Maint] Using setfs smb to change one or more parameters will unknowingly change previously set parameters back to default</t>
  </si>
  <si>
    <t>[Master] Using setfs smb to change one or more parameters will unknowingly change previously set parameters back to default</t>
  </si>
  <si>
    <t>[Master=62618, Astra-Maint] setfs smb -smb2enabled false does not update registry on nodes</t>
  </si>
  <si>
    <t>[Master=62620, Atlas] LdapHealthNotinProviderStackingException recurring on new 3par install of iso image</t>
  </si>
  <si>
    <t>[Master=62620, Astra-1.1.0] LdapHealthNotinProviderStackingException recurring on new 3par install of iso image</t>
  </si>
  <si>
    <t>[Master=62620, Astra-Maint] LdapHealthNotinProviderStackingException recurring on new 3par install of iso image</t>
  </si>
  <si>
    <t>[Master] LdapHealthNotinProviderStackingException recurring on new 3par install of iso image</t>
  </si>
  <si>
    <t>[Master=62730, Atlas] [UDU 135669] Deleting NFSv4 domain name the first time does not work if it was previously modified</t>
  </si>
  <si>
    <t>[Master=62730, Astra-1.1.0] [UDU 135669] Deleting NFSv4 domain name the first time does not work if it was previously modified</t>
  </si>
  <si>
    <t>[Master=62730, Astra-Maint] [UDU 135669] Deleting NFSv4 domain name the first time does not work if it was previously modified</t>
  </si>
  <si>
    <t>[Master] [UDU 135669] Deleting NFSv4 domain name the first time does not work if it was previously modified</t>
  </si>
  <si>
    <t>Astra_1.1.0.24-20150604</t>
  </si>
  <si>
    <t>[Master=62801, Atlas] [Customer: Keppel Fels] HpProtocolsServices.log logs hundreds of these 'errors' per day: /pmlInterface/net/SMBFacade.cpp(38): Sigabort sent</t>
  </si>
  <si>
    <t>[Master=62801, Astra-1.1.0] [Customer: Keppel Fels] HpProtocolsServices.log logs hundreds of these 'errors' per day: /pmlInterface/net/SMBFacade.cpp(38): Sigabort sent</t>
  </si>
  <si>
    <t>[Master=62801, Astra-Maint] [Customer: Keppel Fels] HpProtocolsServices.log logs hundreds of these 'errors' per day: /pmlInterface/net/SMBFacade.cpp(38): Sigabort sent</t>
  </si>
  <si>
    <t>matthew.leach3@hp.com</t>
  </si>
  <si>
    <t>[Master] [Customer: Keppel Fels] HpProtocolsServices.log logs hundreds of these 'errors' per day: /pmlInterface/net/SMBFacade.cpp(38): Sigabort sent</t>
  </si>
  <si>
    <t>Astra_1.1.0.25-20150611</t>
  </si>
  <si>
    <t>[Master=62999, Atlas] Unable to create files via SMB client when AV scan policy is ON for AV TRENDMICRO .</t>
  </si>
  <si>
    <t>[Master=62999, Astra-1.1.0] Unable to create files via SMB client when AV scan policy is ON for AV TRENDMICRO .</t>
  </si>
  <si>
    <t>[Master=62999, Astra-Maint] Unable to create files via SMB client when AV scan policy is ON for AV TRENDMICRO .</t>
  </si>
  <si>
    <t>[Master] Unable to create files via SMB client when AV scan policy is ON for AV TRENDMICRO .</t>
  </si>
  <si>
    <t>[Master=62959, Atlas] Adding acl for EVERYONE@&lt;domain&gt; with Full Control using setfshare applies correctly but does not grant the desired access</t>
  </si>
  <si>
    <t>[Master=62959, Astra-1.1.0] Adding acl for EVERYONE@&lt;domain&gt; with Full Control using setfshare applies correctly but does not grant the desired access</t>
  </si>
  <si>
    <t>[Master=62950, Atlas] [UDU 136039] - NFS share health state is "Unknown" after online upgrade performed from 3.2.1.292 (MU3) to 3.2.2.168</t>
  </si>
  <si>
    <t>[Master=62950, Astra-1.1.0] [UDU 136039] - NFS share health state is "Unknown" after online upgrade performed from 3.2.1.292 (MU3) to 3.2.2.168</t>
  </si>
  <si>
    <t>[Master=62917, Atlas] [HP-SMB] : File after issuing chmod 444 is not getting transitioned to retained on a HP-SMB share mounted on the Linux client.</t>
  </si>
  <si>
    <t>[Master] Adding acl for EVERYONE@&lt;domain&gt; with Full Control using setfshare applies correctly but does not grant the desired access</t>
  </si>
  <si>
    <t>[Master] [UDU 136039] - NFS share health state is "Unknown" after online upgrade performed from 3.2.1.292 (MU3) to 3.2.2.168</t>
  </si>
  <si>
    <t>[Master=62918, Atlas] [UDU Bug: 136288]Reading of a file by more command from a SMB3 client during a node failover should not continue when â€œsupportpersistenthandlesâ€ parameter in setfs â€“smb tunables is set to false.</t>
  </si>
  <si>
    <t>[Master] [UDU Bug: 136288]Reading of a file by more command from a SMB3 client during a node failover should not continue when â€œsupportpersistenthandlesâ€ parameter in setfs â€“smb tunables is set to false.</t>
  </si>
  <si>
    <t>[Master=62876, Atlas] AD Domain join fails when a manual machine account is added and the Principal used doesn't have write access to the LDAP OU</t>
  </si>
  <si>
    <t>[Master=62876, Astra-1.1.0] AD Domain join fails when a manual machine account is added and the Principal used doesn't have write access to the LDAP OU</t>
  </si>
  <si>
    <t>[Master=62876, Astra-Maint] AD Domain join fails when a manual machine account is added and the Principal used doesn't have write access to the LDAP OU</t>
  </si>
  <si>
    <t>[Master] AD Domain join fails when a manual machine account is added and the Principal used doesn't have write access to the LDAP OU</t>
  </si>
  <si>
    <t>Analysis in Progress</t>
  </si>
  <si>
    <t>BugID</t>
  </si>
  <si>
    <t>Problem</t>
  </si>
  <si>
    <t>[Master=63069, Atlas] Config Backup ACLs:  SET ACL and GET ACL permissions Failing  File System mounted  on PASSIVE node.</t>
  </si>
  <si>
    <t>[Master=62785, Atlas] Showfshare smb -dirperm not listing "D" flag - (Delete-Child on directories) which is required for write access for NFSv3 clients</t>
  </si>
  <si>
    <t>[Master=62785, Astra-1.1.0] Showfshare smb -dirperm not listing "D" flag - (Delete-Child on directories) which is required for write access for NFSv3 clients</t>
  </si>
  <si>
    <t>[Master] Showfshare smb -dirperm not listing "D" flag - (Delete-Child on directories) which is required for write access for NFSv3 clients</t>
  </si>
  <si>
    <t>[Master=60769, Astra-1.1.0] Failed to create SMB share for file store with 255 characters</t>
  </si>
  <si>
    <t>[Master=60769, Astra-Maint] Failed to create SMB share for file store with 255 characters</t>
  </si>
  <si>
    <t>[Master=63107,Atlas]RESOURCE_LEAK ,new resource is allocated in ldap module for 'fd', is leaked</t>
  </si>
  <si>
    <t>[Master] setfs smb -smb2enabled only effects AD connections - missing SupportSmb2 tunable for client connections</t>
  </si>
  <si>
    <t>Astra_1.1.0.27-20150625</t>
  </si>
  <si>
    <t>[issue found CRB pending]</t>
  </si>
  <si>
    <t>[Master=63194, Atlas] "lwsmd: Container dead with signal 6" and loss SMB access while InServ node crashed</t>
  </si>
  <si>
    <t>[Master=63194, Astra-1.1.0] "lwsmd: Container dead with signal 6" and loss SMB access while InServ node crashed</t>
  </si>
  <si>
    <t>[Master=63181, Astra-1.1.0] - Permission PML plugin has stopped working.  JNA no longer able to locate library Nfs4AclLibrary.</t>
  </si>
  <si>
    <t>[Master] - Permission PML plugin has stopped working.  JNA no longer able to locate library Nfs4AclLibrary.</t>
  </si>
  <si>
    <t>[Master=63136, Atlas] Updating the ACL Permissions on a re-created Share after cluster cleanup gives javax.servlet.ServletException: org.glassfish.jersey.server.ContainerException: java.lang.NoClassDefFoundError</t>
  </si>
  <si>
    <t>[Master=63164, Atlas] SMB Tunable Parameters- â€œsigningenabledâ€ and "signingrequired" are not toggling the correct registry keys on the nodes</t>
  </si>
  <si>
    <t>[Master=63164, Astra-1.1.0] SMB Tunable Parameters- â€œsigningenabledâ€ and "signingrequired" are not toggling the correct registry keys on the nodes</t>
  </si>
  <si>
    <t>[Master=63164, Astra-Maint] SMB Tunable Parameters- â€œsigningenabledâ€ and "signingrequired" are not toggling the correct registry keys on the nodes</t>
  </si>
  <si>
    <t>[Master=63161, Atlas] [VDU 137121] Need details for smb tunable parameters to effectively test as well as document online help and user docs</t>
  </si>
  <si>
    <t>[Master=63161, Astra-1.1.0] [VDU 137121] Need details for smb tunable parameters to effectively test as well as document online help and user docs</t>
  </si>
  <si>
    <t>[Master=63161, Astra-Maint] [VDU 137121] Need details for smb tunable parameters to effectively test as well as document online help and user docs</t>
  </si>
  <si>
    <t>[Master=63107,Atlas]Redundant code ,Null-checking "pLoginInfo" in function LDAPCreateFilter , it has already been checked in cleanup.</t>
  </si>
  <si>
    <t>[Master] SMB Tunable Parameters- â€œsigningenabledâ€ and "signingrequired" are not toggling the correct registry keys on the nodes</t>
  </si>
  <si>
    <t>[Master] [VDU 137121] Need details for smb tunable parameters to effectively test as well as document online help and user docs</t>
  </si>
  <si>
    <t>[Master=63197, Atlas] FPG node0_nfs_fpg_1 failed to deactivate completely (RMFS failed) on host node0fs, likely because FPG is busy</t>
  </si>
  <si>
    <t>[Master=63197, Astra-Maint] FPG node0_nfs_fpg_1 failed to deactivate completely (RMFS failed) on host node0fs, likely because FPG is busy</t>
  </si>
  <si>
    <t>[Master] FPG node0_nfs_fpg_1 failed to deactivate completely (RMFS failed) on host node0fs, likely because FPG is busy</t>
  </si>
  <si>
    <t>[Master] "lwsmd: Container dead with signal 6" and loss SMB access while InServ node crashed</t>
  </si>
  <si>
    <t>[Master=63227, Atlas] SMB Tunable Parameters- dcnusesinotify is not working as per intended functionality when it is set to true.</t>
  </si>
  <si>
    <t>[Master=63227, Astra-1.1.0] SMB Tunable Parameters- dcnusesinotify is not working as per intended functionality when it is set to true.</t>
  </si>
  <si>
    <t>[Master] SMB Tunable Parameters- dcnusesinotify is not working as per intended functionality when it is set to true.</t>
  </si>
  <si>
    <t>0602, info provided to reproduce, working resolution</t>
  </si>
  <si>
    <t>0602, wireshark in progress</t>
  </si>
  <si>
    <t>0602, investigation in progress, 0603</t>
  </si>
  <si>
    <t>0602, investigation in progress, update on 0603</t>
  </si>
  <si>
    <t>[Master=63582, Atlas] US 35922 SMB registry changes to dynamically calculate tree connect limits in support of CPU scaling.</t>
  </si>
  <si>
    <t>[Master] US 35922 SMB registry changes to dynamically calculate tree connect limits in support of CPU scaling.</t>
  </si>
  <si>
    <t>[Master=63553, Atlas] Error message when invalid Type attribute provided for ACE on ACL modification says "Invalid Type null" even if incorrect value is not null.</t>
  </si>
  <si>
    <t>[Master=63553, Astra-1.1.0] Error message when invalid Type attribute provided for ACE on ACL modification says "Invalid Type null" even if incorrect value is not null.</t>
  </si>
  <si>
    <t>[Master=63553, Astra-Maint] Error message when invalid Type attribute provided for ACE on ACL modification says "Invalid Type null" even if incorrect value is not null.</t>
  </si>
  <si>
    <t>[Master] Error message when invalid Type attribute provided for ACE on ACL modification says "Invalid Type null" even if incorrect value is not null.</t>
  </si>
  <si>
    <t>[Master=63480, Atlas] [Customer: Keppel Fels] hp-smb stack crashes with: lwsmd[3235]: segfault at 20 ip 0000003c38009220 sp 00007f7210585cc8 error 4 in libpthread-2.12.so[3c38000000+17000]</t>
  </si>
  <si>
    <t>[Master=63480, Astra-1.1.0] [Customer: Keppel Fels] hp-smb stack crashes with: lwsmd[3235]: segfault at 20 ip 0000003c38009220 sp 00007f7210585cc8 error 4 in libpthread-2.12.so[3c38000000+17000]</t>
  </si>
  <si>
    <t>[Master=63480, Astra-Maint] [Customer: Keppel Fels] hp-smb stack crashes with: lwsmd[3235]: segfault at 20 ip 0000003c38009220 sp 00007f7210585cc8 error 4 in libpthread-2.12.so[3c38000000+17000]</t>
  </si>
  <si>
    <t>[Master=63486, Atlas] File Services Node Active Directory Configuration:0:directory-management-resource-h Failed  (FAILED)</t>
  </si>
  <si>
    <t>[Master=63486, Astra-1.1.0] File Services Node Active Directory Configuration:0:directory-management-resource-h Failed  (FAILED)</t>
  </si>
  <si>
    <t>[Master=63486, Astra-Maint] File Services Node Active Directory Configuration:0:directory-management-resource-h Failed  (FAILED)</t>
  </si>
  <si>
    <t>samir.k.modi@hp.com</t>
  </si>
  <si>
    <t>[Master] File Services Node Active Directory Configuration:0:directory-management-resource-h Failed  (FAILED)</t>
  </si>
  <si>
    <t>[Master] [Customer: Keppel Fels] hp-smb stack crashes with: lwsmd[3235]: segfault at 20 ip 0000003c38009220 sp 00007f7210585cc8 error 4 in libpthread-2.12.so[3c38000000+17000]</t>
  </si>
  <si>
    <t>[Master=63463, Atlas] [UDU136134] Online upgrade failed from 3.2.1.292 (MU3) to 3.2.2.186 due to HP-SMB services are not ready</t>
  </si>
  <si>
    <t>[Master=63463, Astra-1.1.0] [UDU136134] Online upgrade failed from 3.2.1.292 (MU3) to 3.2.2.186 due to HP-SMB services are not ready</t>
  </si>
  <si>
    <t>[Master=63463, Astra-Maint] [UDU136134] Online upgrade failed from 3.2.1.292 (MU3) to 3.2.2.186 due to HP-SMB services are not ready</t>
  </si>
  <si>
    <t>sumit.sarkar@hp.com</t>
  </si>
  <si>
    <t>[Master] [UDU136134] Online upgrade failed from 3.2.1.292 (MU3) to 3.2.2.186 due to HP-SMB services are not ready</t>
  </si>
  <si>
    <t>[Master=63423, Astra-1.1.0]Use of nfsshares as an FPG name can lead to data unavailability and other strange behaviors</t>
  </si>
  <si>
    <t>[Master=63423, Atlas ]Use of nfsshares as an FPG name can lead to data unavailability and other strange behaviors</t>
  </si>
  <si>
    <t>[Master=63418, Atlas] crash during service restart and authentication provider remain in initializing state</t>
  </si>
  <si>
    <t>[Master]Use of nfsshares as an FPG name can lead to data unavailability and other strange behaviors</t>
  </si>
  <si>
    <t>[Master=63347, Atlas] [Security] SMB is vulnerable to RC4 cipher vulnerability</t>
  </si>
  <si>
    <t>[Master=63347, Astra-1.1.0] [Security] SMB is vulnerable to RC4 cipher vulnerability</t>
  </si>
  <si>
    <t>[Master=63347, Astra-Maint] [Security] SMB is vulnerable to RC4 cipher vulnerability</t>
  </si>
  <si>
    <t>[Master=58308, Astra-1.1.0] [Customer: Army National Guard] Large Domain Controller tree (the customer has over 150 Domain Controllers) would cause authentication fail, "setfs ad" run several times for all nodes in the cluster to be authenticated in AD.</t>
  </si>
  <si>
    <t>[Master=63278, Atlas] [Customer: Gilmore Overlick] Robocopy throws "ERROR 31 (0x0000001F) Copying NTFS Security to Destination Directory" when attempt is made to copy attributes</t>
  </si>
  <si>
    <t>[Master=63278, Astra-1.1.0] [Customer: Gilmore Overlick] Robocopy throws "ERROR 31 (0x0000001F) Copying NTFS Security to Destination Directory" when attempt is made to copy attributes</t>
  </si>
  <si>
    <t>[Master=63278, Astra-Maint] [Customer: Gilmore Overlick] Robocopy throws "ERROR 31 (0x0000001F) Copying NTFS Security to Destination Directory" when attempt is made to copy attributes</t>
  </si>
  <si>
    <t>[Master] [Customer: Gilmore Overlick] Robocopy throws "ERROR 31 (0x0000001F) Copying NTFS Security to Destination Directory" when attempt is made to copy attributes</t>
  </si>
  <si>
    <t>[Master=63239, Atlas] "comp.health.error" events observed on fresh installation of cluster</t>
  </si>
  <si>
    <t>[Master=63239, Astra-1.1.0] "comp.health.error" events observed on fresh installation of cluster</t>
  </si>
  <si>
    <t>[Master=63239, Astra-Maint] "comp.health.error" events observed on fresh installation of cluster</t>
  </si>
  <si>
    <t>pallavi.bansod@hp.com</t>
  </si>
  <si>
    <t>[Master] "comp.health.error" events observed on fresh installation of cluster</t>
  </si>
  <si>
    <t>[Master] "lwsmd: Container dead with signal 6" and loss SMB access while InServ node crashed and during upgrade</t>
  </si>
  <si>
    <t>[Master=62999, Astra-1.1.0] Unable to append to files via SMB client when AV scan policy is ON for AV TRENDMICRO .</t>
  </si>
  <si>
    <t>[Master] Unable to append files via SMB client when AV scan policy is ON for AV TRENDMICRO .</t>
  </si>
  <si>
    <t>[Master=62843, Astra-1.1.0] http405 error during installs and online upgrade</t>
  </si>
  <si>
    <t>[Master] http405 error during installs and online upgrade</t>
  </si>
  <si>
    <t>james-skip.sawyer@hp.com</t>
  </si>
  <si>
    <t>[Master=63582, Astra-1.1.0] US 35922 SMB registry changes to dynamically calculate tree connect limits in support of CPU scaling.</t>
  </si>
  <si>
    <t>brandon.schaffer@hp.com</t>
  </si>
  <si>
    <t>[Master=63181, Astra-1.1.0] - Permission PML plugin has stopped working. JNA no longer able to locate library Nfs4AclLibrary.</t>
  </si>
  <si>
    <t>Astra_1.1.0.26-20150618</t>
  </si>
  <si>
    <t>Review completed - Ready to check in</t>
  </si>
  <si>
    <t>[Master=64081, Atlas] [Customer: Keppel Fels] suspected memory leak in size-32 slab in kernel space  "Kernel panic - not syncing: Out of memory: system-wide panic_on_oom is enabled"</t>
  </si>
  <si>
    <t>[Master=64081, Astra-1.1.0] [Customer: Keppel Fels] suspected memory leak in size-32 slab in kernel space  "Kernel panic - not syncing: Out of memory: system-wide panic_on_oom is enabled"</t>
  </si>
  <si>
    <t>[Master=64081, Astra-Maint] [Customer: Keppel Fels] suspected memory leak in size-32 slab in kernel space  "Kernel panic - not syncing: Out of memory: system-wide panic_on_oom is enabled"</t>
  </si>
  <si>
    <t>[Master] [Customer: Keppel Fels] suspected memory leak in size-32 slab in kernel space  "Kernel panic - not syncing: Out of memory: system-wide panic_on_oom is enabled"</t>
  </si>
  <si>
    <t>[Master=64077, Atlas] [UDU 138439] - "setfs ldap" command configure ldap server on only active node0fs</t>
  </si>
  <si>
    <t>[Master=64077, Astra-1.1.0] [UDU 138439] - "setfs ldap" command configure ldap server on only active node0fs</t>
  </si>
  <si>
    <t>[Master=64077, Astra-Maint] [UDU 138439] - "setfs ldap" command configure ldap server on only active node0fs</t>
  </si>
  <si>
    <t>Waiting for more info</t>
  </si>
  <si>
    <t>[Master] [UDU 138439] - "setfs ldap" command configure ldap server on only active node0fs</t>
  </si>
  <si>
    <t>[Master=42962, Astra-Maint] LocalAuth: modifying a local group to add/remove non-existing user results in non-intuitive error: ERROR_INVALID_FUNCTION</t>
  </si>
  <si>
    <t>[Master=64029, Atlas] allowsymlinks and dcnusesinotify tags are missing from smb tunables PML output</t>
  </si>
  <si>
    <t>[Master=56087, Astra-1.1.0] [Customer: Army National Guard] Cannot change the owner of folder to a group from the Windows client(Error message on Windows client: The security ID structure is invalid )</t>
  </si>
  <si>
    <t>[Master=63791, Atlas] Very slow response changing Windows permissions from SMB client with Scan policy on File Open enabled - 70 times slower than a Windows 2012 share.</t>
  </si>
  <si>
    <t>[Master=63791, Astra-1.1.0] Very slow response changing Windows permissions from SMB client with Scan policy on File Open enabled - 70 times slower than a Windows 2012 share.</t>
  </si>
  <si>
    <t>[Master=63791, Astra-Maint] Very slow response changing Windows permissions from SMB client with Scan policy on File Open enabled - 70 times slower than a Windows 2012 share.</t>
  </si>
  <si>
    <t>[Master=55766, Astra-1.1.0] C$ share has "everyone:fullcontrol" perms -- is that too open?</t>
  </si>
  <si>
    <t>[Master=55766, Astra-Maint] C$ share has "everyone:fullcontrol" perms -- is that too open?</t>
  </si>
  <si>
    <t>[Master=63824, Atlas]Repeated misleading LWIO stat failure messages in /var/log/messages "BaseOS lwio: [lwio] Stat of either &lt;filename&gt; or &lt;filename&gt; failed"</t>
  </si>
  <si>
    <t>[Master=63824, Astra-1.1.0]Repeated misleading LWIO stat failure messages in /var/log/messages "BaseOS lwio: [lwio] Stat of either &lt;filename&gt; or &lt;filename&gt; failed"</t>
  </si>
  <si>
    <t>[Master=63824, Astra-Maint]Repeated misleading LWIO stat failure messages in /var/log/messages "BaseOS lwio: [lwio] Stat of either &lt;filename&gt; or &lt;filename&gt; failed"</t>
  </si>
  <si>
    <t>[Master] Repeated misleading LWIO stat failure messages in /var/log/messages "BaseOS lwio: [lwio] Stat of either &lt;filename&gt; or &lt;filename&gt; failed"</t>
  </si>
  <si>
    <t>[Master=63790, Atlas] Logging does not always works as expected with username mapping enabled</t>
  </si>
  <si>
    <t>[Master] Very slow response changing Windows permissions from SMB client with Scan policy on File Open enabled - 70 times slower than a Windows 2012 share.</t>
  </si>
  <si>
    <t>[Master=63777, Atlas] ACL functionality does not work as expected after username mapping enabled</t>
  </si>
  <si>
    <t>[Master=63696, Atlas] STONITH failure with State=â€œEXCEPTIONâ€ Response=â€œnode not up or down=CRASH_DUMPâ€</t>
  </si>
  <si>
    <t>hugo.kiehl@hp.com</t>
  </si>
  <si>
    <t>[Master=63709, Atlas] [UDU 138091] - Failed to failover FPG after panic InServ node0 and appeared error message "[lwio] RplReadFionread :: did not got data after retring 50000 times"</t>
  </si>
  <si>
    <t>[Master=63709, Astra-Maint] [UDU 138091] - Failed to failover FPG after panic InServ node0 and appeared error message "[lwio] RplReadFionread :: did not got data after retring 50000 times"</t>
  </si>
  <si>
    <t>[Master] [UDU 138091] - Failed to failover FPG after panic InServ node0 and appeared error message "[lwio] RplReadFionread :: did not got data after retring 50000 times"</t>
  </si>
  <si>
    <t>[Master=63387, Atlas] Definite memory loss for the variable filter in LdapDirQueryMemberOfInternal() function</t>
  </si>
  <si>
    <t>[Master=63387, Atlas] Definite memory loss for the variable lpszGrSid in LdapDirQueryMemberOfInternal() function</t>
  </si>
  <si>
    <t>[Master=63227, Atlas] SMB Notify handing for Windows 2012 clients not being handled correctly (2012_R2 works OK however)</t>
  </si>
  <si>
    <t>[Master=63227, Astra-1.1.0] SMB Notify handing for Windows 2012 clients not being handled correctly (2012_R2 works OK however)</t>
  </si>
  <si>
    <t>[Master] SMB Notify handling for Windows 2012 clients not working as expected  (2012_R2 etc. work OK however)</t>
  </si>
  <si>
    <t>[Master=62843, Atlas] http405 error during installs and online upgrade</t>
  </si>
  <si>
    <t>[Master=62843, Astra-Maint] http405 error during installs and online upgrade</t>
  </si>
  <si>
    <t>[Master=61543, Astra-Maint][Customer: Keppel Fels] Need to document the supported features when using Microsoft Management Console (MMC) to manage a File Persona share</t>
  </si>
  <si>
    <t>[Master=61184, Atlas] rapid calls to setfacl can cause timeout "Unknown error 528" error message on NFS client side</t>
  </si>
  <si>
    <t>[Master=61184, Astra-1.1.0] rapid calls to setfacl can cause timeout "Unknown error 528" error message on NFS client side</t>
  </si>
  <si>
    <t>[Master=61184, Astra-Maint] rapid calls to setfacl can cause timeout "Unknown error 528" error message on NFS client side</t>
  </si>
  <si>
    <t>[Master=61543, Atlas][Customer: Keppel Fels] Need to document the supported features when using Microsoft Management Console (MMC) to manage a File Persona share</t>
  </si>
  <si>
    <t>[Master=61543, Astra-1.1.0][Customer: Keppel Fels] Need to document the supported features when using Microsoft Management Console (MMC) to manage a File Persona share</t>
  </si>
  <si>
    <t>[Master][Customer: Keppel Fels] Need to document the supported features when using Microsoft Management Console (MMC) to manage a File Persona share</t>
  </si>
  <si>
    <t>[Master] rapid calls to setfacl can cause timeout "Unknown error 528" error message on NFS client side</t>
  </si>
  <si>
    <t>[Master=58413, Astra-Maint] LoadDynamix testing  runnnig  Max TreeConnect and Max File descriptor scenario caused hp-smb to not respond to subsequent Tree Connects.</t>
  </si>
  <si>
    <t>[Master] LoadDynamix testing  runnnig  Max TreeConnect and Max File descriptor scenario caused hp-smb to not respond to subsequent Tree Connects.</t>
  </si>
  <si>
    <r>
      <t xml:space="preserve">[Master=55766, Astra-1.1.0] C$ share has "everyone:fullcontrol" perms -- is that too open? </t>
    </r>
    <r>
      <rPr>
        <b/>
        <u/>
        <sz val="11"/>
        <color rgb="FFFF0000"/>
        <rFont val="Calibri"/>
        <family val="2"/>
        <scheme val="minor"/>
      </rPr>
      <t>(17-June)</t>
    </r>
  </si>
  <si>
    <t>FIXED</t>
  </si>
  <si>
    <t>[Master=64245, Atlas] [UDU 135597/138916]LDAP group member returned is missing domain name prefix (NetBIOS)</t>
  </si>
  <si>
    <t>[Master=64245, Astra-1.1.0] [UDU 135597/138916]LDAP group member returned is missing domain name prefix (NetBIOS)</t>
  </si>
  <si>
    <t>[Master=64245, Astra-Maint] [UDU 135597/138916]LDAP group member returned is missing domain name prefix (NetBIOS)</t>
  </si>
  <si>
    <t>[Master] [UDU 135597/138916]LDAP group member returned is missing domain name prefix (NetBIOS)</t>
  </si>
  <si>
    <t>[Master=64221, Atlas] Windows client lost SMB share access: lwio: [lwio] RDR : RdrSocketRead  ../lwio/server/rdr/socket.c : 1893: Failed to read socket:Error code:0xc000020d]</t>
  </si>
  <si>
    <t>[Master=64221, Astra-1.1.0] Windows client lost SMB share access: lwio: [lwio] RDR : RdrSocketRead  ../lwio/server/rdr/socket.c : 1893: Failed to read socket:Error code:0xc000020d]</t>
  </si>
  <si>
    <t>[Master=64221, Astra-Maint] Windows client lost SMB share access: lwio: [lwio] RDR : RdrSocketRead  ../lwio/server/rdr/socket.c : 1893: Failed to read socket:Error code:0xc000020d]</t>
  </si>
  <si>
    <t>[Master] Windows client lost SMB share access: lwio: [lwio] RDR : RdrSocketRead  ../lwio/server/rdr/socket.c : 1893: Failed to read socket:Error code:0xc000020d]</t>
  </si>
  <si>
    <t>[Master=64203, Atlas] hp-smb-6.6 randomly re-setting archive bit via xattr</t>
  </si>
  <si>
    <t>[Master=64203, Astra-1.1.0] hp-smb-6.6 randomly re-setting archive bit via xattr</t>
  </si>
  <si>
    <t>[Master=64203, Astra-Maint] hp-smb-6.6 randomly re-setting archive bit via xattr</t>
  </si>
  <si>
    <t>P8</t>
  </si>
  <si>
    <t>[Master=64164, Atlas] Bad characters in 'To' and 'From' name of username file does not report errors</t>
  </si>
  <si>
    <t>[Master=64164, Astra-1.1.0] Bad characters in 'To' and 'From' name of username file does not report errors</t>
  </si>
  <si>
    <t>[Master=64164, Astra-Maint] Bad characters in 'To' and 'From' name of username file does not report errors</t>
  </si>
  <si>
    <t>mohammad.shuab.siddique@hp.com</t>
  </si>
  <si>
    <t>[Master] [username-mapping] Bad characters in 'To' and 'From' name of username file does not report errors</t>
  </si>
  <si>
    <t>[Master=64138, Atlas] Multiple sessions in a single connection on SMB1 are failing while taking backup using Windows 2012R2 native backup tool.</t>
  </si>
  <si>
    <t>[Master=64138, Astra-1.1.0] Multiple sessions in a single connection on SMB1 are failing while taking backup using Windows 2012R2 native backup tool.</t>
  </si>
  <si>
    <t>[Master=64138, Astra-Maint] Multiple sessions in a single connection on SMB1 are failing while taking backup using Windows 2012R2 native backup tool.</t>
  </si>
  <si>
    <t>Review complete;Ready to check in</t>
  </si>
  <si>
    <t>Astra_1.1.0.28-20150702</t>
  </si>
  <si>
    <t>0324 scrub, unable to reproduce, close defect</t>
  </si>
  <si>
    <t>Astra_1.1.0.29-20150709</t>
  </si>
  <si>
    <t>Pending For Review</t>
  </si>
  <si>
    <t>ujjal.day@hp.com</t>
  </si>
  <si>
    <t>[MASTER]Copy operation is failing in Unity1.2 .* with error: The handle is invalid</t>
  </si>
  <si>
    <t>prashant-kumar.pandey@hp.com</t>
  </si>
  <si>
    <t>[MASTER]smbtorture test cases are failing in Unity 1.2.* nightly regression</t>
  </si>
  <si>
    <t>[Master=64629, Atlas] Kernel panic of serving node followed by failover during I/O causing RPL to operate in standalone mode (Astra 1.1.0 only)</t>
  </si>
  <si>
    <t>[Master=64629, Astra-1.1.0] Kernel panic of serving node followed by failover during I/O causing RPL to operate in standalone mode (Astra 1.1.0 only)</t>
  </si>
  <si>
    <t>[Master=64629, Astra-Maint] Kernel panic of serving node followed by failover during I/O causing RPL to operate in standalone mode (Astra 1.1.0 only)</t>
  </si>
  <si>
    <t>[Master] Kernel panic of serving node followed by failover during I/O causing RPL to operate in standalone mode (Astra 1.1.0 only)</t>
  </si>
  <si>
    <t>[Master=64569, Atlas] Unable to Access SMB shares on PASSIVE Nodes after Config Restore</t>
  </si>
  <si>
    <t>[Master=63107, Atlas] In LsaAdBatchFilterMisTypeObjects() dereferencing null pointer "ppRemainingObjects" at error level</t>
  </si>
  <si>
    <t>[Master=63107, Atlas] In LdapMachAcctSearch() dereferencing null pointer "out" at cleanup</t>
  </si>
  <si>
    <t>[Master=63107, Atlas] In LsaSrvOpenAccount() dereferencing null pointer "pAccountCtx" through function LsaSrvAccountContextFree()</t>
  </si>
  <si>
    <t>[Master=64470, Atlas] SMB share read timeouts causing client disconnect for IOzone</t>
  </si>
  <si>
    <t>[Master=64470, Astra-1.1.0] SMB share read timeouts causing client disconnect for IOzone</t>
  </si>
  <si>
    <t>[Master=64470, Astra-Maint] SMB share read timeouts causing client disconnect for IOzone</t>
  </si>
  <si>
    <t>[Master] SMB share read timeouts causing client disconnect for IOzone</t>
  </si>
  <si>
    <t>[Master=64456, Atlas] [UDU - 135789] 3.2.2.168: showalert: File Services:0:lwsmd Failed</t>
  </si>
  <si>
    <t>[Master=64456, Astra-1.1.0] [UDU - 135789] 3.2.2.168: showalert: File Services:0:lwsmd Failed</t>
  </si>
  <si>
    <t>[Master=64456, Astra-Maint] [UDU - 135789] 3.2.2.168: showalert: File Services:0:lwsmd Failed</t>
  </si>
  <si>
    <t>david.limato@hp.com</t>
  </si>
  <si>
    <t>[Master] [UDU - 135789] 3.2.2.168: showalert: File Services:0:lwsmd Failed</t>
  </si>
  <si>
    <t>[Master=63107, Atlas] In LsaSrvLookupPrivilegeName() dereferencing null pointer "pName" through function LsaSrvFreeUnicodeString()</t>
  </si>
  <si>
    <t>[Master=63107, Atlas] In LsaSrvCreateAccount() dereferencing null pointer "pAccountCtx" through function LsaSrvAccountContextFree()</t>
  </si>
  <si>
    <t>[Master=63107, Atlas] In UsernameMappingFindObjectsBySidList(), dereferencing null pointers through "strlen".</t>
  </si>
  <si>
    <t>[Master=63107, Atlas] In UsernameMapQueryMemberOfInternal(), dereferencing null pointer through "strlen".</t>
  </si>
  <si>
    <t>[Master=63107, Atlas] In PvfsSetFSAuditContextFromCreateContext() dereferencing null pointer "pCreateContext"</t>
  </si>
  <si>
    <t>[Master=62950, Astra-Maint] [UDU 136039] - NFS share health state is "Unknown" after online upgrade performed from 3.2.1.292 (MU3) to 3.2.2.168</t>
  </si>
  <si>
    <t>[Master=57761, Astra-1.1.0] [Customer: Hewlett-Packard (Schweiz) GmbH] Upgrade from 3.2.1.200P11 to latest P70 failing in to update file services as Update operation was failed due to the time out of SMB update registration hook</t>
  </si>
  <si>
    <t>[Master=63107, Atlas] In LDAPConfigCreate(), calling "remove(gLsaLDAPConfigData.pszTempCertificateFile)" without checking return value</t>
  </si>
  <si>
    <t>[Master=63107, Atlas] In LDAPConfigDelete(), calling "remove(gLsaLDAPConfigData.pszCertificateFile)" without checking return value</t>
  </si>
  <si>
    <t>[MASTER=56586, Astra-1.1.0] "lwsm restart lwreg" returned success even though srvsvc failed to start properly</t>
  </si>
  <si>
    <t>[MASTER=56586, Astra-Maint] "lwsm restart lwreg" returned success even though srvsvc failed to start properly</t>
  </si>
  <si>
    <t>[Master=54992, Astra-1.1.0] Repeating error in /var/log/messages: [lsass] Net Bios Name not matched. Please check the input Netbios name (or) LDAP provider configuration. This is an error message.#012</t>
  </si>
  <si>
    <t>[Master=54992, Astra-Maint] Repeating error in /var/log/messages: [lsass] Net Bios Name not matched. Please check the input Netbios name (or) LDAP provider configuration. This is an error message.#012</t>
  </si>
  <si>
    <t>[Master=56502, Astra-1.1.0] Ldap user can still map share and access files after Ldap configuration removed from cluster</t>
  </si>
  <si>
    <t>[Master=63197, Astra-1.1.0] FPG node0_nfs_fpg_1 failed to deactivate completely (RMFS failed) on host node0fs, likely because FPG is busy</t>
  </si>
  <si>
    <t>[Master=62959, Atlas] Block invalid Adding acl for EVERYONE@&lt;domain&gt; with Full Control using setfshare applies correctly but does not grant the desired access</t>
  </si>
  <si>
    <t>[Master=62959, Astra-1.1.0] Block invalid Adding acl for EVERYONE@&lt;domain&gt; with Full Control using setfshare applies correctly but does not grant the desired access</t>
  </si>
  <si>
    <t>[Master] Block invalid Adding acl for EVERYONE@&lt;domain&gt; with Full Control using setfshare applies correctly but does not grant the desired access</t>
  </si>
  <si>
    <t>[Master=57761, Atlas] [Customer: Hewlett-Packard (Schweiz) GmbH] Upgrade from 3.2.1.200P11 to latest P70 failing in to update file services as Update operation was failed due to the time out of SMB update registration hook</t>
  </si>
  <si>
    <t>[Master=57761, Astra-Maint] [Customer: Hewlett-Packard (Schweiz) GmbH] Upgrade from 3.2.1.200P11 to latest P70 failing in to update file services as Update operation was failed due to the time out of SMB update registration hook</t>
  </si>
  <si>
    <t>[Master] [Customer: Hewlett-Packard (Schweiz) GmbH] Upgrade from 3.2.1.200P11 to latest P70 failing in to update file services as Update operation was failed due to the time out of SMB update registration hook</t>
  </si>
  <si>
    <t>[Master] [UDU 122943] "No such local group" error adding AD or Local users to Administrators group with setfsgroup</t>
  </si>
  <si>
    <t>[Master] SMB: RPC error umount error : filesystem mountpoint  directory is busy</t>
  </si>
  <si>
    <t>1.0.2 Candidate</t>
  </si>
  <si>
    <t>boxcar</t>
  </si>
  <si>
    <t>Approved by Director Override</t>
  </si>
  <si>
    <t>ERT Advisory</t>
  </si>
  <si>
    <t>QPnT: Customer Focused Test</t>
  </si>
  <si>
    <t>For Review</t>
  </si>
  <si>
    <t>Resolution</t>
  </si>
  <si>
    <t>ODC-Opener</t>
  </si>
  <si>
    <t>ODC-Closure</t>
  </si>
  <si>
    <t>[Master] SMB compound writes do not work</t>
  </si>
  <si>
    <t>[Master] global lsass mutex "gAPIConfigLock" may be de-parallelizing a lot of lsass thread work</t>
  </si>
  <si>
    <t>[Master] Swiftest - SMB2.1_Multi-Credit_Query_Directory Fails</t>
  </si>
  <si>
    <t>[Master] Possible Durable file stranding on Error</t>
  </si>
  <si>
    <t>[Master=29330, Halo] SMB compound writes do not work</t>
  </si>
  <si>
    <t>chi-ti.chen@hp.com</t>
  </si>
  <si>
    <t>[Master] Persistent Handles: Pike test "test_create" failed</t>
  </si>
  <si>
    <t>N/A (Misc Tasks)</t>
  </si>
  <si>
    <t>[Master] lsass &amp; ibfs stuck while configuring idMapping</t>
  </si>
  <si>
    <t>ravi.sajjan@hp.com</t>
  </si>
  <si>
    <t>[Master] Need better validation and error messages from DoGPLDAPOperation API</t>
  </si>
  <si>
    <t>lance.swift@hpe.com</t>
  </si>
  <si>
    <t>[Master] "rpm -qi" string for hp-smb contains "likewise" names</t>
  </si>
  <si>
    <t>[Master] [Customer: BT, LAWA, Commonwealth Bank,Navisite] CIFS connections lost intermittently on certain clients, new connections not allowed until likewise restart</t>
  </si>
  <si>
    <t>arun-vishnu.p-k@hp.com</t>
  </si>
  <si>
    <t>[Master] SrvShareUpdateInfo1005 does not mask out the DFS bits</t>
  </si>
  <si>
    <t>[Master=42745, 65maint] SrvShareUpdateInfo1005 does not mask out the DFS bits</t>
  </si>
  <si>
    <t>65maint</t>
  </si>
  <si>
    <t>[Master=42745, Halo] SrvShareUpdateInfo1005 does not mask out the DFS bits</t>
  </si>
  <si>
    <t>[MASTER]Share Mode Test Case failed with Core File Generation from â€œdcerpcâ€ daemon</t>
  </si>
  <si>
    <t>[Master=42795, 65maint] Share Mode Test Case failed with Core File Generation from â€œdcerpcâ€ daemon</t>
  </si>
  <si>
    <t>[Master=42795, Halo] Share Mode Test Case failed with Core File Generation from â€œdcerpcâ€ daemon</t>
  </si>
  <si>
    <t>[Master=42795, Astra] Share Mode Test Case failed with Core File Generation from â€œdcerpcâ€ daemon</t>
  </si>
  <si>
    <t>sue-pei.wang@hpe.com</t>
  </si>
  <si>
    <t>[Master=NA] Additional Instrumentation for 3Par stats tool</t>
  </si>
  <si>
    <t>roman.duka@hp.com</t>
  </si>
  <si>
    <t>[Master] SMB Server allows creation and use of user on SSID1, but not on SSID2</t>
  </si>
  <si>
    <t>bob.kentwortz@hp.com</t>
  </si>
  <si>
    <t>PvfsSetSecurityDescriptorFile(), the bIsTrusteeMember Change requires better understanding</t>
  </si>
  <si>
    <t>Lsass not always looking up well known sids, causes problems for TranslateWinAclToNfsV4Acl()</t>
  </si>
  <si>
    <t>Revisit what to do when owner is group</t>
  </si>
  <si>
    <t>[Master] StoreOnce requirement for HP-SMB to support IPv6 in datapath</t>
  </si>
  <si>
    <t>there should be static, global, automatically filled in copies of all well known sids</t>
  </si>
  <si>
    <t>william.weitzel@hpe.com</t>
  </si>
  <si>
    <t>tim.beaudin@hpe.com</t>
  </si>
  <si>
    <t>[Master=NA] Investigate options to mitigate persistent handles write-through performance penalty</t>
  </si>
  <si>
    <t>TestFramework</t>
  </si>
  <si>
    <t>[Master=NA] Need to rework PML/hp-smb interfaces for extensibility/usability after Unity v1</t>
  </si>
  <si>
    <t>N/A</t>
  </si>
  <si>
    <t>[Master=NA] share enum and add/remove needs to be rewritten as a consumer of the central mtree table in smb</t>
  </si>
  <si>
    <t>[Master] [StoreOnce] Need a method to preserve AD connection after RHEL 5.10 to CentOS 6.5 upgrade.</t>
  </si>
  <si>
    <t>StoreOnce Ypsilon(SMB 6.5.x)</t>
  </si>
  <si>
    <t>[TASK] NFS is not capable of using Kerberos automatically</t>
  </si>
  <si>
    <t>User story # US30136</t>
  </si>
  <si>
    <t>[Master] HP-SMB must take Product Configuration limits from PML as the only reference point</t>
  </si>
  <si>
    <t>[Master] Cleanup code required for nfs share creation</t>
  </si>
  <si>
    <t>philip.wilson@hpe.com</t>
  </si>
  <si>
    <t>[Master] lsass error 2692 occuring a few times in the linux messages log after a boot.</t>
  </si>
  <si>
    <t>brian.wildman@hp.com</t>
  </si>
  <si>
    <t>krishk@hpe.com</t>
  </si>
  <si>
    <t>[Master] NFS PML Plugin for Atlas needs to be updated to match changes made in pml.file.netprotcoord</t>
  </si>
  <si>
    <t>greg.turpin@hp.com</t>
  </si>
  <si>
    <t>[Master] Fail back failed while doing http share download/upload</t>
  </si>
  <si>
    <t>[Master=56425, 65maint] lsass crash in lwmsg_type_iterate_promoted() while running smbtorture [rpc.bind.ntlm,sign.ntlm,sign] test</t>
  </si>
  <si>
    <t>[Master=56425, Halo] lsass crash in lwmsg_type_iterate_promoted() while running smbtorture [rpc.bind.ntlm,sign.ntlm,sign] test</t>
  </si>
  <si>
    <t>66maint</t>
  </si>
  <si>
    <t>[Master=56388, 65maint] lsass crash in lwmsg_data_free_graph_visit() while running smbtorture [rpc.samba3.bind.bind] test</t>
  </si>
  <si>
    <t>[Master=56388, Halo] lsass crash in lwmsg_data_free_graph_visit() while running smbtorture [rpc.samba3.bind.bind] test</t>
  </si>
  <si>
    <t>[Master=56450, 65maint] srvsvc crash in rpc__cn_sm_eval_event() while running smbtorture [rpc.srvsvc.srvsvc (admin access).NetNameValidate] test</t>
  </si>
  <si>
    <t>[Master=55972, 65maint] lsass crash in rpc__binding_free() while running smbtorture [rpc.samba3.bind.bind] test</t>
  </si>
  <si>
    <t>[Master=51093, Astra-Maint] SMB: RPC error umount error : filesystem mountpoint  directory is busy</t>
  </si>
  <si>
    <t>[Master=51093, Atlas] SMB: RPC error umount error : filesystem mountpoint  directory is busy</t>
  </si>
  <si>
    <t>[Master=39193, Atlas] Need better validation and error messages from DoGPLDAPOperation API</t>
  </si>
  <si>
    <t>[Master=37005, Atlas] Persistent Handles: Pike test "test_create" failed</t>
  </si>
  <si>
    <t>[Master] Lsass crashed while running smbtorture tests</t>
  </si>
  <si>
    <t>[Master=57010, Halo] Lsass crashed while running smbtorture tests</t>
  </si>
  <si>
    <t>[Master][Customer: DFA / Dept. of Arkansas] Lost access to CIFS shares</t>
  </si>
  <si>
    <t>horvath@hp.com</t>
  </si>
  <si>
    <t>[Master=57519, StoreOnce Zirkel(SMB 6.5.x)][Customer: DFA / Dept. of Arkansas] Lost access to CIFS shares (related to 61386)</t>
  </si>
  <si>
    <t>3.13.1 Zirkel</t>
  </si>
  <si>
    <t>8/12 - Close as Can't Reproduce   was 6/18 - Waiver combined with 61386. Informal Review Complete</t>
  </si>
  <si>
    <t>[Master=55915, 65maint] lsass  crash in  NtlmServerDecryptMessage() while runing smbtorture the [rpc.samba3.winreg.winreg] test</t>
  </si>
  <si>
    <t>[Master=55915, Halo] lsass  crash in  NtlmServerDecryptMessage() while runing smbtorture the [rpc.samba3.winreg.winreg] test</t>
  </si>
  <si>
    <t>[Master=55619, 65maint] hp-smb segfault in lsass while running smbtorture tests</t>
  </si>
  <si>
    <t>[Master=55619, Halo] hp-smb segfault in lsass while running smbtorture tests</t>
  </si>
  <si>
    <t>[Master] Changing /etc/resolv.conf requires HP-SMB services to be restarted for domainjoin to take effect</t>
  </si>
  <si>
    <t>[Master] LDAP crash observed in development branch</t>
  </si>
  <si>
    <t>[Master=58498, Halo] Changing /etc/resolv.conf requires HP-SMB services to be restarted for domainjoin to take effect</t>
  </si>
  <si>
    <t>[Triage] [Isentia] Unable to access CIFS shares causing DU.</t>
  </si>
  <si>
    <t>[Master] Atlas v1.2 install has continuing error: Ldap command does not exist: health</t>
  </si>
  <si>
    <t>[Master][Security] OpenSSL March 2015 advisories require new OpenSSL library in HP-SMB</t>
  </si>
  <si>
    <t>lincoln.thomas@hp.com</t>
  </si>
  <si>
    <t>rachna.guru@hp.com</t>
  </si>
  <si>
    <t>[Master] Provider Stacking Order - Unable to modify stacking order with OpenStack Swift configured</t>
  </si>
  <si>
    <t>christopher.h.szmyt@hp.com</t>
  </si>
  <si>
    <t>StoreAll-Classic</t>
  </si>
  <si>
    <t>[Master=51093, Astra-1.1.0] SMB: RPC error umount error : filesystem mountpoint  directory is busy</t>
  </si>
  <si>
    <t>[Master] [Customer: DFA / Dept. of Arkansas] Lost access to CIFS shares</t>
  </si>
  <si>
    <t>[Master=61336, StoreOnce 3.13.0 Zirkel] [Customer: DFA / Dept. of Arkansas] Lost access to CIFS shares (related to 57541)</t>
  </si>
  <si>
    <t xml:space="preserve">6/18- Waiver combined with 57541.  Informal Reivew Complete. </t>
  </si>
  <si>
    <t>[Master=61336, 3.14.0 Asterix] [Customer: DFA / Dept. of Arkansas] Lost access to CIFS shares</t>
  </si>
  <si>
    <t>3.14.0 Asterix</t>
  </si>
  <si>
    <t>7/28: Propose waiver for CFI (customer is testing proposed hotfix)</t>
  </si>
  <si>
    <t>[Master] Not able to create NFS share on DR setup with Unity1.2 and PML Sprint#5 rpms</t>
  </si>
  <si>
    <t>hiren.soni@hp.com</t>
  </si>
  <si>
    <t>[Master] Size on disk reported inconsistently over SMB 2.x/1.0 as compared to SMB 3.0 (4KB vs. 8KB)</t>
  </si>
  <si>
    <t>[Master=60468, 66maint][Security] OpenSSL March 2015 advisories require new OpenSSL library in HP-SMB</t>
  </si>
  <si>
    <t>Review completed - Ready to checkin</t>
  </si>
  <si>
    <t>[Master=60468, StoreOnce Ypsilon(SMB 6.5.x)] OpenSSL March 2015 advisories require new OpenSSL library in HP-SMB</t>
  </si>
  <si>
    <t>Awaiting PRB approval</t>
  </si>
  <si>
    <t>[Master=61097, 66maint] Provider Stacking Order - Unable to modify stacking order with OpenStack Swift configured</t>
  </si>
  <si>
    <t>[Master=53011, StoreOnce Ypsilon(SMB 6.5.x)] [StoreOnce] Need a method to preserve AD connection after RHEL 5.10 to CentOS 6.5 upgrade.</t>
  </si>
  <si>
    <t>[Master=49790, StoreOnce Ypsilon(SMB 6.5.x)] StoreOnce requirement for HP-SMB to support IPv6 in datapath</t>
  </si>
  <si>
    <t>[Master=62876, StoreOnce Ypsilon(SMB 6.5.x)] AD Domain join fails when a manual machine account is added and the Principal used doesn't have write access to the LDAP OU</t>
  </si>
  <si>
    <t>[Master=62876, 3.13.0 Zirkel] AD Domain join fails when a manual machine account is added and the Principal used doesn't have write access to the LDAP OU</t>
  </si>
  <si>
    <t>3.13.2 Zirkel</t>
  </si>
  <si>
    <t>7/7: Unchanged Yellow zone, day one issue, no current work on-going</t>
  </si>
  <si>
    <t>[Master] [HP-SMB] : File after issuing chmod 444 is not getting transitioned to retained on a HP-SMB share mounted on the Linux client.</t>
  </si>
  <si>
    <t>raghavendra.s-r@hp.com</t>
  </si>
  <si>
    <t>[Master] [Security] SMB is vulnerable to RC4 cipher vulnerability</t>
  </si>
  <si>
    <t>No work has been done due to lack of available resources</t>
  </si>
  <si>
    <t>[Master=63347, 66maint] [Security] SMB is vulnerable to RC4 cipher vulnerability</t>
  </si>
  <si>
    <t>[Master=63347, StoreOnce Ypsilon(SMB 6.5.x)] [Security] SMB is vulnerable to RC4 cipher vulnerability</t>
  </si>
  <si>
    <t>[Master=63347, 3.13.0 Zirkel] [Security] SMB is vulnerable to RC4 cipher vulnerability</t>
  </si>
  <si>
    <t>6/29- During waiver review, determined to be YZ, Waiver not needed</t>
  </si>
  <si>
    <t>[Master=63347, 3.14.0 Asterix] [Security] SMB is vulnerable to RC4 cipher vulnerability</t>
  </si>
  <si>
    <t>7/15: Should this move to the next release since we have no resources to work on it</t>
  </si>
  <si>
    <t>[Master] Valgrind Run HP-SMB</t>
  </si>
  <si>
    <t>Review completed - ready to check in</t>
  </si>
  <si>
    <t>[Master] ACL functionality does not work as expected after username mapping enabled</t>
  </si>
  <si>
    <t>[Master] Logging does not always works as expected with username mapping enabled</t>
  </si>
  <si>
    <t>Request for Clarification.</t>
  </si>
  <si>
    <t>[Master] Ldap user &amp; group quota is not displayed properly for passive node after online upgrade from 3.2.2.188 to 3.2.2.190</t>
  </si>
  <si>
    <t>[Master] Multiple sessions in a single connection on SMB1 are failing while taking backup using Windows 2012R2 native backup tool.</t>
  </si>
  <si>
    <t>[Master=64138, 66maint] Multiple sessions in a single connection on SMB1 are failing while taking backup using Windows 2012R2 native backup tool.</t>
  </si>
  <si>
    <t>[Master=64138, StoreOnce Ypsilon(SMB 6.5.x)] Multiple sessions in a single connection on SMB1 are failing while taking backup using Windows 2012R2 native backup tool.</t>
  </si>
  <si>
    <t>[Master=64138, 3.14.0 Asterix] Multiple sessions in a single connection on SMB1 are failing while taking backup using Windows 2012R2 native backup tool.</t>
  </si>
  <si>
    <t>3.14.1 Asterix</t>
  </si>
  <si>
    <t>7/15: Does this bug need to be moved to the next release?</t>
  </si>
  <si>
    <t>[Master] Windows client lost SMB share access: lwio: [lwio] RDR : RdrSocketRead ../lwio/server/rdr/socket.c : 1893: Failed to read socket:Error code:0xc000020d]</t>
  </si>
  <si>
    <t>[MASTER]lsass process found dead while Win7 Emulator Regression Run</t>
  </si>
  <si>
    <t>[Master]hp-smb segfault in lsass while running smbtorture tests</t>
  </si>
  <si>
    <t>[Master] hp-smb registry values being updated by PML, Smb2Enabled being an example of one</t>
  </si>
  <si>
    <t>[Master=64823, Atlas] hp-smb registry values being updated by PML, Smb2Enabled being an example of one</t>
  </si>
  <si>
    <t>Need RCA for Windows Server Web app only seeing ~1-1.5MB/Sec while READing a ~10MB file</t>
  </si>
  <si>
    <t>[Master] "createfshare nfs" failed w/ error 'Failed to remove file store fstore5: Could not get exports. Error during request to host: 127.127.0.11, port: 9443 with status 500 and message=Request failed. ...'</t>
  </si>
  <si>
    <t>[MASTER] smbtorture lsass - Segmentation Fault at ../lsass/server/store/samdb/samdbenum.c:936</t>
  </si>
  <si>
    <t>dipesh.golatkar@hp.com</t>
  </si>
  <si>
    <t>Needs Script Changes in AI_Regression Suite as share directory permissions changed to 770</t>
  </si>
  <si>
    <t>elangovan.govindasamy@hp.com</t>
  </si>
  <si>
    <t>[Master=65086, Astra-Maint] "createfshare nfs" failed w/ error 'Failed to remove file store fstore5: Could not get exports. Error during request to host: 127.127.0.11, port: 9443 with status 500 and message=Request failed. ...'</t>
  </si>
  <si>
    <t>[Master=65086, Astra-1.1.0] "createfshare nfs" failed w/ error 'Failed to remove file store fstore5: Could not get exports. Error during request to host: 127.127.0.11, port: 9443 with status 500 and message=Request failed. ...'</t>
  </si>
  <si>
    <t>[Master=65086, Atlas] "createfshare nfs" failed w/ error 'Failed to remove file store fstore5: Could not get exports. Error during request to host: 127.127.0.11, port: 9443 with status 500 and message=Request failed. ...'</t>
  </si>
  <si>
    <t>[Master] Quota limits not displayed correctly when local group is recreated with same name and different GIDs.</t>
  </si>
  <si>
    <t>[Master] Modifying AD user quota completed with error message "Error: status=403,exception message=HTTP 403 Forbidden"</t>
  </si>
  <si>
    <t>[Master] [Customer: Keppel Fels] hp-smb stack crashes because of NULL Pointer deref in PvfsClose</t>
  </si>
  <si>
    <t>[Master=65259, StoreOnce Ypsilon(SMB 6.5.x)] [Customer: Keppel Fels] hp-smb stack crashes because of NULL Pointer deref in PvfsClose</t>
  </si>
  <si>
    <t>[Master] SuSE SLES11 (first release) and SLES11 SP1 client does not support NFS4 ACL</t>
  </si>
  <si>
    <t>[Master] Combination of max length for FPG, VFS, file store and export name cause failure during update/delete NFS export</t>
  </si>
  <si>
    <t>AI_Regression suite needs to be changed from LOCAL to LOCAL_CLUSTER for Unity 1.2</t>
  </si>
  <si>
    <t>[Master] [Customer: US Army National Guard] directory structure of FP share not displayed in windows explorer on Win7 64 client after upgrade to SP1</t>
  </si>
  <si>
    <t>Kyle.Jos.Poirier@hp.com</t>
  </si>
  <si>
    <t>[Master] nfsd dead but subsys locked after repeated failovers</t>
  </si>
  <si>
    <t>[Master=65346, Astra-Maint] [Customer: US Army National Guard] directory structure of FP share not displayed in windows explorer on Win7 64 client after upgrade to SP1</t>
  </si>
  <si>
    <t>[Master=65346, Astra-1.1.0] [Customer: US Army National Guard] directory structure of FP share not displayed in windows explorer on Win7 64 client after upgrade to SP1</t>
  </si>
  <si>
    <t>[Master=65346, Atlas] [Customer: US Army National Guard] directory structure of FP share not displayed in windows explorer on Win7 64 client after upgrade to SP1</t>
  </si>
  <si>
    <t>[Master=65346, StoreOnce Ypsilon(SMB 6.5.x)] [Customer: US Army National Guard] directory structure of FP share not displayed in windows explorer on Win7 64 client after upgrade to SP1</t>
  </si>
  <si>
    <t>martin.mathias@hp.com</t>
  </si>
  <si>
    <t>[Master=65346, 3.13.0 Zirkel] [Customer: US Army National Guard] directory structure of FP share not displayed in windows explorer on Win7 64 client after upgrade to SP1</t>
  </si>
  <si>
    <t>7/29:  YZ, day 1 issue, won't fix for 3.13.1, candid. for .2</t>
  </si>
  <si>
    <t>[Master=65346, 3.14.0 Asterix] [Customer: US Army National Guard] directory structure of FP share not displayed in windows explorer on Win7 64 client after upgrade to SP1</t>
  </si>
  <si>
    <t>[Master=65289, Astra-Maint] SuSE SLES11 (first release) and SLES11 SP1 client does not support NFS4 ACL</t>
  </si>
  <si>
    <t>[Master=65289, Astra-1.1.0] SuSE SLES11 (first release) and SLES11 SP1 client does not support NFS4 ACL</t>
  </si>
  <si>
    <t>[Master=65289, Atlas] SuSE SLES11 (first release) and SLES11 SP1 client does not support NFS4 ACL</t>
  </si>
  <si>
    <t>[Master=65291, Astra-Maint] Combination of max length for FPG, VFS, file store and export name cause failure during update/delete NFS export</t>
  </si>
  <si>
    <t>[Master=65291, Atlas] Combination of max length for FPG, VFS, file store and export name cause failure during update/delete NFS export</t>
  </si>
  <si>
    <t>[Master=65347, Astra-Maint] nfsd dead but subsys locked after repeated failovers</t>
  </si>
  <si>
    <t>[Master=65347, Atlas] nfsd dead but subsys locked after repeated failovers</t>
  </si>
  <si>
    <t>[Master] [Customer Naviste] SMB Memory Leak observed in lwio</t>
  </si>
  <si>
    <t>gokul.tarun@hp.com</t>
  </si>
  <si>
    <t>[Master=65204, Astra-Maint] Quota limits not displayed correctly when local group is recreated with same name and different GIDs.</t>
  </si>
  <si>
    <t>[Master=65204, Astra-1.1.0] Quota limits not displayed correctly when local group is recreated with same name and different GIDs.</t>
  </si>
  <si>
    <t>[Master=65204, Atlas] Quota limits not displayed correctly when local group is recreated with same name and different GIDs.</t>
  </si>
  <si>
    <t>[Master] Share names containing international characters can be created by Windows MMC, but they are unusable</t>
  </si>
  <si>
    <t>[Master=65531, Astra-1.1.0] Share names containing international characters can be created by Windows MMC, but they are unusable</t>
  </si>
  <si>
    <t>[Master=65531, Atlas] Share names containing international characters can be created by Windows MMC, but they are unusable</t>
  </si>
  <si>
    <t>[Master] User is not authenticated based on the authentication stacking order</t>
  </si>
  <si>
    <t>[Master=65593, 66maint] User is not authenticated based on the authentication stacking order</t>
  </si>
  <si>
    <t>[Master=65593, Astra-Maint] User is not authenticated based on the authentication stacking order</t>
  </si>
  <si>
    <t>[Master=65593, Astra-1.1.0] User is not authenticated based on the authentication stacking order</t>
  </si>
  <si>
    <t>[Master=65593, Atlas] User is not authenticated based on the authentication stacking order</t>
  </si>
  <si>
    <t>[Master=65593, StoreOnce Ypsilon(SMB 6.5.x)] User is not authenticated based on the authentication stacking order</t>
  </si>
  <si>
    <t>[Master=65593, 3.13.0 Zirkel] User is not authenticated based on the authentication stacking order</t>
  </si>
  <si>
    <t>[Master=65593, 3.14.0 Asterix] User is not authenticated based on the authentication stacking order</t>
  </si>
  <si>
    <t>[Master] statfs returns error: key "HP-SMBInfo" not known in dictionary under moderate cifs load</t>
  </si>
  <si>
    <t>[Master=65377, 66maint] [Customer Naviste] SMB Memory Leak observed in lwio</t>
  </si>
  <si>
    <t>[Master=65377, StoreOnce Ypsilon(SMB 6.5.x)] [Customer Naviste] SMB Memory Leak observed in lwio</t>
  </si>
  <si>
    <t>[Master=65377, 3.13.0 Zirkel] [Customer Naviste] SMB Memory Leak observed in lwio</t>
  </si>
  <si>
    <t>[Master=65377, 3.14.0 Asterix] [Customer Naviste] SMB Memory Leak observed in lwio</t>
  </si>
  <si>
    <t>[Master=65711, Astra-Maint] statfs returns error: key "HP-SMBInfo" not known in dictionary under moderate cifs load</t>
  </si>
  <si>
    <t>[Master=65711, Astra-1.1.0] statfs returns error: key "HP-SMBInfo" not known in dictionary under moderate cifs load</t>
  </si>
  <si>
    <t>[Master=65711, Atlas] statfs returns error: key "HP-SMBInfo" not known in dictionary under moderate cifs load</t>
  </si>
  <si>
    <t>[Master=65211, Astra-Maint] Modifying AD user quota completed with error message "Error: status=403,exception message=HTTP 403 Forbidden"</t>
  </si>
  <si>
    <t>[Master=65211, Atlas] Modifying AD user quota completed with error message "Error: status=403,exception message=HTTP 403 Forbidden"</t>
  </si>
  <si>
    <t>[Master=65211, Astra-1.1.0] Modifying AD user quota completed with error message "Error: status=403,exception message=HTTP 403 Forbidden"</t>
  </si>
  <si>
    <t>[Master] Joining of AD domain failed with "could not connect to lsa" error</t>
  </si>
  <si>
    <t>[MASTER=64775, 63maint] lsass process found dead while Win7 Emulator Regression Run</t>
  </si>
  <si>
    <t>63maint</t>
  </si>
  <si>
    <t>[Master=65259, 63maint] [Customer: Keppel Fels] hp-smb stack crashes because of NULL Pointer deref in PvfsClose</t>
  </si>
  <si>
    <t>[Master] Multiple VFS activation for single VFS results in duplicate NFS bind mount during FPG mount</t>
  </si>
  <si>
    <t>[Master=65919, Astra-1.1.0] Multiple VFS activation for single VFS results in duplicate NFS bind mount during FPG mount</t>
  </si>
  <si>
    <t>[Master=65919, Atlas] Multiple VFS activation for single VFS results in duplicate NFS bind mount during FPG mount</t>
  </si>
  <si>
    <t>[Master=42198, StoreOnce Ypsilon(SMB 6.5.x)] "rpm -qi" string for hp-smb contains "likewise" names</t>
  </si>
  <si>
    <t>[Master=42198, 3.13.1 Zirkel] "rpm -qi" string for hp-smb contains "likewise" names</t>
  </si>
  <si>
    <t>[Master=42198, 63maint] "rpm -qi" string for hp-smb contains "likewise" names</t>
  </si>
  <si>
    <t>[Master=64781, 63maint]hp-smb segfault in lsass while running smbtorture tests</t>
  </si>
  <si>
    <t>[Master=60468, 63maint][Security] OpenSSL March 2015 advisories require new OpenSSL library in HP-SMB</t>
  </si>
  <si>
    <t>[Master] Roaming profile not getting sync as showing "not enough disk space" though there is a space available on the disk.</t>
  </si>
  <si>
    <t>vishal.rane@hp.com</t>
  </si>
  <si>
    <t>[MASTER=65099, 63maint] smbtorture lsass - Segmentation Fault at ../lsass/server/store/samdb/samdbenum.c:936</t>
  </si>
  <si>
    <t>[Master] NFS share health state is "Unknown" after online upgrade performed from 3.2.226 to 3.2.236 , vfs not part of fsid cache after upgrade.</t>
  </si>
  <si>
    <t>[Master=66136, Astra-Maint] NFS share health state is "Unknown" after online upgrade performed from 3.2.226 to 3.2.2236 , vfs not part of fsid cache after upgrade.</t>
  </si>
  <si>
    <t>[Master=66136, Atlas] NFS share health state is "Unknown" after online upgrade performed from 3.2.226 to 3.2.2236 , vfs not part of fsid cache after upgrade.</t>
  </si>
  <si>
    <t>[Master=66136, Astra-1.1.0] NFS share health state is "Unknown" after online upgrade performed from 3.2.226 to 3.2.2236 , vfs not part of fsid cache after upgrade.</t>
  </si>
  <si>
    <t>Introduce an option to disable fstore visibility via the C$ share</t>
  </si>
  <si>
    <t>[Master] Failed to join windows domain with new default setting of enablesmb2ad==false</t>
  </si>
  <si>
    <t>[Master=66200, Astra-Maint] Failed to join windows domain with new default setting of enablesmb2ad==false</t>
  </si>
  <si>
    <t>[Master=66200, Atlas] Failed to join windows domain with new default setting of enablesmb2ad==false</t>
  </si>
  <si>
    <t>[Master] FPG Failed to RMFS when trying to umount when it was in use on the VM.</t>
  </si>
  <si>
    <t>[Master=66235, Astra-Maint] FPG Failed to RMFS when trying to umount when it was in use on the VM.</t>
  </si>
  <si>
    <t>[Master=66235, Atlas] FPG Failed to RMFS when trying to umount when it was in use on the VM.</t>
  </si>
  <si>
    <t>[Master=66235, Astra-1.1.0] FPG Failed to RMFS when trying to umount when it was in use on the VM.</t>
  </si>
  <si>
    <t>[Master=66081, Astra-Maint] Roaming profile not getting sync as showing "not enough disk space" though there is a space available on the disk.</t>
  </si>
  <si>
    <t>[Master=66081, Astra-1.1.0] Roaming profile not getting sync as showing "not enough disk space" though there is a space available on the disk.</t>
  </si>
  <si>
    <t>[Master=66081, Atlas] Roaming profile not getting sync as showing "not enough disk space" though there is a space available on the disk.</t>
  </si>
  <si>
    <t>[Master] [Customer: Keppel Fels] HP-SMB crash, lwio SIGABRT:   lwio: [lwio] ASSERTION FAILED: Expression = ((((pOplock-&gt;pCcb)-&gt;CreateOptions &amp; 0x00000001) == 0x00000001)) File Name = '../lwio/server/ibfs/lease.c' Line Num = '2114'</t>
  </si>
  <si>
    <t>[Master] Lsass crashed while running scripts to do domain join and domain leave in parallel</t>
  </si>
  <si>
    <t>Activity</t>
  </si>
  <si>
    <t>[Master=66418, 66maint] [Customer: Keppel Fels] HP-SMB crash, lwio SIGABRT:   lwio: [lwio] ASSERTION FAILED: Expression = ((((pOplock-&gt;pCcb)-&gt;CreateOptions &amp; 0x00000001) == 0x00000001)) File Name = '../lwio/server/ibfs/lease.c' Line Num = '2114'</t>
  </si>
  <si>
    <t>[Master=66418, Astra-Maint] [Customer: Keppel Fels] HP-SMB crash, lwio SIGABRT:   lwio: [lwio] ASSERTION FAILED: Expression = ((((pOplock-&gt;pCcb)-&gt;CreateOptions &amp; 0x00000001) == 0x00000001)) File Name = '../lwio/server/ibfs/lease.c' Line Num = '2114'</t>
  </si>
  <si>
    <t>[Master=66418, Astra-1.1.0] [Customer: Keppel Fels] HP-SMB crash, lwio SIGABRT:   lwio: [lwio] ASSERTION FAILED: Expression = ((((pOplock-&gt;pCcb)-&gt;CreateOptions &amp; 0x00000001) == 0x00000001)) File Name = '../lwio/server/ibfs/lease.c' Line Num = '2114'</t>
  </si>
  <si>
    <t>[Master=66418, Atlas] [Customer: Keppel Fels] HP-SMB crash, lwio SIGABRT:   lwio: [lwio] ASSERTION FAILED: Expression = ((((pOplock-&gt;pCcb)-&gt;CreateOptions &amp; 0x00000001) == 0x00000001)) File Name = '../lwio/server/ibfs/lease.c' Line Num = '2114'</t>
  </si>
  <si>
    <t>[Master=66453, 63maint] Lsass crashed while running scripts to do domain join and domain leave in parallel</t>
  </si>
  <si>
    <t>[Master=66453, 66maint] Lsass crashed while running scripts to do domain join and domain leave in parallel</t>
  </si>
  <si>
    <t>[Master=66453, Astra-Maint] Lsass crashed while running scripts to do domain join and domain leave in parallel</t>
  </si>
  <si>
    <t>[Master=66453, Astra-1.1.0] Lsass crashed while running scripts to do domain join and domain leave in parallel</t>
  </si>
  <si>
    <t>[Master=66453, Atlas] Lsass crashed while running scripts to do domain join and domain leave in parallel</t>
  </si>
  <si>
    <t>[Master=66453, StoreOnce Ypsilon(SMB 6.5.x)] Lsass crashed while running scripts to do domain join and domain leave in parallel</t>
  </si>
  <si>
    <t>[Master=66453, 3.13.0 Zirkel] Lsass crashed while running scripts to do domain join and domain leave in parallel</t>
  </si>
  <si>
    <t>[Master=66453, 3.14.0 Asterix] Lsass crashed while running scripts to do domain join and domain leave in parallel</t>
  </si>
  <si>
    <t>[Master] [Customer Arvato] 'Allow' permission for Domain Admins group overrides explicit 'Deny' on files and folders</t>
  </si>
  <si>
    <t>[Master=66480, Astra-1.1.0] [Customer Arvato] 'Allow' permission for Domain Admins group overrides explicit 'Deny' on files and folders</t>
  </si>
  <si>
    <t>[Master=66480, Atlas] [Customer Arvato] 'Allow' permission for Domain Admins group overrides explicit 'Deny' on files and folders</t>
  </si>
  <si>
    <t>[Master] ONFSCK workflow test : inconsistency into FS/VFS name space : Post ONFSCK complete :  share state is unknown</t>
  </si>
  <si>
    <t>hiro.lalwani@hp.com</t>
  </si>
  <si>
    <t>[Master=66612, Atlas] ONFSCK workflow test : inconsistency into FS/VFS name space : Post ONFSCK complete :  share state is unknown</t>
  </si>
  <si>
    <t>[Master=55159, Astra-1.1.0] SMB share created on .admin fstore is not getting restored after performing config restore</t>
  </si>
  <si>
    <t>[Master] Repeating error [lwio] PvfsWdTableWdCompare(): Duplicate watch descriptor 1has been inserted in WdTable running Roaming Profile synch</t>
  </si>
  <si>
    <t>[Master=66692, Astra-Maint] Repeating error [lwio] PvfsWdTableWdCompare(): Duplicate watch descriptor 1has been inserted in WdTable running Roaming Profile synch</t>
  </si>
  <si>
    <t>[Master=66692, Astra-1.1.0] Repeating error [lwio] PvfsWdTableWdCompare(): Duplicate watch descriptor 1has been inserted in WdTable running Roaming Profile synch</t>
  </si>
  <si>
    <t>[Master=66692, Atlas] Repeating error [lwio] PvfsWdTableWdCompare(): Duplicate watch descriptor 1has been inserted in WdTable running Roaming Profile synch</t>
  </si>
  <si>
    <t>[Master] [Customer: Coast Community College] With roaming profiles and folder redirection, up to 30 second delay in response to setinfo for SMB2_FILE_DISPOSITION_INFO</t>
  </si>
  <si>
    <t>chad.mitchell@hp.com</t>
  </si>
  <si>
    <t>[Master=66713, 66maint] [Customer: Coast Community College] With roaming profiles and folder redirection, up to 30 second delay in response to setinfo for SMB2_FILE_DISPOSITION_INFO</t>
  </si>
  <si>
    <t>[Master=66713, Astra-Maint] [Customer: Coast Community College] With roaming profiles and folder redirection, up to 30 second delay in response to setinfo for SMB2_FILE_DISPOSITION_INFO</t>
  </si>
  <si>
    <t>[Master=66713, Astra-1.1.0] [Customer: Coast Community College] With roaming profiles and folder redirection, up to 30 second delay in response to setinfo for SMB2_FILE_DISPOSITION_INFO</t>
  </si>
  <si>
    <t>[Master=66713, Atlas] [Customer: Coast Community College] With roaming profiles and folder redirection, up to 30 second delay in response to setinfo for SMB2_FILE_DISPOSITION_INFO</t>
  </si>
  <si>
    <t>[Master=66713, StoreOnce Ypsilon(SMB 6.5.x)] [Customer: Coast Community College] With roaming profiles and folder redirection, up to 30 second delay in response to setinfo for SMB2_FILE_DISPOSITION_INFO</t>
  </si>
  <si>
    <t>[Master=66713, 3.13.0 Zirkel] [Customer: Coast Community College] With roaming profiles and folder redirection, up to 30 second delay in response to setinfo for SMB2_FILE_DISPOSITION_INFO</t>
  </si>
  <si>
    <t>[Master=66713, 3.14.0 Asterix] [Customer: Coast Community College] With roaming profiles and folder redirection, up to 30 second delay in response to setinfo for SMB2_FILE_DISPOSITION_INFO</t>
  </si>
  <si>
    <t>[Master] Excessive "lsass: [lsass] No object found! ldap_search " messages when joined to AD and Ldap and running I/O</t>
  </si>
  <si>
    <t>[Master=65905, Atlas] Joining of AD domain failed with "could not connect to lsa" error</t>
  </si>
  <si>
    <t>[Master=66758, 63maint] Excessive "lsass: [lsass] No object found! ldap_search " messages when joined to AD and Ldap and running I/O</t>
  </si>
  <si>
    <t>[Master=66758, 66maint] Excessive "lsass: [lsass] No object found! ldap_search " messages when joined to AD and Ldap and running I/O</t>
  </si>
  <si>
    <t>[Master=66758, Astra-Maint] Excessive "lsass: [lsass] No object found! ldap_search " messages when joined to AD and Ldap and running I/O</t>
  </si>
  <si>
    <t>[Master=66758, Astra-1.1.0] Excessive "lsass: [lsass] No object found! ldap_search " messages when joined to AD and Ldap and running I/O</t>
  </si>
  <si>
    <t>[Master=66758, Atlas] Excessive "lsass: [lsass] No object found! ldap_search " messages when joined to AD and Ldap and running I/O</t>
  </si>
  <si>
    <t>[Master=66758, StoreOnce Ypsilon(SMB 6.5.x)] Excessive "lsass: [lsass] No object found! ldap_search " messages when joined to AD and Ldap and running I/O</t>
  </si>
  <si>
    <t>[Master=66758, 3.13.0 Zirkel] Excessive "lsass: [lsass] No object found! ldap_search " messages when joined to AD and Ldap and running I/O</t>
  </si>
  <si>
    <t>[Master=66758, 3.14.0 Asterix] Excessive "lsass: [lsass] No object found! ldap_search " messages when joined to AD and Ldap and running I/O</t>
  </si>
  <si>
    <t>[Master] OOM panics during roaming profiles sync of about 70 sessions</t>
  </si>
  <si>
    <t>kerry.l.burke@hp.com</t>
  </si>
  <si>
    <t>[Master] [Customer: US Army National Guard] domain controller 'problem' leads to share unavailability and FP node unresponsiveness</t>
  </si>
  <si>
    <t>[Master=66891, Astra-1.1.0] [Customer: US Army National Guard] domain controller 'problem' leads to share unavailability and FP node unresponsiveness</t>
  </si>
  <si>
    <t>[Master=66891, Atlas] [Customer: US Army National Guard] domain controller 'problem' leads to share unavailability and FP node unresponsiveness</t>
  </si>
  <si>
    <t>[MASTER=65099, StoreOnce Ypsilon(SMB 6.5.x)] smbtorture lsass - Segmentation Fault at ../lsass/server/store/samdb/samdbenum.c:936</t>
  </si>
  <si>
    <t>[Master=64781, StoreOnce Ypsilon(SMB 6.5.x)]hp-smb segfault in lsass while running smbtorture tests</t>
  </si>
  <si>
    <t>[MASTER=64775, StoreOnce Ypsilon(SMB 6.5.x)]lsass process found dead while Win7 Emulator Regression Run</t>
  </si>
  <si>
    <t>cross proto:locking: delete file succeeds from windows share, when file is being locked with LOCK_MAND | LOCK_WRITE on fs server</t>
  </si>
  <si>
    <t>cross proto:locking: delete file fails with Access denied on windows share,  when file is being locked with LOCK_MAND | LOCK_DELETE on fs server</t>
  </si>
  <si>
    <t>[Master=66882, Astra-1.1.0] OOM panics during roaming profiles sync of about 70 sessions</t>
  </si>
  <si>
    <t>[Master=66882, Atlas] OOM panics during roaming profiles sync of about 70 sessions</t>
  </si>
  <si>
    <t>[Master] Nodes stuck in starting state after modification of node IPs.</t>
  </si>
  <si>
    <t>[Master] hp-smb lwio memory leak causes degraded performance running FSCT with 3800 users</t>
  </si>
  <si>
    <t>[Master] SEVERE: NFS Create export: Adding NFS share failed with error - Unknown error was observed</t>
  </si>
  <si>
    <t>[Master=67034, Astra-Maint] hp-smb lwio memory leak causes degraded performance running FSCT with 3800 users</t>
  </si>
  <si>
    <t>[Master=67034, Astra-1.1.0] hp-smb lwio memory leak causes degraded performance running FSCT with 3800 users</t>
  </si>
  <si>
    <t>[Master=67034, Atlas] hp-smb lwio memory leak causes degraded performance running FSCT with 3800 users</t>
  </si>
  <si>
    <t>[Master] Protocols health could swamp the cluster causing other PML commands to timeout</t>
  </si>
  <si>
    <t>[Master=67065, Astra-Maint] Protocols health could swamp the cluster causing other PML commands to timeout</t>
  </si>
  <si>
    <t>[Master=67065, Astra-1.1.0] Protocols health could swamp the cluster causing other PML commands to timeout</t>
  </si>
  <si>
    <t>[Master=67065, Atlas] Protocols health could swamp the cluster causing other PML commands to timeout</t>
  </si>
  <si>
    <t>[Master] LDAP configuration not automatically applied to nodes down at time of configuration, rescued nodes, or newly added nodes</t>
  </si>
  <si>
    <t>Failed to RMFS while deactivating FPG.</t>
  </si>
  <si>
    <t>sahana.jayaram@hp.com</t>
  </si>
  <si>
    <t>[Master=67033, Astra-1.1.0] Nodes stuck in starting state after modification of node IPs.</t>
  </si>
  <si>
    <t>[Master=67033, Atlas] Nodes stuck in starting state after modification of node IPs.</t>
  </si>
  <si>
    <t>[Master] [Customer: Wolfson Hospital] HP-SMB stack crash on shutdown, SIGABRT with: lwio: [lwio] Failed to lock mutex: 22. Aborting program</t>
  </si>
  <si>
    <t>[Master=43856, Atlas] /var/log/messages is flooded with hundreds messages per second</t>
  </si>
  <si>
    <t>[Master=29548, Atlas] global lsass mutex "gAPIConfigLock" may be de-parallelizing a lot of lsass thread work</t>
  </si>
  <si>
    <t>[Master=30145, Atlas] Possible Durable file stranding on Error</t>
  </si>
  <si>
    <t>[Master=67205, Astra-Maint] [Customer: Wolfson Hospital] HP-SMB stack crash on shutdown, SIGABRT with: lwio: [lwio] Failed to lock mutex: 22. Aborting program</t>
  </si>
  <si>
    <t>[Master=67205, Astra-1.1.0] [Customer: Wolfson Hospital] HP-SMB stack crash on shutdown, SIGABRT with: lwio: [lwio] Failed to lock mutex: 22. Aborting program</t>
  </si>
  <si>
    <t>[Master=67205, Atlas] [Customer: Wolfson Hospital] HP-SMB stack crash on shutdown, SIGABRT with: lwio: [lwio] Failed to lock mutex: 22. Aborting program</t>
  </si>
  <si>
    <t>[Master=67131, Astra-1.1.0] LDAP configuration not automatically applied to nodes down at time of configuration, rescued nodes, or newly added nodes</t>
  </si>
  <si>
    <t>[Master=67131, Atlas] LDAP configuration not automatically applied to nodes down at time of configuration, rescued nodes, or newly added nodes</t>
  </si>
  <si>
    <t>[Master=67037, Astra-1.1.0] SEVERE: NFS Create export: Adding NFS share failed with error - Unknown error was observed</t>
  </si>
  <si>
    <t>[Master=67037, Atlas] SEVERE: NFS Create export: Adding NFS share failed with error - Unknown error was observed</t>
  </si>
  <si>
    <t>[Master] MMC: attempting to close open file results in â€œThe system cannot find the file specifiedâ€ error</t>
  </si>
  <si>
    <t>[Master=30068, Atlas] Swiftest - SMB2.1_Multi-Credit_Query_Directory Fails</t>
  </si>
  <si>
    <t>[Master] [Customer: Lumina] lwsmd generating multiple cores during data migration</t>
  </si>
  <si>
    <t>[Master] IDART test Showfs in NightlyUnity fails due to "showfs -ldap" returning an error when LDAP is not configured</t>
  </si>
  <si>
    <t>toberemoved.krishk@hpe.com</t>
  </si>
  <si>
    <t>[Master=67243, Atlas] IDART test Showfs in NightlyUnity fails due to "showfs -ldap" returning an error when LDAP is not configured</t>
  </si>
  <si>
    <t>[Master=67242, 63maint] [Customer: Lumina] lwsmd generating multiple cores during data migration</t>
  </si>
  <si>
    <t>[Master=67242, 66maint] [Customer: Lumina] lwsmd generating multiple cores during data migration</t>
  </si>
  <si>
    <t>[Master=67242, Astra-Maint] [Customer: Lumina] lwsmd generating multiple cores during data migration</t>
  </si>
  <si>
    <t>[Master=67242, Astra-1.1.0] [Customer: Lumina] lwsmd generating multiple cores during data migration</t>
  </si>
  <si>
    <t>[Master=67242, Atlas] [Customer: Lumina] lwsmd generating multiple cores during data migration</t>
  </si>
  <si>
    <t>[Master=67242, StoreOnce Ypsilon(SMB 6.5.x)] [Customer: Lumina] lwsmd generating multiple cores during data migration</t>
  </si>
  <si>
    <t>[Master=67242, 3.13.0 Zirkel] [Customer: Lumina] lwsmd generating multiple cores during data migration</t>
  </si>
  <si>
    <t>3.13.0 Zirkel</t>
  </si>
  <si>
    <t>[Master=67242, 3.14.0 Asterix] [Customer: Lumina] lwsmd generating multiple cores during data migration</t>
  </si>
  <si>
    <t>[Master] several 3par arrays stuck in starting state - NullPointerException in LdapServerHealthCheck.java (line 102)</t>
  </si>
  <si>
    <t>[Master=67224, 63maint] MMC: attempting to close open file results in â€œThe system cannot find the file specifiedâ€ error</t>
  </si>
  <si>
    <t>[Master=67224, 66maint] MMC: attempting to close open file results in â€œThe system cannot find the file specifiedâ€ error</t>
  </si>
  <si>
    <t>[Master=67224, Astra-Maint] MMC: attempting to close open file results in â€œThe system cannot find the file specifiedâ€ error</t>
  </si>
  <si>
    <t>[Master=67224, Astra-1.1.0] MMC: attempting to close open file results in â€œThe system cannot find the file specifiedâ€ error</t>
  </si>
  <si>
    <t>[Master=67224, Atlas] MMC: attempting to close open file results in â€œThe system cannot find the file specifiedâ€ error</t>
  </si>
  <si>
    <t>[Master=67224, StoreOnce Ypsilon(SMB 6.5.x)] MMC: attempting to close open file results in â€œThe system cannot find the file specifiedâ€ error</t>
  </si>
  <si>
    <t>[Master=67224, 3.13.0 Zirkel] MMC: attempting to close open file results in â€œThe system cannot find the file specifiedâ€ error</t>
  </si>
  <si>
    <t>[Master=67224, 3.14.0 Asterix] MMC: attempting to close open file results in â€œThe system cannot find the file specifiedâ€ error</t>
  </si>
  <si>
    <t>[Master=67281, Astra-1.1.0] several 3par arrays stuck in starting state - NullPointerException in LdapServerHealthCheck.java (line 102)</t>
  </si>
  <si>
    <t>[Master=67281, Atlas] several 3par arrays stuck in starting state - NullPointerException in LdapServerHealthCheck.java (line 102)</t>
  </si>
  <si>
    <t>jonathan.hittle@hp.com</t>
  </si>
  <si>
    <t>[Master] lwio crash while mounting SMB share as non-administrator</t>
  </si>
  <si>
    <t>3PAR v1.2 offline upgrade FATAL acl_ade_plugin  missing</t>
  </si>
  <si>
    <t>[Master=67309, Atlas] lwio crash while mounting SMB share as non-administrator</t>
  </si>
  <si>
    <t>aga.shahi@hpe.com</t>
  </si>
  <si>
    <t>[Master] Username map static file validation API does wrong parsing of # commented lines.</t>
  </si>
  <si>
    <t>Impact</t>
  </si>
  <si>
    <t>[Master] In Unity 1.2 latest ISO bits, read/write operations in AI environment(using STAF) are failing.</t>
  </si>
  <si>
    <t>ankita.kumari@hp.com</t>
  </si>
  <si>
    <t>[Customer: Norfolk Southern] Inaccessible CIFS shares and garbled share permissions</t>
  </si>
  <si>
    <t>Changed in last 30 days</t>
  </si>
  <si>
    <t>https://bugzilla.houston.hpecorp.net:1181</t>
  </si>
  <si>
    <t>first row in column "E" with bug number Row=</t>
  </si>
  <si>
    <t>Column "E" parsed bug count (uses c26 value)</t>
  </si>
  <si>
    <t>Bugzilla – Bug List: OpenProtNewDev</t>
  </si>
  <si>
    <t>| Preferences</t>
  </si>
  <si>
    <t>| Administration</t>
  </si>
  <si>
    <t>| Help</t>
  </si>
  <si>
    <t>| Log out michael.roberts@hpe.com</t>
  </si>
  <si>
    <t>Hide Search Description</t>
  </si>
  <si>
    <t>Severity: blocker, critical, major, normal</t>
  </si>
  <si>
    <t>Classification: Protocols</t>
  </si>
  <si>
    <t>Status: UNCONFIRMED, NEW, ASSIGNED, REOPENED</t>
  </si>
  <si>
    <t>Component: *Unknown (Triage)-AAUM, *Unknown (Triage)-NFS, *Unknown (Triage)-SMB, Authentication, Authentication-AAUM, Authentication-NFS, Config Restore, Cross-Protocols-AAUM, Cross-Protocols-NFS, Cross-Protocols-SMB, Documentation-AAUM, Documentation-NFS, Documentation-SMB, IDsOnDisk, Install/Upgrade-AAUM, Install/Upgrade-NFS, Install/Upgrade-SMB, Legacy Manageability-NFS, Legacy Manageability-SMB, Manageability-AAUM, Manageability-NFS, Manageability-SMB, Other-AAUM, Other-NFS, Other-SMB, Server-AAUM, Server-NFS, Server-SMB, User Mapping-AAUM</t>
  </si>
  <si>
    <t>Product: Protocols-AAUM, Protocols-NFS, Protocols-SMB</t>
  </si>
  <si>
    <t>Changed: (is greater than or equal to) 30d</t>
  </si>
  <si>
    <t>Summary: (contains none of the strings) [Master] [master]</t>
  </si>
  <si>
    <t>Target Milestone: (does not contain the string) Bella</t>
  </si>
  <si>
    <t>Target Milestone: (contains none of the strings) Test New</t>
  </si>
  <si>
    <t>ID</t>
  </si>
  <si>
    <t>Sev</t>
  </si>
  <si>
    <t>TargetM</t>
  </si>
  <si>
    <t>Vers</t>
  </si>
  <si>
    <t>Comp</t>
  </si>
  <si>
    <t>Pri</t>
  </si>
  <si>
    <t>Release Note and/or Support Communications</t>
  </si>
  <si>
    <t xml:space="preserve">[Master=75770, Avitus] Data corruption reported on NFS I/... </t>
  </si>
  <si>
    <t xml:space="preserve">cri </t>
  </si>
  <si>
    <t>Avitus</t>
  </si>
  <si>
    <t xml:space="preserve">BugzillaCloningAutomation@h... </t>
  </si>
  <si>
    <t xml:space="preserve">ASSI </t>
  </si>
  <si>
    <t xml:space="preserve">Atlas </t>
  </si>
  <si>
    <t>QPnT: Final Regression Test</t>
  </si>
  <si>
    <t>Previous_Waiver</t>
  </si>
  <si>
    <t xml:space="preserve">Protocol </t>
  </si>
  <si>
    <t xml:space="preserve">Server-N </t>
  </si>
  <si>
    <t xml:space="preserve">P0 </t>
  </si>
  <si>
    <t xml:space="preserve">arnab.das@hpe.com </t>
  </si>
  <si>
    <t xml:space="preserve">nor </t>
  </si>
  <si>
    <t>FP - Technical Backlog</t>
  </si>
  <si>
    <t xml:space="preserve">NEW </t>
  </si>
  <si>
    <t xml:space="preserve">P2 </t>
  </si>
  <si>
    <t xml:space="preserve">steve.e.douglas@hpe.com </t>
  </si>
  <si>
    <t xml:space="preserve">Auror </t>
  </si>
  <si>
    <t xml:space="preserve">Manageab </t>
  </si>
  <si>
    <t xml:space="preserve">sujasha.de@hpe.com </t>
  </si>
  <si>
    <t xml:space="preserve">[Master=79273, Avitus] Disk File Allocation size for spar... </t>
  </si>
  <si>
    <t xml:space="preserve">maj </t>
  </si>
  <si>
    <t xml:space="preserve">Server-S </t>
  </si>
  <si>
    <t>QPnT: Integration Test</t>
  </si>
  <si>
    <t xml:space="preserve">Install/ </t>
  </si>
  <si>
    <t xml:space="preserve">michael.roberts@hpe.com </t>
  </si>
  <si>
    <t xml:space="preserve">Other-SM </t>
  </si>
  <si>
    <t xml:space="preserve">[Master=79273, 66maint] Disk File Allocation size for spa... </t>
  </si>
  <si>
    <t xml:space="preserve">REOP </t>
  </si>
  <si>
    <t>3.13.X Zirkel Next</t>
  </si>
  <si>
    <t xml:space="preserve">vishal.goel@hpe.com </t>
  </si>
  <si>
    <t xml:space="preserve">Avitu </t>
  </si>
  <si>
    <t xml:space="preserve">nandesh.palanisamy@hpe.com </t>
  </si>
  <si>
    <t xml:space="preserve">*Unknown </t>
  </si>
  <si>
    <t xml:space="preserve">[Master=81920, Avitus] [Customer: Baxter Pharmaceuticals]... </t>
  </si>
  <si>
    <t xml:space="preserve">avik.mondal@hpe.com </t>
  </si>
  <si>
    <t>QPnT: Release Test</t>
  </si>
  <si>
    <t xml:space="preserve">tarun.sant@hpe.com </t>
  </si>
  <si>
    <t xml:space="preserve">souravb@hpe.com </t>
  </si>
  <si>
    <t xml:space="preserve">roselle.fernandez@hpe.com </t>
  </si>
  <si>
    <t xml:space="preserve">Cross-Pr </t>
  </si>
  <si>
    <t xml:space="preserve">Server-A </t>
  </si>
  <si>
    <t xml:space="preserve">moorthy.mm@hpe.com </t>
  </si>
  <si>
    <t xml:space="preserve">User Map </t>
  </si>
  <si>
    <t xml:space="preserve">Document </t>
  </si>
  <si>
    <t xml:space="preserve">robin.kumar@hpe.com </t>
  </si>
  <si>
    <t xml:space="preserve">Astra </t>
  </si>
  <si>
    <t xml:space="preserve">Authenti </t>
  </si>
  <si>
    <t xml:space="preserve">anthony.ruffa@hpe.com </t>
  </si>
  <si>
    <t xml:space="preserve">unspeci </t>
  </si>
  <si>
    <t xml:space="preserve">arpan.chatterjee@hpe.com </t>
  </si>
  <si>
    <t xml:space="preserve">hugo.kiehl@hpe.com </t>
  </si>
  <si>
    <t xml:space="preserve">olga.revsin@hpe.com </t>
  </si>
  <si>
    <t xml:space="preserve">ramani@hpe.com </t>
  </si>
  <si>
    <t xml:space="preserve">ritika.sao@hpe.com </t>
  </si>
  <si>
    <t xml:space="preserve">[Master=79273, 3.18.0 Eccentric] Disk File Allocation siz... </t>
  </si>
  <si>
    <t>3.18.0 Eccentric</t>
  </si>
  <si>
    <t xml:space="preserve">joann.mcintyre@hpe.com </t>
  </si>
  <si>
    <t xml:space="preserve">das.souvik@hpe.com </t>
  </si>
  <si>
    <t xml:space="preserve">[Master=72568, 3.18.0 Eccentric] CIFS Share not accessibl... </t>
  </si>
  <si>
    <t xml:space="preserve">3.14. </t>
  </si>
  <si>
    <t xml:space="preserve">[Master=86827, Avitus] 'id' user not displaying secondary... </t>
  </si>
  <si>
    <t>Posix Mode</t>
  </si>
  <si>
    <t xml:space="preserve">matt.dumm@hpe.com </t>
  </si>
  <si>
    <t xml:space="preserve">3.13. </t>
  </si>
  <si>
    <t>Preexisting</t>
  </si>
  <si>
    <t xml:space="preserve">[Master=87060, 3.18.0 Eccentric] [Customer: Unipol]: lwio... </t>
  </si>
  <si>
    <t xml:space="preserve">[Master=91429, Avitus] Race condition during saves to SMB... </t>
  </si>
  <si>
    <t xml:space="preserve">3.15. </t>
  </si>
  <si>
    <t>Build</t>
  </si>
  <si>
    <t xml:space="preserve">sasha.epstein@hpe.com </t>
  </si>
  <si>
    <t>Dev Performance Work/Tests</t>
  </si>
  <si>
    <t xml:space="preserve">sanjaya.swamy@hpe.com </t>
  </si>
  <si>
    <t xml:space="preserve">[Master=88230, Avitus] Snap File NFS access testing (sn_s... </t>
  </si>
  <si>
    <t xml:space="preserve">girigoswami.sanjay@hpe.com </t>
  </si>
  <si>
    <t>New_Feature</t>
  </si>
  <si>
    <t xml:space="preserve">[Master=86626, Avitus] Snap File NFS access testing (sn_s... </t>
  </si>
  <si>
    <t xml:space="preserve">alexander.petliar@hpe.com </t>
  </si>
  <si>
    <t xml:space="preserve">[Master=94074, Avitus] [Customer: Tetra Pak AB] Loss of t... </t>
  </si>
  <si>
    <t xml:space="preserve">P1 </t>
  </si>
  <si>
    <t xml:space="preserve">yuriy.kirichok@hpe.com </t>
  </si>
  <si>
    <t>4.0.0 Archangel</t>
  </si>
  <si>
    <t xml:space="preserve">unspe </t>
  </si>
  <si>
    <t xml:space="preserve">6.3 ( </t>
  </si>
  <si>
    <t>3.16.3 Cacophonix</t>
  </si>
  <si>
    <t>WIPRO, Analysis in Progress</t>
  </si>
  <si>
    <t>Escape</t>
  </si>
  <si>
    <t xml:space="preserve">[Master=85050, Axion] NFS share not inheriting correct pe... </t>
  </si>
  <si>
    <t>Axion</t>
  </si>
  <si>
    <t xml:space="preserve">Axion </t>
  </si>
  <si>
    <t xml:space="preserve">[Master=85759, Axion] [psmt] Group User without write per... </t>
  </si>
  <si>
    <t xml:space="preserve">rimpa.paul@hpe.com </t>
  </si>
  <si>
    <t>Runtime Analysis Tools (e.g. Valgrind)</t>
  </si>
  <si>
    <t xml:space="preserve">sandeep.mandal@hpe.com </t>
  </si>
  <si>
    <t xml:space="preserve">[Master=95718, Avitus] FPG failover failed to deactivate ... </t>
  </si>
  <si>
    <t>* Required</t>
  </si>
  <si>
    <t xml:space="preserve">santanug@hpe.com </t>
  </si>
  <si>
    <t xml:space="preserve">matthew.dav.bondurant@hpe.com </t>
  </si>
  <si>
    <t>Regression</t>
  </si>
  <si>
    <t xml:space="preserve">IDsOnDis </t>
  </si>
  <si>
    <t xml:space="preserve">[Master=96968, Axion][valgrind] apparent leak in UpdatePH... </t>
  </si>
  <si>
    <t xml:space="preserve">[Master=96221, Avitus]Multiple lwsmd crashes observed whi... </t>
  </si>
  <si>
    <t xml:space="preserve">[Master=96142, Eccentric] [Customer: First Savings Bank o... </t>
  </si>
  <si>
    <t xml:space="preserve">Config R </t>
  </si>
  <si>
    <t xml:space="preserve">[Master=96142, Dastardly] [Customer: First Savings Bank o... </t>
  </si>
  <si>
    <t>3.17.0 Dastardly</t>
  </si>
  <si>
    <t xml:space="preserve">[Master=96142, 3.16.3 Cacophonix] [Customer: First Saving... </t>
  </si>
  <si>
    <t>Forwardport_Needed</t>
  </si>
  <si>
    <t xml:space="preserve">[Master=97266, 3.15.X Botanix Next][Customer: CGT] Custom... </t>
  </si>
  <si>
    <t>3.15.X Botanix Next</t>
  </si>
  <si>
    <t xml:space="preserve">[AVENGERS-TRIAGE] SMBTorture tests failures observed on A... </t>
  </si>
  <si>
    <t xml:space="preserve">ankita.kumari@hpe.com </t>
  </si>
  <si>
    <t xml:space="preserve">[Master=97489, Axion] LDAP provider function doesn’t use ... </t>
  </si>
  <si>
    <t xml:space="preserve">jai.mendke@hpe.com </t>
  </si>
  <si>
    <t xml:space="preserve">[Master=97578, Axion]valgrind reports possible oplock/dur... </t>
  </si>
  <si>
    <t xml:space="preserve">[Master=78517, Axion][Customer: SafeTech] PML monitor fai... </t>
  </si>
  <si>
    <t xml:space="preserve">[Master=92975, Axion][Customer: Sky Italia] Unable to use... </t>
  </si>
  <si>
    <t xml:space="preserve">[Master=97480, Axion]No alert raised or health reported a... </t>
  </si>
  <si>
    <t xml:space="preserve">[Master=94906, Axion] Offline upgrade from 3.2.2.390(MU2)... </t>
  </si>
  <si>
    <t xml:space="preserve">HP-SMB code handle obsolete parameter(s) that must be rem... </t>
  </si>
  <si>
    <t>D2D future</t>
  </si>
  <si>
    <t xml:space="preserve">[Master=97266, 3.18.0 Eccentric] [Customer: CGT] Customer... </t>
  </si>
  <si>
    <t xml:space="preserve">andrea.tanner@hpe.com </t>
  </si>
  <si>
    <t xml:space="preserve">[Master=97710, Avitus][Customer: Raytheon] Windows backup... </t>
  </si>
  <si>
    <t xml:space="preserve">[Master=97796, Axion] 3PAR load (LDAP provider/SMB share/... </t>
  </si>
  <si>
    <t xml:space="preserve">[Master=96172, Axion] [Customer Rightmove] NFS File Servi... </t>
  </si>
  <si>
    <t xml:space="preserve">[Coverity] - Memory leaks reported by Coverity on lsass </t>
  </si>
  <si>
    <t xml:space="preserve">[Coverity] - Memory leaks reported by Coverity on lwio </t>
  </si>
  <si>
    <t xml:space="preserve">[Coverity] - Memory leaks reported by Coverity on lwmsg </t>
  </si>
  <si>
    <t xml:space="preserve">[Coverity] - Memory leaks reported by Coverity on lwreg </t>
  </si>
  <si>
    <t xml:space="preserve">[Coverity] - Memory leaks reported by Coverity on netlogon </t>
  </si>
  <si>
    <t xml:space="preserve">[Coverity] - Memory leaks reported by Coverity on srvsvc </t>
  </si>
  <si>
    <t xml:space="preserve">[Coverity] - Memory leaks reported by Coverity on lwadvapi </t>
  </si>
  <si>
    <t xml:space="preserve">[Coverity] - Memory leaks reported by Coverity on lwbase </t>
  </si>
  <si>
    <t xml:space="preserve">[Coverity] - Memory leaks reported by Coverity on mk </t>
  </si>
  <si>
    <t xml:space="preserve">[Coverity] - Memory leaks reported by Coverity on pmlInte... </t>
  </si>
  <si>
    <t xml:space="preserve">[Coverity] - Memory leaks reported by Coverity on sysauth </t>
  </si>
  <si>
    <t xml:space="preserve">[Master=95223, D2D future] HP-SMB needs to be updated wit... </t>
  </si>
  <si>
    <t xml:space="preserve">[Master=96142, D2D future] [Customer: First Savings Bank ... </t>
  </si>
  <si>
    <t xml:space="preserve">[Master=66492, D2D future] NAS Archive Bit - Change Notif... </t>
  </si>
  <si>
    <t xml:space="preserve">[Master=91086, D2D future] [Customer: NWS Holdings Limit... </t>
  </si>
  <si>
    <t xml:space="preserve">[Master=97266, D2D future] [Customer: CGT] Customer can't... </t>
  </si>
  <si>
    <t xml:space="preserve">[Master=79273, D2D future] Disk File Allocation size for ... </t>
  </si>
  <si>
    <t xml:space="preserve">[Master=72568, D2D future] CIFS Share not accessible - HP... </t>
  </si>
  <si>
    <t xml:space="preserve">[Master=75368, D2D future] [NEW BRUNSWICK INVESTMENT MANA... </t>
  </si>
  <si>
    <t xml:space="preserve">[Master=95394, D2D future] [Customer: Department of Insur... </t>
  </si>
  <si>
    <t xml:space="preserve">[Master=87210, D2D future] [Customer: CITY OF MANDURAH] H... </t>
  </si>
  <si>
    <t xml:space="preserve">[Master=79021, D2D future] [Customer JSC Kor Standard Ban... </t>
  </si>
  <si>
    <t xml:space="preserve">6.5 ( </t>
  </si>
  <si>
    <t xml:space="preserve">[Master=93553, D2D future] 5314891302[LKW WALTER Internat... </t>
  </si>
  <si>
    <t xml:space="preserve">[Master=97953, Axion] setfs usermap throws error but the ... </t>
  </si>
  <si>
    <t xml:space="preserve">iris.yi@hpe.com </t>
  </si>
  <si>
    <t xml:space="preserve">[Master=87060, D2D future] [Customer: Unipol]: lwiod cras... </t>
  </si>
  <si>
    <t xml:space="preserve">[Master=98054, Axion] NFS services are not getting starte... </t>
  </si>
  <si>
    <t>4.1.0 Avengers</t>
  </si>
  <si>
    <t>XML</t>
  </si>
  <si>
    <t>CSVFeediCalChange Columns Change Several Bugs at Once Send Mail to Bug Assignees</t>
  </si>
  <si>
    <t>Edit Search</t>
  </si>
  <si>
    <t>Forget Search 'OpenProtNewDev'</t>
  </si>
  <si>
    <t>My Bugs</t>
  </si>
  <si>
    <t>| AllOpenGENormal</t>
  </si>
  <si>
    <t>| ALLproductsAuroraRedZone</t>
  </si>
  <si>
    <t>| ALLproductsAuroraRedZoneFIXED6d</t>
  </si>
  <si>
    <t>| ALLproductsAuroraRedZoneRESOLVED3w</t>
  </si>
  <si>
    <t>| ALLproductsAvitusRedZoneFIXED6d</t>
  </si>
  <si>
    <t>| AllResolvedOneYear</t>
  </si>
  <si>
    <t>| AtlasMaintProtRedZone</t>
  </si>
  <si>
    <t>| AuroraAllClosed</t>
  </si>
  <si>
    <t>| AuroraAllResolved</t>
  </si>
  <si>
    <t>| AuroraOpenRZ</t>
  </si>
  <si>
    <t>| AuroraOpenRZmwr</t>
  </si>
  <si>
    <t>| AuroraProtRedZone</t>
  </si>
  <si>
    <t>| AuroraProtYelZone</t>
  </si>
  <si>
    <t>| AuroraWaiverCandidates</t>
  </si>
  <si>
    <t>| AvitusAllOpenmwr</t>
  </si>
  <si>
    <t>| AvitusOpenRZmwr</t>
  </si>
  <si>
    <t>| AvitusProtRedZone</t>
  </si>
  <si>
    <t>| AvitusProtToBeClosed</t>
  </si>
  <si>
    <t>| AvitusQAacceptanceBlockers</t>
  </si>
  <si>
    <t>| AvitusToBeClosed</t>
  </si>
  <si>
    <t>| LowestPriorityBugs</t>
  </si>
  <si>
    <t>| OpenProtClassic</t>
  </si>
  <si>
    <t>| OpenProtNewDev</t>
  </si>
  <si>
    <t>| ProtocolsCoverityFixed</t>
  </si>
  <si>
    <t>| ProtocolStoreOnce</t>
  </si>
  <si>
    <t>01 RMC 4.0 TBF</t>
  </si>
  <si>
    <t>| 02 RMC 4.0 TBV</t>
  </si>
  <si>
    <t>| 03 RMC 4.0 TBF RZ</t>
  </si>
  <si>
    <t>| 04 RMC 4.0 TBV RZ</t>
  </si>
  <si>
    <t>| 1.3 Aurora Closed-Resolved-Verified</t>
  </si>
  <si>
    <t>| Alex-protocol-AUTH</t>
  </si>
  <si>
    <t>| ALL_OPEN Issues For Review</t>
  </si>
  <si>
    <t>| Astra 1.0.2 - Chelsea MU3 Patch 20</t>
  </si>
  <si>
    <t>| Atlas-1.2.1</t>
  </si>
  <si>
    <t>| Atlas-1.2.2</t>
  </si>
  <si>
    <t>| Atlas-1.2.3</t>
  </si>
  <si>
    <t>| Atlas-1.2.3 Candidate List</t>
  </si>
  <si>
    <t>| Aurora Bugs To Be Verified</t>
  </si>
  <si>
    <t>| Aurora-QPnT 1.3.0 Red Zones</t>
  </si>
  <si>
    <t>| AuthDefectsAurora</t>
  </si>
  <si>
    <t>| Avitus Bugs To Be Fixed</t>
  </si>
  <si>
    <t>| Avitus Bugs To Be Verified</t>
  </si>
  <si>
    <t>| Avitus Open RedZone</t>
  </si>
  <si>
    <t>| Avitus RedZone for QPnT to verify</t>
  </si>
  <si>
    <t>| Cacofonix ALL Bugs inc Platform</t>
  </si>
  <si>
    <t>| Cacofonix CRB Active Bug List excl Docs</t>
  </si>
  <si>
    <t>| Cacofonix Open inc Platform</t>
  </si>
  <si>
    <t>| Eccentric ALL Bugs</t>
  </si>
  <si>
    <t>| Eccentric LAST 7 DAYS</t>
  </si>
  <si>
    <t>| Eccentric OPEN Bugs</t>
  </si>
  <si>
    <t>| Eccentric TBC Bugs</t>
  </si>
  <si>
    <t>| Eccentric TBF Bugs</t>
  </si>
  <si>
    <t>| Eccentric TBV Bugs</t>
  </si>
  <si>
    <t>| EI_CTAF_Bugs</t>
  </si>
  <si>
    <t>| ERT Advisories</t>
  </si>
  <si>
    <t>| File on HC</t>
  </si>
  <si>
    <t>| File on HC Open RedZone</t>
  </si>
  <si>
    <t>| halimonjaro-triage</t>
  </si>
  <si>
    <t>| IDsOnDisk</t>
  </si>
  <si>
    <t>| MRT CTAF bugs</t>
  </si>
  <si>
    <t>| NPI_CTAF_Bugs</t>
  </si>
  <si>
    <t>| RMC 3.0 CRB bugs</t>
  </si>
  <si>
    <t>| RMC 3.0.1</t>
  </si>
  <si>
    <t>| RMC 4.0.0 CRB bugs</t>
  </si>
  <si>
    <t>| RMC GA Bugs for SBugCourt review</t>
  </si>
  <si>
    <t>| Unity 1.3-Open BugCourt List</t>
  </si>
  <si>
    <t>| Unity_v1_Release_Service Notes</t>
  </si>
  <si>
    <t>| Zirkel 3.13.7 approved bugs</t>
  </si>
  <si>
    <t>| Zirkel to Botanix StoreOnce Doc bugs</t>
  </si>
  <si>
    <t>| Zirkel to Botanix StoreOnce SysEng Doc bugs</t>
  </si>
  <si>
    <t>| Zirkel3_CRB_Review</t>
  </si>
  <si>
    <t>| Zirkel5 Last 7 Days</t>
  </si>
  <si>
    <t>| Zirkel5 Open inc Platform</t>
  </si>
  <si>
    <t xml:space="preserve">4.1.0 </t>
  </si>
  <si>
    <t xml:space="preserve">[Master=95718, Axion] FPG failover failed to deactivate b... </t>
  </si>
  <si>
    <t xml:space="preserve">blo </t>
  </si>
  <si>
    <t xml:space="preserve">suruchi.gondkar@hpe.com </t>
  </si>
  <si>
    <t xml:space="preserve">[Customer: The cloud limited, Victorinox] Customer can't ... </t>
  </si>
  <si>
    <t xml:space="preserve">horvath@hpe.com </t>
  </si>
  <si>
    <t xml:space="preserve">3.16. </t>
  </si>
  <si>
    <t xml:space="preserve">[Customer Kraft] SMB shares unresponsive - many lwio thre... </t>
  </si>
  <si>
    <t xml:space="preserve">don.gibbons@hpe.com </t>
  </si>
  <si>
    <t xml:space="preserve">Remove cyclical dependency in ConfigBackup plugin on all ... </t>
  </si>
  <si>
    <t xml:space="preserve">Tests on 3PAR system show that LSASS may randomly fail au... </t>
  </si>
  <si>
    <t>Fri 09:08</t>
  </si>
  <si>
    <t xml:space="preserve">LSASS/AD provider code leaks memory in configuration func... </t>
  </si>
  <si>
    <t xml:space="preserve">alex.broad@hpe.com </t>
  </si>
  <si>
    <t xml:space="preserve">[Master=98300, Axion] [valgrind] lwbase memory leak in Cr... </t>
  </si>
  <si>
    <t xml:space="preserve">sobhan.patra@hpe.com </t>
  </si>
  <si>
    <t xml:space="preserve">[Master=98303, Axion] [valgrind] lwio memory leak in IopI... </t>
  </si>
  <si>
    <t xml:space="preserve">[Master=98306, Axion] [valgrind] lwio memory leak in LwIo... </t>
  </si>
  <si>
    <t xml:space="preserve">[Master=98310, Axion] [valgrind] lwio memory leak in SrvI... </t>
  </si>
  <si>
    <t xml:space="preserve">[Master=98313, Axion] [valgrind] lwio memory leak in Pvfs... </t>
  </si>
  <si>
    <t xml:space="preserve">coverity reported non-leak code issues in acl-ade-plugin ... </t>
  </si>
  <si>
    <t xml:space="preserve">[Master=97056, Avitus][Customer: Tetra Pak AB] Stuck in s... </t>
  </si>
  <si>
    <t xml:space="preserve">[Master=98203, Avitus]Revert from 1.4 (3.3.1.215GA) to 1.... </t>
  </si>
  <si>
    <t xml:space="preserve">[Master=98203, Axion]Revert from 1.4 (3.3.1.215GA) to 1.2... </t>
  </si>
  <si>
    <t xml:space="preserve">[Master=52678, Axion] NFSD related panic during SPECsfs </t>
  </si>
  <si>
    <t xml:space="preserve">douglas.lee.potts@hpe.com </t>
  </si>
  <si>
    <t xml:space="preserve">[Master=76841, Atlas-1.2-Maint] [Customer: NTTDataWare, W... </t>
  </si>
  <si>
    <t>Atlas-1.2-Maint</t>
  </si>
  <si>
    <t>One-off_Patch</t>
  </si>
  <si>
    <t>Support Communications</t>
  </si>
  <si>
    <t xml:space="preserve">[Master=66235, Atlas-1.2-Maint] [Customer INFOSYS LIMITED... </t>
  </si>
  <si>
    <t>Wipro, CRB-Awaiting approval</t>
  </si>
  <si>
    <t>Avitus_1.4.0.67-20170503</t>
  </si>
  <si>
    <t xml:space="preserve">[Master=91565, Atlas-1.2-Maint] [Customer : Picscout (Isr... </t>
  </si>
  <si>
    <t xml:space="preserve">[Master=92816, Atlas-1.2-Maint] [Customer : Picscout (Isr... </t>
  </si>
  <si>
    <t xml:space="preserve">kari.kechter@hpe.com </t>
  </si>
  <si>
    <t>Escape, One-off_Patch</t>
  </si>
  <si>
    <t xml:space="preserve">nitin.prakash@hpe.com </t>
  </si>
  <si>
    <t xml:space="preserve">[Master=94830, Avitus] [Customer: Tetra Pak AB] probable ... </t>
  </si>
  <si>
    <t xml:space="preserve">[Customer: Tetra Pak AB] ASSERTION FAILED: Expression = (... </t>
  </si>
  <si>
    <t>Avitus_1.4.0.42-20161109</t>
  </si>
  <si>
    <t>Fri 01:09</t>
  </si>
  <si>
    <t xml:space="preserve">darshana.gawas@hpe.com </t>
  </si>
  <si>
    <t xml:space="preserve">[Master=93553, 3.13.X Zirkel Next] 5314891302[LKW WALTER ... </t>
  </si>
  <si>
    <t xml:space="preserve">[Master=88391, Avitus] lwsmd segfault error 4 in liblwmsg... </t>
  </si>
  <si>
    <t>Avitus_1.4.0.58-20170306</t>
  </si>
  <si>
    <t xml:space="preserve">[Master=75405, Avitus] Revert from 3.2.2.368-MU2 to 3.2.2... </t>
  </si>
  <si>
    <t>Mon 15:51</t>
  </si>
  <si>
    <t>Avitus_1.4.0.63-20170405</t>
  </si>
  <si>
    <t>Mon 11:41</t>
  </si>
  <si>
    <t xml:space="preserve">[Master=97480, Avitus]No alert raised or health reported ... </t>
  </si>
  <si>
    <t xml:space="preserve">arnav.karforma@hpe.com </t>
  </si>
  <si>
    <t>Sun 00:47</t>
  </si>
  <si>
    <t xml:space="preserve">[Master=97056, Axion] [Customer: Tetra Pak AB] Stuck in s... </t>
  </si>
  <si>
    <t>Axion_1.5.0.8-20170503</t>
  </si>
  <si>
    <t>Mon 11:11</t>
  </si>
  <si>
    <t>Wed 19:47</t>
  </si>
  <si>
    <t>Wed 16:05</t>
  </si>
  <si>
    <t>Wed 19:49</t>
  </si>
  <si>
    <t>Wed 16:06</t>
  </si>
  <si>
    <t>Mon 01:46</t>
  </si>
  <si>
    <t>Mon 01:51</t>
  </si>
  <si>
    <t>Mon 01:45</t>
  </si>
  <si>
    <t>Mon 01:48</t>
  </si>
  <si>
    <t xml:space="preserve">[Master=98466, Avitus] NFS IO stopped (reported stale han... </t>
  </si>
  <si>
    <t>Mon 15:49</t>
  </si>
  <si>
    <t>Mon 15:50</t>
  </si>
  <si>
    <t>Sun 01:30</t>
  </si>
  <si>
    <t>Mon 15:52</t>
  </si>
  <si>
    <t xml:space="preserve">hp-smb RPM starts services at build time which causes bui... </t>
  </si>
  <si>
    <t>WIPRO- Pending for review</t>
  </si>
  <si>
    <t xml:space="preserve">[Master=98411, Axion] [valgrind] lwbase memory leak in Re... </t>
  </si>
  <si>
    <t>Mon 15:54</t>
  </si>
  <si>
    <t xml:space="preserve">adityag@hpe.com </t>
  </si>
  <si>
    <t xml:space="preserve">[Master=98419, Axion] [valgrind] lwbase memory leak in Lw... </t>
  </si>
  <si>
    <t>Mon 15:55</t>
  </si>
  <si>
    <t xml:space="preserve">[Master=98425, Axion] [valgrind] Valgrind reported leaks ... </t>
  </si>
  <si>
    <t xml:space="preserve">[Master=98428, Axion] [valgrind] lsass memory leak in Mem... </t>
  </si>
  <si>
    <t xml:space="preserve">[Master=98432, Axion] [valgrind] lsass memory leak in Loc... </t>
  </si>
  <si>
    <t xml:space="preserve">[Master=98435, Axion] [valgrind] lsass memory leak in Lsa... </t>
  </si>
  <si>
    <t xml:space="preserve">smb share enumeration confused by dup share names and/or ... </t>
  </si>
  <si>
    <t xml:space="preserve">bryan.mcdade@hpe.com </t>
  </si>
  <si>
    <t>WIPRPO - Analysis in progress</t>
  </si>
  <si>
    <t xml:space="preserve">[Master=98439, Axion] [valgrind] lsass memory leak in Sam... </t>
  </si>
  <si>
    <t xml:space="preserve">[Master=98442, Axion] [valgrind] lsass memory leak in Loc... </t>
  </si>
  <si>
    <t xml:space="preserve">[Master=98447, Axion] [valgrind] lsass memory leak in Lsa... </t>
  </si>
  <si>
    <t xml:space="preserve">[Master=98466, Axion] NFS IO stopped (reported stale hand... </t>
  </si>
  <si>
    <t>Avitus_1.4.0.68-20170510</t>
  </si>
  <si>
    <t xml:space="preserve">hp-smb repackaged system libraries concerns </t>
  </si>
  <si>
    <t xml:space="preserve">[Master=97519, D2D future] 5316480441[Shell Pipeline Comp... </t>
  </si>
  <si>
    <t xml:space="preserve">[Master=98149, D2D future] [Customer: The cloud limited, ... </t>
  </si>
  <si>
    <t xml:space="preserve">[Master=87735, D2D future] [Customer: Sony Mobile] Custom... </t>
  </si>
  <si>
    <t>Mon 01:56</t>
  </si>
  <si>
    <t xml:space="preserve">posible ID collsion when /etc/passwd user configured with... </t>
  </si>
  <si>
    <t xml:space="preserve">[Master=98595, Avitus] restorefsconf eventlog entry with ... </t>
  </si>
  <si>
    <t xml:space="preserve">tim.beaudin@hpe.com </t>
  </si>
  <si>
    <t>Mon 13:10</t>
  </si>
  <si>
    <t xml:space="preserve">[Master=98595, Axion] restorefsconf eventlog entry with m... </t>
  </si>
  <si>
    <t xml:space="preserve">[Master=95967, Atlas-1.2-Maint] [Customer: Tetra Pak AB] ... </t>
  </si>
  <si>
    <t>Release Note</t>
  </si>
  <si>
    <t xml:space="preserve">[Master=95967, Aurora-1.3-Maint] [Customer: Tetra Pak AB]... </t>
  </si>
  <si>
    <t>Aurora-1.3-Maint</t>
  </si>
  <si>
    <t xml:space="preserve">[Master=97056, Atlas-1.2-Maint] [Customer: Tetra Pak AB] ... </t>
  </si>
  <si>
    <t xml:space="preserve">[Master=97056, Aurora-1.3-Maint] [Customer: Tetra Pak AB]... </t>
  </si>
  <si>
    <t xml:space="preserve">[Master=91565, Aurora-1.3-Maint] [Customer : Picscout (Is... </t>
  </si>
  <si>
    <t xml:space="preserve">[Master=97956, 4.1.0 Avengers] [AVENGERS] "setfacl" comma... </t>
  </si>
  <si>
    <t xml:space="preserve">[Customer: Tetra Pak AB] When using the Open Files functi... </t>
  </si>
  <si>
    <t>Mon 13:39</t>
  </si>
  <si>
    <t xml:space="preserve">[Master=98755, Avitus] [Customer: Tetra Pak AB] share acc... </t>
  </si>
  <si>
    <t xml:space="preserve">matthew.leach3@hpe.com </t>
  </si>
  <si>
    <t>Sun 11:35</t>
  </si>
  <si>
    <t xml:space="preserve">[Master=98060, Atlas-1.2-Maint] [Veritas Enterprise Vault... </t>
  </si>
  <si>
    <t xml:space="preserve">[Master=98755, Axion] [Customer: Tetra Pak AB] share acce... </t>
  </si>
  <si>
    <t>Mon 11:35</t>
  </si>
  <si>
    <t xml:space="preserve">[Master=98671, Avitus] [Customer: Tetra Pak AB] delete op... </t>
  </si>
  <si>
    <t>Sun 22:44</t>
  </si>
  <si>
    <t xml:space="preserve">[Master=98671, Axion] [Customer: Tetra Pak AB] delete ope... </t>
  </si>
  <si>
    <t>Wed 14:04</t>
  </si>
  <si>
    <t xml:space="preserve">[Master=98060, Aurora-1.3-Maint] [Veritas Enterprise Vaul... </t>
  </si>
  <si>
    <t>Wed 15:30</t>
  </si>
  <si>
    <t xml:space="preserve">[Master=96610, Avitus] [valgrind] lwio memory leak in sha... </t>
  </si>
  <si>
    <t>WIPRO - Awaiting for CRB approval</t>
  </si>
  <si>
    <t>Wed 16:13</t>
  </si>
  <si>
    <t xml:space="preserve">[Axion][valgrind] lsass memory leak in EnumarateGroupMemb... </t>
  </si>
  <si>
    <t>Thu 04:54</t>
  </si>
  <si>
    <t xml:space="preserve">[Master=38717, 4.1.0 Avengers] [Avengers] [D2D] HP-SMB 6.... </t>
  </si>
  <si>
    <t>Sun 10:49</t>
  </si>
  <si>
    <t>Thu 07:43</t>
  </si>
  <si>
    <t xml:space="preserve">ron.chambers@hpe.com </t>
  </si>
  <si>
    <t xml:space="preserve">[Master=98696, Avitus]Change in modebits and loss of non-... </t>
  </si>
  <si>
    <t>Thu 14:06</t>
  </si>
  <si>
    <t xml:space="preserve">[Master=34651, 4.1.0 Avengers] Changing share permissions... </t>
  </si>
  <si>
    <t>Thu 21:37</t>
  </si>
  <si>
    <t xml:space="preserve">[Master=59294, 4.1.0 Avengers] [Customer Netto] Customer ... </t>
  </si>
  <si>
    <t>Thu 21:44</t>
  </si>
  <si>
    <t xml:space="preserve">[Master=62222, 4.1.0 Avengers] [Customer] Special charact... </t>
  </si>
  <si>
    <t>Thu 21:54</t>
  </si>
  <si>
    <t xml:space="preserve">[Master=55364, 4.1.0 Avengers] [Customer Elliot Managemen... </t>
  </si>
  <si>
    <t>WIPRO, Pending for review</t>
  </si>
  <si>
    <t>Thu 22:25</t>
  </si>
  <si>
    <t>Thu 21:59</t>
  </si>
  <si>
    <t xml:space="preserve">[Avengers]Code change to provide a single binary for both... </t>
  </si>
  <si>
    <t>Thu 22:44</t>
  </si>
  <si>
    <t xml:space="preserve">[Axion][valgrind] lsass memory leak in LsaRpcReadRegistry... </t>
  </si>
  <si>
    <t>Fri 01:03</t>
  </si>
  <si>
    <t xml:space="preserve">[Master=96060, D2D future] [Customer: TURKUAZ TEKSTIL, Mi... </t>
  </si>
  <si>
    <t>Fri 04:25</t>
  </si>
  <si>
    <t xml:space="preserve">[Master=98774, Axion][Valgrind] Medium memory leak in srv... </t>
  </si>
  <si>
    <t>Mon 11:48</t>
  </si>
  <si>
    <t xml:space="preserve">[Master=98774, Avitus] [Valgrind] Medium memory leak in s... </t>
  </si>
  <si>
    <t>Mon 11:46</t>
  </si>
  <si>
    <t>Mon 11:43</t>
  </si>
  <si>
    <t xml:space="preserve">"Chunk in" approach for enumerating large directory while... </t>
  </si>
  <si>
    <t xml:space="preserve">[Master=98888, Avitus][Customer: Ternium] JVM consumes al... </t>
  </si>
  <si>
    <t xml:space="preserve">[Master=98891, Avitus][Customer: Ternium] Potential deadl... </t>
  </si>
  <si>
    <t xml:space="preserve">[Master=98690, Avitus]IDoD-Write to a file from NFS clien... </t>
  </si>
  <si>
    <t xml:space="preserve">[Axion][valgrind] lwbase memory leak in LwIoSvcmInit() fu... </t>
  </si>
  <si>
    <t xml:space="preserve">[Axion][valgrind] lsass memory leak in LwRtlSvcmStart() f... </t>
  </si>
  <si>
    <t xml:space="preserve">[Master=91429, Axion] Race condition during saves to SMB ... </t>
  </si>
  <si>
    <t xml:space="preserve">[Axion][valgrind] lwio memory leak in IopIpcCreateCallCon... </t>
  </si>
  <si>
    <t xml:space="preserve">[Axion][valgrind] lwio memory leak in IopIrpCreateDetache... </t>
  </si>
  <si>
    <t xml:space="preserve">[Axion][valgrind] lwio memory leak in NpfsAllocateMemory(... </t>
  </si>
  <si>
    <t xml:space="preserve">Windows 10 Pro Offline files not working with FP SMB share </t>
  </si>
  <si>
    <t xml:space="preserve">steve.houle@hpe.com </t>
  </si>
  <si>
    <t xml:space="preserve">[Axion][valgrind] lwio memory leak in IopIpcReadFile() fu... </t>
  </si>
  <si>
    <t xml:space="preserve">[Axion][valgrind] lwio memory leak in NpfsAllocateIrpCont... </t>
  </si>
  <si>
    <t xml:space="preserve">[Axion][valgrind] lwio memory leak in RdrAllocatePacketBu... </t>
  </si>
  <si>
    <t xml:space="preserve">[Axion][valgrind] lwio memory leak in RdrCreateTreeConnec... </t>
  </si>
  <si>
    <t xml:space="preserve">[Axion][valgrind] lwbase memory leak in InitEventThread()... </t>
  </si>
  <si>
    <t xml:space="preserve">[Axion][valgrind] lwmsg memory leak in lwmsg_hash_init() ... </t>
  </si>
  <si>
    <t>| AvitusOpenYZmwr</t>
  </si>
  <si>
    <t>| Atlas 1.2.4 Candidate List</t>
  </si>
  <si>
    <t>Tue May 2 2017 11:46:17 MDT</t>
  </si>
  <si>
    <t xml:space="preserve">153 bugs found. </t>
  </si>
  <si>
    <t xml:space="preserve">[Master=56502, Axion] Ldap user can still map share and a...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</si>
</sst>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m/d/yy\ h:mm;@"/>
  </numFmts>
  <fonts count="5" x14ac:knownFonts="1">
    <font>
      <sz val="11"/>
      <color theme="1"/>
      <name val="Calibri"/>
      <family val="2"/>
      <scheme val="minor"/>
    </font>
    <font>
      <u/>
      <sz val="11"/>
      <color theme="10"/>
      <name val="Calibri"/>
      <family val="2"/>
      <scheme val="minor"/>
    </font>
    <font>
      <sz val="10"/>
      <color theme="1"/>
      <name val="Arial Unicode MS"/>
      <family val="2"/>
    </font>
    <font>
      <b/>
      <u/>
      <sz val="11"/>
      <color rgb="FFFF0000"/>
      <name val="Calibri"/>
      <family val="2"/>
      <scheme val="minor"/>
    </font>
    <font>
      <b/>
      <sz val="11"/>
      <color theme="1"/>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2" tint="-0.249977111117893"/>
        <bgColor indexed="64"/>
      </patternFill>
    </fill>
    <fill>
      <patternFill patternType="solid">
        <fgColor rgb="FFFF000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FFFF99"/>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22" fontId="0" fillId="0" borderId="0" xfId="0" applyNumberFormat="1"/>
    <xf numFmtId="0" fontId="0" fillId="7" borderId="0" xfId="0" applyFill="1"/>
    <xf numFmtId="0" fontId="0" fillId="0" borderId="0" xfId="0" applyFill="1"/>
    <xf numFmtId="0" fontId="0" fillId="8" borderId="0" xfId="0" applyFill="1"/>
    <xf numFmtId="0" fontId="0" fillId="9" borderId="0" xfId="0" applyFill="1"/>
    <xf numFmtId="0" fontId="1" fillId="0" borderId="0" xfId="1"/>
    <xf numFmtId="0" fontId="0" fillId="10" borderId="0" xfId="0" applyFill="1"/>
    <xf numFmtId="14" fontId="0" fillId="0" borderId="0" xfId="0" applyNumberFormat="1"/>
    <xf numFmtId="1" fontId="0" fillId="0" borderId="0" xfId="0" applyNumberFormat="1"/>
    <xf numFmtId="164" fontId="0" fillId="0" borderId="0" xfId="0" applyNumberFormat="1"/>
    <xf numFmtId="0" fontId="0" fillId="11" borderId="0" xfId="0" applyFill="1"/>
    <xf numFmtId="0" fontId="2" fillId="0" borderId="0" xfId="0" applyFont="1" applyAlignment="1">
      <alignment vertical="center"/>
    </xf>
    <xf numFmtId="0" fontId="1" fillId="0" borderId="0" xfId="1" quotePrefix="1"/>
    <xf numFmtId="0" fontId="1" fillId="0" borderId="0" xfId="1" applyNumberFormat="1"/>
    <xf numFmtId="0" fontId="0" fillId="0" borderId="0" xfId="0" applyNumberFormat="1"/>
    <xf numFmtId="0" fontId="0" fillId="12" borderId="0" xfId="0" applyFill="1"/>
    <xf numFmtId="0" fontId="0" fillId="13" borderId="0" xfId="0" applyFill="1"/>
    <xf numFmtId="165" fontId="0" fillId="0" borderId="0" xfId="0" applyNumberFormat="1"/>
    <xf numFmtId="0" fontId="0" fillId="0" borderId="0" xfId="0" applyAlignment="1">
      <alignment wrapText="1"/>
    </xf>
    <xf numFmtId="0" fontId="0" fillId="14" borderId="0" xfId="0" applyFill="1"/>
    <xf numFmtId="0" fontId="1" fillId="0" borderId="0" xfId="1" applyAlignment="1">
      <alignment vertical="center"/>
    </xf>
    <xf numFmtId="21" fontId="0" fillId="0" borderId="0" xfId="0" applyNumberFormat="1"/>
    <xf numFmtId="0" fontId="4" fillId="0" borderId="0" xfId="0" applyFont="1"/>
  </cellXfs>
  <cellStyles count="2">
    <cellStyle name="Hyperlink" xfId="1" builtinId="8"/>
    <cellStyle name="Normal" xfId="0" builtinId="0"/>
  </cellStyles>
  <dxfs count="7">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7030A0"/>
        </patternFill>
      </fill>
    </dxf>
    <dxf>
      <fill>
        <patternFill>
          <bgColor rgb="FF6EF29A"/>
        </patternFill>
      </fill>
    </dxf>
  </dxfs>
  <tableStyles count="0" defaultTableStyle="TableStyleMedium2" defaultPivotStyle="PivotStyleLight16"/>
  <colors>
    <mruColors>
      <color rgb="FF6EF29A"/>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mwroberts/Documents/AstraBugs_Mar2014.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wroberts/Documents/AstraBugs_Feb2014.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CloneBugsCalc.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H:\Migrate\Docs\bugs-2014-02-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gs-2014-03-31"/>
      <sheetName val="bugs-2014-03-28(1)"/>
      <sheetName val="bugs-2014-03-28"/>
      <sheetName val="bugs-2014-03-27"/>
      <sheetName val="bugs-2014-03-26"/>
      <sheetName val="bugs-2014-03-25"/>
      <sheetName val="bugs-2014-03-24"/>
      <sheetName val="bugs-2014-03-18"/>
      <sheetName val="bugs-2014-03-17"/>
      <sheetName val="bugs-2014-03-14"/>
      <sheetName val="bugs-2014-03-13"/>
      <sheetName val="bugs-2014-03-12"/>
      <sheetName val="bugs-2014-03-11"/>
      <sheetName val="bugs-2014-03-10"/>
      <sheetName val="bugs-2014-03-08"/>
      <sheetName val="bugs-2014-03-07"/>
      <sheetName val="bugs-2014-03-06"/>
      <sheetName val="bugs-2014-03-05"/>
      <sheetName val="bugs-2014-03-04"/>
      <sheetName val="Assignees"/>
      <sheetName val="bugs-2014-03-03"/>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A1" t="str">
            <v>Count</v>
          </cell>
          <cell r="B1" t="str">
            <v>Version Found</v>
          </cell>
          <cell r="C1" t="str">
            <v>Count</v>
          </cell>
          <cell r="D1" t="str">
            <v>Target</v>
          </cell>
          <cell r="E1" t="str">
            <v>Blocker</v>
          </cell>
          <cell r="F1" t="str">
            <v>Critical</v>
          </cell>
          <cell r="G1" t="str">
            <v>Major</v>
          </cell>
        </row>
        <row r="2">
          <cell r="A2">
            <v>20</v>
          </cell>
          <cell r="B2" t="str">
            <v>New Feature</v>
          </cell>
          <cell r="C2">
            <v>119</v>
          </cell>
          <cell r="D2" t="str">
            <v>Astra</v>
          </cell>
          <cell r="E2">
            <v>1</v>
          </cell>
          <cell r="F2">
            <v>4</v>
          </cell>
          <cell r="G2">
            <v>14</v>
          </cell>
        </row>
        <row r="3">
          <cell r="A3">
            <v>87</v>
          </cell>
          <cell r="B3" t="str">
            <v>Astra</v>
          </cell>
          <cell r="C3">
            <v>0</v>
          </cell>
          <cell r="D3">
            <v>0</v>
          </cell>
          <cell r="E3">
            <v>0</v>
          </cell>
          <cell r="F3">
            <v>0</v>
          </cell>
          <cell r="G3">
            <v>0</v>
          </cell>
        </row>
        <row r="4">
          <cell r="A4">
            <v>0</v>
          </cell>
          <cell r="B4" t="e">
            <v>#REF!</v>
          </cell>
          <cell r="C4">
            <v>0</v>
          </cell>
          <cell r="D4">
            <v>0</v>
          </cell>
          <cell r="E4">
            <v>0</v>
          </cell>
          <cell r="F4">
            <v>0</v>
          </cell>
          <cell r="G4">
            <v>0</v>
          </cell>
        </row>
        <row r="5">
          <cell r="A5">
            <v>0</v>
          </cell>
          <cell r="B5" t="e">
            <v>#REF!</v>
          </cell>
          <cell r="C5">
            <v>0</v>
          </cell>
          <cell r="D5">
            <v>0</v>
          </cell>
          <cell r="E5">
            <v>0</v>
          </cell>
          <cell r="F5">
            <v>0</v>
          </cell>
          <cell r="G5">
            <v>0</v>
          </cell>
        </row>
        <row r="6">
          <cell r="A6">
            <v>28</v>
          </cell>
          <cell r="B6" t="str">
            <v>Astra-IR6</v>
          </cell>
          <cell r="C6">
            <v>0</v>
          </cell>
          <cell r="D6">
            <v>0</v>
          </cell>
          <cell r="E6">
            <v>0</v>
          </cell>
          <cell r="F6">
            <v>0</v>
          </cell>
          <cell r="G6">
            <v>0</v>
          </cell>
        </row>
        <row r="7">
          <cell r="A7">
            <v>21</v>
          </cell>
          <cell r="B7" t="str">
            <v>Astra-IR7</v>
          </cell>
          <cell r="C7">
            <v>0</v>
          </cell>
          <cell r="D7">
            <v>0</v>
          </cell>
          <cell r="E7">
            <v>0</v>
          </cell>
          <cell r="F7">
            <v>0</v>
          </cell>
          <cell r="G7">
            <v>0</v>
          </cell>
        </row>
        <row r="8">
          <cell r="A8">
            <v>7</v>
          </cell>
          <cell r="B8" t="str">
            <v>Astra-IR8</v>
          </cell>
          <cell r="C8">
            <v>0</v>
          </cell>
          <cell r="D8">
            <v>0</v>
          </cell>
          <cell r="E8">
            <v>0</v>
          </cell>
          <cell r="F8">
            <v>0</v>
          </cell>
          <cell r="G8">
            <v>0</v>
          </cell>
        </row>
        <row r="9">
          <cell r="A9">
            <v>1</v>
          </cell>
          <cell r="B9" t="str">
            <v>Astra-IR9</v>
          </cell>
          <cell r="C9">
            <v>119</v>
          </cell>
          <cell r="D9" t="str">
            <v>TOTAL</v>
          </cell>
          <cell r="E9">
            <v>1</v>
          </cell>
          <cell r="F9">
            <v>4</v>
          </cell>
          <cell r="G9">
            <v>14</v>
          </cell>
        </row>
        <row r="10">
          <cell r="A10">
            <v>0</v>
          </cell>
          <cell r="B10" t="str">
            <v>Astra-Post IR13 06-20</v>
          </cell>
          <cell r="C10">
            <v>111</v>
          </cell>
          <cell r="D10" t="str">
            <v>TOTAL non-PML dev</v>
          </cell>
        </row>
        <row r="11">
          <cell r="A11">
            <v>5</v>
          </cell>
          <cell r="B11" t="str">
            <v>6.1 (Ensenada)</v>
          </cell>
          <cell r="C11">
            <v>-33</v>
          </cell>
          <cell r="D11" t="str">
            <v>TOTAL external found FTC owned HP-SMB bugs</v>
          </cell>
        </row>
        <row r="12">
          <cell r="A12">
            <v>6</v>
          </cell>
          <cell r="B12" t="str">
            <v>6.2 (Fiji)</v>
          </cell>
          <cell r="C12">
            <v>27</v>
          </cell>
          <cell r="D12" t="str">
            <v>[PML] NFS</v>
          </cell>
          <cell r="E12">
            <v>0</v>
          </cell>
          <cell r="F12">
            <v>0</v>
          </cell>
          <cell r="G12">
            <v>6</v>
          </cell>
        </row>
        <row r="13">
          <cell r="A13">
            <v>11</v>
          </cell>
          <cell r="B13" t="str">
            <v>6.3 (FlyingSaucer)</v>
          </cell>
          <cell r="C13">
            <v>18</v>
          </cell>
          <cell r="D13" t="str">
            <v>[PML] HP-SMB</v>
          </cell>
          <cell r="E13">
            <v>0</v>
          </cell>
          <cell r="F13">
            <v>0</v>
          </cell>
          <cell r="G13">
            <v>0</v>
          </cell>
        </row>
        <row r="14">
          <cell r="A14">
            <v>0</v>
          </cell>
          <cell r="B14" t="str">
            <v>6.5 (Ghost)</v>
          </cell>
          <cell r="C14">
            <v>72</v>
          </cell>
          <cell r="D14" t="str">
            <v>Wipro</v>
          </cell>
          <cell r="E14">
            <v>0</v>
          </cell>
          <cell r="F14">
            <v>7</v>
          </cell>
          <cell r="G14">
            <v>19</v>
          </cell>
        </row>
        <row r="15">
          <cell r="A15">
            <v>0</v>
          </cell>
          <cell r="B15" t="e">
            <v>#REF!</v>
          </cell>
          <cell r="C15">
            <v>12</v>
          </cell>
          <cell r="D15" t="str">
            <v>whitbrd</v>
          </cell>
          <cell r="E15">
            <v>0</v>
          </cell>
          <cell r="F15">
            <v>2</v>
          </cell>
          <cell r="G15">
            <v>3</v>
          </cell>
        </row>
        <row r="16">
          <cell r="A16">
            <v>0</v>
          </cell>
          <cell r="B16" t="e">
            <v>#REF!</v>
          </cell>
        </row>
        <row r="17">
          <cell r="A17">
            <v>0</v>
          </cell>
          <cell r="B17">
            <v>0</v>
          </cell>
          <cell r="C17">
            <v>53</v>
          </cell>
          <cell r="D17" t="str">
            <v>Wipro</v>
          </cell>
          <cell r="E17" t="str">
            <v>Astra</v>
          </cell>
        </row>
        <row r="18">
          <cell r="A18">
            <v>186</v>
          </cell>
          <cell r="B18" t="str">
            <v>TOTAL</v>
          </cell>
          <cell r="C18">
            <v>0</v>
          </cell>
          <cell r="D18" t="str">
            <v>Wipro</v>
          </cell>
          <cell r="E18">
            <v>0</v>
          </cell>
          <cell r="F18">
            <v>0</v>
          </cell>
          <cell r="G18">
            <v>0</v>
          </cell>
        </row>
        <row r="19">
          <cell r="C19">
            <v>0</v>
          </cell>
          <cell r="D19" t="str">
            <v>Wipro</v>
          </cell>
          <cell r="E19">
            <v>0</v>
          </cell>
        </row>
        <row r="20">
          <cell r="A20">
            <v>45</v>
          </cell>
          <cell r="B20" t="str">
            <v>integration</v>
          </cell>
          <cell r="C20">
            <v>0</v>
          </cell>
          <cell r="D20" t="str">
            <v>Wipro</v>
          </cell>
          <cell r="E20">
            <v>0</v>
          </cell>
        </row>
        <row r="21">
          <cell r="A21">
            <v>9</v>
          </cell>
          <cell r="B21" t="str">
            <v>Automated</v>
          </cell>
          <cell r="C21">
            <v>0</v>
          </cell>
          <cell r="D21" t="str">
            <v>Wipro</v>
          </cell>
          <cell r="E21">
            <v>0</v>
          </cell>
        </row>
        <row r="22">
          <cell r="A22">
            <v>54</v>
          </cell>
          <cell r="B22" t="str">
            <v>QA Found</v>
          </cell>
          <cell r="C22">
            <v>0</v>
          </cell>
          <cell r="D22" t="str">
            <v>Wipro</v>
          </cell>
          <cell r="E22">
            <v>0</v>
          </cell>
        </row>
        <row r="23">
          <cell r="C23">
            <v>0</v>
          </cell>
          <cell r="D23" t="str">
            <v>Wipro</v>
          </cell>
          <cell r="E23">
            <v>0</v>
          </cell>
        </row>
        <row r="24">
          <cell r="C24">
            <v>53</v>
          </cell>
        </row>
        <row r="25">
          <cell r="C25">
            <v>57</v>
          </cell>
          <cell r="D25" t="str">
            <v>Horizontal feature bugs</v>
          </cell>
        </row>
        <row r="26">
          <cell r="C26">
            <v>171</v>
          </cell>
          <cell r="D26" t="str">
            <v xml:space="preserve">Master </v>
          </cell>
        </row>
        <row r="27">
          <cell r="C27">
            <v>15</v>
          </cell>
          <cell r="D27" t="str">
            <v>NFS [PML]</v>
          </cell>
          <cell r="E27" t="str">
            <v>Astra</v>
          </cell>
        </row>
        <row r="28">
          <cell r="C28">
            <v>0</v>
          </cell>
          <cell r="D28" t="str">
            <v>NFS [PML]</v>
          </cell>
          <cell r="E28">
            <v>0</v>
          </cell>
        </row>
        <row r="29">
          <cell r="C29">
            <v>0</v>
          </cell>
          <cell r="D29" t="str">
            <v>NFS [PML]</v>
          </cell>
          <cell r="E29">
            <v>0</v>
          </cell>
        </row>
        <row r="30">
          <cell r="C30">
            <v>0</v>
          </cell>
          <cell r="D30" t="str">
            <v>NFS [PML]</v>
          </cell>
          <cell r="E30">
            <v>0</v>
          </cell>
        </row>
        <row r="31">
          <cell r="C31">
            <v>0</v>
          </cell>
          <cell r="D31" t="str">
            <v>NFS [PML]</v>
          </cell>
          <cell r="E31">
            <v>0</v>
          </cell>
        </row>
        <row r="32">
          <cell r="C32">
            <v>0</v>
          </cell>
          <cell r="D32" t="str">
            <v>NFS [PML]</v>
          </cell>
          <cell r="E32">
            <v>0</v>
          </cell>
        </row>
        <row r="33">
          <cell r="C33">
            <v>0</v>
          </cell>
          <cell r="D33" t="str">
            <v>NFS [PML]</v>
          </cell>
          <cell r="E33">
            <v>0</v>
          </cell>
        </row>
        <row r="34">
          <cell r="C34">
            <v>15</v>
          </cell>
        </row>
        <row r="35">
          <cell r="C35">
            <v>0</v>
          </cell>
          <cell r="D35" t="str">
            <v>NFS  core</v>
          </cell>
          <cell r="E35" t="str">
            <v>Astra</v>
          </cell>
        </row>
        <row r="36">
          <cell r="C36">
            <v>0</v>
          </cell>
          <cell r="D36" t="str">
            <v>NFS  core</v>
          </cell>
          <cell r="E36">
            <v>0</v>
          </cell>
        </row>
        <row r="37">
          <cell r="C37">
            <v>0</v>
          </cell>
          <cell r="D37" t="str">
            <v>NFS  core</v>
          </cell>
          <cell r="E37">
            <v>0</v>
          </cell>
        </row>
        <row r="38">
          <cell r="C38">
            <v>0</v>
          </cell>
          <cell r="D38" t="str">
            <v>NFS  core</v>
          </cell>
          <cell r="E38">
            <v>0</v>
          </cell>
        </row>
        <row r="39">
          <cell r="C39">
            <v>0</v>
          </cell>
          <cell r="D39" t="str">
            <v>NFS  core</v>
          </cell>
          <cell r="E39">
            <v>0</v>
          </cell>
        </row>
        <row r="40">
          <cell r="C40">
            <v>0</v>
          </cell>
          <cell r="D40" t="str">
            <v>NFS  core</v>
          </cell>
          <cell r="E40">
            <v>0</v>
          </cell>
        </row>
        <row r="41">
          <cell r="C41">
            <v>0</v>
          </cell>
          <cell r="D41" t="str">
            <v>NFS  core</v>
          </cell>
          <cell r="E41">
            <v>0</v>
          </cell>
        </row>
        <row r="42">
          <cell r="C42">
            <v>0</v>
          </cell>
        </row>
        <row r="43">
          <cell r="C43">
            <v>15</v>
          </cell>
        </row>
        <row r="45">
          <cell r="B45" t="str">
            <v>Last changed count</v>
          </cell>
          <cell r="E45" t="str">
            <v>Age count</v>
          </cell>
        </row>
        <row r="46">
          <cell r="B46">
            <v>0</v>
          </cell>
          <cell r="C46" t="str">
            <v>&lt; 30 days</v>
          </cell>
          <cell r="E46">
            <v>0</v>
          </cell>
        </row>
        <row r="47">
          <cell r="B47">
            <v>0</v>
          </cell>
          <cell r="C47" t="str">
            <v>&gt;= 30 , &lt;60 days</v>
          </cell>
          <cell r="E47">
            <v>0</v>
          </cell>
        </row>
        <row r="48">
          <cell r="B48">
            <v>0</v>
          </cell>
          <cell r="C48" t="str">
            <v>&gt;= 60 , &lt;90 days</v>
          </cell>
          <cell r="E48">
            <v>0</v>
          </cell>
        </row>
        <row r="49">
          <cell r="B49">
            <v>0</v>
          </cell>
          <cell r="C49" t="str">
            <v>&gt;= 90 , &lt;120 days</v>
          </cell>
          <cell r="E49">
            <v>0</v>
          </cell>
        </row>
        <row r="50">
          <cell r="B50">
            <v>0</v>
          </cell>
          <cell r="C50" t="str">
            <v>&gt;= 120 , &lt;150 days</v>
          </cell>
          <cell r="E50">
            <v>0</v>
          </cell>
        </row>
        <row r="51">
          <cell r="B51">
            <v>208</v>
          </cell>
          <cell r="C51" t="str">
            <v>&gt;=150 days</v>
          </cell>
          <cell r="E51">
            <v>208</v>
          </cell>
        </row>
        <row r="52">
          <cell r="B52">
            <v>208</v>
          </cell>
          <cell r="E52">
            <v>208</v>
          </cell>
        </row>
        <row r="54">
          <cell r="B54">
            <v>189.46634615384616</v>
          </cell>
          <cell r="C54" t="str">
            <v>Mean days</v>
          </cell>
          <cell r="E54">
            <v>227.88942307692307</v>
          </cell>
        </row>
        <row r="60">
          <cell r="A60">
            <v>209</v>
          </cell>
          <cell r="B60" t="str">
            <v>last row</v>
          </cell>
        </row>
        <row r="61">
          <cell r="A61">
            <v>2</v>
          </cell>
          <cell r="B61" t="str">
            <v>first row</v>
          </cell>
        </row>
        <row r="62">
          <cell r="A62" t="str">
            <v>u</v>
          </cell>
          <cell r="B62" t="str">
            <v>version found</v>
          </cell>
        </row>
        <row r="63">
          <cell r="A63" t="str">
            <v>r</v>
          </cell>
          <cell r="B63" t="str">
            <v>whiteboard</v>
          </cell>
        </row>
        <row r="64">
          <cell r="A64" t="str">
            <v>m</v>
          </cell>
          <cell r="B64" t="str">
            <v>assignee</v>
          </cell>
        </row>
        <row r="65">
          <cell r="A65" t="str">
            <v>p</v>
          </cell>
          <cell r="B65" t="str">
            <v>target milestone</v>
          </cell>
        </row>
        <row r="66">
          <cell r="A66" t="str">
            <v>n</v>
          </cell>
          <cell r="B66" t="str">
            <v>summary</v>
          </cell>
        </row>
        <row r="67">
          <cell r="A67" t="str">
            <v>o</v>
          </cell>
          <cell r="B67" t="str">
            <v>severity</v>
          </cell>
        </row>
        <row r="68">
          <cell r="A68" t="str">
            <v>i</v>
          </cell>
          <cell r="B68" t="str">
            <v>last active days</v>
          </cell>
        </row>
        <row r="69">
          <cell r="A69" t="str">
            <v>j</v>
          </cell>
          <cell r="B69" t="str">
            <v>age in days</v>
          </cell>
        </row>
      </sheetData>
      <sheetData sheetId="13"/>
      <sheetData sheetId="14"/>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gs-2014-02-28"/>
      <sheetName val="bugs-2014-02-27"/>
      <sheetName val="bugs-2014-02-26"/>
      <sheetName val="bugs-2014-02-25"/>
      <sheetName val="bugs-2014-02-24"/>
      <sheetName val="bugs-2014-02-20"/>
      <sheetName val="bugs-2014-02-19"/>
      <sheetName val="bugs-2014-02-14"/>
      <sheetName val="bugs-2014-02-12"/>
      <sheetName val="bugs-2014-02-11"/>
      <sheetName val="bugs-2014-02-10"/>
      <sheetName val="bugs-2014-02-06"/>
      <sheetName val="bugs-2014-02-05"/>
      <sheetName val="Assignees"/>
    </sheetNames>
    <sheetDataSet>
      <sheetData sheetId="0"/>
      <sheetData sheetId="1"/>
      <sheetData sheetId="2"/>
      <sheetData sheetId="3"/>
      <sheetData sheetId="4"/>
      <sheetData sheetId="5"/>
      <sheetData sheetId="6"/>
      <sheetData sheetId="7"/>
      <sheetData sheetId="8"/>
      <sheetData sheetId="9"/>
      <sheetData sheetId="10"/>
      <sheetData sheetId="11">
        <row r="2">
          <cell r="Q2" t="str">
            <v>aga.shahi@hp.com</v>
          </cell>
        </row>
        <row r="3">
          <cell r="Q3" t="str">
            <v>alban-k.lyndem@hp.com</v>
          </cell>
        </row>
        <row r="4">
          <cell r="Q4" t="str">
            <v>brian.zimpfer@hp.com</v>
          </cell>
        </row>
        <row r="5">
          <cell r="Q5" t="str">
            <v>brian.zimpfer@hp.com</v>
          </cell>
        </row>
        <row r="6">
          <cell r="Q6" t="str">
            <v>thomas.jam.hromatka@hp.com</v>
          </cell>
        </row>
        <row r="7">
          <cell r="Q7" t="str">
            <v>thomas.jam.hromatka@hp.com</v>
          </cell>
        </row>
        <row r="8">
          <cell r="Q8" t="str">
            <v>john.fiorillo@hp.com</v>
          </cell>
        </row>
        <row r="9">
          <cell r="Q9" t="str">
            <v>john.fiorillo@hp.com</v>
          </cell>
        </row>
        <row r="10">
          <cell r="Q10" t="str">
            <v>thomas.jam.hromatka@hp.com</v>
          </cell>
        </row>
        <row r="11">
          <cell r="Q11" t="str">
            <v>ggupta@hp.com</v>
          </cell>
        </row>
        <row r="12">
          <cell r="Q12" t="str">
            <v>brandon.sco.schaffer@hp.com</v>
          </cell>
        </row>
        <row r="13">
          <cell r="Q13" t="str">
            <v>thomas.jam.hromatka@hp.com</v>
          </cell>
        </row>
        <row r="14">
          <cell r="Q14" t="str">
            <v>brian.zimpfer@hp.com</v>
          </cell>
        </row>
        <row r="15">
          <cell r="Q15" t="str">
            <v>brian.zimpfer@hp.com</v>
          </cell>
        </row>
        <row r="16">
          <cell r="Q16" t="str">
            <v>john.fiorillo@hp.com</v>
          </cell>
        </row>
        <row r="17">
          <cell r="Q17" t="str">
            <v>sue-pei.wang@hp.com</v>
          </cell>
        </row>
        <row r="18">
          <cell r="Q18" t="str">
            <v>sasha.epstein@hp.com</v>
          </cell>
        </row>
        <row r="19">
          <cell r="Q19" t="str">
            <v>thomas.jam.hromatka@hp.com</v>
          </cell>
        </row>
        <row r="20">
          <cell r="Q20" t="str">
            <v>brian.zimpfer@hp.com</v>
          </cell>
        </row>
        <row r="21">
          <cell r="Q21" t="str">
            <v>brian.zimpfer@hp.com</v>
          </cell>
        </row>
        <row r="22">
          <cell r="Q22" t="str">
            <v>brian.zimpfer@hp.com</v>
          </cell>
        </row>
        <row r="23">
          <cell r="Q23" t="str">
            <v>brian.zimpfer@hp.com</v>
          </cell>
        </row>
        <row r="24">
          <cell r="Q24" t="str">
            <v>brian.zimpfer@hp.com</v>
          </cell>
        </row>
        <row r="25">
          <cell r="Q25" t="str">
            <v>thomas.jam.hromatka@hp.com</v>
          </cell>
        </row>
        <row r="26">
          <cell r="Q26" t="str">
            <v>Matt.Bondurant@hp.com</v>
          </cell>
        </row>
        <row r="27">
          <cell r="Q27" t="str">
            <v>douglas.lee.potts@hp.com</v>
          </cell>
        </row>
        <row r="28">
          <cell r="Q28" t="str">
            <v>gaurav.gupta2@hp.com</v>
          </cell>
        </row>
        <row r="29">
          <cell r="Q29" t="str">
            <v>samir.raval@hp.com</v>
          </cell>
        </row>
        <row r="30">
          <cell r="Q30" t="str">
            <v>bill.kirk@hp.com</v>
          </cell>
        </row>
        <row r="31">
          <cell r="Q31" t="str">
            <v>matt.dumm@hp.com</v>
          </cell>
        </row>
        <row r="32">
          <cell r="Q32" t="str">
            <v>amartya.tagore@hp.com</v>
          </cell>
        </row>
        <row r="33">
          <cell r="Q33" t="str">
            <v>john.fiorillo@hp.com</v>
          </cell>
        </row>
        <row r="34">
          <cell r="Q34" t="str">
            <v>brian.zimpfer@hp.com</v>
          </cell>
        </row>
        <row r="35">
          <cell r="Q35" t="str">
            <v>matt.dumm@hp.com</v>
          </cell>
        </row>
        <row r="36">
          <cell r="Q36" t="str">
            <v>brian.zimpfer@hp.com</v>
          </cell>
        </row>
        <row r="37">
          <cell r="Q37" t="str">
            <v>brian.zimpfer@hp.com</v>
          </cell>
        </row>
        <row r="38">
          <cell r="Q38" t="str">
            <v>padmapraveena.vusa@hp.com</v>
          </cell>
        </row>
        <row r="39">
          <cell r="Q39" t="str">
            <v>akshay.ballal@hp.com</v>
          </cell>
        </row>
        <row r="40">
          <cell r="Q40" t="str">
            <v>padmapraveena.vusa@hp.com</v>
          </cell>
        </row>
        <row r="41">
          <cell r="Q41" t="str">
            <v>sasha.epstein@hp.com</v>
          </cell>
        </row>
        <row r="42">
          <cell r="Q42" t="str">
            <v>padmapraveena.vusa@hp.com</v>
          </cell>
        </row>
        <row r="43">
          <cell r="Q43" t="str">
            <v>tim.beaudin@hp.com</v>
          </cell>
        </row>
        <row r="44">
          <cell r="Q44" t="str">
            <v>tim.beaudin@hp.com</v>
          </cell>
        </row>
        <row r="45">
          <cell r="Q45" t="str">
            <v>sue-pei.wang@hp.com</v>
          </cell>
        </row>
        <row r="46">
          <cell r="Q46" t="str">
            <v>aga.shahi@hp.com</v>
          </cell>
        </row>
        <row r="47">
          <cell r="Q47" t="str">
            <v>suruchi.gondkar@hp.com</v>
          </cell>
        </row>
        <row r="48">
          <cell r="Q48" t="str">
            <v>padmapraveena.vusa@hp.com</v>
          </cell>
        </row>
        <row r="49">
          <cell r="Q49" t="str">
            <v>padmapraveena.vusa@hp.com</v>
          </cell>
        </row>
        <row r="50">
          <cell r="Q50" t="str">
            <v>bryan.mcdade@hp.com</v>
          </cell>
        </row>
        <row r="51">
          <cell r="Q51" t="str">
            <v>padmapraveena.vusa@hp.com</v>
          </cell>
        </row>
        <row r="52">
          <cell r="Q52" t="str">
            <v>chi-ti.chen@hp.com</v>
          </cell>
        </row>
        <row r="53">
          <cell r="Q53" t="str">
            <v>matt.dumm@hp.com</v>
          </cell>
        </row>
        <row r="54">
          <cell r="Q54" t="str">
            <v>matt.dumm@hp.com</v>
          </cell>
        </row>
        <row r="55">
          <cell r="Q55" t="str">
            <v>bryan.mcdade@hp.com</v>
          </cell>
        </row>
        <row r="56">
          <cell r="Q56" t="str">
            <v>sayan.ghosh@hp.com</v>
          </cell>
        </row>
        <row r="57">
          <cell r="Q57" t="str">
            <v>chi-ti.chen@hp.com</v>
          </cell>
        </row>
        <row r="58">
          <cell r="Q58" t="str">
            <v>chi-ti.chen@hp.com</v>
          </cell>
        </row>
        <row r="59">
          <cell r="Q59" t="str">
            <v>chi-ti.chen@hp.com</v>
          </cell>
        </row>
        <row r="60">
          <cell r="Q60" t="str">
            <v>chi-ti.chen@hp.com</v>
          </cell>
        </row>
        <row r="61">
          <cell r="Q61" t="str">
            <v>chi-ti.chen@hp.com</v>
          </cell>
        </row>
        <row r="62">
          <cell r="Q62" t="str">
            <v>arnab.das@hp.com</v>
          </cell>
        </row>
        <row r="63">
          <cell r="Q63" t="str">
            <v>chi-ti.chen@hp.com</v>
          </cell>
        </row>
        <row r="64">
          <cell r="Q64" t="str">
            <v>chi-ti.chen@hp.com</v>
          </cell>
        </row>
        <row r="65">
          <cell r="Q65" t="str">
            <v>chi-ti.chen@hp.com</v>
          </cell>
        </row>
        <row r="66">
          <cell r="Q66" t="str">
            <v>chi-ti.chen@hp.com</v>
          </cell>
        </row>
        <row r="67">
          <cell r="Q67" t="str">
            <v>chi-ti.chen@hp.com</v>
          </cell>
        </row>
        <row r="68">
          <cell r="Q68" t="str">
            <v>chi-ti.chen@hp.com</v>
          </cell>
        </row>
        <row r="69">
          <cell r="Q69" t="str">
            <v>chi-ti.chen@hp.com</v>
          </cell>
        </row>
        <row r="70">
          <cell r="Q70" t="str">
            <v>chi-ti.chen@hp.com</v>
          </cell>
        </row>
        <row r="71">
          <cell r="Q71" t="str">
            <v>chi-ti.chen@hp.com</v>
          </cell>
        </row>
        <row r="72">
          <cell r="Q72" t="str">
            <v>chi-ti.chen@hp.com</v>
          </cell>
        </row>
        <row r="73">
          <cell r="Q73" t="str">
            <v>chi-ti.chen@hp.com</v>
          </cell>
        </row>
        <row r="74">
          <cell r="Q74" t="str">
            <v>douglas.lee.potts@hp.com</v>
          </cell>
        </row>
        <row r="75">
          <cell r="Q75" t="str">
            <v>matt.dumm@hp.com</v>
          </cell>
        </row>
        <row r="76">
          <cell r="Q76" t="str">
            <v>chi-ti.chen@hp.com</v>
          </cell>
        </row>
        <row r="77">
          <cell r="Q77" t="str">
            <v>chi-ti.chen@hp.com</v>
          </cell>
        </row>
        <row r="78">
          <cell r="Q78" t="str">
            <v>chi-ti.chen@hp.com</v>
          </cell>
        </row>
        <row r="79">
          <cell r="Q79" t="str">
            <v>chi-ti.chen@hp.com</v>
          </cell>
        </row>
        <row r="80">
          <cell r="Q80" t="str">
            <v>chi-ti.chen@hp.com</v>
          </cell>
        </row>
        <row r="81">
          <cell r="Q81" t="str">
            <v>chi-ti.chen@hp.com</v>
          </cell>
        </row>
        <row r="82">
          <cell r="Q82" t="str">
            <v>john.fiorillo@hp.com</v>
          </cell>
        </row>
        <row r="83">
          <cell r="Q83" t="str">
            <v>suruchi.gondkar@hp.com</v>
          </cell>
        </row>
        <row r="84">
          <cell r="Q84" t="str">
            <v>chi-ti.chen@hp.com</v>
          </cell>
        </row>
        <row r="85">
          <cell r="Q85" t="str">
            <v>suruchi.gondkar@hp.com</v>
          </cell>
        </row>
        <row r="86">
          <cell r="Q86" t="str">
            <v>suruchi.gondkar@hp.com</v>
          </cell>
        </row>
        <row r="87">
          <cell r="Q87" t="str">
            <v>thomas.jam.hromatka@hp.com</v>
          </cell>
        </row>
        <row r="88">
          <cell r="Q88" t="str">
            <v>chi-ti.chen@hp.com</v>
          </cell>
        </row>
        <row r="89">
          <cell r="Q89" t="str">
            <v>chi-ti.chen@hp.com</v>
          </cell>
        </row>
        <row r="90">
          <cell r="Q90" t="str">
            <v>sue-pei.wang@hp.com</v>
          </cell>
        </row>
        <row r="91">
          <cell r="Q91" t="str">
            <v>chi-ti.chen@hp.com</v>
          </cell>
        </row>
        <row r="92">
          <cell r="Q92" t="str">
            <v>chi-ti.chen@hp.com</v>
          </cell>
        </row>
        <row r="93">
          <cell r="Q93" t="str">
            <v>sayan.ghosh@hp.com</v>
          </cell>
        </row>
        <row r="94">
          <cell r="Q94" t="str">
            <v>amartya.tagore@hp.com</v>
          </cell>
        </row>
        <row r="95">
          <cell r="Q95" t="str">
            <v>matt.dumm@hp.com</v>
          </cell>
        </row>
        <row r="96">
          <cell r="Q96" t="str">
            <v>chi-ti.chen@hp.com</v>
          </cell>
        </row>
        <row r="97">
          <cell r="Q97" t="str">
            <v>amartya.tagore@hp.com</v>
          </cell>
        </row>
        <row r="98">
          <cell r="Q98" t="str">
            <v>chi-ti.chen@hp.com</v>
          </cell>
        </row>
        <row r="99">
          <cell r="Q99" t="str">
            <v>john.fiorillo@hp.com</v>
          </cell>
        </row>
        <row r="100">
          <cell r="Q100" t="str">
            <v>chi-ti.chen@hp.com</v>
          </cell>
        </row>
        <row r="101">
          <cell r="Q101" t="str">
            <v>chi-ti.chen@hp.com</v>
          </cell>
        </row>
        <row r="102">
          <cell r="Q102" t="str">
            <v>akshay.ballal@hp.com</v>
          </cell>
        </row>
        <row r="103">
          <cell r="Q103" t="str">
            <v>chi-ti.chen@hp.com</v>
          </cell>
        </row>
        <row r="104">
          <cell r="Q104" t="str">
            <v>chi-ti.chen@hp.com</v>
          </cell>
        </row>
        <row r="105">
          <cell r="Q105" t="str">
            <v>ashustosh.kumar@hp.com</v>
          </cell>
        </row>
        <row r="106">
          <cell r="Q106" t="str">
            <v>john.fiorillo@hp.com</v>
          </cell>
        </row>
        <row r="107">
          <cell r="Q107" t="str">
            <v>chi-ti.chen@hp.com</v>
          </cell>
        </row>
        <row r="108">
          <cell r="Q108" t="str">
            <v>chi-ti.chen@hp.com</v>
          </cell>
        </row>
        <row r="109">
          <cell r="Q109" t="str">
            <v>ashustosh.kumar@hp.com</v>
          </cell>
        </row>
        <row r="110">
          <cell r="Q110" t="str">
            <v>prince.sharma@hp.com</v>
          </cell>
        </row>
        <row r="111">
          <cell r="Q111" t="str">
            <v>niharika.yedelli@hp.com</v>
          </cell>
        </row>
        <row r="112">
          <cell r="Q112" t="str">
            <v>ashustosh.kumar@hp.com</v>
          </cell>
        </row>
        <row r="113">
          <cell r="Q113" t="str">
            <v>prashant-kumar.pandey@hp.com</v>
          </cell>
        </row>
        <row r="114">
          <cell r="Q114" t="str">
            <v>sganta@hp.com</v>
          </cell>
        </row>
        <row r="115">
          <cell r="Q115" t="str">
            <v>chi-ti.chen@hp.com</v>
          </cell>
        </row>
        <row r="116">
          <cell r="Q116" t="str">
            <v>chi-ti.chen@hp.com</v>
          </cell>
        </row>
        <row r="117">
          <cell r="Q117" t="str">
            <v>john.fiorillo@hp.com</v>
          </cell>
        </row>
        <row r="118">
          <cell r="Q118" t="str">
            <v>jhilik.roy@hp.com</v>
          </cell>
        </row>
        <row r="119">
          <cell r="Q119" t="str">
            <v>bret.mckee@hp.com</v>
          </cell>
        </row>
        <row r="120">
          <cell r="Q120" t="str">
            <v>jose.a.sousa@hp.com</v>
          </cell>
        </row>
        <row r="121">
          <cell r="Q121" t="str">
            <v>douglas.lee.potts@hp.com</v>
          </cell>
        </row>
        <row r="122">
          <cell r="Q122" t="str">
            <v>aga.shahi@hp.com</v>
          </cell>
        </row>
        <row r="123">
          <cell r="Q123" t="str">
            <v>aga.shahi@hp.com</v>
          </cell>
        </row>
        <row r="124">
          <cell r="Q124" t="str">
            <v>john.fiorillo@hp.com</v>
          </cell>
        </row>
        <row r="125">
          <cell r="Q125" t="str">
            <v>chi-ti.chen@hp.com</v>
          </cell>
        </row>
        <row r="126">
          <cell r="Q126" t="str">
            <v>chi-ti.chen@hp.com</v>
          </cell>
        </row>
        <row r="127">
          <cell r="Q127" t="str">
            <v>john.fiorillo@hp.com</v>
          </cell>
        </row>
        <row r="128">
          <cell r="Q128" t="str">
            <v>ggupta@hp.com</v>
          </cell>
        </row>
        <row r="129">
          <cell r="Q129" t="str">
            <v>thomas.jam.hromatka@hp.com</v>
          </cell>
        </row>
        <row r="130">
          <cell r="Q130" t="str">
            <v>chi-ti.chen@hp.com</v>
          </cell>
        </row>
        <row r="131">
          <cell r="Q131" t="str">
            <v>chi-ti.chen@hp.com</v>
          </cell>
        </row>
        <row r="132">
          <cell r="Q132" t="str">
            <v>chi-ti.chen@hp.com</v>
          </cell>
        </row>
        <row r="133">
          <cell r="Q133" t="str">
            <v>prashant-kumar.pandey@hp.com</v>
          </cell>
        </row>
        <row r="134">
          <cell r="Q134" t="str">
            <v>john.fiorillo@hp.com</v>
          </cell>
        </row>
        <row r="135">
          <cell r="Q135" t="str">
            <v>nagesh.kulkarni@hp.com</v>
          </cell>
        </row>
        <row r="136">
          <cell r="Q136" t="str">
            <v>sarat-kumar.behera@hp.com</v>
          </cell>
        </row>
        <row r="137">
          <cell r="Q137" t="str">
            <v>sue-pei.wang@hp.com</v>
          </cell>
        </row>
        <row r="138">
          <cell r="Q138" t="str">
            <v>sue-pei.wang@hp.com</v>
          </cell>
        </row>
        <row r="139">
          <cell r="Q139" t="str">
            <v>sue-pei.wang@hp.com</v>
          </cell>
        </row>
        <row r="140">
          <cell r="Q140" t="str">
            <v>sue-pei.wang@hp.com</v>
          </cell>
        </row>
        <row r="141">
          <cell r="Q141" t="str">
            <v>thomas.jam.hromatka@hp.com</v>
          </cell>
        </row>
        <row r="142">
          <cell r="Q142" t="str">
            <v>suruchi.gondkar@hp.com</v>
          </cell>
        </row>
        <row r="143">
          <cell r="Q143" t="str">
            <v>sasha.epstein@hp.com</v>
          </cell>
        </row>
        <row r="144">
          <cell r="Q144" t="str">
            <v>thomas.jam.hromatka@hp.com</v>
          </cell>
        </row>
        <row r="145">
          <cell r="Q145" t="str">
            <v>thomas.jam.hromatka@hp.com</v>
          </cell>
        </row>
        <row r="146">
          <cell r="Q146" t="str">
            <v>sasha.epstein@hp.com</v>
          </cell>
        </row>
        <row r="147">
          <cell r="Q147" t="str">
            <v>sasha.epstein@hp.com</v>
          </cell>
        </row>
        <row r="148">
          <cell r="Q148" t="str">
            <v>sue-pei.wang@hp.com</v>
          </cell>
        </row>
        <row r="149">
          <cell r="Q149" t="str">
            <v>sue-pei.wang@hp.com</v>
          </cell>
        </row>
        <row r="150">
          <cell r="Q150" t="str">
            <v>samir.raval@hp.com</v>
          </cell>
        </row>
      </sheetData>
      <sheetData sheetId="12"/>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oneBugs"/>
      <sheetName val="targbuildCalc"/>
      <sheetName val="Sheet1"/>
    </sheetNames>
    <sheetDataSet>
      <sheetData sheetId="0">
        <row r="20">
          <cell r="H20" t="str">
            <v>Aurora</v>
          </cell>
        </row>
        <row r="21">
          <cell r="H21" t="str">
            <v>Avitus</v>
          </cell>
        </row>
        <row r="22">
          <cell r="H22" t="str">
            <v>Axion</v>
          </cell>
        </row>
        <row r="23">
          <cell r="H23" t="str">
            <v>Atlas-1.2-Maint</v>
          </cell>
        </row>
        <row r="24">
          <cell r="H24" t="str">
            <v>3.15.X Botanix Next</v>
          </cell>
        </row>
        <row r="25">
          <cell r="H25" t="str">
            <v>StoreOnce Ypsilon(SMB 6.5.x)</v>
          </cell>
        </row>
      </sheetData>
      <sheetData sheetId="1"/>
      <sheetData sheetId="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gs-2014-02-10"/>
      <sheetName val="Assignees"/>
    </sheetNames>
    <sheetDataSet>
      <sheetData sheetId="0"/>
      <sheetData sheetId="1"/>
    </sheetDataSet>
  </externalBook>
</externalLink>
</file>

<file path=xl/queryTables/queryTable1.xml><?xml version="1.0" encoding="utf-8"?>
<queryTable xmlns="http://schemas.openxmlformats.org/spreadsheetml/2006/main" name="openProtNewDev" growShrinkType="overwriteClear"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printerSettings" Target="../printerSettings/printerSettings1.bin"/><Relationship Id="rId1" Type="http://schemas.openxmlformats.org/officeDocument/2006/relationships/hyperlink" Target="https://bugzilla.houston.hp.com:1181/bugzilla/buglist.cgi?cmdtype=runnamed&amp;namedcmd=OpenProtNewDev&amp;ctype=csv"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brian.zimpfer@hp.com" TargetMode="External"/><Relationship Id="rId3" Type="http://schemas.openxmlformats.org/officeDocument/2006/relationships/hyperlink" Target="mailto:paul.evertson@hp.com" TargetMode="External"/><Relationship Id="rId7" Type="http://schemas.openxmlformats.org/officeDocument/2006/relationships/hyperlink" Target="https://bugzilla.houston.hp.com:1181/bugzilla/show_bug.cgi?id=63190" TargetMode="External"/><Relationship Id="rId2" Type="http://schemas.openxmlformats.org/officeDocument/2006/relationships/hyperlink" Target="https://bugzilla.houston.hp.com:1181/bugzilla/show_bug.cgi?id=63583" TargetMode="External"/><Relationship Id="rId1" Type="http://schemas.openxmlformats.org/officeDocument/2006/relationships/hyperlink" Target="https://bugzilla.houston.hp.com:1181/bugzilla/show_bug.cgi?id=62036" TargetMode="External"/><Relationship Id="rId6" Type="http://schemas.openxmlformats.org/officeDocument/2006/relationships/hyperlink" Target="mailto:brandon.schaffer@hp.com" TargetMode="External"/><Relationship Id="rId5" Type="http://schemas.openxmlformats.org/officeDocument/2006/relationships/hyperlink" Target="https://bugzilla.houston.hp.com:1181/bugzilla/show_bug.cgi?id=62805" TargetMode="External"/><Relationship Id="rId10" Type="http://schemas.openxmlformats.org/officeDocument/2006/relationships/printerSettings" Target="../printerSettings/printerSettings2.bin"/><Relationship Id="rId4" Type="http://schemas.openxmlformats.org/officeDocument/2006/relationships/hyperlink" Target="mailto:santanug@hp.com" TargetMode="External"/><Relationship Id="rId9" Type="http://schemas.openxmlformats.org/officeDocument/2006/relationships/hyperlink" Target="https://bugzilla.houston.hp.com:1181/bugzilla/show_bug.cgi?id=63891"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B592"/>
  <sheetViews>
    <sheetView tabSelected="1" topLeftCell="A16" zoomScale="69" zoomScaleNormal="69" workbookViewId="0">
      <pane ySplit="2412" topLeftCell="A161" activePane="bottomLeft"/>
      <selection activeCell="C27" sqref="C27"/>
      <selection pane="bottomLeft" activeCell="G149" sqref="G149"/>
    </sheetView>
  </sheetViews>
  <sheetFormatPr defaultColWidth="13.21875" defaultRowHeight="14.4" x14ac:dyDescent="0.3"/>
  <cols>
    <col min="1" max="1" width="29.44140625" bestFit="1" customWidth="1"/>
    <col min="3" max="3" width="12.77734375" bestFit="1" customWidth="1"/>
    <col min="4" max="4" width="7.77734375" customWidth="1"/>
    <col min="5" max="5" width="6" customWidth="1"/>
    <col min="6" max="6" width="28.88671875" customWidth="1"/>
    <col min="7" max="7" width="63.88671875" customWidth="1"/>
    <col min="8" max="8" width="6.88671875" customWidth="1"/>
    <col min="9" max="9" width="21.21875" customWidth="1"/>
    <col min="10" max="10" width="31" customWidth="1"/>
    <col min="11" max="11" width="32" customWidth="1"/>
    <col min="12" max="12" width="9.77734375" customWidth="1"/>
    <col min="13" max="13" width="10.109375" customWidth="1"/>
    <col min="14" max="14" width="9.109375" customWidth="1"/>
    <col min="15" max="15" width="10.5546875" customWidth="1"/>
    <col min="16" max="16" width="34.5546875" customWidth="1"/>
    <col min="17" max="17" width="11.88671875" customWidth="1"/>
    <col min="18" max="18" width="21" customWidth="1"/>
    <col min="19" max="19" width="17.77734375" customWidth="1"/>
    <col min="20" max="20" width="13" customWidth="1"/>
    <col min="21" max="21" width="11.5546875" customWidth="1"/>
    <col min="22" max="22" width="12.21875" customWidth="1"/>
    <col min="23" max="23" width="8.44140625" customWidth="1"/>
    <col min="24" max="24" width="19.5546875" customWidth="1"/>
    <col min="25" max="25" width="8.33203125" customWidth="1"/>
    <col min="26" max="26" width="40.5546875" customWidth="1"/>
    <col min="27" max="27" width="13.44140625" customWidth="1"/>
    <col min="28" max="28" width="22.5546875" customWidth="1"/>
  </cols>
  <sheetData>
    <row r="2" spans="1:5" x14ac:dyDescent="0.3">
      <c r="A2" s="11" t="s">
        <v>293</v>
      </c>
    </row>
    <row r="7" spans="1:5" x14ac:dyDescent="0.3">
      <c r="E7" t="s">
        <v>1682</v>
      </c>
    </row>
    <row r="8" spans="1:5" x14ac:dyDescent="0.3">
      <c r="E8" t="s">
        <v>280</v>
      </c>
    </row>
    <row r="9" spans="1:5" x14ac:dyDescent="0.3">
      <c r="E9" t="s">
        <v>281</v>
      </c>
    </row>
    <row r="10" spans="1:5" x14ac:dyDescent="0.3">
      <c r="E10" t="s">
        <v>282</v>
      </c>
    </row>
    <row r="11" spans="1:5" x14ac:dyDescent="0.3">
      <c r="E11" t="s">
        <v>283</v>
      </c>
    </row>
    <row r="12" spans="1:5" x14ac:dyDescent="0.3">
      <c r="E12" t="s">
        <v>284</v>
      </c>
    </row>
    <row r="13" spans="1:5" x14ac:dyDescent="0.3">
      <c r="E13" t="s">
        <v>285</v>
      </c>
    </row>
    <row r="14" spans="1:5" x14ac:dyDescent="0.3">
      <c r="E14" t="s">
        <v>1683</v>
      </c>
    </row>
    <row r="15" spans="1:5" x14ac:dyDescent="0.3">
      <c r="E15" t="s">
        <v>1684</v>
      </c>
    </row>
    <row r="16" spans="1:5" x14ac:dyDescent="0.3">
      <c r="E16" t="s">
        <v>1685</v>
      </c>
    </row>
    <row r="17" spans="1:5" x14ac:dyDescent="0.3">
      <c r="E17" t="s">
        <v>1686</v>
      </c>
    </row>
    <row r="19" spans="1:5" x14ac:dyDescent="0.3">
      <c r="E19" t="s">
        <v>286</v>
      </c>
    </row>
    <row r="20" spans="1:5" x14ac:dyDescent="0.3">
      <c r="E20" t="s">
        <v>2109</v>
      </c>
    </row>
    <row r="21" spans="1:5" x14ac:dyDescent="0.3">
      <c r="E21" t="s">
        <v>1687</v>
      </c>
    </row>
    <row r="22" spans="1:5" x14ac:dyDescent="0.3">
      <c r="A22" s="11" t="s">
        <v>313</v>
      </c>
      <c r="E22" t="s">
        <v>1688</v>
      </c>
    </row>
    <row r="23" spans="1:5" x14ac:dyDescent="0.3">
      <c r="A23" t="s">
        <v>1681</v>
      </c>
      <c r="C23" t="str">
        <f ca="1">LEFT(INDIRECT("E"&amp;(C26-2)),3)</f>
        <v>153</v>
      </c>
      <c r="E23" t="s">
        <v>1689</v>
      </c>
    </row>
    <row r="24" spans="1:5" x14ac:dyDescent="0.3">
      <c r="E24" t="s">
        <v>1690</v>
      </c>
    </row>
    <row r="25" spans="1:5" x14ac:dyDescent="0.3">
      <c r="A25" s="28" t="s">
        <v>1678</v>
      </c>
      <c r="E25" t="s">
        <v>1691</v>
      </c>
    </row>
    <row r="26" spans="1:5" x14ac:dyDescent="0.3">
      <c r="A26" t="s">
        <v>1680</v>
      </c>
      <c r="C26">
        <v>35</v>
      </c>
      <c r="E26" t="s">
        <v>1692</v>
      </c>
    </row>
    <row r="27" spans="1:5" x14ac:dyDescent="0.3">
      <c r="A27" t="s">
        <v>297</v>
      </c>
      <c r="E27" t="s">
        <v>1693</v>
      </c>
    </row>
    <row r="28" spans="1:5" x14ac:dyDescent="0.3">
      <c r="A28" s="11">
        <f ca="1">HYPERLINK(CONCATENATE($A$501,"/bugzilla/show_bug.cgi?id=",INDIRECT("b"&amp;ROW())),INDIRECT("b"&amp;ROW()))</f>
        <v>98964</v>
      </c>
      <c r="B28" s="11">
        <f ca="1">INDIRECT("D"&amp;ROW()+($C$23+4))</f>
        <v>98964</v>
      </c>
      <c r="C28" s="23">
        <f ca="1">INDIRECT("o"&amp;(ROW()+($C$23+4)))</f>
        <v>0.37508101851851849</v>
      </c>
      <c r="E28" t="s">
        <v>1694</v>
      </c>
    </row>
    <row r="29" spans="1:5" x14ac:dyDescent="0.3">
      <c r="A29" s="11">
        <f ca="1">HYPERLINK(CONCATENATE($A$501,"/bugzilla/show_bug.cgi?id=",INDIRECT("b"&amp;ROW())),INDIRECT("b"&amp;ROW()))</f>
        <v>98966</v>
      </c>
      <c r="B29" s="11">
        <f ca="1">INDIRECT("D"&amp;ROW()+($C$23+4))</f>
        <v>98966</v>
      </c>
      <c r="C29" s="23">
        <f ca="1">INDIRECT("o"&amp;(ROW()+($C$23+4)))</f>
        <v>0.38052083333333336</v>
      </c>
      <c r="E29" t="s">
        <v>1695</v>
      </c>
    </row>
    <row r="30" spans="1:5" x14ac:dyDescent="0.3">
      <c r="A30" s="11">
        <f ca="1">HYPERLINK(CONCATENATE($A$501,"/bugzilla/show_bug.cgi?id=",INDIRECT("b"&amp;ROW())),INDIRECT("b"&amp;ROW()))</f>
        <v>98967</v>
      </c>
      <c r="B30" s="11">
        <f ca="1">INDIRECT("D"&amp;ROW()+($C$23+4))</f>
        <v>98967</v>
      </c>
      <c r="C30" s="23">
        <f ca="1">INDIRECT("o"&amp;(ROW()+($C$23+4)))</f>
        <v>0.38262731481481477</v>
      </c>
      <c r="E30" t="s">
        <v>1696</v>
      </c>
    </row>
    <row r="31" spans="1:5" x14ac:dyDescent="0.3">
      <c r="A31" s="11" t="str">
        <f ca="1">HYPERLINK(CONCATENATE($A$501,"/bugzilla/show_bug.cgi?id=",INDIRECT("b"&amp;ROW())),INDIRECT("b"&amp;ROW()))</f>
        <v xml:space="preserve">153 bugs found. </v>
      </c>
      <c r="B31" s="11" t="str">
        <f ca="1">INDIRECT("D"&amp;ROW()+($C$23+4))</f>
        <v xml:space="preserve">153 bugs found. </v>
      </c>
      <c r="C31" s="23">
        <f ca="1">INDIRECT("o"&amp;(ROW()+($C$23+4)))</f>
        <v>0</v>
      </c>
    </row>
    <row r="32" spans="1:5" x14ac:dyDescent="0.3">
      <c r="A32" s="11">
        <f ca="1">HYPERLINK(CONCATENATE($A$501,"/bugzilla/show_bug.cgi?id=",INDIRECT("b"&amp;ROW())),INDIRECT("b"&amp;ROW()))</f>
        <v>0</v>
      </c>
      <c r="B32" s="11">
        <f ca="1">INDIRECT("D"&amp;ROW()+(LEFT(INDIRECT("E"&amp;($C$26-2)),3)+4))</f>
        <v>0</v>
      </c>
      <c r="C32" s="23">
        <f ca="1">INDIRECT("o"&amp;(ROW()+(LEFT(INDIRECT("E"&amp;($C$26-2)),3)+4)))</f>
        <v>0</v>
      </c>
    </row>
    <row r="33" spans="2:28" x14ac:dyDescent="0.3">
      <c r="E33" t="s">
        <v>2110</v>
      </c>
    </row>
    <row r="34" spans="2:28" x14ac:dyDescent="0.3">
      <c r="B34">
        <f ca="1">SUBTOTAL(3,INDIRECT("f"&amp;C26):F1000)</f>
        <v>153</v>
      </c>
      <c r="D34" s="11" t="str">
        <f ca="1">HYPERLINK(CONCATENATE("https://bugzilla.houston.hp.com:1181/bugzilla/show_bug.cgi?id=",INDIRECT("e"&amp;ROW())),INDIRECT("e"&amp;ROW()))</f>
        <v>ID</v>
      </c>
      <c r="E34" t="s">
        <v>1697</v>
      </c>
      <c r="F34" t="s">
        <v>6</v>
      </c>
      <c r="G34" t="s">
        <v>7</v>
      </c>
      <c r="H34" t="s">
        <v>1698</v>
      </c>
      <c r="I34" t="s">
        <v>1699</v>
      </c>
      <c r="J34" t="s">
        <v>10</v>
      </c>
      <c r="K34" t="s">
        <v>11</v>
      </c>
      <c r="L34" t="s">
        <v>12</v>
      </c>
      <c r="M34" t="s">
        <v>13</v>
      </c>
      <c r="N34" t="s">
        <v>1700</v>
      </c>
      <c r="O34" t="s">
        <v>90</v>
      </c>
      <c r="P34" t="s">
        <v>116</v>
      </c>
      <c r="Q34" t="s">
        <v>117</v>
      </c>
      <c r="R34" t="s">
        <v>185</v>
      </c>
      <c r="S34" t="s">
        <v>202</v>
      </c>
      <c r="T34" t="s">
        <v>218</v>
      </c>
      <c r="U34" t="s">
        <v>235</v>
      </c>
      <c r="V34" t="s">
        <v>1701</v>
      </c>
      <c r="W34" t="s">
        <v>259</v>
      </c>
      <c r="X34" t="s">
        <v>325</v>
      </c>
      <c r="Y34" t="s">
        <v>1702</v>
      </c>
      <c r="Z34" t="s">
        <v>1703</v>
      </c>
      <c r="AA34" t="s">
        <v>714</v>
      </c>
      <c r="AB34" t="s">
        <v>761</v>
      </c>
    </row>
    <row r="35" spans="2:28" x14ac:dyDescent="0.3">
      <c r="C35" t="s">
        <v>251</v>
      </c>
      <c r="D35" s="11">
        <f ca="1">HYPERLINK(CONCATENATE("https://bugzilla.houston.hp.com:1181/bugzilla/show_bug.cgi?id=",INDIRECT("e"&amp;ROW())),INDIRECT("e"&amp;ROW()))</f>
        <v>53650</v>
      </c>
      <c r="E35">
        <v>53650</v>
      </c>
      <c r="F35" t="s">
        <v>1743</v>
      </c>
      <c r="G35" t="s">
        <v>1961</v>
      </c>
      <c r="H35" t="s">
        <v>1705</v>
      </c>
      <c r="I35" t="s">
        <v>1792</v>
      </c>
      <c r="J35" t="s">
        <v>1962</v>
      </c>
      <c r="L35" s="27">
        <v>0.75659722222222225</v>
      </c>
      <c r="M35" t="s">
        <v>1732</v>
      </c>
      <c r="N35" t="s">
        <v>1750</v>
      </c>
      <c r="O35" s="13">
        <v>41963</v>
      </c>
      <c r="P35" t="s">
        <v>122</v>
      </c>
      <c r="R35" t="s">
        <v>1711</v>
      </c>
      <c r="S35" t="s">
        <v>201</v>
      </c>
      <c r="T35" t="s">
        <v>247</v>
      </c>
      <c r="U35" t="s">
        <v>1712</v>
      </c>
      <c r="V35" t="s">
        <v>1713</v>
      </c>
      <c r="X35" t="s">
        <v>121</v>
      </c>
      <c r="Y35" t="s">
        <v>1719</v>
      </c>
      <c r="Z35" t="s">
        <v>121</v>
      </c>
      <c r="AA35" t="s">
        <v>715</v>
      </c>
      <c r="AB35" t="s">
        <v>121</v>
      </c>
    </row>
    <row r="36" spans="2:28" x14ac:dyDescent="0.3">
      <c r="B36" s="11"/>
      <c r="C36" s="11">
        <f ca="1">HYPERLINK(CONCATENATE($A$501,"/bugzilla/show_bug.cgi?id=",IFERROR(VALUE(MID(INDIRECT("g"&amp;ROW()),9,5)),INDIRECT("e"&amp;ROW()))),IFERROR(VALUE(MID(INDIRECT("g"&amp;ROW()),9,5)),"NM"))</f>
        <v>76841</v>
      </c>
      <c r="D36" s="11">
        <f ca="1">HYPERLINK(CONCATENATE($A$501,"/bugzilla/show_bug.cgi?id=",INDIRECT("e"&amp;ROW())),INDIRECT("e"&amp;ROW()))</f>
        <v>76875</v>
      </c>
      <c r="E36">
        <v>76875</v>
      </c>
      <c r="F36" t="s">
        <v>1742</v>
      </c>
      <c r="G36" t="s">
        <v>1963</v>
      </c>
      <c r="H36" t="s">
        <v>1725</v>
      </c>
      <c r="I36" t="s">
        <v>1964</v>
      </c>
      <c r="J36" t="s">
        <v>1707</v>
      </c>
      <c r="L36" s="13">
        <v>42846</v>
      </c>
      <c r="M36" t="s">
        <v>1718</v>
      </c>
      <c r="N36" t="s">
        <v>1750</v>
      </c>
      <c r="O36" s="13">
        <v>42410</v>
      </c>
      <c r="P36" t="s">
        <v>125</v>
      </c>
      <c r="R36" t="s">
        <v>1965</v>
      </c>
      <c r="S36" t="s">
        <v>200</v>
      </c>
      <c r="T36" t="s">
        <v>247</v>
      </c>
      <c r="U36" t="s">
        <v>1712</v>
      </c>
      <c r="V36" t="s">
        <v>1737</v>
      </c>
      <c r="X36" t="s">
        <v>121</v>
      </c>
      <c r="Y36" t="s">
        <v>1719</v>
      </c>
      <c r="Z36" t="s">
        <v>1966</v>
      </c>
      <c r="AA36" t="s">
        <v>715</v>
      </c>
      <c r="AB36" t="s">
        <v>121</v>
      </c>
    </row>
    <row r="37" spans="2:28" x14ac:dyDescent="0.3">
      <c r="B37" s="11"/>
      <c r="C37" s="11">
        <f t="shared" ref="C37:C100" ca="1" si="0">HYPERLINK(CONCATENATE($A$501,"/bugzilla/show_bug.cgi?id=",IFERROR(VALUE(MID(INDIRECT("g"&amp;ROW()),9,5)),INDIRECT("e"&amp;ROW()))),IFERROR(VALUE(MID(INDIRECT("g"&amp;ROW()),9,5)),"NM"))</f>
        <v>75770</v>
      </c>
      <c r="D37" s="11">
        <f t="shared" ref="D37:D100" ca="1" si="1">HYPERLINK(CONCATENATE("https://bugzilla.houston.hpecorp.net:1181/bugzilla/show_bug.cgi?id=",INDIRECT("e"&amp;ROW())),INDIRECT("e"&amp;ROW()))</f>
        <v>78244</v>
      </c>
      <c r="E37">
        <v>78244</v>
      </c>
      <c r="F37" t="s">
        <v>1776</v>
      </c>
      <c r="G37" t="s">
        <v>1704</v>
      </c>
      <c r="H37" t="s">
        <v>1705</v>
      </c>
      <c r="I37" t="s">
        <v>1706</v>
      </c>
      <c r="J37" t="s">
        <v>1707</v>
      </c>
      <c r="L37" s="13">
        <v>42836</v>
      </c>
      <c r="M37" t="s">
        <v>1708</v>
      </c>
      <c r="N37" t="s">
        <v>1709</v>
      </c>
      <c r="O37" s="13">
        <v>42433</v>
      </c>
      <c r="P37" t="s">
        <v>1710</v>
      </c>
      <c r="R37" t="s">
        <v>1711</v>
      </c>
      <c r="S37" t="s">
        <v>201</v>
      </c>
      <c r="T37" t="s">
        <v>247</v>
      </c>
      <c r="U37" t="s">
        <v>1712</v>
      </c>
      <c r="V37" t="s">
        <v>1713</v>
      </c>
      <c r="X37" t="s">
        <v>121</v>
      </c>
      <c r="Y37" t="s">
        <v>1714</v>
      </c>
      <c r="Z37" t="s">
        <v>121</v>
      </c>
      <c r="AA37" t="s">
        <v>715</v>
      </c>
      <c r="AB37" t="s">
        <v>121</v>
      </c>
    </row>
    <row r="38" spans="2:28" x14ac:dyDescent="0.3">
      <c r="B38" s="11"/>
      <c r="C38" s="11">
        <f t="shared" ca="1" si="0"/>
        <v>79273</v>
      </c>
      <c r="D38" s="11">
        <f t="shared" ca="1" si="1"/>
        <v>79292</v>
      </c>
      <c r="E38">
        <v>79292</v>
      </c>
      <c r="F38" t="s">
        <v>1723</v>
      </c>
      <c r="G38" t="s">
        <v>1724</v>
      </c>
      <c r="H38" t="s">
        <v>1725</v>
      </c>
      <c r="I38" t="s">
        <v>1717</v>
      </c>
      <c r="J38" t="s">
        <v>1707</v>
      </c>
      <c r="L38" s="13">
        <v>42831</v>
      </c>
      <c r="M38" t="s">
        <v>1718</v>
      </c>
      <c r="N38" t="s">
        <v>1709</v>
      </c>
      <c r="O38" s="13">
        <v>42451</v>
      </c>
      <c r="P38" t="s">
        <v>792</v>
      </c>
      <c r="S38" t="s">
        <v>201</v>
      </c>
      <c r="T38" t="s">
        <v>247</v>
      </c>
      <c r="U38" t="s">
        <v>1712</v>
      </c>
      <c r="V38" t="s">
        <v>1726</v>
      </c>
      <c r="X38" t="s">
        <v>121</v>
      </c>
      <c r="Y38" t="s">
        <v>1719</v>
      </c>
      <c r="Z38" t="s">
        <v>121</v>
      </c>
      <c r="AA38" t="s">
        <v>716</v>
      </c>
      <c r="AB38" t="s">
        <v>121</v>
      </c>
    </row>
    <row r="39" spans="2:28" x14ac:dyDescent="0.3">
      <c r="B39" s="11"/>
      <c r="C39" s="11">
        <f t="shared" ca="1" si="0"/>
        <v>79273</v>
      </c>
      <c r="D39" s="11">
        <f t="shared" ca="1" si="1"/>
        <v>79723</v>
      </c>
      <c r="E39">
        <v>79723</v>
      </c>
      <c r="F39" t="s">
        <v>1723</v>
      </c>
      <c r="G39" t="s">
        <v>1731</v>
      </c>
      <c r="H39" t="s">
        <v>1725</v>
      </c>
      <c r="I39" t="s">
        <v>1389</v>
      </c>
      <c r="J39" t="s">
        <v>1723</v>
      </c>
      <c r="L39" s="13">
        <v>42831</v>
      </c>
      <c r="M39" t="s">
        <v>1732</v>
      </c>
      <c r="N39" t="s">
        <v>1709</v>
      </c>
      <c r="O39" s="13">
        <v>42458</v>
      </c>
      <c r="P39" t="s">
        <v>792</v>
      </c>
      <c r="S39" t="s">
        <v>201</v>
      </c>
      <c r="T39" t="s">
        <v>247</v>
      </c>
      <c r="U39" t="s">
        <v>1712</v>
      </c>
      <c r="V39" t="s">
        <v>1726</v>
      </c>
      <c r="X39" t="s">
        <v>121</v>
      </c>
      <c r="Y39" t="s">
        <v>1719</v>
      </c>
      <c r="Z39" t="s">
        <v>121</v>
      </c>
      <c r="AA39" t="s">
        <v>716</v>
      </c>
      <c r="AB39" t="s">
        <v>121</v>
      </c>
    </row>
    <row r="40" spans="2:28" x14ac:dyDescent="0.3">
      <c r="B40" s="11"/>
      <c r="C40" s="11">
        <f t="shared" ca="1" si="0"/>
        <v>81920</v>
      </c>
      <c r="D40" s="11">
        <f t="shared" ca="1" si="1"/>
        <v>81963</v>
      </c>
      <c r="E40">
        <v>81963</v>
      </c>
      <c r="F40" t="s">
        <v>1720</v>
      </c>
      <c r="G40" t="s">
        <v>1738</v>
      </c>
      <c r="H40" t="s">
        <v>1725</v>
      </c>
      <c r="I40" t="s">
        <v>1706</v>
      </c>
      <c r="J40" t="s">
        <v>1707</v>
      </c>
      <c r="L40" s="13">
        <v>42850</v>
      </c>
      <c r="M40" t="s">
        <v>1708</v>
      </c>
      <c r="N40" t="s">
        <v>1709</v>
      </c>
      <c r="O40" s="13">
        <v>42489</v>
      </c>
      <c r="P40" t="s">
        <v>125</v>
      </c>
      <c r="R40" t="s">
        <v>1711</v>
      </c>
      <c r="S40" t="s">
        <v>200</v>
      </c>
      <c r="T40" t="s">
        <v>247</v>
      </c>
      <c r="U40" t="s">
        <v>1712</v>
      </c>
      <c r="V40" t="s">
        <v>1726</v>
      </c>
      <c r="X40" t="s">
        <v>121</v>
      </c>
      <c r="Y40" t="s">
        <v>1783</v>
      </c>
      <c r="Z40" t="s">
        <v>121</v>
      </c>
      <c r="AA40" t="s">
        <v>715</v>
      </c>
      <c r="AB40" t="s">
        <v>121</v>
      </c>
    </row>
    <row r="41" spans="2:28" x14ac:dyDescent="0.3">
      <c r="B41" s="11"/>
      <c r="C41" s="11">
        <f t="shared" ca="1" si="0"/>
        <v>56502</v>
      </c>
      <c r="D41" s="11">
        <f t="shared" ca="1" si="1"/>
        <v>85642</v>
      </c>
      <c r="E41">
        <v>85642</v>
      </c>
      <c r="F41" t="s">
        <v>1715</v>
      </c>
      <c r="G41" t="s">
        <v>2111</v>
      </c>
      <c r="H41" t="s">
        <v>1725</v>
      </c>
      <c r="I41" t="s">
        <v>1792</v>
      </c>
      <c r="J41" t="s">
        <v>1749</v>
      </c>
      <c r="L41" s="27">
        <v>0.48456018518518523</v>
      </c>
      <c r="M41" t="s">
        <v>1718</v>
      </c>
      <c r="N41" t="s">
        <v>1750</v>
      </c>
      <c r="O41" s="13">
        <v>42555</v>
      </c>
      <c r="P41" t="s">
        <v>535</v>
      </c>
      <c r="S41" t="s">
        <v>201</v>
      </c>
      <c r="T41" t="s">
        <v>247</v>
      </c>
      <c r="U41" t="s">
        <v>1712</v>
      </c>
      <c r="V41" t="s">
        <v>1748</v>
      </c>
      <c r="X41" t="s">
        <v>121</v>
      </c>
      <c r="Y41" t="s">
        <v>1719</v>
      </c>
      <c r="Z41" t="s">
        <v>121</v>
      </c>
      <c r="AA41" t="s">
        <v>716</v>
      </c>
      <c r="AB41" t="s">
        <v>121</v>
      </c>
    </row>
    <row r="42" spans="2:28" x14ac:dyDescent="0.3">
      <c r="C42" s="11">
        <f t="shared" ca="1" si="0"/>
        <v>79273</v>
      </c>
      <c r="D42" s="11">
        <f t="shared" ca="1" si="1"/>
        <v>87773</v>
      </c>
      <c r="E42">
        <v>87773</v>
      </c>
      <c r="F42" t="s">
        <v>1723</v>
      </c>
      <c r="G42" t="s">
        <v>1759</v>
      </c>
      <c r="H42" t="s">
        <v>1725</v>
      </c>
      <c r="I42" t="s">
        <v>1760</v>
      </c>
      <c r="J42" t="s">
        <v>1761</v>
      </c>
      <c r="L42" s="13">
        <v>42831</v>
      </c>
      <c r="M42" t="s">
        <v>1718</v>
      </c>
      <c r="N42" t="s">
        <v>1709</v>
      </c>
      <c r="O42" s="13">
        <v>42599</v>
      </c>
      <c r="P42" t="s">
        <v>792</v>
      </c>
      <c r="S42" t="s">
        <v>201</v>
      </c>
      <c r="T42" t="s">
        <v>247</v>
      </c>
      <c r="U42" t="s">
        <v>1712</v>
      </c>
      <c r="V42" t="s">
        <v>1726</v>
      </c>
      <c r="X42" t="s">
        <v>121</v>
      </c>
      <c r="Y42" t="s">
        <v>1719</v>
      </c>
      <c r="Z42" t="s">
        <v>121</v>
      </c>
      <c r="AA42" t="s">
        <v>716</v>
      </c>
      <c r="AB42" t="s">
        <v>121</v>
      </c>
    </row>
    <row r="43" spans="2:28" x14ac:dyDescent="0.3">
      <c r="C43" s="11">
        <f t="shared" ca="1" si="0"/>
        <v>72568</v>
      </c>
      <c r="D43" s="11">
        <f t="shared" ca="1" si="1"/>
        <v>87775</v>
      </c>
      <c r="E43">
        <v>87775</v>
      </c>
      <c r="F43" t="s">
        <v>1762</v>
      </c>
      <c r="G43" t="s">
        <v>1763</v>
      </c>
      <c r="H43" t="s">
        <v>1725</v>
      </c>
      <c r="I43" t="s">
        <v>1760</v>
      </c>
      <c r="J43" t="s">
        <v>1761</v>
      </c>
      <c r="L43" s="13">
        <v>42831</v>
      </c>
      <c r="M43" t="s">
        <v>1718</v>
      </c>
      <c r="N43" t="s">
        <v>1764</v>
      </c>
      <c r="O43" s="13">
        <v>42599</v>
      </c>
      <c r="P43" t="s">
        <v>792</v>
      </c>
      <c r="S43" t="s">
        <v>201</v>
      </c>
      <c r="T43" t="s">
        <v>247</v>
      </c>
      <c r="U43" t="s">
        <v>1712</v>
      </c>
      <c r="V43" t="s">
        <v>1726</v>
      </c>
      <c r="X43" t="s">
        <v>121</v>
      </c>
      <c r="Y43" t="s">
        <v>1719</v>
      </c>
      <c r="Z43" t="s">
        <v>121</v>
      </c>
      <c r="AA43" t="s">
        <v>716</v>
      </c>
      <c r="AB43" t="s">
        <v>121</v>
      </c>
    </row>
    <row r="44" spans="2:28" x14ac:dyDescent="0.3">
      <c r="C44" s="11">
        <f t="shared" ca="1" si="0"/>
        <v>86827</v>
      </c>
      <c r="D44" s="11">
        <f t="shared" ca="1" si="1"/>
        <v>88335</v>
      </c>
      <c r="E44">
        <v>88335</v>
      </c>
      <c r="F44" t="s">
        <v>1758</v>
      </c>
      <c r="G44" t="s">
        <v>1765</v>
      </c>
      <c r="H44" t="s">
        <v>1725</v>
      </c>
      <c r="I44" t="s">
        <v>1792</v>
      </c>
      <c r="J44" t="s">
        <v>1707</v>
      </c>
      <c r="K44" t="s">
        <v>1766</v>
      </c>
      <c r="L44" s="13">
        <v>42849</v>
      </c>
      <c r="M44" t="s">
        <v>1708</v>
      </c>
      <c r="N44" t="s">
        <v>1735</v>
      </c>
      <c r="O44" s="13">
        <v>42612</v>
      </c>
      <c r="P44" t="s">
        <v>123</v>
      </c>
      <c r="S44" t="s">
        <v>201</v>
      </c>
      <c r="T44" t="s">
        <v>247</v>
      </c>
      <c r="U44" t="s">
        <v>1712</v>
      </c>
      <c r="V44" t="s">
        <v>1722</v>
      </c>
      <c r="X44" t="s">
        <v>121</v>
      </c>
      <c r="Y44" t="s">
        <v>1719</v>
      </c>
      <c r="Z44" t="s">
        <v>121</v>
      </c>
      <c r="AA44" t="s">
        <v>716</v>
      </c>
      <c r="AB44" t="s">
        <v>121</v>
      </c>
    </row>
    <row r="45" spans="2:28" x14ac:dyDescent="0.3">
      <c r="C45" s="11">
        <f t="shared" ca="1" si="0"/>
        <v>66235</v>
      </c>
      <c r="D45" s="11">
        <f t="shared" ca="1" si="1"/>
        <v>89334</v>
      </c>
      <c r="E45">
        <v>89334</v>
      </c>
      <c r="F45" t="s">
        <v>1746</v>
      </c>
      <c r="G45" t="s">
        <v>1967</v>
      </c>
      <c r="H45" t="s">
        <v>1725</v>
      </c>
      <c r="I45" t="s">
        <v>1964</v>
      </c>
      <c r="J45" t="s">
        <v>1707</v>
      </c>
      <c r="L45" s="13">
        <v>42846</v>
      </c>
      <c r="M45" t="s">
        <v>1732</v>
      </c>
      <c r="N45" t="s">
        <v>1750</v>
      </c>
      <c r="O45" s="13">
        <v>42633</v>
      </c>
      <c r="P45" t="s">
        <v>255</v>
      </c>
      <c r="S45" t="s">
        <v>200</v>
      </c>
      <c r="T45" t="s">
        <v>247</v>
      </c>
      <c r="U45" t="s">
        <v>1712</v>
      </c>
      <c r="V45" t="s">
        <v>1737</v>
      </c>
      <c r="X45" t="s">
        <v>121</v>
      </c>
      <c r="Y45" t="s">
        <v>1719</v>
      </c>
      <c r="Z45" t="s">
        <v>121</v>
      </c>
      <c r="AA45" t="s">
        <v>715</v>
      </c>
      <c r="AB45" t="s">
        <v>121</v>
      </c>
    </row>
    <row r="46" spans="2:28" x14ac:dyDescent="0.3">
      <c r="C46" s="11">
        <f t="shared" ca="1" si="0"/>
        <v>87060</v>
      </c>
      <c r="D46" s="11">
        <f t="shared" ca="1" si="1"/>
        <v>91401</v>
      </c>
      <c r="E46">
        <v>91401</v>
      </c>
      <c r="F46" t="s">
        <v>1723</v>
      </c>
      <c r="G46" t="s">
        <v>1770</v>
      </c>
      <c r="H46" t="s">
        <v>1725</v>
      </c>
      <c r="I46" t="s">
        <v>1760</v>
      </c>
      <c r="J46" t="s">
        <v>1715</v>
      </c>
      <c r="L46" s="13">
        <v>42831</v>
      </c>
      <c r="M46" t="s">
        <v>1718</v>
      </c>
      <c r="N46" t="s">
        <v>1764</v>
      </c>
      <c r="O46" s="13">
        <v>42669</v>
      </c>
      <c r="P46" t="s">
        <v>125</v>
      </c>
      <c r="S46" t="s">
        <v>201</v>
      </c>
      <c r="T46" t="s">
        <v>247</v>
      </c>
      <c r="U46" t="s">
        <v>1712</v>
      </c>
      <c r="V46" t="s">
        <v>1726</v>
      </c>
      <c r="X46" t="s">
        <v>121</v>
      </c>
      <c r="Y46" t="s">
        <v>1719</v>
      </c>
      <c r="Z46" t="s">
        <v>121</v>
      </c>
      <c r="AA46" t="s">
        <v>716</v>
      </c>
      <c r="AB46" t="s">
        <v>121</v>
      </c>
    </row>
    <row r="47" spans="2:28" x14ac:dyDescent="0.3">
      <c r="C47" s="11">
        <f t="shared" ca="1" si="0"/>
        <v>91429</v>
      </c>
      <c r="D47" s="11">
        <f t="shared" ca="1" si="1"/>
        <v>91457</v>
      </c>
      <c r="E47">
        <v>91457</v>
      </c>
      <c r="F47" t="s">
        <v>1795</v>
      </c>
      <c r="G47" t="s">
        <v>1771</v>
      </c>
      <c r="H47" t="s">
        <v>1705</v>
      </c>
      <c r="I47" t="s">
        <v>1706</v>
      </c>
      <c r="J47" t="s">
        <v>1707</v>
      </c>
      <c r="K47" t="s">
        <v>1968</v>
      </c>
      <c r="L47" s="27">
        <v>0.28854166666666664</v>
      </c>
      <c r="M47" t="s">
        <v>1732</v>
      </c>
      <c r="N47" t="s">
        <v>1721</v>
      </c>
      <c r="O47" s="13">
        <v>42670</v>
      </c>
      <c r="P47" t="s">
        <v>1727</v>
      </c>
      <c r="R47" t="s">
        <v>1711</v>
      </c>
      <c r="S47" t="s">
        <v>201</v>
      </c>
      <c r="T47" t="s">
        <v>247</v>
      </c>
      <c r="U47" t="s">
        <v>1712</v>
      </c>
      <c r="V47" t="s">
        <v>1726</v>
      </c>
      <c r="X47" t="s">
        <v>121</v>
      </c>
      <c r="Y47" t="s">
        <v>1714</v>
      </c>
      <c r="Z47" t="s">
        <v>121</v>
      </c>
      <c r="AA47" t="s">
        <v>715</v>
      </c>
      <c r="AB47" t="s">
        <v>1969</v>
      </c>
    </row>
    <row r="48" spans="2:28" x14ac:dyDescent="0.3">
      <c r="C48" s="11">
        <f t="shared" ca="1" si="0"/>
        <v>91565</v>
      </c>
      <c r="D48" s="11">
        <f t="shared" ca="1" si="1"/>
        <v>91630</v>
      </c>
      <c r="E48">
        <v>91630</v>
      </c>
      <c r="F48" t="s">
        <v>1720</v>
      </c>
      <c r="G48" t="s">
        <v>1970</v>
      </c>
      <c r="H48" t="s">
        <v>1725</v>
      </c>
      <c r="I48" t="s">
        <v>1964</v>
      </c>
      <c r="J48" t="s">
        <v>1707</v>
      </c>
      <c r="L48" s="13">
        <v>42846</v>
      </c>
      <c r="M48" t="s">
        <v>1718</v>
      </c>
      <c r="N48" t="s">
        <v>1709</v>
      </c>
      <c r="O48" s="13">
        <v>42675</v>
      </c>
      <c r="P48" t="s">
        <v>125</v>
      </c>
      <c r="R48" t="s">
        <v>1965</v>
      </c>
      <c r="S48" t="s">
        <v>200</v>
      </c>
      <c r="T48" t="s">
        <v>247</v>
      </c>
      <c r="U48" t="s">
        <v>1712</v>
      </c>
      <c r="V48" t="s">
        <v>1737</v>
      </c>
      <c r="X48" t="s">
        <v>121</v>
      </c>
      <c r="Y48" t="s">
        <v>1719</v>
      </c>
      <c r="Z48" t="s">
        <v>121</v>
      </c>
      <c r="AA48" t="s">
        <v>715</v>
      </c>
      <c r="AB48" t="s">
        <v>121</v>
      </c>
    </row>
    <row r="49" spans="3:28" x14ac:dyDescent="0.3">
      <c r="C49" s="11">
        <f t="shared" ca="1" si="0"/>
        <v>92816</v>
      </c>
      <c r="D49" s="11">
        <f t="shared" ca="1" si="1"/>
        <v>93056</v>
      </c>
      <c r="E49">
        <v>93056</v>
      </c>
      <c r="F49" t="s">
        <v>1715</v>
      </c>
      <c r="G49" t="s">
        <v>1971</v>
      </c>
      <c r="H49" t="s">
        <v>1725</v>
      </c>
      <c r="I49" t="s">
        <v>1964</v>
      </c>
      <c r="J49" t="s">
        <v>1972</v>
      </c>
      <c r="L49" s="13">
        <v>42846</v>
      </c>
      <c r="M49" t="s">
        <v>1718</v>
      </c>
      <c r="N49" t="s">
        <v>1709</v>
      </c>
      <c r="O49" s="13">
        <v>42703</v>
      </c>
      <c r="P49" t="s">
        <v>125</v>
      </c>
      <c r="R49" t="s">
        <v>1973</v>
      </c>
      <c r="S49" t="s">
        <v>200</v>
      </c>
      <c r="T49" t="s">
        <v>247</v>
      </c>
      <c r="U49" t="s">
        <v>1712</v>
      </c>
      <c r="V49" t="s">
        <v>1726</v>
      </c>
      <c r="X49" t="s">
        <v>121</v>
      </c>
      <c r="Y49" t="s">
        <v>1719</v>
      </c>
      <c r="Z49" t="s">
        <v>121</v>
      </c>
      <c r="AA49" t="s">
        <v>715</v>
      </c>
      <c r="AB49" t="s">
        <v>121</v>
      </c>
    </row>
    <row r="50" spans="3:28" x14ac:dyDescent="0.3">
      <c r="C50" s="11">
        <f t="shared" ca="1" si="0"/>
        <v>88230</v>
      </c>
      <c r="D50" s="11">
        <f t="shared" ca="1" si="1"/>
        <v>93475</v>
      </c>
      <c r="E50">
        <v>93475</v>
      </c>
      <c r="F50" t="s">
        <v>1776</v>
      </c>
      <c r="G50" t="s">
        <v>1777</v>
      </c>
      <c r="H50" t="s">
        <v>1725</v>
      </c>
      <c r="I50" t="s">
        <v>1706</v>
      </c>
      <c r="J50" t="s">
        <v>1778</v>
      </c>
      <c r="L50" s="13">
        <v>42829</v>
      </c>
      <c r="M50" t="s">
        <v>1708</v>
      </c>
      <c r="N50" t="s">
        <v>1735</v>
      </c>
      <c r="O50" s="13">
        <v>42712</v>
      </c>
      <c r="P50" t="s">
        <v>793</v>
      </c>
      <c r="R50" t="s">
        <v>1779</v>
      </c>
      <c r="S50" t="s">
        <v>201</v>
      </c>
      <c r="T50" t="s">
        <v>247</v>
      </c>
      <c r="U50" t="s">
        <v>1712</v>
      </c>
      <c r="V50" t="s">
        <v>1713</v>
      </c>
      <c r="X50" t="s">
        <v>121</v>
      </c>
      <c r="Y50" t="s">
        <v>1719</v>
      </c>
      <c r="Z50" t="s">
        <v>121</v>
      </c>
      <c r="AA50" t="s">
        <v>716</v>
      </c>
      <c r="AB50" t="s">
        <v>121</v>
      </c>
    </row>
    <row r="51" spans="3:28" x14ac:dyDescent="0.3">
      <c r="C51" s="11">
        <f t="shared" ca="1" si="0"/>
        <v>86626</v>
      </c>
      <c r="D51" s="11">
        <f t="shared" ca="1" si="1"/>
        <v>93536</v>
      </c>
      <c r="E51">
        <v>93536</v>
      </c>
      <c r="F51" t="s">
        <v>1776</v>
      </c>
      <c r="G51" t="s">
        <v>1780</v>
      </c>
      <c r="H51" t="s">
        <v>1716</v>
      </c>
      <c r="I51" t="s">
        <v>1706</v>
      </c>
      <c r="J51" t="s">
        <v>1778</v>
      </c>
      <c r="L51" s="13">
        <v>42829</v>
      </c>
      <c r="M51" t="s">
        <v>1708</v>
      </c>
      <c r="N51" t="s">
        <v>1735</v>
      </c>
      <c r="O51" s="13">
        <v>42713</v>
      </c>
      <c r="P51" t="s">
        <v>793</v>
      </c>
      <c r="R51" t="s">
        <v>1779</v>
      </c>
      <c r="S51" t="s">
        <v>200</v>
      </c>
      <c r="T51" t="s">
        <v>247</v>
      </c>
      <c r="U51" t="s">
        <v>1712</v>
      </c>
      <c r="V51" t="s">
        <v>1713</v>
      </c>
      <c r="X51" t="s">
        <v>121</v>
      </c>
      <c r="Y51" t="s">
        <v>1719</v>
      </c>
      <c r="Z51" t="s">
        <v>121</v>
      </c>
      <c r="AA51" t="s">
        <v>716</v>
      </c>
      <c r="AB51" t="s">
        <v>121</v>
      </c>
    </row>
    <row r="52" spans="3:28" x14ac:dyDescent="0.3">
      <c r="C52" s="11">
        <f t="shared" ca="1" si="0"/>
        <v>94074</v>
      </c>
      <c r="D52" s="11">
        <f t="shared" ca="1" si="1"/>
        <v>94191</v>
      </c>
      <c r="E52">
        <v>94191</v>
      </c>
      <c r="F52" t="s">
        <v>1781</v>
      </c>
      <c r="G52" t="s">
        <v>1782</v>
      </c>
      <c r="H52" t="s">
        <v>1705</v>
      </c>
      <c r="I52" t="s">
        <v>1706</v>
      </c>
      <c r="J52" t="s">
        <v>1707</v>
      </c>
      <c r="L52" s="13">
        <v>42850</v>
      </c>
      <c r="M52" t="s">
        <v>1708</v>
      </c>
      <c r="N52" t="s">
        <v>1709</v>
      </c>
      <c r="O52" s="13">
        <v>42739</v>
      </c>
      <c r="P52" t="s">
        <v>125</v>
      </c>
      <c r="R52" t="s">
        <v>1711</v>
      </c>
      <c r="S52" t="s">
        <v>201</v>
      </c>
      <c r="T52" t="s">
        <v>247</v>
      </c>
      <c r="U52" t="s">
        <v>1712</v>
      </c>
      <c r="V52" t="s">
        <v>1751</v>
      </c>
      <c r="X52" t="s">
        <v>121</v>
      </c>
      <c r="Y52" t="s">
        <v>1783</v>
      </c>
      <c r="Z52" t="s">
        <v>121</v>
      </c>
      <c r="AA52" t="s">
        <v>715</v>
      </c>
      <c r="AB52" t="s">
        <v>121</v>
      </c>
    </row>
    <row r="53" spans="3:28" x14ac:dyDescent="0.3">
      <c r="C53" s="11">
        <f t="shared" ca="1" si="0"/>
        <v>94830</v>
      </c>
      <c r="D53" s="11">
        <f t="shared" ca="1" si="1"/>
        <v>94835</v>
      </c>
      <c r="E53">
        <v>94835</v>
      </c>
      <c r="F53" t="s">
        <v>1974</v>
      </c>
      <c r="G53" t="s">
        <v>1975</v>
      </c>
      <c r="H53" t="s">
        <v>1705</v>
      </c>
      <c r="I53" t="s">
        <v>1706</v>
      </c>
      <c r="J53" t="s">
        <v>1707</v>
      </c>
      <c r="L53" s="13">
        <v>42843</v>
      </c>
      <c r="M53" t="s">
        <v>1718</v>
      </c>
      <c r="N53" t="s">
        <v>1709</v>
      </c>
      <c r="O53" s="13">
        <v>42755</v>
      </c>
      <c r="P53" t="s">
        <v>125</v>
      </c>
      <c r="R53" t="s">
        <v>1711</v>
      </c>
      <c r="S53" t="s">
        <v>201</v>
      </c>
      <c r="T53" t="s">
        <v>247</v>
      </c>
      <c r="U53" t="s">
        <v>1712</v>
      </c>
      <c r="V53" t="s">
        <v>1726</v>
      </c>
      <c r="X53" t="s">
        <v>121</v>
      </c>
      <c r="Y53" t="s">
        <v>1783</v>
      </c>
      <c r="Z53" t="s">
        <v>121</v>
      </c>
      <c r="AA53" t="s">
        <v>715</v>
      </c>
      <c r="AB53" t="s">
        <v>121</v>
      </c>
    </row>
    <row r="54" spans="3:28" x14ac:dyDescent="0.3">
      <c r="C54" s="11" t="str">
        <f t="shared" ca="1" si="0"/>
        <v>NM</v>
      </c>
      <c r="D54" s="11">
        <f t="shared" ca="1" si="1"/>
        <v>94912</v>
      </c>
      <c r="E54">
        <v>94912</v>
      </c>
      <c r="F54" t="s">
        <v>1715</v>
      </c>
      <c r="G54" t="s">
        <v>1976</v>
      </c>
      <c r="H54" t="s">
        <v>1725</v>
      </c>
      <c r="I54" t="s">
        <v>1964</v>
      </c>
      <c r="J54" t="s">
        <v>1720</v>
      </c>
      <c r="L54" s="13">
        <v>42845</v>
      </c>
      <c r="M54" t="s">
        <v>1718</v>
      </c>
      <c r="N54" t="s">
        <v>1709</v>
      </c>
      <c r="O54" s="13">
        <v>42758</v>
      </c>
      <c r="P54" t="s">
        <v>125</v>
      </c>
      <c r="S54" t="s">
        <v>201</v>
      </c>
      <c r="T54" t="s">
        <v>247</v>
      </c>
      <c r="U54" t="s">
        <v>1712</v>
      </c>
      <c r="V54" t="s">
        <v>1726</v>
      </c>
      <c r="X54" t="s">
        <v>121</v>
      </c>
      <c r="Y54" t="s">
        <v>1719</v>
      </c>
      <c r="Z54" t="s">
        <v>121</v>
      </c>
      <c r="AA54" t="s">
        <v>716</v>
      </c>
      <c r="AB54" t="s">
        <v>1977</v>
      </c>
    </row>
    <row r="55" spans="3:28" x14ac:dyDescent="0.3">
      <c r="C55" s="11">
        <f t="shared" ca="1" si="0"/>
        <v>85050</v>
      </c>
      <c r="D55" s="11">
        <f t="shared" ca="1" si="1"/>
        <v>95565</v>
      </c>
      <c r="E55">
        <v>95565</v>
      </c>
      <c r="F55" t="s">
        <v>1736</v>
      </c>
      <c r="G55" t="s">
        <v>1791</v>
      </c>
      <c r="H55" t="s">
        <v>1705</v>
      </c>
      <c r="I55" t="s">
        <v>1792</v>
      </c>
      <c r="J55" t="s">
        <v>1743</v>
      </c>
      <c r="L55" s="13">
        <v>42838</v>
      </c>
      <c r="M55" t="s">
        <v>1718</v>
      </c>
      <c r="N55" t="s">
        <v>1793</v>
      </c>
      <c r="O55" s="13">
        <v>42773</v>
      </c>
      <c r="P55" t="s">
        <v>793</v>
      </c>
      <c r="R55" t="s">
        <v>1779</v>
      </c>
      <c r="S55" t="s">
        <v>199</v>
      </c>
      <c r="T55" t="s">
        <v>247</v>
      </c>
      <c r="U55" t="s">
        <v>1712</v>
      </c>
      <c r="V55" t="s">
        <v>1744</v>
      </c>
      <c r="X55" t="s">
        <v>121</v>
      </c>
      <c r="Y55" t="s">
        <v>1714</v>
      </c>
      <c r="Z55" t="s">
        <v>121</v>
      </c>
      <c r="AA55" t="s">
        <v>715</v>
      </c>
      <c r="AB55" t="s">
        <v>121</v>
      </c>
    </row>
    <row r="56" spans="3:28" x14ac:dyDescent="0.3">
      <c r="C56" s="11">
        <f t="shared" ca="1" si="0"/>
        <v>85759</v>
      </c>
      <c r="D56" s="11">
        <f t="shared" ca="1" si="1"/>
        <v>95571</v>
      </c>
      <c r="E56">
        <v>95571</v>
      </c>
      <c r="F56" t="s">
        <v>1736</v>
      </c>
      <c r="G56" t="s">
        <v>1794</v>
      </c>
      <c r="H56" t="s">
        <v>1725</v>
      </c>
      <c r="I56" t="s">
        <v>1792</v>
      </c>
      <c r="J56" t="s">
        <v>1743</v>
      </c>
      <c r="L56" s="13">
        <v>42829</v>
      </c>
      <c r="M56" t="s">
        <v>1718</v>
      </c>
      <c r="N56" t="s">
        <v>1793</v>
      </c>
      <c r="O56" s="13">
        <v>42773</v>
      </c>
      <c r="P56" t="s">
        <v>119</v>
      </c>
      <c r="R56" t="s">
        <v>1779</v>
      </c>
      <c r="S56" t="s">
        <v>199</v>
      </c>
      <c r="T56" t="s">
        <v>247</v>
      </c>
      <c r="U56" t="s">
        <v>1712</v>
      </c>
      <c r="V56" t="s">
        <v>1744</v>
      </c>
      <c r="X56" t="s">
        <v>121</v>
      </c>
      <c r="Y56" t="s">
        <v>1714</v>
      </c>
      <c r="Z56" t="s">
        <v>121</v>
      </c>
      <c r="AA56" t="s">
        <v>715</v>
      </c>
      <c r="AB56" t="s">
        <v>121</v>
      </c>
    </row>
    <row r="57" spans="3:28" x14ac:dyDescent="0.3">
      <c r="C57" s="11">
        <f t="shared" ca="1" si="0"/>
        <v>95718</v>
      </c>
      <c r="D57" s="11">
        <f t="shared" ca="1" si="1"/>
        <v>95748</v>
      </c>
      <c r="E57">
        <v>95748</v>
      </c>
      <c r="F57" t="s">
        <v>1797</v>
      </c>
      <c r="G57" t="s">
        <v>1798</v>
      </c>
      <c r="H57" t="s">
        <v>1725</v>
      </c>
      <c r="I57" t="s">
        <v>1717</v>
      </c>
      <c r="J57" t="s">
        <v>1707</v>
      </c>
      <c r="L57" s="13" t="s">
        <v>1978</v>
      </c>
      <c r="M57" t="s">
        <v>1718</v>
      </c>
      <c r="N57" t="s">
        <v>1721</v>
      </c>
      <c r="O57" s="13">
        <v>42776</v>
      </c>
      <c r="P57" t="s">
        <v>124</v>
      </c>
      <c r="S57" t="s">
        <v>201</v>
      </c>
      <c r="T57" t="s">
        <v>247</v>
      </c>
      <c r="U57" t="s">
        <v>1712</v>
      </c>
      <c r="V57" t="s">
        <v>1722</v>
      </c>
      <c r="X57" t="s">
        <v>121</v>
      </c>
      <c r="Y57" t="s">
        <v>1719</v>
      </c>
      <c r="Z57" t="s">
        <v>121</v>
      </c>
      <c r="AA57" t="s">
        <v>716</v>
      </c>
      <c r="AB57" t="s">
        <v>121</v>
      </c>
    </row>
    <row r="58" spans="3:28" x14ac:dyDescent="0.3">
      <c r="C58" s="11">
        <f t="shared" ca="1" si="0"/>
        <v>95718</v>
      </c>
      <c r="D58" s="11">
        <f t="shared" ca="1" si="1"/>
        <v>95749</v>
      </c>
      <c r="E58">
        <v>95749</v>
      </c>
      <c r="F58" t="s">
        <v>1797</v>
      </c>
      <c r="G58" t="s">
        <v>1938</v>
      </c>
      <c r="H58" t="s">
        <v>1725</v>
      </c>
      <c r="I58" t="s">
        <v>1792</v>
      </c>
      <c r="J58" t="s">
        <v>1707</v>
      </c>
      <c r="L58" s="13">
        <v>42837</v>
      </c>
      <c r="M58" t="s">
        <v>1718</v>
      </c>
      <c r="N58" t="s">
        <v>1721</v>
      </c>
      <c r="O58" s="13">
        <v>42776</v>
      </c>
      <c r="P58" t="s">
        <v>124</v>
      </c>
      <c r="S58" t="s">
        <v>201</v>
      </c>
      <c r="T58" t="s">
        <v>247</v>
      </c>
      <c r="U58" t="s">
        <v>1712</v>
      </c>
      <c r="V58" t="s">
        <v>1722</v>
      </c>
      <c r="X58" t="s">
        <v>121</v>
      </c>
      <c r="Y58" t="s">
        <v>1719</v>
      </c>
      <c r="Z58" t="s">
        <v>121</v>
      </c>
      <c r="AA58" t="s">
        <v>716</v>
      </c>
      <c r="AB58" t="s">
        <v>121</v>
      </c>
    </row>
    <row r="59" spans="3:28" x14ac:dyDescent="0.3">
      <c r="C59" s="11">
        <f t="shared" ca="1" si="0"/>
        <v>93553</v>
      </c>
      <c r="D59" s="11">
        <f t="shared" ca="1" si="1"/>
        <v>95755</v>
      </c>
      <c r="E59">
        <v>95755</v>
      </c>
      <c r="F59" t="s">
        <v>1979</v>
      </c>
      <c r="G59" t="s">
        <v>1980</v>
      </c>
      <c r="H59" t="s">
        <v>1705</v>
      </c>
      <c r="I59" t="s">
        <v>1733</v>
      </c>
      <c r="J59" t="s">
        <v>1707</v>
      </c>
      <c r="L59" s="13">
        <v>42850</v>
      </c>
      <c r="M59" t="s">
        <v>1718</v>
      </c>
      <c r="N59" t="s">
        <v>1768</v>
      </c>
      <c r="O59" s="13">
        <v>42776</v>
      </c>
      <c r="P59" t="s">
        <v>125</v>
      </c>
      <c r="S59" t="s">
        <v>201</v>
      </c>
      <c r="T59" t="s">
        <v>247</v>
      </c>
      <c r="U59" t="s">
        <v>1712</v>
      </c>
      <c r="V59" t="s">
        <v>1726</v>
      </c>
      <c r="X59" t="s">
        <v>121</v>
      </c>
      <c r="Y59" t="s">
        <v>1719</v>
      </c>
      <c r="Z59" t="s">
        <v>121</v>
      </c>
      <c r="AA59" t="s">
        <v>715</v>
      </c>
      <c r="AB59" t="s">
        <v>121</v>
      </c>
    </row>
    <row r="60" spans="3:28" x14ac:dyDescent="0.3">
      <c r="C60" s="11">
        <f t="shared" ca="1" si="0"/>
        <v>88391</v>
      </c>
      <c r="D60" s="11">
        <f t="shared" ca="1" si="1"/>
        <v>96106</v>
      </c>
      <c r="E60">
        <v>96106</v>
      </c>
      <c r="F60" t="s">
        <v>1749</v>
      </c>
      <c r="G60" t="s">
        <v>1981</v>
      </c>
      <c r="H60" t="s">
        <v>1705</v>
      </c>
      <c r="I60" t="s">
        <v>1706</v>
      </c>
      <c r="J60" t="s">
        <v>1729</v>
      </c>
      <c r="L60" s="27">
        <v>0.37039351851851854</v>
      </c>
      <c r="M60" t="s">
        <v>1732</v>
      </c>
      <c r="N60" t="s">
        <v>1721</v>
      </c>
      <c r="O60" s="13">
        <v>42782</v>
      </c>
      <c r="P60" t="s">
        <v>1740</v>
      </c>
      <c r="R60" t="s">
        <v>1811</v>
      </c>
      <c r="S60" t="s">
        <v>201</v>
      </c>
      <c r="T60" t="s">
        <v>247</v>
      </c>
      <c r="U60" t="s">
        <v>1712</v>
      </c>
      <c r="V60" t="s">
        <v>1726</v>
      </c>
      <c r="X60" t="s">
        <v>121</v>
      </c>
      <c r="Y60" t="s">
        <v>1714</v>
      </c>
      <c r="Z60" t="s">
        <v>121</v>
      </c>
      <c r="AA60" t="s">
        <v>715</v>
      </c>
      <c r="AB60" t="s">
        <v>1982</v>
      </c>
    </row>
    <row r="61" spans="3:28" x14ac:dyDescent="0.3">
      <c r="C61" s="11">
        <f t="shared" ca="1" si="0"/>
        <v>75405</v>
      </c>
      <c r="D61" s="11">
        <f t="shared" ca="1" si="1"/>
        <v>96684</v>
      </c>
      <c r="E61">
        <v>96684</v>
      </c>
      <c r="F61" t="s">
        <v>1739</v>
      </c>
      <c r="G61" t="s">
        <v>1983</v>
      </c>
      <c r="H61" t="s">
        <v>1705</v>
      </c>
      <c r="I61" t="s">
        <v>1706</v>
      </c>
      <c r="J61" t="s">
        <v>1801</v>
      </c>
      <c r="L61" s="13" t="s">
        <v>1984</v>
      </c>
      <c r="M61" t="s">
        <v>1732</v>
      </c>
      <c r="N61" t="s">
        <v>1709</v>
      </c>
      <c r="O61" s="13">
        <v>42800</v>
      </c>
      <c r="P61" t="s">
        <v>1710</v>
      </c>
      <c r="R61" t="s">
        <v>1711</v>
      </c>
      <c r="S61" t="s">
        <v>201</v>
      </c>
      <c r="T61" t="s">
        <v>247</v>
      </c>
      <c r="U61" t="s">
        <v>1712</v>
      </c>
      <c r="V61" t="s">
        <v>1728</v>
      </c>
      <c r="X61" t="s">
        <v>121</v>
      </c>
      <c r="Y61" t="s">
        <v>1714</v>
      </c>
      <c r="Z61" t="s">
        <v>121</v>
      </c>
      <c r="AA61" t="s">
        <v>715</v>
      </c>
      <c r="AB61" t="s">
        <v>1985</v>
      </c>
    </row>
    <row r="62" spans="3:28" x14ac:dyDescent="0.3">
      <c r="C62" s="11">
        <f t="shared" ca="1" si="0"/>
        <v>96968</v>
      </c>
      <c r="D62" s="11">
        <f t="shared" ca="1" si="1"/>
        <v>96994</v>
      </c>
      <c r="E62">
        <v>96994</v>
      </c>
      <c r="F62" t="s">
        <v>1734</v>
      </c>
      <c r="G62" t="s">
        <v>1804</v>
      </c>
      <c r="H62" t="s">
        <v>1716</v>
      </c>
      <c r="I62" t="s">
        <v>1792</v>
      </c>
      <c r="J62" t="s">
        <v>1729</v>
      </c>
      <c r="L62" s="13">
        <v>42828</v>
      </c>
      <c r="M62" t="s">
        <v>1708</v>
      </c>
      <c r="N62" t="s">
        <v>1735</v>
      </c>
      <c r="O62" s="13">
        <v>42807</v>
      </c>
      <c r="P62" t="s">
        <v>1796</v>
      </c>
      <c r="S62" t="s">
        <v>200</v>
      </c>
      <c r="T62" t="s">
        <v>247</v>
      </c>
      <c r="U62" t="s">
        <v>1712</v>
      </c>
      <c r="V62" t="s">
        <v>1726</v>
      </c>
      <c r="X62" t="s">
        <v>121</v>
      </c>
      <c r="Y62" t="s">
        <v>1719</v>
      </c>
      <c r="Z62" t="s">
        <v>121</v>
      </c>
      <c r="AA62" t="s">
        <v>716</v>
      </c>
      <c r="AB62" t="s">
        <v>121</v>
      </c>
    </row>
    <row r="63" spans="3:28" x14ac:dyDescent="0.3">
      <c r="C63" s="11">
        <f t="shared" ca="1" si="0"/>
        <v>96221</v>
      </c>
      <c r="D63" s="11">
        <f t="shared" ca="1" si="1"/>
        <v>97010</v>
      </c>
      <c r="E63">
        <v>97010</v>
      </c>
      <c r="F63" t="s">
        <v>1720</v>
      </c>
      <c r="G63" t="s">
        <v>1805</v>
      </c>
      <c r="H63" t="s">
        <v>1705</v>
      </c>
      <c r="I63" t="s">
        <v>1706</v>
      </c>
      <c r="J63" t="s">
        <v>1729</v>
      </c>
      <c r="L63" s="13">
        <v>42829</v>
      </c>
      <c r="M63" t="s">
        <v>1708</v>
      </c>
      <c r="N63" t="s">
        <v>1721</v>
      </c>
      <c r="O63" s="13">
        <v>42807</v>
      </c>
      <c r="P63" t="s">
        <v>1727</v>
      </c>
      <c r="R63" t="s">
        <v>1711</v>
      </c>
      <c r="S63" t="s">
        <v>201</v>
      </c>
      <c r="T63" t="s">
        <v>247</v>
      </c>
      <c r="U63" t="s">
        <v>1712</v>
      </c>
      <c r="V63" t="s">
        <v>1737</v>
      </c>
      <c r="X63" t="s">
        <v>121</v>
      </c>
      <c r="Y63" t="s">
        <v>1719</v>
      </c>
      <c r="Z63" t="s">
        <v>121</v>
      </c>
      <c r="AA63" t="s">
        <v>715</v>
      </c>
      <c r="AB63" t="s">
        <v>121</v>
      </c>
    </row>
    <row r="64" spans="3:28" x14ac:dyDescent="0.3">
      <c r="C64" s="11">
        <f t="shared" ca="1" si="0"/>
        <v>96142</v>
      </c>
      <c r="D64" s="11">
        <f t="shared" ca="1" si="1"/>
        <v>97050</v>
      </c>
      <c r="E64">
        <v>97050</v>
      </c>
      <c r="F64" t="s">
        <v>1754</v>
      </c>
      <c r="G64" t="s">
        <v>1806</v>
      </c>
      <c r="H64" t="s">
        <v>1705</v>
      </c>
      <c r="I64" t="s">
        <v>1760</v>
      </c>
      <c r="J64" t="s">
        <v>1762</v>
      </c>
      <c r="L64" s="13">
        <v>42839</v>
      </c>
      <c r="M64" t="s">
        <v>1718</v>
      </c>
      <c r="N64" t="s">
        <v>1786</v>
      </c>
      <c r="O64" s="13">
        <v>42808</v>
      </c>
      <c r="P64" t="s">
        <v>125</v>
      </c>
      <c r="S64" t="s">
        <v>201</v>
      </c>
      <c r="T64" t="s">
        <v>247</v>
      </c>
      <c r="U64" t="s">
        <v>1712</v>
      </c>
      <c r="V64" t="s">
        <v>1807</v>
      </c>
      <c r="X64" t="s">
        <v>121</v>
      </c>
      <c r="Y64" t="s">
        <v>1719</v>
      </c>
      <c r="Z64" t="s">
        <v>121</v>
      </c>
      <c r="AA64" t="s">
        <v>715</v>
      </c>
      <c r="AB64" t="s">
        <v>121</v>
      </c>
    </row>
    <row r="65" spans="3:28" x14ac:dyDescent="0.3">
      <c r="C65" s="11">
        <f t="shared" ca="1" si="0"/>
        <v>96142</v>
      </c>
      <c r="D65" s="11">
        <f t="shared" ca="1" si="1"/>
        <v>97053</v>
      </c>
      <c r="E65">
        <v>97053</v>
      </c>
      <c r="F65" t="s">
        <v>1754</v>
      </c>
      <c r="G65" t="s">
        <v>1808</v>
      </c>
      <c r="H65" t="s">
        <v>1705</v>
      </c>
      <c r="I65" t="s">
        <v>1809</v>
      </c>
      <c r="J65" t="s">
        <v>1762</v>
      </c>
      <c r="L65" s="13">
        <v>42839</v>
      </c>
      <c r="M65" t="s">
        <v>1718</v>
      </c>
      <c r="N65" t="s">
        <v>1786</v>
      </c>
      <c r="O65" s="13">
        <v>42808</v>
      </c>
      <c r="P65" t="s">
        <v>125</v>
      </c>
      <c r="S65" t="s">
        <v>201</v>
      </c>
      <c r="T65" t="s">
        <v>247</v>
      </c>
      <c r="U65" t="s">
        <v>1712</v>
      </c>
      <c r="V65" t="s">
        <v>1751</v>
      </c>
      <c r="X65" t="s">
        <v>121</v>
      </c>
      <c r="Y65" t="s">
        <v>1719</v>
      </c>
      <c r="Z65" t="s">
        <v>121</v>
      </c>
      <c r="AA65" t="s">
        <v>715</v>
      </c>
      <c r="AB65" t="s">
        <v>121</v>
      </c>
    </row>
    <row r="66" spans="3:28" x14ac:dyDescent="0.3">
      <c r="C66" s="11">
        <f t="shared" ca="1" si="0"/>
        <v>96142</v>
      </c>
      <c r="D66" s="11">
        <f t="shared" ca="1" si="1"/>
        <v>97054</v>
      </c>
      <c r="E66">
        <v>97054</v>
      </c>
      <c r="F66" t="s">
        <v>1754</v>
      </c>
      <c r="G66" t="s">
        <v>1810</v>
      </c>
      <c r="H66" t="s">
        <v>1705</v>
      </c>
      <c r="I66" t="s">
        <v>1788</v>
      </c>
      <c r="J66" t="s">
        <v>1762</v>
      </c>
      <c r="L66" s="13">
        <v>42839</v>
      </c>
      <c r="M66" t="s">
        <v>1718</v>
      </c>
      <c r="N66" t="s">
        <v>1786</v>
      </c>
      <c r="O66" s="13">
        <v>42808</v>
      </c>
      <c r="P66" t="s">
        <v>125</v>
      </c>
      <c r="S66" t="s">
        <v>201</v>
      </c>
      <c r="T66" t="s">
        <v>247</v>
      </c>
      <c r="U66" t="s">
        <v>1712</v>
      </c>
      <c r="V66" t="s">
        <v>1751</v>
      </c>
      <c r="W66" s="13"/>
      <c r="X66" t="s">
        <v>121</v>
      </c>
      <c r="Y66" t="s">
        <v>1719</v>
      </c>
      <c r="Z66" t="s">
        <v>121</v>
      </c>
      <c r="AA66" t="s">
        <v>715</v>
      </c>
      <c r="AB66" t="s">
        <v>121</v>
      </c>
    </row>
    <row r="67" spans="3:28" x14ac:dyDescent="0.3">
      <c r="C67" s="11">
        <f t="shared" ca="1" si="0"/>
        <v>97266</v>
      </c>
      <c r="D67" s="11">
        <f t="shared" ca="1" si="1"/>
        <v>97304</v>
      </c>
      <c r="E67">
        <v>97304</v>
      </c>
      <c r="F67" t="s">
        <v>1795</v>
      </c>
      <c r="G67" t="s">
        <v>1812</v>
      </c>
      <c r="H67" t="s">
        <v>1725</v>
      </c>
      <c r="I67" t="s">
        <v>1813</v>
      </c>
      <c r="J67" t="s">
        <v>1729</v>
      </c>
      <c r="L67" s="13">
        <v>42831</v>
      </c>
      <c r="M67" t="s">
        <v>1718</v>
      </c>
      <c r="N67" t="s">
        <v>1772</v>
      </c>
      <c r="O67" s="13">
        <v>42815</v>
      </c>
      <c r="P67" t="s">
        <v>125</v>
      </c>
      <c r="R67" t="s">
        <v>1790</v>
      </c>
      <c r="S67" t="s">
        <v>200</v>
      </c>
      <c r="T67" t="s">
        <v>247</v>
      </c>
      <c r="U67" t="s">
        <v>1712</v>
      </c>
      <c r="V67" t="s">
        <v>1726</v>
      </c>
      <c r="X67" t="s">
        <v>121</v>
      </c>
      <c r="Y67" t="s">
        <v>1783</v>
      </c>
      <c r="Z67" t="s">
        <v>121</v>
      </c>
      <c r="AA67" t="s">
        <v>715</v>
      </c>
      <c r="AB67" t="s">
        <v>121</v>
      </c>
    </row>
    <row r="68" spans="3:28" x14ac:dyDescent="0.3">
      <c r="C68" s="11" t="str">
        <f t="shared" ca="1" si="0"/>
        <v>NM</v>
      </c>
      <c r="D68" s="11">
        <f t="shared" ca="1" si="1"/>
        <v>97423</v>
      </c>
      <c r="E68">
        <v>97423</v>
      </c>
      <c r="F68" t="s">
        <v>1762</v>
      </c>
      <c r="G68" t="s">
        <v>1814</v>
      </c>
      <c r="H68" t="s">
        <v>1716</v>
      </c>
      <c r="I68" t="s">
        <v>1858</v>
      </c>
      <c r="J68" t="s">
        <v>1815</v>
      </c>
      <c r="K68" t="s">
        <v>1789</v>
      </c>
      <c r="L68" s="27">
        <v>0.41378472222222223</v>
      </c>
      <c r="M68" t="s">
        <v>1718</v>
      </c>
      <c r="N68" t="s">
        <v>1937</v>
      </c>
      <c r="O68" s="13">
        <v>42817</v>
      </c>
      <c r="P68" t="s">
        <v>122</v>
      </c>
      <c r="S68" t="s">
        <v>1799</v>
      </c>
      <c r="T68" t="s">
        <v>247</v>
      </c>
      <c r="U68" t="s">
        <v>1712</v>
      </c>
      <c r="V68" t="s">
        <v>1726</v>
      </c>
      <c r="X68" t="s">
        <v>121</v>
      </c>
      <c r="Y68" t="s">
        <v>1719</v>
      </c>
      <c r="Z68" t="s">
        <v>121</v>
      </c>
      <c r="AA68" t="s">
        <v>716</v>
      </c>
      <c r="AB68" t="s">
        <v>121</v>
      </c>
    </row>
    <row r="69" spans="3:28" x14ac:dyDescent="0.3">
      <c r="C69" s="11">
        <f t="shared" ca="1" si="0"/>
        <v>97489</v>
      </c>
      <c r="D69" s="11">
        <f t="shared" ca="1" si="1"/>
        <v>97490</v>
      </c>
      <c r="E69">
        <v>97490</v>
      </c>
      <c r="F69" t="s">
        <v>1781</v>
      </c>
      <c r="G69" t="s">
        <v>1816</v>
      </c>
      <c r="H69" t="s">
        <v>1725</v>
      </c>
      <c r="I69" t="s">
        <v>1792</v>
      </c>
      <c r="J69" t="s">
        <v>1756</v>
      </c>
      <c r="L69" s="13" t="s">
        <v>1986</v>
      </c>
      <c r="M69" t="s">
        <v>1718</v>
      </c>
      <c r="N69" t="s">
        <v>1735</v>
      </c>
      <c r="O69" s="13">
        <v>42818</v>
      </c>
      <c r="P69" t="s">
        <v>1775</v>
      </c>
      <c r="R69" t="s">
        <v>1769</v>
      </c>
      <c r="S69" t="s">
        <v>201</v>
      </c>
      <c r="T69" t="s">
        <v>247</v>
      </c>
      <c r="U69" t="s">
        <v>1712</v>
      </c>
      <c r="V69" t="s">
        <v>1751</v>
      </c>
      <c r="X69" t="s">
        <v>121</v>
      </c>
      <c r="Y69" t="s">
        <v>1719</v>
      </c>
      <c r="Z69" t="s">
        <v>121</v>
      </c>
      <c r="AA69" t="s">
        <v>716</v>
      </c>
      <c r="AB69" t="s">
        <v>121</v>
      </c>
    </row>
    <row r="70" spans="3:28" x14ac:dyDescent="0.3">
      <c r="C70" s="11">
        <f t="shared" ca="1" si="0"/>
        <v>97056</v>
      </c>
      <c r="D70" s="11">
        <f t="shared" ca="1" si="1"/>
        <v>97543</v>
      </c>
      <c r="E70">
        <v>97543</v>
      </c>
      <c r="F70" t="s">
        <v>1800</v>
      </c>
      <c r="G70" t="s">
        <v>1958</v>
      </c>
      <c r="H70" t="s">
        <v>1705</v>
      </c>
      <c r="I70" t="s">
        <v>1706</v>
      </c>
      <c r="J70" t="s">
        <v>1754</v>
      </c>
      <c r="K70" t="s">
        <v>1789</v>
      </c>
      <c r="L70" s="13">
        <v>42850</v>
      </c>
      <c r="M70" t="s">
        <v>1718</v>
      </c>
      <c r="N70" t="s">
        <v>1721</v>
      </c>
      <c r="O70" s="13">
        <v>42821</v>
      </c>
      <c r="P70" t="s">
        <v>1740</v>
      </c>
      <c r="R70" t="s">
        <v>1711</v>
      </c>
      <c r="S70" t="s">
        <v>201</v>
      </c>
      <c r="T70" t="s">
        <v>247</v>
      </c>
      <c r="U70" t="s">
        <v>1712</v>
      </c>
      <c r="V70" t="s">
        <v>1737</v>
      </c>
      <c r="X70" t="s">
        <v>121</v>
      </c>
      <c r="Y70" t="s">
        <v>1783</v>
      </c>
      <c r="Z70" t="s">
        <v>121</v>
      </c>
      <c r="AA70" t="s">
        <v>715</v>
      </c>
      <c r="AB70" t="s">
        <v>121</v>
      </c>
    </row>
    <row r="71" spans="3:28" x14ac:dyDescent="0.3">
      <c r="C71" s="11">
        <f t="shared" ca="1" si="0"/>
        <v>97480</v>
      </c>
      <c r="D71" s="11">
        <f t="shared" ca="1" si="1"/>
        <v>97620</v>
      </c>
      <c r="E71">
        <v>97620</v>
      </c>
      <c r="F71" t="s">
        <v>1756</v>
      </c>
      <c r="G71" t="s">
        <v>1987</v>
      </c>
      <c r="H71" t="s">
        <v>1705</v>
      </c>
      <c r="I71" t="s">
        <v>1706</v>
      </c>
      <c r="J71" t="s">
        <v>1729</v>
      </c>
      <c r="L71" s="13">
        <v>42849</v>
      </c>
      <c r="M71" t="s">
        <v>1708</v>
      </c>
      <c r="N71" t="s">
        <v>1721</v>
      </c>
      <c r="O71" s="13">
        <v>42823</v>
      </c>
      <c r="P71" t="s">
        <v>1740</v>
      </c>
      <c r="R71" t="s">
        <v>1711</v>
      </c>
      <c r="S71" t="s">
        <v>201</v>
      </c>
      <c r="T71" t="s">
        <v>247</v>
      </c>
      <c r="U71" t="s">
        <v>1712</v>
      </c>
      <c r="V71" t="s">
        <v>1737</v>
      </c>
      <c r="X71" t="s">
        <v>121</v>
      </c>
      <c r="Y71" t="s">
        <v>1719</v>
      </c>
      <c r="Z71" t="s">
        <v>121</v>
      </c>
      <c r="AA71" t="s">
        <v>715</v>
      </c>
      <c r="AB71" t="s">
        <v>121</v>
      </c>
    </row>
    <row r="72" spans="3:28" x14ac:dyDescent="0.3">
      <c r="C72" s="11">
        <f t="shared" ca="1" si="0"/>
        <v>97578</v>
      </c>
      <c r="D72" s="11">
        <f t="shared" ca="1" si="1"/>
        <v>97624</v>
      </c>
      <c r="E72">
        <v>97624</v>
      </c>
      <c r="F72" t="s">
        <v>1988</v>
      </c>
      <c r="G72" t="s">
        <v>1818</v>
      </c>
      <c r="H72" t="s">
        <v>1716</v>
      </c>
      <c r="I72" t="s">
        <v>1792</v>
      </c>
      <c r="J72" t="s">
        <v>1729</v>
      </c>
      <c r="K72" t="s">
        <v>1789</v>
      </c>
      <c r="L72" s="13" t="s">
        <v>1989</v>
      </c>
      <c r="M72" t="s">
        <v>1718</v>
      </c>
      <c r="N72" t="s">
        <v>1735</v>
      </c>
      <c r="O72" s="13">
        <v>42823</v>
      </c>
      <c r="P72" t="s">
        <v>1796</v>
      </c>
      <c r="R72" t="s">
        <v>1790</v>
      </c>
      <c r="S72" t="s">
        <v>200</v>
      </c>
      <c r="T72" t="s">
        <v>247</v>
      </c>
      <c r="U72" t="s">
        <v>1712</v>
      </c>
      <c r="V72" t="s">
        <v>1726</v>
      </c>
      <c r="X72" t="s">
        <v>121</v>
      </c>
      <c r="Y72" t="s">
        <v>1719</v>
      </c>
      <c r="Z72" t="s">
        <v>121</v>
      </c>
      <c r="AA72" t="s">
        <v>716</v>
      </c>
      <c r="AB72" t="s">
        <v>121</v>
      </c>
    </row>
    <row r="73" spans="3:28" x14ac:dyDescent="0.3">
      <c r="C73" s="11">
        <f t="shared" ca="1" si="0"/>
        <v>78517</v>
      </c>
      <c r="D73" s="11">
        <f t="shared" ca="1" si="1"/>
        <v>97625</v>
      </c>
      <c r="E73">
        <v>97625</v>
      </c>
      <c r="F73" t="s">
        <v>1757</v>
      </c>
      <c r="G73" t="s">
        <v>1819</v>
      </c>
      <c r="H73" t="s">
        <v>1725</v>
      </c>
      <c r="I73" t="s">
        <v>1792</v>
      </c>
      <c r="J73" t="s">
        <v>1729</v>
      </c>
      <c r="L73" s="13">
        <v>42837</v>
      </c>
      <c r="M73" t="s">
        <v>1718</v>
      </c>
      <c r="N73" t="s">
        <v>1709</v>
      </c>
      <c r="O73" s="13">
        <v>42823</v>
      </c>
      <c r="P73" t="s">
        <v>125</v>
      </c>
      <c r="R73" t="s">
        <v>1790</v>
      </c>
      <c r="S73" t="s">
        <v>201</v>
      </c>
      <c r="T73" t="s">
        <v>247</v>
      </c>
      <c r="U73" t="s">
        <v>1712</v>
      </c>
      <c r="V73" t="s">
        <v>1737</v>
      </c>
      <c r="X73" t="s">
        <v>121</v>
      </c>
      <c r="Y73" t="s">
        <v>1719</v>
      </c>
      <c r="Z73" t="s">
        <v>121</v>
      </c>
      <c r="AA73" t="s">
        <v>716</v>
      </c>
      <c r="AB73" t="s">
        <v>121</v>
      </c>
    </row>
    <row r="74" spans="3:28" x14ac:dyDescent="0.3">
      <c r="C74" s="11">
        <f t="shared" ca="1" si="0"/>
        <v>92975</v>
      </c>
      <c r="D74" s="11">
        <f t="shared" ca="1" si="1"/>
        <v>97629</v>
      </c>
      <c r="E74">
        <v>97629</v>
      </c>
      <c r="F74" t="s">
        <v>1739</v>
      </c>
      <c r="G74" t="s">
        <v>1820</v>
      </c>
      <c r="H74" t="s">
        <v>1725</v>
      </c>
      <c r="I74" t="s">
        <v>1792</v>
      </c>
      <c r="J74" t="s">
        <v>1729</v>
      </c>
      <c r="L74" s="13">
        <v>42839</v>
      </c>
      <c r="M74" t="s">
        <v>1708</v>
      </c>
      <c r="N74" t="s">
        <v>1709</v>
      </c>
      <c r="O74" s="13">
        <v>42823</v>
      </c>
      <c r="P74" t="s">
        <v>125</v>
      </c>
      <c r="R74" t="s">
        <v>1790</v>
      </c>
      <c r="S74" t="s">
        <v>201</v>
      </c>
      <c r="T74" t="s">
        <v>247</v>
      </c>
      <c r="U74" t="s">
        <v>1712</v>
      </c>
      <c r="V74" t="s">
        <v>1722</v>
      </c>
      <c r="X74" t="s">
        <v>121</v>
      </c>
      <c r="Y74" t="s">
        <v>1719</v>
      </c>
      <c r="Z74" t="s">
        <v>121</v>
      </c>
      <c r="AA74" t="s">
        <v>716</v>
      </c>
      <c r="AB74" t="s">
        <v>121</v>
      </c>
    </row>
    <row r="75" spans="3:28" x14ac:dyDescent="0.3">
      <c r="C75" s="11">
        <f t="shared" ca="1" si="0"/>
        <v>97578</v>
      </c>
      <c r="D75" s="11">
        <f t="shared" ca="1" si="1"/>
        <v>97643</v>
      </c>
      <c r="E75">
        <v>97643</v>
      </c>
      <c r="F75" t="s">
        <v>1988</v>
      </c>
      <c r="G75" t="s">
        <v>1818</v>
      </c>
      <c r="H75" t="s">
        <v>1716</v>
      </c>
      <c r="I75" t="s">
        <v>1792</v>
      </c>
      <c r="J75" t="s">
        <v>1729</v>
      </c>
      <c r="K75" t="s">
        <v>1789</v>
      </c>
      <c r="L75" s="13" t="s">
        <v>1989</v>
      </c>
      <c r="M75" t="s">
        <v>1718</v>
      </c>
      <c r="N75" t="s">
        <v>1735</v>
      </c>
      <c r="O75" s="13">
        <v>42823</v>
      </c>
      <c r="P75" t="s">
        <v>1796</v>
      </c>
      <c r="R75" t="s">
        <v>1790</v>
      </c>
      <c r="S75" t="s">
        <v>200</v>
      </c>
      <c r="T75" t="s">
        <v>247</v>
      </c>
      <c r="U75" t="s">
        <v>1712</v>
      </c>
      <c r="V75" t="s">
        <v>1726</v>
      </c>
      <c r="X75" t="s">
        <v>121</v>
      </c>
      <c r="Y75" t="s">
        <v>1719</v>
      </c>
      <c r="Z75" t="s">
        <v>121</v>
      </c>
      <c r="AA75" t="s">
        <v>716</v>
      </c>
      <c r="AB75" t="s">
        <v>121</v>
      </c>
    </row>
    <row r="76" spans="3:28" x14ac:dyDescent="0.3">
      <c r="C76" s="11">
        <f t="shared" ca="1" si="0"/>
        <v>97480</v>
      </c>
      <c r="D76" s="11">
        <f t="shared" ca="1" si="1"/>
        <v>97644</v>
      </c>
      <c r="E76">
        <v>97644</v>
      </c>
      <c r="F76" t="s">
        <v>1739</v>
      </c>
      <c r="G76" t="s">
        <v>1821</v>
      </c>
      <c r="H76" t="s">
        <v>1705</v>
      </c>
      <c r="I76" t="s">
        <v>1792</v>
      </c>
      <c r="J76" t="s">
        <v>1729</v>
      </c>
      <c r="L76" s="13">
        <v>42838</v>
      </c>
      <c r="M76" t="s">
        <v>1718</v>
      </c>
      <c r="N76" t="s">
        <v>1721</v>
      </c>
      <c r="O76" s="13">
        <v>42823</v>
      </c>
      <c r="P76" t="s">
        <v>1740</v>
      </c>
      <c r="R76" t="s">
        <v>1711</v>
      </c>
      <c r="S76" t="s">
        <v>201</v>
      </c>
      <c r="T76" t="s">
        <v>247</v>
      </c>
      <c r="U76" t="s">
        <v>1712</v>
      </c>
      <c r="V76" t="s">
        <v>1737</v>
      </c>
      <c r="X76" t="s">
        <v>121</v>
      </c>
      <c r="Y76" t="s">
        <v>1719</v>
      </c>
      <c r="Z76" t="s">
        <v>121</v>
      </c>
      <c r="AA76" t="s">
        <v>715</v>
      </c>
      <c r="AB76" t="s">
        <v>121</v>
      </c>
    </row>
    <row r="77" spans="3:28" x14ac:dyDescent="0.3">
      <c r="C77" s="11">
        <f t="shared" ca="1" si="0"/>
        <v>97056</v>
      </c>
      <c r="D77" s="11">
        <f t="shared" ca="1" si="1"/>
        <v>97646</v>
      </c>
      <c r="E77">
        <v>97646</v>
      </c>
      <c r="F77" t="s">
        <v>1800</v>
      </c>
      <c r="G77" t="s">
        <v>1990</v>
      </c>
      <c r="H77" t="s">
        <v>1705</v>
      </c>
      <c r="I77" t="s">
        <v>1792</v>
      </c>
      <c r="J77" t="s">
        <v>1729</v>
      </c>
      <c r="L77" s="13">
        <v>42850</v>
      </c>
      <c r="M77" t="s">
        <v>1718</v>
      </c>
      <c r="N77" t="s">
        <v>1721</v>
      </c>
      <c r="O77" s="13">
        <v>42823</v>
      </c>
      <c r="P77" t="s">
        <v>1740</v>
      </c>
      <c r="Q77" t="s">
        <v>125</v>
      </c>
      <c r="R77" t="s">
        <v>1769</v>
      </c>
      <c r="S77" t="s">
        <v>201</v>
      </c>
      <c r="T77" t="s">
        <v>247</v>
      </c>
      <c r="U77" t="s">
        <v>1712</v>
      </c>
      <c r="V77" t="s">
        <v>1737</v>
      </c>
      <c r="X77" t="s">
        <v>121</v>
      </c>
      <c r="Y77" t="s">
        <v>1783</v>
      </c>
      <c r="Z77" t="s">
        <v>121</v>
      </c>
      <c r="AA77" t="s">
        <v>715</v>
      </c>
      <c r="AB77" t="s">
        <v>121</v>
      </c>
    </row>
    <row r="78" spans="3:28" x14ac:dyDescent="0.3">
      <c r="C78" s="11">
        <f t="shared" ca="1" si="0"/>
        <v>94906</v>
      </c>
      <c r="D78" s="11">
        <f t="shared" ca="1" si="1"/>
        <v>97656</v>
      </c>
      <c r="E78">
        <v>97656</v>
      </c>
      <c r="F78" t="s">
        <v>1754</v>
      </c>
      <c r="G78" t="s">
        <v>1822</v>
      </c>
      <c r="H78" t="s">
        <v>1705</v>
      </c>
      <c r="I78" t="s">
        <v>1792</v>
      </c>
      <c r="J78" t="s">
        <v>1754</v>
      </c>
      <c r="L78" s="13">
        <v>42849</v>
      </c>
      <c r="M78" t="s">
        <v>1718</v>
      </c>
      <c r="N78" t="s">
        <v>1721</v>
      </c>
      <c r="O78" s="13">
        <v>42823</v>
      </c>
      <c r="P78" t="s">
        <v>1740</v>
      </c>
      <c r="R78" t="s">
        <v>1811</v>
      </c>
      <c r="S78" t="s">
        <v>201</v>
      </c>
      <c r="T78" t="s">
        <v>247</v>
      </c>
      <c r="U78" t="s">
        <v>1712</v>
      </c>
      <c r="V78" t="s">
        <v>1728</v>
      </c>
      <c r="X78" t="s">
        <v>121</v>
      </c>
      <c r="Y78" t="s">
        <v>1714</v>
      </c>
      <c r="Z78" t="s">
        <v>121</v>
      </c>
      <c r="AA78" t="s">
        <v>715</v>
      </c>
      <c r="AB78" t="s">
        <v>1991</v>
      </c>
    </row>
    <row r="79" spans="3:28" x14ac:dyDescent="0.3">
      <c r="C79" s="11" t="str">
        <f t="shared" ca="1" si="0"/>
        <v>NM</v>
      </c>
      <c r="D79" s="11">
        <f t="shared" ca="1" si="1"/>
        <v>97702</v>
      </c>
      <c r="E79">
        <v>97702</v>
      </c>
      <c r="F79" t="s">
        <v>1758</v>
      </c>
      <c r="G79" t="s">
        <v>1823</v>
      </c>
      <c r="H79" t="s">
        <v>1716</v>
      </c>
      <c r="I79" t="s">
        <v>1792</v>
      </c>
      <c r="J79" t="s">
        <v>1784</v>
      </c>
      <c r="L79" s="27">
        <v>0.3288773148148148</v>
      </c>
      <c r="M79" t="s">
        <v>1708</v>
      </c>
      <c r="N79" t="s">
        <v>1793</v>
      </c>
      <c r="O79" s="13">
        <v>42824</v>
      </c>
      <c r="P79" t="s">
        <v>118</v>
      </c>
      <c r="S79" t="s">
        <v>1799</v>
      </c>
      <c r="T79" t="s">
        <v>247</v>
      </c>
      <c r="U79" t="s">
        <v>1712</v>
      </c>
      <c r="V79" t="s">
        <v>1751</v>
      </c>
      <c r="X79" t="s">
        <v>121</v>
      </c>
      <c r="Y79" t="s">
        <v>1719</v>
      </c>
      <c r="Z79" t="s">
        <v>121</v>
      </c>
      <c r="AA79" t="s">
        <v>716</v>
      </c>
      <c r="AB79" t="s">
        <v>121</v>
      </c>
    </row>
    <row r="80" spans="3:28" x14ac:dyDescent="0.3">
      <c r="C80" s="11">
        <f t="shared" ca="1" si="0"/>
        <v>97266</v>
      </c>
      <c r="D80" s="11">
        <f t="shared" ca="1" si="1"/>
        <v>97729</v>
      </c>
      <c r="E80">
        <v>97729</v>
      </c>
      <c r="F80" t="s">
        <v>1795</v>
      </c>
      <c r="G80" t="s">
        <v>1825</v>
      </c>
      <c r="H80" t="s">
        <v>1725</v>
      </c>
      <c r="I80" t="s">
        <v>1760</v>
      </c>
      <c r="J80" t="s">
        <v>1826</v>
      </c>
      <c r="L80" s="13">
        <v>42831</v>
      </c>
      <c r="M80" t="s">
        <v>1718</v>
      </c>
      <c r="N80" t="s">
        <v>1772</v>
      </c>
      <c r="O80" s="13">
        <v>42825</v>
      </c>
      <c r="P80" t="s">
        <v>125</v>
      </c>
      <c r="R80" t="s">
        <v>1790</v>
      </c>
      <c r="S80" t="s">
        <v>200</v>
      </c>
      <c r="T80" t="s">
        <v>247</v>
      </c>
      <c r="U80" t="s">
        <v>1712</v>
      </c>
      <c r="V80" t="s">
        <v>1726</v>
      </c>
      <c r="X80" t="s">
        <v>121</v>
      </c>
      <c r="Y80" t="s">
        <v>1783</v>
      </c>
      <c r="Z80" t="s">
        <v>121</v>
      </c>
      <c r="AA80" t="s">
        <v>715</v>
      </c>
      <c r="AB80" t="s">
        <v>121</v>
      </c>
    </row>
    <row r="81" spans="3:28" x14ac:dyDescent="0.3">
      <c r="C81" s="11">
        <f t="shared" ca="1" si="0"/>
        <v>97710</v>
      </c>
      <c r="D81" s="11">
        <f t="shared" ca="1" si="1"/>
        <v>97762</v>
      </c>
      <c r="E81">
        <v>97762</v>
      </c>
      <c r="F81" t="s">
        <v>1974</v>
      </c>
      <c r="G81" t="s">
        <v>1827</v>
      </c>
      <c r="H81" t="s">
        <v>1725</v>
      </c>
      <c r="I81" t="s">
        <v>1706</v>
      </c>
      <c r="J81" t="s">
        <v>1729</v>
      </c>
      <c r="L81" s="13" t="s">
        <v>1992</v>
      </c>
      <c r="M81" t="s">
        <v>1708</v>
      </c>
      <c r="N81" t="s">
        <v>1709</v>
      </c>
      <c r="O81" s="13">
        <v>42825</v>
      </c>
      <c r="P81" t="s">
        <v>125</v>
      </c>
      <c r="R81" t="s">
        <v>1790</v>
      </c>
      <c r="S81" t="s">
        <v>199</v>
      </c>
      <c r="T81" t="s">
        <v>247</v>
      </c>
      <c r="U81" t="s">
        <v>1712</v>
      </c>
      <c r="V81" t="s">
        <v>1726</v>
      </c>
      <c r="X81" t="s">
        <v>121</v>
      </c>
      <c r="Y81" t="s">
        <v>1783</v>
      </c>
      <c r="Z81" t="s">
        <v>121</v>
      </c>
      <c r="AA81" t="s">
        <v>715</v>
      </c>
      <c r="AB81" t="s">
        <v>121</v>
      </c>
    </row>
    <row r="82" spans="3:28" x14ac:dyDescent="0.3">
      <c r="C82" s="11">
        <f t="shared" ca="1" si="0"/>
        <v>97796</v>
      </c>
      <c r="D82" s="11">
        <f t="shared" ca="1" si="1"/>
        <v>97797</v>
      </c>
      <c r="E82">
        <v>97797</v>
      </c>
      <c r="F82" t="s">
        <v>1784</v>
      </c>
      <c r="G82" t="s">
        <v>1828</v>
      </c>
      <c r="H82" t="s">
        <v>1725</v>
      </c>
      <c r="I82" t="s">
        <v>1792</v>
      </c>
      <c r="J82" t="s">
        <v>1756</v>
      </c>
      <c r="L82" s="13">
        <v>42838</v>
      </c>
      <c r="M82" t="s">
        <v>1718</v>
      </c>
      <c r="N82" t="s">
        <v>1735</v>
      </c>
      <c r="O82" s="13">
        <v>42828</v>
      </c>
      <c r="P82" t="s">
        <v>1775</v>
      </c>
      <c r="S82" t="s">
        <v>201</v>
      </c>
      <c r="T82" t="s">
        <v>247</v>
      </c>
      <c r="U82" t="s">
        <v>1712</v>
      </c>
      <c r="V82" t="s">
        <v>1751</v>
      </c>
      <c r="X82" t="s">
        <v>121</v>
      </c>
      <c r="Y82" t="s">
        <v>1719</v>
      </c>
      <c r="Z82" t="s">
        <v>121</v>
      </c>
      <c r="AA82" t="s">
        <v>716</v>
      </c>
      <c r="AB82" t="s">
        <v>121</v>
      </c>
    </row>
    <row r="83" spans="3:28" x14ac:dyDescent="0.3">
      <c r="C83" s="11">
        <f t="shared" ca="1" si="0"/>
        <v>96172</v>
      </c>
      <c r="D83" s="11">
        <f t="shared" ca="1" si="1"/>
        <v>97837</v>
      </c>
      <c r="E83">
        <v>97837</v>
      </c>
      <c r="F83" t="s">
        <v>1797</v>
      </c>
      <c r="G83" t="s">
        <v>1829</v>
      </c>
      <c r="H83" t="s">
        <v>1705</v>
      </c>
      <c r="I83" t="s">
        <v>1792</v>
      </c>
      <c r="J83" t="s">
        <v>1797</v>
      </c>
      <c r="L83" s="13">
        <v>42851</v>
      </c>
      <c r="M83" t="s">
        <v>1708</v>
      </c>
      <c r="N83" t="s">
        <v>1709</v>
      </c>
      <c r="O83" s="13">
        <v>42829</v>
      </c>
      <c r="P83" t="s">
        <v>125</v>
      </c>
      <c r="R83" t="s">
        <v>1811</v>
      </c>
      <c r="S83" t="s">
        <v>201</v>
      </c>
      <c r="T83" t="s">
        <v>247</v>
      </c>
      <c r="U83" t="s">
        <v>1712</v>
      </c>
      <c r="V83" t="s">
        <v>1722</v>
      </c>
      <c r="X83" t="s">
        <v>121</v>
      </c>
      <c r="Y83" t="s">
        <v>1714</v>
      </c>
      <c r="Z83" t="s">
        <v>121</v>
      </c>
      <c r="AA83" t="s">
        <v>715</v>
      </c>
      <c r="AB83" t="s">
        <v>1969</v>
      </c>
    </row>
    <row r="84" spans="3:28" x14ac:dyDescent="0.3">
      <c r="C84" s="11" t="str">
        <f t="shared" ca="1" si="0"/>
        <v>NM</v>
      </c>
      <c r="D84" s="11">
        <f t="shared" ca="1" si="1"/>
        <v>97851</v>
      </c>
      <c r="E84">
        <v>97851</v>
      </c>
      <c r="F84" t="s">
        <v>1784</v>
      </c>
      <c r="G84" t="s">
        <v>1830</v>
      </c>
      <c r="H84" t="s">
        <v>1725</v>
      </c>
      <c r="I84" t="s">
        <v>1792</v>
      </c>
      <c r="J84" t="s">
        <v>1734</v>
      </c>
      <c r="L84" s="13">
        <v>42846</v>
      </c>
      <c r="M84" t="s">
        <v>1708</v>
      </c>
      <c r="N84" t="s">
        <v>1735</v>
      </c>
      <c r="O84" s="13">
        <v>42829</v>
      </c>
      <c r="P84" t="s">
        <v>788</v>
      </c>
      <c r="S84" t="s">
        <v>201</v>
      </c>
      <c r="T84" t="s">
        <v>247</v>
      </c>
      <c r="U84" t="s">
        <v>1712</v>
      </c>
      <c r="V84" t="s">
        <v>1751</v>
      </c>
      <c r="X84" t="s">
        <v>121</v>
      </c>
      <c r="Y84" t="s">
        <v>1719</v>
      </c>
      <c r="Z84" t="s">
        <v>121</v>
      </c>
      <c r="AA84" t="s">
        <v>716</v>
      </c>
      <c r="AB84" t="s">
        <v>121</v>
      </c>
    </row>
    <row r="85" spans="3:28" x14ac:dyDescent="0.3">
      <c r="C85" s="11" t="str">
        <f t="shared" ca="1" si="0"/>
        <v>NM</v>
      </c>
      <c r="D85" s="11">
        <f t="shared" ca="1" si="1"/>
        <v>97852</v>
      </c>
      <c r="E85">
        <v>97852</v>
      </c>
      <c r="F85" t="s">
        <v>1715</v>
      </c>
      <c r="G85" t="s">
        <v>1831</v>
      </c>
      <c r="H85" t="s">
        <v>1725</v>
      </c>
      <c r="I85" t="s">
        <v>1792</v>
      </c>
      <c r="J85" t="s">
        <v>1734</v>
      </c>
      <c r="L85" s="13" t="s">
        <v>1993</v>
      </c>
      <c r="M85" t="s">
        <v>1718</v>
      </c>
      <c r="N85" t="s">
        <v>1735</v>
      </c>
      <c r="O85" s="13">
        <v>42829</v>
      </c>
      <c r="P85" t="s">
        <v>788</v>
      </c>
      <c r="R85" t="s">
        <v>1769</v>
      </c>
      <c r="S85" t="s">
        <v>201</v>
      </c>
      <c r="T85" t="s">
        <v>247</v>
      </c>
      <c r="U85" t="s">
        <v>1712</v>
      </c>
      <c r="V85" t="s">
        <v>1726</v>
      </c>
      <c r="X85" t="s">
        <v>121</v>
      </c>
      <c r="Y85" t="s">
        <v>1719</v>
      </c>
      <c r="Z85" t="s">
        <v>121</v>
      </c>
      <c r="AA85" t="s">
        <v>716</v>
      </c>
      <c r="AB85" t="s">
        <v>121</v>
      </c>
    </row>
    <row r="86" spans="3:28" x14ac:dyDescent="0.3">
      <c r="C86" s="11" t="str">
        <f t="shared" ca="1" si="0"/>
        <v>NM</v>
      </c>
      <c r="D86" s="11">
        <f t="shared" ca="1" si="1"/>
        <v>97853</v>
      </c>
      <c r="E86">
        <v>97853</v>
      </c>
      <c r="F86" t="s">
        <v>1715</v>
      </c>
      <c r="G86" t="s">
        <v>1832</v>
      </c>
      <c r="H86" t="s">
        <v>1725</v>
      </c>
      <c r="I86" t="s">
        <v>1792</v>
      </c>
      <c r="J86" t="s">
        <v>1734</v>
      </c>
      <c r="L86" s="13" t="s">
        <v>1994</v>
      </c>
      <c r="M86" t="s">
        <v>1718</v>
      </c>
      <c r="N86" t="s">
        <v>1735</v>
      </c>
      <c r="O86" s="13">
        <v>42829</v>
      </c>
      <c r="P86" t="s">
        <v>788</v>
      </c>
      <c r="R86" t="s">
        <v>1769</v>
      </c>
      <c r="S86" t="s">
        <v>201</v>
      </c>
      <c r="T86" t="s">
        <v>247</v>
      </c>
      <c r="U86" t="s">
        <v>1712</v>
      </c>
      <c r="V86" t="s">
        <v>1726</v>
      </c>
      <c r="X86" t="s">
        <v>121</v>
      </c>
      <c r="Y86" t="s">
        <v>1719</v>
      </c>
      <c r="Z86" t="s">
        <v>121</v>
      </c>
      <c r="AA86" t="s">
        <v>716</v>
      </c>
      <c r="AB86" t="s">
        <v>121</v>
      </c>
    </row>
    <row r="87" spans="3:28" x14ac:dyDescent="0.3">
      <c r="C87" s="11" t="str">
        <f t="shared" ca="1" si="0"/>
        <v>NM</v>
      </c>
      <c r="D87" s="11">
        <f t="shared" ca="1" si="1"/>
        <v>97854</v>
      </c>
      <c r="E87">
        <v>97854</v>
      </c>
      <c r="F87" t="s">
        <v>1715</v>
      </c>
      <c r="G87" t="s">
        <v>1833</v>
      </c>
      <c r="H87" t="s">
        <v>1725</v>
      </c>
      <c r="I87" t="s">
        <v>1792</v>
      </c>
      <c r="J87" t="s">
        <v>1734</v>
      </c>
      <c r="L87" s="13" t="s">
        <v>1995</v>
      </c>
      <c r="M87" t="s">
        <v>1718</v>
      </c>
      <c r="N87" t="s">
        <v>1735</v>
      </c>
      <c r="O87" s="13">
        <v>42829</v>
      </c>
      <c r="P87" t="s">
        <v>788</v>
      </c>
      <c r="R87" t="s">
        <v>1769</v>
      </c>
      <c r="S87" t="s">
        <v>201</v>
      </c>
      <c r="T87" t="s">
        <v>247</v>
      </c>
      <c r="U87" t="s">
        <v>1712</v>
      </c>
      <c r="V87" t="s">
        <v>1726</v>
      </c>
      <c r="X87" t="s">
        <v>121</v>
      </c>
      <c r="Y87" t="s">
        <v>1719</v>
      </c>
      <c r="Z87" t="s">
        <v>121</v>
      </c>
      <c r="AA87" t="s">
        <v>716</v>
      </c>
      <c r="AB87" t="s">
        <v>121</v>
      </c>
    </row>
    <row r="88" spans="3:28" x14ac:dyDescent="0.3">
      <c r="C88" s="11" t="str">
        <f t="shared" ca="1" si="0"/>
        <v>NM</v>
      </c>
      <c r="D88" s="11">
        <f t="shared" ca="1" si="1"/>
        <v>97855</v>
      </c>
      <c r="E88">
        <v>97855</v>
      </c>
      <c r="F88" t="s">
        <v>1715</v>
      </c>
      <c r="G88" t="s">
        <v>1834</v>
      </c>
      <c r="H88" t="s">
        <v>1725</v>
      </c>
      <c r="I88" t="s">
        <v>1792</v>
      </c>
      <c r="J88" t="s">
        <v>1734</v>
      </c>
      <c r="L88" s="13" t="s">
        <v>1996</v>
      </c>
      <c r="M88" t="s">
        <v>1718</v>
      </c>
      <c r="N88" t="s">
        <v>1735</v>
      </c>
      <c r="O88" s="13">
        <v>42829</v>
      </c>
      <c r="P88" t="s">
        <v>788</v>
      </c>
      <c r="R88" t="s">
        <v>1769</v>
      </c>
      <c r="S88" t="s">
        <v>201</v>
      </c>
      <c r="T88" t="s">
        <v>247</v>
      </c>
      <c r="U88" t="s">
        <v>1712</v>
      </c>
      <c r="V88" t="s">
        <v>1726</v>
      </c>
      <c r="X88" t="s">
        <v>121</v>
      </c>
      <c r="Y88" t="s">
        <v>1719</v>
      </c>
      <c r="Z88" t="s">
        <v>121</v>
      </c>
      <c r="AA88" t="s">
        <v>716</v>
      </c>
      <c r="AB88" t="s">
        <v>121</v>
      </c>
    </row>
    <row r="89" spans="3:28" x14ac:dyDescent="0.3">
      <c r="C89" s="11" t="str">
        <f t="shared" ca="1" si="0"/>
        <v>NM</v>
      </c>
      <c r="D89" s="11">
        <f t="shared" ca="1" si="1"/>
        <v>97856</v>
      </c>
      <c r="E89">
        <v>97856</v>
      </c>
      <c r="F89" t="s">
        <v>1715</v>
      </c>
      <c r="G89" t="s">
        <v>1835</v>
      </c>
      <c r="H89" t="s">
        <v>1725</v>
      </c>
      <c r="I89" t="s">
        <v>1792</v>
      </c>
      <c r="J89" t="s">
        <v>1734</v>
      </c>
      <c r="L89" s="13" t="s">
        <v>1996</v>
      </c>
      <c r="M89" t="s">
        <v>1718</v>
      </c>
      <c r="N89" t="s">
        <v>1735</v>
      </c>
      <c r="O89" s="13">
        <v>42829</v>
      </c>
      <c r="P89" t="s">
        <v>788</v>
      </c>
      <c r="R89" t="s">
        <v>1769</v>
      </c>
      <c r="S89" t="s">
        <v>201</v>
      </c>
      <c r="T89" t="s">
        <v>247</v>
      </c>
      <c r="U89" t="s">
        <v>1712</v>
      </c>
      <c r="V89" t="s">
        <v>1726</v>
      </c>
      <c r="X89" t="s">
        <v>121</v>
      </c>
      <c r="Y89" t="s">
        <v>1719</v>
      </c>
      <c r="Z89" t="s">
        <v>121</v>
      </c>
      <c r="AA89" t="s">
        <v>716</v>
      </c>
      <c r="AB89" t="s">
        <v>121</v>
      </c>
    </row>
    <row r="90" spans="3:28" x14ac:dyDescent="0.3">
      <c r="C90" s="11" t="str">
        <f t="shared" ca="1" si="0"/>
        <v>NM</v>
      </c>
      <c r="D90" s="11">
        <f t="shared" ca="1" si="1"/>
        <v>97857</v>
      </c>
      <c r="E90">
        <v>97857</v>
      </c>
      <c r="F90" t="s">
        <v>1715</v>
      </c>
      <c r="G90" t="s">
        <v>1836</v>
      </c>
      <c r="H90" t="s">
        <v>1725</v>
      </c>
      <c r="I90" t="s">
        <v>1792</v>
      </c>
      <c r="J90" t="s">
        <v>1734</v>
      </c>
      <c r="L90" s="27" t="s">
        <v>1994</v>
      </c>
      <c r="M90" t="s">
        <v>1718</v>
      </c>
      <c r="N90" t="s">
        <v>1735</v>
      </c>
      <c r="O90" s="13">
        <v>42829</v>
      </c>
      <c r="P90" t="s">
        <v>788</v>
      </c>
      <c r="R90" t="s">
        <v>1769</v>
      </c>
      <c r="S90" t="s">
        <v>201</v>
      </c>
      <c r="T90" t="s">
        <v>247</v>
      </c>
      <c r="U90" t="s">
        <v>1712</v>
      </c>
      <c r="V90" t="s">
        <v>1726</v>
      </c>
      <c r="X90" t="s">
        <v>121</v>
      </c>
      <c r="Y90" t="s">
        <v>1719</v>
      </c>
      <c r="Z90" t="s">
        <v>121</v>
      </c>
      <c r="AA90" t="s">
        <v>716</v>
      </c>
      <c r="AB90" t="s">
        <v>121</v>
      </c>
    </row>
    <row r="91" spans="3:28" x14ac:dyDescent="0.3">
      <c r="C91" s="11" t="str">
        <f t="shared" ca="1" si="0"/>
        <v>NM</v>
      </c>
      <c r="D91" s="11">
        <f t="shared" ca="1" si="1"/>
        <v>97858</v>
      </c>
      <c r="E91">
        <v>97858</v>
      </c>
      <c r="F91" t="s">
        <v>1715</v>
      </c>
      <c r="G91" t="s">
        <v>1837</v>
      </c>
      <c r="H91" t="s">
        <v>1725</v>
      </c>
      <c r="I91" t="s">
        <v>1792</v>
      </c>
      <c r="J91" t="s">
        <v>1734</v>
      </c>
      <c r="L91" s="13" t="s">
        <v>1994</v>
      </c>
      <c r="M91" t="s">
        <v>1718</v>
      </c>
      <c r="N91" t="s">
        <v>1735</v>
      </c>
      <c r="O91" s="13">
        <v>42829</v>
      </c>
      <c r="P91" t="s">
        <v>788</v>
      </c>
      <c r="R91" t="s">
        <v>1769</v>
      </c>
      <c r="S91" t="s">
        <v>201</v>
      </c>
      <c r="T91" t="s">
        <v>247</v>
      </c>
      <c r="U91" t="s">
        <v>1712</v>
      </c>
      <c r="V91" t="s">
        <v>1726</v>
      </c>
      <c r="X91" t="s">
        <v>121</v>
      </c>
      <c r="Y91" t="s">
        <v>1719</v>
      </c>
      <c r="Z91" t="s">
        <v>121</v>
      </c>
      <c r="AA91" t="s">
        <v>716</v>
      </c>
      <c r="AB91" t="s">
        <v>121</v>
      </c>
    </row>
    <row r="92" spans="3:28" x14ac:dyDescent="0.3">
      <c r="C92" s="11" t="str">
        <f t="shared" ca="1" si="0"/>
        <v>NM</v>
      </c>
      <c r="D92" s="11">
        <f t="shared" ca="1" si="1"/>
        <v>97859</v>
      </c>
      <c r="E92">
        <v>97859</v>
      </c>
      <c r="F92" t="s">
        <v>1715</v>
      </c>
      <c r="G92" t="s">
        <v>1838</v>
      </c>
      <c r="H92" t="s">
        <v>1725</v>
      </c>
      <c r="I92" t="s">
        <v>1792</v>
      </c>
      <c r="J92" t="s">
        <v>1734</v>
      </c>
      <c r="L92" s="13" t="s">
        <v>1994</v>
      </c>
      <c r="M92" t="s">
        <v>1718</v>
      </c>
      <c r="N92" t="s">
        <v>1735</v>
      </c>
      <c r="O92" s="13">
        <v>42829</v>
      </c>
      <c r="P92" t="s">
        <v>788</v>
      </c>
      <c r="R92" t="s">
        <v>1769</v>
      </c>
      <c r="S92" t="s">
        <v>201</v>
      </c>
      <c r="T92" t="s">
        <v>247</v>
      </c>
      <c r="U92" t="s">
        <v>1712</v>
      </c>
      <c r="V92" t="s">
        <v>1726</v>
      </c>
      <c r="X92" t="s">
        <v>121</v>
      </c>
      <c r="Y92" t="s">
        <v>1719</v>
      </c>
      <c r="Z92" t="s">
        <v>121</v>
      </c>
      <c r="AA92" t="s">
        <v>716</v>
      </c>
      <c r="AB92" t="s">
        <v>121</v>
      </c>
    </row>
    <row r="93" spans="3:28" x14ac:dyDescent="0.3">
      <c r="C93" s="11" t="str">
        <f t="shared" ca="1" si="0"/>
        <v>NM</v>
      </c>
      <c r="D93" s="11">
        <f t="shared" ca="1" si="1"/>
        <v>97860</v>
      </c>
      <c r="E93">
        <v>97860</v>
      </c>
      <c r="F93" t="s">
        <v>1715</v>
      </c>
      <c r="G93" t="s">
        <v>1839</v>
      </c>
      <c r="H93" t="s">
        <v>1725</v>
      </c>
      <c r="I93" t="s">
        <v>1792</v>
      </c>
      <c r="J93" t="s">
        <v>1734</v>
      </c>
      <c r="L93" s="13" t="s">
        <v>1996</v>
      </c>
      <c r="M93" t="s">
        <v>1718</v>
      </c>
      <c r="N93" t="s">
        <v>1735</v>
      </c>
      <c r="O93" s="13">
        <v>42829</v>
      </c>
      <c r="P93" t="s">
        <v>788</v>
      </c>
      <c r="R93" t="s">
        <v>1769</v>
      </c>
      <c r="S93" t="s">
        <v>201</v>
      </c>
      <c r="T93" t="s">
        <v>247</v>
      </c>
      <c r="U93" t="s">
        <v>1712</v>
      </c>
      <c r="V93" t="s">
        <v>1726</v>
      </c>
      <c r="X93" t="s">
        <v>121</v>
      </c>
      <c r="Y93" t="s">
        <v>1719</v>
      </c>
      <c r="Z93" t="s">
        <v>121</v>
      </c>
      <c r="AA93" t="s">
        <v>716</v>
      </c>
      <c r="AB93" t="s">
        <v>121</v>
      </c>
    </row>
    <row r="94" spans="3:28" x14ac:dyDescent="0.3">
      <c r="C94" s="11" t="str">
        <f t="shared" ca="1" si="0"/>
        <v>NM</v>
      </c>
      <c r="D94" s="11">
        <f t="shared" ca="1" si="1"/>
        <v>97862</v>
      </c>
      <c r="E94">
        <v>97862</v>
      </c>
      <c r="F94" t="s">
        <v>1715</v>
      </c>
      <c r="G94" t="s">
        <v>1840</v>
      </c>
      <c r="H94" t="s">
        <v>1725</v>
      </c>
      <c r="I94" t="s">
        <v>1792</v>
      </c>
      <c r="J94" t="s">
        <v>1734</v>
      </c>
      <c r="L94" s="13" t="s">
        <v>1994</v>
      </c>
      <c r="M94" t="s">
        <v>1718</v>
      </c>
      <c r="N94" t="s">
        <v>1735</v>
      </c>
      <c r="O94" s="13">
        <v>42829</v>
      </c>
      <c r="P94" t="s">
        <v>788</v>
      </c>
      <c r="R94" t="s">
        <v>1769</v>
      </c>
      <c r="S94" t="s">
        <v>201</v>
      </c>
      <c r="T94" t="s">
        <v>247</v>
      </c>
      <c r="U94" t="s">
        <v>1712</v>
      </c>
      <c r="V94" t="s">
        <v>1726</v>
      </c>
      <c r="X94" t="s">
        <v>121</v>
      </c>
      <c r="Y94" t="s">
        <v>1719</v>
      </c>
      <c r="Z94" t="s">
        <v>121</v>
      </c>
      <c r="AA94" t="s">
        <v>716</v>
      </c>
      <c r="AB94" t="s">
        <v>121</v>
      </c>
    </row>
    <row r="95" spans="3:28" x14ac:dyDescent="0.3">
      <c r="C95" s="11">
        <f t="shared" ca="1" si="0"/>
        <v>95223</v>
      </c>
      <c r="D95" s="11">
        <f t="shared" ca="1" si="1"/>
        <v>97931</v>
      </c>
      <c r="E95">
        <v>97931</v>
      </c>
      <c r="F95" t="s">
        <v>1756</v>
      </c>
      <c r="G95" t="s">
        <v>1841</v>
      </c>
      <c r="H95" t="s">
        <v>1725</v>
      </c>
      <c r="I95" t="s">
        <v>1824</v>
      </c>
      <c r="J95" t="s">
        <v>1723</v>
      </c>
      <c r="L95" s="13">
        <v>42830</v>
      </c>
      <c r="M95" t="s">
        <v>1718</v>
      </c>
      <c r="N95" t="s">
        <v>1787</v>
      </c>
      <c r="O95" s="13">
        <v>42830</v>
      </c>
      <c r="P95" t="s">
        <v>122</v>
      </c>
      <c r="S95" t="s">
        <v>200</v>
      </c>
      <c r="T95" t="s">
        <v>247</v>
      </c>
      <c r="U95" t="s">
        <v>1712</v>
      </c>
      <c r="V95" t="s">
        <v>1745</v>
      </c>
      <c r="X95" t="s">
        <v>121</v>
      </c>
      <c r="Y95" t="s">
        <v>1719</v>
      </c>
      <c r="Z95" t="s">
        <v>121</v>
      </c>
      <c r="AA95" t="s">
        <v>715</v>
      </c>
      <c r="AB95" t="s">
        <v>121</v>
      </c>
    </row>
    <row r="96" spans="3:28" x14ac:dyDescent="0.3">
      <c r="C96" s="11">
        <f t="shared" ca="1" si="0"/>
        <v>96142</v>
      </c>
      <c r="D96" s="11">
        <f t="shared" ca="1" si="1"/>
        <v>97932</v>
      </c>
      <c r="E96">
        <v>97932</v>
      </c>
      <c r="F96" t="s">
        <v>1754</v>
      </c>
      <c r="G96" t="s">
        <v>1842</v>
      </c>
      <c r="H96" t="s">
        <v>1705</v>
      </c>
      <c r="I96" t="s">
        <v>1824</v>
      </c>
      <c r="J96" t="s">
        <v>1723</v>
      </c>
      <c r="L96" s="13">
        <v>42839</v>
      </c>
      <c r="M96" t="s">
        <v>1718</v>
      </c>
      <c r="N96" t="s">
        <v>1786</v>
      </c>
      <c r="O96" s="13">
        <v>42830</v>
      </c>
      <c r="P96" t="s">
        <v>125</v>
      </c>
      <c r="S96" t="s">
        <v>201</v>
      </c>
      <c r="T96" t="s">
        <v>247</v>
      </c>
      <c r="U96" t="s">
        <v>1712</v>
      </c>
      <c r="V96" t="s">
        <v>1751</v>
      </c>
      <c r="X96" t="s">
        <v>121</v>
      </c>
      <c r="Y96" t="s">
        <v>1719</v>
      </c>
      <c r="Z96" t="s">
        <v>121</v>
      </c>
      <c r="AA96" t="s">
        <v>715</v>
      </c>
      <c r="AB96" t="s">
        <v>121</v>
      </c>
    </row>
    <row r="97" spans="1:28" x14ac:dyDescent="0.3">
      <c r="C97" s="11">
        <f t="shared" ca="1" si="0"/>
        <v>66492</v>
      </c>
      <c r="D97" s="11">
        <f t="shared" ca="1" si="1"/>
        <v>97933</v>
      </c>
      <c r="E97">
        <v>97933</v>
      </c>
      <c r="F97" t="s">
        <v>1749</v>
      </c>
      <c r="G97" t="s">
        <v>1843</v>
      </c>
      <c r="H97" t="s">
        <v>1716</v>
      </c>
      <c r="I97" t="s">
        <v>1824</v>
      </c>
      <c r="J97" t="s">
        <v>1723</v>
      </c>
      <c r="L97" s="13">
        <v>42831</v>
      </c>
      <c r="M97" t="s">
        <v>1718</v>
      </c>
      <c r="N97" t="s">
        <v>1768</v>
      </c>
      <c r="O97" s="13">
        <v>42830</v>
      </c>
      <c r="P97" t="s">
        <v>1329</v>
      </c>
      <c r="S97" t="s">
        <v>201</v>
      </c>
      <c r="T97" t="s">
        <v>247</v>
      </c>
      <c r="U97" t="s">
        <v>1712</v>
      </c>
      <c r="V97" t="s">
        <v>1726</v>
      </c>
      <c r="X97" t="s">
        <v>121</v>
      </c>
      <c r="Y97" t="s">
        <v>1719</v>
      </c>
      <c r="Z97" t="s">
        <v>121</v>
      </c>
      <c r="AA97" t="s">
        <v>717</v>
      </c>
      <c r="AB97" t="s">
        <v>121</v>
      </c>
    </row>
    <row r="98" spans="1:28" x14ac:dyDescent="0.3">
      <c r="C98" s="11">
        <f t="shared" ca="1" si="0"/>
        <v>91086</v>
      </c>
      <c r="D98" s="11">
        <f t="shared" ca="1" si="1"/>
        <v>97936</v>
      </c>
      <c r="E98">
        <v>97936</v>
      </c>
      <c r="F98" t="s">
        <v>1715</v>
      </c>
      <c r="G98" t="s">
        <v>1844</v>
      </c>
      <c r="H98" t="s">
        <v>1725</v>
      </c>
      <c r="I98" t="s">
        <v>1824</v>
      </c>
      <c r="J98" t="s">
        <v>1723</v>
      </c>
      <c r="L98" s="13">
        <v>42830</v>
      </c>
      <c r="M98" t="s">
        <v>1718</v>
      </c>
      <c r="N98" t="s">
        <v>1772</v>
      </c>
      <c r="O98" s="13">
        <v>42830</v>
      </c>
      <c r="P98" t="s">
        <v>125</v>
      </c>
      <c r="S98" t="s">
        <v>201</v>
      </c>
      <c r="T98" t="s">
        <v>247</v>
      </c>
      <c r="U98" t="s">
        <v>1712</v>
      </c>
      <c r="V98" t="s">
        <v>1726</v>
      </c>
      <c r="X98" t="s">
        <v>121</v>
      </c>
      <c r="Y98" t="s">
        <v>1719</v>
      </c>
      <c r="Z98" t="s">
        <v>121</v>
      </c>
      <c r="AA98" t="s">
        <v>716</v>
      </c>
      <c r="AB98" t="s">
        <v>121</v>
      </c>
    </row>
    <row r="99" spans="1:28" x14ac:dyDescent="0.3">
      <c r="C99" s="11">
        <f t="shared" ca="1" si="0"/>
        <v>97266</v>
      </c>
      <c r="D99" s="11">
        <f t="shared" ca="1" si="1"/>
        <v>97937</v>
      </c>
      <c r="E99">
        <v>97937</v>
      </c>
      <c r="F99" t="s">
        <v>1795</v>
      </c>
      <c r="G99" t="s">
        <v>1845</v>
      </c>
      <c r="H99" t="s">
        <v>1725</v>
      </c>
      <c r="I99" t="s">
        <v>1824</v>
      </c>
      <c r="J99" t="s">
        <v>1723</v>
      </c>
      <c r="L99" s="13" t="s">
        <v>1997</v>
      </c>
      <c r="M99" t="s">
        <v>1718</v>
      </c>
      <c r="N99" t="s">
        <v>1772</v>
      </c>
      <c r="O99" s="13">
        <v>42830</v>
      </c>
      <c r="P99" t="s">
        <v>125</v>
      </c>
      <c r="R99" t="s">
        <v>1790</v>
      </c>
      <c r="S99" t="s">
        <v>200</v>
      </c>
      <c r="T99" t="s">
        <v>247</v>
      </c>
      <c r="U99" t="s">
        <v>1712</v>
      </c>
      <c r="V99" t="s">
        <v>1726</v>
      </c>
      <c r="X99" t="s">
        <v>121</v>
      </c>
      <c r="Y99" t="s">
        <v>1783</v>
      </c>
      <c r="Z99" t="s">
        <v>121</v>
      </c>
      <c r="AA99" t="s">
        <v>715</v>
      </c>
      <c r="AB99" t="s">
        <v>121</v>
      </c>
    </row>
    <row r="100" spans="1:28" x14ac:dyDescent="0.3">
      <c r="A100" s="11" t="s">
        <v>314</v>
      </c>
      <c r="C100" s="11">
        <f t="shared" ca="1" si="0"/>
        <v>79273</v>
      </c>
      <c r="D100" s="11">
        <f t="shared" ca="1" si="1"/>
        <v>97939</v>
      </c>
      <c r="E100">
        <v>97939</v>
      </c>
      <c r="F100" t="s">
        <v>1723</v>
      </c>
      <c r="G100" t="s">
        <v>1846</v>
      </c>
      <c r="H100" t="s">
        <v>1725</v>
      </c>
      <c r="I100" t="s">
        <v>1824</v>
      </c>
      <c r="J100" t="s">
        <v>1723</v>
      </c>
      <c r="L100" s="13">
        <v>42831</v>
      </c>
      <c r="M100" t="s">
        <v>1718</v>
      </c>
      <c r="N100" t="s">
        <v>1709</v>
      </c>
      <c r="O100" s="13">
        <v>42830</v>
      </c>
      <c r="P100" t="s">
        <v>792</v>
      </c>
      <c r="S100" t="s">
        <v>201</v>
      </c>
      <c r="T100" t="s">
        <v>247</v>
      </c>
      <c r="U100" t="s">
        <v>1712</v>
      </c>
      <c r="V100" t="s">
        <v>1726</v>
      </c>
      <c r="X100" t="s">
        <v>121</v>
      </c>
      <c r="Y100" t="s">
        <v>1719</v>
      </c>
      <c r="Z100" t="s">
        <v>121</v>
      </c>
      <c r="AA100" t="s">
        <v>716</v>
      </c>
      <c r="AB100" t="s">
        <v>121</v>
      </c>
    </row>
    <row r="101" spans="1:28" x14ac:dyDescent="0.3">
      <c r="C101" s="11">
        <f t="shared" ref="C101:C164" ca="1" si="2">HYPERLINK(CONCATENATE($A$501,"/bugzilla/show_bug.cgi?id=",IFERROR(VALUE(MID(INDIRECT("g"&amp;ROW()),9,5)),INDIRECT("e"&amp;ROW()))),IFERROR(VALUE(MID(INDIRECT("g"&amp;ROW()),9,5)),"NM"))</f>
        <v>72568</v>
      </c>
      <c r="D101" s="11">
        <f t="shared" ref="D101:D164" ca="1" si="3">HYPERLINK(CONCATENATE("https://bugzilla.houston.hpecorp.net:1181/bugzilla/show_bug.cgi?id=",INDIRECT("e"&amp;ROW())),INDIRECT("e"&amp;ROW()))</f>
        <v>97940</v>
      </c>
      <c r="E101">
        <v>97940</v>
      </c>
      <c r="F101" t="s">
        <v>1762</v>
      </c>
      <c r="G101" t="s">
        <v>1847</v>
      </c>
      <c r="H101" t="s">
        <v>1725</v>
      </c>
      <c r="I101" t="s">
        <v>1824</v>
      </c>
      <c r="J101" t="s">
        <v>1723</v>
      </c>
      <c r="L101" s="13">
        <v>42831</v>
      </c>
      <c r="M101" t="s">
        <v>1718</v>
      </c>
      <c r="N101" t="s">
        <v>1764</v>
      </c>
      <c r="O101" s="13">
        <v>42830</v>
      </c>
      <c r="P101" t="s">
        <v>792</v>
      </c>
      <c r="S101" t="s">
        <v>201</v>
      </c>
      <c r="T101" t="s">
        <v>247</v>
      </c>
      <c r="U101" t="s">
        <v>1712</v>
      </c>
      <c r="V101" t="s">
        <v>1726</v>
      </c>
      <c r="X101" t="s">
        <v>121</v>
      </c>
      <c r="Y101" t="s">
        <v>1719</v>
      </c>
      <c r="Z101" t="s">
        <v>121</v>
      </c>
      <c r="AA101" t="s">
        <v>716</v>
      </c>
      <c r="AB101" t="s">
        <v>121</v>
      </c>
    </row>
    <row r="102" spans="1:28" x14ac:dyDescent="0.3">
      <c r="C102" s="11">
        <f t="shared" ca="1" si="2"/>
        <v>75368</v>
      </c>
      <c r="D102" s="11">
        <f t="shared" ca="1" si="3"/>
        <v>97942</v>
      </c>
      <c r="E102">
        <v>97942</v>
      </c>
      <c r="F102" t="s">
        <v>1742</v>
      </c>
      <c r="G102" t="s">
        <v>1848</v>
      </c>
      <c r="H102" t="s">
        <v>1716</v>
      </c>
      <c r="I102" t="s">
        <v>1824</v>
      </c>
      <c r="J102" t="s">
        <v>1723</v>
      </c>
      <c r="L102" s="13" t="s">
        <v>1998</v>
      </c>
      <c r="M102" t="s">
        <v>1718</v>
      </c>
      <c r="N102" t="s">
        <v>1768</v>
      </c>
      <c r="O102" s="13">
        <v>42830</v>
      </c>
      <c r="P102" t="s">
        <v>246</v>
      </c>
      <c r="S102" t="s">
        <v>200</v>
      </c>
      <c r="T102" t="s">
        <v>247</v>
      </c>
      <c r="U102" t="s">
        <v>1712</v>
      </c>
      <c r="V102" t="s">
        <v>1726</v>
      </c>
      <c r="X102" t="s">
        <v>121</v>
      </c>
      <c r="Y102" t="s">
        <v>1719</v>
      </c>
      <c r="Z102" t="s">
        <v>121</v>
      </c>
      <c r="AA102" t="s">
        <v>716</v>
      </c>
      <c r="AB102" t="s">
        <v>121</v>
      </c>
    </row>
    <row r="103" spans="1:28" x14ac:dyDescent="0.3">
      <c r="C103" s="11">
        <f t="shared" ca="1" si="2"/>
        <v>95394</v>
      </c>
      <c r="D103" s="11">
        <f t="shared" ca="1" si="3"/>
        <v>97944</v>
      </c>
      <c r="E103">
        <v>97944</v>
      </c>
      <c r="F103" t="s">
        <v>1723</v>
      </c>
      <c r="G103" t="s">
        <v>1849</v>
      </c>
      <c r="H103" t="s">
        <v>1705</v>
      </c>
      <c r="I103" t="s">
        <v>1824</v>
      </c>
      <c r="J103" t="s">
        <v>1723</v>
      </c>
      <c r="L103" s="13" t="s">
        <v>1999</v>
      </c>
      <c r="M103" t="s">
        <v>1718</v>
      </c>
      <c r="N103" t="s">
        <v>1764</v>
      </c>
      <c r="O103" s="13">
        <v>42830</v>
      </c>
      <c r="P103" t="s">
        <v>125</v>
      </c>
      <c r="R103" t="s">
        <v>1790</v>
      </c>
      <c r="S103" t="s">
        <v>199</v>
      </c>
      <c r="T103" t="s">
        <v>247</v>
      </c>
      <c r="U103" t="s">
        <v>1712</v>
      </c>
      <c r="V103" t="s">
        <v>1726</v>
      </c>
      <c r="X103" t="s">
        <v>121</v>
      </c>
      <c r="Y103" t="s">
        <v>1753</v>
      </c>
      <c r="Z103" t="s">
        <v>121</v>
      </c>
      <c r="AA103" t="s">
        <v>715</v>
      </c>
      <c r="AB103" t="s">
        <v>121</v>
      </c>
    </row>
    <row r="104" spans="1:28" x14ac:dyDescent="0.3">
      <c r="C104" s="11">
        <f t="shared" ca="1" si="2"/>
        <v>87210</v>
      </c>
      <c r="D104" s="11">
        <f t="shared" ca="1" si="3"/>
        <v>97945</v>
      </c>
      <c r="E104">
        <v>97945</v>
      </c>
      <c r="F104" t="s">
        <v>1749</v>
      </c>
      <c r="G104" t="s">
        <v>1850</v>
      </c>
      <c r="H104" t="s">
        <v>1725</v>
      </c>
      <c r="I104" t="s">
        <v>1824</v>
      </c>
      <c r="J104" t="s">
        <v>1723</v>
      </c>
      <c r="L104" s="13" t="s">
        <v>2000</v>
      </c>
      <c r="M104" t="s">
        <v>1718</v>
      </c>
      <c r="N104" t="s">
        <v>1764</v>
      </c>
      <c r="O104" s="13">
        <v>42830</v>
      </c>
      <c r="P104" t="s">
        <v>125</v>
      </c>
      <c r="R104" t="s">
        <v>1790</v>
      </c>
      <c r="S104" t="s">
        <v>199</v>
      </c>
      <c r="T104" t="s">
        <v>247</v>
      </c>
      <c r="U104" t="s">
        <v>1712</v>
      </c>
      <c r="V104" t="s">
        <v>1726</v>
      </c>
      <c r="X104" t="s">
        <v>121</v>
      </c>
      <c r="Y104" t="s">
        <v>1719</v>
      </c>
      <c r="Z104" t="s">
        <v>121</v>
      </c>
      <c r="AA104" t="s">
        <v>715</v>
      </c>
      <c r="AB104" t="s">
        <v>121</v>
      </c>
    </row>
    <row r="105" spans="1:28" x14ac:dyDescent="0.3">
      <c r="C105" s="11">
        <f t="shared" ca="1" si="2"/>
        <v>79021</v>
      </c>
      <c r="D105" s="11">
        <f t="shared" ca="1" si="3"/>
        <v>97946</v>
      </c>
      <c r="E105">
        <v>97946</v>
      </c>
      <c r="F105" t="s">
        <v>1715</v>
      </c>
      <c r="G105" t="s">
        <v>1851</v>
      </c>
      <c r="H105" t="s">
        <v>1716</v>
      </c>
      <c r="I105" t="s">
        <v>1824</v>
      </c>
      <c r="J105" t="s">
        <v>1723</v>
      </c>
      <c r="L105" s="13">
        <v>42830</v>
      </c>
      <c r="M105" t="s">
        <v>1718</v>
      </c>
      <c r="N105" t="s">
        <v>1852</v>
      </c>
      <c r="O105" s="13">
        <v>42830</v>
      </c>
      <c r="P105" t="s">
        <v>125</v>
      </c>
      <c r="S105" t="s">
        <v>200</v>
      </c>
      <c r="T105" t="s">
        <v>247</v>
      </c>
      <c r="U105" t="s">
        <v>1712</v>
      </c>
      <c r="V105" t="s">
        <v>1726</v>
      </c>
      <c r="X105" t="s">
        <v>121</v>
      </c>
      <c r="Y105" t="s">
        <v>1719</v>
      </c>
      <c r="Z105" t="s">
        <v>121</v>
      </c>
      <c r="AA105" t="s">
        <v>716</v>
      </c>
      <c r="AB105" t="s">
        <v>121</v>
      </c>
    </row>
    <row r="106" spans="1:28" x14ac:dyDescent="0.3">
      <c r="C106" s="11">
        <f t="shared" ca="1" si="2"/>
        <v>93553</v>
      </c>
      <c r="D106" s="11">
        <f t="shared" ca="1" si="3"/>
        <v>97947</v>
      </c>
      <c r="E106">
        <v>97947</v>
      </c>
      <c r="F106" t="s">
        <v>1979</v>
      </c>
      <c r="G106" t="s">
        <v>1853</v>
      </c>
      <c r="H106" t="s">
        <v>1705</v>
      </c>
      <c r="I106" t="s">
        <v>1824</v>
      </c>
      <c r="J106" t="s">
        <v>1723</v>
      </c>
      <c r="L106" s="13">
        <v>42850</v>
      </c>
      <c r="M106" t="s">
        <v>1718</v>
      </c>
      <c r="N106" t="s">
        <v>1768</v>
      </c>
      <c r="O106" s="13">
        <v>42830</v>
      </c>
      <c r="P106" t="s">
        <v>125</v>
      </c>
      <c r="S106" t="s">
        <v>201</v>
      </c>
      <c r="T106" t="s">
        <v>247</v>
      </c>
      <c r="U106" t="s">
        <v>1712</v>
      </c>
      <c r="V106" t="s">
        <v>1726</v>
      </c>
      <c r="X106" t="s">
        <v>121</v>
      </c>
      <c r="Y106" t="s">
        <v>1719</v>
      </c>
      <c r="Z106" t="s">
        <v>121</v>
      </c>
      <c r="AA106" t="s">
        <v>715</v>
      </c>
      <c r="AB106" t="s">
        <v>121</v>
      </c>
    </row>
    <row r="107" spans="1:28" x14ac:dyDescent="0.3">
      <c r="C107" s="11">
        <f t="shared" ca="1" si="2"/>
        <v>97953</v>
      </c>
      <c r="D107" s="11">
        <f t="shared" ca="1" si="3"/>
        <v>97954</v>
      </c>
      <c r="E107">
        <v>97954</v>
      </c>
      <c r="F107" t="s">
        <v>1741</v>
      </c>
      <c r="G107" t="s">
        <v>1854</v>
      </c>
      <c r="H107" t="s">
        <v>1725</v>
      </c>
      <c r="I107" t="s">
        <v>1792</v>
      </c>
      <c r="J107" t="s">
        <v>1756</v>
      </c>
      <c r="L107" s="13">
        <v>42837</v>
      </c>
      <c r="M107" t="s">
        <v>1718</v>
      </c>
      <c r="N107" t="s">
        <v>1721</v>
      </c>
      <c r="O107" s="13">
        <v>42830</v>
      </c>
      <c r="P107" t="s">
        <v>1773</v>
      </c>
      <c r="S107" t="s">
        <v>201</v>
      </c>
      <c r="T107" t="s">
        <v>247</v>
      </c>
      <c r="U107" t="s">
        <v>1712</v>
      </c>
      <c r="V107" t="s">
        <v>1747</v>
      </c>
      <c r="X107" t="s">
        <v>121</v>
      </c>
      <c r="Y107" t="s">
        <v>1719</v>
      </c>
      <c r="Z107" t="s">
        <v>121</v>
      </c>
      <c r="AA107" t="s">
        <v>716</v>
      </c>
      <c r="AB107" t="s">
        <v>121</v>
      </c>
    </row>
    <row r="108" spans="1:28" x14ac:dyDescent="0.3">
      <c r="C108" s="11">
        <f t="shared" ca="1" si="2"/>
        <v>87060</v>
      </c>
      <c r="D108" s="11">
        <f t="shared" ca="1" si="3"/>
        <v>98046</v>
      </c>
      <c r="E108">
        <v>98046</v>
      </c>
      <c r="F108" t="s">
        <v>1723</v>
      </c>
      <c r="G108" t="s">
        <v>1856</v>
      </c>
      <c r="H108" t="s">
        <v>1725</v>
      </c>
      <c r="I108" t="s">
        <v>1824</v>
      </c>
      <c r="J108" t="s">
        <v>1723</v>
      </c>
      <c r="L108" s="13">
        <v>42832</v>
      </c>
      <c r="M108" t="s">
        <v>1708</v>
      </c>
      <c r="N108" t="s">
        <v>1764</v>
      </c>
      <c r="O108" s="13">
        <v>42832</v>
      </c>
      <c r="P108" t="s">
        <v>125</v>
      </c>
      <c r="S108" t="s">
        <v>201</v>
      </c>
      <c r="T108" t="s">
        <v>247</v>
      </c>
      <c r="U108" t="s">
        <v>1712</v>
      </c>
      <c r="V108" t="s">
        <v>1726</v>
      </c>
      <c r="X108" t="s">
        <v>121</v>
      </c>
      <c r="Y108" t="s">
        <v>1719</v>
      </c>
      <c r="Z108" t="s">
        <v>121</v>
      </c>
      <c r="AA108" t="s">
        <v>716</v>
      </c>
      <c r="AB108" t="s">
        <v>121</v>
      </c>
    </row>
    <row r="109" spans="1:28" x14ac:dyDescent="0.3">
      <c r="C109" s="11">
        <f t="shared" ca="1" si="2"/>
        <v>98054</v>
      </c>
      <c r="D109" s="11">
        <f t="shared" ca="1" si="3"/>
        <v>98055</v>
      </c>
      <c r="E109">
        <v>98055</v>
      </c>
      <c r="F109" t="s">
        <v>1797</v>
      </c>
      <c r="G109" t="s">
        <v>1857</v>
      </c>
      <c r="H109" t="s">
        <v>1716</v>
      </c>
      <c r="I109" t="s">
        <v>1792</v>
      </c>
      <c r="J109" t="s">
        <v>1756</v>
      </c>
      <c r="L109" s="13">
        <v>42832</v>
      </c>
      <c r="M109" t="s">
        <v>1718</v>
      </c>
      <c r="N109" t="s">
        <v>1735</v>
      </c>
      <c r="O109" s="13">
        <v>42832</v>
      </c>
      <c r="P109" t="s">
        <v>1727</v>
      </c>
      <c r="R109" t="s">
        <v>1802</v>
      </c>
      <c r="S109" t="s">
        <v>200</v>
      </c>
      <c r="T109" t="s">
        <v>247</v>
      </c>
      <c r="U109" t="s">
        <v>1712</v>
      </c>
      <c r="V109" t="s">
        <v>1722</v>
      </c>
      <c r="X109" t="s">
        <v>121</v>
      </c>
      <c r="Y109" t="s">
        <v>1719</v>
      </c>
      <c r="Z109" t="s">
        <v>121</v>
      </c>
      <c r="AA109" t="s">
        <v>716</v>
      </c>
      <c r="AB109" t="s">
        <v>121</v>
      </c>
    </row>
    <row r="110" spans="1:28" x14ac:dyDescent="0.3">
      <c r="C110" s="11">
        <f t="shared" ca="1" si="2"/>
        <v>98466</v>
      </c>
      <c r="D110" s="11">
        <f t="shared" ca="1" si="3"/>
        <v>98118</v>
      </c>
      <c r="E110">
        <v>98118</v>
      </c>
      <c r="F110" t="s">
        <v>1797</v>
      </c>
      <c r="G110" t="s">
        <v>2001</v>
      </c>
      <c r="H110" t="s">
        <v>1939</v>
      </c>
      <c r="I110" t="s">
        <v>1706</v>
      </c>
      <c r="J110" t="s">
        <v>1940</v>
      </c>
      <c r="L110" s="27">
        <v>0.38072916666666662</v>
      </c>
      <c r="M110" t="s">
        <v>1732</v>
      </c>
      <c r="N110" t="s">
        <v>1735</v>
      </c>
      <c r="O110" s="13">
        <v>42835</v>
      </c>
      <c r="P110" t="s">
        <v>1727</v>
      </c>
      <c r="R110" t="s">
        <v>1802</v>
      </c>
      <c r="S110" t="s">
        <v>201</v>
      </c>
      <c r="T110" t="s">
        <v>247</v>
      </c>
      <c r="U110" t="s">
        <v>1712</v>
      </c>
      <c r="V110" t="s">
        <v>1722</v>
      </c>
      <c r="X110" t="s">
        <v>121</v>
      </c>
      <c r="Y110" t="s">
        <v>1714</v>
      </c>
      <c r="Z110" t="s">
        <v>121</v>
      </c>
      <c r="AA110" t="s">
        <v>715</v>
      </c>
      <c r="AB110" t="s">
        <v>1969</v>
      </c>
    </row>
    <row r="111" spans="1:28" x14ac:dyDescent="0.3">
      <c r="C111" s="11" t="str">
        <f t="shared" ca="1" si="2"/>
        <v>NM</v>
      </c>
      <c r="D111" s="11">
        <f t="shared" ca="1" si="3"/>
        <v>98149</v>
      </c>
      <c r="E111">
        <v>98149</v>
      </c>
      <c r="F111" t="s">
        <v>1754</v>
      </c>
      <c r="G111" t="s">
        <v>1941</v>
      </c>
      <c r="H111" t="s">
        <v>1725</v>
      </c>
      <c r="I111" t="s">
        <v>251</v>
      </c>
      <c r="J111" t="s">
        <v>1942</v>
      </c>
      <c r="K111" t="s">
        <v>1789</v>
      </c>
      <c r="L111" s="13">
        <v>42845</v>
      </c>
      <c r="M111" t="s">
        <v>1718</v>
      </c>
      <c r="N111" t="s">
        <v>1943</v>
      </c>
      <c r="O111" s="13">
        <v>42836</v>
      </c>
      <c r="P111" t="s">
        <v>125</v>
      </c>
      <c r="R111" t="s">
        <v>1790</v>
      </c>
      <c r="S111" t="s">
        <v>200</v>
      </c>
      <c r="T111" t="s">
        <v>247</v>
      </c>
      <c r="U111" t="s">
        <v>1712</v>
      </c>
      <c r="V111" t="s">
        <v>1726</v>
      </c>
      <c r="X111" t="s">
        <v>121</v>
      </c>
      <c r="Y111" t="s">
        <v>1783</v>
      </c>
      <c r="Z111" t="s">
        <v>121</v>
      </c>
      <c r="AA111" t="s">
        <v>715</v>
      </c>
      <c r="AB111" t="s">
        <v>121</v>
      </c>
    </row>
    <row r="112" spans="1:28" x14ac:dyDescent="0.3">
      <c r="C112" s="11" t="str">
        <f t="shared" ca="1" si="2"/>
        <v>NM</v>
      </c>
      <c r="D112" s="11">
        <f t="shared" ca="1" si="3"/>
        <v>98162</v>
      </c>
      <c r="E112">
        <v>98162</v>
      </c>
      <c r="F112" t="s">
        <v>1762</v>
      </c>
      <c r="G112" t="s">
        <v>1944</v>
      </c>
      <c r="H112" t="s">
        <v>1725</v>
      </c>
      <c r="I112" t="s">
        <v>1717</v>
      </c>
      <c r="J112" t="s">
        <v>1945</v>
      </c>
      <c r="K112" t="s">
        <v>1789</v>
      </c>
      <c r="L112" s="13">
        <v>42842</v>
      </c>
      <c r="M112" t="s">
        <v>1718</v>
      </c>
      <c r="N112" t="s">
        <v>1709</v>
      </c>
      <c r="O112" s="13">
        <v>42836</v>
      </c>
      <c r="P112" t="s">
        <v>125</v>
      </c>
      <c r="R112" t="s">
        <v>1790</v>
      </c>
      <c r="S112" t="s">
        <v>201</v>
      </c>
      <c r="T112" t="s">
        <v>247</v>
      </c>
      <c r="U112" t="s">
        <v>1712</v>
      </c>
      <c r="V112" t="s">
        <v>1726</v>
      </c>
      <c r="X112" t="s">
        <v>121</v>
      </c>
      <c r="Y112" t="s">
        <v>1719</v>
      </c>
      <c r="Z112" t="s">
        <v>121</v>
      </c>
      <c r="AA112" t="s">
        <v>716</v>
      </c>
      <c r="AB112" t="s">
        <v>121</v>
      </c>
    </row>
    <row r="113" spans="3:28" x14ac:dyDescent="0.3">
      <c r="C113" s="11" t="str">
        <f t="shared" ca="1" si="2"/>
        <v>NM</v>
      </c>
      <c r="D113" s="11">
        <f t="shared" ca="1" si="3"/>
        <v>98239</v>
      </c>
      <c r="E113">
        <v>98239</v>
      </c>
      <c r="F113" t="s">
        <v>1755</v>
      </c>
      <c r="G113" t="s">
        <v>1946</v>
      </c>
      <c r="H113" t="s">
        <v>1725</v>
      </c>
      <c r="I113" t="s">
        <v>1792</v>
      </c>
      <c r="J113" t="s">
        <v>1774</v>
      </c>
      <c r="L113" s="13">
        <v>42838</v>
      </c>
      <c r="M113" t="s">
        <v>1718</v>
      </c>
      <c r="N113" t="s">
        <v>1793</v>
      </c>
      <c r="O113" s="13">
        <v>42838</v>
      </c>
      <c r="P113" t="s">
        <v>122</v>
      </c>
      <c r="S113" t="s">
        <v>201</v>
      </c>
      <c r="T113" t="s">
        <v>247</v>
      </c>
      <c r="U113" t="s">
        <v>1712</v>
      </c>
      <c r="V113" t="s">
        <v>1722</v>
      </c>
      <c r="X113" t="s">
        <v>121</v>
      </c>
      <c r="Y113" t="s">
        <v>1719</v>
      </c>
      <c r="Z113" t="s">
        <v>121</v>
      </c>
      <c r="AA113" t="s">
        <v>716</v>
      </c>
      <c r="AB113" t="s">
        <v>121</v>
      </c>
    </row>
    <row r="114" spans="3:28" x14ac:dyDescent="0.3">
      <c r="C114" s="11" t="str">
        <f t="shared" ca="1" si="2"/>
        <v>NM</v>
      </c>
      <c r="D114" s="11">
        <f t="shared" ca="1" si="3"/>
        <v>98240</v>
      </c>
      <c r="E114">
        <v>98240</v>
      </c>
      <c r="F114" t="s">
        <v>1752</v>
      </c>
      <c r="G114" t="s">
        <v>1946</v>
      </c>
      <c r="H114" t="s">
        <v>1725</v>
      </c>
      <c r="I114" t="s">
        <v>1792</v>
      </c>
      <c r="J114" t="s">
        <v>1774</v>
      </c>
      <c r="L114" s="13">
        <v>42838</v>
      </c>
      <c r="M114" t="s">
        <v>1718</v>
      </c>
      <c r="N114" t="s">
        <v>1793</v>
      </c>
      <c r="O114" s="13">
        <v>42838</v>
      </c>
      <c r="P114" t="s">
        <v>122</v>
      </c>
      <c r="S114" t="s">
        <v>201</v>
      </c>
      <c r="T114" t="s">
        <v>247</v>
      </c>
      <c r="U114" t="s">
        <v>1712</v>
      </c>
      <c r="V114" t="s">
        <v>1722</v>
      </c>
      <c r="X114" t="s">
        <v>121</v>
      </c>
      <c r="Y114" t="s">
        <v>1719</v>
      </c>
      <c r="Z114" t="s">
        <v>121</v>
      </c>
      <c r="AA114" t="s">
        <v>716</v>
      </c>
      <c r="AB114" t="s">
        <v>121</v>
      </c>
    </row>
    <row r="115" spans="3:28" x14ac:dyDescent="0.3">
      <c r="C115" s="11" t="str">
        <f t="shared" ca="1" si="2"/>
        <v>NM</v>
      </c>
      <c r="D115" s="11">
        <f t="shared" ca="1" si="3"/>
        <v>98243</v>
      </c>
      <c r="E115">
        <v>98243</v>
      </c>
      <c r="F115" t="s">
        <v>1784</v>
      </c>
      <c r="G115" t="s">
        <v>1947</v>
      </c>
      <c r="H115" t="s">
        <v>1725</v>
      </c>
      <c r="I115" t="s">
        <v>1792</v>
      </c>
      <c r="J115" t="s">
        <v>1784</v>
      </c>
      <c r="L115" s="13">
        <v>42838</v>
      </c>
      <c r="M115" t="s">
        <v>1718</v>
      </c>
      <c r="N115" t="s">
        <v>1793</v>
      </c>
      <c r="O115" s="13">
        <v>42838</v>
      </c>
      <c r="P115" t="s">
        <v>1796</v>
      </c>
      <c r="S115" t="s">
        <v>201</v>
      </c>
      <c r="T115" t="s">
        <v>247</v>
      </c>
      <c r="U115" t="s">
        <v>1712</v>
      </c>
      <c r="V115" t="s">
        <v>1751</v>
      </c>
      <c r="X115" t="s">
        <v>121</v>
      </c>
      <c r="Y115" t="s">
        <v>1719</v>
      </c>
      <c r="Z115" t="s">
        <v>121</v>
      </c>
      <c r="AA115" t="s">
        <v>716</v>
      </c>
      <c r="AB115" t="s">
        <v>121</v>
      </c>
    </row>
    <row r="116" spans="3:28" x14ac:dyDescent="0.3">
      <c r="C116" s="11" t="str">
        <f t="shared" ca="1" si="2"/>
        <v>NM</v>
      </c>
      <c r="D116" s="11">
        <f t="shared" ca="1" si="3"/>
        <v>98253</v>
      </c>
      <c r="E116">
        <v>98253</v>
      </c>
      <c r="F116" t="s">
        <v>1784</v>
      </c>
      <c r="G116" t="s">
        <v>1949</v>
      </c>
      <c r="H116" t="s">
        <v>1716</v>
      </c>
      <c r="I116" t="s">
        <v>1792</v>
      </c>
      <c r="J116" t="s">
        <v>1784</v>
      </c>
      <c r="L116" s="13">
        <v>42843</v>
      </c>
      <c r="M116" t="s">
        <v>1708</v>
      </c>
      <c r="N116" t="s">
        <v>1793</v>
      </c>
      <c r="O116" s="13">
        <v>42838</v>
      </c>
      <c r="P116" t="s">
        <v>1796</v>
      </c>
      <c r="S116" t="s">
        <v>200</v>
      </c>
      <c r="T116" t="s">
        <v>247</v>
      </c>
      <c r="U116" t="s">
        <v>1712</v>
      </c>
      <c r="V116" t="s">
        <v>1751</v>
      </c>
      <c r="X116" t="s">
        <v>121</v>
      </c>
      <c r="Y116" t="s">
        <v>1719</v>
      </c>
      <c r="Z116" t="s">
        <v>121</v>
      </c>
      <c r="AA116" t="s">
        <v>716</v>
      </c>
      <c r="AB116" t="s">
        <v>121</v>
      </c>
    </row>
    <row r="117" spans="3:28" x14ac:dyDescent="0.3">
      <c r="C117" s="11">
        <f t="shared" ca="1" si="2"/>
        <v>98300</v>
      </c>
      <c r="D117" s="11">
        <f t="shared" ca="1" si="3"/>
        <v>98301</v>
      </c>
      <c r="E117">
        <v>98301</v>
      </c>
      <c r="F117" t="s">
        <v>1988</v>
      </c>
      <c r="G117" t="s">
        <v>1951</v>
      </c>
      <c r="H117" t="s">
        <v>1716</v>
      </c>
      <c r="I117" t="s">
        <v>1792</v>
      </c>
      <c r="J117" t="s">
        <v>1952</v>
      </c>
      <c r="K117" t="s">
        <v>1789</v>
      </c>
      <c r="L117" s="13" t="s">
        <v>2002</v>
      </c>
      <c r="M117" t="s">
        <v>1708</v>
      </c>
      <c r="N117" t="s">
        <v>1735</v>
      </c>
      <c r="O117" s="13">
        <v>42842</v>
      </c>
      <c r="P117" t="s">
        <v>1796</v>
      </c>
      <c r="S117" t="s">
        <v>1799</v>
      </c>
      <c r="T117" t="s">
        <v>247</v>
      </c>
      <c r="U117" t="s">
        <v>1712</v>
      </c>
      <c r="V117" t="s">
        <v>1726</v>
      </c>
      <c r="X117" t="s">
        <v>121</v>
      </c>
      <c r="Y117" t="s">
        <v>1719</v>
      </c>
      <c r="Z117" t="s">
        <v>121</v>
      </c>
      <c r="AA117" t="s">
        <v>716</v>
      </c>
      <c r="AB117" t="s">
        <v>121</v>
      </c>
    </row>
    <row r="118" spans="3:28" x14ac:dyDescent="0.3">
      <c r="C118" s="11">
        <f t="shared" ca="1" si="2"/>
        <v>98303</v>
      </c>
      <c r="D118" s="11">
        <f t="shared" ca="1" si="3"/>
        <v>98304</v>
      </c>
      <c r="E118">
        <v>98304</v>
      </c>
      <c r="F118" t="s">
        <v>1952</v>
      </c>
      <c r="G118" t="s">
        <v>1953</v>
      </c>
      <c r="H118" t="s">
        <v>1716</v>
      </c>
      <c r="I118" t="s">
        <v>1792</v>
      </c>
      <c r="J118" t="s">
        <v>1952</v>
      </c>
      <c r="L118" s="13" t="s">
        <v>2003</v>
      </c>
      <c r="M118" t="s">
        <v>1718</v>
      </c>
      <c r="N118" t="s">
        <v>1735</v>
      </c>
      <c r="O118" s="13">
        <v>42842</v>
      </c>
      <c r="P118" t="s">
        <v>1796</v>
      </c>
      <c r="S118" t="s">
        <v>1799</v>
      </c>
      <c r="T118" t="s">
        <v>247</v>
      </c>
      <c r="U118" t="s">
        <v>1712</v>
      </c>
      <c r="V118" t="s">
        <v>1726</v>
      </c>
      <c r="X118" t="s">
        <v>121</v>
      </c>
      <c r="Y118" t="s">
        <v>1719</v>
      </c>
      <c r="Z118" t="s">
        <v>121</v>
      </c>
      <c r="AA118" t="s">
        <v>716</v>
      </c>
      <c r="AB118" t="s">
        <v>121</v>
      </c>
    </row>
    <row r="119" spans="3:28" x14ac:dyDescent="0.3">
      <c r="C119" s="11">
        <f t="shared" ca="1" si="2"/>
        <v>98306</v>
      </c>
      <c r="D119" s="11">
        <f t="shared" ca="1" si="3"/>
        <v>98307</v>
      </c>
      <c r="E119">
        <v>98307</v>
      </c>
      <c r="F119" t="s">
        <v>1952</v>
      </c>
      <c r="G119" t="s">
        <v>1954</v>
      </c>
      <c r="H119" t="s">
        <v>1716</v>
      </c>
      <c r="I119" t="s">
        <v>1792</v>
      </c>
      <c r="J119" t="s">
        <v>1952</v>
      </c>
      <c r="L119" s="13" t="s">
        <v>2004</v>
      </c>
      <c r="M119" t="s">
        <v>1718</v>
      </c>
      <c r="N119" t="s">
        <v>1735</v>
      </c>
      <c r="O119" s="13">
        <v>42842</v>
      </c>
      <c r="P119" t="s">
        <v>1796</v>
      </c>
      <c r="S119" t="s">
        <v>201</v>
      </c>
      <c r="T119" t="s">
        <v>247</v>
      </c>
      <c r="U119" t="s">
        <v>1712</v>
      </c>
      <c r="V119" t="s">
        <v>1726</v>
      </c>
      <c r="X119" t="s">
        <v>121</v>
      </c>
      <c r="Y119" t="s">
        <v>1719</v>
      </c>
      <c r="Z119" t="s">
        <v>121</v>
      </c>
      <c r="AA119" t="s">
        <v>717</v>
      </c>
      <c r="AB119" t="s">
        <v>121</v>
      </c>
    </row>
    <row r="120" spans="3:28" x14ac:dyDescent="0.3">
      <c r="C120" s="11">
        <f t="shared" ca="1" si="2"/>
        <v>98310</v>
      </c>
      <c r="D120" s="11">
        <f t="shared" ca="1" si="3"/>
        <v>98311</v>
      </c>
      <c r="E120">
        <v>98311</v>
      </c>
      <c r="F120" t="s">
        <v>1988</v>
      </c>
      <c r="G120" t="s">
        <v>1955</v>
      </c>
      <c r="H120" t="s">
        <v>1716</v>
      </c>
      <c r="I120" t="s">
        <v>1792</v>
      </c>
      <c r="J120" t="s">
        <v>1952</v>
      </c>
      <c r="L120" s="13" t="s">
        <v>1984</v>
      </c>
      <c r="M120" t="s">
        <v>1708</v>
      </c>
      <c r="N120" t="s">
        <v>1735</v>
      </c>
      <c r="O120" s="13">
        <v>42842</v>
      </c>
      <c r="P120" t="s">
        <v>1796</v>
      </c>
      <c r="S120" t="s">
        <v>1799</v>
      </c>
      <c r="T120" t="s">
        <v>247</v>
      </c>
      <c r="U120" t="s">
        <v>1712</v>
      </c>
      <c r="V120" t="s">
        <v>1726</v>
      </c>
      <c r="X120" t="s">
        <v>121</v>
      </c>
      <c r="Y120" t="s">
        <v>1719</v>
      </c>
      <c r="Z120" t="s">
        <v>121</v>
      </c>
      <c r="AA120" t="s">
        <v>716</v>
      </c>
      <c r="AB120" t="s">
        <v>121</v>
      </c>
    </row>
    <row r="121" spans="3:28" x14ac:dyDescent="0.3">
      <c r="C121" s="11">
        <f t="shared" ca="1" si="2"/>
        <v>98313</v>
      </c>
      <c r="D121" s="11">
        <f t="shared" ca="1" si="3"/>
        <v>98314</v>
      </c>
      <c r="E121">
        <v>98314</v>
      </c>
      <c r="F121" t="s">
        <v>1988</v>
      </c>
      <c r="G121" t="s">
        <v>1956</v>
      </c>
      <c r="H121" t="s">
        <v>1716</v>
      </c>
      <c r="I121" t="s">
        <v>1792</v>
      </c>
      <c r="J121" t="s">
        <v>1952</v>
      </c>
      <c r="K121" t="s">
        <v>1789</v>
      </c>
      <c r="L121" s="13" t="s">
        <v>2005</v>
      </c>
      <c r="M121" t="s">
        <v>1708</v>
      </c>
      <c r="N121" t="s">
        <v>1735</v>
      </c>
      <c r="O121" s="13">
        <v>42842</v>
      </c>
      <c r="P121" t="s">
        <v>1796</v>
      </c>
      <c r="S121" t="s">
        <v>1799</v>
      </c>
      <c r="T121" t="s">
        <v>247</v>
      </c>
      <c r="U121" t="s">
        <v>1712</v>
      </c>
      <c r="V121" t="s">
        <v>1726</v>
      </c>
      <c r="X121" t="s">
        <v>121</v>
      </c>
      <c r="Y121" t="s">
        <v>1719</v>
      </c>
      <c r="Z121" t="s">
        <v>121</v>
      </c>
      <c r="AA121" t="s">
        <v>716</v>
      </c>
      <c r="AB121" t="s">
        <v>121</v>
      </c>
    </row>
    <row r="122" spans="3:28" x14ac:dyDescent="0.3">
      <c r="C122" s="11" t="str">
        <f t="shared" ca="1" si="2"/>
        <v>NM</v>
      </c>
      <c r="D122" s="11">
        <f t="shared" ca="1" si="3"/>
        <v>98325</v>
      </c>
      <c r="E122">
        <v>98325</v>
      </c>
      <c r="F122" t="s">
        <v>1743</v>
      </c>
      <c r="G122" t="s">
        <v>1957</v>
      </c>
      <c r="H122" t="s">
        <v>1716</v>
      </c>
      <c r="I122" t="s">
        <v>1717</v>
      </c>
      <c r="J122" t="s">
        <v>1767</v>
      </c>
      <c r="L122" s="13">
        <v>42843</v>
      </c>
      <c r="M122" t="s">
        <v>1718</v>
      </c>
      <c r="N122" t="s">
        <v>1793</v>
      </c>
      <c r="O122" s="13">
        <v>42842</v>
      </c>
      <c r="P122" t="s">
        <v>788</v>
      </c>
      <c r="R122" t="s">
        <v>1779</v>
      </c>
      <c r="S122" t="s">
        <v>200</v>
      </c>
      <c r="T122" t="s">
        <v>247</v>
      </c>
      <c r="U122" t="s">
        <v>1712</v>
      </c>
      <c r="V122" t="s">
        <v>1744</v>
      </c>
      <c r="X122" t="s">
        <v>121</v>
      </c>
      <c r="Y122" t="s">
        <v>1719</v>
      </c>
      <c r="Z122" t="s">
        <v>121</v>
      </c>
      <c r="AA122" t="s">
        <v>716</v>
      </c>
      <c r="AB122" t="s">
        <v>121</v>
      </c>
    </row>
    <row r="123" spans="3:28" x14ac:dyDescent="0.3">
      <c r="C123" s="11">
        <f t="shared" ca="1" si="2"/>
        <v>98203</v>
      </c>
      <c r="D123" s="11">
        <f t="shared" ca="1" si="3"/>
        <v>98327</v>
      </c>
      <c r="E123">
        <v>98327</v>
      </c>
      <c r="F123" t="s">
        <v>1746</v>
      </c>
      <c r="G123" t="s">
        <v>1959</v>
      </c>
      <c r="H123" t="s">
        <v>1705</v>
      </c>
      <c r="I123" t="s">
        <v>1706</v>
      </c>
      <c r="J123" t="s">
        <v>1729</v>
      </c>
      <c r="K123" t="s">
        <v>1789</v>
      </c>
      <c r="L123" s="13">
        <v>42851</v>
      </c>
      <c r="M123" t="s">
        <v>1708</v>
      </c>
      <c r="N123" t="s">
        <v>1735</v>
      </c>
      <c r="O123" s="13">
        <v>42842</v>
      </c>
      <c r="P123" t="s">
        <v>1727</v>
      </c>
      <c r="R123" t="s">
        <v>1802</v>
      </c>
      <c r="S123" t="s">
        <v>200</v>
      </c>
      <c r="T123" t="s">
        <v>247</v>
      </c>
      <c r="U123" t="s">
        <v>1712</v>
      </c>
      <c r="V123" t="s">
        <v>1726</v>
      </c>
      <c r="X123" t="s">
        <v>121</v>
      </c>
      <c r="Y123" t="s">
        <v>1714</v>
      </c>
      <c r="Z123" t="s">
        <v>121</v>
      </c>
      <c r="AA123" t="s">
        <v>715</v>
      </c>
      <c r="AB123" t="s">
        <v>121</v>
      </c>
    </row>
    <row r="124" spans="3:28" x14ac:dyDescent="0.3">
      <c r="C124" s="11">
        <f t="shared" ca="1" si="2"/>
        <v>98203</v>
      </c>
      <c r="D124" s="11">
        <f t="shared" ca="1" si="3"/>
        <v>98328</v>
      </c>
      <c r="E124">
        <v>98328</v>
      </c>
      <c r="F124" t="s">
        <v>1715</v>
      </c>
      <c r="G124" t="s">
        <v>1960</v>
      </c>
      <c r="H124" t="s">
        <v>1705</v>
      </c>
      <c r="I124" t="s">
        <v>1792</v>
      </c>
      <c r="J124" t="s">
        <v>1729</v>
      </c>
      <c r="L124" s="13">
        <v>42846</v>
      </c>
      <c r="M124" t="s">
        <v>1718</v>
      </c>
      <c r="N124" t="s">
        <v>1735</v>
      </c>
      <c r="O124" s="13">
        <v>42842</v>
      </c>
      <c r="P124" t="s">
        <v>1727</v>
      </c>
      <c r="R124" t="s">
        <v>1769</v>
      </c>
      <c r="S124" t="s">
        <v>200</v>
      </c>
      <c r="T124" t="s">
        <v>247</v>
      </c>
      <c r="U124" t="s">
        <v>1712</v>
      </c>
      <c r="V124" t="s">
        <v>1726</v>
      </c>
      <c r="X124" t="s">
        <v>121</v>
      </c>
      <c r="Y124" t="s">
        <v>1719</v>
      </c>
      <c r="Z124" t="s">
        <v>121</v>
      </c>
      <c r="AA124" t="s">
        <v>715</v>
      </c>
      <c r="AB124" t="s">
        <v>121</v>
      </c>
    </row>
    <row r="125" spans="3:28" x14ac:dyDescent="0.3">
      <c r="C125" s="11" t="str">
        <f t="shared" ca="1" si="2"/>
        <v>NM</v>
      </c>
      <c r="D125" s="11">
        <f t="shared" ca="1" si="3"/>
        <v>98394</v>
      </c>
      <c r="E125">
        <v>98394</v>
      </c>
      <c r="F125" t="s">
        <v>1715</v>
      </c>
      <c r="G125" t="s">
        <v>2006</v>
      </c>
      <c r="H125" t="s">
        <v>1725</v>
      </c>
      <c r="I125" t="s">
        <v>1785</v>
      </c>
      <c r="J125" t="s">
        <v>1950</v>
      </c>
      <c r="K125" t="s">
        <v>2007</v>
      </c>
      <c r="L125" s="27">
        <v>2.6087962962962966E-2</v>
      </c>
      <c r="M125" t="s">
        <v>1708</v>
      </c>
      <c r="N125" t="s">
        <v>1786</v>
      </c>
      <c r="O125" s="13">
        <v>42843</v>
      </c>
      <c r="P125" t="s">
        <v>1773</v>
      </c>
      <c r="S125" t="s">
        <v>199</v>
      </c>
      <c r="T125" t="s">
        <v>247</v>
      </c>
      <c r="U125" t="s">
        <v>1712</v>
      </c>
      <c r="V125" t="s">
        <v>1728</v>
      </c>
      <c r="X125" t="s">
        <v>121</v>
      </c>
      <c r="Y125" t="s">
        <v>1719</v>
      </c>
      <c r="Z125" t="s">
        <v>121</v>
      </c>
      <c r="AA125" t="s">
        <v>715</v>
      </c>
      <c r="AB125" t="s">
        <v>121</v>
      </c>
    </row>
    <row r="126" spans="3:28" x14ac:dyDescent="0.3">
      <c r="C126" s="11">
        <f t="shared" ca="1" si="2"/>
        <v>98411</v>
      </c>
      <c r="D126" s="11">
        <f t="shared" ca="1" si="3"/>
        <v>98413</v>
      </c>
      <c r="E126">
        <v>98413</v>
      </c>
      <c r="F126" t="s">
        <v>1988</v>
      </c>
      <c r="G126" t="s">
        <v>2008</v>
      </c>
      <c r="H126" t="s">
        <v>1716</v>
      </c>
      <c r="I126" t="s">
        <v>1792</v>
      </c>
      <c r="J126" t="s">
        <v>1952</v>
      </c>
      <c r="L126" s="13" t="s">
        <v>2009</v>
      </c>
      <c r="M126" t="s">
        <v>1718</v>
      </c>
      <c r="N126" t="s">
        <v>1735</v>
      </c>
      <c r="O126" s="13">
        <v>42843</v>
      </c>
      <c r="P126" t="s">
        <v>1796</v>
      </c>
      <c r="S126" t="s">
        <v>1799</v>
      </c>
      <c r="T126" t="s">
        <v>247</v>
      </c>
      <c r="U126" t="s">
        <v>1712</v>
      </c>
      <c r="V126" t="s">
        <v>1726</v>
      </c>
      <c r="X126" t="s">
        <v>121</v>
      </c>
      <c r="Y126" t="s">
        <v>1719</v>
      </c>
      <c r="Z126" t="s">
        <v>121</v>
      </c>
      <c r="AA126" t="s">
        <v>716</v>
      </c>
      <c r="AB126" t="s">
        <v>121</v>
      </c>
    </row>
    <row r="127" spans="3:28" x14ac:dyDescent="0.3">
      <c r="C127" s="11">
        <f t="shared" ca="1" si="2"/>
        <v>98419</v>
      </c>
      <c r="D127" s="11">
        <f t="shared" ca="1" si="3"/>
        <v>98420</v>
      </c>
      <c r="E127">
        <v>98420</v>
      </c>
      <c r="F127" t="s">
        <v>2010</v>
      </c>
      <c r="G127" t="s">
        <v>2011</v>
      </c>
      <c r="H127" t="s">
        <v>1716</v>
      </c>
      <c r="I127" t="s">
        <v>1792</v>
      </c>
      <c r="J127" t="s">
        <v>1952</v>
      </c>
      <c r="L127" s="13" t="s">
        <v>2012</v>
      </c>
      <c r="M127" t="s">
        <v>1718</v>
      </c>
      <c r="N127" t="s">
        <v>1735</v>
      </c>
      <c r="O127" s="13">
        <v>42843</v>
      </c>
      <c r="P127" t="s">
        <v>1796</v>
      </c>
      <c r="S127" t="s">
        <v>1799</v>
      </c>
      <c r="T127" t="s">
        <v>247</v>
      </c>
      <c r="U127" t="s">
        <v>1712</v>
      </c>
      <c r="V127" t="s">
        <v>1726</v>
      </c>
      <c r="X127" t="s">
        <v>121</v>
      </c>
      <c r="Y127" t="s">
        <v>1719</v>
      </c>
      <c r="Z127" t="s">
        <v>121</v>
      </c>
      <c r="AA127" t="s">
        <v>716</v>
      </c>
      <c r="AB127" t="s">
        <v>121</v>
      </c>
    </row>
    <row r="128" spans="3:28" x14ac:dyDescent="0.3">
      <c r="C128" s="11">
        <f t="shared" ca="1" si="2"/>
        <v>98425</v>
      </c>
      <c r="D128" s="11">
        <f t="shared" ca="1" si="3"/>
        <v>98426</v>
      </c>
      <c r="E128">
        <v>98426</v>
      </c>
      <c r="F128" t="s">
        <v>1734</v>
      </c>
      <c r="G128" t="s">
        <v>2013</v>
      </c>
      <c r="H128" t="s">
        <v>1716</v>
      </c>
      <c r="I128" t="s">
        <v>1792</v>
      </c>
      <c r="J128" t="s">
        <v>1952</v>
      </c>
      <c r="L128" s="27" t="s">
        <v>2012</v>
      </c>
      <c r="M128" t="s">
        <v>1718</v>
      </c>
      <c r="N128" t="s">
        <v>1735</v>
      </c>
      <c r="O128" s="13">
        <v>42843</v>
      </c>
      <c r="P128" t="s">
        <v>1796</v>
      </c>
      <c r="S128" t="s">
        <v>1799</v>
      </c>
      <c r="T128" t="s">
        <v>247</v>
      </c>
      <c r="U128" t="s">
        <v>1712</v>
      </c>
      <c r="V128" t="s">
        <v>1726</v>
      </c>
      <c r="X128" t="s">
        <v>121</v>
      </c>
      <c r="Y128" t="s">
        <v>1719</v>
      </c>
      <c r="Z128" t="s">
        <v>121</v>
      </c>
      <c r="AA128" t="s">
        <v>716</v>
      </c>
      <c r="AB128" t="s">
        <v>121</v>
      </c>
    </row>
    <row r="129" spans="3:28" x14ac:dyDescent="0.3">
      <c r="C129" s="11">
        <f t="shared" ca="1" si="2"/>
        <v>98428</v>
      </c>
      <c r="D129" s="11">
        <f t="shared" ca="1" si="3"/>
        <v>98429</v>
      </c>
      <c r="E129">
        <v>98429</v>
      </c>
      <c r="F129" t="s">
        <v>1756</v>
      </c>
      <c r="G129" t="s">
        <v>2014</v>
      </c>
      <c r="H129" t="s">
        <v>1716</v>
      </c>
      <c r="I129" t="s">
        <v>1792</v>
      </c>
      <c r="J129" t="s">
        <v>1952</v>
      </c>
      <c r="L129" s="27">
        <v>0.14401620370370369</v>
      </c>
      <c r="M129" t="s">
        <v>1718</v>
      </c>
      <c r="N129" t="s">
        <v>1735</v>
      </c>
      <c r="O129" s="13">
        <v>42843</v>
      </c>
      <c r="P129" t="s">
        <v>1796</v>
      </c>
      <c r="S129" t="s">
        <v>1799</v>
      </c>
      <c r="T129" t="s">
        <v>247</v>
      </c>
      <c r="U129" t="s">
        <v>1712</v>
      </c>
      <c r="V129" t="s">
        <v>1751</v>
      </c>
      <c r="X129" t="s">
        <v>121</v>
      </c>
      <c r="Y129" t="s">
        <v>1719</v>
      </c>
      <c r="Z129" t="s">
        <v>121</v>
      </c>
      <c r="AA129" t="s">
        <v>716</v>
      </c>
      <c r="AB129" t="s">
        <v>121</v>
      </c>
    </row>
    <row r="130" spans="3:28" x14ac:dyDescent="0.3">
      <c r="C130" s="11">
        <f t="shared" ca="1" si="2"/>
        <v>98432</v>
      </c>
      <c r="D130" s="11">
        <f t="shared" ca="1" si="3"/>
        <v>98433</v>
      </c>
      <c r="E130">
        <v>98433</v>
      </c>
      <c r="F130" t="s">
        <v>1756</v>
      </c>
      <c r="G130" t="s">
        <v>2015</v>
      </c>
      <c r="H130" t="s">
        <v>1716</v>
      </c>
      <c r="I130" t="s">
        <v>1792</v>
      </c>
      <c r="J130" t="s">
        <v>1952</v>
      </c>
      <c r="L130" s="27">
        <v>0.16233796296296296</v>
      </c>
      <c r="M130" t="s">
        <v>1718</v>
      </c>
      <c r="N130" t="s">
        <v>1735</v>
      </c>
      <c r="O130" s="13">
        <v>42843</v>
      </c>
      <c r="P130" t="s">
        <v>1796</v>
      </c>
      <c r="S130" t="s">
        <v>1799</v>
      </c>
      <c r="T130" t="s">
        <v>247</v>
      </c>
      <c r="U130" t="s">
        <v>1712</v>
      </c>
      <c r="V130" t="s">
        <v>1751</v>
      </c>
      <c r="X130" t="s">
        <v>121</v>
      </c>
      <c r="Y130" t="s">
        <v>1719</v>
      </c>
      <c r="Z130" t="s">
        <v>121</v>
      </c>
      <c r="AA130" t="s">
        <v>716</v>
      </c>
      <c r="AB130" t="s">
        <v>121</v>
      </c>
    </row>
    <row r="131" spans="3:28" x14ac:dyDescent="0.3">
      <c r="C131" s="11">
        <f t="shared" ca="1" si="2"/>
        <v>98435</v>
      </c>
      <c r="D131" s="11">
        <f t="shared" ca="1" si="3"/>
        <v>98436</v>
      </c>
      <c r="E131">
        <v>98436</v>
      </c>
      <c r="F131" t="s">
        <v>1784</v>
      </c>
      <c r="G131" t="s">
        <v>2016</v>
      </c>
      <c r="H131" t="s">
        <v>1716</v>
      </c>
      <c r="I131" t="s">
        <v>1792</v>
      </c>
      <c r="J131" t="s">
        <v>1952</v>
      </c>
      <c r="L131" s="27">
        <v>0.16114583333333332</v>
      </c>
      <c r="M131" t="s">
        <v>1718</v>
      </c>
      <c r="N131" t="s">
        <v>1735</v>
      </c>
      <c r="O131" s="13">
        <v>42843</v>
      </c>
      <c r="P131" t="s">
        <v>1796</v>
      </c>
      <c r="S131" t="s">
        <v>1799</v>
      </c>
      <c r="T131" t="s">
        <v>247</v>
      </c>
      <c r="U131" t="s">
        <v>1712</v>
      </c>
      <c r="V131" t="s">
        <v>1751</v>
      </c>
      <c r="X131" t="s">
        <v>121</v>
      </c>
      <c r="Y131" t="s">
        <v>1719</v>
      </c>
      <c r="Z131" t="s">
        <v>121</v>
      </c>
      <c r="AA131" t="s">
        <v>716</v>
      </c>
      <c r="AB131" t="s">
        <v>121</v>
      </c>
    </row>
    <row r="132" spans="3:28" x14ac:dyDescent="0.3">
      <c r="C132" s="11" t="str">
        <f t="shared" ca="1" si="2"/>
        <v>NM</v>
      </c>
      <c r="D132" s="11">
        <f t="shared" ca="1" si="3"/>
        <v>98437</v>
      </c>
      <c r="E132">
        <v>98437</v>
      </c>
      <c r="F132" t="s">
        <v>1952</v>
      </c>
      <c r="G132" t="s">
        <v>2017</v>
      </c>
      <c r="H132" t="s">
        <v>1725</v>
      </c>
      <c r="I132" t="s">
        <v>251</v>
      </c>
      <c r="J132" t="s">
        <v>2018</v>
      </c>
      <c r="K132" t="s">
        <v>2019</v>
      </c>
      <c r="L132" s="13">
        <v>42845</v>
      </c>
      <c r="M132" t="s">
        <v>1708</v>
      </c>
      <c r="N132" t="s">
        <v>1735</v>
      </c>
      <c r="O132" s="13">
        <v>42843</v>
      </c>
      <c r="P132" t="s">
        <v>1727</v>
      </c>
      <c r="S132" t="s">
        <v>201</v>
      </c>
      <c r="T132" t="s">
        <v>247</v>
      </c>
      <c r="U132" t="s">
        <v>1712</v>
      </c>
      <c r="V132" t="s">
        <v>1726</v>
      </c>
      <c r="X132" t="s">
        <v>121</v>
      </c>
      <c r="Y132" t="s">
        <v>1719</v>
      </c>
      <c r="Z132" t="s">
        <v>121</v>
      </c>
      <c r="AA132" t="s">
        <v>716</v>
      </c>
      <c r="AB132" t="s">
        <v>121</v>
      </c>
    </row>
    <row r="133" spans="3:28" x14ac:dyDescent="0.3">
      <c r="C133" s="11">
        <f t="shared" ca="1" si="2"/>
        <v>98439</v>
      </c>
      <c r="D133" s="11">
        <f t="shared" ca="1" si="3"/>
        <v>98440</v>
      </c>
      <c r="E133">
        <v>98440</v>
      </c>
      <c r="F133" t="s">
        <v>1756</v>
      </c>
      <c r="G133" t="s">
        <v>2020</v>
      </c>
      <c r="H133" t="s">
        <v>1716</v>
      </c>
      <c r="I133" t="s">
        <v>1792</v>
      </c>
      <c r="J133" t="s">
        <v>1952</v>
      </c>
      <c r="L133" s="27">
        <v>0.15065972222222221</v>
      </c>
      <c r="M133" t="s">
        <v>1718</v>
      </c>
      <c r="N133" t="s">
        <v>1735</v>
      </c>
      <c r="O133" s="13">
        <v>42843</v>
      </c>
      <c r="P133" t="s">
        <v>1796</v>
      </c>
      <c r="S133" t="s">
        <v>1799</v>
      </c>
      <c r="T133" t="s">
        <v>247</v>
      </c>
      <c r="U133" t="s">
        <v>1712</v>
      </c>
      <c r="V133" t="s">
        <v>1751</v>
      </c>
      <c r="X133" t="s">
        <v>121</v>
      </c>
      <c r="Y133" t="s">
        <v>1719</v>
      </c>
      <c r="Z133" t="s">
        <v>121</v>
      </c>
      <c r="AA133" t="s">
        <v>716</v>
      </c>
      <c r="AB133" t="s">
        <v>121</v>
      </c>
    </row>
    <row r="134" spans="3:28" x14ac:dyDescent="0.3">
      <c r="C134" s="11">
        <f t="shared" ca="1" si="2"/>
        <v>98442</v>
      </c>
      <c r="D134" s="11">
        <f t="shared" ca="1" si="3"/>
        <v>98443</v>
      </c>
      <c r="E134">
        <v>98443</v>
      </c>
      <c r="F134" t="s">
        <v>1756</v>
      </c>
      <c r="G134" t="s">
        <v>2021</v>
      </c>
      <c r="H134" t="s">
        <v>1716</v>
      </c>
      <c r="I134" t="s">
        <v>1792</v>
      </c>
      <c r="J134" t="s">
        <v>1952</v>
      </c>
      <c r="L134" s="27">
        <v>0.15944444444444444</v>
      </c>
      <c r="M134" t="s">
        <v>1718</v>
      </c>
      <c r="N134" t="s">
        <v>1735</v>
      </c>
      <c r="O134" s="13">
        <v>42843</v>
      </c>
      <c r="P134" t="s">
        <v>1796</v>
      </c>
      <c r="S134" t="s">
        <v>1799</v>
      </c>
      <c r="T134" t="s">
        <v>247</v>
      </c>
      <c r="U134" t="s">
        <v>1712</v>
      </c>
      <c r="V134" t="s">
        <v>1751</v>
      </c>
      <c r="X134" t="s">
        <v>121</v>
      </c>
      <c r="Y134" t="s">
        <v>1719</v>
      </c>
      <c r="Z134" t="s">
        <v>121</v>
      </c>
      <c r="AA134" t="s">
        <v>716</v>
      </c>
      <c r="AB134" t="s">
        <v>121</v>
      </c>
    </row>
    <row r="135" spans="3:28" x14ac:dyDescent="0.3">
      <c r="C135" s="11">
        <f t="shared" ca="1" si="2"/>
        <v>98447</v>
      </c>
      <c r="D135" s="11">
        <f t="shared" ca="1" si="3"/>
        <v>98449</v>
      </c>
      <c r="E135">
        <v>98449</v>
      </c>
      <c r="F135" t="s">
        <v>1756</v>
      </c>
      <c r="G135" t="s">
        <v>2022</v>
      </c>
      <c r="H135" t="s">
        <v>1716</v>
      </c>
      <c r="I135" t="s">
        <v>1792</v>
      </c>
      <c r="J135" t="s">
        <v>1952</v>
      </c>
      <c r="L135" s="27">
        <v>0.14121527777777779</v>
      </c>
      <c r="M135" t="s">
        <v>1718</v>
      </c>
      <c r="N135" t="s">
        <v>1735</v>
      </c>
      <c r="O135" s="13">
        <v>42843</v>
      </c>
      <c r="P135" t="s">
        <v>1796</v>
      </c>
      <c r="S135" t="s">
        <v>1799</v>
      </c>
      <c r="T135" t="s">
        <v>247</v>
      </c>
      <c r="U135" t="s">
        <v>1712</v>
      </c>
      <c r="V135" t="s">
        <v>1751</v>
      </c>
      <c r="X135" t="s">
        <v>121</v>
      </c>
      <c r="Y135" t="s">
        <v>1719</v>
      </c>
      <c r="Z135" t="s">
        <v>121</v>
      </c>
      <c r="AA135" t="s">
        <v>716</v>
      </c>
      <c r="AB135" t="s">
        <v>121</v>
      </c>
    </row>
    <row r="136" spans="3:28" x14ac:dyDescent="0.3">
      <c r="C136" s="11">
        <f t="shared" ca="1" si="2"/>
        <v>98466</v>
      </c>
      <c r="D136" s="11">
        <f t="shared" ca="1" si="3"/>
        <v>98467</v>
      </c>
      <c r="E136">
        <v>98467</v>
      </c>
      <c r="F136" t="s">
        <v>1797</v>
      </c>
      <c r="G136" t="s">
        <v>2023</v>
      </c>
      <c r="H136" t="s">
        <v>1939</v>
      </c>
      <c r="I136" t="s">
        <v>1792</v>
      </c>
      <c r="J136" t="s">
        <v>1756</v>
      </c>
      <c r="L136" s="27">
        <v>0.3823611111111111</v>
      </c>
      <c r="M136" t="s">
        <v>1708</v>
      </c>
      <c r="N136" t="s">
        <v>1735</v>
      </c>
      <c r="O136" s="13">
        <v>42843</v>
      </c>
      <c r="P136" t="s">
        <v>1727</v>
      </c>
      <c r="R136" t="s">
        <v>1811</v>
      </c>
      <c r="S136" t="s">
        <v>201</v>
      </c>
      <c r="T136" t="s">
        <v>247</v>
      </c>
      <c r="U136" t="s">
        <v>1712</v>
      </c>
      <c r="V136" t="s">
        <v>1722</v>
      </c>
      <c r="X136" t="s">
        <v>121</v>
      </c>
      <c r="Y136" t="s">
        <v>1714</v>
      </c>
      <c r="Z136" t="s">
        <v>121</v>
      </c>
      <c r="AA136" t="s">
        <v>715</v>
      </c>
      <c r="AB136" t="s">
        <v>2024</v>
      </c>
    </row>
    <row r="137" spans="3:28" x14ac:dyDescent="0.3">
      <c r="C137" s="11" t="str">
        <f t="shared" ca="1" si="2"/>
        <v>NM</v>
      </c>
      <c r="D137" s="11">
        <f t="shared" ca="1" si="3"/>
        <v>98487</v>
      </c>
      <c r="E137">
        <v>98487</v>
      </c>
      <c r="F137" t="s">
        <v>1729</v>
      </c>
      <c r="G137" t="s">
        <v>2025</v>
      </c>
      <c r="H137" t="s">
        <v>1725</v>
      </c>
      <c r="I137" t="s">
        <v>1785</v>
      </c>
      <c r="J137" t="s">
        <v>1950</v>
      </c>
      <c r="L137" s="13">
        <v>42845</v>
      </c>
      <c r="M137" t="s">
        <v>1718</v>
      </c>
      <c r="N137" t="s">
        <v>1786</v>
      </c>
      <c r="O137" s="13">
        <v>42844</v>
      </c>
      <c r="P137" t="s">
        <v>1773</v>
      </c>
      <c r="S137" t="s">
        <v>200</v>
      </c>
      <c r="T137" t="s">
        <v>247</v>
      </c>
      <c r="U137" t="s">
        <v>1712</v>
      </c>
      <c r="V137" t="s">
        <v>1728</v>
      </c>
      <c r="X137" t="s">
        <v>121</v>
      </c>
      <c r="Y137" t="s">
        <v>1719</v>
      </c>
      <c r="Z137" t="s">
        <v>121</v>
      </c>
      <c r="AA137" t="s">
        <v>715</v>
      </c>
      <c r="AB137" t="s">
        <v>121</v>
      </c>
    </row>
    <row r="138" spans="3:28" x14ac:dyDescent="0.3">
      <c r="C138" s="11">
        <f t="shared" ca="1" si="2"/>
        <v>97519</v>
      </c>
      <c r="D138" s="11">
        <f t="shared" ca="1" si="3"/>
        <v>98529</v>
      </c>
      <c r="E138">
        <v>98529</v>
      </c>
      <c r="F138" t="s">
        <v>1817</v>
      </c>
      <c r="G138" t="s">
        <v>2026</v>
      </c>
      <c r="H138" t="s">
        <v>1705</v>
      </c>
      <c r="I138" t="s">
        <v>1824</v>
      </c>
      <c r="J138" t="s">
        <v>1723</v>
      </c>
      <c r="L138" s="13">
        <v>42845</v>
      </c>
      <c r="M138" t="s">
        <v>1718</v>
      </c>
      <c r="N138" t="s">
        <v>1772</v>
      </c>
      <c r="O138" s="13">
        <v>42845</v>
      </c>
      <c r="P138" t="s">
        <v>125</v>
      </c>
      <c r="S138" t="s">
        <v>201</v>
      </c>
      <c r="T138" t="s">
        <v>247</v>
      </c>
      <c r="U138" t="s">
        <v>1712</v>
      </c>
      <c r="V138" t="s">
        <v>1726</v>
      </c>
      <c r="X138" t="s">
        <v>121</v>
      </c>
      <c r="Y138" t="s">
        <v>1719</v>
      </c>
      <c r="Z138" t="s">
        <v>121</v>
      </c>
      <c r="AA138" t="s">
        <v>715</v>
      </c>
      <c r="AB138" t="s">
        <v>121</v>
      </c>
    </row>
    <row r="139" spans="3:28" x14ac:dyDescent="0.3">
      <c r="C139" s="11">
        <f t="shared" ca="1" si="2"/>
        <v>98149</v>
      </c>
      <c r="D139" s="11">
        <f t="shared" ca="1" si="3"/>
        <v>98530</v>
      </c>
      <c r="E139">
        <v>98530</v>
      </c>
      <c r="F139" t="s">
        <v>1754</v>
      </c>
      <c r="G139" t="s">
        <v>2027</v>
      </c>
      <c r="H139" t="s">
        <v>1725</v>
      </c>
      <c r="I139" t="s">
        <v>1824</v>
      </c>
      <c r="J139" t="s">
        <v>1723</v>
      </c>
      <c r="L139" s="13">
        <v>42845</v>
      </c>
      <c r="M139" t="s">
        <v>1718</v>
      </c>
      <c r="N139" t="s">
        <v>1943</v>
      </c>
      <c r="O139" s="13">
        <v>42845</v>
      </c>
      <c r="P139" t="s">
        <v>125</v>
      </c>
      <c r="R139" t="s">
        <v>1790</v>
      </c>
      <c r="S139" t="s">
        <v>200</v>
      </c>
      <c r="T139" t="s">
        <v>247</v>
      </c>
      <c r="U139" t="s">
        <v>1712</v>
      </c>
      <c r="V139" t="s">
        <v>1726</v>
      </c>
      <c r="X139" t="s">
        <v>121</v>
      </c>
      <c r="Y139" t="s">
        <v>1783</v>
      </c>
      <c r="Z139" t="s">
        <v>121</v>
      </c>
      <c r="AA139" t="s">
        <v>715</v>
      </c>
      <c r="AB139" t="s">
        <v>121</v>
      </c>
    </row>
    <row r="140" spans="3:28" x14ac:dyDescent="0.3">
      <c r="C140" s="11">
        <f t="shared" ca="1" si="2"/>
        <v>87735</v>
      </c>
      <c r="D140" s="11">
        <f t="shared" ca="1" si="3"/>
        <v>98531</v>
      </c>
      <c r="E140">
        <v>98531</v>
      </c>
      <c r="F140" t="s">
        <v>1762</v>
      </c>
      <c r="G140" t="s">
        <v>2028</v>
      </c>
      <c r="H140" t="s">
        <v>1725</v>
      </c>
      <c r="I140" t="s">
        <v>1824</v>
      </c>
      <c r="J140" t="s">
        <v>1723</v>
      </c>
      <c r="L140" s="13" t="s">
        <v>2029</v>
      </c>
      <c r="M140" t="s">
        <v>1718</v>
      </c>
      <c r="N140" t="s">
        <v>1768</v>
      </c>
      <c r="O140" s="13">
        <v>42845</v>
      </c>
      <c r="P140" t="s">
        <v>125</v>
      </c>
      <c r="S140" t="s">
        <v>201</v>
      </c>
      <c r="T140" t="s">
        <v>247</v>
      </c>
      <c r="U140" t="s">
        <v>1712</v>
      </c>
      <c r="V140" t="s">
        <v>1726</v>
      </c>
      <c r="X140" t="s">
        <v>121</v>
      </c>
      <c r="Y140" t="s">
        <v>1719</v>
      </c>
      <c r="Z140" t="s">
        <v>121</v>
      </c>
      <c r="AA140" t="s">
        <v>716</v>
      </c>
      <c r="AB140" t="s">
        <v>121</v>
      </c>
    </row>
    <row r="141" spans="3:28" x14ac:dyDescent="0.3">
      <c r="C141" s="11" t="str">
        <f t="shared" ca="1" si="2"/>
        <v>NM</v>
      </c>
      <c r="D141" s="11">
        <f t="shared" ca="1" si="3"/>
        <v>98555</v>
      </c>
      <c r="E141">
        <v>98555</v>
      </c>
      <c r="F141" t="s">
        <v>1797</v>
      </c>
      <c r="G141" t="s">
        <v>2030</v>
      </c>
      <c r="H141" t="s">
        <v>1716</v>
      </c>
      <c r="I141" t="s">
        <v>1792</v>
      </c>
      <c r="J141" t="s">
        <v>1746</v>
      </c>
      <c r="L141" s="13">
        <v>42845</v>
      </c>
      <c r="M141" t="s">
        <v>1718</v>
      </c>
      <c r="N141" t="s">
        <v>1735</v>
      </c>
      <c r="O141" s="13">
        <v>42845</v>
      </c>
      <c r="P141" t="s">
        <v>792</v>
      </c>
      <c r="S141" t="s">
        <v>201</v>
      </c>
      <c r="T141" t="s">
        <v>247</v>
      </c>
      <c r="U141" t="s">
        <v>1712</v>
      </c>
      <c r="V141" t="s">
        <v>1745</v>
      </c>
      <c r="X141" t="s">
        <v>121</v>
      </c>
      <c r="Y141" t="s">
        <v>1719</v>
      </c>
      <c r="Z141" t="s">
        <v>121</v>
      </c>
      <c r="AA141" t="s">
        <v>717</v>
      </c>
      <c r="AB141" t="s">
        <v>121</v>
      </c>
    </row>
    <row r="142" spans="3:28" x14ac:dyDescent="0.3">
      <c r="C142" s="11">
        <f t="shared" ca="1" si="2"/>
        <v>98595</v>
      </c>
      <c r="D142" s="11">
        <f t="shared" ca="1" si="3"/>
        <v>98594</v>
      </c>
      <c r="E142">
        <v>98594</v>
      </c>
      <c r="F142" t="s">
        <v>1739</v>
      </c>
      <c r="G142" t="s">
        <v>2031</v>
      </c>
      <c r="H142" t="s">
        <v>1716</v>
      </c>
      <c r="I142" t="s">
        <v>1706</v>
      </c>
      <c r="J142" t="s">
        <v>2032</v>
      </c>
      <c r="L142" s="13" t="s">
        <v>2033</v>
      </c>
      <c r="M142" t="s">
        <v>1732</v>
      </c>
      <c r="N142" t="s">
        <v>1721</v>
      </c>
      <c r="O142" s="13">
        <v>42846</v>
      </c>
      <c r="P142" t="s">
        <v>1727</v>
      </c>
      <c r="R142" t="s">
        <v>1779</v>
      </c>
      <c r="S142" t="s">
        <v>201</v>
      </c>
      <c r="T142" t="s">
        <v>247</v>
      </c>
      <c r="U142" t="s">
        <v>1712</v>
      </c>
      <c r="V142" t="s">
        <v>1807</v>
      </c>
      <c r="X142" t="s">
        <v>121</v>
      </c>
      <c r="Y142" t="s">
        <v>1719</v>
      </c>
      <c r="Z142" t="s">
        <v>121</v>
      </c>
      <c r="AA142" t="s">
        <v>717</v>
      </c>
      <c r="AB142" t="s">
        <v>121</v>
      </c>
    </row>
    <row r="143" spans="3:28" x14ac:dyDescent="0.3">
      <c r="C143" s="11">
        <f t="shared" ca="1" si="2"/>
        <v>98595</v>
      </c>
      <c r="D143" s="11">
        <f t="shared" ca="1" si="3"/>
        <v>98596</v>
      </c>
      <c r="E143">
        <v>98596</v>
      </c>
      <c r="F143" t="s">
        <v>1756</v>
      </c>
      <c r="G143" t="s">
        <v>2034</v>
      </c>
      <c r="H143" t="s">
        <v>1716</v>
      </c>
      <c r="I143" t="s">
        <v>1792</v>
      </c>
      <c r="J143" t="s">
        <v>1756</v>
      </c>
      <c r="L143" s="13">
        <v>42846</v>
      </c>
      <c r="M143" t="s">
        <v>1718</v>
      </c>
      <c r="N143" t="s">
        <v>1721</v>
      </c>
      <c r="O143" s="13">
        <v>42846</v>
      </c>
      <c r="P143" t="s">
        <v>1727</v>
      </c>
      <c r="S143" t="s">
        <v>201</v>
      </c>
      <c r="T143" t="s">
        <v>247</v>
      </c>
      <c r="U143" t="s">
        <v>1712</v>
      </c>
      <c r="V143" t="s">
        <v>1807</v>
      </c>
      <c r="X143" t="s">
        <v>121</v>
      </c>
      <c r="Y143" t="s">
        <v>1719</v>
      </c>
      <c r="Z143" t="s">
        <v>121</v>
      </c>
      <c r="AA143" t="s">
        <v>717</v>
      </c>
      <c r="AB143" t="s">
        <v>121</v>
      </c>
    </row>
    <row r="144" spans="3:28" x14ac:dyDescent="0.3">
      <c r="C144" s="11">
        <f t="shared" ca="1" si="2"/>
        <v>95967</v>
      </c>
      <c r="D144" s="11">
        <f t="shared" ca="1" si="3"/>
        <v>98603</v>
      </c>
      <c r="E144">
        <v>98603</v>
      </c>
      <c r="F144" t="s">
        <v>1715</v>
      </c>
      <c r="G144" t="s">
        <v>2035</v>
      </c>
      <c r="H144" t="s">
        <v>1725</v>
      </c>
      <c r="I144" t="s">
        <v>1964</v>
      </c>
      <c r="J144" t="s">
        <v>1761</v>
      </c>
      <c r="L144" s="13">
        <v>42846</v>
      </c>
      <c r="M144" t="s">
        <v>1718</v>
      </c>
      <c r="N144" t="s">
        <v>1709</v>
      </c>
      <c r="O144" s="13">
        <v>42846</v>
      </c>
      <c r="P144" t="s">
        <v>125</v>
      </c>
      <c r="R144" t="s">
        <v>1973</v>
      </c>
      <c r="S144" t="s">
        <v>201</v>
      </c>
      <c r="T144" t="s">
        <v>247</v>
      </c>
      <c r="U144" t="s">
        <v>1712</v>
      </c>
      <c r="V144" t="s">
        <v>1726</v>
      </c>
      <c r="X144" t="s">
        <v>121</v>
      </c>
      <c r="Y144" t="s">
        <v>1783</v>
      </c>
      <c r="Z144" t="s">
        <v>2036</v>
      </c>
      <c r="AA144" t="s">
        <v>716</v>
      </c>
      <c r="AB144" t="s">
        <v>121</v>
      </c>
    </row>
    <row r="145" spans="3:28" x14ac:dyDescent="0.3">
      <c r="C145" s="11">
        <f t="shared" ca="1" si="2"/>
        <v>95967</v>
      </c>
      <c r="D145" s="11">
        <f t="shared" ca="1" si="3"/>
        <v>98605</v>
      </c>
      <c r="E145">
        <v>98605</v>
      </c>
      <c r="F145" t="s">
        <v>1715</v>
      </c>
      <c r="G145" t="s">
        <v>2037</v>
      </c>
      <c r="H145" t="s">
        <v>1725</v>
      </c>
      <c r="I145" t="s">
        <v>2038</v>
      </c>
      <c r="J145" t="s">
        <v>1761</v>
      </c>
      <c r="L145" s="13">
        <v>42846</v>
      </c>
      <c r="M145" t="s">
        <v>1718</v>
      </c>
      <c r="N145" t="s">
        <v>1709</v>
      </c>
      <c r="O145" s="13">
        <v>42846</v>
      </c>
      <c r="P145" t="s">
        <v>125</v>
      </c>
      <c r="R145" t="s">
        <v>1973</v>
      </c>
      <c r="S145" t="s">
        <v>201</v>
      </c>
      <c r="T145" t="s">
        <v>247</v>
      </c>
      <c r="U145" t="s">
        <v>1712</v>
      </c>
      <c r="V145" t="s">
        <v>1726</v>
      </c>
      <c r="X145" t="s">
        <v>121</v>
      </c>
      <c r="Y145" t="s">
        <v>1783</v>
      </c>
      <c r="Z145" t="s">
        <v>2036</v>
      </c>
      <c r="AA145" t="s">
        <v>716</v>
      </c>
      <c r="AB145" t="s">
        <v>121</v>
      </c>
    </row>
    <row r="146" spans="3:28" x14ac:dyDescent="0.3">
      <c r="C146" s="11">
        <f t="shared" ca="1" si="2"/>
        <v>97056</v>
      </c>
      <c r="D146" s="11">
        <f t="shared" ca="1" si="3"/>
        <v>98610</v>
      </c>
      <c r="E146">
        <v>98610</v>
      </c>
      <c r="F146" t="s">
        <v>1729</v>
      </c>
      <c r="G146" t="s">
        <v>2039</v>
      </c>
      <c r="H146" t="s">
        <v>1705</v>
      </c>
      <c r="I146" t="s">
        <v>1964</v>
      </c>
      <c r="J146" t="s">
        <v>1761</v>
      </c>
      <c r="L146" s="13">
        <v>42846</v>
      </c>
      <c r="M146" t="s">
        <v>1718</v>
      </c>
      <c r="N146" t="s">
        <v>1721</v>
      </c>
      <c r="O146" s="13">
        <v>42846</v>
      </c>
      <c r="P146" t="s">
        <v>1740</v>
      </c>
      <c r="R146" t="s">
        <v>1965</v>
      </c>
      <c r="S146" t="s">
        <v>201</v>
      </c>
      <c r="T146" t="s">
        <v>247</v>
      </c>
      <c r="U146" t="s">
        <v>1712</v>
      </c>
      <c r="V146" t="s">
        <v>1737</v>
      </c>
      <c r="X146" t="s">
        <v>121</v>
      </c>
      <c r="Y146" t="s">
        <v>1783</v>
      </c>
      <c r="Z146" t="s">
        <v>121</v>
      </c>
      <c r="AA146" t="s">
        <v>715</v>
      </c>
      <c r="AB146" t="s">
        <v>121</v>
      </c>
    </row>
    <row r="147" spans="3:28" x14ac:dyDescent="0.3">
      <c r="C147" s="11">
        <f t="shared" ca="1" si="2"/>
        <v>97056</v>
      </c>
      <c r="D147" s="11">
        <f t="shared" ca="1" si="3"/>
        <v>98612</v>
      </c>
      <c r="E147">
        <v>98612</v>
      </c>
      <c r="F147" t="s">
        <v>1729</v>
      </c>
      <c r="G147" t="s">
        <v>2040</v>
      </c>
      <c r="H147" t="s">
        <v>1705</v>
      </c>
      <c r="I147" t="s">
        <v>2038</v>
      </c>
      <c r="J147" t="s">
        <v>1761</v>
      </c>
      <c r="L147" s="13">
        <v>42846</v>
      </c>
      <c r="M147" t="s">
        <v>1718</v>
      </c>
      <c r="N147" t="s">
        <v>1721</v>
      </c>
      <c r="O147" s="13">
        <v>42846</v>
      </c>
      <c r="P147" t="s">
        <v>1740</v>
      </c>
      <c r="S147" t="s">
        <v>201</v>
      </c>
      <c r="T147" t="s">
        <v>247</v>
      </c>
      <c r="U147" t="s">
        <v>1712</v>
      </c>
      <c r="V147" t="s">
        <v>1737</v>
      </c>
      <c r="X147" t="s">
        <v>121</v>
      </c>
      <c r="Y147" t="s">
        <v>1783</v>
      </c>
      <c r="Z147" t="s">
        <v>121</v>
      </c>
      <c r="AA147" t="s">
        <v>715</v>
      </c>
      <c r="AB147" t="s">
        <v>121</v>
      </c>
    </row>
    <row r="148" spans="3:28" x14ac:dyDescent="0.3">
      <c r="C148" s="11">
        <f t="shared" ca="1" si="2"/>
        <v>91565</v>
      </c>
      <c r="D148" s="11">
        <f t="shared" ca="1" si="3"/>
        <v>98613</v>
      </c>
      <c r="E148">
        <v>98613</v>
      </c>
      <c r="F148" t="s">
        <v>1715</v>
      </c>
      <c r="G148" t="s">
        <v>2041</v>
      </c>
      <c r="H148" t="s">
        <v>1725</v>
      </c>
      <c r="I148" t="s">
        <v>2038</v>
      </c>
      <c r="J148" t="s">
        <v>1761</v>
      </c>
      <c r="L148" s="13">
        <v>42846</v>
      </c>
      <c r="M148" t="s">
        <v>1718</v>
      </c>
      <c r="N148" t="s">
        <v>1709</v>
      </c>
      <c r="O148" s="13">
        <v>42846</v>
      </c>
      <c r="P148" t="s">
        <v>125</v>
      </c>
      <c r="R148" t="s">
        <v>1965</v>
      </c>
      <c r="S148" t="s">
        <v>200</v>
      </c>
      <c r="T148" t="s">
        <v>247</v>
      </c>
      <c r="U148" t="s">
        <v>1712</v>
      </c>
      <c r="V148" t="s">
        <v>1726</v>
      </c>
      <c r="X148" t="s">
        <v>121</v>
      </c>
      <c r="Y148" t="s">
        <v>1719</v>
      </c>
      <c r="Z148" t="s">
        <v>121</v>
      </c>
      <c r="AA148" t="s">
        <v>715</v>
      </c>
      <c r="AB148" t="s">
        <v>121</v>
      </c>
    </row>
    <row r="149" spans="3:28" x14ac:dyDescent="0.3">
      <c r="C149" s="11">
        <f t="shared" ca="1" si="2"/>
        <v>97956</v>
      </c>
      <c r="D149" s="11">
        <f t="shared" ca="1" si="3"/>
        <v>98677</v>
      </c>
      <c r="E149">
        <v>98677</v>
      </c>
      <c r="F149" t="s">
        <v>1756</v>
      </c>
      <c r="G149" t="s">
        <v>2042</v>
      </c>
      <c r="H149" t="s">
        <v>1716</v>
      </c>
      <c r="I149" t="s">
        <v>1858</v>
      </c>
      <c r="J149" t="s">
        <v>1729</v>
      </c>
      <c r="L149" s="13">
        <v>42849</v>
      </c>
      <c r="M149" t="s">
        <v>1718</v>
      </c>
      <c r="N149" t="s">
        <v>1937</v>
      </c>
      <c r="O149" s="13">
        <v>42849</v>
      </c>
      <c r="P149" t="s">
        <v>122</v>
      </c>
      <c r="S149" t="s">
        <v>200</v>
      </c>
      <c r="T149" t="s">
        <v>247</v>
      </c>
      <c r="U149" t="s">
        <v>1712</v>
      </c>
      <c r="V149" t="s">
        <v>1751</v>
      </c>
      <c r="X149" t="s">
        <v>121</v>
      </c>
      <c r="Y149" t="s">
        <v>1719</v>
      </c>
      <c r="Z149" t="s">
        <v>121</v>
      </c>
      <c r="AA149" t="s">
        <v>716</v>
      </c>
      <c r="AB149" t="s">
        <v>121</v>
      </c>
    </row>
    <row r="150" spans="3:28" x14ac:dyDescent="0.3">
      <c r="C150" s="11" t="str">
        <f t="shared" ca="1" si="2"/>
        <v>NM</v>
      </c>
      <c r="D150" s="11">
        <f t="shared" ca="1" si="3"/>
        <v>98708</v>
      </c>
      <c r="E150">
        <v>98708</v>
      </c>
      <c r="F150" t="s">
        <v>1855</v>
      </c>
      <c r="G150" t="s">
        <v>2043</v>
      </c>
      <c r="H150" t="s">
        <v>1725</v>
      </c>
      <c r="I150" t="s">
        <v>1717</v>
      </c>
      <c r="J150" t="s">
        <v>1855</v>
      </c>
      <c r="L150" s="13" t="s">
        <v>2044</v>
      </c>
      <c r="M150" t="s">
        <v>1718</v>
      </c>
      <c r="N150" t="s">
        <v>1709</v>
      </c>
      <c r="O150" s="13">
        <v>42850</v>
      </c>
      <c r="P150" t="s">
        <v>125</v>
      </c>
      <c r="R150" t="s">
        <v>1973</v>
      </c>
      <c r="S150" t="s">
        <v>201</v>
      </c>
      <c r="T150" t="s">
        <v>247</v>
      </c>
      <c r="U150" t="s">
        <v>1712</v>
      </c>
      <c r="V150" t="s">
        <v>1726</v>
      </c>
      <c r="X150" t="s">
        <v>121</v>
      </c>
      <c r="Y150" t="s">
        <v>1783</v>
      </c>
      <c r="Z150" t="s">
        <v>2036</v>
      </c>
      <c r="AA150" t="s">
        <v>716</v>
      </c>
      <c r="AB150" t="s">
        <v>121</v>
      </c>
    </row>
    <row r="151" spans="3:28" x14ac:dyDescent="0.3">
      <c r="C151" s="11">
        <f t="shared" ca="1" si="2"/>
        <v>98755</v>
      </c>
      <c r="D151" s="11">
        <f t="shared" ca="1" si="3"/>
        <v>98719</v>
      </c>
      <c r="E151">
        <v>98719</v>
      </c>
      <c r="F151" t="s">
        <v>1762</v>
      </c>
      <c r="G151" t="s">
        <v>2045</v>
      </c>
      <c r="H151" t="s">
        <v>1705</v>
      </c>
      <c r="I151" t="s">
        <v>1706</v>
      </c>
      <c r="J151" t="s">
        <v>2046</v>
      </c>
      <c r="L151" s="13" t="s">
        <v>2047</v>
      </c>
      <c r="M151" t="s">
        <v>1708</v>
      </c>
      <c r="N151" t="s">
        <v>1709</v>
      </c>
      <c r="O151" s="13">
        <v>42850</v>
      </c>
      <c r="P151" t="s">
        <v>125</v>
      </c>
      <c r="R151" t="s">
        <v>1790</v>
      </c>
      <c r="S151" t="s">
        <v>201</v>
      </c>
      <c r="T151" t="s">
        <v>247</v>
      </c>
      <c r="U151" t="s">
        <v>1712</v>
      </c>
      <c r="V151" t="s">
        <v>1726</v>
      </c>
      <c r="X151" t="s">
        <v>121</v>
      </c>
      <c r="Y151" t="s">
        <v>1783</v>
      </c>
      <c r="Z151" t="s">
        <v>121</v>
      </c>
      <c r="AA151" t="s">
        <v>715</v>
      </c>
      <c r="AB151" t="s">
        <v>121</v>
      </c>
    </row>
    <row r="152" spans="3:28" x14ac:dyDescent="0.3">
      <c r="C152" s="11">
        <f t="shared" ca="1" si="2"/>
        <v>98060</v>
      </c>
      <c r="D152" s="11">
        <f t="shared" ca="1" si="3"/>
        <v>98724</v>
      </c>
      <c r="E152">
        <v>98724</v>
      </c>
      <c r="F152" t="s">
        <v>1715</v>
      </c>
      <c r="G152" t="s">
        <v>2048</v>
      </c>
      <c r="H152" t="s">
        <v>1725</v>
      </c>
      <c r="I152" t="s">
        <v>1964</v>
      </c>
      <c r="J152" t="s">
        <v>1801</v>
      </c>
      <c r="L152" s="13">
        <v>42850</v>
      </c>
      <c r="M152" t="s">
        <v>1718</v>
      </c>
      <c r="N152" t="s">
        <v>1709</v>
      </c>
      <c r="O152" s="13">
        <v>42850</v>
      </c>
      <c r="P152" t="s">
        <v>122</v>
      </c>
      <c r="R152" t="s">
        <v>1802</v>
      </c>
      <c r="S152" t="s">
        <v>200</v>
      </c>
      <c r="T152" t="s">
        <v>247</v>
      </c>
      <c r="U152" t="s">
        <v>1712</v>
      </c>
      <c r="V152" t="s">
        <v>1726</v>
      </c>
      <c r="X152" t="s">
        <v>121</v>
      </c>
      <c r="Y152" t="s">
        <v>1714</v>
      </c>
      <c r="Z152" t="s">
        <v>121</v>
      </c>
      <c r="AA152" t="s">
        <v>715</v>
      </c>
      <c r="AB152" t="s">
        <v>121</v>
      </c>
    </row>
    <row r="153" spans="3:28" x14ac:dyDescent="0.3">
      <c r="C153" s="11">
        <f t="shared" ca="1" si="2"/>
        <v>98755</v>
      </c>
      <c r="D153" s="11">
        <f t="shared" ca="1" si="3"/>
        <v>98756</v>
      </c>
      <c r="E153">
        <v>98756</v>
      </c>
      <c r="F153" t="s">
        <v>1715</v>
      </c>
      <c r="G153" t="s">
        <v>2049</v>
      </c>
      <c r="H153" t="s">
        <v>1705</v>
      </c>
      <c r="I153" t="s">
        <v>1792</v>
      </c>
      <c r="J153" t="s">
        <v>1756</v>
      </c>
      <c r="L153" s="13" t="s">
        <v>2050</v>
      </c>
      <c r="M153" t="s">
        <v>1718</v>
      </c>
      <c r="N153" t="s">
        <v>1709</v>
      </c>
      <c r="O153" s="13">
        <v>42851</v>
      </c>
      <c r="P153" t="s">
        <v>125</v>
      </c>
      <c r="R153" t="s">
        <v>1769</v>
      </c>
      <c r="S153" t="s">
        <v>201</v>
      </c>
      <c r="T153" t="s">
        <v>247</v>
      </c>
      <c r="U153" t="s">
        <v>1712</v>
      </c>
      <c r="V153" t="s">
        <v>1726</v>
      </c>
      <c r="X153" t="s">
        <v>121</v>
      </c>
      <c r="Y153" t="s">
        <v>1783</v>
      </c>
      <c r="Z153" t="s">
        <v>121</v>
      </c>
      <c r="AA153" t="s">
        <v>715</v>
      </c>
      <c r="AB153" t="s">
        <v>121</v>
      </c>
    </row>
    <row r="154" spans="3:28" x14ac:dyDescent="0.3">
      <c r="C154" s="11">
        <f t="shared" ca="1" si="2"/>
        <v>98671</v>
      </c>
      <c r="D154" s="11">
        <f t="shared" ca="1" si="3"/>
        <v>98767</v>
      </c>
      <c r="E154">
        <v>98767</v>
      </c>
      <c r="F154" t="s">
        <v>1742</v>
      </c>
      <c r="G154" t="s">
        <v>2051</v>
      </c>
      <c r="H154" t="s">
        <v>1705</v>
      </c>
      <c r="I154" t="s">
        <v>1706</v>
      </c>
      <c r="J154" t="s">
        <v>1729</v>
      </c>
      <c r="L154" s="13" t="s">
        <v>2052</v>
      </c>
      <c r="M154" t="s">
        <v>1708</v>
      </c>
      <c r="N154" t="s">
        <v>1709</v>
      </c>
      <c r="O154" s="13">
        <v>42851</v>
      </c>
      <c r="P154" t="s">
        <v>125</v>
      </c>
      <c r="R154" t="s">
        <v>1790</v>
      </c>
      <c r="S154" t="s">
        <v>201</v>
      </c>
      <c r="T154" t="s">
        <v>247</v>
      </c>
      <c r="U154" t="s">
        <v>1712</v>
      </c>
      <c r="V154" t="s">
        <v>1726</v>
      </c>
      <c r="X154" t="s">
        <v>121</v>
      </c>
      <c r="Y154" t="s">
        <v>1783</v>
      </c>
      <c r="Z154" t="s">
        <v>121</v>
      </c>
      <c r="AA154" t="s">
        <v>715</v>
      </c>
      <c r="AB154" t="s">
        <v>121</v>
      </c>
    </row>
    <row r="155" spans="3:28" x14ac:dyDescent="0.3">
      <c r="C155" s="11">
        <f t="shared" ca="1" si="2"/>
        <v>98671</v>
      </c>
      <c r="D155" s="11">
        <f t="shared" ca="1" si="3"/>
        <v>98775</v>
      </c>
      <c r="E155">
        <v>98775</v>
      </c>
      <c r="F155" t="s">
        <v>1742</v>
      </c>
      <c r="G155" t="s">
        <v>2053</v>
      </c>
      <c r="H155" t="s">
        <v>1705</v>
      </c>
      <c r="I155" t="s">
        <v>1792</v>
      </c>
      <c r="J155" t="s">
        <v>1729</v>
      </c>
      <c r="L155" s="13" t="s">
        <v>2050</v>
      </c>
      <c r="M155" t="s">
        <v>1708</v>
      </c>
      <c r="N155" t="s">
        <v>1709</v>
      </c>
      <c r="O155" s="13" t="s">
        <v>2054</v>
      </c>
      <c r="P155" t="s">
        <v>125</v>
      </c>
      <c r="R155" t="s">
        <v>1769</v>
      </c>
      <c r="S155" t="s">
        <v>201</v>
      </c>
      <c r="T155" t="s">
        <v>247</v>
      </c>
      <c r="U155" t="s">
        <v>1712</v>
      </c>
      <c r="V155" t="s">
        <v>1726</v>
      </c>
      <c r="X155" t="s">
        <v>121</v>
      </c>
      <c r="Y155" t="s">
        <v>1783</v>
      </c>
      <c r="Z155" t="s">
        <v>121</v>
      </c>
      <c r="AA155" t="s">
        <v>715</v>
      </c>
      <c r="AB155" t="s">
        <v>121</v>
      </c>
    </row>
    <row r="156" spans="3:28" x14ac:dyDescent="0.3">
      <c r="C156" s="11">
        <f t="shared" ca="1" si="2"/>
        <v>98060</v>
      </c>
      <c r="D156" s="11">
        <f t="shared" ca="1" si="3"/>
        <v>98776</v>
      </c>
      <c r="E156">
        <v>98776</v>
      </c>
      <c r="F156" t="s">
        <v>1715</v>
      </c>
      <c r="G156" t="s">
        <v>2055</v>
      </c>
      <c r="H156" t="s">
        <v>1725</v>
      </c>
      <c r="I156" t="s">
        <v>2038</v>
      </c>
      <c r="J156" t="s">
        <v>1729</v>
      </c>
      <c r="L156" s="27" t="s">
        <v>2056</v>
      </c>
      <c r="M156" t="s">
        <v>1718</v>
      </c>
      <c r="N156" t="s">
        <v>1721</v>
      </c>
      <c r="O156" s="13" t="s">
        <v>2056</v>
      </c>
      <c r="P156" t="s">
        <v>122</v>
      </c>
      <c r="R156" t="s">
        <v>1802</v>
      </c>
      <c r="S156" t="s">
        <v>200</v>
      </c>
      <c r="T156" t="s">
        <v>247</v>
      </c>
      <c r="U156" t="s">
        <v>1712</v>
      </c>
      <c r="V156" t="s">
        <v>1726</v>
      </c>
      <c r="X156" t="s">
        <v>121</v>
      </c>
      <c r="Y156" t="s">
        <v>1714</v>
      </c>
      <c r="Z156" t="s">
        <v>121</v>
      </c>
      <c r="AA156" t="s">
        <v>715</v>
      </c>
      <c r="AB156" t="s">
        <v>121</v>
      </c>
    </row>
    <row r="157" spans="3:28" x14ac:dyDescent="0.3">
      <c r="C157" s="11">
        <f t="shared" ca="1" si="2"/>
        <v>96610</v>
      </c>
      <c r="D157" s="11">
        <f t="shared" ca="1" si="3"/>
        <v>98779</v>
      </c>
      <c r="E157">
        <v>98779</v>
      </c>
      <c r="F157" t="s">
        <v>1734</v>
      </c>
      <c r="G157" t="s">
        <v>2057</v>
      </c>
      <c r="H157" t="s">
        <v>1725</v>
      </c>
      <c r="I157" t="s">
        <v>1706</v>
      </c>
      <c r="J157" t="s">
        <v>1729</v>
      </c>
      <c r="K157" t="s">
        <v>2058</v>
      </c>
      <c r="L157" s="27">
        <v>0.36340277777777774</v>
      </c>
      <c r="M157" t="s">
        <v>1708</v>
      </c>
      <c r="N157" t="s">
        <v>1735</v>
      </c>
      <c r="O157" s="13" t="s">
        <v>2059</v>
      </c>
      <c r="P157" t="s">
        <v>1796</v>
      </c>
      <c r="R157" t="s">
        <v>1790</v>
      </c>
      <c r="S157" t="s">
        <v>199</v>
      </c>
      <c r="T157" t="s">
        <v>247</v>
      </c>
      <c r="U157" t="s">
        <v>1712</v>
      </c>
      <c r="V157" t="s">
        <v>1726</v>
      </c>
      <c r="X157" t="s">
        <v>121</v>
      </c>
      <c r="Y157" t="s">
        <v>1719</v>
      </c>
      <c r="Z157" t="s">
        <v>121</v>
      </c>
      <c r="AA157" t="s">
        <v>715</v>
      </c>
      <c r="AB157" t="s">
        <v>121</v>
      </c>
    </row>
    <row r="158" spans="3:28" x14ac:dyDescent="0.3">
      <c r="C158" s="11" t="str">
        <f t="shared" ca="1" si="2"/>
        <v>NM</v>
      </c>
      <c r="D158" s="11">
        <f t="shared" ca="1" si="3"/>
        <v>98802</v>
      </c>
      <c r="E158">
        <v>98802</v>
      </c>
      <c r="F158" t="s">
        <v>1756</v>
      </c>
      <c r="G158" t="s">
        <v>2060</v>
      </c>
      <c r="H158" t="s">
        <v>1716</v>
      </c>
      <c r="I158" t="s">
        <v>1792</v>
      </c>
      <c r="J158" t="s">
        <v>1952</v>
      </c>
      <c r="L158" s="27">
        <v>4.1400462962962965E-2</v>
      </c>
      <c r="M158" t="s">
        <v>1718</v>
      </c>
      <c r="N158" t="s">
        <v>1735</v>
      </c>
      <c r="O158" s="13" t="s">
        <v>2061</v>
      </c>
      <c r="P158" t="s">
        <v>1796</v>
      </c>
      <c r="S158" t="s">
        <v>1799</v>
      </c>
      <c r="T158" t="s">
        <v>247</v>
      </c>
      <c r="U158" t="s">
        <v>1712</v>
      </c>
      <c r="V158" t="s">
        <v>1751</v>
      </c>
      <c r="X158" t="s">
        <v>121</v>
      </c>
      <c r="Y158" t="s">
        <v>1719</v>
      </c>
      <c r="Z158" t="s">
        <v>121</v>
      </c>
      <c r="AA158" t="s">
        <v>716</v>
      </c>
      <c r="AB158" t="s">
        <v>121</v>
      </c>
    </row>
    <row r="159" spans="3:28" x14ac:dyDescent="0.3">
      <c r="C159" s="11">
        <f t="shared" ca="1" si="2"/>
        <v>38717</v>
      </c>
      <c r="D159" s="11">
        <f t="shared" ca="1" si="3"/>
        <v>98817</v>
      </c>
      <c r="E159">
        <v>98817</v>
      </c>
      <c r="F159" t="s">
        <v>1749</v>
      </c>
      <c r="G159" t="s">
        <v>2062</v>
      </c>
      <c r="H159" t="s">
        <v>1725</v>
      </c>
      <c r="I159" t="s">
        <v>1858</v>
      </c>
      <c r="J159" t="s">
        <v>1749</v>
      </c>
      <c r="L159" s="13" t="s">
        <v>2063</v>
      </c>
      <c r="M159" t="s">
        <v>1708</v>
      </c>
      <c r="N159" t="s">
        <v>1786</v>
      </c>
      <c r="O159" s="13" t="s">
        <v>2064</v>
      </c>
      <c r="P159" t="s">
        <v>122</v>
      </c>
      <c r="S159" t="s">
        <v>121</v>
      </c>
      <c r="T159" t="s">
        <v>121</v>
      </c>
      <c r="U159" t="s">
        <v>1712</v>
      </c>
      <c r="V159" t="s">
        <v>1730</v>
      </c>
      <c r="X159" t="s">
        <v>121</v>
      </c>
      <c r="Y159" t="s">
        <v>1719</v>
      </c>
      <c r="Z159" t="s">
        <v>121</v>
      </c>
      <c r="AA159" t="s">
        <v>121</v>
      </c>
      <c r="AB159" t="s">
        <v>121</v>
      </c>
    </row>
    <row r="160" spans="3:28" x14ac:dyDescent="0.3">
      <c r="C160" s="11">
        <f t="shared" ca="1" si="2"/>
        <v>98696</v>
      </c>
      <c r="D160" s="11">
        <f t="shared" ca="1" si="3"/>
        <v>98839</v>
      </c>
      <c r="E160">
        <v>98839</v>
      </c>
      <c r="F160" t="s">
        <v>2065</v>
      </c>
      <c r="G160" t="s">
        <v>2066</v>
      </c>
      <c r="H160" t="s">
        <v>1725</v>
      </c>
      <c r="I160" t="s">
        <v>1706</v>
      </c>
      <c r="J160" t="s">
        <v>1729</v>
      </c>
      <c r="L160" s="27" t="s">
        <v>2067</v>
      </c>
      <c r="M160" t="s">
        <v>1708</v>
      </c>
      <c r="N160" t="s">
        <v>1721</v>
      </c>
      <c r="O160" s="13" t="s">
        <v>2067</v>
      </c>
      <c r="P160" t="s">
        <v>1727</v>
      </c>
      <c r="R160" t="s">
        <v>1790</v>
      </c>
      <c r="S160" t="s">
        <v>199</v>
      </c>
      <c r="T160" t="s">
        <v>247</v>
      </c>
      <c r="U160" t="s">
        <v>1712</v>
      </c>
      <c r="V160" t="s">
        <v>1803</v>
      </c>
      <c r="X160" t="s">
        <v>121</v>
      </c>
      <c r="Y160" t="s">
        <v>1719</v>
      </c>
      <c r="Z160" t="s">
        <v>121</v>
      </c>
      <c r="AA160" t="s">
        <v>715</v>
      </c>
      <c r="AB160" t="s">
        <v>121</v>
      </c>
    </row>
    <row r="161" spans="3:28" x14ac:dyDescent="0.3">
      <c r="C161" s="11">
        <f t="shared" ca="1" si="2"/>
        <v>34651</v>
      </c>
      <c r="D161" s="11">
        <f t="shared" ca="1" si="3"/>
        <v>98842</v>
      </c>
      <c r="E161">
        <v>98842</v>
      </c>
      <c r="F161" t="s">
        <v>1749</v>
      </c>
      <c r="G161" t="s">
        <v>2068</v>
      </c>
      <c r="H161" t="s">
        <v>1716</v>
      </c>
      <c r="I161" t="s">
        <v>1858</v>
      </c>
      <c r="J161" t="s">
        <v>1749</v>
      </c>
      <c r="L161" s="27" t="s">
        <v>2069</v>
      </c>
      <c r="M161" t="s">
        <v>1708</v>
      </c>
      <c r="N161" t="s">
        <v>1786</v>
      </c>
      <c r="O161" s="13" t="s">
        <v>2069</v>
      </c>
      <c r="P161" t="s">
        <v>122</v>
      </c>
      <c r="S161" t="s">
        <v>200</v>
      </c>
      <c r="T161" t="s">
        <v>121</v>
      </c>
      <c r="U161" t="s">
        <v>1712</v>
      </c>
      <c r="V161" t="s">
        <v>1730</v>
      </c>
      <c r="X161" t="s">
        <v>121</v>
      </c>
      <c r="Y161" t="s">
        <v>1719</v>
      </c>
      <c r="Z161" t="s">
        <v>121</v>
      </c>
      <c r="AA161" t="s">
        <v>121</v>
      </c>
      <c r="AB161" t="s">
        <v>121</v>
      </c>
    </row>
    <row r="162" spans="3:28" x14ac:dyDescent="0.3">
      <c r="C162" s="11">
        <f t="shared" ca="1" si="2"/>
        <v>59294</v>
      </c>
      <c r="D162" s="11">
        <f t="shared" ca="1" si="3"/>
        <v>98843</v>
      </c>
      <c r="E162">
        <v>98843</v>
      </c>
      <c r="F162" t="s">
        <v>1749</v>
      </c>
      <c r="G162" t="s">
        <v>2070</v>
      </c>
      <c r="H162" t="s">
        <v>1705</v>
      </c>
      <c r="I162" t="s">
        <v>1858</v>
      </c>
      <c r="J162" t="s">
        <v>1749</v>
      </c>
      <c r="L162" s="27" t="s">
        <v>2071</v>
      </c>
      <c r="M162" t="s">
        <v>1708</v>
      </c>
      <c r="N162" t="s">
        <v>1786</v>
      </c>
      <c r="O162" s="13" t="s">
        <v>2071</v>
      </c>
      <c r="P162" t="s">
        <v>122</v>
      </c>
      <c r="S162" t="s">
        <v>200</v>
      </c>
      <c r="T162" t="s">
        <v>247</v>
      </c>
      <c r="U162" t="s">
        <v>1712</v>
      </c>
      <c r="V162" t="s">
        <v>1730</v>
      </c>
      <c r="X162" t="s">
        <v>121</v>
      </c>
      <c r="Y162" t="s">
        <v>1719</v>
      </c>
      <c r="Z162" t="s">
        <v>121</v>
      </c>
      <c r="AA162" t="s">
        <v>715</v>
      </c>
      <c r="AB162" t="s">
        <v>121</v>
      </c>
    </row>
    <row r="163" spans="3:28" x14ac:dyDescent="0.3">
      <c r="C163" s="11">
        <f t="shared" ca="1" si="2"/>
        <v>62222</v>
      </c>
      <c r="D163" s="11">
        <f t="shared" ca="1" si="3"/>
        <v>98844</v>
      </c>
      <c r="E163">
        <v>98844</v>
      </c>
      <c r="F163" t="s">
        <v>1749</v>
      </c>
      <c r="G163" t="s">
        <v>2072</v>
      </c>
      <c r="H163" t="s">
        <v>1725</v>
      </c>
      <c r="I163" t="s">
        <v>1858</v>
      </c>
      <c r="J163" t="s">
        <v>1749</v>
      </c>
      <c r="L163" s="13" t="s">
        <v>2073</v>
      </c>
      <c r="M163" t="s">
        <v>1708</v>
      </c>
      <c r="N163" t="s">
        <v>1786</v>
      </c>
      <c r="O163" s="13" t="s">
        <v>2073</v>
      </c>
      <c r="P163" t="s">
        <v>122</v>
      </c>
      <c r="S163" t="s">
        <v>200</v>
      </c>
      <c r="T163" t="s">
        <v>247</v>
      </c>
      <c r="U163" t="s">
        <v>1712</v>
      </c>
      <c r="V163" t="s">
        <v>1730</v>
      </c>
      <c r="X163" t="s">
        <v>121</v>
      </c>
      <c r="Y163" t="s">
        <v>1719</v>
      </c>
      <c r="Z163" t="s">
        <v>121</v>
      </c>
      <c r="AA163" t="s">
        <v>715</v>
      </c>
      <c r="AB163" t="s">
        <v>121</v>
      </c>
    </row>
    <row r="164" spans="3:28" x14ac:dyDescent="0.3">
      <c r="C164" s="11">
        <f t="shared" ca="1" si="2"/>
        <v>55364</v>
      </c>
      <c r="D164" s="11">
        <f t="shared" ca="1" si="3"/>
        <v>98845</v>
      </c>
      <c r="E164">
        <v>98845</v>
      </c>
      <c r="F164" t="s">
        <v>1749</v>
      </c>
      <c r="G164" t="s">
        <v>2074</v>
      </c>
      <c r="H164" t="s">
        <v>1725</v>
      </c>
      <c r="I164" t="s">
        <v>1858</v>
      </c>
      <c r="J164" t="s">
        <v>1749</v>
      </c>
      <c r="K164" t="s">
        <v>2075</v>
      </c>
      <c r="L164" s="13" t="s">
        <v>2076</v>
      </c>
      <c r="M164" t="s">
        <v>1708</v>
      </c>
      <c r="N164" t="s">
        <v>1786</v>
      </c>
      <c r="O164" s="13" t="s">
        <v>2077</v>
      </c>
      <c r="P164" t="s">
        <v>125</v>
      </c>
      <c r="S164" t="s">
        <v>201</v>
      </c>
      <c r="T164" t="s">
        <v>247</v>
      </c>
      <c r="U164" t="s">
        <v>1712</v>
      </c>
      <c r="V164" t="s">
        <v>1726</v>
      </c>
      <c r="X164" t="s">
        <v>121</v>
      </c>
      <c r="Y164" t="s">
        <v>1719</v>
      </c>
      <c r="Z164" t="s">
        <v>121</v>
      </c>
      <c r="AA164" t="s">
        <v>716</v>
      </c>
      <c r="AB164" t="s">
        <v>121</v>
      </c>
    </row>
    <row r="165" spans="3:28" x14ac:dyDescent="0.3">
      <c r="C165" s="11" t="str">
        <f t="shared" ref="C165:C228" ca="1" si="4">HYPERLINK(CONCATENATE($A$501,"/bugzilla/show_bug.cgi?id=",IFERROR(VALUE(MID(INDIRECT("g"&amp;ROW()),9,5)),INDIRECT("e"&amp;ROW()))),IFERROR(VALUE(MID(INDIRECT("g"&amp;ROW()),9,5)),"NM"))</f>
        <v>NM</v>
      </c>
      <c r="D165" s="11">
        <f t="shared" ref="D165:D228" ca="1" si="5">HYPERLINK(CONCATENATE("https://bugzilla.houston.hpecorp.net:1181/bugzilla/show_bug.cgi?id=",INDIRECT("e"&amp;ROW())),INDIRECT("e"&amp;ROW()))</f>
        <v>98846</v>
      </c>
      <c r="E165">
        <v>98846</v>
      </c>
      <c r="F165" t="s">
        <v>1749</v>
      </c>
      <c r="G165" t="s">
        <v>2078</v>
      </c>
      <c r="H165" t="s">
        <v>1725</v>
      </c>
      <c r="I165" t="s">
        <v>1858</v>
      </c>
      <c r="J165" t="s">
        <v>1749</v>
      </c>
      <c r="K165" t="s">
        <v>2007</v>
      </c>
      <c r="L165" s="27">
        <v>0.47631944444444446</v>
      </c>
      <c r="M165" t="s">
        <v>1708</v>
      </c>
      <c r="N165" t="s">
        <v>1943</v>
      </c>
      <c r="O165" s="13" t="s">
        <v>2079</v>
      </c>
      <c r="P165" t="s">
        <v>122</v>
      </c>
      <c r="S165" t="s">
        <v>200</v>
      </c>
      <c r="T165" t="s">
        <v>933</v>
      </c>
      <c r="U165" t="s">
        <v>1712</v>
      </c>
      <c r="V165" t="s">
        <v>1730</v>
      </c>
      <c r="X165" t="s">
        <v>121</v>
      </c>
      <c r="Y165" t="s">
        <v>1719</v>
      </c>
      <c r="Z165" t="s">
        <v>121</v>
      </c>
      <c r="AA165" t="s">
        <v>715</v>
      </c>
      <c r="AB165" t="s">
        <v>121</v>
      </c>
    </row>
    <row r="166" spans="3:28" x14ac:dyDescent="0.3">
      <c r="C166" s="11" t="str">
        <f t="shared" ca="1" si="4"/>
        <v>NM</v>
      </c>
      <c r="D166" s="11">
        <f t="shared" ca="1" si="5"/>
        <v>98852</v>
      </c>
      <c r="E166">
        <v>98852</v>
      </c>
      <c r="F166" t="s">
        <v>1756</v>
      </c>
      <c r="G166" t="s">
        <v>2080</v>
      </c>
      <c r="H166" t="s">
        <v>1716</v>
      </c>
      <c r="I166" t="s">
        <v>1792</v>
      </c>
      <c r="J166" t="s">
        <v>1952</v>
      </c>
      <c r="L166" s="27">
        <v>4.2569444444444444E-2</v>
      </c>
      <c r="M166" t="s">
        <v>1718</v>
      </c>
      <c r="N166" t="s">
        <v>1735</v>
      </c>
      <c r="O166" s="13" t="s">
        <v>2081</v>
      </c>
      <c r="P166" t="s">
        <v>1796</v>
      </c>
      <c r="S166" t="s">
        <v>1799</v>
      </c>
      <c r="T166" t="s">
        <v>247</v>
      </c>
      <c r="U166" t="s">
        <v>1712</v>
      </c>
      <c r="V166" t="s">
        <v>1751</v>
      </c>
      <c r="X166" t="s">
        <v>121</v>
      </c>
      <c r="Y166" t="s">
        <v>1719</v>
      </c>
      <c r="Z166" t="s">
        <v>121</v>
      </c>
      <c r="AA166" t="s">
        <v>716</v>
      </c>
      <c r="AB166" t="s">
        <v>121</v>
      </c>
    </row>
    <row r="167" spans="3:28" x14ac:dyDescent="0.3">
      <c r="C167" s="11">
        <f t="shared" ca="1" si="4"/>
        <v>96060</v>
      </c>
      <c r="D167" s="11">
        <f t="shared" ca="1" si="5"/>
        <v>98861</v>
      </c>
      <c r="E167">
        <v>98861</v>
      </c>
      <c r="F167" t="s">
        <v>1762</v>
      </c>
      <c r="G167" t="s">
        <v>2082</v>
      </c>
      <c r="H167" t="s">
        <v>1705</v>
      </c>
      <c r="I167" t="s">
        <v>1824</v>
      </c>
      <c r="J167" t="s">
        <v>1762</v>
      </c>
      <c r="L167" s="27" t="s">
        <v>2083</v>
      </c>
      <c r="M167" t="s">
        <v>1718</v>
      </c>
      <c r="N167" t="s">
        <v>1768</v>
      </c>
      <c r="O167" s="13" t="s">
        <v>2083</v>
      </c>
      <c r="P167" t="s">
        <v>125</v>
      </c>
      <c r="R167" t="s">
        <v>1790</v>
      </c>
      <c r="S167" t="s">
        <v>200</v>
      </c>
      <c r="T167" t="s">
        <v>247</v>
      </c>
      <c r="U167" t="s">
        <v>1712</v>
      </c>
      <c r="V167" t="s">
        <v>1726</v>
      </c>
      <c r="X167" t="s">
        <v>121</v>
      </c>
      <c r="Y167" t="s">
        <v>1783</v>
      </c>
      <c r="Z167" t="s">
        <v>121</v>
      </c>
      <c r="AA167" t="s">
        <v>715</v>
      </c>
      <c r="AB167" t="s">
        <v>121</v>
      </c>
    </row>
    <row r="168" spans="3:28" x14ac:dyDescent="0.3">
      <c r="C168" s="11">
        <f t="shared" ca="1" si="4"/>
        <v>98774</v>
      </c>
      <c r="D168" s="11">
        <f t="shared" ca="1" si="5"/>
        <v>98874</v>
      </c>
      <c r="E168">
        <v>98874</v>
      </c>
      <c r="F168" t="s">
        <v>1715</v>
      </c>
      <c r="G168" t="s">
        <v>2084</v>
      </c>
      <c r="H168" t="s">
        <v>1725</v>
      </c>
      <c r="I168" t="s">
        <v>1792</v>
      </c>
      <c r="J168" t="s">
        <v>1729</v>
      </c>
      <c r="L168" s="27" t="s">
        <v>2085</v>
      </c>
      <c r="M168" t="s">
        <v>1718</v>
      </c>
      <c r="N168" t="s">
        <v>1793</v>
      </c>
      <c r="O168" s="13" t="s">
        <v>1948</v>
      </c>
      <c r="P168" t="s">
        <v>1796</v>
      </c>
      <c r="R168" t="s">
        <v>1711</v>
      </c>
      <c r="S168" t="s">
        <v>200</v>
      </c>
      <c r="T168" t="s">
        <v>247</v>
      </c>
      <c r="U168" t="s">
        <v>1712</v>
      </c>
      <c r="V168" t="s">
        <v>1726</v>
      </c>
      <c r="X168" t="s">
        <v>121</v>
      </c>
      <c r="Y168" t="s">
        <v>1719</v>
      </c>
      <c r="Z168" t="s">
        <v>121</v>
      </c>
      <c r="AA168" t="s">
        <v>715</v>
      </c>
      <c r="AB168" t="s">
        <v>121</v>
      </c>
    </row>
    <row r="169" spans="3:28" x14ac:dyDescent="0.3">
      <c r="C169" s="11">
        <f t="shared" ca="1" si="4"/>
        <v>98774</v>
      </c>
      <c r="D169" s="11">
        <f t="shared" ca="1" si="5"/>
        <v>98910</v>
      </c>
      <c r="E169">
        <v>98910</v>
      </c>
      <c r="F169" t="s">
        <v>1715</v>
      </c>
      <c r="G169" t="s">
        <v>2086</v>
      </c>
      <c r="H169" t="s">
        <v>1725</v>
      </c>
      <c r="I169" t="s">
        <v>1706</v>
      </c>
      <c r="J169" t="s">
        <v>1801</v>
      </c>
      <c r="L169" s="27" t="s">
        <v>2087</v>
      </c>
      <c r="M169" t="s">
        <v>1718</v>
      </c>
      <c r="N169" t="s">
        <v>1793</v>
      </c>
      <c r="O169" s="27" t="s">
        <v>2088</v>
      </c>
      <c r="P169" t="s">
        <v>1796</v>
      </c>
      <c r="R169" t="s">
        <v>1790</v>
      </c>
      <c r="S169" t="s">
        <v>200</v>
      </c>
      <c r="T169" t="s">
        <v>247</v>
      </c>
      <c r="U169" t="s">
        <v>1712</v>
      </c>
      <c r="V169" t="s">
        <v>1726</v>
      </c>
      <c r="X169" t="s">
        <v>121</v>
      </c>
      <c r="Y169" t="s">
        <v>1719</v>
      </c>
      <c r="Z169" t="s">
        <v>121</v>
      </c>
      <c r="AA169" t="s">
        <v>715</v>
      </c>
      <c r="AB169" t="s">
        <v>121</v>
      </c>
    </row>
    <row r="170" spans="3:28" x14ac:dyDescent="0.3">
      <c r="C170" s="11" t="str">
        <f t="shared" ca="1" si="4"/>
        <v>NM</v>
      </c>
      <c r="D170" s="11">
        <f t="shared" ca="1" si="5"/>
        <v>98927</v>
      </c>
      <c r="E170">
        <v>98927</v>
      </c>
      <c r="F170" t="s">
        <v>1800</v>
      </c>
      <c r="G170" t="s">
        <v>2089</v>
      </c>
      <c r="H170" t="s">
        <v>1725</v>
      </c>
      <c r="I170" t="s">
        <v>1330</v>
      </c>
      <c r="J170" t="s">
        <v>1800</v>
      </c>
      <c r="L170" s="27">
        <v>0.33289351851851851</v>
      </c>
      <c r="M170" t="s">
        <v>1718</v>
      </c>
      <c r="N170" t="s">
        <v>1793</v>
      </c>
      <c r="O170" s="27">
        <v>9.28587962962963E-2</v>
      </c>
      <c r="P170" t="s">
        <v>118</v>
      </c>
      <c r="R170" t="s">
        <v>1790</v>
      </c>
      <c r="S170" t="s">
        <v>200</v>
      </c>
      <c r="T170" t="s">
        <v>247</v>
      </c>
      <c r="U170" t="s">
        <v>1712</v>
      </c>
      <c r="V170" t="s">
        <v>1726</v>
      </c>
      <c r="X170" t="s">
        <v>121</v>
      </c>
      <c r="Y170" t="s">
        <v>1719</v>
      </c>
      <c r="Z170" t="s">
        <v>121</v>
      </c>
      <c r="AA170" t="s">
        <v>715</v>
      </c>
      <c r="AB170" t="s">
        <v>121</v>
      </c>
    </row>
    <row r="171" spans="3:28" x14ac:dyDescent="0.3">
      <c r="C171" s="11">
        <f t="shared" ca="1" si="4"/>
        <v>98888</v>
      </c>
      <c r="D171" s="11">
        <f t="shared" ca="1" si="5"/>
        <v>98940</v>
      </c>
      <c r="E171">
        <v>98940</v>
      </c>
      <c r="F171" t="s">
        <v>1715</v>
      </c>
      <c r="G171" t="s">
        <v>2090</v>
      </c>
      <c r="H171" t="s">
        <v>1705</v>
      </c>
      <c r="I171" t="s">
        <v>1706</v>
      </c>
      <c r="J171" t="s">
        <v>1729</v>
      </c>
      <c r="L171" s="27">
        <v>0.19163194444444445</v>
      </c>
      <c r="M171" t="s">
        <v>1718</v>
      </c>
      <c r="N171" t="s">
        <v>1709</v>
      </c>
      <c r="O171" s="27">
        <v>0.19163194444444445</v>
      </c>
      <c r="P171" t="s">
        <v>125</v>
      </c>
      <c r="R171" t="s">
        <v>1790</v>
      </c>
      <c r="S171" t="s">
        <v>201</v>
      </c>
      <c r="T171" t="s">
        <v>247</v>
      </c>
      <c r="U171" t="s">
        <v>1712</v>
      </c>
      <c r="V171" t="s">
        <v>1726</v>
      </c>
      <c r="X171" t="s">
        <v>121</v>
      </c>
      <c r="Y171" t="s">
        <v>1783</v>
      </c>
      <c r="Z171" t="s">
        <v>121</v>
      </c>
      <c r="AA171" t="s">
        <v>715</v>
      </c>
      <c r="AB171" t="s">
        <v>121</v>
      </c>
    </row>
    <row r="172" spans="3:28" x14ac:dyDescent="0.3">
      <c r="C172" s="11">
        <f t="shared" ca="1" si="4"/>
        <v>98891</v>
      </c>
      <c r="D172" s="11">
        <f t="shared" ca="1" si="5"/>
        <v>98941</v>
      </c>
      <c r="E172">
        <v>98941</v>
      </c>
      <c r="F172" t="s">
        <v>1715</v>
      </c>
      <c r="G172" t="s">
        <v>2091</v>
      </c>
      <c r="H172" t="s">
        <v>1705</v>
      </c>
      <c r="I172" t="s">
        <v>1706</v>
      </c>
      <c r="J172" t="s">
        <v>1729</v>
      </c>
      <c r="L172" s="27">
        <v>0.19349537037037037</v>
      </c>
      <c r="M172" t="s">
        <v>1718</v>
      </c>
      <c r="N172" t="s">
        <v>1709</v>
      </c>
      <c r="O172" s="27">
        <v>0.19349537037037037</v>
      </c>
      <c r="P172" t="s">
        <v>125</v>
      </c>
      <c r="R172" t="s">
        <v>1790</v>
      </c>
      <c r="S172" t="s">
        <v>201</v>
      </c>
      <c r="T172" t="s">
        <v>247</v>
      </c>
      <c r="U172" t="s">
        <v>1712</v>
      </c>
      <c r="V172" t="s">
        <v>1726</v>
      </c>
      <c r="X172" t="s">
        <v>121</v>
      </c>
      <c r="Y172" t="s">
        <v>1783</v>
      </c>
      <c r="Z172" t="s">
        <v>121</v>
      </c>
      <c r="AA172" t="s">
        <v>715</v>
      </c>
      <c r="AB172" t="s">
        <v>121</v>
      </c>
    </row>
    <row r="173" spans="3:28" x14ac:dyDescent="0.3">
      <c r="C173" s="11">
        <f t="shared" ca="1" si="4"/>
        <v>98690</v>
      </c>
      <c r="D173" s="11">
        <f t="shared" ca="1" si="5"/>
        <v>98942</v>
      </c>
      <c r="E173">
        <v>98942</v>
      </c>
      <c r="F173" t="s">
        <v>2065</v>
      </c>
      <c r="G173" t="s">
        <v>2092</v>
      </c>
      <c r="H173" t="s">
        <v>1725</v>
      </c>
      <c r="I173" t="s">
        <v>1706</v>
      </c>
      <c r="J173" t="s">
        <v>1729</v>
      </c>
      <c r="L173" s="27">
        <v>0.24513888888888888</v>
      </c>
      <c r="M173" t="s">
        <v>1718</v>
      </c>
      <c r="N173" t="s">
        <v>1735</v>
      </c>
      <c r="O173" s="27">
        <v>0.20458333333333334</v>
      </c>
      <c r="P173" t="s">
        <v>793</v>
      </c>
      <c r="R173" t="s">
        <v>1779</v>
      </c>
      <c r="S173" t="s">
        <v>199</v>
      </c>
      <c r="T173" t="s">
        <v>247</v>
      </c>
      <c r="U173" t="s">
        <v>1712</v>
      </c>
      <c r="V173" t="s">
        <v>1803</v>
      </c>
      <c r="X173" t="s">
        <v>121</v>
      </c>
      <c r="Y173" t="s">
        <v>1714</v>
      </c>
      <c r="Z173" t="s">
        <v>121</v>
      </c>
      <c r="AA173" t="s">
        <v>715</v>
      </c>
      <c r="AB173" t="s">
        <v>121</v>
      </c>
    </row>
    <row r="174" spans="3:28" x14ac:dyDescent="0.3">
      <c r="C174" s="11" t="str">
        <f t="shared" ca="1" si="4"/>
        <v>NM</v>
      </c>
      <c r="D174" s="11">
        <f t="shared" ca="1" si="5"/>
        <v>98947</v>
      </c>
      <c r="E174">
        <v>98947</v>
      </c>
      <c r="F174" t="s">
        <v>1715</v>
      </c>
      <c r="G174" t="s">
        <v>2093</v>
      </c>
      <c r="H174" t="s">
        <v>1716</v>
      </c>
      <c r="I174" t="s">
        <v>1792</v>
      </c>
      <c r="J174" t="s">
        <v>1952</v>
      </c>
      <c r="L174" s="27">
        <v>0.23149305555555555</v>
      </c>
      <c r="M174" t="s">
        <v>1718</v>
      </c>
      <c r="N174" t="s">
        <v>1735</v>
      </c>
      <c r="O174" s="27">
        <v>0.22952546296296297</v>
      </c>
      <c r="P174" t="s">
        <v>1796</v>
      </c>
      <c r="S174" t="s">
        <v>1799</v>
      </c>
      <c r="T174" t="s">
        <v>247</v>
      </c>
      <c r="U174" t="s">
        <v>1712</v>
      </c>
      <c r="V174" t="s">
        <v>1726</v>
      </c>
      <c r="X174" t="s">
        <v>121</v>
      </c>
      <c r="Y174" t="s">
        <v>1719</v>
      </c>
      <c r="Z174" t="s">
        <v>121</v>
      </c>
      <c r="AA174" t="s">
        <v>716</v>
      </c>
      <c r="AB174" t="s">
        <v>121</v>
      </c>
    </row>
    <row r="175" spans="3:28" x14ac:dyDescent="0.3">
      <c r="C175" s="11" t="str">
        <f t="shared" ca="1" si="4"/>
        <v>NM</v>
      </c>
      <c r="D175" s="11">
        <f t="shared" ca="1" si="5"/>
        <v>98951</v>
      </c>
      <c r="E175">
        <v>98951</v>
      </c>
      <c r="F175" t="s">
        <v>1715</v>
      </c>
      <c r="G175" t="s">
        <v>2094</v>
      </c>
      <c r="H175" t="s">
        <v>1716</v>
      </c>
      <c r="I175" t="s">
        <v>1717</v>
      </c>
      <c r="J175" t="s">
        <v>1952</v>
      </c>
      <c r="L175" s="27">
        <v>0.47447916666666662</v>
      </c>
      <c r="M175" t="s">
        <v>1718</v>
      </c>
      <c r="N175" t="s">
        <v>1735</v>
      </c>
      <c r="O175" s="27">
        <v>0.24959490740740742</v>
      </c>
      <c r="P175" t="s">
        <v>1796</v>
      </c>
      <c r="S175" t="s">
        <v>201</v>
      </c>
      <c r="T175" t="s">
        <v>247</v>
      </c>
      <c r="U175" t="s">
        <v>1712</v>
      </c>
      <c r="V175" t="s">
        <v>1726</v>
      </c>
      <c r="X175" t="s">
        <v>121</v>
      </c>
      <c r="Y175" t="s">
        <v>1719</v>
      </c>
      <c r="Z175" t="s">
        <v>121</v>
      </c>
      <c r="AA175" t="s">
        <v>717</v>
      </c>
      <c r="AB175" t="s">
        <v>121</v>
      </c>
    </row>
    <row r="176" spans="3:28" x14ac:dyDescent="0.3">
      <c r="C176" s="11">
        <f t="shared" ca="1" si="4"/>
        <v>91429</v>
      </c>
      <c r="D176" s="11">
        <f t="shared" ca="1" si="5"/>
        <v>98954</v>
      </c>
      <c r="E176">
        <v>98954</v>
      </c>
      <c r="F176" t="s">
        <v>1795</v>
      </c>
      <c r="G176" t="s">
        <v>2095</v>
      </c>
      <c r="H176" t="s">
        <v>1705</v>
      </c>
      <c r="I176" t="s">
        <v>1792</v>
      </c>
      <c r="J176" t="s">
        <v>1723</v>
      </c>
      <c r="L176" s="27">
        <v>0.37738425925925928</v>
      </c>
      <c r="M176" t="s">
        <v>1718</v>
      </c>
      <c r="N176" t="s">
        <v>1793</v>
      </c>
      <c r="O176" s="27">
        <v>0.31887731481481479</v>
      </c>
      <c r="P176" t="s">
        <v>1727</v>
      </c>
      <c r="S176" t="s">
        <v>201</v>
      </c>
      <c r="T176" t="s">
        <v>247</v>
      </c>
      <c r="U176" t="s">
        <v>1712</v>
      </c>
      <c r="V176" t="s">
        <v>1726</v>
      </c>
      <c r="X176" t="s">
        <v>121</v>
      </c>
      <c r="Y176" t="s">
        <v>1719</v>
      </c>
      <c r="Z176" t="s">
        <v>121</v>
      </c>
      <c r="AA176" t="s">
        <v>715</v>
      </c>
      <c r="AB176" t="s">
        <v>1991</v>
      </c>
    </row>
    <row r="177" spans="3:28" x14ac:dyDescent="0.3">
      <c r="C177" s="11" t="str">
        <f t="shared" ca="1" si="4"/>
        <v>NM</v>
      </c>
      <c r="D177" s="11">
        <f t="shared" ca="1" si="5"/>
        <v>98956</v>
      </c>
      <c r="E177">
        <v>98956</v>
      </c>
      <c r="F177" t="s">
        <v>1715</v>
      </c>
      <c r="G177" t="s">
        <v>2096</v>
      </c>
      <c r="H177" t="s">
        <v>1716</v>
      </c>
      <c r="I177" t="s">
        <v>1792</v>
      </c>
      <c r="J177" t="s">
        <v>1952</v>
      </c>
      <c r="L177" s="27">
        <v>0.34476851851851853</v>
      </c>
      <c r="M177" t="s">
        <v>1718</v>
      </c>
      <c r="N177" t="s">
        <v>1735</v>
      </c>
      <c r="O177" s="27">
        <v>0.33813657407407405</v>
      </c>
      <c r="P177" t="s">
        <v>1796</v>
      </c>
      <c r="S177" t="s">
        <v>1799</v>
      </c>
      <c r="T177" t="s">
        <v>247</v>
      </c>
      <c r="U177" t="s">
        <v>1712</v>
      </c>
      <c r="V177" t="s">
        <v>1726</v>
      </c>
      <c r="X177" t="s">
        <v>121</v>
      </c>
      <c r="Y177" t="s">
        <v>1719</v>
      </c>
      <c r="Z177" t="s">
        <v>121</v>
      </c>
      <c r="AA177" t="s">
        <v>716</v>
      </c>
      <c r="AB177" t="s">
        <v>121</v>
      </c>
    </row>
    <row r="178" spans="3:28" x14ac:dyDescent="0.3">
      <c r="C178" s="11" t="str">
        <f t="shared" ca="1" si="4"/>
        <v>NM</v>
      </c>
      <c r="D178" s="11">
        <f t="shared" ca="1" si="5"/>
        <v>98957</v>
      </c>
      <c r="E178">
        <v>98957</v>
      </c>
      <c r="F178" t="s">
        <v>1715</v>
      </c>
      <c r="G178" t="s">
        <v>2097</v>
      </c>
      <c r="H178" t="s">
        <v>1716</v>
      </c>
      <c r="I178" t="s">
        <v>1792</v>
      </c>
      <c r="J178" t="s">
        <v>1952</v>
      </c>
      <c r="L178" s="27">
        <v>0.34385416666666663</v>
      </c>
      <c r="M178" t="s">
        <v>1718</v>
      </c>
      <c r="N178" t="s">
        <v>1735</v>
      </c>
      <c r="O178" s="27">
        <v>0.34354166666666663</v>
      </c>
      <c r="P178" t="s">
        <v>1796</v>
      </c>
      <c r="S178" t="s">
        <v>1799</v>
      </c>
      <c r="T178" t="s">
        <v>247</v>
      </c>
      <c r="U178" t="s">
        <v>1712</v>
      </c>
      <c r="V178" t="s">
        <v>1726</v>
      </c>
      <c r="X178" t="s">
        <v>121</v>
      </c>
      <c r="Y178" t="s">
        <v>1719</v>
      </c>
      <c r="Z178" t="s">
        <v>121</v>
      </c>
      <c r="AA178" t="s">
        <v>716</v>
      </c>
      <c r="AB178" t="s">
        <v>121</v>
      </c>
    </row>
    <row r="179" spans="3:28" x14ac:dyDescent="0.3">
      <c r="C179" s="11" t="str">
        <f t="shared" ca="1" si="4"/>
        <v>NM</v>
      </c>
      <c r="D179" s="11">
        <f t="shared" ca="1" si="5"/>
        <v>98958</v>
      </c>
      <c r="E179">
        <v>98958</v>
      </c>
      <c r="F179" t="s">
        <v>1715</v>
      </c>
      <c r="G179" t="s">
        <v>2098</v>
      </c>
      <c r="H179" t="s">
        <v>1716</v>
      </c>
      <c r="I179" t="s">
        <v>1792</v>
      </c>
      <c r="J179" t="s">
        <v>1952</v>
      </c>
      <c r="L179" s="27">
        <v>0.34739583333333335</v>
      </c>
      <c r="M179" t="s">
        <v>1718</v>
      </c>
      <c r="N179" t="s">
        <v>1735</v>
      </c>
      <c r="O179" s="27">
        <v>0.34703703703703703</v>
      </c>
      <c r="P179" t="s">
        <v>1796</v>
      </c>
      <c r="S179" t="s">
        <v>1799</v>
      </c>
      <c r="T179" t="s">
        <v>247</v>
      </c>
      <c r="U179" t="s">
        <v>1712</v>
      </c>
      <c r="V179" t="s">
        <v>1726</v>
      </c>
      <c r="X179" t="s">
        <v>121</v>
      </c>
      <c r="Y179" t="s">
        <v>1719</v>
      </c>
      <c r="Z179" t="s">
        <v>121</v>
      </c>
      <c r="AA179" t="s">
        <v>716</v>
      </c>
      <c r="AB179" t="s">
        <v>121</v>
      </c>
    </row>
    <row r="180" spans="3:28" x14ac:dyDescent="0.3">
      <c r="C180" s="11" t="str">
        <f t="shared" ca="1" si="4"/>
        <v>NM</v>
      </c>
      <c r="D180" s="11">
        <f t="shared" ca="1" si="5"/>
        <v>98959</v>
      </c>
      <c r="E180">
        <v>98959</v>
      </c>
      <c r="F180" t="s">
        <v>1974</v>
      </c>
      <c r="G180" t="s">
        <v>2099</v>
      </c>
      <c r="H180" t="s">
        <v>1725</v>
      </c>
      <c r="I180" t="s">
        <v>1330</v>
      </c>
      <c r="J180" t="s">
        <v>2100</v>
      </c>
      <c r="L180" s="27">
        <v>0.379849537037037</v>
      </c>
      <c r="M180" t="s">
        <v>1718</v>
      </c>
      <c r="N180" t="s">
        <v>1735</v>
      </c>
      <c r="O180" s="27">
        <v>0.34811342592592592</v>
      </c>
      <c r="P180" t="s">
        <v>1727</v>
      </c>
      <c r="S180" t="s">
        <v>200</v>
      </c>
      <c r="T180" t="s">
        <v>247</v>
      </c>
      <c r="U180" t="s">
        <v>1712</v>
      </c>
      <c r="V180" t="s">
        <v>1737</v>
      </c>
      <c r="X180" t="s">
        <v>121</v>
      </c>
      <c r="Y180" t="s">
        <v>1719</v>
      </c>
      <c r="Z180" t="s">
        <v>121</v>
      </c>
      <c r="AA180" t="s">
        <v>715</v>
      </c>
      <c r="AB180" t="s">
        <v>121</v>
      </c>
    </row>
    <row r="181" spans="3:28" x14ac:dyDescent="0.3">
      <c r="C181" s="11" t="str">
        <f t="shared" ca="1" si="4"/>
        <v>NM</v>
      </c>
      <c r="D181" s="11">
        <f t="shared" ca="1" si="5"/>
        <v>98960</v>
      </c>
      <c r="E181">
        <v>98960</v>
      </c>
      <c r="F181" t="s">
        <v>1715</v>
      </c>
      <c r="G181" t="s">
        <v>2101</v>
      </c>
      <c r="H181" t="s">
        <v>1716</v>
      </c>
      <c r="I181" t="s">
        <v>1792</v>
      </c>
      <c r="J181" t="s">
        <v>1952</v>
      </c>
      <c r="L181" s="27">
        <v>0.35118055555555555</v>
      </c>
      <c r="M181" t="s">
        <v>1718</v>
      </c>
      <c r="N181" t="s">
        <v>1735</v>
      </c>
      <c r="O181" s="27">
        <v>0.35116898148148151</v>
      </c>
      <c r="P181" t="s">
        <v>1796</v>
      </c>
      <c r="S181" t="s">
        <v>1799</v>
      </c>
      <c r="T181" t="s">
        <v>247</v>
      </c>
      <c r="U181" t="s">
        <v>1712</v>
      </c>
      <c r="V181" t="s">
        <v>1726</v>
      </c>
      <c r="X181" t="s">
        <v>121</v>
      </c>
      <c r="Y181" t="s">
        <v>1719</v>
      </c>
      <c r="Z181" t="s">
        <v>121</v>
      </c>
      <c r="AA181" t="s">
        <v>716</v>
      </c>
      <c r="AB181" t="s">
        <v>121</v>
      </c>
    </row>
    <row r="182" spans="3:28" x14ac:dyDescent="0.3">
      <c r="C182" s="11" t="str">
        <f t="shared" ca="1" si="4"/>
        <v>NM</v>
      </c>
      <c r="D182" s="11">
        <f t="shared" ca="1" si="5"/>
        <v>98961</v>
      </c>
      <c r="E182">
        <v>98961</v>
      </c>
      <c r="F182" t="s">
        <v>1715</v>
      </c>
      <c r="G182" t="s">
        <v>2102</v>
      </c>
      <c r="H182" t="s">
        <v>1716</v>
      </c>
      <c r="I182" t="s">
        <v>1792</v>
      </c>
      <c r="J182" t="s">
        <v>1952</v>
      </c>
      <c r="L182" s="27">
        <v>0.35396990740740741</v>
      </c>
      <c r="M182" t="s">
        <v>1718</v>
      </c>
      <c r="N182" t="s">
        <v>1735</v>
      </c>
      <c r="O182" s="27">
        <v>0.35395833333333332</v>
      </c>
      <c r="P182" t="s">
        <v>1796</v>
      </c>
      <c r="S182" t="s">
        <v>1799</v>
      </c>
      <c r="T182" t="s">
        <v>247</v>
      </c>
      <c r="U182" t="s">
        <v>1712</v>
      </c>
      <c r="V182" t="s">
        <v>1726</v>
      </c>
      <c r="X182" t="s">
        <v>121</v>
      </c>
      <c r="Y182" t="s">
        <v>1719</v>
      </c>
      <c r="Z182" t="s">
        <v>121</v>
      </c>
      <c r="AA182" t="s">
        <v>716</v>
      </c>
      <c r="AB182" t="s">
        <v>121</v>
      </c>
    </row>
    <row r="183" spans="3:28" x14ac:dyDescent="0.3">
      <c r="C183" s="11" t="str">
        <f t="shared" ca="1" si="4"/>
        <v>NM</v>
      </c>
      <c r="D183" s="11">
        <f t="shared" ca="1" si="5"/>
        <v>98962</v>
      </c>
      <c r="E183">
        <v>98962</v>
      </c>
      <c r="F183" t="s">
        <v>1715</v>
      </c>
      <c r="G183" t="s">
        <v>2103</v>
      </c>
      <c r="H183" t="s">
        <v>1716</v>
      </c>
      <c r="I183" t="s">
        <v>1792</v>
      </c>
      <c r="J183" t="s">
        <v>1952</v>
      </c>
      <c r="L183" s="27">
        <v>0.35748842592592589</v>
      </c>
      <c r="M183" t="s">
        <v>1718</v>
      </c>
      <c r="N183" t="s">
        <v>1735</v>
      </c>
      <c r="O183" s="27">
        <v>0.35694444444444445</v>
      </c>
      <c r="P183" t="s">
        <v>1796</v>
      </c>
      <c r="S183" t="s">
        <v>1799</v>
      </c>
      <c r="T183" t="s">
        <v>247</v>
      </c>
      <c r="U183" t="s">
        <v>1712</v>
      </c>
      <c r="V183" t="s">
        <v>1726</v>
      </c>
      <c r="X183" t="s">
        <v>121</v>
      </c>
      <c r="Y183" t="s">
        <v>1719</v>
      </c>
      <c r="Z183" t="s">
        <v>121</v>
      </c>
      <c r="AA183" t="s">
        <v>716</v>
      </c>
      <c r="AB183" t="s">
        <v>121</v>
      </c>
    </row>
    <row r="184" spans="3:28" x14ac:dyDescent="0.3">
      <c r="C184" s="11" t="str">
        <f t="shared" ca="1" si="4"/>
        <v>NM</v>
      </c>
      <c r="D184" s="11">
        <f t="shared" ca="1" si="5"/>
        <v>98963</v>
      </c>
      <c r="E184">
        <v>98963</v>
      </c>
      <c r="F184" t="s">
        <v>1715</v>
      </c>
      <c r="G184" t="s">
        <v>2104</v>
      </c>
      <c r="H184" t="s">
        <v>1716</v>
      </c>
      <c r="I184" t="s">
        <v>1792</v>
      </c>
      <c r="J184" t="s">
        <v>1952</v>
      </c>
      <c r="L184" s="27">
        <v>0.36851851851851852</v>
      </c>
      <c r="M184" t="s">
        <v>1718</v>
      </c>
      <c r="N184" t="s">
        <v>1735</v>
      </c>
      <c r="O184" s="27">
        <v>0.36798611111111112</v>
      </c>
      <c r="P184" t="s">
        <v>1796</v>
      </c>
      <c r="S184" t="s">
        <v>1799</v>
      </c>
      <c r="T184" t="s">
        <v>247</v>
      </c>
      <c r="U184" t="s">
        <v>1712</v>
      </c>
      <c r="V184" t="s">
        <v>1726</v>
      </c>
      <c r="X184" t="s">
        <v>121</v>
      </c>
      <c r="Y184" t="s">
        <v>1719</v>
      </c>
      <c r="Z184" t="s">
        <v>121</v>
      </c>
      <c r="AA184" t="s">
        <v>716</v>
      </c>
      <c r="AB184" t="s">
        <v>121</v>
      </c>
    </row>
    <row r="185" spans="3:28" x14ac:dyDescent="0.3">
      <c r="C185" s="11" t="str">
        <f t="shared" ca="1" si="4"/>
        <v>NM</v>
      </c>
      <c r="D185" s="11">
        <f t="shared" ca="1" si="5"/>
        <v>98964</v>
      </c>
      <c r="E185">
        <v>98964</v>
      </c>
      <c r="F185" t="s">
        <v>1715</v>
      </c>
      <c r="G185" t="s">
        <v>2105</v>
      </c>
      <c r="H185" t="s">
        <v>1716</v>
      </c>
      <c r="I185" t="s">
        <v>1717</v>
      </c>
      <c r="J185" t="s">
        <v>1952</v>
      </c>
      <c r="L185" s="27">
        <v>0.47379629629629627</v>
      </c>
      <c r="M185" t="s">
        <v>1718</v>
      </c>
      <c r="N185" t="s">
        <v>1735</v>
      </c>
      <c r="O185" s="27">
        <v>0.37508101851851849</v>
      </c>
      <c r="P185" t="s">
        <v>1796</v>
      </c>
      <c r="S185" t="s">
        <v>200</v>
      </c>
      <c r="T185" t="s">
        <v>247</v>
      </c>
      <c r="U185" t="s">
        <v>1712</v>
      </c>
      <c r="V185" t="s">
        <v>1726</v>
      </c>
      <c r="X185" t="s">
        <v>121</v>
      </c>
      <c r="Y185" t="s">
        <v>1719</v>
      </c>
      <c r="Z185" t="s">
        <v>121</v>
      </c>
      <c r="AA185" t="s">
        <v>716</v>
      </c>
      <c r="AB185" t="s">
        <v>121</v>
      </c>
    </row>
    <row r="186" spans="3:28" x14ac:dyDescent="0.3">
      <c r="C186" s="11" t="str">
        <f t="shared" ca="1" si="4"/>
        <v>NM</v>
      </c>
      <c r="D186" s="11">
        <f t="shared" ca="1" si="5"/>
        <v>98966</v>
      </c>
      <c r="E186">
        <v>98966</v>
      </c>
      <c r="F186" t="s">
        <v>1715</v>
      </c>
      <c r="G186" t="s">
        <v>2106</v>
      </c>
      <c r="H186" t="s">
        <v>1716</v>
      </c>
      <c r="I186" t="s">
        <v>1792</v>
      </c>
      <c r="J186" t="s">
        <v>1952</v>
      </c>
      <c r="L186" s="27">
        <v>0.38052083333333336</v>
      </c>
      <c r="M186" t="s">
        <v>1718</v>
      </c>
      <c r="N186" t="s">
        <v>1735</v>
      </c>
      <c r="O186" s="27">
        <v>0.38052083333333336</v>
      </c>
      <c r="P186" t="s">
        <v>1796</v>
      </c>
      <c r="S186" t="s">
        <v>1799</v>
      </c>
      <c r="T186" t="s">
        <v>247</v>
      </c>
      <c r="U186" t="s">
        <v>1712</v>
      </c>
      <c r="V186" t="s">
        <v>1726</v>
      </c>
      <c r="X186" t="s">
        <v>121</v>
      </c>
      <c r="Y186" t="s">
        <v>1719</v>
      </c>
      <c r="Z186" t="s">
        <v>121</v>
      </c>
      <c r="AA186" t="s">
        <v>716</v>
      </c>
      <c r="AB186" t="s">
        <v>121</v>
      </c>
    </row>
    <row r="187" spans="3:28" x14ac:dyDescent="0.3">
      <c r="C187" s="11" t="str">
        <f t="shared" ca="1" si="4"/>
        <v>NM</v>
      </c>
      <c r="D187" s="11">
        <f t="shared" ca="1" si="5"/>
        <v>98967</v>
      </c>
      <c r="E187">
        <v>98967</v>
      </c>
      <c r="F187" t="s">
        <v>1715</v>
      </c>
      <c r="G187" t="s">
        <v>2106</v>
      </c>
      <c r="H187" t="s">
        <v>1716</v>
      </c>
      <c r="I187" t="s">
        <v>1792</v>
      </c>
      <c r="J187" t="s">
        <v>1952</v>
      </c>
      <c r="L187" s="27">
        <v>0.38290509259259259</v>
      </c>
      <c r="M187" t="s">
        <v>1718</v>
      </c>
      <c r="N187" t="s">
        <v>1735</v>
      </c>
      <c r="O187" s="27">
        <v>0.38262731481481477</v>
      </c>
      <c r="P187" t="s">
        <v>1796</v>
      </c>
      <c r="S187" t="s">
        <v>1799</v>
      </c>
      <c r="T187" t="s">
        <v>247</v>
      </c>
      <c r="U187" t="s">
        <v>1712</v>
      </c>
      <c r="V187" t="s">
        <v>1726</v>
      </c>
      <c r="X187" t="s">
        <v>121</v>
      </c>
      <c r="Y187" t="s">
        <v>1719</v>
      </c>
      <c r="Z187" t="s">
        <v>121</v>
      </c>
      <c r="AA187" t="s">
        <v>716</v>
      </c>
      <c r="AB187" t="s">
        <v>121</v>
      </c>
    </row>
    <row r="188" spans="3:28" x14ac:dyDescent="0.3">
      <c r="C188" s="11" t="str">
        <f t="shared" ca="1" si="4"/>
        <v>NM</v>
      </c>
      <c r="D188" s="11" t="str">
        <f t="shared" ca="1" si="5"/>
        <v xml:space="preserve">153 bugs found. </v>
      </c>
      <c r="E188" t="s">
        <v>2110</v>
      </c>
      <c r="L188" s="27"/>
      <c r="O188" s="27"/>
    </row>
    <row r="189" spans="3:28" x14ac:dyDescent="0.3">
      <c r="C189" s="11" t="str">
        <f t="shared" ca="1" si="4"/>
        <v>NM</v>
      </c>
      <c r="D189" s="11">
        <f t="shared" ca="1" si="5"/>
        <v>0</v>
      </c>
      <c r="L189" s="13"/>
      <c r="O189" s="13"/>
    </row>
    <row r="190" spans="3:28" x14ac:dyDescent="0.3">
      <c r="C190" s="11" t="str">
        <f t="shared" ca="1" si="4"/>
        <v>NM</v>
      </c>
      <c r="D190" s="11" t="str">
        <f t="shared" ca="1" si="5"/>
        <v>XML</v>
      </c>
      <c r="E190" t="s">
        <v>1859</v>
      </c>
      <c r="L190" s="13"/>
      <c r="O190" s="13"/>
    </row>
    <row r="191" spans="3:28" x14ac:dyDescent="0.3">
      <c r="C191" s="11" t="str">
        <f t="shared" ca="1" si="4"/>
        <v>NM</v>
      </c>
      <c r="D191" s="11">
        <f t="shared" ca="1" si="5"/>
        <v>0</v>
      </c>
      <c r="L191" s="13"/>
      <c r="O191" s="13"/>
    </row>
    <row r="192" spans="3:28" x14ac:dyDescent="0.3">
      <c r="C192" s="11" t="str">
        <f t="shared" ca="1" si="4"/>
        <v>NM</v>
      </c>
      <c r="D192" s="11" t="str">
        <f t="shared" ca="1" si="5"/>
        <v>CSVFeediCalChange Columns Change Several Bugs at Once Send Mail to Bug Assignees</v>
      </c>
      <c r="E192" t="s">
        <v>1860</v>
      </c>
      <c r="L192" s="13"/>
      <c r="O192" s="13"/>
    </row>
    <row r="193" spans="1:15" x14ac:dyDescent="0.3">
      <c r="C193" s="11" t="str">
        <f t="shared" ca="1" si="4"/>
        <v>NM</v>
      </c>
      <c r="D193" s="11">
        <f t="shared" ca="1" si="5"/>
        <v>0</v>
      </c>
      <c r="L193" s="13"/>
      <c r="O193" s="13"/>
    </row>
    <row r="194" spans="1:15" x14ac:dyDescent="0.3">
      <c r="C194" s="11" t="str">
        <f t="shared" ca="1" si="4"/>
        <v>NM</v>
      </c>
      <c r="D194" s="11" t="str">
        <f t="shared" ca="1" si="5"/>
        <v>Edit Search</v>
      </c>
      <c r="E194" t="s">
        <v>1861</v>
      </c>
      <c r="L194" s="13"/>
      <c r="O194" s="13"/>
    </row>
    <row r="195" spans="1:15" x14ac:dyDescent="0.3">
      <c r="C195" s="11" t="str">
        <f t="shared" ca="1" si="4"/>
        <v>NM</v>
      </c>
      <c r="D195" s="11">
        <f t="shared" ca="1" si="5"/>
        <v>0</v>
      </c>
      <c r="L195" s="13"/>
      <c r="O195" s="13"/>
    </row>
    <row r="196" spans="1:15" x14ac:dyDescent="0.3">
      <c r="C196" s="11" t="str">
        <f t="shared" ca="1" si="4"/>
        <v>NM</v>
      </c>
      <c r="D196" s="11" t="str">
        <f t="shared" ca="1" si="5"/>
        <v>Forget Search 'OpenProtNewDev'</v>
      </c>
      <c r="E196" t="s">
        <v>1862</v>
      </c>
      <c r="O196" s="13"/>
    </row>
    <row r="197" spans="1:15" x14ac:dyDescent="0.3">
      <c r="C197" s="11" t="str">
        <f t="shared" ca="1" si="4"/>
        <v>NM</v>
      </c>
      <c r="D197" s="11">
        <f t="shared" ca="1" si="5"/>
        <v>0</v>
      </c>
      <c r="O197" s="13"/>
    </row>
    <row r="198" spans="1:15" x14ac:dyDescent="0.3">
      <c r="C198" s="11" t="str">
        <f t="shared" ca="1" si="4"/>
        <v>NM</v>
      </c>
      <c r="D198" s="11">
        <f t="shared" ca="1" si="5"/>
        <v>0</v>
      </c>
      <c r="O198" s="13"/>
    </row>
    <row r="199" spans="1:15" x14ac:dyDescent="0.3">
      <c r="C199" s="11" t="str">
        <f t="shared" ca="1" si="4"/>
        <v>NM</v>
      </c>
      <c r="D199" s="11" t="str">
        <f t="shared" ca="1" si="5"/>
        <v>Home</v>
      </c>
      <c r="E199" t="s">
        <v>280</v>
      </c>
      <c r="O199" s="13"/>
    </row>
    <row r="200" spans="1:15" x14ac:dyDescent="0.3">
      <c r="A200" s="11" t="s">
        <v>314</v>
      </c>
      <c r="C200" s="11" t="str">
        <f t="shared" ca="1" si="4"/>
        <v>NM</v>
      </c>
      <c r="D200" s="11" t="str">
        <f t="shared" ca="1" si="5"/>
        <v>| New</v>
      </c>
      <c r="E200" t="s">
        <v>281</v>
      </c>
      <c r="O200" s="13"/>
    </row>
    <row r="201" spans="1:15" x14ac:dyDescent="0.3">
      <c r="C201" s="11" t="str">
        <f t="shared" ca="1" si="4"/>
        <v>NM</v>
      </c>
      <c r="D201" s="11" t="str">
        <f t="shared" ca="1" si="5"/>
        <v>| Browse</v>
      </c>
      <c r="E201" t="s">
        <v>282</v>
      </c>
      <c r="O201" s="13"/>
    </row>
    <row r="202" spans="1:15" x14ac:dyDescent="0.3">
      <c r="C202" s="11" t="str">
        <f t="shared" ca="1" si="4"/>
        <v>NM</v>
      </c>
      <c r="D202" s="11" t="str">
        <f t="shared" ca="1" si="5"/>
        <v>| Search</v>
      </c>
      <c r="E202" t="s">
        <v>283</v>
      </c>
      <c r="O202" s="13"/>
    </row>
    <row r="203" spans="1:15" x14ac:dyDescent="0.3">
      <c r="C203" s="11" t="str">
        <f t="shared" ca="1" si="4"/>
        <v>NM</v>
      </c>
      <c r="D203" s="11" t="str">
        <f t="shared" ca="1" si="5"/>
        <v>| [?]</v>
      </c>
      <c r="E203" t="s">
        <v>284</v>
      </c>
      <c r="O203" s="13"/>
    </row>
    <row r="204" spans="1:15" x14ac:dyDescent="0.3">
      <c r="C204" s="11" t="str">
        <f t="shared" ca="1" si="4"/>
        <v>NM</v>
      </c>
      <c r="D204" s="11" t="str">
        <f t="shared" ca="1" si="5"/>
        <v>| Reports</v>
      </c>
      <c r="E204" t="s">
        <v>285</v>
      </c>
      <c r="O204" s="13"/>
    </row>
    <row r="205" spans="1:15" x14ac:dyDescent="0.3">
      <c r="C205" s="11" t="str">
        <f t="shared" ca="1" si="4"/>
        <v>NM</v>
      </c>
      <c r="D205" s="11" t="str">
        <f t="shared" ca="1" si="5"/>
        <v>| Preferences</v>
      </c>
      <c r="E205" t="s">
        <v>1683</v>
      </c>
      <c r="L205" s="27"/>
    </row>
    <row r="206" spans="1:15" x14ac:dyDescent="0.3">
      <c r="C206" s="11" t="str">
        <f t="shared" ca="1" si="4"/>
        <v>NM</v>
      </c>
      <c r="D206" s="11" t="str">
        <f t="shared" ca="1" si="5"/>
        <v>| Administration</v>
      </c>
      <c r="E206" t="s">
        <v>1684</v>
      </c>
    </row>
    <row r="207" spans="1:15" x14ac:dyDescent="0.3">
      <c r="C207" s="11" t="str">
        <f t="shared" ca="1" si="4"/>
        <v>NM</v>
      </c>
      <c r="D207" s="11" t="str">
        <f t="shared" ca="1" si="5"/>
        <v>| Help</v>
      </c>
      <c r="E207" t="s">
        <v>1685</v>
      </c>
    </row>
    <row r="208" spans="1:15" x14ac:dyDescent="0.3">
      <c r="C208" s="11" t="str">
        <f t="shared" ca="1" si="4"/>
        <v>NM</v>
      </c>
      <c r="D208" s="11" t="str">
        <f t="shared" ca="1" si="5"/>
        <v>| Log out michael.roberts@hpe.com</v>
      </c>
      <c r="E208" t="s">
        <v>1686</v>
      </c>
      <c r="L208" s="27"/>
    </row>
    <row r="209" spans="3:12" x14ac:dyDescent="0.3">
      <c r="C209" s="11" t="str">
        <f t="shared" ca="1" si="4"/>
        <v>NM</v>
      </c>
      <c r="D209" s="11">
        <f t="shared" ca="1" si="5"/>
        <v>0</v>
      </c>
      <c r="L209" s="27"/>
    </row>
    <row r="210" spans="3:12" x14ac:dyDescent="0.3">
      <c r="C210" s="11" t="str">
        <f t="shared" ca="1" si="4"/>
        <v>NM</v>
      </c>
      <c r="D210" s="11" t="str">
        <f t="shared" ca="1" si="5"/>
        <v>My Bugs</v>
      </c>
      <c r="E210" t="s">
        <v>1863</v>
      </c>
    </row>
    <row r="211" spans="3:12" x14ac:dyDescent="0.3">
      <c r="C211" s="11" t="str">
        <f t="shared" ca="1" si="4"/>
        <v>NM</v>
      </c>
      <c r="D211" s="11" t="str">
        <f t="shared" ca="1" si="5"/>
        <v>| AllOpenGENormal</v>
      </c>
      <c r="E211" t="s">
        <v>1864</v>
      </c>
    </row>
    <row r="212" spans="3:12" x14ac:dyDescent="0.3">
      <c r="C212" s="11" t="str">
        <f t="shared" ca="1" si="4"/>
        <v>NM</v>
      </c>
      <c r="D212" s="11" t="str">
        <f t="shared" ca="1" si="5"/>
        <v>| ALLproductsAuroraRedZone</v>
      </c>
      <c r="E212" t="s">
        <v>1865</v>
      </c>
    </row>
    <row r="213" spans="3:12" x14ac:dyDescent="0.3">
      <c r="C213" s="11" t="str">
        <f t="shared" ca="1" si="4"/>
        <v>NM</v>
      </c>
      <c r="D213" s="11" t="str">
        <f t="shared" ca="1" si="5"/>
        <v>| ALLproductsAuroraRedZoneFIXED6d</v>
      </c>
      <c r="E213" t="s">
        <v>1866</v>
      </c>
    </row>
    <row r="214" spans="3:12" x14ac:dyDescent="0.3">
      <c r="C214" s="11" t="str">
        <f t="shared" ca="1" si="4"/>
        <v>NM</v>
      </c>
      <c r="D214" s="11" t="str">
        <f t="shared" ca="1" si="5"/>
        <v>| ALLproductsAuroraRedZoneRESOLVED3w</v>
      </c>
      <c r="E214" t="s">
        <v>1867</v>
      </c>
    </row>
    <row r="215" spans="3:12" x14ac:dyDescent="0.3">
      <c r="C215" s="11" t="str">
        <f t="shared" ca="1" si="4"/>
        <v>NM</v>
      </c>
      <c r="D215" s="11" t="str">
        <f t="shared" ca="1" si="5"/>
        <v>| ALLproductsAvitusRedZoneFIXED6d</v>
      </c>
      <c r="E215" t="s">
        <v>1868</v>
      </c>
    </row>
    <row r="216" spans="3:12" x14ac:dyDescent="0.3">
      <c r="C216" s="11" t="str">
        <f t="shared" ca="1" si="4"/>
        <v>NM</v>
      </c>
      <c r="D216" s="11" t="str">
        <f t="shared" ca="1" si="5"/>
        <v>| AllResolvedOneYear</v>
      </c>
      <c r="E216" t="s">
        <v>1869</v>
      </c>
    </row>
    <row r="217" spans="3:12" x14ac:dyDescent="0.3">
      <c r="C217" s="11" t="str">
        <f t="shared" ca="1" si="4"/>
        <v>NM</v>
      </c>
      <c r="D217" s="11" t="str">
        <f t="shared" ca="1" si="5"/>
        <v>| AtlasMaintProtRedZone</v>
      </c>
      <c r="E217" t="s">
        <v>1870</v>
      </c>
    </row>
    <row r="218" spans="3:12" x14ac:dyDescent="0.3">
      <c r="C218" s="11" t="str">
        <f t="shared" ca="1" si="4"/>
        <v>NM</v>
      </c>
      <c r="D218" s="11" t="str">
        <f t="shared" ca="1" si="5"/>
        <v>| AuroraAllClosed</v>
      </c>
      <c r="E218" t="s">
        <v>1871</v>
      </c>
    </row>
    <row r="219" spans="3:12" x14ac:dyDescent="0.3">
      <c r="C219" s="11" t="str">
        <f t="shared" ca="1" si="4"/>
        <v>NM</v>
      </c>
      <c r="D219" s="11" t="str">
        <f t="shared" ca="1" si="5"/>
        <v>| AuroraAllResolved</v>
      </c>
      <c r="E219" t="s">
        <v>1872</v>
      </c>
      <c r="L219" s="27"/>
    </row>
    <row r="220" spans="3:12" x14ac:dyDescent="0.3">
      <c r="C220" s="11" t="str">
        <f t="shared" ca="1" si="4"/>
        <v>NM</v>
      </c>
      <c r="D220" s="11" t="str">
        <f t="shared" ca="1" si="5"/>
        <v>| AuroraOpenRZ</v>
      </c>
      <c r="E220" t="s">
        <v>1873</v>
      </c>
      <c r="L220" s="27"/>
    </row>
    <row r="221" spans="3:12" x14ac:dyDescent="0.3">
      <c r="C221" s="11" t="str">
        <f t="shared" ca="1" si="4"/>
        <v>NM</v>
      </c>
      <c r="D221" s="11" t="str">
        <f t="shared" ca="1" si="5"/>
        <v>| AuroraOpenRZmwr</v>
      </c>
      <c r="E221" t="s">
        <v>1874</v>
      </c>
    </row>
    <row r="222" spans="3:12" x14ac:dyDescent="0.3">
      <c r="C222" s="11" t="str">
        <f t="shared" ca="1" si="4"/>
        <v>NM</v>
      </c>
      <c r="D222" s="11" t="str">
        <f t="shared" ca="1" si="5"/>
        <v>| AuroraProtRedZone</v>
      </c>
      <c r="E222" t="s">
        <v>1875</v>
      </c>
      <c r="L222" s="27"/>
    </row>
    <row r="223" spans="3:12" x14ac:dyDescent="0.3">
      <c r="C223" s="11" t="str">
        <f t="shared" ca="1" si="4"/>
        <v>NM</v>
      </c>
      <c r="D223" s="11" t="str">
        <f t="shared" ca="1" si="5"/>
        <v>| AuroraProtYelZone</v>
      </c>
      <c r="E223" t="s">
        <v>1876</v>
      </c>
      <c r="L223" s="27"/>
    </row>
    <row r="224" spans="3:12" x14ac:dyDescent="0.3">
      <c r="C224" s="11" t="str">
        <f t="shared" ca="1" si="4"/>
        <v>NM</v>
      </c>
      <c r="D224" s="11" t="str">
        <f t="shared" ca="1" si="5"/>
        <v>| AuroraWaiverCandidates</v>
      </c>
      <c r="E224" t="s">
        <v>1877</v>
      </c>
    </row>
    <row r="225" spans="3:15" x14ac:dyDescent="0.3">
      <c r="C225" s="11" t="str">
        <f t="shared" ca="1" si="4"/>
        <v>NM</v>
      </c>
      <c r="D225" s="11" t="str">
        <f t="shared" ca="1" si="5"/>
        <v>| AvitusAllOpenmwr</v>
      </c>
      <c r="E225" t="s">
        <v>1878</v>
      </c>
    </row>
    <row r="226" spans="3:15" x14ac:dyDescent="0.3">
      <c r="C226" s="11" t="str">
        <f t="shared" ca="1" si="4"/>
        <v>NM</v>
      </c>
      <c r="D226" s="11" t="str">
        <f t="shared" ca="1" si="5"/>
        <v>| AvitusOpenRZmwr</v>
      </c>
      <c r="E226" t="s">
        <v>1879</v>
      </c>
      <c r="L226" s="27"/>
      <c r="O226" s="27"/>
    </row>
    <row r="227" spans="3:15" x14ac:dyDescent="0.3">
      <c r="C227" s="11" t="str">
        <f t="shared" ca="1" si="4"/>
        <v>NM</v>
      </c>
      <c r="D227" s="11" t="str">
        <f t="shared" ca="1" si="5"/>
        <v>| AvitusOpenYZmwr</v>
      </c>
      <c r="E227" t="s">
        <v>2107</v>
      </c>
    </row>
    <row r="228" spans="3:15" x14ac:dyDescent="0.3">
      <c r="C228" s="11" t="str">
        <f t="shared" ca="1" si="4"/>
        <v>NM</v>
      </c>
      <c r="D228" s="11" t="str">
        <f t="shared" ca="1" si="5"/>
        <v>| AvitusProtRedZone</v>
      </c>
      <c r="E228" t="s">
        <v>1880</v>
      </c>
    </row>
    <row r="229" spans="3:15" x14ac:dyDescent="0.3">
      <c r="C229" s="11" t="str">
        <f t="shared" ref="C229:C292" ca="1" si="6">HYPERLINK(CONCATENATE($A$501,"/bugzilla/show_bug.cgi?id=",IFERROR(VALUE(MID(INDIRECT("g"&amp;ROW()),9,5)),INDIRECT("e"&amp;ROW()))),IFERROR(VALUE(MID(INDIRECT("g"&amp;ROW()),9,5)),"NM"))</f>
        <v>NM</v>
      </c>
      <c r="D229" s="11" t="str">
        <f t="shared" ref="D229:D292" ca="1" si="7">HYPERLINK(CONCATENATE("https://bugzilla.houston.hpecorp.net:1181/bugzilla/show_bug.cgi?id=",INDIRECT("e"&amp;ROW())),INDIRECT("e"&amp;ROW()))</f>
        <v>| AvitusProtToBeClosed</v>
      </c>
      <c r="E229" t="s">
        <v>1881</v>
      </c>
    </row>
    <row r="230" spans="3:15" x14ac:dyDescent="0.3">
      <c r="C230" s="11" t="str">
        <f t="shared" ca="1" si="6"/>
        <v>NM</v>
      </c>
      <c r="D230" s="11" t="str">
        <f t="shared" ca="1" si="7"/>
        <v>| AvitusQAacceptanceBlockers</v>
      </c>
      <c r="E230" t="s">
        <v>1882</v>
      </c>
    </row>
    <row r="231" spans="3:15" x14ac:dyDescent="0.3">
      <c r="C231" s="11" t="str">
        <f t="shared" ca="1" si="6"/>
        <v>NM</v>
      </c>
      <c r="D231" s="11" t="str">
        <f t="shared" ca="1" si="7"/>
        <v>| AvitusToBeClosed</v>
      </c>
      <c r="E231" t="s">
        <v>1883</v>
      </c>
      <c r="L231" s="27"/>
      <c r="O231" s="27"/>
    </row>
    <row r="232" spans="3:15" x14ac:dyDescent="0.3">
      <c r="C232" s="11" t="str">
        <f t="shared" ca="1" si="6"/>
        <v>NM</v>
      </c>
      <c r="D232" s="11" t="str">
        <f t="shared" ca="1" si="7"/>
        <v>| LowestPriorityBugs</v>
      </c>
      <c r="E232" t="s">
        <v>1884</v>
      </c>
      <c r="L232" s="27"/>
      <c r="O232" s="27"/>
    </row>
    <row r="233" spans="3:15" x14ac:dyDescent="0.3">
      <c r="C233" s="11" t="str">
        <f t="shared" ca="1" si="6"/>
        <v>NM</v>
      </c>
      <c r="D233" s="11" t="str">
        <f t="shared" ca="1" si="7"/>
        <v>| OpenProtClassic</v>
      </c>
      <c r="E233" t="s">
        <v>1885</v>
      </c>
    </row>
    <row r="234" spans="3:15" x14ac:dyDescent="0.3">
      <c r="C234" s="11" t="str">
        <f t="shared" ca="1" si="6"/>
        <v>NM</v>
      </c>
      <c r="D234" s="11" t="str">
        <f t="shared" ca="1" si="7"/>
        <v>| OpenProtNewDev</v>
      </c>
      <c r="E234" t="s">
        <v>1886</v>
      </c>
    </row>
    <row r="235" spans="3:15" x14ac:dyDescent="0.3">
      <c r="C235" s="11" t="str">
        <f t="shared" ca="1" si="6"/>
        <v>NM</v>
      </c>
      <c r="D235" s="11" t="str">
        <f t="shared" ca="1" si="7"/>
        <v>| ProtocolsCoverityFixed</v>
      </c>
      <c r="E235" t="s">
        <v>1887</v>
      </c>
    </row>
    <row r="236" spans="3:15" x14ac:dyDescent="0.3">
      <c r="C236" s="11" t="str">
        <f t="shared" ca="1" si="6"/>
        <v>NM</v>
      </c>
      <c r="D236" s="11" t="str">
        <f t="shared" ca="1" si="7"/>
        <v>| ProtocolStoreOnce</v>
      </c>
      <c r="E236" t="s">
        <v>1888</v>
      </c>
    </row>
    <row r="237" spans="3:15" x14ac:dyDescent="0.3">
      <c r="C237" s="11" t="str">
        <f t="shared" ca="1" si="6"/>
        <v>NM</v>
      </c>
      <c r="D237" s="11">
        <f t="shared" ca="1" si="7"/>
        <v>0</v>
      </c>
    </row>
    <row r="238" spans="3:15" x14ac:dyDescent="0.3">
      <c r="C238" s="11" t="str">
        <f t="shared" ca="1" si="6"/>
        <v>NM</v>
      </c>
      <c r="D238" s="11">
        <f t="shared" ca="1" si="7"/>
        <v>0</v>
      </c>
    </row>
    <row r="239" spans="3:15" x14ac:dyDescent="0.3">
      <c r="C239" s="11" t="str">
        <f t="shared" ca="1" si="6"/>
        <v>NM</v>
      </c>
      <c r="D239" s="11" t="str">
        <f t="shared" ca="1" si="7"/>
        <v>01 RMC 4.0 TBF</v>
      </c>
      <c r="E239" t="s">
        <v>1889</v>
      </c>
    </row>
    <row r="240" spans="3:15" x14ac:dyDescent="0.3">
      <c r="C240" s="11" t="str">
        <f t="shared" ca="1" si="6"/>
        <v>NM</v>
      </c>
      <c r="D240" s="11" t="str">
        <f t="shared" ca="1" si="7"/>
        <v>| 02 RMC 4.0 TBV</v>
      </c>
      <c r="E240" t="s">
        <v>1890</v>
      </c>
    </row>
    <row r="241" spans="3:5" x14ac:dyDescent="0.3">
      <c r="C241" s="11" t="str">
        <f t="shared" ca="1" si="6"/>
        <v>NM</v>
      </c>
      <c r="D241" s="11" t="str">
        <f t="shared" ca="1" si="7"/>
        <v>| 03 RMC 4.0 TBF RZ</v>
      </c>
      <c r="E241" t="s">
        <v>1891</v>
      </c>
    </row>
    <row r="242" spans="3:5" x14ac:dyDescent="0.3">
      <c r="C242" s="11" t="str">
        <f t="shared" ca="1" si="6"/>
        <v>NM</v>
      </c>
      <c r="D242" s="11" t="str">
        <f t="shared" ca="1" si="7"/>
        <v>| 04 RMC 4.0 TBV RZ</v>
      </c>
      <c r="E242" t="s">
        <v>1892</v>
      </c>
    </row>
    <row r="243" spans="3:5" x14ac:dyDescent="0.3">
      <c r="C243" s="11" t="str">
        <f t="shared" ca="1" si="6"/>
        <v>NM</v>
      </c>
      <c r="D243" s="11" t="str">
        <f t="shared" ca="1" si="7"/>
        <v>| 1.3 Aurora Closed-Resolved-Verified</v>
      </c>
      <c r="E243" t="s">
        <v>1893</v>
      </c>
    </row>
    <row r="244" spans="3:5" x14ac:dyDescent="0.3">
      <c r="C244" s="11" t="str">
        <f t="shared" ca="1" si="6"/>
        <v>NM</v>
      </c>
      <c r="D244" s="11" t="str">
        <f t="shared" ca="1" si="7"/>
        <v>| Alex-protocol-AUTH</v>
      </c>
      <c r="E244" t="s">
        <v>1894</v>
      </c>
    </row>
    <row r="245" spans="3:5" x14ac:dyDescent="0.3">
      <c r="C245" s="11" t="str">
        <f t="shared" ca="1" si="6"/>
        <v>NM</v>
      </c>
      <c r="D245" s="11" t="str">
        <f t="shared" ca="1" si="7"/>
        <v>| ALL_OPEN Issues For Review</v>
      </c>
      <c r="E245" t="s">
        <v>1895</v>
      </c>
    </row>
    <row r="246" spans="3:5" x14ac:dyDescent="0.3">
      <c r="C246" s="11" t="str">
        <f t="shared" ca="1" si="6"/>
        <v>NM</v>
      </c>
      <c r="D246" s="11" t="str">
        <f t="shared" ca="1" si="7"/>
        <v>| Astra 1.0.2 - Chelsea MU3 Patch 20</v>
      </c>
      <c r="E246" t="s">
        <v>1896</v>
      </c>
    </row>
    <row r="247" spans="3:5" x14ac:dyDescent="0.3">
      <c r="C247" s="11" t="str">
        <f t="shared" ca="1" si="6"/>
        <v>NM</v>
      </c>
      <c r="D247" s="11" t="str">
        <f t="shared" ca="1" si="7"/>
        <v>| Atlas 1.2.4 Candidate List</v>
      </c>
      <c r="E247" t="s">
        <v>2108</v>
      </c>
    </row>
    <row r="248" spans="3:5" x14ac:dyDescent="0.3">
      <c r="C248" s="11" t="str">
        <f t="shared" ca="1" si="6"/>
        <v>NM</v>
      </c>
      <c r="D248" s="11" t="str">
        <f t="shared" ca="1" si="7"/>
        <v>| Atlas-1.2.1</v>
      </c>
      <c r="E248" t="s">
        <v>1897</v>
      </c>
    </row>
    <row r="249" spans="3:5" x14ac:dyDescent="0.3">
      <c r="C249" s="11" t="str">
        <f t="shared" ca="1" si="6"/>
        <v>NM</v>
      </c>
      <c r="D249" s="11" t="str">
        <f t="shared" ca="1" si="7"/>
        <v>| Atlas-1.2.2</v>
      </c>
      <c r="E249" t="s">
        <v>1898</v>
      </c>
    </row>
    <row r="250" spans="3:5" x14ac:dyDescent="0.3">
      <c r="C250" s="11" t="str">
        <f t="shared" ca="1" si="6"/>
        <v>NM</v>
      </c>
      <c r="D250" s="11" t="str">
        <f t="shared" ca="1" si="7"/>
        <v>| Atlas-1.2.3</v>
      </c>
      <c r="E250" t="s">
        <v>1899</v>
      </c>
    </row>
    <row r="251" spans="3:5" x14ac:dyDescent="0.3">
      <c r="C251" s="11" t="str">
        <f t="shared" ca="1" si="6"/>
        <v>NM</v>
      </c>
      <c r="D251" s="11" t="str">
        <f t="shared" ca="1" si="7"/>
        <v>| Atlas-1.2.3 Candidate List</v>
      </c>
      <c r="E251" t="s">
        <v>1900</v>
      </c>
    </row>
    <row r="252" spans="3:5" x14ac:dyDescent="0.3">
      <c r="C252" s="11" t="str">
        <f t="shared" ca="1" si="6"/>
        <v>NM</v>
      </c>
      <c r="D252" s="11" t="str">
        <f t="shared" ca="1" si="7"/>
        <v>| Aurora Bugs To Be Verified</v>
      </c>
      <c r="E252" t="s">
        <v>1901</v>
      </c>
    </row>
    <row r="253" spans="3:5" x14ac:dyDescent="0.3">
      <c r="C253" s="11" t="str">
        <f t="shared" ca="1" si="6"/>
        <v>NM</v>
      </c>
      <c r="D253" s="11" t="str">
        <f t="shared" ca="1" si="7"/>
        <v>| Aurora-QPnT 1.3.0 Red Zones</v>
      </c>
      <c r="E253" t="s">
        <v>1902</v>
      </c>
    </row>
    <row r="254" spans="3:5" x14ac:dyDescent="0.3">
      <c r="C254" s="11" t="str">
        <f t="shared" ca="1" si="6"/>
        <v>NM</v>
      </c>
      <c r="D254" s="11" t="str">
        <f t="shared" ca="1" si="7"/>
        <v>| AuthDefectsAurora</v>
      </c>
      <c r="E254" t="s">
        <v>1903</v>
      </c>
    </row>
    <row r="255" spans="3:5" x14ac:dyDescent="0.3">
      <c r="C255" s="11" t="str">
        <f t="shared" ca="1" si="6"/>
        <v>NM</v>
      </c>
      <c r="D255" s="11" t="str">
        <f t="shared" ca="1" si="7"/>
        <v>| Avitus Bugs To Be Fixed</v>
      </c>
      <c r="E255" t="s">
        <v>1904</v>
      </c>
    </row>
    <row r="256" spans="3:5" x14ac:dyDescent="0.3">
      <c r="C256" s="11" t="str">
        <f t="shared" ca="1" si="6"/>
        <v>NM</v>
      </c>
      <c r="D256" s="11" t="str">
        <f t="shared" ca="1" si="7"/>
        <v>| Avitus Bugs To Be Verified</v>
      </c>
      <c r="E256" t="s">
        <v>1905</v>
      </c>
    </row>
    <row r="257" spans="3:5" x14ac:dyDescent="0.3">
      <c r="C257" s="11" t="str">
        <f t="shared" ca="1" si="6"/>
        <v>NM</v>
      </c>
      <c r="D257" s="11" t="str">
        <f t="shared" ca="1" si="7"/>
        <v>| Avitus Open RedZone</v>
      </c>
      <c r="E257" t="s">
        <v>1906</v>
      </c>
    </row>
    <row r="258" spans="3:5" x14ac:dyDescent="0.3">
      <c r="C258" s="11" t="str">
        <f t="shared" ca="1" si="6"/>
        <v>NM</v>
      </c>
      <c r="D258" s="11" t="str">
        <f t="shared" ca="1" si="7"/>
        <v>| Avitus RedZone for QPnT to verify</v>
      </c>
      <c r="E258" t="s">
        <v>1907</v>
      </c>
    </row>
    <row r="259" spans="3:5" x14ac:dyDescent="0.3">
      <c r="C259" s="11" t="str">
        <f t="shared" ca="1" si="6"/>
        <v>NM</v>
      </c>
      <c r="D259" s="11" t="str">
        <f t="shared" ca="1" si="7"/>
        <v>| Cacofonix ALL Bugs inc Platform</v>
      </c>
      <c r="E259" t="s">
        <v>1908</v>
      </c>
    </row>
    <row r="260" spans="3:5" x14ac:dyDescent="0.3">
      <c r="C260" s="11" t="str">
        <f t="shared" ca="1" si="6"/>
        <v>NM</v>
      </c>
      <c r="D260" s="11" t="str">
        <f t="shared" ca="1" si="7"/>
        <v>| Cacofonix CRB Active Bug List excl Docs</v>
      </c>
      <c r="E260" t="s">
        <v>1909</v>
      </c>
    </row>
    <row r="261" spans="3:5" x14ac:dyDescent="0.3">
      <c r="C261" s="11" t="str">
        <f t="shared" ca="1" si="6"/>
        <v>NM</v>
      </c>
      <c r="D261" s="11" t="str">
        <f t="shared" ca="1" si="7"/>
        <v>| Cacofonix Open inc Platform</v>
      </c>
      <c r="E261" t="s">
        <v>1910</v>
      </c>
    </row>
    <row r="262" spans="3:5" x14ac:dyDescent="0.3">
      <c r="C262" s="11" t="str">
        <f t="shared" ca="1" si="6"/>
        <v>NM</v>
      </c>
      <c r="D262" s="11" t="str">
        <f t="shared" ca="1" si="7"/>
        <v>| Eccentric ALL Bugs</v>
      </c>
      <c r="E262" t="s">
        <v>1911</v>
      </c>
    </row>
    <row r="263" spans="3:5" x14ac:dyDescent="0.3">
      <c r="C263" s="11" t="str">
        <f t="shared" ca="1" si="6"/>
        <v>NM</v>
      </c>
      <c r="D263" s="11" t="str">
        <f t="shared" ca="1" si="7"/>
        <v>| Eccentric LAST 7 DAYS</v>
      </c>
      <c r="E263" t="s">
        <v>1912</v>
      </c>
    </row>
    <row r="264" spans="3:5" x14ac:dyDescent="0.3">
      <c r="C264" s="11" t="str">
        <f t="shared" ca="1" si="6"/>
        <v>NM</v>
      </c>
      <c r="D264" s="11" t="str">
        <f t="shared" ca="1" si="7"/>
        <v>| Eccentric OPEN Bugs</v>
      </c>
      <c r="E264" t="s">
        <v>1913</v>
      </c>
    </row>
    <row r="265" spans="3:5" x14ac:dyDescent="0.3">
      <c r="C265" s="11" t="str">
        <f t="shared" ca="1" si="6"/>
        <v>NM</v>
      </c>
      <c r="D265" s="11" t="str">
        <f t="shared" ca="1" si="7"/>
        <v>| Eccentric TBC Bugs</v>
      </c>
      <c r="E265" t="s">
        <v>1914</v>
      </c>
    </row>
    <row r="266" spans="3:5" x14ac:dyDescent="0.3">
      <c r="C266" s="11" t="str">
        <f t="shared" ca="1" si="6"/>
        <v>NM</v>
      </c>
      <c r="D266" s="11" t="str">
        <f t="shared" ca="1" si="7"/>
        <v>| Eccentric TBF Bugs</v>
      </c>
      <c r="E266" t="s">
        <v>1915</v>
      </c>
    </row>
    <row r="267" spans="3:5" x14ac:dyDescent="0.3">
      <c r="C267" s="11" t="str">
        <f t="shared" ca="1" si="6"/>
        <v>NM</v>
      </c>
      <c r="D267" s="11" t="str">
        <f t="shared" ca="1" si="7"/>
        <v>| Eccentric TBV Bugs</v>
      </c>
      <c r="E267" t="s">
        <v>1916</v>
      </c>
    </row>
    <row r="268" spans="3:5" x14ac:dyDescent="0.3">
      <c r="C268" s="11" t="str">
        <f t="shared" ca="1" si="6"/>
        <v>NM</v>
      </c>
      <c r="D268" s="11" t="str">
        <f t="shared" ca="1" si="7"/>
        <v>| EI_CTAF_Bugs</v>
      </c>
      <c r="E268" t="s">
        <v>1917</v>
      </c>
    </row>
    <row r="269" spans="3:5" x14ac:dyDescent="0.3">
      <c r="C269" s="11" t="str">
        <f t="shared" ca="1" si="6"/>
        <v>NM</v>
      </c>
      <c r="D269" s="11" t="str">
        <f t="shared" ca="1" si="7"/>
        <v>| ERT Advisories</v>
      </c>
      <c r="E269" t="s">
        <v>1918</v>
      </c>
    </row>
    <row r="270" spans="3:5" x14ac:dyDescent="0.3">
      <c r="C270" s="11" t="str">
        <f t="shared" ca="1" si="6"/>
        <v>NM</v>
      </c>
      <c r="D270" s="11" t="str">
        <f t="shared" ca="1" si="7"/>
        <v>| File on HC</v>
      </c>
      <c r="E270" t="s">
        <v>1919</v>
      </c>
    </row>
    <row r="271" spans="3:5" x14ac:dyDescent="0.3">
      <c r="C271" s="11" t="str">
        <f t="shared" ca="1" si="6"/>
        <v>NM</v>
      </c>
      <c r="D271" s="11" t="str">
        <f t="shared" ca="1" si="7"/>
        <v>| File on HC Open RedZone</v>
      </c>
      <c r="E271" t="s">
        <v>1920</v>
      </c>
    </row>
    <row r="272" spans="3:5" x14ac:dyDescent="0.3">
      <c r="C272" s="11" t="str">
        <f t="shared" ca="1" si="6"/>
        <v>NM</v>
      </c>
      <c r="D272" s="11" t="str">
        <f t="shared" ca="1" si="7"/>
        <v>| halimonjaro-triage</v>
      </c>
      <c r="E272" t="s">
        <v>1921</v>
      </c>
    </row>
    <row r="273" spans="3:5" x14ac:dyDescent="0.3">
      <c r="C273" s="11" t="str">
        <f t="shared" ca="1" si="6"/>
        <v>NM</v>
      </c>
      <c r="D273" s="11" t="str">
        <f t="shared" ca="1" si="7"/>
        <v>| IDsOnDisk</v>
      </c>
      <c r="E273" t="s">
        <v>1922</v>
      </c>
    </row>
    <row r="274" spans="3:5" x14ac:dyDescent="0.3">
      <c r="C274" s="11" t="str">
        <f t="shared" ca="1" si="6"/>
        <v>NM</v>
      </c>
      <c r="D274" s="11" t="str">
        <f t="shared" ca="1" si="7"/>
        <v>| MRT CTAF bugs</v>
      </c>
      <c r="E274" t="s">
        <v>1923</v>
      </c>
    </row>
    <row r="275" spans="3:5" x14ac:dyDescent="0.3">
      <c r="C275" s="11" t="str">
        <f t="shared" ca="1" si="6"/>
        <v>NM</v>
      </c>
      <c r="D275" s="11" t="str">
        <f t="shared" ca="1" si="7"/>
        <v>| NPI_CTAF_Bugs</v>
      </c>
      <c r="E275" t="s">
        <v>1924</v>
      </c>
    </row>
    <row r="276" spans="3:5" x14ac:dyDescent="0.3">
      <c r="C276" s="11" t="str">
        <f t="shared" ca="1" si="6"/>
        <v>NM</v>
      </c>
      <c r="D276" s="11" t="str">
        <f t="shared" ca="1" si="7"/>
        <v>| RMC 3.0 CRB bugs</v>
      </c>
      <c r="E276" t="s">
        <v>1925</v>
      </c>
    </row>
    <row r="277" spans="3:5" x14ac:dyDescent="0.3">
      <c r="C277" s="11" t="str">
        <f t="shared" ca="1" si="6"/>
        <v>NM</v>
      </c>
      <c r="D277" s="11" t="str">
        <f t="shared" ca="1" si="7"/>
        <v>| RMC 3.0.1</v>
      </c>
      <c r="E277" t="s">
        <v>1926</v>
      </c>
    </row>
    <row r="278" spans="3:5" x14ac:dyDescent="0.3">
      <c r="C278" s="11" t="str">
        <f t="shared" ca="1" si="6"/>
        <v>NM</v>
      </c>
      <c r="D278" s="11" t="str">
        <f t="shared" ca="1" si="7"/>
        <v>| RMC 4.0.0 CRB bugs</v>
      </c>
      <c r="E278" t="s">
        <v>1927</v>
      </c>
    </row>
    <row r="279" spans="3:5" x14ac:dyDescent="0.3">
      <c r="C279" s="11" t="str">
        <f t="shared" ca="1" si="6"/>
        <v>NM</v>
      </c>
      <c r="D279" s="11" t="str">
        <f t="shared" ca="1" si="7"/>
        <v>| RMC GA Bugs for SBugCourt review</v>
      </c>
      <c r="E279" t="s">
        <v>1928</v>
      </c>
    </row>
    <row r="280" spans="3:5" x14ac:dyDescent="0.3">
      <c r="C280" s="11" t="str">
        <f t="shared" ca="1" si="6"/>
        <v>NM</v>
      </c>
      <c r="D280" s="11" t="str">
        <f t="shared" ca="1" si="7"/>
        <v>| Unity 1.3-Open BugCourt List</v>
      </c>
      <c r="E280" t="s">
        <v>1929</v>
      </c>
    </row>
    <row r="281" spans="3:5" x14ac:dyDescent="0.3">
      <c r="C281" s="11" t="str">
        <f t="shared" ca="1" si="6"/>
        <v>NM</v>
      </c>
      <c r="D281" s="11" t="str">
        <f t="shared" ca="1" si="7"/>
        <v>| Unity_v1_Release_Service Notes</v>
      </c>
      <c r="E281" t="s">
        <v>1930</v>
      </c>
    </row>
    <row r="282" spans="3:5" x14ac:dyDescent="0.3">
      <c r="C282" s="11" t="str">
        <f t="shared" ca="1" si="6"/>
        <v>NM</v>
      </c>
      <c r="D282" s="11" t="str">
        <f t="shared" ca="1" si="7"/>
        <v>| Zirkel 3.13.7 approved bugs</v>
      </c>
      <c r="E282" t="s">
        <v>1931</v>
      </c>
    </row>
    <row r="283" spans="3:5" x14ac:dyDescent="0.3">
      <c r="C283" s="11" t="str">
        <f t="shared" ca="1" si="6"/>
        <v>NM</v>
      </c>
      <c r="D283" s="11" t="str">
        <f t="shared" ca="1" si="7"/>
        <v>| Zirkel to Botanix StoreOnce Doc bugs</v>
      </c>
      <c r="E283" t="s">
        <v>1932</v>
      </c>
    </row>
    <row r="284" spans="3:5" x14ac:dyDescent="0.3">
      <c r="C284" s="11" t="str">
        <f t="shared" ca="1" si="6"/>
        <v>NM</v>
      </c>
      <c r="D284" s="11" t="str">
        <f t="shared" ca="1" si="7"/>
        <v>| Zirkel to Botanix StoreOnce SysEng Doc bugs</v>
      </c>
      <c r="E284" t="s">
        <v>1933</v>
      </c>
    </row>
    <row r="285" spans="3:5" x14ac:dyDescent="0.3">
      <c r="C285" s="11" t="str">
        <f t="shared" ca="1" si="6"/>
        <v>NM</v>
      </c>
      <c r="D285" s="11" t="str">
        <f t="shared" ca="1" si="7"/>
        <v>| Zirkel3_CRB_Review</v>
      </c>
      <c r="E285" t="s">
        <v>1934</v>
      </c>
    </row>
    <row r="286" spans="3:5" x14ac:dyDescent="0.3">
      <c r="C286" s="11" t="str">
        <f t="shared" ca="1" si="6"/>
        <v>NM</v>
      </c>
      <c r="D286" s="11" t="str">
        <f t="shared" ca="1" si="7"/>
        <v>| Zirkel5 Last 7 Days</v>
      </c>
      <c r="E286" t="s">
        <v>1935</v>
      </c>
    </row>
    <row r="287" spans="3:5" x14ac:dyDescent="0.3">
      <c r="C287" s="11" t="str">
        <f t="shared" ca="1" si="6"/>
        <v>NM</v>
      </c>
      <c r="D287" s="11" t="str">
        <f t="shared" ca="1" si="7"/>
        <v>| Zirkel5 Open inc Platform</v>
      </c>
      <c r="E287" t="s">
        <v>1936</v>
      </c>
    </row>
    <row r="288" spans="3:5" x14ac:dyDescent="0.3">
      <c r="C288" s="11" t="str">
        <f t="shared" ca="1" si="6"/>
        <v>NM</v>
      </c>
      <c r="D288" s="11">
        <f t="shared" ca="1" si="7"/>
        <v>0</v>
      </c>
    </row>
    <row r="289" spans="1:15" x14ac:dyDescent="0.3">
      <c r="C289" s="11" t="str">
        <f t="shared" ca="1" si="6"/>
        <v>NM</v>
      </c>
      <c r="D289" s="11">
        <f t="shared" ca="1" si="7"/>
        <v>0</v>
      </c>
    </row>
    <row r="290" spans="1:15" x14ac:dyDescent="0.3">
      <c r="C290" s="11" t="str">
        <f t="shared" ca="1" si="6"/>
        <v>NM</v>
      </c>
      <c r="D290" s="11">
        <f t="shared" ca="1" si="7"/>
        <v>0</v>
      </c>
    </row>
    <row r="291" spans="1:15" x14ac:dyDescent="0.3">
      <c r="C291" s="11" t="str">
        <f t="shared" ca="1" si="6"/>
        <v>NM</v>
      </c>
      <c r="D291" s="11">
        <f t="shared" ca="1" si="7"/>
        <v>0</v>
      </c>
    </row>
    <row r="292" spans="1:15" x14ac:dyDescent="0.3">
      <c r="C292" s="11" t="str">
        <f t="shared" ca="1" si="6"/>
        <v>NM</v>
      </c>
      <c r="D292" s="11">
        <f t="shared" ca="1" si="7"/>
        <v>0</v>
      </c>
    </row>
    <row r="293" spans="1:15" x14ac:dyDescent="0.3">
      <c r="C293" s="11" t="str">
        <f t="shared" ref="C293:C356" ca="1" si="8">HYPERLINK(CONCATENATE($A$501,"/bugzilla/show_bug.cgi?id=",IFERROR(VALUE(MID(INDIRECT("g"&amp;ROW()),9,5)),INDIRECT("e"&amp;ROW()))),IFERROR(VALUE(MID(INDIRECT("g"&amp;ROW()),9,5)),"NM"))</f>
        <v>NM</v>
      </c>
      <c r="D293" s="11">
        <f t="shared" ref="D293:D357" ca="1" si="9">HYPERLINK(CONCATENATE("https://bugzilla.houston.hpecorp.net:1181/bugzilla/show_bug.cgi?id=",INDIRECT("e"&amp;ROW())),INDIRECT("e"&amp;ROW()))</f>
        <v>0</v>
      </c>
    </row>
    <row r="294" spans="1:15" x14ac:dyDescent="0.3">
      <c r="C294" s="11" t="str">
        <f t="shared" ca="1" si="8"/>
        <v>NM</v>
      </c>
      <c r="D294" s="11">
        <f t="shared" ca="1" si="9"/>
        <v>0</v>
      </c>
    </row>
    <row r="295" spans="1:15" x14ac:dyDescent="0.3">
      <c r="C295" s="11" t="str">
        <f t="shared" ca="1" si="8"/>
        <v>NM</v>
      </c>
      <c r="D295" s="11">
        <f t="shared" ca="1" si="9"/>
        <v>0</v>
      </c>
    </row>
    <row r="296" spans="1:15" x14ac:dyDescent="0.3">
      <c r="C296" s="11" t="str">
        <f t="shared" ca="1" si="8"/>
        <v>NM</v>
      </c>
      <c r="D296" s="11">
        <f t="shared" ca="1" si="9"/>
        <v>0</v>
      </c>
    </row>
    <row r="297" spans="1:15" x14ac:dyDescent="0.3">
      <c r="C297" s="11" t="str">
        <f t="shared" ca="1" si="8"/>
        <v>NM</v>
      </c>
      <c r="D297" s="11">
        <f t="shared" ca="1" si="9"/>
        <v>0</v>
      </c>
    </row>
    <row r="298" spans="1:15" x14ac:dyDescent="0.3">
      <c r="C298" s="11" t="str">
        <f t="shared" ca="1" si="8"/>
        <v>NM</v>
      </c>
      <c r="D298" s="11">
        <f t="shared" ca="1" si="9"/>
        <v>0</v>
      </c>
    </row>
    <row r="299" spans="1:15" x14ac:dyDescent="0.3">
      <c r="C299" s="11" t="str">
        <f t="shared" ca="1" si="8"/>
        <v>NM</v>
      </c>
      <c r="D299" s="11">
        <f t="shared" ca="1" si="9"/>
        <v>0</v>
      </c>
    </row>
    <row r="300" spans="1:15" x14ac:dyDescent="0.3">
      <c r="A300" s="11" t="s">
        <v>314</v>
      </c>
      <c r="C300" s="11" t="str">
        <f t="shared" ca="1" si="8"/>
        <v>NM</v>
      </c>
      <c r="D300" s="11">
        <f t="shared" ca="1" si="9"/>
        <v>0</v>
      </c>
    </row>
    <row r="301" spans="1:15" x14ac:dyDescent="0.3">
      <c r="C301" s="11" t="str">
        <f t="shared" ca="1" si="8"/>
        <v>NM</v>
      </c>
      <c r="D301" s="11">
        <f t="shared" ca="1" si="9"/>
        <v>0</v>
      </c>
    </row>
    <row r="302" spans="1:15" x14ac:dyDescent="0.3">
      <c r="C302" s="11" t="str">
        <f t="shared" ca="1" si="8"/>
        <v>NM</v>
      </c>
      <c r="D302" s="11">
        <f t="shared" ca="1" si="9"/>
        <v>0</v>
      </c>
    </row>
    <row r="303" spans="1:15" x14ac:dyDescent="0.3">
      <c r="C303" s="11" t="str">
        <f t="shared" ca="1" si="8"/>
        <v>NM</v>
      </c>
      <c r="D303" s="11">
        <f t="shared" ca="1" si="9"/>
        <v>0</v>
      </c>
      <c r="L303" s="27"/>
      <c r="O303" s="13"/>
    </row>
    <row r="304" spans="1:15" x14ac:dyDescent="0.3">
      <c r="C304" s="11" t="str">
        <f t="shared" ca="1" si="8"/>
        <v>NM</v>
      </c>
      <c r="D304" s="11">
        <f t="shared" ca="1" si="9"/>
        <v>0</v>
      </c>
      <c r="L304" s="27"/>
      <c r="O304" s="13"/>
    </row>
    <row r="305" spans="3:15" x14ac:dyDescent="0.3">
      <c r="C305" s="11" t="str">
        <f t="shared" ca="1" si="8"/>
        <v>NM</v>
      </c>
      <c r="D305" s="11">
        <f t="shared" ca="1" si="9"/>
        <v>0</v>
      </c>
      <c r="L305" s="27"/>
      <c r="O305" s="27"/>
    </row>
    <row r="306" spans="3:15" x14ac:dyDescent="0.3">
      <c r="C306" s="11" t="str">
        <f t="shared" ca="1" si="8"/>
        <v>NM</v>
      </c>
      <c r="D306" s="11">
        <f t="shared" ca="1" si="9"/>
        <v>0</v>
      </c>
      <c r="L306" s="27"/>
      <c r="O306" s="27"/>
    </row>
    <row r="307" spans="3:15" x14ac:dyDescent="0.3">
      <c r="C307" s="11" t="str">
        <f t="shared" ca="1" si="8"/>
        <v>NM</v>
      </c>
      <c r="D307" s="11">
        <f t="shared" ca="1" si="9"/>
        <v>0</v>
      </c>
      <c r="L307" s="27"/>
      <c r="O307" s="27"/>
    </row>
    <row r="308" spans="3:15" x14ac:dyDescent="0.3">
      <c r="C308" s="11" t="str">
        <f t="shared" ca="1" si="8"/>
        <v>NM</v>
      </c>
      <c r="D308" s="11">
        <f t="shared" ca="1" si="9"/>
        <v>0</v>
      </c>
      <c r="L308" s="27"/>
      <c r="O308" s="27"/>
    </row>
    <row r="309" spans="3:15" x14ac:dyDescent="0.3">
      <c r="C309" s="11" t="str">
        <f t="shared" ca="1" si="8"/>
        <v>NM</v>
      </c>
      <c r="D309" s="11">
        <f t="shared" ca="1" si="9"/>
        <v>0</v>
      </c>
      <c r="L309" s="27"/>
      <c r="O309" s="13"/>
    </row>
    <row r="310" spans="3:15" x14ac:dyDescent="0.3">
      <c r="C310" s="11" t="str">
        <f t="shared" ca="1" si="8"/>
        <v>NM</v>
      </c>
      <c r="D310" s="11">
        <f t="shared" ca="1" si="9"/>
        <v>0</v>
      </c>
      <c r="L310" s="27"/>
      <c r="O310" s="13"/>
    </row>
    <row r="311" spans="3:15" x14ac:dyDescent="0.3">
      <c r="C311" s="11" t="str">
        <f t="shared" ca="1" si="8"/>
        <v>NM</v>
      </c>
      <c r="D311" s="11">
        <f t="shared" ca="1" si="9"/>
        <v>0</v>
      </c>
      <c r="L311" s="13"/>
      <c r="O311" s="13"/>
    </row>
    <row r="312" spans="3:15" x14ac:dyDescent="0.3">
      <c r="C312" s="11" t="str">
        <f t="shared" ca="1" si="8"/>
        <v>NM</v>
      </c>
      <c r="D312" s="11">
        <f t="shared" ca="1" si="9"/>
        <v>0</v>
      </c>
      <c r="L312" s="13"/>
      <c r="O312" s="13"/>
    </row>
    <row r="313" spans="3:15" x14ac:dyDescent="0.3">
      <c r="C313" s="11" t="str">
        <f t="shared" ca="1" si="8"/>
        <v>NM</v>
      </c>
      <c r="D313" s="11">
        <f t="shared" ca="1" si="9"/>
        <v>0</v>
      </c>
      <c r="L313" s="13"/>
      <c r="O313" s="13"/>
    </row>
    <row r="314" spans="3:15" x14ac:dyDescent="0.3">
      <c r="C314" s="11" t="str">
        <f t="shared" ca="1" si="8"/>
        <v>NM</v>
      </c>
      <c r="D314" s="11">
        <f t="shared" ca="1" si="9"/>
        <v>0</v>
      </c>
      <c r="L314" s="13"/>
      <c r="O314" s="13"/>
    </row>
    <row r="315" spans="3:15" x14ac:dyDescent="0.3">
      <c r="C315" s="11" t="str">
        <f t="shared" ca="1" si="8"/>
        <v>NM</v>
      </c>
      <c r="D315" s="11">
        <f t="shared" ca="1" si="9"/>
        <v>0</v>
      </c>
      <c r="L315" s="27"/>
      <c r="O315" s="13"/>
    </row>
    <row r="316" spans="3:15" x14ac:dyDescent="0.3">
      <c r="C316" s="11" t="str">
        <f t="shared" ca="1" si="8"/>
        <v>NM</v>
      </c>
      <c r="D316" s="11">
        <f t="shared" ca="1" si="9"/>
        <v>0</v>
      </c>
      <c r="L316" s="27"/>
      <c r="O316" s="13"/>
    </row>
    <row r="317" spans="3:15" x14ac:dyDescent="0.3">
      <c r="C317" s="11" t="str">
        <f t="shared" ca="1" si="8"/>
        <v>NM</v>
      </c>
      <c r="D317" s="11">
        <f t="shared" ca="1" si="9"/>
        <v>0</v>
      </c>
      <c r="L317" s="27"/>
      <c r="O317" s="13"/>
    </row>
    <row r="318" spans="3:15" x14ac:dyDescent="0.3">
      <c r="C318" s="11" t="str">
        <f t="shared" ca="1" si="8"/>
        <v>NM</v>
      </c>
      <c r="D318" s="11">
        <f t="shared" ca="1" si="9"/>
        <v>0</v>
      </c>
      <c r="L318" s="27"/>
      <c r="O318" s="13"/>
    </row>
    <row r="319" spans="3:15" x14ac:dyDescent="0.3">
      <c r="C319" s="11" t="str">
        <f t="shared" ca="1" si="8"/>
        <v>NM</v>
      </c>
      <c r="D319" s="11">
        <f t="shared" ca="1" si="9"/>
        <v>0</v>
      </c>
      <c r="L319" s="27"/>
      <c r="O319" s="27"/>
    </row>
    <row r="320" spans="3:15" x14ac:dyDescent="0.3">
      <c r="C320" s="11" t="str">
        <f t="shared" ca="1" si="8"/>
        <v>NM</v>
      </c>
      <c r="D320" s="11">
        <f t="shared" ca="1" si="9"/>
        <v>0</v>
      </c>
      <c r="L320" s="27"/>
      <c r="O320" s="27"/>
    </row>
    <row r="321" spans="3:15" x14ac:dyDescent="0.3">
      <c r="C321" s="11" t="str">
        <f t="shared" ca="1" si="8"/>
        <v>NM</v>
      </c>
      <c r="D321" s="11">
        <f t="shared" ca="1" si="9"/>
        <v>0</v>
      </c>
      <c r="L321" s="27"/>
      <c r="O321" s="27"/>
    </row>
    <row r="322" spans="3:15" x14ac:dyDescent="0.3">
      <c r="C322" s="11" t="str">
        <f t="shared" ca="1" si="8"/>
        <v>NM</v>
      </c>
      <c r="D322" s="11">
        <f t="shared" ca="1" si="9"/>
        <v>0</v>
      </c>
      <c r="L322" s="27"/>
      <c r="O322" s="27"/>
    </row>
    <row r="323" spans="3:15" x14ac:dyDescent="0.3">
      <c r="C323" s="11" t="str">
        <f t="shared" ca="1" si="8"/>
        <v>NM</v>
      </c>
      <c r="D323" s="11">
        <f t="shared" ca="1" si="9"/>
        <v>0</v>
      </c>
      <c r="L323" s="13"/>
      <c r="O323" s="13"/>
    </row>
    <row r="324" spans="3:15" x14ac:dyDescent="0.3">
      <c r="C324" s="11" t="str">
        <f t="shared" ca="1" si="8"/>
        <v>NM</v>
      </c>
      <c r="D324" s="11">
        <f t="shared" ca="1" si="9"/>
        <v>0</v>
      </c>
      <c r="L324" s="13"/>
      <c r="O324" s="13"/>
    </row>
    <row r="325" spans="3:15" x14ac:dyDescent="0.3">
      <c r="C325" s="11" t="str">
        <f t="shared" ca="1" si="8"/>
        <v>NM</v>
      </c>
      <c r="D325" s="11">
        <f t="shared" ca="1" si="9"/>
        <v>0</v>
      </c>
      <c r="L325" s="13"/>
      <c r="O325" s="13"/>
    </row>
    <row r="326" spans="3:15" x14ac:dyDescent="0.3">
      <c r="C326" s="11" t="str">
        <f t="shared" ca="1" si="8"/>
        <v>NM</v>
      </c>
      <c r="D326" s="11">
        <f t="shared" ca="1" si="9"/>
        <v>0</v>
      </c>
      <c r="L326" s="13"/>
      <c r="O326" s="13"/>
    </row>
    <row r="327" spans="3:15" x14ac:dyDescent="0.3">
      <c r="C327" s="11" t="str">
        <f t="shared" ca="1" si="8"/>
        <v>NM</v>
      </c>
      <c r="D327" s="11">
        <f t="shared" ca="1" si="9"/>
        <v>0</v>
      </c>
      <c r="L327" s="13"/>
      <c r="O327" s="13"/>
    </row>
    <row r="328" spans="3:15" x14ac:dyDescent="0.3">
      <c r="C328" s="11" t="str">
        <f t="shared" ca="1" si="8"/>
        <v>NM</v>
      </c>
      <c r="D328" s="11">
        <f t="shared" ca="1" si="9"/>
        <v>0</v>
      </c>
      <c r="L328" s="13"/>
      <c r="O328" s="13"/>
    </row>
    <row r="329" spans="3:15" x14ac:dyDescent="0.3">
      <c r="C329" s="11" t="str">
        <f t="shared" ca="1" si="8"/>
        <v>NM</v>
      </c>
      <c r="D329" s="11">
        <f t="shared" ca="1" si="9"/>
        <v>0</v>
      </c>
      <c r="L329" s="27"/>
      <c r="O329" s="27"/>
    </row>
    <row r="330" spans="3:15" x14ac:dyDescent="0.3">
      <c r="C330" s="11" t="str">
        <f t="shared" ca="1" si="8"/>
        <v>NM</v>
      </c>
      <c r="D330" s="11">
        <f t="shared" ca="1" si="9"/>
        <v>0</v>
      </c>
      <c r="L330" s="27"/>
      <c r="O330" s="27"/>
    </row>
    <row r="331" spans="3:15" x14ac:dyDescent="0.3">
      <c r="C331" s="11" t="str">
        <f t="shared" ca="1" si="8"/>
        <v>NM</v>
      </c>
      <c r="D331" s="11">
        <f t="shared" ca="1" si="9"/>
        <v>0</v>
      </c>
      <c r="L331" s="13"/>
      <c r="O331" s="13"/>
    </row>
    <row r="332" spans="3:15" x14ac:dyDescent="0.3">
      <c r="C332" s="11" t="str">
        <f t="shared" ca="1" si="8"/>
        <v>NM</v>
      </c>
      <c r="D332" s="11">
        <f t="shared" ca="1" si="9"/>
        <v>0</v>
      </c>
      <c r="L332" s="13"/>
      <c r="O332" s="13"/>
    </row>
    <row r="333" spans="3:15" x14ac:dyDescent="0.3">
      <c r="C333" s="11" t="str">
        <f t="shared" ca="1" si="8"/>
        <v>NM</v>
      </c>
      <c r="D333" s="11">
        <f t="shared" ca="1" si="9"/>
        <v>0</v>
      </c>
      <c r="L333" s="27"/>
      <c r="O333" s="13"/>
    </row>
    <row r="334" spans="3:15" x14ac:dyDescent="0.3">
      <c r="C334" s="11" t="str">
        <f t="shared" ca="1" si="8"/>
        <v>NM</v>
      </c>
      <c r="D334" s="11">
        <f t="shared" ca="1" si="9"/>
        <v>0</v>
      </c>
      <c r="L334" s="27"/>
      <c r="O334" s="13"/>
    </row>
    <row r="335" spans="3:15" x14ac:dyDescent="0.3">
      <c r="C335" s="11" t="str">
        <f t="shared" ca="1" si="8"/>
        <v>NM</v>
      </c>
      <c r="D335" s="11">
        <f t="shared" ca="1" si="9"/>
        <v>0</v>
      </c>
      <c r="L335" s="27"/>
      <c r="O335" s="13"/>
    </row>
    <row r="336" spans="3:15" x14ac:dyDescent="0.3">
      <c r="C336" s="11" t="str">
        <f t="shared" ca="1" si="8"/>
        <v>NM</v>
      </c>
      <c r="D336" s="11">
        <f t="shared" ca="1" si="9"/>
        <v>0</v>
      </c>
      <c r="L336" s="27"/>
      <c r="O336" s="13"/>
    </row>
    <row r="337" spans="1:15" x14ac:dyDescent="0.3">
      <c r="C337" s="11" t="str">
        <f t="shared" ca="1" si="8"/>
        <v>NM</v>
      </c>
      <c r="D337" s="11">
        <f t="shared" ca="1" si="9"/>
        <v>0</v>
      </c>
      <c r="L337" s="27"/>
      <c r="O337" s="13"/>
    </row>
    <row r="338" spans="1:15" x14ac:dyDescent="0.3">
      <c r="C338" s="11" t="str">
        <f t="shared" ca="1" si="8"/>
        <v>NM</v>
      </c>
      <c r="D338" s="11">
        <f t="shared" ca="1" si="9"/>
        <v>0</v>
      </c>
      <c r="L338" s="27"/>
      <c r="O338" s="13"/>
    </row>
    <row r="339" spans="1:15" x14ac:dyDescent="0.3">
      <c r="C339" s="11" t="str">
        <f t="shared" ca="1" si="8"/>
        <v>NM</v>
      </c>
      <c r="D339" s="11">
        <f t="shared" ca="1" si="9"/>
        <v>0</v>
      </c>
      <c r="L339" s="27"/>
      <c r="O339" s="13"/>
    </row>
    <row r="340" spans="1:15" x14ac:dyDescent="0.3">
      <c r="C340" s="11" t="str">
        <f t="shared" ca="1" si="8"/>
        <v>NM</v>
      </c>
      <c r="D340" s="11">
        <f t="shared" ca="1" si="9"/>
        <v>0</v>
      </c>
      <c r="L340" s="27"/>
      <c r="O340" s="13"/>
    </row>
    <row r="341" spans="1:15" x14ac:dyDescent="0.3">
      <c r="C341" s="11" t="str">
        <f t="shared" ca="1" si="8"/>
        <v>NM</v>
      </c>
      <c r="D341" s="11">
        <f t="shared" ca="1" si="9"/>
        <v>0</v>
      </c>
      <c r="L341" s="27"/>
      <c r="O341" s="13"/>
    </row>
    <row r="342" spans="1:15" x14ac:dyDescent="0.3">
      <c r="C342" s="11" t="str">
        <f t="shared" ca="1" si="8"/>
        <v>NM</v>
      </c>
      <c r="D342" s="11">
        <f t="shared" ca="1" si="9"/>
        <v>0</v>
      </c>
      <c r="L342" s="27"/>
      <c r="O342" s="13"/>
    </row>
    <row r="343" spans="1:15" x14ac:dyDescent="0.3">
      <c r="C343" s="11" t="str">
        <f t="shared" ca="1" si="8"/>
        <v>NM</v>
      </c>
      <c r="D343" s="11">
        <f t="shared" ca="1" si="9"/>
        <v>0</v>
      </c>
      <c r="L343" s="27"/>
      <c r="O343" s="13"/>
    </row>
    <row r="344" spans="1:15" x14ac:dyDescent="0.3">
      <c r="C344" s="11" t="str">
        <f t="shared" ca="1" si="8"/>
        <v>NM</v>
      </c>
      <c r="D344" s="11">
        <f t="shared" ca="1" si="9"/>
        <v>0</v>
      </c>
      <c r="L344" s="27"/>
      <c r="O344" s="13"/>
    </row>
    <row r="345" spans="1:15" x14ac:dyDescent="0.3">
      <c r="A345" t="str">
        <f>E22</f>
        <v>Severity: blocker, critical, major, normal</v>
      </c>
      <c r="C345" s="11" t="str">
        <f t="shared" ca="1" si="8"/>
        <v>NM</v>
      </c>
      <c r="D345" s="11">
        <f t="shared" ca="1" si="9"/>
        <v>0</v>
      </c>
      <c r="L345" s="13"/>
      <c r="O345" s="13"/>
    </row>
    <row r="346" spans="1:15" x14ac:dyDescent="0.3">
      <c r="C346" s="11" t="str">
        <f t="shared" ca="1" si="8"/>
        <v>NM</v>
      </c>
      <c r="D346" s="11">
        <f t="shared" ca="1" si="9"/>
        <v>0</v>
      </c>
      <c r="L346" s="27"/>
      <c r="O346" s="13"/>
    </row>
    <row r="347" spans="1:15" x14ac:dyDescent="0.3">
      <c r="C347" s="11" t="str">
        <f t="shared" ca="1" si="8"/>
        <v>NM</v>
      </c>
      <c r="D347" s="11">
        <f t="shared" ca="1" si="9"/>
        <v>0</v>
      </c>
      <c r="L347" s="13"/>
      <c r="O347" s="13"/>
    </row>
    <row r="348" spans="1:15" x14ac:dyDescent="0.3">
      <c r="C348" s="11" t="str">
        <f t="shared" ca="1" si="8"/>
        <v>NM</v>
      </c>
      <c r="D348" s="11">
        <f t="shared" ca="1" si="9"/>
        <v>0</v>
      </c>
      <c r="L348" s="27"/>
      <c r="O348" s="13"/>
    </row>
    <row r="349" spans="1:15" x14ac:dyDescent="0.3">
      <c r="C349" s="11" t="str">
        <f t="shared" ca="1" si="8"/>
        <v>NM</v>
      </c>
      <c r="D349" s="11">
        <f t="shared" ca="1" si="9"/>
        <v>0</v>
      </c>
      <c r="L349" s="27"/>
      <c r="O349" s="27"/>
    </row>
    <row r="350" spans="1:15" x14ac:dyDescent="0.3">
      <c r="C350" s="11" t="str">
        <f t="shared" ca="1" si="8"/>
        <v>NM</v>
      </c>
      <c r="D350" s="11">
        <f t="shared" ca="1" si="9"/>
        <v>0</v>
      </c>
      <c r="L350" s="27"/>
      <c r="O350" s="27"/>
    </row>
    <row r="351" spans="1:15" x14ac:dyDescent="0.3">
      <c r="C351" s="11" t="str">
        <f t="shared" ca="1" si="8"/>
        <v>NM</v>
      </c>
      <c r="D351" s="11">
        <f t="shared" ca="1" si="9"/>
        <v>0</v>
      </c>
      <c r="L351" s="27"/>
      <c r="O351" s="27"/>
    </row>
    <row r="352" spans="1:15" x14ac:dyDescent="0.3">
      <c r="C352" s="11" t="str">
        <f t="shared" ca="1" si="8"/>
        <v>NM</v>
      </c>
      <c r="D352" s="11">
        <f t="shared" ca="1" si="9"/>
        <v>0</v>
      </c>
      <c r="L352" s="27"/>
      <c r="O352" s="27"/>
    </row>
    <row r="353" spans="3:15" x14ac:dyDescent="0.3">
      <c r="C353" s="11" t="str">
        <f t="shared" ca="1" si="8"/>
        <v>NM</v>
      </c>
      <c r="D353" s="11">
        <f t="shared" ca="1" si="9"/>
        <v>0</v>
      </c>
      <c r="L353" s="27"/>
      <c r="O353" s="13"/>
    </row>
    <row r="354" spans="3:15" x14ac:dyDescent="0.3">
      <c r="C354" s="11" t="str">
        <f t="shared" ca="1" si="8"/>
        <v>NM</v>
      </c>
      <c r="D354" s="11">
        <f t="shared" ca="1" si="9"/>
        <v>0</v>
      </c>
      <c r="L354" s="27"/>
      <c r="O354" s="13"/>
    </row>
    <row r="355" spans="3:15" x14ac:dyDescent="0.3">
      <c r="C355" s="11" t="str">
        <f t="shared" ca="1" si="8"/>
        <v>NM</v>
      </c>
      <c r="D355" s="11">
        <f t="shared" ca="1" si="9"/>
        <v>0</v>
      </c>
      <c r="L355" s="27"/>
      <c r="O355" s="13"/>
    </row>
    <row r="356" spans="3:15" x14ac:dyDescent="0.3">
      <c r="C356" s="11" t="str">
        <f t="shared" ca="1" si="8"/>
        <v>NM</v>
      </c>
      <c r="D356" s="11">
        <f t="shared" ca="1" si="9"/>
        <v>0</v>
      </c>
      <c r="L356" s="13"/>
      <c r="O356" s="13"/>
    </row>
    <row r="357" spans="3:15" x14ac:dyDescent="0.3">
      <c r="C357" s="11" t="str">
        <f t="shared" ref="C357:C420" ca="1" si="10">HYPERLINK(CONCATENATE($A$501,"/bugzilla/show_bug.cgi?id=",IFERROR(VALUE(MID(INDIRECT("g"&amp;ROW()),9,5)),INDIRECT("e"&amp;ROW()))),IFERROR(VALUE(MID(INDIRECT("g"&amp;ROW()),9,5)),"NM"))</f>
        <v>NM</v>
      </c>
      <c r="D357" s="11">
        <f t="shared" ca="1" si="9"/>
        <v>0</v>
      </c>
      <c r="L357" s="27"/>
      <c r="O357" s="13"/>
    </row>
    <row r="358" spans="3:15" x14ac:dyDescent="0.3">
      <c r="C358" s="11" t="str">
        <f t="shared" ca="1" si="10"/>
        <v>NM</v>
      </c>
      <c r="D358" s="11">
        <f t="shared" ref="D358:D421" ca="1" si="11">HYPERLINK(CONCATENATE("https://bugzilla.houston.hpecorp.net:1181/bugzilla/show_bug.cgi?id=",INDIRECT("e"&amp;ROW())),INDIRECT("e"&amp;ROW()))</f>
        <v>0</v>
      </c>
      <c r="L358" s="27"/>
      <c r="O358" s="27"/>
    </row>
    <row r="359" spans="3:15" x14ac:dyDescent="0.3">
      <c r="C359" s="11" t="str">
        <f t="shared" ca="1" si="10"/>
        <v>NM</v>
      </c>
      <c r="D359" s="11">
        <f t="shared" ca="1" si="11"/>
        <v>0</v>
      </c>
      <c r="L359" s="27"/>
      <c r="O359" s="27"/>
    </row>
    <row r="360" spans="3:15" x14ac:dyDescent="0.3">
      <c r="C360" s="11" t="str">
        <f t="shared" ca="1" si="10"/>
        <v>NM</v>
      </c>
      <c r="D360" s="11">
        <f t="shared" ca="1" si="11"/>
        <v>0</v>
      </c>
      <c r="L360" s="27"/>
      <c r="O360" s="27"/>
    </row>
    <row r="361" spans="3:15" x14ac:dyDescent="0.3">
      <c r="C361" s="11" t="str">
        <f t="shared" ca="1" si="10"/>
        <v>NM</v>
      </c>
      <c r="D361" s="11">
        <f t="shared" ca="1" si="11"/>
        <v>0</v>
      </c>
      <c r="L361" s="27"/>
      <c r="O361" s="27"/>
    </row>
    <row r="362" spans="3:15" x14ac:dyDescent="0.3">
      <c r="C362" s="11" t="str">
        <f t="shared" ca="1" si="10"/>
        <v>NM</v>
      </c>
      <c r="D362" s="11">
        <f t="shared" ca="1" si="11"/>
        <v>0</v>
      </c>
      <c r="L362" s="27"/>
      <c r="O362" s="13"/>
    </row>
    <row r="363" spans="3:15" x14ac:dyDescent="0.3">
      <c r="C363" s="11" t="str">
        <f t="shared" ca="1" si="10"/>
        <v>NM</v>
      </c>
      <c r="D363" s="11">
        <f t="shared" ca="1" si="11"/>
        <v>0</v>
      </c>
      <c r="L363" s="27"/>
      <c r="O363" s="27"/>
    </row>
    <row r="364" spans="3:15" x14ac:dyDescent="0.3">
      <c r="C364" s="11" t="str">
        <f t="shared" ca="1" si="10"/>
        <v>NM</v>
      </c>
      <c r="D364" s="11">
        <f t="shared" ca="1" si="11"/>
        <v>0</v>
      </c>
      <c r="L364" s="27"/>
      <c r="O364" s="27"/>
    </row>
    <row r="365" spans="3:15" x14ac:dyDescent="0.3">
      <c r="C365" s="11" t="str">
        <f t="shared" ca="1" si="10"/>
        <v>NM</v>
      </c>
      <c r="D365" s="11">
        <f t="shared" ca="1" si="11"/>
        <v>0</v>
      </c>
      <c r="L365" s="27"/>
      <c r="O365" s="27"/>
    </row>
    <row r="366" spans="3:15" x14ac:dyDescent="0.3">
      <c r="C366" s="11" t="str">
        <f t="shared" ca="1" si="10"/>
        <v>NM</v>
      </c>
      <c r="D366" s="11">
        <f t="shared" ca="1" si="11"/>
        <v>0</v>
      </c>
      <c r="L366" s="27"/>
      <c r="O366" s="27"/>
    </row>
    <row r="367" spans="3:15" x14ac:dyDescent="0.3">
      <c r="C367" s="11" t="str">
        <f t="shared" ca="1" si="10"/>
        <v>NM</v>
      </c>
      <c r="D367" s="11">
        <f t="shared" ca="1" si="11"/>
        <v>0</v>
      </c>
      <c r="L367" s="13"/>
      <c r="O367" s="13"/>
    </row>
    <row r="368" spans="3:15" x14ac:dyDescent="0.3">
      <c r="C368" s="11" t="str">
        <f t="shared" ca="1" si="10"/>
        <v>NM</v>
      </c>
      <c r="D368" s="11">
        <f t="shared" ca="1" si="11"/>
        <v>0</v>
      </c>
      <c r="L368" s="27"/>
      <c r="O368" s="27"/>
    </row>
    <row r="369" spans="1:15" x14ac:dyDescent="0.3">
      <c r="C369" s="11" t="str">
        <f t="shared" ca="1" si="10"/>
        <v>NM</v>
      </c>
      <c r="D369" s="11">
        <f t="shared" ca="1" si="11"/>
        <v>0</v>
      </c>
      <c r="L369" s="13"/>
      <c r="O369" s="13"/>
    </row>
    <row r="370" spans="1:15" x14ac:dyDescent="0.3">
      <c r="C370" s="11" t="str">
        <f t="shared" ca="1" si="10"/>
        <v>NM</v>
      </c>
      <c r="D370" s="11">
        <f t="shared" ca="1" si="11"/>
        <v>0</v>
      </c>
      <c r="L370" s="27"/>
      <c r="O370" s="13"/>
    </row>
    <row r="371" spans="1:15" x14ac:dyDescent="0.3">
      <c r="C371" s="11" t="str">
        <f t="shared" ca="1" si="10"/>
        <v>NM</v>
      </c>
      <c r="D371" s="11">
        <f t="shared" ca="1" si="11"/>
        <v>0</v>
      </c>
      <c r="L371" s="13"/>
      <c r="O371" s="13"/>
    </row>
    <row r="372" spans="1:15" x14ac:dyDescent="0.3">
      <c r="C372" s="11" t="str">
        <f t="shared" ca="1" si="10"/>
        <v>NM</v>
      </c>
      <c r="D372" s="11">
        <f t="shared" ca="1" si="11"/>
        <v>0</v>
      </c>
      <c r="L372" s="27"/>
      <c r="O372" s="13"/>
    </row>
    <row r="373" spans="1:15" x14ac:dyDescent="0.3">
      <c r="C373" s="11" t="str">
        <f t="shared" ca="1" si="10"/>
        <v>NM</v>
      </c>
      <c r="D373" s="11">
        <f t="shared" ca="1" si="11"/>
        <v>0</v>
      </c>
      <c r="L373" s="13"/>
      <c r="O373" s="13"/>
    </row>
    <row r="374" spans="1:15" x14ac:dyDescent="0.3">
      <c r="C374" s="11" t="str">
        <f t="shared" ca="1" si="10"/>
        <v>NM</v>
      </c>
      <c r="D374" s="11">
        <f t="shared" ca="1" si="11"/>
        <v>0</v>
      </c>
      <c r="L374" s="27"/>
      <c r="O374" s="13"/>
    </row>
    <row r="375" spans="1:15" x14ac:dyDescent="0.3">
      <c r="C375" s="11" t="str">
        <f t="shared" ca="1" si="10"/>
        <v>NM</v>
      </c>
      <c r="D375" s="11">
        <f t="shared" ca="1" si="11"/>
        <v>0</v>
      </c>
      <c r="L375" s="13"/>
      <c r="O375" s="13"/>
    </row>
    <row r="376" spans="1:15" x14ac:dyDescent="0.3">
      <c r="C376" s="11" t="str">
        <f t="shared" ca="1" si="10"/>
        <v>NM</v>
      </c>
      <c r="D376" s="11">
        <f t="shared" ca="1" si="11"/>
        <v>0</v>
      </c>
      <c r="L376" s="27"/>
      <c r="O376" s="13"/>
    </row>
    <row r="377" spans="1:15" x14ac:dyDescent="0.3">
      <c r="C377" s="11" t="str">
        <f t="shared" ca="1" si="10"/>
        <v>NM</v>
      </c>
      <c r="D377" s="11">
        <f t="shared" ca="1" si="11"/>
        <v>0</v>
      </c>
      <c r="L377" s="27"/>
      <c r="O377" s="13"/>
    </row>
    <row r="378" spans="1:15" x14ac:dyDescent="0.3">
      <c r="C378" s="11" t="str">
        <f t="shared" ca="1" si="10"/>
        <v>NM</v>
      </c>
      <c r="D378" s="11">
        <f t="shared" ca="1" si="11"/>
        <v>0</v>
      </c>
      <c r="L378" s="27"/>
      <c r="O378" s="13"/>
    </row>
    <row r="379" spans="1:15" x14ac:dyDescent="0.3">
      <c r="C379" s="11" t="str">
        <f t="shared" ca="1" si="10"/>
        <v>NM</v>
      </c>
      <c r="D379" s="11">
        <f t="shared" ca="1" si="11"/>
        <v>0</v>
      </c>
      <c r="L379" s="27"/>
      <c r="O379" s="13"/>
    </row>
    <row r="380" spans="1:15" x14ac:dyDescent="0.3">
      <c r="A380" t="str">
        <f>E22</f>
        <v>Severity: blocker, critical, major, normal</v>
      </c>
      <c r="C380" s="11" t="str">
        <f t="shared" ca="1" si="10"/>
        <v>NM</v>
      </c>
      <c r="D380" s="11">
        <f t="shared" ca="1" si="11"/>
        <v>0</v>
      </c>
      <c r="L380" s="27"/>
      <c r="O380" s="13"/>
    </row>
    <row r="381" spans="1:15" x14ac:dyDescent="0.3">
      <c r="C381" s="11" t="str">
        <f t="shared" ca="1" si="10"/>
        <v>NM</v>
      </c>
      <c r="D381" s="11">
        <f t="shared" ca="1" si="11"/>
        <v>0</v>
      </c>
      <c r="L381" s="27"/>
      <c r="O381" s="13"/>
    </row>
    <row r="382" spans="1:15" x14ac:dyDescent="0.3">
      <c r="C382" s="11" t="str">
        <f t="shared" ca="1" si="10"/>
        <v>NM</v>
      </c>
      <c r="D382" s="11">
        <f t="shared" ca="1" si="11"/>
        <v>0</v>
      </c>
      <c r="L382" s="27"/>
      <c r="O382" s="13"/>
    </row>
    <row r="383" spans="1:15" x14ac:dyDescent="0.3">
      <c r="C383" s="11" t="str">
        <f t="shared" ca="1" si="10"/>
        <v>NM</v>
      </c>
      <c r="D383" s="11">
        <f t="shared" ca="1" si="11"/>
        <v>0</v>
      </c>
      <c r="L383" s="27"/>
      <c r="O383" s="13"/>
    </row>
    <row r="384" spans="1:15" x14ac:dyDescent="0.3">
      <c r="C384" s="11" t="str">
        <f t="shared" ca="1" si="10"/>
        <v>NM</v>
      </c>
      <c r="D384" s="11">
        <f t="shared" ca="1" si="11"/>
        <v>0</v>
      </c>
      <c r="L384" s="27"/>
      <c r="O384" s="13"/>
    </row>
    <row r="385" spans="3:15" x14ac:dyDescent="0.3">
      <c r="C385" s="11" t="str">
        <f t="shared" ca="1" si="10"/>
        <v>NM</v>
      </c>
      <c r="D385" s="11">
        <f t="shared" ca="1" si="11"/>
        <v>0</v>
      </c>
      <c r="L385" s="27"/>
      <c r="O385" s="13"/>
    </row>
    <row r="386" spans="3:15" x14ac:dyDescent="0.3">
      <c r="C386" s="11" t="str">
        <f t="shared" ca="1" si="10"/>
        <v>NM</v>
      </c>
      <c r="D386" s="11">
        <f t="shared" ca="1" si="11"/>
        <v>0</v>
      </c>
      <c r="L386" s="27"/>
      <c r="O386" s="13"/>
    </row>
    <row r="387" spans="3:15" x14ac:dyDescent="0.3">
      <c r="C387" s="11" t="str">
        <f t="shared" ca="1" si="10"/>
        <v>NM</v>
      </c>
      <c r="D387" s="11">
        <f t="shared" ca="1" si="11"/>
        <v>0</v>
      </c>
      <c r="L387" s="27"/>
      <c r="O387" s="13"/>
    </row>
    <row r="388" spans="3:15" x14ac:dyDescent="0.3">
      <c r="C388" s="11" t="str">
        <f t="shared" ca="1" si="10"/>
        <v>NM</v>
      </c>
      <c r="D388" s="11">
        <f t="shared" ca="1" si="11"/>
        <v>0</v>
      </c>
      <c r="L388" s="27"/>
      <c r="O388" s="13"/>
    </row>
    <row r="389" spans="3:15" x14ac:dyDescent="0.3">
      <c r="C389" s="11" t="str">
        <f t="shared" ca="1" si="10"/>
        <v>NM</v>
      </c>
      <c r="D389" s="11">
        <f t="shared" ca="1" si="11"/>
        <v>0</v>
      </c>
      <c r="L389" s="27"/>
      <c r="O389" s="27"/>
    </row>
    <row r="390" spans="3:15" x14ac:dyDescent="0.3">
      <c r="C390" s="11" t="str">
        <f t="shared" ca="1" si="10"/>
        <v>NM</v>
      </c>
      <c r="D390" s="11">
        <f t="shared" ca="1" si="11"/>
        <v>0</v>
      </c>
      <c r="L390" s="27"/>
      <c r="O390" s="13"/>
    </row>
    <row r="391" spans="3:15" x14ac:dyDescent="0.3">
      <c r="C391" s="11" t="str">
        <f t="shared" ca="1" si="10"/>
        <v>NM</v>
      </c>
      <c r="D391" s="11">
        <f t="shared" ca="1" si="11"/>
        <v>0</v>
      </c>
      <c r="L391" s="27"/>
      <c r="O391" s="27"/>
    </row>
    <row r="392" spans="3:15" x14ac:dyDescent="0.3">
      <c r="C392" s="11" t="str">
        <f t="shared" ca="1" si="10"/>
        <v>NM</v>
      </c>
      <c r="D392" s="11">
        <f t="shared" ca="1" si="11"/>
        <v>0</v>
      </c>
      <c r="L392" s="27"/>
      <c r="O392" s="13"/>
    </row>
    <row r="393" spans="3:15" x14ac:dyDescent="0.3">
      <c r="C393" s="11" t="str">
        <f t="shared" ca="1" si="10"/>
        <v>NM</v>
      </c>
      <c r="D393" s="11">
        <f t="shared" ca="1" si="11"/>
        <v>0</v>
      </c>
      <c r="O393" s="13"/>
    </row>
    <row r="394" spans="3:15" x14ac:dyDescent="0.3">
      <c r="C394" s="11" t="str">
        <f t="shared" ca="1" si="10"/>
        <v>NM</v>
      </c>
      <c r="D394" s="11">
        <f t="shared" ca="1" si="11"/>
        <v>0</v>
      </c>
      <c r="L394" s="27"/>
      <c r="O394" s="13"/>
    </row>
    <row r="395" spans="3:15" x14ac:dyDescent="0.3">
      <c r="C395" s="11" t="str">
        <f t="shared" ca="1" si="10"/>
        <v>NM</v>
      </c>
      <c r="D395" s="11">
        <f t="shared" ca="1" si="11"/>
        <v>0</v>
      </c>
      <c r="L395" s="13"/>
      <c r="O395" s="13"/>
    </row>
    <row r="396" spans="3:15" x14ac:dyDescent="0.3">
      <c r="C396" s="11" t="str">
        <f t="shared" ca="1" si="10"/>
        <v>NM</v>
      </c>
      <c r="D396" s="11">
        <f t="shared" ca="1" si="11"/>
        <v>0</v>
      </c>
      <c r="L396" s="27"/>
      <c r="O396" s="13"/>
    </row>
    <row r="397" spans="3:15" x14ac:dyDescent="0.3">
      <c r="C397" s="11" t="str">
        <f t="shared" ca="1" si="10"/>
        <v>NM</v>
      </c>
      <c r="D397" s="11">
        <f t="shared" ca="1" si="11"/>
        <v>0</v>
      </c>
      <c r="L397" s="27"/>
      <c r="O397" s="13"/>
    </row>
    <row r="398" spans="3:15" x14ac:dyDescent="0.3">
      <c r="C398" s="11" t="str">
        <f t="shared" ca="1" si="10"/>
        <v>NM</v>
      </c>
      <c r="D398" s="11">
        <f t="shared" ca="1" si="11"/>
        <v>0</v>
      </c>
      <c r="L398" s="27"/>
      <c r="O398" s="13"/>
    </row>
    <row r="399" spans="3:15" x14ac:dyDescent="0.3">
      <c r="C399" s="11" t="str">
        <f t="shared" ca="1" si="10"/>
        <v>NM</v>
      </c>
      <c r="D399" s="11">
        <f t="shared" ca="1" si="11"/>
        <v>0</v>
      </c>
      <c r="L399" s="27"/>
      <c r="O399" s="27"/>
    </row>
    <row r="400" spans="3:15" x14ac:dyDescent="0.3">
      <c r="C400" s="11" t="str">
        <f t="shared" ca="1" si="10"/>
        <v>NM</v>
      </c>
      <c r="D400" s="11">
        <f t="shared" ca="1" si="11"/>
        <v>0</v>
      </c>
      <c r="L400" s="27"/>
      <c r="O400" s="27"/>
    </row>
    <row r="401" spans="1:15" x14ac:dyDescent="0.3">
      <c r="C401" s="11" t="str">
        <f t="shared" ca="1" si="10"/>
        <v>NM</v>
      </c>
      <c r="D401" s="11">
        <f ca="1">HYPERLINK(CONCATENATE("https://bugzilla.houston.hpecorp.net:1181/bugzilla/show_bug.cgi?id=",INDIRECT("e"&amp;ROW())),INDIRECT("e"&amp;ROW()))</f>
        <v>0</v>
      </c>
      <c r="L401" s="27"/>
      <c r="O401" s="27"/>
    </row>
    <row r="402" spans="1:15" x14ac:dyDescent="0.3">
      <c r="C402" s="11" t="str">
        <f t="shared" ca="1" si="10"/>
        <v>NM</v>
      </c>
      <c r="D402" s="11">
        <f t="shared" ca="1" si="11"/>
        <v>0</v>
      </c>
      <c r="L402" s="27"/>
      <c r="O402" s="27"/>
    </row>
    <row r="403" spans="1:15" x14ac:dyDescent="0.3">
      <c r="C403" s="11" t="str">
        <f t="shared" ca="1" si="10"/>
        <v>NM</v>
      </c>
      <c r="D403" s="11">
        <f t="shared" ca="1" si="11"/>
        <v>0</v>
      </c>
      <c r="L403" s="27"/>
      <c r="O403" s="27"/>
    </row>
    <row r="404" spans="1:15" x14ac:dyDescent="0.3">
      <c r="C404" s="11" t="str">
        <f t="shared" ca="1" si="10"/>
        <v>NM</v>
      </c>
      <c r="D404" s="11">
        <f t="shared" ca="1" si="11"/>
        <v>0</v>
      </c>
      <c r="L404" s="27"/>
      <c r="O404" s="27"/>
    </row>
    <row r="405" spans="1:15" x14ac:dyDescent="0.3">
      <c r="C405" s="11" t="str">
        <f t="shared" ca="1" si="10"/>
        <v>NM</v>
      </c>
      <c r="D405" s="11">
        <f t="shared" ca="1" si="11"/>
        <v>0</v>
      </c>
      <c r="L405" s="27"/>
      <c r="O405" s="27"/>
    </row>
    <row r="406" spans="1:15" x14ac:dyDescent="0.3">
      <c r="C406" s="11" t="str">
        <f t="shared" ca="1" si="10"/>
        <v>NM</v>
      </c>
      <c r="D406" s="11">
        <f t="shared" ca="1" si="11"/>
        <v>0</v>
      </c>
      <c r="L406" s="27"/>
      <c r="O406" s="27"/>
    </row>
    <row r="407" spans="1:15" x14ac:dyDescent="0.3">
      <c r="C407" s="11" t="str">
        <f t="shared" ca="1" si="10"/>
        <v>NM</v>
      </c>
      <c r="D407" s="11">
        <f t="shared" ca="1" si="11"/>
        <v>0</v>
      </c>
      <c r="L407" s="27"/>
      <c r="O407" s="27"/>
    </row>
    <row r="408" spans="1:15" x14ac:dyDescent="0.3">
      <c r="A408" t="str">
        <f>E22</f>
        <v>Severity: blocker, critical, major, normal</v>
      </c>
      <c r="C408" s="11" t="str">
        <f t="shared" ca="1" si="10"/>
        <v>NM</v>
      </c>
      <c r="D408" s="11">
        <f t="shared" ca="1" si="11"/>
        <v>0</v>
      </c>
      <c r="L408" s="27"/>
      <c r="O408" s="27"/>
    </row>
    <row r="409" spans="1:15" x14ac:dyDescent="0.3">
      <c r="C409" s="11" t="str">
        <f t="shared" ca="1" si="10"/>
        <v>NM</v>
      </c>
      <c r="D409" s="11">
        <f t="shared" ca="1" si="11"/>
        <v>0</v>
      </c>
      <c r="L409" s="27"/>
      <c r="O409" s="27"/>
    </row>
    <row r="410" spans="1:15" x14ac:dyDescent="0.3">
      <c r="A410" s="11" t="s">
        <v>314</v>
      </c>
      <c r="C410" s="11" t="str">
        <f t="shared" ca="1" si="10"/>
        <v>NM</v>
      </c>
      <c r="D410" s="11">
        <f t="shared" ca="1" si="11"/>
        <v>0</v>
      </c>
      <c r="L410" s="27"/>
      <c r="O410" s="27"/>
    </row>
    <row r="411" spans="1:15" x14ac:dyDescent="0.3">
      <c r="C411" s="11" t="str">
        <f t="shared" ca="1" si="10"/>
        <v>NM</v>
      </c>
      <c r="D411" s="11">
        <f t="shared" ca="1" si="11"/>
        <v>0</v>
      </c>
      <c r="L411" s="27"/>
      <c r="O411" s="27"/>
    </row>
    <row r="412" spans="1:15" x14ac:dyDescent="0.3">
      <c r="C412" s="11" t="str">
        <f t="shared" ca="1" si="10"/>
        <v>NM</v>
      </c>
      <c r="D412" s="11">
        <f t="shared" ca="1" si="11"/>
        <v>0</v>
      </c>
      <c r="L412" s="27"/>
      <c r="O412" s="27"/>
    </row>
    <row r="413" spans="1:15" x14ac:dyDescent="0.3">
      <c r="C413" s="11" t="str">
        <f t="shared" ca="1" si="10"/>
        <v>NM</v>
      </c>
      <c r="D413" s="11">
        <f t="shared" ca="1" si="11"/>
        <v>0</v>
      </c>
      <c r="L413" s="27"/>
      <c r="O413" s="27"/>
    </row>
    <row r="414" spans="1:15" x14ac:dyDescent="0.3">
      <c r="C414" s="11" t="str">
        <f t="shared" ca="1" si="10"/>
        <v>NM</v>
      </c>
      <c r="D414" s="11">
        <f t="shared" ca="1" si="11"/>
        <v>0</v>
      </c>
      <c r="L414" s="27"/>
      <c r="O414" s="27"/>
    </row>
    <row r="415" spans="1:15" x14ac:dyDescent="0.3">
      <c r="C415" s="11" t="str">
        <f t="shared" ca="1" si="10"/>
        <v>NM</v>
      </c>
      <c r="D415" s="11">
        <f t="shared" ca="1" si="11"/>
        <v>0</v>
      </c>
      <c r="L415" s="27"/>
    </row>
    <row r="416" spans="1:15" x14ac:dyDescent="0.3">
      <c r="C416" s="11" t="str">
        <f t="shared" ca="1" si="10"/>
        <v>NM</v>
      </c>
      <c r="D416" s="11">
        <f t="shared" ca="1" si="11"/>
        <v>0</v>
      </c>
      <c r="L416" s="27"/>
    </row>
    <row r="417" spans="1:15" x14ac:dyDescent="0.3">
      <c r="C417" s="11" t="str">
        <f t="shared" ca="1" si="10"/>
        <v>NM</v>
      </c>
      <c r="D417" s="11">
        <f t="shared" ca="1" si="11"/>
        <v>0</v>
      </c>
      <c r="L417" s="27"/>
    </row>
    <row r="418" spans="1:15" x14ac:dyDescent="0.3">
      <c r="C418" s="11" t="str">
        <f t="shared" ca="1" si="10"/>
        <v>NM</v>
      </c>
      <c r="D418" s="11">
        <f t="shared" ca="1" si="11"/>
        <v>0</v>
      </c>
      <c r="L418" s="27"/>
      <c r="O418" s="27"/>
    </row>
    <row r="419" spans="1:15" x14ac:dyDescent="0.3">
      <c r="C419" s="11" t="str">
        <f t="shared" ca="1" si="10"/>
        <v>NM</v>
      </c>
      <c r="D419" s="11">
        <f t="shared" ca="1" si="11"/>
        <v>0</v>
      </c>
      <c r="L419" s="27"/>
      <c r="O419" s="27"/>
    </row>
    <row r="420" spans="1:15" x14ac:dyDescent="0.3">
      <c r="C420" s="11" t="str">
        <f t="shared" ca="1" si="10"/>
        <v>NM</v>
      </c>
      <c r="D420" s="11">
        <f t="shared" ca="1" si="11"/>
        <v>0</v>
      </c>
      <c r="L420" s="27"/>
      <c r="O420" s="27"/>
    </row>
    <row r="421" spans="1:15" x14ac:dyDescent="0.3">
      <c r="C421" s="11" t="str">
        <f t="shared" ref="C421:C484" ca="1" si="12">HYPERLINK(CONCATENATE($A$501,"/bugzilla/show_bug.cgi?id=",IFERROR(VALUE(MID(INDIRECT("g"&amp;ROW()),9,5)),INDIRECT("e"&amp;ROW()))),IFERROR(VALUE(MID(INDIRECT("g"&amp;ROW()),9,5)),"NM"))</f>
        <v>NM</v>
      </c>
      <c r="D421" s="11">
        <f t="shared" ca="1" si="11"/>
        <v>0</v>
      </c>
      <c r="L421" s="27"/>
      <c r="O421" s="27"/>
    </row>
    <row r="422" spans="1:15" x14ac:dyDescent="0.3">
      <c r="C422" s="11" t="str">
        <f t="shared" ca="1" si="12"/>
        <v>NM</v>
      </c>
      <c r="D422" s="11">
        <f t="shared" ref="D422:D485" ca="1" si="13">HYPERLINK(CONCATENATE("https://bugzilla.houston.hpecorp.net:1181/bugzilla/show_bug.cgi?id=",INDIRECT("e"&amp;ROW())),INDIRECT("e"&amp;ROW()))</f>
        <v>0</v>
      </c>
      <c r="L422" s="27"/>
      <c r="O422" s="27"/>
    </row>
    <row r="423" spans="1:15" x14ac:dyDescent="0.3">
      <c r="C423" s="11" t="str">
        <f t="shared" ca="1" si="12"/>
        <v>NM</v>
      </c>
      <c r="D423" s="11">
        <f t="shared" ca="1" si="13"/>
        <v>0</v>
      </c>
      <c r="L423" s="27"/>
      <c r="O423" s="27"/>
    </row>
    <row r="424" spans="1:15" x14ac:dyDescent="0.3">
      <c r="C424" s="11" t="str">
        <f t="shared" ca="1" si="12"/>
        <v>NM</v>
      </c>
      <c r="D424" s="11">
        <f t="shared" ca="1" si="13"/>
        <v>0</v>
      </c>
      <c r="L424" s="27"/>
      <c r="O424" s="27"/>
    </row>
    <row r="425" spans="1:15" x14ac:dyDescent="0.3">
      <c r="C425" s="11" t="str">
        <f t="shared" ca="1" si="12"/>
        <v>NM</v>
      </c>
      <c r="D425" s="11">
        <f t="shared" ca="1" si="13"/>
        <v>0</v>
      </c>
    </row>
    <row r="426" spans="1:15" x14ac:dyDescent="0.3">
      <c r="C426" s="11" t="str">
        <f t="shared" ca="1" si="12"/>
        <v>NM</v>
      </c>
      <c r="D426" s="11">
        <f t="shared" ca="1" si="13"/>
        <v>0</v>
      </c>
    </row>
    <row r="427" spans="1:15" x14ac:dyDescent="0.3">
      <c r="C427" s="11" t="str">
        <f t="shared" ca="1" si="12"/>
        <v>NM</v>
      </c>
      <c r="D427" s="11">
        <f t="shared" ca="1" si="13"/>
        <v>0</v>
      </c>
    </row>
    <row r="428" spans="1:15" x14ac:dyDescent="0.3">
      <c r="C428" s="11" t="str">
        <f t="shared" ca="1" si="12"/>
        <v>NM</v>
      </c>
      <c r="D428" s="11">
        <f t="shared" ca="1" si="13"/>
        <v>0</v>
      </c>
    </row>
    <row r="429" spans="1:15" x14ac:dyDescent="0.3">
      <c r="C429" s="11" t="str">
        <f t="shared" ca="1" si="12"/>
        <v>NM</v>
      </c>
      <c r="D429" s="11">
        <f t="shared" ca="1" si="13"/>
        <v>0</v>
      </c>
    </row>
    <row r="430" spans="1:15" x14ac:dyDescent="0.3">
      <c r="C430" s="11" t="str">
        <f t="shared" ca="1" si="12"/>
        <v>NM</v>
      </c>
      <c r="D430" s="11">
        <f t="shared" ca="1" si="13"/>
        <v>0</v>
      </c>
    </row>
    <row r="431" spans="1:15" x14ac:dyDescent="0.3">
      <c r="C431" s="11" t="str">
        <f t="shared" ca="1" si="12"/>
        <v>NM</v>
      </c>
      <c r="D431" s="11">
        <f t="shared" ca="1" si="13"/>
        <v>0</v>
      </c>
    </row>
    <row r="432" spans="1:15" x14ac:dyDescent="0.3">
      <c r="A432" s="11" t="s">
        <v>313</v>
      </c>
      <c r="C432" s="11" t="str">
        <f t="shared" ca="1" si="12"/>
        <v>NM</v>
      </c>
      <c r="D432" s="11">
        <f t="shared" ca="1" si="13"/>
        <v>0</v>
      </c>
    </row>
    <row r="433" spans="1:4" x14ac:dyDescent="0.3">
      <c r="A433" s="11" t="s">
        <v>314</v>
      </c>
      <c r="C433" s="11" t="str">
        <f t="shared" ca="1" si="12"/>
        <v>NM</v>
      </c>
      <c r="D433" s="11">
        <f t="shared" ca="1" si="13"/>
        <v>0</v>
      </c>
    </row>
    <row r="434" spans="1:4" x14ac:dyDescent="0.3">
      <c r="C434" s="11" t="str">
        <f t="shared" ca="1" si="12"/>
        <v>NM</v>
      </c>
      <c r="D434" s="11">
        <f t="shared" ca="1" si="13"/>
        <v>0</v>
      </c>
    </row>
    <row r="435" spans="1:4" x14ac:dyDescent="0.3">
      <c r="C435" s="11" t="str">
        <f t="shared" ca="1" si="12"/>
        <v>NM</v>
      </c>
      <c r="D435" s="11">
        <f t="shared" ca="1" si="13"/>
        <v>0</v>
      </c>
    </row>
    <row r="436" spans="1:4" x14ac:dyDescent="0.3">
      <c r="C436" s="11" t="str">
        <f t="shared" ca="1" si="12"/>
        <v>NM</v>
      </c>
      <c r="D436" s="11">
        <f t="shared" ca="1" si="13"/>
        <v>0</v>
      </c>
    </row>
    <row r="437" spans="1:4" x14ac:dyDescent="0.3">
      <c r="C437" s="11" t="str">
        <f t="shared" ca="1" si="12"/>
        <v>NM</v>
      </c>
      <c r="D437" s="11">
        <f t="shared" ca="1" si="13"/>
        <v>0</v>
      </c>
    </row>
    <row r="438" spans="1:4" x14ac:dyDescent="0.3">
      <c r="C438" s="11" t="str">
        <f t="shared" ca="1" si="12"/>
        <v>NM</v>
      </c>
      <c r="D438" s="11">
        <f t="shared" ca="1" si="13"/>
        <v>0</v>
      </c>
    </row>
    <row r="439" spans="1:4" x14ac:dyDescent="0.3">
      <c r="C439" s="11" t="str">
        <f t="shared" ca="1" si="12"/>
        <v>NM</v>
      </c>
      <c r="D439" s="11">
        <f t="shared" ca="1" si="13"/>
        <v>0</v>
      </c>
    </row>
    <row r="440" spans="1:4" x14ac:dyDescent="0.3">
      <c r="C440" s="11" t="str">
        <f t="shared" ca="1" si="12"/>
        <v>NM</v>
      </c>
      <c r="D440" s="11">
        <f t="shared" ca="1" si="13"/>
        <v>0</v>
      </c>
    </row>
    <row r="441" spans="1:4" x14ac:dyDescent="0.3">
      <c r="C441" s="11" t="str">
        <f t="shared" ca="1" si="12"/>
        <v>NM</v>
      </c>
      <c r="D441" s="11">
        <f t="shared" ca="1" si="13"/>
        <v>0</v>
      </c>
    </row>
    <row r="442" spans="1:4" x14ac:dyDescent="0.3">
      <c r="A442" t="str">
        <f>E22</f>
        <v>Severity: blocker, critical, major, normal</v>
      </c>
      <c r="C442" s="11" t="str">
        <f t="shared" ca="1" si="12"/>
        <v>NM</v>
      </c>
      <c r="D442" s="11">
        <f t="shared" ca="1" si="13"/>
        <v>0</v>
      </c>
    </row>
    <row r="443" spans="1:4" x14ac:dyDescent="0.3">
      <c r="C443" s="11" t="str">
        <f t="shared" ca="1" si="12"/>
        <v>NM</v>
      </c>
      <c r="D443" s="11">
        <f t="shared" ca="1" si="13"/>
        <v>0</v>
      </c>
    </row>
    <row r="444" spans="1:4" x14ac:dyDescent="0.3">
      <c r="C444" s="11" t="str">
        <f t="shared" ca="1" si="12"/>
        <v>NM</v>
      </c>
      <c r="D444" s="11">
        <f t="shared" ca="1" si="13"/>
        <v>0</v>
      </c>
    </row>
    <row r="445" spans="1:4" x14ac:dyDescent="0.3">
      <c r="A445" s="6">
        <f ca="1">NOW()</f>
        <v>42857.501384722222</v>
      </c>
      <c r="C445" s="11" t="str">
        <f t="shared" ca="1" si="12"/>
        <v>NM</v>
      </c>
      <c r="D445" s="11">
        <f t="shared" ca="1" si="13"/>
        <v>0</v>
      </c>
    </row>
    <row r="446" spans="1:4" x14ac:dyDescent="0.3">
      <c r="C446" s="11" t="str">
        <f t="shared" ca="1" si="12"/>
        <v>NM</v>
      </c>
      <c r="D446" s="11">
        <f t="shared" ca="1" si="13"/>
        <v>0</v>
      </c>
    </row>
    <row r="447" spans="1:4" x14ac:dyDescent="0.3">
      <c r="C447" s="11" t="str">
        <f t="shared" ca="1" si="12"/>
        <v>NM</v>
      </c>
      <c r="D447" s="11">
        <f t="shared" ca="1" si="13"/>
        <v>0</v>
      </c>
    </row>
    <row r="448" spans="1:4" x14ac:dyDescent="0.3">
      <c r="C448" s="11" t="str">
        <f t="shared" ca="1" si="12"/>
        <v>NM</v>
      </c>
      <c r="D448" s="11">
        <f t="shared" ca="1" si="13"/>
        <v>0</v>
      </c>
    </row>
    <row r="449" spans="3:4" x14ac:dyDescent="0.3">
      <c r="C449" s="11" t="str">
        <f t="shared" ca="1" si="12"/>
        <v>NM</v>
      </c>
      <c r="D449" s="11">
        <f t="shared" ca="1" si="13"/>
        <v>0</v>
      </c>
    </row>
    <row r="450" spans="3:4" x14ac:dyDescent="0.3">
      <c r="C450" s="11" t="str">
        <f t="shared" ca="1" si="12"/>
        <v>NM</v>
      </c>
      <c r="D450" s="11">
        <f t="shared" ca="1" si="13"/>
        <v>0</v>
      </c>
    </row>
    <row r="451" spans="3:4" x14ac:dyDescent="0.3">
      <c r="C451" s="11" t="str">
        <f t="shared" ca="1" si="12"/>
        <v>NM</v>
      </c>
      <c r="D451" s="11">
        <f t="shared" ca="1" si="13"/>
        <v>0</v>
      </c>
    </row>
    <row r="452" spans="3:4" x14ac:dyDescent="0.3">
      <c r="C452" s="11" t="str">
        <f t="shared" ca="1" si="12"/>
        <v>NM</v>
      </c>
      <c r="D452" s="11">
        <f t="shared" ca="1" si="13"/>
        <v>0</v>
      </c>
    </row>
    <row r="453" spans="3:4" x14ac:dyDescent="0.3">
      <c r="C453" s="11" t="str">
        <f t="shared" ca="1" si="12"/>
        <v>NM</v>
      </c>
      <c r="D453" s="11">
        <f t="shared" ca="1" si="13"/>
        <v>0</v>
      </c>
    </row>
    <row r="454" spans="3:4" x14ac:dyDescent="0.3">
      <c r="C454" s="11" t="str">
        <f t="shared" ca="1" si="12"/>
        <v>NM</v>
      </c>
      <c r="D454" s="11">
        <f t="shared" ca="1" si="13"/>
        <v>0</v>
      </c>
    </row>
    <row r="455" spans="3:4" x14ac:dyDescent="0.3">
      <c r="C455" s="11" t="str">
        <f t="shared" ca="1" si="12"/>
        <v>NM</v>
      </c>
      <c r="D455" s="11">
        <f t="shared" ca="1" si="13"/>
        <v>0</v>
      </c>
    </row>
    <row r="456" spans="3:4" x14ac:dyDescent="0.3">
      <c r="C456" s="11" t="str">
        <f t="shared" ca="1" si="12"/>
        <v>NM</v>
      </c>
      <c r="D456" s="11">
        <f t="shared" ca="1" si="13"/>
        <v>0</v>
      </c>
    </row>
    <row r="457" spans="3:4" x14ac:dyDescent="0.3">
      <c r="C457" s="11" t="str">
        <f t="shared" ca="1" si="12"/>
        <v>NM</v>
      </c>
      <c r="D457" s="11">
        <f t="shared" ca="1" si="13"/>
        <v>0</v>
      </c>
    </row>
    <row r="458" spans="3:4" x14ac:dyDescent="0.3">
      <c r="C458" s="11" t="str">
        <f t="shared" ca="1" si="12"/>
        <v>NM</v>
      </c>
      <c r="D458" s="11">
        <f t="shared" ca="1" si="13"/>
        <v>0</v>
      </c>
    </row>
    <row r="459" spans="3:4" x14ac:dyDescent="0.3">
      <c r="C459" s="11" t="str">
        <f t="shared" ca="1" si="12"/>
        <v>NM</v>
      </c>
      <c r="D459" s="11">
        <f t="shared" ca="1" si="13"/>
        <v>0</v>
      </c>
    </row>
    <row r="460" spans="3:4" x14ac:dyDescent="0.3">
      <c r="C460" s="11" t="str">
        <f t="shared" ca="1" si="12"/>
        <v>NM</v>
      </c>
      <c r="D460" s="11">
        <f t="shared" ca="1" si="13"/>
        <v>0</v>
      </c>
    </row>
    <row r="461" spans="3:4" x14ac:dyDescent="0.3">
      <c r="C461" s="11" t="str">
        <f t="shared" ca="1" si="12"/>
        <v>NM</v>
      </c>
      <c r="D461" s="11">
        <f t="shared" ca="1" si="13"/>
        <v>0</v>
      </c>
    </row>
    <row r="462" spans="3:4" x14ac:dyDescent="0.3">
      <c r="C462" s="11" t="str">
        <f t="shared" ca="1" si="12"/>
        <v>NM</v>
      </c>
      <c r="D462" s="11">
        <f t="shared" ca="1" si="13"/>
        <v>0</v>
      </c>
    </row>
    <row r="463" spans="3:4" x14ac:dyDescent="0.3">
      <c r="C463" s="11" t="str">
        <f t="shared" ca="1" si="12"/>
        <v>NM</v>
      </c>
      <c r="D463" s="11">
        <f t="shared" ca="1" si="13"/>
        <v>0</v>
      </c>
    </row>
    <row r="464" spans="3:4" x14ac:dyDescent="0.3">
      <c r="C464" s="11" t="str">
        <f t="shared" ca="1" si="12"/>
        <v>NM</v>
      </c>
      <c r="D464" s="11">
        <f t="shared" ca="1" si="13"/>
        <v>0</v>
      </c>
    </row>
    <row r="465" spans="1:4" x14ac:dyDescent="0.3">
      <c r="C465" s="11" t="str">
        <f t="shared" ca="1" si="12"/>
        <v>NM</v>
      </c>
      <c r="D465" s="11">
        <f t="shared" ca="1" si="13"/>
        <v>0</v>
      </c>
    </row>
    <row r="466" spans="1:4" x14ac:dyDescent="0.3">
      <c r="C466" s="11" t="str">
        <f t="shared" ca="1" si="12"/>
        <v>NM</v>
      </c>
      <c r="D466" s="11">
        <f t="shared" ca="1" si="13"/>
        <v>0</v>
      </c>
    </row>
    <row r="467" spans="1:4" x14ac:dyDescent="0.3">
      <c r="C467" s="11" t="str">
        <f t="shared" ca="1" si="12"/>
        <v>NM</v>
      </c>
      <c r="D467" s="11">
        <f t="shared" ca="1" si="13"/>
        <v>0</v>
      </c>
    </row>
    <row r="468" spans="1:4" x14ac:dyDescent="0.3">
      <c r="C468" s="11" t="str">
        <f t="shared" ca="1" si="12"/>
        <v>NM</v>
      </c>
      <c r="D468" s="11">
        <f t="shared" ca="1" si="13"/>
        <v>0</v>
      </c>
    </row>
    <row r="469" spans="1:4" x14ac:dyDescent="0.3">
      <c r="C469" s="11" t="str">
        <f t="shared" ca="1" si="12"/>
        <v>NM</v>
      </c>
      <c r="D469" s="11">
        <f t="shared" ca="1" si="13"/>
        <v>0</v>
      </c>
    </row>
    <row r="470" spans="1:4" x14ac:dyDescent="0.3">
      <c r="C470" s="11" t="str">
        <f t="shared" ca="1" si="12"/>
        <v>NM</v>
      </c>
      <c r="D470" s="11">
        <f t="shared" ca="1" si="13"/>
        <v>0</v>
      </c>
    </row>
    <row r="471" spans="1:4" x14ac:dyDescent="0.3">
      <c r="C471" s="11" t="str">
        <f t="shared" ca="1" si="12"/>
        <v>NM</v>
      </c>
      <c r="D471" s="11">
        <f t="shared" ca="1" si="13"/>
        <v>0</v>
      </c>
    </row>
    <row r="472" spans="1:4" x14ac:dyDescent="0.3">
      <c r="A472" t="str">
        <f>E22</f>
        <v>Severity: blocker, critical, major, normal</v>
      </c>
      <c r="C472" s="11" t="str">
        <f t="shared" ca="1" si="12"/>
        <v>NM</v>
      </c>
      <c r="D472" s="11">
        <f t="shared" ca="1" si="13"/>
        <v>0</v>
      </c>
    </row>
    <row r="473" spans="1:4" x14ac:dyDescent="0.3">
      <c r="C473" s="11" t="str">
        <f t="shared" ca="1" si="12"/>
        <v>NM</v>
      </c>
      <c r="D473" s="11">
        <f t="shared" ca="1" si="13"/>
        <v>0</v>
      </c>
    </row>
    <row r="474" spans="1:4" x14ac:dyDescent="0.3">
      <c r="C474" s="11" t="str">
        <f t="shared" ca="1" si="12"/>
        <v>NM</v>
      </c>
      <c r="D474" s="11">
        <f t="shared" ca="1" si="13"/>
        <v>0</v>
      </c>
    </row>
    <row r="475" spans="1:4" x14ac:dyDescent="0.3">
      <c r="A475" s="6">
        <f ca="1">NOW()</f>
        <v>42857.501384722222</v>
      </c>
      <c r="C475" s="11" t="str">
        <f t="shared" ca="1" si="12"/>
        <v>NM</v>
      </c>
      <c r="D475" s="11">
        <f t="shared" ca="1" si="13"/>
        <v>0</v>
      </c>
    </row>
    <row r="476" spans="1:4" x14ac:dyDescent="0.3">
      <c r="C476" s="11" t="str">
        <f t="shared" ca="1" si="12"/>
        <v>NM</v>
      </c>
      <c r="D476" s="11">
        <f t="shared" ca="1" si="13"/>
        <v>0</v>
      </c>
    </row>
    <row r="477" spans="1:4" x14ac:dyDescent="0.3">
      <c r="A477" s="11" t="s">
        <v>314</v>
      </c>
      <c r="C477" s="11" t="str">
        <f t="shared" ca="1" si="12"/>
        <v>NM</v>
      </c>
      <c r="D477" s="11">
        <f t="shared" ca="1" si="13"/>
        <v>0</v>
      </c>
    </row>
    <row r="478" spans="1:4" x14ac:dyDescent="0.3">
      <c r="C478" s="11" t="str">
        <f t="shared" ca="1" si="12"/>
        <v>NM</v>
      </c>
      <c r="D478" s="11">
        <f t="shared" ca="1" si="13"/>
        <v>0</v>
      </c>
    </row>
    <row r="479" spans="1:4" x14ac:dyDescent="0.3">
      <c r="C479" s="11" t="str">
        <f t="shared" ca="1" si="12"/>
        <v>NM</v>
      </c>
      <c r="D479" s="11">
        <f t="shared" ca="1" si="13"/>
        <v>0</v>
      </c>
    </row>
    <row r="480" spans="1:4" x14ac:dyDescent="0.3">
      <c r="C480" s="11" t="str">
        <f t="shared" ca="1" si="12"/>
        <v>NM</v>
      </c>
      <c r="D480" s="11">
        <f t="shared" ca="1" si="13"/>
        <v>0</v>
      </c>
    </row>
    <row r="481" spans="1:4" x14ac:dyDescent="0.3">
      <c r="C481" s="11" t="str">
        <f t="shared" ca="1" si="12"/>
        <v>NM</v>
      </c>
      <c r="D481" s="11">
        <f t="shared" ca="1" si="13"/>
        <v>0</v>
      </c>
    </row>
    <row r="482" spans="1:4" x14ac:dyDescent="0.3">
      <c r="C482" s="11" t="str">
        <f t="shared" ca="1" si="12"/>
        <v>NM</v>
      </c>
      <c r="D482" s="11">
        <f t="shared" ca="1" si="13"/>
        <v>0</v>
      </c>
    </row>
    <row r="483" spans="1:4" x14ac:dyDescent="0.3">
      <c r="C483" s="11" t="str">
        <f t="shared" ca="1" si="12"/>
        <v>NM</v>
      </c>
      <c r="D483" s="11">
        <f t="shared" ca="1" si="13"/>
        <v>0</v>
      </c>
    </row>
    <row r="484" spans="1:4" x14ac:dyDescent="0.3">
      <c r="C484" s="11" t="str">
        <f t="shared" ca="1" si="12"/>
        <v>NM</v>
      </c>
      <c r="D484" s="11">
        <f t="shared" ca="1" si="13"/>
        <v>0</v>
      </c>
    </row>
    <row r="485" spans="1:4" x14ac:dyDescent="0.3">
      <c r="C485" s="11" t="str">
        <f t="shared" ref="C485:C548" ca="1" si="14">HYPERLINK(CONCATENATE($A$501,"/bugzilla/show_bug.cgi?id=",IFERROR(VALUE(MID(INDIRECT("g"&amp;ROW()),9,5)),INDIRECT("e"&amp;ROW()))),IFERROR(VALUE(MID(INDIRECT("g"&amp;ROW()),9,5)),"NM"))</f>
        <v>NM</v>
      </c>
      <c r="D485" s="11">
        <f t="shared" ca="1" si="13"/>
        <v>0</v>
      </c>
    </row>
    <row r="486" spans="1:4" x14ac:dyDescent="0.3">
      <c r="C486" s="11" t="str">
        <f t="shared" ca="1" si="14"/>
        <v>NM</v>
      </c>
      <c r="D486" s="11">
        <f t="shared" ref="D486:D549" ca="1" si="15">HYPERLINK(CONCATENATE("https://bugzilla.houston.hpecorp.net:1181/bugzilla/show_bug.cgi?id=",INDIRECT("e"&amp;ROW())),INDIRECT("e"&amp;ROW()))</f>
        <v>0</v>
      </c>
    </row>
    <row r="487" spans="1:4" x14ac:dyDescent="0.3">
      <c r="C487" s="11" t="str">
        <f t="shared" ca="1" si="14"/>
        <v>NM</v>
      </c>
      <c r="D487" s="11">
        <f t="shared" ca="1" si="15"/>
        <v>0</v>
      </c>
    </row>
    <row r="488" spans="1:4" x14ac:dyDescent="0.3">
      <c r="C488" s="11" t="str">
        <f t="shared" ca="1" si="14"/>
        <v>NM</v>
      </c>
      <c r="D488" s="11">
        <f t="shared" ca="1" si="15"/>
        <v>0</v>
      </c>
    </row>
    <row r="489" spans="1:4" x14ac:dyDescent="0.3">
      <c r="C489" s="11" t="str">
        <f t="shared" ca="1" si="14"/>
        <v>NM</v>
      </c>
      <c r="D489" s="11">
        <f t="shared" ca="1" si="15"/>
        <v>0</v>
      </c>
    </row>
    <row r="490" spans="1:4" x14ac:dyDescent="0.3">
      <c r="C490" s="11" t="str">
        <f t="shared" ca="1" si="14"/>
        <v>NM</v>
      </c>
      <c r="D490" s="11">
        <f t="shared" ca="1" si="15"/>
        <v>0</v>
      </c>
    </row>
    <row r="491" spans="1:4" x14ac:dyDescent="0.3">
      <c r="C491" s="11" t="str">
        <f t="shared" ca="1" si="14"/>
        <v>NM</v>
      </c>
      <c r="D491" s="11">
        <f t="shared" ca="1" si="15"/>
        <v>0</v>
      </c>
    </row>
    <row r="492" spans="1:4" x14ac:dyDescent="0.3">
      <c r="A492" s="11" t="s">
        <v>314</v>
      </c>
      <c r="C492" s="11" t="str">
        <f t="shared" ca="1" si="14"/>
        <v>NM</v>
      </c>
      <c r="D492" s="11">
        <f t="shared" ca="1" si="15"/>
        <v>0</v>
      </c>
    </row>
    <row r="493" spans="1:4" x14ac:dyDescent="0.3">
      <c r="C493" s="11" t="str">
        <f t="shared" ca="1" si="14"/>
        <v>NM</v>
      </c>
      <c r="D493" s="11">
        <f t="shared" ca="1" si="15"/>
        <v>0</v>
      </c>
    </row>
    <row r="494" spans="1:4" x14ac:dyDescent="0.3">
      <c r="C494" s="11" t="str">
        <f t="shared" ca="1" si="14"/>
        <v>NM</v>
      </c>
      <c r="D494" s="11">
        <f t="shared" ca="1" si="15"/>
        <v>0</v>
      </c>
    </row>
    <row r="495" spans="1:4" x14ac:dyDescent="0.3">
      <c r="C495" s="11" t="str">
        <f t="shared" ca="1" si="14"/>
        <v>NM</v>
      </c>
      <c r="D495" s="11">
        <f t="shared" ca="1" si="15"/>
        <v>0</v>
      </c>
    </row>
    <row r="496" spans="1:4" x14ac:dyDescent="0.3">
      <c r="C496" s="11" t="str">
        <f t="shared" ca="1" si="14"/>
        <v>NM</v>
      </c>
      <c r="D496" s="11">
        <f t="shared" ca="1" si="15"/>
        <v>0</v>
      </c>
    </row>
    <row r="497" spans="1:4" x14ac:dyDescent="0.3">
      <c r="C497" s="11" t="str">
        <f t="shared" ca="1" si="14"/>
        <v>NM</v>
      </c>
      <c r="D497" s="11">
        <f t="shared" ca="1" si="15"/>
        <v>0</v>
      </c>
    </row>
    <row r="498" spans="1:4" x14ac:dyDescent="0.3">
      <c r="C498" s="11" t="str">
        <f t="shared" ca="1" si="14"/>
        <v>NM</v>
      </c>
      <c r="D498" s="11">
        <f t="shared" ca="1" si="15"/>
        <v>0</v>
      </c>
    </row>
    <row r="499" spans="1:4" x14ac:dyDescent="0.3">
      <c r="C499" s="11" t="str">
        <f t="shared" ca="1" si="14"/>
        <v>NM</v>
      </c>
      <c r="D499" s="11">
        <f t="shared" ca="1" si="15"/>
        <v>0</v>
      </c>
    </row>
    <row r="500" spans="1:4" x14ac:dyDescent="0.3">
      <c r="C500" s="11" t="str">
        <f t="shared" ca="1" si="14"/>
        <v>NM</v>
      </c>
      <c r="D500" s="11">
        <f t="shared" ca="1" si="15"/>
        <v>0</v>
      </c>
    </row>
    <row r="501" spans="1:4" x14ac:dyDescent="0.3">
      <c r="A501" t="s">
        <v>1679</v>
      </c>
      <c r="C501" s="11" t="str">
        <f t="shared" ca="1" si="14"/>
        <v>NM</v>
      </c>
      <c r="D501" s="11">
        <f t="shared" ca="1" si="15"/>
        <v>0</v>
      </c>
    </row>
    <row r="502" spans="1:4" x14ac:dyDescent="0.3">
      <c r="C502" s="11" t="str">
        <f t="shared" ca="1" si="14"/>
        <v>NM</v>
      </c>
      <c r="D502" s="11">
        <f t="shared" ca="1" si="15"/>
        <v>0</v>
      </c>
    </row>
    <row r="503" spans="1:4" x14ac:dyDescent="0.3">
      <c r="C503" s="11" t="str">
        <f t="shared" ca="1" si="14"/>
        <v>NM</v>
      </c>
      <c r="D503" s="11">
        <f t="shared" ca="1" si="15"/>
        <v>0</v>
      </c>
    </row>
    <row r="504" spans="1:4" x14ac:dyDescent="0.3">
      <c r="C504" s="11" t="str">
        <f t="shared" ca="1" si="14"/>
        <v>NM</v>
      </c>
      <c r="D504" s="11">
        <f t="shared" ca="1" si="15"/>
        <v>0</v>
      </c>
    </row>
    <row r="505" spans="1:4" x14ac:dyDescent="0.3">
      <c r="C505" s="11" t="str">
        <f t="shared" ca="1" si="14"/>
        <v>NM</v>
      </c>
      <c r="D505" s="11">
        <f t="shared" ca="1" si="15"/>
        <v>0</v>
      </c>
    </row>
    <row r="506" spans="1:4" x14ac:dyDescent="0.3">
      <c r="C506" s="11" t="str">
        <f t="shared" ca="1" si="14"/>
        <v>NM</v>
      </c>
      <c r="D506" s="11">
        <f t="shared" ca="1" si="15"/>
        <v>0</v>
      </c>
    </row>
    <row r="507" spans="1:4" x14ac:dyDescent="0.3">
      <c r="C507" s="11" t="str">
        <f t="shared" ca="1" si="14"/>
        <v>NM</v>
      </c>
      <c r="D507" s="11">
        <f t="shared" ca="1" si="15"/>
        <v>0</v>
      </c>
    </row>
    <row r="508" spans="1:4" x14ac:dyDescent="0.3">
      <c r="C508" s="11" t="str">
        <f t="shared" ca="1" si="14"/>
        <v>NM</v>
      </c>
      <c r="D508" s="11">
        <f t="shared" ca="1" si="15"/>
        <v>0</v>
      </c>
    </row>
    <row r="509" spans="1:4" x14ac:dyDescent="0.3">
      <c r="C509" s="11" t="str">
        <f t="shared" ca="1" si="14"/>
        <v>NM</v>
      </c>
      <c r="D509" s="11">
        <f t="shared" ca="1" si="15"/>
        <v>0</v>
      </c>
    </row>
    <row r="510" spans="1:4" x14ac:dyDescent="0.3">
      <c r="C510" s="11" t="str">
        <f t="shared" ca="1" si="14"/>
        <v>NM</v>
      </c>
      <c r="D510" s="11">
        <f t="shared" ca="1" si="15"/>
        <v>0</v>
      </c>
    </row>
    <row r="511" spans="1:4" x14ac:dyDescent="0.3">
      <c r="C511" s="11" t="str">
        <f t="shared" ca="1" si="14"/>
        <v>NM</v>
      </c>
      <c r="D511" s="11">
        <f t="shared" ca="1" si="15"/>
        <v>0</v>
      </c>
    </row>
    <row r="512" spans="1:4" x14ac:dyDescent="0.3">
      <c r="C512" s="11" t="str">
        <f t="shared" ca="1" si="14"/>
        <v>NM</v>
      </c>
      <c r="D512" s="11">
        <f t="shared" ca="1" si="15"/>
        <v>0</v>
      </c>
    </row>
    <row r="513" spans="3:15" x14ac:dyDescent="0.3">
      <c r="C513" s="11" t="str">
        <f t="shared" ca="1" si="14"/>
        <v>NM</v>
      </c>
      <c r="D513" s="11">
        <f t="shared" ca="1" si="15"/>
        <v>0</v>
      </c>
      <c r="L513" s="27"/>
      <c r="O513" s="27"/>
    </row>
    <row r="514" spans="3:15" x14ac:dyDescent="0.3">
      <c r="C514" s="11" t="str">
        <f t="shared" ca="1" si="14"/>
        <v>NM</v>
      </c>
      <c r="D514" s="11">
        <f t="shared" ca="1" si="15"/>
        <v>0</v>
      </c>
      <c r="L514" s="27"/>
      <c r="O514" s="27"/>
    </row>
    <row r="515" spans="3:15" x14ac:dyDescent="0.3">
      <c r="C515" s="11" t="str">
        <f t="shared" ca="1" si="14"/>
        <v>NM</v>
      </c>
      <c r="D515" s="11">
        <f t="shared" ca="1" si="15"/>
        <v>0</v>
      </c>
      <c r="L515" s="27"/>
      <c r="O515" s="27"/>
    </row>
    <row r="516" spans="3:15" x14ac:dyDescent="0.3">
      <c r="C516" s="11" t="str">
        <f t="shared" ca="1" si="14"/>
        <v>NM</v>
      </c>
      <c r="D516" s="11">
        <f t="shared" ca="1" si="15"/>
        <v>0</v>
      </c>
      <c r="L516" s="27"/>
      <c r="O516" s="27"/>
    </row>
    <row r="517" spans="3:15" x14ac:dyDescent="0.3">
      <c r="C517" s="11" t="str">
        <f t="shared" ca="1" si="14"/>
        <v>NM</v>
      </c>
      <c r="D517" s="11">
        <f t="shared" ca="1" si="15"/>
        <v>0</v>
      </c>
      <c r="L517" s="27"/>
      <c r="O517" s="27"/>
    </row>
    <row r="518" spans="3:15" x14ac:dyDescent="0.3">
      <c r="C518" s="11" t="str">
        <f t="shared" ca="1" si="14"/>
        <v>NM</v>
      </c>
      <c r="D518" s="11">
        <f t="shared" ca="1" si="15"/>
        <v>0</v>
      </c>
      <c r="L518" s="27"/>
      <c r="O518" s="27"/>
    </row>
    <row r="519" spans="3:15" x14ac:dyDescent="0.3">
      <c r="C519" s="11" t="str">
        <f t="shared" ca="1" si="14"/>
        <v>NM</v>
      </c>
      <c r="D519" s="11">
        <f t="shared" ca="1" si="15"/>
        <v>0</v>
      </c>
      <c r="L519" s="27"/>
      <c r="O519" s="27"/>
    </row>
    <row r="520" spans="3:15" x14ac:dyDescent="0.3">
      <c r="C520" s="11" t="str">
        <f t="shared" ca="1" si="14"/>
        <v>NM</v>
      </c>
      <c r="D520" s="11">
        <f t="shared" ca="1" si="15"/>
        <v>0</v>
      </c>
      <c r="L520" s="27"/>
      <c r="O520" s="27"/>
    </row>
    <row r="521" spans="3:15" x14ac:dyDescent="0.3">
      <c r="C521" s="11" t="str">
        <f t="shared" ca="1" si="14"/>
        <v>NM</v>
      </c>
      <c r="D521" s="11">
        <f t="shared" ca="1" si="15"/>
        <v>0</v>
      </c>
      <c r="L521" s="27"/>
      <c r="O521" s="27"/>
    </row>
    <row r="522" spans="3:15" x14ac:dyDescent="0.3">
      <c r="C522" s="11" t="str">
        <f t="shared" ca="1" si="14"/>
        <v>NM</v>
      </c>
      <c r="D522" s="11">
        <f t="shared" ca="1" si="15"/>
        <v>0</v>
      </c>
      <c r="L522" s="27"/>
      <c r="O522" s="27"/>
    </row>
    <row r="523" spans="3:15" x14ac:dyDescent="0.3">
      <c r="C523" s="11" t="str">
        <f t="shared" ca="1" si="14"/>
        <v>NM</v>
      </c>
      <c r="D523" s="11">
        <f t="shared" ca="1" si="15"/>
        <v>0</v>
      </c>
      <c r="L523" s="27"/>
      <c r="O523" s="27"/>
    </row>
    <row r="524" spans="3:15" x14ac:dyDescent="0.3">
      <c r="C524" s="11" t="str">
        <f t="shared" ca="1" si="14"/>
        <v>NM</v>
      </c>
      <c r="D524" s="11">
        <f t="shared" ca="1" si="15"/>
        <v>0</v>
      </c>
      <c r="L524" s="27"/>
      <c r="O524" s="27"/>
    </row>
    <row r="525" spans="3:15" x14ac:dyDescent="0.3">
      <c r="C525" s="11" t="str">
        <f t="shared" ca="1" si="14"/>
        <v>NM</v>
      </c>
      <c r="D525" s="11">
        <f t="shared" ca="1" si="15"/>
        <v>0</v>
      </c>
      <c r="L525" s="27"/>
      <c r="O525" s="27"/>
    </row>
    <row r="526" spans="3:15" x14ac:dyDescent="0.3">
      <c r="C526" s="11" t="str">
        <f t="shared" ca="1" si="14"/>
        <v>NM</v>
      </c>
      <c r="D526" s="11">
        <f t="shared" ca="1" si="15"/>
        <v>0</v>
      </c>
      <c r="L526" s="27"/>
      <c r="O526" s="27"/>
    </row>
    <row r="527" spans="3:15" x14ac:dyDescent="0.3">
      <c r="C527" s="11" t="str">
        <f t="shared" ca="1" si="14"/>
        <v>NM</v>
      </c>
      <c r="D527" s="11">
        <f t="shared" ca="1" si="15"/>
        <v>0</v>
      </c>
    </row>
    <row r="528" spans="3:15" x14ac:dyDescent="0.3">
      <c r="C528" s="11" t="str">
        <f t="shared" ca="1" si="14"/>
        <v>NM</v>
      </c>
      <c r="D528" s="11">
        <f t="shared" ca="1" si="15"/>
        <v>0</v>
      </c>
    </row>
    <row r="529" spans="3:4" x14ac:dyDescent="0.3">
      <c r="C529" s="11" t="str">
        <f t="shared" ca="1" si="14"/>
        <v>NM</v>
      </c>
      <c r="D529" s="11">
        <f t="shared" ca="1" si="15"/>
        <v>0</v>
      </c>
    </row>
    <row r="530" spans="3:4" x14ac:dyDescent="0.3">
      <c r="C530" s="11" t="str">
        <f t="shared" ca="1" si="14"/>
        <v>NM</v>
      </c>
      <c r="D530" s="11">
        <f t="shared" ca="1" si="15"/>
        <v>0</v>
      </c>
    </row>
    <row r="531" spans="3:4" x14ac:dyDescent="0.3">
      <c r="C531" s="11" t="str">
        <f t="shared" ca="1" si="14"/>
        <v>NM</v>
      </c>
      <c r="D531" s="11">
        <f t="shared" ca="1" si="15"/>
        <v>0</v>
      </c>
    </row>
    <row r="532" spans="3:4" x14ac:dyDescent="0.3">
      <c r="C532" s="11" t="str">
        <f t="shared" ca="1" si="14"/>
        <v>NM</v>
      </c>
      <c r="D532" s="11">
        <f t="shared" ca="1" si="15"/>
        <v>0</v>
      </c>
    </row>
    <row r="533" spans="3:4" x14ac:dyDescent="0.3">
      <c r="C533" s="11" t="str">
        <f t="shared" ca="1" si="14"/>
        <v>NM</v>
      </c>
      <c r="D533" s="11">
        <f t="shared" ca="1" si="15"/>
        <v>0</v>
      </c>
    </row>
    <row r="534" spans="3:4" x14ac:dyDescent="0.3">
      <c r="C534" s="11" t="str">
        <f t="shared" ca="1" si="14"/>
        <v>NM</v>
      </c>
      <c r="D534" s="11">
        <f t="shared" ca="1" si="15"/>
        <v>0</v>
      </c>
    </row>
    <row r="535" spans="3:4" x14ac:dyDescent="0.3">
      <c r="C535" s="11" t="str">
        <f t="shared" ca="1" si="14"/>
        <v>NM</v>
      </c>
      <c r="D535" s="11">
        <f t="shared" ca="1" si="15"/>
        <v>0</v>
      </c>
    </row>
    <row r="536" spans="3:4" x14ac:dyDescent="0.3">
      <c r="C536" s="11" t="str">
        <f t="shared" ca="1" si="14"/>
        <v>NM</v>
      </c>
      <c r="D536" s="11">
        <f t="shared" ca="1" si="15"/>
        <v>0</v>
      </c>
    </row>
    <row r="537" spans="3:4" x14ac:dyDescent="0.3">
      <c r="C537" s="11" t="str">
        <f t="shared" ca="1" si="14"/>
        <v>NM</v>
      </c>
      <c r="D537" s="11">
        <f t="shared" ca="1" si="15"/>
        <v>0</v>
      </c>
    </row>
    <row r="538" spans="3:4" x14ac:dyDescent="0.3">
      <c r="C538" s="11" t="str">
        <f t="shared" ca="1" si="14"/>
        <v>NM</v>
      </c>
      <c r="D538" s="11">
        <f t="shared" ca="1" si="15"/>
        <v>0</v>
      </c>
    </row>
    <row r="539" spans="3:4" x14ac:dyDescent="0.3">
      <c r="C539" s="11" t="str">
        <f t="shared" ca="1" si="14"/>
        <v>NM</v>
      </c>
      <c r="D539" s="11">
        <f t="shared" ca="1" si="15"/>
        <v>0</v>
      </c>
    </row>
    <row r="540" spans="3:4" x14ac:dyDescent="0.3">
      <c r="C540" s="11" t="str">
        <f t="shared" ca="1" si="14"/>
        <v>NM</v>
      </c>
      <c r="D540" s="11">
        <f t="shared" ca="1" si="15"/>
        <v>0</v>
      </c>
    </row>
    <row r="541" spans="3:4" x14ac:dyDescent="0.3">
      <c r="C541" s="11" t="str">
        <f t="shared" ca="1" si="14"/>
        <v>NM</v>
      </c>
      <c r="D541" s="11">
        <f t="shared" ca="1" si="15"/>
        <v>0</v>
      </c>
    </row>
    <row r="542" spans="3:4" x14ac:dyDescent="0.3">
      <c r="C542" s="11" t="str">
        <f t="shared" ca="1" si="14"/>
        <v>NM</v>
      </c>
      <c r="D542" s="11">
        <f t="shared" ca="1" si="15"/>
        <v>0</v>
      </c>
    </row>
    <row r="543" spans="3:4" x14ac:dyDescent="0.3">
      <c r="C543" s="11" t="str">
        <f t="shared" ca="1" si="14"/>
        <v>NM</v>
      </c>
      <c r="D543" s="11">
        <f t="shared" ca="1" si="15"/>
        <v>0</v>
      </c>
    </row>
    <row r="544" spans="3:4" x14ac:dyDescent="0.3">
      <c r="C544" s="11" t="str">
        <f t="shared" ca="1" si="14"/>
        <v>NM</v>
      </c>
      <c r="D544" s="11">
        <f t="shared" ca="1" si="15"/>
        <v>0</v>
      </c>
    </row>
    <row r="545" spans="3:4" x14ac:dyDescent="0.3">
      <c r="C545" s="11" t="str">
        <f t="shared" ca="1" si="14"/>
        <v>NM</v>
      </c>
      <c r="D545" s="11">
        <f t="shared" ca="1" si="15"/>
        <v>0</v>
      </c>
    </row>
    <row r="546" spans="3:4" x14ac:dyDescent="0.3">
      <c r="C546" s="11" t="str">
        <f t="shared" ca="1" si="14"/>
        <v>NM</v>
      </c>
      <c r="D546" s="11">
        <f t="shared" ca="1" si="15"/>
        <v>0</v>
      </c>
    </row>
    <row r="547" spans="3:4" x14ac:dyDescent="0.3">
      <c r="C547" s="11" t="str">
        <f t="shared" ca="1" si="14"/>
        <v>NM</v>
      </c>
      <c r="D547" s="11">
        <f t="shared" ca="1" si="15"/>
        <v>0</v>
      </c>
    </row>
    <row r="548" spans="3:4" x14ac:dyDescent="0.3">
      <c r="C548" s="11" t="str">
        <f t="shared" ca="1" si="14"/>
        <v>NM</v>
      </c>
      <c r="D548" s="11">
        <f t="shared" ca="1" si="15"/>
        <v>0</v>
      </c>
    </row>
    <row r="549" spans="3:4" x14ac:dyDescent="0.3">
      <c r="C549" s="11" t="str">
        <f t="shared" ref="C549:C568" ca="1" si="16">HYPERLINK(CONCATENATE($A$501,"/bugzilla/show_bug.cgi?id=",IFERROR(VALUE(MID(INDIRECT("g"&amp;ROW()),9,5)),INDIRECT("e"&amp;ROW()))),IFERROR(VALUE(MID(INDIRECT("g"&amp;ROW()),9,5)),"NM"))</f>
        <v>NM</v>
      </c>
      <c r="D549" s="11">
        <f t="shared" ca="1" si="15"/>
        <v>0</v>
      </c>
    </row>
    <row r="550" spans="3:4" x14ac:dyDescent="0.3">
      <c r="C550" s="11" t="str">
        <f t="shared" ca="1" si="16"/>
        <v>NM</v>
      </c>
      <c r="D550" s="11">
        <f t="shared" ref="D550:D570" ca="1" si="17">HYPERLINK(CONCATENATE("https://bugzilla.houston.hpecorp.net:1181/bugzilla/show_bug.cgi?id=",INDIRECT("e"&amp;ROW())),INDIRECT("e"&amp;ROW()))</f>
        <v>0</v>
      </c>
    </row>
    <row r="551" spans="3:4" x14ac:dyDescent="0.3">
      <c r="C551" s="11" t="str">
        <f t="shared" ca="1" si="16"/>
        <v>NM</v>
      </c>
      <c r="D551" s="11">
        <f t="shared" ca="1" si="17"/>
        <v>0</v>
      </c>
    </row>
    <row r="552" spans="3:4" x14ac:dyDescent="0.3">
      <c r="C552" s="11" t="str">
        <f t="shared" ca="1" si="16"/>
        <v>NM</v>
      </c>
      <c r="D552" s="11">
        <f t="shared" ca="1" si="17"/>
        <v>0</v>
      </c>
    </row>
    <row r="553" spans="3:4" x14ac:dyDescent="0.3">
      <c r="C553" s="11" t="str">
        <f t="shared" ca="1" si="16"/>
        <v>NM</v>
      </c>
      <c r="D553" s="11">
        <f t="shared" ca="1" si="17"/>
        <v>0</v>
      </c>
    </row>
    <row r="554" spans="3:4" x14ac:dyDescent="0.3">
      <c r="C554" s="11" t="str">
        <f t="shared" ca="1" si="16"/>
        <v>NM</v>
      </c>
      <c r="D554" s="11">
        <f t="shared" ca="1" si="17"/>
        <v>0</v>
      </c>
    </row>
    <row r="555" spans="3:4" x14ac:dyDescent="0.3">
      <c r="C555" s="11" t="str">
        <f t="shared" ca="1" si="16"/>
        <v>NM</v>
      </c>
      <c r="D555" s="11">
        <f t="shared" ca="1" si="17"/>
        <v>0</v>
      </c>
    </row>
    <row r="556" spans="3:4" x14ac:dyDescent="0.3">
      <c r="C556" s="11" t="str">
        <f t="shared" ca="1" si="16"/>
        <v>NM</v>
      </c>
      <c r="D556" s="11">
        <f t="shared" ca="1" si="17"/>
        <v>0</v>
      </c>
    </row>
    <row r="557" spans="3:4" x14ac:dyDescent="0.3">
      <c r="C557" s="11" t="str">
        <f t="shared" ca="1" si="16"/>
        <v>NM</v>
      </c>
      <c r="D557" s="11">
        <f t="shared" ca="1" si="17"/>
        <v>0</v>
      </c>
    </row>
    <row r="558" spans="3:4" x14ac:dyDescent="0.3">
      <c r="C558" s="11" t="str">
        <f t="shared" ca="1" si="16"/>
        <v>NM</v>
      </c>
      <c r="D558" s="11">
        <f t="shared" ca="1" si="17"/>
        <v>0</v>
      </c>
    </row>
    <row r="559" spans="3:4" x14ac:dyDescent="0.3">
      <c r="C559" s="11" t="str">
        <f t="shared" ca="1" si="16"/>
        <v>NM</v>
      </c>
      <c r="D559" s="11">
        <f t="shared" ca="1" si="17"/>
        <v>0</v>
      </c>
    </row>
    <row r="560" spans="3:4" x14ac:dyDescent="0.3">
      <c r="C560" s="11" t="str">
        <f t="shared" ca="1" si="16"/>
        <v>NM</v>
      </c>
      <c r="D560" s="11">
        <f t="shared" ca="1" si="17"/>
        <v>0</v>
      </c>
    </row>
    <row r="561" spans="3:4" x14ac:dyDescent="0.3">
      <c r="C561" s="11" t="str">
        <f t="shared" ca="1" si="16"/>
        <v>NM</v>
      </c>
      <c r="D561" s="11">
        <f t="shared" ca="1" si="17"/>
        <v>0</v>
      </c>
    </row>
    <row r="562" spans="3:4" x14ac:dyDescent="0.3">
      <c r="C562" s="11" t="str">
        <f t="shared" ca="1" si="16"/>
        <v>NM</v>
      </c>
      <c r="D562" s="11">
        <f t="shared" ca="1" si="17"/>
        <v>0</v>
      </c>
    </row>
    <row r="563" spans="3:4" x14ac:dyDescent="0.3">
      <c r="C563" s="11" t="str">
        <f t="shared" ca="1" si="16"/>
        <v>NM</v>
      </c>
      <c r="D563" s="11">
        <f t="shared" ca="1" si="17"/>
        <v>0</v>
      </c>
    </row>
    <row r="564" spans="3:4" x14ac:dyDescent="0.3">
      <c r="C564" s="11" t="str">
        <f t="shared" ca="1" si="16"/>
        <v>NM</v>
      </c>
      <c r="D564" s="11">
        <f t="shared" ca="1" si="17"/>
        <v>0</v>
      </c>
    </row>
    <row r="565" spans="3:4" x14ac:dyDescent="0.3">
      <c r="C565" s="11" t="str">
        <f t="shared" ca="1" si="16"/>
        <v>NM</v>
      </c>
      <c r="D565" s="11">
        <f t="shared" ca="1" si="17"/>
        <v>0</v>
      </c>
    </row>
    <row r="566" spans="3:4" x14ac:dyDescent="0.3">
      <c r="C566" s="11" t="str">
        <f t="shared" ca="1" si="16"/>
        <v>NM</v>
      </c>
      <c r="D566" s="11">
        <f t="shared" ca="1" si="17"/>
        <v>0</v>
      </c>
    </row>
    <row r="567" spans="3:4" x14ac:dyDescent="0.3">
      <c r="C567" s="11" t="str">
        <f t="shared" ca="1" si="16"/>
        <v>NM</v>
      </c>
      <c r="D567" s="11">
        <f t="shared" ca="1" si="17"/>
        <v>0</v>
      </c>
    </row>
    <row r="568" spans="3:4" x14ac:dyDescent="0.3">
      <c r="C568" s="11" t="str">
        <f t="shared" ca="1" si="16"/>
        <v>NM</v>
      </c>
      <c r="D568" s="11">
        <f t="shared" ca="1" si="17"/>
        <v>0</v>
      </c>
    </row>
    <row r="569" spans="3:4" x14ac:dyDescent="0.3">
      <c r="D569" s="11">
        <f t="shared" ca="1" si="17"/>
        <v>0</v>
      </c>
    </row>
    <row r="570" spans="3:4" x14ac:dyDescent="0.3">
      <c r="D570" s="11">
        <f t="shared" ca="1" si="17"/>
        <v>0</v>
      </c>
    </row>
    <row r="571" spans="3:4" x14ac:dyDescent="0.3">
      <c r="D571">
        <f ca="1">HYPERLINK(CONCATENATE("https://bugzilla.houston.hp.com:1181/bugzilla/show_bug.cgi?id=",INDIRECT("e"&amp;ROW())),INDIRECT("e"&amp;ROW()))</f>
        <v>0</v>
      </c>
    </row>
    <row r="572" spans="3:4" x14ac:dyDescent="0.3">
      <c r="D572">
        <f ca="1">HYPERLINK(CONCATENATE("https://bugzilla.houston.hp.com:1181/bugzilla/show_bug.cgi?id=",INDIRECT("e"&amp;ROW())),INDIRECT("e"&amp;ROW()))</f>
        <v>0</v>
      </c>
    </row>
    <row r="573" spans="3:4" x14ac:dyDescent="0.3">
      <c r="D573">
        <f t="shared" ref="D573:D592" ca="1" si="18">HYPERLINK(CONCATENATE("https://bugzilla.houston.hp.com:1181/bugzilla/show_bug.cgi?id=",INDIRECT("e"&amp;ROW())),INDIRECT("e"&amp;ROW()))</f>
        <v>0</v>
      </c>
    </row>
    <row r="574" spans="3:4" x14ac:dyDescent="0.3">
      <c r="D574">
        <f t="shared" ca="1" si="18"/>
        <v>0</v>
      </c>
    </row>
    <row r="575" spans="3:4" x14ac:dyDescent="0.3">
      <c r="D575">
        <f t="shared" ca="1" si="18"/>
        <v>0</v>
      </c>
    </row>
    <row r="576" spans="3:4" x14ac:dyDescent="0.3">
      <c r="D576">
        <f t="shared" ca="1" si="18"/>
        <v>0</v>
      </c>
    </row>
    <row r="577" spans="4:4" x14ac:dyDescent="0.3">
      <c r="D577">
        <f t="shared" ca="1" si="18"/>
        <v>0</v>
      </c>
    </row>
    <row r="578" spans="4:4" x14ac:dyDescent="0.3">
      <c r="D578">
        <f t="shared" ca="1" si="18"/>
        <v>0</v>
      </c>
    </row>
    <row r="579" spans="4:4" x14ac:dyDescent="0.3">
      <c r="D579">
        <f t="shared" ca="1" si="18"/>
        <v>0</v>
      </c>
    </row>
    <row r="580" spans="4:4" x14ac:dyDescent="0.3">
      <c r="D580">
        <f t="shared" ca="1" si="18"/>
        <v>0</v>
      </c>
    </row>
    <row r="581" spans="4:4" x14ac:dyDescent="0.3">
      <c r="D581">
        <f t="shared" ca="1" si="18"/>
        <v>0</v>
      </c>
    </row>
    <row r="582" spans="4:4" x14ac:dyDescent="0.3">
      <c r="D582">
        <f t="shared" ca="1" si="18"/>
        <v>0</v>
      </c>
    </row>
    <row r="583" spans="4:4" x14ac:dyDescent="0.3">
      <c r="D583">
        <f t="shared" ca="1" si="18"/>
        <v>0</v>
      </c>
    </row>
    <row r="584" spans="4:4" x14ac:dyDescent="0.3">
      <c r="D584">
        <f t="shared" ca="1" si="18"/>
        <v>0</v>
      </c>
    </row>
    <row r="585" spans="4:4" x14ac:dyDescent="0.3">
      <c r="D585">
        <f t="shared" ca="1" si="18"/>
        <v>0</v>
      </c>
    </row>
    <row r="586" spans="4:4" x14ac:dyDescent="0.3">
      <c r="D586">
        <f t="shared" ca="1" si="18"/>
        <v>0</v>
      </c>
    </row>
    <row r="587" spans="4:4" x14ac:dyDescent="0.3">
      <c r="D587">
        <f t="shared" ca="1" si="18"/>
        <v>0</v>
      </c>
    </row>
    <row r="588" spans="4:4" x14ac:dyDescent="0.3">
      <c r="D588">
        <f t="shared" ca="1" si="18"/>
        <v>0</v>
      </c>
    </row>
    <row r="589" spans="4:4" x14ac:dyDescent="0.3">
      <c r="D589">
        <f t="shared" ca="1" si="18"/>
        <v>0</v>
      </c>
    </row>
    <row r="590" spans="4:4" x14ac:dyDescent="0.3">
      <c r="D590">
        <f t="shared" ca="1" si="18"/>
        <v>0</v>
      </c>
    </row>
    <row r="591" spans="4:4" x14ac:dyDescent="0.3">
      <c r="D591">
        <f t="shared" ca="1" si="18"/>
        <v>0</v>
      </c>
    </row>
    <row r="592" spans="4:4" x14ac:dyDescent="0.3">
      <c r="D592">
        <f t="shared" ca="1" si="18"/>
        <v>0</v>
      </c>
    </row>
  </sheetData>
  <autoFilter ref="C35:AB598"/>
  <conditionalFormatting sqref="E37:E250">
    <cfRule type="expression" dxfId="6" priority="1">
      <formula>IF(AA37="Green Zone",1,0)</formula>
    </cfRule>
    <cfRule type="expression" dxfId="5" priority="2">
      <formula>IF(AA37="* Required",1,0)</formula>
    </cfRule>
    <cfRule type="expression" dxfId="4" priority="3">
      <formula>IF(AA37="Red Zone",1,0)</formula>
    </cfRule>
    <cfRule type="expression" dxfId="3" priority="4">
      <formula>IF(AA37="Yellow Zone",1,0)</formula>
    </cfRule>
  </conditionalFormatting>
  <hyperlinks>
    <hyperlink ref="A2" r:id="rId1"/>
    <hyperlink ref="A22" location="LiveBugData!A433" display="Bottom"/>
    <hyperlink ref="A433" location="LiveBugData!A22" display="top"/>
    <hyperlink ref="A100" location="LiveBugData!A22" display="top"/>
    <hyperlink ref="A200" location="LiveBugData!A22" display="top"/>
    <hyperlink ref="A300" location="LiveBugData!A22" display="top"/>
    <hyperlink ref="A410" location="LiveBugData!A22" display="top"/>
    <hyperlink ref="A477" location="LiveBugData!A22" display="top"/>
    <hyperlink ref="A492" location="LiveBugData!A22" display="top"/>
    <hyperlink ref="A432" location="LiveBugData!A500" display="Bottom"/>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Z10"/>
  <sheetViews>
    <sheetView workbookViewId="0">
      <selection activeCell="C2" sqref="C2"/>
    </sheetView>
  </sheetViews>
  <sheetFormatPr defaultRowHeight="14.4" x14ac:dyDescent="0.3"/>
  <cols>
    <col min="4" max="4" width="6.21875" bestFit="1" customWidth="1"/>
    <col min="5" max="5" width="27.44140625" bestFit="1" customWidth="1"/>
    <col min="6" max="6" width="147.109375" bestFit="1" customWidth="1"/>
    <col min="7" max="7" width="7.44140625" bestFit="1" customWidth="1"/>
    <col min="8" max="8" width="14.88671875" bestFit="1" customWidth="1"/>
    <col min="9" max="9" width="31.21875" bestFit="1" customWidth="1"/>
    <col min="10" max="10" width="59.33203125" bestFit="1" customWidth="1"/>
    <col min="11" max="11" width="14.6640625" bestFit="1" customWidth="1"/>
    <col min="12" max="12" width="9.5546875" bestFit="1" customWidth="1"/>
    <col min="13" max="13" width="10" bestFit="1" customWidth="1"/>
    <col min="14" max="14" width="14.6640625" bestFit="1" customWidth="1"/>
    <col min="15" max="15" width="15" bestFit="1" customWidth="1"/>
    <col min="16" max="16" width="11" bestFit="1" customWidth="1"/>
    <col min="18" max="18" width="16.88671875" bestFit="1" customWidth="1"/>
    <col min="19" max="19" width="10.77734375" bestFit="1" customWidth="1"/>
    <col min="20" max="20" width="22.21875" bestFit="1" customWidth="1"/>
    <col min="21" max="21" width="29.77734375" bestFit="1" customWidth="1"/>
    <col min="22" max="22" width="8.109375" bestFit="1" customWidth="1"/>
    <col min="23" max="23" width="18.33203125" bestFit="1" customWidth="1"/>
    <col min="24" max="24" width="6.88671875" bestFit="1" customWidth="1"/>
    <col min="25" max="25" width="21.44140625" bestFit="1" customWidth="1"/>
    <col min="26" max="26" width="12.6640625" bestFit="1" customWidth="1"/>
  </cols>
  <sheetData>
    <row r="1" spans="3:26" x14ac:dyDescent="0.3">
      <c r="C1" t="s">
        <v>251</v>
      </c>
      <c r="D1" t="s">
        <v>5</v>
      </c>
      <c r="E1" t="s">
        <v>6</v>
      </c>
      <c r="F1" t="s">
        <v>7</v>
      </c>
      <c r="G1" t="s">
        <v>8</v>
      </c>
      <c r="H1" t="s">
        <v>9</v>
      </c>
      <c r="I1" t="s">
        <v>10</v>
      </c>
      <c r="J1" t="s">
        <v>11</v>
      </c>
      <c r="K1" t="s">
        <v>12</v>
      </c>
      <c r="L1" t="s">
        <v>13</v>
      </c>
      <c r="M1" t="s">
        <v>14</v>
      </c>
      <c r="N1" t="s">
        <v>90</v>
      </c>
      <c r="O1" t="s">
        <v>116</v>
      </c>
      <c r="P1" t="s">
        <v>117</v>
      </c>
      <c r="Q1" t="s">
        <v>185</v>
      </c>
      <c r="R1" t="s">
        <v>202</v>
      </c>
      <c r="S1" t="s">
        <v>218</v>
      </c>
      <c r="T1" t="s">
        <v>235</v>
      </c>
      <c r="U1" t="s">
        <v>234</v>
      </c>
      <c r="V1" t="s">
        <v>259</v>
      </c>
      <c r="W1" t="s">
        <v>325</v>
      </c>
      <c r="X1" t="s">
        <v>329</v>
      </c>
      <c r="Y1" t="s">
        <v>361</v>
      </c>
      <c r="Z1" t="s">
        <v>714</v>
      </c>
    </row>
    <row r="2" spans="3:26" x14ac:dyDescent="0.3">
      <c r="C2" t="str">
        <f ca="1">MID(INDIRECT("f"&amp;ROW()),9,5)</f>
        <v>57455</v>
      </c>
      <c r="D2">
        <v>60560</v>
      </c>
      <c r="E2" t="s">
        <v>241</v>
      </c>
      <c r="F2" t="s">
        <v>910</v>
      </c>
      <c r="G2" t="s">
        <v>25</v>
      </c>
      <c r="H2" t="s">
        <v>783</v>
      </c>
      <c r="I2" t="s">
        <v>552</v>
      </c>
      <c r="K2" s="6">
        <v>42139.016539351855</v>
      </c>
      <c r="L2" t="s">
        <v>18</v>
      </c>
      <c r="M2" t="s">
        <v>764</v>
      </c>
      <c r="N2" s="6">
        <v>42109.74486111111</v>
      </c>
      <c r="O2" t="s">
        <v>122</v>
      </c>
      <c r="R2" t="s">
        <v>200</v>
      </c>
      <c r="S2" t="s">
        <v>247</v>
      </c>
      <c r="T2" t="s">
        <v>222</v>
      </c>
      <c r="U2" t="s">
        <v>232</v>
      </c>
      <c r="W2" t="s">
        <v>588</v>
      </c>
      <c r="X2" t="s">
        <v>327</v>
      </c>
      <c r="Y2" t="s">
        <v>121</v>
      </c>
      <c r="Z2" t="s">
        <v>715</v>
      </c>
    </row>
    <row r="3" spans="3:26" x14ac:dyDescent="0.3">
      <c r="C3" t="str">
        <f t="shared" ref="C3:C10" ca="1" si="0">MID(INDIRECT("f"&amp;ROW()),9,5)</f>
        <v>58713</v>
      </c>
      <c r="D3">
        <v>60563</v>
      </c>
      <c r="E3" t="s">
        <v>241</v>
      </c>
      <c r="F3" t="s">
        <v>908</v>
      </c>
      <c r="G3" t="s">
        <v>39</v>
      </c>
      <c r="H3" t="s">
        <v>783</v>
      </c>
      <c r="I3" t="s">
        <v>552</v>
      </c>
      <c r="K3" s="6">
        <v>42139.002997685187</v>
      </c>
      <c r="L3" t="s">
        <v>18</v>
      </c>
      <c r="M3" t="s">
        <v>17</v>
      </c>
      <c r="N3" s="6">
        <v>42109.747881944444</v>
      </c>
      <c r="O3" t="s">
        <v>122</v>
      </c>
      <c r="P3" t="s">
        <v>255</v>
      </c>
      <c r="R3" t="s">
        <v>201</v>
      </c>
      <c r="S3" t="s">
        <v>247</v>
      </c>
      <c r="T3" t="s">
        <v>222</v>
      </c>
      <c r="U3" t="s">
        <v>221</v>
      </c>
      <c r="W3" t="s">
        <v>588</v>
      </c>
      <c r="X3" t="s">
        <v>327</v>
      </c>
      <c r="Y3" t="s">
        <v>121</v>
      </c>
      <c r="Z3" t="s">
        <v>715</v>
      </c>
    </row>
    <row r="4" spans="3:26" x14ac:dyDescent="0.3">
      <c r="C4" t="str">
        <f t="shared" ca="1" si="0"/>
        <v>59230</v>
      </c>
      <c r="D4">
        <v>60565</v>
      </c>
      <c r="E4" t="s">
        <v>22</v>
      </c>
      <c r="F4" t="s">
        <v>906</v>
      </c>
      <c r="G4" t="s">
        <v>25</v>
      </c>
      <c r="H4" t="s">
        <v>783</v>
      </c>
      <c r="I4" t="s">
        <v>552</v>
      </c>
      <c r="J4" t="s">
        <v>1017</v>
      </c>
      <c r="K4" s="6">
        <v>42139.009768518517</v>
      </c>
      <c r="L4" t="s">
        <v>18</v>
      </c>
      <c r="M4" t="s">
        <v>783</v>
      </c>
      <c r="N4" s="6">
        <v>42109.748171296298</v>
      </c>
      <c r="O4" t="s">
        <v>119</v>
      </c>
      <c r="R4" t="s">
        <v>200</v>
      </c>
      <c r="S4" t="s">
        <v>247</v>
      </c>
      <c r="T4" t="s">
        <v>220</v>
      </c>
      <c r="U4" t="s">
        <v>223</v>
      </c>
      <c r="W4" t="s">
        <v>588</v>
      </c>
      <c r="X4" t="s">
        <v>327</v>
      </c>
      <c r="Y4" t="s">
        <v>121</v>
      </c>
      <c r="Z4" t="s">
        <v>715</v>
      </c>
    </row>
    <row r="5" spans="3:26" x14ac:dyDescent="0.3">
      <c r="C5" t="str">
        <f t="shared" ca="1" si="0"/>
        <v>57072</v>
      </c>
      <c r="D5">
        <v>61079</v>
      </c>
      <c r="E5" t="s">
        <v>241</v>
      </c>
      <c r="F5" t="s">
        <v>960</v>
      </c>
      <c r="G5" t="s">
        <v>39</v>
      </c>
      <c r="H5" t="s">
        <v>783</v>
      </c>
      <c r="I5" t="s">
        <v>552</v>
      </c>
      <c r="J5" t="s">
        <v>932</v>
      </c>
      <c r="K5" s="6">
        <v>42139.007939814815</v>
      </c>
      <c r="L5" t="s">
        <v>18</v>
      </c>
      <c r="M5" t="s">
        <v>17</v>
      </c>
      <c r="N5" s="6">
        <v>42116.453750000001</v>
      </c>
      <c r="O5" t="s">
        <v>535</v>
      </c>
      <c r="R5" t="s">
        <v>201</v>
      </c>
      <c r="S5" t="s">
        <v>247</v>
      </c>
      <c r="T5" t="s">
        <v>222</v>
      </c>
      <c r="U5" t="s">
        <v>221</v>
      </c>
      <c r="W5" t="s">
        <v>588</v>
      </c>
      <c r="X5" t="s">
        <v>327</v>
      </c>
      <c r="Y5" t="s">
        <v>121</v>
      </c>
      <c r="Z5" t="s">
        <v>715</v>
      </c>
    </row>
    <row r="6" spans="3:26" x14ac:dyDescent="0.3">
      <c r="C6" t="str">
        <f t="shared" ca="1" si="0"/>
        <v>52552</v>
      </c>
      <c r="D6">
        <v>61082</v>
      </c>
      <c r="E6" t="s">
        <v>50</v>
      </c>
      <c r="F6" t="s">
        <v>959</v>
      </c>
      <c r="G6" t="s">
        <v>25</v>
      </c>
      <c r="H6" t="s">
        <v>783</v>
      </c>
      <c r="I6" t="s">
        <v>552</v>
      </c>
      <c r="J6" t="s">
        <v>782</v>
      </c>
      <c r="K6" s="6">
        <v>42139.008506944447</v>
      </c>
      <c r="L6" t="s">
        <v>18</v>
      </c>
      <c r="M6" t="s">
        <v>17</v>
      </c>
      <c r="N6" s="6">
        <v>42116.454432870371</v>
      </c>
      <c r="O6" t="s">
        <v>119</v>
      </c>
      <c r="R6" t="s">
        <v>200</v>
      </c>
      <c r="S6" t="s">
        <v>121</v>
      </c>
      <c r="T6" t="s">
        <v>227</v>
      </c>
      <c r="U6" t="s">
        <v>226</v>
      </c>
      <c r="W6" t="s">
        <v>588</v>
      </c>
      <c r="X6" t="s">
        <v>327</v>
      </c>
      <c r="Y6" t="s">
        <v>362</v>
      </c>
      <c r="Z6" t="s">
        <v>715</v>
      </c>
    </row>
    <row r="7" spans="3:26" x14ac:dyDescent="0.3">
      <c r="C7" t="str">
        <f t="shared" ca="1" si="0"/>
        <v>58413</v>
      </c>
      <c r="D7">
        <v>61084</v>
      </c>
      <c r="E7" t="s">
        <v>156</v>
      </c>
      <c r="F7" t="s">
        <v>957</v>
      </c>
      <c r="G7" t="s">
        <v>39</v>
      </c>
      <c r="H7" t="s">
        <v>783</v>
      </c>
      <c r="I7" t="s">
        <v>552</v>
      </c>
      <c r="J7" t="s">
        <v>1072</v>
      </c>
      <c r="K7" s="6">
        <v>42138.996678240743</v>
      </c>
      <c r="L7" t="s">
        <v>795</v>
      </c>
      <c r="M7" t="s">
        <v>17</v>
      </c>
      <c r="N7" s="6">
        <v>42116.455092592594</v>
      </c>
      <c r="O7" t="s">
        <v>793</v>
      </c>
      <c r="R7" t="s">
        <v>201</v>
      </c>
      <c r="S7" t="s">
        <v>247</v>
      </c>
      <c r="T7" t="s">
        <v>220</v>
      </c>
      <c r="U7" t="s">
        <v>219</v>
      </c>
      <c r="W7" t="s">
        <v>588</v>
      </c>
      <c r="X7" t="s">
        <v>327</v>
      </c>
      <c r="Y7" t="s">
        <v>121</v>
      </c>
      <c r="Z7" t="s">
        <v>716</v>
      </c>
    </row>
    <row r="8" spans="3:26" x14ac:dyDescent="0.3">
      <c r="C8" t="str">
        <f t="shared" ca="1" si="0"/>
        <v>54778</v>
      </c>
      <c r="D8">
        <v>61158</v>
      </c>
      <c r="E8" t="s">
        <v>1071</v>
      </c>
      <c r="F8" t="s">
        <v>1070</v>
      </c>
      <c r="G8" t="s">
        <v>25</v>
      </c>
      <c r="H8" t="s">
        <v>783</v>
      </c>
      <c r="I8" t="s">
        <v>1069</v>
      </c>
      <c r="K8" s="6">
        <v>42142.006226851852</v>
      </c>
      <c r="L8" t="s">
        <v>18</v>
      </c>
      <c r="M8" t="s">
        <v>17</v>
      </c>
      <c r="N8" s="6">
        <v>42117.269907407404</v>
      </c>
      <c r="O8" t="s">
        <v>255</v>
      </c>
      <c r="R8" t="s">
        <v>200</v>
      </c>
      <c r="S8" t="s">
        <v>247</v>
      </c>
      <c r="T8" t="s">
        <v>1068</v>
      </c>
      <c r="U8" t="s">
        <v>1067</v>
      </c>
      <c r="W8" t="s">
        <v>588</v>
      </c>
      <c r="X8" t="s">
        <v>327</v>
      </c>
      <c r="Y8" t="s">
        <v>121</v>
      </c>
      <c r="Z8" t="s">
        <v>715</v>
      </c>
    </row>
    <row r="9" spans="3:26" x14ac:dyDescent="0.3">
      <c r="C9" t="str">
        <f t="shared" ca="1" si="0"/>
        <v>61897</v>
      </c>
      <c r="D9">
        <v>61913</v>
      </c>
      <c r="E9" t="s">
        <v>241</v>
      </c>
      <c r="F9" t="s">
        <v>1014</v>
      </c>
      <c r="G9" t="s">
        <v>39</v>
      </c>
      <c r="H9" t="s">
        <v>783</v>
      </c>
      <c r="I9" t="s">
        <v>552</v>
      </c>
      <c r="K9" s="6">
        <v>42136.680972222224</v>
      </c>
      <c r="L9" t="s">
        <v>795</v>
      </c>
      <c r="M9" t="s">
        <v>17</v>
      </c>
      <c r="N9" s="6">
        <v>42130.516365740739</v>
      </c>
      <c r="O9" t="s">
        <v>122</v>
      </c>
      <c r="R9" t="s">
        <v>201</v>
      </c>
      <c r="S9" t="s">
        <v>247</v>
      </c>
      <c r="T9" t="s">
        <v>222</v>
      </c>
      <c r="U9" t="s">
        <v>232</v>
      </c>
      <c r="W9" t="s">
        <v>121</v>
      </c>
      <c r="X9" t="s">
        <v>327</v>
      </c>
      <c r="Y9" t="s">
        <v>362</v>
      </c>
      <c r="Z9" t="s">
        <v>715</v>
      </c>
    </row>
    <row r="10" spans="3:26" x14ac:dyDescent="0.3">
      <c r="C10" t="str">
        <f t="shared" ca="1" si="0"/>
        <v>49170</v>
      </c>
      <c r="D10">
        <v>62036</v>
      </c>
      <c r="E10" t="s">
        <v>56</v>
      </c>
      <c r="F10" t="s">
        <v>1016</v>
      </c>
      <c r="G10" t="s">
        <v>39</v>
      </c>
      <c r="H10" t="s">
        <v>783</v>
      </c>
      <c r="I10" t="s">
        <v>552</v>
      </c>
      <c r="K10" s="6">
        <v>42139.005196759259</v>
      </c>
      <c r="L10" t="s">
        <v>18</v>
      </c>
      <c r="M10" t="s">
        <v>17</v>
      </c>
      <c r="N10" s="6">
        <v>42131.714918981481</v>
      </c>
      <c r="O10" t="s">
        <v>793</v>
      </c>
      <c r="R10" t="s">
        <v>201</v>
      </c>
      <c r="S10" t="s">
        <v>121</v>
      </c>
      <c r="T10" t="s">
        <v>220</v>
      </c>
      <c r="U10" t="s">
        <v>219</v>
      </c>
      <c r="W10" t="s">
        <v>588</v>
      </c>
      <c r="X10" t="s">
        <v>327</v>
      </c>
      <c r="Y10" t="s">
        <v>121</v>
      </c>
      <c r="Z10" t="s">
        <v>715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31"/>
  <sheetViews>
    <sheetView zoomScale="70" zoomScaleNormal="70" workbookViewId="0">
      <selection activeCell="E37" sqref="E37"/>
    </sheetView>
  </sheetViews>
  <sheetFormatPr defaultRowHeight="14.4" x14ac:dyDescent="0.3"/>
  <cols>
    <col min="1" max="1" width="12.33203125" bestFit="1" customWidth="1"/>
    <col min="3" max="3" width="6.21875" bestFit="1" customWidth="1"/>
    <col min="4" max="4" width="27.44140625" bestFit="1" customWidth="1"/>
    <col min="5" max="5" width="155.21875" bestFit="1" customWidth="1"/>
    <col min="6" max="6" width="7.44140625" bestFit="1" customWidth="1"/>
    <col min="7" max="7" width="28.33203125" bestFit="1" customWidth="1"/>
    <col min="8" max="8" width="31.21875" bestFit="1" customWidth="1"/>
    <col min="9" max="9" width="47.5546875" bestFit="1" customWidth="1"/>
    <col min="10" max="10" width="14.6640625" bestFit="1" customWidth="1"/>
    <col min="11" max="11" width="10" bestFit="1" customWidth="1"/>
    <col min="12" max="12" width="27.44140625" bestFit="1" customWidth="1"/>
    <col min="13" max="13" width="14.6640625" bestFit="1" customWidth="1"/>
    <col min="14" max="14" width="28.5546875" bestFit="1" customWidth="1"/>
    <col min="15" max="15" width="11" bestFit="1" customWidth="1"/>
    <col min="17" max="17" width="16.88671875" bestFit="1" customWidth="1"/>
    <col min="18" max="18" width="10.77734375" bestFit="1" customWidth="1"/>
    <col min="19" max="19" width="25.21875" bestFit="1" customWidth="1"/>
    <col min="20" max="20" width="26.33203125" bestFit="1" customWidth="1"/>
    <col min="21" max="21" width="9.5546875" bestFit="1" customWidth="1"/>
    <col min="22" max="22" width="18.33203125" bestFit="1" customWidth="1"/>
    <col min="23" max="23" width="6.88671875" bestFit="1" customWidth="1"/>
    <col min="24" max="24" width="21.44140625" bestFit="1" customWidth="1"/>
    <col min="25" max="25" width="12.6640625" bestFit="1" customWidth="1"/>
  </cols>
  <sheetData>
    <row r="1" spans="1:25" x14ac:dyDescent="0.3">
      <c r="A1" t="s">
        <v>888</v>
      </c>
      <c r="B1" t="s">
        <v>251</v>
      </c>
      <c r="C1" t="s">
        <v>5</v>
      </c>
      <c r="D1" t="s">
        <v>6</v>
      </c>
      <c r="E1" t="s">
        <v>7</v>
      </c>
      <c r="F1" t="s">
        <v>8</v>
      </c>
      <c r="G1" t="s">
        <v>9</v>
      </c>
      <c r="H1" t="s">
        <v>10</v>
      </c>
      <c r="I1" t="s">
        <v>11</v>
      </c>
      <c r="J1" t="s">
        <v>12</v>
      </c>
      <c r="K1" t="s">
        <v>13</v>
      </c>
      <c r="L1" t="s">
        <v>14</v>
      </c>
      <c r="M1" t="s">
        <v>90</v>
      </c>
      <c r="N1" t="s">
        <v>116</v>
      </c>
      <c r="O1" t="s">
        <v>117</v>
      </c>
      <c r="P1" t="s">
        <v>185</v>
      </c>
      <c r="Q1" t="s">
        <v>202</v>
      </c>
      <c r="R1" t="s">
        <v>218</v>
      </c>
      <c r="S1" t="s">
        <v>235</v>
      </c>
      <c r="T1" t="s">
        <v>234</v>
      </c>
      <c r="U1" t="s">
        <v>259</v>
      </c>
      <c r="V1" t="s">
        <v>325</v>
      </c>
      <c r="W1" t="s">
        <v>329</v>
      </c>
      <c r="X1" t="s">
        <v>361</v>
      </c>
      <c r="Y1" t="s">
        <v>714</v>
      </c>
    </row>
    <row r="2" spans="1:25" x14ac:dyDescent="0.3">
      <c r="A2" t="s">
        <v>274</v>
      </c>
      <c r="B2" s="11" t="str">
        <f t="shared" ref="B2:B20" ca="1" si="0">HYPERLINK(CONCATENATE("https://bugzilla.houston.hp.com:1181/bugzilla/show_bug.cgi?id=",MID(INDIRECT("e"&amp;ROW()),9,5)),MID(INDIRECT("e"&amp;ROW()),9,5))</f>
        <v>54350</v>
      </c>
      <c r="C2">
        <v>56733</v>
      </c>
      <c r="D2" t="s">
        <v>22</v>
      </c>
      <c r="E2" t="s">
        <v>607</v>
      </c>
      <c r="F2" t="s">
        <v>25</v>
      </c>
      <c r="G2" t="s">
        <v>251</v>
      </c>
      <c r="H2" t="s">
        <v>364</v>
      </c>
      <c r="I2" t="s">
        <v>610</v>
      </c>
      <c r="J2" s="6">
        <v>42100.418842592589</v>
      </c>
      <c r="K2" t="s">
        <v>795</v>
      </c>
      <c r="L2" t="s">
        <v>512</v>
      </c>
      <c r="M2" s="6">
        <v>41977.548055555555</v>
      </c>
      <c r="N2" t="s">
        <v>255</v>
      </c>
      <c r="Q2" t="s">
        <v>200</v>
      </c>
      <c r="R2" t="s">
        <v>247</v>
      </c>
      <c r="S2" t="s">
        <v>222</v>
      </c>
      <c r="T2" t="s">
        <v>225</v>
      </c>
      <c r="V2" t="s">
        <v>121</v>
      </c>
      <c r="W2" t="s">
        <v>327</v>
      </c>
      <c r="X2" t="s">
        <v>121</v>
      </c>
      <c r="Y2" t="s">
        <v>715</v>
      </c>
    </row>
    <row r="3" spans="1:25" x14ac:dyDescent="0.3">
      <c r="A3" t="s">
        <v>274</v>
      </c>
      <c r="B3" s="11" t="str">
        <f t="shared" ca="1" si="0"/>
        <v>55870</v>
      </c>
      <c r="C3">
        <v>55871</v>
      </c>
      <c r="D3" t="s">
        <v>22</v>
      </c>
      <c r="E3" t="s">
        <v>887</v>
      </c>
      <c r="F3" t="s">
        <v>16</v>
      </c>
      <c r="G3" t="s">
        <v>251</v>
      </c>
      <c r="H3" t="s">
        <v>22</v>
      </c>
      <c r="J3" s="6">
        <v>42055.65966435185</v>
      </c>
      <c r="K3" t="s">
        <v>795</v>
      </c>
      <c r="L3" t="s">
        <v>884</v>
      </c>
      <c r="M3" s="6">
        <v>42024.620706018519</v>
      </c>
      <c r="N3" t="s">
        <v>118</v>
      </c>
      <c r="Q3" t="s">
        <v>201</v>
      </c>
      <c r="R3" t="s">
        <v>247</v>
      </c>
      <c r="S3" t="s">
        <v>222</v>
      </c>
      <c r="T3" t="s">
        <v>225</v>
      </c>
      <c r="V3" t="s">
        <v>121</v>
      </c>
      <c r="W3" t="s">
        <v>327</v>
      </c>
      <c r="X3" t="s">
        <v>121</v>
      </c>
      <c r="Y3" t="s">
        <v>717</v>
      </c>
    </row>
    <row r="4" spans="1:25" x14ac:dyDescent="0.3">
      <c r="A4" t="s">
        <v>274</v>
      </c>
      <c r="B4" s="11" t="str">
        <f t="shared" ca="1" si="0"/>
        <v>56248</v>
      </c>
      <c r="C4">
        <v>56251</v>
      </c>
      <c r="D4" t="s">
        <v>323</v>
      </c>
      <c r="E4" t="s">
        <v>883</v>
      </c>
      <c r="F4" t="s">
        <v>25</v>
      </c>
      <c r="G4" t="s">
        <v>764</v>
      </c>
      <c r="H4" t="s">
        <v>552</v>
      </c>
      <c r="J4" s="6">
        <v>42101.329398148147</v>
      </c>
      <c r="K4" t="s">
        <v>874</v>
      </c>
      <c r="L4" t="s">
        <v>17</v>
      </c>
      <c r="M4" s="6">
        <v>42033.506122685183</v>
      </c>
      <c r="N4" t="s">
        <v>255</v>
      </c>
      <c r="Q4" t="s">
        <v>200</v>
      </c>
      <c r="R4" t="s">
        <v>247</v>
      </c>
      <c r="S4" t="s">
        <v>222</v>
      </c>
      <c r="T4" t="s">
        <v>225</v>
      </c>
      <c r="U4" s="13">
        <v>42074</v>
      </c>
      <c r="V4" t="s">
        <v>121</v>
      </c>
      <c r="W4" t="s">
        <v>327</v>
      </c>
      <c r="X4" t="s">
        <v>121</v>
      </c>
      <c r="Y4" t="s">
        <v>715</v>
      </c>
    </row>
    <row r="5" spans="1:25" x14ac:dyDescent="0.3">
      <c r="A5" t="s">
        <v>274</v>
      </c>
      <c r="B5" s="11" t="str">
        <f t="shared" ca="1" si="0"/>
        <v>55944</v>
      </c>
      <c r="C5">
        <v>56325</v>
      </c>
      <c r="D5" t="s">
        <v>164</v>
      </c>
      <c r="E5" t="s">
        <v>580</v>
      </c>
      <c r="F5" t="s">
        <v>39</v>
      </c>
      <c r="G5" t="s">
        <v>764</v>
      </c>
      <c r="H5" t="s">
        <v>44</v>
      </c>
      <c r="J5" s="6">
        <v>42090.404918981483</v>
      </c>
      <c r="K5" t="s">
        <v>795</v>
      </c>
      <c r="L5" t="s">
        <v>186</v>
      </c>
      <c r="M5" s="6">
        <v>42034.667025462964</v>
      </c>
      <c r="N5" t="s">
        <v>125</v>
      </c>
      <c r="Q5" t="s">
        <v>201</v>
      </c>
      <c r="R5" t="s">
        <v>247</v>
      </c>
      <c r="S5" t="s">
        <v>220</v>
      </c>
      <c r="T5" t="s">
        <v>219</v>
      </c>
      <c r="V5" t="s">
        <v>121</v>
      </c>
      <c r="W5" t="s">
        <v>327</v>
      </c>
      <c r="X5" t="s">
        <v>121</v>
      </c>
      <c r="Y5" t="s">
        <v>716</v>
      </c>
    </row>
    <row r="6" spans="1:25" x14ac:dyDescent="0.3">
      <c r="A6" t="s">
        <v>274</v>
      </c>
      <c r="B6" s="11" t="str">
        <f t="shared" ca="1" si="0"/>
        <v>52686</v>
      </c>
      <c r="C6">
        <v>56684</v>
      </c>
      <c r="D6" t="s">
        <v>66</v>
      </c>
      <c r="E6" t="s">
        <v>779</v>
      </c>
      <c r="F6" t="s">
        <v>25</v>
      </c>
      <c r="G6" t="s">
        <v>764</v>
      </c>
      <c r="H6" t="s">
        <v>66</v>
      </c>
      <c r="J6" s="6">
        <v>42107.387592592589</v>
      </c>
      <c r="K6" t="s">
        <v>874</v>
      </c>
      <c r="L6" t="s">
        <v>372</v>
      </c>
      <c r="M6" s="6">
        <v>42041.692916666667</v>
      </c>
      <c r="N6" t="s">
        <v>342</v>
      </c>
      <c r="Q6" t="s">
        <v>199</v>
      </c>
      <c r="R6" t="s">
        <v>247</v>
      </c>
      <c r="S6" t="s">
        <v>220</v>
      </c>
      <c r="T6" t="s">
        <v>219</v>
      </c>
      <c r="V6" t="s">
        <v>121</v>
      </c>
      <c r="W6" t="s">
        <v>327</v>
      </c>
      <c r="X6" t="s">
        <v>121</v>
      </c>
      <c r="Y6" t="s">
        <v>715</v>
      </c>
    </row>
    <row r="7" spans="1:25" x14ac:dyDescent="0.3">
      <c r="A7" t="s">
        <v>274</v>
      </c>
      <c r="B7" s="11" t="str">
        <f t="shared" ca="1" si="0"/>
        <v>56671</v>
      </c>
      <c r="C7">
        <v>56690</v>
      </c>
      <c r="D7" t="s">
        <v>19</v>
      </c>
      <c r="E7" t="s">
        <v>882</v>
      </c>
      <c r="F7" t="s">
        <v>39</v>
      </c>
      <c r="G7" t="s">
        <v>764</v>
      </c>
      <c r="H7" t="s">
        <v>552</v>
      </c>
      <c r="J7" s="6">
        <v>42101.34138888889</v>
      </c>
      <c r="K7" t="s">
        <v>874</v>
      </c>
      <c r="L7" t="s">
        <v>372</v>
      </c>
      <c r="M7" s="6">
        <v>42041.702905092592</v>
      </c>
      <c r="N7" t="s">
        <v>786</v>
      </c>
      <c r="Q7" t="s">
        <v>201</v>
      </c>
      <c r="R7" t="s">
        <v>247</v>
      </c>
      <c r="S7" t="s">
        <v>227</v>
      </c>
      <c r="T7" t="s">
        <v>226</v>
      </c>
      <c r="V7" t="s">
        <v>121</v>
      </c>
      <c r="W7" t="s">
        <v>327</v>
      </c>
      <c r="X7" t="s">
        <v>121</v>
      </c>
      <c r="Y7" t="s">
        <v>715</v>
      </c>
    </row>
    <row r="8" spans="1:25" x14ac:dyDescent="0.3">
      <c r="A8" t="s">
        <v>890</v>
      </c>
      <c r="B8" s="11" t="str">
        <f t="shared" ca="1" si="0"/>
        <v>57214</v>
      </c>
      <c r="C8">
        <v>57216</v>
      </c>
      <c r="D8" t="s">
        <v>188</v>
      </c>
      <c r="E8" t="s">
        <v>881</v>
      </c>
      <c r="F8" t="s">
        <v>25</v>
      </c>
      <c r="G8" t="s">
        <v>764</v>
      </c>
      <c r="H8" t="s">
        <v>552</v>
      </c>
      <c r="J8" s="6">
        <v>42101.35732638889</v>
      </c>
      <c r="K8" t="s">
        <v>874</v>
      </c>
      <c r="L8" t="s">
        <v>514</v>
      </c>
      <c r="M8" s="6">
        <v>42048.591006944444</v>
      </c>
      <c r="N8" t="s">
        <v>535</v>
      </c>
      <c r="Q8" t="s">
        <v>200</v>
      </c>
      <c r="R8" t="s">
        <v>247</v>
      </c>
      <c r="S8" t="s">
        <v>220</v>
      </c>
      <c r="T8" t="s">
        <v>229</v>
      </c>
      <c r="V8" t="s">
        <v>121</v>
      </c>
      <c r="W8" t="s">
        <v>327</v>
      </c>
      <c r="X8" t="s">
        <v>121</v>
      </c>
      <c r="Y8" t="s">
        <v>715</v>
      </c>
    </row>
    <row r="9" spans="1:25" x14ac:dyDescent="0.3">
      <c r="A9" t="s">
        <v>274</v>
      </c>
      <c r="B9" s="11" t="str">
        <f t="shared" ca="1" si="0"/>
        <v>57465</v>
      </c>
      <c r="C9">
        <v>57484</v>
      </c>
      <c r="D9" t="s">
        <v>53</v>
      </c>
      <c r="E9" t="s">
        <v>880</v>
      </c>
      <c r="F9" t="s">
        <v>25</v>
      </c>
      <c r="G9" t="s">
        <v>764</v>
      </c>
      <c r="H9" t="s">
        <v>552</v>
      </c>
      <c r="J9" s="6">
        <v>42089.125902777778</v>
      </c>
      <c r="K9" t="s">
        <v>874</v>
      </c>
      <c r="L9" t="s">
        <v>372</v>
      </c>
      <c r="M9" s="6">
        <v>42054.702696759261</v>
      </c>
      <c r="N9" t="s">
        <v>786</v>
      </c>
      <c r="Q9" t="s">
        <v>201</v>
      </c>
      <c r="R9" t="s">
        <v>247</v>
      </c>
      <c r="S9" t="s">
        <v>220</v>
      </c>
      <c r="T9" t="s">
        <v>219</v>
      </c>
      <c r="V9" t="s">
        <v>121</v>
      </c>
      <c r="W9" t="s">
        <v>327</v>
      </c>
      <c r="X9" t="s">
        <v>121</v>
      </c>
      <c r="Y9" t="s">
        <v>716</v>
      </c>
    </row>
    <row r="10" spans="1:25" x14ac:dyDescent="0.3">
      <c r="A10" t="s">
        <v>274</v>
      </c>
      <c r="B10" s="11" t="str">
        <f t="shared" ca="1" si="0"/>
        <v>57466</v>
      </c>
      <c r="C10">
        <v>57488</v>
      </c>
      <c r="D10" t="s">
        <v>56</v>
      </c>
      <c r="E10" t="s">
        <v>879</v>
      </c>
      <c r="F10" t="s">
        <v>25</v>
      </c>
      <c r="G10" t="s">
        <v>764</v>
      </c>
      <c r="H10" t="s">
        <v>552</v>
      </c>
      <c r="J10" s="6">
        <v>42101.363981481481</v>
      </c>
      <c r="K10" t="s">
        <v>874</v>
      </c>
      <c r="L10" t="s">
        <v>324</v>
      </c>
      <c r="M10" s="6">
        <v>42054.7030787037</v>
      </c>
      <c r="N10" t="s">
        <v>801</v>
      </c>
      <c r="Q10" t="s">
        <v>201</v>
      </c>
      <c r="R10" t="s">
        <v>247</v>
      </c>
      <c r="S10" t="s">
        <v>220</v>
      </c>
      <c r="T10" t="s">
        <v>219</v>
      </c>
      <c r="V10" t="s">
        <v>121</v>
      </c>
      <c r="W10" t="s">
        <v>327</v>
      </c>
      <c r="X10" t="s">
        <v>121</v>
      </c>
      <c r="Y10" t="s">
        <v>716</v>
      </c>
    </row>
    <row r="11" spans="1:25" x14ac:dyDescent="0.3">
      <c r="A11" t="s">
        <v>274</v>
      </c>
      <c r="B11" s="11" t="str">
        <f t="shared" ca="1" si="0"/>
        <v>57500</v>
      </c>
      <c r="C11">
        <v>57748</v>
      </c>
      <c r="D11" t="s">
        <v>43</v>
      </c>
      <c r="E11" t="s">
        <v>885</v>
      </c>
      <c r="F11" t="s">
        <v>25</v>
      </c>
      <c r="G11" t="s">
        <v>251</v>
      </c>
      <c r="H11" t="s">
        <v>765</v>
      </c>
      <c r="J11" s="6">
        <v>42069.583437499998</v>
      </c>
      <c r="K11" t="s">
        <v>35</v>
      </c>
      <c r="L11" t="s">
        <v>764</v>
      </c>
      <c r="M11" s="6">
        <v>42054.964317129627</v>
      </c>
      <c r="N11" t="s">
        <v>124</v>
      </c>
      <c r="Q11" t="s">
        <v>200</v>
      </c>
      <c r="R11" t="s">
        <v>247</v>
      </c>
      <c r="S11" t="s">
        <v>220</v>
      </c>
      <c r="T11" t="s">
        <v>219</v>
      </c>
      <c r="V11" t="s">
        <v>121</v>
      </c>
      <c r="W11" t="s">
        <v>327</v>
      </c>
      <c r="X11" t="s">
        <v>121</v>
      </c>
      <c r="Y11" t="s">
        <v>715</v>
      </c>
    </row>
    <row r="12" spans="1:25" x14ac:dyDescent="0.3">
      <c r="A12" t="s">
        <v>274</v>
      </c>
      <c r="B12" s="11" t="str">
        <f t="shared" ca="1" si="0"/>
        <v>57332</v>
      </c>
      <c r="C12">
        <v>57544</v>
      </c>
      <c r="D12" t="s">
        <v>43</v>
      </c>
      <c r="E12" t="s">
        <v>878</v>
      </c>
      <c r="F12" t="s">
        <v>25</v>
      </c>
      <c r="G12" t="s">
        <v>764</v>
      </c>
      <c r="H12" t="s">
        <v>552</v>
      </c>
      <c r="J12" s="6">
        <v>42101.348993055559</v>
      </c>
      <c r="K12" t="s">
        <v>874</v>
      </c>
      <c r="L12" t="s">
        <v>372</v>
      </c>
      <c r="M12" s="6">
        <v>42055.263796296298</v>
      </c>
      <c r="N12" t="s">
        <v>801</v>
      </c>
      <c r="Q12" t="s">
        <v>201</v>
      </c>
      <c r="R12" t="s">
        <v>247</v>
      </c>
      <c r="S12" t="s">
        <v>220</v>
      </c>
      <c r="T12" t="s">
        <v>223</v>
      </c>
      <c r="V12" t="s">
        <v>121</v>
      </c>
      <c r="W12" t="s">
        <v>327</v>
      </c>
      <c r="X12" t="s">
        <v>121</v>
      </c>
      <c r="Y12" t="s">
        <v>716</v>
      </c>
    </row>
    <row r="13" spans="1:25" x14ac:dyDescent="0.3">
      <c r="A13" t="s">
        <v>890</v>
      </c>
      <c r="B13" s="11" t="str">
        <f t="shared" ca="1" si="0"/>
        <v>58260</v>
      </c>
      <c r="C13">
        <v>58281</v>
      </c>
      <c r="D13" t="s">
        <v>188</v>
      </c>
      <c r="E13" t="s">
        <v>877</v>
      </c>
      <c r="F13" t="s">
        <v>39</v>
      </c>
      <c r="G13" t="s">
        <v>764</v>
      </c>
      <c r="H13" t="s">
        <v>552</v>
      </c>
      <c r="J13" s="6">
        <v>42101.361157407409</v>
      </c>
      <c r="K13" t="s">
        <v>874</v>
      </c>
      <c r="L13" t="s">
        <v>372</v>
      </c>
      <c r="M13" s="6">
        <v>42069.014641203707</v>
      </c>
      <c r="N13" t="s">
        <v>246</v>
      </c>
      <c r="Q13" t="s">
        <v>200</v>
      </c>
      <c r="R13" t="s">
        <v>247</v>
      </c>
      <c r="S13" t="s">
        <v>220</v>
      </c>
      <c r="T13" t="s">
        <v>229</v>
      </c>
      <c r="V13" t="s">
        <v>121</v>
      </c>
      <c r="W13" t="s">
        <v>328</v>
      </c>
      <c r="X13" t="s">
        <v>121</v>
      </c>
      <c r="Y13" t="s">
        <v>715</v>
      </c>
    </row>
    <row r="14" spans="1:25" x14ac:dyDescent="0.3">
      <c r="A14" t="s">
        <v>890</v>
      </c>
      <c r="B14" s="11" t="str">
        <f t="shared" ca="1" si="0"/>
        <v>56399</v>
      </c>
      <c r="C14">
        <v>58468</v>
      </c>
      <c r="D14" t="s">
        <v>68</v>
      </c>
      <c r="E14" t="s">
        <v>800</v>
      </c>
      <c r="F14" t="s">
        <v>25</v>
      </c>
      <c r="G14" t="s">
        <v>579</v>
      </c>
      <c r="H14" t="s">
        <v>784</v>
      </c>
      <c r="I14" t="s">
        <v>816</v>
      </c>
      <c r="J14" s="6">
        <v>42109.360590277778</v>
      </c>
      <c r="K14" t="s">
        <v>35</v>
      </c>
      <c r="L14" t="s">
        <v>576</v>
      </c>
      <c r="M14" s="6">
        <v>42073.574074074073</v>
      </c>
      <c r="N14" t="s">
        <v>255</v>
      </c>
      <c r="O14" t="s">
        <v>125</v>
      </c>
      <c r="Q14" t="s">
        <v>200</v>
      </c>
      <c r="R14" t="s">
        <v>247</v>
      </c>
      <c r="S14" t="s">
        <v>220</v>
      </c>
      <c r="T14" t="s">
        <v>229</v>
      </c>
      <c r="V14" t="s">
        <v>121</v>
      </c>
      <c r="W14" t="s">
        <v>327</v>
      </c>
      <c r="X14" t="s">
        <v>362</v>
      </c>
      <c r="Y14" t="s">
        <v>715</v>
      </c>
    </row>
    <row r="15" spans="1:25" x14ac:dyDescent="0.3">
      <c r="A15" t="s">
        <v>274</v>
      </c>
      <c r="B15" s="11" t="str">
        <f t="shared" ca="1" si="0"/>
        <v>58924</v>
      </c>
      <c r="C15">
        <v>58935</v>
      </c>
      <c r="D15" t="s">
        <v>53</v>
      </c>
      <c r="E15" t="s">
        <v>876</v>
      </c>
      <c r="F15" t="s">
        <v>39</v>
      </c>
      <c r="G15" t="s">
        <v>764</v>
      </c>
      <c r="H15" t="s">
        <v>552</v>
      </c>
      <c r="I15" t="s">
        <v>875</v>
      </c>
      <c r="J15" s="6">
        <v>42101.348333333335</v>
      </c>
      <c r="K15" t="s">
        <v>874</v>
      </c>
      <c r="L15" t="s">
        <v>372</v>
      </c>
      <c r="M15" s="6">
        <v>42081.014953703707</v>
      </c>
      <c r="N15" t="s">
        <v>801</v>
      </c>
      <c r="Q15" t="s">
        <v>201</v>
      </c>
      <c r="R15" t="s">
        <v>247</v>
      </c>
      <c r="S15" t="s">
        <v>220</v>
      </c>
      <c r="T15" t="s">
        <v>219</v>
      </c>
      <c r="V15" t="s">
        <v>121</v>
      </c>
      <c r="W15" t="s">
        <v>327</v>
      </c>
      <c r="X15" t="s">
        <v>121</v>
      </c>
      <c r="Y15" t="s">
        <v>715</v>
      </c>
    </row>
    <row r="16" spans="1:25" x14ac:dyDescent="0.3">
      <c r="A16" t="s">
        <v>274</v>
      </c>
      <c r="B16" s="11" t="str">
        <f t="shared" ca="1" si="0"/>
        <v>58968</v>
      </c>
      <c r="C16">
        <v>58986</v>
      </c>
      <c r="D16" t="s">
        <v>21</v>
      </c>
      <c r="E16" t="s">
        <v>886</v>
      </c>
      <c r="F16" t="s">
        <v>39</v>
      </c>
      <c r="G16" t="s">
        <v>251</v>
      </c>
      <c r="H16" t="s">
        <v>33</v>
      </c>
      <c r="J16" s="6">
        <v>42093.406377314815</v>
      </c>
      <c r="K16" t="s">
        <v>795</v>
      </c>
      <c r="L16" t="s">
        <v>783</v>
      </c>
      <c r="M16" s="6">
        <v>42081.284456018519</v>
      </c>
      <c r="N16" t="s">
        <v>119</v>
      </c>
      <c r="Q16" t="s">
        <v>200</v>
      </c>
      <c r="R16" t="s">
        <v>247</v>
      </c>
      <c r="S16" t="s">
        <v>222</v>
      </c>
      <c r="T16" t="s">
        <v>221</v>
      </c>
      <c r="V16" t="s">
        <v>121</v>
      </c>
      <c r="W16" t="s">
        <v>327</v>
      </c>
      <c r="X16" t="s">
        <v>121</v>
      </c>
      <c r="Y16" t="s">
        <v>715</v>
      </c>
    </row>
    <row r="17" spans="1:26" x14ac:dyDescent="0.3">
      <c r="A17" t="s">
        <v>274</v>
      </c>
      <c r="B17" s="11" t="str">
        <f t="shared" ca="1" si="0"/>
        <v>60357</v>
      </c>
      <c r="C17">
        <v>60452</v>
      </c>
      <c r="D17" t="s">
        <v>45</v>
      </c>
      <c r="E17" t="s">
        <v>873</v>
      </c>
      <c r="F17" t="s">
        <v>25</v>
      </c>
      <c r="G17" t="s">
        <v>579</v>
      </c>
      <c r="H17" t="s">
        <v>45</v>
      </c>
      <c r="I17" t="s">
        <v>872</v>
      </c>
      <c r="J17" s="6">
        <v>42109.343877314815</v>
      </c>
      <c r="K17" t="s">
        <v>35</v>
      </c>
      <c r="L17" t="s">
        <v>783</v>
      </c>
      <c r="M17" s="6">
        <v>42108.481296296297</v>
      </c>
      <c r="N17" t="s">
        <v>246</v>
      </c>
      <c r="Q17" t="s">
        <v>201</v>
      </c>
      <c r="R17" t="s">
        <v>247</v>
      </c>
      <c r="S17" t="s">
        <v>227</v>
      </c>
      <c r="T17" t="s">
        <v>226</v>
      </c>
      <c r="V17" t="s">
        <v>121</v>
      </c>
      <c r="W17" t="s">
        <v>327</v>
      </c>
      <c r="X17" t="s">
        <v>121</v>
      </c>
      <c r="Y17" t="s">
        <v>716</v>
      </c>
    </row>
    <row r="18" spans="1:26" x14ac:dyDescent="0.3">
      <c r="A18" t="s">
        <v>274</v>
      </c>
      <c r="B18" s="11" t="str">
        <f t="shared" ca="1" si="0"/>
        <v>56495</v>
      </c>
      <c r="C18">
        <v>57556</v>
      </c>
      <c r="D18" t="s">
        <v>22</v>
      </c>
      <c r="E18" t="s">
        <v>752</v>
      </c>
      <c r="F18" t="s">
        <v>25</v>
      </c>
      <c r="G18" t="s">
        <v>579</v>
      </c>
      <c r="H18" t="s">
        <v>552</v>
      </c>
      <c r="I18" t="s">
        <v>866</v>
      </c>
      <c r="J18" s="6">
        <v>42107.304756944446</v>
      </c>
      <c r="K18" t="s">
        <v>18</v>
      </c>
      <c r="L18" t="s">
        <v>372</v>
      </c>
      <c r="M18" s="6">
        <v>42055.264976851853</v>
      </c>
      <c r="N18" t="s">
        <v>792</v>
      </c>
      <c r="Q18" t="s">
        <v>200</v>
      </c>
      <c r="R18" t="s">
        <v>247</v>
      </c>
      <c r="S18" t="s">
        <v>222</v>
      </c>
      <c r="T18" t="s">
        <v>240</v>
      </c>
      <c r="V18" t="s">
        <v>121</v>
      </c>
      <c r="W18" t="s">
        <v>327</v>
      </c>
      <c r="X18" t="s">
        <v>362</v>
      </c>
      <c r="Y18" t="s">
        <v>715</v>
      </c>
      <c r="Z18" t="s">
        <v>121</v>
      </c>
    </row>
    <row r="19" spans="1:26" x14ac:dyDescent="0.3">
      <c r="B19" s="11" t="str">
        <f t="shared" ca="1" si="0"/>
        <v/>
      </c>
    </row>
    <row r="20" spans="1:26" x14ac:dyDescent="0.3">
      <c r="A20" t="s">
        <v>274</v>
      </c>
      <c r="B20" s="11" t="str">
        <f t="shared" ca="1" si="0"/>
        <v>60453</v>
      </c>
      <c r="C20">
        <v>60579</v>
      </c>
      <c r="D20" t="s">
        <v>45</v>
      </c>
      <c r="E20" t="s">
        <v>927</v>
      </c>
      <c r="F20" t="s">
        <v>25</v>
      </c>
      <c r="G20" t="s">
        <v>783</v>
      </c>
      <c r="H20" t="s">
        <v>783</v>
      </c>
      <c r="I20" t="s">
        <v>246</v>
      </c>
      <c r="L20" t="s">
        <v>201</v>
      </c>
      <c r="M20" t="s">
        <v>247</v>
      </c>
      <c r="N20" t="s">
        <v>227</v>
      </c>
      <c r="O20" t="s">
        <v>226</v>
      </c>
      <c r="Q20" t="s">
        <v>121</v>
      </c>
      <c r="R20" t="s">
        <v>327</v>
      </c>
      <c r="S20" t="s">
        <v>121</v>
      </c>
      <c r="T20" t="s">
        <v>715</v>
      </c>
    </row>
    <row r="22" spans="1:26" x14ac:dyDescent="0.3">
      <c r="A22" t="s">
        <v>274</v>
      </c>
      <c r="B22" t="str">
        <f t="shared" ref="B22:B27" ca="1" si="1">HYPERLINK(CONCATENATE("https://bugzilla.houston.hp.com:1181/bugzilla/show_bug.cgi?id=",MID(INDIRECT("e"&amp;ROW()),9,5)),MID(INDIRECT("e"&amp;ROW()),9,5))</f>
        <v>49170</v>
      </c>
      <c r="C22" s="11">
        <v>62036</v>
      </c>
      <c r="D22" s="11" t="s">
        <v>53</v>
      </c>
      <c r="E22" t="s">
        <v>1016</v>
      </c>
    </row>
    <row r="23" spans="1:26" x14ac:dyDescent="0.3">
      <c r="A23" t="s">
        <v>274</v>
      </c>
      <c r="B23" t="str">
        <f t="shared" ca="1" si="1"/>
        <v>63582</v>
      </c>
      <c r="C23">
        <v>63583</v>
      </c>
      <c r="D23" s="11" t="s">
        <v>292</v>
      </c>
      <c r="E23" s="11" t="s">
        <v>1203</v>
      </c>
    </row>
    <row r="24" spans="1:26" x14ac:dyDescent="0.3">
      <c r="A24" t="s">
        <v>274</v>
      </c>
      <c r="B24" t="str">
        <f t="shared" ca="1" si="1"/>
        <v>62801</v>
      </c>
      <c r="C24">
        <v>62805</v>
      </c>
      <c r="D24" s="11" t="s">
        <v>1204</v>
      </c>
      <c r="E24" s="11" t="s">
        <v>1100</v>
      </c>
    </row>
    <row r="25" spans="1:26" x14ac:dyDescent="0.3">
      <c r="A25" t="s">
        <v>274</v>
      </c>
      <c r="B25" t="str">
        <f t="shared" ca="1" si="1"/>
        <v>63181</v>
      </c>
      <c r="C25">
        <v>63190</v>
      </c>
      <c r="D25" s="11" t="s">
        <v>21</v>
      </c>
      <c r="E25" s="26" t="s">
        <v>1205</v>
      </c>
    </row>
    <row r="26" spans="1:26" x14ac:dyDescent="0.3">
      <c r="A26" t="s">
        <v>274</v>
      </c>
      <c r="B26" t="str">
        <f t="shared" ca="1" si="1"/>
        <v>60468</v>
      </c>
      <c r="C26">
        <v>62268</v>
      </c>
      <c r="D26" t="s">
        <v>45</v>
      </c>
      <c r="E26" t="s">
        <v>1038</v>
      </c>
      <c r="F26" t="s">
        <v>25</v>
      </c>
      <c r="G26" t="s">
        <v>783</v>
      </c>
      <c r="H26" t="s">
        <v>552</v>
      </c>
      <c r="J26" s="6">
        <v>42166.530347222222</v>
      </c>
      <c r="K26" t="s">
        <v>795</v>
      </c>
      <c r="L26" t="s">
        <v>57</v>
      </c>
      <c r="M26" s="6">
        <v>42136.578576388885</v>
      </c>
      <c r="N26" t="s">
        <v>1026</v>
      </c>
      <c r="Q26" t="s">
        <v>200</v>
      </c>
      <c r="R26" t="s">
        <v>247</v>
      </c>
      <c r="S26" t="s">
        <v>220</v>
      </c>
      <c r="T26" t="s">
        <v>290</v>
      </c>
      <c r="V26" t="s">
        <v>588</v>
      </c>
      <c r="W26" t="s">
        <v>327</v>
      </c>
      <c r="X26" t="s">
        <v>121</v>
      </c>
      <c r="Y26" t="s">
        <v>715</v>
      </c>
      <c r="Z26" t="s">
        <v>1255</v>
      </c>
    </row>
    <row r="27" spans="1:26" x14ac:dyDescent="0.3">
      <c r="B27" t="str">
        <f t="shared" ca="1" si="1"/>
        <v>55766</v>
      </c>
      <c r="C27">
        <v>63891</v>
      </c>
      <c r="D27" t="s">
        <v>187</v>
      </c>
      <c r="E27" s="26" t="s">
        <v>1254</v>
      </c>
    </row>
    <row r="31" spans="1:26" x14ac:dyDescent="0.3">
      <c r="C31">
        <f>SUBTOTAL(3,C2:C28)</f>
        <v>24</v>
      </c>
    </row>
  </sheetData>
  <autoFilter ref="A1:G18"/>
  <conditionalFormatting sqref="C20">
    <cfRule type="expression" dxfId="2" priority="1">
      <formula>IF(AND(F20="normal",OR(Q20="high",Q20="medium")),TRUE,FALSE)</formula>
    </cfRule>
    <cfRule type="expression" dxfId="1" priority="2">
      <formula>IF(AND(F20="major",Q20="low"),TRUE,FALSE)</formula>
    </cfRule>
    <cfRule type="expression" dxfId="0" priority="3">
      <formula>IF(OR(F20="blocker",F20="critical",AND(F20="major",OR(Q20="high",Q20="medium"))),TRUE,FALSE)</formula>
    </cfRule>
  </conditionalFormatting>
  <hyperlinks>
    <hyperlink ref="C22" r:id="rId1" display="https://bugzilla.houston.hp.com:1181/bugzilla/show_bug.cgi?id=62036"/>
    <hyperlink ref="E23" r:id="rId2" display="https://bugzilla.houston.hp.com:1181/bugzilla/show_bug.cgi?id=63583"/>
    <hyperlink ref="D23" r:id="rId3"/>
    <hyperlink ref="D22" r:id="rId4"/>
    <hyperlink ref="E24" r:id="rId5" display="https://bugzilla.houston.hp.com:1181/bugzilla/show_bug.cgi?id=62805"/>
    <hyperlink ref="D24" r:id="rId6"/>
    <hyperlink ref="E25" r:id="rId7" display="https://bugzilla.houston.hp.com:1181/bugzilla/show_bug.cgi?id=63190"/>
    <hyperlink ref="D25" r:id="rId8"/>
    <hyperlink ref="E27" r:id="rId9" display="https://bugzilla.houston.hp.com:1181/bugzilla/show_bug.cgi?id=63891"/>
  </hyperlinks>
  <pageMargins left="0.7" right="0.7" top="0.75" bottom="0.75" header="0.3" footer="0.3"/>
  <pageSetup orientation="portrait" r:id="rId1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M841"/>
  <sheetViews>
    <sheetView workbookViewId="0">
      <selection activeCell="B2" sqref="B2"/>
    </sheetView>
  </sheetViews>
  <sheetFormatPr defaultRowHeight="14.4" x14ac:dyDescent="0.3"/>
  <cols>
    <col min="2" max="2" width="25.6640625" bestFit="1" customWidth="1"/>
    <col min="4" max="4" width="18.77734375" customWidth="1"/>
    <col min="9" max="10" width="8.88671875" customWidth="1"/>
    <col min="11" max="12" width="4.77734375" customWidth="1"/>
    <col min="13" max="13" width="8" bestFit="1" customWidth="1"/>
    <col min="14" max="14" width="8.88671875" customWidth="1"/>
    <col min="15" max="15" width="18.77734375" customWidth="1"/>
    <col min="16" max="16" width="117.21875" customWidth="1"/>
    <col min="17" max="17" width="9.6640625" bestFit="1" customWidth="1"/>
    <col min="18" max="18" width="25.44140625" bestFit="1" customWidth="1"/>
    <col min="19" max="19" width="31.77734375" bestFit="1" customWidth="1"/>
    <col min="20" max="20" width="85.5546875" bestFit="1" customWidth="1"/>
    <col min="21" max="21" width="15.6640625" bestFit="1" customWidth="1"/>
    <col min="22" max="22" width="10" bestFit="1" customWidth="1"/>
    <col min="23" max="23" width="25.6640625" bestFit="1" customWidth="1"/>
    <col min="24" max="24" width="15.6640625" bestFit="1" customWidth="1"/>
  </cols>
  <sheetData>
    <row r="1" spans="1:39" x14ac:dyDescent="0.3">
      <c r="A1" s="1" t="s">
        <v>0</v>
      </c>
      <c r="B1" s="1" t="s">
        <v>1</v>
      </c>
      <c r="C1" s="1" t="s">
        <v>0</v>
      </c>
      <c r="D1" s="1" t="s">
        <v>2</v>
      </c>
      <c r="E1" s="1" t="s">
        <v>165</v>
      </c>
      <c r="F1" s="1" t="s">
        <v>3</v>
      </c>
      <c r="G1" s="1" t="s">
        <v>4</v>
      </c>
      <c r="H1" s="1" t="s">
        <v>373</v>
      </c>
      <c r="I1" t="s">
        <v>267</v>
      </c>
      <c r="J1" t="s">
        <v>346</v>
      </c>
      <c r="K1" t="s">
        <v>86</v>
      </c>
      <c r="L1" t="s">
        <v>87</v>
      </c>
      <c r="M1" t="s">
        <v>1123</v>
      </c>
      <c r="N1" t="s">
        <v>5</v>
      </c>
      <c r="O1" t="s">
        <v>6</v>
      </c>
      <c r="P1" t="s">
        <v>7</v>
      </c>
      <c r="Q1" t="s">
        <v>8</v>
      </c>
      <c r="R1" t="s">
        <v>9</v>
      </c>
      <c r="S1" t="s">
        <v>10</v>
      </c>
      <c r="T1" t="s">
        <v>11</v>
      </c>
      <c r="U1" t="s">
        <v>12</v>
      </c>
      <c r="V1" t="s">
        <v>13</v>
      </c>
      <c r="W1" t="s">
        <v>14</v>
      </c>
      <c r="X1" t="s">
        <v>90</v>
      </c>
      <c r="Y1" t="s">
        <v>116</v>
      </c>
      <c r="Z1" t="s">
        <v>117</v>
      </c>
      <c r="AA1" t="s">
        <v>185</v>
      </c>
      <c r="AB1" t="s">
        <v>202</v>
      </c>
      <c r="AC1" t="s">
        <v>218</v>
      </c>
      <c r="AD1" t="s">
        <v>235</v>
      </c>
      <c r="AE1" t="s">
        <v>234</v>
      </c>
      <c r="AF1" t="s">
        <v>259</v>
      </c>
      <c r="AG1" t="s">
        <v>325</v>
      </c>
      <c r="AH1" t="s">
        <v>329</v>
      </c>
      <c r="AI1" t="s">
        <v>361</v>
      </c>
      <c r="AJ1" t="s">
        <v>714</v>
      </c>
      <c r="AK1" t="s">
        <v>1331</v>
      </c>
      <c r="AL1" t="s">
        <v>1332</v>
      </c>
      <c r="AM1" t="s">
        <v>1333</v>
      </c>
    </row>
    <row r="2" spans="1:39" x14ac:dyDescent="0.3">
      <c r="A2" s="2">
        <f ca="1">COUNTIF(INDIRECT(A68&amp;A67):INDIRECT(A69&amp;A66),INDIRECT("b"&amp;ROW()))</f>
        <v>292</v>
      </c>
      <c r="B2" s="2" t="str">
        <f>Assignees!C1</f>
        <v>Astra</v>
      </c>
      <c r="C2" s="3">
        <f ca="1">COUNTIF(INDIRECT(A71&amp;A67):INDIRECT(A71&amp;A66),INDIRECT("d"&amp;ROW()))</f>
        <v>10</v>
      </c>
      <c r="D2" s="3" t="str">
        <f>Assignees!D1</f>
        <v>Astra</v>
      </c>
      <c r="E2" s="16">
        <f ca="1">COUNTIFS(INDIRECT(A71&amp;A67):INDIRECT(A71&amp;A66),INDIRECT("d"&amp;ROW()),INDIRECT(A73&amp;A67):INDIRECT(A73&amp;A66),E1)</f>
        <v>0</v>
      </c>
      <c r="F2" s="4">
        <f ca="1">COUNTIFS(INDIRECT(A71&amp;A67):INDIRECT(A71&amp;A66),INDIRECT("d"&amp;ROW()),INDIRECT(A73&amp;A67):INDIRECT(A73&amp;A66),F1)</f>
        <v>0</v>
      </c>
      <c r="G2" s="3">
        <f ca="1">COUNTIFS(INDIRECT(A71&amp;A67):INDIRECT(A71&amp;A66),INDIRECT("d"&amp;ROW()),INDIRECT(A73&amp;A67):INDIRECT(A73&amp;A66),G1)</f>
        <v>4</v>
      </c>
      <c r="H2" s="5">
        <f ca="1">COUNTIFS(INDIRECT(A71&amp;A67):INDIRECT(A71&amp;A66),INDIRECT("d"&amp;ROW()),INDIRECT(A73&amp;A67):INDIRECT(A73&amp;A66),H1)</f>
        <v>6</v>
      </c>
      <c r="I2">
        <f ca="1">IF(OR(INDIRECT(A73&amp;ROW())=B93,INDIRECT(A73&amp;ROW())=B94),1,IF(AND(INDIRECT(A73&amp;ROW())=B95,INDIRECT(A96&amp;ROW())=C93),1,IF(AND(INDIRECT(A73&amp;ROW())=B95,INDIRECT(A96&amp;ROW())=C94),1,0)))</f>
        <v>0</v>
      </c>
      <c r="J2">
        <f ca="1">IF(AND(INDIRECT(A73&amp;ROW())=B95,INDIRECT(A96&amp;ROW())=C95),1,IF(AND(INDIRECT(A73&amp;ROW())=B95,INDIRECT(A96&amp;ROW())=C96),1,0))</f>
        <v>0</v>
      </c>
      <c r="K2">
        <f ca="1">DAYS360(INDIRECT(C68&amp;ROW()),TODAY())</f>
        <v>687</v>
      </c>
      <c r="L2">
        <f ca="1">DAYS360(INDIRECT(C69&amp;ROW()),TODAY())</f>
        <v>1467</v>
      </c>
      <c r="M2" s="11">
        <f ca="1">HYPERLINK(CONCATENATE("https://bugzilla.houston.hp.com:1181/bugzilla/show_bug.cgi?id=",INDIRECT(C70&amp;ROW())),INDIRECT(C70&amp;ROW()))</f>
        <v>29330</v>
      </c>
      <c r="N2">
        <v>29330</v>
      </c>
      <c r="O2" t="s">
        <v>56</v>
      </c>
      <c r="P2" t="s">
        <v>1334</v>
      </c>
      <c r="Q2" t="s">
        <v>16</v>
      </c>
      <c r="R2" t="s">
        <v>251</v>
      </c>
      <c r="S2" t="s">
        <v>66</v>
      </c>
      <c r="T2" t="s">
        <v>48</v>
      </c>
      <c r="U2" s="6">
        <v>42160.447615740741</v>
      </c>
      <c r="V2" t="s">
        <v>35</v>
      </c>
      <c r="W2" t="s">
        <v>60</v>
      </c>
      <c r="X2" s="6">
        <v>41369.476585648146</v>
      </c>
      <c r="Y2" t="s">
        <v>122</v>
      </c>
      <c r="AB2" t="s">
        <v>201</v>
      </c>
      <c r="AC2" t="s">
        <v>121</v>
      </c>
      <c r="AD2" t="s">
        <v>220</v>
      </c>
      <c r="AE2" t="s">
        <v>219</v>
      </c>
      <c r="AG2" t="s">
        <v>121</v>
      </c>
      <c r="AH2" t="s">
        <v>327</v>
      </c>
      <c r="AI2" t="s">
        <v>121</v>
      </c>
      <c r="AJ2" t="s">
        <v>717</v>
      </c>
      <c r="AK2" t="s">
        <v>121</v>
      </c>
      <c r="AL2" t="s">
        <v>121</v>
      </c>
      <c r="AM2" t="s">
        <v>121</v>
      </c>
    </row>
    <row r="3" spans="1:39" x14ac:dyDescent="0.3">
      <c r="A3" s="2">
        <f ca="1">COUNTIF(INDIRECT(A68&amp;A67):INDIRECT(A69&amp;A66),INDIRECT("b"&amp;ROW()))</f>
        <v>2</v>
      </c>
      <c r="B3" s="2" t="str">
        <f>Assignees!C2</f>
        <v>Astra-IR7</v>
      </c>
      <c r="C3" s="3">
        <f ca="1">COUNTIF(INDIRECT(A71&amp;A67):INDIRECT(A71&amp;A66),INDIRECT("d"&amp;ROW()))</f>
        <v>271</v>
      </c>
      <c r="D3" s="3" t="str">
        <f>Assignees!D2</f>
        <v>Atlas</v>
      </c>
      <c r="E3" s="16">
        <f ca="1">COUNTIFS(INDIRECT(A71&amp;A67):INDIRECT(A71&amp;A66),INDIRECT("d"&amp;ROW()),INDIRECT(A73&amp;A67):INDIRECT(A73&amp;A66),E1)</f>
        <v>2</v>
      </c>
      <c r="F3" s="4">
        <f ca="1">COUNTIFS(INDIRECT(A71&amp;A67):INDIRECT(A71&amp;A66),INDIRECT("d"&amp;ROW()),INDIRECT(A73&amp;A67):INDIRECT(A73&amp;A66),F1)</f>
        <v>23</v>
      </c>
      <c r="G3" s="3">
        <f ca="1">COUNTIFS(INDIRECT(A71&amp;A67):INDIRECT(A71&amp;A66),INDIRECT("d"&amp;ROW()),INDIRECT(A73&amp;A67):INDIRECT(A73&amp;A66),G1)</f>
        <v>114</v>
      </c>
      <c r="H3" s="5">
        <f ca="1">COUNTIFS(INDIRECT(A71&amp;A67):INDIRECT(A71&amp;A66),INDIRECT("d"&amp;ROW()),INDIRECT(A73&amp;A67):INDIRECT(A73&amp;A66),H1)</f>
        <v>132</v>
      </c>
      <c r="I3">
        <f ca="1">IF(OR(INDIRECT(A73&amp;ROW())=B93,INDIRECT(A73&amp;ROW())=B94),1,IF(AND(INDIRECT(A73&amp;ROW())=B95,INDIRECT(A96&amp;ROW())=C93),1,IF(AND(INDIRECT(A73&amp;ROW())=B95,INDIRECT(A96&amp;ROW())=C94),1,0)))</f>
        <v>0</v>
      </c>
      <c r="J3">
        <f ca="1">IF(AND(INDIRECT(A73&amp;ROW())=B95,INDIRECT(A96&amp;ROW())=C95),1,IF(AND(INDIRECT(A73&amp;ROW())=B95,INDIRECT(A96&amp;ROW())=C96),1,0))</f>
        <v>0</v>
      </c>
      <c r="K3">
        <f ca="1">DAYS360(INDIRECT(C68&amp;ROW()),TODAY())</f>
        <v>615</v>
      </c>
      <c r="L3">
        <f ca="1">DAYS360(INDIRECT(C69&amp;ROW()),TODAY())</f>
        <v>1460</v>
      </c>
      <c r="M3" s="11">
        <f ca="1">HYPERLINK(CONCATENATE("https://bugzilla.houston.hp.com:1181/bugzilla/show_bug.cgi?id=",INDIRECT(C70&amp;ROW())),INDIRECT(C70&amp;ROW()))</f>
        <v>29548</v>
      </c>
      <c r="N3">
        <v>29548</v>
      </c>
      <c r="O3" t="s">
        <v>56</v>
      </c>
      <c r="P3" t="s">
        <v>1335</v>
      </c>
      <c r="Q3" t="s">
        <v>16</v>
      </c>
      <c r="R3" t="s">
        <v>251</v>
      </c>
      <c r="S3" t="s">
        <v>43</v>
      </c>
      <c r="T3" t="s">
        <v>794</v>
      </c>
      <c r="U3" s="6">
        <v>42233.515011574076</v>
      </c>
      <c r="V3" t="s">
        <v>18</v>
      </c>
      <c r="W3" t="s">
        <v>173</v>
      </c>
      <c r="X3" s="6">
        <v>41376.462766203702</v>
      </c>
      <c r="Y3" t="s">
        <v>122</v>
      </c>
      <c r="AB3" t="s">
        <v>201</v>
      </c>
      <c r="AC3" t="s">
        <v>121</v>
      </c>
      <c r="AD3" t="s">
        <v>222</v>
      </c>
      <c r="AE3" t="s">
        <v>221</v>
      </c>
      <c r="AG3" t="s">
        <v>121</v>
      </c>
      <c r="AH3" t="s">
        <v>327</v>
      </c>
      <c r="AI3" t="s">
        <v>121</v>
      </c>
      <c r="AJ3" t="s">
        <v>717</v>
      </c>
      <c r="AK3" t="s">
        <v>121</v>
      </c>
      <c r="AL3" t="s">
        <v>121</v>
      </c>
      <c r="AM3" t="s">
        <v>121</v>
      </c>
    </row>
    <row r="4" spans="1:39" x14ac:dyDescent="0.3">
      <c r="A4" s="2">
        <f ca="1">COUNTIF(INDIRECT(A68&amp;A67):INDIRECT(A69&amp;A66),INDIRECT("b"&amp;ROW()))</f>
        <v>2</v>
      </c>
      <c r="B4" s="2" t="str">
        <f>Assignees!C3</f>
        <v>Astra-IR8</v>
      </c>
      <c r="C4" s="3">
        <f ca="1">COUNTIF(INDIRECT(A71&amp;A67):INDIRECT(A71&amp;A66),INDIRECT("d"&amp;ROW()))</f>
        <v>0</v>
      </c>
      <c r="D4" s="3" t="str">
        <f>Assignees!D3</f>
        <v>Bellatrix</v>
      </c>
      <c r="E4" s="16">
        <f ca="1">COUNTIFS(INDIRECT(A71&amp;A67):INDIRECT(A71&amp;A66),INDIRECT("d"&amp;ROW()),INDIRECT(A73&amp;A67):INDIRECT(A73&amp;A66),E1)</f>
        <v>0</v>
      </c>
      <c r="F4" s="4">
        <f ca="1">COUNTIFS(INDIRECT(A71&amp;A67):INDIRECT(A71&amp;A66),INDIRECT("d"&amp;ROW()),INDIRECT(A73&amp;A67):INDIRECT(A73&amp;A66),F1)</f>
        <v>0</v>
      </c>
      <c r="G4" s="3">
        <f ca="1">COUNTIFS(INDIRECT(A71&amp;A67):INDIRECT(A71&amp;A66),INDIRECT("d"&amp;ROW()),INDIRECT(A73&amp;A67):INDIRECT(A73&amp;A66),G1)</f>
        <v>0</v>
      </c>
      <c r="H4" s="5">
        <f ca="1">COUNTIFS(INDIRECT(A71&amp;A67):INDIRECT(A71&amp;A66),INDIRECT("d"&amp;ROW()),INDIRECT(A73&amp;A67):INDIRECT(A73&amp;A66),H1)</f>
        <v>0</v>
      </c>
      <c r="I4">
        <f ca="1">IF(OR(INDIRECT(A73&amp;ROW())=B93,INDIRECT(A73&amp;ROW())=B94),1,IF(AND(INDIRECT(A73&amp;ROW())=B95,INDIRECT(A96&amp;ROW())=C93),1,IF(AND(INDIRECT(A73&amp;ROW())=B95,INDIRECT(A96&amp;ROW())=C94),1,0)))</f>
        <v>0</v>
      </c>
      <c r="J4">
        <f ca="1">IF(AND(INDIRECT(A73&amp;ROW())=B95,INDIRECT(A96&amp;ROW())=C95),1,IF(AND(INDIRECT(A73&amp;ROW())=B95,INDIRECT(A96&amp;ROW())=C96),1,0))</f>
        <v>0</v>
      </c>
      <c r="K4">
        <f ca="1">DAYS360(INDIRECT(C68&amp;ROW()),TODAY())</f>
        <v>615</v>
      </c>
      <c r="L4">
        <f ca="1">DAYS360(INDIRECT(C69&amp;ROW()),TODAY())</f>
        <v>1443</v>
      </c>
      <c r="M4" s="11">
        <f ca="1">HYPERLINK(CONCATENATE("https://bugzilla.houston.hp.com:1181/bugzilla/show_bug.cgi?id=",INDIRECT(C70&amp;ROW())),INDIRECT(C70&amp;ROW()))</f>
        <v>30068</v>
      </c>
      <c r="N4">
        <v>30068</v>
      </c>
      <c r="O4" t="s">
        <v>56</v>
      </c>
      <c r="P4" t="s">
        <v>1336</v>
      </c>
      <c r="Q4" t="s">
        <v>16</v>
      </c>
      <c r="R4" t="s">
        <v>251</v>
      </c>
      <c r="S4" t="s">
        <v>66</v>
      </c>
      <c r="U4" s="6">
        <v>42233.700868055559</v>
      </c>
      <c r="V4" t="s">
        <v>18</v>
      </c>
      <c r="W4" t="s">
        <v>57</v>
      </c>
      <c r="X4" s="6">
        <v>41393.6721412037</v>
      </c>
      <c r="Y4" t="s">
        <v>122</v>
      </c>
      <c r="AB4" t="s">
        <v>201</v>
      </c>
      <c r="AC4" t="s">
        <v>121</v>
      </c>
      <c r="AD4" t="s">
        <v>220</v>
      </c>
      <c r="AE4" t="s">
        <v>219</v>
      </c>
      <c r="AG4" t="s">
        <v>121</v>
      </c>
      <c r="AH4" t="s">
        <v>327</v>
      </c>
      <c r="AI4" t="s">
        <v>121</v>
      </c>
      <c r="AJ4" t="s">
        <v>717</v>
      </c>
      <c r="AK4" t="s">
        <v>121</v>
      </c>
      <c r="AL4" t="s">
        <v>121</v>
      </c>
      <c r="AM4" t="s">
        <v>121</v>
      </c>
    </row>
    <row r="5" spans="1:39" x14ac:dyDescent="0.3">
      <c r="A5" s="2">
        <f ca="1">COUNTIF(INDIRECT(A68&amp;A67):INDIRECT(A69&amp;A66),INDIRECT("b"&amp;ROW()))</f>
        <v>2</v>
      </c>
      <c r="B5" s="2" t="str">
        <f>Assignees!C4</f>
        <v>Astra-IR9</v>
      </c>
      <c r="C5" s="3">
        <f ca="1">COUNTIF(INDIRECT(A71&amp;A67):INDIRECT(A71&amp;A66),INDIRECT("d"&amp;ROW()))</f>
        <v>286</v>
      </c>
      <c r="D5" s="3" t="str">
        <f>Assignees!D4</f>
        <v>Master</v>
      </c>
      <c r="E5" s="16">
        <f ca="1">COUNTIFS(INDIRECT(A71&amp;A67):INDIRECT(A71&amp;A66),INDIRECT("d"&amp;ROW()),INDIRECT(A73&amp;A67):INDIRECT(A73&amp;A66),E1)</f>
        <v>3</v>
      </c>
      <c r="F5" s="4">
        <f ca="1">COUNTIFS(INDIRECT(A71&amp;A67):INDIRECT(A71&amp;A66),INDIRECT("d"&amp;ROW()),INDIRECT(A73&amp;A67):INDIRECT(A73&amp;A66),F1)</f>
        <v>28</v>
      </c>
      <c r="G5" s="3">
        <f ca="1">COUNTIFS(INDIRECT(A71&amp;A67):INDIRECT(A71&amp;A66),INDIRECT("d"&amp;ROW()),INDIRECT(A73&amp;A67):INDIRECT(A73&amp;A66),G1)</f>
        <v>127</v>
      </c>
      <c r="H5" s="5">
        <f ca="1">COUNTIFS(INDIRECT(A71&amp;A67):INDIRECT(A71&amp;A66),INDIRECT("d"&amp;ROW()),INDIRECT(A73&amp;A67):INDIRECT(A73&amp;A66),H1)</f>
        <v>128</v>
      </c>
      <c r="I5">
        <f ca="1">IF(OR(INDIRECT(A73&amp;ROW())=B93,INDIRECT(A73&amp;ROW())=B94),1,IF(AND(INDIRECT(A73&amp;ROW())=B95,INDIRECT(A96&amp;ROW())=C93),1,IF(AND(INDIRECT(A73&amp;ROW())=B95,INDIRECT(A96&amp;ROW())=C94),1,0)))</f>
        <v>0</v>
      </c>
      <c r="J5">
        <f ca="1">IF(AND(INDIRECT(A73&amp;ROW())=B95,INDIRECT(A96&amp;ROW())=C95),1,IF(AND(INDIRECT(A73&amp;ROW())=B95,INDIRECT(A96&amp;ROW())=C96),1,0))</f>
        <v>0</v>
      </c>
      <c r="K5">
        <f ca="1">DAYS360(INDIRECT(C68&amp;ROW()),TODAY())</f>
        <v>615</v>
      </c>
      <c r="L5">
        <f ca="1">DAYS360(INDIRECT(C69&amp;ROW()),TODAY())</f>
        <v>1442</v>
      </c>
      <c r="M5" s="11">
        <f ca="1">HYPERLINK(CONCATENATE("https://bugzilla.houston.hp.com:1181/bugzilla/show_bug.cgi?id=",INDIRECT(C70&amp;ROW())),INDIRECT(C70&amp;ROW()))</f>
        <v>30145</v>
      </c>
      <c r="N5">
        <v>30145</v>
      </c>
      <c r="O5" t="s">
        <v>56</v>
      </c>
      <c r="P5" t="s">
        <v>1337</v>
      </c>
      <c r="Q5" t="s">
        <v>16</v>
      </c>
      <c r="R5" t="s">
        <v>251</v>
      </c>
      <c r="S5" t="s">
        <v>21</v>
      </c>
      <c r="T5" t="s">
        <v>794</v>
      </c>
      <c r="U5" s="6">
        <v>42233.5158912037</v>
      </c>
      <c r="V5" t="s">
        <v>18</v>
      </c>
      <c r="W5" t="s">
        <v>173</v>
      </c>
      <c r="X5" s="6">
        <v>41394.671342592592</v>
      </c>
      <c r="Y5" t="s">
        <v>122</v>
      </c>
      <c r="AB5" t="s">
        <v>201</v>
      </c>
      <c r="AC5" t="s">
        <v>121</v>
      </c>
      <c r="AD5" t="s">
        <v>220</v>
      </c>
      <c r="AE5" t="s">
        <v>219</v>
      </c>
      <c r="AG5" t="s">
        <v>121</v>
      </c>
      <c r="AH5" t="s">
        <v>327</v>
      </c>
      <c r="AI5" t="s">
        <v>121</v>
      </c>
      <c r="AJ5" t="s">
        <v>717</v>
      </c>
      <c r="AK5" t="s">
        <v>121</v>
      </c>
      <c r="AL5" t="s">
        <v>121</v>
      </c>
      <c r="AM5" t="s">
        <v>121</v>
      </c>
    </row>
    <row r="6" spans="1:39" x14ac:dyDescent="0.3">
      <c r="A6" s="2">
        <f ca="1">COUNTIF(INDIRECT(A68&amp;A67):INDIRECT(A69&amp;A66),INDIRECT("b"&amp;ROW()))</f>
        <v>2</v>
      </c>
      <c r="B6" s="2" t="str">
        <f>Assignees!C5</f>
        <v>Astra-IR10</v>
      </c>
      <c r="C6" s="3">
        <f ca="1">COUNTIF(INDIRECT(A71&amp;A67):INDIRECT(A71&amp;A66),INDIRECT("d"&amp;ROW()))</f>
        <v>1</v>
      </c>
      <c r="D6" s="3" t="str">
        <f>Assignees!D5</f>
        <v>Astra-Waiver</v>
      </c>
      <c r="E6" s="16">
        <f ca="1">COUNTIFS(INDIRECT(A71&amp;A67):INDIRECT(A71&amp;A66),INDIRECT("d"&amp;ROW()),INDIRECT(A73&amp;A67):INDIRECT(A73&amp;A66),E1)</f>
        <v>0</v>
      </c>
      <c r="F6" s="4">
        <f ca="1">COUNTIFS(INDIRECT(A71&amp;A67):INDIRECT(A71&amp;A66),INDIRECT("d"&amp;ROW()),INDIRECT(A73&amp;A67):INDIRECT(A73&amp;A66),F1)</f>
        <v>0</v>
      </c>
      <c r="G6" s="3">
        <f ca="1">COUNTIFS(INDIRECT(A71&amp;A67):INDIRECT(A71&amp;A66),INDIRECT("d"&amp;ROW()),INDIRECT(A73&amp;A67):INDIRECT(A73&amp;A66),G1)</f>
        <v>1</v>
      </c>
      <c r="H6" s="5">
        <f ca="1">COUNTIFS(INDIRECT(A71&amp;A67):INDIRECT(A71&amp;A66),INDIRECT("d"&amp;ROW()),INDIRECT(A73&amp;A67):INDIRECT(A73&amp;A66),H1)</f>
        <v>0</v>
      </c>
      <c r="I6">
        <f ca="1">IF(OR(INDIRECT(A73&amp;ROW())=B93,INDIRECT(A73&amp;ROW())=B94),1,IF(AND(INDIRECT(A73&amp;ROW())=B95,INDIRECT(A96&amp;ROW())=C93),1,IF(AND(INDIRECT(A73&amp;ROW())=B95,INDIRECT(A96&amp;ROW())=C94),1,0)))</f>
        <v>0</v>
      </c>
      <c r="J6">
        <f ca="1">IF(AND(INDIRECT(A73&amp;ROW())=B95,INDIRECT(A96&amp;ROW())=C95),1,IF(AND(INDIRECT(A73&amp;ROW())=B95,INDIRECT(A96&amp;ROW())=C96),1,0))</f>
        <v>0</v>
      </c>
      <c r="K6">
        <f ca="1">DAYS360(INDIRECT(C68&amp;ROW()),TODAY())</f>
        <v>721</v>
      </c>
      <c r="L6">
        <f ca="1">DAYS360(INDIRECT(C69&amp;ROW()),TODAY())</f>
        <v>1440</v>
      </c>
      <c r="M6" s="11">
        <f ca="1">HYPERLINK(CONCATENATE("https://bugzilla.houston.hp.com:1181/bugzilla/show_bug.cgi?id=",INDIRECT(C70&amp;ROW())),INDIRECT(C70&amp;ROW()))</f>
        <v>30255</v>
      </c>
      <c r="N6">
        <v>30255</v>
      </c>
      <c r="O6" t="s">
        <v>56</v>
      </c>
      <c r="P6" t="s">
        <v>1338</v>
      </c>
      <c r="Q6" t="s">
        <v>16</v>
      </c>
      <c r="R6" t="s">
        <v>63</v>
      </c>
      <c r="S6" t="s">
        <v>1339</v>
      </c>
      <c r="U6" s="6">
        <v>42125.43990740741</v>
      </c>
      <c r="V6" t="s">
        <v>18</v>
      </c>
      <c r="W6" t="s">
        <v>60</v>
      </c>
      <c r="X6" s="6">
        <v>41396.562442129631</v>
      </c>
      <c r="Y6" t="s">
        <v>122</v>
      </c>
      <c r="AB6" t="s">
        <v>201</v>
      </c>
      <c r="AC6" t="s">
        <v>247</v>
      </c>
      <c r="AD6" t="s">
        <v>220</v>
      </c>
      <c r="AE6" t="s">
        <v>219</v>
      </c>
      <c r="AG6" t="s">
        <v>121</v>
      </c>
      <c r="AH6" t="s">
        <v>327</v>
      </c>
      <c r="AI6" t="s">
        <v>121</v>
      </c>
      <c r="AJ6" t="s">
        <v>717</v>
      </c>
      <c r="AK6" t="s">
        <v>121</v>
      </c>
      <c r="AL6" t="s">
        <v>121</v>
      </c>
      <c r="AM6" t="s">
        <v>121</v>
      </c>
    </row>
    <row r="7" spans="1:39" x14ac:dyDescent="0.3">
      <c r="A7" s="2">
        <f ca="1">COUNTIF(INDIRECT(A68&amp;A67):INDIRECT(A69&amp;A66),INDIRECT("b"&amp;ROW()))</f>
        <v>1</v>
      </c>
      <c r="B7" s="2" t="str">
        <f>Assignees!C6</f>
        <v>Astra-IR11</v>
      </c>
      <c r="C7" s="3">
        <f ca="1">COUNTIF(INDIRECT(A71&amp;A67):INDIRECT(A71&amp;A66),INDIRECT("d"&amp;ROW()))</f>
        <v>75</v>
      </c>
      <c r="D7" s="3" t="str">
        <f>Assignees!D6</f>
        <v>Astra-Maint</v>
      </c>
      <c r="E7" s="16">
        <f ca="1">COUNTIFS(INDIRECT(A71&amp;A67):INDIRECT(A71&amp;A66),INDIRECT("d"&amp;ROW()),INDIRECT(A73&amp;A67):INDIRECT(A73&amp;A66),E1)</f>
        <v>0</v>
      </c>
      <c r="F7" s="4">
        <f ca="1">COUNTIFS(INDIRECT(A71&amp;A67):INDIRECT(A71&amp;A66),INDIRECT("d"&amp;ROW()),INDIRECT(A73&amp;A67):INDIRECT(A73&amp;A66),F1)</f>
        <v>16</v>
      </c>
      <c r="G7" s="3">
        <f ca="1">COUNTIFS(INDIRECT(A71&amp;A67):INDIRECT(A71&amp;A66),INDIRECT("d"&amp;ROW()),INDIRECT(A73&amp;A67):INDIRECT(A73&amp;A66),G1)</f>
        <v>45</v>
      </c>
      <c r="H7" s="5">
        <f ca="1">COUNTIFS(INDIRECT(A71&amp;A67):INDIRECT(A71&amp;A66),INDIRECT("d"&amp;ROW()),INDIRECT(A73&amp;A67):INDIRECT(A73&amp;A66),H1)</f>
        <v>14</v>
      </c>
      <c r="I7">
        <f ca="1">IF(OR(INDIRECT(A73&amp;ROW())=B93,INDIRECT(A73&amp;ROW())=B94),1,IF(AND(INDIRECT(A73&amp;ROW())=B95,INDIRECT(A96&amp;ROW())=C93),1,IF(AND(INDIRECT(A73&amp;ROW())=B95,INDIRECT(A96&amp;ROW())=C94),1,0)))</f>
        <v>0</v>
      </c>
      <c r="J7">
        <f ca="1">IF(AND(INDIRECT(A73&amp;ROW())=B95,INDIRECT(A96&amp;ROW())=C95),1,IF(AND(INDIRECT(A73&amp;ROW())=B95,INDIRECT(A96&amp;ROW())=C96),1,0))</f>
        <v>0</v>
      </c>
      <c r="K7">
        <f ca="1">DAYS360(INDIRECT(C68&amp;ROW()),TODAY())</f>
        <v>756</v>
      </c>
      <c r="L7">
        <f ca="1">DAYS360(INDIRECT(C69&amp;ROW()),TODAY())</f>
        <v>1241</v>
      </c>
      <c r="M7" s="11">
        <f ca="1">HYPERLINK(CONCATENATE("https://bugzilla.houston.hp.com:1181/bugzilla/show_bug.cgi?id=",INDIRECT(C70&amp;ROW())),INDIRECT(C70&amp;ROW()))</f>
        <v>37005</v>
      </c>
      <c r="N7">
        <v>37005</v>
      </c>
      <c r="O7" t="s">
        <v>55</v>
      </c>
      <c r="P7" t="s">
        <v>1340</v>
      </c>
      <c r="Q7" t="s">
        <v>16</v>
      </c>
      <c r="R7" t="s">
        <v>1341</v>
      </c>
      <c r="S7" t="s">
        <v>55</v>
      </c>
      <c r="U7" s="6">
        <v>42089.581018518518</v>
      </c>
      <c r="V7" t="s">
        <v>18</v>
      </c>
      <c r="W7" t="s">
        <v>17</v>
      </c>
      <c r="X7" s="6">
        <v>41599.455185185187</v>
      </c>
      <c r="Y7" t="s">
        <v>118</v>
      </c>
      <c r="AB7" t="s">
        <v>200</v>
      </c>
      <c r="AC7" t="s">
        <v>1027</v>
      </c>
      <c r="AD7" t="s">
        <v>220</v>
      </c>
      <c r="AE7" t="s">
        <v>223</v>
      </c>
      <c r="AG7" t="s">
        <v>121</v>
      </c>
      <c r="AH7" t="s">
        <v>327</v>
      </c>
      <c r="AI7" t="s">
        <v>121</v>
      </c>
      <c r="AJ7" t="s">
        <v>716</v>
      </c>
      <c r="AK7" t="s">
        <v>121</v>
      </c>
      <c r="AL7" t="s">
        <v>121</v>
      </c>
      <c r="AM7" t="s">
        <v>121</v>
      </c>
    </row>
    <row r="8" spans="1:39" x14ac:dyDescent="0.3">
      <c r="A8" s="2">
        <f ca="1">COUNTIF(INDIRECT(A68&amp;A67):INDIRECT(A69&amp;A66),INDIRECT("b"&amp;ROW()))</f>
        <v>3</v>
      </c>
      <c r="B8" s="2" t="str">
        <f>Assignees!C7</f>
        <v>Astra-IR12</v>
      </c>
      <c r="C8" s="3">
        <f ca="1">COUNTIF(INDIRECT(A71&amp;A67):INDIRECT(A71&amp;A66),INDIRECT("d"&amp;ROW()))</f>
        <v>95</v>
      </c>
      <c r="D8" s="3" t="str">
        <f>Assignees!D7</f>
        <v>Astra-1.1.0</v>
      </c>
      <c r="E8" s="16">
        <f ca="1">COUNTIFS(INDIRECT(A71&amp;A67):INDIRECT(A71&amp;A66),INDIRECT("d"&amp;ROW()),INDIRECT(A73&amp;A67):INDIRECT(A73&amp;A66),E1)</f>
        <v>1</v>
      </c>
      <c r="F8" s="4">
        <f ca="1">COUNTIFS(INDIRECT(A71&amp;A67):INDIRECT(A71&amp;A66),INDIRECT("d"&amp;ROW()),INDIRECT(A73&amp;A67):INDIRECT(A73&amp;A66),F1)</f>
        <v>16</v>
      </c>
      <c r="G8" s="3">
        <f ca="1">COUNTIFS(INDIRECT(A71&amp;A67):INDIRECT(A71&amp;A66),INDIRECT("d"&amp;ROW()),INDIRECT(A73&amp;A67):INDIRECT(A73&amp;A66),G1)</f>
        <v>57</v>
      </c>
      <c r="H8" s="5">
        <f ca="1">COUNTIFS(INDIRECT(A71&amp;A67):INDIRECT(A71&amp;A66),INDIRECT("d"&amp;ROW()),INDIRECT(A73&amp;A67):INDIRECT(A73&amp;A66),H1)</f>
        <v>21</v>
      </c>
      <c r="I8">
        <f ca="1">IF(OR(INDIRECT(A73&amp;ROW())=B93,INDIRECT(A73&amp;ROW())=B94),1,IF(AND(INDIRECT(A73&amp;ROW())=B95,INDIRECT(A96&amp;ROW())=C93),1,IF(AND(INDIRECT(A73&amp;ROW())=B95,INDIRECT(A96&amp;ROW())=C94),1,0)))</f>
        <v>0</v>
      </c>
      <c r="J8">
        <f ca="1">IF(AND(INDIRECT(A73&amp;ROW())=B95,INDIRECT(A96&amp;ROW())=C95),1,IF(AND(INDIRECT(A73&amp;ROW())=B95,INDIRECT(A96&amp;ROW())=C96),1,0))</f>
        <v>0</v>
      </c>
      <c r="K8">
        <f ca="1">DAYS360(INDIRECT(C68&amp;ROW()),TODAY())</f>
        <v>721</v>
      </c>
      <c r="L8">
        <f ca="1">DAYS360(INDIRECT(C69&amp;ROW()),TODAY())</f>
        <v>1221</v>
      </c>
      <c r="M8" s="11">
        <f ca="1">HYPERLINK(CONCATENATE("https://bugzilla.houston.hp.com:1181/bugzilla/show_bug.cgi?id=",INDIRECT(C70&amp;ROW())),INDIRECT(C70&amp;ROW()))</f>
        <v>37654</v>
      </c>
      <c r="N8">
        <v>37654</v>
      </c>
      <c r="O8" t="s">
        <v>55</v>
      </c>
      <c r="P8" t="s">
        <v>389</v>
      </c>
      <c r="Q8" t="s">
        <v>16</v>
      </c>
      <c r="R8" t="s">
        <v>251</v>
      </c>
      <c r="S8" t="s">
        <v>55</v>
      </c>
      <c r="U8" s="6">
        <v>42125.439826388887</v>
      </c>
      <c r="V8" t="s">
        <v>18</v>
      </c>
      <c r="W8" t="s">
        <v>17</v>
      </c>
      <c r="X8" s="6">
        <v>41619.560983796298</v>
      </c>
      <c r="Y8" t="s">
        <v>122</v>
      </c>
      <c r="AB8" t="s">
        <v>200</v>
      </c>
      <c r="AC8" t="s">
        <v>121</v>
      </c>
      <c r="AD8" t="s">
        <v>220</v>
      </c>
      <c r="AE8" t="s">
        <v>219</v>
      </c>
      <c r="AG8" t="s">
        <v>121</v>
      </c>
      <c r="AH8" t="s">
        <v>327</v>
      </c>
      <c r="AI8" t="s">
        <v>121</v>
      </c>
      <c r="AJ8" t="s">
        <v>716</v>
      </c>
      <c r="AK8" t="s">
        <v>121</v>
      </c>
      <c r="AL8" t="s">
        <v>121</v>
      </c>
      <c r="AM8" t="s">
        <v>121</v>
      </c>
    </row>
    <row r="9" spans="1:39" x14ac:dyDescent="0.3">
      <c r="A9" s="2">
        <f ca="1">COUNTIF(INDIRECT(A68&amp;A67):INDIRECT(A69&amp;A66),INDIRECT("b"&amp;ROW()))</f>
        <v>5</v>
      </c>
      <c r="B9" s="2" t="str">
        <f>Assignees!C8</f>
        <v>Astra-IR13</v>
      </c>
      <c r="C9" s="3">
        <f ca="1">COUNTIF(INDIRECT(A71&amp;A67):INDIRECT(A71&amp;A66),INDIRECT("d"&amp;ROW()))</f>
        <v>0</v>
      </c>
      <c r="D9" s="3">
        <f>Assignees!D8</f>
        <v>0</v>
      </c>
      <c r="E9" s="16">
        <f ca="1">COUNTIFS(INDIRECT(A71&amp;A67):INDIRECT(A71&amp;A66),INDIRECT("d"&amp;ROW()),INDIRECT(A73&amp;A67):INDIRECT(A73&amp;A66),E1)</f>
        <v>0</v>
      </c>
      <c r="F9" s="4">
        <f ca="1">COUNTIFS(INDIRECT(A71&amp;A67):INDIRECT(A71&amp;A66),INDIRECT("d"&amp;ROW()),INDIRECT(A73&amp;A67):INDIRECT(A73&amp;A66),F1)</f>
        <v>0</v>
      </c>
      <c r="G9" s="3">
        <f ca="1">COUNTIFS(INDIRECT(A71&amp;A67):INDIRECT(A71&amp;A66),INDIRECT("d"&amp;ROW()),INDIRECT(A73&amp;A67):INDIRECT(A73&amp;A66),G1)</f>
        <v>0</v>
      </c>
      <c r="H9" s="5">
        <f ca="1">COUNTIFS(INDIRECT(A71&amp;A67):INDIRECT(A71&amp;A66),INDIRECT("d"&amp;ROW()),INDIRECT(A73&amp;A67):INDIRECT(A73&amp;A66),H1)</f>
        <v>0</v>
      </c>
      <c r="I9">
        <f ca="1">IF(OR(INDIRECT(A73&amp;ROW())=B93,INDIRECT(A73&amp;ROW())=B94),1,IF(AND(INDIRECT(A73&amp;ROW())=B95,INDIRECT(A96&amp;ROW())=C93),1,IF(AND(INDIRECT(A73&amp;ROW())=B95,INDIRECT(A96&amp;ROW())=C94),1,0)))</f>
        <v>0</v>
      </c>
      <c r="J9">
        <f ca="1">IF(AND(INDIRECT(A73&amp;ROW())=B95,INDIRECT(A96&amp;ROW())=C95),1,IF(AND(INDIRECT(A73&amp;ROW())=B95,INDIRECT(A96&amp;ROW())=C96),1,0))</f>
        <v>0</v>
      </c>
      <c r="K9">
        <f ca="1">DAYS360(INDIRECT(C68&amp;ROW()),TODAY())</f>
        <v>721</v>
      </c>
      <c r="L9">
        <f ca="1">DAYS360(INDIRECT(C69&amp;ROW()),TODAY())</f>
        <v>1214</v>
      </c>
      <c r="M9" s="11">
        <f ca="1">HYPERLINK(CONCATENATE("https://bugzilla.houston.hp.com:1181/bugzilla/show_bug.cgi?id=",INDIRECT(C70&amp;ROW())),INDIRECT(C70&amp;ROW()))</f>
        <v>37855</v>
      </c>
      <c r="N9">
        <v>37855</v>
      </c>
      <c r="O9" t="s">
        <v>56</v>
      </c>
      <c r="P9" t="s">
        <v>388</v>
      </c>
      <c r="Q9" t="s">
        <v>16</v>
      </c>
      <c r="R9" t="s">
        <v>251</v>
      </c>
      <c r="S9" t="s">
        <v>43</v>
      </c>
      <c r="U9" s="6">
        <v>42125.439976851849</v>
      </c>
      <c r="V9" t="s">
        <v>35</v>
      </c>
      <c r="W9" t="s">
        <v>17</v>
      </c>
      <c r="X9" s="6">
        <v>41626.51222222222</v>
      </c>
      <c r="Y9" t="s">
        <v>122</v>
      </c>
      <c r="AB9" t="s">
        <v>201</v>
      </c>
      <c r="AC9" t="s">
        <v>121</v>
      </c>
      <c r="AD9" t="s">
        <v>220</v>
      </c>
      <c r="AE9" t="s">
        <v>219</v>
      </c>
      <c r="AG9" t="s">
        <v>121</v>
      </c>
      <c r="AH9" t="s">
        <v>327</v>
      </c>
      <c r="AI9" t="s">
        <v>121</v>
      </c>
      <c r="AJ9" t="s">
        <v>717</v>
      </c>
      <c r="AK9" t="s">
        <v>121</v>
      </c>
      <c r="AL9" t="s">
        <v>121</v>
      </c>
      <c r="AM9" t="s">
        <v>121</v>
      </c>
    </row>
    <row r="10" spans="1:39" x14ac:dyDescent="0.3">
      <c r="A10" s="2">
        <f ca="1">COUNTIF(INDIRECT(A68&amp;A67):INDIRECT(A69&amp;A66),INDIRECT("b"&amp;ROW()))</f>
        <v>1</v>
      </c>
      <c r="B10" s="2" t="str">
        <f>Assignees!C9</f>
        <v>Astra-Post IR13 06-20</v>
      </c>
      <c r="C10" s="3">
        <f ca="1">COUNTIF(INDIRECT(A71&amp;A67):INDIRECT(A71&amp;A66),INDIRECT("d"&amp;ROW()))</f>
        <v>0</v>
      </c>
      <c r="D10" s="3">
        <f>Assignees!D9</f>
        <v>0</v>
      </c>
      <c r="E10" s="16">
        <f ca="1">COUNTIFS(INDIRECT(A71&amp;A67):INDIRECT(A71&amp;A66),INDIRECT("d"&amp;ROW()),INDIRECT(A73&amp;A67):INDIRECT(A73&amp;A66),E1)</f>
        <v>0</v>
      </c>
      <c r="F10" s="4">
        <f ca="1">COUNTIFS(INDIRECT(A71&amp;A67):INDIRECT(A71&amp;A66),INDIRECT("d"&amp;ROW()),INDIRECT(A73&amp;A67):INDIRECT(A73&amp;A66),F1)</f>
        <v>0</v>
      </c>
      <c r="G10" s="3">
        <f ca="1">COUNTIFS(INDIRECT(A71&amp;A67):INDIRECT(A71&amp;A66),INDIRECT("d"&amp;ROW()),INDIRECT(A73&amp;A67):INDIRECT(A73&amp;A66),G1)</f>
        <v>0</v>
      </c>
      <c r="H10" s="5">
        <f ca="1">COUNTIFS(INDIRECT(A71&amp;A67):INDIRECT(A71&amp;A66),INDIRECT("d"&amp;ROW()),INDIRECT(A73&amp;A67):INDIRECT(A73&amp;A66),H1)</f>
        <v>0</v>
      </c>
      <c r="I10">
        <f ca="1">IF(OR(INDIRECT(A73&amp;ROW())=B93,INDIRECT(A73&amp;ROW())=B94),1,IF(AND(INDIRECT(A73&amp;ROW())=B95,INDIRECT(A96&amp;ROW())=C93),1,IF(AND(INDIRECT(A73&amp;ROW())=B95,INDIRECT(A96&amp;ROW())=C94),1,0)))</f>
        <v>0</v>
      </c>
      <c r="J10">
        <f ca="1">IF(AND(INDIRECT(A73&amp;ROW())=B95,INDIRECT(A96&amp;ROW())=C95),1,IF(AND(INDIRECT(A73&amp;ROW())=B95,INDIRECT(A96&amp;ROW())=C96),1,0))</f>
        <v>1</v>
      </c>
      <c r="K10">
        <f ca="1">DAYS360(INDIRECT(C68&amp;ROW()),TODAY())</f>
        <v>684</v>
      </c>
      <c r="L10">
        <f ca="1">DAYS360(INDIRECT(C69&amp;ROW()),TODAY())</f>
        <v>1202</v>
      </c>
      <c r="M10" s="11">
        <f ca="1">HYPERLINK(CONCATENATE("https://bugzilla.houston.hp.com:1181/bugzilla/show_bug.cgi?id=",INDIRECT(C70&amp;ROW())),INDIRECT(C70&amp;ROW()))</f>
        <v>37973</v>
      </c>
      <c r="N10">
        <v>37973</v>
      </c>
      <c r="O10" t="s">
        <v>56</v>
      </c>
      <c r="P10" t="s">
        <v>1342</v>
      </c>
      <c r="Q10" t="s">
        <v>25</v>
      </c>
      <c r="R10" t="s">
        <v>251</v>
      </c>
      <c r="S10" t="s">
        <v>1343</v>
      </c>
      <c r="U10" s="6">
        <v>42163.585416666669</v>
      </c>
      <c r="V10" t="s">
        <v>35</v>
      </c>
      <c r="W10" t="s">
        <v>173</v>
      </c>
      <c r="X10" s="6">
        <v>41639.612754629627</v>
      </c>
      <c r="Y10" t="s">
        <v>255</v>
      </c>
      <c r="AB10" t="s">
        <v>201</v>
      </c>
      <c r="AC10" t="s">
        <v>216</v>
      </c>
      <c r="AD10" t="s">
        <v>222</v>
      </c>
      <c r="AE10" t="s">
        <v>221</v>
      </c>
      <c r="AG10" t="s">
        <v>121</v>
      </c>
      <c r="AH10" t="s">
        <v>327</v>
      </c>
      <c r="AI10" t="s">
        <v>362</v>
      </c>
      <c r="AJ10" t="s">
        <v>716</v>
      </c>
      <c r="AK10" t="s">
        <v>121</v>
      </c>
      <c r="AL10" t="s">
        <v>121</v>
      </c>
      <c r="AM10" t="s">
        <v>121</v>
      </c>
    </row>
    <row r="11" spans="1:39" x14ac:dyDescent="0.3">
      <c r="A11" s="2">
        <f ca="1">COUNTIF(INDIRECT(A68&amp;A67):INDIRECT(A69&amp;A66),INDIRECT("b"&amp;ROW()))</f>
        <v>3</v>
      </c>
      <c r="B11" s="2" t="str">
        <f>Assignees!C10</f>
        <v>Astra-Post IR13 06-27-RTI</v>
      </c>
      <c r="C11" s="3">
        <f ca="1">COUNTIF(INDIRECT(A71&amp;A67):INDIRECT(A71&amp;A66),INDIRECT("d"&amp;ROW()))</f>
        <v>0</v>
      </c>
      <c r="D11" s="3">
        <f>Assignees!D10</f>
        <v>0</v>
      </c>
      <c r="E11" s="16">
        <f ca="1">COUNTIFS(INDIRECT(A71&amp;A67):INDIRECT(A71&amp;A66),INDIRECT("d"&amp;ROW()),INDIRECT(A73&amp;A67):INDIRECT(A73&amp;A66),E1)</f>
        <v>0</v>
      </c>
      <c r="F11" s="4">
        <f ca="1">COUNTIFS(INDIRECT(A71&amp;A67):INDIRECT(A71&amp;A66),INDIRECT("d"&amp;ROW()),INDIRECT(A73&amp;A67):INDIRECT(A73&amp;A66),F1)</f>
        <v>0</v>
      </c>
      <c r="G11" s="3">
        <f ca="1">COUNTIFS(INDIRECT(A71&amp;A67):INDIRECT(A71&amp;A66),INDIRECT("d"&amp;ROW()),INDIRECT(A73&amp;A67):INDIRECT(A73&amp;A66),G1)</f>
        <v>0</v>
      </c>
      <c r="H11" s="5">
        <f ca="1">COUNTIFS(INDIRECT(A71&amp;A67):INDIRECT(A71&amp;A66),INDIRECT("d"&amp;ROW()),INDIRECT(A73&amp;A67):INDIRECT(A73&amp;A66),H1)</f>
        <v>0</v>
      </c>
      <c r="I11">
        <f ca="1">IF(OR(INDIRECT(A73&amp;ROW())=B93,INDIRECT(A73&amp;ROW())=B94),1,IF(AND(INDIRECT(A73&amp;ROW())=B95,INDIRECT(A96&amp;ROW())=C93),1,IF(AND(INDIRECT(A73&amp;ROW())=B95,INDIRECT(A96&amp;ROW())=C94),1,0)))</f>
        <v>0</v>
      </c>
      <c r="J11">
        <f ca="1">IF(AND(INDIRECT(A73&amp;ROW())=B95,INDIRECT(A96&amp;ROW())=C95),1,IF(AND(INDIRECT(A73&amp;ROW())=B95,INDIRECT(A96&amp;ROW())=C96),1,0))</f>
        <v>1</v>
      </c>
      <c r="K11">
        <f ca="1">DAYS360(INDIRECT(C68&amp;ROW()),TODAY())</f>
        <v>710</v>
      </c>
      <c r="L11">
        <f ca="1">DAYS360(INDIRECT(C69&amp;ROW()),TODAY())</f>
        <v>1159</v>
      </c>
      <c r="M11" s="11">
        <f ca="1">HYPERLINK(CONCATENATE("https://bugzilla.houston.hp.com:1181/bugzilla/show_bug.cgi?id=",INDIRECT(C70&amp;ROW())),INDIRECT(C70&amp;ROW()))</f>
        <v>39099</v>
      </c>
      <c r="N11">
        <v>39099</v>
      </c>
      <c r="O11" t="s">
        <v>53</v>
      </c>
      <c r="P11" t="s">
        <v>1053</v>
      </c>
      <c r="Q11" t="s">
        <v>25</v>
      </c>
      <c r="R11" t="s">
        <v>251</v>
      </c>
      <c r="S11" t="s">
        <v>53</v>
      </c>
      <c r="U11" s="6">
        <v>42136.61577546296</v>
      </c>
      <c r="V11" t="s">
        <v>18</v>
      </c>
      <c r="W11" t="s">
        <v>17</v>
      </c>
      <c r="X11" s="6">
        <v>41683.468611111108</v>
      </c>
      <c r="Y11" t="s">
        <v>118</v>
      </c>
      <c r="AB11" t="s">
        <v>201</v>
      </c>
      <c r="AC11" t="s">
        <v>1027</v>
      </c>
      <c r="AD11" t="s">
        <v>220</v>
      </c>
      <c r="AE11" t="s">
        <v>219</v>
      </c>
      <c r="AG11" t="s">
        <v>121</v>
      </c>
      <c r="AH11" t="s">
        <v>327</v>
      </c>
      <c r="AI11" t="s">
        <v>121</v>
      </c>
      <c r="AJ11" t="s">
        <v>716</v>
      </c>
      <c r="AK11" t="s">
        <v>121</v>
      </c>
      <c r="AL11" t="s">
        <v>121</v>
      </c>
      <c r="AM11" t="s">
        <v>121</v>
      </c>
    </row>
    <row r="12" spans="1:39" x14ac:dyDescent="0.3">
      <c r="A12" s="2">
        <f ca="1">COUNTIF(INDIRECT(A68&amp;A67):INDIRECT(A69&amp;A66),INDIRECT("b"&amp;ROW()))</f>
        <v>2</v>
      </c>
      <c r="B12" s="2" t="str">
        <f>Assignees!C11</f>
        <v>Astra-Post IR13 07-11-RTI</v>
      </c>
      <c r="C12" s="3">
        <f ca="1">COUNTIF(INDIRECT(A71&amp;A67):INDIRECT(A71&amp;A66),INDIRECT("d"&amp;ROW()))</f>
        <v>0</v>
      </c>
      <c r="D12" s="3">
        <f>Assignees!D11</f>
        <v>0</v>
      </c>
      <c r="E12" s="16">
        <f ca="1">COUNTIFS(INDIRECT(A71&amp;A67):INDIRECT(A71&amp;A66),INDIRECT("d"&amp;ROW()),INDIRECT(A73&amp;A67):INDIRECT(A73&amp;A66),E1)</f>
        <v>0</v>
      </c>
      <c r="F12" s="4">
        <f ca="1">COUNTIFS(INDIRECT(A71&amp;A67):INDIRECT(A71&amp;A66),INDIRECT("d"&amp;ROW()),INDIRECT(A73&amp;A67):INDIRECT(A73&amp;A66),F1)</f>
        <v>0</v>
      </c>
      <c r="G12" s="3">
        <f ca="1">COUNTIFS(INDIRECT(A71&amp;A67):INDIRECT(A71&amp;A66),INDIRECT("d"&amp;ROW()),INDIRECT(A73&amp;A67):INDIRECT(A73&amp;A66),G1)</f>
        <v>0</v>
      </c>
      <c r="H12" s="5">
        <f ca="1">COUNTIFS(INDIRECT(A71&amp;A67):INDIRECT(A71&amp;A66),INDIRECT("d"&amp;ROW()),INDIRECT(A73&amp;A67):INDIRECT(A73&amp;A66),H1)</f>
        <v>0</v>
      </c>
      <c r="I12">
        <f ca="1">IF(OR(INDIRECT(A73&amp;ROW())=B93,INDIRECT(A73&amp;ROW())=B94),1,IF(AND(INDIRECT(A73&amp;ROW())=B95,INDIRECT(A96&amp;ROW())=C93),1,IF(AND(INDIRECT(A73&amp;ROW())=B95,INDIRECT(A96&amp;ROW())=C94),1,0)))</f>
        <v>0</v>
      </c>
      <c r="J12">
        <f ca="1">IF(AND(INDIRECT(A73&amp;ROW())=B95,INDIRECT(A96&amp;ROW())=C95),1,IF(AND(INDIRECT(A73&amp;ROW())=B95,INDIRECT(A96&amp;ROW())=C96),1,0))</f>
        <v>0</v>
      </c>
      <c r="K12">
        <f ca="1">DAYS360(INDIRECT(C68&amp;ROW()),TODAY())</f>
        <v>756</v>
      </c>
      <c r="L12">
        <f ca="1">DAYS360(INDIRECT(C69&amp;ROW()),TODAY())</f>
        <v>1155</v>
      </c>
      <c r="M12" s="11">
        <f ca="1">HYPERLINK(CONCATENATE("https://bugzilla.houston.hp.com:1181/bugzilla/show_bug.cgi?id=",INDIRECT(C70&amp;ROW())),INDIRECT(C70&amp;ROW()))</f>
        <v>39193</v>
      </c>
      <c r="N12">
        <v>39193</v>
      </c>
      <c r="O12" t="s">
        <v>55</v>
      </c>
      <c r="P12" t="s">
        <v>1344</v>
      </c>
      <c r="Q12" t="s">
        <v>16</v>
      </c>
      <c r="R12" t="s">
        <v>1341</v>
      </c>
      <c r="S12" t="s">
        <v>50</v>
      </c>
      <c r="U12" s="6">
        <v>42089.581064814818</v>
      </c>
      <c r="V12" t="s">
        <v>18</v>
      </c>
      <c r="W12" t="s">
        <v>17</v>
      </c>
      <c r="X12" s="6">
        <v>41687.798807870371</v>
      </c>
      <c r="Y12" t="s">
        <v>118</v>
      </c>
      <c r="AB12" t="s">
        <v>201</v>
      </c>
      <c r="AC12" t="s">
        <v>1027</v>
      </c>
      <c r="AD12" t="s">
        <v>220</v>
      </c>
      <c r="AE12" t="s">
        <v>219</v>
      </c>
      <c r="AG12" t="s">
        <v>121</v>
      </c>
      <c r="AH12" t="s">
        <v>327</v>
      </c>
      <c r="AI12" t="s">
        <v>121</v>
      </c>
      <c r="AJ12" t="s">
        <v>717</v>
      </c>
      <c r="AK12" t="s">
        <v>121</v>
      </c>
      <c r="AL12" t="s">
        <v>121</v>
      </c>
      <c r="AM12" t="s">
        <v>121</v>
      </c>
    </row>
    <row r="13" spans="1:39" x14ac:dyDescent="0.3">
      <c r="A13" s="2">
        <f ca="1">COUNTIF(INDIRECT(A68&amp;A67):INDIRECT(A69&amp;A66),INDIRECT("b"&amp;ROW()))</f>
        <v>5</v>
      </c>
      <c r="B13" s="2" t="str">
        <f>Assignees!C12</f>
        <v>Astra-Post IR13 07-18</v>
      </c>
      <c r="I13">
        <f ca="1">IF(OR(INDIRECT(A73&amp;ROW())=B93,INDIRECT(A73&amp;ROW())=B94),1,IF(AND(INDIRECT(A73&amp;ROW())=B95,INDIRECT(A96&amp;ROW())=C93),1,IF(AND(INDIRECT(A73&amp;ROW())=B95,INDIRECT(A96&amp;ROW())=C94),1,0)))</f>
        <v>0</v>
      </c>
      <c r="J13">
        <f ca="1">IF(AND(INDIRECT(A73&amp;ROW())=B95,INDIRECT(A96&amp;ROW())=C95),1,IF(AND(INDIRECT(A73&amp;ROW())=B95,INDIRECT(A96&amp;ROW())=C96),1,0))</f>
        <v>0</v>
      </c>
      <c r="K13">
        <f ca="1">DAYS360(INDIRECT(C68&amp;ROW()),TODAY())</f>
        <v>728</v>
      </c>
      <c r="L13">
        <f ca="1">DAYS360(INDIRECT(C69&amp;ROW()),TODAY())</f>
        <v>1145</v>
      </c>
      <c r="M13" s="11">
        <f ca="1">HYPERLINK(CONCATENATE("https://bugzilla.houston.hp.com:1181/bugzilla/show_bug.cgi?id=",INDIRECT(C70&amp;ROW())),INDIRECT(C70&amp;ROW()))</f>
        <v>39639</v>
      </c>
      <c r="N13">
        <v>39639</v>
      </c>
      <c r="O13" t="s">
        <v>66</v>
      </c>
      <c r="P13" t="s">
        <v>208</v>
      </c>
      <c r="Q13" t="s">
        <v>16</v>
      </c>
      <c r="R13" t="s">
        <v>251</v>
      </c>
      <c r="S13" t="s">
        <v>37</v>
      </c>
      <c r="T13" t="s">
        <v>794</v>
      </c>
      <c r="U13" s="6">
        <v>42118.519513888888</v>
      </c>
      <c r="V13" t="s">
        <v>35</v>
      </c>
      <c r="W13" t="s">
        <v>17</v>
      </c>
      <c r="X13" s="6">
        <v>41697.087245370371</v>
      </c>
      <c r="Y13" t="s">
        <v>119</v>
      </c>
      <c r="AB13" t="s">
        <v>201</v>
      </c>
      <c r="AC13" t="s">
        <v>121</v>
      </c>
      <c r="AD13" t="s">
        <v>220</v>
      </c>
      <c r="AE13" t="s">
        <v>219</v>
      </c>
      <c r="AG13" t="s">
        <v>121</v>
      </c>
      <c r="AH13" t="s">
        <v>327</v>
      </c>
      <c r="AI13" t="s">
        <v>121</v>
      </c>
      <c r="AJ13" t="s">
        <v>717</v>
      </c>
      <c r="AK13" t="s">
        <v>121</v>
      </c>
      <c r="AL13" t="s">
        <v>121</v>
      </c>
      <c r="AM13" t="s">
        <v>121</v>
      </c>
    </row>
    <row r="14" spans="1:39" x14ac:dyDescent="0.3">
      <c r="A14" s="2">
        <f ca="1">COUNTIF(INDIRECT(A68&amp;A67):INDIRECT(A69&amp;A66),INDIRECT("b"&amp;ROW()))</f>
        <v>4</v>
      </c>
      <c r="B14" s="2" t="str">
        <f>Assignees!C13</f>
        <v>Astra-Post IR13 07-25-RTI</v>
      </c>
      <c r="I14">
        <f ca="1">IF(OR(INDIRECT(A73&amp;ROW())=B93,INDIRECT(A73&amp;ROW())=B94),1,IF(AND(INDIRECT(A73&amp;ROW())=B95,INDIRECT(A96&amp;ROW())=C93),1,IF(AND(INDIRECT(A73&amp;ROW())=B95,INDIRECT(A96&amp;ROW())=C94),1,0)))</f>
        <v>0</v>
      </c>
      <c r="J14">
        <f ca="1">IF(AND(INDIRECT(A73&amp;ROW())=B95,INDIRECT(A96&amp;ROW())=C95),1,IF(AND(INDIRECT(A73&amp;ROW())=B95,INDIRECT(A96&amp;ROW())=C96),1,0))</f>
        <v>1</v>
      </c>
      <c r="K14">
        <f ca="1">DAYS360(INDIRECT(C68&amp;ROW()),TODAY())</f>
        <v>729</v>
      </c>
      <c r="L14">
        <f ca="1">DAYS360(INDIRECT(C69&amp;ROW()),TODAY())</f>
        <v>1145</v>
      </c>
      <c r="M14" s="11">
        <f ca="1">HYPERLINK(CONCATENATE("https://bugzilla.houston.hp.com:1181/bugzilla/show_bug.cgi?id=",INDIRECT(C70&amp;ROW())),INDIRECT(C70&amp;ROW()))</f>
        <v>39670</v>
      </c>
      <c r="N14">
        <v>39670</v>
      </c>
      <c r="O14" t="s">
        <v>31</v>
      </c>
      <c r="P14" t="s">
        <v>540</v>
      </c>
      <c r="Q14" t="s">
        <v>25</v>
      </c>
      <c r="R14" t="s">
        <v>251</v>
      </c>
      <c r="S14" t="s">
        <v>31</v>
      </c>
      <c r="U14" s="6">
        <v>42117.402280092596</v>
      </c>
      <c r="V14" t="s">
        <v>40</v>
      </c>
      <c r="W14" t="s">
        <v>17</v>
      </c>
      <c r="X14" s="6">
        <v>41697.697731481479</v>
      </c>
      <c r="Y14" t="s">
        <v>119</v>
      </c>
      <c r="AB14" t="s">
        <v>201</v>
      </c>
      <c r="AC14" t="s">
        <v>121</v>
      </c>
      <c r="AD14" t="s">
        <v>220</v>
      </c>
      <c r="AE14" t="s">
        <v>219</v>
      </c>
      <c r="AG14" t="s">
        <v>121</v>
      </c>
      <c r="AH14" t="s">
        <v>327</v>
      </c>
      <c r="AI14" t="s">
        <v>121</v>
      </c>
      <c r="AJ14" t="s">
        <v>716</v>
      </c>
      <c r="AK14" t="s">
        <v>121</v>
      </c>
      <c r="AL14" t="s">
        <v>121</v>
      </c>
      <c r="AM14" t="s">
        <v>121</v>
      </c>
    </row>
    <row r="15" spans="1:39" x14ac:dyDescent="0.3">
      <c r="A15" s="2">
        <f ca="1">COUNTIF(INDIRECT(A68&amp;A67):INDIRECT(A69&amp;A66),INDIRECT("b"&amp;ROW()))</f>
        <v>8</v>
      </c>
      <c r="B15" s="2" t="str">
        <f>Assignees!C14</f>
        <v>Astra-Post IR13 08-08-RTI</v>
      </c>
      <c r="I15">
        <f ca="1">IF(OR(INDIRECT(A73&amp;ROW())=B93,INDIRECT(A73&amp;ROW())=B94),1,IF(AND(INDIRECT(A73&amp;ROW())=B95,INDIRECT(A96&amp;ROW())=C93),1,IF(AND(INDIRECT(A73&amp;ROW())=B95,INDIRECT(A96&amp;ROW())=C94),1,0)))</f>
        <v>0</v>
      </c>
      <c r="J15">
        <f ca="1">IF(AND(INDIRECT(A73&amp;ROW())=B95,INDIRECT(A96&amp;ROW())=C95),1,IF(AND(INDIRECT(A73&amp;ROW())=B95,INDIRECT(A96&amp;ROW())=C96),1,0))</f>
        <v>0</v>
      </c>
      <c r="K15">
        <f ca="1">DAYS360(INDIRECT(C68&amp;ROW()),TODAY())</f>
        <v>724</v>
      </c>
      <c r="L15">
        <f ca="1">DAYS360(INDIRECT(C69&amp;ROW()),TODAY())</f>
        <v>1129</v>
      </c>
      <c r="M15" s="11">
        <f ca="1">HYPERLINK(CONCATENATE("https://bugzilla.houston.hp.com:1181/bugzilla/show_bug.cgi?id=",INDIRECT(C70&amp;ROW())),INDIRECT(C70&amp;ROW()))</f>
        <v>40147</v>
      </c>
      <c r="N15">
        <v>40147</v>
      </c>
      <c r="O15" t="s">
        <v>203</v>
      </c>
      <c r="P15" t="s">
        <v>386</v>
      </c>
      <c r="Q15" t="s">
        <v>16</v>
      </c>
      <c r="R15" t="s">
        <v>251</v>
      </c>
      <c r="S15" t="s">
        <v>43</v>
      </c>
      <c r="U15" s="6">
        <v>42122.542349537034</v>
      </c>
      <c r="V15" t="s">
        <v>35</v>
      </c>
      <c r="W15" t="s">
        <v>17</v>
      </c>
      <c r="X15" s="6">
        <v>41711.557384259257</v>
      </c>
      <c r="Y15" t="s">
        <v>118</v>
      </c>
      <c r="AB15" t="s">
        <v>201</v>
      </c>
      <c r="AC15" t="s">
        <v>121</v>
      </c>
      <c r="AD15" t="s">
        <v>220</v>
      </c>
      <c r="AE15" t="s">
        <v>223</v>
      </c>
      <c r="AG15" t="s">
        <v>121</v>
      </c>
      <c r="AH15" t="s">
        <v>327</v>
      </c>
      <c r="AI15" t="s">
        <v>121</v>
      </c>
      <c r="AJ15" t="s">
        <v>717</v>
      </c>
      <c r="AK15" t="s">
        <v>121</v>
      </c>
      <c r="AL15" t="s">
        <v>121</v>
      </c>
      <c r="AM15" t="s">
        <v>121</v>
      </c>
    </row>
    <row r="16" spans="1:39" x14ac:dyDescent="0.3">
      <c r="A16" s="2">
        <f ca="1">COUNTIF(INDIRECT(A68&amp;A67):INDIRECT(A69&amp;A66),INDIRECT("b"&amp;ROW()))</f>
        <v>11</v>
      </c>
      <c r="B16" s="2" t="str">
        <f>Assignees!C15</f>
        <v>Astra-Post IR13 08-15</v>
      </c>
      <c r="C16" s="7">
        <f ca="1">SUM(C2:C12)</f>
        <v>738</v>
      </c>
      <c r="D16" s="7" t="s">
        <v>23</v>
      </c>
      <c r="E16" s="1">
        <f ca="1">SUM(E2:E9)</f>
        <v>6</v>
      </c>
      <c r="F16" s="1">
        <f ca="1">SUM(F2:F9)</f>
        <v>83</v>
      </c>
      <c r="G16" s="7">
        <f ca="1">SUM(G2:G9)</f>
        <v>348</v>
      </c>
      <c r="H16" s="7">
        <f ca="1">SUM(H2:H12)</f>
        <v>301</v>
      </c>
      <c r="I16">
        <f ca="1">IF(OR(INDIRECT(A73&amp;ROW())=B93,INDIRECT(A73&amp;ROW())=B94),1,IF(AND(INDIRECT(A73&amp;ROW())=B95,INDIRECT(A96&amp;ROW())=C93),1,IF(AND(INDIRECT(A73&amp;ROW())=B95,INDIRECT(A96&amp;ROW())=C94),1,0)))</f>
        <v>0</v>
      </c>
      <c r="J16">
        <f ca="1">IF(AND(INDIRECT(A73&amp;ROW())=B95,INDIRECT(A96&amp;ROW())=C95),1,IF(AND(INDIRECT(A73&amp;ROW())=B95,INDIRECT(A96&amp;ROW())=C96),1,0))</f>
        <v>1</v>
      </c>
      <c r="K16">
        <f ca="1">DAYS360(INDIRECT(C68&amp;ROW()),TODAY())</f>
        <v>652</v>
      </c>
      <c r="L16">
        <f ca="1">DAYS360(INDIRECT(C69&amp;ROW()),TODAY())</f>
        <v>1117</v>
      </c>
      <c r="M16" s="11">
        <f ca="1">HYPERLINK(CONCATENATE("https://bugzilla.houston.hp.com:1181/bugzilla/show_bug.cgi?id=",INDIRECT(C70&amp;ROW())),INDIRECT(C70&amp;ROW()))</f>
        <v>41238</v>
      </c>
      <c r="N16">
        <v>41238</v>
      </c>
      <c r="O16" t="s">
        <v>56</v>
      </c>
      <c r="P16" t="s">
        <v>385</v>
      </c>
      <c r="Q16" t="s">
        <v>25</v>
      </c>
      <c r="R16" t="s">
        <v>251</v>
      </c>
      <c r="S16" t="s">
        <v>43</v>
      </c>
      <c r="U16" s="6">
        <v>42195.62568287037</v>
      </c>
      <c r="V16" t="s">
        <v>18</v>
      </c>
      <c r="W16" t="s">
        <v>17</v>
      </c>
      <c r="X16" s="6">
        <v>41723.653414351851</v>
      </c>
      <c r="Y16" t="s">
        <v>122</v>
      </c>
      <c r="AB16" t="s">
        <v>201</v>
      </c>
      <c r="AC16" t="s">
        <v>121</v>
      </c>
      <c r="AD16" t="s">
        <v>220</v>
      </c>
      <c r="AE16" t="s">
        <v>219</v>
      </c>
      <c r="AG16" t="s">
        <v>121</v>
      </c>
      <c r="AH16" t="s">
        <v>327</v>
      </c>
      <c r="AI16" t="s">
        <v>121</v>
      </c>
      <c r="AJ16" t="s">
        <v>716</v>
      </c>
      <c r="AK16" t="s">
        <v>121</v>
      </c>
      <c r="AL16" t="s">
        <v>121</v>
      </c>
      <c r="AM16" t="s">
        <v>121</v>
      </c>
    </row>
    <row r="17" spans="1:39" x14ac:dyDescent="0.3">
      <c r="A17" s="2">
        <f ca="1">COUNTIF(INDIRECT(A68&amp;A67):INDIRECT(A69&amp;A66),INDIRECT("b"&amp;ROW()))</f>
        <v>8</v>
      </c>
      <c r="B17" s="2" t="str">
        <f>Assignees!C16</f>
        <v>Astra-Post IR13 08-22</v>
      </c>
      <c r="C17">
        <f ca="1">C16-H16</f>
        <v>437</v>
      </c>
      <c r="D17" s="8" t="s">
        <v>26</v>
      </c>
      <c r="I17">
        <f ca="1">IF(OR(INDIRECT(A73&amp;ROW())=B93,INDIRECT(A73&amp;ROW())=B94),1,IF(AND(INDIRECT(A73&amp;ROW())=B95,INDIRECT(A96&amp;ROW())=C93),1,IF(AND(INDIRECT(A73&amp;ROW())=B95,INDIRECT(A96&amp;ROW())=C94),1,0)))</f>
        <v>0</v>
      </c>
      <c r="J17">
        <f ca="1">IF(AND(INDIRECT(A73&amp;ROW())=B95,INDIRECT(A96&amp;ROW())=C95),1,IF(AND(INDIRECT(A73&amp;ROW())=B95,INDIRECT(A96&amp;ROW())=C96),1,0))</f>
        <v>1</v>
      </c>
      <c r="K17">
        <f ca="1">DAYS360(INDIRECT(C68&amp;ROW()),TODAY())</f>
        <v>724</v>
      </c>
      <c r="L17">
        <f ca="1">DAYS360(INDIRECT(C69&amp;ROW()),TODAY())</f>
        <v>1115</v>
      </c>
      <c r="M17" s="11">
        <f ca="1">HYPERLINK(CONCATENATE("https://bugzilla.houston.hp.com:1181/bugzilla/show_bug.cgi?id=",INDIRECT(C70&amp;ROW())),INDIRECT(C70&amp;ROW()))</f>
        <v>41344</v>
      </c>
      <c r="N17">
        <v>41344</v>
      </c>
      <c r="O17" t="s">
        <v>43</v>
      </c>
      <c r="P17" t="s">
        <v>384</v>
      </c>
      <c r="Q17" t="s">
        <v>25</v>
      </c>
      <c r="R17" t="s">
        <v>251</v>
      </c>
      <c r="S17" t="s">
        <v>43</v>
      </c>
      <c r="U17" s="6">
        <v>42122.353217592594</v>
      </c>
      <c r="V17" t="s">
        <v>18</v>
      </c>
      <c r="W17" t="s">
        <v>17</v>
      </c>
      <c r="X17" s="6">
        <v>41725.638310185182</v>
      </c>
      <c r="Y17" t="s">
        <v>122</v>
      </c>
      <c r="AB17" t="s">
        <v>201</v>
      </c>
      <c r="AC17" t="s">
        <v>121</v>
      </c>
      <c r="AD17" t="s">
        <v>220</v>
      </c>
      <c r="AE17" t="s">
        <v>219</v>
      </c>
      <c r="AG17" t="s">
        <v>121</v>
      </c>
      <c r="AH17" t="s">
        <v>327</v>
      </c>
      <c r="AI17" t="s">
        <v>121</v>
      </c>
      <c r="AJ17" t="s">
        <v>716</v>
      </c>
      <c r="AK17" t="s">
        <v>121</v>
      </c>
      <c r="AL17" t="s">
        <v>121</v>
      </c>
      <c r="AM17" t="s">
        <v>121</v>
      </c>
    </row>
    <row r="18" spans="1:39" x14ac:dyDescent="0.3">
      <c r="A18" s="2">
        <f ca="1">COUNTIF(INDIRECT(A68&amp;A67):INDIRECT(A69&amp;A66),INDIRECT("b"&amp;ROW()))</f>
        <v>4</v>
      </c>
      <c r="B18" s="2" t="str">
        <f>Assignees!C17</f>
        <v>Astra-Post IR13 08-29</v>
      </c>
      <c r="C18">
        <f ca="1">C16-H16-C21-C50-C32</f>
        <v>272</v>
      </c>
      <c r="D18" t="s">
        <v>29</v>
      </c>
      <c r="I18">
        <f ca="1">IF(OR(INDIRECT(A73&amp;ROW())=B93,INDIRECT(A73&amp;ROW())=B94),1,IF(AND(INDIRECT(A73&amp;ROW())=B95,INDIRECT(A96&amp;ROW())=C93),1,IF(AND(INDIRECT(A73&amp;ROW())=B95,INDIRECT(A96&amp;ROW())=C94),1,0)))</f>
        <v>0</v>
      </c>
      <c r="J18">
        <f ca="1">IF(AND(INDIRECT(A73&amp;ROW())=B95,INDIRECT(A96&amp;ROW())=C95),1,IF(AND(INDIRECT(A73&amp;ROW())=B95,INDIRECT(A96&amp;ROW())=C96),1,0))</f>
        <v>0</v>
      </c>
      <c r="K18">
        <f ca="1">DAYS360(INDIRECT(C68&amp;ROW()),TODAY())</f>
        <v>728</v>
      </c>
      <c r="L18">
        <f ca="1">DAYS360(INDIRECT(C69&amp;ROW()),TODAY())</f>
        <v>1098</v>
      </c>
      <c r="M18" s="11">
        <f ca="1">HYPERLINK(CONCATENATE("https://bugzilla.houston.hp.com:1181/bugzilla/show_bug.cgi?id=",INDIRECT(C70&amp;ROW())),INDIRECT(C70&amp;ROW()))</f>
        <v>41906</v>
      </c>
      <c r="N18">
        <v>41906</v>
      </c>
      <c r="O18" t="s">
        <v>1345</v>
      </c>
      <c r="P18" t="s">
        <v>456</v>
      </c>
      <c r="Q18" t="s">
        <v>16</v>
      </c>
      <c r="R18" t="s">
        <v>251</v>
      </c>
      <c r="S18" t="s">
        <v>31</v>
      </c>
      <c r="U18" s="6">
        <v>42118.519907407404</v>
      </c>
      <c r="V18" t="s">
        <v>40</v>
      </c>
      <c r="W18" t="s">
        <v>17</v>
      </c>
      <c r="X18" s="6">
        <v>41743.650300925925</v>
      </c>
      <c r="Y18" t="s">
        <v>119</v>
      </c>
      <c r="AB18" t="s">
        <v>201</v>
      </c>
      <c r="AC18" t="s">
        <v>121</v>
      </c>
      <c r="AD18" t="s">
        <v>222</v>
      </c>
      <c r="AE18" t="s">
        <v>225</v>
      </c>
      <c r="AG18" t="s">
        <v>121</v>
      </c>
      <c r="AH18" t="s">
        <v>327</v>
      </c>
      <c r="AI18" t="s">
        <v>121</v>
      </c>
      <c r="AJ18" t="s">
        <v>717</v>
      </c>
      <c r="AK18" t="s">
        <v>121</v>
      </c>
      <c r="AL18" t="s">
        <v>121</v>
      </c>
      <c r="AM18" t="s">
        <v>121</v>
      </c>
    </row>
    <row r="19" spans="1:39" x14ac:dyDescent="0.3">
      <c r="A19" s="2">
        <f ca="1">COUNTIF(INDIRECT(A68&amp;A67):INDIRECT(A69&amp;A66),INDIRECT("b"&amp;ROW()))</f>
        <v>9</v>
      </c>
      <c r="B19" s="2" t="str">
        <f>Assignees!C18</f>
        <v>Astra-Post IR13 09-05</v>
      </c>
      <c r="C19" s="9">
        <f ca="1">(COUNTIFS(INDIRECT(A80&amp;A67):INDIRECT(A80&amp;A66),A93))</f>
        <v>701</v>
      </c>
      <c r="D19" s="9" t="str">
        <f>A93</f>
        <v>NEW</v>
      </c>
      <c r="E19" s="16">
        <f ca="1">(COUNTIFS(INDIRECT(A80&amp;A67):INDIRECT(A80&amp;A66),INDIRECT("d"&amp;ROW()),INDIRECT(A73&amp;A67):INDIRECT(A73&amp;A66),E1))</f>
        <v>4</v>
      </c>
      <c r="F19" s="4">
        <f ca="1">(COUNTIFS(INDIRECT(A80&amp;A67):INDIRECT(A80&amp;A66),INDIRECT("d"&amp;ROW()),INDIRECT(A73&amp;A67):INDIRECT(A73&amp;A66),F1))</f>
        <v>66</v>
      </c>
      <c r="G19" s="3">
        <f ca="1">(COUNTIFS(INDIRECT(A80&amp;A67):INDIRECT(A80&amp;A66),INDIRECT("d"&amp;ROW()),INDIRECT(A73&amp;A67):INDIRECT(A73&amp;A66),G1))</f>
        <v>337</v>
      </c>
      <c r="H19" s="5">
        <f ca="1">(COUNTIFS(INDIRECT(A80&amp;A67):INDIRECT(A80&amp;A66),INDIRECT("d"&amp;ROW()),INDIRECT(A73&amp;A67):INDIRECT(A73&amp;A66),H1))</f>
        <v>294</v>
      </c>
      <c r="I19">
        <f ca="1">IF(OR(INDIRECT(A73&amp;ROW())=B93,INDIRECT(A73&amp;ROW())=B94),1,IF(AND(INDIRECT(A73&amp;ROW())=B95,INDIRECT(A96&amp;ROW())=C93),1,IF(AND(INDIRECT(A73&amp;ROW())=B95,INDIRECT(A96&amp;ROW())=C94),1,0)))</f>
        <v>0</v>
      </c>
      <c r="J19">
        <f ca="1">IF(AND(INDIRECT(A73&amp;ROW())=B95,INDIRECT(A96&amp;ROW())=C95),1,IF(AND(INDIRECT(A73&amp;ROW())=B95,INDIRECT(A96&amp;ROW())=C96),1,0))</f>
        <v>0</v>
      </c>
      <c r="K19">
        <f ca="1">DAYS360(INDIRECT(C68&amp;ROW()),TODAY())</f>
        <v>639</v>
      </c>
      <c r="L19">
        <f ca="1">DAYS360(INDIRECT(C69&amp;ROW()),TODAY())</f>
        <v>1089</v>
      </c>
      <c r="M19" s="11">
        <f ca="1">HYPERLINK(CONCATENATE("https://bugzilla.houston.hp.com:1181/bugzilla/show_bug.cgi?id=",INDIRECT(C70&amp;ROW())),INDIRECT(C70&amp;ROW()))</f>
        <v>42198</v>
      </c>
      <c r="N19">
        <v>42198</v>
      </c>
      <c r="O19" t="s">
        <v>56</v>
      </c>
      <c r="P19" t="s">
        <v>1346</v>
      </c>
      <c r="Q19" t="s">
        <v>16</v>
      </c>
      <c r="R19" t="s">
        <v>251</v>
      </c>
      <c r="S19" t="s">
        <v>43</v>
      </c>
      <c r="U19" s="6">
        <v>42208.445486111108</v>
      </c>
      <c r="V19" t="s">
        <v>40</v>
      </c>
      <c r="W19" t="s">
        <v>17</v>
      </c>
      <c r="X19" s="6">
        <v>41752.4375462963</v>
      </c>
      <c r="Y19" t="s">
        <v>786</v>
      </c>
      <c r="AB19" t="s">
        <v>199</v>
      </c>
      <c r="AC19" t="s">
        <v>247</v>
      </c>
      <c r="AD19" t="s">
        <v>220</v>
      </c>
      <c r="AE19" t="s">
        <v>219</v>
      </c>
      <c r="AG19" t="s">
        <v>121</v>
      </c>
      <c r="AH19" t="s">
        <v>327</v>
      </c>
      <c r="AI19" t="s">
        <v>121</v>
      </c>
      <c r="AJ19" t="s">
        <v>716</v>
      </c>
      <c r="AK19" t="s">
        <v>121</v>
      </c>
      <c r="AL19" t="s">
        <v>121</v>
      </c>
      <c r="AM19" t="s">
        <v>121</v>
      </c>
    </row>
    <row r="20" spans="1:39" x14ac:dyDescent="0.3">
      <c r="A20" s="2">
        <f ca="1">COUNTIF(INDIRECT(A68&amp;A67):INDIRECT(A69&amp;A66),INDIRECT("b"&amp;ROW()))</f>
        <v>2</v>
      </c>
      <c r="B20" s="2" t="str">
        <f>Assignees!C19</f>
        <v>Astra-Post IR13 09-12</v>
      </c>
      <c r="C20" s="9">
        <f ca="1">(COUNTIFS(INDIRECT(A80&amp;A67):INDIRECT(A80&amp;A66),A94))</f>
        <v>87</v>
      </c>
      <c r="D20" s="9" t="str">
        <f>A94</f>
        <v>ASSIGNED</v>
      </c>
      <c r="E20" s="16">
        <f ca="1">(COUNTIFS(INDIRECT(A80&amp;A67):INDIRECT(A80&amp;A66),INDIRECT("d"&amp;ROW()),INDIRECT(A73&amp;A67):INDIRECT(A73&amp;A66),E1))</f>
        <v>2</v>
      </c>
      <c r="F20" s="4">
        <f ca="1">(COUNTIFS(INDIRECT(A80&amp;A67):INDIRECT(A80&amp;A66),INDIRECT("d"&amp;ROW()),INDIRECT(A73&amp;A67):INDIRECT(A73&amp;A66),F1))</f>
        <v>14</v>
      </c>
      <c r="G20" s="3">
        <f ca="1">(COUNTIFS(INDIRECT(A80&amp;A67):INDIRECT(A80&amp;A66),INDIRECT("d"&amp;ROW()),INDIRECT(A73&amp;A67):INDIRECT(A73&amp;A66),G1))</f>
        <v>39</v>
      </c>
      <c r="H20" s="5">
        <f ca="1">(COUNTIFS(INDIRECT(A80&amp;A67):INDIRECT(A80&amp;A66),INDIRECT("d"&amp;ROW()),INDIRECT(A73&amp;A67):INDIRECT(A73&amp;A66),H1))</f>
        <v>32</v>
      </c>
      <c r="I20">
        <f ca="1">IF(OR(INDIRECT(A73&amp;ROW())=B93,INDIRECT(A73&amp;ROW())=B94),1,IF(AND(INDIRECT(A73&amp;ROW())=B95,INDIRECT(A96&amp;ROW())=C93),1,IF(AND(INDIRECT(A73&amp;ROW())=B95,INDIRECT(A96&amp;ROW())=C94),1,0)))</f>
        <v>0</v>
      </c>
      <c r="J20">
        <f ca="1">IF(AND(INDIRECT(A73&amp;ROW())=B95,INDIRECT(A96&amp;ROW())=C95),1,IF(AND(INDIRECT(A73&amp;ROW())=B95,INDIRECT(A96&amp;ROW())=C96),1,0))</f>
        <v>1</v>
      </c>
      <c r="K20">
        <f ca="1">DAYS360(INDIRECT(C68&amp;ROW()),TODAY())</f>
        <v>724</v>
      </c>
      <c r="L20">
        <f ca="1">DAYS360(INDIRECT(C69&amp;ROW()),TODAY())</f>
        <v>1088</v>
      </c>
      <c r="M20" s="11">
        <f ca="1">HYPERLINK(CONCATENATE("https://bugzilla.houston.hp.com:1181/bugzilla/show_bug.cgi?id=",INDIRECT(C70&amp;ROW())),INDIRECT(C70&amp;ROW()))</f>
        <v>42234</v>
      </c>
      <c r="N20">
        <v>42234</v>
      </c>
      <c r="O20" t="s">
        <v>187</v>
      </c>
      <c r="P20" t="s">
        <v>455</v>
      </c>
      <c r="Q20" t="s">
        <v>25</v>
      </c>
      <c r="R20" t="s">
        <v>251</v>
      </c>
      <c r="S20" t="s">
        <v>22</v>
      </c>
      <c r="U20" s="6">
        <v>42122.355613425927</v>
      </c>
      <c r="V20" t="s">
        <v>18</v>
      </c>
      <c r="W20" t="s">
        <v>17</v>
      </c>
      <c r="X20" s="6">
        <v>41753.652465277781</v>
      </c>
      <c r="Y20" t="s">
        <v>786</v>
      </c>
      <c r="AB20" t="s">
        <v>201</v>
      </c>
      <c r="AC20" t="s">
        <v>121</v>
      </c>
      <c r="AD20" t="s">
        <v>220</v>
      </c>
      <c r="AE20" t="s">
        <v>219</v>
      </c>
      <c r="AG20" t="s">
        <v>121</v>
      </c>
      <c r="AH20" t="s">
        <v>327</v>
      </c>
      <c r="AI20" t="s">
        <v>121</v>
      </c>
      <c r="AJ20" t="s">
        <v>716</v>
      </c>
      <c r="AK20" t="s">
        <v>121</v>
      </c>
      <c r="AL20" t="s">
        <v>121</v>
      </c>
      <c r="AM20" t="s">
        <v>121</v>
      </c>
    </row>
    <row r="21" spans="1:39" x14ac:dyDescent="0.3">
      <c r="A21" s="2">
        <f ca="1">COUNTIF(INDIRECT(A68&amp;A67):INDIRECT(A69&amp;A66),INDIRECT("b"&amp;ROW()))</f>
        <v>5</v>
      </c>
      <c r="B21" s="2" t="str">
        <f>Assignees!C20</f>
        <v>Astra-Post IR13 09-19</v>
      </c>
      <c r="C21" s="9">
        <f ca="1">(COUNTIFS(INDIRECT(A80&amp;A67):INDIRECT(A80&amp;A66),A95))</f>
        <v>52</v>
      </c>
      <c r="D21" s="9" t="str">
        <f>A95</f>
        <v>REOPENED</v>
      </c>
      <c r="E21" s="16">
        <f ca="1">(COUNTIFS(INDIRECT(A80&amp;A67):INDIRECT(A80&amp;A66),INDIRECT("d"&amp;ROW()),INDIRECT(A73&amp;A67):INDIRECT(A73&amp;A66),E1))</f>
        <v>0</v>
      </c>
      <c r="F21" s="4">
        <f ca="1">(COUNTIFS(INDIRECT(A80&amp;A67):INDIRECT(A80&amp;A66),INDIRECT("d"&amp;ROW()),INDIRECT(A73&amp;A67):INDIRECT(A73&amp;A66),F1))</f>
        <v>12</v>
      </c>
      <c r="G21" s="3">
        <f ca="1">(COUNTIFS(INDIRECT(A80&amp;A67):INDIRECT(A80&amp;A66),INDIRECT("d"&amp;ROW()),INDIRECT(A73&amp;A67):INDIRECT(A73&amp;A66),G1))</f>
        <v>27</v>
      </c>
      <c r="H21" s="5">
        <f ca="1">(COUNTIFS(INDIRECT(A80&amp;A67):INDIRECT(A80&amp;A66),INDIRECT("d"&amp;ROW()),INDIRECT(A73&amp;A67):INDIRECT(A73&amp;A66),H1))</f>
        <v>13</v>
      </c>
      <c r="I21">
        <f ca="1">IF(OR(INDIRECT(A73&amp;ROW())=B93,INDIRECT(A73&amp;ROW())=B94),1,IF(AND(INDIRECT(A73&amp;ROW())=B95,INDIRECT(A96&amp;ROW())=C93),1,IF(AND(INDIRECT(A73&amp;ROW())=B95,INDIRECT(A96&amp;ROW())=C94),1,0)))</f>
        <v>0</v>
      </c>
      <c r="J21">
        <f ca="1">IF(AND(INDIRECT(A73&amp;ROW())=B95,INDIRECT(A96&amp;ROW())=C95),1,IF(AND(INDIRECT(A73&amp;ROW())=B95,INDIRECT(A96&amp;ROW())=C96),1,0))</f>
        <v>0</v>
      </c>
      <c r="K21">
        <f ca="1">DAYS360(INDIRECT(C68&amp;ROW()),TODAY())</f>
        <v>728</v>
      </c>
      <c r="L21">
        <f ca="1">DAYS360(INDIRECT(C69&amp;ROW()),TODAY())</f>
        <v>1084</v>
      </c>
      <c r="M21" s="11">
        <f ca="1">HYPERLINK(CONCATENATE("https://bugzilla.houston.hp.com:1181/bugzilla/show_bug.cgi?id=",INDIRECT(C70&amp;ROW())),INDIRECT(C70&amp;ROW()))</f>
        <v>42317</v>
      </c>
      <c r="N21">
        <v>42317</v>
      </c>
      <c r="O21" t="s">
        <v>1345</v>
      </c>
      <c r="P21" t="s">
        <v>454</v>
      </c>
      <c r="Q21" t="s">
        <v>16</v>
      </c>
      <c r="R21" t="s">
        <v>251</v>
      </c>
      <c r="S21" t="s">
        <v>31</v>
      </c>
      <c r="U21" s="6">
        <v>42118.52002314815</v>
      </c>
      <c r="V21" t="s">
        <v>35</v>
      </c>
      <c r="W21" t="s">
        <v>17</v>
      </c>
      <c r="X21" s="6">
        <v>41757.419675925928</v>
      </c>
      <c r="Y21" t="s">
        <v>119</v>
      </c>
      <c r="AB21" t="s">
        <v>201</v>
      </c>
      <c r="AC21" t="s">
        <v>121</v>
      </c>
      <c r="AD21" t="s">
        <v>222</v>
      </c>
      <c r="AE21" t="s">
        <v>240</v>
      </c>
      <c r="AG21" t="s">
        <v>121</v>
      </c>
      <c r="AH21" t="s">
        <v>327</v>
      </c>
      <c r="AI21" t="s">
        <v>121</v>
      </c>
      <c r="AJ21" t="s">
        <v>717</v>
      </c>
      <c r="AK21" t="s">
        <v>121</v>
      </c>
      <c r="AL21" t="s">
        <v>121</v>
      </c>
      <c r="AM21" t="s">
        <v>121</v>
      </c>
    </row>
    <row r="22" spans="1:39" x14ac:dyDescent="0.3">
      <c r="A22" s="2">
        <f ca="1">COUNTIF(INDIRECT(A68&amp;A67):INDIRECT(A69&amp;A66),INDIRECT("b"&amp;ROW()))</f>
        <v>5</v>
      </c>
      <c r="B22" s="2" t="str">
        <f>Assignees!C21</f>
        <v>Astra-Post IR13 09-26</v>
      </c>
      <c r="C22" s="21">
        <f ca="1">COUNTIFS(INDIRECT(A79&amp;A67):INDIRECT(A79&amp;A66),"*"&amp;B92&amp;"*")</f>
        <v>33</v>
      </c>
      <c r="D22" s="21" t="str">
        <f>CONCATENATE(B79," ",B92)</f>
        <v>Component Documentation</v>
      </c>
      <c r="E22" s="16">
        <f ca="1">COUNTIFS(INDIRECT(A69&amp;A67):INDIRECT(A69&amp;A66),"*"&amp;A92&amp;"*",INDIRECT(A73&amp;A67):INDIRECT(A73&amp;A66),E1)</f>
        <v>0</v>
      </c>
      <c r="F22" s="4">
        <f ca="1">COUNTIFS(INDIRECT(A69&amp;A67):INDIRECT(A69&amp;A66),"*"&amp;A92&amp;"*",INDIRECT(A73&amp;A67):INDIRECT(A73&amp;A66),F1)</f>
        <v>0</v>
      </c>
      <c r="G22" s="3">
        <f ca="1">COUNTIFS(INDIRECT(A69&amp;A67):INDIRECT(A69&amp;A66),"*"&amp;A92&amp;"*",INDIRECT(A73&amp;A67):INDIRECT(A73&amp;A66),G1)</f>
        <v>0</v>
      </c>
      <c r="H22" s="5">
        <f ca="1">(COUNTIFS(INDIRECT(A80&amp;A67):INDIRECT(A80&amp;A66),INDIRECT("d"&amp;ROW()),INDIRECT(A73&amp;A67):INDIRECT(A73&amp;A66),H1))</f>
        <v>0</v>
      </c>
      <c r="I22">
        <f ca="1">IF(OR(INDIRECT(A73&amp;ROW())=B93,INDIRECT(A73&amp;ROW())=B94),1,IF(AND(INDIRECT(A73&amp;ROW())=B95,INDIRECT(A96&amp;ROW())=C93),1,IF(AND(INDIRECT(A73&amp;ROW())=B95,INDIRECT(A96&amp;ROW())=C94),1,0)))</f>
        <v>0</v>
      </c>
      <c r="J22">
        <f ca="1">IF(AND(INDIRECT(A73&amp;ROW())=B95,INDIRECT(A96&amp;ROW())=C95),1,IF(AND(INDIRECT(A73&amp;ROW())=B95,INDIRECT(A96&amp;ROW())=C96),1,0))</f>
        <v>0</v>
      </c>
      <c r="K22">
        <f ca="1">DAYS360(INDIRECT(C68&amp;ROW()),TODAY())</f>
        <v>674</v>
      </c>
      <c r="L22">
        <f ca="1">DAYS360(INDIRECT(C69&amp;ROW()),TODAY())</f>
        <v>1084</v>
      </c>
      <c r="M22" s="11">
        <f ca="1">HYPERLINK(CONCATENATE("https://bugzilla.houston.hp.com:1181/bugzilla/show_bug.cgi?id=",INDIRECT(C70&amp;ROW())),INDIRECT(C70&amp;ROW()))</f>
        <v>42322</v>
      </c>
      <c r="N22">
        <v>42322</v>
      </c>
      <c r="O22" t="s">
        <v>56</v>
      </c>
      <c r="P22" t="s">
        <v>453</v>
      </c>
      <c r="Q22" t="s">
        <v>16</v>
      </c>
      <c r="R22" t="s">
        <v>251</v>
      </c>
      <c r="S22" t="s">
        <v>24</v>
      </c>
      <c r="T22" t="s">
        <v>794</v>
      </c>
      <c r="U22" s="6">
        <v>42173.527106481481</v>
      </c>
      <c r="V22" t="s">
        <v>35</v>
      </c>
      <c r="W22" t="s">
        <v>17</v>
      </c>
      <c r="X22" s="6">
        <v>41757.499259259261</v>
      </c>
      <c r="Y22" t="s">
        <v>119</v>
      </c>
      <c r="AB22" t="s">
        <v>201</v>
      </c>
      <c r="AC22" t="s">
        <v>121</v>
      </c>
      <c r="AD22" t="s">
        <v>220</v>
      </c>
      <c r="AE22" t="s">
        <v>219</v>
      </c>
      <c r="AG22" t="s">
        <v>121</v>
      </c>
      <c r="AH22" t="s">
        <v>327</v>
      </c>
      <c r="AI22" t="s">
        <v>121</v>
      </c>
      <c r="AJ22" t="s">
        <v>717</v>
      </c>
      <c r="AK22" t="s">
        <v>121</v>
      </c>
      <c r="AL22" t="s">
        <v>121</v>
      </c>
      <c r="AM22" t="s">
        <v>121</v>
      </c>
    </row>
    <row r="23" spans="1:39" x14ac:dyDescent="0.3">
      <c r="A23" s="2">
        <f ca="1">COUNTIF(INDIRECT(A68&amp;A67):INDIRECT(A69&amp;A66),INDIRECT("b"&amp;ROW()))</f>
        <v>3</v>
      </c>
      <c r="B23" s="2" t="str">
        <f>Assignees!C22</f>
        <v>Astra-Post IR13 10-03</v>
      </c>
      <c r="I23">
        <f ca="1">IF(OR(INDIRECT(A73&amp;ROW())=B93,INDIRECT(A73&amp;ROW())=B94),1,IF(AND(INDIRECT(A73&amp;ROW())=B95,INDIRECT(A96&amp;ROW())=C93),1,IF(AND(INDIRECT(A73&amp;ROW())=B95,INDIRECT(A96&amp;ROW())=C94),1,0)))</f>
        <v>0</v>
      </c>
      <c r="J23">
        <f ca="1">IF(AND(INDIRECT(A73&amp;ROW())=B95,INDIRECT(A96&amp;ROW())=C95),1,IF(AND(INDIRECT(A73&amp;ROW())=B95,INDIRECT(A96&amp;ROW())=C96),1,0))</f>
        <v>0</v>
      </c>
      <c r="K23">
        <f ca="1">DAYS360(INDIRECT(C68&amp;ROW()),TODAY())</f>
        <v>724</v>
      </c>
      <c r="L23">
        <f ca="1">DAYS360(INDIRECT(C69&amp;ROW()),TODAY())</f>
        <v>1082</v>
      </c>
      <c r="M23" s="11">
        <f ca="1">HYPERLINK(CONCATENATE("https://bugzilla.houston.hp.com:1181/bugzilla/show_bug.cgi?id=",INDIRECT(C70&amp;ROW())),INDIRECT(C70&amp;ROW()))</f>
        <v>42414</v>
      </c>
      <c r="N23">
        <v>42414</v>
      </c>
      <c r="O23" t="s">
        <v>53</v>
      </c>
      <c r="P23" t="s">
        <v>713</v>
      </c>
      <c r="Q23" t="s">
        <v>16</v>
      </c>
      <c r="R23" t="s">
        <v>251</v>
      </c>
      <c r="S23" t="s">
        <v>53</v>
      </c>
      <c r="U23" s="6">
        <v>42122.542314814818</v>
      </c>
      <c r="V23" t="s">
        <v>18</v>
      </c>
      <c r="W23" t="s">
        <v>17</v>
      </c>
      <c r="X23" s="6">
        <v>41759.650740740741</v>
      </c>
      <c r="Y23" t="s">
        <v>118</v>
      </c>
      <c r="AB23" t="s">
        <v>201</v>
      </c>
      <c r="AC23" t="s">
        <v>121</v>
      </c>
      <c r="AD23" t="s">
        <v>220</v>
      </c>
      <c r="AE23" t="s">
        <v>219</v>
      </c>
      <c r="AG23" t="s">
        <v>121</v>
      </c>
      <c r="AH23" t="s">
        <v>327</v>
      </c>
      <c r="AI23" t="s">
        <v>121</v>
      </c>
      <c r="AJ23" t="s">
        <v>717</v>
      </c>
      <c r="AK23" t="s">
        <v>121</v>
      </c>
      <c r="AL23" t="s">
        <v>121</v>
      </c>
      <c r="AM23" t="s">
        <v>121</v>
      </c>
    </row>
    <row r="24" spans="1:39" x14ac:dyDescent="0.3">
      <c r="A24" s="2">
        <f ca="1">COUNTIF(INDIRECT(A68&amp;A67):INDIRECT(A69&amp;A66),INDIRECT("b"&amp;ROW()))</f>
        <v>14</v>
      </c>
      <c r="B24" s="2" t="str">
        <f>Assignees!C23</f>
        <v>Astra-Post IR13 10-10</v>
      </c>
      <c r="C24" s="10">
        <f ca="1">COUNTIFS(INDIRECT(A78&amp;A67):INDIRECT(A78&amp;A66),INDIRECT("d"&amp;ROW()))</f>
        <v>241</v>
      </c>
      <c r="D24" s="10" t="str">
        <f>CONCATENATE("Protocols-",A88)</f>
        <v>Protocols-AAUM</v>
      </c>
      <c r="E24" s="16">
        <f ca="1">COUNTIFS(INDIRECT(A78&amp;A67):INDIRECT(A78&amp;A66),INDIRECT("d"&amp;ROW()),INDIRECT(A73&amp;A67):INDIRECT(A73&amp;A66),E1)</f>
        <v>4</v>
      </c>
      <c r="F24" s="4">
        <f ca="1">COUNTIFS(INDIRECT(A78&amp;A67):INDIRECT(A78&amp;A66),INDIRECT("d"&amp;ROW()),INDIRECT(A73&amp;A67):INDIRECT(A73&amp;A66),F1)</f>
        <v>19</v>
      </c>
      <c r="G24" s="3">
        <f ca="1">COUNTIFS(INDIRECT(A78&amp;A67):INDIRECT(A78&amp;A66),INDIRECT("d"&amp;ROW()),INDIRECT(A73&amp;A67):INDIRECT(A73&amp;A66),G1)</f>
        <v>125</v>
      </c>
      <c r="H24" s="5">
        <f ca="1">COUNTIFS(INDIRECT(A78&amp;A67):INDIRECT(A78&amp;A66),INDIRECT("d"&amp;ROW()),INDIRECT(A73&amp;A67):INDIRECT(A73&amp;A66),H1)</f>
        <v>93</v>
      </c>
      <c r="I24">
        <f ca="1">IF(OR(INDIRECT(A73&amp;ROW())=B93,INDIRECT(A73&amp;ROW())=B94),1,IF(AND(INDIRECT(A73&amp;ROW())=B95,INDIRECT(A96&amp;ROW())=C93),1,IF(AND(INDIRECT(A73&amp;ROW())=B95,INDIRECT(A96&amp;ROW())=C94),1,0)))</f>
        <v>1</v>
      </c>
      <c r="J24">
        <f ca="1">IF(AND(INDIRECT(A73&amp;ROW())=B95,INDIRECT(A96&amp;ROW())=C95),1,IF(AND(INDIRECT(A73&amp;ROW())=B95,INDIRECT(A96&amp;ROW())=C96),1,0))</f>
        <v>0</v>
      </c>
      <c r="K24">
        <f ca="1">DAYS360(INDIRECT(C68&amp;ROW()),TODAY())</f>
        <v>615</v>
      </c>
      <c r="L24">
        <f ca="1">DAYS360(INDIRECT(C69&amp;ROW()),TODAY())</f>
        <v>1080</v>
      </c>
      <c r="M24" s="11">
        <f ca="1">HYPERLINK(CONCATENATE("https://bugzilla.houston.hp.com:1181/bugzilla/show_bug.cgi?id=",INDIRECT(C70&amp;ROW())),INDIRECT(C70&amp;ROW()))</f>
        <v>42454</v>
      </c>
      <c r="N24">
        <v>42454</v>
      </c>
      <c r="O24" t="s">
        <v>164</v>
      </c>
      <c r="P24" t="s">
        <v>1347</v>
      </c>
      <c r="Q24" t="s">
        <v>25</v>
      </c>
      <c r="R24" t="s">
        <v>251</v>
      </c>
      <c r="S24" t="s">
        <v>1348</v>
      </c>
      <c r="T24" t="s">
        <v>48</v>
      </c>
      <c r="U24" s="6">
        <v>42233.007314814815</v>
      </c>
      <c r="V24" t="s">
        <v>35</v>
      </c>
      <c r="W24" t="s">
        <v>57</v>
      </c>
      <c r="X24" s="6">
        <v>41761.592361111114</v>
      </c>
      <c r="Y24" t="s">
        <v>125</v>
      </c>
      <c r="AB24" t="s">
        <v>200</v>
      </c>
      <c r="AC24" t="s">
        <v>216</v>
      </c>
      <c r="AD24" t="s">
        <v>220</v>
      </c>
      <c r="AE24" t="s">
        <v>219</v>
      </c>
      <c r="AG24" t="s">
        <v>121</v>
      </c>
      <c r="AH24" t="s">
        <v>328</v>
      </c>
      <c r="AI24" t="s">
        <v>121</v>
      </c>
      <c r="AJ24" t="s">
        <v>715</v>
      </c>
      <c r="AK24" t="s">
        <v>121</v>
      </c>
      <c r="AL24" t="s">
        <v>121</v>
      </c>
      <c r="AM24" t="s">
        <v>121</v>
      </c>
    </row>
    <row r="25" spans="1:39" x14ac:dyDescent="0.3">
      <c r="A25" s="2">
        <f ca="1">COUNTIF(INDIRECT(A68&amp;A67):INDIRECT(A69&amp;A66),INDIRECT("b"&amp;ROW()))</f>
        <v>2</v>
      </c>
      <c r="B25" s="2" t="str">
        <f>Assignees!C24</f>
        <v>Astra-Post IR13 10-17</v>
      </c>
      <c r="C25" s="10">
        <f ca="1">COUNTIFS(INDIRECT(A78&amp;A67):INDIRECT(A78&amp;A66),INDIRECT("d"&amp;ROW()))</f>
        <v>110</v>
      </c>
      <c r="D25" s="10" t="str">
        <f>CONCATENATE("Protocols-",A89)</f>
        <v>Protocols-NFS</v>
      </c>
      <c r="E25" s="16">
        <f ca="1">COUNTIFS(INDIRECT(A78&amp;A67):INDIRECT(A78&amp;A66),INDIRECT("d"&amp;ROW()),INDIRECT(A73&amp;A67):INDIRECT(A73&amp;A66),E1)</f>
        <v>2</v>
      </c>
      <c r="F25" s="4">
        <f ca="1">COUNTIFS(INDIRECT(A78&amp;A67):INDIRECT(A78&amp;A66),INDIRECT("d"&amp;ROW()),INDIRECT(A73&amp;A67):INDIRECT(A73&amp;A66),F1)</f>
        <v>13</v>
      </c>
      <c r="G25" s="3">
        <f ca="1">COUNTIFS(INDIRECT(A78&amp;A67):INDIRECT(A78&amp;A66),INDIRECT("d"&amp;ROW()),INDIRECT(A73&amp;A67):INDIRECT(A73&amp;A66),G1)</f>
        <v>57</v>
      </c>
      <c r="H25" s="5">
        <f ca="1">COUNTIFS(INDIRECT(A78&amp;A67):INDIRECT(A78&amp;A66),INDIRECT("d"&amp;ROW()),INDIRECT(A73&amp;A67):INDIRECT(A73&amp;A66),H1)</f>
        <v>38</v>
      </c>
      <c r="I25">
        <f ca="1">IF(OR(INDIRECT(A73&amp;ROW())=B93,INDIRECT(A73&amp;ROW())=B94),1,IF(AND(INDIRECT(A73&amp;ROW())=B95,INDIRECT(A96&amp;ROW())=C93),1,IF(AND(INDIRECT(A73&amp;ROW())=B95,INDIRECT(A96&amp;ROW())=C94),1,0)))</f>
        <v>0</v>
      </c>
      <c r="J25">
        <f ca="1">IF(AND(INDIRECT(A73&amp;ROW())=B95,INDIRECT(A96&amp;ROW())=C95),1,IF(AND(INDIRECT(A73&amp;ROW())=B95,INDIRECT(A96&amp;ROW())=C96),1,0))</f>
        <v>0</v>
      </c>
      <c r="K25">
        <f ca="1">DAYS360(INDIRECT(C68&amp;ROW()),TODAY())</f>
        <v>687</v>
      </c>
      <c r="L25">
        <f ca="1">DAYS360(INDIRECT(C69&amp;ROW()),TODAY())</f>
        <v>1072</v>
      </c>
      <c r="M25" s="11">
        <f ca="1">HYPERLINK(CONCATENATE("https://bugzilla.houston.hp.com:1181/bugzilla/show_bug.cgi?id=",INDIRECT(C70&amp;ROW())),INDIRECT(C70&amp;ROW()))</f>
        <v>42745</v>
      </c>
      <c r="N25">
        <v>42745</v>
      </c>
      <c r="O25" t="s">
        <v>56</v>
      </c>
      <c r="P25" t="s">
        <v>1349</v>
      </c>
      <c r="Q25" t="s">
        <v>16</v>
      </c>
      <c r="R25" t="s">
        <v>251</v>
      </c>
      <c r="S25" t="s">
        <v>65</v>
      </c>
      <c r="T25" t="s">
        <v>48</v>
      </c>
      <c r="U25" s="6">
        <v>42160.447708333333</v>
      </c>
      <c r="V25" t="s">
        <v>35</v>
      </c>
      <c r="W25" t="s">
        <v>173</v>
      </c>
      <c r="X25" s="6">
        <v>41769.874247685184</v>
      </c>
      <c r="Y25" t="s">
        <v>122</v>
      </c>
      <c r="AB25" t="s">
        <v>201</v>
      </c>
      <c r="AC25" t="s">
        <v>121</v>
      </c>
      <c r="AD25" t="s">
        <v>220</v>
      </c>
      <c r="AE25" t="s">
        <v>219</v>
      </c>
      <c r="AG25" t="s">
        <v>121</v>
      </c>
      <c r="AH25" t="s">
        <v>327</v>
      </c>
      <c r="AI25" t="s">
        <v>121</v>
      </c>
      <c r="AJ25" t="s">
        <v>717</v>
      </c>
      <c r="AK25" t="s">
        <v>121</v>
      </c>
      <c r="AL25" t="s">
        <v>121</v>
      </c>
      <c r="AM25" t="s">
        <v>121</v>
      </c>
    </row>
    <row r="26" spans="1:39" x14ac:dyDescent="0.3">
      <c r="A26" s="2">
        <f ca="1">COUNTIF(INDIRECT(A68&amp;A67):INDIRECT(A69&amp;A66),INDIRECT("b"&amp;ROW()))</f>
        <v>17</v>
      </c>
      <c r="B26" s="2" t="str">
        <f>Assignees!C25</f>
        <v>Astra-Post IR13 10-24</v>
      </c>
      <c r="C26" s="10">
        <f ca="1">COUNTIFS(INDIRECT(A78&amp;A67):INDIRECT(A78&amp;A66),INDIRECT("d"&amp;ROW()))</f>
        <v>489</v>
      </c>
      <c r="D26" s="10" t="str">
        <f>CONCATENATE("Protocols-",A90)</f>
        <v>Protocols-SMB</v>
      </c>
      <c r="E26" s="16">
        <f ca="1">COUNTIFS(INDIRECT(A78&amp;A67):INDIRECT(A78&amp;A66),INDIRECT("d"&amp;ROW()),INDIRECT(A73&amp;A67):INDIRECT(A73&amp;A66),E1)</f>
        <v>0</v>
      </c>
      <c r="F26" s="4">
        <f ca="1">COUNTIFS(INDIRECT(A78&amp;A67):INDIRECT(A78&amp;A66),INDIRECT("d"&amp;ROW()),INDIRECT(A73&amp;A67):INDIRECT(A73&amp;A66),F1)</f>
        <v>60</v>
      </c>
      <c r="G26" s="3">
        <f ca="1">COUNTIFS(INDIRECT(A78&amp;A67):INDIRECT(A78&amp;A66),INDIRECT("d"&amp;ROW()),INDIRECT(A73&amp;A67):INDIRECT(A73&amp;A66),G1)</f>
        <v>221</v>
      </c>
      <c r="H26" s="5">
        <f ca="1">COUNTIFS(INDIRECT(A78&amp;A67):INDIRECT(A78&amp;A66),INDIRECT("d"&amp;ROW()),INDIRECT(A73&amp;A67):INDIRECT(A73&amp;A66),H1)</f>
        <v>208</v>
      </c>
      <c r="I26">
        <f ca="1">IF(OR(INDIRECT(A73&amp;ROW())=B93,INDIRECT(A73&amp;ROW())=B94),1,IF(AND(INDIRECT(A73&amp;ROW())=B95,INDIRECT(A96&amp;ROW())=C93),1,IF(AND(INDIRECT(A73&amp;ROW())=B95,INDIRECT(A96&amp;ROW())=C94),1,0)))</f>
        <v>0</v>
      </c>
      <c r="J26">
        <f ca="1">IF(AND(INDIRECT(A73&amp;ROW())=B95,INDIRECT(A96&amp;ROW())=C95),1,IF(AND(INDIRECT(A73&amp;ROW())=B95,INDIRECT(A96&amp;ROW())=C96),1,0))</f>
        <v>0</v>
      </c>
      <c r="K26">
        <f ca="1">DAYS360(INDIRECT(C68&amp;ROW()),TODAY())</f>
        <v>687</v>
      </c>
      <c r="L26">
        <f ca="1">DAYS360(INDIRECT(C69&amp;ROW()),TODAY())</f>
        <v>1071</v>
      </c>
      <c r="M26" s="11">
        <f ca="1">HYPERLINK(CONCATENATE("https://bugzilla.houston.hp.com:1181/bugzilla/show_bug.cgi?id=",INDIRECT(C70&amp;ROW())),INDIRECT(C70&amp;ROW()))</f>
        <v>42747</v>
      </c>
      <c r="N26">
        <v>42747</v>
      </c>
      <c r="O26" t="s">
        <v>56</v>
      </c>
      <c r="P26" t="s">
        <v>1350</v>
      </c>
      <c r="Q26" t="s">
        <v>16</v>
      </c>
      <c r="R26" t="s">
        <v>1351</v>
      </c>
      <c r="S26" t="s">
        <v>1339</v>
      </c>
      <c r="U26" s="6">
        <v>42160.430625000001</v>
      </c>
      <c r="V26" t="s">
        <v>18</v>
      </c>
      <c r="W26" t="s">
        <v>173</v>
      </c>
      <c r="X26" s="6">
        <v>41770.864282407405</v>
      </c>
      <c r="Y26" t="s">
        <v>122</v>
      </c>
      <c r="AB26" t="s">
        <v>201</v>
      </c>
      <c r="AC26" t="s">
        <v>121</v>
      </c>
      <c r="AD26" t="s">
        <v>220</v>
      </c>
      <c r="AE26" t="s">
        <v>219</v>
      </c>
      <c r="AG26" t="s">
        <v>121</v>
      </c>
      <c r="AH26" t="s">
        <v>327</v>
      </c>
      <c r="AI26" t="s">
        <v>121</v>
      </c>
      <c r="AJ26" t="s">
        <v>717</v>
      </c>
      <c r="AK26" t="s">
        <v>121</v>
      </c>
      <c r="AL26" t="s">
        <v>121</v>
      </c>
      <c r="AM26" t="s">
        <v>121</v>
      </c>
    </row>
    <row r="27" spans="1:39" x14ac:dyDescent="0.3">
      <c r="A27" s="2">
        <f ca="1">COUNTIF(INDIRECT(A68&amp;A67):INDIRECT(A69&amp;A66),INDIRECT("b"&amp;ROW()))</f>
        <v>6</v>
      </c>
      <c r="B27" s="2" t="str">
        <f>Assignees!C26</f>
        <v>Astra-Post IR13 10-31</v>
      </c>
      <c r="C27" s="21">
        <f ca="1">COUNTIFS(INDIRECT(A69&amp;A67):INDIRECT(A69&amp;A66),"*"&amp;A92&amp;"*",INDIRECT(A80&amp;A67):INDIRECT(A80&amp;A66),A93)</f>
        <v>0</v>
      </c>
      <c r="D27" s="21" t="str">
        <f>CONCATENATE(A92," ",A93)</f>
        <v>BUC1 NEW</v>
      </c>
      <c r="E27" s="16">
        <f ca="1">COUNTIFS(INDIRECT(A69&amp;A67):INDIRECT(A69&amp;A66),"*"&amp;A92&amp;"*",INDIRECT(A80&amp;A67):INDIRECT(A80&amp;A66),A93,INDIRECT(A73&amp;A67):INDIRECT(A73&amp;A66),E1)</f>
        <v>0</v>
      </c>
      <c r="F27" s="4">
        <f ca="1">COUNTIFS(INDIRECT(A69&amp;A67):INDIRECT(A69&amp;A66),"*"&amp;A92&amp;"*",INDIRECT(A80&amp;A67):INDIRECT(A80&amp;A66),A93,INDIRECT(A73&amp;A67):INDIRECT(A73&amp;A66),F1)</f>
        <v>0</v>
      </c>
      <c r="G27" s="3">
        <f ca="1">COUNTIFS(INDIRECT(A69&amp;A67):INDIRECT(A69&amp;A66),"*"&amp;A92&amp;"*",INDIRECT(A80&amp;A67):INDIRECT(A80&amp;A66),A93,INDIRECT(A73&amp;A67):INDIRECT(A73&amp;A66),G1)</f>
        <v>0</v>
      </c>
      <c r="I27">
        <f ca="1">IF(OR(INDIRECT(A73&amp;ROW())=B93,INDIRECT(A73&amp;ROW())=B94),1,IF(AND(INDIRECT(A73&amp;ROW())=B95,INDIRECT(A96&amp;ROW())=C93),1,IF(AND(INDIRECT(A73&amp;ROW())=B95,INDIRECT(A96&amp;ROW())=C94),1,0)))</f>
        <v>0</v>
      </c>
      <c r="J27">
        <f ca="1">IF(AND(INDIRECT(A73&amp;ROW())=B95,INDIRECT(A96&amp;ROW())=C95),1,IF(AND(INDIRECT(A73&amp;ROW())=B95,INDIRECT(A96&amp;ROW())=C96),1,0))</f>
        <v>0</v>
      </c>
      <c r="K27">
        <f ca="1">DAYS360(INDIRECT(C68&amp;ROW()),TODAY())</f>
        <v>721</v>
      </c>
      <c r="L27">
        <f ca="1">DAYS360(INDIRECT(C69&amp;ROW()),TODAY())</f>
        <v>1071</v>
      </c>
      <c r="M27" s="11">
        <f ca="1">HYPERLINK(CONCATENATE("https://bugzilla.houston.hp.com:1181/bugzilla/show_bug.cgi?id=",INDIRECT(C70&amp;ROW())),INDIRECT(C70&amp;ROW()))</f>
        <v>42748</v>
      </c>
      <c r="N27">
        <v>42748</v>
      </c>
      <c r="O27" t="s">
        <v>56</v>
      </c>
      <c r="P27" t="s">
        <v>1352</v>
      </c>
      <c r="Q27" t="s">
        <v>16</v>
      </c>
      <c r="R27" t="s">
        <v>63</v>
      </c>
      <c r="S27" t="s">
        <v>1339</v>
      </c>
      <c r="U27" s="6">
        <v>42125.442395833335</v>
      </c>
      <c r="V27" t="s">
        <v>18</v>
      </c>
      <c r="W27" t="s">
        <v>173</v>
      </c>
      <c r="X27" s="6">
        <v>41770.864363425928</v>
      </c>
      <c r="Y27" t="s">
        <v>122</v>
      </c>
      <c r="AB27" t="s">
        <v>201</v>
      </c>
      <c r="AC27" t="s">
        <v>247</v>
      </c>
      <c r="AD27" t="s">
        <v>220</v>
      </c>
      <c r="AE27" t="s">
        <v>219</v>
      </c>
      <c r="AG27" t="s">
        <v>121</v>
      </c>
      <c r="AH27" t="s">
        <v>327</v>
      </c>
      <c r="AI27" t="s">
        <v>121</v>
      </c>
      <c r="AJ27" t="s">
        <v>717</v>
      </c>
      <c r="AK27" t="s">
        <v>121</v>
      </c>
      <c r="AL27" t="s">
        <v>121</v>
      </c>
      <c r="AM27" t="s">
        <v>121</v>
      </c>
    </row>
    <row r="28" spans="1:39" x14ac:dyDescent="0.3">
      <c r="A28" s="2">
        <f ca="1">COUNTIF(INDIRECT(A68&amp;A67):INDIRECT(A69&amp;A66),INDIRECT("b"&amp;ROW()))</f>
        <v>2</v>
      </c>
      <c r="B28" s="2" t="str">
        <f>Assignees!C27</f>
        <v>StoreOnce Xanadu(SMB 5.6.x)</v>
      </c>
      <c r="C28" s="21">
        <f ca="1">COUNTIFS(INDIRECT(A69&amp;A67):INDIRECT(A69&amp;A66),"*"&amp;A92&amp;"*",INDIRECT(A80&amp;A67):INDIRECT(A80&amp;A66),A94)</f>
        <v>0</v>
      </c>
      <c r="D28" s="21" t="str">
        <f>CONCATENATE(A92," ",A94)</f>
        <v>BUC1 ASSIGNED</v>
      </c>
      <c r="E28" s="16">
        <f ca="1">COUNTIFS(INDIRECT(A69&amp;A67):INDIRECT(A69&amp;A66),"*"&amp;A92&amp;"*",INDIRECT(A80&amp;A67):INDIRECT(A80&amp;A66),A94,INDIRECT(A73&amp;A67):INDIRECT(A73&amp;A66),E1)</f>
        <v>0</v>
      </c>
      <c r="F28" s="4">
        <f ca="1">COUNTIFS(INDIRECT(A69&amp;A67):INDIRECT(A69&amp;A66),"*"&amp;A92&amp;"*",INDIRECT(A80&amp;A67):INDIRECT(A80&amp;A66),A94,INDIRECT(A73&amp;A67):INDIRECT(A73&amp;A66),F1)</f>
        <v>0</v>
      </c>
      <c r="G28" s="3">
        <f ca="1">COUNTIFS(INDIRECT(A69&amp;A67):INDIRECT(A69&amp;A66),"*"&amp;A92&amp;"*",INDIRECT(A80&amp;A67):INDIRECT(A80&amp;A66),A94,INDIRECT(A73&amp;A67):INDIRECT(A73&amp;A66),G1)</f>
        <v>0</v>
      </c>
      <c r="I28">
        <f ca="1">IF(OR(INDIRECT(A73&amp;ROW())=B93,INDIRECT(A73&amp;ROW())=B94),1,IF(AND(INDIRECT(A73&amp;ROW())=B95,INDIRECT(A96&amp;ROW())=C93),1,IF(AND(INDIRECT(A73&amp;ROW())=B95,INDIRECT(A96&amp;ROW())=C94),1,0)))</f>
        <v>0</v>
      </c>
      <c r="J28">
        <f ca="1">IF(AND(INDIRECT(A73&amp;ROW())=B95,INDIRECT(A96&amp;ROW())=C95),1,IF(AND(INDIRECT(A73&amp;ROW())=B95,INDIRECT(A96&amp;ROW())=C96),1,0))</f>
        <v>0</v>
      </c>
      <c r="K28">
        <f ca="1">DAYS360(INDIRECT(C68&amp;ROW()),TODAY())</f>
        <v>687</v>
      </c>
      <c r="L28">
        <f ca="1">DAYS360(INDIRECT(C69&amp;ROW()),TODAY())</f>
        <v>1069</v>
      </c>
      <c r="M28" s="11">
        <f ca="1">HYPERLINK(CONCATENATE("https://bugzilla.houston.hp.com:1181/bugzilla/show_bug.cgi?id=",INDIRECT(C70&amp;ROW())),INDIRECT(C70&amp;ROW()))</f>
        <v>42795</v>
      </c>
      <c r="N28">
        <v>42795</v>
      </c>
      <c r="O28" t="s">
        <v>56</v>
      </c>
      <c r="P28" t="s">
        <v>1353</v>
      </c>
      <c r="Q28" t="s">
        <v>16</v>
      </c>
      <c r="R28" t="s">
        <v>1341</v>
      </c>
      <c r="S28" t="s">
        <v>67</v>
      </c>
      <c r="T28" t="s">
        <v>181</v>
      </c>
      <c r="U28" s="6">
        <v>42160.430636574078</v>
      </c>
      <c r="V28" t="s">
        <v>18</v>
      </c>
      <c r="W28" t="s">
        <v>173</v>
      </c>
      <c r="X28" s="6">
        <v>41772.462418981479</v>
      </c>
      <c r="Y28" t="s">
        <v>122</v>
      </c>
      <c r="AB28" t="s">
        <v>201</v>
      </c>
      <c r="AC28" t="s">
        <v>121</v>
      </c>
      <c r="AD28" t="s">
        <v>220</v>
      </c>
      <c r="AE28" t="s">
        <v>219</v>
      </c>
      <c r="AG28" t="s">
        <v>121</v>
      </c>
      <c r="AH28" t="s">
        <v>327</v>
      </c>
      <c r="AI28" t="s">
        <v>121</v>
      </c>
      <c r="AJ28" t="s">
        <v>717</v>
      </c>
      <c r="AK28" t="s">
        <v>121</v>
      </c>
      <c r="AL28" t="s">
        <v>121</v>
      </c>
      <c r="AM28" t="s">
        <v>121</v>
      </c>
    </row>
    <row r="29" spans="1:39" x14ac:dyDescent="0.3">
      <c r="A29" s="2">
        <f ca="1">COUNTIF(INDIRECT(A68&amp;A67):INDIRECT(A69&amp;A66),INDIRECT("b"&amp;ROW()))</f>
        <v>1</v>
      </c>
      <c r="B29" s="2" t="str">
        <f>Assignees!C28</f>
        <v>6.1 (Ensenada)</v>
      </c>
      <c r="C29" s="21">
        <f ca="1">COUNTIFS(INDIRECT(A69&amp;A67):INDIRECT(A69&amp;A66),"*"&amp;A92&amp;"*",INDIRECT(A80&amp;A67):INDIRECT(A80&amp;A66),A95)</f>
        <v>0</v>
      </c>
      <c r="D29" s="21" t="str">
        <f>CONCATENATE(A92," ",A95)</f>
        <v>BUC1 REOPENED</v>
      </c>
      <c r="E29" s="16">
        <f ca="1">COUNTIFS(INDIRECT(A69&amp;A67):INDIRECT(A69&amp;A66),"*"&amp;A92&amp;"*",INDIRECT(A80&amp;A67):INDIRECT(A80&amp;A66),A95,INDIRECT(A73&amp;A67):INDIRECT(A73&amp;A66),E1)</f>
        <v>0</v>
      </c>
      <c r="F29" s="4">
        <f ca="1">COUNTIFS(INDIRECT(A69&amp;A67):INDIRECT(A69&amp;A66),"*"&amp;A92&amp;"*",INDIRECT(A80&amp;A67):INDIRECT(A80&amp;A66),A95,INDIRECT(A73&amp;A67):INDIRECT(A73&amp;A66),F1)</f>
        <v>0</v>
      </c>
      <c r="G29" s="3">
        <f ca="1">COUNTIFS(INDIRECT(A69&amp;A67):INDIRECT(A69&amp;A66),"*"&amp;A92&amp;"*",INDIRECT(A80&amp;A67):INDIRECT(A80&amp;A66),A95,INDIRECT(A73&amp;A67):INDIRECT(A73&amp;A66),G1)</f>
        <v>0</v>
      </c>
      <c r="I29">
        <f ca="1">IF(OR(INDIRECT(A73&amp;ROW())=B93,INDIRECT(A73&amp;ROW())=B94),1,IF(AND(INDIRECT(A73&amp;ROW())=B95,INDIRECT(A96&amp;ROW())=C93),1,IF(AND(INDIRECT(A73&amp;ROW())=B95,INDIRECT(A96&amp;ROW())=C94),1,0)))</f>
        <v>0</v>
      </c>
      <c r="J29">
        <f ca="1">IF(AND(INDIRECT(A73&amp;ROW())=B95,INDIRECT(A96&amp;ROW())=C95),1,IF(AND(INDIRECT(A73&amp;ROW())=B95,INDIRECT(A96&amp;ROW())=C96),1,0))</f>
        <v>0</v>
      </c>
      <c r="K29">
        <f ca="1">DAYS360(INDIRECT(C68&amp;ROW()),TODAY())</f>
        <v>800</v>
      </c>
      <c r="L29">
        <f ca="1">DAYS360(INDIRECT(C69&amp;ROW()),TODAY())</f>
        <v>1067</v>
      </c>
      <c r="M29" s="11">
        <f ca="1">HYPERLINK(CONCATENATE("https://bugzilla.houston.hp.com:1181/bugzilla/show_bug.cgi?id=",INDIRECT(C70&amp;ROW())),INDIRECT(C70&amp;ROW()))</f>
        <v>42914</v>
      </c>
      <c r="N29">
        <v>42914</v>
      </c>
      <c r="O29" t="s">
        <v>66</v>
      </c>
      <c r="P29" t="s">
        <v>331</v>
      </c>
      <c r="Q29" t="s">
        <v>16</v>
      </c>
      <c r="R29" t="s">
        <v>17</v>
      </c>
      <c r="S29" t="s">
        <v>33</v>
      </c>
      <c r="U29" s="6">
        <v>42047.981203703705</v>
      </c>
      <c r="V29" t="s">
        <v>35</v>
      </c>
      <c r="W29" t="s">
        <v>172</v>
      </c>
      <c r="X29" s="6">
        <v>41774.400381944448</v>
      </c>
      <c r="Y29" t="s">
        <v>119</v>
      </c>
      <c r="AB29" t="s">
        <v>201</v>
      </c>
      <c r="AC29" t="s">
        <v>121</v>
      </c>
      <c r="AD29" t="s">
        <v>222</v>
      </c>
      <c r="AE29" t="s">
        <v>228</v>
      </c>
      <c r="AG29" t="s">
        <v>121</v>
      </c>
      <c r="AH29" t="s">
        <v>327</v>
      </c>
      <c r="AI29" t="s">
        <v>121</v>
      </c>
      <c r="AJ29" t="s">
        <v>717</v>
      </c>
      <c r="AK29" t="s">
        <v>121</v>
      </c>
      <c r="AL29" t="s">
        <v>121</v>
      </c>
      <c r="AM29" t="s">
        <v>121</v>
      </c>
    </row>
    <row r="30" spans="1:39" x14ac:dyDescent="0.3">
      <c r="A30" s="2">
        <f ca="1">COUNTIF(INDIRECT(A68&amp;A67):INDIRECT(A69&amp;A66),INDIRECT("b"&amp;ROW()))</f>
        <v>2</v>
      </c>
      <c r="B30" s="2" t="str">
        <f>Assignees!C29</f>
        <v>6.2 (Fiji)</v>
      </c>
      <c r="C30" s="22">
        <f ca="1">COUNTIFS(INDIRECT(A97&amp;A67):INDIRECT(A97&amp;A66),1,INDIRECT(A71&amp;A67):INDIRECT(A71&amp;A66),D2&amp;"*")-COUNTIFS(INDIRECT(A97&amp;A67):INDIRECT(A97&amp;A66),1,INDIRECT(A71&amp;A67):INDIRECT(A71&amp;A66),D2&amp;"*",INDIRECT(A98&amp;A67):INDIRECT(A98&amp;A66),C98)</f>
        <v>60</v>
      </c>
      <c r="D30" s="22" t="str">
        <f>CONCATENATE("RedZone ",D2,"*")</f>
        <v>RedZone Astra*</v>
      </c>
      <c r="E30" s="8"/>
      <c r="I30">
        <f ca="1">IF(OR(INDIRECT(A73&amp;ROW())=B93,INDIRECT(A73&amp;ROW())=B94),1,IF(AND(INDIRECT(A73&amp;ROW())=B95,INDIRECT(A96&amp;ROW())=C93),1,IF(AND(INDIRECT(A73&amp;ROW())=B95,INDIRECT(A96&amp;ROW())=C94),1,0)))</f>
        <v>1</v>
      </c>
      <c r="J30">
        <f ca="1">IF(AND(INDIRECT(A73&amp;ROW())=B95,INDIRECT(A96&amp;ROW())=C95),1,IF(AND(INDIRECT(A73&amp;ROW())=B95,INDIRECT(A96&amp;ROW())=C96),1,0))</f>
        <v>0</v>
      </c>
      <c r="K30">
        <f ca="1">DAYS360(INDIRECT(C68&amp;ROW()),TODAY())</f>
        <v>675</v>
      </c>
      <c r="L30">
        <f ca="1">DAYS360(INDIRECT(C69&amp;ROW()),TODAY())</f>
        <v>1066</v>
      </c>
      <c r="M30" s="11">
        <f ca="1">HYPERLINK(CONCATENATE("https://bugzilla.houston.hp.com:1181/bugzilla/show_bug.cgi?id=",INDIRECT(C70&amp;ROW())),INDIRECT(C70&amp;ROW()))</f>
        <v>42962</v>
      </c>
      <c r="N30">
        <v>42962</v>
      </c>
      <c r="O30" t="s">
        <v>204</v>
      </c>
      <c r="P30" t="s">
        <v>712</v>
      </c>
      <c r="Q30" t="s">
        <v>25</v>
      </c>
      <c r="R30" t="s">
        <v>251</v>
      </c>
      <c r="S30" t="s">
        <v>31</v>
      </c>
      <c r="T30" t="s">
        <v>979</v>
      </c>
      <c r="U30" s="6">
        <v>42172.206180555557</v>
      </c>
      <c r="V30" t="s">
        <v>40</v>
      </c>
      <c r="W30" t="s">
        <v>17</v>
      </c>
      <c r="X30" s="6">
        <v>41775.516168981485</v>
      </c>
      <c r="Y30" t="s">
        <v>119</v>
      </c>
      <c r="AB30" t="s">
        <v>200</v>
      </c>
      <c r="AC30" t="s">
        <v>121</v>
      </c>
      <c r="AD30" t="s">
        <v>222</v>
      </c>
      <c r="AE30" t="s">
        <v>225</v>
      </c>
      <c r="AG30" t="s">
        <v>121</v>
      </c>
      <c r="AH30" t="s">
        <v>327</v>
      </c>
      <c r="AI30" t="s">
        <v>121</v>
      </c>
      <c r="AJ30" t="s">
        <v>715</v>
      </c>
      <c r="AK30" t="s">
        <v>121</v>
      </c>
      <c r="AL30" t="s">
        <v>121</v>
      </c>
      <c r="AM30" t="s">
        <v>121</v>
      </c>
    </row>
    <row r="31" spans="1:39" x14ac:dyDescent="0.3">
      <c r="A31" s="2">
        <f ca="1">COUNTIF(INDIRECT(A68&amp;A67):INDIRECT(A69&amp;A66),INDIRECT("b"&amp;ROW()))</f>
        <v>14</v>
      </c>
      <c r="B31" s="2" t="str">
        <f>Assignees!C30</f>
        <v>6.3 (FlyingSaucer)</v>
      </c>
      <c r="C31" s="25">
        <f ca="1">COUNTIFS(INDIRECT(A99&amp;A67):INDIRECT(A99&amp;A66),1,INDIRECT(A71&amp;A67):INDIRECT(A71&amp;A66),D2&amp;"*")-COUNTIFS(INDIRECT(A99&amp;A67):INDIRECT(A99&amp;A66),1,INDIRECT(A71&amp;A67):INDIRECT(A71&amp;A66),D2&amp;"*",INDIRECT(A98&amp;A67):INDIRECT(A98&amp;A66),C98)</f>
        <v>80</v>
      </c>
      <c r="D31" s="25" t="str">
        <f>CONCATENATE("YellowZone ",D2,"*")</f>
        <v>YellowZone Astra*</v>
      </c>
      <c r="I31">
        <f ca="1">IF(OR(INDIRECT(A73&amp;ROW())=B93,INDIRECT(A73&amp;ROW())=B94),1,IF(AND(INDIRECT(A73&amp;ROW())=B95,INDIRECT(A96&amp;ROW())=C93),1,IF(AND(INDIRECT(A73&amp;ROW())=B95,INDIRECT(A96&amp;ROW())=C94),1,0)))</f>
        <v>0</v>
      </c>
      <c r="J31">
        <f ca="1">IF(AND(INDIRECT(A73&amp;ROW())=B95,INDIRECT(A96&amp;ROW())=C95),1,IF(AND(INDIRECT(A73&amp;ROW())=B95,INDIRECT(A96&amp;ROW())=C96),1,0))</f>
        <v>0</v>
      </c>
      <c r="K31">
        <f ca="1">DAYS360(INDIRECT(C68&amp;ROW()),TODAY())</f>
        <v>687</v>
      </c>
      <c r="L31">
        <f ca="1">DAYS360(INDIRECT(C69&amp;ROW()),TODAY())</f>
        <v>1066</v>
      </c>
      <c r="M31" s="11">
        <f ca="1">HYPERLINK(CONCATENATE("https://bugzilla.houston.hp.com:1181/bugzilla/show_bug.cgi?id=",INDIRECT(C70&amp;ROW())),INDIRECT(C70&amp;ROW()))</f>
        <v>42968</v>
      </c>
      <c r="N31">
        <v>42968</v>
      </c>
      <c r="O31" t="s">
        <v>56</v>
      </c>
      <c r="P31" t="s">
        <v>1354</v>
      </c>
      <c r="Q31" t="s">
        <v>16</v>
      </c>
      <c r="R31" t="s">
        <v>1341</v>
      </c>
      <c r="S31" t="s">
        <v>1339</v>
      </c>
      <c r="T31" t="s">
        <v>181</v>
      </c>
      <c r="U31" s="6">
        <v>42160.430601851855</v>
      </c>
      <c r="V31" t="s">
        <v>18</v>
      </c>
      <c r="W31" t="s">
        <v>173</v>
      </c>
      <c r="X31" s="6">
        <v>41775.577881944446</v>
      </c>
      <c r="Y31" t="s">
        <v>122</v>
      </c>
      <c r="AB31" t="s">
        <v>201</v>
      </c>
      <c r="AC31" t="s">
        <v>121</v>
      </c>
      <c r="AD31" t="s">
        <v>220</v>
      </c>
      <c r="AE31" t="s">
        <v>219</v>
      </c>
      <c r="AG31" t="s">
        <v>121</v>
      </c>
      <c r="AH31" t="s">
        <v>327</v>
      </c>
      <c r="AI31" t="s">
        <v>121</v>
      </c>
      <c r="AJ31" t="s">
        <v>717</v>
      </c>
      <c r="AK31" t="s">
        <v>121</v>
      </c>
      <c r="AL31" t="s">
        <v>121</v>
      </c>
      <c r="AM31" t="s">
        <v>121</v>
      </c>
    </row>
    <row r="32" spans="1:39" x14ac:dyDescent="0.3">
      <c r="A32" s="2">
        <f ca="1">COUNTIF(INDIRECT(A68&amp;A67):INDIRECT(A69&amp;A66),INDIRECT("b"&amp;ROW()))</f>
        <v>19</v>
      </c>
      <c r="B32" s="2" t="str">
        <f>Assignees!C31</f>
        <v>6.5 (Ghost)</v>
      </c>
      <c r="C32" s="1">
        <f ca="1">(COUNTIFS(INDIRECT(A72&amp;A67):INDIRECT(A72&amp;A66),"*"&amp;A87&amp;"*"))</f>
        <v>2</v>
      </c>
      <c r="D32" t="s">
        <v>34</v>
      </c>
      <c r="I32">
        <f ca="1">IF(OR(INDIRECT(A73&amp;ROW())=B93,INDIRECT(A73&amp;ROW())=B94),1,IF(AND(INDIRECT(A73&amp;ROW())=B95,INDIRECT(A96&amp;ROW())=C93),1,IF(AND(INDIRECT(A73&amp;ROW())=B95,INDIRECT(A96&amp;ROW())=C94),1,0)))</f>
        <v>0</v>
      </c>
      <c r="J32">
        <f ca="1">IF(AND(INDIRECT(A73&amp;ROW())=B95,INDIRECT(A96&amp;ROW())=C95),1,IF(AND(INDIRECT(A73&amp;ROW())=B95,INDIRECT(A96&amp;ROW())=C96),1,0))</f>
        <v>0</v>
      </c>
      <c r="K32">
        <f ca="1">DAYS360(INDIRECT(C68&amp;ROW()),TODAY())</f>
        <v>687</v>
      </c>
      <c r="L32">
        <f ca="1">DAYS360(INDIRECT(C69&amp;ROW()),TODAY())</f>
        <v>1066</v>
      </c>
      <c r="M32" s="11">
        <f ca="1">HYPERLINK(CONCATENATE("https://bugzilla.houston.hp.com:1181/bugzilla/show_bug.cgi?id=",INDIRECT(C70&amp;ROW())),INDIRECT(C70&amp;ROW()))</f>
        <v>42969</v>
      </c>
      <c r="N32">
        <v>42969</v>
      </c>
      <c r="O32" t="s">
        <v>56</v>
      </c>
      <c r="P32" t="s">
        <v>1355</v>
      </c>
      <c r="Q32" t="s">
        <v>16</v>
      </c>
      <c r="R32" t="s">
        <v>1341</v>
      </c>
      <c r="S32" t="s">
        <v>1339</v>
      </c>
      <c r="T32" t="s">
        <v>181</v>
      </c>
      <c r="U32" s="6">
        <v>42160.430694444447</v>
      </c>
      <c r="V32" t="s">
        <v>18</v>
      </c>
      <c r="W32" t="s">
        <v>173</v>
      </c>
      <c r="X32" s="6">
        <v>41775.577962962961</v>
      </c>
      <c r="Y32" t="s">
        <v>122</v>
      </c>
      <c r="AB32" t="s">
        <v>201</v>
      </c>
      <c r="AC32" t="s">
        <v>121</v>
      </c>
      <c r="AD32" t="s">
        <v>220</v>
      </c>
      <c r="AE32" t="s">
        <v>219</v>
      </c>
      <c r="AG32" t="s">
        <v>121</v>
      </c>
      <c r="AH32" t="s">
        <v>327</v>
      </c>
      <c r="AI32" t="s">
        <v>121</v>
      </c>
      <c r="AJ32" t="s">
        <v>717</v>
      </c>
      <c r="AK32" t="s">
        <v>121</v>
      </c>
      <c r="AL32" t="s">
        <v>121</v>
      </c>
      <c r="AM32" t="s">
        <v>121</v>
      </c>
    </row>
    <row r="33" spans="1:39" x14ac:dyDescent="0.3">
      <c r="A33" s="2">
        <f ca="1">COUNTIF(INDIRECT(A68&amp;A67):INDIRECT(A69&amp;A66),INDIRECT("b"&amp;ROW()))</f>
        <v>1</v>
      </c>
      <c r="B33" s="2" t="str">
        <f>Assignees!C32</f>
        <v>6.5.x (Ghost patch)</v>
      </c>
      <c r="C33">
        <f ca="1">COUNTIFS(INDIRECT(A71&amp;A67):INDIRECT(A71&amp;A66),A85&amp;"*")</f>
        <v>286</v>
      </c>
      <c r="D33" s="8" t="s">
        <v>98</v>
      </c>
      <c r="I33">
        <f ca="1">IF(OR(INDIRECT(A73&amp;ROW())=B93,INDIRECT(A73&amp;ROW())=B94),1,IF(AND(INDIRECT(A73&amp;ROW())=B95,INDIRECT(A96&amp;ROW())=C93),1,IF(AND(INDIRECT(A73&amp;ROW())=B95,INDIRECT(A96&amp;ROW())=C94),1,0)))</f>
        <v>0</v>
      </c>
      <c r="J33">
        <f ca="1">IF(AND(INDIRECT(A73&amp;ROW())=B95,INDIRECT(A96&amp;ROW())=C95),1,IF(AND(INDIRECT(A73&amp;ROW())=B95,INDIRECT(A96&amp;ROW())=C96),1,0))</f>
        <v>0</v>
      </c>
      <c r="K33">
        <f ca="1">DAYS360(INDIRECT(C68&amp;ROW()),TODAY())</f>
        <v>687</v>
      </c>
      <c r="L33">
        <f ca="1">DAYS360(INDIRECT(C69&amp;ROW()),TODAY())</f>
        <v>1066</v>
      </c>
      <c r="M33" s="11">
        <f ca="1">HYPERLINK(CONCATENATE("https://bugzilla.houston.hp.com:1181/bugzilla/show_bug.cgi?id=",INDIRECT(C70&amp;ROW())),INDIRECT(C70&amp;ROW()))</f>
        <v>42970</v>
      </c>
      <c r="N33">
        <v>42970</v>
      </c>
      <c r="O33" t="s">
        <v>56</v>
      </c>
      <c r="P33" t="s">
        <v>1356</v>
      </c>
      <c r="Q33" t="s">
        <v>16</v>
      </c>
      <c r="R33" t="s">
        <v>1341</v>
      </c>
      <c r="S33" t="s">
        <v>1339</v>
      </c>
      <c r="T33" t="s">
        <v>181</v>
      </c>
      <c r="U33" s="6">
        <v>42160.430613425924</v>
      </c>
      <c r="V33" t="s">
        <v>18</v>
      </c>
      <c r="W33" t="s">
        <v>173</v>
      </c>
      <c r="X33" s="6">
        <v>41775.578043981484</v>
      </c>
      <c r="Y33" t="s">
        <v>122</v>
      </c>
      <c r="AB33" t="s">
        <v>201</v>
      </c>
      <c r="AC33" t="s">
        <v>121</v>
      </c>
      <c r="AD33" t="s">
        <v>220</v>
      </c>
      <c r="AE33" t="s">
        <v>219</v>
      </c>
      <c r="AG33" t="s">
        <v>121</v>
      </c>
      <c r="AH33" t="s">
        <v>327</v>
      </c>
      <c r="AI33" t="s">
        <v>121</v>
      </c>
      <c r="AJ33" t="s">
        <v>717</v>
      </c>
      <c r="AK33" t="s">
        <v>121</v>
      </c>
      <c r="AL33" t="s">
        <v>121</v>
      </c>
      <c r="AM33" t="s">
        <v>121</v>
      </c>
    </row>
    <row r="34" spans="1:39" x14ac:dyDescent="0.3">
      <c r="A34" s="2">
        <f ca="1">COUNTIF(INDIRECT(A68&amp;A67):INDIRECT(A69&amp;A66),INDIRECT("b"&amp;ROW()))</f>
        <v>37</v>
      </c>
      <c r="B34" s="2" t="str">
        <f>Assignees!C33</f>
        <v>Halo</v>
      </c>
      <c r="C34"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4</v>
      </c>
      <c r="D34" s="9" t="str">
        <f>CONCATENATE(A83," ",A84)</f>
        <v>NFS [PML]</v>
      </c>
      <c r="E34" s="8" t="str">
        <f t="shared" ref="E34:E40" si="0">D2</f>
        <v>Astra</v>
      </c>
      <c r="I34">
        <f ca="1">IF(OR(INDIRECT(A73&amp;ROW())=B93,INDIRECT(A73&amp;ROW())=B94),1,IF(AND(INDIRECT(A73&amp;ROW())=B95,INDIRECT(A96&amp;ROW())=C93),1,IF(AND(INDIRECT(A73&amp;ROW())=B95,INDIRECT(A96&amp;ROW())=C94),1,0)))</f>
        <v>1</v>
      </c>
      <c r="J34">
        <f ca="1">IF(AND(INDIRECT(A73&amp;ROW())=B95,INDIRECT(A96&amp;ROW())=C95),1,IF(AND(INDIRECT(A73&amp;ROW())=B95,INDIRECT(A96&amp;ROW())=C96),1,0))</f>
        <v>0</v>
      </c>
      <c r="K34">
        <f ca="1">DAYS360(INDIRECT(C68&amp;ROW()),TODAY())</f>
        <v>724</v>
      </c>
      <c r="L34">
        <f ca="1">DAYS360(INDIRECT(C69&amp;ROW()),TODAY())</f>
        <v>1048</v>
      </c>
      <c r="M34" s="11">
        <f ca="1">HYPERLINK(CONCATENATE("https://bugzilla.houston.hp.com:1181/bugzilla/show_bug.cgi?id=",INDIRECT(C70&amp;ROW())),INDIRECT(C70&amp;ROW()))</f>
        <v>43571</v>
      </c>
      <c r="N34">
        <v>43571</v>
      </c>
      <c r="O34" t="s">
        <v>180</v>
      </c>
      <c r="P34" t="s">
        <v>452</v>
      </c>
      <c r="Q34" t="s">
        <v>25</v>
      </c>
      <c r="R34" t="s">
        <v>251</v>
      </c>
      <c r="S34" t="s">
        <v>46</v>
      </c>
      <c r="T34" t="s">
        <v>794</v>
      </c>
      <c r="U34" s="6">
        <v>42122.35528935185</v>
      </c>
      <c r="V34" t="s">
        <v>18</v>
      </c>
      <c r="W34" t="s">
        <v>17</v>
      </c>
      <c r="X34" s="6">
        <v>41794.596504629626</v>
      </c>
      <c r="Y34" t="s">
        <v>119</v>
      </c>
      <c r="AB34" t="s">
        <v>200</v>
      </c>
      <c r="AC34" t="s">
        <v>121</v>
      </c>
      <c r="AD34" t="s">
        <v>222</v>
      </c>
      <c r="AE34" t="s">
        <v>221</v>
      </c>
      <c r="AG34" t="s">
        <v>121</v>
      </c>
      <c r="AH34" t="s">
        <v>327</v>
      </c>
      <c r="AI34" t="s">
        <v>121</v>
      </c>
      <c r="AJ34" t="s">
        <v>715</v>
      </c>
      <c r="AK34" t="s">
        <v>121</v>
      </c>
      <c r="AL34" t="s">
        <v>121</v>
      </c>
      <c r="AM34" t="s">
        <v>121</v>
      </c>
    </row>
    <row r="35" spans="1:39" x14ac:dyDescent="0.3">
      <c r="A35" s="2">
        <f ca="1">COUNTIF(INDIRECT(A68&amp;A67):INDIRECT(A69&amp;A66),INDIRECT("b"&amp;ROW()))</f>
        <v>43</v>
      </c>
      <c r="B35" s="2" t="str">
        <f>Assignees!C34</f>
        <v>Atlas</v>
      </c>
      <c r="C35"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37</v>
      </c>
      <c r="D35" s="9" t="str">
        <f>CONCATENATE(A83," ",A84)</f>
        <v>NFS [PML]</v>
      </c>
      <c r="E35" s="8" t="str">
        <f t="shared" si="0"/>
        <v>Atlas</v>
      </c>
      <c r="I35">
        <f ca="1">IF(OR(INDIRECT(A73&amp;ROW())=B93,INDIRECT(A73&amp;ROW())=B94),1,IF(AND(INDIRECT(A73&amp;ROW())=B95,INDIRECT(A96&amp;ROW())=C93),1,IF(AND(INDIRECT(A73&amp;ROW())=B95,INDIRECT(A96&amp;ROW())=C94),1,0)))</f>
        <v>0</v>
      </c>
      <c r="J35">
        <f ca="1">IF(AND(INDIRECT(A73&amp;ROW())=B95,INDIRECT(A96&amp;ROW())=C95),1,IF(AND(INDIRECT(A73&amp;ROW())=B95,INDIRECT(A96&amp;ROW())=C96),1,0))</f>
        <v>1</v>
      </c>
      <c r="K35">
        <f ca="1">DAYS360(INDIRECT(C68&amp;ROW()),TODAY())</f>
        <v>682</v>
      </c>
      <c r="L35">
        <f ca="1">DAYS360(INDIRECT(C69&amp;ROW()),TODAY())</f>
        <v>1047</v>
      </c>
      <c r="M35" s="11">
        <f ca="1">HYPERLINK(CONCATENATE("https://bugzilla.houston.hp.com:1181/bugzilla/show_bug.cgi?id=",INDIRECT(C70&amp;ROW())),INDIRECT(C70&amp;ROW()))</f>
        <v>43596</v>
      </c>
      <c r="N35">
        <v>43596</v>
      </c>
      <c r="O35" t="s">
        <v>204</v>
      </c>
      <c r="P35" t="s">
        <v>711</v>
      </c>
      <c r="Q35" t="s">
        <v>25</v>
      </c>
      <c r="R35" t="s">
        <v>251</v>
      </c>
      <c r="S35" t="s">
        <v>33</v>
      </c>
      <c r="U35" s="6">
        <v>42165.558819444443</v>
      </c>
      <c r="V35" t="s">
        <v>40</v>
      </c>
      <c r="W35" t="s">
        <v>17</v>
      </c>
      <c r="X35" s="6">
        <v>41795.209398148145</v>
      </c>
      <c r="Y35" t="s">
        <v>119</v>
      </c>
      <c r="AB35" t="s">
        <v>201</v>
      </c>
      <c r="AC35" t="s">
        <v>121</v>
      </c>
      <c r="AD35" t="s">
        <v>220</v>
      </c>
      <c r="AE35" t="s">
        <v>223</v>
      </c>
      <c r="AG35" t="s">
        <v>121</v>
      </c>
      <c r="AH35" t="s">
        <v>327</v>
      </c>
      <c r="AI35" t="s">
        <v>121</v>
      </c>
      <c r="AJ35" t="s">
        <v>716</v>
      </c>
      <c r="AK35" t="s">
        <v>121</v>
      </c>
      <c r="AL35" t="s">
        <v>121</v>
      </c>
      <c r="AM35" t="s">
        <v>121</v>
      </c>
    </row>
    <row r="36" spans="1:39" x14ac:dyDescent="0.3">
      <c r="A36" s="2">
        <f ca="1">COUNTIF(INDIRECT(A68&amp;A67):INDIRECT(A69&amp;A66),INDIRECT("b"&amp;ROW()))</f>
        <v>0</v>
      </c>
      <c r="B36" s="2">
        <f>Assignees!C35</f>
        <v>0</v>
      </c>
      <c r="C36"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0</v>
      </c>
      <c r="D36" s="9" t="str">
        <f>CONCATENATE(A83," ",A84)</f>
        <v>NFS [PML]</v>
      </c>
      <c r="E36" s="8" t="str">
        <f t="shared" si="0"/>
        <v>Bellatrix</v>
      </c>
      <c r="I36">
        <f ca="1">IF(OR(INDIRECT(A73&amp;ROW())=B93,INDIRECT(A73&amp;ROW())=B94),1,IF(AND(INDIRECT(A73&amp;ROW())=B95,INDIRECT(A96&amp;ROW())=C93),1,IF(AND(INDIRECT(A73&amp;ROW())=B95,INDIRECT(A96&amp;ROW())=C94),1,0)))</f>
        <v>0</v>
      </c>
      <c r="J36">
        <f ca="1">IF(AND(INDIRECT(A73&amp;ROW())=B95,INDIRECT(A96&amp;ROW())=C95),1,IF(AND(INDIRECT(A73&amp;ROW())=B95,INDIRECT(A96&amp;ROW())=C96),1,0))</f>
        <v>0</v>
      </c>
      <c r="K36">
        <f ca="1">DAYS360(INDIRECT(C68&amp;ROW()),TODAY())</f>
        <v>615</v>
      </c>
      <c r="L36">
        <f ca="1">DAYS360(INDIRECT(C69&amp;ROW()),TODAY())</f>
        <v>1040</v>
      </c>
      <c r="M36" s="11">
        <f ca="1">HYPERLINK(CONCATENATE("https://bugzilla.houston.hp.com:1181/bugzilla/show_bug.cgi?id=",INDIRECT(C70&amp;ROW())),INDIRECT(C70&amp;ROW()))</f>
        <v>43856</v>
      </c>
      <c r="N36">
        <v>43856</v>
      </c>
      <c r="O36" t="s">
        <v>59</v>
      </c>
      <c r="P36" t="s">
        <v>254</v>
      </c>
      <c r="Q36" t="s">
        <v>16</v>
      </c>
      <c r="R36" t="s">
        <v>251</v>
      </c>
      <c r="S36" t="s">
        <v>68</v>
      </c>
      <c r="U36" s="6">
        <v>42233.513043981482</v>
      </c>
      <c r="V36" t="s">
        <v>35</v>
      </c>
      <c r="W36" t="s">
        <v>17</v>
      </c>
      <c r="X36" s="6">
        <v>41802.251354166663</v>
      </c>
      <c r="Y36" t="s">
        <v>124</v>
      </c>
      <c r="AB36" t="s">
        <v>201</v>
      </c>
      <c r="AC36" t="s">
        <v>121</v>
      </c>
      <c r="AD36" t="s">
        <v>220</v>
      </c>
      <c r="AE36" t="s">
        <v>219</v>
      </c>
      <c r="AG36" t="s">
        <v>121</v>
      </c>
      <c r="AH36" t="s">
        <v>327</v>
      </c>
      <c r="AI36" t="s">
        <v>121</v>
      </c>
      <c r="AJ36" t="s">
        <v>717</v>
      </c>
      <c r="AK36" t="s">
        <v>121</v>
      </c>
      <c r="AL36" t="s">
        <v>121</v>
      </c>
      <c r="AM36" t="s">
        <v>121</v>
      </c>
    </row>
    <row r="37" spans="1:39" x14ac:dyDescent="0.3">
      <c r="A37" s="2">
        <f ca="1">COUNTIF(INDIRECT(A68&amp;A67):INDIRECT(A69&amp;A66),INDIRECT("b"&amp;ROW()))</f>
        <v>0</v>
      </c>
      <c r="B37" s="2">
        <f>Assignees!C36</f>
        <v>0</v>
      </c>
      <c r="C37"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38</v>
      </c>
      <c r="D37" s="9" t="str">
        <f>CONCATENATE(A83," ",A84)</f>
        <v>NFS [PML]</v>
      </c>
      <c r="E37" s="8" t="str">
        <f t="shared" si="0"/>
        <v>Master</v>
      </c>
      <c r="I37">
        <f ca="1">IF(OR(INDIRECT(A73&amp;ROW())=B93,INDIRECT(A73&amp;ROW())=B94),1,IF(AND(INDIRECT(A73&amp;ROW())=B95,INDIRECT(A96&amp;ROW())=C93),1,IF(AND(INDIRECT(A73&amp;ROW())=B95,INDIRECT(A96&amp;ROW())=C94),1,0)))</f>
        <v>0</v>
      </c>
      <c r="J37">
        <f ca="1">IF(AND(INDIRECT(A73&amp;ROW())=B95,INDIRECT(A96&amp;ROW())=C95),1,IF(AND(INDIRECT(A73&amp;ROW())=B95,INDIRECT(A96&amp;ROW())=C96),1,0))</f>
        <v>0</v>
      </c>
      <c r="K37">
        <f ca="1">DAYS360(INDIRECT(C68&amp;ROW()),TODAY())</f>
        <v>721</v>
      </c>
      <c r="L37">
        <f ca="1">DAYS360(INDIRECT(C69&amp;ROW()),TODAY())</f>
        <v>1040</v>
      </c>
      <c r="M37" s="11">
        <f ca="1">HYPERLINK(CONCATENATE("https://bugzilla.houston.hp.com:1181/bugzilla/show_bug.cgi?id=",INDIRECT(C70&amp;ROW())),INDIRECT(C70&amp;ROW()))</f>
        <v>43867</v>
      </c>
      <c r="N37">
        <v>43867</v>
      </c>
      <c r="O37" t="s">
        <v>21</v>
      </c>
      <c r="P37" t="s">
        <v>451</v>
      </c>
      <c r="Q37" t="s">
        <v>16</v>
      </c>
      <c r="R37" t="s">
        <v>251</v>
      </c>
      <c r="S37" t="s">
        <v>21</v>
      </c>
      <c r="U37" s="6">
        <v>42125.442002314812</v>
      </c>
      <c r="V37" t="s">
        <v>18</v>
      </c>
      <c r="W37" t="s">
        <v>17</v>
      </c>
      <c r="X37" s="6">
        <v>41802.479467592595</v>
      </c>
      <c r="Y37" t="s">
        <v>122</v>
      </c>
      <c r="AB37" t="s">
        <v>201</v>
      </c>
      <c r="AC37" t="s">
        <v>121</v>
      </c>
      <c r="AD37" t="s">
        <v>222</v>
      </c>
      <c r="AE37" t="s">
        <v>225</v>
      </c>
      <c r="AG37" t="s">
        <v>121</v>
      </c>
      <c r="AH37" t="s">
        <v>327</v>
      </c>
      <c r="AI37" t="s">
        <v>121</v>
      </c>
      <c r="AJ37" t="s">
        <v>717</v>
      </c>
      <c r="AK37" t="s">
        <v>121</v>
      </c>
      <c r="AL37" t="s">
        <v>121</v>
      </c>
      <c r="AM37" t="s">
        <v>121</v>
      </c>
    </row>
    <row r="38" spans="1:39" x14ac:dyDescent="0.3">
      <c r="A38" s="2">
        <f ca="1">COUNTIF(INDIRECT(A68&amp;A67):INDIRECT(A69&amp;A66),INDIRECT("b"&amp;ROW()))</f>
        <v>0</v>
      </c>
      <c r="B38" s="2">
        <f>Assignees!C37</f>
        <v>0</v>
      </c>
      <c r="C38"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0</v>
      </c>
      <c r="D38" s="9" t="str">
        <f>CONCATENATE(A83," ",A84)</f>
        <v>NFS [PML]</v>
      </c>
      <c r="E38" s="8" t="str">
        <f t="shared" si="0"/>
        <v>Astra-Waiver</v>
      </c>
      <c r="I38">
        <f ca="1">IF(OR(INDIRECT(A73&amp;ROW())=B93,INDIRECT(A73&amp;ROW())=B94),1,IF(AND(INDIRECT(A73&amp;ROW())=B95,INDIRECT(A96&amp;ROW())=C93),1,IF(AND(INDIRECT(A73&amp;ROW())=B95,INDIRECT(A96&amp;ROW())=C94),1,0)))</f>
        <v>0</v>
      </c>
      <c r="J38">
        <f ca="1">IF(AND(INDIRECT(A73&amp;ROW())=B95,INDIRECT(A96&amp;ROW())=C95),1,IF(AND(INDIRECT(A73&amp;ROW())=B95,INDIRECT(A96&amp;ROW())=C96),1,0))</f>
        <v>0</v>
      </c>
      <c r="K38">
        <f ca="1">DAYS360(INDIRECT(C68&amp;ROW()),TODAY())</f>
        <v>721</v>
      </c>
      <c r="L38">
        <f ca="1">DAYS360(INDIRECT(C69&amp;ROW()),TODAY())</f>
        <v>1035</v>
      </c>
      <c r="M38" s="11">
        <f ca="1">HYPERLINK(CONCATENATE("https://bugzilla.houston.hp.com:1181/bugzilla/show_bug.cgi?id=",INDIRECT(C70&amp;ROW())),INDIRECT(C70&amp;ROW()))</f>
        <v>44024</v>
      </c>
      <c r="N38">
        <v>44024</v>
      </c>
      <c r="O38" t="s">
        <v>180</v>
      </c>
      <c r="P38" t="s">
        <v>450</v>
      </c>
      <c r="Q38" t="s">
        <v>16</v>
      </c>
      <c r="R38" t="s">
        <v>251</v>
      </c>
      <c r="S38" t="s">
        <v>59</v>
      </c>
      <c r="U38" s="6">
        <v>42125.442199074074</v>
      </c>
      <c r="V38" t="s">
        <v>18</v>
      </c>
      <c r="W38" t="s">
        <v>17</v>
      </c>
      <c r="X38" s="6">
        <v>41807.146840277775</v>
      </c>
      <c r="Y38" t="s">
        <v>122</v>
      </c>
      <c r="AB38" t="s">
        <v>200</v>
      </c>
      <c r="AC38" t="s">
        <v>121</v>
      </c>
      <c r="AD38" t="s">
        <v>222</v>
      </c>
      <c r="AE38" t="s">
        <v>225</v>
      </c>
      <c r="AG38" t="s">
        <v>121</v>
      </c>
      <c r="AH38" t="s">
        <v>327</v>
      </c>
      <c r="AI38" t="s">
        <v>121</v>
      </c>
      <c r="AJ38" t="s">
        <v>716</v>
      </c>
      <c r="AK38" t="s">
        <v>121</v>
      </c>
      <c r="AL38" t="s">
        <v>121</v>
      </c>
      <c r="AM38" t="s">
        <v>121</v>
      </c>
    </row>
    <row r="39" spans="1:39" x14ac:dyDescent="0.3">
      <c r="A39" s="7">
        <f ca="1">SUM(A2:A38)</f>
        <v>537</v>
      </c>
      <c r="B39" s="7" t="s">
        <v>23</v>
      </c>
      <c r="C39"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14</v>
      </c>
      <c r="D39" s="9" t="str">
        <f>CONCATENATE(A83," ",A84)</f>
        <v>NFS [PML]</v>
      </c>
      <c r="E39" s="8" t="str">
        <f t="shared" si="0"/>
        <v>Astra-Maint</v>
      </c>
      <c r="I39">
        <f ca="1">IF(OR(INDIRECT(A73&amp;ROW())=B93,INDIRECT(A73&amp;ROW())=B94),1,IF(AND(INDIRECT(A73&amp;ROW())=B95,INDIRECT(A96&amp;ROW())=C93),1,IF(AND(INDIRECT(A73&amp;ROW())=B95,INDIRECT(A96&amp;ROW())=C94),1,0)))</f>
        <v>0</v>
      </c>
      <c r="J39">
        <f ca="1">IF(AND(INDIRECT(A73&amp;ROW())=B95,INDIRECT(A96&amp;ROW())=C95),1,IF(AND(INDIRECT(A73&amp;ROW())=B95,INDIRECT(A96&amp;ROW())=C96),1,0))</f>
        <v>0</v>
      </c>
      <c r="K39">
        <f ca="1">DAYS360(INDIRECT(C68&amp;ROW()),TODAY())</f>
        <v>728</v>
      </c>
      <c r="L39">
        <f ca="1">DAYS360(INDIRECT(C69&amp;ROW()),TODAY())</f>
        <v>1025</v>
      </c>
      <c r="M39" s="11">
        <f ca="1">HYPERLINK(CONCATENATE("https://bugzilla.houston.hp.com:1181/bugzilla/show_bug.cgi?id=",INDIRECT(C70&amp;ROW())),INDIRECT(C70&amp;ROW()))</f>
        <v>44771</v>
      </c>
      <c r="N39">
        <v>44771</v>
      </c>
      <c r="O39" t="s">
        <v>56</v>
      </c>
      <c r="P39" t="s">
        <v>710</v>
      </c>
      <c r="Q39" t="s">
        <v>16</v>
      </c>
      <c r="R39" t="s">
        <v>251</v>
      </c>
      <c r="S39" t="s">
        <v>61</v>
      </c>
      <c r="U39" s="6">
        <v>42118.520520833335</v>
      </c>
      <c r="V39" t="s">
        <v>18</v>
      </c>
      <c r="W39" t="s">
        <v>17</v>
      </c>
      <c r="X39" s="6">
        <v>41817.356145833335</v>
      </c>
      <c r="Y39" t="s">
        <v>118</v>
      </c>
      <c r="AB39" t="s">
        <v>201</v>
      </c>
      <c r="AC39" t="s">
        <v>121</v>
      </c>
      <c r="AD39" t="s">
        <v>220</v>
      </c>
      <c r="AE39" t="s">
        <v>219</v>
      </c>
      <c r="AG39" t="s">
        <v>121</v>
      </c>
      <c r="AH39" t="s">
        <v>327</v>
      </c>
      <c r="AI39" t="s">
        <v>121</v>
      </c>
      <c r="AJ39" t="s">
        <v>717</v>
      </c>
      <c r="AK39" t="s">
        <v>121</v>
      </c>
      <c r="AL39" t="s">
        <v>121</v>
      </c>
      <c r="AM39" t="s">
        <v>121</v>
      </c>
    </row>
    <row r="40" spans="1:39" x14ac:dyDescent="0.3">
      <c r="A40">
        <f ca="1">COUNTIF(INDIRECT(A76&amp;A67):INDIRECT(A76&amp;A66),B40&amp;"*")</f>
        <v>115</v>
      </c>
      <c r="B40" t="s">
        <v>126</v>
      </c>
      <c r="C40"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18</v>
      </c>
      <c r="D40" s="9" t="str">
        <f>CONCATENATE(A83," ",A84)</f>
        <v>NFS [PML]</v>
      </c>
      <c r="E40" s="8" t="str">
        <f t="shared" si="0"/>
        <v>Astra-1.1.0</v>
      </c>
      <c r="I40">
        <f ca="1">IF(OR(INDIRECT(A73&amp;ROW())=B93,INDIRECT(A73&amp;ROW())=B94),1,IF(AND(INDIRECT(A73&amp;ROW())=B95,INDIRECT(A96&amp;ROW())=C93),1,IF(AND(INDIRECT(A73&amp;ROW())=B95,INDIRECT(A96&amp;ROW())=C94),1,0)))</f>
        <v>0</v>
      </c>
      <c r="J40">
        <f ca="1">IF(AND(INDIRECT(A73&amp;ROW())=B95,INDIRECT(A96&amp;ROW())=C95),1,IF(AND(INDIRECT(A73&amp;ROW())=B95,INDIRECT(A96&amp;ROW())=C96),1,0))</f>
        <v>0</v>
      </c>
      <c r="K40">
        <f ca="1">DAYS360(INDIRECT(C68&amp;ROW()),TODAY())</f>
        <v>721</v>
      </c>
      <c r="L40">
        <f ca="1">DAYS360(INDIRECT(C69&amp;ROW()),TODAY())</f>
        <v>1021</v>
      </c>
      <c r="M40" s="11">
        <f ca="1">HYPERLINK(CONCATENATE("https://bugzilla.houston.hp.com:1181/bugzilla/show_bug.cgi?id=",INDIRECT(C70&amp;ROW())),INDIRECT(C70&amp;ROW()))</f>
        <v>46238</v>
      </c>
      <c r="N40">
        <v>46238</v>
      </c>
      <c r="O40" t="s">
        <v>174</v>
      </c>
      <c r="P40" t="s">
        <v>709</v>
      </c>
      <c r="Q40" t="s">
        <v>16</v>
      </c>
      <c r="R40" t="s">
        <v>251</v>
      </c>
      <c r="S40" t="s">
        <v>174</v>
      </c>
      <c r="U40" s="6">
        <v>42125.442280092589</v>
      </c>
      <c r="V40" t="s">
        <v>18</v>
      </c>
      <c r="W40" t="s">
        <v>17</v>
      </c>
      <c r="X40" s="6">
        <v>41821.631064814814</v>
      </c>
      <c r="Y40" t="s">
        <v>122</v>
      </c>
      <c r="AB40" t="s">
        <v>199</v>
      </c>
      <c r="AC40" t="s">
        <v>121</v>
      </c>
      <c r="AD40" t="s">
        <v>222</v>
      </c>
      <c r="AE40" t="s">
        <v>233</v>
      </c>
      <c r="AG40" t="s">
        <v>121</v>
      </c>
      <c r="AH40" t="s">
        <v>327</v>
      </c>
      <c r="AI40" t="s">
        <v>121</v>
      </c>
      <c r="AJ40" t="s">
        <v>716</v>
      </c>
      <c r="AK40" t="s">
        <v>121</v>
      </c>
      <c r="AL40" t="s">
        <v>121</v>
      </c>
      <c r="AM40" t="s">
        <v>121</v>
      </c>
    </row>
    <row r="41" spans="1:39" x14ac:dyDescent="0.3">
      <c r="A41">
        <f ca="1">COUNTIF(INDIRECT(A76&amp;A67):INDIRECT(A76&amp;A66),B41&amp;"*")</f>
        <v>17</v>
      </c>
      <c r="B41" t="s">
        <v>127</v>
      </c>
      <c r="C41">
        <f ca="1">SUM(C34:C40)</f>
        <v>111</v>
      </c>
      <c r="I41">
        <f ca="1">IF(OR(INDIRECT(A73&amp;ROW())=B93,INDIRECT(A73&amp;ROW())=B94),1,IF(AND(INDIRECT(A73&amp;ROW())=B95,INDIRECT(A96&amp;ROW())=C93),1,IF(AND(INDIRECT(A73&amp;ROW())=B95,INDIRECT(A96&amp;ROW())=C94),1,0)))</f>
        <v>0</v>
      </c>
      <c r="J41">
        <f ca="1">IF(AND(INDIRECT(A73&amp;ROW())=B95,INDIRECT(A96&amp;ROW())=C95),1,IF(AND(INDIRECT(A73&amp;ROW())=B95,INDIRECT(A96&amp;ROW())=C96),1,0))</f>
        <v>1</v>
      </c>
      <c r="K41">
        <f ca="1">DAYS360(INDIRECT(C68&amp;ROW()),TODAY())</f>
        <v>728</v>
      </c>
      <c r="L41">
        <f ca="1">DAYS360(INDIRECT(C69&amp;ROW()),TODAY())</f>
        <v>1020</v>
      </c>
      <c r="M41" s="11">
        <f ca="1">HYPERLINK(CONCATENATE("https://bugzilla.houston.hp.com:1181/bugzilla/show_bug.cgi?id=",INDIRECT(C70&amp;ROW())),INDIRECT(C70&amp;ROW()))</f>
        <v>46293</v>
      </c>
      <c r="N41">
        <v>46293</v>
      </c>
      <c r="O41" t="s">
        <v>53</v>
      </c>
      <c r="P41" t="s">
        <v>708</v>
      </c>
      <c r="Q41" t="s">
        <v>25</v>
      </c>
      <c r="R41" t="s">
        <v>251</v>
      </c>
      <c r="S41" t="s">
        <v>31</v>
      </c>
      <c r="U41" s="6">
        <v>42118.33866898148</v>
      </c>
      <c r="V41" t="s">
        <v>40</v>
      </c>
      <c r="W41" t="s">
        <v>17</v>
      </c>
      <c r="X41" s="6">
        <v>41822.446030092593</v>
      </c>
      <c r="Y41" t="s">
        <v>119</v>
      </c>
      <c r="AB41" t="s">
        <v>201</v>
      </c>
      <c r="AC41" t="s">
        <v>121</v>
      </c>
      <c r="AD41" t="s">
        <v>220</v>
      </c>
      <c r="AE41" t="s">
        <v>219</v>
      </c>
      <c r="AG41" t="s">
        <v>121</v>
      </c>
      <c r="AH41" t="s">
        <v>327</v>
      </c>
      <c r="AI41" t="s">
        <v>121</v>
      </c>
      <c r="AJ41" t="s">
        <v>716</v>
      </c>
      <c r="AK41" t="s">
        <v>121</v>
      </c>
      <c r="AL41" t="s">
        <v>121</v>
      </c>
      <c r="AM41" t="s">
        <v>121</v>
      </c>
    </row>
    <row r="42" spans="1:39" x14ac:dyDescent="0.3">
      <c r="A42" s="1">
        <f ca="1">SUM(A40:A41)</f>
        <v>132</v>
      </c>
      <c r="B42" s="1" t="s">
        <v>128</v>
      </c>
      <c r="C42" s="12">
        <f ca="1">COUNTIFS(INDIRECT(A72&amp;A67):INDIRECT(A72&amp;A66),"*"&amp;A83&amp;"*",INDIRECT(A71&amp;A67):INDIRECT(A71&amp;A66),INDIRECT("e"&amp;ROW()),INDIRECT(A70&amp;A67):INDIRECT(A70&amp;A66),A82&amp;"*")</f>
        <v>0</v>
      </c>
      <c r="D42" s="12" t="str">
        <f>CONCATENATE(A83,"  core")</f>
        <v>NFS  core</v>
      </c>
      <c r="E42" s="8" t="str">
        <f t="shared" ref="E42:E48" si="1">D2</f>
        <v>Astra</v>
      </c>
      <c r="I42">
        <f ca="1">IF(OR(INDIRECT(A73&amp;ROW())=B93,INDIRECT(A73&amp;ROW())=B94),1,IF(AND(INDIRECT(A73&amp;ROW())=B95,INDIRECT(A96&amp;ROW())=C93),1,IF(AND(INDIRECT(A73&amp;ROW())=B95,INDIRECT(A96&amp;ROW())=C94),1,0)))</f>
        <v>0</v>
      </c>
      <c r="J42">
        <f ca="1">IF(AND(INDIRECT(A73&amp;ROW())=B95,INDIRECT(A96&amp;ROW())=C95),1,IF(AND(INDIRECT(A73&amp;ROW())=B95,INDIRECT(A96&amp;ROW())=C96),1,0))</f>
        <v>0</v>
      </c>
      <c r="K42">
        <f ca="1">DAYS360(INDIRECT(C68&amp;ROW()),TODAY())</f>
        <v>728</v>
      </c>
      <c r="L42">
        <f ca="1">DAYS360(INDIRECT(C69&amp;ROW()),TODAY())</f>
        <v>1020</v>
      </c>
      <c r="M42" s="11">
        <f ca="1">HYPERLINK(CONCATENATE("https://bugzilla.houston.hp.com:1181/bugzilla/show_bug.cgi?id=",INDIRECT(C70&amp;ROW())),INDIRECT(C70&amp;ROW()))</f>
        <v>46326</v>
      </c>
      <c r="N42">
        <v>46326</v>
      </c>
      <c r="O42" t="s">
        <v>1345</v>
      </c>
      <c r="P42" t="s">
        <v>707</v>
      </c>
      <c r="Q42" t="s">
        <v>16</v>
      </c>
      <c r="R42" t="s">
        <v>251</v>
      </c>
      <c r="S42" t="s">
        <v>177</v>
      </c>
      <c r="U42" s="6">
        <v>42118.520601851851</v>
      </c>
      <c r="V42" t="s">
        <v>40</v>
      </c>
      <c r="W42" t="s">
        <v>17</v>
      </c>
      <c r="X42" s="6">
        <v>41822.770127314812</v>
      </c>
      <c r="Y42" t="s">
        <v>245</v>
      </c>
      <c r="Z42" t="s">
        <v>190</v>
      </c>
      <c r="AB42" t="s">
        <v>201</v>
      </c>
      <c r="AC42" t="s">
        <v>121</v>
      </c>
      <c r="AD42" t="s">
        <v>220</v>
      </c>
      <c r="AE42" t="s">
        <v>219</v>
      </c>
      <c r="AG42" t="s">
        <v>121</v>
      </c>
      <c r="AH42" t="s">
        <v>327</v>
      </c>
      <c r="AI42" t="s">
        <v>121</v>
      </c>
      <c r="AJ42" t="s">
        <v>717</v>
      </c>
      <c r="AK42" t="s">
        <v>121</v>
      </c>
      <c r="AL42" t="s">
        <v>121</v>
      </c>
      <c r="AM42" t="s">
        <v>121</v>
      </c>
    </row>
    <row r="43" spans="1:39" x14ac:dyDescent="0.3">
      <c r="C43" s="12">
        <f ca="1">COUNTIFS(INDIRECT(A72&amp;A67):INDIRECT(A72&amp;A66),"*"&amp;A83&amp;"*",INDIRECT(A71&amp;A67):INDIRECT(A71&amp;A66),INDIRECT("e"&amp;ROW()),INDIRECT(A70&amp;A67):INDIRECT(A70&amp;A66),A82&amp;"*")</f>
        <v>0</v>
      </c>
      <c r="D43" s="12" t="str">
        <f>CONCATENATE(A83,"  core")</f>
        <v>NFS  core</v>
      </c>
      <c r="E43" s="8" t="str">
        <f t="shared" si="1"/>
        <v>Atlas</v>
      </c>
      <c r="I43">
        <f ca="1">IF(OR(INDIRECT(A73&amp;ROW())=B93,INDIRECT(A73&amp;ROW())=B94),1,IF(AND(INDIRECT(A73&amp;ROW())=B95,INDIRECT(A96&amp;ROW())=C93),1,IF(AND(INDIRECT(A73&amp;ROW())=B95,INDIRECT(A96&amp;ROW())=C94),1,0)))</f>
        <v>0</v>
      </c>
      <c r="J43">
        <f ca="1">IF(AND(INDIRECT(A73&amp;ROW())=B95,INDIRECT(A96&amp;ROW())=C95),1,IF(AND(INDIRECT(A73&amp;ROW())=B95,INDIRECT(A96&amp;ROW())=C96),1,0))</f>
        <v>0</v>
      </c>
      <c r="K43">
        <f ca="1">DAYS360(INDIRECT(C68&amp;ROW()),TODAY())</f>
        <v>728</v>
      </c>
      <c r="L43">
        <f ca="1">DAYS360(INDIRECT(C69&amp;ROW()),TODAY())</f>
        <v>1013</v>
      </c>
      <c r="M43" s="11">
        <f ca="1">HYPERLINK(CONCATENATE("https://bugzilla.houston.hp.com:1181/bugzilla/show_bug.cgi?id=",INDIRECT(C70&amp;ROW())),INDIRECT(C70&amp;ROW()))</f>
        <v>46659</v>
      </c>
      <c r="N43">
        <v>46659</v>
      </c>
      <c r="O43" t="s">
        <v>22</v>
      </c>
      <c r="P43" t="s">
        <v>706</v>
      </c>
      <c r="Q43" t="s">
        <v>16</v>
      </c>
      <c r="R43" t="s">
        <v>251</v>
      </c>
      <c r="S43" t="s">
        <v>1357</v>
      </c>
      <c r="U43" s="6">
        <v>42118.52071759259</v>
      </c>
      <c r="V43" t="s">
        <v>18</v>
      </c>
      <c r="W43" t="s">
        <v>17</v>
      </c>
      <c r="X43" s="6">
        <v>41829.631932870368</v>
      </c>
      <c r="Y43" t="s">
        <v>244</v>
      </c>
      <c r="AB43" t="s">
        <v>201</v>
      </c>
      <c r="AC43" t="s">
        <v>121</v>
      </c>
      <c r="AD43" t="s">
        <v>222</v>
      </c>
      <c r="AE43" t="s">
        <v>225</v>
      </c>
      <c r="AG43" t="s">
        <v>121</v>
      </c>
      <c r="AH43" t="s">
        <v>327</v>
      </c>
      <c r="AI43" t="s">
        <v>121</v>
      </c>
      <c r="AJ43" t="s">
        <v>717</v>
      </c>
      <c r="AK43" t="s">
        <v>121</v>
      </c>
      <c r="AL43" t="s">
        <v>121</v>
      </c>
      <c r="AM43" t="s">
        <v>121</v>
      </c>
    </row>
    <row r="44" spans="1:39" x14ac:dyDescent="0.3">
      <c r="C44" s="12">
        <f ca="1">COUNTIFS(INDIRECT(A72&amp;A67):INDIRECT(A72&amp;A66),"*"&amp;A83&amp;"*",INDIRECT(A71&amp;A67):INDIRECT(A71&amp;A66),INDIRECT("e"&amp;ROW()),INDIRECT(A70&amp;A67):INDIRECT(A70&amp;A66),A82&amp;"*")</f>
        <v>0</v>
      </c>
      <c r="D44" s="12" t="str">
        <f>CONCATENATE(A83,"  core")</f>
        <v>NFS  core</v>
      </c>
      <c r="E44" s="8" t="str">
        <f t="shared" si="1"/>
        <v>Bellatrix</v>
      </c>
      <c r="I44">
        <f ca="1">IF(OR(INDIRECT(A73&amp;ROW())=B93,INDIRECT(A73&amp;ROW())=B94),1,IF(AND(INDIRECT(A73&amp;ROW())=B95,INDIRECT(A96&amp;ROW())=C93),1,IF(AND(INDIRECT(A73&amp;ROW())=B95,INDIRECT(A96&amp;ROW())=C94),1,0)))</f>
        <v>0</v>
      </c>
      <c r="J44">
        <f ca="1">IF(AND(INDIRECT(A73&amp;ROW())=B95,INDIRECT(A96&amp;ROW())=C95),1,IF(AND(INDIRECT(A73&amp;ROW())=B95,INDIRECT(A96&amp;ROW())=C96),1,0))</f>
        <v>0</v>
      </c>
      <c r="K44">
        <f ca="1">DAYS360(INDIRECT(C68&amp;ROW()),TODAY())</f>
        <v>640</v>
      </c>
      <c r="L44">
        <f ca="1">DAYS360(INDIRECT(C69&amp;ROW()),TODAY())</f>
        <v>1013</v>
      </c>
      <c r="M44" s="11">
        <f ca="1">HYPERLINK(CONCATENATE("https://bugzilla.houston.hp.com:1181/bugzilla/show_bug.cgi?id=",INDIRECT(C70&amp;ROW())),INDIRECT(C70&amp;ROW()))</f>
        <v>46661</v>
      </c>
      <c r="N44">
        <v>46661</v>
      </c>
      <c r="O44" t="s">
        <v>292</v>
      </c>
      <c r="P44" t="s">
        <v>1358</v>
      </c>
      <c r="Q44" t="s">
        <v>16</v>
      </c>
      <c r="R44" t="s">
        <v>1341</v>
      </c>
      <c r="S44" t="s">
        <v>65</v>
      </c>
      <c r="T44" t="s">
        <v>794</v>
      </c>
      <c r="U44" s="6">
        <v>42207.617256944446</v>
      </c>
      <c r="V44" t="s">
        <v>18</v>
      </c>
      <c r="W44" t="s">
        <v>172</v>
      </c>
      <c r="X44" s="6">
        <v>41829.650636574072</v>
      </c>
      <c r="Y44" t="s">
        <v>122</v>
      </c>
      <c r="AB44" t="s">
        <v>201</v>
      </c>
      <c r="AC44" t="s">
        <v>1027</v>
      </c>
      <c r="AD44" t="s">
        <v>220</v>
      </c>
      <c r="AE44" t="s">
        <v>219</v>
      </c>
      <c r="AG44" t="s">
        <v>121</v>
      </c>
      <c r="AH44" t="s">
        <v>327</v>
      </c>
      <c r="AI44" t="s">
        <v>121</v>
      </c>
      <c r="AJ44" t="s">
        <v>717</v>
      </c>
      <c r="AK44" t="s">
        <v>121</v>
      </c>
      <c r="AL44" t="s">
        <v>121</v>
      </c>
      <c r="AM44" t="s">
        <v>121</v>
      </c>
    </row>
    <row r="45" spans="1:39" x14ac:dyDescent="0.3">
      <c r="C45" s="12">
        <f ca="1">COUNTIFS(INDIRECT(A72&amp;A67):INDIRECT(A72&amp;A66),"*"&amp;A83&amp;"*",INDIRECT(A71&amp;A67):INDIRECT(A71&amp;A66),INDIRECT("e"&amp;ROW()),INDIRECT(A70&amp;A67):INDIRECT(A70&amp;A66),A82&amp;"*")</f>
        <v>0</v>
      </c>
      <c r="D45" s="12" t="str">
        <f>CONCATENATE(A83,"  core")</f>
        <v>NFS  core</v>
      </c>
      <c r="E45" s="8" t="str">
        <f t="shared" si="1"/>
        <v>Master</v>
      </c>
      <c r="I45">
        <f ca="1">IF(OR(INDIRECT(A73&amp;ROW())=B93,INDIRECT(A73&amp;ROW())=B94),1,IF(AND(INDIRECT(A73&amp;ROW())=B95,INDIRECT(A96&amp;ROW())=C93),1,IF(AND(INDIRECT(A73&amp;ROW())=B95,INDIRECT(A96&amp;ROW())=C94),1,0)))</f>
        <v>0</v>
      </c>
      <c r="J45">
        <f ca="1">IF(AND(INDIRECT(A73&amp;ROW())=B95,INDIRECT(A96&amp;ROW())=C95),1,IF(AND(INDIRECT(A73&amp;ROW())=B95,INDIRECT(A96&amp;ROW())=C96),1,0))</f>
        <v>0</v>
      </c>
      <c r="K45">
        <f ca="1">DAYS360(INDIRECT(C68&amp;ROW()),TODAY())</f>
        <v>721</v>
      </c>
      <c r="L45">
        <f ca="1">DAYS360(INDIRECT(C69&amp;ROW()),TODAY())</f>
        <v>1011</v>
      </c>
      <c r="M45" s="11">
        <f ca="1">HYPERLINK(CONCATENATE("https://bugzilla.houston.hp.com:1181/bugzilla/show_bug.cgi?id=",INDIRECT(C70&amp;ROW())),INDIRECT(C70&amp;ROW()))</f>
        <v>46771</v>
      </c>
      <c r="N45">
        <v>46771</v>
      </c>
      <c r="O45" t="s">
        <v>45</v>
      </c>
      <c r="P45" t="s">
        <v>478</v>
      </c>
      <c r="Q45" t="s">
        <v>16</v>
      </c>
      <c r="R45" t="s">
        <v>251</v>
      </c>
      <c r="S45" t="s">
        <v>168</v>
      </c>
      <c r="U45" s="6">
        <v>42125.643969907411</v>
      </c>
      <c r="V45" t="s">
        <v>40</v>
      </c>
      <c r="W45" t="s">
        <v>17</v>
      </c>
      <c r="X45" s="6">
        <v>41831.196400462963</v>
      </c>
      <c r="Y45" t="s">
        <v>123</v>
      </c>
      <c r="AB45" t="s">
        <v>199</v>
      </c>
      <c r="AC45" t="s">
        <v>121</v>
      </c>
      <c r="AD45" t="s">
        <v>227</v>
      </c>
      <c r="AE45" t="s">
        <v>231</v>
      </c>
      <c r="AG45" t="s">
        <v>121</v>
      </c>
      <c r="AH45" t="s">
        <v>327</v>
      </c>
      <c r="AI45" t="s">
        <v>121</v>
      </c>
      <c r="AJ45" t="s">
        <v>716</v>
      </c>
      <c r="AK45" t="s">
        <v>121</v>
      </c>
      <c r="AL45" t="s">
        <v>121</v>
      </c>
      <c r="AM45" t="s">
        <v>121</v>
      </c>
    </row>
    <row r="46" spans="1:39" x14ac:dyDescent="0.3">
      <c r="C46" s="12">
        <f ca="1">COUNTIFS(INDIRECT(A72&amp;A67):INDIRECT(A72&amp;A66),"*"&amp;A83&amp;"*",INDIRECT(A71&amp;A67):INDIRECT(A71&amp;A66),INDIRECT("e"&amp;ROW()),INDIRECT(A70&amp;A67):INDIRECT(A70&amp;A66),A82&amp;"*")</f>
        <v>0</v>
      </c>
      <c r="D46" s="12" t="str">
        <f>CONCATENATE(A83,"  core")</f>
        <v>NFS  core</v>
      </c>
      <c r="E46" s="8" t="str">
        <f t="shared" si="1"/>
        <v>Astra-Waiver</v>
      </c>
      <c r="I46">
        <f ca="1">IF(OR(INDIRECT(A73&amp;ROW())=B93,INDIRECT(A73&amp;ROW())=B94),1,IF(AND(INDIRECT(A73&amp;ROW())=B95,INDIRECT(A96&amp;ROW())=C93),1,IF(AND(INDIRECT(A73&amp;ROW())=B95,INDIRECT(A96&amp;ROW())=C94),1,0)))</f>
        <v>0</v>
      </c>
      <c r="J46">
        <f ca="1">IF(AND(INDIRECT(A73&amp;ROW())=B95,INDIRECT(A96&amp;ROW())=C95),1,IF(AND(INDIRECT(A73&amp;ROW())=B95,INDIRECT(A96&amp;ROW())=C96),1,0))</f>
        <v>0</v>
      </c>
      <c r="K46">
        <f ca="1">DAYS360(INDIRECT(C68&amp;ROW()),TODAY())</f>
        <v>721</v>
      </c>
      <c r="L46">
        <f ca="1">DAYS360(INDIRECT(C69&amp;ROW()),TODAY())</f>
        <v>1004</v>
      </c>
      <c r="M46" s="11">
        <f ca="1">HYPERLINK(CONCATENATE("https://bugzilla.houston.hp.com:1181/bugzilla/show_bug.cgi?id=",INDIRECT(C70&amp;ROW())),INDIRECT(C70&amp;ROW()))</f>
        <v>47187</v>
      </c>
      <c r="N46">
        <v>47187</v>
      </c>
      <c r="O46" t="s">
        <v>213</v>
      </c>
      <c r="P46" t="s">
        <v>449</v>
      </c>
      <c r="Q46" t="s">
        <v>16</v>
      </c>
      <c r="R46" t="s">
        <v>251</v>
      </c>
      <c r="S46" t="s">
        <v>213</v>
      </c>
      <c r="U46" s="6">
        <v>42125.442048611112</v>
      </c>
      <c r="V46" t="s">
        <v>18</v>
      </c>
      <c r="W46" t="s">
        <v>17</v>
      </c>
      <c r="X46" s="6">
        <v>41838.292291666665</v>
      </c>
      <c r="Y46" t="s">
        <v>122</v>
      </c>
      <c r="AB46" t="s">
        <v>201</v>
      </c>
      <c r="AC46" t="s">
        <v>121</v>
      </c>
      <c r="AD46" t="s">
        <v>220</v>
      </c>
      <c r="AE46" t="s">
        <v>219</v>
      </c>
      <c r="AG46" t="s">
        <v>121</v>
      </c>
      <c r="AH46" t="s">
        <v>327</v>
      </c>
      <c r="AI46" t="s">
        <v>121</v>
      </c>
      <c r="AJ46" t="s">
        <v>717</v>
      </c>
      <c r="AK46" t="s">
        <v>121</v>
      </c>
      <c r="AL46" t="s">
        <v>121</v>
      </c>
      <c r="AM46" t="s">
        <v>121</v>
      </c>
    </row>
    <row r="47" spans="1:39" x14ac:dyDescent="0.3">
      <c r="C47" s="12">
        <f ca="1">COUNTIFS(INDIRECT(A72&amp;A67):INDIRECT(A72&amp;A66),"*"&amp;A83&amp;"*",INDIRECT(A71&amp;A67):INDIRECT(A71&amp;A66),INDIRECT("e"&amp;ROW()),INDIRECT(A70&amp;A67):INDIRECT(A70&amp;A66),A82&amp;"*")</f>
        <v>0</v>
      </c>
      <c r="D47" s="12" t="str">
        <f>CONCATENATE(A83,"  core")</f>
        <v>NFS  core</v>
      </c>
      <c r="E47" s="8" t="str">
        <f t="shared" si="1"/>
        <v>Astra-Maint</v>
      </c>
      <c r="I47">
        <f ca="1">IF(OR(INDIRECT(A73&amp;ROW())=B93,INDIRECT(A73&amp;ROW())=B94),1,IF(AND(INDIRECT(A73&amp;ROW())=B95,INDIRECT(A96&amp;ROW())=C93),1,IF(AND(INDIRECT(A73&amp;ROW())=B95,INDIRECT(A96&amp;ROW())=C94),1,0)))</f>
        <v>0</v>
      </c>
      <c r="J47">
        <f ca="1">IF(AND(INDIRECT(A73&amp;ROW())=B95,INDIRECT(A96&amp;ROW())=C95),1,IF(AND(INDIRECT(A73&amp;ROW())=B95,INDIRECT(A96&amp;ROW())=C96),1,0))</f>
        <v>1</v>
      </c>
      <c r="K47">
        <f ca="1">DAYS360(INDIRECT(C68&amp;ROW()),TODAY())</f>
        <v>724</v>
      </c>
      <c r="L47">
        <f ca="1">DAYS360(INDIRECT(C69&amp;ROW()),TODAY())</f>
        <v>1001</v>
      </c>
      <c r="M47" s="11">
        <f ca="1">HYPERLINK(CONCATENATE("https://bugzilla.houston.hp.com:1181/bugzilla/show_bug.cgi?id=",INDIRECT(C70&amp;ROW())),INDIRECT(C70&amp;ROW()))</f>
        <v>47269</v>
      </c>
      <c r="N47">
        <v>47269</v>
      </c>
      <c r="O47" t="s">
        <v>56</v>
      </c>
      <c r="P47" t="s">
        <v>448</v>
      </c>
      <c r="Q47" t="s">
        <v>25</v>
      </c>
      <c r="R47" t="s">
        <v>251</v>
      </c>
      <c r="S47" t="s">
        <v>183</v>
      </c>
      <c r="U47" s="6">
        <v>42122.349108796298</v>
      </c>
      <c r="V47" t="s">
        <v>40</v>
      </c>
      <c r="W47" t="s">
        <v>17</v>
      </c>
      <c r="X47" s="6">
        <v>41841.625428240739</v>
      </c>
      <c r="Y47" t="s">
        <v>244</v>
      </c>
      <c r="AB47" t="s">
        <v>201</v>
      </c>
      <c r="AC47" t="s">
        <v>121</v>
      </c>
      <c r="AD47" t="s">
        <v>220</v>
      </c>
      <c r="AE47" t="s">
        <v>219</v>
      </c>
      <c r="AG47" t="s">
        <v>121</v>
      </c>
      <c r="AH47" t="s">
        <v>327</v>
      </c>
      <c r="AI47" t="s">
        <v>121</v>
      </c>
      <c r="AJ47" t="s">
        <v>716</v>
      </c>
      <c r="AK47" t="s">
        <v>121</v>
      </c>
      <c r="AL47" t="s">
        <v>121</v>
      </c>
      <c r="AM47" t="s">
        <v>121</v>
      </c>
    </row>
    <row r="48" spans="1:39" x14ac:dyDescent="0.3">
      <c r="C48" s="12">
        <f ca="1">COUNTIFS(INDIRECT(A72&amp;A67):INDIRECT(A72&amp;A66),"*"&amp;A83&amp;"*",INDIRECT(A71&amp;A67):INDIRECT(A71&amp;A66),INDIRECT("e"&amp;ROW()),INDIRECT(A70&amp;A67):INDIRECT(A70&amp;A66),A82&amp;"*")</f>
        <v>0</v>
      </c>
      <c r="D48" s="12" t="str">
        <f>CONCATENATE(A83,"  core")</f>
        <v>NFS  core</v>
      </c>
      <c r="E48" s="8" t="str">
        <f t="shared" si="1"/>
        <v>Astra-1.1.0</v>
      </c>
      <c r="I48">
        <f ca="1">IF(OR(INDIRECT(A73&amp;ROW())=B93,INDIRECT(A73&amp;ROW())=B94),1,IF(AND(INDIRECT(A73&amp;ROW())=B95,INDIRECT(A96&amp;ROW())=C93),1,IF(AND(INDIRECT(A73&amp;ROW())=B95,INDIRECT(A96&amp;ROW())=C94),1,0)))</f>
        <v>0</v>
      </c>
      <c r="J48">
        <f ca="1">IF(AND(INDIRECT(A73&amp;ROW())=B95,INDIRECT(A96&amp;ROW())=C95),1,IF(AND(INDIRECT(A73&amp;ROW())=B95,INDIRECT(A96&amp;ROW())=C96),1,0))</f>
        <v>0</v>
      </c>
      <c r="K48">
        <f ca="1">DAYS360(INDIRECT(C68&amp;ROW()),TODAY())</f>
        <v>728</v>
      </c>
      <c r="L48">
        <f ca="1">DAYS360(INDIRECT(C69&amp;ROW()),TODAY())</f>
        <v>999</v>
      </c>
      <c r="M48" s="11">
        <f ca="1">HYPERLINK(CONCATENATE("https://bugzilla.houston.hp.com:1181/bugzilla/show_bug.cgi?id=",INDIRECT(C70&amp;ROW())),INDIRECT(C70&amp;ROW()))</f>
        <v>47415</v>
      </c>
      <c r="N48">
        <v>47415</v>
      </c>
      <c r="O48" t="s">
        <v>22</v>
      </c>
      <c r="P48" t="s">
        <v>705</v>
      </c>
      <c r="Q48" t="s">
        <v>16</v>
      </c>
      <c r="R48" t="s">
        <v>251</v>
      </c>
      <c r="S48" t="s">
        <v>36</v>
      </c>
      <c r="U48" s="6">
        <v>42118.55841435185</v>
      </c>
      <c r="V48" t="s">
        <v>18</v>
      </c>
      <c r="W48" t="s">
        <v>17</v>
      </c>
      <c r="X48" s="6">
        <v>41843.549317129633</v>
      </c>
      <c r="Y48" t="s">
        <v>122</v>
      </c>
      <c r="AB48" t="s">
        <v>201</v>
      </c>
      <c r="AC48" t="s">
        <v>121</v>
      </c>
      <c r="AD48" t="s">
        <v>220</v>
      </c>
      <c r="AE48" t="s">
        <v>219</v>
      </c>
      <c r="AG48" t="s">
        <v>121</v>
      </c>
      <c r="AH48" t="s">
        <v>327</v>
      </c>
      <c r="AI48" t="s">
        <v>121</v>
      </c>
      <c r="AJ48" t="s">
        <v>717</v>
      </c>
      <c r="AK48" t="s">
        <v>121</v>
      </c>
      <c r="AL48" t="s">
        <v>121</v>
      </c>
      <c r="AM48" t="s">
        <v>121</v>
      </c>
    </row>
    <row r="49" spans="2:39" x14ac:dyDescent="0.3">
      <c r="C49">
        <f ca="1">SUM(C42:C48)</f>
        <v>0</v>
      </c>
      <c r="I49">
        <f ca="1">IF(OR(INDIRECT(A73&amp;ROW())=B93,INDIRECT(A73&amp;ROW())=B94),1,IF(AND(INDIRECT(A73&amp;ROW())=B95,INDIRECT(A96&amp;ROW())=C93),1,IF(AND(INDIRECT(A73&amp;ROW())=B95,INDIRECT(A96&amp;ROW())=C94),1,0)))</f>
        <v>0</v>
      </c>
      <c r="J49">
        <f ca="1">IF(AND(INDIRECT(A73&amp;ROW())=B95,INDIRECT(A96&amp;ROW())=C95),1,IF(AND(INDIRECT(A73&amp;ROW())=B95,INDIRECT(A96&amp;ROW())=C96),1,0))</f>
        <v>0</v>
      </c>
      <c r="K49">
        <f ca="1">DAYS360(INDIRECT(C68&amp;ROW()),TODAY())</f>
        <v>683</v>
      </c>
      <c r="L49">
        <f ca="1">DAYS360(INDIRECT(C69&amp;ROW()),TODAY())</f>
        <v>998</v>
      </c>
      <c r="M49" s="11">
        <f ca="1">HYPERLINK(CONCATENATE("https://bugzilla.houston.hp.com:1181/bugzilla/show_bug.cgi?id=",INDIRECT(C70&amp;ROW())),INDIRECT(C70&amp;ROW()))</f>
        <v>47515</v>
      </c>
      <c r="N49">
        <v>47515</v>
      </c>
      <c r="O49" t="s">
        <v>1345</v>
      </c>
      <c r="P49" t="s">
        <v>447</v>
      </c>
      <c r="Q49" t="s">
        <v>16</v>
      </c>
      <c r="R49" t="s">
        <v>251</v>
      </c>
      <c r="S49" t="s">
        <v>52</v>
      </c>
      <c r="U49" s="6">
        <v>42164.611527777779</v>
      </c>
      <c r="V49" t="s">
        <v>18</v>
      </c>
      <c r="W49" t="s">
        <v>17</v>
      </c>
      <c r="X49" s="6">
        <v>41844.425266203703</v>
      </c>
      <c r="Y49" t="s">
        <v>119</v>
      </c>
      <c r="AB49" t="s">
        <v>201</v>
      </c>
      <c r="AC49" t="s">
        <v>121</v>
      </c>
      <c r="AD49" t="s">
        <v>222</v>
      </c>
      <c r="AE49" t="s">
        <v>240</v>
      </c>
      <c r="AG49" t="s">
        <v>121</v>
      </c>
      <c r="AH49" t="s">
        <v>327</v>
      </c>
      <c r="AI49" t="s">
        <v>121</v>
      </c>
      <c r="AJ49" t="s">
        <v>717</v>
      </c>
      <c r="AK49" t="s">
        <v>121</v>
      </c>
      <c r="AL49" t="s">
        <v>121</v>
      </c>
      <c r="AM49" t="s">
        <v>121</v>
      </c>
    </row>
    <row r="50" spans="2:39" x14ac:dyDescent="0.3">
      <c r="C50" s="1">
        <f ca="1">SUM(C49,C41)</f>
        <v>111</v>
      </c>
      <c r="I50">
        <f ca="1">IF(OR(INDIRECT(A73&amp;ROW())=B93,INDIRECT(A73&amp;ROW())=B94),1,IF(AND(INDIRECT(A73&amp;ROW())=B95,INDIRECT(A96&amp;ROW())=C93),1,IF(AND(INDIRECT(A73&amp;ROW())=B95,INDIRECT(A96&amp;ROW())=C94),1,0)))</f>
        <v>0</v>
      </c>
      <c r="J50">
        <f ca="1">IF(AND(INDIRECT(A73&amp;ROW())=B95,INDIRECT(A96&amp;ROW())=C95),1,IF(AND(INDIRECT(A73&amp;ROW())=B95,INDIRECT(A96&amp;ROW())=C96),1,0))</f>
        <v>0</v>
      </c>
      <c r="K50">
        <f ca="1">DAYS360(INDIRECT(C68&amp;ROW()),TODAY())</f>
        <v>721</v>
      </c>
      <c r="L50">
        <f ca="1">DAYS360(INDIRECT(C69&amp;ROW()),TODAY())</f>
        <v>994</v>
      </c>
      <c r="M50" s="11">
        <f ca="1">HYPERLINK(CONCATENATE("https://bugzilla.houston.hp.com:1181/bugzilla/show_bug.cgi?id=",INDIRECT(C70&amp;ROW())),INDIRECT(C70&amp;ROW()))</f>
        <v>47697</v>
      </c>
      <c r="N50">
        <v>47697</v>
      </c>
      <c r="O50" t="s">
        <v>56</v>
      </c>
      <c r="P50" t="s">
        <v>704</v>
      </c>
      <c r="Q50" t="s">
        <v>16</v>
      </c>
      <c r="R50" t="s">
        <v>251</v>
      </c>
      <c r="S50" t="s">
        <v>188</v>
      </c>
      <c r="U50" s="6">
        <v>42125.44390046296</v>
      </c>
      <c r="V50" t="s">
        <v>18</v>
      </c>
      <c r="W50" t="s">
        <v>17</v>
      </c>
      <c r="X50" s="6">
        <v>41848.552175925928</v>
      </c>
      <c r="Y50" t="s">
        <v>122</v>
      </c>
      <c r="AB50" t="s">
        <v>200</v>
      </c>
      <c r="AC50" t="s">
        <v>121</v>
      </c>
      <c r="AD50" t="s">
        <v>220</v>
      </c>
      <c r="AE50" t="s">
        <v>219</v>
      </c>
      <c r="AG50" t="s">
        <v>121</v>
      </c>
      <c r="AH50" t="s">
        <v>327</v>
      </c>
      <c r="AI50" t="s">
        <v>121</v>
      </c>
      <c r="AJ50" t="s">
        <v>716</v>
      </c>
      <c r="AK50" t="s">
        <v>121</v>
      </c>
      <c r="AL50" t="s">
        <v>121</v>
      </c>
      <c r="AM50" t="s">
        <v>121</v>
      </c>
    </row>
    <row r="51" spans="2:39" x14ac:dyDescent="0.3">
      <c r="I51">
        <f ca="1">IF(OR(INDIRECT(A73&amp;ROW())=B93,INDIRECT(A73&amp;ROW())=B94),1,IF(AND(INDIRECT(A73&amp;ROW())=B95,INDIRECT(A96&amp;ROW())=C93),1,IF(AND(INDIRECT(A73&amp;ROW())=B95,INDIRECT(A96&amp;ROW())=C94),1,0)))</f>
        <v>0</v>
      </c>
      <c r="J51">
        <f ca="1">IF(AND(INDIRECT(A73&amp;ROW())=B95,INDIRECT(A96&amp;ROW())=C95),1,IF(AND(INDIRECT(A73&amp;ROW())=B95,INDIRECT(A96&amp;ROW())=C96),1,0))</f>
        <v>0</v>
      </c>
      <c r="K51">
        <f ca="1">DAYS360(INDIRECT(C68&amp;ROW()),TODAY())</f>
        <v>721</v>
      </c>
      <c r="L51">
        <f ca="1">DAYS360(INDIRECT(C69&amp;ROW()),TODAY())</f>
        <v>992</v>
      </c>
      <c r="M51" s="11">
        <f ca="1">HYPERLINK(CONCATENATE("https://bugzilla.houston.hp.com:1181/bugzilla/show_bug.cgi?id=",INDIRECT(C70&amp;ROW())),INDIRECT(C70&amp;ROW()))</f>
        <v>47791</v>
      </c>
      <c r="N51">
        <v>47791</v>
      </c>
      <c r="O51" t="s">
        <v>19</v>
      </c>
      <c r="P51" t="s">
        <v>744</v>
      </c>
      <c r="Q51" t="s">
        <v>16</v>
      </c>
      <c r="R51" t="s">
        <v>251</v>
      </c>
      <c r="S51" t="s">
        <v>43</v>
      </c>
      <c r="U51" s="6">
        <v>42125.443761574075</v>
      </c>
      <c r="V51" t="s">
        <v>18</v>
      </c>
      <c r="W51" t="s">
        <v>17</v>
      </c>
      <c r="X51" s="6">
        <v>41850.351284722223</v>
      </c>
      <c r="Y51" t="s">
        <v>122</v>
      </c>
      <c r="AB51" t="s">
        <v>200</v>
      </c>
      <c r="AC51" t="s">
        <v>247</v>
      </c>
      <c r="AD51" t="s">
        <v>220</v>
      </c>
      <c r="AE51" t="s">
        <v>219</v>
      </c>
      <c r="AG51" t="s">
        <v>121</v>
      </c>
      <c r="AH51" t="s">
        <v>327</v>
      </c>
      <c r="AI51" t="s">
        <v>121</v>
      </c>
      <c r="AJ51" t="s">
        <v>716</v>
      </c>
      <c r="AK51" t="s">
        <v>121</v>
      </c>
      <c r="AL51" t="s">
        <v>121</v>
      </c>
      <c r="AM51" t="s">
        <v>121</v>
      </c>
    </row>
    <row r="52" spans="2:39" x14ac:dyDescent="0.3">
      <c r="B52" t="s">
        <v>93</v>
      </c>
      <c r="E52" t="s">
        <v>92</v>
      </c>
      <c r="I52">
        <f ca="1">IF(OR(INDIRECT(A73&amp;ROW())=B93,INDIRECT(A73&amp;ROW())=B94),1,IF(AND(INDIRECT(A73&amp;ROW())=B95,INDIRECT(A96&amp;ROW())=C93),1,IF(AND(INDIRECT(A73&amp;ROW())=B95,INDIRECT(A96&amp;ROW())=C94),1,0)))</f>
        <v>0</v>
      </c>
      <c r="J52">
        <f ca="1">IF(AND(INDIRECT(A73&amp;ROW())=B95,INDIRECT(A96&amp;ROW())=C95),1,IF(AND(INDIRECT(A73&amp;ROW())=B95,INDIRECT(A96&amp;ROW())=C96),1,0))</f>
        <v>0</v>
      </c>
      <c r="K52">
        <f ca="1">DAYS360(INDIRECT(C68&amp;ROW()),TODAY())</f>
        <v>729</v>
      </c>
      <c r="L52">
        <f ca="1">DAYS360(INDIRECT(C69&amp;ROW()),TODAY())</f>
        <v>992</v>
      </c>
      <c r="M52" s="11">
        <f ca="1">HYPERLINK(CONCATENATE("https://bugzilla.houston.hp.com:1181/bugzilla/show_bug.cgi?id=",INDIRECT(C70&amp;ROW())),INDIRECT(C70&amp;ROW()))</f>
        <v>47877</v>
      </c>
      <c r="N52">
        <v>47877</v>
      </c>
      <c r="O52" t="s">
        <v>56</v>
      </c>
      <c r="P52" t="s">
        <v>703</v>
      </c>
      <c r="Q52" t="s">
        <v>16</v>
      </c>
      <c r="R52" t="s">
        <v>251</v>
      </c>
      <c r="S52" t="s">
        <v>1672</v>
      </c>
      <c r="U52" s="6">
        <v>42117.403090277781</v>
      </c>
      <c r="V52" t="s">
        <v>35</v>
      </c>
      <c r="W52" t="s">
        <v>17</v>
      </c>
      <c r="X52" s="6">
        <v>41851.903414351851</v>
      </c>
      <c r="Y52" t="s">
        <v>119</v>
      </c>
      <c r="AB52" t="s">
        <v>200</v>
      </c>
      <c r="AC52" t="s">
        <v>121</v>
      </c>
      <c r="AD52" t="s">
        <v>220</v>
      </c>
      <c r="AE52" t="s">
        <v>219</v>
      </c>
      <c r="AG52" t="s">
        <v>121</v>
      </c>
      <c r="AH52" t="s">
        <v>327</v>
      </c>
      <c r="AI52" t="s">
        <v>121</v>
      </c>
      <c r="AJ52" t="s">
        <v>716</v>
      </c>
      <c r="AK52" t="s">
        <v>121</v>
      </c>
      <c r="AL52" t="s">
        <v>121</v>
      </c>
      <c r="AM52" t="s">
        <v>121</v>
      </c>
    </row>
    <row r="53" spans="2:39" x14ac:dyDescent="0.3">
      <c r="B53">
        <f ca="1">COUNTIFS(INDIRECT(A74&amp;A67):INDIRECT(A74&amp;A66),  "&lt;30")</f>
        <v>0</v>
      </c>
      <c r="C53" t="s">
        <v>80</v>
      </c>
      <c r="E53">
        <f ca="1">COUNTIFS(INDIRECT(A75&amp;A67):INDIRECT(A75&amp;A66),  "&lt;30")</f>
        <v>0</v>
      </c>
      <c r="I53">
        <f ca="1">IF(OR(INDIRECT(A73&amp;ROW())=B93,INDIRECT(A73&amp;ROW())=B94),1,IF(AND(INDIRECT(A73&amp;ROW())=B95,INDIRECT(A96&amp;ROW())=C93),1,IF(AND(INDIRECT(A73&amp;ROW())=B95,INDIRECT(A96&amp;ROW())=C94),1,0)))</f>
        <v>0</v>
      </c>
      <c r="J53">
        <f ca="1">IF(AND(INDIRECT(A73&amp;ROW())=B95,INDIRECT(A96&amp;ROW())=C95),1,IF(AND(INDIRECT(A73&amp;ROW())=B95,INDIRECT(A96&amp;ROW())=C96),1,0))</f>
        <v>0</v>
      </c>
      <c r="K53">
        <f ca="1">DAYS360(INDIRECT(C68&amp;ROW()),TODAY())</f>
        <v>728</v>
      </c>
      <c r="L53">
        <f ca="1">DAYS360(INDIRECT(C69&amp;ROW()),TODAY())</f>
        <v>981</v>
      </c>
      <c r="M53" s="11">
        <f ca="1">HYPERLINK(CONCATENATE("https://bugzilla.houston.hp.com:1181/bugzilla/show_bug.cgi?id=",INDIRECT(C70&amp;ROW())),INDIRECT(C70&amp;ROW()))</f>
        <v>48400</v>
      </c>
      <c r="N53">
        <v>48400</v>
      </c>
      <c r="O53" t="s">
        <v>56</v>
      </c>
      <c r="P53" t="s">
        <v>702</v>
      </c>
      <c r="Q53" t="s">
        <v>16</v>
      </c>
      <c r="R53" t="s">
        <v>251</v>
      </c>
      <c r="S53" t="s">
        <v>42</v>
      </c>
      <c r="U53" s="6">
        <v>42118.560972222222</v>
      </c>
      <c r="V53" t="s">
        <v>18</v>
      </c>
      <c r="W53" t="s">
        <v>17</v>
      </c>
      <c r="X53" s="6">
        <v>41862.660682870373</v>
      </c>
      <c r="Y53" t="s">
        <v>122</v>
      </c>
      <c r="AB53" t="s">
        <v>201</v>
      </c>
      <c r="AC53" t="s">
        <v>121</v>
      </c>
      <c r="AD53" t="s">
        <v>220</v>
      </c>
      <c r="AE53" t="s">
        <v>219</v>
      </c>
      <c r="AG53" t="s">
        <v>121</v>
      </c>
      <c r="AH53" t="s">
        <v>64</v>
      </c>
      <c r="AI53" t="s">
        <v>121</v>
      </c>
      <c r="AJ53" t="s">
        <v>717</v>
      </c>
      <c r="AK53" t="s">
        <v>121</v>
      </c>
      <c r="AL53" t="s">
        <v>121</v>
      </c>
      <c r="AM53" t="s">
        <v>121</v>
      </c>
    </row>
    <row r="54" spans="2:39" x14ac:dyDescent="0.3">
      <c r="B54">
        <f ca="1">COUNTIFS(INDIRECT(A74&amp;A67):INDIRECT(A74&amp;A66),  "&gt;=30", INDIRECT(A74&amp;A67):INDIRECT(A74&amp;A66),"&lt;60")</f>
        <v>0</v>
      </c>
      <c r="C54" t="s">
        <v>81</v>
      </c>
      <c r="E54">
        <f ca="1">COUNTIFS(INDIRECT(A75&amp;A67):INDIRECT(A75&amp;A66),  "&gt;=30", INDIRECT(A75&amp;A67):INDIRECT(A75&amp;A66),"&lt;60")</f>
        <v>0</v>
      </c>
      <c r="I54">
        <f ca="1">IF(OR(INDIRECT(A73&amp;ROW())=B93,INDIRECT(A73&amp;ROW())=B94),1,IF(AND(INDIRECT(A73&amp;ROW())=B95,INDIRECT(A96&amp;ROW())=C93),1,IF(AND(INDIRECT(A73&amp;ROW())=B95,INDIRECT(A96&amp;ROW())=C94),1,0)))</f>
        <v>0</v>
      </c>
      <c r="J54">
        <f ca="1">IF(AND(INDIRECT(A73&amp;ROW())=B95,INDIRECT(A96&amp;ROW())=C95),1,IF(AND(INDIRECT(A73&amp;ROW())=B95,INDIRECT(A96&amp;ROW())=C96),1,0))</f>
        <v>0</v>
      </c>
      <c r="K54">
        <f ca="1">DAYS360(INDIRECT(C68&amp;ROW()),TODAY())</f>
        <v>721</v>
      </c>
      <c r="L54">
        <f ca="1">DAYS360(INDIRECT(C69&amp;ROW()),TODAY())</f>
        <v>980</v>
      </c>
      <c r="M54" s="11">
        <f ca="1">HYPERLINK(CONCATENATE("https://bugzilla.houston.hp.com:1181/bugzilla/show_bug.cgi?id=",INDIRECT(C70&amp;ROW())),INDIRECT(C70&amp;ROW()))</f>
        <v>48464</v>
      </c>
      <c r="N54">
        <v>48464</v>
      </c>
      <c r="O54" t="s">
        <v>55</v>
      </c>
      <c r="P54" t="s">
        <v>701</v>
      </c>
      <c r="Q54" t="s">
        <v>16</v>
      </c>
      <c r="R54" t="s">
        <v>251</v>
      </c>
      <c r="S54" t="s">
        <v>42</v>
      </c>
      <c r="U54" s="6">
        <v>42125.443819444445</v>
      </c>
      <c r="V54" t="s">
        <v>35</v>
      </c>
      <c r="W54" t="s">
        <v>17</v>
      </c>
      <c r="X54" s="6">
        <v>41863.624351851853</v>
      </c>
      <c r="Y54" t="s">
        <v>122</v>
      </c>
      <c r="AB54" t="s">
        <v>200</v>
      </c>
      <c r="AC54" t="s">
        <v>121</v>
      </c>
      <c r="AD54" t="s">
        <v>220</v>
      </c>
      <c r="AE54" t="s">
        <v>219</v>
      </c>
      <c r="AG54" t="s">
        <v>121</v>
      </c>
      <c r="AH54" t="s">
        <v>327</v>
      </c>
      <c r="AI54" t="s">
        <v>121</v>
      </c>
      <c r="AJ54" t="s">
        <v>716</v>
      </c>
      <c r="AK54" t="s">
        <v>121</v>
      </c>
      <c r="AL54" t="s">
        <v>121</v>
      </c>
      <c r="AM54" t="s">
        <v>121</v>
      </c>
    </row>
    <row r="55" spans="2:39" x14ac:dyDescent="0.3">
      <c r="B55">
        <f ca="1">COUNTIFS(INDIRECT(A74&amp;A67):INDIRECT(A74&amp;A66),  "&gt;=60", INDIRECT(A74&amp;A67):INDIRECT(A74&amp;A66),"&lt;90")</f>
        <v>0</v>
      </c>
      <c r="C55" t="s">
        <v>82</v>
      </c>
      <c r="E55">
        <f ca="1">COUNTIFS(INDIRECT(A75&amp;A67):INDIRECT(A75&amp;A66),  "&gt;=60", INDIRECT(A75&amp;A67):INDIRECT(A75&amp;A66),"&lt;90")</f>
        <v>0</v>
      </c>
      <c r="I55">
        <f ca="1">IF(OR(INDIRECT(A73&amp;ROW())=B93,INDIRECT(A73&amp;ROW())=B94),1,IF(AND(INDIRECT(A73&amp;ROW())=B95,INDIRECT(A96&amp;ROW())=C93),1,IF(AND(INDIRECT(A73&amp;ROW())=B95,INDIRECT(A96&amp;ROW())=C94),1,0)))</f>
        <v>1</v>
      </c>
      <c r="J55">
        <f ca="1">IF(AND(INDIRECT(A73&amp;ROW())=B95,INDIRECT(A96&amp;ROW())=C95),1,IF(AND(INDIRECT(A73&amp;ROW())=B95,INDIRECT(A96&amp;ROW())=C96),1,0))</f>
        <v>0</v>
      </c>
      <c r="K55">
        <f ca="1">DAYS360(INDIRECT(C68&amp;ROW()),TODAY())</f>
        <v>629</v>
      </c>
      <c r="L55">
        <f ca="1">DAYS360(INDIRECT(C69&amp;ROW()),TODAY())</f>
        <v>979</v>
      </c>
      <c r="M55" s="11">
        <f ca="1">HYPERLINK(CONCATENATE("https://bugzilla.houston.hp.com:1181/bugzilla/show_bug.cgi?id=",INDIRECT(C70&amp;ROW())),INDIRECT(C70&amp;ROW()))</f>
        <v>48484</v>
      </c>
      <c r="N55">
        <v>48484</v>
      </c>
      <c r="O55" t="s">
        <v>1357</v>
      </c>
      <c r="P55" t="s">
        <v>700</v>
      </c>
      <c r="Q55" t="s">
        <v>25</v>
      </c>
      <c r="R55" t="s">
        <v>251</v>
      </c>
      <c r="S55" t="s">
        <v>52</v>
      </c>
      <c r="U55" s="6">
        <v>42219.429513888892</v>
      </c>
      <c r="V55" t="s">
        <v>35</v>
      </c>
      <c r="W55" t="s">
        <v>17</v>
      </c>
      <c r="X55" s="6">
        <v>41864.074270833335</v>
      </c>
      <c r="Y55" t="s">
        <v>119</v>
      </c>
      <c r="AB55" t="s">
        <v>200</v>
      </c>
      <c r="AC55" t="s">
        <v>121</v>
      </c>
      <c r="AD55" t="s">
        <v>222</v>
      </c>
      <c r="AE55" t="s">
        <v>240</v>
      </c>
      <c r="AG55" t="s">
        <v>121</v>
      </c>
      <c r="AH55" t="s">
        <v>64</v>
      </c>
      <c r="AI55" t="s">
        <v>121</v>
      </c>
      <c r="AJ55" t="s">
        <v>715</v>
      </c>
      <c r="AK55" t="s">
        <v>121</v>
      </c>
      <c r="AL55" t="s">
        <v>121</v>
      </c>
      <c r="AM55" t="s">
        <v>121</v>
      </c>
    </row>
    <row r="56" spans="2:39" x14ac:dyDescent="0.3">
      <c r="B56">
        <f ca="1">COUNTIFS(INDIRECT(A74&amp;A67):INDIRECT(A74&amp;A66),  "&gt;=90", INDIRECT(A74&amp;A67):INDIRECT(A74&amp;A66),"&lt;120")</f>
        <v>0</v>
      </c>
      <c r="C56" t="s">
        <v>83</v>
      </c>
      <c r="E56">
        <f ca="1">COUNTIFS(INDIRECT(A75&amp;A67):INDIRECT(A75&amp;A66),  "&gt;=90", INDIRECT(A75&amp;A67):INDIRECT(A75&amp;A66),"&lt;120")</f>
        <v>0</v>
      </c>
      <c r="I56">
        <f ca="1">IF(OR(INDIRECT(A73&amp;ROW())=B93,INDIRECT(A73&amp;ROW())=B94),1,IF(AND(INDIRECT(A73&amp;ROW())=B95,INDIRECT(A96&amp;ROW())=C93),1,IF(AND(INDIRECT(A73&amp;ROW())=B95,INDIRECT(A96&amp;ROW())=C94),1,0)))</f>
        <v>0</v>
      </c>
      <c r="J56">
        <f ca="1">IF(AND(INDIRECT(A73&amp;ROW())=B95,INDIRECT(A96&amp;ROW())=C95),1,IF(AND(INDIRECT(A73&amp;ROW())=B95,INDIRECT(A96&amp;ROW())=C96),1,0))</f>
        <v>0</v>
      </c>
      <c r="K56">
        <f ca="1">DAYS360(INDIRECT(C68&amp;ROW()),TODAY())</f>
        <v>770</v>
      </c>
      <c r="L56">
        <f ca="1">DAYS360(INDIRECT(C69&amp;ROW()),TODAY())</f>
        <v>977</v>
      </c>
      <c r="M56" s="11">
        <f ca="1">HYPERLINK(CONCATENATE("https://bugzilla.houston.hp.com:1181/bugzilla/show_bug.cgi?id=",INDIRECT(C70&amp;ROW())),INDIRECT(C70&amp;ROW()))</f>
        <v>48691</v>
      </c>
      <c r="N56">
        <v>48691</v>
      </c>
      <c r="O56" t="s">
        <v>56</v>
      </c>
      <c r="P56" t="s">
        <v>279</v>
      </c>
      <c r="Q56" t="s">
        <v>16</v>
      </c>
      <c r="R56" t="s">
        <v>251</v>
      </c>
      <c r="S56" t="s">
        <v>65</v>
      </c>
      <c r="U56" s="6">
        <v>42075.349849537037</v>
      </c>
      <c r="V56" t="s">
        <v>18</v>
      </c>
      <c r="W56" t="s">
        <v>17</v>
      </c>
      <c r="X56" s="6">
        <v>41866.418425925927</v>
      </c>
      <c r="Y56" t="s">
        <v>118</v>
      </c>
      <c r="AB56" t="s">
        <v>201</v>
      </c>
      <c r="AC56" t="s">
        <v>121</v>
      </c>
      <c r="AD56" t="s">
        <v>220</v>
      </c>
      <c r="AE56" t="s">
        <v>219</v>
      </c>
      <c r="AG56" t="s">
        <v>121</v>
      </c>
      <c r="AH56" t="s">
        <v>327</v>
      </c>
      <c r="AI56" t="s">
        <v>121</v>
      </c>
      <c r="AJ56" t="s">
        <v>717</v>
      </c>
      <c r="AK56" t="s">
        <v>121</v>
      </c>
      <c r="AL56" t="s">
        <v>121</v>
      </c>
      <c r="AM56" t="s">
        <v>121</v>
      </c>
    </row>
    <row r="57" spans="2:39" x14ac:dyDescent="0.3">
      <c r="B57">
        <f ca="1">COUNTIFS(INDIRECT(A74&amp;A67):INDIRECT(A74&amp;A66),  "&gt;=120", INDIRECT(A74&amp;A67):INDIRECT(A74&amp;A66),"&lt;150")</f>
        <v>0</v>
      </c>
      <c r="C57" t="s">
        <v>84</v>
      </c>
      <c r="E57">
        <f ca="1">COUNTIFS(INDIRECT(A75&amp;A67):INDIRECT(A75&amp;A66),  "&gt;=120", INDIRECT(A75&amp;A67):INDIRECT(A75&amp;A66),"&lt;150")</f>
        <v>0</v>
      </c>
      <c r="I57">
        <f ca="1">IF(OR(INDIRECT(A73&amp;ROW())=B93,INDIRECT(A73&amp;ROW())=B94),1,IF(AND(INDIRECT(A73&amp;ROW())=B95,INDIRECT(A96&amp;ROW())=C93),1,IF(AND(INDIRECT(A73&amp;ROW())=B95,INDIRECT(A96&amp;ROW())=C94),1,0)))</f>
        <v>0</v>
      </c>
      <c r="J57">
        <f ca="1">IF(AND(INDIRECT(A73&amp;ROW())=B95,INDIRECT(A96&amp;ROW())=C95),1,IF(AND(INDIRECT(A73&amp;ROW())=B95,INDIRECT(A96&amp;ROW())=C96),1,0))</f>
        <v>0</v>
      </c>
      <c r="K57">
        <f ca="1">DAYS360(INDIRECT(C68&amp;ROW()),TODAY())</f>
        <v>770</v>
      </c>
      <c r="L57">
        <f ca="1">DAYS360(INDIRECT(C69&amp;ROW()),TODAY())</f>
        <v>977</v>
      </c>
      <c r="M57" s="11">
        <f ca="1">HYPERLINK(CONCATENATE("https://bugzilla.houston.hp.com:1181/bugzilla/show_bug.cgi?id=",INDIRECT(C70&amp;ROW())),INDIRECT(C70&amp;ROW()))</f>
        <v>48692</v>
      </c>
      <c r="N57">
        <v>48692</v>
      </c>
      <c r="O57" t="s">
        <v>56</v>
      </c>
      <c r="P57" t="s">
        <v>278</v>
      </c>
      <c r="Q57" t="s">
        <v>16</v>
      </c>
      <c r="R57" t="s">
        <v>251</v>
      </c>
      <c r="S57" t="s">
        <v>65</v>
      </c>
      <c r="T57" t="s">
        <v>803</v>
      </c>
      <c r="U57" s="6">
        <v>42075.350902777776</v>
      </c>
      <c r="V57" t="s">
        <v>35</v>
      </c>
      <c r="W57" t="s">
        <v>17</v>
      </c>
      <c r="X57" s="6">
        <v>41866.420034722221</v>
      </c>
      <c r="Y57" t="s">
        <v>793</v>
      </c>
      <c r="AB57" t="s">
        <v>201</v>
      </c>
      <c r="AC57" t="s">
        <v>121</v>
      </c>
      <c r="AD57" t="s">
        <v>220</v>
      </c>
      <c r="AE57" t="s">
        <v>219</v>
      </c>
      <c r="AG57" t="s">
        <v>121</v>
      </c>
      <c r="AH57" t="s">
        <v>64</v>
      </c>
      <c r="AI57" t="s">
        <v>121</v>
      </c>
      <c r="AJ57" t="s">
        <v>717</v>
      </c>
      <c r="AK57" t="s">
        <v>121</v>
      </c>
      <c r="AL57" t="s">
        <v>121</v>
      </c>
      <c r="AM57" t="s">
        <v>121</v>
      </c>
    </row>
    <row r="58" spans="2:39" x14ac:dyDescent="0.3">
      <c r="B58">
        <f ca="1">COUNTIFS(INDIRECT(A74&amp;A67):INDIRECT(A74&amp;A66),  "&gt;=150")</f>
        <v>840</v>
      </c>
      <c r="C58" t="s">
        <v>85</v>
      </c>
      <c r="E58">
        <f ca="1">COUNTIFS(INDIRECT(A75&amp;A67):INDIRECT(A75&amp;A66),  "&gt;=150")</f>
        <v>840</v>
      </c>
      <c r="I58">
        <f ca="1">IF(OR(INDIRECT(A73&amp;ROW())=B93,INDIRECT(A73&amp;ROW())=B94),1,IF(AND(INDIRECT(A73&amp;ROW())=B95,INDIRECT(A96&amp;ROW())=C93),1,IF(AND(INDIRECT(A73&amp;ROW())=B95,INDIRECT(A96&amp;ROW())=C94),1,0)))</f>
        <v>1</v>
      </c>
      <c r="J58">
        <f ca="1">IF(AND(INDIRECT(A73&amp;ROW())=B95,INDIRECT(A96&amp;ROW())=C95),1,IF(AND(INDIRECT(A73&amp;ROW())=B95,INDIRECT(A96&amp;ROW())=C96),1,0))</f>
        <v>0</v>
      </c>
      <c r="K58">
        <f ca="1">DAYS360(INDIRECT(C68&amp;ROW()),TODAY())</f>
        <v>691</v>
      </c>
      <c r="L58">
        <f ca="1">DAYS360(INDIRECT(C69&amp;ROW()),TODAY())</f>
        <v>977</v>
      </c>
      <c r="M58" s="11">
        <f ca="1">HYPERLINK(CONCATENATE("https://bugzilla.houston.hp.com:1181/bugzilla/show_bug.cgi?id=",INDIRECT(C70&amp;ROW())),INDIRECT(C70&amp;ROW()))</f>
        <v>48696</v>
      </c>
      <c r="N58">
        <v>48696</v>
      </c>
      <c r="O58" t="s">
        <v>94</v>
      </c>
      <c r="P58" t="s">
        <v>446</v>
      </c>
      <c r="Q58" t="s">
        <v>39</v>
      </c>
      <c r="R58" t="s">
        <v>251</v>
      </c>
      <c r="S58" t="s">
        <v>24</v>
      </c>
      <c r="T58" t="s">
        <v>782</v>
      </c>
      <c r="U58" s="6">
        <v>42156.600081018521</v>
      </c>
      <c r="V58" t="s">
        <v>35</v>
      </c>
      <c r="W58" t="s">
        <v>17</v>
      </c>
      <c r="X58" s="6">
        <v>41866.469768518517</v>
      </c>
      <c r="Y58" t="s">
        <v>119</v>
      </c>
      <c r="AB58" t="s">
        <v>201</v>
      </c>
      <c r="AC58" t="s">
        <v>121</v>
      </c>
      <c r="AD58" t="s">
        <v>227</v>
      </c>
      <c r="AE58" t="s">
        <v>231</v>
      </c>
      <c r="AG58" t="s">
        <v>121</v>
      </c>
      <c r="AH58" t="s">
        <v>64</v>
      </c>
      <c r="AI58" t="s">
        <v>121</v>
      </c>
      <c r="AJ58" t="s">
        <v>715</v>
      </c>
      <c r="AK58" t="s">
        <v>121</v>
      </c>
      <c r="AL58" t="s">
        <v>121</v>
      </c>
      <c r="AM58" t="s">
        <v>121</v>
      </c>
    </row>
    <row r="59" spans="2:39" x14ac:dyDescent="0.3">
      <c r="B59">
        <f ca="1">SUM(B53:B58)</f>
        <v>840</v>
      </c>
      <c r="E59">
        <f ca="1">SUM(E53:E58)</f>
        <v>840</v>
      </c>
      <c r="I59">
        <f ca="1">IF(OR(INDIRECT(A73&amp;ROW())=B93,INDIRECT(A73&amp;ROW())=B94),1,IF(AND(INDIRECT(A73&amp;ROW())=B95,INDIRECT(A96&amp;ROW())=C93),1,IF(AND(INDIRECT(A73&amp;ROW())=B95,INDIRECT(A96&amp;ROW())=C94),1,0)))</f>
        <v>0</v>
      </c>
      <c r="J59">
        <f ca="1">IF(AND(INDIRECT(A73&amp;ROW())=B95,INDIRECT(A96&amp;ROW())=C95),1,IF(AND(INDIRECT(A73&amp;ROW())=B95,INDIRECT(A96&amp;ROW())=C96),1,0))</f>
        <v>0</v>
      </c>
      <c r="K59">
        <f ca="1">DAYS360(INDIRECT(C68&amp;ROW()),TODAY())</f>
        <v>728</v>
      </c>
      <c r="L59">
        <f ca="1">DAYS360(INDIRECT(C69&amp;ROW()),TODAY())</f>
        <v>977</v>
      </c>
      <c r="M59" s="11">
        <f ca="1">HYPERLINK(CONCATENATE("https://bugzilla.houston.hp.com:1181/bugzilla/show_bug.cgi?id=",INDIRECT(C70&amp;ROW())),INDIRECT(C70&amp;ROW()))</f>
        <v>48703</v>
      </c>
      <c r="N59">
        <v>48703</v>
      </c>
      <c r="O59" t="s">
        <v>66</v>
      </c>
      <c r="P59" t="s">
        <v>291</v>
      </c>
      <c r="Q59" t="s">
        <v>16</v>
      </c>
      <c r="R59" t="s">
        <v>251</v>
      </c>
      <c r="S59" t="s">
        <v>65</v>
      </c>
      <c r="U59" s="6">
        <v>42118.561168981483</v>
      </c>
      <c r="V59" t="s">
        <v>18</v>
      </c>
      <c r="W59" t="s">
        <v>17</v>
      </c>
      <c r="X59" s="6">
        <v>41866.624490740738</v>
      </c>
      <c r="Y59" t="s">
        <v>122</v>
      </c>
      <c r="AB59" t="s">
        <v>201</v>
      </c>
      <c r="AC59" t="s">
        <v>121</v>
      </c>
      <c r="AD59" t="s">
        <v>222</v>
      </c>
      <c r="AE59" t="s">
        <v>233</v>
      </c>
      <c r="AG59" t="s">
        <v>121</v>
      </c>
      <c r="AH59" t="s">
        <v>64</v>
      </c>
      <c r="AI59" t="s">
        <v>121</v>
      </c>
      <c r="AJ59" t="s">
        <v>717</v>
      </c>
      <c r="AK59" t="s">
        <v>121</v>
      </c>
      <c r="AL59" t="s">
        <v>121</v>
      </c>
      <c r="AM59" t="s">
        <v>121</v>
      </c>
    </row>
    <row r="60" spans="2:39" x14ac:dyDescent="0.3">
      <c r="I60">
        <f ca="1">IF(OR(INDIRECT(A73&amp;ROW())=B93,INDIRECT(A73&amp;ROW())=B94),1,IF(AND(INDIRECT(A73&amp;ROW())=B95,INDIRECT(A96&amp;ROW())=C93),1,IF(AND(INDIRECT(A73&amp;ROW())=B95,INDIRECT(A96&amp;ROW())=C94),1,0)))</f>
        <v>0</v>
      </c>
      <c r="J60">
        <f ca="1">IF(AND(INDIRECT(A73&amp;ROW())=B95,INDIRECT(A96&amp;ROW())=C95),1,IF(AND(INDIRECT(A73&amp;ROW())=B95,INDIRECT(A96&amp;ROW())=C96),1,0))</f>
        <v>0</v>
      </c>
      <c r="K60">
        <f ca="1">DAYS360(INDIRECT(C68&amp;ROW()),TODAY())</f>
        <v>717</v>
      </c>
      <c r="L60">
        <f ca="1">DAYS360(INDIRECT(C69&amp;ROW()),TODAY())</f>
        <v>977</v>
      </c>
      <c r="M60" s="11">
        <f ca="1">HYPERLINK(CONCATENATE("https://bugzilla.houston.hp.com:1181/bugzilla/show_bug.cgi?id=",INDIRECT(C70&amp;ROW())),INDIRECT(C70&amp;ROW()))</f>
        <v>48706</v>
      </c>
      <c r="N60">
        <v>48706</v>
      </c>
      <c r="O60" t="s">
        <v>1359</v>
      </c>
      <c r="P60" t="s">
        <v>1360</v>
      </c>
      <c r="Q60" t="s">
        <v>16</v>
      </c>
      <c r="R60" t="s">
        <v>251</v>
      </c>
      <c r="S60" t="s">
        <v>1361</v>
      </c>
      <c r="U60" s="6">
        <v>42129.175937499997</v>
      </c>
      <c r="V60" t="s">
        <v>35</v>
      </c>
      <c r="W60" t="s">
        <v>355</v>
      </c>
      <c r="X60" s="6">
        <v>41866.660081018519</v>
      </c>
      <c r="Y60" t="s">
        <v>122</v>
      </c>
      <c r="AB60" t="s">
        <v>200</v>
      </c>
      <c r="AC60" t="s">
        <v>121</v>
      </c>
      <c r="AD60" t="s">
        <v>220</v>
      </c>
      <c r="AE60" t="s">
        <v>219</v>
      </c>
      <c r="AG60" t="s">
        <v>121</v>
      </c>
      <c r="AH60" t="s">
        <v>327</v>
      </c>
      <c r="AI60" t="s">
        <v>121</v>
      </c>
      <c r="AJ60" t="s">
        <v>716</v>
      </c>
      <c r="AK60" t="s">
        <v>121</v>
      </c>
      <c r="AL60" t="s">
        <v>121</v>
      </c>
      <c r="AM60" t="s">
        <v>121</v>
      </c>
    </row>
    <row r="61" spans="2:39" x14ac:dyDescent="0.3">
      <c r="B61" s="14">
        <f ca="1">AVERAGE(INDIRECT(A74&amp;A67):INDIRECT(A74&amp;A66))</f>
        <v>686.44880952380947</v>
      </c>
      <c r="C61" t="s">
        <v>91</v>
      </c>
      <c r="E61" s="14">
        <f ca="1">AVERAGE(INDIRECT(A75&amp;A67):INDIRECT(A75&amp;A66))</f>
        <v>778.68690476190477</v>
      </c>
      <c r="I61">
        <f ca="1">IF(OR(INDIRECT(A73&amp;ROW())=B93,INDIRECT(A73&amp;ROW())=B94),1,IF(AND(INDIRECT(A73&amp;ROW())=B95,INDIRECT(A96&amp;ROW())=C93),1,IF(AND(INDIRECT(A73&amp;ROW())=B95,INDIRECT(A96&amp;ROW())=C94),1,0)))</f>
        <v>0</v>
      </c>
      <c r="J61">
        <f ca="1">IF(AND(INDIRECT(A73&amp;ROW())=B95,INDIRECT(A96&amp;ROW())=C95),1,IF(AND(INDIRECT(A73&amp;ROW())=B95,INDIRECT(A96&amp;ROW())=C96),1,0))</f>
        <v>0</v>
      </c>
      <c r="K61">
        <f ca="1">DAYS360(INDIRECT(C68&amp;ROW()),TODAY())</f>
        <v>729</v>
      </c>
      <c r="L61">
        <f ca="1">DAYS360(INDIRECT(C69&amp;ROW()),TODAY())</f>
        <v>972</v>
      </c>
      <c r="M61" s="11">
        <f ca="1">HYPERLINK(CONCATENATE("https://bugzilla.houston.hp.com:1181/bugzilla/show_bug.cgi?id=",INDIRECT(C70&amp;ROW())),INDIRECT(C70&amp;ROW()))</f>
        <v>48872</v>
      </c>
      <c r="N61">
        <v>48872</v>
      </c>
      <c r="O61" t="s">
        <v>56</v>
      </c>
      <c r="P61" t="s">
        <v>699</v>
      </c>
      <c r="Q61" t="s">
        <v>16</v>
      </c>
      <c r="R61" t="s">
        <v>251</v>
      </c>
      <c r="S61" t="s">
        <v>239</v>
      </c>
      <c r="T61" t="s">
        <v>48</v>
      </c>
      <c r="U61" s="6">
        <v>42117.403298611112</v>
      </c>
      <c r="V61" t="s">
        <v>35</v>
      </c>
      <c r="W61" t="s">
        <v>17</v>
      </c>
      <c r="X61" s="6">
        <v>41871.14303240741</v>
      </c>
      <c r="Y61" t="s">
        <v>124</v>
      </c>
      <c r="AB61" t="s">
        <v>200</v>
      </c>
      <c r="AC61" t="s">
        <v>121</v>
      </c>
      <c r="AD61" t="s">
        <v>220</v>
      </c>
      <c r="AE61" t="s">
        <v>219</v>
      </c>
      <c r="AG61" t="s">
        <v>121</v>
      </c>
      <c r="AH61" t="s">
        <v>64</v>
      </c>
      <c r="AI61" t="s">
        <v>121</v>
      </c>
      <c r="AJ61" t="s">
        <v>716</v>
      </c>
      <c r="AK61" t="s">
        <v>121</v>
      </c>
      <c r="AL61" t="s">
        <v>121</v>
      </c>
      <c r="AM61" t="s">
        <v>121</v>
      </c>
    </row>
    <row r="62" spans="2:39" x14ac:dyDescent="0.3">
      <c r="I62">
        <f ca="1">IF(OR(INDIRECT(A73&amp;ROW())=B93,INDIRECT(A73&amp;ROW())=B94),1,IF(AND(INDIRECT(A73&amp;ROW())=B95,INDIRECT(A96&amp;ROW())=C93),1,IF(AND(INDIRECT(A73&amp;ROW())=B95,INDIRECT(A96&amp;ROW())=C94),1,0)))</f>
        <v>0</v>
      </c>
      <c r="J62">
        <f ca="1">IF(AND(INDIRECT(A73&amp;ROW())=B95,INDIRECT(A96&amp;ROW())=C95),1,IF(AND(INDIRECT(A73&amp;ROW())=B95,INDIRECT(A96&amp;ROW())=C96),1,0))</f>
        <v>0</v>
      </c>
      <c r="K62">
        <f ca="1">DAYS360(INDIRECT(C68&amp;ROW()),TODAY())</f>
        <v>721</v>
      </c>
      <c r="L62">
        <f ca="1">DAYS360(INDIRECT(C69&amp;ROW()),TODAY())</f>
        <v>971</v>
      </c>
      <c r="M62" s="11">
        <f ca="1">HYPERLINK(CONCATENATE("https://bugzilla.houston.hp.com:1181/bugzilla/show_bug.cgi?id=",INDIRECT(C70&amp;ROW())),INDIRECT(C70&amp;ROW()))</f>
        <v>48965</v>
      </c>
      <c r="N62">
        <v>48965</v>
      </c>
      <c r="O62" t="s">
        <v>22</v>
      </c>
      <c r="P62" t="s">
        <v>445</v>
      </c>
      <c r="Q62" t="s">
        <v>16</v>
      </c>
      <c r="R62" t="s">
        <v>251</v>
      </c>
      <c r="S62" t="s">
        <v>22</v>
      </c>
      <c r="U62" s="6">
        <v>42125.443831018521</v>
      </c>
      <c r="V62" t="s">
        <v>18</v>
      </c>
      <c r="W62" t="s">
        <v>17</v>
      </c>
      <c r="X62" s="6">
        <v>41872.448865740742</v>
      </c>
      <c r="Y62" t="s">
        <v>122</v>
      </c>
      <c r="Z62" t="s">
        <v>255</v>
      </c>
      <c r="AB62" t="s">
        <v>201</v>
      </c>
      <c r="AC62" t="s">
        <v>121</v>
      </c>
      <c r="AD62" t="s">
        <v>220</v>
      </c>
      <c r="AE62" t="s">
        <v>219</v>
      </c>
      <c r="AG62" t="s">
        <v>121</v>
      </c>
      <c r="AH62" t="s">
        <v>64</v>
      </c>
      <c r="AI62" t="s">
        <v>121</v>
      </c>
      <c r="AJ62" t="s">
        <v>717</v>
      </c>
      <c r="AK62" t="s">
        <v>121</v>
      </c>
      <c r="AL62" t="s">
        <v>121</v>
      </c>
      <c r="AM62" t="s">
        <v>121</v>
      </c>
    </row>
    <row r="63" spans="2:39" x14ac:dyDescent="0.3">
      <c r="I63">
        <f ca="1">IF(OR(INDIRECT(A73&amp;ROW())=B93,INDIRECT(A73&amp;ROW())=B94),1,IF(AND(INDIRECT(A73&amp;ROW())=B95,INDIRECT(A96&amp;ROW())=C93),1,IF(AND(INDIRECT(A73&amp;ROW())=B95,INDIRECT(A96&amp;ROW())=C94),1,0)))</f>
        <v>0</v>
      </c>
      <c r="J63">
        <f ca="1">IF(AND(INDIRECT(A73&amp;ROW())=B95,INDIRECT(A96&amp;ROW())=C95),1,IF(AND(INDIRECT(A73&amp;ROW())=B95,INDIRECT(A96&amp;ROW())=C96),1,0))</f>
        <v>0</v>
      </c>
      <c r="K63">
        <f ca="1">DAYS360(INDIRECT(C68&amp;ROW()),TODAY())</f>
        <v>615</v>
      </c>
      <c r="L63">
        <f ca="1">DAYS360(INDIRECT(C69&amp;ROW()),TODAY())</f>
        <v>970</v>
      </c>
      <c r="M63" s="11">
        <f ca="1">HYPERLINK(CONCATENATE("https://bugzilla.houston.hp.com:1181/bugzilla/show_bug.cgi?id=",INDIRECT(C70&amp;ROW())),INDIRECT(C70&amp;ROW()))</f>
        <v>49007</v>
      </c>
      <c r="N63">
        <v>49007</v>
      </c>
      <c r="O63" t="s">
        <v>204</v>
      </c>
      <c r="P63" t="s">
        <v>423</v>
      </c>
      <c r="Q63" t="s">
        <v>16</v>
      </c>
      <c r="R63" t="s">
        <v>251</v>
      </c>
      <c r="S63" t="s">
        <v>24</v>
      </c>
      <c r="U63" s="6">
        <v>42233.061192129629</v>
      </c>
      <c r="V63" t="s">
        <v>35</v>
      </c>
      <c r="W63" t="s">
        <v>17</v>
      </c>
      <c r="X63" s="6">
        <v>41873.282511574071</v>
      </c>
      <c r="Y63" t="s">
        <v>119</v>
      </c>
      <c r="AB63" t="s">
        <v>201</v>
      </c>
      <c r="AC63" t="s">
        <v>121</v>
      </c>
      <c r="AD63" t="s">
        <v>222</v>
      </c>
      <c r="AE63" t="s">
        <v>221</v>
      </c>
      <c r="AG63" t="s">
        <v>121</v>
      </c>
      <c r="AH63" t="s">
        <v>327</v>
      </c>
      <c r="AI63" t="s">
        <v>121</v>
      </c>
      <c r="AJ63" t="s">
        <v>717</v>
      </c>
      <c r="AK63" t="s">
        <v>121</v>
      </c>
      <c r="AL63" t="s">
        <v>121</v>
      </c>
      <c r="AM63" t="s">
        <v>121</v>
      </c>
    </row>
    <row r="64" spans="2:39" x14ac:dyDescent="0.3">
      <c r="B64" s="11" t="s">
        <v>175</v>
      </c>
      <c r="I64">
        <f ca="1">IF(OR(INDIRECT(A73&amp;ROW())=B93,INDIRECT(A73&amp;ROW())=B94),1,IF(AND(INDIRECT(A73&amp;ROW())=B95,INDIRECT(A96&amp;ROW())=C93),1,IF(AND(INDIRECT(A73&amp;ROW())=B95,INDIRECT(A96&amp;ROW())=C94),1,0)))</f>
        <v>0</v>
      </c>
      <c r="J64">
        <f ca="1">IF(AND(INDIRECT(A73&amp;ROW())=B95,INDIRECT(A96&amp;ROW())=C95),1,IF(AND(INDIRECT(A73&amp;ROW())=B95,INDIRECT(A96&amp;ROW())=C96),1,0))</f>
        <v>0</v>
      </c>
      <c r="K64">
        <f ca="1">DAYS360(INDIRECT(C68&amp;ROW()),TODAY())</f>
        <v>729</v>
      </c>
      <c r="L64">
        <f ca="1">DAYS360(INDIRECT(C69&amp;ROW()),TODAY())</f>
        <v>967</v>
      </c>
      <c r="M64" s="11">
        <f ca="1">HYPERLINK(CONCATENATE("https://bugzilla.houston.hp.com:1181/bugzilla/show_bug.cgi?id=",INDIRECT(C70&amp;ROW())),INDIRECT(C70&amp;ROW()))</f>
        <v>49096</v>
      </c>
      <c r="N64">
        <v>49096</v>
      </c>
      <c r="O64" t="s">
        <v>1345</v>
      </c>
      <c r="P64" t="s">
        <v>444</v>
      </c>
      <c r="Q64" t="s">
        <v>16</v>
      </c>
      <c r="R64" t="s">
        <v>251</v>
      </c>
      <c r="S64" t="s">
        <v>174</v>
      </c>
      <c r="U64" s="6">
        <v>42117.403402777774</v>
      </c>
      <c r="V64" t="s">
        <v>40</v>
      </c>
      <c r="W64" t="s">
        <v>17</v>
      </c>
      <c r="X64" s="6">
        <v>41876.589675925927</v>
      </c>
      <c r="Y64" t="s">
        <v>119</v>
      </c>
      <c r="AB64" t="s">
        <v>199</v>
      </c>
      <c r="AC64" t="s">
        <v>121</v>
      </c>
      <c r="AD64" t="s">
        <v>220</v>
      </c>
      <c r="AE64" t="s">
        <v>290</v>
      </c>
      <c r="AG64" t="s">
        <v>121</v>
      </c>
      <c r="AH64" t="s">
        <v>64</v>
      </c>
      <c r="AI64" t="s">
        <v>121</v>
      </c>
      <c r="AJ64" t="s">
        <v>716</v>
      </c>
      <c r="AK64" t="s">
        <v>121</v>
      </c>
      <c r="AL64" t="s">
        <v>121</v>
      </c>
      <c r="AM64" t="s">
        <v>121</v>
      </c>
    </row>
    <row r="65" spans="1:39" x14ac:dyDescent="0.3">
      <c r="I65">
        <f ca="1">IF(OR(INDIRECT(A73&amp;ROW())=B93,INDIRECT(A73&amp;ROW())=B94),1,IF(AND(INDIRECT(A73&amp;ROW())=B95,INDIRECT(A96&amp;ROW())=C93),1,IF(AND(INDIRECT(A73&amp;ROW())=B95,INDIRECT(A96&amp;ROW())=C94),1,0)))</f>
        <v>0</v>
      </c>
      <c r="J65">
        <f ca="1">IF(AND(INDIRECT(A73&amp;ROW())=B95,INDIRECT(A96&amp;ROW())=C95),1,IF(AND(INDIRECT(A73&amp;ROW())=B95,INDIRECT(A96&amp;ROW())=C96),1,0))</f>
        <v>1</v>
      </c>
      <c r="K65">
        <f ca="1">DAYS360(INDIRECT(C68&amp;ROW()),TODAY())</f>
        <v>688</v>
      </c>
      <c r="L65">
        <f ca="1">DAYS360(INDIRECT(C69&amp;ROW()),TODAY())</f>
        <v>966</v>
      </c>
      <c r="M65" s="11">
        <f ca="1">HYPERLINK(CONCATENATE("https://bugzilla.houston.hp.com:1181/bugzilla/show_bug.cgi?id=",INDIRECT(C70&amp;ROW())),INDIRECT(C70&amp;ROW()))</f>
        <v>49164</v>
      </c>
      <c r="N65">
        <v>49164</v>
      </c>
      <c r="O65" t="s">
        <v>1345</v>
      </c>
      <c r="P65" t="s">
        <v>698</v>
      </c>
      <c r="Q65" t="s">
        <v>25</v>
      </c>
      <c r="R65" t="s">
        <v>251</v>
      </c>
      <c r="S65" t="s">
        <v>253</v>
      </c>
      <c r="U65" s="6">
        <v>42159.568888888891</v>
      </c>
      <c r="V65" t="s">
        <v>18</v>
      </c>
      <c r="W65" t="s">
        <v>17</v>
      </c>
      <c r="X65" s="6">
        <v>41877.634756944448</v>
      </c>
      <c r="Y65" t="s">
        <v>120</v>
      </c>
      <c r="AB65" t="s">
        <v>201</v>
      </c>
      <c r="AC65" t="s">
        <v>121</v>
      </c>
      <c r="AD65" t="s">
        <v>222</v>
      </c>
      <c r="AE65" t="s">
        <v>240</v>
      </c>
      <c r="AG65" t="s">
        <v>121</v>
      </c>
      <c r="AH65" t="s">
        <v>64</v>
      </c>
      <c r="AI65" t="s">
        <v>121</v>
      </c>
      <c r="AJ65" t="s">
        <v>716</v>
      </c>
      <c r="AK65" t="s">
        <v>121</v>
      </c>
      <c r="AL65" t="s">
        <v>121</v>
      </c>
      <c r="AM65" t="s">
        <v>121</v>
      </c>
    </row>
    <row r="66" spans="1:39" x14ac:dyDescent="0.3">
      <c r="A66">
        <f>COUNTA(P1:P900)</f>
        <v>841</v>
      </c>
      <c r="B66" t="s">
        <v>110</v>
      </c>
      <c r="I66">
        <f ca="1">IF(OR(INDIRECT(A73&amp;ROW())=B93,INDIRECT(A73&amp;ROW())=B94),1,IF(AND(INDIRECT(A73&amp;ROW())=B95,INDIRECT(A96&amp;ROW())=C93),1,IF(AND(INDIRECT(A73&amp;ROW())=B95,INDIRECT(A96&amp;ROW())=C94),1,0)))</f>
        <v>0</v>
      </c>
      <c r="J66">
        <f ca="1">IF(AND(INDIRECT(A73&amp;ROW())=B95,INDIRECT(A96&amp;ROW())=C95),1,IF(AND(INDIRECT(A73&amp;ROW())=B95,INDIRECT(A96&amp;ROW())=C96),1,0))</f>
        <v>0</v>
      </c>
      <c r="K66">
        <f ca="1">DAYS360(INDIRECT(C68&amp;ROW()),TODAY())</f>
        <v>728</v>
      </c>
      <c r="L66">
        <f ca="1">DAYS360(INDIRECT(C69&amp;ROW()),TODAY())</f>
        <v>965</v>
      </c>
      <c r="M66" s="11">
        <f ca="1">HYPERLINK(CONCATENATE("https://bugzilla.houston.hp.com:1181/bugzilla/show_bug.cgi?id=",INDIRECT(C70&amp;ROW())),INDIRECT(C70&amp;ROW()))</f>
        <v>49234</v>
      </c>
      <c r="N66">
        <v>49234</v>
      </c>
      <c r="O66" t="s">
        <v>56</v>
      </c>
      <c r="P66" t="s">
        <v>696</v>
      </c>
      <c r="Q66" t="s">
        <v>16</v>
      </c>
      <c r="R66" t="s">
        <v>251</v>
      </c>
      <c r="S66" t="s">
        <v>68</v>
      </c>
      <c r="U66" s="6">
        <v>42118.559942129628</v>
      </c>
      <c r="V66" t="s">
        <v>18</v>
      </c>
      <c r="W66" t="s">
        <v>17</v>
      </c>
      <c r="X66" s="6">
        <v>41878.6874537037</v>
      </c>
      <c r="Y66" t="s">
        <v>122</v>
      </c>
      <c r="AB66" t="s">
        <v>201</v>
      </c>
      <c r="AC66" t="s">
        <v>121</v>
      </c>
      <c r="AD66" t="s">
        <v>220</v>
      </c>
      <c r="AE66" t="s">
        <v>219</v>
      </c>
      <c r="AG66" t="s">
        <v>121</v>
      </c>
      <c r="AH66" t="s">
        <v>327</v>
      </c>
      <c r="AI66" t="s">
        <v>121</v>
      </c>
      <c r="AJ66" t="s">
        <v>717</v>
      </c>
      <c r="AK66" t="s">
        <v>121</v>
      </c>
      <c r="AL66" t="s">
        <v>121</v>
      </c>
      <c r="AM66" t="s">
        <v>121</v>
      </c>
    </row>
    <row r="67" spans="1:39" x14ac:dyDescent="0.3">
      <c r="A67">
        <v>2</v>
      </c>
      <c r="B67" t="s">
        <v>111</v>
      </c>
      <c r="I67">
        <f ca="1">IF(OR(INDIRECT(A73&amp;ROW())=B93,INDIRECT(A73&amp;ROW())=B94),1,IF(AND(INDIRECT(A73&amp;ROW())=B95,INDIRECT(A96&amp;ROW())=C93),1,IF(AND(INDIRECT(A73&amp;ROW())=B95,INDIRECT(A96&amp;ROW())=C94),1,0)))</f>
        <v>0</v>
      </c>
      <c r="J67">
        <f ca="1">IF(AND(INDIRECT(A73&amp;ROW())=B95,INDIRECT(A96&amp;ROW())=C95),1,IF(AND(INDIRECT(A73&amp;ROW())=B95,INDIRECT(A96&amp;ROW())=C96),1,0))</f>
        <v>0</v>
      </c>
      <c r="K67">
        <f ca="1">DAYS360(INDIRECT(C68&amp;ROW()),TODAY())</f>
        <v>721</v>
      </c>
      <c r="L67">
        <f ca="1">DAYS360(INDIRECT(C69&amp;ROW()),TODAY())</f>
        <v>964</v>
      </c>
      <c r="M67" s="11">
        <f ca="1">HYPERLINK(CONCATENATE("https://bugzilla.houston.hp.com:1181/bugzilla/show_bug.cgi?id=",INDIRECT(C70&amp;ROW())),INDIRECT(C70&amp;ROW()))</f>
        <v>49291</v>
      </c>
      <c r="N67">
        <v>49291</v>
      </c>
      <c r="O67" t="s">
        <v>1345</v>
      </c>
      <c r="P67" t="s">
        <v>443</v>
      </c>
      <c r="Q67" t="s">
        <v>16</v>
      </c>
      <c r="R67" t="s">
        <v>251</v>
      </c>
      <c r="S67" t="s">
        <v>294</v>
      </c>
      <c r="U67" s="6">
        <v>42125.445208333331</v>
      </c>
      <c r="V67" t="s">
        <v>18</v>
      </c>
      <c r="W67" t="s">
        <v>17</v>
      </c>
      <c r="X67" s="6">
        <v>41879.510150462964</v>
      </c>
      <c r="Y67" t="s">
        <v>122</v>
      </c>
      <c r="AB67" t="s">
        <v>200</v>
      </c>
      <c r="AC67" t="s">
        <v>121</v>
      </c>
      <c r="AD67" t="s">
        <v>222</v>
      </c>
      <c r="AE67" t="s">
        <v>221</v>
      </c>
      <c r="AG67" t="s">
        <v>121</v>
      </c>
      <c r="AH67" t="s">
        <v>64</v>
      </c>
      <c r="AI67" t="s">
        <v>121</v>
      </c>
      <c r="AJ67" t="s">
        <v>716</v>
      </c>
      <c r="AK67" t="s">
        <v>121</v>
      </c>
      <c r="AL67" t="s">
        <v>121</v>
      </c>
      <c r="AM67" t="s">
        <v>121</v>
      </c>
    </row>
    <row r="68" spans="1:39" x14ac:dyDescent="0.3">
      <c r="A68" t="s">
        <v>112</v>
      </c>
      <c r="B68" t="s">
        <v>103</v>
      </c>
      <c r="C68" t="s">
        <v>97</v>
      </c>
      <c r="D68" t="s">
        <v>276</v>
      </c>
      <c r="I68">
        <f ca="1">IF(OR(INDIRECT(A73&amp;ROW())=B93,INDIRECT(A73&amp;ROW())=B94),1,IF(AND(INDIRECT(A73&amp;ROW())=B95,INDIRECT(A96&amp;ROW())=C93),1,IF(AND(INDIRECT(A73&amp;ROW())=B95,INDIRECT(A96&amp;ROW())=C94),1,0)))</f>
        <v>0</v>
      </c>
      <c r="J68">
        <f ca="1">IF(AND(INDIRECT(A73&amp;ROW())=B95,INDIRECT(A96&amp;ROW())=C95),1,IF(AND(INDIRECT(A73&amp;ROW())=B95,INDIRECT(A96&amp;ROW())=C96),1,0))</f>
        <v>0</v>
      </c>
      <c r="K68">
        <f ca="1">DAYS360(INDIRECT(C68&amp;ROW()),TODAY())</f>
        <v>721</v>
      </c>
      <c r="L68">
        <f ca="1">DAYS360(INDIRECT(C69&amp;ROW()),TODAY())</f>
        <v>964</v>
      </c>
      <c r="M68" s="11">
        <f ca="1">HYPERLINK(CONCATENATE("https://bugzilla.houston.hp.com:1181/bugzilla/show_bug.cgi?id=",INDIRECT(C70&amp;ROW())),INDIRECT(C70&amp;ROW()))</f>
        <v>49317</v>
      </c>
      <c r="N68">
        <v>49317</v>
      </c>
      <c r="O68" t="s">
        <v>22</v>
      </c>
      <c r="P68" t="s">
        <v>442</v>
      </c>
      <c r="Q68" t="s">
        <v>16</v>
      </c>
      <c r="R68" t="s">
        <v>251</v>
      </c>
      <c r="S68" t="s">
        <v>65</v>
      </c>
      <c r="U68" s="6">
        <v>42125.4452662037</v>
      </c>
      <c r="V68" t="s">
        <v>18</v>
      </c>
      <c r="W68" t="s">
        <v>17</v>
      </c>
      <c r="X68" s="6">
        <v>41879.637557870374</v>
      </c>
      <c r="Y68" t="s">
        <v>122</v>
      </c>
      <c r="AB68" t="s">
        <v>200</v>
      </c>
      <c r="AC68" t="s">
        <v>121</v>
      </c>
      <c r="AD68" t="s">
        <v>220</v>
      </c>
      <c r="AE68" t="s">
        <v>223</v>
      </c>
      <c r="AG68" t="s">
        <v>121</v>
      </c>
      <c r="AH68" t="s">
        <v>64</v>
      </c>
      <c r="AI68" t="s">
        <v>121</v>
      </c>
      <c r="AJ68" t="s">
        <v>716</v>
      </c>
      <c r="AK68" t="s">
        <v>121</v>
      </c>
      <c r="AL68" t="s">
        <v>121</v>
      </c>
      <c r="AM68" t="s">
        <v>121</v>
      </c>
    </row>
    <row r="69" spans="1:39" x14ac:dyDescent="0.3">
      <c r="A69" t="s">
        <v>264</v>
      </c>
      <c r="B69" t="s">
        <v>104</v>
      </c>
      <c r="C69" t="s">
        <v>113</v>
      </c>
      <c r="D69" t="s">
        <v>277</v>
      </c>
      <c r="I69">
        <f ca="1">IF(OR(INDIRECT(A73&amp;ROW())=B93,INDIRECT(A73&amp;ROW())=B94),1,IF(AND(INDIRECT(A73&amp;ROW())=B95,INDIRECT(A96&amp;ROW())=C93),1,IF(AND(INDIRECT(A73&amp;ROW())=B95,INDIRECT(A96&amp;ROW())=C94),1,0)))</f>
        <v>0</v>
      </c>
      <c r="J69">
        <f ca="1">IF(AND(INDIRECT(A73&amp;ROW())=B95,INDIRECT(A96&amp;ROW())=C95),1,IF(AND(INDIRECT(A73&amp;ROW())=B95,INDIRECT(A96&amp;ROW())=C96),1,0))</f>
        <v>0</v>
      </c>
      <c r="K69">
        <f ca="1">DAYS360(INDIRECT(C68&amp;ROW()),TODAY())</f>
        <v>721</v>
      </c>
      <c r="L69">
        <f ca="1">DAYS360(INDIRECT(C69&amp;ROW()),TODAY())</f>
        <v>964</v>
      </c>
      <c r="M69" s="11">
        <f ca="1">HYPERLINK(CONCATENATE("https://bugzilla.houston.hp.com:1181/bugzilla/show_bug.cgi?id=",INDIRECT(C70&amp;ROW())),INDIRECT(C70&amp;ROW()))</f>
        <v>49327</v>
      </c>
      <c r="N69">
        <v>49327</v>
      </c>
      <c r="O69" t="s">
        <v>1357</v>
      </c>
      <c r="P69" t="s">
        <v>441</v>
      </c>
      <c r="Q69" t="s">
        <v>16</v>
      </c>
      <c r="R69" t="s">
        <v>251</v>
      </c>
      <c r="S69" t="s">
        <v>294</v>
      </c>
      <c r="U69" s="6">
        <v>42125.445185185185</v>
      </c>
      <c r="V69" t="s">
        <v>18</v>
      </c>
      <c r="W69" t="s">
        <v>17</v>
      </c>
      <c r="X69" s="6">
        <v>41879.789236111108</v>
      </c>
      <c r="Y69" t="s">
        <v>122</v>
      </c>
      <c r="AB69" t="s">
        <v>200</v>
      </c>
      <c r="AC69" t="s">
        <v>121</v>
      </c>
      <c r="AD69" t="s">
        <v>222</v>
      </c>
      <c r="AE69" t="s">
        <v>221</v>
      </c>
      <c r="AG69" t="s">
        <v>121</v>
      </c>
      <c r="AH69" t="s">
        <v>64</v>
      </c>
      <c r="AI69" t="s">
        <v>121</v>
      </c>
      <c r="AJ69" t="s">
        <v>716</v>
      </c>
      <c r="AK69" t="s">
        <v>121</v>
      </c>
      <c r="AL69" t="s">
        <v>121</v>
      </c>
      <c r="AM69" t="s">
        <v>121</v>
      </c>
    </row>
    <row r="70" spans="1:39" x14ac:dyDescent="0.3">
      <c r="A70" t="s">
        <v>102</v>
      </c>
      <c r="B70" t="s">
        <v>78</v>
      </c>
      <c r="C70" t="s">
        <v>101</v>
      </c>
      <c r="D70" t="s">
        <v>356</v>
      </c>
      <c r="I70">
        <f ca="1">IF(OR(INDIRECT(A73&amp;ROW())=B93,INDIRECT(A73&amp;ROW())=B94),1,IF(AND(INDIRECT(A73&amp;ROW())=B95,INDIRECT(A96&amp;ROW())=C93),1,IF(AND(INDIRECT(A73&amp;ROW())=B95,INDIRECT(A96&amp;ROW())=C94),1,0)))</f>
        <v>0</v>
      </c>
      <c r="J70">
        <f ca="1">IF(AND(INDIRECT(A73&amp;ROW())=B95,INDIRECT(A96&amp;ROW())=C95),1,IF(AND(INDIRECT(A73&amp;ROW())=B95,INDIRECT(A96&amp;ROW())=C96),1,0))</f>
        <v>0</v>
      </c>
      <c r="K70">
        <f ca="1">DAYS360(INDIRECT(C68&amp;ROW()),TODAY())</f>
        <v>721</v>
      </c>
      <c r="L70">
        <f ca="1">DAYS360(INDIRECT(C69&amp;ROW()),TODAY())</f>
        <v>964</v>
      </c>
      <c r="M70" s="11">
        <f ca="1">HYPERLINK(CONCATENATE("https://bugzilla.houston.hp.com:1181/bugzilla/show_bug.cgi?id=",INDIRECT(C70&amp;ROW())),INDIRECT(C70&amp;ROW()))</f>
        <v>49328</v>
      </c>
      <c r="N70">
        <v>49328</v>
      </c>
      <c r="O70" t="s">
        <v>1357</v>
      </c>
      <c r="P70" t="s">
        <v>440</v>
      </c>
      <c r="Q70" t="s">
        <v>16</v>
      </c>
      <c r="R70" t="s">
        <v>251</v>
      </c>
      <c r="S70" t="s">
        <v>294</v>
      </c>
      <c r="U70" s="6">
        <v>42125.445104166669</v>
      </c>
      <c r="V70" t="s">
        <v>35</v>
      </c>
      <c r="W70" t="s">
        <v>17</v>
      </c>
      <c r="X70" s="6">
        <v>41879.801539351851</v>
      </c>
      <c r="Y70" t="s">
        <v>122</v>
      </c>
      <c r="AB70" t="s">
        <v>200</v>
      </c>
      <c r="AC70" t="s">
        <v>121</v>
      </c>
      <c r="AD70" t="s">
        <v>222</v>
      </c>
      <c r="AE70" t="s">
        <v>221</v>
      </c>
      <c r="AG70" t="s">
        <v>121</v>
      </c>
      <c r="AH70" t="s">
        <v>64</v>
      </c>
      <c r="AI70" t="s">
        <v>121</v>
      </c>
      <c r="AJ70" t="s">
        <v>716</v>
      </c>
      <c r="AK70" t="s">
        <v>121</v>
      </c>
      <c r="AL70" t="s">
        <v>121</v>
      </c>
      <c r="AM70" t="s">
        <v>121</v>
      </c>
    </row>
    <row r="71" spans="1:39" x14ac:dyDescent="0.3">
      <c r="A71" t="s">
        <v>348</v>
      </c>
      <c r="B71" t="s">
        <v>105</v>
      </c>
      <c r="I71">
        <f ca="1">IF(OR(INDIRECT(A73&amp;ROW())=B93,INDIRECT(A73&amp;ROW())=B94),1,IF(AND(INDIRECT(A73&amp;ROW())=B95,INDIRECT(A96&amp;ROW())=C93),1,IF(AND(INDIRECT(A73&amp;ROW())=B95,INDIRECT(A96&amp;ROW())=C94),1,0)))</f>
        <v>0</v>
      </c>
      <c r="J71">
        <f ca="1">IF(AND(INDIRECT(A73&amp;ROW())=B95,INDIRECT(A96&amp;ROW())=C95),1,IF(AND(INDIRECT(A73&amp;ROW())=B95,INDIRECT(A96&amp;ROW())=C96),1,0))</f>
        <v>0</v>
      </c>
      <c r="K71">
        <f ca="1">DAYS360(INDIRECT(C68&amp;ROW()),TODAY())</f>
        <v>721</v>
      </c>
      <c r="L71">
        <f ca="1">DAYS360(INDIRECT(C69&amp;ROW()),TODAY())</f>
        <v>964</v>
      </c>
      <c r="M71" s="11">
        <f ca="1">HYPERLINK(CONCATENATE("https://bugzilla.houston.hp.com:1181/bugzilla/show_bug.cgi?id=",INDIRECT(C70&amp;ROW())),INDIRECT(C70&amp;ROW()))</f>
        <v>49329</v>
      </c>
      <c r="N71">
        <v>49329</v>
      </c>
      <c r="O71" t="s">
        <v>1357</v>
      </c>
      <c r="P71" t="s">
        <v>439</v>
      </c>
      <c r="Q71" t="s">
        <v>16</v>
      </c>
      <c r="R71" t="s">
        <v>251</v>
      </c>
      <c r="S71" t="s">
        <v>294</v>
      </c>
      <c r="U71" s="6">
        <v>42125.445243055554</v>
      </c>
      <c r="V71" t="s">
        <v>40</v>
      </c>
      <c r="W71" t="s">
        <v>17</v>
      </c>
      <c r="X71" s="6">
        <v>41879.824189814812</v>
      </c>
      <c r="Y71" t="s">
        <v>122</v>
      </c>
      <c r="AB71" t="s">
        <v>200</v>
      </c>
      <c r="AC71" t="s">
        <v>121</v>
      </c>
      <c r="AD71" t="s">
        <v>222</v>
      </c>
      <c r="AE71" t="s">
        <v>221</v>
      </c>
      <c r="AG71" t="s">
        <v>121</v>
      </c>
      <c r="AH71" t="s">
        <v>327</v>
      </c>
      <c r="AI71" t="s">
        <v>121</v>
      </c>
      <c r="AJ71" t="s">
        <v>716</v>
      </c>
      <c r="AK71" t="s">
        <v>121</v>
      </c>
      <c r="AL71" t="s">
        <v>121</v>
      </c>
      <c r="AM71" t="s">
        <v>121</v>
      </c>
    </row>
    <row r="72" spans="1:39" x14ac:dyDescent="0.3">
      <c r="A72" t="s">
        <v>100</v>
      </c>
      <c r="B72" t="s">
        <v>106</v>
      </c>
      <c r="I72">
        <f ca="1">IF(OR(INDIRECT(A73&amp;ROW())=B93,INDIRECT(A73&amp;ROW())=B94),1,IF(AND(INDIRECT(A73&amp;ROW())=B95,INDIRECT(A96&amp;ROW())=C93),1,IF(AND(INDIRECT(A73&amp;ROW())=B95,INDIRECT(A96&amp;ROW())=C94),1,0)))</f>
        <v>0</v>
      </c>
      <c r="J72">
        <f ca="1">IF(AND(INDIRECT(A73&amp;ROW())=B95,INDIRECT(A96&amp;ROW())=C95),1,IF(AND(INDIRECT(A73&amp;ROW())=B95,INDIRECT(A96&amp;ROW())=C96),1,0))</f>
        <v>0</v>
      </c>
      <c r="K72">
        <f ca="1">DAYS360(INDIRECT(C68&amp;ROW()),TODAY())</f>
        <v>721</v>
      </c>
      <c r="L72">
        <f ca="1">DAYS360(INDIRECT(C69&amp;ROW()),TODAY())</f>
        <v>964</v>
      </c>
      <c r="M72" s="11">
        <f ca="1">HYPERLINK(CONCATENATE("https://bugzilla.houston.hp.com:1181/bugzilla/show_bug.cgi?id=",INDIRECT(C70&amp;ROW())),INDIRECT(C70&amp;ROW()))</f>
        <v>49330</v>
      </c>
      <c r="N72">
        <v>49330</v>
      </c>
      <c r="O72" t="s">
        <v>1357</v>
      </c>
      <c r="P72" t="s">
        <v>438</v>
      </c>
      <c r="Q72" t="s">
        <v>16</v>
      </c>
      <c r="R72" t="s">
        <v>251</v>
      </c>
      <c r="S72" t="s">
        <v>294</v>
      </c>
      <c r="U72" s="6">
        <v>42125.445231481484</v>
      </c>
      <c r="V72" t="s">
        <v>18</v>
      </c>
      <c r="W72" t="s">
        <v>17</v>
      </c>
      <c r="X72" s="6">
        <v>41879.830439814818</v>
      </c>
      <c r="Y72" t="s">
        <v>122</v>
      </c>
      <c r="AB72" t="s">
        <v>200</v>
      </c>
      <c r="AC72" t="s">
        <v>121</v>
      </c>
      <c r="AD72" t="s">
        <v>222</v>
      </c>
      <c r="AE72" t="s">
        <v>221</v>
      </c>
      <c r="AG72" t="s">
        <v>121</v>
      </c>
      <c r="AH72" t="s">
        <v>327</v>
      </c>
      <c r="AI72" t="s">
        <v>121</v>
      </c>
      <c r="AJ72" t="s">
        <v>716</v>
      </c>
      <c r="AK72" t="s">
        <v>121</v>
      </c>
      <c r="AL72" t="s">
        <v>121</v>
      </c>
      <c r="AM72" t="s">
        <v>121</v>
      </c>
    </row>
    <row r="73" spans="1:39" x14ac:dyDescent="0.3">
      <c r="A73" t="s">
        <v>273</v>
      </c>
      <c r="B73" t="s">
        <v>107</v>
      </c>
      <c r="I73">
        <f ca="1">IF(OR(INDIRECT(A73&amp;ROW())=B93,INDIRECT(A73&amp;ROW())=B94),1,IF(AND(INDIRECT(A73&amp;ROW())=B95,INDIRECT(A96&amp;ROW())=C93),1,IF(AND(INDIRECT(A73&amp;ROW())=B95,INDIRECT(A96&amp;ROW())=C94),1,0)))</f>
        <v>0</v>
      </c>
      <c r="J73">
        <f ca="1">IF(AND(INDIRECT(A73&amp;ROW())=B95,INDIRECT(A96&amp;ROW())=C95),1,IF(AND(INDIRECT(A73&amp;ROW())=B95,INDIRECT(A96&amp;ROW())=C96),1,0))</f>
        <v>0</v>
      </c>
      <c r="K73">
        <f ca="1">DAYS360(INDIRECT(C68&amp;ROW()),TODAY())</f>
        <v>721</v>
      </c>
      <c r="L73">
        <f ca="1">DAYS360(INDIRECT(C69&amp;ROW()),TODAY())</f>
        <v>964</v>
      </c>
      <c r="M73" s="11">
        <f ca="1">HYPERLINK(CONCATENATE("https://bugzilla.houston.hp.com:1181/bugzilla/show_bug.cgi?id=",INDIRECT(C70&amp;ROW())),INDIRECT(C70&amp;ROW()))</f>
        <v>49332</v>
      </c>
      <c r="N73">
        <v>49332</v>
      </c>
      <c r="O73" t="s">
        <v>1357</v>
      </c>
      <c r="P73" t="s">
        <v>437</v>
      </c>
      <c r="Q73" t="s">
        <v>16</v>
      </c>
      <c r="R73" t="s">
        <v>251</v>
      </c>
      <c r="S73" t="s">
        <v>294</v>
      </c>
      <c r="U73" s="6">
        <v>42125.445173611108</v>
      </c>
      <c r="V73" t="s">
        <v>18</v>
      </c>
      <c r="W73" t="s">
        <v>17</v>
      </c>
      <c r="X73" s="6">
        <v>41879.843773148146</v>
      </c>
      <c r="Y73" t="s">
        <v>122</v>
      </c>
      <c r="AB73" t="s">
        <v>200</v>
      </c>
      <c r="AC73" t="s">
        <v>121</v>
      </c>
      <c r="AD73" t="s">
        <v>222</v>
      </c>
      <c r="AE73" t="s">
        <v>221</v>
      </c>
      <c r="AG73" t="s">
        <v>121</v>
      </c>
      <c r="AH73" t="s">
        <v>327</v>
      </c>
      <c r="AI73" t="s">
        <v>121</v>
      </c>
      <c r="AJ73" t="s">
        <v>716</v>
      </c>
      <c r="AK73" t="s">
        <v>121</v>
      </c>
      <c r="AL73" t="s">
        <v>121</v>
      </c>
      <c r="AM73" t="s">
        <v>121</v>
      </c>
    </row>
    <row r="74" spans="1:39" x14ac:dyDescent="0.3">
      <c r="A74" t="s">
        <v>271</v>
      </c>
      <c r="B74" t="s">
        <v>108</v>
      </c>
      <c r="I74">
        <f ca="1">IF(OR(INDIRECT(A73&amp;ROW())=B93,INDIRECT(A73&amp;ROW())=B94),1,IF(AND(INDIRECT(A73&amp;ROW())=B95,INDIRECT(A96&amp;ROW())=C93),1,IF(AND(INDIRECT(A73&amp;ROW())=B95,INDIRECT(A96&amp;ROW())=C94),1,0)))</f>
        <v>0</v>
      </c>
      <c r="J74">
        <f ca="1">IF(AND(INDIRECT(A73&amp;ROW())=B95,INDIRECT(A96&amp;ROW())=C95),1,IF(AND(INDIRECT(A73&amp;ROW())=B95,INDIRECT(A96&amp;ROW())=C96),1,0))</f>
        <v>0</v>
      </c>
      <c r="K74">
        <f ca="1">DAYS360(INDIRECT(C68&amp;ROW()),TODAY())</f>
        <v>721</v>
      </c>
      <c r="L74">
        <f ca="1">DAYS360(INDIRECT(C69&amp;ROW()),TODAY())</f>
        <v>961</v>
      </c>
      <c r="M74" s="11">
        <f ca="1">HYPERLINK(CONCATENATE("https://bugzilla.houston.hp.com:1181/bugzilla/show_bug.cgi?id=",INDIRECT(C70&amp;ROW())),INDIRECT(C70&amp;ROW()))</f>
        <v>49412</v>
      </c>
      <c r="N74">
        <v>49412</v>
      </c>
      <c r="O74" t="s">
        <v>53</v>
      </c>
      <c r="P74" t="s">
        <v>695</v>
      </c>
      <c r="Q74" t="s">
        <v>16</v>
      </c>
      <c r="R74" t="s">
        <v>251</v>
      </c>
      <c r="S74" t="s">
        <v>43</v>
      </c>
      <c r="U74" s="6">
        <v>42125.445277777777</v>
      </c>
      <c r="V74" t="s">
        <v>18</v>
      </c>
      <c r="W74" t="s">
        <v>17</v>
      </c>
      <c r="X74" s="6">
        <v>41883.474710648145</v>
      </c>
      <c r="Y74" t="s">
        <v>122</v>
      </c>
      <c r="AB74" t="s">
        <v>200</v>
      </c>
      <c r="AC74" t="s">
        <v>121</v>
      </c>
      <c r="AD74" t="s">
        <v>220</v>
      </c>
      <c r="AE74" t="s">
        <v>219</v>
      </c>
      <c r="AG74" t="s">
        <v>121</v>
      </c>
      <c r="AH74" t="s">
        <v>327</v>
      </c>
      <c r="AI74" t="s">
        <v>121</v>
      </c>
      <c r="AJ74" t="s">
        <v>716</v>
      </c>
      <c r="AK74" t="s">
        <v>121</v>
      </c>
      <c r="AL74" t="s">
        <v>121</v>
      </c>
      <c r="AM74" t="s">
        <v>121</v>
      </c>
    </row>
    <row r="75" spans="1:39" x14ac:dyDescent="0.3">
      <c r="A75" t="s">
        <v>349</v>
      </c>
      <c r="B75" t="s">
        <v>109</v>
      </c>
      <c r="I75">
        <f ca="1">IF(OR(INDIRECT(A73&amp;ROW())=B93,INDIRECT(A73&amp;ROW())=B94),1,IF(AND(INDIRECT(A73&amp;ROW())=B95,INDIRECT(A96&amp;ROW())=C93),1,IF(AND(INDIRECT(A73&amp;ROW())=B95,INDIRECT(A96&amp;ROW())=C94),1,0)))</f>
        <v>0</v>
      </c>
      <c r="J75">
        <f ca="1">IF(AND(INDIRECT(A73&amp;ROW())=B95,INDIRECT(A96&amp;ROW())=C95),1,IF(AND(INDIRECT(A73&amp;ROW())=B95,INDIRECT(A96&amp;ROW())=C96),1,0))</f>
        <v>0</v>
      </c>
      <c r="K75">
        <f ca="1">DAYS360(INDIRECT(C68&amp;ROW()),TODAY())</f>
        <v>721</v>
      </c>
      <c r="L75">
        <f ca="1">DAYS360(INDIRECT(C69&amp;ROW()),TODAY())</f>
        <v>959</v>
      </c>
      <c r="M75" s="11">
        <f ca="1">HYPERLINK(CONCATENATE("https://bugzilla.houston.hp.com:1181/bugzilla/show_bug.cgi?id=",INDIRECT(C70&amp;ROW())),INDIRECT(C70&amp;ROW()))</f>
        <v>49537</v>
      </c>
      <c r="N75">
        <v>49537</v>
      </c>
      <c r="O75" t="s">
        <v>22</v>
      </c>
      <c r="P75" t="s">
        <v>694</v>
      </c>
      <c r="Q75" t="s">
        <v>16</v>
      </c>
      <c r="R75" t="s">
        <v>251</v>
      </c>
      <c r="S75" t="s">
        <v>21</v>
      </c>
      <c r="U75" s="6">
        <v>42125.445138888892</v>
      </c>
      <c r="V75" t="s">
        <v>18</v>
      </c>
      <c r="W75" t="s">
        <v>17</v>
      </c>
      <c r="X75" s="6">
        <v>41885.440613425926</v>
      </c>
      <c r="Y75" t="s">
        <v>122</v>
      </c>
      <c r="AB75" t="s">
        <v>200</v>
      </c>
      <c r="AC75" t="s">
        <v>121</v>
      </c>
      <c r="AD75" t="s">
        <v>227</v>
      </c>
      <c r="AE75" t="s">
        <v>226</v>
      </c>
      <c r="AG75" t="s">
        <v>121</v>
      </c>
      <c r="AH75" t="s">
        <v>64</v>
      </c>
      <c r="AI75" t="s">
        <v>121</v>
      </c>
      <c r="AJ75" t="s">
        <v>716</v>
      </c>
      <c r="AK75" t="s">
        <v>121</v>
      </c>
      <c r="AL75" t="s">
        <v>121</v>
      </c>
      <c r="AM75" t="s">
        <v>121</v>
      </c>
    </row>
    <row r="76" spans="1:39" x14ac:dyDescent="0.3">
      <c r="A76" t="s">
        <v>274</v>
      </c>
      <c r="B76" t="s">
        <v>114</v>
      </c>
      <c r="I76">
        <f ca="1">IF(OR(INDIRECT(A73&amp;ROW())=B93,INDIRECT(A73&amp;ROW())=B94),1,IF(AND(INDIRECT(A73&amp;ROW())=B95,INDIRECT(A96&amp;ROW())=C93),1,IF(AND(INDIRECT(A73&amp;ROW())=B95,INDIRECT(A96&amp;ROW())=C94),1,0)))</f>
        <v>0</v>
      </c>
      <c r="J76">
        <f ca="1">IF(AND(INDIRECT(A73&amp;ROW())=B95,INDIRECT(A96&amp;ROW())=C95),1,IF(AND(INDIRECT(A73&amp;ROW())=B95,INDIRECT(A96&amp;ROW())=C96),1,0))</f>
        <v>0</v>
      </c>
      <c r="K76">
        <f ca="1">DAYS360(INDIRECT(C68&amp;ROW()),TODAY())</f>
        <v>612</v>
      </c>
      <c r="L76">
        <f ca="1">DAYS360(INDIRECT(C69&amp;ROW()),TODAY())</f>
        <v>958</v>
      </c>
      <c r="M76" s="11">
        <f ca="1">HYPERLINK(CONCATENATE("https://bugzilla.houston.hp.com:1181/bugzilla/show_bug.cgi?id=",INDIRECT(C70&amp;ROW())),INDIRECT(C70&amp;ROW()))</f>
        <v>49626</v>
      </c>
      <c r="N76">
        <v>49626</v>
      </c>
      <c r="O76" t="s">
        <v>43</v>
      </c>
      <c r="P76" t="s">
        <v>1362</v>
      </c>
      <c r="Q76" t="s">
        <v>16</v>
      </c>
      <c r="R76" t="s">
        <v>1341</v>
      </c>
      <c r="S76" t="s">
        <v>65</v>
      </c>
      <c r="T76" t="s">
        <v>794</v>
      </c>
      <c r="U76" s="6">
        <v>42236.368993055556</v>
      </c>
      <c r="V76" t="s">
        <v>18</v>
      </c>
      <c r="W76" t="s">
        <v>17</v>
      </c>
      <c r="X76" s="6">
        <v>41886.626018518517</v>
      </c>
      <c r="Y76" t="s">
        <v>122</v>
      </c>
      <c r="AB76" t="s">
        <v>200</v>
      </c>
      <c r="AC76" t="s">
        <v>1027</v>
      </c>
      <c r="AD76" t="s">
        <v>220</v>
      </c>
      <c r="AE76" t="s">
        <v>219</v>
      </c>
      <c r="AG76" t="s">
        <v>121</v>
      </c>
      <c r="AH76" t="s">
        <v>327</v>
      </c>
      <c r="AI76" t="s">
        <v>121</v>
      </c>
      <c r="AJ76" t="s">
        <v>716</v>
      </c>
      <c r="AK76" t="s">
        <v>121</v>
      </c>
      <c r="AL76" t="s">
        <v>121</v>
      </c>
      <c r="AM76" t="s">
        <v>121</v>
      </c>
    </row>
    <row r="77" spans="1:39" x14ac:dyDescent="0.3">
      <c r="A77" t="s">
        <v>350</v>
      </c>
      <c r="B77" t="s">
        <v>115</v>
      </c>
      <c r="I77">
        <f ca="1">IF(OR(INDIRECT(A73&amp;ROW())=B93,INDIRECT(A73&amp;ROW())=B94),1,IF(AND(INDIRECT(A73&amp;ROW())=B95,INDIRECT(A96&amp;ROW())=C93),1,IF(AND(INDIRECT(A73&amp;ROW())=B95,INDIRECT(A96&amp;ROW())=C94),1,0)))</f>
        <v>0</v>
      </c>
      <c r="J77">
        <f ca="1">IF(AND(INDIRECT(A73&amp;ROW())=B95,INDIRECT(A96&amp;ROW())=C95),1,IF(AND(INDIRECT(A73&amp;ROW())=B95,INDIRECT(A96&amp;ROW())=C96),1,0))</f>
        <v>0</v>
      </c>
      <c r="K77">
        <f ca="1">DAYS360(INDIRECT(C68&amp;ROW()),TODAY())</f>
        <v>612</v>
      </c>
      <c r="L77">
        <f ca="1">DAYS360(INDIRECT(C69&amp;ROW()),TODAY())</f>
        <v>957</v>
      </c>
      <c r="M77" s="11">
        <f ca="1">HYPERLINK(CONCATENATE("https://bugzilla.houston.hp.com:1181/bugzilla/show_bug.cgi?id=",INDIRECT(C70&amp;ROW())),INDIRECT(C70&amp;ROW()))</f>
        <v>49666</v>
      </c>
      <c r="N77">
        <v>49666</v>
      </c>
      <c r="O77" t="s">
        <v>43</v>
      </c>
      <c r="P77" t="s">
        <v>1363</v>
      </c>
      <c r="Q77" t="s">
        <v>16</v>
      </c>
      <c r="R77" t="s">
        <v>1341</v>
      </c>
      <c r="S77" t="s">
        <v>65</v>
      </c>
      <c r="T77" t="s">
        <v>794</v>
      </c>
      <c r="U77" s="6">
        <v>42236.369016203702</v>
      </c>
      <c r="V77" t="s">
        <v>18</v>
      </c>
      <c r="W77" t="s">
        <v>17</v>
      </c>
      <c r="X77" s="6">
        <v>41887.475057870368</v>
      </c>
      <c r="Y77" t="s">
        <v>122</v>
      </c>
      <c r="AB77" t="s">
        <v>201</v>
      </c>
      <c r="AC77" t="s">
        <v>1027</v>
      </c>
      <c r="AD77" t="s">
        <v>222</v>
      </c>
      <c r="AE77" t="s">
        <v>221</v>
      </c>
      <c r="AG77" t="s">
        <v>121</v>
      </c>
      <c r="AH77" t="s">
        <v>64</v>
      </c>
      <c r="AI77" t="s">
        <v>121</v>
      </c>
      <c r="AJ77" t="s">
        <v>717</v>
      </c>
      <c r="AK77" t="s">
        <v>121</v>
      </c>
      <c r="AL77" t="s">
        <v>121</v>
      </c>
      <c r="AM77" t="s">
        <v>121</v>
      </c>
    </row>
    <row r="78" spans="1:39" x14ac:dyDescent="0.3">
      <c r="A78" t="s">
        <v>275</v>
      </c>
      <c r="B78" t="s">
        <v>235</v>
      </c>
      <c r="I78">
        <f ca="1">IF(OR(INDIRECT(A73&amp;ROW())=B93,INDIRECT(A73&amp;ROW())=B94),1,IF(AND(INDIRECT(A73&amp;ROW())=B95,INDIRECT(A96&amp;ROW())=C93),1,IF(AND(INDIRECT(A73&amp;ROW())=B95,INDIRECT(A96&amp;ROW())=C94),1,0)))</f>
        <v>0</v>
      </c>
      <c r="J78">
        <f ca="1">IF(AND(INDIRECT(A73&amp;ROW())=B95,INDIRECT(A96&amp;ROW())=C95),1,IF(AND(INDIRECT(A73&amp;ROW())=B95,INDIRECT(A96&amp;ROW())=C96),1,0))</f>
        <v>0</v>
      </c>
      <c r="K78">
        <f ca="1">DAYS360(INDIRECT(C68&amp;ROW()),TODAY())</f>
        <v>612</v>
      </c>
      <c r="L78">
        <f ca="1">DAYS360(INDIRECT(C69&amp;ROW()),TODAY())</f>
        <v>957</v>
      </c>
      <c r="M78" s="11">
        <f ca="1">HYPERLINK(CONCATENATE("https://bugzilla.houston.hp.com:1181/bugzilla/show_bug.cgi?id=",INDIRECT(C70&amp;ROW())),INDIRECT(C70&amp;ROW()))</f>
        <v>49668</v>
      </c>
      <c r="N78">
        <v>49668</v>
      </c>
      <c r="O78" t="s">
        <v>43</v>
      </c>
      <c r="P78" t="s">
        <v>1364</v>
      </c>
      <c r="Q78" t="s">
        <v>16</v>
      </c>
      <c r="R78" t="s">
        <v>1341</v>
      </c>
      <c r="S78" t="s">
        <v>65</v>
      </c>
      <c r="T78" t="s">
        <v>794</v>
      </c>
      <c r="U78" s="6">
        <v>42236.368414351855</v>
      </c>
      <c r="V78" t="s">
        <v>18</v>
      </c>
      <c r="W78" t="s">
        <v>17</v>
      </c>
      <c r="X78" s="6">
        <v>41887.480844907404</v>
      </c>
      <c r="Y78" t="s">
        <v>122</v>
      </c>
      <c r="AB78" t="s">
        <v>201</v>
      </c>
      <c r="AC78" t="s">
        <v>1027</v>
      </c>
      <c r="AD78" t="s">
        <v>220</v>
      </c>
      <c r="AE78" t="s">
        <v>224</v>
      </c>
      <c r="AG78" t="s">
        <v>121</v>
      </c>
      <c r="AH78" t="s">
        <v>64</v>
      </c>
      <c r="AI78" t="s">
        <v>121</v>
      </c>
      <c r="AJ78" t="s">
        <v>717</v>
      </c>
      <c r="AK78" t="s">
        <v>121</v>
      </c>
      <c r="AL78" t="s">
        <v>121</v>
      </c>
      <c r="AM78" t="s">
        <v>121</v>
      </c>
    </row>
    <row r="79" spans="1:39" x14ac:dyDescent="0.3">
      <c r="A79" t="s">
        <v>351</v>
      </c>
      <c r="B79" t="s">
        <v>234</v>
      </c>
      <c r="I79">
        <f ca="1">IF(OR(INDIRECT(A73&amp;ROW())=B93,INDIRECT(A73&amp;ROW())=B94),1,IF(AND(INDIRECT(A73&amp;ROW())=B95,INDIRECT(A96&amp;ROW())=C93),1,IF(AND(INDIRECT(A73&amp;ROW())=B95,INDIRECT(A96&amp;ROW())=C94),1,0)))</f>
        <v>0</v>
      </c>
      <c r="J79">
        <f ca="1">IF(AND(INDIRECT(A73&amp;ROW())=B95,INDIRECT(A96&amp;ROW())=C95),1,IF(AND(INDIRECT(A73&amp;ROW())=B95,INDIRECT(A96&amp;ROW())=C96),1,0))</f>
        <v>0</v>
      </c>
      <c r="K79">
        <f ca="1">DAYS360(INDIRECT(C68&amp;ROW()),TODAY())</f>
        <v>721</v>
      </c>
      <c r="L79">
        <f ca="1">DAYS360(INDIRECT(C69&amp;ROW()),TODAY())</f>
        <v>954</v>
      </c>
      <c r="M79" s="11">
        <f ca="1">HYPERLINK(CONCATENATE("https://bugzilla.houston.hp.com:1181/bugzilla/show_bug.cgi?id=",INDIRECT(C70&amp;ROW())),INDIRECT(C70&amp;ROW()))</f>
        <v>49712</v>
      </c>
      <c r="N79">
        <v>49712</v>
      </c>
      <c r="O79" t="s">
        <v>1345</v>
      </c>
      <c r="P79" t="s">
        <v>693</v>
      </c>
      <c r="Q79" t="s">
        <v>16</v>
      </c>
      <c r="R79" t="s">
        <v>251</v>
      </c>
      <c r="S79" t="s">
        <v>315</v>
      </c>
      <c r="U79" s="6">
        <v>42125.446435185186</v>
      </c>
      <c r="V79" t="s">
        <v>18</v>
      </c>
      <c r="W79" t="s">
        <v>17</v>
      </c>
      <c r="X79" s="6">
        <v>41890.225023148145</v>
      </c>
      <c r="Y79" t="s">
        <v>122</v>
      </c>
      <c r="AA79" t="s">
        <v>184</v>
      </c>
      <c r="AB79" t="s">
        <v>200</v>
      </c>
      <c r="AC79" t="s">
        <v>121</v>
      </c>
      <c r="AD79" t="s">
        <v>220</v>
      </c>
      <c r="AE79" t="s">
        <v>219</v>
      </c>
      <c r="AG79" t="s">
        <v>121</v>
      </c>
      <c r="AH79" t="s">
        <v>64</v>
      </c>
      <c r="AI79" t="s">
        <v>121</v>
      </c>
      <c r="AJ79" t="s">
        <v>716</v>
      </c>
      <c r="AK79" t="s">
        <v>121</v>
      </c>
      <c r="AL79" t="s">
        <v>121</v>
      </c>
      <c r="AM79" t="s">
        <v>121</v>
      </c>
    </row>
    <row r="80" spans="1:39" x14ac:dyDescent="0.3">
      <c r="A80" t="s">
        <v>272</v>
      </c>
      <c r="B80" t="s">
        <v>265</v>
      </c>
      <c r="I80">
        <f ca="1">IF(OR(INDIRECT(A73&amp;ROW())=B93,INDIRECT(A73&amp;ROW())=B94),1,IF(AND(INDIRECT(A73&amp;ROW())=B95,INDIRECT(A96&amp;ROW())=C93),1,IF(AND(INDIRECT(A73&amp;ROW())=B95,INDIRECT(A96&amp;ROW())=C94),1,0)))</f>
        <v>0</v>
      </c>
      <c r="J80">
        <f ca="1">IF(AND(INDIRECT(A73&amp;ROW())=B95,INDIRECT(A96&amp;ROW())=C95),1,IF(AND(INDIRECT(A73&amp;ROW())=B95,INDIRECT(A96&amp;ROW())=C96),1,0))</f>
        <v>1</v>
      </c>
      <c r="K80">
        <f ca="1">DAYS360(INDIRECT(C68&amp;ROW()),TODAY())</f>
        <v>730</v>
      </c>
      <c r="L80">
        <f ca="1">DAYS360(INDIRECT(C69&amp;ROW()),TODAY())</f>
        <v>954</v>
      </c>
      <c r="M80" s="11">
        <f ca="1">HYPERLINK(CONCATENATE("https://bugzilla.houston.hp.com:1181/bugzilla/show_bug.cgi?id=",INDIRECT(C70&amp;ROW())),INDIRECT(C70&amp;ROW()))</f>
        <v>49740</v>
      </c>
      <c r="N80">
        <v>49740</v>
      </c>
      <c r="O80" t="s">
        <v>56</v>
      </c>
      <c r="P80" t="s">
        <v>473</v>
      </c>
      <c r="Q80" t="s">
        <v>25</v>
      </c>
      <c r="R80" t="s">
        <v>251</v>
      </c>
      <c r="S80" t="s">
        <v>41</v>
      </c>
      <c r="U80" s="6">
        <v>42116.540243055555</v>
      </c>
      <c r="V80" t="s">
        <v>35</v>
      </c>
      <c r="W80" t="s">
        <v>17</v>
      </c>
      <c r="X80" s="6">
        <v>41890.400462962964</v>
      </c>
      <c r="Y80" t="s">
        <v>119</v>
      </c>
      <c r="AB80" t="s">
        <v>201</v>
      </c>
      <c r="AC80" t="s">
        <v>121</v>
      </c>
      <c r="AD80" t="s">
        <v>220</v>
      </c>
      <c r="AE80" t="s">
        <v>219</v>
      </c>
      <c r="AF80" s="13">
        <v>41901</v>
      </c>
      <c r="AG80" t="s">
        <v>121</v>
      </c>
      <c r="AH80" t="s">
        <v>64</v>
      </c>
      <c r="AI80" t="s">
        <v>121</v>
      </c>
      <c r="AJ80" t="s">
        <v>717</v>
      </c>
      <c r="AK80" t="s">
        <v>121</v>
      </c>
      <c r="AL80" t="s">
        <v>121</v>
      </c>
      <c r="AM80" t="s">
        <v>121</v>
      </c>
    </row>
    <row r="81" spans="1:39" x14ac:dyDescent="0.3">
      <c r="A81" t="s">
        <v>154</v>
      </c>
      <c r="B81" t="s">
        <v>30</v>
      </c>
      <c r="C81" t="s">
        <v>160</v>
      </c>
      <c r="I81">
        <f ca="1">IF(OR(INDIRECT(A73&amp;ROW())=B93,INDIRECT(A73&amp;ROW())=B94),1,IF(AND(INDIRECT(A73&amp;ROW())=B95,INDIRECT(A96&amp;ROW())=C93),1,IF(AND(INDIRECT(A73&amp;ROW())=B95,INDIRECT(A96&amp;ROW())=C94),1,0)))</f>
        <v>0</v>
      </c>
      <c r="J81">
        <f ca="1">IF(AND(INDIRECT(A73&amp;ROW())=B95,INDIRECT(A96&amp;ROW())=C95),1,IF(AND(INDIRECT(A73&amp;ROW())=B95,INDIRECT(A96&amp;ROW())=C96),1,0))</f>
        <v>1</v>
      </c>
      <c r="K81">
        <f ca="1">DAYS360(INDIRECT(C68&amp;ROW()),TODAY())</f>
        <v>682</v>
      </c>
      <c r="L81">
        <f ca="1">DAYS360(INDIRECT(C69&amp;ROW()),TODAY())</f>
        <v>954</v>
      </c>
      <c r="M81" s="11">
        <f ca="1">HYPERLINK(CONCATENATE("https://bugzilla.houston.hp.com:1181/bugzilla/show_bug.cgi?id=",INDIRECT(C70&amp;ROW())),INDIRECT(C70&amp;ROW()))</f>
        <v>49746</v>
      </c>
      <c r="N81">
        <v>49746</v>
      </c>
      <c r="O81" t="s">
        <v>66</v>
      </c>
      <c r="P81" t="s">
        <v>692</v>
      </c>
      <c r="Q81" t="s">
        <v>25</v>
      </c>
      <c r="R81" t="s">
        <v>251</v>
      </c>
      <c r="S81" t="s">
        <v>41</v>
      </c>
      <c r="U81" s="6">
        <v>42165.555185185185</v>
      </c>
      <c r="V81" t="s">
        <v>35</v>
      </c>
      <c r="W81" t="s">
        <v>17</v>
      </c>
      <c r="X81" s="6">
        <v>41890.412164351852</v>
      </c>
      <c r="Y81" t="s">
        <v>119</v>
      </c>
      <c r="AB81" t="s">
        <v>201</v>
      </c>
      <c r="AC81" t="s">
        <v>121</v>
      </c>
      <c r="AD81" t="s">
        <v>220</v>
      </c>
      <c r="AE81" t="s">
        <v>219</v>
      </c>
      <c r="AF81" s="13">
        <v>41901</v>
      </c>
      <c r="AG81" t="s">
        <v>121</v>
      </c>
      <c r="AH81" t="s">
        <v>327</v>
      </c>
      <c r="AI81" t="s">
        <v>121</v>
      </c>
      <c r="AJ81" t="s">
        <v>716</v>
      </c>
      <c r="AK81" t="s">
        <v>121</v>
      </c>
      <c r="AL81" t="s">
        <v>121</v>
      </c>
      <c r="AM81" t="s">
        <v>121</v>
      </c>
    </row>
    <row r="82" spans="1:39" x14ac:dyDescent="0.3">
      <c r="A82" t="s">
        <v>157</v>
      </c>
      <c r="B82" t="s">
        <v>161</v>
      </c>
      <c r="I82">
        <f ca="1">IF(OR(INDIRECT(A73&amp;ROW())=B93,INDIRECT(A73&amp;ROW())=B94),1,IF(AND(INDIRECT(A73&amp;ROW())=B95,INDIRECT(A96&amp;ROW())=C93),1,IF(AND(INDIRECT(A73&amp;ROW())=B95,INDIRECT(A96&amp;ROW())=C94),1,0)))</f>
        <v>0</v>
      </c>
      <c r="J82">
        <f ca="1">IF(AND(INDIRECT(A73&amp;ROW())=B95,INDIRECT(A96&amp;ROW())=C95),1,IF(AND(INDIRECT(A73&amp;ROW())=B95,INDIRECT(A96&amp;ROW())=C96),1,0))</f>
        <v>0</v>
      </c>
      <c r="K82">
        <f ca="1">DAYS360(INDIRECT(C68&amp;ROW()),TODAY())</f>
        <v>710</v>
      </c>
      <c r="L82">
        <f ca="1">DAYS360(INDIRECT(C69&amp;ROW()),TODAY())</f>
        <v>953</v>
      </c>
      <c r="M82" s="11">
        <f ca="1">HYPERLINK(CONCATENATE("https://bugzilla.houston.hp.com:1181/bugzilla/show_bug.cgi?id=",INDIRECT(C70&amp;ROW())),INDIRECT(C70&amp;ROW()))</f>
        <v>49790</v>
      </c>
      <c r="N82">
        <v>49790</v>
      </c>
      <c r="O82" t="s">
        <v>56</v>
      </c>
      <c r="P82" t="s">
        <v>1365</v>
      </c>
      <c r="Q82" t="s">
        <v>16</v>
      </c>
      <c r="R82" t="s">
        <v>251</v>
      </c>
      <c r="S82" t="s">
        <v>193</v>
      </c>
      <c r="T82" t="s">
        <v>794</v>
      </c>
      <c r="U82" s="6">
        <v>42136.627604166664</v>
      </c>
      <c r="V82" t="s">
        <v>18</v>
      </c>
      <c r="W82" t="s">
        <v>173</v>
      </c>
      <c r="X82" s="6">
        <v>41891.18109953704</v>
      </c>
      <c r="Y82" t="s">
        <v>122</v>
      </c>
      <c r="AB82" t="s">
        <v>201</v>
      </c>
      <c r="AC82" t="s">
        <v>121</v>
      </c>
      <c r="AD82" t="s">
        <v>220</v>
      </c>
      <c r="AE82" t="s">
        <v>223</v>
      </c>
      <c r="AG82" t="s">
        <v>121</v>
      </c>
      <c r="AH82" t="s">
        <v>327</v>
      </c>
      <c r="AI82" t="s">
        <v>121</v>
      </c>
      <c r="AJ82" t="s">
        <v>717</v>
      </c>
      <c r="AK82" t="s">
        <v>121</v>
      </c>
      <c r="AL82" t="s">
        <v>121</v>
      </c>
      <c r="AM82" t="s">
        <v>121</v>
      </c>
    </row>
    <row r="83" spans="1:39" x14ac:dyDescent="0.3">
      <c r="A83" t="s">
        <v>158</v>
      </c>
      <c r="B83" t="s">
        <v>162</v>
      </c>
      <c r="I83">
        <f ca="1">IF(OR(INDIRECT(A73&amp;ROW())=B93,INDIRECT(A73&amp;ROW())=B94),1,IF(AND(INDIRECT(A73&amp;ROW())=B95,INDIRECT(A96&amp;ROW())=C93),1,IF(AND(INDIRECT(A73&amp;ROW())=B95,INDIRECT(A96&amp;ROW())=C94),1,0)))</f>
        <v>0</v>
      </c>
      <c r="J83">
        <f ca="1">IF(AND(INDIRECT(A73&amp;ROW())=B95,INDIRECT(A96&amp;ROW())=C95),1,IF(AND(INDIRECT(A73&amp;ROW())=B95,INDIRECT(A96&amp;ROW())=C96),1,0))</f>
        <v>0</v>
      </c>
      <c r="K83">
        <f ca="1">DAYS360(INDIRECT(C68&amp;ROW()),TODAY())</f>
        <v>687</v>
      </c>
      <c r="L83">
        <f ca="1">DAYS360(INDIRECT(C69&amp;ROW()),TODAY())</f>
        <v>952</v>
      </c>
      <c r="M83" s="11">
        <f ca="1">HYPERLINK(CONCATENATE("https://bugzilla.houston.hp.com:1181/bugzilla/show_bug.cgi?id=",INDIRECT(C70&amp;ROW())),INDIRECT(C70&amp;ROW()))</f>
        <v>49904</v>
      </c>
      <c r="N83">
        <v>49904</v>
      </c>
      <c r="O83" t="s">
        <v>56</v>
      </c>
      <c r="P83" t="s">
        <v>1366</v>
      </c>
      <c r="Q83" t="s">
        <v>16</v>
      </c>
      <c r="R83" t="s">
        <v>1341</v>
      </c>
      <c r="S83" t="s">
        <v>65</v>
      </c>
      <c r="T83" t="s">
        <v>794</v>
      </c>
      <c r="U83" s="6">
        <v>42160.447835648149</v>
      </c>
      <c r="V83" t="s">
        <v>18</v>
      </c>
      <c r="W83" t="s">
        <v>17</v>
      </c>
      <c r="X83" s="6">
        <v>41892.398182870369</v>
      </c>
      <c r="Y83" t="s">
        <v>122</v>
      </c>
      <c r="AB83" t="s">
        <v>201</v>
      </c>
      <c r="AC83" t="s">
        <v>1027</v>
      </c>
      <c r="AD83" t="s">
        <v>220</v>
      </c>
      <c r="AE83" t="s">
        <v>219</v>
      </c>
      <c r="AG83" t="s">
        <v>121</v>
      </c>
      <c r="AH83" t="s">
        <v>327</v>
      </c>
      <c r="AI83" t="s">
        <v>121</v>
      </c>
      <c r="AJ83" t="s">
        <v>717</v>
      </c>
      <c r="AK83" t="s">
        <v>121</v>
      </c>
      <c r="AL83" t="s">
        <v>121</v>
      </c>
      <c r="AM83" t="s">
        <v>121</v>
      </c>
    </row>
    <row r="84" spans="1:39" x14ac:dyDescent="0.3">
      <c r="A84" t="s">
        <v>159</v>
      </c>
      <c r="B84" t="s">
        <v>163</v>
      </c>
      <c r="I84">
        <f ca="1">IF(OR(INDIRECT(A73&amp;ROW())=B93,INDIRECT(A73&amp;ROW())=B94),1,IF(AND(INDIRECT(A73&amp;ROW())=B95,INDIRECT(A96&amp;ROW())=C93),1,IF(AND(INDIRECT(A73&amp;ROW())=B95,INDIRECT(A96&amp;ROW())=C94),1,0)))</f>
        <v>0</v>
      </c>
      <c r="J84">
        <f ca="1">IF(AND(INDIRECT(A73&amp;ROW())=B95,INDIRECT(A96&amp;ROW())=C95),1,IF(AND(INDIRECT(A73&amp;ROW())=B95,INDIRECT(A96&amp;ROW())=C96),1,0))</f>
        <v>0</v>
      </c>
      <c r="K84">
        <f ca="1">DAYS360(INDIRECT(C68&amp;ROW()),TODAY())</f>
        <v>728</v>
      </c>
      <c r="L84">
        <f ca="1">DAYS360(INDIRECT(C69&amp;ROW()),TODAY())</f>
        <v>951</v>
      </c>
      <c r="M84" s="11">
        <f ca="1">HYPERLINK(CONCATENATE("https://bugzilla.houston.hp.com:1181/bugzilla/show_bug.cgi?id=",INDIRECT(C70&amp;ROW())),INDIRECT(C70&amp;ROW()))</f>
        <v>49957</v>
      </c>
      <c r="N84">
        <v>49957</v>
      </c>
      <c r="O84" t="s">
        <v>56</v>
      </c>
      <c r="P84" t="s">
        <v>436</v>
      </c>
      <c r="Q84" t="s">
        <v>16</v>
      </c>
      <c r="R84" t="s">
        <v>251</v>
      </c>
      <c r="S84" t="s">
        <v>43</v>
      </c>
      <c r="U84" s="6">
        <v>42118.560312499998</v>
      </c>
      <c r="V84" t="s">
        <v>18</v>
      </c>
      <c r="W84" t="s">
        <v>17</v>
      </c>
      <c r="X84" s="6">
        <v>41893.406828703701</v>
      </c>
      <c r="Y84" t="s">
        <v>122</v>
      </c>
      <c r="AB84" t="s">
        <v>201</v>
      </c>
      <c r="AC84" t="s">
        <v>247</v>
      </c>
      <c r="AD84" t="s">
        <v>220</v>
      </c>
      <c r="AE84" t="s">
        <v>219</v>
      </c>
      <c r="AG84" t="s">
        <v>121</v>
      </c>
      <c r="AH84" t="s">
        <v>64</v>
      </c>
      <c r="AI84" t="s">
        <v>121</v>
      </c>
      <c r="AJ84" t="s">
        <v>717</v>
      </c>
      <c r="AK84" t="s">
        <v>121</v>
      </c>
      <c r="AL84" t="s">
        <v>121</v>
      </c>
      <c r="AM84" t="s">
        <v>121</v>
      </c>
    </row>
    <row r="85" spans="1:39" x14ac:dyDescent="0.3">
      <c r="A85" t="s">
        <v>251</v>
      </c>
      <c r="B85" t="s">
        <v>163</v>
      </c>
      <c r="I85">
        <f ca="1">IF(OR(INDIRECT(A73&amp;ROW())=B93,INDIRECT(A73&amp;ROW())=B94),1,IF(AND(INDIRECT(A73&amp;ROW())=B95,INDIRECT(A96&amp;ROW())=C93),1,IF(AND(INDIRECT(A73&amp;ROW())=B95,INDIRECT(A96&amp;ROW())=C94),1,0)))</f>
        <v>0</v>
      </c>
      <c r="J85">
        <f ca="1">IF(AND(INDIRECT(A73&amp;ROW())=B95,INDIRECT(A96&amp;ROW())=C95),1,IF(AND(INDIRECT(A73&amp;ROW())=B95,INDIRECT(A96&amp;ROW())=C96),1,0))</f>
        <v>0</v>
      </c>
      <c r="K85">
        <f ca="1">DAYS360(INDIRECT(C68&amp;ROW()),TODAY())</f>
        <v>728</v>
      </c>
      <c r="L85">
        <f ca="1">DAYS360(INDIRECT(C69&amp;ROW()),TODAY())</f>
        <v>951</v>
      </c>
      <c r="M85" s="11">
        <f ca="1">HYPERLINK(CONCATENATE("https://bugzilla.houston.hp.com:1181/bugzilla/show_bug.cgi?id=",INDIRECT(C70&amp;ROW())),INDIRECT(C70&amp;ROW()))</f>
        <v>49964</v>
      </c>
      <c r="N85">
        <v>49964</v>
      </c>
      <c r="O85" t="s">
        <v>56</v>
      </c>
      <c r="P85" t="s">
        <v>435</v>
      </c>
      <c r="Q85" t="s">
        <v>16</v>
      </c>
      <c r="R85" t="s">
        <v>251</v>
      </c>
      <c r="S85" t="s">
        <v>43</v>
      </c>
      <c r="U85" s="6">
        <v>42118.559756944444</v>
      </c>
      <c r="V85" t="s">
        <v>18</v>
      </c>
      <c r="W85" t="s">
        <v>17</v>
      </c>
      <c r="X85" s="6">
        <v>41893.488923611112</v>
      </c>
      <c r="Y85" t="s">
        <v>122</v>
      </c>
      <c r="AB85" t="s">
        <v>201</v>
      </c>
      <c r="AC85" t="s">
        <v>247</v>
      </c>
      <c r="AD85" t="s">
        <v>220</v>
      </c>
      <c r="AE85" t="s">
        <v>219</v>
      </c>
      <c r="AG85" t="s">
        <v>121</v>
      </c>
      <c r="AH85" t="s">
        <v>327</v>
      </c>
      <c r="AI85" t="s">
        <v>121</v>
      </c>
      <c r="AJ85" t="s">
        <v>717</v>
      </c>
      <c r="AK85" t="s">
        <v>121</v>
      </c>
      <c r="AL85" t="s">
        <v>121</v>
      </c>
      <c r="AM85" t="s">
        <v>121</v>
      </c>
    </row>
    <row r="86" spans="1:39" x14ac:dyDescent="0.3">
      <c r="A86" t="s">
        <v>166</v>
      </c>
      <c r="I86">
        <f ca="1">IF(OR(INDIRECT(A73&amp;ROW())=B93,INDIRECT(A73&amp;ROW())=B94),1,IF(AND(INDIRECT(A73&amp;ROW())=B95,INDIRECT(A96&amp;ROW())=C93),1,IF(AND(INDIRECT(A73&amp;ROW())=B95,INDIRECT(A96&amp;ROW())=C94),1,0)))</f>
        <v>0</v>
      </c>
      <c r="J86">
        <f ca="1">IF(AND(INDIRECT(A73&amp;ROW())=B95,INDIRECT(A96&amp;ROW())=C95),1,IF(AND(INDIRECT(A73&amp;ROW())=B95,INDIRECT(A96&amp;ROW())=C96),1,0))</f>
        <v>0</v>
      </c>
      <c r="K86">
        <f ca="1">DAYS360(INDIRECT(C68&amp;ROW()),TODAY())</f>
        <v>721</v>
      </c>
      <c r="L86">
        <f ca="1">DAYS360(INDIRECT(C69&amp;ROW()),TODAY())</f>
        <v>950</v>
      </c>
      <c r="M86" s="11">
        <f ca="1">HYPERLINK(CONCATENATE("https://bugzilla.houston.hp.com:1181/bugzilla/show_bug.cgi?id=",INDIRECT(C70&amp;ROW())),INDIRECT(C70&amp;ROW()))</f>
        <v>50012</v>
      </c>
      <c r="N86">
        <v>50012</v>
      </c>
      <c r="O86" t="s">
        <v>42</v>
      </c>
      <c r="P86" t="s">
        <v>691</v>
      </c>
      <c r="Q86" t="s">
        <v>16</v>
      </c>
      <c r="R86" t="s">
        <v>251</v>
      </c>
      <c r="S86" t="s">
        <v>68</v>
      </c>
      <c r="U86" s="6">
        <v>42125.446493055555</v>
      </c>
      <c r="V86" t="s">
        <v>35</v>
      </c>
      <c r="W86" t="s">
        <v>17</v>
      </c>
      <c r="X86" s="6">
        <v>41894.224282407406</v>
      </c>
      <c r="Y86" t="s">
        <v>122</v>
      </c>
      <c r="AB86" t="s">
        <v>200</v>
      </c>
      <c r="AC86" t="s">
        <v>247</v>
      </c>
      <c r="AD86" t="s">
        <v>220</v>
      </c>
      <c r="AE86" t="s">
        <v>219</v>
      </c>
      <c r="AF86" s="13">
        <v>41904</v>
      </c>
      <c r="AG86" t="s">
        <v>121</v>
      </c>
      <c r="AH86" t="s">
        <v>64</v>
      </c>
      <c r="AI86" t="s">
        <v>121</v>
      </c>
      <c r="AJ86" t="s">
        <v>716</v>
      </c>
      <c r="AK86" t="s">
        <v>121</v>
      </c>
      <c r="AL86" t="s">
        <v>121</v>
      </c>
      <c r="AM86" t="s">
        <v>121</v>
      </c>
    </row>
    <row r="87" spans="1:39" x14ac:dyDescent="0.3">
      <c r="A87" t="s">
        <v>169</v>
      </c>
      <c r="B87" t="s">
        <v>163</v>
      </c>
      <c r="C87" t="s">
        <v>170</v>
      </c>
      <c r="I87">
        <f ca="1">IF(OR(INDIRECT(A73&amp;ROW())=B93,INDIRECT(A73&amp;ROW())=B94),1,IF(AND(INDIRECT(A73&amp;ROW())=B95,INDIRECT(A96&amp;ROW())=C93),1,IF(AND(INDIRECT(A73&amp;ROW())=B95,INDIRECT(A96&amp;ROW())=C94),1,0)))</f>
        <v>0</v>
      </c>
      <c r="J87">
        <f ca="1">IF(AND(INDIRECT(A73&amp;ROW())=B95,INDIRECT(A96&amp;ROW())=C95),1,IF(AND(INDIRECT(A73&amp;ROW())=B95,INDIRECT(A96&amp;ROW())=C96),1,0))</f>
        <v>0</v>
      </c>
      <c r="K87">
        <f ca="1">DAYS360(INDIRECT(C68&amp;ROW()),TODAY())</f>
        <v>688</v>
      </c>
      <c r="L87">
        <f ca="1">DAYS360(INDIRECT(C69&amp;ROW()),TODAY())</f>
        <v>946</v>
      </c>
      <c r="M87" s="11">
        <f ca="1">HYPERLINK(CONCATENATE("https://bugzilla.houston.hp.com:1181/bugzilla/show_bug.cgi?id=",INDIRECT(C70&amp;ROW())),INDIRECT(C70&amp;ROW()))</f>
        <v>50187</v>
      </c>
      <c r="N87">
        <v>50187</v>
      </c>
      <c r="O87" t="s">
        <v>56</v>
      </c>
      <c r="P87" t="s">
        <v>690</v>
      </c>
      <c r="Q87" t="s">
        <v>16</v>
      </c>
      <c r="R87" t="s">
        <v>251</v>
      </c>
      <c r="S87" t="s">
        <v>53</v>
      </c>
      <c r="U87" s="6">
        <v>42159.577060185184</v>
      </c>
      <c r="V87" t="s">
        <v>18</v>
      </c>
      <c r="W87" t="s">
        <v>17</v>
      </c>
      <c r="X87" s="6">
        <v>41898.725266203706</v>
      </c>
      <c r="Y87" t="s">
        <v>793</v>
      </c>
      <c r="AB87" t="s">
        <v>201</v>
      </c>
      <c r="AC87" t="s">
        <v>247</v>
      </c>
      <c r="AD87" t="s">
        <v>220</v>
      </c>
      <c r="AE87" t="s">
        <v>219</v>
      </c>
      <c r="AG87" t="s">
        <v>121</v>
      </c>
      <c r="AH87" t="s">
        <v>64</v>
      </c>
      <c r="AI87" t="s">
        <v>121</v>
      </c>
      <c r="AJ87" t="s">
        <v>717</v>
      </c>
      <c r="AK87" t="s">
        <v>121</v>
      </c>
      <c r="AL87" t="s">
        <v>121</v>
      </c>
      <c r="AM87" t="s">
        <v>121</v>
      </c>
    </row>
    <row r="88" spans="1:39" x14ac:dyDescent="0.3">
      <c r="A88" t="s">
        <v>261</v>
      </c>
      <c r="I88">
        <f ca="1">IF(OR(INDIRECT(A73&amp;ROW())=B93,INDIRECT(A73&amp;ROW())=B94),1,IF(AND(INDIRECT(A73&amp;ROW())=B95,INDIRECT(A96&amp;ROW())=C93),1,IF(AND(INDIRECT(A73&amp;ROW())=B95,INDIRECT(A96&amp;ROW())=C94),1,0)))</f>
        <v>0</v>
      </c>
      <c r="J88">
        <f ca="1">IF(AND(INDIRECT(A73&amp;ROW())=B95,INDIRECT(A96&amp;ROW())=C95),1,IF(AND(INDIRECT(A73&amp;ROW())=B95,INDIRECT(A96&amp;ROW())=C96),1,0))</f>
        <v>0</v>
      </c>
      <c r="K88">
        <f ca="1">DAYS360(INDIRECT(C68&amp;ROW()),TODAY())</f>
        <v>728</v>
      </c>
      <c r="L88">
        <f ca="1">DAYS360(INDIRECT(C69&amp;ROW()),TODAY())</f>
        <v>945</v>
      </c>
      <c r="M88" s="11">
        <f ca="1">HYPERLINK(CONCATENATE("https://bugzilla.houston.hp.com:1181/bugzilla/show_bug.cgi?id=",INDIRECT(C70&amp;ROW())),INDIRECT(C70&amp;ROW()))</f>
        <v>50237</v>
      </c>
      <c r="N88">
        <v>50237</v>
      </c>
      <c r="O88" t="s">
        <v>55</v>
      </c>
      <c r="P88" t="s">
        <v>689</v>
      </c>
      <c r="Q88" t="s">
        <v>16</v>
      </c>
      <c r="R88" t="s">
        <v>251</v>
      </c>
      <c r="S88" t="s">
        <v>55</v>
      </c>
      <c r="U88" s="6">
        <v>42118.560115740744</v>
      </c>
      <c r="V88" t="s">
        <v>18</v>
      </c>
      <c r="W88" t="s">
        <v>17</v>
      </c>
      <c r="X88" s="6">
        <v>41899.478541666664</v>
      </c>
      <c r="Y88" t="s">
        <v>122</v>
      </c>
      <c r="AB88" t="s">
        <v>201</v>
      </c>
      <c r="AC88" t="s">
        <v>247</v>
      </c>
      <c r="AD88" t="s">
        <v>220</v>
      </c>
      <c r="AE88" t="s">
        <v>219</v>
      </c>
      <c r="AG88" t="s">
        <v>121</v>
      </c>
      <c r="AH88" t="s">
        <v>64</v>
      </c>
      <c r="AI88" t="s">
        <v>121</v>
      </c>
      <c r="AJ88" t="s">
        <v>717</v>
      </c>
      <c r="AK88" t="s">
        <v>121</v>
      </c>
      <c r="AL88" t="s">
        <v>121</v>
      </c>
      <c r="AM88" t="s">
        <v>121</v>
      </c>
    </row>
    <row r="89" spans="1:39" x14ac:dyDescent="0.3">
      <c r="A89" t="s">
        <v>158</v>
      </c>
      <c r="I89">
        <f ca="1">IF(OR(INDIRECT(A73&amp;ROW())=B93,INDIRECT(A73&amp;ROW())=B94),1,IF(AND(INDIRECT(A73&amp;ROW())=B95,INDIRECT(A96&amp;ROW())=C93),1,IF(AND(INDIRECT(A73&amp;ROW())=B95,INDIRECT(A96&amp;ROW())=C94),1,0)))</f>
        <v>0</v>
      </c>
      <c r="J89">
        <f ca="1">IF(AND(INDIRECT(A73&amp;ROW())=B95,INDIRECT(A96&amp;ROW())=C95),1,IF(AND(INDIRECT(A73&amp;ROW())=B95,INDIRECT(A96&amp;ROW())=C96),1,0))</f>
        <v>0</v>
      </c>
      <c r="K89">
        <f ca="1">DAYS360(INDIRECT(C68&amp;ROW()),TODAY())</f>
        <v>728</v>
      </c>
      <c r="L89">
        <f ca="1">DAYS360(INDIRECT(C69&amp;ROW()),TODAY())</f>
        <v>940</v>
      </c>
      <c r="M89" s="11">
        <f ca="1">HYPERLINK(CONCATENATE("https://bugzilla.houston.hp.com:1181/bugzilla/show_bug.cgi?id=",INDIRECT(C70&amp;ROW())),INDIRECT(C70&amp;ROW()))</f>
        <v>50432</v>
      </c>
      <c r="N89">
        <v>50432</v>
      </c>
      <c r="O89" t="s">
        <v>56</v>
      </c>
      <c r="P89" t="s">
        <v>688</v>
      </c>
      <c r="Q89" t="s">
        <v>16</v>
      </c>
      <c r="R89" t="s">
        <v>251</v>
      </c>
      <c r="S89" t="s">
        <v>1367</v>
      </c>
      <c r="U89" s="6">
        <v>42118.521851851852</v>
      </c>
      <c r="V89" t="s">
        <v>18</v>
      </c>
      <c r="W89" t="s">
        <v>17</v>
      </c>
      <c r="X89" s="6">
        <v>41904.840578703705</v>
      </c>
      <c r="Y89" t="s">
        <v>787</v>
      </c>
      <c r="AB89" t="s">
        <v>201</v>
      </c>
      <c r="AC89" t="s">
        <v>247</v>
      </c>
      <c r="AD89" t="s">
        <v>220</v>
      </c>
      <c r="AE89" t="s">
        <v>219</v>
      </c>
      <c r="AG89" t="s">
        <v>121</v>
      </c>
      <c r="AH89" t="s">
        <v>327</v>
      </c>
      <c r="AI89" t="s">
        <v>121</v>
      </c>
      <c r="AJ89" t="s">
        <v>717</v>
      </c>
      <c r="AK89" t="s">
        <v>121</v>
      </c>
      <c r="AL89" t="s">
        <v>121</v>
      </c>
      <c r="AM89" t="s">
        <v>121</v>
      </c>
    </row>
    <row r="90" spans="1:39" x14ac:dyDescent="0.3">
      <c r="A90" t="s">
        <v>262</v>
      </c>
      <c r="I90">
        <f ca="1">IF(OR(INDIRECT(A73&amp;ROW())=B93,INDIRECT(A73&amp;ROW())=B94),1,IF(AND(INDIRECT(A73&amp;ROW())=B95,INDIRECT(A96&amp;ROW())=C93),1,IF(AND(INDIRECT(A73&amp;ROW())=B95,INDIRECT(A96&amp;ROW())=C94),1,0)))</f>
        <v>1</v>
      </c>
      <c r="J90">
        <f ca="1">IF(AND(INDIRECT(A73&amp;ROW())=B95,INDIRECT(A96&amp;ROW())=C95),1,IF(AND(INDIRECT(A73&amp;ROW())=B95,INDIRECT(A96&amp;ROW())=C96),1,0))</f>
        <v>0</v>
      </c>
      <c r="K90">
        <f ca="1">DAYS360(INDIRECT(C68&amp;ROW()),TODAY())</f>
        <v>694</v>
      </c>
      <c r="L90">
        <f ca="1">DAYS360(INDIRECT(C69&amp;ROW()),TODAY())</f>
        <v>939</v>
      </c>
      <c r="M90" s="11">
        <f ca="1">HYPERLINK(CONCATENATE("https://bugzilla.houston.hp.com:1181/bugzilla/show_bug.cgi?id=",INDIRECT(C70&amp;ROW())),INDIRECT(C70&amp;ROW()))</f>
        <v>50470</v>
      </c>
      <c r="N90">
        <v>50470</v>
      </c>
      <c r="O90" t="s">
        <v>53</v>
      </c>
      <c r="P90" t="s">
        <v>687</v>
      </c>
      <c r="Q90" t="s">
        <v>39</v>
      </c>
      <c r="R90" t="s">
        <v>251</v>
      </c>
      <c r="S90" t="s">
        <v>1368</v>
      </c>
      <c r="U90" s="6">
        <v>42152.316331018519</v>
      </c>
      <c r="V90" t="s">
        <v>18</v>
      </c>
      <c r="W90" t="s">
        <v>17</v>
      </c>
      <c r="X90" s="6">
        <v>41905.402071759258</v>
      </c>
      <c r="Y90" t="s">
        <v>119</v>
      </c>
      <c r="AB90" t="s">
        <v>201</v>
      </c>
      <c r="AC90" t="s">
        <v>247</v>
      </c>
      <c r="AD90" t="s">
        <v>220</v>
      </c>
      <c r="AE90" t="s">
        <v>219</v>
      </c>
      <c r="AG90" t="s">
        <v>121</v>
      </c>
      <c r="AH90" t="s">
        <v>64</v>
      </c>
      <c r="AI90" t="s">
        <v>121</v>
      </c>
      <c r="AJ90" t="s">
        <v>715</v>
      </c>
      <c r="AK90" t="s">
        <v>121</v>
      </c>
      <c r="AL90" t="s">
        <v>121</v>
      </c>
      <c r="AM90" t="s">
        <v>121</v>
      </c>
    </row>
    <row r="91" spans="1:39" x14ac:dyDescent="0.3">
      <c r="A91" t="s">
        <v>229</v>
      </c>
      <c r="I91">
        <f ca="1">IF(OR(INDIRECT(A73&amp;ROW())=B93,INDIRECT(A73&amp;ROW())=B94),1,IF(AND(INDIRECT(A73&amp;ROW())=B95,INDIRECT(A96&amp;ROW())=C93),1,IF(AND(INDIRECT(A73&amp;ROW())=B95,INDIRECT(A96&amp;ROW())=C94),1,0)))</f>
        <v>0</v>
      </c>
      <c r="J91">
        <f ca="1">IF(AND(INDIRECT(A73&amp;ROW())=B95,INDIRECT(A96&amp;ROW())=C95),1,IF(AND(INDIRECT(A73&amp;ROW())=B95,INDIRECT(A96&amp;ROW())=C96),1,0))</f>
        <v>0</v>
      </c>
      <c r="K91">
        <f ca="1">DAYS360(INDIRECT(C68&amp;ROW()),TODAY())</f>
        <v>724</v>
      </c>
      <c r="L91">
        <f ca="1">DAYS360(INDIRECT(C69&amp;ROW()),TODAY())</f>
        <v>939</v>
      </c>
      <c r="M91" s="11">
        <f ca="1">HYPERLINK(CONCATENATE("https://bugzilla.houston.hp.com:1181/bugzilla/show_bug.cgi?id=",INDIRECT(C70&amp;ROW())),INDIRECT(C70&amp;ROW()))</f>
        <v>50489</v>
      </c>
      <c r="N91">
        <v>50489</v>
      </c>
      <c r="O91" t="s">
        <v>334</v>
      </c>
      <c r="P91" t="s">
        <v>434</v>
      </c>
      <c r="Q91" t="s">
        <v>16</v>
      </c>
      <c r="R91" t="s">
        <v>251</v>
      </c>
      <c r="S91" t="s">
        <v>182</v>
      </c>
      <c r="U91" s="6">
        <v>42122.400648148148</v>
      </c>
      <c r="V91" t="s">
        <v>35</v>
      </c>
      <c r="W91" t="s">
        <v>17</v>
      </c>
      <c r="X91" s="6">
        <v>41905.60564814815</v>
      </c>
      <c r="Y91" t="s">
        <v>245</v>
      </c>
      <c r="AB91" t="s">
        <v>200</v>
      </c>
      <c r="AC91" t="s">
        <v>247</v>
      </c>
      <c r="AD91" t="s">
        <v>227</v>
      </c>
      <c r="AE91" t="s">
        <v>230</v>
      </c>
      <c r="AG91" t="s">
        <v>121</v>
      </c>
      <c r="AH91" t="s">
        <v>327</v>
      </c>
      <c r="AI91" t="s">
        <v>121</v>
      </c>
      <c r="AJ91" t="s">
        <v>716</v>
      </c>
      <c r="AK91" t="s">
        <v>121</v>
      </c>
      <c r="AL91" t="s">
        <v>121</v>
      </c>
      <c r="AM91" t="s">
        <v>121</v>
      </c>
    </row>
    <row r="92" spans="1:39" x14ac:dyDescent="0.3">
      <c r="A92" t="s">
        <v>242</v>
      </c>
      <c r="B92" t="s">
        <v>375</v>
      </c>
      <c r="I92">
        <f ca="1">IF(OR(INDIRECT(A73&amp;ROW())=B93,INDIRECT(A73&amp;ROW())=B94),1,IF(AND(INDIRECT(A73&amp;ROW())=B95,INDIRECT(A96&amp;ROW())=C93),1,IF(AND(INDIRECT(A73&amp;ROW())=B95,INDIRECT(A96&amp;ROW())=C94),1,0)))</f>
        <v>0</v>
      </c>
      <c r="J92">
        <f ca="1">IF(AND(INDIRECT(A73&amp;ROW())=B95,INDIRECT(A96&amp;ROW())=C95),1,IF(AND(INDIRECT(A73&amp;ROW())=B95,INDIRECT(A96&amp;ROW())=C96),1,0))</f>
        <v>0</v>
      </c>
      <c r="K92">
        <f ca="1">DAYS360(INDIRECT(C68&amp;ROW()),TODAY())</f>
        <v>728</v>
      </c>
      <c r="L92">
        <f ca="1">DAYS360(INDIRECT(C69&amp;ROW()),TODAY())</f>
        <v>939</v>
      </c>
      <c r="M92" s="11">
        <f ca="1">HYPERLINK(CONCATENATE("https://bugzilla.houston.hp.com:1181/bugzilla/show_bug.cgi?id=",INDIRECT(C70&amp;ROW())),INDIRECT(C70&amp;ROW()))</f>
        <v>50497</v>
      </c>
      <c r="N92">
        <v>50497</v>
      </c>
      <c r="O92" t="s">
        <v>1345</v>
      </c>
      <c r="P92" t="s">
        <v>686</v>
      </c>
      <c r="Q92" t="s">
        <v>16</v>
      </c>
      <c r="R92" t="s">
        <v>251</v>
      </c>
      <c r="S92" t="s">
        <v>31</v>
      </c>
      <c r="U92" s="6">
        <v>42118.521944444445</v>
      </c>
      <c r="V92" t="s">
        <v>18</v>
      </c>
      <c r="W92" t="s">
        <v>17</v>
      </c>
      <c r="X92" s="6">
        <v>41905.694814814815</v>
      </c>
      <c r="Y92" t="s">
        <v>119</v>
      </c>
      <c r="AB92" t="s">
        <v>201</v>
      </c>
      <c r="AC92" t="s">
        <v>247</v>
      </c>
      <c r="AD92" t="s">
        <v>222</v>
      </c>
      <c r="AE92" t="s">
        <v>240</v>
      </c>
      <c r="AG92" t="s">
        <v>121</v>
      </c>
      <c r="AH92" t="s">
        <v>327</v>
      </c>
      <c r="AI92" t="s">
        <v>121</v>
      </c>
      <c r="AJ92" t="s">
        <v>717</v>
      </c>
      <c r="AK92" t="s">
        <v>121</v>
      </c>
      <c r="AL92" t="s">
        <v>121</v>
      </c>
      <c r="AM92" t="s">
        <v>121</v>
      </c>
    </row>
    <row r="93" spans="1:39" x14ac:dyDescent="0.3">
      <c r="A93" t="s">
        <v>18</v>
      </c>
      <c r="B93" t="s">
        <v>38</v>
      </c>
      <c r="C93" t="s">
        <v>199</v>
      </c>
      <c r="I93">
        <f ca="1">IF(OR(INDIRECT(A73&amp;ROW())=B93,INDIRECT(A73&amp;ROW())=B94),1,IF(AND(INDIRECT(A73&amp;ROW())=B95,INDIRECT(A96&amp;ROW())=C93),1,IF(AND(INDIRECT(A73&amp;ROW())=B95,INDIRECT(A96&amp;ROW())=C94),1,0)))</f>
        <v>0</v>
      </c>
      <c r="J93">
        <f ca="1">IF(AND(INDIRECT(A73&amp;ROW())=B95,INDIRECT(A96&amp;ROW())=C95),1,IF(AND(INDIRECT(A73&amp;ROW())=B95,INDIRECT(A96&amp;ROW())=C96),1,0))</f>
        <v>0</v>
      </c>
      <c r="K93">
        <f ca="1">DAYS360(INDIRECT(C68&amp;ROW()),TODAY())</f>
        <v>687</v>
      </c>
      <c r="L93">
        <f ca="1">DAYS360(INDIRECT(C69&amp;ROW()),TODAY())</f>
        <v>938</v>
      </c>
      <c r="M93" s="11">
        <f ca="1">HYPERLINK(CONCATENATE("https://bugzilla.houston.hp.com:1181/bugzilla/show_bug.cgi?id=",INDIRECT(C70&amp;ROW())),INDIRECT(C70&amp;ROW()))</f>
        <v>50563</v>
      </c>
      <c r="N93">
        <v>50563</v>
      </c>
      <c r="O93" t="s">
        <v>43</v>
      </c>
      <c r="P93" t="s">
        <v>1369</v>
      </c>
      <c r="Q93" t="s">
        <v>16</v>
      </c>
      <c r="R93" t="s">
        <v>1341</v>
      </c>
      <c r="S93" t="s">
        <v>43</v>
      </c>
      <c r="T93" t="s">
        <v>794</v>
      </c>
      <c r="U93" s="6">
        <v>42160.43236111111</v>
      </c>
      <c r="V93" t="s">
        <v>18</v>
      </c>
      <c r="W93" t="s">
        <v>317</v>
      </c>
      <c r="X93" s="6">
        <v>41906.615659722222</v>
      </c>
      <c r="Y93" t="s">
        <v>122</v>
      </c>
      <c r="AB93" t="s">
        <v>200</v>
      </c>
      <c r="AC93" t="s">
        <v>1027</v>
      </c>
      <c r="AD93" t="s">
        <v>220</v>
      </c>
      <c r="AE93" t="s">
        <v>219</v>
      </c>
      <c r="AG93" t="s">
        <v>121</v>
      </c>
      <c r="AH93" t="s">
        <v>64</v>
      </c>
      <c r="AI93" t="s">
        <v>121</v>
      </c>
      <c r="AJ93" t="s">
        <v>716</v>
      </c>
      <c r="AK93" t="s">
        <v>121</v>
      </c>
      <c r="AL93" t="s">
        <v>121</v>
      </c>
      <c r="AM93" t="s">
        <v>121</v>
      </c>
    </row>
    <row r="94" spans="1:39" x14ac:dyDescent="0.3">
      <c r="A94" t="s">
        <v>35</v>
      </c>
      <c r="B94" t="s">
        <v>39</v>
      </c>
      <c r="C94" t="s">
        <v>200</v>
      </c>
      <c r="I94">
        <f ca="1">IF(OR(INDIRECT(A73&amp;ROW())=B93,INDIRECT(A73&amp;ROW())=B94),1,IF(AND(INDIRECT(A73&amp;ROW())=B95,INDIRECT(A96&amp;ROW())=C93),1,IF(AND(INDIRECT(A73&amp;ROW())=B95,INDIRECT(A96&amp;ROW())=C94),1,0)))</f>
        <v>0</v>
      </c>
      <c r="J94">
        <f ca="1">IF(AND(INDIRECT(A73&amp;ROW())=B95,INDIRECT(A96&amp;ROW())=C95),1,IF(AND(INDIRECT(A73&amp;ROW())=B95,INDIRECT(A96&amp;ROW())=C96),1,0))</f>
        <v>1</v>
      </c>
      <c r="K94">
        <f ca="1">DAYS360(INDIRECT(C68&amp;ROW()),TODAY())</f>
        <v>684</v>
      </c>
      <c r="L94">
        <f ca="1">DAYS360(INDIRECT(C69&amp;ROW()),TODAY())</f>
        <v>937</v>
      </c>
      <c r="M94" s="11">
        <f ca="1">HYPERLINK(CONCATENATE("https://bugzilla.houston.hp.com:1181/bugzilla/show_bug.cgi?id=",INDIRECT(C70&amp;ROW())),INDIRECT(C70&amp;ROW()))</f>
        <v>50644</v>
      </c>
      <c r="N94">
        <v>50644</v>
      </c>
      <c r="O94" t="s">
        <v>42</v>
      </c>
      <c r="P94" t="s">
        <v>433</v>
      </c>
      <c r="Q94" t="s">
        <v>25</v>
      </c>
      <c r="R94" t="s">
        <v>251</v>
      </c>
      <c r="S94" t="s">
        <v>42</v>
      </c>
      <c r="U94" s="6">
        <v>42163.587870370371</v>
      </c>
      <c r="V94" t="s">
        <v>35</v>
      </c>
      <c r="W94" t="s">
        <v>17</v>
      </c>
      <c r="X94" s="6">
        <v>41907.666851851849</v>
      </c>
      <c r="Y94" t="s">
        <v>122</v>
      </c>
      <c r="AB94" t="s">
        <v>201</v>
      </c>
      <c r="AC94" t="s">
        <v>247</v>
      </c>
      <c r="AD94" t="s">
        <v>220</v>
      </c>
      <c r="AE94" t="s">
        <v>219</v>
      </c>
      <c r="AG94" t="s">
        <v>121</v>
      </c>
      <c r="AH94" t="s">
        <v>64</v>
      </c>
      <c r="AI94" t="s">
        <v>121</v>
      </c>
      <c r="AJ94" t="s">
        <v>716</v>
      </c>
      <c r="AK94" t="s">
        <v>121</v>
      </c>
      <c r="AL94" t="s">
        <v>121</v>
      </c>
      <c r="AM94" t="s">
        <v>121</v>
      </c>
    </row>
    <row r="95" spans="1:39" x14ac:dyDescent="0.3">
      <c r="A95" t="s">
        <v>40</v>
      </c>
      <c r="B95" t="s">
        <v>25</v>
      </c>
      <c r="C95" t="s">
        <v>201</v>
      </c>
      <c r="I95">
        <f ca="1">IF(OR(INDIRECT(A73&amp;ROW())=B93,INDIRECT(A73&amp;ROW())=B94),1,IF(AND(INDIRECT(A73&amp;ROW())=B95,INDIRECT(A96&amp;ROW())=C93),1,IF(AND(INDIRECT(A73&amp;ROW())=B95,INDIRECT(A96&amp;ROW())=C94),1,0)))</f>
        <v>0</v>
      </c>
      <c r="J95">
        <f ca="1">IF(AND(INDIRECT(A73&amp;ROW())=B95,INDIRECT(A96&amp;ROW())=C95),1,IF(AND(INDIRECT(A73&amp;ROW())=B95,INDIRECT(A96&amp;ROW())=C96),1,0))</f>
        <v>0</v>
      </c>
      <c r="K95">
        <f ca="1">DAYS360(INDIRECT(C68&amp;ROW()),TODAY())</f>
        <v>721</v>
      </c>
      <c r="L95">
        <f ca="1">DAYS360(INDIRECT(C69&amp;ROW()),TODAY())</f>
        <v>936</v>
      </c>
      <c r="M95" s="11">
        <f ca="1">HYPERLINK(CONCATENATE("https://bugzilla.houston.hp.com:1181/bugzilla/show_bug.cgi?id=",INDIRECT(C70&amp;ROW())),INDIRECT(C70&amp;ROW()))</f>
        <v>50667</v>
      </c>
      <c r="N95">
        <v>50667</v>
      </c>
      <c r="O95" t="s">
        <v>50</v>
      </c>
      <c r="P95" t="s">
        <v>432</v>
      </c>
      <c r="Q95" t="s">
        <v>16</v>
      </c>
      <c r="R95" t="s">
        <v>251</v>
      </c>
      <c r="S95" t="s">
        <v>335</v>
      </c>
      <c r="U95" s="6">
        <v>42125.446539351855</v>
      </c>
      <c r="V95" t="s">
        <v>18</v>
      </c>
      <c r="W95" t="s">
        <v>17</v>
      </c>
      <c r="X95" s="6">
        <v>41908.131435185183</v>
      </c>
      <c r="Y95" t="s">
        <v>122</v>
      </c>
      <c r="AB95" t="s">
        <v>200</v>
      </c>
      <c r="AC95" t="s">
        <v>247</v>
      </c>
      <c r="AD95" t="s">
        <v>227</v>
      </c>
      <c r="AE95" t="s">
        <v>231</v>
      </c>
      <c r="AG95" t="s">
        <v>121</v>
      </c>
      <c r="AH95" t="s">
        <v>327</v>
      </c>
      <c r="AI95" t="s">
        <v>121</v>
      </c>
      <c r="AJ95" t="s">
        <v>716</v>
      </c>
      <c r="AK95" t="s">
        <v>121</v>
      </c>
      <c r="AL95" t="s">
        <v>121</v>
      </c>
      <c r="AM95" t="s">
        <v>121</v>
      </c>
    </row>
    <row r="96" spans="1:39" x14ac:dyDescent="0.3">
      <c r="A96" t="s">
        <v>352</v>
      </c>
      <c r="B96" t="s">
        <v>266</v>
      </c>
      <c r="C96" t="s">
        <v>318</v>
      </c>
      <c r="I96">
        <f ca="1">IF(OR(INDIRECT(A73&amp;ROW())=B93,INDIRECT(A73&amp;ROW())=B94),1,IF(AND(INDIRECT(A73&amp;ROW())=B95,INDIRECT(A96&amp;ROW())=C93),1,IF(AND(INDIRECT(A73&amp;ROW())=B95,INDIRECT(A96&amp;ROW())=C94),1,0)))</f>
        <v>0</v>
      </c>
      <c r="J96">
        <f ca="1">IF(AND(INDIRECT(A73&amp;ROW())=B95,INDIRECT(A96&amp;ROW())=C95),1,IF(AND(INDIRECT(A73&amp;ROW())=B95,INDIRECT(A96&amp;ROW())=C96),1,0))</f>
        <v>0</v>
      </c>
      <c r="K96">
        <f ca="1">DAYS360(INDIRECT(C68&amp;ROW()),TODAY())</f>
        <v>802</v>
      </c>
      <c r="L96">
        <f ca="1">DAYS360(INDIRECT(C69&amp;ROW()),TODAY())</f>
        <v>933</v>
      </c>
      <c r="M96" s="11">
        <f ca="1">HYPERLINK(CONCATENATE("https://bugzilla.houston.hp.com:1181/bugzilla/show_bug.cgi?id=",INDIRECT(C70&amp;ROW())),INDIRECT(C70&amp;ROW()))</f>
        <v>50880</v>
      </c>
      <c r="N96">
        <v>50880</v>
      </c>
      <c r="O96" t="s">
        <v>66</v>
      </c>
      <c r="P96" t="s">
        <v>685</v>
      </c>
      <c r="Q96" t="s">
        <v>16</v>
      </c>
      <c r="R96" t="s">
        <v>251</v>
      </c>
      <c r="S96" t="s">
        <v>66</v>
      </c>
      <c r="U96" s="6">
        <v>42045.710277777776</v>
      </c>
      <c r="V96" t="s">
        <v>35</v>
      </c>
      <c r="W96" t="s">
        <v>17</v>
      </c>
      <c r="X96" s="6">
        <v>41911.766562500001</v>
      </c>
      <c r="Y96" t="s">
        <v>786</v>
      </c>
      <c r="AB96" t="s">
        <v>200</v>
      </c>
      <c r="AC96" t="s">
        <v>247</v>
      </c>
      <c r="AD96" t="s">
        <v>220</v>
      </c>
      <c r="AE96" t="s">
        <v>219</v>
      </c>
      <c r="AG96" t="s">
        <v>121</v>
      </c>
      <c r="AH96" t="s">
        <v>327</v>
      </c>
      <c r="AI96" t="s">
        <v>121</v>
      </c>
      <c r="AJ96" t="s">
        <v>716</v>
      </c>
      <c r="AK96" t="s">
        <v>121</v>
      </c>
      <c r="AL96" t="s">
        <v>121</v>
      </c>
      <c r="AM96" t="s">
        <v>121</v>
      </c>
    </row>
    <row r="97" spans="1:39" x14ac:dyDescent="0.3">
      <c r="A97" t="s">
        <v>96</v>
      </c>
      <c r="B97" t="s">
        <v>268</v>
      </c>
      <c r="I97">
        <f ca="1">IF(OR(INDIRECT(A73&amp;ROW())=B93,INDIRECT(A73&amp;ROW())=B94),1,IF(AND(INDIRECT(A73&amp;ROW())=B95,INDIRECT(A96&amp;ROW())=C93),1,IF(AND(INDIRECT(A73&amp;ROW())=B95,INDIRECT(A96&amp;ROW())=C94),1,0)))</f>
        <v>1</v>
      </c>
      <c r="J97">
        <f ca="1">IF(AND(INDIRECT(A73&amp;ROW())=B95,INDIRECT(A96&amp;ROW())=C95),1,IF(AND(INDIRECT(A73&amp;ROW())=B95,INDIRECT(A96&amp;ROW())=C96),1,0))</f>
        <v>0</v>
      </c>
      <c r="K97">
        <f ca="1">DAYS360(INDIRECT(C68&amp;ROW()),TODAY())</f>
        <v>634</v>
      </c>
      <c r="L97">
        <f ca="1">DAYS360(INDIRECT(C69&amp;ROW()),TODAY())</f>
        <v>932</v>
      </c>
      <c r="M97" s="11">
        <f ca="1">HYPERLINK(CONCATENATE("https://bugzilla.houston.hp.com:1181/bugzilla/show_bug.cgi?id=",INDIRECT(C70&amp;ROW())),INDIRECT(C70&amp;ROW()))</f>
        <v>50953</v>
      </c>
      <c r="N97">
        <v>50953</v>
      </c>
      <c r="O97" t="s">
        <v>45</v>
      </c>
      <c r="P97" t="s">
        <v>684</v>
      </c>
      <c r="Q97" t="s">
        <v>25</v>
      </c>
      <c r="R97" t="s">
        <v>1370</v>
      </c>
      <c r="S97" t="s">
        <v>21</v>
      </c>
      <c r="U97" s="6">
        <v>42213.477280092593</v>
      </c>
      <c r="V97" t="s">
        <v>18</v>
      </c>
      <c r="W97" t="s">
        <v>17</v>
      </c>
      <c r="X97" s="6">
        <v>41912.61074074074</v>
      </c>
      <c r="Y97" t="s">
        <v>123</v>
      </c>
      <c r="AB97" t="s">
        <v>200</v>
      </c>
      <c r="AC97" t="s">
        <v>247</v>
      </c>
      <c r="AD97" t="s">
        <v>227</v>
      </c>
      <c r="AE97" t="s">
        <v>226</v>
      </c>
      <c r="AG97" t="s">
        <v>121</v>
      </c>
      <c r="AH97" t="s">
        <v>64</v>
      </c>
      <c r="AI97" t="s">
        <v>121</v>
      </c>
      <c r="AJ97" t="s">
        <v>715</v>
      </c>
      <c r="AK97" t="s">
        <v>121</v>
      </c>
      <c r="AL97" t="s">
        <v>121</v>
      </c>
      <c r="AM97" t="s">
        <v>121</v>
      </c>
    </row>
    <row r="98" spans="1:39" x14ac:dyDescent="0.3">
      <c r="A98" t="s">
        <v>263</v>
      </c>
      <c r="B98" t="s">
        <v>269</v>
      </c>
      <c r="C98" t="s">
        <v>270</v>
      </c>
      <c r="I98">
        <f ca="1">IF(OR(INDIRECT(A73&amp;ROW())=B93,INDIRECT(A73&amp;ROW())=B94),1,IF(AND(INDIRECT(A73&amp;ROW())=B95,INDIRECT(A96&amp;ROW())=C93),1,IF(AND(INDIRECT(A73&amp;ROW())=B95,INDIRECT(A96&amp;ROW())=C94),1,0)))</f>
        <v>0</v>
      </c>
      <c r="J98">
        <f ca="1">IF(AND(INDIRECT(A73&amp;ROW())=B95,INDIRECT(A96&amp;ROW())=C95),1,IF(AND(INDIRECT(A73&amp;ROW())=B95,INDIRECT(A96&amp;ROW())=C96),1,0))</f>
        <v>1</v>
      </c>
      <c r="K98">
        <f ca="1">DAYS360(INDIRECT(C68&amp;ROW()),TODAY())</f>
        <v>724</v>
      </c>
      <c r="L98">
        <f ca="1">DAYS360(INDIRECT(C69&amp;ROW()),TODAY())</f>
        <v>929</v>
      </c>
      <c r="M98" s="11">
        <f ca="1">HYPERLINK(CONCATENATE("https://bugzilla.houston.hp.com:1181/bugzilla/show_bug.cgi?id=",INDIRECT(C70&amp;ROW())),INDIRECT(C70&amp;ROW()))</f>
        <v>51087</v>
      </c>
      <c r="N98">
        <v>51087</v>
      </c>
      <c r="O98" t="s">
        <v>56</v>
      </c>
      <c r="P98" t="s">
        <v>431</v>
      </c>
      <c r="Q98" t="s">
        <v>25</v>
      </c>
      <c r="R98" t="s">
        <v>251</v>
      </c>
      <c r="S98" t="s">
        <v>53</v>
      </c>
      <c r="U98" s="6">
        <v>42122.352916666663</v>
      </c>
      <c r="V98" t="s">
        <v>18</v>
      </c>
      <c r="W98" t="s">
        <v>17</v>
      </c>
      <c r="X98" s="6">
        <v>41915.6015162037</v>
      </c>
      <c r="Y98" t="s">
        <v>122</v>
      </c>
      <c r="AB98" t="s">
        <v>201</v>
      </c>
      <c r="AC98" t="s">
        <v>247</v>
      </c>
      <c r="AD98" t="s">
        <v>220</v>
      </c>
      <c r="AE98" t="s">
        <v>219</v>
      </c>
      <c r="AG98" t="s">
        <v>121</v>
      </c>
      <c r="AH98" t="s">
        <v>327</v>
      </c>
      <c r="AI98" t="s">
        <v>121</v>
      </c>
      <c r="AJ98" t="s">
        <v>716</v>
      </c>
      <c r="AK98" t="s">
        <v>121</v>
      </c>
      <c r="AL98" t="s">
        <v>121</v>
      </c>
      <c r="AM98" t="s">
        <v>121</v>
      </c>
    </row>
    <row r="99" spans="1:39" x14ac:dyDescent="0.3">
      <c r="A99" t="s">
        <v>95</v>
      </c>
      <c r="B99" t="s">
        <v>347</v>
      </c>
      <c r="I99">
        <f ca="1">IF(OR(INDIRECT(A73&amp;ROW())=B93,INDIRECT(A73&amp;ROW())=B94),1,IF(AND(INDIRECT(A73&amp;ROW())=B95,INDIRECT(A96&amp;ROW())=C93),1,IF(AND(INDIRECT(A73&amp;ROW())=B95,INDIRECT(A96&amp;ROW())=C94),1,0)))</f>
        <v>0</v>
      </c>
      <c r="J99">
        <f ca="1">IF(AND(INDIRECT(A73&amp;ROW())=B95,INDIRECT(A96&amp;ROW())=C95),1,IF(AND(INDIRECT(A73&amp;ROW())=B95,INDIRECT(A96&amp;ROW())=C96),1,0))</f>
        <v>1</v>
      </c>
      <c r="K99">
        <f ca="1">DAYS360(INDIRECT(C68&amp;ROW()),TODAY())</f>
        <v>691</v>
      </c>
      <c r="L99">
        <f ca="1">DAYS360(INDIRECT(C69&amp;ROW()),TODAY())</f>
        <v>929</v>
      </c>
      <c r="M99" s="11">
        <f ca="1">HYPERLINK(CONCATENATE("https://bugzilla.houston.hp.com:1181/bugzilla/show_bug.cgi?id=",INDIRECT(C70&amp;ROW())),INDIRECT(C70&amp;ROW()))</f>
        <v>51092</v>
      </c>
      <c r="N99">
        <v>51092</v>
      </c>
      <c r="O99" t="s">
        <v>22</v>
      </c>
      <c r="P99" t="s">
        <v>430</v>
      </c>
      <c r="Q99" t="s">
        <v>25</v>
      </c>
      <c r="R99" t="s">
        <v>251</v>
      </c>
      <c r="S99" t="s">
        <v>22</v>
      </c>
      <c r="T99" t="s">
        <v>794</v>
      </c>
      <c r="U99" s="6">
        <v>42156.258032407408</v>
      </c>
      <c r="V99" t="s">
        <v>40</v>
      </c>
      <c r="W99" t="s">
        <v>17</v>
      </c>
      <c r="X99" s="6">
        <v>41915.671134259261</v>
      </c>
      <c r="Y99" t="s">
        <v>122</v>
      </c>
      <c r="AB99" t="s">
        <v>201</v>
      </c>
      <c r="AC99" t="s">
        <v>247</v>
      </c>
      <c r="AD99" t="s">
        <v>220</v>
      </c>
      <c r="AE99" t="s">
        <v>219</v>
      </c>
      <c r="AG99" t="s">
        <v>337</v>
      </c>
      <c r="AH99" t="s">
        <v>327</v>
      </c>
      <c r="AI99" t="s">
        <v>121</v>
      </c>
      <c r="AJ99" t="s">
        <v>716</v>
      </c>
      <c r="AK99" t="s">
        <v>121</v>
      </c>
      <c r="AL99" t="s">
        <v>121</v>
      </c>
      <c r="AM99" t="s">
        <v>121</v>
      </c>
    </row>
    <row r="100" spans="1:39" x14ac:dyDescent="0.3">
      <c r="I100">
        <f ca="1">IF(OR(INDIRECT(A73&amp;ROW())=B93,INDIRECT(A73&amp;ROW())=B94),1,IF(AND(INDIRECT(A73&amp;ROW())=B95,INDIRECT(A96&amp;ROW())=C93),1,IF(AND(INDIRECT(A73&amp;ROW())=B95,INDIRECT(A96&amp;ROW())=C94),1,0)))</f>
        <v>1</v>
      </c>
      <c r="J100">
        <f ca="1">IF(AND(INDIRECT(A73&amp;ROW())=B95,INDIRECT(A96&amp;ROW())=C95),1,IF(AND(INDIRECT(A73&amp;ROW())=B95,INDIRECT(A96&amp;ROW())=C96),1,0))</f>
        <v>0</v>
      </c>
      <c r="K100">
        <f ca="1">DAYS360(INDIRECT(C68&amp;ROW()),TODAY())</f>
        <v>613</v>
      </c>
      <c r="L100">
        <f ca="1">DAYS360(INDIRECT(C69&amp;ROW()),TODAY())</f>
        <v>929</v>
      </c>
      <c r="M100" s="11">
        <f ca="1">HYPERLINK(CONCATENATE("https://bugzilla.houston.hp.com:1181/bugzilla/show_bug.cgi?id=",INDIRECT(C70&amp;ROW())),INDIRECT(C70&amp;ROW()))</f>
        <v>51093</v>
      </c>
      <c r="N100">
        <v>51093</v>
      </c>
      <c r="O100" t="s">
        <v>56</v>
      </c>
      <c r="P100" t="s">
        <v>1324</v>
      </c>
      <c r="Q100" t="s">
        <v>25</v>
      </c>
      <c r="R100" t="s">
        <v>251</v>
      </c>
      <c r="S100" t="s">
        <v>177</v>
      </c>
      <c r="U100" s="6">
        <v>42235.699872685182</v>
      </c>
      <c r="V100" t="s">
        <v>40</v>
      </c>
      <c r="W100" t="s">
        <v>783</v>
      </c>
      <c r="X100" s="6">
        <v>41915.693078703705</v>
      </c>
      <c r="Y100" t="s">
        <v>245</v>
      </c>
      <c r="AB100" t="s">
        <v>200</v>
      </c>
      <c r="AC100" t="s">
        <v>247</v>
      </c>
      <c r="AD100" t="s">
        <v>220</v>
      </c>
      <c r="AE100" t="s">
        <v>219</v>
      </c>
      <c r="AG100" t="s">
        <v>1082</v>
      </c>
      <c r="AH100" t="s">
        <v>64</v>
      </c>
      <c r="AI100" t="s">
        <v>121</v>
      </c>
      <c r="AJ100" t="s">
        <v>715</v>
      </c>
      <c r="AK100" t="s">
        <v>121</v>
      </c>
      <c r="AL100" t="s">
        <v>121</v>
      </c>
      <c r="AM100" t="s">
        <v>121</v>
      </c>
    </row>
    <row r="101" spans="1:39" x14ac:dyDescent="0.3">
      <c r="I101">
        <f ca="1">IF(OR(INDIRECT(A73&amp;ROW())=B93,INDIRECT(A73&amp;ROW())=B94),1,IF(AND(INDIRECT(A73&amp;ROW())=B95,INDIRECT(A96&amp;ROW())=C93),1,IF(AND(INDIRECT(A73&amp;ROW())=B95,INDIRECT(A96&amp;ROW())=C94),1,0)))</f>
        <v>0</v>
      </c>
      <c r="J101">
        <f ca="1">IF(AND(INDIRECT(A73&amp;ROW())=B95,INDIRECT(A96&amp;ROW())=C95),1,IF(AND(INDIRECT(A73&amp;ROW())=B95,INDIRECT(A96&amp;ROW())=C96),1,0))</f>
        <v>1</v>
      </c>
      <c r="K101">
        <f ca="1">DAYS360(INDIRECT(C68&amp;ROW()),TODAY())</f>
        <v>690</v>
      </c>
      <c r="L101">
        <f ca="1">DAYS360(INDIRECT(C69&amp;ROW()),TODAY())</f>
        <v>925</v>
      </c>
      <c r="M101" s="11">
        <f ca="1">HYPERLINK(CONCATENATE("https://bugzilla.houston.hp.com:1181/bugzilla/show_bug.cgi?id=",INDIRECT(C70&amp;ROW())),INDIRECT(C70&amp;ROW()))</f>
        <v>51177</v>
      </c>
      <c r="N101">
        <v>51177</v>
      </c>
      <c r="O101" t="s">
        <v>66</v>
      </c>
      <c r="P101" t="s">
        <v>1051</v>
      </c>
      <c r="Q101" t="s">
        <v>25</v>
      </c>
      <c r="R101" t="s">
        <v>251</v>
      </c>
      <c r="S101" t="s">
        <v>33</v>
      </c>
      <c r="T101" t="s">
        <v>794</v>
      </c>
      <c r="U101" s="6">
        <v>42157.088888888888</v>
      </c>
      <c r="V101" t="s">
        <v>35</v>
      </c>
      <c r="W101" t="s">
        <v>17</v>
      </c>
      <c r="X101" s="6">
        <v>41919.239328703705</v>
      </c>
      <c r="Y101" t="s">
        <v>119</v>
      </c>
      <c r="AB101" t="s">
        <v>201</v>
      </c>
      <c r="AC101" t="s">
        <v>247</v>
      </c>
      <c r="AD101" t="s">
        <v>220</v>
      </c>
      <c r="AE101" t="s">
        <v>223</v>
      </c>
      <c r="AG101" t="s">
        <v>121</v>
      </c>
      <c r="AH101" t="s">
        <v>64</v>
      </c>
      <c r="AI101" t="s">
        <v>121</v>
      </c>
      <c r="AJ101" t="s">
        <v>716</v>
      </c>
      <c r="AK101" t="s">
        <v>121</v>
      </c>
      <c r="AL101" t="s">
        <v>121</v>
      </c>
      <c r="AM101" t="s">
        <v>121</v>
      </c>
    </row>
    <row r="102" spans="1:39" x14ac:dyDescent="0.3">
      <c r="I102">
        <f ca="1">IF(OR(INDIRECT(A73&amp;ROW())=B93,INDIRECT(A73&amp;ROW())=B94),1,IF(AND(INDIRECT(A73&amp;ROW())=B95,INDIRECT(A96&amp;ROW())=C93),1,IF(AND(INDIRECT(A73&amp;ROW())=B95,INDIRECT(A96&amp;ROW())=C94),1,0)))</f>
        <v>0</v>
      </c>
      <c r="J102">
        <f ca="1">IF(AND(INDIRECT(A73&amp;ROW())=B95,INDIRECT(A96&amp;ROW())=C95),1,IF(AND(INDIRECT(A73&amp;ROW())=B95,INDIRECT(A96&amp;ROW())=C96),1,0))</f>
        <v>1</v>
      </c>
      <c r="K102">
        <f ca="1">DAYS360(INDIRECT(C68&amp;ROW()),TODAY())</f>
        <v>724</v>
      </c>
      <c r="L102">
        <f ca="1">DAYS360(INDIRECT(C69&amp;ROW()),TODAY())</f>
        <v>925</v>
      </c>
      <c r="M102" s="11">
        <f ca="1">HYPERLINK(CONCATENATE("https://bugzilla.houston.hp.com:1181/bugzilla/show_bug.cgi?id=",INDIRECT(C70&amp;ROW())),INDIRECT(C70&amp;ROW()))</f>
        <v>51197</v>
      </c>
      <c r="N102">
        <v>51197</v>
      </c>
      <c r="O102" t="s">
        <v>45</v>
      </c>
      <c r="P102" t="s">
        <v>429</v>
      </c>
      <c r="Q102" t="s">
        <v>25</v>
      </c>
      <c r="R102" t="s">
        <v>251</v>
      </c>
      <c r="S102" t="s">
        <v>45</v>
      </c>
      <c r="T102" t="s">
        <v>287</v>
      </c>
      <c r="U102" s="6">
        <v>42122.350775462961</v>
      </c>
      <c r="V102" t="s">
        <v>35</v>
      </c>
      <c r="W102" t="s">
        <v>17</v>
      </c>
      <c r="X102" s="6">
        <v>41919.538078703707</v>
      </c>
      <c r="Y102" t="s">
        <v>122</v>
      </c>
      <c r="AB102" t="s">
        <v>201</v>
      </c>
      <c r="AC102" t="s">
        <v>247</v>
      </c>
      <c r="AD102" t="s">
        <v>227</v>
      </c>
      <c r="AE102" t="s">
        <v>226</v>
      </c>
      <c r="AG102" t="s">
        <v>121</v>
      </c>
      <c r="AH102" t="s">
        <v>327</v>
      </c>
      <c r="AI102" t="s">
        <v>121</v>
      </c>
      <c r="AJ102" t="s">
        <v>716</v>
      </c>
      <c r="AK102" t="s">
        <v>121</v>
      </c>
      <c r="AL102" t="s">
        <v>121</v>
      </c>
      <c r="AM102" t="s">
        <v>121</v>
      </c>
    </row>
    <row r="103" spans="1:39" x14ac:dyDescent="0.3">
      <c r="I103">
        <f ca="1">IF(OR(INDIRECT(A73&amp;ROW())=B93,INDIRECT(A73&amp;ROW())=B94),1,IF(AND(INDIRECT(A73&amp;ROW())=B95,INDIRECT(A96&amp;ROW())=C93),1,IF(AND(INDIRECT(A73&amp;ROW())=B95,INDIRECT(A96&amp;ROW())=C94),1,0)))</f>
        <v>0</v>
      </c>
      <c r="J103">
        <f ca="1">IF(AND(INDIRECT(A73&amp;ROW())=B95,INDIRECT(A96&amp;ROW())=C95),1,IF(AND(INDIRECT(A73&amp;ROW())=B95,INDIRECT(A96&amp;ROW())=C96),1,0))</f>
        <v>0</v>
      </c>
      <c r="K103">
        <f ca="1">DAYS360(INDIRECT(C68&amp;ROW()),TODAY())</f>
        <v>721</v>
      </c>
      <c r="L103">
        <f ca="1">DAYS360(INDIRECT(C69&amp;ROW()),TODAY())</f>
        <v>924</v>
      </c>
      <c r="M103" s="11">
        <f ca="1">HYPERLINK(CONCATENATE("https://bugzilla.houston.hp.com:1181/bugzilla/show_bug.cgi?id=",INDIRECT(C70&amp;ROW())),INDIRECT(C70&amp;ROW()))</f>
        <v>51276</v>
      </c>
      <c r="N103">
        <v>51276</v>
      </c>
      <c r="O103" t="s">
        <v>1345</v>
      </c>
      <c r="P103" t="s">
        <v>428</v>
      </c>
      <c r="Q103" t="s">
        <v>16</v>
      </c>
      <c r="R103" t="s">
        <v>251</v>
      </c>
      <c r="S103" t="s">
        <v>294</v>
      </c>
      <c r="U103" s="6">
        <v>42125.446319444447</v>
      </c>
      <c r="V103" t="s">
        <v>18</v>
      </c>
      <c r="W103" t="s">
        <v>17</v>
      </c>
      <c r="X103" s="6">
        <v>41920.661064814813</v>
      </c>
      <c r="Y103" t="s">
        <v>122</v>
      </c>
      <c r="AB103" t="s">
        <v>201</v>
      </c>
      <c r="AC103" t="s">
        <v>247</v>
      </c>
      <c r="AD103" t="s">
        <v>222</v>
      </c>
      <c r="AE103" t="s">
        <v>225</v>
      </c>
      <c r="AG103" t="s">
        <v>121</v>
      </c>
      <c r="AH103" t="s">
        <v>327</v>
      </c>
      <c r="AI103" t="s">
        <v>121</v>
      </c>
      <c r="AJ103" t="s">
        <v>717</v>
      </c>
      <c r="AK103" t="s">
        <v>121</v>
      </c>
      <c r="AL103" t="s">
        <v>121</v>
      </c>
      <c r="AM103" t="s">
        <v>121</v>
      </c>
    </row>
    <row r="104" spans="1:39" x14ac:dyDescent="0.3">
      <c r="I104">
        <f ca="1">IF(OR(INDIRECT(A73&amp;ROW())=B93,INDIRECT(A73&amp;ROW())=B94),1,IF(AND(INDIRECT(A73&amp;ROW())=B95,INDIRECT(A96&amp;ROW())=C93),1,IF(AND(INDIRECT(A73&amp;ROW())=B95,INDIRECT(A96&amp;ROW())=C94),1,0)))</f>
        <v>0</v>
      </c>
      <c r="J104">
        <f ca="1">IF(AND(INDIRECT(A73&amp;ROW())=B95,INDIRECT(A96&amp;ROW())=C95),1,IF(AND(INDIRECT(A73&amp;ROW())=B95,INDIRECT(A96&amp;ROW())=C96),1,0))</f>
        <v>0</v>
      </c>
      <c r="K104">
        <f ca="1">DAYS360(INDIRECT(C68&amp;ROW()),TODAY())</f>
        <v>721</v>
      </c>
      <c r="L104">
        <f ca="1">DAYS360(INDIRECT(C69&amp;ROW()),TODAY())</f>
        <v>919</v>
      </c>
      <c r="M104" s="11">
        <f ca="1">HYPERLINK(CONCATENATE("https://bugzilla.houston.hp.com:1181/bugzilla/show_bug.cgi?id=",INDIRECT(C70&amp;ROW())),INDIRECT(C70&amp;ROW()))</f>
        <v>51523</v>
      </c>
      <c r="N104">
        <v>51523</v>
      </c>
      <c r="O104" t="s">
        <v>21</v>
      </c>
      <c r="P104" t="s">
        <v>427</v>
      </c>
      <c r="Q104" t="s">
        <v>16</v>
      </c>
      <c r="R104" t="s">
        <v>251</v>
      </c>
      <c r="S104" t="s">
        <v>22</v>
      </c>
      <c r="U104" s="6">
        <v>42125.447500000002</v>
      </c>
      <c r="V104" t="s">
        <v>18</v>
      </c>
      <c r="W104" t="s">
        <v>17</v>
      </c>
      <c r="X104" s="6">
        <v>41925.70585648148</v>
      </c>
      <c r="Y104" t="s">
        <v>122</v>
      </c>
      <c r="AB104" t="s">
        <v>201</v>
      </c>
      <c r="AC104" t="s">
        <v>247</v>
      </c>
      <c r="AD104" t="s">
        <v>222</v>
      </c>
      <c r="AE104" t="s">
        <v>225</v>
      </c>
      <c r="AG104" t="s">
        <v>121</v>
      </c>
      <c r="AH104" t="s">
        <v>327</v>
      </c>
      <c r="AI104" t="s">
        <v>121</v>
      </c>
      <c r="AJ104" t="s">
        <v>717</v>
      </c>
      <c r="AK104" t="s">
        <v>121</v>
      </c>
      <c r="AL104" t="s">
        <v>121</v>
      </c>
      <c r="AM104" t="s">
        <v>121</v>
      </c>
    </row>
    <row r="105" spans="1:39" x14ac:dyDescent="0.3">
      <c r="I105">
        <f ca="1">IF(OR(INDIRECT(A73&amp;ROW())=B93,INDIRECT(A73&amp;ROW())=B94),1,IF(AND(INDIRECT(A73&amp;ROW())=B95,INDIRECT(A96&amp;ROW())=C93),1,IF(AND(INDIRECT(A73&amp;ROW())=B95,INDIRECT(A96&amp;ROW())=C94),1,0)))</f>
        <v>0</v>
      </c>
      <c r="J105">
        <f ca="1">IF(AND(INDIRECT(A73&amp;ROW())=B95,INDIRECT(A96&amp;ROW())=C95),1,IF(AND(INDIRECT(A73&amp;ROW())=B95,INDIRECT(A96&amp;ROW())=C96),1,0))</f>
        <v>0</v>
      </c>
      <c r="K105">
        <f ca="1">DAYS360(INDIRECT(C68&amp;ROW()),TODAY())</f>
        <v>687</v>
      </c>
      <c r="L105">
        <f ca="1">DAYS360(INDIRECT(C69&amp;ROW()),TODAY())</f>
        <v>918</v>
      </c>
      <c r="M105" s="11">
        <f ca="1">HYPERLINK(CONCATENATE("https://bugzilla.houston.hp.com:1181/bugzilla/show_bug.cgi?id=",INDIRECT(C70&amp;ROW())),INDIRECT(C70&amp;ROW()))</f>
        <v>51564</v>
      </c>
      <c r="N105">
        <v>51564</v>
      </c>
      <c r="O105" t="s">
        <v>43</v>
      </c>
      <c r="P105" t="s">
        <v>1371</v>
      </c>
      <c r="Q105" t="s">
        <v>16</v>
      </c>
      <c r="R105" t="s">
        <v>1341</v>
      </c>
      <c r="S105" t="s">
        <v>43</v>
      </c>
      <c r="T105" t="s">
        <v>794</v>
      </c>
      <c r="U105" s="6">
        <v>42160.428252314814</v>
      </c>
      <c r="V105" t="s">
        <v>18</v>
      </c>
      <c r="W105" t="s">
        <v>295</v>
      </c>
      <c r="X105" s="6">
        <v>41926.417164351849</v>
      </c>
      <c r="Y105" t="s">
        <v>122</v>
      </c>
      <c r="AB105" t="s">
        <v>1372</v>
      </c>
      <c r="AC105" t="s">
        <v>1027</v>
      </c>
      <c r="AD105" t="s">
        <v>220</v>
      </c>
      <c r="AE105" t="s">
        <v>219</v>
      </c>
      <c r="AG105" t="s">
        <v>121</v>
      </c>
      <c r="AH105" t="s">
        <v>64</v>
      </c>
      <c r="AI105" t="s">
        <v>121</v>
      </c>
      <c r="AJ105" t="s">
        <v>717</v>
      </c>
      <c r="AK105" t="s">
        <v>121</v>
      </c>
      <c r="AL105" t="s">
        <v>121</v>
      </c>
      <c r="AM105" t="s">
        <v>121</v>
      </c>
    </row>
    <row r="106" spans="1:39" x14ac:dyDescent="0.3">
      <c r="I106">
        <f ca="1">IF(OR(INDIRECT(A73&amp;ROW())=B93,INDIRECT(A73&amp;ROW())=B94),1,IF(AND(INDIRECT(A73&amp;ROW())=B95,INDIRECT(A96&amp;ROW())=C93),1,IF(AND(INDIRECT(A73&amp;ROW())=B95,INDIRECT(A96&amp;ROW())=C94),1,0)))</f>
        <v>0</v>
      </c>
      <c r="J106">
        <f ca="1">IF(AND(INDIRECT(A73&amp;ROW())=B95,INDIRECT(A96&amp;ROW())=C95),1,IF(AND(INDIRECT(A73&amp;ROW())=B95,INDIRECT(A96&amp;ROW())=C96),1,0))</f>
        <v>0</v>
      </c>
      <c r="K106">
        <f ca="1">DAYS360(INDIRECT(C68&amp;ROW()),TODAY())</f>
        <v>710</v>
      </c>
      <c r="L106">
        <f ca="1">DAYS360(INDIRECT(C69&amp;ROW()),TODAY())</f>
        <v>918</v>
      </c>
      <c r="M106" s="11">
        <f ca="1">HYPERLINK(CONCATENATE("https://bugzilla.houston.hp.com:1181/bugzilla/show_bug.cgi?id=",INDIRECT(C70&amp;ROW())),INDIRECT(C70&amp;ROW()))</f>
        <v>51589</v>
      </c>
      <c r="N106">
        <v>51589</v>
      </c>
      <c r="O106" t="s">
        <v>66</v>
      </c>
      <c r="P106" t="s">
        <v>1050</v>
      </c>
      <c r="Q106" t="s">
        <v>16</v>
      </c>
      <c r="R106" t="s">
        <v>251</v>
      </c>
      <c r="S106" t="s">
        <v>66</v>
      </c>
      <c r="U106" s="6">
        <v>42136.635497685187</v>
      </c>
      <c r="V106" t="s">
        <v>18</v>
      </c>
      <c r="W106" t="s">
        <v>17</v>
      </c>
      <c r="X106" s="6">
        <v>41926.76421296296</v>
      </c>
      <c r="Y106" t="s">
        <v>255</v>
      </c>
      <c r="AB106" t="s">
        <v>201</v>
      </c>
      <c r="AC106" t="s">
        <v>247</v>
      </c>
      <c r="AD106" t="s">
        <v>220</v>
      </c>
      <c r="AE106" t="s">
        <v>219</v>
      </c>
      <c r="AG106" t="s">
        <v>121</v>
      </c>
      <c r="AH106" t="s">
        <v>327</v>
      </c>
      <c r="AI106" t="s">
        <v>121</v>
      </c>
      <c r="AJ106" t="s">
        <v>716</v>
      </c>
      <c r="AK106" t="s">
        <v>121</v>
      </c>
      <c r="AL106" t="s">
        <v>121</v>
      </c>
      <c r="AM106" t="s">
        <v>121</v>
      </c>
    </row>
    <row r="107" spans="1:39" x14ac:dyDescent="0.3">
      <c r="I107">
        <f ca="1">IF(OR(INDIRECT(A73&amp;ROW())=B93,INDIRECT(A73&amp;ROW())=B94),1,IF(AND(INDIRECT(A73&amp;ROW())=B95,INDIRECT(A96&amp;ROW())=C93),1,IF(AND(INDIRECT(A73&amp;ROW())=B95,INDIRECT(A96&amp;ROW())=C94),1,0)))</f>
        <v>0</v>
      </c>
      <c r="J107">
        <f ca="1">IF(AND(INDIRECT(A73&amp;ROW())=B95,INDIRECT(A96&amp;ROW())=C95),1,IF(AND(INDIRECT(A73&amp;ROW())=B95,INDIRECT(A96&amp;ROW())=C96),1,0))</f>
        <v>0</v>
      </c>
      <c r="K107">
        <f ca="1">DAYS360(INDIRECT(C68&amp;ROW()),TODAY())</f>
        <v>687</v>
      </c>
      <c r="L107">
        <f ca="1">DAYS360(INDIRECT(C69&amp;ROW()),TODAY())</f>
        <v>917</v>
      </c>
      <c r="M107" s="11">
        <f ca="1">HYPERLINK(CONCATENATE("https://bugzilla.houston.hp.com:1181/bugzilla/show_bug.cgi?id=",INDIRECT(C70&amp;ROW())),INDIRECT(C70&amp;ROW()))</f>
        <v>51642</v>
      </c>
      <c r="N107">
        <v>51642</v>
      </c>
      <c r="O107" t="s">
        <v>43</v>
      </c>
      <c r="P107" t="s">
        <v>1373</v>
      </c>
      <c r="Q107" t="s">
        <v>25</v>
      </c>
      <c r="R107" t="s">
        <v>1341</v>
      </c>
      <c r="S107" t="s">
        <v>43</v>
      </c>
      <c r="T107" t="s">
        <v>794</v>
      </c>
      <c r="U107" s="6">
        <v>42160.428298611114</v>
      </c>
      <c r="V107" t="s">
        <v>18</v>
      </c>
      <c r="W107" t="s">
        <v>322</v>
      </c>
      <c r="X107" s="6">
        <v>41927.495347222219</v>
      </c>
      <c r="Y107" t="s">
        <v>122</v>
      </c>
      <c r="AB107" t="s">
        <v>1372</v>
      </c>
      <c r="AC107" t="s">
        <v>1027</v>
      </c>
      <c r="AD107" t="s">
        <v>220</v>
      </c>
      <c r="AE107" t="s">
        <v>219</v>
      </c>
      <c r="AG107" t="s">
        <v>121</v>
      </c>
      <c r="AH107" t="s">
        <v>327</v>
      </c>
      <c r="AI107" t="s">
        <v>121</v>
      </c>
      <c r="AJ107" t="s">
        <v>717</v>
      </c>
      <c r="AK107" t="s">
        <v>121</v>
      </c>
      <c r="AL107" t="s">
        <v>121</v>
      </c>
      <c r="AM107" t="s">
        <v>121</v>
      </c>
    </row>
    <row r="108" spans="1:39" x14ac:dyDescent="0.3">
      <c r="I108">
        <f ca="1">IF(OR(INDIRECT(A73&amp;ROW())=B93,INDIRECT(A73&amp;ROW())=B94),1,IF(AND(INDIRECT(A73&amp;ROW())=B95,INDIRECT(A96&amp;ROW())=C93),1,IF(AND(INDIRECT(A73&amp;ROW())=B95,INDIRECT(A96&amp;ROW())=C94),1,0)))</f>
        <v>0</v>
      </c>
      <c r="J108">
        <f ca="1">IF(AND(INDIRECT(A73&amp;ROW())=B95,INDIRECT(A96&amp;ROW())=C95),1,IF(AND(INDIRECT(A73&amp;ROW())=B95,INDIRECT(A96&amp;ROW())=C96),1,0))</f>
        <v>0</v>
      </c>
      <c r="K108">
        <f ca="1">DAYS360(INDIRECT(C68&amp;ROW()),TODAY())</f>
        <v>688</v>
      </c>
      <c r="L108">
        <f ca="1">DAYS360(INDIRECT(C69&amp;ROW()),TODAY())</f>
        <v>912</v>
      </c>
      <c r="M108" s="11">
        <f ca="1">HYPERLINK(CONCATENATE("https://bugzilla.houston.hp.com:1181/bugzilla/show_bug.cgi?id=",INDIRECT(C70&amp;ROW())),INDIRECT(C70&amp;ROW()))</f>
        <v>51898</v>
      </c>
      <c r="N108">
        <v>51898</v>
      </c>
      <c r="O108" t="s">
        <v>56</v>
      </c>
      <c r="P108" t="s">
        <v>683</v>
      </c>
      <c r="Q108" t="s">
        <v>16</v>
      </c>
      <c r="R108" t="s">
        <v>251</v>
      </c>
      <c r="S108" t="s">
        <v>323</v>
      </c>
      <c r="U108" s="6">
        <v>42159.550162037034</v>
      </c>
      <c r="V108" t="s">
        <v>18</v>
      </c>
      <c r="W108" t="s">
        <v>17</v>
      </c>
      <c r="X108" s="6">
        <v>41932.742824074077</v>
      </c>
      <c r="Y108" t="s">
        <v>122</v>
      </c>
      <c r="AB108" t="s">
        <v>200</v>
      </c>
      <c r="AC108" t="s">
        <v>247</v>
      </c>
      <c r="AD108" t="s">
        <v>220</v>
      </c>
      <c r="AE108" t="s">
        <v>219</v>
      </c>
      <c r="AG108" t="s">
        <v>121</v>
      </c>
      <c r="AH108" t="s">
        <v>64</v>
      </c>
      <c r="AI108" t="s">
        <v>121</v>
      </c>
      <c r="AJ108" t="s">
        <v>716</v>
      </c>
      <c r="AK108" t="s">
        <v>121</v>
      </c>
      <c r="AL108" t="s">
        <v>121</v>
      </c>
      <c r="AM108" t="s">
        <v>121</v>
      </c>
    </row>
    <row r="109" spans="1:39" x14ac:dyDescent="0.3">
      <c r="I109">
        <f ca="1">IF(OR(INDIRECT(A73&amp;ROW())=B93,INDIRECT(A73&amp;ROW())=B94),1,IF(AND(INDIRECT(A73&amp;ROW())=B95,INDIRECT(A96&amp;ROW())=C93),1,IF(AND(INDIRECT(A73&amp;ROW())=B95,INDIRECT(A96&amp;ROW())=C94),1,0)))</f>
        <v>0</v>
      </c>
      <c r="J109">
        <f ca="1">IF(AND(INDIRECT(A73&amp;ROW())=B95,INDIRECT(A96&amp;ROW())=C95),1,IF(AND(INDIRECT(A73&amp;ROW())=B95,INDIRECT(A96&amp;ROW())=C96),1,0))</f>
        <v>0</v>
      </c>
      <c r="K109">
        <f ca="1">DAYS360(INDIRECT(C68&amp;ROW()),TODAY())</f>
        <v>612</v>
      </c>
      <c r="L109">
        <f ca="1">DAYS360(INDIRECT(C69&amp;ROW()),TODAY())</f>
        <v>908</v>
      </c>
      <c r="M109" s="11">
        <f ca="1">HYPERLINK(CONCATENATE("https://bugzilla.houston.hp.com:1181/bugzilla/show_bug.cgi?id=",INDIRECT(C70&amp;ROW())),INDIRECT(C70&amp;ROW()))</f>
        <v>52136</v>
      </c>
      <c r="N109">
        <v>52136</v>
      </c>
      <c r="O109" t="s">
        <v>43</v>
      </c>
      <c r="P109" t="s">
        <v>426</v>
      </c>
      <c r="Q109" t="s">
        <v>16</v>
      </c>
      <c r="R109" t="s">
        <v>251</v>
      </c>
      <c r="S109" t="s">
        <v>43</v>
      </c>
      <c r="U109" s="6">
        <v>42236.370717592596</v>
      </c>
      <c r="V109" t="s">
        <v>18</v>
      </c>
      <c r="W109" t="s">
        <v>17</v>
      </c>
      <c r="X109" s="6">
        <v>41936.676226851851</v>
      </c>
      <c r="Y109" t="s">
        <v>122</v>
      </c>
      <c r="AB109" t="s">
        <v>201</v>
      </c>
      <c r="AC109" t="s">
        <v>247</v>
      </c>
      <c r="AD109" t="s">
        <v>220</v>
      </c>
      <c r="AE109" t="s">
        <v>219</v>
      </c>
      <c r="AG109" t="s">
        <v>121</v>
      </c>
      <c r="AH109" t="s">
        <v>64</v>
      </c>
      <c r="AI109" t="s">
        <v>121</v>
      </c>
      <c r="AJ109" t="s">
        <v>717</v>
      </c>
      <c r="AK109" t="s">
        <v>121</v>
      </c>
      <c r="AL109" t="s">
        <v>121</v>
      </c>
      <c r="AM109" t="s">
        <v>121</v>
      </c>
    </row>
    <row r="110" spans="1:39" x14ac:dyDescent="0.3">
      <c r="I110">
        <f ca="1">IF(OR(INDIRECT(A73&amp;ROW())=B93,INDIRECT(A73&amp;ROW())=B94),1,IF(AND(INDIRECT(A73&amp;ROW())=B95,INDIRECT(A96&amp;ROW())=C93),1,IF(AND(INDIRECT(A73&amp;ROW())=B95,INDIRECT(A96&amp;ROW())=C94),1,0)))</f>
        <v>0</v>
      </c>
      <c r="J110">
        <f ca="1">IF(AND(INDIRECT(A73&amp;ROW())=B95,INDIRECT(A96&amp;ROW())=C95),1,IF(AND(INDIRECT(A73&amp;ROW())=B95,INDIRECT(A96&amp;ROW())=C96),1,0))</f>
        <v>0</v>
      </c>
      <c r="K110">
        <f ca="1">DAYS360(INDIRECT(C68&amp;ROW()),TODAY())</f>
        <v>721</v>
      </c>
      <c r="L110">
        <f ca="1">DAYS360(INDIRECT(C69&amp;ROW()),TODAY())</f>
        <v>904</v>
      </c>
      <c r="M110" s="11">
        <f ca="1">HYPERLINK(CONCATENATE("https://bugzilla.houston.hp.com:1181/bugzilla/show_bug.cgi?id=",INDIRECT(C70&amp;ROW())),INDIRECT(C70&amp;ROW()))</f>
        <v>52294</v>
      </c>
      <c r="N110">
        <v>52294</v>
      </c>
      <c r="O110" t="s">
        <v>56</v>
      </c>
      <c r="P110" t="s">
        <v>682</v>
      </c>
      <c r="Q110" t="s">
        <v>16</v>
      </c>
      <c r="R110" t="s">
        <v>251</v>
      </c>
      <c r="S110" t="s">
        <v>323</v>
      </c>
      <c r="T110" t="s">
        <v>353</v>
      </c>
      <c r="U110" s="6">
        <v>42125.447696759256</v>
      </c>
      <c r="V110" t="s">
        <v>18</v>
      </c>
      <c r="W110" t="s">
        <v>17</v>
      </c>
      <c r="X110" s="6">
        <v>41940.594814814816</v>
      </c>
      <c r="Y110" t="s">
        <v>122</v>
      </c>
      <c r="AB110" t="s">
        <v>200</v>
      </c>
      <c r="AC110" t="s">
        <v>247</v>
      </c>
      <c r="AD110" t="s">
        <v>220</v>
      </c>
      <c r="AE110" t="s">
        <v>219</v>
      </c>
      <c r="AG110" t="s">
        <v>121</v>
      </c>
      <c r="AH110" t="s">
        <v>64</v>
      </c>
      <c r="AI110" t="s">
        <v>121</v>
      </c>
      <c r="AJ110" t="s">
        <v>716</v>
      </c>
      <c r="AK110" t="s">
        <v>121</v>
      </c>
      <c r="AL110" t="s">
        <v>121</v>
      </c>
      <c r="AM110" t="s">
        <v>121</v>
      </c>
    </row>
    <row r="111" spans="1:39" x14ac:dyDescent="0.3">
      <c r="I111">
        <f ca="1">IF(OR(INDIRECT(A73&amp;ROW())=B93,INDIRECT(A73&amp;ROW())=B94),1,IF(AND(INDIRECT(A73&amp;ROW())=B95,INDIRECT(A96&amp;ROW())=C93),1,IF(AND(INDIRECT(A73&amp;ROW())=B95,INDIRECT(A96&amp;ROW())=C94),1,0)))</f>
        <v>0</v>
      </c>
      <c r="J111">
        <f ca="1">IF(AND(INDIRECT(A73&amp;ROW())=B95,INDIRECT(A96&amp;ROW())=C95),1,IF(AND(INDIRECT(A73&amp;ROW())=B95,INDIRECT(A96&amp;ROW())=C96),1,0))</f>
        <v>1</v>
      </c>
      <c r="K111">
        <f ca="1">DAYS360(INDIRECT(C68&amp;ROW()),TODAY())</f>
        <v>730</v>
      </c>
      <c r="L111">
        <f ca="1">DAYS360(INDIRECT(C69&amp;ROW()),TODAY())</f>
        <v>903</v>
      </c>
      <c r="M111" s="11">
        <f ca="1">HYPERLINK(CONCATENATE("https://bugzilla.houston.hp.com:1181/bugzilla/show_bug.cgi?id=",INDIRECT(C70&amp;ROW())),INDIRECT(C70&amp;ROW()))</f>
        <v>52318</v>
      </c>
      <c r="N111">
        <v>52318</v>
      </c>
      <c r="O111" t="s">
        <v>19</v>
      </c>
      <c r="P111" t="s">
        <v>492</v>
      </c>
      <c r="Q111" t="s">
        <v>25</v>
      </c>
      <c r="R111" t="s">
        <v>251</v>
      </c>
      <c r="S111" t="s">
        <v>354</v>
      </c>
      <c r="U111" s="6">
        <v>42116.542094907411</v>
      </c>
      <c r="V111" t="s">
        <v>18</v>
      </c>
      <c r="W111" t="s">
        <v>17</v>
      </c>
      <c r="X111" s="6">
        <v>41941.160590277781</v>
      </c>
      <c r="Y111" t="s">
        <v>255</v>
      </c>
      <c r="AB111" t="s">
        <v>201</v>
      </c>
      <c r="AC111" t="s">
        <v>247</v>
      </c>
      <c r="AD111" t="s">
        <v>220</v>
      </c>
      <c r="AE111" t="s">
        <v>219</v>
      </c>
      <c r="AG111" t="s">
        <v>121</v>
      </c>
      <c r="AH111" t="s">
        <v>64</v>
      </c>
      <c r="AI111" t="s">
        <v>121</v>
      </c>
      <c r="AJ111" t="s">
        <v>716</v>
      </c>
      <c r="AK111" t="s">
        <v>121</v>
      </c>
      <c r="AL111" t="s">
        <v>121</v>
      </c>
      <c r="AM111" t="s">
        <v>121</v>
      </c>
    </row>
    <row r="112" spans="1:39" x14ac:dyDescent="0.3">
      <c r="I112">
        <f ca="1">IF(OR(INDIRECT(A73&amp;ROW())=B93,INDIRECT(A73&amp;ROW())=B94),1,IF(AND(INDIRECT(A73&amp;ROW())=B95,INDIRECT(A96&amp;ROW())=C93),1,IF(AND(INDIRECT(A73&amp;ROW())=B95,INDIRECT(A96&amp;ROW())=C94),1,0)))</f>
        <v>0</v>
      </c>
      <c r="J112">
        <f ca="1">IF(AND(INDIRECT(A73&amp;ROW())=B95,INDIRECT(A96&amp;ROW())=C95),1,IF(AND(INDIRECT(A73&amp;ROW())=B95,INDIRECT(A96&amp;ROW())=C96),1,0))</f>
        <v>0</v>
      </c>
      <c r="K112">
        <f ca="1">DAYS360(INDIRECT(C68&amp;ROW()),TODAY())</f>
        <v>721</v>
      </c>
      <c r="L112">
        <f ca="1">DAYS360(INDIRECT(C69&amp;ROW()),TODAY())</f>
        <v>902</v>
      </c>
      <c r="M112" s="11">
        <f ca="1">HYPERLINK(CONCATENATE("https://bugzilla.houston.hp.com:1181/bugzilla/show_bug.cgi?id=",INDIRECT(C70&amp;ROW())),INDIRECT(C70&amp;ROW()))</f>
        <v>52390</v>
      </c>
      <c r="N112">
        <v>52390</v>
      </c>
      <c r="O112" t="s">
        <v>249</v>
      </c>
      <c r="P112" t="s">
        <v>681</v>
      </c>
      <c r="Q112" t="s">
        <v>16</v>
      </c>
      <c r="R112" t="s">
        <v>251</v>
      </c>
      <c r="S112" t="s">
        <v>36</v>
      </c>
      <c r="U112" s="6">
        <v>42125.447604166664</v>
      </c>
      <c r="V112" t="s">
        <v>18</v>
      </c>
      <c r="W112" t="s">
        <v>17</v>
      </c>
      <c r="X112" s="6">
        <v>41942.304166666669</v>
      </c>
      <c r="Y112" t="s">
        <v>122</v>
      </c>
      <c r="AB112" t="s">
        <v>201</v>
      </c>
      <c r="AC112" t="s">
        <v>247</v>
      </c>
      <c r="AD112" t="s">
        <v>220</v>
      </c>
      <c r="AE112" t="s">
        <v>223</v>
      </c>
      <c r="AG112" t="s">
        <v>121</v>
      </c>
      <c r="AH112" t="s">
        <v>64</v>
      </c>
      <c r="AI112" t="s">
        <v>121</v>
      </c>
      <c r="AJ112" t="s">
        <v>717</v>
      </c>
      <c r="AK112" t="s">
        <v>121</v>
      </c>
      <c r="AL112" t="s">
        <v>121</v>
      </c>
      <c r="AM112" t="s">
        <v>121</v>
      </c>
    </row>
    <row r="113" spans="9:39" x14ac:dyDescent="0.3">
      <c r="I113">
        <f ca="1">IF(OR(INDIRECT(A73&amp;ROW())=B93,INDIRECT(A73&amp;ROW())=B94),1,IF(AND(INDIRECT(A73&amp;ROW())=B95,INDIRECT(A96&amp;ROW())=C93),1,IF(AND(INDIRECT(A73&amp;ROW())=B95,INDIRECT(A96&amp;ROW())=C94),1,0)))</f>
        <v>0</v>
      </c>
      <c r="J113">
        <f ca="1">IF(AND(INDIRECT(A73&amp;ROW())=B95,INDIRECT(A96&amp;ROW())=C95),1,IF(AND(INDIRECT(A73&amp;ROW())=B95,INDIRECT(A96&amp;ROW())=C96),1,0))</f>
        <v>0</v>
      </c>
      <c r="K113">
        <f ca="1">DAYS360(INDIRECT(C68&amp;ROW()),TODAY())</f>
        <v>721</v>
      </c>
      <c r="L113">
        <f ca="1">DAYS360(INDIRECT(C69&amp;ROW()),TODAY())</f>
        <v>902</v>
      </c>
      <c r="M113" s="11">
        <f ca="1">HYPERLINK(CONCATENATE("https://bugzilla.houston.hp.com:1181/bugzilla/show_bug.cgi?id=",INDIRECT(C70&amp;ROW())),INDIRECT(C70&amp;ROW()))</f>
        <v>52482</v>
      </c>
      <c r="N113">
        <v>52482</v>
      </c>
      <c r="O113" t="s">
        <v>66</v>
      </c>
      <c r="P113" t="s">
        <v>743</v>
      </c>
      <c r="Q113" t="s">
        <v>16</v>
      </c>
      <c r="R113" t="s">
        <v>251</v>
      </c>
      <c r="S113" t="s">
        <v>323</v>
      </c>
      <c r="U113" s="6">
        <v>42125.447534722225</v>
      </c>
      <c r="V113" t="s">
        <v>18</v>
      </c>
      <c r="W113" t="s">
        <v>17</v>
      </c>
      <c r="X113" s="6">
        <v>41943.450358796297</v>
      </c>
      <c r="Y113" t="s">
        <v>122</v>
      </c>
      <c r="AB113" t="s">
        <v>201</v>
      </c>
      <c r="AC113" t="s">
        <v>247</v>
      </c>
      <c r="AD113" t="s">
        <v>220</v>
      </c>
      <c r="AE113" t="s">
        <v>219</v>
      </c>
      <c r="AG113" t="s">
        <v>121</v>
      </c>
      <c r="AH113" t="s">
        <v>327</v>
      </c>
      <c r="AI113" t="s">
        <v>121</v>
      </c>
      <c r="AJ113" t="s">
        <v>717</v>
      </c>
      <c r="AK113" t="s">
        <v>121</v>
      </c>
      <c r="AL113" t="s">
        <v>121</v>
      </c>
      <c r="AM113" t="s">
        <v>121</v>
      </c>
    </row>
    <row r="114" spans="9:39" x14ac:dyDescent="0.3">
      <c r="I114">
        <f ca="1">IF(OR(INDIRECT(A73&amp;ROW())=B93,INDIRECT(A73&amp;ROW())=B94),1,IF(AND(INDIRECT(A73&amp;ROW())=B95,INDIRECT(A96&amp;ROW())=C93),1,IF(AND(INDIRECT(A73&amp;ROW())=B95,INDIRECT(A96&amp;ROW())=C94),1,0)))</f>
        <v>1</v>
      </c>
      <c r="J114">
        <f ca="1">IF(AND(INDIRECT(A73&amp;ROW())=B95,INDIRECT(A96&amp;ROW())=C95),1,IF(AND(INDIRECT(A73&amp;ROW())=B95,INDIRECT(A96&amp;ROW())=C96),1,0))</f>
        <v>0</v>
      </c>
      <c r="K114">
        <f ca="1">DAYS360(INDIRECT(C68&amp;ROW()),TODAY())</f>
        <v>724</v>
      </c>
      <c r="L114">
        <f ca="1">DAYS360(INDIRECT(C69&amp;ROW()),TODAY())</f>
        <v>899</v>
      </c>
      <c r="M114" s="11">
        <f ca="1">HYPERLINK(CONCATENATE("https://bugzilla.houston.hp.com:1181/bugzilla/show_bug.cgi?id=",INDIRECT(C70&amp;ROW())),INDIRECT(C70&amp;ROW()))</f>
        <v>52549</v>
      </c>
      <c r="N114">
        <v>52549</v>
      </c>
      <c r="O114" t="s">
        <v>188</v>
      </c>
      <c r="P114" t="s">
        <v>742</v>
      </c>
      <c r="Q114" t="s">
        <v>25</v>
      </c>
      <c r="R114" t="s">
        <v>251</v>
      </c>
      <c r="S114" t="s">
        <v>44</v>
      </c>
      <c r="U114" s="6">
        <v>42122.35260416667</v>
      </c>
      <c r="V114" t="s">
        <v>18</v>
      </c>
      <c r="W114" t="s">
        <v>17</v>
      </c>
      <c r="X114" s="6">
        <v>41946.398634259262</v>
      </c>
      <c r="Y114" t="s">
        <v>119</v>
      </c>
      <c r="AB114" t="s">
        <v>200</v>
      </c>
      <c r="AC114" t="s">
        <v>121</v>
      </c>
      <c r="AD114" t="s">
        <v>222</v>
      </c>
      <c r="AE114" t="s">
        <v>233</v>
      </c>
      <c r="AF114" s="13">
        <v>41878</v>
      </c>
      <c r="AG114" t="s">
        <v>121</v>
      </c>
      <c r="AH114" t="s">
        <v>64</v>
      </c>
      <c r="AI114" t="s">
        <v>362</v>
      </c>
      <c r="AJ114" t="s">
        <v>715</v>
      </c>
      <c r="AK114" t="s">
        <v>121</v>
      </c>
      <c r="AL114" t="s">
        <v>121</v>
      </c>
      <c r="AM114" t="s">
        <v>121</v>
      </c>
    </row>
    <row r="115" spans="9:39" x14ac:dyDescent="0.3">
      <c r="I115">
        <f ca="1">IF(OR(INDIRECT(A73&amp;ROW())=B93,INDIRECT(A73&amp;ROW())=B94),1,IF(AND(INDIRECT(A73&amp;ROW())=B95,INDIRECT(A96&amp;ROW())=C93),1,IF(AND(INDIRECT(A73&amp;ROW())=B95,INDIRECT(A96&amp;ROW())=C94),1,0)))</f>
        <v>1</v>
      </c>
      <c r="J115">
        <f ca="1">IF(AND(INDIRECT(A73&amp;ROW())=B95,INDIRECT(A96&amp;ROW())=C95),1,IF(AND(INDIRECT(A73&amp;ROW())=B95,INDIRECT(A96&amp;ROW())=C96),1,0))</f>
        <v>0</v>
      </c>
      <c r="K115">
        <f ca="1">DAYS360(INDIRECT(C68&amp;ROW()),TODAY())</f>
        <v>730</v>
      </c>
      <c r="L115">
        <f ca="1">DAYS360(INDIRECT(C69&amp;ROW()),TODAY())</f>
        <v>899</v>
      </c>
      <c r="M115" s="11">
        <f ca="1">HYPERLINK(CONCATENATE("https://bugzilla.houston.hp.com:1181/bugzilla/show_bug.cgi?id=",INDIRECT(C70&amp;ROW())),INDIRECT(C70&amp;ROW()))</f>
        <v>52552</v>
      </c>
      <c r="N115">
        <v>52552</v>
      </c>
      <c r="O115" t="s">
        <v>50</v>
      </c>
      <c r="P115" t="s">
        <v>425</v>
      </c>
      <c r="Q115" t="s">
        <v>25</v>
      </c>
      <c r="R115" t="s">
        <v>251</v>
      </c>
      <c r="S115" t="s">
        <v>44</v>
      </c>
      <c r="T115" t="s">
        <v>782</v>
      </c>
      <c r="U115" s="6">
        <v>42116.454432870371</v>
      </c>
      <c r="V115" t="s">
        <v>18</v>
      </c>
      <c r="W115" t="s">
        <v>17</v>
      </c>
      <c r="X115" s="6">
        <v>41946.424259259256</v>
      </c>
      <c r="Y115" t="s">
        <v>119</v>
      </c>
      <c r="AB115" t="s">
        <v>200</v>
      </c>
      <c r="AC115" t="s">
        <v>121</v>
      </c>
      <c r="AD115" t="s">
        <v>227</v>
      </c>
      <c r="AE115" t="s">
        <v>226</v>
      </c>
      <c r="AG115" t="s">
        <v>121</v>
      </c>
      <c r="AH115" t="s">
        <v>327</v>
      </c>
      <c r="AI115" t="s">
        <v>362</v>
      </c>
      <c r="AJ115" t="s">
        <v>715</v>
      </c>
      <c r="AK115" t="s">
        <v>121</v>
      </c>
      <c r="AL115" t="s">
        <v>121</v>
      </c>
      <c r="AM115" t="s">
        <v>121</v>
      </c>
    </row>
    <row r="116" spans="9:39" x14ac:dyDescent="0.3">
      <c r="I116">
        <f ca="1">IF(OR(INDIRECT(A73&amp;ROW())=B93,INDIRECT(A73&amp;ROW())=B94),1,IF(AND(INDIRECT(A73&amp;ROW())=B95,INDIRECT(A96&amp;ROW())=C93),1,IF(AND(INDIRECT(A73&amp;ROW())=B95,INDIRECT(A96&amp;ROW())=C94),1,0)))</f>
        <v>0</v>
      </c>
      <c r="J116">
        <f ca="1">IF(AND(INDIRECT(A73&amp;ROW())=B95,INDIRECT(A96&amp;ROW())=C95),1,IF(AND(INDIRECT(A73&amp;ROW())=B95,INDIRECT(A96&amp;ROW())=C96),1,0))</f>
        <v>1</v>
      </c>
      <c r="K116">
        <f ca="1">DAYS360(INDIRECT(C68&amp;ROW()),TODAY())</f>
        <v>730</v>
      </c>
      <c r="L116">
        <f ca="1">DAYS360(INDIRECT(C69&amp;ROW()),TODAY())</f>
        <v>899</v>
      </c>
      <c r="M116" s="11">
        <f ca="1">HYPERLINK(CONCATENATE("https://bugzilla.houston.hp.com:1181/bugzilla/show_bug.cgi?id=",INDIRECT(C70&amp;ROW())),INDIRECT(C70&amp;ROW()))</f>
        <v>52558</v>
      </c>
      <c r="N116">
        <v>52558</v>
      </c>
      <c r="O116" t="s">
        <v>66</v>
      </c>
      <c r="P116" t="s">
        <v>473</v>
      </c>
      <c r="Q116" t="s">
        <v>25</v>
      </c>
      <c r="R116" t="s">
        <v>251</v>
      </c>
      <c r="S116" t="s">
        <v>44</v>
      </c>
      <c r="U116" s="6">
        <v>42116.542615740742</v>
      </c>
      <c r="V116" t="s">
        <v>18</v>
      </c>
      <c r="W116" t="s">
        <v>17</v>
      </c>
      <c r="X116" s="6">
        <v>41946.490312499998</v>
      </c>
      <c r="Y116" t="s">
        <v>119</v>
      </c>
      <c r="AB116" t="s">
        <v>201</v>
      </c>
      <c r="AC116" t="s">
        <v>121</v>
      </c>
      <c r="AD116" t="s">
        <v>220</v>
      </c>
      <c r="AE116" t="s">
        <v>219</v>
      </c>
      <c r="AF116" s="13">
        <v>41901</v>
      </c>
      <c r="AG116" t="s">
        <v>121</v>
      </c>
      <c r="AH116" t="s">
        <v>64</v>
      </c>
      <c r="AI116" t="s">
        <v>1328</v>
      </c>
      <c r="AJ116" t="s">
        <v>716</v>
      </c>
      <c r="AK116" t="s">
        <v>121</v>
      </c>
      <c r="AL116" t="s">
        <v>121</v>
      </c>
      <c r="AM116" t="s">
        <v>121</v>
      </c>
    </row>
    <row r="117" spans="9:39" x14ac:dyDescent="0.3">
      <c r="I117">
        <f ca="1">IF(OR(INDIRECT(A73&amp;ROW())=B93,INDIRECT(A73&amp;ROW())=B94),1,IF(AND(INDIRECT(A73&amp;ROW())=B95,INDIRECT(A96&amp;ROW())=C93),1,IF(AND(INDIRECT(A73&amp;ROW())=B95,INDIRECT(A96&amp;ROW())=C94),1,0)))</f>
        <v>0</v>
      </c>
      <c r="J117">
        <f ca="1">IF(AND(INDIRECT(A73&amp;ROW())=B95,INDIRECT(A96&amp;ROW())=C95),1,IF(AND(INDIRECT(A73&amp;ROW())=B95,INDIRECT(A96&amp;ROW())=C96),1,0))</f>
        <v>0</v>
      </c>
      <c r="K117">
        <f ca="1">DAYS360(INDIRECT(C68&amp;ROW()),TODAY())</f>
        <v>730</v>
      </c>
      <c r="L117">
        <f ca="1">DAYS360(INDIRECT(C69&amp;ROW()),TODAY())</f>
        <v>898</v>
      </c>
      <c r="M117" s="11">
        <f ca="1">HYPERLINK(CONCATENATE("https://bugzilla.houston.hp.com:1181/bugzilla/show_bug.cgi?id=",INDIRECT(C70&amp;ROW())),INDIRECT(C70&amp;ROW()))</f>
        <v>52603</v>
      </c>
      <c r="N117">
        <v>52603</v>
      </c>
      <c r="O117" t="s">
        <v>56</v>
      </c>
      <c r="P117" t="s">
        <v>491</v>
      </c>
      <c r="Q117" t="s">
        <v>16</v>
      </c>
      <c r="R117" t="s">
        <v>251</v>
      </c>
      <c r="S117" t="s">
        <v>155</v>
      </c>
      <c r="U117" s="6">
        <v>42116.542743055557</v>
      </c>
      <c r="V117" t="s">
        <v>40</v>
      </c>
      <c r="W117" t="s">
        <v>17</v>
      </c>
      <c r="X117" s="6">
        <v>41947.299305555556</v>
      </c>
      <c r="Y117" t="s">
        <v>255</v>
      </c>
      <c r="AB117" t="s">
        <v>199</v>
      </c>
      <c r="AC117" t="s">
        <v>247</v>
      </c>
      <c r="AD117" t="s">
        <v>220</v>
      </c>
      <c r="AE117" t="s">
        <v>219</v>
      </c>
      <c r="AG117" t="s">
        <v>121</v>
      </c>
      <c r="AH117" t="s">
        <v>327</v>
      </c>
      <c r="AI117" t="s">
        <v>121</v>
      </c>
      <c r="AJ117" t="s">
        <v>716</v>
      </c>
      <c r="AK117" t="s">
        <v>121</v>
      </c>
      <c r="AL117" t="s">
        <v>121</v>
      </c>
      <c r="AM117" t="s">
        <v>121</v>
      </c>
    </row>
    <row r="118" spans="9:39" x14ac:dyDescent="0.3">
      <c r="I118">
        <f ca="1">IF(OR(INDIRECT(A73&amp;ROW())=B93,INDIRECT(A73&amp;ROW())=B94),1,IF(AND(INDIRECT(A73&amp;ROW())=B95,INDIRECT(A96&amp;ROW())=C93),1,IF(AND(INDIRECT(A73&amp;ROW())=B95,INDIRECT(A96&amp;ROW())=C94),1,0)))</f>
        <v>0</v>
      </c>
      <c r="J118">
        <f ca="1">IF(AND(INDIRECT(A73&amp;ROW())=B95,INDIRECT(A96&amp;ROW())=C95),1,IF(AND(INDIRECT(A73&amp;ROW())=B95,INDIRECT(A96&amp;ROW())=C96),1,0))</f>
        <v>0</v>
      </c>
      <c r="K118">
        <f ca="1">DAYS360(INDIRECT(C68&amp;ROW()),TODAY())</f>
        <v>669</v>
      </c>
      <c r="L118">
        <f ca="1">DAYS360(INDIRECT(C69&amp;ROW()),TODAY())</f>
        <v>898</v>
      </c>
      <c r="M118" s="11">
        <f ca="1">HYPERLINK(CONCATENATE("https://bugzilla.houston.hp.com:1181/bugzilla/show_bug.cgi?id=",INDIRECT(C70&amp;ROW())),INDIRECT(C70&amp;ROW()))</f>
        <v>52633</v>
      </c>
      <c r="N118">
        <v>52633</v>
      </c>
      <c r="O118" t="s">
        <v>55</v>
      </c>
      <c r="P118" t="s">
        <v>741</v>
      </c>
      <c r="Q118" t="s">
        <v>16</v>
      </c>
      <c r="R118" t="s">
        <v>251</v>
      </c>
      <c r="S118" t="s">
        <v>365</v>
      </c>
      <c r="U118" s="6">
        <v>42178.474108796298</v>
      </c>
      <c r="V118" t="s">
        <v>35</v>
      </c>
      <c r="W118" t="s">
        <v>17</v>
      </c>
      <c r="X118" s="6">
        <v>41947.458136574074</v>
      </c>
      <c r="Y118" t="s">
        <v>246</v>
      </c>
      <c r="AB118" t="s">
        <v>200</v>
      </c>
      <c r="AC118" t="s">
        <v>247</v>
      </c>
      <c r="AD118" t="s">
        <v>220</v>
      </c>
      <c r="AE118" t="s">
        <v>219</v>
      </c>
      <c r="AG118" t="s">
        <v>121</v>
      </c>
      <c r="AH118" t="s">
        <v>327</v>
      </c>
      <c r="AI118" t="s">
        <v>121</v>
      </c>
      <c r="AJ118" t="s">
        <v>716</v>
      </c>
      <c r="AK118" t="s">
        <v>121</v>
      </c>
      <c r="AL118" t="s">
        <v>121</v>
      </c>
      <c r="AM118" t="s">
        <v>121</v>
      </c>
    </row>
    <row r="119" spans="9:39" x14ac:dyDescent="0.3">
      <c r="I119">
        <f ca="1">IF(OR(INDIRECT(A73&amp;ROW())=B93,INDIRECT(A73&amp;ROW())=B94),1,IF(AND(INDIRECT(A73&amp;ROW())=B95,INDIRECT(A96&amp;ROW())=C93),1,IF(AND(INDIRECT(A73&amp;ROW())=B95,INDIRECT(A96&amp;ROW())=C94),1,0)))</f>
        <v>0</v>
      </c>
      <c r="J119">
        <f ca="1">IF(AND(INDIRECT(A73&amp;ROW())=B95,INDIRECT(A96&amp;ROW())=C95),1,IF(AND(INDIRECT(A73&amp;ROW())=B95,INDIRECT(A96&amp;ROW())=C96),1,0))</f>
        <v>0</v>
      </c>
      <c r="K119">
        <f ca="1">DAYS360(INDIRECT(C68&amp;ROW()),TODAY())</f>
        <v>714</v>
      </c>
      <c r="L119">
        <f ca="1">DAYS360(INDIRECT(C69&amp;ROW()),TODAY())</f>
        <v>898</v>
      </c>
      <c r="M119" s="11">
        <f ca="1">HYPERLINK(CONCATENATE("https://bugzilla.houston.hp.com:1181/bugzilla/show_bug.cgi?id=",INDIRECT(C70&amp;ROW())),INDIRECT(C70&amp;ROW()))</f>
        <v>52651</v>
      </c>
      <c r="N119">
        <v>52651</v>
      </c>
      <c r="O119" t="s">
        <v>56</v>
      </c>
      <c r="P119" t="s">
        <v>929</v>
      </c>
      <c r="Q119" t="s">
        <v>16</v>
      </c>
      <c r="R119" t="s">
        <v>251</v>
      </c>
      <c r="S119" t="s">
        <v>292</v>
      </c>
      <c r="T119" t="s">
        <v>842</v>
      </c>
      <c r="U119" s="6">
        <v>42132.358182870368</v>
      </c>
      <c r="V119" t="s">
        <v>18</v>
      </c>
      <c r="W119" t="s">
        <v>17</v>
      </c>
      <c r="X119" s="6">
        <v>41947.710601851853</v>
      </c>
      <c r="Y119" t="s">
        <v>785</v>
      </c>
      <c r="AB119" t="s">
        <v>200</v>
      </c>
      <c r="AC119" t="s">
        <v>247</v>
      </c>
      <c r="AD119" t="s">
        <v>220</v>
      </c>
      <c r="AE119" t="s">
        <v>219</v>
      </c>
      <c r="AG119" t="s">
        <v>121</v>
      </c>
      <c r="AH119" t="s">
        <v>327</v>
      </c>
      <c r="AI119" t="s">
        <v>121</v>
      </c>
      <c r="AJ119" t="s">
        <v>716</v>
      </c>
      <c r="AK119" t="s">
        <v>121</v>
      </c>
      <c r="AL119" t="s">
        <v>121</v>
      </c>
      <c r="AM119" t="s">
        <v>121</v>
      </c>
    </row>
    <row r="120" spans="9:39" x14ac:dyDescent="0.3">
      <c r="I120">
        <f ca="1">IF(OR(INDIRECT(A73&amp;ROW())=B93,INDIRECT(A73&amp;ROW())=B94),1,IF(AND(INDIRECT(A73&amp;ROW())=B95,INDIRECT(A96&amp;ROW())=C93),1,IF(AND(INDIRECT(A73&amp;ROW())=B95,INDIRECT(A96&amp;ROW())=C94),1,0)))</f>
        <v>1</v>
      </c>
      <c r="J120">
        <f ca="1">IF(AND(INDIRECT(A73&amp;ROW())=B95,INDIRECT(A96&amp;ROW())=C95),1,IF(AND(INDIRECT(A73&amp;ROW())=B95,INDIRECT(A96&amp;ROW())=C96),1,0))</f>
        <v>0</v>
      </c>
      <c r="K120">
        <f ca="1">DAYS360(INDIRECT(C68&amp;ROW()),TODAY())</f>
        <v>730</v>
      </c>
      <c r="L120">
        <f ca="1">DAYS360(INDIRECT(C69&amp;ROW()),TODAY())</f>
        <v>897</v>
      </c>
      <c r="M120" s="11">
        <f ca="1">HYPERLINK(CONCATENATE("https://bugzilla.houston.hp.com:1181/bugzilla/show_bug.cgi?id=",INDIRECT(C70&amp;ROW())),INDIRECT(C70&amp;ROW()))</f>
        <v>52678</v>
      </c>
      <c r="N120">
        <v>52678</v>
      </c>
      <c r="O120" t="s">
        <v>298</v>
      </c>
      <c r="P120" t="s">
        <v>470</v>
      </c>
      <c r="Q120" t="s">
        <v>39</v>
      </c>
      <c r="R120" t="s">
        <v>251</v>
      </c>
      <c r="S120" t="s">
        <v>321</v>
      </c>
      <c r="U120" s="6">
        <v>42116.453344907408</v>
      </c>
      <c r="V120" t="s">
        <v>18</v>
      </c>
      <c r="W120" t="s">
        <v>17</v>
      </c>
      <c r="X120" s="6">
        <v>41948.176805555559</v>
      </c>
      <c r="Y120" t="s">
        <v>119</v>
      </c>
      <c r="AB120" t="s">
        <v>201</v>
      </c>
      <c r="AC120" t="s">
        <v>247</v>
      </c>
      <c r="AD120" t="s">
        <v>227</v>
      </c>
      <c r="AE120" t="s">
        <v>231</v>
      </c>
      <c r="AG120" t="s">
        <v>121</v>
      </c>
      <c r="AH120" t="s">
        <v>327</v>
      </c>
      <c r="AI120" t="s">
        <v>121</v>
      </c>
      <c r="AJ120" t="s">
        <v>715</v>
      </c>
      <c r="AK120" t="s">
        <v>121</v>
      </c>
      <c r="AL120" t="s">
        <v>121</v>
      </c>
      <c r="AM120" t="s">
        <v>121</v>
      </c>
    </row>
    <row r="121" spans="9:39" x14ac:dyDescent="0.3">
      <c r="I121">
        <f ca="1">IF(OR(INDIRECT(A73&amp;ROW())=B93,INDIRECT(A73&amp;ROW())=B94),1,IF(AND(INDIRECT(A73&amp;ROW())=B95,INDIRECT(A96&amp;ROW())=C93),1,IF(AND(INDIRECT(A73&amp;ROW())=B95,INDIRECT(A96&amp;ROW())=C94),1,0)))</f>
        <v>0</v>
      </c>
      <c r="J121">
        <f ca="1">IF(AND(INDIRECT(A73&amp;ROW())=B95,INDIRECT(A96&amp;ROW())=C95),1,IF(AND(INDIRECT(A73&amp;ROW())=B95,INDIRECT(A96&amp;ROW())=C96),1,0))</f>
        <v>0</v>
      </c>
      <c r="K121">
        <f ca="1">DAYS360(INDIRECT(C68&amp;ROW()),TODAY())</f>
        <v>721</v>
      </c>
      <c r="L121">
        <f ca="1">DAYS360(INDIRECT(C69&amp;ROW()),TODAY())</f>
        <v>897</v>
      </c>
      <c r="M121" s="11">
        <f ca="1">HYPERLINK(CONCATENATE("https://bugzilla.houston.hp.com:1181/bugzilla/show_bug.cgi?id=",INDIRECT(C70&amp;ROW())),INDIRECT(C70&amp;ROW()))</f>
        <v>52707</v>
      </c>
      <c r="N121">
        <v>52707</v>
      </c>
      <c r="O121" t="s">
        <v>241</v>
      </c>
      <c r="P121" t="s">
        <v>490</v>
      </c>
      <c r="Q121" t="s">
        <v>16</v>
      </c>
      <c r="R121" t="s">
        <v>251</v>
      </c>
      <c r="S121" t="s">
        <v>367</v>
      </c>
      <c r="T121" t="s">
        <v>782</v>
      </c>
      <c r="U121" s="6">
        <v>42125.653182870374</v>
      </c>
      <c r="V121" t="s">
        <v>40</v>
      </c>
      <c r="W121" t="s">
        <v>17</v>
      </c>
      <c r="X121" s="6">
        <v>41948.442997685182</v>
      </c>
      <c r="Y121" t="s">
        <v>245</v>
      </c>
      <c r="AB121" t="s">
        <v>201</v>
      </c>
      <c r="AC121" t="s">
        <v>247</v>
      </c>
      <c r="AD121" t="s">
        <v>227</v>
      </c>
      <c r="AE121" t="s">
        <v>237</v>
      </c>
      <c r="AG121" t="s">
        <v>121</v>
      </c>
      <c r="AH121" t="s">
        <v>327</v>
      </c>
      <c r="AI121" t="s">
        <v>121</v>
      </c>
      <c r="AJ121" t="s">
        <v>717</v>
      </c>
      <c r="AK121" t="s">
        <v>121</v>
      </c>
      <c r="AL121" t="s">
        <v>121</v>
      </c>
      <c r="AM121" t="s">
        <v>121</v>
      </c>
    </row>
    <row r="122" spans="9:39" x14ac:dyDescent="0.3">
      <c r="I122">
        <f ca="1">IF(OR(INDIRECT(A73&amp;ROW())=B93,INDIRECT(A73&amp;ROW())=B94),1,IF(AND(INDIRECT(A73&amp;ROW())=B95,INDIRECT(A96&amp;ROW())=C93),1,IF(AND(INDIRECT(A73&amp;ROW())=B95,INDIRECT(A96&amp;ROW())=C94),1,0)))</f>
        <v>0</v>
      </c>
      <c r="J122">
        <f ca="1">IF(AND(INDIRECT(A73&amp;ROW())=B95,INDIRECT(A96&amp;ROW())=C95),1,IF(AND(INDIRECT(A73&amp;ROW())=B95,INDIRECT(A96&amp;ROW())=C96),1,0))</f>
        <v>1</v>
      </c>
      <c r="K122">
        <f ca="1">DAYS360(INDIRECT(C68&amp;ROW()),TODAY())</f>
        <v>730</v>
      </c>
      <c r="L122">
        <f ca="1">DAYS360(INDIRECT(C69&amp;ROW()),TODAY())</f>
        <v>896</v>
      </c>
      <c r="M122" s="11">
        <f ca="1">HYPERLINK(CONCATENATE("https://bugzilla.houston.hp.com:1181/bugzilla/show_bug.cgi?id=",INDIRECT(C70&amp;ROW())),INDIRECT(C70&amp;ROW()))</f>
        <v>52807</v>
      </c>
      <c r="N122">
        <v>52807</v>
      </c>
      <c r="O122" t="s">
        <v>1345</v>
      </c>
      <c r="P122" t="s">
        <v>680</v>
      </c>
      <c r="Q122" t="s">
        <v>25</v>
      </c>
      <c r="R122" t="s">
        <v>251</v>
      </c>
      <c r="S122" t="s">
        <v>28</v>
      </c>
      <c r="U122" s="6">
        <v>42116.543541666666</v>
      </c>
      <c r="V122" t="s">
        <v>18</v>
      </c>
      <c r="W122" t="s">
        <v>17</v>
      </c>
      <c r="X122" s="6">
        <v>41949.735173611109</v>
      </c>
      <c r="Y122" t="s">
        <v>246</v>
      </c>
      <c r="AB122" t="s">
        <v>201</v>
      </c>
      <c r="AC122" t="s">
        <v>247</v>
      </c>
      <c r="AD122" t="s">
        <v>222</v>
      </c>
      <c r="AE122" t="s">
        <v>221</v>
      </c>
      <c r="AG122" t="s">
        <v>121</v>
      </c>
      <c r="AH122" t="s">
        <v>327</v>
      </c>
      <c r="AI122" t="s">
        <v>121</v>
      </c>
      <c r="AJ122" t="s">
        <v>716</v>
      </c>
      <c r="AK122" t="s">
        <v>121</v>
      </c>
      <c r="AL122" t="s">
        <v>121</v>
      </c>
      <c r="AM122" t="s">
        <v>121</v>
      </c>
    </row>
    <row r="123" spans="9:39" x14ac:dyDescent="0.3">
      <c r="I123">
        <f ca="1">IF(OR(INDIRECT(A73&amp;ROW())=B93,INDIRECT(A73&amp;ROW())=B94),1,IF(AND(INDIRECT(A73&amp;ROW())=B95,INDIRECT(A96&amp;ROW())=C93),1,IF(AND(INDIRECT(A73&amp;ROW())=B95,INDIRECT(A96&amp;ROW())=C94),1,0)))</f>
        <v>0</v>
      </c>
      <c r="J123">
        <f ca="1">IF(AND(INDIRECT(A73&amp;ROW())=B95,INDIRECT(A96&amp;ROW())=C95),1,IF(AND(INDIRECT(A73&amp;ROW())=B95,INDIRECT(A96&amp;ROW())=C96),1,0))</f>
        <v>1</v>
      </c>
      <c r="K123">
        <f ca="1">DAYS360(INDIRECT(C68&amp;ROW()),TODAY())</f>
        <v>730</v>
      </c>
      <c r="L123">
        <f ca="1">DAYS360(INDIRECT(C69&amp;ROW()),TODAY())</f>
        <v>896</v>
      </c>
      <c r="M123" s="11">
        <f ca="1">HYPERLINK(CONCATENATE("https://bugzilla.houston.hp.com:1181/bugzilla/show_bug.cgi?id=",INDIRECT(C70&amp;ROW())),INDIRECT(C70&amp;ROW()))</f>
        <v>52811</v>
      </c>
      <c r="N123">
        <v>52811</v>
      </c>
      <c r="O123" t="s">
        <v>1345</v>
      </c>
      <c r="P123" t="s">
        <v>679</v>
      </c>
      <c r="Q123" t="s">
        <v>25</v>
      </c>
      <c r="R123" t="s">
        <v>251</v>
      </c>
      <c r="S123" t="s">
        <v>1357</v>
      </c>
      <c r="U123" s="6">
        <v>42116.543622685182</v>
      </c>
      <c r="V123" t="s">
        <v>18</v>
      </c>
      <c r="W123" t="s">
        <v>17</v>
      </c>
      <c r="X123" s="6">
        <v>41949.822881944441</v>
      </c>
      <c r="Y123" t="s">
        <v>246</v>
      </c>
      <c r="AB123" t="s">
        <v>201</v>
      </c>
      <c r="AC123" t="s">
        <v>247</v>
      </c>
      <c r="AD123" t="s">
        <v>222</v>
      </c>
      <c r="AE123" t="s">
        <v>221</v>
      </c>
      <c r="AG123" t="s">
        <v>121</v>
      </c>
      <c r="AH123" t="s">
        <v>327</v>
      </c>
      <c r="AI123" t="s">
        <v>121</v>
      </c>
      <c r="AJ123" t="s">
        <v>716</v>
      </c>
      <c r="AK123" t="s">
        <v>121</v>
      </c>
      <c r="AL123" t="s">
        <v>121</v>
      </c>
      <c r="AM123" t="s">
        <v>121</v>
      </c>
    </row>
    <row r="124" spans="9:39" x14ac:dyDescent="0.3">
      <c r="I124">
        <f ca="1">IF(OR(INDIRECT(A73&amp;ROW())=B93,INDIRECT(A73&amp;ROW())=B94),1,IF(AND(INDIRECT(A73&amp;ROW())=B95,INDIRECT(A96&amp;ROW())=C93),1,IF(AND(INDIRECT(A73&amp;ROW())=B95,INDIRECT(A96&amp;ROW())=C94),1,0)))</f>
        <v>0</v>
      </c>
      <c r="J124">
        <f ca="1">IF(AND(INDIRECT(A73&amp;ROW())=B95,INDIRECT(A96&amp;ROW())=C95),1,IF(AND(INDIRECT(A73&amp;ROW())=B95,INDIRECT(A96&amp;ROW())=C96),1,0))</f>
        <v>0</v>
      </c>
      <c r="K124">
        <f ca="1">DAYS360(INDIRECT(C68&amp;ROW()),TODAY())</f>
        <v>721</v>
      </c>
      <c r="L124">
        <f ca="1">DAYS360(INDIRECT(C69&amp;ROW()),TODAY())</f>
        <v>895</v>
      </c>
      <c r="M124" s="11">
        <f ca="1">HYPERLINK(CONCATENATE("https://bugzilla.houston.hp.com:1181/bugzilla/show_bug.cgi?id=",INDIRECT(C70&amp;ROW())),INDIRECT(C70&amp;ROW()))</f>
        <v>52820</v>
      </c>
      <c r="N124">
        <v>52820</v>
      </c>
      <c r="O124" t="s">
        <v>1345</v>
      </c>
      <c r="P124" t="s">
        <v>678</v>
      </c>
      <c r="Q124" t="s">
        <v>16</v>
      </c>
      <c r="R124" t="s">
        <v>251</v>
      </c>
      <c r="S124" t="s">
        <v>344</v>
      </c>
      <c r="U124" s="6">
        <v>42125.447638888887</v>
      </c>
      <c r="V124" t="s">
        <v>18</v>
      </c>
      <c r="W124" t="s">
        <v>17</v>
      </c>
      <c r="X124" s="6">
        <v>41950.132824074077</v>
      </c>
      <c r="Y124" t="s">
        <v>122</v>
      </c>
      <c r="AB124" t="s">
        <v>201</v>
      </c>
      <c r="AC124" t="s">
        <v>247</v>
      </c>
      <c r="AD124" t="s">
        <v>222</v>
      </c>
      <c r="AE124" t="s">
        <v>221</v>
      </c>
      <c r="AG124" t="s">
        <v>121</v>
      </c>
      <c r="AH124" t="s">
        <v>327</v>
      </c>
      <c r="AI124" t="s">
        <v>121</v>
      </c>
      <c r="AJ124" t="s">
        <v>717</v>
      </c>
      <c r="AK124" t="s">
        <v>121</v>
      </c>
      <c r="AL124" t="s">
        <v>121</v>
      </c>
      <c r="AM124" t="s">
        <v>121</v>
      </c>
    </row>
    <row r="125" spans="9:39" x14ac:dyDescent="0.3">
      <c r="I125">
        <f ca="1">IF(OR(INDIRECT(A73&amp;ROW())=B93,INDIRECT(A73&amp;ROW())=B94),1,IF(AND(INDIRECT(A73&amp;ROW())=B95,INDIRECT(A96&amp;ROW())=C93),1,IF(AND(INDIRECT(A73&amp;ROW())=B95,INDIRECT(A96&amp;ROW())=C94),1,0)))</f>
        <v>0</v>
      </c>
      <c r="J125">
        <f ca="1">IF(AND(INDIRECT(A73&amp;ROW())=B95,INDIRECT(A96&amp;ROW())=C95),1,IF(AND(INDIRECT(A73&amp;ROW())=B95,INDIRECT(A96&amp;ROW())=C96),1,0))</f>
        <v>0</v>
      </c>
      <c r="K125">
        <f ca="1">DAYS360(INDIRECT(C68&amp;ROW()),TODAY())</f>
        <v>728</v>
      </c>
      <c r="L125">
        <f ca="1">DAYS360(INDIRECT(C69&amp;ROW()),TODAY())</f>
        <v>895</v>
      </c>
      <c r="M125" s="11">
        <f ca="1">HYPERLINK(CONCATENATE("https://bugzilla.houston.hp.com:1181/bugzilla/show_bug.cgi?id=",INDIRECT(C70&amp;ROW())),INDIRECT(C70&amp;ROW()))</f>
        <v>52830</v>
      </c>
      <c r="N125">
        <v>52830</v>
      </c>
      <c r="O125" t="s">
        <v>66</v>
      </c>
      <c r="P125" t="s">
        <v>677</v>
      </c>
      <c r="Q125" t="s">
        <v>16</v>
      </c>
      <c r="R125" t="s">
        <v>251</v>
      </c>
      <c r="S125" t="s">
        <v>366</v>
      </c>
      <c r="U125" s="6">
        <v>42118.522511574076</v>
      </c>
      <c r="V125" t="s">
        <v>18</v>
      </c>
      <c r="W125" t="s">
        <v>17</v>
      </c>
      <c r="X125" s="6">
        <v>41950.29074074074</v>
      </c>
      <c r="Y125" t="s">
        <v>124</v>
      </c>
      <c r="AB125" t="s">
        <v>201</v>
      </c>
      <c r="AC125" t="s">
        <v>247</v>
      </c>
      <c r="AD125" t="s">
        <v>220</v>
      </c>
      <c r="AE125" t="s">
        <v>219</v>
      </c>
      <c r="AG125" t="s">
        <v>121</v>
      </c>
      <c r="AH125" t="s">
        <v>327</v>
      </c>
      <c r="AI125" t="s">
        <v>121</v>
      </c>
      <c r="AJ125" t="s">
        <v>717</v>
      </c>
      <c r="AK125" t="s">
        <v>121</v>
      </c>
      <c r="AL125" t="s">
        <v>121</v>
      </c>
      <c r="AM125" t="s">
        <v>121</v>
      </c>
    </row>
    <row r="126" spans="9:39" x14ac:dyDescent="0.3">
      <c r="I126">
        <f ca="1">IF(OR(INDIRECT(A73&amp;ROW())=B93,INDIRECT(A73&amp;ROW())=B94),1,IF(AND(INDIRECT(A73&amp;ROW())=B95,INDIRECT(A96&amp;ROW())=C93),1,IF(AND(INDIRECT(A73&amp;ROW())=B95,INDIRECT(A96&amp;ROW())=C94),1,0)))</f>
        <v>0</v>
      </c>
      <c r="J126">
        <f ca="1">IF(AND(INDIRECT(A73&amp;ROW())=B95,INDIRECT(A96&amp;ROW())=C95),1,IF(AND(INDIRECT(A73&amp;ROW())=B95,INDIRECT(A96&amp;ROW())=C96),1,0))</f>
        <v>0</v>
      </c>
      <c r="K126">
        <f ca="1">DAYS360(INDIRECT(C68&amp;ROW()),TODAY())</f>
        <v>632</v>
      </c>
      <c r="L126">
        <f ca="1">DAYS360(INDIRECT(C69&amp;ROW()),TODAY())</f>
        <v>892</v>
      </c>
      <c r="M126" s="11">
        <f ca="1">HYPERLINK(CONCATENATE("https://bugzilla.houston.hp.com:1181/bugzilla/show_bug.cgi?id=",INDIRECT(C70&amp;ROW())),INDIRECT(C70&amp;ROW()))</f>
        <v>52912</v>
      </c>
      <c r="N126">
        <v>52912</v>
      </c>
      <c r="O126" t="s">
        <v>180</v>
      </c>
      <c r="P126" t="s">
        <v>676</v>
      </c>
      <c r="Q126" t="s">
        <v>16</v>
      </c>
      <c r="R126" t="s">
        <v>251</v>
      </c>
      <c r="S126" t="s">
        <v>368</v>
      </c>
      <c r="U126" s="6">
        <v>42216.308182870373</v>
      </c>
      <c r="V126" t="s">
        <v>18</v>
      </c>
      <c r="W126" t="s">
        <v>17</v>
      </c>
      <c r="X126" s="6">
        <v>41953.282175925924</v>
      </c>
      <c r="Y126" t="s">
        <v>342</v>
      </c>
      <c r="AB126" t="s">
        <v>201</v>
      </c>
      <c r="AC126" t="s">
        <v>217</v>
      </c>
      <c r="AD126" t="s">
        <v>222</v>
      </c>
      <c r="AE126" t="s">
        <v>225</v>
      </c>
      <c r="AG126" t="s">
        <v>121</v>
      </c>
      <c r="AH126" t="s">
        <v>327</v>
      </c>
      <c r="AI126" t="s">
        <v>121</v>
      </c>
      <c r="AJ126" t="s">
        <v>717</v>
      </c>
      <c r="AK126" t="s">
        <v>121</v>
      </c>
      <c r="AL126" t="s">
        <v>121</v>
      </c>
      <c r="AM126" t="s">
        <v>121</v>
      </c>
    </row>
    <row r="127" spans="9:39" x14ac:dyDescent="0.3">
      <c r="I127">
        <f ca="1">IF(OR(INDIRECT(A73&amp;ROW())=B93,INDIRECT(A73&amp;ROW())=B94),1,IF(AND(INDIRECT(A73&amp;ROW())=B95,INDIRECT(A96&amp;ROW())=C93),1,IF(AND(INDIRECT(A73&amp;ROW())=B95,INDIRECT(A96&amp;ROW())=C94),1,0)))</f>
        <v>0</v>
      </c>
      <c r="J127">
        <f ca="1">IF(AND(INDIRECT(A73&amp;ROW())=B95,INDIRECT(A96&amp;ROW())=C95),1,IF(AND(INDIRECT(A73&amp;ROW())=B95,INDIRECT(A96&amp;ROW())=C96),1,0))</f>
        <v>0</v>
      </c>
      <c r="K127">
        <f ca="1">DAYS360(INDIRECT(C68&amp;ROW()),TODAY())</f>
        <v>721</v>
      </c>
      <c r="L127">
        <f ca="1">DAYS360(INDIRECT(C69&amp;ROW()),TODAY())</f>
        <v>892</v>
      </c>
      <c r="M127" s="11">
        <f ca="1">HYPERLINK(CONCATENATE("https://bugzilla.houston.hp.com:1181/bugzilla/show_bug.cgi?id=",INDIRECT(C70&amp;ROW())),INDIRECT(C70&amp;ROW()))</f>
        <v>52923</v>
      </c>
      <c r="N127">
        <v>52923</v>
      </c>
      <c r="O127" t="s">
        <v>56</v>
      </c>
      <c r="P127" t="s">
        <v>546</v>
      </c>
      <c r="Q127" t="s">
        <v>16</v>
      </c>
      <c r="R127" t="s">
        <v>251</v>
      </c>
      <c r="S127" t="s">
        <v>53</v>
      </c>
      <c r="U127" s="6">
        <v>42125.448680555557</v>
      </c>
      <c r="V127" t="s">
        <v>18</v>
      </c>
      <c r="W127" t="s">
        <v>17</v>
      </c>
      <c r="X127" s="6">
        <v>41953.569768518515</v>
      </c>
      <c r="Y127" t="s">
        <v>122</v>
      </c>
      <c r="AB127" t="s">
        <v>201</v>
      </c>
      <c r="AC127" t="s">
        <v>247</v>
      </c>
      <c r="AD127" t="s">
        <v>220</v>
      </c>
      <c r="AE127" t="s">
        <v>219</v>
      </c>
      <c r="AG127" t="s">
        <v>121</v>
      </c>
      <c r="AH127" t="s">
        <v>327</v>
      </c>
      <c r="AI127" t="s">
        <v>121</v>
      </c>
      <c r="AJ127" t="s">
        <v>717</v>
      </c>
      <c r="AK127" t="s">
        <v>121</v>
      </c>
      <c r="AL127" t="s">
        <v>121</v>
      </c>
      <c r="AM127" t="s">
        <v>121</v>
      </c>
    </row>
    <row r="128" spans="9:39" x14ac:dyDescent="0.3">
      <c r="I128">
        <f ca="1">IF(OR(INDIRECT(A73&amp;ROW())=B93,INDIRECT(A73&amp;ROW())=B94),1,IF(AND(INDIRECT(A73&amp;ROW())=B95,INDIRECT(A96&amp;ROW())=C93),1,IF(AND(INDIRECT(A73&amp;ROW())=B95,INDIRECT(A96&amp;ROW())=C94),1,0)))</f>
        <v>0</v>
      </c>
      <c r="J128">
        <f ca="1">IF(AND(INDIRECT(A73&amp;ROW())=B95,INDIRECT(A96&amp;ROW())=C95),1,IF(AND(INDIRECT(A73&amp;ROW())=B95,INDIRECT(A96&amp;ROW())=C96),1,0))</f>
        <v>1</v>
      </c>
      <c r="K128">
        <f ca="1">DAYS360(INDIRECT(C68&amp;ROW()),TODAY())</f>
        <v>721</v>
      </c>
      <c r="L128">
        <f ca="1">DAYS360(INDIRECT(C69&amp;ROW()),TODAY())</f>
        <v>892</v>
      </c>
      <c r="M128" s="11">
        <f ca="1">HYPERLINK(CONCATENATE("https://bugzilla.houston.hp.com:1181/bugzilla/show_bug.cgi?id=",INDIRECT(C70&amp;ROW())),INDIRECT(C70&amp;ROW()))</f>
        <v>52933</v>
      </c>
      <c r="N128">
        <v>52933</v>
      </c>
      <c r="O128" t="s">
        <v>241</v>
      </c>
      <c r="P128" t="s">
        <v>489</v>
      </c>
      <c r="Q128" t="s">
        <v>25</v>
      </c>
      <c r="R128" t="s">
        <v>251</v>
      </c>
      <c r="S128" t="s">
        <v>177</v>
      </c>
      <c r="U128" s="6">
        <v>42125.655624999999</v>
      </c>
      <c r="V128" t="s">
        <v>18</v>
      </c>
      <c r="W128" t="s">
        <v>17</v>
      </c>
      <c r="X128" s="6">
        <v>41953.77202546296</v>
      </c>
      <c r="Y128" t="s">
        <v>245</v>
      </c>
      <c r="AB128" t="s">
        <v>201</v>
      </c>
      <c r="AC128" t="s">
        <v>247</v>
      </c>
      <c r="AD128" t="s">
        <v>227</v>
      </c>
      <c r="AE128" t="s">
        <v>237</v>
      </c>
      <c r="AG128" t="s">
        <v>121</v>
      </c>
      <c r="AH128" t="s">
        <v>327</v>
      </c>
      <c r="AI128" t="s">
        <v>121</v>
      </c>
      <c r="AJ128" t="s">
        <v>716</v>
      </c>
      <c r="AK128" t="s">
        <v>121</v>
      </c>
      <c r="AL128" t="s">
        <v>121</v>
      </c>
      <c r="AM128" t="s">
        <v>121</v>
      </c>
    </row>
    <row r="129" spans="9:39" x14ac:dyDescent="0.3">
      <c r="I129">
        <f ca="1">IF(OR(INDIRECT(A73&amp;ROW())=B93,INDIRECT(A73&amp;ROW())=B94),1,IF(AND(INDIRECT(A73&amp;ROW())=B95,INDIRECT(A96&amp;ROW())=C93),1,IF(AND(INDIRECT(A73&amp;ROW())=B95,INDIRECT(A96&amp;ROW())=C94),1,0)))</f>
        <v>0</v>
      </c>
      <c r="J129">
        <f ca="1">IF(AND(INDIRECT(A73&amp;ROW())=B95,INDIRECT(A96&amp;ROW())=C95),1,IF(AND(INDIRECT(A73&amp;ROW())=B95,INDIRECT(A96&amp;ROW())=C96),1,0))</f>
        <v>1</v>
      </c>
      <c r="K129">
        <f ca="1">DAYS360(INDIRECT(C68&amp;ROW()),TODAY())</f>
        <v>684</v>
      </c>
      <c r="L129">
        <f ca="1">DAYS360(INDIRECT(C69&amp;ROW()),TODAY())</f>
        <v>890</v>
      </c>
      <c r="M129" s="11">
        <f ca="1">HYPERLINK(CONCATENATE("https://bugzilla.houston.hp.com:1181/bugzilla/show_bug.cgi?id=",INDIRECT(C70&amp;ROW())),INDIRECT(C70&amp;ROW()))</f>
        <v>53006</v>
      </c>
      <c r="N129">
        <v>53006</v>
      </c>
      <c r="O129" t="s">
        <v>50</v>
      </c>
      <c r="P129" t="s">
        <v>469</v>
      </c>
      <c r="Q129" t="s">
        <v>25</v>
      </c>
      <c r="R129" t="s">
        <v>251</v>
      </c>
      <c r="S129" t="s">
        <v>315</v>
      </c>
      <c r="U129" s="6">
        <v>42163.593229166669</v>
      </c>
      <c r="V129" t="s">
        <v>18</v>
      </c>
      <c r="W129" t="s">
        <v>17</v>
      </c>
      <c r="X129" s="6">
        <v>41955.206990740742</v>
      </c>
      <c r="Y129" t="s">
        <v>119</v>
      </c>
      <c r="AA129" t="s">
        <v>184</v>
      </c>
      <c r="AB129" t="s">
        <v>201</v>
      </c>
      <c r="AC129" t="s">
        <v>247</v>
      </c>
      <c r="AD129" t="s">
        <v>227</v>
      </c>
      <c r="AE129" t="s">
        <v>370</v>
      </c>
      <c r="AG129" t="s">
        <v>121</v>
      </c>
      <c r="AH129" t="s">
        <v>327</v>
      </c>
      <c r="AI129" t="s">
        <v>121</v>
      </c>
      <c r="AJ129" t="s">
        <v>716</v>
      </c>
      <c r="AK129" t="s">
        <v>121</v>
      </c>
      <c r="AL129" t="s">
        <v>121</v>
      </c>
      <c r="AM129" t="s">
        <v>121</v>
      </c>
    </row>
    <row r="130" spans="9:39" x14ac:dyDescent="0.3">
      <c r="I130">
        <f ca="1">IF(OR(INDIRECT(A73&amp;ROW())=B93,INDIRECT(A73&amp;ROW())=B94),1,IF(AND(INDIRECT(A73&amp;ROW())=B95,INDIRECT(A96&amp;ROW())=C93),1,IF(AND(INDIRECT(A73&amp;ROW())=B95,INDIRECT(A96&amp;ROW())=C94),1,0)))</f>
        <v>1</v>
      </c>
      <c r="J130">
        <f ca="1">IF(AND(INDIRECT(A73&amp;ROW())=B95,INDIRECT(A96&amp;ROW())=C95),1,IF(AND(INDIRECT(A73&amp;ROW())=B95,INDIRECT(A96&amp;ROW())=C96),1,0))</f>
        <v>0</v>
      </c>
      <c r="K130">
        <f ca="1">DAYS360(INDIRECT(C68&amp;ROW()),TODAY())</f>
        <v>690</v>
      </c>
      <c r="L130">
        <f ca="1">DAYS360(INDIRECT(C69&amp;ROW()),TODAY())</f>
        <v>890</v>
      </c>
      <c r="M130" s="11">
        <f ca="1">HYPERLINK(CONCATENATE("https://bugzilla.houston.hp.com:1181/bugzilla/show_bug.cgi?id=",INDIRECT(C70&amp;ROW())),INDIRECT(C70&amp;ROW()))</f>
        <v>53011</v>
      </c>
      <c r="N130">
        <v>53011</v>
      </c>
      <c r="O130" t="s">
        <v>1359</v>
      </c>
      <c r="P130" t="s">
        <v>1374</v>
      </c>
      <c r="Q130" t="s">
        <v>39</v>
      </c>
      <c r="R130" t="s">
        <v>251</v>
      </c>
      <c r="S130" t="s">
        <v>193</v>
      </c>
      <c r="T130" t="s">
        <v>794</v>
      </c>
      <c r="U130" s="6">
        <v>42157.657523148147</v>
      </c>
      <c r="V130" t="s">
        <v>35</v>
      </c>
      <c r="W130" t="s">
        <v>1375</v>
      </c>
      <c r="X130" s="6">
        <v>41955.303368055553</v>
      </c>
      <c r="Y130" t="s">
        <v>122</v>
      </c>
      <c r="AB130" t="s">
        <v>201</v>
      </c>
      <c r="AC130" t="s">
        <v>247</v>
      </c>
      <c r="AD130" t="s">
        <v>220</v>
      </c>
      <c r="AE130" t="s">
        <v>223</v>
      </c>
      <c r="AG130" t="s">
        <v>121</v>
      </c>
      <c r="AH130" t="s">
        <v>327</v>
      </c>
      <c r="AI130" t="s">
        <v>121</v>
      </c>
      <c r="AJ130" t="s">
        <v>715</v>
      </c>
      <c r="AK130" t="s">
        <v>121</v>
      </c>
      <c r="AL130" t="s">
        <v>121</v>
      </c>
      <c r="AM130" t="s">
        <v>121</v>
      </c>
    </row>
    <row r="131" spans="9:39" x14ac:dyDescent="0.3">
      <c r="I131">
        <f ca="1">IF(OR(INDIRECT(A73&amp;ROW())=B93,INDIRECT(A73&amp;ROW())=B94),1,IF(AND(INDIRECT(A73&amp;ROW())=B95,INDIRECT(A96&amp;ROW())=C93),1,IF(AND(INDIRECT(A73&amp;ROW())=B95,INDIRECT(A96&amp;ROW())=C94),1,0)))</f>
        <v>0</v>
      </c>
      <c r="J131">
        <f ca="1">IF(AND(INDIRECT(A73&amp;ROW())=B95,INDIRECT(A96&amp;ROW())=C95),1,IF(AND(INDIRECT(A73&amp;ROW())=B95,INDIRECT(A96&amp;ROW())=C96),1,0))</f>
        <v>0</v>
      </c>
      <c r="K131">
        <f ca="1">DAYS360(INDIRECT(C68&amp;ROW()),TODAY())</f>
        <v>721</v>
      </c>
      <c r="L131">
        <f ca="1">DAYS360(INDIRECT(C69&amp;ROW()),TODAY())</f>
        <v>889</v>
      </c>
      <c r="M131" s="11">
        <f ca="1">HYPERLINK(CONCATENATE("https://bugzilla.houston.hp.com:1181/bugzilla/show_bug.cgi?id=",INDIRECT(C70&amp;ROW())),INDIRECT(C70&amp;ROW()))</f>
        <v>53105</v>
      </c>
      <c r="N131">
        <v>53105</v>
      </c>
      <c r="O131" t="s">
        <v>56</v>
      </c>
      <c r="P131" t="s">
        <v>468</v>
      </c>
      <c r="Q131" t="s">
        <v>16</v>
      </c>
      <c r="R131" t="s">
        <v>251</v>
      </c>
      <c r="S131" t="s">
        <v>374</v>
      </c>
      <c r="U131" s="6">
        <v>42125.448692129627</v>
      </c>
      <c r="V131" t="s">
        <v>18</v>
      </c>
      <c r="W131" t="s">
        <v>17</v>
      </c>
      <c r="X131" s="6">
        <v>41956.951111111113</v>
      </c>
      <c r="Y131" t="s">
        <v>122</v>
      </c>
      <c r="AB131" t="s">
        <v>200</v>
      </c>
      <c r="AC131" t="s">
        <v>247</v>
      </c>
      <c r="AD131" t="s">
        <v>220</v>
      </c>
      <c r="AE131" t="s">
        <v>219</v>
      </c>
      <c r="AG131" t="s">
        <v>121</v>
      </c>
      <c r="AH131" t="s">
        <v>327</v>
      </c>
      <c r="AI131" t="s">
        <v>121</v>
      </c>
      <c r="AJ131" t="s">
        <v>716</v>
      </c>
      <c r="AK131" t="s">
        <v>121</v>
      </c>
      <c r="AL131" t="s">
        <v>121</v>
      </c>
      <c r="AM131" t="s">
        <v>121</v>
      </c>
    </row>
    <row r="132" spans="9:39" x14ac:dyDescent="0.3">
      <c r="I132">
        <f ca="1">IF(OR(INDIRECT(A73&amp;ROW())=B93,INDIRECT(A73&amp;ROW())=B94),1,IF(AND(INDIRECT(A73&amp;ROW())=B95,INDIRECT(A96&amp;ROW())=C93),1,IF(AND(INDIRECT(A73&amp;ROW())=B95,INDIRECT(A96&amp;ROW())=C94),1,0)))</f>
        <v>0</v>
      </c>
      <c r="J132">
        <f ca="1">IF(AND(INDIRECT(A73&amp;ROW())=B95,INDIRECT(A96&amp;ROW())=C95),1,IF(AND(INDIRECT(A73&amp;ROW())=B95,INDIRECT(A96&amp;ROW())=C96),1,0))</f>
        <v>0</v>
      </c>
      <c r="K132">
        <f ca="1">DAYS360(INDIRECT(C68&amp;ROW()),TODAY())</f>
        <v>710</v>
      </c>
      <c r="L132">
        <f ca="1">DAYS360(INDIRECT(C69&amp;ROW()),TODAY())</f>
        <v>885</v>
      </c>
      <c r="M132" s="11">
        <f ca="1">HYPERLINK(CONCATENATE("https://bugzilla.houston.hp.com:1181/bugzilla/show_bug.cgi?id=",INDIRECT(C70&amp;ROW())),INDIRECT(C70&amp;ROW()))</f>
        <v>53213</v>
      </c>
      <c r="N132">
        <v>53213</v>
      </c>
      <c r="O132" t="s">
        <v>43</v>
      </c>
      <c r="P132" t="s">
        <v>1049</v>
      </c>
      <c r="Q132" t="s">
        <v>16</v>
      </c>
      <c r="R132" t="s">
        <v>251</v>
      </c>
      <c r="S132" t="s">
        <v>68</v>
      </c>
      <c r="T132" t="s">
        <v>794</v>
      </c>
      <c r="U132" s="6">
        <v>42136.636747685188</v>
      </c>
      <c r="V132" t="s">
        <v>18</v>
      </c>
      <c r="W132" t="s">
        <v>17</v>
      </c>
      <c r="X132" s="6">
        <v>41960.464930555558</v>
      </c>
      <c r="Y132" t="s">
        <v>124</v>
      </c>
      <c r="AB132" t="s">
        <v>201</v>
      </c>
      <c r="AC132" t="s">
        <v>247</v>
      </c>
      <c r="AD132" t="s">
        <v>220</v>
      </c>
      <c r="AE132" t="s">
        <v>219</v>
      </c>
      <c r="AG132" t="s">
        <v>121</v>
      </c>
      <c r="AH132" t="s">
        <v>327</v>
      </c>
      <c r="AI132" t="s">
        <v>121</v>
      </c>
      <c r="AJ132" t="s">
        <v>717</v>
      </c>
      <c r="AK132" t="s">
        <v>121</v>
      </c>
      <c r="AL132" t="s">
        <v>121</v>
      </c>
      <c r="AM132" t="s">
        <v>121</v>
      </c>
    </row>
    <row r="133" spans="9:39" x14ac:dyDescent="0.3">
      <c r="I133">
        <f ca="1">IF(OR(INDIRECT(A73&amp;ROW())=B93,INDIRECT(A73&amp;ROW())=B94),1,IF(AND(INDIRECT(A73&amp;ROW())=B95,INDIRECT(A96&amp;ROW())=C93),1,IF(AND(INDIRECT(A73&amp;ROW())=B95,INDIRECT(A96&amp;ROW())=C94),1,0)))</f>
        <v>0</v>
      </c>
      <c r="J133">
        <f ca="1">IF(AND(INDIRECT(A73&amp;ROW())=B95,INDIRECT(A96&amp;ROW())=C95),1,IF(AND(INDIRECT(A73&amp;ROW())=B95,INDIRECT(A96&amp;ROW())=C96),1,0))</f>
        <v>0</v>
      </c>
      <c r="K133">
        <f ca="1">DAYS360(INDIRECT(C68&amp;ROW()),TODAY())</f>
        <v>721</v>
      </c>
      <c r="L133">
        <f ca="1">DAYS360(INDIRECT(C69&amp;ROW()),TODAY())</f>
        <v>885</v>
      </c>
      <c r="M133" s="11">
        <f ca="1">HYPERLINK(CONCATENATE("https://bugzilla.houston.hp.com:1181/bugzilla/show_bug.cgi?id=",INDIRECT(C70&amp;ROW())),INDIRECT(C70&amp;ROW()))</f>
        <v>53225</v>
      </c>
      <c r="N133">
        <v>53225</v>
      </c>
      <c r="O133" t="s">
        <v>56</v>
      </c>
      <c r="P133" t="s">
        <v>377</v>
      </c>
      <c r="Q133" t="s">
        <v>16</v>
      </c>
      <c r="R133" t="s">
        <v>248</v>
      </c>
      <c r="S133" t="s">
        <v>36</v>
      </c>
      <c r="U133" s="6">
        <v>42125.443796296298</v>
      </c>
      <c r="V133" t="s">
        <v>18</v>
      </c>
      <c r="W133" t="s">
        <v>17</v>
      </c>
      <c r="X133" s="6">
        <v>41960.705925925926</v>
      </c>
      <c r="Y133" t="s">
        <v>122</v>
      </c>
      <c r="AB133" t="s">
        <v>201</v>
      </c>
      <c r="AC133" t="s">
        <v>121</v>
      </c>
      <c r="AD133" t="s">
        <v>220</v>
      </c>
      <c r="AE133" t="s">
        <v>219</v>
      </c>
      <c r="AG133" t="s">
        <v>121</v>
      </c>
      <c r="AH133" t="s">
        <v>327</v>
      </c>
      <c r="AI133" t="s">
        <v>121</v>
      </c>
      <c r="AJ133" t="s">
        <v>717</v>
      </c>
      <c r="AK133" t="s">
        <v>121</v>
      </c>
      <c r="AL133" t="s">
        <v>121</v>
      </c>
      <c r="AM133" t="s">
        <v>121</v>
      </c>
    </row>
    <row r="134" spans="9:39" x14ac:dyDescent="0.3">
      <c r="I134">
        <f ca="1">IF(OR(INDIRECT(A73&amp;ROW())=B93,INDIRECT(A73&amp;ROW())=B94),1,IF(AND(INDIRECT(A73&amp;ROW())=B95,INDIRECT(A96&amp;ROW())=C93),1,IF(AND(INDIRECT(A73&amp;ROW())=B95,INDIRECT(A96&amp;ROW())=C94),1,0)))</f>
        <v>0</v>
      </c>
      <c r="J134">
        <f ca="1">IF(AND(INDIRECT(A73&amp;ROW())=B95,INDIRECT(A96&amp;ROW())=C95),1,IF(AND(INDIRECT(A73&amp;ROW())=B95,INDIRECT(A96&amp;ROW())=C96),1,0))</f>
        <v>0</v>
      </c>
      <c r="K134">
        <f ca="1">DAYS360(INDIRECT(C68&amp;ROW()),TODAY())</f>
        <v>721</v>
      </c>
      <c r="L134">
        <f ca="1">DAYS360(INDIRECT(C69&amp;ROW()),TODAY())</f>
        <v>885</v>
      </c>
      <c r="M134" s="11">
        <f ca="1">HYPERLINK(CONCATENATE("https://bugzilla.houston.hp.com:1181/bugzilla/show_bug.cgi?id=",INDIRECT(C70&amp;ROW())),INDIRECT(C70&amp;ROW()))</f>
        <v>53231</v>
      </c>
      <c r="N134">
        <v>53231</v>
      </c>
      <c r="O134" t="s">
        <v>56</v>
      </c>
      <c r="P134" t="s">
        <v>376</v>
      </c>
      <c r="Q134" t="s">
        <v>16</v>
      </c>
      <c r="R134" t="s">
        <v>248</v>
      </c>
      <c r="S134" t="s">
        <v>36</v>
      </c>
      <c r="U134" s="6">
        <v>42125.443854166668</v>
      </c>
      <c r="V134" t="s">
        <v>18</v>
      </c>
      <c r="W134" t="s">
        <v>17</v>
      </c>
      <c r="X134" s="6">
        <v>41960.706388888888</v>
      </c>
      <c r="Y134" t="s">
        <v>122</v>
      </c>
      <c r="AB134" t="s">
        <v>201</v>
      </c>
      <c r="AC134" t="s">
        <v>121</v>
      </c>
      <c r="AD134" t="s">
        <v>220</v>
      </c>
      <c r="AE134" t="s">
        <v>219</v>
      </c>
      <c r="AG134" t="s">
        <v>121</v>
      </c>
      <c r="AH134" t="s">
        <v>64</v>
      </c>
      <c r="AI134" t="s">
        <v>121</v>
      </c>
      <c r="AJ134" t="s">
        <v>717</v>
      </c>
      <c r="AK134" t="s">
        <v>121</v>
      </c>
      <c r="AL134" t="s">
        <v>121</v>
      </c>
      <c r="AM134" t="s">
        <v>121</v>
      </c>
    </row>
    <row r="135" spans="9:39" x14ac:dyDescent="0.3">
      <c r="I135">
        <f ca="1">IF(OR(INDIRECT(A73&amp;ROW())=B93,INDIRECT(A73&amp;ROW())=B94),1,IF(AND(INDIRECT(A73&amp;ROW())=B95,INDIRECT(A96&amp;ROW())=C93),1,IF(AND(INDIRECT(A73&amp;ROW())=B95,INDIRECT(A96&amp;ROW())=C94),1,0)))</f>
        <v>0</v>
      </c>
      <c r="J135">
        <f ca="1">IF(AND(INDIRECT(A73&amp;ROW())=B95,INDIRECT(A96&amp;ROW())=C95),1,IF(AND(INDIRECT(A73&amp;ROW())=B95,INDIRECT(A96&amp;ROW())=C96),1,0))</f>
        <v>0</v>
      </c>
      <c r="K135">
        <f ca="1">DAYS360(INDIRECT(C68&amp;ROW()),TODAY())</f>
        <v>721</v>
      </c>
      <c r="L135">
        <f ca="1">DAYS360(INDIRECT(C69&amp;ROW()),TODAY())</f>
        <v>884</v>
      </c>
      <c r="M135" s="11">
        <f ca="1">HYPERLINK(CONCATENATE("https://bugzilla.houston.hp.com:1181/bugzilla/show_bug.cgi?id=",INDIRECT(C70&amp;ROW())),INDIRECT(C70&amp;ROW()))</f>
        <v>53298</v>
      </c>
      <c r="N135">
        <v>53298</v>
      </c>
      <c r="O135" t="s">
        <v>55</v>
      </c>
      <c r="P135" t="s">
        <v>383</v>
      </c>
      <c r="Q135" t="s">
        <v>16</v>
      </c>
      <c r="R135" t="s">
        <v>248</v>
      </c>
      <c r="S135" t="s">
        <v>36</v>
      </c>
      <c r="U135" s="6">
        <v>42125.439930555556</v>
      </c>
      <c r="V135" t="s">
        <v>18</v>
      </c>
      <c r="W135" t="s">
        <v>17</v>
      </c>
      <c r="X135" s="6">
        <v>41961.535937499997</v>
      </c>
      <c r="Y135" t="s">
        <v>122</v>
      </c>
      <c r="AB135" t="s">
        <v>200</v>
      </c>
      <c r="AC135" t="s">
        <v>121</v>
      </c>
      <c r="AD135" t="s">
        <v>220</v>
      </c>
      <c r="AE135" t="s">
        <v>219</v>
      </c>
      <c r="AG135" t="s">
        <v>121</v>
      </c>
      <c r="AH135" t="s">
        <v>327</v>
      </c>
      <c r="AI135" t="s">
        <v>121</v>
      </c>
      <c r="AJ135" t="s">
        <v>716</v>
      </c>
      <c r="AK135" t="s">
        <v>121</v>
      </c>
      <c r="AL135" t="s">
        <v>121</v>
      </c>
      <c r="AM135" t="s">
        <v>121</v>
      </c>
    </row>
    <row r="136" spans="9:39" x14ac:dyDescent="0.3">
      <c r="I136">
        <f ca="1">IF(OR(INDIRECT(A73&amp;ROW())=B93,INDIRECT(A73&amp;ROW())=B94),1,IF(AND(INDIRECT(A73&amp;ROW())=B95,INDIRECT(A96&amp;ROW())=C93),1,IF(AND(INDIRECT(A73&amp;ROW())=B95,INDIRECT(A96&amp;ROW())=C94),1,0)))</f>
        <v>0</v>
      </c>
      <c r="J136">
        <f ca="1">IF(AND(INDIRECT(A73&amp;ROW())=B95,INDIRECT(A96&amp;ROW())=C95),1,IF(AND(INDIRECT(A73&amp;ROW())=B95,INDIRECT(A96&amp;ROW())=C96),1,0))</f>
        <v>0</v>
      </c>
      <c r="K136">
        <f ca="1">DAYS360(INDIRECT(C68&amp;ROW()),TODAY())</f>
        <v>721</v>
      </c>
      <c r="L136">
        <f ca="1">DAYS360(INDIRECT(C69&amp;ROW()),TODAY())</f>
        <v>884</v>
      </c>
      <c r="M136" s="11">
        <f ca="1">HYPERLINK(CONCATENATE("https://bugzilla.houston.hp.com:1181/bugzilla/show_bug.cgi?id=",INDIRECT(C70&amp;ROW())),INDIRECT(C70&amp;ROW()))</f>
        <v>53303</v>
      </c>
      <c r="N136">
        <v>53303</v>
      </c>
      <c r="O136" t="s">
        <v>56</v>
      </c>
      <c r="P136" t="s">
        <v>382</v>
      </c>
      <c r="Q136" t="s">
        <v>16</v>
      </c>
      <c r="R136" t="s">
        <v>248</v>
      </c>
      <c r="S136" t="s">
        <v>36</v>
      </c>
      <c r="U136" s="6">
        <v>42125.440000000002</v>
      </c>
      <c r="V136" t="s">
        <v>18</v>
      </c>
      <c r="W136" t="s">
        <v>17</v>
      </c>
      <c r="X136" s="6">
        <v>41961.5468287037</v>
      </c>
      <c r="Y136" t="s">
        <v>122</v>
      </c>
      <c r="AB136" t="s">
        <v>201</v>
      </c>
      <c r="AC136" t="s">
        <v>121</v>
      </c>
      <c r="AD136" t="s">
        <v>220</v>
      </c>
      <c r="AE136" t="s">
        <v>219</v>
      </c>
      <c r="AG136" t="s">
        <v>121</v>
      </c>
      <c r="AH136" t="s">
        <v>327</v>
      </c>
      <c r="AI136" t="s">
        <v>121</v>
      </c>
      <c r="AJ136" t="s">
        <v>717</v>
      </c>
      <c r="AK136" t="s">
        <v>121</v>
      </c>
      <c r="AL136" t="s">
        <v>121</v>
      </c>
      <c r="AM136" t="s">
        <v>121</v>
      </c>
    </row>
    <row r="137" spans="9:39" x14ac:dyDescent="0.3">
      <c r="I137">
        <f ca="1">IF(OR(INDIRECT(A73&amp;ROW())=B93,INDIRECT(A73&amp;ROW())=B94),1,IF(AND(INDIRECT(A73&amp;ROW())=B95,INDIRECT(A96&amp;ROW())=C93),1,IF(AND(INDIRECT(A73&amp;ROW())=B95,INDIRECT(A96&amp;ROW())=C94),1,0)))</f>
        <v>0</v>
      </c>
      <c r="J137">
        <f ca="1">IF(AND(INDIRECT(A73&amp;ROW())=B95,INDIRECT(A96&amp;ROW())=C95),1,IF(AND(INDIRECT(A73&amp;ROW())=B95,INDIRECT(A96&amp;ROW())=C96),1,0))</f>
        <v>1</v>
      </c>
      <c r="K137">
        <f ca="1">DAYS360(INDIRECT(C68&amp;ROW()),TODAY())</f>
        <v>681</v>
      </c>
      <c r="L137">
        <f ca="1">DAYS360(INDIRECT(C69&amp;ROW()),TODAY())</f>
        <v>884</v>
      </c>
      <c r="M137" s="11">
        <f ca="1">HYPERLINK(CONCATENATE("https://bugzilla.houston.hp.com:1181/bugzilla/show_bug.cgi?id=",INDIRECT(C70&amp;ROW())),INDIRECT(C70&amp;ROW()))</f>
        <v>53313</v>
      </c>
      <c r="N137">
        <v>53313</v>
      </c>
      <c r="O137" t="s">
        <v>56</v>
      </c>
      <c r="P137" t="s">
        <v>867</v>
      </c>
      <c r="Q137" t="s">
        <v>25</v>
      </c>
      <c r="R137" t="s">
        <v>251</v>
      </c>
      <c r="S137" t="s">
        <v>43</v>
      </c>
      <c r="U137" s="6">
        <v>42166.562164351853</v>
      </c>
      <c r="V137" t="s">
        <v>18</v>
      </c>
      <c r="W137" t="s">
        <v>17</v>
      </c>
      <c r="X137" s="6">
        <v>41961.575497685182</v>
      </c>
      <c r="Y137" t="s">
        <v>119</v>
      </c>
      <c r="AB137" t="s">
        <v>201</v>
      </c>
      <c r="AC137" t="s">
        <v>247</v>
      </c>
      <c r="AD137" t="s">
        <v>220</v>
      </c>
      <c r="AE137" t="s">
        <v>219</v>
      </c>
      <c r="AG137" t="s">
        <v>121</v>
      </c>
      <c r="AH137" t="s">
        <v>327</v>
      </c>
      <c r="AI137" t="s">
        <v>121</v>
      </c>
      <c r="AJ137" t="s">
        <v>716</v>
      </c>
      <c r="AK137" t="s">
        <v>121</v>
      </c>
      <c r="AL137" t="s">
        <v>121</v>
      </c>
      <c r="AM137" t="s">
        <v>121</v>
      </c>
    </row>
    <row r="138" spans="9:39" x14ac:dyDescent="0.3">
      <c r="I138">
        <f ca="1">IF(OR(INDIRECT(A73&amp;ROW())=B93,INDIRECT(A73&amp;ROW())=B94),1,IF(AND(INDIRECT(A73&amp;ROW())=B95,INDIRECT(A96&amp;ROW())=C93),1,IF(AND(INDIRECT(A73&amp;ROW())=B95,INDIRECT(A96&amp;ROW())=C94),1,0)))</f>
        <v>0</v>
      </c>
      <c r="J138">
        <f ca="1">IF(AND(INDIRECT(A73&amp;ROW())=B95,INDIRECT(A96&amp;ROW())=C95),1,IF(AND(INDIRECT(A73&amp;ROW())=B95,INDIRECT(A96&amp;ROW())=C96),1,0))</f>
        <v>0</v>
      </c>
      <c r="K138">
        <f ca="1">DAYS360(INDIRECT(C68&amp;ROW()),TODAY())</f>
        <v>733</v>
      </c>
      <c r="L138">
        <f ca="1">DAYS360(INDIRECT(C69&amp;ROW()),TODAY())</f>
        <v>884</v>
      </c>
      <c r="M138" s="11">
        <f ca="1">HYPERLINK(CONCATENATE("https://bugzilla.houston.hp.com:1181/bugzilla/show_bug.cgi?id=",INDIRECT(C70&amp;ROW())),INDIRECT(C70&amp;ROW()))</f>
        <v>53324</v>
      </c>
      <c r="N138">
        <v>53324</v>
      </c>
      <c r="O138" t="s">
        <v>66</v>
      </c>
      <c r="P138" t="s">
        <v>381</v>
      </c>
      <c r="Q138" t="s">
        <v>16</v>
      </c>
      <c r="R138" t="s">
        <v>248</v>
      </c>
      <c r="S138" t="s">
        <v>36</v>
      </c>
      <c r="U138" s="6">
        <v>42113.702372685184</v>
      </c>
      <c r="V138" t="s">
        <v>18</v>
      </c>
      <c r="W138" t="s">
        <v>32</v>
      </c>
      <c r="X138" s="6">
        <v>41961.64980324074</v>
      </c>
      <c r="Y138" t="s">
        <v>119</v>
      </c>
      <c r="AB138" t="s">
        <v>201</v>
      </c>
      <c r="AC138" t="s">
        <v>121</v>
      </c>
      <c r="AD138" t="s">
        <v>220</v>
      </c>
      <c r="AE138" t="s">
        <v>219</v>
      </c>
      <c r="AG138" t="s">
        <v>121</v>
      </c>
      <c r="AH138" t="s">
        <v>327</v>
      </c>
      <c r="AI138" t="s">
        <v>121</v>
      </c>
      <c r="AJ138" t="s">
        <v>716</v>
      </c>
      <c r="AK138" t="s">
        <v>121</v>
      </c>
      <c r="AL138" t="s">
        <v>121</v>
      </c>
      <c r="AM138" t="s">
        <v>121</v>
      </c>
    </row>
    <row r="139" spans="9:39" x14ac:dyDescent="0.3">
      <c r="I139">
        <f ca="1">IF(OR(INDIRECT(A73&amp;ROW())=B93,INDIRECT(A73&amp;ROW())=B94),1,IF(AND(INDIRECT(A73&amp;ROW())=B95,INDIRECT(A96&amp;ROW())=C93),1,IF(AND(INDIRECT(A73&amp;ROW())=B95,INDIRECT(A96&amp;ROW())=C94),1,0)))</f>
        <v>0</v>
      </c>
      <c r="J139">
        <f ca="1">IF(AND(INDIRECT(A73&amp;ROW())=B95,INDIRECT(A96&amp;ROW())=C95),1,IF(AND(INDIRECT(A73&amp;ROW())=B95,INDIRECT(A96&amp;ROW())=C96),1,0))</f>
        <v>0</v>
      </c>
      <c r="K139">
        <f ca="1">DAYS360(INDIRECT(C68&amp;ROW()),TODAY())</f>
        <v>721</v>
      </c>
      <c r="L139">
        <f ca="1">DAYS360(INDIRECT(C69&amp;ROW()),TODAY())</f>
        <v>884</v>
      </c>
      <c r="M139" s="11">
        <f ca="1">HYPERLINK(CONCATENATE("https://bugzilla.houston.hp.com:1181/bugzilla/show_bug.cgi?id=",INDIRECT(C70&amp;ROW())),INDIRECT(C70&amp;ROW()))</f>
        <v>53329</v>
      </c>
      <c r="N139">
        <v>53329</v>
      </c>
      <c r="O139" t="s">
        <v>203</v>
      </c>
      <c r="P139" t="s">
        <v>380</v>
      </c>
      <c r="Q139" t="s">
        <v>16</v>
      </c>
      <c r="R139" t="s">
        <v>248</v>
      </c>
      <c r="S139" t="s">
        <v>36</v>
      </c>
      <c r="U139" s="6">
        <v>42125.439722222225</v>
      </c>
      <c r="V139" t="s">
        <v>18</v>
      </c>
      <c r="W139" t="s">
        <v>20</v>
      </c>
      <c r="X139" s="6">
        <v>41961.660949074074</v>
      </c>
      <c r="Y139" t="s">
        <v>122</v>
      </c>
      <c r="AB139" t="s">
        <v>201</v>
      </c>
      <c r="AC139" t="s">
        <v>121</v>
      </c>
      <c r="AD139" t="s">
        <v>220</v>
      </c>
      <c r="AE139" t="s">
        <v>223</v>
      </c>
      <c r="AG139" t="s">
        <v>121</v>
      </c>
      <c r="AH139" t="s">
        <v>327</v>
      </c>
      <c r="AI139" t="s">
        <v>121</v>
      </c>
      <c r="AJ139" t="s">
        <v>717</v>
      </c>
      <c r="AK139" t="s">
        <v>121</v>
      </c>
      <c r="AL139" t="s">
        <v>121</v>
      </c>
      <c r="AM139" t="s">
        <v>121</v>
      </c>
    </row>
    <row r="140" spans="9:39" x14ac:dyDescent="0.3">
      <c r="I140">
        <f ca="1">IF(OR(INDIRECT(A73&amp;ROW())=B93,INDIRECT(A73&amp;ROW())=B94),1,IF(AND(INDIRECT(A73&amp;ROW())=B95,INDIRECT(A96&amp;ROW())=C93),1,IF(AND(INDIRECT(A73&amp;ROW())=B95,INDIRECT(A96&amp;ROW())=C94),1,0)))</f>
        <v>0</v>
      </c>
      <c r="J140">
        <f ca="1">IF(AND(INDIRECT(A73&amp;ROW())=B95,INDIRECT(A96&amp;ROW())=C95),1,IF(AND(INDIRECT(A73&amp;ROW())=B95,INDIRECT(A96&amp;ROW())=C96),1,0))</f>
        <v>1</v>
      </c>
      <c r="K140">
        <f ca="1">DAYS360(INDIRECT(C68&amp;ROW()),TODAY())</f>
        <v>687</v>
      </c>
      <c r="L140">
        <f ca="1">DAYS360(INDIRECT(C69&amp;ROW()),TODAY())</f>
        <v>884</v>
      </c>
      <c r="M140" s="11">
        <f ca="1">HYPERLINK(CONCATENATE("https://bugzilla.houston.hp.com:1181/bugzilla/show_bug.cgi?id=",INDIRECT(C70&amp;ROW())),INDIRECT(C70&amp;ROW()))</f>
        <v>53336</v>
      </c>
      <c r="N140">
        <v>53336</v>
      </c>
      <c r="O140" t="s">
        <v>56</v>
      </c>
      <c r="P140" t="s">
        <v>379</v>
      </c>
      <c r="Q140" t="s">
        <v>25</v>
      </c>
      <c r="R140" t="s">
        <v>248</v>
      </c>
      <c r="S140" t="s">
        <v>36</v>
      </c>
      <c r="U140" s="6">
        <v>42160.524062500001</v>
      </c>
      <c r="V140" t="s">
        <v>18</v>
      </c>
      <c r="W140" t="s">
        <v>17</v>
      </c>
      <c r="X140" s="6">
        <v>41961.667453703703</v>
      </c>
      <c r="Y140" t="s">
        <v>122</v>
      </c>
      <c r="AB140" t="s">
        <v>201</v>
      </c>
      <c r="AC140" t="s">
        <v>121</v>
      </c>
      <c r="AD140" t="s">
        <v>220</v>
      </c>
      <c r="AE140" t="s">
        <v>219</v>
      </c>
      <c r="AG140" t="s">
        <v>121</v>
      </c>
      <c r="AH140" t="s">
        <v>327</v>
      </c>
      <c r="AI140" t="s">
        <v>121</v>
      </c>
      <c r="AJ140" t="s">
        <v>716</v>
      </c>
      <c r="AK140" t="s">
        <v>121</v>
      </c>
      <c r="AL140" t="s">
        <v>121</v>
      </c>
      <c r="AM140" t="s">
        <v>121</v>
      </c>
    </row>
    <row r="141" spans="9:39" x14ac:dyDescent="0.3">
      <c r="I141">
        <f ca="1">IF(OR(INDIRECT(A73&amp;ROW())=B93,INDIRECT(A73&amp;ROW())=B94),1,IF(AND(INDIRECT(A73&amp;ROW())=B95,INDIRECT(A96&amp;ROW())=C93),1,IF(AND(INDIRECT(A73&amp;ROW())=B95,INDIRECT(A96&amp;ROW())=C94),1,0)))</f>
        <v>0</v>
      </c>
      <c r="J141">
        <f ca="1">IF(AND(INDIRECT(A73&amp;ROW())=B95,INDIRECT(A96&amp;ROW())=C95),1,IF(AND(INDIRECT(A73&amp;ROW())=B95,INDIRECT(A96&amp;ROW())=C96),1,0))</f>
        <v>1</v>
      </c>
      <c r="K141">
        <f ca="1">DAYS360(INDIRECT(C68&amp;ROW()),TODAY())</f>
        <v>721</v>
      </c>
      <c r="L141">
        <f ca="1">DAYS360(INDIRECT(C69&amp;ROW()),TODAY())</f>
        <v>884</v>
      </c>
      <c r="M141" s="11">
        <f ca="1">HYPERLINK(CONCATENATE("https://bugzilla.houston.hp.com:1181/bugzilla/show_bug.cgi?id=",INDIRECT(C70&amp;ROW())),INDIRECT(C70&amp;ROW()))</f>
        <v>53342</v>
      </c>
      <c r="N141">
        <v>53342</v>
      </c>
      <c r="O141" t="s">
        <v>43</v>
      </c>
      <c r="P141" t="s">
        <v>378</v>
      </c>
      <c r="Q141" t="s">
        <v>25</v>
      </c>
      <c r="R141" t="s">
        <v>248</v>
      </c>
      <c r="S141" t="s">
        <v>36</v>
      </c>
      <c r="U141" s="6">
        <v>42125.442384259259</v>
      </c>
      <c r="V141" t="s">
        <v>18</v>
      </c>
      <c r="W141" t="s">
        <v>20</v>
      </c>
      <c r="X141" s="6">
        <v>41961.691874999997</v>
      </c>
      <c r="Y141" t="s">
        <v>122</v>
      </c>
      <c r="AB141" t="s">
        <v>201</v>
      </c>
      <c r="AC141" t="s">
        <v>121</v>
      </c>
      <c r="AD141" t="s">
        <v>220</v>
      </c>
      <c r="AE141" t="s">
        <v>219</v>
      </c>
      <c r="AG141" t="s">
        <v>121</v>
      </c>
      <c r="AH141" t="s">
        <v>327</v>
      </c>
      <c r="AI141" t="s">
        <v>121</v>
      </c>
      <c r="AJ141" t="s">
        <v>716</v>
      </c>
      <c r="AK141" t="s">
        <v>121</v>
      </c>
      <c r="AL141" t="s">
        <v>121</v>
      </c>
      <c r="AM141" t="s">
        <v>121</v>
      </c>
    </row>
    <row r="142" spans="9:39" x14ac:dyDescent="0.3">
      <c r="I142">
        <f ca="1">IF(OR(INDIRECT(A73&amp;ROW())=B93,INDIRECT(A73&amp;ROW())=B94),1,IF(AND(INDIRECT(A73&amp;ROW())=B95,INDIRECT(A96&amp;ROW())=C93),1,IF(AND(INDIRECT(A73&amp;ROW())=B95,INDIRECT(A96&amp;ROW())=C94),1,0)))</f>
        <v>0</v>
      </c>
      <c r="J142">
        <f ca="1">IF(AND(INDIRECT(A73&amp;ROW())=B95,INDIRECT(A96&amp;ROW())=C95),1,IF(AND(INDIRECT(A73&amp;ROW())=B95,INDIRECT(A96&amp;ROW())=C96),1,0))</f>
        <v>0</v>
      </c>
      <c r="K142">
        <f ca="1">DAYS360(INDIRECT(C68&amp;ROW()),TODAY())</f>
        <v>730</v>
      </c>
      <c r="L142">
        <f ca="1">DAYS360(INDIRECT(C69&amp;ROW()),TODAY())</f>
        <v>883</v>
      </c>
      <c r="M142" s="11">
        <f ca="1">HYPERLINK(CONCATENATE("https://bugzilla.houston.hp.com:1181/bugzilla/show_bug.cgi?id=",INDIRECT(C70&amp;ROW())),INDIRECT(C70&amp;ROW()))</f>
        <v>53355</v>
      </c>
      <c r="N142">
        <v>53355</v>
      </c>
      <c r="O142" t="s">
        <v>66</v>
      </c>
      <c r="P142" t="s">
        <v>488</v>
      </c>
      <c r="Q142" t="s">
        <v>16</v>
      </c>
      <c r="R142" t="s">
        <v>251</v>
      </c>
      <c r="S142" t="s">
        <v>374</v>
      </c>
      <c r="U142" s="6">
        <v>42116.543923611112</v>
      </c>
      <c r="V142" t="s">
        <v>35</v>
      </c>
      <c r="W142" t="s">
        <v>17</v>
      </c>
      <c r="X142" s="6">
        <v>41962.112662037034</v>
      </c>
      <c r="Y142" t="s">
        <v>787</v>
      </c>
      <c r="AB142" t="s">
        <v>199</v>
      </c>
      <c r="AC142" t="s">
        <v>247</v>
      </c>
      <c r="AD142" t="s">
        <v>220</v>
      </c>
      <c r="AE142" t="s">
        <v>219</v>
      </c>
      <c r="AG142" t="s">
        <v>588</v>
      </c>
      <c r="AH142" t="s">
        <v>327</v>
      </c>
      <c r="AI142" t="s">
        <v>121</v>
      </c>
      <c r="AJ142" t="s">
        <v>716</v>
      </c>
      <c r="AK142" t="s">
        <v>121</v>
      </c>
      <c r="AL142" t="s">
        <v>121</v>
      </c>
      <c r="AM142" t="s">
        <v>121</v>
      </c>
    </row>
    <row r="143" spans="9:39" x14ac:dyDescent="0.3">
      <c r="I143">
        <f ca="1">IF(OR(INDIRECT(A73&amp;ROW())=B93,INDIRECT(A73&amp;ROW())=B94),1,IF(AND(INDIRECT(A73&amp;ROW())=B95,INDIRECT(A96&amp;ROW())=C93),1,IF(AND(INDIRECT(A73&amp;ROW())=B95,INDIRECT(A96&amp;ROW())=C94),1,0)))</f>
        <v>0</v>
      </c>
      <c r="J143">
        <f ca="1">IF(AND(INDIRECT(A73&amp;ROW())=B95,INDIRECT(A96&amp;ROW())=C95),1,IF(AND(INDIRECT(A73&amp;ROW())=B95,INDIRECT(A96&amp;ROW())=C96),1,0))</f>
        <v>0</v>
      </c>
      <c r="K143">
        <f ca="1">DAYS360(INDIRECT(C68&amp;ROW()),TODAY())</f>
        <v>800</v>
      </c>
      <c r="L143">
        <f ca="1">DAYS360(INDIRECT(C69&amp;ROW()),TODAY())</f>
        <v>883</v>
      </c>
      <c r="M143" s="11">
        <f ca="1">HYPERLINK(CONCATENATE("https://bugzilla.houston.hp.com:1181/bugzilla/show_bug.cgi?id=",INDIRECT(C70&amp;ROW())),INDIRECT(C70&amp;ROW()))</f>
        <v>53402</v>
      </c>
      <c r="N143">
        <v>53402</v>
      </c>
      <c r="O143" t="s">
        <v>1345</v>
      </c>
      <c r="P143" t="s">
        <v>422</v>
      </c>
      <c r="Q143" t="s">
        <v>16</v>
      </c>
      <c r="R143" t="s">
        <v>248</v>
      </c>
      <c r="S143" t="s">
        <v>36</v>
      </c>
      <c r="U143" s="6">
        <v>42047.9452662037</v>
      </c>
      <c r="V143" t="s">
        <v>18</v>
      </c>
      <c r="W143" t="s">
        <v>27</v>
      </c>
      <c r="X143" s="6">
        <v>41962.478715277779</v>
      </c>
      <c r="Y143" t="s">
        <v>119</v>
      </c>
      <c r="AB143" t="s">
        <v>201</v>
      </c>
      <c r="AC143" t="s">
        <v>121</v>
      </c>
      <c r="AD143" t="s">
        <v>222</v>
      </c>
      <c r="AE143" t="s">
        <v>225</v>
      </c>
      <c r="AG143" t="s">
        <v>121</v>
      </c>
      <c r="AH143" t="s">
        <v>327</v>
      </c>
      <c r="AI143" t="s">
        <v>121</v>
      </c>
      <c r="AJ143" t="s">
        <v>717</v>
      </c>
      <c r="AK143" t="s">
        <v>121</v>
      </c>
      <c r="AL143" t="s">
        <v>121</v>
      </c>
      <c r="AM143" t="s">
        <v>121</v>
      </c>
    </row>
    <row r="144" spans="9:39" x14ac:dyDescent="0.3">
      <c r="I144">
        <f ca="1">IF(OR(INDIRECT(A73&amp;ROW())=B93,INDIRECT(A73&amp;ROW())=B94),1,IF(AND(INDIRECT(A73&amp;ROW())=B95,INDIRECT(A96&amp;ROW())=C93),1,IF(AND(INDIRECT(A73&amp;ROW())=B95,INDIRECT(A96&amp;ROW())=C94),1,0)))</f>
        <v>0</v>
      </c>
      <c r="J144">
        <f ca="1">IF(AND(INDIRECT(A73&amp;ROW())=B95,INDIRECT(A96&amp;ROW())=C95),1,IF(AND(INDIRECT(A73&amp;ROW())=B95,INDIRECT(A96&amp;ROW())=C96),1,0))</f>
        <v>0</v>
      </c>
      <c r="K144">
        <f ca="1">DAYS360(INDIRECT(C68&amp;ROW()),TODAY())</f>
        <v>687</v>
      </c>
      <c r="L144">
        <f ca="1">DAYS360(INDIRECT(C69&amp;ROW()),TODAY())</f>
        <v>883</v>
      </c>
      <c r="M144" s="11">
        <f ca="1">HYPERLINK(CONCATENATE("https://bugzilla.houston.hp.com:1181/bugzilla/show_bug.cgi?id=",INDIRECT(C70&amp;ROW())),INDIRECT(C70&amp;ROW()))</f>
        <v>53408</v>
      </c>
      <c r="N144">
        <v>53408</v>
      </c>
      <c r="O144" t="s">
        <v>55</v>
      </c>
      <c r="P144" t="s">
        <v>1376</v>
      </c>
      <c r="Q144" t="s">
        <v>16</v>
      </c>
      <c r="R144" t="s">
        <v>1341</v>
      </c>
      <c r="S144" t="s">
        <v>55</v>
      </c>
      <c r="T144" t="s">
        <v>1377</v>
      </c>
      <c r="U144" s="6">
        <v>42160.428344907406</v>
      </c>
      <c r="V144" t="s">
        <v>35</v>
      </c>
      <c r="W144" t="s">
        <v>17</v>
      </c>
      <c r="X144" s="6">
        <v>41962.492731481485</v>
      </c>
      <c r="Y144" t="s">
        <v>122</v>
      </c>
      <c r="AB144" t="s">
        <v>1372</v>
      </c>
      <c r="AC144" t="s">
        <v>1027</v>
      </c>
      <c r="AD144" t="s">
        <v>222</v>
      </c>
      <c r="AE144" t="s">
        <v>233</v>
      </c>
      <c r="AG144" t="s">
        <v>121</v>
      </c>
      <c r="AH144" t="s">
        <v>327</v>
      </c>
      <c r="AI144" t="s">
        <v>121</v>
      </c>
      <c r="AJ144" t="s">
        <v>717</v>
      </c>
      <c r="AK144" t="s">
        <v>121</v>
      </c>
      <c r="AL144" t="s">
        <v>121</v>
      </c>
      <c r="AM144" t="s">
        <v>121</v>
      </c>
    </row>
    <row r="145" spans="9:39" x14ac:dyDescent="0.3">
      <c r="I145">
        <f ca="1">IF(OR(INDIRECT(A73&amp;ROW())=B93,INDIRECT(A73&amp;ROW())=B94),1,IF(AND(INDIRECT(A73&amp;ROW())=B95,INDIRECT(A96&amp;ROW())=C93),1,IF(AND(INDIRECT(A73&amp;ROW())=B95,INDIRECT(A96&amp;ROW())=C94),1,0)))</f>
        <v>0</v>
      </c>
      <c r="J145">
        <f ca="1">IF(AND(INDIRECT(A73&amp;ROW())=B95,INDIRECT(A96&amp;ROW())=C95),1,IF(AND(INDIRECT(A73&amp;ROW())=B95,INDIRECT(A96&amp;ROW())=C96),1,0))</f>
        <v>1</v>
      </c>
      <c r="K145">
        <f ca="1">DAYS360(INDIRECT(C68&amp;ROW()),TODAY())</f>
        <v>800</v>
      </c>
      <c r="L145">
        <f ca="1">DAYS360(INDIRECT(C69&amp;ROW()),TODAY())</f>
        <v>883</v>
      </c>
      <c r="M145" s="11">
        <f ca="1">HYPERLINK(CONCATENATE("https://bugzilla.houston.hp.com:1181/bugzilla/show_bug.cgi?id=",INDIRECT(C70&amp;ROW())),INDIRECT(C70&amp;ROW()))</f>
        <v>53415</v>
      </c>
      <c r="N145">
        <v>53415</v>
      </c>
      <c r="O145" t="s">
        <v>56</v>
      </c>
      <c r="P145" t="s">
        <v>421</v>
      </c>
      <c r="Q145" t="s">
        <v>25</v>
      </c>
      <c r="R145" t="s">
        <v>248</v>
      </c>
      <c r="S145" t="s">
        <v>36</v>
      </c>
      <c r="U145" s="6">
        <v>42047.945960648147</v>
      </c>
      <c r="V145" t="s">
        <v>18</v>
      </c>
      <c r="W145" t="s">
        <v>89</v>
      </c>
      <c r="X145" s="6">
        <v>41962.515706018516</v>
      </c>
      <c r="Y145" t="s">
        <v>786</v>
      </c>
      <c r="AB145" t="s">
        <v>201</v>
      </c>
      <c r="AC145" t="s">
        <v>121</v>
      </c>
      <c r="AD145" t="s">
        <v>220</v>
      </c>
      <c r="AE145" t="s">
        <v>219</v>
      </c>
      <c r="AG145" t="s">
        <v>121</v>
      </c>
      <c r="AH145" t="s">
        <v>327</v>
      </c>
      <c r="AI145" t="s">
        <v>121</v>
      </c>
      <c r="AJ145" t="s">
        <v>716</v>
      </c>
      <c r="AK145" t="s">
        <v>121</v>
      </c>
      <c r="AL145" t="s">
        <v>121</v>
      </c>
      <c r="AM145" t="s">
        <v>121</v>
      </c>
    </row>
    <row r="146" spans="9:39" x14ac:dyDescent="0.3">
      <c r="I146">
        <f ca="1">IF(OR(INDIRECT(A73&amp;ROW())=B93,INDIRECT(A73&amp;ROW())=B94),1,IF(AND(INDIRECT(A73&amp;ROW())=B95,INDIRECT(A96&amp;ROW())=C93),1,IF(AND(INDIRECT(A73&amp;ROW())=B95,INDIRECT(A96&amp;ROW())=C94),1,0)))</f>
        <v>0</v>
      </c>
      <c r="J146">
        <f ca="1">IF(AND(INDIRECT(A73&amp;ROW())=B95,INDIRECT(A96&amp;ROW())=C95),1,IF(AND(INDIRECT(A73&amp;ROW())=B95,INDIRECT(A96&amp;ROW())=C96),1,0))</f>
        <v>0</v>
      </c>
      <c r="K146">
        <f ca="1">DAYS360(INDIRECT(C68&amp;ROW()),TODAY())</f>
        <v>800</v>
      </c>
      <c r="L146">
        <f ca="1">DAYS360(INDIRECT(C69&amp;ROW()),TODAY())</f>
        <v>883</v>
      </c>
      <c r="M146" s="11">
        <f ca="1">HYPERLINK(CONCATENATE("https://bugzilla.houston.hp.com:1181/bugzilla/show_bug.cgi?id=",INDIRECT(C70&amp;ROW())),INDIRECT(C70&amp;ROW()))</f>
        <v>53420</v>
      </c>
      <c r="N146">
        <v>53420</v>
      </c>
      <c r="O146" t="s">
        <v>1345</v>
      </c>
      <c r="P146" t="s">
        <v>420</v>
      </c>
      <c r="Q146" t="s">
        <v>16</v>
      </c>
      <c r="R146" t="s">
        <v>248</v>
      </c>
      <c r="S146" t="s">
        <v>36</v>
      </c>
      <c r="U146" s="6">
        <v>42047.944016203706</v>
      </c>
      <c r="V146" t="s">
        <v>18</v>
      </c>
      <c r="W146" t="s">
        <v>79</v>
      </c>
      <c r="X146" s="6">
        <v>41962.525289351855</v>
      </c>
      <c r="Y146" t="s">
        <v>119</v>
      </c>
      <c r="AB146" t="s">
        <v>201</v>
      </c>
      <c r="AC146" t="s">
        <v>121</v>
      </c>
      <c r="AD146" t="s">
        <v>222</v>
      </c>
      <c r="AE146" t="s">
        <v>240</v>
      </c>
      <c r="AG146" t="s">
        <v>121</v>
      </c>
      <c r="AH146" t="s">
        <v>327</v>
      </c>
      <c r="AI146" t="s">
        <v>121</v>
      </c>
      <c r="AJ146" t="s">
        <v>717</v>
      </c>
      <c r="AK146" t="s">
        <v>121</v>
      </c>
      <c r="AL146" t="s">
        <v>121</v>
      </c>
      <c r="AM146" t="s">
        <v>121</v>
      </c>
    </row>
    <row r="147" spans="9:39" x14ac:dyDescent="0.3">
      <c r="I147">
        <f ca="1">IF(OR(INDIRECT(A73&amp;ROW())=B93,INDIRECT(A73&amp;ROW())=B94),1,IF(AND(INDIRECT(A73&amp;ROW())=B95,INDIRECT(A96&amp;ROW())=C93),1,IF(AND(INDIRECT(A73&amp;ROW())=B95,INDIRECT(A96&amp;ROW())=C94),1,0)))</f>
        <v>0</v>
      </c>
      <c r="J147">
        <f ca="1">IF(AND(INDIRECT(A73&amp;ROW())=B95,INDIRECT(A96&amp;ROW())=C95),1,IF(AND(INDIRECT(A73&amp;ROW())=B95,INDIRECT(A96&amp;ROW())=C96),1,0))</f>
        <v>0</v>
      </c>
      <c r="K147">
        <f ca="1">DAYS360(INDIRECT(C68&amp;ROW()),TODAY())</f>
        <v>681</v>
      </c>
      <c r="L147">
        <f ca="1">DAYS360(INDIRECT(C69&amp;ROW()),TODAY())</f>
        <v>883</v>
      </c>
      <c r="M147" s="11">
        <f ca="1">HYPERLINK(CONCATENATE("https://bugzilla.houston.hp.com:1181/bugzilla/show_bug.cgi?id=",INDIRECT(C70&amp;ROW())),INDIRECT(C70&amp;ROW()))</f>
        <v>53425</v>
      </c>
      <c r="N147">
        <v>53425</v>
      </c>
      <c r="O147" t="s">
        <v>56</v>
      </c>
      <c r="P147" t="s">
        <v>419</v>
      </c>
      <c r="Q147" t="s">
        <v>16</v>
      </c>
      <c r="R147" t="s">
        <v>248</v>
      </c>
      <c r="S147" t="s">
        <v>36</v>
      </c>
      <c r="U147" s="6">
        <v>42166.355740740742</v>
      </c>
      <c r="V147" t="s">
        <v>18</v>
      </c>
      <c r="W147" t="s">
        <v>27</v>
      </c>
      <c r="X147" s="6">
        <v>41962.529432870368</v>
      </c>
      <c r="Y147" t="s">
        <v>119</v>
      </c>
      <c r="AB147" t="s">
        <v>201</v>
      </c>
      <c r="AC147" t="s">
        <v>121</v>
      </c>
      <c r="AD147" t="s">
        <v>220</v>
      </c>
      <c r="AE147" t="s">
        <v>219</v>
      </c>
      <c r="AG147" t="s">
        <v>121</v>
      </c>
      <c r="AH147" t="s">
        <v>327</v>
      </c>
      <c r="AI147" t="s">
        <v>121</v>
      </c>
      <c r="AJ147" t="s">
        <v>717</v>
      </c>
      <c r="AK147" t="s">
        <v>121</v>
      </c>
      <c r="AL147" t="s">
        <v>121</v>
      </c>
      <c r="AM147" t="s">
        <v>121</v>
      </c>
    </row>
    <row r="148" spans="9:39" x14ac:dyDescent="0.3">
      <c r="I148">
        <f ca="1">IF(OR(INDIRECT(A73&amp;ROW())=B93,INDIRECT(A73&amp;ROW())=B94),1,IF(AND(INDIRECT(A73&amp;ROW())=B95,INDIRECT(A96&amp;ROW())=C93),1,IF(AND(INDIRECT(A73&amp;ROW())=B95,INDIRECT(A96&amp;ROW())=C94),1,0)))</f>
        <v>0</v>
      </c>
      <c r="J148">
        <f ca="1">IF(AND(INDIRECT(A73&amp;ROW())=B95,INDIRECT(A96&amp;ROW())=C95),1,IF(AND(INDIRECT(A73&amp;ROW())=B95,INDIRECT(A96&amp;ROW())=C96),1,0))</f>
        <v>0</v>
      </c>
      <c r="K148">
        <f ca="1">DAYS360(INDIRECT(C68&amp;ROW()),TODAY())</f>
        <v>769</v>
      </c>
      <c r="L148">
        <f ca="1">DAYS360(INDIRECT(C69&amp;ROW()),TODAY())</f>
        <v>883</v>
      </c>
      <c r="M148" s="11">
        <f ca="1">HYPERLINK(CONCATENATE("https://bugzilla.houston.hp.com:1181/bugzilla/show_bug.cgi?id=",INDIRECT(C70&amp;ROW())),INDIRECT(C70&amp;ROW()))</f>
        <v>53441</v>
      </c>
      <c r="N148">
        <v>53441</v>
      </c>
      <c r="O148" t="s">
        <v>56</v>
      </c>
      <c r="P148" t="s">
        <v>1378</v>
      </c>
      <c r="Q148" t="s">
        <v>16</v>
      </c>
      <c r="R148" t="s">
        <v>251</v>
      </c>
      <c r="S148" t="s">
        <v>68</v>
      </c>
      <c r="U148" s="6">
        <v>42076.53229166667</v>
      </c>
      <c r="V148" t="s">
        <v>18</v>
      </c>
      <c r="W148" t="s">
        <v>248</v>
      </c>
      <c r="X148" s="6">
        <v>41962.592997685184</v>
      </c>
      <c r="Y148" t="s">
        <v>118</v>
      </c>
      <c r="AB148" t="s">
        <v>199</v>
      </c>
      <c r="AC148" t="s">
        <v>247</v>
      </c>
      <c r="AD148" t="s">
        <v>220</v>
      </c>
      <c r="AE148" t="s">
        <v>219</v>
      </c>
      <c r="AG148" t="s">
        <v>121</v>
      </c>
      <c r="AH148" t="s">
        <v>327</v>
      </c>
      <c r="AI148" t="s">
        <v>121</v>
      </c>
      <c r="AJ148" t="s">
        <v>716</v>
      </c>
      <c r="AK148" t="s">
        <v>121</v>
      </c>
      <c r="AL148" t="s">
        <v>121</v>
      </c>
      <c r="AM148" t="s">
        <v>121</v>
      </c>
    </row>
    <row r="149" spans="9:39" x14ac:dyDescent="0.3">
      <c r="I149">
        <f ca="1">IF(OR(INDIRECT(A73&amp;ROW())=B93,INDIRECT(A73&amp;ROW())=B94),1,IF(AND(INDIRECT(A73&amp;ROW())=B95,INDIRECT(A96&amp;ROW())=C93),1,IF(AND(INDIRECT(A73&amp;ROW())=B95,INDIRECT(A96&amp;ROW())=C94),1,0)))</f>
        <v>0</v>
      </c>
      <c r="J149">
        <f ca="1">IF(AND(INDIRECT(A73&amp;ROW())=B95,INDIRECT(A96&amp;ROW())=C95),1,IF(AND(INDIRECT(A73&amp;ROW())=B95,INDIRECT(A96&amp;ROW())=C96),1,0))</f>
        <v>0</v>
      </c>
      <c r="K149">
        <f ca="1">DAYS360(INDIRECT(C68&amp;ROW()),TODAY())</f>
        <v>721</v>
      </c>
      <c r="L149">
        <f ca="1">DAYS360(INDIRECT(C69&amp;ROW()),TODAY())</f>
        <v>883</v>
      </c>
      <c r="M149" s="11">
        <f ca="1">HYPERLINK(CONCATENATE("https://bugzilla.houston.hp.com:1181/bugzilla/show_bug.cgi?id=",INDIRECT(C70&amp;ROW())),INDIRECT(C70&amp;ROW()))</f>
        <v>53446</v>
      </c>
      <c r="N149">
        <v>53446</v>
      </c>
      <c r="O149" t="s">
        <v>56</v>
      </c>
      <c r="P149" t="s">
        <v>674</v>
      </c>
      <c r="Q149" t="s">
        <v>16</v>
      </c>
      <c r="R149" t="s">
        <v>251</v>
      </c>
      <c r="S149" t="s">
        <v>55</v>
      </c>
      <c r="U149" s="6">
        <v>42125.448657407411</v>
      </c>
      <c r="V149" t="s">
        <v>18</v>
      </c>
      <c r="W149" t="s">
        <v>17</v>
      </c>
      <c r="X149" s="6">
        <v>41962.642233796294</v>
      </c>
      <c r="Y149" t="s">
        <v>122</v>
      </c>
      <c r="AB149" t="s">
        <v>201</v>
      </c>
      <c r="AC149" t="s">
        <v>247</v>
      </c>
      <c r="AD149" t="s">
        <v>220</v>
      </c>
      <c r="AE149" t="s">
        <v>219</v>
      </c>
      <c r="AG149" t="s">
        <v>121</v>
      </c>
      <c r="AH149" t="s">
        <v>327</v>
      </c>
      <c r="AI149" t="s">
        <v>121</v>
      </c>
      <c r="AJ149" t="s">
        <v>717</v>
      </c>
      <c r="AK149" t="s">
        <v>121</v>
      </c>
      <c r="AL149" t="s">
        <v>121</v>
      </c>
      <c r="AM149" t="s">
        <v>121</v>
      </c>
    </row>
    <row r="150" spans="9:39" x14ac:dyDescent="0.3">
      <c r="I150">
        <f ca="1">IF(OR(INDIRECT(A73&amp;ROW())=B93,INDIRECT(A73&amp;ROW())=B94),1,IF(AND(INDIRECT(A73&amp;ROW())=B95,INDIRECT(A96&amp;ROW())=C93),1,IF(AND(INDIRECT(A73&amp;ROW())=B95,INDIRECT(A96&amp;ROW())=C94),1,0)))</f>
        <v>1</v>
      </c>
      <c r="J150">
        <f ca="1">IF(AND(INDIRECT(A73&amp;ROW())=B95,INDIRECT(A96&amp;ROW())=C95),1,IF(AND(INDIRECT(A73&amp;ROW())=B95,INDIRECT(A96&amp;ROW())=C96),1,0))</f>
        <v>0</v>
      </c>
      <c r="K150">
        <f ca="1">DAYS360(INDIRECT(C68&amp;ROW()),TODAY())</f>
        <v>620</v>
      </c>
      <c r="L150">
        <f ca="1">DAYS360(INDIRECT(C69&amp;ROW()),TODAY())</f>
        <v>882</v>
      </c>
      <c r="M150" s="11">
        <f ca="1">HYPERLINK(CONCATENATE("https://bugzilla.houston.hp.com:1181/bugzilla/show_bug.cgi?id=",INDIRECT(C70&amp;ROW())),INDIRECT(C70&amp;ROW()))</f>
        <v>53480</v>
      </c>
      <c r="N150">
        <v>53480</v>
      </c>
      <c r="O150" t="s">
        <v>180</v>
      </c>
      <c r="P150" t="s">
        <v>418</v>
      </c>
      <c r="Q150" t="s">
        <v>25</v>
      </c>
      <c r="R150" t="s">
        <v>248</v>
      </c>
      <c r="S150" t="s">
        <v>36</v>
      </c>
      <c r="T150" t="s">
        <v>794</v>
      </c>
      <c r="U150" s="6">
        <v>42228.757615740738</v>
      </c>
      <c r="V150" t="s">
        <v>18</v>
      </c>
      <c r="W150" t="s">
        <v>171</v>
      </c>
      <c r="X150" s="6">
        <v>41963.306967592594</v>
      </c>
      <c r="Y150" t="s">
        <v>119</v>
      </c>
      <c r="AB150" t="s">
        <v>200</v>
      </c>
      <c r="AC150" t="s">
        <v>121</v>
      </c>
      <c r="AD150" t="s">
        <v>222</v>
      </c>
      <c r="AE150" t="s">
        <v>221</v>
      </c>
      <c r="AG150" t="s">
        <v>121</v>
      </c>
      <c r="AH150" t="s">
        <v>327</v>
      </c>
      <c r="AI150" t="s">
        <v>121</v>
      </c>
      <c r="AJ150" t="s">
        <v>715</v>
      </c>
      <c r="AK150" t="s">
        <v>121</v>
      </c>
      <c r="AL150" t="s">
        <v>121</v>
      </c>
      <c r="AM150" t="s">
        <v>121</v>
      </c>
    </row>
    <row r="151" spans="9:39" x14ac:dyDescent="0.3">
      <c r="I151">
        <f ca="1">IF(OR(INDIRECT(A73&amp;ROW())=B93,INDIRECT(A73&amp;ROW())=B94),1,IF(AND(INDIRECT(A73&amp;ROW())=B95,INDIRECT(A96&amp;ROW())=C93),1,IF(AND(INDIRECT(A73&amp;ROW())=B95,INDIRECT(A96&amp;ROW())=C94),1,0)))</f>
        <v>0</v>
      </c>
      <c r="J151">
        <f ca="1">IF(AND(INDIRECT(A73&amp;ROW())=B95,INDIRECT(A96&amp;ROW())=C95),1,IF(AND(INDIRECT(A73&amp;ROW())=B95,INDIRECT(A96&amp;ROW())=C96),1,0))</f>
        <v>0</v>
      </c>
      <c r="K151">
        <f ca="1">DAYS360(INDIRECT(C68&amp;ROW()),TODAY())</f>
        <v>721</v>
      </c>
      <c r="L151">
        <f ca="1">DAYS360(INDIRECT(C69&amp;ROW()),TODAY())</f>
        <v>882</v>
      </c>
      <c r="M151" s="11">
        <f ca="1">HYPERLINK(CONCATENATE("https://bugzilla.houston.hp.com:1181/bugzilla/show_bug.cgi?id=",INDIRECT(C70&amp;ROW())),INDIRECT(C70&amp;ROW()))</f>
        <v>53489</v>
      </c>
      <c r="N151">
        <v>53489</v>
      </c>
      <c r="O151" t="s">
        <v>21</v>
      </c>
      <c r="P151" t="s">
        <v>417</v>
      </c>
      <c r="Q151" t="s">
        <v>16</v>
      </c>
      <c r="R151" t="s">
        <v>248</v>
      </c>
      <c r="S151" t="s">
        <v>36</v>
      </c>
      <c r="U151" s="6">
        <v>42125.442152777781</v>
      </c>
      <c r="V151" t="s">
        <v>18</v>
      </c>
      <c r="W151" t="s">
        <v>171</v>
      </c>
      <c r="X151" s="6">
        <v>41963.308657407404</v>
      </c>
      <c r="Y151" t="s">
        <v>122</v>
      </c>
      <c r="AB151" t="s">
        <v>201</v>
      </c>
      <c r="AC151" t="s">
        <v>121</v>
      </c>
      <c r="AD151" t="s">
        <v>222</v>
      </c>
      <c r="AE151" t="s">
        <v>225</v>
      </c>
      <c r="AG151" t="s">
        <v>121</v>
      </c>
      <c r="AH151" t="s">
        <v>327</v>
      </c>
      <c r="AI151" t="s">
        <v>121</v>
      </c>
      <c r="AJ151" t="s">
        <v>717</v>
      </c>
      <c r="AK151" t="s">
        <v>121</v>
      </c>
      <c r="AL151" t="s">
        <v>121</v>
      </c>
      <c r="AM151" t="s">
        <v>121</v>
      </c>
    </row>
    <row r="152" spans="9:39" x14ac:dyDescent="0.3">
      <c r="I152">
        <f ca="1">IF(OR(INDIRECT(A73&amp;ROW())=B93,INDIRECT(A73&amp;ROW())=B94),1,IF(AND(INDIRECT(A73&amp;ROW())=B95,INDIRECT(A96&amp;ROW())=C93),1,IF(AND(INDIRECT(A73&amp;ROW())=B95,INDIRECT(A96&amp;ROW())=C94),1,0)))</f>
        <v>0</v>
      </c>
      <c r="J152">
        <f ca="1">IF(AND(INDIRECT(A73&amp;ROW())=B95,INDIRECT(A96&amp;ROW())=C95),1,IF(AND(INDIRECT(A73&amp;ROW())=B95,INDIRECT(A96&amp;ROW())=C96),1,0))</f>
        <v>0</v>
      </c>
      <c r="K152">
        <f ca="1">DAYS360(INDIRECT(C68&amp;ROW()),TODAY())</f>
        <v>721</v>
      </c>
      <c r="L152">
        <f ca="1">DAYS360(INDIRECT(C69&amp;ROW()),TODAY())</f>
        <v>882</v>
      </c>
      <c r="M152" s="11">
        <f ca="1">HYPERLINK(CONCATENATE("https://bugzilla.houston.hp.com:1181/bugzilla/show_bug.cgi?id=",INDIRECT(C70&amp;ROW())),INDIRECT(C70&amp;ROW()))</f>
        <v>53492</v>
      </c>
      <c r="N152">
        <v>53492</v>
      </c>
      <c r="O152" t="s">
        <v>180</v>
      </c>
      <c r="P152" t="s">
        <v>416</v>
      </c>
      <c r="Q152" t="s">
        <v>16</v>
      </c>
      <c r="R152" t="s">
        <v>248</v>
      </c>
      <c r="S152" t="s">
        <v>36</v>
      </c>
      <c r="U152" s="6">
        <v>42125.442372685182</v>
      </c>
      <c r="V152" t="s">
        <v>18</v>
      </c>
      <c r="W152" t="s">
        <v>172</v>
      </c>
      <c r="X152" s="6">
        <v>41963.308993055558</v>
      </c>
      <c r="Y152" t="s">
        <v>122</v>
      </c>
      <c r="AB152" t="s">
        <v>200</v>
      </c>
      <c r="AC152" t="s">
        <v>121</v>
      </c>
      <c r="AD152" t="s">
        <v>222</v>
      </c>
      <c r="AE152" t="s">
        <v>225</v>
      </c>
      <c r="AG152" t="s">
        <v>121</v>
      </c>
      <c r="AH152" t="s">
        <v>327</v>
      </c>
      <c r="AI152" t="s">
        <v>121</v>
      </c>
      <c r="AJ152" t="s">
        <v>716</v>
      </c>
      <c r="AK152" t="s">
        <v>121</v>
      </c>
      <c r="AL152" t="s">
        <v>121</v>
      </c>
      <c r="AM152" t="s">
        <v>121</v>
      </c>
    </row>
    <row r="153" spans="9:39" x14ac:dyDescent="0.3">
      <c r="I153">
        <f ca="1">IF(OR(INDIRECT(A73&amp;ROW())=B93,INDIRECT(A73&amp;ROW())=B94),1,IF(AND(INDIRECT(A73&amp;ROW())=B95,INDIRECT(A96&amp;ROW())=C93),1,IF(AND(INDIRECT(A73&amp;ROW())=B95,INDIRECT(A96&amp;ROW())=C94),1,0)))</f>
        <v>0</v>
      </c>
      <c r="J153">
        <f ca="1">IF(AND(INDIRECT(A73&amp;ROW())=B95,INDIRECT(A96&amp;ROW())=C95),1,IF(AND(INDIRECT(A73&amp;ROW())=B95,INDIRECT(A96&amp;ROW())=C96),1,0))</f>
        <v>0</v>
      </c>
      <c r="K153">
        <f ca="1">DAYS360(INDIRECT(C68&amp;ROW()),TODAY())</f>
        <v>721</v>
      </c>
      <c r="L153">
        <f ca="1">DAYS360(INDIRECT(C69&amp;ROW()),TODAY())</f>
        <v>882</v>
      </c>
      <c r="M153" s="11">
        <f ca="1">HYPERLINK(CONCATENATE("https://bugzilla.houston.hp.com:1181/bugzilla/show_bug.cgi?id=",INDIRECT(C70&amp;ROW())),INDIRECT(C70&amp;ROW()))</f>
        <v>53504</v>
      </c>
      <c r="N153">
        <v>53504</v>
      </c>
      <c r="O153" t="s">
        <v>213</v>
      </c>
      <c r="P153" t="s">
        <v>415</v>
      </c>
      <c r="Q153" t="s">
        <v>16</v>
      </c>
      <c r="R153" t="s">
        <v>248</v>
      </c>
      <c r="S153" t="s">
        <v>36</v>
      </c>
      <c r="U153" s="6">
        <v>42125.443923611114</v>
      </c>
      <c r="V153" t="s">
        <v>18</v>
      </c>
      <c r="W153" t="s">
        <v>172</v>
      </c>
      <c r="X153" s="6">
        <v>41963.310601851852</v>
      </c>
      <c r="Y153" t="s">
        <v>122</v>
      </c>
      <c r="AB153" t="s">
        <v>201</v>
      </c>
      <c r="AC153" t="s">
        <v>121</v>
      </c>
      <c r="AD153" t="s">
        <v>220</v>
      </c>
      <c r="AE153" t="s">
        <v>219</v>
      </c>
      <c r="AG153" t="s">
        <v>121</v>
      </c>
      <c r="AH153" t="s">
        <v>327</v>
      </c>
      <c r="AI153" t="s">
        <v>121</v>
      </c>
      <c r="AJ153" t="s">
        <v>717</v>
      </c>
      <c r="AK153" t="s">
        <v>121</v>
      </c>
      <c r="AL153" t="s">
        <v>121</v>
      </c>
      <c r="AM153" t="s">
        <v>121</v>
      </c>
    </row>
    <row r="154" spans="9:39" x14ac:dyDescent="0.3">
      <c r="I154">
        <f ca="1">IF(OR(INDIRECT(A73&amp;ROW())=B93,INDIRECT(A73&amp;ROW())=B94),1,IF(AND(INDIRECT(A73&amp;ROW())=B95,INDIRECT(A96&amp;ROW())=C93),1,IF(AND(INDIRECT(A73&amp;ROW())=B95,INDIRECT(A96&amp;ROW())=C94),1,0)))</f>
        <v>0</v>
      </c>
      <c r="J154">
        <f ca="1">IF(AND(INDIRECT(A73&amp;ROW())=B95,INDIRECT(A96&amp;ROW())=C95),1,IF(AND(INDIRECT(A73&amp;ROW())=B95,INDIRECT(A96&amp;ROW())=C96),1,0))</f>
        <v>1</v>
      </c>
      <c r="K154">
        <f ca="1">DAYS360(INDIRECT(C68&amp;ROW()),TODAY())</f>
        <v>800</v>
      </c>
      <c r="L154">
        <f ca="1">DAYS360(INDIRECT(C69&amp;ROW()),TODAY())</f>
        <v>882</v>
      </c>
      <c r="M154" s="11">
        <f ca="1">HYPERLINK(CONCATENATE("https://bugzilla.houston.hp.com:1181/bugzilla/show_bug.cgi?id=",INDIRECT(C70&amp;ROW())),INDIRECT(C70&amp;ROW()))</f>
        <v>53507</v>
      </c>
      <c r="N154">
        <v>53507</v>
      </c>
      <c r="O154" t="s">
        <v>56</v>
      </c>
      <c r="P154" t="s">
        <v>414</v>
      </c>
      <c r="Q154" t="s">
        <v>25</v>
      </c>
      <c r="R154" t="s">
        <v>248</v>
      </c>
      <c r="S154" t="s">
        <v>36</v>
      </c>
      <c r="U154" s="6">
        <v>42047.945706018516</v>
      </c>
      <c r="V154" t="s">
        <v>18</v>
      </c>
      <c r="W154" t="s">
        <v>215</v>
      </c>
      <c r="X154" s="6">
        <v>41963.311215277776</v>
      </c>
      <c r="Y154" t="s">
        <v>244</v>
      </c>
      <c r="AB154" t="s">
        <v>201</v>
      </c>
      <c r="AC154" t="s">
        <v>121</v>
      </c>
      <c r="AD154" t="s">
        <v>220</v>
      </c>
      <c r="AE154" t="s">
        <v>219</v>
      </c>
      <c r="AG154" t="s">
        <v>121</v>
      </c>
      <c r="AH154" t="s">
        <v>327</v>
      </c>
      <c r="AI154" t="s">
        <v>121</v>
      </c>
      <c r="AJ154" t="s">
        <v>716</v>
      </c>
      <c r="AK154" t="s">
        <v>121</v>
      </c>
      <c r="AL154" t="s">
        <v>121</v>
      </c>
      <c r="AM154" t="s">
        <v>121</v>
      </c>
    </row>
    <row r="155" spans="9:39" x14ac:dyDescent="0.3">
      <c r="I155">
        <f ca="1">IF(OR(INDIRECT(A73&amp;ROW())=B93,INDIRECT(A73&amp;ROW())=B94),1,IF(AND(INDIRECT(A73&amp;ROW())=B95,INDIRECT(A96&amp;ROW())=C93),1,IF(AND(INDIRECT(A73&amp;ROW())=B95,INDIRECT(A96&amp;ROW())=C94),1,0)))</f>
        <v>0</v>
      </c>
      <c r="J155">
        <f ca="1">IF(AND(INDIRECT(A73&amp;ROW())=B95,INDIRECT(A96&amp;ROW())=C95),1,IF(AND(INDIRECT(A73&amp;ROW())=B95,INDIRECT(A96&amp;ROW())=C96),1,0))</f>
        <v>0</v>
      </c>
      <c r="K155">
        <f ca="1">DAYS360(INDIRECT(C68&amp;ROW()),TODAY())</f>
        <v>800</v>
      </c>
      <c r="L155">
        <f ca="1">DAYS360(INDIRECT(C69&amp;ROW()),TODAY())</f>
        <v>882</v>
      </c>
      <c r="M155" s="11">
        <f ca="1">HYPERLINK(CONCATENATE("https://bugzilla.houston.hp.com:1181/bugzilla/show_bug.cgi?id=",INDIRECT(C70&amp;ROW())),INDIRECT(C70&amp;ROW()))</f>
        <v>53510</v>
      </c>
      <c r="N155">
        <v>53510</v>
      </c>
      <c r="O155" t="s">
        <v>1345</v>
      </c>
      <c r="P155" t="s">
        <v>413</v>
      </c>
      <c r="Q155" t="s">
        <v>16</v>
      </c>
      <c r="R155" t="s">
        <v>248</v>
      </c>
      <c r="S155" t="s">
        <v>36</v>
      </c>
      <c r="U155" s="6">
        <v>42047.943113425928</v>
      </c>
      <c r="V155" t="s">
        <v>18</v>
      </c>
      <c r="W155" t="s">
        <v>215</v>
      </c>
      <c r="X155" s="6">
        <v>41963.311759259261</v>
      </c>
      <c r="Y155" t="s">
        <v>119</v>
      </c>
      <c r="AB155" t="s">
        <v>201</v>
      </c>
      <c r="AC155" t="s">
        <v>121</v>
      </c>
      <c r="AD155" t="s">
        <v>222</v>
      </c>
      <c r="AE155" t="s">
        <v>240</v>
      </c>
      <c r="AG155" t="s">
        <v>121</v>
      </c>
      <c r="AH155" t="s">
        <v>327</v>
      </c>
      <c r="AI155" t="s">
        <v>121</v>
      </c>
      <c r="AJ155" t="s">
        <v>717</v>
      </c>
      <c r="AK155" t="s">
        <v>121</v>
      </c>
      <c r="AL155" t="s">
        <v>121</v>
      </c>
      <c r="AM155" t="s">
        <v>121</v>
      </c>
    </row>
    <row r="156" spans="9:39" x14ac:dyDescent="0.3">
      <c r="I156">
        <f ca="1">IF(OR(INDIRECT(A73&amp;ROW())=B93,INDIRECT(A73&amp;ROW())=B94),1,IF(AND(INDIRECT(A73&amp;ROW())=B95,INDIRECT(A96&amp;ROW())=C93),1,IF(AND(INDIRECT(A73&amp;ROW())=B95,INDIRECT(A96&amp;ROW())=C94),1,0)))</f>
        <v>1</v>
      </c>
      <c r="J156">
        <f ca="1">IF(AND(INDIRECT(A73&amp;ROW())=B95,INDIRECT(A96&amp;ROW())=C95),1,IF(AND(INDIRECT(A73&amp;ROW())=B95,INDIRECT(A96&amp;ROW())=C96),1,0))</f>
        <v>0</v>
      </c>
      <c r="K156">
        <f ca="1">DAYS360(INDIRECT(C68&amp;ROW()),TODAY())</f>
        <v>803</v>
      </c>
      <c r="L156">
        <f ca="1">DAYS360(INDIRECT(C69&amp;ROW()),TODAY())</f>
        <v>882</v>
      </c>
      <c r="M156">
        <f ca="1">HYPERLINK(CONCATENATE("https://bugzilla.houston.hp.com:1181/bugzilla/show_bug.cgi?id=",INDIRECT(C70&amp;ROW())),INDIRECT(C70&amp;ROW()))</f>
        <v>53513</v>
      </c>
      <c r="N156">
        <v>53513</v>
      </c>
      <c r="O156" t="s">
        <v>94</v>
      </c>
      <c r="P156" t="s">
        <v>412</v>
      </c>
      <c r="Q156" t="s">
        <v>39</v>
      </c>
      <c r="R156" t="s">
        <v>248</v>
      </c>
      <c r="S156" t="s">
        <v>36</v>
      </c>
      <c r="U156" s="6">
        <v>42044.504583333335</v>
      </c>
      <c r="V156" t="s">
        <v>18</v>
      </c>
      <c r="W156" t="s">
        <v>211</v>
      </c>
      <c r="X156" s="6">
        <v>41963.312141203707</v>
      </c>
      <c r="Y156" t="s">
        <v>119</v>
      </c>
      <c r="AB156" t="s">
        <v>201</v>
      </c>
      <c r="AC156" t="s">
        <v>121</v>
      </c>
      <c r="AD156" t="s">
        <v>227</v>
      </c>
      <c r="AE156" t="s">
        <v>231</v>
      </c>
      <c r="AG156" t="s">
        <v>121</v>
      </c>
      <c r="AH156" t="s">
        <v>64</v>
      </c>
      <c r="AI156" t="s">
        <v>121</v>
      </c>
      <c r="AJ156" t="s">
        <v>715</v>
      </c>
      <c r="AK156" t="s">
        <v>121</v>
      </c>
      <c r="AL156" t="s">
        <v>121</v>
      </c>
      <c r="AM156" t="s">
        <v>121</v>
      </c>
    </row>
    <row r="157" spans="9:39" x14ac:dyDescent="0.3">
      <c r="I157">
        <f ca="1">IF(OR(INDIRECT(A73&amp;ROW())=B93,INDIRECT(A73&amp;ROW())=B94),1,IF(AND(INDIRECT(A73&amp;ROW())=B95,INDIRECT(A96&amp;ROW())=C93),1,IF(AND(INDIRECT(A73&amp;ROW())=B95,INDIRECT(A96&amp;ROW())=C94),1,0)))</f>
        <v>0</v>
      </c>
      <c r="J157">
        <f ca="1">IF(AND(INDIRECT(A73&amp;ROW())=B95,INDIRECT(A96&amp;ROW())=C95),1,IF(AND(INDIRECT(A73&amp;ROW())=B95,INDIRECT(A96&amp;ROW())=C96),1,0))</f>
        <v>0</v>
      </c>
      <c r="K157">
        <f ca="1">DAYS360(INDIRECT(C68&amp;ROW()),TODAY())</f>
        <v>721</v>
      </c>
      <c r="L157">
        <f ca="1">DAYS360(INDIRECT(C69&amp;ROW()),TODAY())</f>
        <v>882</v>
      </c>
      <c r="M157">
        <f ca="1">HYPERLINK(CONCATENATE("https://bugzilla.houston.hp.com:1181/bugzilla/show_bug.cgi?id=",INDIRECT(C70&amp;ROW())),INDIRECT(C70&amp;ROW()))</f>
        <v>53516</v>
      </c>
      <c r="N157">
        <v>53516</v>
      </c>
      <c r="O157" t="s">
        <v>22</v>
      </c>
      <c r="P157" t="s">
        <v>411</v>
      </c>
      <c r="Q157" t="s">
        <v>16</v>
      </c>
      <c r="R157" t="s">
        <v>248</v>
      </c>
      <c r="S157" t="s">
        <v>36</v>
      </c>
      <c r="U157" s="6">
        <v>42125.443807870368</v>
      </c>
      <c r="V157" t="s">
        <v>18</v>
      </c>
      <c r="W157" t="s">
        <v>17</v>
      </c>
      <c r="X157" s="6">
        <v>41963.312673611108</v>
      </c>
      <c r="Y157" t="s">
        <v>122</v>
      </c>
      <c r="Z157" t="s">
        <v>255</v>
      </c>
      <c r="AB157" t="s">
        <v>201</v>
      </c>
      <c r="AC157" t="s">
        <v>121</v>
      </c>
      <c r="AD157" t="s">
        <v>220</v>
      </c>
      <c r="AE157" t="s">
        <v>219</v>
      </c>
      <c r="AG157" t="s">
        <v>121</v>
      </c>
      <c r="AH157" t="s">
        <v>64</v>
      </c>
      <c r="AI157" t="s">
        <v>121</v>
      </c>
      <c r="AJ157" t="s">
        <v>717</v>
      </c>
      <c r="AK157" t="s">
        <v>121</v>
      </c>
      <c r="AL157" t="s">
        <v>121</v>
      </c>
      <c r="AM157" t="s">
        <v>121</v>
      </c>
    </row>
    <row r="158" spans="9:39" x14ac:dyDescent="0.3">
      <c r="I158">
        <f ca="1">IF(OR(INDIRECT(A73&amp;ROW())=B93,INDIRECT(A73&amp;ROW())=B94),1,IF(AND(INDIRECT(A73&amp;ROW())=B95,INDIRECT(A96&amp;ROW())=C93),1,IF(AND(INDIRECT(A73&amp;ROW())=B95,INDIRECT(A96&amp;ROW())=C94),1,0)))</f>
        <v>0</v>
      </c>
      <c r="J158">
        <f ca="1">IF(AND(INDIRECT(A73&amp;ROW())=B95,INDIRECT(A96&amp;ROW())=C95),1,IF(AND(INDIRECT(A73&amp;ROW())=B95,INDIRECT(A96&amp;ROW())=C96),1,0))</f>
        <v>0</v>
      </c>
      <c r="K158">
        <f ca="1">DAYS360(INDIRECT(C68&amp;ROW()),TODAY())</f>
        <v>800</v>
      </c>
      <c r="L158">
        <f ca="1">DAYS360(INDIRECT(C69&amp;ROW()),TODAY())</f>
        <v>882</v>
      </c>
      <c r="M158">
        <f ca="1">HYPERLINK(CONCATENATE("https://bugzilla.houston.hp.com:1181/bugzilla/show_bug.cgi?id=",INDIRECT(C70&amp;ROW())),INDIRECT(C70&amp;ROW()))</f>
        <v>53525</v>
      </c>
      <c r="N158">
        <v>53525</v>
      </c>
      <c r="O158" t="s">
        <v>1345</v>
      </c>
      <c r="P158" t="s">
        <v>410</v>
      </c>
      <c r="Q158" t="s">
        <v>16</v>
      </c>
      <c r="R158" t="s">
        <v>248</v>
      </c>
      <c r="S158" t="s">
        <v>36</v>
      </c>
      <c r="U158" s="6">
        <v>42047.958749999998</v>
      </c>
      <c r="V158" t="s">
        <v>18</v>
      </c>
      <c r="W158" t="s">
        <v>260</v>
      </c>
      <c r="X158" s="6">
        <v>41963.313935185186</v>
      </c>
      <c r="Y158" t="s">
        <v>119</v>
      </c>
      <c r="AB158" t="s">
        <v>199</v>
      </c>
      <c r="AC158" t="s">
        <v>121</v>
      </c>
      <c r="AD158" t="s">
        <v>220</v>
      </c>
      <c r="AE158" t="s">
        <v>290</v>
      </c>
      <c r="AG158" t="s">
        <v>121</v>
      </c>
      <c r="AH158" t="s">
        <v>64</v>
      </c>
      <c r="AI158" t="s">
        <v>121</v>
      </c>
      <c r="AJ158" t="s">
        <v>716</v>
      </c>
      <c r="AK158" t="s">
        <v>121</v>
      </c>
      <c r="AL158" t="s">
        <v>121</v>
      </c>
      <c r="AM158" t="s">
        <v>121</v>
      </c>
    </row>
    <row r="159" spans="9:39" x14ac:dyDescent="0.3">
      <c r="I159">
        <f ca="1">IF(OR(INDIRECT(A73&amp;ROW())=B93,INDIRECT(A73&amp;ROW())=B94),1,IF(AND(INDIRECT(A73&amp;ROW())=B95,INDIRECT(A96&amp;ROW())=C93),1,IF(AND(INDIRECT(A73&amp;ROW())=B95,INDIRECT(A96&amp;ROW())=C94),1,0)))</f>
        <v>0</v>
      </c>
      <c r="J159">
        <f ca="1">IF(AND(INDIRECT(A73&amp;ROW())=B95,INDIRECT(A96&amp;ROW())=C95),1,IF(AND(INDIRECT(A73&amp;ROW())=B95,INDIRECT(A96&amp;ROW())=C96),1,0))</f>
        <v>0</v>
      </c>
      <c r="K159">
        <f ca="1">DAYS360(INDIRECT(C68&amp;ROW()),TODAY())</f>
        <v>721</v>
      </c>
      <c r="L159">
        <f ca="1">DAYS360(INDIRECT(C69&amp;ROW()),TODAY())</f>
        <v>882</v>
      </c>
      <c r="M159">
        <f ca="1">HYPERLINK(CONCATENATE("https://bugzilla.houston.hp.com:1181/bugzilla/show_bug.cgi?id=",INDIRECT(C70&amp;ROW())),INDIRECT(C70&amp;ROW()))</f>
        <v>53531</v>
      </c>
      <c r="N159">
        <v>53531</v>
      </c>
      <c r="O159" t="s">
        <v>1345</v>
      </c>
      <c r="P159" t="s">
        <v>409</v>
      </c>
      <c r="Q159" t="s">
        <v>16</v>
      </c>
      <c r="R159" t="s">
        <v>248</v>
      </c>
      <c r="S159" t="s">
        <v>36</v>
      </c>
      <c r="U159" s="6">
        <v>42125.445243055554</v>
      </c>
      <c r="V159" t="s">
        <v>18</v>
      </c>
      <c r="W159" t="s">
        <v>258</v>
      </c>
      <c r="X159" s="6">
        <v>41963.314837962964</v>
      </c>
      <c r="Y159" t="s">
        <v>122</v>
      </c>
      <c r="AB159" t="s">
        <v>200</v>
      </c>
      <c r="AC159" t="s">
        <v>121</v>
      </c>
      <c r="AD159" t="s">
        <v>222</v>
      </c>
      <c r="AE159" t="s">
        <v>221</v>
      </c>
      <c r="AG159" t="s">
        <v>121</v>
      </c>
      <c r="AH159" t="s">
        <v>64</v>
      </c>
      <c r="AI159" t="s">
        <v>121</v>
      </c>
      <c r="AJ159" t="s">
        <v>716</v>
      </c>
      <c r="AK159" t="s">
        <v>121</v>
      </c>
      <c r="AL159" t="s">
        <v>121</v>
      </c>
      <c r="AM159" t="s">
        <v>121</v>
      </c>
    </row>
    <row r="160" spans="9:39" x14ac:dyDescent="0.3">
      <c r="I160">
        <f ca="1">IF(OR(INDIRECT(A73&amp;ROW())=B93,INDIRECT(A73&amp;ROW())=B94),1,IF(AND(INDIRECT(A73&amp;ROW())=B95,INDIRECT(A96&amp;ROW())=C93),1,IF(AND(INDIRECT(A73&amp;ROW())=B95,INDIRECT(A96&amp;ROW())=C94),1,0)))</f>
        <v>0</v>
      </c>
      <c r="J160">
        <f ca="1">IF(AND(INDIRECT(A73&amp;ROW())=B95,INDIRECT(A96&amp;ROW())=C95),1,IF(AND(INDIRECT(A73&amp;ROW())=B95,INDIRECT(A96&amp;ROW())=C96),1,0))</f>
        <v>0</v>
      </c>
      <c r="K160">
        <f ca="1">DAYS360(INDIRECT(C68&amp;ROW()),TODAY())</f>
        <v>721</v>
      </c>
      <c r="L160">
        <f ca="1">DAYS360(INDIRECT(C69&amp;ROW()),TODAY())</f>
        <v>882</v>
      </c>
      <c r="M160">
        <f ca="1">HYPERLINK(CONCATENATE("https://bugzilla.houston.hp.com:1181/bugzilla/show_bug.cgi?id=",INDIRECT(C70&amp;ROW())),INDIRECT(C70&amp;ROW()))</f>
        <v>53534</v>
      </c>
      <c r="N160">
        <v>53534</v>
      </c>
      <c r="O160" t="s">
        <v>22</v>
      </c>
      <c r="P160" t="s">
        <v>408</v>
      </c>
      <c r="Q160" t="s">
        <v>16</v>
      </c>
      <c r="R160" t="s">
        <v>248</v>
      </c>
      <c r="S160" t="s">
        <v>36</v>
      </c>
      <c r="U160" s="6">
        <v>42125.445324074077</v>
      </c>
      <c r="V160" t="s">
        <v>18</v>
      </c>
      <c r="W160" t="s">
        <v>17</v>
      </c>
      <c r="X160" s="6">
        <v>41963.315185185187</v>
      </c>
      <c r="Y160" t="s">
        <v>122</v>
      </c>
      <c r="AB160" t="s">
        <v>200</v>
      </c>
      <c r="AC160" t="s">
        <v>121</v>
      </c>
      <c r="AD160" t="s">
        <v>220</v>
      </c>
      <c r="AE160" t="s">
        <v>223</v>
      </c>
      <c r="AG160" t="s">
        <v>121</v>
      </c>
      <c r="AH160" t="s">
        <v>64</v>
      </c>
      <c r="AI160" t="s">
        <v>121</v>
      </c>
      <c r="AJ160" t="s">
        <v>716</v>
      </c>
      <c r="AK160" t="s">
        <v>121</v>
      </c>
      <c r="AL160" t="s">
        <v>121</v>
      </c>
      <c r="AM160" t="s">
        <v>121</v>
      </c>
    </row>
    <row r="161" spans="9:39" x14ac:dyDescent="0.3">
      <c r="I161">
        <f ca="1">IF(OR(INDIRECT(A73&amp;ROW())=B93,INDIRECT(A73&amp;ROW())=B94),1,IF(AND(INDIRECT(A73&amp;ROW())=B95,INDIRECT(A96&amp;ROW())=C93),1,IF(AND(INDIRECT(A73&amp;ROW())=B95,INDIRECT(A96&amp;ROW())=C94),1,0)))</f>
        <v>0</v>
      </c>
      <c r="J161">
        <f ca="1">IF(AND(INDIRECT(A73&amp;ROW())=B95,INDIRECT(A96&amp;ROW())=C95),1,IF(AND(INDIRECT(A73&amp;ROW())=B95,INDIRECT(A96&amp;ROW())=C96),1,0))</f>
        <v>0</v>
      </c>
      <c r="K161">
        <f ca="1">DAYS360(INDIRECT(C68&amp;ROW()),TODAY())</f>
        <v>721</v>
      </c>
      <c r="L161">
        <f ca="1">DAYS360(INDIRECT(C69&amp;ROW()),TODAY())</f>
        <v>882</v>
      </c>
      <c r="M161">
        <f ca="1">HYPERLINK(CONCATENATE("https://bugzilla.houston.hp.com:1181/bugzilla/show_bug.cgi?id=",INDIRECT(C70&amp;ROW())),INDIRECT(C70&amp;ROW()))</f>
        <v>53537</v>
      </c>
      <c r="N161">
        <v>53537</v>
      </c>
      <c r="O161" t="s">
        <v>1357</v>
      </c>
      <c r="P161" t="s">
        <v>407</v>
      </c>
      <c r="Q161" t="s">
        <v>16</v>
      </c>
      <c r="R161" t="s">
        <v>248</v>
      </c>
      <c r="S161" t="s">
        <v>36</v>
      </c>
      <c r="U161" s="6">
        <v>42125.445162037038</v>
      </c>
      <c r="V161" t="s">
        <v>18</v>
      </c>
      <c r="W161" t="s">
        <v>258</v>
      </c>
      <c r="X161" s="6">
        <v>41963.315509259257</v>
      </c>
      <c r="Y161" t="s">
        <v>122</v>
      </c>
      <c r="AB161" t="s">
        <v>200</v>
      </c>
      <c r="AC161" t="s">
        <v>121</v>
      </c>
      <c r="AD161" t="s">
        <v>222</v>
      </c>
      <c r="AE161" t="s">
        <v>221</v>
      </c>
      <c r="AG161" t="s">
        <v>121</v>
      </c>
      <c r="AH161" t="s">
        <v>64</v>
      </c>
      <c r="AI161" t="s">
        <v>121</v>
      </c>
      <c r="AJ161" t="s">
        <v>716</v>
      </c>
      <c r="AK161" t="s">
        <v>121</v>
      </c>
      <c r="AL161" t="s">
        <v>121</v>
      </c>
      <c r="AM161" t="s">
        <v>121</v>
      </c>
    </row>
    <row r="162" spans="9:39" x14ac:dyDescent="0.3">
      <c r="I162">
        <f ca="1">IF(OR(INDIRECT(A73&amp;ROW())=B93,INDIRECT(A73&amp;ROW())=B94),1,IF(AND(INDIRECT(A73&amp;ROW())=B95,INDIRECT(A96&amp;ROW())=C93),1,IF(AND(INDIRECT(A73&amp;ROW())=B95,INDIRECT(A96&amp;ROW())=C94),1,0)))</f>
        <v>0</v>
      </c>
      <c r="J162">
        <f ca="1">IF(AND(INDIRECT(A73&amp;ROW())=B95,INDIRECT(A96&amp;ROW())=C95),1,IF(AND(INDIRECT(A73&amp;ROW())=B95,INDIRECT(A96&amp;ROW())=C96),1,0))</f>
        <v>0</v>
      </c>
      <c r="K162">
        <f ca="1">DAYS360(INDIRECT(C68&amp;ROW()),TODAY())</f>
        <v>721</v>
      </c>
      <c r="L162">
        <f ca="1">DAYS360(INDIRECT(C69&amp;ROW()),TODAY())</f>
        <v>882</v>
      </c>
      <c r="M162">
        <f ca="1">HYPERLINK(CONCATENATE("https://bugzilla.houston.hp.com:1181/bugzilla/show_bug.cgi?id=",INDIRECT(C70&amp;ROW())),INDIRECT(C70&amp;ROW()))</f>
        <v>53540</v>
      </c>
      <c r="N162">
        <v>53540</v>
      </c>
      <c r="O162" t="s">
        <v>1357</v>
      </c>
      <c r="P162" t="s">
        <v>406</v>
      </c>
      <c r="Q162" t="s">
        <v>16</v>
      </c>
      <c r="R162" t="s">
        <v>248</v>
      </c>
      <c r="S162" t="s">
        <v>36</v>
      </c>
      <c r="U162" s="6">
        <v>42125.445208333331</v>
      </c>
      <c r="V162" t="s">
        <v>18</v>
      </c>
      <c r="W162" t="s">
        <v>258</v>
      </c>
      <c r="X162" s="6">
        <v>41963.315798611111</v>
      </c>
      <c r="Y162" t="s">
        <v>122</v>
      </c>
      <c r="AB162" t="s">
        <v>200</v>
      </c>
      <c r="AC162" t="s">
        <v>121</v>
      </c>
      <c r="AD162" t="s">
        <v>222</v>
      </c>
      <c r="AE162" t="s">
        <v>221</v>
      </c>
      <c r="AG162" t="s">
        <v>121</v>
      </c>
      <c r="AH162" t="s">
        <v>64</v>
      </c>
      <c r="AI162" t="s">
        <v>121</v>
      </c>
      <c r="AJ162" t="s">
        <v>716</v>
      </c>
      <c r="AK162" t="s">
        <v>121</v>
      </c>
      <c r="AL162" t="s">
        <v>121</v>
      </c>
      <c r="AM162" t="s">
        <v>121</v>
      </c>
    </row>
    <row r="163" spans="9:39" x14ac:dyDescent="0.3">
      <c r="I163">
        <f ca="1">IF(OR(INDIRECT(A73&amp;ROW())=B93,INDIRECT(A73&amp;ROW())=B94),1,IF(AND(INDIRECT(A73&amp;ROW())=B95,INDIRECT(A96&amp;ROW())=C93),1,IF(AND(INDIRECT(A73&amp;ROW())=B95,INDIRECT(A96&amp;ROW())=C94),1,0)))</f>
        <v>0</v>
      </c>
      <c r="J163">
        <f ca="1">IF(AND(INDIRECT(A73&amp;ROW())=B95,INDIRECT(A96&amp;ROW())=C95),1,IF(AND(INDIRECT(A73&amp;ROW())=B95,INDIRECT(A96&amp;ROW())=C96),1,0))</f>
        <v>0</v>
      </c>
      <c r="K163">
        <f ca="1">DAYS360(INDIRECT(C68&amp;ROW()),TODAY())</f>
        <v>721</v>
      </c>
      <c r="L163">
        <f ca="1">DAYS360(INDIRECT(C69&amp;ROW()),TODAY())</f>
        <v>882</v>
      </c>
      <c r="M163">
        <f ca="1">HYPERLINK(CONCATENATE("https://bugzilla.houston.hp.com:1181/bugzilla/show_bug.cgi?id=",INDIRECT(C70&amp;ROW())),INDIRECT(C70&amp;ROW()))</f>
        <v>53543</v>
      </c>
      <c r="N163">
        <v>53543</v>
      </c>
      <c r="O163" t="s">
        <v>1357</v>
      </c>
      <c r="P163" t="s">
        <v>405</v>
      </c>
      <c r="Q163" t="s">
        <v>16</v>
      </c>
      <c r="R163" t="s">
        <v>248</v>
      </c>
      <c r="S163" t="s">
        <v>36</v>
      </c>
      <c r="U163" s="6">
        <v>42125.4452662037</v>
      </c>
      <c r="V163" t="s">
        <v>18</v>
      </c>
      <c r="W163" t="s">
        <v>258</v>
      </c>
      <c r="X163" s="6">
        <v>41963.316087962965</v>
      </c>
      <c r="Y163" t="s">
        <v>122</v>
      </c>
      <c r="AB163" t="s">
        <v>200</v>
      </c>
      <c r="AC163" t="s">
        <v>121</v>
      </c>
      <c r="AD163" t="s">
        <v>222</v>
      </c>
      <c r="AE163" t="s">
        <v>221</v>
      </c>
      <c r="AG163" t="s">
        <v>121</v>
      </c>
      <c r="AH163" t="s">
        <v>327</v>
      </c>
      <c r="AI163" t="s">
        <v>121</v>
      </c>
      <c r="AJ163" t="s">
        <v>716</v>
      </c>
      <c r="AK163" t="s">
        <v>121</v>
      </c>
      <c r="AL163" t="s">
        <v>121</v>
      </c>
      <c r="AM163" t="s">
        <v>121</v>
      </c>
    </row>
    <row r="164" spans="9:39" x14ac:dyDescent="0.3">
      <c r="I164">
        <f ca="1">IF(OR(INDIRECT(A73&amp;ROW())=B93,INDIRECT(A73&amp;ROW())=B94),1,IF(AND(INDIRECT(A73&amp;ROW())=B95,INDIRECT(A96&amp;ROW())=C93),1,IF(AND(INDIRECT(A73&amp;ROW())=B95,INDIRECT(A96&amp;ROW())=C94),1,0)))</f>
        <v>0</v>
      </c>
      <c r="J164">
        <f ca="1">IF(AND(INDIRECT(A73&amp;ROW())=B95,INDIRECT(A96&amp;ROW())=C95),1,IF(AND(INDIRECT(A73&amp;ROW())=B95,INDIRECT(A96&amp;ROW())=C96),1,0))</f>
        <v>0</v>
      </c>
      <c r="K164">
        <f ca="1">DAYS360(INDIRECT(C68&amp;ROW()),TODAY())</f>
        <v>721</v>
      </c>
      <c r="L164">
        <f ca="1">DAYS360(INDIRECT(C69&amp;ROW()),TODAY())</f>
        <v>882</v>
      </c>
      <c r="M164">
        <f ca="1">HYPERLINK(CONCATENATE("https://bugzilla.houston.hp.com:1181/bugzilla/show_bug.cgi?id=",INDIRECT(C70&amp;ROW())),INDIRECT(C70&amp;ROW()))</f>
        <v>53546</v>
      </c>
      <c r="N164">
        <v>53546</v>
      </c>
      <c r="O164" t="s">
        <v>1357</v>
      </c>
      <c r="P164" t="s">
        <v>404</v>
      </c>
      <c r="Q164" t="s">
        <v>16</v>
      </c>
      <c r="R164" t="s">
        <v>248</v>
      </c>
      <c r="S164" t="s">
        <v>36</v>
      </c>
      <c r="U164" s="6">
        <v>42125.4453125</v>
      </c>
      <c r="V164" t="s">
        <v>18</v>
      </c>
      <c r="W164" t="s">
        <v>258</v>
      </c>
      <c r="X164" s="6">
        <v>41963.316354166665</v>
      </c>
      <c r="Y164" t="s">
        <v>122</v>
      </c>
      <c r="AB164" t="s">
        <v>200</v>
      </c>
      <c r="AC164" t="s">
        <v>121</v>
      </c>
      <c r="AD164" t="s">
        <v>222</v>
      </c>
      <c r="AE164" t="s">
        <v>221</v>
      </c>
      <c r="AG164" t="s">
        <v>121</v>
      </c>
      <c r="AH164" t="s">
        <v>327</v>
      </c>
      <c r="AI164" t="s">
        <v>121</v>
      </c>
      <c r="AJ164" t="s">
        <v>716</v>
      </c>
      <c r="AK164" t="s">
        <v>121</v>
      </c>
      <c r="AL164" t="s">
        <v>121</v>
      </c>
      <c r="AM164" t="s">
        <v>121</v>
      </c>
    </row>
    <row r="165" spans="9:39" x14ac:dyDescent="0.3">
      <c r="I165">
        <f ca="1">IF(OR(INDIRECT(A73&amp;ROW())=B93,INDIRECT(A73&amp;ROW())=B94),1,IF(AND(INDIRECT(A73&amp;ROW())=B95,INDIRECT(A96&amp;ROW())=C93),1,IF(AND(INDIRECT(A73&amp;ROW())=B95,INDIRECT(A96&amp;ROW())=C94),1,0)))</f>
        <v>0</v>
      </c>
      <c r="J165">
        <f ca="1">IF(AND(INDIRECT(A73&amp;ROW())=B95,INDIRECT(A96&amp;ROW())=C95),1,IF(AND(INDIRECT(A73&amp;ROW())=B95,INDIRECT(A96&amp;ROW())=C96),1,0))</f>
        <v>0</v>
      </c>
      <c r="K165">
        <f ca="1">DAYS360(INDIRECT(C68&amp;ROW()),TODAY())</f>
        <v>721</v>
      </c>
      <c r="L165">
        <f ca="1">DAYS360(INDIRECT(C69&amp;ROW()),TODAY())</f>
        <v>882</v>
      </c>
      <c r="M165">
        <f ca="1">HYPERLINK(CONCATENATE("https://bugzilla.houston.hp.com:1181/bugzilla/show_bug.cgi?id=",INDIRECT(C70&amp;ROW())),INDIRECT(C70&amp;ROW()))</f>
        <v>53549</v>
      </c>
      <c r="N165">
        <v>53549</v>
      </c>
      <c r="O165" t="s">
        <v>1357</v>
      </c>
      <c r="P165" t="s">
        <v>403</v>
      </c>
      <c r="Q165" t="s">
        <v>16</v>
      </c>
      <c r="R165" t="s">
        <v>248</v>
      </c>
      <c r="S165" t="s">
        <v>36</v>
      </c>
      <c r="U165" s="6">
        <v>42125.445150462961</v>
      </c>
      <c r="V165" t="s">
        <v>18</v>
      </c>
      <c r="W165" t="s">
        <v>258</v>
      </c>
      <c r="X165" s="6">
        <v>41963.316643518519</v>
      </c>
      <c r="Y165" t="s">
        <v>122</v>
      </c>
      <c r="AB165" t="s">
        <v>200</v>
      </c>
      <c r="AC165" t="s">
        <v>121</v>
      </c>
      <c r="AD165" t="s">
        <v>222</v>
      </c>
      <c r="AE165" t="s">
        <v>221</v>
      </c>
      <c r="AG165" t="s">
        <v>121</v>
      </c>
      <c r="AH165" t="s">
        <v>327</v>
      </c>
      <c r="AI165" t="s">
        <v>121</v>
      </c>
      <c r="AJ165" t="s">
        <v>716</v>
      </c>
      <c r="AK165" t="s">
        <v>121</v>
      </c>
      <c r="AL165" t="s">
        <v>121</v>
      </c>
      <c r="AM165" t="s">
        <v>121</v>
      </c>
    </row>
    <row r="166" spans="9:39" x14ac:dyDescent="0.3">
      <c r="I166">
        <f ca="1">IF(OR(INDIRECT(A73&amp;ROW())=B93,INDIRECT(A73&amp;ROW())=B94),1,IF(AND(INDIRECT(A73&amp;ROW())=B95,INDIRECT(A96&amp;ROW())=C93),1,IF(AND(INDIRECT(A73&amp;ROW())=B95,INDIRECT(A96&amp;ROW())=C94),1,0)))</f>
        <v>0</v>
      </c>
      <c r="J166">
        <f ca="1">IF(AND(INDIRECT(A73&amp;ROW())=B95,INDIRECT(A96&amp;ROW())=C95),1,IF(AND(INDIRECT(A73&amp;ROW())=B95,INDIRECT(A96&amp;ROW())=C96),1,0))</f>
        <v>0</v>
      </c>
      <c r="K166">
        <f ca="1">DAYS360(INDIRECT(C68&amp;ROW()),TODAY())</f>
        <v>721</v>
      </c>
      <c r="L166">
        <f ca="1">DAYS360(INDIRECT(C69&amp;ROW()),TODAY())</f>
        <v>882</v>
      </c>
      <c r="M166">
        <f ca="1">HYPERLINK(CONCATENATE("https://bugzilla.houston.hp.com:1181/bugzilla/show_bug.cgi?id=",INDIRECT(C70&amp;ROW())),INDIRECT(C70&amp;ROW()))</f>
        <v>53561</v>
      </c>
      <c r="N166">
        <v>53561</v>
      </c>
      <c r="O166" t="s">
        <v>56</v>
      </c>
      <c r="P166" t="s">
        <v>402</v>
      </c>
      <c r="Q166" t="s">
        <v>16</v>
      </c>
      <c r="R166" t="s">
        <v>248</v>
      </c>
      <c r="S166" t="s">
        <v>36</v>
      </c>
      <c r="U166" s="6">
        <v>42125.446539351855</v>
      </c>
      <c r="V166" t="s">
        <v>18</v>
      </c>
      <c r="W166" t="s">
        <v>257</v>
      </c>
      <c r="X166" s="6">
        <v>41963.318425925929</v>
      </c>
      <c r="Y166" t="s">
        <v>122</v>
      </c>
      <c r="AB166" t="s">
        <v>201</v>
      </c>
      <c r="AC166" t="s">
        <v>247</v>
      </c>
      <c r="AD166" t="s">
        <v>220</v>
      </c>
      <c r="AE166" t="s">
        <v>219</v>
      </c>
      <c r="AG166" t="s">
        <v>121</v>
      </c>
      <c r="AH166" t="s">
        <v>64</v>
      </c>
      <c r="AI166" t="s">
        <v>121</v>
      </c>
      <c r="AJ166" t="s">
        <v>717</v>
      </c>
      <c r="AK166" t="s">
        <v>121</v>
      </c>
      <c r="AL166" t="s">
        <v>121</v>
      </c>
      <c r="AM166" t="s">
        <v>121</v>
      </c>
    </row>
    <row r="167" spans="9:39" x14ac:dyDescent="0.3">
      <c r="I167">
        <f ca="1">IF(OR(INDIRECT(A73&amp;ROW())=B93,INDIRECT(A73&amp;ROW())=B94),1,IF(AND(INDIRECT(A73&amp;ROW())=B95,INDIRECT(A96&amp;ROW())=C93),1,IF(AND(INDIRECT(A73&amp;ROW())=B95,INDIRECT(A96&amp;ROW())=C94),1,0)))</f>
        <v>0</v>
      </c>
      <c r="J167">
        <f ca="1">IF(AND(INDIRECT(A73&amp;ROW())=B95,INDIRECT(A96&amp;ROW())=C95),1,IF(AND(INDIRECT(A73&amp;ROW())=B95,INDIRECT(A96&amp;ROW())=C96),1,0))</f>
        <v>0</v>
      </c>
      <c r="K167">
        <f ca="1">DAYS360(INDIRECT(C68&amp;ROW()),TODAY())</f>
        <v>721</v>
      </c>
      <c r="L167">
        <f ca="1">DAYS360(INDIRECT(C69&amp;ROW()),TODAY())</f>
        <v>882</v>
      </c>
      <c r="M167">
        <f ca="1">HYPERLINK(CONCATENATE("https://bugzilla.houston.hp.com:1181/bugzilla/show_bug.cgi?id=",INDIRECT(C70&amp;ROW())),INDIRECT(C70&amp;ROW()))</f>
        <v>53564</v>
      </c>
      <c r="N167">
        <v>53564</v>
      </c>
      <c r="O167" t="s">
        <v>56</v>
      </c>
      <c r="P167" t="s">
        <v>401</v>
      </c>
      <c r="Q167" t="s">
        <v>16</v>
      </c>
      <c r="R167" t="s">
        <v>248</v>
      </c>
      <c r="S167" t="s">
        <v>36</v>
      </c>
      <c r="U167" s="6">
        <v>42125.446331018517</v>
      </c>
      <c r="V167" t="s">
        <v>18</v>
      </c>
      <c r="W167" t="s">
        <v>257</v>
      </c>
      <c r="X167" s="6">
        <v>41963.318773148145</v>
      </c>
      <c r="Y167" t="s">
        <v>122</v>
      </c>
      <c r="AB167" t="s">
        <v>201</v>
      </c>
      <c r="AC167" t="s">
        <v>247</v>
      </c>
      <c r="AD167" t="s">
        <v>220</v>
      </c>
      <c r="AE167" t="s">
        <v>219</v>
      </c>
      <c r="AG167" t="s">
        <v>121</v>
      </c>
      <c r="AH167" t="s">
        <v>327</v>
      </c>
      <c r="AI167" t="s">
        <v>121</v>
      </c>
      <c r="AJ167" t="s">
        <v>717</v>
      </c>
      <c r="AK167" t="s">
        <v>121</v>
      </c>
      <c r="AL167" t="s">
        <v>121</v>
      </c>
      <c r="AM167" t="s">
        <v>121</v>
      </c>
    </row>
    <row r="168" spans="9:39" x14ac:dyDescent="0.3">
      <c r="I168">
        <f ca="1">IF(OR(INDIRECT(A73&amp;ROW())=B93,INDIRECT(A73&amp;ROW())=B94),1,IF(AND(INDIRECT(A73&amp;ROW())=B95,INDIRECT(A96&amp;ROW())=C93),1,IF(AND(INDIRECT(A73&amp;ROW())=B95,INDIRECT(A96&amp;ROW())=C94),1,0)))</f>
        <v>0</v>
      </c>
      <c r="J168">
        <f ca="1">IF(AND(INDIRECT(A73&amp;ROW())=B95,INDIRECT(A96&amp;ROW())=C95),1,IF(AND(INDIRECT(A73&amp;ROW())=B95,INDIRECT(A96&amp;ROW())=C96),1,0))</f>
        <v>0</v>
      </c>
      <c r="K168">
        <f ca="1">DAYS360(INDIRECT(C68&amp;ROW()),TODAY())</f>
        <v>800</v>
      </c>
      <c r="L168">
        <f ca="1">DAYS360(INDIRECT(C69&amp;ROW()),TODAY())</f>
        <v>882</v>
      </c>
      <c r="M168">
        <f ca="1">HYPERLINK(CONCATENATE("https://bugzilla.houston.hp.com:1181/bugzilla/show_bug.cgi?id=",INDIRECT(C70&amp;ROW())),INDIRECT(C70&amp;ROW()))</f>
        <v>53573</v>
      </c>
      <c r="N168">
        <v>53573</v>
      </c>
      <c r="O168" t="s">
        <v>334</v>
      </c>
      <c r="P168" t="s">
        <v>400</v>
      </c>
      <c r="Q168" t="s">
        <v>16</v>
      </c>
      <c r="R168" t="s">
        <v>248</v>
      </c>
      <c r="S168" t="s">
        <v>36</v>
      </c>
      <c r="U168" s="6">
        <v>42047.980590277781</v>
      </c>
      <c r="V168" t="s">
        <v>18</v>
      </c>
      <c r="W168" t="s">
        <v>260</v>
      </c>
      <c r="X168" s="6">
        <v>41963.319826388892</v>
      </c>
      <c r="Y168" t="s">
        <v>245</v>
      </c>
      <c r="AB168" t="s">
        <v>200</v>
      </c>
      <c r="AC168" t="s">
        <v>247</v>
      </c>
      <c r="AD168" t="s">
        <v>227</v>
      </c>
      <c r="AE168" t="s">
        <v>230</v>
      </c>
      <c r="AG168" t="s">
        <v>121</v>
      </c>
      <c r="AH168" t="s">
        <v>327</v>
      </c>
      <c r="AI168" t="s">
        <v>121</v>
      </c>
      <c r="AJ168" t="s">
        <v>716</v>
      </c>
      <c r="AK168" t="s">
        <v>121</v>
      </c>
      <c r="AL168" t="s">
        <v>121</v>
      </c>
      <c r="AM168" t="s">
        <v>121</v>
      </c>
    </row>
    <row r="169" spans="9:39" x14ac:dyDescent="0.3">
      <c r="I169">
        <f ca="1">IF(OR(INDIRECT(A73&amp;ROW())=B93,INDIRECT(A73&amp;ROW())=B94),1,IF(AND(INDIRECT(A73&amp;ROW())=B95,INDIRECT(A96&amp;ROW())=C93),1,IF(AND(INDIRECT(A73&amp;ROW())=B95,INDIRECT(A96&amp;ROW())=C94),1,0)))</f>
        <v>0</v>
      </c>
      <c r="J169">
        <f ca="1">IF(AND(INDIRECT(A73&amp;ROW())=B95,INDIRECT(A96&amp;ROW())=C95),1,IF(AND(INDIRECT(A73&amp;ROW())=B95,INDIRECT(A96&amp;ROW())=C96),1,0))</f>
        <v>1</v>
      </c>
      <c r="K169">
        <f ca="1">DAYS360(INDIRECT(C68&amp;ROW()),TODAY())</f>
        <v>721</v>
      </c>
      <c r="L169">
        <f ca="1">DAYS360(INDIRECT(C69&amp;ROW()),TODAY())</f>
        <v>882</v>
      </c>
      <c r="M169">
        <f ca="1">HYPERLINK(CONCATENATE("https://bugzilla.houston.hp.com:1181/bugzilla/show_bug.cgi?id=",INDIRECT(C70&amp;ROW())),INDIRECT(C70&amp;ROW()))</f>
        <v>53585</v>
      </c>
      <c r="N169">
        <v>53585</v>
      </c>
      <c r="O169" t="s">
        <v>42</v>
      </c>
      <c r="P169" t="s">
        <v>399</v>
      </c>
      <c r="Q169" t="s">
        <v>25</v>
      </c>
      <c r="R169" t="s">
        <v>248</v>
      </c>
      <c r="S169" t="s">
        <v>36</v>
      </c>
      <c r="U169" s="6">
        <v>42125.446412037039</v>
      </c>
      <c r="V169" t="s">
        <v>18</v>
      </c>
      <c r="W169" t="s">
        <v>17</v>
      </c>
      <c r="X169" s="6">
        <v>41963.321562500001</v>
      </c>
      <c r="Y169" t="s">
        <v>122</v>
      </c>
      <c r="AB169" t="s">
        <v>201</v>
      </c>
      <c r="AC169" t="s">
        <v>247</v>
      </c>
      <c r="AD169" t="s">
        <v>220</v>
      </c>
      <c r="AE169" t="s">
        <v>219</v>
      </c>
      <c r="AG169" t="s">
        <v>121</v>
      </c>
      <c r="AH169" t="s">
        <v>64</v>
      </c>
      <c r="AI169" t="s">
        <v>121</v>
      </c>
      <c r="AJ169" t="s">
        <v>716</v>
      </c>
      <c r="AK169" t="s">
        <v>121</v>
      </c>
      <c r="AL169" t="s">
        <v>121</v>
      </c>
      <c r="AM169" t="s">
        <v>121</v>
      </c>
    </row>
    <row r="170" spans="9:39" x14ac:dyDescent="0.3">
      <c r="I170">
        <f ca="1">IF(OR(INDIRECT(A73&amp;ROW())=B93,INDIRECT(A73&amp;ROW())=B94),1,IF(AND(INDIRECT(A73&amp;ROW())=B95,INDIRECT(A96&amp;ROW())=C93),1,IF(AND(INDIRECT(A73&amp;ROW())=B95,INDIRECT(A96&amp;ROW())=C94),1,0)))</f>
        <v>0</v>
      </c>
      <c r="J170">
        <f ca="1">IF(AND(INDIRECT(A73&amp;ROW())=B95,INDIRECT(A96&amp;ROW())=C95),1,IF(AND(INDIRECT(A73&amp;ROW())=B95,INDIRECT(A96&amp;ROW())=C96),1,0))</f>
        <v>0</v>
      </c>
      <c r="K170">
        <f ca="1">DAYS360(INDIRECT(C68&amp;ROW()),TODAY())</f>
        <v>721</v>
      </c>
      <c r="L170">
        <f ca="1">DAYS360(INDIRECT(C69&amp;ROW()),TODAY())</f>
        <v>882</v>
      </c>
      <c r="M170">
        <f ca="1">HYPERLINK(CONCATENATE("https://bugzilla.houston.hp.com:1181/bugzilla/show_bug.cgi?id=",INDIRECT(C70&amp;ROW())),INDIRECT(C70&amp;ROW()))</f>
        <v>53588</v>
      </c>
      <c r="N170">
        <v>53588</v>
      </c>
      <c r="O170" t="s">
        <v>50</v>
      </c>
      <c r="P170" t="s">
        <v>398</v>
      </c>
      <c r="Q170" t="s">
        <v>16</v>
      </c>
      <c r="R170" t="s">
        <v>248</v>
      </c>
      <c r="S170" t="s">
        <v>36</v>
      </c>
      <c r="U170" s="6">
        <v>42125.446469907409</v>
      </c>
      <c r="V170" t="s">
        <v>18</v>
      </c>
      <c r="W170" t="s">
        <v>288</v>
      </c>
      <c r="X170" s="6">
        <v>41963.321979166663</v>
      </c>
      <c r="Y170" t="s">
        <v>122</v>
      </c>
      <c r="AB170" t="s">
        <v>200</v>
      </c>
      <c r="AC170" t="s">
        <v>247</v>
      </c>
      <c r="AD170" t="s">
        <v>227</v>
      </c>
      <c r="AE170" t="s">
        <v>231</v>
      </c>
      <c r="AG170" t="s">
        <v>121</v>
      </c>
      <c r="AH170" t="s">
        <v>327</v>
      </c>
      <c r="AI170" t="s">
        <v>121</v>
      </c>
      <c r="AJ170" t="s">
        <v>716</v>
      </c>
      <c r="AK170" t="s">
        <v>121</v>
      </c>
      <c r="AL170" t="s">
        <v>121</v>
      </c>
      <c r="AM170" t="s">
        <v>121</v>
      </c>
    </row>
    <row r="171" spans="9:39" x14ac:dyDescent="0.3">
      <c r="I171">
        <f ca="1">IF(OR(INDIRECT(A73&amp;ROW())=B93,INDIRECT(A73&amp;ROW())=B94),1,IF(AND(INDIRECT(A73&amp;ROW())=B95,INDIRECT(A96&amp;ROW())=C93),1,IF(AND(INDIRECT(A73&amp;ROW())=B95,INDIRECT(A96&amp;ROW())=C94),1,0)))</f>
        <v>0</v>
      </c>
      <c r="J171">
        <f ca="1">IF(AND(INDIRECT(A73&amp;ROW())=B95,INDIRECT(A96&amp;ROW())=C95),1,IF(AND(INDIRECT(A73&amp;ROW())=B95,INDIRECT(A96&amp;ROW())=C96),1,0))</f>
        <v>1</v>
      </c>
      <c r="K171">
        <f ca="1">DAYS360(INDIRECT(C68&amp;ROW()),TODAY())</f>
        <v>721</v>
      </c>
      <c r="L171">
        <f ca="1">DAYS360(INDIRECT(C69&amp;ROW()),TODAY())</f>
        <v>882</v>
      </c>
      <c r="M171">
        <f ca="1">HYPERLINK(CONCATENATE("https://bugzilla.houston.hp.com:1181/bugzilla/show_bug.cgi?id=",INDIRECT(C70&amp;ROW())),INDIRECT(C70&amp;ROW()))</f>
        <v>53594</v>
      </c>
      <c r="N171">
        <v>53594</v>
      </c>
      <c r="O171" t="s">
        <v>56</v>
      </c>
      <c r="P171" t="s">
        <v>397</v>
      </c>
      <c r="Q171" t="s">
        <v>25</v>
      </c>
      <c r="R171" t="s">
        <v>248</v>
      </c>
      <c r="S171" t="s">
        <v>36</v>
      </c>
      <c r="U171" s="6">
        <v>42125.44630787037</v>
      </c>
      <c r="V171" t="s">
        <v>18</v>
      </c>
      <c r="W171" t="s">
        <v>324</v>
      </c>
      <c r="X171" s="6">
        <v>41963.322870370372</v>
      </c>
      <c r="Y171" t="s">
        <v>122</v>
      </c>
      <c r="AB171" t="s">
        <v>201</v>
      </c>
      <c r="AC171" t="s">
        <v>247</v>
      </c>
      <c r="AD171" t="s">
        <v>220</v>
      </c>
      <c r="AE171" t="s">
        <v>219</v>
      </c>
      <c r="AG171" t="s">
        <v>121</v>
      </c>
      <c r="AH171" t="s">
        <v>327</v>
      </c>
      <c r="AI171" t="s">
        <v>121</v>
      </c>
      <c r="AJ171" t="s">
        <v>716</v>
      </c>
      <c r="AK171" t="s">
        <v>121</v>
      </c>
      <c r="AL171" t="s">
        <v>121</v>
      </c>
      <c r="AM171" t="s">
        <v>121</v>
      </c>
    </row>
    <row r="172" spans="9:39" x14ac:dyDescent="0.3">
      <c r="I172">
        <f ca="1">IF(OR(INDIRECT(A73&amp;ROW())=B93,INDIRECT(A73&amp;ROW())=B94),1,IF(AND(INDIRECT(A73&amp;ROW())=B95,INDIRECT(A96&amp;ROW())=C93),1,IF(AND(INDIRECT(A73&amp;ROW())=B95,INDIRECT(A96&amp;ROW())=C94),1,0)))</f>
        <v>0</v>
      </c>
      <c r="J172">
        <f ca="1">IF(AND(INDIRECT(A73&amp;ROW())=B95,INDIRECT(A96&amp;ROW())=C95),1,IF(AND(INDIRECT(A73&amp;ROW())=B95,INDIRECT(A96&amp;ROW())=C96),1,0))</f>
        <v>1</v>
      </c>
      <c r="K172">
        <f ca="1">DAYS360(INDIRECT(C68&amp;ROW()),TODAY())</f>
        <v>721</v>
      </c>
      <c r="L172">
        <f ca="1">DAYS360(INDIRECT(C69&amp;ROW()),TODAY())</f>
        <v>882</v>
      </c>
      <c r="M172" s="11">
        <f ca="1">HYPERLINK(CONCATENATE("https://bugzilla.houston.hp.com:1181/bugzilla/show_bug.cgi?id=",INDIRECT(C70&amp;ROW())),INDIRECT(C70&amp;ROW()))</f>
        <v>53597</v>
      </c>
      <c r="N172">
        <v>53597</v>
      </c>
      <c r="O172" t="s">
        <v>22</v>
      </c>
      <c r="P172" t="s">
        <v>396</v>
      </c>
      <c r="Q172" t="s">
        <v>25</v>
      </c>
      <c r="R172" t="s">
        <v>248</v>
      </c>
      <c r="S172" t="s">
        <v>36</v>
      </c>
      <c r="U172" s="6">
        <v>42125.446574074071</v>
      </c>
      <c r="V172" t="s">
        <v>18</v>
      </c>
      <c r="W172" t="s">
        <v>324</v>
      </c>
      <c r="X172" s="6">
        <v>41963.323252314818</v>
      </c>
      <c r="Y172" t="s">
        <v>122</v>
      </c>
      <c r="AB172" t="s">
        <v>201</v>
      </c>
      <c r="AC172" t="s">
        <v>247</v>
      </c>
      <c r="AD172" t="s">
        <v>220</v>
      </c>
      <c r="AE172" t="s">
        <v>219</v>
      </c>
      <c r="AG172" t="s">
        <v>337</v>
      </c>
      <c r="AH172" t="s">
        <v>327</v>
      </c>
      <c r="AI172" t="s">
        <v>121</v>
      </c>
      <c r="AJ172" t="s">
        <v>716</v>
      </c>
      <c r="AK172" t="s">
        <v>121</v>
      </c>
      <c r="AL172" t="s">
        <v>121</v>
      </c>
      <c r="AM172" t="s">
        <v>121</v>
      </c>
    </row>
    <row r="173" spans="9:39" x14ac:dyDescent="0.3">
      <c r="I173">
        <f ca="1">IF(OR(INDIRECT(A73&amp;ROW())=B93,INDIRECT(A73&amp;ROW())=B94),1,IF(AND(INDIRECT(A73&amp;ROW())=B95,INDIRECT(A96&amp;ROW())=C93),1,IF(AND(INDIRECT(A73&amp;ROW())=B95,INDIRECT(A96&amp;ROW())=C94),1,0)))</f>
        <v>0</v>
      </c>
      <c r="J173">
        <f ca="1">IF(AND(INDIRECT(A73&amp;ROW())=B95,INDIRECT(A96&amp;ROW())=C95),1,IF(AND(INDIRECT(A73&amp;ROW())=B95,INDIRECT(A96&amp;ROW())=C96),1,0))</f>
        <v>1</v>
      </c>
      <c r="K173">
        <f ca="1">DAYS360(INDIRECT(C68&amp;ROW()),TODAY())</f>
        <v>721</v>
      </c>
      <c r="L173">
        <f ca="1">DAYS360(INDIRECT(C69&amp;ROW()),TODAY())</f>
        <v>882</v>
      </c>
      <c r="M173">
        <f ca="1">HYPERLINK(CONCATENATE("https://bugzilla.houston.hp.com:1181/bugzilla/show_bug.cgi?id=",INDIRECT(C70&amp;ROW())),INDIRECT(C70&amp;ROW()))</f>
        <v>53600</v>
      </c>
      <c r="N173">
        <v>53600</v>
      </c>
      <c r="O173" t="s">
        <v>45</v>
      </c>
      <c r="P173" t="s">
        <v>395</v>
      </c>
      <c r="Q173" t="s">
        <v>25</v>
      </c>
      <c r="R173" t="s">
        <v>248</v>
      </c>
      <c r="S173" t="s">
        <v>36</v>
      </c>
      <c r="T173" t="s">
        <v>287</v>
      </c>
      <c r="U173" s="6">
        <v>42125.446342592593</v>
      </c>
      <c r="V173" t="s">
        <v>18</v>
      </c>
      <c r="W173" t="s">
        <v>295</v>
      </c>
      <c r="X173" s="6">
        <v>41963.323969907404</v>
      </c>
      <c r="Y173" t="s">
        <v>122</v>
      </c>
      <c r="AB173" t="s">
        <v>201</v>
      </c>
      <c r="AC173" t="s">
        <v>247</v>
      </c>
      <c r="AD173" t="s">
        <v>227</v>
      </c>
      <c r="AE173" t="s">
        <v>226</v>
      </c>
      <c r="AG173" t="s">
        <v>121</v>
      </c>
      <c r="AH173" t="s">
        <v>327</v>
      </c>
      <c r="AI173" t="s">
        <v>121</v>
      </c>
      <c r="AJ173" t="s">
        <v>716</v>
      </c>
      <c r="AK173" t="s">
        <v>121</v>
      </c>
      <c r="AL173" t="s">
        <v>121</v>
      </c>
      <c r="AM173" t="s">
        <v>121</v>
      </c>
    </row>
    <row r="174" spans="9:39" x14ac:dyDescent="0.3">
      <c r="I174">
        <f ca="1">IF(OR(INDIRECT(A73&amp;ROW())=B93,INDIRECT(A73&amp;ROW())=B94),1,IF(AND(INDIRECT(A73&amp;ROW())=B95,INDIRECT(A96&amp;ROW())=C93),1,IF(AND(INDIRECT(A73&amp;ROW())=B95,INDIRECT(A96&amp;ROW())=C94),1,0)))</f>
        <v>0</v>
      </c>
      <c r="J174">
        <f ca="1">IF(AND(INDIRECT(A73&amp;ROW())=B95,INDIRECT(A96&amp;ROW())=C95),1,IF(AND(INDIRECT(A73&amp;ROW())=B95,INDIRECT(A96&amp;ROW())=C96),1,0))</f>
        <v>0</v>
      </c>
      <c r="K174">
        <f ca="1">DAYS360(INDIRECT(C68&amp;ROW()),TODAY())</f>
        <v>721</v>
      </c>
      <c r="L174">
        <f ca="1">DAYS360(INDIRECT(C69&amp;ROW()),TODAY())</f>
        <v>882</v>
      </c>
      <c r="M174">
        <f ca="1">HYPERLINK(CONCATENATE("https://bugzilla.houston.hp.com:1181/bugzilla/show_bug.cgi?id=",INDIRECT(C70&amp;ROW())),INDIRECT(C70&amp;ROW()))</f>
        <v>53603</v>
      </c>
      <c r="N174">
        <v>53603</v>
      </c>
      <c r="O174" t="s">
        <v>1345</v>
      </c>
      <c r="P174" t="s">
        <v>394</v>
      </c>
      <c r="Q174" t="s">
        <v>16</v>
      </c>
      <c r="R174" t="s">
        <v>248</v>
      </c>
      <c r="S174" t="s">
        <v>36</v>
      </c>
      <c r="U174" s="6">
        <v>42125.447662037041</v>
      </c>
      <c r="V174" t="s">
        <v>18</v>
      </c>
      <c r="W174" t="s">
        <v>295</v>
      </c>
      <c r="X174" s="6">
        <v>41963.324328703704</v>
      </c>
      <c r="Y174" t="s">
        <v>122</v>
      </c>
      <c r="AB174" t="s">
        <v>201</v>
      </c>
      <c r="AC174" t="s">
        <v>247</v>
      </c>
      <c r="AD174" t="s">
        <v>222</v>
      </c>
      <c r="AE174" t="s">
        <v>225</v>
      </c>
      <c r="AG174" t="s">
        <v>121</v>
      </c>
      <c r="AH174" t="s">
        <v>327</v>
      </c>
      <c r="AI174" t="s">
        <v>121</v>
      </c>
      <c r="AJ174" t="s">
        <v>717</v>
      </c>
      <c r="AK174" t="s">
        <v>121</v>
      </c>
      <c r="AL174" t="s">
        <v>121</v>
      </c>
      <c r="AM174" t="s">
        <v>121</v>
      </c>
    </row>
    <row r="175" spans="9:39" x14ac:dyDescent="0.3">
      <c r="I175">
        <f ca="1">IF(OR(INDIRECT(A73&amp;ROW())=B93,INDIRECT(A73&amp;ROW())=B94),1,IF(AND(INDIRECT(A73&amp;ROW())=B95,INDIRECT(A96&amp;ROW())=C93),1,IF(AND(INDIRECT(A73&amp;ROW())=B95,INDIRECT(A96&amp;ROW())=C94),1,0)))</f>
        <v>0</v>
      </c>
      <c r="J175">
        <f ca="1">IF(AND(INDIRECT(A73&amp;ROW())=B95,INDIRECT(A96&amp;ROW())=C95),1,IF(AND(INDIRECT(A73&amp;ROW())=B95,INDIRECT(A96&amp;ROW())=C96),1,0))</f>
        <v>0</v>
      </c>
      <c r="K175">
        <f ca="1">DAYS360(INDIRECT(C68&amp;ROW()),TODAY())</f>
        <v>721</v>
      </c>
      <c r="L175">
        <f ca="1">DAYS360(INDIRECT(C69&amp;ROW()),TODAY())</f>
        <v>882</v>
      </c>
      <c r="M175">
        <f ca="1">HYPERLINK(CONCATENATE("https://bugzilla.houston.hp.com:1181/bugzilla/show_bug.cgi?id=",INDIRECT(C70&amp;ROW())),INDIRECT(C70&amp;ROW()))</f>
        <v>53606</v>
      </c>
      <c r="N175">
        <v>53606</v>
      </c>
      <c r="O175" t="s">
        <v>21</v>
      </c>
      <c r="P175" t="s">
        <v>393</v>
      </c>
      <c r="Q175" t="s">
        <v>16</v>
      </c>
      <c r="R175" t="s">
        <v>248</v>
      </c>
      <c r="S175" t="s">
        <v>36</v>
      </c>
      <c r="U175" s="6">
        <v>42125.447615740741</v>
      </c>
      <c r="V175" t="s">
        <v>18</v>
      </c>
      <c r="W175" t="s">
        <v>322</v>
      </c>
      <c r="X175" s="6">
        <v>41963.324618055558</v>
      </c>
      <c r="Y175" t="s">
        <v>122</v>
      </c>
      <c r="AB175" t="s">
        <v>201</v>
      </c>
      <c r="AC175" t="s">
        <v>247</v>
      </c>
      <c r="AD175" t="s">
        <v>222</v>
      </c>
      <c r="AE175" t="s">
        <v>225</v>
      </c>
      <c r="AG175" t="s">
        <v>121</v>
      </c>
      <c r="AH175" t="s">
        <v>327</v>
      </c>
      <c r="AI175" t="s">
        <v>121</v>
      </c>
      <c r="AJ175" t="s">
        <v>717</v>
      </c>
      <c r="AK175" t="s">
        <v>121</v>
      </c>
      <c r="AL175" t="s">
        <v>121</v>
      </c>
      <c r="AM175" t="s">
        <v>121</v>
      </c>
    </row>
    <row r="176" spans="9:39" x14ac:dyDescent="0.3">
      <c r="I176">
        <f ca="1">IF(OR(INDIRECT(A73&amp;ROW())=B93,INDIRECT(A73&amp;ROW())=B94),1,IF(AND(INDIRECT(A73&amp;ROW())=B95,INDIRECT(A96&amp;ROW())=C93),1,IF(AND(INDIRECT(A73&amp;ROW())=B95,INDIRECT(A96&amp;ROW())=C94),1,0)))</f>
        <v>0</v>
      </c>
      <c r="J176">
        <f ca="1">IF(AND(INDIRECT(A73&amp;ROW())=B95,INDIRECT(A96&amp;ROW())=C95),1,IF(AND(INDIRECT(A73&amp;ROW())=B95,INDIRECT(A96&amp;ROW())=C96),1,0))</f>
        <v>0</v>
      </c>
      <c r="K176">
        <f ca="1">DAYS360(INDIRECT(C68&amp;ROW()),TODAY())</f>
        <v>612</v>
      </c>
      <c r="L176">
        <f ca="1">DAYS360(INDIRECT(C69&amp;ROW()),TODAY())</f>
        <v>882</v>
      </c>
      <c r="M176">
        <f ca="1">HYPERLINK(CONCATENATE("https://bugzilla.houston.hp.com:1181/bugzilla/show_bug.cgi?id=",INDIRECT(C70&amp;ROW())),INDIRECT(C70&amp;ROW()))</f>
        <v>53625</v>
      </c>
      <c r="N176">
        <v>53625</v>
      </c>
      <c r="O176" t="s">
        <v>43</v>
      </c>
      <c r="P176" t="s">
        <v>392</v>
      </c>
      <c r="Q176" t="s">
        <v>16</v>
      </c>
      <c r="R176" t="s">
        <v>248</v>
      </c>
      <c r="S176" t="s">
        <v>36</v>
      </c>
      <c r="U176" s="6">
        <v>42236.370752314811</v>
      </c>
      <c r="V176" t="s">
        <v>18</v>
      </c>
      <c r="W176" t="s">
        <v>322</v>
      </c>
      <c r="X176" s="6">
        <v>41963.326724537037</v>
      </c>
      <c r="Y176" t="s">
        <v>122</v>
      </c>
      <c r="AB176" t="s">
        <v>201</v>
      </c>
      <c r="AC176" t="s">
        <v>247</v>
      </c>
      <c r="AD176" t="s">
        <v>220</v>
      </c>
      <c r="AE176" t="s">
        <v>219</v>
      </c>
      <c r="AG176" t="s">
        <v>121</v>
      </c>
      <c r="AH176" t="s">
        <v>64</v>
      </c>
      <c r="AI176" t="s">
        <v>121</v>
      </c>
      <c r="AJ176" t="s">
        <v>717</v>
      </c>
      <c r="AK176" t="s">
        <v>121</v>
      </c>
      <c r="AL176" t="s">
        <v>121</v>
      </c>
      <c r="AM176" t="s">
        <v>121</v>
      </c>
    </row>
    <row r="177" spans="9:39" x14ac:dyDescent="0.3">
      <c r="I177">
        <f ca="1">IF(OR(INDIRECT(A73&amp;ROW())=B93,INDIRECT(A73&amp;ROW())=B94),1,IF(AND(INDIRECT(A73&amp;ROW())=B95,INDIRECT(A96&amp;ROW())=C93),1,IF(AND(INDIRECT(A73&amp;ROW())=B95,INDIRECT(A96&amp;ROW())=C94),1,0)))</f>
        <v>1</v>
      </c>
      <c r="J177">
        <f ca="1">IF(AND(INDIRECT(A73&amp;ROW())=B95,INDIRECT(A96&amp;ROW())=C95),1,IF(AND(INDIRECT(A73&amp;ROW())=B95,INDIRECT(A96&amp;ROW())=C96),1,0))</f>
        <v>0</v>
      </c>
      <c r="K177">
        <f ca="1">DAYS360(INDIRECT(C68&amp;ROW()),TODAY())</f>
        <v>792</v>
      </c>
      <c r="L177">
        <f ca="1">DAYS360(INDIRECT(C69&amp;ROW()),TODAY())</f>
        <v>882</v>
      </c>
      <c r="M177">
        <f ca="1">HYPERLINK(CONCATENATE("https://bugzilla.houston.hp.com:1181/bugzilla/show_bug.cgi?id=",INDIRECT(C70&amp;ROW())),INDIRECT(C70&amp;ROW()))</f>
        <v>53634</v>
      </c>
      <c r="N177">
        <v>53634</v>
      </c>
      <c r="O177" t="s">
        <v>50</v>
      </c>
      <c r="P177" t="s">
        <v>391</v>
      </c>
      <c r="Q177" t="s">
        <v>25</v>
      </c>
      <c r="R177" t="s">
        <v>248</v>
      </c>
      <c r="S177" t="s">
        <v>36</v>
      </c>
      <c r="U177" s="6">
        <v>42055.522488425922</v>
      </c>
      <c r="V177" t="s">
        <v>18</v>
      </c>
      <c r="W177" t="s">
        <v>215</v>
      </c>
      <c r="X177" s="6">
        <v>41963.32912037037</v>
      </c>
      <c r="Y177" t="s">
        <v>119</v>
      </c>
      <c r="AB177" t="s">
        <v>200</v>
      </c>
      <c r="AC177" t="s">
        <v>121</v>
      </c>
      <c r="AD177" t="s">
        <v>227</v>
      </c>
      <c r="AE177" t="s">
        <v>226</v>
      </c>
      <c r="AG177" t="s">
        <v>121</v>
      </c>
      <c r="AH177" t="s">
        <v>327</v>
      </c>
      <c r="AI177" t="s">
        <v>362</v>
      </c>
      <c r="AJ177" t="s">
        <v>715</v>
      </c>
      <c r="AK177" t="s">
        <v>121</v>
      </c>
      <c r="AL177" t="s">
        <v>121</v>
      </c>
      <c r="AM177" t="s">
        <v>121</v>
      </c>
    </row>
    <row r="178" spans="9:39" x14ac:dyDescent="0.3">
      <c r="I178">
        <f ca="1">IF(OR(INDIRECT(A73&amp;ROW())=B93,INDIRECT(A73&amp;ROW())=B94),1,IF(AND(INDIRECT(A73&amp;ROW())=B95,INDIRECT(A96&amp;ROW())=C93),1,IF(AND(INDIRECT(A73&amp;ROW())=B95,INDIRECT(A96&amp;ROW())=C94),1,0)))</f>
        <v>1</v>
      </c>
      <c r="J178">
        <f ca="1">IF(AND(INDIRECT(A73&amp;ROW())=B95,INDIRECT(A96&amp;ROW())=C95),1,IF(AND(INDIRECT(A73&amp;ROW())=B95,INDIRECT(A96&amp;ROW())=C96),1,0))</f>
        <v>0</v>
      </c>
      <c r="K178">
        <f ca="1">DAYS360(INDIRECT(C68&amp;ROW()),TODAY())</f>
        <v>769</v>
      </c>
      <c r="L178">
        <f ca="1">DAYS360(INDIRECT(C69&amp;ROW()),TODAY())</f>
        <v>882</v>
      </c>
      <c r="M178">
        <f ca="1">HYPERLINK(CONCATENATE("https://bugzilla.houston.hp.com:1181/bugzilla/show_bug.cgi?id=",INDIRECT(C70&amp;ROW())),INDIRECT(C70&amp;ROW()))</f>
        <v>53649</v>
      </c>
      <c r="N178">
        <v>53649</v>
      </c>
      <c r="O178" t="s">
        <v>298</v>
      </c>
      <c r="P178" t="s">
        <v>467</v>
      </c>
      <c r="Q178" t="s">
        <v>39</v>
      </c>
      <c r="R178" t="s">
        <v>248</v>
      </c>
      <c r="S178" t="s">
        <v>36</v>
      </c>
      <c r="U178" s="6">
        <v>42076.509421296294</v>
      </c>
      <c r="V178" t="s">
        <v>18</v>
      </c>
      <c r="W178" t="s">
        <v>343</v>
      </c>
      <c r="X178" s="6">
        <v>41963.331307870372</v>
      </c>
      <c r="Y178" t="s">
        <v>119</v>
      </c>
      <c r="AB178" t="s">
        <v>201</v>
      </c>
      <c r="AC178" t="s">
        <v>247</v>
      </c>
      <c r="AD178" t="s">
        <v>227</v>
      </c>
      <c r="AE178" t="s">
        <v>231</v>
      </c>
      <c r="AG178" t="s">
        <v>121</v>
      </c>
      <c r="AH178" t="s">
        <v>327</v>
      </c>
      <c r="AI178" t="s">
        <v>121</v>
      </c>
      <c r="AJ178" t="s">
        <v>715</v>
      </c>
      <c r="AK178" t="s">
        <v>121</v>
      </c>
      <c r="AL178" t="s">
        <v>121</v>
      </c>
      <c r="AM178" t="s">
        <v>121</v>
      </c>
    </row>
    <row r="179" spans="9:39" x14ac:dyDescent="0.3">
      <c r="I179">
        <f ca="1">IF(OR(INDIRECT(A73&amp;ROW())=B93,INDIRECT(A73&amp;ROW())=B94),1,IF(AND(INDIRECT(A73&amp;ROW())=B95,INDIRECT(A96&amp;ROW())=C93),1,IF(AND(INDIRECT(A73&amp;ROW())=B95,INDIRECT(A96&amp;ROW())=C94),1,0)))</f>
        <v>0</v>
      </c>
      <c r="J179">
        <f ca="1">IF(AND(INDIRECT(A73&amp;ROW())=B95,INDIRECT(A96&amp;ROW())=C95),1,IF(AND(INDIRECT(A73&amp;ROW())=B95,INDIRECT(A96&amp;ROW())=C96),1,0))</f>
        <v>1</v>
      </c>
      <c r="K179">
        <f ca="1">DAYS360(INDIRECT(C68&amp;ROW()),TODAY())</f>
        <v>749</v>
      </c>
      <c r="L179">
        <f ca="1">DAYS360(INDIRECT(C69&amp;ROW()),TODAY())</f>
        <v>882</v>
      </c>
      <c r="M179">
        <f ca="1">HYPERLINK(CONCATENATE("https://bugzilla.houston.hp.com:1181/bugzilla/show_bug.cgi?id=",INDIRECT(C70&amp;ROW())),INDIRECT(C70&amp;ROW()))</f>
        <v>53666</v>
      </c>
      <c r="N179">
        <v>53666</v>
      </c>
      <c r="O179" t="s">
        <v>326</v>
      </c>
      <c r="P179" t="s">
        <v>466</v>
      </c>
      <c r="Q179" t="s">
        <v>25</v>
      </c>
      <c r="R179" t="s">
        <v>17</v>
      </c>
      <c r="S179" t="s">
        <v>36</v>
      </c>
      <c r="U179" s="6">
        <v>42097.476076388892</v>
      </c>
      <c r="V179" t="s">
        <v>18</v>
      </c>
      <c r="W179" t="s">
        <v>17</v>
      </c>
      <c r="X179" s="6">
        <v>41963.37358796296</v>
      </c>
      <c r="Y179" t="s">
        <v>119</v>
      </c>
      <c r="AA179" t="s">
        <v>184</v>
      </c>
      <c r="AB179" t="s">
        <v>201</v>
      </c>
      <c r="AC179" t="s">
        <v>247</v>
      </c>
      <c r="AD179" t="s">
        <v>227</v>
      </c>
      <c r="AE179" t="s">
        <v>230</v>
      </c>
      <c r="AG179" t="s">
        <v>121</v>
      </c>
      <c r="AH179" t="s">
        <v>327</v>
      </c>
      <c r="AI179" t="s">
        <v>362</v>
      </c>
      <c r="AJ179" t="s">
        <v>716</v>
      </c>
      <c r="AK179" t="s">
        <v>121</v>
      </c>
      <c r="AL179" t="s">
        <v>121</v>
      </c>
      <c r="AM179" t="s">
        <v>121</v>
      </c>
    </row>
    <row r="180" spans="9:39" x14ac:dyDescent="0.3">
      <c r="I180">
        <f ca="1">IF(OR(INDIRECT(A73&amp;ROW())=B93,INDIRECT(A73&amp;ROW())=B94),1,IF(AND(INDIRECT(A73&amp;ROW())=B95,INDIRECT(A96&amp;ROW())=C93),1,IF(AND(INDIRECT(A73&amp;ROW())=B95,INDIRECT(A96&amp;ROW())=C94),1,0)))</f>
        <v>0</v>
      </c>
      <c r="J180">
        <f ca="1">IF(AND(INDIRECT(A73&amp;ROW())=B95,INDIRECT(A96&amp;ROW())=C95),1,IF(AND(INDIRECT(A73&amp;ROW())=B95,INDIRECT(A96&amp;ROW())=C96),1,0))</f>
        <v>1</v>
      </c>
      <c r="K180">
        <f ca="1">DAYS360(INDIRECT(C68&amp;ROW()),TODAY())</f>
        <v>853</v>
      </c>
      <c r="L180">
        <f ca="1">DAYS360(INDIRECT(C69&amp;ROW()),TODAY())</f>
        <v>882</v>
      </c>
      <c r="M180">
        <f ca="1">HYPERLINK(CONCATENATE("https://bugzilla.houston.hp.com:1181/bugzilla/show_bug.cgi?id=",INDIRECT(C70&amp;ROW())),INDIRECT(C70&amp;ROW()))</f>
        <v>53667</v>
      </c>
      <c r="N180">
        <v>53667</v>
      </c>
      <c r="O180" t="s">
        <v>45</v>
      </c>
      <c r="P180" t="s">
        <v>465</v>
      </c>
      <c r="Q180" t="s">
        <v>25</v>
      </c>
      <c r="R180" t="s">
        <v>248</v>
      </c>
      <c r="S180" t="s">
        <v>36</v>
      </c>
      <c r="U180" s="6">
        <v>41992.591354166667</v>
      </c>
      <c r="V180" t="s">
        <v>18</v>
      </c>
      <c r="W180" t="s">
        <v>17</v>
      </c>
      <c r="X180" s="6">
        <v>41963.373645833337</v>
      </c>
      <c r="Y180" t="s">
        <v>119</v>
      </c>
      <c r="AA180" t="s">
        <v>184</v>
      </c>
      <c r="AB180" t="s">
        <v>201</v>
      </c>
      <c r="AC180" t="s">
        <v>247</v>
      </c>
      <c r="AD180" t="s">
        <v>227</v>
      </c>
      <c r="AE180" t="s">
        <v>370</v>
      </c>
      <c r="AG180" t="s">
        <v>121</v>
      </c>
      <c r="AH180" t="s">
        <v>327</v>
      </c>
      <c r="AI180" t="s">
        <v>121</v>
      </c>
      <c r="AJ180" t="s">
        <v>716</v>
      </c>
      <c r="AK180" t="s">
        <v>121</v>
      </c>
      <c r="AL180" t="s">
        <v>121</v>
      </c>
      <c r="AM180" t="s">
        <v>121</v>
      </c>
    </row>
    <row r="181" spans="9:39" x14ac:dyDescent="0.3">
      <c r="I181">
        <f ca="1">IF(OR(INDIRECT(A73&amp;ROW())=B93,INDIRECT(A73&amp;ROW())=B94),1,IF(AND(INDIRECT(A73&amp;ROW())=B95,INDIRECT(A96&amp;ROW())=C93),1,IF(AND(INDIRECT(A73&amp;ROW())=B95,INDIRECT(A96&amp;ROW())=C94),1,0)))</f>
        <v>0</v>
      </c>
      <c r="J181">
        <f ca="1">IF(AND(INDIRECT(A73&amp;ROW())=B95,INDIRECT(A96&amp;ROW())=C95),1,IF(AND(INDIRECT(A73&amp;ROW())=B95,INDIRECT(A96&amp;ROW())=C96),1,0))</f>
        <v>0</v>
      </c>
      <c r="K181">
        <f ca="1">DAYS360(INDIRECT(C68&amp;ROW()),TODAY())</f>
        <v>721</v>
      </c>
      <c r="L181">
        <f ca="1">DAYS360(INDIRECT(C69&amp;ROW()),TODAY())</f>
        <v>882</v>
      </c>
      <c r="M181">
        <f ca="1">HYPERLINK(CONCATENATE("https://bugzilla.houston.hp.com:1181/bugzilla/show_bug.cgi?id=",INDIRECT(C70&amp;ROW())),INDIRECT(C70&amp;ROW()))</f>
        <v>53677</v>
      </c>
      <c r="N181">
        <v>53677</v>
      </c>
      <c r="O181" t="s">
        <v>56</v>
      </c>
      <c r="P181" t="s">
        <v>464</v>
      </c>
      <c r="Q181" t="s">
        <v>16</v>
      </c>
      <c r="R181" t="s">
        <v>248</v>
      </c>
      <c r="S181" t="s">
        <v>36</v>
      </c>
      <c r="U181" s="6">
        <v>42125.448738425926</v>
      </c>
      <c r="V181" t="s">
        <v>18</v>
      </c>
      <c r="W181" t="s">
        <v>341</v>
      </c>
      <c r="X181" s="6">
        <v>41963.376620370371</v>
      </c>
      <c r="Y181" t="s">
        <v>122</v>
      </c>
      <c r="AB181" t="s">
        <v>200</v>
      </c>
      <c r="AC181" t="s">
        <v>247</v>
      </c>
      <c r="AD181" t="s">
        <v>220</v>
      </c>
      <c r="AE181" t="s">
        <v>219</v>
      </c>
      <c r="AG181" t="s">
        <v>121</v>
      </c>
      <c r="AH181" t="s">
        <v>327</v>
      </c>
      <c r="AI181" t="s">
        <v>121</v>
      </c>
      <c r="AJ181" t="s">
        <v>716</v>
      </c>
      <c r="AK181" t="s">
        <v>121</v>
      </c>
      <c r="AL181" t="s">
        <v>121</v>
      </c>
      <c r="AM181" t="s">
        <v>121</v>
      </c>
    </row>
    <row r="182" spans="9:39" x14ac:dyDescent="0.3">
      <c r="I182">
        <f ca="1">IF(OR(INDIRECT(A73&amp;ROW())=B93,INDIRECT(A73&amp;ROW())=B94),1,IF(AND(INDIRECT(A73&amp;ROW())=B95,INDIRECT(A96&amp;ROW())=C93),1,IF(AND(INDIRECT(A73&amp;ROW())=B95,INDIRECT(A96&amp;ROW())=C94),1,0)))</f>
        <v>0</v>
      </c>
      <c r="J182">
        <f ca="1">IF(AND(INDIRECT(A73&amp;ROW())=B95,INDIRECT(A96&amp;ROW())=C95),1,IF(AND(INDIRECT(A73&amp;ROW())=B95,INDIRECT(A96&amp;ROW())=C96),1,0))</f>
        <v>0</v>
      </c>
      <c r="K182">
        <f ca="1">DAYS360(INDIRECT(C68&amp;ROW()),TODAY())</f>
        <v>800</v>
      </c>
      <c r="L182">
        <f ca="1">DAYS360(INDIRECT(C69&amp;ROW()),TODAY())</f>
        <v>882</v>
      </c>
      <c r="M182">
        <f ca="1">HYPERLINK(CONCATENATE("https://bugzilla.houston.hp.com:1181/bugzilla/show_bug.cgi?id=",INDIRECT(C70&amp;ROW())),INDIRECT(C70&amp;ROW()))</f>
        <v>53683</v>
      </c>
      <c r="N182">
        <v>53683</v>
      </c>
      <c r="O182" t="s">
        <v>326</v>
      </c>
      <c r="P182" t="s">
        <v>463</v>
      </c>
      <c r="Q182" t="s">
        <v>16</v>
      </c>
      <c r="R182" t="s">
        <v>17</v>
      </c>
      <c r="S182" t="s">
        <v>36</v>
      </c>
      <c r="U182" s="6">
        <v>42047.980717592596</v>
      </c>
      <c r="V182" t="s">
        <v>18</v>
      </c>
      <c r="W182" t="s">
        <v>207</v>
      </c>
      <c r="X182" s="6">
        <v>41963.399247685185</v>
      </c>
      <c r="Y182" t="s">
        <v>123</v>
      </c>
      <c r="AB182" t="s">
        <v>199</v>
      </c>
      <c r="AC182" t="s">
        <v>121</v>
      </c>
      <c r="AD182" t="s">
        <v>227</v>
      </c>
      <c r="AE182" t="s">
        <v>230</v>
      </c>
      <c r="AG182" t="s">
        <v>121</v>
      </c>
      <c r="AH182" t="s">
        <v>327</v>
      </c>
      <c r="AI182" t="s">
        <v>362</v>
      </c>
      <c r="AJ182" t="s">
        <v>716</v>
      </c>
      <c r="AK182" t="s">
        <v>121</v>
      </c>
      <c r="AL182" t="s">
        <v>121</v>
      </c>
      <c r="AM182" t="s">
        <v>121</v>
      </c>
    </row>
    <row r="183" spans="9:39" x14ac:dyDescent="0.3">
      <c r="I183">
        <f ca="1">IF(OR(INDIRECT(A73&amp;ROW())=B93,INDIRECT(A73&amp;ROW())=B94),1,IF(AND(INDIRECT(A73&amp;ROW())=B95,INDIRECT(A96&amp;ROW())=C93),1,IF(AND(INDIRECT(A73&amp;ROW())=B95,INDIRECT(A96&amp;ROW())=C94),1,0)))</f>
        <v>0</v>
      </c>
      <c r="J183">
        <f ca="1">IF(AND(INDIRECT(A73&amp;ROW())=B95,INDIRECT(A96&amp;ROW())=C95),1,IF(AND(INDIRECT(A73&amp;ROW())=B95,INDIRECT(A96&amp;ROW())=C96),1,0))</f>
        <v>0</v>
      </c>
      <c r="K183">
        <f ca="1">DAYS360(INDIRECT(C68&amp;ROW()),TODAY())</f>
        <v>721</v>
      </c>
      <c r="L183">
        <f ca="1">DAYS360(INDIRECT(C69&amp;ROW()),TODAY())</f>
        <v>882</v>
      </c>
      <c r="M183">
        <f ca="1">HYPERLINK(CONCATENATE("https://bugzilla.houston.hp.com:1181/bugzilla/show_bug.cgi?id=",INDIRECT(C70&amp;ROW())),INDIRECT(C70&amp;ROW()))</f>
        <v>53684</v>
      </c>
      <c r="N183">
        <v>53684</v>
      </c>
      <c r="O183" t="s">
        <v>45</v>
      </c>
      <c r="P183" t="s">
        <v>476</v>
      </c>
      <c r="Q183" t="s">
        <v>16</v>
      </c>
      <c r="R183" t="s">
        <v>248</v>
      </c>
      <c r="S183" t="s">
        <v>36</v>
      </c>
      <c r="U183" s="6">
        <v>42125.644004629627</v>
      </c>
      <c r="V183" t="s">
        <v>18</v>
      </c>
      <c r="W183" t="s">
        <v>207</v>
      </c>
      <c r="X183" s="6">
        <v>41963.405358796299</v>
      </c>
      <c r="Y183" t="s">
        <v>123</v>
      </c>
      <c r="AB183" t="s">
        <v>199</v>
      </c>
      <c r="AC183" t="s">
        <v>121</v>
      </c>
      <c r="AD183" t="s">
        <v>227</v>
      </c>
      <c r="AE183" t="s">
        <v>231</v>
      </c>
      <c r="AG183" t="s">
        <v>121</v>
      </c>
      <c r="AH183" t="s">
        <v>327</v>
      </c>
      <c r="AI183" t="s">
        <v>121</v>
      </c>
      <c r="AJ183" t="s">
        <v>716</v>
      </c>
      <c r="AK183" t="s">
        <v>121</v>
      </c>
      <c r="AL183" t="s">
        <v>121</v>
      </c>
      <c r="AM183" t="s">
        <v>121</v>
      </c>
    </row>
    <row r="184" spans="9:39" x14ac:dyDescent="0.3">
      <c r="I184">
        <f ca="1">IF(OR(INDIRECT(A73&amp;ROW())=B93,INDIRECT(A73&amp;ROW())=B94),1,IF(AND(INDIRECT(A73&amp;ROW())=B95,INDIRECT(A96&amp;ROW())=C93),1,IF(AND(INDIRECT(A73&amp;ROW())=B95,INDIRECT(A96&amp;ROW())=C94),1,0)))</f>
        <v>1</v>
      </c>
      <c r="J184">
        <f ca="1">IF(AND(INDIRECT(A73&amp;ROW())=B95,INDIRECT(A96&amp;ROW())=C95),1,IF(AND(INDIRECT(A73&amp;ROW())=B95,INDIRECT(A96&amp;ROW())=C96),1,0))</f>
        <v>0</v>
      </c>
      <c r="K184">
        <f ca="1">DAYS360(INDIRECT(C68&amp;ROW()),TODAY())</f>
        <v>757</v>
      </c>
      <c r="L184">
        <f ca="1">DAYS360(INDIRECT(C69&amp;ROW()),TODAY())</f>
        <v>882</v>
      </c>
      <c r="M184">
        <f ca="1">HYPERLINK(CONCATENATE("https://bugzilla.houston.hp.com:1181/bugzilla/show_bug.cgi?id=",INDIRECT(C70&amp;ROW())),INDIRECT(C70&amp;ROW()))</f>
        <v>53713</v>
      </c>
      <c r="N184">
        <v>53713</v>
      </c>
      <c r="O184" t="s">
        <v>43</v>
      </c>
      <c r="P184" t="s">
        <v>480</v>
      </c>
      <c r="Q184" t="s">
        <v>25</v>
      </c>
      <c r="R184" t="s">
        <v>251</v>
      </c>
      <c r="S184" t="s">
        <v>336</v>
      </c>
      <c r="U184" s="6">
        <v>42088.084247685183</v>
      </c>
      <c r="V184" t="s">
        <v>40</v>
      </c>
      <c r="W184" t="s">
        <v>17</v>
      </c>
      <c r="X184" s="6">
        <v>41963.720011574071</v>
      </c>
      <c r="Y184" t="s">
        <v>342</v>
      </c>
      <c r="AB184" t="s">
        <v>200</v>
      </c>
      <c r="AC184" t="s">
        <v>247</v>
      </c>
      <c r="AD184" t="s">
        <v>220</v>
      </c>
      <c r="AE184" t="s">
        <v>219</v>
      </c>
      <c r="AG184" t="s">
        <v>121</v>
      </c>
      <c r="AH184" t="s">
        <v>327</v>
      </c>
      <c r="AI184" t="s">
        <v>121</v>
      </c>
      <c r="AJ184" t="s">
        <v>715</v>
      </c>
      <c r="AK184" t="s">
        <v>121</v>
      </c>
      <c r="AL184" t="s">
        <v>121</v>
      </c>
      <c r="AM184" t="s">
        <v>121</v>
      </c>
    </row>
    <row r="185" spans="9:39" x14ac:dyDescent="0.3">
      <c r="I185">
        <f ca="1">IF(OR(INDIRECT(A73&amp;ROW())=B93,INDIRECT(A73&amp;ROW())=B94),1,IF(AND(INDIRECT(A73&amp;ROW())=B95,INDIRECT(A96&amp;ROW())=C93),1,IF(AND(INDIRECT(A73&amp;ROW())=B95,INDIRECT(A96&amp;ROW())=C94),1,0)))</f>
        <v>0</v>
      </c>
      <c r="J185">
        <f ca="1">IF(AND(INDIRECT(A73&amp;ROW())=B95,INDIRECT(A96&amp;ROW())=C95),1,IF(AND(INDIRECT(A73&amp;ROW())=B95,INDIRECT(A96&amp;ROW())=C96),1,0))</f>
        <v>1</v>
      </c>
      <c r="K185">
        <f ca="1">DAYS360(INDIRECT(C68&amp;ROW()),TODAY())</f>
        <v>835</v>
      </c>
      <c r="L185">
        <f ca="1">DAYS360(INDIRECT(C69&amp;ROW()),TODAY())</f>
        <v>882</v>
      </c>
      <c r="M185">
        <f ca="1">HYPERLINK(CONCATENATE("https://bugzilla.houston.hp.com:1181/bugzilla/show_bug.cgi?id=",INDIRECT(C70&amp;ROW())),INDIRECT(C70&amp;ROW()))</f>
        <v>53727</v>
      </c>
      <c r="N185">
        <v>53727</v>
      </c>
      <c r="O185" t="s">
        <v>326</v>
      </c>
      <c r="P185" t="s">
        <v>459</v>
      </c>
      <c r="Q185" t="s">
        <v>25</v>
      </c>
      <c r="R185" t="s">
        <v>17</v>
      </c>
      <c r="S185" t="s">
        <v>36</v>
      </c>
      <c r="U185" s="6">
        <v>42011.647777777776</v>
      </c>
      <c r="V185" t="s">
        <v>18</v>
      </c>
      <c r="W185" t="s">
        <v>288</v>
      </c>
      <c r="X185" s="6">
        <v>41963.828958333332</v>
      </c>
      <c r="Y185" t="s">
        <v>119</v>
      </c>
      <c r="AB185" t="s">
        <v>201</v>
      </c>
      <c r="AC185" t="s">
        <v>121</v>
      </c>
      <c r="AD185" t="s">
        <v>220</v>
      </c>
      <c r="AE185" t="s">
        <v>224</v>
      </c>
      <c r="AF185" s="13">
        <v>41901</v>
      </c>
      <c r="AG185" t="s">
        <v>121</v>
      </c>
      <c r="AH185" t="s">
        <v>64</v>
      </c>
      <c r="AI185" t="s">
        <v>1328</v>
      </c>
      <c r="AJ185" t="s">
        <v>716</v>
      </c>
      <c r="AK185" t="s">
        <v>121</v>
      </c>
      <c r="AL185" t="s">
        <v>121</v>
      </c>
      <c r="AM185" t="s">
        <v>121</v>
      </c>
    </row>
    <row r="186" spans="9:39" x14ac:dyDescent="0.3">
      <c r="I186">
        <f ca="1">IF(OR(INDIRECT(A73&amp;ROW())=B93,INDIRECT(A73&amp;ROW())=B94),1,IF(AND(INDIRECT(A73&amp;ROW())=B95,INDIRECT(A96&amp;ROW())=C93),1,IF(AND(INDIRECT(A73&amp;ROW())=B95,INDIRECT(A96&amp;ROW())=C94),1,0)))</f>
        <v>0</v>
      </c>
      <c r="J186">
        <f ca="1">IF(AND(INDIRECT(A73&amp;ROW())=B95,INDIRECT(A96&amp;ROW())=C95),1,IF(AND(INDIRECT(A73&amp;ROW())=B95,INDIRECT(A96&amp;ROW())=C96),1,0))</f>
        <v>1</v>
      </c>
      <c r="K186">
        <f ca="1">DAYS360(INDIRECT(C68&amp;ROW()),TODAY())</f>
        <v>800</v>
      </c>
      <c r="L186">
        <f ca="1">DAYS360(INDIRECT(C69&amp;ROW()),TODAY())</f>
        <v>882</v>
      </c>
      <c r="M186">
        <f ca="1">HYPERLINK(CONCATENATE("https://bugzilla.houston.hp.com:1181/bugzilla/show_bug.cgi?id=",INDIRECT(C70&amp;ROW())),INDIRECT(C70&amp;ROW()))</f>
        <v>53728</v>
      </c>
      <c r="N186">
        <v>53728</v>
      </c>
      <c r="O186" t="s">
        <v>56</v>
      </c>
      <c r="P186" t="s">
        <v>458</v>
      </c>
      <c r="Q186" t="s">
        <v>25</v>
      </c>
      <c r="R186" t="s">
        <v>248</v>
      </c>
      <c r="S186" t="s">
        <v>36</v>
      </c>
      <c r="U186" s="6">
        <v>42047.974247685182</v>
      </c>
      <c r="V186" t="s">
        <v>18</v>
      </c>
      <c r="W186" t="s">
        <v>288</v>
      </c>
      <c r="X186" s="6">
        <v>41963.831631944442</v>
      </c>
      <c r="Y186" t="s">
        <v>119</v>
      </c>
      <c r="AB186" t="s">
        <v>201</v>
      </c>
      <c r="AC186" t="s">
        <v>121</v>
      </c>
      <c r="AD186" t="s">
        <v>220</v>
      </c>
      <c r="AE186" t="s">
        <v>219</v>
      </c>
      <c r="AF186" s="13">
        <v>41901</v>
      </c>
      <c r="AG186" t="s">
        <v>121</v>
      </c>
      <c r="AH186" t="s">
        <v>64</v>
      </c>
      <c r="AI186" t="s">
        <v>121</v>
      </c>
      <c r="AJ186" t="s">
        <v>716</v>
      </c>
      <c r="AK186" t="s">
        <v>121</v>
      </c>
      <c r="AL186" t="s">
        <v>121</v>
      </c>
      <c r="AM186" t="s">
        <v>121</v>
      </c>
    </row>
    <row r="187" spans="9:39" x14ac:dyDescent="0.3">
      <c r="I187">
        <f ca="1">IF(OR(INDIRECT(A73&amp;ROW())=B93,INDIRECT(A73&amp;ROW())=B94),1,IF(AND(INDIRECT(A73&amp;ROW())=B95,INDIRECT(A96&amp;ROW())=C93),1,IF(AND(INDIRECT(A73&amp;ROW())=B95,INDIRECT(A96&amp;ROW())=C94),1,0)))</f>
        <v>1</v>
      </c>
      <c r="J187">
        <f ca="1">IF(AND(INDIRECT(A73&amp;ROW())=B95,INDIRECT(A96&amp;ROW())=C95),1,IF(AND(INDIRECT(A73&amp;ROW())=B95,INDIRECT(A96&amp;ROW())=C96),1,0))</f>
        <v>0</v>
      </c>
      <c r="K187">
        <f ca="1">DAYS360(INDIRECT(C68&amp;ROW()),TODAY())</f>
        <v>870</v>
      </c>
      <c r="L187">
        <f ca="1">DAYS360(INDIRECT(C69&amp;ROW()),TODAY())</f>
        <v>871</v>
      </c>
      <c r="M187">
        <f ca="1">HYPERLINK(CONCATENATE("https://bugzilla.houston.hp.com:1181/bugzilla/show_bug.cgi?id=",INDIRECT(C70&amp;ROW())),INDIRECT(C70&amp;ROW()))</f>
        <v>54144</v>
      </c>
      <c r="N187">
        <v>54144</v>
      </c>
      <c r="O187" t="s">
        <v>43</v>
      </c>
      <c r="P187" t="s">
        <v>479</v>
      </c>
      <c r="Q187" t="s">
        <v>25</v>
      </c>
      <c r="R187" t="s">
        <v>248</v>
      </c>
      <c r="S187" t="s">
        <v>36</v>
      </c>
      <c r="U187" s="6">
        <v>41975.575798611113</v>
      </c>
      <c r="V187" t="s">
        <v>18</v>
      </c>
      <c r="W187" t="s">
        <v>17</v>
      </c>
      <c r="X187" s="6">
        <v>41974.702986111108</v>
      </c>
      <c r="Y187" t="s">
        <v>342</v>
      </c>
      <c r="AB187" t="s">
        <v>200</v>
      </c>
      <c r="AC187" t="s">
        <v>247</v>
      </c>
      <c r="AD187" t="s">
        <v>220</v>
      </c>
      <c r="AE187" t="s">
        <v>219</v>
      </c>
      <c r="AG187" t="s">
        <v>121</v>
      </c>
      <c r="AH187" t="s">
        <v>327</v>
      </c>
      <c r="AI187" t="s">
        <v>121</v>
      </c>
      <c r="AJ187" t="s">
        <v>715</v>
      </c>
      <c r="AK187" t="s">
        <v>121</v>
      </c>
      <c r="AL187" t="s">
        <v>121</v>
      </c>
      <c r="AM187" t="s">
        <v>121</v>
      </c>
    </row>
    <row r="188" spans="9:39" x14ac:dyDescent="0.3">
      <c r="I188">
        <f ca="1">IF(OR(INDIRECT(A73&amp;ROW())=B93,INDIRECT(A73&amp;ROW())=B94),1,IF(AND(INDIRECT(A73&amp;ROW())=B95,INDIRECT(A96&amp;ROW())=C93),1,IF(AND(INDIRECT(A73&amp;ROW())=B95,INDIRECT(A96&amp;ROW())=C94),1,0)))</f>
        <v>0</v>
      </c>
      <c r="J188">
        <f ca="1">IF(AND(INDIRECT(A73&amp;ROW())=B95,INDIRECT(A96&amp;ROW())=C95),1,IF(AND(INDIRECT(A73&amp;ROW())=B95,INDIRECT(A96&amp;ROW())=C96),1,0))</f>
        <v>0</v>
      </c>
      <c r="K188">
        <f ca="1">DAYS360(INDIRECT(C68&amp;ROW()),TODAY())</f>
        <v>801</v>
      </c>
      <c r="L188">
        <f ca="1">DAYS360(INDIRECT(C69&amp;ROW()),TODAY())</f>
        <v>870</v>
      </c>
      <c r="M188">
        <f ca="1">HYPERLINK(CONCATENATE("https://bugzilla.houston.hp.com:1181/bugzilla/show_bug.cgi?id=",INDIRECT(C70&amp;ROW())),INDIRECT(C70&amp;ROW()))</f>
        <v>54173</v>
      </c>
      <c r="N188">
        <v>54173</v>
      </c>
      <c r="O188" t="s">
        <v>50</v>
      </c>
      <c r="P188" t="s">
        <v>1379</v>
      </c>
      <c r="Q188" t="s">
        <v>16</v>
      </c>
      <c r="R188" t="s">
        <v>251</v>
      </c>
      <c r="S188" t="s">
        <v>187</v>
      </c>
      <c r="U188" s="6">
        <v>42046.538854166669</v>
      </c>
      <c r="V188" t="s">
        <v>18</v>
      </c>
      <c r="W188" t="s">
        <v>248</v>
      </c>
      <c r="X188" s="6">
        <v>41975.331655092596</v>
      </c>
      <c r="Y188" t="s">
        <v>786</v>
      </c>
      <c r="AB188" t="s">
        <v>201</v>
      </c>
      <c r="AC188" t="s">
        <v>247</v>
      </c>
      <c r="AD188" t="s">
        <v>227</v>
      </c>
      <c r="AE188" t="s">
        <v>226</v>
      </c>
      <c r="AG188" t="s">
        <v>121</v>
      </c>
      <c r="AH188" t="s">
        <v>327</v>
      </c>
      <c r="AI188" t="s">
        <v>121</v>
      </c>
      <c r="AJ188" t="s">
        <v>717</v>
      </c>
      <c r="AK188" t="s">
        <v>121</v>
      </c>
      <c r="AL188" t="s">
        <v>121</v>
      </c>
      <c r="AM188" t="s">
        <v>121</v>
      </c>
    </row>
    <row r="189" spans="9:39" x14ac:dyDescent="0.3">
      <c r="I189">
        <f ca="1">IF(OR(INDIRECT(A73&amp;ROW())=B93,INDIRECT(A73&amp;ROW())=B94),1,IF(AND(INDIRECT(A73&amp;ROW())=B95,INDIRECT(A96&amp;ROW())=C93),1,IF(AND(INDIRECT(A73&amp;ROW())=B95,INDIRECT(A96&amp;ROW())=C94),1,0)))</f>
        <v>0</v>
      </c>
      <c r="J189">
        <f ca="1">IF(AND(INDIRECT(A73&amp;ROW())=B95,INDIRECT(A96&amp;ROW())=C95),1,IF(AND(INDIRECT(A73&amp;ROW())=B95,INDIRECT(A96&amp;ROW())=C96),1,0))</f>
        <v>1</v>
      </c>
      <c r="K189">
        <f ca="1">DAYS360(INDIRECT(C68&amp;ROW()),TODAY())</f>
        <v>721</v>
      </c>
      <c r="L189">
        <f ca="1">DAYS360(INDIRECT(C69&amp;ROW()),TODAY())</f>
        <v>870</v>
      </c>
      <c r="M189">
        <f ca="1">HYPERLINK(CONCATENATE("https://bugzilla.houston.hp.com:1181/bugzilla/show_bug.cgi?id=",INDIRECT(C70&amp;ROW())),INDIRECT(C70&amp;ROW()))</f>
        <v>54180</v>
      </c>
      <c r="N189">
        <v>54180</v>
      </c>
      <c r="O189" t="s">
        <v>326</v>
      </c>
      <c r="P189" t="s">
        <v>487</v>
      </c>
      <c r="Q189" t="s">
        <v>25</v>
      </c>
      <c r="R189" t="s">
        <v>17</v>
      </c>
      <c r="S189" t="s">
        <v>36</v>
      </c>
      <c r="U189" s="6">
        <v>42125.447627314818</v>
      </c>
      <c r="V189" t="s">
        <v>18</v>
      </c>
      <c r="W189" t="s">
        <v>343</v>
      </c>
      <c r="X189" s="6">
        <v>41975.376284722224</v>
      </c>
      <c r="Y189" t="s">
        <v>122</v>
      </c>
      <c r="AB189" t="s">
        <v>201</v>
      </c>
      <c r="AC189" t="s">
        <v>247</v>
      </c>
      <c r="AD189" t="s">
        <v>220</v>
      </c>
      <c r="AE189" t="s">
        <v>224</v>
      </c>
      <c r="AG189" t="s">
        <v>121</v>
      </c>
      <c r="AH189" t="s">
        <v>64</v>
      </c>
      <c r="AI189" t="s">
        <v>1328</v>
      </c>
      <c r="AJ189" t="s">
        <v>716</v>
      </c>
      <c r="AK189" t="s">
        <v>121</v>
      </c>
      <c r="AL189" t="s">
        <v>121</v>
      </c>
      <c r="AM189" t="s">
        <v>121</v>
      </c>
    </row>
    <row r="190" spans="9:39" x14ac:dyDescent="0.3">
      <c r="I190">
        <f ca="1">IF(OR(INDIRECT(A73&amp;ROW())=B93,INDIRECT(A73&amp;ROW())=B94),1,IF(AND(INDIRECT(A73&amp;ROW())=B95,INDIRECT(A96&amp;ROW())=C93),1,IF(AND(INDIRECT(A73&amp;ROW())=B95,INDIRECT(A96&amp;ROW())=C94),1,0)))</f>
        <v>0</v>
      </c>
      <c r="J190">
        <f ca="1">IF(AND(INDIRECT(A73&amp;ROW())=B95,INDIRECT(A96&amp;ROW())=C95),1,IF(AND(INDIRECT(A73&amp;ROW())=B95,INDIRECT(A96&amp;ROW())=C96),1,0))</f>
        <v>1</v>
      </c>
      <c r="K190">
        <f ca="1">DAYS360(INDIRECT(C68&amp;ROW()),TODAY())</f>
        <v>721</v>
      </c>
      <c r="L190">
        <f ca="1">DAYS360(INDIRECT(C69&amp;ROW()),TODAY())</f>
        <v>870</v>
      </c>
      <c r="M190">
        <f ca="1">HYPERLINK(CONCATENATE("https://bugzilla.houston.hp.com:1181/bugzilla/show_bug.cgi?id=",INDIRECT(C70&amp;ROW())),INDIRECT(C70&amp;ROW()))</f>
        <v>54181</v>
      </c>
      <c r="N190">
        <v>54181</v>
      </c>
      <c r="O190" t="s">
        <v>56</v>
      </c>
      <c r="P190" t="s">
        <v>486</v>
      </c>
      <c r="Q190" t="s">
        <v>25</v>
      </c>
      <c r="R190" t="s">
        <v>248</v>
      </c>
      <c r="S190" t="s">
        <v>36</v>
      </c>
      <c r="U190" s="6">
        <v>42125.447581018518</v>
      </c>
      <c r="V190" t="s">
        <v>18</v>
      </c>
      <c r="W190" t="s">
        <v>343</v>
      </c>
      <c r="X190" s="6">
        <v>41975.38009259259</v>
      </c>
      <c r="Y190" t="s">
        <v>122</v>
      </c>
      <c r="AB190" t="s">
        <v>201</v>
      </c>
      <c r="AC190" t="s">
        <v>247</v>
      </c>
      <c r="AD190" t="s">
        <v>220</v>
      </c>
      <c r="AE190" t="s">
        <v>219</v>
      </c>
      <c r="AG190" t="s">
        <v>121</v>
      </c>
      <c r="AH190" t="s">
        <v>64</v>
      </c>
      <c r="AI190" t="s">
        <v>121</v>
      </c>
      <c r="AJ190" t="s">
        <v>716</v>
      </c>
      <c r="AK190" t="s">
        <v>121</v>
      </c>
      <c r="AL190" t="s">
        <v>121</v>
      </c>
      <c r="AM190" t="s">
        <v>121</v>
      </c>
    </row>
    <row r="191" spans="9:39" x14ac:dyDescent="0.3">
      <c r="I191">
        <f ca="1">IF(OR(INDIRECT(A73&amp;ROW())=B93,INDIRECT(A73&amp;ROW())=B94),1,IF(AND(INDIRECT(A73&amp;ROW())=B95,INDIRECT(A96&amp;ROW())=C93),1,IF(AND(INDIRECT(A73&amp;ROW())=B95,INDIRECT(A96&amp;ROW())=C94),1,0)))</f>
        <v>0</v>
      </c>
      <c r="J191">
        <f ca="1">IF(AND(INDIRECT(A73&amp;ROW())=B95,INDIRECT(A96&amp;ROW())=C95),1,IF(AND(INDIRECT(A73&amp;ROW())=B95,INDIRECT(A96&amp;ROW())=C96),1,0))</f>
        <v>0</v>
      </c>
      <c r="K191">
        <f ca="1">DAYS360(INDIRECT(C68&amp;ROW()),TODAY())</f>
        <v>721</v>
      </c>
      <c r="L191">
        <f ca="1">DAYS360(INDIRECT(C69&amp;ROW()),TODAY())</f>
        <v>870</v>
      </c>
      <c r="M191">
        <f ca="1">HYPERLINK(CONCATENATE("https://bugzilla.houston.hp.com:1181/bugzilla/show_bug.cgi?id=",INDIRECT(C70&amp;ROW())),INDIRECT(C70&amp;ROW()))</f>
        <v>54184</v>
      </c>
      <c r="N191">
        <v>54184</v>
      </c>
      <c r="O191" t="s">
        <v>241</v>
      </c>
      <c r="P191" t="s">
        <v>485</v>
      </c>
      <c r="Q191" t="s">
        <v>16</v>
      </c>
      <c r="R191" t="s">
        <v>248</v>
      </c>
      <c r="S191" t="s">
        <v>36</v>
      </c>
      <c r="U191" s="6">
        <v>42125.65320601852</v>
      </c>
      <c r="V191" t="s">
        <v>18</v>
      </c>
      <c r="W191" t="s">
        <v>339</v>
      </c>
      <c r="X191" s="6">
        <v>41975.38925925926</v>
      </c>
      <c r="Y191" t="s">
        <v>245</v>
      </c>
      <c r="AB191" t="s">
        <v>201</v>
      </c>
      <c r="AC191" t="s">
        <v>247</v>
      </c>
      <c r="AD191" t="s">
        <v>227</v>
      </c>
      <c r="AE191" t="s">
        <v>237</v>
      </c>
      <c r="AG191" t="s">
        <v>121</v>
      </c>
      <c r="AH191" t="s">
        <v>327</v>
      </c>
      <c r="AI191" t="s">
        <v>121</v>
      </c>
      <c r="AJ191" t="s">
        <v>717</v>
      </c>
      <c r="AK191" t="s">
        <v>121</v>
      </c>
      <c r="AL191" t="s">
        <v>121</v>
      </c>
      <c r="AM191" t="s">
        <v>121</v>
      </c>
    </row>
    <row r="192" spans="9:39" x14ac:dyDescent="0.3">
      <c r="I192">
        <f ca="1">IF(OR(INDIRECT(A73&amp;ROW())=B93,INDIRECT(A73&amp;ROW())=B94),1,IF(AND(INDIRECT(A73&amp;ROW())=B95,INDIRECT(A96&amp;ROW())=C93),1,IF(AND(INDIRECT(A73&amp;ROW())=B95,INDIRECT(A96&amp;ROW())=C94),1,0)))</f>
        <v>0</v>
      </c>
      <c r="J192">
        <f ca="1">IF(AND(INDIRECT(A73&amp;ROW())=B95,INDIRECT(A96&amp;ROW())=C95),1,IF(AND(INDIRECT(A73&amp;ROW())=B95,INDIRECT(A96&amp;ROW())=C96),1,0))</f>
        <v>1</v>
      </c>
      <c r="K192">
        <f ca="1">DAYS360(INDIRECT(C68&amp;ROW()),TODAY())</f>
        <v>869</v>
      </c>
      <c r="L192">
        <f ca="1">DAYS360(INDIRECT(C69&amp;ROW()),TODAY())</f>
        <v>870</v>
      </c>
      <c r="M192">
        <f ca="1">HYPERLINK(CONCATENATE("https://bugzilla.houston.hp.com:1181/bugzilla/show_bug.cgi?id=",INDIRECT(C70&amp;ROW())),INDIRECT(C70&amp;ROW()))</f>
        <v>54186</v>
      </c>
      <c r="N192">
        <v>54186</v>
      </c>
      <c r="O192" t="s">
        <v>326</v>
      </c>
      <c r="P192" t="s">
        <v>484</v>
      </c>
      <c r="Q192" t="s">
        <v>25</v>
      </c>
      <c r="R192" t="s">
        <v>17</v>
      </c>
      <c r="S192" t="s">
        <v>36</v>
      </c>
      <c r="U192" s="6">
        <v>41976.523692129631</v>
      </c>
      <c r="V192" t="s">
        <v>18</v>
      </c>
      <c r="W192" t="s">
        <v>343</v>
      </c>
      <c r="X192" s="6">
        <v>41975.390381944446</v>
      </c>
      <c r="Y192" t="s">
        <v>245</v>
      </c>
      <c r="AB192" t="s">
        <v>201</v>
      </c>
      <c r="AC192" t="s">
        <v>247</v>
      </c>
      <c r="AD192" t="s">
        <v>227</v>
      </c>
      <c r="AE192" t="s">
        <v>230</v>
      </c>
      <c r="AG192" t="s">
        <v>121</v>
      </c>
      <c r="AH192" t="s">
        <v>327</v>
      </c>
      <c r="AI192" t="s">
        <v>362</v>
      </c>
      <c r="AJ192" t="s">
        <v>716</v>
      </c>
      <c r="AK192" t="s">
        <v>121</v>
      </c>
      <c r="AL192" t="s">
        <v>121</v>
      </c>
      <c r="AM192" t="s">
        <v>121</v>
      </c>
    </row>
    <row r="193" spans="9:39" x14ac:dyDescent="0.3">
      <c r="I193">
        <f ca="1">IF(OR(INDIRECT(A73&amp;ROW())=B93,INDIRECT(A73&amp;ROW())=B94),1,IF(AND(INDIRECT(A73&amp;ROW())=B95,INDIRECT(A96&amp;ROW())=C93),1,IF(AND(INDIRECT(A73&amp;ROW())=B95,INDIRECT(A96&amp;ROW())=C94),1,0)))</f>
        <v>0</v>
      </c>
      <c r="J193">
        <f ca="1">IF(AND(INDIRECT(A73&amp;ROW())=B95,INDIRECT(A96&amp;ROW())=C95),1,IF(AND(INDIRECT(A73&amp;ROW())=B95,INDIRECT(A96&amp;ROW())=C96),1,0))</f>
        <v>1</v>
      </c>
      <c r="K193">
        <f ca="1">DAYS360(INDIRECT(C68&amp;ROW()),TODAY())</f>
        <v>721</v>
      </c>
      <c r="L193">
        <f ca="1">DAYS360(INDIRECT(C69&amp;ROW()),TODAY())</f>
        <v>870</v>
      </c>
      <c r="M193">
        <f ca="1">HYPERLINK(CONCATENATE("https://bugzilla.houston.hp.com:1181/bugzilla/show_bug.cgi?id=",INDIRECT(C70&amp;ROW())),INDIRECT(C70&amp;ROW()))</f>
        <v>54187</v>
      </c>
      <c r="N193">
        <v>54187</v>
      </c>
      <c r="O193" t="s">
        <v>241</v>
      </c>
      <c r="P193" t="s">
        <v>483</v>
      </c>
      <c r="Q193" t="s">
        <v>25</v>
      </c>
      <c r="R193" t="s">
        <v>248</v>
      </c>
      <c r="S193" t="s">
        <v>36</v>
      </c>
      <c r="U193" s="6">
        <v>42125.655613425923</v>
      </c>
      <c r="V193" t="s">
        <v>18</v>
      </c>
      <c r="W193" t="s">
        <v>343</v>
      </c>
      <c r="X193" s="6">
        <v>41975.393379629626</v>
      </c>
      <c r="Y193" t="s">
        <v>245</v>
      </c>
      <c r="AB193" t="s">
        <v>201</v>
      </c>
      <c r="AC193" t="s">
        <v>247</v>
      </c>
      <c r="AD193" t="s">
        <v>227</v>
      </c>
      <c r="AE193" t="s">
        <v>237</v>
      </c>
      <c r="AG193" t="s">
        <v>121</v>
      </c>
      <c r="AH193" t="s">
        <v>327</v>
      </c>
      <c r="AI193" t="s">
        <v>121</v>
      </c>
      <c r="AJ193" t="s">
        <v>716</v>
      </c>
      <c r="AK193" t="s">
        <v>121</v>
      </c>
      <c r="AL193" t="s">
        <v>121</v>
      </c>
      <c r="AM193" t="s">
        <v>121</v>
      </c>
    </row>
    <row r="194" spans="9:39" x14ac:dyDescent="0.3">
      <c r="I194">
        <f ca="1">IF(OR(INDIRECT(A73&amp;ROW())=B93,INDIRECT(A73&amp;ROW())=B94),1,IF(AND(INDIRECT(A73&amp;ROW())=B95,INDIRECT(A96&amp;ROW())=C93),1,IF(AND(INDIRECT(A73&amp;ROW())=B95,INDIRECT(A96&amp;ROW())=C94),1,0)))</f>
        <v>0</v>
      </c>
      <c r="J194">
        <f ca="1">IF(AND(INDIRECT(A73&amp;ROW())=B95,INDIRECT(A96&amp;ROW())=C95),1,IF(AND(INDIRECT(A73&amp;ROW())=B95,INDIRECT(A96&amp;ROW())=C96),1,0))</f>
        <v>0</v>
      </c>
      <c r="K194">
        <f ca="1">DAYS360(INDIRECT(C68&amp;ROW()),TODAY())</f>
        <v>835</v>
      </c>
      <c r="L194">
        <f ca="1">DAYS360(INDIRECT(C69&amp;ROW()),TODAY())</f>
        <v>870</v>
      </c>
      <c r="M194">
        <f ca="1">HYPERLINK(CONCATENATE("https://bugzilla.houston.hp.com:1181/bugzilla/show_bug.cgi?id=",INDIRECT(C70&amp;ROW())),INDIRECT(C70&amp;ROW()))</f>
        <v>54198</v>
      </c>
      <c r="N194">
        <v>54198</v>
      </c>
      <c r="O194" t="s">
        <v>326</v>
      </c>
      <c r="P194" t="s">
        <v>506</v>
      </c>
      <c r="Q194" t="s">
        <v>16</v>
      </c>
      <c r="R194" t="s">
        <v>17</v>
      </c>
      <c r="S194" t="s">
        <v>36</v>
      </c>
      <c r="U194" s="6">
        <v>42011.308912037035</v>
      </c>
      <c r="V194" t="s">
        <v>35</v>
      </c>
      <c r="W194" t="s">
        <v>343</v>
      </c>
      <c r="X194" s="6">
        <v>41975.427766203706</v>
      </c>
      <c r="Y194" t="s">
        <v>255</v>
      </c>
      <c r="AB194" t="s">
        <v>199</v>
      </c>
      <c r="AC194" t="s">
        <v>247</v>
      </c>
      <c r="AD194" t="s">
        <v>220</v>
      </c>
      <c r="AE194" t="s">
        <v>224</v>
      </c>
      <c r="AG194" t="s">
        <v>121</v>
      </c>
      <c r="AH194" t="s">
        <v>327</v>
      </c>
      <c r="AI194" t="s">
        <v>362</v>
      </c>
      <c r="AJ194" t="s">
        <v>716</v>
      </c>
      <c r="AK194" t="s">
        <v>121</v>
      </c>
      <c r="AL194" t="s">
        <v>121</v>
      </c>
      <c r="AM194" t="s">
        <v>121</v>
      </c>
    </row>
    <row r="195" spans="9:39" x14ac:dyDescent="0.3">
      <c r="I195">
        <f ca="1">IF(OR(INDIRECT(A73&amp;ROW())=B93,INDIRECT(A73&amp;ROW())=B94),1,IF(AND(INDIRECT(A73&amp;ROW())=B95,INDIRECT(A96&amp;ROW())=C93),1,IF(AND(INDIRECT(A73&amp;ROW())=B95,INDIRECT(A96&amp;ROW())=C94),1,0)))</f>
        <v>0</v>
      </c>
      <c r="J195">
        <f ca="1">IF(AND(INDIRECT(A73&amp;ROW())=B95,INDIRECT(A96&amp;ROW())=C95),1,IF(AND(INDIRECT(A73&amp;ROW())=B95,INDIRECT(A96&amp;ROW())=C96),1,0))</f>
        <v>0</v>
      </c>
      <c r="K195">
        <f ca="1">DAYS360(INDIRECT(C68&amp;ROW()),TODAY())</f>
        <v>733</v>
      </c>
      <c r="L195">
        <f ca="1">DAYS360(INDIRECT(C69&amp;ROW()),TODAY())</f>
        <v>870</v>
      </c>
      <c r="M195">
        <f ca="1">HYPERLINK(CONCATENATE("https://bugzilla.houston.hp.com:1181/bugzilla/show_bug.cgi?id=",INDIRECT(C70&amp;ROW())),INDIRECT(C70&amp;ROW()))</f>
        <v>54199</v>
      </c>
      <c r="N195">
        <v>54199</v>
      </c>
      <c r="O195" t="s">
        <v>56</v>
      </c>
      <c r="P195" t="s">
        <v>482</v>
      </c>
      <c r="Q195" t="s">
        <v>16</v>
      </c>
      <c r="R195" t="s">
        <v>248</v>
      </c>
      <c r="S195" t="s">
        <v>36</v>
      </c>
      <c r="U195" s="6">
        <v>42113.598020833335</v>
      </c>
      <c r="V195" t="s">
        <v>18</v>
      </c>
      <c r="W195" t="s">
        <v>343</v>
      </c>
      <c r="X195" s="6">
        <v>41975.430879629632</v>
      </c>
      <c r="Y195" t="s">
        <v>255</v>
      </c>
      <c r="AB195" t="s">
        <v>199</v>
      </c>
      <c r="AC195" t="s">
        <v>247</v>
      </c>
      <c r="AD195" t="s">
        <v>220</v>
      </c>
      <c r="AE195" t="s">
        <v>219</v>
      </c>
      <c r="AG195" t="s">
        <v>121</v>
      </c>
      <c r="AH195" t="s">
        <v>327</v>
      </c>
      <c r="AI195" t="s">
        <v>121</v>
      </c>
      <c r="AJ195" t="s">
        <v>716</v>
      </c>
      <c r="AK195" t="s">
        <v>121</v>
      </c>
      <c r="AL195" t="s">
        <v>121</v>
      </c>
      <c r="AM195" t="s">
        <v>121</v>
      </c>
    </row>
    <row r="196" spans="9:39" x14ac:dyDescent="0.3">
      <c r="I196">
        <f ca="1">IF(OR(INDIRECT(A73&amp;ROW())=B93,INDIRECT(A73&amp;ROW())=B94),1,IF(AND(INDIRECT(A73&amp;ROW())=B95,INDIRECT(A96&amp;ROW())=C93),1,IF(AND(INDIRECT(A73&amp;ROW())=B95,INDIRECT(A96&amp;ROW())=C94),1,0)))</f>
        <v>0</v>
      </c>
      <c r="J196">
        <f ca="1">IF(AND(INDIRECT(A73&amp;ROW())=B95,INDIRECT(A96&amp;ROW())=C95),1,IF(AND(INDIRECT(A73&amp;ROW())=B95,INDIRECT(A96&amp;ROW())=C96),1,0))</f>
        <v>0</v>
      </c>
      <c r="K196">
        <f ca="1">DAYS360(INDIRECT(C68&amp;ROW()),TODAY())</f>
        <v>690</v>
      </c>
      <c r="L196">
        <f ca="1">DAYS360(INDIRECT(C69&amp;ROW()),TODAY())</f>
        <v>870</v>
      </c>
      <c r="M196">
        <f ca="1">HYPERLINK(CONCATENATE("https://bugzilla.houston.hp.com:1181/bugzilla/show_bug.cgi?id=",INDIRECT(C70&amp;ROW())),INDIRECT(C70&amp;ROW()))</f>
        <v>54214</v>
      </c>
      <c r="N196">
        <v>54214</v>
      </c>
      <c r="O196" t="s">
        <v>45</v>
      </c>
      <c r="P196" t="s">
        <v>501</v>
      </c>
      <c r="Q196" t="s">
        <v>16</v>
      </c>
      <c r="R196" t="s">
        <v>251</v>
      </c>
      <c r="S196" t="s">
        <v>52</v>
      </c>
      <c r="U196" s="6">
        <v>42157.34238425926</v>
      </c>
      <c r="V196" t="s">
        <v>18</v>
      </c>
      <c r="W196" t="s">
        <v>17</v>
      </c>
      <c r="X196" s="6">
        <v>41975.603159722225</v>
      </c>
      <c r="Y196" t="s">
        <v>255</v>
      </c>
      <c r="AB196" t="s">
        <v>201</v>
      </c>
      <c r="AC196" t="s">
        <v>247</v>
      </c>
      <c r="AD196" t="s">
        <v>227</v>
      </c>
      <c r="AE196" t="s">
        <v>237</v>
      </c>
      <c r="AG196" t="s">
        <v>121</v>
      </c>
      <c r="AH196" t="s">
        <v>327</v>
      </c>
      <c r="AI196" t="s">
        <v>121</v>
      </c>
      <c r="AJ196" t="s">
        <v>717</v>
      </c>
      <c r="AK196" t="s">
        <v>121</v>
      </c>
      <c r="AL196" t="s">
        <v>121</v>
      </c>
      <c r="AM196" t="s">
        <v>121</v>
      </c>
    </row>
    <row r="197" spans="9:39" x14ac:dyDescent="0.3">
      <c r="I197">
        <f ca="1">IF(OR(INDIRECT(A73&amp;ROW())=B93,INDIRECT(A73&amp;ROW())=B94),1,IF(AND(INDIRECT(A73&amp;ROW())=B95,INDIRECT(A96&amp;ROW())=C93),1,IF(AND(INDIRECT(A73&amp;ROW())=B95,INDIRECT(A96&amp;ROW())=C94),1,0)))</f>
        <v>0</v>
      </c>
      <c r="J197">
        <f ca="1">IF(AND(INDIRECT(A73&amp;ROW())=B95,INDIRECT(A96&amp;ROW())=C95),1,IF(AND(INDIRECT(A73&amp;ROW())=B95,INDIRECT(A96&amp;ROW())=C96),1,0))</f>
        <v>0</v>
      </c>
      <c r="K197">
        <f ca="1">DAYS360(INDIRECT(C68&amp;ROW()),TODAY())</f>
        <v>729</v>
      </c>
      <c r="L197">
        <f ca="1">DAYS360(INDIRECT(C69&amp;ROW()),TODAY())</f>
        <v>870</v>
      </c>
      <c r="M197">
        <f ca="1">HYPERLINK(CONCATENATE("https://bugzilla.houston.hp.com:1181/bugzilla/show_bug.cgi?id=",INDIRECT(C70&amp;ROW())),INDIRECT(C70&amp;ROW()))</f>
        <v>54215</v>
      </c>
      <c r="N197">
        <v>54215</v>
      </c>
      <c r="O197" t="s">
        <v>45</v>
      </c>
      <c r="P197" t="s">
        <v>500</v>
      </c>
      <c r="Q197" t="s">
        <v>16</v>
      </c>
      <c r="R197" t="s">
        <v>251</v>
      </c>
      <c r="S197" t="s">
        <v>367</v>
      </c>
      <c r="U197" s="6">
        <v>42117.404652777775</v>
      </c>
      <c r="V197" t="s">
        <v>18</v>
      </c>
      <c r="W197" t="s">
        <v>17</v>
      </c>
      <c r="X197" s="6">
        <v>41975.612685185188</v>
      </c>
      <c r="Y197" t="s">
        <v>245</v>
      </c>
      <c r="AB197" t="s">
        <v>200</v>
      </c>
      <c r="AC197" t="s">
        <v>247</v>
      </c>
      <c r="AD197" t="s">
        <v>227</v>
      </c>
      <c r="AE197" t="s">
        <v>230</v>
      </c>
      <c r="AG197" t="s">
        <v>121</v>
      </c>
      <c r="AH197" t="s">
        <v>327</v>
      </c>
      <c r="AI197" t="s">
        <v>121</v>
      </c>
      <c r="AJ197" t="s">
        <v>716</v>
      </c>
      <c r="AK197" t="s">
        <v>121</v>
      </c>
      <c r="AL197" t="s">
        <v>121</v>
      </c>
      <c r="AM197" t="s">
        <v>121</v>
      </c>
    </row>
    <row r="198" spans="9:39" x14ac:dyDescent="0.3">
      <c r="I198">
        <f ca="1">IF(OR(INDIRECT(A73&amp;ROW())=B93,INDIRECT(A73&amp;ROW())=B94),1,IF(AND(INDIRECT(A73&amp;ROW())=B95,INDIRECT(A96&amp;ROW())=C93),1,IF(AND(INDIRECT(A73&amp;ROW())=B95,INDIRECT(A96&amp;ROW())=C94),1,0)))</f>
        <v>0</v>
      </c>
      <c r="J198">
        <f ca="1">IF(AND(INDIRECT(A73&amp;ROW())=B95,INDIRECT(A96&amp;ROW())=C95),1,IF(AND(INDIRECT(A73&amp;ROW())=B95,INDIRECT(A96&amp;ROW())=C96),1,0))</f>
        <v>0</v>
      </c>
      <c r="K198">
        <f ca="1">DAYS360(INDIRECT(C68&amp;ROW()),TODAY())</f>
        <v>736</v>
      </c>
      <c r="L198">
        <f ca="1">DAYS360(INDIRECT(C69&amp;ROW()),TODAY())</f>
        <v>870</v>
      </c>
      <c r="M198">
        <f ca="1">HYPERLINK(CONCATENATE("https://bugzilla.houston.hp.com:1181/bugzilla/show_bug.cgi?id=",INDIRECT(C70&amp;ROW())),INDIRECT(C70&amp;ROW()))</f>
        <v>54218</v>
      </c>
      <c r="N198">
        <v>54218</v>
      </c>
      <c r="O198" t="s">
        <v>919</v>
      </c>
      <c r="P198" t="s">
        <v>499</v>
      </c>
      <c r="Q198" t="s">
        <v>16</v>
      </c>
      <c r="R198" t="s">
        <v>17</v>
      </c>
      <c r="S198" t="s">
        <v>477</v>
      </c>
      <c r="U198" s="6">
        <v>42110.702280092592</v>
      </c>
      <c r="V198" t="s">
        <v>18</v>
      </c>
      <c r="W198" t="s">
        <v>339</v>
      </c>
      <c r="X198" s="6">
        <v>41975.714236111111</v>
      </c>
      <c r="Y198" t="s">
        <v>245</v>
      </c>
      <c r="AB198" t="s">
        <v>201</v>
      </c>
      <c r="AC198" t="s">
        <v>247</v>
      </c>
      <c r="AD198" t="s">
        <v>227</v>
      </c>
      <c r="AE198" t="s">
        <v>230</v>
      </c>
      <c r="AG198" t="s">
        <v>121</v>
      </c>
      <c r="AH198" t="s">
        <v>327</v>
      </c>
      <c r="AI198" t="s">
        <v>362</v>
      </c>
      <c r="AJ198" t="s">
        <v>717</v>
      </c>
      <c r="AK198" t="s">
        <v>121</v>
      </c>
      <c r="AL198" t="s">
        <v>121</v>
      </c>
      <c r="AM198" t="s">
        <v>121</v>
      </c>
    </row>
    <row r="199" spans="9:39" x14ac:dyDescent="0.3">
      <c r="I199">
        <f ca="1">IF(OR(INDIRECT(A73&amp;ROW())=B93,INDIRECT(A73&amp;ROW())=B94),1,IF(AND(INDIRECT(A73&amp;ROW())=B95,INDIRECT(A96&amp;ROW())=C93),1,IF(AND(INDIRECT(A73&amp;ROW())=B95,INDIRECT(A96&amp;ROW())=C94),1,0)))</f>
        <v>0</v>
      </c>
      <c r="J199">
        <f ca="1">IF(AND(INDIRECT(A73&amp;ROW())=B95,INDIRECT(A96&amp;ROW())=C95),1,IF(AND(INDIRECT(A73&amp;ROW())=B95,INDIRECT(A96&amp;ROW())=C96),1,0))</f>
        <v>1</v>
      </c>
      <c r="K199">
        <f ca="1">DAYS360(INDIRECT(C68&amp;ROW()),TODAY())</f>
        <v>730</v>
      </c>
      <c r="L199">
        <f ca="1">DAYS360(INDIRECT(C69&amp;ROW()),TODAY())</f>
        <v>870</v>
      </c>
      <c r="M199">
        <f ca="1">HYPERLINK(CONCATENATE("https://bugzilla.houston.hp.com:1181/bugzilla/show_bug.cgi?id=",INDIRECT(C70&amp;ROW())),INDIRECT(C70&amp;ROW()))</f>
        <v>54221</v>
      </c>
      <c r="N199">
        <v>54221</v>
      </c>
      <c r="O199" t="s">
        <v>56</v>
      </c>
      <c r="P199" t="s">
        <v>481</v>
      </c>
      <c r="Q199" t="s">
        <v>25</v>
      </c>
      <c r="R199" t="s">
        <v>251</v>
      </c>
      <c r="S199" t="s">
        <v>43</v>
      </c>
      <c r="U199" s="6">
        <v>42116.732118055559</v>
      </c>
      <c r="V199" t="s">
        <v>18</v>
      </c>
      <c r="W199" t="s">
        <v>17</v>
      </c>
      <c r="X199" s="6">
        <v>41975.804108796299</v>
      </c>
      <c r="Y199" t="s">
        <v>793</v>
      </c>
      <c r="AB199" t="s">
        <v>201</v>
      </c>
      <c r="AC199" t="s">
        <v>247</v>
      </c>
      <c r="AD199" t="s">
        <v>220</v>
      </c>
      <c r="AE199" t="s">
        <v>219</v>
      </c>
      <c r="AG199" t="s">
        <v>121</v>
      </c>
      <c r="AH199" t="s">
        <v>327</v>
      </c>
      <c r="AI199" t="s">
        <v>121</v>
      </c>
      <c r="AJ199" t="s">
        <v>716</v>
      </c>
      <c r="AK199" t="s">
        <v>121</v>
      </c>
      <c r="AL199" t="s">
        <v>121</v>
      </c>
      <c r="AM199" t="s">
        <v>121</v>
      </c>
    </row>
    <row r="200" spans="9:39" x14ac:dyDescent="0.3">
      <c r="I200">
        <f ca="1">IF(OR(INDIRECT(A73&amp;ROW())=B93,INDIRECT(A73&amp;ROW())=B94),1,IF(AND(INDIRECT(A73&amp;ROW())=B95,INDIRECT(A96&amp;ROW())=C93),1,IF(AND(INDIRECT(A73&amp;ROW())=B95,INDIRECT(A96&amp;ROW())=C94),1,0)))</f>
        <v>0</v>
      </c>
      <c r="J200">
        <f ca="1">IF(AND(INDIRECT(A73&amp;ROW())=B95,INDIRECT(A96&amp;ROW())=C95),1,IF(AND(INDIRECT(A73&amp;ROW())=B95,INDIRECT(A96&amp;ROW())=C96),1,0))</f>
        <v>1</v>
      </c>
      <c r="K200">
        <f ca="1">DAYS360(INDIRECT(C68&amp;ROW()),TODAY())</f>
        <v>721</v>
      </c>
      <c r="L200">
        <f ca="1">DAYS360(INDIRECT(C69&amp;ROW()),TODAY())</f>
        <v>869</v>
      </c>
      <c r="M200">
        <f ca="1">HYPERLINK(CONCATENATE("https://bugzilla.houston.hp.com:1181/bugzilla/show_bug.cgi?id=",INDIRECT(C70&amp;ROW())),INDIRECT(C70&amp;ROW()))</f>
        <v>54272</v>
      </c>
      <c r="N200">
        <v>54272</v>
      </c>
      <c r="O200" t="s">
        <v>56</v>
      </c>
      <c r="P200" t="s">
        <v>498</v>
      </c>
      <c r="Q200" t="s">
        <v>25</v>
      </c>
      <c r="R200" t="s">
        <v>248</v>
      </c>
      <c r="S200" t="s">
        <v>36</v>
      </c>
      <c r="U200" s="6">
        <v>42125.448750000003</v>
      </c>
      <c r="V200" t="s">
        <v>18</v>
      </c>
      <c r="W200" t="s">
        <v>360</v>
      </c>
      <c r="X200" s="6">
        <v>41976.671122685184</v>
      </c>
      <c r="Y200" t="s">
        <v>122</v>
      </c>
      <c r="AB200" t="s">
        <v>201</v>
      </c>
      <c r="AC200" t="s">
        <v>247</v>
      </c>
      <c r="AD200" t="s">
        <v>220</v>
      </c>
      <c r="AE200" t="s">
        <v>219</v>
      </c>
      <c r="AG200" t="s">
        <v>121</v>
      </c>
      <c r="AH200" t="s">
        <v>327</v>
      </c>
      <c r="AI200" t="s">
        <v>121</v>
      </c>
      <c r="AJ200" t="s">
        <v>716</v>
      </c>
      <c r="AK200" t="s">
        <v>121</v>
      </c>
      <c r="AL200" t="s">
        <v>121</v>
      </c>
      <c r="AM200" t="s">
        <v>121</v>
      </c>
    </row>
    <row r="201" spans="9:39" x14ac:dyDescent="0.3">
      <c r="I201">
        <f ca="1">IF(OR(INDIRECT(A73&amp;ROW())=B93,INDIRECT(A73&amp;ROW())=B94),1,IF(AND(INDIRECT(A73&amp;ROW())=B95,INDIRECT(A96&amp;ROW())=C93),1,IF(AND(INDIRECT(A73&amp;ROW())=B95,INDIRECT(A96&amp;ROW())=C94),1,0)))</f>
        <v>0</v>
      </c>
      <c r="J201">
        <f ca="1">IF(AND(INDIRECT(A73&amp;ROW())=B95,INDIRECT(A96&amp;ROW())=C95),1,IF(AND(INDIRECT(A73&amp;ROW())=B95,INDIRECT(A96&amp;ROW())=C96),1,0))</f>
        <v>0</v>
      </c>
      <c r="K201">
        <f ca="1">DAYS360(INDIRECT(C68&amp;ROW()),TODAY())</f>
        <v>721</v>
      </c>
      <c r="L201">
        <f ca="1">DAYS360(INDIRECT(C69&amp;ROW()),TODAY())</f>
        <v>869</v>
      </c>
      <c r="M201">
        <f ca="1">HYPERLINK(CONCATENATE("https://bugzilla.houston.hp.com:1181/bugzilla/show_bug.cgi?id=",INDIRECT(C70&amp;ROW())),INDIRECT(C70&amp;ROW()))</f>
        <v>54278</v>
      </c>
      <c r="N201">
        <v>54278</v>
      </c>
      <c r="O201" t="s">
        <v>45</v>
      </c>
      <c r="P201" t="s">
        <v>497</v>
      </c>
      <c r="Q201" t="s">
        <v>16</v>
      </c>
      <c r="R201" t="s">
        <v>248</v>
      </c>
      <c r="S201" t="s">
        <v>36</v>
      </c>
      <c r="U201" s="6">
        <v>42125.661678240744</v>
      </c>
      <c r="V201" t="s">
        <v>18</v>
      </c>
      <c r="W201" t="s">
        <v>339</v>
      </c>
      <c r="X201" s="6">
        <v>41976.674849537034</v>
      </c>
      <c r="Y201" t="s">
        <v>255</v>
      </c>
      <c r="AB201" t="s">
        <v>201</v>
      </c>
      <c r="AC201" t="s">
        <v>247</v>
      </c>
      <c r="AD201" t="s">
        <v>227</v>
      </c>
      <c r="AE201" t="s">
        <v>237</v>
      </c>
      <c r="AG201" t="s">
        <v>121</v>
      </c>
      <c r="AH201" t="s">
        <v>327</v>
      </c>
      <c r="AI201" t="s">
        <v>121</v>
      </c>
      <c r="AJ201" t="s">
        <v>717</v>
      </c>
      <c r="AK201" t="s">
        <v>121</v>
      </c>
      <c r="AL201" t="s">
        <v>121</v>
      </c>
      <c r="AM201" t="s">
        <v>121</v>
      </c>
    </row>
    <row r="202" spans="9:39" x14ac:dyDescent="0.3">
      <c r="I202">
        <f ca="1">IF(OR(INDIRECT(A73&amp;ROW())=B93,INDIRECT(A73&amp;ROW())=B94),1,IF(AND(INDIRECT(A73&amp;ROW())=B95,INDIRECT(A96&amp;ROW())=C93),1,IF(AND(INDIRECT(A73&amp;ROW())=B95,INDIRECT(A96&amp;ROW())=C94),1,0)))</f>
        <v>0</v>
      </c>
      <c r="J202">
        <f ca="1">IF(AND(INDIRECT(A73&amp;ROW())=B95,INDIRECT(A96&amp;ROW())=C95),1,IF(AND(INDIRECT(A73&amp;ROW())=B95,INDIRECT(A96&amp;ROW())=C96),1,0))</f>
        <v>0</v>
      </c>
      <c r="K202">
        <f ca="1">DAYS360(INDIRECT(C68&amp;ROW()),TODAY())</f>
        <v>731</v>
      </c>
      <c r="L202">
        <f ca="1">DAYS360(INDIRECT(C69&amp;ROW()),TODAY())</f>
        <v>869</v>
      </c>
      <c r="M202">
        <f ca="1">HYPERLINK(CONCATENATE("https://bugzilla.houston.hp.com:1181/bugzilla/show_bug.cgi?id=",INDIRECT(C70&amp;ROW())),INDIRECT(C70&amp;ROW()))</f>
        <v>54280</v>
      </c>
      <c r="N202">
        <v>54280</v>
      </c>
      <c r="O202" t="s">
        <v>919</v>
      </c>
      <c r="P202" t="s">
        <v>496</v>
      </c>
      <c r="Q202" t="s">
        <v>16</v>
      </c>
      <c r="R202" t="s">
        <v>17</v>
      </c>
      <c r="S202" t="s">
        <v>36</v>
      </c>
      <c r="U202" s="6">
        <v>42115.892118055555</v>
      </c>
      <c r="V202" t="s">
        <v>18</v>
      </c>
      <c r="W202" t="s">
        <v>372</v>
      </c>
      <c r="X202" s="6">
        <v>41976.675324074073</v>
      </c>
      <c r="Y202" t="s">
        <v>245</v>
      </c>
      <c r="AB202" t="s">
        <v>200</v>
      </c>
      <c r="AC202" t="s">
        <v>247</v>
      </c>
      <c r="AD202" t="s">
        <v>227</v>
      </c>
      <c r="AE202" t="s">
        <v>230</v>
      </c>
      <c r="AG202" t="s">
        <v>121</v>
      </c>
      <c r="AH202" t="s">
        <v>327</v>
      </c>
      <c r="AI202" t="s">
        <v>1328</v>
      </c>
      <c r="AJ202" t="s">
        <v>716</v>
      </c>
      <c r="AK202" t="s">
        <v>121</v>
      </c>
      <c r="AL202" t="s">
        <v>121</v>
      </c>
      <c r="AM202" t="s">
        <v>121</v>
      </c>
    </row>
    <row r="203" spans="9:39" x14ac:dyDescent="0.3">
      <c r="I203">
        <f ca="1">IF(OR(INDIRECT(A73&amp;ROW())=B93,INDIRECT(A73&amp;ROW())=B94),1,IF(AND(INDIRECT(A73&amp;ROW())=B95,INDIRECT(A96&amp;ROW())=C93),1,IF(AND(INDIRECT(A73&amp;ROW())=B95,INDIRECT(A96&amp;ROW())=C94),1,0)))</f>
        <v>0</v>
      </c>
      <c r="J203">
        <f ca="1">IF(AND(INDIRECT(A73&amp;ROW())=B95,INDIRECT(A96&amp;ROW())=C95),1,IF(AND(INDIRECT(A73&amp;ROW())=B95,INDIRECT(A96&amp;ROW())=C96),1,0))</f>
        <v>0</v>
      </c>
      <c r="K203">
        <f ca="1">DAYS360(INDIRECT(C68&amp;ROW()),TODAY())</f>
        <v>731</v>
      </c>
      <c r="L203">
        <f ca="1">DAYS360(INDIRECT(C69&amp;ROW()),TODAY())</f>
        <v>869</v>
      </c>
      <c r="M203">
        <f ca="1">HYPERLINK(CONCATENATE("https://bugzilla.houston.hp.com:1181/bugzilla/show_bug.cgi?id=",INDIRECT(C70&amp;ROW())),INDIRECT(C70&amp;ROW()))</f>
        <v>54281</v>
      </c>
      <c r="N203">
        <v>54281</v>
      </c>
      <c r="O203" t="s">
        <v>36</v>
      </c>
      <c r="P203" t="s">
        <v>495</v>
      </c>
      <c r="Q203" t="s">
        <v>16</v>
      </c>
      <c r="R203" t="s">
        <v>248</v>
      </c>
      <c r="S203" t="s">
        <v>36</v>
      </c>
      <c r="U203" s="6">
        <v>42115.893796296295</v>
      </c>
      <c r="V203" t="s">
        <v>18</v>
      </c>
      <c r="W203" t="s">
        <v>372</v>
      </c>
      <c r="X203" s="6">
        <v>41976.675428240742</v>
      </c>
      <c r="Y203" t="s">
        <v>245</v>
      </c>
      <c r="AB203" t="s">
        <v>200</v>
      </c>
      <c r="AC203" t="s">
        <v>247</v>
      </c>
      <c r="AD203" t="s">
        <v>227</v>
      </c>
      <c r="AE203" t="s">
        <v>230</v>
      </c>
      <c r="AG203" t="s">
        <v>121</v>
      </c>
      <c r="AH203" t="s">
        <v>327</v>
      </c>
      <c r="AI203" t="s">
        <v>121</v>
      </c>
      <c r="AJ203" t="s">
        <v>716</v>
      </c>
      <c r="AK203" t="s">
        <v>121</v>
      </c>
      <c r="AL203" t="s">
        <v>121</v>
      </c>
      <c r="AM203" t="s">
        <v>121</v>
      </c>
    </row>
    <row r="204" spans="9:39" x14ac:dyDescent="0.3">
      <c r="I204">
        <f ca="1">IF(OR(INDIRECT(A73&amp;ROW())=B93,INDIRECT(A73&amp;ROW())=B94),1,IF(AND(INDIRECT(A73&amp;ROW())=B95,INDIRECT(A96&amp;ROW())=C93),1,IF(AND(INDIRECT(A73&amp;ROW())=B95,INDIRECT(A96&amp;ROW())=C94),1,0)))</f>
        <v>0</v>
      </c>
      <c r="J204">
        <f ca="1">IF(AND(INDIRECT(A73&amp;ROW())=B95,INDIRECT(A96&amp;ROW())=C95),1,IF(AND(INDIRECT(A73&amp;ROW())=B95,INDIRECT(A96&amp;ROW())=C96),1,0))</f>
        <v>0</v>
      </c>
      <c r="K204">
        <f ca="1">DAYS360(INDIRECT(C68&amp;ROW()),TODAY())</f>
        <v>724</v>
      </c>
      <c r="L204">
        <f ca="1">DAYS360(INDIRECT(C69&amp;ROW()),TODAY())</f>
        <v>869</v>
      </c>
      <c r="M204">
        <f ca="1">HYPERLINK(CONCATENATE("https://bugzilla.houston.hp.com:1181/bugzilla/show_bug.cgi?id=",INDIRECT(C70&amp;ROW())),INDIRECT(C70&amp;ROW()))</f>
        <v>54283</v>
      </c>
      <c r="N204">
        <v>54283</v>
      </c>
      <c r="O204" t="s">
        <v>241</v>
      </c>
      <c r="P204" t="s">
        <v>494</v>
      </c>
      <c r="Q204" t="s">
        <v>16</v>
      </c>
      <c r="R204" t="s">
        <v>251</v>
      </c>
      <c r="S204" t="s">
        <v>36</v>
      </c>
      <c r="U204" s="6">
        <v>42122.319062499999</v>
      </c>
      <c r="V204" t="s">
        <v>18</v>
      </c>
      <c r="W204" t="s">
        <v>17</v>
      </c>
      <c r="X204" s="6">
        <v>41976.684965277775</v>
      </c>
      <c r="Y204" t="s">
        <v>122</v>
      </c>
      <c r="AB204" t="s">
        <v>201</v>
      </c>
      <c r="AC204" t="s">
        <v>247</v>
      </c>
      <c r="AD204" t="s">
        <v>227</v>
      </c>
      <c r="AE204" t="s">
        <v>237</v>
      </c>
      <c r="AG204" t="s">
        <v>121</v>
      </c>
      <c r="AH204" t="s">
        <v>327</v>
      </c>
      <c r="AI204" t="s">
        <v>121</v>
      </c>
      <c r="AJ204" t="s">
        <v>717</v>
      </c>
      <c r="AK204" t="s">
        <v>121</v>
      </c>
      <c r="AL204" t="s">
        <v>121</v>
      </c>
      <c r="AM204" t="s">
        <v>121</v>
      </c>
    </row>
    <row r="205" spans="9:39" x14ac:dyDescent="0.3">
      <c r="I205">
        <f ca="1">IF(OR(INDIRECT(A73&amp;ROW())=B93,INDIRECT(A73&amp;ROW())=B94),1,IF(AND(INDIRECT(A73&amp;ROW())=B95,INDIRECT(A96&amp;ROW())=C93),1,IF(AND(INDIRECT(A73&amp;ROW())=B95,INDIRECT(A96&amp;ROW())=C94),1,0)))</f>
        <v>0</v>
      </c>
      <c r="J205">
        <f ca="1">IF(AND(INDIRECT(A73&amp;ROW())=B95,INDIRECT(A96&amp;ROW())=C95),1,IF(AND(INDIRECT(A73&amp;ROW())=B95,INDIRECT(A96&amp;ROW())=C96),1,0))</f>
        <v>0</v>
      </c>
      <c r="K205">
        <f ca="1">DAYS360(INDIRECT(C68&amp;ROW()),TODAY())</f>
        <v>721</v>
      </c>
      <c r="L205">
        <f ca="1">DAYS360(INDIRECT(C69&amp;ROW()),TODAY())</f>
        <v>869</v>
      </c>
      <c r="M205">
        <f ca="1">HYPERLINK(CONCATENATE("https://bugzilla.houston.hp.com:1181/bugzilla/show_bug.cgi?id=",INDIRECT(C70&amp;ROW())),INDIRECT(C70&amp;ROW()))</f>
        <v>54284</v>
      </c>
      <c r="N205">
        <v>54284</v>
      </c>
      <c r="O205" t="s">
        <v>36</v>
      </c>
      <c r="P205" t="s">
        <v>493</v>
      </c>
      <c r="Q205" t="s">
        <v>16</v>
      </c>
      <c r="R205" t="s">
        <v>248</v>
      </c>
      <c r="S205" t="s">
        <v>36</v>
      </c>
      <c r="U205" s="6">
        <v>42125.44866898148</v>
      </c>
      <c r="V205" t="s">
        <v>18</v>
      </c>
      <c r="W205" t="s">
        <v>339</v>
      </c>
      <c r="X205" s="6">
        <v>41976.687175925923</v>
      </c>
      <c r="Y205" t="s">
        <v>122</v>
      </c>
      <c r="AB205" t="s">
        <v>201</v>
      </c>
      <c r="AC205" t="s">
        <v>247</v>
      </c>
      <c r="AD205" t="s">
        <v>227</v>
      </c>
      <c r="AE205" t="s">
        <v>237</v>
      </c>
      <c r="AG205" t="s">
        <v>121</v>
      </c>
      <c r="AH205" t="s">
        <v>327</v>
      </c>
      <c r="AI205" t="s">
        <v>121</v>
      </c>
      <c r="AJ205" t="s">
        <v>716</v>
      </c>
      <c r="AK205" t="s">
        <v>121</v>
      </c>
      <c r="AL205" t="s">
        <v>121</v>
      </c>
      <c r="AM205" t="s">
        <v>121</v>
      </c>
    </row>
    <row r="206" spans="9:39" x14ac:dyDescent="0.3">
      <c r="I206">
        <f ca="1">IF(OR(INDIRECT(A73&amp;ROW())=B93,INDIRECT(A73&amp;ROW())=B94),1,IF(AND(INDIRECT(A73&amp;ROW())=B95,INDIRECT(A96&amp;ROW())=C93),1,IF(AND(INDIRECT(A73&amp;ROW())=B95,INDIRECT(A96&amp;ROW())=C94),1,0)))</f>
        <v>0</v>
      </c>
      <c r="J206">
        <f ca="1">IF(AND(INDIRECT(A73&amp;ROW())=B95,INDIRECT(A96&amp;ROW())=C95),1,IF(AND(INDIRECT(A73&amp;ROW())=B95,INDIRECT(A96&amp;ROW())=C96),1,0))</f>
        <v>0</v>
      </c>
      <c r="K206">
        <f ca="1">DAYS360(INDIRECT(C68&amp;ROW()),TODAY())</f>
        <v>612</v>
      </c>
      <c r="L206">
        <f ca="1">DAYS360(INDIRECT(C69&amp;ROW()),TODAY())</f>
        <v>869</v>
      </c>
      <c r="M206">
        <f ca="1">HYPERLINK(CONCATENATE("https://bugzilla.houston.hp.com:1181/bugzilla/show_bug.cgi?id=",INDIRECT(C70&amp;ROW())),INDIRECT(C70&amp;ROW()))</f>
        <v>54292</v>
      </c>
      <c r="N206">
        <v>54292</v>
      </c>
      <c r="O206" t="s">
        <v>43</v>
      </c>
      <c r="P206" t="s">
        <v>502</v>
      </c>
      <c r="Q206" t="s">
        <v>16</v>
      </c>
      <c r="R206" t="s">
        <v>251</v>
      </c>
      <c r="S206" t="s">
        <v>43</v>
      </c>
      <c r="U206" s="6">
        <v>42236.370787037034</v>
      </c>
      <c r="V206" t="s">
        <v>18</v>
      </c>
      <c r="W206" t="s">
        <v>17</v>
      </c>
      <c r="X206" s="6">
        <v>41976.750104166669</v>
      </c>
      <c r="Y206" t="s">
        <v>122</v>
      </c>
      <c r="AB206" t="s">
        <v>201</v>
      </c>
      <c r="AC206" t="s">
        <v>247</v>
      </c>
      <c r="AD206" t="s">
        <v>220</v>
      </c>
      <c r="AE206" t="s">
        <v>219</v>
      </c>
      <c r="AG206" t="s">
        <v>121</v>
      </c>
      <c r="AH206" t="s">
        <v>327</v>
      </c>
      <c r="AI206" t="s">
        <v>121</v>
      </c>
      <c r="AJ206" t="s">
        <v>717</v>
      </c>
      <c r="AK206" t="s">
        <v>121</v>
      </c>
      <c r="AL206" t="s">
        <v>121</v>
      </c>
      <c r="AM206" t="s">
        <v>121</v>
      </c>
    </row>
    <row r="207" spans="9:39" x14ac:dyDescent="0.3">
      <c r="I207">
        <f ca="1">IF(OR(INDIRECT(A73&amp;ROW())=B93,INDIRECT(A73&amp;ROW())=B94),1,IF(AND(INDIRECT(A73&amp;ROW())=B95,INDIRECT(A96&amp;ROW())=C93),1,IF(AND(INDIRECT(A73&amp;ROW())=B95,INDIRECT(A96&amp;ROW())=C94),1,0)))</f>
        <v>1</v>
      </c>
      <c r="J207">
        <f ca="1">IF(AND(INDIRECT(A73&amp;ROW())=B95,INDIRECT(A96&amp;ROW())=C95),1,IF(AND(INDIRECT(A73&amp;ROW())=B95,INDIRECT(A96&amp;ROW())=C96),1,0))</f>
        <v>0</v>
      </c>
      <c r="K207">
        <f ca="1">DAYS360(INDIRECT(C68&amp;ROW()),TODAY())</f>
        <v>668</v>
      </c>
      <c r="L207">
        <f ca="1">DAYS360(INDIRECT(C69&amp;ROW()),TODAY())</f>
        <v>868</v>
      </c>
      <c r="M207">
        <f ca="1">HYPERLINK(CONCATENATE("https://bugzilla.houston.hp.com:1181/bugzilla/show_bug.cgi?id=",INDIRECT(C70&amp;ROW())),INDIRECT(C70&amp;ROW()))</f>
        <v>54350</v>
      </c>
      <c r="N207">
        <v>54350</v>
      </c>
      <c r="O207" t="s">
        <v>22</v>
      </c>
      <c r="P207" t="s">
        <v>1323</v>
      </c>
      <c r="Q207" t="s">
        <v>25</v>
      </c>
      <c r="R207" t="s">
        <v>251</v>
      </c>
      <c r="S207" t="s">
        <v>1380</v>
      </c>
      <c r="T207" t="s">
        <v>610</v>
      </c>
      <c r="U207" s="6">
        <v>42179.41646990741</v>
      </c>
      <c r="V207" t="s">
        <v>40</v>
      </c>
      <c r="W207" t="s">
        <v>512</v>
      </c>
      <c r="X207" s="6">
        <v>41977.548055555555</v>
      </c>
      <c r="Y207" t="s">
        <v>255</v>
      </c>
      <c r="AB207" t="s">
        <v>200</v>
      </c>
      <c r="AC207" t="s">
        <v>247</v>
      </c>
      <c r="AD207" t="s">
        <v>222</v>
      </c>
      <c r="AE207" t="s">
        <v>225</v>
      </c>
      <c r="AG207" t="s">
        <v>121</v>
      </c>
      <c r="AH207" t="s">
        <v>327</v>
      </c>
      <c r="AI207" t="s">
        <v>121</v>
      </c>
      <c r="AJ207" t="s">
        <v>715</v>
      </c>
      <c r="AK207" t="s">
        <v>121</v>
      </c>
      <c r="AL207" t="s">
        <v>121</v>
      </c>
      <c r="AM207" t="s">
        <v>121</v>
      </c>
    </row>
    <row r="208" spans="9:39" x14ac:dyDescent="0.3">
      <c r="I208">
        <f ca="1">IF(OR(INDIRECT(A73&amp;ROW())=B93,INDIRECT(A73&amp;ROW())=B94),1,IF(AND(INDIRECT(A73&amp;ROW())=B95,INDIRECT(A96&amp;ROW())=C93),1,IF(AND(INDIRECT(A73&amp;ROW())=B95,INDIRECT(A96&amp;ROW())=C94),1,0)))</f>
        <v>0</v>
      </c>
      <c r="J208">
        <f ca="1">IF(AND(INDIRECT(A73&amp;ROW())=B95,INDIRECT(A96&amp;ROW())=C95),1,IF(AND(INDIRECT(A73&amp;ROW())=B95,INDIRECT(A96&amp;ROW())=C96),1,0))</f>
        <v>1</v>
      </c>
      <c r="K208">
        <f ca="1">DAYS360(INDIRECT(C68&amp;ROW()),TODAY())</f>
        <v>721</v>
      </c>
      <c r="L208">
        <f ca="1">DAYS360(INDIRECT(C69&amp;ROW()),TODAY())</f>
        <v>867</v>
      </c>
      <c r="M208">
        <f ca="1">HYPERLINK(CONCATENATE("https://bugzilla.houston.hp.com:1181/bugzilla/show_bug.cgi?id=",INDIRECT(C70&amp;ROW())),INDIRECT(C70&amp;ROW()))</f>
        <v>54393</v>
      </c>
      <c r="N208">
        <v>54393</v>
      </c>
      <c r="O208" t="s">
        <v>22</v>
      </c>
      <c r="P208" t="s">
        <v>505</v>
      </c>
      <c r="Q208" t="s">
        <v>25</v>
      </c>
      <c r="R208" t="s">
        <v>251</v>
      </c>
      <c r="S208" t="s">
        <v>36</v>
      </c>
      <c r="U208" s="6">
        <v>42125.663171296299</v>
      </c>
      <c r="V208" t="s">
        <v>18</v>
      </c>
      <c r="W208" t="s">
        <v>17</v>
      </c>
      <c r="X208" s="6">
        <v>41978.416562500002</v>
      </c>
      <c r="Y208" t="s">
        <v>793</v>
      </c>
      <c r="AB208" t="s">
        <v>201</v>
      </c>
      <c r="AC208" t="s">
        <v>247</v>
      </c>
      <c r="AD208" t="s">
        <v>222</v>
      </c>
      <c r="AE208" t="s">
        <v>225</v>
      </c>
      <c r="AG208" t="s">
        <v>121</v>
      </c>
      <c r="AH208" t="s">
        <v>327</v>
      </c>
      <c r="AI208" t="s">
        <v>121</v>
      </c>
      <c r="AJ208" t="s">
        <v>716</v>
      </c>
      <c r="AK208" t="s">
        <v>121</v>
      </c>
      <c r="AL208" t="s">
        <v>121</v>
      </c>
      <c r="AM208" t="s">
        <v>121</v>
      </c>
    </row>
    <row r="209" spans="1:39" x14ac:dyDescent="0.3">
      <c r="I209">
        <f ca="1">IF(OR(INDIRECT(A73&amp;ROW())=B93,INDIRECT(A73&amp;ROW())=B94),1,IF(AND(INDIRECT(A73&amp;ROW())=B95,INDIRECT(A96&amp;ROW())=C93),1,IF(AND(INDIRECT(A73&amp;ROW())=B95,INDIRECT(A96&amp;ROW())=C94),1,0)))</f>
        <v>0</v>
      </c>
      <c r="J209">
        <f ca="1">IF(AND(INDIRECT(A73&amp;ROW())=B95,INDIRECT(A96&amp;ROW())=C95),1,IF(AND(INDIRECT(A73&amp;ROW())=B95,INDIRECT(A96&amp;ROW())=C96),1,0))</f>
        <v>1</v>
      </c>
      <c r="K209">
        <f ca="1">DAYS360(INDIRECT(C68&amp;ROW()),TODAY())</f>
        <v>721</v>
      </c>
      <c r="L209">
        <f ca="1">DAYS360(INDIRECT(C69&amp;ROW()),TODAY())</f>
        <v>867</v>
      </c>
      <c r="M209">
        <f ca="1">HYPERLINK(CONCATENATE("https://bugzilla.houston.hp.com:1181/bugzilla/show_bug.cgi?id=",INDIRECT(C70&amp;ROW())),INDIRECT(C70&amp;ROW()))</f>
        <v>54394</v>
      </c>
      <c r="N209">
        <v>54394</v>
      </c>
      <c r="O209" t="s">
        <v>22</v>
      </c>
      <c r="P209" t="s">
        <v>504</v>
      </c>
      <c r="Q209" t="s">
        <v>25</v>
      </c>
      <c r="R209" t="s">
        <v>248</v>
      </c>
      <c r="S209" t="s">
        <v>36</v>
      </c>
      <c r="U209" s="6">
        <v>42125.663148148145</v>
      </c>
      <c r="V209" t="s">
        <v>18</v>
      </c>
      <c r="W209" t="s">
        <v>341</v>
      </c>
      <c r="X209" s="6">
        <v>41978.42869212963</v>
      </c>
      <c r="Y209" t="s">
        <v>793</v>
      </c>
      <c r="AB209" t="s">
        <v>201</v>
      </c>
      <c r="AC209" t="s">
        <v>247</v>
      </c>
      <c r="AD209" t="s">
        <v>222</v>
      </c>
      <c r="AE209" t="s">
        <v>225</v>
      </c>
      <c r="AG209" t="s">
        <v>121</v>
      </c>
      <c r="AH209" t="s">
        <v>327</v>
      </c>
      <c r="AI209" t="s">
        <v>121</v>
      </c>
      <c r="AJ209" t="s">
        <v>716</v>
      </c>
      <c r="AK209" t="s">
        <v>121</v>
      </c>
      <c r="AL209" t="s">
        <v>121</v>
      </c>
      <c r="AM209" t="s">
        <v>121</v>
      </c>
    </row>
    <row r="210" spans="1:39" x14ac:dyDescent="0.3">
      <c r="I210">
        <f ca="1">IF(OR(INDIRECT(A73&amp;ROW())=B93,INDIRECT(A73&amp;ROW())=B94),1,IF(AND(INDIRECT(A73&amp;ROW())=B95,INDIRECT(A96&amp;ROW())=C93),1,IF(AND(INDIRECT(A73&amp;ROW())=B95,INDIRECT(A96&amp;ROW())=C94),1,0)))</f>
        <v>0</v>
      </c>
      <c r="J210">
        <f ca="1">IF(AND(INDIRECT(A73&amp;ROW())=B95,INDIRECT(A96&amp;ROW())=C95),1,IF(AND(INDIRECT(A73&amp;ROW())=B95,INDIRECT(A96&amp;ROW())=C96),1,0))</f>
        <v>0</v>
      </c>
      <c r="K210">
        <f ca="1">DAYS360(INDIRECT(C68&amp;ROW()),TODAY())</f>
        <v>721</v>
      </c>
      <c r="L210">
        <f ca="1">DAYS360(INDIRECT(C69&amp;ROW()),TODAY())</f>
        <v>864</v>
      </c>
      <c r="M210">
        <f ca="1">HYPERLINK(CONCATENATE("https://bugzilla.houston.hp.com:1181/bugzilla/show_bug.cgi?id=",INDIRECT(C70&amp;ROW())),INDIRECT(C70&amp;ROW()))</f>
        <v>54458</v>
      </c>
      <c r="N210">
        <v>54458</v>
      </c>
      <c r="O210" t="s">
        <v>59</v>
      </c>
      <c r="P210" t="s">
        <v>1381</v>
      </c>
      <c r="Q210" t="s">
        <v>16</v>
      </c>
      <c r="R210" t="s">
        <v>251</v>
      </c>
      <c r="S210" t="s">
        <v>1382</v>
      </c>
      <c r="U210" s="6">
        <v>42125.664687500001</v>
      </c>
      <c r="V210" t="s">
        <v>18</v>
      </c>
      <c r="W210" t="s">
        <v>173</v>
      </c>
      <c r="X210" s="6">
        <v>41981.383090277777</v>
      </c>
      <c r="Y210" t="s">
        <v>846</v>
      </c>
      <c r="AB210" t="s">
        <v>201</v>
      </c>
      <c r="AC210" t="s">
        <v>247</v>
      </c>
      <c r="AD210" t="s">
        <v>220</v>
      </c>
      <c r="AE210" t="s">
        <v>223</v>
      </c>
      <c r="AG210" t="s">
        <v>121</v>
      </c>
      <c r="AH210" t="s">
        <v>327</v>
      </c>
      <c r="AI210" t="s">
        <v>121</v>
      </c>
      <c r="AJ210" t="s">
        <v>717</v>
      </c>
      <c r="AK210" t="s">
        <v>121</v>
      </c>
      <c r="AL210" t="s">
        <v>121</v>
      </c>
      <c r="AM210" t="s">
        <v>121</v>
      </c>
    </row>
    <row r="211" spans="1:39" x14ac:dyDescent="0.3">
      <c r="I211">
        <f ca="1">IF(OR(INDIRECT(A73&amp;ROW())=B93,INDIRECT(A73&amp;ROW())=B94),1,IF(AND(INDIRECT(A73&amp;ROW())=B95,INDIRECT(A96&amp;ROW())=C93),1,IF(AND(INDIRECT(A73&amp;ROW())=B95,INDIRECT(A96&amp;ROW())=C94),1,0)))</f>
        <v>0</v>
      </c>
      <c r="J211">
        <f ca="1">IF(AND(INDIRECT(A73&amp;ROW())=B95,INDIRECT(A96&amp;ROW())=C95),1,IF(AND(INDIRECT(A73&amp;ROW())=B95,INDIRECT(A96&amp;ROW())=C96),1,0))</f>
        <v>0</v>
      </c>
      <c r="K211">
        <f ca="1">DAYS360(INDIRECT(C68&amp;ROW()),TODAY())</f>
        <v>734</v>
      </c>
      <c r="L211">
        <f ca="1">DAYS360(INDIRECT(C69&amp;ROW()),TODAY())</f>
        <v>860</v>
      </c>
      <c r="M211">
        <f ca="1">HYPERLINK(CONCATENATE("https://bugzilla.houston.hp.com:1181/bugzilla/show_bug.cgi?id=",INDIRECT(C70&amp;ROW())),INDIRECT(C70&amp;ROW()))</f>
        <v>54734</v>
      </c>
      <c r="N211">
        <v>54734</v>
      </c>
      <c r="O211" t="s">
        <v>66</v>
      </c>
      <c r="P211" t="s">
        <v>510</v>
      </c>
      <c r="Q211" t="s">
        <v>16</v>
      </c>
      <c r="R211" t="s">
        <v>251</v>
      </c>
      <c r="S211" t="s">
        <v>36</v>
      </c>
      <c r="T211" t="s">
        <v>794</v>
      </c>
      <c r="U211" s="6">
        <v>42112.773888888885</v>
      </c>
      <c r="V211" t="s">
        <v>18</v>
      </c>
      <c r="W211" t="s">
        <v>17</v>
      </c>
      <c r="X211" s="6">
        <v>41985.403136574074</v>
      </c>
      <c r="Y211" t="s">
        <v>122</v>
      </c>
      <c r="AB211" t="s">
        <v>201</v>
      </c>
      <c r="AC211" t="s">
        <v>247</v>
      </c>
      <c r="AD211" t="s">
        <v>220</v>
      </c>
      <c r="AE211" t="s">
        <v>223</v>
      </c>
      <c r="AG211" t="s">
        <v>121</v>
      </c>
      <c r="AH211" t="s">
        <v>327</v>
      </c>
      <c r="AI211" t="s">
        <v>121</v>
      </c>
      <c r="AJ211" t="s">
        <v>717</v>
      </c>
      <c r="AK211" t="s">
        <v>121</v>
      </c>
      <c r="AL211" t="s">
        <v>121</v>
      </c>
      <c r="AM211" t="s">
        <v>121</v>
      </c>
    </row>
    <row r="212" spans="1:39" x14ac:dyDescent="0.3">
      <c r="I212">
        <f ca="1">IF(OR(INDIRECT(A73&amp;ROW())=B93,INDIRECT(A73&amp;ROW())=B94),1,IF(AND(INDIRECT(A73&amp;ROW())=B95,INDIRECT(A96&amp;ROW())=C93),1,IF(AND(INDIRECT(A73&amp;ROW())=B95,INDIRECT(A96&amp;ROW())=C94),1,0)))</f>
        <v>0</v>
      </c>
      <c r="J212">
        <f ca="1">IF(AND(INDIRECT(A73&amp;ROW())=B95,INDIRECT(A96&amp;ROW())=C95),1,IF(AND(INDIRECT(A73&amp;ROW())=B95,INDIRECT(A96&amp;ROW())=C96),1,0))</f>
        <v>0</v>
      </c>
      <c r="K212">
        <f ca="1">DAYS360(INDIRECT(C68&amp;ROW()),TODAY())</f>
        <v>734</v>
      </c>
      <c r="L212">
        <f ca="1">DAYS360(INDIRECT(C69&amp;ROW()),TODAY())</f>
        <v>860</v>
      </c>
      <c r="M212">
        <f ca="1">HYPERLINK(CONCATENATE("https://bugzilla.houston.hp.com:1181/bugzilla/show_bug.cgi?id=",INDIRECT(C70&amp;ROW())),INDIRECT(C70&amp;ROW()))</f>
        <v>54736</v>
      </c>
      <c r="N212">
        <v>54736</v>
      </c>
      <c r="O212" t="s">
        <v>66</v>
      </c>
      <c r="P212" t="s">
        <v>509</v>
      </c>
      <c r="Q212" t="s">
        <v>16</v>
      </c>
      <c r="R212" t="s">
        <v>248</v>
      </c>
      <c r="S212" t="s">
        <v>36</v>
      </c>
      <c r="T212" t="s">
        <v>794</v>
      </c>
      <c r="U212" s="6">
        <v>42112.773912037039</v>
      </c>
      <c r="V212" t="s">
        <v>18</v>
      </c>
      <c r="W212" t="s">
        <v>17</v>
      </c>
      <c r="X212" s="6">
        <v>41985.403819444444</v>
      </c>
      <c r="Y212" t="s">
        <v>122</v>
      </c>
      <c r="AB212" t="s">
        <v>201</v>
      </c>
      <c r="AC212" t="s">
        <v>247</v>
      </c>
      <c r="AD212" t="s">
        <v>220</v>
      </c>
      <c r="AE212" t="s">
        <v>223</v>
      </c>
      <c r="AG212" t="s">
        <v>121</v>
      </c>
      <c r="AH212" t="s">
        <v>327</v>
      </c>
      <c r="AI212" t="s">
        <v>121</v>
      </c>
      <c r="AJ212" t="s">
        <v>716</v>
      </c>
      <c r="AK212" t="s">
        <v>121</v>
      </c>
      <c r="AL212" t="s">
        <v>121</v>
      </c>
      <c r="AM212" t="s">
        <v>121</v>
      </c>
    </row>
    <row r="213" spans="1:39" x14ac:dyDescent="0.3">
      <c r="I213">
        <f ca="1">IF(OR(INDIRECT(A73&amp;ROW())=B93,INDIRECT(A73&amp;ROW())=B94),1,IF(AND(INDIRECT(A73&amp;ROW())=B95,INDIRECT(A96&amp;ROW())=C93),1,IF(AND(INDIRECT(A73&amp;ROW())=B95,INDIRECT(A96&amp;ROW())=C94),1,0)))</f>
        <v>1</v>
      </c>
      <c r="J213">
        <f ca="1">IF(AND(INDIRECT(A73&amp;ROW())=B95,INDIRECT(A96&amp;ROW())=C95),1,IF(AND(INDIRECT(A73&amp;ROW())=B95,INDIRECT(A96&amp;ROW())=C96),1,0))</f>
        <v>0</v>
      </c>
      <c r="K213">
        <f ca="1">DAYS360(INDIRECT(C68&amp;ROW()),TODAY())</f>
        <v>721</v>
      </c>
      <c r="L213">
        <f ca="1">DAYS360(INDIRECT(C69&amp;ROW()),TODAY())</f>
        <v>857</v>
      </c>
      <c r="M213">
        <f ca="1">HYPERLINK(CONCATENATE("https://bugzilla.houston.hp.com:1181/bugzilla/show_bug.cgi?id=",INDIRECT(C70&amp;ROW())),INDIRECT(C70&amp;ROW()))</f>
        <v>54823</v>
      </c>
      <c r="N213">
        <v>54823</v>
      </c>
      <c r="O213" t="s">
        <v>45</v>
      </c>
      <c r="P213" t="s">
        <v>524</v>
      </c>
      <c r="Q213" t="s">
        <v>25</v>
      </c>
      <c r="R213" t="s">
        <v>251</v>
      </c>
      <c r="S213" t="s">
        <v>1383</v>
      </c>
      <c r="U213" s="6">
        <v>42125.67114583333</v>
      </c>
      <c r="V213" t="s">
        <v>18</v>
      </c>
      <c r="W213" t="s">
        <v>17</v>
      </c>
      <c r="X213" s="6">
        <v>41988.671932870369</v>
      </c>
      <c r="Y213" t="s">
        <v>244</v>
      </c>
      <c r="AB213" t="s">
        <v>200</v>
      </c>
      <c r="AC213" t="s">
        <v>247</v>
      </c>
      <c r="AD213" t="s">
        <v>227</v>
      </c>
      <c r="AE213" t="s">
        <v>226</v>
      </c>
      <c r="AG213" t="s">
        <v>121</v>
      </c>
      <c r="AH213" t="s">
        <v>327</v>
      </c>
      <c r="AI213" t="s">
        <v>121</v>
      </c>
      <c r="AJ213" t="s">
        <v>715</v>
      </c>
      <c r="AK213" t="s">
        <v>121</v>
      </c>
      <c r="AL213" t="s">
        <v>121</v>
      </c>
      <c r="AM213" t="s">
        <v>121</v>
      </c>
    </row>
    <row r="214" spans="1:39" x14ac:dyDescent="0.3">
      <c r="I214">
        <f ca="1">IF(OR(INDIRECT(A73&amp;ROW())=B93,INDIRECT(A73&amp;ROW())=B94),1,IF(AND(INDIRECT(A73&amp;ROW())=B95,INDIRECT(A96&amp;ROW())=C93),1,IF(AND(INDIRECT(A73&amp;ROW())=B95,INDIRECT(A96&amp;ROW())=C94),1,0)))</f>
        <v>1</v>
      </c>
      <c r="J214">
        <f ca="1">IF(AND(INDIRECT(A73&amp;ROW())=B95,INDIRECT(A96&amp;ROW())=C95),1,IF(AND(INDIRECT(A73&amp;ROW())=B95,INDIRECT(A96&amp;ROW())=C96),1,0))</f>
        <v>0</v>
      </c>
      <c r="K214">
        <f ca="1">DAYS360(INDIRECT(C68&amp;ROW()),TODAY())</f>
        <v>769</v>
      </c>
      <c r="L214">
        <f ca="1">DAYS360(INDIRECT(C69&amp;ROW()),TODAY())</f>
        <v>856</v>
      </c>
      <c r="M214">
        <f ca="1">HYPERLINK(CONCATENATE("https://bugzilla.houston.hp.com:1181/bugzilla/show_bug.cgi?id=",INDIRECT(C70&amp;ROW())),INDIRECT(C70&amp;ROW()))</f>
        <v>54867</v>
      </c>
      <c r="N214">
        <v>54867</v>
      </c>
      <c r="O214" t="s">
        <v>740</v>
      </c>
      <c r="P214" t="s">
        <v>513</v>
      </c>
      <c r="Q214" t="s">
        <v>25</v>
      </c>
      <c r="R214" t="s">
        <v>289</v>
      </c>
      <c r="S214" t="s">
        <v>36</v>
      </c>
      <c r="U214" s="6">
        <v>42076.53800925926</v>
      </c>
      <c r="V214" t="s">
        <v>18</v>
      </c>
      <c r="W214" t="s">
        <v>17</v>
      </c>
      <c r="X214" s="6">
        <v>41989.384004629632</v>
      </c>
      <c r="Y214" t="s">
        <v>244</v>
      </c>
      <c r="AB214" t="s">
        <v>200</v>
      </c>
      <c r="AC214" t="s">
        <v>247</v>
      </c>
      <c r="AD214" t="s">
        <v>227</v>
      </c>
      <c r="AE214" t="s">
        <v>230</v>
      </c>
      <c r="AG214" t="s">
        <v>121</v>
      </c>
      <c r="AH214" t="s">
        <v>327</v>
      </c>
      <c r="AI214" t="s">
        <v>362</v>
      </c>
      <c r="AJ214" t="s">
        <v>715</v>
      </c>
      <c r="AK214" t="s">
        <v>121</v>
      </c>
      <c r="AL214" t="s">
        <v>121</v>
      </c>
      <c r="AM214" t="s">
        <v>121</v>
      </c>
    </row>
    <row r="215" spans="1:39" x14ac:dyDescent="0.3">
      <c r="I215">
        <f ca="1">IF(OR(INDIRECT(A73&amp;ROW())=B93,INDIRECT(A73&amp;ROW())=B94),1,IF(AND(INDIRECT(A73&amp;ROW())=B95,INDIRECT(A96&amp;ROW())=C93),1,IF(AND(INDIRECT(A73&amp;ROW())=B95,INDIRECT(A96&amp;ROW())=C94),1,0)))</f>
        <v>1</v>
      </c>
      <c r="J215">
        <f ca="1">IF(AND(INDIRECT(A73&amp;ROW())=B95,INDIRECT(A96&amp;ROW())=C95),1,IF(AND(INDIRECT(A73&amp;ROW())=B95,INDIRECT(A96&amp;ROW())=C96),1,0))</f>
        <v>0</v>
      </c>
      <c r="K215">
        <f ca="1">DAYS360(INDIRECT(C68&amp;ROW()),TODAY())</f>
        <v>721</v>
      </c>
      <c r="L215">
        <f ca="1">DAYS360(INDIRECT(C69&amp;ROW()),TODAY())</f>
        <v>856</v>
      </c>
      <c r="M215">
        <f ca="1">HYPERLINK(CONCATENATE("https://bugzilla.houston.hp.com:1181/bugzilla/show_bug.cgi?id=",INDIRECT(C70&amp;ROW())),INDIRECT(C70&amp;ROW()))</f>
        <v>54868</v>
      </c>
      <c r="N215">
        <v>54868</v>
      </c>
      <c r="O215" t="s">
        <v>45</v>
      </c>
      <c r="P215" t="s">
        <v>522</v>
      </c>
      <c r="Q215" t="s">
        <v>25</v>
      </c>
      <c r="R215" t="s">
        <v>248</v>
      </c>
      <c r="S215" t="s">
        <v>36</v>
      </c>
      <c r="U215" s="6">
        <v>42125.671122685184</v>
      </c>
      <c r="V215" t="s">
        <v>18</v>
      </c>
      <c r="W215" t="s">
        <v>17</v>
      </c>
      <c r="X215" s="6">
        <v>41989.384074074071</v>
      </c>
      <c r="Y215" t="s">
        <v>244</v>
      </c>
      <c r="AB215" t="s">
        <v>200</v>
      </c>
      <c r="AC215" t="s">
        <v>247</v>
      </c>
      <c r="AD215" t="s">
        <v>227</v>
      </c>
      <c r="AE215" t="s">
        <v>226</v>
      </c>
      <c r="AG215" t="s">
        <v>121</v>
      </c>
      <c r="AH215" t="s">
        <v>327</v>
      </c>
      <c r="AI215" t="s">
        <v>121</v>
      </c>
      <c r="AJ215" t="s">
        <v>715</v>
      </c>
      <c r="AK215" t="s">
        <v>121</v>
      </c>
      <c r="AL215" t="s">
        <v>121</v>
      </c>
      <c r="AM215" t="s">
        <v>121</v>
      </c>
    </row>
    <row r="216" spans="1:39" x14ac:dyDescent="0.3">
      <c r="I216">
        <f ca="1">IF(OR(INDIRECT(A73&amp;ROW())=B93,INDIRECT(A73&amp;ROW())=B94),1,IF(AND(INDIRECT(A73&amp;ROW())=B95,INDIRECT(A96&amp;ROW())=C93),1,IF(AND(INDIRECT(A73&amp;ROW())=B95,INDIRECT(A96&amp;ROW())=C94),1,0)))</f>
        <v>0</v>
      </c>
      <c r="J216">
        <f ca="1">IF(AND(INDIRECT(A73&amp;ROW())=B95,INDIRECT(A96&amp;ROW())=C95),1,IF(AND(INDIRECT(A73&amp;ROW())=B95,INDIRECT(A96&amp;ROW())=C96),1,0))</f>
        <v>0</v>
      </c>
      <c r="K216">
        <f ca="1">DAYS360(INDIRECT(C68&amp;ROW()),TODAY())</f>
        <v>718</v>
      </c>
      <c r="L216">
        <f ca="1">DAYS360(INDIRECT(C69&amp;ROW()),TODAY())</f>
        <v>856</v>
      </c>
      <c r="M216">
        <f ca="1">HYPERLINK(CONCATENATE("https://bugzilla.houston.hp.com:1181/bugzilla/show_bug.cgi?id=",INDIRECT(C70&amp;ROW())),INDIRECT(C70&amp;ROW()))</f>
        <v>54893</v>
      </c>
      <c r="N216">
        <v>54893</v>
      </c>
      <c r="O216" t="s">
        <v>21</v>
      </c>
      <c r="P216" t="s">
        <v>521</v>
      </c>
      <c r="Q216" t="s">
        <v>16</v>
      </c>
      <c r="R216" t="s">
        <v>251</v>
      </c>
      <c r="S216" t="s">
        <v>31</v>
      </c>
      <c r="U216" s="6">
        <v>42128.473263888889</v>
      </c>
      <c r="V216" t="s">
        <v>18</v>
      </c>
      <c r="W216" t="s">
        <v>17</v>
      </c>
      <c r="X216" s="6">
        <v>41989.673946759256</v>
      </c>
      <c r="Y216" t="s">
        <v>255</v>
      </c>
      <c r="AB216" t="s">
        <v>200</v>
      </c>
      <c r="AC216" t="s">
        <v>247</v>
      </c>
      <c r="AD216" t="s">
        <v>222</v>
      </c>
      <c r="AE216" t="s">
        <v>240</v>
      </c>
      <c r="AG216" t="s">
        <v>121</v>
      </c>
      <c r="AH216" t="s">
        <v>327</v>
      </c>
      <c r="AI216" t="s">
        <v>121</v>
      </c>
      <c r="AJ216" t="s">
        <v>716</v>
      </c>
      <c r="AK216" t="s">
        <v>121</v>
      </c>
      <c r="AL216" t="s">
        <v>121</v>
      </c>
      <c r="AM216" t="s">
        <v>121</v>
      </c>
    </row>
    <row r="217" spans="1:39" x14ac:dyDescent="0.3">
      <c r="I217">
        <f ca="1">IF(OR(INDIRECT(A73&amp;ROW())=B93,INDIRECT(A73&amp;ROW())=B94),1,IF(AND(INDIRECT(A73&amp;ROW())=B95,INDIRECT(A96&amp;ROW())=C93),1,IF(AND(INDIRECT(A73&amp;ROW())=B95,INDIRECT(A96&amp;ROW())=C94),1,0)))</f>
        <v>0</v>
      </c>
      <c r="J217">
        <f ca="1">IF(AND(INDIRECT(A73&amp;ROW())=B95,INDIRECT(A96&amp;ROW())=C95),1,IF(AND(INDIRECT(A73&amp;ROW())=B95,INDIRECT(A96&amp;ROW())=C96),1,0))</f>
        <v>1</v>
      </c>
      <c r="K217">
        <f ca="1">DAYS360(INDIRECT(C68&amp;ROW()),TODAY())</f>
        <v>771</v>
      </c>
      <c r="L217">
        <f ca="1">DAYS360(INDIRECT(C69&amp;ROW()),TODAY())</f>
        <v>854</v>
      </c>
      <c r="M217">
        <f ca="1">HYPERLINK(CONCATENATE("https://bugzilla.houston.hp.com:1181/bugzilla/show_bug.cgi?id=",INDIRECT(C70&amp;ROW())),INDIRECT(C70&amp;ROW()))</f>
        <v>54986</v>
      </c>
      <c r="N217">
        <v>54986</v>
      </c>
      <c r="O217" t="s">
        <v>94</v>
      </c>
      <c r="P217" t="s">
        <v>519</v>
      </c>
      <c r="Q217" t="s">
        <v>25</v>
      </c>
      <c r="R217" t="s">
        <v>251</v>
      </c>
      <c r="S217" t="s">
        <v>94</v>
      </c>
      <c r="U217" s="6">
        <v>42074.558310185188</v>
      </c>
      <c r="V217" t="s">
        <v>35</v>
      </c>
      <c r="W217" t="s">
        <v>17</v>
      </c>
      <c r="X217" s="6">
        <v>41991.504074074073</v>
      </c>
      <c r="Y217" t="s">
        <v>118</v>
      </c>
      <c r="AB217" t="s">
        <v>201</v>
      </c>
      <c r="AC217" t="s">
        <v>247</v>
      </c>
      <c r="AD217" t="s">
        <v>227</v>
      </c>
      <c r="AE217" t="s">
        <v>226</v>
      </c>
      <c r="AG217" t="s">
        <v>121</v>
      </c>
      <c r="AH217" t="s">
        <v>327</v>
      </c>
      <c r="AI217" t="s">
        <v>121</v>
      </c>
      <c r="AJ217" t="s">
        <v>716</v>
      </c>
      <c r="AK217" t="s">
        <v>121</v>
      </c>
      <c r="AL217" t="s">
        <v>121</v>
      </c>
      <c r="AM217" t="s">
        <v>121</v>
      </c>
    </row>
    <row r="218" spans="1:39" x14ac:dyDescent="0.3">
      <c r="I218">
        <f ca="1">IF(OR(INDIRECT(A73&amp;ROW())=B93,INDIRECT(A73&amp;ROW())=B94),1,IF(AND(INDIRECT(A73&amp;ROW())=B95,INDIRECT(A96&amp;ROW())=C93),1,IF(AND(INDIRECT(A73&amp;ROW())=B95,INDIRECT(A96&amp;ROW())=C94),1,0)))</f>
        <v>0</v>
      </c>
      <c r="J218">
        <f ca="1">IF(AND(INDIRECT(A73&amp;ROW())=B95,INDIRECT(A96&amp;ROW())=C95),1,IF(AND(INDIRECT(A73&amp;ROW())=B95,INDIRECT(A96&amp;ROW())=C96),1,0))</f>
        <v>1</v>
      </c>
      <c r="K218">
        <f ca="1">DAYS360(INDIRECT(C68&amp;ROW()),TODAY())</f>
        <v>769</v>
      </c>
      <c r="L218">
        <f ca="1">DAYS360(INDIRECT(C69&amp;ROW()),TODAY())</f>
        <v>854</v>
      </c>
      <c r="M218">
        <f ca="1">HYPERLINK(CONCATENATE("https://bugzilla.houston.hp.com:1181/bugzilla/show_bug.cgi?id=",INDIRECT(C70&amp;ROW())),INDIRECT(C70&amp;ROW()))</f>
        <v>54988</v>
      </c>
      <c r="N218">
        <v>54988</v>
      </c>
      <c r="O218" t="s">
        <v>94</v>
      </c>
      <c r="P218" t="s">
        <v>518</v>
      </c>
      <c r="Q218" t="s">
        <v>25</v>
      </c>
      <c r="R218" t="s">
        <v>248</v>
      </c>
      <c r="S218" t="s">
        <v>44</v>
      </c>
      <c r="U218" s="6">
        <v>42076.528506944444</v>
      </c>
      <c r="V218" t="s">
        <v>18</v>
      </c>
      <c r="W218" t="s">
        <v>17</v>
      </c>
      <c r="X218" s="6">
        <v>41991.541261574072</v>
      </c>
      <c r="Y218" t="s">
        <v>118</v>
      </c>
      <c r="AB218" t="s">
        <v>201</v>
      </c>
      <c r="AC218" t="s">
        <v>247</v>
      </c>
      <c r="AD218" t="s">
        <v>227</v>
      </c>
      <c r="AE218" t="s">
        <v>226</v>
      </c>
      <c r="AG218" t="s">
        <v>121</v>
      </c>
      <c r="AH218" t="s">
        <v>327</v>
      </c>
      <c r="AI218" t="s">
        <v>121</v>
      </c>
      <c r="AJ218" t="s">
        <v>716</v>
      </c>
      <c r="AK218" t="s">
        <v>121</v>
      </c>
      <c r="AL218" t="s">
        <v>121</v>
      </c>
      <c r="AM218" t="s">
        <v>121</v>
      </c>
    </row>
    <row r="219" spans="1:39" x14ac:dyDescent="0.3">
      <c r="I219">
        <f ca="1">IF(OR(INDIRECT(A73&amp;ROW())=B93,INDIRECT(A73&amp;ROW())=B94),1,IF(AND(INDIRECT(A73&amp;ROW())=B95,INDIRECT(A96&amp;ROW())=C93),1,IF(AND(INDIRECT(A73&amp;ROW())=B95,INDIRECT(A96&amp;ROW())=C94),1,0)))</f>
        <v>0</v>
      </c>
      <c r="J219">
        <f ca="1">IF(AND(INDIRECT(A73&amp;ROW())=B95,INDIRECT(A96&amp;ROW())=C95),1,IF(AND(INDIRECT(A73&amp;ROW())=B95,INDIRECT(A96&amp;ROW())=C96),1,0))</f>
        <v>0</v>
      </c>
      <c r="K219">
        <f ca="1">DAYS360(INDIRECT(C68&amp;ROW()),TODAY())</f>
        <v>674</v>
      </c>
      <c r="L219">
        <f ca="1">DAYS360(INDIRECT(C69&amp;ROW()),TODAY())</f>
        <v>854</v>
      </c>
      <c r="M219">
        <f ca="1">HYPERLINK(CONCATENATE("https://bugzilla.houston.hp.com:1181/bugzilla/show_bug.cgi?id=",INDIRECT(C70&amp;ROW())),INDIRECT(C70&amp;ROW()))</f>
        <v>54992</v>
      </c>
      <c r="N219">
        <v>54992</v>
      </c>
      <c r="O219" t="s">
        <v>250</v>
      </c>
      <c r="P219" t="s">
        <v>517</v>
      </c>
      <c r="Q219" t="s">
        <v>16</v>
      </c>
      <c r="R219" t="s">
        <v>251</v>
      </c>
      <c r="S219" t="s">
        <v>24</v>
      </c>
      <c r="U219" s="6">
        <v>42173.524733796294</v>
      </c>
      <c r="V219" t="s">
        <v>18</v>
      </c>
      <c r="W219" t="s">
        <v>17</v>
      </c>
      <c r="X219" s="6">
        <v>41991.587407407409</v>
      </c>
      <c r="Y219" t="s">
        <v>255</v>
      </c>
      <c r="AB219" t="s">
        <v>200</v>
      </c>
      <c r="AC219" t="s">
        <v>247</v>
      </c>
      <c r="AD219" t="s">
        <v>222</v>
      </c>
      <c r="AE219" t="s">
        <v>221</v>
      </c>
      <c r="AG219" t="s">
        <v>121</v>
      </c>
      <c r="AH219" t="s">
        <v>327</v>
      </c>
      <c r="AI219" t="s">
        <v>121</v>
      </c>
      <c r="AJ219" t="s">
        <v>716</v>
      </c>
      <c r="AK219" t="s">
        <v>121</v>
      </c>
      <c r="AL219" t="s">
        <v>121</v>
      </c>
      <c r="AM219" t="s">
        <v>121</v>
      </c>
    </row>
    <row r="220" spans="1:39" x14ac:dyDescent="0.3">
      <c r="A220" s="11"/>
      <c r="I220">
        <f ca="1">IF(OR(INDIRECT(A73&amp;ROW())=B93,INDIRECT(A73&amp;ROW())=B94),1,IF(AND(INDIRECT(A73&amp;ROW())=B95,INDIRECT(A96&amp;ROW())=C93),1,IF(AND(INDIRECT(A73&amp;ROW())=B95,INDIRECT(A96&amp;ROW())=C94),1,0)))</f>
        <v>1</v>
      </c>
      <c r="J220">
        <f ca="1">IF(AND(INDIRECT(A73&amp;ROW())=B95,INDIRECT(A96&amp;ROW())=C95),1,IF(AND(INDIRECT(A73&amp;ROW())=B95,INDIRECT(A96&amp;ROW())=C96),1,0))</f>
        <v>0</v>
      </c>
      <c r="K220">
        <f ca="1">DAYS360(INDIRECT(C68&amp;ROW()),TODAY())</f>
        <v>626</v>
      </c>
      <c r="L220">
        <f ca="1">DAYS360(INDIRECT(C69&amp;ROW()),TODAY())</f>
        <v>853</v>
      </c>
      <c r="M220">
        <f ca="1">HYPERLINK(CONCATENATE("https://bugzilla.houston.hp.com:1181/bugzilla/show_bug.cgi?id=",INDIRECT(C70&amp;ROW())),INDIRECT(C70&amp;ROW()))</f>
        <v>55054</v>
      </c>
      <c r="N220">
        <v>55054</v>
      </c>
      <c r="O220" t="s">
        <v>94</v>
      </c>
      <c r="P220" t="s">
        <v>1384</v>
      </c>
      <c r="Q220" t="s">
        <v>25</v>
      </c>
      <c r="R220" t="s">
        <v>251</v>
      </c>
      <c r="S220" t="s">
        <v>1385</v>
      </c>
      <c r="U220" s="6">
        <v>42222.435833333337</v>
      </c>
      <c r="V220" t="s">
        <v>18</v>
      </c>
      <c r="W220" t="s">
        <v>248</v>
      </c>
      <c r="X220" s="6">
        <v>41992.562777777777</v>
      </c>
      <c r="Y220" t="s">
        <v>119</v>
      </c>
      <c r="AB220" t="s">
        <v>200</v>
      </c>
      <c r="AC220" t="s">
        <v>247</v>
      </c>
      <c r="AD220" t="s">
        <v>227</v>
      </c>
      <c r="AE220" t="s">
        <v>226</v>
      </c>
      <c r="AG220" t="s">
        <v>121</v>
      </c>
      <c r="AH220" t="s">
        <v>327</v>
      </c>
      <c r="AI220" t="s">
        <v>121</v>
      </c>
      <c r="AJ220" t="s">
        <v>715</v>
      </c>
      <c r="AK220" t="s">
        <v>121</v>
      </c>
      <c r="AL220" t="s">
        <v>121</v>
      </c>
      <c r="AM220" t="s">
        <v>121</v>
      </c>
    </row>
    <row r="221" spans="1:39" x14ac:dyDescent="0.3">
      <c r="I221">
        <f ca="1">IF(OR(INDIRECT(A73&amp;ROW())=B93,INDIRECT(A73&amp;ROW())=B94),1,IF(AND(INDIRECT(A73&amp;ROW())=B95,INDIRECT(A96&amp;ROW())=C93),1,IF(AND(INDIRECT(A73&amp;ROW())=B95,INDIRECT(A96&amp;ROW())=C94),1,0)))</f>
        <v>1</v>
      </c>
      <c r="J221">
        <f ca="1">IF(AND(INDIRECT(A73&amp;ROW())=B95,INDIRECT(A96&amp;ROW())=C95),1,IF(AND(INDIRECT(A73&amp;ROW())=B95,INDIRECT(A96&amp;ROW())=C96),1,0))</f>
        <v>0</v>
      </c>
      <c r="K221">
        <f ca="1">DAYS360(INDIRECT(C68&amp;ROW()),TODAY())</f>
        <v>626</v>
      </c>
      <c r="L221">
        <f ca="1">DAYS360(INDIRECT(C69&amp;ROW()),TODAY())</f>
        <v>853</v>
      </c>
      <c r="M221">
        <f ca="1">HYPERLINK(CONCATENATE("https://bugzilla.houston.hp.com:1181/bugzilla/show_bug.cgi?id=",INDIRECT(C70&amp;ROW())),INDIRECT(C70&amp;ROW()))</f>
        <v>55057</v>
      </c>
      <c r="N221">
        <v>55057</v>
      </c>
      <c r="O221" t="s">
        <v>94</v>
      </c>
      <c r="P221" t="s">
        <v>515</v>
      </c>
      <c r="Q221" t="s">
        <v>25</v>
      </c>
      <c r="R221" t="s">
        <v>248</v>
      </c>
      <c r="S221" t="s">
        <v>36</v>
      </c>
      <c r="U221" s="6">
        <v>42222.435868055552</v>
      </c>
      <c r="V221" t="s">
        <v>18</v>
      </c>
      <c r="W221" t="s">
        <v>248</v>
      </c>
      <c r="X221" s="6">
        <v>41992.583391203705</v>
      </c>
      <c r="Y221" t="s">
        <v>119</v>
      </c>
      <c r="AB221" t="s">
        <v>200</v>
      </c>
      <c r="AC221" t="s">
        <v>247</v>
      </c>
      <c r="AD221" t="s">
        <v>227</v>
      </c>
      <c r="AE221" t="s">
        <v>226</v>
      </c>
      <c r="AG221" t="s">
        <v>121</v>
      </c>
      <c r="AH221" t="s">
        <v>327</v>
      </c>
      <c r="AI221" t="s">
        <v>121</v>
      </c>
      <c r="AJ221" t="s">
        <v>715</v>
      </c>
      <c r="AK221" t="s">
        <v>121</v>
      </c>
      <c r="AL221" t="s">
        <v>121</v>
      </c>
      <c r="AM221" t="s">
        <v>121</v>
      </c>
    </row>
    <row r="222" spans="1:39" x14ac:dyDescent="0.3">
      <c r="I222">
        <f ca="1">IF(OR(INDIRECT(A73&amp;ROW())=B93,INDIRECT(A73&amp;ROW())=B94),1,IF(AND(INDIRECT(A73&amp;ROW())=B95,INDIRECT(A96&amp;ROW())=C93),1,IF(AND(INDIRECT(A73&amp;ROW())=B95,INDIRECT(A96&amp;ROW())=C94),1,0)))</f>
        <v>0</v>
      </c>
      <c r="J222">
        <f ca="1">IF(AND(INDIRECT(A73&amp;ROW())=B95,INDIRECT(A96&amp;ROW())=C95),1,IF(AND(INDIRECT(A73&amp;ROW())=B95,INDIRECT(A96&amp;ROW())=C96),1,0))</f>
        <v>1</v>
      </c>
      <c r="K222">
        <f ca="1">DAYS360(INDIRECT(C68&amp;ROW()),TODAY())</f>
        <v>730</v>
      </c>
      <c r="L222">
        <f ca="1">DAYS360(INDIRECT(C69&amp;ROW()),TODAY())</f>
        <v>850</v>
      </c>
      <c r="M222">
        <f ca="1">HYPERLINK(CONCATENATE("https://bugzilla.houston.hp.com:1181/bugzilla/show_bug.cgi?id=",INDIRECT(C70&amp;ROW())),INDIRECT(C70&amp;ROW()))</f>
        <v>55094</v>
      </c>
      <c r="N222">
        <v>55094</v>
      </c>
      <c r="O222" t="s">
        <v>545</v>
      </c>
      <c r="P222" t="s">
        <v>530</v>
      </c>
      <c r="Q222" t="s">
        <v>25</v>
      </c>
      <c r="R222" t="s">
        <v>251</v>
      </c>
      <c r="S222" t="s">
        <v>316</v>
      </c>
      <c r="U222" s="6">
        <v>42116.73296296296</v>
      </c>
      <c r="V222" t="s">
        <v>40</v>
      </c>
      <c r="W222" t="s">
        <v>17</v>
      </c>
      <c r="X222" s="6">
        <v>41995.420844907407</v>
      </c>
      <c r="Y222" t="s">
        <v>255</v>
      </c>
      <c r="AB222" t="s">
        <v>201</v>
      </c>
      <c r="AC222" t="s">
        <v>247</v>
      </c>
      <c r="AD222" t="s">
        <v>222</v>
      </c>
      <c r="AE222" t="s">
        <v>221</v>
      </c>
      <c r="AG222" t="s">
        <v>121</v>
      </c>
      <c r="AH222" t="s">
        <v>327</v>
      </c>
      <c r="AI222" t="s">
        <v>121</v>
      </c>
      <c r="AJ222" t="s">
        <v>716</v>
      </c>
      <c r="AK222" t="s">
        <v>121</v>
      </c>
      <c r="AL222" t="s">
        <v>121</v>
      </c>
      <c r="AM222" t="s">
        <v>121</v>
      </c>
    </row>
    <row r="223" spans="1:39" x14ac:dyDescent="0.3">
      <c r="H223" s="24"/>
      <c r="I223">
        <f ca="1">IF(OR(INDIRECT(A73&amp;ROW())=B93,INDIRECT(A73&amp;ROW())=B94),1,IF(AND(INDIRECT(A73&amp;ROW())=B95,INDIRECT(A96&amp;ROW())=C93),1,IF(AND(INDIRECT(A73&amp;ROW())=B95,INDIRECT(A96&amp;ROW())=C94),1,0)))</f>
        <v>0</v>
      </c>
      <c r="J223">
        <f ca="1">IF(AND(INDIRECT(A73&amp;ROW())=B95,INDIRECT(A96&amp;ROW())=C95),1,IF(AND(INDIRECT(A73&amp;ROW())=B95,INDIRECT(A96&amp;ROW())=C96),1,0))</f>
        <v>0</v>
      </c>
      <c r="K223">
        <f ca="1">DAYS360(INDIRECT(C68&amp;ROW()),TODAY())</f>
        <v>670</v>
      </c>
      <c r="L223">
        <f ca="1">DAYS360(INDIRECT(C69&amp;ROW()),TODAY())</f>
        <v>849</v>
      </c>
      <c r="M223">
        <f ca="1">HYPERLINK(CONCATENATE("https://bugzilla.houston.hp.com:1181/bugzilla/show_bug.cgi?id=",INDIRECT(C70&amp;ROW())),INDIRECT(C70&amp;ROW()))</f>
        <v>55128</v>
      </c>
      <c r="N223">
        <v>55128</v>
      </c>
      <c r="O223" t="s">
        <v>45</v>
      </c>
      <c r="P223" t="s">
        <v>529</v>
      </c>
      <c r="Q223" t="s">
        <v>16</v>
      </c>
      <c r="R223" t="s">
        <v>251</v>
      </c>
      <c r="S223" t="s">
        <v>45</v>
      </c>
      <c r="U223" s="6">
        <v>42177.505104166667</v>
      </c>
      <c r="V223" t="s">
        <v>18</v>
      </c>
      <c r="W223" t="s">
        <v>17</v>
      </c>
      <c r="X223" s="6">
        <v>41996.529907407406</v>
      </c>
      <c r="Y223" t="s">
        <v>122</v>
      </c>
      <c r="AB223" t="s">
        <v>201</v>
      </c>
      <c r="AC223" t="s">
        <v>247</v>
      </c>
      <c r="AD223" t="s">
        <v>227</v>
      </c>
      <c r="AE223" t="s">
        <v>226</v>
      </c>
      <c r="AG223" t="s">
        <v>121</v>
      </c>
      <c r="AH223" t="s">
        <v>327</v>
      </c>
      <c r="AI223" t="s">
        <v>121</v>
      </c>
      <c r="AJ223" t="s">
        <v>717</v>
      </c>
      <c r="AK223" t="s">
        <v>121</v>
      </c>
      <c r="AL223" t="s">
        <v>121</v>
      </c>
      <c r="AM223" t="s">
        <v>121</v>
      </c>
    </row>
    <row r="224" spans="1:39" x14ac:dyDescent="0.3">
      <c r="I224">
        <f ca="1">IF(OR(INDIRECT(A73&amp;ROW())=B93,INDIRECT(A73&amp;ROW())=B94),1,IF(AND(INDIRECT(A73&amp;ROW())=B95,INDIRECT(A96&amp;ROW())=C93),1,IF(AND(INDIRECT(A73&amp;ROW())=B95,INDIRECT(A96&amp;ROW())=C94),1,0)))</f>
        <v>0</v>
      </c>
      <c r="J224">
        <f ca="1">IF(AND(INDIRECT(A73&amp;ROW())=B95,INDIRECT(A96&amp;ROW())=C95),1,IF(AND(INDIRECT(A73&amp;ROW())=B95,INDIRECT(A96&amp;ROW())=C96),1,0))</f>
        <v>0</v>
      </c>
      <c r="K224">
        <f ca="1">DAYS360(INDIRECT(C68&amp;ROW()),TODAY())</f>
        <v>668</v>
      </c>
      <c r="L224">
        <f ca="1">DAYS360(INDIRECT(C69&amp;ROW()),TODAY())</f>
        <v>849</v>
      </c>
      <c r="M224">
        <f ca="1">HYPERLINK(CONCATENATE("https://bugzilla.houston.hp.com:1181/bugzilla/show_bug.cgi?id=",INDIRECT(C70&amp;ROW())),INDIRECT(C70&amp;ROW()))</f>
        <v>55129</v>
      </c>
      <c r="N224">
        <v>55129</v>
      </c>
      <c r="O224" t="s">
        <v>326</v>
      </c>
      <c r="P224" t="s">
        <v>534</v>
      </c>
      <c r="Q224" t="s">
        <v>16</v>
      </c>
      <c r="R224" t="s">
        <v>17</v>
      </c>
      <c r="S224" t="s">
        <v>45</v>
      </c>
      <c r="U224" s="6">
        <v>42179.493819444448</v>
      </c>
      <c r="V224" t="s">
        <v>18</v>
      </c>
      <c r="W224" t="s">
        <v>17</v>
      </c>
      <c r="X224" s="6">
        <v>41996.532210648147</v>
      </c>
      <c r="Y224" t="s">
        <v>122</v>
      </c>
      <c r="AB224" t="s">
        <v>201</v>
      </c>
      <c r="AC224" t="s">
        <v>247</v>
      </c>
      <c r="AD224" t="s">
        <v>227</v>
      </c>
      <c r="AE224" t="s">
        <v>230</v>
      </c>
      <c r="AG224" t="s">
        <v>121</v>
      </c>
      <c r="AH224" t="s">
        <v>327</v>
      </c>
      <c r="AI224" t="s">
        <v>362</v>
      </c>
      <c r="AJ224" t="s">
        <v>717</v>
      </c>
      <c r="AK224" t="s">
        <v>121</v>
      </c>
      <c r="AL224" t="s">
        <v>121</v>
      </c>
      <c r="AM224" t="s">
        <v>121</v>
      </c>
    </row>
    <row r="225" spans="9:39" x14ac:dyDescent="0.3">
      <c r="I225">
        <f ca="1">IF(OR(INDIRECT(A73&amp;ROW())=B93,INDIRECT(A73&amp;ROW())=B94),1,IF(AND(INDIRECT(A73&amp;ROW())=B95,INDIRECT(A96&amp;ROW())=C93),1,IF(AND(INDIRECT(A73&amp;ROW())=B95,INDIRECT(A96&amp;ROW())=C94),1,0)))</f>
        <v>0</v>
      </c>
      <c r="J225">
        <f ca="1">IF(AND(INDIRECT(A73&amp;ROW())=B95,INDIRECT(A96&amp;ROW())=C95),1,IF(AND(INDIRECT(A73&amp;ROW())=B95,INDIRECT(A96&amp;ROW())=C96),1,0))</f>
        <v>0</v>
      </c>
      <c r="K225">
        <f ca="1">DAYS360(INDIRECT(C68&amp;ROW()),TODAY())</f>
        <v>668</v>
      </c>
      <c r="L225">
        <f ca="1">DAYS360(INDIRECT(C69&amp;ROW()),TODAY())</f>
        <v>849</v>
      </c>
      <c r="M225">
        <f ca="1">HYPERLINK(CONCATENATE("https://bugzilla.houston.hp.com:1181/bugzilla/show_bug.cgi?id=",INDIRECT(C70&amp;ROW())),INDIRECT(C70&amp;ROW()))</f>
        <v>55130</v>
      </c>
      <c r="N225">
        <v>55130</v>
      </c>
      <c r="O225" t="s">
        <v>45</v>
      </c>
      <c r="P225" t="s">
        <v>533</v>
      </c>
      <c r="Q225" t="s">
        <v>16</v>
      </c>
      <c r="R225" t="s">
        <v>248</v>
      </c>
      <c r="S225" t="s">
        <v>45</v>
      </c>
      <c r="U225" s="6">
        <v>42179.493784722225</v>
      </c>
      <c r="V225" t="s">
        <v>18</v>
      </c>
      <c r="W225" t="s">
        <v>17</v>
      </c>
      <c r="X225" s="6">
        <v>41996.533703703702</v>
      </c>
      <c r="Y225" t="s">
        <v>122</v>
      </c>
      <c r="AB225" t="s">
        <v>201</v>
      </c>
      <c r="AC225" t="s">
        <v>247</v>
      </c>
      <c r="AD225" t="s">
        <v>227</v>
      </c>
      <c r="AE225" t="s">
        <v>226</v>
      </c>
      <c r="AG225" t="s">
        <v>121</v>
      </c>
      <c r="AH225" t="s">
        <v>327</v>
      </c>
      <c r="AI225" t="s">
        <v>121</v>
      </c>
      <c r="AJ225" t="s">
        <v>717</v>
      </c>
      <c r="AK225" t="s">
        <v>121</v>
      </c>
      <c r="AL225" t="s">
        <v>121</v>
      </c>
      <c r="AM225" t="s">
        <v>121</v>
      </c>
    </row>
    <row r="226" spans="9:39" x14ac:dyDescent="0.3">
      <c r="I226">
        <f ca="1">IF(OR(INDIRECT(A73&amp;ROW())=B93,INDIRECT(A73&amp;ROW())=B94),1,IF(AND(INDIRECT(A73&amp;ROW())=B95,INDIRECT(A96&amp;ROW())=C93),1,IF(AND(INDIRECT(A73&amp;ROW())=B95,INDIRECT(A96&amp;ROW())=C94),1,0)))</f>
        <v>0</v>
      </c>
      <c r="J226">
        <f ca="1">IF(AND(INDIRECT(A73&amp;ROW())=B95,INDIRECT(A96&amp;ROW())=C95),1,IF(AND(INDIRECT(A73&amp;ROW())=B95,INDIRECT(A96&amp;ROW())=C96),1,0))</f>
        <v>0</v>
      </c>
      <c r="K226">
        <f ca="1">DAYS360(INDIRECT(C68&amp;ROW()),TODAY())</f>
        <v>729</v>
      </c>
      <c r="L226">
        <f ca="1">DAYS360(INDIRECT(C69&amp;ROW()),TODAY())</f>
        <v>848</v>
      </c>
      <c r="M226">
        <f ca="1">HYPERLINK(CONCATENATE("https://bugzilla.houston.hp.com:1181/bugzilla/show_bug.cgi?id=",INDIRECT(C70&amp;ROW())),INDIRECT(C70&amp;ROW()))</f>
        <v>55135</v>
      </c>
      <c r="N226">
        <v>55135</v>
      </c>
      <c r="O226" t="s">
        <v>53</v>
      </c>
      <c r="P226" t="s">
        <v>532</v>
      </c>
      <c r="Q226" t="s">
        <v>16</v>
      </c>
      <c r="R226" t="s">
        <v>251</v>
      </c>
      <c r="S226" t="s">
        <v>528</v>
      </c>
      <c r="U226" s="6">
        <v>42117.404918981483</v>
      </c>
      <c r="V226" t="s">
        <v>35</v>
      </c>
      <c r="W226" t="s">
        <v>17</v>
      </c>
      <c r="X226" s="6">
        <v>41997.038680555554</v>
      </c>
      <c r="Y226" t="s">
        <v>123</v>
      </c>
      <c r="AB226" t="s">
        <v>200</v>
      </c>
      <c r="AC226" t="s">
        <v>247</v>
      </c>
      <c r="AD226" t="s">
        <v>220</v>
      </c>
      <c r="AE226" t="s">
        <v>219</v>
      </c>
      <c r="AG226" t="s">
        <v>121</v>
      </c>
      <c r="AH226" t="s">
        <v>327</v>
      </c>
      <c r="AI226" t="s">
        <v>121</v>
      </c>
      <c r="AJ226" t="s">
        <v>716</v>
      </c>
      <c r="AK226" t="s">
        <v>121</v>
      </c>
      <c r="AL226" t="s">
        <v>121</v>
      </c>
      <c r="AM226" t="s">
        <v>121</v>
      </c>
    </row>
    <row r="227" spans="9:39" x14ac:dyDescent="0.3">
      <c r="I227">
        <f ca="1">IF(OR(INDIRECT(A73&amp;ROW())=B93,INDIRECT(A73&amp;ROW())=B94),1,IF(AND(INDIRECT(A73&amp;ROW())=B95,INDIRECT(A96&amp;ROW())=C93),1,IF(AND(INDIRECT(A73&amp;ROW())=B95,INDIRECT(A96&amp;ROW())=C94),1,0)))</f>
        <v>0</v>
      </c>
      <c r="J227">
        <f ca="1">IF(AND(INDIRECT(A73&amp;ROW())=B95,INDIRECT(A96&amp;ROW())=C95),1,IF(AND(INDIRECT(A73&amp;ROW())=B95,INDIRECT(A96&amp;ROW())=C96),1,0))</f>
        <v>1</v>
      </c>
      <c r="K227">
        <f ca="1">DAYS360(INDIRECT(C68&amp;ROW()),TODAY())</f>
        <v>684</v>
      </c>
      <c r="L227">
        <f ca="1">DAYS360(INDIRECT(C69&amp;ROW()),TODAY())</f>
        <v>845</v>
      </c>
      <c r="M227">
        <f ca="1">HYPERLINK(CONCATENATE("https://bugzilla.houston.hp.com:1181/bugzilla/show_bug.cgi?id=",INDIRECT(C70&amp;ROW())),INDIRECT(C70&amp;ROW()))</f>
        <v>55139</v>
      </c>
      <c r="N227">
        <v>55139</v>
      </c>
      <c r="O227" t="s">
        <v>36</v>
      </c>
      <c r="P227" t="s">
        <v>527</v>
      </c>
      <c r="Q227" t="s">
        <v>25</v>
      </c>
      <c r="R227" t="s">
        <v>248</v>
      </c>
      <c r="S227" t="s">
        <v>526</v>
      </c>
      <c r="U227" s="6">
        <v>42163.610335648147</v>
      </c>
      <c r="V227" t="s">
        <v>18</v>
      </c>
      <c r="W227" t="s">
        <v>525</v>
      </c>
      <c r="X227" s="6">
        <v>42000.001817129632</v>
      </c>
      <c r="Y227" t="s">
        <v>255</v>
      </c>
      <c r="AB227" t="s">
        <v>201</v>
      </c>
      <c r="AC227" t="s">
        <v>247</v>
      </c>
      <c r="AD227" t="s">
        <v>222</v>
      </c>
      <c r="AE227" t="s">
        <v>221</v>
      </c>
      <c r="AG227" t="s">
        <v>121</v>
      </c>
      <c r="AH227" t="s">
        <v>327</v>
      </c>
      <c r="AI227" t="s">
        <v>121</v>
      </c>
      <c r="AJ227" t="s">
        <v>716</v>
      </c>
      <c r="AK227" t="s">
        <v>121</v>
      </c>
      <c r="AL227" t="s">
        <v>121</v>
      </c>
      <c r="AM227" t="s">
        <v>121</v>
      </c>
    </row>
    <row r="228" spans="9:39" x14ac:dyDescent="0.3">
      <c r="I228">
        <f ca="1">IF(OR(INDIRECT(A73&amp;ROW())=B93,INDIRECT(A73&amp;ROW())=B94),1,IF(AND(INDIRECT(A73&amp;ROW())=B95,INDIRECT(A96&amp;ROW())=C93),1,IF(AND(INDIRECT(A73&amp;ROW())=B95,INDIRECT(A96&amp;ROW())=C94),1,0)))</f>
        <v>0</v>
      </c>
      <c r="J228">
        <f ca="1">IF(AND(INDIRECT(A73&amp;ROW())=B95,INDIRECT(A96&amp;ROW())=C95),1,IF(AND(INDIRECT(A73&amp;ROW())=B95,INDIRECT(A96&amp;ROW())=C96),1,0))</f>
        <v>1</v>
      </c>
      <c r="K228">
        <f ca="1">DAYS360(INDIRECT(C68&amp;ROW()),TODAY())</f>
        <v>614</v>
      </c>
      <c r="L228">
        <f ca="1">DAYS360(INDIRECT(C69&amp;ROW()),TODAY())</f>
        <v>839</v>
      </c>
      <c r="M228">
        <f ca="1">HYPERLINK(CONCATENATE("https://bugzilla.houston.hp.com:1181/bugzilla/show_bug.cgi?id=",INDIRECT(C70&amp;ROW())),INDIRECT(C70&amp;ROW()))</f>
        <v>55159</v>
      </c>
      <c r="N228">
        <v>55159</v>
      </c>
      <c r="O228" t="s">
        <v>1233</v>
      </c>
      <c r="P228" t="s">
        <v>739</v>
      </c>
      <c r="Q228" t="s">
        <v>25</v>
      </c>
      <c r="R228" t="s">
        <v>251</v>
      </c>
      <c r="S228" t="s">
        <v>587</v>
      </c>
      <c r="U228" s="6">
        <v>42234.607997685183</v>
      </c>
      <c r="V228" t="s">
        <v>18</v>
      </c>
      <c r="W228" t="s">
        <v>17</v>
      </c>
      <c r="X228" s="6">
        <v>42007.195254629631</v>
      </c>
      <c r="Y228" t="s">
        <v>255</v>
      </c>
      <c r="AB228" t="s">
        <v>201</v>
      </c>
      <c r="AC228" t="s">
        <v>247</v>
      </c>
      <c r="AD228" t="s">
        <v>220</v>
      </c>
      <c r="AE228" t="s">
        <v>229</v>
      </c>
      <c r="AG228" t="s">
        <v>121</v>
      </c>
      <c r="AH228" t="s">
        <v>327</v>
      </c>
      <c r="AI228" t="s">
        <v>362</v>
      </c>
      <c r="AJ228" t="s">
        <v>716</v>
      </c>
      <c r="AK228" t="s">
        <v>121</v>
      </c>
      <c r="AL228" t="s">
        <v>121</v>
      </c>
      <c r="AM228" t="s">
        <v>121</v>
      </c>
    </row>
    <row r="229" spans="9:39" x14ac:dyDescent="0.3">
      <c r="I229">
        <f ca="1">IF(OR(INDIRECT(A73&amp;ROW())=B93,INDIRECT(A73&amp;ROW())=B94),1,IF(AND(INDIRECT(A73&amp;ROW())=B95,INDIRECT(A96&amp;ROW())=C93),1,IF(AND(INDIRECT(A73&amp;ROW())=B95,INDIRECT(A96&amp;ROW())=C94),1,0)))</f>
        <v>0</v>
      </c>
      <c r="J229">
        <f ca="1">IF(AND(INDIRECT(A73&amp;ROW())=B95,INDIRECT(A96&amp;ROW())=C95),1,IF(AND(INDIRECT(A73&amp;ROW())=B95,INDIRECT(A96&amp;ROW())=C96),1,0))</f>
        <v>0</v>
      </c>
      <c r="K229">
        <f ca="1">DAYS360(INDIRECT(C68&amp;ROW()),TODAY())</f>
        <v>729</v>
      </c>
      <c r="L229">
        <f ca="1">DAYS360(INDIRECT(C69&amp;ROW()),TODAY())</f>
        <v>837</v>
      </c>
      <c r="M229">
        <f ca="1">HYPERLINK(CONCATENATE("https://bugzilla.houston.hp.com:1181/bugzilla/show_bug.cgi?id=",INDIRECT(C70&amp;ROW())),INDIRECT(C70&amp;ROW()))</f>
        <v>55198</v>
      </c>
      <c r="N229">
        <v>55198</v>
      </c>
      <c r="O229" t="s">
        <v>550</v>
      </c>
      <c r="P229" t="s">
        <v>538</v>
      </c>
      <c r="Q229" t="s">
        <v>16</v>
      </c>
      <c r="R229" t="s">
        <v>251</v>
      </c>
      <c r="S229" t="s">
        <v>1383</v>
      </c>
      <c r="U229" s="6">
        <v>42117.405011574076</v>
      </c>
      <c r="V229" t="s">
        <v>35</v>
      </c>
      <c r="W229" t="s">
        <v>17</v>
      </c>
      <c r="X229" s="6">
        <v>42009.658854166664</v>
      </c>
      <c r="Y229" t="s">
        <v>246</v>
      </c>
      <c r="AB229" t="s">
        <v>200</v>
      </c>
      <c r="AC229" t="s">
        <v>247</v>
      </c>
      <c r="AD229" t="s">
        <v>222</v>
      </c>
      <c r="AE229" t="s">
        <v>221</v>
      </c>
      <c r="AG229" t="s">
        <v>121</v>
      </c>
      <c r="AH229" t="s">
        <v>327</v>
      </c>
      <c r="AI229" t="s">
        <v>121</v>
      </c>
      <c r="AJ229" t="s">
        <v>716</v>
      </c>
      <c r="AK229" t="s">
        <v>121</v>
      </c>
      <c r="AL229" t="s">
        <v>121</v>
      </c>
      <c r="AM229" t="s">
        <v>121</v>
      </c>
    </row>
    <row r="230" spans="9:39" x14ac:dyDescent="0.3">
      <c r="I230">
        <f ca="1">IF(OR(INDIRECT(A73&amp;ROW())=B93,INDIRECT(A73&amp;ROW())=B94),1,IF(AND(INDIRECT(A73&amp;ROW())=B95,INDIRECT(A96&amp;ROW())=C93),1,IF(AND(INDIRECT(A73&amp;ROW())=B95,INDIRECT(A96&amp;ROW())=C94),1,0)))</f>
        <v>0</v>
      </c>
      <c r="J230">
        <f ca="1">IF(AND(INDIRECT(A73&amp;ROW())=B95,INDIRECT(A96&amp;ROW())=C95),1,IF(AND(INDIRECT(A73&amp;ROW())=B95,INDIRECT(A96&amp;ROW())=C96),1,0))</f>
        <v>0</v>
      </c>
      <c r="K230">
        <f ca="1">DAYS360(INDIRECT(C68&amp;ROW()),TODAY())</f>
        <v>681</v>
      </c>
      <c r="L230">
        <f ca="1">DAYS360(INDIRECT(C69&amp;ROW()),TODAY())</f>
        <v>836</v>
      </c>
      <c r="M230">
        <f ca="1">HYPERLINK(CONCATENATE("https://bugzilla.houston.hp.com:1181/bugzilla/show_bug.cgi?id=",INDIRECT(C70&amp;ROW())),INDIRECT(C70&amp;ROW()))</f>
        <v>55222</v>
      </c>
      <c r="N230">
        <v>55222</v>
      </c>
      <c r="O230" t="s">
        <v>56</v>
      </c>
      <c r="P230" t="s">
        <v>586</v>
      </c>
      <c r="Q230" t="s">
        <v>16</v>
      </c>
      <c r="R230" t="s">
        <v>248</v>
      </c>
      <c r="S230" t="s">
        <v>44</v>
      </c>
      <c r="U230" s="6">
        <v>42166.355844907404</v>
      </c>
      <c r="V230" t="s">
        <v>18</v>
      </c>
      <c r="W230" t="s">
        <v>525</v>
      </c>
      <c r="X230" s="6">
        <v>42010.32135416667</v>
      </c>
      <c r="Y230" t="s">
        <v>246</v>
      </c>
      <c r="AB230" t="s">
        <v>200</v>
      </c>
      <c r="AC230" t="s">
        <v>247</v>
      </c>
      <c r="AD230" t="s">
        <v>220</v>
      </c>
      <c r="AE230" t="s">
        <v>219</v>
      </c>
      <c r="AG230" t="s">
        <v>121</v>
      </c>
      <c r="AH230" t="s">
        <v>327</v>
      </c>
      <c r="AI230" t="s">
        <v>121</v>
      </c>
      <c r="AJ230" t="s">
        <v>716</v>
      </c>
      <c r="AK230" t="s">
        <v>121</v>
      </c>
      <c r="AL230" t="s">
        <v>121</v>
      </c>
      <c r="AM230" t="s">
        <v>121</v>
      </c>
    </row>
    <row r="231" spans="9:39" x14ac:dyDescent="0.3">
      <c r="I231">
        <f ca="1">IF(OR(INDIRECT(A73&amp;ROW())=B93,INDIRECT(A73&amp;ROW())=B94),1,IF(AND(INDIRECT(A73&amp;ROW())=B95,INDIRECT(A96&amp;ROW())=C93),1,IF(AND(INDIRECT(A73&amp;ROW())=B95,INDIRECT(A96&amp;ROW())=C94),1,0)))</f>
        <v>0</v>
      </c>
      <c r="J231">
        <f ca="1">IF(AND(INDIRECT(A73&amp;ROW())=B95,INDIRECT(A96&amp;ROW())=C95),1,IF(AND(INDIRECT(A73&amp;ROW())=B95,INDIRECT(A96&amp;ROW())=C96),1,0))</f>
        <v>0</v>
      </c>
      <c r="K231">
        <f ca="1">DAYS360(INDIRECT(C68&amp;ROW()),TODAY())</f>
        <v>729</v>
      </c>
      <c r="L231">
        <f ca="1">DAYS360(INDIRECT(C69&amp;ROW()),TODAY())</f>
        <v>836</v>
      </c>
      <c r="M231" s="11">
        <f ca="1">HYPERLINK(CONCATENATE("https://bugzilla.houston.hp.com:1181/bugzilla/show_bug.cgi?id=",INDIRECT(C70&amp;ROW())),INDIRECT(C70&amp;ROW()))</f>
        <v>55269</v>
      </c>
      <c r="N231">
        <v>55269</v>
      </c>
      <c r="O231" t="s">
        <v>55</v>
      </c>
      <c r="P231" t="s">
        <v>537</v>
      </c>
      <c r="Q231" t="s">
        <v>16</v>
      </c>
      <c r="R231" t="s">
        <v>251</v>
      </c>
      <c r="S231" t="s">
        <v>1357</v>
      </c>
      <c r="U231" s="6">
        <v>42117.405115740738</v>
      </c>
      <c r="V231" t="s">
        <v>18</v>
      </c>
      <c r="W231" t="s">
        <v>17</v>
      </c>
      <c r="X231" s="6">
        <v>42010.692233796297</v>
      </c>
      <c r="Y231" t="s">
        <v>245</v>
      </c>
      <c r="AB231" t="s">
        <v>200</v>
      </c>
      <c r="AC231" t="s">
        <v>247</v>
      </c>
      <c r="AD231" t="s">
        <v>222</v>
      </c>
      <c r="AE231" t="s">
        <v>225</v>
      </c>
      <c r="AG231" t="s">
        <v>121</v>
      </c>
      <c r="AH231" t="s">
        <v>327</v>
      </c>
      <c r="AI231" t="s">
        <v>121</v>
      </c>
      <c r="AJ231" t="s">
        <v>717</v>
      </c>
      <c r="AK231" t="s">
        <v>121</v>
      </c>
      <c r="AL231" t="s">
        <v>121</v>
      </c>
      <c r="AM231" t="s">
        <v>121</v>
      </c>
    </row>
    <row r="232" spans="9:39" x14ac:dyDescent="0.3">
      <c r="I232">
        <f ca="1">IF(OR(INDIRECT(A73&amp;ROW())=B93,INDIRECT(A73&amp;ROW())=B94),1,IF(AND(INDIRECT(A73&amp;ROW())=B95,INDIRECT(A96&amp;ROW())=C93),1,IF(AND(INDIRECT(A73&amp;ROW())=B95,INDIRECT(A96&amp;ROW())=C94),1,0)))</f>
        <v>0</v>
      </c>
      <c r="J232">
        <f ca="1">IF(AND(INDIRECT(A73&amp;ROW())=B95,INDIRECT(A96&amp;ROW())=C95),1,IF(AND(INDIRECT(A73&amp;ROW())=B95,INDIRECT(A96&amp;ROW())=C96),1,0))</f>
        <v>0</v>
      </c>
      <c r="K232">
        <f ca="1">DAYS360(INDIRECT(C68&amp;ROW()),TODAY())</f>
        <v>835</v>
      </c>
      <c r="L232">
        <f ca="1">DAYS360(INDIRECT(C69&amp;ROW()),TODAY())</f>
        <v>835</v>
      </c>
      <c r="M232" s="11">
        <f ca="1">HYPERLINK(CONCATENATE("https://bugzilla.houston.hp.com:1181/bugzilla/show_bug.cgi?id=",INDIRECT(C70&amp;ROW())),INDIRECT(C70&amp;ROW()))</f>
        <v>55302</v>
      </c>
      <c r="N232">
        <v>55302</v>
      </c>
      <c r="O232" t="s">
        <v>31</v>
      </c>
      <c r="P232" t="s">
        <v>536</v>
      </c>
      <c r="Q232" t="s">
        <v>16</v>
      </c>
      <c r="R232" t="s">
        <v>248</v>
      </c>
      <c r="S232" t="s">
        <v>36</v>
      </c>
      <c r="U232" s="6">
        <v>42011.331990740742</v>
      </c>
      <c r="V232" t="s">
        <v>18</v>
      </c>
      <c r="W232" t="s">
        <v>32</v>
      </c>
      <c r="X232" s="6">
        <v>42011.331990740742</v>
      </c>
      <c r="Y232" t="s">
        <v>119</v>
      </c>
      <c r="AB232" t="s">
        <v>200</v>
      </c>
      <c r="AC232" t="s">
        <v>121</v>
      </c>
      <c r="AD232" t="s">
        <v>220</v>
      </c>
      <c r="AE232" t="s">
        <v>219</v>
      </c>
      <c r="AG232" t="s">
        <v>121</v>
      </c>
      <c r="AH232" t="s">
        <v>327</v>
      </c>
      <c r="AI232" t="s">
        <v>121</v>
      </c>
      <c r="AJ232" t="s">
        <v>716</v>
      </c>
      <c r="AK232" t="s">
        <v>121</v>
      </c>
      <c r="AL232" t="s">
        <v>121</v>
      </c>
      <c r="AM232" t="s">
        <v>121</v>
      </c>
    </row>
    <row r="233" spans="9:39" x14ac:dyDescent="0.3">
      <c r="I233">
        <f ca="1">IF(OR(INDIRECT(A73&amp;ROW())=B93,INDIRECT(A73&amp;ROW())=B94),1,IF(AND(INDIRECT(A73&amp;ROW())=B95,INDIRECT(A96&amp;ROW())=C93),1,IF(AND(INDIRECT(A73&amp;ROW())=B95,INDIRECT(A96&amp;ROW())=C94),1,0)))</f>
        <v>0</v>
      </c>
      <c r="J233">
        <f ca="1">IF(AND(INDIRECT(A73&amp;ROW())=B95,INDIRECT(A96&amp;ROW())=C95),1,IF(AND(INDIRECT(A73&amp;ROW())=B95,INDIRECT(A96&amp;ROW())=C96),1,0))</f>
        <v>1</v>
      </c>
      <c r="K233">
        <f ca="1">DAYS360(INDIRECT(C68&amp;ROW()),TODAY())</f>
        <v>721</v>
      </c>
      <c r="L233">
        <f ca="1">DAYS360(INDIRECT(C69&amp;ROW()),TODAY())</f>
        <v>835</v>
      </c>
      <c r="M233">
        <f ca="1">HYPERLINK(CONCATENATE("https://bugzilla.houston.hp.com:1181/bugzilla/show_bug.cgi?id=",INDIRECT(C70&amp;ROW())),INDIRECT(C70&amp;ROW()))</f>
        <v>55314</v>
      </c>
      <c r="N233">
        <v>55314</v>
      </c>
      <c r="O233" t="s">
        <v>55</v>
      </c>
      <c r="P233" t="s">
        <v>542</v>
      </c>
      <c r="Q233" t="s">
        <v>25</v>
      </c>
      <c r="R233" t="s">
        <v>251</v>
      </c>
      <c r="S233" t="s">
        <v>43</v>
      </c>
      <c r="U233" s="6">
        <v>42125.44972222222</v>
      </c>
      <c r="V233" t="s">
        <v>18</v>
      </c>
      <c r="W233" t="s">
        <v>17</v>
      </c>
      <c r="X233" s="6">
        <v>42011.547847222224</v>
      </c>
      <c r="Y233" t="s">
        <v>122</v>
      </c>
      <c r="AB233" t="s">
        <v>201</v>
      </c>
      <c r="AC233" t="s">
        <v>247</v>
      </c>
      <c r="AD233" t="s">
        <v>220</v>
      </c>
      <c r="AE233" t="s">
        <v>219</v>
      </c>
      <c r="AG233" t="s">
        <v>121</v>
      </c>
      <c r="AH233" t="s">
        <v>327</v>
      </c>
      <c r="AI233" t="s">
        <v>121</v>
      </c>
      <c r="AJ233" t="s">
        <v>716</v>
      </c>
      <c r="AK233" t="s">
        <v>121</v>
      </c>
      <c r="AL233" t="s">
        <v>121</v>
      </c>
      <c r="AM233" t="s">
        <v>121</v>
      </c>
    </row>
    <row r="234" spans="9:39" x14ac:dyDescent="0.3">
      <c r="I234">
        <f ca="1">IF(OR(INDIRECT(A73&amp;ROW())=B93,INDIRECT(A73&amp;ROW())=B94),1,IF(AND(INDIRECT(A73&amp;ROW())=B95,INDIRECT(A96&amp;ROW())=C93),1,IF(AND(INDIRECT(A73&amp;ROW())=B95,INDIRECT(A96&amp;ROW())=C94),1,0)))</f>
        <v>0</v>
      </c>
      <c r="J234">
        <f ca="1">IF(AND(INDIRECT(A73&amp;ROW())=B95,INDIRECT(A96&amp;ROW())=C95),1,IF(AND(INDIRECT(A73&amp;ROW())=B95,INDIRECT(A96&amp;ROW())=C96),1,0))</f>
        <v>1</v>
      </c>
      <c r="K234">
        <f ca="1">DAYS360(INDIRECT(C68&amp;ROW()),TODAY())</f>
        <v>721</v>
      </c>
      <c r="L234">
        <f ca="1">DAYS360(INDIRECT(C69&amp;ROW()),TODAY())</f>
        <v>835</v>
      </c>
      <c r="M234">
        <f ca="1">HYPERLINK(CONCATENATE("https://bugzilla.houston.hp.com:1181/bugzilla/show_bug.cgi?id=",INDIRECT(C70&amp;ROW())),INDIRECT(C70&amp;ROW()))</f>
        <v>55316</v>
      </c>
      <c r="N234">
        <v>55316</v>
      </c>
      <c r="O234" t="s">
        <v>56</v>
      </c>
      <c r="P234" t="s">
        <v>541</v>
      </c>
      <c r="Q234" t="s">
        <v>25</v>
      </c>
      <c r="R234" t="s">
        <v>248</v>
      </c>
      <c r="S234" t="s">
        <v>43</v>
      </c>
      <c r="U234" s="6">
        <v>42125.449699074074</v>
      </c>
      <c r="V234" t="s">
        <v>18</v>
      </c>
      <c r="W234" t="s">
        <v>372</v>
      </c>
      <c r="X234" s="6">
        <v>42011.550023148149</v>
      </c>
      <c r="Y234" t="s">
        <v>122</v>
      </c>
      <c r="AB234" t="s">
        <v>201</v>
      </c>
      <c r="AC234" t="s">
        <v>247</v>
      </c>
      <c r="AD234" t="s">
        <v>220</v>
      </c>
      <c r="AE234" t="s">
        <v>219</v>
      </c>
      <c r="AG234" t="s">
        <v>121</v>
      </c>
      <c r="AH234" t="s">
        <v>327</v>
      </c>
      <c r="AI234" t="s">
        <v>121</v>
      </c>
      <c r="AJ234" t="s">
        <v>716</v>
      </c>
      <c r="AK234" t="s">
        <v>121</v>
      </c>
      <c r="AL234" t="s">
        <v>121</v>
      </c>
      <c r="AM234" t="s">
        <v>121</v>
      </c>
    </row>
    <row r="235" spans="9:39" x14ac:dyDescent="0.3">
      <c r="I235">
        <f ca="1">IF(OR(INDIRECT(A73&amp;ROW())=B93,INDIRECT(A73&amp;ROW())=B94),1,IF(AND(INDIRECT(A73&amp;ROW())=B95,INDIRECT(A96&amp;ROW())=C93),1,IF(AND(INDIRECT(A73&amp;ROW())=B95,INDIRECT(A96&amp;ROW())=C94),1,0)))</f>
        <v>0</v>
      </c>
      <c r="J235">
        <f ca="1">IF(AND(INDIRECT(A73&amp;ROW())=B95,INDIRECT(A96&amp;ROW())=C95),1,IF(AND(INDIRECT(A73&amp;ROW())=B95,INDIRECT(A96&amp;ROW())=C96),1,0))</f>
        <v>1</v>
      </c>
      <c r="K235">
        <f ca="1">DAYS360(INDIRECT(C68&amp;ROW()),TODAY())</f>
        <v>684</v>
      </c>
      <c r="L235">
        <f ca="1">DAYS360(INDIRECT(C69&amp;ROW()),TODAY())</f>
        <v>833</v>
      </c>
      <c r="M235">
        <f ca="1">HYPERLINK(CONCATENATE("https://bugzilla.houston.hp.com:1181/bugzilla/show_bug.cgi?id=",INDIRECT(C70&amp;ROW())),INDIRECT(C70&amp;ROW()))</f>
        <v>55416</v>
      </c>
      <c r="N235">
        <v>55416</v>
      </c>
      <c r="O235" t="s">
        <v>56</v>
      </c>
      <c r="P235" t="s">
        <v>544</v>
      </c>
      <c r="Q235" t="s">
        <v>25</v>
      </c>
      <c r="R235" t="s">
        <v>248</v>
      </c>
      <c r="S235" t="s">
        <v>36</v>
      </c>
      <c r="U235" s="6">
        <v>42163.61037037037</v>
      </c>
      <c r="V235" t="s">
        <v>18</v>
      </c>
      <c r="W235" t="s">
        <v>343</v>
      </c>
      <c r="X235" s="6">
        <v>42013.560266203705</v>
      </c>
      <c r="Y235" t="s">
        <v>122</v>
      </c>
      <c r="AB235" t="s">
        <v>201</v>
      </c>
      <c r="AC235" t="s">
        <v>247</v>
      </c>
      <c r="AD235" t="s">
        <v>220</v>
      </c>
      <c r="AE235" t="s">
        <v>219</v>
      </c>
      <c r="AG235" t="s">
        <v>121</v>
      </c>
      <c r="AH235" t="s">
        <v>327</v>
      </c>
      <c r="AI235" t="s">
        <v>121</v>
      </c>
      <c r="AJ235" t="s">
        <v>716</v>
      </c>
      <c r="AK235" t="s">
        <v>121</v>
      </c>
      <c r="AL235" t="s">
        <v>121</v>
      </c>
      <c r="AM235" t="s">
        <v>121</v>
      </c>
    </row>
    <row r="236" spans="9:39" x14ac:dyDescent="0.3">
      <c r="I236">
        <f ca="1">IF(OR(INDIRECT(A73&amp;ROW())=B93,INDIRECT(A73&amp;ROW())=B94),1,IF(AND(INDIRECT(A73&amp;ROW())=B95,INDIRECT(A96&amp;ROW())=C93),1,IF(AND(INDIRECT(A73&amp;ROW())=B95,INDIRECT(A96&amp;ROW())=C94),1,0)))</f>
        <v>0</v>
      </c>
      <c r="J236">
        <f ca="1">IF(AND(INDIRECT(A73&amp;ROW())=B95,INDIRECT(A96&amp;ROW())=C95),1,IF(AND(INDIRECT(A73&amp;ROW())=B95,INDIRECT(A96&amp;ROW())=C96),1,0))</f>
        <v>0</v>
      </c>
      <c r="K236">
        <f ca="1">DAYS360(INDIRECT(C68&amp;ROW()),TODAY())</f>
        <v>721</v>
      </c>
      <c r="L236">
        <f ca="1">DAYS360(INDIRECT(C69&amp;ROW()),TODAY())</f>
        <v>833</v>
      </c>
      <c r="M236">
        <f ca="1">HYPERLINK(CONCATENATE("https://bugzilla.houston.hp.com:1181/bugzilla/show_bug.cgi?id=",INDIRECT(C70&amp;ROW())),INDIRECT(C70&amp;ROW()))</f>
        <v>55430</v>
      </c>
      <c r="N236">
        <v>55430</v>
      </c>
      <c r="O236" t="s">
        <v>56</v>
      </c>
      <c r="P236" t="s">
        <v>543</v>
      </c>
      <c r="Q236" t="s">
        <v>16</v>
      </c>
      <c r="R236" t="s">
        <v>248</v>
      </c>
      <c r="S236" t="s">
        <v>36</v>
      </c>
      <c r="U236" s="6">
        <v>42125.448541666665</v>
      </c>
      <c r="V236" t="s">
        <v>18</v>
      </c>
      <c r="W236" t="s">
        <v>324</v>
      </c>
      <c r="X236" s="6">
        <v>42013.620613425926</v>
      </c>
      <c r="Y236" t="s">
        <v>122</v>
      </c>
      <c r="AB236" t="s">
        <v>201</v>
      </c>
      <c r="AC236" t="s">
        <v>247</v>
      </c>
      <c r="AD236" t="s">
        <v>220</v>
      </c>
      <c r="AE236" t="s">
        <v>219</v>
      </c>
      <c r="AG236" t="s">
        <v>121</v>
      </c>
      <c r="AH236" t="s">
        <v>327</v>
      </c>
      <c r="AI236" t="s">
        <v>121</v>
      </c>
      <c r="AJ236" t="s">
        <v>717</v>
      </c>
      <c r="AK236" t="s">
        <v>121</v>
      </c>
      <c r="AL236" t="s">
        <v>121</v>
      </c>
      <c r="AM236" t="s">
        <v>121</v>
      </c>
    </row>
    <row r="237" spans="9:39" x14ac:dyDescent="0.3">
      <c r="I237">
        <f ca="1">IF(OR(INDIRECT(A73&amp;ROW())=B93,INDIRECT(A73&amp;ROW())=B94),1,IF(AND(INDIRECT(A73&amp;ROW())=B95,INDIRECT(A96&amp;ROW())=C93),1,IF(AND(INDIRECT(A73&amp;ROW())=B95,INDIRECT(A96&amp;ROW())=C94),1,0)))</f>
        <v>0</v>
      </c>
      <c r="J237">
        <f ca="1">IF(AND(INDIRECT(A73&amp;ROW())=B95,INDIRECT(A96&amp;ROW())=C95),1,IF(AND(INDIRECT(A73&amp;ROW())=B95,INDIRECT(A96&amp;ROW())=C96),1,0))</f>
        <v>0</v>
      </c>
      <c r="K237">
        <f ca="1">DAYS360(INDIRECT(C68&amp;ROW()),TODAY())</f>
        <v>729</v>
      </c>
      <c r="L237">
        <f ca="1">DAYS360(INDIRECT(C69&amp;ROW()),TODAY())</f>
        <v>830</v>
      </c>
      <c r="M237">
        <f ca="1">HYPERLINK(CONCATENATE("https://bugzilla.houston.hp.com:1181/bugzilla/show_bug.cgi?id=",INDIRECT(C70&amp;ROW())),INDIRECT(C70&amp;ROW()))</f>
        <v>55490</v>
      </c>
      <c r="N237">
        <v>55490</v>
      </c>
      <c r="O237" t="s">
        <v>53</v>
      </c>
      <c r="P237" t="s">
        <v>549</v>
      </c>
      <c r="Q237" t="s">
        <v>16</v>
      </c>
      <c r="R237" t="s">
        <v>251</v>
      </c>
      <c r="S237" t="s">
        <v>1368</v>
      </c>
      <c r="U237" s="6">
        <v>42117.405312499999</v>
      </c>
      <c r="V237" t="s">
        <v>18</v>
      </c>
      <c r="W237" t="s">
        <v>17</v>
      </c>
      <c r="X237" s="6">
        <v>42016.581944444442</v>
      </c>
      <c r="Y237" t="s">
        <v>119</v>
      </c>
      <c r="AB237" t="s">
        <v>199</v>
      </c>
      <c r="AC237" t="s">
        <v>247</v>
      </c>
      <c r="AD237" t="s">
        <v>220</v>
      </c>
      <c r="AE237" t="s">
        <v>219</v>
      </c>
      <c r="AG237" t="s">
        <v>121</v>
      </c>
      <c r="AH237" t="s">
        <v>327</v>
      </c>
      <c r="AI237" t="s">
        <v>121</v>
      </c>
      <c r="AJ237" t="s">
        <v>716</v>
      </c>
      <c r="AK237" t="s">
        <v>121</v>
      </c>
      <c r="AL237" t="s">
        <v>121</v>
      </c>
      <c r="AM237" t="s">
        <v>121</v>
      </c>
    </row>
    <row r="238" spans="9:39" x14ac:dyDescent="0.3">
      <c r="I238">
        <f ca="1">IF(OR(INDIRECT(A73&amp;ROW())=B93,INDIRECT(A73&amp;ROW())=B94),1,IF(AND(INDIRECT(A73&amp;ROW())=B95,INDIRECT(A96&amp;ROW())=C93),1,IF(AND(INDIRECT(A73&amp;ROW())=B95,INDIRECT(A96&amp;ROW())=C94),1,0)))</f>
        <v>0</v>
      </c>
      <c r="J238">
        <f ca="1">IF(AND(INDIRECT(A73&amp;ROW())=B95,INDIRECT(A96&amp;ROW())=C95),1,IF(AND(INDIRECT(A73&amp;ROW())=B95,INDIRECT(A96&amp;ROW())=C96),1,0))</f>
        <v>0</v>
      </c>
      <c r="K238">
        <f ca="1">DAYS360(INDIRECT(C68&amp;ROW()),TODAY())</f>
        <v>802</v>
      </c>
      <c r="L238">
        <f ca="1">DAYS360(INDIRECT(C69&amp;ROW()),TODAY())</f>
        <v>829</v>
      </c>
      <c r="M238">
        <f ca="1">HYPERLINK(CONCATENATE("https://bugzilla.houston.hp.com:1181/bugzilla/show_bug.cgi?id=",INDIRECT(C70&amp;ROW())),INDIRECT(C70&amp;ROW()))</f>
        <v>55539</v>
      </c>
      <c r="N238">
        <v>55539</v>
      </c>
      <c r="O238" t="s">
        <v>56</v>
      </c>
      <c r="P238" t="s">
        <v>1386</v>
      </c>
      <c r="Q238" t="s">
        <v>16</v>
      </c>
      <c r="R238" t="s">
        <v>251</v>
      </c>
      <c r="S238" t="s">
        <v>55</v>
      </c>
      <c r="U238" s="6">
        <v>42045.940879629627</v>
      </c>
      <c r="V238" t="s">
        <v>18</v>
      </c>
      <c r="W238" t="s">
        <v>248</v>
      </c>
      <c r="X238" s="6">
        <v>42017.452615740738</v>
      </c>
      <c r="Y238" t="s">
        <v>124</v>
      </c>
      <c r="AB238" t="s">
        <v>200</v>
      </c>
      <c r="AC238" t="s">
        <v>247</v>
      </c>
      <c r="AD238" t="s">
        <v>220</v>
      </c>
      <c r="AE238" t="s">
        <v>219</v>
      </c>
      <c r="AG238" t="s">
        <v>121</v>
      </c>
      <c r="AH238" t="s">
        <v>327</v>
      </c>
      <c r="AI238" t="s">
        <v>121</v>
      </c>
      <c r="AJ238" t="s">
        <v>716</v>
      </c>
      <c r="AK238" t="s">
        <v>121</v>
      </c>
      <c r="AL238" t="s">
        <v>121</v>
      </c>
      <c r="AM238" t="s">
        <v>121</v>
      </c>
    </row>
    <row r="239" spans="9:39" x14ac:dyDescent="0.3">
      <c r="I239">
        <f ca="1">IF(OR(INDIRECT(A73&amp;ROW())=B93,INDIRECT(A73&amp;ROW())=B94),1,IF(AND(INDIRECT(A73&amp;ROW())=B95,INDIRECT(A96&amp;ROW())=C93),1,IF(AND(INDIRECT(A73&amp;ROW())=B95,INDIRECT(A96&amp;ROW())=C94),1,0)))</f>
        <v>0</v>
      </c>
      <c r="J239">
        <f ca="1">IF(AND(INDIRECT(A73&amp;ROW())=B95,INDIRECT(A96&amp;ROW())=C95),1,IF(AND(INDIRECT(A73&amp;ROW())=B95,INDIRECT(A96&amp;ROW())=C96),1,0))</f>
        <v>1</v>
      </c>
      <c r="K239">
        <f ca="1">DAYS360(INDIRECT(C68&amp;ROW()),TODAY())</f>
        <v>682</v>
      </c>
      <c r="L239">
        <f ca="1">DAYS360(INDIRECT(C69&amp;ROW()),TODAY())</f>
        <v>829</v>
      </c>
      <c r="M239">
        <f ca="1">HYPERLINK(CONCATENATE("https://bugzilla.houston.hp.com:1181/bugzilla/show_bug.cgi?id=",INDIRECT(C70&amp;ROW())),INDIRECT(C70&amp;ROW()))</f>
        <v>55549</v>
      </c>
      <c r="N239">
        <v>55549</v>
      </c>
      <c r="O239" t="s">
        <v>66</v>
      </c>
      <c r="P239" t="s">
        <v>548</v>
      </c>
      <c r="Q239" t="s">
        <v>25</v>
      </c>
      <c r="R239" t="s">
        <v>251</v>
      </c>
      <c r="S239" t="s">
        <v>66</v>
      </c>
      <c r="U239" s="6">
        <v>42165.564432870371</v>
      </c>
      <c r="V239" t="s">
        <v>35</v>
      </c>
      <c r="W239" t="s">
        <v>17</v>
      </c>
      <c r="X239" s="6">
        <v>42017.588472222225</v>
      </c>
      <c r="Y239" t="s">
        <v>122</v>
      </c>
      <c r="AB239" t="s">
        <v>201</v>
      </c>
      <c r="AC239" t="s">
        <v>247</v>
      </c>
      <c r="AD239" t="s">
        <v>220</v>
      </c>
      <c r="AE239" t="s">
        <v>219</v>
      </c>
      <c r="AG239" t="s">
        <v>121</v>
      </c>
      <c r="AH239" t="s">
        <v>327</v>
      </c>
      <c r="AI239" t="s">
        <v>121</v>
      </c>
      <c r="AJ239" t="s">
        <v>716</v>
      </c>
      <c r="AK239" t="s">
        <v>121</v>
      </c>
      <c r="AL239" t="s">
        <v>121</v>
      </c>
      <c r="AM239" t="s">
        <v>121</v>
      </c>
    </row>
    <row r="240" spans="9:39" x14ac:dyDescent="0.3">
      <c r="I240">
        <f ca="1">IF(OR(INDIRECT(A73&amp;ROW())=B93,INDIRECT(A73&amp;ROW())=B94),1,IF(AND(INDIRECT(A73&amp;ROW())=B95,INDIRECT(A96&amp;ROW())=C93),1,IF(AND(INDIRECT(A73&amp;ROW())=B95,INDIRECT(A96&amp;ROW())=C94),1,0)))</f>
        <v>0</v>
      </c>
      <c r="J240">
        <f ca="1">IF(AND(INDIRECT(A73&amp;ROW())=B95,INDIRECT(A96&amp;ROW())=C95),1,IF(AND(INDIRECT(A73&amp;ROW())=B95,INDIRECT(A96&amp;ROW())=C96),1,0))</f>
        <v>1</v>
      </c>
      <c r="K240">
        <f ca="1">DAYS360(INDIRECT(C68&amp;ROW()),TODAY())</f>
        <v>662</v>
      </c>
      <c r="L240">
        <f ca="1">DAYS360(INDIRECT(C69&amp;ROW()),TODAY())</f>
        <v>828</v>
      </c>
      <c r="M240">
        <f ca="1">HYPERLINK(CONCATENATE("https://bugzilla.houston.hp.com:1181/bugzilla/show_bug.cgi?id=",INDIRECT(C70&amp;ROW())),INDIRECT(C70&amp;ROW()))</f>
        <v>55619</v>
      </c>
      <c r="N240">
        <v>55619</v>
      </c>
      <c r="O240" t="s">
        <v>66</v>
      </c>
      <c r="P240" t="s">
        <v>548</v>
      </c>
      <c r="Q240" t="s">
        <v>25</v>
      </c>
      <c r="R240" t="s">
        <v>251</v>
      </c>
      <c r="S240" t="s">
        <v>66</v>
      </c>
      <c r="U240" s="6">
        <v>42185.335636574076</v>
      </c>
      <c r="V240" t="s">
        <v>35</v>
      </c>
      <c r="W240" t="s">
        <v>17</v>
      </c>
      <c r="X240" s="6">
        <v>42018.617395833331</v>
      </c>
      <c r="Y240" t="s">
        <v>122</v>
      </c>
      <c r="AB240" t="s">
        <v>201</v>
      </c>
      <c r="AC240" t="s">
        <v>247</v>
      </c>
      <c r="AD240" t="s">
        <v>220</v>
      </c>
      <c r="AE240" t="s">
        <v>219</v>
      </c>
      <c r="AG240" t="s">
        <v>121</v>
      </c>
      <c r="AH240" t="s">
        <v>327</v>
      </c>
      <c r="AI240" t="s">
        <v>121</v>
      </c>
      <c r="AJ240" t="s">
        <v>716</v>
      </c>
      <c r="AK240" t="s">
        <v>121</v>
      </c>
      <c r="AL240" t="s">
        <v>121</v>
      </c>
      <c r="AM240" t="s">
        <v>121</v>
      </c>
    </row>
    <row r="241" spans="9:39" x14ac:dyDescent="0.3">
      <c r="I241">
        <f ca="1">IF(OR(INDIRECT(A73&amp;ROW())=B93,INDIRECT(A73&amp;ROW())=B94),1,IF(AND(INDIRECT(A73&amp;ROW())=B95,INDIRECT(A96&amp;ROW())=C93),1,IF(AND(INDIRECT(A73&amp;ROW())=B95,INDIRECT(A96&amp;ROW())=C94),1,0)))</f>
        <v>1</v>
      </c>
      <c r="J241">
        <f ca="1">IF(AND(INDIRECT(A73&amp;ROW())=B95,INDIRECT(A96&amp;ROW())=C95),1,IF(AND(INDIRECT(A73&amp;ROW())=B95,INDIRECT(A96&amp;ROW())=C96),1,0))</f>
        <v>0</v>
      </c>
      <c r="K241">
        <f ca="1">DAYS360(INDIRECT(C68&amp;ROW()),TODAY())</f>
        <v>682</v>
      </c>
      <c r="L241">
        <f ca="1">DAYS360(INDIRECT(C69&amp;ROW()),TODAY())</f>
        <v>828</v>
      </c>
      <c r="M241">
        <f ca="1">HYPERLINK(CONCATENATE("https://bugzilla.houston.hp.com:1181/bugzilla/show_bug.cgi?id=",INDIRECT(C70&amp;ROW())),INDIRECT(C70&amp;ROW()))</f>
        <v>55627</v>
      </c>
      <c r="N241">
        <v>55627</v>
      </c>
      <c r="O241" t="s">
        <v>53</v>
      </c>
      <c r="P241" t="s">
        <v>551</v>
      </c>
      <c r="Q241" t="s">
        <v>39</v>
      </c>
      <c r="R241" t="s">
        <v>251</v>
      </c>
      <c r="S241" t="s">
        <v>53</v>
      </c>
      <c r="U241" s="6">
        <v>42165.551458333335</v>
      </c>
      <c r="V241" t="s">
        <v>18</v>
      </c>
      <c r="W241" t="s">
        <v>17</v>
      </c>
      <c r="X241" s="6">
        <v>42018.719236111108</v>
      </c>
      <c r="Y241" t="s">
        <v>122</v>
      </c>
      <c r="AB241" t="s">
        <v>201</v>
      </c>
      <c r="AC241" t="s">
        <v>247</v>
      </c>
      <c r="AD241" t="s">
        <v>220</v>
      </c>
      <c r="AE241" t="s">
        <v>219</v>
      </c>
      <c r="AG241" t="s">
        <v>121</v>
      </c>
      <c r="AH241" t="s">
        <v>327</v>
      </c>
      <c r="AI241" t="s">
        <v>121</v>
      </c>
      <c r="AJ241" t="s">
        <v>715</v>
      </c>
      <c r="AK241" t="s">
        <v>121</v>
      </c>
      <c r="AL241" t="s">
        <v>121</v>
      </c>
      <c r="AM241" t="s">
        <v>121</v>
      </c>
    </row>
    <row r="242" spans="9:39" x14ac:dyDescent="0.3">
      <c r="I242">
        <f ca="1">IF(OR(INDIRECT(A73&amp;ROW())=B93,INDIRECT(A73&amp;ROW())=B94),1,IF(AND(INDIRECT(A73&amp;ROW())=B95,INDIRECT(A96&amp;ROW())=C93),1,IF(AND(INDIRECT(A73&amp;ROW())=B95,INDIRECT(A96&amp;ROW())=C94),1,0)))</f>
        <v>0</v>
      </c>
      <c r="J242">
        <f ca="1">IF(AND(INDIRECT(A73&amp;ROW())=B95,INDIRECT(A96&amp;ROW())=C95),1,IF(AND(INDIRECT(A73&amp;ROW())=B95,INDIRECT(A96&amp;ROW())=C96),1,0))</f>
        <v>0</v>
      </c>
      <c r="K242">
        <f ca="1">DAYS360(INDIRECT(C68&amp;ROW()),TODAY())</f>
        <v>613</v>
      </c>
      <c r="L242">
        <f ca="1">DAYS360(INDIRECT(C69&amp;ROW()),TODAY())</f>
        <v>827</v>
      </c>
      <c r="M242">
        <f ca="1">HYPERLINK(CONCATENATE("https://bugzilla.houston.hp.com:1181/bugzilla/show_bug.cgi?id=",INDIRECT(C70&amp;ROW())),INDIRECT(C70&amp;ROW()))</f>
        <v>55690</v>
      </c>
      <c r="N242">
        <v>55690</v>
      </c>
      <c r="O242" t="s">
        <v>22</v>
      </c>
      <c r="P242" t="s">
        <v>557</v>
      </c>
      <c r="Q242" t="s">
        <v>16</v>
      </c>
      <c r="R242" t="s">
        <v>251</v>
      </c>
      <c r="S242" t="s">
        <v>22</v>
      </c>
      <c r="T242" t="s">
        <v>794</v>
      </c>
      <c r="U242" s="6">
        <v>42235.538055555553</v>
      </c>
      <c r="V242" t="s">
        <v>18</v>
      </c>
      <c r="W242" t="s">
        <v>17</v>
      </c>
      <c r="X242" s="6">
        <v>42019.371122685188</v>
      </c>
      <c r="Y242" t="s">
        <v>122</v>
      </c>
      <c r="AB242" t="s">
        <v>201</v>
      </c>
      <c r="AC242" t="s">
        <v>247</v>
      </c>
      <c r="AD242" t="s">
        <v>222</v>
      </c>
      <c r="AE242" t="s">
        <v>225</v>
      </c>
      <c r="AG242" t="s">
        <v>121</v>
      </c>
      <c r="AH242" t="s">
        <v>327</v>
      </c>
      <c r="AI242" t="s">
        <v>121</v>
      </c>
      <c r="AJ242" t="s">
        <v>717</v>
      </c>
      <c r="AK242" t="s">
        <v>121</v>
      </c>
      <c r="AL242" t="s">
        <v>121</v>
      </c>
      <c r="AM242" t="s">
        <v>121</v>
      </c>
    </row>
    <row r="243" spans="9:39" x14ac:dyDescent="0.3">
      <c r="I243">
        <f ca="1">IF(OR(INDIRECT(A73&amp;ROW())=B93,INDIRECT(A73&amp;ROW())=B94),1,IF(AND(INDIRECT(A73&amp;ROW())=B95,INDIRECT(A96&amp;ROW())=C93),1,IF(AND(INDIRECT(A73&amp;ROW())=B95,INDIRECT(A96&amp;ROW())=C94),1,0)))</f>
        <v>0</v>
      </c>
      <c r="J243">
        <f ca="1">IF(AND(INDIRECT(A73&amp;ROW())=B95,INDIRECT(A96&amp;ROW())=C95),1,IF(AND(INDIRECT(A73&amp;ROW())=B95,INDIRECT(A96&amp;ROW())=C96),1,0))</f>
        <v>0</v>
      </c>
      <c r="K243">
        <f ca="1">DAYS360(INDIRECT(C68&amp;ROW()),TODAY())</f>
        <v>721</v>
      </c>
      <c r="L243">
        <f ca="1">DAYS360(INDIRECT(C69&amp;ROW()),TODAY())</f>
        <v>827</v>
      </c>
      <c r="M243">
        <f ca="1">HYPERLINK(CONCATENATE("https://bugzilla.houston.hp.com:1181/bugzilla/show_bug.cgi?id=",INDIRECT(C70&amp;ROW())),INDIRECT(C70&amp;ROW()))</f>
        <v>55692</v>
      </c>
      <c r="N243">
        <v>55692</v>
      </c>
      <c r="O243" t="s">
        <v>36</v>
      </c>
      <c r="P243" t="s">
        <v>556</v>
      </c>
      <c r="Q243" t="s">
        <v>16</v>
      </c>
      <c r="R243" t="s">
        <v>248</v>
      </c>
      <c r="S243" t="s">
        <v>552</v>
      </c>
      <c r="U243" s="6">
        <v>42125.450833333336</v>
      </c>
      <c r="V243" t="s">
        <v>18</v>
      </c>
      <c r="W243" t="s">
        <v>17</v>
      </c>
      <c r="X243" s="6">
        <v>42019.375428240739</v>
      </c>
      <c r="Y243" t="s">
        <v>122</v>
      </c>
      <c r="AB243" t="s">
        <v>201</v>
      </c>
      <c r="AC243" t="s">
        <v>247</v>
      </c>
      <c r="AD243" t="s">
        <v>222</v>
      </c>
      <c r="AE243" t="s">
        <v>225</v>
      </c>
      <c r="AG243" t="s">
        <v>121</v>
      </c>
      <c r="AH243" t="s">
        <v>327</v>
      </c>
      <c r="AI243" t="s">
        <v>121</v>
      </c>
      <c r="AJ243" t="s">
        <v>717</v>
      </c>
      <c r="AK243" t="s">
        <v>121</v>
      </c>
      <c r="AL243" t="s">
        <v>121</v>
      </c>
      <c r="AM243" t="s">
        <v>121</v>
      </c>
    </row>
    <row r="244" spans="9:39" x14ac:dyDescent="0.3">
      <c r="I244">
        <f ca="1">IF(OR(INDIRECT(A73&amp;ROW())=B93,INDIRECT(A73&amp;ROW())=B94),1,IF(AND(INDIRECT(A73&amp;ROW())=B95,INDIRECT(A96&amp;ROW())=C93),1,IF(AND(INDIRECT(A73&amp;ROW())=B95,INDIRECT(A96&amp;ROW())=C94),1,0)))</f>
        <v>0</v>
      </c>
      <c r="J244">
        <f ca="1">IF(AND(INDIRECT(A73&amp;ROW())=B95,INDIRECT(A96&amp;ROW())=C95),1,IF(AND(INDIRECT(A73&amp;ROW())=B95,INDIRECT(A96&amp;ROW())=C96),1,0))</f>
        <v>0</v>
      </c>
      <c r="K244">
        <f ca="1">DAYS360(INDIRECT(C68&amp;ROW()),TODAY())</f>
        <v>729</v>
      </c>
      <c r="L244">
        <f ca="1">DAYS360(INDIRECT(C69&amp;ROW()),TODAY())</f>
        <v>827</v>
      </c>
      <c r="M244">
        <f ca="1">HYPERLINK(CONCATENATE("https://bugzilla.houston.hp.com:1181/bugzilla/show_bug.cgi?id=",INDIRECT(C70&amp;ROW())),INDIRECT(C70&amp;ROW()))</f>
        <v>55707</v>
      </c>
      <c r="N244">
        <v>55707</v>
      </c>
      <c r="O244" t="s">
        <v>374</v>
      </c>
      <c r="P244" t="s">
        <v>555</v>
      </c>
      <c r="Q244" t="s">
        <v>16</v>
      </c>
      <c r="R244" t="s">
        <v>251</v>
      </c>
      <c r="S244" t="s">
        <v>374</v>
      </c>
      <c r="U244" s="6">
        <v>42117.405405092592</v>
      </c>
      <c r="V244" t="s">
        <v>18</v>
      </c>
      <c r="W244" t="s">
        <v>17</v>
      </c>
      <c r="X244" s="6">
        <v>42019.951620370368</v>
      </c>
      <c r="Y244" t="s">
        <v>787</v>
      </c>
      <c r="AB244" t="s">
        <v>200</v>
      </c>
      <c r="AC244" t="s">
        <v>247</v>
      </c>
      <c r="AD244" t="s">
        <v>227</v>
      </c>
      <c r="AE244" t="s">
        <v>237</v>
      </c>
      <c r="AG244" t="s">
        <v>121</v>
      </c>
      <c r="AH244" t="s">
        <v>327</v>
      </c>
      <c r="AI244" t="s">
        <v>121</v>
      </c>
      <c r="AJ244" t="s">
        <v>716</v>
      </c>
      <c r="AK244" t="s">
        <v>121</v>
      </c>
      <c r="AL244" t="s">
        <v>121</v>
      </c>
      <c r="AM244" t="s">
        <v>121</v>
      </c>
    </row>
    <row r="245" spans="9:39" x14ac:dyDescent="0.3">
      <c r="I245">
        <f ca="1">IF(OR(INDIRECT(A73&amp;ROW())=B93,INDIRECT(A73&amp;ROW())=B94),1,IF(AND(INDIRECT(A73&amp;ROW())=B95,INDIRECT(A96&amp;ROW())=C93),1,IF(AND(INDIRECT(A73&amp;ROW())=B95,INDIRECT(A96&amp;ROW())=C94),1,0)))</f>
        <v>0</v>
      </c>
      <c r="J245">
        <f ca="1">IF(AND(INDIRECT(A73&amp;ROW())=B95,INDIRECT(A96&amp;ROW())=C95),1,IF(AND(INDIRECT(A73&amp;ROW())=B95,INDIRECT(A96&amp;ROW())=C96),1,0))</f>
        <v>1</v>
      </c>
      <c r="K245">
        <f ca="1">DAYS360(INDIRECT(C68&amp;ROW()),TODAY())</f>
        <v>730</v>
      </c>
      <c r="L245">
        <f ca="1">DAYS360(INDIRECT(C69&amp;ROW()),TODAY())</f>
        <v>826</v>
      </c>
      <c r="M245">
        <f ca="1">HYPERLINK(CONCATENATE("https://bugzilla.houston.hp.com:1181/bugzilla/show_bug.cgi?id=",INDIRECT(C70&amp;ROW())),INDIRECT(C70&amp;ROW()))</f>
        <v>55719</v>
      </c>
      <c r="N245">
        <v>55719</v>
      </c>
      <c r="O245" t="s">
        <v>21</v>
      </c>
      <c r="P245" t="s">
        <v>554</v>
      </c>
      <c r="Q245" t="s">
        <v>25</v>
      </c>
      <c r="R245" t="s">
        <v>251</v>
      </c>
      <c r="S245" t="s">
        <v>553</v>
      </c>
      <c r="U245" s="6">
        <v>42116.734351851854</v>
      </c>
      <c r="V245" t="s">
        <v>35</v>
      </c>
      <c r="W245" t="s">
        <v>17</v>
      </c>
      <c r="X245" s="6">
        <v>42020.166122685187</v>
      </c>
      <c r="Y245" t="s">
        <v>124</v>
      </c>
      <c r="AB245" t="s">
        <v>201</v>
      </c>
      <c r="AC245" t="s">
        <v>247</v>
      </c>
      <c r="AD245" t="s">
        <v>222</v>
      </c>
      <c r="AE245" t="s">
        <v>221</v>
      </c>
      <c r="AG245" t="s">
        <v>121</v>
      </c>
      <c r="AH245" t="s">
        <v>327</v>
      </c>
      <c r="AI245" t="s">
        <v>121</v>
      </c>
      <c r="AJ245" t="s">
        <v>716</v>
      </c>
      <c r="AK245" t="s">
        <v>121</v>
      </c>
      <c r="AL245" t="s">
        <v>121</v>
      </c>
      <c r="AM245" t="s">
        <v>121</v>
      </c>
    </row>
    <row r="246" spans="9:39" x14ac:dyDescent="0.3">
      <c r="I246">
        <f ca="1">IF(OR(INDIRECT(A73&amp;ROW())=B93,INDIRECT(A73&amp;ROW())=B94),1,IF(AND(INDIRECT(A73&amp;ROW())=B95,INDIRECT(A96&amp;ROW())=C93),1,IF(AND(INDIRECT(A73&amp;ROW())=B95,INDIRECT(A96&amp;ROW())=C94),1,0)))</f>
        <v>0</v>
      </c>
      <c r="J246">
        <f ca="1">IF(AND(INDIRECT(A73&amp;ROW())=B95,INDIRECT(A96&amp;ROW())=C95),1,IF(AND(INDIRECT(A73&amp;ROW())=B95,INDIRECT(A96&amp;ROW())=C96),1,0))</f>
        <v>0</v>
      </c>
      <c r="K246">
        <f ca="1">DAYS360(INDIRECT(C68&amp;ROW()),TODAY())</f>
        <v>728</v>
      </c>
      <c r="L246">
        <f ca="1">DAYS360(INDIRECT(C69&amp;ROW()),TODAY())</f>
        <v>821</v>
      </c>
      <c r="M246">
        <f ca="1">HYPERLINK(CONCATENATE("https://bugzilla.houston.hp.com:1181/bugzilla/show_bug.cgi?id=",INDIRECT(C70&amp;ROW())),INDIRECT(C70&amp;ROW()))</f>
        <v>55900</v>
      </c>
      <c r="N246">
        <v>55900</v>
      </c>
      <c r="O246" t="s">
        <v>56</v>
      </c>
      <c r="P246" t="s">
        <v>566</v>
      </c>
      <c r="Q246" t="s">
        <v>16</v>
      </c>
      <c r="R246" t="s">
        <v>251</v>
      </c>
      <c r="S246" t="s">
        <v>59</v>
      </c>
      <c r="U246" s="6">
        <v>42118.523414351854</v>
      </c>
      <c r="V246" t="s">
        <v>18</v>
      </c>
      <c r="W246" t="s">
        <v>17</v>
      </c>
      <c r="X246" s="6">
        <v>42025.187048611115</v>
      </c>
      <c r="Y246" t="s">
        <v>788</v>
      </c>
      <c r="AB246" t="s">
        <v>201</v>
      </c>
      <c r="AC246" t="s">
        <v>247</v>
      </c>
      <c r="AD246" t="s">
        <v>220</v>
      </c>
      <c r="AE246" t="s">
        <v>219</v>
      </c>
      <c r="AG246" t="s">
        <v>121</v>
      </c>
      <c r="AH246" t="s">
        <v>327</v>
      </c>
      <c r="AI246" t="s">
        <v>121</v>
      </c>
      <c r="AJ246" t="s">
        <v>717</v>
      </c>
      <c r="AK246" t="s">
        <v>121</v>
      </c>
      <c r="AL246" t="s">
        <v>121</v>
      </c>
      <c r="AM246" t="s">
        <v>121</v>
      </c>
    </row>
    <row r="247" spans="9:39" x14ac:dyDescent="0.3">
      <c r="I247">
        <f ca="1">IF(OR(INDIRECT(A73&amp;ROW())=B93,INDIRECT(A73&amp;ROW())=B94),1,IF(AND(INDIRECT(A73&amp;ROW())=B95,INDIRECT(A96&amp;ROW())=C93),1,IF(AND(INDIRECT(A73&amp;ROW())=B95,INDIRECT(A96&amp;ROW())=C94),1,0)))</f>
        <v>0</v>
      </c>
      <c r="J247">
        <f ca="1">IF(AND(INDIRECT(A73&amp;ROW())=B95,INDIRECT(A96&amp;ROW())=C95),1,IF(AND(INDIRECT(A73&amp;ROW())=B95,INDIRECT(A96&amp;ROW())=C96),1,0))</f>
        <v>0</v>
      </c>
      <c r="K247">
        <f ca="1">DAYS360(INDIRECT(C68&amp;ROW()),TODAY())</f>
        <v>728</v>
      </c>
      <c r="L247">
        <f ca="1">DAYS360(INDIRECT(C69&amp;ROW()),TODAY())</f>
        <v>821</v>
      </c>
      <c r="M247">
        <f ca="1">HYPERLINK(CONCATENATE("https://bugzilla.houston.hp.com:1181/bugzilla/show_bug.cgi?id=",INDIRECT(C70&amp;ROW())),INDIRECT(C70&amp;ROW()))</f>
        <v>55915</v>
      </c>
      <c r="N247">
        <v>55915</v>
      </c>
      <c r="O247" t="s">
        <v>66</v>
      </c>
      <c r="P247" t="s">
        <v>565</v>
      </c>
      <c r="Q247" t="s">
        <v>16</v>
      </c>
      <c r="R247" t="s">
        <v>251</v>
      </c>
      <c r="S247" t="s">
        <v>66</v>
      </c>
      <c r="U247" s="6">
        <v>42118.523506944446</v>
      </c>
      <c r="V247" t="s">
        <v>18</v>
      </c>
      <c r="W247" t="s">
        <v>17</v>
      </c>
      <c r="X247" s="6">
        <v>42025.416770833333</v>
      </c>
      <c r="Y247" t="s">
        <v>124</v>
      </c>
      <c r="AB247" t="s">
        <v>201</v>
      </c>
      <c r="AC247" t="s">
        <v>247</v>
      </c>
      <c r="AD247" t="s">
        <v>220</v>
      </c>
      <c r="AE247" t="s">
        <v>219</v>
      </c>
      <c r="AG247" t="s">
        <v>121</v>
      </c>
      <c r="AH247" t="s">
        <v>327</v>
      </c>
      <c r="AI247" t="s">
        <v>121</v>
      </c>
      <c r="AJ247" t="s">
        <v>717</v>
      </c>
      <c r="AK247" t="s">
        <v>121</v>
      </c>
      <c r="AL247" t="s">
        <v>121</v>
      </c>
      <c r="AM247" t="s">
        <v>121</v>
      </c>
    </row>
    <row r="248" spans="9:39" x14ac:dyDescent="0.3">
      <c r="I248">
        <f ca="1">IF(OR(INDIRECT(A73&amp;ROW())=B93,INDIRECT(A73&amp;ROW())=B94),1,IF(AND(INDIRECT(A73&amp;ROW())=B95,INDIRECT(A96&amp;ROW())=C93),1,IF(AND(INDIRECT(A73&amp;ROW())=B95,INDIRECT(A96&amp;ROW())=C94),1,0)))</f>
        <v>0</v>
      </c>
      <c r="J248">
        <f ca="1">IF(AND(INDIRECT(A73&amp;ROW())=B95,INDIRECT(A96&amp;ROW())=C95),1,IF(AND(INDIRECT(A73&amp;ROW())=B95,INDIRECT(A96&amp;ROW())=C96),1,0))</f>
        <v>1</v>
      </c>
      <c r="K248">
        <f ca="1">DAYS360(INDIRECT(C68&amp;ROW()),TODAY())</f>
        <v>684</v>
      </c>
      <c r="L248">
        <f ca="1">DAYS360(INDIRECT(C69&amp;ROW()),TODAY())</f>
        <v>821</v>
      </c>
      <c r="M248">
        <f ca="1">HYPERLINK(CONCATENATE("https://bugzilla.houston.hp.com:1181/bugzilla/show_bug.cgi?id=",INDIRECT(C70&amp;ROW())),INDIRECT(C70&amp;ROW()))</f>
        <v>55920</v>
      </c>
      <c r="N248">
        <v>55920</v>
      </c>
      <c r="O248" t="s">
        <v>66</v>
      </c>
      <c r="P248" t="s">
        <v>564</v>
      </c>
      <c r="Q248" t="s">
        <v>25</v>
      </c>
      <c r="R248" t="s">
        <v>251</v>
      </c>
      <c r="S248" t="s">
        <v>66</v>
      </c>
      <c r="U248" s="6">
        <v>42163.59784722222</v>
      </c>
      <c r="V248" t="s">
        <v>18</v>
      </c>
      <c r="W248" t="s">
        <v>17</v>
      </c>
      <c r="X248" s="6">
        <v>42025.463854166665</v>
      </c>
      <c r="Y248" t="s">
        <v>124</v>
      </c>
      <c r="AB248" t="s">
        <v>201</v>
      </c>
      <c r="AC248" t="s">
        <v>247</v>
      </c>
      <c r="AD248" t="s">
        <v>220</v>
      </c>
      <c r="AE248" t="s">
        <v>219</v>
      </c>
      <c r="AG248" t="s">
        <v>121</v>
      </c>
      <c r="AH248" t="s">
        <v>327</v>
      </c>
      <c r="AI248" t="s">
        <v>121</v>
      </c>
      <c r="AJ248" t="s">
        <v>716</v>
      </c>
      <c r="AK248" t="s">
        <v>121</v>
      </c>
      <c r="AL248" t="s">
        <v>121</v>
      </c>
      <c r="AM248" t="s">
        <v>121</v>
      </c>
    </row>
    <row r="249" spans="9:39" x14ac:dyDescent="0.3">
      <c r="I249">
        <f ca="1">IF(OR(INDIRECT(A73&amp;ROW())=B93,INDIRECT(A73&amp;ROW())=B94),1,IF(AND(INDIRECT(A73&amp;ROW())=B95,INDIRECT(A96&amp;ROW())=C93),1,IF(AND(INDIRECT(A73&amp;ROW())=B95,INDIRECT(A96&amp;ROW())=C94),1,0)))</f>
        <v>0</v>
      </c>
      <c r="J249">
        <f ca="1">IF(AND(INDIRECT(A73&amp;ROW())=B95,INDIRECT(A96&amp;ROW())=C95),1,IF(AND(INDIRECT(A73&amp;ROW())=B95,INDIRECT(A96&amp;ROW())=C96),1,0))</f>
        <v>1</v>
      </c>
      <c r="K249">
        <f ca="1">DAYS360(INDIRECT(C68&amp;ROW()),TODAY())</f>
        <v>800</v>
      </c>
      <c r="L249">
        <f ca="1">DAYS360(INDIRECT(C69&amp;ROW()),TODAY())</f>
        <v>821</v>
      </c>
      <c r="M249">
        <f ca="1">HYPERLINK(CONCATENATE("https://bugzilla.houston.hp.com:1181/bugzilla/show_bug.cgi?id=",INDIRECT(C70&amp;ROW())),INDIRECT(C70&amp;ROW()))</f>
        <v>55923</v>
      </c>
      <c r="N249">
        <v>55923</v>
      </c>
      <c r="O249" t="s">
        <v>56</v>
      </c>
      <c r="P249" t="s">
        <v>563</v>
      </c>
      <c r="Q249" t="s">
        <v>25</v>
      </c>
      <c r="R249" t="s">
        <v>248</v>
      </c>
      <c r="S249" t="s">
        <v>552</v>
      </c>
      <c r="U249" s="6">
        <v>42047.512106481481</v>
      </c>
      <c r="V249" t="s">
        <v>18</v>
      </c>
      <c r="W249" t="s">
        <v>322</v>
      </c>
      <c r="X249" s="6">
        <v>42025.479351851849</v>
      </c>
      <c r="Y249" t="s">
        <v>124</v>
      </c>
      <c r="AB249" t="s">
        <v>201</v>
      </c>
      <c r="AC249" t="s">
        <v>247</v>
      </c>
      <c r="AD249" t="s">
        <v>220</v>
      </c>
      <c r="AE249" t="s">
        <v>219</v>
      </c>
      <c r="AG249" t="s">
        <v>121</v>
      </c>
      <c r="AH249" t="s">
        <v>327</v>
      </c>
      <c r="AI249" t="s">
        <v>121</v>
      </c>
      <c r="AJ249" t="s">
        <v>716</v>
      </c>
      <c r="AK249" t="s">
        <v>121</v>
      </c>
      <c r="AL249" t="s">
        <v>121</v>
      </c>
      <c r="AM249" t="s">
        <v>121</v>
      </c>
    </row>
    <row r="250" spans="9:39" x14ac:dyDescent="0.3">
      <c r="I250">
        <f ca="1">IF(OR(INDIRECT(A73&amp;ROW())=B93,INDIRECT(A73&amp;ROW())=B94),1,IF(AND(INDIRECT(A73&amp;ROW())=B95,INDIRECT(A96&amp;ROW())=C93),1,IF(AND(INDIRECT(A73&amp;ROW())=B95,INDIRECT(A96&amp;ROW())=C94),1,0)))</f>
        <v>0</v>
      </c>
      <c r="J250">
        <f ca="1">IF(AND(INDIRECT(A73&amp;ROW())=B95,INDIRECT(A96&amp;ROW())=C95),1,IF(AND(INDIRECT(A73&amp;ROW())=B95,INDIRECT(A96&amp;ROW())=C96),1,0))</f>
        <v>1</v>
      </c>
      <c r="K250">
        <f ca="1">DAYS360(INDIRECT(C68&amp;ROW()),TODAY())</f>
        <v>684</v>
      </c>
      <c r="L250">
        <f ca="1">DAYS360(INDIRECT(C69&amp;ROW()),TODAY())</f>
        <v>821</v>
      </c>
      <c r="M250">
        <f ca="1">HYPERLINK(CONCATENATE("https://bugzilla.houston.hp.com:1181/bugzilla/show_bug.cgi?id=",INDIRECT(C70&amp;ROW())),INDIRECT(C70&amp;ROW()))</f>
        <v>55928</v>
      </c>
      <c r="N250">
        <v>55928</v>
      </c>
      <c r="O250" t="s">
        <v>56</v>
      </c>
      <c r="P250" t="s">
        <v>562</v>
      </c>
      <c r="Q250" t="s">
        <v>25</v>
      </c>
      <c r="R250" t="s">
        <v>251</v>
      </c>
      <c r="S250" t="s">
        <v>66</v>
      </c>
      <c r="U250" s="6">
        <v>42163.599583333336</v>
      </c>
      <c r="V250" t="s">
        <v>18</v>
      </c>
      <c r="W250" t="s">
        <v>17</v>
      </c>
      <c r="X250" s="6">
        <v>42025.595729166664</v>
      </c>
      <c r="Y250" t="s">
        <v>122</v>
      </c>
      <c r="AB250" t="s">
        <v>201</v>
      </c>
      <c r="AC250" t="s">
        <v>247</v>
      </c>
      <c r="AD250" t="s">
        <v>220</v>
      </c>
      <c r="AE250" t="s">
        <v>219</v>
      </c>
      <c r="AG250" t="s">
        <v>121</v>
      </c>
      <c r="AH250" t="s">
        <v>327</v>
      </c>
      <c r="AI250" t="s">
        <v>121</v>
      </c>
      <c r="AJ250" t="s">
        <v>716</v>
      </c>
      <c r="AK250" t="s">
        <v>121</v>
      </c>
      <c r="AL250" t="s">
        <v>121</v>
      </c>
      <c r="AM250" t="s">
        <v>121</v>
      </c>
    </row>
    <row r="251" spans="9:39" x14ac:dyDescent="0.3">
      <c r="I251">
        <f ca="1">IF(OR(INDIRECT(A73&amp;ROW())=B93,INDIRECT(A73&amp;ROW())=B94),1,IF(AND(INDIRECT(A73&amp;ROW())=B95,INDIRECT(A96&amp;ROW())=C93),1,IF(AND(INDIRECT(A73&amp;ROW())=B95,INDIRECT(A96&amp;ROW())=C94),1,0)))</f>
        <v>0</v>
      </c>
      <c r="J251">
        <f ca="1">IF(AND(INDIRECT(A73&amp;ROW())=B95,INDIRECT(A96&amp;ROW())=C95),1,IF(AND(INDIRECT(A73&amp;ROW())=B95,INDIRECT(A96&amp;ROW())=C96),1,0))</f>
        <v>1</v>
      </c>
      <c r="K251">
        <f ca="1">DAYS360(INDIRECT(C68&amp;ROW()),TODAY())</f>
        <v>721</v>
      </c>
      <c r="L251">
        <f ca="1">DAYS360(INDIRECT(C69&amp;ROW()),TODAY())</f>
        <v>821</v>
      </c>
      <c r="M251">
        <f ca="1">HYPERLINK(CONCATENATE("https://bugzilla.houston.hp.com:1181/bugzilla/show_bug.cgi?id=",INDIRECT(C70&amp;ROW())),INDIRECT(C70&amp;ROW()))</f>
        <v>55929</v>
      </c>
      <c r="N251">
        <v>55929</v>
      </c>
      <c r="O251" t="s">
        <v>66</v>
      </c>
      <c r="P251" t="s">
        <v>561</v>
      </c>
      <c r="Q251" t="s">
        <v>25</v>
      </c>
      <c r="R251" t="s">
        <v>251</v>
      </c>
      <c r="S251" t="s">
        <v>66</v>
      </c>
      <c r="U251" s="6">
        <v>42125.451828703706</v>
      </c>
      <c r="V251" t="s">
        <v>18</v>
      </c>
      <c r="W251" t="s">
        <v>17</v>
      </c>
      <c r="X251" s="6">
        <v>42025.615925925929</v>
      </c>
      <c r="Y251" t="s">
        <v>122</v>
      </c>
      <c r="AB251" t="s">
        <v>201</v>
      </c>
      <c r="AC251" t="s">
        <v>247</v>
      </c>
      <c r="AD251" t="s">
        <v>220</v>
      </c>
      <c r="AE251" t="s">
        <v>219</v>
      </c>
      <c r="AG251" t="s">
        <v>121</v>
      </c>
      <c r="AH251" t="s">
        <v>327</v>
      </c>
      <c r="AI251" t="s">
        <v>121</v>
      </c>
      <c r="AJ251" t="s">
        <v>716</v>
      </c>
      <c r="AK251" t="s">
        <v>121</v>
      </c>
      <c r="AL251" t="s">
        <v>121</v>
      </c>
      <c r="AM251" t="s">
        <v>121</v>
      </c>
    </row>
    <row r="252" spans="9:39" x14ac:dyDescent="0.3">
      <c r="I252">
        <f ca="1">IF(OR(INDIRECT(A73&amp;ROW())=B93,INDIRECT(A73&amp;ROW())=B94),1,IF(AND(INDIRECT(A73&amp;ROW())=B95,INDIRECT(A96&amp;ROW())=C93),1,IF(AND(INDIRECT(A73&amp;ROW())=B95,INDIRECT(A96&amp;ROW())=C94),1,0)))</f>
        <v>0</v>
      </c>
      <c r="J252">
        <f ca="1">IF(AND(INDIRECT(A73&amp;ROW())=B95,INDIRECT(A96&amp;ROW())=C95),1,IF(AND(INDIRECT(A73&amp;ROW())=B95,INDIRECT(A96&amp;ROW())=C96),1,0))</f>
        <v>1</v>
      </c>
      <c r="K252">
        <f ca="1">DAYS360(INDIRECT(C68&amp;ROW()),TODAY())</f>
        <v>721</v>
      </c>
      <c r="L252">
        <f ca="1">DAYS360(INDIRECT(C69&amp;ROW()),TODAY())</f>
        <v>821</v>
      </c>
      <c r="M252">
        <f ca="1">HYPERLINK(CONCATENATE("https://bugzilla.houston.hp.com:1181/bugzilla/show_bug.cgi?id=",INDIRECT(C70&amp;ROW())),INDIRECT(C70&amp;ROW()))</f>
        <v>55934</v>
      </c>
      <c r="N252">
        <v>55934</v>
      </c>
      <c r="O252" t="s">
        <v>56</v>
      </c>
      <c r="P252" t="s">
        <v>560</v>
      </c>
      <c r="Q252" t="s">
        <v>25</v>
      </c>
      <c r="R252" t="s">
        <v>248</v>
      </c>
      <c r="S252" t="s">
        <v>552</v>
      </c>
      <c r="U252" s="6">
        <v>42125.451736111114</v>
      </c>
      <c r="V252" t="s">
        <v>18</v>
      </c>
      <c r="W252" t="s">
        <v>322</v>
      </c>
      <c r="X252" s="6">
        <v>42025.632627314815</v>
      </c>
      <c r="Y252" t="s">
        <v>122</v>
      </c>
      <c r="AB252" t="s">
        <v>201</v>
      </c>
      <c r="AC252" t="s">
        <v>247</v>
      </c>
      <c r="AD252" t="s">
        <v>220</v>
      </c>
      <c r="AE252" t="s">
        <v>219</v>
      </c>
      <c r="AG252" t="s">
        <v>121</v>
      </c>
      <c r="AH252" t="s">
        <v>327</v>
      </c>
      <c r="AI252" t="s">
        <v>121</v>
      </c>
      <c r="AJ252" t="s">
        <v>716</v>
      </c>
      <c r="AK252" t="s">
        <v>121</v>
      </c>
      <c r="AL252" t="s">
        <v>121</v>
      </c>
      <c r="AM252" t="s">
        <v>121</v>
      </c>
    </row>
    <row r="253" spans="9:39" x14ac:dyDescent="0.3">
      <c r="I253">
        <f ca="1">IF(OR(INDIRECT(A73&amp;ROW())=B93,INDIRECT(A73&amp;ROW())=B94),1,IF(AND(INDIRECT(A73&amp;ROW())=B95,INDIRECT(A96&amp;ROW())=C93),1,IF(AND(INDIRECT(A73&amp;ROW())=B95,INDIRECT(A96&amp;ROW())=C94),1,0)))</f>
        <v>0</v>
      </c>
      <c r="J253">
        <f ca="1">IF(AND(INDIRECT(A73&amp;ROW())=B95,INDIRECT(A96&amp;ROW())=C95),1,IF(AND(INDIRECT(A73&amp;ROW())=B95,INDIRECT(A96&amp;ROW())=C96),1,0))</f>
        <v>1</v>
      </c>
      <c r="K253">
        <f ca="1">DAYS360(INDIRECT(C68&amp;ROW()),TODAY())</f>
        <v>721</v>
      </c>
      <c r="L253">
        <f ca="1">DAYS360(INDIRECT(C69&amp;ROW()),TODAY())</f>
        <v>821</v>
      </c>
      <c r="M253">
        <f ca="1">HYPERLINK(CONCATENATE("https://bugzilla.houston.hp.com:1181/bugzilla/show_bug.cgi?id=",INDIRECT(C70&amp;ROW())),INDIRECT(C70&amp;ROW()))</f>
        <v>55935</v>
      </c>
      <c r="N253">
        <v>55935</v>
      </c>
      <c r="O253" t="s">
        <v>56</v>
      </c>
      <c r="P253" t="s">
        <v>559</v>
      </c>
      <c r="Q253" t="s">
        <v>25</v>
      </c>
      <c r="R253" t="s">
        <v>248</v>
      </c>
      <c r="S253" t="s">
        <v>552</v>
      </c>
      <c r="U253" s="6">
        <v>42125.450902777775</v>
      </c>
      <c r="V253" t="s">
        <v>18</v>
      </c>
      <c r="W253" t="s">
        <v>322</v>
      </c>
      <c r="X253" s="6">
        <v>42025.634236111109</v>
      </c>
      <c r="Y253" t="s">
        <v>122</v>
      </c>
      <c r="AB253" t="s">
        <v>201</v>
      </c>
      <c r="AC253" t="s">
        <v>247</v>
      </c>
      <c r="AD253" t="s">
        <v>220</v>
      </c>
      <c r="AE253" t="s">
        <v>219</v>
      </c>
      <c r="AG253" t="s">
        <v>121</v>
      </c>
      <c r="AH253" t="s">
        <v>327</v>
      </c>
      <c r="AI253" t="s">
        <v>121</v>
      </c>
      <c r="AJ253" t="s">
        <v>716</v>
      </c>
      <c r="AK253" t="s">
        <v>121</v>
      </c>
      <c r="AL253" t="s">
        <v>121</v>
      </c>
      <c r="AM253" t="s">
        <v>121</v>
      </c>
    </row>
    <row r="254" spans="9:39" x14ac:dyDescent="0.3">
      <c r="I254">
        <f ca="1">IF(OR(INDIRECT(A73&amp;ROW())=B93,INDIRECT(A73&amp;ROW())=B94),1,IF(AND(INDIRECT(A73&amp;ROW())=B95,INDIRECT(A96&amp;ROW())=C93),1,IF(AND(INDIRECT(A73&amp;ROW())=B95,INDIRECT(A96&amp;ROW())=C94),1,0)))</f>
        <v>0</v>
      </c>
      <c r="J254">
        <f ca="1">IF(AND(INDIRECT(A73&amp;ROW())=B95,INDIRECT(A96&amp;ROW())=C95),1,IF(AND(INDIRECT(A73&amp;ROW())=B95,INDIRECT(A96&amp;ROW())=C96),1,0))</f>
        <v>1</v>
      </c>
      <c r="K254">
        <f ca="1">DAYS360(INDIRECT(C68&amp;ROW()),TODAY())</f>
        <v>721</v>
      </c>
      <c r="L254">
        <f ca="1">DAYS360(INDIRECT(C69&amp;ROW()),TODAY())</f>
        <v>820</v>
      </c>
      <c r="M254">
        <f ca="1">HYPERLINK(CONCATENATE("https://bugzilla.houston.hp.com:1181/bugzilla/show_bug.cgi?id=",INDIRECT(C70&amp;ROW())),INDIRECT(C70&amp;ROW()))</f>
        <v>55967</v>
      </c>
      <c r="N254">
        <v>55967</v>
      </c>
      <c r="O254" t="s">
        <v>21</v>
      </c>
      <c r="P254" t="s">
        <v>575</v>
      </c>
      <c r="Q254" t="s">
        <v>25</v>
      </c>
      <c r="R254" t="s">
        <v>251</v>
      </c>
      <c r="S254" t="s">
        <v>316</v>
      </c>
      <c r="U254" s="6">
        <v>42125.676608796297</v>
      </c>
      <c r="V254" t="s">
        <v>18</v>
      </c>
      <c r="W254" t="s">
        <v>17</v>
      </c>
      <c r="X254" s="6">
        <v>42026.318402777775</v>
      </c>
      <c r="Y254" t="s">
        <v>255</v>
      </c>
      <c r="AB254" t="s">
        <v>201</v>
      </c>
      <c r="AC254" t="s">
        <v>247</v>
      </c>
      <c r="AD254" t="s">
        <v>222</v>
      </c>
      <c r="AE254" t="s">
        <v>225</v>
      </c>
      <c r="AG254" t="s">
        <v>121</v>
      </c>
      <c r="AH254" t="s">
        <v>327</v>
      </c>
      <c r="AI254" t="s">
        <v>362</v>
      </c>
      <c r="AJ254" t="s">
        <v>716</v>
      </c>
      <c r="AK254" t="s">
        <v>121</v>
      </c>
      <c r="AL254" t="s">
        <v>121</v>
      </c>
      <c r="AM254" t="s">
        <v>121</v>
      </c>
    </row>
    <row r="255" spans="9:39" x14ac:dyDescent="0.3">
      <c r="I255">
        <f ca="1">IF(OR(INDIRECT(A73&amp;ROW())=B93,INDIRECT(A73&amp;ROW())=B94),1,IF(AND(INDIRECT(A73&amp;ROW())=B95,INDIRECT(A96&amp;ROW())=C93),1,IF(AND(INDIRECT(A73&amp;ROW())=B95,INDIRECT(A96&amp;ROW())=C94),1,0)))</f>
        <v>0</v>
      </c>
      <c r="J255">
        <f ca="1">IF(AND(INDIRECT(A73&amp;ROW())=B95,INDIRECT(A96&amp;ROW())=C95),1,IF(AND(INDIRECT(A73&amp;ROW())=B95,INDIRECT(A96&amp;ROW())=C96),1,0))</f>
        <v>1</v>
      </c>
      <c r="K255">
        <f ca="1">DAYS360(INDIRECT(C68&amp;ROW()),TODAY())</f>
        <v>721</v>
      </c>
      <c r="L255">
        <f ca="1">DAYS360(INDIRECT(C69&amp;ROW()),TODAY())</f>
        <v>820</v>
      </c>
      <c r="M255">
        <f ca="1">HYPERLINK(CONCATENATE("https://bugzilla.houston.hp.com:1181/bugzilla/show_bug.cgi?id=",INDIRECT(C70&amp;ROW())),INDIRECT(C70&amp;ROW()))</f>
        <v>55968</v>
      </c>
      <c r="N255">
        <v>55968</v>
      </c>
      <c r="O255" t="s">
        <v>21</v>
      </c>
      <c r="P255" t="s">
        <v>574</v>
      </c>
      <c r="Q255" t="s">
        <v>25</v>
      </c>
      <c r="R255" t="s">
        <v>251</v>
      </c>
      <c r="S255" t="s">
        <v>316</v>
      </c>
      <c r="U255" s="6">
        <v>42125.677905092591</v>
      </c>
      <c r="V255" t="s">
        <v>18</v>
      </c>
      <c r="W255" t="s">
        <v>17</v>
      </c>
      <c r="X255" s="6">
        <v>42026.333229166667</v>
      </c>
      <c r="Y255" t="s">
        <v>255</v>
      </c>
      <c r="AB255" t="s">
        <v>201</v>
      </c>
      <c r="AC255" t="s">
        <v>247</v>
      </c>
      <c r="AD255" t="s">
        <v>222</v>
      </c>
      <c r="AE255" t="s">
        <v>240</v>
      </c>
      <c r="AG255" t="s">
        <v>121</v>
      </c>
      <c r="AH255" t="s">
        <v>327</v>
      </c>
      <c r="AI255" t="s">
        <v>121</v>
      </c>
      <c r="AJ255" t="s">
        <v>716</v>
      </c>
      <c r="AK255" t="s">
        <v>121</v>
      </c>
      <c r="AL255" t="s">
        <v>121</v>
      </c>
      <c r="AM255" t="s">
        <v>121</v>
      </c>
    </row>
    <row r="256" spans="9:39" x14ac:dyDescent="0.3">
      <c r="I256">
        <f ca="1">IF(OR(INDIRECT(A73&amp;ROW())=B93,INDIRECT(A73&amp;ROW())=B94),1,IF(AND(INDIRECT(A73&amp;ROW())=B95,INDIRECT(A96&amp;ROW())=C93),1,IF(AND(INDIRECT(A73&amp;ROW())=B95,INDIRECT(A96&amp;ROW())=C94),1,0)))</f>
        <v>0</v>
      </c>
      <c r="J256">
        <f ca="1">IF(AND(INDIRECT(A73&amp;ROW())=B95,INDIRECT(A96&amp;ROW())=C95),1,IF(AND(INDIRECT(A73&amp;ROW())=B95,INDIRECT(A96&amp;ROW())=C96),1,0))</f>
        <v>1</v>
      </c>
      <c r="K256">
        <f ca="1">DAYS360(INDIRECT(C68&amp;ROW()),TODAY())</f>
        <v>721</v>
      </c>
      <c r="L256">
        <f ca="1">DAYS360(INDIRECT(C69&amp;ROW()),TODAY())</f>
        <v>820</v>
      </c>
      <c r="M256">
        <f ca="1">HYPERLINK(CONCATENATE("https://bugzilla.houston.hp.com:1181/bugzilla/show_bug.cgi?id=",INDIRECT(C70&amp;ROW())),INDIRECT(C70&amp;ROW()))</f>
        <v>55971</v>
      </c>
      <c r="N256">
        <v>55971</v>
      </c>
      <c r="O256" t="s">
        <v>56</v>
      </c>
      <c r="P256" t="s">
        <v>570</v>
      </c>
      <c r="Q256" t="s">
        <v>25</v>
      </c>
      <c r="R256" t="s">
        <v>251</v>
      </c>
      <c r="S256" t="s">
        <v>66</v>
      </c>
      <c r="U256" s="6">
        <v>42125.45171296296</v>
      </c>
      <c r="V256" t="s">
        <v>18</v>
      </c>
      <c r="W256" t="s">
        <v>17</v>
      </c>
      <c r="X256" s="6">
        <v>42026.434212962966</v>
      </c>
      <c r="Y256" t="s">
        <v>122</v>
      </c>
      <c r="AB256" t="s">
        <v>201</v>
      </c>
      <c r="AC256" t="s">
        <v>247</v>
      </c>
      <c r="AD256" t="s">
        <v>220</v>
      </c>
      <c r="AE256" t="s">
        <v>219</v>
      </c>
      <c r="AG256" t="s">
        <v>121</v>
      </c>
      <c r="AH256" t="s">
        <v>327</v>
      </c>
      <c r="AI256" t="s">
        <v>121</v>
      </c>
      <c r="AJ256" t="s">
        <v>716</v>
      </c>
      <c r="AK256" t="s">
        <v>121</v>
      </c>
      <c r="AL256" t="s">
        <v>121</v>
      </c>
      <c r="AM256" t="s">
        <v>121</v>
      </c>
    </row>
    <row r="257" spans="9:39" x14ac:dyDescent="0.3">
      <c r="I257">
        <f ca="1">IF(OR(INDIRECT(A73&amp;ROW())=B93,INDIRECT(A73&amp;ROW())=B94),1,IF(AND(INDIRECT(A73&amp;ROW())=B95,INDIRECT(A96&amp;ROW())=C93),1,IF(AND(INDIRECT(A73&amp;ROW())=B95,INDIRECT(A96&amp;ROW())=C94),1,0)))</f>
        <v>0</v>
      </c>
      <c r="J257">
        <f ca="1">IF(AND(INDIRECT(A73&amp;ROW())=B95,INDIRECT(A96&amp;ROW())=C95),1,IF(AND(INDIRECT(A73&amp;ROW())=B95,INDIRECT(A96&amp;ROW())=C96),1,0))</f>
        <v>1</v>
      </c>
      <c r="K257">
        <f ca="1">DAYS360(INDIRECT(C68&amp;ROW()),TODAY())</f>
        <v>684</v>
      </c>
      <c r="L257">
        <f ca="1">DAYS360(INDIRECT(C69&amp;ROW()),TODAY())</f>
        <v>820</v>
      </c>
      <c r="M257">
        <f ca="1">HYPERLINK(CONCATENATE("https://bugzilla.houston.hp.com:1181/bugzilla/show_bug.cgi?id=",INDIRECT(C70&amp;ROW())),INDIRECT(C70&amp;ROW()))</f>
        <v>55972</v>
      </c>
      <c r="N257">
        <v>55972</v>
      </c>
      <c r="O257" t="s">
        <v>56</v>
      </c>
      <c r="P257" t="s">
        <v>609</v>
      </c>
      <c r="Q257" t="s">
        <v>25</v>
      </c>
      <c r="R257" t="s">
        <v>251</v>
      </c>
      <c r="S257" t="s">
        <v>66</v>
      </c>
      <c r="U257" s="6">
        <v>42163.606608796297</v>
      </c>
      <c r="V257" t="s">
        <v>18</v>
      </c>
      <c r="W257" t="s">
        <v>17</v>
      </c>
      <c r="X257" s="6">
        <v>42026.457569444443</v>
      </c>
      <c r="Y257" t="s">
        <v>122</v>
      </c>
      <c r="AB257" t="s">
        <v>201</v>
      </c>
      <c r="AC257" t="s">
        <v>247</v>
      </c>
      <c r="AD257" t="s">
        <v>220</v>
      </c>
      <c r="AE257" t="s">
        <v>219</v>
      </c>
      <c r="AG257" t="s">
        <v>121</v>
      </c>
      <c r="AH257" t="s">
        <v>327</v>
      </c>
      <c r="AI257" t="s">
        <v>121</v>
      </c>
      <c r="AJ257" t="s">
        <v>716</v>
      </c>
      <c r="AK257" t="s">
        <v>121</v>
      </c>
      <c r="AL257" t="s">
        <v>121</v>
      </c>
      <c r="AM257" t="s">
        <v>121</v>
      </c>
    </row>
    <row r="258" spans="9:39" x14ac:dyDescent="0.3">
      <c r="I258">
        <f ca="1">IF(OR(INDIRECT(A73&amp;ROW())=B93,INDIRECT(A73&amp;ROW())=B94),1,IF(AND(INDIRECT(A73&amp;ROW())=B95,INDIRECT(A96&amp;ROW())=C93),1,IF(AND(INDIRECT(A73&amp;ROW())=B95,INDIRECT(A96&amp;ROW())=C94),1,0)))</f>
        <v>0</v>
      </c>
      <c r="J258">
        <f ca="1">IF(AND(INDIRECT(A73&amp;ROW())=B95,INDIRECT(A96&amp;ROW())=C95),1,IF(AND(INDIRECT(A73&amp;ROW())=B95,INDIRECT(A96&amp;ROW())=C96),1,0))</f>
        <v>1</v>
      </c>
      <c r="K258">
        <f ca="1">DAYS360(INDIRECT(C68&amp;ROW()),TODAY())</f>
        <v>721</v>
      </c>
      <c r="L258">
        <f ca="1">DAYS360(INDIRECT(C69&amp;ROW()),TODAY())</f>
        <v>820</v>
      </c>
      <c r="M258">
        <f ca="1">HYPERLINK(CONCATENATE("https://bugzilla.houston.hp.com:1181/bugzilla/show_bug.cgi?id=",INDIRECT(C70&amp;ROW())),INDIRECT(C70&amp;ROW()))</f>
        <v>55976</v>
      </c>
      <c r="N258">
        <v>55976</v>
      </c>
      <c r="O258" t="s">
        <v>56</v>
      </c>
      <c r="P258" t="s">
        <v>569</v>
      </c>
      <c r="Q258" t="s">
        <v>25</v>
      </c>
      <c r="R258" t="s">
        <v>248</v>
      </c>
      <c r="S258" t="s">
        <v>552</v>
      </c>
      <c r="U258" s="6">
        <v>42125.451678240737</v>
      </c>
      <c r="V258" t="s">
        <v>18</v>
      </c>
      <c r="W258" t="s">
        <v>322</v>
      </c>
      <c r="X258" s="6">
        <v>42026.495092592595</v>
      </c>
      <c r="Y258" t="s">
        <v>122</v>
      </c>
      <c r="AB258" t="s">
        <v>201</v>
      </c>
      <c r="AC258" t="s">
        <v>247</v>
      </c>
      <c r="AD258" t="s">
        <v>220</v>
      </c>
      <c r="AE258" t="s">
        <v>219</v>
      </c>
      <c r="AG258" t="s">
        <v>121</v>
      </c>
      <c r="AH258" t="s">
        <v>327</v>
      </c>
      <c r="AI258" t="s">
        <v>121</v>
      </c>
      <c r="AJ258" t="s">
        <v>716</v>
      </c>
      <c r="AK258" t="s">
        <v>121</v>
      </c>
      <c r="AL258" t="s">
        <v>121</v>
      </c>
      <c r="AM258" t="s">
        <v>121</v>
      </c>
    </row>
    <row r="259" spans="9:39" x14ac:dyDescent="0.3">
      <c r="I259">
        <f ca="1">IF(OR(INDIRECT(A73&amp;ROW())=B93,INDIRECT(A73&amp;ROW())=B94),1,IF(AND(INDIRECT(A73&amp;ROW())=B95,INDIRECT(A96&amp;ROW())=C93),1,IF(AND(INDIRECT(A73&amp;ROW())=B95,INDIRECT(A96&amp;ROW())=C94),1,0)))</f>
        <v>0</v>
      </c>
      <c r="J259">
        <f ca="1">IF(AND(INDIRECT(A73&amp;ROW())=B95,INDIRECT(A96&amp;ROW())=C95),1,IF(AND(INDIRECT(A73&amp;ROW())=B95,INDIRECT(A96&amp;ROW())=C96),1,0))</f>
        <v>1</v>
      </c>
      <c r="K259">
        <f ca="1">DAYS360(INDIRECT(C68&amp;ROW()),TODAY())</f>
        <v>721</v>
      </c>
      <c r="L259">
        <f ca="1">DAYS360(INDIRECT(C69&amp;ROW()),TODAY())</f>
        <v>820</v>
      </c>
      <c r="M259">
        <f ca="1">HYPERLINK(CONCATENATE("https://bugzilla.houston.hp.com:1181/bugzilla/show_bug.cgi?id=",INDIRECT(C70&amp;ROW())),INDIRECT(C70&amp;ROW()))</f>
        <v>55978</v>
      </c>
      <c r="N259">
        <v>55978</v>
      </c>
      <c r="O259" t="s">
        <v>56</v>
      </c>
      <c r="P259" t="s">
        <v>568</v>
      </c>
      <c r="Q259" t="s">
        <v>25</v>
      </c>
      <c r="R259" t="s">
        <v>251</v>
      </c>
      <c r="S259" t="s">
        <v>66</v>
      </c>
      <c r="U259" s="6">
        <v>42125.451793981483</v>
      </c>
      <c r="V259" t="s">
        <v>18</v>
      </c>
      <c r="W259" t="s">
        <v>17</v>
      </c>
      <c r="X259" s="6">
        <v>42026.602916666663</v>
      </c>
      <c r="Y259" t="s">
        <v>122</v>
      </c>
      <c r="AB259" t="s">
        <v>201</v>
      </c>
      <c r="AC259" t="s">
        <v>247</v>
      </c>
      <c r="AD259" t="s">
        <v>220</v>
      </c>
      <c r="AE259" t="s">
        <v>219</v>
      </c>
      <c r="AG259" t="s">
        <v>121</v>
      </c>
      <c r="AH259" t="s">
        <v>327</v>
      </c>
      <c r="AI259" t="s">
        <v>121</v>
      </c>
      <c r="AJ259" t="s">
        <v>716</v>
      </c>
      <c r="AK259" t="s">
        <v>121</v>
      </c>
      <c r="AL259" t="s">
        <v>121</v>
      </c>
      <c r="AM259" t="s">
        <v>121</v>
      </c>
    </row>
    <row r="260" spans="9:39" x14ac:dyDescent="0.3">
      <c r="I260">
        <f ca="1">IF(OR(INDIRECT(A73&amp;ROW())=B93,INDIRECT(A73&amp;ROW())=B94),1,IF(AND(INDIRECT(A73&amp;ROW())=B95,INDIRECT(A96&amp;ROW())=C93),1,IF(AND(INDIRECT(A73&amp;ROW())=B95,INDIRECT(A96&amp;ROW())=C94),1,0)))</f>
        <v>0</v>
      </c>
      <c r="J260">
        <f ca="1">IF(AND(INDIRECT(A73&amp;ROW())=B95,INDIRECT(A96&amp;ROW())=C95),1,IF(AND(INDIRECT(A73&amp;ROW())=B95,INDIRECT(A96&amp;ROW())=C96),1,0))</f>
        <v>1</v>
      </c>
      <c r="K260">
        <f ca="1">DAYS360(INDIRECT(C68&amp;ROW()),TODAY())</f>
        <v>721</v>
      </c>
      <c r="L260">
        <f ca="1">DAYS360(INDIRECT(C69&amp;ROW()),TODAY())</f>
        <v>819</v>
      </c>
      <c r="M260">
        <f ca="1">HYPERLINK(CONCATENATE("https://bugzilla.houston.hp.com:1181/bugzilla/show_bug.cgi?id=",INDIRECT(C70&amp;ROW())),INDIRECT(C70&amp;ROW()))</f>
        <v>56013</v>
      </c>
      <c r="N260">
        <v>56013</v>
      </c>
      <c r="O260" t="s">
        <v>56</v>
      </c>
      <c r="P260" t="s">
        <v>567</v>
      </c>
      <c r="Q260" t="s">
        <v>25</v>
      </c>
      <c r="R260" t="s">
        <v>248</v>
      </c>
      <c r="S260" t="s">
        <v>552</v>
      </c>
      <c r="U260" s="6">
        <v>42125.451886574076</v>
      </c>
      <c r="V260" t="s">
        <v>18</v>
      </c>
      <c r="W260" t="s">
        <v>322</v>
      </c>
      <c r="X260" s="6">
        <v>42027.410879629628</v>
      </c>
      <c r="Y260" t="s">
        <v>122</v>
      </c>
      <c r="AB260" t="s">
        <v>201</v>
      </c>
      <c r="AC260" t="s">
        <v>247</v>
      </c>
      <c r="AD260" t="s">
        <v>220</v>
      </c>
      <c r="AE260" t="s">
        <v>219</v>
      </c>
      <c r="AG260" t="s">
        <v>121</v>
      </c>
      <c r="AH260" t="s">
        <v>327</v>
      </c>
      <c r="AI260" t="s">
        <v>121</v>
      </c>
      <c r="AJ260" t="s">
        <v>716</v>
      </c>
      <c r="AK260" t="s">
        <v>121</v>
      </c>
      <c r="AL260" t="s">
        <v>121</v>
      </c>
      <c r="AM260" t="s">
        <v>121</v>
      </c>
    </row>
    <row r="261" spans="9:39" x14ac:dyDescent="0.3">
      <c r="I261">
        <f ca="1">IF(OR(INDIRECT(A73&amp;ROW())=B93,INDIRECT(A73&amp;ROW())=B94),1,IF(AND(INDIRECT(A73&amp;ROW())=B95,INDIRECT(A96&amp;ROW())=C93),1,IF(AND(INDIRECT(A73&amp;ROW())=B95,INDIRECT(A96&amp;ROW())=C94),1,0)))</f>
        <v>0</v>
      </c>
      <c r="J261">
        <f ca="1">IF(AND(INDIRECT(A73&amp;ROW())=B95,INDIRECT(A96&amp;ROW())=C95),1,IF(AND(INDIRECT(A73&amp;ROW())=B95,INDIRECT(A96&amp;ROW())=C96),1,0))</f>
        <v>1</v>
      </c>
      <c r="K261">
        <f ca="1">DAYS360(INDIRECT(C68&amp;ROW()),TODAY())</f>
        <v>721</v>
      </c>
      <c r="L261">
        <f ca="1">DAYS360(INDIRECT(C69&amp;ROW()),TODAY())</f>
        <v>819</v>
      </c>
      <c r="M261">
        <f ca="1">HYPERLINK(CONCATENATE("https://bugzilla.houston.hp.com:1181/bugzilla/show_bug.cgi?id=",INDIRECT(C70&amp;ROW())),INDIRECT(C70&amp;ROW()))</f>
        <v>56028</v>
      </c>
      <c r="N261">
        <v>56028</v>
      </c>
      <c r="O261" t="s">
        <v>21</v>
      </c>
      <c r="P261" t="s">
        <v>573</v>
      </c>
      <c r="Q261" t="s">
        <v>25</v>
      </c>
      <c r="R261" t="s">
        <v>248</v>
      </c>
      <c r="S261" t="s">
        <v>552</v>
      </c>
      <c r="U261" s="6">
        <v>42125.676585648151</v>
      </c>
      <c r="V261" t="s">
        <v>18</v>
      </c>
      <c r="W261" t="s">
        <v>531</v>
      </c>
      <c r="X261" s="6">
        <v>42027.631597222222</v>
      </c>
      <c r="Y261" t="s">
        <v>255</v>
      </c>
      <c r="AB261" t="s">
        <v>201</v>
      </c>
      <c r="AC261" t="s">
        <v>247</v>
      </c>
      <c r="AD261" t="s">
        <v>222</v>
      </c>
      <c r="AE261" t="s">
        <v>225</v>
      </c>
      <c r="AG261" t="s">
        <v>121</v>
      </c>
      <c r="AH261" t="s">
        <v>327</v>
      </c>
      <c r="AI261" t="s">
        <v>362</v>
      </c>
      <c r="AJ261" t="s">
        <v>716</v>
      </c>
      <c r="AK261" t="s">
        <v>121</v>
      </c>
      <c r="AL261" t="s">
        <v>121</v>
      </c>
      <c r="AM261" t="s">
        <v>121</v>
      </c>
    </row>
    <row r="262" spans="9:39" x14ac:dyDescent="0.3">
      <c r="I262">
        <f ca="1">IF(OR(INDIRECT(A73&amp;ROW())=B93,INDIRECT(A73&amp;ROW())=B94),1,IF(AND(INDIRECT(A73&amp;ROW())=B95,INDIRECT(A96&amp;ROW())=C93),1,IF(AND(INDIRECT(A73&amp;ROW())=B95,INDIRECT(A96&amp;ROW())=C94),1,0)))</f>
        <v>0</v>
      </c>
      <c r="J262">
        <f ca="1">IF(AND(INDIRECT(A73&amp;ROW())=B95,INDIRECT(A96&amp;ROW())=C95),1,IF(AND(INDIRECT(A73&amp;ROW())=B95,INDIRECT(A96&amp;ROW())=C96),1,0))</f>
        <v>1</v>
      </c>
      <c r="K262">
        <f ca="1">DAYS360(INDIRECT(C68&amp;ROW()),TODAY())</f>
        <v>721</v>
      </c>
      <c r="L262">
        <f ca="1">DAYS360(INDIRECT(C69&amp;ROW()),TODAY())</f>
        <v>819</v>
      </c>
      <c r="M262">
        <f ca="1">HYPERLINK(CONCATENATE("https://bugzilla.houston.hp.com:1181/bugzilla/show_bug.cgi?id=",INDIRECT(C70&amp;ROW())),INDIRECT(C70&amp;ROW()))</f>
        <v>56029</v>
      </c>
      <c r="N262">
        <v>56029</v>
      </c>
      <c r="O262" t="s">
        <v>21</v>
      </c>
      <c r="P262" t="s">
        <v>572</v>
      </c>
      <c r="Q262" t="s">
        <v>25</v>
      </c>
      <c r="R262" t="s">
        <v>248</v>
      </c>
      <c r="S262" t="s">
        <v>552</v>
      </c>
      <c r="U262" s="6">
        <v>42125.677881944444</v>
      </c>
      <c r="V262" t="s">
        <v>18</v>
      </c>
      <c r="W262" t="s">
        <v>531</v>
      </c>
      <c r="X262" s="6">
        <v>42027.633900462963</v>
      </c>
      <c r="Y262" t="s">
        <v>255</v>
      </c>
      <c r="AB262" t="s">
        <v>201</v>
      </c>
      <c r="AC262" t="s">
        <v>247</v>
      </c>
      <c r="AD262" t="s">
        <v>222</v>
      </c>
      <c r="AE262" t="s">
        <v>240</v>
      </c>
      <c r="AG262" t="s">
        <v>121</v>
      </c>
      <c r="AH262" t="s">
        <v>327</v>
      </c>
      <c r="AI262" t="s">
        <v>121</v>
      </c>
      <c r="AJ262" t="s">
        <v>716</v>
      </c>
      <c r="AK262" t="s">
        <v>121</v>
      </c>
      <c r="AL262" t="s">
        <v>121</v>
      </c>
      <c r="AM262" t="s">
        <v>121</v>
      </c>
    </row>
    <row r="263" spans="9:39" x14ac:dyDescent="0.3">
      <c r="I263">
        <f ca="1">IF(OR(INDIRECT(A73&amp;ROW())=B93,INDIRECT(A73&amp;ROW())=B94),1,IF(AND(INDIRECT(A73&amp;ROW())=B95,INDIRECT(A96&amp;ROW())=C93),1,IF(AND(INDIRECT(A73&amp;ROW())=B95,INDIRECT(A96&amp;ROW())=C94),1,0)))</f>
        <v>0</v>
      </c>
      <c r="J263">
        <f ca="1">IF(AND(INDIRECT(A73&amp;ROW())=B95,INDIRECT(A96&amp;ROW())=C95),1,IF(AND(INDIRECT(A73&amp;ROW())=B95,INDIRECT(A96&amp;ROW())=C96),1,0))</f>
        <v>1</v>
      </c>
      <c r="K263">
        <f ca="1">DAYS360(INDIRECT(C68&amp;ROW()),TODAY())</f>
        <v>730</v>
      </c>
      <c r="L263">
        <f ca="1">DAYS360(INDIRECT(C69&amp;ROW()),TODAY())</f>
        <v>819</v>
      </c>
      <c r="M263">
        <f ca="1">HYPERLINK(CONCATENATE("https://bugzilla.houston.hp.com:1181/bugzilla/show_bug.cgi?id=",INDIRECT(C70&amp;ROW())),INDIRECT(C70&amp;ROW()))</f>
        <v>56033</v>
      </c>
      <c r="N263">
        <v>56033</v>
      </c>
      <c r="O263" t="s">
        <v>56</v>
      </c>
      <c r="P263" t="s">
        <v>585</v>
      </c>
      <c r="Q263" t="s">
        <v>25</v>
      </c>
      <c r="R263" t="s">
        <v>251</v>
      </c>
      <c r="S263" t="s">
        <v>66</v>
      </c>
      <c r="U263" s="6">
        <v>42116.735208333332</v>
      </c>
      <c r="V263" t="s">
        <v>18</v>
      </c>
      <c r="W263" t="s">
        <v>17</v>
      </c>
      <c r="X263" s="6">
        <v>42027.722395833334</v>
      </c>
      <c r="Y263" t="s">
        <v>124</v>
      </c>
      <c r="AB263" t="s">
        <v>201</v>
      </c>
      <c r="AC263" t="s">
        <v>247</v>
      </c>
      <c r="AD263" t="s">
        <v>220</v>
      </c>
      <c r="AE263" t="s">
        <v>219</v>
      </c>
      <c r="AG263" t="s">
        <v>121</v>
      </c>
      <c r="AH263" t="s">
        <v>327</v>
      </c>
      <c r="AI263" t="s">
        <v>121</v>
      </c>
      <c r="AJ263" t="s">
        <v>716</v>
      </c>
      <c r="AK263" t="s">
        <v>121</v>
      </c>
      <c r="AL263" t="s">
        <v>121</v>
      </c>
      <c r="AM263" t="s">
        <v>121</v>
      </c>
    </row>
    <row r="264" spans="9:39" x14ac:dyDescent="0.3">
      <c r="I264">
        <f ca="1">IF(OR(INDIRECT(A73&amp;ROW())=B93,INDIRECT(A73&amp;ROW())=B94),1,IF(AND(INDIRECT(A73&amp;ROW())=B95,INDIRECT(A96&amp;ROW())=C93),1,IF(AND(INDIRECT(A73&amp;ROW())=B95,INDIRECT(A96&amp;ROW())=C94),1,0)))</f>
        <v>0</v>
      </c>
      <c r="J264">
        <f ca="1">IF(AND(INDIRECT(A73&amp;ROW())=B95,INDIRECT(A96&amp;ROW())=C95),1,IF(AND(INDIRECT(A73&amp;ROW())=B95,INDIRECT(A96&amp;ROW())=C96),1,0))</f>
        <v>1</v>
      </c>
      <c r="K264">
        <f ca="1">DAYS360(INDIRECT(C68&amp;ROW()),TODAY())</f>
        <v>816</v>
      </c>
      <c r="L264">
        <f ca="1">DAYS360(INDIRECT(C69&amp;ROW()),TODAY())</f>
        <v>816</v>
      </c>
      <c r="M264">
        <f ca="1">HYPERLINK(CONCATENATE("https://bugzilla.houston.hp.com:1181/bugzilla/show_bug.cgi?id=",INDIRECT(C70&amp;ROW())),INDIRECT(C70&amp;ROW()))</f>
        <v>56045</v>
      </c>
      <c r="N264">
        <v>56045</v>
      </c>
      <c r="O264" t="s">
        <v>56</v>
      </c>
      <c r="P264" t="s">
        <v>571</v>
      </c>
      <c r="Q264" t="s">
        <v>25</v>
      </c>
      <c r="R264" t="s">
        <v>248</v>
      </c>
      <c r="S264" t="s">
        <v>552</v>
      </c>
      <c r="U264" s="6">
        <v>42030.326377314814</v>
      </c>
      <c r="V264" t="s">
        <v>18</v>
      </c>
      <c r="W264" t="s">
        <v>205</v>
      </c>
      <c r="X264" s="6">
        <v>42030.325902777775</v>
      </c>
      <c r="Y264" t="s">
        <v>124</v>
      </c>
      <c r="AB264" t="s">
        <v>201</v>
      </c>
      <c r="AC264" t="s">
        <v>247</v>
      </c>
      <c r="AD264" t="s">
        <v>220</v>
      </c>
      <c r="AE264" t="s">
        <v>219</v>
      </c>
      <c r="AG264" t="s">
        <v>121</v>
      </c>
      <c r="AH264" t="s">
        <v>327</v>
      </c>
      <c r="AI264" t="s">
        <v>121</v>
      </c>
      <c r="AJ264" t="s">
        <v>716</v>
      </c>
      <c r="AK264" t="s">
        <v>121</v>
      </c>
      <c r="AL264" t="s">
        <v>121</v>
      </c>
      <c r="AM264" t="s">
        <v>121</v>
      </c>
    </row>
    <row r="265" spans="9:39" x14ac:dyDescent="0.3">
      <c r="I265">
        <f ca="1">IF(OR(INDIRECT(A73&amp;ROW())=B93,INDIRECT(A73&amp;ROW())=B94),1,IF(AND(INDIRECT(A73&amp;ROW())=B95,INDIRECT(A96&amp;ROW())=C93),1,IF(AND(INDIRECT(A73&amp;ROW())=B95,INDIRECT(A96&amp;ROW())=C94),1,0)))</f>
        <v>0</v>
      </c>
      <c r="J265">
        <f ca="1">IF(AND(INDIRECT(A73&amp;ROW())=B95,INDIRECT(A96&amp;ROW())=C95),1,IF(AND(INDIRECT(A73&amp;ROW())=B95,INDIRECT(A96&amp;ROW())=C96),1,0))</f>
        <v>1</v>
      </c>
      <c r="K265">
        <f ca="1">DAYS360(INDIRECT(C68&amp;ROW()),TODAY())</f>
        <v>684</v>
      </c>
      <c r="L265">
        <f ca="1">DAYS360(INDIRECT(C69&amp;ROW()),TODAY())</f>
        <v>816</v>
      </c>
      <c r="M265">
        <f ca="1">HYPERLINK(CONCATENATE("https://bugzilla.houston.hp.com:1181/bugzilla/show_bug.cgi?id=",INDIRECT(C70&amp;ROW())),INDIRECT(C70&amp;ROW()))</f>
        <v>56053</v>
      </c>
      <c r="N265">
        <v>56053</v>
      </c>
      <c r="O265" t="s">
        <v>56</v>
      </c>
      <c r="P265" t="s">
        <v>584</v>
      </c>
      <c r="Q265" t="s">
        <v>25</v>
      </c>
      <c r="R265" t="s">
        <v>251</v>
      </c>
      <c r="S265" t="s">
        <v>66</v>
      </c>
      <c r="U265" s="6">
        <v>42163.602731481478</v>
      </c>
      <c r="V265" t="s">
        <v>18</v>
      </c>
      <c r="W265" t="s">
        <v>17</v>
      </c>
      <c r="X265" s="6">
        <v>42030.454444444447</v>
      </c>
      <c r="Y265" t="s">
        <v>122</v>
      </c>
      <c r="AB265" t="s">
        <v>201</v>
      </c>
      <c r="AC265" t="s">
        <v>247</v>
      </c>
      <c r="AD265" t="s">
        <v>220</v>
      </c>
      <c r="AE265" t="s">
        <v>219</v>
      </c>
      <c r="AG265" t="s">
        <v>121</v>
      </c>
      <c r="AH265" t="s">
        <v>327</v>
      </c>
      <c r="AI265" t="s">
        <v>121</v>
      </c>
      <c r="AJ265" t="s">
        <v>716</v>
      </c>
      <c r="AK265" t="s">
        <v>121</v>
      </c>
      <c r="AL265" t="s">
        <v>121</v>
      </c>
      <c r="AM265" t="s">
        <v>121</v>
      </c>
    </row>
    <row r="266" spans="9:39" x14ac:dyDescent="0.3">
      <c r="I266">
        <f ca="1">IF(OR(INDIRECT(A73&amp;ROW())=B93,INDIRECT(A73&amp;ROW())=B94),1,IF(AND(INDIRECT(A73&amp;ROW())=B95,INDIRECT(A96&amp;ROW())=C93),1,IF(AND(INDIRECT(A73&amp;ROW())=B95,INDIRECT(A96&amp;ROW())=C94),1,0)))</f>
        <v>0</v>
      </c>
      <c r="J266">
        <f ca="1">IF(AND(INDIRECT(A73&amp;ROW())=B95,INDIRECT(A96&amp;ROW())=C95),1,IF(AND(INDIRECT(A73&amp;ROW())=B95,INDIRECT(A96&amp;ROW())=C96),1,0))</f>
        <v>1</v>
      </c>
      <c r="K266">
        <f ca="1">DAYS360(INDIRECT(C68&amp;ROW()),TODAY())</f>
        <v>721</v>
      </c>
      <c r="L266">
        <f ca="1">DAYS360(INDIRECT(C69&amp;ROW()),TODAY())</f>
        <v>816</v>
      </c>
      <c r="M266">
        <f ca="1">HYPERLINK(CONCATENATE("https://bugzilla.houston.hp.com:1181/bugzilla/show_bug.cgi?id=",INDIRECT(C70&amp;ROW())),INDIRECT(C70&amp;ROW()))</f>
        <v>56057</v>
      </c>
      <c r="N266">
        <v>56057</v>
      </c>
      <c r="O266" t="s">
        <v>56</v>
      </c>
      <c r="P266" t="s">
        <v>583</v>
      </c>
      <c r="Q266" t="s">
        <v>25</v>
      </c>
      <c r="R266" t="s">
        <v>248</v>
      </c>
      <c r="S266" t="s">
        <v>552</v>
      </c>
      <c r="U266" s="6">
        <v>42125.452974537038</v>
      </c>
      <c r="V266" t="s">
        <v>18</v>
      </c>
      <c r="W266" t="s">
        <v>322</v>
      </c>
      <c r="X266" s="6">
        <v>42030.48777777778</v>
      </c>
      <c r="Y266" t="s">
        <v>122</v>
      </c>
      <c r="AB266" t="s">
        <v>201</v>
      </c>
      <c r="AC266" t="s">
        <v>247</v>
      </c>
      <c r="AD266" t="s">
        <v>220</v>
      </c>
      <c r="AE266" t="s">
        <v>219</v>
      </c>
      <c r="AG266" t="s">
        <v>121</v>
      </c>
      <c r="AH266" t="s">
        <v>327</v>
      </c>
      <c r="AI266" t="s">
        <v>121</v>
      </c>
      <c r="AJ266" t="s">
        <v>716</v>
      </c>
      <c r="AK266" t="s">
        <v>121</v>
      </c>
      <c r="AL266" t="s">
        <v>121</v>
      </c>
      <c r="AM266" t="s">
        <v>121</v>
      </c>
    </row>
    <row r="267" spans="9:39" x14ac:dyDescent="0.3">
      <c r="I267">
        <f ca="1">IF(OR(INDIRECT(A73&amp;ROW())=B93,INDIRECT(A73&amp;ROW())=B94),1,IF(AND(INDIRECT(A73&amp;ROW())=B95,INDIRECT(A96&amp;ROW())=C93),1,IF(AND(INDIRECT(A73&amp;ROW())=B95,INDIRECT(A96&amp;ROW())=C94),1,0)))</f>
        <v>0</v>
      </c>
      <c r="J267">
        <f ca="1">IF(AND(INDIRECT(A73&amp;ROW())=B95,INDIRECT(A96&amp;ROW())=C95),1,IF(AND(INDIRECT(A73&amp;ROW())=B95,INDIRECT(A96&amp;ROW())=C96),1,0))</f>
        <v>1</v>
      </c>
      <c r="K267">
        <f ca="1">DAYS360(INDIRECT(C68&amp;ROW()),TODAY())</f>
        <v>684</v>
      </c>
      <c r="L267">
        <f ca="1">DAYS360(INDIRECT(C69&amp;ROW()),TODAY())</f>
        <v>816</v>
      </c>
      <c r="M267">
        <f ca="1">HYPERLINK(CONCATENATE("https://bugzilla.houston.hp.com:1181/bugzilla/show_bug.cgi?id=",INDIRECT(C70&amp;ROW())),INDIRECT(C70&amp;ROW()))</f>
        <v>56067</v>
      </c>
      <c r="N267">
        <v>56067</v>
      </c>
      <c r="O267" t="s">
        <v>56</v>
      </c>
      <c r="P267" t="s">
        <v>582</v>
      </c>
      <c r="Q267" t="s">
        <v>25</v>
      </c>
      <c r="R267" t="s">
        <v>251</v>
      </c>
      <c r="S267" t="s">
        <v>66</v>
      </c>
      <c r="U267" s="6">
        <v>42163.605011574073</v>
      </c>
      <c r="V267" t="s">
        <v>18</v>
      </c>
      <c r="W267" t="s">
        <v>17</v>
      </c>
      <c r="X267" s="6">
        <v>42030.65353009259</v>
      </c>
      <c r="Y267" t="s">
        <v>122</v>
      </c>
      <c r="AB267" t="s">
        <v>201</v>
      </c>
      <c r="AC267" t="s">
        <v>247</v>
      </c>
      <c r="AD267" t="s">
        <v>220</v>
      </c>
      <c r="AE267" t="s">
        <v>219</v>
      </c>
      <c r="AG267" t="s">
        <v>121</v>
      </c>
      <c r="AH267" t="s">
        <v>327</v>
      </c>
      <c r="AI267" t="s">
        <v>121</v>
      </c>
      <c r="AJ267" t="s">
        <v>716</v>
      </c>
      <c r="AK267" t="s">
        <v>121</v>
      </c>
      <c r="AL267" t="s">
        <v>121</v>
      </c>
      <c r="AM267" t="s">
        <v>121</v>
      </c>
    </row>
    <row r="268" spans="9:39" x14ac:dyDescent="0.3">
      <c r="I268">
        <f ca="1">IF(OR(INDIRECT(A73&amp;ROW())=B93,INDIRECT(A73&amp;ROW())=B94),1,IF(AND(INDIRECT(A73&amp;ROW())=B95,INDIRECT(A96&amp;ROW())=C93),1,IF(AND(INDIRECT(A73&amp;ROW())=B95,INDIRECT(A96&amp;ROW())=C94),1,0)))</f>
        <v>0</v>
      </c>
      <c r="J268">
        <f ca="1">IF(AND(INDIRECT(A73&amp;ROW())=B95,INDIRECT(A96&amp;ROW())=C95),1,IF(AND(INDIRECT(A73&amp;ROW())=B95,INDIRECT(A96&amp;ROW())=C96),1,0))</f>
        <v>1</v>
      </c>
      <c r="K268">
        <f ca="1">DAYS360(INDIRECT(C68&amp;ROW()),TODAY())</f>
        <v>721</v>
      </c>
      <c r="L268">
        <f ca="1">DAYS360(INDIRECT(C69&amp;ROW()),TODAY())</f>
        <v>816</v>
      </c>
      <c r="M268">
        <f ca="1">HYPERLINK(CONCATENATE("https://bugzilla.houston.hp.com:1181/bugzilla/show_bug.cgi?id=",INDIRECT(C70&amp;ROW())),INDIRECT(C70&amp;ROW()))</f>
        <v>56070</v>
      </c>
      <c r="N268">
        <v>56070</v>
      </c>
      <c r="O268" t="s">
        <v>56</v>
      </c>
      <c r="P268" t="s">
        <v>581</v>
      </c>
      <c r="Q268" t="s">
        <v>25</v>
      </c>
      <c r="R268" t="s">
        <v>248</v>
      </c>
      <c r="S268" t="s">
        <v>552</v>
      </c>
      <c r="U268" s="6">
        <v>42125.452928240738</v>
      </c>
      <c r="V268" t="s">
        <v>18</v>
      </c>
      <c r="W268" t="s">
        <v>322</v>
      </c>
      <c r="X268" s="6">
        <v>42030.662905092591</v>
      </c>
      <c r="Y268" t="s">
        <v>122</v>
      </c>
      <c r="AB268" t="s">
        <v>201</v>
      </c>
      <c r="AC268" t="s">
        <v>247</v>
      </c>
      <c r="AD268" t="s">
        <v>220</v>
      </c>
      <c r="AE268" t="s">
        <v>219</v>
      </c>
      <c r="AG268" t="s">
        <v>121</v>
      </c>
      <c r="AH268" t="s">
        <v>327</v>
      </c>
      <c r="AI268" t="s">
        <v>121</v>
      </c>
      <c r="AJ268" t="s">
        <v>716</v>
      </c>
      <c r="AK268" t="s">
        <v>121</v>
      </c>
      <c r="AL268" t="s">
        <v>121</v>
      </c>
      <c r="AM268" t="s">
        <v>121</v>
      </c>
    </row>
    <row r="269" spans="9:39" x14ac:dyDescent="0.3">
      <c r="I269">
        <f ca="1">IF(OR(INDIRECT(A73&amp;ROW())=B93,INDIRECT(A73&amp;ROW())=B94),1,IF(AND(INDIRECT(A73&amp;ROW())=B95,INDIRECT(A96&amp;ROW())=C93),1,IF(AND(INDIRECT(A73&amp;ROW())=B95,INDIRECT(A96&amp;ROW())=C94),1,0)))</f>
        <v>0</v>
      </c>
      <c r="J269">
        <f ca="1">IF(AND(INDIRECT(A73&amp;ROW())=B95,INDIRECT(A96&amp;ROW())=C95),1,IF(AND(INDIRECT(A73&amp;ROW())=B95,INDIRECT(A96&amp;ROW())=C96),1,0))</f>
        <v>0</v>
      </c>
      <c r="K269">
        <f ca="1">DAYS360(INDIRECT(C68&amp;ROW()),TODAY())</f>
        <v>613</v>
      </c>
      <c r="L269">
        <f ca="1">DAYS360(INDIRECT(C69&amp;ROW()),TODAY())</f>
        <v>810</v>
      </c>
      <c r="M269">
        <f ca="1">HYPERLINK(CONCATENATE("https://bugzilla.houston.hp.com:1181/bugzilla/show_bug.cgi?id=",INDIRECT(C70&amp;ROW())),INDIRECT(C70&amp;ROW()))</f>
        <v>56385</v>
      </c>
      <c r="N269">
        <v>56385</v>
      </c>
      <c r="O269" t="s">
        <v>22</v>
      </c>
      <c r="P269" t="s">
        <v>578</v>
      </c>
      <c r="Q269" t="s">
        <v>16</v>
      </c>
      <c r="R269" t="s">
        <v>251</v>
      </c>
      <c r="S269" t="s">
        <v>43</v>
      </c>
      <c r="T269" t="s">
        <v>794</v>
      </c>
      <c r="U269" s="6">
        <v>42235.536805555559</v>
      </c>
      <c r="V269" t="s">
        <v>18</v>
      </c>
      <c r="W269" t="s">
        <v>17</v>
      </c>
      <c r="X269" s="6">
        <v>42037.399351851855</v>
      </c>
      <c r="Y269" t="s">
        <v>122</v>
      </c>
      <c r="AB269" t="s">
        <v>201</v>
      </c>
      <c r="AC269" t="s">
        <v>247</v>
      </c>
      <c r="AD269" t="s">
        <v>222</v>
      </c>
      <c r="AE269" t="s">
        <v>240</v>
      </c>
      <c r="AG269" t="s">
        <v>121</v>
      </c>
      <c r="AH269" t="s">
        <v>327</v>
      </c>
      <c r="AI269" t="s">
        <v>121</v>
      </c>
      <c r="AJ269" t="s">
        <v>717</v>
      </c>
      <c r="AK269" t="s">
        <v>121</v>
      </c>
      <c r="AL269" t="s">
        <v>121</v>
      </c>
      <c r="AM269" t="s">
        <v>121</v>
      </c>
    </row>
    <row r="270" spans="9:39" x14ac:dyDescent="0.3">
      <c r="I270">
        <f ca="1">IF(OR(INDIRECT(A73&amp;ROW())=B93,INDIRECT(A73&amp;ROW())=B94),1,IF(AND(INDIRECT(A73&amp;ROW())=B95,INDIRECT(A96&amp;ROW())=C93),1,IF(AND(INDIRECT(A73&amp;ROW())=B95,INDIRECT(A96&amp;ROW())=C94),1,0)))</f>
        <v>0</v>
      </c>
      <c r="J270">
        <f ca="1">IF(AND(INDIRECT(A73&amp;ROW())=B95,INDIRECT(A96&amp;ROW())=C95),1,IF(AND(INDIRECT(A73&amp;ROW())=B95,INDIRECT(A96&amp;ROW())=C96),1,0))</f>
        <v>1</v>
      </c>
      <c r="K270">
        <f ca="1">DAYS360(INDIRECT(C68&amp;ROW()),TODAY())</f>
        <v>730</v>
      </c>
      <c r="L270">
        <f ca="1">DAYS360(INDIRECT(C69&amp;ROW()),TODAY())</f>
        <v>810</v>
      </c>
      <c r="M270">
        <f ca="1">HYPERLINK(CONCATENATE("https://bugzilla.houston.hp.com:1181/bugzilla/show_bug.cgi?id=",INDIRECT(C70&amp;ROW())),INDIRECT(C70&amp;ROW()))</f>
        <v>56388</v>
      </c>
      <c r="N270">
        <v>56388</v>
      </c>
      <c r="O270" t="s">
        <v>56</v>
      </c>
      <c r="P270" t="s">
        <v>596</v>
      </c>
      <c r="Q270" t="s">
        <v>25</v>
      </c>
      <c r="R270" t="s">
        <v>251</v>
      </c>
      <c r="S270" t="s">
        <v>66</v>
      </c>
      <c r="U270" s="6">
        <v>42116.735567129632</v>
      </c>
      <c r="V270" t="s">
        <v>18</v>
      </c>
      <c r="W270" t="s">
        <v>17</v>
      </c>
      <c r="X270" s="6">
        <v>42037.476793981485</v>
      </c>
      <c r="Y270" t="s">
        <v>788</v>
      </c>
      <c r="AB270" t="s">
        <v>201</v>
      </c>
      <c r="AC270" t="s">
        <v>247</v>
      </c>
      <c r="AD270" t="s">
        <v>220</v>
      </c>
      <c r="AE270" t="s">
        <v>219</v>
      </c>
      <c r="AG270" t="s">
        <v>121</v>
      </c>
      <c r="AH270" t="s">
        <v>327</v>
      </c>
      <c r="AI270" t="s">
        <v>121</v>
      </c>
      <c r="AJ270" t="s">
        <v>716</v>
      </c>
      <c r="AK270" t="s">
        <v>121</v>
      </c>
      <c r="AL270" t="s">
        <v>121</v>
      </c>
      <c r="AM270" t="s">
        <v>121</v>
      </c>
    </row>
    <row r="271" spans="9:39" x14ac:dyDescent="0.3">
      <c r="I271">
        <f ca="1">IF(OR(INDIRECT(A73&amp;ROW())=B93,INDIRECT(A73&amp;ROW())=B94),1,IF(AND(INDIRECT(A73&amp;ROW())=B95,INDIRECT(A96&amp;ROW())=C93),1,IF(AND(INDIRECT(A73&amp;ROW())=B95,INDIRECT(A96&amp;ROW())=C94),1,0)))</f>
        <v>0</v>
      </c>
      <c r="J271">
        <f ca="1">IF(AND(INDIRECT(A73&amp;ROW())=B95,INDIRECT(A96&amp;ROW())=C95),1,IF(AND(INDIRECT(A73&amp;ROW())=B95,INDIRECT(A96&amp;ROW())=C96),1,0))</f>
        <v>1</v>
      </c>
      <c r="K271">
        <f ca="1">DAYS360(INDIRECT(C68&amp;ROW()),TODAY())</f>
        <v>662</v>
      </c>
      <c r="L271">
        <f ca="1">DAYS360(INDIRECT(C69&amp;ROW()),TODAY())</f>
        <v>809</v>
      </c>
      <c r="M271">
        <f ca="1">HYPERLINK(CONCATENATE("https://bugzilla.houston.hp.com:1181/bugzilla/show_bug.cgi?id=",INDIRECT(C70&amp;ROW())),INDIRECT(C70&amp;ROW()))</f>
        <v>56425</v>
      </c>
      <c r="N271">
        <v>56425</v>
      </c>
      <c r="O271" t="s">
        <v>56</v>
      </c>
      <c r="P271" t="s">
        <v>595</v>
      </c>
      <c r="Q271" t="s">
        <v>25</v>
      </c>
      <c r="R271" t="s">
        <v>251</v>
      </c>
      <c r="S271" t="s">
        <v>66</v>
      </c>
      <c r="U271" s="6">
        <v>42185.335729166669</v>
      </c>
      <c r="V271" t="s">
        <v>18</v>
      </c>
      <c r="W271" t="s">
        <v>17</v>
      </c>
      <c r="X271" s="6">
        <v>42038.452962962961</v>
      </c>
      <c r="Y271" t="s">
        <v>788</v>
      </c>
      <c r="AB271" t="s">
        <v>201</v>
      </c>
      <c r="AC271" t="s">
        <v>247</v>
      </c>
      <c r="AD271" t="s">
        <v>220</v>
      </c>
      <c r="AE271" t="s">
        <v>219</v>
      </c>
      <c r="AG271" t="s">
        <v>121</v>
      </c>
      <c r="AH271" t="s">
        <v>327</v>
      </c>
      <c r="AI271" t="s">
        <v>121</v>
      </c>
      <c r="AJ271" t="s">
        <v>716</v>
      </c>
      <c r="AK271" t="s">
        <v>121</v>
      </c>
      <c r="AL271" t="s">
        <v>121</v>
      </c>
      <c r="AM271" t="s">
        <v>121</v>
      </c>
    </row>
    <row r="272" spans="9:39" x14ac:dyDescent="0.3">
      <c r="I272">
        <f ca="1">IF(OR(INDIRECT(A73&amp;ROW())=B93,INDIRECT(A73&amp;ROW())=B94),1,IF(AND(INDIRECT(A73&amp;ROW())=B95,INDIRECT(A96&amp;ROW())=C93),1,IF(AND(INDIRECT(A73&amp;ROW())=B95,INDIRECT(A96&amp;ROW())=C94),1,0)))</f>
        <v>0</v>
      </c>
      <c r="J272">
        <f ca="1">IF(AND(INDIRECT(A73&amp;ROW())=B95,INDIRECT(A96&amp;ROW())=C95),1,IF(AND(INDIRECT(A73&amp;ROW())=B95,INDIRECT(A96&amp;ROW())=C96),1,0))</f>
        <v>1</v>
      </c>
      <c r="K272">
        <f ca="1">DAYS360(INDIRECT(C68&amp;ROW()),TODAY())</f>
        <v>809</v>
      </c>
      <c r="L272">
        <f ca="1">DAYS360(INDIRECT(C69&amp;ROW()),TODAY())</f>
        <v>809</v>
      </c>
      <c r="M272">
        <f ca="1">HYPERLINK(CONCATENATE("https://bugzilla.houston.hp.com:1181/bugzilla/show_bug.cgi?id=",INDIRECT(C70&amp;ROW())),INDIRECT(C70&amp;ROW()))</f>
        <v>56427</v>
      </c>
      <c r="N272">
        <v>56427</v>
      </c>
      <c r="O272" t="s">
        <v>56</v>
      </c>
      <c r="P272" t="s">
        <v>1387</v>
      </c>
      <c r="Q272" t="s">
        <v>25</v>
      </c>
      <c r="R272" t="s">
        <v>1351</v>
      </c>
      <c r="S272" t="s">
        <v>552</v>
      </c>
      <c r="U272" s="6">
        <v>42038.517650462964</v>
      </c>
      <c r="V272" t="s">
        <v>18</v>
      </c>
      <c r="W272" t="s">
        <v>17</v>
      </c>
      <c r="X272" s="6">
        <v>42038.480844907404</v>
      </c>
      <c r="Y272" t="s">
        <v>788</v>
      </c>
      <c r="AB272" t="s">
        <v>201</v>
      </c>
      <c r="AC272" t="s">
        <v>247</v>
      </c>
      <c r="AD272" t="s">
        <v>222</v>
      </c>
      <c r="AE272" t="s">
        <v>233</v>
      </c>
      <c r="AG272" t="s">
        <v>121</v>
      </c>
      <c r="AH272" t="s">
        <v>327</v>
      </c>
      <c r="AI272" t="s">
        <v>121</v>
      </c>
      <c r="AJ272" t="s">
        <v>716</v>
      </c>
      <c r="AK272" t="s">
        <v>121</v>
      </c>
      <c r="AL272" t="s">
        <v>121</v>
      </c>
      <c r="AM272" t="s">
        <v>121</v>
      </c>
    </row>
    <row r="273" spans="9:39" x14ac:dyDescent="0.3">
      <c r="I273">
        <f ca="1">IF(OR(INDIRECT(A73&amp;ROW())=B93,INDIRECT(A73&amp;ROW())=B94),1,IF(AND(INDIRECT(A73&amp;ROW())=B95,INDIRECT(A96&amp;ROW())=C93),1,IF(AND(INDIRECT(A73&amp;ROW())=B95,INDIRECT(A96&amp;ROW())=C94),1,0)))</f>
        <v>0</v>
      </c>
      <c r="J273">
        <f ca="1">IF(AND(INDIRECT(A73&amp;ROW())=B95,INDIRECT(A96&amp;ROW())=C95),1,IF(AND(INDIRECT(A73&amp;ROW())=B95,INDIRECT(A96&amp;ROW())=C96),1,0))</f>
        <v>1</v>
      </c>
      <c r="K273">
        <f ca="1">DAYS360(INDIRECT(C68&amp;ROW()),TODAY())</f>
        <v>638</v>
      </c>
      <c r="L273">
        <f ca="1">DAYS360(INDIRECT(C69&amp;ROW()),TODAY())</f>
        <v>809</v>
      </c>
      <c r="M273">
        <f ca="1">HYPERLINK(CONCATENATE("https://bugzilla.houston.hp.com:1181/bugzilla/show_bug.cgi?id=",INDIRECT(C70&amp;ROW())),INDIRECT(C70&amp;ROW()))</f>
        <v>56433</v>
      </c>
      <c r="N273">
        <v>56433</v>
      </c>
      <c r="O273" t="s">
        <v>56</v>
      </c>
      <c r="P273" t="s">
        <v>1388</v>
      </c>
      <c r="Q273" t="s">
        <v>25</v>
      </c>
      <c r="R273" t="s">
        <v>1389</v>
      </c>
      <c r="S273" t="s">
        <v>552</v>
      </c>
      <c r="U273" s="6">
        <v>42209.26971064815</v>
      </c>
      <c r="V273" t="s">
        <v>18</v>
      </c>
      <c r="W273" t="s">
        <v>17</v>
      </c>
      <c r="X273" s="6">
        <v>42038.489120370374</v>
      </c>
      <c r="Y273" t="s">
        <v>788</v>
      </c>
      <c r="AB273" t="s">
        <v>201</v>
      </c>
      <c r="AC273" t="s">
        <v>247</v>
      </c>
      <c r="AD273" t="s">
        <v>222</v>
      </c>
      <c r="AE273" t="s">
        <v>233</v>
      </c>
      <c r="AG273" t="s">
        <v>121</v>
      </c>
      <c r="AH273" t="s">
        <v>327</v>
      </c>
      <c r="AI273" t="s">
        <v>121</v>
      </c>
      <c r="AJ273" t="s">
        <v>716</v>
      </c>
      <c r="AK273" t="s">
        <v>121</v>
      </c>
      <c r="AL273" t="s">
        <v>121</v>
      </c>
      <c r="AM273" t="s">
        <v>121</v>
      </c>
    </row>
    <row r="274" spans="9:39" x14ac:dyDescent="0.3">
      <c r="I274">
        <f ca="1">IF(OR(INDIRECT(A73&amp;ROW())=B93,INDIRECT(A73&amp;ROW())=B94),1,IF(AND(INDIRECT(A73&amp;ROW())=B95,INDIRECT(A96&amp;ROW())=C93),1,IF(AND(INDIRECT(A73&amp;ROW())=B95,INDIRECT(A96&amp;ROW())=C94),1,0)))</f>
        <v>0</v>
      </c>
      <c r="J274">
        <f ca="1">IF(AND(INDIRECT(A73&amp;ROW())=B95,INDIRECT(A96&amp;ROW())=C95),1,IF(AND(INDIRECT(A73&amp;ROW())=B95,INDIRECT(A96&amp;ROW())=C96),1,0))</f>
        <v>1</v>
      </c>
      <c r="K274">
        <f ca="1">DAYS360(INDIRECT(C68&amp;ROW()),TODAY())</f>
        <v>809</v>
      </c>
      <c r="L274">
        <f ca="1">DAYS360(INDIRECT(C69&amp;ROW()),TODAY())</f>
        <v>809</v>
      </c>
      <c r="M274">
        <f ca="1">HYPERLINK(CONCATENATE("https://bugzilla.houston.hp.com:1181/bugzilla/show_bug.cgi?id=",INDIRECT(C70&amp;ROW())),INDIRECT(C70&amp;ROW()))</f>
        <v>56437</v>
      </c>
      <c r="N274">
        <v>56437</v>
      </c>
      <c r="O274" t="s">
        <v>36</v>
      </c>
      <c r="P274" t="s">
        <v>1390</v>
      </c>
      <c r="Q274" t="s">
        <v>25</v>
      </c>
      <c r="R274" t="s">
        <v>1351</v>
      </c>
      <c r="S274" t="s">
        <v>552</v>
      </c>
      <c r="U274" s="6">
        <v>42038.493402777778</v>
      </c>
      <c r="V274" t="s">
        <v>18</v>
      </c>
      <c r="W274" t="s">
        <v>17</v>
      </c>
      <c r="X274" s="6">
        <v>42038.492986111109</v>
      </c>
      <c r="Y274" t="s">
        <v>788</v>
      </c>
      <c r="AB274" t="s">
        <v>201</v>
      </c>
      <c r="AC274" t="s">
        <v>247</v>
      </c>
      <c r="AD274" t="s">
        <v>222</v>
      </c>
      <c r="AE274" t="s">
        <v>240</v>
      </c>
      <c r="AG274" t="s">
        <v>121</v>
      </c>
      <c r="AH274" t="s">
        <v>327</v>
      </c>
      <c r="AI274" t="s">
        <v>121</v>
      </c>
      <c r="AJ274" t="s">
        <v>716</v>
      </c>
      <c r="AK274" t="s">
        <v>121</v>
      </c>
      <c r="AL274" t="s">
        <v>121</v>
      </c>
      <c r="AM274" t="s">
        <v>121</v>
      </c>
    </row>
    <row r="275" spans="9:39" x14ac:dyDescent="0.3">
      <c r="I275">
        <f ca="1">IF(OR(INDIRECT(A73&amp;ROW())=B93,INDIRECT(A73&amp;ROW())=B94),1,IF(AND(INDIRECT(A73&amp;ROW())=B95,INDIRECT(A96&amp;ROW())=C93),1,IF(AND(INDIRECT(A73&amp;ROW())=B95,INDIRECT(A96&amp;ROW())=C94),1,0)))</f>
        <v>0</v>
      </c>
      <c r="J275">
        <f ca="1">IF(AND(INDIRECT(A73&amp;ROW())=B95,INDIRECT(A96&amp;ROW())=C95),1,IF(AND(INDIRECT(A73&amp;ROW())=B95,INDIRECT(A96&amp;ROW())=C96),1,0))</f>
        <v>1</v>
      </c>
      <c r="K275">
        <f ca="1">DAYS360(INDIRECT(C68&amp;ROW()),TODAY())</f>
        <v>638</v>
      </c>
      <c r="L275">
        <f ca="1">DAYS360(INDIRECT(C69&amp;ROW()),TODAY())</f>
        <v>809</v>
      </c>
      <c r="M275">
        <f ca="1">HYPERLINK(CONCATENATE("https://bugzilla.houston.hp.com:1181/bugzilla/show_bug.cgi?id=",INDIRECT(C70&amp;ROW())),INDIRECT(C70&amp;ROW()))</f>
        <v>56439</v>
      </c>
      <c r="N275">
        <v>56439</v>
      </c>
      <c r="O275" t="s">
        <v>36</v>
      </c>
      <c r="P275" t="s">
        <v>1391</v>
      </c>
      <c r="Q275" t="s">
        <v>25</v>
      </c>
      <c r="R275" t="s">
        <v>1389</v>
      </c>
      <c r="S275" t="s">
        <v>552</v>
      </c>
      <c r="U275" s="6">
        <v>42209.269618055558</v>
      </c>
      <c r="V275" t="s">
        <v>18</v>
      </c>
      <c r="W275" t="s">
        <v>17</v>
      </c>
      <c r="X275" s="6">
        <v>42038.493981481479</v>
      </c>
      <c r="Y275" t="s">
        <v>788</v>
      </c>
      <c r="AB275" t="s">
        <v>201</v>
      </c>
      <c r="AC275" t="s">
        <v>247</v>
      </c>
      <c r="AD275" t="s">
        <v>222</v>
      </c>
      <c r="AE275" t="s">
        <v>240</v>
      </c>
      <c r="AG275" t="s">
        <v>121</v>
      </c>
      <c r="AH275" t="s">
        <v>327</v>
      </c>
      <c r="AI275" t="s">
        <v>121</v>
      </c>
      <c r="AJ275" t="s">
        <v>716</v>
      </c>
      <c r="AK275" t="s">
        <v>121</v>
      </c>
      <c r="AL275" t="s">
        <v>121</v>
      </c>
      <c r="AM275" t="s">
        <v>121</v>
      </c>
    </row>
    <row r="276" spans="9:39" x14ac:dyDescent="0.3">
      <c r="I276">
        <f ca="1">IF(OR(INDIRECT(A73&amp;ROW())=B93,INDIRECT(A73&amp;ROW())=B94),1,IF(AND(INDIRECT(A73&amp;ROW())=B95,INDIRECT(A96&amp;ROW())=C93),1,IF(AND(INDIRECT(A73&amp;ROW())=B95,INDIRECT(A96&amp;ROW())=C94),1,0)))</f>
        <v>0</v>
      </c>
      <c r="J276">
        <f ca="1">IF(AND(INDIRECT(A73&amp;ROW())=B95,INDIRECT(A96&amp;ROW())=C95),1,IF(AND(INDIRECT(A73&amp;ROW())=B95,INDIRECT(A96&amp;ROW())=C96),1,0))</f>
        <v>1</v>
      </c>
      <c r="K276">
        <f ca="1">DAYS360(INDIRECT(C68&amp;ROW()),TODAY())</f>
        <v>799</v>
      </c>
      <c r="L276">
        <f ca="1">DAYS360(INDIRECT(C69&amp;ROW()),TODAY())</f>
        <v>809</v>
      </c>
      <c r="M276">
        <f ca="1">HYPERLINK(CONCATENATE("https://bugzilla.houston.hp.com:1181/bugzilla/show_bug.cgi?id=",INDIRECT(C70&amp;ROW())),INDIRECT(C70&amp;ROW()))</f>
        <v>56440</v>
      </c>
      <c r="N276">
        <v>56440</v>
      </c>
      <c r="O276" t="s">
        <v>36</v>
      </c>
      <c r="P276" t="s">
        <v>594</v>
      </c>
      <c r="Q276" t="s">
        <v>25</v>
      </c>
      <c r="R276" t="s">
        <v>579</v>
      </c>
      <c r="S276" t="s">
        <v>552</v>
      </c>
      <c r="T276" t="s">
        <v>610</v>
      </c>
      <c r="U276" s="6">
        <v>42048.014004629629</v>
      </c>
      <c r="V276" t="s">
        <v>18</v>
      </c>
      <c r="W276" t="s">
        <v>17</v>
      </c>
      <c r="X276" s="6">
        <v>42038.495104166665</v>
      </c>
      <c r="Y276" t="s">
        <v>788</v>
      </c>
      <c r="AB276" t="s">
        <v>201</v>
      </c>
      <c r="AC276" t="s">
        <v>247</v>
      </c>
      <c r="AD276" t="s">
        <v>222</v>
      </c>
      <c r="AE276" t="s">
        <v>240</v>
      </c>
      <c r="AG276" t="s">
        <v>121</v>
      </c>
      <c r="AH276" t="s">
        <v>327</v>
      </c>
      <c r="AI276" t="s">
        <v>121</v>
      </c>
      <c r="AJ276" t="s">
        <v>716</v>
      </c>
      <c r="AK276" t="s">
        <v>121</v>
      </c>
      <c r="AL276" t="s">
        <v>121</v>
      </c>
      <c r="AM276" t="s">
        <v>121</v>
      </c>
    </row>
    <row r="277" spans="9:39" x14ac:dyDescent="0.3">
      <c r="I277">
        <f ca="1">IF(OR(INDIRECT(A73&amp;ROW())=B93,INDIRECT(A73&amp;ROW())=B94),1,IF(AND(INDIRECT(A73&amp;ROW())=B95,INDIRECT(A96&amp;ROW())=C93),1,IF(AND(INDIRECT(A73&amp;ROW())=B95,INDIRECT(A96&amp;ROW())=C94),1,0)))</f>
        <v>0</v>
      </c>
      <c r="J277">
        <f ca="1">IF(AND(INDIRECT(A73&amp;ROW())=B95,INDIRECT(A96&amp;ROW())=C95),1,IF(AND(INDIRECT(A73&amp;ROW())=B95,INDIRECT(A96&amp;ROW())=C96),1,0))</f>
        <v>1</v>
      </c>
      <c r="K277">
        <f ca="1">DAYS360(INDIRECT(C68&amp;ROW()),TODAY())</f>
        <v>800</v>
      </c>
      <c r="L277">
        <f ca="1">DAYS360(INDIRECT(C69&amp;ROW()),TODAY())</f>
        <v>809</v>
      </c>
      <c r="M277">
        <f ca="1">HYPERLINK(CONCATENATE("https://bugzilla.houston.hp.com:1181/bugzilla/show_bug.cgi?id=",INDIRECT(C70&amp;ROW())),INDIRECT(C70&amp;ROW()))</f>
        <v>56441</v>
      </c>
      <c r="N277">
        <v>56441</v>
      </c>
      <c r="O277" t="s">
        <v>36</v>
      </c>
      <c r="P277" t="s">
        <v>593</v>
      </c>
      <c r="Q277" t="s">
        <v>25</v>
      </c>
      <c r="R277" t="s">
        <v>579</v>
      </c>
      <c r="S277" t="s">
        <v>552</v>
      </c>
      <c r="T277" t="s">
        <v>610</v>
      </c>
      <c r="U277" s="6">
        <v>42047.994803240741</v>
      </c>
      <c r="V277" t="s">
        <v>18</v>
      </c>
      <c r="W277" t="s">
        <v>17</v>
      </c>
      <c r="X277" s="6">
        <v>42038.496180555558</v>
      </c>
      <c r="Y277" t="s">
        <v>788</v>
      </c>
      <c r="AB277" t="s">
        <v>201</v>
      </c>
      <c r="AC277" t="s">
        <v>247</v>
      </c>
      <c r="AD277" t="s">
        <v>222</v>
      </c>
      <c r="AE277" t="s">
        <v>240</v>
      </c>
      <c r="AG277" t="s">
        <v>121</v>
      </c>
      <c r="AH277" t="s">
        <v>327</v>
      </c>
      <c r="AI277" t="s">
        <v>121</v>
      </c>
      <c r="AJ277" t="s">
        <v>716</v>
      </c>
      <c r="AK277" t="s">
        <v>121</v>
      </c>
      <c r="AL277" t="s">
        <v>121</v>
      </c>
      <c r="AM277" t="s">
        <v>121</v>
      </c>
    </row>
    <row r="278" spans="9:39" x14ac:dyDescent="0.3">
      <c r="I278">
        <f ca="1">IF(OR(INDIRECT(A73&amp;ROW())=B93,INDIRECT(A73&amp;ROW())=B94),1,IF(AND(INDIRECT(A73&amp;ROW())=B95,INDIRECT(A96&amp;ROW())=C93),1,IF(AND(INDIRECT(A73&amp;ROW())=B95,INDIRECT(A96&amp;ROW())=C94),1,0)))</f>
        <v>0</v>
      </c>
      <c r="J278">
        <f ca="1">IF(AND(INDIRECT(A73&amp;ROW())=B95,INDIRECT(A96&amp;ROW())=C95),1,IF(AND(INDIRECT(A73&amp;ROW())=B95,INDIRECT(A96&amp;ROW())=C96),1,0))</f>
        <v>1</v>
      </c>
      <c r="K278">
        <f ca="1">DAYS360(INDIRECT(C68&amp;ROW()),TODAY())</f>
        <v>809</v>
      </c>
      <c r="L278">
        <f ca="1">DAYS360(INDIRECT(C69&amp;ROW()),TODAY())</f>
        <v>809</v>
      </c>
      <c r="M278">
        <f ca="1">HYPERLINK(CONCATENATE("https://bugzilla.houston.hp.com:1181/bugzilla/show_bug.cgi?id=",INDIRECT(C70&amp;ROW())),INDIRECT(C70&amp;ROW()))</f>
        <v>56442</v>
      </c>
      <c r="N278">
        <v>56442</v>
      </c>
      <c r="O278" t="s">
        <v>36</v>
      </c>
      <c r="P278" t="s">
        <v>592</v>
      </c>
      <c r="Q278" t="s">
        <v>25</v>
      </c>
      <c r="R278" t="s">
        <v>248</v>
      </c>
      <c r="S278" t="s">
        <v>552</v>
      </c>
      <c r="U278" s="6">
        <v>42038.497789351852</v>
      </c>
      <c r="V278" t="s">
        <v>18</v>
      </c>
      <c r="W278" t="s">
        <v>17</v>
      </c>
      <c r="X278" s="6">
        <v>42038.497395833336</v>
      </c>
      <c r="Y278" t="s">
        <v>788</v>
      </c>
      <c r="AB278" t="s">
        <v>201</v>
      </c>
      <c r="AC278" t="s">
        <v>247</v>
      </c>
      <c r="AD278" t="s">
        <v>222</v>
      </c>
      <c r="AE278" t="s">
        <v>240</v>
      </c>
      <c r="AG278" t="s">
        <v>121</v>
      </c>
      <c r="AH278" t="s">
        <v>327</v>
      </c>
      <c r="AI278" t="s">
        <v>121</v>
      </c>
      <c r="AJ278" t="s">
        <v>716</v>
      </c>
      <c r="AK278" t="s">
        <v>121</v>
      </c>
      <c r="AL278" t="s">
        <v>121</v>
      </c>
      <c r="AM278" t="s">
        <v>121</v>
      </c>
    </row>
    <row r="279" spans="9:39" x14ac:dyDescent="0.3">
      <c r="I279">
        <f ca="1">IF(OR(INDIRECT(A73&amp;ROW())=B93,INDIRECT(A73&amp;ROW())=B94),1,IF(AND(INDIRECT(A73&amp;ROW())=B95,INDIRECT(A96&amp;ROW())=C93),1,IF(AND(INDIRECT(A73&amp;ROW())=B95,INDIRECT(A96&amp;ROW())=C94),1,0)))</f>
        <v>0</v>
      </c>
      <c r="J279">
        <f ca="1">IF(AND(INDIRECT(A73&amp;ROW())=B95,INDIRECT(A96&amp;ROW())=C95),1,IF(AND(INDIRECT(A73&amp;ROW())=B95,INDIRECT(A96&amp;ROW())=C96),1,0))</f>
        <v>1</v>
      </c>
      <c r="K279">
        <f ca="1">DAYS360(INDIRECT(C68&amp;ROW()),TODAY())</f>
        <v>809</v>
      </c>
      <c r="L279">
        <f ca="1">DAYS360(INDIRECT(C69&amp;ROW()),TODAY())</f>
        <v>809</v>
      </c>
      <c r="M279">
        <f ca="1">HYPERLINK(CONCATENATE("https://bugzilla.houston.hp.com:1181/bugzilla/show_bug.cgi?id=",INDIRECT(C70&amp;ROW())),INDIRECT(C70&amp;ROW()))</f>
        <v>56445</v>
      </c>
      <c r="N279">
        <v>56445</v>
      </c>
      <c r="O279" t="s">
        <v>36</v>
      </c>
      <c r="P279" t="s">
        <v>591</v>
      </c>
      <c r="Q279" t="s">
        <v>25</v>
      </c>
      <c r="R279" t="s">
        <v>248</v>
      </c>
      <c r="S279" t="s">
        <v>552</v>
      </c>
      <c r="U279" s="6">
        <v>42038.501550925925</v>
      </c>
      <c r="V279" t="s">
        <v>18</v>
      </c>
      <c r="W279" t="s">
        <v>17</v>
      </c>
      <c r="X279" s="6">
        <v>42038.501111111109</v>
      </c>
      <c r="Y279" t="s">
        <v>788</v>
      </c>
      <c r="AB279" t="s">
        <v>201</v>
      </c>
      <c r="AC279" t="s">
        <v>247</v>
      </c>
      <c r="AD279" t="s">
        <v>222</v>
      </c>
      <c r="AE279" t="s">
        <v>240</v>
      </c>
      <c r="AG279" t="s">
        <v>121</v>
      </c>
      <c r="AH279" t="s">
        <v>327</v>
      </c>
      <c r="AI279" t="s">
        <v>121</v>
      </c>
      <c r="AJ279" t="s">
        <v>716</v>
      </c>
      <c r="AK279" t="s">
        <v>121</v>
      </c>
      <c r="AL279" t="s">
        <v>121</v>
      </c>
      <c r="AM279" t="s">
        <v>121</v>
      </c>
    </row>
    <row r="280" spans="9:39" x14ac:dyDescent="0.3">
      <c r="I280">
        <f ca="1">IF(OR(INDIRECT(A73&amp;ROW())=B93,INDIRECT(A73&amp;ROW())=B94),1,IF(AND(INDIRECT(A73&amp;ROW())=B95,INDIRECT(A96&amp;ROW())=C93),1,IF(AND(INDIRECT(A73&amp;ROW())=B95,INDIRECT(A96&amp;ROW())=C94),1,0)))</f>
        <v>0</v>
      </c>
      <c r="J280">
        <f ca="1">IF(AND(INDIRECT(A73&amp;ROW())=B95,INDIRECT(A96&amp;ROW())=C95),1,IF(AND(INDIRECT(A73&amp;ROW())=B95,INDIRECT(A96&amp;ROW())=C96),1,0))</f>
        <v>1</v>
      </c>
      <c r="K280">
        <f ca="1">DAYS360(INDIRECT(C68&amp;ROW()),TODAY())</f>
        <v>684</v>
      </c>
      <c r="L280">
        <f ca="1">DAYS360(INDIRECT(C69&amp;ROW()),TODAY())</f>
        <v>809</v>
      </c>
      <c r="M280">
        <f ca="1">HYPERLINK(CONCATENATE("https://bugzilla.houston.hp.com:1181/bugzilla/show_bug.cgi?id=",INDIRECT(C70&amp;ROW())),INDIRECT(C70&amp;ROW()))</f>
        <v>56450</v>
      </c>
      <c r="N280">
        <v>56450</v>
      </c>
      <c r="O280" t="s">
        <v>56</v>
      </c>
      <c r="P280" t="s">
        <v>590</v>
      </c>
      <c r="Q280" t="s">
        <v>25</v>
      </c>
      <c r="R280" t="s">
        <v>251</v>
      </c>
      <c r="S280" t="s">
        <v>66</v>
      </c>
      <c r="U280" s="6">
        <v>42163.60596064815</v>
      </c>
      <c r="V280" t="s">
        <v>18</v>
      </c>
      <c r="W280" t="s">
        <v>17</v>
      </c>
      <c r="X280" s="6">
        <v>42038.576805555553</v>
      </c>
      <c r="Y280" t="s">
        <v>788</v>
      </c>
      <c r="AB280" t="s">
        <v>201</v>
      </c>
      <c r="AC280" t="s">
        <v>247</v>
      </c>
      <c r="AD280" t="s">
        <v>220</v>
      </c>
      <c r="AE280" t="s">
        <v>219</v>
      </c>
      <c r="AG280" t="s">
        <v>121</v>
      </c>
      <c r="AH280" t="s">
        <v>327</v>
      </c>
      <c r="AI280" t="s">
        <v>121</v>
      </c>
      <c r="AJ280" t="s">
        <v>716</v>
      </c>
      <c r="AK280" t="s">
        <v>121</v>
      </c>
      <c r="AL280" t="s">
        <v>121</v>
      </c>
      <c r="AM280" t="s">
        <v>121</v>
      </c>
    </row>
    <row r="281" spans="9:39" x14ac:dyDescent="0.3">
      <c r="I281">
        <f ca="1">IF(OR(INDIRECT(A73&amp;ROW())=B93,INDIRECT(A73&amp;ROW())=B94),1,IF(AND(INDIRECT(A73&amp;ROW())=B95,INDIRECT(A96&amp;ROW())=C93),1,IF(AND(INDIRECT(A73&amp;ROW())=B95,INDIRECT(A96&amp;ROW())=C94),1,0)))</f>
        <v>0</v>
      </c>
      <c r="J281">
        <f ca="1">IF(AND(INDIRECT(A73&amp;ROW())=B95,INDIRECT(A96&amp;ROW())=C95),1,IF(AND(INDIRECT(A73&amp;ROW())=B95,INDIRECT(A96&amp;ROW())=C96),1,0))</f>
        <v>1</v>
      </c>
      <c r="K281">
        <f ca="1">DAYS360(INDIRECT(C68&amp;ROW()),TODAY())</f>
        <v>787</v>
      </c>
      <c r="L281">
        <f ca="1">DAYS360(INDIRECT(C69&amp;ROW()),TODAY())</f>
        <v>809</v>
      </c>
      <c r="M281">
        <f ca="1">HYPERLINK(CONCATENATE("https://bugzilla.houston.hp.com:1181/bugzilla/show_bug.cgi?id=",INDIRECT(C70&amp;ROW())),INDIRECT(C70&amp;ROW()))</f>
        <v>56456</v>
      </c>
      <c r="N281">
        <v>56456</v>
      </c>
      <c r="O281" t="s">
        <v>56</v>
      </c>
      <c r="P281" t="s">
        <v>1392</v>
      </c>
      <c r="Q281" t="s">
        <v>25</v>
      </c>
      <c r="R281" t="s">
        <v>1351</v>
      </c>
      <c r="S281" t="s">
        <v>552</v>
      </c>
      <c r="U281" s="6">
        <v>42060.722407407404</v>
      </c>
      <c r="V281" t="s">
        <v>18</v>
      </c>
      <c r="W281" t="s">
        <v>576</v>
      </c>
      <c r="X281" s="6">
        <v>42038.637060185189</v>
      </c>
      <c r="Y281" t="s">
        <v>788</v>
      </c>
      <c r="AB281" t="s">
        <v>201</v>
      </c>
      <c r="AC281" t="s">
        <v>247</v>
      </c>
      <c r="AD281" t="s">
        <v>220</v>
      </c>
      <c r="AE281" t="s">
        <v>219</v>
      </c>
      <c r="AG281" t="s">
        <v>121</v>
      </c>
      <c r="AH281" t="s">
        <v>327</v>
      </c>
      <c r="AI281" t="s">
        <v>121</v>
      </c>
      <c r="AJ281" t="s">
        <v>716</v>
      </c>
      <c r="AK281" t="s">
        <v>121</v>
      </c>
      <c r="AL281" t="s">
        <v>121</v>
      </c>
      <c r="AM281" t="s">
        <v>121</v>
      </c>
    </row>
    <row r="282" spans="9:39" x14ac:dyDescent="0.3">
      <c r="I282">
        <f ca="1">IF(OR(INDIRECT(A73&amp;ROW())=B93,INDIRECT(A73&amp;ROW())=B94),1,IF(AND(INDIRECT(A73&amp;ROW())=B95,INDIRECT(A96&amp;ROW())=C93),1,IF(AND(INDIRECT(A73&amp;ROW())=B95,INDIRECT(A96&amp;ROW())=C94),1,0)))</f>
        <v>0</v>
      </c>
      <c r="J282">
        <f ca="1">IF(AND(INDIRECT(A73&amp;ROW())=B95,INDIRECT(A96&amp;ROW())=C95),1,IF(AND(INDIRECT(A73&amp;ROW())=B95,INDIRECT(A96&amp;ROW())=C96),1,0))</f>
        <v>1</v>
      </c>
      <c r="K282">
        <f ca="1">DAYS360(INDIRECT(C68&amp;ROW()),TODAY())</f>
        <v>809</v>
      </c>
      <c r="L282">
        <f ca="1">DAYS360(INDIRECT(C69&amp;ROW()),TODAY())</f>
        <v>809</v>
      </c>
      <c r="M282">
        <f ca="1">HYPERLINK(CONCATENATE("https://bugzilla.houston.hp.com:1181/bugzilla/show_bug.cgi?id=",INDIRECT(C70&amp;ROW())),INDIRECT(C70&amp;ROW()))</f>
        <v>56458</v>
      </c>
      <c r="N282">
        <v>56458</v>
      </c>
      <c r="O282" t="s">
        <v>56</v>
      </c>
      <c r="P282" t="s">
        <v>589</v>
      </c>
      <c r="Q282" t="s">
        <v>25</v>
      </c>
      <c r="R282" t="s">
        <v>248</v>
      </c>
      <c r="S282" t="s">
        <v>552</v>
      </c>
      <c r="U282" s="6">
        <v>42038.643333333333</v>
      </c>
      <c r="V282" t="s">
        <v>18</v>
      </c>
      <c r="W282" t="s">
        <v>576</v>
      </c>
      <c r="X282" s="6">
        <v>42038.640115740738</v>
      </c>
      <c r="Y282" t="s">
        <v>788</v>
      </c>
      <c r="AB282" t="s">
        <v>201</v>
      </c>
      <c r="AC282" t="s">
        <v>247</v>
      </c>
      <c r="AD282" t="s">
        <v>220</v>
      </c>
      <c r="AE282" t="s">
        <v>219</v>
      </c>
      <c r="AG282" t="s">
        <v>121</v>
      </c>
      <c r="AH282" t="s">
        <v>327</v>
      </c>
      <c r="AI282" t="s">
        <v>121</v>
      </c>
      <c r="AJ282" t="s">
        <v>716</v>
      </c>
      <c r="AK282" t="s">
        <v>121</v>
      </c>
      <c r="AL282" t="s">
        <v>121</v>
      </c>
      <c r="AM282" t="s">
        <v>121</v>
      </c>
    </row>
    <row r="283" spans="9:39" x14ac:dyDescent="0.3">
      <c r="I283">
        <f ca="1">IF(OR(INDIRECT(A73&amp;ROW())=B93,INDIRECT(A73&amp;ROW())=B94),1,IF(AND(INDIRECT(A73&amp;ROW())=B95,INDIRECT(A96&amp;ROW())=C93),1,IF(AND(INDIRECT(A73&amp;ROW())=B95,INDIRECT(A96&amp;ROW())=C94),1,0)))</f>
        <v>0</v>
      </c>
      <c r="J283">
        <f ca="1">IF(AND(INDIRECT(A73&amp;ROW())=B95,INDIRECT(A96&amp;ROW())=C95),1,IF(AND(INDIRECT(A73&amp;ROW())=B95,INDIRECT(A96&amp;ROW())=C96),1,0))</f>
        <v>1</v>
      </c>
      <c r="K283">
        <f ca="1">DAYS360(INDIRECT(C68&amp;ROW()),TODAY())</f>
        <v>674</v>
      </c>
      <c r="L283">
        <f ca="1">DAYS360(INDIRECT(C69&amp;ROW()),TODAY())</f>
        <v>808</v>
      </c>
      <c r="M283">
        <f ca="1">HYPERLINK(CONCATENATE("https://bugzilla.houston.hp.com:1181/bugzilla/show_bug.cgi?id=",INDIRECT(C70&amp;ROW())),INDIRECT(C70&amp;ROW()))</f>
        <v>56502</v>
      </c>
      <c r="N283">
        <v>56502</v>
      </c>
      <c r="O283" t="s">
        <v>22</v>
      </c>
      <c r="P283" t="s">
        <v>599</v>
      </c>
      <c r="Q283" t="s">
        <v>25</v>
      </c>
      <c r="R283" t="s">
        <v>251</v>
      </c>
      <c r="S283" t="s">
        <v>24</v>
      </c>
      <c r="U283" s="6">
        <v>42173.491678240738</v>
      </c>
      <c r="V283" t="s">
        <v>18</v>
      </c>
      <c r="W283" t="s">
        <v>17</v>
      </c>
      <c r="X283" s="6">
        <v>42039.558599537035</v>
      </c>
      <c r="Y283" t="s">
        <v>535</v>
      </c>
      <c r="AB283" t="s">
        <v>201</v>
      </c>
      <c r="AC283" t="s">
        <v>247</v>
      </c>
      <c r="AD283" t="s">
        <v>222</v>
      </c>
      <c r="AE283" t="s">
        <v>221</v>
      </c>
      <c r="AG283" t="s">
        <v>121</v>
      </c>
      <c r="AH283" t="s">
        <v>327</v>
      </c>
      <c r="AI283" t="s">
        <v>121</v>
      </c>
      <c r="AJ283" t="s">
        <v>716</v>
      </c>
      <c r="AK283" t="s">
        <v>121</v>
      </c>
      <c r="AL283" t="s">
        <v>121</v>
      </c>
      <c r="AM283" t="s">
        <v>121</v>
      </c>
    </row>
    <row r="284" spans="9:39" x14ac:dyDescent="0.3">
      <c r="I284">
        <f ca="1">IF(OR(INDIRECT(A73&amp;ROW())=B93,INDIRECT(A73&amp;ROW())=B94),1,IF(AND(INDIRECT(A73&amp;ROW())=B95,INDIRECT(A96&amp;ROW())=C93),1,IF(AND(INDIRECT(A73&amp;ROW())=B95,INDIRECT(A96&amp;ROW())=C94),1,0)))</f>
        <v>0</v>
      </c>
      <c r="J284">
        <f ca="1">IF(AND(INDIRECT(A73&amp;ROW())=B95,INDIRECT(A96&amp;ROW())=C95),1,IF(AND(INDIRECT(A73&amp;ROW())=B95,INDIRECT(A96&amp;ROW())=C96),1,0))</f>
        <v>1</v>
      </c>
      <c r="K284">
        <f ca="1">DAYS360(INDIRECT(C68&amp;ROW()),TODAY())</f>
        <v>674</v>
      </c>
      <c r="L284">
        <f ca="1">DAYS360(INDIRECT(C69&amp;ROW()),TODAY())</f>
        <v>808</v>
      </c>
      <c r="M284">
        <f ca="1">HYPERLINK(CONCATENATE("https://bugzilla.houston.hp.com:1181/bugzilla/show_bug.cgi?id=",INDIRECT(C70&amp;ROW())),INDIRECT(C70&amp;ROW()))</f>
        <v>56512</v>
      </c>
      <c r="N284">
        <v>56512</v>
      </c>
      <c r="O284" t="s">
        <v>22</v>
      </c>
      <c r="P284" t="s">
        <v>598</v>
      </c>
      <c r="Q284" t="s">
        <v>25</v>
      </c>
      <c r="R284" t="s">
        <v>579</v>
      </c>
      <c r="S284" t="s">
        <v>552</v>
      </c>
      <c r="U284" s="6">
        <v>42173.491736111115</v>
      </c>
      <c r="V284" t="s">
        <v>18</v>
      </c>
      <c r="W284" t="s">
        <v>576</v>
      </c>
      <c r="X284" s="6">
        <v>42039.647303240738</v>
      </c>
      <c r="Y284" t="s">
        <v>535</v>
      </c>
      <c r="AB284" t="s">
        <v>201</v>
      </c>
      <c r="AC284" t="s">
        <v>247</v>
      </c>
      <c r="AD284" t="s">
        <v>222</v>
      </c>
      <c r="AE284" t="s">
        <v>221</v>
      </c>
      <c r="AG284" t="s">
        <v>121</v>
      </c>
      <c r="AH284" t="s">
        <v>327</v>
      </c>
      <c r="AI284" t="s">
        <v>121</v>
      </c>
      <c r="AJ284" t="s">
        <v>716</v>
      </c>
      <c r="AK284" t="s">
        <v>121</v>
      </c>
      <c r="AL284" t="s">
        <v>121</v>
      </c>
      <c r="AM284" t="s">
        <v>121</v>
      </c>
    </row>
    <row r="285" spans="9:39" x14ac:dyDescent="0.3">
      <c r="I285">
        <f ca="1">IF(OR(INDIRECT(A73&amp;ROW())=B93,INDIRECT(A73&amp;ROW())=B94),1,IF(AND(INDIRECT(A73&amp;ROW())=B95,INDIRECT(A96&amp;ROW())=C93),1,IF(AND(INDIRECT(A73&amp;ROW())=B95,INDIRECT(A96&amp;ROW())=C94),1,0)))</f>
        <v>0</v>
      </c>
      <c r="J285">
        <f ca="1">IF(AND(INDIRECT(A73&amp;ROW())=B95,INDIRECT(A96&amp;ROW())=C95),1,IF(AND(INDIRECT(A73&amp;ROW())=B95,INDIRECT(A96&amp;ROW())=C96),1,0))</f>
        <v>1</v>
      </c>
      <c r="K285">
        <f ca="1">DAYS360(INDIRECT(C68&amp;ROW()),TODAY())</f>
        <v>674</v>
      </c>
      <c r="L285">
        <f ca="1">DAYS360(INDIRECT(C69&amp;ROW()),TODAY())</f>
        <v>808</v>
      </c>
      <c r="M285">
        <f ca="1">HYPERLINK(CONCATENATE("https://bugzilla.houston.hp.com:1181/bugzilla/show_bug.cgi?id=",INDIRECT(C70&amp;ROW())),INDIRECT(C70&amp;ROW()))</f>
        <v>56513</v>
      </c>
      <c r="N285">
        <v>56513</v>
      </c>
      <c r="O285" t="s">
        <v>36</v>
      </c>
      <c r="P285" t="s">
        <v>597</v>
      </c>
      <c r="Q285" t="s">
        <v>25</v>
      </c>
      <c r="R285" t="s">
        <v>248</v>
      </c>
      <c r="S285" t="s">
        <v>552</v>
      </c>
      <c r="U285" s="6">
        <v>42173.491724537038</v>
      </c>
      <c r="V285" t="s">
        <v>18</v>
      </c>
      <c r="W285" t="s">
        <v>576</v>
      </c>
      <c r="X285" s="6">
        <v>42039.648113425923</v>
      </c>
      <c r="Y285" t="s">
        <v>535</v>
      </c>
      <c r="AB285" t="s">
        <v>201</v>
      </c>
      <c r="AC285" t="s">
        <v>247</v>
      </c>
      <c r="AD285" t="s">
        <v>222</v>
      </c>
      <c r="AE285" t="s">
        <v>221</v>
      </c>
      <c r="AG285" t="s">
        <v>121</v>
      </c>
      <c r="AH285" t="s">
        <v>327</v>
      </c>
      <c r="AI285" t="s">
        <v>121</v>
      </c>
      <c r="AJ285" t="s">
        <v>716</v>
      </c>
      <c r="AK285" t="s">
        <v>121</v>
      </c>
      <c r="AL285" t="s">
        <v>121</v>
      </c>
      <c r="AM285" t="s">
        <v>121</v>
      </c>
    </row>
    <row r="286" spans="9:39" x14ac:dyDescent="0.3">
      <c r="I286">
        <f ca="1">IF(OR(INDIRECT(A73&amp;ROW())=B93,INDIRECT(A73&amp;ROW())=B94),1,IF(AND(INDIRECT(A73&amp;ROW())=B95,INDIRECT(A96&amp;ROW())=C93),1,IF(AND(INDIRECT(A73&amp;ROW())=B95,INDIRECT(A96&amp;ROW())=C94),1,0)))</f>
        <v>0</v>
      </c>
      <c r="J286">
        <f ca="1">IF(AND(INDIRECT(A73&amp;ROW())=B95,INDIRECT(A96&amp;ROW())=C95),1,IF(AND(INDIRECT(A73&amp;ROW())=B95,INDIRECT(A96&amp;ROW())=C96),1,0))</f>
        <v>1</v>
      </c>
      <c r="K286">
        <f ca="1">DAYS360(INDIRECT(C68&amp;ROW()),TODAY())</f>
        <v>674</v>
      </c>
      <c r="L286">
        <f ca="1">DAYS360(INDIRECT(C69&amp;ROW()),TODAY())</f>
        <v>807</v>
      </c>
      <c r="M286">
        <f ca="1">HYPERLINK(CONCATENATE("https://bugzilla.houston.hp.com:1181/bugzilla/show_bug.cgi?id=",INDIRECT(C70&amp;ROW())),INDIRECT(C70&amp;ROW()))</f>
        <v>56586</v>
      </c>
      <c r="N286">
        <v>56586</v>
      </c>
      <c r="O286" t="s">
        <v>56</v>
      </c>
      <c r="P286" t="s">
        <v>601</v>
      </c>
      <c r="Q286" t="s">
        <v>25</v>
      </c>
      <c r="R286" t="s">
        <v>251</v>
      </c>
      <c r="S286" t="s">
        <v>22</v>
      </c>
      <c r="U286" s="6">
        <v>42173.599386574075</v>
      </c>
      <c r="V286" t="s">
        <v>18</v>
      </c>
      <c r="W286" t="s">
        <v>17</v>
      </c>
      <c r="X286" s="6">
        <v>42040.483576388891</v>
      </c>
      <c r="Y286" t="s">
        <v>122</v>
      </c>
      <c r="AB286" t="s">
        <v>201</v>
      </c>
      <c r="AC286" t="s">
        <v>247</v>
      </c>
      <c r="AD286" t="s">
        <v>220</v>
      </c>
      <c r="AE286" t="s">
        <v>219</v>
      </c>
      <c r="AG286" t="s">
        <v>121</v>
      </c>
      <c r="AH286" t="s">
        <v>327</v>
      </c>
      <c r="AI286" t="s">
        <v>121</v>
      </c>
      <c r="AJ286" t="s">
        <v>716</v>
      </c>
      <c r="AK286" t="s">
        <v>121</v>
      </c>
      <c r="AL286" t="s">
        <v>121</v>
      </c>
      <c r="AM286" t="s">
        <v>121</v>
      </c>
    </row>
    <row r="287" spans="9:39" x14ac:dyDescent="0.3">
      <c r="I287">
        <f ca="1">IF(OR(INDIRECT(A73&amp;ROW())=B93,INDIRECT(A73&amp;ROW())=B94),1,IF(AND(INDIRECT(A73&amp;ROW())=B95,INDIRECT(A96&amp;ROW())=C93),1,IF(AND(INDIRECT(A73&amp;ROW())=B95,INDIRECT(A96&amp;ROW())=C94),1,0)))</f>
        <v>0</v>
      </c>
      <c r="J287">
        <f ca="1">IF(AND(INDIRECT(A73&amp;ROW())=B95,INDIRECT(A96&amp;ROW())=C95),1,IF(AND(INDIRECT(A73&amp;ROW())=B95,INDIRECT(A96&amp;ROW())=C96),1,0))</f>
        <v>1</v>
      </c>
      <c r="K287">
        <f ca="1">DAYS360(INDIRECT(C68&amp;ROW()),TODAY())</f>
        <v>721</v>
      </c>
      <c r="L287">
        <f ca="1">DAYS360(INDIRECT(C69&amp;ROW()),TODAY())</f>
        <v>807</v>
      </c>
      <c r="M287">
        <f ca="1">HYPERLINK(CONCATENATE("https://bugzilla.houston.hp.com:1181/bugzilla/show_bug.cgi?id=",INDIRECT(C70&amp;ROW())),INDIRECT(C70&amp;ROW()))</f>
        <v>56589</v>
      </c>
      <c r="N287">
        <v>56589</v>
      </c>
      <c r="O287" t="s">
        <v>56</v>
      </c>
      <c r="P287" t="s">
        <v>600</v>
      </c>
      <c r="Q287" t="s">
        <v>25</v>
      </c>
      <c r="R287" t="s">
        <v>248</v>
      </c>
      <c r="S287" t="s">
        <v>552</v>
      </c>
      <c r="U287" s="6">
        <v>42125.452916666669</v>
      </c>
      <c r="V287" t="s">
        <v>18</v>
      </c>
      <c r="W287" t="s">
        <v>576</v>
      </c>
      <c r="X287" s="6">
        <v>42040.484780092593</v>
      </c>
      <c r="Y287" t="s">
        <v>122</v>
      </c>
      <c r="AB287" t="s">
        <v>201</v>
      </c>
      <c r="AC287" t="s">
        <v>247</v>
      </c>
      <c r="AD287" t="s">
        <v>220</v>
      </c>
      <c r="AE287" t="s">
        <v>219</v>
      </c>
      <c r="AG287" t="s">
        <v>121</v>
      </c>
      <c r="AH287" t="s">
        <v>327</v>
      </c>
      <c r="AI287" t="s">
        <v>121</v>
      </c>
      <c r="AJ287" t="s">
        <v>716</v>
      </c>
      <c r="AK287" t="s">
        <v>121</v>
      </c>
      <c r="AL287" t="s">
        <v>121</v>
      </c>
      <c r="AM287" t="s">
        <v>121</v>
      </c>
    </row>
    <row r="288" spans="9:39" x14ac:dyDescent="0.3">
      <c r="I288">
        <f ca="1">IF(OR(INDIRECT(A73&amp;ROW())=B93,INDIRECT(A73&amp;ROW())=B94),1,IF(AND(INDIRECT(A73&amp;ROW())=B95,INDIRECT(A96&amp;ROW())=C93),1,IF(AND(INDIRECT(A73&amp;ROW())=B95,INDIRECT(A96&amp;ROW())=C94),1,0)))</f>
        <v>1</v>
      </c>
      <c r="J288">
        <f ca="1">IF(AND(INDIRECT(A73&amp;ROW())=B95,INDIRECT(A96&amp;ROW())=C95),1,IF(AND(INDIRECT(A73&amp;ROW())=B95,INDIRECT(A96&amp;ROW())=C96),1,0))</f>
        <v>0</v>
      </c>
      <c r="K288">
        <f ca="1">DAYS360(INDIRECT(C68&amp;ROW()),TODAY())</f>
        <v>628</v>
      </c>
      <c r="L288">
        <f ca="1">DAYS360(INDIRECT(C69&amp;ROW()),TODAY())</f>
        <v>806</v>
      </c>
      <c r="M288">
        <f ca="1">HYPERLINK(CONCATENATE("https://bugzilla.houston.hp.com:1181/bugzilla/show_bug.cgi?id=",INDIRECT(C70&amp;ROW())),INDIRECT(C70&amp;ROW()))</f>
        <v>56687</v>
      </c>
      <c r="N288">
        <v>56687</v>
      </c>
      <c r="O288" t="s">
        <v>204</v>
      </c>
      <c r="P288" t="s">
        <v>602</v>
      </c>
      <c r="Q288" t="s">
        <v>25</v>
      </c>
      <c r="R288" t="s">
        <v>579</v>
      </c>
      <c r="S288" t="s">
        <v>236</v>
      </c>
      <c r="U288" s="6">
        <v>42220.268530092595</v>
      </c>
      <c r="V288" t="s">
        <v>35</v>
      </c>
      <c r="W288" t="s">
        <v>57</v>
      </c>
      <c r="X288" s="6">
        <v>42041.700462962966</v>
      </c>
      <c r="Y288" t="s">
        <v>125</v>
      </c>
      <c r="AB288" t="s">
        <v>200</v>
      </c>
      <c r="AC288" t="s">
        <v>216</v>
      </c>
      <c r="AD288" t="s">
        <v>220</v>
      </c>
      <c r="AE288" t="s">
        <v>219</v>
      </c>
      <c r="AG288" t="s">
        <v>121</v>
      </c>
      <c r="AH288" t="s">
        <v>328</v>
      </c>
      <c r="AI288" t="s">
        <v>121</v>
      </c>
      <c r="AJ288" t="s">
        <v>715</v>
      </c>
      <c r="AK288" t="s">
        <v>121</v>
      </c>
      <c r="AL288" t="s">
        <v>121</v>
      </c>
      <c r="AM288" t="s">
        <v>121</v>
      </c>
    </row>
    <row r="289" spans="9:39" x14ac:dyDescent="0.3">
      <c r="I289">
        <f ca="1">IF(OR(INDIRECT(A73&amp;ROW())=B93,INDIRECT(A73&amp;ROW())=B94),1,IF(AND(INDIRECT(A73&amp;ROW())=B95,INDIRECT(A96&amp;ROW())=C93),1,IF(AND(INDIRECT(A73&amp;ROW())=B95,INDIRECT(A96&amp;ROW())=C94),1,0)))</f>
        <v>1</v>
      </c>
      <c r="J289">
        <f ca="1">IF(AND(INDIRECT(A73&amp;ROW())=B95,INDIRECT(A96&amp;ROW())=C95),1,IF(AND(INDIRECT(A73&amp;ROW())=B95,INDIRECT(A96&amp;ROW())=C96),1,0))</f>
        <v>0</v>
      </c>
      <c r="K289">
        <f ca="1">DAYS360(INDIRECT(C68&amp;ROW()),TODAY())</f>
        <v>723</v>
      </c>
      <c r="L289">
        <f ca="1">DAYS360(INDIRECT(C69&amp;ROW()),TODAY())</f>
        <v>803</v>
      </c>
      <c r="M289">
        <f ca="1">HYPERLINK(CONCATENATE("https://bugzilla.houston.hp.com:1181/bugzilla/show_bug.cgi?id=",INDIRECT(C70&amp;ROW())),INDIRECT(C70&amp;ROW()))</f>
        <v>56731</v>
      </c>
      <c r="N289">
        <v>56731</v>
      </c>
      <c r="O289" t="s">
        <v>94</v>
      </c>
      <c r="P289" t="s">
        <v>608</v>
      </c>
      <c r="Q289" t="s">
        <v>39</v>
      </c>
      <c r="R289" t="s">
        <v>579</v>
      </c>
      <c r="S289" t="s">
        <v>552</v>
      </c>
      <c r="T289" t="s">
        <v>820</v>
      </c>
      <c r="U289" s="6">
        <v>42123.396423611113</v>
      </c>
      <c r="V289" t="s">
        <v>40</v>
      </c>
      <c r="W289" t="s">
        <v>211</v>
      </c>
      <c r="X289" s="6">
        <v>42044.500763888886</v>
      </c>
      <c r="Y289" t="s">
        <v>119</v>
      </c>
      <c r="AB289" t="s">
        <v>201</v>
      </c>
      <c r="AC289" t="s">
        <v>121</v>
      </c>
      <c r="AD289" t="s">
        <v>227</v>
      </c>
      <c r="AE289" t="s">
        <v>231</v>
      </c>
      <c r="AG289" t="s">
        <v>121</v>
      </c>
      <c r="AH289" t="s">
        <v>64</v>
      </c>
      <c r="AI289" t="s">
        <v>362</v>
      </c>
      <c r="AJ289" t="s">
        <v>715</v>
      </c>
      <c r="AK289" t="s">
        <v>121</v>
      </c>
      <c r="AL289" t="s">
        <v>121</v>
      </c>
      <c r="AM289" t="s">
        <v>121</v>
      </c>
    </row>
    <row r="290" spans="9:39" x14ac:dyDescent="0.3">
      <c r="I290">
        <f ca="1">IF(OR(INDIRECT(A73&amp;ROW())=B93,INDIRECT(A73&amp;ROW())=B94),1,IF(AND(INDIRECT(A73&amp;ROW())=B95,INDIRECT(A96&amp;ROW())=C93),1,IF(AND(INDIRECT(A73&amp;ROW())=B95,INDIRECT(A96&amp;ROW())=C94),1,0)))</f>
        <v>1</v>
      </c>
      <c r="J290">
        <f ca="1">IF(AND(INDIRECT(A73&amp;ROW())=B95,INDIRECT(A96&amp;ROW())=C95),1,IF(AND(INDIRECT(A73&amp;ROW())=B95,INDIRECT(A96&amp;ROW())=C96),1,0))</f>
        <v>0</v>
      </c>
      <c r="K290">
        <f ca="1">DAYS360(INDIRECT(C68&amp;ROW()),TODAY())</f>
        <v>752</v>
      </c>
      <c r="L290">
        <f ca="1">DAYS360(INDIRECT(C69&amp;ROW()),TODAY())</f>
        <v>803</v>
      </c>
      <c r="M290">
        <f ca="1">HYPERLINK(CONCATENATE("https://bugzilla.houston.hp.com:1181/bugzilla/show_bug.cgi?id=",INDIRECT(C70&amp;ROW())),INDIRECT(C70&amp;ROW()))</f>
        <v>56735</v>
      </c>
      <c r="N290">
        <v>56735</v>
      </c>
      <c r="O290" t="s">
        <v>298</v>
      </c>
      <c r="P290" t="s">
        <v>606</v>
      </c>
      <c r="Q290" t="s">
        <v>39</v>
      </c>
      <c r="R290" t="s">
        <v>579</v>
      </c>
      <c r="S290" t="s">
        <v>552</v>
      </c>
      <c r="T290" t="s">
        <v>820</v>
      </c>
      <c r="U290" s="6">
        <v>42093.074259259258</v>
      </c>
      <c r="V290" t="s">
        <v>40</v>
      </c>
      <c r="W290" t="s">
        <v>343</v>
      </c>
      <c r="X290" s="6">
        <v>42044.506412037037</v>
      </c>
      <c r="Y290" t="s">
        <v>785</v>
      </c>
      <c r="AB290" t="s">
        <v>201</v>
      </c>
      <c r="AC290" t="s">
        <v>247</v>
      </c>
      <c r="AD290" t="s">
        <v>227</v>
      </c>
      <c r="AE290" t="s">
        <v>231</v>
      </c>
      <c r="AG290" t="s">
        <v>121</v>
      </c>
      <c r="AH290" t="s">
        <v>327</v>
      </c>
      <c r="AI290" t="s">
        <v>121</v>
      </c>
      <c r="AJ290" t="s">
        <v>715</v>
      </c>
      <c r="AK290" t="s">
        <v>121</v>
      </c>
      <c r="AL290" t="s">
        <v>121</v>
      </c>
      <c r="AM290" t="s">
        <v>121</v>
      </c>
    </row>
    <row r="291" spans="9:39" x14ac:dyDescent="0.3">
      <c r="I291">
        <f ca="1">IF(OR(INDIRECT(A73&amp;ROW())=B93,INDIRECT(A73&amp;ROW())=B94),1,IF(AND(INDIRECT(A73&amp;ROW())=B95,INDIRECT(A96&amp;ROW())=C93),1,IF(AND(INDIRECT(A73&amp;ROW())=B95,INDIRECT(A96&amp;ROW())=C94),1,0)))</f>
        <v>0</v>
      </c>
      <c r="J291">
        <f ca="1">IF(AND(INDIRECT(A73&amp;ROW())=B95,INDIRECT(A96&amp;ROW())=C95),1,IF(AND(INDIRECT(A73&amp;ROW())=B95,INDIRECT(A96&amp;ROW())=C96),1,0))</f>
        <v>1</v>
      </c>
      <c r="K291">
        <f ca="1">DAYS360(INDIRECT(C68&amp;ROW()),TODAY())</f>
        <v>721</v>
      </c>
      <c r="L291">
        <f ca="1">DAYS360(INDIRECT(C69&amp;ROW()),TODAY())</f>
        <v>803</v>
      </c>
      <c r="M291">
        <f ca="1">HYPERLINK(CONCATENATE("https://bugzilla.houston.hp.com:1181/bugzilla/show_bug.cgi?id=",INDIRECT(C70&amp;ROW())),INDIRECT(C70&amp;ROW()))</f>
        <v>56781</v>
      </c>
      <c r="N291">
        <v>56781</v>
      </c>
      <c r="O291" t="s">
        <v>56</v>
      </c>
      <c r="P291" t="s">
        <v>1393</v>
      </c>
      <c r="Q291" t="s">
        <v>25</v>
      </c>
      <c r="R291" t="s">
        <v>1351</v>
      </c>
      <c r="S291" t="s">
        <v>552</v>
      </c>
      <c r="U291" s="6">
        <v>42125.451851851853</v>
      </c>
      <c r="V291" t="s">
        <v>18</v>
      </c>
      <c r="W291" t="s">
        <v>512</v>
      </c>
      <c r="X291" s="6">
        <v>42044.679270833331</v>
      </c>
      <c r="Y291" t="s">
        <v>122</v>
      </c>
      <c r="AB291" t="s">
        <v>201</v>
      </c>
      <c r="AC291" t="s">
        <v>247</v>
      </c>
      <c r="AD291" t="s">
        <v>220</v>
      </c>
      <c r="AE291" t="s">
        <v>219</v>
      </c>
      <c r="AG291" t="s">
        <v>121</v>
      </c>
      <c r="AH291" t="s">
        <v>327</v>
      </c>
      <c r="AI291" t="s">
        <v>121</v>
      </c>
      <c r="AJ291" t="s">
        <v>716</v>
      </c>
      <c r="AK291" t="s">
        <v>121</v>
      </c>
      <c r="AL291" t="s">
        <v>121</v>
      </c>
      <c r="AM291" t="s">
        <v>121</v>
      </c>
    </row>
    <row r="292" spans="9:39" x14ac:dyDescent="0.3">
      <c r="I292">
        <f ca="1">IF(OR(INDIRECT(A73&amp;ROW())=B93,INDIRECT(A73&amp;ROW())=B94),1,IF(AND(INDIRECT(A73&amp;ROW())=B95,INDIRECT(A96&amp;ROW())=C93),1,IF(AND(INDIRECT(A73&amp;ROW())=B95,INDIRECT(A96&amp;ROW())=C94),1,0)))</f>
        <v>0</v>
      </c>
      <c r="J292">
        <f ca="1">IF(AND(INDIRECT(A73&amp;ROW())=B95,INDIRECT(A96&amp;ROW())=C95),1,IF(AND(INDIRECT(A73&amp;ROW())=B95,INDIRECT(A96&amp;ROW())=C96),1,0))</f>
        <v>1</v>
      </c>
      <c r="K292">
        <f ca="1">DAYS360(INDIRECT(C68&amp;ROW()),TODAY())</f>
        <v>721</v>
      </c>
      <c r="L292">
        <f ca="1">DAYS360(INDIRECT(C69&amp;ROW()),TODAY())</f>
        <v>803</v>
      </c>
      <c r="M292">
        <f ca="1">HYPERLINK(CONCATENATE("https://bugzilla.houston.hp.com:1181/bugzilla/show_bug.cgi?id=",INDIRECT(C70&amp;ROW())),INDIRECT(C70&amp;ROW()))</f>
        <v>56784</v>
      </c>
      <c r="N292">
        <v>56784</v>
      </c>
      <c r="O292" t="s">
        <v>56</v>
      </c>
      <c r="P292" t="s">
        <v>603</v>
      </c>
      <c r="Q292" t="s">
        <v>25</v>
      </c>
      <c r="R292" t="s">
        <v>248</v>
      </c>
      <c r="S292" t="s">
        <v>552</v>
      </c>
      <c r="U292" s="6">
        <v>42125.451770833337</v>
      </c>
      <c r="V292" t="s">
        <v>18</v>
      </c>
      <c r="W292" t="s">
        <v>512</v>
      </c>
      <c r="X292" s="6">
        <v>42044.682280092595</v>
      </c>
      <c r="Y292" t="s">
        <v>122</v>
      </c>
      <c r="AB292" t="s">
        <v>201</v>
      </c>
      <c r="AC292" t="s">
        <v>247</v>
      </c>
      <c r="AD292" t="s">
        <v>220</v>
      </c>
      <c r="AE292" t="s">
        <v>219</v>
      </c>
      <c r="AG292" t="s">
        <v>121</v>
      </c>
      <c r="AH292" t="s">
        <v>327</v>
      </c>
      <c r="AI292" t="s">
        <v>121</v>
      </c>
      <c r="AJ292" t="s">
        <v>716</v>
      </c>
      <c r="AK292" t="s">
        <v>121</v>
      </c>
      <c r="AL292" t="s">
        <v>121</v>
      </c>
      <c r="AM292" t="s">
        <v>121</v>
      </c>
    </row>
    <row r="293" spans="9:39" x14ac:dyDescent="0.3">
      <c r="I293">
        <f ca="1">IF(OR(INDIRECT(A73&amp;ROW())=B93,INDIRECT(A73&amp;ROW())=B94),1,IF(AND(INDIRECT(A73&amp;ROW())=B95,INDIRECT(A96&amp;ROW())=C93),1,IF(AND(INDIRECT(A73&amp;ROW())=B95,INDIRECT(A96&amp;ROW())=C94),1,0)))</f>
        <v>0</v>
      </c>
      <c r="J293">
        <f ca="1">IF(AND(INDIRECT(A73&amp;ROW())=B95,INDIRECT(A96&amp;ROW())=C95),1,IF(AND(INDIRECT(A73&amp;ROW())=B95,INDIRECT(A96&amp;ROW())=C96),1,0))</f>
        <v>1</v>
      </c>
      <c r="K293">
        <f ca="1">DAYS360(INDIRECT(C68&amp;ROW()),TODAY())</f>
        <v>732</v>
      </c>
      <c r="L293">
        <f ca="1">DAYS360(INDIRECT(C69&amp;ROW()),TODAY())</f>
        <v>802</v>
      </c>
      <c r="M293">
        <f ca="1">HYPERLINK(CONCATENATE("https://bugzilla.houston.hp.com:1181/bugzilla/show_bug.cgi?id=",INDIRECT(C70&amp;ROW())),INDIRECT(C70&amp;ROW()))</f>
        <v>56829</v>
      </c>
      <c r="N293">
        <v>56829</v>
      </c>
      <c r="O293" t="s">
        <v>36</v>
      </c>
      <c r="P293" t="s">
        <v>672</v>
      </c>
      <c r="Q293" t="s">
        <v>25</v>
      </c>
      <c r="R293" t="s">
        <v>579</v>
      </c>
      <c r="S293" t="s">
        <v>552</v>
      </c>
      <c r="T293" t="s">
        <v>718</v>
      </c>
      <c r="U293" s="6">
        <v>42114.8983912037</v>
      </c>
      <c r="V293" t="s">
        <v>18</v>
      </c>
      <c r="W293" t="s">
        <v>576</v>
      </c>
      <c r="X293" s="6">
        <v>42045.437962962962</v>
      </c>
      <c r="Y293" t="s">
        <v>124</v>
      </c>
      <c r="AB293" t="s">
        <v>201</v>
      </c>
      <c r="AC293" t="s">
        <v>247</v>
      </c>
      <c r="AD293" t="s">
        <v>222</v>
      </c>
      <c r="AE293" t="s">
        <v>228</v>
      </c>
      <c r="AG293" t="s">
        <v>121</v>
      </c>
      <c r="AH293" t="s">
        <v>327</v>
      </c>
      <c r="AI293" t="s">
        <v>362</v>
      </c>
      <c r="AJ293" t="s">
        <v>716</v>
      </c>
      <c r="AK293" t="s">
        <v>121</v>
      </c>
      <c r="AL293" t="s">
        <v>121</v>
      </c>
      <c r="AM293" t="s">
        <v>121</v>
      </c>
    </row>
    <row r="294" spans="9:39" x14ac:dyDescent="0.3">
      <c r="I294">
        <f ca="1">IF(OR(INDIRECT(A73&amp;ROW())=B93,INDIRECT(A73&amp;ROW())=B94),1,IF(AND(INDIRECT(A73&amp;ROW())=B95,INDIRECT(A96&amp;ROW())=C93),1,IF(AND(INDIRECT(A73&amp;ROW())=B95,INDIRECT(A96&amp;ROW())=C94),1,0)))</f>
        <v>0</v>
      </c>
      <c r="J294">
        <f ca="1">IF(AND(INDIRECT(A73&amp;ROW())=B95,INDIRECT(A96&amp;ROW())=C95),1,IF(AND(INDIRECT(A73&amp;ROW())=B95,INDIRECT(A96&amp;ROW())=C96),1,0))</f>
        <v>1</v>
      </c>
      <c r="K294">
        <f ca="1">DAYS360(INDIRECT(C68&amp;ROW()),TODAY())</f>
        <v>799</v>
      </c>
      <c r="L294">
        <f ca="1">DAYS360(INDIRECT(C69&amp;ROW()),TODAY())</f>
        <v>802</v>
      </c>
      <c r="M294">
        <f ca="1">HYPERLINK(CONCATENATE("https://bugzilla.houston.hp.com:1181/bugzilla/show_bug.cgi?id=",INDIRECT(C70&amp;ROW())),INDIRECT(C70&amp;ROW()))</f>
        <v>56833</v>
      </c>
      <c r="N294">
        <v>56833</v>
      </c>
      <c r="O294" t="s">
        <v>36</v>
      </c>
      <c r="P294" t="s">
        <v>671</v>
      </c>
      <c r="Q294" t="s">
        <v>25</v>
      </c>
      <c r="R294" t="s">
        <v>579</v>
      </c>
      <c r="S294" t="s">
        <v>552</v>
      </c>
      <c r="T294" t="s">
        <v>719</v>
      </c>
      <c r="U294" s="6">
        <v>42048.010648148149</v>
      </c>
      <c r="V294" t="s">
        <v>18</v>
      </c>
      <c r="W294" t="s">
        <v>343</v>
      </c>
      <c r="X294" s="6">
        <v>42045.439618055556</v>
      </c>
      <c r="Y294" t="s">
        <v>246</v>
      </c>
      <c r="AB294" t="s">
        <v>201</v>
      </c>
      <c r="AC294" t="s">
        <v>247</v>
      </c>
      <c r="AD294" t="s">
        <v>222</v>
      </c>
      <c r="AE294" t="s">
        <v>221</v>
      </c>
      <c r="AG294" t="s">
        <v>121</v>
      </c>
      <c r="AH294" t="s">
        <v>327</v>
      </c>
      <c r="AI294" t="s">
        <v>121</v>
      </c>
      <c r="AJ294" t="s">
        <v>716</v>
      </c>
      <c r="AK294" t="s">
        <v>121</v>
      </c>
      <c r="AL294" t="s">
        <v>121</v>
      </c>
      <c r="AM294" t="s">
        <v>121</v>
      </c>
    </row>
    <row r="295" spans="9:39" x14ac:dyDescent="0.3">
      <c r="I295">
        <f ca="1">IF(OR(INDIRECT(A73&amp;ROW())=B93,INDIRECT(A73&amp;ROW())=B94),1,IF(AND(INDIRECT(A73&amp;ROW())=B95,INDIRECT(A96&amp;ROW())=C93),1,IF(AND(INDIRECT(A73&amp;ROW())=B95,INDIRECT(A96&amp;ROW())=C94),1,0)))</f>
        <v>1</v>
      </c>
      <c r="J295">
        <f ca="1">IF(AND(INDIRECT(A73&amp;ROW())=B95,INDIRECT(A96&amp;ROW())=C95),1,IF(AND(INDIRECT(A73&amp;ROW())=B95,INDIRECT(A96&amp;ROW())=C96),1,0))</f>
        <v>0</v>
      </c>
      <c r="K295">
        <f ca="1">DAYS360(INDIRECT(C68&amp;ROW()),TODAY())</f>
        <v>692</v>
      </c>
      <c r="L295">
        <f ca="1">DAYS360(INDIRECT(C69&amp;ROW()),TODAY())</f>
        <v>802</v>
      </c>
      <c r="M295">
        <f ca="1">HYPERLINK(CONCATENATE("https://bugzilla.houston.hp.com:1181/bugzilla/show_bug.cgi?id=",INDIRECT(C70&amp;ROW())),INDIRECT(C70&amp;ROW()))</f>
        <v>56836</v>
      </c>
      <c r="N295">
        <v>56836</v>
      </c>
      <c r="O295" t="s">
        <v>53</v>
      </c>
      <c r="P295" t="s">
        <v>670</v>
      </c>
      <c r="Q295" t="s">
        <v>39</v>
      </c>
      <c r="R295" t="s">
        <v>579</v>
      </c>
      <c r="S295" t="s">
        <v>552</v>
      </c>
      <c r="T295" t="s">
        <v>998</v>
      </c>
      <c r="U295" s="6">
        <v>42155.949664351851</v>
      </c>
      <c r="V295" t="s">
        <v>40</v>
      </c>
      <c r="W295" t="s">
        <v>258</v>
      </c>
      <c r="X295" s="6">
        <v>42045.447187500002</v>
      </c>
      <c r="Y295" t="s">
        <v>119</v>
      </c>
      <c r="AB295" t="s">
        <v>201</v>
      </c>
      <c r="AC295" t="s">
        <v>247</v>
      </c>
      <c r="AD295" t="s">
        <v>220</v>
      </c>
      <c r="AE295" t="s">
        <v>219</v>
      </c>
      <c r="AG295" t="s">
        <v>121</v>
      </c>
      <c r="AH295" t="s">
        <v>64</v>
      </c>
      <c r="AI295" t="s">
        <v>121</v>
      </c>
      <c r="AJ295" t="s">
        <v>715</v>
      </c>
      <c r="AK295" t="s">
        <v>121</v>
      </c>
      <c r="AL295" t="s">
        <v>121</v>
      </c>
      <c r="AM295" t="s">
        <v>121</v>
      </c>
    </row>
    <row r="296" spans="9:39" x14ac:dyDescent="0.3">
      <c r="I296">
        <f ca="1">IF(OR(INDIRECT(A73&amp;ROW())=B93,INDIRECT(A73&amp;ROW())=B94),1,IF(AND(INDIRECT(A73&amp;ROW())=B95,INDIRECT(A96&amp;ROW())=C93),1,IF(AND(INDIRECT(A73&amp;ROW())=B95,INDIRECT(A96&amp;ROW())=C94),1,0)))</f>
        <v>0</v>
      </c>
      <c r="J296">
        <f ca="1">IF(AND(INDIRECT(A73&amp;ROW())=B95,INDIRECT(A96&amp;ROW())=C95),1,IF(AND(INDIRECT(A73&amp;ROW())=B95,INDIRECT(A96&amp;ROW())=C96),1,0))</f>
        <v>1</v>
      </c>
      <c r="K296">
        <f ca="1">DAYS360(INDIRECT(C68&amp;ROW()),TODAY())</f>
        <v>752</v>
      </c>
      <c r="L296">
        <f ca="1">DAYS360(INDIRECT(C69&amp;ROW()),TODAY())</f>
        <v>802</v>
      </c>
      <c r="M296">
        <f ca="1">HYPERLINK(CONCATENATE("https://bugzilla.houston.hp.com:1181/bugzilla/show_bug.cgi?id=",INDIRECT(C70&amp;ROW())),INDIRECT(C70&amp;ROW()))</f>
        <v>56838</v>
      </c>
      <c r="N296">
        <v>56838</v>
      </c>
      <c r="O296" t="s">
        <v>36</v>
      </c>
      <c r="P296" t="s">
        <v>669</v>
      </c>
      <c r="Q296" t="s">
        <v>25</v>
      </c>
      <c r="R296" t="s">
        <v>579</v>
      </c>
      <c r="S296" t="s">
        <v>552</v>
      </c>
      <c r="T296" t="s">
        <v>610</v>
      </c>
      <c r="U296" s="6">
        <v>42093.996180555558</v>
      </c>
      <c r="V296" t="s">
        <v>18</v>
      </c>
      <c r="W296" t="s">
        <v>211</v>
      </c>
      <c r="X296" s="6">
        <v>42045.447858796295</v>
      </c>
      <c r="Y296" t="s">
        <v>119</v>
      </c>
      <c r="AB296" t="s">
        <v>201</v>
      </c>
      <c r="AC296" t="s">
        <v>121</v>
      </c>
      <c r="AD296" t="s">
        <v>222</v>
      </c>
      <c r="AE296" t="s">
        <v>240</v>
      </c>
      <c r="AG296" t="s">
        <v>121</v>
      </c>
      <c r="AH296" t="s">
        <v>64</v>
      </c>
      <c r="AI296" t="s">
        <v>121</v>
      </c>
      <c r="AJ296" t="s">
        <v>716</v>
      </c>
      <c r="AK296" t="s">
        <v>121</v>
      </c>
      <c r="AL296" t="s">
        <v>121</v>
      </c>
      <c r="AM296" t="s">
        <v>121</v>
      </c>
    </row>
    <row r="297" spans="9:39" x14ac:dyDescent="0.3">
      <c r="I297">
        <f ca="1">IF(OR(INDIRECT(A73&amp;ROW())=B93,INDIRECT(A73&amp;ROW())=B94),1,IF(AND(INDIRECT(A73&amp;ROW())=B95,INDIRECT(A96&amp;ROW())=C93),1,IF(AND(INDIRECT(A73&amp;ROW())=B95,INDIRECT(A96&amp;ROW())=C94),1,0)))</f>
        <v>0</v>
      </c>
      <c r="J297">
        <f ca="1">IF(AND(INDIRECT(A73&amp;ROW())=B95,INDIRECT(A96&amp;ROW())=C95),1,IF(AND(INDIRECT(A73&amp;ROW())=B95,INDIRECT(A96&amp;ROW())=C96),1,0))</f>
        <v>1</v>
      </c>
      <c r="K297">
        <f ca="1">DAYS360(INDIRECT(C68&amp;ROW()),TODAY())</f>
        <v>799</v>
      </c>
      <c r="L297">
        <f ca="1">DAYS360(INDIRECT(C69&amp;ROW()),TODAY())</f>
        <v>802</v>
      </c>
      <c r="M297">
        <f ca="1">HYPERLINK(CONCATENATE("https://bugzilla.houston.hp.com:1181/bugzilla/show_bug.cgi?id=",INDIRECT(C70&amp;ROW())),INDIRECT(C70&amp;ROW()))</f>
        <v>56839</v>
      </c>
      <c r="N297">
        <v>56839</v>
      </c>
      <c r="O297" t="s">
        <v>36</v>
      </c>
      <c r="P297" t="s">
        <v>668</v>
      </c>
      <c r="Q297" t="s">
        <v>25</v>
      </c>
      <c r="R297" t="s">
        <v>579</v>
      </c>
      <c r="S297" t="s">
        <v>552</v>
      </c>
      <c r="T297" t="s">
        <v>719</v>
      </c>
      <c r="U297" s="6">
        <v>42048.007557870369</v>
      </c>
      <c r="V297" t="s">
        <v>18</v>
      </c>
      <c r="W297" t="s">
        <v>341</v>
      </c>
      <c r="X297" s="6">
        <v>42045.448148148149</v>
      </c>
      <c r="Y297" t="s">
        <v>246</v>
      </c>
      <c r="AB297" t="s">
        <v>201</v>
      </c>
      <c r="AC297" t="s">
        <v>247</v>
      </c>
      <c r="AD297" t="s">
        <v>222</v>
      </c>
      <c r="AE297" t="s">
        <v>221</v>
      </c>
      <c r="AG297" t="s">
        <v>121</v>
      </c>
      <c r="AH297" t="s">
        <v>327</v>
      </c>
      <c r="AI297" t="s">
        <v>121</v>
      </c>
      <c r="AJ297" t="s">
        <v>716</v>
      </c>
      <c r="AK297" t="s">
        <v>121</v>
      </c>
      <c r="AL297" t="s">
        <v>121</v>
      </c>
      <c r="AM297" t="s">
        <v>121</v>
      </c>
    </row>
    <row r="298" spans="9:39" x14ac:dyDescent="0.3">
      <c r="I298">
        <f ca="1">IF(OR(INDIRECT(A73&amp;ROW())=B93,INDIRECT(A73&amp;ROW())=B94),1,IF(AND(INDIRECT(A73&amp;ROW())=B95,INDIRECT(A96&amp;ROW())=C93),1,IF(AND(INDIRECT(A73&amp;ROW())=B95,INDIRECT(A96&amp;ROW())=C94),1,0)))</f>
        <v>1</v>
      </c>
      <c r="J298">
        <f ca="1">IF(AND(INDIRECT(A73&amp;ROW())=B95,INDIRECT(A96&amp;ROW())=C95),1,IF(AND(INDIRECT(A73&amp;ROW())=B95,INDIRECT(A96&amp;ROW())=C96),1,0))</f>
        <v>0</v>
      </c>
      <c r="K298">
        <f ca="1">DAYS360(INDIRECT(C68&amp;ROW()),TODAY())</f>
        <v>614</v>
      </c>
      <c r="L298">
        <f ca="1">DAYS360(INDIRECT(C69&amp;ROW()),TODAY())</f>
        <v>802</v>
      </c>
      <c r="M298">
        <f ca="1">HYPERLINK(CONCATENATE("https://bugzilla.houston.hp.com:1181/bugzilla/show_bug.cgi?id=",INDIRECT(C70&amp;ROW())),INDIRECT(C70&amp;ROW()))</f>
        <v>56844</v>
      </c>
      <c r="N298">
        <v>56844</v>
      </c>
      <c r="O298" t="s">
        <v>56</v>
      </c>
      <c r="P298" t="s">
        <v>1394</v>
      </c>
      <c r="Q298" t="s">
        <v>25</v>
      </c>
      <c r="R298" t="s">
        <v>579</v>
      </c>
      <c r="S298" t="s">
        <v>552</v>
      </c>
      <c r="T298" t="s">
        <v>719</v>
      </c>
      <c r="U298" s="6">
        <v>42234.219629629632</v>
      </c>
      <c r="V298" t="s">
        <v>40</v>
      </c>
      <c r="W298" t="s">
        <v>317</v>
      </c>
      <c r="X298" s="6">
        <v>42045.450462962966</v>
      </c>
      <c r="Y298" t="s">
        <v>245</v>
      </c>
      <c r="AB298" t="s">
        <v>200</v>
      </c>
      <c r="AC298" t="s">
        <v>247</v>
      </c>
      <c r="AD298" t="s">
        <v>220</v>
      </c>
      <c r="AE298" t="s">
        <v>219</v>
      </c>
      <c r="AG298" t="s">
        <v>1082</v>
      </c>
      <c r="AH298" t="s">
        <v>64</v>
      </c>
      <c r="AI298" t="s">
        <v>121</v>
      </c>
      <c r="AJ298" t="s">
        <v>715</v>
      </c>
      <c r="AK298" t="s">
        <v>121</v>
      </c>
      <c r="AL298" t="s">
        <v>121</v>
      </c>
      <c r="AM298" t="s">
        <v>121</v>
      </c>
    </row>
    <row r="299" spans="9:39" x14ac:dyDescent="0.3">
      <c r="I299">
        <f ca="1">IF(OR(INDIRECT(A73&amp;ROW())=B93,INDIRECT(A73&amp;ROW())=B94),1,IF(AND(INDIRECT(A73&amp;ROW())=B95,INDIRECT(A96&amp;ROW())=C93),1,IF(AND(INDIRECT(A73&amp;ROW())=B95,INDIRECT(A96&amp;ROW())=C94),1,0)))</f>
        <v>0</v>
      </c>
      <c r="J299">
        <f ca="1">IF(AND(INDIRECT(A73&amp;ROW())=B95,INDIRECT(A96&amp;ROW())=C95),1,IF(AND(INDIRECT(A73&amp;ROW())=B95,INDIRECT(A96&amp;ROW())=C96),1,0))</f>
        <v>1</v>
      </c>
      <c r="K299">
        <f ca="1">DAYS360(INDIRECT(C68&amp;ROW()),TODAY())</f>
        <v>802</v>
      </c>
      <c r="L299">
        <f ca="1">DAYS360(INDIRECT(C69&amp;ROW()),TODAY())</f>
        <v>802</v>
      </c>
      <c r="M299">
        <f ca="1">HYPERLINK(CONCATENATE("https://bugzilla.houston.hp.com:1181/bugzilla/show_bug.cgi?id=",INDIRECT(C70&amp;ROW())),INDIRECT(C70&amp;ROW()))</f>
        <v>56848</v>
      </c>
      <c r="N299">
        <v>56848</v>
      </c>
      <c r="O299" t="s">
        <v>36</v>
      </c>
      <c r="P299" t="s">
        <v>665</v>
      </c>
      <c r="Q299" t="s">
        <v>25</v>
      </c>
      <c r="R299" t="s">
        <v>248</v>
      </c>
      <c r="S299" t="s">
        <v>552</v>
      </c>
      <c r="U299" s="6">
        <v>42045.500856481478</v>
      </c>
      <c r="V299" t="s">
        <v>18</v>
      </c>
      <c r="W299" t="s">
        <v>576</v>
      </c>
      <c r="X299" s="6">
        <v>42045.465833333335</v>
      </c>
      <c r="Y299" t="s">
        <v>124</v>
      </c>
      <c r="AB299" t="s">
        <v>201</v>
      </c>
      <c r="AC299" t="s">
        <v>247</v>
      </c>
      <c r="AD299" t="s">
        <v>222</v>
      </c>
      <c r="AE299" t="s">
        <v>221</v>
      </c>
      <c r="AG299" t="s">
        <v>121</v>
      </c>
      <c r="AH299" t="s">
        <v>327</v>
      </c>
      <c r="AI299" t="s">
        <v>121</v>
      </c>
      <c r="AJ299" t="s">
        <v>716</v>
      </c>
      <c r="AK299" t="s">
        <v>121</v>
      </c>
      <c r="AL299" t="s">
        <v>121</v>
      </c>
      <c r="AM299" t="s">
        <v>121</v>
      </c>
    </row>
    <row r="300" spans="9:39" x14ac:dyDescent="0.3">
      <c r="I300">
        <f ca="1">IF(OR(INDIRECT(A73&amp;ROW())=B93,INDIRECT(A73&amp;ROW())=B94),1,IF(AND(INDIRECT(A73&amp;ROW())=B95,INDIRECT(A96&amp;ROW())=C93),1,IF(AND(INDIRECT(A73&amp;ROW())=B95,INDIRECT(A96&amp;ROW())=C94),1,0)))</f>
        <v>1</v>
      </c>
      <c r="J300">
        <f ca="1">IF(AND(INDIRECT(A73&amp;ROW())=B95,INDIRECT(A96&amp;ROW())=C95),1,IF(AND(INDIRECT(A73&amp;ROW())=B95,INDIRECT(A96&amp;ROW())=C96),1,0))</f>
        <v>0</v>
      </c>
      <c r="K300">
        <f ca="1">DAYS360(INDIRECT(C68&amp;ROW()),TODAY())</f>
        <v>677</v>
      </c>
      <c r="L300">
        <f ca="1">DAYS360(INDIRECT(C69&amp;ROW()),TODAY())</f>
        <v>802</v>
      </c>
      <c r="M300">
        <f ca="1">HYPERLINK(CONCATENATE("https://bugzilla.houston.hp.com:1181/bugzilla/show_bug.cgi?id=",INDIRECT(C70&amp;ROW())),INDIRECT(C70&amp;ROW()))</f>
        <v>56849</v>
      </c>
      <c r="N300">
        <v>56849</v>
      </c>
      <c r="O300" t="s">
        <v>56</v>
      </c>
      <c r="P300" t="s">
        <v>664</v>
      </c>
      <c r="Q300" t="s">
        <v>39</v>
      </c>
      <c r="R300" t="s">
        <v>248</v>
      </c>
      <c r="S300" t="s">
        <v>552</v>
      </c>
      <c r="U300" s="6">
        <v>42170.560057870367</v>
      </c>
      <c r="V300" t="s">
        <v>18</v>
      </c>
      <c r="W300" t="s">
        <v>324</v>
      </c>
      <c r="X300" s="6">
        <v>42045.466180555559</v>
      </c>
      <c r="Y300" t="s">
        <v>122</v>
      </c>
      <c r="AB300" t="s">
        <v>201</v>
      </c>
      <c r="AC300" t="s">
        <v>247</v>
      </c>
      <c r="AD300" t="s">
        <v>220</v>
      </c>
      <c r="AE300" t="s">
        <v>219</v>
      </c>
      <c r="AG300" t="s">
        <v>121</v>
      </c>
      <c r="AH300" t="s">
        <v>327</v>
      </c>
      <c r="AI300" t="s">
        <v>121</v>
      </c>
      <c r="AJ300" t="s">
        <v>715</v>
      </c>
      <c r="AK300" t="s">
        <v>121</v>
      </c>
      <c r="AL300" t="s">
        <v>121</v>
      </c>
      <c r="AM300" t="s">
        <v>121</v>
      </c>
    </row>
    <row r="301" spans="9:39" x14ac:dyDescent="0.3">
      <c r="I301">
        <f ca="1">IF(OR(INDIRECT(A73&amp;ROW())=B93,INDIRECT(A73&amp;ROW())=B94),1,IF(AND(INDIRECT(A73&amp;ROW())=B95,INDIRECT(A96&amp;ROW())=C93),1,IF(AND(INDIRECT(A73&amp;ROW())=B95,INDIRECT(A96&amp;ROW())=C94),1,0)))</f>
        <v>0</v>
      </c>
      <c r="J301">
        <f ca="1">IF(AND(INDIRECT(A73&amp;ROW())=B95,INDIRECT(A96&amp;ROW())=C95),1,IF(AND(INDIRECT(A73&amp;ROW())=B95,INDIRECT(A96&amp;ROW())=C96),1,0))</f>
        <v>1</v>
      </c>
      <c r="K301">
        <f ca="1">DAYS360(INDIRECT(C68&amp;ROW()),TODAY())</f>
        <v>690</v>
      </c>
      <c r="L301">
        <f ca="1">DAYS360(INDIRECT(C69&amp;ROW()),TODAY())</f>
        <v>802</v>
      </c>
      <c r="M301">
        <f ca="1">HYPERLINK(CONCATENATE("https://bugzilla.houston.hp.com:1181/bugzilla/show_bug.cgi?id=",INDIRECT(C70&amp;ROW())),INDIRECT(C70&amp;ROW()))</f>
        <v>56850</v>
      </c>
      <c r="N301">
        <v>56850</v>
      </c>
      <c r="O301" t="s">
        <v>36</v>
      </c>
      <c r="P301" t="s">
        <v>663</v>
      </c>
      <c r="Q301" t="s">
        <v>25</v>
      </c>
      <c r="R301" t="s">
        <v>248</v>
      </c>
      <c r="S301" t="s">
        <v>552</v>
      </c>
      <c r="U301" s="6">
        <v>42157.094629629632</v>
      </c>
      <c r="V301" t="s">
        <v>18</v>
      </c>
      <c r="W301" t="s">
        <v>171</v>
      </c>
      <c r="X301" s="6">
        <v>42045.466585648152</v>
      </c>
      <c r="Y301" t="s">
        <v>119</v>
      </c>
      <c r="AB301" t="s">
        <v>201</v>
      </c>
      <c r="AC301" t="s">
        <v>121</v>
      </c>
      <c r="AD301" t="s">
        <v>220</v>
      </c>
      <c r="AE301" t="s">
        <v>223</v>
      </c>
      <c r="AG301" t="s">
        <v>121</v>
      </c>
      <c r="AH301" t="s">
        <v>327</v>
      </c>
      <c r="AI301" t="s">
        <v>121</v>
      </c>
      <c r="AJ301" t="s">
        <v>716</v>
      </c>
      <c r="AK301" t="s">
        <v>121</v>
      </c>
      <c r="AL301" t="s">
        <v>121</v>
      </c>
      <c r="AM301" t="s">
        <v>121</v>
      </c>
    </row>
    <row r="302" spans="9:39" x14ac:dyDescent="0.3">
      <c r="I302">
        <f ca="1">IF(OR(INDIRECT(A73&amp;ROW())=B93,INDIRECT(A73&amp;ROW())=B94),1,IF(AND(INDIRECT(A73&amp;ROW())=B95,INDIRECT(A96&amp;ROW())=C93),1,IF(AND(INDIRECT(A73&amp;ROW())=B95,INDIRECT(A96&amp;ROW())=C94),1,0)))</f>
        <v>1</v>
      </c>
      <c r="J302">
        <f ca="1">IF(AND(INDIRECT(A73&amp;ROW())=B95,INDIRECT(A96&amp;ROW())=C95),1,IF(AND(INDIRECT(A73&amp;ROW())=B95,INDIRECT(A96&amp;ROW())=C96),1,0))</f>
        <v>0</v>
      </c>
      <c r="K302">
        <f ca="1">DAYS360(INDIRECT(C68&amp;ROW()),TODAY())</f>
        <v>684</v>
      </c>
      <c r="L302">
        <f ca="1">DAYS360(INDIRECT(C69&amp;ROW()),TODAY())</f>
        <v>802</v>
      </c>
      <c r="M302">
        <f ca="1">HYPERLINK(CONCATENATE("https://bugzilla.houston.hp.com:1181/bugzilla/show_bug.cgi?id=",INDIRECT(C70&amp;ROW())),INDIRECT(C70&amp;ROW()))</f>
        <v>56851</v>
      </c>
      <c r="N302">
        <v>56851</v>
      </c>
      <c r="O302" t="s">
        <v>53</v>
      </c>
      <c r="P302" t="s">
        <v>662</v>
      </c>
      <c r="Q302" t="s">
        <v>39</v>
      </c>
      <c r="R302" t="s">
        <v>248</v>
      </c>
      <c r="S302" t="s">
        <v>552</v>
      </c>
      <c r="U302" s="6">
        <v>42163.604212962964</v>
      </c>
      <c r="V302" t="s">
        <v>18</v>
      </c>
      <c r="W302" t="s">
        <v>258</v>
      </c>
      <c r="X302" s="6">
        <v>42045.466851851852</v>
      </c>
      <c r="Y302" t="s">
        <v>119</v>
      </c>
      <c r="AB302" t="s">
        <v>201</v>
      </c>
      <c r="AC302" t="s">
        <v>247</v>
      </c>
      <c r="AD302" t="s">
        <v>220</v>
      </c>
      <c r="AE302" t="s">
        <v>219</v>
      </c>
      <c r="AG302" t="s">
        <v>121</v>
      </c>
      <c r="AH302" t="s">
        <v>64</v>
      </c>
      <c r="AI302" t="s">
        <v>121</v>
      </c>
      <c r="AJ302" t="s">
        <v>715</v>
      </c>
      <c r="AK302" t="s">
        <v>121</v>
      </c>
      <c r="AL302" t="s">
        <v>121</v>
      </c>
      <c r="AM302" t="s">
        <v>121</v>
      </c>
    </row>
    <row r="303" spans="9:39" x14ac:dyDescent="0.3">
      <c r="I303">
        <f ca="1">IF(OR(INDIRECT(A73&amp;ROW())=B93,INDIRECT(A73&amp;ROW())=B94),1,IF(AND(INDIRECT(A73&amp;ROW())=B95,INDIRECT(A96&amp;ROW())=C93),1,IF(AND(INDIRECT(A73&amp;ROW())=B95,INDIRECT(A96&amp;ROW())=C94),1,0)))</f>
        <v>0</v>
      </c>
      <c r="J303">
        <f ca="1">IF(AND(INDIRECT(A73&amp;ROW())=B95,INDIRECT(A96&amp;ROW())=C95),1,IF(AND(INDIRECT(A73&amp;ROW())=B95,INDIRECT(A96&amp;ROW())=C96),1,0))</f>
        <v>1</v>
      </c>
      <c r="K303">
        <f ca="1">DAYS360(INDIRECT(C68&amp;ROW()),TODAY())</f>
        <v>802</v>
      </c>
      <c r="L303">
        <f ca="1">DAYS360(INDIRECT(C69&amp;ROW()),TODAY())</f>
        <v>802</v>
      </c>
      <c r="M303">
        <f ca="1">HYPERLINK(CONCATENATE("https://bugzilla.houston.hp.com:1181/bugzilla/show_bug.cgi?id=",INDIRECT(C70&amp;ROW())),INDIRECT(C70&amp;ROW()))</f>
        <v>56854</v>
      </c>
      <c r="N303">
        <v>56854</v>
      </c>
      <c r="O303" t="s">
        <v>56</v>
      </c>
      <c r="P303" t="s">
        <v>661</v>
      </c>
      <c r="Q303" t="s">
        <v>25</v>
      </c>
      <c r="R303" t="s">
        <v>248</v>
      </c>
      <c r="S303" t="s">
        <v>552</v>
      </c>
      <c r="U303" s="6">
        <v>42045.50408564815</v>
      </c>
      <c r="V303" t="s">
        <v>18</v>
      </c>
      <c r="W303" t="s">
        <v>288</v>
      </c>
      <c r="X303" s="6">
        <v>42045.467939814815</v>
      </c>
      <c r="Y303" t="s">
        <v>119</v>
      </c>
      <c r="AB303" t="s">
        <v>201</v>
      </c>
      <c r="AC303" t="s">
        <v>121</v>
      </c>
      <c r="AD303" t="s">
        <v>220</v>
      </c>
      <c r="AE303" t="s">
        <v>219</v>
      </c>
      <c r="AF303" s="13">
        <v>41901</v>
      </c>
      <c r="AG303" t="s">
        <v>121</v>
      </c>
      <c r="AH303" t="s">
        <v>327</v>
      </c>
      <c r="AI303" t="s">
        <v>121</v>
      </c>
      <c r="AJ303" t="s">
        <v>716</v>
      </c>
      <c r="AK303" t="s">
        <v>121</v>
      </c>
      <c r="AL303" t="s">
        <v>121</v>
      </c>
      <c r="AM303" t="s">
        <v>121</v>
      </c>
    </row>
    <row r="304" spans="9:39" x14ac:dyDescent="0.3">
      <c r="I304">
        <f ca="1">IF(OR(INDIRECT(A73&amp;ROW())=B93,INDIRECT(A73&amp;ROW())=B94),1,IF(AND(INDIRECT(A73&amp;ROW())=B95,INDIRECT(A96&amp;ROW())=C93),1,IF(AND(INDIRECT(A73&amp;ROW())=B95,INDIRECT(A96&amp;ROW())=C94),1,0)))</f>
        <v>0</v>
      </c>
      <c r="J304">
        <f ca="1">IF(AND(INDIRECT(A73&amp;ROW())=B95,INDIRECT(A96&amp;ROW())=C95),1,IF(AND(INDIRECT(A73&amp;ROW())=B95,INDIRECT(A96&amp;ROW())=C96),1,0))</f>
        <v>1</v>
      </c>
      <c r="K304">
        <f ca="1">DAYS360(INDIRECT(C68&amp;ROW()),TODAY())</f>
        <v>802</v>
      </c>
      <c r="L304">
        <f ca="1">DAYS360(INDIRECT(C69&amp;ROW()),TODAY())</f>
        <v>802</v>
      </c>
      <c r="M304">
        <f ca="1">HYPERLINK(CONCATENATE("https://bugzilla.houston.hp.com:1181/bugzilla/show_bug.cgi?id=",INDIRECT(C70&amp;ROW())),INDIRECT(C70&amp;ROW()))</f>
        <v>56857</v>
      </c>
      <c r="N304">
        <v>56857</v>
      </c>
      <c r="O304" t="s">
        <v>36</v>
      </c>
      <c r="P304" t="s">
        <v>659</v>
      </c>
      <c r="Q304" t="s">
        <v>25</v>
      </c>
      <c r="R304" t="s">
        <v>248</v>
      </c>
      <c r="S304" t="s">
        <v>552</v>
      </c>
      <c r="U304" s="6">
        <v>42045.499108796299</v>
      </c>
      <c r="V304" t="s">
        <v>18</v>
      </c>
      <c r="W304" t="s">
        <v>341</v>
      </c>
      <c r="X304" s="6">
        <v>42045.468923611108</v>
      </c>
      <c r="Y304" t="s">
        <v>246</v>
      </c>
      <c r="AB304" t="s">
        <v>201</v>
      </c>
      <c r="AC304" t="s">
        <v>247</v>
      </c>
      <c r="AD304" t="s">
        <v>222</v>
      </c>
      <c r="AE304" t="s">
        <v>221</v>
      </c>
      <c r="AG304" t="s">
        <v>121</v>
      </c>
      <c r="AH304" t="s">
        <v>327</v>
      </c>
      <c r="AI304" t="s">
        <v>121</v>
      </c>
      <c r="AJ304" t="s">
        <v>716</v>
      </c>
      <c r="AK304" t="s">
        <v>121</v>
      </c>
      <c r="AL304" t="s">
        <v>121</v>
      </c>
      <c r="AM304" t="s">
        <v>121</v>
      </c>
    </row>
    <row r="305" spans="9:39" x14ac:dyDescent="0.3">
      <c r="I305">
        <f ca="1">IF(OR(INDIRECT(A73&amp;ROW())=B93,INDIRECT(A73&amp;ROW())=B94),1,IF(AND(INDIRECT(A73&amp;ROW())=B95,INDIRECT(A96&amp;ROW())=C93),1,IF(AND(INDIRECT(A73&amp;ROW())=B95,INDIRECT(A96&amp;ROW())=C94),1,0)))</f>
        <v>0</v>
      </c>
      <c r="J305">
        <f ca="1">IF(AND(INDIRECT(A73&amp;ROW())=B95,INDIRECT(A96&amp;ROW())=C95),1,IF(AND(INDIRECT(A73&amp;ROW())=B95,INDIRECT(A96&amp;ROW())=C96),1,0))</f>
        <v>1</v>
      </c>
      <c r="K305">
        <f ca="1">DAYS360(INDIRECT(C68&amp;ROW()),TODAY())</f>
        <v>802</v>
      </c>
      <c r="L305">
        <f ca="1">DAYS360(INDIRECT(C69&amp;ROW()),TODAY())</f>
        <v>802</v>
      </c>
      <c r="M305">
        <f ca="1">HYPERLINK(CONCATENATE("https://bugzilla.houston.hp.com:1181/bugzilla/show_bug.cgi?id=",INDIRECT(C70&amp;ROW())),INDIRECT(C70&amp;ROW()))</f>
        <v>56860</v>
      </c>
      <c r="N305">
        <v>56860</v>
      </c>
      <c r="O305" t="s">
        <v>36</v>
      </c>
      <c r="P305" t="s">
        <v>658</v>
      </c>
      <c r="Q305" t="s">
        <v>25</v>
      </c>
      <c r="R305" t="s">
        <v>248</v>
      </c>
      <c r="S305" t="s">
        <v>552</v>
      </c>
      <c r="U305" s="6">
        <v>42045.504421296297</v>
      </c>
      <c r="V305" t="s">
        <v>18</v>
      </c>
      <c r="W305" t="s">
        <v>343</v>
      </c>
      <c r="X305" s="6">
        <v>42045.469652777778</v>
      </c>
      <c r="Y305" t="s">
        <v>246</v>
      </c>
      <c r="AB305" t="s">
        <v>201</v>
      </c>
      <c r="AC305" t="s">
        <v>247</v>
      </c>
      <c r="AD305" t="s">
        <v>222</v>
      </c>
      <c r="AE305" t="s">
        <v>221</v>
      </c>
      <c r="AG305" t="s">
        <v>121</v>
      </c>
      <c r="AH305" t="s">
        <v>327</v>
      </c>
      <c r="AI305" t="s">
        <v>121</v>
      </c>
      <c r="AJ305" t="s">
        <v>716</v>
      </c>
      <c r="AK305" t="s">
        <v>121</v>
      </c>
      <c r="AL305" t="s">
        <v>121</v>
      </c>
      <c r="AM305" t="s">
        <v>121</v>
      </c>
    </row>
    <row r="306" spans="9:39" x14ac:dyDescent="0.3">
      <c r="I306">
        <f ca="1">IF(OR(INDIRECT(A73&amp;ROW())=B93,INDIRECT(A73&amp;ROW())=B94),1,IF(AND(INDIRECT(A73&amp;ROW())=B95,INDIRECT(A96&amp;ROW())=C93),1,IF(AND(INDIRECT(A73&amp;ROW())=B95,INDIRECT(A96&amp;ROW())=C94),1,0)))</f>
        <v>0</v>
      </c>
      <c r="J306">
        <f ca="1">IF(AND(INDIRECT(A73&amp;ROW())=B95,INDIRECT(A96&amp;ROW())=C95),1,IF(AND(INDIRECT(A73&amp;ROW())=B95,INDIRECT(A96&amp;ROW())=C96),1,0))</f>
        <v>1</v>
      </c>
      <c r="K306">
        <f ca="1">DAYS360(INDIRECT(C68&amp;ROW()),TODAY())</f>
        <v>802</v>
      </c>
      <c r="L306">
        <f ca="1">DAYS360(INDIRECT(C69&amp;ROW()),TODAY())</f>
        <v>802</v>
      </c>
      <c r="M306">
        <f ca="1">HYPERLINK(CONCATENATE("https://bugzilla.houston.hp.com:1181/bugzilla/show_bug.cgi?id=",INDIRECT(C70&amp;ROW())),INDIRECT(C70&amp;ROW()))</f>
        <v>56861</v>
      </c>
      <c r="N306">
        <v>56861</v>
      </c>
      <c r="O306" t="s">
        <v>36</v>
      </c>
      <c r="P306" t="s">
        <v>657</v>
      </c>
      <c r="Q306" t="s">
        <v>25</v>
      </c>
      <c r="R306" t="s">
        <v>248</v>
      </c>
      <c r="S306" t="s">
        <v>552</v>
      </c>
      <c r="U306" s="6">
        <v>42045.500555555554</v>
      </c>
      <c r="V306" t="s">
        <v>18</v>
      </c>
      <c r="W306" t="s">
        <v>211</v>
      </c>
      <c r="X306" s="6">
        <v>42045.47</v>
      </c>
      <c r="Y306" t="s">
        <v>119</v>
      </c>
      <c r="AB306" t="s">
        <v>201</v>
      </c>
      <c r="AC306" t="s">
        <v>121</v>
      </c>
      <c r="AD306" t="s">
        <v>222</v>
      </c>
      <c r="AE306" t="s">
        <v>240</v>
      </c>
      <c r="AG306" t="s">
        <v>121</v>
      </c>
      <c r="AH306" t="s">
        <v>64</v>
      </c>
      <c r="AI306" t="s">
        <v>121</v>
      </c>
      <c r="AJ306" t="s">
        <v>716</v>
      </c>
      <c r="AK306" t="s">
        <v>121</v>
      </c>
      <c r="AL306" t="s">
        <v>121</v>
      </c>
      <c r="AM306" t="s">
        <v>121</v>
      </c>
    </row>
    <row r="307" spans="9:39" x14ac:dyDescent="0.3">
      <c r="I307">
        <f ca="1">IF(OR(INDIRECT(A73&amp;ROW())=B93,INDIRECT(A73&amp;ROW())=B94),1,IF(AND(INDIRECT(A73&amp;ROW())=B95,INDIRECT(A96&amp;ROW())=C93),1,IF(AND(INDIRECT(A73&amp;ROW())=B95,INDIRECT(A96&amp;ROW())=C94),1,0)))</f>
        <v>0</v>
      </c>
      <c r="J307">
        <f ca="1">IF(AND(INDIRECT(A73&amp;ROW())=B95,INDIRECT(A96&amp;ROW())=C95),1,IF(AND(INDIRECT(A73&amp;ROW())=B95,INDIRECT(A96&amp;ROW())=C96),1,0))</f>
        <v>1</v>
      </c>
      <c r="K307">
        <f ca="1">DAYS360(INDIRECT(C68&amp;ROW()),TODAY())</f>
        <v>802</v>
      </c>
      <c r="L307">
        <f ca="1">DAYS360(INDIRECT(C69&amp;ROW()),TODAY())</f>
        <v>802</v>
      </c>
      <c r="M307">
        <f ca="1">HYPERLINK(CONCATENATE("https://bugzilla.houston.hp.com:1181/bugzilla/show_bug.cgi?id=",INDIRECT(C70&amp;ROW())),INDIRECT(C70&amp;ROW()))</f>
        <v>56864</v>
      </c>
      <c r="N307">
        <v>56864</v>
      </c>
      <c r="O307" t="s">
        <v>56</v>
      </c>
      <c r="P307" t="s">
        <v>655</v>
      </c>
      <c r="Q307" t="s">
        <v>25</v>
      </c>
      <c r="R307" t="s">
        <v>248</v>
      </c>
      <c r="S307" t="s">
        <v>552</v>
      </c>
      <c r="U307" s="6">
        <v>42045.499976851854</v>
      </c>
      <c r="V307" t="s">
        <v>18</v>
      </c>
      <c r="W307" t="s">
        <v>172</v>
      </c>
      <c r="X307" s="6">
        <v>42045.471018518518</v>
      </c>
      <c r="Y307" t="s">
        <v>119</v>
      </c>
      <c r="AB307" t="s">
        <v>201</v>
      </c>
      <c r="AC307" t="s">
        <v>121</v>
      </c>
      <c r="AD307" t="s">
        <v>220</v>
      </c>
      <c r="AE307" t="s">
        <v>219</v>
      </c>
      <c r="AG307" t="s">
        <v>121</v>
      </c>
      <c r="AH307" t="s">
        <v>327</v>
      </c>
      <c r="AI307" t="s">
        <v>121</v>
      </c>
      <c r="AJ307" t="s">
        <v>716</v>
      </c>
      <c r="AK307" t="s">
        <v>121</v>
      </c>
      <c r="AL307" t="s">
        <v>121</v>
      </c>
      <c r="AM307" t="s">
        <v>121</v>
      </c>
    </row>
    <row r="308" spans="9:39" x14ac:dyDescent="0.3">
      <c r="I308">
        <f ca="1">IF(OR(INDIRECT(A73&amp;ROW())=B93,INDIRECT(A73&amp;ROW())=B94),1,IF(AND(INDIRECT(A73&amp;ROW())=B95,INDIRECT(A96&amp;ROW())=C93),1,IF(AND(INDIRECT(A73&amp;ROW())=B95,INDIRECT(A96&amp;ROW())=C94),1,0)))</f>
        <v>1</v>
      </c>
      <c r="J308">
        <f ca="1">IF(AND(INDIRECT(A73&amp;ROW())=B95,INDIRECT(A96&amp;ROW())=C95),1,IF(AND(INDIRECT(A73&amp;ROW())=B95,INDIRECT(A96&amp;ROW())=C96),1,0))</f>
        <v>0</v>
      </c>
      <c r="K308">
        <f ca="1">DAYS360(INDIRECT(C68&amp;ROW()),TODAY())</f>
        <v>614</v>
      </c>
      <c r="L308">
        <f ca="1">DAYS360(INDIRECT(C69&amp;ROW()),TODAY())</f>
        <v>802</v>
      </c>
      <c r="M308">
        <f ca="1">HYPERLINK(CONCATENATE("https://bugzilla.houston.hp.com:1181/bugzilla/show_bug.cgi?id=",INDIRECT(C70&amp;ROW())),INDIRECT(C70&amp;ROW()))</f>
        <v>56865</v>
      </c>
      <c r="N308">
        <v>56865</v>
      </c>
      <c r="O308" t="s">
        <v>56</v>
      </c>
      <c r="P308" t="s">
        <v>1395</v>
      </c>
      <c r="Q308" t="s">
        <v>25</v>
      </c>
      <c r="R308" t="s">
        <v>248</v>
      </c>
      <c r="S308" t="s">
        <v>552</v>
      </c>
      <c r="U308" s="6">
        <v>42234.219664351855</v>
      </c>
      <c r="V308" t="s">
        <v>40</v>
      </c>
      <c r="W308" t="s">
        <v>317</v>
      </c>
      <c r="X308" s="6">
        <v>42045.471365740741</v>
      </c>
      <c r="Y308" t="s">
        <v>245</v>
      </c>
      <c r="AB308" t="s">
        <v>200</v>
      </c>
      <c r="AC308" t="s">
        <v>247</v>
      </c>
      <c r="AD308" t="s">
        <v>220</v>
      </c>
      <c r="AE308" t="s">
        <v>219</v>
      </c>
      <c r="AG308" t="s">
        <v>1082</v>
      </c>
      <c r="AH308" t="s">
        <v>64</v>
      </c>
      <c r="AI308" t="s">
        <v>121</v>
      </c>
      <c r="AJ308" t="s">
        <v>715</v>
      </c>
      <c r="AK308" t="s">
        <v>121</v>
      </c>
      <c r="AL308" t="s">
        <v>121</v>
      </c>
      <c r="AM308" t="s">
        <v>121</v>
      </c>
    </row>
    <row r="309" spans="9:39" x14ac:dyDescent="0.3">
      <c r="I309">
        <f ca="1">IF(OR(INDIRECT(A73&amp;ROW())=B93,INDIRECT(A73&amp;ROW())=B94),1,IF(AND(INDIRECT(A73&amp;ROW())=B95,INDIRECT(A96&amp;ROW())=C93),1,IF(AND(INDIRECT(A73&amp;ROW())=B95,INDIRECT(A96&amp;ROW())=C94),1,0)))</f>
        <v>0</v>
      </c>
      <c r="J309">
        <f ca="1">IF(AND(INDIRECT(A73&amp;ROW())=B95,INDIRECT(A96&amp;ROW())=C95),1,IF(AND(INDIRECT(A73&amp;ROW())=B95,INDIRECT(A96&amp;ROW())=C96),1,0))</f>
        <v>1</v>
      </c>
      <c r="K309">
        <f ca="1">DAYS360(INDIRECT(C68&amp;ROW()),TODAY())</f>
        <v>721</v>
      </c>
      <c r="L309">
        <f ca="1">DAYS360(INDIRECT(C69&amp;ROW()),TODAY())</f>
        <v>802</v>
      </c>
      <c r="M309">
        <f ca="1">HYPERLINK(CONCATENATE("https://bugzilla.houston.hp.com:1181/bugzilla/show_bug.cgi?id=",INDIRECT(C70&amp;ROW())),INDIRECT(C70&amp;ROW()))</f>
        <v>56866</v>
      </c>
      <c r="N309">
        <v>56866</v>
      </c>
      <c r="O309" t="s">
        <v>56</v>
      </c>
      <c r="P309" t="s">
        <v>654</v>
      </c>
      <c r="Q309" t="s">
        <v>25</v>
      </c>
      <c r="R309" t="s">
        <v>248</v>
      </c>
      <c r="S309" t="s">
        <v>552</v>
      </c>
      <c r="U309" s="6">
        <v>42125.449675925927</v>
      </c>
      <c r="V309" t="s">
        <v>18</v>
      </c>
      <c r="W309" t="s">
        <v>372</v>
      </c>
      <c r="X309" s="6">
        <v>42045.471747685187</v>
      </c>
      <c r="Y309" t="s">
        <v>122</v>
      </c>
      <c r="AB309" t="s">
        <v>201</v>
      </c>
      <c r="AC309" t="s">
        <v>247</v>
      </c>
      <c r="AD309" t="s">
        <v>220</v>
      </c>
      <c r="AE309" t="s">
        <v>219</v>
      </c>
      <c r="AG309" t="s">
        <v>121</v>
      </c>
      <c r="AH309" t="s">
        <v>327</v>
      </c>
      <c r="AI309" t="s">
        <v>121</v>
      </c>
      <c r="AJ309" t="s">
        <v>716</v>
      </c>
      <c r="AK309" t="s">
        <v>121</v>
      </c>
      <c r="AL309" t="s">
        <v>121</v>
      </c>
      <c r="AM309" t="s">
        <v>121</v>
      </c>
    </row>
    <row r="310" spans="9:39" x14ac:dyDescent="0.3">
      <c r="I310">
        <f ca="1">IF(OR(INDIRECT(A73&amp;ROW())=B93,INDIRECT(A73&amp;ROW())=B94),1,IF(AND(INDIRECT(A73&amp;ROW())=B95,INDIRECT(A96&amp;ROW())=C93),1,IF(AND(INDIRECT(A73&amp;ROW())=B95,INDIRECT(A96&amp;ROW())=C94),1,0)))</f>
        <v>0</v>
      </c>
      <c r="J310">
        <f ca="1">IF(AND(INDIRECT(A73&amp;ROW())=B95,INDIRECT(A96&amp;ROW())=C95),1,IF(AND(INDIRECT(A73&amp;ROW())=B95,INDIRECT(A96&amp;ROW())=C96),1,0))</f>
        <v>1</v>
      </c>
      <c r="K310">
        <f ca="1">DAYS360(INDIRECT(C68&amp;ROW()),TODAY())</f>
        <v>640</v>
      </c>
      <c r="L310">
        <f ca="1">DAYS360(INDIRECT(C69&amp;ROW()),TODAY())</f>
        <v>802</v>
      </c>
      <c r="M310">
        <f ca="1">HYPERLINK(CONCATENATE("https://bugzilla.houston.hp.com:1181/bugzilla/show_bug.cgi?id=",INDIRECT(C70&amp;ROW())),INDIRECT(C70&amp;ROW()))</f>
        <v>56895</v>
      </c>
      <c r="N310">
        <v>56895</v>
      </c>
      <c r="O310" t="s">
        <v>22</v>
      </c>
      <c r="P310" t="s">
        <v>738</v>
      </c>
      <c r="Q310" t="s">
        <v>25</v>
      </c>
      <c r="R310" t="s">
        <v>251</v>
      </c>
      <c r="S310" t="s">
        <v>52</v>
      </c>
      <c r="T310" t="s">
        <v>48</v>
      </c>
      <c r="U310" s="6">
        <v>42207.722395833334</v>
      </c>
      <c r="V310" t="s">
        <v>35</v>
      </c>
      <c r="W310" t="s">
        <v>17</v>
      </c>
      <c r="X310" s="6">
        <v>42045.609618055554</v>
      </c>
      <c r="Y310" t="s">
        <v>535</v>
      </c>
      <c r="AB310" t="s">
        <v>201</v>
      </c>
      <c r="AC310" t="s">
        <v>247</v>
      </c>
      <c r="AD310" t="s">
        <v>220</v>
      </c>
      <c r="AE310" t="s">
        <v>219</v>
      </c>
      <c r="AG310" t="s">
        <v>121</v>
      </c>
      <c r="AH310" t="s">
        <v>327</v>
      </c>
      <c r="AI310" t="s">
        <v>121</v>
      </c>
      <c r="AJ310" t="s">
        <v>716</v>
      </c>
      <c r="AK310" t="s">
        <v>121</v>
      </c>
      <c r="AL310" t="s">
        <v>121</v>
      </c>
      <c r="AM310" t="s">
        <v>121</v>
      </c>
    </row>
    <row r="311" spans="9:39" x14ac:dyDescent="0.3">
      <c r="I311">
        <f ca="1">IF(OR(INDIRECT(A73&amp;ROW())=B93,INDIRECT(A73&amp;ROW())=B94),1,IF(AND(INDIRECT(A73&amp;ROW())=B95,INDIRECT(A96&amp;ROW())=C93),1,IF(AND(INDIRECT(A73&amp;ROW())=B95,INDIRECT(A96&amp;ROW())=C94),1,0)))</f>
        <v>0</v>
      </c>
      <c r="J311">
        <f ca="1">IF(AND(INDIRECT(A73&amp;ROW())=B95,INDIRECT(A96&amp;ROW())=C95),1,IF(AND(INDIRECT(A73&amp;ROW())=B95,INDIRECT(A96&amp;ROW())=C96),1,0))</f>
        <v>0</v>
      </c>
      <c r="K311">
        <f ca="1">DAYS360(INDIRECT(C68&amp;ROW()),TODAY())</f>
        <v>802</v>
      </c>
      <c r="L311">
        <f ca="1">DAYS360(INDIRECT(C69&amp;ROW()),TODAY())</f>
        <v>802</v>
      </c>
      <c r="M311">
        <f ca="1">HYPERLINK(CONCATENATE("https://bugzilla.houston.hp.com:1181/bugzilla/show_bug.cgi?id=",INDIRECT(C70&amp;ROW())),INDIRECT(C70&amp;ROW()))</f>
        <v>56896</v>
      </c>
      <c r="N311">
        <v>56896</v>
      </c>
      <c r="O311" t="s">
        <v>56</v>
      </c>
      <c r="P311" t="s">
        <v>653</v>
      </c>
      <c r="Q311" t="s">
        <v>16</v>
      </c>
      <c r="R311" t="s">
        <v>248</v>
      </c>
      <c r="S311" t="s">
        <v>552</v>
      </c>
      <c r="U311" s="6">
        <v>42045.648831018516</v>
      </c>
      <c r="V311" t="s">
        <v>18</v>
      </c>
      <c r="W311" t="s">
        <v>209</v>
      </c>
      <c r="X311" s="6">
        <v>42045.648240740738</v>
      </c>
      <c r="Y311" t="s">
        <v>119</v>
      </c>
      <c r="AB311" t="s">
        <v>200</v>
      </c>
      <c r="AC311" t="s">
        <v>121</v>
      </c>
      <c r="AD311" t="s">
        <v>220</v>
      </c>
      <c r="AE311" t="s">
        <v>219</v>
      </c>
      <c r="AG311" t="s">
        <v>121</v>
      </c>
      <c r="AH311" t="s">
        <v>327</v>
      </c>
      <c r="AI311" t="s">
        <v>121</v>
      </c>
      <c r="AJ311" t="s">
        <v>716</v>
      </c>
      <c r="AK311" t="s">
        <v>121</v>
      </c>
      <c r="AL311" t="s">
        <v>121</v>
      </c>
      <c r="AM311" t="s">
        <v>121</v>
      </c>
    </row>
    <row r="312" spans="9:39" x14ac:dyDescent="0.3">
      <c r="I312">
        <f ca="1">IF(OR(INDIRECT(A73&amp;ROW())=B93,INDIRECT(A73&amp;ROW())=B94),1,IF(AND(INDIRECT(A73&amp;ROW())=B95,INDIRECT(A96&amp;ROW())=C93),1,IF(AND(INDIRECT(A73&amp;ROW())=B95,INDIRECT(A96&amp;ROW())=C94),1,0)))</f>
        <v>0</v>
      </c>
      <c r="J312">
        <f ca="1">IF(AND(INDIRECT(A73&amp;ROW())=B95,INDIRECT(A96&amp;ROW())=C95),1,IF(AND(INDIRECT(A73&amp;ROW())=B95,INDIRECT(A96&amp;ROW())=C96),1,0))</f>
        <v>0</v>
      </c>
      <c r="K312">
        <f ca="1">DAYS360(INDIRECT(C68&amp;ROW()),TODAY())</f>
        <v>721</v>
      </c>
      <c r="L312">
        <f ca="1">DAYS360(INDIRECT(C69&amp;ROW()),TODAY())</f>
        <v>802</v>
      </c>
      <c r="M312">
        <f ca="1">HYPERLINK(CONCATENATE("https://bugzilla.houston.hp.com:1181/bugzilla/show_bug.cgi?id=",INDIRECT(C70&amp;ROW())),INDIRECT(C70&amp;ROW()))</f>
        <v>56897</v>
      </c>
      <c r="N312">
        <v>56897</v>
      </c>
      <c r="O312" t="s">
        <v>56</v>
      </c>
      <c r="P312" t="s">
        <v>652</v>
      </c>
      <c r="Q312" t="s">
        <v>16</v>
      </c>
      <c r="R312" t="s">
        <v>248</v>
      </c>
      <c r="S312" t="s">
        <v>552</v>
      </c>
      <c r="U312" s="6">
        <v>42125.44394675926</v>
      </c>
      <c r="V312" t="s">
        <v>18</v>
      </c>
      <c r="W312" t="s">
        <v>209</v>
      </c>
      <c r="X312" s="6">
        <v>42045.652754629627</v>
      </c>
      <c r="Y312" t="s">
        <v>122</v>
      </c>
      <c r="AB312" t="s">
        <v>200</v>
      </c>
      <c r="AC312" t="s">
        <v>121</v>
      </c>
      <c r="AD312" t="s">
        <v>220</v>
      </c>
      <c r="AE312" t="s">
        <v>219</v>
      </c>
      <c r="AG312" t="s">
        <v>121</v>
      </c>
      <c r="AH312" t="s">
        <v>64</v>
      </c>
      <c r="AI312" t="s">
        <v>121</v>
      </c>
      <c r="AJ312" t="s">
        <v>716</v>
      </c>
      <c r="AK312" t="s">
        <v>121</v>
      </c>
      <c r="AL312" t="s">
        <v>121</v>
      </c>
      <c r="AM312" t="s">
        <v>121</v>
      </c>
    </row>
    <row r="313" spans="9:39" x14ac:dyDescent="0.3">
      <c r="I313">
        <f ca="1">IF(OR(INDIRECT(A73&amp;ROW())=B93,INDIRECT(A73&amp;ROW())=B94),1,IF(AND(INDIRECT(A73&amp;ROW())=B95,INDIRECT(A96&amp;ROW())=C93),1,IF(AND(INDIRECT(A73&amp;ROW())=B95,INDIRECT(A96&amp;ROW())=C94),1,0)))</f>
        <v>0</v>
      </c>
      <c r="J313">
        <f ca="1">IF(AND(INDIRECT(A73&amp;ROW())=B95,INDIRECT(A96&amp;ROW())=C95),1,IF(AND(INDIRECT(A73&amp;ROW())=B95,INDIRECT(A96&amp;ROW())=C96),1,0))</f>
        <v>0</v>
      </c>
      <c r="K313">
        <f ca="1">DAYS360(INDIRECT(C68&amp;ROW()),TODAY())</f>
        <v>802</v>
      </c>
      <c r="L313">
        <f ca="1">DAYS360(INDIRECT(C69&amp;ROW()),TODAY())</f>
        <v>802</v>
      </c>
      <c r="M313">
        <f ca="1">HYPERLINK(CONCATENATE("https://bugzilla.houston.hp.com:1181/bugzilla/show_bug.cgi?id=",INDIRECT(C70&amp;ROW())),INDIRECT(C70&amp;ROW()))</f>
        <v>56898</v>
      </c>
      <c r="N313">
        <v>56898</v>
      </c>
      <c r="O313" t="s">
        <v>36</v>
      </c>
      <c r="P313" t="s">
        <v>651</v>
      </c>
      <c r="Q313" t="s">
        <v>16</v>
      </c>
      <c r="R313" t="s">
        <v>248</v>
      </c>
      <c r="S313" t="s">
        <v>552</v>
      </c>
      <c r="U313" s="6">
        <v>42045.654224537036</v>
      </c>
      <c r="V313" t="s">
        <v>18</v>
      </c>
      <c r="W313" t="s">
        <v>205</v>
      </c>
      <c r="X313" s="6">
        <v>42045.653796296298</v>
      </c>
      <c r="Y313" t="s">
        <v>244</v>
      </c>
      <c r="AB313" t="s">
        <v>201</v>
      </c>
      <c r="AC313" t="s">
        <v>121</v>
      </c>
      <c r="AD313" t="s">
        <v>222</v>
      </c>
      <c r="AE313" t="s">
        <v>225</v>
      </c>
      <c r="AG313" t="s">
        <v>121</v>
      </c>
      <c r="AH313" t="s">
        <v>327</v>
      </c>
      <c r="AI313" t="s">
        <v>121</v>
      </c>
      <c r="AJ313" t="s">
        <v>717</v>
      </c>
      <c r="AK313" t="s">
        <v>121</v>
      </c>
      <c r="AL313" t="s">
        <v>121</v>
      </c>
      <c r="AM313" t="s">
        <v>121</v>
      </c>
    </row>
    <row r="314" spans="9:39" x14ac:dyDescent="0.3">
      <c r="I314">
        <f ca="1">IF(OR(INDIRECT(A73&amp;ROW())=B93,INDIRECT(A73&amp;ROW())=B94),1,IF(AND(INDIRECT(A73&amp;ROW())=B95,INDIRECT(A96&amp;ROW())=C93),1,IF(AND(INDIRECT(A73&amp;ROW())=B95,INDIRECT(A96&amp;ROW())=C94),1,0)))</f>
        <v>0</v>
      </c>
      <c r="J314">
        <f ca="1">IF(AND(INDIRECT(A73&amp;ROW())=B95,INDIRECT(A96&amp;ROW())=C95),1,IF(AND(INDIRECT(A73&amp;ROW())=B95,INDIRECT(A96&amp;ROW())=C96),1,0))</f>
        <v>0</v>
      </c>
      <c r="K314">
        <f ca="1">DAYS360(INDIRECT(C68&amp;ROW()),TODAY())</f>
        <v>721</v>
      </c>
      <c r="L314">
        <f ca="1">DAYS360(INDIRECT(C69&amp;ROW()),TODAY())</f>
        <v>802</v>
      </c>
      <c r="M314">
        <f ca="1">HYPERLINK(CONCATENATE("https://bugzilla.houston.hp.com:1181/bugzilla/show_bug.cgi?id=",INDIRECT(C70&amp;ROW())),INDIRECT(C70&amp;ROW()))</f>
        <v>56899</v>
      </c>
      <c r="N314">
        <v>56899</v>
      </c>
      <c r="O314" t="s">
        <v>56</v>
      </c>
      <c r="P314" t="s">
        <v>650</v>
      </c>
      <c r="Q314" t="s">
        <v>16</v>
      </c>
      <c r="R314" t="s">
        <v>248</v>
      </c>
      <c r="S314" t="s">
        <v>552</v>
      </c>
      <c r="U314" s="6">
        <v>42125.446446759262</v>
      </c>
      <c r="V314" t="s">
        <v>18</v>
      </c>
      <c r="W314" t="s">
        <v>288</v>
      </c>
      <c r="X314" s="6">
        <v>42045.654699074075</v>
      </c>
      <c r="Y314" t="s">
        <v>122</v>
      </c>
      <c r="AA314" t="s">
        <v>184</v>
      </c>
      <c r="AB314" t="s">
        <v>200</v>
      </c>
      <c r="AC314" t="s">
        <v>121</v>
      </c>
      <c r="AD314" t="s">
        <v>220</v>
      </c>
      <c r="AE314" t="s">
        <v>219</v>
      </c>
      <c r="AG314" t="s">
        <v>121</v>
      </c>
      <c r="AH314" t="s">
        <v>64</v>
      </c>
      <c r="AI314" t="s">
        <v>121</v>
      </c>
      <c r="AJ314" t="s">
        <v>716</v>
      </c>
      <c r="AK314" t="s">
        <v>121</v>
      </c>
      <c r="AL314" t="s">
        <v>121</v>
      </c>
      <c r="AM314" t="s">
        <v>121</v>
      </c>
    </row>
    <row r="315" spans="9:39" x14ac:dyDescent="0.3">
      <c r="I315">
        <f ca="1">IF(OR(INDIRECT(A73&amp;ROW())=B93,INDIRECT(A73&amp;ROW())=B94),1,IF(AND(INDIRECT(A73&amp;ROW())=B95,INDIRECT(A96&amp;ROW())=C93),1,IF(AND(INDIRECT(A73&amp;ROW())=B95,INDIRECT(A96&amp;ROW())=C94),1,0)))</f>
        <v>0</v>
      </c>
      <c r="J315">
        <f ca="1">IF(AND(INDIRECT(A73&amp;ROW())=B95,INDIRECT(A96&amp;ROW())=C95),1,IF(AND(INDIRECT(A73&amp;ROW())=B95,INDIRECT(A96&amp;ROW())=C96),1,0))</f>
        <v>0</v>
      </c>
      <c r="K315">
        <f ca="1">DAYS360(INDIRECT(C68&amp;ROW()),TODAY())</f>
        <v>802</v>
      </c>
      <c r="L315">
        <f ca="1">DAYS360(INDIRECT(C69&amp;ROW()),TODAY())</f>
        <v>802</v>
      </c>
      <c r="M315">
        <f ca="1">HYPERLINK(CONCATENATE("https://bugzilla.houston.hp.com:1181/bugzilla/show_bug.cgi?id=",INDIRECT(C70&amp;ROW())),INDIRECT(C70&amp;ROW()))</f>
        <v>56900</v>
      </c>
      <c r="N315">
        <v>56900</v>
      </c>
      <c r="O315" t="s">
        <v>56</v>
      </c>
      <c r="P315" t="s">
        <v>649</v>
      </c>
      <c r="Q315" t="s">
        <v>16</v>
      </c>
      <c r="R315" t="s">
        <v>248</v>
      </c>
      <c r="S315" t="s">
        <v>552</v>
      </c>
      <c r="U315" s="6">
        <v>42045.655752314815</v>
      </c>
      <c r="V315" t="s">
        <v>18</v>
      </c>
      <c r="W315" t="s">
        <v>209</v>
      </c>
      <c r="X315" s="6">
        <v>42045.655081018522</v>
      </c>
      <c r="Y315" t="s">
        <v>122</v>
      </c>
      <c r="AB315" t="s">
        <v>201</v>
      </c>
      <c r="AC315" t="s">
        <v>121</v>
      </c>
      <c r="AD315" t="s">
        <v>220</v>
      </c>
      <c r="AE315" t="s">
        <v>219</v>
      </c>
      <c r="AG315" t="s">
        <v>121</v>
      </c>
      <c r="AH315" t="s">
        <v>327</v>
      </c>
      <c r="AI315" t="s">
        <v>121</v>
      </c>
      <c r="AJ315" t="s">
        <v>717</v>
      </c>
      <c r="AK315" t="s">
        <v>121</v>
      </c>
      <c r="AL315" t="s">
        <v>121</v>
      </c>
      <c r="AM315" t="s">
        <v>121</v>
      </c>
    </row>
    <row r="316" spans="9:39" x14ac:dyDescent="0.3">
      <c r="I316">
        <f ca="1">IF(OR(INDIRECT(A73&amp;ROW())=B93,INDIRECT(A73&amp;ROW())=B94),1,IF(AND(INDIRECT(A73&amp;ROW())=B95,INDIRECT(A96&amp;ROW())=C93),1,IF(AND(INDIRECT(A73&amp;ROW())=B95,INDIRECT(A96&amp;ROW())=C94),1,0)))</f>
        <v>0</v>
      </c>
      <c r="J316">
        <f ca="1">IF(AND(INDIRECT(A73&amp;ROW())=B95,INDIRECT(A96&amp;ROW())=C95),1,IF(AND(INDIRECT(A73&amp;ROW())=B95,INDIRECT(A96&amp;ROW())=C96),1,0))</f>
        <v>0</v>
      </c>
      <c r="K316">
        <f ca="1">DAYS360(INDIRECT(C68&amp;ROW()),TODAY())</f>
        <v>721</v>
      </c>
      <c r="L316">
        <f ca="1">DAYS360(INDIRECT(C69&amp;ROW()),TODAY())</f>
        <v>802</v>
      </c>
      <c r="M316">
        <f ca="1">HYPERLINK(CONCATENATE("https://bugzilla.houston.hp.com:1181/bugzilla/show_bug.cgi?id=",INDIRECT(C70&amp;ROW())),INDIRECT(C70&amp;ROW()))</f>
        <v>56903</v>
      </c>
      <c r="N316">
        <v>56903</v>
      </c>
      <c r="O316" t="s">
        <v>36</v>
      </c>
      <c r="P316" t="s">
        <v>648</v>
      </c>
      <c r="Q316" t="s">
        <v>16</v>
      </c>
      <c r="R316" t="s">
        <v>248</v>
      </c>
      <c r="S316" t="s">
        <v>552</v>
      </c>
      <c r="U316" s="6">
        <v>42125.448611111111</v>
      </c>
      <c r="V316" t="s">
        <v>18</v>
      </c>
      <c r="W316" t="s">
        <v>17</v>
      </c>
      <c r="X316" s="6">
        <v>42045.659398148149</v>
      </c>
      <c r="Y316" t="s">
        <v>122</v>
      </c>
      <c r="AB316" t="s">
        <v>201</v>
      </c>
      <c r="AC316" t="s">
        <v>247</v>
      </c>
      <c r="AD316" t="s">
        <v>222</v>
      </c>
      <c r="AE316" t="s">
        <v>221</v>
      </c>
      <c r="AG316" t="s">
        <v>121</v>
      </c>
      <c r="AH316" t="s">
        <v>327</v>
      </c>
      <c r="AI316" t="s">
        <v>121</v>
      </c>
      <c r="AJ316" t="s">
        <v>717</v>
      </c>
      <c r="AK316" t="s">
        <v>121</v>
      </c>
      <c r="AL316" t="s">
        <v>121</v>
      </c>
      <c r="AM316" t="s">
        <v>121</v>
      </c>
    </row>
    <row r="317" spans="9:39" x14ac:dyDescent="0.3">
      <c r="I317">
        <f ca="1">IF(OR(INDIRECT(A73&amp;ROW())=B93,INDIRECT(A73&amp;ROW())=B94),1,IF(AND(INDIRECT(A73&amp;ROW())=B95,INDIRECT(A96&amp;ROW())=C93),1,IF(AND(INDIRECT(A73&amp;ROW())=B95,INDIRECT(A96&amp;ROW())=C94),1,0)))</f>
        <v>0</v>
      </c>
      <c r="J317">
        <f ca="1">IF(AND(INDIRECT(A73&amp;ROW())=B95,INDIRECT(A96&amp;ROW())=C95),1,IF(AND(INDIRECT(A73&amp;ROW())=B95,INDIRECT(A96&amp;ROW())=C96),1,0))</f>
        <v>0</v>
      </c>
      <c r="K317">
        <f ca="1">DAYS360(INDIRECT(C68&amp;ROW()),TODAY())</f>
        <v>721</v>
      </c>
      <c r="L317">
        <f ca="1">DAYS360(INDIRECT(C69&amp;ROW()),TODAY())</f>
        <v>802</v>
      </c>
      <c r="M317">
        <f ca="1">HYPERLINK(CONCATENATE("https://bugzilla.houston.hp.com:1181/bugzilla/show_bug.cgi?id=",INDIRECT(C70&amp;ROW())),INDIRECT(C70&amp;ROW()))</f>
        <v>56904</v>
      </c>
      <c r="N317">
        <v>56904</v>
      </c>
      <c r="O317" t="s">
        <v>36</v>
      </c>
      <c r="P317" t="s">
        <v>633</v>
      </c>
      <c r="Q317" t="s">
        <v>16</v>
      </c>
      <c r="R317" t="s">
        <v>248</v>
      </c>
      <c r="S317" t="s">
        <v>552</v>
      </c>
      <c r="U317" s="6">
        <v>42125.447546296295</v>
      </c>
      <c r="V317" t="s">
        <v>18</v>
      </c>
      <c r="W317" t="s">
        <v>17</v>
      </c>
      <c r="X317" s="6">
        <v>42045.660127314812</v>
      </c>
      <c r="Y317" t="s">
        <v>122</v>
      </c>
      <c r="AB317" t="s">
        <v>201</v>
      </c>
      <c r="AC317" t="s">
        <v>247</v>
      </c>
      <c r="AD317" t="s">
        <v>220</v>
      </c>
      <c r="AE317" t="s">
        <v>223</v>
      </c>
      <c r="AG317" t="s">
        <v>121</v>
      </c>
      <c r="AH317" t="s">
        <v>64</v>
      </c>
      <c r="AI317" t="s">
        <v>121</v>
      </c>
      <c r="AJ317" t="s">
        <v>717</v>
      </c>
      <c r="AK317" t="s">
        <v>121</v>
      </c>
      <c r="AL317" t="s">
        <v>121</v>
      </c>
      <c r="AM317" t="s">
        <v>121</v>
      </c>
    </row>
    <row r="318" spans="9:39" x14ac:dyDescent="0.3">
      <c r="I318">
        <f ca="1">IF(OR(INDIRECT(A73&amp;ROW())=B93,INDIRECT(A73&amp;ROW())=B94),1,IF(AND(INDIRECT(A73&amp;ROW())=B95,INDIRECT(A96&amp;ROW())=C93),1,IF(AND(INDIRECT(A73&amp;ROW())=B95,INDIRECT(A96&amp;ROW())=C94),1,0)))</f>
        <v>0</v>
      </c>
      <c r="J318">
        <f ca="1">IF(AND(INDIRECT(A73&amp;ROW())=B95,INDIRECT(A96&amp;ROW())=C95),1,IF(AND(INDIRECT(A73&amp;ROW())=B95,INDIRECT(A96&amp;ROW())=C96),1,0))</f>
        <v>0</v>
      </c>
      <c r="K318">
        <f ca="1">DAYS360(INDIRECT(C68&amp;ROW()),TODAY())</f>
        <v>721</v>
      </c>
      <c r="L318">
        <f ca="1">DAYS360(INDIRECT(C69&amp;ROW()),TODAY())</f>
        <v>802</v>
      </c>
      <c r="M318">
        <f ca="1">HYPERLINK(CONCATENATE("https://bugzilla.houston.hp.com:1181/bugzilla/show_bug.cgi?id=",INDIRECT(C70&amp;ROW())),INDIRECT(C70&amp;ROW()))</f>
        <v>56905</v>
      </c>
      <c r="N318">
        <v>56905</v>
      </c>
      <c r="O318" t="s">
        <v>56</v>
      </c>
      <c r="P318" t="s">
        <v>634</v>
      </c>
      <c r="Q318" t="s">
        <v>16</v>
      </c>
      <c r="R318" t="s">
        <v>248</v>
      </c>
      <c r="S318" t="s">
        <v>552</v>
      </c>
      <c r="U318" s="6">
        <v>42125.443784722222</v>
      </c>
      <c r="V318" t="s">
        <v>18</v>
      </c>
      <c r="W318" t="s">
        <v>211</v>
      </c>
      <c r="X318" s="6">
        <v>42045.660474537035</v>
      </c>
      <c r="Y318" t="s">
        <v>122</v>
      </c>
      <c r="AB318" t="s">
        <v>201</v>
      </c>
      <c r="AC318" t="s">
        <v>121</v>
      </c>
      <c r="AD318" t="s">
        <v>220</v>
      </c>
      <c r="AE318" t="s">
        <v>219</v>
      </c>
      <c r="AG318" t="s">
        <v>121</v>
      </c>
      <c r="AH318" t="s">
        <v>64</v>
      </c>
      <c r="AI318" t="s">
        <v>121</v>
      </c>
      <c r="AJ318" t="s">
        <v>717</v>
      </c>
      <c r="AK318" t="s">
        <v>121</v>
      </c>
      <c r="AL318" t="s">
        <v>121</v>
      </c>
      <c r="AM318" t="s">
        <v>121</v>
      </c>
    </row>
    <row r="319" spans="9:39" x14ac:dyDescent="0.3">
      <c r="I319">
        <f ca="1">IF(OR(INDIRECT(A73&amp;ROW())=B93,INDIRECT(A73&amp;ROW())=B94),1,IF(AND(INDIRECT(A73&amp;ROW())=B95,INDIRECT(A96&amp;ROW())=C93),1,IF(AND(INDIRECT(A73&amp;ROW())=B95,INDIRECT(A96&amp;ROW())=C94),1,0)))</f>
        <v>0</v>
      </c>
      <c r="J319">
        <f ca="1">IF(AND(INDIRECT(A73&amp;ROW())=B95,INDIRECT(A96&amp;ROW())=C95),1,IF(AND(INDIRECT(A73&amp;ROW())=B95,INDIRECT(A96&amp;ROW())=C96),1,0))</f>
        <v>0</v>
      </c>
      <c r="K319">
        <f ca="1">DAYS360(INDIRECT(C68&amp;ROW()),TODAY())</f>
        <v>721</v>
      </c>
      <c r="L319">
        <f ca="1">DAYS360(INDIRECT(C69&amp;ROW()),TODAY())</f>
        <v>802</v>
      </c>
      <c r="M319">
        <f ca="1">HYPERLINK(CONCATENATE("https://bugzilla.houston.hp.com:1181/bugzilla/show_bug.cgi?id=",INDIRECT(C70&amp;ROW())),INDIRECT(C70&amp;ROW()))</f>
        <v>56906</v>
      </c>
      <c r="N319">
        <v>56906</v>
      </c>
      <c r="O319" t="s">
        <v>56</v>
      </c>
      <c r="P319" t="s">
        <v>630</v>
      </c>
      <c r="Q319" t="s">
        <v>16</v>
      </c>
      <c r="R319" t="s">
        <v>248</v>
      </c>
      <c r="S319" t="s">
        <v>552</v>
      </c>
      <c r="U319" s="6">
        <v>42125.445300925923</v>
      </c>
      <c r="V319" t="s">
        <v>18</v>
      </c>
      <c r="W319" t="s">
        <v>260</v>
      </c>
      <c r="X319" s="6">
        <v>42045.661574074074</v>
      </c>
      <c r="Y319" t="s">
        <v>122</v>
      </c>
      <c r="AB319" t="s">
        <v>201</v>
      </c>
      <c r="AC319" t="s">
        <v>121</v>
      </c>
      <c r="AD319" t="s">
        <v>220</v>
      </c>
      <c r="AE319" t="s">
        <v>219</v>
      </c>
      <c r="AG319" t="s">
        <v>121</v>
      </c>
      <c r="AH319" t="s">
        <v>327</v>
      </c>
      <c r="AI319" t="s">
        <v>121</v>
      </c>
      <c r="AJ319" t="s">
        <v>717</v>
      </c>
      <c r="AK319" t="s">
        <v>121</v>
      </c>
      <c r="AL319" t="s">
        <v>121</v>
      </c>
      <c r="AM319" t="s">
        <v>121</v>
      </c>
    </row>
    <row r="320" spans="9:39" x14ac:dyDescent="0.3">
      <c r="I320">
        <f ca="1">IF(OR(INDIRECT(A73&amp;ROW())=B93,INDIRECT(A73&amp;ROW())=B94),1,IF(AND(INDIRECT(A73&amp;ROW())=B95,INDIRECT(A96&amp;ROW())=C93),1,IF(AND(INDIRECT(A73&amp;ROW())=B95,INDIRECT(A96&amp;ROW())=C94),1,0)))</f>
        <v>1</v>
      </c>
      <c r="J320">
        <f ca="1">IF(AND(INDIRECT(A73&amp;ROW())=B95,INDIRECT(A96&amp;ROW())=C95),1,IF(AND(INDIRECT(A73&amp;ROW())=B95,INDIRECT(A96&amp;ROW())=C96),1,0))</f>
        <v>0</v>
      </c>
      <c r="K320">
        <f ca="1">DAYS360(INDIRECT(C68&amp;ROW()),TODAY())</f>
        <v>634</v>
      </c>
      <c r="L320">
        <f ca="1">DAYS360(INDIRECT(C69&amp;ROW()),TODAY())</f>
        <v>802</v>
      </c>
      <c r="M320">
        <f ca="1">HYPERLINK(CONCATENATE("https://bugzilla.houston.hp.com:1181/bugzilla/show_bug.cgi?id=",INDIRECT(C70&amp;ROW())),INDIRECT(C70&amp;ROW()))</f>
        <v>56908</v>
      </c>
      <c r="N320">
        <v>56908</v>
      </c>
      <c r="O320" t="s">
        <v>45</v>
      </c>
      <c r="P320" t="s">
        <v>636</v>
      </c>
      <c r="Q320" t="s">
        <v>25</v>
      </c>
      <c r="R320" t="s">
        <v>1370</v>
      </c>
      <c r="S320" t="s">
        <v>552</v>
      </c>
      <c r="U320" s="6">
        <v>42213.477627314816</v>
      </c>
      <c r="V320" t="s">
        <v>18</v>
      </c>
      <c r="W320" t="s">
        <v>256</v>
      </c>
      <c r="X320" s="6">
        <v>42045.663506944446</v>
      </c>
      <c r="Y320" t="s">
        <v>123</v>
      </c>
      <c r="AB320" t="s">
        <v>200</v>
      </c>
      <c r="AC320" t="s">
        <v>247</v>
      </c>
      <c r="AD320" t="s">
        <v>227</v>
      </c>
      <c r="AE320" t="s">
        <v>226</v>
      </c>
      <c r="AG320" t="s">
        <v>121</v>
      </c>
      <c r="AH320" t="s">
        <v>64</v>
      </c>
      <c r="AI320" t="s">
        <v>121</v>
      </c>
      <c r="AJ320" t="s">
        <v>715</v>
      </c>
      <c r="AK320" t="s">
        <v>121</v>
      </c>
      <c r="AL320" t="s">
        <v>121</v>
      </c>
      <c r="AM320" t="s">
        <v>121</v>
      </c>
    </row>
    <row r="321" spans="9:39" x14ac:dyDescent="0.3">
      <c r="I321">
        <f ca="1">IF(OR(INDIRECT(A73&amp;ROW())=B93,INDIRECT(A73&amp;ROW())=B94),1,IF(AND(INDIRECT(A73&amp;ROW())=B95,INDIRECT(A96&amp;ROW())=C93),1,IF(AND(INDIRECT(A73&amp;ROW())=B95,INDIRECT(A96&amp;ROW())=C94),1,0)))</f>
        <v>0</v>
      </c>
      <c r="J321">
        <f ca="1">IF(AND(INDIRECT(A73&amp;ROW())=B95,INDIRECT(A96&amp;ROW())=C95),1,IF(AND(INDIRECT(A73&amp;ROW())=B95,INDIRECT(A96&amp;ROW())=C96),1,0))</f>
        <v>0</v>
      </c>
      <c r="K321">
        <f ca="1">DAYS360(INDIRECT(C68&amp;ROW()),TODAY())</f>
        <v>721</v>
      </c>
      <c r="L321">
        <f ca="1">DAYS360(INDIRECT(C69&amp;ROW()),TODAY())</f>
        <v>802</v>
      </c>
      <c r="M321">
        <f ca="1">HYPERLINK(CONCATENATE("https://bugzilla.houston.hp.com:1181/bugzilla/show_bug.cgi?id=",INDIRECT(C70&amp;ROW())),INDIRECT(C70&amp;ROW()))</f>
        <v>56910</v>
      </c>
      <c r="N321">
        <v>56910</v>
      </c>
      <c r="O321" t="s">
        <v>56</v>
      </c>
      <c r="P321" t="s">
        <v>638</v>
      </c>
      <c r="Q321" t="s">
        <v>16</v>
      </c>
      <c r="R321" t="s">
        <v>248</v>
      </c>
      <c r="S321" t="s">
        <v>552</v>
      </c>
      <c r="U321" s="6">
        <v>42125.44767361111</v>
      </c>
      <c r="V321" t="s">
        <v>18</v>
      </c>
      <c r="W321" t="s">
        <v>340</v>
      </c>
      <c r="X321" s="6">
        <v>42045.665069444447</v>
      </c>
      <c r="Y321" t="s">
        <v>122</v>
      </c>
      <c r="AB321" t="s">
        <v>200</v>
      </c>
      <c r="AC321" t="s">
        <v>247</v>
      </c>
      <c r="AD321" t="s">
        <v>220</v>
      </c>
      <c r="AE321" t="s">
        <v>219</v>
      </c>
      <c r="AG321" t="s">
        <v>121</v>
      </c>
      <c r="AH321" t="s">
        <v>64</v>
      </c>
      <c r="AI321" t="s">
        <v>121</v>
      </c>
      <c r="AJ321" t="s">
        <v>716</v>
      </c>
      <c r="AK321" t="s">
        <v>121</v>
      </c>
      <c r="AL321" t="s">
        <v>121</v>
      </c>
      <c r="AM321" t="s">
        <v>121</v>
      </c>
    </row>
    <row r="322" spans="9:39" x14ac:dyDescent="0.3">
      <c r="I322">
        <f ca="1">IF(OR(INDIRECT(A73&amp;ROW())=B93,INDIRECT(A73&amp;ROW())=B94),1,IF(AND(INDIRECT(A73&amp;ROW())=B95,INDIRECT(A96&amp;ROW())=C93),1,IF(AND(INDIRECT(A73&amp;ROW())=B95,INDIRECT(A96&amp;ROW())=C94),1,0)))</f>
        <v>0</v>
      </c>
      <c r="J322">
        <f ca="1">IF(AND(INDIRECT(A73&amp;ROW())=B95,INDIRECT(A96&amp;ROW())=C95),1,IF(AND(INDIRECT(A73&amp;ROW())=B95,INDIRECT(A96&amp;ROW())=C96),1,0))</f>
        <v>0</v>
      </c>
      <c r="K322">
        <f ca="1">DAYS360(INDIRECT(C68&amp;ROW()),TODAY())</f>
        <v>802</v>
      </c>
      <c r="L322">
        <f ca="1">DAYS360(INDIRECT(C69&amp;ROW()),TODAY())</f>
        <v>802</v>
      </c>
      <c r="M322">
        <f ca="1">HYPERLINK(CONCATENATE("https://bugzilla.houston.hp.com:1181/bugzilla/show_bug.cgi?id=",INDIRECT(C70&amp;ROW())),INDIRECT(C70&amp;ROW()))</f>
        <v>56911</v>
      </c>
      <c r="N322">
        <v>56911</v>
      </c>
      <c r="O322" t="s">
        <v>36</v>
      </c>
      <c r="P322" t="s">
        <v>625</v>
      </c>
      <c r="Q322" t="s">
        <v>16</v>
      </c>
      <c r="R322" t="s">
        <v>248</v>
      </c>
      <c r="S322" t="s">
        <v>552</v>
      </c>
      <c r="U322" s="6">
        <v>42045.70890046296</v>
      </c>
      <c r="V322" t="s">
        <v>18</v>
      </c>
      <c r="W322" t="s">
        <v>258</v>
      </c>
      <c r="X322" s="6">
        <v>42045.66615740741</v>
      </c>
      <c r="Y322" t="s">
        <v>120</v>
      </c>
      <c r="AB322" t="s">
        <v>200</v>
      </c>
      <c r="AC322" t="s">
        <v>121</v>
      </c>
      <c r="AD322" t="s">
        <v>222</v>
      </c>
      <c r="AE322" t="s">
        <v>240</v>
      </c>
      <c r="AG322" t="s">
        <v>121</v>
      </c>
      <c r="AH322" t="s">
        <v>64</v>
      </c>
      <c r="AI322" t="s">
        <v>121</v>
      </c>
      <c r="AJ322" t="s">
        <v>716</v>
      </c>
      <c r="AK322" t="s">
        <v>121</v>
      </c>
      <c r="AL322" t="s">
        <v>121</v>
      </c>
      <c r="AM322" t="s">
        <v>121</v>
      </c>
    </row>
    <row r="323" spans="9:39" x14ac:dyDescent="0.3">
      <c r="I323">
        <f ca="1">IF(OR(INDIRECT(A73&amp;ROW())=B93,INDIRECT(A73&amp;ROW())=B94),1,IF(AND(INDIRECT(A73&amp;ROW())=B95,INDIRECT(A96&amp;ROW())=C93),1,IF(AND(INDIRECT(A73&amp;ROW())=B95,INDIRECT(A96&amp;ROW())=C94),1,0)))</f>
        <v>0</v>
      </c>
      <c r="J323">
        <f ca="1">IF(AND(INDIRECT(A73&amp;ROW())=B95,INDIRECT(A96&amp;ROW())=C95),1,IF(AND(INDIRECT(A73&amp;ROW())=B95,INDIRECT(A96&amp;ROW())=C96),1,0))</f>
        <v>0</v>
      </c>
      <c r="K323">
        <f ca="1">DAYS360(INDIRECT(C68&amp;ROW()),TODAY())</f>
        <v>802</v>
      </c>
      <c r="L323">
        <f ca="1">DAYS360(INDIRECT(C69&amp;ROW()),TODAY())</f>
        <v>802</v>
      </c>
      <c r="M323">
        <f ca="1">HYPERLINK(CONCATENATE("https://bugzilla.houston.hp.com:1181/bugzilla/show_bug.cgi?id=",INDIRECT(C70&amp;ROW())),INDIRECT(C70&amp;ROW()))</f>
        <v>56912</v>
      </c>
      <c r="N323">
        <v>56912</v>
      </c>
      <c r="O323" t="s">
        <v>56</v>
      </c>
      <c r="P323" t="s">
        <v>623</v>
      </c>
      <c r="Q323" t="s">
        <v>16</v>
      </c>
      <c r="R323" t="s">
        <v>248</v>
      </c>
      <c r="S323" t="s">
        <v>552</v>
      </c>
      <c r="U323" s="6">
        <v>42045.710277777776</v>
      </c>
      <c r="V323" t="s">
        <v>18</v>
      </c>
      <c r="W323" t="s">
        <v>17</v>
      </c>
      <c r="X323" s="6">
        <v>42045.667037037034</v>
      </c>
      <c r="Y323" t="s">
        <v>786</v>
      </c>
      <c r="AB323" t="s">
        <v>200</v>
      </c>
      <c r="AC323" t="s">
        <v>247</v>
      </c>
      <c r="AD323" t="s">
        <v>220</v>
      </c>
      <c r="AE323" t="s">
        <v>219</v>
      </c>
      <c r="AG323" t="s">
        <v>121</v>
      </c>
      <c r="AH323" t="s">
        <v>327</v>
      </c>
      <c r="AI323" t="s">
        <v>121</v>
      </c>
      <c r="AJ323" t="s">
        <v>716</v>
      </c>
      <c r="AK323" t="s">
        <v>121</v>
      </c>
      <c r="AL323" t="s">
        <v>121</v>
      </c>
      <c r="AM323" t="s">
        <v>121</v>
      </c>
    </row>
    <row r="324" spans="9:39" x14ac:dyDescent="0.3">
      <c r="I324">
        <f ca="1">IF(OR(INDIRECT(A73&amp;ROW())=B93,INDIRECT(A73&amp;ROW())=B94),1,IF(AND(INDIRECT(A73&amp;ROW())=B95,INDIRECT(A96&amp;ROW())=C93),1,IF(AND(INDIRECT(A73&amp;ROW())=B95,INDIRECT(A96&amp;ROW())=C94),1,0)))</f>
        <v>0</v>
      </c>
      <c r="J324">
        <f ca="1">IF(AND(INDIRECT(A73&amp;ROW())=B95,INDIRECT(A96&amp;ROW())=C95),1,IF(AND(INDIRECT(A73&amp;ROW())=B95,INDIRECT(A96&amp;ROW())=C96),1,0))</f>
        <v>0</v>
      </c>
      <c r="K324">
        <f ca="1">DAYS360(INDIRECT(C68&amp;ROW()),TODAY())</f>
        <v>721</v>
      </c>
      <c r="L324">
        <f ca="1">DAYS360(INDIRECT(C69&amp;ROW()),TODAY())</f>
        <v>802</v>
      </c>
      <c r="M324">
        <f ca="1">HYPERLINK(CONCATENATE("https://bugzilla.houston.hp.com:1181/bugzilla/show_bug.cgi?id=",INDIRECT(C70&amp;ROW())),INDIRECT(C70&amp;ROW()))</f>
        <v>56913</v>
      </c>
      <c r="N324">
        <v>56913</v>
      </c>
      <c r="O324" t="s">
        <v>36</v>
      </c>
      <c r="P324" t="s">
        <v>622</v>
      </c>
      <c r="Q324" t="s">
        <v>16</v>
      </c>
      <c r="R324" t="s">
        <v>248</v>
      </c>
      <c r="S324" t="s">
        <v>552</v>
      </c>
      <c r="U324" s="6">
        <v>42125.446562500001</v>
      </c>
      <c r="V324" t="s">
        <v>18</v>
      </c>
      <c r="W324" t="s">
        <v>257</v>
      </c>
      <c r="X324" s="6">
        <v>42045.668935185182</v>
      </c>
      <c r="Y324" t="s">
        <v>122</v>
      </c>
      <c r="AB324" t="s">
        <v>200</v>
      </c>
      <c r="AC324" t="s">
        <v>121</v>
      </c>
      <c r="AD324" t="s">
        <v>227</v>
      </c>
      <c r="AE324" t="s">
        <v>226</v>
      </c>
      <c r="AG324" t="s">
        <v>121</v>
      </c>
      <c r="AH324" t="s">
        <v>64</v>
      </c>
      <c r="AI324" t="s">
        <v>121</v>
      </c>
      <c r="AJ324" t="s">
        <v>716</v>
      </c>
      <c r="AK324" t="s">
        <v>121</v>
      </c>
      <c r="AL324" t="s">
        <v>121</v>
      </c>
      <c r="AM324" t="s">
        <v>121</v>
      </c>
    </row>
    <row r="325" spans="9:39" x14ac:dyDescent="0.3">
      <c r="I325">
        <f ca="1">IF(OR(INDIRECT(A73&amp;ROW())=B93,INDIRECT(A73&amp;ROW())=B94),1,IF(AND(INDIRECT(A73&amp;ROW())=B95,INDIRECT(A96&amp;ROW())=C93),1,IF(AND(INDIRECT(A73&amp;ROW())=B95,INDIRECT(A96&amp;ROW())=C94),1,0)))</f>
        <v>0</v>
      </c>
      <c r="J325">
        <f ca="1">IF(AND(INDIRECT(A73&amp;ROW())=B95,INDIRECT(A96&amp;ROW())=C95),1,IF(AND(INDIRECT(A73&amp;ROW())=B95,INDIRECT(A96&amp;ROW())=C96),1,0))</f>
        <v>0</v>
      </c>
      <c r="K325">
        <f ca="1">DAYS360(INDIRECT(C68&amp;ROW()),TODAY())</f>
        <v>721</v>
      </c>
      <c r="L325">
        <f ca="1">DAYS360(INDIRECT(C69&amp;ROW()),TODAY())</f>
        <v>802</v>
      </c>
      <c r="M325">
        <f ca="1">HYPERLINK(CONCATENATE("https://bugzilla.houston.hp.com:1181/bugzilla/show_bug.cgi?id=",INDIRECT(C70&amp;ROW())),INDIRECT(C70&amp;ROW()))</f>
        <v>56914</v>
      </c>
      <c r="N325">
        <v>56914</v>
      </c>
      <c r="O325" t="s">
        <v>56</v>
      </c>
      <c r="P325" t="s">
        <v>628</v>
      </c>
      <c r="Q325" t="s">
        <v>16</v>
      </c>
      <c r="R325" t="s">
        <v>248</v>
      </c>
      <c r="S325" t="s">
        <v>552</v>
      </c>
      <c r="U325" s="6">
        <v>42125.448703703703</v>
      </c>
      <c r="V325" t="s">
        <v>18</v>
      </c>
      <c r="W325" t="s">
        <v>17</v>
      </c>
      <c r="X325" s="6">
        <v>42045.670347222222</v>
      </c>
      <c r="Y325" t="s">
        <v>122</v>
      </c>
      <c r="AB325" t="s">
        <v>201</v>
      </c>
      <c r="AC325" t="s">
        <v>247</v>
      </c>
      <c r="AD325" t="s">
        <v>220</v>
      </c>
      <c r="AE325" t="s">
        <v>219</v>
      </c>
      <c r="AG325" t="s">
        <v>121</v>
      </c>
      <c r="AH325" t="s">
        <v>327</v>
      </c>
      <c r="AI325" t="s">
        <v>121</v>
      </c>
      <c r="AJ325" t="s">
        <v>717</v>
      </c>
      <c r="AK325" t="s">
        <v>121</v>
      </c>
      <c r="AL325" t="s">
        <v>121</v>
      </c>
      <c r="AM325" t="s">
        <v>121</v>
      </c>
    </row>
    <row r="326" spans="9:39" x14ac:dyDescent="0.3">
      <c r="I326">
        <f ca="1">IF(OR(INDIRECT(A73&amp;ROW())=B93,INDIRECT(A73&amp;ROW())=B94),1,IF(AND(INDIRECT(A73&amp;ROW())=B95,INDIRECT(A96&amp;ROW())=C93),1,IF(AND(INDIRECT(A73&amp;ROW())=B95,INDIRECT(A96&amp;ROW())=C94),1,0)))</f>
        <v>0</v>
      </c>
      <c r="J326">
        <f ca="1">IF(AND(INDIRECT(A73&amp;ROW())=B95,INDIRECT(A96&amp;ROW())=C95),1,IF(AND(INDIRECT(A73&amp;ROW())=B95,INDIRECT(A96&amp;ROW())=C96),1,0))</f>
        <v>0</v>
      </c>
      <c r="K326">
        <f ca="1">DAYS360(INDIRECT(C68&amp;ROW()),TODAY())</f>
        <v>802</v>
      </c>
      <c r="L326">
        <f ca="1">DAYS360(INDIRECT(C69&amp;ROW()),TODAY())</f>
        <v>802</v>
      </c>
      <c r="M326">
        <f ca="1">HYPERLINK(CONCATENATE("https://bugzilla.houston.hp.com:1181/bugzilla/show_bug.cgi?id=",INDIRECT(C70&amp;ROW())),INDIRECT(C70&amp;ROW()))</f>
        <v>56916</v>
      </c>
      <c r="N326">
        <v>56916</v>
      </c>
      <c r="O326" t="s">
        <v>36</v>
      </c>
      <c r="P326" t="s">
        <v>627</v>
      </c>
      <c r="Q326" t="s">
        <v>16</v>
      </c>
      <c r="R326" t="s">
        <v>248</v>
      </c>
      <c r="S326" t="s">
        <v>552</v>
      </c>
      <c r="U326" s="6">
        <v>42045.708449074074</v>
      </c>
      <c r="V326" t="s">
        <v>18</v>
      </c>
      <c r="W326" t="s">
        <v>317</v>
      </c>
      <c r="X326" s="6">
        <v>42045.671898148146</v>
      </c>
      <c r="Y326" t="s">
        <v>119</v>
      </c>
      <c r="AB326" t="s">
        <v>201</v>
      </c>
      <c r="AC326" t="s">
        <v>247</v>
      </c>
      <c r="AD326" t="s">
        <v>222</v>
      </c>
      <c r="AE326" t="s">
        <v>240</v>
      </c>
      <c r="AG326" t="s">
        <v>121</v>
      </c>
      <c r="AH326" t="s">
        <v>327</v>
      </c>
      <c r="AI326" t="s">
        <v>121</v>
      </c>
      <c r="AJ326" t="s">
        <v>717</v>
      </c>
      <c r="AK326" t="s">
        <v>121</v>
      </c>
      <c r="AL326" t="s">
        <v>121</v>
      </c>
      <c r="AM326" t="s">
        <v>121</v>
      </c>
    </row>
    <row r="327" spans="9:39" x14ac:dyDescent="0.3">
      <c r="I327">
        <f ca="1">IF(OR(INDIRECT(A73&amp;ROW())=B93,INDIRECT(A73&amp;ROW())=B94),1,IF(AND(INDIRECT(A73&amp;ROW())=B95,INDIRECT(A96&amp;ROW())=C93),1,IF(AND(INDIRECT(A73&amp;ROW())=B95,INDIRECT(A96&amp;ROW())=C94),1,0)))</f>
        <v>0</v>
      </c>
      <c r="J327">
        <f ca="1">IF(AND(INDIRECT(A73&amp;ROW())=B95,INDIRECT(A96&amp;ROW())=C95),1,IF(AND(INDIRECT(A73&amp;ROW())=B95,INDIRECT(A96&amp;ROW())=C96),1,0))</f>
        <v>0</v>
      </c>
      <c r="K327">
        <f ca="1">DAYS360(INDIRECT(C68&amp;ROW()),TODAY())</f>
        <v>721</v>
      </c>
      <c r="L327">
        <f ca="1">DAYS360(INDIRECT(C69&amp;ROW()),TODAY())</f>
        <v>802</v>
      </c>
      <c r="M327">
        <f ca="1">HYPERLINK(CONCATENATE("https://bugzilla.houston.hp.com:1181/bugzilla/show_bug.cgi?id=",INDIRECT(C70&amp;ROW())),INDIRECT(C70&amp;ROW()))</f>
        <v>56917</v>
      </c>
      <c r="N327">
        <v>56917</v>
      </c>
      <c r="O327" t="s">
        <v>56</v>
      </c>
      <c r="P327" t="s">
        <v>629</v>
      </c>
      <c r="Q327" t="s">
        <v>16</v>
      </c>
      <c r="R327" t="s">
        <v>248</v>
      </c>
      <c r="S327" t="s">
        <v>552</v>
      </c>
      <c r="U327" s="6">
        <v>42125.446481481478</v>
      </c>
      <c r="V327" t="s">
        <v>18</v>
      </c>
      <c r="W327" t="s">
        <v>288</v>
      </c>
      <c r="X327" s="6">
        <v>42045.672708333332</v>
      </c>
      <c r="Y327" t="s">
        <v>122</v>
      </c>
      <c r="AB327" t="s">
        <v>201</v>
      </c>
      <c r="AC327" t="s">
        <v>247</v>
      </c>
      <c r="AD327" t="s">
        <v>220</v>
      </c>
      <c r="AE327" t="s">
        <v>219</v>
      </c>
      <c r="AG327" t="s">
        <v>121</v>
      </c>
      <c r="AH327" t="s">
        <v>64</v>
      </c>
      <c r="AI327" t="s">
        <v>121</v>
      </c>
      <c r="AJ327" t="s">
        <v>717</v>
      </c>
      <c r="AK327" t="s">
        <v>121</v>
      </c>
      <c r="AL327" t="s">
        <v>121</v>
      </c>
      <c r="AM327" t="s">
        <v>121</v>
      </c>
    </row>
    <row r="328" spans="9:39" x14ac:dyDescent="0.3">
      <c r="I328">
        <f ca="1">IF(OR(INDIRECT(A73&amp;ROW())=B93,INDIRECT(A73&amp;ROW())=B94),1,IF(AND(INDIRECT(A73&amp;ROW())=B95,INDIRECT(A96&amp;ROW())=C93),1,IF(AND(INDIRECT(A73&amp;ROW())=B95,INDIRECT(A96&amp;ROW())=C94),1,0)))</f>
        <v>0</v>
      </c>
      <c r="J328">
        <f ca="1">IF(AND(INDIRECT(A73&amp;ROW())=B95,INDIRECT(A96&amp;ROW())=C95),1,IF(AND(INDIRECT(A73&amp;ROW())=B95,INDIRECT(A96&amp;ROW())=C96),1,0))</f>
        <v>0</v>
      </c>
      <c r="K328">
        <f ca="1">DAYS360(INDIRECT(C68&amp;ROW()),TODAY())</f>
        <v>802</v>
      </c>
      <c r="L328">
        <f ca="1">DAYS360(INDIRECT(C69&amp;ROW()),TODAY())</f>
        <v>802</v>
      </c>
      <c r="M328">
        <f ca="1">HYPERLINK(CONCATENATE("https://bugzilla.houston.hp.com:1181/bugzilla/show_bug.cgi?id=",INDIRECT(C70&amp;ROW())),INDIRECT(C70&amp;ROW()))</f>
        <v>56918</v>
      </c>
      <c r="N328">
        <v>56918</v>
      </c>
      <c r="O328" t="s">
        <v>36</v>
      </c>
      <c r="P328" t="s">
        <v>631</v>
      </c>
      <c r="Q328" t="s">
        <v>16</v>
      </c>
      <c r="R328" t="s">
        <v>248</v>
      </c>
      <c r="S328" t="s">
        <v>552</v>
      </c>
      <c r="U328" s="6">
        <v>42045.702314814815</v>
      </c>
      <c r="V328" t="s">
        <v>18</v>
      </c>
      <c r="W328" t="s">
        <v>341</v>
      </c>
      <c r="X328" s="6">
        <v>42045.673090277778</v>
      </c>
      <c r="Y328" t="s">
        <v>118</v>
      </c>
      <c r="AB328" t="s">
        <v>201</v>
      </c>
      <c r="AC328" t="s">
        <v>121</v>
      </c>
      <c r="AD328" t="s">
        <v>222</v>
      </c>
      <c r="AE328" t="s">
        <v>240</v>
      </c>
      <c r="AG328" t="s">
        <v>121</v>
      </c>
      <c r="AH328" t="s">
        <v>327</v>
      </c>
      <c r="AI328" t="s">
        <v>121</v>
      </c>
      <c r="AJ328" t="s">
        <v>717</v>
      </c>
      <c r="AK328" t="s">
        <v>121</v>
      </c>
      <c r="AL328" t="s">
        <v>121</v>
      </c>
      <c r="AM328" t="s">
        <v>121</v>
      </c>
    </row>
    <row r="329" spans="9:39" x14ac:dyDescent="0.3">
      <c r="I329">
        <f ca="1">IF(OR(INDIRECT(A73&amp;ROW())=B93,INDIRECT(A73&amp;ROW())=B94),1,IF(AND(INDIRECT(A73&amp;ROW())=B95,INDIRECT(A96&amp;ROW())=C93),1,IF(AND(INDIRECT(A73&amp;ROW())=B95,INDIRECT(A96&amp;ROW())=C94),1,0)))</f>
        <v>0</v>
      </c>
      <c r="J329">
        <f ca="1">IF(AND(INDIRECT(A73&amp;ROW())=B95,INDIRECT(A96&amp;ROW())=C95),1,IF(AND(INDIRECT(A73&amp;ROW())=B95,INDIRECT(A96&amp;ROW())=C96),1,0))</f>
        <v>0</v>
      </c>
      <c r="K329">
        <f ca="1">DAYS360(INDIRECT(C68&amp;ROW()),TODAY())</f>
        <v>687</v>
      </c>
      <c r="L329">
        <f ca="1">DAYS360(INDIRECT(C69&amp;ROW()),TODAY())</f>
        <v>802</v>
      </c>
      <c r="M329">
        <f ca="1">HYPERLINK(CONCATENATE("https://bugzilla.houston.hp.com:1181/bugzilla/show_bug.cgi?id=",INDIRECT(C70&amp;ROW())),INDIRECT(C70&amp;ROW()))</f>
        <v>56919</v>
      </c>
      <c r="N329">
        <v>56919</v>
      </c>
      <c r="O329" t="s">
        <v>56</v>
      </c>
      <c r="P329" t="s">
        <v>624</v>
      </c>
      <c r="Q329" t="s">
        <v>16</v>
      </c>
      <c r="R329" t="s">
        <v>248</v>
      </c>
      <c r="S329" t="s">
        <v>552</v>
      </c>
      <c r="U329" s="6">
        <v>42160.521226851852</v>
      </c>
      <c r="V329" t="s">
        <v>18</v>
      </c>
      <c r="W329" t="s">
        <v>260</v>
      </c>
      <c r="X329" s="6">
        <v>42045.674270833333</v>
      </c>
      <c r="Y329" t="s">
        <v>793</v>
      </c>
      <c r="AB329" t="s">
        <v>201</v>
      </c>
      <c r="AC329" t="s">
        <v>247</v>
      </c>
      <c r="AD329" t="s">
        <v>220</v>
      </c>
      <c r="AE329" t="s">
        <v>219</v>
      </c>
      <c r="AG329" t="s">
        <v>121</v>
      </c>
      <c r="AH329" t="s">
        <v>64</v>
      </c>
      <c r="AI329" t="s">
        <v>121</v>
      </c>
      <c r="AJ329" t="s">
        <v>717</v>
      </c>
      <c r="AK329" t="s">
        <v>121</v>
      </c>
      <c r="AL329" t="s">
        <v>121</v>
      </c>
      <c r="AM329" t="s">
        <v>121</v>
      </c>
    </row>
    <row r="330" spans="9:39" x14ac:dyDescent="0.3">
      <c r="I330">
        <f ca="1">IF(OR(INDIRECT(A73&amp;ROW())=B93,INDIRECT(A73&amp;ROW())=B94),1,IF(AND(INDIRECT(A73&amp;ROW())=B95,INDIRECT(A96&amp;ROW())=C93),1,IF(AND(INDIRECT(A73&amp;ROW())=B95,INDIRECT(A96&amp;ROW())=C94),1,0)))</f>
        <v>0</v>
      </c>
      <c r="J330">
        <f ca="1">IF(AND(INDIRECT(A73&amp;ROW())=B95,INDIRECT(A96&amp;ROW())=C95),1,IF(AND(INDIRECT(A73&amp;ROW())=B95,INDIRECT(A96&amp;ROW())=C96),1,0))</f>
        <v>0</v>
      </c>
      <c r="K330">
        <f ca="1">DAYS360(INDIRECT(C68&amp;ROW()),TODAY())</f>
        <v>802</v>
      </c>
      <c r="L330">
        <f ca="1">DAYS360(INDIRECT(C69&amp;ROW()),TODAY())</f>
        <v>802</v>
      </c>
      <c r="M330">
        <f ca="1">HYPERLINK(CONCATENATE("https://bugzilla.houston.hp.com:1181/bugzilla/show_bug.cgi?id=",INDIRECT(C70&amp;ROW())),INDIRECT(C70&amp;ROW()))</f>
        <v>56920</v>
      </c>
      <c r="N330">
        <v>56920</v>
      </c>
      <c r="O330" t="s">
        <v>36</v>
      </c>
      <c r="P330" t="s">
        <v>637</v>
      </c>
      <c r="Q330" t="s">
        <v>16</v>
      </c>
      <c r="R330" t="s">
        <v>248</v>
      </c>
      <c r="S330" t="s">
        <v>552</v>
      </c>
      <c r="U330" s="6">
        <v>42045.685949074075</v>
      </c>
      <c r="V330" t="s">
        <v>18</v>
      </c>
      <c r="W330" t="s">
        <v>339</v>
      </c>
      <c r="X330" s="6">
        <v>42045.674618055556</v>
      </c>
      <c r="Y330" t="s">
        <v>342</v>
      </c>
      <c r="AB330" t="s">
        <v>201</v>
      </c>
      <c r="AC330" t="s">
        <v>217</v>
      </c>
      <c r="AD330" t="s">
        <v>222</v>
      </c>
      <c r="AE330" t="s">
        <v>225</v>
      </c>
      <c r="AG330" t="s">
        <v>121</v>
      </c>
      <c r="AH330" t="s">
        <v>327</v>
      </c>
      <c r="AI330" t="s">
        <v>121</v>
      </c>
      <c r="AJ330" t="s">
        <v>717</v>
      </c>
      <c r="AK330" t="s">
        <v>121</v>
      </c>
      <c r="AL330" t="s">
        <v>121</v>
      </c>
      <c r="AM330" t="s">
        <v>121</v>
      </c>
    </row>
    <row r="331" spans="9:39" x14ac:dyDescent="0.3">
      <c r="I331">
        <f ca="1">IF(OR(INDIRECT(A73&amp;ROW())=B93,INDIRECT(A73&amp;ROW())=B94),1,IF(AND(INDIRECT(A73&amp;ROW())=B95,INDIRECT(A96&amp;ROW())=C93),1,IF(AND(INDIRECT(A73&amp;ROW())=B95,INDIRECT(A96&amp;ROW())=C94),1,0)))</f>
        <v>0</v>
      </c>
      <c r="J331">
        <f ca="1">IF(AND(INDIRECT(A73&amp;ROW())=B95,INDIRECT(A96&amp;ROW())=C95),1,IF(AND(INDIRECT(A73&amp;ROW())=B95,INDIRECT(A96&amp;ROW())=C96),1,0))</f>
        <v>0</v>
      </c>
      <c r="K331">
        <f ca="1">DAYS360(INDIRECT(C68&amp;ROW()),TODAY())</f>
        <v>721</v>
      </c>
      <c r="L331">
        <f ca="1">DAYS360(INDIRECT(C69&amp;ROW()),TODAY())</f>
        <v>802</v>
      </c>
      <c r="M331">
        <f ca="1">HYPERLINK(CONCATENATE("https://bugzilla.houston.hp.com:1181/bugzilla/show_bug.cgi?id=",INDIRECT(C70&amp;ROW())),INDIRECT(C70&amp;ROW()))</f>
        <v>56921</v>
      </c>
      <c r="N331">
        <v>56921</v>
      </c>
      <c r="O331" t="s">
        <v>56</v>
      </c>
      <c r="P331" t="s">
        <v>647</v>
      </c>
      <c r="Q331" t="s">
        <v>16</v>
      </c>
      <c r="R331" t="s">
        <v>248</v>
      </c>
      <c r="S331" t="s">
        <v>552</v>
      </c>
      <c r="U331" s="6">
        <v>42125.443981481483</v>
      </c>
      <c r="V331" t="s">
        <v>18</v>
      </c>
      <c r="W331" t="s">
        <v>211</v>
      </c>
      <c r="X331" s="6">
        <v>42045.675682870373</v>
      </c>
      <c r="Y331" t="s">
        <v>122</v>
      </c>
      <c r="AB331" t="s">
        <v>200</v>
      </c>
      <c r="AC331" t="s">
        <v>121</v>
      </c>
      <c r="AD331" t="s">
        <v>220</v>
      </c>
      <c r="AE331" t="s">
        <v>219</v>
      </c>
      <c r="AG331" t="s">
        <v>121</v>
      </c>
      <c r="AH331" t="s">
        <v>327</v>
      </c>
      <c r="AI331" t="s">
        <v>121</v>
      </c>
      <c r="AJ331" t="s">
        <v>716</v>
      </c>
      <c r="AK331" t="s">
        <v>121</v>
      </c>
      <c r="AL331" t="s">
        <v>121</v>
      </c>
      <c r="AM331" t="s">
        <v>121</v>
      </c>
    </row>
    <row r="332" spans="9:39" x14ac:dyDescent="0.3">
      <c r="I332">
        <f ca="1">IF(OR(INDIRECT(A73&amp;ROW())=B93,INDIRECT(A73&amp;ROW())=B94),1,IF(AND(INDIRECT(A73&amp;ROW())=B95,INDIRECT(A96&amp;ROW())=C93),1,IF(AND(INDIRECT(A73&amp;ROW())=B95,INDIRECT(A96&amp;ROW())=C94),1,0)))</f>
        <v>0</v>
      </c>
      <c r="J332">
        <f ca="1">IF(AND(INDIRECT(A73&amp;ROW())=B95,INDIRECT(A96&amp;ROW())=C95),1,IF(AND(INDIRECT(A73&amp;ROW())=B95,INDIRECT(A96&amp;ROW())=C96),1,0))</f>
        <v>0</v>
      </c>
      <c r="K332">
        <f ca="1">DAYS360(INDIRECT(C68&amp;ROW()),TODAY())</f>
        <v>802</v>
      </c>
      <c r="L332">
        <f ca="1">DAYS360(INDIRECT(C69&amp;ROW()),TODAY())</f>
        <v>802</v>
      </c>
      <c r="M332">
        <f ca="1">HYPERLINK(CONCATENATE("https://bugzilla.houston.hp.com:1181/bugzilla/show_bug.cgi?id=",INDIRECT(C70&amp;ROW())),INDIRECT(C70&amp;ROW()))</f>
        <v>56922</v>
      </c>
      <c r="N332">
        <v>56922</v>
      </c>
      <c r="O332" t="s">
        <v>56</v>
      </c>
      <c r="P332" t="s">
        <v>632</v>
      </c>
      <c r="Q332" t="s">
        <v>16</v>
      </c>
      <c r="R332" t="s">
        <v>248</v>
      </c>
      <c r="S332" t="s">
        <v>552</v>
      </c>
      <c r="U332" s="6">
        <v>42045.701967592591</v>
      </c>
      <c r="V332" t="s">
        <v>18</v>
      </c>
      <c r="W332" t="s">
        <v>343</v>
      </c>
      <c r="X332" s="6">
        <v>42045.676111111112</v>
      </c>
      <c r="Y332" t="s">
        <v>124</v>
      </c>
      <c r="AB332" t="s">
        <v>201</v>
      </c>
      <c r="AC332" t="s">
        <v>247</v>
      </c>
      <c r="AD332" t="s">
        <v>220</v>
      </c>
      <c r="AE332" t="s">
        <v>219</v>
      </c>
      <c r="AG332" t="s">
        <v>121</v>
      </c>
      <c r="AH332" t="s">
        <v>327</v>
      </c>
      <c r="AI332" t="s">
        <v>121</v>
      </c>
      <c r="AJ332" t="s">
        <v>717</v>
      </c>
      <c r="AK332" t="s">
        <v>121</v>
      </c>
      <c r="AL332" t="s">
        <v>121</v>
      </c>
      <c r="AM332" t="s">
        <v>121</v>
      </c>
    </row>
    <row r="333" spans="9:39" x14ac:dyDescent="0.3">
      <c r="I333">
        <f ca="1">IF(OR(INDIRECT(A73&amp;ROW())=B93,INDIRECT(A73&amp;ROW())=B94),1,IF(AND(INDIRECT(A73&amp;ROW())=B95,INDIRECT(A96&amp;ROW())=C93),1,IF(AND(INDIRECT(A73&amp;ROW())=B95,INDIRECT(A96&amp;ROW())=C94),1,0)))</f>
        <v>0</v>
      </c>
      <c r="J333">
        <f ca="1">IF(AND(INDIRECT(A73&amp;ROW())=B95,INDIRECT(A96&amp;ROW())=C95),1,IF(AND(INDIRECT(A73&amp;ROW())=B95,INDIRECT(A96&amp;ROW())=C96),1,0))</f>
        <v>0</v>
      </c>
      <c r="K333">
        <f ca="1">DAYS360(INDIRECT(C68&amp;ROW()),TODAY())</f>
        <v>721</v>
      </c>
      <c r="L333">
        <f ca="1">DAYS360(INDIRECT(C69&amp;ROW()),TODAY())</f>
        <v>802</v>
      </c>
      <c r="M333">
        <f ca="1">HYPERLINK(CONCATENATE("https://bugzilla.houston.hp.com:1181/bugzilla/show_bug.cgi?id=",INDIRECT(C70&amp;ROW())),INDIRECT(C70&amp;ROW()))</f>
        <v>56923</v>
      </c>
      <c r="N333">
        <v>56923</v>
      </c>
      <c r="O333" t="s">
        <v>56</v>
      </c>
      <c r="P333" t="s">
        <v>646</v>
      </c>
      <c r="Q333" t="s">
        <v>16</v>
      </c>
      <c r="R333" t="s">
        <v>248</v>
      </c>
      <c r="S333" t="s">
        <v>552</v>
      </c>
      <c r="U333" s="6">
        <v>42125.446423611109</v>
      </c>
      <c r="V333" t="s">
        <v>18</v>
      </c>
      <c r="W333" t="s">
        <v>256</v>
      </c>
      <c r="X333" s="6">
        <v>42045.677118055559</v>
      </c>
      <c r="Y333" t="s">
        <v>122</v>
      </c>
      <c r="AB333" t="s">
        <v>200</v>
      </c>
      <c r="AC333" t="s">
        <v>247</v>
      </c>
      <c r="AD333" t="s">
        <v>220</v>
      </c>
      <c r="AE333" t="s">
        <v>219</v>
      </c>
      <c r="AF333" s="13">
        <v>41904</v>
      </c>
      <c r="AG333" t="s">
        <v>121</v>
      </c>
      <c r="AH333" t="s">
        <v>64</v>
      </c>
      <c r="AI333" t="s">
        <v>121</v>
      </c>
      <c r="AJ333" t="s">
        <v>716</v>
      </c>
      <c r="AK333" t="s">
        <v>121</v>
      </c>
      <c r="AL333" t="s">
        <v>121</v>
      </c>
      <c r="AM333" t="s">
        <v>121</v>
      </c>
    </row>
    <row r="334" spans="9:39" x14ac:dyDescent="0.3">
      <c r="I334">
        <f ca="1">IF(OR(INDIRECT(A73&amp;ROW())=B93,INDIRECT(A73&amp;ROW())=B94),1,IF(AND(INDIRECT(A73&amp;ROW())=B95,INDIRECT(A96&amp;ROW())=C93),1,IF(AND(INDIRECT(A73&amp;ROW())=B95,INDIRECT(A96&amp;ROW())=C94),1,0)))</f>
        <v>0</v>
      </c>
      <c r="J334">
        <f ca="1">IF(AND(INDIRECT(A73&amp;ROW())=B95,INDIRECT(A96&amp;ROW())=C95),1,IF(AND(INDIRECT(A73&amp;ROW())=B95,INDIRECT(A96&amp;ROW())=C96),1,0))</f>
        <v>0</v>
      </c>
      <c r="K334">
        <f ca="1">DAYS360(INDIRECT(C68&amp;ROW()),TODAY())</f>
        <v>721</v>
      </c>
      <c r="L334">
        <f ca="1">DAYS360(INDIRECT(C69&amp;ROW()),TODAY())</f>
        <v>802</v>
      </c>
      <c r="M334">
        <f ca="1">HYPERLINK(CONCATENATE("https://bugzilla.houston.hp.com:1181/bugzilla/show_bug.cgi?id=",INDIRECT(C70&amp;ROW())),INDIRECT(C70&amp;ROW()))</f>
        <v>56924</v>
      </c>
      <c r="N334">
        <v>56924</v>
      </c>
      <c r="O334" t="s">
        <v>56</v>
      </c>
      <c r="P334" t="s">
        <v>645</v>
      </c>
      <c r="Q334" t="s">
        <v>16</v>
      </c>
      <c r="R334" t="s">
        <v>248</v>
      </c>
      <c r="S334" t="s">
        <v>552</v>
      </c>
      <c r="U334" s="6">
        <v>42125.445127314815</v>
      </c>
      <c r="V334" t="s">
        <v>18</v>
      </c>
      <c r="W334" t="s">
        <v>260</v>
      </c>
      <c r="X334" s="6">
        <v>42045.677986111114</v>
      </c>
      <c r="Y334" t="s">
        <v>122</v>
      </c>
      <c r="AB334" t="s">
        <v>200</v>
      </c>
      <c r="AC334" t="s">
        <v>121</v>
      </c>
      <c r="AD334" t="s">
        <v>220</v>
      </c>
      <c r="AE334" t="s">
        <v>219</v>
      </c>
      <c r="AG334" t="s">
        <v>121</v>
      </c>
      <c r="AH334" t="s">
        <v>327</v>
      </c>
      <c r="AI334" t="s">
        <v>121</v>
      </c>
      <c r="AJ334" t="s">
        <v>716</v>
      </c>
      <c r="AK334" t="s">
        <v>121</v>
      </c>
      <c r="AL334" t="s">
        <v>121</v>
      </c>
      <c r="AM334" t="s">
        <v>121</v>
      </c>
    </row>
    <row r="335" spans="9:39" x14ac:dyDescent="0.3">
      <c r="I335">
        <f ca="1">IF(OR(INDIRECT(A73&amp;ROW())=B93,INDIRECT(A73&amp;ROW())=B94),1,IF(AND(INDIRECT(A73&amp;ROW())=B95,INDIRECT(A96&amp;ROW())=C93),1,IF(AND(INDIRECT(A73&amp;ROW())=B95,INDIRECT(A96&amp;ROW())=C94),1,0)))</f>
        <v>0</v>
      </c>
      <c r="J335">
        <f ca="1">IF(AND(INDIRECT(A73&amp;ROW())=B95,INDIRECT(A96&amp;ROW())=C95),1,IF(AND(INDIRECT(A73&amp;ROW())=B95,INDIRECT(A96&amp;ROW())=C96),1,0))</f>
        <v>0</v>
      </c>
      <c r="K335">
        <f ca="1">DAYS360(INDIRECT(C68&amp;ROW()),TODAY())</f>
        <v>721</v>
      </c>
      <c r="L335">
        <f ca="1">DAYS360(INDIRECT(C69&amp;ROW()),TODAY())</f>
        <v>802</v>
      </c>
      <c r="M335">
        <f ca="1">HYPERLINK(CONCATENATE("https://bugzilla.houston.hp.com:1181/bugzilla/show_bug.cgi?id=",INDIRECT(C70&amp;ROW())),INDIRECT(C70&amp;ROW()))</f>
        <v>56925</v>
      </c>
      <c r="N335">
        <v>56925</v>
      </c>
      <c r="O335" t="s">
        <v>56</v>
      </c>
      <c r="P335" t="s">
        <v>644</v>
      </c>
      <c r="Q335" t="s">
        <v>16</v>
      </c>
      <c r="R335" t="s">
        <v>248</v>
      </c>
      <c r="S335" t="s">
        <v>552</v>
      </c>
      <c r="U335" s="6">
        <v>42125.443888888891</v>
      </c>
      <c r="V335" t="s">
        <v>18</v>
      </c>
      <c r="W335" t="s">
        <v>209</v>
      </c>
      <c r="X335" s="6">
        <v>42045.678368055553</v>
      </c>
      <c r="Y335" t="s">
        <v>122</v>
      </c>
      <c r="AB335" t="s">
        <v>200</v>
      </c>
      <c r="AC335" t="s">
        <v>121</v>
      </c>
      <c r="AD335" t="s">
        <v>220</v>
      </c>
      <c r="AE335" t="s">
        <v>219</v>
      </c>
      <c r="AG335" t="s">
        <v>121</v>
      </c>
      <c r="AH335" t="s">
        <v>327</v>
      </c>
      <c r="AI335" t="s">
        <v>121</v>
      </c>
      <c r="AJ335" t="s">
        <v>716</v>
      </c>
      <c r="AK335" t="s">
        <v>121</v>
      </c>
      <c r="AL335" t="s">
        <v>121</v>
      </c>
      <c r="AM335" t="s">
        <v>121</v>
      </c>
    </row>
    <row r="336" spans="9:39" x14ac:dyDescent="0.3">
      <c r="I336">
        <f ca="1">IF(OR(INDIRECT(A73&amp;ROW())=B93,INDIRECT(A73&amp;ROW())=B94),1,IF(AND(INDIRECT(A73&amp;ROW())=B95,INDIRECT(A96&amp;ROW())=C93),1,IF(AND(INDIRECT(A73&amp;ROW())=B95,INDIRECT(A96&amp;ROW())=C94),1,0)))</f>
        <v>0</v>
      </c>
      <c r="J336">
        <f ca="1">IF(AND(INDIRECT(A73&amp;ROW())=B95,INDIRECT(A96&amp;ROW())=C95),1,IF(AND(INDIRECT(A73&amp;ROW())=B95,INDIRECT(A96&amp;ROW())=C96),1,0))</f>
        <v>0</v>
      </c>
      <c r="K336">
        <f ca="1">DAYS360(INDIRECT(C68&amp;ROW()),TODAY())</f>
        <v>721</v>
      </c>
      <c r="L336">
        <f ca="1">DAYS360(INDIRECT(C69&amp;ROW()),TODAY())</f>
        <v>802</v>
      </c>
      <c r="M336">
        <f ca="1">HYPERLINK(CONCATENATE("https://bugzilla.houston.hp.com:1181/bugzilla/show_bug.cgi?id=",INDIRECT(C70&amp;ROW())),INDIRECT(C70&amp;ROW()))</f>
        <v>56926</v>
      </c>
      <c r="N336">
        <v>56926</v>
      </c>
      <c r="O336" t="s">
        <v>56</v>
      </c>
      <c r="P336" t="s">
        <v>643</v>
      </c>
      <c r="Q336" t="s">
        <v>16</v>
      </c>
      <c r="R336" t="s">
        <v>248</v>
      </c>
      <c r="S336" t="s">
        <v>552</v>
      </c>
      <c r="U336" s="6">
        <v>42125.447511574072</v>
      </c>
      <c r="V336" t="s">
        <v>18</v>
      </c>
      <c r="W336" t="s">
        <v>343</v>
      </c>
      <c r="X336" s="6">
        <v>42045.679282407407</v>
      </c>
      <c r="Y336" t="s">
        <v>122</v>
      </c>
      <c r="AB336" t="s">
        <v>200</v>
      </c>
      <c r="AC336" t="s">
        <v>247</v>
      </c>
      <c r="AD336" t="s">
        <v>220</v>
      </c>
      <c r="AE336" t="s">
        <v>219</v>
      </c>
      <c r="AG336" t="s">
        <v>121</v>
      </c>
      <c r="AH336" t="s">
        <v>64</v>
      </c>
      <c r="AI336" t="s">
        <v>121</v>
      </c>
      <c r="AJ336" t="s">
        <v>716</v>
      </c>
      <c r="AK336" t="s">
        <v>121</v>
      </c>
      <c r="AL336" t="s">
        <v>121</v>
      </c>
      <c r="AM336" t="s">
        <v>121</v>
      </c>
    </row>
    <row r="337" spans="9:39" x14ac:dyDescent="0.3">
      <c r="I337">
        <f ca="1">IF(OR(INDIRECT(A73&amp;ROW())=B93,INDIRECT(A73&amp;ROW())=B94),1,IF(AND(INDIRECT(A73&amp;ROW())=B95,INDIRECT(A96&amp;ROW())=C93),1,IF(AND(INDIRECT(A73&amp;ROW())=B95,INDIRECT(A96&amp;ROW())=C94),1,0)))</f>
        <v>0</v>
      </c>
      <c r="J337">
        <f ca="1">IF(AND(INDIRECT(A73&amp;ROW())=B95,INDIRECT(A96&amp;ROW())=C95),1,IF(AND(INDIRECT(A73&amp;ROW())=B95,INDIRECT(A96&amp;ROW())=C96),1,0))</f>
        <v>0</v>
      </c>
      <c r="K337">
        <f ca="1">DAYS360(INDIRECT(C68&amp;ROW()),TODAY())</f>
        <v>802</v>
      </c>
      <c r="L337">
        <f ca="1">DAYS360(INDIRECT(C69&amp;ROW()),TODAY())</f>
        <v>802</v>
      </c>
      <c r="M337">
        <f ca="1">HYPERLINK(CONCATENATE("https://bugzilla.houston.hp.com:1181/bugzilla/show_bug.cgi?id=",INDIRECT(C70&amp;ROW())),INDIRECT(C70&amp;ROW()))</f>
        <v>56927</v>
      </c>
      <c r="N337">
        <v>56927</v>
      </c>
      <c r="O337" t="s">
        <v>56</v>
      </c>
      <c r="P337" t="s">
        <v>642</v>
      </c>
      <c r="Q337" t="s">
        <v>16</v>
      </c>
      <c r="R337" t="s">
        <v>248</v>
      </c>
      <c r="S337" t="s">
        <v>552</v>
      </c>
      <c r="U337" s="6">
        <v>42045.680243055554</v>
      </c>
      <c r="V337" t="s">
        <v>18</v>
      </c>
      <c r="W337" t="s">
        <v>288</v>
      </c>
      <c r="X337" s="6">
        <v>42045.679618055554</v>
      </c>
      <c r="Y337" t="s">
        <v>787</v>
      </c>
      <c r="AB337" t="s">
        <v>201</v>
      </c>
      <c r="AC337" t="s">
        <v>247</v>
      </c>
      <c r="AD337" t="s">
        <v>220</v>
      </c>
      <c r="AE337" t="s">
        <v>219</v>
      </c>
      <c r="AG337" t="s">
        <v>121</v>
      </c>
      <c r="AH337" t="s">
        <v>327</v>
      </c>
      <c r="AI337" t="s">
        <v>121</v>
      </c>
      <c r="AJ337" t="s">
        <v>717</v>
      </c>
      <c r="AK337" t="s">
        <v>121</v>
      </c>
      <c r="AL337" t="s">
        <v>121</v>
      </c>
      <c r="AM337" t="s">
        <v>121</v>
      </c>
    </row>
    <row r="338" spans="9:39" x14ac:dyDescent="0.3">
      <c r="I338">
        <f ca="1">IF(OR(INDIRECT(A73&amp;ROW())=B93,INDIRECT(A73&amp;ROW())=B94),1,IF(AND(INDIRECT(A73&amp;ROW())=B95,INDIRECT(A96&amp;ROW())=C93),1,IF(AND(INDIRECT(A73&amp;ROW())=B95,INDIRECT(A96&amp;ROW())=C94),1,0)))</f>
        <v>0</v>
      </c>
      <c r="J338">
        <f ca="1">IF(AND(INDIRECT(A73&amp;ROW())=B95,INDIRECT(A96&amp;ROW())=C95),1,IF(AND(INDIRECT(A73&amp;ROW())=B95,INDIRECT(A96&amp;ROW())=C96),1,0))</f>
        <v>0</v>
      </c>
      <c r="K338">
        <f ca="1">DAYS360(INDIRECT(C68&amp;ROW()),TODAY())</f>
        <v>721</v>
      </c>
      <c r="L338">
        <f ca="1">DAYS360(INDIRECT(C69&amp;ROW()),TODAY())</f>
        <v>802</v>
      </c>
      <c r="M338">
        <f ca="1">HYPERLINK(CONCATENATE("https://bugzilla.houston.hp.com:1181/bugzilla/show_bug.cgi?id=",INDIRECT(C70&amp;ROW())),INDIRECT(C70&amp;ROW()))</f>
        <v>56928</v>
      </c>
      <c r="N338">
        <v>56928</v>
      </c>
      <c r="O338" t="s">
        <v>56</v>
      </c>
      <c r="P338" t="s">
        <v>641</v>
      </c>
      <c r="Q338" t="s">
        <v>16</v>
      </c>
      <c r="R338" t="s">
        <v>248</v>
      </c>
      <c r="S338" t="s">
        <v>552</v>
      </c>
      <c r="U338" s="6">
        <v>42125.442418981482</v>
      </c>
      <c r="V338" t="s">
        <v>18</v>
      </c>
      <c r="W338" t="s">
        <v>89</v>
      </c>
      <c r="X338" s="6">
        <v>42045.680694444447</v>
      </c>
      <c r="Y338" t="s">
        <v>122</v>
      </c>
      <c r="AB338" t="s">
        <v>201</v>
      </c>
      <c r="AC338" t="s">
        <v>121</v>
      </c>
      <c r="AD338" t="s">
        <v>220</v>
      </c>
      <c r="AE338" t="s">
        <v>219</v>
      </c>
      <c r="AG338" t="s">
        <v>121</v>
      </c>
      <c r="AH338" t="s">
        <v>327</v>
      </c>
      <c r="AI338" t="s">
        <v>121</v>
      </c>
      <c r="AJ338" t="s">
        <v>717</v>
      </c>
      <c r="AK338" t="s">
        <v>121</v>
      </c>
      <c r="AL338" t="s">
        <v>121</v>
      </c>
      <c r="AM338" t="s">
        <v>121</v>
      </c>
    </row>
    <row r="339" spans="9:39" x14ac:dyDescent="0.3">
      <c r="I339">
        <f ca="1">IF(OR(INDIRECT(A73&amp;ROW())=B93,INDIRECT(A73&amp;ROW())=B94),1,IF(AND(INDIRECT(A73&amp;ROW())=B95,INDIRECT(A96&amp;ROW())=C93),1,IF(AND(INDIRECT(A73&amp;ROW())=B95,INDIRECT(A96&amp;ROW())=C94),1,0)))</f>
        <v>0</v>
      </c>
      <c r="J339">
        <f ca="1">IF(AND(INDIRECT(A73&amp;ROW())=B95,INDIRECT(A96&amp;ROW())=C95),1,IF(AND(INDIRECT(A73&amp;ROW())=B95,INDIRECT(A96&amp;ROW())=C96),1,0))</f>
        <v>0</v>
      </c>
      <c r="K339">
        <f ca="1">DAYS360(INDIRECT(C68&amp;ROW()),TODAY())</f>
        <v>721</v>
      </c>
      <c r="L339">
        <f ca="1">DAYS360(INDIRECT(C69&amp;ROW()),TODAY())</f>
        <v>802</v>
      </c>
      <c r="M339">
        <f ca="1">HYPERLINK(CONCATENATE("https://bugzilla.houston.hp.com:1181/bugzilla/show_bug.cgi?id=",INDIRECT(C70&amp;ROW())),INDIRECT(C70&amp;ROW()))</f>
        <v>56929</v>
      </c>
      <c r="N339">
        <v>56929</v>
      </c>
      <c r="O339" t="s">
        <v>36</v>
      </c>
      <c r="P339" t="s">
        <v>640</v>
      </c>
      <c r="Q339" t="s">
        <v>16</v>
      </c>
      <c r="R339" t="s">
        <v>248</v>
      </c>
      <c r="S339" t="s">
        <v>552</v>
      </c>
      <c r="U339" s="6">
        <v>42125.442106481481</v>
      </c>
      <c r="V339" t="s">
        <v>18</v>
      </c>
      <c r="W339" t="s">
        <v>206</v>
      </c>
      <c r="X339" s="6">
        <v>42045.681006944447</v>
      </c>
      <c r="Y339" t="s">
        <v>122</v>
      </c>
      <c r="AB339" t="s">
        <v>199</v>
      </c>
      <c r="AC339" t="s">
        <v>121</v>
      </c>
      <c r="AD339" t="s">
        <v>222</v>
      </c>
      <c r="AE339" t="s">
        <v>233</v>
      </c>
      <c r="AG339" t="s">
        <v>121</v>
      </c>
      <c r="AH339" t="s">
        <v>327</v>
      </c>
      <c r="AI339" t="s">
        <v>121</v>
      </c>
      <c r="AJ339" t="s">
        <v>716</v>
      </c>
      <c r="AK339" t="s">
        <v>121</v>
      </c>
      <c r="AL339" t="s">
        <v>121</v>
      </c>
      <c r="AM339" t="s">
        <v>121</v>
      </c>
    </row>
    <row r="340" spans="9:39" x14ac:dyDescent="0.3">
      <c r="I340">
        <f ca="1">IF(OR(INDIRECT(A73&amp;ROW())=B93,INDIRECT(A73&amp;ROW())=B94),1,IF(AND(INDIRECT(A73&amp;ROW())=B95,INDIRECT(A96&amp;ROW())=C93),1,IF(AND(INDIRECT(A73&amp;ROW())=B95,INDIRECT(A96&amp;ROW())=C94),1,0)))</f>
        <v>0</v>
      </c>
      <c r="J340">
        <f ca="1">IF(AND(INDIRECT(A73&amp;ROW())=B95,INDIRECT(A96&amp;ROW())=C95),1,IF(AND(INDIRECT(A73&amp;ROW())=B95,INDIRECT(A96&amp;ROW())=C96),1,0))</f>
        <v>0</v>
      </c>
      <c r="K340">
        <f ca="1">DAYS360(INDIRECT(C68&amp;ROW()),TODAY())</f>
        <v>802</v>
      </c>
      <c r="L340">
        <f ca="1">DAYS360(INDIRECT(C69&amp;ROW()),TODAY())</f>
        <v>802</v>
      </c>
      <c r="M340">
        <f ca="1">HYPERLINK(CONCATENATE("https://bugzilla.houston.hp.com:1181/bugzilla/show_bug.cgi?id=",INDIRECT(C70&amp;ROW())),INDIRECT(C70&amp;ROW()))</f>
        <v>56930</v>
      </c>
      <c r="N340">
        <v>56930</v>
      </c>
      <c r="O340" t="s">
        <v>56</v>
      </c>
      <c r="P340" t="s">
        <v>639</v>
      </c>
      <c r="Q340" t="s">
        <v>16</v>
      </c>
      <c r="R340" t="s">
        <v>248</v>
      </c>
      <c r="S340" t="s">
        <v>552</v>
      </c>
      <c r="U340" s="6">
        <v>42045.682615740741</v>
      </c>
      <c r="V340" t="s">
        <v>18</v>
      </c>
      <c r="W340" t="s">
        <v>205</v>
      </c>
      <c r="X340" s="6">
        <v>42045.68204861111</v>
      </c>
      <c r="Y340" t="s">
        <v>245</v>
      </c>
      <c r="AB340" t="s">
        <v>201</v>
      </c>
      <c r="AC340" t="s">
        <v>121</v>
      </c>
      <c r="AD340" t="s">
        <v>220</v>
      </c>
      <c r="AE340" t="s">
        <v>219</v>
      </c>
      <c r="AG340" t="s">
        <v>121</v>
      </c>
      <c r="AH340" t="s">
        <v>327</v>
      </c>
      <c r="AI340" t="s">
        <v>121</v>
      </c>
      <c r="AJ340" t="s">
        <v>717</v>
      </c>
      <c r="AK340" t="s">
        <v>121</v>
      </c>
      <c r="AL340" t="s">
        <v>121</v>
      </c>
      <c r="AM340" t="s">
        <v>121</v>
      </c>
    </row>
    <row r="341" spans="9:39" x14ac:dyDescent="0.3">
      <c r="I341">
        <f ca="1">IF(OR(INDIRECT(A73&amp;ROW())=B93,INDIRECT(A73&amp;ROW())=B94),1,IF(AND(INDIRECT(A73&amp;ROW())=B95,INDIRECT(A96&amp;ROW())=C93),1,IF(AND(INDIRECT(A73&amp;ROW())=B95,INDIRECT(A96&amp;ROW())=C94),1,0)))</f>
        <v>0</v>
      </c>
      <c r="J341">
        <f ca="1">IF(AND(INDIRECT(A73&amp;ROW())=B95,INDIRECT(A96&amp;ROW())=C95),1,IF(AND(INDIRECT(A73&amp;ROW())=B95,INDIRECT(A96&amp;ROW())=C96),1,0))</f>
        <v>0</v>
      </c>
      <c r="K341">
        <f ca="1">DAYS360(INDIRECT(C68&amp;ROW()),TODAY())</f>
        <v>731</v>
      </c>
      <c r="L341">
        <f ca="1">DAYS360(INDIRECT(C69&amp;ROW()),TODAY())</f>
        <v>802</v>
      </c>
      <c r="M341">
        <f ca="1">HYPERLINK(CONCATENATE("https://bugzilla.houston.hp.com:1181/bugzilla/show_bug.cgi?id=",INDIRECT(C70&amp;ROW())),INDIRECT(C70&amp;ROW()))</f>
        <v>56931</v>
      </c>
      <c r="N341">
        <v>56931</v>
      </c>
      <c r="O341" t="s">
        <v>56</v>
      </c>
      <c r="P341" t="s">
        <v>974</v>
      </c>
      <c r="Q341" t="s">
        <v>16</v>
      </c>
      <c r="R341" t="s">
        <v>783</v>
      </c>
      <c r="S341" t="s">
        <v>552</v>
      </c>
      <c r="U341" s="6">
        <v>42115.828506944446</v>
      </c>
      <c r="V341" t="s">
        <v>18</v>
      </c>
      <c r="W341" t="s">
        <v>340</v>
      </c>
      <c r="X341" s="6">
        <v>42045.684733796297</v>
      </c>
      <c r="Y341" t="s">
        <v>122</v>
      </c>
      <c r="AB341" t="s">
        <v>200</v>
      </c>
      <c r="AC341" t="s">
        <v>247</v>
      </c>
      <c r="AD341" t="s">
        <v>220</v>
      </c>
      <c r="AE341" t="s">
        <v>219</v>
      </c>
      <c r="AG341" t="s">
        <v>121</v>
      </c>
      <c r="AH341" t="s">
        <v>64</v>
      </c>
      <c r="AI341" t="s">
        <v>121</v>
      </c>
      <c r="AJ341" t="s">
        <v>716</v>
      </c>
      <c r="AK341" t="s">
        <v>121</v>
      </c>
      <c r="AL341" t="s">
        <v>121</v>
      </c>
      <c r="AM341" t="s">
        <v>121</v>
      </c>
    </row>
    <row r="342" spans="9:39" x14ac:dyDescent="0.3">
      <c r="I342">
        <f ca="1">IF(OR(INDIRECT(A73&amp;ROW())=B93,INDIRECT(A73&amp;ROW())=B94),1,IF(AND(INDIRECT(A73&amp;ROW())=B95,INDIRECT(A96&amp;ROW())=C93),1,IF(AND(INDIRECT(A73&amp;ROW())=B95,INDIRECT(A96&amp;ROW())=C94),1,0)))</f>
        <v>0</v>
      </c>
      <c r="J342">
        <f ca="1">IF(AND(INDIRECT(A73&amp;ROW())=B95,INDIRECT(A96&amp;ROW())=C95),1,IF(AND(INDIRECT(A73&amp;ROW())=B95,INDIRECT(A96&amp;ROW())=C96),1,0))</f>
        <v>0</v>
      </c>
      <c r="K342">
        <f ca="1">DAYS360(INDIRECT(C68&amp;ROW()),TODAY())</f>
        <v>802</v>
      </c>
      <c r="L342">
        <f ca="1">DAYS360(INDIRECT(C69&amp;ROW()),TODAY())</f>
        <v>802</v>
      </c>
      <c r="M342">
        <f ca="1">HYPERLINK(CONCATENATE("https://bugzilla.houston.hp.com:1181/bugzilla/show_bug.cgi?id=",INDIRECT(C70&amp;ROW())),INDIRECT(C70&amp;ROW()))</f>
        <v>56932</v>
      </c>
      <c r="N342">
        <v>56932</v>
      </c>
      <c r="O342" t="s">
        <v>36</v>
      </c>
      <c r="P342" t="s">
        <v>637</v>
      </c>
      <c r="Q342" t="s">
        <v>16</v>
      </c>
      <c r="R342" t="s">
        <v>248</v>
      </c>
      <c r="S342" t="s">
        <v>552</v>
      </c>
      <c r="U342" s="6">
        <v>42045.685949074075</v>
      </c>
      <c r="V342" t="s">
        <v>18</v>
      </c>
      <c r="W342" t="s">
        <v>339</v>
      </c>
      <c r="X342" s="6">
        <v>42045.685069444444</v>
      </c>
      <c r="Y342" t="s">
        <v>342</v>
      </c>
      <c r="AB342" t="s">
        <v>201</v>
      </c>
      <c r="AC342" t="s">
        <v>217</v>
      </c>
      <c r="AD342" t="s">
        <v>222</v>
      </c>
      <c r="AE342" t="s">
        <v>225</v>
      </c>
      <c r="AG342" t="s">
        <v>121</v>
      </c>
      <c r="AH342" t="s">
        <v>327</v>
      </c>
      <c r="AI342" t="s">
        <v>121</v>
      </c>
      <c r="AJ342" t="s">
        <v>717</v>
      </c>
      <c r="AK342" t="s">
        <v>121</v>
      </c>
      <c r="AL342" t="s">
        <v>121</v>
      </c>
      <c r="AM342" t="s">
        <v>121</v>
      </c>
    </row>
    <row r="343" spans="9:39" x14ac:dyDescent="0.3">
      <c r="I343">
        <f ca="1">IF(OR(INDIRECT(A73&amp;ROW())=B93,INDIRECT(A73&amp;ROW())=B94),1,IF(AND(INDIRECT(A73&amp;ROW())=B95,INDIRECT(A96&amp;ROW())=C93),1,IF(AND(INDIRECT(A73&amp;ROW())=B95,INDIRECT(A96&amp;ROW())=C94),1,0)))</f>
        <v>0</v>
      </c>
      <c r="J343">
        <f ca="1">IF(AND(INDIRECT(A73&amp;ROW())=B95,INDIRECT(A96&amp;ROW())=C95),1,IF(AND(INDIRECT(A73&amp;ROW())=B95,INDIRECT(A96&amp;ROW())=C96),1,0))</f>
        <v>0</v>
      </c>
      <c r="K343">
        <f ca="1">DAYS360(INDIRECT(C68&amp;ROW()),TODAY())</f>
        <v>721</v>
      </c>
      <c r="L343">
        <f ca="1">DAYS360(INDIRECT(C69&amp;ROW()),TODAY())</f>
        <v>802</v>
      </c>
      <c r="M343">
        <f ca="1">HYPERLINK(CONCATENATE("https://bugzilla.houston.hp.com:1181/bugzilla/show_bug.cgi?id=",INDIRECT(C70&amp;ROW())),INDIRECT(C70&amp;ROW()))</f>
        <v>56936</v>
      </c>
      <c r="N343">
        <v>56936</v>
      </c>
      <c r="O343" t="s">
        <v>56</v>
      </c>
      <c r="P343" t="s">
        <v>634</v>
      </c>
      <c r="Q343" t="s">
        <v>16</v>
      </c>
      <c r="R343" t="s">
        <v>248</v>
      </c>
      <c r="S343" t="s">
        <v>552</v>
      </c>
      <c r="U343" s="6">
        <v>42125.443796296298</v>
      </c>
      <c r="V343" t="s">
        <v>18</v>
      </c>
      <c r="W343" t="s">
        <v>211</v>
      </c>
      <c r="X343" s="6">
        <v>42045.687418981484</v>
      </c>
      <c r="Y343" t="s">
        <v>122</v>
      </c>
      <c r="AB343" t="s">
        <v>201</v>
      </c>
      <c r="AC343" t="s">
        <v>121</v>
      </c>
      <c r="AD343" t="s">
        <v>220</v>
      </c>
      <c r="AE343" t="s">
        <v>219</v>
      </c>
      <c r="AG343" t="s">
        <v>121</v>
      </c>
      <c r="AH343" t="s">
        <v>64</v>
      </c>
      <c r="AI343" t="s">
        <v>121</v>
      </c>
      <c r="AJ343" t="s">
        <v>717</v>
      </c>
      <c r="AK343" t="s">
        <v>121</v>
      </c>
      <c r="AL343" t="s">
        <v>121</v>
      </c>
      <c r="AM343" t="s">
        <v>121</v>
      </c>
    </row>
    <row r="344" spans="9:39" x14ac:dyDescent="0.3">
      <c r="I344">
        <f ca="1">IF(OR(INDIRECT(A73&amp;ROW())=B93,INDIRECT(A73&amp;ROW())=B94),1,IF(AND(INDIRECT(A73&amp;ROW())=B95,INDIRECT(A96&amp;ROW())=C93),1,IF(AND(INDIRECT(A73&amp;ROW())=B95,INDIRECT(A96&amp;ROW())=C94),1,0)))</f>
        <v>0</v>
      </c>
      <c r="J344">
        <f ca="1">IF(AND(INDIRECT(A73&amp;ROW())=B95,INDIRECT(A96&amp;ROW())=C95),1,IF(AND(INDIRECT(A73&amp;ROW())=B95,INDIRECT(A96&amp;ROW())=C96),1,0))</f>
        <v>0</v>
      </c>
      <c r="K344">
        <f ca="1">DAYS360(INDIRECT(C68&amp;ROW()),TODAY())</f>
        <v>721</v>
      </c>
      <c r="L344">
        <f ca="1">DAYS360(INDIRECT(C69&amp;ROW()),TODAY())</f>
        <v>802</v>
      </c>
      <c r="M344">
        <f ca="1">HYPERLINK(CONCATENATE("https://bugzilla.houston.hp.com:1181/bugzilla/show_bug.cgi?id=",INDIRECT(C70&amp;ROW())),INDIRECT(C70&amp;ROW()))</f>
        <v>56937</v>
      </c>
      <c r="N344">
        <v>56937</v>
      </c>
      <c r="O344" t="s">
        <v>36</v>
      </c>
      <c r="P344" t="s">
        <v>633</v>
      </c>
      <c r="Q344" t="s">
        <v>16</v>
      </c>
      <c r="R344" t="s">
        <v>248</v>
      </c>
      <c r="S344" t="s">
        <v>552</v>
      </c>
      <c r="U344" s="6">
        <v>42125.447685185187</v>
      </c>
      <c r="V344" t="s">
        <v>18</v>
      </c>
      <c r="W344" t="s">
        <v>17</v>
      </c>
      <c r="X344" s="6">
        <v>42045.688657407409</v>
      </c>
      <c r="Y344" t="s">
        <v>122</v>
      </c>
      <c r="AB344" t="s">
        <v>201</v>
      </c>
      <c r="AC344" t="s">
        <v>247</v>
      </c>
      <c r="AD344" t="s">
        <v>220</v>
      </c>
      <c r="AE344" t="s">
        <v>223</v>
      </c>
      <c r="AG344" t="s">
        <v>121</v>
      </c>
      <c r="AH344" t="s">
        <v>64</v>
      </c>
      <c r="AI344" t="s">
        <v>121</v>
      </c>
      <c r="AJ344" t="s">
        <v>717</v>
      </c>
      <c r="AK344" t="s">
        <v>121</v>
      </c>
      <c r="AL344" t="s">
        <v>121</v>
      </c>
      <c r="AM344" t="s">
        <v>121</v>
      </c>
    </row>
    <row r="345" spans="9:39" x14ac:dyDescent="0.3">
      <c r="I345">
        <f ca="1">IF(OR(INDIRECT(A73&amp;ROW())=B93,INDIRECT(A73&amp;ROW())=B94),1,IF(AND(INDIRECT(A73&amp;ROW())=B95,INDIRECT(A96&amp;ROW())=C93),1,IF(AND(INDIRECT(A73&amp;ROW())=B95,INDIRECT(A96&amp;ROW())=C94),1,0)))</f>
        <v>0</v>
      </c>
      <c r="J345">
        <f ca="1">IF(AND(INDIRECT(A73&amp;ROW())=B95,INDIRECT(A96&amp;ROW())=C95),1,IF(AND(INDIRECT(A73&amp;ROW())=B95,INDIRECT(A96&amp;ROW())=C96),1,0))</f>
        <v>0</v>
      </c>
      <c r="K345">
        <f ca="1">DAYS360(INDIRECT(C68&amp;ROW()),TODAY())</f>
        <v>802</v>
      </c>
      <c r="L345">
        <f ca="1">DAYS360(INDIRECT(C69&amp;ROW()),TODAY())</f>
        <v>802</v>
      </c>
      <c r="M345">
        <f ca="1">HYPERLINK(CONCATENATE("https://bugzilla.houston.hp.com:1181/bugzilla/show_bug.cgi?id=",INDIRECT(C70&amp;ROW())),INDIRECT(C70&amp;ROW()))</f>
        <v>56939</v>
      </c>
      <c r="N345">
        <v>56939</v>
      </c>
      <c r="O345" t="s">
        <v>56</v>
      </c>
      <c r="P345" t="s">
        <v>632</v>
      </c>
      <c r="Q345" t="s">
        <v>16</v>
      </c>
      <c r="R345" t="s">
        <v>248</v>
      </c>
      <c r="S345" t="s">
        <v>552</v>
      </c>
      <c r="U345" s="6">
        <v>42045.701967592591</v>
      </c>
      <c r="V345" t="s">
        <v>18</v>
      </c>
      <c r="W345" t="s">
        <v>343</v>
      </c>
      <c r="X345" s="6">
        <v>42045.701157407406</v>
      </c>
      <c r="Y345" t="s">
        <v>124</v>
      </c>
      <c r="AB345" t="s">
        <v>201</v>
      </c>
      <c r="AC345" t="s">
        <v>247</v>
      </c>
      <c r="AD345" t="s">
        <v>220</v>
      </c>
      <c r="AE345" t="s">
        <v>219</v>
      </c>
      <c r="AG345" t="s">
        <v>121</v>
      </c>
      <c r="AH345" t="s">
        <v>327</v>
      </c>
      <c r="AI345" t="s">
        <v>121</v>
      </c>
      <c r="AJ345" t="s">
        <v>717</v>
      </c>
      <c r="AK345" t="s">
        <v>121</v>
      </c>
      <c r="AL345" t="s">
        <v>121</v>
      </c>
      <c r="AM345" t="s">
        <v>121</v>
      </c>
    </row>
    <row r="346" spans="9:39" x14ac:dyDescent="0.3">
      <c r="I346">
        <f ca="1">IF(OR(INDIRECT(A73&amp;ROW())=B93,INDIRECT(A73&amp;ROW())=B94),1,IF(AND(INDIRECT(A73&amp;ROW())=B95,INDIRECT(A96&amp;ROW())=C93),1,IF(AND(INDIRECT(A73&amp;ROW())=B95,INDIRECT(A96&amp;ROW())=C94),1,0)))</f>
        <v>0</v>
      </c>
      <c r="J346">
        <f ca="1">IF(AND(INDIRECT(A73&amp;ROW())=B95,INDIRECT(A96&amp;ROW())=C95),1,IF(AND(INDIRECT(A73&amp;ROW())=B95,INDIRECT(A96&amp;ROW())=C96),1,0))</f>
        <v>0</v>
      </c>
      <c r="K346">
        <f ca="1">DAYS360(INDIRECT(C68&amp;ROW()),TODAY())</f>
        <v>802</v>
      </c>
      <c r="L346">
        <f ca="1">DAYS360(INDIRECT(C69&amp;ROW()),TODAY())</f>
        <v>802</v>
      </c>
      <c r="M346">
        <f ca="1">HYPERLINK(CONCATENATE("https://bugzilla.houston.hp.com:1181/bugzilla/show_bug.cgi?id=",INDIRECT(C70&amp;ROW())),INDIRECT(C70&amp;ROW()))</f>
        <v>56940</v>
      </c>
      <c r="N346">
        <v>56940</v>
      </c>
      <c r="O346" t="s">
        <v>36</v>
      </c>
      <c r="P346" t="s">
        <v>631</v>
      </c>
      <c r="Q346" t="s">
        <v>16</v>
      </c>
      <c r="R346" t="s">
        <v>248</v>
      </c>
      <c r="S346" t="s">
        <v>552</v>
      </c>
      <c r="U346" s="6">
        <v>42045.702314814815</v>
      </c>
      <c r="V346" t="s">
        <v>18</v>
      </c>
      <c r="W346" t="s">
        <v>339</v>
      </c>
      <c r="X346" s="6">
        <v>42045.701620370368</v>
      </c>
      <c r="Y346" t="s">
        <v>118</v>
      </c>
      <c r="AB346" t="s">
        <v>201</v>
      </c>
      <c r="AC346" t="s">
        <v>121</v>
      </c>
      <c r="AD346" t="s">
        <v>222</v>
      </c>
      <c r="AE346" t="s">
        <v>240</v>
      </c>
      <c r="AG346" t="s">
        <v>121</v>
      </c>
      <c r="AH346" t="s">
        <v>327</v>
      </c>
      <c r="AI346" t="s">
        <v>121</v>
      </c>
      <c r="AJ346" t="s">
        <v>717</v>
      </c>
      <c r="AK346" t="s">
        <v>121</v>
      </c>
      <c r="AL346" t="s">
        <v>121</v>
      </c>
      <c r="AM346" t="s">
        <v>121</v>
      </c>
    </row>
    <row r="347" spans="9:39" x14ac:dyDescent="0.3">
      <c r="I347">
        <f ca="1">IF(OR(INDIRECT(A73&amp;ROW())=B93,INDIRECT(A73&amp;ROW())=B94),1,IF(AND(INDIRECT(A73&amp;ROW())=B95,INDIRECT(A96&amp;ROW())=C93),1,IF(AND(INDIRECT(A73&amp;ROW())=B95,INDIRECT(A96&amp;ROW())=C94),1,0)))</f>
        <v>0</v>
      </c>
      <c r="J347">
        <f ca="1">IF(AND(INDIRECT(A73&amp;ROW())=B95,INDIRECT(A96&amp;ROW())=C95),1,IF(AND(INDIRECT(A73&amp;ROW())=B95,INDIRECT(A96&amp;ROW())=C96),1,0))</f>
        <v>0</v>
      </c>
      <c r="K347">
        <f ca="1">DAYS360(INDIRECT(C68&amp;ROW()),TODAY())</f>
        <v>721</v>
      </c>
      <c r="L347">
        <f ca="1">DAYS360(INDIRECT(C69&amp;ROW()),TODAY())</f>
        <v>802</v>
      </c>
      <c r="M347">
        <f ca="1">HYPERLINK(CONCATENATE("https://bugzilla.houston.hp.com:1181/bugzilla/show_bug.cgi?id=",INDIRECT(C70&amp;ROW())),INDIRECT(C70&amp;ROW()))</f>
        <v>56942</v>
      </c>
      <c r="N347">
        <v>56942</v>
      </c>
      <c r="O347" t="s">
        <v>56</v>
      </c>
      <c r="P347" t="s">
        <v>630</v>
      </c>
      <c r="Q347" t="s">
        <v>16</v>
      </c>
      <c r="R347" t="s">
        <v>248</v>
      </c>
      <c r="S347" t="s">
        <v>552</v>
      </c>
      <c r="U347" s="6">
        <v>42125.445092592592</v>
      </c>
      <c r="V347" t="s">
        <v>18</v>
      </c>
      <c r="W347" t="s">
        <v>260</v>
      </c>
      <c r="X347" s="6">
        <v>42045.702800925923</v>
      </c>
      <c r="Y347" t="s">
        <v>122</v>
      </c>
      <c r="AB347" t="s">
        <v>201</v>
      </c>
      <c r="AC347" t="s">
        <v>121</v>
      </c>
      <c r="AD347" t="s">
        <v>220</v>
      </c>
      <c r="AE347" t="s">
        <v>219</v>
      </c>
      <c r="AG347" t="s">
        <v>121</v>
      </c>
      <c r="AH347" t="s">
        <v>327</v>
      </c>
      <c r="AI347" t="s">
        <v>121</v>
      </c>
      <c r="AJ347" t="s">
        <v>717</v>
      </c>
      <c r="AK347" t="s">
        <v>121</v>
      </c>
      <c r="AL347" t="s">
        <v>121</v>
      </c>
      <c r="AM347" t="s">
        <v>121</v>
      </c>
    </row>
    <row r="348" spans="9:39" x14ac:dyDescent="0.3">
      <c r="I348">
        <f ca="1">IF(OR(INDIRECT(A73&amp;ROW())=B93,INDIRECT(A73&amp;ROW())=B94),1,IF(AND(INDIRECT(A73&amp;ROW())=B95,INDIRECT(A96&amp;ROW())=C93),1,IF(AND(INDIRECT(A73&amp;ROW())=B95,INDIRECT(A96&amp;ROW())=C94),1,0)))</f>
        <v>0</v>
      </c>
      <c r="J348">
        <f ca="1">IF(AND(INDIRECT(A73&amp;ROW())=B95,INDIRECT(A96&amp;ROW())=C95),1,IF(AND(INDIRECT(A73&amp;ROW())=B95,INDIRECT(A96&amp;ROW())=C96),1,0))</f>
        <v>0</v>
      </c>
      <c r="K348">
        <f ca="1">DAYS360(INDIRECT(C68&amp;ROW()),TODAY())</f>
        <v>721</v>
      </c>
      <c r="L348">
        <f ca="1">DAYS360(INDIRECT(C69&amp;ROW()),TODAY())</f>
        <v>802</v>
      </c>
      <c r="M348">
        <f ca="1">HYPERLINK(CONCATENATE("https://bugzilla.houston.hp.com:1181/bugzilla/show_bug.cgi?id=",INDIRECT(C70&amp;ROW())),INDIRECT(C70&amp;ROW()))</f>
        <v>56943</v>
      </c>
      <c r="N348">
        <v>56943</v>
      </c>
      <c r="O348" t="s">
        <v>56</v>
      </c>
      <c r="P348" t="s">
        <v>629</v>
      </c>
      <c r="Q348" t="s">
        <v>16</v>
      </c>
      <c r="R348" t="s">
        <v>248</v>
      </c>
      <c r="S348" t="s">
        <v>552</v>
      </c>
      <c r="U348" s="6">
        <v>42125.446377314816</v>
      </c>
      <c r="V348" t="s">
        <v>18</v>
      </c>
      <c r="W348" t="s">
        <v>288</v>
      </c>
      <c r="X348" s="6">
        <v>42045.703252314815</v>
      </c>
      <c r="Y348" t="s">
        <v>122</v>
      </c>
      <c r="AB348" t="s">
        <v>201</v>
      </c>
      <c r="AC348" t="s">
        <v>247</v>
      </c>
      <c r="AD348" t="s">
        <v>220</v>
      </c>
      <c r="AE348" t="s">
        <v>219</v>
      </c>
      <c r="AG348" t="s">
        <v>121</v>
      </c>
      <c r="AH348" t="s">
        <v>64</v>
      </c>
      <c r="AI348" t="s">
        <v>121</v>
      </c>
      <c r="AJ348" t="s">
        <v>717</v>
      </c>
      <c r="AK348" t="s">
        <v>121</v>
      </c>
      <c r="AL348" t="s">
        <v>121</v>
      </c>
      <c r="AM348" t="s">
        <v>121</v>
      </c>
    </row>
    <row r="349" spans="9:39" x14ac:dyDescent="0.3">
      <c r="I349">
        <f ca="1">IF(OR(INDIRECT(A73&amp;ROW())=B93,INDIRECT(A73&amp;ROW())=B94),1,IF(AND(INDIRECT(A73&amp;ROW())=B95,INDIRECT(A96&amp;ROW())=C93),1,IF(AND(INDIRECT(A73&amp;ROW())=B95,INDIRECT(A96&amp;ROW())=C94),1,0)))</f>
        <v>0</v>
      </c>
      <c r="J349">
        <f ca="1">IF(AND(INDIRECT(A73&amp;ROW())=B95,INDIRECT(A96&amp;ROW())=C95),1,IF(AND(INDIRECT(A73&amp;ROW())=B95,INDIRECT(A96&amp;ROW())=C96),1,0))</f>
        <v>0</v>
      </c>
      <c r="K349">
        <f ca="1">DAYS360(INDIRECT(C68&amp;ROW()),TODAY())</f>
        <v>721</v>
      </c>
      <c r="L349">
        <f ca="1">DAYS360(INDIRECT(C69&amp;ROW()),TODAY())</f>
        <v>802</v>
      </c>
      <c r="M349">
        <f ca="1">HYPERLINK(CONCATENATE("https://bugzilla.houston.hp.com:1181/bugzilla/show_bug.cgi?id=",INDIRECT(C70&amp;ROW())),INDIRECT(C70&amp;ROW()))</f>
        <v>56946</v>
      </c>
      <c r="N349">
        <v>56946</v>
      </c>
      <c r="O349" t="s">
        <v>56</v>
      </c>
      <c r="P349" t="s">
        <v>628</v>
      </c>
      <c r="Q349" t="s">
        <v>16</v>
      </c>
      <c r="R349" t="s">
        <v>248</v>
      </c>
      <c r="S349" t="s">
        <v>552</v>
      </c>
      <c r="U349" s="6">
        <v>42125.448599537034</v>
      </c>
      <c r="V349" t="s">
        <v>18</v>
      </c>
      <c r="W349" t="s">
        <v>17</v>
      </c>
      <c r="X349" s="6">
        <v>42045.706203703703</v>
      </c>
      <c r="Y349" t="s">
        <v>122</v>
      </c>
      <c r="AB349" t="s">
        <v>201</v>
      </c>
      <c r="AC349" t="s">
        <v>247</v>
      </c>
      <c r="AD349" t="s">
        <v>220</v>
      </c>
      <c r="AE349" t="s">
        <v>219</v>
      </c>
      <c r="AG349" t="s">
        <v>121</v>
      </c>
      <c r="AH349" t="s">
        <v>327</v>
      </c>
      <c r="AI349" t="s">
        <v>121</v>
      </c>
      <c r="AJ349" t="s">
        <v>717</v>
      </c>
      <c r="AK349" t="s">
        <v>121</v>
      </c>
      <c r="AL349" t="s">
        <v>121</v>
      </c>
      <c r="AM349" t="s">
        <v>121</v>
      </c>
    </row>
    <row r="350" spans="9:39" x14ac:dyDescent="0.3">
      <c r="I350">
        <f ca="1">IF(OR(INDIRECT(A73&amp;ROW())=B93,INDIRECT(A73&amp;ROW())=B94),1,IF(AND(INDIRECT(A73&amp;ROW())=B95,INDIRECT(A96&amp;ROW())=C93),1,IF(AND(INDIRECT(A73&amp;ROW())=B95,INDIRECT(A96&amp;ROW())=C94),1,0)))</f>
        <v>0</v>
      </c>
      <c r="J350">
        <f ca="1">IF(AND(INDIRECT(A73&amp;ROW())=B95,INDIRECT(A96&amp;ROW())=C95),1,IF(AND(INDIRECT(A73&amp;ROW())=B95,INDIRECT(A96&amp;ROW())=C96),1,0))</f>
        <v>0</v>
      </c>
      <c r="K350">
        <f ca="1">DAYS360(INDIRECT(C68&amp;ROW()),TODAY())</f>
        <v>802</v>
      </c>
      <c r="L350">
        <f ca="1">DAYS360(INDIRECT(C69&amp;ROW()),TODAY())</f>
        <v>802</v>
      </c>
      <c r="M350">
        <f ca="1">HYPERLINK(CONCATENATE("https://bugzilla.houston.hp.com:1181/bugzilla/show_bug.cgi?id=",INDIRECT(C70&amp;ROW())),INDIRECT(C70&amp;ROW()))</f>
        <v>56947</v>
      </c>
      <c r="N350">
        <v>56947</v>
      </c>
      <c r="O350" t="s">
        <v>36</v>
      </c>
      <c r="P350" t="s">
        <v>627</v>
      </c>
      <c r="Q350" t="s">
        <v>16</v>
      </c>
      <c r="R350" t="s">
        <v>248</v>
      </c>
      <c r="S350" t="s">
        <v>552</v>
      </c>
      <c r="U350" s="6">
        <v>42045.708449074074</v>
      </c>
      <c r="V350" t="s">
        <v>18</v>
      </c>
      <c r="W350" t="s">
        <v>317</v>
      </c>
      <c r="X350" s="6">
        <v>42045.706493055557</v>
      </c>
      <c r="Y350" t="s">
        <v>119</v>
      </c>
      <c r="AB350" t="s">
        <v>201</v>
      </c>
      <c r="AC350" t="s">
        <v>247</v>
      </c>
      <c r="AD350" t="s">
        <v>222</v>
      </c>
      <c r="AE350" t="s">
        <v>240</v>
      </c>
      <c r="AG350" t="s">
        <v>121</v>
      </c>
      <c r="AH350" t="s">
        <v>327</v>
      </c>
      <c r="AI350" t="s">
        <v>121</v>
      </c>
      <c r="AJ350" t="s">
        <v>717</v>
      </c>
      <c r="AK350" t="s">
        <v>121</v>
      </c>
      <c r="AL350" t="s">
        <v>121</v>
      </c>
      <c r="AM350" t="s">
        <v>121</v>
      </c>
    </row>
    <row r="351" spans="9:39" x14ac:dyDescent="0.3">
      <c r="I351">
        <f ca="1">IF(OR(INDIRECT(A73&amp;ROW())=B93,INDIRECT(A73&amp;ROW())=B94),1,IF(AND(INDIRECT(A73&amp;ROW())=B95,INDIRECT(A96&amp;ROW())=C93),1,IF(AND(INDIRECT(A73&amp;ROW())=B95,INDIRECT(A96&amp;ROW())=C94),1,0)))</f>
        <v>0</v>
      </c>
      <c r="J351">
        <f ca="1">IF(AND(INDIRECT(A73&amp;ROW())=B95,INDIRECT(A96&amp;ROW())=C95),1,IF(AND(INDIRECT(A73&amp;ROW())=B95,INDIRECT(A96&amp;ROW())=C96),1,0))</f>
        <v>1</v>
      </c>
      <c r="K351">
        <f ca="1">DAYS360(INDIRECT(C68&amp;ROW()),TODAY())</f>
        <v>667</v>
      </c>
      <c r="L351">
        <f ca="1">DAYS360(INDIRECT(C69&amp;ROW()),TODAY())</f>
        <v>802</v>
      </c>
      <c r="M351">
        <f ca="1">HYPERLINK(CONCATENATE("https://bugzilla.houston.hp.com:1181/bugzilla/show_bug.cgi?id=",INDIRECT(C70&amp;ROW())),INDIRECT(C70&amp;ROW()))</f>
        <v>56949</v>
      </c>
      <c r="N351">
        <v>56949</v>
      </c>
      <c r="O351" t="s">
        <v>36</v>
      </c>
      <c r="P351" t="s">
        <v>970</v>
      </c>
      <c r="Q351" t="s">
        <v>25</v>
      </c>
      <c r="R351" t="s">
        <v>783</v>
      </c>
      <c r="S351" t="s">
        <v>552</v>
      </c>
      <c r="U351" s="6">
        <v>42180.460150462961</v>
      </c>
      <c r="V351" t="s">
        <v>18</v>
      </c>
      <c r="W351" t="s">
        <v>258</v>
      </c>
      <c r="X351" s="6">
        <v>42045.707291666666</v>
      </c>
      <c r="Y351" t="s">
        <v>120</v>
      </c>
      <c r="AB351" t="s">
        <v>201</v>
      </c>
      <c r="AC351" t="s">
        <v>121</v>
      </c>
      <c r="AD351" t="s">
        <v>222</v>
      </c>
      <c r="AE351" t="s">
        <v>240</v>
      </c>
      <c r="AG351" t="s">
        <v>121</v>
      </c>
      <c r="AH351" t="s">
        <v>64</v>
      </c>
      <c r="AI351" t="s">
        <v>121</v>
      </c>
      <c r="AJ351" t="s">
        <v>716</v>
      </c>
      <c r="AK351" t="s">
        <v>121</v>
      </c>
      <c r="AL351" t="s">
        <v>121</v>
      </c>
      <c r="AM351" t="s">
        <v>121</v>
      </c>
    </row>
    <row r="352" spans="9:39" x14ac:dyDescent="0.3">
      <c r="I352">
        <f ca="1">IF(OR(INDIRECT(A73&amp;ROW())=B93,INDIRECT(A73&amp;ROW())=B94),1,IF(AND(INDIRECT(A73&amp;ROW())=B95,INDIRECT(A96&amp;ROW())=C93),1,IF(AND(INDIRECT(A73&amp;ROW())=B95,INDIRECT(A96&amp;ROW())=C94),1,0)))</f>
        <v>0</v>
      </c>
      <c r="J352">
        <f ca="1">IF(AND(INDIRECT(A73&amp;ROW())=B95,INDIRECT(A96&amp;ROW())=C95),1,IF(AND(INDIRECT(A73&amp;ROW())=B95,INDIRECT(A96&amp;ROW())=C96),1,0))</f>
        <v>0</v>
      </c>
      <c r="K352">
        <f ca="1">DAYS360(INDIRECT(C68&amp;ROW()),TODAY())</f>
        <v>688</v>
      </c>
      <c r="L352">
        <f ca="1">DAYS360(INDIRECT(C69&amp;ROW()),TODAY())</f>
        <v>802</v>
      </c>
      <c r="M352">
        <f ca="1">HYPERLINK(CONCATENATE("https://bugzilla.houston.hp.com:1181/bugzilla/show_bug.cgi?id=",INDIRECT(C70&amp;ROW())),INDIRECT(C70&amp;ROW()))</f>
        <v>56950</v>
      </c>
      <c r="N352">
        <v>56950</v>
      </c>
      <c r="O352" t="s">
        <v>56</v>
      </c>
      <c r="P352" t="s">
        <v>969</v>
      </c>
      <c r="Q352" t="s">
        <v>16</v>
      </c>
      <c r="R352" t="s">
        <v>783</v>
      </c>
      <c r="S352" t="s">
        <v>552</v>
      </c>
      <c r="U352" s="6">
        <v>42159.63140046296</v>
      </c>
      <c r="V352" t="s">
        <v>18</v>
      </c>
      <c r="W352" t="s">
        <v>260</v>
      </c>
      <c r="X352" s="6">
        <v>42045.707592592589</v>
      </c>
      <c r="Y352" t="s">
        <v>793</v>
      </c>
      <c r="AB352" t="s">
        <v>201</v>
      </c>
      <c r="AC352" t="s">
        <v>247</v>
      </c>
      <c r="AD352" t="s">
        <v>220</v>
      </c>
      <c r="AE352" t="s">
        <v>219</v>
      </c>
      <c r="AG352" t="s">
        <v>121</v>
      </c>
      <c r="AH352" t="s">
        <v>64</v>
      </c>
      <c r="AI352" t="s">
        <v>121</v>
      </c>
      <c r="AJ352" t="s">
        <v>717</v>
      </c>
      <c r="AK352" t="s">
        <v>121</v>
      </c>
      <c r="AL352" t="s">
        <v>121</v>
      </c>
      <c r="AM352" t="s">
        <v>121</v>
      </c>
    </row>
    <row r="353" spans="9:39" x14ac:dyDescent="0.3">
      <c r="I353">
        <f ca="1">IF(OR(INDIRECT(A73&amp;ROW())=B93,INDIRECT(A73&amp;ROW())=B94),1,IF(AND(INDIRECT(A73&amp;ROW())=B95,INDIRECT(A96&amp;ROW())=C93),1,IF(AND(INDIRECT(A73&amp;ROW())=B95,INDIRECT(A96&amp;ROW())=C94),1,0)))</f>
        <v>0</v>
      </c>
      <c r="J353">
        <f ca="1">IF(AND(INDIRECT(A73&amp;ROW())=B95,INDIRECT(A96&amp;ROW())=C95),1,IF(AND(INDIRECT(A73&amp;ROW())=B95,INDIRECT(A96&amp;ROW())=C96),1,0))</f>
        <v>0</v>
      </c>
      <c r="K353">
        <f ca="1">DAYS360(INDIRECT(C68&amp;ROW()),TODAY())</f>
        <v>731</v>
      </c>
      <c r="L353">
        <f ca="1">DAYS360(INDIRECT(C69&amp;ROW()),TODAY())</f>
        <v>802</v>
      </c>
      <c r="M353">
        <f ca="1">HYPERLINK(CONCATENATE("https://bugzilla.houston.hp.com:1181/bugzilla/show_bug.cgi?id=",INDIRECT(C70&amp;ROW())),INDIRECT(C70&amp;ROW()))</f>
        <v>56951</v>
      </c>
      <c r="N353">
        <v>56951</v>
      </c>
      <c r="O353" t="s">
        <v>56</v>
      </c>
      <c r="P353" t="s">
        <v>968</v>
      </c>
      <c r="Q353" t="s">
        <v>16</v>
      </c>
      <c r="R353" t="s">
        <v>783</v>
      </c>
      <c r="S353" t="s">
        <v>552</v>
      </c>
      <c r="U353" s="6">
        <v>42115.830393518518</v>
      </c>
      <c r="V353" t="s">
        <v>18</v>
      </c>
      <c r="W353" t="s">
        <v>17</v>
      </c>
      <c r="X353" s="6">
        <v>42045.707916666666</v>
      </c>
      <c r="Y353" t="s">
        <v>786</v>
      </c>
      <c r="AB353" t="s">
        <v>200</v>
      </c>
      <c r="AC353" t="s">
        <v>247</v>
      </c>
      <c r="AD353" t="s">
        <v>220</v>
      </c>
      <c r="AE353" t="s">
        <v>219</v>
      </c>
      <c r="AG353" t="s">
        <v>121</v>
      </c>
      <c r="AH353" t="s">
        <v>327</v>
      </c>
      <c r="AI353" t="s">
        <v>121</v>
      </c>
      <c r="AJ353" t="s">
        <v>716</v>
      </c>
      <c r="AK353" t="s">
        <v>121</v>
      </c>
      <c r="AL353" t="s">
        <v>121</v>
      </c>
      <c r="AM353" t="s">
        <v>121</v>
      </c>
    </row>
    <row r="354" spans="9:39" x14ac:dyDescent="0.3">
      <c r="I354">
        <f ca="1">IF(OR(INDIRECT(A73&amp;ROW())=B93,INDIRECT(A73&amp;ROW())=B94),1,IF(AND(INDIRECT(A73&amp;ROW())=B95,INDIRECT(A96&amp;ROW())=C93),1,IF(AND(INDIRECT(A73&amp;ROW())=B95,INDIRECT(A96&amp;ROW())=C94),1,0)))</f>
        <v>0</v>
      </c>
      <c r="J354">
        <f ca="1">IF(AND(INDIRECT(A73&amp;ROW())=B95,INDIRECT(A96&amp;ROW())=C95),1,IF(AND(INDIRECT(A73&amp;ROW())=B95,INDIRECT(A96&amp;ROW())=C96),1,0))</f>
        <v>0</v>
      </c>
      <c r="K354">
        <f ca="1">DAYS360(INDIRECT(C68&amp;ROW()),TODAY())</f>
        <v>731</v>
      </c>
      <c r="L354">
        <f ca="1">DAYS360(INDIRECT(C69&amp;ROW()),TODAY())</f>
        <v>802</v>
      </c>
      <c r="M354">
        <f ca="1">HYPERLINK(CONCATENATE("https://bugzilla.houston.hp.com:1181/bugzilla/show_bug.cgi?id=",INDIRECT(C70&amp;ROW())),INDIRECT(C70&amp;ROW()))</f>
        <v>56952</v>
      </c>
      <c r="N354">
        <v>56952</v>
      </c>
      <c r="O354" t="s">
        <v>36</v>
      </c>
      <c r="P354" t="s">
        <v>967</v>
      </c>
      <c r="Q354" t="s">
        <v>16</v>
      </c>
      <c r="R354" t="s">
        <v>783</v>
      </c>
      <c r="S354" t="s">
        <v>552</v>
      </c>
      <c r="U354" s="6">
        <v>42115.664293981485</v>
      </c>
      <c r="V354" t="s">
        <v>18</v>
      </c>
      <c r="W354" t="s">
        <v>257</v>
      </c>
      <c r="X354" s="6">
        <v>42045.709467592591</v>
      </c>
      <c r="Y354" t="s">
        <v>122</v>
      </c>
      <c r="AB354" t="s">
        <v>200</v>
      </c>
      <c r="AC354" t="s">
        <v>121</v>
      </c>
      <c r="AD354" t="s">
        <v>227</v>
      </c>
      <c r="AE354" t="s">
        <v>226</v>
      </c>
      <c r="AG354" t="s">
        <v>121</v>
      </c>
      <c r="AH354" t="s">
        <v>64</v>
      </c>
      <c r="AI354" t="s">
        <v>121</v>
      </c>
      <c r="AJ354" t="s">
        <v>716</v>
      </c>
      <c r="AK354" t="s">
        <v>121</v>
      </c>
      <c r="AL354" t="s">
        <v>121</v>
      </c>
      <c r="AM354" t="s">
        <v>121</v>
      </c>
    </row>
    <row r="355" spans="9:39" x14ac:dyDescent="0.3">
      <c r="I355">
        <f ca="1">IF(OR(INDIRECT(A73&amp;ROW())=B93,INDIRECT(A73&amp;ROW())=B94),1,IF(AND(INDIRECT(A73&amp;ROW())=B95,INDIRECT(A96&amp;ROW())=C93),1,IF(AND(INDIRECT(A73&amp;ROW())=B95,INDIRECT(A96&amp;ROW())=C94),1,0)))</f>
        <v>0</v>
      </c>
      <c r="J355">
        <f ca="1">IF(AND(INDIRECT(A73&amp;ROW())=B95,INDIRECT(A96&amp;ROW())=C95),1,IF(AND(INDIRECT(A73&amp;ROW())=B95,INDIRECT(A96&amp;ROW())=C96),1,0))</f>
        <v>0</v>
      </c>
      <c r="K355">
        <f ca="1">DAYS360(INDIRECT(C68&amp;ROW()),TODAY())</f>
        <v>802</v>
      </c>
      <c r="L355">
        <f ca="1">DAYS360(INDIRECT(C69&amp;ROW()),TODAY())</f>
        <v>802</v>
      </c>
      <c r="M355">
        <f ca="1">HYPERLINK(CONCATENATE("https://bugzilla.houston.hp.com:1181/bugzilla/show_bug.cgi?id=",INDIRECT(C70&amp;ROW())),INDIRECT(C70&amp;ROW()))</f>
        <v>56955</v>
      </c>
      <c r="N355">
        <v>56955</v>
      </c>
      <c r="O355" t="s">
        <v>36</v>
      </c>
      <c r="P355" t="s">
        <v>620</v>
      </c>
      <c r="Q355" t="s">
        <v>16</v>
      </c>
      <c r="R355" t="s">
        <v>248</v>
      </c>
      <c r="S355" t="s">
        <v>552</v>
      </c>
      <c r="U355" s="6">
        <v>42045.940196759257</v>
      </c>
      <c r="V355" t="s">
        <v>18</v>
      </c>
      <c r="W355" t="s">
        <v>372</v>
      </c>
      <c r="X355" s="6">
        <v>42045.89640046296</v>
      </c>
      <c r="Y355" t="s">
        <v>787</v>
      </c>
      <c r="AB355" t="s">
        <v>200</v>
      </c>
      <c r="AC355" t="s">
        <v>247</v>
      </c>
      <c r="AD355" t="s">
        <v>227</v>
      </c>
      <c r="AE355" t="s">
        <v>237</v>
      </c>
      <c r="AG355" t="s">
        <v>121</v>
      </c>
      <c r="AH355" t="s">
        <v>327</v>
      </c>
      <c r="AI355" t="s">
        <v>121</v>
      </c>
      <c r="AJ355" t="s">
        <v>716</v>
      </c>
      <c r="AK355" t="s">
        <v>121</v>
      </c>
      <c r="AL355" t="s">
        <v>121</v>
      </c>
      <c r="AM355" t="s">
        <v>121</v>
      </c>
    </row>
    <row r="356" spans="9:39" x14ac:dyDescent="0.3">
      <c r="I356">
        <f ca="1">IF(OR(INDIRECT(A73&amp;ROW())=B93,INDIRECT(A73&amp;ROW())=B94),1,IF(AND(INDIRECT(A73&amp;ROW())=B95,INDIRECT(A96&amp;ROW())=C93),1,IF(AND(INDIRECT(A73&amp;ROW())=B95,INDIRECT(A96&amp;ROW())=C94),1,0)))</f>
        <v>0</v>
      </c>
      <c r="J356">
        <f ca="1">IF(AND(INDIRECT(A73&amp;ROW())=B95,INDIRECT(A96&amp;ROW())=C95),1,IF(AND(INDIRECT(A73&amp;ROW())=B95,INDIRECT(A96&amp;ROW())=C96),1,0))</f>
        <v>0</v>
      </c>
      <c r="K356">
        <f ca="1">DAYS360(INDIRECT(C68&amp;ROW()),TODAY())</f>
        <v>802</v>
      </c>
      <c r="L356">
        <f ca="1">DAYS360(INDIRECT(C69&amp;ROW()),TODAY())</f>
        <v>802</v>
      </c>
      <c r="M356">
        <f ca="1">HYPERLINK(CONCATENATE("https://bugzilla.houston.hp.com:1181/bugzilla/show_bug.cgi?id=",INDIRECT(C70&amp;ROW())),INDIRECT(C70&amp;ROW()))</f>
        <v>56957</v>
      </c>
      <c r="N356">
        <v>56957</v>
      </c>
      <c r="O356" t="s">
        <v>56</v>
      </c>
      <c r="P356" t="s">
        <v>619</v>
      </c>
      <c r="Q356" t="s">
        <v>16</v>
      </c>
      <c r="R356" t="s">
        <v>248</v>
      </c>
      <c r="S356" t="s">
        <v>552</v>
      </c>
      <c r="U356" s="6">
        <v>42045.940879629627</v>
      </c>
      <c r="V356" t="s">
        <v>18</v>
      </c>
      <c r="W356" t="s">
        <v>248</v>
      </c>
      <c r="X356" s="6">
        <v>42045.898831018516</v>
      </c>
      <c r="Y356" t="s">
        <v>124</v>
      </c>
      <c r="AB356" t="s">
        <v>200</v>
      </c>
      <c r="AC356" t="s">
        <v>247</v>
      </c>
      <c r="AD356" t="s">
        <v>220</v>
      </c>
      <c r="AE356" t="s">
        <v>219</v>
      </c>
      <c r="AG356" t="s">
        <v>121</v>
      </c>
      <c r="AH356" t="s">
        <v>327</v>
      </c>
      <c r="AI356" t="s">
        <v>121</v>
      </c>
      <c r="AJ356" t="s">
        <v>716</v>
      </c>
      <c r="AK356" t="s">
        <v>121</v>
      </c>
      <c r="AL356" t="s">
        <v>121</v>
      </c>
      <c r="AM356" t="s">
        <v>121</v>
      </c>
    </row>
    <row r="357" spans="9:39" x14ac:dyDescent="0.3">
      <c r="I357">
        <f ca="1">IF(OR(INDIRECT(A73&amp;ROW())=B93,INDIRECT(A73&amp;ROW())=B94),1,IF(AND(INDIRECT(A73&amp;ROW())=B95,INDIRECT(A96&amp;ROW())=C93),1,IF(AND(INDIRECT(A73&amp;ROW())=B95,INDIRECT(A96&amp;ROW())=C94),1,0)))</f>
        <v>0</v>
      </c>
      <c r="J357">
        <f ca="1">IF(AND(INDIRECT(A73&amp;ROW())=B95,INDIRECT(A96&amp;ROW())=C95),1,IF(AND(INDIRECT(A73&amp;ROW())=B95,INDIRECT(A96&amp;ROW())=C96),1,0))</f>
        <v>0</v>
      </c>
      <c r="K357">
        <f ca="1">DAYS360(INDIRECT(C68&amp;ROW()),TODAY())</f>
        <v>684</v>
      </c>
      <c r="L357">
        <f ca="1">DAYS360(INDIRECT(C69&amp;ROW()),TODAY())</f>
        <v>802</v>
      </c>
      <c r="M357">
        <f ca="1">HYPERLINK(CONCATENATE("https://bugzilla.houston.hp.com:1181/bugzilla/show_bug.cgi?id=",INDIRECT(C70&amp;ROW())),INDIRECT(C70&amp;ROW()))</f>
        <v>56960</v>
      </c>
      <c r="N357">
        <v>56960</v>
      </c>
      <c r="O357" t="s">
        <v>36</v>
      </c>
      <c r="P357" t="s">
        <v>618</v>
      </c>
      <c r="Q357" t="s">
        <v>16</v>
      </c>
      <c r="R357" t="s">
        <v>248</v>
      </c>
      <c r="S357" t="s">
        <v>552</v>
      </c>
      <c r="U357" s="6">
        <v>42163.610381944447</v>
      </c>
      <c r="V357" t="s">
        <v>18</v>
      </c>
      <c r="W357" t="s">
        <v>372</v>
      </c>
      <c r="X357" s="6">
        <v>42045.904224537036</v>
      </c>
      <c r="Y357" t="s">
        <v>245</v>
      </c>
      <c r="AB357" t="s">
        <v>200</v>
      </c>
      <c r="AC357" t="s">
        <v>247</v>
      </c>
      <c r="AD357" t="s">
        <v>222</v>
      </c>
      <c r="AE357" t="s">
        <v>225</v>
      </c>
      <c r="AG357" t="s">
        <v>121</v>
      </c>
      <c r="AH357" t="s">
        <v>327</v>
      </c>
      <c r="AI357" t="s">
        <v>121</v>
      </c>
      <c r="AJ357" t="s">
        <v>716</v>
      </c>
      <c r="AK357" t="s">
        <v>121</v>
      </c>
      <c r="AL357" t="s">
        <v>121</v>
      </c>
      <c r="AM357" t="s">
        <v>121</v>
      </c>
    </row>
    <row r="358" spans="9:39" x14ac:dyDescent="0.3">
      <c r="I358">
        <f ca="1">IF(OR(INDIRECT(A73&amp;ROW())=B93,INDIRECT(A73&amp;ROW())=B94),1,IF(AND(INDIRECT(A73&amp;ROW())=B95,INDIRECT(A96&amp;ROW())=C93),1,IF(AND(INDIRECT(A73&amp;ROW())=B95,INDIRECT(A96&amp;ROW())=C94),1,0)))</f>
        <v>0</v>
      </c>
      <c r="J358">
        <f ca="1">IF(AND(INDIRECT(A73&amp;ROW())=B95,INDIRECT(A96&amp;ROW())=C95),1,IF(AND(INDIRECT(A73&amp;ROW())=B95,INDIRECT(A96&amp;ROW())=C96),1,0))</f>
        <v>0</v>
      </c>
      <c r="K358">
        <f ca="1">DAYS360(INDIRECT(C68&amp;ROW()),TODAY())</f>
        <v>674</v>
      </c>
      <c r="L358">
        <f ca="1">DAYS360(INDIRECT(C69&amp;ROW()),TODAY())</f>
        <v>802</v>
      </c>
      <c r="M358">
        <f ca="1">HYPERLINK(CONCATENATE("https://bugzilla.houston.hp.com:1181/bugzilla/show_bug.cgi?id=",INDIRECT(C70&amp;ROW())),INDIRECT(C70&amp;ROW()))</f>
        <v>56964</v>
      </c>
      <c r="N358">
        <v>56964</v>
      </c>
      <c r="O358" t="s">
        <v>250</v>
      </c>
      <c r="P358" t="s">
        <v>617</v>
      </c>
      <c r="Q358" t="s">
        <v>16</v>
      </c>
      <c r="R358" t="s">
        <v>248</v>
      </c>
      <c r="S358" t="s">
        <v>552</v>
      </c>
      <c r="U358" s="6">
        <v>42173.333101851851</v>
      </c>
      <c r="V358" t="s">
        <v>18</v>
      </c>
      <c r="W358" t="s">
        <v>17</v>
      </c>
      <c r="X358" s="6">
        <v>42045.907905092594</v>
      </c>
      <c r="Y358" t="s">
        <v>255</v>
      </c>
      <c r="AB358" t="s">
        <v>200</v>
      </c>
      <c r="AC358" t="s">
        <v>247</v>
      </c>
      <c r="AD358" t="s">
        <v>220</v>
      </c>
      <c r="AE358" t="s">
        <v>219</v>
      </c>
      <c r="AG358" t="s">
        <v>121</v>
      </c>
      <c r="AH358" t="s">
        <v>327</v>
      </c>
      <c r="AI358" t="s">
        <v>121</v>
      </c>
      <c r="AJ358" t="s">
        <v>716</v>
      </c>
      <c r="AK358" t="s">
        <v>121</v>
      </c>
      <c r="AL358" t="s">
        <v>121</v>
      </c>
      <c r="AM358" t="s">
        <v>121</v>
      </c>
    </row>
    <row r="359" spans="9:39" x14ac:dyDescent="0.3">
      <c r="I359">
        <f ca="1">IF(OR(INDIRECT(A73&amp;ROW())=B93,INDIRECT(A73&amp;ROW())=B94),1,IF(AND(INDIRECT(A73&amp;ROW())=B95,INDIRECT(A96&amp;ROW())=C93),1,IF(AND(INDIRECT(A73&amp;ROW())=B95,INDIRECT(A96&amp;ROW())=C94),1,0)))</f>
        <v>0</v>
      </c>
      <c r="J359">
        <f ca="1">IF(AND(INDIRECT(A73&amp;ROW())=B95,INDIRECT(A96&amp;ROW())=C95),1,IF(AND(INDIRECT(A73&amp;ROW())=B95,INDIRECT(A96&amp;ROW())=C96),1,0))</f>
        <v>0</v>
      </c>
      <c r="K359">
        <f ca="1">DAYS360(INDIRECT(C68&amp;ROW()),TODAY())</f>
        <v>721</v>
      </c>
      <c r="L359">
        <f ca="1">DAYS360(INDIRECT(C69&amp;ROW()),TODAY())</f>
        <v>802</v>
      </c>
      <c r="M359">
        <f ca="1">HYPERLINK(CONCATENATE("https://bugzilla.houston.hp.com:1181/bugzilla/show_bug.cgi?id=",INDIRECT(C70&amp;ROW())),INDIRECT(C70&amp;ROW()))</f>
        <v>56965</v>
      </c>
      <c r="N359">
        <v>56965</v>
      </c>
      <c r="O359" t="s">
        <v>21</v>
      </c>
      <c r="P359" t="s">
        <v>616</v>
      </c>
      <c r="Q359" t="s">
        <v>16</v>
      </c>
      <c r="R359" t="s">
        <v>248</v>
      </c>
      <c r="S359" t="s">
        <v>552</v>
      </c>
      <c r="U359" s="6">
        <v>42125.672951388886</v>
      </c>
      <c r="V359" t="s">
        <v>18</v>
      </c>
      <c r="W359" t="s">
        <v>372</v>
      </c>
      <c r="X359" s="6">
        <v>42045.909050925926</v>
      </c>
      <c r="Y359" t="s">
        <v>255</v>
      </c>
      <c r="AB359" t="s">
        <v>200</v>
      </c>
      <c r="AC359" t="s">
        <v>247</v>
      </c>
      <c r="AD359" t="s">
        <v>222</v>
      </c>
      <c r="AE359" t="s">
        <v>240</v>
      </c>
      <c r="AG359" t="s">
        <v>121</v>
      </c>
      <c r="AH359" t="s">
        <v>327</v>
      </c>
      <c r="AI359" t="s">
        <v>121</v>
      </c>
      <c r="AJ359" t="s">
        <v>716</v>
      </c>
      <c r="AK359" t="s">
        <v>121</v>
      </c>
      <c r="AL359" t="s">
        <v>121</v>
      </c>
      <c r="AM359" t="s">
        <v>121</v>
      </c>
    </row>
    <row r="360" spans="9:39" x14ac:dyDescent="0.3">
      <c r="I360">
        <f ca="1">IF(OR(INDIRECT(A73&amp;ROW())=B93,INDIRECT(A73&amp;ROW())=B94),1,IF(AND(INDIRECT(A73&amp;ROW())=B95,INDIRECT(A96&amp;ROW())=C93),1,IF(AND(INDIRECT(A73&amp;ROW())=B95,INDIRECT(A96&amp;ROW())=C94),1,0)))</f>
        <v>0</v>
      </c>
      <c r="J360">
        <f ca="1">IF(AND(INDIRECT(A73&amp;ROW())=B95,INDIRECT(A96&amp;ROW())=C95),1,IF(AND(INDIRECT(A73&amp;ROW())=B95,INDIRECT(A96&amp;ROW())=C96),1,0))</f>
        <v>0</v>
      </c>
      <c r="K360">
        <f ca="1">DAYS360(INDIRECT(C68&amp;ROW()),TODAY())</f>
        <v>721</v>
      </c>
      <c r="L360">
        <f ca="1">DAYS360(INDIRECT(C69&amp;ROW()),TODAY())</f>
        <v>802</v>
      </c>
      <c r="M360">
        <f ca="1">HYPERLINK(CONCATENATE("https://bugzilla.houston.hp.com:1181/bugzilla/show_bug.cgi?id=",INDIRECT(C70&amp;ROW())),INDIRECT(C70&amp;ROW()))</f>
        <v>56966</v>
      </c>
      <c r="N360">
        <v>56966</v>
      </c>
      <c r="O360" t="s">
        <v>59</v>
      </c>
      <c r="P360" t="s">
        <v>507</v>
      </c>
      <c r="Q360" t="s">
        <v>16</v>
      </c>
      <c r="R360" t="s">
        <v>248</v>
      </c>
      <c r="S360" t="s">
        <v>552</v>
      </c>
      <c r="U360" s="6">
        <v>42125.664664351854</v>
      </c>
      <c r="V360" t="s">
        <v>18</v>
      </c>
      <c r="W360" t="s">
        <v>258</v>
      </c>
      <c r="X360" s="6">
        <v>42045.910405092596</v>
      </c>
      <c r="Y360" t="s">
        <v>122</v>
      </c>
      <c r="AB360" t="s">
        <v>201</v>
      </c>
      <c r="AC360" t="s">
        <v>247</v>
      </c>
      <c r="AD360" t="s">
        <v>222</v>
      </c>
      <c r="AE360" t="s">
        <v>240</v>
      </c>
      <c r="AG360" t="s">
        <v>121</v>
      </c>
      <c r="AH360" t="s">
        <v>327</v>
      </c>
      <c r="AI360" t="s">
        <v>121</v>
      </c>
      <c r="AJ360" t="s">
        <v>717</v>
      </c>
      <c r="AK360" t="s">
        <v>121</v>
      </c>
      <c r="AL360" t="s">
        <v>121</v>
      </c>
      <c r="AM360" t="s">
        <v>121</v>
      </c>
    </row>
    <row r="361" spans="9:39" x14ac:dyDescent="0.3">
      <c r="I361">
        <f ca="1">IF(OR(INDIRECT(A73&amp;ROW())=B93,INDIRECT(A73&amp;ROW())=B94),1,IF(AND(INDIRECT(A73&amp;ROW())=B95,INDIRECT(A96&amp;ROW())=C93),1,IF(AND(INDIRECT(A73&amp;ROW())=B95,INDIRECT(A96&amp;ROW())=C94),1,0)))</f>
        <v>0</v>
      </c>
      <c r="J361">
        <f ca="1">IF(AND(INDIRECT(A73&amp;ROW())=B95,INDIRECT(A96&amp;ROW())=C95),1,IF(AND(INDIRECT(A73&amp;ROW())=B95,INDIRECT(A96&amp;ROW())=C96),1,0))</f>
        <v>0</v>
      </c>
      <c r="K361">
        <f ca="1">DAYS360(INDIRECT(C68&amp;ROW()),TODAY())</f>
        <v>721</v>
      </c>
      <c r="L361">
        <f ca="1">DAYS360(INDIRECT(C69&amp;ROW()),TODAY())</f>
        <v>802</v>
      </c>
      <c r="M361">
        <f ca="1">HYPERLINK(CONCATENATE("https://bugzilla.houston.hp.com:1181/bugzilla/show_bug.cgi?id=",INDIRECT(C70&amp;ROW())),INDIRECT(C70&amp;ROW()))</f>
        <v>56967</v>
      </c>
      <c r="N361">
        <v>56967</v>
      </c>
      <c r="O361" t="s">
        <v>56</v>
      </c>
      <c r="P361" t="s">
        <v>615</v>
      </c>
      <c r="Q361" t="s">
        <v>16</v>
      </c>
      <c r="R361" t="s">
        <v>248</v>
      </c>
      <c r="S361" t="s">
        <v>552</v>
      </c>
      <c r="U361" s="6">
        <v>42125.449629629627</v>
      </c>
      <c r="V361" t="s">
        <v>18</v>
      </c>
      <c r="W361" t="s">
        <v>343</v>
      </c>
      <c r="X361" s="6">
        <v>42045.912534722222</v>
      </c>
      <c r="Y361" t="s">
        <v>122</v>
      </c>
      <c r="AB361" t="s">
        <v>201</v>
      </c>
      <c r="AC361" t="s">
        <v>247</v>
      </c>
      <c r="AD361" t="s">
        <v>220</v>
      </c>
      <c r="AE361" t="s">
        <v>219</v>
      </c>
      <c r="AG361" t="s">
        <v>121</v>
      </c>
      <c r="AH361" t="s">
        <v>327</v>
      </c>
      <c r="AI361" t="s">
        <v>121</v>
      </c>
      <c r="AJ361" t="s">
        <v>717</v>
      </c>
      <c r="AK361" t="s">
        <v>121</v>
      </c>
      <c r="AL361" t="s">
        <v>121</v>
      </c>
      <c r="AM361" t="s">
        <v>121</v>
      </c>
    </row>
    <row r="362" spans="9:39" x14ac:dyDescent="0.3">
      <c r="I362">
        <f ca="1">IF(OR(INDIRECT(A73&amp;ROW())=B93,INDIRECT(A73&amp;ROW())=B94),1,IF(AND(INDIRECT(A73&amp;ROW())=B95,INDIRECT(A96&amp;ROW())=C93),1,IF(AND(INDIRECT(A73&amp;ROW())=B95,INDIRECT(A96&amp;ROW())=C94),1,0)))</f>
        <v>0</v>
      </c>
      <c r="J362">
        <f ca="1">IF(AND(INDIRECT(A73&amp;ROW())=B95,INDIRECT(A96&amp;ROW())=C95),1,IF(AND(INDIRECT(A73&amp;ROW())=B95,INDIRECT(A96&amp;ROW())=C96),1,0))</f>
        <v>0</v>
      </c>
      <c r="K362">
        <f ca="1">DAYS360(INDIRECT(C68&amp;ROW()),TODAY())</f>
        <v>681</v>
      </c>
      <c r="L362">
        <f ca="1">DAYS360(INDIRECT(C69&amp;ROW()),TODAY())</f>
        <v>802</v>
      </c>
      <c r="M362">
        <f ca="1">HYPERLINK(CONCATENATE("https://bugzilla.houston.hp.com:1181/bugzilla/show_bug.cgi?id=",INDIRECT(C70&amp;ROW())),INDIRECT(C70&amp;ROW()))</f>
        <v>56968</v>
      </c>
      <c r="N362">
        <v>56968</v>
      </c>
      <c r="O362" t="s">
        <v>56</v>
      </c>
      <c r="P362" t="s">
        <v>614</v>
      </c>
      <c r="Q362" t="s">
        <v>16</v>
      </c>
      <c r="R362" t="s">
        <v>248</v>
      </c>
      <c r="S362" t="s">
        <v>552</v>
      </c>
      <c r="U362" s="6">
        <v>42166.355405092596</v>
      </c>
      <c r="V362" t="s">
        <v>18</v>
      </c>
      <c r="W362" t="s">
        <v>341</v>
      </c>
      <c r="X362" s="6">
        <v>42045.915069444447</v>
      </c>
      <c r="Y362" t="s">
        <v>787</v>
      </c>
      <c r="AB362" t="s">
        <v>199</v>
      </c>
      <c r="AC362" t="s">
        <v>247</v>
      </c>
      <c r="AD362" t="s">
        <v>220</v>
      </c>
      <c r="AE362" t="s">
        <v>219</v>
      </c>
      <c r="AG362" t="s">
        <v>588</v>
      </c>
      <c r="AH362" t="s">
        <v>327</v>
      </c>
      <c r="AI362" t="s">
        <v>121</v>
      </c>
      <c r="AJ362" t="s">
        <v>716</v>
      </c>
      <c r="AK362" t="s">
        <v>121</v>
      </c>
      <c r="AL362" t="s">
        <v>121</v>
      </c>
      <c r="AM362" t="s">
        <v>121</v>
      </c>
    </row>
    <row r="363" spans="9:39" x14ac:dyDescent="0.3">
      <c r="I363">
        <f ca="1">IF(OR(INDIRECT(A73&amp;ROW())=B93,INDIRECT(A73&amp;ROW())=B94),1,IF(AND(INDIRECT(A73&amp;ROW())=B95,INDIRECT(A96&amp;ROW())=C93),1,IF(AND(INDIRECT(A73&amp;ROW())=B95,INDIRECT(A96&amp;ROW())=C94),1,0)))</f>
        <v>0</v>
      </c>
      <c r="J363">
        <f ca="1">IF(AND(INDIRECT(A73&amp;ROW())=B95,INDIRECT(A96&amp;ROW())=C95),1,IF(AND(INDIRECT(A73&amp;ROW())=B95,INDIRECT(A96&amp;ROW())=C96),1,0))</f>
        <v>0</v>
      </c>
      <c r="K363">
        <f ca="1">DAYS360(INDIRECT(C68&amp;ROW()),TODAY())</f>
        <v>721</v>
      </c>
      <c r="L363">
        <f ca="1">DAYS360(INDIRECT(C69&amp;ROW()),TODAY())</f>
        <v>802</v>
      </c>
      <c r="M363">
        <f ca="1">HYPERLINK(CONCATENATE("https://bugzilla.houston.hp.com:1181/bugzilla/show_bug.cgi?id=",INDIRECT(C70&amp;ROW())),INDIRECT(C70&amp;ROW()))</f>
        <v>56969</v>
      </c>
      <c r="N363">
        <v>56969</v>
      </c>
      <c r="O363" t="s">
        <v>56</v>
      </c>
      <c r="P363" t="s">
        <v>613</v>
      </c>
      <c r="Q363" t="s">
        <v>16</v>
      </c>
      <c r="R363" t="s">
        <v>248</v>
      </c>
      <c r="S363" t="s">
        <v>552</v>
      </c>
      <c r="U363" s="6">
        <v>42125.449675925927</v>
      </c>
      <c r="V363" t="s">
        <v>18</v>
      </c>
      <c r="W363" t="s">
        <v>372</v>
      </c>
      <c r="X363" s="6">
        <v>42045.918634259258</v>
      </c>
      <c r="Y363" t="s">
        <v>122</v>
      </c>
      <c r="AB363" t="s">
        <v>200</v>
      </c>
      <c r="AC363" t="s">
        <v>247</v>
      </c>
      <c r="AD363" t="s">
        <v>220</v>
      </c>
      <c r="AE363" t="s">
        <v>219</v>
      </c>
      <c r="AG363" t="s">
        <v>121</v>
      </c>
      <c r="AH363" t="s">
        <v>327</v>
      </c>
      <c r="AI363" t="s">
        <v>121</v>
      </c>
      <c r="AJ363" t="s">
        <v>716</v>
      </c>
      <c r="AK363" t="s">
        <v>121</v>
      </c>
      <c r="AL363" t="s">
        <v>121</v>
      </c>
      <c r="AM363" t="s">
        <v>121</v>
      </c>
    </row>
    <row r="364" spans="9:39" x14ac:dyDescent="0.3">
      <c r="I364">
        <f ca="1">IF(OR(INDIRECT(A73&amp;ROW())=B93,INDIRECT(A73&amp;ROW())=B94),1,IF(AND(INDIRECT(A73&amp;ROW())=B95,INDIRECT(A96&amp;ROW())=C93),1,IF(AND(INDIRECT(A73&amp;ROW())=B95,INDIRECT(A96&amp;ROW())=C94),1,0)))</f>
        <v>0</v>
      </c>
      <c r="J364">
        <f ca="1">IF(AND(INDIRECT(A73&amp;ROW())=B95,INDIRECT(A96&amp;ROW())=C95),1,IF(AND(INDIRECT(A73&amp;ROW())=B95,INDIRECT(A96&amp;ROW())=C96),1,0))</f>
        <v>0</v>
      </c>
      <c r="K364">
        <f ca="1">DAYS360(INDIRECT(C68&amp;ROW()),TODAY())</f>
        <v>681</v>
      </c>
      <c r="L364">
        <f ca="1">DAYS360(INDIRECT(C69&amp;ROW()),TODAY())</f>
        <v>802</v>
      </c>
      <c r="M364">
        <f ca="1">HYPERLINK(CONCATENATE("https://bugzilla.houston.hp.com:1181/bugzilla/show_bug.cgi?id=",INDIRECT(C70&amp;ROW())),INDIRECT(C70&amp;ROW()))</f>
        <v>56987</v>
      </c>
      <c r="N364">
        <v>56987</v>
      </c>
      <c r="O364" t="s">
        <v>56</v>
      </c>
      <c r="P364" t="s">
        <v>612</v>
      </c>
      <c r="Q364" t="s">
        <v>16</v>
      </c>
      <c r="R364" t="s">
        <v>248</v>
      </c>
      <c r="S364" t="s">
        <v>552</v>
      </c>
      <c r="U364" s="6">
        <v>42166.356261574074</v>
      </c>
      <c r="V364" t="s">
        <v>18</v>
      </c>
      <c r="W364" t="s">
        <v>372</v>
      </c>
      <c r="X364" s="6">
        <v>42045.956643518519</v>
      </c>
      <c r="Y364" t="s">
        <v>119</v>
      </c>
      <c r="AB364" t="s">
        <v>199</v>
      </c>
      <c r="AC364" t="s">
        <v>247</v>
      </c>
      <c r="AD364" t="s">
        <v>220</v>
      </c>
      <c r="AE364" t="s">
        <v>219</v>
      </c>
      <c r="AG364" t="s">
        <v>121</v>
      </c>
      <c r="AH364" t="s">
        <v>327</v>
      </c>
      <c r="AI364" t="s">
        <v>121</v>
      </c>
      <c r="AJ364" t="s">
        <v>716</v>
      </c>
      <c r="AK364" t="s">
        <v>121</v>
      </c>
      <c r="AL364" t="s">
        <v>121</v>
      </c>
      <c r="AM364" t="s">
        <v>121</v>
      </c>
    </row>
    <row r="365" spans="9:39" x14ac:dyDescent="0.3">
      <c r="I365">
        <f ca="1">IF(OR(INDIRECT(A73&amp;ROW())=B93,INDIRECT(A73&amp;ROW())=B94),1,IF(AND(INDIRECT(A73&amp;ROW())=B95,INDIRECT(A96&amp;ROW())=C93),1,IF(AND(INDIRECT(A73&amp;ROW())=B95,INDIRECT(A96&amp;ROW())=C94),1,0)))</f>
        <v>0</v>
      </c>
      <c r="J365">
        <f ca="1">IF(AND(INDIRECT(A73&amp;ROW())=B95,INDIRECT(A96&amp;ROW())=C95),1,IF(AND(INDIRECT(A73&amp;ROW())=B95,INDIRECT(A96&amp;ROW())=C96),1,0))</f>
        <v>0</v>
      </c>
      <c r="K365">
        <f ca="1">DAYS360(INDIRECT(C68&amp;ROW()),TODAY())</f>
        <v>721</v>
      </c>
      <c r="L365">
        <f ca="1">DAYS360(INDIRECT(C69&amp;ROW()),TODAY())</f>
        <v>801</v>
      </c>
      <c r="M365">
        <f ca="1">HYPERLINK(CONCATENATE("https://bugzilla.houston.hp.com:1181/bugzilla/show_bug.cgi?id=",INDIRECT(C70&amp;ROW())),INDIRECT(C70&amp;ROW()))</f>
        <v>56993</v>
      </c>
      <c r="N365">
        <v>56993</v>
      </c>
      <c r="O365" t="s">
        <v>36</v>
      </c>
      <c r="P365" t="s">
        <v>611</v>
      </c>
      <c r="Q365" t="s">
        <v>16</v>
      </c>
      <c r="R365" t="s">
        <v>248</v>
      </c>
      <c r="S365" t="s">
        <v>552</v>
      </c>
      <c r="U365" s="6">
        <v>42125.443865740737</v>
      </c>
      <c r="V365" t="s">
        <v>18</v>
      </c>
      <c r="W365" t="s">
        <v>211</v>
      </c>
      <c r="X365" s="6">
        <v>42046.006435185183</v>
      </c>
      <c r="Y365" t="s">
        <v>122</v>
      </c>
      <c r="AB365" t="s">
        <v>201</v>
      </c>
      <c r="AC365" t="s">
        <v>121</v>
      </c>
      <c r="AD365" t="s">
        <v>222</v>
      </c>
      <c r="AE365" t="s">
        <v>233</v>
      </c>
      <c r="AG365" t="s">
        <v>121</v>
      </c>
      <c r="AH365" t="s">
        <v>64</v>
      </c>
      <c r="AI365" t="s">
        <v>121</v>
      </c>
      <c r="AJ365" t="s">
        <v>717</v>
      </c>
      <c r="AK365" t="s">
        <v>121</v>
      </c>
      <c r="AL365" t="s">
        <v>121</v>
      </c>
      <c r="AM365" t="s">
        <v>121</v>
      </c>
    </row>
    <row r="366" spans="9:39" x14ac:dyDescent="0.3">
      <c r="I366">
        <f ca="1">IF(OR(INDIRECT(A73&amp;ROW())=B93,INDIRECT(A73&amp;ROW())=B94),1,IF(AND(INDIRECT(A73&amp;ROW())=B95,INDIRECT(A96&amp;ROW())=C93),1,IF(AND(INDIRECT(A73&amp;ROW())=B95,INDIRECT(A96&amp;ROW())=C94),1,0)))</f>
        <v>0</v>
      </c>
      <c r="J366">
        <f ca="1">IF(AND(INDIRECT(A73&amp;ROW())=B95,INDIRECT(A96&amp;ROW())=C95),1,IF(AND(INDIRECT(A73&amp;ROW())=B95,INDIRECT(A96&amp;ROW())=C96),1,0))</f>
        <v>0</v>
      </c>
      <c r="K366">
        <f ca="1">DAYS360(INDIRECT(C68&amp;ROW()),TODAY())</f>
        <v>718</v>
      </c>
      <c r="L366">
        <f ca="1">DAYS360(INDIRECT(C69&amp;ROW()),TODAY())</f>
        <v>801</v>
      </c>
      <c r="M366">
        <f ca="1">HYPERLINK(CONCATENATE("https://bugzilla.houston.hp.com:1181/bugzilla/show_bug.cgi?id=",INDIRECT(C70&amp;ROW())),INDIRECT(C70&amp;ROW()))</f>
        <v>56997</v>
      </c>
      <c r="N366">
        <v>56997</v>
      </c>
      <c r="O366" t="s">
        <v>55</v>
      </c>
      <c r="P366" t="s">
        <v>1396</v>
      </c>
      <c r="Q366" t="s">
        <v>16</v>
      </c>
      <c r="R366" t="s">
        <v>1341</v>
      </c>
      <c r="S366" t="s">
        <v>552</v>
      </c>
      <c r="T366" t="s">
        <v>794</v>
      </c>
      <c r="U366" s="6">
        <v>42128.259456018517</v>
      </c>
      <c r="V366" t="s">
        <v>18</v>
      </c>
      <c r="W366" t="s">
        <v>17</v>
      </c>
      <c r="X366" s="6">
        <v>42046.007789351854</v>
      </c>
      <c r="Y366" t="s">
        <v>118</v>
      </c>
      <c r="AB366" t="s">
        <v>201</v>
      </c>
      <c r="AC366" t="s">
        <v>1027</v>
      </c>
      <c r="AD366" t="s">
        <v>220</v>
      </c>
      <c r="AE366" t="s">
        <v>219</v>
      </c>
      <c r="AG366" t="s">
        <v>121</v>
      </c>
      <c r="AH366" t="s">
        <v>327</v>
      </c>
      <c r="AI366" t="s">
        <v>121</v>
      </c>
      <c r="AJ366" t="s">
        <v>717</v>
      </c>
      <c r="AK366" t="s">
        <v>121</v>
      </c>
      <c r="AL366" t="s">
        <v>121</v>
      </c>
      <c r="AM366" t="s">
        <v>121</v>
      </c>
    </row>
    <row r="367" spans="9:39" x14ac:dyDescent="0.3">
      <c r="I367">
        <f ca="1">IF(OR(INDIRECT(A73&amp;ROW())=B93,INDIRECT(A73&amp;ROW())=B94),1,IF(AND(INDIRECT(A73&amp;ROW())=B95,INDIRECT(A96&amp;ROW())=C93),1,IF(AND(INDIRECT(A73&amp;ROW())=B95,INDIRECT(A96&amp;ROW())=C94),1,0)))</f>
        <v>0</v>
      </c>
      <c r="J367">
        <f ca="1">IF(AND(INDIRECT(A73&amp;ROW())=B95,INDIRECT(A96&amp;ROW())=C95),1,IF(AND(INDIRECT(A73&amp;ROW())=B95,INDIRECT(A96&amp;ROW())=C96),1,0))</f>
        <v>0</v>
      </c>
      <c r="K367">
        <f ca="1">DAYS360(INDIRECT(C68&amp;ROW()),TODAY())</f>
        <v>756</v>
      </c>
      <c r="L367">
        <f ca="1">DAYS360(INDIRECT(C69&amp;ROW()),TODAY())</f>
        <v>801</v>
      </c>
      <c r="M367">
        <f ca="1">HYPERLINK(CONCATENATE("https://bugzilla.houston.hp.com:1181/bugzilla/show_bug.cgi?id=",INDIRECT(C70&amp;ROW())),INDIRECT(C70&amp;ROW()))</f>
        <v>56998</v>
      </c>
      <c r="N367">
        <v>56998</v>
      </c>
      <c r="O367" t="s">
        <v>36</v>
      </c>
      <c r="P367" t="s">
        <v>1397</v>
      </c>
      <c r="Q367" t="s">
        <v>16</v>
      </c>
      <c r="R367" t="s">
        <v>1341</v>
      </c>
      <c r="S367" t="s">
        <v>552</v>
      </c>
      <c r="T367" t="s">
        <v>794</v>
      </c>
      <c r="U367" s="6">
        <v>42089.609525462962</v>
      </c>
      <c r="V367" t="s">
        <v>18</v>
      </c>
      <c r="W367" t="s">
        <v>17</v>
      </c>
      <c r="X367" s="6">
        <v>42046.008136574077</v>
      </c>
      <c r="Y367" t="s">
        <v>118</v>
      </c>
      <c r="AB367" t="s">
        <v>200</v>
      </c>
      <c r="AC367" t="s">
        <v>1027</v>
      </c>
      <c r="AD367" t="s">
        <v>220</v>
      </c>
      <c r="AE367" t="s">
        <v>223</v>
      </c>
      <c r="AG367" t="s">
        <v>121</v>
      </c>
      <c r="AH367" t="s">
        <v>327</v>
      </c>
      <c r="AI367" t="s">
        <v>121</v>
      </c>
      <c r="AJ367" t="s">
        <v>716</v>
      </c>
      <c r="AK367" t="s">
        <v>121</v>
      </c>
      <c r="AL367" t="s">
        <v>121</v>
      </c>
      <c r="AM367" t="s">
        <v>121</v>
      </c>
    </row>
    <row r="368" spans="9:39" x14ac:dyDescent="0.3">
      <c r="I368">
        <f ca="1">IF(OR(INDIRECT(A73&amp;ROW())=B93,INDIRECT(A73&amp;ROW())=B94),1,IF(AND(INDIRECT(A73&amp;ROW())=B95,INDIRECT(A96&amp;ROW())=C93),1,IF(AND(INDIRECT(A73&amp;ROW())=B95,INDIRECT(A96&amp;ROW())=C94),1,0)))</f>
        <v>0</v>
      </c>
      <c r="J368">
        <f ca="1">IF(AND(INDIRECT(A73&amp;ROW())=B95,INDIRECT(A96&amp;ROW())=C95),1,IF(AND(INDIRECT(A73&amp;ROW())=B95,INDIRECT(A96&amp;ROW())=C96),1,0))</f>
        <v>0</v>
      </c>
      <c r="K368">
        <f ca="1">DAYS360(INDIRECT(C68&amp;ROW()),TODAY())</f>
        <v>662</v>
      </c>
      <c r="L368">
        <f ca="1">DAYS360(INDIRECT(C69&amp;ROW()),TODAY())</f>
        <v>801</v>
      </c>
      <c r="M368">
        <f ca="1">HYPERLINK(CONCATENATE("https://bugzilla.houston.hp.com:1181/bugzilla/show_bug.cgi?id=",INDIRECT(C70&amp;ROW())),INDIRECT(C70&amp;ROW()))</f>
        <v>57010</v>
      </c>
      <c r="N368">
        <v>57010</v>
      </c>
      <c r="O368" t="s">
        <v>187</v>
      </c>
      <c r="P368" t="s">
        <v>1398</v>
      </c>
      <c r="Q368" t="s">
        <v>16</v>
      </c>
      <c r="R368" t="s">
        <v>251</v>
      </c>
      <c r="S368" t="s">
        <v>187</v>
      </c>
      <c r="T368" t="s">
        <v>48</v>
      </c>
      <c r="U368" s="6">
        <v>42185.335613425923</v>
      </c>
      <c r="V368" t="s">
        <v>35</v>
      </c>
      <c r="W368" t="s">
        <v>173</v>
      </c>
      <c r="X368" s="6">
        <v>42046.141238425924</v>
      </c>
      <c r="Y368" t="s">
        <v>122</v>
      </c>
      <c r="AB368" t="s">
        <v>201</v>
      </c>
      <c r="AC368" t="s">
        <v>247</v>
      </c>
      <c r="AD368" t="s">
        <v>220</v>
      </c>
      <c r="AE368" t="s">
        <v>219</v>
      </c>
      <c r="AG368" t="s">
        <v>121</v>
      </c>
      <c r="AH368" t="s">
        <v>327</v>
      </c>
      <c r="AI368" t="s">
        <v>121</v>
      </c>
      <c r="AJ368" t="s">
        <v>717</v>
      </c>
      <c r="AK368" t="s">
        <v>121</v>
      </c>
      <c r="AL368" t="s">
        <v>121</v>
      </c>
      <c r="AM368" t="s">
        <v>121</v>
      </c>
    </row>
    <row r="369" spans="9:39" x14ac:dyDescent="0.3">
      <c r="I369">
        <f ca="1">IF(OR(INDIRECT(A73&amp;ROW())=B93,INDIRECT(A73&amp;ROW())=B94),1,IF(AND(INDIRECT(A73&amp;ROW())=B95,INDIRECT(A96&amp;ROW())=C93),1,IF(AND(INDIRECT(A73&amp;ROW())=B95,INDIRECT(A96&amp;ROW())=C94),1,0)))</f>
        <v>0</v>
      </c>
      <c r="J369">
        <f ca="1">IF(AND(INDIRECT(A73&amp;ROW())=B95,INDIRECT(A96&amp;ROW())=C95),1,IF(AND(INDIRECT(A73&amp;ROW())=B95,INDIRECT(A96&amp;ROW())=C96),1,0))</f>
        <v>0</v>
      </c>
      <c r="K369">
        <f ca="1">DAYS360(INDIRECT(C68&amp;ROW()),TODAY())</f>
        <v>673</v>
      </c>
      <c r="L369">
        <f ca="1">DAYS360(INDIRECT(C69&amp;ROW()),TODAY())</f>
        <v>801</v>
      </c>
      <c r="M369">
        <f ca="1">HYPERLINK(CONCATENATE("https://bugzilla.houston.hp.com:1181/bugzilla/show_bug.cgi?id=",INDIRECT(C70&amp;ROW())),INDIRECT(C70&amp;ROW()))</f>
        <v>57016</v>
      </c>
      <c r="N369">
        <v>57016</v>
      </c>
      <c r="O369" t="s">
        <v>241</v>
      </c>
      <c r="P369" t="s">
        <v>737</v>
      </c>
      <c r="Q369" t="s">
        <v>16</v>
      </c>
      <c r="R369" t="s">
        <v>251</v>
      </c>
      <c r="S369" t="s">
        <v>523</v>
      </c>
      <c r="U369" s="6">
        <v>42174.078680555554</v>
      </c>
      <c r="V369" t="s">
        <v>18</v>
      </c>
      <c r="W369" t="s">
        <v>17</v>
      </c>
      <c r="X369" s="6">
        <v>42046.158449074072</v>
      </c>
      <c r="Y369" t="s">
        <v>124</v>
      </c>
      <c r="AB369" t="s">
        <v>200</v>
      </c>
      <c r="AC369" t="s">
        <v>247</v>
      </c>
      <c r="AD369" t="s">
        <v>227</v>
      </c>
      <c r="AE369" t="s">
        <v>226</v>
      </c>
      <c r="AG369" t="s">
        <v>121</v>
      </c>
      <c r="AH369" t="s">
        <v>327</v>
      </c>
      <c r="AI369" t="s">
        <v>121</v>
      </c>
      <c r="AJ369" t="s">
        <v>716</v>
      </c>
      <c r="AK369" t="s">
        <v>121</v>
      </c>
      <c r="AL369" t="s">
        <v>121</v>
      </c>
      <c r="AM369" t="s">
        <v>121</v>
      </c>
    </row>
    <row r="370" spans="9:39" x14ac:dyDescent="0.3">
      <c r="I370">
        <f ca="1">IF(OR(INDIRECT(A73&amp;ROW())=B93,INDIRECT(A73&amp;ROW())=B94),1,IF(AND(INDIRECT(A73&amp;ROW())=B95,INDIRECT(A96&amp;ROW())=C93),1,IF(AND(INDIRECT(A73&amp;ROW())=B95,INDIRECT(A96&amp;ROW())=C94),1,0)))</f>
        <v>0</v>
      </c>
      <c r="J370">
        <f ca="1">IF(AND(INDIRECT(A73&amp;ROW())=B95,INDIRECT(A96&amp;ROW())=C95),1,IF(AND(INDIRECT(A73&amp;ROW())=B95,INDIRECT(A96&amp;ROW())=C96),1,0))</f>
        <v>0</v>
      </c>
      <c r="K370">
        <f ca="1">DAYS360(INDIRECT(C68&amp;ROW()),TODAY())</f>
        <v>801</v>
      </c>
      <c r="L370">
        <f ca="1">DAYS360(INDIRECT(C69&amp;ROW()),TODAY())</f>
        <v>801</v>
      </c>
      <c r="M370">
        <f ca="1">HYPERLINK(CONCATENATE("https://bugzilla.houston.hp.com:1181/bugzilla/show_bug.cgi?id=",INDIRECT(C70&amp;ROW())),INDIRECT(C70&amp;ROW()))</f>
        <v>57041</v>
      </c>
      <c r="N370">
        <v>57041</v>
      </c>
      <c r="O370" t="s">
        <v>56</v>
      </c>
      <c r="P370" t="s">
        <v>1399</v>
      </c>
      <c r="Q370" t="s">
        <v>16</v>
      </c>
      <c r="R370" t="s">
        <v>63</v>
      </c>
      <c r="S370" t="s">
        <v>552</v>
      </c>
      <c r="U370" s="6">
        <v>42046.507962962962</v>
      </c>
      <c r="V370" t="s">
        <v>18</v>
      </c>
      <c r="W370" t="s">
        <v>173</v>
      </c>
      <c r="X370" s="6">
        <v>42046.503645833334</v>
      </c>
      <c r="Y370" t="s">
        <v>122</v>
      </c>
      <c r="AB370" t="s">
        <v>201</v>
      </c>
      <c r="AC370" t="s">
        <v>247</v>
      </c>
      <c r="AD370" t="s">
        <v>220</v>
      </c>
      <c r="AE370" t="s">
        <v>219</v>
      </c>
      <c r="AG370" t="s">
        <v>121</v>
      </c>
      <c r="AH370" t="s">
        <v>327</v>
      </c>
      <c r="AI370" t="s">
        <v>121</v>
      </c>
      <c r="AJ370" t="s">
        <v>717</v>
      </c>
      <c r="AK370" t="s">
        <v>121</v>
      </c>
      <c r="AL370" t="s">
        <v>121</v>
      </c>
      <c r="AM370" t="s">
        <v>121</v>
      </c>
    </row>
    <row r="371" spans="9:39" x14ac:dyDescent="0.3">
      <c r="I371">
        <f ca="1">IF(OR(INDIRECT(A73&amp;ROW())=B93,INDIRECT(A73&amp;ROW())=B94),1,IF(AND(INDIRECT(A73&amp;ROW())=B95,INDIRECT(A96&amp;ROW())=C93),1,IF(AND(INDIRECT(A73&amp;ROW())=B95,INDIRECT(A96&amp;ROW())=C94),1,0)))</f>
        <v>0</v>
      </c>
      <c r="J371">
        <f ca="1">IF(AND(INDIRECT(A73&amp;ROW())=B95,INDIRECT(A96&amp;ROW())=C95),1,IF(AND(INDIRECT(A73&amp;ROW())=B95,INDIRECT(A96&amp;ROW())=C96),1,0))</f>
        <v>0</v>
      </c>
      <c r="K371">
        <f ca="1">DAYS360(INDIRECT(C68&amp;ROW()),TODAY())</f>
        <v>792</v>
      </c>
      <c r="L371">
        <f ca="1">DAYS360(INDIRECT(C69&amp;ROW()),TODAY())</f>
        <v>801</v>
      </c>
      <c r="M371">
        <f ca="1">HYPERLINK(CONCATENATE("https://bugzilla.houston.hp.com:1181/bugzilla/show_bug.cgi?id=",INDIRECT(C70&amp;ROW())),INDIRECT(C70&amp;ROW()))</f>
        <v>57043</v>
      </c>
      <c r="N371">
        <v>57043</v>
      </c>
      <c r="O371" t="s">
        <v>241</v>
      </c>
      <c r="P371" t="s">
        <v>736</v>
      </c>
      <c r="Q371" t="s">
        <v>16</v>
      </c>
      <c r="R371" t="s">
        <v>248</v>
      </c>
      <c r="S371" t="s">
        <v>552</v>
      </c>
      <c r="U371" s="6">
        <v>42055.65824074074</v>
      </c>
      <c r="V371" t="s">
        <v>18</v>
      </c>
      <c r="W371" t="s">
        <v>576</v>
      </c>
      <c r="X371" s="6">
        <v>42046.50708333333</v>
      </c>
      <c r="Y371" t="s">
        <v>119</v>
      </c>
      <c r="AB371" t="s">
        <v>200</v>
      </c>
      <c r="AC371" t="s">
        <v>247</v>
      </c>
      <c r="AD371" t="s">
        <v>227</v>
      </c>
      <c r="AE371" t="s">
        <v>226</v>
      </c>
      <c r="AG371" t="s">
        <v>121</v>
      </c>
      <c r="AH371" t="s">
        <v>327</v>
      </c>
      <c r="AI371" t="s">
        <v>121</v>
      </c>
      <c r="AJ371" t="s">
        <v>716</v>
      </c>
      <c r="AK371" t="s">
        <v>121</v>
      </c>
      <c r="AL371" t="s">
        <v>121</v>
      </c>
      <c r="AM371" t="s">
        <v>121</v>
      </c>
    </row>
    <row r="372" spans="9:39" x14ac:dyDescent="0.3">
      <c r="I372">
        <f ca="1">IF(OR(INDIRECT(A73&amp;ROW())=B93,INDIRECT(A73&amp;ROW())=B94),1,IF(AND(INDIRECT(A73&amp;ROW())=B95,INDIRECT(A96&amp;ROW())=C93),1,IF(AND(INDIRECT(A73&amp;ROW())=B95,INDIRECT(A96&amp;ROW())=C94),1,0)))</f>
        <v>0</v>
      </c>
      <c r="J372">
        <f ca="1">IF(AND(INDIRECT(A73&amp;ROW())=B95,INDIRECT(A96&amp;ROW())=C95),1,IF(AND(INDIRECT(A73&amp;ROW())=B95,INDIRECT(A96&amp;ROW())=C96),1,0))</f>
        <v>0</v>
      </c>
      <c r="K372">
        <f ca="1">DAYS360(INDIRECT(C68&amp;ROW()),TODAY())</f>
        <v>801</v>
      </c>
      <c r="L372">
        <f ca="1">DAYS360(INDIRECT(C69&amp;ROW()),TODAY())</f>
        <v>801</v>
      </c>
      <c r="M372">
        <f ca="1">HYPERLINK(CONCATENATE("https://bugzilla.houston.hp.com:1181/bugzilla/show_bug.cgi?id=",INDIRECT(C70&amp;ROW())),INDIRECT(C70&amp;ROW()))</f>
        <v>57044</v>
      </c>
      <c r="N372">
        <v>57044</v>
      </c>
      <c r="O372" t="s">
        <v>56</v>
      </c>
      <c r="P372" t="s">
        <v>735</v>
      </c>
      <c r="Q372" t="s">
        <v>16</v>
      </c>
      <c r="R372" t="s">
        <v>248</v>
      </c>
      <c r="S372" t="s">
        <v>552</v>
      </c>
      <c r="U372" s="6">
        <v>42046.507962962962</v>
      </c>
      <c r="V372" t="s">
        <v>18</v>
      </c>
      <c r="W372" t="s">
        <v>173</v>
      </c>
      <c r="X372" s="6">
        <v>42046.507372685184</v>
      </c>
      <c r="Y372" t="s">
        <v>122</v>
      </c>
      <c r="AB372" t="s">
        <v>201</v>
      </c>
      <c r="AC372" t="s">
        <v>247</v>
      </c>
      <c r="AD372" t="s">
        <v>220</v>
      </c>
      <c r="AE372" t="s">
        <v>219</v>
      </c>
      <c r="AG372" t="s">
        <v>121</v>
      </c>
      <c r="AH372" t="s">
        <v>327</v>
      </c>
      <c r="AI372" t="s">
        <v>121</v>
      </c>
      <c r="AJ372" t="s">
        <v>717</v>
      </c>
      <c r="AK372" t="s">
        <v>121</v>
      </c>
      <c r="AL372" t="s">
        <v>121</v>
      </c>
      <c r="AM372" t="s">
        <v>121</v>
      </c>
    </row>
    <row r="373" spans="9:39" x14ac:dyDescent="0.3">
      <c r="I373">
        <f ca="1">IF(OR(INDIRECT(A73&amp;ROW())=B93,INDIRECT(A73&amp;ROW())=B94),1,IF(AND(INDIRECT(A73&amp;ROW())=B95,INDIRECT(A96&amp;ROW())=C93),1,IF(AND(INDIRECT(A73&amp;ROW())=B95,INDIRECT(A96&amp;ROW())=C94),1,0)))</f>
        <v>0</v>
      </c>
      <c r="J373">
        <f ca="1">IF(AND(INDIRECT(A73&amp;ROW())=B95,INDIRECT(A96&amp;ROW())=C95),1,IF(AND(INDIRECT(A73&amp;ROW())=B95,INDIRECT(A96&amp;ROW())=C96),1,0))</f>
        <v>1</v>
      </c>
      <c r="K373">
        <f ca="1">DAYS360(INDIRECT(C68&amp;ROW()),TODAY())</f>
        <v>681</v>
      </c>
      <c r="L373">
        <f ca="1">DAYS360(INDIRECT(C69&amp;ROW()),TODAY())</f>
        <v>801</v>
      </c>
      <c r="M373">
        <f ca="1">HYPERLINK(CONCATENATE("https://bugzilla.houston.hp.com:1181/bugzilla/show_bug.cgi?id=",INDIRECT(C70&amp;ROW())),INDIRECT(C70&amp;ROW()))</f>
        <v>57045</v>
      </c>
      <c r="N373">
        <v>57045</v>
      </c>
      <c r="O373" t="s">
        <v>56</v>
      </c>
      <c r="P373" t="s">
        <v>734</v>
      </c>
      <c r="Q373" t="s">
        <v>25</v>
      </c>
      <c r="R373" t="s">
        <v>248</v>
      </c>
      <c r="S373" t="s">
        <v>552</v>
      </c>
      <c r="U373" s="6">
        <v>42166.35497685185</v>
      </c>
      <c r="V373" t="s">
        <v>18</v>
      </c>
      <c r="W373" t="s">
        <v>514</v>
      </c>
      <c r="X373" s="6">
        <v>42046.528171296297</v>
      </c>
      <c r="Y373" t="s">
        <v>535</v>
      </c>
      <c r="AB373" t="s">
        <v>201</v>
      </c>
      <c r="AC373" t="s">
        <v>247</v>
      </c>
      <c r="AD373" t="s">
        <v>220</v>
      </c>
      <c r="AE373" t="s">
        <v>219</v>
      </c>
      <c r="AG373" t="s">
        <v>121</v>
      </c>
      <c r="AH373" t="s">
        <v>327</v>
      </c>
      <c r="AI373" t="s">
        <v>121</v>
      </c>
      <c r="AJ373" t="s">
        <v>716</v>
      </c>
      <c r="AK373" t="s">
        <v>121</v>
      </c>
      <c r="AL373" t="s">
        <v>121</v>
      </c>
      <c r="AM373" t="s">
        <v>121</v>
      </c>
    </row>
    <row r="374" spans="9:39" x14ac:dyDescent="0.3">
      <c r="I374">
        <f ca="1">IF(OR(INDIRECT(A73&amp;ROW())=B93,INDIRECT(A73&amp;ROW())=B94),1,IF(AND(INDIRECT(A73&amp;ROW())=B95,INDIRECT(A96&amp;ROW())=C93),1,IF(AND(INDIRECT(A73&amp;ROW())=B95,INDIRECT(A96&amp;ROW())=C94),1,0)))</f>
        <v>0</v>
      </c>
      <c r="J374">
        <f ca="1">IF(AND(INDIRECT(A73&amp;ROW())=B95,INDIRECT(A96&amp;ROW())=C95),1,IF(AND(INDIRECT(A73&amp;ROW())=B95,INDIRECT(A96&amp;ROW())=C96),1,0))</f>
        <v>1</v>
      </c>
      <c r="K374">
        <f ca="1">DAYS360(INDIRECT(C68&amp;ROW()),TODAY())</f>
        <v>620</v>
      </c>
      <c r="L374">
        <f ca="1">DAYS360(INDIRECT(C69&amp;ROW()),TODAY())</f>
        <v>801</v>
      </c>
      <c r="M374">
        <f ca="1">HYPERLINK(CONCATENATE("https://bugzilla.houston.hp.com:1181/bugzilla/show_bug.cgi?id=",INDIRECT(C70&amp;ROW())),INDIRECT(C70&amp;ROW()))</f>
        <v>57048</v>
      </c>
      <c r="N374">
        <v>57048</v>
      </c>
      <c r="O374" t="s">
        <v>1233</v>
      </c>
      <c r="P374" t="s">
        <v>733</v>
      </c>
      <c r="Q374" t="s">
        <v>25</v>
      </c>
      <c r="R374" t="s">
        <v>248</v>
      </c>
      <c r="S374" t="s">
        <v>552</v>
      </c>
      <c r="U374" s="6">
        <v>42228.327916666669</v>
      </c>
      <c r="V374" t="s">
        <v>18</v>
      </c>
      <c r="W374" t="s">
        <v>525</v>
      </c>
      <c r="X374" s="6">
        <v>42046.529097222221</v>
      </c>
      <c r="Y374" t="s">
        <v>255</v>
      </c>
      <c r="AB374" t="s">
        <v>201</v>
      </c>
      <c r="AC374" t="s">
        <v>247</v>
      </c>
      <c r="AD374" t="s">
        <v>220</v>
      </c>
      <c r="AE374" t="s">
        <v>229</v>
      </c>
      <c r="AG374" t="s">
        <v>121</v>
      </c>
      <c r="AH374" t="s">
        <v>327</v>
      </c>
      <c r="AI374" t="s">
        <v>121</v>
      </c>
      <c r="AJ374" t="s">
        <v>716</v>
      </c>
      <c r="AK374" t="s">
        <v>121</v>
      </c>
      <c r="AL374" t="s">
        <v>121</v>
      </c>
      <c r="AM374" t="s">
        <v>121</v>
      </c>
    </row>
    <row r="375" spans="9:39" x14ac:dyDescent="0.3">
      <c r="I375">
        <f ca="1">IF(OR(INDIRECT(A73&amp;ROW())=B93,INDIRECT(A73&amp;ROW())=B94),1,IF(AND(INDIRECT(A73&amp;ROW())=B95,INDIRECT(A96&amp;ROW())=C93),1,IF(AND(INDIRECT(A73&amp;ROW())=B95,INDIRECT(A96&amp;ROW())=C94),1,0)))</f>
        <v>0</v>
      </c>
      <c r="J375">
        <f ca="1">IF(AND(INDIRECT(A73&amp;ROW())=B95,INDIRECT(A96&amp;ROW())=C95),1,IF(AND(INDIRECT(A73&amp;ROW())=B95,INDIRECT(A96&amp;ROW())=C96),1,0))</f>
        <v>0</v>
      </c>
      <c r="K375">
        <f ca="1">DAYS360(INDIRECT(C68&amp;ROW()),TODAY())</f>
        <v>801</v>
      </c>
      <c r="L375">
        <f ca="1">DAYS360(INDIRECT(C69&amp;ROW()),TODAY())</f>
        <v>801</v>
      </c>
      <c r="M375">
        <f ca="1">HYPERLINK(CONCATENATE("https://bugzilla.houston.hp.com:1181/bugzilla/show_bug.cgi?id=",INDIRECT(C70&amp;ROW())),INDIRECT(C70&amp;ROW()))</f>
        <v>57050</v>
      </c>
      <c r="N375">
        <v>57050</v>
      </c>
      <c r="O375" t="s">
        <v>36</v>
      </c>
      <c r="P375" t="s">
        <v>732</v>
      </c>
      <c r="Q375" t="s">
        <v>16</v>
      </c>
      <c r="R375" t="s">
        <v>248</v>
      </c>
      <c r="S375" t="s">
        <v>552</v>
      </c>
      <c r="U375" s="6">
        <v>42046.538854166669</v>
      </c>
      <c r="V375" t="s">
        <v>18</v>
      </c>
      <c r="W375" t="s">
        <v>248</v>
      </c>
      <c r="X375" s="6">
        <v>42046.529687499999</v>
      </c>
      <c r="Y375" t="s">
        <v>786</v>
      </c>
      <c r="AB375" t="s">
        <v>201</v>
      </c>
      <c r="AC375" t="s">
        <v>247</v>
      </c>
      <c r="AD375" t="s">
        <v>227</v>
      </c>
      <c r="AE375" t="s">
        <v>226</v>
      </c>
      <c r="AG375" t="s">
        <v>121</v>
      </c>
      <c r="AH375" t="s">
        <v>327</v>
      </c>
      <c r="AI375" t="s">
        <v>121</v>
      </c>
      <c r="AJ375" t="s">
        <v>717</v>
      </c>
      <c r="AK375" t="s">
        <v>121</v>
      </c>
      <c r="AL375" t="s">
        <v>121</v>
      </c>
      <c r="AM375" t="s">
        <v>121</v>
      </c>
    </row>
    <row r="376" spans="9:39" x14ac:dyDescent="0.3">
      <c r="I376">
        <f ca="1">IF(OR(INDIRECT(A73&amp;ROW())=B93,INDIRECT(A73&amp;ROW())=B94),1,IF(AND(INDIRECT(A73&amp;ROW())=B95,INDIRECT(A96&amp;ROW())=C93),1,IF(AND(INDIRECT(A73&amp;ROW())=B95,INDIRECT(A96&amp;ROW())=C94),1,0)))</f>
        <v>0</v>
      </c>
      <c r="J376">
        <f ca="1">IF(AND(INDIRECT(A73&amp;ROW())=B95,INDIRECT(A96&amp;ROW())=C95),1,IF(AND(INDIRECT(A73&amp;ROW())=B95,INDIRECT(A96&amp;ROW())=C96),1,0))</f>
        <v>0</v>
      </c>
      <c r="K376">
        <f ca="1">DAYS360(INDIRECT(C68&amp;ROW()),TODAY())</f>
        <v>769</v>
      </c>
      <c r="L376">
        <f ca="1">DAYS360(INDIRECT(C69&amp;ROW()),TODAY())</f>
        <v>801</v>
      </c>
      <c r="M376">
        <f ca="1">HYPERLINK(CONCATENATE("https://bugzilla.houston.hp.com:1181/bugzilla/show_bug.cgi?id=",INDIRECT(C70&amp;ROW())),INDIRECT(C70&amp;ROW()))</f>
        <v>57052</v>
      </c>
      <c r="N376">
        <v>57052</v>
      </c>
      <c r="O376" t="s">
        <v>56</v>
      </c>
      <c r="P376" t="s">
        <v>731</v>
      </c>
      <c r="Q376" t="s">
        <v>16</v>
      </c>
      <c r="R376" t="s">
        <v>248</v>
      </c>
      <c r="S376" t="s">
        <v>552</v>
      </c>
      <c r="U376" s="6">
        <v>42076.532280092593</v>
      </c>
      <c r="V376" t="s">
        <v>18</v>
      </c>
      <c r="W376" t="s">
        <v>248</v>
      </c>
      <c r="X376" s="6">
        <v>42046.530289351853</v>
      </c>
      <c r="Y376" t="s">
        <v>118</v>
      </c>
      <c r="AB376" t="s">
        <v>199</v>
      </c>
      <c r="AC376" t="s">
        <v>247</v>
      </c>
      <c r="AD376" t="s">
        <v>220</v>
      </c>
      <c r="AE376" t="s">
        <v>219</v>
      </c>
      <c r="AG376" t="s">
        <v>121</v>
      </c>
      <c r="AH376" t="s">
        <v>327</v>
      </c>
      <c r="AI376" t="s">
        <v>121</v>
      </c>
      <c r="AJ376" t="s">
        <v>716</v>
      </c>
      <c r="AK376" t="s">
        <v>121</v>
      </c>
      <c r="AL376" t="s">
        <v>121</v>
      </c>
      <c r="AM376" t="s">
        <v>121</v>
      </c>
    </row>
    <row r="377" spans="9:39" x14ac:dyDescent="0.3">
      <c r="I377">
        <f ca="1">IF(OR(INDIRECT(A73&amp;ROW())=B93,INDIRECT(A73&amp;ROW())=B94),1,IF(AND(INDIRECT(A73&amp;ROW())=B95,INDIRECT(A96&amp;ROW())=C93),1,IF(AND(INDIRECT(A73&amp;ROW())=B95,INDIRECT(A96&amp;ROW())=C94),1,0)))</f>
        <v>0</v>
      </c>
      <c r="J377">
        <f ca="1">IF(AND(INDIRECT(A73&amp;ROW())=B95,INDIRECT(A96&amp;ROW())=C95),1,IF(AND(INDIRECT(A73&amp;ROW())=B95,INDIRECT(A96&amp;ROW())=C96),1,0))</f>
        <v>0</v>
      </c>
      <c r="K377">
        <f ca="1">DAYS360(INDIRECT(C68&amp;ROW()),TODAY())</f>
        <v>801</v>
      </c>
      <c r="L377">
        <f ca="1">DAYS360(INDIRECT(C69&amp;ROW()),TODAY())</f>
        <v>801</v>
      </c>
      <c r="M377">
        <f ca="1">HYPERLINK(CONCATENATE("https://bugzilla.houston.hp.com:1181/bugzilla/show_bug.cgi?id=",INDIRECT(C70&amp;ROW())),INDIRECT(C70&amp;ROW()))</f>
        <v>57054</v>
      </c>
      <c r="N377">
        <v>57054</v>
      </c>
      <c r="O377" t="s">
        <v>56</v>
      </c>
      <c r="P377" t="s">
        <v>730</v>
      </c>
      <c r="Q377" t="s">
        <v>16</v>
      </c>
      <c r="R377" t="s">
        <v>248</v>
      </c>
      <c r="S377" t="s">
        <v>552</v>
      </c>
      <c r="U377" s="6">
        <v>42046.54010416667</v>
      </c>
      <c r="V377" t="s">
        <v>18</v>
      </c>
      <c r="W377" t="s">
        <v>343</v>
      </c>
      <c r="X377" s="6">
        <v>42046.532210648147</v>
      </c>
      <c r="Y377" t="s">
        <v>246</v>
      </c>
      <c r="AB377" t="s">
        <v>200</v>
      </c>
      <c r="AC377" t="s">
        <v>247</v>
      </c>
      <c r="AD377" t="s">
        <v>220</v>
      </c>
      <c r="AE377" t="s">
        <v>219</v>
      </c>
      <c r="AG377" t="s">
        <v>121</v>
      </c>
      <c r="AH377" t="s">
        <v>327</v>
      </c>
      <c r="AI377" t="s">
        <v>121</v>
      </c>
      <c r="AJ377" t="s">
        <v>716</v>
      </c>
      <c r="AK377" t="s">
        <v>121</v>
      </c>
      <c r="AL377" t="s">
        <v>121</v>
      </c>
      <c r="AM377" t="s">
        <v>121</v>
      </c>
    </row>
    <row r="378" spans="9:39" x14ac:dyDescent="0.3">
      <c r="I378">
        <f ca="1">IF(OR(INDIRECT(A73&amp;ROW())=B93,INDIRECT(A73&amp;ROW())=B94),1,IF(AND(INDIRECT(A73&amp;ROW())=B95,INDIRECT(A96&amp;ROW())=C93),1,IF(AND(INDIRECT(A73&amp;ROW())=B95,INDIRECT(A96&amp;ROW())=C94),1,0)))</f>
        <v>0</v>
      </c>
      <c r="J378">
        <f ca="1">IF(AND(INDIRECT(A73&amp;ROW())=B95,INDIRECT(A96&amp;ROW())=C95),1,IF(AND(INDIRECT(A73&amp;ROW())=B95,INDIRECT(A96&amp;ROW())=C96),1,0))</f>
        <v>1</v>
      </c>
      <c r="K378">
        <f ca="1">DAYS360(INDIRECT(C68&amp;ROW()),TODAY())</f>
        <v>801</v>
      </c>
      <c r="L378">
        <f ca="1">DAYS360(INDIRECT(C69&amp;ROW()),TODAY())</f>
        <v>801</v>
      </c>
      <c r="M378">
        <f ca="1">HYPERLINK(CONCATENATE("https://bugzilla.houston.hp.com:1181/bugzilla/show_bug.cgi?id=",INDIRECT(C70&amp;ROW())),INDIRECT(C70&amp;ROW()))</f>
        <v>57055</v>
      </c>
      <c r="N378">
        <v>57055</v>
      </c>
      <c r="O378" t="s">
        <v>56</v>
      </c>
      <c r="P378" t="s">
        <v>729</v>
      </c>
      <c r="Q378" t="s">
        <v>25</v>
      </c>
      <c r="R378" t="s">
        <v>248</v>
      </c>
      <c r="S378" t="s">
        <v>552</v>
      </c>
      <c r="U378" s="6">
        <v>42046.577997685185</v>
      </c>
      <c r="V378" t="s">
        <v>18</v>
      </c>
      <c r="W378" t="s">
        <v>288</v>
      </c>
      <c r="X378" s="6">
        <v>42046.533553240741</v>
      </c>
      <c r="Y378" t="s">
        <v>119</v>
      </c>
      <c r="AB378" t="s">
        <v>201</v>
      </c>
      <c r="AC378" t="s">
        <v>121</v>
      </c>
      <c r="AD378" t="s">
        <v>220</v>
      </c>
      <c r="AE378" t="s">
        <v>219</v>
      </c>
      <c r="AF378" s="13">
        <v>41901</v>
      </c>
      <c r="AG378" t="s">
        <v>121</v>
      </c>
      <c r="AH378" t="s">
        <v>64</v>
      </c>
      <c r="AI378" t="s">
        <v>1328</v>
      </c>
      <c r="AJ378" t="s">
        <v>716</v>
      </c>
      <c r="AK378" t="s">
        <v>121</v>
      </c>
      <c r="AL378" t="s">
        <v>121</v>
      </c>
      <c r="AM378" t="s">
        <v>121</v>
      </c>
    </row>
    <row r="379" spans="9:39" x14ac:dyDescent="0.3">
      <c r="I379">
        <f ca="1">IF(OR(INDIRECT(A73&amp;ROW())=B93,INDIRECT(A73&amp;ROW())=B94),1,IF(AND(INDIRECT(A73&amp;ROW())=B95,INDIRECT(A96&amp;ROW())=C93),1,IF(AND(INDIRECT(A73&amp;ROW())=B95,INDIRECT(A96&amp;ROW())=C94),1,0)))</f>
        <v>1</v>
      </c>
      <c r="J379">
        <f ca="1">IF(AND(INDIRECT(A73&amp;ROW())=B95,INDIRECT(A96&amp;ROW())=C95),1,IF(AND(INDIRECT(A73&amp;ROW())=B95,INDIRECT(A96&amp;ROW())=C96),1,0))</f>
        <v>0</v>
      </c>
      <c r="K379">
        <f ca="1">DAYS360(INDIRECT(C68&amp;ROW()),TODAY())</f>
        <v>673</v>
      </c>
      <c r="L379">
        <f ca="1">DAYS360(INDIRECT(C69&amp;ROW()),TODAY())</f>
        <v>801</v>
      </c>
      <c r="M379">
        <f ca="1">HYPERLINK(CONCATENATE("https://bugzilla.houston.hp.com:1181/bugzilla/show_bug.cgi?id=",INDIRECT(C70&amp;ROW())),INDIRECT(C70&amp;ROW()))</f>
        <v>57057</v>
      </c>
      <c r="N379">
        <v>57057</v>
      </c>
      <c r="O379" t="s">
        <v>188</v>
      </c>
      <c r="P379" t="s">
        <v>728</v>
      </c>
      <c r="Q379" t="s">
        <v>25</v>
      </c>
      <c r="R379" t="s">
        <v>248</v>
      </c>
      <c r="S379" t="s">
        <v>552</v>
      </c>
      <c r="U379" s="6">
        <v>42174.725127314814</v>
      </c>
      <c r="V379" t="s">
        <v>18</v>
      </c>
      <c r="W379" t="s">
        <v>260</v>
      </c>
      <c r="X379" s="6">
        <v>42046.534212962964</v>
      </c>
      <c r="Y379" t="s">
        <v>119</v>
      </c>
      <c r="AB379" t="s">
        <v>200</v>
      </c>
      <c r="AC379" t="s">
        <v>121</v>
      </c>
      <c r="AD379" t="s">
        <v>222</v>
      </c>
      <c r="AE379" t="s">
        <v>233</v>
      </c>
      <c r="AF379" s="13">
        <v>41878</v>
      </c>
      <c r="AG379" t="s">
        <v>121</v>
      </c>
      <c r="AH379" t="s">
        <v>64</v>
      </c>
      <c r="AI379" t="s">
        <v>362</v>
      </c>
      <c r="AJ379" t="s">
        <v>715</v>
      </c>
      <c r="AK379" t="s">
        <v>121</v>
      </c>
      <c r="AL379" t="s">
        <v>121</v>
      </c>
      <c r="AM379" t="s">
        <v>121</v>
      </c>
    </row>
    <row r="380" spans="9:39" x14ac:dyDescent="0.3">
      <c r="I380">
        <f ca="1">IF(OR(INDIRECT(A73&amp;ROW())=B93,INDIRECT(A73&amp;ROW())=B94),1,IF(AND(INDIRECT(A73&amp;ROW())=B95,INDIRECT(A96&amp;ROW())=C93),1,IF(AND(INDIRECT(A73&amp;ROW())=B95,INDIRECT(A96&amp;ROW())=C94),1,0)))</f>
        <v>0</v>
      </c>
      <c r="J380">
        <f ca="1">IF(AND(INDIRECT(A73&amp;ROW())=B95,INDIRECT(A96&amp;ROW())=C95),1,IF(AND(INDIRECT(A73&amp;ROW())=B95,INDIRECT(A96&amp;ROW())=C96),1,0))</f>
        <v>0</v>
      </c>
      <c r="K380">
        <f ca="1">DAYS360(INDIRECT(C68&amp;ROW()),TODAY())</f>
        <v>721</v>
      </c>
      <c r="L380">
        <f ca="1">DAYS360(INDIRECT(C69&amp;ROW()),TODAY())</f>
        <v>801</v>
      </c>
      <c r="M380">
        <f ca="1">HYPERLINK(CONCATENATE("https://bugzilla.houston.hp.com:1181/bugzilla/show_bug.cgi?id=",INDIRECT(C70&amp;ROW())),INDIRECT(C70&amp;ROW()))</f>
        <v>57058</v>
      </c>
      <c r="N380">
        <v>57058</v>
      </c>
      <c r="O380" t="s">
        <v>56</v>
      </c>
      <c r="P380" t="s">
        <v>727</v>
      </c>
      <c r="Q380" t="s">
        <v>16</v>
      </c>
      <c r="R380" t="s">
        <v>248</v>
      </c>
      <c r="S380" t="s">
        <v>552</v>
      </c>
      <c r="U380" s="6">
        <v>42125.447685185187</v>
      </c>
      <c r="V380" t="s">
        <v>18</v>
      </c>
      <c r="W380" t="s">
        <v>343</v>
      </c>
      <c r="X380" s="6">
        <v>42046.534537037034</v>
      </c>
      <c r="Y380" t="s">
        <v>122</v>
      </c>
      <c r="AB380" t="s">
        <v>201</v>
      </c>
      <c r="AC380" t="s">
        <v>247</v>
      </c>
      <c r="AD380" t="s">
        <v>220</v>
      </c>
      <c r="AE380" t="s">
        <v>219</v>
      </c>
      <c r="AG380" t="s">
        <v>121</v>
      </c>
      <c r="AH380" t="s">
        <v>327</v>
      </c>
      <c r="AI380" t="s">
        <v>121</v>
      </c>
      <c r="AJ380" t="s">
        <v>717</v>
      </c>
      <c r="AK380" t="s">
        <v>121</v>
      </c>
      <c r="AL380" t="s">
        <v>121</v>
      </c>
      <c r="AM380" t="s">
        <v>121</v>
      </c>
    </row>
    <row r="381" spans="9:39" x14ac:dyDescent="0.3">
      <c r="I381">
        <f ca="1">IF(OR(INDIRECT(A73&amp;ROW())=B93,INDIRECT(A73&amp;ROW())=B94),1,IF(AND(INDIRECT(A73&amp;ROW())=B95,INDIRECT(A96&amp;ROW())=C93),1,IF(AND(INDIRECT(A73&amp;ROW())=B95,INDIRECT(A96&amp;ROW())=C94),1,0)))</f>
        <v>0</v>
      </c>
      <c r="J381">
        <f ca="1">IF(AND(INDIRECT(A73&amp;ROW())=B95,INDIRECT(A96&amp;ROW())=C95),1,IF(AND(INDIRECT(A73&amp;ROW())=B95,INDIRECT(A96&amp;ROW())=C96),1,0))</f>
        <v>0</v>
      </c>
      <c r="K381">
        <f ca="1">DAYS360(INDIRECT(C68&amp;ROW()),TODAY())</f>
        <v>721</v>
      </c>
      <c r="L381">
        <f ca="1">DAYS360(INDIRECT(C69&amp;ROW()),TODAY())</f>
        <v>801</v>
      </c>
      <c r="M381">
        <f ca="1">HYPERLINK(CONCATENATE("https://bugzilla.houston.hp.com:1181/bugzilla/show_bug.cgi?id=",INDIRECT(C70&amp;ROW())),INDIRECT(C70&amp;ROW()))</f>
        <v>57061</v>
      </c>
      <c r="N381">
        <v>57061</v>
      </c>
      <c r="O381" t="s">
        <v>56</v>
      </c>
      <c r="P381" t="s">
        <v>726</v>
      </c>
      <c r="Q381" t="s">
        <v>16</v>
      </c>
      <c r="R381" t="s">
        <v>248</v>
      </c>
      <c r="S381" t="s">
        <v>552</v>
      </c>
      <c r="U381" s="6">
        <v>42125.443958333337</v>
      </c>
      <c r="V381" t="s">
        <v>18</v>
      </c>
      <c r="W381" t="s">
        <v>355</v>
      </c>
      <c r="X381" s="6">
        <v>42046.535856481481</v>
      </c>
      <c r="Y381" t="s">
        <v>122</v>
      </c>
      <c r="AB381" t="s">
        <v>200</v>
      </c>
      <c r="AC381" t="s">
        <v>121</v>
      </c>
      <c r="AD381" t="s">
        <v>220</v>
      </c>
      <c r="AE381" t="s">
        <v>219</v>
      </c>
      <c r="AG381" t="s">
        <v>121</v>
      </c>
      <c r="AH381" t="s">
        <v>327</v>
      </c>
      <c r="AI381" t="s">
        <v>121</v>
      </c>
      <c r="AJ381" t="s">
        <v>716</v>
      </c>
      <c r="AK381" t="s">
        <v>121</v>
      </c>
      <c r="AL381" t="s">
        <v>121</v>
      </c>
      <c r="AM381" t="s">
        <v>121</v>
      </c>
    </row>
    <row r="382" spans="9:39" x14ac:dyDescent="0.3">
      <c r="I382">
        <f ca="1">IF(OR(INDIRECT(A73&amp;ROW())=B93,INDIRECT(A73&amp;ROW())=B94),1,IF(AND(INDIRECT(A73&amp;ROW())=B95,INDIRECT(A96&amp;ROW())=C93),1,IF(AND(INDIRECT(A73&amp;ROW())=B95,INDIRECT(A96&amp;ROW())=C94),1,0)))</f>
        <v>0</v>
      </c>
      <c r="J382">
        <f ca="1">IF(AND(INDIRECT(A73&amp;ROW())=B95,INDIRECT(A96&amp;ROW())=C95),1,IF(AND(INDIRECT(A73&amp;ROW())=B95,INDIRECT(A96&amp;ROW())=C96),1,0))</f>
        <v>0</v>
      </c>
      <c r="K382">
        <f ca="1">DAYS360(INDIRECT(C68&amp;ROW()),TODAY())</f>
        <v>721</v>
      </c>
      <c r="L382">
        <f ca="1">DAYS360(INDIRECT(C69&amp;ROW()),TODAY())</f>
        <v>801</v>
      </c>
      <c r="M382">
        <f ca="1">HYPERLINK(CONCATENATE("https://bugzilla.houston.hp.com:1181/bugzilla/show_bug.cgi?id=",INDIRECT(C70&amp;ROW())),INDIRECT(C70&amp;ROW()))</f>
        <v>57062</v>
      </c>
      <c r="N382">
        <v>57062</v>
      </c>
      <c r="O382" t="s">
        <v>56</v>
      </c>
      <c r="P382" t="s">
        <v>725</v>
      </c>
      <c r="Q382" t="s">
        <v>16</v>
      </c>
      <c r="R382" t="s">
        <v>248</v>
      </c>
      <c r="S382" t="s">
        <v>552</v>
      </c>
      <c r="U382" s="6">
        <v>42125.443865740737</v>
      </c>
      <c r="V382" t="s">
        <v>18</v>
      </c>
      <c r="W382" t="s">
        <v>215</v>
      </c>
      <c r="X382" s="6">
        <v>42046.536157407405</v>
      </c>
      <c r="Y382" t="s">
        <v>122</v>
      </c>
      <c r="AB382" t="s">
        <v>200</v>
      </c>
      <c r="AC382" t="s">
        <v>247</v>
      </c>
      <c r="AD382" t="s">
        <v>220</v>
      </c>
      <c r="AE382" t="s">
        <v>219</v>
      </c>
      <c r="AG382" t="s">
        <v>121</v>
      </c>
      <c r="AH382" t="s">
        <v>327</v>
      </c>
      <c r="AI382" t="s">
        <v>121</v>
      </c>
      <c r="AJ382" t="s">
        <v>716</v>
      </c>
      <c r="AK382" t="s">
        <v>121</v>
      </c>
      <c r="AL382" t="s">
        <v>121</v>
      </c>
      <c r="AM382" t="s">
        <v>121</v>
      </c>
    </row>
    <row r="383" spans="9:39" x14ac:dyDescent="0.3">
      <c r="I383">
        <f ca="1">IF(OR(INDIRECT(A73&amp;ROW())=B93,INDIRECT(A73&amp;ROW())=B94),1,IF(AND(INDIRECT(A73&amp;ROW())=B95,INDIRECT(A96&amp;ROW())=C93),1,IF(AND(INDIRECT(A73&amp;ROW())=B95,INDIRECT(A96&amp;ROW())=C94),1,0)))</f>
        <v>0</v>
      </c>
      <c r="J383">
        <f ca="1">IF(AND(INDIRECT(A73&amp;ROW())=B95,INDIRECT(A96&amp;ROW())=C95),1,IF(AND(INDIRECT(A73&amp;ROW())=B95,INDIRECT(A96&amp;ROW())=C96),1,0))</f>
        <v>0</v>
      </c>
      <c r="K383">
        <f ca="1">DAYS360(INDIRECT(C68&amp;ROW()),TODAY())</f>
        <v>684</v>
      </c>
      <c r="L383">
        <f ca="1">DAYS360(INDIRECT(C69&amp;ROW()),TODAY())</f>
        <v>801</v>
      </c>
      <c r="M383">
        <f ca="1">HYPERLINK(CONCATENATE("https://bugzilla.houston.hp.com:1181/bugzilla/show_bug.cgi?id=",INDIRECT(C70&amp;ROW())),INDIRECT(C70&amp;ROW()))</f>
        <v>57063</v>
      </c>
      <c r="N383">
        <v>57063</v>
      </c>
      <c r="O383" t="s">
        <v>56</v>
      </c>
      <c r="P383" t="s">
        <v>724</v>
      </c>
      <c r="Q383" t="s">
        <v>16</v>
      </c>
      <c r="R383" t="s">
        <v>248</v>
      </c>
      <c r="S383" t="s">
        <v>552</v>
      </c>
      <c r="T383" t="s">
        <v>842</v>
      </c>
      <c r="U383" s="6">
        <v>42163.610300925924</v>
      </c>
      <c r="V383" t="s">
        <v>18</v>
      </c>
      <c r="W383" t="s">
        <v>248</v>
      </c>
      <c r="X383" s="6">
        <v>42046.541284722225</v>
      </c>
      <c r="Y383" t="s">
        <v>785</v>
      </c>
      <c r="AB383" t="s">
        <v>200</v>
      </c>
      <c r="AC383" t="s">
        <v>247</v>
      </c>
      <c r="AD383" t="s">
        <v>220</v>
      </c>
      <c r="AE383" t="s">
        <v>219</v>
      </c>
      <c r="AG383" t="s">
        <v>121</v>
      </c>
      <c r="AH383" t="s">
        <v>327</v>
      </c>
      <c r="AI383" t="s">
        <v>121</v>
      </c>
      <c r="AJ383" t="s">
        <v>716</v>
      </c>
      <c r="AK383" t="s">
        <v>121</v>
      </c>
      <c r="AL383" t="s">
        <v>121</v>
      </c>
      <c r="AM383" t="s">
        <v>121</v>
      </c>
    </row>
    <row r="384" spans="9:39" x14ac:dyDescent="0.3">
      <c r="I384">
        <f ca="1">IF(OR(INDIRECT(A73&amp;ROW())=B93,INDIRECT(A73&amp;ROW())=B94),1,IF(AND(INDIRECT(A73&amp;ROW())=B95,INDIRECT(A96&amp;ROW())=C93),1,IF(AND(INDIRECT(A73&amp;ROW())=B95,INDIRECT(A96&amp;ROW())=C94),1,0)))</f>
        <v>1</v>
      </c>
      <c r="J384">
        <f ca="1">IF(AND(INDIRECT(A73&amp;ROW())=B95,INDIRECT(A96&amp;ROW())=C95),1,IF(AND(INDIRECT(A73&amp;ROW())=B95,INDIRECT(A96&amp;ROW())=C96),1,0))</f>
        <v>0</v>
      </c>
      <c r="K384">
        <f ca="1">DAYS360(INDIRECT(C68&amp;ROW()),TODAY())</f>
        <v>675</v>
      </c>
      <c r="L384">
        <f ca="1">DAYS360(INDIRECT(C69&amp;ROW()),TODAY())</f>
        <v>801</v>
      </c>
      <c r="M384">
        <f ca="1">HYPERLINK(CONCATENATE("https://bugzilla.houston.hp.com:1181/bugzilla/show_bug.cgi?id=",INDIRECT(C70&amp;ROW())),INDIRECT(C70&amp;ROW()))</f>
        <v>57072</v>
      </c>
      <c r="N384">
        <v>57072</v>
      </c>
      <c r="O384" t="s">
        <v>241</v>
      </c>
      <c r="P384" t="s">
        <v>723</v>
      </c>
      <c r="Q384" t="s">
        <v>39</v>
      </c>
      <c r="R384" t="s">
        <v>251</v>
      </c>
      <c r="S384" t="s">
        <v>24</v>
      </c>
      <c r="U384" s="6">
        <v>42172.323553240742</v>
      </c>
      <c r="V384" t="s">
        <v>18</v>
      </c>
      <c r="W384" t="s">
        <v>17</v>
      </c>
      <c r="X384" s="6">
        <v>42046.616006944445</v>
      </c>
      <c r="Y384" t="s">
        <v>535</v>
      </c>
      <c r="AB384" t="s">
        <v>201</v>
      </c>
      <c r="AC384" t="s">
        <v>247</v>
      </c>
      <c r="AD384" t="s">
        <v>222</v>
      </c>
      <c r="AE384" t="s">
        <v>221</v>
      </c>
      <c r="AG384" t="s">
        <v>121</v>
      </c>
      <c r="AH384" t="s">
        <v>327</v>
      </c>
      <c r="AI384" t="s">
        <v>121</v>
      </c>
      <c r="AJ384" t="s">
        <v>715</v>
      </c>
      <c r="AK384" t="s">
        <v>121</v>
      </c>
      <c r="AL384" t="s">
        <v>121</v>
      </c>
      <c r="AM384" t="s">
        <v>121</v>
      </c>
    </row>
    <row r="385" spans="9:39" x14ac:dyDescent="0.3">
      <c r="I385">
        <f ca="1">IF(OR(INDIRECT(A73&amp;ROW())=B93,INDIRECT(A73&amp;ROW())=B94),1,IF(AND(INDIRECT(A73&amp;ROW())=B95,INDIRECT(A96&amp;ROW())=C93),1,IF(AND(INDIRECT(A73&amp;ROW())=B95,INDIRECT(A96&amp;ROW())=C94),1,0)))</f>
        <v>1</v>
      </c>
      <c r="J385">
        <f ca="1">IF(AND(INDIRECT(A73&amp;ROW())=B95,INDIRECT(A96&amp;ROW())=C95),1,IF(AND(INDIRECT(A73&amp;ROW())=B95,INDIRECT(A96&amp;ROW())=C96),1,0))</f>
        <v>0</v>
      </c>
      <c r="K385">
        <f ca="1">DAYS360(INDIRECT(C68&amp;ROW()),TODAY())</f>
        <v>676</v>
      </c>
      <c r="L385">
        <f ca="1">DAYS360(INDIRECT(C69&amp;ROW()),TODAY())</f>
        <v>801</v>
      </c>
      <c r="M385">
        <f ca="1">HYPERLINK(CONCATENATE("https://bugzilla.houston.hp.com:1181/bugzilla/show_bug.cgi?id=",INDIRECT(C70&amp;ROW())),INDIRECT(C70&amp;ROW()))</f>
        <v>57075</v>
      </c>
      <c r="N385">
        <v>57075</v>
      </c>
      <c r="O385" t="s">
        <v>241</v>
      </c>
      <c r="P385" t="s">
        <v>722</v>
      </c>
      <c r="Q385" t="s">
        <v>39</v>
      </c>
      <c r="R385" t="s">
        <v>579</v>
      </c>
      <c r="S385" t="s">
        <v>552</v>
      </c>
      <c r="T385" t="s">
        <v>820</v>
      </c>
      <c r="U385" s="6">
        <v>42171.549432870372</v>
      </c>
      <c r="V385" t="s">
        <v>40</v>
      </c>
      <c r="W385" t="s">
        <v>576</v>
      </c>
      <c r="X385" s="6">
        <v>42046.66238425926</v>
      </c>
      <c r="Y385" t="s">
        <v>535</v>
      </c>
      <c r="AB385" t="s">
        <v>201</v>
      </c>
      <c r="AC385" t="s">
        <v>247</v>
      </c>
      <c r="AD385" t="s">
        <v>227</v>
      </c>
      <c r="AE385" t="s">
        <v>237</v>
      </c>
      <c r="AG385" t="s">
        <v>121</v>
      </c>
      <c r="AH385" t="s">
        <v>327</v>
      </c>
      <c r="AI385" t="s">
        <v>362</v>
      </c>
      <c r="AJ385" t="s">
        <v>715</v>
      </c>
      <c r="AK385" t="s">
        <v>121</v>
      </c>
      <c r="AL385" t="s">
        <v>121</v>
      </c>
      <c r="AM385" t="s">
        <v>121</v>
      </c>
    </row>
    <row r="386" spans="9:39" x14ac:dyDescent="0.3">
      <c r="I386">
        <f ca="1">IF(OR(INDIRECT(A73&amp;ROW())=B93,INDIRECT(A73&amp;ROW())=B94),1,IF(AND(INDIRECT(A73&amp;ROW())=B95,INDIRECT(A96&amp;ROW())=C93),1,IF(AND(INDIRECT(A73&amp;ROW())=B95,INDIRECT(A96&amp;ROW())=C94),1,0)))</f>
        <v>1</v>
      </c>
      <c r="J386">
        <f ca="1">IF(AND(INDIRECT(A73&amp;ROW())=B95,INDIRECT(A96&amp;ROW())=C95),1,IF(AND(INDIRECT(A73&amp;ROW())=B95,INDIRECT(A96&amp;ROW())=C96),1,0))</f>
        <v>0</v>
      </c>
      <c r="K386">
        <f ca="1">DAYS360(INDIRECT(C68&amp;ROW()),TODAY())</f>
        <v>676</v>
      </c>
      <c r="L386">
        <f ca="1">DAYS360(INDIRECT(C69&amp;ROW()),TODAY())</f>
        <v>801</v>
      </c>
      <c r="M386">
        <f ca="1">HYPERLINK(CONCATENATE("https://bugzilla.houston.hp.com:1181/bugzilla/show_bug.cgi?id=",INDIRECT(C70&amp;ROW())),INDIRECT(C70&amp;ROW()))</f>
        <v>57076</v>
      </c>
      <c r="N386">
        <v>57076</v>
      </c>
      <c r="O386" t="s">
        <v>241</v>
      </c>
      <c r="P386" t="s">
        <v>721</v>
      </c>
      <c r="Q386" t="s">
        <v>39</v>
      </c>
      <c r="R386" t="s">
        <v>248</v>
      </c>
      <c r="S386" t="s">
        <v>552</v>
      </c>
      <c r="U386" s="6">
        <v>42171.548877314817</v>
      </c>
      <c r="V386" t="s">
        <v>40</v>
      </c>
      <c r="W386" t="s">
        <v>248</v>
      </c>
      <c r="X386" s="6">
        <v>42046.666458333333</v>
      </c>
      <c r="Y386" t="s">
        <v>535</v>
      </c>
      <c r="AB386" t="s">
        <v>201</v>
      </c>
      <c r="AC386" t="s">
        <v>247</v>
      </c>
      <c r="AD386" t="s">
        <v>227</v>
      </c>
      <c r="AE386" t="s">
        <v>237</v>
      </c>
      <c r="AG386" t="s">
        <v>121</v>
      </c>
      <c r="AH386" t="s">
        <v>327</v>
      </c>
      <c r="AI386" t="s">
        <v>121</v>
      </c>
      <c r="AJ386" t="s">
        <v>715</v>
      </c>
      <c r="AK386" t="s">
        <v>121</v>
      </c>
      <c r="AL386" t="s">
        <v>121</v>
      </c>
      <c r="AM386" t="s">
        <v>121</v>
      </c>
    </row>
    <row r="387" spans="9:39" x14ac:dyDescent="0.3">
      <c r="I387">
        <f ca="1">IF(OR(INDIRECT(A73&amp;ROW())=B93,INDIRECT(A73&amp;ROW())=B94),1,IF(AND(INDIRECT(A73&amp;ROW())=B95,INDIRECT(A96&amp;ROW())=C93),1,IF(AND(INDIRECT(A73&amp;ROW())=B95,INDIRECT(A96&amp;ROW())=C94),1,0)))</f>
        <v>0</v>
      </c>
      <c r="J387">
        <f ca="1">IF(AND(INDIRECT(A73&amp;ROW())=B95,INDIRECT(A96&amp;ROW())=C95),1,IF(AND(INDIRECT(A73&amp;ROW())=B95,INDIRECT(A96&amp;ROW())=C96),1,0))</f>
        <v>1</v>
      </c>
      <c r="K387">
        <f ca="1">DAYS360(INDIRECT(C68&amp;ROW()),TODAY())</f>
        <v>752</v>
      </c>
      <c r="L387">
        <f ca="1">DAYS360(INDIRECT(C69&amp;ROW()),TODAY())</f>
        <v>795</v>
      </c>
      <c r="M387">
        <f ca="1">HYPERLINK(CONCATENATE("https://bugzilla.houston.hp.com:1181/bugzilla/show_bug.cgi?id=",INDIRECT(C70&amp;ROW())),INDIRECT(C70&amp;ROW()))</f>
        <v>57333</v>
      </c>
      <c r="N387">
        <v>57333</v>
      </c>
      <c r="O387" t="s">
        <v>56</v>
      </c>
      <c r="P387" t="s">
        <v>745</v>
      </c>
      <c r="Q387" t="s">
        <v>25</v>
      </c>
      <c r="R387" t="s">
        <v>579</v>
      </c>
      <c r="S387" t="s">
        <v>236</v>
      </c>
      <c r="T387" t="s">
        <v>610</v>
      </c>
      <c r="U387" s="6">
        <v>42093.363055555557</v>
      </c>
      <c r="V387" t="s">
        <v>18</v>
      </c>
      <c r="W387" t="s">
        <v>514</v>
      </c>
      <c r="X387" s="6">
        <v>42052.780381944445</v>
      </c>
      <c r="Y387" t="s">
        <v>535</v>
      </c>
      <c r="AB387" t="s">
        <v>201</v>
      </c>
      <c r="AC387" t="s">
        <v>247</v>
      </c>
      <c r="AD387" t="s">
        <v>220</v>
      </c>
      <c r="AE387" t="s">
        <v>219</v>
      </c>
      <c r="AG387" t="s">
        <v>121</v>
      </c>
      <c r="AH387" t="s">
        <v>327</v>
      </c>
      <c r="AI387" t="s">
        <v>362</v>
      </c>
      <c r="AJ387" t="s">
        <v>716</v>
      </c>
      <c r="AK387" t="s">
        <v>121</v>
      </c>
      <c r="AL387" t="s">
        <v>121</v>
      </c>
      <c r="AM387" t="s">
        <v>121</v>
      </c>
    </row>
    <row r="388" spans="9:39" x14ac:dyDescent="0.3">
      <c r="I388">
        <f ca="1">IF(OR(INDIRECT(A73&amp;ROW())=B93,INDIRECT(A73&amp;ROW())=B94),1,IF(AND(INDIRECT(A73&amp;ROW())=B95,INDIRECT(A96&amp;ROW())=C93),1,IF(AND(INDIRECT(A73&amp;ROW())=B95,INDIRECT(A96&amp;ROW())=C94),1,0)))</f>
        <v>0</v>
      </c>
      <c r="J388">
        <f ca="1">IF(AND(INDIRECT(A73&amp;ROW())=B95,INDIRECT(A96&amp;ROW())=C95),1,IF(AND(INDIRECT(A73&amp;ROW())=B95,INDIRECT(A96&amp;ROW())=C96),1,0))</f>
        <v>0</v>
      </c>
      <c r="K388">
        <f ca="1">DAYS360(INDIRECT(C68&amp;ROW()),TODAY())</f>
        <v>668</v>
      </c>
      <c r="L388">
        <f ca="1">DAYS360(INDIRECT(C69&amp;ROW()),TODAY())</f>
        <v>793</v>
      </c>
      <c r="M388">
        <f ca="1">HYPERLINK(CONCATENATE("https://bugzilla.houston.hp.com:1181/bugzilla/show_bug.cgi?id=",INDIRECT(C70&amp;ROW())),INDIRECT(C70&amp;ROW()))</f>
        <v>57448</v>
      </c>
      <c r="N388">
        <v>57448</v>
      </c>
      <c r="O388" t="s">
        <v>45</v>
      </c>
      <c r="P388" t="s">
        <v>759</v>
      </c>
      <c r="Q388" t="s">
        <v>16</v>
      </c>
      <c r="R388" t="s">
        <v>579</v>
      </c>
      <c r="S388" t="s">
        <v>45</v>
      </c>
      <c r="T388" t="s">
        <v>804</v>
      </c>
      <c r="U388" s="6">
        <v>42179.493807870371</v>
      </c>
      <c r="V388" t="s">
        <v>18</v>
      </c>
      <c r="W388" t="s">
        <v>17</v>
      </c>
      <c r="X388" s="6">
        <v>42054.39671296296</v>
      </c>
      <c r="Y388" t="s">
        <v>793</v>
      </c>
      <c r="AB388" t="s">
        <v>201</v>
      </c>
      <c r="AC388" t="s">
        <v>247</v>
      </c>
      <c r="AD388" t="s">
        <v>227</v>
      </c>
      <c r="AE388" t="s">
        <v>226</v>
      </c>
      <c r="AG388" t="s">
        <v>121</v>
      </c>
      <c r="AH388" t="s">
        <v>327</v>
      </c>
      <c r="AI388" t="s">
        <v>121</v>
      </c>
      <c r="AJ388" t="s">
        <v>717</v>
      </c>
      <c r="AK388" t="s">
        <v>121</v>
      </c>
      <c r="AL388" t="s">
        <v>121</v>
      </c>
      <c r="AM388" t="s">
        <v>121</v>
      </c>
    </row>
    <row r="389" spans="9:39" x14ac:dyDescent="0.3">
      <c r="I389">
        <f ca="1">IF(OR(INDIRECT(A73&amp;ROW())=B93,INDIRECT(A73&amp;ROW())=B94),1,IF(AND(INDIRECT(A73&amp;ROW())=B95,INDIRECT(A96&amp;ROW())=C93),1,IF(AND(INDIRECT(A73&amp;ROW())=B95,INDIRECT(A96&amp;ROW())=C94),1,0)))</f>
        <v>1</v>
      </c>
      <c r="J389">
        <f ca="1">IF(AND(INDIRECT(A73&amp;ROW())=B95,INDIRECT(A96&amp;ROW())=C95),1,IF(AND(INDIRECT(A73&amp;ROW())=B95,INDIRECT(A96&amp;ROW())=C96),1,0))</f>
        <v>0</v>
      </c>
      <c r="K389">
        <f ca="1">DAYS360(INDIRECT(C68&amp;ROW()),TODAY())</f>
        <v>714</v>
      </c>
      <c r="L389">
        <f ca="1">DAYS360(INDIRECT(C69&amp;ROW()),TODAY())</f>
        <v>793</v>
      </c>
      <c r="M389">
        <f ca="1">HYPERLINK(CONCATENATE("https://bugzilla.houston.hp.com:1181/bugzilla/show_bug.cgi?id=",INDIRECT(C70&amp;ROW())),INDIRECT(C70&amp;ROW()))</f>
        <v>57455</v>
      </c>
      <c r="N389">
        <v>57455</v>
      </c>
      <c r="O389" t="s">
        <v>241</v>
      </c>
      <c r="P389" t="s">
        <v>767</v>
      </c>
      <c r="Q389" t="s">
        <v>25</v>
      </c>
      <c r="R389" t="s">
        <v>251</v>
      </c>
      <c r="S389" t="s">
        <v>51</v>
      </c>
      <c r="U389" s="6">
        <v>42132.364224537036</v>
      </c>
      <c r="V389" t="s">
        <v>18</v>
      </c>
      <c r="W389" t="s">
        <v>764</v>
      </c>
      <c r="X389" s="6">
        <v>42054.467719907407</v>
      </c>
      <c r="Y389" t="s">
        <v>122</v>
      </c>
      <c r="AB389" t="s">
        <v>200</v>
      </c>
      <c r="AC389" t="s">
        <v>247</v>
      </c>
      <c r="AD389" t="s">
        <v>222</v>
      </c>
      <c r="AE389" t="s">
        <v>232</v>
      </c>
      <c r="AG389" t="s">
        <v>121</v>
      </c>
      <c r="AH389" t="s">
        <v>327</v>
      </c>
      <c r="AI389" t="s">
        <v>121</v>
      </c>
      <c r="AJ389" t="s">
        <v>715</v>
      </c>
      <c r="AK389" t="s">
        <v>121</v>
      </c>
      <c r="AL389" t="s">
        <v>121</v>
      </c>
      <c r="AM389" t="s">
        <v>121</v>
      </c>
    </row>
    <row r="390" spans="9:39" x14ac:dyDescent="0.3">
      <c r="I390">
        <f ca="1">IF(OR(INDIRECT(A73&amp;ROW())=B93,INDIRECT(A73&amp;ROW())=B94),1,IF(AND(INDIRECT(A73&amp;ROW())=B95,INDIRECT(A96&amp;ROW())=C93),1,IF(AND(INDIRECT(A73&amp;ROW())=B95,INDIRECT(A96&amp;ROW())=C94),1,0)))</f>
        <v>0</v>
      </c>
      <c r="J390">
        <f ca="1">IF(AND(INDIRECT(A73&amp;ROW())=B95,INDIRECT(A96&amp;ROW())=C95),1,IF(AND(INDIRECT(A73&amp;ROW())=B95,INDIRECT(A96&amp;ROW())=C96),1,0))</f>
        <v>0</v>
      </c>
      <c r="K390">
        <f ca="1">DAYS360(INDIRECT(C68&amp;ROW()),TODAY())</f>
        <v>721</v>
      </c>
      <c r="L390">
        <f ca="1">DAYS360(INDIRECT(C69&amp;ROW()),TODAY())</f>
        <v>793</v>
      </c>
      <c r="M390">
        <f ca="1">HYPERLINK(CONCATENATE("https://bugzilla.houston.hp.com:1181/bugzilla/show_bug.cgi?id=",INDIRECT(C70&amp;ROW())),INDIRECT(C70&amp;ROW()))</f>
        <v>57468</v>
      </c>
      <c r="N390">
        <v>57468</v>
      </c>
      <c r="O390" t="s">
        <v>56</v>
      </c>
      <c r="P390" t="s">
        <v>758</v>
      </c>
      <c r="Q390" t="s">
        <v>16</v>
      </c>
      <c r="R390" t="s">
        <v>251</v>
      </c>
      <c r="S390" t="s">
        <v>53</v>
      </c>
      <c r="U390" s="6">
        <v>42125.453761574077</v>
      </c>
      <c r="V390" t="s">
        <v>18</v>
      </c>
      <c r="W390" t="s">
        <v>17</v>
      </c>
      <c r="X390" s="6">
        <v>42054.521574074075</v>
      </c>
      <c r="Y390" t="s">
        <v>122</v>
      </c>
      <c r="AB390" t="s">
        <v>200</v>
      </c>
      <c r="AC390" t="s">
        <v>247</v>
      </c>
      <c r="AD390" t="s">
        <v>220</v>
      </c>
      <c r="AE390" t="s">
        <v>219</v>
      </c>
      <c r="AG390" t="s">
        <v>121</v>
      </c>
      <c r="AH390" t="s">
        <v>327</v>
      </c>
      <c r="AI390" t="s">
        <v>121</v>
      </c>
      <c r="AJ390" t="s">
        <v>716</v>
      </c>
      <c r="AK390" t="s">
        <v>121</v>
      </c>
      <c r="AL390" t="s">
        <v>121</v>
      </c>
      <c r="AM390" t="s">
        <v>121</v>
      </c>
    </row>
    <row r="391" spans="9:39" x14ac:dyDescent="0.3">
      <c r="I391">
        <f ca="1">IF(OR(INDIRECT(A73&amp;ROW())=B93,INDIRECT(A73&amp;ROW())=B94),1,IF(AND(INDIRECT(A73&amp;ROW())=B95,INDIRECT(A96&amp;ROW())=C93),1,IF(AND(INDIRECT(A73&amp;ROW())=B95,INDIRECT(A96&amp;ROW())=C94),1,0)))</f>
        <v>1</v>
      </c>
      <c r="J391">
        <f ca="1">IF(AND(INDIRECT(A73&amp;ROW())=B95,INDIRECT(A96&amp;ROW())=C95),1,IF(AND(INDIRECT(A73&amp;ROW())=B95,INDIRECT(A96&amp;ROW())=C96),1,0))</f>
        <v>0</v>
      </c>
      <c r="K391">
        <f ca="1">DAYS360(INDIRECT(C68&amp;ROW()),TODAY())</f>
        <v>728</v>
      </c>
      <c r="L391">
        <f ca="1">DAYS360(INDIRECT(C69&amp;ROW()),TODAY())</f>
        <v>793</v>
      </c>
      <c r="M391">
        <f ca="1">HYPERLINK(CONCATENATE("https://bugzilla.houston.hp.com:1181/bugzilla/show_bug.cgi?id=",INDIRECT(C70&amp;ROW())),INDIRECT(C70&amp;ROW()))</f>
        <v>57480</v>
      </c>
      <c r="N391">
        <v>57480</v>
      </c>
      <c r="O391" t="s">
        <v>241</v>
      </c>
      <c r="P391" t="s">
        <v>757</v>
      </c>
      <c r="Q391" t="s">
        <v>25</v>
      </c>
      <c r="R391" t="s">
        <v>579</v>
      </c>
      <c r="S391" t="s">
        <v>552</v>
      </c>
      <c r="T391" t="s">
        <v>820</v>
      </c>
      <c r="U391" s="6">
        <v>42118.292291666665</v>
      </c>
      <c r="V391" t="s">
        <v>18</v>
      </c>
      <c r="W391" t="s">
        <v>764</v>
      </c>
      <c r="X391" s="6">
        <v>42054.702291666668</v>
      </c>
      <c r="Y391" t="s">
        <v>122</v>
      </c>
      <c r="AB391" t="s">
        <v>200</v>
      </c>
      <c r="AC391" t="s">
        <v>247</v>
      </c>
      <c r="AD391" t="s">
        <v>222</v>
      </c>
      <c r="AE391" t="s">
        <v>221</v>
      </c>
      <c r="AG391" t="s">
        <v>121</v>
      </c>
      <c r="AH391" t="s">
        <v>327</v>
      </c>
      <c r="AI391" t="s">
        <v>121</v>
      </c>
      <c r="AJ391" t="s">
        <v>715</v>
      </c>
      <c r="AK391" t="s">
        <v>121</v>
      </c>
      <c r="AL391" t="s">
        <v>121</v>
      </c>
      <c r="AM391" t="s">
        <v>121</v>
      </c>
    </row>
    <row r="392" spans="9:39" x14ac:dyDescent="0.3">
      <c r="I392">
        <f ca="1">IF(OR(INDIRECT(A73&amp;ROW())=B93,INDIRECT(A73&amp;ROW())=B94),1,IF(AND(INDIRECT(A73&amp;ROW())=B95,INDIRECT(A96&amp;ROW())=C93),1,IF(AND(INDIRECT(A73&amp;ROW())=B95,INDIRECT(A96&amp;ROW())=C94),1,0)))</f>
        <v>1</v>
      </c>
      <c r="J392">
        <f ca="1">IF(AND(INDIRECT(A73&amp;ROW())=B95,INDIRECT(A96&amp;ROW())=C95),1,IF(AND(INDIRECT(A73&amp;ROW())=B95,INDIRECT(A96&amp;ROW())=C96),1,0))</f>
        <v>0</v>
      </c>
      <c r="K392">
        <f ca="1">DAYS360(INDIRECT(C68&amp;ROW()),TODAY())</f>
        <v>792</v>
      </c>
      <c r="L392">
        <f ca="1">DAYS360(INDIRECT(C69&amp;ROW()),TODAY())</f>
        <v>793</v>
      </c>
      <c r="M392">
        <f ca="1">HYPERLINK(CONCATENATE("https://bugzilla.houston.hp.com:1181/bugzilla/show_bug.cgi?id=",INDIRECT(C70&amp;ROW())),INDIRECT(C70&amp;ROW()))</f>
        <v>57481</v>
      </c>
      <c r="N392">
        <v>57481</v>
      </c>
      <c r="O392" t="s">
        <v>241</v>
      </c>
      <c r="P392" t="s">
        <v>756</v>
      </c>
      <c r="Q392" t="s">
        <v>25</v>
      </c>
      <c r="R392" t="s">
        <v>248</v>
      </c>
      <c r="S392" t="s">
        <v>552</v>
      </c>
      <c r="U392" s="6">
        <v>42055.636655092596</v>
      </c>
      <c r="V392" t="s">
        <v>18</v>
      </c>
      <c r="W392" t="s">
        <v>764</v>
      </c>
      <c r="X392" s="6">
        <v>42054.702337962961</v>
      </c>
      <c r="Y392" t="s">
        <v>122</v>
      </c>
      <c r="AB392" t="s">
        <v>200</v>
      </c>
      <c r="AC392" t="s">
        <v>247</v>
      </c>
      <c r="AD392" t="s">
        <v>222</v>
      </c>
      <c r="AE392" t="s">
        <v>221</v>
      </c>
      <c r="AG392" t="s">
        <v>121</v>
      </c>
      <c r="AH392" t="s">
        <v>327</v>
      </c>
      <c r="AI392" t="s">
        <v>121</v>
      </c>
      <c r="AJ392" t="s">
        <v>715</v>
      </c>
      <c r="AK392" t="s">
        <v>121</v>
      </c>
      <c r="AL392" t="s">
        <v>121</v>
      </c>
      <c r="AM392" t="s">
        <v>121</v>
      </c>
    </row>
    <row r="393" spans="9:39" x14ac:dyDescent="0.3">
      <c r="I393">
        <f ca="1">IF(OR(INDIRECT(A73&amp;ROW())=B93,INDIRECT(A73&amp;ROW())=B94),1,IF(AND(INDIRECT(A73&amp;ROW())=B95,INDIRECT(A96&amp;ROW())=C93),1,IF(AND(INDIRECT(A73&amp;ROW())=B95,INDIRECT(A96&amp;ROW())=C94),1,0)))</f>
        <v>0</v>
      </c>
      <c r="J393">
        <f ca="1">IF(AND(INDIRECT(A73&amp;ROW())=B95,INDIRECT(A96&amp;ROW())=C95),1,IF(AND(INDIRECT(A73&amp;ROW())=B95,INDIRECT(A96&amp;ROW())=C96),1,0))</f>
        <v>0</v>
      </c>
      <c r="K393">
        <f ca="1">DAYS360(INDIRECT(C68&amp;ROW()),TODAY())</f>
        <v>721</v>
      </c>
      <c r="L393">
        <f ca="1">DAYS360(INDIRECT(C69&amp;ROW()),TODAY())</f>
        <v>793</v>
      </c>
      <c r="M393">
        <f ca="1">HYPERLINK(CONCATENATE("https://bugzilla.houston.hp.com:1181/bugzilla/show_bug.cgi?id=",INDIRECT(C70&amp;ROW())),INDIRECT(C70&amp;ROW()))</f>
        <v>57493</v>
      </c>
      <c r="N393">
        <v>57493</v>
      </c>
      <c r="O393" t="s">
        <v>56</v>
      </c>
      <c r="P393" t="s">
        <v>755</v>
      </c>
      <c r="Q393" t="s">
        <v>16</v>
      </c>
      <c r="R393" t="s">
        <v>248</v>
      </c>
      <c r="S393" t="s">
        <v>552</v>
      </c>
      <c r="U393" s="6">
        <v>42125.453750000001</v>
      </c>
      <c r="V393" t="s">
        <v>18</v>
      </c>
      <c r="W393" t="s">
        <v>324</v>
      </c>
      <c r="X393" s="6">
        <v>42054.703506944446</v>
      </c>
      <c r="Y393" t="s">
        <v>122</v>
      </c>
      <c r="AB393" t="s">
        <v>200</v>
      </c>
      <c r="AC393" t="s">
        <v>247</v>
      </c>
      <c r="AD393" t="s">
        <v>220</v>
      </c>
      <c r="AE393" t="s">
        <v>219</v>
      </c>
      <c r="AG393" t="s">
        <v>121</v>
      </c>
      <c r="AH393" t="s">
        <v>327</v>
      </c>
      <c r="AI393" t="s">
        <v>121</v>
      </c>
      <c r="AJ393" t="s">
        <v>716</v>
      </c>
      <c r="AK393" t="s">
        <v>121</v>
      </c>
      <c r="AL393" t="s">
        <v>121</v>
      </c>
      <c r="AM393" t="s">
        <v>121</v>
      </c>
    </row>
    <row r="394" spans="9:39" x14ac:dyDescent="0.3">
      <c r="I394">
        <f ca="1">IF(OR(INDIRECT(A73&amp;ROW())=B93,INDIRECT(A73&amp;ROW())=B94),1,IF(AND(INDIRECT(A73&amp;ROW())=B95,INDIRECT(A96&amp;ROW())=C93),1,IF(AND(INDIRECT(A73&amp;ROW())=B95,INDIRECT(A96&amp;ROW())=C94),1,0)))</f>
        <v>1</v>
      </c>
      <c r="J394">
        <f ca="1">IF(AND(INDIRECT(A73&amp;ROW())=B95,INDIRECT(A96&amp;ROW())=C95),1,IF(AND(INDIRECT(A73&amp;ROW())=B95,INDIRECT(A96&amp;ROW())=C96),1,0))</f>
        <v>0</v>
      </c>
      <c r="K394">
        <f ca="1">DAYS360(INDIRECT(C68&amp;ROW()),TODAY())</f>
        <v>662</v>
      </c>
      <c r="L394">
        <f ca="1">DAYS360(INDIRECT(C69&amp;ROW()),TODAY())</f>
        <v>792</v>
      </c>
      <c r="M394">
        <f ca="1">HYPERLINK(CONCATENATE("https://bugzilla.houston.hp.com:1181/bugzilla/show_bug.cgi?id=",INDIRECT(C70&amp;ROW())),INDIRECT(C70&amp;ROW()))</f>
        <v>57519</v>
      </c>
      <c r="N394">
        <v>57519</v>
      </c>
      <c r="O394" t="s">
        <v>187</v>
      </c>
      <c r="P394" t="s">
        <v>1400</v>
      </c>
      <c r="Q394" t="s">
        <v>39</v>
      </c>
      <c r="R394" t="s">
        <v>251</v>
      </c>
      <c r="S394" t="s">
        <v>1401</v>
      </c>
      <c r="U394" s="6">
        <v>42185.335520833331</v>
      </c>
      <c r="V394" t="s">
        <v>40</v>
      </c>
      <c r="W394" t="s">
        <v>1375</v>
      </c>
      <c r="X394" s="6">
        <v>42055.140486111108</v>
      </c>
      <c r="Y394" t="s">
        <v>125</v>
      </c>
      <c r="AB394" t="s">
        <v>201</v>
      </c>
      <c r="AC394" t="s">
        <v>247</v>
      </c>
      <c r="AD394" t="s">
        <v>220</v>
      </c>
      <c r="AE394" t="s">
        <v>219</v>
      </c>
      <c r="AG394" t="s">
        <v>121</v>
      </c>
      <c r="AH394" t="s">
        <v>327</v>
      </c>
      <c r="AI394" t="s">
        <v>121</v>
      </c>
      <c r="AJ394" t="s">
        <v>715</v>
      </c>
      <c r="AK394" t="s">
        <v>121</v>
      </c>
      <c r="AL394" t="s">
        <v>121</v>
      </c>
      <c r="AM394" t="s">
        <v>121</v>
      </c>
    </row>
    <row r="395" spans="9:39" x14ac:dyDescent="0.3">
      <c r="I395">
        <f ca="1">IF(OR(INDIRECT(A73&amp;ROW())=B93,INDIRECT(A73&amp;ROW())=B94),1,IF(AND(INDIRECT(A73&amp;ROW())=B95,INDIRECT(A96&amp;ROW())=C93),1,IF(AND(INDIRECT(A73&amp;ROW())=B95,INDIRECT(A96&amp;ROW())=C94),1,0)))</f>
        <v>1</v>
      </c>
      <c r="J395">
        <f ca="1">IF(AND(INDIRECT(A73&amp;ROW())=B95,INDIRECT(A96&amp;ROW())=C95),1,IF(AND(INDIRECT(A73&amp;ROW())=B95,INDIRECT(A96&amp;ROW())=C96),1,0))</f>
        <v>0</v>
      </c>
      <c r="K395">
        <f ca="1">DAYS360(INDIRECT(C68&amp;ROW()),TODAY())</f>
        <v>613</v>
      </c>
      <c r="L395">
        <f ca="1">DAYS360(INDIRECT(C69&amp;ROW()),TODAY())</f>
        <v>792</v>
      </c>
      <c r="M395">
        <f ca="1">HYPERLINK(CONCATENATE("https://bugzilla.houston.hp.com:1181/bugzilla/show_bug.cgi?id=",INDIRECT(C70&amp;ROW())),INDIRECT(C70&amp;ROW()))</f>
        <v>57541</v>
      </c>
      <c r="N395">
        <v>57541</v>
      </c>
      <c r="O395" t="s">
        <v>56</v>
      </c>
      <c r="P395" t="s">
        <v>1402</v>
      </c>
      <c r="Q395" t="s">
        <v>39</v>
      </c>
      <c r="R395" t="s">
        <v>1403</v>
      </c>
      <c r="S395" t="s">
        <v>552</v>
      </c>
      <c r="T395" t="s">
        <v>1404</v>
      </c>
      <c r="U395" s="6">
        <v>42235.339050925926</v>
      </c>
      <c r="V395" t="s">
        <v>40</v>
      </c>
      <c r="W395" t="s">
        <v>1375</v>
      </c>
      <c r="X395" s="6">
        <v>42055.263402777775</v>
      </c>
      <c r="Y395" t="s">
        <v>125</v>
      </c>
      <c r="AB395" t="s">
        <v>201</v>
      </c>
      <c r="AC395" t="s">
        <v>247</v>
      </c>
      <c r="AD395" t="s">
        <v>220</v>
      </c>
      <c r="AE395" t="s">
        <v>219</v>
      </c>
      <c r="AG395" t="s">
        <v>121</v>
      </c>
      <c r="AH395" t="s">
        <v>327</v>
      </c>
      <c r="AI395" t="s">
        <v>121</v>
      </c>
      <c r="AJ395" t="s">
        <v>715</v>
      </c>
      <c r="AK395" t="s">
        <v>121</v>
      </c>
      <c r="AL395" t="s">
        <v>121</v>
      </c>
      <c r="AM395" t="s">
        <v>121</v>
      </c>
    </row>
    <row r="396" spans="9:39" x14ac:dyDescent="0.3">
      <c r="I396">
        <f ca="1">IF(OR(INDIRECT(A73&amp;ROW())=B93,INDIRECT(A73&amp;ROW())=B94),1,IF(AND(INDIRECT(A73&amp;ROW())=B95,INDIRECT(A96&amp;ROW())=C93),1,IF(AND(INDIRECT(A73&amp;ROW())=B95,INDIRECT(A96&amp;ROW())=C94),1,0)))</f>
        <v>0</v>
      </c>
      <c r="J396">
        <f ca="1">IF(AND(INDIRECT(A73&amp;ROW())=B95,INDIRECT(A96&amp;ROW())=C95),1,IF(AND(INDIRECT(A73&amp;ROW())=B95,INDIRECT(A96&amp;ROW())=C96),1,0))</f>
        <v>0</v>
      </c>
      <c r="K396">
        <f ca="1">DAYS360(INDIRECT(C68&amp;ROW()),TODAY())</f>
        <v>721</v>
      </c>
      <c r="L396">
        <f ca="1">DAYS360(INDIRECT(C69&amp;ROW()),TODAY())</f>
        <v>792</v>
      </c>
      <c r="M396">
        <f ca="1">HYPERLINK(CONCATENATE("https://bugzilla.houston.hp.com:1181/bugzilla/show_bug.cgi?id=",INDIRECT(C70&amp;ROW())),INDIRECT(C70&amp;ROW()))</f>
        <v>57564</v>
      </c>
      <c r="N396">
        <v>57564</v>
      </c>
      <c r="O396" t="s">
        <v>36</v>
      </c>
      <c r="P396" t="s">
        <v>751</v>
      </c>
      <c r="Q396" t="s">
        <v>16</v>
      </c>
      <c r="R396" t="s">
        <v>248</v>
      </c>
      <c r="S396" t="s">
        <v>552</v>
      </c>
      <c r="U396" s="6">
        <v>42125.453009259261</v>
      </c>
      <c r="V396" t="s">
        <v>18</v>
      </c>
      <c r="W396" t="s">
        <v>372</v>
      </c>
      <c r="X396" s="6">
        <v>42055.2655787037</v>
      </c>
      <c r="Y396" t="s">
        <v>122</v>
      </c>
      <c r="AB396" t="s">
        <v>201</v>
      </c>
      <c r="AC396" t="s">
        <v>247</v>
      </c>
      <c r="AD396" t="s">
        <v>222</v>
      </c>
      <c r="AE396" t="s">
        <v>240</v>
      </c>
      <c r="AG396" t="s">
        <v>121</v>
      </c>
      <c r="AH396" t="s">
        <v>327</v>
      </c>
      <c r="AI396" t="s">
        <v>121</v>
      </c>
      <c r="AJ396" t="s">
        <v>716</v>
      </c>
      <c r="AK396" t="s">
        <v>121</v>
      </c>
      <c r="AL396" t="s">
        <v>121</v>
      </c>
      <c r="AM396" t="s">
        <v>121</v>
      </c>
    </row>
    <row r="397" spans="9:39" x14ac:dyDescent="0.3">
      <c r="I397">
        <f ca="1">IF(OR(INDIRECT(A73&amp;ROW())=B93,INDIRECT(A73&amp;ROW())=B94),1,IF(AND(INDIRECT(A73&amp;ROW())=B95,INDIRECT(A96&amp;ROW())=C93),1,IF(AND(INDIRECT(A73&amp;ROW())=B95,INDIRECT(A96&amp;ROW())=C94),1,0)))</f>
        <v>0</v>
      </c>
      <c r="J397">
        <f ca="1">IF(AND(INDIRECT(A73&amp;ROW())=B95,INDIRECT(A96&amp;ROW())=C95),1,IF(AND(INDIRECT(A73&amp;ROW())=B95,INDIRECT(A96&amp;ROW())=C96),1,0))</f>
        <v>0</v>
      </c>
      <c r="K397">
        <f ca="1">DAYS360(INDIRECT(C68&amp;ROW()),TODAY())</f>
        <v>792</v>
      </c>
      <c r="L397">
        <f ca="1">DAYS360(INDIRECT(C69&amp;ROW()),TODAY())</f>
        <v>792</v>
      </c>
      <c r="M397">
        <f ca="1">HYPERLINK(CONCATENATE("https://bugzilla.houston.hp.com:1181/bugzilla/show_bug.cgi?id=",INDIRECT(C70&amp;ROW())),INDIRECT(C70&amp;ROW()))</f>
        <v>57579</v>
      </c>
      <c r="N397">
        <v>57579</v>
      </c>
      <c r="O397" t="s">
        <v>66</v>
      </c>
      <c r="P397" t="s">
        <v>1405</v>
      </c>
      <c r="Q397" t="s">
        <v>16</v>
      </c>
      <c r="R397" t="s">
        <v>1351</v>
      </c>
      <c r="S397" t="s">
        <v>552</v>
      </c>
      <c r="U397" s="6">
        <v>42055.267141203702</v>
      </c>
      <c r="V397" t="s">
        <v>18</v>
      </c>
      <c r="W397" t="s">
        <v>322</v>
      </c>
      <c r="X397" s="6">
        <v>42055.267141203702</v>
      </c>
      <c r="Y397" t="s">
        <v>124</v>
      </c>
      <c r="AB397" t="s">
        <v>201</v>
      </c>
      <c r="AC397" t="s">
        <v>247</v>
      </c>
      <c r="AD397" t="s">
        <v>220</v>
      </c>
      <c r="AE397" t="s">
        <v>219</v>
      </c>
      <c r="AG397" t="s">
        <v>121</v>
      </c>
      <c r="AH397" t="s">
        <v>327</v>
      </c>
      <c r="AI397" t="s">
        <v>121</v>
      </c>
      <c r="AJ397" t="s">
        <v>717</v>
      </c>
      <c r="AK397" t="s">
        <v>121</v>
      </c>
      <c r="AL397" t="s">
        <v>121</v>
      </c>
      <c r="AM397" t="s">
        <v>121</v>
      </c>
    </row>
    <row r="398" spans="9:39" x14ac:dyDescent="0.3">
      <c r="I398">
        <f ca="1">IF(OR(INDIRECT(A73&amp;ROW())=B93,INDIRECT(A73&amp;ROW())=B94),1,IF(AND(INDIRECT(A73&amp;ROW())=B95,INDIRECT(A96&amp;ROW())=C93),1,IF(AND(INDIRECT(A73&amp;ROW())=B95,INDIRECT(A96&amp;ROW())=C94),1,0)))</f>
        <v>0</v>
      </c>
      <c r="J398">
        <f ca="1">IF(AND(INDIRECT(A73&amp;ROW())=B95,INDIRECT(A96&amp;ROW())=C95),1,IF(AND(INDIRECT(A73&amp;ROW())=B95,INDIRECT(A96&amp;ROW())=C96),1,0))</f>
        <v>0</v>
      </c>
      <c r="K398">
        <f ca="1">DAYS360(INDIRECT(C68&amp;ROW()),TODAY())</f>
        <v>638</v>
      </c>
      <c r="L398">
        <f ca="1">DAYS360(INDIRECT(C69&amp;ROW()),TODAY())</f>
        <v>792</v>
      </c>
      <c r="M398">
        <f ca="1">HYPERLINK(CONCATENATE("https://bugzilla.houston.hp.com:1181/bugzilla/show_bug.cgi?id=",INDIRECT(C70&amp;ROW())),INDIRECT(C70&amp;ROW()))</f>
        <v>57580</v>
      </c>
      <c r="N398">
        <v>57580</v>
      </c>
      <c r="O398" t="s">
        <v>56</v>
      </c>
      <c r="P398" t="s">
        <v>1406</v>
      </c>
      <c r="Q398" t="s">
        <v>16</v>
      </c>
      <c r="R398" t="s">
        <v>1389</v>
      </c>
      <c r="S398" t="s">
        <v>552</v>
      </c>
      <c r="U398" s="6">
        <v>42209.269953703704</v>
      </c>
      <c r="V398" t="s">
        <v>18</v>
      </c>
      <c r="W398" t="s">
        <v>322</v>
      </c>
      <c r="X398" s="6">
        <v>42055.267210648148</v>
      </c>
      <c r="Y398" t="s">
        <v>124</v>
      </c>
      <c r="AB398" t="s">
        <v>201</v>
      </c>
      <c r="AC398" t="s">
        <v>247</v>
      </c>
      <c r="AD398" t="s">
        <v>220</v>
      </c>
      <c r="AE398" t="s">
        <v>219</v>
      </c>
      <c r="AG398" t="s">
        <v>121</v>
      </c>
      <c r="AH398" t="s">
        <v>327</v>
      </c>
      <c r="AI398" t="s">
        <v>121</v>
      </c>
      <c r="AJ398" t="s">
        <v>717</v>
      </c>
      <c r="AK398" t="s">
        <v>121</v>
      </c>
      <c r="AL398" t="s">
        <v>121</v>
      </c>
      <c r="AM398" t="s">
        <v>121</v>
      </c>
    </row>
    <row r="399" spans="9:39" x14ac:dyDescent="0.3">
      <c r="I399">
        <f ca="1">IF(OR(INDIRECT(A73&amp;ROW())=B93,INDIRECT(A73&amp;ROW())=B94),1,IF(AND(INDIRECT(A73&amp;ROW())=B95,INDIRECT(A96&amp;ROW())=C93),1,IF(AND(INDIRECT(A73&amp;ROW())=B95,INDIRECT(A96&amp;ROW())=C94),1,0)))</f>
        <v>0</v>
      </c>
      <c r="J399">
        <f ca="1">IF(AND(INDIRECT(A73&amp;ROW())=B95,INDIRECT(A96&amp;ROW())=C95),1,IF(AND(INDIRECT(A73&amp;ROW())=B95,INDIRECT(A96&amp;ROW())=C96),1,0))</f>
        <v>0</v>
      </c>
      <c r="K399">
        <f ca="1">DAYS360(INDIRECT(C68&amp;ROW()),TODAY())</f>
        <v>792</v>
      </c>
      <c r="L399">
        <f ca="1">DAYS360(INDIRECT(C69&amp;ROW()),TODAY())</f>
        <v>792</v>
      </c>
      <c r="M399">
        <f ca="1">HYPERLINK(CONCATENATE("https://bugzilla.houston.hp.com:1181/bugzilla/show_bug.cgi?id=",INDIRECT(C70&amp;ROW())),INDIRECT(C70&amp;ROW()))</f>
        <v>57582</v>
      </c>
      <c r="N399">
        <v>57582</v>
      </c>
      <c r="O399" t="s">
        <v>66</v>
      </c>
      <c r="P399" t="s">
        <v>750</v>
      </c>
      <c r="Q399" t="s">
        <v>16</v>
      </c>
      <c r="R399" t="s">
        <v>248</v>
      </c>
      <c r="S399" t="s">
        <v>552</v>
      </c>
      <c r="U399" s="6">
        <v>42055.267337962963</v>
      </c>
      <c r="V399" t="s">
        <v>18</v>
      </c>
      <c r="W399" t="s">
        <v>322</v>
      </c>
      <c r="X399" s="6">
        <v>42055.267337962963</v>
      </c>
      <c r="Y399" t="s">
        <v>124</v>
      </c>
      <c r="AB399" t="s">
        <v>201</v>
      </c>
      <c r="AC399" t="s">
        <v>247</v>
      </c>
      <c r="AD399" t="s">
        <v>220</v>
      </c>
      <c r="AE399" t="s">
        <v>219</v>
      </c>
      <c r="AG399" t="s">
        <v>121</v>
      </c>
      <c r="AH399" t="s">
        <v>327</v>
      </c>
      <c r="AI399" t="s">
        <v>121</v>
      </c>
      <c r="AJ399" t="s">
        <v>717</v>
      </c>
      <c r="AK399" t="s">
        <v>121</v>
      </c>
      <c r="AL399" t="s">
        <v>121</v>
      </c>
      <c r="AM399" t="s">
        <v>121</v>
      </c>
    </row>
    <row r="400" spans="9:39" x14ac:dyDescent="0.3">
      <c r="I400">
        <f ca="1">IF(OR(INDIRECT(A73&amp;ROW())=B93,INDIRECT(A73&amp;ROW())=B94),1,IF(AND(INDIRECT(A73&amp;ROW())=B95,INDIRECT(A96&amp;ROW())=C93),1,IF(AND(INDIRECT(A73&amp;ROW())=B95,INDIRECT(A96&amp;ROW())=C94),1,0)))</f>
        <v>0</v>
      </c>
      <c r="J400">
        <f ca="1">IF(AND(INDIRECT(A73&amp;ROW())=B95,INDIRECT(A96&amp;ROW())=C95),1,IF(AND(INDIRECT(A73&amp;ROW())=B95,INDIRECT(A96&amp;ROW())=C96),1,0))</f>
        <v>1</v>
      </c>
      <c r="K400">
        <f ca="1">DAYS360(INDIRECT(C68&amp;ROW()),TODAY())</f>
        <v>721</v>
      </c>
      <c r="L400">
        <f ca="1">DAYS360(INDIRECT(C69&amp;ROW()),TODAY())</f>
        <v>792</v>
      </c>
      <c r="M400">
        <f ca="1">HYPERLINK(CONCATENATE("https://bugzilla.houston.hp.com:1181/bugzilla/show_bug.cgi?id=",INDIRECT(C70&amp;ROW())),INDIRECT(C70&amp;ROW()))</f>
        <v>57591</v>
      </c>
      <c r="N400">
        <v>57591</v>
      </c>
      <c r="O400" t="s">
        <v>66</v>
      </c>
      <c r="P400" t="s">
        <v>1407</v>
      </c>
      <c r="Q400" t="s">
        <v>25</v>
      </c>
      <c r="R400" t="s">
        <v>1351</v>
      </c>
      <c r="S400" t="s">
        <v>552</v>
      </c>
      <c r="U400" s="6">
        <v>42125.449803240743</v>
      </c>
      <c r="V400" t="s">
        <v>18</v>
      </c>
      <c r="W400" t="s">
        <v>372</v>
      </c>
      <c r="X400" s="6">
        <v>42055.268229166664</v>
      </c>
      <c r="Y400" t="s">
        <v>122</v>
      </c>
      <c r="AB400" t="s">
        <v>201</v>
      </c>
      <c r="AC400" t="s">
        <v>247</v>
      </c>
      <c r="AD400" t="s">
        <v>220</v>
      </c>
      <c r="AE400" t="s">
        <v>219</v>
      </c>
      <c r="AG400" t="s">
        <v>121</v>
      </c>
      <c r="AH400" t="s">
        <v>327</v>
      </c>
      <c r="AI400" t="s">
        <v>121</v>
      </c>
      <c r="AJ400" t="s">
        <v>716</v>
      </c>
      <c r="AK400" t="s">
        <v>121</v>
      </c>
      <c r="AL400" t="s">
        <v>121</v>
      </c>
      <c r="AM400" t="s">
        <v>121</v>
      </c>
    </row>
    <row r="401" spans="9:39" x14ac:dyDescent="0.3">
      <c r="I401">
        <f ca="1">IF(OR(INDIRECT(A73&amp;ROW())=B93,INDIRECT(A73&amp;ROW())=B94),1,IF(AND(INDIRECT(A73&amp;ROW())=B95,INDIRECT(A96&amp;ROW())=C93),1,IF(AND(INDIRECT(A73&amp;ROW())=B95,INDIRECT(A96&amp;ROW())=C94),1,0)))</f>
        <v>0</v>
      </c>
      <c r="J401">
        <f ca="1">IF(AND(INDIRECT(A73&amp;ROW())=B95,INDIRECT(A96&amp;ROW())=C95),1,IF(AND(INDIRECT(A73&amp;ROW())=B95,INDIRECT(A96&amp;ROW())=C96),1,0))</f>
        <v>1</v>
      </c>
      <c r="K401">
        <f ca="1">DAYS360(INDIRECT(C68&amp;ROW()),TODAY())</f>
        <v>638</v>
      </c>
      <c r="L401">
        <f ca="1">DAYS360(INDIRECT(C69&amp;ROW()),TODAY())</f>
        <v>792</v>
      </c>
      <c r="M401">
        <f ca="1">HYPERLINK(CONCATENATE("https://bugzilla.houston.hp.com:1181/bugzilla/show_bug.cgi?id=",INDIRECT(C70&amp;ROW())),INDIRECT(C70&amp;ROW()))</f>
        <v>57592</v>
      </c>
      <c r="N401">
        <v>57592</v>
      </c>
      <c r="O401" t="s">
        <v>56</v>
      </c>
      <c r="P401" t="s">
        <v>1408</v>
      </c>
      <c r="Q401" t="s">
        <v>25</v>
      </c>
      <c r="R401" t="s">
        <v>1389</v>
      </c>
      <c r="S401" t="s">
        <v>552</v>
      </c>
      <c r="U401" s="6">
        <v>42209.26939814815</v>
      </c>
      <c r="V401" t="s">
        <v>18</v>
      </c>
      <c r="W401" t="s">
        <v>372</v>
      </c>
      <c r="X401" s="6">
        <v>42055.268321759257</v>
      </c>
      <c r="Y401" t="s">
        <v>122</v>
      </c>
      <c r="AB401" t="s">
        <v>201</v>
      </c>
      <c r="AC401" t="s">
        <v>247</v>
      </c>
      <c r="AD401" t="s">
        <v>220</v>
      </c>
      <c r="AE401" t="s">
        <v>219</v>
      </c>
      <c r="AG401" t="s">
        <v>121</v>
      </c>
      <c r="AH401" t="s">
        <v>327</v>
      </c>
      <c r="AI401" t="s">
        <v>121</v>
      </c>
      <c r="AJ401" t="s">
        <v>716</v>
      </c>
      <c r="AK401" t="s">
        <v>121</v>
      </c>
      <c r="AL401" t="s">
        <v>121</v>
      </c>
      <c r="AM401" t="s">
        <v>121</v>
      </c>
    </row>
    <row r="402" spans="9:39" x14ac:dyDescent="0.3">
      <c r="I402">
        <f ca="1">IF(OR(INDIRECT(A73&amp;ROW())=B93,INDIRECT(A73&amp;ROW())=B94),1,IF(AND(INDIRECT(A73&amp;ROW())=B95,INDIRECT(A96&amp;ROW())=C93),1,IF(AND(INDIRECT(A73&amp;ROW())=B95,INDIRECT(A96&amp;ROW())=C94),1,0)))</f>
        <v>0</v>
      </c>
      <c r="J402">
        <f ca="1">IF(AND(INDIRECT(A73&amp;ROW())=B95,INDIRECT(A96&amp;ROW())=C95),1,IF(AND(INDIRECT(A73&amp;ROW())=B95,INDIRECT(A96&amp;ROW())=C96),1,0))</f>
        <v>1</v>
      </c>
      <c r="K402">
        <f ca="1">DAYS360(INDIRECT(C68&amp;ROW()),TODAY())</f>
        <v>721</v>
      </c>
      <c r="L402">
        <f ca="1">DAYS360(INDIRECT(C69&amp;ROW()),TODAY())</f>
        <v>792</v>
      </c>
      <c r="M402">
        <f ca="1">HYPERLINK(CONCATENATE("https://bugzilla.houston.hp.com:1181/bugzilla/show_bug.cgi?id=",INDIRECT(C70&amp;ROW())),INDIRECT(C70&amp;ROW()))</f>
        <v>57594</v>
      </c>
      <c r="N402">
        <v>57594</v>
      </c>
      <c r="O402" t="s">
        <v>66</v>
      </c>
      <c r="P402" t="s">
        <v>749</v>
      </c>
      <c r="Q402" t="s">
        <v>25</v>
      </c>
      <c r="R402" t="s">
        <v>248</v>
      </c>
      <c r="S402" t="s">
        <v>552</v>
      </c>
      <c r="U402" s="6">
        <v>42125.450868055559</v>
      </c>
      <c r="V402" t="s">
        <v>18</v>
      </c>
      <c r="W402" t="s">
        <v>372</v>
      </c>
      <c r="X402" s="6">
        <v>42055.268506944441</v>
      </c>
      <c r="Y402" t="s">
        <v>122</v>
      </c>
      <c r="AB402" t="s">
        <v>201</v>
      </c>
      <c r="AC402" t="s">
        <v>247</v>
      </c>
      <c r="AD402" t="s">
        <v>220</v>
      </c>
      <c r="AE402" t="s">
        <v>219</v>
      </c>
      <c r="AG402" t="s">
        <v>121</v>
      </c>
      <c r="AH402" t="s">
        <v>327</v>
      </c>
      <c r="AI402" t="s">
        <v>121</v>
      </c>
      <c r="AJ402" t="s">
        <v>716</v>
      </c>
      <c r="AK402" t="s">
        <v>121</v>
      </c>
      <c r="AL402" t="s">
        <v>121</v>
      </c>
      <c r="AM402" t="s">
        <v>121</v>
      </c>
    </row>
    <row r="403" spans="9:39" x14ac:dyDescent="0.3">
      <c r="I403">
        <f ca="1">IF(OR(INDIRECT(A73&amp;ROW())=B93,INDIRECT(A73&amp;ROW())=B94),1,IF(AND(INDIRECT(A73&amp;ROW())=B95,INDIRECT(A96&amp;ROW())=C93),1,IF(AND(INDIRECT(A73&amp;ROW())=B95,INDIRECT(A96&amp;ROW())=C94),1,0)))</f>
        <v>1</v>
      </c>
      <c r="J403">
        <f ca="1">IF(AND(INDIRECT(A73&amp;ROW())=B95,INDIRECT(A96&amp;ROW())=C95),1,IF(AND(INDIRECT(A73&amp;ROW())=B95,INDIRECT(A96&amp;ROW())=C96),1,0))</f>
        <v>0</v>
      </c>
      <c r="K403">
        <f ca="1">DAYS360(INDIRECT(C68&amp;ROW()),TODAY())</f>
        <v>735</v>
      </c>
      <c r="L403">
        <f ca="1">DAYS360(INDIRECT(C69&amp;ROW()),TODAY())</f>
        <v>792</v>
      </c>
      <c r="M403">
        <f ca="1">HYPERLINK(CONCATENATE("https://bugzilla.houston.hp.com:1181/bugzilla/show_bug.cgi?id=",INDIRECT(C70&amp;ROW())),INDIRECT(C70&amp;ROW()))</f>
        <v>57652</v>
      </c>
      <c r="N403">
        <v>57652</v>
      </c>
      <c r="O403" t="s">
        <v>50</v>
      </c>
      <c r="P403" t="s">
        <v>760</v>
      </c>
      <c r="Q403" t="s">
        <v>25</v>
      </c>
      <c r="R403" t="s">
        <v>579</v>
      </c>
      <c r="S403" t="s">
        <v>44</v>
      </c>
      <c r="T403" t="s">
        <v>820</v>
      </c>
      <c r="U403" s="6">
        <v>42111.527303240742</v>
      </c>
      <c r="V403" t="s">
        <v>18</v>
      </c>
      <c r="W403" t="s">
        <v>215</v>
      </c>
      <c r="X403" s="6">
        <v>42055.521377314813</v>
      </c>
      <c r="Y403" t="s">
        <v>119</v>
      </c>
      <c r="AB403" t="s">
        <v>200</v>
      </c>
      <c r="AC403" t="s">
        <v>121</v>
      </c>
      <c r="AD403" t="s">
        <v>227</v>
      </c>
      <c r="AE403" t="s">
        <v>226</v>
      </c>
      <c r="AG403" t="s">
        <v>121</v>
      </c>
      <c r="AH403" t="s">
        <v>327</v>
      </c>
      <c r="AI403" t="s">
        <v>362</v>
      </c>
      <c r="AJ403" t="s">
        <v>715</v>
      </c>
      <c r="AK403" t="s">
        <v>121</v>
      </c>
      <c r="AL403" t="s">
        <v>121</v>
      </c>
      <c r="AM403" t="s">
        <v>121</v>
      </c>
    </row>
    <row r="404" spans="9:39" x14ac:dyDescent="0.3">
      <c r="I404">
        <f ca="1">IF(OR(INDIRECT(A73&amp;ROW())=B93,INDIRECT(A73&amp;ROW())=B94),1,IF(AND(INDIRECT(A73&amp;ROW())=B95,INDIRECT(A96&amp;ROW())=C93),1,IF(AND(INDIRECT(A73&amp;ROW())=B95,INDIRECT(A96&amp;ROW())=C94),1,0)))</f>
        <v>0</v>
      </c>
      <c r="J404">
        <f ca="1">IF(AND(INDIRECT(A73&amp;ROW())=B95,INDIRECT(A96&amp;ROW())=C95),1,IF(AND(INDIRECT(A73&amp;ROW())=B95,INDIRECT(A96&amp;ROW())=C96),1,0))</f>
        <v>1</v>
      </c>
      <c r="K404">
        <f ca="1">DAYS360(INDIRECT(C68&amp;ROW()),TODAY())</f>
        <v>721</v>
      </c>
      <c r="L404">
        <f ca="1">DAYS360(INDIRECT(C69&amp;ROW()),TODAY())</f>
        <v>781</v>
      </c>
      <c r="M404">
        <f ca="1">HYPERLINK(CONCATENATE("https://bugzilla.houston.hp.com:1181/bugzilla/show_bug.cgi?id=",INDIRECT(C70&amp;ROW())),INDIRECT(C70&amp;ROW()))</f>
        <v>57963</v>
      </c>
      <c r="N404">
        <v>57963</v>
      </c>
      <c r="O404" t="s">
        <v>241</v>
      </c>
      <c r="P404" t="s">
        <v>778</v>
      </c>
      <c r="Q404" t="s">
        <v>25</v>
      </c>
      <c r="R404" t="s">
        <v>251</v>
      </c>
      <c r="S404" t="s">
        <v>236</v>
      </c>
      <c r="U404" s="6">
        <v>42125.683368055557</v>
      </c>
      <c r="V404" t="s">
        <v>18</v>
      </c>
      <c r="W404" t="s">
        <v>17</v>
      </c>
      <c r="X404" s="6">
        <v>42064.456296296295</v>
      </c>
      <c r="Y404" t="s">
        <v>255</v>
      </c>
      <c r="AB404" t="s">
        <v>201</v>
      </c>
      <c r="AC404" t="s">
        <v>247</v>
      </c>
      <c r="AD404" t="s">
        <v>227</v>
      </c>
      <c r="AE404" t="s">
        <v>237</v>
      </c>
      <c r="AG404" t="s">
        <v>121</v>
      </c>
      <c r="AH404" t="s">
        <v>327</v>
      </c>
      <c r="AI404" t="s">
        <v>121</v>
      </c>
      <c r="AJ404" t="s">
        <v>716</v>
      </c>
      <c r="AK404" t="s">
        <v>121</v>
      </c>
      <c r="AL404" t="s">
        <v>121</v>
      </c>
      <c r="AM404" t="s">
        <v>121</v>
      </c>
    </row>
    <row r="405" spans="9:39" x14ac:dyDescent="0.3">
      <c r="I405">
        <f ca="1">IF(OR(INDIRECT(A73&amp;ROW())=B93,INDIRECT(A73&amp;ROW())=B94),1,IF(AND(INDIRECT(A73&amp;ROW())=B95,INDIRECT(A96&amp;ROW())=C93),1,IF(AND(INDIRECT(A73&amp;ROW())=B95,INDIRECT(A96&amp;ROW())=C94),1,0)))</f>
        <v>0</v>
      </c>
      <c r="J405">
        <f ca="1">IF(AND(INDIRECT(A73&amp;ROW())=B95,INDIRECT(A96&amp;ROW())=C95),1,IF(AND(INDIRECT(A73&amp;ROW())=B95,INDIRECT(A96&amp;ROW())=C96),1,0))</f>
        <v>1</v>
      </c>
      <c r="K405">
        <f ca="1">DAYS360(INDIRECT(C68&amp;ROW()),TODAY())</f>
        <v>730</v>
      </c>
      <c r="L405">
        <f ca="1">DAYS360(INDIRECT(C69&amp;ROW()),TODAY())</f>
        <v>781</v>
      </c>
      <c r="M405">
        <f ca="1">HYPERLINK(CONCATENATE("https://bugzilla.houston.hp.com:1181/bugzilla/show_bug.cgi?id=",INDIRECT(C70&amp;ROW())),INDIRECT(C70&amp;ROW()))</f>
        <v>57964</v>
      </c>
      <c r="N405">
        <v>57964</v>
      </c>
      <c r="O405" t="s">
        <v>56</v>
      </c>
      <c r="P405" t="s">
        <v>777</v>
      </c>
      <c r="Q405" t="s">
        <v>25</v>
      </c>
      <c r="R405" t="s">
        <v>251</v>
      </c>
      <c r="S405" t="s">
        <v>236</v>
      </c>
      <c r="U405" s="6">
        <v>42116.736770833333</v>
      </c>
      <c r="V405" t="s">
        <v>18</v>
      </c>
      <c r="W405" t="s">
        <v>17</v>
      </c>
      <c r="X405" s="6">
        <v>42064.457870370374</v>
      </c>
      <c r="Y405" t="s">
        <v>255</v>
      </c>
      <c r="AB405" t="s">
        <v>201</v>
      </c>
      <c r="AC405" t="s">
        <v>247</v>
      </c>
      <c r="AD405" t="s">
        <v>220</v>
      </c>
      <c r="AE405" t="s">
        <v>219</v>
      </c>
      <c r="AG405" t="s">
        <v>121</v>
      </c>
      <c r="AH405" t="s">
        <v>327</v>
      </c>
      <c r="AI405" t="s">
        <v>121</v>
      </c>
      <c r="AJ405" t="s">
        <v>716</v>
      </c>
      <c r="AK405" t="s">
        <v>121</v>
      </c>
      <c r="AL405" t="s">
        <v>121</v>
      </c>
      <c r="AM405" t="s">
        <v>121</v>
      </c>
    </row>
    <row r="406" spans="9:39" x14ac:dyDescent="0.3">
      <c r="I406">
        <f ca="1">IF(OR(INDIRECT(A73&amp;ROW())=B93,INDIRECT(A73&amp;ROW())=B94),1,IF(AND(INDIRECT(A73&amp;ROW())=B95,INDIRECT(A96&amp;ROW())=C93),1,IF(AND(INDIRECT(A73&amp;ROW())=B95,INDIRECT(A96&amp;ROW())=C94),1,0)))</f>
        <v>0</v>
      </c>
      <c r="J406">
        <f ca="1">IF(AND(INDIRECT(A73&amp;ROW())=B95,INDIRECT(A96&amp;ROW())=C95),1,IF(AND(INDIRECT(A73&amp;ROW())=B95,INDIRECT(A96&amp;ROW())=C96),1,0))</f>
        <v>1</v>
      </c>
      <c r="K406">
        <f ca="1">DAYS360(INDIRECT(C68&amp;ROW()),TODAY())</f>
        <v>721</v>
      </c>
      <c r="L406">
        <f ca="1">DAYS360(INDIRECT(C69&amp;ROW()),TODAY())</f>
        <v>780</v>
      </c>
      <c r="M406">
        <f ca="1">HYPERLINK(CONCATENATE("https://bugzilla.houston.hp.com:1181/bugzilla/show_bug.cgi?id=",INDIRECT(C70&amp;ROW())),INDIRECT(C70&amp;ROW()))</f>
        <v>58013</v>
      </c>
      <c r="N406">
        <v>58013</v>
      </c>
      <c r="O406" t="s">
        <v>241</v>
      </c>
      <c r="P406" t="s">
        <v>776</v>
      </c>
      <c r="Q406" t="s">
        <v>25</v>
      </c>
      <c r="R406" t="s">
        <v>248</v>
      </c>
      <c r="S406" t="s">
        <v>552</v>
      </c>
      <c r="U406" s="6">
        <v>42125.683310185188</v>
      </c>
      <c r="V406" t="s">
        <v>18</v>
      </c>
      <c r="W406" t="s">
        <v>576</v>
      </c>
      <c r="X406" s="6">
        <v>42065.375162037039</v>
      </c>
      <c r="Y406" t="s">
        <v>255</v>
      </c>
      <c r="AB406" t="s">
        <v>201</v>
      </c>
      <c r="AC406" t="s">
        <v>247</v>
      </c>
      <c r="AD406" t="s">
        <v>227</v>
      </c>
      <c r="AE406" t="s">
        <v>237</v>
      </c>
      <c r="AG406" t="s">
        <v>121</v>
      </c>
      <c r="AH406" t="s">
        <v>327</v>
      </c>
      <c r="AI406" t="s">
        <v>121</v>
      </c>
      <c r="AJ406" t="s">
        <v>716</v>
      </c>
      <c r="AK406" t="s">
        <v>121</v>
      </c>
      <c r="AL406" t="s">
        <v>121</v>
      </c>
      <c r="AM406" t="s">
        <v>121</v>
      </c>
    </row>
    <row r="407" spans="9:39" x14ac:dyDescent="0.3">
      <c r="I407">
        <f ca="1">IF(OR(INDIRECT(A73&amp;ROW())=B93,INDIRECT(A73&amp;ROW())=B94),1,IF(AND(INDIRECT(A73&amp;ROW())=B95,INDIRECT(A96&amp;ROW())=C93),1,IF(AND(INDIRECT(A73&amp;ROW())=B95,INDIRECT(A96&amp;ROW())=C94),1,0)))</f>
        <v>0</v>
      </c>
      <c r="J407">
        <f ca="1">IF(AND(INDIRECT(A73&amp;ROW())=B95,INDIRECT(A96&amp;ROW())=C95),1,IF(AND(INDIRECT(A73&amp;ROW())=B95,INDIRECT(A96&amp;ROW())=C96),1,0))</f>
        <v>1</v>
      </c>
      <c r="K407">
        <f ca="1">DAYS360(INDIRECT(C68&amp;ROW()),TODAY())</f>
        <v>681</v>
      </c>
      <c r="L407">
        <f ca="1">DAYS360(INDIRECT(C69&amp;ROW()),TODAY())</f>
        <v>780</v>
      </c>
      <c r="M407">
        <f ca="1">HYPERLINK(CONCATENATE("https://bugzilla.houston.hp.com:1181/bugzilla/show_bug.cgi?id=",INDIRECT(C70&amp;ROW())),INDIRECT(C70&amp;ROW()))</f>
        <v>58015</v>
      </c>
      <c r="N407">
        <v>58015</v>
      </c>
      <c r="O407" t="s">
        <v>56</v>
      </c>
      <c r="P407" t="s">
        <v>775</v>
      </c>
      <c r="Q407" t="s">
        <v>25</v>
      </c>
      <c r="R407" t="s">
        <v>248</v>
      </c>
      <c r="S407" t="s">
        <v>552</v>
      </c>
      <c r="U407" s="6">
        <v>42166.355590277781</v>
      </c>
      <c r="V407" t="s">
        <v>18</v>
      </c>
      <c r="W407" t="s">
        <v>576</v>
      </c>
      <c r="X407" s="6">
        <v>42065.375462962962</v>
      </c>
      <c r="Y407" t="s">
        <v>255</v>
      </c>
      <c r="AB407" t="s">
        <v>201</v>
      </c>
      <c r="AC407" t="s">
        <v>247</v>
      </c>
      <c r="AD407" t="s">
        <v>220</v>
      </c>
      <c r="AE407" t="s">
        <v>219</v>
      </c>
      <c r="AG407" t="s">
        <v>121</v>
      </c>
      <c r="AH407" t="s">
        <v>327</v>
      </c>
      <c r="AI407" t="s">
        <v>121</v>
      </c>
      <c r="AJ407" t="s">
        <v>716</v>
      </c>
      <c r="AK407" t="s">
        <v>121</v>
      </c>
      <c r="AL407" t="s">
        <v>121</v>
      </c>
      <c r="AM407" t="s">
        <v>121</v>
      </c>
    </row>
    <row r="408" spans="9:39" x14ac:dyDescent="0.3">
      <c r="I408">
        <f ca="1">IF(OR(INDIRECT(A73&amp;ROW())=B93,INDIRECT(A73&amp;ROW())=B94),1,IF(AND(INDIRECT(A73&amp;ROW())=B95,INDIRECT(A96&amp;ROW())=C93),1,IF(AND(INDIRECT(A73&amp;ROW())=B95,INDIRECT(A96&amp;ROW())=C94),1,0)))</f>
        <v>0</v>
      </c>
      <c r="J408">
        <f ca="1">IF(AND(INDIRECT(A73&amp;ROW())=B95,INDIRECT(A96&amp;ROW())=C95),1,IF(AND(INDIRECT(A73&amp;ROW())=B95,INDIRECT(A96&amp;ROW())=C96),1,0))</f>
        <v>0</v>
      </c>
      <c r="K408">
        <f ca="1">DAYS360(INDIRECT(C68&amp;ROW()),TODAY())</f>
        <v>728</v>
      </c>
      <c r="L408">
        <f ca="1">DAYS360(INDIRECT(C69&amp;ROW()),TODAY())</f>
        <v>779</v>
      </c>
      <c r="M408">
        <f ca="1">HYPERLINK(CONCATENATE("https://bugzilla.houston.hp.com:1181/bugzilla/show_bug.cgi?id=",INDIRECT(C70&amp;ROW())),INDIRECT(C70&amp;ROW()))</f>
        <v>58074</v>
      </c>
      <c r="N408">
        <v>58074</v>
      </c>
      <c r="O408" t="s">
        <v>56</v>
      </c>
      <c r="P408" t="s">
        <v>774</v>
      </c>
      <c r="Q408" t="s">
        <v>16</v>
      </c>
      <c r="R408" t="s">
        <v>251</v>
      </c>
      <c r="S408" t="s">
        <v>292</v>
      </c>
      <c r="U408" s="6">
        <v>42118.524386574078</v>
      </c>
      <c r="V408" t="s">
        <v>18</v>
      </c>
      <c r="W408" t="s">
        <v>17</v>
      </c>
      <c r="X408" s="6">
        <v>42066.574571759258</v>
      </c>
      <c r="Y408" t="s">
        <v>785</v>
      </c>
      <c r="AB408" t="s">
        <v>201</v>
      </c>
      <c r="AC408" t="s">
        <v>247</v>
      </c>
      <c r="AD408" t="s">
        <v>220</v>
      </c>
      <c r="AE408" t="s">
        <v>219</v>
      </c>
      <c r="AG408" t="s">
        <v>121</v>
      </c>
      <c r="AH408" t="s">
        <v>768</v>
      </c>
      <c r="AI408" t="s">
        <v>121</v>
      </c>
      <c r="AJ408" t="s">
        <v>717</v>
      </c>
      <c r="AK408" t="s">
        <v>121</v>
      </c>
      <c r="AL408" t="s">
        <v>121</v>
      </c>
      <c r="AM408" t="s">
        <v>121</v>
      </c>
    </row>
    <row r="409" spans="9:39" x14ac:dyDescent="0.3">
      <c r="I409">
        <f ca="1">IF(OR(INDIRECT(A73&amp;ROW())=B93,INDIRECT(A73&amp;ROW())=B94),1,IF(AND(INDIRECT(A73&amp;ROW())=B95,INDIRECT(A96&amp;ROW())=C93),1,IF(AND(INDIRECT(A73&amp;ROW())=B95,INDIRECT(A96&amp;ROW())=C94),1,0)))</f>
        <v>1</v>
      </c>
      <c r="J409">
        <f ca="1">IF(AND(INDIRECT(A73&amp;ROW())=B95,INDIRECT(A96&amp;ROW())=C95),1,IF(AND(INDIRECT(A73&amp;ROW())=B95,INDIRECT(A96&amp;ROW())=C96),1,0))</f>
        <v>0</v>
      </c>
      <c r="K409">
        <f ca="1">DAYS360(INDIRECT(C68&amp;ROW()),TODAY())</f>
        <v>693</v>
      </c>
      <c r="L409">
        <f ca="1">DAYS360(INDIRECT(C69&amp;ROW()),TODAY())</f>
        <v>779</v>
      </c>
      <c r="M409">
        <f ca="1">HYPERLINK(CONCATENATE("https://bugzilla.houston.hp.com:1181/bugzilla/show_bug.cgi?id=",INDIRECT(C70&amp;ROW())),INDIRECT(C70&amp;ROW()))</f>
        <v>58079</v>
      </c>
      <c r="N409">
        <v>58079</v>
      </c>
      <c r="O409" t="s">
        <v>66</v>
      </c>
      <c r="P409" t="s">
        <v>772</v>
      </c>
      <c r="Q409" t="s">
        <v>39</v>
      </c>
      <c r="R409" t="s">
        <v>251</v>
      </c>
      <c r="S409" t="s">
        <v>66</v>
      </c>
      <c r="T409" t="s">
        <v>782</v>
      </c>
      <c r="U409" s="6">
        <v>42153.075069444443</v>
      </c>
      <c r="V409" t="s">
        <v>35</v>
      </c>
      <c r="W409" t="s">
        <v>17</v>
      </c>
      <c r="X409" s="6">
        <v>42066.752662037034</v>
      </c>
      <c r="Y409" t="s">
        <v>122</v>
      </c>
      <c r="AB409" t="s">
        <v>201</v>
      </c>
      <c r="AC409" t="s">
        <v>247</v>
      </c>
      <c r="AD409" t="s">
        <v>220</v>
      </c>
      <c r="AE409" t="s">
        <v>219</v>
      </c>
      <c r="AG409" t="s">
        <v>121</v>
      </c>
      <c r="AH409" t="s">
        <v>327</v>
      </c>
      <c r="AI409" t="s">
        <v>121</v>
      </c>
      <c r="AJ409" t="s">
        <v>715</v>
      </c>
      <c r="AK409" t="s">
        <v>121</v>
      </c>
      <c r="AL409" t="s">
        <v>121</v>
      </c>
      <c r="AM409" t="s">
        <v>121</v>
      </c>
    </row>
    <row r="410" spans="9:39" x14ac:dyDescent="0.3">
      <c r="I410">
        <f ca="1">IF(OR(INDIRECT(A73&amp;ROW())=B93,INDIRECT(A73&amp;ROW())=B94),1,IF(AND(INDIRECT(A73&amp;ROW())=B95,INDIRECT(A96&amp;ROW())=C93),1,IF(AND(INDIRECT(A73&amp;ROW())=B95,INDIRECT(A96&amp;ROW())=C94),1,0)))</f>
        <v>1</v>
      </c>
      <c r="J410">
        <f ca="1">IF(AND(INDIRECT(A73&amp;ROW())=B95,INDIRECT(A96&amp;ROW())=C95),1,IF(AND(INDIRECT(A73&amp;ROW())=B95,INDIRECT(A96&amp;ROW())=C96),1,0))</f>
        <v>0</v>
      </c>
      <c r="K410">
        <f ca="1">DAYS360(INDIRECT(C68&amp;ROW()),TODAY())</f>
        <v>668</v>
      </c>
      <c r="L410">
        <f ca="1">DAYS360(INDIRECT(C69&amp;ROW()),TODAY())</f>
        <v>778</v>
      </c>
      <c r="M410">
        <f ca="1">HYPERLINK(CONCATENATE("https://bugzilla.houston.hp.com:1181/bugzilla/show_bug.cgi?id=",INDIRECT(C70&amp;ROW())),INDIRECT(C70&amp;ROW()))</f>
        <v>58085</v>
      </c>
      <c r="N410">
        <v>58085</v>
      </c>
      <c r="O410" t="s">
        <v>919</v>
      </c>
      <c r="P410" t="s">
        <v>771</v>
      </c>
      <c r="Q410" t="s">
        <v>39</v>
      </c>
      <c r="R410" t="s">
        <v>579</v>
      </c>
      <c r="S410" t="s">
        <v>552</v>
      </c>
      <c r="T410" t="s">
        <v>820</v>
      </c>
      <c r="U410" s="6">
        <v>42179.380787037036</v>
      </c>
      <c r="V410" t="s">
        <v>18</v>
      </c>
      <c r="W410" t="s">
        <v>372</v>
      </c>
      <c r="X410" s="6">
        <v>42067.014606481483</v>
      </c>
      <c r="Y410" t="s">
        <v>122</v>
      </c>
      <c r="AB410" t="s">
        <v>201</v>
      </c>
      <c r="AC410" t="s">
        <v>247</v>
      </c>
      <c r="AD410" t="s">
        <v>220</v>
      </c>
      <c r="AE410" t="s">
        <v>224</v>
      </c>
      <c r="AG410" t="s">
        <v>121</v>
      </c>
      <c r="AH410" t="s">
        <v>327</v>
      </c>
      <c r="AI410" t="s">
        <v>362</v>
      </c>
      <c r="AJ410" t="s">
        <v>715</v>
      </c>
      <c r="AK410" t="s">
        <v>121</v>
      </c>
      <c r="AL410" t="s">
        <v>121</v>
      </c>
      <c r="AM410" t="s">
        <v>121</v>
      </c>
    </row>
    <row r="411" spans="9:39" x14ac:dyDescent="0.3">
      <c r="I411">
        <f ca="1">IF(OR(INDIRECT(A73&amp;ROW())=B93,INDIRECT(A73&amp;ROW())=B94),1,IF(AND(INDIRECT(A73&amp;ROW())=B95,INDIRECT(A96&amp;ROW())=C93),1,IF(AND(INDIRECT(A73&amp;ROW())=B95,INDIRECT(A96&amp;ROW())=C94),1,0)))</f>
        <v>1</v>
      </c>
      <c r="J411">
        <f ca="1">IF(AND(INDIRECT(A73&amp;ROW())=B95,INDIRECT(A96&amp;ROW())=C95),1,IF(AND(INDIRECT(A73&amp;ROW())=B95,INDIRECT(A96&amp;ROW())=C96),1,0))</f>
        <v>0</v>
      </c>
      <c r="K411">
        <f ca="1">DAYS360(INDIRECT(C68&amp;ROW()),TODAY())</f>
        <v>684</v>
      </c>
      <c r="L411">
        <f ca="1">DAYS360(INDIRECT(C69&amp;ROW()),TODAY())</f>
        <v>778</v>
      </c>
      <c r="M411">
        <f ca="1">HYPERLINK(CONCATENATE("https://bugzilla.houston.hp.com:1181/bugzilla/show_bug.cgi?id=",INDIRECT(C70&amp;ROW())),INDIRECT(C70&amp;ROW()))</f>
        <v>58086</v>
      </c>
      <c r="N411">
        <v>58086</v>
      </c>
      <c r="O411" t="s">
        <v>66</v>
      </c>
      <c r="P411" t="s">
        <v>770</v>
      </c>
      <c r="Q411" t="s">
        <v>39</v>
      </c>
      <c r="R411" t="s">
        <v>248</v>
      </c>
      <c r="S411" t="s">
        <v>552</v>
      </c>
      <c r="T411" t="s">
        <v>782</v>
      </c>
      <c r="U411" s="6">
        <v>42163.604212962964</v>
      </c>
      <c r="V411" t="s">
        <v>35</v>
      </c>
      <c r="W411" t="s">
        <v>372</v>
      </c>
      <c r="X411" s="6">
        <v>42067.014675925922</v>
      </c>
      <c r="Y411" t="s">
        <v>122</v>
      </c>
      <c r="AB411" t="s">
        <v>201</v>
      </c>
      <c r="AC411" t="s">
        <v>247</v>
      </c>
      <c r="AD411" t="s">
        <v>220</v>
      </c>
      <c r="AE411" t="s">
        <v>219</v>
      </c>
      <c r="AG411" t="s">
        <v>121</v>
      </c>
      <c r="AH411" t="s">
        <v>327</v>
      </c>
      <c r="AI411" t="s">
        <v>121</v>
      </c>
      <c r="AJ411" t="s">
        <v>715</v>
      </c>
      <c r="AK411" t="s">
        <v>121</v>
      </c>
      <c r="AL411" t="s">
        <v>121</v>
      </c>
      <c r="AM411" t="s">
        <v>121</v>
      </c>
    </row>
    <row r="412" spans="9:39" x14ac:dyDescent="0.3">
      <c r="I412">
        <f ca="1">IF(OR(INDIRECT(A73&amp;ROW())=B93,INDIRECT(A73&amp;ROW())=B94),1,IF(AND(INDIRECT(A73&amp;ROW())=B95,INDIRECT(A96&amp;ROW())=C93),1,IF(AND(INDIRECT(A73&amp;ROW())=B95,INDIRECT(A96&amp;ROW())=C94),1,0)))</f>
        <v>0</v>
      </c>
      <c r="J412">
        <f ca="1">IF(AND(INDIRECT(A73&amp;ROW())=B95,INDIRECT(A96&amp;ROW())=C95),1,IF(AND(INDIRECT(A73&amp;ROW())=B95,INDIRECT(A96&amp;ROW())=C96),1,0))</f>
        <v>0</v>
      </c>
      <c r="K412">
        <f ca="1">DAYS360(INDIRECT(C68&amp;ROW()),TODAY())</f>
        <v>681</v>
      </c>
      <c r="L412">
        <f ca="1">DAYS360(INDIRECT(C69&amp;ROW()),TODAY())</f>
        <v>778</v>
      </c>
      <c r="M412">
        <f ca="1">HYPERLINK(CONCATENATE("https://bugzilla.houston.hp.com:1181/bugzilla/show_bug.cgi?id=",INDIRECT(C70&amp;ROW())),INDIRECT(C70&amp;ROW()))</f>
        <v>58098</v>
      </c>
      <c r="N412">
        <v>58098</v>
      </c>
      <c r="O412" t="s">
        <v>56</v>
      </c>
      <c r="P412" t="s">
        <v>769</v>
      </c>
      <c r="Q412" t="s">
        <v>16</v>
      </c>
      <c r="R412" t="s">
        <v>248</v>
      </c>
      <c r="S412" t="s">
        <v>552</v>
      </c>
      <c r="U412" s="6">
        <v>42166.356099537035</v>
      </c>
      <c r="V412" t="s">
        <v>18</v>
      </c>
      <c r="W412" t="s">
        <v>372</v>
      </c>
      <c r="X412" s="6">
        <v>42067.015717592592</v>
      </c>
      <c r="Y412" t="s">
        <v>785</v>
      </c>
      <c r="AB412" t="s">
        <v>201</v>
      </c>
      <c r="AC412" t="s">
        <v>247</v>
      </c>
      <c r="AD412" t="s">
        <v>220</v>
      </c>
      <c r="AE412" t="s">
        <v>219</v>
      </c>
      <c r="AG412" t="s">
        <v>121</v>
      </c>
      <c r="AH412" t="s">
        <v>768</v>
      </c>
      <c r="AI412" t="s">
        <v>121</v>
      </c>
      <c r="AJ412" t="s">
        <v>717</v>
      </c>
      <c r="AK412" t="s">
        <v>121</v>
      </c>
      <c r="AL412" t="s">
        <v>121</v>
      </c>
      <c r="AM412" t="s">
        <v>121</v>
      </c>
    </row>
    <row r="413" spans="9:39" x14ac:dyDescent="0.3">
      <c r="I413">
        <f ca="1">IF(OR(INDIRECT(A73&amp;ROW())=B93,INDIRECT(A73&amp;ROW())=B94),1,IF(AND(INDIRECT(A73&amp;ROW())=B95,INDIRECT(A96&amp;ROW())=C93),1,IF(AND(INDIRECT(A73&amp;ROW())=B95,INDIRECT(A96&amp;ROW())=C94),1,0)))</f>
        <v>0</v>
      </c>
      <c r="J413">
        <f ca="1">IF(AND(INDIRECT(A73&amp;ROW())=B95,INDIRECT(A96&amp;ROW())=C95),1,IF(AND(INDIRECT(A73&amp;ROW())=B95,INDIRECT(A96&amp;ROW())=C96),1,0))</f>
        <v>1</v>
      </c>
      <c r="K413">
        <f ca="1">DAYS360(INDIRECT(C68&amp;ROW()),TODAY())</f>
        <v>675</v>
      </c>
      <c r="L413">
        <f ca="1">DAYS360(INDIRECT(C69&amp;ROW()),TODAY())</f>
        <v>776</v>
      </c>
      <c r="M413">
        <f ca="1">HYPERLINK(CONCATENATE("https://bugzilla.houston.hp.com:1181/bugzilla/show_bug.cgi?id=",INDIRECT(C70&amp;ROW())),INDIRECT(C70&amp;ROW()))</f>
        <v>58308</v>
      </c>
      <c r="N413">
        <v>58308</v>
      </c>
      <c r="O413" t="s">
        <v>22</v>
      </c>
      <c r="P413" t="s">
        <v>781</v>
      </c>
      <c r="Q413" t="s">
        <v>25</v>
      </c>
      <c r="R413" t="s">
        <v>251</v>
      </c>
      <c r="S413" t="s">
        <v>773</v>
      </c>
      <c r="U413" s="6">
        <v>42172.482175925928</v>
      </c>
      <c r="V413" t="s">
        <v>18</v>
      </c>
      <c r="W413" t="s">
        <v>17</v>
      </c>
      <c r="X413" s="6">
        <v>42069.514872685184</v>
      </c>
      <c r="Y413" t="s">
        <v>125</v>
      </c>
      <c r="AB413" t="s">
        <v>201</v>
      </c>
      <c r="AC413" t="s">
        <v>247</v>
      </c>
      <c r="AD413" t="s">
        <v>220</v>
      </c>
      <c r="AE413" t="s">
        <v>223</v>
      </c>
      <c r="AG413" t="s">
        <v>121</v>
      </c>
      <c r="AH413" t="s">
        <v>327</v>
      </c>
      <c r="AI413" t="s">
        <v>121</v>
      </c>
      <c r="AJ413" t="s">
        <v>716</v>
      </c>
      <c r="AK413" t="s">
        <v>121</v>
      </c>
      <c r="AL413" t="s">
        <v>121</v>
      </c>
      <c r="AM413" t="s">
        <v>121</v>
      </c>
    </row>
    <row r="414" spans="9:39" x14ac:dyDescent="0.3">
      <c r="I414">
        <f ca="1">IF(OR(INDIRECT(A73&amp;ROW())=B93,INDIRECT(A73&amp;ROW())=B94),1,IF(AND(INDIRECT(A73&amp;ROW())=B95,INDIRECT(A96&amp;ROW())=C93),1,IF(AND(INDIRECT(A73&amp;ROW())=B95,INDIRECT(A96&amp;ROW())=C94),1,0)))</f>
        <v>0</v>
      </c>
      <c r="J414">
        <f ca="1">IF(AND(INDIRECT(A73&amp;ROW())=B95,INDIRECT(A96&amp;ROW())=C95),1,IF(AND(INDIRECT(A73&amp;ROW())=B95,INDIRECT(A96&amp;ROW())=C96),1,0))</f>
        <v>1</v>
      </c>
      <c r="K414">
        <f ca="1">DAYS360(INDIRECT(C68&amp;ROW()),TODAY())</f>
        <v>690</v>
      </c>
      <c r="L414">
        <f ca="1">DAYS360(INDIRECT(C69&amp;ROW()),TODAY())</f>
        <v>776</v>
      </c>
      <c r="M414">
        <f ca="1">HYPERLINK(CONCATENATE("https://bugzilla.houston.hp.com:1181/bugzilla/show_bug.cgi?id=",INDIRECT(C70&amp;ROW())),INDIRECT(C70&amp;ROW()))</f>
        <v>58311</v>
      </c>
      <c r="N414">
        <v>58311</v>
      </c>
      <c r="O414" t="s">
        <v>22</v>
      </c>
      <c r="P414" t="s">
        <v>780</v>
      </c>
      <c r="Q414" t="s">
        <v>25</v>
      </c>
      <c r="R414" t="s">
        <v>248</v>
      </c>
      <c r="S414" t="s">
        <v>552</v>
      </c>
      <c r="U414" s="6">
        <v>42157.600729166668</v>
      </c>
      <c r="V414" t="s">
        <v>18</v>
      </c>
      <c r="W414" t="s">
        <v>576</v>
      </c>
      <c r="X414" s="6">
        <v>42069.57304398148</v>
      </c>
      <c r="Y414" t="s">
        <v>125</v>
      </c>
      <c r="AB414" t="s">
        <v>201</v>
      </c>
      <c r="AC414" t="s">
        <v>247</v>
      </c>
      <c r="AD414" t="s">
        <v>220</v>
      </c>
      <c r="AE414" t="s">
        <v>223</v>
      </c>
      <c r="AG414" t="s">
        <v>121</v>
      </c>
      <c r="AH414" t="s">
        <v>327</v>
      </c>
      <c r="AI414" t="s">
        <v>121</v>
      </c>
      <c r="AJ414" t="s">
        <v>716</v>
      </c>
      <c r="AK414" t="s">
        <v>121</v>
      </c>
      <c r="AL414" t="s">
        <v>121</v>
      </c>
      <c r="AM414" t="s">
        <v>121</v>
      </c>
    </row>
    <row r="415" spans="9:39" x14ac:dyDescent="0.3">
      <c r="I415">
        <f ca="1">IF(OR(INDIRECT(A73&amp;ROW())=B93,INDIRECT(A73&amp;ROW())=B94),1,IF(AND(INDIRECT(A73&amp;ROW())=B95,INDIRECT(A96&amp;ROW())=C93),1,IF(AND(INDIRECT(A73&amp;ROW())=B95,INDIRECT(A96&amp;ROW())=C94),1,0)))</f>
        <v>1</v>
      </c>
      <c r="J415">
        <f ca="1">IF(AND(INDIRECT(A73&amp;ROW())=B95,INDIRECT(A96&amp;ROW())=C95),1,IF(AND(INDIRECT(A73&amp;ROW())=B95,INDIRECT(A96&amp;ROW())=C96),1,0))</f>
        <v>0</v>
      </c>
      <c r="K415">
        <f ca="1">DAYS360(INDIRECT(C68&amp;ROW()),TODAY())</f>
        <v>681</v>
      </c>
      <c r="L415">
        <f ca="1">DAYS360(INDIRECT(C69&amp;ROW()),TODAY())</f>
        <v>773</v>
      </c>
      <c r="M415">
        <f ca="1">HYPERLINK(CONCATENATE("https://bugzilla.houston.hp.com:1181/bugzilla/show_bug.cgi?id=",INDIRECT(C70&amp;ROW())),INDIRECT(C70&amp;ROW()))</f>
        <v>58413</v>
      </c>
      <c r="N415">
        <v>58413</v>
      </c>
      <c r="O415" t="s">
        <v>164</v>
      </c>
      <c r="P415" t="s">
        <v>1253</v>
      </c>
      <c r="Q415" t="s">
        <v>39</v>
      </c>
      <c r="R415" t="s">
        <v>251</v>
      </c>
      <c r="S415" t="s">
        <v>66</v>
      </c>
      <c r="U415" s="6">
        <v>42166.463750000003</v>
      </c>
      <c r="V415" t="s">
        <v>40</v>
      </c>
      <c r="W415" t="s">
        <v>17</v>
      </c>
      <c r="X415" s="6">
        <v>42072.772499999999</v>
      </c>
      <c r="Y415" t="s">
        <v>793</v>
      </c>
      <c r="AB415" t="s">
        <v>201</v>
      </c>
      <c r="AC415" t="s">
        <v>247</v>
      </c>
      <c r="AD415" t="s">
        <v>220</v>
      </c>
      <c r="AE415" t="s">
        <v>219</v>
      </c>
      <c r="AG415" t="s">
        <v>121</v>
      </c>
      <c r="AH415" t="s">
        <v>327</v>
      </c>
      <c r="AI415" t="s">
        <v>121</v>
      </c>
      <c r="AJ415" t="s">
        <v>716</v>
      </c>
      <c r="AK415" t="s">
        <v>121</v>
      </c>
      <c r="AL415" t="s">
        <v>121</v>
      </c>
      <c r="AM415" t="s">
        <v>121</v>
      </c>
    </row>
    <row r="416" spans="9:39" x14ac:dyDescent="0.3">
      <c r="I416">
        <f ca="1">IF(OR(INDIRECT(A73&amp;ROW())=B93,INDIRECT(A73&amp;ROW())=B94),1,IF(AND(INDIRECT(A73&amp;ROW())=B95,INDIRECT(A96&amp;ROW())=C93),1,IF(AND(INDIRECT(A73&amp;ROW())=B95,INDIRECT(A96&amp;ROW())=C94),1,0)))</f>
        <v>1</v>
      </c>
      <c r="J416">
        <f ca="1">IF(AND(INDIRECT(A73&amp;ROW())=B95,INDIRECT(A96&amp;ROW())=C95),1,IF(AND(INDIRECT(A73&amp;ROW())=B95,INDIRECT(A96&amp;ROW())=C96),1,0))</f>
        <v>0</v>
      </c>
      <c r="K416">
        <f ca="1">DAYS360(INDIRECT(C68&amp;ROW()),TODAY())</f>
        <v>684</v>
      </c>
      <c r="L416">
        <f ca="1">DAYS360(INDIRECT(C69&amp;ROW()),TODAY())</f>
        <v>772</v>
      </c>
      <c r="M416">
        <f ca="1">HYPERLINK(CONCATENATE("https://bugzilla.houston.hp.com:1181/bugzilla/show_bug.cgi?id=",INDIRECT(C70&amp;ROW())),INDIRECT(C70&amp;ROW()))</f>
        <v>58422</v>
      </c>
      <c r="N416">
        <v>58422</v>
      </c>
      <c r="O416" t="s">
        <v>156</v>
      </c>
      <c r="P416" t="s">
        <v>1252</v>
      </c>
      <c r="Q416" t="s">
        <v>39</v>
      </c>
      <c r="R416" t="s">
        <v>579</v>
      </c>
      <c r="S416" t="s">
        <v>552</v>
      </c>
      <c r="T416" t="s">
        <v>822</v>
      </c>
      <c r="U416" s="6">
        <v>42163.40315972222</v>
      </c>
      <c r="V416" t="s">
        <v>40</v>
      </c>
      <c r="W416" t="s">
        <v>322</v>
      </c>
      <c r="X416" s="6">
        <v>42073.014756944445</v>
      </c>
      <c r="Y416" t="s">
        <v>793</v>
      </c>
      <c r="AB416" t="s">
        <v>201</v>
      </c>
      <c r="AC416" t="s">
        <v>247</v>
      </c>
      <c r="AD416" t="s">
        <v>220</v>
      </c>
      <c r="AE416" t="s">
        <v>219</v>
      </c>
      <c r="AG416" t="s">
        <v>121</v>
      </c>
      <c r="AH416" t="s">
        <v>327</v>
      </c>
      <c r="AI416" t="s">
        <v>121</v>
      </c>
      <c r="AJ416" t="s">
        <v>715</v>
      </c>
      <c r="AK416" t="s">
        <v>121</v>
      </c>
      <c r="AL416" t="s">
        <v>121</v>
      </c>
      <c r="AM416" t="s">
        <v>121</v>
      </c>
    </row>
    <row r="417" spans="9:39" x14ac:dyDescent="0.3">
      <c r="I417">
        <f ca="1">IF(OR(INDIRECT(A73&amp;ROW())=B93,INDIRECT(A73&amp;ROW())=B94),1,IF(AND(INDIRECT(A73&amp;ROW())=B95,INDIRECT(A96&amp;ROW())=C93),1,IF(AND(INDIRECT(A73&amp;ROW())=B95,INDIRECT(A96&amp;ROW())=C94),1,0)))</f>
        <v>0</v>
      </c>
      <c r="J417">
        <f ca="1">IF(AND(INDIRECT(A73&amp;ROW())=B95,INDIRECT(A96&amp;ROW())=C95),1,IF(AND(INDIRECT(A73&amp;ROW())=B95,INDIRECT(A96&amp;ROW())=C96),1,0))</f>
        <v>0</v>
      </c>
      <c r="K417">
        <f ca="1">DAYS360(INDIRECT(C68&amp;ROW()),TODAY())</f>
        <v>765</v>
      </c>
      <c r="L417">
        <f ca="1">DAYS360(INDIRECT(C69&amp;ROW()),TODAY())</f>
        <v>771</v>
      </c>
      <c r="M417">
        <f ca="1">HYPERLINK(CONCATENATE("https://bugzilla.houston.hp.com:1181/bugzilla/show_bug.cgi?id=",INDIRECT(C70&amp;ROW())),INDIRECT(C70&amp;ROW()))</f>
        <v>58498</v>
      </c>
      <c r="N417">
        <v>58498</v>
      </c>
      <c r="O417" t="s">
        <v>56</v>
      </c>
      <c r="P417" t="s">
        <v>1409</v>
      </c>
      <c r="Q417" t="s">
        <v>16</v>
      </c>
      <c r="R417" t="s">
        <v>251</v>
      </c>
      <c r="S417" t="s">
        <v>187</v>
      </c>
      <c r="U417" s="6">
        <v>42080.537164351852</v>
      </c>
      <c r="V417" t="s">
        <v>18</v>
      </c>
      <c r="W417" t="s">
        <v>63</v>
      </c>
      <c r="X417" s="6">
        <v>42074.018449074072</v>
      </c>
      <c r="Y417" t="s">
        <v>786</v>
      </c>
      <c r="AB417" t="s">
        <v>200</v>
      </c>
      <c r="AC417" t="s">
        <v>247</v>
      </c>
      <c r="AD417" t="s">
        <v>220</v>
      </c>
      <c r="AE417" t="s">
        <v>219</v>
      </c>
      <c r="AG417" t="s">
        <v>121</v>
      </c>
      <c r="AH417" t="s">
        <v>327</v>
      </c>
      <c r="AI417" t="s">
        <v>121</v>
      </c>
      <c r="AJ417" t="s">
        <v>716</v>
      </c>
      <c r="AK417" t="s">
        <v>121</v>
      </c>
      <c r="AL417" t="s">
        <v>121</v>
      </c>
      <c r="AM417" t="s">
        <v>121</v>
      </c>
    </row>
    <row r="418" spans="9:39" x14ac:dyDescent="0.3">
      <c r="I418">
        <f ca="1">IF(OR(INDIRECT(A73&amp;ROW())=B93,INDIRECT(A73&amp;ROW())=B94),1,IF(AND(INDIRECT(A73&amp;ROW())=B95,INDIRECT(A96&amp;ROW())=C93),1,IF(AND(INDIRECT(A73&amp;ROW())=B95,INDIRECT(A96&amp;ROW())=C94),1,0)))</f>
        <v>0</v>
      </c>
      <c r="J418">
        <f ca="1">IF(AND(INDIRECT(A73&amp;ROW())=B95,INDIRECT(A96&amp;ROW())=C95),1,IF(AND(INDIRECT(A73&amp;ROW())=B95,INDIRECT(A96&amp;ROW())=C96),1,0))</f>
        <v>1</v>
      </c>
      <c r="K418">
        <f ca="1">DAYS360(INDIRECT(C68&amp;ROW()),TODAY())</f>
        <v>684</v>
      </c>
      <c r="L418">
        <f ca="1">DAYS360(INDIRECT(C69&amp;ROW()),TODAY())</f>
        <v>770</v>
      </c>
      <c r="M418">
        <f ca="1">HYPERLINK(CONCATENATE("https://bugzilla.houston.hp.com:1181/bugzilla/show_bug.cgi?id=",INDIRECT(C70&amp;ROW())),INDIRECT(C70&amp;ROW()))</f>
        <v>58612</v>
      </c>
      <c r="N418">
        <v>58612</v>
      </c>
      <c r="O418" t="s">
        <v>45</v>
      </c>
      <c r="P418" t="s">
        <v>799</v>
      </c>
      <c r="Q418" t="s">
        <v>25</v>
      </c>
      <c r="R418" t="s">
        <v>251</v>
      </c>
      <c r="S418" t="s">
        <v>33</v>
      </c>
      <c r="T418" t="s">
        <v>798</v>
      </c>
      <c r="U418" s="6">
        <v>42163.556331018517</v>
      </c>
      <c r="V418" t="s">
        <v>18</v>
      </c>
      <c r="W418" t="s">
        <v>783</v>
      </c>
      <c r="X418" s="6">
        <v>42075.22042824074</v>
      </c>
      <c r="Y418" t="s">
        <v>119</v>
      </c>
      <c r="AB418" t="s">
        <v>201</v>
      </c>
      <c r="AC418" t="s">
        <v>247</v>
      </c>
      <c r="AD418" t="s">
        <v>227</v>
      </c>
      <c r="AE418" t="s">
        <v>370</v>
      </c>
      <c r="AG418" t="s">
        <v>121</v>
      </c>
      <c r="AH418" t="s">
        <v>327</v>
      </c>
      <c r="AI418" t="s">
        <v>121</v>
      </c>
      <c r="AJ418" t="s">
        <v>716</v>
      </c>
      <c r="AK418" t="s">
        <v>121</v>
      </c>
      <c r="AL418" t="s">
        <v>121</v>
      </c>
      <c r="AM418" t="s">
        <v>121</v>
      </c>
    </row>
    <row r="419" spans="9:39" x14ac:dyDescent="0.3">
      <c r="I419">
        <f ca="1">IF(OR(INDIRECT(A73&amp;ROW())=B93,INDIRECT(A73&amp;ROW())=B94),1,IF(AND(INDIRECT(A73&amp;ROW())=B95,INDIRECT(A96&amp;ROW())=C93),1,IF(AND(INDIRECT(A73&amp;ROW())=B95,INDIRECT(A96&amp;ROW())=C94),1,0)))</f>
        <v>0</v>
      </c>
      <c r="J419">
        <f ca="1">IF(AND(INDIRECT(A73&amp;ROW())=B95,INDIRECT(A96&amp;ROW())=C95),1,IF(AND(INDIRECT(A73&amp;ROW())=B95,INDIRECT(A96&amp;ROW())=C96),1,0))</f>
        <v>1</v>
      </c>
      <c r="K419">
        <f ca="1">DAYS360(INDIRECT(C68&amp;ROW()),TODAY())</f>
        <v>690</v>
      </c>
      <c r="L419">
        <f ca="1">DAYS360(INDIRECT(C69&amp;ROW()),TODAY())</f>
        <v>770</v>
      </c>
      <c r="M419">
        <f ca="1">HYPERLINK(CONCATENATE("https://bugzilla.houston.hp.com:1181/bugzilla/show_bug.cgi?id=",INDIRECT(C70&amp;ROW())),INDIRECT(C70&amp;ROW()))</f>
        <v>58627</v>
      </c>
      <c r="N419">
        <v>58627</v>
      </c>
      <c r="O419" t="s">
        <v>36</v>
      </c>
      <c r="P419" t="s">
        <v>797</v>
      </c>
      <c r="Q419" t="s">
        <v>25</v>
      </c>
      <c r="R419" t="s">
        <v>579</v>
      </c>
      <c r="S419" t="s">
        <v>552</v>
      </c>
      <c r="T419" t="s">
        <v>798</v>
      </c>
      <c r="U419" s="6">
        <v>42157.102453703701</v>
      </c>
      <c r="V419" t="s">
        <v>18</v>
      </c>
      <c r="W419" t="s">
        <v>783</v>
      </c>
      <c r="X419" s="6">
        <v>42075.359710648147</v>
      </c>
      <c r="Y419" t="s">
        <v>119</v>
      </c>
      <c r="AB419" t="s">
        <v>201</v>
      </c>
      <c r="AC419" t="s">
        <v>247</v>
      </c>
      <c r="AD419" t="s">
        <v>227</v>
      </c>
      <c r="AE419" t="s">
        <v>370</v>
      </c>
      <c r="AG419" t="s">
        <v>121</v>
      </c>
      <c r="AH419" t="s">
        <v>327</v>
      </c>
      <c r="AI419" t="s">
        <v>121</v>
      </c>
      <c r="AJ419" t="s">
        <v>716</v>
      </c>
      <c r="AK419" t="s">
        <v>121</v>
      </c>
      <c r="AL419" t="s">
        <v>121</v>
      </c>
      <c r="AM419" t="s">
        <v>121</v>
      </c>
    </row>
    <row r="420" spans="9:39" x14ac:dyDescent="0.3">
      <c r="I420">
        <f ca="1">IF(OR(INDIRECT(A73&amp;ROW())=B93,INDIRECT(A73&amp;ROW())=B94),1,IF(AND(INDIRECT(A73&amp;ROW())=B95,INDIRECT(A96&amp;ROW())=C93),1,IF(AND(INDIRECT(A73&amp;ROW())=B95,INDIRECT(A96&amp;ROW())=C94),1,0)))</f>
        <v>0</v>
      </c>
      <c r="J420">
        <f ca="1">IF(AND(INDIRECT(A73&amp;ROW())=B95,INDIRECT(A96&amp;ROW())=C95),1,IF(AND(INDIRECT(A73&amp;ROW())=B95,INDIRECT(A96&amp;ROW())=C96),1,0))</f>
        <v>1</v>
      </c>
      <c r="K420">
        <f ca="1">DAYS360(INDIRECT(C68&amp;ROW()),TODAY())</f>
        <v>690</v>
      </c>
      <c r="L420">
        <f ca="1">DAYS360(INDIRECT(C69&amp;ROW()),TODAY())</f>
        <v>770</v>
      </c>
      <c r="M420">
        <f ca="1">HYPERLINK(CONCATENATE("https://bugzilla.houston.hp.com:1181/bugzilla/show_bug.cgi?id=",INDIRECT(C70&amp;ROW())),INDIRECT(C70&amp;ROW()))</f>
        <v>58628</v>
      </c>
      <c r="N420">
        <v>58628</v>
      </c>
      <c r="O420" t="s">
        <v>36</v>
      </c>
      <c r="P420" t="s">
        <v>796</v>
      </c>
      <c r="Q420" t="s">
        <v>25</v>
      </c>
      <c r="R420" t="s">
        <v>248</v>
      </c>
      <c r="S420" t="s">
        <v>552</v>
      </c>
      <c r="U420" s="6">
        <v>42157.10324074074</v>
      </c>
      <c r="V420" t="s">
        <v>18</v>
      </c>
      <c r="W420" t="s">
        <v>783</v>
      </c>
      <c r="X420" s="6">
        <v>42075.360277777778</v>
      </c>
      <c r="Y420" t="s">
        <v>119</v>
      </c>
      <c r="AB420" t="s">
        <v>201</v>
      </c>
      <c r="AC420" t="s">
        <v>247</v>
      </c>
      <c r="AD420" t="s">
        <v>227</v>
      </c>
      <c r="AE420" t="s">
        <v>370</v>
      </c>
      <c r="AG420" t="s">
        <v>121</v>
      </c>
      <c r="AH420" t="s">
        <v>327</v>
      </c>
      <c r="AI420" t="s">
        <v>121</v>
      </c>
      <c r="AJ420" t="s">
        <v>716</v>
      </c>
      <c r="AK420" t="s">
        <v>121</v>
      </c>
      <c r="AL420" t="s">
        <v>121</v>
      </c>
      <c r="AM420" t="s">
        <v>121</v>
      </c>
    </row>
    <row r="421" spans="9:39" x14ac:dyDescent="0.3">
      <c r="I421">
        <f ca="1">IF(OR(INDIRECT(A73&amp;ROW())=B93,INDIRECT(A73&amp;ROW())=B94),1,IF(AND(INDIRECT(A73&amp;ROW())=B95,INDIRECT(A96&amp;ROW())=C93),1,IF(AND(INDIRECT(A73&amp;ROW())=B95,INDIRECT(A96&amp;ROW())=C94),1,0)))</f>
        <v>1</v>
      </c>
      <c r="J421">
        <f ca="1">IF(AND(INDIRECT(A73&amp;ROW())=B95,INDIRECT(A96&amp;ROW())=C95),1,IF(AND(INDIRECT(A73&amp;ROW())=B95,INDIRECT(A96&amp;ROW())=C96),1,0))</f>
        <v>0</v>
      </c>
      <c r="K421">
        <f ca="1">DAYS360(INDIRECT(C68&amp;ROW()),TODAY())</f>
        <v>759</v>
      </c>
      <c r="L421">
        <f ca="1">DAYS360(INDIRECT(C69&amp;ROW()),TODAY())</f>
        <v>769</v>
      </c>
      <c r="M421">
        <f ca="1">HYPERLINK(CONCATENATE("https://bugzilla.houston.hp.com:1181/bugzilla/show_bug.cgi?id=",INDIRECT(C70&amp;ROW())),INDIRECT(C70&amp;ROW()))</f>
        <v>58719</v>
      </c>
      <c r="N421">
        <v>58719</v>
      </c>
      <c r="O421" t="s">
        <v>250</v>
      </c>
      <c r="P421" t="s">
        <v>1410</v>
      </c>
      <c r="Q421" t="s">
        <v>25</v>
      </c>
      <c r="R421" t="s">
        <v>251</v>
      </c>
      <c r="S421" t="s">
        <v>53</v>
      </c>
      <c r="U421" s="6">
        <v>42086.705821759257</v>
      </c>
      <c r="V421" t="s">
        <v>35</v>
      </c>
      <c r="W421" t="s">
        <v>248</v>
      </c>
      <c r="X421" s="6">
        <v>42076.640763888892</v>
      </c>
      <c r="Y421" t="s">
        <v>123</v>
      </c>
      <c r="AB421" t="s">
        <v>200</v>
      </c>
      <c r="AC421" t="s">
        <v>247</v>
      </c>
      <c r="AD421" t="s">
        <v>220</v>
      </c>
      <c r="AE421" t="s">
        <v>219</v>
      </c>
      <c r="AG421" t="s">
        <v>121</v>
      </c>
      <c r="AH421" t="s">
        <v>327</v>
      </c>
      <c r="AI421" t="s">
        <v>121</v>
      </c>
      <c r="AJ421" t="s">
        <v>715</v>
      </c>
      <c r="AK421" t="s">
        <v>121</v>
      </c>
      <c r="AL421" t="s">
        <v>121</v>
      </c>
      <c r="AM421" t="s">
        <v>121</v>
      </c>
    </row>
    <row r="422" spans="9:39" x14ac:dyDescent="0.3">
      <c r="I422">
        <f ca="1">IF(OR(INDIRECT(A73&amp;ROW())=B93,INDIRECT(A73&amp;ROW())=B94),1,IF(AND(INDIRECT(A73&amp;ROW())=B95,INDIRECT(A96&amp;ROW())=C93),1,IF(AND(INDIRECT(A73&amp;ROW())=B95,INDIRECT(A96&amp;ROW())=C94),1,0)))</f>
        <v>1</v>
      </c>
      <c r="J422">
        <f ca="1">IF(AND(INDIRECT(A73&amp;ROW())=B95,INDIRECT(A96&amp;ROW())=C95),1,IF(AND(INDIRECT(A73&amp;ROW())=B95,INDIRECT(A96&amp;ROW())=C96),1,0))</f>
        <v>0</v>
      </c>
      <c r="K422">
        <f ca="1">DAYS360(INDIRECT(C68&amp;ROW()),TODAY())</f>
        <v>769</v>
      </c>
      <c r="L422">
        <f ca="1">DAYS360(INDIRECT(C69&amp;ROW()),TODAY())</f>
        <v>769</v>
      </c>
      <c r="M422">
        <f ca="1">HYPERLINK(CONCATENATE("https://bugzilla.houston.hp.com:1181/bugzilla/show_bug.cgi?id=",INDIRECT(C70&amp;ROW())),INDIRECT(C70&amp;ROW()))</f>
        <v>58720</v>
      </c>
      <c r="N422">
        <v>58720</v>
      </c>
      <c r="O422" t="s">
        <v>56</v>
      </c>
      <c r="P422" t="s">
        <v>805</v>
      </c>
      <c r="Q422" t="s">
        <v>25</v>
      </c>
      <c r="R422" t="s">
        <v>248</v>
      </c>
      <c r="S422" t="s">
        <v>552</v>
      </c>
      <c r="U422" s="6">
        <v>42076.652650462966</v>
      </c>
      <c r="V422" t="s">
        <v>18</v>
      </c>
      <c r="W422" t="s">
        <v>248</v>
      </c>
      <c r="X422" s="6">
        <v>42076.652650462966</v>
      </c>
      <c r="Y422" t="s">
        <v>123</v>
      </c>
      <c r="AB422" t="s">
        <v>200</v>
      </c>
      <c r="AC422" t="s">
        <v>247</v>
      </c>
      <c r="AD422" t="s">
        <v>220</v>
      </c>
      <c r="AE422" t="s">
        <v>219</v>
      </c>
      <c r="AG422" t="s">
        <v>121</v>
      </c>
      <c r="AH422" t="s">
        <v>327</v>
      </c>
      <c r="AI422" t="s">
        <v>121</v>
      </c>
      <c r="AJ422" t="s">
        <v>715</v>
      </c>
      <c r="AK422" t="s">
        <v>121</v>
      </c>
      <c r="AL422" t="s">
        <v>121</v>
      </c>
      <c r="AM422" t="s">
        <v>121</v>
      </c>
    </row>
    <row r="423" spans="9:39" x14ac:dyDescent="0.3">
      <c r="I423">
        <f ca="1">IF(OR(INDIRECT(A73&amp;ROW())=B93,INDIRECT(A73&amp;ROW())=B94),1,IF(AND(INDIRECT(A73&amp;ROW())=B95,INDIRECT(A96&amp;ROW())=C93),1,IF(AND(INDIRECT(A73&amp;ROW())=B95,INDIRECT(A96&amp;ROW())=C94),1,0)))</f>
        <v>1</v>
      </c>
      <c r="J423">
        <f ca="1">IF(AND(INDIRECT(A73&amp;ROW())=B95,INDIRECT(A96&amp;ROW())=C95),1,IF(AND(INDIRECT(A73&amp;ROW())=B95,INDIRECT(A96&amp;ROW())=C96),1,0))</f>
        <v>0</v>
      </c>
      <c r="K423">
        <f ca="1">DAYS360(INDIRECT(C68&amp;ROW()),TODAY())</f>
        <v>682</v>
      </c>
      <c r="L423">
        <f ca="1">DAYS360(INDIRECT(C69&amp;ROW()),TODAY())</f>
        <v>765</v>
      </c>
      <c r="M423">
        <f ca="1">HYPERLINK(CONCATENATE("https://bugzilla.houston.hp.com:1181/bugzilla/show_bug.cgi?id=",INDIRECT(C70&amp;ROW())),INDIRECT(C70&amp;ROW()))</f>
        <v>58905</v>
      </c>
      <c r="N423">
        <v>58905</v>
      </c>
      <c r="O423" t="s">
        <v>22</v>
      </c>
      <c r="P423" t="s">
        <v>812</v>
      </c>
      <c r="Q423" t="s">
        <v>25</v>
      </c>
      <c r="R423" t="s">
        <v>251</v>
      </c>
      <c r="S423" t="s">
        <v>24</v>
      </c>
      <c r="T423" t="s">
        <v>809</v>
      </c>
      <c r="U423" s="6">
        <v>42165.30364583333</v>
      </c>
      <c r="V423" t="s">
        <v>18</v>
      </c>
      <c r="W423" t="s">
        <v>764</v>
      </c>
      <c r="X423" s="6">
        <v>42080.415046296293</v>
      </c>
      <c r="Y423" t="s">
        <v>810</v>
      </c>
      <c r="AB423" t="s">
        <v>199</v>
      </c>
      <c r="AC423" t="s">
        <v>247</v>
      </c>
      <c r="AD423" t="s">
        <v>222</v>
      </c>
      <c r="AE423" t="s">
        <v>221</v>
      </c>
      <c r="AG423" t="s">
        <v>121</v>
      </c>
      <c r="AH423" t="s">
        <v>327</v>
      </c>
      <c r="AI423" t="s">
        <v>121</v>
      </c>
      <c r="AJ423" t="s">
        <v>715</v>
      </c>
      <c r="AK423" t="s">
        <v>121</v>
      </c>
      <c r="AL423" t="s">
        <v>121</v>
      </c>
      <c r="AM423" t="s">
        <v>121</v>
      </c>
    </row>
    <row r="424" spans="9:39" x14ac:dyDescent="0.3">
      <c r="I424">
        <f ca="1">IF(OR(INDIRECT(A73&amp;ROW())=B93,INDIRECT(A73&amp;ROW())=B94),1,IF(AND(INDIRECT(A73&amp;ROW())=B95,INDIRECT(A96&amp;ROW())=C93),1,IF(AND(INDIRECT(A73&amp;ROW())=B95,INDIRECT(A96&amp;ROW())=C94),1,0)))</f>
        <v>0</v>
      </c>
      <c r="J424">
        <f ca="1">IF(AND(INDIRECT(A73&amp;ROW())=B95,INDIRECT(A96&amp;ROW())=C95),1,IF(AND(INDIRECT(A73&amp;ROW())=B95,INDIRECT(A96&amp;ROW())=C96),1,0))</f>
        <v>0</v>
      </c>
      <c r="K424">
        <f ca="1">DAYS360(INDIRECT(C68&amp;ROW()),TODAY())</f>
        <v>765</v>
      </c>
      <c r="L424">
        <f ca="1">DAYS360(INDIRECT(C69&amp;ROW()),TODAY())</f>
        <v>765</v>
      </c>
      <c r="M424">
        <f ca="1">HYPERLINK(CONCATENATE("https://bugzilla.houston.hp.com:1181/bugzilla/show_bug.cgi?id=",INDIRECT(C70&amp;ROW())),INDIRECT(C70&amp;ROW()))</f>
        <v>58912</v>
      </c>
      <c r="N424">
        <v>58912</v>
      </c>
      <c r="O424" t="s">
        <v>56</v>
      </c>
      <c r="P424" t="s">
        <v>1411</v>
      </c>
      <c r="Q424" t="s">
        <v>16</v>
      </c>
      <c r="R424" t="s">
        <v>63</v>
      </c>
      <c r="S424" t="s">
        <v>552</v>
      </c>
      <c r="U424" s="6">
        <v>42080.537164351852</v>
      </c>
      <c r="V424" t="s">
        <v>18</v>
      </c>
      <c r="W424" t="s">
        <v>63</v>
      </c>
      <c r="X424" s="6">
        <v>42080.537164351852</v>
      </c>
      <c r="Y424" t="s">
        <v>786</v>
      </c>
      <c r="AB424" t="s">
        <v>200</v>
      </c>
      <c r="AC424" t="s">
        <v>247</v>
      </c>
      <c r="AD424" t="s">
        <v>220</v>
      </c>
      <c r="AE424" t="s">
        <v>219</v>
      </c>
      <c r="AG424" t="s">
        <v>121</v>
      </c>
      <c r="AH424" t="s">
        <v>327</v>
      </c>
      <c r="AI424" t="s">
        <v>121</v>
      </c>
      <c r="AJ424" t="s">
        <v>716</v>
      </c>
      <c r="AK424" t="s">
        <v>121</v>
      </c>
      <c r="AL424" t="s">
        <v>121</v>
      </c>
      <c r="AM424" t="s">
        <v>121</v>
      </c>
    </row>
    <row r="425" spans="9:39" x14ac:dyDescent="0.3">
      <c r="I425">
        <f ca="1">IF(OR(INDIRECT(A73&amp;ROW())=B93,INDIRECT(A73&amp;ROW())=B94),1,IF(AND(INDIRECT(A73&amp;ROW())=B95,INDIRECT(A96&amp;ROW())=C93),1,IF(AND(INDIRECT(A73&amp;ROW())=B95,INDIRECT(A96&amp;ROW())=C94),1,0)))</f>
        <v>1</v>
      </c>
      <c r="J425">
        <f ca="1">IF(AND(INDIRECT(A73&amp;ROW())=B95,INDIRECT(A96&amp;ROW())=C95),1,IF(AND(INDIRECT(A73&amp;ROW())=B95,INDIRECT(A96&amp;ROW())=C96),1,0))</f>
        <v>0</v>
      </c>
      <c r="K425">
        <f ca="1">DAYS360(INDIRECT(C68&amp;ROW()),TODAY())</f>
        <v>673</v>
      </c>
      <c r="L425">
        <f ca="1">DAYS360(INDIRECT(C69&amp;ROW()),TODAY())</f>
        <v>765</v>
      </c>
      <c r="M425">
        <f ca="1">HYPERLINK(CONCATENATE("https://bugzilla.houston.hp.com:1181/bugzilla/show_bug.cgi?id=",INDIRECT(C70&amp;ROW())),INDIRECT(C70&amp;ROW()))</f>
        <v>58914</v>
      </c>
      <c r="N425">
        <v>58914</v>
      </c>
      <c r="O425" t="s">
        <v>22</v>
      </c>
      <c r="P425" t="s">
        <v>811</v>
      </c>
      <c r="Q425" t="s">
        <v>25</v>
      </c>
      <c r="R425" t="s">
        <v>248</v>
      </c>
      <c r="S425" t="s">
        <v>552</v>
      </c>
      <c r="T425" t="s">
        <v>809</v>
      </c>
      <c r="U425" s="6">
        <v>42174.716041666667</v>
      </c>
      <c r="V425" t="s">
        <v>18</v>
      </c>
      <c r="W425" t="s">
        <v>764</v>
      </c>
      <c r="X425" s="6">
        <v>42080.545231481483</v>
      </c>
      <c r="Y425" t="s">
        <v>810</v>
      </c>
      <c r="AB425" t="s">
        <v>199</v>
      </c>
      <c r="AC425" t="s">
        <v>247</v>
      </c>
      <c r="AD425" t="s">
        <v>222</v>
      </c>
      <c r="AE425" t="s">
        <v>221</v>
      </c>
      <c r="AG425" t="s">
        <v>121</v>
      </c>
      <c r="AH425" t="s">
        <v>327</v>
      </c>
      <c r="AI425" t="s">
        <v>121</v>
      </c>
      <c r="AJ425" t="s">
        <v>715</v>
      </c>
      <c r="AK425" t="s">
        <v>121</v>
      </c>
      <c r="AL425" t="s">
        <v>121</v>
      </c>
      <c r="AM425" t="s">
        <v>121</v>
      </c>
    </row>
    <row r="426" spans="9:39" x14ac:dyDescent="0.3">
      <c r="I426">
        <f ca="1">IF(OR(INDIRECT(A73&amp;ROW())=B93,INDIRECT(A73&amp;ROW())=B94),1,IF(AND(INDIRECT(A73&amp;ROW())=B95,INDIRECT(A96&amp;ROW())=C93),1,IF(AND(INDIRECT(A73&amp;ROW())=B95,INDIRECT(A96&amp;ROW())=C94),1,0)))</f>
        <v>0</v>
      </c>
      <c r="J426">
        <f ca="1">IF(AND(INDIRECT(A73&amp;ROW())=B95,INDIRECT(A96&amp;ROW())=C95),1,IF(AND(INDIRECT(A73&amp;ROW())=B95,INDIRECT(A96&amp;ROW())=C96),1,0))</f>
        <v>1</v>
      </c>
      <c r="K426">
        <f ca="1">DAYS360(INDIRECT(C68&amp;ROW()),TODAY())</f>
        <v>684</v>
      </c>
      <c r="L426">
        <f ca="1">DAYS360(INDIRECT(C69&amp;ROW()),TODAY())</f>
        <v>759</v>
      </c>
      <c r="M426">
        <f ca="1">HYPERLINK(CONCATENATE("https://bugzilla.houston.hp.com:1181/bugzilla/show_bug.cgi?id=",INDIRECT(C70&amp;ROW())),INDIRECT(C70&amp;ROW()))</f>
        <v>59164</v>
      </c>
      <c r="N426">
        <v>59164</v>
      </c>
      <c r="O426" t="s">
        <v>53</v>
      </c>
      <c r="P426" t="s">
        <v>1011</v>
      </c>
      <c r="Q426" t="s">
        <v>25</v>
      </c>
      <c r="R426" t="s">
        <v>251</v>
      </c>
      <c r="S426" t="s">
        <v>773</v>
      </c>
      <c r="U426" s="6">
        <v>42163.549826388888</v>
      </c>
      <c r="V426" t="s">
        <v>18</v>
      </c>
      <c r="W426" t="s">
        <v>17</v>
      </c>
      <c r="X426" s="6">
        <v>42086.240844907406</v>
      </c>
      <c r="Y426" t="s">
        <v>125</v>
      </c>
      <c r="AB426" t="s">
        <v>201</v>
      </c>
      <c r="AC426" t="s">
        <v>247</v>
      </c>
      <c r="AD426" t="s">
        <v>222</v>
      </c>
      <c r="AE426" t="s">
        <v>221</v>
      </c>
      <c r="AG426" t="s">
        <v>121</v>
      </c>
      <c r="AH426" t="s">
        <v>327</v>
      </c>
      <c r="AI426" t="s">
        <v>121</v>
      </c>
      <c r="AJ426" t="s">
        <v>716</v>
      </c>
      <c r="AK426" t="s">
        <v>121</v>
      </c>
      <c r="AL426" t="s">
        <v>121</v>
      </c>
      <c r="AM426" t="s">
        <v>121</v>
      </c>
    </row>
    <row r="427" spans="9:39" x14ac:dyDescent="0.3">
      <c r="I427">
        <f ca="1">IF(OR(INDIRECT(A73&amp;ROW())=B93,INDIRECT(A73&amp;ROW())=B94),1,IF(AND(INDIRECT(A73&amp;ROW())=B95,INDIRECT(A96&amp;ROW())=C93),1,IF(AND(INDIRECT(A73&amp;ROW())=B95,INDIRECT(A96&amp;ROW())=C94),1,0)))</f>
        <v>0</v>
      </c>
      <c r="J427">
        <f ca="1">IF(AND(INDIRECT(A73&amp;ROW())=B95,INDIRECT(A96&amp;ROW())=C95),1,IF(AND(INDIRECT(A73&amp;ROW())=B95,INDIRECT(A96&amp;ROW())=C96),1,0))</f>
        <v>1</v>
      </c>
      <c r="K427">
        <f ca="1">DAYS360(INDIRECT(C68&amp;ROW()),TODAY())</f>
        <v>710</v>
      </c>
      <c r="L427">
        <f ca="1">DAYS360(INDIRECT(C69&amp;ROW()),TODAY())</f>
        <v>758</v>
      </c>
      <c r="M427">
        <f ca="1">HYPERLINK(CONCATENATE("https://bugzilla.houston.hp.com:1181/bugzilla/show_bug.cgi?id=",INDIRECT(C70&amp;ROW())),INDIRECT(C70&amp;ROW()))</f>
        <v>59208</v>
      </c>
      <c r="N427">
        <v>59208</v>
      </c>
      <c r="O427" t="s">
        <v>53</v>
      </c>
      <c r="P427" t="s">
        <v>1048</v>
      </c>
      <c r="Q427" t="s">
        <v>25</v>
      </c>
      <c r="R427" t="s">
        <v>783</v>
      </c>
      <c r="S427" t="s">
        <v>1045</v>
      </c>
      <c r="U427" s="6">
        <v>42136.46534722222</v>
      </c>
      <c r="V427" t="s">
        <v>18</v>
      </c>
      <c r="W427" t="s">
        <v>17</v>
      </c>
      <c r="X427" s="6">
        <v>42087.026030092595</v>
      </c>
      <c r="Y427" t="s">
        <v>125</v>
      </c>
      <c r="AB427" t="s">
        <v>201</v>
      </c>
      <c r="AC427" t="s">
        <v>247</v>
      </c>
      <c r="AD427" t="s">
        <v>222</v>
      </c>
      <c r="AE427" t="s">
        <v>221</v>
      </c>
      <c r="AG427" t="s">
        <v>121</v>
      </c>
      <c r="AH427" t="s">
        <v>327</v>
      </c>
      <c r="AI427" t="s">
        <v>121</v>
      </c>
      <c r="AJ427" t="s">
        <v>716</v>
      </c>
      <c r="AK427" t="s">
        <v>121</v>
      </c>
      <c r="AL427" t="s">
        <v>121</v>
      </c>
      <c r="AM427" t="s">
        <v>121</v>
      </c>
    </row>
    <row r="428" spans="9:39" x14ac:dyDescent="0.3">
      <c r="I428">
        <f ca="1">IF(OR(INDIRECT(A73&amp;ROW())=B93,INDIRECT(A73&amp;ROW())=B94),1,IF(AND(INDIRECT(A73&amp;ROW())=B95,INDIRECT(A96&amp;ROW())=C93),1,IF(AND(INDIRECT(A73&amp;ROW())=B95,INDIRECT(A96&amp;ROW())=C94),1,0)))</f>
        <v>0</v>
      </c>
      <c r="J428">
        <f ca="1">IF(AND(INDIRECT(A73&amp;ROW())=B95,INDIRECT(A96&amp;ROW())=C95),1,IF(AND(INDIRECT(A73&amp;ROW())=B95,INDIRECT(A96&amp;ROW())=C96),1,0))</f>
        <v>1</v>
      </c>
      <c r="K428">
        <f ca="1">DAYS360(INDIRECT(C68&amp;ROW()),TODAY())</f>
        <v>710</v>
      </c>
      <c r="L428">
        <f ca="1">DAYS360(INDIRECT(C69&amp;ROW()),TODAY())</f>
        <v>758</v>
      </c>
      <c r="M428">
        <f ca="1">HYPERLINK(CONCATENATE("https://bugzilla.houston.hp.com:1181/bugzilla/show_bug.cgi?id=",INDIRECT(C70&amp;ROW())),INDIRECT(C70&amp;ROW()))</f>
        <v>59210</v>
      </c>
      <c r="N428">
        <v>59210</v>
      </c>
      <c r="O428" t="s">
        <v>53</v>
      </c>
      <c r="P428" t="s">
        <v>1046</v>
      </c>
      <c r="Q428" t="s">
        <v>25</v>
      </c>
      <c r="R428" t="s">
        <v>248</v>
      </c>
      <c r="S428" t="s">
        <v>1045</v>
      </c>
      <c r="U428" s="6">
        <v>42136.465567129628</v>
      </c>
      <c r="V428" t="s">
        <v>18</v>
      </c>
      <c r="W428" t="s">
        <v>17</v>
      </c>
      <c r="X428" s="6">
        <v>42087.026250000003</v>
      </c>
      <c r="Y428" t="s">
        <v>125</v>
      </c>
      <c r="AB428" t="s">
        <v>201</v>
      </c>
      <c r="AC428" t="s">
        <v>247</v>
      </c>
      <c r="AD428" t="s">
        <v>222</v>
      </c>
      <c r="AE428" t="s">
        <v>221</v>
      </c>
      <c r="AG428" t="s">
        <v>121</v>
      </c>
      <c r="AH428" t="s">
        <v>327</v>
      </c>
      <c r="AI428" t="s">
        <v>121</v>
      </c>
      <c r="AJ428" t="s">
        <v>716</v>
      </c>
      <c r="AK428" t="s">
        <v>121</v>
      </c>
      <c r="AL428" t="s">
        <v>121</v>
      </c>
      <c r="AM428" t="s">
        <v>121</v>
      </c>
    </row>
    <row r="429" spans="9:39" x14ac:dyDescent="0.3">
      <c r="I429">
        <f ca="1">IF(OR(INDIRECT(A73&amp;ROW())=B93,INDIRECT(A73&amp;ROW())=B94),1,IF(AND(INDIRECT(A73&amp;ROW())=B95,INDIRECT(A96&amp;ROW())=C93),1,IF(AND(INDIRECT(A73&amp;ROW())=B95,INDIRECT(A96&amp;ROW())=C94),1,0)))</f>
        <v>1</v>
      </c>
      <c r="J429">
        <f ca="1">IF(AND(INDIRECT(A73&amp;ROW())=B95,INDIRECT(A96&amp;ROW())=C95),1,IF(AND(INDIRECT(A73&amp;ROW())=B95,INDIRECT(A96&amp;ROW())=C96),1,0))</f>
        <v>0</v>
      </c>
      <c r="K429">
        <f ca="1">DAYS360(INDIRECT(C68&amp;ROW()),TODAY())</f>
        <v>675</v>
      </c>
      <c r="L429">
        <f ca="1">DAYS360(INDIRECT(C69&amp;ROW()),TODAY())</f>
        <v>758</v>
      </c>
      <c r="M429">
        <f ca="1">HYPERLINK(CONCATENATE("https://bugzilla.houston.hp.com:1181/bugzilla/show_bug.cgi?id=",INDIRECT(C70&amp;ROW())),INDIRECT(C70&amp;ROW()))</f>
        <v>59230</v>
      </c>
      <c r="N429">
        <v>59230</v>
      </c>
      <c r="O429" t="s">
        <v>33</v>
      </c>
      <c r="P429" t="s">
        <v>819</v>
      </c>
      <c r="Q429" t="s">
        <v>25</v>
      </c>
      <c r="R429" t="s">
        <v>251</v>
      </c>
      <c r="S429" t="s">
        <v>33</v>
      </c>
      <c r="U429" s="6">
        <v>42172.24355324074</v>
      </c>
      <c r="V429" t="s">
        <v>18</v>
      </c>
      <c r="W429" t="s">
        <v>783</v>
      </c>
      <c r="X429" s="6">
        <v>42087.257743055554</v>
      </c>
      <c r="Y429" t="s">
        <v>119</v>
      </c>
      <c r="AB429" t="s">
        <v>200</v>
      </c>
      <c r="AC429" t="s">
        <v>247</v>
      </c>
      <c r="AD429" t="s">
        <v>220</v>
      </c>
      <c r="AE429" t="s">
        <v>223</v>
      </c>
      <c r="AG429" t="s">
        <v>121</v>
      </c>
      <c r="AH429" t="s">
        <v>327</v>
      </c>
      <c r="AI429" t="s">
        <v>121</v>
      </c>
      <c r="AJ429" t="s">
        <v>715</v>
      </c>
      <c r="AK429" t="s">
        <v>121</v>
      </c>
      <c r="AL429" t="s">
        <v>121</v>
      </c>
      <c r="AM429" t="s">
        <v>121</v>
      </c>
    </row>
    <row r="430" spans="9:39" x14ac:dyDescent="0.3">
      <c r="I430">
        <f ca="1">IF(OR(INDIRECT(A73&amp;ROW())=B93,INDIRECT(A73&amp;ROW())=B94),1,IF(AND(INDIRECT(A73&amp;ROW())=B95,INDIRECT(A96&amp;ROW())=C93),1,IF(AND(INDIRECT(A73&amp;ROW())=B95,INDIRECT(A96&amp;ROW())=C94),1,0)))</f>
        <v>1</v>
      </c>
      <c r="J430">
        <f ca="1">IF(AND(INDIRECT(A73&amp;ROW())=B95,INDIRECT(A96&amp;ROW())=C95),1,IF(AND(INDIRECT(A73&amp;ROW())=B95,INDIRECT(A96&amp;ROW())=C96),1,0))</f>
        <v>0</v>
      </c>
      <c r="K430">
        <f ca="1">DAYS360(INDIRECT(C68&amp;ROW()),TODAY())</f>
        <v>690</v>
      </c>
      <c r="L430">
        <f ca="1">DAYS360(INDIRECT(C69&amp;ROW()),TODAY())</f>
        <v>758</v>
      </c>
      <c r="M430">
        <f ca="1">HYPERLINK(CONCATENATE("https://bugzilla.houston.hp.com:1181/bugzilla/show_bug.cgi?id=",INDIRECT(C70&amp;ROW())),INDIRECT(C70&amp;ROW()))</f>
        <v>59259</v>
      </c>
      <c r="N430">
        <v>59259</v>
      </c>
      <c r="O430" t="s">
        <v>22</v>
      </c>
      <c r="P430" t="s">
        <v>818</v>
      </c>
      <c r="Q430" t="s">
        <v>25</v>
      </c>
      <c r="R430" t="s">
        <v>579</v>
      </c>
      <c r="S430" t="s">
        <v>552</v>
      </c>
      <c r="T430" t="s">
        <v>822</v>
      </c>
      <c r="U430" s="6">
        <v>42157.090439814812</v>
      </c>
      <c r="V430" t="s">
        <v>18</v>
      </c>
      <c r="W430" t="s">
        <v>783</v>
      </c>
      <c r="X430" s="6">
        <v>42087.716736111113</v>
      </c>
      <c r="Y430" t="s">
        <v>119</v>
      </c>
      <c r="AB430" t="s">
        <v>200</v>
      </c>
      <c r="AC430" t="s">
        <v>247</v>
      </c>
      <c r="AD430" t="s">
        <v>220</v>
      </c>
      <c r="AE430" t="s">
        <v>223</v>
      </c>
      <c r="AG430" t="s">
        <v>121</v>
      </c>
      <c r="AH430" t="s">
        <v>327</v>
      </c>
      <c r="AI430" t="s">
        <v>362</v>
      </c>
      <c r="AJ430" t="s">
        <v>715</v>
      </c>
      <c r="AK430" t="s">
        <v>121</v>
      </c>
      <c r="AL430" t="s">
        <v>121</v>
      </c>
      <c r="AM430" t="s">
        <v>121</v>
      </c>
    </row>
    <row r="431" spans="9:39" x14ac:dyDescent="0.3">
      <c r="I431">
        <f ca="1">IF(OR(INDIRECT(A73&amp;ROW())=B93,INDIRECT(A73&amp;ROW())=B94),1,IF(AND(INDIRECT(A73&amp;ROW())=B95,INDIRECT(A96&amp;ROW())=C93),1,IF(AND(INDIRECT(A73&amp;ROW())=B95,INDIRECT(A96&amp;ROW())=C94),1,0)))</f>
        <v>1</v>
      </c>
      <c r="J431">
        <f ca="1">IF(AND(INDIRECT(A73&amp;ROW())=B95,INDIRECT(A96&amp;ROW())=C95),1,IF(AND(INDIRECT(A73&amp;ROW())=B95,INDIRECT(A96&amp;ROW())=C96),1,0))</f>
        <v>0</v>
      </c>
      <c r="K431">
        <f ca="1">DAYS360(INDIRECT(C68&amp;ROW()),TODAY())</f>
        <v>690</v>
      </c>
      <c r="L431">
        <f ca="1">DAYS360(INDIRECT(C69&amp;ROW()),TODAY())</f>
        <v>758</v>
      </c>
      <c r="M431">
        <f ca="1">HYPERLINK(CONCATENATE("https://bugzilla.houston.hp.com:1181/bugzilla/show_bug.cgi?id=",INDIRECT(C70&amp;ROW())),INDIRECT(C70&amp;ROW()))</f>
        <v>59260</v>
      </c>
      <c r="N431">
        <v>59260</v>
      </c>
      <c r="O431" t="s">
        <v>22</v>
      </c>
      <c r="P431" t="s">
        <v>817</v>
      </c>
      <c r="Q431" t="s">
        <v>25</v>
      </c>
      <c r="R431" t="s">
        <v>248</v>
      </c>
      <c r="S431" t="s">
        <v>552</v>
      </c>
      <c r="U431" s="6">
        <v>42157.091111111113</v>
      </c>
      <c r="V431" t="s">
        <v>18</v>
      </c>
      <c r="W431" t="s">
        <v>783</v>
      </c>
      <c r="X431" s="6">
        <v>42087.716840277775</v>
      </c>
      <c r="Y431" t="s">
        <v>119</v>
      </c>
      <c r="AB431" t="s">
        <v>200</v>
      </c>
      <c r="AC431" t="s">
        <v>247</v>
      </c>
      <c r="AD431" t="s">
        <v>220</v>
      </c>
      <c r="AE431" t="s">
        <v>223</v>
      </c>
      <c r="AG431" t="s">
        <v>121</v>
      </c>
      <c r="AH431" t="s">
        <v>327</v>
      </c>
      <c r="AI431" t="s">
        <v>121</v>
      </c>
      <c r="AJ431" t="s">
        <v>715</v>
      </c>
      <c r="AK431" t="s">
        <v>121</v>
      </c>
      <c r="AL431" t="s">
        <v>121</v>
      </c>
      <c r="AM431" t="s">
        <v>121</v>
      </c>
    </row>
    <row r="432" spans="9:39" x14ac:dyDescent="0.3">
      <c r="I432">
        <f ca="1">IF(OR(INDIRECT(A73&amp;ROW())=B93,INDIRECT(A73&amp;ROW())=B94),1,IF(AND(INDIRECT(A73&amp;ROW())=B95,INDIRECT(A96&amp;ROW())=C93),1,IF(AND(INDIRECT(A73&amp;ROW())=B95,INDIRECT(A96&amp;ROW())=C94),1,0)))</f>
        <v>0</v>
      </c>
      <c r="J432">
        <f ca="1">IF(AND(INDIRECT(A73&amp;ROW())=B95,INDIRECT(A96&amp;ROW())=C95),1,IF(AND(INDIRECT(A73&amp;ROW())=B95,INDIRECT(A96&amp;ROW())=C96),1,0))</f>
        <v>1</v>
      </c>
      <c r="K432">
        <f ca="1">DAYS360(INDIRECT(C68&amp;ROW()),TODAY())</f>
        <v>671</v>
      </c>
      <c r="L432">
        <f ca="1">DAYS360(INDIRECT(C69&amp;ROW()),TODAY())</f>
        <v>757</v>
      </c>
      <c r="M432">
        <f ca="1">HYPERLINK(CONCATENATE("https://bugzilla.houston.hp.com:1181/bugzilla/show_bug.cgi?id=",INDIRECT(C70&amp;ROW())),INDIRECT(C70&amp;ROW()))</f>
        <v>59347</v>
      </c>
      <c r="N432">
        <v>59347</v>
      </c>
      <c r="O432" t="s">
        <v>22</v>
      </c>
      <c r="P432" t="s">
        <v>830</v>
      </c>
      <c r="Q432" t="s">
        <v>25</v>
      </c>
      <c r="R432" t="s">
        <v>251</v>
      </c>
      <c r="S432" t="s">
        <v>253</v>
      </c>
      <c r="U432" s="6">
        <v>42176.057349537034</v>
      </c>
      <c r="V432" t="s">
        <v>18</v>
      </c>
      <c r="W432" t="s">
        <v>17</v>
      </c>
      <c r="X432" s="6">
        <v>42088.711562500001</v>
      </c>
      <c r="Y432" t="s">
        <v>246</v>
      </c>
      <c r="AB432" t="s">
        <v>201</v>
      </c>
      <c r="AC432" t="s">
        <v>247</v>
      </c>
      <c r="AD432" t="s">
        <v>222</v>
      </c>
      <c r="AE432" t="s">
        <v>225</v>
      </c>
      <c r="AG432" t="s">
        <v>121</v>
      </c>
      <c r="AH432" t="s">
        <v>327</v>
      </c>
      <c r="AI432" t="s">
        <v>121</v>
      </c>
      <c r="AJ432" t="s">
        <v>716</v>
      </c>
      <c r="AK432" t="s">
        <v>121</v>
      </c>
      <c r="AL432" t="s">
        <v>121</v>
      </c>
      <c r="AM432" t="s">
        <v>121</v>
      </c>
    </row>
    <row r="433" spans="9:39" x14ac:dyDescent="0.3">
      <c r="I433">
        <f ca="1">IF(OR(INDIRECT(A73&amp;ROW())=B93,INDIRECT(A73&amp;ROW())=B94),1,IF(AND(INDIRECT(A73&amp;ROW())=B95,INDIRECT(A96&amp;ROW())=C93),1,IF(AND(INDIRECT(A73&amp;ROW())=B95,INDIRECT(A96&amp;ROW())=C94),1,0)))</f>
        <v>0</v>
      </c>
      <c r="J433">
        <f ca="1">IF(AND(INDIRECT(A73&amp;ROW())=B95,INDIRECT(A96&amp;ROW())=C95),1,IF(AND(INDIRECT(A73&amp;ROW())=B95,INDIRECT(A96&amp;ROW())=C96),1,0))</f>
        <v>1</v>
      </c>
      <c r="K433">
        <f ca="1">DAYS360(INDIRECT(C68&amp;ROW()),TODAY())</f>
        <v>684</v>
      </c>
      <c r="L433">
        <f ca="1">DAYS360(INDIRECT(C69&amp;ROW()),TODAY())</f>
        <v>757</v>
      </c>
      <c r="M433">
        <f ca="1">HYPERLINK(CONCATENATE("https://bugzilla.houston.hp.com:1181/bugzilla/show_bug.cgi?id=",INDIRECT(C70&amp;ROW())),INDIRECT(C70&amp;ROW()))</f>
        <v>59348</v>
      </c>
      <c r="N433">
        <v>59348</v>
      </c>
      <c r="O433" t="s">
        <v>22</v>
      </c>
      <c r="P433" t="s">
        <v>829</v>
      </c>
      <c r="Q433" t="s">
        <v>25</v>
      </c>
      <c r="R433" t="s">
        <v>251</v>
      </c>
      <c r="S433" t="s">
        <v>253</v>
      </c>
      <c r="U433" s="6">
        <v>42163.565648148149</v>
      </c>
      <c r="V433" t="s">
        <v>18</v>
      </c>
      <c r="W433" t="s">
        <v>17</v>
      </c>
      <c r="X433" s="6">
        <v>42088.71303240741</v>
      </c>
      <c r="Y433" t="s">
        <v>246</v>
      </c>
      <c r="AB433" t="s">
        <v>201</v>
      </c>
      <c r="AC433" t="s">
        <v>247</v>
      </c>
      <c r="AD433" t="s">
        <v>222</v>
      </c>
      <c r="AE433" t="s">
        <v>232</v>
      </c>
      <c r="AG433" t="s">
        <v>121</v>
      </c>
      <c r="AH433" t="s">
        <v>327</v>
      </c>
      <c r="AI433" t="s">
        <v>121</v>
      </c>
      <c r="AJ433" t="s">
        <v>716</v>
      </c>
      <c r="AK433" t="s">
        <v>121</v>
      </c>
      <c r="AL433" t="s">
        <v>121</v>
      </c>
      <c r="AM433" t="s">
        <v>121</v>
      </c>
    </row>
    <row r="434" spans="9:39" x14ac:dyDescent="0.3">
      <c r="I434">
        <f ca="1">IF(OR(INDIRECT(A73&amp;ROW())=B93,INDIRECT(A73&amp;ROW())=B94),1,IF(AND(INDIRECT(A73&amp;ROW())=B95,INDIRECT(A96&amp;ROW())=C93),1,IF(AND(INDIRECT(A73&amp;ROW())=B95,INDIRECT(A96&amp;ROW())=C94),1,0)))</f>
        <v>0</v>
      </c>
      <c r="J434">
        <f ca="1">IF(AND(INDIRECT(A73&amp;ROW())=B95,INDIRECT(A96&amp;ROW())=C95),1,IF(AND(INDIRECT(A73&amp;ROW())=B95,INDIRECT(A96&amp;ROW())=C96),1,0))</f>
        <v>1</v>
      </c>
      <c r="K434">
        <f ca="1">DAYS360(INDIRECT(C68&amp;ROW()),TODAY())</f>
        <v>752</v>
      </c>
      <c r="L434">
        <f ca="1">DAYS360(INDIRECT(C69&amp;ROW()),TODAY())</f>
        <v>756</v>
      </c>
      <c r="M434">
        <f ca="1">HYPERLINK(CONCATENATE("https://bugzilla.houston.hp.com:1181/bugzilla/show_bug.cgi?id=",INDIRECT(C70&amp;ROW())),INDIRECT(C70&amp;ROW()))</f>
        <v>59359</v>
      </c>
      <c r="N434">
        <v>59359</v>
      </c>
      <c r="O434" t="s">
        <v>22</v>
      </c>
      <c r="P434" t="s">
        <v>828</v>
      </c>
      <c r="Q434" t="s">
        <v>25</v>
      </c>
      <c r="R434" t="s">
        <v>579</v>
      </c>
      <c r="S434" t="s">
        <v>552</v>
      </c>
      <c r="T434" t="s">
        <v>835</v>
      </c>
      <c r="U434" s="6">
        <v>42094.334027777775</v>
      </c>
      <c r="V434" t="s">
        <v>18</v>
      </c>
      <c r="W434" t="s">
        <v>17</v>
      </c>
      <c r="X434" s="6">
        <v>42089.015092592592</v>
      </c>
      <c r="Y434" t="s">
        <v>246</v>
      </c>
      <c r="AB434" t="s">
        <v>201</v>
      </c>
      <c r="AC434" t="s">
        <v>247</v>
      </c>
      <c r="AD434" t="s">
        <v>222</v>
      </c>
      <c r="AE434" t="s">
        <v>232</v>
      </c>
      <c r="AG434" t="s">
        <v>121</v>
      </c>
      <c r="AH434" t="s">
        <v>327</v>
      </c>
      <c r="AI434" t="s">
        <v>121</v>
      </c>
      <c r="AJ434" t="s">
        <v>716</v>
      </c>
      <c r="AK434" t="s">
        <v>121</v>
      </c>
      <c r="AL434" t="s">
        <v>121</v>
      </c>
      <c r="AM434" t="s">
        <v>121</v>
      </c>
    </row>
    <row r="435" spans="9:39" x14ac:dyDescent="0.3">
      <c r="I435">
        <f ca="1">IF(OR(INDIRECT(A73&amp;ROW())=B93,INDIRECT(A73&amp;ROW())=B94),1,IF(AND(INDIRECT(A73&amp;ROW())=B95,INDIRECT(A96&amp;ROW())=C93),1,IF(AND(INDIRECT(A73&amp;ROW())=B95,INDIRECT(A96&amp;ROW())=C94),1,0)))</f>
        <v>0</v>
      </c>
      <c r="J435">
        <f ca="1">IF(AND(INDIRECT(A73&amp;ROW())=B95,INDIRECT(A96&amp;ROW())=C95),1,IF(AND(INDIRECT(A73&amp;ROW())=B95,INDIRECT(A96&amp;ROW())=C96),1,0))</f>
        <v>1</v>
      </c>
      <c r="K435">
        <f ca="1">DAYS360(INDIRECT(C68&amp;ROW()),TODAY())</f>
        <v>752</v>
      </c>
      <c r="L435">
        <f ca="1">DAYS360(INDIRECT(C69&amp;ROW()),TODAY())</f>
        <v>756</v>
      </c>
      <c r="M435">
        <f ca="1">HYPERLINK(CONCATENATE("https://bugzilla.houston.hp.com:1181/bugzilla/show_bug.cgi?id=",INDIRECT(C70&amp;ROW())),INDIRECT(C70&amp;ROW()))</f>
        <v>59360</v>
      </c>
      <c r="N435">
        <v>59360</v>
      </c>
      <c r="O435" t="s">
        <v>22</v>
      </c>
      <c r="P435" t="s">
        <v>827</v>
      </c>
      <c r="Q435" t="s">
        <v>25</v>
      </c>
      <c r="R435" t="s">
        <v>248</v>
      </c>
      <c r="S435" t="s">
        <v>552</v>
      </c>
      <c r="U435" s="6">
        <v>42093.311527777776</v>
      </c>
      <c r="V435" t="s">
        <v>18</v>
      </c>
      <c r="W435" t="s">
        <v>17</v>
      </c>
      <c r="X435" s="6">
        <v>42089.015150462961</v>
      </c>
      <c r="Y435" t="s">
        <v>246</v>
      </c>
      <c r="AB435" t="s">
        <v>201</v>
      </c>
      <c r="AC435" t="s">
        <v>247</v>
      </c>
      <c r="AD435" t="s">
        <v>222</v>
      </c>
      <c r="AE435" t="s">
        <v>232</v>
      </c>
      <c r="AG435" t="s">
        <v>121</v>
      </c>
      <c r="AH435" t="s">
        <v>327</v>
      </c>
      <c r="AI435" t="s">
        <v>121</v>
      </c>
      <c r="AJ435" t="s">
        <v>716</v>
      </c>
      <c r="AK435" t="s">
        <v>121</v>
      </c>
      <c r="AL435" t="s">
        <v>121</v>
      </c>
      <c r="AM435" t="s">
        <v>121</v>
      </c>
    </row>
    <row r="436" spans="9:39" x14ac:dyDescent="0.3">
      <c r="I436">
        <f ca="1">IF(OR(INDIRECT(A73&amp;ROW())=B93,INDIRECT(A73&amp;ROW())=B94),1,IF(AND(INDIRECT(A73&amp;ROW())=B95,INDIRECT(A96&amp;ROW())=C93),1,IF(AND(INDIRECT(A73&amp;ROW())=B95,INDIRECT(A96&amp;ROW())=C94),1,0)))</f>
        <v>0</v>
      </c>
      <c r="J436">
        <f ca="1">IF(AND(INDIRECT(A73&amp;ROW())=B95,INDIRECT(A96&amp;ROW())=C95),1,IF(AND(INDIRECT(A73&amp;ROW())=B95,INDIRECT(A96&amp;ROW())=C96),1,0))</f>
        <v>1</v>
      </c>
      <c r="K436">
        <f ca="1">DAYS360(INDIRECT(C68&amp;ROW()),TODAY())</f>
        <v>752</v>
      </c>
      <c r="L436">
        <f ca="1">DAYS360(INDIRECT(C69&amp;ROW()),TODAY())</f>
        <v>755</v>
      </c>
      <c r="M436">
        <f ca="1">HYPERLINK(CONCATENATE("https://bugzilla.houston.hp.com:1181/bugzilla/show_bug.cgi?id=",INDIRECT(C70&amp;ROW())),INDIRECT(C70&amp;ROW()))</f>
        <v>59450</v>
      </c>
      <c r="N436">
        <v>59450</v>
      </c>
      <c r="O436" t="s">
        <v>22</v>
      </c>
      <c r="P436" t="s">
        <v>824</v>
      </c>
      <c r="Q436" t="s">
        <v>25</v>
      </c>
      <c r="R436" t="s">
        <v>248</v>
      </c>
      <c r="S436" t="s">
        <v>552</v>
      </c>
      <c r="U436" s="6">
        <v>42093.311597222222</v>
      </c>
      <c r="V436" t="s">
        <v>18</v>
      </c>
      <c r="W436" t="s">
        <v>17</v>
      </c>
      <c r="X436" s="6">
        <v>42090.015208333331</v>
      </c>
      <c r="Y436" t="s">
        <v>246</v>
      </c>
      <c r="AB436" t="s">
        <v>201</v>
      </c>
      <c r="AC436" t="s">
        <v>247</v>
      </c>
      <c r="AD436" t="s">
        <v>222</v>
      </c>
      <c r="AE436" t="s">
        <v>232</v>
      </c>
      <c r="AG436" t="s">
        <v>121</v>
      </c>
      <c r="AH436" t="s">
        <v>327</v>
      </c>
      <c r="AI436" t="s">
        <v>121</v>
      </c>
      <c r="AJ436" t="s">
        <v>716</v>
      </c>
      <c r="AK436" t="s">
        <v>121</v>
      </c>
      <c r="AL436" t="s">
        <v>121</v>
      </c>
      <c r="AM436" t="s">
        <v>121</v>
      </c>
    </row>
    <row r="437" spans="9:39" x14ac:dyDescent="0.3">
      <c r="I437">
        <f ca="1">IF(OR(INDIRECT(A73&amp;ROW())=B93,INDIRECT(A73&amp;ROW())=B94),1,IF(AND(INDIRECT(A73&amp;ROW())=B95,INDIRECT(A96&amp;ROW())=C93),1,IF(AND(INDIRECT(A73&amp;ROW())=B95,INDIRECT(A96&amp;ROW())=C94),1,0)))</f>
        <v>0</v>
      </c>
      <c r="J437">
        <f ca="1">IF(AND(INDIRECT(A73&amp;ROW())=B95,INDIRECT(A96&amp;ROW())=C95),1,IF(AND(INDIRECT(A73&amp;ROW())=B95,INDIRECT(A96&amp;ROW())=C96),1,0))</f>
        <v>0</v>
      </c>
      <c r="K437">
        <f ca="1">DAYS360(INDIRECT(C68&amp;ROW()),TODAY())</f>
        <v>724</v>
      </c>
      <c r="L437">
        <f ca="1">DAYS360(INDIRECT(C69&amp;ROW()),TODAY())</f>
        <v>755</v>
      </c>
      <c r="M437">
        <f ca="1">HYPERLINK(CONCATENATE("https://bugzilla.houston.hp.com:1181/bugzilla/show_bug.cgi?id=",INDIRECT(C70&amp;ROW())),INDIRECT(C70&amp;ROW()))</f>
        <v>59484</v>
      </c>
      <c r="N437">
        <v>59484</v>
      </c>
      <c r="O437" t="s">
        <v>164</v>
      </c>
      <c r="P437" t="s">
        <v>845</v>
      </c>
      <c r="Q437" t="s">
        <v>16</v>
      </c>
      <c r="R437" t="s">
        <v>251</v>
      </c>
      <c r="S437" t="s">
        <v>823</v>
      </c>
      <c r="T437" t="s">
        <v>181</v>
      </c>
      <c r="U437" s="6">
        <v>42122.283194444448</v>
      </c>
      <c r="V437" t="s">
        <v>35</v>
      </c>
      <c r="W437" t="s">
        <v>17</v>
      </c>
      <c r="X437" s="6">
        <v>42090.238715277781</v>
      </c>
      <c r="Y437" t="s">
        <v>123</v>
      </c>
      <c r="AB437" t="s">
        <v>201</v>
      </c>
      <c r="AC437" t="s">
        <v>247</v>
      </c>
      <c r="AD437" t="s">
        <v>220</v>
      </c>
      <c r="AE437" t="s">
        <v>219</v>
      </c>
      <c r="AG437" t="s">
        <v>121</v>
      </c>
      <c r="AH437" t="s">
        <v>327</v>
      </c>
      <c r="AI437" t="s">
        <v>121</v>
      </c>
      <c r="AJ437" t="s">
        <v>717</v>
      </c>
      <c r="AK437" t="s">
        <v>121</v>
      </c>
      <c r="AL437" t="s">
        <v>121</v>
      </c>
      <c r="AM437" t="s">
        <v>121</v>
      </c>
    </row>
    <row r="438" spans="9:39" x14ac:dyDescent="0.3">
      <c r="I438">
        <f ca="1">IF(OR(INDIRECT(A73&amp;ROW())=B93,INDIRECT(A73&amp;ROW())=B94),1,IF(AND(INDIRECT(A73&amp;ROW())=B95,INDIRECT(A96&amp;ROW())=C93),1,IF(AND(INDIRECT(A73&amp;ROW())=B95,INDIRECT(A96&amp;ROW())=C94),1,0)))</f>
        <v>0</v>
      </c>
      <c r="J438">
        <f ca="1">IF(AND(INDIRECT(A73&amp;ROW())=B95,INDIRECT(A96&amp;ROW())=C95),1,IF(AND(INDIRECT(A73&amp;ROW())=B95,INDIRECT(A96&amp;ROW())=C96),1,0))</f>
        <v>0</v>
      </c>
      <c r="K438">
        <f ca="1">DAYS360(INDIRECT(C68&amp;ROW()),TODAY())</f>
        <v>755</v>
      </c>
      <c r="L438">
        <f ca="1">DAYS360(INDIRECT(C69&amp;ROW()),TODAY())</f>
        <v>755</v>
      </c>
      <c r="M438">
        <f ca="1">HYPERLINK(CONCATENATE("https://bugzilla.houston.hp.com:1181/bugzilla/show_bug.cgi?id=",INDIRECT(C70&amp;ROW())),INDIRECT(C70&amp;ROW()))</f>
        <v>59488</v>
      </c>
      <c r="N438">
        <v>59488</v>
      </c>
      <c r="O438" t="s">
        <v>164</v>
      </c>
      <c r="P438" t="s">
        <v>1412</v>
      </c>
      <c r="Q438" t="s">
        <v>16</v>
      </c>
      <c r="R438" t="s">
        <v>1341</v>
      </c>
      <c r="S438" t="s">
        <v>164</v>
      </c>
      <c r="U438" s="6">
        <v>42090.323101851849</v>
      </c>
      <c r="V438" t="s">
        <v>18</v>
      </c>
      <c r="W438" t="s">
        <v>58</v>
      </c>
      <c r="X438" s="6">
        <v>42090.316921296297</v>
      </c>
      <c r="Y438" t="s">
        <v>122</v>
      </c>
      <c r="AB438" t="s">
        <v>201</v>
      </c>
      <c r="AC438" t="s">
        <v>247</v>
      </c>
      <c r="AD438" t="s">
        <v>220</v>
      </c>
      <c r="AE438" t="s">
        <v>243</v>
      </c>
      <c r="AG438" t="s">
        <v>121</v>
      </c>
      <c r="AH438" t="s">
        <v>327</v>
      </c>
      <c r="AI438" t="s">
        <v>121</v>
      </c>
      <c r="AJ438" t="s">
        <v>717</v>
      </c>
      <c r="AK438" t="s">
        <v>121</v>
      </c>
      <c r="AL438" t="s">
        <v>121</v>
      </c>
      <c r="AM438" t="s">
        <v>121</v>
      </c>
    </row>
    <row r="439" spans="9:39" x14ac:dyDescent="0.3">
      <c r="I439">
        <f ca="1">IF(OR(INDIRECT(A73&amp;ROW())=B93,INDIRECT(A73&amp;ROW())=B94),1,IF(AND(INDIRECT(A73&amp;ROW())=B95,INDIRECT(A96&amp;ROW())=C93),1,IF(AND(INDIRECT(A73&amp;ROW())=B95,INDIRECT(A96&amp;ROW())=C94),1,0)))</f>
        <v>0</v>
      </c>
      <c r="J439">
        <f ca="1">IF(AND(INDIRECT(A73&amp;ROW())=B95,INDIRECT(A96&amp;ROW())=C95),1,IF(AND(INDIRECT(A73&amp;ROW())=B95,INDIRECT(A96&amp;ROW())=C96),1,0))</f>
        <v>0</v>
      </c>
      <c r="K439">
        <f ca="1">DAYS360(INDIRECT(C68&amp;ROW()),TODAY())</f>
        <v>732</v>
      </c>
      <c r="L439">
        <f ca="1">DAYS360(INDIRECT(C69&amp;ROW()),TODAY())</f>
        <v>755</v>
      </c>
      <c r="M439">
        <f ca="1">HYPERLINK(CONCATENATE("https://bugzilla.houston.hp.com:1181/bugzilla/show_bug.cgi?id=",INDIRECT(C70&amp;ROW())),INDIRECT(C70&amp;ROW()))</f>
        <v>59501</v>
      </c>
      <c r="N439">
        <v>59501</v>
      </c>
      <c r="O439" t="s">
        <v>164</v>
      </c>
      <c r="P439" t="s">
        <v>834</v>
      </c>
      <c r="Q439" t="s">
        <v>16</v>
      </c>
      <c r="R439" t="s">
        <v>248</v>
      </c>
      <c r="S439" t="s">
        <v>552</v>
      </c>
      <c r="T439" t="s">
        <v>181</v>
      </c>
      <c r="U439" s="6">
        <v>42114.053287037037</v>
      </c>
      <c r="V439" t="s">
        <v>18</v>
      </c>
      <c r="W439" t="s">
        <v>372</v>
      </c>
      <c r="X439" s="6">
        <v>42090.44153935185</v>
      </c>
      <c r="Y439" t="s">
        <v>123</v>
      </c>
      <c r="AB439" t="s">
        <v>201</v>
      </c>
      <c r="AC439" t="s">
        <v>247</v>
      </c>
      <c r="AD439" t="s">
        <v>220</v>
      </c>
      <c r="AE439" t="s">
        <v>219</v>
      </c>
      <c r="AG439" t="s">
        <v>121</v>
      </c>
      <c r="AH439" t="s">
        <v>327</v>
      </c>
      <c r="AI439" t="s">
        <v>121</v>
      </c>
      <c r="AJ439" t="s">
        <v>717</v>
      </c>
      <c r="AK439" t="s">
        <v>121</v>
      </c>
      <c r="AL439" t="s">
        <v>121</v>
      </c>
      <c r="AM439" t="s">
        <v>121</v>
      </c>
    </row>
    <row r="440" spans="9:39" x14ac:dyDescent="0.3">
      <c r="I440">
        <f ca="1">IF(OR(INDIRECT(A73&amp;ROW())=B93,INDIRECT(A73&amp;ROW())=B94),1,IF(AND(INDIRECT(A73&amp;ROW())=B95,INDIRECT(A96&amp;ROW())=C93),1,IF(AND(INDIRECT(A73&amp;ROW())=B95,INDIRECT(A96&amp;ROW())=C94),1,0)))</f>
        <v>1</v>
      </c>
      <c r="J440">
        <f ca="1">IF(AND(INDIRECT(A73&amp;ROW())=B95,INDIRECT(A96&amp;ROW())=C95),1,IF(AND(INDIRECT(A73&amp;ROW())=B95,INDIRECT(A96&amp;ROW())=C96),1,0))</f>
        <v>0</v>
      </c>
      <c r="K440">
        <f ca="1">DAYS360(INDIRECT(C68&amp;ROW()),TODAY())</f>
        <v>614</v>
      </c>
      <c r="L440">
        <f ca="1">DAYS360(INDIRECT(C69&amp;ROW()),TODAY())</f>
        <v>752</v>
      </c>
      <c r="M440">
        <f ca="1">HYPERLINK(CONCATENATE("https://bugzilla.houston.hp.com:1181/bugzilla/show_bug.cgi?id=",INDIRECT(C70&amp;ROW())),INDIRECT(C70&amp;ROW()))</f>
        <v>59551</v>
      </c>
      <c r="N440">
        <v>59551</v>
      </c>
      <c r="O440" t="s">
        <v>187</v>
      </c>
      <c r="P440" t="s">
        <v>833</v>
      </c>
      <c r="Q440" t="s">
        <v>25</v>
      </c>
      <c r="R440" t="s">
        <v>251</v>
      </c>
      <c r="S440" t="s">
        <v>62</v>
      </c>
      <c r="U440" s="6">
        <v>42234.007314814815</v>
      </c>
      <c r="V440" t="s">
        <v>40</v>
      </c>
      <c r="W440" t="s">
        <v>783</v>
      </c>
      <c r="X440" s="6">
        <v>42093.142777777779</v>
      </c>
      <c r="Y440" t="s">
        <v>119</v>
      </c>
      <c r="AB440" t="s">
        <v>200</v>
      </c>
      <c r="AC440" t="s">
        <v>247</v>
      </c>
      <c r="AD440" t="s">
        <v>220</v>
      </c>
      <c r="AE440" t="s">
        <v>219</v>
      </c>
      <c r="AG440" t="s">
        <v>121</v>
      </c>
      <c r="AH440" t="s">
        <v>327</v>
      </c>
      <c r="AI440" t="s">
        <v>121</v>
      </c>
      <c r="AJ440" t="s">
        <v>715</v>
      </c>
      <c r="AK440" t="s">
        <v>121</v>
      </c>
      <c r="AL440" t="s">
        <v>121</v>
      </c>
      <c r="AM440" t="s">
        <v>121</v>
      </c>
    </row>
    <row r="441" spans="9:39" x14ac:dyDescent="0.3">
      <c r="I441">
        <f ca="1">IF(OR(INDIRECT(A73&amp;ROW())=B93,INDIRECT(A73&amp;ROW())=B94),1,IF(AND(INDIRECT(A73&amp;ROW())=B95,INDIRECT(A96&amp;ROW())=C93),1,IF(AND(INDIRECT(A73&amp;ROW())=B95,INDIRECT(A96&amp;ROW())=C94),1,0)))</f>
        <v>0</v>
      </c>
      <c r="J441">
        <f ca="1">IF(AND(INDIRECT(A73&amp;ROW())=B95,INDIRECT(A96&amp;ROW())=C95),1,IF(AND(INDIRECT(A73&amp;ROW())=B95,INDIRECT(A96&amp;ROW())=C96),1,0))</f>
        <v>0</v>
      </c>
      <c r="K441">
        <f ca="1">DAYS360(INDIRECT(C68&amp;ROW()),TODAY())</f>
        <v>614</v>
      </c>
      <c r="L441">
        <f ca="1">DAYS360(INDIRECT(C69&amp;ROW()),TODAY())</f>
        <v>752</v>
      </c>
      <c r="M441">
        <f ca="1">HYPERLINK(CONCATENATE("https://bugzilla.houston.hp.com:1181/bugzilla/show_bug.cgi?id=",INDIRECT(C70&amp;ROW())),INDIRECT(C70&amp;ROW()))</f>
        <v>59562</v>
      </c>
      <c r="N441">
        <v>59562</v>
      </c>
      <c r="O441" t="s">
        <v>36</v>
      </c>
      <c r="P441" t="s">
        <v>832</v>
      </c>
      <c r="Q441" t="s">
        <v>16</v>
      </c>
      <c r="R441" t="s">
        <v>579</v>
      </c>
      <c r="S441" t="s">
        <v>552</v>
      </c>
      <c r="T441" t="s">
        <v>858</v>
      </c>
      <c r="U441" s="6">
        <v>42234.011030092595</v>
      </c>
      <c r="V441" t="s">
        <v>40</v>
      </c>
      <c r="W441" t="s">
        <v>783</v>
      </c>
      <c r="X441" s="6">
        <v>42093.306562500002</v>
      </c>
      <c r="Y441" t="s">
        <v>119</v>
      </c>
      <c r="AB441" t="s">
        <v>200</v>
      </c>
      <c r="AC441" t="s">
        <v>247</v>
      </c>
      <c r="AD441" t="s">
        <v>220</v>
      </c>
      <c r="AE441" t="s">
        <v>224</v>
      </c>
      <c r="AG441" t="s">
        <v>121</v>
      </c>
      <c r="AH441" t="s">
        <v>327</v>
      </c>
      <c r="AI441" t="s">
        <v>121</v>
      </c>
      <c r="AJ441" t="s">
        <v>716</v>
      </c>
      <c r="AK441" t="s">
        <v>121</v>
      </c>
      <c r="AL441" t="s">
        <v>121</v>
      </c>
      <c r="AM441" t="s">
        <v>121</v>
      </c>
    </row>
    <row r="442" spans="9:39" x14ac:dyDescent="0.3">
      <c r="I442">
        <f ca="1">IF(OR(INDIRECT(A73&amp;ROW())=B93,INDIRECT(A73&amp;ROW())=B94),1,IF(AND(INDIRECT(A73&amp;ROW())=B95,INDIRECT(A96&amp;ROW())=C93),1,IF(AND(INDIRECT(A73&amp;ROW())=B95,INDIRECT(A96&amp;ROW())=C94),1,0)))</f>
        <v>0</v>
      </c>
      <c r="J442">
        <f ca="1">IF(AND(INDIRECT(A73&amp;ROW())=B95,INDIRECT(A96&amp;ROW())=C95),1,IF(AND(INDIRECT(A73&amp;ROW())=B95,INDIRECT(A96&amp;ROW())=C96),1,0))</f>
        <v>0</v>
      </c>
      <c r="K442">
        <f ca="1">DAYS360(INDIRECT(C68&amp;ROW()),TODAY())</f>
        <v>614</v>
      </c>
      <c r="L442">
        <f ca="1">DAYS360(INDIRECT(C69&amp;ROW()),TODAY())</f>
        <v>752</v>
      </c>
      <c r="M442">
        <f ca="1">HYPERLINK(CONCATENATE("https://bugzilla.houston.hp.com:1181/bugzilla/show_bug.cgi?id=",INDIRECT(C70&amp;ROW())),INDIRECT(C70&amp;ROW()))</f>
        <v>59563</v>
      </c>
      <c r="N442">
        <v>59563</v>
      </c>
      <c r="O442" t="s">
        <v>36</v>
      </c>
      <c r="P442" t="s">
        <v>831</v>
      </c>
      <c r="Q442" t="s">
        <v>16</v>
      </c>
      <c r="R442" t="s">
        <v>248</v>
      </c>
      <c r="S442" t="s">
        <v>552</v>
      </c>
      <c r="U442" s="6">
        <v>42234.011273148149</v>
      </c>
      <c r="V442" t="s">
        <v>40</v>
      </c>
      <c r="W442" t="s">
        <v>783</v>
      </c>
      <c r="X442" s="6">
        <v>42093.306689814817</v>
      </c>
      <c r="Y442" t="s">
        <v>119</v>
      </c>
      <c r="AB442" t="s">
        <v>200</v>
      </c>
      <c r="AC442" t="s">
        <v>247</v>
      </c>
      <c r="AD442" t="s">
        <v>220</v>
      </c>
      <c r="AE442" t="s">
        <v>224</v>
      </c>
      <c r="AG442" t="s">
        <v>121</v>
      </c>
      <c r="AH442" t="s">
        <v>327</v>
      </c>
      <c r="AI442" t="s">
        <v>121</v>
      </c>
      <c r="AJ442" t="s">
        <v>716</v>
      </c>
      <c r="AK442" t="s">
        <v>121</v>
      </c>
      <c r="AL442" t="s">
        <v>121</v>
      </c>
      <c r="AM442" t="s">
        <v>121</v>
      </c>
    </row>
    <row r="443" spans="9:39" x14ac:dyDescent="0.3">
      <c r="I443">
        <f ca="1">IF(OR(INDIRECT(A73&amp;ROW())=B93,INDIRECT(A73&amp;ROW())=B94),1,IF(AND(INDIRECT(A73&amp;ROW())=B95,INDIRECT(A96&amp;ROW())=C93),1,IF(AND(INDIRECT(A73&amp;ROW())=B95,INDIRECT(A96&amp;ROW())=C94),1,0)))</f>
        <v>0</v>
      </c>
      <c r="J443">
        <f ca="1">IF(AND(INDIRECT(A73&amp;ROW())=B95,INDIRECT(A96&amp;ROW())=C95),1,IF(AND(INDIRECT(A73&amp;ROW())=B95,INDIRECT(A96&amp;ROW())=C96),1,0))</f>
        <v>1</v>
      </c>
      <c r="K443">
        <f ca="1">DAYS360(INDIRECT(C68&amp;ROW()),TODAY())</f>
        <v>684</v>
      </c>
      <c r="L443">
        <f ca="1">DAYS360(INDIRECT(C69&amp;ROW()),TODAY())</f>
        <v>752</v>
      </c>
      <c r="M443">
        <f ca="1">HYPERLINK(CONCATENATE("https://bugzilla.houston.hp.com:1181/bugzilla/show_bug.cgi?id=",INDIRECT(C70&amp;ROW())),INDIRECT(C70&amp;ROW()))</f>
        <v>59637</v>
      </c>
      <c r="N443">
        <v>59637</v>
      </c>
      <c r="O443" t="s">
        <v>241</v>
      </c>
      <c r="P443" t="s">
        <v>838</v>
      </c>
      <c r="Q443" t="s">
        <v>25</v>
      </c>
      <c r="R443" t="s">
        <v>251</v>
      </c>
      <c r="S443" t="s">
        <v>52</v>
      </c>
      <c r="U443" s="6">
        <v>42163.573865740742</v>
      </c>
      <c r="V443" t="s">
        <v>18</v>
      </c>
      <c r="W443" t="s">
        <v>783</v>
      </c>
      <c r="X443" s="6">
        <v>42094.465636574074</v>
      </c>
      <c r="Y443" t="s">
        <v>255</v>
      </c>
      <c r="AB443" t="s">
        <v>201</v>
      </c>
      <c r="AC443" t="s">
        <v>247</v>
      </c>
      <c r="AD443" t="s">
        <v>222</v>
      </c>
      <c r="AE443" t="s">
        <v>232</v>
      </c>
      <c r="AG443" t="s">
        <v>121</v>
      </c>
      <c r="AH443" t="s">
        <v>327</v>
      </c>
      <c r="AI443" t="s">
        <v>121</v>
      </c>
      <c r="AJ443" t="s">
        <v>716</v>
      </c>
      <c r="AK443" t="s">
        <v>121</v>
      </c>
      <c r="AL443" t="s">
        <v>121</v>
      </c>
      <c r="AM443" t="s">
        <v>121</v>
      </c>
    </row>
    <row r="444" spans="9:39" x14ac:dyDescent="0.3">
      <c r="I444">
        <f ca="1">IF(OR(INDIRECT(A73&amp;ROW())=B93,INDIRECT(A73&amp;ROW())=B94),1,IF(AND(INDIRECT(A73&amp;ROW())=B95,INDIRECT(A96&amp;ROW())=C93),1,IF(AND(INDIRECT(A73&amp;ROW())=B95,INDIRECT(A96&amp;ROW())=C94),1,0)))</f>
        <v>0</v>
      </c>
      <c r="J444">
        <f ca="1">IF(AND(INDIRECT(A73&amp;ROW())=B95,INDIRECT(A96&amp;ROW())=C95),1,IF(AND(INDIRECT(A73&amp;ROW())=B95,INDIRECT(A96&amp;ROW())=C96),1,0))</f>
        <v>1</v>
      </c>
      <c r="K444">
        <f ca="1">DAYS360(INDIRECT(C68&amp;ROW()),TODAY())</f>
        <v>717</v>
      </c>
      <c r="L444">
        <f ca="1">DAYS360(INDIRECT(C69&amp;ROW()),TODAY())</f>
        <v>752</v>
      </c>
      <c r="M444">
        <f ca="1">HYPERLINK(CONCATENATE("https://bugzilla.houston.hp.com:1181/bugzilla/show_bug.cgi?id=",INDIRECT(C70&amp;ROW())),INDIRECT(C70&amp;ROW()))</f>
        <v>59641</v>
      </c>
      <c r="N444">
        <v>59641</v>
      </c>
      <c r="O444" t="s">
        <v>241</v>
      </c>
      <c r="P444" t="s">
        <v>837</v>
      </c>
      <c r="Q444" t="s">
        <v>25</v>
      </c>
      <c r="R444" t="s">
        <v>579</v>
      </c>
      <c r="S444" t="s">
        <v>552</v>
      </c>
      <c r="T444" t="s">
        <v>1000</v>
      </c>
      <c r="U444" s="6">
        <v>42129.653993055559</v>
      </c>
      <c r="V444" t="s">
        <v>18</v>
      </c>
      <c r="W444" t="s">
        <v>783</v>
      </c>
      <c r="X444" s="6">
        <v>42094.498935185184</v>
      </c>
      <c r="Y444" t="s">
        <v>255</v>
      </c>
      <c r="AB444" t="s">
        <v>201</v>
      </c>
      <c r="AC444" t="s">
        <v>247</v>
      </c>
      <c r="AD444" t="s">
        <v>222</v>
      </c>
      <c r="AE444" t="s">
        <v>232</v>
      </c>
      <c r="AG444" t="s">
        <v>121</v>
      </c>
      <c r="AH444" t="s">
        <v>327</v>
      </c>
      <c r="AI444" t="s">
        <v>362</v>
      </c>
      <c r="AJ444" t="s">
        <v>716</v>
      </c>
      <c r="AK444" t="s">
        <v>121</v>
      </c>
      <c r="AL444" t="s">
        <v>121</v>
      </c>
      <c r="AM444" t="s">
        <v>121</v>
      </c>
    </row>
    <row r="445" spans="9:39" x14ac:dyDescent="0.3">
      <c r="I445">
        <f ca="1">IF(OR(INDIRECT(A73&amp;ROW())=B93,INDIRECT(A73&amp;ROW())=B94),1,IF(AND(INDIRECT(A73&amp;ROW())=B95,INDIRECT(A96&amp;ROW())=C93),1,IF(AND(INDIRECT(A73&amp;ROW())=B95,INDIRECT(A96&amp;ROW())=C94),1,0)))</f>
        <v>0</v>
      </c>
      <c r="J445">
        <f ca="1">IF(AND(INDIRECT(A73&amp;ROW())=B95,INDIRECT(A96&amp;ROW())=C95),1,IF(AND(INDIRECT(A73&amp;ROW())=B95,INDIRECT(A96&amp;ROW())=C96),1,0))</f>
        <v>1</v>
      </c>
      <c r="K445">
        <f ca="1">DAYS360(INDIRECT(C68&amp;ROW()),TODAY())</f>
        <v>717</v>
      </c>
      <c r="L445">
        <f ca="1">DAYS360(INDIRECT(C69&amp;ROW()),TODAY())</f>
        <v>752</v>
      </c>
      <c r="M445">
        <f ca="1">HYPERLINK(CONCATENATE("https://bugzilla.houston.hp.com:1181/bugzilla/show_bug.cgi?id=",INDIRECT(C70&amp;ROW())),INDIRECT(C70&amp;ROW()))</f>
        <v>59642</v>
      </c>
      <c r="N445">
        <v>59642</v>
      </c>
      <c r="O445" t="s">
        <v>241</v>
      </c>
      <c r="P445" t="s">
        <v>836</v>
      </c>
      <c r="Q445" t="s">
        <v>25</v>
      </c>
      <c r="R445" t="s">
        <v>248</v>
      </c>
      <c r="S445" t="s">
        <v>552</v>
      </c>
      <c r="U445" s="6">
        <v>42129.606840277775</v>
      </c>
      <c r="V445" t="s">
        <v>18</v>
      </c>
      <c r="W445" t="s">
        <v>783</v>
      </c>
      <c r="X445" s="6">
        <v>42094.499027777776</v>
      </c>
      <c r="Y445" t="s">
        <v>255</v>
      </c>
      <c r="AB445" t="s">
        <v>201</v>
      </c>
      <c r="AC445" t="s">
        <v>247</v>
      </c>
      <c r="AD445" t="s">
        <v>222</v>
      </c>
      <c r="AE445" t="s">
        <v>232</v>
      </c>
      <c r="AG445" t="s">
        <v>121</v>
      </c>
      <c r="AH445" t="s">
        <v>327</v>
      </c>
      <c r="AI445" t="s">
        <v>121</v>
      </c>
      <c r="AJ445" t="s">
        <v>716</v>
      </c>
      <c r="AK445" t="s">
        <v>121</v>
      </c>
      <c r="AL445" t="s">
        <v>121</v>
      </c>
      <c r="AM445" t="s">
        <v>121</v>
      </c>
    </row>
    <row r="446" spans="9:39" x14ac:dyDescent="0.3">
      <c r="I446">
        <f ca="1">IF(OR(INDIRECT(A73&amp;ROW())=B93,INDIRECT(A73&amp;ROW())=B94),1,IF(AND(INDIRECT(A73&amp;ROW())=B95,INDIRECT(A96&amp;ROW())=C93),1,IF(AND(INDIRECT(A73&amp;ROW())=B95,INDIRECT(A96&amp;ROW())=C94),1,0)))</f>
        <v>0</v>
      </c>
      <c r="J446">
        <f ca="1">IF(AND(INDIRECT(A73&amp;ROW())=B95,INDIRECT(A96&amp;ROW())=C95),1,IF(AND(INDIRECT(A73&amp;ROW())=B95,INDIRECT(A96&amp;ROW())=C96),1,0))</f>
        <v>1</v>
      </c>
      <c r="K446">
        <f ca="1">DAYS360(INDIRECT(C68&amp;ROW()),TODAY())</f>
        <v>684</v>
      </c>
      <c r="L446">
        <f ca="1">DAYS360(INDIRECT(C69&amp;ROW()),TODAY())</f>
        <v>752</v>
      </c>
      <c r="M446">
        <f ca="1">HYPERLINK(CONCATENATE("https://bugzilla.houston.hp.com:1181/bugzilla/show_bug.cgi?id=",INDIRECT(C70&amp;ROW())),INDIRECT(C70&amp;ROW()))</f>
        <v>59659</v>
      </c>
      <c r="N446">
        <v>59659</v>
      </c>
      <c r="O446" t="s">
        <v>22</v>
      </c>
      <c r="P446" t="s">
        <v>844</v>
      </c>
      <c r="Q446" t="s">
        <v>25</v>
      </c>
      <c r="R446" t="s">
        <v>251</v>
      </c>
      <c r="S446" t="s">
        <v>1357</v>
      </c>
      <c r="U446" s="6">
        <v>42163.575428240743</v>
      </c>
      <c r="V446" t="s">
        <v>18</v>
      </c>
      <c r="W446" t="s">
        <v>764</v>
      </c>
      <c r="X446" s="6">
        <v>42094.688078703701</v>
      </c>
      <c r="Y446" t="s">
        <v>246</v>
      </c>
      <c r="AB446" t="s">
        <v>201</v>
      </c>
      <c r="AC446" t="s">
        <v>247</v>
      </c>
      <c r="AD446" t="s">
        <v>222</v>
      </c>
      <c r="AE446" t="s">
        <v>221</v>
      </c>
      <c r="AG446" t="s">
        <v>121</v>
      </c>
      <c r="AH446" t="s">
        <v>327</v>
      </c>
      <c r="AI446" t="s">
        <v>121</v>
      </c>
      <c r="AJ446" t="s">
        <v>716</v>
      </c>
      <c r="AK446" t="s">
        <v>121</v>
      </c>
      <c r="AL446" t="s">
        <v>121</v>
      </c>
      <c r="AM446" t="s">
        <v>121</v>
      </c>
    </row>
    <row r="447" spans="9:39" x14ac:dyDescent="0.3">
      <c r="I447">
        <f ca="1">IF(OR(INDIRECT(A73&amp;ROW())=B93,INDIRECT(A73&amp;ROW())=B94),1,IF(AND(INDIRECT(A73&amp;ROW())=B95,INDIRECT(A96&amp;ROW())=C93),1,IF(AND(INDIRECT(A73&amp;ROW())=B95,INDIRECT(A96&amp;ROW())=C94),1,0)))</f>
        <v>0</v>
      </c>
      <c r="J447">
        <f ca="1">IF(AND(INDIRECT(A73&amp;ROW())=B95,INDIRECT(A96&amp;ROW())=C95),1,IF(AND(INDIRECT(A73&amp;ROW())=B95,INDIRECT(A96&amp;ROW())=C96),1,0))</f>
        <v>1</v>
      </c>
      <c r="K447">
        <f ca="1">DAYS360(INDIRECT(C68&amp;ROW()),TODAY())</f>
        <v>746</v>
      </c>
      <c r="L447">
        <f ca="1">DAYS360(INDIRECT(C69&amp;ROW()),TODAY())</f>
        <v>751</v>
      </c>
      <c r="M447">
        <f ca="1">HYPERLINK(CONCATENATE("https://bugzilla.houston.hp.com:1181/bugzilla/show_bug.cgi?id=",INDIRECT(C70&amp;ROW())),INDIRECT(C70&amp;ROW()))</f>
        <v>59736</v>
      </c>
      <c r="N447">
        <v>59736</v>
      </c>
      <c r="O447" t="s">
        <v>22</v>
      </c>
      <c r="P447" t="s">
        <v>841</v>
      </c>
      <c r="Q447" t="s">
        <v>25</v>
      </c>
      <c r="R447" t="s">
        <v>579</v>
      </c>
      <c r="S447" t="s">
        <v>552</v>
      </c>
      <c r="T447" t="s">
        <v>851</v>
      </c>
      <c r="U447" s="6">
        <v>42100.318692129629</v>
      </c>
      <c r="V447" t="s">
        <v>18</v>
      </c>
      <c r="W447" t="s">
        <v>764</v>
      </c>
      <c r="X447" s="6">
        <v>42095.512280092589</v>
      </c>
      <c r="Y447" t="s">
        <v>246</v>
      </c>
      <c r="AB447" t="s">
        <v>201</v>
      </c>
      <c r="AC447" t="s">
        <v>247</v>
      </c>
      <c r="AD447" t="s">
        <v>222</v>
      </c>
      <c r="AE447" t="s">
        <v>221</v>
      </c>
      <c r="AG447" t="s">
        <v>121</v>
      </c>
      <c r="AH447" t="s">
        <v>327</v>
      </c>
      <c r="AI447" t="s">
        <v>121</v>
      </c>
      <c r="AJ447" t="s">
        <v>716</v>
      </c>
      <c r="AK447" t="s">
        <v>121</v>
      </c>
      <c r="AL447" t="s">
        <v>121</v>
      </c>
      <c r="AM447" t="s">
        <v>121</v>
      </c>
    </row>
    <row r="448" spans="9:39" x14ac:dyDescent="0.3">
      <c r="I448">
        <f ca="1">IF(OR(INDIRECT(A73&amp;ROW())=B93,INDIRECT(A73&amp;ROW())=B94),1,IF(AND(INDIRECT(A73&amp;ROW())=B95,INDIRECT(A96&amp;ROW())=C93),1,IF(AND(INDIRECT(A73&amp;ROW())=B95,INDIRECT(A96&amp;ROW())=C94),1,0)))</f>
        <v>0</v>
      </c>
      <c r="J448">
        <f ca="1">IF(AND(INDIRECT(A73&amp;ROW())=B95,INDIRECT(A96&amp;ROW())=C95),1,IF(AND(INDIRECT(A73&amp;ROW())=B95,INDIRECT(A96&amp;ROW())=C96),1,0))</f>
        <v>1</v>
      </c>
      <c r="K448">
        <f ca="1">DAYS360(INDIRECT(C68&amp;ROW()),TODAY())</f>
        <v>751</v>
      </c>
      <c r="L448">
        <f ca="1">DAYS360(INDIRECT(C69&amp;ROW()),TODAY())</f>
        <v>751</v>
      </c>
      <c r="M448">
        <f ca="1">HYPERLINK(CONCATENATE("https://bugzilla.houston.hp.com:1181/bugzilla/show_bug.cgi?id=",INDIRECT(C70&amp;ROW())),INDIRECT(C70&amp;ROW()))</f>
        <v>59737</v>
      </c>
      <c r="N448">
        <v>59737</v>
      </c>
      <c r="O448" t="s">
        <v>22</v>
      </c>
      <c r="P448" t="s">
        <v>840</v>
      </c>
      <c r="Q448" t="s">
        <v>25</v>
      </c>
      <c r="R448" t="s">
        <v>248</v>
      </c>
      <c r="S448" t="s">
        <v>552</v>
      </c>
      <c r="U448" s="6">
        <v>42095.512372685182</v>
      </c>
      <c r="V448" t="s">
        <v>18</v>
      </c>
      <c r="W448" t="s">
        <v>764</v>
      </c>
      <c r="X448" s="6">
        <v>42095.512372685182</v>
      </c>
      <c r="Y448" t="s">
        <v>246</v>
      </c>
      <c r="AB448" t="s">
        <v>201</v>
      </c>
      <c r="AC448" t="s">
        <v>247</v>
      </c>
      <c r="AD448" t="s">
        <v>222</v>
      </c>
      <c r="AE448" t="s">
        <v>221</v>
      </c>
      <c r="AG448" t="s">
        <v>121</v>
      </c>
      <c r="AH448" t="s">
        <v>327</v>
      </c>
      <c r="AI448" t="s">
        <v>121</v>
      </c>
      <c r="AJ448" t="s">
        <v>716</v>
      </c>
      <c r="AK448" t="s">
        <v>121</v>
      </c>
      <c r="AL448" t="s">
        <v>121</v>
      </c>
      <c r="AM448" t="s">
        <v>121</v>
      </c>
    </row>
    <row r="449" spans="9:39" x14ac:dyDescent="0.3">
      <c r="I449">
        <f ca="1">IF(OR(INDIRECT(A73&amp;ROW())=B93,INDIRECT(A73&amp;ROW())=B94),1,IF(AND(INDIRECT(A73&amp;ROW())=B95,INDIRECT(A96&amp;ROW())=C93),1,IF(AND(INDIRECT(A73&amp;ROW())=B95,INDIRECT(A96&amp;ROW())=C94),1,0)))</f>
        <v>0</v>
      </c>
      <c r="J449">
        <f ca="1">IF(AND(INDIRECT(A73&amp;ROW())=B95,INDIRECT(A96&amp;ROW())=C95),1,IF(AND(INDIRECT(A73&amp;ROW())=B95,INDIRECT(A96&amp;ROW())=C96),1,0))</f>
        <v>0</v>
      </c>
      <c r="K449">
        <f ca="1">DAYS360(INDIRECT(C68&amp;ROW()),TODAY())</f>
        <v>721</v>
      </c>
      <c r="L449">
        <f ca="1">DAYS360(INDIRECT(C69&amp;ROW()),TODAY())</f>
        <v>751</v>
      </c>
      <c r="M449">
        <f ca="1">HYPERLINK(CONCATENATE("https://bugzilla.houston.hp.com:1181/bugzilla/show_bug.cgi?id=",INDIRECT(C70&amp;ROW())),INDIRECT(C70&amp;ROW()))</f>
        <v>59748</v>
      </c>
      <c r="N449">
        <v>59748</v>
      </c>
      <c r="O449" t="s">
        <v>21</v>
      </c>
      <c r="P449" t="s">
        <v>1413</v>
      </c>
      <c r="Q449" t="s">
        <v>16</v>
      </c>
      <c r="R449" t="s">
        <v>251</v>
      </c>
      <c r="S449" t="s">
        <v>917</v>
      </c>
      <c r="U449" s="6">
        <v>42125.68577546296</v>
      </c>
      <c r="V449" t="s">
        <v>18</v>
      </c>
      <c r="W449" t="s">
        <v>248</v>
      </c>
      <c r="X449" s="6">
        <v>42095.637812499997</v>
      </c>
      <c r="Y449" t="s">
        <v>846</v>
      </c>
      <c r="AB449" t="s">
        <v>200</v>
      </c>
      <c r="AC449" t="s">
        <v>247</v>
      </c>
      <c r="AD449" t="s">
        <v>222</v>
      </c>
      <c r="AE449" t="s">
        <v>240</v>
      </c>
      <c r="AG449" t="s">
        <v>121</v>
      </c>
      <c r="AH449" t="s">
        <v>327</v>
      </c>
      <c r="AI449" t="s">
        <v>121</v>
      </c>
      <c r="AJ449" t="s">
        <v>716</v>
      </c>
      <c r="AK449" t="s">
        <v>121</v>
      </c>
      <c r="AL449" t="s">
        <v>121</v>
      </c>
      <c r="AM449" t="s">
        <v>121</v>
      </c>
    </row>
    <row r="450" spans="9:39" x14ac:dyDescent="0.3">
      <c r="I450">
        <f ca="1">IF(OR(INDIRECT(A73&amp;ROW())=B93,INDIRECT(A73&amp;ROW())=B94),1,IF(AND(INDIRECT(A73&amp;ROW())=B95,INDIRECT(A96&amp;ROW())=C93),1,IF(AND(INDIRECT(A73&amp;ROW())=B95,INDIRECT(A96&amp;ROW())=C94),1,0)))</f>
        <v>0</v>
      </c>
      <c r="J450">
        <f ca="1">IF(AND(INDIRECT(A73&amp;ROW())=B95,INDIRECT(A96&amp;ROW())=C95),1,IF(AND(INDIRECT(A73&amp;ROW())=B95,INDIRECT(A96&amp;ROW())=C96),1,0))</f>
        <v>0</v>
      </c>
      <c r="K450">
        <f ca="1">DAYS360(INDIRECT(C68&amp;ROW()),TODAY())</f>
        <v>721</v>
      </c>
      <c r="L450">
        <f ca="1">DAYS360(INDIRECT(C69&amp;ROW()),TODAY())</f>
        <v>751</v>
      </c>
      <c r="M450">
        <f ca="1">HYPERLINK(CONCATENATE("https://bugzilla.houston.hp.com:1181/bugzilla/show_bug.cgi?id=",INDIRECT(C70&amp;ROW())),INDIRECT(C70&amp;ROW()))</f>
        <v>59756</v>
      </c>
      <c r="N450">
        <v>59756</v>
      </c>
      <c r="O450" t="s">
        <v>21</v>
      </c>
      <c r="P450" t="s">
        <v>849</v>
      </c>
      <c r="Q450" t="s">
        <v>16</v>
      </c>
      <c r="R450" t="s">
        <v>248</v>
      </c>
      <c r="S450" t="s">
        <v>552</v>
      </c>
      <c r="U450" s="6">
        <v>42125.685798611114</v>
      </c>
      <c r="V450" t="s">
        <v>18</v>
      </c>
      <c r="W450" t="s">
        <v>248</v>
      </c>
      <c r="X450" s="6">
        <v>42095.699733796297</v>
      </c>
      <c r="Y450" t="s">
        <v>846</v>
      </c>
      <c r="AB450" t="s">
        <v>200</v>
      </c>
      <c r="AC450" t="s">
        <v>247</v>
      </c>
      <c r="AD450" t="s">
        <v>222</v>
      </c>
      <c r="AE450" t="s">
        <v>240</v>
      </c>
      <c r="AG450" t="s">
        <v>121</v>
      </c>
      <c r="AH450" t="s">
        <v>327</v>
      </c>
      <c r="AI450" t="s">
        <v>121</v>
      </c>
      <c r="AJ450" t="s">
        <v>716</v>
      </c>
      <c r="AK450" t="s">
        <v>121</v>
      </c>
      <c r="AL450" t="s">
        <v>121</v>
      </c>
      <c r="AM450" t="s">
        <v>121</v>
      </c>
    </row>
    <row r="451" spans="9:39" x14ac:dyDescent="0.3">
      <c r="I451">
        <f ca="1">IF(OR(INDIRECT(A73&amp;ROW())=B93,INDIRECT(A73&amp;ROW())=B94),1,IF(AND(INDIRECT(A73&amp;ROW())=B95,INDIRECT(A96&amp;ROW())=C93),1,IF(AND(INDIRECT(A73&amp;ROW())=B95,INDIRECT(A96&amp;ROW())=C94),1,0)))</f>
        <v>0</v>
      </c>
      <c r="J451">
        <f ca="1">IF(AND(INDIRECT(A73&amp;ROW())=B95,INDIRECT(A96&amp;ROW())=C95),1,IF(AND(INDIRECT(A73&amp;ROW())=B95,INDIRECT(A96&amp;ROW())=C96),1,0))</f>
        <v>1</v>
      </c>
      <c r="K451">
        <f ca="1">DAYS360(INDIRECT(C68&amp;ROW()),TODAY())</f>
        <v>618</v>
      </c>
      <c r="L451">
        <f ca="1">DAYS360(INDIRECT(C69&amp;ROW()),TODAY())</f>
        <v>744</v>
      </c>
      <c r="M451">
        <f ca="1">HYPERLINK(CONCATENATE("https://bugzilla.houston.hp.com:1181/bugzilla/show_bug.cgi?id=",INDIRECT(C70&amp;ROW())),INDIRECT(C70&amp;ROW()))</f>
        <v>60118</v>
      </c>
      <c r="N451">
        <v>60118</v>
      </c>
      <c r="O451" t="s">
        <v>56</v>
      </c>
      <c r="P451" t="s">
        <v>864</v>
      </c>
      <c r="Q451" t="s">
        <v>25</v>
      </c>
      <c r="R451" t="s">
        <v>251</v>
      </c>
      <c r="S451" t="s">
        <v>253</v>
      </c>
      <c r="U451" s="6">
        <v>42230.25949074074</v>
      </c>
      <c r="V451" t="s">
        <v>40</v>
      </c>
      <c r="W451" t="s">
        <v>764</v>
      </c>
      <c r="X451" s="6">
        <v>42102.500810185185</v>
      </c>
      <c r="Y451" t="s">
        <v>246</v>
      </c>
      <c r="AB451" t="s">
        <v>201</v>
      </c>
      <c r="AC451" t="s">
        <v>247</v>
      </c>
      <c r="AD451" t="s">
        <v>220</v>
      </c>
      <c r="AE451" t="s">
        <v>219</v>
      </c>
      <c r="AG451" t="s">
        <v>121</v>
      </c>
      <c r="AH451" t="s">
        <v>768</v>
      </c>
      <c r="AI451" t="s">
        <v>121</v>
      </c>
      <c r="AJ451" t="s">
        <v>716</v>
      </c>
      <c r="AK451" t="s">
        <v>121</v>
      </c>
      <c r="AL451" t="s">
        <v>121</v>
      </c>
      <c r="AM451" t="s">
        <v>121</v>
      </c>
    </row>
    <row r="452" spans="9:39" x14ac:dyDescent="0.3">
      <c r="I452">
        <f ca="1">IF(OR(INDIRECT(A73&amp;ROW())=B93,INDIRECT(A73&amp;ROW())=B94),1,IF(AND(INDIRECT(A73&amp;ROW())=B95,INDIRECT(A96&amp;ROW())=C93),1,IF(AND(INDIRECT(A73&amp;ROW())=B95,INDIRECT(A96&amp;ROW())=C94),1,0)))</f>
        <v>0</v>
      </c>
      <c r="J452">
        <f ca="1">IF(AND(INDIRECT(A73&amp;ROW())=B95,INDIRECT(A96&amp;ROW())=C95),1,IF(AND(INDIRECT(A73&amp;ROW())=B95,INDIRECT(A96&amp;ROW())=C96),1,0))</f>
        <v>1</v>
      </c>
      <c r="K452">
        <f ca="1">DAYS360(INDIRECT(C68&amp;ROW()),TODAY())</f>
        <v>707</v>
      </c>
      <c r="L452">
        <f ca="1">DAYS360(INDIRECT(C69&amp;ROW()),TODAY())</f>
        <v>743</v>
      </c>
      <c r="M452">
        <f ca="1">HYPERLINK(CONCATENATE("https://bugzilla.houston.hp.com:1181/bugzilla/show_bug.cgi?id=",INDIRECT(C70&amp;ROW())),INDIRECT(C70&amp;ROW()))</f>
        <v>60198</v>
      </c>
      <c r="N452">
        <v>60198</v>
      </c>
      <c r="O452" t="s">
        <v>21</v>
      </c>
      <c r="P452" t="s">
        <v>918</v>
      </c>
      <c r="Q452" t="s">
        <v>25</v>
      </c>
      <c r="R452" t="s">
        <v>251</v>
      </c>
      <c r="S452" t="s">
        <v>917</v>
      </c>
      <c r="U452" s="6">
        <v>42139.420844907407</v>
      </c>
      <c r="V452" t="s">
        <v>18</v>
      </c>
      <c r="W452" t="s">
        <v>783</v>
      </c>
      <c r="X452" s="6">
        <v>42103.399004629631</v>
      </c>
      <c r="Y452" t="s">
        <v>846</v>
      </c>
      <c r="AB452" t="s">
        <v>201</v>
      </c>
      <c r="AC452" t="s">
        <v>247</v>
      </c>
      <c r="AD452" t="s">
        <v>222</v>
      </c>
      <c r="AE452" t="s">
        <v>221</v>
      </c>
      <c r="AG452" t="s">
        <v>121</v>
      </c>
      <c r="AH452" t="s">
        <v>327</v>
      </c>
      <c r="AI452" t="s">
        <v>121</v>
      </c>
      <c r="AJ452" t="s">
        <v>716</v>
      </c>
      <c r="AK452" t="s">
        <v>121</v>
      </c>
      <c r="AL452" t="s">
        <v>121</v>
      </c>
      <c r="AM452" t="s">
        <v>121</v>
      </c>
    </row>
    <row r="453" spans="9:39" x14ac:dyDescent="0.3">
      <c r="I453">
        <f ca="1">IF(OR(INDIRECT(A73&amp;ROW())=B93,INDIRECT(A73&amp;ROW())=B94),1,IF(AND(INDIRECT(A73&amp;ROW())=B95,INDIRECT(A96&amp;ROW())=C93),1,IF(AND(INDIRECT(A73&amp;ROW())=B95,INDIRECT(A96&amp;ROW())=C94),1,0)))</f>
        <v>0</v>
      </c>
      <c r="J453">
        <f ca="1">IF(AND(INDIRECT(A73&amp;ROW())=B95,INDIRECT(A96&amp;ROW())=C95),1,IF(AND(INDIRECT(A73&amp;ROW())=B95,INDIRECT(A96&amp;ROW())=C96),1,0))</f>
        <v>0</v>
      </c>
      <c r="K453">
        <f ca="1">DAYS360(INDIRECT(C68&amp;ROW()),TODAY())</f>
        <v>669</v>
      </c>
      <c r="L453">
        <f ca="1">DAYS360(INDIRECT(C69&amp;ROW()),TODAY())</f>
        <v>742</v>
      </c>
      <c r="M453">
        <f ca="1">HYPERLINK(CONCATENATE("https://bugzilla.houston.hp.com:1181/bugzilla/show_bug.cgi?id=",INDIRECT(C70&amp;ROW())),INDIRECT(C70&amp;ROW()))</f>
        <v>60262</v>
      </c>
      <c r="N453">
        <v>60262</v>
      </c>
      <c r="O453" t="s">
        <v>56</v>
      </c>
      <c r="P453" t="s">
        <v>863</v>
      </c>
      <c r="Q453" t="s">
        <v>16</v>
      </c>
      <c r="R453" t="s">
        <v>251</v>
      </c>
      <c r="S453" t="s">
        <v>854</v>
      </c>
      <c r="U453" s="6">
        <v>42178.531412037039</v>
      </c>
      <c r="V453" t="s">
        <v>18</v>
      </c>
      <c r="W453" t="s">
        <v>764</v>
      </c>
      <c r="X453" s="6">
        <v>42104.244039351855</v>
      </c>
      <c r="Y453" t="s">
        <v>810</v>
      </c>
      <c r="AB453" t="s">
        <v>201</v>
      </c>
      <c r="AC453" t="s">
        <v>247</v>
      </c>
      <c r="AD453" t="s">
        <v>220</v>
      </c>
      <c r="AE453" t="s">
        <v>223</v>
      </c>
      <c r="AG453" t="s">
        <v>121</v>
      </c>
      <c r="AH453" t="s">
        <v>327</v>
      </c>
      <c r="AI453" t="s">
        <v>121</v>
      </c>
      <c r="AJ453" t="s">
        <v>717</v>
      </c>
      <c r="AK453" t="s">
        <v>121</v>
      </c>
      <c r="AL453" t="s">
        <v>121</v>
      </c>
      <c r="AM453" t="s">
        <v>121</v>
      </c>
    </row>
    <row r="454" spans="9:39" x14ac:dyDescent="0.3">
      <c r="I454">
        <f ca="1">IF(OR(INDIRECT(A73&amp;ROW())=B93,INDIRECT(A73&amp;ROW())=B94),1,IF(AND(INDIRECT(A73&amp;ROW())=B95,INDIRECT(A96&amp;ROW())=C93),1,IF(AND(INDIRECT(A73&amp;ROW())=B95,INDIRECT(A96&amp;ROW())=C94),1,0)))</f>
        <v>0</v>
      </c>
      <c r="J454">
        <f ca="1">IF(AND(INDIRECT(A73&amp;ROW())=B95,INDIRECT(A96&amp;ROW())=C95),1,IF(AND(INDIRECT(A73&amp;ROW())=B95,INDIRECT(A96&amp;ROW())=C96),1,0))</f>
        <v>0</v>
      </c>
      <c r="K454">
        <f ca="1">DAYS360(INDIRECT(C68&amp;ROW()),TODAY())</f>
        <v>742</v>
      </c>
      <c r="L454">
        <f ca="1">DAYS360(INDIRECT(C69&amp;ROW()),TODAY())</f>
        <v>742</v>
      </c>
      <c r="M454">
        <f ca="1">HYPERLINK(CONCATENATE("https://bugzilla.houston.hp.com:1181/bugzilla/show_bug.cgi?id=",INDIRECT(C70&amp;ROW())),INDIRECT(C70&amp;ROW()))</f>
        <v>60274</v>
      </c>
      <c r="N454">
        <v>60274</v>
      </c>
      <c r="O454" t="s">
        <v>36</v>
      </c>
      <c r="P454" t="s">
        <v>860</v>
      </c>
      <c r="Q454" t="s">
        <v>16</v>
      </c>
      <c r="R454" t="s">
        <v>248</v>
      </c>
      <c r="S454" t="s">
        <v>552</v>
      </c>
      <c r="U454" s="6">
        <v>42104.325960648152</v>
      </c>
      <c r="V454" t="s">
        <v>18</v>
      </c>
      <c r="W454" t="s">
        <v>764</v>
      </c>
      <c r="X454" s="6">
        <v>42104.325960648152</v>
      </c>
      <c r="Y454" t="s">
        <v>810</v>
      </c>
      <c r="AB454" t="s">
        <v>201</v>
      </c>
      <c r="AC454" t="s">
        <v>247</v>
      </c>
      <c r="AD454" t="s">
        <v>220</v>
      </c>
      <c r="AE454" t="s">
        <v>223</v>
      </c>
      <c r="AG454" t="s">
        <v>121</v>
      </c>
      <c r="AH454" t="s">
        <v>327</v>
      </c>
      <c r="AI454" t="s">
        <v>121</v>
      </c>
      <c r="AJ454" t="s">
        <v>717</v>
      </c>
      <c r="AK454" t="s">
        <v>121</v>
      </c>
      <c r="AL454" t="s">
        <v>121</v>
      </c>
      <c r="AM454" t="s">
        <v>121</v>
      </c>
    </row>
    <row r="455" spans="9:39" x14ac:dyDescent="0.3">
      <c r="I455">
        <f ca="1">IF(OR(INDIRECT(A73&amp;ROW())=B93,INDIRECT(A73&amp;ROW())=B94),1,IF(AND(INDIRECT(A73&amp;ROW())=B95,INDIRECT(A96&amp;ROW())=C93),1,IF(AND(INDIRECT(A73&amp;ROW())=B95,INDIRECT(A96&amp;ROW())=C94),1,0)))</f>
        <v>0</v>
      </c>
      <c r="J455">
        <f ca="1">IF(AND(INDIRECT(A73&amp;ROW())=B95,INDIRECT(A96&amp;ROW())=C95),1,IF(AND(INDIRECT(A73&amp;ROW())=B95,INDIRECT(A96&amp;ROW())=C96),1,0))</f>
        <v>1</v>
      </c>
      <c r="K455">
        <f ca="1">DAYS360(INDIRECT(C68&amp;ROW()),TODAY())</f>
        <v>683</v>
      </c>
      <c r="L455">
        <f ca="1">DAYS360(INDIRECT(C69&amp;ROW()),TODAY())</f>
        <v>739</v>
      </c>
      <c r="M455">
        <f ca="1">HYPERLINK(CONCATENATE("https://bugzilla.houston.hp.com:1181/bugzilla/show_bug.cgi?id=",INDIRECT(C70&amp;ROW())),INDIRECT(C70&amp;ROW()))</f>
        <v>60382</v>
      </c>
      <c r="N455">
        <v>60382</v>
      </c>
      <c r="O455" t="s">
        <v>68</v>
      </c>
      <c r="P455" t="s">
        <v>893</v>
      </c>
      <c r="Q455" t="s">
        <v>25</v>
      </c>
      <c r="R455" t="s">
        <v>251</v>
      </c>
      <c r="S455" t="s">
        <v>52</v>
      </c>
      <c r="U455" s="6">
        <v>42164.620312500003</v>
      </c>
      <c r="V455" t="s">
        <v>40</v>
      </c>
      <c r="W455" t="s">
        <v>764</v>
      </c>
      <c r="X455" s="6">
        <v>42107.538043981483</v>
      </c>
      <c r="Y455" t="s">
        <v>255</v>
      </c>
      <c r="AB455" t="s">
        <v>201</v>
      </c>
      <c r="AC455" t="s">
        <v>247</v>
      </c>
      <c r="AD455" t="s">
        <v>220</v>
      </c>
      <c r="AE455" t="s">
        <v>229</v>
      </c>
      <c r="AG455" t="s">
        <v>121</v>
      </c>
      <c r="AH455" t="s">
        <v>327</v>
      </c>
      <c r="AI455" t="s">
        <v>121</v>
      </c>
      <c r="AJ455" t="s">
        <v>716</v>
      </c>
      <c r="AK455" t="s">
        <v>121</v>
      </c>
      <c r="AL455" t="s">
        <v>121</v>
      </c>
      <c r="AM455" t="s">
        <v>121</v>
      </c>
    </row>
    <row r="456" spans="9:39" x14ac:dyDescent="0.3">
      <c r="I456">
        <f ca="1">IF(OR(INDIRECT(A73&amp;ROW())=B93,INDIRECT(A73&amp;ROW())=B94),1,IF(AND(INDIRECT(A73&amp;ROW())=B95,INDIRECT(A96&amp;ROW())=C93),1,IF(AND(INDIRECT(A73&amp;ROW())=B95,INDIRECT(A96&amp;ROW())=C94),1,0)))</f>
        <v>0</v>
      </c>
      <c r="J456">
        <f ca="1">IF(AND(INDIRECT(A73&amp;ROW())=B95,INDIRECT(A96&amp;ROW())=C95),1,IF(AND(INDIRECT(A73&amp;ROW())=B95,INDIRECT(A96&amp;ROW())=C96),1,0))</f>
        <v>1</v>
      </c>
      <c r="K456">
        <f ca="1">DAYS360(INDIRECT(C68&amp;ROW()),TODAY())</f>
        <v>724</v>
      </c>
      <c r="L456">
        <f ca="1">DAYS360(INDIRECT(C69&amp;ROW()),TODAY())</f>
        <v>739</v>
      </c>
      <c r="M456" s="11">
        <f ca="1">HYPERLINK(CONCATENATE("https://bugzilla.houston.hp.com:1181/bugzilla/show_bug.cgi?id=",INDIRECT($C$70&amp;ROW())),INDIRECT($C$70&amp;ROW()))</f>
        <v>60392</v>
      </c>
      <c r="N456">
        <v>60392</v>
      </c>
      <c r="O456" t="s">
        <v>68</v>
      </c>
      <c r="P456" t="s">
        <v>892</v>
      </c>
      <c r="Q456" t="s">
        <v>25</v>
      </c>
      <c r="R456" t="s">
        <v>579</v>
      </c>
      <c r="S456" t="s">
        <v>552</v>
      </c>
      <c r="T456" t="s">
        <v>889</v>
      </c>
      <c r="U456" s="6">
        <v>42122.591226851851</v>
      </c>
      <c r="V456" t="s">
        <v>40</v>
      </c>
      <c r="W456" t="s">
        <v>764</v>
      </c>
      <c r="X456" s="6">
        <v>42107.680706018517</v>
      </c>
      <c r="Y456" t="s">
        <v>255</v>
      </c>
      <c r="AB456" t="s">
        <v>201</v>
      </c>
      <c r="AC456" t="s">
        <v>247</v>
      </c>
      <c r="AD456" t="s">
        <v>220</v>
      </c>
      <c r="AE456" t="s">
        <v>229</v>
      </c>
      <c r="AG456" t="s">
        <v>121</v>
      </c>
      <c r="AH456" t="s">
        <v>327</v>
      </c>
      <c r="AI456" t="s">
        <v>362</v>
      </c>
      <c r="AJ456" t="s">
        <v>716</v>
      </c>
      <c r="AK456" t="s">
        <v>121</v>
      </c>
      <c r="AL456" t="s">
        <v>121</v>
      </c>
      <c r="AM456" t="s">
        <v>121</v>
      </c>
    </row>
    <row r="457" spans="9:39" x14ac:dyDescent="0.3">
      <c r="I457">
        <f ca="1">IF(OR(INDIRECT(A73&amp;ROW())=B93,INDIRECT(A73&amp;ROW())=B94),1,IF(AND(INDIRECT(A73&amp;ROW())=B95,INDIRECT(A96&amp;ROW())=C93),1,IF(AND(INDIRECT(A73&amp;ROW())=B95,INDIRECT(A96&amp;ROW())=C94),1,0)))</f>
        <v>0</v>
      </c>
      <c r="J457">
        <f ca="1">IF(AND(INDIRECT(A73&amp;ROW())=B95,INDIRECT(A96&amp;ROW())=C95),1,IF(AND(INDIRECT(A73&amp;ROW())=B95,INDIRECT(A96&amp;ROW())=C96),1,0))</f>
        <v>0</v>
      </c>
      <c r="K457">
        <f ca="1">DAYS360(INDIRECT(C68&amp;ROW()),TODAY())</f>
        <v>660</v>
      </c>
      <c r="L457">
        <f ca="1">DAYS360(INDIRECT(C69&amp;ROW()),TODAY())</f>
        <v>738</v>
      </c>
      <c r="M457" s="11">
        <f ca="1">HYPERLINK(CONCATENATE("https://bugzilla.houston.hp.com:1181/bugzilla/show_bug.cgi?id=",INDIRECT($C$70&amp;ROW())),INDIRECT($C$70&amp;ROW()))</f>
        <v>60424</v>
      </c>
      <c r="N457">
        <v>60424</v>
      </c>
      <c r="O457" t="s">
        <v>59</v>
      </c>
      <c r="P457" t="s">
        <v>871</v>
      </c>
      <c r="Q457" t="s">
        <v>16</v>
      </c>
      <c r="R457" t="s">
        <v>251</v>
      </c>
      <c r="S457" t="s">
        <v>870</v>
      </c>
      <c r="T457" t="s">
        <v>865</v>
      </c>
      <c r="U457" s="6">
        <v>42187.25341435185</v>
      </c>
      <c r="V457" t="s">
        <v>40</v>
      </c>
      <c r="W457" t="s">
        <v>764</v>
      </c>
      <c r="X457" s="6">
        <v>42108.167349537034</v>
      </c>
      <c r="Y457" t="s">
        <v>810</v>
      </c>
      <c r="AB457" t="s">
        <v>200</v>
      </c>
      <c r="AC457" t="s">
        <v>247</v>
      </c>
      <c r="AD457" t="s">
        <v>220</v>
      </c>
      <c r="AE457" t="s">
        <v>223</v>
      </c>
      <c r="AG457" t="s">
        <v>121</v>
      </c>
      <c r="AH457" t="s">
        <v>327</v>
      </c>
      <c r="AI457" t="s">
        <v>121</v>
      </c>
      <c r="AJ457" t="s">
        <v>716</v>
      </c>
      <c r="AK457" t="s">
        <v>121</v>
      </c>
      <c r="AL457" t="s">
        <v>121</v>
      </c>
      <c r="AM457" t="s">
        <v>121</v>
      </c>
    </row>
    <row r="458" spans="9:39" x14ac:dyDescent="0.3">
      <c r="I458">
        <f ca="1">IF(OR(INDIRECT(A73&amp;ROW())=B93,INDIRECT(A73&amp;ROW())=B94),1,IF(AND(INDIRECT(A73&amp;ROW())=B95,INDIRECT(A96&amp;ROW())=C93),1,IF(AND(INDIRECT(A73&amp;ROW())=B95,INDIRECT(A96&amp;ROW())=C94),1,0)))</f>
        <v>0</v>
      </c>
      <c r="J458">
        <f ca="1">IF(AND(INDIRECT(A73&amp;ROW())=B95,INDIRECT(A96&amp;ROW())=C95),1,IF(AND(INDIRECT(A73&amp;ROW())=B95,INDIRECT(A96&amp;ROW())=C96),1,0))</f>
        <v>0</v>
      </c>
      <c r="K458">
        <f ca="1">DAYS360(INDIRECT(C68&amp;ROW()),TODAY())</f>
        <v>717</v>
      </c>
      <c r="L458">
        <f ca="1">DAYS360(INDIRECT(C69&amp;ROW()),TODAY())</f>
        <v>738</v>
      </c>
      <c r="M458">
        <f ca="1">HYPERLINK(CONCATENATE("https://bugzilla.houston.hp.com:1181/bugzilla/show_bug.cgi?id=",INDIRECT(C70&amp;ROW())),INDIRECT(C70&amp;ROW()))</f>
        <v>60438</v>
      </c>
      <c r="N458">
        <v>60438</v>
      </c>
      <c r="O458" t="s">
        <v>59</v>
      </c>
      <c r="P458" t="s">
        <v>869</v>
      </c>
      <c r="Q458" t="s">
        <v>16</v>
      </c>
      <c r="R458" t="s">
        <v>579</v>
      </c>
      <c r="S458" t="s">
        <v>552</v>
      </c>
      <c r="U458" s="6">
        <v>42129.472060185188</v>
      </c>
      <c r="V458" t="s">
        <v>40</v>
      </c>
      <c r="W458" t="s">
        <v>764</v>
      </c>
      <c r="X458" s="6">
        <v>42108.32603009259</v>
      </c>
      <c r="Y458" t="s">
        <v>810</v>
      </c>
      <c r="AB458" t="s">
        <v>200</v>
      </c>
      <c r="AC458" t="s">
        <v>247</v>
      </c>
      <c r="AD458" t="s">
        <v>220</v>
      </c>
      <c r="AE458" t="s">
        <v>223</v>
      </c>
      <c r="AG458" t="s">
        <v>121</v>
      </c>
      <c r="AH458" t="s">
        <v>327</v>
      </c>
      <c r="AI458" t="s">
        <v>121</v>
      </c>
      <c r="AJ458" t="s">
        <v>716</v>
      </c>
      <c r="AK458" t="s">
        <v>121</v>
      </c>
      <c r="AL458" t="s">
        <v>121</v>
      </c>
      <c r="AM458" t="s">
        <v>121</v>
      </c>
    </row>
    <row r="459" spans="9:39" x14ac:dyDescent="0.3">
      <c r="I459">
        <f ca="1">IF(OR(INDIRECT(A73&amp;ROW())=B93,INDIRECT(A73&amp;ROW())=B94),1,IF(AND(INDIRECT(A73&amp;ROW())=B95,INDIRECT(A96&amp;ROW())=C93),1,IF(AND(INDIRECT(A73&amp;ROW())=B95,INDIRECT(A96&amp;ROW())=C94),1,0)))</f>
        <v>0</v>
      </c>
      <c r="J459">
        <f ca="1">IF(AND(INDIRECT(A73&amp;ROW())=B95,INDIRECT(A96&amp;ROW())=C95),1,IF(AND(INDIRECT(A73&amp;ROW())=B95,INDIRECT(A96&amp;ROW())=C96),1,0))</f>
        <v>0</v>
      </c>
      <c r="K459">
        <f ca="1">DAYS360(INDIRECT(C68&amp;ROW()),TODAY())</f>
        <v>717</v>
      </c>
      <c r="L459">
        <f ca="1">DAYS360(INDIRECT(C69&amp;ROW()),TODAY())</f>
        <v>738</v>
      </c>
      <c r="M459">
        <f ca="1">HYPERLINK(CONCATENATE("https://bugzilla.houston.hp.com:1181/bugzilla/show_bug.cgi?id=",INDIRECT(C70&amp;ROW())),INDIRECT(C70&amp;ROW()))</f>
        <v>60439</v>
      </c>
      <c r="N459">
        <v>60439</v>
      </c>
      <c r="O459" t="s">
        <v>59</v>
      </c>
      <c r="P459" t="s">
        <v>868</v>
      </c>
      <c r="Q459" t="s">
        <v>16</v>
      </c>
      <c r="R459" t="s">
        <v>248</v>
      </c>
      <c r="S459" t="s">
        <v>552</v>
      </c>
      <c r="U459" s="6">
        <v>42129.472037037034</v>
      </c>
      <c r="V459" t="s">
        <v>40</v>
      </c>
      <c r="W459" t="s">
        <v>764</v>
      </c>
      <c r="X459" s="6">
        <v>42108.326099537036</v>
      </c>
      <c r="Y459" t="s">
        <v>810</v>
      </c>
      <c r="AB459" t="s">
        <v>200</v>
      </c>
      <c r="AC459" t="s">
        <v>247</v>
      </c>
      <c r="AD459" t="s">
        <v>220</v>
      </c>
      <c r="AE459" t="s">
        <v>223</v>
      </c>
      <c r="AG459" t="s">
        <v>121</v>
      </c>
      <c r="AH459" t="s">
        <v>327</v>
      </c>
      <c r="AI459" t="s">
        <v>121</v>
      </c>
      <c r="AJ459" t="s">
        <v>716</v>
      </c>
      <c r="AK459" t="s">
        <v>121</v>
      </c>
      <c r="AL459" t="s">
        <v>121</v>
      </c>
      <c r="AM459" t="s">
        <v>121</v>
      </c>
    </row>
    <row r="460" spans="9:39" x14ac:dyDescent="0.3">
      <c r="I460">
        <f ca="1">IF(OR(INDIRECT(A73&amp;ROW())=B93,INDIRECT(A73&amp;ROW())=B94),1,IF(AND(INDIRECT(A73&amp;ROW())=B95,INDIRECT(A96&amp;ROW())=C93),1,IF(AND(INDIRECT(A73&amp;ROW())=B95,INDIRECT(A96&amp;ROW())=C94),1,0)))</f>
        <v>0</v>
      </c>
      <c r="J460">
        <f ca="1">IF(AND(INDIRECT(A73&amp;ROW())=B95,INDIRECT(A96&amp;ROW())=C95),1,IF(AND(INDIRECT(A73&amp;ROW())=B95,INDIRECT(A96&amp;ROW())=C96),1,0))</f>
        <v>1</v>
      </c>
      <c r="K460">
        <f ca="1">DAYS360(INDIRECT(C68&amp;ROW()),TODAY())</f>
        <v>673</v>
      </c>
      <c r="L460">
        <f ca="1">DAYS360(INDIRECT(C69&amp;ROW()),TODAY())</f>
        <v>738</v>
      </c>
      <c r="M460">
        <f ca="1">HYPERLINK(CONCATENATE("https://bugzilla.houston.hp.com:1181/bugzilla/show_bug.cgi?id=",INDIRECT(C70&amp;ROW())),INDIRECT(C70&amp;ROW()))</f>
        <v>60459</v>
      </c>
      <c r="N460">
        <v>60459</v>
      </c>
      <c r="O460" t="s">
        <v>21</v>
      </c>
      <c r="P460" t="s">
        <v>914</v>
      </c>
      <c r="Q460" t="s">
        <v>25</v>
      </c>
      <c r="R460" t="s">
        <v>579</v>
      </c>
      <c r="S460" t="s">
        <v>552</v>
      </c>
      <c r="T460" t="s">
        <v>921</v>
      </c>
      <c r="U460" s="6">
        <v>42174.717291666668</v>
      </c>
      <c r="V460" t="s">
        <v>18</v>
      </c>
      <c r="W460" t="s">
        <v>783</v>
      </c>
      <c r="X460" s="6">
        <v>42108.516365740739</v>
      </c>
      <c r="Y460" t="s">
        <v>846</v>
      </c>
      <c r="AB460" t="s">
        <v>201</v>
      </c>
      <c r="AC460" t="s">
        <v>247</v>
      </c>
      <c r="AD460" t="s">
        <v>222</v>
      </c>
      <c r="AE460" t="s">
        <v>221</v>
      </c>
      <c r="AG460" t="s">
        <v>121</v>
      </c>
      <c r="AH460" t="s">
        <v>327</v>
      </c>
      <c r="AI460" t="s">
        <v>121</v>
      </c>
      <c r="AJ460" t="s">
        <v>716</v>
      </c>
      <c r="AK460" t="s">
        <v>121</v>
      </c>
      <c r="AL460" t="s">
        <v>121</v>
      </c>
      <c r="AM460" t="s">
        <v>121</v>
      </c>
    </row>
    <row r="461" spans="9:39" x14ac:dyDescent="0.3">
      <c r="I461">
        <f ca="1">IF(OR(INDIRECT(A73&amp;ROW())=B93,INDIRECT(A73&amp;ROW())=B94),1,IF(AND(INDIRECT(A73&amp;ROW())=B95,INDIRECT(A96&amp;ROW())=C93),1,IF(AND(INDIRECT(A73&amp;ROW())=B95,INDIRECT(A96&amp;ROW())=C94),1,0)))</f>
        <v>1</v>
      </c>
      <c r="J461">
        <f ca="1">IF(AND(INDIRECT(A73&amp;ROW())=B95,INDIRECT(A96&amp;ROW())=C95),1,IF(AND(INDIRECT(A73&amp;ROW())=B95,INDIRECT(A96&amp;ROW())=C96),1,0))</f>
        <v>0</v>
      </c>
      <c r="K461">
        <f ca="1">DAYS360(INDIRECT(C68&amp;ROW()),TODAY())</f>
        <v>638</v>
      </c>
      <c r="L461">
        <f ca="1">DAYS360(INDIRECT(C69&amp;ROW()),TODAY())</f>
        <v>738</v>
      </c>
      <c r="M461">
        <f ca="1">HYPERLINK(CONCATENATE("https://bugzilla.houston.hp.com:1181/bugzilla/show_bug.cgi?id=",INDIRECT(C70&amp;ROW())),INDIRECT(C70&amp;ROW()))</f>
        <v>60468</v>
      </c>
      <c r="N461">
        <v>60468</v>
      </c>
      <c r="O461" t="s">
        <v>45</v>
      </c>
      <c r="P461" t="s">
        <v>1414</v>
      </c>
      <c r="Q461" t="s">
        <v>25</v>
      </c>
      <c r="R461" t="s">
        <v>251</v>
      </c>
      <c r="S461" t="s">
        <v>1415</v>
      </c>
      <c r="U461" s="6">
        <v>42209.324444444443</v>
      </c>
      <c r="V461" t="s">
        <v>18</v>
      </c>
      <c r="W461" t="s">
        <v>57</v>
      </c>
      <c r="X461" s="6">
        <v>42108.592615740738</v>
      </c>
      <c r="Y461" t="s">
        <v>1026</v>
      </c>
      <c r="AB461" t="s">
        <v>200</v>
      </c>
      <c r="AC461" t="s">
        <v>247</v>
      </c>
      <c r="AD461" t="s">
        <v>220</v>
      </c>
      <c r="AE461" t="s">
        <v>290</v>
      </c>
      <c r="AG461" t="s">
        <v>121</v>
      </c>
      <c r="AH461" t="s">
        <v>327</v>
      </c>
      <c r="AI461" t="s">
        <v>121</v>
      </c>
      <c r="AJ461" t="s">
        <v>715</v>
      </c>
      <c r="AK461" t="s">
        <v>121</v>
      </c>
      <c r="AL461" t="s">
        <v>121</v>
      </c>
      <c r="AM461" t="s">
        <v>121</v>
      </c>
    </row>
    <row r="462" spans="9:39" x14ac:dyDescent="0.3">
      <c r="I462">
        <f ca="1">IF(OR(INDIRECT(A73&amp;ROW())=B93,INDIRECT(A73&amp;ROW())=B94),1,IF(AND(INDIRECT(A73&amp;ROW())=B95,INDIRECT(A96&amp;ROW())=C93),1,IF(AND(INDIRECT(A73&amp;ROW())=B95,INDIRECT(A96&amp;ROW())=C94),1,0)))</f>
        <v>0</v>
      </c>
      <c r="J462">
        <f ca="1">IF(AND(INDIRECT(A73&amp;ROW())=B95,INDIRECT(A96&amp;ROW())=C95),1,IF(AND(INDIRECT(A73&amp;ROW())=B95,INDIRECT(A96&amp;ROW())=C96),1,0))</f>
        <v>1</v>
      </c>
      <c r="K462">
        <f ca="1">DAYS360(INDIRECT(C68&amp;ROW()),TODAY())</f>
        <v>736</v>
      </c>
      <c r="L462">
        <f ca="1">DAYS360(INDIRECT(C69&amp;ROW()),TODAY())</f>
        <v>737</v>
      </c>
      <c r="M462">
        <f ca="1">HYPERLINK(CONCATENATE("https://bugzilla.houston.hp.com:1181/bugzilla/show_bug.cgi?id=",INDIRECT(C70&amp;ROW())),INDIRECT(C70&amp;ROW()))</f>
        <v>60556</v>
      </c>
      <c r="N462">
        <v>60556</v>
      </c>
      <c r="O462" t="s">
        <v>22</v>
      </c>
      <c r="P462" t="s">
        <v>913</v>
      </c>
      <c r="Q462" t="s">
        <v>25</v>
      </c>
      <c r="R462" t="s">
        <v>251</v>
      </c>
      <c r="S462" t="s">
        <v>253</v>
      </c>
      <c r="U462" s="6">
        <v>42110.727951388886</v>
      </c>
      <c r="V462" t="s">
        <v>18</v>
      </c>
      <c r="W462" t="s">
        <v>764</v>
      </c>
      <c r="X462" s="6">
        <v>42109.729837962965</v>
      </c>
      <c r="Y462" t="s">
        <v>246</v>
      </c>
      <c r="AB462" t="s">
        <v>201</v>
      </c>
      <c r="AC462" t="s">
        <v>247</v>
      </c>
      <c r="AD462" t="s">
        <v>222</v>
      </c>
      <c r="AE462" t="s">
        <v>232</v>
      </c>
      <c r="AG462" t="s">
        <v>121</v>
      </c>
      <c r="AH462" t="s">
        <v>327</v>
      </c>
      <c r="AI462" t="s">
        <v>121</v>
      </c>
      <c r="AJ462" t="s">
        <v>716</v>
      </c>
      <c r="AK462" t="s">
        <v>121</v>
      </c>
      <c r="AL462" t="s">
        <v>121</v>
      </c>
      <c r="AM462" t="s">
        <v>121</v>
      </c>
    </row>
    <row r="463" spans="9:39" x14ac:dyDescent="0.3">
      <c r="I463">
        <f ca="1">IF(OR(INDIRECT(A73&amp;ROW())=B93,INDIRECT(A73&amp;ROW())=B94),1,IF(AND(INDIRECT(A73&amp;ROW())=B95,INDIRECT(A96&amp;ROW())=C93),1,IF(AND(INDIRECT(A73&amp;ROW())=B95,INDIRECT(A96&amp;ROW())=C94),1,0)))</f>
        <v>1</v>
      </c>
      <c r="J463">
        <f ca="1">IF(AND(INDIRECT(A73&amp;ROW())=B95,INDIRECT(A96&amp;ROW())=C95),1,IF(AND(INDIRECT(A73&amp;ROW())=B95,INDIRECT(A96&amp;ROW())=C96),1,0))</f>
        <v>0</v>
      </c>
      <c r="K463">
        <f ca="1">DAYS360(INDIRECT(C68&amp;ROW()),TODAY())</f>
        <v>613</v>
      </c>
      <c r="L463">
        <f ca="1">DAYS360(INDIRECT(C69&amp;ROW()),TODAY())</f>
        <v>737</v>
      </c>
      <c r="M463">
        <f ca="1">HYPERLINK(CONCATENATE("https://bugzilla.houston.hp.com:1181/bugzilla/show_bug.cgi?id=",INDIRECT(C70&amp;ROW())),INDIRECT(C70&amp;ROW()))</f>
        <v>60557</v>
      </c>
      <c r="N463">
        <v>60557</v>
      </c>
      <c r="O463" t="s">
        <v>164</v>
      </c>
      <c r="P463" t="s">
        <v>912</v>
      </c>
      <c r="Q463" t="s">
        <v>25</v>
      </c>
      <c r="R463" t="s">
        <v>783</v>
      </c>
      <c r="S463" t="s">
        <v>552</v>
      </c>
      <c r="U463" s="6">
        <v>42235.301377314812</v>
      </c>
      <c r="V463" t="s">
        <v>40</v>
      </c>
      <c r="W463" t="s">
        <v>57</v>
      </c>
      <c r="X463" s="6">
        <v>42109.740752314814</v>
      </c>
      <c r="Y463" t="s">
        <v>125</v>
      </c>
      <c r="AB463" t="s">
        <v>200</v>
      </c>
      <c r="AC463" t="s">
        <v>216</v>
      </c>
      <c r="AD463" t="s">
        <v>220</v>
      </c>
      <c r="AE463" t="s">
        <v>219</v>
      </c>
      <c r="AG463" t="s">
        <v>337</v>
      </c>
      <c r="AH463" t="s">
        <v>328</v>
      </c>
      <c r="AI463" t="s">
        <v>121</v>
      </c>
      <c r="AJ463" t="s">
        <v>715</v>
      </c>
      <c r="AK463" t="s">
        <v>121</v>
      </c>
      <c r="AL463" t="s">
        <v>121</v>
      </c>
      <c r="AM463" t="s">
        <v>121</v>
      </c>
    </row>
    <row r="464" spans="9:39" x14ac:dyDescent="0.3">
      <c r="I464">
        <f ca="1">IF(OR(INDIRECT(A73&amp;ROW())=B93,INDIRECT(A73&amp;ROW())=B94),1,IF(AND(INDIRECT(A73&amp;ROW())=B95,INDIRECT(A96&amp;ROW())=C93),1,IF(AND(INDIRECT(A73&amp;ROW())=B95,INDIRECT(A96&amp;ROW())=C94),1,0)))</f>
        <v>0</v>
      </c>
      <c r="J464">
        <f ca="1">IF(AND(INDIRECT(A73&amp;ROW())=B95,INDIRECT(A96&amp;ROW())=C95),1,IF(AND(INDIRECT(A73&amp;ROW())=B95,INDIRECT(A96&amp;ROW())=C96),1,0))</f>
        <v>0</v>
      </c>
      <c r="K464">
        <f ca="1">DAYS360(INDIRECT(C68&amp;ROW()),TODAY())</f>
        <v>670</v>
      </c>
      <c r="L464">
        <f ca="1">DAYS360(INDIRECT(C69&amp;ROW()),TODAY())</f>
        <v>737</v>
      </c>
      <c r="M464">
        <f ca="1">HYPERLINK(CONCATENATE("https://bugzilla.houston.hp.com:1181/bugzilla/show_bug.cgi?id=",INDIRECT(C70&amp;ROW())),INDIRECT(C70&amp;ROW()))</f>
        <v>60559</v>
      </c>
      <c r="N464">
        <v>60559</v>
      </c>
      <c r="O464" t="s">
        <v>45</v>
      </c>
      <c r="P464" t="s">
        <v>911</v>
      </c>
      <c r="Q464" t="s">
        <v>16</v>
      </c>
      <c r="R464" t="s">
        <v>783</v>
      </c>
      <c r="S464" t="s">
        <v>552</v>
      </c>
      <c r="U464" s="6">
        <v>42177.54478009259</v>
      </c>
      <c r="V464" t="s">
        <v>18</v>
      </c>
      <c r="W464" t="s">
        <v>17</v>
      </c>
      <c r="X464" s="6">
        <v>42109.744675925926</v>
      </c>
      <c r="Y464" t="s">
        <v>122</v>
      </c>
      <c r="AB464" t="s">
        <v>201</v>
      </c>
      <c r="AC464" t="s">
        <v>247</v>
      </c>
      <c r="AD464" t="s">
        <v>227</v>
      </c>
      <c r="AE464" t="s">
        <v>226</v>
      </c>
      <c r="AG464" t="s">
        <v>121</v>
      </c>
      <c r="AH464" t="s">
        <v>327</v>
      </c>
      <c r="AI464" t="s">
        <v>121</v>
      </c>
      <c r="AJ464" t="s">
        <v>717</v>
      </c>
      <c r="AK464" t="s">
        <v>121</v>
      </c>
      <c r="AL464" t="s">
        <v>121</v>
      </c>
      <c r="AM464" t="s">
        <v>121</v>
      </c>
    </row>
    <row r="465" spans="9:39" x14ac:dyDescent="0.3">
      <c r="I465">
        <f ca="1">IF(OR(INDIRECT(A73&amp;ROW())=B93,INDIRECT(A73&amp;ROW())=B94),1,IF(AND(INDIRECT(A73&amp;ROW())=B95,INDIRECT(A96&amp;ROW())=C93),1,IF(AND(INDIRECT(A73&amp;ROW())=B95,INDIRECT(A96&amp;ROW())=C94),1,0)))</f>
        <v>1</v>
      </c>
      <c r="J465">
        <f ca="1">IF(AND(INDIRECT(A73&amp;ROW())=B95,INDIRECT(A96&amp;ROW())=C95),1,IF(AND(INDIRECT(A73&amp;ROW())=B95,INDIRECT(A96&amp;ROW())=C96),1,0))</f>
        <v>0</v>
      </c>
      <c r="K465">
        <f ca="1">DAYS360(INDIRECT(C68&amp;ROW()),TODAY())</f>
        <v>641</v>
      </c>
      <c r="L465">
        <f ca="1">DAYS360(INDIRECT(C69&amp;ROW()),TODAY())</f>
        <v>737</v>
      </c>
      <c r="M465">
        <f ca="1">HYPERLINK(CONCATENATE("https://bugzilla.houston.hp.com:1181/bugzilla/show_bug.cgi?id=",INDIRECT(C70&amp;ROW())),INDIRECT(C70&amp;ROW()))</f>
        <v>60560</v>
      </c>
      <c r="N465">
        <v>60560</v>
      </c>
      <c r="O465" t="s">
        <v>241</v>
      </c>
      <c r="P465" t="s">
        <v>910</v>
      </c>
      <c r="Q465" t="s">
        <v>25</v>
      </c>
      <c r="R465" t="s">
        <v>783</v>
      </c>
      <c r="S465" t="s">
        <v>552</v>
      </c>
      <c r="U465" s="6">
        <v>42206.086076388892</v>
      </c>
      <c r="V465" t="s">
        <v>18</v>
      </c>
      <c r="W465" t="s">
        <v>764</v>
      </c>
      <c r="X465" s="6">
        <v>42109.74486111111</v>
      </c>
      <c r="Y465" t="s">
        <v>122</v>
      </c>
      <c r="AB465" t="s">
        <v>200</v>
      </c>
      <c r="AC465" t="s">
        <v>247</v>
      </c>
      <c r="AD465" t="s">
        <v>222</v>
      </c>
      <c r="AE465" t="s">
        <v>232</v>
      </c>
      <c r="AG465" t="s">
        <v>337</v>
      </c>
      <c r="AH465" t="s">
        <v>327</v>
      </c>
      <c r="AI465" t="s">
        <v>121</v>
      </c>
      <c r="AJ465" t="s">
        <v>715</v>
      </c>
      <c r="AK465" t="s">
        <v>121</v>
      </c>
      <c r="AL465" t="s">
        <v>121</v>
      </c>
      <c r="AM465" t="s">
        <v>121</v>
      </c>
    </row>
    <row r="466" spans="9:39" x14ac:dyDescent="0.3">
      <c r="I466">
        <f ca="1">IF(OR(INDIRECT(A73&amp;ROW())=B93,INDIRECT(A73&amp;ROW())=B94),1,IF(AND(INDIRECT(A73&amp;ROW())=B95,INDIRECT(A96&amp;ROW())=C93),1,IF(AND(INDIRECT(A73&amp;ROW())=B95,INDIRECT(A96&amp;ROW())=C94),1,0)))</f>
        <v>0</v>
      </c>
      <c r="J466">
        <f ca="1">IF(AND(INDIRECT(A73&amp;ROW())=B95,INDIRECT(A96&amp;ROW())=C95),1,IF(AND(INDIRECT(A73&amp;ROW())=B95,INDIRECT(A96&amp;ROW())=C96),1,0))</f>
        <v>1</v>
      </c>
      <c r="K466">
        <f ca="1">DAYS360(INDIRECT(C68&amp;ROW()),TODAY())</f>
        <v>690</v>
      </c>
      <c r="L466">
        <f ca="1">DAYS360(INDIRECT(C69&amp;ROW()),TODAY())</f>
        <v>737</v>
      </c>
      <c r="M466">
        <f ca="1">HYPERLINK(CONCATENATE("https://bugzilla.houston.hp.com:1181/bugzilla/show_bug.cgi?id=",INDIRECT(C70&amp;ROW())),INDIRECT(C70&amp;ROW()))</f>
        <v>60562</v>
      </c>
      <c r="N466">
        <v>60562</v>
      </c>
      <c r="O466" t="s">
        <v>45</v>
      </c>
      <c r="P466" t="s">
        <v>909</v>
      </c>
      <c r="Q466" t="s">
        <v>25</v>
      </c>
      <c r="R466" t="s">
        <v>783</v>
      </c>
      <c r="S466" t="s">
        <v>552</v>
      </c>
      <c r="T466" t="s">
        <v>798</v>
      </c>
      <c r="U466" s="6">
        <v>42157.103680555556</v>
      </c>
      <c r="V466" t="s">
        <v>18</v>
      </c>
      <c r="W466" t="s">
        <v>783</v>
      </c>
      <c r="X466" s="6">
        <v>42109.747708333336</v>
      </c>
      <c r="Y466" t="s">
        <v>119</v>
      </c>
      <c r="AB466" t="s">
        <v>201</v>
      </c>
      <c r="AC466" t="s">
        <v>247</v>
      </c>
      <c r="AD466" t="s">
        <v>227</v>
      </c>
      <c r="AE466" t="s">
        <v>370</v>
      </c>
      <c r="AG466" t="s">
        <v>121</v>
      </c>
      <c r="AH466" t="s">
        <v>327</v>
      </c>
      <c r="AI466" t="s">
        <v>121</v>
      </c>
      <c r="AJ466" t="s">
        <v>716</v>
      </c>
      <c r="AK466" t="s">
        <v>121</v>
      </c>
      <c r="AL466" t="s">
        <v>121</v>
      </c>
      <c r="AM466" t="s">
        <v>121</v>
      </c>
    </row>
    <row r="467" spans="9:39" x14ac:dyDescent="0.3">
      <c r="I467">
        <f ca="1">IF(OR(INDIRECT(A73&amp;ROW())=B93,INDIRECT(A73&amp;ROW())=B94),1,IF(AND(INDIRECT(A73&amp;ROW())=B95,INDIRECT(A96&amp;ROW())=C93),1,IF(AND(INDIRECT(A73&amp;ROW())=B95,INDIRECT(A96&amp;ROW())=C94),1,0)))</f>
        <v>1</v>
      </c>
      <c r="J467">
        <f ca="1">IF(AND(INDIRECT(A73&amp;ROW())=B95,INDIRECT(A96&amp;ROW())=C95),1,IF(AND(INDIRECT(A73&amp;ROW())=B95,INDIRECT(A96&amp;ROW())=C96),1,0))</f>
        <v>0</v>
      </c>
      <c r="K467">
        <f ca="1">DAYS360(INDIRECT(C68&amp;ROW()),TODAY())</f>
        <v>614</v>
      </c>
      <c r="L467">
        <f ca="1">DAYS360(INDIRECT(C69&amp;ROW()),TODAY())</f>
        <v>737</v>
      </c>
      <c r="M467">
        <f ca="1">HYPERLINK(CONCATENATE("https://bugzilla.houston.hp.com:1181/bugzilla/show_bug.cgi?id=",INDIRECT(C70&amp;ROW())),INDIRECT(C70&amp;ROW()))</f>
        <v>60564</v>
      </c>
      <c r="N467">
        <v>60564</v>
      </c>
      <c r="O467" t="s">
        <v>1416</v>
      </c>
      <c r="P467" t="s">
        <v>907</v>
      </c>
      <c r="Q467" t="s">
        <v>25</v>
      </c>
      <c r="R467" t="s">
        <v>783</v>
      </c>
      <c r="S467" t="s">
        <v>552</v>
      </c>
      <c r="T467" t="s">
        <v>809</v>
      </c>
      <c r="U467" s="6">
        <v>42234.409837962965</v>
      </c>
      <c r="V467" t="s">
        <v>40</v>
      </c>
      <c r="W467" t="s">
        <v>764</v>
      </c>
      <c r="X467" s="6">
        <v>42109.74800925926</v>
      </c>
      <c r="Y467" t="s">
        <v>810</v>
      </c>
      <c r="AB467" t="s">
        <v>199</v>
      </c>
      <c r="AC467" t="s">
        <v>247</v>
      </c>
      <c r="AD467" t="s">
        <v>222</v>
      </c>
      <c r="AE467" t="s">
        <v>228</v>
      </c>
      <c r="AG467" t="s">
        <v>337</v>
      </c>
      <c r="AH467" t="s">
        <v>327</v>
      </c>
      <c r="AI467" t="s">
        <v>362</v>
      </c>
      <c r="AJ467" t="s">
        <v>715</v>
      </c>
      <c r="AK467" t="s">
        <v>121</v>
      </c>
      <c r="AL467" t="s">
        <v>121</v>
      </c>
      <c r="AM467" t="s">
        <v>121</v>
      </c>
    </row>
    <row r="468" spans="9:39" x14ac:dyDescent="0.3">
      <c r="I468">
        <f ca="1">IF(OR(INDIRECT(A73&amp;ROW())=B93,INDIRECT(A73&amp;ROW())=B94),1,IF(AND(INDIRECT(A73&amp;ROW())=B95,INDIRECT(A96&amp;ROW())=C93),1,IF(AND(INDIRECT(A73&amp;ROW())=B95,INDIRECT(A96&amp;ROW())=C94),1,0)))</f>
        <v>1</v>
      </c>
      <c r="J468">
        <f ca="1">IF(AND(INDIRECT(A73&amp;ROW())=B95,INDIRECT(A96&amp;ROW())=C95),1,IF(AND(INDIRECT(A73&amp;ROW())=B95,INDIRECT(A96&amp;ROW())=C96),1,0))</f>
        <v>0</v>
      </c>
      <c r="K468">
        <f ca="1">DAYS360(INDIRECT(C68&amp;ROW()),TODAY())</f>
        <v>641</v>
      </c>
      <c r="L468">
        <f ca="1">DAYS360(INDIRECT(C69&amp;ROW()),TODAY())</f>
        <v>737</v>
      </c>
      <c r="M468">
        <f ca="1">HYPERLINK(CONCATENATE("https://bugzilla.houston.hp.com:1181/bugzilla/show_bug.cgi?id=",INDIRECT(C70&amp;ROW())),INDIRECT(C70&amp;ROW()))</f>
        <v>60565</v>
      </c>
      <c r="N468">
        <v>60565</v>
      </c>
      <c r="O468" t="s">
        <v>22</v>
      </c>
      <c r="P468" t="s">
        <v>906</v>
      </c>
      <c r="Q468" t="s">
        <v>25</v>
      </c>
      <c r="R468" t="s">
        <v>783</v>
      </c>
      <c r="S468" t="s">
        <v>552</v>
      </c>
      <c r="T468" t="s">
        <v>1017</v>
      </c>
      <c r="U468" s="6">
        <v>42206.087245370371</v>
      </c>
      <c r="V468" t="s">
        <v>18</v>
      </c>
      <c r="W468" t="s">
        <v>783</v>
      </c>
      <c r="X468" s="6">
        <v>42109.748171296298</v>
      </c>
      <c r="Y468" t="s">
        <v>119</v>
      </c>
      <c r="AB468" t="s">
        <v>200</v>
      </c>
      <c r="AC468" t="s">
        <v>247</v>
      </c>
      <c r="AD468" t="s">
        <v>220</v>
      </c>
      <c r="AE468" t="s">
        <v>223</v>
      </c>
      <c r="AG468" t="s">
        <v>337</v>
      </c>
      <c r="AH468" t="s">
        <v>327</v>
      </c>
      <c r="AI468" t="s">
        <v>121</v>
      </c>
      <c r="AJ468" t="s">
        <v>715</v>
      </c>
      <c r="AK468" t="s">
        <v>121</v>
      </c>
      <c r="AL468" t="s">
        <v>121</v>
      </c>
      <c r="AM468" t="s">
        <v>121</v>
      </c>
    </row>
    <row r="469" spans="9:39" x14ac:dyDescent="0.3">
      <c r="I469">
        <f ca="1">IF(OR(INDIRECT(A73&amp;ROW())=B93,INDIRECT(A73&amp;ROW())=B94),1,IF(AND(INDIRECT(A73&amp;ROW())=B95,INDIRECT(A96&amp;ROW())=C93),1,IF(AND(INDIRECT(A73&amp;ROW())=B95,INDIRECT(A96&amp;ROW())=C94),1,0)))</f>
        <v>0</v>
      </c>
      <c r="J469">
        <f ca="1">IF(AND(INDIRECT(A73&amp;ROW())=B95,INDIRECT(A96&amp;ROW())=C95),1,IF(AND(INDIRECT(A73&amp;ROW())=B95,INDIRECT(A96&amp;ROW())=C96),1,0))</f>
        <v>1</v>
      </c>
      <c r="K469">
        <f ca="1">DAYS360(INDIRECT(C68&amp;ROW()),TODAY())</f>
        <v>737</v>
      </c>
      <c r="L469">
        <f ca="1">DAYS360(INDIRECT(C69&amp;ROW()),TODAY())</f>
        <v>737</v>
      </c>
      <c r="M469">
        <f ca="1">HYPERLINK(CONCATENATE("https://bugzilla.houston.hp.com:1181/bugzilla/show_bug.cgi?id=",INDIRECT(C70&amp;ROW())),INDIRECT(C70&amp;ROW()))</f>
        <v>60566</v>
      </c>
      <c r="N469">
        <v>60566</v>
      </c>
      <c r="O469" t="s">
        <v>22</v>
      </c>
      <c r="P469" t="s">
        <v>905</v>
      </c>
      <c r="Q469" t="s">
        <v>25</v>
      </c>
      <c r="R469" t="s">
        <v>783</v>
      </c>
      <c r="S469" t="s">
        <v>552</v>
      </c>
      <c r="U469" s="6">
        <v>42109.748472222222</v>
      </c>
      <c r="V469" t="s">
        <v>18</v>
      </c>
      <c r="W469" t="s">
        <v>17</v>
      </c>
      <c r="X469" s="6">
        <v>42109.748472222222</v>
      </c>
      <c r="Y469" t="s">
        <v>246</v>
      </c>
      <c r="AB469" t="s">
        <v>201</v>
      </c>
      <c r="AC469" t="s">
        <v>247</v>
      </c>
      <c r="AD469" t="s">
        <v>222</v>
      </c>
      <c r="AE469" t="s">
        <v>232</v>
      </c>
      <c r="AG469" t="s">
        <v>121</v>
      </c>
      <c r="AH469" t="s">
        <v>327</v>
      </c>
      <c r="AI469" t="s">
        <v>121</v>
      </c>
      <c r="AJ469" t="s">
        <v>716</v>
      </c>
      <c r="AK469" t="s">
        <v>121</v>
      </c>
      <c r="AL469" t="s">
        <v>121</v>
      </c>
      <c r="AM469" t="s">
        <v>121</v>
      </c>
    </row>
    <row r="470" spans="9:39" x14ac:dyDescent="0.3">
      <c r="I470">
        <f ca="1">IF(OR(INDIRECT(A73&amp;ROW())=B93,INDIRECT(A73&amp;ROW())=B94),1,IF(AND(INDIRECT(A73&amp;ROW())=B95,INDIRECT(A96&amp;ROW())=C93),1,IF(AND(INDIRECT(A73&amp;ROW())=B95,INDIRECT(A96&amp;ROW())=C94),1,0)))</f>
        <v>0</v>
      </c>
      <c r="J470">
        <f ca="1">IF(AND(INDIRECT(A73&amp;ROW())=B95,INDIRECT(A96&amp;ROW())=C95),1,IF(AND(INDIRECT(A73&amp;ROW())=B95,INDIRECT(A96&amp;ROW())=C96),1,0))</f>
        <v>1</v>
      </c>
      <c r="K470">
        <f ca="1">DAYS360(INDIRECT(C68&amp;ROW()),TODAY())</f>
        <v>632</v>
      </c>
      <c r="L470">
        <f ca="1">DAYS360(INDIRECT(C69&amp;ROW()),TODAY())</f>
        <v>737</v>
      </c>
      <c r="M470">
        <f ca="1">HYPERLINK(CONCATENATE("https://bugzilla.houston.hp.com:1181/bugzilla/show_bug.cgi?id=",INDIRECT(C70&amp;ROW())),INDIRECT(C70&amp;ROW()))</f>
        <v>60570</v>
      </c>
      <c r="N470">
        <v>60570</v>
      </c>
      <c r="O470" t="s">
        <v>241</v>
      </c>
      <c r="P470" t="s">
        <v>902</v>
      </c>
      <c r="Q470" t="s">
        <v>25</v>
      </c>
      <c r="R470" t="s">
        <v>783</v>
      </c>
      <c r="S470" t="s">
        <v>552</v>
      </c>
      <c r="U470" s="6">
        <v>42216.547511574077</v>
      </c>
      <c r="V470" t="s">
        <v>18</v>
      </c>
      <c r="W470" t="s">
        <v>783</v>
      </c>
      <c r="X470" s="6">
        <v>42109.749328703707</v>
      </c>
      <c r="Y470" t="s">
        <v>255</v>
      </c>
      <c r="AB470" t="s">
        <v>201</v>
      </c>
      <c r="AC470" t="s">
        <v>247</v>
      </c>
      <c r="AD470" t="s">
        <v>222</v>
      </c>
      <c r="AE470" t="s">
        <v>232</v>
      </c>
      <c r="AG470" t="s">
        <v>121</v>
      </c>
      <c r="AH470" t="s">
        <v>327</v>
      </c>
      <c r="AI470" t="s">
        <v>121</v>
      </c>
      <c r="AJ470" t="s">
        <v>716</v>
      </c>
      <c r="AK470" t="s">
        <v>121</v>
      </c>
      <c r="AL470" t="s">
        <v>121</v>
      </c>
      <c r="AM470" t="s">
        <v>121</v>
      </c>
    </row>
    <row r="471" spans="9:39" x14ac:dyDescent="0.3">
      <c r="I471">
        <f ca="1">IF(OR(INDIRECT(A73&amp;ROW())=B93,INDIRECT(A73&amp;ROW())=B94),1,IF(AND(INDIRECT(A73&amp;ROW())=B95,INDIRECT(A96&amp;ROW())=C93),1,IF(AND(INDIRECT(A73&amp;ROW())=B95,INDIRECT(A96&amp;ROW())=C94),1,0)))</f>
        <v>0</v>
      </c>
      <c r="J471">
        <f ca="1">IF(AND(INDIRECT(A73&amp;ROW())=B95,INDIRECT(A96&amp;ROW())=C95),1,IF(AND(INDIRECT(A73&amp;ROW())=B95,INDIRECT(A96&amp;ROW())=C96),1,0))</f>
        <v>1</v>
      </c>
      <c r="K471">
        <f ca="1">DAYS360(INDIRECT(C68&amp;ROW()),TODAY())</f>
        <v>737</v>
      </c>
      <c r="L471">
        <f ca="1">DAYS360(INDIRECT(C69&amp;ROW()),TODAY())</f>
        <v>737</v>
      </c>
      <c r="M471">
        <f ca="1">HYPERLINK(CONCATENATE("https://bugzilla.houston.hp.com:1181/bugzilla/show_bug.cgi?id=",INDIRECT(C70&amp;ROW())),INDIRECT(C70&amp;ROW()))</f>
        <v>60571</v>
      </c>
      <c r="N471">
        <v>60571</v>
      </c>
      <c r="O471" t="s">
        <v>22</v>
      </c>
      <c r="P471" t="s">
        <v>901</v>
      </c>
      <c r="Q471" t="s">
        <v>25</v>
      </c>
      <c r="R471" t="s">
        <v>783</v>
      </c>
      <c r="S471" t="s">
        <v>552</v>
      </c>
      <c r="U471" s="6">
        <v>42109.749872685185</v>
      </c>
      <c r="V471" t="s">
        <v>18</v>
      </c>
      <c r="W471" t="s">
        <v>764</v>
      </c>
      <c r="X471" s="6">
        <v>42109.749872685185</v>
      </c>
      <c r="Y471" t="s">
        <v>246</v>
      </c>
      <c r="AB471" t="s">
        <v>201</v>
      </c>
      <c r="AC471" t="s">
        <v>247</v>
      </c>
      <c r="AD471" t="s">
        <v>222</v>
      </c>
      <c r="AE471" t="s">
        <v>221</v>
      </c>
      <c r="AG471" t="s">
        <v>121</v>
      </c>
      <c r="AH471" t="s">
        <v>327</v>
      </c>
      <c r="AI471" t="s">
        <v>121</v>
      </c>
      <c r="AJ471" t="s">
        <v>716</v>
      </c>
      <c r="AK471" t="s">
        <v>121</v>
      </c>
      <c r="AL471" t="s">
        <v>121</v>
      </c>
      <c r="AM471" t="s">
        <v>121</v>
      </c>
    </row>
    <row r="472" spans="9:39" x14ac:dyDescent="0.3">
      <c r="I472">
        <f ca="1">IF(OR(INDIRECT(A73&amp;ROW())=B93,INDIRECT(A73&amp;ROW())=B94),1,IF(AND(INDIRECT(A73&amp;ROW())=B95,INDIRECT(A96&amp;ROW())=C93),1,IF(AND(INDIRECT(A73&amp;ROW())=B95,INDIRECT(A96&amp;ROW())=C94),1,0)))</f>
        <v>0</v>
      </c>
      <c r="J472">
        <f ca="1">IF(AND(INDIRECT(A73&amp;ROW())=B95,INDIRECT(A96&amp;ROW())=C95),1,IF(AND(INDIRECT(A73&amp;ROW())=B95,INDIRECT(A96&amp;ROW())=C96),1,0))</f>
        <v>0</v>
      </c>
      <c r="K472">
        <f ca="1">DAYS360(INDIRECT(C68&amp;ROW()),TODAY())</f>
        <v>737</v>
      </c>
      <c r="L472">
        <f ca="1">DAYS360(INDIRECT(C69&amp;ROW()),TODAY())</f>
        <v>737</v>
      </c>
      <c r="M472">
        <f ca="1">HYPERLINK(CONCATENATE("https://bugzilla.houston.hp.com:1181/bugzilla/show_bug.cgi?id=",INDIRECT(C70&amp;ROW())),INDIRECT(C70&amp;ROW()))</f>
        <v>60576</v>
      </c>
      <c r="N472">
        <v>60576</v>
      </c>
      <c r="O472" t="s">
        <v>56</v>
      </c>
      <c r="P472" t="s">
        <v>898</v>
      </c>
      <c r="Q472" t="s">
        <v>16</v>
      </c>
      <c r="R472" t="s">
        <v>783</v>
      </c>
      <c r="S472" t="s">
        <v>552</v>
      </c>
      <c r="U472" s="6">
        <v>42109.751527777778</v>
      </c>
      <c r="V472" t="s">
        <v>18</v>
      </c>
      <c r="W472" t="s">
        <v>764</v>
      </c>
      <c r="X472" s="6">
        <v>42109.751527777778</v>
      </c>
      <c r="Y472" t="s">
        <v>810</v>
      </c>
      <c r="AB472" t="s">
        <v>201</v>
      </c>
      <c r="AC472" t="s">
        <v>247</v>
      </c>
      <c r="AD472" t="s">
        <v>220</v>
      </c>
      <c r="AE472" t="s">
        <v>223</v>
      </c>
      <c r="AG472" t="s">
        <v>121</v>
      </c>
      <c r="AH472" t="s">
        <v>327</v>
      </c>
      <c r="AI472" t="s">
        <v>121</v>
      </c>
      <c r="AJ472" t="s">
        <v>717</v>
      </c>
      <c r="AK472" t="s">
        <v>121</v>
      </c>
      <c r="AL472" t="s">
        <v>121</v>
      </c>
      <c r="AM472" t="s">
        <v>121</v>
      </c>
    </row>
    <row r="473" spans="9:39" x14ac:dyDescent="0.3">
      <c r="I473">
        <f ca="1">IF(OR(INDIRECT(A73&amp;ROW())=B93,INDIRECT(A73&amp;ROW())=B94),1,IF(AND(INDIRECT(A73&amp;ROW())=B95,INDIRECT(A96&amp;ROW())=C93),1,IF(AND(INDIRECT(A73&amp;ROW())=B95,INDIRECT(A96&amp;ROW())=C94),1,0)))</f>
        <v>0</v>
      </c>
      <c r="J473">
        <f ca="1">IF(AND(INDIRECT(A73&amp;ROW())=B95,INDIRECT(A96&amp;ROW())=C95),1,IF(AND(INDIRECT(A73&amp;ROW())=B95,INDIRECT(A96&amp;ROW())=C96),1,0))</f>
        <v>1</v>
      </c>
      <c r="K473">
        <f ca="1">DAYS360(INDIRECT(C68&amp;ROW()),TODAY())</f>
        <v>735</v>
      </c>
      <c r="L473">
        <f ca="1">DAYS360(INDIRECT(C69&amp;ROW()),TODAY())</f>
        <v>736</v>
      </c>
      <c r="M473">
        <f ca="1">HYPERLINK(CONCATENATE("https://bugzilla.houston.hp.com:1181/bugzilla/show_bug.cgi?id=",INDIRECT(C70&amp;ROW())),INDIRECT(C70&amp;ROW()))</f>
        <v>60594</v>
      </c>
      <c r="N473">
        <v>60594</v>
      </c>
      <c r="O473" t="s">
        <v>36</v>
      </c>
      <c r="P473" t="s">
        <v>897</v>
      </c>
      <c r="Q473" t="s">
        <v>25</v>
      </c>
      <c r="R473" t="s">
        <v>579</v>
      </c>
      <c r="S473" t="s">
        <v>552</v>
      </c>
      <c r="T473" t="s">
        <v>922</v>
      </c>
      <c r="U473" s="6">
        <v>42111.314699074072</v>
      </c>
      <c r="V473" t="s">
        <v>18</v>
      </c>
      <c r="W473" t="s">
        <v>764</v>
      </c>
      <c r="X473" s="6">
        <v>42110.0156712963</v>
      </c>
      <c r="Y473" t="s">
        <v>246</v>
      </c>
      <c r="AB473" t="s">
        <v>201</v>
      </c>
      <c r="AC473" t="s">
        <v>247</v>
      </c>
      <c r="AD473" t="s">
        <v>222</v>
      </c>
      <c r="AE473" t="s">
        <v>232</v>
      </c>
      <c r="AG473" t="s">
        <v>121</v>
      </c>
      <c r="AH473" t="s">
        <v>327</v>
      </c>
      <c r="AI473" t="s">
        <v>121</v>
      </c>
      <c r="AJ473" t="s">
        <v>716</v>
      </c>
      <c r="AK473" t="s">
        <v>121</v>
      </c>
      <c r="AL473" t="s">
        <v>121</v>
      </c>
      <c r="AM473" t="s">
        <v>121</v>
      </c>
    </row>
    <row r="474" spans="9:39" x14ac:dyDescent="0.3">
      <c r="I474">
        <f ca="1">IF(OR(INDIRECT(A73&amp;ROW())=B93,INDIRECT(A73&amp;ROW())=B94),1,IF(AND(INDIRECT(A73&amp;ROW())=B95,INDIRECT(A96&amp;ROW())=C93),1,IF(AND(INDIRECT(A73&amp;ROW())=B95,INDIRECT(A96&amp;ROW())=C94),1,0)))</f>
        <v>0</v>
      </c>
      <c r="J474">
        <f ca="1">IF(AND(INDIRECT(A73&amp;ROW())=B95,INDIRECT(A96&amp;ROW())=C95),1,IF(AND(INDIRECT(A73&amp;ROW())=B95,INDIRECT(A96&amp;ROW())=C96),1,0))</f>
        <v>1</v>
      </c>
      <c r="K474">
        <f ca="1">DAYS360(INDIRECT(C68&amp;ROW()),TODAY())</f>
        <v>684</v>
      </c>
      <c r="L474">
        <f ca="1">DAYS360(INDIRECT(C69&amp;ROW()),TODAY())</f>
        <v>736</v>
      </c>
      <c r="M474">
        <f ca="1">HYPERLINK(CONCATENATE("https://bugzilla.houston.hp.com:1181/bugzilla/show_bug.cgi?id=",INDIRECT(C70&amp;ROW())),INDIRECT(C70&amp;ROW()))</f>
        <v>60595</v>
      </c>
      <c r="N474">
        <v>60595</v>
      </c>
      <c r="O474" t="s">
        <v>36</v>
      </c>
      <c r="P474" t="s">
        <v>896</v>
      </c>
      <c r="Q474" t="s">
        <v>25</v>
      </c>
      <c r="R474" t="s">
        <v>248</v>
      </c>
      <c r="S474" t="s">
        <v>552</v>
      </c>
      <c r="U474" s="6">
        <v>42163.610335648147</v>
      </c>
      <c r="V474" t="s">
        <v>18</v>
      </c>
      <c r="W474" t="s">
        <v>764</v>
      </c>
      <c r="X474" s="6">
        <v>42110.015717592592</v>
      </c>
      <c r="Y474" t="s">
        <v>246</v>
      </c>
      <c r="AB474" t="s">
        <v>201</v>
      </c>
      <c r="AC474" t="s">
        <v>247</v>
      </c>
      <c r="AD474" t="s">
        <v>222</v>
      </c>
      <c r="AE474" t="s">
        <v>232</v>
      </c>
      <c r="AG474" t="s">
        <v>121</v>
      </c>
      <c r="AH474" t="s">
        <v>327</v>
      </c>
      <c r="AI474" t="s">
        <v>121</v>
      </c>
      <c r="AJ474" t="s">
        <v>716</v>
      </c>
      <c r="AK474" t="s">
        <v>121</v>
      </c>
      <c r="AL474" t="s">
        <v>121</v>
      </c>
      <c r="AM474" t="s">
        <v>121</v>
      </c>
    </row>
    <row r="475" spans="9:39" x14ac:dyDescent="0.3">
      <c r="I475">
        <f ca="1">IF(OR(INDIRECT(A73&amp;ROW())=B93,INDIRECT(A73&amp;ROW())=B94),1,IF(AND(INDIRECT(A73&amp;ROW())=B95,INDIRECT(A96&amp;ROW())=C93),1,IF(AND(INDIRECT(A73&amp;ROW())=B95,INDIRECT(A96&amp;ROW())=C94),1,0)))</f>
        <v>0</v>
      </c>
      <c r="J475">
        <f ca="1">IF(AND(INDIRECT(A73&amp;ROW())=B95,INDIRECT(A96&amp;ROW())=C95),1,IF(AND(INDIRECT(A73&amp;ROW())=B95,INDIRECT(A96&amp;ROW())=C96),1,0))</f>
        <v>0</v>
      </c>
      <c r="K475">
        <f ca="1">DAYS360(INDIRECT(C68&amp;ROW()),TODAY())</f>
        <v>681</v>
      </c>
      <c r="L475">
        <f ca="1">DAYS360(INDIRECT(C69&amp;ROW()),TODAY())</f>
        <v>736</v>
      </c>
      <c r="M475">
        <f ca="1">HYPERLINK(CONCATENATE("https://bugzilla.houston.hp.com:1181/bugzilla/show_bug.cgi?id=",INDIRECT(C70&amp;ROW())),INDIRECT(C70&amp;ROW()))</f>
        <v>60601</v>
      </c>
      <c r="N475">
        <v>60601</v>
      </c>
      <c r="O475" t="s">
        <v>66</v>
      </c>
      <c r="P475" t="s">
        <v>895</v>
      </c>
      <c r="Q475" t="s">
        <v>16</v>
      </c>
      <c r="R475" t="s">
        <v>251</v>
      </c>
      <c r="S475" t="s">
        <v>516</v>
      </c>
      <c r="U475" s="6">
        <v>42166.564513888887</v>
      </c>
      <c r="V475" t="s">
        <v>35</v>
      </c>
      <c r="W475" t="s">
        <v>783</v>
      </c>
      <c r="X475" s="6">
        <v>42110.021886574075</v>
      </c>
      <c r="Y475" t="s">
        <v>786</v>
      </c>
      <c r="AB475" t="s">
        <v>200</v>
      </c>
      <c r="AC475" t="s">
        <v>247</v>
      </c>
      <c r="AD475" t="s">
        <v>220</v>
      </c>
      <c r="AE475" t="s">
        <v>219</v>
      </c>
      <c r="AG475" t="s">
        <v>121</v>
      </c>
      <c r="AH475" t="s">
        <v>327</v>
      </c>
      <c r="AI475" t="s">
        <v>121</v>
      </c>
      <c r="AJ475" t="s">
        <v>716</v>
      </c>
      <c r="AK475" t="s">
        <v>121</v>
      </c>
      <c r="AL475" t="s">
        <v>121</v>
      </c>
      <c r="AM475" t="s">
        <v>121</v>
      </c>
    </row>
    <row r="476" spans="9:39" x14ac:dyDescent="0.3">
      <c r="I476">
        <f ca="1">IF(OR(INDIRECT(A73&amp;ROW())=B93,INDIRECT(A73&amp;ROW())=B94),1,IF(AND(INDIRECT(A73&amp;ROW())=B95,INDIRECT(A96&amp;ROW())=C93),1,IF(AND(INDIRECT(A73&amp;ROW())=B95,INDIRECT(A96&amp;ROW())=C94),1,0)))</f>
        <v>0</v>
      </c>
      <c r="J476">
        <f ca="1">IF(AND(INDIRECT(A73&amp;ROW())=B95,INDIRECT(A96&amp;ROW())=C95),1,IF(AND(INDIRECT(A73&amp;ROW())=B95,INDIRECT(A96&amp;ROW())=C96),1,0))</f>
        <v>0</v>
      </c>
      <c r="K476">
        <f ca="1">DAYS360(INDIRECT(C68&amp;ROW()),TODAY())</f>
        <v>717</v>
      </c>
      <c r="L476">
        <f ca="1">DAYS360(INDIRECT(C69&amp;ROW()),TODAY())</f>
        <v>736</v>
      </c>
      <c r="M476">
        <f ca="1">HYPERLINK(CONCATENATE("https://bugzilla.houston.hp.com:1181/bugzilla/show_bug.cgi?id=",INDIRECT(C70&amp;ROW())),INDIRECT(C70&amp;ROW()))</f>
        <v>60668</v>
      </c>
      <c r="N476">
        <v>60668</v>
      </c>
      <c r="O476" t="s">
        <v>56</v>
      </c>
      <c r="P476" t="s">
        <v>894</v>
      </c>
      <c r="Q476" t="s">
        <v>16</v>
      </c>
      <c r="R476" t="s">
        <v>248</v>
      </c>
      <c r="S476" t="s">
        <v>552</v>
      </c>
      <c r="U476" s="6">
        <v>42129.317453703705</v>
      </c>
      <c r="V476" t="s">
        <v>18</v>
      </c>
      <c r="W476" t="s">
        <v>783</v>
      </c>
      <c r="X476" s="6">
        <v>42110.515844907408</v>
      </c>
      <c r="Y476" t="s">
        <v>786</v>
      </c>
      <c r="AB476" t="s">
        <v>200</v>
      </c>
      <c r="AC476" t="s">
        <v>247</v>
      </c>
      <c r="AD476" t="s">
        <v>220</v>
      </c>
      <c r="AE476" t="s">
        <v>219</v>
      </c>
      <c r="AG476" t="s">
        <v>121</v>
      </c>
      <c r="AH476" t="s">
        <v>327</v>
      </c>
      <c r="AI476" t="s">
        <v>121</v>
      </c>
      <c r="AJ476" t="s">
        <v>716</v>
      </c>
      <c r="AK476" t="s">
        <v>121</v>
      </c>
      <c r="AL476" t="s">
        <v>121</v>
      </c>
      <c r="AM476" t="s">
        <v>121</v>
      </c>
    </row>
    <row r="477" spans="9:39" x14ac:dyDescent="0.3">
      <c r="I477">
        <f ca="1">IF(OR(INDIRECT(A73&amp;ROW())=B93,INDIRECT(A73&amp;ROW())=B94),1,IF(AND(INDIRECT(A73&amp;ROW())=B95,INDIRECT(A96&amp;ROW())=C93),1,IF(AND(INDIRECT(A73&amp;ROW())=B95,INDIRECT(A96&amp;ROW())=C94),1,0)))</f>
        <v>0</v>
      </c>
      <c r="J477">
        <f ca="1">IF(AND(INDIRECT(A73&amp;ROW())=B95,INDIRECT(A96&amp;ROW())=C95),1,IF(AND(INDIRECT(A73&amp;ROW())=B95,INDIRECT(A96&amp;ROW())=C96),1,0))</f>
        <v>0</v>
      </c>
      <c r="K477">
        <f ca="1">DAYS360(INDIRECT(C68&amp;ROW()),TODAY())</f>
        <v>684</v>
      </c>
      <c r="L477">
        <f ca="1">DAYS360(INDIRECT(C69&amp;ROW()),TODAY())</f>
        <v>735</v>
      </c>
      <c r="M477">
        <f ca="1">HYPERLINK(CONCATENATE("https://bugzilla.houston.hp.com:1181/bugzilla/show_bug.cgi?id=",INDIRECT(C70&amp;ROW())),INDIRECT(C70&amp;ROW()))</f>
        <v>60724</v>
      </c>
      <c r="N477">
        <v>60724</v>
      </c>
      <c r="O477" t="s">
        <v>66</v>
      </c>
      <c r="P477" t="s">
        <v>926</v>
      </c>
      <c r="Q477" t="s">
        <v>16</v>
      </c>
      <c r="R477" t="s">
        <v>251</v>
      </c>
      <c r="S477" t="s">
        <v>33</v>
      </c>
      <c r="T477" t="s">
        <v>966</v>
      </c>
      <c r="U477" s="6">
        <v>42163.581828703704</v>
      </c>
      <c r="V477" t="s">
        <v>18</v>
      </c>
      <c r="W477" t="s">
        <v>783</v>
      </c>
      <c r="X477" s="6">
        <v>42111.162210648145</v>
      </c>
      <c r="Y477" t="s">
        <v>119</v>
      </c>
      <c r="AB477" t="s">
        <v>200</v>
      </c>
      <c r="AC477" t="s">
        <v>247</v>
      </c>
      <c r="AD477" t="s">
        <v>220</v>
      </c>
      <c r="AE477" t="s">
        <v>223</v>
      </c>
      <c r="AG477" t="s">
        <v>121</v>
      </c>
      <c r="AH477" t="s">
        <v>327</v>
      </c>
      <c r="AI477" t="s">
        <v>121</v>
      </c>
      <c r="AJ477" t="s">
        <v>716</v>
      </c>
      <c r="AK477" t="s">
        <v>121</v>
      </c>
      <c r="AL477" t="s">
        <v>121</v>
      </c>
      <c r="AM477" t="s">
        <v>121</v>
      </c>
    </row>
    <row r="478" spans="9:39" x14ac:dyDescent="0.3">
      <c r="I478">
        <f ca="1">IF(OR(INDIRECT(A73&amp;ROW())=B93,INDIRECT(A73&amp;ROW())=B94),1,IF(AND(INDIRECT(A73&amp;ROW())=B95,INDIRECT(A96&amp;ROW())=C93),1,IF(AND(INDIRECT(A73&amp;ROW())=B95,INDIRECT(A96&amp;ROW())=C94),1,0)))</f>
        <v>0</v>
      </c>
      <c r="J478">
        <f ca="1">IF(AND(INDIRECT(A73&amp;ROW())=B95,INDIRECT(A96&amp;ROW())=C95),1,IF(AND(INDIRECT(A73&amp;ROW())=B95,INDIRECT(A96&amp;ROW())=C96),1,0))</f>
        <v>0</v>
      </c>
      <c r="K478">
        <f ca="1">DAYS360(INDIRECT(C68&amp;ROW()),TODAY())</f>
        <v>690</v>
      </c>
      <c r="L478">
        <f ca="1">DAYS360(INDIRECT(C69&amp;ROW()),TODAY())</f>
        <v>735</v>
      </c>
      <c r="M478">
        <f ca="1">HYPERLINK(CONCATENATE("https://bugzilla.houston.hp.com:1181/bugzilla/show_bug.cgi?id=",INDIRECT(C70&amp;ROW())),INDIRECT(C70&amp;ROW()))</f>
        <v>60736</v>
      </c>
      <c r="N478">
        <v>60736</v>
      </c>
      <c r="O478" t="s">
        <v>59</v>
      </c>
      <c r="P478" t="s">
        <v>925</v>
      </c>
      <c r="Q478" t="s">
        <v>16</v>
      </c>
      <c r="R478" t="s">
        <v>579</v>
      </c>
      <c r="S478" t="s">
        <v>552</v>
      </c>
      <c r="T478" t="s">
        <v>931</v>
      </c>
      <c r="U478" s="6">
        <v>42157.11515046296</v>
      </c>
      <c r="V478" t="s">
        <v>18</v>
      </c>
      <c r="W478" t="s">
        <v>783</v>
      </c>
      <c r="X478" s="6">
        <v>42111.305185185185</v>
      </c>
      <c r="Y478" t="s">
        <v>119</v>
      </c>
      <c r="AB478" t="s">
        <v>200</v>
      </c>
      <c r="AC478" t="s">
        <v>247</v>
      </c>
      <c r="AD478" t="s">
        <v>220</v>
      </c>
      <c r="AE478" t="s">
        <v>223</v>
      </c>
      <c r="AG478" t="s">
        <v>121</v>
      </c>
      <c r="AH478" t="s">
        <v>327</v>
      </c>
      <c r="AI478" t="s">
        <v>121</v>
      </c>
      <c r="AJ478" t="s">
        <v>716</v>
      </c>
      <c r="AK478" t="s">
        <v>121</v>
      </c>
      <c r="AL478" t="s">
        <v>121</v>
      </c>
      <c r="AM478" t="s">
        <v>121</v>
      </c>
    </row>
    <row r="479" spans="9:39" x14ac:dyDescent="0.3">
      <c r="I479">
        <f ca="1">IF(OR(INDIRECT(A73&amp;ROW())=B93,INDIRECT(A73&amp;ROW())=B94),1,IF(AND(INDIRECT(A73&amp;ROW())=B95,INDIRECT(A96&amp;ROW())=C93),1,IF(AND(INDIRECT(A73&amp;ROW())=B95,INDIRECT(A96&amp;ROW())=C94),1,0)))</f>
        <v>0</v>
      </c>
      <c r="J479">
        <f ca="1">IF(AND(INDIRECT(A73&amp;ROW())=B95,INDIRECT(A96&amp;ROW())=C95),1,IF(AND(INDIRECT(A73&amp;ROW())=B95,INDIRECT(A96&amp;ROW())=C96),1,0))</f>
        <v>0</v>
      </c>
      <c r="K479">
        <f ca="1">DAYS360(INDIRECT(C68&amp;ROW()),TODAY())</f>
        <v>690</v>
      </c>
      <c r="L479">
        <f ca="1">DAYS360(INDIRECT(C69&amp;ROW()),TODAY())</f>
        <v>735</v>
      </c>
      <c r="M479">
        <f ca="1">HYPERLINK(CONCATENATE("https://bugzilla.houston.hp.com:1181/bugzilla/show_bug.cgi?id=",INDIRECT(C70&amp;ROW())),INDIRECT(C70&amp;ROW()))</f>
        <v>60737</v>
      </c>
      <c r="N479">
        <v>60737</v>
      </c>
      <c r="O479" t="s">
        <v>36</v>
      </c>
      <c r="P479" t="s">
        <v>924</v>
      </c>
      <c r="Q479" t="s">
        <v>16</v>
      </c>
      <c r="R479" t="s">
        <v>783</v>
      </c>
      <c r="S479" t="s">
        <v>552</v>
      </c>
      <c r="U479" s="6">
        <v>42157.115648148145</v>
      </c>
      <c r="V479" t="s">
        <v>18</v>
      </c>
      <c r="W479" t="s">
        <v>783</v>
      </c>
      <c r="X479" s="6">
        <v>42111.305277777778</v>
      </c>
      <c r="Y479" t="s">
        <v>119</v>
      </c>
      <c r="AB479" t="s">
        <v>200</v>
      </c>
      <c r="AC479" t="s">
        <v>247</v>
      </c>
      <c r="AD479" t="s">
        <v>220</v>
      </c>
      <c r="AE479" t="s">
        <v>223</v>
      </c>
      <c r="AG479" t="s">
        <v>121</v>
      </c>
      <c r="AH479" t="s">
        <v>327</v>
      </c>
      <c r="AI479" t="s">
        <v>121</v>
      </c>
      <c r="AJ479" t="s">
        <v>716</v>
      </c>
      <c r="AK479" t="s">
        <v>121</v>
      </c>
      <c r="AL479" t="s">
        <v>121</v>
      </c>
      <c r="AM479" t="s">
        <v>121</v>
      </c>
    </row>
    <row r="480" spans="9:39" x14ac:dyDescent="0.3">
      <c r="I480">
        <f ca="1">IF(OR(INDIRECT(A73&amp;ROW())=B93,INDIRECT(A73&amp;ROW())=B94),1,IF(AND(INDIRECT(A73&amp;ROW())=B95,INDIRECT(A96&amp;ROW())=C93),1,IF(AND(INDIRECT(A73&amp;ROW())=B95,INDIRECT(A96&amp;ROW())=C94),1,0)))</f>
        <v>0</v>
      </c>
      <c r="J480">
        <f ca="1">IF(AND(INDIRECT(A73&amp;ROW())=B95,INDIRECT(A96&amp;ROW())=C95),1,IF(AND(INDIRECT(A73&amp;ROW())=B95,INDIRECT(A96&amp;ROW())=C96),1,0))</f>
        <v>0</v>
      </c>
      <c r="K480">
        <f ca="1">DAYS360(INDIRECT(C68&amp;ROW()),TODAY())</f>
        <v>690</v>
      </c>
      <c r="L480">
        <f ca="1">DAYS360(INDIRECT(C69&amp;ROW()),TODAY())</f>
        <v>735</v>
      </c>
      <c r="M480">
        <f ca="1">HYPERLINK(CONCATENATE("https://bugzilla.houston.hp.com:1181/bugzilla/show_bug.cgi?id=",INDIRECT(C70&amp;ROW())),INDIRECT(C70&amp;ROW()))</f>
        <v>60738</v>
      </c>
      <c r="N480">
        <v>60738</v>
      </c>
      <c r="O480" t="s">
        <v>36</v>
      </c>
      <c r="P480" t="s">
        <v>923</v>
      </c>
      <c r="Q480" t="s">
        <v>16</v>
      </c>
      <c r="R480" t="s">
        <v>248</v>
      </c>
      <c r="S480" t="s">
        <v>552</v>
      </c>
      <c r="U480" s="6">
        <v>42157.116249999999</v>
      </c>
      <c r="V480" t="s">
        <v>18</v>
      </c>
      <c r="W480" t="s">
        <v>783</v>
      </c>
      <c r="X480" s="6">
        <v>42111.305381944447</v>
      </c>
      <c r="Y480" t="s">
        <v>119</v>
      </c>
      <c r="AB480" t="s">
        <v>200</v>
      </c>
      <c r="AC480" t="s">
        <v>247</v>
      </c>
      <c r="AD480" t="s">
        <v>220</v>
      </c>
      <c r="AE480" t="s">
        <v>223</v>
      </c>
      <c r="AG480" t="s">
        <v>121</v>
      </c>
      <c r="AH480" t="s">
        <v>327</v>
      </c>
      <c r="AI480" t="s">
        <v>121</v>
      </c>
      <c r="AJ480" t="s">
        <v>716</v>
      </c>
      <c r="AK480" t="s">
        <v>121</v>
      </c>
      <c r="AL480" t="s">
        <v>121</v>
      </c>
      <c r="AM480" t="s">
        <v>121</v>
      </c>
    </row>
    <row r="481" spans="9:39" x14ac:dyDescent="0.3">
      <c r="I481">
        <f ca="1">IF(OR(INDIRECT(A73&amp;ROW())=B93,INDIRECT(A73&amp;ROW())=B94),1,IF(AND(INDIRECT(A73&amp;ROW())=B95,INDIRECT(A96&amp;ROW())=C93),1,IF(AND(INDIRECT(A73&amp;ROW())=B95,INDIRECT(A96&amp;ROW())=C94),1,0)))</f>
        <v>0</v>
      </c>
      <c r="J481">
        <f ca="1">IF(AND(INDIRECT(A73&amp;ROW())=B95,INDIRECT(A96&amp;ROW())=C95),1,IF(AND(INDIRECT(A73&amp;ROW())=B95,INDIRECT(A96&amp;ROW())=C96),1,0))</f>
        <v>1</v>
      </c>
      <c r="K481">
        <f ca="1">DAYS360(INDIRECT(C68&amp;ROW()),TODAY())</f>
        <v>639</v>
      </c>
      <c r="L481">
        <f ca="1">DAYS360(INDIRECT(C69&amp;ROW()),TODAY())</f>
        <v>731</v>
      </c>
      <c r="M481">
        <f ca="1">HYPERLINK(CONCATENATE("https://bugzilla.houston.hp.com:1181/bugzilla/show_bug.cgi?id=",INDIRECT(C70&amp;ROW())),INDIRECT(C70&amp;ROW()))</f>
        <v>60985</v>
      </c>
      <c r="N481">
        <v>60985</v>
      </c>
      <c r="O481" t="s">
        <v>56</v>
      </c>
      <c r="P481" t="s">
        <v>965</v>
      </c>
      <c r="Q481" t="s">
        <v>25</v>
      </c>
      <c r="R481" t="s">
        <v>783</v>
      </c>
      <c r="S481" t="s">
        <v>552</v>
      </c>
      <c r="U481" s="6">
        <v>42208.226006944446</v>
      </c>
      <c r="V481" t="s">
        <v>18</v>
      </c>
      <c r="W481" t="s">
        <v>173</v>
      </c>
      <c r="X481" s="6">
        <v>42115.683530092596</v>
      </c>
      <c r="Y481" t="s">
        <v>255</v>
      </c>
      <c r="AB481" t="s">
        <v>201</v>
      </c>
      <c r="AC481" t="s">
        <v>216</v>
      </c>
      <c r="AD481" t="s">
        <v>222</v>
      </c>
      <c r="AE481" t="s">
        <v>221</v>
      </c>
      <c r="AG481" t="s">
        <v>121</v>
      </c>
      <c r="AH481" t="s">
        <v>327</v>
      </c>
      <c r="AI481" t="s">
        <v>362</v>
      </c>
      <c r="AJ481" t="s">
        <v>716</v>
      </c>
      <c r="AK481" t="s">
        <v>121</v>
      </c>
      <c r="AL481" t="s">
        <v>121</v>
      </c>
      <c r="AM481" t="s">
        <v>121</v>
      </c>
    </row>
    <row r="482" spans="9:39" x14ac:dyDescent="0.3">
      <c r="I482">
        <f ca="1">IF(OR(INDIRECT(A73&amp;ROW())=B93,INDIRECT(A73&amp;ROW())=B94),1,IF(AND(INDIRECT(A73&amp;ROW())=B95,INDIRECT(A96&amp;ROW())=C93),1,IF(AND(INDIRECT(A73&amp;ROW())=B95,INDIRECT(A96&amp;ROW())=C94),1,0)))</f>
        <v>0</v>
      </c>
      <c r="J482">
        <f ca="1">IF(AND(INDIRECT(A73&amp;ROW())=B95,INDIRECT(A96&amp;ROW())=C95),1,IF(AND(INDIRECT(A73&amp;ROW())=B95,INDIRECT(A96&amp;ROW())=C96),1,0))</f>
        <v>1</v>
      </c>
      <c r="K482">
        <f ca="1">DAYS360(INDIRECT(C68&amp;ROW()),TODAY())</f>
        <v>724</v>
      </c>
      <c r="L482">
        <f ca="1">DAYS360(INDIRECT(C69&amp;ROW()),TODAY())</f>
        <v>731</v>
      </c>
      <c r="M482">
        <f ca="1">HYPERLINK(CONCATENATE("https://bugzilla.houston.hp.com:1181/bugzilla/show_bug.cgi?id=",INDIRECT(C70&amp;ROW())),INDIRECT(C70&amp;ROW()))</f>
        <v>60997</v>
      </c>
      <c r="N482">
        <v>60997</v>
      </c>
      <c r="O482" t="s">
        <v>42</v>
      </c>
      <c r="P482" t="s">
        <v>964</v>
      </c>
      <c r="Q482" t="s">
        <v>25</v>
      </c>
      <c r="R482" t="s">
        <v>783</v>
      </c>
      <c r="S482" t="s">
        <v>552</v>
      </c>
      <c r="U482" s="6">
        <v>42122.35119212963</v>
      </c>
      <c r="V482" t="s">
        <v>18</v>
      </c>
      <c r="W482" t="s">
        <v>17</v>
      </c>
      <c r="X482" s="6">
        <v>42115.90828703704</v>
      </c>
      <c r="Y482" t="s">
        <v>122</v>
      </c>
      <c r="AB482" t="s">
        <v>201</v>
      </c>
      <c r="AC482" t="s">
        <v>247</v>
      </c>
      <c r="AD482" t="s">
        <v>220</v>
      </c>
      <c r="AE482" t="s">
        <v>219</v>
      </c>
      <c r="AG482" t="s">
        <v>121</v>
      </c>
      <c r="AH482" t="s">
        <v>64</v>
      </c>
      <c r="AI482" t="s">
        <v>121</v>
      </c>
      <c r="AJ482" t="s">
        <v>716</v>
      </c>
      <c r="AK482" t="s">
        <v>121</v>
      </c>
      <c r="AL482" t="s">
        <v>121</v>
      </c>
      <c r="AM482" t="s">
        <v>121</v>
      </c>
    </row>
    <row r="483" spans="9:39" x14ac:dyDescent="0.3">
      <c r="I483">
        <f ca="1">IF(OR(INDIRECT(A73&amp;ROW())=B93,INDIRECT(A73&amp;ROW())=B94),1,IF(AND(INDIRECT(A73&amp;ROW())=B95,INDIRECT(A96&amp;ROW())=C93),1,IF(AND(INDIRECT(A73&amp;ROW())=B95,INDIRECT(A96&amp;ROW())=C94),1,0)))</f>
        <v>0</v>
      </c>
      <c r="J483">
        <f ca="1">IF(AND(INDIRECT(A73&amp;ROW())=B95,INDIRECT(A96&amp;ROW())=C95),1,IF(AND(INDIRECT(A73&amp;ROW())=B95,INDIRECT(A96&amp;ROW())=C96),1,0))</f>
        <v>1</v>
      </c>
      <c r="K483">
        <f ca="1">DAYS360(INDIRECT(C68&amp;ROW()),TODAY())</f>
        <v>731</v>
      </c>
      <c r="L483">
        <f ca="1">DAYS360(INDIRECT(C69&amp;ROW()),TODAY())</f>
        <v>731</v>
      </c>
      <c r="M483">
        <f ca="1">HYPERLINK(CONCATENATE("https://bugzilla.houston.hp.com:1181/bugzilla/show_bug.cgi?id=",INDIRECT(C70&amp;ROW())),INDIRECT(C70&amp;ROW()))</f>
        <v>61003</v>
      </c>
      <c r="N483">
        <v>61003</v>
      </c>
      <c r="O483" t="s">
        <v>50</v>
      </c>
      <c r="P483" t="s">
        <v>963</v>
      </c>
      <c r="Q483" t="s">
        <v>25</v>
      </c>
      <c r="R483" t="s">
        <v>783</v>
      </c>
      <c r="S483" t="s">
        <v>552</v>
      </c>
      <c r="U483" s="6">
        <v>42115.913449074076</v>
      </c>
      <c r="V483" t="s">
        <v>18</v>
      </c>
      <c r="W483" t="s">
        <v>17</v>
      </c>
      <c r="X483" s="6">
        <v>42115.913449074076</v>
      </c>
      <c r="Y483" t="s">
        <v>119</v>
      </c>
      <c r="AA483" t="s">
        <v>184</v>
      </c>
      <c r="AB483" t="s">
        <v>201</v>
      </c>
      <c r="AC483" t="s">
        <v>247</v>
      </c>
      <c r="AD483" t="s">
        <v>227</v>
      </c>
      <c r="AE483" t="s">
        <v>370</v>
      </c>
      <c r="AG483" t="s">
        <v>121</v>
      </c>
      <c r="AH483" t="s">
        <v>327</v>
      </c>
      <c r="AI483" t="s">
        <v>121</v>
      </c>
      <c r="AJ483" t="s">
        <v>716</v>
      </c>
      <c r="AK483" t="s">
        <v>121</v>
      </c>
      <c r="AL483" t="s">
        <v>121</v>
      </c>
      <c r="AM483" t="s">
        <v>121</v>
      </c>
    </row>
    <row r="484" spans="9:39" x14ac:dyDescent="0.3">
      <c r="I484">
        <f ca="1">IF(OR(INDIRECT(A73&amp;ROW())=B93,INDIRECT(A73&amp;ROW())=B94),1,IF(AND(INDIRECT(A73&amp;ROW())=B95,INDIRECT(A96&amp;ROW())=C93),1,IF(AND(INDIRECT(A73&amp;ROW())=B95,INDIRECT(A96&amp;ROW())=C94),1,0)))</f>
        <v>1</v>
      </c>
      <c r="J484">
        <f ca="1">IF(AND(INDIRECT(A73&amp;ROW())=B95,INDIRECT(A96&amp;ROW())=C95),1,IF(AND(INDIRECT(A73&amp;ROW())=B95,INDIRECT(A96&amp;ROW())=C96),1,0))</f>
        <v>0</v>
      </c>
      <c r="K484">
        <f ca="1">DAYS360(INDIRECT(C68&amp;ROW()),TODAY())</f>
        <v>663</v>
      </c>
      <c r="L484">
        <f ca="1">DAYS360(INDIRECT(C69&amp;ROW()),TODAY())</f>
        <v>730</v>
      </c>
      <c r="M484">
        <f ca="1">HYPERLINK(CONCATENATE("https://bugzilla.houston.hp.com:1181/bugzilla/show_bug.cgi?id=",INDIRECT(C70&amp;ROW())),INDIRECT(C70&amp;ROW()))</f>
        <v>61076</v>
      </c>
      <c r="N484">
        <v>61076</v>
      </c>
      <c r="O484" t="s">
        <v>94</v>
      </c>
      <c r="P484" t="s">
        <v>962</v>
      </c>
      <c r="Q484" t="s">
        <v>39</v>
      </c>
      <c r="R484" t="s">
        <v>783</v>
      </c>
      <c r="S484" t="s">
        <v>552</v>
      </c>
      <c r="T484" t="s">
        <v>782</v>
      </c>
      <c r="U484" s="6">
        <v>42184.039027777777</v>
      </c>
      <c r="V484" t="s">
        <v>18</v>
      </c>
      <c r="W484" t="s">
        <v>17</v>
      </c>
      <c r="X484" s="6">
        <v>42116.453148148146</v>
      </c>
      <c r="Y484" t="s">
        <v>119</v>
      </c>
      <c r="AB484" t="s">
        <v>201</v>
      </c>
      <c r="AC484" t="s">
        <v>121</v>
      </c>
      <c r="AD484" t="s">
        <v>227</v>
      </c>
      <c r="AE484" t="s">
        <v>231</v>
      </c>
      <c r="AG484" t="s">
        <v>337</v>
      </c>
      <c r="AH484" t="s">
        <v>64</v>
      </c>
      <c r="AI484" t="s">
        <v>121</v>
      </c>
      <c r="AJ484" t="s">
        <v>715</v>
      </c>
      <c r="AK484" t="s">
        <v>121</v>
      </c>
      <c r="AL484" t="s">
        <v>121</v>
      </c>
      <c r="AM484" t="s">
        <v>121</v>
      </c>
    </row>
    <row r="485" spans="9:39" x14ac:dyDescent="0.3">
      <c r="I485">
        <f ca="1">IF(OR(INDIRECT(A73&amp;ROW())=B93,INDIRECT(A73&amp;ROW())=B94),1,IF(AND(INDIRECT(A73&amp;ROW())=B95,INDIRECT(A96&amp;ROW())=C93),1,IF(AND(INDIRECT(A73&amp;ROW())=B95,INDIRECT(A96&amp;ROW())=C94),1,0)))</f>
        <v>1</v>
      </c>
      <c r="J485">
        <f ca="1">IF(AND(INDIRECT(A73&amp;ROW())=B95,INDIRECT(A96&amp;ROW())=C95),1,IF(AND(INDIRECT(A73&amp;ROW())=B95,INDIRECT(A96&amp;ROW())=C96),1,0))</f>
        <v>0</v>
      </c>
      <c r="K485">
        <f ca="1">DAYS360(INDIRECT(C68&amp;ROW()),TODAY())</f>
        <v>638</v>
      </c>
      <c r="L485">
        <f ca="1">DAYS360(INDIRECT(C69&amp;ROW()),TODAY())</f>
        <v>730</v>
      </c>
      <c r="M485">
        <f ca="1">HYPERLINK(CONCATENATE("https://bugzilla.houston.hp.com:1181/bugzilla/show_bug.cgi?id=",INDIRECT(C70&amp;ROW())),INDIRECT(C70&amp;ROW()))</f>
        <v>61077</v>
      </c>
      <c r="N485">
        <v>61077</v>
      </c>
      <c r="O485" t="s">
        <v>298</v>
      </c>
      <c r="P485" t="s">
        <v>961</v>
      </c>
      <c r="Q485" t="s">
        <v>39</v>
      </c>
      <c r="R485" t="s">
        <v>783</v>
      </c>
      <c r="S485" t="s">
        <v>552</v>
      </c>
      <c r="U485" s="6">
        <v>42209.254918981482</v>
      </c>
      <c r="V485" t="s">
        <v>18</v>
      </c>
      <c r="W485" t="s">
        <v>17</v>
      </c>
      <c r="X485" s="6">
        <v>42116.453344907408</v>
      </c>
      <c r="Y485" t="s">
        <v>119</v>
      </c>
      <c r="AB485" t="s">
        <v>201</v>
      </c>
      <c r="AC485" t="s">
        <v>247</v>
      </c>
      <c r="AD485" t="s">
        <v>227</v>
      </c>
      <c r="AE485" t="s">
        <v>231</v>
      </c>
      <c r="AG485" t="s">
        <v>337</v>
      </c>
      <c r="AH485" t="s">
        <v>327</v>
      </c>
      <c r="AI485" t="s">
        <v>121</v>
      </c>
      <c r="AJ485" t="s">
        <v>715</v>
      </c>
      <c r="AK485" t="s">
        <v>121</v>
      </c>
      <c r="AL485" t="s">
        <v>121</v>
      </c>
      <c r="AM485" t="s">
        <v>121</v>
      </c>
    </row>
    <row r="486" spans="9:39" x14ac:dyDescent="0.3">
      <c r="I486">
        <f ca="1">IF(OR(INDIRECT(A73&amp;ROW())=B93,INDIRECT(A73&amp;ROW())=B94),1,IF(AND(INDIRECT(A73&amp;ROW())=B95,INDIRECT(A96&amp;ROW())=C93),1,IF(AND(INDIRECT(A73&amp;ROW())=B95,INDIRECT(A96&amp;ROW())=C94),1,0)))</f>
        <v>1</v>
      </c>
      <c r="J486">
        <f ca="1">IF(AND(INDIRECT(A73&amp;ROW())=B95,INDIRECT(A96&amp;ROW())=C95),1,IF(AND(INDIRECT(A73&amp;ROW())=B95,INDIRECT(A96&amp;ROW())=C96),1,0))</f>
        <v>0</v>
      </c>
      <c r="K486">
        <f ca="1">DAYS360(INDIRECT(C68&amp;ROW()),TODAY())</f>
        <v>641</v>
      </c>
      <c r="L486">
        <f ca="1">DAYS360(INDIRECT(C69&amp;ROW()),TODAY())</f>
        <v>730</v>
      </c>
      <c r="M486">
        <f ca="1">HYPERLINK(CONCATENATE("https://bugzilla.houston.hp.com:1181/bugzilla/show_bug.cgi?id=",INDIRECT(C70&amp;ROW())),INDIRECT(C70&amp;ROW()))</f>
        <v>61079</v>
      </c>
      <c r="N486">
        <v>61079</v>
      </c>
      <c r="O486" t="s">
        <v>241</v>
      </c>
      <c r="P486" t="s">
        <v>960</v>
      </c>
      <c r="Q486" t="s">
        <v>39</v>
      </c>
      <c r="R486" t="s">
        <v>783</v>
      </c>
      <c r="S486" t="s">
        <v>552</v>
      </c>
      <c r="T486" t="s">
        <v>932</v>
      </c>
      <c r="U486" s="6">
        <v>42206.090729166666</v>
      </c>
      <c r="V486" t="s">
        <v>18</v>
      </c>
      <c r="W486" t="s">
        <v>17</v>
      </c>
      <c r="X486" s="6">
        <v>42116.453750000001</v>
      </c>
      <c r="Y486" t="s">
        <v>535</v>
      </c>
      <c r="AB486" t="s">
        <v>201</v>
      </c>
      <c r="AC486" t="s">
        <v>247</v>
      </c>
      <c r="AD486" t="s">
        <v>222</v>
      </c>
      <c r="AE486" t="s">
        <v>221</v>
      </c>
      <c r="AG486" t="s">
        <v>337</v>
      </c>
      <c r="AH486" t="s">
        <v>327</v>
      </c>
      <c r="AI486" t="s">
        <v>121</v>
      </c>
      <c r="AJ486" t="s">
        <v>715</v>
      </c>
      <c r="AK486" t="s">
        <v>121</v>
      </c>
      <c r="AL486" t="s">
        <v>121</v>
      </c>
      <c r="AM486" t="s">
        <v>121</v>
      </c>
    </row>
    <row r="487" spans="9:39" x14ac:dyDescent="0.3">
      <c r="I487">
        <f ca="1">IF(OR(INDIRECT(A73&amp;ROW())=B93,INDIRECT(A73&amp;ROW())=B94),1,IF(AND(INDIRECT(A73&amp;ROW())=B95,INDIRECT(A96&amp;ROW())=C93),1,IF(AND(INDIRECT(A73&amp;ROW())=B95,INDIRECT(A96&amp;ROW())=C94),1,0)))</f>
        <v>1</v>
      </c>
      <c r="J487">
        <f ca="1">IF(AND(INDIRECT(A73&amp;ROW())=B95,INDIRECT(A96&amp;ROW())=C95),1,IF(AND(INDIRECT(A73&amp;ROW())=B95,INDIRECT(A96&amp;ROW())=C96),1,0))</f>
        <v>0</v>
      </c>
      <c r="K487">
        <f ca="1">DAYS360(INDIRECT(C68&amp;ROW()),TODAY())</f>
        <v>641</v>
      </c>
      <c r="L487">
        <f ca="1">DAYS360(INDIRECT(C69&amp;ROW()),TODAY())</f>
        <v>730</v>
      </c>
      <c r="M487">
        <f ca="1">HYPERLINK(CONCATENATE("https://bugzilla.houston.hp.com:1181/bugzilla/show_bug.cgi?id=",INDIRECT(C70&amp;ROW())),INDIRECT(C70&amp;ROW()))</f>
        <v>61082</v>
      </c>
      <c r="N487">
        <v>61082</v>
      </c>
      <c r="O487" t="s">
        <v>50</v>
      </c>
      <c r="P487" t="s">
        <v>959</v>
      </c>
      <c r="Q487" t="s">
        <v>25</v>
      </c>
      <c r="R487" t="s">
        <v>783</v>
      </c>
      <c r="S487" t="s">
        <v>552</v>
      </c>
      <c r="T487" t="s">
        <v>782</v>
      </c>
      <c r="U487" s="6">
        <v>42206.084224537037</v>
      </c>
      <c r="V487" t="s">
        <v>18</v>
      </c>
      <c r="W487" t="s">
        <v>17</v>
      </c>
      <c r="X487" s="6">
        <v>42116.454432870371</v>
      </c>
      <c r="Y487" t="s">
        <v>119</v>
      </c>
      <c r="AB487" t="s">
        <v>200</v>
      </c>
      <c r="AC487" t="s">
        <v>121</v>
      </c>
      <c r="AD487" t="s">
        <v>227</v>
      </c>
      <c r="AE487" t="s">
        <v>226</v>
      </c>
      <c r="AG487" t="s">
        <v>337</v>
      </c>
      <c r="AH487" t="s">
        <v>327</v>
      </c>
      <c r="AI487" t="s">
        <v>362</v>
      </c>
      <c r="AJ487" t="s">
        <v>715</v>
      </c>
      <c r="AK487" t="s">
        <v>121</v>
      </c>
      <c r="AL487" t="s">
        <v>121</v>
      </c>
      <c r="AM487" t="s">
        <v>121</v>
      </c>
    </row>
    <row r="488" spans="9:39" x14ac:dyDescent="0.3">
      <c r="I488">
        <f ca="1">IF(OR(INDIRECT(A73&amp;ROW())=B93,INDIRECT(A73&amp;ROW())=B94),1,IF(AND(INDIRECT(A73&amp;ROW())=B95,INDIRECT(A96&amp;ROW())=C93),1,IF(AND(INDIRECT(A73&amp;ROW())=B95,INDIRECT(A96&amp;ROW())=C94),1,0)))</f>
        <v>1</v>
      </c>
      <c r="J488">
        <f ca="1">IF(AND(INDIRECT(A73&amp;ROW())=B95,INDIRECT(A96&amp;ROW())=C95),1,IF(AND(INDIRECT(A73&amp;ROW())=B95,INDIRECT(A96&amp;ROW())=C96),1,0))</f>
        <v>0</v>
      </c>
      <c r="K488">
        <f ca="1">DAYS360(INDIRECT(C68&amp;ROW()),TODAY())</f>
        <v>641</v>
      </c>
      <c r="L488">
        <f ca="1">DAYS360(INDIRECT(C69&amp;ROW()),TODAY())</f>
        <v>730</v>
      </c>
      <c r="M488">
        <f ca="1">HYPERLINK(CONCATENATE("https://bugzilla.houston.hp.com:1181/bugzilla/show_bug.cgi?id=",INDIRECT(C70&amp;ROW())),INDIRECT(C70&amp;ROW()))</f>
        <v>61083</v>
      </c>
      <c r="N488">
        <v>61083</v>
      </c>
      <c r="O488" t="s">
        <v>66</v>
      </c>
      <c r="P488" t="s">
        <v>958</v>
      </c>
      <c r="Q488" t="s">
        <v>39</v>
      </c>
      <c r="R488" t="s">
        <v>783</v>
      </c>
      <c r="S488" t="s">
        <v>552</v>
      </c>
      <c r="T488" t="s">
        <v>782</v>
      </c>
      <c r="U488" s="6">
        <v>42206.082384259258</v>
      </c>
      <c r="V488" t="s">
        <v>18</v>
      </c>
      <c r="W488" t="s">
        <v>17</v>
      </c>
      <c r="X488" s="6">
        <v>42116.454814814817</v>
      </c>
      <c r="Y488" t="s">
        <v>122</v>
      </c>
      <c r="AB488" t="s">
        <v>201</v>
      </c>
      <c r="AC488" t="s">
        <v>247</v>
      </c>
      <c r="AD488" t="s">
        <v>220</v>
      </c>
      <c r="AE488" t="s">
        <v>219</v>
      </c>
      <c r="AG488" t="s">
        <v>337</v>
      </c>
      <c r="AH488" t="s">
        <v>327</v>
      </c>
      <c r="AI488" t="s">
        <v>121</v>
      </c>
      <c r="AJ488" t="s">
        <v>715</v>
      </c>
      <c r="AK488" t="s">
        <v>121</v>
      </c>
      <c r="AL488" t="s">
        <v>121</v>
      </c>
      <c r="AM488" t="s">
        <v>121</v>
      </c>
    </row>
    <row r="489" spans="9:39" x14ac:dyDescent="0.3">
      <c r="I489">
        <f ca="1">IF(OR(INDIRECT(A73&amp;ROW())=B93,INDIRECT(A73&amp;ROW())=B94),1,IF(AND(INDIRECT(A73&amp;ROW())=B95,INDIRECT(A96&amp;ROW())=C93),1,IF(AND(INDIRECT(A73&amp;ROW())=B95,INDIRECT(A96&amp;ROW())=C94),1,0)))</f>
        <v>0</v>
      </c>
      <c r="J489">
        <f ca="1">IF(AND(INDIRECT(A73&amp;ROW())=B95,INDIRECT(A96&amp;ROW())=C95),1,IF(AND(INDIRECT(A73&amp;ROW())=B95,INDIRECT(A96&amp;ROW())=C96),1,0))</f>
        <v>1</v>
      </c>
      <c r="K489">
        <f ca="1">DAYS360(INDIRECT(C68&amp;ROW()),TODAY())</f>
        <v>679</v>
      </c>
      <c r="L489">
        <f ca="1">DAYS360(INDIRECT(C69&amp;ROW()),TODAY())</f>
        <v>730</v>
      </c>
      <c r="M489">
        <f ca="1">HYPERLINK(CONCATENATE("https://bugzilla.houston.hp.com:1181/bugzilla/show_bug.cgi?id=",INDIRECT(C70&amp;ROW())),INDIRECT(C70&amp;ROW()))</f>
        <v>61097</v>
      </c>
      <c r="N489">
        <v>61097</v>
      </c>
      <c r="O489" t="s">
        <v>56</v>
      </c>
      <c r="P489" t="s">
        <v>1417</v>
      </c>
      <c r="Q489" t="s">
        <v>25</v>
      </c>
      <c r="R489" t="s">
        <v>251</v>
      </c>
      <c r="S489" t="s">
        <v>1418</v>
      </c>
      <c r="U489" s="6">
        <v>42168.387719907405</v>
      </c>
      <c r="V489" t="s">
        <v>18</v>
      </c>
      <c r="W489" t="s">
        <v>1419</v>
      </c>
      <c r="X489" s="6">
        <v>42116.657141203701</v>
      </c>
      <c r="Y489" t="s">
        <v>535</v>
      </c>
      <c r="AB489" t="s">
        <v>201</v>
      </c>
      <c r="AC489" t="s">
        <v>247</v>
      </c>
      <c r="AD489" t="s">
        <v>222</v>
      </c>
      <c r="AE489" t="s">
        <v>232</v>
      </c>
      <c r="AG489" t="s">
        <v>121</v>
      </c>
      <c r="AH489" t="s">
        <v>327</v>
      </c>
      <c r="AI489" t="s">
        <v>121</v>
      </c>
      <c r="AJ489" t="s">
        <v>716</v>
      </c>
      <c r="AK489" t="s">
        <v>121</v>
      </c>
      <c r="AL489" t="s">
        <v>121</v>
      </c>
      <c r="AM489" t="s">
        <v>121</v>
      </c>
    </row>
    <row r="490" spans="9:39" x14ac:dyDescent="0.3">
      <c r="I490">
        <f ca="1">IF(OR(INDIRECT(A73&amp;ROW())=B93,INDIRECT(A73&amp;ROW())=B94),1,IF(AND(INDIRECT(A73&amp;ROW())=B95,INDIRECT(A96&amp;ROW())=C93),1,IF(AND(INDIRECT(A73&amp;ROW())=B95,INDIRECT(A96&amp;ROW())=C94),1,0)))</f>
        <v>1</v>
      </c>
      <c r="J490">
        <f ca="1">IF(AND(INDIRECT(A73&amp;ROW())=B95,INDIRECT(A96&amp;ROW())=C95),1,IF(AND(INDIRECT(A73&amp;ROW())=B95,INDIRECT(A96&amp;ROW())=C96),1,0))</f>
        <v>0</v>
      </c>
      <c r="K490">
        <f ca="1">DAYS360(INDIRECT(C68&amp;ROW()),TODAY())</f>
        <v>628</v>
      </c>
      <c r="L490">
        <f ca="1">DAYS360(INDIRECT(C69&amp;ROW()),TODAY())</f>
        <v>729</v>
      </c>
      <c r="M490">
        <f ca="1">HYPERLINK(CONCATENATE("https://bugzilla.houston.hp.com:1181/bugzilla/show_bug.cgi?id=",INDIRECT(C70&amp;ROW())),INDIRECT(C70&amp;ROW()))</f>
        <v>61184</v>
      </c>
      <c r="N490">
        <v>61184</v>
      </c>
      <c r="O490" t="s">
        <v>55</v>
      </c>
      <c r="P490" t="s">
        <v>1251</v>
      </c>
      <c r="Q490" t="s">
        <v>39</v>
      </c>
      <c r="R490" t="s">
        <v>251</v>
      </c>
      <c r="S490" t="s">
        <v>177</v>
      </c>
      <c r="T490" t="s">
        <v>1058</v>
      </c>
      <c r="U490" s="6">
        <v>42220.924062500002</v>
      </c>
      <c r="V490" t="s">
        <v>35</v>
      </c>
      <c r="W490" t="s">
        <v>783</v>
      </c>
      <c r="X490" s="6">
        <v>42117.455983796295</v>
      </c>
      <c r="Y490" t="s">
        <v>245</v>
      </c>
      <c r="Z490" t="s">
        <v>255</v>
      </c>
      <c r="AB490" t="s">
        <v>200</v>
      </c>
      <c r="AC490" t="s">
        <v>247</v>
      </c>
      <c r="AD490" t="s">
        <v>222</v>
      </c>
      <c r="AE490" t="s">
        <v>240</v>
      </c>
      <c r="AG490" t="s">
        <v>121</v>
      </c>
      <c r="AH490" t="s">
        <v>327</v>
      </c>
      <c r="AI490" t="s">
        <v>121</v>
      </c>
      <c r="AJ490" t="s">
        <v>715</v>
      </c>
      <c r="AK490" t="s">
        <v>121</v>
      </c>
      <c r="AL490" t="s">
        <v>121</v>
      </c>
      <c r="AM490" t="s">
        <v>121</v>
      </c>
    </row>
    <row r="491" spans="9:39" x14ac:dyDescent="0.3">
      <c r="I491">
        <f ca="1">IF(OR(INDIRECT(A73&amp;ROW())=B93,INDIRECT(A73&amp;ROW())=B94),1,IF(AND(INDIRECT(A73&amp;ROW())=B95,INDIRECT(A96&amp;ROW())=C93),1,IF(AND(INDIRECT(A73&amp;ROW())=B95,INDIRECT(A96&amp;ROW())=C94),1,0)))</f>
        <v>0</v>
      </c>
      <c r="J491">
        <f ca="1">IF(AND(INDIRECT(A73&amp;ROW())=B95,INDIRECT(A96&amp;ROW())=C95),1,IF(AND(INDIRECT(A73&amp;ROW())=B95,INDIRECT(A96&amp;ROW())=C96),1,0))</f>
        <v>1</v>
      </c>
      <c r="K491">
        <f ca="1">DAYS360(INDIRECT(C68&amp;ROW()),TODAY())</f>
        <v>728</v>
      </c>
      <c r="L491">
        <f ca="1">DAYS360(INDIRECT(C69&amp;ROW()),TODAY())</f>
        <v>728</v>
      </c>
      <c r="M491">
        <f ca="1">HYPERLINK(CONCATENATE("https://bugzilla.houston.hp.com:1181/bugzilla/show_bug.cgi?id=",INDIRECT(C70&amp;ROW())),INDIRECT(C70&amp;ROW()))</f>
        <v>61236</v>
      </c>
      <c r="N491">
        <v>61236</v>
      </c>
      <c r="O491" t="s">
        <v>66</v>
      </c>
      <c r="P491" t="s">
        <v>956</v>
      </c>
      <c r="Q491" t="s">
        <v>25</v>
      </c>
      <c r="R491" t="s">
        <v>783</v>
      </c>
      <c r="S491" t="s">
        <v>552</v>
      </c>
      <c r="U491" s="6">
        <v>42118.33730324074</v>
      </c>
      <c r="V491" t="s">
        <v>18</v>
      </c>
      <c r="W491" t="s">
        <v>17</v>
      </c>
      <c r="X491" s="6">
        <v>42118.33730324074</v>
      </c>
      <c r="Y491" t="s">
        <v>124</v>
      </c>
      <c r="AB491" t="s">
        <v>201</v>
      </c>
      <c r="AC491" t="s">
        <v>247</v>
      </c>
      <c r="AD491" t="s">
        <v>220</v>
      </c>
      <c r="AE491" t="s">
        <v>219</v>
      </c>
      <c r="AG491" t="s">
        <v>121</v>
      </c>
      <c r="AH491" t="s">
        <v>327</v>
      </c>
      <c r="AI491" t="s">
        <v>121</v>
      </c>
      <c r="AJ491" t="s">
        <v>716</v>
      </c>
      <c r="AK491" t="s">
        <v>121</v>
      </c>
      <c r="AL491" t="s">
        <v>121</v>
      </c>
      <c r="AM491" t="s">
        <v>121</v>
      </c>
    </row>
    <row r="492" spans="9:39" x14ac:dyDescent="0.3">
      <c r="I492">
        <f ca="1">IF(OR(INDIRECT(A73&amp;ROW())=B93,INDIRECT(A73&amp;ROW())=B94),1,IF(AND(INDIRECT(A73&amp;ROW())=B95,INDIRECT(A96&amp;ROW())=C93),1,IF(AND(INDIRECT(A73&amp;ROW())=B95,INDIRECT(A96&amp;ROW())=C94),1,0)))</f>
        <v>0</v>
      </c>
      <c r="J492">
        <f ca="1">IF(AND(INDIRECT(A73&amp;ROW())=B95,INDIRECT(A96&amp;ROW())=C95),1,IF(AND(INDIRECT(A73&amp;ROW())=B95,INDIRECT(A96&amp;ROW())=C96),1,0))</f>
        <v>1</v>
      </c>
      <c r="K492">
        <f ca="1">DAYS360(INDIRECT(C68&amp;ROW()),TODAY())</f>
        <v>721</v>
      </c>
      <c r="L492">
        <f ca="1">DAYS360(INDIRECT(C69&amp;ROW()),TODAY())</f>
        <v>728</v>
      </c>
      <c r="M492">
        <f ca="1">HYPERLINK(CONCATENATE("https://bugzilla.houston.hp.com:1181/bugzilla/show_bug.cgi?id=",INDIRECT(C70&amp;ROW())),INDIRECT(C70&amp;ROW()))</f>
        <v>61237</v>
      </c>
      <c r="N492">
        <v>61237</v>
      </c>
      <c r="O492" t="s">
        <v>56</v>
      </c>
      <c r="P492" t="s">
        <v>955</v>
      </c>
      <c r="Q492" t="s">
        <v>25</v>
      </c>
      <c r="R492" t="s">
        <v>783</v>
      </c>
      <c r="S492" t="s">
        <v>552</v>
      </c>
      <c r="U492" s="6">
        <v>42125.451805555553</v>
      </c>
      <c r="V492" t="s">
        <v>18</v>
      </c>
      <c r="W492" t="s">
        <v>17</v>
      </c>
      <c r="X492" s="6">
        <v>42118.337488425925</v>
      </c>
      <c r="Y492" t="s">
        <v>122</v>
      </c>
      <c r="AB492" t="s">
        <v>201</v>
      </c>
      <c r="AC492" t="s">
        <v>247</v>
      </c>
      <c r="AD492" t="s">
        <v>220</v>
      </c>
      <c r="AE492" t="s">
        <v>219</v>
      </c>
      <c r="AG492" t="s">
        <v>121</v>
      </c>
      <c r="AH492" t="s">
        <v>327</v>
      </c>
      <c r="AI492" t="s">
        <v>121</v>
      </c>
      <c r="AJ492" t="s">
        <v>716</v>
      </c>
      <c r="AK492" t="s">
        <v>121</v>
      </c>
      <c r="AL492" t="s">
        <v>121</v>
      </c>
      <c r="AM492" t="s">
        <v>121</v>
      </c>
    </row>
    <row r="493" spans="9:39" x14ac:dyDescent="0.3">
      <c r="I493">
        <f ca="1">IF(OR(INDIRECT(A73&amp;ROW())=B93,INDIRECT(A73&amp;ROW())=B94),1,IF(AND(INDIRECT(A73&amp;ROW())=B95,INDIRECT(A96&amp;ROW())=C93),1,IF(AND(INDIRECT(A73&amp;ROW())=B95,INDIRECT(A96&amp;ROW())=C94),1,0)))</f>
        <v>0</v>
      </c>
      <c r="J493">
        <f ca="1">IF(AND(INDIRECT(A73&amp;ROW())=B95,INDIRECT(A96&amp;ROW())=C95),1,IF(AND(INDIRECT(A73&amp;ROW())=B95,INDIRECT(A96&amp;ROW())=C96),1,0))</f>
        <v>1</v>
      </c>
      <c r="K493">
        <f ca="1">DAYS360(INDIRECT(C68&amp;ROW()),TODAY())</f>
        <v>721</v>
      </c>
      <c r="L493">
        <f ca="1">DAYS360(INDIRECT(C69&amp;ROW()),TODAY())</f>
        <v>728</v>
      </c>
      <c r="M493">
        <f ca="1">HYPERLINK(CONCATENATE("https://bugzilla.houston.hp.com:1181/bugzilla/show_bug.cgi?id=",INDIRECT(C70&amp;ROW())),INDIRECT(C70&amp;ROW()))</f>
        <v>61238</v>
      </c>
      <c r="N493">
        <v>61238</v>
      </c>
      <c r="O493" t="s">
        <v>56</v>
      </c>
      <c r="P493" t="s">
        <v>954</v>
      </c>
      <c r="Q493" t="s">
        <v>25</v>
      </c>
      <c r="R493" t="s">
        <v>783</v>
      </c>
      <c r="S493" t="s">
        <v>552</v>
      </c>
      <c r="U493" s="6">
        <v>42125.451863425929</v>
      </c>
      <c r="V493" t="s">
        <v>18</v>
      </c>
      <c r="W493" t="s">
        <v>17</v>
      </c>
      <c r="X493" s="6">
        <v>42118.337650462963</v>
      </c>
      <c r="Y493" t="s">
        <v>122</v>
      </c>
      <c r="AB493" t="s">
        <v>201</v>
      </c>
      <c r="AC493" t="s">
        <v>247</v>
      </c>
      <c r="AD493" t="s">
        <v>220</v>
      </c>
      <c r="AE493" t="s">
        <v>219</v>
      </c>
      <c r="AG493" t="s">
        <v>121</v>
      </c>
      <c r="AH493" t="s">
        <v>327</v>
      </c>
      <c r="AI493" t="s">
        <v>121</v>
      </c>
      <c r="AJ493" t="s">
        <v>716</v>
      </c>
      <c r="AK493" t="s">
        <v>121</v>
      </c>
      <c r="AL493" t="s">
        <v>121</v>
      </c>
      <c r="AM493" t="s">
        <v>121</v>
      </c>
    </row>
    <row r="494" spans="9:39" x14ac:dyDescent="0.3">
      <c r="I494">
        <f ca="1">IF(OR(INDIRECT(A73&amp;ROW())=B93,INDIRECT(A73&amp;ROW())=B94),1,IF(AND(INDIRECT(A73&amp;ROW())=B95,INDIRECT(A96&amp;ROW())=C93),1,IF(AND(INDIRECT(A73&amp;ROW())=B95,INDIRECT(A96&amp;ROW())=C94),1,0)))</f>
        <v>0</v>
      </c>
      <c r="J494">
        <f ca="1">IF(AND(INDIRECT(A73&amp;ROW())=B95,INDIRECT(A96&amp;ROW())=C95),1,IF(AND(INDIRECT(A73&amp;ROW())=B95,INDIRECT(A96&amp;ROW())=C96),1,0))</f>
        <v>1</v>
      </c>
      <c r="K494">
        <f ca="1">DAYS360(INDIRECT(C68&amp;ROW()),TODAY())</f>
        <v>721</v>
      </c>
      <c r="L494">
        <f ca="1">DAYS360(INDIRECT(C69&amp;ROW()),TODAY())</f>
        <v>728</v>
      </c>
      <c r="M494">
        <f ca="1">HYPERLINK(CONCATENATE("https://bugzilla.houston.hp.com:1181/bugzilla/show_bug.cgi?id=",INDIRECT(C70&amp;ROW())),INDIRECT(C70&amp;ROW()))</f>
        <v>61239</v>
      </c>
      <c r="N494">
        <v>61239</v>
      </c>
      <c r="O494" t="s">
        <v>56</v>
      </c>
      <c r="P494" t="s">
        <v>953</v>
      </c>
      <c r="Q494" t="s">
        <v>25</v>
      </c>
      <c r="R494" t="s">
        <v>783</v>
      </c>
      <c r="S494" t="s">
        <v>552</v>
      </c>
      <c r="U494" s="6">
        <v>42125.452974537038</v>
      </c>
      <c r="V494" t="s">
        <v>18</v>
      </c>
      <c r="W494" t="s">
        <v>17</v>
      </c>
      <c r="X494" s="6">
        <v>42118.337824074071</v>
      </c>
      <c r="Y494" t="s">
        <v>122</v>
      </c>
      <c r="AB494" t="s">
        <v>201</v>
      </c>
      <c r="AC494" t="s">
        <v>247</v>
      </c>
      <c r="AD494" t="s">
        <v>220</v>
      </c>
      <c r="AE494" t="s">
        <v>219</v>
      </c>
      <c r="AG494" t="s">
        <v>121</v>
      </c>
      <c r="AH494" t="s">
        <v>327</v>
      </c>
      <c r="AI494" t="s">
        <v>121</v>
      </c>
      <c r="AJ494" t="s">
        <v>716</v>
      </c>
      <c r="AK494" t="s">
        <v>121</v>
      </c>
      <c r="AL494" t="s">
        <v>121</v>
      </c>
      <c r="AM494" t="s">
        <v>121</v>
      </c>
    </row>
    <row r="495" spans="9:39" x14ac:dyDescent="0.3">
      <c r="I495">
        <f ca="1">IF(OR(INDIRECT(A73&amp;ROW())=B93,INDIRECT(A73&amp;ROW())=B94),1,IF(AND(INDIRECT(A73&amp;ROW())=B95,INDIRECT(A96&amp;ROW())=C93),1,IF(AND(INDIRECT(A73&amp;ROW())=B95,INDIRECT(A96&amp;ROW())=C94),1,0)))</f>
        <v>0</v>
      </c>
      <c r="J495">
        <f ca="1">IF(AND(INDIRECT(A73&amp;ROW())=B95,INDIRECT(A96&amp;ROW())=C95),1,IF(AND(INDIRECT(A73&amp;ROW())=B95,INDIRECT(A96&amp;ROW())=C96),1,0))</f>
        <v>1</v>
      </c>
      <c r="K495">
        <f ca="1">DAYS360(INDIRECT(C68&amp;ROW()),TODAY())</f>
        <v>721</v>
      </c>
      <c r="L495">
        <f ca="1">DAYS360(INDIRECT(C69&amp;ROW()),TODAY())</f>
        <v>728</v>
      </c>
      <c r="M495">
        <f ca="1">HYPERLINK(CONCATENATE("https://bugzilla.houston.hp.com:1181/bugzilla/show_bug.cgi?id=",INDIRECT(C70&amp;ROW())),INDIRECT(C70&amp;ROW()))</f>
        <v>61240</v>
      </c>
      <c r="N495">
        <v>61240</v>
      </c>
      <c r="O495" t="s">
        <v>56</v>
      </c>
      <c r="P495" t="s">
        <v>952</v>
      </c>
      <c r="Q495" t="s">
        <v>25</v>
      </c>
      <c r="R495" t="s">
        <v>783</v>
      </c>
      <c r="S495" t="s">
        <v>552</v>
      </c>
      <c r="U495" s="6">
        <v>42125.452939814815</v>
      </c>
      <c r="V495" t="s">
        <v>18</v>
      </c>
      <c r="W495" t="s">
        <v>17</v>
      </c>
      <c r="X495" s="6">
        <v>42118.33797453704</v>
      </c>
      <c r="Y495" t="s">
        <v>122</v>
      </c>
      <c r="AB495" t="s">
        <v>201</v>
      </c>
      <c r="AC495" t="s">
        <v>247</v>
      </c>
      <c r="AD495" t="s">
        <v>220</v>
      </c>
      <c r="AE495" t="s">
        <v>219</v>
      </c>
      <c r="AG495" t="s">
        <v>121</v>
      </c>
      <c r="AH495" t="s">
        <v>327</v>
      </c>
      <c r="AI495" t="s">
        <v>121</v>
      </c>
      <c r="AJ495" t="s">
        <v>716</v>
      </c>
      <c r="AK495" t="s">
        <v>121</v>
      </c>
      <c r="AL495" t="s">
        <v>121</v>
      </c>
      <c r="AM495" t="s">
        <v>121</v>
      </c>
    </row>
    <row r="496" spans="9:39" x14ac:dyDescent="0.3">
      <c r="I496">
        <f ca="1">IF(OR(INDIRECT(A73&amp;ROW())=B93,INDIRECT(A73&amp;ROW())=B94),1,IF(AND(INDIRECT(A73&amp;ROW())=B95,INDIRECT(A96&amp;ROW())=C93),1,IF(AND(INDIRECT(A73&amp;ROW())=B95,INDIRECT(A96&amp;ROW())=C94),1,0)))</f>
        <v>0</v>
      </c>
      <c r="J496">
        <f ca="1">IF(AND(INDIRECT(A73&amp;ROW())=B95,INDIRECT(A96&amp;ROW())=C95),1,IF(AND(INDIRECT(A73&amp;ROW())=B95,INDIRECT(A96&amp;ROW())=C96),1,0))</f>
        <v>1</v>
      </c>
      <c r="K496">
        <f ca="1">DAYS360(INDIRECT(C68&amp;ROW()),TODAY())</f>
        <v>728</v>
      </c>
      <c r="L496">
        <f ca="1">DAYS360(INDIRECT(C69&amp;ROW()),TODAY())</f>
        <v>728</v>
      </c>
      <c r="M496">
        <f ca="1">HYPERLINK(CONCATENATE("https://bugzilla.houston.hp.com:1181/bugzilla/show_bug.cgi?id=",INDIRECT(C70&amp;ROW())),INDIRECT(C70&amp;ROW()))</f>
        <v>61241</v>
      </c>
      <c r="N496">
        <v>61241</v>
      </c>
      <c r="O496" t="s">
        <v>56</v>
      </c>
      <c r="P496" t="s">
        <v>951</v>
      </c>
      <c r="Q496" t="s">
        <v>25</v>
      </c>
      <c r="R496" t="s">
        <v>783</v>
      </c>
      <c r="S496" t="s">
        <v>552</v>
      </c>
      <c r="U496" s="6">
        <v>42118.338229166664</v>
      </c>
      <c r="V496" t="s">
        <v>18</v>
      </c>
      <c r="W496" t="s">
        <v>17</v>
      </c>
      <c r="X496" s="6">
        <v>42118.338229166664</v>
      </c>
      <c r="Y496" t="s">
        <v>788</v>
      </c>
      <c r="AB496" t="s">
        <v>201</v>
      </c>
      <c r="AC496" t="s">
        <v>247</v>
      </c>
      <c r="AD496" t="s">
        <v>220</v>
      </c>
      <c r="AE496" t="s">
        <v>219</v>
      </c>
      <c r="AG496" t="s">
        <v>121</v>
      </c>
      <c r="AH496" t="s">
        <v>327</v>
      </c>
      <c r="AI496" t="s">
        <v>121</v>
      </c>
      <c r="AJ496" t="s">
        <v>716</v>
      </c>
      <c r="AK496" t="s">
        <v>121</v>
      </c>
      <c r="AL496" t="s">
        <v>121</v>
      </c>
      <c r="AM496" t="s">
        <v>121</v>
      </c>
    </row>
    <row r="497" spans="9:39" x14ac:dyDescent="0.3">
      <c r="I497">
        <f ca="1">IF(OR(INDIRECT(A73&amp;ROW())=B93,INDIRECT(A73&amp;ROW())=B94),1,IF(AND(INDIRECT(A73&amp;ROW())=B95,INDIRECT(A96&amp;ROW())=C93),1,IF(AND(INDIRECT(A73&amp;ROW())=B95,INDIRECT(A96&amp;ROW())=C94),1,0)))</f>
        <v>0</v>
      </c>
      <c r="J497">
        <f ca="1">IF(AND(INDIRECT(A73&amp;ROW())=B95,INDIRECT(A96&amp;ROW())=C95),1,IF(AND(INDIRECT(A73&amp;ROW())=B95,INDIRECT(A96&amp;ROW())=C96),1,0))</f>
        <v>1</v>
      </c>
      <c r="K497">
        <f ca="1">DAYS360(INDIRECT(C68&amp;ROW()),TODAY())</f>
        <v>721</v>
      </c>
      <c r="L497">
        <f ca="1">DAYS360(INDIRECT(C69&amp;ROW()),TODAY())</f>
        <v>728</v>
      </c>
      <c r="M497">
        <f ca="1">HYPERLINK(CONCATENATE("https://bugzilla.houston.hp.com:1181/bugzilla/show_bug.cgi?id=",INDIRECT(C70&amp;ROW())),INDIRECT(C70&amp;ROW()))</f>
        <v>61242</v>
      </c>
      <c r="N497">
        <v>61242</v>
      </c>
      <c r="O497" t="s">
        <v>56</v>
      </c>
      <c r="P497" t="s">
        <v>950</v>
      </c>
      <c r="Q497" t="s">
        <v>25</v>
      </c>
      <c r="R497" t="s">
        <v>783</v>
      </c>
      <c r="S497" t="s">
        <v>552</v>
      </c>
      <c r="U497" s="6">
        <v>42125.45175925926</v>
      </c>
      <c r="V497" t="s">
        <v>18</v>
      </c>
      <c r="W497" t="s">
        <v>17</v>
      </c>
      <c r="X497" s="6">
        <v>42118.338460648149</v>
      </c>
      <c r="Y497" t="s">
        <v>122</v>
      </c>
      <c r="AB497" t="s">
        <v>201</v>
      </c>
      <c r="AC497" t="s">
        <v>247</v>
      </c>
      <c r="AD497" t="s">
        <v>220</v>
      </c>
      <c r="AE497" t="s">
        <v>219</v>
      </c>
      <c r="AG497" t="s">
        <v>121</v>
      </c>
      <c r="AH497" t="s">
        <v>327</v>
      </c>
      <c r="AI497" t="s">
        <v>121</v>
      </c>
      <c r="AJ497" t="s">
        <v>716</v>
      </c>
      <c r="AK497" t="s">
        <v>121</v>
      </c>
      <c r="AL497" t="s">
        <v>121</v>
      </c>
      <c r="AM497" t="s">
        <v>121</v>
      </c>
    </row>
    <row r="498" spans="9:39" x14ac:dyDescent="0.3">
      <c r="I498">
        <f ca="1">IF(OR(INDIRECT(A73&amp;ROW())=B93,INDIRECT(A73&amp;ROW())=B94),1,IF(AND(INDIRECT(A73&amp;ROW())=B95,INDIRECT(A96&amp;ROW())=C93),1,IF(AND(INDIRECT(A73&amp;ROW())=B95,INDIRECT(A96&amp;ROW())=C94),1,0)))</f>
        <v>1</v>
      </c>
      <c r="J498">
        <f ca="1">IF(AND(INDIRECT(A73&amp;ROW())=B95,INDIRECT(A96&amp;ROW())=C95),1,IF(AND(INDIRECT(A73&amp;ROW())=B95,INDIRECT(A96&amp;ROW())=C96),1,0))</f>
        <v>0</v>
      </c>
      <c r="K498">
        <f ca="1">DAYS360(INDIRECT(C68&amp;ROW()),TODAY())</f>
        <v>641</v>
      </c>
      <c r="L498">
        <f ca="1">DAYS360(INDIRECT(C69&amp;ROW()),TODAY())</f>
        <v>728</v>
      </c>
      <c r="M498">
        <f ca="1">HYPERLINK(CONCATENATE("https://bugzilla.houston.hp.com:1181/bugzilla/show_bug.cgi?id=",INDIRECT(C70&amp;ROW())),INDIRECT(C70&amp;ROW()))</f>
        <v>61246</v>
      </c>
      <c r="N498">
        <v>61246</v>
      </c>
      <c r="O498" t="s">
        <v>53</v>
      </c>
      <c r="P498" t="s">
        <v>946</v>
      </c>
      <c r="Q498" t="s">
        <v>39</v>
      </c>
      <c r="R498" t="s">
        <v>783</v>
      </c>
      <c r="S498" t="s">
        <v>552</v>
      </c>
      <c r="U498" s="6">
        <v>42206.092870370368</v>
      </c>
      <c r="V498" t="s">
        <v>18</v>
      </c>
      <c r="W498" t="s">
        <v>17</v>
      </c>
      <c r="X498" s="6">
        <v>42118.339432870373</v>
      </c>
      <c r="Y498" t="s">
        <v>119</v>
      </c>
      <c r="AB498" t="s">
        <v>201</v>
      </c>
      <c r="AC498" t="s">
        <v>247</v>
      </c>
      <c r="AD498" t="s">
        <v>220</v>
      </c>
      <c r="AE498" t="s">
        <v>219</v>
      </c>
      <c r="AG498" t="s">
        <v>337</v>
      </c>
      <c r="AH498" t="s">
        <v>64</v>
      </c>
      <c r="AI498" t="s">
        <v>121</v>
      </c>
      <c r="AJ498" t="s">
        <v>715</v>
      </c>
      <c r="AK498" t="s">
        <v>121</v>
      </c>
      <c r="AL498" t="s">
        <v>121</v>
      </c>
      <c r="AM498" t="s">
        <v>121</v>
      </c>
    </row>
    <row r="499" spans="9:39" x14ac:dyDescent="0.3">
      <c r="I499">
        <f ca="1">IF(OR(INDIRECT(A73&amp;ROW())=B93,INDIRECT(A73&amp;ROW())=B94),1,IF(AND(INDIRECT(A73&amp;ROW())=B95,INDIRECT(A96&amp;ROW())=C93),1,IF(AND(INDIRECT(A73&amp;ROW())=B95,INDIRECT(A96&amp;ROW())=C94),1,0)))</f>
        <v>0</v>
      </c>
      <c r="J499">
        <f ca="1">IF(AND(INDIRECT(A73&amp;ROW())=B95,INDIRECT(A96&amp;ROW())=C95),1,IF(AND(INDIRECT(A73&amp;ROW())=B95,INDIRECT(A96&amp;ROW())=C96),1,0))</f>
        <v>1</v>
      </c>
      <c r="K499">
        <f ca="1">DAYS360(INDIRECT(C68&amp;ROW()),TODAY())</f>
        <v>639</v>
      </c>
      <c r="L499">
        <f ca="1">DAYS360(INDIRECT(C69&amp;ROW()),TODAY())</f>
        <v>728</v>
      </c>
      <c r="M499">
        <f ca="1">HYPERLINK(CONCATENATE("https://bugzilla.houston.hp.com:1181/bugzilla/show_bug.cgi?id=",INDIRECT(C70&amp;ROW())),INDIRECT(C70&amp;ROW()))</f>
        <v>61247</v>
      </c>
      <c r="N499">
        <v>61247</v>
      </c>
      <c r="O499" t="s">
        <v>204</v>
      </c>
      <c r="P499" t="s">
        <v>945</v>
      </c>
      <c r="Q499" t="s">
        <v>25</v>
      </c>
      <c r="R499" t="s">
        <v>783</v>
      </c>
      <c r="S499" t="s">
        <v>552</v>
      </c>
      <c r="U499" s="6">
        <v>42208.246539351851</v>
      </c>
      <c r="V499" t="s">
        <v>18</v>
      </c>
      <c r="W499" t="s">
        <v>17</v>
      </c>
      <c r="X499" s="6">
        <v>42118.33965277778</v>
      </c>
      <c r="Y499" t="s">
        <v>119</v>
      </c>
      <c r="AB499" t="s">
        <v>201</v>
      </c>
      <c r="AC499" t="s">
        <v>121</v>
      </c>
      <c r="AD499" t="s">
        <v>220</v>
      </c>
      <c r="AE499" t="s">
        <v>223</v>
      </c>
      <c r="AG499" t="s">
        <v>121</v>
      </c>
      <c r="AH499" t="s">
        <v>327</v>
      </c>
      <c r="AI499" t="s">
        <v>362</v>
      </c>
      <c r="AJ499" t="s">
        <v>716</v>
      </c>
      <c r="AK499" t="s">
        <v>121</v>
      </c>
      <c r="AL499" t="s">
        <v>121</v>
      </c>
      <c r="AM499" t="s">
        <v>121</v>
      </c>
    </row>
    <row r="500" spans="9:39" x14ac:dyDescent="0.3">
      <c r="I500">
        <f ca="1">IF(OR(INDIRECT(A73&amp;ROW())=B93,INDIRECT(A73&amp;ROW())=B94),1,IF(AND(INDIRECT(A73&amp;ROW())=B95,INDIRECT(A96&amp;ROW())=C93),1,IF(AND(INDIRECT(A73&amp;ROW())=B95,INDIRECT(A96&amp;ROW())=C94),1,0)))</f>
        <v>1</v>
      </c>
      <c r="J500">
        <f ca="1">IF(AND(INDIRECT(A73&amp;ROW())=B95,INDIRECT(A96&amp;ROW())=C95),1,IF(AND(INDIRECT(A73&amp;ROW())=B95,INDIRECT(A96&amp;ROW())=C96),1,0))</f>
        <v>0</v>
      </c>
      <c r="K500">
        <f ca="1">DAYS360(INDIRECT(C68&amp;ROW()),TODAY())</f>
        <v>612</v>
      </c>
      <c r="L500">
        <f ca="1">DAYS360(INDIRECT(C69&amp;ROW()),TODAY())</f>
        <v>728</v>
      </c>
      <c r="M500">
        <f ca="1">HYPERLINK(CONCATENATE("https://bugzilla.houston.hp.com:1181/bugzilla/show_bug.cgi?id=",INDIRECT(C70&amp;ROW())),INDIRECT(C70&amp;ROW()))</f>
        <v>61250</v>
      </c>
      <c r="N500">
        <v>61250</v>
      </c>
      <c r="O500" t="s">
        <v>56</v>
      </c>
      <c r="P500" t="s">
        <v>1420</v>
      </c>
      <c r="Q500" t="s">
        <v>25</v>
      </c>
      <c r="R500" t="s">
        <v>783</v>
      </c>
      <c r="S500" t="s">
        <v>552</v>
      </c>
      <c r="U500" s="6">
        <v>42236.315162037034</v>
      </c>
      <c r="V500" t="s">
        <v>40</v>
      </c>
      <c r="W500" t="s">
        <v>17</v>
      </c>
      <c r="X500" s="6">
        <v>42118.340543981481</v>
      </c>
      <c r="Y500" t="s">
        <v>245</v>
      </c>
      <c r="AB500" t="s">
        <v>200</v>
      </c>
      <c r="AC500" t="s">
        <v>247</v>
      </c>
      <c r="AD500" t="s">
        <v>220</v>
      </c>
      <c r="AE500" t="s">
        <v>219</v>
      </c>
      <c r="AG500" t="s">
        <v>337</v>
      </c>
      <c r="AH500" t="s">
        <v>64</v>
      </c>
      <c r="AI500" t="s">
        <v>121</v>
      </c>
      <c r="AJ500" t="s">
        <v>715</v>
      </c>
      <c r="AK500" t="s">
        <v>121</v>
      </c>
      <c r="AL500" t="s">
        <v>121</v>
      </c>
      <c r="AM500" t="s">
        <v>121</v>
      </c>
    </row>
    <row r="501" spans="9:39" x14ac:dyDescent="0.3">
      <c r="I501">
        <f ca="1">IF(OR(INDIRECT(A73&amp;ROW())=B93,INDIRECT(A73&amp;ROW())=B94),1,IF(AND(INDIRECT(A73&amp;ROW())=B95,INDIRECT(A96&amp;ROW())=C93),1,IF(AND(INDIRECT(A73&amp;ROW())=B95,INDIRECT(A96&amp;ROW())=C94),1,0)))</f>
        <v>0</v>
      </c>
      <c r="J501">
        <f ca="1">IF(AND(INDIRECT(A73&amp;ROW())=B95,INDIRECT(A96&amp;ROW())=C95),1,IF(AND(INDIRECT(A73&amp;ROW())=B95,INDIRECT(A96&amp;ROW())=C96),1,0))</f>
        <v>1</v>
      </c>
      <c r="K501">
        <f ca="1">DAYS360(INDIRECT(C68&amp;ROW()),TODAY())</f>
        <v>632</v>
      </c>
      <c r="L501">
        <f ca="1">DAYS360(INDIRECT(C69&amp;ROW()),TODAY())</f>
        <v>728</v>
      </c>
      <c r="M501">
        <f ca="1">HYPERLINK(CONCATENATE("https://bugzilla.houston.hp.com:1181/bugzilla/show_bug.cgi?id=",INDIRECT(C70&amp;ROW())),INDIRECT(C70&amp;ROW()))</f>
        <v>61253</v>
      </c>
      <c r="N501">
        <v>61253</v>
      </c>
      <c r="O501" t="s">
        <v>22</v>
      </c>
      <c r="P501" t="s">
        <v>942</v>
      </c>
      <c r="Q501" t="s">
        <v>25</v>
      </c>
      <c r="R501" t="s">
        <v>783</v>
      </c>
      <c r="S501" t="s">
        <v>552</v>
      </c>
      <c r="T501" t="s">
        <v>48</v>
      </c>
      <c r="U501" s="6">
        <v>42216.545891203707</v>
      </c>
      <c r="V501" t="s">
        <v>18</v>
      </c>
      <c r="W501" t="s">
        <v>17</v>
      </c>
      <c r="X501" s="6">
        <v>42118.341377314813</v>
      </c>
      <c r="Y501" t="s">
        <v>535</v>
      </c>
      <c r="AB501" t="s">
        <v>201</v>
      </c>
      <c r="AC501" t="s">
        <v>247</v>
      </c>
      <c r="AD501" t="s">
        <v>220</v>
      </c>
      <c r="AE501" t="s">
        <v>219</v>
      </c>
      <c r="AG501" t="s">
        <v>121</v>
      </c>
      <c r="AH501" t="s">
        <v>327</v>
      </c>
      <c r="AI501" t="s">
        <v>362</v>
      </c>
      <c r="AJ501" t="s">
        <v>716</v>
      </c>
      <c r="AK501" t="s">
        <v>121</v>
      </c>
      <c r="AL501" t="s">
        <v>121</v>
      </c>
      <c r="AM501" t="s">
        <v>121</v>
      </c>
    </row>
    <row r="502" spans="9:39" x14ac:dyDescent="0.3">
      <c r="I502">
        <f ca="1">IF(OR(INDIRECT(A73&amp;ROW())=B93,INDIRECT(A73&amp;ROW())=B94),1,IF(AND(INDIRECT(A73&amp;ROW())=B95,INDIRECT(A96&amp;ROW())=C93),1,IF(AND(INDIRECT(A73&amp;ROW())=B95,INDIRECT(A96&amp;ROW())=C94),1,0)))</f>
        <v>0</v>
      </c>
      <c r="J502">
        <f ca="1">IF(AND(INDIRECT(A73&amp;ROW())=B95,INDIRECT(A96&amp;ROW())=C95),1,IF(AND(INDIRECT(A73&amp;ROW())=B95,INDIRECT(A96&amp;ROW())=C96),1,0))</f>
        <v>1</v>
      </c>
      <c r="K502">
        <f ca="1">DAYS360(INDIRECT(C68&amp;ROW()),TODAY())</f>
        <v>675</v>
      </c>
      <c r="L502">
        <f ca="1">DAYS360(INDIRECT(C69&amp;ROW()),TODAY())</f>
        <v>728</v>
      </c>
      <c r="M502">
        <f ca="1">HYPERLINK(CONCATENATE("https://bugzilla.houston.hp.com:1181/bugzilla/show_bug.cgi?id=",INDIRECT(C70&amp;ROW())),INDIRECT(C70&amp;ROW()))</f>
        <v>61256</v>
      </c>
      <c r="N502">
        <v>61256</v>
      </c>
      <c r="O502" t="s">
        <v>66</v>
      </c>
      <c r="P502" t="s">
        <v>940</v>
      </c>
      <c r="Q502" t="s">
        <v>25</v>
      </c>
      <c r="R502" t="s">
        <v>783</v>
      </c>
      <c r="S502" t="s">
        <v>552</v>
      </c>
      <c r="U502" s="6">
        <v>42172.473611111112</v>
      </c>
      <c r="V502" t="s">
        <v>18</v>
      </c>
      <c r="W502" t="s">
        <v>17</v>
      </c>
      <c r="X502" s="6">
        <v>42118.342280092591</v>
      </c>
      <c r="Y502" t="s">
        <v>122</v>
      </c>
      <c r="AB502" t="s">
        <v>201</v>
      </c>
      <c r="AC502" t="s">
        <v>247</v>
      </c>
      <c r="AD502" t="s">
        <v>220</v>
      </c>
      <c r="AE502" t="s">
        <v>219</v>
      </c>
      <c r="AG502" t="s">
        <v>121</v>
      </c>
      <c r="AH502" t="s">
        <v>327</v>
      </c>
      <c r="AI502" t="s">
        <v>121</v>
      </c>
      <c r="AJ502" t="s">
        <v>716</v>
      </c>
      <c r="AK502" t="s">
        <v>121</v>
      </c>
      <c r="AL502" t="s">
        <v>121</v>
      </c>
      <c r="AM502" t="s">
        <v>121</v>
      </c>
    </row>
    <row r="503" spans="9:39" x14ac:dyDescent="0.3">
      <c r="I503">
        <f ca="1">IF(OR(INDIRECT(A73&amp;ROW())=B93,INDIRECT(A73&amp;ROW())=B94),1,IF(AND(INDIRECT(A73&amp;ROW())=B95,INDIRECT(A96&amp;ROW())=C93),1,IF(AND(INDIRECT(A73&amp;ROW())=B95,INDIRECT(A96&amp;ROW())=C94),1,0)))</f>
        <v>0</v>
      </c>
      <c r="J503">
        <f ca="1">IF(AND(INDIRECT(A73&amp;ROW())=B95,INDIRECT(A96&amp;ROW())=C95),1,IF(AND(INDIRECT(A73&amp;ROW())=B95,INDIRECT(A96&amp;ROW())=C96),1,0))</f>
        <v>1</v>
      </c>
      <c r="K503">
        <f ca="1">DAYS360(INDIRECT(C68&amp;ROW()),TODAY())</f>
        <v>675</v>
      </c>
      <c r="L503">
        <f ca="1">DAYS360(INDIRECT(C69&amp;ROW()),TODAY())</f>
        <v>728</v>
      </c>
      <c r="M503">
        <f ca="1">HYPERLINK(CONCATENATE("https://bugzilla.houston.hp.com:1181/bugzilla/show_bug.cgi?id=",INDIRECT(C70&amp;ROW())),INDIRECT(C70&amp;ROW()))</f>
        <v>61257</v>
      </c>
      <c r="N503">
        <v>61257</v>
      </c>
      <c r="O503" t="s">
        <v>56</v>
      </c>
      <c r="P503" t="s">
        <v>939</v>
      </c>
      <c r="Q503" t="s">
        <v>25</v>
      </c>
      <c r="R503" t="s">
        <v>783</v>
      </c>
      <c r="S503" t="s">
        <v>552</v>
      </c>
      <c r="U503" s="6">
        <v>42172.472870370373</v>
      </c>
      <c r="V503" t="s">
        <v>18</v>
      </c>
      <c r="W503" t="s">
        <v>17</v>
      </c>
      <c r="X503" s="6">
        <v>42118.342569444445</v>
      </c>
      <c r="Y503" t="s">
        <v>119</v>
      </c>
      <c r="AB503" t="s">
        <v>201</v>
      </c>
      <c r="AC503" t="s">
        <v>247</v>
      </c>
      <c r="AD503" t="s">
        <v>220</v>
      </c>
      <c r="AE503" t="s">
        <v>219</v>
      </c>
      <c r="AG503" t="s">
        <v>121</v>
      </c>
      <c r="AH503" t="s">
        <v>327</v>
      </c>
      <c r="AI503" t="s">
        <v>121</v>
      </c>
      <c r="AJ503" t="s">
        <v>716</v>
      </c>
      <c r="AK503" t="s">
        <v>121</v>
      </c>
      <c r="AL503" t="s">
        <v>121</v>
      </c>
      <c r="AM503" t="s">
        <v>121</v>
      </c>
    </row>
    <row r="504" spans="9:39" x14ac:dyDescent="0.3">
      <c r="I504">
        <f ca="1">IF(OR(INDIRECT(A73&amp;ROW())=B93,INDIRECT(A73&amp;ROW())=B94),1,IF(AND(INDIRECT(A73&amp;ROW())=B95,INDIRECT(A96&amp;ROW())=C93),1,IF(AND(INDIRECT(A73&amp;ROW())=B95,INDIRECT(A96&amp;ROW())=C94),1,0)))</f>
        <v>0</v>
      </c>
      <c r="J504">
        <f ca="1">IF(AND(INDIRECT(A73&amp;ROW())=B95,INDIRECT(A96&amp;ROW())=C95),1,IF(AND(INDIRECT(A73&amp;ROW())=B95,INDIRECT(A96&amp;ROW())=C96),1,0))</f>
        <v>0</v>
      </c>
      <c r="K504">
        <f ca="1">DAYS360(INDIRECT(C68&amp;ROW()),TODAY())</f>
        <v>675</v>
      </c>
      <c r="L504">
        <f ca="1">DAYS360(INDIRECT(C69&amp;ROW()),TODAY())</f>
        <v>728</v>
      </c>
      <c r="M504">
        <f ca="1">HYPERLINK(CONCATENATE("https://bugzilla.houston.hp.com:1181/bugzilla/show_bug.cgi?id=",INDIRECT(C70&amp;ROW())),INDIRECT(C70&amp;ROW()))</f>
        <v>61258</v>
      </c>
      <c r="N504">
        <v>61258</v>
      </c>
      <c r="O504" t="s">
        <v>66</v>
      </c>
      <c r="P504" t="s">
        <v>938</v>
      </c>
      <c r="Q504" t="s">
        <v>16</v>
      </c>
      <c r="R504" t="s">
        <v>783</v>
      </c>
      <c r="S504" t="s">
        <v>552</v>
      </c>
      <c r="U504" s="6">
        <v>42172.478032407409</v>
      </c>
      <c r="V504" t="s">
        <v>18</v>
      </c>
      <c r="W504" t="s">
        <v>783</v>
      </c>
      <c r="X504" s="6">
        <v>42118.342928240738</v>
      </c>
      <c r="Y504" t="s">
        <v>786</v>
      </c>
      <c r="AB504" t="s">
        <v>200</v>
      </c>
      <c r="AC504" t="s">
        <v>247</v>
      </c>
      <c r="AD504" t="s">
        <v>220</v>
      </c>
      <c r="AE504" t="s">
        <v>219</v>
      </c>
      <c r="AG504" t="s">
        <v>121</v>
      </c>
      <c r="AH504" t="s">
        <v>327</v>
      </c>
      <c r="AI504" t="s">
        <v>121</v>
      </c>
      <c r="AJ504" t="s">
        <v>716</v>
      </c>
      <c r="AK504" t="s">
        <v>121</v>
      </c>
      <c r="AL504" t="s">
        <v>121</v>
      </c>
      <c r="AM504" t="s">
        <v>121</v>
      </c>
    </row>
    <row r="505" spans="9:39" x14ac:dyDescent="0.3">
      <c r="I505">
        <f ca="1">IF(OR(INDIRECT(A73&amp;ROW())=B93,INDIRECT(A73&amp;ROW())=B94),1,IF(AND(INDIRECT(A73&amp;ROW())=B95,INDIRECT(A96&amp;ROW())=C93),1,IF(AND(INDIRECT(A73&amp;ROW())=B95,INDIRECT(A96&amp;ROW())=C94),1,0)))</f>
        <v>0</v>
      </c>
      <c r="J505">
        <f ca="1">IF(AND(INDIRECT(A73&amp;ROW())=B95,INDIRECT(A96&amp;ROW())=C95),1,IF(AND(INDIRECT(A73&amp;ROW())=B95,INDIRECT(A96&amp;ROW())=C96),1,0))</f>
        <v>0</v>
      </c>
      <c r="K505">
        <f ca="1">DAYS360(INDIRECT(C68&amp;ROW()),TODAY())</f>
        <v>721</v>
      </c>
      <c r="L505">
        <f ca="1">DAYS360(INDIRECT(C69&amp;ROW()),TODAY())</f>
        <v>728</v>
      </c>
      <c r="M505">
        <f ca="1">HYPERLINK(CONCATENATE("https://bugzilla.houston.hp.com:1181/bugzilla/show_bug.cgi?id=",INDIRECT(C70&amp;ROW())),INDIRECT(C70&amp;ROW()))</f>
        <v>61271</v>
      </c>
      <c r="N505">
        <v>61271</v>
      </c>
      <c r="O505" t="s">
        <v>241</v>
      </c>
      <c r="P505" t="s">
        <v>936</v>
      </c>
      <c r="Q505" t="s">
        <v>16</v>
      </c>
      <c r="R505" t="s">
        <v>251</v>
      </c>
      <c r="S505" t="s">
        <v>296</v>
      </c>
      <c r="U505" s="6">
        <v>42125.494571759256</v>
      </c>
      <c r="V505" t="s">
        <v>18</v>
      </c>
      <c r="W505" t="s">
        <v>17</v>
      </c>
      <c r="X505" s="6">
        <v>42118.46429398148</v>
      </c>
      <c r="Y505" t="s">
        <v>122</v>
      </c>
      <c r="AB505" t="s">
        <v>200</v>
      </c>
      <c r="AC505" t="s">
        <v>247</v>
      </c>
      <c r="AD505" t="s">
        <v>227</v>
      </c>
      <c r="AE505" t="s">
        <v>238</v>
      </c>
      <c r="AG505" t="s">
        <v>121</v>
      </c>
      <c r="AH505" t="s">
        <v>327</v>
      </c>
      <c r="AI505" t="s">
        <v>121</v>
      </c>
      <c r="AJ505" t="s">
        <v>716</v>
      </c>
      <c r="AK505" t="s">
        <v>121</v>
      </c>
      <c r="AL505" t="s">
        <v>121</v>
      </c>
      <c r="AM505" t="s">
        <v>121</v>
      </c>
    </row>
    <row r="506" spans="9:39" x14ac:dyDescent="0.3">
      <c r="I506">
        <f ca="1">IF(OR(INDIRECT(A73&amp;ROW())=B93,INDIRECT(A73&amp;ROW())=B94),1,IF(AND(INDIRECT(A73&amp;ROW())=B95,INDIRECT(A96&amp;ROW())=C93),1,IF(AND(INDIRECT(A73&amp;ROW())=B95,INDIRECT(A96&amp;ROW())=C94),1,0)))</f>
        <v>0</v>
      </c>
      <c r="J506">
        <f ca="1">IF(AND(INDIRECT(A73&amp;ROW())=B95,INDIRECT(A96&amp;ROW())=C95),1,IF(AND(INDIRECT(A73&amp;ROW())=B95,INDIRECT(A96&amp;ROW())=C96),1,0))</f>
        <v>0</v>
      </c>
      <c r="K506">
        <f ca="1">DAYS360(INDIRECT(C68&amp;ROW()),TODAY())</f>
        <v>721</v>
      </c>
      <c r="L506">
        <f ca="1">DAYS360(INDIRECT(C69&amp;ROW()),TODAY())</f>
        <v>728</v>
      </c>
      <c r="M506">
        <f ca="1">HYPERLINK(CONCATENATE("https://bugzilla.houston.hp.com:1181/bugzilla/show_bug.cgi?id=",INDIRECT(C70&amp;ROW())),INDIRECT(C70&amp;ROW()))</f>
        <v>61285</v>
      </c>
      <c r="N506">
        <v>61285</v>
      </c>
      <c r="O506" t="s">
        <v>241</v>
      </c>
      <c r="P506" t="s">
        <v>935</v>
      </c>
      <c r="Q506" t="s">
        <v>16</v>
      </c>
      <c r="R506" t="s">
        <v>579</v>
      </c>
      <c r="S506" t="s">
        <v>552</v>
      </c>
      <c r="T506" t="s">
        <v>980</v>
      </c>
      <c r="U506" s="6">
        <v>42125.494745370372</v>
      </c>
      <c r="V506" t="s">
        <v>18</v>
      </c>
      <c r="W506" t="s">
        <v>17</v>
      </c>
      <c r="X506" s="6">
        <v>42118.515902777777</v>
      </c>
      <c r="Y506" t="s">
        <v>122</v>
      </c>
      <c r="AB506" t="s">
        <v>200</v>
      </c>
      <c r="AC506" t="s">
        <v>247</v>
      </c>
      <c r="AD506" t="s">
        <v>227</v>
      </c>
      <c r="AE506" t="s">
        <v>238</v>
      </c>
      <c r="AG506" t="s">
        <v>121</v>
      </c>
      <c r="AH506" t="s">
        <v>327</v>
      </c>
      <c r="AI506" t="s">
        <v>121</v>
      </c>
      <c r="AJ506" t="s">
        <v>716</v>
      </c>
      <c r="AK506" t="s">
        <v>121</v>
      </c>
      <c r="AL506" t="s">
        <v>121</v>
      </c>
      <c r="AM506" t="s">
        <v>121</v>
      </c>
    </row>
    <row r="507" spans="9:39" x14ac:dyDescent="0.3">
      <c r="I507">
        <f ca="1">IF(OR(INDIRECT(A73&amp;ROW())=B93,INDIRECT(A73&amp;ROW())=B94),1,IF(AND(INDIRECT(A73&amp;ROW())=B95,INDIRECT(A96&amp;ROW())=C93),1,IF(AND(INDIRECT(A73&amp;ROW())=B95,INDIRECT(A96&amp;ROW())=C94),1,0)))</f>
        <v>0</v>
      </c>
      <c r="J507">
        <f ca="1">IF(AND(INDIRECT(A73&amp;ROW())=B95,INDIRECT(A96&amp;ROW())=C95),1,IF(AND(INDIRECT(A73&amp;ROW())=B95,INDIRECT(A96&amp;ROW())=C96),1,0))</f>
        <v>0</v>
      </c>
      <c r="K507">
        <f ca="1">DAYS360(INDIRECT(C68&amp;ROW()),TODAY())</f>
        <v>687</v>
      </c>
      <c r="L507">
        <f ca="1">DAYS360(INDIRECT(C69&amp;ROW()),TODAY())</f>
        <v>728</v>
      </c>
      <c r="M507">
        <f ca="1">HYPERLINK(CONCATENATE("https://bugzilla.houston.hp.com:1181/bugzilla/show_bug.cgi?id=",INDIRECT(C70&amp;ROW())),INDIRECT(C70&amp;ROW()))</f>
        <v>61286</v>
      </c>
      <c r="N507">
        <v>61286</v>
      </c>
      <c r="O507" t="s">
        <v>241</v>
      </c>
      <c r="P507" t="s">
        <v>934</v>
      </c>
      <c r="Q507" t="s">
        <v>16</v>
      </c>
      <c r="R507" t="s">
        <v>248</v>
      </c>
      <c r="S507" t="s">
        <v>552</v>
      </c>
      <c r="U507" s="6">
        <v>42160.463993055557</v>
      </c>
      <c r="V507" t="s">
        <v>18</v>
      </c>
      <c r="W507" t="s">
        <v>17</v>
      </c>
      <c r="X507" s="6">
        <v>42118.516018518516</v>
      </c>
      <c r="Y507" t="s">
        <v>122</v>
      </c>
      <c r="AB507" t="s">
        <v>200</v>
      </c>
      <c r="AC507" t="s">
        <v>247</v>
      </c>
      <c r="AD507" t="s">
        <v>227</v>
      </c>
      <c r="AE507" t="s">
        <v>238</v>
      </c>
      <c r="AG507" t="s">
        <v>121</v>
      </c>
      <c r="AH507" t="s">
        <v>327</v>
      </c>
      <c r="AI507" t="s">
        <v>121</v>
      </c>
      <c r="AJ507" t="s">
        <v>716</v>
      </c>
      <c r="AK507" t="s">
        <v>121</v>
      </c>
      <c r="AL507" t="s">
        <v>121</v>
      </c>
      <c r="AM507" t="s">
        <v>121</v>
      </c>
    </row>
    <row r="508" spans="9:39" x14ac:dyDescent="0.3">
      <c r="I508">
        <f ca="1">IF(OR(INDIRECT(A73&amp;ROW())=B93,INDIRECT(A73&amp;ROW())=B94),1,IF(AND(INDIRECT(A73&amp;ROW())=B95,INDIRECT(A96&amp;ROW())=C93),1,IF(AND(INDIRECT(A73&amp;ROW())=B95,INDIRECT(A96&amp;ROW())=C94),1,0)))</f>
        <v>0</v>
      </c>
      <c r="J508">
        <f ca="1">IF(AND(INDIRECT(A73&amp;ROW())=B95,INDIRECT(A96&amp;ROW())=C95),1,IF(AND(INDIRECT(A73&amp;ROW())=B95,INDIRECT(A96&amp;ROW())=C96),1,0))</f>
        <v>1</v>
      </c>
      <c r="K508">
        <f ca="1">DAYS360(INDIRECT(C68&amp;ROW()),TODAY())</f>
        <v>615</v>
      </c>
      <c r="L508">
        <f ca="1">DAYS360(INDIRECT(C69&amp;ROW()),TODAY())</f>
        <v>725</v>
      </c>
      <c r="M508">
        <f ca="1">HYPERLINK(CONCATENATE("https://bugzilla.houston.hp.com:1181/bugzilla/show_bug.cgi?id=",INDIRECT(C70&amp;ROW())),INDIRECT(C70&amp;ROW()))</f>
        <v>61336</v>
      </c>
      <c r="N508">
        <v>61336</v>
      </c>
      <c r="O508" t="s">
        <v>187</v>
      </c>
      <c r="P508" t="s">
        <v>1421</v>
      </c>
      <c r="Q508" t="s">
        <v>25</v>
      </c>
      <c r="R508" t="s">
        <v>251</v>
      </c>
      <c r="S508" t="s">
        <v>1401</v>
      </c>
      <c r="T508" t="s">
        <v>48</v>
      </c>
      <c r="U508" s="6">
        <v>42233.226400462961</v>
      </c>
      <c r="V508" t="s">
        <v>35</v>
      </c>
      <c r="W508" t="s">
        <v>1375</v>
      </c>
      <c r="X508" s="6">
        <v>42121.125509259262</v>
      </c>
      <c r="Y508" t="s">
        <v>125</v>
      </c>
      <c r="AB508" t="s">
        <v>201</v>
      </c>
      <c r="AC508" t="s">
        <v>247</v>
      </c>
      <c r="AD508" t="s">
        <v>220</v>
      </c>
      <c r="AE508" t="s">
        <v>219</v>
      </c>
      <c r="AG508" t="s">
        <v>121</v>
      </c>
      <c r="AH508" t="s">
        <v>327</v>
      </c>
      <c r="AI508" t="s">
        <v>121</v>
      </c>
      <c r="AJ508" t="s">
        <v>716</v>
      </c>
      <c r="AK508" t="s">
        <v>121</v>
      </c>
      <c r="AL508" t="s">
        <v>121</v>
      </c>
      <c r="AM508" t="s">
        <v>121</v>
      </c>
    </row>
    <row r="509" spans="9:39" x14ac:dyDescent="0.3">
      <c r="I509">
        <f ca="1">IF(OR(INDIRECT(A73&amp;ROW())=B93,INDIRECT(A73&amp;ROW())=B94),1,IF(AND(INDIRECT(A73&amp;ROW())=B95,INDIRECT(A96&amp;ROW())=C93),1,IF(AND(INDIRECT(A73&amp;ROW())=B95,INDIRECT(A96&amp;ROW())=C94),1,0)))</f>
        <v>0</v>
      </c>
      <c r="J509">
        <f ca="1">IF(AND(INDIRECT(A73&amp;ROW())=B95,INDIRECT(A96&amp;ROW())=C95),1,IF(AND(INDIRECT(A73&amp;ROW())=B95,INDIRECT(A96&amp;ROW())=C96),1,0))</f>
        <v>1</v>
      </c>
      <c r="K509">
        <f ca="1">DAYS360(INDIRECT(C68&amp;ROW()),TODAY())</f>
        <v>618</v>
      </c>
      <c r="L509">
        <f ca="1">DAYS360(INDIRECT(C69&amp;ROW()),TODAY())</f>
        <v>725</v>
      </c>
      <c r="M509">
        <f ca="1">HYPERLINK(CONCATENATE("https://bugzilla.houston.hp.com:1181/bugzilla/show_bug.cgi?id=",INDIRECT(C70&amp;ROW())),INDIRECT(C70&amp;ROW()))</f>
        <v>61386</v>
      </c>
      <c r="N509">
        <v>61386</v>
      </c>
      <c r="O509" t="s">
        <v>56</v>
      </c>
      <c r="P509" t="s">
        <v>1422</v>
      </c>
      <c r="Q509" t="s">
        <v>25</v>
      </c>
      <c r="R509" t="s">
        <v>1403</v>
      </c>
      <c r="S509" t="s">
        <v>552</v>
      </c>
      <c r="T509" t="s">
        <v>1423</v>
      </c>
      <c r="U509" s="6">
        <v>42230.312685185185</v>
      </c>
      <c r="V509" t="s">
        <v>35</v>
      </c>
      <c r="W509" t="s">
        <v>1375</v>
      </c>
      <c r="X509" s="6">
        <v>42121.515486111108</v>
      </c>
      <c r="Y509" t="s">
        <v>125</v>
      </c>
      <c r="AB509" t="s">
        <v>201</v>
      </c>
      <c r="AC509" t="s">
        <v>247</v>
      </c>
      <c r="AD509" t="s">
        <v>220</v>
      </c>
      <c r="AE509" t="s">
        <v>219</v>
      </c>
      <c r="AF509" s="13">
        <v>42205</v>
      </c>
      <c r="AG509" t="s">
        <v>121</v>
      </c>
      <c r="AH509" t="s">
        <v>327</v>
      </c>
      <c r="AI509" t="s">
        <v>121</v>
      </c>
      <c r="AJ509" t="s">
        <v>716</v>
      </c>
      <c r="AK509" t="s">
        <v>121</v>
      </c>
      <c r="AL509" t="s">
        <v>121</v>
      </c>
      <c r="AM509" t="s">
        <v>121</v>
      </c>
    </row>
    <row r="510" spans="9:39" x14ac:dyDescent="0.3">
      <c r="I510">
        <f ca="1">IF(OR(INDIRECT(A73&amp;ROW())=B93,INDIRECT(A73&amp;ROW())=B94),1,IF(AND(INDIRECT(A73&amp;ROW())=B95,INDIRECT(A96&amp;ROW())=C93),1,IF(AND(INDIRECT(A73&amp;ROW())=B95,INDIRECT(A96&amp;ROW())=C94),1,0)))</f>
        <v>0</v>
      </c>
      <c r="J510">
        <f ca="1">IF(AND(INDIRECT(A73&amp;ROW())=B95,INDIRECT(A96&amp;ROW())=C95),1,IF(AND(INDIRECT(A73&amp;ROW())=B95,INDIRECT(A96&amp;ROW())=C96),1,0))</f>
        <v>1</v>
      </c>
      <c r="K510">
        <f ca="1">DAYS360(INDIRECT(C68&amp;ROW()),TODAY())</f>
        <v>618</v>
      </c>
      <c r="L510">
        <f ca="1">DAYS360(INDIRECT(C69&amp;ROW()),TODAY())</f>
        <v>725</v>
      </c>
      <c r="M510">
        <f ca="1">HYPERLINK(CONCATENATE("https://bugzilla.houston.hp.com:1181/bugzilla/show_bug.cgi?id=",INDIRECT(C70&amp;ROW())),INDIRECT(C70&amp;ROW()))</f>
        <v>61387</v>
      </c>
      <c r="N510">
        <v>61387</v>
      </c>
      <c r="O510" t="s">
        <v>187</v>
      </c>
      <c r="P510" t="s">
        <v>1424</v>
      </c>
      <c r="Q510" t="s">
        <v>25</v>
      </c>
      <c r="R510" t="s">
        <v>1425</v>
      </c>
      <c r="S510" t="s">
        <v>552</v>
      </c>
      <c r="T510" t="s">
        <v>1426</v>
      </c>
      <c r="U510" s="6">
        <v>42230.299375000002</v>
      </c>
      <c r="V510" t="s">
        <v>35</v>
      </c>
      <c r="W510" t="s">
        <v>1375</v>
      </c>
      <c r="X510" s="6">
        <v>42121.515555555554</v>
      </c>
      <c r="Y510" t="s">
        <v>125</v>
      </c>
      <c r="AB510" t="s">
        <v>201</v>
      </c>
      <c r="AC510" t="s">
        <v>247</v>
      </c>
      <c r="AD510" t="s">
        <v>220</v>
      </c>
      <c r="AE510" t="s">
        <v>219</v>
      </c>
      <c r="AG510" t="s">
        <v>121</v>
      </c>
      <c r="AH510" t="s">
        <v>327</v>
      </c>
      <c r="AI510" t="s">
        <v>121</v>
      </c>
      <c r="AJ510" t="s">
        <v>716</v>
      </c>
      <c r="AK510" t="s">
        <v>121</v>
      </c>
      <c r="AL510" t="s">
        <v>121</v>
      </c>
      <c r="AM510" t="s">
        <v>121</v>
      </c>
    </row>
    <row r="511" spans="9:39" x14ac:dyDescent="0.3">
      <c r="I511">
        <f ca="1">IF(OR(INDIRECT(A73&amp;ROW())=B93,INDIRECT(A73&amp;ROW())=B94),1,IF(AND(INDIRECT(A73&amp;ROW())=B95,INDIRECT(A96&amp;ROW())=C93),1,IF(AND(INDIRECT(A73&amp;ROW())=B95,INDIRECT(A96&amp;ROW())=C94),1,0)))</f>
        <v>0</v>
      </c>
      <c r="J511">
        <f ca="1">IF(AND(INDIRECT(A73&amp;ROW())=B95,INDIRECT(A96&amp;ROW())=C95),1,IF(AND(INDIRECT(A73&amp;ROW())=B95,INDIRECT(A96&amp;ROW())=C96),1,0))</f>
        <v>1</v>
      </c>
      <c r="K511">
        <f ca="1">DAYS360(INDIRECT(C68&amp;ROW()),TODAY())</f>
        <v>653</v>
      </c>
      <c r="L511">
        <f ca="1">DAYS360(INDIRECT(C69&amp;ROW()),TODAY())</f>
        <v>725</v>
      </c>
      <c r="M511">
        <f ca="1">HYPERLINK(CONCATENATE("https://bugzilla.houston.hp.com:1181/bugzilla/show_bug.cgi?id=",INDIRECT(C70&amp;ROW())),INDIRECT(C70&amp;ROW()))</f>
        <v>61403</v>
      </c>
      <c r="N511">
        <v>61403</v>
      </c>
      <c r="O511" t="s">
        <v>241</v>
      </c>
      <c r="P511" t="s">
        <v>978</v>
      </c>
      <c r="Q511" t="s">
        <v>25</v>
      </c>
      <c r="R511" t="s">
        <v>251</v>
      </c>
      <c r="S511" t="s">
        <v>52</v>
      </c>
      <c r="U511" s="6">
        <v>42194.623391203706</v>
      </c>
      <c r="V511" t="s">
        <v>18</v>
      </c>
      <c r="W511" t="s">
        <v>783</v>
      </c>
      <c r="X511" s="6">
        <v>42121.557916666665</v>
      </c>
      <c r="Y511" t="s">
        <v>119</v>
      </c>
      <c r="AB511" t="s">
        <v>201</v>
      </c>
      <c r="AC511" t="s">
        <v>247</v>
      </c>
      <c r="AD511" t="s">
        <v>222</v>
      </c>
      <c r="AE511" t="s">
        <v>221</v>
      </c>
      <c r="AG511" t="s">
        <v>121</v>
      </c>
      <c r="AH511" t="s">
        <v>327</v>
      </c>
      <c r="AI511" t="s">
        <v>121</v>
      </c>
      <c r="AJ511" t="s">
        <v>716</v>
      </c>
      <c r="AK511" t="s">
        <v>121</v>
      </c>
      <c r="AL511" t="s">
        <v>121</v>
      </c>
      <c r="AM511" t="s">
        <v>121</v>
      </c>
    </row>
    <row r="512" spans="9:39" x14ac:dyDescent="0.3">
      <c r="I512">
        <f ca="1">IF(OR(INDIRECT(A73&amp;ROW())=B93,INDIRECT(A73&amp;ROW())=B94),1,IF(AND(INDIRECT(A73&amp;ROW())=B95,INDIRECT(A96&amp;ROW())=C93),1,IF(AND(INDIRECT(A73&amp;ROW())=B95,INDIRECT(A96&amp;ROW())=C94),1,0)))</f>
        <v>0</v>
      </c>
      <c r="J512">
        <f ca="1">IF(AND(INDIRECT(A73&amp;ROW())=B95,INDIRECT(A96&amp;ROW())=C95),1,IF(AND(INDIRECT(A73&amp;ROW())=B95,INDIRECT(A96&amp;ROW())=C96),1,0))</f>
        <v>1</v>
      </c>
      <c r="K512">
        <f ca="1">DAYS360(INDIRECT(C68&amp;ROW()),TODAY())</f>
        <v>716</v>
      </c>
      <c r="L512">
        <f ca="1">DAYS360(INDIRECT(C69&amp;ROW()),TODAY())</f>
        <v>724</v>
      </c>
      <c r="M512">
        <f ca="1">HYPERLINK(CONCATENATE("https://bugzilla.houston.hp.com:1181/bugzilla/show_bug.cgi?id=",INDIRECT(C70&amp;ROW())),INDIRECT(C70&amp;ROW()))</f>
        <v>61422</v>
      </c>
      <c r="N512">
        <v>61422</v>
      </c>
      <c r="O512" t="s">
        <v>241</v>
      </c>
      <c r="P512" t="s">
        <v>977</v>
      </c>
      <c r="Q512" t="s">
        <v>25</v>
      </c>
      <c r="R512" t="s">
        <v>579</v>
      </c>
      <c r="S512" t="s">
        <v>552</v>
      </c>
      <c r="T512" t="s">
        <v>1007</v>
      </c>
      <c r="U512" s="6">
        <v>42130.313888888886</v>
      </c>
      <c r="V512" t="s">
        <v>18</v>
      </c>
      <c r="W512" t="s">
        <v>783</v>
      </c>
      <c r="X512" s="6">
        <v>42122.016122685185</v>
      </c>
      <c r="Y512" t="s">
        <v>119</v>
      </c>
      <c r="AB512" t="s">
        <v>201</v>
      </c>
      <c r="AC512" t="s">
        <v>247</v>
      </c>
      <c r="AD512" t="s">
        <v>222</v>
      </c>
      <c r="AE512" t="s">
        <v>221</v>
      </c>
      <c r="AG512" t="s">
        <v>121</v>
      </c>
      <c r="AH512" t="s">
        <v>327</v>
      </c>
      <c r="AI512" t="s">
        <v>121</v>
      </c>
      <c r="AJ512" t="s">
        <v>716</v>
      </c>
      <c r="AK512" t="s">
        <v>121</v>
      </c>
      <c r="AL512" t="s">
        <v>121</v>
      </c>
      <c r="AM512" t="s">
        <v>121</v>
      </c>
    </row>
    <row r="513" spans="9:39" x14ac:dyDescent="0.3">
      <c r="I513">
        <f ca="1">IF(OR(INDIRECT(A73&amp;ROW())=B93,INDIRECT(A73&amp;ROW())=B94),1,IF(AND(INDIRECT(A73&amp;ROW())=B95,INDIRECT(A96&amp;ROW())=C93),1,IF(AND(INDIRECT(A73&amp;ROW())=B95,INDIRECT(A96&amp;ROW())=C94),1,0)))</f>
        <v>0</v>
      </c>
      <c r="J513">
        <f ca="1">IF(AND(INDIRECT(A73&amp;ROW())=B95,INDIRECT(A96&amp;ROW())=C95),1,IF(AND(INDIRECT(A73&amp;ROW())=B95,INDIRECT(A96&amp;ROW())=C96),1,0))</f>
        <v>1</v>
      </c>
      <c r="K513">
        <f ca="1">DAYS360(INDIRECT(C68&amp;ROW()),TODAY())</f>
        <v>716</v>
      </c>
      <c r="L513">
        <f ca="1">DAYS360(INDIRECT(C69&amp;ROW()),TODAY())</f>
        <v>724</v>
      </c>
      <c r="M513">
        <f ca="1">HYPERLINK(CONCATENATE("https://bugzilla.houston.hp.com:1181/bugzilla/show_bug.cgi?id=",INDIRECT(C70&amp;ROW())),INDIRECT(C70&amp;ROW()))</f>
        <v>61424</v>
      </c>
      <c r="N513">
        <v>61424</v>
      </c>
      <c r="O513" t="s">
        <v>241</v>
      </c>
      <c r="P513" t="s">
        <v>975</v>
      </c>
      <c r="Q513" t="s">
        <v>25</v>
      </c>
      <c r="R513" t="s">
        <v>248</v>
      </c>
      <c r="S513" t="s">
        <v>552</v>
      </c>
      <c r="U513" s="6">
        <v>42130.354004629633</v>
      </c>
      <c r="V513" t="s">
        <v>18</v>
      </c>
      <c r="W513" t="s">
        <v>783</v>
      </c>
      <c r="X513" s="6">
        <v>42122.016284722224</v>
      </c>
      <c r="Y513" t="s">
        <v>119</v>
      </c>
      <c r="AB513" t="s">
        <v>201</v>
      </c>
      <c r="AC513" t="s">
        <v>247</v>
      </c>
      <c r="AD513" t="s">
        <v>222</v>
      </c>
      <c r="AE513" t="s">
        <v>221</v>
      </c>
      <c r="AG513" t="s">
        <v>121</v>
      </c>
      <c r="AH513" t="s">
        <v>327</v>
      </c>
      <c r="AI513" t="s">
        <v>121</v>
      </c>
      <c r="AJ513" t="s">
        <v>716</v>
      </c>
      <c r="AK513" t="s">
        <v>121</v>
      </c>
      <c r="AL513" t="s">
        <v>121</v>
      </c>
      <c r="AM513" t="s">
        <v>121</v>
      </c>
    </row>
    <row r="514" spans="9:39" x14ac:dyDescent="0.3">
      <c r="I514">
        <f ca="1">IF(OR(INDIRECT(A73&amp;ROW())=B93,INDIRECT(A73&amp;ROW())=B94),1,IF(AND(INDIRECT(A73&amp;ROW())=B95,INDIRECT(A96&amp;ROW())=C93),1,IF(AND(INDIRECT(A73&amp;ROW())=B95,INDIRECT(A96&amp;ROW())=C94),1,0)))</f>
        <v>0</v>
      </c>
      <c r="J514">
        <f ca="1">IF(AND(INDIRECT(A73&amp;ROW())=B95,INDIRECT(A96&amp;ROW())=C95),1,IF(AND(INDIRECT(A73&amp;ROW())=B95,INDIRECT(A96&amp;ROW())=C96),1,0))</f>
        <v>1</v>
      </c>
      <c r="K514">
        <f ca="1">DAYS360(INDIRECT(C68&amp;ROW()),TODAY())</f>
        <v>682</v>
      </c>
      <c r="L514">
        <f ca="1">DAYS360(INDIRECT(C69&amp;ROW()),TODAY())</f>
        <v>724</v>
      </c>
      <c r="M514">
        <f ca="1">HYPERLINK(CONCATENATE("https://bugzilla.houston.hp.com:1181/bugzilla/show_bug.cgi?id=",INDIRECT(C70&amp;ROW())),INDIRECT(C70&amp;ROW()))</f>
        <v>61468</v>
      </c>
      <c r="N514">
        <v>61468</v>
      </c>
      <c r="O514" t="s">
        <v>21</v>
      </c>
      <c r="P514" t="s">
        <v>988</v>
      </c>
      <c r="Q514" t="s">
        <v>25</v>
      </c>
      <c r="R514" t="s">
        <v>251</v>
      </c>
      <c r="S514" t="s">
        <v>177</v>
      </c>
      <c r="U514" s="6">
        <v>42165.65347222222</v>
      </c>
      <c r="V514" t="s">
        <v>18</v>
      </c>
      <c r="W514" t="s">
        <v>764</v>
      </c>
      <c r="X514" s="6">
        <v>42122.558807870373</v>
      </c>
      <c r="Y514" t="s">
        <v>245</v>
      </c>
      <c r="AB514" t="s">
        <v>201</v>
      </c>
      <c r="AC514" t="s">
        <v>247</v>
      </c>
      <c r="AD514" t="s">
        <v>222</v>
      </c>
      <c r="AE514" t="s">
        <v>232</v>
      </c>
      <c r="AG514" t="s">
        <v>121</v>
      </c>
      <c r="AH514" t="s">
        <v>327</v>
      </c>
      <c r="AI514" t="s">
        <v>121</v>
      </c>
      <c r="AJ514" t="s">
        <v>716</v>
      </c>
      <c r="AK514" t="s">
        <v>121</v>
      </c>
      <c r="AL514" t="s">
        <v>121</v>
      </c>
      <c r="AM514" t="s">
        <v>121</v>
      </c>
    </row>
    <row r="515" spans="9:39" x14ac:dyDescent="0.3">
      <c r="I515">
        <f ca="1">IF(OR(INDIRECT(A73&amp;ROW())=B93,INDIRECT(A73&amp;ROW())=B94),1,IF(AND(INDIRECT(A73&amp;ROW())=B95,INDIRECT(A96&amp;ROW())=C93),1,IF(AND(INDIRECT(A73&amp;ROW())=B95,INDIRECT(A96&amp;ROW())=C94),1,0)))</f>
        <v>0</v>
      </c>
      <c r="J515">
        <f ca="1">IF(AND(INDIRECT(A73&amp;ROW())=B95,INDIRECT(A96&amp;ROW())=C95),1,IF(AND(INDIRECT(A73&amp;ROW())=B95,INDIRECT(A96&amp;ROW())=C96),1,0))</f>
        <v>1</v>
      </c>
      <c r="K515">
        <f ca="1">DAYS360(INDIRECT(C68&amp;ROW()),TODAY())</f>
        <v>682</v>
      </c>
      <c r="L515">
        <f ca="1">DAYS360(INDIRECT(C69&amp;ROW()),TODAY())</f>
        <v>724</v>
      </c>
      <c r="M515">
        <f ca="1">HYPERLINK(CONCATENATE("https://bugzilla.houston.hp.com:1181/bugzilla/show_bug.cgi?id=",INDIRECT(C70&amp;ROW())),INDIRECT(C70&amp;ROW()))</f>
        <v>61474</v>
      </c>
      <c r="N515">
        <v>61474</v>
      </c>
      <c r="O515" t="s">
        <v>21</v>
      </c>
      <c r="P515" t="s">
        <v>987</v>
      </c>
      <c r="Q515" t="s">
        <v>25</v>
      </c>
      <c r="R515" t="s">
        <v>783</v>
      </c>
      <c r="S515" t="s">
        <v>552</v>
      </c>
      <c r="U515" s="6">
        <v>42165.577291666668</v>
      </c>
      <c r="V515" t="s">
        <v>18</v>
      </c>
      <c r="W515" t="s">
        <v>764</v>
      </c>
      <c r="X515" s="6">
        <v>42122.649710648147</v>
      </c>
      <c r="Y515" t="s">
        <v>245</v>
      </c>
      <c r="AB515" t="s">
        <v>201</v>
      </c>
      <c r="AC515" t="s">
        <v>247</v>
      </c>
      <c r="AD515" t="s">
        <v>222</v>
      </c>
      <c r="AE515" t="s">
        <v>232</v>
      </c>
      <c r="AG515" t="s">
        <v>121</v>
      </c>
      <c r="AH515" t="s">
        <v>327</v>
      </c>
      <c r="AI515" t="s">
        <v>121</v>
      </c>
      <c r="AJ515" t="s">
        <v>716</v>
      </c>
      <c r="AK515" t="s">
        <v>121</v>
      </c>
      <c r="AL515" t="s">
        <v>121</v>
      </c>
      <c r="AM515" t="s">
        <v>121</v>
      </c>
    </row>
    <row r="516" spans="9:39" x14ac:dyDescent="0.3">
      <c r="I516">
        <f ca="1">IF(OR(INDIRECT(A73&amp;ROW())=B93,INDIRECT(A73&amp;ROW())=B94),1,IF(AND(INDIRECT(A73&amp;ROW())=B95,INDIRECT(A96&amp;ROW())=C93),1,IF(AND(INDIRECT(A73&amp;ROW())=B95,INDIRECT(A96&amp;ROW())=C94),1,0)))</f>
        <v>0</v>
      </c>
      <c r="J516">
        <f ca="1">IF(AND(INDIRECT(A73&amp;ROW())=B95,INDIRECT(A96&amp;ROW())=C95),1,IF(AND(INDIRECT(A73&amp;ROW())=B95,INDIRECT(A96&amp;ROW())=C96),1,0))</f>
        <v>1</v>
      </c>
      <c r="K516">
        <f ca="1">DAYS360(INDIRECT(C68&amp;ROW()),TODAY())</f>
        <v>724</v>
      </c>
      <c r="L516">
        <f ca="1">DAYS360(INDIRECT(C69&amp;ROW()),TODAY())</f>
        <v>724</v>
      </c>
      <c r="M516">
        <f ca="1">HYPERLINK(CONCATENATE("https://bugzilla.houston.hp.com:1181/bugzilla/show_bug.cgi?id=",INDIRECT(C70&amp;ROW())),INDIRECT(C70&amp;ROW()))</f>
        <v>61475</v>
      </c>
      <c r="N516">
        <v>61475</v>
      </c>
      <c r="O516" t="s">
        <v>21</v>
      </c>
      <c r="P516" t="s">
        <v>986</v>
      </c>
      <c r="Q516" t="s">
        <v>25</v>
      </c>
      <c r="R516" t="s">
        <v>248</v>
      </c>
      <c r="S516" t="s">
        <v>552</v>
      </c>
      <c r="U516" s="6">
        <v>42122.649768518517</v>
      </c>
      <c r="V516" t="s">
        <v>18</v>
      </c>
      <c r="W516" t="s">
        <v>764</v>
      </c>
      <c r="X516" s="6">
        <v>42122.649768518517</v>
      </c>
      <c r="Y516" t="s">
        <v>245</v>
      </c>
      <c r="AB516" t="s">
        <v>201</v>
      </c>
      <c r="AC516" t="s">
        <v>247</v>
      </c>
      <c r="AD516" t="s">
        <v>222</v>
      </c>
      <c r="AE516" t="s">
        <v>232</v>
      </c>
      <c r="AG516" t="s">
        <v>121</v>
      </c>
      <c r="AH516" t="s">
        <v>327</v>
      </c>
      <c r="AI516" t="s">
        <v>121</v>
      </c>
      <c r="AJ516" t="s">
        <v>716</v>
      </c>
      <c r="AK516" t="s">
        <v>121</v>
      </c>
      <c r="AL516" t="s">
        <v>121</v>
      </c>
      <c r="AM516" t="s">
        <v>121</v>
      </c>
    </row>
    <row r="517" spans="9:39" x14ac:dyDescent="0.3">
      <c r="I517">
        <f ca="1">IF(OR(INDIRECT(A73&amp;ROW())=B93,INDIRECT(A73&amp;ROW())=B94),1,IF(AND(INDIRECT(A73&amp;ROW())=B95,INDIRECT(A96&amp;ROW())=C93),1,IF(AND(INDIRECT(A73&amp;ROW())=B95,INDIRECT(A96&amp;ROW())=C94),1,0)))</f>
        <v>1</v>
      </c>
      <c r="J517">
        <f ca="1">IF(AND(INDIRECT(A73&amp;ROW())=B95,INDIRECT(A96&amp;ROW())=C95),1,IF(AND(INDIRECT(A73&amp;ROW())=B95,INDIRECT(A96&amp;ROW())=C96),1,0))</f>
        <v>0</v>
      </c>
      <c r="K517">
        <f ca="1">DAYS360(INDIRECT(C68&amp;ROW()),TODAY())</f>
        <v>667</v>
      </c>
      <c r="L517">
        <f ca="1">DAYS360(INDIRECT(C69&amp;ROW()),TODAY())</f>
        <v>723</v>
      </c>
      <c r="M517">
        <f ca="1">HYPERLINK(CONCATENATE("https://bugzilla.houston.hp.com:1181/bugzilla/show_bug.cgi?id=",INDIRECT(C70&amp;ROW())),INDIRECT(C70&amp;ROW()))</f>
        <v>61543</v>
      </c>
      <c r="N517">
        <v>61543</v>
      </c>
      <c r="O517" t="s">
        <v>740</v>
      </c>
      <c r="P517" t="s">
        <v>1250</v>
      </c>
      <c r="Q517" t="s">
        <v>25</v>
      </c>
      <c r="R517" t="s">
        <v>251</v>
      </c>
      <c r="S517" t="s">
        <v>296</v>
      </c>
      <c r="U517" s="6">
        <v>42180.955682870372</v>
      </c>
      <c r="V517" t="s">
        <v>35</v>
      </c>
      <c r="W517" t="s">
        <v>17</v>
      </c>
      <c r="X517" s="6">
        <v>42123.449548611112</v>
      </c>
      <c r="Y517" t="s">
        <v>125</v>
      </c>
      <c r="AB517" t="s">
        <v>200</v>
      </c>
      <c r="AC517" t="s">
        <v>247</v>
      </c>
      <c r="AD517" t="s">
        <v>220</v>
      </c>
      <c r="AE517" t="s">
        <v>224</v>
      </c>
      <c r="AG517" t="s">
        <v>121</v>
      </c>
      <c r="AH517" t="s">
        <v>327</v>
      </c>
      <c r="AI517" t="s">
        <v>362</v>
      </c>
      <c r="AJ517" t="s">
        <v>715</v>
      </c>
      <c r="AK517" t="s">
        <v>121</v>
      </c>
      <c r="AL517" t="s">
        <v>121</v>
      </c>
      <c r="AM517" t="s">
        <v>121</v>
      </c>
    </row>
    <row r="518" spans="9:39" x14ac:dyDescent="0.3">
      <c r="I518">
        <f ca="1">IF(OR(INDIRECT(A73&amp;ROW())=B93,INDIRECT(A73&amp;ROW())=B94),1,IF(AND(INDIRECT(A73&amp;ROW())=B95,INDIRECT(A96&amp;ROW())=C93),1,IF(AND(INDIRECT(A73&amp;ROW())=B95,INDIRECT(A96&amp;ROW())=C94),1,0)))</f>
        <v>1</v>
      </c>
      <c r="J518">
        <f ca="1">IF(AND(INDIRECT(A73&amp;ROW())=B95,INDIRECT(A96&amp;ROW())=C95),1,IF(AND(INDIRECT(A73&amp;ROW())=B95,INDIRECT(A96&amp;ROW())=C96),1,0))</f>
        <v>0</v>
      </c>
      <c r="K518">
        <f ca="1">DAYS360(INDIRECT(C68&amp;ROW()),TODAY())</f>
        <v>683</v>
      </c>
      <c r="L518">
        <f ca="1">DAYS360(INDIRECT(C69&amp;ROW()),TODAY())</f>
        <v>723</v>
      </c>
      <c r="M518">
        <f ca="1">HYPERLINK(CONCATENATE("https://bugzilla.houston.hp.com:1181/bugzilla/show_bug.cgi?id=",INDIRECT(C70&amp;ROW())),INDIRECT(C70&amp;ROW()))</f>
        <v>61547</v>
      </c>
      <c r="N518">
        <v>61547</v>
      </c>
      <c r="O518" t="s">
        <v>43</v>
      </c>
      <c r="P518" t="s">
        <v>1248</v>
      </c>
      <c r="Q518" t="s">
        <v>25</v>
      </c>
      <c r="R518" t="s">
        <v>248</v>
      </c>
      <c r="S518" t="s">
        <v>552</v>
      </c>
      <c r="U518" s="6">
        <v>42164.448344907411</v>
      </c>
      <c r="V518" t="s">
        <v>18</v>
      </c>
      <c r="W518" t="s">
        <v>17</v>
      </c>
      <c r="X518" s="6">
        <v>42123.465532407405</v>
      </c>
      <c r="Y518" t="s">
        <v>125</v>
      </c>
      <c r="AB518" t="s">
        <v>200</v>
      </c>
      <c r="AC518" t="s">
        <v>247</v>
      </c>
      <c r="AD518" t="s">
        <v>220</v>
      </c>
      <c r="AE518" t="s">
        <v>224</v>
      </c>
      <c r="AG518" t="s">
        <v>121</v>
      </c>
      <c r="AH518" t="s">
        <v>327</v>
      </c>
      <c r="AI518" t="s">
        <v>121</v>
      </c>
      <c r="AJ518" t="s">
        <v>715</v>
      </c>
      <c r="AK518" t="s">
        <v>121</v>
      </c>
      <c r="AL518" t="s">
        <v>121</v>
      </c>
      <c r="AM518" t="s">
        <v>121</v>
      </c>
    </row>
    <row r="519" spans="9:39" x14ac:dyDescent="0.3">
      <c r="I519">
        <f ca="1">IF(OR(INDIRECT(A73&amp;ROW())=B93,INDIRECT(A73&amp;ROW())=B94),1,IF(AND(INDIRECT(A73&amp;ROW())=B95,INDIRECT(A96&amp;ROW())=C93),1,IF(AND(INDIRECT(A73&amp;ROW())=B95,INDIRECT(A96&amp;ROW())=C94),1,0)))</f>
        <v>0</v>
      </c>
      <c r="J519">
        <f ca="1">IF(AND(INDIRECT(A73&amp;ROW())=B95,INDIRECT(A96&amp;ROW())=C95),1,IF(AND(INDIRECT(A73&amp;ROW())=B95,INDIRECT(A96&amp;ROW())=C96),1,0))</f>
        <v>1</v>
      </c>
      <c r="K519">
        <f ca="1">DAYS360(INDIRECT(C68&amp;ROW()),TODAY())</f>
        <v>681</v>
      </c>
      <c r="L519">
        <f ca="1">DAYS360(INDIRECT(C69&amp;ROW()),TODAY())</f>
        <v>723</v>
      </c>
      <c r="M519">
        <f ca="1">HYPERLINK(CONCATENATE("https://bugzilla.houston.hp.com:1181/bugzilla/show_bug.cgi?id=",INDIRECT(C70&amp;ROW())),INDIRECT(C70&amp;ROW()))</f>
        <v>61555</v>
      </c>
      <c r="N519">
        <v>61555</v>
      </c>
      <c r="O519" t="s">
        <v>21</v>
      </c>
      <c r="P519" t="s">
        <v>997</v>
      </c>
      <c r="Q519" t="s">
        <v>25</v>
      </c>
      <c r="R519" t="s">
        <v>251</v>
      </c>
      <c r="S519" t="s">
        <v>365</v>
      </c>
      <c r="U519" s="6">
        <v>42166.567048611112</v>
      </c>
      <c r="V519" t="s">
        <v>18</v>
      </c>
      <c r="W519" t="s">
        <v>783</v>
      </c>
      <c r="X519" s="6">
        <v>42123.566493055558</v>
      </c>
      <c r="Y519" t="s">
        <v>246</v>
      </c>
      <c r="AB519" t="s">
        <v>201</v>
      </c>
      <c r="AC519" t="s">
        <v>247</v>
      </c>
      <c r="AD519" t="s">
        <v>227</v>
      </c>
      <c r="AE519" t="s">
        <v>237</v>
      </c>
      <c r="AG519" t="s">
        <v>121</v>
      </c>
      <c r="AH519" t="s">
        <v>327</v>
      </c>
      <c r="AI519" t="s">
        <v>121</v>
      </c>
      <c r="AJ519" t="s">
        <v>716</v>
      </c>
      <c r="AK519" t="s">
        <v>121</v>
      </c>
      <c r="AL519" t="s">
        <v>121</v>
      </c>
      <c r="AM519" t="s">
        <v>121</v>
      </c>
    </row>
    <row r="520" spans="9:39" x14ac:dyDescent="0.3">
      <c r="I520">
        <f ca="1">IF(OR(INDIRECT(A73&amp;ROW())=B93,INDIRECT(A73&amp;ROW())=B94),1,IF(AND(INDIRECT(A73&amp;ROW())=B95,INDIRECT(A96&amp;ROW())=C93),1,IF(AND(INDIRECT(A73&amp;ROW())=B95,INDIRECT(A96&amp;ROW())=C94),1,0)))</f>
        <v>0</v>
      </c>
      <c r="J520">
        <f ca="1">IF(AND(INDIRECT(A73&amp;ROW())=B95,INDIRECT(A96&amp;ROW())=C95),1,IF(AND(INDIRECT(A73&amp;ROW())=B95,INDIRECT(A96&amp;ROW())=C96),1,0))</f>
        <v>1</v>
      </c>
      <c r="K520">
        <f ca="1">DAYS360(INDIRECT(C68&amp;ROW()),TODAY())</f>
        <v>675</v>
      </c>
      <c r="L520">
        <f ca="1">DAYS360(INDIRECT(C69&amp;ROW()),TODAY())</f>
        <v>723</v>
      </c>
      <c r="M520">
        <f ca="1">HYPERLINK(CONCATENATE("https://bugzilla.houston.hp.com:1181/bugzilla/show_bug.cgi?id=",INDIRECT(C70&amp;ROW())),INDIRECT(C70&amp;ROW()))</f>
        <v>61557</v>
      </c>
      <c r="N520">
        <v>61557</v>
      </c>
      <c r="O520" t="s">
        <v>45</v>
      </c>
      <c r="P520" t="s">
        <v>996</v>
      </c>
      <c r="Q520" t="s">
        <v>25</v>
      </c>
      <c r="R520" t="s">
        <v>783</v>
      </c>
      <c r="S520" t="s">
        <v>552</v>
      </c>
      <c r="U520" s="6">
        <v>42172.478831018518</v>
      </c>
      <c r="V520" t="s">
        <v>18</v>
      </c>
      <c r="W520" t="s">
        <v>783</v>
      </c>
      <c r="X520" s="6">
        <v>42123.621203703704</v>
      </c>
      <c r="Y520" t="s">
        <v>246</v>
      </c>
      <c r="AB520" t="s">
        <v>201</v>
      </c>
      <c r="AC520" t="s">
        <v>247</v>
      </c>
      <c r="AD520" t="s">
        <v>227</v>
      </c>
      <c r="AE520" t="s">
        <v>237</v>
      </c>
      <c r="AG520" t="s">
        <v>121</v>
      </c>
      <c r="AH520" t="s">
        <v>327</v>
      </c>
      <c r="AI520" t="s">
        <v>121</v>
      </c>
      <c r="AJ520" t="s">
        <v>716</v>
      </c>
      <c r="AK520" t="s">
        <v>121</v>
      </c>
      <c r="AL520" t="s">
        <v>121</v>
      </c>
      <c r="AM520" t="s">
        <v>121</v>
      </c>
    </row>
    <row r="521" spans="9:39" x14ac:dyDescent="0.3">
      <c r="I521">
        <f ca="1">IF(OR(INDIRECT(A73&amp;ROW())=B93,INDIRECT(A73&amp;ROW())=B94),1,IF(AND(INDIRECT(A73&amp;ROW())=B95,INDIRECT(A96&amp;ROW())=C93),1,IF(AND(INDIRECT(A73&amp;ROW())=B95,INDIRECT(A96&amp;ROW())=C94),1,0)))</f>
        <v>0</v>
      </c>
      <c r="J521">
        <f ca="1">IF(AND(INDIRECT(A73&amp;ROW())=B95,INDIRECT(A96&amp;ROW())=C95),1,IF(AND(INDIRECT(A73&amp;ROW())=B95,INDIRECT(A96&amp;ROW())=C96),1,0))</f>
        <v>1</v>
      </c>
      <c r="K521">
        <f ca="1">DAYS360(INDIRECT(C68&amp;ROW()),TODAY())</f>
        <v>723</v>
      </c>
      <c r="L521">
        <f ca="1">DAYS360(INDIRECT(C69&amp;ROW()),TODAY())</f>
        <v>723</v>
      </c>
      <c r="M521">
        <f ca="1">HYPERLINK(CONCATENATE("https://bugzilla.houston.hp.com:1181/bugzilla/show_bug.cgi?id=",INDIRECT(C70&amp;ROW())),INDIRECT(C70&amp;ROW()))</f>
        <v>61558</v>
      </c>
      <c r="N521">
        <v>61558</v>
      </c>
      <c r="O521" t="s">
        <v>45</v>
      </c>
      <c r="P521" t="s">
        <v>995</v>
      </c>
      <c r="Q521" t="s">
        <v>25</v>
      </c>
      <c r="R521" t="s">
        <v>248</v>
      </c>
      <c r="S521" t="s">
        <v>552</v>
      </c>
      <c r="U521" s="6">
        <v>42123.621261574073</v>
      </c>
      <c r="V521" t="s">
        <v>18</v>
      </c>
      <c r="W521" t="s">
        <v>783</v>
      </c>
      <c r="X521" s="6">
        <v>42123.621261574073</v>
      </c>
      <c r="Y521" t="s">
        <v>246</v>
      </c>
      <c r="AB521" t="s">
        <v>201</v>
      </c>
      <c r="AC521" t="s">
        <v>247</v>
      </c>
      <c r="AD521" t="s">
        <v>227</v>
      </c>
      <c r="AE521" t="s">
        <v>237</v>
      </c>
      <c r="AG521" t="s">
        <v>121</v>
      </c>
      <c r="AH521" t="s">
        <v>327</v>
      </c>
      <c r="AI521" t="s">
        <v>121</v>
      </c>
      <c r="AJ521" t="s">
        <v>716</v>
      </c>
      <c r="AK521" t="s">
        <v>121</v>
      </c>
      <c r="AL521" t="s">
        <v>121</v>
      </c>
      <c r="AM521" t="s">
        <v>121</v>
      </c>
    </row>
    <row r="522" spans="9:39" x14ac:dyDescent="0.3">
      <c r="I522">
        <f ca="1">IF(OR(INDIRECT(A73&amp;ROW())=B93,INDIRECT(A73&amp;ROW())=B94),1,IF(AND(INDIRECT(A73&amp;ROW())=B95,INDIRECT(A96&amp;ROW())=C93),1,IF(AND(INDIRECT(A73&amp;ROW())=B95,INDIRECT(A96&amp;ROW())=C94),1,0)))</f>
        <v>1</v>
      </c>
      <c r="J522">
        <f ca="1">IF(AND(INDIRECT(A73&amp;ROW())=B95,INDIRECT(A96&amp;ROW())=C95),1,IF(AND(INDIRECT(A73&amp;ROW())=B95,INDIRECT(A96&amp;ROW())=C96),1,0))</f>
        <v>0</v>
      </c>
      <c r="K522">
        <f ca="1">DAYS360(INDIRECT(C68&amp;ROW()),TODAY())</f>
        <v>612</v>
      </c>
      <c r="L522">
        <f ca="1">DAYS360(INDIRECT(C69&amp;ROW()),TODAY())</f>
        <v>722</v>
      </c>
      <c r="M522">
        <f ca="1">HYPERLINK(CONCATENATE("https://bugzilla.houston.hp.com:1181/bugzilla/show_bug.cgi?id=",INDIRECT(C70&amp;ROW())),INDIRECT(C70&amp;ROW()))</f>
        <v>61593</v>
      </c>
      <c r="N522">
        <v>61593</v>
      </c>
      <c r="O522" t="s">
        <v>1428</v>
      </c>
      <c r="P522" t="s">
        <v>1427</v>
      </c>
      <c r="Q522" t="s">
        <v>38</v>
      </c>
      <c r="R522" t="s">
        <v>251</v>
      </c>
      <c r="S522" t="s">
        <v>1428</v>
      </c>
      <c r="U522" s="6">
        <v>42236.401412037034</v>
      </c>
      <c r="V522" t="s">
        <v>18</v>
      </c>
      <c r="W522" t="s">
        <v>248</v>
      </c>
      <c r="X522" s="6">
        <v>42124.113749999997</v>
      </c>
      <c r="Y522" t="s">
        <v>793</v>
      </c>
      <c r="AB522" t="s">
        <v>201</v>
      </c>
      <c r="AC522" t="s">
        <v>247</v>
      </c>
      <c r="AD522" t="s">
        <v>227</v>
      </c>
      <c r="AE522" t="s">
        <v>226</v>
      </c>
      <c r="AG522" t="s">
        <v>121</v>
      </c>
      <c r="AH522" t="s">
        <v>327</v>
      </c>
      <c r="AI522" t="s">
        <v>121</v>
      </c>
      <c r="AJ522" t="s">
        <v>715</v>
      </c>
      <c r="AK522" t="s">
        <v>121</v>
      </c>
      <c r="AL522" t="s">
        <v>121</v>
      </c>
      <c r="AM522" t="s">
        <v>121</v>
      </c>
    </row>
    <row r="523" spans="9:39" x14ac:dyDescent="0.3">
      <c r="I523">
        <f ca="1">IF(OR(INDIRECT(A73&amp;ROW())=B93,INDIRECT(A73&amp;ROW())=B94),1,IF(AND(INDIRECT(A73&amp;ROW())=B95,INDIRECT(A96&amp;ROW())=C93),1,IF(AND(INDIRECT(A73&amp;ROW())=B95,INDIRECT(A96&amp;ROW())=C94),1,0)))</f>
        <v>0</v>
      </c>
      <c r="J523">
        <f ca="1">IF(AND(INDIRECT(A73&amp;ROW())=B95,INDIRECT(A96&amp;ROW())=C95),1,IF(AND(INDIRECT(A73&amp;ROW())=B95,INDIRECT(A96&amp;ROW())=C96),1,0))</f>
        <v>0</v>
      </c>
      <c r="K523">
        <f ca="1">DAYS360(INDIRECT(C68&amp;ROW()),TODAY())</f>
        <v>681</v>
      </c>
      <c r="L523">
        <f ca="1">DAYS360(INDIRECT(C69&amp;ROW()),TODAY())</f>
        <v>722</v>
      </c>
      <c r="M523">
        <f ca="1">HYPERLINK(CONCATENATE("https://bugzilla.houston.hp.com:1181/bugzilla/show_bug.cgi?id=",INDIRECT(C70&amp;ROW())),INDIRECT(C70&amp;ROW()))</f>
        <v>61626</v>
      </c>
      <c r="N523">
        <v>61626</v>
      </c>
      <c r="O523" t="s">
        <v>241</v>
      </c>
      <c r="P523" t="s">
        <v>991</v>
      </c>
      <c r="Q523" t="s">
        <v>16</v>
      </c>
      <c r="R523" t="s">
        <v>251</v>
      </c>
      <c r="S523" t="s">
        <v>296</v>
      </c>
      <c r="T523" t="s">
        <v>794</v>
      </c>
      <c r="U523" s="6">
        <v>42166.569074074076</v>
      </c>
      <c r="V523" t="s">
        <v>18</v>
      </c>
      <c r="W523" t="s">
        <v>17</v>
      </c>
      <c r="X523" s="6">
        <v>42124.338078703702</v>
      </c>
      <c r="Y523" t="s">
        <v>122</v>
      </c>
      <c r="AB523" t="s">
        <v>200</v>
      </c>
      <c r="AC523" t="s">
        <v>933</v>
      </c>
      <c r="AD523" t="s">
        <v>222</v>
      </c>
      <c r="AE523" t="s">
        <v>221</v>
      </c>
      <c r="AG523" t="s">
        <v>121</v>
      </c>
      <c r="AH523" t="s">
        <v>327</v>
      </c>
      <c r="AI523" t="s">
        <v>121</v>
      </c>
      <c r="AJ523" t="s">
        <v>716</v>
      </c>
      <c r="AK523" t="s">
        <v>121</v>
      </c>
      <c r="AL523" t="s">
        <v>121</v>
      </c>
      <c r="AM523" t="s">
        <v>121</v>
      </c>
    </row>
    <row r="524" spans="9:39" x14ac:dyDescent="0.3">
      <c r="I524">
        <f ca="1">IF(OR(INDIRECT(A73&amp;ROW())=B93,INDIRECT(A73&amp;ROW())=B94),1,IF(AND(INDIRECT(A73&amp;ROW())=B95,INDIRECT(A96&amp;ROW())=C93),1,IF(AND(INDIRECT(A73&amp;ROW())=B95,INDIRECT(A96&amp;ROW())=C94),1,0)))</f>
        <v>0</v>
      </c>
      <c r="J524">
        <f ca="1">IF(AND(INDIRECT(A73&amp;ROW())=B95,INDIRECT(A96&amp;ROW())=C95),1,IF(AND(INDIRECT(A73&amp;ROW())=B95,INDIRECT(A96&amp;ROW())=C96),1,0))</f>
        <v>0</v>
      </c>
      <c r="K524">
        <f ca="1">DAYS360(INDIRECT(C68&amp;ROW()),TODAY())</f>
        <v>675</v>
      </c>
      <c r="L524">
        <f ca="1">DAYS360(INDIRECT(C69&amp;ROW()),TODAY())</f>
        <v>722</v>
      </c>
      <c r="M524">
        <f ca="1">HYPERLINK(CONCATENATE("https://bugzilla.houston.hp.com:1181/bugzilla/show_bug.cgi?id=",INDIRECT(C70&amp;ROW())),INDIRECT(C70&amp;ROW()))</f>
        <v>61630</v>
      </c>
      <c r="N524">
        <v>61630</v>
      </c>
      <c r="O524" t="s">
        <v>241</v>
      </c>
      <c r="P524" t="s">
        <v>990</v>
      </c>
      <c r="Q524" t="s">
        <v>16</v>
      </c>
      <c r="R524" t="s">
        <v>783</v>
      </c>
      <c r="S524" t="s">
        <v>552</v>
      </c>
      <c r="T524" t="s">
        <v>794</v>
      </c>
      <c r="U524" s="6">
        <v>42172.479513888888</v>
      </c>
      <c r="V524" t="s">
        <v>18</v>
      </c>
      <c r="W524" t="s">
        <v>17</v>
      </c>
      <c r="X524" s="6">
        <v>42124.355034722219</v>
      </c>
      <c r="Y524" t="s">
        <v>122</v>
      </c>
      <c r="AB524" t="s">
        <v>200</v>
      </c>
      <c r="AC524" t="s">
        <v>933</v>
      </c>
      <c r="AD524" t="s">
        <v>222</v>
      </c>
      <c r="AE524" t="s">
        <v>221</v>
      </c>
      <c r="AG524" t="s">
        <v>121</v>
      </c>
      <c r="AH524" t="s">
        <v>327</v>
      </c>
      <c r="AI524" t="s">
        <v>121</v>
      </c>
      <c r="AJ524" t="s">
        <v>716</v>
      </c>
      <c r="AK524" t="s">
        <v>121</v>
      </c>
      <c r="AL524" t="s">
        <v>121</v>
      </c>
      <c r="AM524" t="s">
        <v>121</v>
      </c>
    </row>
    <row r="525" spans="9:39" x14ac:dyDescent="0.3">
      <c r="I525">
        <f ca="1">IF(OR(INDIRECT(A73&amp;ROW())=B93,INDIRECT(A73&amp;ROW())=B94),1,IF(AND(INDIRECT(A73&amp;ROW())=B95,INDIRECT(A96&amp;ROW())=C93),1,IF(AND(INDIRECT(A73&amp;ROW())=B95,INDIRECT(A96&amp;ROW())=C94),1,0)))</f>
        <v>0</v>
      </c>
      <c r="J525">
        <f ca="1">IF(AND(INDIRECT(A73&amp;ROW())=B95,INDIRECT(A96&amp;ROW())=C95),1,IF(AND(INDIRECT(A73&amp;ROW())=B95,INDIRECT(A96&amp;ROW())=C96),1,0))</f>
        <v>0</v>
      </c>
      <c r="K525">
        <f ca="1">DAYS360(INDIRECT(C68&amp;ROW()),TODAY())</f>
        <v>721</v>
      </c>
      <c r="L525">
        <f ca="1">DAYS360(INDIRECT(C69&amp;ROW()),TODAY())</f>
        <v>722</v>
      </c>
      <c r="M525">
        <f ca="1">HYPERLINK(CONCATENATE("https://bugzilla.houston.hp.com:1181/bugzilla/show_bug.cgi?id=",INDIRECT(C70&amp;ROW())),INDIRECT(C70&amp;ROW()))</f>
        <v>61631</v>
      </c>
      <c r="N525">
        <v>61631</v>
      </c>
      <c r="O525" t="s">
        <v>241</v>
      </c>
      <c r="P525" t="s">
        <v>989</v>
      </c>
      <c r="Q525" t="s">
        <v>16</v>
      </c>
      <c r="R525" t="s">
        <v>248</v>
      </c>
      <c r="S525" t="s">
        <v>552</v>
      </c>
      <c r="T525" t="s">
        <v>794</v>
      </c>
      <c r="U525" s="6">
        <v>42125.283402777779</v>
      </c>
      <c r="V525" t="s">
        <v>18</v>
      </c>
      <c r="W525" t="s">
        <v>17</v>
      </c>
      <c r="X525" s="6">
        <v>42124.355138888888</v>
      </c>
      <c r="Y525" t="s">
        <v>122</v>
      </c>
      <c r="AB525" t="s">
        <v>200</v>
      </c>
      <c r="AC525" t="s">
        <v>933</v>
      </c>
      <c r="AD525" t="s">
        <v>222</v>
      </c>
      <c r="AE525" t="s">
        <v>221</v>
      </c>
      <c r="AG525" t="s">
        <v>121</v>
      </c>
      <c r="AH525" t="s">
        <v>327</v>
      </c>
      <c r="AI525" t="s">
        <v>121</v>
      </c>
      <c r="AJ525" t="s">
        <v>716</v>
      </c>
      <c r="AK525" t="s">
        <v>121</v>
      </c>
      <c r="AL525" t="s">
        <v>121</v>
      </c>
      <c r="AM525" t="s">
        <v>121</v>
      </c>
    </row>
    <row r="526" spans="9:39" x14ac:dyDescent="0.3">
      <c r="I526">
        <f ca="1">IF(OR(INDIRECT(A73&amp;ROW())=B93,INDIRECT(A73&amp;ROW())=B94),1,IF(AND(INDIRECT(A73&amp;ROW())=B95,INDIRECT(A96&amp;ROW())=C93),1,IF(AND(INDIRECT(A73&amp;ROW())=B95,INDIRECT(A96&amp;ROW())=C94),1,0)))</f>
        <v>0</v>
      </c>
      <c r="J526">
        <f ca="1">IF(AND(INDIRECT(A73&amp;ROW())=B95,INDIRECT(A96&amp;ROW())=C95),1,IF(AND(INDIRECT(A73&amp;ROW())=B95,INDIRECT(A96&amp;ROW())=C96),1,0))</f>
        <v>0</v>
      </c>
      <c r="K526">
        <f ca="1">DAYS360(INDIRECT(C68&amp;ROW()),TODAY())</f>
        <v>670</v>
      </c>
      <c r="L526">
        <f ca="1">DAYS360(INDIRECT(C69&amp;ROW()),TODAY())</f>
        <v>716</v>
      </c>
      <c r="M526">
        <f ca="1">HYPERLINK(CONCATENATE("https://bugzilla.houston.hp.com:1181/bugzilla/show_bug.cgi?id=",INDIRECT(C70&amp;ROW())),INDIRECT(C70&amp;ROW()))</f>
        <v>61875</v>
      </c>
      <c r="N526">
        <v>61875</v>
      </c>
      <c r="O526" t="s">
        <v>59</v>
      </c>
      <c r="P526" t="s">
        <v>1010</v>
      </c>
      <c r="Q526" t="s">
        <v>16</v>
      </c>
      <c r="R526" t="s">
        <v>251</v>
      </c>
      <c r="S526" t="s">
        <v>296</v>
      </c>
      <c r="U526" s="6">
        <v>42177.519224537034</v>
      </c>
      <c r="V526" t="s">
        <v>18</v>
      </c>
      <c r="W526" t="s">
        <v>17</v>
      </c>
      <c r="X526" s="6">
        <v>42130.171030092592</v>
      </c>
      <c r="Y526" t="s">
        <v>122</v>
      </c>
      <c r="AB526" t="s">
        <v>200</v>
      </c>
      <c r="AC526" t="s">
        <v>247</v>
      </c>
      <c r="AD526" t="s">
        <v>222</v>
      </c>
      <c r="AE526" t="s">
        <v>228</v>
      </c>
      <c r="AG526" t="s">
        <v>121</v>
      </c>
      <c r="AH526" t="s">
        <v>327</v>
      </c>
      <c r="AI526" t="s">
        <v>121</v>
      </c>
      <c r="AJ526" t="s">
        <v>716</v>
      </c>
      <c r="AK526" t="s">
        <v>121</v>
      </c>
      <c r="AL526" t="s">
        <v>121</v>
      </c>
      <c r="AM526" t="s">
        <v>121</v>
      </c>
    </row>
    <row r="527" spans="9:39" x14ac:dyDescent="0.3">
      <c r="I527">
        <f ca="1">IF(OR(INDIRECT(A73&amp;ROW())=B93,INDIRECT(A73&amp;ROW())=B94),1,IF(AND(INDIRECT(A73&amp;ROW())=B95,INDIRECT(A96&amp;ROW())=C93),1,IF(AND(INDIRECT(A73&amp;ROW())=B95,INDIRECT(A96&amp;ROW())=C94),1,0)))</f>
        <v>0</v>
      </c>
      <c r="J527">
        <f ca="1">IF(AND(INDIRECT(A73&amp;ROW())=B95,INDIRECT(A96&amp;ROW())=C95),1,IF(AND(INDIRECT(A73&amp;ROW())=B95,INDIRECT(A96&amp;ROW())=C96),1,0))</f>
        <v>0</v>
      </c>
      <c r="K527">
        <f ca="1">DAYS360(INDIRECT(C68&amp;ROW()),TODAY())</f>
        <v>670</v>
      </c>
      <c r="L527">
        <f ca="1">DAYS360(INDIRECT(C69&amp;ROW()),TODAY())</f>
        <v>716</v>
      </c>
      <c r="M527">
        <f ca="1">HYPERLINK(CONCATENATE("https://bugzilla.houston.hp.com:1181/bugzilla/show_bug.cgi?id=",INDIRECT(C70&amp;ROW())),INDIRECT(C70&amp;ROW()))</f>
        <v>61891</v>
      </c>
      <c r="N527">
        <v>61891</v>
      </c>
      <c r="O527" t="s">
        <v>59</v>
      </c>
      <c r="P527" t="s">
        <v>1009</v>
      </c>
      <c r="Q527" t="s">
        <v>16</v>
      </c>
      <c r="R527" t="s">
        <v>783</v>
      </c>
      <c r="S527" t="s">
        <v>552</v>
      </c>
      <c r="U527" s="6">
        <v>42177.556157407409</v>
      </c>
      <c r="V527" t="s">
        <v>18</v>
      </c>
      <c r="W527" t="s">
        <v>17</v>
      </c>
      <c r="X527" s="6">
        <v>42130.330787037034</v>
      </c>
      <c r="Y527" t="s">
        <v>122</v>
      </c>
      <c r="AB527" t="s">
        <v>200</v>
      </c>
      <c r="AC527" t="s">
        <v>247</v>
      </c>
      <c r="AD527" t="s">
        <v>222</v>
      </c>
      <c r="AE527" t="s">
        <v>228</v>
      </c>
      <c r="AG527" t="s">
        <v>121</v>
      </c>
      <c r="AH527" t="s">
        <v>327</v>
      </c>
      <c r="AI527" t="s">
        <v>121</v>
      </c>
      <c r="AJ527" t="s">
        <v>716</v>
      </c>
      <c r="AK527" t="s">
        <v>121</v>
      </c>
      <c r="AL527" t="s">
        <v>121</v>
      </c>
      <c r="AM527" t="s">
        <v>121</v>
      </c>
    </row>
    <row r="528" spans="9:39" x14ac:dyDescent="0.3">
      <c r="I528">
        <f ca="1">IF(OR(INDIRECT(A73&amp;ROW())=B93,INDIRECT(A73&amp;ROW())=B94),1,IF(AND(INDIRECT(A73&amp;ROW())=B95,INDIRECT(A96&amp;ROW())=C93),1,IF(AND(INDIRECT(A73&amp;ROW())=B95,INDIRECT(A96&amp;ROW())=C94),1,0)))</f>
        <v>0</v>
      </c>
      <c r="J528">
        <f ca="1">IF(AND(INDIRECT(A73&amp;ROW())=B95,INDIRECT(A96&amp;ROW())=C95),1,IF(AND(INDIRECT(A73&amp;ROW())=B95,INDIRECT(A96&amp;ROW())=C96),1,0))</f>
        <v>0</v>
      </c>
      <c r="K528">
        <f ca="1">DAYS360(INDIRECT(C68&amp;ROW()),TODAY())</f>
        <v>668</v>
      </c>
      <c r="L528">
        <f ca="1">DAYS360(INDIRECT(C69&amp;ROW()),TODAY())</f>
        <v>716</v>
      </c>
      <c r="M528">
        <f ca="1">HYPERLINK(CONCATENATE("https://bugzilla.houston.hp.com:1181/bugzilla/show_bug.cgi?id=",INDIRECT(C70&amp;ROW())),INDIRECT(C70&amp;ROW()))</f>
        <v>61892</v>
      </c>
      <c r="N528">
        <v>61892</v>
      </c>
      <c r="O528" t="s">
        <v>59</v>
      </c>
      <c r="P528" t="s">
        <v>1008</v>
      </c>
      <c r="Q528" t="s">
        <v>16</v>
      </c>
      <c r="R528" t="s">
        <v>248</v>
      </c>
      <c r="S528" t="s">
        <v>552</v>
      </c>
      <c r="U528" s="6">
        <v>42179.498993055553</v>
      </c>
      <c r="V528" t="s">
        <v>18</v>
      </c>
      <c r="W528" t="s">
        <v>17</v>
      </c>
      <c r="X528" s="6">
        <v>42130.330891203703</v>
      </c>
      <c r="Y528" t="s">
        <v>122</v>
      </c>
      <c r="AB528" t="s">
        <v>200</v>
      </c>
      <c r="AC528" t="s">
        <v>247</v>
      </c>
      <c r="AD528" t="s">
        <v>222</v>
      </c>
      <c r="AE528" t="s">
        <v>228</v>
      </c>
      <c r="AG528" t="s">
        <v>121</v>
      </c>
      <c r="AH528" t="s">
        <v>327</v>
      </c>
      <c r="AI528" t="s">
        <v>121</v>
      </c>
      <c r="AJ528" t="s">
        <v>716</v>
      </c>
      <c r="AK528" t="s">
        <v>121</v>
      </c>
      <c r="AL528" t="s">
        <v>121</v>
      </c>
      <c r="AM528" t="s">
        <v>121</v>
      </c>
    </row>
    <row r="529" spans="9:39" x14ac:dyDescent="0.3">
      <c r="I529">
        <f ca="1">IF(OR(INDIRECT(A73&amp;ROW())=B93,INDIRECT(A73&amp;ROW())=B94),1,IF(AND(INDIRECT(A73&amp;ROW())=B95,INDIRECT(A96&amp;ROW())=C93),1,IF(AND(INDIRECT(A73&amp;ROW())=B95,INDIRECT(A96&amp;ROW())=C94),1,0)))</f>
        <v>1</v>
      </c>
      <c r="J529">
        <f ca="1">IF(AND(INDIRECT(A73&amp;ROW())=B95,INDIRECT(A96&amp;ROW())=C95),1,IF(AND(INDIRECT(A73&amp;ROW())=B95,INDIRECT(A96&amp;ROW())=C96),1,0))</f>
        <v>0</v>
      </c>
      <c r="K529">
        <f ca="1">DAYS360(INDIRECT(C68&amp;ROW()),TODAY())</f>
        <v>690</v>
      </c>
      <c r="L529">
        <f ca="1">DAYS360(INDIRECT(C69&amp;ROW()),TODAY())</f>
        <v>716</v>
      </c>
      <c r="M529">
        <f ca="1">HYPERLINK(CONCATENATE("https://bugzilla.houston.hp.com:1181/bugzilla/show_bug.cgi?id=",INDIRECT(C70&amp;ROW())),INDIRECT(C70&amp;ROW()))</f>
        <v>61897</v>
      </c>
      <c r="N529">
        <v>61897</v>
      </c>
      <c r="O529" t="s">
        <v>241</v>
      </c>
      <c r="P529" t="s">
        <v>1015</v>
      </c>
      <c r="Q529" t="s">
        <v>39</v>
      </c>
      <c r="R529" t="s">
        <v>251</v>
      </c>
      <c r="S529" t="s">
        <v>296</v>
      </c>
      <c r="T529" t="s">
        <v>794</v>
      </c>
      <c r="U529" s="6">
        <v>42157.92628472222</v>
      </c>
      <c r="V529" t="s">
        <v>40</v>
      </c>
      <c r="W529" t="s">
        <v>17</v>
      </c>
      <c r="X529" s="6">
        <v>42130.374155092592</v>
      </c>
      <c r="Y529" t="s">
        <v>122</v>
      </c>
      <c r="AB529" t="s">
        <v>201</v>
      </c>
      <c r="AC529" t="s">
        <v>247</v>
      </c>
      <c r="AD529" t="s">
        <v>222</v>
      </c>
      <c r="AE529" t="s">
        <v>232</v>
      </c>
      <c r="AG529" t="s">
        <v>121</v>
      </c>
      <c r="AH529" t="s">
        <v>327</v>
      </c>
      <c r="AI529" t="s">
        <v>121</v>
      </c>
      <c r="AJ529" t="s">
        <v>715</v>
      </c>
      <c r="AK529" t="s">
        <v>121</v>
      </c>
      <c r="AL529" t="s">
        <v>121</v>
      </c>
      <c r="AM529" t="s">
        <v>121</v>
      </c>
    </row>
    <row r="530" spans="9:39" x14ac:dyDescent="0.3">
      <c r="I530">
        <f ca="1">IF(OR(INDIRECT(A73&amp;ROW())=B93,INDIRECT(A73&amp;ROW())=B94),1,IF(AND(INDIRECT(A73&amp;ROW())=B95,INDIRECT(A96&amp;ROW())=C93),1,IF(AND(INDIRECT(A73&amp;ROW())=B95,INDIRECT(A96&amp;ROW())=C94),1,0)))</f>
        <v>1</v>
      </c>
      <c r="J530">
        <f ca="1">IF(AND(INDIRECT(A73&amp;ROW())=B95,INDIRECT(A96&amp;ROW())=C95),1,IF(AND(INDIRECT(A73&amp;ROW())=B95,INDIRECT(A96&amp;ROW())=C96),1,0))</f>
        <v>0</v>
      </c>
      <c r="K530">
        <f ca="1">DAYS360(INDIRECT(C68&amp;ROW()),TODAY())</f>
        <v>641</v>
      </c>
      <c r="L530">
        <f ca="1">DAYS360(INDIRECT(C69&amp;ROW()),TODAY())</f>
        <v>716</v>
      </c>
      <c r="M530">
        <f ca="1">HYPERLINK(CONCATENATE("https://bugzilla.houston.hp.com:1181/bugzilla/show_bug.cgi?id=",INDIRECT(C70&amp;ROW())),INDIRECT(C70&amp;ROW()))</f>
        <v>61913</v>
      </c>
      <c r="N530">
        <v>61913</v>
      </c>
      <c r="O530" t="s">
        <v>241</v>
      </c>
      <c r="P530" t="s">
        <v>1014</v>
      </c>
      <c r="Q530" t="s">
        <v>39</v>
      </c>
      <c r="R530" t="s">
        <v>783</v>
      </c>
      <c r="S530" t="s">
        <v>552</v>
      </c>
      <c r="U530" s="6">
        <v>42206.114432870374</v>
      </c>
      <c r="V530" t="s">
        <v>40</v>
      </c>
      <c r="W530" t="s">
        <v>17</v>
      </c>
      <c r="X530" s="6">
        <v>42130.516365740739</v>
      </c>
      <c r="Y530" t="s">
        <v>122</v>
      </c>
      <c r="AB530" t="s">
        <v>201</v>
      </c>
      <c r="AC530" t="s">
        <v>247</v>
      </c>
      <c r="AD530" t="s">
        <v>222</v>
      </c>
      <c r="AE530" t="s">
        <v>232</v>
      </c>
      <c r="AG530" t="s">
        <v>337</v>
      </c>
      <c r="AH530" t="s">
        <v>327</v>
      </c>
      <c r="AI530" t="s">
        <v>362</v>
      </c>
      <c r="AJ530" t="s">
        <v>715</v>
      </c>
      <c r="AK530" t="s">
        <v>121</v>
      </c>
      <c r="AL530" t="s">
        <v>121</v>
      </c>
      <c r="AM530" t="s">
        <v>121</v>
      </c>
    </row>
    <row r="531" spans="9:39" x14ac:dyDescent="0.3">
      <c r="I531">
        <f ca="1">IF(OR(INDIRECT(A73&amp;ROW())=B93,INDIRECT(A73&amp;ROW())=B94),1,IF(AND(INDIRECT(A73&amp;ROW())=B95,INDIRECT(A96&amp;ROW())=C93),1,IF(AND(INDIRECT(A73&amp;ROW())=B95,INDIRECT(A96&amp;ROW())=C94),1,0)))</f>
        <v>1</v>
      </c>
      <c r="J531">
        <f ca="1">IF(AND(INDIRECT(A73&amp;ROW())=B95,INDIRECT(A96&amp;ROW())=C95),1,IF(AND(INDIRECT(A73&amp;ROW())=B95,INDIRECT(A96&amp;ROW())=C96),1,0))</f>
        <v>0</v>
      </c>
      <c r="K531">
        <f ca="1">DAYS360(INDIRECT(C68&amp;ROW()),TODAY())</f>
        <v>649</v>
      </c>
      <c r="L531">
        <f ca="1">DAYS360(INDIRECT(C69&amp;ROW()),TODAY())</f>
        <v>711</v>
      </c>
      <c r="M531">
        <f ca="1">HYPERLINK(CONCATENATE("https://bugzilla.houston.hp.com:1181/bugzilla/show_bug.cgi?id=",INDIRECT(C70&amp;ROW())),INDIRECT(C70&amp;ROW()))</f>
        <v>62165</v>
      </c>
      <c r="N531">
        <v>62165</v>
      </c>
      <c r="O531" t="s">
        <v>187</v>
      </c>
      <c r="P531" t="s">
        <v>1429</v>
      </c>
      <c r="Q531" t="s">
        <v>25</v>
      </c>
      <c r="R531" t="s">
        <v>251</v>
      </c>
      <c r="S531" t="s">
        <v>66</v>
      </c>
      <c r="U531" s="6">
        <v>42198.698819444442</v>
      </c>
      <c r="V531" t="s">
        <v>18</v>
      </c>
      <c r="W531" t="s">
        <v>248</v>
      </c>
      <c r="X531" s="6">
        <v>42135.4059837963</v>
      </c>
      <c r="Y531" t="s">
        <v>793</v>
      </c>
      <c r="AB531" t="s">
        <v>200</v>
      </c>
      <c r="AC531" t="s">
        <v>247</v>
      </c>
      <c r="AD531" t="s">
        <v>220</v>
      </c>
      <c r="AE531" t="s">
        <v>219</v>
      </c>
      <c r="AG531" t="s">
        <v>121</v>
      </c>
      <c r="AH531" t="s">
        <v>327</v>
      </c>
      <c r="AI531" t="s">
        <v>121</v>
      </c>
      <c r="AJ531" t="s">
        <v>715</v>
      </c>
      <c r="AK531" t="s">
        <v>121</v>
      </c>
      <c r="AL531" t="s">
        <v>121</v>
      </c>
      <c r="AM531" t="s">
        <v>121</v>
      </c>
    </row>
    <row r="532" spans="9:39" x14ac:dyDescent="0.3">
      <c r="I532">
        <f ca="1">IF(OR(INDIRECT(A73&amp;ROW())=B93,INDIRECT(A73&amp;ROW())=B94),1,IF(AND(INDIRECT(A73&amp;ROW())=B95,INDIRECT(A96&amp;ROW())=C93),1,IF(AND(INDIRECT(A73&amp;ROW())=B95,INDIRECT(A96&amp;ROW())=C94),1,0)))</f>
        <v>1</v>
      </c>
      <c r="J532">
        <f ca="1">IF(AND(INDIRECT(A73&amp;ROW())=B95,INDIRECT(A96&amp;ROW())=C95),1,IF(AND(INDIRECT(A73&amp;ROW())=B95,INDIRECT(A96&amp;ROW())=C96),1,0))</f>
        <v>0</v>
      </c>
      <c r="K532">
        <f ca="1">DAYS360(INDIRECT(C68&amp;ROW()),TODAY())</f>
        <v>687</v>
      </c>
      <c r="L532">
        <f ca="1">DAYS360(INDIRECT(C69&amp;ROW()),TODAY())</f>
        <v>711</v>
      </c>
      <c r="M532">
        <f ca="1">HYPERLINK(CONCATENATE("https://bugzilla.houston.hp.com:1181/bugzilla/show_bug.cgi?id=",INDIRECT(C70&amp;ROW())),INDIRECT(C70&amp;ROW()))</f>
        <v>62178</v>
      </c>
      <c r="N532">
        <v>62178</v>
      </c>
      <c r="O532" t="s">
        <v>56</v>
      </c>
      <c r="P532" t="s">
        <v>1022</v>
      </c>
      <c r="Q532" t="s">
        <v>25</v>
      </c>
      <c r="R532" t="s">
        <v>248</v>
      </c>
      <c r="S532" t="s">
        <v>552</v>
      </c>
      <c r="U532" s="6">
        <v>42160.493807870371</v>
      </c>
      <c r="V532" t="s">
        <v>18</v>
      </c>
      <c r="W532" t="s">
        <v>248</v>
      </c>
      <c r="X532" s="6">
        <v>42135.59039351852</v>
      </c>
      <c r="Y532" t="s">
        <v>793</v>
      </c>
      <c r="AB532" t="s">
        <v>200</v>
      </c>
      <c r="AC532" t="s">
        <v>247</v>
      </c>
      <c r="AD532" t="s">
        <v>220</v>
      </c>
      <c r="AE532" t="s">
        <v>219</v>
      </c>
      <c r="AG532" t="s">
        <v>121</v>
      </c>
      <c r="AH532" t="s">
        <v>327</v>
      </c>
      <c r="AI532" t="s">
        <v>121</v>
      </c>
      <c r="AJ532" t="s">
        <v>715</v>
      </c>
      <c r="AK532" t="s">
        <v>121</v>
      </c>
      <c r="AL532" t="s">
        <v>121</v>
      </c>
      <c r="AM532" t="s">
        <v>121</v>
      </c>
    </row>
    <row r="533" spans="9:39" x14ac:dyDescent="0.3">
      <c r="I533">
        <f ca="1">IF(OR(INDIRECT(A73&amp;ROW())=B93,INDIRECT(A73&amp;ROW())=B94),1,IF(AND(INDIRECT(A73&amp;ROW())=B95,INDIRECT(A96&amp;ROW())=C93),1,IF(AND(INDIRECT(A73&amp;ROW())=B95,INDIRECT(A96&amp;ROW())=C94),1,0)))</f>
        <v>1</v>
      </c>
      <c r="J533">
        <f ca="1">IF(AND(INDIRECT(A73&amp;ROW())=B95,INDIRECT(A96&amp;ROW())=C95),1,IF(AND(INDIRECT(A73&amp;ROW())=B95,INDIRECT(A96&amp;ROW())=C96),1,0))</f>
        <v>0</v>
      </c>
      <c r="K533">
        <f ca="1">DAYS360(INDIRECT(C68&amp;ROW()),TODAY())</f>
        <v>639</v>
      </c>
      <c r="L533">
        <f ca="1">DAYS360(INDIRECT(C69&amp;ROW()),TODAY())</f>
        <v>710</v>
      </c>
      <c r="M533">
        <f ca="1">HYPERLINK(CONCATENATE("https://bugzilla.houston.hp.com:1181/bugzilla/show_bug.cgi?id=",INDIRECT(C70&amp;ROW())),INDIRECT(C70&amp;ROW()))</f>
        <v>62223</v>
      </c>
      <c r="N533">
        <v>62223</v>
      </c>
      <c r="O533" t="s">
        <v>55</v>
      </c>
      <c r="P533" t="s">
        <v>1247</v>
      </c>
      <c r="Q533" t="s">
        <v>39</v>
      </c>
      <c r="R533" t="s">
        <v>579</v>
      </c>
      <c r="S533" t="s">
        <v>236</v>
      </c>
      <c r="T533" t="s">
        <v>1058</v>
      </c>
      <c r="U533" s="6">
        <v>42208.334976851853</v>
      </c>
      <c r="V533" t="s">
        <v>35</v>
      </c>
      <c r="W533" t="s">
        <v>783</v>
      </c>
      <c r="X533" s="6">
        <v>42136.32916666667</v>
      </c>
      <c r="Y533" t="s">
        <v>245</v>
      </c>
      <c r="AB533" t="s">
        <v>201</v>
      </c>
      <c r="AC533" t="s">
        <v>247</v>
      </c>
      <c r="AD533" t="s">
        <v>222</v>
      </c>
      <c r="AE533" t="s">
        <v>240</v>
      </c>
      <c r="AG533" t="s">
        <v>121</v>
      </c>
      <c r="AH533" t="s">
        <v>327</v>
      </c>
      <c r="AI533" t="s">
        <v>121</v>
      </c>
      <c r="AJ533" t="s">
        <v>715</v>
      </c>
      <c r="AK533" t="s">
        <v>121</v>
      </c>
      <c r="AL533" t="s">
        <v>121</v>
      </c>
      <c r="AM533" t="s">
        <v>121</v>
      </c>
    </row>
    <row r="534" spans="9:39" x14ac:dyDescent="0.3">
      <c r="I534">
        <f ca="1">IF(OR(INDIRECT(A73&amp;ROW())=B93,INDIRECT(A73&amp;ROW())=B94),1,IF(AND(INDIRECT(A73&amp;ROW())=B95,INDIRECT(A96&amp;ROW())=C93),1,IF(AND(INDIRECT(A73&amp;ROW())=B95,INDIRECT(A96&amp;ROW())=C94),1,0)))</f>
        <v>1</v>
      </c>
      <c r="J534">
        <f ca="1">IF(AND(INDIRECT(A73&amp;ROW())=B95,INDIRECT(A96&amp;ROW())=C95),1,IF(AND(INDIRECT(A73&amp;ROW())=B95,INDIRECT(A96&amp;ROW())=C96),1,0))</f>
        <v>0</v>
      </c>
      <c r="K534">
        <f ca="1">DAYS360(INDIRECT(C68&amp;ROW()),TODAY())</f>
        <v>622</v>
      </c>
      <c r="L534">
        <f ca="1">DAYS360(INDIRECT(C69&amp;ROW()),TODAY())</f>
        <v>710</v>
      </c>
      <c r="M534">
        <f ca="1">HYPERLINK(CONCATENATE("https://bugzilla.houston.hp.com:1181/bugzilla/show_bug.cgi?id=",INDIRECT(C70&amp;ROW())),INDIRECT(C70&amp;ROW()))</f>
        <v>62224</v>
      </c>
      <c r="N534">
        <v>62224</v>
      </c>
      <c r="O534" t="s">
        <v>55</v>
      </c>
      <c r="P534" t="s">
        <v>1246</v>
      </c>
      <c r="Q534" t="s">
        <v>39</v>
      </c>
      <c r="R534" t="s">
        <v>783</v>
      </c>
      <c r="S534" t="s">
        <v>236</v>
      </c>
      <c r="T534" t="s">
        <v>1058</v>
      </c>
      <c r="U534" s="6">
        <v>42226.729687500003</v>
      </c>
      <c r="V534" t="s">
        <v>35</v>
      </c>
      <c r="W534" t="s">
        <v>783</v>
      </c>
      <c r="X534" s="6">
        <v>42136.329282407409</v>
      </c>
      <c r="Y534" t="s">
        <v>245</v>
      </c>
      <c r="Z534" t="s">
        <v>255</v>
      </c>
      <c r="AB534" t="s">
        <v>200</v>
      </c>
      <c r="AC534" t="s">
        <v>247</v>
      </c>
      <c r="AD534" t="s">
        <v>222</v>
      </c>
      <c r="AE534" t="s">
        <v>240</v>
      </c>
      <c r="AG534" t="s">
        <v>1327</v>
      </c>
      <c r="AH534" t="s">
        <v>327</v>
      </c>
      <c r="AI534" t="s">
        <v>1328</v>
      </c>
      <c r="AJ534" t="s">
        <v>715</v>
      </c>
      <c r="AK534" t="s">
        <v>121</v>
      </c>
      <c r="AL534" t="s">
        <v>121</v>
      </c>
      <c r="AM534" t="s">
        <v>121</v>
      </c>
    </row>
    <row r="535" spans="9:39" x14ac:dyDescent="0.3">
      <c r="I535">
        <f ca="1">IF(OR(INDIRECT(A73&amp;ROW())=B93,INDIRECT(A73&amp;ROW())=B94),1,IF(AND(INDIRECT(A73&amp;ROW())=B95,INDIRECT(A96&amp;ROW())=C93),1,IF(AND(INDIRECT(A73&amp;ROW())=B95,INDIRECT(A96&amp;ROW())=C94),1,0)))</f>
        <v>1</v>
      </c>
      <c r="J535">
        <f ca="1">IF(AND(INDIRECT(A73&amp;ROW())=B95,INDIRECT(A96&amp;ROW())=C95),1,IF(AND(INDIRECT(A73&amp;ROW())=B95,INDIRECT(A96&amp;ROW())=C96),1,0))</f>
        <v>0</v>
      </c>
      <c r="K535">
        <f ca="1">DAYS360(INDIRECT(C68&amp;ROW()),TODAY())</f>
        <v>681</v>
      </c>
      <c r="L535">
        <f ca="1">DAYS360(INDIRECT(C69&amp;ROW()),TODAY())</f>
        <v>710</v>
      </c>
      <c r="M535">
        <f ca="1">HYPERLINK(CONCATENATE("https://bugzilla.houston.hp.com:1181/bugzilla/show_bug.cgi?id=",INDIRECT(C70&amp;ROW())),INDIRECT(C70&amp;ROW()))</f>
        <v>62225</v>
      </c>
      <c r="N535">
        <v>62225</v>
      </c>
      <c r="O535" t="s">
        <v>55</v>
      </c>
      <c r="P535" t="s">
        <v>1245</v>
      </c>
      <c r="Q535" t="s">
        <v>39</v>
      </c>
      <c r="R535" t="s">
        <v>248</v>
      </c>
      <c r="S535" t="s">
        <v>236</v>
      </c>
      <c r="T535" t="s">
        <v>1058</v>
      </c>
      <c r="U535" s="6">
        <v>42166.357604166667</v>
      </c>
      <c r="V535" t="s">
        <v>35</v>
      </c>
      <c r="W535" t="s">
        <v>783</v>
      </c>
      <c r="X535" s="6">
        <v>42136.329375000001</v>
      </c>
      <c r="Y535" t="s">
        <v>245</v>
      </c>
      <c r="AB535" t="s">
        <v>201</v>
      </c>
      <c r="AC535" t="s">
        <v>247</v>
      </c>
      <c r="AD535" t="s">
        <v>222</v>
      </c>
      <c r="AE535" t="s">
        <v>240</v>
      </c>
      <c r="AG535" t="s">
        <v>121</v>
      </c>
      <c r="AH535" t="s">
        <v>327</v>
      </c>
      <c r="AI535" t="s">
        <v>121</v>
      </c>
      <c r="AJ535" t="s">
        <v>715</v>
      </c>
      <c r="AK535" t="s">
        <v>121</v>
      </c>
      <c r="AL535" t="s">
        <v>121</v>
      </c>
      <c r="AM535" t="s">
        <v>121</v>
      </c>
    </row>
    <row r="536" spans="9:39" x14ac:dyDescent="0.3">
      <c r="I536">
        <f ca="1">IF(OR(INDIRECT(A73&amp;ROW())=B93,INDIRECT(A73&amp;ROW())=B94),1,IF(AND(INDIRECT(A73&amp;ROW())=B95,INDIRECT(A96&amp;ROW())=C93),1,IF(AND(INDIRECT(A73&amp;ROW())=B95,INDIRECT(A96&amp;ROW())=C94),1,0)))</f>
        <v>1</v>
      </c>
      <c r="J536">
        <f ca="1">IF(AND(INDIRECT(A73&amp;ROW())=B95,INDIRECT(A96&amp;ROW())=C95),1,IF(AND(INDIRECT(A73&amp;ROW())=B95,INDIRECT(A96&amp;ROW())=C96),1,0))</f>
        <v>0</v>
      </c>
      <c r="K536">
        <f ca="1">DAYS360(INDIRECT(C68&amp;ROW()),TODAY())</f>
        <v>639</v>
      </c>
      <c r="L536">
        <f ca="1">DAYS360(INDIRECT(C69&amp;ROW()),TODAY())</f>
        <v>710</v>
      </c>
      <c r="M536">
        <f ca="1">HYPERLINK(CONCATENATE("https://bugzilla.houston.hp.com:1181/bugzilla/show_bug.cgi?id=",INDIRECT(C70&amp;ROW())),INDIRECT(C70&amp;ROW()))</f>
        <v>62266</v>
      </c>
      <c r="N536">
        <v>62266</v>
      </c>
      <c r="O536" t="s">
        <v>203</v>
      </c>
      <c r="P536" t="s">
        <v>1430</v>
      </c>
      <c r="Q536" t="s">
        <v>25</v>
      </c>
      <c r="R536" t="s">
        <v>1389</v>
      </c>
      <c r="S536" t="s">
        <v>552</v>
      </c>
      <c r="T536" t="s">
        <v>1431</v>
      </c>
      <c r="U536" s="6">
        <v>42208.295868055553</v>
      </c>
      <c r="V536" t="s">
        <v>35</v>
      </c>
      <c r="W536" t="s">
        <v>57</v>
      </c>
      <c r="X536" s="6">
        <v>42136.578449074077</v>
      </c>
      <c r="Y536" t="s">
        <v>1026</v>
      </c>
      <c r="AB536" t="s">
        <v>200</v>
      </c>
      <c r="AC536" t="s">
        <v>247</v>
      </c>
      <c r="AD536" t="s">
        <v>220</v>
      </c>
      <c r="AE536" t="s">
        <v>290</v>
      </c>
      <c r="AG536" t="s">
        <v>121</v>
      </c>
      <c r="AH536" t="s">
        <v>327</v>
      </c>
      <c r="AI536" t="s">
        <v>121</v>
      </c>
      <c r="AJ536" t="s">
        <v>715</v>
      </c>
      <c r="AK536" t="s">
        <v>121</v>
      </c>
      <c r="AL536" t="s">
        <v>121</v>
      </c>
      <c r="AM536" t="s">
        <v>121</v>
      </c>
    </row>
    <row r="537" spans="9:39" x14ac:dyDescent="0.3">
      <c r="I537">
        <f ca="1">IF(OR(INDIRECT(A73&amp;ROW())=B93,INDIRECT(A73&amp;ROW())=B94),1,IF(AND(INDIRECT(A73&amp;ROW())=B95,INDIRECT(A96&amp;ROW())=C93),1,IF(AND(INDIRECT(A73&amp;ROW())=B95,INDIRECT(A96&amp;ROW())=C94),1,0)))</f>
        <v>1</v>
      </c>
      <c r="J537">
        <f ca="1">IF(AND(INDIRECT(A73&amp;ROW())=B95,INDIRECT(A96&amp;ROW())=C95),1,IF(AND(INDIRECT(A73&amp;ROW())=B95,INDIRECT(A96&amp;ROW())=C96),1,0))</f>
        <v>0</v>
      </c>
      <c r="K537">
        <f ca="1">DAYS360(INDIRECT(C68&amp;ROW()),TODAY())</f>
        <v>622</v>
      </c>
      <c r="L537">
        <f ca="1">DAYS360(INDIRECT(C69&amp;ROW()),TODAY())</f>
        <v>710</v>
      </c>
      <c r="M537">
        <f ca="1">HYPERLINK(CONCATENATE("https://bugzilla.houston.hp.com:1181/bugzilla/show_bug.cgi?id=",INDIRECT(C70&amp;ROW())),INDIRECT(C70&amp;ROW()))</f>
        <v>62271</v>
      </c>
      <c r="N537">
        <v>62271</v>
      </c>
      <c r="O537" t="s">
        <v>203</v>
      </c>
      <c r="P537" t="s">
        <v>1432</v>
      </c>
      <c r="Q537" t="s">
        <v>25</v>
      </c>
      <c r="R537" t="s">
        <v>1375</v>
      </c>
      <c r="S537" t="s">
        <v>552</v>
      </c>
      <c r="T537" t="s">
        <v>1433</v>
      </c>
      <c r="U537" s="6">
        <v>42226.328148148146</v>
      </c>
      <c r="V537" t="s">
        <v>35</v>
      </c>
      <c r="W537" t="s">
        <v>57</v>
      </c>
      <c r="X537" s="6">
        <v>42136.578750000001</v>
      </c>
      <c r="Y537" t="s">
        <v>1026</v>
      </c>
      <c r="AB537" t="s">
        <v>200</v>
      </c>
      <c r="AC537" t="s">
        <v>247</v>
      </c>
      <c r="AD537" t="s">
        <v>220</v>
      </c>
      <c r="AE537" t="s">
        <v>290</v>
      </c>
      <c r="AG537" t="s">
        <v>121</v>
      </c>
      <c r="AH537" t="s">
        <v>327</v>
      </c>
      <c r="AI537" t="s">
        <v>121</v>
      </c>
      <c r="AJ537" t="s">
        <v>715</v>
      </c>
      <c r="AK537" t="s">
        <v>121</v>
      </c>
      <c r="AL537" t="s">
        <v>121</v>
      </c>
      <c r="AM537" t="s">
        <v>121</v>
      </c>
    </row>
    <row r="538" spans="9:39" x14ac:dyDescent="0.3">
      <c r="I538">
        <f ca="1">IF(OR(INDIRECT(A73&amp;ROW())=B93,INDIRECT(A73&amp;ROW())=B94),1,IF(AND(INDIRECT(A73&amp;ROW())=B95,INDIRECT(A96&amp;ROW())=C93),1,IF(AND(INDIRECT(A73&amp;ROW())=B95,INDIRECT(A96&amp;ROW())=C94),1,0)))</f>
        <v>0</v>
      </c>
      <c r="J538">
        <f ca="1">IF(AND(INDIRECT(A73&amp;ROW())=B95,INDIRECT(A96&amp;ROW())=C95),1,IF(AND(INDIRECT(A73&amp;ROW())=B95,INDIRECT(A96&amp;ROW())=C96),1,0))</f>
        <v>1</v>
      </c>
      <c r="K538">
        <f ca="1">DAYS360(INDIRECT(C68&amp;ROW()),TODAY())</f>
        <v>679</v>
      </c>
      <c r="L538">
        <f ca="1">DAYS360(INDIRECT(C69&amp;ROW()),TODAY())</f>
        <v>710</v>
      </c>
      <c r="M538">
        <f ca="1">HYPERLINK(CONCATENATE("https://bugzilla.houston.hp.com:1181/bugzilla/show_bug.cgi?id=",INDIRECT(C70&amp;ROW())),INDIRECT(C70&amp;ROW()))</f>
        <v>62278</v>
      </c>
      <c r="N538">
        <v>62278</v>
      </c>
      <c r="O538" t="s">
        <v>56</v>
      </c>
      <c r="P538" t="s">
        <v>1434</v>
      </c>
      <c r="Q538" t="s">
        <v>25</v>
      </c>
      <c r="R538" t="s">
        <v>1389</v>
      </c>
      <c r="S538" t="s">
        <v>552</v>
      </c>
      <c r="U538" s="6">
        <v>42168.387453703705</v>
      </c>
      <c r="V538" t="s">
        <v>18</v>
      </c>
      <c r="W538" t="s">
        <v>1419</v>
      </c>
      <c r="X538" s="6">
        <v>42136.596365740741</v>
      </c>
      <c r="Y538" t="s">
        <v>535</v>
      </c>
      <c r="AB538" t="s">
        <v>201</v>
      </c>
      <c r="AC538" t="s">
        <v>247</v>
      </c>
      <c r="AD538" t="s">
        <v>222</v>
      </c>
      <c r="AE538" t="s">
        <v>232</v>
      </c>
      <c r="AG538" t="s">
        <v>121</v>
      </c>
      <c r="AH538" t="s">
        <v>327</v>
      </c>
      <c r="AI538" t="s">
        <v>121</v>
      </c>
      <c r="AJ538" t="s">
        <v>716</v>
      </c>
      <c r="AK538" t="s">
        <v>121</v>
      </c>
      <c r="AL538" t="s">
        <v>121</v>
      </c>
      <c r="AM538" t="s">
        <v>121</v>
      </c>
    </row>
    <row r="539" spans="9:39" x14ac:dyDescent="0.3">
      <c r="I539">
        <f ca="1">IF(OR(INDIRECT(A73&amp;ROW())=B93,INDIRECT(A73&amp;ROW())=B94),1,IF(AND(INDIRECT(A73&amp;ROW())=B95,INDIRECT(A96&amp;ROW())=C93),1,IF(AND(INDIRECT(A73&amp;ROW())=B95,INDIRECT(A96&amp;ROW())=C94),1,0)))</f>
        <v>1</v>
      </c>
      <c r="J539">
        <f ca="1">IF(AND(INDIRECT(A73&amp;ROW())=B95,INDIRECT(A96&amp;ROW())=C95),1,IF(AND(INDIRECT(A73&amp;ROW())=B95,INDIRECT(A96&amp;ROW())=C96),1,0))</f>
        <v>0</v>
      </c>
      <c r="K539">
        <f ca="1">DAYS360(INDIRECT(C68&amp;ROW()),TODAY())</f>
        <v>612</v>
      </c>
      <c r="L539">
        <f ca="1">DAYS360(INDIRECT(C69&amp;ROW()),TODAY())</f>
        <v>710</v>
      </c>
      <c r="M539">
        <f ca="1">HYPERLINK(CONCATENATE("https://bugzilla.houston.hp.com:1181/bugzilla/show_bug.cgi?id=",INDIRECT(C70&amp;ROW())),INDIRECT(C70&amp;ROW()))</f>
        <v>62279</v>
      </c>
      <c r="N539">
        <v>62279</v>
      </c>
      <c r="O539" t="s">
        <v>1428</v>
      </c>
      <c r="P539" t="s">
        <v>1036</v>
      </c>
      <c r="Q539" t="s">
        <v>38</v>
      </c>
      <c r="R539" t="s">
        <v>248</v>
      </c>
      <c r="S539" t="s">
        <v>552</v>
      </c>
      <c r="U539" s="6">
        <v>42236.40587962963</v>
      </c>
      <c r="V539" t="s">
        <v>18</v>
      </c>
      <c r="W539" t="s">
        <v>248</v>
      </c>
      <c r="X539" s="6">
        <v>42136.598391203705</v>
      </c>
      <c r="Y539" t="s">
        <v>793</v>
      </c>
      <c r="AB539" t="s">
        <v>201</v>
      </c>
      <c r="AC539" t="s">
        <v>247</v>
      </c>
      <c r="AD539" t="s">
        <v>227</v>
      </c>
      <c r="AE539" t="s">
        <v>226</v>
      </c>
      <c r="AG539" t="s">
        <v>121</v>
      </c>
      <c r="AH539" t="s">
        <v>327</v>
      </c>
      <c r="AI539" t="s">
        <v>121</v>
      </c>
      <c r="AJ539" t="s">
        <v>715</v>
      </c>
      <c r="AK539" t="s">
        <v>121</v>
      </c>
      <c r="AL539" t="s">
        <v>121</v>
      </c>
      <c r="AM539" t="s">
        <v>121</v>
      </c>
    </row>
    <row r="540" spans="9:39" x14ac:dyDescent="0.3">
      <c r="I540">
        <f ca="1">IF(OR(INDIRECT(A73&amp;ROW())=B93,INDIRECT(A73&amp;ROW())=B94),1,IF(AND(INDIRECT(A73&amp;ROW())=B95,INDIRECT(A96&amp;ROW())=C93),1,IF(AND(INDIRECT(A73&amp;ROW())=B95,INDIRECT(A96&amp;ROW())=C94),1,0)))</f>
        <v>0</v>
      </c>
      <c r="J540">
        <f ca="1">IF(AND(INDIRECT(A73&amp;ROW())=B95,INDIRECT(A96&amp;ROW())=C95),1,IF(AND(INDIRECT(A73&amp;ROW())=B95,INDIRECT(A96&amp;ROW())=C96),1,0))</f>
        <v>1</v>
      </c>
      <c r="K540">
        <f ca="1">DAYS360(INDIRECT(C68&amp;ROW()),TODAY())</f>
        <v>710</v>
      </c>
      <c r="L540">
        <f ca="1">DAYS360(INDIRECT(C69&amp;ROW()),TODAY())</f>
        <v>710</v>
      </c>
      <c r="M540">
        <f ca="1">HYPERLINK(CONCATENATE("https://bugzilla.houston.hp.com:1181/bugzilla/show_bug.cgi?id=",INDIRECT(C70&amp;ROW())),INDIRECT(C70&amp;ROW()))</f>
        <v>62282</v>
      </c>
      <c r="N540">
        <v>62282</v>
      </c>
      <c r="O540" t="s">
        <v>53</v>
      </c>
      <c r="P540" t="s">
        <v>1035</v>
      </c>
      <c r="Q540" t="s">
        <v>25</v>
      </c>
      <c r="R540" t="s">
        <v>248</v>
      </c>
      <c r="S540" t="s">
        <v>552</v>
      </c>
      <c r="U540" s="6">
        <v>42136.615694444445</v>
      </c>
      <c r="V540" t="s">
        <v>18</v>
      </c>
      <c r="W540" t="s">
        <v>17</v>
      </c>
      <c r="X540" s="6">
        <v>42136.615694444445</v>
      </c>
      <c r="Y540" t="s">
        <v>118</v>
      </c>
      <c r="AB540" t="s">
        <v>201</v>
      </c>
      <c r="AC540" t="s">
        <v>1027</v>
      </c>
      <c r="AD540" t="s">
        <v>220</v>
      </c>
      <c r="AE540" t="s">
        <v>219</v>
      </c>
      <c r="AG540" t="s">
        <v>121</v>
      </c>
      <c r="AH540" t="s">
        <v>327</v>
      </c>
      <c r="AI540" t="s">
        <v>121</v>
      </c>
      <c r="AJ540" t="s">
        <v>716</v>
      </c>
      <c r="AK540" t="s">
        <v>121</v>
      </c>
      <c r="AL540" t="s">
        <v>121</v>
      </c>
      <c r="AM540" t="s">
        <v>121</v>
      </c>
    </row>
    <row r="541" spans="9:39" x14ac:dyDescent="0.3">
      <c r="I541">
        <f ca="1">IF(OR(INDIRECT(A73&amp;ROW())=B93,INDIRECT(A73&amp;ROW())=B94),1,IF(AND(INDIRECT(A73&amp;ROW())=B95,INDIRECT(A96&amp;ROW())=C93),1,IF(AND(INDIRECT(A73&amp;ROW())=B95,INDIRECT(A96&amp;ROW())=C94),1,0)))</f>
        <v>0</v>
      </c>
      <c r="J541">
        <f ca="1">IF(AND(INDIRECT(A73&amp;ROW())=B95,INDIRECT(A96&amp;ROW())=C95),1,IF(AND(INDIRECT(A73&amp;ROW())=B95,INDIRECT(A96&amp;ROW())=C96),1,0))</f>
        <v>1</v>
      </c>
      <c r="K541">
        <f ca="1">DAYS360(INDIRECT(C68&amp;ROW()),TODAY())</f>
        <v>690</v>
      </c>
      <c r="L541">
        <f ca="1">DAYS360(INDIRECT(C69&amp;ROW()),TODAY())</f>
        <v>710</v>
      </c>
      <c r="M541">
        <f ca="1">HYPERLINK(CONCATENATE("https://bugzilla.houston.hp.com:1181/bugzilla/show_bug.cgi?id=",INDIRECT(C70&amp;ROW())),INDIRECT(C70&amp;ROW()))</f>
        <v>62284</v>
      </c>
      <c r="N541">
        <v>62284</v>
      </c>
      <c r="O541" t="s">
        <v>66</v>
      </c>
      <c r="P541" t="s">
        <v>1034</v>
      </c>
      <c r="Q541" t="s">
        <v>25</v>
      </c>
      <c r="R541" t="s">
        <v>783</v>
      </c>
      <c r="S541" t="s">
        <v>552</v>
      </c>
      <c r="T541" t="s">
        <v>794</v>
      </c>
      <c r="U541" s="6">
        <v>42157.1171412037</v>
      </c>
      <c r="V541" t="s">
        <v>18</v>
      </c>
      <c r="W541" t="s">
        <v>17</v>
      </c>
      <c r="X541" s="6">
        <v>42136.619583333333</v>
      </c>
      <c r="Y541" t="s">
        <v>119</v>
      </c>
      <c r="AB541" t="s">
        <v>201</v>
      </c>
      <c r="AC541" t="s">
        <v>247</v>
      </c>
      <c r="AD541" t="s">
        <v>220</v>
      </c>
      <c r="AE541" t="s">
        <v>223</v>
      </c>
      <c r="AG541" t="s">
        <v>121</v>
      </c>
      <c r="AH541" t="s">
        <v>64</v>
      </c>
      <c r="AI541" t="s">
        <v>121</v>
      </c>
      <c r="AJ541" t="s">
        <v>716</v>
      </c>
      <c r="AK541" t="s">
        <v>121</v>
      </c>
      <c r="AL541" t="s">
        <v>121</v>
      </c>
      <c r="AM541" t="s">
        <v>121</v>
      </c>
    </row>
    <row r="542" spans="9:39" x14ac:dyDescent="0.3">
      <c r="I542">
        <f ca="1">IF(OR(INDIRECT(A73&amp;ROW())=B93,INDIRECT(A73&amp;ROW())=B94),1,IF(AND(INDIRECT(A73&amp;ROW())=B95,INDIRECT(A96&amp;ROW())=C93),1,IF(AND(INDIRECT(A73&amp;ROW())=B95,INDIRECT(A96&amp;ROW())=C94),1,0)))</f>
        <v>0</v>
      </c>
      <c r="J542">
        <f ca="1">IF(AND(INDIRECT(A73&amp;ROW())=B95,INDIRECT(A96&amp;ROW())=C95),1,IF(AND(INDIRECT(A73&amp;ROW())=B95,INDIRECT(A96&amp;ROW())=C96),1,0))</f>
        <v>1</v>
      </c>
      <c r="K542">
        <f ca="1">DAYS360(INDIRECT(C68&amp;ROW()),TODAY())</f>
        <v>690</v>
      </c>
      <c r="L542">
        <f ca="1">DAYS360(INDIRECT(C69&amp;ROW()),TODAY())</f>
        <v>710</v>
      </c>
      <c r="M542">
        <f ca="1">HYPERLINK(CONCATENATE("https://bugzilla.houston.hp.com:1181/bugzilla/show_bug.cgi?id=",INDIRECT(C70&amp;ROW())),INDIRECT(C70&amp;ROW()))</f>
        <v>62285</v>
      </c>
      <c r="N542">
        <v>62285</v>
      </c>
      <c r="O542" t="s">
        <v>66</v>
      </c>
      <c r="P542" t="s">
        <v>1033</v>
      </c>
      <c r="Q542" t="s">
        <v>25</v>
      </c>
      <c r="R542" t="s">
        <v>248</v>
      </c>
      <c r="S542" t="s">
        <v>552</v>
      </c>
      <c r="T542" t="s">
        <v>794</v>
      </c>
      <c r="U542" s="6">
        <v>42157.117662037039</v>
      </c>
      <c r="V542" t="s">
        <v>18</v>
      </c>
      <c r="W542" t="s">
        <v>17</v>
      </c>
      <c r="X542" s="6">
        <v>42136.619699074072</v>
      </c>
      <c r="Y542" t="s">
        <v>119</v>
      </c>
      <c r="AB542" t="s">
        <v>201</v>
      </c>
      <c r="AC542" t="s">
        <v>247</v>
      </c>
      <c r="AD542" t="s">
        <v>220</v>
      </c>
      <c r="AE542" t="s">
        <v>223</v>
      </c>
      <c r="AG542" t="s">
        <v>121</v>
      </c>
      <c r="AH542" t="s">
        <v>64</v>
      </c>
      <c r="AI542" t="s">
        <v>121</v>
      </c>
      <c r="AJ542" t="s">
        <v>716</v>
      </c>
      <c r="AK542" t="s">
        <v>121</v>
      </c>
      <c r="AL542" t="s">
        <v>121</v>
      </c>
      <c r="AM542" t="s">
        <v>121</v>
      </c>
    </row>
    <row r="543" spans="9:39" x14ac:dyDescent="0.3">
      <c r="I543">
        <f ca="1">IF(OR(INDIRECT(A73&amp;ROW())=B93,INDIRECT(A73&amp;ROW())=B94),1,IF(AND(INDIRECT(A73&amp;ROW())=B95,INDIRECT(A96&amp;ROW())=C93),1,IF(AND(INDIRECT(A73&amp;ROW())=B95,INDIRECT(A96&amp;ROW())=C94),1,0)))</f>
        <v>1</v>
      </c>
      <c r="J543">
        <f ca="1">IF(AND(INDIRECT(A73&amp;ROW())=B95,INDIRECT(A96&amp;ROW())=C95),1,IF(AND(INDIRECT(A73&amp;ROW())=B95,INDIRECT(A96&amp;ROW())=C96),1,0))</f>
        <v>0</v>
      </c>
      <c r="K543">
        <f ca="1">DAYS360(INDIRECT(C68&amp;ROW()),TODAY())</f>
        <v>710</v>
      </c>
      <c r="L543">
        <f ca="1">DAYS360(INDIRECT(C69&amp;ROW()),TODAY())</f>
        <v>710</v>
      </c>
      <c r="M543">
        <f ca="1">HYPERLINK(CONCATENATE("https://bugzilla.houston.hp.com:1181/bugzilla/show_bug.cgi?id=",INDIRECT(C70&amp;ROW())),INDIRECT(C70&amp;ROW()))</f>
        <v>62287</v>
      </c>
      <c r="N543">
        <v>62287</v>
      </c>
      <c r="O543" t="s">
        <v>1359</v>
      </c>
      <c r="P543" t="s">
        <v>1435</v>
      </c>
      <c r="Q543" t="s">
        <v>39</v>
      </c>
      <c r="R543" t="s">
        <v>1375</v>
      </c>
      <c r="S543" t="s">
        <v>552</v>
      </c>
      <c r="U543" s="6">
        <v>42136.621701388889</v>
      </c>
      <c r="V543" t="s">
        <v>18</v>
      </c>
      <c r="W543" t="s">
        <v>1375</v>
      </c>
      <c r="X543" s="6">
        <v>42136.621701388889</v>
      </c>
      <c r="Y543" t="s">
        <v>122</v>
      </c>
      <c r="AB543" t="s">
        <v>201</v>
      </c>
      <c r="AC543" t="s">
        <v>247</v>
      </c>
      <c r="AD543" t="s">
        <v>220</v>
      </c>
      <c r="AE543" t="s">
        <v>223</v>
      </c>
      <c r="AG543" t="s">
        <v>121</v>
      </c>
      <c r="AH543" t="s">
        <v>327</v>
      </c>
      <c r="AI543" t="s">
        <v>121</v>
      </c>
      <c r="AJ543" t="s">
        <v>715</v>
      </c>
      <c r="AK543" t="s">
        <v>121</v>
      </c>
      <c r="AL543" t="s">
        <v>121</v>
      </c>
      <c r="AM543" t="s">
        <v>121</v>
      </c>
    </row>
    <row r="544" spans="9:39" x14ac:dyDescent="0.3">
      <c r="I544">
        <f ca="1">IF(OR(INDIRECT(A73&amp;ROW())=B93,INDIRECT(A73&amp;ROW())=B94),1,IF(AND(INDIRECT(A73&amp;ROW())=B95,INDIRECT(A96&amp;ROW())=C93),1,IF(AND(INDIRECT(A73&amp;ROW())=B95,INDIRECT(A96&amp;ROW())=C94),1,0)))</f>
        <v>0</v>
      </c>
      <c r="J544">
        <f ca="1">IF(AND(INDIRECT(A73&amp;ROW())=B95,INDIRECT(A96&amp;ROW())=C95),1,IF(AND(INDIRECT(A73&amp;ROW())=B95,INDIRECT(A96&amp;ROW())=C96),1,0))</f>
        <v>0</v>
      </c>
      <c r="K544">
        <f ca="1">DAYS360(INDIRECT(C68&amp;ROW()),TODAY())</f>
        <v>710</v>
      </c>
      <c r="L544">
        <f ca="1">DAYS360(INDIRECT(C69&amp;ROW()),TODAY())</f>
        <v>710</v>
      </c>
      <c r="M544">
        <f ca="1">HYPERLINK(CONCATENATE("https://bugzilla.houston.hp.com:1181/bugzilla/show_bug.cgi?id=",INDIRECT(C70&amp;ROW())),INDIRECT(C70&amp;ROW()))</f>
        <v>62291</v>
      </c>
      <c r="N544">
        <v>62291</v>
      </c>
      <c r="O544" t="s">
        <v>56</v>
      </c>
      <c r="P544" t="s">
        <v>1436</v>
      </c>
      <c r="Q544" t="s">
        <v>16</v>
      </c>
      <c r="R544" t="s">
        <v>1375</v>
      </c>
      <c r="S544" t="s">
        <v>552</v>
      </c>
      <c r="T544" t="s">
        <v>794</v>
      </c>
      <c r="U544" s="6">
        <v>42136.627465277779</v>
      </c>
      <c r="V544" t="s">
        <v>18</v>
      </c>
      <c r="W544" t="s">
        <v>173</v>
      </c>
      <c r="X544" s="6">
        <v>42136.627465277779</v>
      </c>
      <c r="Y544" t="s">
        <v>122</v>
      </c>
      <c r="AB544" t="s">
        <v>201</v>
      </c>
      <c r="AC544" t="s">
        <v>121</v>
      </c>
      <c r="AD544" t="s">
        <v>220</v>
      </c>
      <c r="AE544" t="s">
        <v>223</v>
      </c>
      <c r="AG544" t="s">
        <v>121</v>
      </c>
      <c r="AH544" t="s">
        <v>327</v>
      </c>
      <c r="AI544" t="s">
        <v>121</v>
      </c>
      <c r="AJ544" t="s">
        <v>717</v>
      </c>
      <c r="AK544" t="s">
        <v>121</v>
      </c>
      <c r="AL544" t="s">
        <v>121</v>
      </c>
      <c r="AM544" t="s">
        <v>121</v>
      </c>
    </row>
    <row r="545" spans="9:39" x14ac:dyDescent="0.3">
      <c r="I545">
        <f ca="1">IF(OR(INDIRECT(A73&amp;ROW())=B93,INDIRECT(A73&amp;ROW())=B94),1,IF(AND(INDIRECT(A73&amp;ROW())=B95,INDIRECT(A96&amp;ROW())=C93),1,IF(AND(INDIRECT(A73&amp;ROW())=B95,INDIRECT(A96&amp;ROW())=C94),1,0)))</f>
        <v>0</v>
      </c>
      <c r="J545">
        <f ca="1">IF(AND(INDIRECT(A73&amp;ROW())=B95,INDIRECT(A96&amp;ROW())=C95),1,IF(AND(INDIRECT(A73&amp;ROW())=B95,INDIRECT(A96&amp;ROW())=C96),1,0))</f>
        <v>0</v>
      </c>
      <c r="K545">
        <f ca="1">DAYS360(INDIRECT(C68&amp;ROW()),TODAY())</f>
        <v>710</v>
      </c>
      <c r="L545">
        <f ca="1">DAYS360(INDIRECT(C69&amp;ROW()),TODAY())</f>
        <v>710</v>
      </c>
      <c r="M545">
        <f ca="1">HYPERLINK(CONCATENATE("https://bugzilla.houston.hp.com:1181/bugzilla/show_bug.cgi?id=",INDIRECT(C70&amp;ROW())),INDIRECT(C70&amp;ROW()))</f>
        <v>62294</v>
      </c>
      <c r="N545">
        <v>62294</v>
      </c>
      <c r="O545" t="s">
        <v>66</v>
      </c>
      <c r="P545" t="s">
        <v>1032</v>
      </c>
      <c r="Q545" t="s">
        <v>16</v>
      </c>
      <c r="R545" t="s">
        <v>248</v>
      </c>
      <c r="S545" t="s">
        <v>552</v>
      </c>
      <c r="U545" s="6">
        <v>42136.635416666664</v>
      </c>
      <c r="V545" t="s">
        <v>18</v>
      </c>
      <c r="W545" t="s">
        <v>17</v>
      </c>
      <c r="X545" s="6">
        <v>42136.635416666664</v>
      </c>
      <c r="Y545" t="s">
        <v>255</v>
      </c>
      <c r="AB545" t="s">
        <v>201</v>
      </c>
      <c r="AC545" t="s">
        <v>247</v>
      </c>
      <c r="AD545" t="s">
        <v>220</v>
      </c>
      <c r="AE545" t="s">
        <v>219</v>
      </c>
      <c r="AG545" t="s">
        <v>121</v>
      </c>
      <c r="AH545" t="s">
        <v>327</v>
      </c>
      <c r="AI545" t="s">
        <v>121</v>
      </c>
      <c r="AJ545" t="s">
        <v>716</v>
      </c>
      <c r="AK545" t="s">
        <v>121</v>
      </c>
      <c r="AL545" t="s">
        <v>121</v>
      </c>
      <c r="AM545" t="s">
        <v>121</v>
      </c>
    </row>
    <row r="546" spans="9:39" x14ac:dyDescent="0.3">
      <c r="I546">
        <f ca="1">IF(OR(INDIRECT(A73&amp;ROW())=B93,INDIRECT(A73&amp;ROW())=B94),1,IF(AND(INDIRECT(A73&amp;ROW())=B95,INDIRECT(A96&amp;ROW())=C93),1,IF(AND(INDIRECT(A73&amp;ROW())=B95,INDIRECT(A96&amp;ROW())=C94),1,0)))</f>
        <v>0</v>
      </c>
      <c r="J546">
        <f ca="1">IF(AND(INDIRECT(A73&amp;ROW())=B95,INDIRECT(A96&amp;ROW())=C95),1,IF(AND(INDIRECT(A73&amp;ROW())=B95,INDIRECT(A96&amp;ROW())=C96),1,0))</f>
        <v>0</v>
      </c>
      <c r="K546">
        <f ca="1">DAYS360(INDIRECT(C68&amp;ROW()),TODAY())</f>
        <v>710</v>
      </c>
      <c r="L546">
        <f ca="1">DAYS360(INDIRECT(C69&amp;ROW()),TODAY())</f>
        <v>710</v>
      </c>
      <c r="M546">
        <f ca="1">HYPERLINK(CONCATENATE("https://bugzilla.houston.hp.com:1181/bugzilla/show_bug.cgi?id=",INDIRECT(C70&amp;ROW())),INDIRECT(C70&amp;ROW()))</f>
        <v>62296</v>
      </c>
      <c r="N546">
        <v>62296</v>
      </c>
      <c r="O546" t="s">
        <v>43</v>
      </c>
      <c r="P546" t="s">
        <v>1031</v>
      </c>
      <c r="Q546" t="s">
        <v>16</v>
      </c>
      <c r="R546" t="s">
        <v>248</v>
      </c>
      <c r="S546" t="s">
        <v>552</v>
      </c>
      <c r="T546" t="s">
        <v>794</v>
      </c>
      <c r="U546" s="6">
        <v>42136.636666666665</v>
      </c>
      <c r="V546" t="s">
        <v>18</v>
      </c>
      <c r="W546" t="s">
        <v>17</v>
      </c>
      <c r="X546" s="6">
        <v>42136.636666666665</v>
      </c>
      <c r="Y546" t="s">
        <v>124</v>
      </c>
      <c r="AB546" t="s">
        <v>201</v>
      </c>
      <c r="AC546" t="s">
        <v>247</v>
      </c>
      <c r="AD546" t="s">
        <v>220</v>
      </c>
      <c r="AE546" t="s">
        <v>219</v>
      </c>
      <c r="AG546" t="s">
        <v>121</v>
      </c>
      <c r="AH546" t="s">
        <v>327</v>
      </c>
      <c r="AI546" t="s">
        <v>121</v>
      </c>
      <c r="AJ546" t="s">
        <v>717</v>
      </c>
      <c r="AK546" t="s">
        <v>121</v>
      </c>
      <c r="AL546" t="s">
        <v>121</v>
      </c>
      <c r="AM546" t="s">
        <v>121</v>
      </c>
    </row>
    <row r="547" spans="9:39" x14ac:dyDescent="0.3">
      <c r="I547">
        <f ca="1">IF(OR(INDIRECT(A73&amp;ROW())=B93,INDIRECT(A73&amp;ROW())=B94),1,IF(AND(INDIRECT(A73&amp;ROW())=B95,INDIRECT(A96&amp;ROW())=C93),1,IF(AND(INDIRECT(A73&amp;ROW())=B95,INDIRECT(A96&amp;ROW())=C94),1,0)))</f>
        <v>0</v>
      </c>
      <c r="J547">
        <f ca="1">IF(AND(INDIRECT(A73&amp;ROW())=B95,INDIRECT(A96&amp;ROW())=C95),1,IF(AND(INDIRECT(A73&amp;ROW())=B95,INDIRECT(A96&amp;ROW())=C96),1,0))</f>
        <v>1</v>
      </c>
      <c r="K547">
        <f ca="1">DAYS360(INDIRECT(C68&amp;ROW()),TODAY())</f>
        <v>709</v>
      </c>
      <c r="L547">
        <f ca="1">DAYS360(INDIRECT(C69&amp;ROW()),TODAY())</f>
        <v>709</v>
      </c>
      <c r="M547">
        <f ca="1">HYPERLINK(CONCATENATE("https://bugzilla.houston.hp.com:1181/bugzilla/show_bug.cgi?id=",INDIRECT(C70&amp;ROW())),INDIRECT(C70&amp;ROW()))</f>
        <v>62359</v>
      </c>
      <c r="N547">
        <v>62359</v>
      </c>
      <c r="O547" t="s">
        <v>22</v>
      </c>
      <c r="P547" t="s">
        <v>1057</v>
      </c>
      <c r="Q547" t="s">
        <v>25</v>
      </c>
      <c r="R547" t="s">
        <v>251</v>
      </c>
      <c r="S547" t="s">
        <v>44</v>
      </c>
      <c r="U547" s="6">
        <v>42137.510567129626</v>
      </c>
      <c r="V547" t="s">
        <v>18</v>
      </c>
      <c r="W547" t="s">
        <v>783</v>
      </c>
      <c r="X547" s="6">
        <v>42137.476770833331</v>
      </c>
      <c r="Y547" t="s">
        <v>118</v>
      </c>
      <c r="AB547" t="s">
        <v>201</v>
      </c>
      <c r="AC547" t="s">
        <v>247</v>
      </c>
      <c r="AD547" t="s">
        <v>222</v>
      </c>
      <c r="AE547" t="s">
        <v>221</v>
      </c>
      <c r="AG547" t="s">
        <v>121</v>
      </c>
      <c r="AH547" t="s">
        <v>327</v>
      </c>
      <c r="AI547" t="s">
        <v>121</v>
      </c>
      <c r="AJ547" t="s">
        <v>716</v>
      </c>
      <c r="AK547" t="s">
        <v>121</v>
      </c>
      <c r="AL547" t="s">
        <v>121</v>
      </c>
      <c r="AM547" t="s">
        <v>121</v>
      </c>
    </row>
    <row r="548" spans="9:39" x14ac:dyDescent="0.3">
      <c r="I548">
        <f ca="1">IF(OR(INDIRECT(A73&amp;ROW())=B93,INDIRECT(A73&amp;ROW())=B94),1,IF(AND(INDIRECT(A73&amp;ROW())=B95,INDIRECT(A96&amp;ROW())=C93),1,IF(AND(INDIRECT(A73&amp;ROW())=B95,INDIRECT(A96&amp;ROW())=C94),1,0)))</f>
        <v>0</v>
      </c>
      <c r="J548">
        <f ca="1">IF(AND(INDIRECT(A73&amp;ROW())=B95,INDIRECT(A96&amp;ROW())=C95),1,IF(AND(INDIRECT(A73&amp;ROW())=B95,INDIRECT(A96&amp;ROW())=C96),1,0))</f>
        <v>1</v>
      </c>
      <c r="K548">
        <f ca="1">DAYS360(INDIRECT(C68&amp;ROW()),TODAY())</f>
        <v>709</v>
      </c>
      <c r="L548">
        <f ca="1">DAYS360(INDIRECT(C69&amp;ROW()),TODAY())</f>
        <v>709</v>
      </c>
      <c r="M548">
        <f ca="1">HYPERLINK(CONCATENATE("https://bugzilla.houston.hp.com:1181/bugzilla/show_bug.cgi?id=",INDIRECT(C70&amp;ROW())),INDIRECT(C70&amp;ROW()))</f>
        <v>62363</v>
      </c>
      <c r="N548">
        <v>62363</v>
      </c>
      <c r="O548" t="s">
        <v>22</v>
      </c>
      <c r="P548" t="s">
        <v>1056</v>
      </c>
      <c r="Q548" t="s">
        <v>25</v>
      </c>
      <c r="R548" t="s">
        <v>783</v>
      </c>
      <c r="S548" t="s">
        <v>552</v>
      </c>
      <c r="U548" s="6">
        <v>42137.500509259262</v>
      </c>
      <c r="V548" t="s">
        <v>18</v>
      </c>
      <c r="W548" t="s">
        <v>783</v>
      </c>
      <c r="X548" s="6">
        <v>42137.500509259262</v>
      </c>
      <c r="Y548" t="s">
        <v>118</v>
      </c>
      <c r="AB548" t="s">
        <v>201</v>
      </c>
      <c r="AC548" t="s">
        <v>247</v>
      </c>
      <c r="AD548" t="s">
        <v>222</v>
      </c>
      <c r="AE548" t="s">
        <v>221</v>
      </c>
      <c r="AG548" t="s">
        <v>121</v>
      </c>
      <c r="AH548" t="s">
        <v>327</v>
      </c>
      <c r="AI548" t="s">
        <v>121</v>
      </c>
      <c r="AJ548" t="s">
        <v>716</v>
      </c>
      <c r="AK548" t="s">
        <v>121</v>
      </c>
      <c r="AL548" t="s">
        <v>121</v>
      </c>
      <c r="AM548" t="s">
        <v>121</v>
      </c>
    </row>
    <row r="549" spans="9:39" x14ac:dyDescent="0.3">
      <c r="I549">
        <f ca="1">IF(OR(INDIRECT(A73&amp;ROW())=B93,INDIRECT(A73&amp;ROW())=B94),1,IF(AND(INDIRECT(A73&amp;ROW())=B95,INDIRECT(A96&amp;ROW())=C93),1,IF(AND(INDIRECT(A73&amp;ROW())=B95,INDIRECT(A96&amp;ROW())=C94),1,0)))</f>
        <v>0</v>
      </c>
      <c r="J549">
        <f ca="1">IF(AND(INDIRECT(A73&amp;ROW())=B95,INDIRECT(A96&amp;ROW())=C95),1,IF(AND(INDIRECT(A73&amp;ROW())=B95,INDIRECT(A96&amp;ROW())=C96),1,0))</f>
        <v>1</v>
      </c>
      <c r="K549">
        <f ca="1">DAYS360(INDIRECT(C68&amp;ROW()),TODAY())</f>
        <v>709</v>
      </c>
      <c r="L549">
        <f ca="1">DAYS360(INDIRECT(C69&amp;ROW()),TODAY())</f>
        <v>709</v>
      </c>
      <c r="M549">
        <f ca="1">HYPERLINK(CONCATENATE("https://bugzilla.houston.hp.com:1181/bugzilla/show_bug.cgi?id=",INDIRECT(C70&amp;ROW())),INDIRECT(C70&amp;ROW()))</f>
        <v>62364</v>
      </c>
      <c r="N549">
        <v>62364</v>
      </c>
      <c r="O549" t="s">
        <v>22</v>
      </c>
      <c r="P549" t="s">
        <v>1055</v>
      </c>
      <c r="Q549" t="s">
        <v>25</v>
      </c>
      <c r="R549" t="s">
        <v>248</v>
      </c>
      <c r="S549" t="s">
        <v>552</v>
      </c>
      <c r="U549" s="6">
        <v>42137.500567129631</v>
      </c>
      <c r="V549" t="s">
        <v>18</v>
      </c>
      <c r="W549" t="s">
        <v>783</v>
      </c>
      <c r="X549" s="6">
        <v>42137.500567129631</v>
      </c>
      <c r="Y549" t="s">
        <v>118</v>
      </c>
      <c r="AB549" t="s">
        <v>201</v>
      </c>
      <c r="AC549" t="s">
        <v>247</v>
      </c>
      <c r="AD549" t="s">
        <v>222</v>
      </c>
      <c r="AE549" t="s">
        <v>221</v>
      </c>
      <c r="AG549" t="s">
        <v>121</v>
      </c>
      <c r="AH549" t="s">
        <v>327</v>
      </c>
      <c r="AI549" t="s">
        <v>121</v>
      </c>
      <c r="AJ549" t="s">
        <v>716</v>
      </c>
      <c r="AK549" t="s">
        <v>121</v>
      </c>
      <c r="AL549" t="s">
        <v>121</v>
      </c>
      <c r="AM549" t="s">
        <v>121</v>
      </c>
    </row>
    <row r="550" spans="9:39" x14ac:dyDescent="0.3">
      <c r="I550">
        <f ca="1">IF(OR(INDIRECT(A73&amp;ROW())=B93,INDIRECT(A73&amp;ROW())=B94),1,IF(AND(INDIRECT(A73&amp;ROW())=B95,INDIRECT(A96&amp;ROW())=C93),1,IF(AND(INDIRECT(A73&amp;ROW())=B95,INDIRECT(A96&amp;ROW())=C94),1,0)))</f>
        <v>0</v>
      </c>
      <c r="J550">
        <f ca="1">IF(AND(INDIRECT(A73&amp;ROW())=B95,INDIRECT(A96&amp;ROW())=C95),1,IF(AND(INDIRECT(A73&amp;ROW())=B95,INDIRECT(A96&amp;ROW())=C96),1,0))</f>
        <v>1</v>
      </c>
      <c r="K550">
        <f ca="1">DAYS360(INDIRECT(C68&amp;ROW()),TODAY())</f>
        <v>618</v>
      </c>
      <c r="L550">
        <f ca="1">DAYS360(INDIRECT(C69&amp;ROW()),TODAY())</f>
        <v>705</v>
      </c>
      <c r="M550">
        <f ca="1">HYPERLINK(CONCATENATE("https://bugzilla.houston.hp.com:1181/bugzilla/show_bug.cgi?id=",INDIRECT(C70&amp;ROW())),INDIRECT(C70&amp;ROW()))</f>
        <v>62508</v>
      </c>
      <c r="N550">
        <v>62508</v>
      </c>
      <c r="O550" t="s">
        <v>56</v>
      </c>
      <c r="P550" t="s">
        <v>1063</v>
      </c>
      <c r="Q550" t="s">
        <v>25</v>
      </c>
      <c r="R550" t="s">
        <v>783</v>
      </c>
      <c r="S550" t="s">
        <v>236</v>
      </c>
      <c r="U550" s="6">
        <v>42230.263831018521</v>
      </c>
      <c r="V550" t="s">
        <v>35</v>
      </c>
      <c r="W550" t="s">
        <v>764</v>
      </c>
      <c r="X550" s="6">
        <v>42141.688692129632</v>
      </c>
      <c r="Y550" t="s">
        <v>246</v>
      </c>
      <c r="AB550" t="s">
        <v>201</v>
      </c>
      <c r="AC550" t="s">
        <v>247</v>
      </c>
      <c r="AD550" t="s">
        <v>220</v>
      </c>
      <c r="AE550" t="s">
        <v>219</v>
      </c>
      <c r="AG550" t="s">
        <v>121</v>
      </c>
      <c r="AH550" t="s">
        <v>768</v>
      </c>
      <c r="AI550" t="s">
        <v>121</v>
      </c>
      <c r="AJ550" t="s">
        <v>716</v>
      </c>
      <c r="AK550" t="s">
        <v>121</v>
      </c>
      <c r="AL550" t="s">
        <v>121</v>
      </c>
      <c r="AM550" t="s">
        <v>121</v>
      </c>
    </row>
    <row r="551" spans="9:39" x14ac:dyDescent="0.3">
      <c r="I551">
        <f ca="1">IF(OR(INDIRECT(A73&amp;ROW())=B93,INDIRECT(A73&amp;ROW())=B94),1,IF(AND(INDIRECT(A73&amp;ROW())=B95,INDIRECT(A96&amp;ROW())=C93),1,IF(AND(INDIRECT(A73&amp;ROW())=B95,INDIRECT(A96&amp;ROW())=C94),1,0)))</f>
        <v>1</v>
      </c>
      <c r="J551">
        <f ca="1">IF(AND(INDIRECT(A73&amp;ROW())=B95,INDIRECT(A96&amp;ROW())=C95),1,IF(AND(INDIRECT(A73&amp;ROW())=B95,INDIRECT(A96&amp;ROW())=C96),1,0))</f>
        <v>0</v>
      </c>
      <c r="K551">
        <f ca="1">DAYS360(INDIRECT(C68&amp;ROW()),TODAY())</f>
        <v>632</v>
      </c>
      <c r="L551">
        <f ca="1">DAYS360(INDIRECT(C69&amp;ROW()),TODAY())</f>
        <v>704</v>
      </c>
      <c r="M551">
        <f ca="1">HYPERLINK(CONCATENATE("https://bugzilla.houston.hp.com:1181/bugzilla/show_bug.cgi?id=",INDIRECT(C70&amp;ROW())),INDIRECT(C70&amp;ROW()))</f>
        <v>62559</v>
      </c>
      <c r="N551">
        <v>62559</v>
      </c>
      <c r="O551" t="s">
        <v>241</v>
      </c>
      <c r="P551" t="s">
        <v>1081</v>
      </c>
      <c r="Q551" t="s">
        <v>25</v>
      </c>
      <c r="R551" t="s">
        <v>251</v>
      </c>
      <c r="S551" t="s">
        <v>1080</v>
      </c>
      <c r="U551" s="6">
        <v>42215.987071759257</v>
      </c>
      <c r="V551" t="s">
        <v>18</v>
      </c>
      <c r="W551" t="s">
        <v>764</v>
      </c>
      <c r="X551" s="6">
        <v>42142.621620370373</v>
      </c>
      <c r="Y551" t="s">
        <v>123</v>
      </c>
      <c r="Z551" t="s">
        <v>123</v>
      </c>
      <c r="AB551" t="s">
        <v>200</v>
      </c>
      <c r="AC551" t="s">
        <v>247</v>
      </c>
      <c r="AD551" t="s">
        <v>227</v>
      </c>
      <c r="AE551" t="s">
        <v>237</v>
      </c>
      <c r="AG551" t="s">
        <v>121</v>
      </c>
      <c r="AH551" t="s">
        <v>327</v>
      </c>
      <c r="AI551" t="s">
        <v>121</v>
      </c>
      <c r="AJ551" t="s">
        <v>715</v>
      </c>
      <c r="AK551" t="s">
        <v>121</v>
      </c>
      <c r="AL551" t="s">
        <v>121</v>
      </c>
      <c r="AM551" t="s">
        <v>121</v>
      </c>
    </row>
    <row r="552" spans="9:39" x14ac:dyDescent="0.3">
      <c r="I552">
        <f ca="1">IF(OR(INDIRECT(A73&amp;ROW())=B93,INDIRECT(A73&amp;ROW())=B94),1,IF(AND(INDIRECT(A73&amp;ROW())=B95,INDIRECT(A96&amp;ROW())=C93),1,IF(AND(INDIRECT(A73&amp;ROW())=B95,INDIRECT(A96&amp;ROW())=C94),1,0)))</f>
        <v>1</v>
      </c>
      <c r="J552">
        <f ca="1">IF(AND(INDIRECT(A73&amp;ROW())=B95,INDIRECT(A96&amp;ROW())=C95),1,IF(AND(INDIRECT(A73&amp;ROW())=B95,INDIRECT(A96&amp;ROW())=C96),1,0))</f>
        <v>0</v>
      </c>
      <c r="K552">
        <f ca="1">DAYS360(INDIRECT(C68&amp;ROW()),TODAY())</f>
        <v>703</v>
      </c>
      <c r="L552">
        <f ca="1">DAYS360(INDIRECT(C69&amp;ROW()),TODAY())</f>
        <v>703</v>
      </c>
      <c r="M552">
        <f ca="1">HYPERLINK(CONCATENATE("https://bugzilla.houston.hp.com:1181/bugzilla/show_bug.cgi?id=",INDIRECT(C70&amp;ROW())),INDIRECT(C70&amp;ROW()))</f>
        <v>62575</v>
      </c>
      <c r="N552">
        <v>62575</v>
      </c>
      <c r="O552" t="s">
        <v>241</v>
      </c>
      <c r="P552" t="s">
        <v>1079</v>
      </c>
      <c r="Q552" t="s">
        <v>25</v>
      </c>
      <c r="R552" t="s">
        <v>579</v>
      </c>
      <c r="S552" t="s">
        <v>552</v>
      </c>
      <c r="U552" s="6">
        <v>42143.309745370374</v>
      </c>
      <c r="V552" t="s">
        <v>18</v>
      </c>
      <c r="W552" t="s">
        <v>764</v>
      </c>
      <c r="X552" s="6">
        <v>42143.016516203701</v>
      </c>
      <c r="Y552" t="s">
        <v>123</v>
      </c>
      <c r="Z552" t="s">
        <v>123</v>
      </c>
      <c r="AB552" t="s">
        <v>200</v>
      </c>
      <c r="AC552" t="s">
        <v>247</v>
      </c>
      <c r="AD552" t="s">
        <v>227</v>
      </c>
      <c r="AE552" t="s">
        <v>231</v>
      </c>
      <c r="AG552" t="s">
        <v>121</v>
      </c>
      <c r="AH552" t="s">
        <v>327</v>
      </c>
      <c r="AI552" t="s">
        <v>121</v>
      </c>
      <c r="AJ552" t="s">
        <v>715</v>
      </c>
      <c r="AK552" t="s">
        <v>121</v>
      </c>
      <c r="AL552" t="s">
        <v>121</v>
      </c>
      <c r="AM552" t="s">
        <v>121</v>
      </c>
    </row>
    <row r="553" spans="9:39" x14ac:dyDescent="0.3">
      <c r="I553">
        <f ca="1">IF(OR(INDIRECT(A73&amp;ROW())=B93,INDIRECT(A73&amp;ROW())=B94),1,IF(AND(INDIRECT(A73&amp;ROW())=B95,INDIRECT(A96&amp;ROW())=C93),1,IF(AND(INDIRECT(A73&amp;ROW())=B95,INDIRECT(A96&amp;ROW())=C94),1,0)))</f>
        <v>1</v>
      </c>
      <c r="J553">
        <f ca="1">IF(AND(INDIRECT(A73&amp;ROW())=B95,INDIRECT(A96&amp;ROW())=C95),1,IF(AND(INDIRECT(A73&amp;ROW())=B95,INDIRECT(A96&amp;ROW())=C96),1,0))</f>
        <v>0</v>
      </c>
      <c r="K553">
        <f ca="1">DAYS360(INDIRECT(C68&amp;ROW()),TODAY())</f>
        <v>703</v>
      </c>
      <c r="L553">
        <f ca="1">DAYS360(INDIRECT(C69&amp;ROW()),TODAY())</f>
        <v>703</v>
      </c>
      <c r="M553">
        <f ca="1">HYPERLINK(CONCATENATE("https://bugzilla.houston.hp.com:1181/bugzilla/show_bug.cgi?id=",INDIRECT(C70&amp;ROW())),INDIRECT(C70&amp;ROW()))</f>
        <v>62576</v>
      </c>
      <c r="N553">
        <v>62576</v>
      </c>
      <c r="O553" t="s">
        <v>241</v>
      </c>
      <c r="P553" t="s">
        <v>1078</v>
      </c>
      <c r="Q553" t="s">
        <v>25</v>
      </c>
      <c r="R553" t="s">
        <v>248</v>
      </c>
      <c r="S553" t="s">
        <v>552</v>
      </c>
      <c r="U553" s="6">
        <v>42143.30976851852</v>
      </c>
      <c r="V553" t="s">
        <v>18</v>
      </c>
      <c r="W553" t="s">
        <v>764</v>
      </c>
      <c r="X553" s="6">
        <v>42143.016574074078</v>
      </c>
      <c r="Y553" t="s">
        <v>123</v>
      </c>
      <c r="Z553" t="s">
        <v>123</v>
      </c>
      <c r="AB553" t="s">
        <v>200</v>
      </c>
      <c r="AC553" t="s">
        <v>247</v>
      </c>
      <c r="AD553" t="s">
        <v>227</v>
      </c>
      <c r="AE553" t="s">
        <v>231</v>
      </c>
      <c r="AG553" t="s">
        <v>121</v>
      </c>
      <c r="AH553" t="s">
        <v>327</v>
      </c>
      <c r="AI553" t="s">
        <v>121</v>
      </c>
      <c r="AJ553" t="s">
        <v>715</v>
      </c>
      <c r="AK553" t="s">
        <v>121</v>
      </c>
      <c r="AL553" t="s">
        <v>121</v>
      </c>
      <c r="AM553" t="s">
        <v>121</v>
      </c>
    </row>
    <row r="554" spans="9:39" x14ac:dyDescent="0.3">
      <c r="I554">
        <f ca="1">IF(OR(INDIRECT(A73&amp;ROW())=B93,INDIRECT(A73&amp;ROW())=B94),1,IF(AND(INDIRECT(A73&amp;ROW())=B95,INDIRECT(A96&amp;ROW())=C93),1,IF(AND(INDIRECT(A73&amp;ROW())=B95,INDIRECT(A96&amp;ROW())=C94),1,0)))</f>
        <v>0</v>
      </c>
      <c r="J554">
        <f ca="1">IF(AND(INDIRECT(A73&amp;ROW())=B95,INDIRECT(A96&amp;ROW())=C95),1,IF(AND(INDIRECT(A73&amp;ROW())=B95,INDIRECT(A96&amp;ROW())=C96),1,0))</f>
        <v>0</v>
      </c>
      <c r="K554">
        <f ca="1">DAYS360(INDIRECT(C68&amp;ROW()),TODAY())</f>
        <v>670</v>
      </c>
      <c r="L554">
        <f ca="1">DAYS360(INDIRECT(C69&amp;ROW()),TODAY())</f>
        <v>703</v>
      </c>
      <c r="M554">
        <f ca="1">HYPERLINK(CONCATENATE("https://bugzilla.houston.hp.com:1181/bugzilla/show_bug.cgi?id=",INDIRECT(C70&amp;ROW())),INDIRECT(C70&amp;ROW()))</f>
        <v>62620</v>
      </c>
      <c r="N554">
        <v>62620</v>
      </c>
      <c r="O554" t="s">
        <v>21</v>
      </c>
      <c r="P554" t="s">
        <v>1093</v>
      </c>
      <c r="Q554" t="s">
        <v>16</v>
      </c>
      <c r="R554" t="s">
        <v>251</v>
      </c>
      <c r="S554" t="s">
        <v>917</v>
      </c>
      <c r="U554" s="6">
        <v>42177.551863425928</v>
      </c>
      <c r="V554" t="s">
        <v>18</v>
      </c>
      <c r="W554" t="s">
        <v>783</v>
      </c>
      <c r="X554" s="6">
        <v>42143.486145833333</v>
      </c>
      <c r="Y554" t="s">
        <v>846</v>
      </c>
      <c r="AB554" t="s">
        <v>201</v>
      </c>
      <c r="AC554" t="s">
        <v>247</v>
      </c>
      <c r="AD554" t="s">
        <v>222</v>
      </c>
      <c r="AE554" t="s">
        <v>1073</v>
      </c>
      <c r="AG554" t="s">
        <v>121</v>
      </c>
      <c r="AH554" t="s">
        <v>327</v>
      </c>
      <c r="AI554" t="s">
        <v>121</v>
      </c>
      <c r="AJ554" t="s">
        <v>717</v>
      </c>
      <c r="AK554" t="s">
        <v>121</v>
      </c>
      <c r="AL554" t="s">
        <v>121</v>
      </c>
      <c r="AM554" t="s">
        <v>121</v>
      </c>
    </row>
    <row r="555" spans="9:39" x14ac:dyDescent="0.3">
      <c r="I555">
        <f ca="1">IF(OR(INDIRECT(A73&amp;ROW())=B93,INDIRECT(A73&amp;ROW())=B94),1,IF(AND(INDIRECT(A73&amp;ROW())=B95,INDIRECT(A96&amp;ROW())=C93),1,IF(AND(INDIRECT(A73&amp;ROW())=B95,INDIRECT(A96&amp;ROW())=C94),1,0)))</f>
        <v>0</v>
      </c>
      <c r="J555">
        <f ca="1">IF(AND(INDIRECT(A73&amp;ROW())=B95,INDIRECT(A96&amp;ROW())=C95),1,IF(AND(INDIRECT(A73&amp;ROW())=B95,INDIRECT(A96&amp;ROW())=C96),1,0))</f>
        <v>0</v>
      </c>
      <c r="K555">
        <f ca="1">DAYS360(INDIRECT(C68&amp;ROW()),TODAY())</f>
        <v>703</v>
      </c>
      <c r="L555">
        <f ca="1">DAYS360(INDIRECT(C69&amp;ROW()),TODAY())</f>
        <v>703</v>
      </c>
      <c r="M555">
        <f ca="1">HYPERLINK(CONCATENATE("https://bugzilla.houston.hp.com:1181/bugzilla/show_bug.cgi?id=",INDIRECT(C70&amp;ROW())),INDIRECT(C70&amp;ROW()))</f>
        <v>62623</v>
      </c>
      <c r="N555">
        <v>62623</v>
      </c>
      <c r="O555" t="s">
        <v>21</v>
      </c>
      <c r="P555" t="s">
        <v>1092</v>
      </c>
      <c r="Q555" t="s">
        <v>16</v>
      </c>
      <c r="R555" t="s">
        <v>579</v>
      </c>
      <c r="S555" t="s">
        <v>552</v>
      </c>
      <c r="U555" s="6">
        <v>42143.606388888889</v>
      </c>
      <c r="V555" t="s">
        <v>18</v>
      </c>
      <c r="W555" t="s">
        <v>783</v>
      </c>
      <c r="X555" s="6">
        <v>42143.516631944447</v>
      </c>
      <c r="Y555" t="s">
        <v>846</v>
      </c>
      <c r="AB555" t="s">
        <v>201</v>
      </c>
      <c r="AC555" t="s">
        <v>247</v>
      </c>
      <c r="AD555" t="s">
        <v>222</v>
      </c>
      <c r="AE555" t="s">
        <v>1073</v>
      </c>
      <c r="AG555" t="s">
        <v>121</v>
      </c>
      <c r="AH555" t="s">
        <v>327</v>
      </c>
      <c r="AI555" t="s">
        <v>121</v>
      </c>
      <c r="AJ555" t="s">
        <v>717</v>
      </c>
      <c r="AK555" t="s">
        <v>121</v>
      </c>
      <c r="AL555" t="s">
        <v>121</v>
      </c>
      <c r="AM555" t="s">
        <v>121</v>
      </c>
    </row>
    <row r="556" spans="9:39" x14ac:dyDescent="0.3">
      <c r="I556">
        <f ca="1">IF(OR(INDIRECT(A73&amp;ROW())=B93,INDIRECT(A73&amp;ROW())=B94),1,IF(AND(INDIRECT(A73&amp;ROW())=B95,INDIRECT(A96&amp;ROW())=C93),1,IF(AND(INDIRECT(A73&amp;ROW())=B95,INDIRECT(A96&amp;ROW())=C94),1,0)))</f>
        <v>0</v>
      </c>
      <c r="J556">
        <f ca="1">IF(AND(INDIRECT(A73&amp;ROW())=B95,INDIRECT(A96&amp;ROW())=C95),1,IF(AND(INDIRECT(A73&amp;ROW())=B95,INDIRECT(A96&amp;ROW())=C96),1,0))</f>
        <v>0</v>
      </c>
      <c r="K556">
        <f ca="1">DAYS360(INDIRECT(C68&amp;ROW()),TODAY())</f>
        <v>670</v>
      </c>
      <c r="L556">
        <f ca="1">DAYS360(INDIRECT(C69&amp;ROW()),TODAY())</f>
        <v>703</v>
      </c>
      <c r="M556">
        <f ca="1">HYPERLINK(CONCATENATE("https://bugzilla.houston.hp.com:1181/bugzilla/show_bug.cgi?id=",INDIRECT(C70&amp;ROW())),INDIRECT(C70&amp;ROW()))</f>
        <v>62624</v>
      </c>
      <c r="N556">
        <v>62624</v>
      </c>
      <c r="O556" t="s">
        <v>21</v>
      </c>
      <c r="P556" t="s">
        <v>1091</v>
      </c>
      <c r="Q556" t="s">
        <v>16</v>
      </c>
      <c r="R556" t="s">
        <v>783</v>
      </c>
      <c r="S556" t="s">
        <v>552</v>
      </c>
      <c r="U556" s="6">
        <v>42177.561701388891</v>
      </c>
      <c r="V556" t="s">
        <v>18</v>
      </c>
      <c r="W556" t="s">
        <v>783</v>
      </c>
      <c r="X556" s="6">
        <v>42143.51667824074</v>
      </c>
      <c r="Y556" t="s">
        <v>846</v>
      </c>
      <c r="AB556" t="s">
        <v>201</v>
      </c>
      <c r="AC556" t="s">
        <v>247</v>
      </c>
      <c r="AD556" t="s">
        <v>222</v>
      </c>
      <c r="AE556" t="s">
        <v>1073</v>
      </c>
      <c r="AG556" t="s">
        <v>121</v>
      </c>
      <c r="AH556" t="s">
        <v>327</v>
      </c>
      <c r="AI556" t="s">
        <v>121</v>
      </c>
      <c r="AJ556" t="s">
        <v>717</v>
      </c>
      <c r="AK556" t="s">
        <v>121</v>
      </c>
      <c r="AL556" t="s">
        <v>121</v>
      </c>
      <c r="AM556" t="s">
        <v>121</v>
      </c>
    </row>
    <row r="557" spans="9:39" x14ac:dyDescent="0.3">
      <c r="I557">
        <f ca="1">IF(OR(INDIRECT(A73&amp;ROW())=B93,INDIRECT(A73&amp;ROW())=B94),1,IF(AND(INDIRECT(A73&amp;ROW())=B95,INDIRECT(A96&amp;ROW())=C93),1,IF(AND(INDIRECT(A73&amp;ROW())=B95,INDIRECT(A96&amp;ROW())=C94),1,0)))</f>
        <v>0</v>
      </c>
      <c r="J557">
        <f ca="1">IF(AND(INDIRECT(A73&amp;ROW())=B95,INDIRECT(A96&amp;ROW())=C95),1,IF(AND(INDIRECT(A73&amp;ROW())=B95,INDIRECT(A96&amp;ROW())=C96),1,0))</f>
        <v>0</v>
      </c>
      <c r="K557">
        <f ca="1">DAYS360(INDIRECT(C68&amp;ROW()),TODAY())</f>
        <v>701</v>
      </c>
      <c r="L557">
        <f ca="1">DAYS360(INDIRECT(C69&amp;ROW()),TODAY())</f>
        <v>703</v>
      </c>
      <c r="M557">
        <f ca="1">HYPERLINK(CONCATENATE("https://bugzilla.houston.hp.com:1181/bugzilla/show_bug.cgi?id=",INDIRECT(C70&amp;ROW())),INDIRECT(C70&amp;ROW()))</f>
        <v>62625</v>
      </c>
      <c r="N557">
        <v>62625</v>
      </c>
      <c r="O557" t="s">
        <v>21</v>
      </c>
      <c r="P557" t="s">
        <v>1090</v>
      </c>
      <c r="Q557" t="s">
        <v>16</v>
      </c>
      <c r="R557" t="s">
        <v>248</v>
      </c>
      <c r="S557" t="s">
        <v>552</v>
      </c>
      <c r="U557" s="6">
        <v>42145.452256944445</v>
      </c>
      <c r="V557" t="s">
        <v>18</v>
      </c>
      <c r="W557" t="s">
        <v>783</v>
      </c>
      <c r="X557" s="6">
        <v>42143.516736111109</v>
      </c>
      <c r="Y557" t="s">
        <v>846</v>
      </c>
      <c r="AB557" t="s">
        <v>201</v>
      </c>
      <c r="AC557" t="s">
        <v>247</v>
      </c>
      <c r="AD557" t="s">
        <v>222</v>
      </c>
      <c r="AE557" t="s">
        <v>1073</v>
      </c>
      <c r="AG557" t="s">
        <v>121</v>
      </c>
      <c r="AH557" t="s">
        <v>327</v>
      </c>
      <c r="AI557" t="s">
        <v>121</v>
      </c>
      <c r="AJ557" t="s">
        <v>717</v>
      </c>
      <c r="AK557" t="s">
        <v>121</v>
      </c>
      <c r="AL557" t="s">
        <v>121</v>
      </c>
      <c r="AM557" t="s">
        <v>121</v>
      </c>
    </row>
    <row r="558" spans="9:39" x14ac:dyDescent="0.3">
      <c r="I558">
        <f ca="1">IF(OR(INDIRECT(A73&amp;ROW())=B93,INDIRECT(A73&amp;ROW())=B94),1,IF(AND(INDIRECT(A73&amp;ROW())=B95,INDIRECT(A96&amp;ROW())=C93),1,IF(AND(INDIRECT(A73&amp;ROW())=B95,INDIRECT(A96&amp;ROW())=C94),1,0)))</f>
        <v>0</v>
      </c>
      <c r="J558">
        <f ca="1">IF(AND(INDIRECT(A73&amp;ROW())=B95,INDIRECT(A96&amp;ROW())=C95),1,IF(AND(INDIRECT(A73&amp;ROW())=B95,INDIRECT(A96&amp;ROW())=C96),1,0))</f>
        <v>1</v>
      </c>
      <c r="K558">
        <f ca="1">DAYS360(INDIRECT(C68&amp;ROW()),TODAY())</f>
        <v>669</v>
      </c>
      <c r="L558">
        <f ca="1">DAYS360(INDIRECT(C69&amp;ROW()),TODAY())</f>
        <v>702</v>
      </c>
      <c r="M558">
        <f ca="1">HYPERLINK(CONCATENATE("https://bugzilla.houston.hp.com:1181/bugzilla/show_bug.cgi?id=",INDIRECT(C70&amp;ROW())),INDIRECT(C70&amp;ROW()))</f>
        <v>62719</v>
      </c>
      <c r="N558">
        <v>62719</v>
      </c>
      <c r="O558" t="s">
        <v>55</v>
      </c>
      <c r="P558" t="s">
        <v>1086</v>
      </c>
      <c r="Q558" t="s">
        <v>25</v>
      </c>
      <c r="R558" t="s">
        <v>251</v>
      </c>
      <c r="S558" t="s">
        <v>52</v>
      </c>
      <c r="U558" s="6">
        <v>42178.361180555556</v>
      </c>
      <c r="V558" t="s">
        <v>35</v>
      </c>
      <c r="W558" t="s">
        <v>783</v>
      </c>
      <c r="X558" s="6">
        <v>42144.602094907408</v>
      </c>
      <c r="Y558" t="s">
        <v>119</v>
      </c>
      <c r="AB558" t="s">
        <v>201</v>
      </c>
      <c r="AC558" t="s">
        <v>247</v>
      </c>
      <c r="AD558" t="s">
        <v>222</v>
      </c>
      <c r="AE558" t="s">
        <v>221</v>
      </c>
      <c r="AG558" t="s">
        <v>121</v>
      </c>
      <c r="AH558" t="s">
        <v>327</v>
      </c>
      <c r="AI558" t="s">
        <v>362</v>
      </c>
      <c r="AJ558" t="s">
        <v>716</v>
      </c>
      <c r="AK558" t="s">
        <v>121</v>
      </c>
      <c r="AL558" t="s">
        <v>121</v>
      </c>
      <c r="AM558" t="s">
        <v>121</v>
      </c>
    </row>
    <row r="559" spans="9:39" x14ac:dyDescent="0.3">
      <c r="I559">
        <f ca="1">IF(OR(INDIRECT(A73&amp;ROW())=B93,INDIRECT(A73&amp;ROW())=B94),1,IF(AND(INDIRECT(A73&amp;ROW())=B95,INDIRECT(A96&amp;ROW())=C93),1,IF(AND(INDIRECT(A73&amp;ROW())=B95,INDIRECT(A96&amp;ROW())=C94),1,0)))</f>
        <v>0</v>
      </c>
      <c r="J559">
        <f ca="1">IF(AND(INDIRECT(A73&amp;ROW())=B95,INDIRECT(A96&amp;ROW())=C95),1,IF(AND(INDIRECT(A73&amp;ROW())=B95,INDIRECT(A96&amp;ROW())=C96),1,0))</f>
        <v>1</v>
      </c>
      <c r="K559">
        <f ca="1">DAYS360(INDIRECT(C68&amp;ROW()),TODAY())</f>
        <v>668</v>
      </c>
      <c r="L559">
        <f ca="1">DAYS360(INDIRECT(C69&amp;ROW()),TODAY())</f>
        <v>702</v>
      </c>
      <c r="M559">
        <f ca="1">HYPERLINK(CONCATENATE("https://bugzilla.houston.hp.com:1181/bugzilla/show_bug.cgi?id=",INDIRECT(C70&amp;ROW())),INDIRECT(C70&amp;ROW()))</f>
        <v>62721</v>
      </c>
      <c r="N559">
        <v>62721</v>
      </c>
      <c r="O559" t="s">
        <v>55</v>
      </c>
      <c r="P559" t="s">
        <v>1085</v>
      </c>
      <c r="Q559" t="s">
        <v>25</v>
      </c>
      <c r="R559" t="s">
        <v>579</v>
      </c>
      <c r="S559" t="s">
        <v>552</v>
      </c>
      <c r="U559" s="6">
        <v>42179.504386574074</v>
      </c>
      <c r="V559" t="s">
        <v>18</v>
      </c>
      <c r="W559" t="s">
        <v>783</v>
      </c>
      <c r="X559" s="6">
        <v>42144.633113425924</v>
      </c>
      <c r="Y559" t="s">
        <v>119</v>
      </c>
      <c r="AB559" t="s">
        <v>201</v>
      </c>
      <c r="AC559" t="s">
        <v>247</v>
      </c>
      <c r="AD559" t="s">
        <v>222</v>
      </c>
      <c r="AE559" t="s">
        <v>221</v>
      </c>
      <c r="AG559" t="s">
        <v>121</v>
      </c>
      <c r="AH559" t="s">
        <v>327</v>
      </c>
      <c r="AI559" t="s">
        <v>121</v>
      </c>
      <c r="AJ559" t="s">
        <v>716</v>
      </c>
      <c r="AK559" t="s">
        <v>121</v>
      </c>
      <c r="AL559" t="s">
        <v>121</v>
      </c>
      <c r="AM559" t="s">
        <v>121</v>
      </c>
    </row>
    <row r="560" spans="9:39" x14ac:dyDescent="0.3">
      <c r="I560">
        <f ca="1">IF(OR(INDIRECT(A73&amp;ROW())=B93,INDIRECT(A73&amp;ROW())=B94),1,IF(AND(INDIRECT(A73&amp;ROW())=B95,INDIRECT(A96&amp;ROW())=C93),1,IF(AND(INDIRECT(A73&amp;ROW())=B95,INDIRECT(A96&amp;ROW())=C94),1,0)))</f>
        <v>0</v>
      </c>
      <c r="J560">
        <f ca="1">IF(AND(INDIRECT(A73&amp;ROW())=B95,INDIRECT(A96&amp;ROW())=C95),1,IF(AND(INDIRECT(A73&amp;ROW())=B95,INDIRECT(A96&amp;ROW())=C96),1,0))</f>
        <v>1</v>
      </c>
      <c r="K560">
        <f ca="1">DAYS360(INDIRECT(C68&amp;ROW()),TODAY())</f>
        <v>669</v>
      </c>
      <c r="L560">
        <f ca="1">DAYS360(INDIRECT(C69&amp;ROW()),TODAY())</f>
        <v>702</v>
      </c>
      <c r="M560">
        <f ca="1">HYPERLINK(CONCATENATE("https://bugzilla.houston.hp.com:1181/bugzilla/show_bug.cgi?id=",INDIRECT(C70&amp;ROW())),INDIRECT(C70&amp;ROW()))</f>
        <v>62722</v>
      </c>
      <c r="N560">
        <v>62722</v>
      </c>
      <c r="O560" t="s">
        <v>55</v>
      </c>
      <c r="P560" t="s">
        <v>1084</v>
      </c>
      <c r="Q560" t="s">
        <v>25</v>
      </c>
      <c r="R560" t="s">
        <v>783</v>
      </c>
      <c r="S560" t="s">
        <v>552</v>
      </c>
      <c r="U560" s="6">
        <v>42178.363900462966</v>
      </c>
      <c r="V560" t="s">
        <v>18</v>
      </c>
      <c r="W560" t="s">
        <v>783</v>
      </c>
      <c r="X560" s="6">
        <v>42144.633206018516</v>
      </c>
      <c r="Y560" t="s">
        <v>119</v>
      </c>
      <c r="AB560" t="s">
        <v>201</v>
      </c>
      <c r="AC560" t="s">
        <v>247</v>
      </c>
      <c r="AD560" t="s">
        <v>222</v>
      </c>
      <c r="AE560" t="s">
        <v>221</v>
      </c>
      <c r="AG560" t="s">
        <v>121</v>
      </c>
      <c r="AH560" t="s">
        <v>327</v>
      </c>
      <c r="AI560" t="s">
        <v>362</v>
      </c>
      <c r="AJ560" t="s">
        <v>716</v>
      </c>
      <c r="AK560" t="s">
        <v>121</v>
      </c>
      <c r="AL560" t="s">
        <v>121</v>
      </c>
      <c r="AM560" t="s">
        <v>121</v>
      </c>
    </row>
    <row r="561" spans="9:39" x14ac:dyDescent="0.3">
      <c r="I561">
        <f ca="1">IF(OR(INDIRECT(A73&amp;ROW())=B93,INDIRECT(A73&amp;ROW())=B94),1,IF(AND(INDIRECT(A73&amp;ROW())=B95,INDIRECT(A96&amp;ROW())=C93),1,IF(AND(INDIRECT(A73&amp;ROW())=B95,INDIRECT(A96&amp;ROW())=C94),1,0)))</f>
        <v>0</v>
      </c>
      <c r="J561">
        <f ca="1">IF(AND(INDIRECT(A73&amp;ROW())=B95,INDIRECT(A96&amp;ROW())=C95),1,IF(AND(INDIRECT(A73&amp;ROW())=B95,INDIRECT(A96&amp;ROW())=C96),1,0))</f>
        <v>1</v>
      </c>
      <c r="K561">
        <f ca="1">DAYS360(INDIRECT(C68&amp;ROW()),TODAY())</f>
        <v>668</v>
      </c>
      <c r="L561">
        <f ca="1">DAYS360(INDIRECT(C69&amp;ROW()),TODAY())</f>
        <v>702</v>
      </c>
      <c r="M561">
        <f ca="1">HYPERLINK(CONCATENATE("https://bugzilla.houston.hp.com:1181/bugzilla/show_bug.cgi?id=",INDIRECT(C70&amp;ROW())),INDIRECT(C70&amp;ROW()))</f>
        <v>62723</v>
      </c>
      <c r="N561">
        <v>62723</v>
      </c>
      <c r="O561" t="s">
        <v>55</v>
      </c>
      <c r="P561" t="s">
        <v>1083</v>
      </c>
      <c r="Q561" t="s">
        <v>25</v>
      </c>
      <c r="R561" t="s">
        <v>248</v>
      </c>
      <c r="S561" t="s">
        <v>552</v>
      </c>
      <c r="U561" s="6">
        <v>42179.50445601852</v>
      </c>
      <c r="V561" t="s">
        <v>18</v>
      </c>
      <c r="W561" t="s">
        <v>783</v>
      </c>
      <c r="X561" s="6">
        <v>42144.633287037039</v>
      </c>
      <c r="Y561" t="s">
        <v>119</v>
      </c>
      <c r="AB561" t="s">
        <v>201</v>
      </c>
      <c r="AC561" t="s">
        <v>247</v>
      </c>
      <c r="AD561" t="s">
        <v>222</v>
      </c>
      <c r="AE561" t="s">
        <v>221</v>
      </c>
      <c r="AG561" t="s">
        <v>121</v>
      </c>
      <c r="AH561" t="s">
        <v>327</v>
      </c>
      <c r="AI561" t="s">
        <v>121</v>
      </c>
      <c r="AJ561" t="s">
        <v>716</v>
      </c>
      <c r="AK561" t="s">
        <v>121</v>
      </c>
      <c r="AL561" t="s">
        <v>121</v>
      </c>
      <c r="AM561" t="s">
        <v>121</v>
      </c>
    </row>
    <row r="562" spans="9:39" x14ac:dyDescent="0.3">
      <c r="I562">
        <f ca="1">IF(OR(INDIRECT(A73&amp;ROW())=B93,INDIRECT(A73&amp;ROW())=B94),1,IF(AND(INDIRECT(A73&amp;ROW())=B95,INDIRECT(A96&amp;ROW())=C93),1,IF(AND(INDIRECT(A73&amp;ROW())=B95,INDIRECT(A96&amp;ROW())=C94),1,0)))</f>
        <v>1</v>
      </c>
      <c r="J562">
        <f ca="1">IF(AND(INDIRECT(A73&amp;ROW())=B95,INDIRECT(A96&amp;ROW())=C95),1,IF(AND(INDIRECT(A73&amp;ROW())=B95,INDIRECT(A96&amp;ROW())=C96),1,0))</f>
        <v>0</v>
      </c>
      <c r="K562">
        <f ca="1">DAYS360(INDIRECT(C68&amp;ROW()),TODAY())</f>
        <v>619</v>
      </c>
      <c r="L562">
        <f ca="1">DAYS360(INDIRECT(C69&amp;ROW()),TODAY())</f>
        <v>700</v>
      </c>
      <c r="M562">
        <f ca="1">HYPERLINK(CONCATENATE("https://bugzilla.houston.hp.com:1181/bugzilla/show_bug.cgi?id=",INDIRECT(C70&amp;ROW())),INDIRECT(C70&amp;ROW()))</f>
        <v>62843</v>
      </c>
      <c r="N562">
        <v>62843</v>
      </c>
      <c r="O562" t="s">
        <v>21</v>
      </c>
      <c r="P562" t="s">
        <v>1201</v>
      </c>
      <c r="Q562" t="s">
        <v>25</v>
      </c>
      <c r="R562" t="s">
        <v>251</v>
      </c>
      <c r="S562" t="s">
        <v>917</v>
      </c>
      <c r="U562" s="6">
        <v>42229.299120370371</v>
      </c>
      <c r="V562" t="s">
        <v>18</v>
      </c>
      <c r="W562" t="s">
        <v>783</v>
      </c>
      <c r="X562" s="6">
        <v>42146.493784722225</v>
      </c>
      <c r="Y562" t="s">
        <v>846</v>
      </c>
      <c r="AB562" t="s">
        <v>200</v>
      </c>
      <c r="AC562" t="s">
        <v>247</v>
      </c>
      <c r="AD562" t="s">
        <v>222</v>
      </c>
      <c r="AE562" t="s">
        <v>1073</v>
      </c>
      <c r="AG562" t="s">
        <v>121</v>
      </c>
      <c r="AH562" t="s">
        <v>327</v>
      </c>
      <c r="AI562" t="s">
        <v>121</v>
      </c>
      <c r="AJ562" t="s">
        <v>715</v>
      </c>
      <c r="AK562" t="s">
        <v>121</v>
      </c>
      <c r="AL562" t="s">
        <v>121</v>
      </c>
      <c r="AM562" t="s">
        <v>121</v>
      </c>
    </row>
    <row r="563" spans="9:39" x14ac:dyDescent="0.3">
      <c r="I563">
        <f ca="1">IF(OR(INDIRECT(A73&amp;ROW())=B93,INDIRECT(A73&amp;ROW())=B94),1,IF(AND(INDIRECT(A73&amp;ROW())=B95,INDIRECT(A96&amp;ROW())=C93),1,IF(AND(INDIRECT(A73&amp;ROW())=B95,INDIRECT(A96&amp;ROW())=C94),1,0)))</f>
        <v>1</v>
      </c>
      <c r="J563">
        <f ca="1">IF(AND(INDIRECT(A73&amp;ROW())=B95,INDIRECT(A96&amp;ROW())=C95),1,IF(AND(INDIRECT(A73&amp;ROW())=B95,INDIRECT(A96&amp;ROW())=C96),1,0))</f>
        <v>0</v>
      </c>
      <c r="K563">
        <f ca="1">DAYS360(INDIRECT(C68&amp;ROW()),TODAY())</f>
        <v>621</v>
      </c>
      <c r="L563">
        <f ca="1">DAYS360(INDIRECT(C69&amp;ROW()),TODAY())</f>
        <v>700</v>
      </c>
      <c r="M563">
        <f ca="1">HYPERLINK(CONCATENATE("https://bugzilla.houston.hp.com:1181/bugzilla/show_bug.cgi?id=",INDIRECT(C70&amp;ROW())),INDIRECT(C70&amp;ROW()))</f>
        <v>62847</v>
      </c>
      <c r="N563">
        <v>62847</v>
      </c>
      <c r="O563" t="s">
        <v>21</v>
      </c>
      <c r="P563" t="s">
        <v>1243</v>
      </c>
      <c r="Q563" t="s">
        <v>25</v>
      </c>
      <c r="R563" t="s">
        <v>579</v>
      </c>
      <c r="S563" t="s">
        <v>552</v>
      </c>
      <c r="T563" t="s">
        <v>1325</v>
      </c>
      <c r="U563" s="6">
        <v>42227.474293981482</v>
      </c>
      <c r="V563" t="s">
        <v>18</v>
      </c>
      <c r="W563" t="s">
        <v>783</v>
      </c>
      <c r="X563" s="6">
        <v>42146.51667824074</v>
      </c>
      <c r="Y563" t="s">
        <v>846</v>
      </c>
      <c r="AB563" t="s">
        <v>200</v>
      </c>
      <c r="AC563" t="s">
        <v>247</v>
      </c>
      <c r="AD563" t="s">
        <v>222</v>
      </c>
      <c r="AE563" t="s">
        <v>1073</v>
      </c>
      <c r="AG563" t="s">
        <v>121</v>
      </c>
      <c r="AH563" t="s">
        <v>327</v>
      </c>
      <c r="AI563" t="s">
        <v>121</v>
      </c>
      <c r="AJ563" t="s">
        <v>715</v>
      </c>
      <c r="AK563" t="s">
        <v>121</v>
      </c>
      <c r="AL563" t="s">
        <v>121</v>
      </c>
      <c r="AM563" t="s">
        <v>121</v>
      </c>
    </row>
    <row r="564" spans="9:39" x14ac:dyDescent="0.3">
      <c r="I564">
        <f ca="1">IF(OR(INDIRECT(A73&amp;ROW())=B93,INDIRECT(A73&amp;ROW())=B94),1,IF(AND(INDIRECT(A73&amp;ROW())=B95,INDIRECT(A96&amp;ROW())=C93),1,IF(AND(INDIRECT(A73&amp;ROW())=B95,INDIRECT(A96&amp;ROW())=C94),1,0)))</f>
        <v>1</v>
      </c>
      <c r="J564">
        <f ca="1">IF(AND(INDIRECT(A73&amp;ROW())=B95,INDIRECT(A96&amp;ROW())=C95),1,IF(AND(INDIRECT(A73&amp;ROW())=B95,INDIRECT(A96&amp;ROW())=C96),1,0))</f>
        <v>0</v>
      </c>
      <c r="K564">
        <f ca="1">DAYS360(INDIRECT(C68&amp;ROW()),TODAY())</f>
        <v>638</v>
      </c>
      <c r="L564">
        <f ca="1">DAYS360(INDIRECT(C69&amp;ROW()),TODAY())</f>
        <v>700</v>
      </c>
      <c r="M564">
        <f ca="1">HYPERLINK(CONCATENATE("https://bugzilla.houston.hp.com:1181/bugzilla/show_bug.cgi?id=",INDIRECT(C70&amp;ROW())),INDIRECT(C70&amp;ROW()))</f>
        <v>62848</v>
      </c>
      <c r="N564">
        <v>62848</v>
      </c>
      <c r="O564" t="s">
        <v>21</v>
      </c>
      <c r="P564" t="s">
        <v>1200</v>
      </c>
      <c r="Q564" t="s">
        <v>25</v>
      </c>
      <c r="R564" t="s">
        <v>783</v>
      </c>
      <c r="S564" t="s">
        <v>552</v>
      </c>
      <c r="U564" s="6">
        <v>42209.253379629627</v>
      </c>
      <c r="V564" t="s">
        <v>40</v>
      </c>
      <c r="W564" t="s">
        <v>783</v>
      </c>
      <c r="X564" s="6">
        <v>42146.516724537039</v>
      </c>
      <c r="Y564" t="s">
        <v>846</v>
      </c>
      <c r="AB564" t="s">
        <v>199</v>
      </c>
      <c r="AC564" t="s">
        <v>247</v>
      </c>
      <c r="AD564" t="s">
        <v>222</v>
      </c>
      <c r="AE564" t="s">
        <v>1073</v>
      </c>
      <c r="AG564" t="s">
        <v>337</v>
      </c>
      <c r="AH564" t="s">
        <v>327</v>
      </c>
      <c r="AI564" t="s">
        <v>362</v>
      </c>
      <c r="AJ564" t="s">
        <v>715</v>
      </c>
      <c r="AK564" t="s">
        <v>121</v>
      </c>
      <c r="AL564" t="s">
        <v>121</v>
      </c>
      <c r="AM564" t="s">
        <v>121</v>
      </c>
    </row>
    <row r="565" spans="9:39" x14ac:dyDescent="0.3">
      <c r="I565">
        <f ca="1">IF(OR(INDIRECT(A73&amp;ROW())=B93,INDIRECT(A73&amp;ROW())=B94),1,IF(AND(INDIRECT(A73&amp;ROW())=B95,INDIRECT(A96&amp;ROW())=C93),1,IF(AND(INDIRECT(A73&amp;ROW())=B95,INDIRECT(A96&amp;ROW())=C94),1,0)))</f>
        <v>1</v>
      </c>
      <c r="J565">
        <f ca="1">IF(AND(INDIRECT(A73&amp;ROW())=B95,INDIRECT(A96&amp;ROW())=C95),1,IF(AND(INDIRECT(A73&amp;ROW())=B95,INDIRECT(A96&amp;ROW())=C96),1,0))</f>
        <v>0</v>
      </c>
      <c r="K565">
        <f ca="1">DAYS360(INDIRECT(C68&amp;ROW()),TODAY())</f>
        <v>652</v>
      </c>
      <c r="L565">
        <f ca="1">DAYS360(INDIRECT(C69&amp;ROW()),TODAY())</f>
        <v>700</v>
      </c>
      <c r="M565">
        <f ca="1">HYPERLINK(CONCATENATE("https://bugzilla.houston.hp.com:1181/bugzilla/show_bug.cgi?id=",INDIRECT(C70&amp;ROW())),INDIRECT(C70&amp;ROW()))</f>
        <v>62849</v>
      </c>
      <c r="N565">
        <v>62849</v>
      </c>
      <c r="O565" t="s">
        <v>21</v>
      </c>
      <c r="P565" t="s">
        <v>1242</v>
      </c>
      <c r="Q565" t="s">
        <v>25</v>
      </c>
      <c r="R565" t="s">
        <v>248</v>
      </c>
      <c r="S565" t="s">
        <v>552</v>
      </c>
      <c r="U565" s="6">
        <v>42195.448530092595</v>
      </c>
      <c r="V565" t="s">
        <v>40</v>
      </c>
      <c r="W565" t="s">
        <v>783</v>
      </c>
      <c r="X565" s="6">
        <v>42146.516782407409</v>
      </c>
      <c r="Y565" t="s">
        <v>846</v>
      </c>
      <c r="AB565" t="s">
        <v>200</v>
      </c>
      <c r="AC565" t="s">
        <v>247</v>
      </c>
      <c r="AD565" t="s">
        <v>222</v>
      </c>
      <c r="AE565" t="s">
        <v>1073</v>
      </c>
      <c r="AG565" t="s">
        <v>121</v>
      </c>
      <c r="AH565" t="s">
        <v>327</v>
      </c>
      <c r="AI565" t="s">
        <v>121</v>
      </c>
      <c r="AJ565" t="s">
        <v>715</v>
      </c>
      <c r="AK565" t="s">
        <v>121</v>
      </c>
      <c r="AL565" t="s">
        <v>121</v>
      </c>
      <c r="AM565" t="s">
        <v>121</v>
      </c>
    </row>
    <row r="566" spans="9:39" x14ac:dyDescent="0.3">
      <c r="I566">
        <f ca="1">IF(OR(INDIRECT(A73&amp;ROW())=B93,INDIRECT(A73&amp;ROW())=B94),1,IF(AND(INDIRECT(A73&amp;ROW())=B95,INDIRECT(A96&amp;ROW())=C93),1,IF(AND(INDIRECT(A73&amp;ROW())=B95,INDIRECT(A96&amp;ROW())=C94),1,0)))</f>
        <v>0</v>
      </c>
      <c r="J566">
        <f ca="1">IF(AND(INDIRECT(A73&amp;ROW())=B95,INDIRECT(A96&amp;ROW())=C95),1,IF(AND(INDIRECT(A73&amp;ROW())=B95,INDIRECT(A96&amp;ROW())=C96),1,0))</f>
        <v>1</v>
      </c>
      <c r="K566">
        <f ca="1">DAYS360(INDIRECT(C68&amp;ROW()),TODAY())</f>
        <v>689</v>
      </c>
      <c r="L566">
        <f ca="1">DAYS360(INDIRECT(C69&amp;ROW()),TODAY())</f>
        <v>700</v>
      </c>
      <c r="M566">
        <f ca="1">HYPERLINK(CONCATENATE("https://bugzilla.houston.hp.com:1181/bugzilla/show_bug.cgi?id=",INDIRECT(C70&amp;ROW())),INDIRECT(C70&amp;ROW()))</f>
        <v>62876</v>
      </c>
      <c r="N566">
        <v>62876</v>
      </c>
      <c r="O566" t="s">
        <v>55</v>
      </c>
      <c r="P566" t="s">
        <v>1121</v>
      </c>
      <c r="Q566" t="s">
        <v>25</v>
      </c>
      <c r="R566" t="s">
        <v>251</v>
      </c>
      <c r="S566" t="s">
        <v>1345</v>
      </c>
      <c r="U566" s="6">
        <v>42158.289733796293</v>
      </c>
      <c r="V566" t="s">
        <v>35</v>
      </c>
      <c r="W566" t="s">
        <v>783</v>
      </c>
      <c r="X566" s="6">
        <v>42146.710370370369</v>
      </c>
      <c r="Y566" t="s">
        <v>125</v>
      </c>
      <c r="AB566" t="s">
        <v>201</v>
      </c>
      <c r="AC566" t="s">
        <v>247</v>
      </c>
      <c r="AD566" t="s">
        <v>222</v>
      </c>
      <c r="AE566" t="s">
        <v>221</v>
      </c>
      <c r="AG566" t="s">
        <v>121</v>
      </c>
      <c r="AH566" t="s">
        <v>327</v>
      </c>
      <c r="AI566" t="s">
        <v>121</v>
      </c>
      <c r="AJ566" t="s">
        <v>716</v>
      </c>
      <c r="AK566" t="s">
        <v>121</v>
      </c>
      <c r="AL566" t="s">
        <v>121</v>
      </c>
      <c r="AM566" t="s">
        <v>121</v>
      </c>
    </row>
    <row r="567" spans="9:39" x14ac:dyDescent="0.3">
      <c r="I567">
        <f ca="1">IF(OR(INDIRECT(A73&amp;ROW())=B93,INDIRECT(A73&amp;ROW())=B94),1,IF(AND(INDIRECT(A73&amp;ROW())=B95,INDIRECT(A96&amp;ROW())=C93),1,IF(AND(INDIRECT(A73&amp;ROW())=B95,INDIRECT(A96&amp;ROW())=C94),1,0)))</f>
        <v>0</v>
      </c>
      <c r="J567">
        <f ca="1">IF(AND(INDIRECT(A73&amp;ROW())=B95,INDIRECT(A96&amp;ROW())=C95),1,IF(AND(INDIRECT(A73&amp;ROW())=B95,INDIRECT(A96&amp;ROW())=C96),1,0))</f>
        <v>1</v>
      </c>
      <c r="K567">
        <f ca="1">DAYS360(INDIRECT(C68&amp;ROW()),TODAY())</f>
        <v>697</v>
      </c>
      <c r="L567">
        <f ca="1">DAYS360(INDIRECT(C69&amp;ROW()),TODAY())</f>
        <v>699</v>
      </c>
      <c r="M567">
        <f ca="1">HYPERLINK(CONCATENATE("https://bugzilla.houston.hp.com:1181/bugzilla/show_bug.cgi?id=",INDIRECT(C70&amp;ROW())),INDIRECT(C70&amp;ROW()))</f>
        <v>62879</v>
      </c>
      <c r="N567">
        <v>62879</v>
      </c>
      <c r="O567" t="s">
        <v>55</v>
      </c>
      <c r="P567" t="s">
        <v>1120</v>
      </c>
      <c r="Q567" t="s">
        <v>25</v>
      </c>
      <c r="R567" t="s">
        <v>579</v>
      </c>
      <c r="S567" t="s">
        <v>552</v>
      </c>
      <c r="U567" s="6">
        <v>42149.626400462963</v>
      </c>
      <c r="V567" t="s">
        <v>18</v>
      </c>
      <c r="W567" t="s">
        <v>783</v>
      </c>
      <c r="X567" s="6">
        <v>42147.016736111109</v>
      </c>
      <c r="Y567" t="s">
        <v>125</v>
      </c>
      <c r="AB567" t="s">
        <v>201</v>
      </c>
      <c r="AC567" t="s">
        <v>247</v>
      </c>
      <c r="AD567" t="s">
        <v>222</v>
      </c>
      <c r="AE567" t="s">
        <v>221</v>
      </c>
      <c r="AG567" t="s">
        <v>121</v>
      </c>
      <c r="AH567" t="s">
        <v>327</v>
      </c>
      <c r="AI567" t="s">
        <v>121</v>
      </c>
      <c r="AJ567" t="s">
        <v>716</v>
      </c>
      <c r="AK567" t="s">
        <v>121</v>
      </c>
      <c r="AL567" t="s">
        <v>121</v>
      </c>
      <c r="AM567" t="s">
        <v>121</v>
      </c>
    </row>
    <row r="568" spans="9:39" x14ac:dyDescent="0.3">
      <c r="I568">
        <f ca="1">IF(OR(INDIRECT(A73&amp;ROW())=B93,INDIRECT(A73&amp;ROW())=B94),1,IF(AND(INDIRECT(A73&amp;ROW())=B95,INDIRECT(A96&amp;ROW())=C93),1,IF(AND(INDIRECT(A73&amp;ROW())=B95,INDIRECT(A96&amp;ROW())=C94),1,0)))</f>
        <v>0</v>
      </c>
      <c r="J568">
        <f ca="1">IF(AND(INDIRECT(A73&amp;ROW())=B95,INDIRECT(A96&amp;ROW())=C95),1,IF(AND(INDIRECT(A73&amp;ROW())=B95,INDIRECT(A96&amp;ROW())=C96),1,0))</f>
        <v>1</v>
      </c>
      <c r="K568">
        <f ca="1">DAYS360(INDIRECT(C68&amp;ROW()),TODAY())</f>
        <v>697</v>
      </c>
      <c r="L568">
        <f ca="1">DAYS360(INDIRECT(C69&amp;ROW()),TODAY())</f>
        <v>699</v>
      </c>
      <c r="M568">
        <f ca="1">HYPERLINK(CONCATENATE("https://bugzilla.houston.hp.com:1181/bugzilla/show_bug.cgi?id=",INDIRECT(C70&amp;ROW())),INDIRECT(C70&amp;ROW()))</f>
        <v>62881</v>
      </c>
      <c r="N568">
        <v>62881</v>
      </c>
      <c r="O568" t="s">
        <v>55</v>
      </c>
      <c r="P568" t="s">
        <v>1118</v>
      </c>
      <c r="Q568" t="s">
        <v>25</v>
      </c>
      <c r="R568" t="s">
        <v>248</v>
      </c>
      <c r="S568" t="s">
        <v>552</v>
      </c>
      <c r="U568" s="6">
        <v>42149.626388888886</v>
      </c>
      <c r="V568" t="s">
        <v>18</v>
      </c>
      <c r="W568" t="s">
        <v>783</v>
      </c>
      <c r="X568" s="6">
        <v>42147.016898148147</v>
      </c>
      <c r="Y568" t="s">
        <v>125</v>
      </c>
      <c r="AB568" t="s">
        <v>201</v>
      </c>
      <c r="AC568" t="s">
        <v>247</v>
      </c>
      <c r="AD568" t="s">
        <v>222</v>
      </c>
      <c r="AE568" t="s">
        <v>221</v>
      </c>
      <c r="AG568" t="s">
        <v>121</v>
      </c>
      <c r="AH568" t="s">
        <v>327</v>
      </c>
      <c r="AI568" t="s">
        <v>121</v>
      </c>
      <c r="AJ568" t="s">
        <v>716</v>
      </c>
      <c r="AK568" t="s">
        <v>121</v>
      </c>
      <c r="AL568" t="s">
        <v>121</v>
      </c>
      <c r="AM568" t="s">
        <v>121</v>
      </c>
    </row>
    <row r="569" spans="9:39" x14ac:dyDescent="0.3">
      <c r="I569">
        <f ca="1">IF(OR(INDIRECT(A73&amp;ROW())=B93,INDIRECT(A73&amp;ROW())=B94),1,IF(AND(INDIRECT(A73&amp;ROW())=B95,INDIRECT(A96&amp;ROW())=C93),1,IF(AND(INDIRECT(A73&amp;ROW())=B95,INDIRECT(A96&amp;ROW())=C94),1,0)))</f>
        <v>0</v>
      </c>
      <c r="J569">
        <f ca="1">IF(AND(INDIRECT(A73&amp;ROW())=B95,INDIRECT(A96&amp;ROW())=C95),1,IF(AND(INDIRECT(A73&amp;ROW())=B95,INDIRECT(A96&amp;ROW())=C96),1,0))</f>
        <v>1</v>
      </c>
      <c r="K569">
        <f ca="1">DAYS360(INDIRECT(C68&amp;ROW()),TODAY())</f>
        <v>697</v>
      </c>
      <c r="L569">
        <f ca="1">DAYS360(INDIRECT(C69&amp;ROW()),TODAY())</f>
        <v>699</v>
      </c>
      <c r="M569">
        <f ca="1">HYPERLINK(CONCATENATE("https://bugzilla.houston.hp.com:1181/bugzilla/show_bug.cgi?id=",INDIRECT(C70&amp;ROW())),INDIRECT(C70&amp;ROW()))</f>
        <v>62883</v>
      </c>
      <c r="N569">
        <v>62883</v>
      </c>
      <c r="O569" t="s">
        <v>55</v>
      </c>
      <c r="P569" t="s">
        <v>1437</v>
      </c>
      <c r="Q569" t="s">
        <v>25</v>
      </c>
      <c r="R569" t="s">
        <v>1375</v>
      </c>
      <c r="S569" t="s">
        <v>552</v>
      </c>
      <c r="U569" s="6">
        <v>42149.626423611109</v>
      </c>
      <c r="V569" t="s">
        <v>18</v>
      </c>
      <c r="W569" t="s">
        <v>783</v>
      </c>
      <c r="X569" s="6">
        <v>42147.017025462963</v>
      </c>
      <c r="Y569" t="s">
        <v>125</v>
      </c>
      <c r="AB569" t="s">
        <v>201</v>
      </c>
      <c r="AC569" t="s">
        <v>247</v>
      </c>
      <c r="AD569" t="s">
        <v>222</v>
      </c>
      <c r="AE569" t="s">
        <v>221</v>
      </c>
      <c r="AG569" t="s">
        <v>121</v>
      </c>
      <c r="AH569" t="s">
        <v>327</v>
      </c>
      <c r="AI569" t="s">
        <v>121</v>
      </c>
      <c r="AJ569" t="s">
        <v>716</v>
      </c>
      <c r="AK569" t="s">
        <v>121</v>
      </c>
      <c r="AL569" t="s">
        <v>121</v>
      </c>
      <c r="AM569" t="s">
        <v>121</v>
      </c>
    </row>
    <row r="570" spans="9:39" x14ac:dyDescent="0.3">
      <c r="I570">
        <f ca="1">IF(OR(INDIRECT(A73&amp;ROW())=B93,INDIRECT(A73&amp;ROW())=B94),1,IF(AND(INDIRECT(A73&amp;ROW())=B95,INDIRECT(A96&amp;ROW())=C93),1,IF(AND(INDIRECT(A73&amp;ROW())=B95,INDIRECT(A96&amp;ROW())=C94),1,0)))</f>
        <v>0</v>
      </c>
      <c r="J570">
        <f ca="1">IF(AND(INDIRECT(A73&amp;ROW())=B95,INDIRECT(A96&amp;ROW())=C95),1,IF(AND(INDIRECT(A73&amp;ROW())=B95,INDIRECT(A96&amp;ROW())=C96),1,0))</f>
        <v>1</v>
      </c>
      <c r="K570">
        <f ca="1">DAYS360(INDIRECT(C68&amp;ROW()),TODAY())</f>
        <v>620</v>
      </c>
      <c r="L570">
        <f ca="1">DAYS360(INDIRECT(C69&amp;ROW()),TODAY())</f>
        <v>699</v>
      </c>
      <c r="M570">
        <f ca="1">HYPERLINK(CONCATENATE("https://bugzilla.houston.hp.com:1181/bugzilla/show_bug.cgi?id=",INDIRECT(C70&amp;ROW())),INDIRECT(C70&amp;ROW()))</f>
        <v>62884</v>
      </c>
      <c r="N570">
        <v>62884</v>
      </c>
      <c r="O570" t="s">
        <v>55</v>
      </c>
      <c r="P570" t="s">
        <v>1438</v>
      </c>
      <c r="Q570" t="s">
        <v>25</v>
      </c>
      <c r="R570" t="s">
        <v>1439</v>
      </c>
      <c r="S570" t="s">
        <v>552</v>
      </c>
      <c r="T570" t="s">
        <v>1440</v>
      </c>
      <c r="U570" s="6">
        <v>42228.966828703706</v>
      </c>
      <c r="V570" t="s">
        <v>18</v>
      </c>
      <c r="W570" t="s">
        <v>783</v>
      </c>
      <c r="X570" s="6">
        <v>42147.017094907409</v>
      </c>
      <c r="Y570" t="s">
        <v>125</v>
      </c>
      <c r="AB570" t="s">
        <v>201</v>
      </c>
      <c r="AC570" t="s">
        <v>247</v>
      </c>
      <c r="AD570" t="s">
        <v>222</v>
      </c>
      <c r="AE570" t="s">
        <v>221</v>
      </c>
      <c r="AG570" t="s">
        <v>121</v>
      </c>
      <c r="AH570" t="s">
        <v>327</v>
      </c>
      <c r="AI570" t="s">
        <v>121</v>
      </c>
      <c r="AJ570" t="s">
        <v>716</v>
      </c>
      <c r="AK570" t="s">
        <v>121</v>
      </c>
      <c r="AL570" t="s">
        <v>121</v>
      </c>
      <c r="AM570" t="s">
        <v>121</v>
      </c>
    </row>
    <row r="571" spans="9:39" x14ac:dyDescent="0.3">
      <c r="I571">
        <f ca="1">IF(OR(INDIRECT(A73&amp;ROW())=B93,INDIRECT(A73&amp;ROW())=B94),1,IF(AND(INDIRECT(A73&amp;ROW())=B95,INDIRECT(A96&amp;ROW())=C93),1,IF(AND(INDIRECT(A73&amp;ROW())=B95,INDIRECT(A96&amp;ROW())=C94),1,0)))</f>
        <v>1</v>
      </c>
      <c r="J571">
        <f ca="1">IF(AND(INDIRECT(A73&amp;ROW())=B95,INDIRECT(A96&amp;ROW())=C95),1,IF(AND(INDIRECT(A73&amp;ROW())=B95,INDIRECT(A96&amp;ROW())=C96),1,0))</f>
        <v>0</v>
      </c>
      <c r="K571">
        <f ca="1">DAYS360(INDIRECT(C68&amp;ROW()),TODAY())</f>
        <v>695</v>
      </c>
      <c r="L571">
        <f ca="1">DAYS360(INDIRECT(C69&amp;ROW()),TODAY())</f>
        <v>697</v>
      </c>
      <c r="M571">
        <f ca="1">HYPERLINK(CONCATENATE("https://bugzilla.houston.hp.com:1181/bugzilla/show_bug.cgi?id=",INDIRECT(C70&amp;ROW())),INDIRECT(C70&amp;ROW()))</f>
        <v>62917</v>
      </c>
      <c r="N571">
        <v>62917</v>
      </c>
      <c r="O571" t="s">
        <v>45</v>
      </c>
      <c r="P571" t="s">
        <v>1441</v>
      </c>
      <c r="Q571" t="s">
        <v>25</v>
      </c>
      <c r="R571" t="s">
        <v>251</v>
      </c>
      <c r="S571" t="s">
        <v>1442</v>
      </c>
      <c r="U571" s="6">
        <v>42151.011203703703</v>
      </c>
      <c r="V571" t="s">
        <v>18</v>
      </c>
      <c r="W571" t="s">
        <v>248</v>
      </c>
      <c r="X571" s="6">
        <v>42149.965011574073</v>
      </c>
      <c r="Y571" t="s">
        <v>793</v>
      </c>
      <c r="AB571" t="s">
        <v>199</v>
      </c>
      <c r="AC571" t="s">
        <v>247</v>
      </c>
      <c r="AD571" t="s">
        <v>220</v>
      </c>
      <c r="AE571" t="s">
        <v>219</v>
      </c>
      <c r="AG571" t="s">
        <v>121</v>
      </c>
      <c r="AH571" t="s">
        <v>328</v>
      </c>
      <c r="AI571" t="s">
        <v>121</v>
      </c>
      <c r="AJ571" t="s">
        <v>715</v>
      </c>
      <c r="AK571" t="s">
        <v>121</v>
      </c>
      <c r="AL571" t="s">
        <v>121</v>
      </c>
      <c r="AM571" t="s">
        <v>121</v>
      </c>
    </row>
    <row r="572" spans="9:39" x14ac:dyDescent="0.3">
      <c r="I572">
        <f ca="1">IF(OR(INDIRECT(A73&amp;ROW())=B93,INDIRECT(A73&amp;ROW())=B94),1,IF(AND(INDIRECT(A73&amp;ROW())=B95,INDIRECT(A96&amp;ROW())=C93),1,IF(AND(INDIRECT(A73&amp;ROW())=B95,INDIRECT(A96&amp;ROW())=C94),1,0)))</f>
        <v>0</v>
      </c>
      <c r="J572">
        <f ca="1">IF(AND(INDIRECT(A73&amp;ROW())=B95,INDIRECT(A96&amp;ROW())=C95),1,IF(AND(INDIRECT(A73&amp;ROW())=B95,INDIRECT(A96&amp;ROW())=C96),1,0))</f>
        <v>1</v>
      </c>
      <c r="K572">
        <f ca="1">DAYS360(INDIRECT(C68&amp;ROW()),TODAY())</f>
        <v>673</v>
      </c>
      <c r="L572">
        <f ca="1">DAYS360(INDIRECT(C69&amp;ROW()),TODAY())</f>
        <v>696</v>
      </c>
      <c r="M572">
        <f ca="1">HYPERLINK(CONCATENATE("https://bugzilla.houston.hp.com:1181/bugzilla/show_bug.cgi?id=",INDIRECT(C70&amp;ROW())),INDIRECT(C70&amp;ROW()))</f>
        <v>62959</v>
      </c>
      <c r="N572">
        <v>62959</v>
      </c>
      <c r="O572" t="s">
        <v>21</v>
      </c>
      <c r="P572" t="s">
        <v>1319</v>
      </c>
      <c r="Q572" t="s">
        <v>25</v>
      </c>
      <c r="R572" t="s">
        <v>251</v>
      </c>
      <c r="S572" t="s">
        <v>24</v>
      </c>
      <c r="U572" s="6">
        <v>42174.340300925927</v>
      </c>
      <c r="V572" t="s">
        <v>40</v>
      </c>
      <c r="W572" t="s">
        <v>783</v>
      </c>
      <c r="X572" s="6">
        <v>42150.384166666663</v>
      </c>
      <c r="Y572" t="s">
        <v>119</v>
      </c>
      <c r="AB572" t="s">
        <v>201</v>
      </c>
      <c r="AC572" t="s">
        <v>247</v>
      </c>
      <c r="AD572" t="s">
        <v>222</v>
      </c>
      <c r="AE572" t="s">
        <v>221</v>
      </c>
      <c r="AG572" t="s">
        <v>121</v>
      </c>
      <c r="AH572" t="s">
        <v>327</v>
      </c>
      <c r="AI572" t="s">
        <v>362</v>
      </c>
      <c r="AJ572" t="s">
        <v>716</v>
      </c>
      <c r="AK572" t="s">
        <v>121</v>
      </c>
      <c r="AL572" t="s">
        <v>121</v>
      </c>
      <c r="AM572" t="s">
        <v>121</v>
      </c>
    </row>
    <row r="573" spans="9:39" x14ac:dyDescent="0.3">
      <c r="I573">
        <f ca="1">IF(OR(INDIRECT(A73&amp;ROW())=B93,INDIRECT(A73&amp;ROW())=B94),1,IF(AND(INDIRECT(A73&amp;ROW())=B95,INDIRECT(A96&amp;ROW())=C93),1,IF(AND(INDIRECT(A73&amp;ROW())=B95,INDIRECT(A96&amp;ROW())=C94),1,0)))</f>
        <v>1</v>
      </c>
      <c r="J573">
        <f ca="1">IF(AND(INDIRECT(A73&amp;ROW())=B95,INDIRECT(A96&amp;ROW())=C95),1,IF(AND(INDIRECT(A73&amp;ROW())=B95,INDIRECT(A96&amp;ROW())=C96),1,0))</f>
        <v>0</v>
      </c>
      <c r="K573">
        <f ca="1">DAYS360(INDIRECT(C68&amp;ROW()),TODAY())</f>
        <v>696</v>
      </c>
      <c r="L573">
        <f ca="1">DAYS360(INDIRECT(C69&amp;ROW()),TODAY())</f>
        <v>696</v>
      </c>
      <c r="M573">
        <f ca="1">HYPERLINK(CONCATENATE("https://bugzilla.houston.hp.com:1181/bugzilla/show_bug.cgi?id=",INDIRECT(C70&amp;ROW())),INDIRECT(C70&amp;ROW()))</f>
        <v>62972</v>
      </c>
      <c r="N573">
        <v>62972</v>
      </c>
      <c r="O573" t="s">
        <v>45</v>
      </c>
      <c r="P573" t="s">
        <v>1113</v>
      </c>
      <c r="Q573" t="s">
        <v>25</v>
      </c>
      <c r="R573" t="s">
        <v>248</v>
      </c>
      <c r="S573" t="s">
        <v>552</v>
      </c>
      <c r="U573" s="6">
        <v>42150.455312500002</v>
      </c>
      <c r="V573" t="s">
        <v>18</v>
      </c>
      <c r="W573" t="s">
        <v>248</v>
      </c>
      <c r="X573" s="6">
        <v>42150.455312500002</v>
      </c>
      <c r="Y573" t="s">
        <v>793</v>
      </c>
      <c r="AB573" t="s">
        <v>199</v>
      </c>
      <c r="AC573" t="s">
        <v>247</v>
      </c>
      <c r="AD573" t="s">
        <v>220</v>
      </c>
      <c r="AE573" t="s">
        <v>219</v>
      </c>
      <c r="AG573" t="s">
        <v>121</v>
      </c>
      <c r="AH573" t="s">
        <v>328</v>
      </c>
      <c r="AI573" t="s">
        <v>121</v>
      </c>
      <c r="AJ573" t="s">
        <v>715</v>
      </c>
      <c r="AK573" t="s">
        <v>121</v>
      </c>
      <c r="AL573" t="s">
        <v>121</v>
      </c>
      <c r="AM573" t="s">
        <v>121</v>
      </c>
    </row>
    <row r="574" spans="9:39" x14ac:dyDescent="0.3">
      <c r="I574">
        <f ca="1">IF(OR(INDIRECT(A73&amp;ROW())=B93,INDIRECT(A73&amp;ROW())=B94),1,IF(AND(INDIRECT(A73&amp;ROW())=B95,INDIRECT(A96&amp;ROW())=C93),1,IF(AND(INDIRECT(A73&amp;ROW())=B95,INDIRECT(A96&amp;ROW())=C94),1,0)))</f>
        <v>0</v>
      </c>
      <c r="J574">
        <f ca="1">IF(AND(INDIRECT(A73&amp;ROW())=B95,INDIRECT(A96&amp;ROW())=C95),1,IF(AND(INDIRECT(A73&amp;ROW())=B95,INDIRECT(A96&amp;ROW())=C96),1,0))</f>
        <v>1</v>
      </c>
      <c r="K574">
        <f ca="1">DAYS360(INDIRECT(C68&amp;ROW()),TODAY())</f>
        <v>673</v>
      </c>
      <c r="L574">
        <f ca="1">DAYS360(INDIRECT(C69&amp;ROW()),TODAY())</f>
        <v>696</v>
      </c>
      <c r="M574">
        <f ca="1">HYPERLINK(CONCATENATE("https://bugzilla.houston.hp.com:1181/bugzilla/show_bug.cgi?id=",INDIRECT(C70&amp;ROW())),INDIRECT(C70&amp;ROW()))</f>
        <v>62976</v>
      </c>
      <c r="N574">
        <v>62976</v>
      </c>
      <c r="O574" t="s">
        <v>21</v>
      </c>
      <c r="P574" t="s">
        <v>1318</v>
      </c>
      <c r="Q574" t="s">
        <v>25</v>
      </c>
      <c r="R574" t="s">
        <v>783</v>
      </c>
      <c r="S574" t="s">
        <v>552</v>
      </c>
      <c r="U574" s="6">
        <v>42174.338483796295</v>
      </c>
      <c r="V574" t="s">
        <v>40</v>
      </c>
      <c r="W574" t="s">
        <v>783</v>
      </c>
      <c r="X574" s="6">
        <v>42150.457615740743</v>
      </c>
      <c r="Y574" t="s">
        <v>119</v>
      </c>
      <c r="AB574" t="s">
        <v>201</v>
      </c>
      <c r="AC574" t="s">
        <v>247</v>
      </c>
      <c r="AD574" t="s">
        <v>222</v>
      </c>
      <c r="AE574" t="s">
        <v>221</v>
      </c>
      <c r="AG574" t="s">
        <v>588</v>
      </c>
      <c r="AH574" t="s">
        <v>327</v>
      </c>
      <c r="AI574" t="s">
        <v>362</v>
      </c>
      <c r="AJ574" t="s">
        <v>716</v>
      </c>
      <c r="AK574" t="s">
        <v>121</v>
      </c>
      <c r="AL574" t="s">
        <v>121</v>
      </c>
      <c r="AM574" t="s">
        <v>121</v>
      </c>
    </row>
    <row r="575" spans="9:39" x14ac:dyDescent="0.3">
      <c r="I575">
        <f ca="1">IF(OR(INDIRECT(A73&amp;ROW())=B93,INDIRECT(A73&amp;ROW())=B94),1,IF(AND(INDIRECT(A73&amp;ROW())=B95,INDIRECT(A96&amp;ROW())=C93),1,IF(AND(INDIRECT(A73&amp;ROW())=B95,INDIRECT(A96&amp;ROW())=C94),1,0)))</f>
        <v>0</v>
      </c>
      <c r="J575">
        <f ca="1">IF(AND(INDIRECT(A73&amp;ROW())=B95,INDIRECT(A96&amp;ROW())=C95),1,IF(AND(INDIRECT(A73&amp;ROW())=B95,INDIRECT(A96&amp;ROW())=C96),1,0))</f>
        <v>1</v>
      </c>
      <c r="K575">
        <f ca="1">DAYS360(INDIRECT(C68&amp;ROW()),TODAY())</f>
        <v>673</v>
      </c>
      <c r="L575">
        <f ca="1">DAYS360(INDIRECT(C69&amp;ROW()),TODAY())</f>
        <v>696</v>
      </c>
      <c r="M575">
        <f ca="1">HYPERLINK(CONCATENATE("https://bugzilla.houston.hp.com:1181/bugzilla/show_bug.cgi?id=",INDIRECT(C70&amp;ROW())),INDIRECT(C70&amp;ROW()))</f>
        <v>62977</v>
      </c>
      <c r="N575">
        <v>62977</v>
      </c>
      <c r="O575" t="s">
        <v>21</v>
      </c>
      <c r="P575" t="s">
        <v>1317</v>
      </c>
      <c r="Q575" t="s">
        <v>25</v>
      </c>
      <c r="R575" t="s">
        <v>248</v>
      </c>
      <c r="S575" t="s">
        <v>552</v>
      </c>
      <c r="U575" s="6">
        <v>42174.339074074072</v>
      </c>
      <c r="V575" t="s">
        <v>40</v>
      </c>
      <c r="W575" t="s">
        <v>783</v>
      </c>
      <c r="X575" s="6">
        <v>42150.457673611112</v>
      </c>
      <c r="Y575" t="s">
        <v>119</v>
      </c>
      <c r="AB575" t="s">
        <v>201</v>
      </c>
      <c r="AC575" t="s">
        <v>247</v>
      </c>
      <c r="AD575" t="s">
        <v>222</v>
      </c>
      <c r="AE575" t="s">
        <v>221</v>
      </c>
      <c r="AG575" t="s">
        <v>121</v>
      </c>
      <c r="AH575" t="s">
        <v>327</v>
      </c>
      <c r="AI575" t="s">
        <v>121</v>
      </c>
      <c r="AJ575" t="s">
        <v>716</v>
      </c>
      <c r="AK575" t="s">
        <v>121</v>
      </c>
      <c r="AL575" t="s">
        <v>121</v>
      </c>
      <c r="AM575" t="s">
        <v>121</v>
      </c>
    </row>
    <row r="576" spans="9:39" x14ac:dyDescent="0.3">
      <c r="I576">
        <f ca="1">IF(OR(INDIRECT(A73&amp;ROW())=B93,INDIRECT(A73&amp;ROW())=B94),1,IF(AND(INDIRECT(A73&amp;ROW())=B95,INDIRECT(A96&amp;ROW())=C93),1,IF(AND(INDIRECT(A73&amp;ROW())=B95,INDIRECT(A96&amp;ROW())=C94),1,0)))</f>
        <v>1</v>
      </c>
      <c r="J576">
        <f ca="1">IF(AND(INDIRECT(A73&amp;ROW())=B95,INDIRECT(A96&amp;ROW())=C95),1,IF(AND(INDIRECT(A73&amp;ROW())=B95,INDIRECT(A96&amp;ROW())=C96),1,0))</f>
        <v>0</v>
      </c>
      <c r="K576">
        <f ca="1">DAYS360(INDIRECT(C68&amp;ROW()),TODAY())</f>
        <v>677</v>
      </c>
      <c r="L576">
        <f ca="1">DAYS360(INDIRECT(C69&amp;ROW()),TODAY())</f>
        <v>693</v>
      </c>
      <c r="M576">
        <f ca="1">HYPERLINK(CONCATENATE("https://bugzilla.houston.hp.com:1181/bugzilla/show_bug.cgi?id=",INDIRECT(C70&amp;ROW())),INDIRECT(C70&amp;ROW()))</f>
        <v>63161</v>
      </c>
      <c r="N576">
        <v>63161</v>
      </c>
      <c r="O576" t="s">
        <v>22</v>
      </c>
      <c r="P576" t="s">
        <v>1148</v>
      </c>
      <c r="Q576" t="s">
        <v>39</v>
      </c>
      <c r="R576" t="s">
        <v>251</v>
      </c>
      <c r="S576" t="s">
        <v>24</v>
      </c>
      <c r="U576" s="6">
        <v>42170.644791666666</v>
      </c>
      <c r="V576" t="s">
        <v>18</v>
      </c>
      <c r="W576" t="s">
        <v>783</v>
      </c>
      <c r="X576" s="6">
        <v>42153.347361111111</v>
      </c>
      <c r="Y576" t="s">
        <v>119</v>
      </c>
      <c r="AB576" t="s">
        <v>201</v>
      </c>
      <c r="AC576" t="s">
        <v>247</v>
      </c>
      <c r="AD576" t="s">
        <v>220</v>
      </c>
      <c r="AE576" t="s">
        <v>224</v>
      </c>
      <c r="AG576" t="s">
        <v>121</v>
      </c>
      <c r="AH576" t="s">
        <v>327</v>
      </c>
      <c r="AI576" t="s">
        <v>121</v>
      </c>
      <c r="AJ576" t="s">
        <v>715</v>
      </c>
      <c r="AK576" t="s">
        <v>121</v>
      </c>
      <c r="AL576" t="s">
        <v>121</v>
      </c>
      <c r="AM576" t="s">
        <v>121</v>
      </c>
    </row>
    <row r="577" spans="9:39" x14ac:dyDescent="0.3">
      <c r="I577">
        <f ca="1">IF(OR(INDIRECT(A73&amp;ROW())=B93,INDIRECT(A73&amp;ROW())=B94),1,IF(AND(INDIRECT(A73&amp;ROW())=B95,INDIRECT(A96&amp;ROW())=C93),1,IF(AND(INDIRECT(A73&amp;ROW())=B95,INDIRECT(A96&amp;ROW())=C94),1,0)))</f>
        <v>0</v>
      </c>
      <c r="J577">
        <f ca="1">IF(AND(INDIRECT(A73&amp;ROW())=B95,INDIRECT(A96&amp;ROW())=C95),1,IF(AND(INDIRECT(A73&amp;ROW())=B95,INDIRECT(A96&amp;ROW())=C96),1,0))</f>
        <v>1</v>
      </c>
      <c r="K577">
        <f ca="1">DAYS360(INDIRECT(C68&amp;ROW()),TODAY())</f>
        <v>673</v>
      </c>
      <c r="L577">
        <f ca="1">DAYS360(INDIRECT(C69&amp;ROW()),TODAY())</f>
        <v>693</v>
      </c>
      <c r="M577">
        <f ca="1">HYPERLINK(CONCATENATE("https://bugzilla.houston.hp.com:1181/bugzilla/show_bug.cgi?id=",INDIRECT(C70&amp;ROW())),INDIRECT(C70&amp;ROW()))</f>
        <v>63164</v>
      </c>
      <c r="N577">
        <v>63164</v>
      </c>
      <c r="O577" t="s">
        <v>66</v>
      </c>
      <c r="P577" t="s">
        <v>1147</v>
      </c>
      <c r="Q577" t="s">
        <v>25</v>
      </c>
      <c r="R577" t="s">
        <v>251</v>
      </c>
      <c r="S577" t="s">
        <v>24</v>
      </c>
      <c r="U577" s="6">
        <v>42174.728101851855</v>
      </c>
      <c r="V577" t="s">
        <v>18</v>
      </c>
      <c r="W577" t="s">
        <v>783</v>
      </c>
      <c r="X577" s="6">
        <v>42153.384872685187</v>
      </c>
      <c r="Y577" t="s">
        <v>119</v>
      </c>
      <c r="AB577" t="s">
        <v>201</v>
      </c>
      <c r="AC577" t="s">
        <v>247</v>
      </c>
      <c r="AD577" t="s">
        <v>222</v>
      </c>
      <c r="AE577" t="s">
        <v>225</v>
      </c>
      <c r="AG577" t="s">
        <v>121</v>
      </c>
      <c r="AH577" t="s">
        <v>327</v>
      </c>
      <c r="AI577" t="s">
        <v>121</v>
      </c>
      <c r="AJ577" t="s">
        <v>716</v>
      </c>
      <c r="AK577" t="s">
        <v>121</v>
      </c>
      <c r="AL577" t="s">
        <v>121</v>
      </c>
      <c r="AM577" t="s">
        <v>121</v>
      </c>
    </row>
    <row r="578" spans="9:39" x14ac:dyDescent="0.3">
      <c r="I578">
        <f ca="1">IF(OR(INDIRECT(A73&amp;ROW())=B93,INDIRECT(A73&amp;ROW())=B94),1,IF(AND(INDIRECT(A73&amp;ROW())=B95,INDIRECT(A96&amp;ROW())=C93),1,IF(AND(INDIRECT(A73&amp;ROW())=B95,INDIRECT(A96&amp;ROW())=C94),1,0)))</f>
        <v>1</v>
      </c>
      <c r="J578">
        <f ca="1">IF(AND(INDIRECT(A73&amp;ROW())=B95,INDIRECT(A96&amp;ROW())=C95),1,IF(AND(INDIRECT(A73&amp;ROW())=B95,INDIRECT(A96&amp;ROW())=C96),1,0))</f>
        <v>0</v>
      </c>
      <c r="K578">
        <f ca="1">DAYS360(INDIRECT(C68&amp;ROW()),TODAY())</f>
        <v>676</v>
      </c>
      <c r="L578">
        <f ca="1">DAYS360(INDIRECT(C69&amp;ROW()),TODAY())</f>
        <v>693</v>
      </c>
      <c r="M578">
        <f ca="1">HYPERLINK(CONCATENATE("https://bugzilla.houston.hp.com:1181/bugzilla/show_bug.cgi?id=",INDIRECT(C70&amp;ROW())),INDIRECT(C70&amp;ROW()))</f>
        <v>63170</v>
      </c>
      <c r="N578">
        <v>63170</v>
      </c>
      <c r="O578" t="s">
        <v>66</v>
      </c>
      <c r="P578" t="s">
        <v>1145</v>
      </c>
      <c r="Q578" t="s">
        <v>39</v>
      </c>
      <c r="R578" t="s">
        <v>579</v>
      </c>
      <c r="S578" t="s">
        <v>552</v>
      </c>
      <c r="U578" s="6">
        <v>42171.567754629628</v>
      </c>
      <c r="V578" t="s">
        <v>18</v>
      </c>
      <c r="W578" t="s">
        <v>783</v>
      </c>
      <c r="X578" s="6">
        <v>42153.40253472222</v>
      </c>
      <c r="Y578" t="s">
        <v>119</v>
      </c>
      <c r="AB578" t="s">
        <v>201</v>
      </c>
      <c r="AC578" t="s">
        <v>247</v>
      </c>
      <c r="AD578" t="s">
        <v>220</v>
      </c>
      <c r="AE578" t="s">
        <v>224</v>
      </c>
      <c r="AG578" t="s">
        <v>121</v>
      </c>
      <c r="AH578" t="s">
        <v>327</v>
      </c>
      <c r="AI578" t="s">
        <v>121</v>
      </c>
      <c r="AJ578" t="s">
        <v>715</v>
      </c>
      <c r="AK578" t="s">
        <v>121</v>
      </c>
      <c r="AL578" t="s">
        <v>121</v>
      </c>
      <c r="AM578" t="s">
        <v>121</v>
      </c>
    </row>
    <row r="579" spans="9:39" x14ac:dyDescent="0.3">
      <c r="I579">
        <f ca="1">IF(OR(INDIRECT(A73&amp;ROW())=B93,INDIRECT(A73&amp;ROW())=B94),1,IF(AND(INDIRECT(A73&amp;ROW())=B95,INDIRECT(A96&amp;ROW())=C93),1,IF(AND(INDIRECT(A73&amp;ROW())=B95,INDIRECT(A96&amp;ROW())=C94),1,0)))</f>
        <v>1</v>
      </c>
      <c r="J579">
        <f ca="1">IF(AND(INDIRECT(A73&amp;ROW())=B95,INDIRECT(A96&amp;ROW())=C95),1,IF(AND(INDIRECT(A73&amp;ROW())=B95,INDIRECT(A96&amp;ROW())=C96),1,0))</f>
        <v>0</v>
      </c>
      <c r="K579">
        <f ca="1">DAYS360(INDIRECT(C68&amp;ROW()),TODAY())</f>
        <v>676</v>
      </c>
      <c r="L579">
        <f ca="1">DAYS360(INDIRECT(C69&amp;ROW()),TODAY())</f>
        <v>693</v>
      </c>
      <c r="M579">
        <f ca="1">HYPERLINK(CONCATENATE("https://bugzilla.houston.hp.com:1181/bugzilla/show_bug.cgi?id=",INDIRECT(C70&amp;ROW())),INDIRECT(C70&amp;ROW()))</f>
        <v>63172</v>
      </c>
      <c r="N579">
        <v>63172</v>
      </c>
      <c r="O579" t="s">
        <v>66</v>
      </c>
      <c r="P579" t="s">
        <v>1143</v>
      </c>
      <c r="Q579" t="s">
        <v>39</v>
      </c>
      <c r="R579" t="s">
        <v>248</v>
      </c>
      <c r="S579" t="s">
        <v>552</v>
      </c>
      <c r="U579" s="6">
        <v>42171.56659722222</v>
      </c>
      <c r="V579" t="s">
        <v>18</v>
      </c>
      <c r="W579" t="s">
        <v>783</v>
      </c>
      <c r="X579" s="6">
        <v>42153.402638888889</v>
      </c>
      <c r="Y579" t="s">
        <v>119</v>
      </c>
      <c r="AB579" t="s">
        <v>201</v>
      </c>
      <c r="AC579" t="s">
        <v>247</v>
      </c>
      <c r="AD579" t="s">
        <v>220</v>
      </c>
      <c r="AE579" t="s">
        <v>224</v>
      </c>
      <c r="AG579" t="s">
        <v>121</v>
      </c>
      <c r="AH579" t="s">
        <v>327</v>
      </c>
      <c r="AI579" t="s">
        <v>121</v>
      </c>
      <c r="AJ579" t="s">
        <v>715</v>
      </c>
      <c r="AK579" t="s">
        <v>121</v>
      </c>
      <c r="AL579" t="s">
        <v>121</v>
      </c>
      <c r="AM579" t="s">
        <v>121</v>
      </c>
    </row>
    <row r="580" spans="9:39" x14ac:dyDescent="0.3">
      <c r="I580">
        <f ca="1">IF(OR(INDIRECT(A73&amp;ROW())=B93,INDIRECT(A73&amp;ROW())=B94),1,IF(AND(INDIRECT(A73&amp;ROW())=B95,INDIRECT(A96&amp;ROW())=C93),1,IF(AND(INDIRECT(A73&amp;ROW())=B95,INDIRECT(A96&amp;ROW())=C94),1,0)))</f>
        <v>0</v>
      </c>
      <c r="J580">
        <f ca="1">IF(AND(INDIRECT(A73&amp;ROW())=B95,INDIRECT(A96&amp;ROW())=C95),1,IF(AND(INDIRECT(A73&amp;ROW())=B95,INDIRECT(A96&amp;ROW())=C96),1,0))</f>
        <v>1</v>
      </c>
      <c r="K580">
        <f ca="1">DAYS360(INDIRECT(C68&amp;ROW()),TODAY())</f>
        <v>676</v>
      </c>
      <c r="L580">
        <f ca="1">DAYS360(INDIRECT(C69&amp;ROW()),TODAY())</f>
        <v>693</v>
      </c>
      <c r="M580">
        <f ca="1">HYPERLINK(CONCATENATE("https://bugzilla.houston.hp.com:1181/bugzilla/show_bug.cgi?id=",INDIRECT(C70&amp;ROW())),INDIRECT(C70&amp;ROW()))</f>
        <v>63173</v>
      </c>
      <c r="N580">
        <v>63173</v>
      </c>
      <c r="O580" t="s">
        <v>66</v>
      </c>
      <c r="P580" t="s">
        <v>1142</v>
      </c>
      <c r="Q580" t="s">
        <v>25</v>
      </c>
      <c r="R580" t="s">
        <v>579</v>
      </c>
      <c r="S580" t="s">
        <v>552</v>
      </c>
      <c r="U580" s="6">
        <v>42171.565740740742</v>
      </c>
      <c r="V580" t="s">
        <v>18</v>
      </c>
      <c r="W580" t="s">
        <v>783</v>
      </c>
      <c r="X580" s="6">
        <v>42153.402858796297</v>
      </c>
      <c r="Y580" t="s">
        <v>119</v>
      </c>
      <c r="AB580" t="s">
        <v>201</v>
      </c>
      <c r="AC580" t="s">
        <v>247</v>
      </c>
      <c r="AD580" t="s">
        <v>222</v>
      </c>
      <c r="AE580" t="s">
        <v>225</v>
      </c>
      <c r="AG580" t="s">
        <v>121</v>
      </c>
      <c r="AH580" t="s">
        <v>327</v>
      </c>
      <c r="AI580" t="s">
        <v>121</v>
      </c>
      <c r="AJ580" t="s">
        <v>716</v>
      </c>
      <c r="AK580" t="s">
        <v>121</v>
      </c>
      <c r="AL580" t="s">
        <v>121</v>
      </c>
      <c r="AM580" t="s">
        <v>121</v>
      </c>
    </row>
    <row r="581" spans="9:39" x14ac:dyDescent="0.3">
      <c r="I581">
        <f ca="1">IF(OR(INDIRECT(A73&amp;ROW())=B93,INDIRECT(A73&amp;ROW())=B94),1,IF(AND(INDIRECT(A73&amp;ROW())=B95,INDIRECT(A96&amp;ROW())=C93),1,IF(AND(INDIRECT(A73&amp;ROW())=B95,INDIRECT(A96&amp;ROW())=C94),1,0)))</f>
        <v>0</v>
      </c>
      <c r="J581">
        <f ca="1">IF(AND(INDIRECT(A73&amp;ROW())=B95,INDIRECT(A96&amp;ROW())=C95),1,IF(AND(INDIRECT(A73&amp;ROW())=B95,INDIRECT(A96&amp;ROW())=C96),1,0))</f>
        <v>1</v>
      </c>
      <c r="K581">
        <f ca="1">DAYS360(INDIRECT(C68&amp;ROW()),TODAY())</f>
        <v>676</v>
      </c>
      <c r="L581">
        <f ca="1">DAYS360(INDIRECT(C69&amp;ROW()),TODAY())</f>
        <v>693</v>
      </c>
      <c r="M581">
        <f ca="1">HYPERLINK(CONCATENATE("https://bugzilla.houston.hp.com:1181/bugzilla/show_bug.cgi?id=",INDIRECT(C70&amp;ROW())),INDIRECT(C70&amp;ROW()))</f>
        <v>63174</v>
      </c>
      <c r="N581">
        <v>63174</v>
      </c>
      <c r="O581" t="s">
        <v>66</v>
      </c>
      <c r="P581" t="s">
        <v>1141</v>
      </c>
      <c r="Q581" t="s">
        <v>25</v>
      </c>
      <c r="R581" t="s">
        <v>783</v>
      </c>
      <c r="S581" t="s">
        <v>552</v>
      </c>
      <c r="U581" s="6">
        <v>42171.565034722225</v>
      </c>
      <c r="V581" t="s">
        <v>18</v>
      </c>
      <c r="W581" t="s">
        <v>783</v>
      </c>
      <c r="X581" s="6">
        <v>42153.402905092589</v>
      </c>
      <c r="Y581" t="s">
        <v>119</v>
      </c>
      <c r="AB581" t="s">
        <v>201</v>
      </c>
      <c r="AC581" t="s">
        <v>247</v>
      </c>
      <c r="AD581" t="s">
        <v>222</v>
      </c>
      <c r="AE581" t="s">
        <v>225</v>
      </c>
      <c r="AG581" t="s">
        <v>121</v>
      </c>
      <c r="AH581" t="s">
        <v>327</v>
      </c>
      <c r="AI581" t="s">
        <v>121</v>
      </c>
      <c r="AJ581" t="s">
        <v>716</v>
      </c>
      <c r="AK581" t="s">
        <v>121</v>
      </c>
      <c r="AL581" t="s">
        <v>121</v>
      </c>
      <c r="AM581" t="s">
        <v>121</v>
      </c>
    </row>
    <row r="582" spans="9:39" x14ac:dyDescent="0.3">
      <c r="I582">
        <f ca="1">IF(OR(INDIRECT(A73&amp;ROW())=B93,INDIRECT(A73&amp;ROW())=B94),1,IF(AND(INDIRECT(A73&amp;ROW())=B95,INDIRECT(A96&amp;ROW())=C93),1,IF(AND(INDIRECT(A73&amp;ROW())=B95,INDIRECT(A96&amp;ROW())=C94),1,0)))</f>
        <v>0</v>
      </c>
      <c r="J582">
        <f ca="1">IF(AND(INDIRECT(A73&amp;ROW())=B95,INDIRECT(A96&amp;ROW())=C95),1,IF(AND(INDIRECT(A73&amp;ROW())=B95,INDIRECT(A96&amp;ROW())=C96),1,0))</f>
        <v>1</v>
      </c>
      <c r="K582">
        <f ca="1">DAYS360(INDIRECT(C68&amp;ROW()),TODAY())</f>
        <v>676</v>
      </c>
      <c r="L582">
        <f ca="1">DAYS360(INDIRECT(C69&amp;ROW()),TODAY())</f>
        <v>693</v>
      </c>
      <c r="M582">
        <f ca="1">HYPERLINK(CONCATENATE("https://bugzilla.houston.hp.com:1181/bugzilla/show_bug.cgi?id=",INDIRECT(C70&amp;ROW())),INDIRECT(C70&amp;ROW()))</f>
        <v>63175</v>
      </c>
      <c r="N582">
        <v>63175</v>
      </c>
      <c r="O582" t="s">
        <v>66</v>
      </c>
      <c r="P582" t="s">
        <v>1140</v>
      </c>
      <c r="Q582" t="s">
        <v>25</v>
      </c>
      <c r="R582" t="s">
        <v>248</v>
      </c>
      <c r="S582" t="s">
        <v>552</v>
      </c>
      <c r="U582" s="6">
        <v>42171.564143518517</v>
      </c>
      <c r="V582" t="s">
        <v>18</v>
      </c>
      <c r="W582" t="s">
        <v>783</v>
      </c>
      <c r="X582" s="6">
        <v>42153.402962962966</v>
      </c>
      <c r="Y582" t="s">
        <v>119</v>
      </c>
      <c r="AB582" t="s">
        <v>201</v>
      </c>
      <c r="AC582" t="s">
        <v>247</v>
      </c>
      <c r="AD582" t="s">
        <v>222</v>
      </c>
      <c r="AE582" t="s">
        <v>225</v>
      </c>
      <c r="AG582" t="s">
        <v>121</v>
      </c>
      <c r="AH582" t="s">
        <v>327</v>
      </c>
      <c r="AI582" t="s">
        <v>121</v>
      </c>
      <c r="AJ582" t="s">
        <v>716</v>
      </c>
      <c r="AK582" t="s">
        <v>121</v>
      </c>
      <c r="AL582" t="s">
        <v>121</v>
      </c>
      <c r="AM582" t="s">
        <v>121</v>
      </c>
    </row>
    <row r="583" spans="9:39" x14ac:dyDescent="0.3">
      <c r="I583">
        <f ca="1">IF(OR(INDIRECT(A73&amp;ROW())=B93,INDIRECT(A73&amp;ROW())=B94),1,IF(AND(INDIRECT(A73&amp;ROW())=B95,INDIRECT(A96&amp;ROW())=C93),1,IF(AND(INDIRECT(A73&amp;ROW())=B95,INDIRECT(A96&amp;ROW())=C94),1,0)))</f>
        <v>1</v>
      </c>
      <c r="J583">
        <f ca="1">IF(AND(INDIRECT(A73&amp;ROW())=B95,INDIRECT(A96&amp;ROW())=C95),1,IF(AND(INDIRECT(A73&amp;ROW())=B95,INDIRECT(A96&amp;ROW())=C96),1,0))</f>
        <v>0</v>
      </c>
      <c r="K583">
        <f ca="1">DAYS360(INDIRECT(C68&amp;ROW()),TODAY())</f>
        <v>654</v>
      </c>
      <c r="L583">
        <f ca="1">DAYS360(INDIRECT(C69&amp;ROW()),TODAY())</f>
        <v>693</v>
      </c>
      <c r="M583">
        <f ca="1">HYPERLINK(CONCATENATE("https://bugzilla.houston.hp.com:1181/bugzilla/show_bug.cgi?id=",INDIRECT(C70&amp;ROW())),INDIRECT(C70&amp;ROW()))</f>
        <v>63194</v>
      </c>
      <c r="N583">
        <v>63194</v>
      </c>
      <c r="O583" t="s">
        <v>53</v>
      </c>
      <c r="P583" t="s">
        <v>1197</v>
      </c>
      <c r="Q583" t="s">
        <v>39</v>
      </c>
      <c r="R583" t="s">
        <v>251</v>
      </c>
      <c r="S583" t="s">
        <v>177</v>
      </c>
      <c r="U583" s="6">
        <v>42193.431261574071</v>
      </c>
      <c r="V583" t="s">
        <v>18</v>
      </c>
      <c r="W583" t="s">
        <v>783</v>
      </c>
      <c r="X583" s="6">
        <v>42153.744305555556</v>
      </c>
      <c r="Y583" t="s">
        <v>245</v>
      </c>
      <c r="AB583" t="s">
        <v>201</v>
      </c>
      <c r="AC583" t="s">
        <v>247</v>
      </c>
      <c r="AD583" t="s">
        <v>220</v>
      </c>
      <c r="AE583" t="s">
        <v>219</v>
      </c>
      <c r="AG583" t="s">
        <v>121</v>
      </c>
      <c r="AH583" t="s">
        <v>327</v>
      </c>
      <c r="AI583" t="s">
        <v>121</v>
      </c>
      <c r="AJ583" t="s">
        <v>715</v>
      </c>
      <c r="AK583" t="s">
        <v>121</v>
      </c>
      <c r="AL583" t="s">
        <v>121</v>
      </c>
      <c r="AM583" t="s">
        <v>121</v>
      </c>
    </row>
    <row r="584" spans="9:39" x14ac:dyDescent="0.3">
      <c r="I584">
        <f ca="1">IF(OR(INDIRECT(A73&amp;ROW())=B93,INDIRECT(A73&amp;ROW())=B94),1,IF(AND(INDIRECT(A73&amp;ROW())=B95,INDIRECT(A96&amp;ROW())=C93),1,IF(AND(INDIRECT(A73&amp;ROW())=B95,INDIRECT(A96&amp;ROW())=C94),1,0)))</f>
        <v>1</v>
      </c>
      <c r="J584">
        <f ca="1">IF(AND(INDIRECT(A73&amp;ROW())=B95,INDIRECT(A96&amp;ROW())=C95),1,IF(AND(INDIRECT(A73&amp;ROW())=B95,INDIRECT(A96&amp;ROW())=C96),1,0))</f>
        <v>0</v>
      </c>
      <c r="K584">
        <f ca="1">DAYS360(INDIRECT(C68&amp;ROW()),TODAY())</f>
        <v>693</v>
      </c>
      <c r="L584">
        <f ca="1">DAYS360(INDIRECT(C69&amp;ROW()),TODAY())</f>
        <v>693</v>
      </c>
      <c r="M584">
        <f ca="1">HYPERLINK(CONCATENATE("https://bugzilla.houston.hp.com:1181/bugzilla/show_bug.cgi?id=",INDIRECT(C70&amp;ROW())),INDIRECT(C70&amp;ROW()))</f>
        <v>63196</v>
      </c>
      <c r="N584">
        <v>63196</v>
      </c>
      <c r="O584" t="s">
        <v>53</v>
      </c>
      <c r="P584" t="s">
        <v>1135</v>
      </c>
      <c r="Q584" t="s">
        <v>39</v>
      </c>
      <c r="R584" t="s">
        <v>248</v>
      </c>
      <c r="S584" t="s">
        <v>552</v>
      </c>
      <c r="U584" s="6">
        <v>42153.776805555557</v>
      </c>
      <c r="V584" t="s">
        <v>18</v>
      </c>
      <c r="W584" t="s">
        <v>783</v>
      </c>
      <c r="X584" s="6">
        <v>42153.756909722222</v>
      </c>
      <c r="Y584" t="s">
        <v>245</v>
      </c>
      <c r="AB584" t="s">
        <v>201</v>
      </c>
      <c r="AC584" t="s">
        <v>247</v>
      </c>
      <c r="AD584" t="s">
        <v>220</v>
      </c>
      <c r="AE584" t="s">
        <v>219</v>
      </c>
      <c r="AG584" t="s">
        <v>121</v>
      </c>
      <c r="AH584" t="s">
        <v>327</v>
      </c>
      <c r="AI584" t="s">
        <v>121</v>
      </c>
      <c r="AJ584" t="s">
        <v>715</v>
      </c>
      <c r="AK584" t="s">
        <v>121</v>
      </c>
      <c r="AL584" t="s">
        <v>121</v>
      </c>
      <c r="AM584" t="s">
        <v>121</v>
      </c>
    </row>
    <row r="585" spans="9:39" x14ac:dyDescent="0.3">
      <c r="I585">
        <f ca="1">IF(OR(INDIRECT(A73&amp;ROW())=B93,INDIRECT(A73&amp;ROW())=B94),1,IF(AND(INDIRECT(A73&amp;ROW())=B95,INDIRECT(A96&amp;ROW())=C93),1,IF(AND(INDIRECT(A73&amp;ROW())=B95,INDIRECT(A96&amp;ROW())=C94),1,0)))</f>
        <v>1</v>
      </c>
      <c r="J585">
        <f ca="1">IF(AND(INDIRECT(A73&amp;ROW())=B95,INDIRECT(A96&amp;ROW())=C95),1,IF(AND(INDIRECT(A73&amp;ROW())=B95,INDIRECT(A96&amp;ROW())=C96),1,0))</f>
        <v>0</v>
      </c>
      <c r="K585">
        <f ca="1">DAYS360(INDIRECT(C68&amp;ROW()),TODAY())</f>
        <v>683</v>
      </c>
      <c r="L585">
        <f ca="1">DAYS360(INDIRECT(C69&amp;ROW()),TODAY())</f>
        <v>691</v>
      </c>
      <c r="M585">
        <f ca="1">HYPERLINK(CONCATENATE("https://bugzilla.houston.hp.com:1181/bugzilla/show_bug.cgi?id=",INDIRECT(C70&amp;ROW())),INDIRECT(C70&amp;ROW()))</f>
        <v>63227</v>
      </c>
      <c r="N585">
        <v>63227</v>
      </c>
      <c r="O585" t="s">
        <v>59</v>
      </c>
      <c r="P585" t="s">
        <v>1241</v>
      </c>
      <c r="Q585" t="s">
        <v>25</v>
      </c>
      <c r="R585" t="s">
        <v>251</v>
      </c>
      <c r="S585" t="s">
        <v>62</v>
      </c>
      <c r="U585" s="6">
        <v>42164.316238425927</v>
      </c>
      <c r="V585" t="s">
        <v>35</v>
      </c>
      <c r="W585" t="s">
        <v>783</v>
      </c>
      <c r="X585" s="6">
        <v>42156.199236111112</v>
      </c>
      <c r="Y585" t="s">
        <v>119</v>
      </c>
      <c r="AB585" t="s">
        <v>199</v>
      </c>
      <c r="AC585" t="s">
        <v>247</v>
      </c>
      <c r="AD585" t="s">
        <v>220</v>
      </c>
      <c r="AE585" t="s">
        <v>219</v>
      </c>
      <c r="AG585" t="s">
        <v>121</v>
      </c>
      <c r="AH585" t="s">
        <v>327</v>
      </c>
      <c r="AI585" t="s">
        <v>121</v>
      </c>
      <c r="AJ585" t="s">
        <v>715</v>
      </c>
      <c r="AK585" t="s">
        <v>121</v>
      </c>
      <c r="AL585" t="s">
        <v>121</v>
      </c>
      <c r="AM585" t="s">
        <v>121</v>
      </c>
    </row>
    <row r="586" spans="9:39" x14ac:dyDescent="0.3">
      <c r="I586">
        <f ca="1">IF(OR(INDIRECT(A73&amp;ROW())=B93,INDIRECT(A73&amp;ROW())=B94),1,IF(AND(INDIRECT(A73&amp;ROW())=B95,INDIRECT(A96&amp;ROW())=C93),1,IF(AND(INDIRECT(A73&amp;ROW())=B95,INDIRECT(A96&amp;ROW())=C94),1,0)))</f>
        <v>0</v>
      </c>
      <c r="J586">
        <f ca="1">IF(AND(INDIRECT(A73&amp;ROW())=B95,INDIRECT(A96&amp;ROW())=C95),1,IF(AND(INDIRECT(A73&amp;ROW())=B95,INDIRECT(A96&amp;ROW())=C96),1,0))</f>
        <v>0</v>
      </c>
      <c r="K586">
        <f ca="1">DAYS360(INDIRECT(C68&amp;ROW()),TODAY())</f>
        <v>691</v>
      </c>
      <c r="L586">
        <f ca="1">DAYS360(INDIRECT(C69&amp;ROW()),TODAY())</f>
        <v>691</v>
      </c>
      <c r="M586">
        <f ca="1">HYPERLINK(CONCATENATE("https://bugzilla.houston.hp.com:1181/bugzilla/show_bug.cgi?id=",INDIRECT(C70&amp;ROW())),INDIRECT(C70&amp;ROW()))</f>
        <v>63239</v>
      </c>
      <c r="N586">
        <v>63239</v>
      </c>
      <c r="O586" t="s">
        <v>21</v>
      </c>
      <c r="P586" t="s">
        <v>1196</v>
      </c>
      <c r="Q586" t="s">
        <v>16</v>
      </c>
      <c r="R586" t="s">
        <v>251</v>
      </c>
      <c r="S586" t="s">
        <v>1195</v>
      </c>
      <c r="U586" s="6">
        <v>42156.530868055554</v>
      </c>
      <c r="V586" t="s">
        <v>18</v>
      </c>
      <c r="W586" t="s">
        <v>783</v>
      </c>
      <c r="X586" s="6">
        <v>42156.258599537039</v>
      </c>
      <c r="Y586" t="s">
        <v>793</v>
      </c>
      <c r="AB586" t="s">
        <v>201</v>
      </c>
      <c r="AC586" t="s">
        <v>247</v>
      </c>
      <c r="AD586" t="s">
        <v>222</v>
      </c>
      <c r="AE586" t="s">
        <v>221</v>
      </c>
      <c r="AG586" t="s">
        <v>121</v>
      </c>
      <c r="AH586" t="s">
        <v>327</v>
      </c>
      <c r="AI586" t="s">
        <v>121</v>
      </c>
      <c r="AJ586" t="s">
        <v>717</v>
      </c>
      <c r="AK586" t="s">
        <v>121</v>
      </c>
      <c r="AL586" t="s">
        <v>121</v>
      </c>
      <c r="AM586" t="s">
        <v>121</v>
      </c>
    </row>
    <row r="587" spans="9:39" x14ac:dyDescent="0.3">
      <c r="I587">
        <f ca="1">IF(OR(INDIRECT(A73&amp;ROW())=B93,INDIRECT(A73&amp;ROW())=B94),1,IF(AND(INDIRECT(A73&amp;ROW())=B95,INDIRECT(A96&amp;ROW())=C93),1,IF(AND(INDIRECT(A73&amp;ROW())=B95,INDIRECT(A96&amp;ROW())=C94),1,0)))</f>
        <v>1</v>
      </c>
      <c r="J587">
        <f ca="1">IF(AND(INDIRECT(A73&amp;ROW())=B95,INDIRECT(A96&amp;ROW())=C95),1,IF(AND(INDIRECT(A73&amp;ROW())=B95,INDIRECT(A96&amp;ROW())=C96),1,0))</f>
        <v>0</v>
      </c>
      <c r="K587">
        <f ca="1">DAYS360(INDIRECT(C68&amp;ROW()),TODAY())</f>
        <v>641</v>
      </c>
      <c r="L587">
        <f ca="1">DAYS360(INDIRECT(C69&amp;ROW()),TODAY())</f>
        <v>691</v>
      </c>
      <c r="M587">
        <f ca="1">HYPERLINK(CONCATENATE("https://bugzilla.houston.hp.com:1181/bugzilla/show_bug.cgi?id=",INDIRECT(C70&amp;ROW())),INDIRECT(C70&amp;ROW()))</f>
        <v>63248</v>
      </c>
      <c r="N587">
        <v>63248</v>
      </c>
      <c r="O587" t="s">
        <v>66</v>
      </c>
      <c r="P587" t="s">
        <v>1240</v>
      </c>
      <c r="Q587" t="s">
        <v>25</v>
      </c>
      <c r="R587" t="s">
        <v>783</v>
      </c>
      <c r="S587" t="s">
        <v>552</v>
      </c>
      <c r="U587" s="6">
        <v>42206.093680555554</v>
      </c>
      <c r="V587" t="s">
        <v>18</v>
      </c>
      <c r="W587" t="s">
        <v>783</v>
      </c>
      <c r="X587" s="6">
        <v>42156.306250000001</v>
      </c>
      <c r="Y587" t="s">
        <v>119</v>
      </c>
      <c r="AB587" t="s">
        <v>199</v>
      </c>
      <c r="AC587" t="s">
        <v>247</v>
      </c>
      <c r="AD587" t="s">
        <v>220</v>
      </c>
      <c r="AE587" t="s">
        <v>219</v>
      </c>
      <c r="AG587" t="s">
        <v>337</v>
      </c>
      <c r="AH587" t="s">
        <v>327</v>
      </c>
      <c r="AI587" t="s">
        <v>121</v>
      </c>
      <c r="AJ587" t="s">
        <v>715</v>
      </c>
      <c r="AK587" t="s">
        <v>121</v>
      </c>
      <c r="AL587" t="s">
        <v>121</v>
      </c>
      <c r="AM587" t="s">
        <v>121</v>
      </c>
    </row>
    <row r="588" spans="9:39" x14ac:dyDescent="0.3">
      <c r="I588">
        <f ca="1">IF(OR(INDIRECT(A73&amp;ROW())=B93,INDIRECT(A73&amp;ROW())=B94),1,IF(AND(INDIRECT(A73&amp;ROW())=B95,INDIRECT(A96&amp;ROW())=C93),1,IF(AND(INDIRECT(A73&amp;ROW())=B95,INDIRECT(A96&amp;ROW())=C94),1,0)))</f>
        <v>1</v>
      </c>
      <c r="J588">
        <f ca="1">IF(AND(INDIRECT(A73&amp;ROW())=B95,INDIRECT(A96&amp;ROW())=C95),1,IF(AND(INDIRECT(A73&amp;ROW())=B95,INDIRECT(A96&amp;ROW())=C96),1,0))</f>
        <v>0</v>
      </c>
      <c r="K588">
        <f ca="1">DAYS360(INDIRECT(C68&amp;ROW()),TODAY())</f>
        <v>684</v>
      </c>
      <c r="L588">
        <f ca="1">DAYS360(INDIRECT(C69&amp;ROW()),TODAY())</f>
        <v>691</v>
      </c>
      <c r="M588">
        <f ca="1">HYPERLINK(CONCATENATE("https://bugzilla.houston.hp.com:1181/bugzilla/show_bug.cgi?id=",INDIRECT(C70&amp;ROW())),INDIRECT(C70&amp;ROW()))</f>
        <v>63249</v>
      </c>
      <c r="N588">
        <v>63249</v>
      </c>
      <c r="O588" t="s">
        <v>66</v>
      </c>
      <c r="P588" t="s">
        <v>1239</v>
      </c>
      <c r="Q588" t="s">
        <v>25</v>
      </c>
      <c r="R588" t="s">
        <v>248</v>
      </c>
      <c r="S588" t="s">
        <v>552</v>
      </c>
      <c r="U588" s="6">
        <v>42163.680046296293</v>
      </c>
      <c r="V588" t="s">
        <v>18</v>
      </c>
      <c r="W588" t="s">
        <v>783</v>
      </c>
      <c r="X588" s="6">
        <v>42156.306354166663</v>
      </c>
      <c r="Y588" t="s">
        <v>119</v>
      </c>
      <c r="AB588" t="s">
        <v>199</v>
      </c>
      <c r="AC588" t="s">
        <v>247</v>
      </c>
      <c r="AD588" t="s">
        <v>220</v>
      </c>
      <c r="AE588" t="s">
        <v>219</v>
      </c>
      <c r="AG588" t="s">
        <v>121</v>
      </c>
      <c r="AH588" t="s">
        <v>327</v>
      </c>
      <c r="AI588" t="s">
        <v>121</v>
      </c>
      <c r="AJ588" t="s">
        <v>715</v>
      </c>
      <c r="AK588" t="s">
        <v>121</v>
      </c>
      <c r="AL588" t="s">
        <v>121</v>
      </c>
      <c r="AM588" t="s">
        <v>121</v>
      </c>
    </row>
    <row r="589" spans="9:39" x14ac:dyDescent="0.3">
      <c r="I589">
        <f ca="1">IF(OR(INDIRECT(A73&amp;ROW())=B93,INDIRECT(A73&amp;ROW())=B94),1,IF(AND(INDIRECT(A73&amp;ROW())=B95,INDIRECT(A96&amp;ROW())=C93),1,IF(AND(INDIRECT(A73&amp;ROW())=B95,INDIRECT(A96&amp;ROW())=C94),1,0)))</f>
        <v>0</v>
      </c>
      <c r="J589">
        <f ca="1">IF(AND(INDIRECT(A73&amp;ROW())=B95,INDIRECT(A96&amp;ROW())=C95),1,IF(AND(INDIRECT(A73&amp;ROW())=B95,INDIRECT(A96&amp;ROW())=C96),1,0))</f>
        <v>0</v>
      </c>
      <c r="K589">
        <f ca="1">DAYS360(INDIRECT(C68&amp;ROW()),TODAY())</f>
        <v>691</v>
      </c>
      <c r="L589">
        <f ca="1">DAYS360(INDIRECT(C69&amp;ROW()),TODAY())</f>
        <v>691</v>
      </c>
      <c r="M589">
        <f ca="1">HYPERLINK(CONCATENATE("https://bugzilla.houston.hp.com:1181/bugzilla/show_bug.cgi?id=",INDIRECT(C70&amp;ROW())),INDIRECT(C70&amp;ROW()))</f>
        <v>63272</v>
      </c>
      <c r="N589">
        <v>63272</v>
      </c>
      <c r="O589" t="s">
        <v>21</v>
      </c>
      <c r="P589" t="s">
        <v>1194</v>
      </c>
      <c r="Q589" t="s">
        <v>16</v>
      </c>
      <c r="R589" t="s">
        <v>579</v>
      </c>
      <c r="S589" t="s">
        <v>552</v>
      </c>
      <c r="U589" s="6">
        <v>42156.534791666665</v>
      </c>
      <c r="V589" t="s">
        <v>18</v>
      </c>
      <c r="W589" t="s">
        <v>783</v>
      </c>
      <c r="X589" s="6">
        <v>42156.516979166663</v>
      </c>
      <c r="Y589" t="s">
        <v>793</v>
      </c>
      <c r="AB589" t="s">
        <v>201</v>
      </c>
      <c r="AC589" t="s">
        <v>247</v>
      </c>
      <c r="AD589" t="s">
        <v>222</v>
      </c>
      <c r="AE589" t="s">
        <v>221</v>
      </c>
      <c r="AG589" t="s">
        <v>121</v>
      </c>
      <c r="AH589" t="s">
        <v>327</v>
      </c>
      <c r="AI589" t="s">
        <v>121</v>
      </c>
      <c r="AJ589" t="s">
        <v>716</v>
      </c>
      <c r="AK589" t="s">
        <v>121</v>
      </c>
      <c r="AL589" t="s">
        <v>121</v>
      </c>
      <c r="AM589" t="s">
        <v>121</v>
      </c>
    </row>
    <row r="590" spans="9:39" x14ac:dyDescent="0.3">
      <c r="I590">
        <f ca="1">IF(OR(INDIRECT(A73&amp;ROW())=B93,INDIRECT(A73&amp;ROW())=B94),1,IF(AND(INDIRECT(A73&amp;ROW())=B95,INDIRECT(A96&amp;ROW())=C93),1,IF(AND(INDIRECT(A73&amp;ROW())=B95,INDIRECT(A96&amp;ROW())=C94),1,0)))</f>
        <v>0</v>
      </c>
      <c r="J590">
        <f ca="1">IF(AND(INDIRECT(A73&amp;ROW())=B95,INDIRECT(A96&amp;ROW())=C95),1,IF(AND(INDIRECT(A73&amp;ROW())=B95,INDIRECT(A96&amp;ROW())=C96),1,0))</f>
        <v>0</v>
      </c>
      <c r="K590">
        <f ca="1">DAYS360(INDIRECT(C68&amp;ROW()),TODAY())</f>
        <v>691</v>
      </c>
      <c r="L590">
        <f ca="1">DAYS360(INDIRECT(C69&amp;ROW()),TODAY())</f>
        <v>691</v>
      </c>
      <c r="M590">
        <f ca="1">HYPERLINK(CONCATENATE("https://bugzilla.houston.hp.com:1181/bugzilla/show_bug.cgi?id=",INDIRECT(C70&amp;ROW())),INDIRECT(C70&amp;ROW()))</f>
        <v>63273</v>
      </c>
      <c r="N590">
        <v>63273</v>
      </c>
      <c r="O590" t="s">
        <v>21</v>
      </c>
      <c r="P590" t="s">
        <v>1193</v>
      </c>
      <c r="Q590" t="s">
        <v>16</v>
      </c>
      <c r="R590" t="s">
        <v>783</v>
      </c>
      <c r="S590" t="s">
        <v>552</v>
      </c>
      <c r="U590" s="6">
        <v>42156.534768518519</v>
      </c>
      <c r="V590" t="s">
        <v>18</v>
      </c>
      <c r="W590" t="s">
        <v>783</v>
      </c>
      <c r="X590" s="6">
        <v>42156.51703703704</v>
      </c>
      <c r="Y590" t="s">
        <v>793</v>
      </c>
      <c r="AB590" t="s">
        <v>201</v>
      </c>
      <c r="AC590" t="s">
        <v>247</v>
      </c>
      <c r="AD590" t="s">
        <v>222</v>
      </c>
      <c r="AE590" t="s">
        <v>221</v>
      </c>
      <c r="AG590" t="s">
        <v>121</v>
      </c>
      <c r="AH590" t="s">
        <v>327</v>
      </c>
      <c r="AI590" t="s">
        <v>121</v>
      </c>
      <c r="AJ590" t="s">
        <v>716</v>
      </c>
      <c r="AK590" t="s">
        <v>121</v>
      </c>
      <c r="AL590" t="s">
        <v>121</v>
      </c>
      <c r="AM590" t="s">
        <v>121</v>
      </c>
    </row>
    <row r="591" spans="9:39" x14ac:dyDescent="0.3">
      <c r="I591">
        <f ca="1">IF(OR(INDIRECT(A73&amp;ROW())=B93,INDIRECT(A73&amp;ROW())=B94),1,IF(AND(INDIRECT(A73&amp;ROW())=B95,INDIRECT(A96&amp;ROW())=C93),1,IF(AND(INDIRECT(A73&amp;ROW())=B95,INDIRECT(A96&amp;ROW())=C94),1,0)))</f>
        <v>0</v>
      </c>
      <c r="J591">
        <f ca="1">IF(AND(INDIRECT(A73&amp;ROW())=B95,INDIRECT(A96&amp;ROW())=C95),1,IF(AND(INDIRECT(A73&amp;ROW())=B95,INDIRECT(A96&amp;ROW())=C96),1,0))</f>
        <v>0</v>
      </c>
      <c r="K591">
        <f ca="1">DAYS360(INDIRECT(C68&amp;ROW()),TODAY())</f>
        <v>691</v>
      </c>
      <c r="L591">
        <f ca="1">DAYS360(INDIRECT(C69&amp;ROW()),TODAY())</f>
        <v>691</v>
      </c>
      <c r="M591">
        <f ca="1">HYPERLINK(CONCATENATE("https://bugzilla.houston.hp.com:1181/bugzilla/show_bug.cgi?id=",INDIRECT(C70&amp;ROW())),INDIRECT(C70&amp;ROW()))</f>
        <v>63274</v>
      </c>
      <c r="N591">
        <v>63274</v>
      </c>
      <c r="O591" t="s">
        <v>21</v>
      </c>
      <c r="P591" t="s">
        <v>1192</v>
      </c>
      <c r="Q591" t="s">
        <v>16</v>
      </c>
      <c r="R591" t="s">
        <v>248</v>
      </c>
      <c r="S591" t="s">
        <v>552</v>
      </c>
      <c r="U591" s="6">
        <v>42156.534803240742</v>
      </c>
      <c r="V591" t="s">
        <v>18</v>
      </c>
      <c r="W591" t="s">
        <v>783</v>
      </c>
      <c r="X591" s="6">
        <v>42156.517106481479</v>
      </c>
      <c r="Y591" t="s">
        <v>793</v>
      </c>
      <c r="AB591" t="s">
        <v>201</v>
      </c>
      <c r="AC591" t="s">
        <v>247</v>
      </c>
      <c r="AD591" t="s">
        <v>222</v>
      </c>
      <c r="AE591" t="s">
        <v>221</v>
      </c>
      <c r="AG591" t="s">
        <v>121</v>
      </c>
      <c r="AH591" t="s">
        <v>327</v>
      </c>
      <c r="AI591" t="s">
        <v>121</v>
      </c>
      <c r="AJ591" t="s">
        <v>716</v>
      </c>
      <c r="AK591" t="s">
        <v>121</v>
      </c>
      <c r="AL591" t="s">
        <v>121</v>
      </c>
      <c r="AM591" t="s">
        <v>121</v>
      </c>
    </row>
    <row r="592" spans="9:39" x14ac:dyDescent="0.3">
      <c r="I592">
        <f ca="1">IF(OR(INDIRECT(A73&amp;ROW())=B93,INDIRECT(A73&amp;ROW())=B94),1,IF(AND(INDIRECT(A73&amp;ROW())=B95,INDIRECT(A96&amp;ROW())=C93),1,IF(AND(INDIRECT(A73&amp;ROW())=B95,INDIRECT(A96&amp;ROW())=C94),1,0)))</f>
        <v>1</v>
      </c>
      <c r="J592">
        <f ca="1">IF(AND(INDIRECT(A73&amp;ROW())=B95,INDIRECT(A96&amp;ROW())=C95),1,IF(AND(INDIRECT(A73&amp;ROW())=B95,INDIRECT(A96&amp;ROW())=C96),1,0))</f>
        <v>0</v>
      </c>
      <c r="K592">
        <f ca="1">DAYS360(INDIRECT(C68&amp;ROW()),TODAY())</f>
        <v>660</v>
      </c>
      <c r="L592">
        <f ca="1">DAYS360(INDIRECT(C69&amp;ROW()),TODAY())</f>
        <v>691</v>
      </c>
      <c r="M592">
        <f ca="1">HYPERLINK(CONCATENATE("https://bugzilla.houston.hp.com:1181/bugzilla/show_bug.cgi?id=",INDIRECT(C70&amp;ROW())),INDIRECT(C70&amp;ROW()))</f>
        <v>63278</v>
      </c>
      <c r="N592">
        <v>63278</v>
      </c>
      <c r="O592" t="s">
        <v>66</v>
      </c>
      <c r="P592" t="s">
        <v>1191</v>
      </c>
      <c r="Q592" t="s">
        <v>39</v>
      </c>
      <c r="R592" t="s">
        <v>251</v>
      </c>
      <c r="S592" t="s">
        <v>1102</v>
      </c>
      <c r="U592" s="6">
        <v>42187.41946759259</v>
      </c>
      <c r="V592" t="s">
        <v>18</v>
      </c>
      <c r="W592" t="s">
        <v>17</v>
      </c>
      <c r="X592" s="6">
        <v>42156.525219907409</v>
      </c>
      <c r="Y592" t="s">
        <v>125</v>
      </c>
      <c r="AB592" t="s">
        <v>200</v>
      </c>
      <c r="AC592" t="s">
        <v>247</v>
      </c>
      <c r="AD592" t="s">
        <v>220</v>
      </c>
      <c r="AE592" t="s">
        <v>219</v>
      </c>
      <c r="AG592" t="s">
        <v>121</v>
      </c>
      <c r="AH592" t="s">
        <v>327</v>
      </c>
      <c r="AI592" t="s">
        <v>121</v>
      </c>
      <c r="AJ592" t="s">
        <v>715</v>
      </c>
      <c r="AK592" t="s">
        <v>121</v>
      </c>
      <c r="AL592" t="s">
        <v>121</v>
      </c>
      <c r="AM592" t="s">
        <v>121</v>
      </c>
    </row>
    <row r="593" spans="9:39" x14ac:dyDescent="0.3">
      <c r="I593">
        <f ca="1">IF(OR(INDIRECT(A73&amp;ROW())=B93,INDIRECT(A73&amp;ROW())=B94),1,IF(AND(INDIRECT(A73&amp;ROW())=B95,INDIRECT(A96&amp;ROW())=C93),1,IF(AND(INDIRECT(A73&amp;ROW())=B95,INDIRECT(A96&amp;ROW())=C94),1,0)))</f>
        <v>1</v>
      </c>
      <c r="J593">
        <f ca="1">IF(AND(INDIRECT(A73&amp;ROW())=B95,INDIRECT(A96&amp;ROW())=C95),1,IF(AND(INDIRECT(A73&amp;ROW())=B95,INDIRECT(A96&amp;ROW())=C96),1,0))</f>
        <v>0</v>
      </c>
      <c r="K593">
        <f ca="1">DAYS360(INDIRECT(C68&amp;ROW()),TODAY())</f>
        <v>691</v>
      </c>
      <c r="L593">
        <f ca="1">DAYS360(INDIRECT(C69&amp;ROW()),TODAY())</f>
        <v>691</v>
      </c>
      <c r="M593">
        <f ca="1">HYPERLINK(CONCATENATE("https://bugzilla.houston.hp.com:1181/bugzilla/show_bug.cgi?id=",INDIRECT(C70&amp;ROW())),INDIRECT(C70&amp;ROW()))</f>
        <v>63279</v>
      </c>
      <c r="N593">
        <v>63279</v>
      </c>
      <c r="O593" t="s">
        <v>66</v>
      </c>
      <c r="P593" t="s">
        <v>1190</v>
      </c>
      <c r="Q593" t="s">
        <v>39</v>
      </c>
      <c r="R593" t="s">
        <v>579</v>
      </c>
      <c r="S593" t="s">
        <v>552</v>
      </c>
      <c r="U593" s="6">
        <v>42156.547210648147</v>
      </c>
      <c r="V593" t="s">
        <v>18</v>
      </c>
      <c r="W593" t="s">
        <v>17</v>
      </c>
      <c r="X593" s="6">
        <v>42156.537048611113</v>
      </c>
      <c r="Y593" t="s">
        <v>125</v>
      </c>
      <c r="AB593" t="s">
        <v>200</v>
      </c>
      <c r="AC593" t="s">
        <v>247</v>
      </c>
      <c r="AD593" t="s">
        <v>220</v>
      </c>
      <c r="AE593" t="s">
        <v>219</v>
      </c>
      <c r="AG593" t="s">
        <v>121</v>
      </c>
      <c r="AH593" t="s">
        <v>327</v>
      </c>
      <c r="AI593" t="s">
        <v>121</v>
      </c>
      <c r="AJ593" t="s">
        <v>715</v>
      </c>
      <c r="AK593" t="s">
        <v>121</v>
      </c>
      <c r="AL593" t="s">
        <v>121</v>
      </c>
      <c r="AM593" t="s">
        <v>121</v>
      </c>
    </row>
    <row r="594" spans="9:39" x14ac:dyDescent="0.3">
      <c r="I594">
        <f ca="1">IF(OR(INDIRECT(A73&amp;ROW())=B93,INDIRECT(A73&amp;ROW())=B94),1,IF(AND(INDIRECT(A73&amp;ROW())=B95,INDIRECT(A96&amp;ROW())=C93),1,IF(AND(INDIRECT(A73&amp;ROW())=B95,INDIRECT(A96&amp;ROW())=C94),1,0)))</f>
        <v>1</v>
      </c>
      <c r="J594">
        <f ca="1">IF(AND(INDIRECT(A73&amp;ROW())=B95,INDIRECT(A96&amp;ROW())=C95),1,IF(AND(INDIRECT(A73&amp;ROW())=B95,INDIRECT(A96&amp;ROW())=C96),1,0))</f>
        <v>0</v>
      </c>
      <c r="K594">
        <f ca="1">DAYS360(INDIRECT(C68&amp;ROW()),TODAY())</f>
        <v>620</v>
      </c>
      <c r="L594">
        <f ca="1">DAYS360(INDIRECT(C69&amp;ROW()),TODAY())</f>
        <v>691</v>
      </c>
      <c r="M594">
        <f ca="1">HYPERLINK(CONCATENATE("https://bugzilla.houston.hp.com:1181/bugzilla/show_bug.cgi?id=",INDIRECT(C70&amp;ROW())),INDIRECT(C70&amp;ROW()))</f>
        <v>63280</v>
      </c>
      <c r="N594">
        <v>63280</v>
      </c>
      <c r="O594" t="s">
        <v>66</v>
      </c>
      <c r="P594" t="s">
        <v>1189</v>
      </c>
      <c r="Q594" t="s">
        <v>39</v>
      </c>
      <c r="R594" t="s">
        <v>783</v>
      </c>
      <c r="S594" t="s">
        <v>552</v>
      </c>
      <c r="U594" s="6">
        <v>42228.275381944448</v>
      </c>
      <c r="V594" t="s">
        <v>18</v>
      </c>
      <c r="W594" t="s">
        <v>17</v>
      </c>
      <c r="X594" s="6">
        <v>42156.537164351852</v>
      </c>
      <c r="Y594" t="s">
        <v>125</v>
      </c>
      <c r="AB594" t="s">
        <v>200</v>
      </c>
      <c r="AC594" t="s">
        <v>247</v>
      </c>
      <c r="AD594" t="s">
        <v>220</v>
      </c>
      <c r="AE594" t="s">
        <v>219</v>
      </c>
      <c r="AG594" t="s">
        <v>1327</v>
      </c>
      <c r="AH594" t="s">
        <v>327</v>
      </c>
      <c r="AI594" t="s">
        <v>121</v>
      </c>
      <c r="AJ594" t="s">
        <v>715</v>
      </c>
      <c r="AK594" t="s">
        <v>121</v>
      </c>
      <c r="AL594" t="s">
        <v>121</v>
      </c>
      <c r="AM594" t="s">
        <v>121</v>
      </c>
    </row>
    <row r="595" spans="9:39" x14ac:dyDescent="0.3">
      <c r="I595">
        <f ca="1">IF(OR(INDIRECT(A73&amp;ROW())=B93,INDIRECT(A73&amp;ROW())=B94),1,IF(AND(INDIRECT(A73&amp;ROW())=B95,INDIRECT(A96&amp;ROW())=C93),1,IF(AND(INDIRECT(A73&amp;ROW())=B95,INDIRECT(A96&amp;ROW())=C94),1,0)))</f>
        <v>1</v>
      </c>
      <c r="J595">
        <f ca="1">IF(AND(INDIRECT(A73&amp;ROW())=B95,INDIRECT(A96&amp;ROW())=C95),1,IF(AND(INDIRECT(A73&amp;ROW())=B95,INDIRECT(A96&amp;ROW())=C96),1,0))</f>
        <v>0</v>
      </c>
      <c r="K595">
        <f ca="1">DAYS360(INDIRECT(C68&amp;ROW()),TODAY())</f>
        <v>691</v>
      </c>
      <c r="L595">
        <f ca="1">DAYS360(INDIRECT(C69&amp;ROW()),TODAY())</f>
        <v>691</v>
      </c>
      <c r="M595">
        <f ca="1">HYPERLINK(CONCATENATE("https://bugzilla.houston.hp.com:1181/bugzilla/show_bug.cgi?id=",INDIRECT(C70&amp;ROW())),INDIRECT(C70&amp;ROW()))</f>
        <v>63281</v>
      </c>
      <c r="N595">
        <v>63281</v>
      </c>
      <c r="O595" t="s">
        <v>66</v>
      </c>
      <c r="P595" t="s">
        <v>1188</v>
      </c>
      <c r="Q595" t="s">
        <v>39</v>
      </c>
      <c r="R595" t="s">
        <v>248</v>
      </c>
      <c r="S595" t="s">
        <v>552</v>
      </c>
      <c r="U595" s="6">
        <v>42156.548090277778</v>
      </c>
      <c r="V595" t="s">
        <v>18</v>
      </c>
      <c r="W595" t="s">
        <v>17</v>
      </c>
      <c r="X595" s="6">
        <v>42156.537291666667</v>
      </c>
      <c r="Y595" t="s">
        <v>125</v>
      </c>
      <c r="AB595" t="s">
        <v>200</v>
      </c>
      <c r="AC595" t="s">
        <v>247</v>
      </c>
      <c r="AD595" t="s">
        <v>220</v>
      </c>
      <c r="AE595" t="s">
        <v>219</v>
      </c>
      <c r="AG595" t="s">
        <v>121</v>
      </c>
      <c r="AH595" t="s">
        <v>327</v>
      </c>
      <c r="AI595" t="s">
        <v>121</v>
      </c>
      <c r="AJ595" t="s">
        <v>715</v>
      </c>
      <c r="AK595" t="s">
        <v>121</v>
      </c>
      <c r="AL595" t="s">
        <v>121</v>
      </c>
      <c r="AM595" t="s">
        <v>121</v>
      </c>
    </row>
    <row r="596" spans="9:39" x14ac:dyDescent="0.3">
      <c r="I596">
        <f ca="1">IF(OR(INDIRECT(A73&amp;ROW())=B93,INDIRECT(A73&amp;ROW())=B94),1,IF(AND(INDIRECT(A73&amp;ROW())=B95,INDIRECT(A96&amp;ROW())=C93),1,IF(AND(INDIRECT(A73&amp;ROW())=B95,INDIRECT(A96&amp;ROW())=C94),1,0)))</f>
        <v>0</v>
      </c>
      <c r="J596">
        <f ca="1">IF(AND(INDIRECT(A73&amp;ROW())=B95,INDIRECT(A96&amp;ROW())=C95),1,IF(AND(INDIRECT(A73&amp;ROW())=B95,INDIRECT(A96&amp;ROW())=C96),1,0))</f>
        <v>1</v>
      </c>
      <c r="K596">
        <f ca="1">DAYS360(INDIRECT(C68&amp;ROW()),TODAY())</f>
        <v>681</v>
      </c>
      <c r="L596">
        <f ca="1">DAYS360(INDIRECT(C69&amp;ROW()),TODAY())</f>
        <v>690</v>
      </c>
      <c r="M596">
        <f ca="1">HYPERLINK(CONCATENATE("https://bugzilla.houston.hp.com:1181/bugzilla/show_bug.cgi?id=",INDIRECT(C70&amp;ROW())),INDIRECT(C70&amp;ROW()))</f>
        <v>63336</v>
      </c>
      <c r="N596">
        <v>63336</v>
      </c>
      <c r="O596" t="s">
        <v>22</v>
      </c>
      <c r="P596" t="s">
        <v>1187</v>
      </c>
      <c r="Q596" t="s">
        <v>25</v>
      </c>
      <c r="R596" t="s">
        <v>783</v>
      </c>
      <c r="S596" t="s">
        <v>44</v>
      </c>
      <c r="T596" t="s">
        <v>794</v>
      </c>
      <c r="U596" s="6">
        <v>42166.582071759258</v>
      </c>
      <c r="V596" t="s">
        <v>18</v>
      </c>
      <c r="W596" t="s">
        <v>17</v>
      </c>
      <c r="X596" s="6">
        <v>42157.599398148152</v>
      </c>
      <c r="Y596" t="s">
        <v>125</v>
      </c>
      <c r="AB596" t="s">
        <v>201</v>
      </c>
      <c r="AC596" t="s">
        <v>247</v>
      </c>
      <c r="AD596" t="s">
        <v>220</v>
      </c>
      <c r="AE596" t="s">
        <v>223</v>
      </c>
      <c r="AG596" t="s">
        <v>121</v>
      </c>
      <c r="AH596" t="s">
        <v>327</v>
      </c>
      <c r="AI596" t="s">
        <v>1328</v>
      </c>
      <c r="AJ596" t="s">
        <v>716</v>
      </c>
      <c r="AK596" t="s">
        <v>121</v>
      </c>
      <c r="AL596" t="s">
        <v>121</v>
      </c>
      <c r="AM596" t="s">
        <v>121</v>
      </c>
    </row>
    <row r="597" spans="9:39" x14ac:dyDescent="0.3">
      <c r="I597">
        <f ca="1">IF(OR(INDIRECT(A73&amp;ROW())=B93,INDIRECT(A73&amp;ROW())=B94),1,IF(AND(INDIRECT(A73&amp;ROW())=B95,INDIRECT(A96&amp;ROW())=C93),1,IF(AND(INDIRECT(A73&amp;ROW())=B95,INDIRECT(A96&amp;ROW())=C94),1,0)))</f>
        <v>1</v>
      </c>
      <c r="J597">
        <f ca="1">IF(AND(INDIRECT(A73&amp;ROW())=B95,INDIRECT(A96&amp;ROW())=C95),1,IF(AND(INDIRECT(A73&amp;ROW())=B95,INDIRECT(A96&amp;ROW())=C96),1,0))</f>
        <v>0</v>
      </c>
      <c r="K597">
        <f ca="1">DAYS360(INDIRECT(C68&amp;ROW()),TODAY())</f>
        <v>660</v>
      </c>
      <c r="L597">
        <f ca="1">DAYS360(INDIRECT(C69&amp;ROW()),TODAY())</f>
        <v>690</v>
      </c>
      <c r="M597">
        <f ca="1">HYPERLINK(CONCATENATE("https://bugzilla.houston.hp.com:1181/bugzilla/show_bug.cgi?id=",INDIRECT(C70&amp;ROW())),INDIRECT(C70&amp;ROW()))</f>
        <v>63347</v>
      </c>
      <c r="N597">
        <v>63347</v>
      </c>
      <c r="O597" t="s">
        <v>53</v>
      </c>
      <c r="P597" t="s">
        <v>1443</v>
      </c>
      <c r="Q597" t="s">
        <v>39</v>
      </c>
      <c r="R597" t="s">
        <v>251</v>
      </c>
      <c r="S597" t="s">
        <v>1415</v>
      </c>
      <c r="T597" t="s">
        <v>1444</v>
      </c>
      <c r="U597" s="6">
        <v>42187.426689814813</v>
      </c>
      <c r="V597" t="s">
        <v>18</v>
      </c>
      <c r="W597" t="s">
        <v>63</v>
      </c>
      <c r="X597" s="6">
        <v>42157.789780092593</v>
      </c>
      <c r="Y597" t="s">
        <v>1026</v>
      </c>
      <c r="AB597" t="s">
        <v>201</v>
      </c>
      <c r="AC597" t="s">
        <v>247</v>
      </c>
      <c r="AD597" t="s">
        <v>220</v>
      </c>
      <c r="AE597" t="s">
        <v>243</v>
      </c>
      <c r="AG597" t="s">
        <v>121</v>
      </c>
      <c r="AH597" t="s">
        <v>327</v>
      </c>
      <c r="AI597" t="s">
        <v>121</v>
      </c>
      <c r="AJ597" t="s">
        <v>715</v>
      </c>
      <c r="AK597" t="s">
        <v>121</v>
      </c>
      <c r="AL597" t="s">
        <v>121</v>
      </c>
      <c r="AM597" t="s">
        <v>121</v>
      </c>
    </row>
    <row r="598" spans="9:39" x14ac:dyDescent="0.3">
      <c r="I598">
        <f ca="1">IF(OR(INDIRECT(A73&amp;ROW())=B93,INDIRECT(A73&amp;ROW())=B94),1,IF(AND(INDIRECT(A73&amp;ROW())=B95,INDIRECT(A96&amp;ROW())=C93),1,IF(AND(INDIRECT(A73&amp;ROW())=B95,INDIRECT(A96&amp;ROW())=C94),1,0)))</f>
        <v>0</v>
      </c>
      <c r="J598">
        <f ca="1">IF(AND(INDIRECT(A73&amp;ROW())=B95,INDIRECT(A96&amp;ROW())=C95),1,IF(AND(INDIRECT(A73&amp;ROW())=B95,INDIRECT(A96&amp;ROW())=C96),1,0))</f>
        <v>1</v>
      </c>
      <c r="K598">
        <f ca="1">DAYS360(INDIRECT(C68&amp;ROW()),TODAY())</f>
        <v>615</v>
      </c>
      <c r="L598">
        <f ca="1">DAYS360(INDIRECT(C69&amp;ROW()),TODAY())</f>
        <v>689</v>
      </c>
      <c r="M598">
        <f ca="1">HYPERLINK(CONCATENATE("https://bugzilla.houston.hp.com:1181/bugzilla/show_bug.cgi?id=",INDIRECT(C70&amp;ROW())),INDIRECT(C70&amp;ROW()))</f>
        <v>63358</v>
      </c>
      <c r="N598">
        <v>63358</v>
      </c>
      <c r="O598" t="s">
        <v>53</v>
      </c>
      <c r="P598" t="s">
        <v>1445</v>
      </c>
      <c r="Q598" t="s">
        <v>25</v>
      </c>
      <c r="R598" t="s">
        <v>1389</v>
      </c>
      <c r="S598" t="s">
        <v>552</v>
      </c>
      <c r="U598" s="6">
        <v>42233.216296296298</v>
      </c>
      <c r="V598" t="s">
        <v>18</v>
      </c>
      <c r="W598" t="s">
        <v>63</v>
      </c>
      <c r="X598" s="6">
        <v>42158.016944444447</v>
      </c>
      <c r="Y598" t="s">
        <v>1026</v>
      </c>
      <c r="AB598" t="s">
        <v>201</v>
      </c>
      <c r="AC598" t="s">
        <v>247</v>
      </c>
      <c r="AD598" t="s">
        <v>220</v>
      </c>
      <c r="AE598" t="s">
        <v>243</v>
      </c>
      <c r="AG598" t="s">
        <v>121</v>
      </c>
      <c r="AH598" t="s">
        <v>327</v>
      </c>
      <c r="AI598" t="s">
        <v>121</v>
      </c>
      <c r="AJ598" t="s">
        <v>716</v>
      </c>
      <c r="AK598" t="s">
        <v>121</v>
      </c>
      <c r="AL598" t="s">
        <v>121</v>
      </c>
      <c r="AM598" t="s">
        <v>121</v>
      </c>
    </row>
    <row r="599" spans="9:39" x14ac:dyDescent="0.3">
      <c r="I599">
        <f ca="1">IF(OR(INDIRECT(A73&amp;ROW())=B93,INDIRECT(A73&amp;ROW())=B94),1,IF(AND(INDIRECT(A73&amp;ROW())=B95,INDIRECT(A96&amp;ROW())=C93),1,IF(AND(INDIRECT(A73&amp;ROW())=B95,INDIRECT(A96&amp;ROW())=C94),1,0)))</f>
        <v>1</v>
      </c>
      <c r="J599">
        <f ca="1">IF(AND(INDIRECT(A73&amp;ROW())=B95,INDIRECT(A96&amp;ROW())=C95),1,IF(AND(INDIRECT(A73&amp;ROW())=B95,INDIRECT(A96&amp;ROW())=C96),1,0))</f>
        <v>0</v>
      </c>
      <c r="K599">
        <f ca="1">DAYS360(INDIRECT(C68&amp;ROW()),TODAY())</f>
        <v>614</v>
      </c>
      <c r="L599">
        <f ca="1">DAYS360(INDIRECT(C69&amp;ROW()),TODAY())</f>
        <v>689</v>
      </c>
      <c r="M599">
        <f ca="1">HYPERLINK(CONCATENATE("https://bugzilla.houston.hp.com:1181/bugzilla/show_bug.cgi?id=",INDIRECT(C70&amp;ROW())),INDIRECT(C70&amp;ROW()))</f>
        <v>63360</v>
      </c>
      <c r="N599">
        <v>63360</v>
      </c>
      <c r="O599" t="s">
        <v>53</v>
      </c>
      <c r="P599" t="s">
        <v>1185</v>
      </c>
      <c r="Q599" t="s">
        <v>39</v>
      </c>
      <c r="R599" t="s">
        <v>783</v>
      </c>
      <c r="S599" t="s">
        <v>552</v>
      </c>
      <c r="U599" s="6">
        <v>42234.026331018518</v>
      </c>
      <c r="V599" t="s">
        <v>18</v>
      </c>
      <c r="W599" t="s">
        <v>63</v>
      </c>
      <c r="X599" s="6">
        <v>42158.017060185186</v>
      </c>
      <c r="Y599" t="s">
        <v>1026</v>
      </c>
      <c r="AB599" t="s">
        <v>201</v>
      </c>
      <c r="AC599" t="s">
        <v>247</v>
      </c>
      <c r="AD599" t="s">
        <v>220</v>
      </c>
      <c r="AE599" t="s">
        <v>219</v>
      </c>
      <c r="AG599" t="s">
        <v>337</v>
      </c>
      <c r="AH599" t="s">
        <v>327</v>
      </c>
      <c r="AI599" t="s">
        <v>121</v>
      </c>
      <c r="AJ599" t="s">
        <v>715</v>
      </c>
      <c r="AK599" t="s">
        <v>121</v>
      </c>
      <c r="AL599" t="s">
        <v>121</v>
      </c>
      <c r="AM599" t="s">
        <v>121</v>
      </c>
    </row>
    <row r="600" spans="9:39" x14ac:dyDescent="0.3">
      <c r="I600">
        <f ca="1">IF(OR(INDIRECT(A73&amp;ROW())=B93,INDIRECT(A73&amp;ROW())=B94),1,IF(AND(INDIRECT(A73&amp;ROW())=B95,INDIRECT(A96&amp;ROW())=C93),1,IF(AND(INDIRECT(A73&amp;ROW())=B95,INDIRECT(A96&amp;ROW())=C94),1,0)))</f>
        <v>1</v>
      </c>
      <c r="J600">
        <f ca="1">IF(AND(INDIRECT(A73&amp;ROW())=B95,INDIRECT(A96&amp;ROW())=C95),1,IF(AND(INDIRECT(A73&amp;ROW())=B95,INDIRECT(A96&amp;ROW())=C96),1,0))</f>
        <v>0</v>
      </c>
      <c r="K600">
        <f ca="1">DAYS360(INDIRECT(C68&amp;ROW()),TODAY())</f>
        <v>638</v>
      </c>
      <c r="L600">
        <f ca="1">DAYS360(INDIRECT(C69&amp;ROW()),TODAY())</f>
        <v>689</v>
      </c>
      <c r="M600">
        <f ca="1">HYPERLINK(CONCATENATE("https://bugzilla.houston.hp.com:1181/bugzilla/show_bug.cgi?id=",INDIRECT(C70&amp;ROW())),INDIRECT(C70&amp;ROW()))</f>
        <v>63361</v>
      </c>
      <c r="N600">
        <v>63361</v>
      </c>
      <c r="O600" t="s">
        <v>53</v>
      </c>
      <c r="P600" t="s">
        <v>1184</v>
      </c>
      <c r="Q600" t="s">
        <v>39</v>
      </c>
      <c r="R600" t="s">
        <v>248</v>
      </c>
      <c r="S600" t="s">
        <v>552</v>
      </c>
      <c r="U600" s="6">
        <v>42209.390289351853</v>
      </c>
      <c r="V600" t="s">
        <v>18</v>
      </c>
      <c r="W600" t="s">
        <v>63</v>
      </c>
      <c r="X600" s="6">
        <v>42158.017129629632</v>
      </c>
      <c r="Y600" t="s">
        <v>1026</v>
      </c>
      <c r="AB600" t="s">
        <v>201</v>
      </c>
      <c r="AC600" t="s">
        <v>247</v>
      </c>
      <c r="AD600" t="s">
        <v>220</v>
      </c>
      <c r="AE600" t="s">
        <v>219</v>
      </c>
      <c r="AG600" t="s">
        <v>121</v>
      </c>
      <c r="AH600" t="s">
        <v>327</v>
      </c>
      <c r="AI600" t="s">
        <v>121</v>
      </c>
      <c r="AJ600" t="s">
        <v>715</v>
      </c>
      <c r="AK600" t="s">
        <v>121</v>
      </c>
      <c r="AL600" t="s">
        <v>121</v>
      </c>
      <c r="AM600" t="s">
        <v>121</v>
      </c>
    </row>
    <row r="601" spans="9:39" x14ac:dyDescent="0.3">
      <c r="I601">
        <f ca="1">IF(OR(INDIRECT(A73&amp;ROW())=B93,INDIRECT(A73&amp;ROW())=B94),1,IF(AND(INDIRECT(A73&amp;ROW())=B95,INDIRECT(A96&amp;ROW())=C93),1,IF(AND(INDIRECT(A73&amp;ROW())=B95,INDIRECT(A96&amp;ROW())=C94),1,0)))</f>
        <v>0</v>
      </c>
      <c r="J601">
        <f ca="1">IF(AND(INDIRECT(A73&amp;ROW())=B95,INDIRECT(A96&amp;ROW())=C95),1,IF(AND(INDIRECT(A73&amp;ROW())=B95,INDIRECT(A96&amp;ROW())=C96),1,0))</f>
        <v>1</v>
      </c>
      <c r="K601">
        <f ca="1">DAYS360(INDIRECT(C68&amp;ROW()),TODAY())</f>
        <v>661</v>
      </c>
      <c r="L601">
        <f ca="1">DAYS360(INDIRECT(C69&amp;ROW()),TODAY())</f>
        <v>689</v>
      </c>
      <c r="M601">
        <f ca="1">HYPERLINK(CONCATENATE("https://bugzilla.houston.hp.com:1181/bugzilla/show_bug.cgi?id=",INDIRECT(C70&amp;ROW())),INDIRECT(C70&amp;ROW()))</f>
        <v>63363</v>
      </c>
      <c r="N601">
        <v>63363</v>
      </c>
      <c r="O601" t="s">
        <v>53</v>
      </c>
      <c r="P601" t="s">
        <v>1446</v>
      </c>
      <c r="Q601" t="s">
        <v>25</v>
      </c>
      <c r="R601" t="s">
        <v>1375</v>
      </c>
      <c r="S601" t="s">
        <v>552</v>
      </c>
      <c r="U601" s="6">
        <v>42186.396331018521</v>
      </c>
      <c r="V601" t="s">
        <v>18</v>
      </c>
      <c r="W601" t="s">
        <v>63</v>
      </c>
      <c r="X601" s="6">
        <v>42158.017175925925</v>
      </c>
      <c r="Y601" t="s">
        <v>1026</v>
      </c>
      <c r="AB601" t="s">
        <v>201</v>
      </c>
      <c r="AC601" t="s">
        <v>247</v>
      </c>
      <c r="AD601" t="s">
        <v>220</v>
      </c>
      <c r="AE601" t="s">
        <v>243</v>
      </c>
      <c r="AG601" t="s">
        <v>121</v>
      </c>
      <c r="AH601" t="s">
        <v>327</v>
      </c>
      <c r="AI601" t="s">
        <v>121</v>
      </c>
      <c r="AJ601" t="s">
        <v>716</v>
      </c>
      <c r="AK601" t="s">
        <v>121</v>
      </c>
      <c r="AL601" t="s">
        <v>121</v>
      </c>
      <c r="AM601" t="s">
        <v>121</v>
      </c>
    </row>
    <row r="602" spans="9:39" x14ac:dyDescent="0.3">
      <c r="I602">
        <f ca="1">IF(OR(INDIRECT(A73&amp;ROW())=B93,INDIRECT(A73&amp;ROW())=B94),1,IF(AND(INDIRECT(A73&amp;ROW())=B95,INDIRECT(A96&amp;ROW())=C93),1,IF(AND(INDIRECT(A73&amp;ROW())=B95,INDIRECT(A96&amp;ROW())=C94),1,0)))</f>
        <v>0</v>
      </c>
      <c r="J602">
        <f ca="1">IF(AND(INDIRECT(A73&amp;ROW())=B95,INDIRECT(A96&amp;ROW())=C95),1,IF(AND(INDIRECT(A73&amp;ROW())=B95,INDIRECT(A96&amp;ROW())=C96),1,0))</f>
        <v>1</v>
      </c>
      <c r="K602">
        <f ca="1">DAYS360(INDIRECT(C68&amp;ROW()),TODAY())</f>
        <v>620</v>
      </c>
      <c r="L602">
        <f ca="1">DAYS360(INDIRECT(C69&amp;ROW()),TODAY())</f>
        <v>689</v>
      </c>
      <c r="M602">
        <f ca="1">HYPERLINK(CONCATENATE("https://bugzilla.houston.hp.com:1181/bugzilla/show_bug.cgi?id=",INDIRECT(C70&amp;ROW())),INDIRECT(C70&amp;ROW()))</f>
        <v>63364</v>
      </c>
      <c r="N602">
        <v>63364</v>
      </c>
      <c r="O602" t="s">
        <v>53</v>
      </c>
      <c r="P602" t="s">
        <v>1447</v>
      </c>
      <c r="Q602" t="s">
        <v>25</v>
      </c>
      <c r="R602" t="s">
        <v>1439</v>
      </c>
      <c r="S602" t="s">
        <v>552</v>
      </c>
      <c r="T602" t="s">
        <v>1448</v>
      </c>
      <c r="U602" s="6">
        <v>42228.962731481479</v>
      </c>
      <c r="V602" t="s">
        <v>18</v>
      </c>
      <c r="W602" t="s">
        <v>63</v>
      </c>
      <c r="X602" s="6">
        <v>42158.017245370371</v>
      </c>
      <c r="Y602" t="s">
        <v>1026</v>
      </c>
      <c r="AB602" t="s">
        <v>201</v>
      </c>
      <c r="AC602" t="s">
        <v>247</v>
      </c>
      <c r="AD602" t="s">
        <v>220</v>
      </c>
      <c r="AE602" t="s">
        <v>243</v>
      </c>
      <c r="AG602" t="s">
        <v>121</v>
      </c>
      <c r="AH602" t="s">
        <v>327</v>
      </c>
      <c r="AI602" t="s">
        <v>121</v>
      </c>
      <c r="AJ602" t="s">
        <v>716</v>
      </c>
      <c r="AK602" t="s">
        <v>121</v>
      </c>
      <c r="AL602" t="s">
        <v>121</v>
      </c>
      <c r="AM602" t="s">
        <v>121</v>
      </c>
    </row>
    <row r="603" spans="9:39" x14ac:dyDescent="0.3">
      <c r="I603">
        <f ca="1">IF(OR(INDIRECT(A73&amp;ROW())=B93,INDIRECT(A73&amp;ROW())=B94),1,IF(AND(INDIRECT(A73&amp;ROW())=B95,INDIRECT(A96&amp;ROW())=C93),1,IF(AND(INDIRECT(A73&amp;ROW())=B95,INDIRECT(A96&amp;ROW())=C94),1,0)))</f>
        <v>0</v>
      </c>
      <c r="J603">
        <f ca="1">IF(AND(INDIRECT(A73&amp;ROW())=B95,INDIRECT(A96&amp;ROW())=C95),1,IF(AND(INDIRECT(A73&amp;ROW())=B95,INDIRECT(A96&amp;ROW())=C96),1,0))</f>
        <v>1</v>
      </c>
      <c r="K603">
        <f ca="1">DAYS360(INDIRECT(C68&amp;ROW()),TODAY())</f>
        <v>620</v>
      </c>
      <c r="L603">
        <f ca="1">DAYS360(INDIRECT(C69&amp;ROW()),TODAY())</f>
        <v>689</v>
      </c>
      <c r="M603">
        <f ca="1">HYPERLINK(CONCATENATE("https://bugzilla.houston.hp.com:1181/bugzilla/show_bug.cgi?id=",INDIRECT(C70&amp;ROW())),INDIRECT(C70&amp;ROW()))</f>
        <v>63365</v>
      </c>
      <c r="N603">
        <v>63365</v>
      </c>
      <c r="O603" t="s">
        <v>53</v>
      </c>
      <c r="P603" t="s">
        <v>1449</v>
      </c>
      <c r="Q603" t="s">
        <v>25</v>
      </c>
      <c r="R603" t="s">
        <v>1425</v>
      </c>
      <c r="S603" t="s">
        <v>552</v>
      </c>
      <c r="T603" t="s">
        <v>1450</v>
      </c>
      <c r="U603" s="6">
        <v>42228.541990740741</v>
      </c>
      <c r="V603" t="s">
        <v>35</v>
      </c>
      <c r="W603" t="s">
        <v>63</v>
      </c>
      <c r="X603" s="6">
        <v>42158.017291666663</v>
      </c>
      <c r="Y603" t="s">
        <v>1026</v>
      </c>
      <c r="AB603" t="s">
        <v>201</v>
      </c>
      <c r="AC603" t="s">
        <v>247</v>
      </c>
      <c r="AD603" t="s">
        <v>220</v>
      </c>
      <c r="AE603" t="s">
        <v>243</v>
      </c>
      <c r="AG603" t="s">
        <v>121</v>
      </c>
      <c r="AH603" t="s">
        <v>327</v>
      </c>
      <c r="AI603" t="s">
        <v>121</v>
      </c>
      <c r="AJ603" t="s">
        <v>716</v>
      </c>
      <c r="AK603" t="s">
        <v>121</v>
      </c>
      <c r="AL603" t="s">
        <v>121</v>
      </c>
      <c r="AM603" t="s">
        <v>121</v>
      </c>
    </row>
    <row r="604" spans="9:39" x14ac:dyDescent="0.3">
      <c r="I604">
        <f ca="1">IF(OR(INDIRECT(A73&amp;ROW())=B93,INDIRECT(A73&amp;ROW())=B94),1,IF(AND(INDIRECT(A73&amp;ROW())=B95,INDIRECT(A96&amp;ROW())=C93),1,IF(AND(INDIRECT(A73&amp;ROW())=B95,INDIRECT(A96&amp;ROW())=C94),1,0)))</f>
        <v>0</v>
      </c>
      <c r="J604">
        <f ca="1">IF(AND(INDIRECT(A73&amp;ROW())=B95,INDIRECT(A96&amp;ROW())=C95),1,IF(AND(INDIRECT(A73&amp;ROW())=B95,INDIRECT(A96&amp;ROW())=C96),1,0))</f>
        <v>0</v>
      </c>
      <c r="K604">
        <f ca="1">DAYS360(INDIRECT(C68&amp;ROW()),TODAY())</f>
        <v>684</v>
      </c>
      <c r="L604">
        <f ca="1">DAYS360(INDIRECT(C69&amp;ROW()),TODAY())</f>
        <v>689</v>
      </c>
      <c r="M604">
        <f ca="1">HYPERLINK(CONCATENATE("https://bugzilla.houston.hp.com:1181/bugzilla/show_bug.cgi?id=",INDIRECT(C70&amp;ROW())),INDIRECT(C70&amp;ROW()))</f>
        <v>63387</v>
      </c>
      <c r="N604">
        <v>63387</v>
      </c>
      <c r="O604" t="s">
        <v>856</v>
      </c>
      <c r="P604" t="s">
        <v>1451</v>
      </c>
      <c r="Q604" t="s">
        <v>16</v>
      </c>
      <c r="R604" t="s">
        <v>251</v>
      </c>
      <c r="S604" t="s">
        <v>856</v>
      </c>
      <c r="U604" s="6">
        <v>42163.227430555555</v>
      </c>
      <c r="V604" t="s">
        <v>18</v>
      </c>
      <c r="W604" t="s">
        <v>248</v>
      </c>
      <c r="X604" s="6">
        <v>42158.220046296294</v>
      </c>
      <c r="Y604" t="s">
        <v>788</v>
      </c>
      <c r="AB604" t="s">
        <v>201</v>
      </c>
      <c r="AC604" t="s">
        <v>247</v>
      </c>
      <c r="AD604" t="s">
        <v>220</v>
      </c>
      <c r="AE604" t="s">
        <v>219</v>
      </c>
      <c r="AG604" t="s">
        <v>121</v>
      </c>
      <c r="AH604" t="s">
        <v>327</v>
      </c>
      <c r="AI604" t="s">
        <v>121</v>
      </c>
      <c r="AJ604" t="s">
        <v>717</v>
      </c>
      <c r="AK604" t="s">
        <v>121</v>
      </c>
      <c r="AL604" t="s">
        <v>121</v>
      </c>
      <c r="AM604" t="s">
        <v>121</v>
      </c>
    </row>
    <row r="605" spans="9:39" x14ac:dyDescent="0.3">
      <c r="I605">
        <f ca="1">IF(OR(INDIRECT(A73&amp;ROW())=B93,INDIRECT(A73&amp;ROW())=B94),1,IF(AND(INDIRECT(A73&amp;ROW())=B95,INDIRECT(A96&amp;ROW())=C93),1,IF(AND(INDIRECT(A73&amp;ROW())=B95,INDIRECT(A96&amp;ROW())=C94),1,0)))</f>
        <v>1</v>
      </c>
      <c r="J605">
        <f ca="1">IF(AND(INDIRECT(A73&amp;ROW())=B95,INDIRECT(A96&amp;ROW())=C95),1,IF(AND(INDIRECT(A73&amp;ROW())=B95,INDIRECT(A96&amp;ROW())=C96),1,0))</f>
        <v>0</v>
      </c>
      <c r="K605">
        <f ca="1">DAYS360(INDIRECT(C68&amp;ROW()),TODAY())</f>
        <v>625</v>
      </c>
      <c r="L605">
        <f ca="1">DAYS360(INDIRECT(C69&amp;ROW()),TODAY())</f>
        <v>688</v>
      </c>
      <c r="M605">
        <f ca="1">HYPERLINK(CONCATENATE("https://bugzilla.houston.hp.com:1181/bugzilla/show_bug.cgi?id=",INDIRECT(C70&amp;ROW())),INDIRECT(C70&amp;ROW()))</f>
        <v>63480</v>
      </c>
      <c r="N605">
        <v>63480</v>
      </c>
      <c r="O605" t="s">
        <v>164</v>
      </c>
      <c r="P605" t="s">
        <v>1174</v>
      </c>
      <c r="Q605" t="s">
        <v>25</v>
      </c>
      <c r="R605" t="s">
        <v>251</v>
      </c>
      <c r="S605" t="s">
        <v>1102</v>
      </c>
      <c r="T605" t="s">
        <v>1452</v>
      </c>
      <c r="U605" s="6">
        <v>42223.241249999999</v>
      </c>
      <c r="V605" t="s">
        <v>35</v>
      </c>
      <c r="W605" t="s">
        <v>17</v>
      </c>
      <c r="X605" s="6">
        <v>42159.568333333336</v>
      </c>
      <c r="Y605" t="s">
        <v>125</v>
      </c>
      <c r="AB605" t="s">
        <v>200</v>
      </c>
      <c r="AC605" t="s">
        <v>247</v>
      </c>
      <c r="AD605" t="s">
        <v>220</v>
      </c>
      <c r="AE605" t="s">
        <v>219</v>
      </c>
      <c r="AG605" t="s">
        <v>121</v>
      </c>
      <c r="AH605" t="s">
        <v>327</v>
      </c>
      <c r="AI605" t="s">
        <v>121</v>
      </c>
      <c r="AJ605" t="s">
        <v>715</v>
      </c>
      <c r="AK605" t="s">
        <v>121</v>
      </c>
      <c r="AL605" t="s">
        <v>121</v>
      </c>
      <c r="AM605" t="s">
        <v>121</v>
      </c>
    </row>
    <row r="606" spans="9:39" x14ac:dyDescent="0.3">
      <c r="I606">
        <f ca="1">IF(OR(INDIRECT(A73&amp;ROW())=B93,INDIRECT(A73&amp;ROW())=B94),1,IF(AND(INDIRECT(A73&amp;ROW())=B95,INDIRECT(A96&amp;ROW())=C93),1,IF(AND(INDIRECT(A73&amp;ROW())=B95,INDIRECT(A96&amp;ROW())=C94),1,0)))</f>
        <v>1</v>
      </c>
      <c r="J606">
        <f ca="1">IF(AND(INDIRECT(A73&amp;ROW())=B95,INDIRECT(A96&amp;ROW())=C95),1,IF(AND(INDIRECT(A73&amp;ROW())=B95,INDIRECT(A96&amp;ROW())=C96),1,0))</f>
        <v>0</v>
      </c>
      <c r="K606">
        <f ca="1">DAYS360(INDIRECT(C68&amp;ROW()),TODAY())</f>
        <v>653</v>
      </c>
      <c r="L606">
        <f ca="1">DAYS360(INDIRECT(C69&amp;ROW()),TODAY())</f>
        <v>687</v>
      </c>
      <c r="M606">
        <f ca="1">HYPERLINK(CONCATENATE("https://bugzilla.houston.hp.com:1181/bugzilla/show_bug.cgi?id=",INDIRECT(C70&amp;ROW())),INDIRECT(C70&amp;ROW()))</f>
        <v>63527</v>
      </c>
      <c r="N606">
        <v>63527</v>
      </c>
      <c r="O606" t="s">
        <v>56</v>
      </c>
      <c r="P606" t="s">
        <v>1168</v>
      </c>
      <c r="Q606" t="s">
        <v>25</v>
      </c>
      <c r="R606" t="s">
        <v>579</v>
      </c>
      <c r="S606" t="s">
        <v>552</v>
      </c>
      <c r="U606" s="6">
        <v>42194.213993055557</v>
      </c>
      <c r="V606" t="s">
        <v>18</v>
      </c>
      <c r="W606" t="s">
        <v>17</v>
      </c>
      <c r="X606" s="6">
        <v>42160.408715277779</v>
      </c>
      <c r="Y606" t="s">
        <v>125</v>
      </c>
      <c r="AB606" t="s">
        <v>200</v>
      </c>
      <c r="AC606" t="s">
        <v>247</v>
      </c>
      <c r="AD606" t="s">
        <v>220</v>
      </c>
      <c r="AE606" t="s">
        <v>219</v>
      </c>
      <c r="AG606" t="s">
        <v>121</v>
      </c>
      <c r="AH606" t="s">
        <v>327</v>
      </c>
      <c r="AI606" t="s">
        <v>121</v>
      </c>
      <c r="AJ606" t="s">
        <v>715</v>
      </c>
      <c r="AK606" t="s">
        <v>121</v>
      </c>
      <c r="AL606" t="s">
        <v>121</v>
      </c>
      <c r="AM606" t="s">
        <v>121</v>
      </c>
    </row>
    <row r="607" spans="9:39" x14ac:dyDescent="0.3">
      <c r="I607">
        <f ca="1">IF(OR(INDIRECT(A73&amp;ROW())=B93,INDIRECT(A73&amp;ROW())=B94),1,IF(AND(INDIRECT(A73&amp;ROW())=B95,INDIRECT(A96&amp;ROW())=C93),1,IF(AND(INDIRECT(A73&amp;ROW())=B95,INDIRECT(A96&amp;ROW())=C94),1,0)))</f>
        <v>0</v>
      </c>
      <c r="J607">
        <f ca="1">IF(AND(INDIRECT(A73&amp;ROW())=B95,INDIRECT(A96&amp;ROW())=C95),1,IF(AND(INDIRECT(A73&amp;ROW())=B95,INDIRECT(A96&amp;ROW())=C96),1,0))</f>
        <v>0</v>
      </c>
      <c r="K607">
        <f ca="1">DAYS360(INDIRECT(C68&amp;ROW()),TODAY())</f>
        <v>684</v>
      </c>
      <c r="L607">
        <f ca="1">DAYS360(INDIRECT(C69&amp;ROW()),TODAY())</f>
        <v>684</v>
      </c>
      <c r="M607">
        <f ca="1">HYPERLINK(CONCATENATE("https://bugzilla.houston.hp.com:1181/bugzilla/show_bug.cgi?id=",INDIRECT(C70&amp;ROW())),INDIRECT(C70&amp;ROW()))</f>
        <v>63655</v>
      </c>
      <c r="N607">
        <v>63655</v>
      </c>
      <c r="O607" t="s">
        <v>856</v>
      </c>
      <c r="P607" t="s">
        <v>1238</v>
      </c>
      <c r="Q607" t="s">
        <v>16</v>
      </c>
      <c r="R607" t="s">
        <v>248</v>
      </c>
      <c r="S607" t="s">
        <v>856</v>
      </c>
      <c r="U607" s="6">
        <v>42163.22283564815</v>
      </c>
      <c r="V607" t="s">
        <v>35</v>
      </c>
      <c r="W607" t="s">
        <v>248</v>
      </c>
      <c r="X607" s="6">
        <v>42163.215277777781</v>
      </c>
      <c r="Y607" t="s">
        <v>788</v>
      </c>
      <c r="AB607" t="s">
        <v>201</v>
      </c>
      <c r="AC607" t="s">
        <v>247</v>
      </c>
      <c r="AD607" t="s">
        <v>220</v>
      </c>
      <c r="AE607" t="s">
        <v>219</v>
      </c>
      <c r="AG607" t="s">
        <v>121</v>
      </c>
      <c r="AH607" t="s">
        <v>64</v>
      </c>
      <c r="AI607" t="s">
        <v>121</v>
      </c>
      <c r="AJ607" t="s">
        <v>717</v>
      </c>
      <c r="AK607" t="s">
        <v>121</v>
      </c>
      <c r="AL607" t="s">
        <v>121</v>
      </c>
      <c r="AM607" t="s">
        <v>121</v>
      </c>
    </row>
    <row r="608" spans="9:39" x14ac:dyDescent="0.3">
      <c r="I608">
        <f ca="1">IF(OR(INDIRECT(A73&amp;ROW())=B93,INDIRECT(A73&amp;ROW())=B94),1,IF(AND(INDIRECT(A73&amp;ROW())=B95,INDIRECT(A96&amp;ROW())=C93),1,IF(AND(INDIRECT(A73&amp;ROW())=B95,INDIRECT(A96&amp;ROW())=C94),1,0)))</f>
        <v>0</v>
      </c>
      <c r="J608">
        <f ca="1">IF(AND(INDIRECT(A73&amp;ROW())=B95,INDIRECT(A96&amp;ROW())=C95),1,IF(AND(INDIRECT(A73&amp;ROW())=B95,INDIRECT(A96&amp;ROW())=C96),1,0))</f>
        <v>0</v>
      </c>
      <c r="K608">
        <f ca="1">DAYS360(INDIRECT(C68&amp;ROW()),TODAY())</f>
        <v>684</v>
      </c>
      <c r="L608">
        <f ca="1">DAYS360(INDIRECT(C69&amp;ROW()),TODAY())</f>
        <v>684</v>
      </c>
      <c r="M608">
        <f ca="1">HYPERLINK(CONCATENATE("https://bugzilla.houston.hp.com:1181/bugzilla/show_bug.cgi?id=",INDIRECT(C70&amp;ROW())),INDIRECT(C70&amp;ROW()))</f>
        <v>63657</v>
      </c>
      <c r="N608">
        <v>63657</v>
      </c>
      <c r="O608" t="s">
        <v>856</v>
      </c>
      <c r="P608" t="s">
        <v>1237</v>
      </c>
      <c r="Q608" t="s">
        <v>16</v>
      </c>
      <c r="R608" t="s">
        <v>248</v>
      </c>
      <c r="S608" t="s">
        <v>856</v>
      </c>
      <c r="U608" s="6">
        <v>42163.227430555555</v>
      </c>
      <c r="V608" t="s">
        <v>18</v>
      </c>
      <c r="W608" t="s">
        <v>248</v>
      </c>
      <c r="X608" s="6">
        <v>42163.227430555555</v>
      </c>
      <c r="Y608" t="s">
        <v>788</v>
      </c>
      <c r="AB608" t="s">
        <v>201</v>
      </c>
      <c r="AC608" t="s">
        <v>247</v>
      </c>
      <c r="AD608" t="s">
        <v>220</v>
      </c>
      <c r="AE608" t="s">
        <v>219</v>
      </c>
      <c r="AG608" t="s">
        <v>121</v>
      </c>
      <c r="AH608" t="s">
        <v>64</v>
      </c>
      <c r="AI608" t="s">
        <v>121</v>
      </c>
      <c r="AJ608" t="s">
        <v>717</v>
      </c>
      <c r="AK608" t="s">
        <v>121</v>
      </c>
      <c r="AL608" t="s">
        <v>121</v>
      </c>
      <c r="AM608" t="s">
        <v>121</v>
      </c>
    </row>
    <row r="609" spans="9:39" x14ac:dyDescent="0.3">
      <c r="I609">
        <f ca="1">IF(OR(INDIRECT(A73&amp;ROW())=B93,INDIRECT(A73&amp;ROW())=B94),1,IF(AND(INDIRECT(A73&amp;ROW())=B95,INDIRECT(A96&amp;ROW())=C93),1,IF(AND(INDIRECT(A73&amp;ROW())=B95,INDIRECT(A96&amp;ROW())=C94),1,0)))</f>
        <v>0</v>
      </c>
      <c r="J609">
        <f ca="1">IF(AND(INDIRECT(A73&amp;ROW())=B95,INDIRECT(A96&amp;ROW())=C95),1,IF(AND(INDIRECT(A73&amp;ROW())=B95,INDIRECT(A96&amp;ROW())=C96),1,0))</f>
        <v>1</v>
      </c>
      <c r="K609">
        <f ca="1">DAYS360(INDIRECT(C68&amp;ROW()),TODAY())</f>
        <v>682</v>
      </c>
      <c r="L609">
        <f ca="1">DAYS360(INDIRECT(C69&amp;ROW()),TODAY())</f>
        <v>683</v>
      </c>
      <c r="M609">
        <f ca="1">HYPERLINK(CONCATENATE("https://bugzilla.houston.hp.com:1181/bugzilla/show_bug.cgi?id=",INDIRECT(C70&amp;ROW())),INDIRECT(C70&amp;ROW()))</f>
        <v>63777</v>
      </c>
      <c r="N609">
        <v>63777</v>
      </c>
      <c r="O609" t="s">
        <v>56</v>
      </c>
      <c r="P609" t="s">
        <v>1453</v>
      </c>
      <c r="Q609" t="s">
        <v>25</v>
      </c>
      <c r="R609" t="s">
        <v>251</v>
      </c>
      <c r="S609" t="s">
        <v>1271</v>
      </c>
      <c r="U609" s="6">
        <v>42165.661736111113</v>
      </c>
      <c r="V609" t="s">
        <v>18</v>
      </c>
      <c r="W609" t="s">
        <v>248</v>
      </c>
      <c r="X609" s="6">
        <v>42164.391273148147</v>
      </c>
      <c r="Y609" t="s">
        <v>124</v>
      </c>
      <c r="AB609" t="s">
        <v>201</v>
      </c>
      <c r="AC609" t="s">
        <v>247</v>
      </c>
      <c r="AD609" t="s">
        <v>220</v>
      </c>
      <c r="AE609" t="s">
        <v>219</v>
      </c>
      <c r="AG609" t="s">
        <v>121</v>
      </c>
      <c r="AH609" t="s">
        <v>327</v>
      </c>
      <c r="AI609" t="s">
        <v>121</v>
      </c>
      <c r="AJ609" t="s">
        <v>716</v>
      </c>
      <c r="AK609" t="s">
        <v>121</v>
      </c>
      <c r="AL609" t="s">
        <v>121</v>
      </c>
      <c r="AM609" t="s">
        <v>121</v>
      </c>
    </row>
    <row r="610" spans="9:39" x14ac:dyDescent="0.3">
      <c r="I610">
        <f ca="1">IF(OR(INDIRECT(A73&amp;ROW())=B93,INDIRECT(A73&amp;ROW())=B94),1,IF(AND(INDIRECT(A73&amp;ROW())=B95,INDIRECT(A96&amp;ROW())=C93),1,IF(AND(INDIRECT(A73&amp;ROW())=B95,INDIRECT(A96&amp;ROW())=C94),1,0)))</f>
        <v>0</v>
      </c>
      <c r="J610">
        <f ca="1">IF(AND(INDIRECT(A73&amp;ROW())=B95,INDIRECT(A96&amp;ROW())=C95),1,IF(AND(INDIRECT(A73&amp;ROW())=B95,INDIRECT(A96&amp;ROW())=C96),1,0))</f>
        <v>1</v>
      </c>
      <c r="K610">
        <f ca="1">DAYS360(INDIRECT(C68&amp;ROW()),TODAY())</f>
        <v>683</v>
      </c>
      <c r="L610">
        <f ca="1">DAYS360(INDIRECT(C69&amp;ROW()),TODAY())</f>
        <v>683</v>
      </c>
      <c r="M610">
        <f ca="1">HYPERLINK(CONCATENATE("https://bugzilla.houston.hp.com:1181/bugzilla/show_bug.cgi?id=",INDIRECT(C70&amp;ROW())),INDIRECT(C70&amp;ROW()))</f>
        <v>63783</v>
      </c>
      <c r="N610">
        <v>63783</v>
      </c>
      <c r="O610" t="s">
        <v>56</v>
      </c>
      <c r="P610" t="s">
        <v>1231</v>
      </c>
      <c r="Q610" t="s">
        <v>25</v>
      </c>
      <c r="R610" t="s">
        <v>248</v>
      </c>
      <c r="S610" t="s">
        <v>552</v>
      </c>
      <c r="U610" s="6">
        <v>42164.444201388891</v>
      </c>
      <c r="V610" t="s">
        <v>18</v>
      </c>
      <c r="W610" t="s">
        <v>248</v>
      </c>
      <c r="X610" s="6">
        <v>42164.444201388891</v>
      </c>
      <c r="Y610" t="s">
        <v>124</v>
      </c>
      <c r="AB610" t="s">
        <v>201</v>
      </c>
      <c r="AC610" t="s">
        <v>247</v>
      </c>
      <c r="AD610" t="s">
        <v>220</v>
      </c>
      <c r="AE610" t="s">
        <v>219</v>
      </c>
      <c r="AG610" t="s">
        <v>121</v>
      </c>
      <c r="AH610" t="s">
        <v>327</v>
      </c>
      <c r="AI610" t="s">
        <v>121</v>
      </c>
      <c r="AJ610" t="s">
        <v>716</v>
      </c>
      <c r="AK610" t="s">
        <v>121</v>
      </c>
      <c r="AL610" t="s">
        <v>121</v>
      </c>
      <c r="AM610" t="s">
        <v>121</v>
      </c>
    </row>
    <row r="611" spans="9:39" x14ac:dyDescent="0.3">
      <c r="I611">
        <f ca="1">IF(OR(INDIRECT(A73&amp;ROW())=B93,INDIRECT(A73&amp;ROW())=B94),1,IF(AND(INDIRECT(A73&amp;ROW())=B95,INDIRECT(A96&amp;ROW())=C93),1,IF(AND(INDIRECT(A73&amp;ROW())=B95,INDIRECT(A96&amp;ROW())=C94),1,0)))</f>
        <v>0</v>
      </c>
      <c r="J611">
        <f ca="1">IF(AND(INDIRECT(A73&amp;ROW())=B95,INDIRECT(A96&amp;ROW())=C95),1,IF(AND(INDIRECT(A73&amp;ROW())=B95,INDIRECT(A96&amp;ROW())=C96),1,0))</f>
        <v>1</v>
      </c>
      <c r="K611">
        <f ca="1">DAYS360(INDIRECT(C68&amp;ROW()),TODAY())</f>
        <v>682</v>
      </c>
      <c r="L611">
        <f ca="1">DAYS360(INDIRECT(C69&amp;ROW()),TODAY())</f>
        <v>683</v>
      </c>
      <c r="M611">
        <f ca="1">HYPERLINK(CONCATENATE("https://bugzilla.houston.hp.com:1181/bugzilla/show_bug.cgi?id=",INDIRECT(C70&amp;ROW())),INDIRECT(C70&amp;ROW()))</f>
        <v>63790</v>
      </c>
      <c r="N611">
        <v>63790</v>
      </c>
      <c r="O611" t="s">
        <v>1271</v>
      </c>
      <c r="P611" t="s">
        <v>1454</v>
      </c>
      <c r="Q611" t="s">
        <v>25</v>
      </c>
      <c r="R611" t="s">
        <v>251</v>
      </c>
      <c r="S611" t="s">
        <v>1271</v>
      </c>
      <c r="T611" t="s">
        <v>1455</v>
      </c>
      <c r="U611" s="6">
        <v>42165.117129629631</v>
      </c>
      <c r="V611" t="s">
        <v>35</v>
      </c>
      <c r="W611" t="s">
        <v>248</v>
      </c>
      <c r="X611" s="6">
        <v>42164.601875</v>
      </c>
      <c r="Y611" t="s">
        <v>124</v>
      </c>
      <c r="AB611" t="s">
        <v>201</v>
      </c>
      <c r="AC611" t="s">
        <v>247</v>
      </c>
      <c r="AD611" t="s">
        <v>220</v>
      </c>
      <c r="AE611" t="s">
        <v>219</v>
      </c>
      <c r="AG611" t="s">
        <v>121</v>
      </c>
      <c r="AH611" t="s">
        <v>327</v>
      </c>
      <c r="AI611" t="s">
        <v>121</v>
      </c>
      <c r="AJ611" t="s">
        <v>716</v>
      </c>
      <c r="AK611" t="s">
        <v>121</v>
      </c>
      <c r="AL611" t="s">
        <v>121</v>
      </c>
      <c r="AM611" t="s">
        <v>121</v>
      </c>
    </row>
    <row r="612" spans="9:39" x14ac:dyDescent="0.3">
      <c r="I612">
        <f ca="1">IF(OR(INDIRECT(A73&amp;ROW())=B93,INDIRECT(A73&amp;ROW())=B94),1,IF(AND(INDIRECT(A73&amp;ROW())=B95,INDIRECT(A96&amp;ROW())=C93),1,IF(AND(INDIRECT(A73&amp;ROW())=B95,INDIRECT(A96&amp;ROW())=C94),1,0)))</f>
        <v>1</v>
      </c>
      <c r="J612">
        <f ca="1">IF(AND(INDIRECT(A73&amp;ROW())=B95,INDIRECT(A96&amp;ROW())=C95),1,IF(AND(INDIRECT(A73&amp;ROW())=B95,INDIRECT(A96&amp;ROW())=C96),1,0))</f>
        <v>0</v>
      </c>
      <c r="K612">
        <f ca="1">DAYS360(INDIRECT(C68&amp;ROW()),TODAY())</f>
        <v>628</v>
      </c>
      <c r="L612">
        <f ca="1">DAYS360(INDIRECT(C69&amp;ROW()),TODAY())</f>
        <v>683</v>
      </c>
      <c r="M612">
        <f ca="1">HYPERLINK(CONCATENATE("https://bugzilla.houston.hp.com:1181/bugzilla/show_bug.cgi?id=",INDIRECT(C70&amp;ROW())),INDIRECT(C70&amp;ROW()))</f>
        <v>63791</v>
      </c>
      <c r="N612">
        <v>63791</v>
      </c>
      <c r="O612" t="s">
        <v>155</v>
      </c>
      <c r="P612" t="s">
        <v>1230</v>
      </c>
      <c r="Q612" t="s">
        <v>25</v>
      </c>
      <c r="R612" t="s">
        <v>251</v>
      </c>
      <c r="S612" t="s">
        <v>24</v>
      </c>
      <c r="U612" s="6">
        <v>42220.412789351853</v>
      </c>
      <c r="V612" t="s">
        <v>40</v>
      </c>
      <c r="W612" t="s">
        <v>783</v>
      </c>
      <c r="X612" s="6">
        <v>42164.610868055555</v>
      </c>
      <c r="Y612" t="s">
        <v>119</v>
      </c>
      <c r="AB612" t="s">
        <v>199</v>
      </c>
      <c r="AC612" t="s">
        <v>247</v>
      </c>
      <c r="AD612" t="s">
        <v>220</v>
      </c>
      <c r="AE612" t="s">
        <v>219</v>
      </c>
      <c r="AG612" t="s">
        <v>121</v>
      </c>
      <c r="AH612" t="s">
        <v>327</v>
      </c>
      <c r="AI612" t="s">
        <v>121</v>
      </c>
      <c r="AJ612" t="s">
        <v>715</v>
      </c>
      <c r="AK612" t="s">
        <v>121</v>
      </c>
      <c r="AL612" t="s">
        <v>121</v>
      </c>
      <c r="AM612" t="s">
        <v>121</v>
      </c>
    </row>
    <row r="613" spans="9:39" x14ac:dyDescent="0.3">
      <c r="I613">
        <f ca="1">IF(OR(INDIRECT(A73&amp;ROW())=B93,INDIRECT(A73&amp;ROW())=B94),1,IF(AND(INDIRECT(A73&amp;ROW())=B95,INDIRECT(A96&amp;ROW())=C93),1,IF(AND(INDIRECT(A73&amp;ROW())=B95,INDIRECT(A96&amp;ROW())=C94),1,0)))</f>
        <v>0</v>
      </c>
      <c r="J613">
        <f ca="1">IF(AND(INDIRECT(A73&amp;ROW())=B95,INDIRECT(A96&amp;ROW())=C95),1,IF(AND(INDIRECT(A73&amp;ROW())=B95,INDIRECT(A96&amp;ROW())=C96),1,0))</f>
        <v>1</v>
      </c>
      <c r="K613">
        <f ca="1">DAYS360(INDIRECT(C68&amp;ROW()),TODAY())</f>
        <v>682</v>
      </c>
      <c r="L613">
        <f ca="1">DAYS360(INDIRECT(C69&amp;ROW()),TODAY())</f>
        <v>682</v>
      </c>
      <c r="M613">
        <f ca="1">HYPERLINK(CONCATENATE("https://bugzilla.houston.hp.com:1181/bugzilla/show_bug.cgi?id=",INDIRECT(C70&amp;ROW())),INDIRECT(C70&amp;ROW()))</f>
        <v>63807</v>
      </c>
      <c r="N613">
        <v>63807</v>
      </c>
      <c r="O613" t="s">
        <v>56</v>
      </c>
      <c r="P613" t="s">
        <v>1229</v>
      </c>
      <c r="Q613" t="s">
        <v>25</v>
      </c>
      <c r="R613" t="s">
        <v>248</v>
      </c>
      <c r="S613" t="s">
        <v>552</v>
      </c>
      <c r="U613" s="6">
        <v>42165.060370370367</v>
      </c>
      <c r="V613" t="s">
        <v>18</v>
      </c>
      <c r="W613" t="s">
        <v>248</v>
      </c>
      <c r="X613" s="6">
        <v>42165.017500000002</v>
      </c>
      <c r="Y613" t="s">
        <v>124</v>
      </c>
      <c r="AB613" t="s">
        <v>201</v>
      </c>
      <c r="AC613" t="s">
        <v>247</v>
      </c>
      <c r="AD613" t="s">
        <v>220</v>
      </c>
      <c r="AE613" t="s">
        <v>219</v>
      </c>
      <c r="AG613" t="s">
        <v>121</v>
      </c>
      <c r="AH613" t="s">
        <v>327</v>
      </c>
      <c r="AI613" t="s">
        <v>121</v>
      </c>
      <c r="AJ613" t="s">
        <v>716</v>
      </c>
      <c r="AK613" t="s">
        <v>121</v>
      </c>
      <c r="AL613" t="s">
        <v>121</v>
      </c>
      <c r="AM613" t="s">
        <v>121</v>
      </c>
    </row>
    <row r="614" spans="9:39" x14ac:dyDescent="0.3">
      <c r="I614">
        <f ca="1">IF(OR(INDIRECT(A73&amp;ROW())=B93,INDIRECT(A73&amp;ROW())=B94),1,IF(AND(INDIRECT(A73&amp;ROW())=B95,INDIRECT(A96&amp;ROW())=C93),1,IF(AND(INDIRECT(A73&amp;ROW())=B95,INDIRECT(A96&amp;ROW())=C94),1,0)))</f>
        <v>1</v>
      </c>
      <c r="J614">
        <f ca="1">IF(AND(INDIRECT(A73&amp;ROW())=B95,INDIRECT(A96&amp;ROW())=C95),1,IF(AND(INDIRECT(A73&amp;ROW())=B95,INDIRECT(A96&amp;ROW())=C96),1,0))</f>
        <v>0</v>
      </c>
      <c r="K614">
        <f ca="1">DAYS360(INDIRECT(C68&amp;ROW()),TODAY())</f>
        <v>614</v>
      </c>
      <c r="L614">
        <f ca="1">DAYS360(INDIRECT(C69&amp;ROW()),TODAY())</f>
        <v>682</v>
      </c>
      <c r="M614">
        <f ca="1">HYPERLINK(CONCATENATE("https://bugzilla.houston.hp.com:1181/bugzilla/show_bug.cgi?id=",INDIRECT(C70&amp;ROW())),INDIRECT(C70&amp;ROW()))</f>
        <v>63850</v>
      </c>
      <c r="N614">
        <v>63850</v>
      </c>
      <c r="O614" t="s">
        <v>55</v>
      </c>
      <c r="P614" t="s">
        <v>1456</v>
      </c>
      <c r="Q614" t="s">
        <v>25</v>
      </c>
      <c r="R614" t="s">
        <v>251</v>
      </c>
      <c r="S614" t="s">
        <v>52</v>
      </c>
      <c r="U614" s="6">
        <v>42234.58315972222</v>
      </c>
      <c r="V614" t="s">
        <v>40</v>
      </c>
      <c r="W614" t="s">
        <v>783</v>
      </c>
      <c r="X614" s="6">
        <v>42165.560289351852</v>
      </c>
      <c r="Y614" t="s">
        <v>119</v>
      </c>
      <c r="AB614" t="s">
        <v>200</v>
      </c>
      <c r="AC614" t="s">
        <v>247</v>
      </c>
      <c r="AD614" t="s">
        <v>222</v>
      </c>
      <c r="AE614" t="s">
        <v>240</v>
      </c>
      <c r="AG614" t="s">
        <v>121</v>
      </c>
      <c r="AH614" t="s">
        <v>327</v>
      </c>
      <c r="AI614" t="s">
        <v>121</v>
      </c>
      <c r="AJ614" t="s">
        <v>715</v>
      </c>
      <c r="AK614" t="s">
        <v>121</v>
      </c>
      <c r="AL614" t="s">
        <v>121</v>
      </c>
      <c r="AM614" t="s">
        <v>121</v>
      </c>
    </row>
    <row r="615" spans="9:39" x14ac:dyDescent="0.3">
      <c r="I615">
        <f ca="1">IF(OR(INDIRECT(A73&amp;ROW())=B93,INDIRECT(A73&amp;ROW())=B94),1,IF(AND(INDIRECT(A73&amp;ROW())=B95,INDIRECT(A96&amp;ROW())=C93),1,IF(AND(INDIRECT(A73&amp;ROW())=B95,INDIRECT(A96&amp;ROW())=C94),1,0)))</f>
        <v>1</v>
      </c>
      <c r="J615">
        <f ca="1">IF(AND(INDIRECT(A73&amp;ROW())=B95,INDIRECT(A96&amp;ROW())=C95),1,IF(AND(INDIRECT(A73&amp;ROW())=B95,INDIRECT(A96&amp;ROW())=C96),1,0))</f>
        <v>0</v>
      </c>
      <c r="K615">
        <f ca="1">DAYS360(INDIRECT(C68&amp;ROW()),TODAY())</f>
        <v>648</v>
      </c>
      <c r="L615">
        <f ca="1">DAYS360(INDIRECT(C69&amp;ROW()),TODAY())</f>
        <v>681</v>
      </c>
      <c r="M615">
        <f ca="1">HYPERLINK(CONCATENATE("https://bugzilla.houston.hp.com:1181/bugzilla/show_bug.cgi?id=",INDIRECT(C70&amp;ROW())),INDIRECT(C70&amp;ROW()))</f>
        <v>63894</v>
      </c>
      <c r="N615">
        <v>63894</v>
      </c>
      <c r="O615" t="s">
        <v>66</v>
      </c>
      <c r="P615" t="s">
        <v>1222</v>
      </c>
      <c r="Q615" t="s">
        <v>25</v>
      </c>
      <c r="R615" t="s">
        <v>579</v>
      </c>
      <c r="S615" t="s">
        <v>552</v>
      </c>
      <c r="T615" t="s">
        <v>1325</v>
      </c>
      <c r="U615" s="6">
        <v>42199.718865740739</v>
      </c>
      <c r="V615" t="s">
        <v>18</v>
      </c>
      <c r="W615" t="s">
        <v>783</v>
      </c>
      <c r="X615" s="6">
        <v>42166.29755787037</v>
      </c>
      <c r="Y615" t="s">
        <v>119</v>
      </c>
      <c r="AB615" t="s">
        <v>199</v>
      </c>
      <c r="AC615" t="s">
        <v>247</v>
      </c>
      <c r="AD615" t="s">
        <v>220</v>
      </c>
      <c r="AE615" t="s">
        <v>219</v>
      </c>
      <c r="AG615" t="s">
        <v>121</v>
      </c>
      <c r="AH615" t="s">
        <v>327</v>
      </c>
      <c r="AI615" t="s">
        <v>121</v>
      </c>
      <c r="AJ615" t="s">
        <v>715</v>
      </c>
      <c r="AK615" t="s">
        <v>121</v>
      </c>
      <c r="AL615" t="s">
        <v>121</v>
      </c>
      <c r="AM615" t="s">
        <v>121</v>
      </c>
    </row>
    <row r="616" spans="9:39" x14ac:dyDescent="0.3">
      <c r="I616">
        <f ca="1">IF(OR(INDIRECT(A73&amp;ROW())=B93,INDIRECT(A73&amp;ROW())=B94),1,IF(AND(INDIRECT(A73&amp;ROW())=B95,INDIRECT(A96&amp;ROW())=C93),1,IF(AND(INDIRECT(A73&amp;ROW())=B95,INDIRECT(A96&amp;ROW())=C94),1,0)))</f>
        <v>1</v>
      </c>
      <c r="J616">
        <f ca="1">IF(AND(INDIRECT(A73&amp;ROW())=B95,INDIRECT(A96&amp;ROW())=C95),1,IF(AND(INDIRECT(A73&amp;ROW())=B95,INDIRECT(A96&amp;ROW())=C96),1,0))</f>
        <v>0</v>
      </c>
      <c r="K616">
        <f ca="1">DAYS360(INDIRECT(C68&amp;ROW()),TODAY())</f>
        <v>681</v>
      </c>
      <c r="L616">
        <f ca="1">DAYS360(INDIRECT(C69&amp;ROW()),TODAY())</f>
        <v>681</v>
      </c>
      <c r="M616">
        <f ca="1">HYPERLINK(CONCATENATE("https://bugzilla.houston.hp.com:1181/bugzilla/show_bug.cgi?id=",INDIRECT(C70&amp;ROW())),INDIRECT(C70&amp;ROW()))</f>
        <v>63896</v>
      </c>
      <c r="N616">
        <v>63896</v>
      </c>
      <c r="O616" t="s">
        <v>66</v>
      </c>
      <c r="P616" t="s">
        <v>1220</v>
      </c>
      <c r="Q616" t="s">
        <v>25</v>
      </c>
      <c r="R616" t="s">
        <v>248</v>
      </c>
      <c r="S616" t="s">
        <v>552</v>
      </c>
      <c r="U616" s="6">
        <v>42166.375520833331</v>
      </c>
      <c r="V616" t="s">
        <v>18</v>
      </c>
      <c r="W616" t="s">
        <v>783</v>
      </c>
      <c r="X616" s="6">
        <v>42166.297835648147</v>
      </c>
      <c r="Y616" t="s">
        <v>119</v>
      </c>
      <c r="AB616" t="s">
        <v>199</v>
      </c>
      <c r="AC616" t="s">
        <v>247</v>
      </c>
      <c r="AD616" t="s">
        <v>220</v>
      </c>
      <c r="AE616" t="s">
        <v>219</v>
      </c>
      <c r="AG616" t="s">
        <v>121</v>
      </c>
      <c r="AH616" t="s">
        <v>327</v>
      </c>
      <c r="AI616" t="s">
        <v>121</v>
      </c>
      <c r="AJ616" t="s">
        <v>715</v>
      </c>
      <c r="AK616" t="s">
        <v>121</v>
      </c>
      <c r="AL616" t="s">
        <v>121</v>
      </c>
      <c r="AM616" t="s">
        <v>121</v>
      </c>
    </row>
    <row r="617" spans="9:39" x14ac:dyDescent="0.3">
      <c r="I617">
        <f ca="1">IF(OR(INDIRECT(A73&amp;ROW())=B93,INDIRECT(A73&amp;ROW())=B94),1,IF(AND(INDIRECT(A73&amp;ROW())=B95,INDIRECT(A96&amp;ROW())=C93),1,IF(AND(INDIRECT(A73&amp;ROW())=B95,INDIRECT(A96&amp;ROW())=C94),1,0)))</f>
        <v>1</v>
      </c>
      <c r="J617">
        <f ca="1">IF(AND(INDIRECT(A73&amp;ROW())=B95,INDIRECT(A96&amp;ROW())=C95),1,IF(AND(INDIRECT(A73&amp;ROW())=B95,INDIRECT(A96&amp;ROW())=C96),1,0))</f>
        <v>0</v>
      </c>
      <c r="K617">
        <f ca="1">DAYS360(INDIRECT(C68&amp;ROW()),TODAY())</f>
        <v>677</v>
      </c>
      <c r="L617">
        <f ca="1">DAYS360(INDIRECT(C69&amp;ROW()),TODAY())</f>
        <v>677</v>
      </c>
      <c r="M617">
        <f ca="1">HYPERLINK(CONCATENATE("https://bugzilla.houston.hp.com:1181/bugzilla/show_bug.cgi?id=",INDIRECT(C70&amp;ROW())),INDIRECT(C70&amp;ROW()))</f>
        <v>64075</v>
      </c>
      <c r="N617">
        <v>64075</v>
      </c>
      <c r="O617" t="s">
        <v>204</v>
      </c>
      <c r="P617" t="s">
        <v>1217</v>
      </c>
      <c r="Q617" t="s">
        <v>25</v>
      </c>
      <c r="R617" t="s">
        <v>579</v>
      </c>
      <c r="S617" t="s">
        <v>552</v>
      </c>
      <c r="T617" t="s">
        <v>54</v>
      </c>
      <c r="U617" s="6">
        <v>42170.554965277777</v>
      </c>
      <c r="V617" t="s">
        <v>18</v>
      </c>
      <c r="W617" t="s">
        <v>17</v>
      </c>
      <c r="X617" s="6">
        <v>42170.554965277777</v>
      </c>
      <c r="Y617" t="s">
        <v>119</v>
      </c>
      <c r="AB617" t="s">
        <v>200</v>
      </c>
      <c r="AC617" t="s">
        <v>121</v>
      </c>
      <c r="AD617" t="s">
        <v>222</v>
      </c>
      <c r="AE617" t="s">
        <v>225</v>
      </c>
      <c r="AG617" t="s">
        <v>121</v>
      </c>
      <c r="AH617" t="s">
        <v>327</v>
      </c>
      <c r="AI617" t="s">
        <v>121</v>
      </c>
      <c r="AJ617" t="s">
        <v>715</v>
      </c>
      <c r="AK617" t="s">
        <v>121</v>
      </c>
      <c r="AL617" t="s">
        <v>121</v>
      </c>
      <c r="AM617" t="s">
        <v>121</v>
      </c>
    </row>
    <row r="618" spans="9:39" x14ac:dyDescent="0.3">
      <c r="I618">
        <f ca="1">IF(OR(INDIRECT(A73&amp;ROW())=B93,INDIRECT(A73&amp;ROW())=B94),1,IF(AND(INDIRECT(A73&amp;ROW())=B95,INDIRECT(A96&amp;ROW())=C93),1,IF(AND(INDIRECT(A73&amp;ROW())=B95,INDIRECT(A96&amp;ROW())=C94),1,0)))</f>
        <v>1</v>
      </c>
      <c r="J618">
        <f ca="1">IF(AND(INDIRECT(A73&amp;ROW())=B95,INDIRECT(A96&amp;ROW())=C95),1,IF(AND(INDIRECT(A73&amp;ROW())=B95,INDIRECT(A96&amp;ROW())=C96),1,0))</f>
        <v>0</v>
      </c>
      <c r="K618">
        <f ca="1">DAYS360(INDIRECT(C68&amp;ROW()),TODAY())</f>
        <v>618</v>
      </c>
      <c r="L618">
        <f ca="1">DAYS360(INDIRECT(C69&amp;ROW()),TODAY())</f>
        <v>677</v>
      </c>
      <c r="M618">
        <f ca="1">HYPERLINK(CONCATENATE("https://bugzilla.houston.hp.com:1181/bugzilla/show_bug.cgi?id=",INDIRECT(C70&amp;ROW())),INDIRECT(C70&amp;ROW()))</f>
        <v>64077</v>
      </c>
      <c r="N618">
        <v>64077</v>
      </c>
      <c r="O618" t="s">
        <v>94</v>
      </c>
      <c r="P618" t="s">
        <v>1216</v>
      </c>
      <c r="Q618" t="s">
        <v>38</v>
      </c>
      <c r="R618" t="s">
        <v>251</v>
      </c>
      <c r="S618" t="s">
        <v>177</v>
      </c>
      <c r="T618" t="s">
        <v>1215</v>
      </c>
      <c r="U618" s="6">
        <v>42230.644293981481</v>
      </c>
      <c r="V618" t="s">
        <v>35</v>
      </c>
      <c r="W618" t="s">
        <v>783</v>
      </c>
      <c r="X618" s="6">
        <v>42170.574050925927</v>
      </c>
      <c r="Y618" t="s">
        <v>245</v>
      </c>
      <c r="AB618" t="s">
        <v>199</v>
      </c>
      <c r="AC618" t="s">
        <v>247</v>
      </c>
      <c r="AD618" t="s">
        <v>222</v>
      </c>
      <c r="AE618" t="s">
        <v>221</v>
      </c>
      <c r="AG618" t="s">
        <v>121</v>
      </c>
      <c r="AH618" t="s">
        <v>327</v>
      </c>
      <c r="AI618" t="s">
        <v>121</v>
      </c>
      <c r="AJ618" t="s">
        <v>715</v>
      </c>
      <c r="AK618" t="s">
        <v>121</v>
      </c>
      <c r="AL618" t="s">
        <v>121</v>
      </c>
      <c r="AM618" t="s">
        <v>121</v>
      </c>
    </row>
    <row r="619" spans="9:39" x14ac:dyDescent="0.3">
      <c r="I619">
        <f ca="1">IF(OR(INDIRECT(A73&amp;ROW())=B93,INDIRECT(A73&amp;ROW())=B94),1,IF(AND(INDIRECT(A73&amp;ROW())=B95,INDIRECT(A96&amp;ROW())=C93),1,IF(AND(INDIRECT(A73&amp;ROW())=B95,INDIRECT(A96&amp;ROW())=C94),1,0)))</f>
        <v>1</v>
      </c>
      <c r="J619">
        <f ca="1">IF(AND(INDIRECT(A73&amp;ROW())=B95,INDIRECT(A96&amp;ROW())=C95),1,IF(AND(INDIRECT(A73&amp;ROW())=B95,INDIRECT(A96&amp;ROW())=C96),1,0))</f>
        <v>0</v>
      </c>
      <c r="K619">
        <f ca="1">DAYS360(INDIRECT(C68&amp;ROW()),TODAY())</f>
        <v>648</v>
      </c>
      <c r="L619">
        <f ca="1">DAYS360(INDIRECT(C69&amp;ROW()),TODAY())</f>
        <v>677</v>
      </c>
      <c r="M619">
        <f ca="1">HYPERLINK(CONCATENATE("https://bugzilla.houston.hp.com:1181/bugzilla/show_bug.cgi?id=",INDIRECT(C70&amp;ROW())),INDIRECT(C70&amp;ROW()))</f>
        <v>64078</v>
      </c>
      <c r="N619">
        <v>64078</v>
      </c>
      <c r="O619" t="s">
        <v>55</v>
      </c>
      <c r="P619" t="s">
        <v>1214</v>
      </c>
      <c r="Q619" t="s">
        <v>39</v>
      </c>
      <c r="R619" t="s">
        <v>579</v>
      </c>
      <c r="S619" t="s">
        <v>552</v>
      </c>
      <c r="T619" t="s">
        <v>1325</v>
      </c>
      <c r="U619" s="6">
        <v>42199.865486111114</v>
      </c>
      <c r="V619" t="s">
        <v>18</v>
      </c>
      <c r="W619" t="s">
        <v>783</v>
      </c>
      <c r="X619" s="6">
        <v>42170.586562500001</v>
      </c>
      <c r="Y619" t="s">
        <v>245</v>
      </c>
      <c r="AB619" t="s">
        <v>199</v>
      </c>
      <c r="AC619" t="s">
        <v>247</v>
      </c>
      <c r="AD619" t="s">
        <v>222</v>
      </c>
      <c r="AE619" t="s">
        <v>221</v>
      </c>
      <c r="AG619" t="s">
        <v>121</v>
      </c>
      <c r="AH619" t="s">
        <v>327</v>
      </c>
      <c r="AI619" t="s">
        <v>121</v>
      </c>
      <c r="AJ619" t="s">
        <v>715</v>
      </c>
      <c r="AK619" t="s">
        <v>121</v>
      </c>
      <c r="AL619" t="s">
        <v>121</v>
      </c>
      <c r="AM619" t="s">
        <v>121</v>
      </c>
    </row>
    <row r="620" spans="9:39" x14ac:dyDescent="0.3">
      <c r="I620">
        <f ca="1">IF(OR(INDIRECT(A73&amp;ROW())=B93,INDIRECT(A73&amp;ROW())=B94),1,IF(AND(INDIRECT(A73&amp;ROW())=B95,INDIRECT(A96&amp;ROW())=C93),1,IF(AND(INDIRECT(A73&amp;ROW())=B95,INDIRECT(A96&amp;ROW())=C94),1,0)))</f>
        <v>1</v>
      </c>
      <c r="J620">
        <f ca="1">IF(AND(INDIRECT(A73&amp;ROW())=B95,INDIRECT(A96&amp;ROW())=C95),1,IF(AND(INDIRECT(A73&amp;ROW())=B95,INDIRECT(A96&amp;ROW())=C96),1,0))</f>
        <v>0</v>
      </c>
      <c r="K620">
        <f ca="1">DAYS360(INDIRECT(C68&amp;ROW()),TODAY())</f>
        <v>677</v>
      </c>
      <c r="L620">
        <f ca="1">DAYS360(INDIRECT(C69&amp;ROW()),TODAY())</f>
        <v>677</v>
      </c>
      <c r="M620">
        <f ca="1">HYPERLINK(CONCATENATE("https://bugzilla.houston.hp.com:1181/bugzilla/show_bug.cgi?id=",INDIRECT(C70&amp;ROW())),INDIRECT(C70&amp;ROW()))</f>
        <v>64080</v>
      </c>
      <c r="N620">
        <v>64080</v>
      </c>
      <c r="O620" t="s">
        <v>55</v>
      </c>
      <c r="P620" t="s">
        <v>1212</v>
      </c>
      <c r="Q620" t="s">
        <v>39</v>
      </c>
      <c r="R620" t="s">
        <v>248</v>
      </c>
      <c r="S620" t="s">
        <v>552</v>
      </c>
      <c r="U620" s="6">
        <v>42170.586747685185</v>
      </c>
      <c r="V620" t="s">
        <v>18</v>
      </c>
      <c r="W620" t="s">
        <v>783</v>
      </c>
      <c r="X620" s="6">
        <v>42170.586747685185</v>
      </c>
      <c r="Y620" t="s">
        <v>245</v>
      </c>
      <c r="AB620" t="s">
        <v>199</v>
      </c>
      <c r="AC620" t="s">
        <v>247</v>
      </c>
      <c r="AD620" t="s">
        <v>222</v>
      </c>
      <c r="AE620" t="s">
        <v>221</v>
      </c>
      <c r="AG620" t="s">
        <v>121</v>
      </c>
      <c r="AH620" t="s">
        <v>327</v>
      </c>
      <c r="AI620" t="s">
        <v>121</v>
      </c>
      <c r="AJ620" t="s">
        <v>715</v>
      </c>
      <c r="AK620" t="s">
        <v>121</v>
      </c>
      <c r="AL620" t="s">
        <v>121</v>
      </c>
      <c r="AM620" t="s">
        <v>121</v>
      </c>
    </row>
    <row r="621" spans="9:39" x14ac:dyDescent="0.3">
      <c r="I621">
        <f ca="1">IF(OR(INDIRECT(A73&amp;ROW())=B93,INDIRECT(A73&amp;ROW())=B94),1,IF(AND(INDIRECT(A73&amp;ROW())=B95,INDIRECT(A96&amp;ROW())=C93),1,IF(AND(INDIRECT(A73&amp;ROW())=B95,INDIRECT(A96&amp;ROW())=C94),1,0)))</f>
        <v>0</v>
      </c>
      <c r="J621">
        <f ca="1">IF(AND(INDIRECT(A73&amp;ROW())=B95,INDIRECT(A96&amp;ROW())=C95),1,IF(AND(INDIRECT(A73&amp;ROW())=B95,INDIRECT(A96&amp;ROW())=C96),1,0))</f>
        <v>0</v>
      </c>
      <c r="K621">
        <f ca="1">DAYS360(INDIRECT(C68&amp;ROW()),TODAY())</f>
        <v>667</v>
      </c>
      <c r="L621">
        <f ca="1">DAYS360(INDIRECT(C69&amp;ROW()),TODAY())</f>
        <v>676</v>
      </c>
      <c r="M621">
        <f ca="1">HYPERLINK(CONCATENATE("https://bugzilla.houston.hp.com:1181/bugzilla/show_bug.cgi?id=",INDIRECT(C70&amp;ROW())),INDIRECT(C70&amp;ROW()))</f>
        <v>64138</v>
      </c>
      <c r="N621">
        <v>64138</v>
      </c>
      <c r="O621" t="s">
        <v>56</v>
      </c>
      <c r="P621" t="s">
        <v>1457</v>
      </c>
      <c r="Q621" t="s">
        <v>16</v>
      </c>
      <c r="R621" t="s">
        <v>251</v>
      </c>
      <c r="S621" t="s">
        <v>164</v>
      </c>
      <c r="U621" s="6">
        <v>42180.290925925925</v>
      </c>
      <c r="V621" t="s">
        <v>18</v>
      </c>
      <c r="W621" t="s">
        <v>63</v>
      </c>
      <c r="X621" s="6">
        <v>42171.399467592593</v>
      </c>
      <c r="Y621" t="s">
        <v>792</v>
      </c>
      <c r="AB621" t="s">
        <v>201</v>
      </c>
      <c r="AC621" t="s">
        <v>247</v>
      </c>
      <c r="AD621" t="s">
        <v>220</v>
      </c>
      <c r="AE621" t="s">
        <v>219</v>
      </c>
      <c r="AG621" t="s">
        <v>121</v>
      </c>
      <c r="AH621" t="s">
        <v>327</v>
      </c>
      <c r="AI621" t="s">
        <v>121</v>
      </c>
      <c r="AJ621" t="s">
        <v>717</v>
      </c>
      <c r="AK621" t="s">
        <v>121</v>
      </c>
      <c r="AL621" t="s">
        <v>121</v>
      </c>
      <c r="AM621" t="s">
        <v>121</v>
      </c>
    </row>
    <row r="622" spans="9:39" x14ac:dyDescent="0.3">
      <c r="I622">
        <f ca="1">IF(OR(INDIRECT(A73&amp;ROW())=B93,INDIRECT(A73&amp;ROW())=B94),1,IF(AND(INDIRECT(A73&amp;ROW())=B95,INDIRECT(A96&amp;ROW())=C93),1,IF(AND(INDIRECT(A73&amp;ROW())=B95,INDIRECT(A96&amp;ROW())=C94),1,0)))</f>
        <v>0</v>
      </c>
      <c r="J622">
        <f ca="1">IF(AND(INDIRECT(A73&amp;ROW())=B95,INDIRECT(A96&amp;ROW())=C95),1,IF(AND(INDIRECT(A73&amp;ROW())=B95,INDIRECT(A96&amp;ROW())=C96),1,0))</f>
        <v>0</v>
      </c>
      <c r="K622">
        <f ca="1">DAYS360(INDIRECT(C68&amp;ROW()),TODAY())</f>
        <v>675</v>
      </c>
      <c r="L622">
        <f ca="1">DAYS360(INDIRECT(C69&amp;ROW()),TODAY())</f>
        <v>676</v>
      </c>
      <c r="M622">
        <f ca="1">HYPERLINK(CONCATENATE("https://bugzilla.houston.hp.com:1181/bugzilla/show_bug.cgi?id=",INDIRECT(C70&amp;ROW())),INDIRECT(C70&amp;ROW()))</f>
        <v>64141</v>
      </c>
      <c r="N622">
        <v>64141</v>
      </c>
      <c r="O622" t="s">
        <v>56</v>
      </c>
      <c r="P622" t="s">
        <v>1458</v>
      </c>
      <c r="Q622" t="s">
        <v>16</v>
      </c>
      <c r="R622" t="s">
        <v>1389</v>
      </c>
      <c r="S622" t="s">
        <v>552</v>
      </c>
      <c r="U622" s="6">
        <v>42172.064004629632</v>
      </c>
      <c r="V622" t="s">
        <v>18</v>
      </c>
      <c r="W622" t="s">
        <v>63</v>
      </c>
      <c r="X622" s="6">
        <v>42171.419583333336</v>
      </c>
      <c r="Y622" t="s">
        <v>792</v>
      </c>
      <c r="AB622" t="s">
        <v>201</v>
      </c>
      <c r="AC622" t="s">
        <v>247</v>
      </c>
      <c r="AD622" t="s">
        <v>220</v>
      </c>
      <c r="AE622" t="s">
        <v>219</v>
      </c>
      <c r="AG622" t="s">
        <v>121</v>
      </c>
      <c r="AH622" t="s">
        <v>327</v>
      </c>
      <c r="AI622" t="s">
        <v>121</v>
      </c>
      <c r="AJ622" t="s">
        <v>717</v>
      </c>
      <c r="AK622" t="s">
        <v>121</v>
      </c>
      <c r="AL622" t="s">
        <v>121</v>
      </c>
      <c r="AM622" t="s">
        <v>121</v>
      </c>
    </row>
    <row r="623" spans="9:39" x14ac:dyDescent="0.3">
      <c r="I623">
        <f ca="1">IF(OR(INDIRECT(A73&amp;ROW())=B93,INDIRECT(A73&amp;ROW())=B94),1,IF(AND(INDIRECT(A73&amp;ROW())=B95,INDIRECT(A96&amp;ROW())=C93),1,IF(AND(INDIRECT(A73&amp;ROW())=B95,INDIRECT(A96&amp;ROW())=C94),1,0)))</f>
        <v>0</v>
      </c>
      <c r="J623">
        <f ca="1">IF(AND(INDIRECT(A73&amp;ROW())=B95,INDIRECT(A96&amp;ROW())=C95),1,IF(AND(INDIRECT(A73&amp;ROW())=B95,INDIRECT(A96&amp;ROW())=C96),1,0))</f>
        <v>0</v>
      </c>
      <c r="K623">
        <f ca="1">DAYS360(INDIRECT(C68&amp;ROW()),TODAY())</f>
        <v>675</v>
      </c>
      <c r="L623">
        <f ca="1">DAYS360(INDIRECT(C69&amp;ROW()),TODAY())</f>
        <v>676</v>
      </c>
      <c r="M623">
        <f ca="1">HYPERLINK(CONCATENATE("https://bugzilla.houston.hp.com:1181/bugzilla/show_bug.cgi?id=",INDIRECT(C70&amp;ROW())),INDIRECT(C70&amp;ROW()))</f>
        <v>64142</v>
      </c>
      <c r="N623">
        <v>64142</v>
      </c>
      <c r="O623" t="s">
        <v>56</v>
      </c>
      <c r="P623" t="s">
        <v>1275</v>
      </c>
      <c r="Q623" t="s">
        <v>16</v>
      </c>
      <c r="R623" t="s">
        <v>579</v>
      </c>
      <c r="S623" t="s">
        <v>552</v>
      </c>
      <c r="U623" s="6">
        <v>42172.064120370371</v>
      </c>
      <c r="V623" t="s">
        <v>18</v>
      </c>
      <c r="W623" t="s">
        <v>63</v>
      </c>
      <c r="X623" s="6">
        <v>42171.419652777775</v>
      </c>
      <c r="Y623" t="s">
        <v>792</v>
      </c>
      <c r="AB623" t="s">
        <v>201</v>
      </c>
      <c r="AC623" t="s">
        <v>247</v>
      </c>
      <c r="AD623" t="s">
        <v>220</v>
      </c>
      <c r="AE623" t="s">
        <v>219</v>
      </c>
      <c r="AG623" t="s">
        <v>121</v>
      </c>
      <c r="AH623" t="s">
        <v>327</v>
      </c>
      <c r="AI623" t="s">
        <v>121</v>
      </c>
      <c r="AJ623" t="s">
        <v>717</v>
      </c>
      <c r="AK623" t="s">
        <v>121</v>
      </c>
      <c r="AL623" t="s">
        <v>121</v>
      </c>
      <c r="AM623" t="s">
        <v>121</v>
      </c>
    </row>
    <row r="624" spans="9:39" x14ac:dyDescent="0.3">
      <c r="I624">
        <f ca="1">IF(OR(INDIRECT(A73&amp;ROW())=B93,INDIRECT(A73&amp;ROW())=B94),1,IF(AND(INDIRECT(A73&amp;ROW())=B95,INDIRECT(A96&amp;ROW())=C93),1,IF(AND(INDIRECT(A73&amp;ROW())=B95,INDIRECT(A96&amp;ROW())=C94),1,0)))</f>
        <v>0</v>
      </c>
      <c r="J624">
        <f ca="1">IF(AND(INDIRECT(A73&amp;ROW())=B95,INDIRECT(A96&amp;ROW())=C95),1,IF(AND(INDIRECT(A73&amp;ROW())=B95,INDIRECT(A96&amp;ROW())=C96),1,0))</f>
        <v>0</v>
      </c>
      <c r="K624">
        <f ca="1">DAYS360(INDIRECT(C68&amp;ROW()),TODAY())</f>
        <v>675</v>
      </c>
      <c r="L624">
        <f ca="1">DAYS360(INDIRECT(C69&amp;ROW()),TODAY())</f>
        <v>676</v>
      </c>
      <c r="M624">
        <f ca="1">HYPERLINK(CONCATENATE("https://bugzilla.houston.hp.com:1181/bugzilla/show_bug.cgi?id=",INDIRECT(C70&amp;ROW())),INDIRECT(C70&amp;ROW()))</f>
        <v>64143</v>
      </c>
      <c r="N624">
        <v>64143</v>
      </c>
      <c r="O624" t="s">
        <v>56</v>
      </c>
      <c r="P624" t="s">
        <v>1274</v>
      </c>
      <c r="Q624" t="s">
        <v>16</v>
      </c>
      <c r="R624" t="s">
        <v>783</v>
      </c>
      <c r="S624" t="s">
        <v>552</v>
      </c>
      <c r="U624" s="6">
        <v>42172.064236111109</v>
      </c>
      <c r="V624" t="s">
        <v>18</v>
      </c>
      <c r="W624" t="s">
        <v>63</v>
      </c>
      <c r="X624" s="6">
        <v>42171.419722222221</v>
      </c>
      <c r="Y624" t="s">
        <v>792</v>
      </c>
      <c r="AB624" t="s">
        <v>201</v>
      </c>
      <c r="AC624" t="s">
        <v>247</v>
      </c>
      <c r="AD624" t="s">
        <v>220</v>
      </c>
      <c r="AE624" t="s">
        <v>219</v>
      </c>
      <c r="AG624" t="s">
        <v>121</v>
      </c>
      <c r="AH624" t="s">
        <v>327</v>
      </c>
      <c r="AI624" t="s">
        <v>121</v>
      </c>
      <c r="AJ624" t="s">
        <v>717</v>
      </c>
      <c r="AK624" t="s">
        <v>121</v>
      </c>
      <c r="AL624" t="s">
        <v>121</v>
      </c>
      <c r="AM624" t="s">
        <v>121</v>
      </c>
    </row>
    <row r="625" spans="9:39" x14ac:dyDescent="0.3">
      <c r="I625">
        <f ca="1">IF(OR(INDIRECT(A73&amp;ROW())=B93,INDIRECT(A73&amp;ROW())=B94),1,IF(AND(INDIRECT(A73&amp;ROW())=B95,INDIRECT(A96&amp;ROW())=C93),1,IF(AND(INDIRECT(A73&amp;ROW())=B95,INDIRECT(A96&amp;ROW())=C94),1,0)))</f>
        <v>0</v>
      </c>
      <c r="J625">
        <f ca="1">IF(AND(INDIRECT(A73&amp;ROW())=B95,INDIRECT(A96&amp;ROW())=C95),1,IF(AND(INDIRECT(A73&amp;ROW())=B95,INDIRECT(A96&amp;ROW())=C96),1,0))</f>
        <v>0</v>
      </c>
      <c r="K625">
        <f ca="1">DAYS360(INDIRECT(C68&amp;ROW()),TODAY())</f>
        <v>675</v>
      </c>
      <c r="L625">
        <f ca="1">DAYS360(INDIRECT(C69&amp;ROW()),TODAY())</f>
        <v>676</v>
      </c>
      <c r="M625">
        <f ca="1">HYPERLINK(CONCATENATE("https://bugzilla.houston.hp.com:1181/bugzilla/show_bug.cgi?id=",INDIRECT(C70&amp;ROW())),INDIRECT(C70&amp;ROW()))</f>
        <v>64144</v>
      </c>
      <c r="N625">
        <v>64144</v>
      </c>
      <c r="O625" t="s">
        <v>56</v>
      </c>
      <c r="P625" t="s">
        <v>1273</v>
      </c>
      <c r="Q625" t="s">
        <v>16</v>
      </c>
      <c r="R625" t="s">
        <v>248</v>
      </c>
      <c r="S625" t="s">
        <v>552</v>
      </c>
      <c r="U625" s="6">
        <v>42172.06449074074</v>
      </c>
      <c r="V625" t="s">
        <v>18</v>
      </c>
      <c r="W625" t="s">
        <v>63</v>
      </c>
      <c r="X625" s="6">
        <v>42171.419791666667</v>
      </c>
      <c r="Y625" t="s">
        <v>792</v>
      </c>
      <c r="AB625" t="s">
        <v>201</v>
      </c>
      <c r="AC625" t="s">
        <v>247</v>
      </c>
      <c r="AD625" t="s">
        <v>220</v>
      </c>
      <c r="AE625" t="s">
        <v>219</v>
      </c>
      <c r="AG625" t="s">
        <v>121</v>
      </c>
      <c r="AH625" t="s">
        <v>327</v>
      </c>
      <c r="AI625" t="s">
        <v>121</v>
      </c>
      <c r="AJ625" t="s">
        <v>717</v>
      </c>
      <c r="AK625" t="s">
        <v>121</v>
      </c>
      <c r="AL625" t="s">
        <v>121</v>
      </c>
      <c r="AM625" t="s">
        <v>121</v>
      </c>
    </row>
    <row r="626" spans="9:39" x14ac:dyDescent="0.3">
      <c r="I626">
        <f ca="1">IF(OR(INDIRECT(A73&amp;ROW())=B93,INDIRECT(A73&amp;ROW())=B94),1,IF(AND(INDIRECT(A73&amp;ROW())=B95,INDIRECT(A96&amp;ROW())=C93),1,IF(AND(INDIRECT(A73&amp;ROW())=B95,INDIRECT(A96&amp;ROW())=C94),1,0)))</f>
        <v>0</v>
      </c>
      <c r="J626">
        <f ca="1">IF(AND(INDIRECT(A73&amp;ROW())=B95,INDIRECT(A96&amp;ROW())=C95),1,IF(AND(INDIRECT(A73&amp;ROW())=B95,INDIRECT(A96&amp;ROW())=C96),1,0))</f>
        <v>0</v>
      </c>
      <c r="K626">
        <f ca="1">DAYS360(INDIRECT(C68&amp;ROW()),TODAY())</f>
        <v>675</v>
      </c>
      <c r="L626">
        <f ca="1">DAYS360(INDIRECT(C69&amp;ROW()),TODAY())</f>
        <v>676</v>
      </c>
      <c r="M626">
        <f ca="1">HYPERLINK(CONCATENATE("https://bugzilla.houston.hp.com:1181/bugzilla/show_bug.cgi?id=",INDIRECT(C70&amp;ROW())),INDIRECT(C70&amp;ROW()))</f>
        <v>64145</v>
      </c>
      <c r="N626">
        <v>64145</v>
      </c>
      <c r="O626" t="s">
        <v>56</v>
      </c>
      <c r="P626" t="s">
        <v>1459</v>
      </c>
      <c r="Q626" t="s">
        <v>16</v>
      </c>
      <c r="R626" t="s">
        <v>1375</v>
      </c>
      <c r="S626" t="s">
        <v>552</v>
      </c>
      <c r="U626" s="6">
        <v>42172.06459490741</v>
      </c>
      <c r="V626" t="s">
        <v>18</v>
      </c>
      <c r="W626" t="s">
        <v>63</v>
      </c>
      <c r="X626" s="6">
        <v>42171.419872685183</v>
      </c>
      <c r="Y626" t="s">
        <v>792</v>
      </c>
      <c r="AB626" t="s">
        <v>201</v>
      </c>
      <c r="AC626" t="s">
        <v>247</v>
      </c>
      <c r="AD626" t="s">
        <v>220</v>
      </c>
      <c r="AE626" t="s">
        <v>219</v>
      </c>
      <c r="AG626" t="s">
        <v>121</v>
      </c>
      <c r="AH626" t="s">
        <v>327</v>
      </c>
      <c r="AI626" t="s">
        <v>121</v>
      </c>
      <c r="AJ626" t="s">
        <v>717</v>
      </c>
      <c r="AK626" t="s">
        <v>121</v>
      </c>
      <c r="AL626" t="s">
        <v>121</v>
      </c>
      <c r="AM626" t="s">
        <v>121</v>
      </c>
    </row>
    <row r="627" spans="9:39" x14ac:dyDescent="0.3">
      <c r="I627">
        <f ca="1">IF(OR(INDIRECT(A73&amp;ROW())=B93,INDIRECT(A73&amp;ROW())=B94),1,IF(AND(INDIRECT(A73&amp;ROW())=B95,INDIRECT(A96&amp;ROW())=C93),1,IF(AND(INDIRECT(A73&amp;ROW())=B95,INDIRECT(A96&amp;ROW())=C94),1,0)))</f>
        <v>0</v>
      </c>
      <c r="J627">
        <f ca="1">IF(AND(INDIRECT(A73&amp;ROW())=B95,INDIRECT(A96&amp;ROW())=C95),1,IF(AND(INDIRECT(A73&amp;ROW())=B95,INDIRECT(A96&amp;ROW())=C96),1,0))</f>
        <v>0</v>
      </c>
      <c r="K627">
        <f ca="1">DAYS360(INDIRECT(C68&amp;ROW()),TODAY())</f>
        <v>646</v>
      </c>
      <c r="L627">
        <f ca="1">DAYS360(INDIRECT(C69&amp;ROW()),TODAY())</f>
        <v>676</v>
      </c>
      <c r="M627">
        <f ca="1">HYPERLINK(CONCATENATE("https://bugzilla.houston.hp.com:1181/bugzilla/show_bug.cgi?id=",INDIRECT(C70&amp;ROW())),INDIRECT(C70&amp;ROW()))</f>
        <v>64147</v>
      </c>
      <c r="N627">
        <v>64147</v>
      </c>
      <c r="O627" t="s">
        <v>56</v>
      </c>
      <c r="P627" t="s">
        <v>1460</v>
      </c>
      <c r="Q627" t="s">
        <v>16</v>
      </c>
      <c r="R627" t="s">
        <v>1461</v>
      </c>
      <c r="S627" t="s">
        <v>552</v>
      </c>
      <c r="T627" t="s">
        <v>1462</v>
      </c>
      <c r="U627" s="6">
        <v>42201.458981481483</v>
      </c>
      <c r="V627" t="s">
        <v>18</v>
      </c>
      <c r="W627" t="s">
        <v>63</v>
      </c>
      <c r="X627" s="6">
        <v>42171.420011574075</v>
      </c>
      <c r="Y627" t="s">
        <v>792</v>
      </c>
      <c r="AB627" t="s">
        <v>201</v>
      </c>
      <c r="AC627" t="s">
        <v>247</v>
      </c>
      <c r="AD627" t="s">
        <v>220</v>
      </c>
      <c r="AE627" t="s">
        <v>219</v>
      </c>
      <c r="AG627" t="s">
        <v>121</v>
      </c>
      <c r="AH627" t="s">
        <v>327</v>
      </c>
      <c r="AI627" t="s">
        <v>121</v>
      </c>
      <c r="AJ627" t="s">
        <v>717</v>
      </c>
      <c r="AK627" t="s">
        <v>121</v>
      </c>
      <c r="AL627" t="s">
        <v>121</v>
      </c>
      <c r="AM627" t="s">
        <v>121</v>
      </c>
    </row>
    <row r="628" spans="9:39" x14ac:dyDescent="0.3">
      <c r="I628">
        <f ca="1">IF(OR(INDIRECT(A73&amp;ROW())=B93,INDIRECT(A73&amp;ROW())=B94),1,IF(AND(INDIRECT(A73&amp;ROW())=B95,INDIRECT(A96&amp;ROW())=C93),1,IF(AND(INDIRECT(A73&amp;ROW())=B95,INDIRECT(A96&amp;ROW())=C94),1,0)))</f>
        <v>0</v>
      </c>
      <c r="J628">
        <f ca="1">IF(AND(INDIRECT(A73&amp;ROW())=B95,INDIRECT(A96&amp;ROW())=C95),1,IF(AND(INDIRECT(A73&amp;ROW())=B95,INDIRECT(A96&amp;ROW())=C96),1,0))</f>
        <v>0</v>
      </c>
      <c r="K628">
        <f ca="1">DAYS360(INDIRECT(C68&amp;ROW()),TODAY())</f>
        <v>674</v>
      </c>
      <c r="L628">
        <f ca="1">DAYS360(INDIRECT(C69&amp;ROW()),TODAY())</f>
        <v>676</v>
      </c>
      <c r="M628">
        <f ca="1">HYPERLINK(CONCATENATE("https://bugzilla.houston.hp.com:1181/bugzilla/show_bug.cgi?id=",INDIRECT(C70&amp;ROW())),INDIRECT(C70&amp;ROW()))</f>
        <v>64164</v>
      </c>
      <c r="N628">
        <v>64164</v>
      </c>
      <c r="O628" t="s">
        <v>56</v>
      </c>
      <c r="P628" t="s">
        <v>1272</v>
      </c>
      <c r="Q628" t="s">
        <v>16</v>
      </c>
      <c r="R628" t="s">
        <v>251</v>
      </c>
      <c r="S628" t="s">
        <v>1271</v>
      </c>
      <c r="U628" s="6">
        <v>42173.386874999997</v>
      </c>
      <c r="V628" t="s">
        <v>18</v>
      </c>
      <c r="W628" t="s">
        <v>248</v>
      </c>
      <c r="X628" s="6">
        <v>42171.680752314816</v>
      </c>
      <c r="Y628" t="s">
        <v>124</v>
      </c>
      <c r="AB628" t="s">
        <v>200</v>
      </c>
      <c r="AC628" t="s">
        <v>247</v>
      </c>
      <c r="AD628" t="s">
        <v>220</v>
      </c>
      <c r="AE628" t="s">
        <v>219</v>
      </c>
      <c r="AG628" t="s">
        <v>121</v>
      </c>
      <c r="AH628" t="s">
        <v>1267</v>
      </c>
      <c r="AI628" t="s">
        <v>121</v>
      </c>
      <c r="AJ628" t="s">
        <v>716</v>
      </c>
      <c r="AK628" t="s">
        <v>121</v>
      </c>
      <c r="AL628" t="s">
        <v>121</v>
      </c>
      <c r="AM628" t="s">
        <v>121</v>
      </c>
    </row>
    <row r="629" spans="9:39" x14ac:dyDescent="0.3">
      <c r="I629">
        <f ca="1">IF(OR(INDIRECT(A73&amp;ROW())=B93,INDIRECT(A73&amp;ROW())=B94),1,IF(AND(INDIRECT(A73&amp;ROW())=B95,INDIRECT(A96&amp;ROW())=C93),1,IF(AND(INDIRECT(A73&amp;ROW())=B95,INDIRECT(A96&amp;ROW())=C94),1,0)))</f>
        <v>0</v>
      </c>
      <c r="J629">
        <f ca="1">IF(AND(INDIRECT(A73&amp;ROW())=B95,INDIRECT(A96&amp;ROW())=C95),1,IF(AND(INDIRECT(A73&amp;ROW())=B95,INDIRECT(A96&amp;ROW())=C96),1,0))</f>
        <v>0</v>
      </c>
      <c r="K629">
        <f ca="1">DAYS360(INDIRECT(C68&amp;ROW()),TODAY())</f>
        <v>674</v>
      </c>
      <c r="L629">
        <f ca="1">DAYS360(INDIRECT(C69&amp;ROW()),TODAY())</f>
        <v>675</v>
      </c>
      <c r="M629">
        <f ca="1">HYPERLINK(CONCATENATE("https://bugzilla.houston.hp.com:1181/bugzilla/show_bug.cgi?id=",INDIRECT(C70&amp;ROW())),INDIRECT(C70&amp;ROW()))</f>
        <v>64176</v>
      </c>
      <c r="N629">
        <v>64176</v>
      </c>
      <c r="O629" t="s">
        <v>56</v>
      </c>
      <c r="P629" t="s">
        <v>1268</v>
      </c>
      <c r="Q629" t="s">
        <v>16</v>
      </c>
      <c r="R629" t="s">
        <v>248</v>
      </c>
      <c r="S629" t="s">
        <v>552</v>
      </c>
      <c r="U629" s="6">
        <v>42173.387407407405</v>
      </c>
      <c r="V629" t="s">
        <v>18</v>
      </c>
      <c r="W629" t="s">
        <v>248</v>
      </c>
      <c r="X629" s="6">
        <v>42172.017685185187</v>
      </c>
      <c r="Y629" t="s">
        <v>124</v>
      </c>
      <c r="AB629" t="s">
        <v>200</v>
      </c>
      <c r="AC629" t="s">
        <v>247</v>
      </c>
      <c r="AD629" t="s">
        <v>220</v>
      </c>
      <c r="AE629" t="s">
        <v>219</v>
      </c>
      <c r="AG629" t="s">
        <v>121</v>
      </c>
      <c r="AH629" t="s">
        <v>1267</v>
      </c>
      <c r="AI629" t="s">
        <v>121</v>
      </c>
      <c r="AJ629" t="s">
        <v>716</v>
      </c>
      <c r="AK629" t="s">
        <v>121</v>
      </c>
      <c r="AL629" t="s">
        <v>121</v>
      </c>
      <c r="AM629" t="s">
        <v>121</v>
      </c>
    </row>
    <row r="630" spans="9:39" x14ac:dyDescent="0.3">
      <c r="I630">
        <f ca="1">IF(OR(INDIRECT(A73&amp;ROW())=B93,INDIRECT(A73&amp;ROW())=B94),1,IF(AND(INDIRECT(A73&amp;ROW())=B95,INDIRECT(A96&amp;ROW())=C93),1,IF(AND(INDIRECT(A73&amp;ROW())=B95,INDIRECT(A96&amp;ROW())=C94),1,0)))</f>
        <v>1</v>
      </c>
      <c r="J630">
        <f ca="1">IF(AND(INDIRECT(A73&amp;ROW())=B95,INDIRECT(A96&amp;ROW())=C95),1,IF(AND(INDIRECT(A73&amp;ROW())=B95,INDIRECT(A96&amp;ROW())=C96),1,0))</f>
        <v>0</v>
      </c>
      <c r="K630">
        <f ca="1">DAYS360(INDIRECT(C68&amp;ROW()),TODAY())</f>
        <v>634</v>
      </c>
      <c r="L630">
        <f ca="1">DAYS360(INDIRECT(C69&amp;ROW()),TODAY())</f>
        <v>675</v>
      </c>
      <c r="M630">
        <f ca="1">HYPERLINK(CONCATENATE("https://bugzilla.houston.hp.com:1181/bugzilla/show_bug.cgi?id=",INDIRECT(C70&amp;ROW())),INDIRECT(C70&amp;ROW()))</f>
        <v>64221</v>
      </c>
      <c r="N630">
        <v>64221</v>
      </c>
      <c r="O630" t="s">
        <v>45</v>
      </c>
      <c r="P630" t="s">
        <v>1463</v>
      </c>
      <c r="Q630" t="s">
        <v>39</v>
      </c>
      <c r="R630" t="s">
        <v>251</v>
      </c>
      <c r="S630" t="s">
        <v>177</v>
      </c>
      <c r="T630" t="s">
        <v>48</v>
      </c>
      <c r="U630" s="6">
        <v>42213.490671296298</v>
      </c>
      <c r="V630" t="s">
        <v>35</v>
      </c>
      <c r="W630" t="s">
        <v>783</v>
      </c>
      <c r="X630" s="6">
        <v>42172.434386574074</v>
      </c>
      <c r="Y630" t="s">
        <v>245</v>
      </c>
      <c r="AB630" t="s">
        <v>201</v>
      </c>
      <c r="AC630" t="s">
        <v>247</v>
      </c>
      <c r="AD630" t="s">
        <v>220</v>
      </c>
      <c r="AE630" t="s">
        <v>219</v>
      </c>
      <c r="AG630" t="s">
        <v>121</v>
      </c>
      <c r="AH630" t="s">
        <v>327</v>
      </c>
      <c r="AI630" t="s">
        <v>121</v>
      </c>
      <c r="AJ630" t="s">
        <v>715</v>
      </c>
      <c r="AK630" t="s">
        <v>121</v>
      </c>
      <c r="AL630" t="s">
        <v>121</v>
      </c>
      <c r="AM630" t="s">
        <v>121</v>
      </c>
    </row>
    <row r="631" spans="9:39" x14ac:dyDescent="0.3">
      <c r="I631">
        <f ca="1">IF(OR(INDIRECT(A73&amp;ROW())=B93,INDIRECT(A73&amp;ROW())=B94),1,IF(AND(INDIRECT(A73&amp;ROW())=B95,INDIRECT(A96&amp;ROW())=C93),1,IF(AND(INDIRECT(A73&amp;ROW())=B95,INDIRECT(A96&amp;ROW())=C94),1,0)))</f>
        <v>1</v>
      </c>
      <c r="J631">
        <f ca="1">IF(AND(INDIRECT(A73&amp;ROW())=B95,INDIRECT(A96&amp;ROW())=C95),1,IF(AND(INDIRECT(A73&amp;ROW())=B95,INDIRECT(A96&amp;ROW())=C96),1,0))</f>
        <v>0</v>
      </c>
      <c r="K631">
        <f ca="1">DAYS360(INDIRECT(C68&amp;ROW()),TODAY())</f>
        <v>675</v>
      </c>
      <c r="L631">
        <f ca="1">DAYS360(INDIRECT(C69&amp;ROW()),TODAY())</f>
        <v>675</v>
      </c>
      <c r="M631">
        <f ca="1">HYPERLINK(CONCATENATE("https://bugzilla.houston.hp.com:1181/bugzilla/show_bug.cgi?id=",INDIRECT(C70&amp;ROW())),INDIRECT(C70&amp;ROW()))</f>
        <v>64222</v>
      </c>
      <c r="N631">
        <v>64222</v>
      </c>
      <c r="O631" t="s">
        <v>56</v>
      </c>
      <c r="P631" t="s">
        <v>1262</v>
      </c>
      <c r="Q631" t="s">
        <v>39</v>
      </c>
      <c r="R631" t="s">
        <v>579</v>
      </c>
      <c r="S631" t="s">
        <v>552</v>
      </c>
      <c r="U631" s="6">
        <v>42172.465092592596</v>
      </c>
      <c r="V631" t="s">
        <v>18</v>
      </c>
      <c r="W631" t="s">
        <v>783</v>
      </c>
      <c r="X631" s="6">
        <v>42172.453055555554</v>
      </c>
      <c r="Y631" t="s">
        <v>245</v>
      </c>
      <c r="AB631" t="s">
        <v>201</v>
      </c>
      <c r="AC631" t="s">
        <v>247</v>
      </c>
      <c r="AD631" t="s">
        <v>220</v>
      </c>
      <c r="AE631" t="s">
        <v>219</v>
      </c>
      <c r="AG631" t="s">
        <v>121</v>
      </c>
      <c r="AH631" t="s">
        <v>327</v>
      </c>
      <c r="AI631" t="s">
        <v>121</v>
      </c>
      <c r="AJ631" t="s">
        <v>715</v>
      </c>
      <c r="AK631" t="s">
        <v>121</v>
      </c>
      <c r="AL631" t="s">
        <v>121</v>
      </c>
      <c r="AM631" t="s">
        <v>121</v>
      </c>
    </row>
    <row r="632" spans="9:39" x14ac:dyDescent="0.3">
      <c r="I632">
        <f ca="1">IF(OR(INDIRECT(A73&amp;ROW())=B93,INDIRECT(A73&amp;ROW())=B94),1,IF(AND(INDIRECT(A73&amp;ROW())=B95,INDIRECT(A96&amp;ROW())=C93),1,IF(AND(INDIRECT(A73&amp;ROW())=B95,INDIRECT(A96&amp;ROW())=C94),1,0)))</f>
        <v>1</v>
      </c>
      <c r="J632">
        <f ca="1">IF(AND(INDIRECT(A73&amp;ROW())=B95,INDIRECT(A96&amp;ROW())=C95),1,IF(AND(INDIRECT(A73&amp;ROW())=B95,INDIRECT(A96&amp;ROW())=C96),1,0))</f>
        <v>0</v>
      </c>
      <c r="K632">
        <f ca="1">DAYS360(INDIRECT(C68&amp;ROW()),TODAY())</f>
        <v>641</v>
      </c>
      <c r="L632">
        <f ca="1">DAYS360(INDIRECT(C69&amp;ROW()),TODAY())</f>
        <v>675</v>
      </c>
      <c r="M632">
        <f ca="1">HYPERLINK(CONCATENATE("https://bugzilla.houston.hp.com:1181/bugzilla/show_bug.cgi?id=",INDIRECT(C70&amp;ROW())),INDIRECT(C70&amp;ROW()))</f>
        <v>64223</v>
      </c>
      <c r="N632">
        <v>64223</v>
      </c>
      <c r="O632" t="s">
        <v>45</v>
      </c>
      <c r="P632" t="s">
        <v>1261</v>
      </c>
      <c r="Q632" t="s">
        <v>39</v>
      </c>
      <c r="R632" t="s">
        <v>783</v>
      </c>
      <c r="S632" t="s">
        <v>552</v>
      </c>
      <c r="U632" s="6">
        <v>42206.103993055556</v>
      </c>
      <c r="V632" t="s">
        <v>18</v>
      </c>
      <c r="W632" t="s">
        <v>783</v>
      </c>
      <c r="X632" s="6">
        <v>42172.453125</v>
      </c>
      <c r="Y632" t="s">
        <v>245</v>
      </c>
      <c r="AB632" t="s">
        <v>201</v>
      </c>
      <c r="AC632" t="s">
        <v>247</v>
      </c>
      <c r="AD632" t="s">
        <v>220</v>
      </c>
      <c r="AE632" t="s">
        <v>219</v>
      </c>
      <c r="AG632" t="s">
        <v>337</v>
      </c>
      <c r="AH632" t="s">
        <v>327</v>
      </c>
      <c r="AI632" t="s">
        <v>362</v>
      </c>
      <c r="AJ632" t="s">
        <v>715</v>
      </c>
      <c r="AK632" t="s">
        <v>121</v>
      </c>
      <c r="AL632" t="s">
        <v>121</v>
      </c>
      <c r="AM632" t="s">
        <v>121</v>
      </c>
    </row>
    <row r="633" spans="9:39" x14ac:dyDescent="0.3">
      <c r="I633">
        <f ca="1">IF(OR(INDIRECT(A73&amp;ROW())=B93,INDIRECT(A73&amp;ROW())=B94),1,IF(AND(INDIRECT(A73&amp;ROW())=B95,INDIRECT(A96&amp;ROW())=C93),1,IF(AND(INDIRECT(A73&amp;ROW())=B95,INDIRECT(A96&amp;ROW())=C94),1,0)))</f>
        <v>1</v>
      </c>
      <c r="J633">
        <f ca="1">IF(AND(INDIRECT(A73&amp;ROW())=B95,INDIRECT(A96&amp;ROW())=C95),1,IF(AND(INDIRECT(A73&amp;ROW())=B95,INDIRECT(A96&amp;ROW())=C96),1,0))</f>
        <v>0</v>
      </c>
      <c r="K633">
        <f ca="1">DAYS360(INDIRECT(C68&amp;ROW()),TODAY())</f>
        <v>675</v>
      </c>
      <c r="L633">
        <f ca="1">DAYS360(INDIRECT(C69&amp;ROW()),TODAY())</f>
        <v>675</v>
      </c>
      <c r="M633">
        <f ca="1">HYPERLINK(CONCATENATE("https://bugzilla.houston.hp.com:1181/bugzilla/show_bug.cgi?id=",INDIRECT(C70&amp;ROW())),INDIRECT(C70&amp;ROW()))</f>
        <v>64224</v>
      </c>
      <c r="N633">
        <v>64224</v>
      </c>
      <c r="O633" t="s">
        <v>56</v>
      </c>
      <c r="P633" t="s">
        <v>1260</v>
      </c>
      <c r="Q633" t="s">
        <v>39</v>
      </c>
      <c r="R633" t="s">
        <v>248</v>
      </c>
      <c r="S633" t="s">
        <v>552</v>
      </c>
      <c r="U633" s="6">
        <v>42172.465081018519</v>
      </c>
      <c r="V633" t="s">
        <v>18</v>
      </c>
      <c r="W633" t="s">
        <v>783</v>
      </c>
      <c r="X633" s="6">
        <v>42172.453182870369</v>
      </c>
      <c r="Y633" t="s">
        <v>245</v>
      </c>
      <c r="AB633" t="s">
        <v>201</v>
      </c>
      <c r="AC633" t="s">
        <v>247</v>
      </c>
      <c r="AD633" t="s">
        <v>220</v>
      </c>
      <c r="AE633" t="s">
        <v>219</v>
      </c>
      <c r="AG633" t="s">
        <v>121</v>
      </c>
      <c r="AH633" t="s">
        <v>327</v>
      </c>
      <c r="AI633" t="s">
        <v>121</v>
      </c>
      <c r="AJ633" t="s">
        <v>715</v>
      </c>
      <c r="AK633" t="s">
        <v>121</v>
      </c>
      <c r="AL633" t="s">
        <v>121</v>
      </c>
      <c r="AM633" t="s">
        <v>121</v>
      </c>
    </row>
    <row r="634" spans="9:39" x14ac:dyDescent="0.3">
      <c r="I634">
        <f ca="1">IF(OR(INDIRECT(A73&amp;ROW())=B93,INDIRECT(A73&amp;ROW())=B94),1,IF(AND(INDIRECT(A73&amp;ROW())=B95,INDIRECT(A96&amp;ROW())=C93),1,IF(AND(INDIRECT(A73&amp;ROW())=B95,INDIRECT(A96&amp;ROW())=C94),1,0)))</f>
        <v>1</v>
      </c>
      <c r="J634">
        <f ca="1">IF(AND(INDIRECT(A73&amp;ROW())=B95,INDIRECT(A96&amp;ROW())=C95),1,IF(AND(INDIRECT(A73&amp;ROW())=B95,INDIRECT(A96&amp;ROW())=C96),1,0))</f>
        <v>0</v>
      </c>
      <c r="K634">
        <f ca="1">DAYS360(INDIRECT(C68&amp;ROW()),TODAY())</f>
        <v>653</v>
      </c>
      <c r="L634">
        <f ca="1">DAYS360(INDIRECT(C69&amp;ROW()),TODAY())</f>
        <v>675</v>
      </c>
      <c r="M634">
        <f ca="1">HYPERLINK(CONCATENATE("https://bugzilla.houston.hp.com:1181/bugzilla/show_bug.cgi?id=",INDIRECT(C70&amp;ROW())),INDIRECT(C70&amp;ROW()))</f>
        <v>64245</v>
      </c>
      <c r="N634">
        <v>64245</v>
      </c>
      <c r="O634" t="s">
        <v>22</v>
      </c>
      <c r="P634" t="s">
        <v>1259</v>
      </c>
      <c r="Q634" t="s">
        <v>25</v>
      </c>
      <c r="R634" t="s">
        <v>251</v>
      </c>
      <c r="S634" t="s">
        <v>1357</v>
      </c>
      <c r="U634" s="6">
        <v>42194.489432870374</v>
      </c>
      <c r="V634" t="s">
        <v>18</v>
      </c>
      <c r="W634" t="s">
        <v>783</v>
      </c>
      <c r="X634" s="6">
        <v>42172.644525462965</v>
      </c>
      <c r="Y634" t="s">
        <v>244</v>
      </c>
      <c r="AB634" t="s">
        <v>199</v>
      </c>
      <c r="AC634" t="s">
        <v>247</v>
      </c>
      <c r="AD634" t="s">
        <v>222</v>
      </c>
      <c r="AE634" t="s">
        <v>225</v>
      </c>
      <c r="AG634" t="s">
        <v>121</v>
      </c>
      <c r="AH634" t="s">
        <v>327</v>
      </c>
      <c r="AI634" t="s">
        <v>121</v>
      </c>
      <c r="AJ634" t="s">
        <v>715</v>
      </c>
      <c r="AK634" t="s">
        <v>121</v>
      </c>
      <c r="AL634" t="s">
        <v>121</v>
      </c>
      <c r="AM634" t="s">
        <v>121</v>
      </c>
    </row>
    <row r="635" spans="9:39" x14ac:dyDescent="0.3">
      <c r="I635">
        <f ca="1">IF(OR(INDIRECT(A73&amp;ROW())=B93,INDIRECT(A73&amp;ROW())=B94),1,IF(AND(INDIRECT(A73&amp;ROW())=B95,INDIRECT(A96&amp;ROW())=C93),1,IF(AND(INDIRECT(A73&amp;ROW())=B95,INDIRECT(A96&amp;ROW())=C94),1,0)))</f>
        <v>1</v>
      </c>
      <c r="J635">
        <f ca="1">IF(AND(INDIRECT(A73&amp;ROW())=B95,INDIRECT(A96&amp;ROW())=C95),1,IF(AND(INDIRECT(A73&amp;ROW())=B95,INDIRECT(A96&amp;ROW())=C96),1,0))</f>
        <v>0</v>
      </c>
      <c r="K635">
        <f ca="1">DAYS360(INDIRECT(C68&amp;ROW()),TODAY())</f>
        <v>660</v>
      </c>
      <c r="L635">
        <f ca="1">DAYS360(INDIRECT(C69&amp;ROW()),TODAY())</f>
        <v>675</v>
      </c>
      <c r="M635">
        <f ca="1">HYPERLINK(CONCATENATE("https://bugzilla.houston.hp.com:1181/bugzilla/show_bug.cgi?id=",INDIRECT(C70&amp;ROW())),INDIRECT(C70&amp;ROW()))</f>
        <v>64246</v>
      </c>
      <c r="N635">
        <v>64246</v>
      </c>
      <c r="O635" t="s">
        <v>22</v>
      </c>
      <c r="P635" t="s">
        <v>1258</v>
      </c>
      <c r="Q635" t="s">
        <v>25</v>
      </c>
      <c r="R635" t="s">
        <v>579</v>
      </c>
      <c r="S635" t="s">
        <v>552</v>
      </c>
      <c r="U635" s="6">
        <v>42187.594490740739</v>
      </c>
      <c r="V635" t="s">
        <v>18</v>
      </c>
      <c r="W635" t="s">
        <v>783</v>
      </c>
      <c r="X635" s="6">
        <v>42172.671203703707</v>
      </c>
      <c r="Y635" t="s">
        <v>244</v>
      </c>
      <c r="AB635" t="s">
        <v>199</v>
      </c>
      <c r="AC635" t="s">
        <v>247</v>
      </c>
      <c r="AD635" t="s">
        <v>222</v>
      </c>
      <c r="AE635" t="s">
        <v>225</v>
      </c>
      <c r="AG635" t="s">
        <v>121</v>
      </c>
      <c r="AH635" t="s">
        <v>327</v>
      </c>
      <c r="AI635" t="s">
        <v>121</v>
      </c>
      <c r="AJ635" t="s">
        <v>715</v>
      </c>
      <c r="AK635" t="s">
        <v>121</v>
      </c>
      <c r="AL635" t="s">
        <v>121</v>
      </c>
      <c r="AM635" t="s">
        <v>121</v>
      </c>
    </row>
    <row r="636" spans="9:39" x14ac:dyDescent="0.3">
      <c r="I636">
        <f ca="1">IF(OR(INDIRECT(A73&amp;ROW())=B93,INDIRECT(A73&amp;ROW())=B94),1,IF(AND(INDIRECT(A73&amp;ROW())=B95,INDIRECT(A96&amp;ROW())=C93),1,IF(AND(INDIRECT(A73&amp;ROW())=B95,INDIRECT(A96&amp;ROW())=C94),1,0)))</f>
        <v>0</v>
      </c>
      <c r="J636">
        <f ca="1">IF(AND(INDIRECT(A73&amp;ROW())=B95,INDIRECT(A96&amp;ROW())=C95),1,IF(AND(INDIRECT(A73&amp;ROW())=B95,INDIRECT(A96&amp;ROW())=C96),1,0))</f>
        <v>0</v>
      </c>
      <c r="K636">
        <f ca="1">DAYS360(INDIRECT(C68&amp;ROW()),TODAY())</f>
        <v>641</v>
      </c>
      <c r="L636">
        <f ca="1">DAYS360(INDIRECT(C69&amp;ROW()),TODAY())</f>
        <v>675</v>
      </c>
      <c r="M636">
        <f ca="1">HYPERLINK(CONCATENATE("https://bugzilla.houston.hp.com:1181/bugzilla/show_bug.cgi?id=",INDIRECT(C70&amp;ROW())),INDIRECT(C70&amp;ROW()))</f>
        <v>64247</v>
      </c>
      <c r="N636">
        <v>64247</v>
      </c>
      <c r="O636" t="s">
        <v>22</v>
      </c>
      <c r="P636" t="s">
        <v>1257</v>
      </c>
      <c r="Q636" t="s">
        <v>16</v>
      </c>
      <c r="R636" t="s">
        <v>783</v>
      </c>
      <c r="S636" t="s">
        <v>552</v>
      </c>
      <c r="U636" s="6">
        <v>42206.125775462962</v>
      </c>
      <c r="V636" t="s">
        <v>18</v>
      </c>
      <c r="W636" t="s">
        <v>783</v>
      </c>
      <c r="X636" s="6">
        <v>42172.671284722222</v>
      </c>
      <c r="Y636" t="s">
        <v>244</v>
      </c>
      <c r="AB636" t="s">
        <v>199</v>
      </c>
      <c r="AC636" t="s">
        <v>247</v>
      </c>
      <c r="AD636" t="s">
        <v>222</v>
      </c>
      <c r="AE636" t="s">
        <v>225</v>
      </c>
      <c r="AG636" t="s">
        <v>337</v>
      </c>
      <c r="AH636" t="s">
        <v>327</v>
      </c>
      <c r="AI636" t="s">
        <v>121</v>
      </c>
      <c r="AJ636" t="s">
        <v>716</v>
      </c>
      <c r="AK636" t="s">
        <v>121</v>
      </c>
      <c r="AL636" t="s">
        <v>121</v>
      </c>
      <c r="AM636" t="s">
        <v>121</v>
      </c>
    </row>
    <row r="637" spans="9:39" x14ac:dyDescent="0.3">
      <c r="I637">
        <f ca="1">IF(OR(INDIRECT(A73&amp;ROW())=B93,INDIRECT(A73&amp;ROW())=B94),1,IF(AND(INDIRECT(A73&amp;ROW())=B95,INDIRECT(A96&amp;ROW())=C93),1,IF(AND(INDIRECT(A73&amp;ROW())=B95,INDIRECT(A96&amp;ROW())=C94),1,0)))</f>
        <v>1</v>
      </c>
      <c r="J637">
        <f ca="1">IF(AND(INDIRECT(A73&amp;ROW())=B95,INDIRECT(A96&amp;ROW())=C95),1,IF(AND(INDIRECT(A73&amp;ROW())=B95,INDIRECT(A96&amp;ROW())=C96),1,0))</f>
        <v>0</v>
      </c>
      <c r="K637">
        <f ca="1">DAYS360(INDIRECT(C68&amp;ROW()),TODAY())</f>
        <v>660</v>
      </c>
      <c r="L637">
        <f ca="1">DAYS360(INDIRECT(C69&amp;ROW()),TODAY())</f>
        <v>675</v>
      </c>
      <c r="M637">
        <f ca="1">HYPERLINK(CONCATENATE("https://bugzilla.houston.hp.com:1181/bugzilla/show_bug.cgi?id=",INDIRECT(C70&amp;ROW())),INDIRECT(C70&amp;ROW()))</f>
        <v>64248</v>
      </c>
      <c r="N637">
        <v>64248</v>
      </c>
      <c r="O637" t="s">
        <v>22</v>
      </c>
      <c r="P637" t="s">
        <v>1256</v>
      </c>
      <c r="Q637" t="s">
        <v>25</v>
      </c>
      <c r="R637" t="s">
        <v>248</v>
      </c>
      <c r="S637" t="s">
        <v>552</v>
      </c>
      <c r="U637" s="6">
        <v>42187.594675925924</v>
      </c>
      <c r="V637" t="s">
        <v>18</v>
      </c>
      <c r="W637" t="s">
        <v>783</v>
      </c>
      <c r="X637" s="6">
        <v>42172.671354166669</v>
      </c>
      <c r="Y637" t="s">
        <v>244</v>
      </c>
      <c r="AB637" t="s">
        <v>199</v>
      </c>
      <c r="AC637" t="s">
        <v>247</v>
      </c>
      <c r="AD637" t="s">
        <v>222</v>
      </c>
      <c r="AE637" t="s">
        <v>225</v>
      </c>
      <c r="AG637" t="s">
        <v>121</v>
      </c>
      <c r="AH637" t="s">
        <v>327</v>
      </c>
      <c r="AI637" t="s">
        <v>121</v>
      </c>
      <c r="AJ637" t="s">
        <v>715</v>
      </c>
      <c r="AK637" t="s">
        <v>121</v>
      </c>
      <c r="AL637" t="s">
        <v>121</v>
      </c>
      <c r="AM637" t="s">
        <v>121</v>
      </c>
    </row>
    <row r="638" spans="9:39" x14ac:dyDescent="0.3">
      <c r="I638">
        <f ca="1">IF(OR(INDIRECT(A73&amp;ROW())=B93,INDIRECT(A73&amp;ROW())=B94),1,IF(AND(INDIRECT(A73&amp;ROW())=B95,INDIRECT(A96&amp;ROW())=C93),1,IF(AND(INDIRECT(A73&amp;ROW())=B95,INDIRECT(A96&amp;ROW())=C94),1,0)))</f>
        <v>0</v>
      </c>
      <c r="J638">
        <f ca="1">IF(AND(INDIRECT(A73&amp;ROW())=B95,INDIRECT(A96&amp;ROW())=C95),1,IF(AND(INDIRECT(A73&amp;ROW())=B95,INDIRECT(A96&amp;ROW())=C96),1,0))</f>
        <v>1</v>
      </c>
      <c r="K638">
        <f ca="1">DAYS360(INDIRECT(C68&amp;ROW()),TODAY())</f>
        <v>674</v>
      </c>
      <c r="L638">
        <f ca="1">DAYS360(INDIRECT(C69&amp;ROW()),TODAY())</f>
        <v>674</v>
      </c>
      <c r="M638">
        <f ca="1">HYPERLINK(CONCATENATE("https://bugzilla.houston.hp.com:1181/bugzilla/show_bug.cgi?id=",INDIRECT(C70&amp;ROW())),INDIRECT(C70&amp;ROW()))</f>
        <v>64291</v>
      </c>
      <c r="N638">
        <v>64291</v>
      </c>
      <c r="O638" t="s">
        <v>22</v>
      </c>
      <c r="P638" t="s">
        <v>1315</v>
      </c>
      <c r="Q638" t="s">
        <v>25</v>
      </c>
      <c r="R638" t="s">
        <v>783</v>
      </c>
      <c r="S638" t="s">
        <v>552</v>
      </c>
      <c r="U638" s="6">
        <v>42173.491736111115</v>
      </c>
      <c r="V638" t="s">
        <v>18</v>
      </c>
      <c r="W638" t="s">
        <v>17</v>
      </c>
      <c r="X638" s="6">
        <v>42173.490104166667</v>
      </c>
      <c r="Y638" t="s">
        <v>535</v>
      </c>
      <c r="AB638" t="s">
        <v>201</v>
      </c>
      <c r="AC638" t="s">
        <v>247</v>
      </c>
      <c r="AD638" t="s">
        <v>222</v>
      </c>
      <c r="AE638" t="s">
        <v>221</v>
      </c>
      <c r="AG638" t="s">
        <v>121</v>
      </c>
      <c r="AH638" t="s">
        <v>327</v>
      </c>
      <c r="AI638" t="s">
        <v>121</v>
      </c>
      <c r="AJ638" t="s">
        <v>716</v>
      </c>
      <c r="AK638" t="s">
        <v>121</v>
      </c>
      <c r="AL638" t="s">
        <v>121</v>
      </c>
      <c r="AM638" t="s">
        <v>121</v>
      </c>
    </row>
    <row r="639" spans="9:39" x14ac:dyDescent="0.3">
      <c r="I639">
        <f ca="1">IF(OR(INDIRECT(A73&amp;ROW())=B93,INDIRECT(A73&amp;ROW())=B94),1,IF(AND(INDIRECT(A73&amp;ROW())=B95,INDIRECT(A96&amp;ROW())=C93),1,IF(AND(INDIRECT(A73&amp;ROW())=B95,INDIRECT(A96&amp;ROW())=C94),1,0)))</f>
        <v>0</v>
      </c>
      <c r="J639">
        <f ca="1">IF(AND(INDIRECT(A73&amp;ROW())=B95,INDIRECT(A96&amp;ROW())=C95),1,IF(AND(INDIRECT(A73&amp;ROW())=B95,INDIRECT(A96&amp;ROW())=C96),1,0))</f>
        <v>0</v>
      </c>
      <c r="K639">
        <f ca="1">DAYS360(INDIRECT(C68&amp;ROW()),TODAY())</f>
        <v>674</v>
      </c>
      <c r="L639">
        <f ca="1">DAYS360(INDIRECT(C69&amp;ROW()),TODAY())</f>
        <v>674</v>
      </c>
      <c r="M639">
        <f ca="1">HYPERLINK(CONCATENATE("https://bugzilla.houston.hp.com:1181/bugzilla/show_bug.cgi?id=",INDIRECT(C70&amp;ROW())),INDIRECT(C70&amp;ROW()))</f>
        <v>64295</v>
      </c>
      <c r="N639">
        <v>64295</v>
      </c>
      <c r="O639" t="s">
        <v>250</v>
      </c>
      <c r="P639" t="s">
        <v>1314</v>
      </c>
      <c r="Q639" t="s">
        <v>16</v>
      </c>
      <c r="R639" t="s">
        <v>579</v>
      </c>
      <c r="S639" t="s">
        <v>552</v>
      </c>
      <c r="U639" s="6">
        <v>42173.524675925924</v>
      </c>
      <c r="V639" t="s">
        <v>18</v>
      </c>
      <c r="W639" t="s">
        <v>17</v>
      </c>
      <c r="X639" s="6">
        <v>42173.524675925924</v>
      </c>
      <c r="Y639" t="s">
        <v>255</v>
      </c>
      <c r="AB639" t="s">
        <v>200</v>
      </c>
      <c r="AC639" t="s">
        <v>247</v>
      </c>
      <c r="AD639" t="s">
        <v>222</v>
      </c>
      <c r="AE639" t="s">
        <v>221</v>
      </c>
      <c r="AG639" t="s">
        <v>121</v>
      </c>
      <c r="AH639" t="s">
        <v>327</v>
      </c>
      <c r="AI639" t="s">
        <v>121</v>
      </c>
      <c r="AJ639" t="s">
        <v>716</v>
      </c>
      <c r="AK639" t="s">
        <v>121</v>
      </c>
      <c r="AL639" t="s">
        <v>121</v>
      </c>
      <c r="AM639" t="s">
        <v>121</v>
      </c>
    </row>
    <row r="640" spans="9:39" x14ac:dyDescent="0.3">
      <c r="I640">
        <f ca="1">IF(OR(INDIRECT(A73&amp;ROW())=B93,INDIRECT(A73&amp;ROW())=B94),1,IF(AND(INDIRECT(A73&amp;ROW())=B95,INDIRECT(A96&amp;ROW())=C93),1,IF(AND(INDIRECT(A73&amp;ROW())=B95,INDIRECT(A96&amp;ROW())=C94),1,0)))</f>
        <v>0</v>
      </c>
      <c r="J640">
        <f ca="1">IF(AND(INDIRECT(A73&amp;ROW())=B95,INDIRECT(A96&amp;ROW())=C95),1,IF(AND(INDIRECT(A73&amp;ROW())=B95,INDIRECT(A96&amp;ROW())=C96),1,0))</f>
        <v>0</v>
      </c>
      <c r="K640">
        <f ca="1">DAYS360(INDIRECT(C68&amp;ROW()),TODAY())</f>
        <v>674</v>
      </c>
      <c r="L640">
        <f ca="1">DAYS360(INDIRECT(C69&amp;ROW()),TODAY())</f>
        <v>674</v>
      </c>
      <c r="M640">
        <f ca="1">HYPERLINK(CONCATENATE("https://bugzilla.houston.hp.com:1181/bugzilla/show_bug.cgi?id=",INDIRECT(C70&amp;ROW())),INDIRECT(C70&amp;ROW()))</f>
        <v>64296</v>
      </c>
      <c r="N640">
        <v>64296</v>
      </c>
      <c r="O640" t="s">
        <v>250</v>
      </c>
      <c r="P640" t="s">
        <v>1313</v>
      </c>
      <c r="Q640" t="s">
        <v>16</v>
      </c>
      <c r="R640" t="s">
        <v>783</v>
      </c>
      <c r="S640" t="s">
        <v>552</v>
      </c>
      <c r="U640" s="6">
        <v>42173.524733796294</v>
      </c>
      <c r="V640" t="s">
        <v>18</v>
      </c>
      <c r="W640" t="s">
        <v>17</v>
      </c>
      <c r="X640" s="6">
        <v>42173.524733796294</v>
      </c>
      <c r="Y640" t="s">
        <v>255</v>
      </c>
      <c r="AB640" t="s">
        <v>200</v>
      </c>
      <c r="AC640" t="s">
        <v>247</v>
      </c>
      <c r="AD640" t="s">
        <v>222</v>
      </c>
      <c r="AE640" t="s">
        <v>221</v>
      </c>
      <c r="AG640" t="s">
        <v>121</v>
      </c>
      <c r="AH640" t="s">
        <v>327</v>
      </c>
      <c r="AI640" t="s">
        <v>121</v>
      </c>
      <c r="AJ640" t="s">
        <v>716</v>
      </c>
      <c r="AK640" t="s">
        <v>121</v>
      </c>
      <c r="AL640" t="s">
        <v>121</v>
      </c>
      <c r="AM640" t="s">
        <v>121</v>
      </c>
    </row>
    <row r="641" spans="9:39" x14ac:dyDescent="0.3">
      <c r="I641">
        <f ca="1">IF(OR(INDIRECT(A73&amp;ROW())=B93,INDIRECT(A73&amp;ROW())=B94),1,IF(AND(INDIRECT(A73&amp;ROW())=B95,INDIRECT(A96&amp;ROW())=C93),1,IF(AND(INDIRECT(A73&amp;ROW())=B95,INDIRECT(A96&amp;ROW())=C94),1,0)))</f>
        <v>0</v>
      </c>
      <c r="J641">
        <f ca="1">IF(AND(INDIRECT(A73&amp;ROW())=B95,INDIRECT(A96&amp;ROW())=C95),1,IF(AND(INDIRECT(A73&amp;ROW())=B95,INDIRECT(A96&amp;ROW())=C96),1,0))</f>
        <v>1</v>
      </c>
      <c r="K641">
        <f ca="1">DAYS360(INDIRECT(C68&amp;ROW()),TODAY())</f>
        <v>674</v>
      </c>
      <c r="L641">
        <f ca="1">DAYS360(INDIRECT(C69&amp;ROW()),TODAY())</f>
        <v>674</v>
      </c>
      <c r="M641">
        <f ca="1">HYPERLINK(CONCATENATE("https://bugzilla.houston.hp.com:1181/bugzilla/show_bug.cgi?id=",INDIRECT(C70&amp;ROW())),INDIRECT(C70&amp;ROW()))</f>
        <v>64300</v>
      </c>
      <c r="N641">
        <v>64300</v>
      </c>
      <c r="O641" t="s">
        <v>56</v>
      </c>
      <c r="P641" t="s">
        <v>1312</v>
      </c>
      <c r="Q641" t="s">
        <v>25</v>
      </c>
      <c r="R641" t="s">
        <v>579</v>
      </c>
      <c r="S641" t="s">
        <v>552</v>
      </c>
      <c r="U641" s="6">
        <v>42173.599317129629</v>
      </c>
      <c r="V641" t="s">
        <v>18</v>
      </c>
      <c r="W641" t="s">
        <v>17</v>
      </c>
      <c r="X641" s="6">
        <v>42173.599317129629</v>
      </c>
      <c r="Y641" t="s">
        <v>122</v>
      </c>
      <c r="AB641" t="s">
        <v>201</v>
      </c>
      <c r="AC641" t="s">
        <v>247</v>
      </c>
      <c r="AD641" t="s">
        <v>220</v>
      </c>
      <c r="AE641" t="s">
        <v>219</v>
      </c>
      <c r="AG641" t="s">
        <v>121</v>
      </c>
      <c r="AH641" t="s">
        <v>327</v>
      </c>
      <c r="AI641" t="s">
        <v>121</v>
      </c>
      <c r="AJ641" t="s">
        <v>716</v>
      </c>
      <c r="AK641" t="s">
        <v>121</v>
      </c>
      <c r="AL641" t="s">
        <v>121</v>
      </c>
      <c r="AM641" t="s">
        <v>121</v>
      </c>
    </row>
    <row r="642" spans="9:39" x14ac:dyDescent="0.3">
      <c r="I642">
        <f ca="1">IF(OR(INDIRECT(A73&amp;ROW())=B93,INDIRECT(A73&amp;ROW())=B94),1,IF(AND(INDIRECT(A73&amp;ROW())=B95,INDIRECT(A96&amp;ROW())=C93),1,IF(AND(INDIRECT(A73&amp;ROW())=B95,INDIRECT(A96&amp;ROW())=C94),1,0)))</f>
        <v>0</v>
      </c>
      <c r="J642">
        <f ca="1">IF(AND(INDIRECT(A73&amp;ROW())=B95,INDIRECT(A96&amp;ROW())=C95),1,IF(AND(INDIRECT(A73&amp;ROW())=B95,INDIRECT(A96&amp;ROW())=C96),1,0))</f>
        <v>1</v>
      </c>
      <c r="K642">
        <f ca="1">DAYS360(INDIRECT(C68&amp;ROW()),TODAY())</f>
        <v>674</v>
      </c>
      <c r="L642">
        <f ca="1">DAYS360(INDIRECT(C69&amp;ROW()),TODAY())</f>
        <v>674</v>
      </c>
      <c r="M642">
        <f ca="1">HYPERLINK(CONCATENATE("https://bugzilla.houston.hp.com:1181/bugzilla/show_bug.cgi?id=",INDIRECT(C70&amp;ROW())),INDIRECT(C70&amp;ROW()))</f>
        <v>64301</v>
      </c>
      <c r="N642">
        <v>64301</v>
      </c>
      <c r="O642" t="s">
        <v>56</v>
      </c>
      <c r="P642" t="s">
        <v>1311</v>
      </c>
      <c r="Q642" t="s">
        <v>25</v>
      </c>
      <c r="R642" t="s">
        <v>783</v>
      </c>
      <c r="S642" t="s">
        <v>552</v>
      </c>
      <c r="U642" s="6">
        <v>42173.599386574075</v>
      </c>
      <c r="V642" t="s">
        <v>18</v>
      </c>
      <c r="W642" t="s">
        <v>17</v>
      </c>
      <c r="X642" s="6">
        <v>42173.599386574075</v>
      </c>
      <c r="Y642" t="s">
        <v>122</v>
      </c>
      <c r="AB642" t="s">
        <v>201</v>
      </c>
      <c r="AC642" t="s">
        <v>247</v>
      </c>
      <c r="AD642" t="s">
        <v>220</v>
      </c>
      <c r="AE642" t="s">
        <v>219</v>
      </c>
      <c r="AG642" t="s">
        <v>121</v>
      </c>
      <c r="AH642" t="s">
        <v>327</v>
      </c>
      <c r="AI642" t="s">
        <v>121</v>
      </c>
      <c r="AJ642" t="s">
        <v>716</v>
      </c>
      <c r="AK642" t="s">
        <v>121</v>
      </c>
      <c r="AL642" t="s">
        <v>121</v>
      </c>
      <c r="AM642" t="s">
        <v>121</v>
      </c>
    </row>
    <row r="643" spans="9:39" x14ac:dyDescent="0.3">
      <c r="I643">
        <f ca="1">IF(OR(INDIRECT(A73&amp;ROW())=B93,INDIRECT(A73&amp;ROW())=B94),1,IF(AND(INDIRECT(A73&amp;ROW())=B95,INDIRECT(A96&amp;ROW())=C93),1,IF(AND(INDIRECT(A73&amp;ROW())=B95,INDIRECT(A96&amp;ROW())=C94),1,0)))</f>
        <v>0</v>
      </c>
      <c r="J643">
        <f ca="1">IF(AND(INDIRECT(A73&amp;ROW())=B95,INDIRECT(A96&amp;ROW())=C95),1,IF(AND(INDIRECT(A73&amp;ROW())=B95,INDIRECT(A96&amp;ROW())=C96),1,0))</f>
        <v>1</v>
      </c>
      <c r="K643">
        <f ca="1">DAYS360(INDIRECT(C68&amp;ROW()),TODAY())</f>
        <v>668</v>
      </c>
      <c r="L643">
        <f ca="1">DAYS360(INDIRECT(C69&amp;ROW()),TODAY())</f>
        <v>669</v>
      </c>
      <c r="M643">
        <f ca="1">HYPERLINK(CONCATENATE("https://bugzilla.houston.hp.com:1181/bugzilla/show_bug.cgi?id=",INDIRECT(C70&amp;ROW())),INDIRECT(C70&amp;ROW()))</f>
        <v>64456</v>
      </c>
      <c r="N643">
        <v>64456</v>
      </c>
      <c r="O643" t="s">
        <v>56</v>
      </c>
      <c r="P643" t="s">
        <v>1301</v>
      </c>
      <c r="Q643" t="s">
        <v>25</v>
      </c>
      <c r="R643" t="s">
        <v>251</v>
      </c>
      <c r="S643" t="s">
        <v>1300</v>
      </c>
      <c r="U643" s="6">
        <v>42179.553055555552</v>
      </c>
      <c r="V643" t="s">
        <v>18</v>
      </c>
      <c r="W643" t="s">
        <v>783</v>
      </c>
      <c r="X643" s="6">
        <v>42178.457800925928</v>
      </c>
      <c r="Y643" t="s">
        <v>120</v>
      </c>
      <c r="AB643" t="s">
        <v>201</v>
      </c>
      <c r="AC643" t="s">
        <v>247</v>
      </c>
      <c r="AD643" t="s">
        <v>220</v>
      </c>
      <c r="AE643" t="s">
        <v>219</v>
      </c>
      <c r="AG643" t="s">
        <v>121</v>
      </c>
      <c r="AH643" t="s">
        <v>327</v>
      </c>
      <c r="AI643" t="s">
        <v>121</v>
      </c>
      <c r="AJ643" t="s">
        <v>716</v>
      </c>
      <c r="AK643" t="s">
        <v>121</v>
      </c>
      <c r="AL643" t="s">
        <v>121</v>
      </c>
      <c r="AM643" t="s">
        <v>121</v>
      </c>
    </row>
    <row r="644" spans="9:39" x14ac:dyDescent="0.3">
      <c r="I644">
        <f ca="1">IF(OR(INDIRECT(A73&amp;ROW())=B93,INDIRECT(A73&amp;ROW())=B94),1,IF(AND(INDIRECT(A73&amp;ROW())=B95,INDIRECT(A96&amp;ROW())=C93),1,IF(AND(INDIRECT(A73&amp;ROW())=B95,INDIRECT(A96&amp;ROW())=C94),1,0)))</f>
        <v>0</v>
      </c>
      <c r="J644">
        <f ca="1">IF(AND(INDIRECT(A73&amp;ROW())=B95,INDIRECT(A96&amp;ROW())=C95),1,IF(AND(INDIRECT(A73&amp;ROW())=B95,INDIRECT(A96&amp;ROW())=C96),1,0))</f>
        <v>1</v>
      </c>
      <c r="K644">
        <f ca="1">DAYS360(INDIRECT(C68&amp;ROW()),TODAY())</f>
        <v>666</v>
      </c>
      <c r="L644">
        <f ca="1">DAYS360(INDIRECT(C69&amp;ROW()),TODAY())</f>
        <v>669</v>
      </c>
      <c r="M644">
        <f ca="1">HYPERLINK(CONCATENATE("https://bugzilla.houston.hp.com:1181/bugzilla/show_bug.cgi?id=",INDIRECT(C70&amp;ROW())),INDIRECT(C70&amp;ROW()))</f>
        <v>64462</v>
      </c>
      <c r="N644">
        <v>64462</v>
      </c>
      <c r="O644" t="s">
        <v>56</v>
      </c>
      <c r="P644" t="s">
        <v>1299</v>
      </c>
      <c r="Q644" t="s">
        <v>25</v>
      </c>
      <c r="R644" t="s">
        <v>579</v>
      </c>
      <c r="S644" t="s">
        <v>552</v>
      </c>
      <c r="U644" s="6">
        <v>42181.400590277779</v>
      </c>
      <c r="V644" t="s">
        <v>18</v>
      </c>
      <c r="W644" t="s">
        <v>783</v>
      </c>
      <c r="X644" s="6">
        <v>42178.51761574074</v>
      </c>
      <c r="Y644" t="s">
        <v>120</v>
      </c>
      <c r="AB644" t="s">
        <v>201</v>
      </c>
      <c r="AC644" t="s">
        <v>247</v>
      </c>
      <c r="AD644" t="s">
        <v>220</v>
      </c>
      <c r="AE644" t="s">
        <v>219</v>
      </c>
      <c r="AG644" t="s">
        <v>121</v>
      </c>
      <c r="AH644" t="s">
        <v>327</v>
      </c>
      <c r="AI644" t="s">
        <v>121</v>
      </c>
      <c r="AJ644" t="s">
        <v>716</v>
      </c>
      <c r="AK644" t="s">
        <v>121</v>
      </c>
      <c r="AL644" t="s">
        <v>121</v>
      </c>
      <c r="AM644" t="s">
        <v>121</v>
      </c>
    </row>
    <row r="645" spans="9:39" x14ac:dyDescent="0.3">
      <c r="I645">
        <f ca="1">IF(OR(INDIRECT(A73&amp;ROW())=B93,INDIRECT(A73&amp;ROW())=B94),1,IF(AND(INDIRECT(A73&amp;ROW())=B95,INDIRECT(A96&amp;ROW())=C93),1,IF(AND(INDIRECT(A73&amp;ROW())=B95,INDIRECT(A96&amp;ROW())=C94),1,0)))</f>
        <v>0</v>
      </c>
      <c r="J645">
        <f ca="1">IF(AND(INDIRECT(A73&amp;ROW())=B95,INDIRECT(A96&amp;ROW())=C95),1,IF(AND(INDIRECT(A73&amp;ROW())=B95,INDIRECT(A96&amp;ROW())=C96),1,0))</f>
        <v>1</v>
      </c>
      <c r="K645">
        <f ca="1">DAYS360(INDIRECT(C68&amp;ROW()),TODAY())</f>
        <v>666</v>
      </c>
      <c r="L645">
        <f ca="1">DAYS360(INDIRECT(C69&amp;ROW()),TODAY())</f>
        <v>669</v>
      </c>
      <c r="M645">
        <f ca="1">HYPERLINK(CONCATENATE("https://bugzilla.houston.hp.com:1181/bugzilla/show_bug.cgi?id=",INDIRECT(C70&amp;ROW())),INDIRECT(C70&amp;ROW()))</f>
        <v>64463</v>
      </c>
      <c r="N645">
        <v>64463</v>
      </c>
      <c r="O645" t="s">
        <v>56</v>
      </c>
      <c r="P645" t="s">
        <v>1298</v>
      </c>
      <c r="Q645" t="s">
        <v>25</v>
      </c>
      <c r="R645" t="s">
        <v>783</v>
      </c>
      <c r="S645" t="s">
        <v>552</v>
      </c>
      <c r="U645" s="6">
        <v>42181.400567129633</v>
      </c>
      <c r="V645" t="s">
        <v>18</v>
      </c>
      <c r="W645" t="s">
        <v>783</v>
      </c>
      <c r="X645" s="6">
        <v>42178.517685185187</v>
      </c>
      <c r="Y645" t="s">
        <v>120</v>
      </c>
      <c r="AB645" t="s">
        <v>201</v>
      </c>
      <c r="AC645" t="s">
        <v>247</v>
      </c>
      <c r="AD645" t="s">
        <v>220</v>
      </c>
      <c r="AE645" t="s">
        <v>219</v>
      </c>
      <c r="AG645" t="s">
        <v>121</v>
      </c>
      <c r="AH645" t="s">
        <v>327</v>
      </c>
      <c r="AI645" t="s">
        <v>121</v>
      </c>
      <c r="AJ645" t="s">
        <v>716</v>
      </c>
      <c r="AK645" t="s">
        <v>121</v>
      </c>
      <c r="AL645" t="s">
        <v>121</v>
      </c>
      <c r="AM645" t="s">
        <v>121</v>
      </c>
    </row>
    <row r="646" spans="9:39" x14ac:dyDescent="0.3">
      <c r="I646">
        <f ca="1">IF(OR(INDIRECT(A73&amp;ROW())=B93,INDIRECT(A73&amp;ROW())=B94),1,IF(AND(INDIRECT(A73&amp;ROW())=B95,INDIRECT(A96&amp;ROW())=C93),1,IF(AND(INDIRECT(A73&amp;ROW())=B95,INDIRECT(A96&amp;ROW())=C94),1,0)))</f>
        <v>0</v>
      </c>
      <c r="J646">
        <f ca="1">IF(AND(INDIRECT(A73&amp;ROW())=B95,INDIRECT(A96&amp;ROW())=C95),1,IF(AND(INDIRECT(A73&amp;ROW())=B95,INDIRECT(A96&amp;ROW())=C96),1,0))</f>
        <v>1</v>
      </c>
      <c r="K646">
        <f ca="1">DAYS360(INDIRECT(C68&amp;ROW()),TODAY())</f>
        <v>666</v>
      </c>
      <c r="L646">
        <f ca="1">DAYS360(INDIRECT(C69&amp;ROW()),TODAY())</f>
        <v>669</v>
      </c>
      <c r="M646">
        <f ca="1">HYPERLINK(CONCATENATE("https://bugzilla.houston.hp.com:1181/bugzilla/show_bug.cgi?id=",INDIRECT(C70&amp;ROW())),INDIRECT(C70&amp;ROW()))</f>
        <v>64464</v>
      </c>
      <c r="N646">
        <v>64464</v>
      </c>
      <c r="O646" t="s">
        <v>56</v>
      </c>
      <c r="P646" t="s">
        <v>1297</v>
      </c>
      <c r="Q646" t="s">
        <v>25</v>
      </c>
      <c r="R646" t="s">
        <v>248</v>
      </c>
      <c r="S646" t="s">
        <v>552</v>
      </c>
      <c r="U646" s="6">
        <v>42181.400601851848</v>
      </c>
      <c r="V646" t="s">
        <v>18</v>
      </c>
      <c r="W646" t="s">
        <v>783</v>
      </c>
      <c r="X646" s="6">
        <v>42178.517754629633</v>
      </c>
      <c r="Y646" t="s">
        <v>120</v>
      </c>
      <c r="AB646" t="s">
        <v>201</v>
      </c>
      <c r="AC646" t="s">
        <v>247</v>
      </c>
      <c r="AD646" t="s">
        <v>220</v>
      </c>
      <c r="AE646" t="s">
        <v>219</v>
      </c>
      <c r="AG646" t="s">
        <v>121</v>
      </c>
      <c r="AH646" t="s">
        <v>327</v>
      </c>
      <c r="AI646" t="s">
        <v>121</v>
      </c>
      <c r="AJ646" t="s">
        <v>716</v>
      </c>
      <c r="AK646" t="s">
        <v>121</v>
      </c>
      <c r="AL646" t="s">
        <v>121</v>
      </c>
      <c r="AM646" t="s">
        <v>121</v>
      </c>
    </row>
    <row r="647" spans="9:39" x14ac:dyDescent="0.3">
      <c r="I647">
        <f ca="1">IF(OR(INDIRECT(A73&amp;ROW())=B93,INDIRECT(A73&amp;ROW())=B94),1,IF(AND(INDIRECT(A73&amp;ROW())=B95,INDIRECT(A96&amp;ROW())=C93),1,IF(AND(INDIRECT(A73&amp;ROW())=B95,INDIRECT(A96&amp;ROW())=C94),1,0)))</f>
        <v>1</v>
      </c>
      <c r="J647">
        <f ca="1">IF(AND(INDIRECT(A73&amp;ROW())=B95,INDIRECT(A96&amp;ROW())=C95),1,IF(AND(INDIRECT(A73&amp;ROW())=B95,INDIRECT(A96&amp;ROW())=C96),1,0))</f>
        <v>0</v>
      </c>
      <c r="K647">
        <f ca="1">DAYS360(INDIRECT(C68&amp;ROW()),TODAY())</f>
        <v>621</v>
      </c>
      <c r="L647">
        <f ca="1">DAYS360(INDIRECT(C69&amp;ROW()),TODAY())</f>
        <v>662</v>
      </c>
      <c r="M647">
        <f ca="1">HYPERLINK(CONCATENATE("https://bugzilla.houston.hp.com:1181/bugzilla/show_bug.cgi?id=",INDIRECT(C70&amp;ROW())),INDIRECT(C70&amp;ROW()))</f>
        <v>64775</v>
      </c>
      <c r="N647">
        <v>64775</v>
      </c>
      <c r="O647" t="s">
        <v>56</v>
      </c>
      <c r="P647" t="s">
        <v>1464</v>
      </c>
      <c r="Q647" t="s">
        <v>25</v>
      </c>
      <c r="R647" t="s">
        <v>251</v>
      </c>
      <c r="S647" t="s">
        <v>187</v>
      </c>
      <c r="U647" s="6">
        <v>42227.645497685182</v>
      </c>
      <c r="V647" t="s">
        <v>18</v>
      </c>
      <c r="W647" t="s">
        <v>17</v>
      </c>
      <c r="X647" s="6">
        <v>42185.159826388888</v>
      </c>
      <c r="Y647" t="s">
        <v>124</v>
      </c>
      <c r="AB647" t="s">
        <v>200</v>
      </c>
      <c r="AC647" t="s">
        <v>247</v>
      </c>
      <c r="AD647" t="s">
        <v>220</v>
      </c>
      <c r="AE647" t="s">
        <v>219</v>
      </c>
      <c r="AG647" t="s">
        <v>121</v>
      </c>
      <c r="AH647" t="s">
        <v>327</v>
      </c>
      <c r="AI647" t="s">
        <v>121</v>
      </c>
      <c r="AJ647" t="s">
        <v>715</v>
      </c>
      <c r="AK647" t="s">
        <v>121</v>
      </c>
      <c r="AL647" t="s">
        <v>121</v>
      </c>
      <c r="AM647" t="s">
        <v>121</v>
      </c>
    </row>
    <row r="648" spans="9:39" x14ac:dyDescent="0.3">
      <c r="I648">
        <f ca="1">IF(OR(INDIRECT(A73&amp;ROW())=B93,INDIRECT(A73&amp;ROW())=B94),1,IF(AND(INDIRECT(A73&amp;ROW())=B95,INDIRECT(A96&amp;ROW())=C93),1,IF(AND(INDIRECT(A73&amp;ROW())=B95,INDIRECT(A96&amp;ROW())=C94),1,0)))</f>
        <v>1</v>
      </c>
      <c r="J648">
        <f ca="1">IF(AND(INDIRECT(A73&amp;ROW())=B95,INDIRECT(A96&amp;ROW())=C95),1,IF(AND(INDIRECT(A73&amp;ROW())=B95,INDIRECT(A96&amp;ROW())=C96),1,0))</f>
        <v>0</v>
      </c>
      <c r="K648">
        <f ca="1">DAYS360(INDIRECT(C68&amp;ROW()),TODAY())</f>
        <v>621</v>
      </c>
      <c r="L648">
        <f ca="1">DAYS360(INDIRECT(C69&amp;ROW()),TODAY())</f>
        <v>662</v>
      </c>
      <c r="M648">
        <f ca="1">HYPERLINK(CONCATENATE("https://bugzilla.houston.hp.com:1181/bugzilla/show_bug.cgi?id=",INDIRECT(C70&amp;ROW())),INDIRECT(C70&amp;ROW()))</f>
        <v>64781</v>
      </c>
      <c r="N648">
        <v>64781</v>
      </c>
      <c r="O648" t="s">
        <v>187</v>
      </c>
      <c r="P648" t="s">
        <v>1465</v>
      </c>
      <c r="Q648" t="s">
        <v>25</v>
      </c>
      <c r="R648" t="s">
        <v>251</v>
      </c>
      <c r="S648" t="s">
        <v>59</v>
      </c>
      <c r="U648" s="6">
        <v>42227.641157407408</v>
      </c>
      <c r="V648" t="s">
        <v>18</v>
      </c>
      <c r="W648" t="s">
        <v>63</v>
      </c>
      <c r="X648" s="6">
        <v>42185.196134259262</v>
      </c>
      <c r="Y648" t="s">
        <v>786</v>
      </c>
      <c r="AB648" t="s">
        <v>200</v>
      </c>
      <c r="AC648" t="s">
        <v>247</v>
      </c>
      <c r="AD648" t="s">
        <v>220</v>
      </c>
      <c r="AE648" t="s">
        <v>219</v>
      </c>
      <c r="AG648" t="s">
        <v>121</v>
      </c>
      <c r="AH648" t="s">
        <v>327</v>
      </c>
      <c r="AI648" t="s">
        <v>121</v>
      </c>
      <c r="AJ648" t="s">
        <v>715</v>
      </c>
      <c r="AK648" t="s">
        <v>121</v>
      </c>
      <c r="AL648" t="s">
        <v>121</v>
      </c>
      <c r="AM648" t="s">
        <v>121</v>
      </c>
    </row>
    <row r="649" spans="9:39" x14ac:dyDescent="0.3">
      <c r="I649">
        <f ca="1">IF(OR(INDIRECT(A73&amp;ROW())=B93,INDIRECT(A73&amp;ROW())=B94),1,IF(AND(INDIRECT(A73&amp;ROW())=B95,INDIRECT(A96&amp;ROW())=C93),1,IF(AND(INDIRECT(A73&amp;ROW())=B95,INDIRECT(A96&amp;ROW())=C94),1,0)))</f>
        <v>1</v>
      </c>
      <c r="J649">
        <f ca="1">IF(AND(INDIRECT(A73&amp;ROW())=B95,INDIRECT(A96&amp;ROW())=C95),1,IF(AND(INDIRECT(A73&amp;ROW())=B95,INDIRECT(A96&amp;ROW())=C96),1,0))</f>
        <v>0</v>
      </c>
      <c r="K649">
        <f ca="1">DAYS360(INDIRECT(C68&amp;ROW()),TODAY())</f>
        <v>633</v>
      </c>
      <c r="L649">
        <f ca="1">DAYS360(INDIRECT(C69&amp;ROW()),TODAY())</f>
        <v>662</v>
      </c>
      <c r="M649">
        <f ca="1">HYPERLINK(CONCATENATE("https://bugzilla.houston.hp.com:1181/bugzilla/show_bug.cgi?id=",INDIRECT(C70&amp;ROW())),INDIRECT(C70&amp;ROW()))</f>
        <v>64823</v>
      </c>
      <c r="N649">
        <v>64823</v>
      </c>
      <c r="O649" t="s">
        <v>1233</v>
      </c>
      <c r="P649" t="s">
        <v>1466</v>
      </c>
      <c r="Q649" t="s">
        <v>39</v>
      </c>
      <c r="R649" t="s">
        <v>251</v>
      </c>
      <c r="S649" t="s">
        <v>66</v>
      </c>
      <c r="U649" s="6">
        <v>42214.736203703702</v>
      </c>
      <c r="V649" t="s">
        <v>18</v>
      </c>
      <c r="W649" t="s">
        <v>783</v>
      </c>
      <c r="X649" s="6">
        <v>42185.691759259258</v>
      </c>
      <c r="Y649" t="s">
        <v>123</v>
      </c>
      <c r="AB649" t="s">
        <v>200</v>
      </c>
      <c r="AC649" t="s">
        <v>247</v>
      </c>
      <c r="AD649" t="s">
        <v>220</v>
      </c>
      <c r="AE649" t="s">
        <v>229</v>
      </c>
      <c r="AG649" t="s">
        <v>121</v>
      </c>
      <c r="AH649" t="s">
        <v>327</v>
      </c>
      <c r="AI649" t="s">
        <v>121</v>
      </c>
      <c r="AJ649" t="s">
        <v>715</v>
      </c>
      <c r="AK649" t="s">
        <v>121</v>
      </c>
      <c r="AL649" t="s">
        <v>121</v>
      </c>
      <c r="AM649" t="s">
        <v>121</v>
      </c>
    </row>
    <row r="650" spans="9:39" x14ac:dyDescent="0.3">
      <c r="I650">
        <f ca="1">IF(OR(INDIRECT(A73&amp;ROW())=B93,INDIRECT(A73&amp;ROW())=B94),1,IF(AND(INDIRECT(A73&amp;ROW())=B95,INDIRECT(A96&amp;ROW())=C93),1,IF(AND(INDIRECT(A73&amp;ROW())=B95,INDIRECT(A96&amp;ROW())=C94),1,0)))</f>
        <v>1</v>
      </c>
      <c r="J650">
        <f ca="1">IF(AND(INDIRECT(A73&amp;ROW())=B95,INDIRECT(A96&amp;ROW())=C95),1,IF(AND(INDIRECT(A73&amp;ROW())=B95,INDIRECT(A96&amp;ROW())=C96),1,0))</f>
        <v>0</v>
      </c>
      <c r="K650">
        <f ca="1">DAYS360(INDIRECT(C68&amp;ROW()),TODAY())</f>
        <v>618</v>
      </c>
      <c r="L650">
        <f ca="1">DAYS360(INDIRECT(C69&amp;ROW()),TODAY())</f>
        <v>661</v>
      </c>
      <c r="M650">
        <f ca="1">HYPERLINK(CONCATENATE("https://bugzilla.houston.hp.com:1181/bugzilla/show_bug.cgi?id=",INDIRECT(C70&amp;ROW())),INDIRECT(C70&amp;ROW()))</f>
        <v>64844</v>
      </c>
      <c r="N650">
        <v>64844</v>
      </c>
      <c r="O650" t="s">
        <v>1233</v>
      </c>
      <c r="P650" t="s">
        <v>1467</v>
      </c>
      <c r="Q650" t="s">
        <v>39</v>
      </c>
      <c r="R650" t="s">
        <v>248</v>
      </c>
      <c r="S650" t="s">
        <v>552</v>
      </c>
      <c r="U650" s="6">
        <v>42230.478773148148</v>
      </c>
      <c r="V650" t="s">
        <v>40</v>
      </c>
      <c r="W650" t="s">
        <v>783</v>
      </c>
      <c r="X650" s="6">
        <v>42186.020925925928</v>
      </c>
      <c r="Y650" t="s">
        <v>123</v>
      </c>
      <c r="AB650" t="s">
        <v>200</v>
      </c>
      <c r="AC650" t="s">
        <v>247</v>
      </c>
      <c r="AD650" t="s">
        <v>220</v>
      </c>
      <c r="AE650" t="s">
        <v>229</v>
      </c>
      <c r="AG650" t="s">
        <v>121</v>
      </c>
      <c r="AH650" t="s">
        <v>327</v>
      </c>
      <c r="AI650" t="s">
        <v>121</v>
      </c>
      <c r="AJ650" t="s">
        <v>715</v>
      </c>
      <c r="AK650" t="s">
        <v>121</v>
      </c>
      <c r="AL650" t="s">
        <v>121</v>
      </c>
      <c r="AM650" t="s">
        <v>121</v>
      </c>
    </row>
    <row r="651" spans="9:39" x14ac:dyDescent="0.3">
      <c r="I651">
        <f ca="1">IF(OR(INDIRECT(A73&amp;ROW())=B93,INDIRECT(A73&amp;ROW())=B94),1,IF(AND(INDIRECT(A73&amp;ROW())=B95,INDIRECT(A96&amp;ROW())=C93),1,IF(AND(INDIRECT(A73&amp;ROW())=B95,INDIRECT(A96&amp;ROW())=C94),1,0)))</f>
        <v>0</v>
      </c>
      <c r="J651">
        <f ca="1">IF(AND(INDIRECT(A73&amp;ROW())=B95,INDIRECT(A96&amp;ROW())=C95),1,IF(AND(INDIRECT(A73&amp;ROW())=B95,INDIRECT(A96&amp;ROW())=C96),1,0))</f>
        <v>0</v>
      </c>
      <c r="K651">
        <f ca="1">DAYS360(INDIRECT(C68&amp;ROW()),TODAY())</f>
        <v>641</v>
      </c>
      <c r="L651">
        <f ca="1">DAYS360(INDIRECT(C69&amp;ROW()),TODAY())</f>
        <v>658</v>
      </c>
      <c r="M651">
        <f ca="1">HYPERLINK(CONCATENATE("https://bugzilla.houston.hp.com:1181/bugzilla/show_bug.cgi?id=",INDIRECT(C70&amp;ROW())),INDIRECT(C70&amp;ROW()))</f>
        <v>64998</v>
      </c>
      <c r="N651">
        <v>64998</v>
      </c>
      <c r="O651" t="s">
        <v>187</v>
      </c>
      <c r="P651" t="s">
        <v>1468</v>
      </c>
      <c r="Q651" t="s">
        <v>16</v>
      </c>
      <c r="R651" t="s">
        <v>1389</v>
      </c>
      <c r="S651" t="s">
        <v>59</v>
      </c>
      <c r="T651" t="s">
        <v>48</v>
      </c>
      <c r="U651" s="6">
        <v>42206.279803240737</v>
      </c>
      <c r="V651" t="s">
        <v>35</v>
      </c>
      <c r="W651" t="s">
        <v>186</v>
      </c>
      <c r="X651" s="6">
        <v>42189.052557870367</v>
      </c>
      <c r="Y651" t="s">
        <v>122</v>
      </c>
      <c r="AB651" t="s">
        <v>201</v>
      </c>
      <c r="AC651" t="s">
        <v>247</v>
      </c>
      <c r="AD651" t="s">
        <v>220</v>
      </c>
      <c r="AE651" t="s">
        <v>243</v>
      </c>
      <c r="AG651" t="s">
        <v>121</v>
      </c>
      <c r="AH651" t="s">
        <v>327</v>
      </c>
      <c r="AI651" t="s">
        <v>121</v>
      </c>
      <c r="AJ651" t="s">
        <v>717</v>
      </c>
      <c r="AK651" t="s">
        <v>121</v>
      </c>
      <c r="AL651" t="s">
        <v>121</v>
      </c>
      <c r="AM651" t="s">
        <v>121</v>
      </c>
    </row>
    <row r="652" spans="9:39" x14ac:dyDescent="0.3">
      <c r="I652">
        <f ca="1">IF(OR(INDIRECT(A73&amp;ROW())=B93,INDIRECT(A73&amp;ROW())=B94),1,IF(AND(INDIRECT(A73&amp;ROW())=B95,INDIRECT(A96&amp;ROW())=C93),1,IF(AND(INDIRECT(A73&amp;ROW())=B95,INDIRECT(A96&amp;ROW())=C94),1,0)))</f>
        <v>0</v>
      </c>
      <c r="J652">
        <f ca="1">IF(AND(INDIRECT(A73&amp;ROW())=B95,INDIRECT(A96&amp;ROW())=C95),1,IF(AND(INDIRECT(A73&amp;ROW())=B95,INDIRECT(A96&amp;ROW())=C96),1,0))</f>
        <v>1</v>
      </c>
      <c r="K652">
        <f ca="1">DAYS360(INDIRECT(C68&amp;ROW()),TODAY())</f>
        <v>640</v>
      </c>
      <c r="L652">
        <f ca="1">DAYS360(INDIRECT(C69&amp;ROW()),TODAY())</f>
        <v>655</v>
      </c>
      <c r="M652">
        <f ca="1">HYPERLINK(CONCATENATE("https://bugzilla.houston.hp.com:1181/bugzilla/show_bug.cgi?id=",INDIRECT(C70&amp;ROW())),INDIRECT(C70&amp;ROW()))</f>
        <v>65086</v>
      </c>
      <c r="N652">
        <v>65086</v>
      </c>
      <c r="O652" t="s">
        <v>36</v>
      </c>
      <c r="P652" t="s">
        <v>1469</v>
      </c>
      <c r="Q652" t="s">
        <v>25</v>
      </c>
      <c r="R652" t="s">
        <v>251</v>
      </c>
      <c r="S652" t="s">
        <v>155</v>
      </c>
      <c r="U652" s="6">
        <v>42207.1719212963</v>
      </c>
      <c r="V652" t="s">
        <v>18</v>
      </c>
      <c r="W652" t="s">
        <v>783</v>
      </c>
      <c r="X652" s="6">
        <v>42192.040995370371</v>
      </c>
      <c r="Y652" t="s">
        <v>255</v>
      </c>
      <c r="AB652" t="s">
        <v>201</v>
      </c>
      <c r="AC652" t="s">
        <v>247</v>
      </c>
      <c r="AD652" t="s">
        <v>227</v>
      </c>
      <c r="AE652" t="s">
        <v>238</v>
      </c>
      <c r="AG652" t="s">
        <v>121</v>
      </c>
      <c r="AH652" t="s">
        <v>327</v>
      </c>
      <c r="AI652" t="s">
        <v>121</v>
      </c>
      <c r="AJ652" t="s">
        <v>716</v>
      </c>
      <c r="AK652" t="s">
        <v>121</v>
      </c>
      <c r="AL652" t="s">
        <v>121</v>
      </c>
      <c r="AM652" t="s">
        <v>121</v>
      </c>
    </row>
    <row r="653" spans="9:39" x14ac:dyDescent="0.3">
      <c r="I653">
        <f ca="1">IF(OR(INDIRECT(A73&amp;ROW())=B93,INDIRECT(A73&amp;ROW())=B94),1,IF(AND(INDIRECT(A73&amp;ROW())=B95,INDIRECT(A96&amp;ROW())=C93),1,IF(AND(INDIRECT(A73&amp;ROW())=B95,INDIRECT(A96&amp;ROW())=C94),1,0)))</f>
        <v>1</v>
      </c>
      <c r="J653">
        <f ca="1">IF(AND(INDIRECT(A73&amp;ROW())=B95,INDIRECT(A96&amp;ROW())=C95),1,IF(AND(INDIRECT(A73&amp;ROW())=B95,INDIRECT(A96&amp;ROW())=C96),1,0))</f>
        <v>0</v>
      </c>
      <c r="K653">
        <f ca="1">DAYS360(INDIRECT(C68&amp;ROW()),TODAY())</f>
        <v>621</v>
      </c>
      <c r="L653">
        <f ca="1">DAYS360(INDIRECT(C69&amp;ROW()),TODAY())</f>
        <v>655</v>
      </c>
      <c r="M653">
        <f ca="1">HYPERLINK(CONCATENATE("https://bugzilla.houston.hp.com:1181/bugzilla/show_bug.cgi?id=",INDIRECT(C70&amp;ROW())),INDIRECT(C70&amp;ROW()))</f>
        <v>65099</v>
      </c>
      <c r="N653">
        <v>65099</v>
      </c>
      <c r="O653" t="s">
        <v>56</v>
      </c>
      <c r="P653" t="s">
        <v>1470</v>
      </c>
      <c r="Q653" t="s">
        <v>39</v>
      </c>
      <c r="R653" t="s">
        <v>251</v>
      </c>
      <c r="S653" t="s">
        <v>187</v>
      </c>
      <c r="U653" s="6">
        <v>42227.6403125</v>
      </c>
      <c r="V653" t="s">
        <v>18</v>
      </c>
      <c r="W653" t="s">
        <v>17</v>
      </c>
      <c r="X653" s="6">
        <v>42192.170787037037</v>
      </c>
      <c r="Y653" t="s">
        <v>801</v>
      </c>
      <c r="AB653" t="s">
        <v>200</v>
      </c>
      <c r="AC653" t="s">
        <v>247</v>
      </c>
      <c r="AD653" t="s">
        <v>220</v>
      </c>
      <c r="AE653" t="s">
        <v>219</v>
      </c>
      <c r="AG653" t="s">
        <v>121</v>
      </c>
      <c r="AH653" t="s">
        <v>327</v>
      </c>
      <c r="AI653" t="s">
        <v>121</v>
      </c>
      <c r="AJ653" t="s">
        <v>715</v>
      </c>
      <c r="AK653" t="s">
        <v>121</v>
      </c>
      <c r="AL653" t="s">
        <v>121</v>
      </c>
      <c r="AM653" t="s">
        <v>121</v>
      </c>
    </row>
    <row r="654" spans="9:39" x14ac:dyDescent="0.3">
      <c r="I654">
        <f ca="1">IF(OR(INDIRECT(A73&amp;ROW())=B93,INDIRECT(A73&amp;ROW())=B94),1,IF(AND(INDIRECT(A73&amp;ROW())=B95,INDIRECT(A96&amp;ROW())=C93),1,IF(AND(INDIRECT(A73&amp;ROW())=B95,INDIRECT(A96&amp;ROW())=C94),1,0)))</f>
        <v>1</v>
      </c>
      <c r="J654">
        <f ca="1">IF(AND(INDIRECT(A73&amp;ROW())=B95,INDIRECT(A96&amp;ROW())=C95),1,IF(AND(INDIRECT(A73&amp;ROW())=B95,INDIRECT(A96&amp;ROW())=C96),1,0))</f>
        <v>0</v>
      </c>
      <c r="K654">
        <f ca="1">DAYS360(INDIRECT(C68&amp;ROW()),TODAY())</f>
        <v>655</v>
      </c>
      <c r="L654">
        <f ca="1">DAYS360(INDIRECT(C69&amp;ROW()),TODAY())</f>
        <v>655</v>
      </c>
      <c r="M654">
        <f ca="1">HYPERLINK(CONCATENATE("https://bugzilla.houston.hp.com:1181/bugzilla/show_bug.cgi?id=",INDIRECT(C70&amp;ROW())),INDIRECT(C70&amp;ROW()))</f>
        <v>65126</v>
      </c>
      <c r="N654">
        <v>65126</v>
      </c>
      <c r="O654" t="s">
        <v>1471</v>
      </c>
      <c r="P654" t="s">
        <v>1472</v>
      </c>
      <c r="Q654" t="s">
        <v>25</v>
      </c>
      <c r="R654" t="s">
        <v>248</v>
      </c>
      <c r="S654" t="s">
        <v>1473</v>
      </c>
      <c r="U654" s="6">
        <v>42192.342847222222</v>
      </c>
      <c r="V654" t="s">
        <v>18</v>
      </c>
      <c r="W654" t="s">
        <v>248</v>
      </c>
      <c r="X654" s="6">
        <v>42192.327361111114</v>
      </c>
      <c r="Y654" t="s">
        <v>123</v>
      </c>
      <c r="AB654" t="s">
        <v>200</v>
      </c>
      <c r="AC654" t="s">
        <v>247</v>
      </c>
      <c r="AD654" t="s">
        <v>227</v>
      </c>
      <c r="AE654" t="s">
        <v>370</v>
      </c>
      <c r="AG654" t="s">
        <v>121</v>
      </c>
      <c r="AH654" t="s">
        <v>327</v>
      </c>
      <c r="AI654" t="s">
        <v>121</v>
      </c>
      <c r="AJ654" t="s">
        <v>715</v>
      </c>
      <c r="AK654" t="s">
        <v>121</v>
      </c>
      <c r="AL654" t="s">
        <v>121</v>
      </c>
      <c r="AM654" t="s">
        <v>121</v>
      </c>
    </row>
    <row r="655" spans="9:39" x14ac:dyDescent="0.3">
      <c r="I655">
        <f ca="1">IF(OR(INDIRECT(A73&amp;ROW())=B93,INDIRECT(A73&amp;ROW())=B94),1,IF(AND(INDIRECT(A73&amp;ROW())=B95,INDIRECT(A96&amp;ROW())=C93),1,IF(AND(INDIRECT(A73&amp;ROW())=B95,INDIRECT(A96&amp;ROW())=C94),1,0)))</f>
        <v>0</v>
      </c>
      <c r="J655">
        <f ca="1">IF(AND(INDIRECT(A73&amp;ROW())=B95,INDIRECT(A96&amp;ROW())=C95),1,IF(AND(INDIRECT(A73&amp;ROW())=B95,INDIRECT(A96&amp;ROW())=C96),1,0))</f>
        <v>1</v>
      </c>
      <c r="K655">
        <f ca="1">DAYS360(INDIRECT(C68&amp;ROW()),TODAY())</f>
        <v>655</v>
      </c>
      <c r="L655">
        <f ca="1">DAYS360(INDIRECT(C69&amp;ROW()),TODAY())</f>
        <v>655</v>
      </c>
      <c r="M655">
        <f ca="1">HYPERLINK(CONCATENATE("https://bugzilla.houston.hp.com:1181/bugzilla/show_bug.cgi?id=",INDIRECT(C70&amp;ROW())),INDIRECT(C70&amp;ROW()))</f>
        <v>65152</v>
      </c>
      <c r="N655">
        <v>65152</v>
      </c>
      <c r="O655" t="s">
        <v>45</v>
      </c>
      <c r="P655" t="s">
        <v>1474</v>
      </c>
      <c r="Q655" t="s">
        <v>25</v>
      </c>
      <c r="R655" t="s">
        <v>579</v>
      </c>
      <c r="S655" t="s">
        <v>552</v>
      </c>
      <c r="U655" s="6">
        <v>42192.552858796298</v>
      </c>
      <c r="V655" t="s">
        <v>18</v>
      </c>
      <c r="W655" t="s">
        <v>783</v>
      </c>
      <c r="X655" s="6">
        <v>42192.552858796298</v>
      </c>
      <c r="Y655" t="s">
        <v>255</v>
      </c>
      <c r="AB655" t="s">
        <v>201</v>
      </c>
      <c r="AC655" t="s">
        <v>247</v>
      </c>
      <c r="AD655" t="s">
        <v>227</v>
      </c>
      <c r="AE655" t="s">
        <v>238</v>
      </c>
      <c r="AG655" t="s">
        <v>121</v>
      </c>
      <c r="AH655" t="s">
        <v>327</v>
      </c>
      <c r="AI655" t="s">
        <v>121</v>
      </c>
      <c r="AJ655" t="s">
        <v>716</v>
      </c>
      <c r="AK655" t="s">
        <v>121</v>
      </c>
      <c r="AL655" t="s">
        <v>121</v>
      </c>
      <c r="AM655" t="s">
        <v>121</v>
      </c>
    </row>
    <row r="656" spans="9:39" x14ac:dyDescent="0.3">
      <c r="I656">
        <f ca="1">IF(OR(INDIRECT(A73&amp;ROW())=B93,INDIRECT(A73&amp;ROW())=B94),1,IF(AND(INDIRECT(A73&amp;ROW())=B95,INDIRECT(A96&amp;ROW())=C93),1,IF(AND(INDIRECT(A73&amp;ROW())=B95,INDIRECT(A96&amp;ROW())=C94),1,0)))</f>
        <v>0</v>
      </c>
      <c r="J656">
        <f ca="1">IF(AND(INDIRECT(A73&amp;ROW())=B95,INDIRECT(A96&amp;ROW())=C95),1,IF(AND(INDIRECT(A73&amp;ROW())=B95,INDIRECT(A96&amp;ROW())=C96),1,0))</f>
        <v>1</v>
      </c>
      <c r="K656">
        <f ca="1">DAYS360(INDIRECT(C68&amp;ROW()),TODAY())</f>
        <v>655</v>
      </c>
      <c r="L656">
        <f ca="1">DAYS360(INDIRECT(C69&amp;ROW()),TODAY())</f>
        <v>655</v>
      </c>
      <c r="M656">
        <f ca="1">HYPERLINK(CONCATENATE("https://bugzilla.houston.hp.com:1181/bugzilla/show_bug.cgi?id=",INDIRECT(C70&amp;ROW())),INDIRECT(C70&amp;ROW()))</f>
        <v>65153</v>
      </c>
      <c r="N656">
        <v>65153</v>
      </c>
      <c r="O656" t="s">
        <v>45</v>
      </c>
      <c r="P656" t="s">
        <v>1475</v>
      </c>
      <c r="Q656" t="s">
        <v>25</v>
      </c>
      <c r="R656" t="s">
        <v>783</v>
      </c>
      <c r="S656" t="s">
        <v>552</v>
      </c>
      <c r="U656" s="6">
        <v>42192.552928240744</v>
      </c>
      <c r="V656" t="s">
        <v>18</v>
      </c>
      <c r="W656" t="s">
        <v>783</v>
      </c>
      <c r="X656" s="6">
        <v>42192.552928240744</v>
      </c>
      <c r="Y656" t="s">
        <v>255</v>
      </c>
      <c r="AB656" t="s">
        <v>201</v>
      </c>
      <c r="AC656" t="s">
        <v>247</v>
      </c>
      <c r="AD656" t="s">
        <v>227</v>
      </c>
      <c r="AE656" t="s">
        <v>238</v>
      </c>
      <c r="AG656" t="s">
        <v>121</v>
      </c>
      <c r="AH656" t="s">
        <v>327</v>
      </c>
      <c r="AI656" t="s">
        <v>121</v>
      </c>
      <c r="AJ656" t="s">
        <v>716</v>
      </c>
      <c r="AK656" t="s">
        <v>121</v>
      </c>
      <c r="AL656" t="s">
        <v>121</v>
      </c>
      <c r="AM656" t="s">
        <v>121</v>
      </c>
    </row>
    <row r="657" spans="9:39" x14ac:dyDescent="0.3">
      <c r="I657">
        <f ca="1">IF(OR(INDIRECT(A73&amp;ROW())=B93,INDIRECT(A73&amp;ROW())=B94),1,IF(AND(INDIRECT(A73&amp;ROW())=B95,INDIRECT(A96&amp;ROW())=C93),1,IF(AND(INDIRECT(A73&amp;ROW())=B95,INDIRECT(A96&amp;ROW())=C94),1,0)))</f>
        <v>0</v>
      </c>
      <c r="J657">
        <f ca="1">IF(AND(INDIRECT(A73&amp;ROW())=B95,INDIRECT(A96&amp;ROW())=C95),1,IF(AND(INDIRECT(A73&amp;ROW())=B95,INDIRECT(A96&amp;ROW())=C96),1,0))</f>
        <v>1</v>
      </c>
      <c r="K657">
        <f ca="1">DAYS360(INDIRECT(C68&amp;ROW()),TODAY())</f>
        <v>655</v>
      </c>
      <c r="L657">
        <f ca="1">DAYS360(INDIRECT(C69&amp;ROW()),TODAY())</f>
        <v>655</v>
      </c>
      <c r="M657">
        <f ca="1">HYPERLINK(CONCATENATE("https://bugzilla.houston.hp.com:1181/bugzilla/show_bug.cgi?id=",INDIRECT(C70&amp;ROW())),INDIRECT(C70&amp;ROW()))</f>
        <v>65154</v>
      </c>
      <c r="N657">
        <v>65154</v>
      </c>
      <c r="O657" t="s">
        <v>45</v>
      </c>
      <c r="P657" t="s">
        <v>1476</v>
      </c>
      <c r="Q657" t="s">
        <v>25</v>
      </c>
      <c r="R657" t="s">
        <v>248</v>
      </c>
      <c r="S657" t="s">
        <v>552</v>
      </c>
      <c r="U657" s="6">
        <v>42192.55300925926</v>
      </c>
      <c r="V657" t="s">
        <v>18</v>
      </c>
      <c r="W657" t="s">
        <v>783</v>
      </c>
      <c r="X657" s="6">
        <v>42192.55300925926</v>
      </c>
      <c r="Y657" t="s">
        <v>255</v>
      </c>
      <c r="AB657" t="s">
        <v>201</v>
      </c>
      <c r="AC657" t="s">
        <v>247</v>
      </c>
      <c r="AD657" t="s">
        <v>227</v>
      </c>
      <c r="AE657" t="s">
        <v>238</v>
      </c>
      <c r="AG657" t="s">
        <v>121</v>
      </c>
      <c r="AH657" t="s">
        <v>327</v>
      </c>
      <c r="AI657" t="s">
        <v>121</v>
      </c>
      <c r="AJ657" t="s">
        <v>716</v>
      </c>
      <c r="AK657" t="s">
        <v>121</v>
      </c>
      <c r="AL657" t="s">
        <v>121</v>
      </c>
      <c r="AM657" t="s">
        <v>121</v>
      </c>
    </row>
    <row r="658" spans="9:39" x14ac:dyDescent="0.3">
      <c r="I658">
        <f ca="1">IF(OR(INDIRECT(A73&amp;ROW())=B93,INDIRECT(A73&amp;ROW())=B94),1,IF(AND(INDIRECT(A73&amp;ROW())=B95,INDIRECT(A96&amp;ROW())=C93),1,IF(AND(INDIRECT(A73&amp;ROW())=B95,INDIRECT(A96&amp;ROW())=C94),1,0)))</f>
        <v>1</v>
      </c>
      <c r="J658">
        <f ca="1">IF(AND(INDIRECT(A73&amp;ROW())=B95,INDIRECT(A96&amp;ROW())=C95),1,IF(AND(INDIRECT(A73&amp;ROW())=B95,INDIRECT(A96&amp;ROW())=C96),1,0))</f>
        <v>0</v>
      </c>
      <c r="K658">
        <f ca="1">DAYS360(INDIRECT(C68&amp;ROW()),TODAY())</f>
        <v>618</v>
      </c>
      <c r="L658">
        <f ca="1">DAYS360(INDIRECT(C69&amp;ROW()),TODAY())</f>
        <v>654</v>
      </c>
      <c r="M658">
        <f ca="1">HYPERLINK(CONCATENATE("https://bugzilla.houston.hp.com:1181/bugzilla/show_bug.cgi?id=",INDIRECT(C70&amp;ROW())),INDIRECT(C70&amp;ROW()))</f>
        <v>65204</v>
      </c>
      <c r="N658">
        <v>65204</v>
      </c>
      <c r="O658" t="s">
        <v>59</v>
      </c>
      <c r="P658" t="s">
        <v>1477</v>
      </c>
      <c r="Q658" t="s">
        <v>25</v>
      </c>
      <c r="R658" t="s">
        <v>251</v>
      </c>
      <c r="S658" t="s">
        <v>52</v>
      </c>
      <c r="U658" s="6">
        <v>42230.269432870373</v>
      </c>
      <c r="V658" t="s">
        <v>18</v>
      </c>
      <c r="W658" t="s">
        <v>783</v>
      </c>
      <c r="X658" s="6">
        <v>42193.355416666665</v>
      </c>
      <c r="Y658" t="s">
        <v>255</v>
      </c>
      <c r="AB658" t="s">
        <v>200</v>
      </c>
      <c r="AC658" t="s">
        <v>247</v>
      </c>
      <c r="AD658" t="s">
        <v>222</v>
      </c>
      <c r="AE658" t="s">
        <v>240</v>
      </c>
      <c r="AG658" t="s">
        <v>121</v>
      </c>
      <c r="AH658" t="s">
        <v>327</v>
      </c>
      <c r="AI658" t="s">
        <v>121</v>
      </c>
      <c r="AJ658" t="s">
        <v>715</v>
      </c>
      <c r="AK658" t="s">
        <v>121</v>
      </c>
      <c r="AL658" t="s">
        <v>121</v>
      </c>
      <c r="AM658" t="s">
        <v>121</v>
      </c>
    </row>
    <row r="659" spans="9:39" x14ac:dyDescent="0.3">
      <c r="I659">
        <f ca="1">IF(OR(INDIRECT(A73&amp;ROW())=B93,INDIRECT(A73&amp;ROW())=B94),1,IF(AND(INDIRECT(A73&amp;ROW())=B95,INDIRECT(A96&amp;ROW())=C93),1,IF(AND(INDIRECT(A73&amp;ROW())=B95,INDIRECT(A96&amp;ROW())=C94),1,0)))</f>
        <v>0</v>
      </c>
      <c r="J659">
        <f ca="1">IF(AND(INDIRECT(A73&amp;ROW())=B95,INDIRECT(A96&amp;ROW())=C95),1,IF(AND(INDIRECT(A73&amp;ROW())=B95,INDIRECT(A96&amp;ROW())=C96),1,0))</f>
        <v>1</v>
      </c>
      <c r="K659">
        <f ca="1">DAYS360(INDIRECT(C68&amp;ROW()),TODAY())</f>
        <v>613</v>
      </c>
      <c r="L659">
        <f ca="1">DAYS360(INDIRECT(C69&amp;ROW()),TODAY())</f>
        <v>654</v>
      </c>
      <c r="M659">
        <f ca="1">HYPERLINK(CONCATENATE("https://bugzilla.houston.hp.com:1181/bugzilla/show_bug.cgi?id=",INDIRECT(C70&amp;ROW())),INDIRECT(C70&amp;ROW()))</f>
        <v>65211</v>
      </c>
      <c r="N659">
        <v>65211</v>
      </c>
      <c r="O659" t="s">
        <v>36</v>
      </c>
      <c r="P659" t="s">
        <v>1478</v>
      </c>
      <c r="Q659" t="s">
        <v>25</v>
      </c>
      <c r="R659" t="s">
        <v>251</v>
      </c>
      <c r="S659" t="s">
        <v>52</v>
      </c>
      <c r="U659" s="6">
        <v>42235.404513888891</v>
      </c>
      <c r="V659" t="s">
        <v>18</v>
      </c>
      <c r="W659" t="s">
        <v>783</v>
      </c>
      <c r="X659" s="6">
        <v>42193.400578703702</v>
      </c>
      <c r="Y659" t="s">
        <v>255</v>
      </c>
      <c r="AB659" t="s">
        <v>201</v>
      </c>
      <c r="AC659" t="s">
        <v>247</v>
      </c>
      <c r="AD659" t="s">
        <v>222</v>
      </c>
      <c r="AE659" t="s">
        <v>221</v>
      </c>
      <c r="AG659" t="s">
        <v>121</v>
      </c>
      <c r="AH659" t="s">
        <v>327</v>
      </c>
      <c r="AI659" t="s">
        <v>121</v>
      </c>
      <c r="AJ659" t="s">
        <v>716</v>
      </c>
      <c r="AK659" t="s">
        <v>121</v>
      </c>
      <c r="AL659" t="s">
        <v>121</v>
      </c>
      <c r="AM659" t="s">
        <v>121</v>
      </c>
    </row>
    <row r="660" spans="9:39" x14ac:dyDescent="0.3">
      <c r="I660">
        <f ca="1">IF(OR(INDIRECT(A73&amp;ROW())=B93,INDIRECT(A73&amp;ROW())=B94),1,IF(AND(INDIRECT(A73&amp;ROW())=B95,INDIRECT(A96&amp;ROW())=C93),1,IF(AND(INDIRECT(A73&amp;ROW())=B95,INDIRECT(A96&amp;ROW())=C94),1,0)))</f>
        <v>1</v>
      </c>
      <c r="J660">
        <f ca="1">IF(AND(INDIRECT(A73&amp;ROW())=B95,INDIRECT(A96&amp;ROW())=C95),1,IF(AND(INDIRECT(A73&amp;ROW())=B95,INDIRECT(A96&amp;ROW())=C96),1,0))</f>
        <v>0</v>
      </c>
      <c r="K660">
        <f ca="1">DAYS360(INDIRECT(C68&amp;ROW()),TODAY())</f>
        <v>629</v>
      </c>
      <c r="L660">
        <f ca="1">DAYS360(INDIRECT(C69&amp;ROW()),TODAY())</f>
        <v>653</v>
      </c>
      <c r="M660">
        <f ca="1">HYPERLINK(CONCATENATE("https://bugzilla.houston.hp.com:1181/bugzilla/show_bug.cgi?id=",INDIRECT(C70&amp;ROW())),INDIRECT(C70&amp;ROW()))</f>
        <v>65259</v>
      </c>
      <c r="N660">
        <v>65259</v>
      </c>
      <c r="O660" t="s">
        <v>56</v>
      </c>
      <c r="P660" t="s">
        <v>1479</v>
      </c>
      <c r="Q660" t="s">
        <v>25</v>
      </c>
      <c r="R660" t="s">
        <v>251</v>
      </c>
      <c r="S660" t="s">
        <v>59</v>
      </c>
      <c r="U660" s="6">
        <v>42219.237673611111</v>
      </c>
      <c r="V660" t="s">
        <v>35</v>
      </c>
      <c r="W660" t="s">
        <v>17</v>
      </c>
      <c r="X660" s="6">
        <v>42194.212847222225</v>
      </c>
      <c r="Y660" t="s">
        <v>125</v>
      </c>
      <c r="AB660" t="s">
        <v>200</v>
      </c>
      <c r="AC660" t="s">
        <v>247</v>
      </c>
      <c r="AD660" t="s">
        <v>220</v>
      </c>
      <c r="AE660" t="s">
        <v>219</v>
      </c>
      <c r="AG660" t="s">
        <v>121</v>
      </c>
      <c r="AH660" t="s">
        <v>327</v>
      </c>
      <c r="AI660" t="s">
        <v>121</v>
      </c>
      <c r="AJ660" t="s">
        <v>715</v>
      </c>
      <c r="AK660" t="s">
        <v>121</v>
      </c>
      <c r="AL660" t="s">
        <v>121</v>
      </c>
      <c r="AM660" t="s">
        <v>121</v>
      </c>
    </row>
    <row r="661" spans="9:39" x14ac:dyDescent="0.3">
      <c r="I661">
        <f ca="1">IF(OR(INDIRECT(A73&amp;ROW())=B93,INDIRECT(A73&amp;ROW())=B94),1,IF(AND(INDIRECT(A73&amp;ROW())=B95,INDIRECT(A96&amp;ROW())=C93),1,IF(AND(INDIRECT(A73&amp;ROW())=B95,INDIRECT(A96&amp;ROW())=C94),1,0)))</f>
        <v>1</v>
      </c>
      <c r="J661">
        <f ca="1">IF(AND(INDIRECT(A73&amp;ROW())=B95,INDIRECT(A96&amp;ROW())=C95),1,IF(AND(INDIRECT(A73&amp;ROW())=B95,INDIRECT(A96&amp;ROW())=C96),1,0))</f>
        <v>0</v>
      </c>
      <c r="K661">
        <f ca="1">DAYS360(INDIRECT(C68&amp;ROW()),TODAY())</f>
        <v>622</v>
      </c>
      <c r="L661">
        <f ca="1">DAYS360(INDIRECT(C69&amp;ROW()),TODAY())</f>
        <v>653</v>
      </c>
      <c r="M661">
        <f ca="1">HYPERLINK(CONCATENATE("https://bugzilla.houston.hp.com:1181/bugzilla/show_bug.cgi?id=",INDIRECT(C70&amp;ROW())),INDIRECT(C70&amp;ROW()))</f>
        <v>65285</v>
      </c>
      <c r="N661">
        <v>65285</v>
      </c>
      <c r="O661" t="s">
        <v>56</v>
      </c>
      <c r="P661" t="s">
        <v>1480</v>
      </c>
      <c r="Q661" t="s">
        <v>25</v>
      </c>
      <c r="R661" t="s">
        <v>1375</v>
      </c>
      <c r="S661" t="s">
        <v>552</v>
      </c>
      <c r="T661" t="s">
        <v>1433</v>
      </c>
      <c r="U661" s="6">
        <v>42226.355219907404</v>
      </c>
      <c r="V661" t="s">
        <v>18</v>
      </c>
      <c r="W661" t="s">
        <v>17</v>
      </c>
      <c r="X661" s="6">
        <v>42194.366782407407</v>
      </c>
      <c r="Y661" t="s">
        <v>125</v>
      </c>
      <c r="AB661" t="s">
        <v>200</v>
      </c>
      <c r="AC661" t="s">
        <v>247</v>
      </c>
      <c r="AD661" t="s">
        <v>220</v>
      </c>
      <c r="AE661" t="s">
        <v>219</v>
      </c>
      <c r="AF661" s="13">
        <v>42206</v>
      </c>
      <c r="AG661" t="s">
        <v>121</v>
      </c>
      <c r="AH661" t="s">
        <v>327</v>
      </c>
      <c r="AI661" t="s">
        <v>121</v>
      </c>
      <c r="AJ661" t="s">
        <v>715</v>
      </c>
      <c r="AK661" t="s">
        <v>121</v>
      </c>
      <c r="AL661" t="s">
        <v>121</v>
      </c>
      <c r="AM661" t="s">
        <v>121</v>
      </c>
    </row>
    <row r="662" spans="9:39" x14ac:dyDescent="0.3">
      <c r="I662">
        <f ca="1">IF(OR(INDIRECT(A73&amp;ROW())=B93,INDIRECT(A73&amp;ROW())=B94),1,IF(AND(INDIRECT(A73&amp;ROW())=B95,INDIRECT(A96&amp;ROW())=C93),1,IF(AND(INDIRECT(A73&amp;ROW())=B95,INDIRECT(A96&amp;ROW())=C94),1,0)))</f>
        <v>0</v>
      </c>
      <c r="J662">
        <f ca="1">IF(AND(INDIRECT(A73&amp;ROW())=B95,INDIRECT(A96&amp;ROW())=C95),1,IF(AND(INDIRECT(A73&amp;ROW())=B95,INDIRECT(A96&amp;ROW())=C96),1,0))</f>
        <v>0</v>
      </c>
      <c r="K662">
        <f ca="1">DAYS360(INDIRECT(C68&amp;ROW()),TODAY())</f>
        <v>625</v>
      </c>
      <c r="L662">
        <f ca="1">DAYS360(INDIRECT(C69&amp;ROW()),TODAY())</f>
        <v>653</v>
      </c>
      <c r="M662">
        <f ca="1">HYPERLINK(CONCATENATE("https://bugzilla.houston.hp.com:1181/bugzilla/show_bug.cgi?id=",INDIRECT(C70&amp;ROW())),INDIRECT(C70&amp;ROW()))</f>
        <v>65289</v>
      </c>
      <c r="N662">
        <v>65289</v>
      </c>
      <c r="O662" t="s">
        <v>241</v>
      </c>
      <c r="P662" t="s">
        <v>1481</v>
      </c>
      <c r="Q662" t="s">
        <v>16</v>
      </c>
      <c r="R662" t="s">
        <v>251</v>
      </c>
      <c r="S662" t="s">
        <v>477</v>
      </c>
      <c r="U662" s="6">
        <v>42223.671030092592</v>
      </c>
      <c r="V662" t="s">
        <v>18</v>
      </c>
      <c r="W662" t="s">
        <v>783</v>
      </c>
      <c r="X662" s="6">
        <v>42194.40253472222</v>
      </c>
      <c r="Y662" t="s">
        <v>245</v>
      </c>
      <c r="AB662" t="s">
        <v>201</v>
      </c>
      <c r="AC662" t="s">
        <v>247</v>
      </c>
      <c r="AD662" t="s">
        <v>227</v>
      </c>
      <c r="AE662" t="s">
        <v>230</v>
      </c>
      <c r="AG662" t="s">
        <v>121</v>
      </c>
      <c r="AH662" t="s">
        <v>327</v>
      </c>
      <c r="AI662" t="s">
        <v>362</v>
      </c>
      <c r="AJ662" t="s">
        <v>717</v>
      </c>
      <c r="AK662" t="s">
        <v>121</v>
      </c>
      <c r="AL662" t="s">
        <v>121</v>
      </c>
      <c r="AM662" t="s">
        <v>121</v>
      </c>
    </row>
    <row r="663" spans="9:39" x14ac:dyDescent="0.3">
      <c r="I663">
        <f ca="1">IF(OR(INDIRECT(A73&amp;ROW())=B93,INDIRECT(A73&amp;ROW())=B94),1,IF(AND(INDIRECT(A73&amp;ROW())=B95,INDIRECT(A96&amp;ROW())=C93),1,IF(AND(INDIRECT(A73&amp;ROW())=B95,INDIRECT(A96&amp;ROW())=C94),1,0)))</f>
        <v>1</v>
      </c>
      <c r="J663">
        <f ca="1">IF(AND(INDIRECT(A73&amp;ROW())=B95,INDIRECT(A96&amp;ROW())=C95),1,IF(AND(INDIRECT(A73&amp;ROW())=B95,INDIRECT(A96&amp;ROW())=C96),1,0))</f>
        <v>0</v>
      </c>
      <c r="K663">
        <f ca="1">DAYS360(INDIRECT(C68&amp;ROW()),TODAY())</f>
        <v>640</v>
      </c>
      <c r="L663">
        <f ca="1">DAYS360(INDIRECT(C69&amp;ROW()),TODAY())</f>
        <v>653</v>
      </c>
      <c r="M663">
        <f ca="1">HYPERLINK(CONCATENATE("https://bugzilla.houston.hp.com:1181/bugzilla/show_bug.cgi?id=",INDIRECT(C70&amp;ROW())),INDIRECT(C70&amp;ROW()))</f>
        <v>65291</v>
      </c>
      <c r="N663">
        <v>65291</v>
      </c>
      <c r="O663" t="s">
        <v>45</v>
      </c>
      <c r="P663" t="s">
        <v>1482</v>
      </c>
      <c r="Q663" t="s">
        <v>25</v>
      </c>
      <c r="R663" t="s">
        <v>251</v>
      </c>
      <c r="S663" t="s">
        <v>45</v>
      </c>
      <c r="T663" t="s">
        <v>1122</v>
      </c>
      <c r="U663" s="6">
        <v>42207.426134259258</v>
      </c>
      <c r="V663" t="s">
        <v>35</v>
      </c>
      <c r="W663" t="s">
        <v>783</v>
      </c>
      <c r="X663" s="6">
        <v>42194.417754629627</v>
      </c>
      <c r="Y663" t="s">
        <v>122</v>
      </c>
      <c r="AB663" t="s">
        <v>200</v>
      </c>
      <c r="AC663" t="s">
        <v>247</v>
      </c>
      <c r="AD663" t="s">
        <v>227</v>
      </c>
      <c r="AE663" t="s">
        <v>226</v>
      </c>
      <c r="AG663" t="s">
        <v>121</v>
      </c>
      <c r="AH663" t="s">
        <v>327</v>
      </c>
      <c r="AI663" t="s">
        <v>121</v>
      </c>
      <c r="AJ663" t="s">
        <v>715</v>
      </c>
      <c r="AK663" t="s">
        <v>121</v>
      </c>
      <c r="AL663" t="s">
        <v>121</v>
      </c>
      <c r="AM663" t="s">
        <v>121</v>
      </c>
    </row>
    <row r="664" spans="9:39" x14ac:dyDescent="0.3">
      <c r="I664">
        <f ca="1">IF(OR(INDIRECT(A73&amp;ROW())=B93,INDIRECT(A73&amp;ROW())=B94),1,IF(AND(INDIRECT(A73&amp;ROW())=B95,INDIRECT(A96&amp;ROW())=C93),1,IF(AND(INDIRECT(A73&amp;ROW())=B95,INDIRECT(A96&amp;ROW())=C94),1,0)))</f>
        <v>1</v>
      </c>
      <c r="J664">
        <f ca="1">IF(AND(INDIRECT(A73&amp;ROW())=B95,INDIRECT(A96&amp;ROW())=C95),1,IF(AND(INDIRECT(A73&amp;ROW())=B95,INDIRECT(A96&amp;ROW())=C96),1,0))</f>
        <v>0</v>
      </c>
      <c r="K664">
        <f ca="1">DAYS360(INDIRECT(C68&amp;ROW()),TODAY())</f>
        <v>626</v>
      </c>
      <c r="L664">
        <f ca="1">DAYS360(INDIRECT(C69&amp;ROW()),TODAY())</f>
        <v>652</v>
      </c>
      <c r="M664">
        <f ca="1">HYPERLINK(CONCATENATE("https://bugzilla.houston.hp.com:1181/bugzilla/show_bug.cgi?id=",INDIRECT(C70&amp;ROW())),INDIRECT(C70&amp;ROW()))</f>
        <v>65314</v>
      </c>
      <c r="N664">
        <v>65314</v>
      </c>
      <c r="O664" t="s">
        <v>1471</v>
      </c>
      <c r="P664" t="s">
        <v>1483</v>
      </c>
      <c r="Q664" t="s">
        <v>25</v>
      </c>
      <c r="R664" t="s">
        <v>248</v>
      </c>
      <c r="S664" t="s">
        <v>1473</v>
      </c>
      <c r="U664" s="6">
        <v>42222.535208333335</v>
      </c>
      <c r="V664" t="s">
        <v>18</v>
      </c>
      <c r="W664" t="s">
        <v>248</v>
      </c>
      <c r="X664" s="6">
        <v>42195.045925925922</v>
      </c>
      <c r="Y664" t="s">
        <v>123</v>
      </c>
      <c r="AB664" t="s">
        <v>200</v>
      </c>
      <c r="AC664" t="s">
        <v>247</v>
      </c>
      <c r="AD664" t="s">
        <v>220</v>
      </c>
      <c r="AE664" t="s">
        <v>219</v>
      </c>
      <c r="AG664" t="s">
        <v>121</v>
      </c>
      <c r="AH664" t="s">
        <v>327</v>
      </c>
      <c r="AI664" t="s">
        <v>121</v>
      </c>
      <c r="AJ664" t="s">
        <v>715</v>
      </c>
      <c r="AK664" t="s">
        <v>121</v>
      </c>
      <c r="AL664" t="s">
        <v>121</v>
      </c>
      <c r="AM664" t="s">
        <v>121</v>
      </c>
    </row>
    <row r="665" spans="9:39" x14ac:dyDescent="0.3">
      <c r="I665">
        <f ca="1">IF(OR(INDIRECT(A73&amp;ROW())=B93,INDIRECT(A73&amp;ROW())=B94),1,IF(AND(INDIRECT(A73&amp;ROW())=B95,INDIRECT(A96&amp;ROW())=C93),1,IF(AND(INDIRECT(A73&amp;ROW())=B95,INDIRECT(A96&amp;ROW())=C94),1,0)))</f>
        <v>1</v>
      </c>
      <c r="J665">
        <f ca="1">IF(AND(INDIRECT(A73&amp;ROW())=B95,INDIRECT(A96&amp;ROW())=C95),1,IF(AND(INDIRECT(A73&amp;ROW())=B95,INDIRECT(A96&amp;ROW())=C96),1,0))</f>
        <v>0</v>
      </c>
      <c r="K665">
        <f ca="1">DAYS360(INDIRECT(C68&amp;ROW()),TODAY())</f>
        <v>613</v>
      </c>
      <c r="L665">
        <f ca="1">DAYS360(INDIRECT(C69&amp;ROW()),TODAY())</f>
        <v>652</v>
      </c>
      <c r="M665">
        <f ca="1">HYPERLINK(CONCATENATE("https://bugzilla.houston.hp.com:1181/bugzilla/show_bug.cgi?id=",INDIRECT(C70&amp;ROW())),INDIRECT(C70&amp;ROW()))</f>
        <v>65346</v>
      </c>
      <c r="N665">
        <v>65346</v>
      </c>
      <c r="O665" t="s">
        <v>187</v>
      </c>
      <c r="P665" t="s">
        <v>1484</v>
      </c>
      <c r="Q665" t="s">
        <v>39</v>
      </c>
      <c r="R665" t="s">
        <v>251</v>
      </c>
      <c r="S665" t="s">
        <v>1102</v>
      </c>
      <c r="U665" s="6">
        <v>42235.655092592591</v>
      </c>
      <c r="V665" t="s">
        <v>35</v>
      </c>
      <c r="W665" t="s">
        <v>764</v>
      </c>
      <c r="X665" s="6">
        <v>42195.44153935185</v>
      </c>
      <c r="Y665" t="s">
        <v>125</v>
      </c>
      <c r="AB665" t="s">
        <v>201</v>
      </c>
      <c r="AC665" t="s">
        <v>247</v>
      </c>
      <c r="AD665" t="s">
        <v>220</v>
      </c>
      <c r="AE665" t="s">
        <v>219</v>
      </c>
      <c r="AG665" t="s">
        <v>121</v>
      </c>
      <c r="AH665" t="s">
        <v>327</v>
      </c>
      <c r="AI665" t="s">
        <v>121</v>
      </c>
      <c r="AJ665" t="s">
        <v>715</v>
      </c>
      <c r="AK665" t="s">
        <v>121</v>
      </c>
      <c r="AL665" t="s">
        <v>121</v>
      </c>
      <c r="AM665" t="s">
        <v>121</v>
      </c>
    </row>
    <row r="666" spans="9:39" x14ac:dyDescent="0.3">
      <c r="I666">
        <f ca="1">IF(OR(INDIRECT(A73&amp;ROW())=B93,INDIRECT(A73&amp;ROW())=B94),1,IF(AND(INDIRECT(A73&amp;ROW())=B95,INDIRECT(A96&amp;ROW())=C93),1,IF(AND(INDIRECT(A73&amp;ROW())=B95,INDIRECT(A96&amp;ROW())=C94),1,0)))</f>
        <v>1</v>
      </c>
      <c r="J666">
        <f ca="1">IF(AND(INDIRECT(A73&amp;ROW())=B95,INDIRECT(A96&amp;ROW())=C95),1,IF(AND(INDIRECT(A73&amp;ROW())=B95,INDIRECT(A96&amp;ROW())=C96),1,0))</f>
        <v>0</v>
      </c>
      <c r="K666">
        <f ca="1">DAYS360(INDIRECT(C68&amp;ROW()),TODAY())</f>
        <v>628</v>
      </c>
      <c r="L666">
        <f ca="1">DAYS360(INDIRECT(C69&amp;ROW()),TODAY())</f>
        <v>652</v>
      </c>
      <c r="M666">
        <f ca="1">HYPERLINK(CONCATENATE("https://bugzilla.houston.hp.com:1181/bugzilla/show_bug.cgi?id=",INDIRECT(C70&amp;ROW())),INDIRECT(C70&amp;ROW()))</f>
        <v>65347</v>
      </c>
      <c r="N666">
        <v>65347</v>
      </c>
      <c r="O666" t="s">
        <v>1485</v>
      </c>
      <c r="P666" t="s">
        <v>1486</v>
      </c>
      <c r="Q666" t="s">
        <v>39</v>
      </c>
      <c r="R666" t="s">
        <v>251</v>
      </c>
      <c r="S666" t="s">
        <v>1485</v>
      </c>
      <c r="U666" s="6">
        <v>42220.624872685185</v>
      </c>
      <c r="V666" t="s">
        <v>18</v>
      </c>
      <c r="W666" t="s">
        <v>783</v>
      </c>
      <c r="X666" s="6">
        <v>42195.445324074077</v>
      </c>
      <c r="Y666" t="s">
        <v>255</v>
      </c>
      <c r="AB666" t="s">
        <v>201</v>
      </c>
      <c r="AC666" t="s">
        <v>247</v>
      </c>
      <c r="AD666" t="s">
        <v>227</v>
      </c>
      <c r="AE666" t="s">
        <v>226</v>
      </c>
      <c r="AG666" t="s">
        <v>121</v>
      </c>
      <c r="AH666" t="s">
        <v>327</v>
      </c>
      <c r="AI666" t="s">
        <v>121</v>
      </c>
      <c r="AJ666" t="s">
        <v>715</v>
      </c>
      <c r="AK666" t="s">
        <v>121</v>
      </c>
      <c r="AL666" t="s">
        <v>121</v>
      </c>
      <c r="AM666" t="s">
        <v>121</v>
      </c>
    </row>
    <row r="667" spans="9:39" x14ac:dyDescent="0.3">
      <c r="I667">
        <f ca="1">IF(OR(INDIRECT(A73&amp;ROW())=B93,INDIRECT(A73&amp;ROW())=B94),1,IF(AND(INDIRECT(A73&amp;ROW())=B95,INDIRECT(A96&amp;ROW())=C93),1,IF(AND(INDIRECT(A73&amp;ROW())=B95,INDIRECT(A96&amp;ROW())=C94),1,0)))</f>
        <v>1</v>
      </c>
      <c r="J667">
        <f ca="1">IF(AND(INDIRECT(A73&amp;ROW())=B95,INDIRECT(A96&amp;ROW())=C95),1,IF(AND(INDIRECT(A73&amp;ROW())=B95,INDIRECT(A96&amp;ROW())=C96),1,0))</f>
        <v>0</v>
      </c>
      <c r="K667">
        <f ca="1">DAYS360(INDIRECT(C68&amp;ROW()),TODAY())</f>
        <v>634</v>
      </c>
      <c r="L667">
        <f ca="1">DAYS360(INDIRECT(C69&amp;ROW()),TODAY())</f>
        <v>652</v>
      </c>
      <c r="M667">
        <f ca="1">HYPERLINK(CONCATENATE("https://bugzilla.houston.hp.com:1181/bugzilla/show_bug.cgi?id=",INDIRECT(C70&amp;ROW())),INDIRECT(C70&amp;ROW()))</f>
        <v>65353</v>
      </c>
      <c r="N667">
        <v>65353</v>
      </c>
      <c r="O667" t="s">
        <v>56</v>
      </c>
      <c r="P667" t="s">
        <v>1487</v>
      </c>
      <c r="Q667" t="s">
        <v>39</v>
      </c>
      <c r="R667" t="s">
        <v>579</v>
      </c>
      <c r="S667" t="s">
        <v>552</v>
      </c>
      <c r="U667" s="6">
        <v>42213.515196759261</v>
      </c>
      <c r="V667" t="s">
        <v>18</v>
      </c>
      <c r="W667" t="s">
        <v>764</v>
      </c>
      <c r="X667" s="6">
        <v>42195.547407407408</v>
      </c>
      <c r="Y667" t="s">
        <v>125</v>
      </c>
      <c r="AB667" t="s">
        <v>200</v>
      </c>
      <c r="AC667" t="s">
        <v>247</v>
      </c>
      <c r="AD667" t="s">
        <v>220</v>
      </c>
      <c r="AE667" t="s">
        <v>219</v>
      </c>
      <c r="AG667" t="s">
        <v>121</v>
      </c>
      <c r="AH667" t="s">
        <v>327</v>
      </c>
      <c r="AI667" t="s">
        <v>121</v>
      </c>
      <c r="AJ667" t="s">
        <v>715</v>
      </c>
      <c r="AK667" t="s">
        <v>121</v>
      </c>
      <c r="AL667" t="s">
        <v>121</v>
      </c>
      <c r="AM667" t="s">
        <v>121</v>
      </c>
    </row>
    <row r="668" spans="9:39" x14ac:dyDescent="0.3">
      <c r="I668">
        <f ca="1">IF(OR(INDIRECT(A73&amp;ROW())=B93,INDIRECT(A73&amp;ROW())=B94),1,IF(AND(INDIRECT(A73&amp;ROW())=B95,INDIRECT(A96&amp;ROW())=C93),1,IF(AND(INDIRECT(A73&amp;ROW())=B95,INDIRECT(A96&amp;ROW())=C94),1,0)))</f>
        <v>1</v>
      </c>
      <c r="J668">
        <f ca="1">IF(AND(INDIRECT(A73&amp;ROW())=B95,INDIRECT(A96&amp;ROW())=C95),1,IF(AND(INDIRECT(A73&amp;ROW())=B95,INDIRECT(A96&amp;ROW())=C96),1,0))</f>
        <v>0</v>
      </c>
      <c r="K668">
        <f ca="1">DAYS360(INDIRECT(C68&amp;ROW()),TODAY())</f>
        <v>613</v>
      </c>
      <c r="L668">
        <f ca="1">DAYS360(INDIRECT(C69&amp;ROW()),TODAY())</f>
        <v>652</v>
      </c>
      <c r="M668">
        <f ca="1">HYPERLINK(CONCATENATE("https://bugzilla.houston.hp.com:1181/bugzilla/show_bug.cgi?id=",INDIRECT(C70&amp;ROW())),INDIRECT(C70&amp;ROW()))</f>
        <v>65354</v>
      </c>
      <c r="N668">
        <v>65354</v>
      </c>
      <c r="O668" t="s">
        <v>187</v>
      </c>
      <c r="P668" t="s">
        <v>1488</v>
      </c>
      <c r="Q668" t="s">
        <v>39</v>
      </c>
      <c r="R668" t="s">
        <v>783</v>
      </c>
      <c r="S668" t="s">
        <v>552</v>
      </c>
      <c r="U668" s="6">
        <v>42235.300092592595</v>
      </c>
      <c r="V668" t="s">
        <v>35</v>
      </c>
      <c r="W668" t="s">
        <v>764</v>
      </c>
      <c r="X668" s="6">
        <v>42195.547500000001</v>
      </c>
      <c r="Y668" t="s">
        <v>125</v>
      </c>
      <c r="AB668" t="s">
        <v>200</v>
      </c>
      <c r="AC668" t="s">
        <v>247</v>
      </c>
      <c r="AD668" t="s">
        <v>220</v>
      </c>
      <c r="AE668" t="s">
        <v>219</v>
      </c>
      <c r="AG668" t="s">
        <v>337</v>
      </c>
      <c r="AH668" t="s">
        <v>327</v>
      </c>
      <c r="AI668" t="s">
        <v>362</v>
      </c>
      <c r="AJ668" t="s">
        <v>715</v>
      </c>
      <c r="AK668" t="s">
        <v>121</v>
      </c>
      <c r="AL668" t="s">
        <v>121</v>
      </c>
      <c r="AM668" t="s">
        <v>121</v>
      </c>
    </row>
    <row r="669" spans="9:39" x14ac:dyDescent="0.3">
      <c r="I669">
        <f ca="1">IF(OR(INDIRECT(A73&amp;ROW())=B93,INDIRECT(A73&amp;ROW())=B94),1,IF(AND(INDIRECT(A73&amp;ROW())=B95,INDIRECT(A96&amp;ROW())=C93),1,IF(AND(INDIRECT(A73&amp;ROW())=B95,INDIRECT(A96&amp;ROW())=C94),1,0)))</f>
        <v>1</v>
      </c>
      <c r="J669">
        <f ca="1">IF(AND(INDIRECT(A73&amp;ROW())=B95,INDIRECT(A96&amp;ROW())=C95),1,IF(AND(INDIRECT(A73&amp;ROW())=B95,INDIRECT(A96&amp;ROW())=C96),1,0))</f>
        <v>0</v>
      </c>
      <c r="K669">
        <f ca="1">DAYS360(INDIRECT(C68&amp;ROW()),TODAY())</f>
        <v>634</v>
      </c>
      <c r="L669">
        <f ca="1">DAYS360(INDIRECT(C69&amp;ROW()),TODAY())</f>
        <v>652</v>
      </c>
      <c r="M669">
        <f ca="1">HYPERLINK(CONCATENATE("https://bugzilla.houston.hp.com:1181/bugzilla/show_bug.cgi?id=",INDIRECT(C70&amp;ROW())),INDIRECT(C70&amp;ROW()))</f>
        <v>65355</v>
      </c>
      <c r="N669">
        <v>65355</v>
      </c>
      <c r="O669" t="s">
        <v>56</v>
      </c>
      <c r="P669" t="s">
        <v>1489</v>
      </c>
      <c r="Q669" t="s">
        <v>39</v>
      </c>
      <c r="R669" t="s">
        <v>248</v>
      </c>
      <c r="S669" t="s">
        <v>552</v>
      </c>
      <c r="U669" s="6">
        <v>42213.515393518515</v>
      </c>
      <c r="V669" t="s">
        <v>18</v>
      </c>
      <c r="W669" t="s">
        <v>764</v>
      </c>
      <c r="X669" s="6">
        <v>42195.547615740739</v>
      </c>
      <c r="Y669" t="s">
        <v>125</v>
      </c>
      <c r="AB669" t="s">
        <v>200</v>
      </c>
      <c r="AC669" t="s">
        <v>247</v>
      </c>
      <c r="AD669" t="s">
        <v>220</v>
      </c>
      <c r="AE669" t="s">
        <v>219</v>
      </c>
      <c r="AG669" t="s">
        <v>121</v>
      </c>
      <c r="AH669" t="s">
        <v>327</v>
      </c>
      <c r="AI669" t="s">
        <v>121</v>
      </c>
      <c r="AJ669" t="s">
        <v>715</v>
      </c>
      <c r="AK669" t="s">
        <v>121</v>
      </c>
      <c r="AL669" t="s">
        <v>121</v>
      </c>
      <c r="AM669" t="s">
        <v>121</v>
      </c>
    </row>
    <row r="670" spans="9:39" x14ac:dyDescent="0.3">
      <c r="I670">
        <f ca="1">IF(OR(INDIRECT(A73&amp;ROW())=B93,INDIRECT(A73&amp;ROW())=B94),1,IF(AND(INDIRECT(A73&amp;ROW())=B95,INDIRECT(A96&amp;ROW())=C93),1,IF(AND(INDIRECT(A73&amp;ROW())=B95,INDIRECT(A96&amp;ROW())=C94),1,0)))</f>
        <v>0</v>
      </c>
      <c r="J670">
        <f ca="1">IF(AND(INDIRECT(A73&amp;ROW())=B95,INDIRECT(A96&amp;ROW())=C95),1,IF(AND(INDIRECT(A73&amp;ROW())=B95,INDIRECT(A96&amp;ROW())=C96),1,0))</f>
        <v>1</v>
      </c>
      <c r="K670">
        <f ca="1">DAYS360(INDIRECT(C68&amp;ROW()),TODAY())</f>
        <v>634</v>
      </c>
      <c r="L670">
        <f ca="1">DAYS360(INDIRECT(C69&amp;ROW()),TODAY())</f>
        <v>652</v>
      </c>
      <c r="M670">
        <f ca="1">HYPERLINK(CONCATENATE("https://bugzilla.houston.hp.com:1181/bugzilla/show_bug.cgi?id=",INDIRECT(C70&amp;ROW())),INDIRECT(C70&amp;ROW()))</f>
        <v>65356</v>
      </c>
      <c r="N670">
        <v>65356</v>
      </c>
      <c r="O670" t="s">
        <v>56</v>
      </c>
      <c r="P670" t="s">
        <v>1490</v>
      </c>
      <c r="Q670" t="s">
        <v>25</v>
      </c>
      <c r="R670" t="s">
        <v>1375</v>
      </c>
      <c r="S670" t="s">
        <v>552</v>
      </c>
      <c r="U670" s="6">
        <v>42213.527418981481</v>
      </c>
      <c r="V670" t="s">
        <v>18</v>
      </c>
      <c r="W670" t="s">
        <v>764</v>
      </c>
      <c r="X670" s="6">
        <v>42195.547731481478</v>
      </c>
      <c r="Y670" t="s">
        <v>125</v>
      </c>
      <c r="AB670" t="s">
        <v>201</v>
      </c>
      <c r="AC670" t="s">
        <v>247</v>
      </c>
      <c r="AD670" t="s">
        <v>220</v>
      </c>
      <c r="AE670" t="s">
        <v>219</v>
      </c>
      <c r="AG670" t="s">
        <v>121</v>
      </c>
      <c r="AH670" t="s">
        <v>327</v>
      </c>
      <c r="AI670" t="s">
        <v>121</v>
      </c>
      <c r="AJ670" t="s">
        <v>716</v>
      </c>
      <c r="AK670" t="s">
        <v>121</v>
      </c>
      <c r="AL670" t="s">
        <v>121</v>
      </c>
      <c r="AM670" t="s">
        <v>121</v>
      </c>
    </row>
    <row r="671" spans="9:39" x14ac:dyDescent="0.3">
      <c r="I671">
        <f ca="1">IF(OR(INDIRECT(A73&amp;ROW())=B93,INDIRECT(A73&amp;ROW())=B94),1,IF(AND(INDIRECT(A73&amp;ROW())=B95,INDIRECT(A96&amp;ROW())=C93),1,IF(AND(INDIRECT(A73&amp;ROW())=B95,INDIRECT(A96&amp;ROW())=C94),1,0)))</f>
        <v>0</v>
      </c>
      <c r="J671">
        <f ca="1">IF(AND(INDIRECT(A73&amp;ROW())=B95,INDIRECT(A96&amp;ROW())=C95),1,IF(AND(INDIRECT(A73&amp;ROW())=B95,INDIRECT(A96&amp;ROW())=C96),1,0))</f>
        <v>1</v>
      </c>
      <c r="K671">
        <f ca="1">DAYS360(INDIRECT(C68&amp;ROW()),TODAY())</f>
        <v>620</v>
      </c>
      <c r="L671">
        <f ca="1">DAYS360(INDIRECT(C69&amp;ROW()),TODAY())</f>
        <v>652</v>
      </c>
      <c r="M671">
        <f ca="1">HYPERLINK(CONCATENATE("https://bugzilla.houston.hp.com:1181/bugzilla/show_bug.cgi?id=",INDIRECT(C70&amp;ROW())),INDIRECT(C70&amp;ROW()))</f>
        <v>65357</v>
      </c>
      <c r="N671">
        <v>65357</v>
      </c>
      <c r="O671" t="s">
        <v>1491</v>
      </c>
      <c r="P671" t="s">
        <v>1492</v>
      </c>
      <c r="Q671" t="s">
        <v>25</v>
      </c>
      <c r="R671" t="s">
        <v>1439</v>
      </c>
      <c r="S671" t="s">
        <v>552</v>
      </c>
      <c r="T671" t="s">
        <v>1493</v>
      </c>
      <c r="U671" s="6">
        <v>42228.963784722226</v>
      </c>
      <c r="V671" t="s">
        <v>18</v>
      </c>
      <c r="W671" t="s">
        <v>764</v>
      </c>
      <c r="X671" s="6">
        <v>42195.547824074078</v>
      </c>
      <c r="Y671" t="s">
        <v>125</v>
      </c>
      <c r="AB671" t="s">
        <v>201</v>
      </c>
      <c r="AC671" t="s">
        <v>247</v>
      </c>
      <c r="AD671" t="s">
        <v>220</v>
      </c>
      <c r="AE671" t="s">
        <v>219</v>
      </c>
      <c r="AG671" t="s">
        <v>121</v>
      </c>
      <c r="AH671" t="s">
        <v>327</v>
      </c>
      <c r="AI671" t="s">
        <v>121</v>
      </c>
      <c r="AJ671" t="s">
        <v>716</v>
      </c>
      <c r="AK671" t="s">
        <v>121</v>
      </c>
      <c r="AL671" t="s">
        <v>121</v>
      </c>
      <c r="AM671" t="s">
        <v>121</v>
      </c>
    </row>
    <row r="672" spans="9:39" x14ac:dyDescent="0.3">
      <c r="I672">
        <f ca="1">IF(OR(INDIRECT(A73&amp;ROW())=B93,INDIRECT(A73&amp;ROW())=B94),1,IF(AND(INDIRECT(A73&amp;ROW())=B95,INDIRECT(A96&amp;ROW())=C93),1,IF(AND(INDIRECT(A73&amp;ROW())=B95,INDIRECT(A96&amp;ROW())=C94),1,0)))</f>
        <v>0</v>
      </c>
      <c r="J672">
        <f ca="1">IF(AND(INDIRECT(A73&amp;ROW())=B95,INDIRECT(A96&amp;ROW())=C95),1,IF(AND(INDIRECT(A73&amp;ROW())=B95,INDIRECT(A96&amp;ROW())=C96),1,0))</f>
        <v>1</v>
      </c>
      <c r="K672">
        <f ca="1">DAYS360(INDIRECT(C68&amp;ROW()),TODAY())</f>
        <v>620</v>
      </c>
      <c r="L672">
        <f ca="1">DAYS360(INDIRECT(C69&amp;ROW()),TODAY())</f>
        <v>652</v>
      </c>
      <c r="M672">
        <f ca="1">HYPERLINK(CONCATENATE("https://bugzilla.houston.hp.com:1181/bugzilla/show_bug.cgi?id=",INDIRECT(C70&amp;ROW())),INDIRECT(C70&amp;ROW()))</f>
        <v>65358</v>
      </c>
      <c r="N672">
        <v>65358</v>
      </c>
      <c r="O672" t="s">
        <v>56</v>
      </c>
      <c r="P672" t="s">
        <v>1494</v>
      </c>
      <c r="Q672" t="s">
        <v>25</v>
      </c>
      <c r="R672" t="s">
        <v>1425</v>
      </c>
      <c r="S672" t="s">
        <v>552</v>
      </c>
      <c r="U672" s="6">
        <v>42228.473807870374</v>
      </c>
      <c r="V672" t="s">
        <v>18</v>
      </c>
      <c r="W672" t="s">
        <v>764</v>
      </c>
      <c r="X672" s="6">
        <v>42195.547939814816</v>
      </c>
      <c r="Y672" t="s">
        <v>125</v>
      </c>
      <c r="AB672" t="s">
        <v>201</v>
      </c>
      <c r="AC672" t="s">
        <v>247</v>
      </c>
      <c r="AD672" t="s">
        <v>220</v>
      </c>
      <c r="AE672" t="s">
        <v>219</v>
      </c>
      <c r="AG672" t="s">
        <v>121</v>
      </c>
      <c r="AH672" t="s">
        <v>327</v>
      </c>
      <c r="AI672" t="s">
        <v>121</v>
      </c>
      <c r="AJ672" t="s">
        <v>716</v>
      </c>
      <c r="AK672" t="s">
        <v>121</v>
      </c>
      <c r="AL672" t="s">
        <v>121</v>
      </c>
      <c r="AM672" t="s">
        <v>121</v>
      </c>
    </row>
    <row r="673" spans="9:39" x14ac:dyDescent="0.3">
      <c r="I673">
        <f ca="1">IF(OR(INDIRECT(A73&amp;ROW())=B93,INDIRECT(A73&amp;ROW())=B94),1,IF(AND(INDIRECT(A73&amp;ROW())=B95,INDIRECT(A96&amp;ROW())=C93),1,IF(AND(INDIRECT(A73&amp;ROW())=B95,INDIRECT(A96&amp;ROW())=C94),1,0)))</f>
        <v>0</v>
      </c>
      <c r="J673">
        <f ca="1">IF(AND(INDIRECT(A73&amp;ROW())=B95,INDIRECT(A96&amp;ROW())=C95),1,IF(AND(INDIRECT(A73&amp;ROW())=B95,INDIRECT(A96&amp;ROW())=C96),1,0))</f>
        <v>0</v>
      </c>
      <c r="K673">
        <f ca="1">DAYS360(INDIRECT(C68&amp;ROW()),TODAY())</f>
        <v>652</v>
      </c>
      <c r="L673">
        <f ca="1">DAYS360(INDIRECT(C69&amp;ROW()),TODAY())</f>
        <v>652</v>
      </c>
      <c r="M673">
        <f ca="1">HYPERLINK(CONCATENATE("https://bugzilla.houston.hp.com:1181/bugzilla/show_bug.cgi?id=",INDIRECT(C70&amp;ROW())),INDIRECT(C70&amp;ROW()))</f>
        <v>65359</v>
      </c>
      <c r="N673">
        <v>65359</v>
      </c>
      <c r="O673" t="s">
        <v>241</v>
      </c>
      <c r="P673" t="s">
        <v>1495</v>
      </c>
      <c r="Q673" t="s">
        <v>16</v>
      </c>
      <c r="R673" t="s">
        <v>579</v>
      </c>
      <c r="S673" t="s">
        <v>552</v>
      </c>
      <c r="U673" s="6">
        <v>42195.555775462963</v>
      </c>
      <c r="V673" t="s">
        <v>18</v>
      </c>
      <c r="W673" t="s">
        <v>783</v>
      </c>
      <c r="X673" s="6">
        <v>42195.555775462963</v>
      </c>
      <c r="Y673" t="s">
        <v>245</v>
      </c>
      <c r="AB673" t="s">
        <v>201</v>
      </c>
      <c r="AC673" t="s">
        <v>247</v>
      </c>
      <c r="AD673" t="s">
        <v>227</v>
      </c>
      <c r="AE673" t="s">
        <v>230</v>
      </c>
      <c r="AG673" t="s">
        <v>121</v>
      </c>
      <c r="AH673" t="s">
        <v>327</v>
      </c>
      <c r="AI673" t="s">
        <v>362</v>
      </c>
      <c r="AJ673" t="s">
        <v>717</v>
      </c>
      <c r="AK673" t="s">
        <v>121</v>
      </c>
      <c r="AL673" t="s">
        <v>121</v>
      </c>
      <c r="AM673" t="s">
        <v>121</v>
      </c>
    </row>
    <row r="674" spans="9:39" x14ac:dyDescent="0.3">
      <c r="I674">
        <f ca="1">IF(OR(INDIRECT(A73&amp;ROW())=B93,INDIRECT(A73&amp;ROW())=B94),1,IF(AND(INDIRECT(A73&amp;ROW())=B95,INDIRECT(A96&amp;ROW())=C93),1,IF(AND(INDIRECT(A73&amp;ROW())=B95,INDIRECT(A96&amp;ROW())=C94),1,0)))</f>
        <v>0</v>
      </c>
      <c r="J674">
        <f ca="1">IF(AND(INDIRECT(A73&amp;ROW())=B95,INDIRECT(A96&amp;ROW())=C95),1,IF(AND(INDIRECT(A73&amp;ROW())=B95,INDIRECT(A96&amp;ROW())=C96),1,0))</f>
        <v>0</v>
      </c>
      <c r="K674">
        <f ca="1">DAYS360(INDIRECT(C68&amp;ROW()),TODAY())</f>
        <v>652</v>
      </c>
      <c r="L674">
        <f ca="1">DAYS360(INDIRECT(C69&amp;ROW()),TODAY())</f>
        <v>652</v>
      </c>
      <c r="M674">
        <f ca="1">HYPERLINK(CONCATENATE("https://bugzilla.houston.hp.com:1181/bugzilla/show_bug.cgi?id=",INDIRECT(C70&amp;ROW())),INDIRECT(C70&amp;ROW()))</f>
        <v>65360</v>
      </c>
      <c r="N674">
        <v>65360</v>
      </c>
      <c r="O674" t="s">
        <v>241</v>
      </c>
      <c r="P674" t="s">
        <v>1496</v>
      </c>
      <c r="Q674" t="s">
        <v>16</v>
      </c>
      <c r="R674" t="s">
        <v>783</v>
      </c>
      <c r="S674" t="s">
        <v>552</v>
      </c>
      <c r="U674" s="6">
        <v>42195.555833333332</v>
      </c>
      <c r="V674" t="s">
        <v>18</v>
      </c>
      <c r="W674" t="s">
        <v>783</v>
      </c>
      <c r="X674" s="6">
        <v>42195.555833333332</v>
      </c>
      <c r="Y674" t="s">
        <v>245</v>
      </c>
      <c r="AB674" t="s">
        <v>201</v>
      </c>
      <c r="AC674" t="s">
        <v>247</v>
      </c>
      <c r="AD674" t="s">
        <v>227</v>
      </c>
      <c r="AE674" t="s">
        <v>230</v>
      </c>
      <c r="AG674" t="s">
        <v>121</v>
      </c>
      <c r="AH674" t="s">
        <v>327</v>
      </c>
      <c r="AI674" t="s">
        <v>362</v>
      </c>
      <c r="AJ674" t="s">
        <v>717</v>
      </c>
      <c r="AK674" t="s">
        <v>121</v>
      </c>
      <c r="AL674" t="s">
        <v>121</v>
      </c>
      <c r="AM674" t="s">
        <v>121</v>
      </c>
    </row>
    <row r="675" spans="9:39" x14ac:dyDescent="0.3">
      <c r="I675">
        <f ca="1">IF(OR(INDIRECT(A73&amp;ROW())=B93,INDIRECT(A73&amp;ROW())=B94),1,IF(AND(INDIRECT(A73&amp;ROW())=B95,INDIRECT(A96&amp;ROW())=C93),1,IF(AND(INDIRECT(A73&amp;ROW())=B95,INDIRECT(A96&amp;ROW())=C94),1,0)))</f>
        <v>0</v>
      </c>
      <c r="J675">
        <f ca="1">IF(AND(INDIRECT(A73&amp;ROW())=B95,INDIRECT(A96&amp;ROW())=C95),1,IF(AND(INDIRECT(A73&amp;ROW())=B95,INDIRECT(A96&amp;ROW())=C96),1,0))</f>
        <v>0</v>
      </c>
      <c r="K675">
        <f ca="1">DAYS360(INDIRECT(C68&amp;ROW()),TODAY())</f>
        <v>652</v>
      </c>
      <c r="L675">
        <f ca="1">DAYS360(INDIRECT(C69&amp;ROW()),TODAY())</f>
        <v>652</v>
      </c>
      <c r="M675">
        <f ca="1">HYPERLINK(CONCATENATE("https://bugzilla.houston.hp.com:1181/bugzilla/show_bug.cgi?id=",INDIRECT(C70&amp;ROW())),INDIRECT(C70&amp;ROW()))</f>
        <v>65361</v>
      </c>
      <c r="N675">
        <v>65361</v>
      </c>
      <c r="O675" t="s">
        <v>241</v>
      </c>
      <c r="P675" t="s">
        <v>1497</v>
      </c>
      <c r="Q675" t="s">
        <v>16</v>
      </c>
      <c r="R675" t="s">
        <v>248</v>
      </c>
      <c r="S675" t="s">
        <v>552</v>
      </c>
      <c r="U675" s="6">
        <v>42195.555891203701</v>
      </c>
      <c r="V675" t="s">
        <v>18</v>
      </c>
      <c r="W675" t="s">
        <v>783</v>
      </c>
      <c r="X675" s="6">
        <v>42195.555891203701</v>
      </c>
      <c r="Y675" t="s">
        <v>245</v>
      </c>
      <c r="AB675" t="s">
        <v>201</v>
      </c>
      <c r="AC675" t="s">
        <v>247</v>
      </c>
      <c r="AD675" t="s">
        <v>227</v>
      </c>
      <c r="AE675" t="s">
        <v>230</v>
      </c>
      <c r="AG675" t="s">
        <v>121</v>
      </c>
      <c r="AH675" t="s">
        <v>327</v>
      </c>
      <c r="AI675" t="s">
        <v>362</v>
      </c>
      <c r="AJ675" t="s">
        <v>717</v>
      </c>
      <c r="AK675" t="s">
        <v>121</v>
      </c>
      <c r="AL675" t="s">
        <v>121</v>
      </c>
      <c r="AM675" t="s">
        <v>121</v>
      </c>
    </row>
    <row r="676" spans="9:39" x14ac:dyDescent="0.3">
      <c r="I676">
        <f ca="1">IF(OR(INDIRECT(A73&amp;ROW())=B93,INDIRECT(A73&amp;ROW())=B94),1,IF(AND(INDIRECT(A73&amp;ROW())=B95,INDIRECT(A96&amp;ROW())=C93),1,IF(AND(INDIRECT(A73&amp;ROW())=B95,INDIRECT(A96&amp;ROW())=C94),1,0)))</f>
        <v>0</v>
      </c>
      <c r="J676">
        <f ca="1">IF(AND(INDIRECT(A73&amp;ROW())=B95,INDIRECT(A96&amp;ROW())=C95),1,IF(AND(INDIRECT(A73&amp;ROW())=B95,INDIRECT(A96&amp;ROW())=C96),1,0))</f>
        <v>1</v>
      </c>
      <c r="K676">
        <f ca="1">DAYS360(INDIRECT(C68&amp;ROW()),TODAY())</f>
        <v>652</v>
      </c>
      <c r="L676">
        <f ca="1">DAYS360(INDIRECT(C69&amp;ROW()),TODAY())</f>
        <v>652</v>
      </c>
      <c r="M676">
        <f ca="1">HYPERLINK(CONCATENATE("https://bugzilla.houston.hp.com:1181/bugzilla/show_bug.cgi?id=",INDIRECT(C70&amp;ROW())),INDIRECT(C70&amp;ROW()))</f>
        <v>65362</v>
      </c>
      <c r="N676">
        <v>65362</v>
      </c>
      <c r="O676" t="s">
        <v>45</v>
      </c>
      <c r="P676" t="s">
        <v>1498</v>
      </c>
      <c r="Q676" t="s">
        <v>25</v>
      </c>
      <c r="R676" t="s">
        <v>579</v>
      </c>
      <c r="S676" t="s">
        <v>552</v>
      </c>
      <c r="T676" t="s">
        <v>1122</v>
      </c>
      <c r="U676" s="6">
        <v>42195.556018518517</v>
      </c>
      <c r="V676" t="s">
        <v>18</v>
      </c>
      <c r="W676" t="s">
        <v>783</v>
      </c>
      <c r="X676" s="6">
        <v>42195.556018518517</v>
      </c>
      <c r="Y676" t="s">
        <v>122</v>
      </c>
      <c r="AB676" t="s">
        <v>201</v>
      </c>
      <c r="AC676" t="s">
        <v>247</v>
      </c>
      <c r="AD676" t="s">
        <v>227</v>
      </c>
      <c r="AE676" t="s">
        <v>226</v>
      </c>
      <c r="AG676" t="s">
        <v>121</v>
      </c>
      <c r="AH676" t="s">
        <v>327</v>
      </c>
      <c r="AI676" t="s">
        <v>121</v>
      </c>
      <c r="AJ676" t="s">
        <v>716</v>
      </c>
      <c r="AK676" t="s">
        <v>121</v>
      </c>
      <c r="AL676" t="s">
        <v>121</v>
      </c>
      <c r="AM676" t="s">
        <v>121</v>
      </c>
    </row>
    <row r="677" spans="9:39" x14ac:dyDescent="0.3">
      <c r="I677">
        <f ca="1">IF(OR(INDIRECT(A73&amp;ROW())=B93,INDIRECT(A73&amp;ROW())=B94),1,IF(AND(INDIRECT(A73&amp;ROW())=B95,INDIRECT(A96&amp;ROW())=C93),1,IF(AND(INDIRECT(A73&amp;ROW())=B95,INDIRECT(A96&amp;ROW())=C94),1,0)))</f>
        <v>0</v>
      </c>
      <c r="J677">
        <f ca="1">IF(AND(INDIRECT(A73&amp;ROW())=B95,INDIRECT(A96&amp;ROW())=C95),1,IF(AND(INDIRECT(A73&amp;ROW())=B95,INDIRECT(A96&amp;ROW())=C96),1,0))</f>
        <v>1</v>
      </c>
      <c r="K677">
        <f ca="1">DAYS360(INDIRECT(C68&amp;ROW()),TODAY())</f>
        <v>652</v>
      </c>
      <c r="L677">
        <f ca="1">DAYS360(INDIRECT(C69&amp;ROW()),TODAY())</f>
        <v>652</v>
      </c>
      <c r="M677">
        <f ca="1">HYPERLINK(CONCATENATE("https://bugzilla.houston.hp.com:1181/bugzilla/show_bug.cgi?id=",INDIRECT(C70&amp;ROW())),INDIRECT(C70&amp;ROW()))</f>
        <v>65364</v>
      </c>
      <c r="N677">
        <v>65364</v>
      </c>
      <c r="O677" t="s">
        <v>45</v>
      </c>
      <c r="P677" t="s">
        <v>1499</v>
      </c>
      <c r="Q677" t="s">
        <v>25</v>
      </c>
      <c r="R677" t="s">
        <v>248</v>
      </c>
      <c r="S677" t="s">
        <v>552</v>
      </c>
      <c r="T677" t="s">
        <v>1122</v>
      </c>
      <c r="U677" s="6">
        <v>42195.556145833332</v>
      </c>
      <c r="V677" t="s">
        <v>18</v>
      </c>
      <c r="W677" t="s">
        <v>783</v>
      </c>
      <c r="X677" s="6">
        <v>42195.556145833332</v>
      </c>
      <c r="Y677" t="s">
        <v>122</v>
      </c>
      <c r="AB677" t="s">
        <v>201</v>
      </c>
      <c r="AC677" t="s">
        <v>247</v>
      </c>
      <c r="AD677" t="s">
        <v>227</v>
      </c>
      <c r="AE677" t="s">
        <v>226</v>
      </c>
      <c r="AG677" t="s">
        <v>121</v>
      </c>
      <c r="AH677" t="s">
        <v>327</v>
      </c>
      <c r="AI677" t="s">
        <v>121</v>
      </c>
      <c r="AJ677" t="s">
        <v>716</v>
      </c>
      <c r="AK677" t="s">
        <v>121</v>
      </c>
      <c r="AL677" t="s">
        <v>121</v>
      </c>
      <c r="AM677" t="s">
        <v>121</v>
      </c>
    </row>
    <row r="678" spans="9:39" x14ac:dyDescent="0.3">
      <c r="I678">
        <f ca="1">IF(OR(INDIRECT(A73&amp;ROW())=B93,INDIRECT(A73&amp;ROW())=B94),1,IF(AND(INDIRECT(A73&amp;ROW())=B95,INDIRECT(A96&amp;ROW())=C93),1,IF(AND(INDIRECT(A73&amp;ROW())=B95,INDIRECT(A96&amp;ROW())=C94),1,0)))</f>
        <v>1</v>
      </c>
      <c r="J678">
        <f ca="1">IF(AND(INDIRECT(A73&amp;ROW())=B95,INDIRECT(A96&amp;ROW())=C95),1,IF(AND(INDIRECT(A73&amp;ROW())=B95,INDIRECT(A96&amp;ROW())=C96),1,0))</f>
        <v>0</v>
      </c>
      <c r="K678">
        <f ca="1">DAYS360(INDIRECT(C68&amp;ROW()),TODAY())</f>
        <v>652</v>
      </c>
      <c r="L678">
        <f ca="1">DAYS360(INDIRECT(C69&amp;ROW()),TODAY())</f>
        <v>652</v>
      </c>
      <c r="M678">
        <f ca="1">HYPERLINK(CONCATENATE("https://bugzilla.houston.hp.com:1181/bugzilla/show_bug.cgi?id=",INDIRECT(C70&amp;ROW())),INDIRECT(C70&amp;ROW()))</f>
        <v>65365</v>
      </c>
      <c r="N678">
        <v>65365</v>
      </c>
      <c r="O678" t="s">
        <v>45</v>
      </c>
      <c r="P678" t="s">
        <v>1500</v>
      </c>
      <c r="Q678" t="s">
        <v>39</v>
      </c>
      <c r="R678" t="s">
        <v>579</v>
      </c>
      <c r="S678" t="s">
        <v>552</v>
      </c>
      <c r="U678" s="6">
        <v>42195.556342592594</v>
      </c>
      <c r="V678" t="s">
        <v>18</v>
      </c>
      <c r="W678" t="s">
        <v>783</v>
      </c>
      <c r="X678" s="6">
        <v>42195.556342592594</v>
      </c>
      <c r="Y678" t="s">
        <v>255</v>
      </c>
      <c r="AB678" t="s">
        <v>201</v>
      </c>
      <c r="AC678" t="s">
        <v>247</v>
      </c>
      <c r="AD678" t="s">
        <v>227</v>
      </c>
      <c r="AE678" t="s">
        <v>226</v>
      </c>
      <c r="AG678" t="s">
        <v>121</v>
      </c>
      <c r="AH678" t="s">
        <v>327</v>
      </c>
      <c r="AI678" t="s">
        <v>121</v>
      </c>
      <c r="AJ678" t="s">
        <v>715</v>
      </c>
      <c r="AK678" t="s">
        <v>121</v>
      </c>
      <c r="AL678" t="s">
        <v>121</v>
      </c>
      <c r="AM678" t="s">
        <v>121</v>
      </c>
    </row>
    <row r="679" spans="9:39" x14ac:dyDescent="0.3">
      <c r="I679">
        <f ca="1">IF(OR(INDIRECT(A73&amp;ROW())=B93,INDIRECT(A73&amp;ROW())=B94),1,IF(AND(INDIRECT(A73&amp;ROW())=B95,INDIRECT(A96&amp;ROW())=C93),1,IF(AND(INDIRECT(A73&amp;ROW())=B95,INDIRECT(A96&amp;ROW())=C94),1,0)))</f>
        <v>1</v>
      </c>
      <c r="J679">
        <f ca="1">IF(AND(INDIRECT(A73&amp;ROW())=B95,INDIRECT(A96&amp;ROW())=C95),1,IF(AND(INDIRECT(A73&amp;ROW())=B95,INDIRECT(A96&amp;ROW())=C96),1,0))</f>
        <v>0</v>
      </c>
      <c r="K679">
        <f ca="1">DAYS360(INDIRECT(C68&amp;ROW()),TODAY())</f>
        <v>652</v>
      </c>
      <c r="L679">
        <f ca="1">DAYS360(INDIRECT(C69&amp;ROW()),TODAY())</f>
        <v>652</v>
      </c>
      <c r="M679">
        <f ca="1">HYPERLINK(CONCATENATE("https://bugzilla.houston.hp.com:1181/bugzilla/show_bug.cgi?id=",INDIRECT(C70&amp;ROW())),INDIRECT(C70&amp;ROW()))</f>
        <v>65367</v>
      </c>
      <c r="N679">
        <v>65367</v>
      </c>
      <c r="O679" t="s">
        <v>45</v>
      </c>
      <c r="P679" t="s">
        <v>1501</v>
      </c>
      <c r="Q679" t="s">
        <v>39</v>
      </c>
      <c r="R679" t="s">
        <v>248</v>
      </c>
      <c r="S679" t="s">
        <v>552</v>
      </c>
      <c r="U679" s="6">
        <v>42195.556469907409</v>
      </c>
      <c r="V679" t="s">
        <v>18</v>
      </c>
      <c r="W679" t="s">
        <v>783</v>
      </c>
      <c r="X679" s="6">
        <v>42195.556469907409</v>
      </c>
      <c r="Y679" t="s">
        <v>255</v>
      </c>
      <c r="AB679" t="s">
        <v>201</v>
      </c>
      <c r="AC679" t="s">
        <v>247</v>
      </c>
      <c r="AD679" t="s">
        <v>227</v>
      </c>
      <c r="AE679" t="s">
        <v>226</v>
      </c>
      <c r="AG679" t="s">
        <v>121</v>
      </c>
      <c r="AH679" t="s">
        <v>327</v>
      </c>
      <c r="AI679" t="s">
        <v>121</v>
      </c>
      <c r="AJ679" t="s">
        <v>715</v>
      </c>
      <c r="AK679" t="s">
        <v>121</v>
      </c>
      <c r="AL679" t="s">
        <v>121</v>
      </c>
      <c r="AM679" t="s">
        <v>121</v>
      </c>
    </row>
    <row r="680" spans="9:39" x14ac:dyDescent="0.3">
      <c r="I680">
        <f ca="1">IF(OR(INDIRECT(A73&amp;ROW())=B93,INDIRECT(A73&amp;ROW())=B94),1,IF(AND(INDIRECT(A73&amp;ROW())=B95,INDIRECT(A96&amp;ROW())=C93),1,IF(AND(INDIRECT(A73&amp;ROW())=B95,INDIRECT(A96&amp;ROW())=C94),1,0)))</f>
        <v>1</v>
      </c>
      <c r="J680">
        <f ca="1">IF(AND(INDIRECT(A73&amp;ROW())=B95,INDIRECT(A96&amp;ROW())=C95),1,IF(AND(INDIRECT(A73&amp;ROW())=B95,INDIRECT(A96&amp;ROW())=C96),1,0))</f>
        <v>0</v>
      </c>
      <c r="K680">
        <f ca="1">DAYS360(INDIRECT(C68&amp;ROW()),TODAY())</f>
        <v>622</v>
      </c>
      <c r="L680">
        <f ca="1">DAYS360(INDIRECT(C69&amp;ROW()),TODAY())</f>
        <v>650</v>
      </c>
      <c r="M680">
        <f ca="1">HYPERLINK(CONCATENATE("https://bugzilla.houston.hp.com:1181/bugzilla/show_bug.cgi?id=",INDIRECT(C70&amp;ROW())),INDIRECT(C70&amp;ROW()))</f>
        <v>65377</v>
      </c>
      <c r="N680">
        <v>65377</v>
      </c>
      <c r="O680" t="s">
        <v>164</v>
      </c>
      <c r="P680" t="s">
        <v>1502</v>
      </c>
      <c r="Q680" t="s">
        <v>39</v>
      </c>
      <c r="R680" t="s">
        <v>251</v>
      </c>
      <c r="S680" t="s">
        <v>1503</v>
      </c>
      <c r="U680" s="6">
        <v>42226.13658564815</v>
      </c>
      <c r="V680" t="s">
        <v>35</v>
      </c>
      <c r="W680" t="s">
        <v>57</v>
      </c>
      <c r="X680" s="6">
        <v>42197.910277777781</v>
      </c>
      <c r="Y680" t="s">
        <v>125</v>
      </c>
      <c r="AB680" t="s">
        <v>200</v>
      </c>
      <c r="AC680" t="s">
        <v>247</v>
      </c>
      <c r="AD680" t="s">
        <v>220</v>
      </c>
      <c r="AE680" t="s">
        <v>219</v>
      </c>
      <c r="AG680" t="s">
        <v>121</v>
      </c>
      <c r="AH680" t="s">
        <v>328</v>
      </c>
      <c r="AI680" t="s">
        <v>121</v>
      </c>
      <c r="AJ680" t="s">
        <v>715</v>
      </c>
      <c r="AK680" t="s">
        <v>121</v>
      </c>
      <c r="AL680" t="s">
        <v>121</v>
      </c>
      <c r="AM680" t="s">
        <v>121</v>
      </c>
    </row>
    <row r="681" spans="9:39" x14ac:dyDescent="0.3">
      <c r="I681">
        <f ca="1">IF(OR(INDIRECT(A73&amp;ROW())=B93,INDIRECT(A73&amp;ROW())=B94),1,IF(AND(INDIRECT(A73&amp;ROW())=B95,INDIRECT(A96&amp;ROW())=C93),1,IF(AND(INDIRECT(A73&amp;ROW())=B95,INDIRECT(A96&amp;ROW())=C94),1,0)))</f>
        <v>1</v>
      </c>
      <c r="J681">
        <f ca="1">IF(AND(INDIRECT(A73&amp;ROW())=B95,INDIRECT(A96&amp;ROW())=C95),1,IF(AND(INDIRECT(A73&amp;ROW())=B95,INDIRECT(A96&amp;ROW())=C96),1,0))</f>
        <v>0</v>
      </c>
      <c r="K681">
        <f ca="1">DAYS360(INDIRECT(C68&amp;ROW()),TODAY())</f>
        <v>618</v>
      </c>
      <c r="L681">
        <f ca="1">DAYS360(INDIRECT(C69&amp;ROW()),TODAY())</f>
        <v>649</v>
      </c>
      <c r="M681">
        <f ca="1">HYPERLINK(CONCATENATE("https://bugzilla.houston.hp.com:1181/bugzilla/show_bug.cgi?id=",INDIRECT(C70&amp;ROW())),INDIRECT(C70&amp;ROW()))</f>
        <v>65440</v>
      </c>
      <c r="N681">
        <v>65440</v>
      </c>
      <c r="O681" t="s">
        <v>59</v>
      </c>
      <c r="P681" t="s">
        <v>1504</v>
      </c>
      <c r="Q681" t="s">
        <v>25</v>
      </c>
      <c r="R681" t="s">
        <v>579</v>
      </c>
      <c r="S681" t="s">
        <v>552</v>
      </c>
      <c r="U681" s="6">
        <v>42230.269050925926</v>
      </c>
      <c r="V681" t="s">
        <v>18</v>
      </c>
      <c r="W681" t="s">
        <v>783</v>
      </c>
      <c r="X681" s="6">
        <v>42198.492291666669</v>
      </c>
      <c r="Y681" t="s">
        <v>255</v>
      </c>
      <c r="AB681" t="s">
        <v>200</v>
      </c>
      <c r="AC681" t="s">
        <v>247</v>
      </c>
      <c r="AD681" t="s">
        <v>222</v>
      </c>
      <c r="AE681" t="s">
        <v>240</v>
      </c>
      <c r="AG681" t="s">
        <v>121</v>
      </c>
      <c r="AH681" t="s">
        <v>327</v>
      </c>
      <c r="AI681" t="s">
        <v>121</v>
      </c>
      <c r="AJ681" t="s">
        <v>715</v>
      </c>
      <c r="AK681" t="s">
        <v>121</v>
      </c>
      <c r="AL681" t="s">
        <v>121</v>
      </c>
      <c r="AM681" t="s">
        <v>121</v>
      </c>
    </row>
    <row r="682" spans="9:39" x14ac:dyDescent="0.3">
      <c r="I682">
        <f ca="1">IF(OR(INDIRECT(A73&amp;ROW())=B93,INDIRECT(A73&amp;ROW())=B94),1,IF(AND(INDIRECT(A73&amp;ROW())=B95,INDIRECT(A96&amp;ROW())=C93),1,IF(AND(INDIRECT(A73&amp;ROW())=B95,INDIRECT(A96&amp;ROW())=C94),1,0)))</f>
        <v>0</v>
      </c>
      <c r="J682">
        <f ca="1">IF(AND(INDIRECT(A73&amp;ROW())=B95,INDIRECT(A96&amp;ROW())=C95),1,IF(AND(INDIRECT(A73&amp;ROW())=B95,INDIRECT(A96&amp;ROW())=C96),1,0))</f>
        <v>1</v>
      </c>
      <c r="K682">
        <f ca="1">DAYS360(INDIRECT(C68&amp;ROW()),TODAY())</f>
        <v>618</v>
      </c>
      <c r="L682">
        <f ca="1">DAYS360(INDIRECT(C69&amp;ROW()),TODAY())</f>
        <v>649</v>
      </c>
      <c r="M682">
        <f ca="1">HYPERLINK(CONCATENATE("https://bugzilla.houston.hp.com:1181/bugzilla/show_bug.cgi?id=",INDIRECT(C70&amp;ROW())),INDIRECT(C70&amp;ROW()))</f>
        <v>65441</v>
      </c>
      <c r="N682">
        <v>65441</v>
      </c>
      <c r="O682" t="s">
        <v>59</v>
      </c>
      <c r="P682" t="s">
        <v>1505</v>
      </c>
      <c r="Q682" t="s">
        <v>25</v>
      </c>
      <c r="R682" t="s">
        <v>783</v>
      </c>
      <c r="S682" t="s">
        <v>552</v>
      </c>
      <c r="U682" s="6">
        <v>42230.269085648149</v>
      </c>
      <c r="V682" t="s">
        <v>18</v>
      </c>
      <c r="W682" t="s">
        <v>783</v>
      </c>
      <c r="X682" s="6">
        <v>42198.492395833331</v>
      </c>
      <c r="Y682" t="s">
        <v>255</v>
      </c>
      <c r="AB682" t="s">
        <v>201</v>
      </c>
      <c r="AC682" t="s">
        <v>247</v>
      </c>
      <c r="AD682" t="s">
        <v>222</v>
      </c>
      <c r="AE682" t="s">
        <v>240</v>
      </c>
      <c r="AG682" t="s">
        <v>337</v>
      </c>
      <c r="AH682" t="s">
        <v>327</v>
      </c>
      <c r="AI682" t="s">
        <v>362</v>
      </c>
      <c r="AJ682" t="s">
        <v>716</v>
      </c>
      <c r="AK682" t="s">
        <v>121</v>
      </c>
      <c r="AL682" t="s">
        <v>121</v>
      </c>
      <c r="AM682" t="s">
        <v>121</v>
      </c>
    </row>
    <row r="683" spans="9:39" x14ac:dyDescent="0.3">
      <c r="I683">
        <f ca="1">IF(OR(INDIRECT(A73&amp;ROW())=B93,INDIRECT(A73&amp;ROW())=B94),1,IF(AND(INDIRECT(A73&amp;ROW())=B95,INDIRECT(A96&amp;ROW())=C93),1,IF(AND(INDIRECT(A73&amp;ROW())=B95,INDIRECT(A96&amp;ROW())=C94),1,0)))</f>
        <v>1</v>
      </c>
      <c r="J683">
        <f ca="1">IF(AND(INDIRECT(A73&amp;ROW())=B95,INDIRECT(A96&amp;ROW())=C95),1,IF(AND(INDIRECT(A73&amp;ROW())=B95,INDIRECT(A96&amp;ROW())=C96),1,0))</f>
        <v>0</v>
      </c>
      <c r="K683">
        <f ca="1">DAYS360(INDIRECT(C68&amp;ROW()),TODAY())</f>
        <v>618</v>
      </c>
      <c r="L683">
        <f ca="1">DAYS360(INDIRECT(C69&amp;ROW()),TODAY())</f>
        <v>649</v>
      </c>
      <c r="M683">
        <f ca="1">HYPERLINK(CONCATENATE("https://bugzilla.houston.hp.com:1181/bugzilla/show_bug.cgi?id=",INDIRECT(C70&amp;ROW())),INDIRECT(C70&amp;ROW()))</f>
        <v>65442</v>
      </c>
      <c r="N683">
        <v>65442</v>
      </c>
      <c r="O683" t="s">
        <v>59</v>
      </c>
      <c r="P683" t="s">
        <v>1506</v>
      </c>
      <c r="Q683" t="s">
        <v>25</v>
      </c>
      <c r="R683" t="s">
        <v>248</v>
      </c>
      <c r="S683" t="s">
        <v>552</v>
      </c>
      <c r="U683" s="6">
        <v>42230.269328703704</v>
      </c>
      <c r="V683" t="s">
        <v>18</v>
      </c>
      <c r="W683" t="s">
        <v>783</v>
      </c>
      <c r="X683" s="6">
        <v>42198.492662037039</v>
      </c>
      <c r="Y683" t="s">
        <v>255</v>
      </c>
      <c r="AB683" t="s">
        <v>200</v>
      </c>
      <c r="AC683" t="s">
        <v>247</v>
      </c>
      <c r="AD683" t="s">
        <v>222</v>
      </c>
      <c r="AE683" t="s">
        <v>240</v>
      </c>
      <c r="AG683" t="s">
        <v>121</v>
      </c>
      <c r="AH683" t="s">
        <v>327</v>
      </c>
      <c r="AI683" t="s">
        <v>121</v>
      </c>
      <c r="AJ683" t="s">
        <v>715</v>
      </c>
      <c r="AK683" t="s">
        <v>121</v>
      </c>
      <c r="AL683" t="s">
        <v>121</v>
      </c>
      <c r="AM683" t="s">
        <v>121</v>
      </c>
    </row>
    <row r="684" spans="9:39" x14ac:dyDescent="0.3">
      <c r="I684">
        <f ca="1">IF(OR(INDIRECT(A73&amp;ROW())=B93,INDIRECT(A73&amp;ROW())=B94),1,IF(AND(INDIRECT(A73&amp;ROW())=B95,INDIRECT(A96&amp;ROW())=C93),1,IF(AND(INDIRECT(A73&amp;ROW())=B95,INDIRECT(A96&amp;ROW())=C94),1,0)))</f>
        <v>0</v>
      </c>
      <c r="J684">
        <f ca="1">IF(AND(INDIRECT(A73&amp;ROW())=B95,INDIRECT(A96&amp;ROW())=C95),1,IF(AND(INDIRECT(A73&amp;ROW())=B95,INDIRECT(A96&amp;ROW())=C96),1,0))</f>
        <v>0</v>
      </c>
      <c r="K684">
        <f ca="1">DAYS360(INDIRECT(C68&amp;ROW()),TODAY())</f>
        <v>641</v>
      </c>
      <c r="L684">
        <f ca="1">DAYS360(INDIRECT(C69&amp;ROW()),TODAY())</f>
        <v>648</v>
      </c>
      <c r="M684">
        <f ca="1">HYPERLINK(CONCATENATE("https://bugzilla.houston.hp.com:1181/bugzilla/show_bug.cgi?id=",INDIRECT(C70&amp;ROW())),INDIRECT(C70&amp;ROW()))</f>
        <v>65531</v>
      </c>
      <c r="N684">
        <v>65531</v>
      </c>
      <c r="O684" t="s">
        <v>56</v>
      </c>
      <c r="P684" t="s">
        <v>1507</v>
      </c>
      <c r="Q684" t="s">
        <v>16</v>
      </c>
      <c r="R684" t="s">
        <v>251</v>
      </c>
      <c r="S684" t="s">
        <v>365</v>
      </c>
      <c r="U684" s="6">
        <v>42206.303854166668</v>
      </c>
      <c r="V684" t="s">
        <v>18</v>
      </c>
      <c r="W684" t="s">
        <v>783</v>
      </c>
      <c r="X684" s="6">
        <v>42199.629606481481</v>
      </c>
      <c r="Y684" t="s">
        <v>255</v>
      </c>
      <c r="AB684" t="s">
        <v>200</v>
      </c>
      <c r="AC684" t="s">
        <v>247</v>
      </c>
      <c r="AD684" t="s">
        <v>220</v>
      </c>
      <c r="AE684" t="s">
        <v>219</v>
      </c>
      <c r="AG684" t="s">
        <v>121</v>
      </c>
      <c r="AH684" t="s">
        <v>327</v>
      </c>
      <c r="AI684" t="s">
        <v>121</v>
      </c>
      <c r="AJ684" t="s">
        <v>716</v>
      </c>
      <c r="AK684" t="s">
        <v>121</v>
      </c>
      <c r="AL684" t="s">
        <v>121</v>
      </c>
      <c r="AM684" t="s">
        <v>121</v>
      </c>
    </row>
    <row r="685" spans="9:39" x14ac:dyDescent="0.3">
      <c r="I685">
        <f ca="1">IF(OR(INDIRECT(A73&amp;ROW())=B93,INDIRECT(A73&amp;ROW())=B94),1,IF(AND(INDIRECT(A73&amp;ROW())=B95,INDIRECT(A96&amp;ROW())=C93),1,IF(AND(INDIRECT(A73&amp;ROW())=B95,INDIRECT(A96&amp;ROW())=C94),1,0)))</f>
        <v>0</v>
      </c>
      <c r="J685">
        <f ca="1">IF(AND(INDIRECT(A73&amp;ROW())=B95,INDIRECT(A96&amp;ROW())=C95),1,IF(AND(INDIRECT(A73&amp;ROW())=B95,INDIRECT(A96&amp;ROW())=C96),1,0))</f>
        <v>0</v>
      </c>
      <c r="K685">
        <f ca="1">DAYS360(INDIRECT(C68&amp;ROW()),TODAY())</f>
        <v>641</v>
      </c>
      <c r="L685">
        <f ca="1">DAYS360(INDIRECT(C69&amp;ROW()),TODAY())</f>
        <v>648</v>
      </c>
      <c r="M685">
        <f ca="1">HYPERLINK(CONCATENATE("https://bugzilla.houston.hp.com:1181/bugzilla/show_bug.cgi?id=",INDIRECT(C70&amp;ROW())),INDIRECT(C70&amp;ROW()))</f>
        <v>65534</v>
      </c>
      <c r="N685">
        <v>65534</v>
      </c>
      <c r="O685" t="s">
        <v>56</v>
      </c>
      <c r="P685" t="s">
        <v>1508</v>
      </c>
      <c r="Q685" t="s">
        <v>16</v>
      </c>
      <c r="R685" t="s">
        <v>783</v>
      </c>
      <c r="S685" t="s">
        <v>552</v>
      </c>
      <c r="U685" s="6">
        <v>42206.304479166669</v>
      </c>
      <c r="V685" t="s">
        <v>18</v>
      </c>
      <c r="W685" t="s">
        <v>783</v>
      </c>
      <c r="X685" s="6">
        <v>42199.641504629632</v>
      </c>
      <c r="Y685" t="s">
        <v>255</v>
      </c>
      <c r="AB685" t="s">
        <v>200</v>
      </c>
      <c r="AC685" t="s">
        <v>247</v>
      </c>
      <c r="AD685" t="s">
        <v>220</v>
      </c>
      <c r="AE685" t="s">
        <v>219</v>
      </c>
      <c r="AG685" t="s">
        <v>121</v>
      </c>
      <c r="AH685" t="s">
        <v>327</v>
      </c>
      <c r="AI685" t="s">
        <v>121</v>
      </c>
      <c r="AJ685" t="s">
        <v>716</v>
      </c>
      <c r="AK685" t="s">
        <v>121</v>
      </c>
      <c r="AL685" t="s">
        <v>121</v>
      </c>
      <c r="AM685" t="s">
        <v>121</v>
      </c>
    </row>
    <row r="686" spans="9:39" x14ac:dyDescent="0.3">
      <c r="I686">
        <f ca="1">IF(OR(INDIRECT(A73&amp;ROW())=B93,INDIRECT(A73&amp;ROW())=B94),1,IF(AND(INDIRECT(A73&amp;ROW())=B95,INDIRECT(A96&amp;ROW())=C93),1,IF(AND(INDIRECT(A73&amp;ROW())=B95,INDIRECT(A96&amp;ROW())=C94),1,0)))</f>
        <v>0</v>
      </c>
      <c r="J686">
        <f ca="1">IF(AND(INDIRECT(A73&amp;ROW())=B95,INDIRECT(A96&amp;ROW())=C95),1,IF(AND(INDIRECT(A73&amp;ROW())=B95,INDIRECT(A96&amp;ROW())=C96),1,0))</f>
        <v>0</v>
      </c>
      <c r="K686">
        <f ca="1">DAYS360(INDIRECT(C68&amp;ROW()),TODAY())</f>
        <v>628</v>
      </c>
      <c r="L686">
        <f ca="1">DAYS360(INDIRECT(C69&amp;ROW()),TODAY())</f>
        <v>648</v>
      </c>
      <c r="M686">
        <f ca="1">HYPERLINK(CONCATENATE("https://bugzilla.houston.hp.com:1181/bugzilla/show_bug.cgi?id=",INDIRECT(C70&amp;ROW())),INDIRECT(C70&amp;ROW()))</f>
        <v>65535</v>
      </c>
      <c r="N686">
        <v>65535</v>
      </c>
      <c r="O686" t="s">
        <v>56</v>
      </c>
      <c r="P686" t="s">
        <v>1509</v>
      </c>
      <c r="Q686" t="s">
        <v>16</v>
      </c>
      <c r="R686" t="s">
        <v>248</v>
      </c>
      <c r="S686" t="s">
        <v>552</v>
      </c>
      <c r="U686" s="6">
        <v>42220.592013888891</v>
      </c>
      <c r="V686" t="s">
        <v>18</v>
      </c>
      <c r="W686" t="s">
        <v>783</v>
      </c>
      <c r="X686" s="6">
        <v>42199.641585648147</v>
      </c>
      <c r="Y686" t="s">
        <v>255</v>
      </c>
      <c r="AB686" t="s">
        <v>200</v>
      </c>
      <c r="AC686" t="s">
        <v>247</v>
      </c>
      <c r="AD686" t="s">
        <v>220</v>
      </c>
      <c r="AE686" t="s">
        <v>219</v>
      </c>
      <c r="AG686" t="s">
        <v>121</v>
      </c>
      <c r="AH686" t="s">
        <v>327</v>
      </c>
      <c r="AI686" t="s">
        <v>121</v>
      </c>
      <c r="AJ686" t="s">
        <v>716</v>
      </c>
      <c r="AK686" t="s">
        <v>121</v>
      </c>
      <c r="AL686" t="s">
        <v>121</v>
      </c>
      <c r="AM686" t="s">
        <v>121</v>
      </c>
    </row>
    <row r="687" spans="9:39" x14ac:dyDescent="0.3">
      <c r="I687">
        <f ca="1">IF(OR(INDIRECT(A73&amp;ROW())=B93,INDIRECT(A73&amp;ROW())=B94),1,IF(AND(INDIRECT(A73&amp;ROW())=B95,INDIRECT(A96&amp;ROW())=C93),1,IF(AND(INDIRECT(A73&amp;ROW())=B95,INDIRECT(A96&amp;ROW())=C94),1,0)))</f>
        <v>0</v>
      </c>
      <c r="J687">
        <f ca="1">IF(AND(INDIRECT(A73&amp;ROW())=B95,INDIRECT(A96&amp;ROW())=C95),1,IF(AND(INDIRECT(A73&amp;ROW())=B95,INDIRECT(A96&amp;ROW())=C96),1,0))</f>
        <v>1</v>
      </c>
      <c r="K687">
        <f ca="1">DAYS360(INDIRECT(C68&amp;ROW()),TODAY())</f>
        <v>646</v>
      </c>
      <c r="L687">
        <f ca="1">DAYS360(INDIRECT(C69&amp;ROW()),TODAY())</f>
        <v>647</v>
      </c>
      <c r="M687">
        <f ca="1">HYPERLINK(CONCATENATE("https://bugzilla.houston.hp.com:1181/bugzilla/show_bug.cgi?id=",INDIRECT(C70&amp;ROW())),INDIRECT(C70&amp;ROW()))</f>
        <v>65593</v>
      </c>
      <c r="N687">
        <v>65593</v>
      </c>
      <c r="O687" t="s">
        <v>22</v>
      </c>
      <c r="P687" t="s">
        <v>1510</v>
      </c>
      <c r="Q687" t="s">
        <v>25</v>
      </c>
      <c r="R687" t="s">
        <v>251</v>
      </c>
      <c r="S687" t="s">
        <v>1357</v>
      </c>
      <c r="U687" s="6">
        <v>42201.366261574076</v>
      </c>
      <c r="V687" t="s">
        <v>18</v>
      </c>
      <c r="W687" t="s">
        <v>783</v>
      </c>
      <c r="X687" s="6">
        <v>42200.543206018519</v>
      </c>
      <c r="Y687" t="s">
        <v>246</v>
      </c>
      <c r="AB687" t="s">
        <v>201</v>
      </c>
      <c r="AC687" t="s">
        <v>247</v>
      </c>
      <c r="AD687" t="s">
        <v>222</v>
      </c>
      <c r="AE687" t="s">
        <v>221</v>
      </c>
      <c r="AG687" t="s">
        <v>121</v>
      </c>
      <c r="AH687" t="s">
        <v>327</v>
      </c>
      <c r="AI687" t="s">
        <v>121</v>
      </c>
      <c r="AJ687" t="s">
        <v>716</v>
      </c>
      <c r="AK687" t="s">
        <v>121</v>
      </c>
      <c r="AL687" t="s">
        <v>121</v>
      </c>
      <c r="AM687" t="s">
        <v>121</v>
      </c>
    </row>
    <row r="688" spans="9:39" x14ac:dyDescent="0.3">
      <c r="I688">
        <f ca="1">IF(OR(INDIRECT(A73&amp;ROW())=B93,INDIRECT(A73&amp;ROW())=B94),1,IF(AND(INDIRECT(A73&amp;ROW())=B95,INDIRECT(A96&amp;ROW())=C93),1,IF(AND(INDIRECT(A73&amp;ROW())=B95,INDIRECT(A96&amp;ROW())=C94),1,0)))</f>
        <v>0</v>
      </c>
      <c r="J688">
        <f ca="1">IF(AND(INDIRECT(A73&amp;ROW())=B95,INDIRECT(A96&amp;ROW())=C95),1,IF(AND(INDIRECT(A73&amp;ROW())=B95,INDIRECT(A96&amp;ROW())=C96),1,0))</f>
        <v>1</v>
      </c>
      <c r="K688">
        <f ca="1">DAYS360(INDIRECT(C68&amp;ROW()),TODAY())</f>
        <v>646</v>
      </c>
      <c r="L688">
        <f ca="1">DAYS360(INDIRECT(C69&amp;ROW()),TODAY())</f>
        <v>646</v>
      </c>
      <c r="M688">
        <f ca="1">HYPERLINK(CONCATENATE("https://bugzilla.houston.hp.com:1181/bugzilla/show_bug.cgi?id=",INDIRECT(C70&amp;ROW())),INDIRECT(C70&amp;ROW()))</f>
        <v>65644</v>
      </c>
      <c r="N688">
        <v>65644</v>
      </c>
      <c r="O688" t="s">
        <v>22</v>
      </c>
      <c r="P688" t="s">
        <v>1511</v>
      </c>
      <c r="Q688" t="s">
        <v>25</v>
      </c>
      <c r="R688" t="s">
        <v>1389</v>
      </c>
      <c r="S688" t="s">
        <v>552</v>
      </c>
      <c r="U688" s="6">
        <v>42201.365856481483</v>
      </c>
      <c r="V688" t="s">
        <v>18</v>
      </c>
      <c r="W688" t="s">
        <v>783</v>
      </c>
      <c r="X688" s="6">
        <v>42201.365856481483</v>
      </c>
      <c r="Y688" t="s">
        <v>246</v>
      </c>
      <c r="AB688" t="s">
        <v>201</v>
      </c>
      <c r="AC688" t="s">
        <v>247</v>
      </c>
      <c r="AD688" t="s">
        <v>222</v>
      </c>
      <c r="AE688" t="s">
        <v>221</v>
      </c>
      <c r="AG688" t="s">
        <v>121</v>
      </c>
      <c r="AH688" t="s">
        <v>327</v>
      </c>
      <c r="AI688" t="s">
        <v>121</v>
      </c>
      <c r="AJ688" t="s">
        <v>716</v>
      </c>
      <c r="AK688" t="s">
        <v>121</v>
      </c>
      <c r="AL688" t="s">
        <v>121</v>
      </c>
      <c r="AM688" t="s">
        <v>121</v>
      </c>
    </row>
    <row r="689" spans="9:39" x14ac:dyDescent="0.3">
      <c r="I689">
        <f ca="1">IF(OR(INDIRECT(A73&amp;ROW())=B93,INDIRECT(A73&amp;ROW())=B94),1,IF(AND(INDIRECT(A73&amp;ROW())=B95,INDIRECT(A96&amp;ROW())=C93),1,IF(AND(INDIRECT(A73&amp;ROW())=B95,INDIRECT(A96&amp;ROW())=C94),1,0)))</f>
        <v>0</v>
      </c>
      <c r="J689">
        <f ca="1">IF(AND(INDIRECT(A73&amp;ROW())=B95,INDIRECT(A96&amp;ROW())=C95),1,IF(AND(INDIRECT(A73&amp;ROW())=B95,INDIRECT(A96&amp;ROW())=C96),1,0))</f>
        <v>1</v>
      </c>
      <c r="K689">
        <f ca="1">DAYS360(INDIRECT(C68&amp;ROW()),TODAY())</f>
        <v>646</v>
      </c>
      <c r="L689">
        <f ca="1">DAYS360(INDIRECT(C69&amp;ROW()),TODAY())</f>
        <v>646</v>
      </c>
      <c r="M689">
        <f ca="1">HYPERLINK(CONCATENATE("https://bugzilla.houston.hp.com:1181/bugzilla/show_bug.cgi?id=",INDIRECT(C70&amp;ROW())),INDIRECT(C70&amp;ROW()))</f>
        <v>65645</v>
      </c>
      <c r="N689">
        <v>65645</v>
      </c>
      <c r="O689" t="s">
        <v>22</v>
      </c>
      <c r="P689" t="s">
        <v>1512</v>
      </c>
      <c r="Q689" t="s">
        <v>25</v>
      </c>
      <c r="R689" t="s">
        <v>579</v>
      </c>
      <c r="S689" t="s">
        <v>552</v>
      </c>
      <c r="U689" s="6">
        <v>42201.365925925929</v>
      </c>
      <c r="V689" t="s">
        <v>18</v>
      </c>
      <c r="W689" t="s">
        <v>783</v>
      </c>
      <c r="X689" s="6">
        <v>42201.365925925929</v>
      </c>
      <c r="Y689" t="s">
        <v>246</v>
      </c>
      <c r="AB689" t="s">
        <v>201</v>
      </c>
      <c r="AC689" t="s">
        <v>247</v>
      </c>
      <c r="AD689" t="s">
        <v>222</v>
      </c>
      <c r="AE689" t="s">
        <v>221</v>
      </c>
      <c r="AG689" t="s">
        <v>121</v>
      </c>
      <c r="AH689" t="s">
        <v>327</v>
      </c>
      <c r="AI689" t="s">
        <v>121</v>
      </c>
      <c r="AJ689" t="s">
        <v>716</v>
      </c>
      <c r="AK689" t="s">
        <v>121</v>
      </c>
      <c r="AL689" t="s">
        <v>121</v>
      </c>
      <c r="AM689" t="s">
        <v>121</v>
      </c>
    </row>
    <row r="690" spans="9:39" x14ac:dyDescent="0.3">
      <c r="I690">
        <f ca="1">IF(OR(INDIRECT(A73&amp;ROW())=B93,INDIRECT(A73&amp;ROW())=B94),1,IF(AND(INDIRECT(A73&amp;ROW())=B95,INDIRECT(A96&amp;ROW())=C93),1,IF(AND(INDIRECT(A73&amp;ROW())=B95,INDIRECT(A96&amp;ROW())=C94),1,0)))</f>
        <v>0</v>
      </c>
      <c r="J690">
        <f ca="1">IF(AND(INDIRECT(A73&amp;ROW())=B95,INDIRECT(A96&amp;ROW())=C95),1,IF(AND(INDIRECT(A73&amp;ROW())=B95,INDIRECT(A96&amp;ROW())=C96),1,0))</f>
        <v>1</v>
      </c>
      <c r="K690">
        <f ca="1">DAYS360(INDIRECT(C68&amp;ROW()),TODAY())</f>
        <v>646</v>
      </c>
      <c r="L690">
        <f ca="1">DAYS360(INDIRECT(C69&amp;ROW()),TODAY())</f>
        <v>646</v>
      </c>
      <c r="M690">
        <f ca="1">HYPERLINK(CONCATENATE("https://bugzilla.houston.hp.com:1181/bugzilla/show_bug.cgi?id=",INDIRECT(C70&amp;ROW())),INDIRECT(C70&amp;ROW()))</f>
        <v>65646</v>
      </c>
      <c r="N690">
        <v>65646</v>
      </c>
      <c r="O690" t="s">
        <v>22</v>
      </c>
      <c r="P690" t="s">
        <v>1513</v>
      </c>
      <c r="Q690" t="s">
        <v>25</v>
      </c>
      <c r="R690" t="s">
        <v>783</v>
      </c>
      <c r="S690" t="s">
        <v>552</v>
      </c>
      <c r="U690" s="6">
        <v>42201.365995370368</v>
      </c>
      <c r="V690" t="s">
        <v>18</v>
      </c>
      <c r="W690" t="s">
        <v>783</v>
      </c>
      <c r="X690" s="6">
        <v>42201.365995370368</v>
      </c>
      <c r="Y690" t="s">
        <v>246</v>
      </c>
      <c r="AB690" t="s">
        <v>201</v>
      </c>
      <c r="AC690" t="s">
        <v>247</v>
      </c>
      <c r="AD690" t="s">
        <v>222</v>
      </c>
      <c r="AE690" t="s">
        <v>221</v>
      </c>
      <c r="AG690" t="s">
        <v>121</v>
      </c>
      <c r="AH690" t="s">
        <v>327</v>
      </c>
      <c r="AI690" t="s">
        <v>121</v>
      </c>
      <c r="AJ690" t="s">
        <v>716</v>
      </c>
      <c r="AK690" t="s">
        <v>121</v>
      </c>
      <c r="AL690" t="s">
        <v>121</v>
      </c>
      <c r="AM690" t="s">
        <v>121</v>
      </c>
    </row>
    <row r="691" spans="9:39" x14ac:dyDescent="0.3">
      <c r="I691">
        <f ca="1">IF(OR(INDIRECT(A73&amp;ROW())=B93,INDIRECT(A73&amp;ROW())=B94),1,IF(AND(INDIRECT(A73&amp;ROW())=B95,INDIRECT(A96&amp;ROW())=C93),1,IF(AND(INDIRECT(A73&amp;ROW())=B95,INDIRECT(A96&amp;ROW())=C94),1,0)))</f>
        <v>0</v>
      </c>
      <c r="J691">
        <f ca="1">IF(AND(INDIRECT(A73&amp;ROW())=B95,INDIRECT(A96&amp;ROW())=C95),1,IF(AND(INDIRECT(A73&amp;ROW())=B95,INDIRECT(A96&amp;ROW())=C96),1,0))</f>
        <v>1</v>
      </c>
      <c r="K691">
        <f ca="1">DAYS360(INDIRECT(C68&amp;ROW()),TODAY())</f>
        <v>646</v>
      </c>
      <c r="L691">
        <f ca="1">DAYS360(INDIRECT(C69&amp;ROW()),TODAY())</f>
        <v>646</v>
      </c>
      <c r="M691">
        <f ca="1">HYPERLINK(CONCATENATE("https://bugzilla.houston.hp.com:1181/bugzilla/show_bug.cgi?id=",INDIRECT(C70&amp;ROW())),INDIRECT(C70&amp;ROW()))</f>
        <v>65647</v>
      </c>
      <c r="N691">
        <v>65647</v>
      </c>
      <c r="O691" t="s">
        <v>22</v>
      </c>
      <c r="P691" t="s">
        <v>1514</v>
      </c>
      <c r="Q691" t="s">
        <v>25</v>
      </c>
      <c r="R691" t="s">
        <v>248</v>
      </c>
      <c r="S691" t="s">
        <v>552</v>
      </c>
      <c r="U691" s="6">
        <v>42201.366064814814</v>
      </c>
      <c r="V691" t="s">
        <v>18</v>
      </c>
      <c r="W691" t="s">
        <v>783</v>
      </c>
      <c r="X691" s="6">
        <v>42201.366064814814</v>
      </c>
      <c r="Y691" t="s">
        <v>246</v>
      </c>
      <c r="AB691" t="s">
        <v>201</v>
      </c>
      <c r="AC691" t="s">
        <v>247</v>
      </c>
      <c r="AD691" t="s">
        <v>222</v>
      </c>
      <c r="AE691" t="s">
        <v>221</v>
      </c>
      <c r="AG691" t="s">
        <v>121</v>
      </c>
      <c r="AH691" t="s">
        <v>327</v>
      </c>
      <c r="AI691" t="s">
        <v>121</v>
      </c>
      <c r="AJ691" t="s">
        <v>716</v>
      </c>
      <c r="AK691" t="s">
        <v>121</v>
      </c>
      <c r="AL691" t="s">
        <v>121</v>
      </c>
      <c r="AM691" t="s">
        <v>121</v>
      </c>
    </row>
    <row r="692" spans="9:39" x14ac:dyDescent="0.3">
      <c r="I692">
        <f ca="1">IF(OR(INDIRECT(A73&amp;ROW())=B93,INDIRECT(A73&amp;ROW())=B94),1,IF(AND(INDIRECT(A73&amp;ROW())=B95,INDIRECT(A96&amp;ROW())=C93),1,IF(AND(INDIRECT(A73&amp;ROW())=B95,INDIRECT(A96&amp;ROW())=C94),1,0)))</f>
        <v>0</v>
      </c>
      <c r="J692">
        <f ca="1">IF(AND(INDIRECT(A73&amp;ROW())=B95,INDIRECT(A96&amp;ROW())=C95),1,IF(AND(INDIRECT(A73&amp;ROW())=B95,INDIRECT(A96&amp;ROW())=C96),1,0))</f>
        <v>1</v>
      </c>
      <c r="K692">
        <f ca="1">DAYS360(INDIRECT(C68&amp;ROW()),TODAY())</f>
        <v>646</v>
      </c>
      <c r="L692">
        <f ca="1">DAYS360(INDIRECT(C69&amp;ROW()),TODAY())</f>
        <v>646</v>
      </c>
      <c r="M692">
        <f ca="1">HYPERLINK(CONCATENATE("https://bugzilla.houston.hp.com:1181/bugzilla/show_bug.cgi?id=",INDIRECT(C70&amp;ROW())),INDIRECT(C70&amp;ROW()))</f>
        <v>65648</v>
      </c>
      <c r="N692">
        <v>65648</v>
      </c>
      <c r="O692" t="s">
        <v>22</v>
      </c>
      <c r="P692" t="s">
        <v>1515</v>
      </c>
      <c r="Q692" t="s">
        <v>25</v>
      </c>
      <c r="R692" t="s">
        <v>1375</v>
      </c>
      <c r="S692" t="s">
        <v>552</v>
      </c>
      <c r="U692" s="6">
        <v>42201.36613425926</v>
      </c>
      <c r="V692" t="s">
        <v>18</v>
      </c>
      <c r="W692" t="s">
        <v>783</v>
      </c>
      <c r="X692" s="6">
        <v>42201.36613425926</v>
      </c>
      <c r="Y692" t="s">
        <v>246</v>
      </c>
      <c r="AB692" t="s">
        <v>201</v>
      </c>
      <c r="AC692" t="s">
        <v>247</v>
      </c>
      <c r="AD692" t="s">
        <v>222</v>
      </c>
      <c r="AE692" t="s">
        <v>221</v>
      </c>
      <c r="AG692" t="s">
        <v>121</v>
      </c>
      <c r="AH692" t="s">
        <v>327</v>
      </c>
      <c r="AI692" t="s">
        <v>121</v>
      </c>
      <c r="AJ692" t="s">
        <v>716</v>
      </c>
      <c r="AK692" t="s">
        <v>121</v>
      </c>
      <c r="AL692" t="s">
        <v>121</v>
      </c>
      <c r="AM692" t="s">
        <v>121</v>
      </c>
    </row>
    <row r="693" spans="9:39" x14ac:dyDescent="0.3">
      <c r="I693">
        <f ca="1">IF(OR(INDIRECT(A73&amp;ROW())=B93,INDIRECT(A73&amp;ROW())=B94),1,IF(AND(INDIRECT(A73&amp;ROW())=B95,INDIRECT(A96&amp;ROW())=C93),1,IF(AND(INDIRECT(A73&amp;ROW())=B95,INDIRECT(A96&amp;ROW())=C94),1,0)))</f>
        <v>0</v>
      </c>
      <c r="J693">
        <f ca="1">IF(AND(INDIRECT(A73&amp;ROW())=B95,INDIRECT(A96&amp;ROW())=C95),1,IF(AND(INDIRECT(A73&amp;ROW())=B95,INDIRECT(A96&amp;ROW())=C96),1,0))</f>
        <v>1</v>
      </c>
      <c r="K693">
        <f ca="1">DAYS360(INDIRECT(C68&amp;ROW()),TODAY())</f>
        <v>620</v>
      </c>
      <c r="L693">
        <f ca="1">DAYS360(INDIRECT(C69&amp;ROW()),TODAY())</f>
        <v>646</v>
      </c>
      <c r="M693">
        <f ca="1">HYPERLINK(CONCATENATE("https://bugzilla.houston.hp.com:1181/bugzilla/show_bug.cgi?id=",INDIRECT(C70&amp;ROW())),INDIRECT(C70&amp;ROW()))</f>
        <v>65649</v>
      </c>
      <c r="N693">
        <v>65649</v>
      </c>
      <c r="O693" t="s">
        <v>22</v>
      </c>
      <c r="P693" t="s">
        <v>1516</v>
      </c>
      <c r="Q693" t="s">
        <v>25</v>
      </c>
      <c r="R693" t="s">
        <v>1439</v>
      </c>
      <c r="S693" t="s">
        <v>552</v>
      </c>
      <c r="U693" s="6">
        <v>42228.967222222222</v>
      </c>
      <c r="V693" t="s">
        <v>18</v>
      </c>
      <c r="W693" t="s">
        <v>783</v>
      </c>
      <c r="X693" s="6">
        <v>42201.36619212963</v>
      </c>
      <c r="Y693" t="s">
        <v>246</v>
      </c>
      <c r="AB693" t="s">
        <v>201</v>
      </c>
      <c r="AC693" t="s">
        <v>247</v>
      </c>
      <c r="AD693" t="s">
        <v>222</v>
      </c>
      <c r="AE693" t="s">
        <v>221</v>
      </c>
      <c r="AG693" t="s">
        <v>121</v>
      </c>
      <c r="AH693" t="s">
        <v>327</v>
      </c>
      <c r="AI693" t="s">
        <v>121</v>
      </c>
      <c r="AJ693" t="s">
        <v>716</v>
      </c>
      <c r="AK693" t="s">
        <v>121</v>
      </c>
      <c r="AL693" t="s">
        <v>121</v>
      </c>
      <c r="AM693" t="s">
        <v>121</v>
      </c>
    </row>
    <row r="694" spans="9:39" x14ac:dyDescent="0.3">
      <c r="I694">
        <f ca="1">IF(OR(INDIRECT(A73&amp;ROW())=B93,INDIRECT(A73&amp;ROW())=B94),1,IF(AND(INDIRECT(A73&amp;ROW())=B95,INDIRECT(A96&amp;ROW())=C93),1,IF(AND(INDIRECT(A73&amp;ROW())=B95,INDIRECT(A96&amp;ROW())=C94),1,0)))</f>
        <v>0</v>
      </c>
      <c r="J694">
        <f ca="1">IF(AND(INDIRECT(A73&amp;ROW())=B95,INDIRECT(A96&amp;ROW())=C95),1,IF(AND(INDIRECT(A73&amp;ROW())=B95,INDIRECT(A96&amp;ROW())=C96),1,0))</f>
        <v>1</v>
      </c>
      <c r="K694">
        <f ca="1">DAYS360(INDIRECT(C68&amp;ROW()),TODAY())</f>
        <v>620</v>
      </c>
      <c r="L694">
        <f ca="1">DAYS360(INDIRECT(C69&amp;ROW()),TODAY())</f>
        <v>646</v>
      </c>
      <c r="M694">
        <f ca="1">HYPERLINK(CONCATENATE("https://bugzilla.houston.hp.com:1181/bugzilla/show_bug.cgi?id=",INDIRECT(C70&amp;ROW())),INDIRECT(C70&amp;ROW()))</f>
        <v>65650</v>
      </c>
      <c r="N694">
        <v>65650</v>
      </c>
      <c r="O694" t="s">
        <v>22</v>
      </c>
      <c r="P694" t="s">
        <v>1517</v>
      </c>
      <c r="Q694" t="s">
        <v>25</v>
      </c>
      <c r="R694" t="s">
        <v>1425</v>
      </c>
      <c r="S694" t="s">
        <v>552</v>
      </c>
      <c r="U694" s="6">
        <v>42228.528761574074</v>
      </c>
      <c r="V694" t="s">
        <v>18</v>
      </c>
      <c r="W694" t="s">
        <v>783</v>
      </c>
      <c r="X694" s="6">
        <v>42201.366261574076</v>
      </c>
      <c r="Y694" t="s">
        <v>246</v>
      </c>
      <c r="AB694" t="s">
        <v>201</v>
      </c>
      <c r="AC694" t="s">
        <v>247</v>
      </c>
      <c r="AD694" t="s">
        <v>222</v>
      </c>
      <c r="AE694" t="s">
        <v>221</v>
      </c>
      <c r="AG694" t="s">
        <v>121</v>
      </c>
      <c r="AH694" t="s">
        <v>327</v>
      </c>
      <c r="AI694" t="s">
        <v>121</v>
      </c>
      <c r="AJ694" t="s">
        <v>716</v>
      </c>
      <c r="AK694" t="s">
        <v>121</v>
      </c>
      <c r="AL694" t="s">
        <v>121</v>
      </c>
      <c r="AM694" t="s">
        <v>121</v>
      </c>
    </row>
    <row r="695" spans="9:39" x14ac:dyDescent="0.3">
      <c r="I695">
        <f ca="1">IF(OR(INDIRECT($A$73&amp;ROW())=$B$93,INDIRECT($A$73&amp;ROW())=$B$94),1,IF(AND(INDIRECT($A$73&amp;ROW())=$B$95,INDIRECT($A$96&amp;ROW())=$C$93),1,IF(AND(INDIRECT($A$73&amp;ROW())=$B$95,INDIRECT($A$96&amp;ROW())=$C$94),1,0)))</f>
        <v>0</v>
      </c>
      <c r="J695">
        <f ca="1">IF(AND(INDIRECT($A$73&amp;ROW())=$B$95,INDIRECT($A$96&amp;ROW())=$C$95),1,IF(AND(INDIRECT($A$73&amp;ROW())=$B$95,INDIRECT($A$96&amp;ROW())=$C$96),1,0))</f>
        <v>0</v>
      </c>
      <c r="K695">
        <f ca="1">DAYS360(INDIRECT($C$68&amp;ROW()),TODAY())</f>
        <v>632</v>
      </c>
      <c r="L695">
        <f ca="1">DAYS360(INDIRECT($C$69&amp;ROW()),TODAY())</f>
        <v>645</v>
      </c>
      <c r="M695" s="11">
        <f ca="1">HYPERLINK(CONCATENATE("https://bugzilla.houston.hp.com:1181/bugzilla/show_bug.cgi?id=",INDIRECT($C$70&amp;ROW())),INDIRECT($C$70&amp;ROW()))</f>
        <v>65711</v>
      </c>
      <c r="N695">
        <v>65711</v>
      </c>
      <c r="O695" t="s">
        <v>56</v>
      </c>
      <c r="P695" t="s">
        <v>1518</v>
      </c>
      <c r="Q695" t="s">
        <v>16</v>
      </c>
      <c r="R695" t="s">
        <v>251</v>
      </c>
      <c r="S695" t="s">
        <v>24</v>
      </c>
      <c r="U695" s="6">
        <v>42216.543020833335</v>
      </c>
      <c r="V695" t="s">
        <v>18</v>
      </c>
      <c r="W695" t="s">
        <v>783</v>
      </c>
      <c r="X695" s="6">
        <v>42202.555277777778</v>
      </c>
      <c r="Y695" t="s">
        <v>255</v>
      </c>
      <c r="AB695" t="s">
        <v>200</v>
      </c>
      <c r="AC695" t="s">
        <v>247</v>
      </c>
      <c r="AD695" t="s">
        <v>220</v>
      </c>
      <c r="AE695" t="s">
        <v>219</v>
      </c>
      <c r="AG695" t="s">
        <v>121</v>
      </c>
      <c r="AH695" t="s">
        <v>327</v>
      </c>
      <c r="AI695" t="s">
        <v>121</v>
      </c>
      <c r="AJ695" t="s">
        <v>716</v>
      </c>
      <c r="AK695" t="s">
        <v>121</v>
      </c>
      <c r="AL695" t="s">
        <v>121</v>
      </c>
      <c r="AM695" t="s">
        <v>121</v>
      </c>
    </row>
    <row r="696" spans="9:39" x14ac:dyDescent="0.3">
      <c r="I696">
        <f t="shared" ref="I696:I759" ca="1" si="2">IF(OR(INDIRECT($A$73&amp;ROW())=$B$93,INDIRECT($A$73&amp;ROW())=$B$94),1,IF(AND(INDIRECT($A$73&amp;ROW())=$B$95,INDIRECT($A$96&amp;ROW())=$C$93),1,IF(AND(INDIRECT($A$73&amp;ROW())=$B$95,INDIRECT($A$96&amp;ROW())=$C$94),1,0)))</f>
        <v>1</v>
      </c>
      <c r="J696">
        <f t="shared" ref="J696:J759" ca="1" si="3">IF(AND(INDIRECT($A$73&amp;ROW())=$B$95,INDIRECT($A$96&amp;ROW())=$C$95),1,IF(AND(INDIRECT($A$73&amp;ROW())=$B$95,INDIRECT($A$96&amp;ROW())=$C$96),1,0))</f>
        <v>0</v>
      </c>
      <c r="K696">
        <f t="shared" ref="K696:K759" ca="1" si="4">DAYS360(INDIRECT($C$68&amp;ROW()),TODAY())</f>
        <v>642</v>
      </c>
      <c r="L696">
        <f t="shared" ref="L696:L759" ca="1" si="5">DAYS360(INDIRECT($C$69&amp;ROW()),TODAY())</f>
        <v>642</v>
      </c>
      <c r="M696" s="11">
        <f t="shared" ref="M696:M759" ca="1" si="6">HYPERLINK(CONCATENATE("https://bugzilla.houston.hp.com:1181/bugzilla/show_bug.cgi?id=",INDIRECT($C$70&amp;ROW())),INDIRECT($C$70&amp;ROW()))</f>
        <v>65758</v>
      </c>
      <c r="N696">
        <v>65758</v>
      </c>
      <c r="O696" t="s">
        <v>164</v>
      </c>
      <c r="P696" t="s">
        <v>1519</v>
      </c>
      <c r="Q696" t="s">
        <v>25</v>
      </c>
      <c r="R696" t="s">
        <v>1389</v>
      </c>
      <c r="S696" t="s">
        <v>552</v>
      </c>
      <c r="U696" s="6">
        <v>42205.325462962966</v>
      </c>
      <c r="V696" t="s">
        <v>18</v>
      </c>
      <c r="W696" t="s">
        <v>57</v>
      </c>
      <c r="X696" s="6">
        <v>42205.325462962966</v>
      </c>
      <c r="Y696" t="s">
        <v>125</v>
      </c>
      <c r="AB696" t="s">
        <v>200</v>
      </c>
      <c r="AC696" t="s">
        <v>247</v>
      </c>
      <c r="AD696" t="s">
        <v>220</v>
      </c>
      <c r="AE696" t="s">
        <v>219</v>
      </c>
      <c r="AG696" t="s">
        <v>121</v>
      </c>
      <c r="AH696" t="s">
        <v>328</v>
      </c>
      <c r="AI696" t="s">
        <v>121</v>
      </c>
      <c r="AJ696" t="s">
        <v>715</v>
      </c>
      <c r="AK696" t="s">
        <v>121</v>
      </c>
      <c r="AL696" t="s">
        <v>121</v>
      </c>
      <c r="AM696" t="s">
        <v>121</v>
      </c>
    </row>
    <row r="697" spans="9:39" x14ac:dyDescent="0.3">
      <c r="I697">
        <f t="shared" ca="1" si="2"/>
        <v>1</v>
      </c>
      <c r="J697">
        <f t="shared" ca="1" si="3"/>
        <v>0</v>
      </c>
      <c r="K697">
        <f t="shared" ca="1" si="4"/>
        <v>642</v>
      </c>
      <c r="L697">
        <f t="shared" ca="1" si="5"/>
        <v>642</v>
      </c>
      <c r="M697" s="11">
        <f t="shared" ca="1" si="6"/>
        <v>65759</v>
      </c>
      <c r="N697">
        <v>65759</v>
      </c>
      <c r="O697" t="s">
        <v>164</v>
      </c>
      <c r="P697" t="s">
        <v>1520</v>
      </c>
      <c r="Q697" t="s">
        <v>25</v>
      </c>
      <c r="R697" t="s">
        <v>1375</v>
      </c>
      <c r="S697" t="s">
        <v>552</v>
      </c>
      <c r="U697" s="6">
        <v>42205.325590277775</v>
      </c>
      <c r="V697" t="s">
        <v>18</v>
      </c>
      <c r="W697" t="s">
        <v>57</v>
      </c>
      <c r="X697" s="6">
        <v>42205.325590277775</v>
      </c>
      <c r="Y697" t="s">
        <v>125</v>
      </c>
      <c r="AB697" t="s">
        <v>200</v>
      </c>
      <c r="AC697" t="s">
        <v>247</v>
      </c>
      <c r="AD697" t="s">
        <v>220</v>
      </c>
      <c r="AE697" t="s">
        <v>219</v>
      </c>
      <c r="AG697" t="s">
        <v>121</v>
      </c>
      <c r="AH697" t="s">
        <v>328</v>
      </c>
      <c r="AI697" t="s">
        <v>121</v>
      </c>
      <c r="AJ697" t="s">
        <v>715</v>
      </c>
      <c r="AK697" t="s">
        <v>121</v>
      </c>
      <c r="AL697" t="s">
        <v>121</v>
      </c>
      <c r="AM697" t="s">
        <v>121</v>
      </c>
    </row>
    <row r="698" spans="9:39" x14ac:dyDescent="0.3">
      <c r="I698">
        <f t="shared" ca="1" si="2"/>
        <v>0</v>
      </c>
      <c r="J698">
        <f t="shared" ca="1" si="3"/>
        <v>1</v>
      </c>
      <c r="K698">
        <f t="shared" ca="1" si="4"/>
        <v>620</v>
      </c>
      <c r="L698">
        <f t="shared" ca="1" si="5"/>
        <v>642</v>
      </c>
      <c r="M698" s="11">
        <f t="shared" ca="1" si="6"/>
        <v>65760</v>
      </c>
      <c r="N698">
        <v>65760</v>
      </c>
      <c r="O698" t="s">
        <v>164</v>
      </c>
      <c r="P698" t="s">
        <v>1521</v>
      </c>
      <c r="Q698" t="s">
        <v>25</v>
      </c>
      <c r="R698" t="s">
        <v>1439</v>
      </c>
      <c r="S698" t="s">
        <v>552</v>
      </c>
      <c r="U698" s="6">
        <v>42228.964328703703</v>
      </c>
      <c r="V698" t="s">
        <v>18</v>
      </c>
      <c r="W698" t="s">
        <v>57</v>
      </c>
      <c r="X698" s="6">
        <v>42205.325706018521</v>
      </c>
      <c r="Y698" t="s">
        <v>125</v>
      </c>
      <c r="AB698" t="s">
        <v>201</v>
      </c>
      <c r="AC698" t="s">
        <v>247</v>
      </c>
      <c r="AD698" t="s">
        <v>220</v>
      </c>
      <c r="AE698" t="s">
        <v>219</v>
      </c>
      <c r="AG698" t="s">
        <v>121</v>
      </c>
      <c r="AH698" t="s">
        <v>328</v>
      </c>
      <c r="AI698" t="s">
        <v>121</v>
      </c>
      <c r="AJ698" t="s">
        <v>716</v>
      </c>
      <c r="AK698" t="s">
        <v>121</v>
      </c>
      <c r="AL698" t="s">
        <v>121</v>
      </c>
      <c r="AM698" t="s">
        <v>121</v>
      </c>
    </row>
    <row r="699" spans="9:39" x14ac:dyDescent="0.3">
      <c r="I699">
        <f t="shared" ca="1" si="2"/>
        <v>0</v>
      </c>
      <c r="J699">
        <f t="shared" ca="1" si="3"/>
        <v>1</v>
      </c>
      <c r="K699">
        <f t="shared" ca="1" si="4"/>
        <v>620</v>
      </c>
      <c r="L699">
        <f t="shared" ca="1" si="5"/>
        <v>642</v>
      </c>
      <c r="M699" s="11">
        <f t="shared" ca="1" si="6"/>
        <v>65761</v>
      </c>
      <c r="N699">
        <v>65761</v>
      </c>
      <c r="O699" t="s">
        <v>164</v>
      </c>
      <c r="P699" t="s">
        <v>1522</v>
      </c>
      <c r="Q699" t="s">
        <v>25</v>
      </c>
      <c r="R699" t="s">
        <v>1425</v>
      </c>
      <c r="S699" t="s">
        <v>552</v>
      </c>
      <c r="U699" s="6">
        <v>42228.45952546296</v>
      </c>
      <c r="V699" t="s">
        <v>18</v>
      </c>
      <c r="W699" t="s">
        <v>57</v>
      </c>
      <c r="X699" s="6">
        <v>42205.325810185182</v>
      </c>
      <c r="Y699" t="s">
        <v>125</v>
      </c>
      <c r="AB699" t="s">
        <v>201</v>
      </c>
      <c r="AC699" t="s">
        <v>247</v>
      </c>
      <c r="AD699" t="s">
        <v>220</v>
      </c>
      <c r="AE699" t="s">
        <v>219</v>
      </c>
      <c r="AG699" t="s">
        <v>121</v>
      </c>
      <c r="AH699" t="s">
        <v>328</v>
      </c>
      <c r="AI699" t="s">
        <v>121</v>
      </c>
      <c r="AJ699" t="s">
        <v>716</v>
      </c>
      <c r="AK699" t="s">
        <v>121</v>
      </c>
      <c r="AL699" t="s">
        <v>121</v>
      </c>
      <c r="AM699" t="s">
        <v>121</v>
      </c>
    </row>
    <row r="700" spans="9:39" x14ac:dyDescent="0.3">
      <c r="I700">
        <f t="shared" ca="1" si="2"/>
        <v>0</v>
      </c>
      <c r="J700">
        <f t="shared" ca="1" si="3"/>
        <v>0</v>
      </c>
      <c r="K700">
        <f t="shared" ca="1" si="4"/>
        <v>642</v>
      </c>
      <c r="L700">
        <f t="shared" ca="1" si="5"/>
        <v>642</v>
      </c>
      <c r="M700" s="11">
        <f t="shared" ca="1" si="6"/>
        <v>65768</v>
      </c>
      <c r="N700">
        <v>65768</v>
      </c>
      <c r="O700" t="s">
        <v>56</v>
      </c>
      <c r="P700" t="s">
        <v>1523</v>
      </c>
      <c r="Q700" t="s">
        <v>16</v>
      </c>
      <c r="R700" t="s">
        <v>579</v>
      </c>
      <c r="S700" t="s">
        <v>552</v>
      </c>
      <c r="U700" s="6">
        <v>42205.329965277779</v>
      </c>
      <c r="V700" t="s">
        <v>18</v>
      </c>
      <c r="W700" t="s">
        <v>783</v>
      </c>
      <c r="X700" s="6">
        <v>42205.329965277779</v>
      </c>
      <c r="Y700" t="s">
        <v>255</v>
      </c>
      <c r="AB700" t="s">
        <v>200</v>
      </c>
      <c r="AC700" t="s">
        <v>247</v>
      </c>
      <c r="AD700" t="s">
        <v>220</v>
      </c>
      <c r="AE700" t="s">
        <v>219</v>
      </c>
      <c r="AG700" t="s">
        <v>121</v>
      </c>
      <c r="AH700" t="s">
        <v>327</v>
      </c>
      <c r="AI700" t="s">
        <v>121</v>
      </c>
      <c r="AJ700" t="s">
        <v>716</v>
      </c>
      <c r="AK700" t="s">
        <v>121</v>
      </c>
      <c r="AL700" t="s">
        <v>121</v>
      </c>
      <c r="AM700" t="s">
        <v>121</v>
      </c>
    </row>
    <row r="701" spans="9:39" x14ac:dyDescent="0.3">
      <c r="I701">
        <f t="shared" ca="1" si="2"/>
        <v>0</v>
      </c>
      <c r="J701">
        <f t="shared" ca="1" si="3"/>
        <v>0</v>
      </c>
      <c r="K701">
        <f t="shared" ca="1" si="4"/>
        <v>632</v>
      </c>
      <c r="L701">
        <f t="shared" ca="1" si="5"/>
        <v>642</v>
      </c>
      <c r="M701" s="11">
        <f t="shared" ca="1" si="6"/>
        <v>65769</v>
      </c>
      <c r="N701">
        <v>65769</v>
      </c>
      <c r="O701" t="s">
        <v>56</v>
      </c>
      <c r="P701" t="s">
        <v>1524</v>
      </c>
      <c r="Q701" t="s">
        <v>16</v>
      </c>
      <c r="R701" t="s">
        <v>783</v>
      </c>
      <c r="S701" t="s">
        <v>552</v>
      </c>
      <c r="U701" s="6">
        <v>42216.543506944443</v>
      </c>
      <c r="V701" t="s">
        <v>18</v>
      </c>
      <c r="W701" t="s">
        <v>783</v>
      </c>
      <c r="X701" s="6">
        <v>42205.330046296294</v>
      </c>
      <c r="Y701" t="s">
        <v>255</v>
      </c>
      <c r="AB701" t="s">
        <v>200</v>
      </c>
      <c r="AC701" t="s">
        <v>247</v>
      </c>
      <c r="AD701" t="s">
        <v>220</v>
      </c>
      <c r="AE701" t="s">
        <v>219</v>
      </c>
      <c r="AG701" t="s">
        <v>121</v>
      </c>
      <c r="AH701" t="s">
        <v>327</v>
      </c>
      <c r="AI701" t="s">
        <v>121</v>
      </c>
      <c r="AJ701" t="s">
        <v>716</v>
      </c>
      <c r="AK701" t="s">
        <v>121</v>
      </c>
      <c r="AL701" t="s">
        <v>121</v>
      </c>
      <c r="AM701" t="s">
        <v>121</v>
      </c>
    </row>
    <row r="702" spans="9:39" x14ac:dyDescent="0.3">
      <c r="I702">
        <f t="shared" ca="1" si="2"/>
        <v>0</v>
      </c>
      <c r="J702">
        <f t="shared" ca="1" si="3"/>
        <v>0</v>
      </c>
      <c r="K702">
        <f t="shared" ca="1" si="4"/>
        <v>642</v>
      </c>
      <c r="L702">
        <f t="shared" ca="1" si="5"/>
        <v>642</v>
      </c>
      <c r="M702" s="11">
        <f t="shared" ca="1" si="6"/>
        <v>65770</v>
      </c>
      <c r="N702">
        <v>65770</v>
      </c>
      <c r="O702" t="s">
        <v>56</v>
      </c>
      <c r="P702" t="s">
        <v>1525</v>
      </c>
      <c r="Q702" t="s">
        <v>16</v>
      </c>
      <c r="R702" t="s">
        <v>248</v>
      </c>
      <c r="S702" t="s">
        <v>552</v>
      </c>
      <c r="U702" s="6">
        <v>42205.33011574074</v>
      </c>
      <c r="V702" t="s">
        <v>18</v>
      </c>
      <c r="W702" t="s">
        <v>783</v>
      </c>
      <c r="X702" s="6">
        <v>42205.33011574074</v>
      </c>
      <c r="Y702" t="s">
        <v>255</v>
      </c>
      <c r="AB702" t="s">
        <v>200</v>
      </c>
      <c r="AC702" t="s">
        <v>247</v>
      </c>
      <c r="AD702" t="s">
        <v>220</v>
      </c>
      <c r="AE702" t="s">
        <v>219</v>
      </c>
      <c r="AG702" t="s">
        <v>121</v>
      </c>
      <c r="AH702" t="s">
        <v>327</v>
      </c>
      <c r="AI702" t="s">
        <v>121</v>
      </c>
      <c r="AJ702" t="s">
        <v>716</v>
      </c>
      <c r="AK702" t="s">
        <v>121</v>
      </c>
      <c r="AL702" t="s">
        <v>121</v>
      </c>
      <c r="AM702" t="s">
        <v>121</v>
      </c>
    </row>
    <row r="703" spans="9:39" x14ac:dyDescent="0.3">
      <c r="I703">
        <f t="shared" ca="1" si="2"/>
        <v>0</v>
      </c>
      <c r="J703">
        <f t="shared" ca="1" si="3"/>
        <v>1</v>
      </c>
      <c r="K703">
        <f t="shared" ca="1" si="4"/>
        <v>613</v>
      </c>
      <c r="L703">
        <f t="shared" ca="1" si="5"/>
        <v>641</v>
      </c>
      <c r="M703" s="11">
        <f t="shared" ca="1" si="6"/>
        <v>65871</v>
      </c>
      <c r="N703">
        <v>65871</v>
      </c>
      <c r="O703" t="s">
        <v>784</v>
      </c>
      <c r="P703" t="s">
        <v>1526</v>
      </c>
      <c r="Q703" t="s">
        <v>25</v>
      </c>
      <c r="R703" t="s">
        <v>579</v>
      </c>
      <c r="S703" t="s">
        <v>553</v>
      </c>
      <c r="U703" s="6">
        <v>42235.407592592594</v>
      </c>
      <c r="V703" t="s">
        <v>18</v>
      </c>
      <c r="W703" t="s">
        <v>783</v>
      </c>
      <c r="X703" s="6">
        <v>42206.988900462966</v>
      </c>
      <c r="Y703" t="s">
        <v>255</v>
      </c>
      <c r="AB703" t="s">
        <v>201</v>
      </c>
      <c r="AC703" t="s">
        <v>247</v>
      </c>
      <c r="AD703" t="s">
        <v>222</v>
      </c>
      <c r="AE703" t="s">
        <v>221</v>
      </c>
      <c r="AG703" t="s">
        <v>121</v>
      </c>
      <c r="AH703" t="s">
        <v>327</v>
      </c>
      <c r="AI703" t="s">
        <v>121</v>
      </c>
      <c r="AJ703" t="s">
        <v>716</v>
      </c>
      <c r="AK703" t="s">
        <v>121</v>
      </c>
      <c r="AL703" t="s">
        <v>121</v>
      </c>
      <c r="AM703" t="s">
        <v>121</v>
      </c>
    </row>
    <row r="704" spans="9:39" x14ac:dyDescent="0.3">
      <c r="I704">
        <f t="shared" ca="1" si="2"/>
        <v>0</v>
      </c>
      <c r="J704">
        <f t="shared" ca="1" si="3"/>
        <v>1</v>
      </c>
      <c r="K704">
        <f t="shared" ca="1" si="4"/>
        <v>613</v>
      </c>
      <c r="L704">
        <f t="shared" ca="1" si="5"/>
        <v>641</v>
      </c>
      <c r="M704" s="11">
        <f t="shared" ca="1" si="6"/>
        <v>65872</v>
      </c>
      <c r="N704">
        <v>65872</v>
      </c>
      <c r="O704" t="s">
        <v>36</v>
      </c>
      <c r="P704" t="s">
        <v>1527</v>
      </c>
      <c r="Q704" t="s">
        <v>25</v>
      </c>
      <c r="R704" t="s">
        <v>248</v>
      </c>
      <c r="S704" t="s">
        <v>553</v>
      </c>
      <c r="U704" s="6">
        <v>42235.408368055556</v>
      </c>
      <c r="V704" t="s">
        <v>18</v>
      </c>
      <c r="W704" t="s">
        <v>783</v>
      </c>
      <c r="X704" s="6">
        <v>42206.989074074074</v>
      </c>
      <c r="Y704" t="s">
        <v>255</v>
      </c>
      <c r="AB704" t="s">
        <v>201</v>
      </c>
      <c r="AC704" t="s">
        <v>247</v>
      </c>
      <c r="AD704" t="s">
        <v>222</v>
      </c>
      <c r="AE704" t="s">
        <v>221</v>
      </c>
      <c r="AG704" t="s">
        <v>121</v>
      </c>
      <c r="AH704" t="s">
        <v>327</v>
      </c>
      <c r="AI704" t="s">
        <v>121</v>
      </c>
      <c r="AJ704" t="s">
        <v>716</v>
      </c>
      <c r="AK704" t="s">
        <v>121</v>
      </c>
      <c r="AL704" t="s">
        <v>121</v>
      </c>
      <c r="AM704" t="s">
        <v>121</v>
      </c>
    </row>
    <row r="705" spans="9:39" x14ac:dyDescent="0.3">
      <c r="I705">
        <f t="shared" ca="1" si="2"/>
        <v>0</v>
      </c>
      <c r="J705">
        <f t="shared" ca="1" si="3"/>
        <v>1</v>
      </c>
      <c r="K705">
        <f t="shared" ca="1" si="4"/>
        <v>613</v>
      </c>
      <c r="L705">
        <f t="shared" ca="1" si="5"/>
        <v>641</v>
      </c>
      <c r="M705" s="11">
        <f t="shared" ca="1" si="6"/>
        <v>65873</v>
      </c>
      <c r="N705">
        <v>65873</v>
      </c>
      <c r="O705" t="s">
        <v>36</v>
      </c>
      <c r="P705" t="s">
        <v>1528</v>
      </c>
      <c r="Q705" t="s">
        <v>25</v>
      </c>
      <c r="R705" t="s">
        <v>783</v>
      </c>
      <c r="S705" t="s">
        <v>553</v>
      </c>
      <c r="U705" s="6">
        <v>42235.409791666665</v>
      </c>
      <c r="V705" t="s">
        <v>18</v>
      </c>
      <c r="W705" t="s">
        <v>783</v>
      </c>
      <c r="X705" s="6">
        <v>42206.989224537036</v>
      </c>
      <c r="Y705" t="s">
        <v>255</v>
      </c>
      <c r="AB705" t="s">
        <v>201</v>
      </c>
      <c r="AC705" t="s">
        <v>247</v>
      </c>
      <c r="AD705" t="s">
        <v>222</v>
      </c>
      <c r="AE705" t="s">
        <v>221</v>
      </c>
      <c r="AG705" t="s">
        <v>121</v>
      </c>
      <c r="AH705" t="s">
        <v>327</v>
      </c>
      <c r="AI705" t="s">
        <v>121</v>
      </c>
      <c r="AJ705" t="s">
        <v>716</v>
      </c>
      <c r="AK705" t="s">
        <v>121</v>
      </c>
      <c r="AL705" t="s">
        <v>121</v>
      </c>
      <c r="AM705" t="s">
        <v>121</v>
      </c>
    </row>
    <row r="706" spans="9:39" x14ac:dyDescent="0.3">
      <c r="I706">
        <f t="shared" ca="1" si="2"/>
        <v>1</v>
      </c>
      <c r="J706">
        <f t="shared" ca="1" si="3"/>
        <v>0</v>
      </c>
      <c r="K706">
        <f t="shared" ca="1" si="4"/>
        <v>625</v>
      </c>
      <c r="L706">
        <f t="shared" ca="1" si="5"/>
        <v>640</v>
      </c>
      <c r="M706" s="11">
        <f t="shared" ca="1" si="6"/>
        <v>65905</v>
      </c>
      <c r="N706">
        <v>65905</v>
      </c>
      <c r="O706" t="s">
        <v>22</v>
      </c>
      <c r="P706" t="s">
        <v>1529</v>
      </c>
      <c r="Q706" t="s">
        <v>25</v>
      </c>
      <c r="R706" t="s">
        <v>251</v>
      </c>
      <c r="S706" t="s">
        <v>1473</v>
      </c>
      <c r="T706" t="s">
        <v>1326</v>
      </c>
      <c r="U706" s="6">
        <v>42223.436435185184</v>
      </c>
      <c r="V706" t="s">
        <v>18</v>
      </c>
      <c r="W706" t="s">
        <v>248</v>
      </c>
      <c r="X706" s="6">
        <v>42207.321388888886</v>
      </c>
      <c r="Y706" t="s">
        <v>119</v>
      </c>
      <c r="AB706" t="s">
        <v>199</v>
      </c>
      <c r="AC706" t="s">
        <v>247</v>
      </c>
      <c r="AD706" t="s">
        <v>220</v>
      </c>
      <c r="AE706" t="s">
        <v>243</v>
      </c>
      <c r="AG706" t="s">
        <v>121</v>
      </c>
      <c r="AH706" t="s">
        <v>327</v>
      </c>
      <c r="AI706" t="s">
        <v>121</v>
      </c>
      <c r="AJ706" t="s">
        <v>715</v>
      </c>
      <c r="AK706" t="s">
        <v>121</v>
      </c>
      <c r="AL706" t="s">
        <v>121</v>
      </c>
      <c r="AM706" t="s">
        <v>121</v>
      </c>
    </row>
    <row r="707" spans="9:39" x14ac:dyDescent="0.3">
      <c r="I707">
        <f t="shared" ca="1" si="2"/>
        <v>1</v>
      </c>
      <c r="J707">
        <f t="shared" ca="1" si="3"/>
        <v>0</v>
      </c>
      <c r="K707">
        <f t="shared" ca="1" si="4"/>
        <v>640</v>
      </c>
      <c r="L707">
        <f t="shared" ca="1" si="5"/>
        <v>640</v>
      </c>
      <c r="M707" s="11">
        <f t="shared" ca="1" si="6"/>
        <v>65910</v>
      </c>
      <c r="N707">
        <v>65910</v>
      </c>
      <c r="O707" t="s">
        <v>56</v>
      </c>
      <c r="P707" t="s">
        <v>1530</v>
      </c>
      <c r="Q707" t="s">
        <v>25</v>
      </c>
      <c r="R707" t="s">
        <v>1531</v>
      </c>
      <c r="S707" t="s">
        <v>552</v>
      </c>
      <c r="U707" s="6">
        <v>42207.430706018517</v>
      </c>
      <c r="V707" t="s">
        <v>18</v>
      </c>
      <c r="W707" t="s">
        <v>17</v>
      </c>
      <c r="X707" s="6">
        <v>42207.429340277777</v>
      </c>
      <c r="Y707" t="s">
        <v>124</v>
      </c>
      <c r="AB707" t="s">
        <v>200</v>
      </c>
      <c r="AC707" t="s">
        <v>247</v>
      </c>
      <c r="AD707" t="s">
        <v>220</v>
      </c>
      <c r="AE707" t="s">
        <v>219</v>
      </c>
      <c r="AG707" t="s">
        <v>121</v>
      </c>
      <c r="AH707" t="s">
        <v>327</v>
      </c>
      <c r="AI707" t="s">
        <v>121</v>
      </c>
      <c r="AJ707" t="s">
        <v>715</v>
      </c>
      <c r="AK707" t="s">
        <v>121</v>
      </c>
      <c r="AL707" t="s">
        <v>121</v>
      </c>
      <c r="AM707" t="s">
        <v>121</v>
      </c>
    </row>
    <row r="708" spans="9:39" x14ac:dyDescent="0.3">
      <c r="I708">
        <f t="shared" ca="1" si="2"/>
        <v>0</v>
      </c>
      <c r="J708">
        <f t="shared" ca="1" si="3"/>
        <v>1</v>
      </c>
      <c r="K708">
        <f t="shared" ca="1" si="4"/>
        <v>632</v>
      </c>
      <c r="L708">
        <f t="shared" ca="1" si="5"/>
        <v>640</v>
      </c>
      <c r="M708" s="11">
        <f t="shared" ca="1" si="6"/>
        <v>65914</v>
      </c>
      <c r="N708">
        <v>65914</v>
      </c>
      <c r="O708" t="s">
        <v>56</v>
      </c>
      <c r="P708" t="s">
        <v>1532</v>
      </c>
      <c r="Q708" t="s">
        <v>25</v>
      </c>
      <c r="R708" t="s">
        <v>1531</v>
      </c>
      <c r="S708" t="s">
        <v>552</v>
      </c>
      <c r="U708" s="6">
        <v>42215.065046296295</v>
      </c>
      <c r="V708" t="s">
        <v>18</v>
      </c>
      <c r="W708" t="s">
        <v>17</v>
      </c>
      <c r="X708" s="6">
        <v>42207.440057870372</v>
      </c>
      <c r="Y708" t="s">
        <v>125</v>
      </c>
      <c r="AB708" t="s">
        <v>201</v>
      </c>
      <c r="AC708" t="s">
        <v>247</v>
      </c>
      <c r="AD708" t="s">
        <v>220</v>
      </c>
      <c r="AE708" t="s">
        <v>219</v>
      </c>
      <c r="AG708" t="s">
        <v>121</v>
      </c>
      <c r="AH708" t="s">
        <v>327</v>
      </c>
      <c r="AI708" t="s">
        <v>121</v>
      </c>
      <c r="AJ708" t="s">
        <v>716</v>
      </c>
      <c r="AK708" t="s">
        <v>121</v>
      </c>
      <c r="AL708" t="s">
        <v>121</v>
      </c>
      <c r="AM708" t="s">
        <v>121</v>
      </c>
    </row>
    <row r="709" spans="9:39" x14ac:dyDescent="0.3">
      <c r="I709">
        <f t="shared" ca="1" si="2"/>
        <v>0</v>
      </c>
      <c r="J709">
        <f t="shared" ca="1" si="3"/>
        <v>1</v>
      </c>
      <c r="K709">
        <f t="shared" ca="1" si="4"/>
        <v>638</v>
      </c>
      <c r="L709">
        <f t="shared" ca="1" si="5"/>
        <v>640</v>
      </c>
      <c r="M709" s="11">
        <f t="shared" ca="1" si="6"/>
        <v>65919</v>
      </c>
      <c r="N709">
        <v>65919</v>
      </c>
      <c r="O709" t="s">
        <v>45</v>
      </c>
      <c r="P709" t="s">
        <v>1533</v>
      </c>
      <c r="Q709" t="s">
        <v>25</v>
      </c>
      <c r="R709" t="s">
        <v>251</v>
      </c>
      <c r="S709" t="s">
        <v>45</v>
      </c>
      <c r="U709" s="6">
        <v>42209.641655092593</v>
      </c>
      <c r="V709" t="s">
        <v>18</v>
      </c>
      <c r="W709" t="s">
        <v>783</v>
      </c>
      <c r="X709" s="6">
        <v>42207.516516203701</v>
      </c>
      <c r="Y709" t="s">
        <v>792</v>
      </c>
      <c r="AB709" t="s">
        <v>201</v>
      </c>
      <c r="AC709" t="s">
        <v>247</v>
      </c>
      <c r="AD709" t="s">
        <v>227</v>
      </c>
      <c r="AE709" t="s">
        <v>226</v>
      </c>
      <c r="AG709" t="s">
        <v>121</v>
      </c>
      <c r="AH709" t="s">
        <v>327</v>
      </c>
      <c r="AI709" t="s">
        <v>121</v>
      </c>
      <c r="AJ709" t="s">
        <v>716</v>
      </c>
      <c r="AK709" t="s">
        <v>121</v>
      </c>
      <c r="AL709" t="s">
        <v>121</v>
      </c>
      <c r="AM709" t="s">
        <v>121</v>
      </c>
    </row>
    <row r="710" spans="9:39" x14ac:dyDescent="0.3">
      <c r="I710">
        <f t="shared" ca="1" si="2"/>
        <v>0</v>
      </c>
      <c r="J710">
        <f t="shared" ca="1" si="3"/>
        <v>1</v>
      </c>
      <c r="K710">
        <f t="shared" ca="1" si="4"/>
        <v>635</v>
      </c>
      <c r="L710">
        <f t="shared" ca="1" si="5"/>
        <v>640</v>
      </c>
      <c r="M710" s="11">
        <f t="shared" ca="1" si="6"/>
        <v>65926</v>
      </c>
      <c r="N710">
        <v>65926</v>
      </c>
      <c r="O710" t="s">
        <v>45</v>
      </c>
      <c r="P710" t="s">
        <v>1534</v>
      </c>
      <c r="Q710" t="s">
        <v>25</v>
      </c>
      <c r="R710" t="s">
        <v>783</v>
      </c>
      <c r="S710" t="s">
        <v>552</v>
      </c>
      <c r="U710" s="6">
        <v>42212.35528935185</v>
      </c>
      <c r="V710" t="s">
        <v>18</v>
      </c>
      <c r="W710" t="s">
        <v>783</v>
      </c>
      <c r="X710" s="6">
        <v>42207.679456018515</v>
      </c>
      <c r="Y710" t="s">
        <v>792</v>
      </c>
      <c r="AB710" t="s">
        <v>201</v>
      </c>
      <c r="AC710" t="s">
        <v>247</v>
      </c>
      <c r="AD710" t="s">
        <v>227</v>
      </c>
      <c r="AE710" t="s">
        <v>226</v>
      </c>
      <c r="AG710" t="s">
        <v>121</v>
      </c>
      <c r="AH710" t="s">
        <v>327</v>
      </c>
      <c r="AI710" t="s">
        <v>121</v>
      </c>
      <c r="AJ710" t="s">
        <v>716</v>
      </c>
      <c r="AK710" t="s">
        <v>121</v>
      </c>
      <c r="AL710" t="s">
        <v>121</v>
      </c>
      <c r="AM710" t="s">
        <v>121</v>
      </c>
    </row>
    <row r="711" spans="9:39" x14ac:dyDescent="0.3">
      <c r="I711">
        <f t="shared" ca="1" si="2"/>
        <v>1</v>
      </c>
      <c r="J711">
        <f t="shared" ca="1" si="3"/>
        <v>0</v>
      </c>
      <c r="K711">
        <f t="shared" ca="1" si="4"/>
        <v>638</v>
      </c>
      <c r="L711">
        <f t="shared" ca="1" si="5"/>
        <v>640</v>
      </c>
      <c r="M711" s="11">
        <f t="shared" ca="1" si="6"/>
        <v>65927</v>
      </c>
      <c r="N711">
        <v>65927</v>
      </c>
      <c r="O711" t="s">
        <v>45</v>
      </c>
      <c r="P711" t="s">
        <v>1535</v>
      </c>
      <c r="Q711" t="s">
        <v>25</v>
      </c>
      <c r="R711" t="s">
        <v>248</v>
      </c>
      <c r="S711" t="s">
        <v>552</v>
      </c>
      <c r="U711" s="6">
        <v>42209.642581018517</v>
      </c>
      <c r="V711" t="s">
        <v>18</v>
      </c>
      <c r="W711" t="s">
        <v>783</v>
      </c>
      <c r="X711" s="6">
        <v>42207.679548611108</v>
      </c>
      <c r="Y711" t="s">
        <v>792</v>
      </c>
      <c r="AB711" t="s">
        <v>200</v>
      </c>
      <c r="AC711" t="s">
        <v>247</v>
      </c>
      <c r="AD711" t="s">
        <v>227</v>
      </c>
      <c r="AE711" t="s">
        <v>226</v>
      </c>
      <c r="AG711" t="s">
        <v>121</v>
      </c>
      <c r="AH711" t="s">
        <v>327</v>
      </c>
      <c r="AI711" t="s">
        <v>121</v>
      </c>
      <c r="AJ711" t="s">
        <v>716</v>
      </c>
      <c r="AK711" t="s">
        <v>121</v>
      </c>
      <c r="AL711" t="s">
        <v>121</v>
      </c>
      <c r="AM711" t="s">
        <v>121</v>
      </c>
    </row>
    <row r="712" spans="9:39" x14ac:dyDescent="0.3">
      <c r="I712">
        <f t="shared" ca="1" si="2"/>
        <v>0</v>
      </c>
      <c r="J712">
        <f t="shared" ca="1" si="3"/>
        <v>0</v>
      </c>
      <c r="K712">
        <f t="shared" ca="1" si="4"/>
        <v>622</v>
      </c>
      <c r="L712">
        <f t="shared" ca="1" si="5"/>
        <v>639</v>
      </c>
      <c r="M712" s="11">
        <f t="shared" ca="1" si="6"/>
        <v>65978</v>
      </c>
      <c r="N712">
        <v>65978</v>
      </c>
      <c r="O712" t="s">
        <v>203</v>
      </c>
      <c r="P712" t="s">
        <v>1536</v>
      </c>
      <c r="Q712" t="s">
        <v>16</v>
      </c>
      <c r="R712" t="s">
        <v>1375</v>
      </c>
      <c r="S712" t="s">
        <v>552</v>
      </c>
      <c r="T712" t="s">
        <v>1433</v>
      </c>
      <c r="U712" s="6">
        <v>42226.358807870369</v>
      </c>
      <c r="V712" t="s">
        <v>35</v>
      </c>
      <c r="W712" t="s">
        <v>17</v>
      </c>
      <c r="X712" s="6">
        <v>42208.438067129631</v>
      </c>
      <c r="Y712" t="s">
        <v>786</v>
      </c>
      <c r="AB712" t="s">
        <v>199</v>
      </c>
      <c r="AC712" t="s">
        <v>247</v>
      </c>
      <c r="AD712" t="s">
        <v>220</v>
      </c>
      <c r="AE712" t="s">
        <v>219</v>
      </c>
      <c r="AG712" t="s">
        <v>121</v>
      </c>
      <c r="AH712" t="s">
        <v>327</v>
      </c>
      <c r="AI712" t="s">
        <v>121</v>
      </c>
      <c r="AJ712" t="s">
        <v>716</v>
      </c>
      <c r="AK712" t="s">
        <v>121</v>
      </c>
      <c r="AL712" t="s">
        <v>121</v>
      </c>
      <c r="AM712" t="s">
        <v>121</v>
      </c>
    </row>
    <row r="713" spans="9:39" x14ac:dyDescent="0.3">
      <c r="I713">
        <f t="shared" ca="1" si="2"/>
        <v>0</v>
      </c>
      <c r="J713">
        <f t="shared" ca="1" si="3"/>
        <v>0</v>
      </c>
      <c r="K713">
        <f t="shared" ca="1" si="4"/>
        <v>620</v>
      </c>
      <c r="L713">
        <f t="shared" ca="1" si="5"/>
        <v>639</v>
      </c>
      <c r="M713" s="11">
        <f t="shared" ca="1" si="6"/>
        <v>65979</v>
      </c>
      <c r="N713">
        <v>65979</v>
      </c>
      <c r="O713" t="s">
        <v>203</v>
      </c>
      <c r="P713" t="s">
        <v>1537</v>
      </c>
      <c r="Q713" t="s">
        <v>16</v>
      </c>
      <c r="R713" t="s">
        <v>1439</v>
      </c>
      <c r="S713" t="s">
        <v>552</v>
      </c>
      <c r="T713" t="s">
        <v>1433</v>
      </c>
      <c r="U713" s="6">
        <v>42228.975682870368</v>
      </c>
      <c r="V713" t="s">
        <v>35</v>
      </c>
      <c r="W713" t="s">
        <v>17</v>
      </c>
      <c r="X713" s="6">
        <v>42208.438159722224</v>
      </c>
      <c r="Y713" t="s">
        <v>786</v>
      </c>
      <c r="AB713" t="s">
        <v>199</v>
      </c>
      <c r="AC713" t="s">
        <v>247</v>
      </c>
      <c r="AD713" t="s">
        <v>220</v>
      </c>
      <c r="AE713" t="s">
        <v>219</v>
      </c>
      <c r="AG713" t="s">
        <v>121</v>
      </c>
      <c r="AH713" t="s">
        <v>327</v>
      </c>
      <c r="AI713" t="s">
        <v>121</v>
      </c>
      <c r="AJ713" t="s">
        <v>716</v>
      </c>
      <c r="AK713" t="s">
        <v>121</v>
      </c>
      <c r="AL713" t="s">
        <v>121</v>
      </c>
      <c r="AM713" t="s">
        <v>121</v>
      </c>
    </row>
    <row r="714" spans="9:39" x14ac:dyDescent="0.3">
      <c r="I714">
        <f t="shared" ca="1" si="2"/>
        <v>0</v>
      </c>
      <c r="J714">
        <f t="shared" ca="1" si="3"/>
        <v>0</v>
      </c>
      <c r="K714">
        <f t="shared" ca="1" si="4"/>
        <v>639</v>
      </c>
      <c r="L714">
        <f t="shared" ca="1" si="5"/>
        <v>639</v>
      </c>
      <c r="M714" s="11">
        <f t="shared" ca="1" si="6"/>
        <v>65985</v>
      </c>
      <c r="N714">
        <v>65985</v>
      </c>
      <c r="O714" t="s">
        <v>56</v>
      </c>
      <c r="P714" t="s">
        <v>1538</v>
      </c>
      <c r="Q714" t="s">
        <v>16</v>
      </c>
      <c r="R714" t="s">
        <v>1531</v>
      </c>
      <c r="S714" t="s">
        <v>552</v>
      </c>
      <c r="U714" s="6">
        <v>42208.445416666669</v>
      </c>
      <c r="V714" t="s">
        <v>18</v>
      </c>
      <c r="W714" t="s">
        <v>17</v>
      </c>
      <c r="X714" s="6">
        <v>42208.445416666669</v>
      </c>
      <c r="Y714" t="s">
        <v>786</v>
      </c>
      <c r="AB714" t="s">
        <v>199</v>
      </c>
      <c r="AC714" t="s">
        <v>247</v>
      </c>
      <c r="AD714" t="s">
        <v>220</v>
      </c>
      <c r="AE714" t="s">
        <v>219</v>
      </c>
      <c r="AG714" t="s">
        <v>121</v>
      </c>
      <c r="AH714" t="s">
        <v>327</v>
      </c>
      <c r="AI714" t="s">
        <v>121</v>
      </c>
      <c r="AJ714" t="s">
        <v>716</v>
      </c>
      <c r="AK714" t="s">
        <v>121</v>
      </c>
      <c r="AL714" t="s">
        <v>121</v>
      </c>
      <c r="AM714" t="s">
        <v>121</v>
      </c>
    </row>
    <row r="715" spans="9:39" x14ac:dyDescent="0.3">
      <c r="I715">
        <f t="shared" ca="1" si="2"/>
        <v>1</v>
      </c>
      <c r="J715">
        <f t="shared" ca="1" si="3"/>
        <v>0</v>
      </c>
      <c r="K715">
        <f t="shared" ca="1" si="4"/>
        <v>638</v>
      </c>
      <c r="L715">
        <f t="shared" ca="1" si="5"/>
        <v>638</v>
      </c>
      <c r="M715" s="11">
        <f t="shared" ca="1" si="6"/>
        <v>66039</v>
      </c>
      <c r="N715">
        <v>66039</v>
      </c>
      <c r="O715" t="s">
        <v>187</v>
      </c>
      <c r="P715" t="s">
        <v>1539</v>
      </c>
      <c r="Q715" t="s">
        <v>25</v>
      </c>
      <c r="R715" t="s">
        <v>1531</v>
      </c>
      <c r="S715" t="s">
        <v>552</v>
      </c>
      <c r="U715" s="6">
        <v>42209.320289351854</v>
      </c>
      <c r="V715" t="s">
        <v>18</v>
      </c>
      <c r="W715" t="s">
        <v>63</v>
      </c>
      <c r="X715" s="6">
        <v>42209.320289351854</v>
      </c>
      <c r="Y715" t="s">
        <v>786</v>
      </c>
      <c r="AB715" t="s">
        <v>200</v>
      </c>
      <c r="AC715" t="s">
        <v>247</v>
      </c>
      <c r="AD715" t="s">
        <v>220</v>
      </c>
      <c r="AE715" t="s">
        <v>219</v>
      </c>
      <c r="AG715" t="s">
        <v>121</v>
      </c>
      <c r="AH715" t="s">
        <v>327</v>
      </c>
      <c r="AI715" t="s">
        <v>121</v>
      </c>
      <c r="AJ715" t="s">
        <v>715</v>
      </c>
      <c r="AK715" t="s">
        <v>121</v>
      </c>
      <c r="AL715" t="s">
        <v>121</v>
      </c>
      <c r="AM715" t="s">
        <v>121</v>
      </c>
    </row>
    <row r="716" spans="9:39" x14ac:dyDescent="0.3">
      <c r="I716">
        <f t="shared" ca="1" si="2"/>
        <v>1</v>
      </c>
      <c r="J716">
        <f t="shared" ca="1" si="3"/>
        <v>0</v>
      </c>
      <c r="K716">
        <f t="shared" ca="1" si="4"/>
        <v>638</v>
      </c>
      <c r="L716">
        <f t="shared" ca="1" si="5"/>
        <v>638</v>
      </c>
      <c r="M716" s="11">
        <f t="shared" ca="1" si="6"/>
        <v>66040</v>
      </c>
      <c r="N716">
        <v>66040</v>
      </c>
      <c r="O716" t="s">
        <v>45</v>
      </c>
      <c r="P716" t="s">
        <v>1540</v>
      </c>
      <c r="Q716" t="s">
        <v>25</v>
      </c>
      <c r="R716" t="s">
        <v>1531</v>
      </c>
      <c r="S716" t="s">
        <v>552</v>
      </c>
      <c r="U716" s="6">
        <v>42209.324444444443</v>
      </c>
      <c r="V716" t="s">
        <v>18</v>
      </c>
      <c r="W716" t="s">
        <v>57</v>
      </c>
      <c r="X716" s="6">
        <v>42209.324444444443</v>
      </c>
      <c r="Y716" t="s">
        <v>1026</v>
      </c>
      <c r="AB716" t="s">
        <v>200</v>
      </c>
      <c r="AC716" t="s">
        <v>247</v>
      </c>
      <c r="AD716" t="s">
        <v>220</v>
      </c>
      <c r="AE716" t="s">
        <v>290</v>
      </c>
      <c r="AG716" t="s">
        <v>121</v>
      </c>
      <c r="AH716" t="s">
        <v>327</v>
      </c>
      <c r="AI716" t="s">
        <v>121</v>
      </c>
      <c r="AJ716" t="s">
        <v>715</v>
      </c>
      <c r="AK716" t="s">
        <v>121</v>
      </c>
      <c r="AL716" t="s">
        <v>121</v>
      </c>
      <c r="AM716" t="s">
        <v>121</v>
      </c>
    </row>
    <row r="717" spans="9:39" x14ac:dyDescent="0.3">
      <c r="I717">
        <f t="shared" ca="1" si="2"/>
        <v>0</v>
      </c>
      <c r="J717">
        <f t="shared" ca="1" si="3"/>
        <v>0</v>
      </c>
      <c r="K717">
        <f t="shared" ca="1" si="4"/>
        <v>629</v>
      </c>
      <c r="L717">
        <f t="shared" ca="1" si="5"/>
        <v>635</v>
      </c>
      <c r="M717" s="11">
        <f t="shared" ca="1" si="6"/>
        <v>66081</v>
      </c>
      <c r="N717">
        <v>66081</v>
      </c>
      <c r="O717" t="s">
        <v>59</v>
      </c>
      <c r="P717" t="s">
        <v>1541</v>
      </c>
      <c r="Q717" t="s">
        <v>16</v>
      </c>
      <c r="R717" t="s">
        <v>251</v>
      </c>
      <c r="S717" t="s">
        <v>1542</v>
      </c>
      <c r="U717" s="6">
        <v>42219.673321759263</v>
      </c>
      <c r="V717" t="s">
        <v>18</v>
      </c>
      <c r="W717" t="s">
        <v>783</v>
      </c>
      <c r="X717" s="6">
        <v>42212.017187500001</v>
      </c>
      <c r="Y717" t="s">
        <v>122</v>
      </c>
      <c r="AB717" t="s">
        <v>200</v>
      </c>
      <c r="AC717" t="s">
        <v>247</v>
      </c>
      <c r="AD717" t="s">
        <v>220</v>
      </c>
      <c r="AE717" t="s">
        <v>243</v>
      </c>
      <c r="AG717" t="s">
        <v>121</v>
      </c>
      <c r="AH717" t="s">
        <v>327</v>
      </c>
      <c r="AI717" t="s">
        <v>121</v>
      </c>
      <c r="AJ717" t="s">
        <v>716</v>
      </c>
      <c r="AK717" t="s">
        <v>121</v>
      </c>
      <c r="AL717" t="s">
        <v>121</v>
      </c>
      <c r="AM717" t="s">
        <v>121</v>
      </c>
    </row>
    <row r="718" spans="9:39" x14ac:dyDescent="0.3">
      <c r="I718">
        <f t="shared" ca="1" si="2"/>
        <v>1</v>
      </c>
      <c r="J718">
        <f t="shared" ca="1" si="3"/>
        <v>0</v>
      </c>
      <c r="K718">
        <f t="shared" ca="1" si="4"/>
        <v>635</v>
      </c>
      <c r="L718">
        <f t="shared" ca="1" si="5"/>
        <v>635</v>
      </c>
      <c r="M718" s="11">
        <f t="shared" ca="1" si="6"/>
        <v>66123</v>
      </c>
      <c r="N718">
        <v>66123</v>
      </c>
      <c r="O718" t="s">
        <v>56</v>
      </c>
      <c r="P718" t="s">
        <v>1543</v>
      </c>
      <c r="Q718" t="s">
        <v>39</v>
      </c>
      <c r="R718" t="s">
        <v>1531</v>
      </c>
      <c r="S718" t="s">
        <v>552</v>
      </c>
      <c r="U718" s="6">
        <v>42212.330104166664</v>
      </c>
      <c r="V718" t="s">
        <v>18</v>
      </c>
      <c r="W718" t="s">
        <v>17</v>
      </c>
      <c r="X718" s="6">
        <v>42212.330104166664</v>
      </c>
      <c r="Y718" t="s">
        <v>801</v>
      </c>
      <c r="AB718" t="s">
        <v>200</v>
      </c>
      <c r="AC718" t="s">
        <v>247</v>
      </c>
      <c r="AD718" t="s">
        <v>220</v>
      </c>
      <c r="AE718" t="s">
        <v>219</v>
      </c>
      <c r="AG718" t="s">
        <v>121</v>
      </c>
      <c r="AH718" t="s">
        <v>327</v>
      </c>
      <c r="AI718" t="s">
        <v>121</v>
      </c>
      <c r="AJ718" t="s">
        <v>715</v>
      </c>
      <c r="AK718" t="s">
        <v>121</v>
      </c>
      <c r="AL718" t="s">
        <v>121</v>
      </c>
      <c r="AM718" t="s">
        <v>121</v>
      </c>
    </row>
    <row r="719" spans="9:39" x14ac:dyDescent="0.3">
      <c r="I719">
        <f t="shared" ca="1" si="2"/>
        <v>0</v>
      </c>
      <c r="J719">
        <f t="shared" ca="1" si="3"/>
        <v>1</v>
      </c>
      <c r="K719">
        <f t="shared" ca="1" si="4"/>
        <v>625</v>
      </c>
      <c r="L719">
        <f t="shared" ca="1" si="5"/>
        <v>635</v>
      </c>
      <c r="M719" s="11">
        <f t="shared" ca="1" si="6"/>
        <v>66136</v>
      </c>
      <c r="N719">
        <v>66136</v>
      </c>
      <c r="O719" t="s">
        <v>94</v>
      </c>
      <c r="P719" t="s">
        <v>1544</v>
      </c>
      <c r="Q719" t="s">
        <v>25</v>
      </c>
      <c r="R719" t="s">
        <v>251</v>
      </c>
      <c r="S719" t="s">
        <v>316</v>
      </c>
      <c r="U719" s="6">
        <v>42223.387511574074</v>
      </c>
      <c r="V719" t="s">
        <v>35</v>
      </c>
      <c r="W719" t="s">
        <v>783</v>
      </c>
      <c r="X719" s="6">
        <v>42212.484907407408</v>
      </c>
      <c r="Y719" t="s">
        <v>119</v>
      </c>
      <c r="AB719" t="s">
        <v>201</v>
      </c>
      <c r="AC719" t="s">
        <v>247</v>
      </c>
      <c r="AD719" t="s">
        <v>227</v>
      </c>
      <c r="AE719" t="s">
        <v>226</v>
      </c>
      <c r="AG719" t="s">
        <v>121</v>
      </c>
      <c r="AH719" t="s">
        <v>327</v>
      </c>
      <c r="AI719" t="s">
        <v>121</v>
      </c>
      <c r="AJ719" t="s">
        <v>716</v>
      </c>
      <c r="AK719" t="s">
        <v>121</v>
      </c>
      <c r="AL719" t="s">
        <v>121</v>
      </c>
      <c r="AM719" t="s">
        <v>121</v>
      </c>
    </row>
    <row r="720" spans="9:39" x14ac:dyDescent="0.3">
      <c r="I720">
        <f t="shared" ca="1" si="2"/>
        <v>1</v>
      </c>
      <c r="J720">
        <f t="shared" ca="1" si="3"/>
        <v>0</v>
      </c>
      <c r="K720">
        <f t="shared" ca="1" si="4"/>
        <v>632</v>
      </c>
      <c r="L720">
        <f t="shared" ca="1" si="5"/>
        <v>635</v>
      </c>
      <c r="M720" s="11">
        <f t="shared" ca="1" si="6"/>
        <v>66140</v>
      </c>
      <c r="N720">
        <v>66140</v>
      </c>
      <c r="O720" t="s">
        <v>94</v>
      </c>
      <c r="P720" t="s">
        <v>1545</v>
      </c>
      <c r="Q720" t="s">
        <v>25</v>
      </c>
      <c r="R720" t="s">
        <v>579</v>
      </c>
      <c r="S720" t="s">
        <v>552</v>
      </c>
      <c r="U720" s="6">
        <v>42216.579861111109</v>
      </c>
      <c r="V720" t="s">
        <v>18</v>
      </c>
      <c r="W720" t="s">
        <v>783</v>
      </c>
      <c r="X720" s="6">
        <v>42212.518495370372</v>
      </c>
      <c r="Y720" t="s">
        <v>255</v>
      </c>
      <c r="Z720" t="s">
        <v>190</v>
      </c>
      <c r="AB720" t="s">
        <v>200</v>
      </c>
      <c r="AC720" t="s">
        <v>247</v>
      </c>
      <c r="AD720" t="s">
        <v>227</v>
      </c>
      <c r="AE720" t="s">
        <v>226</v>
      </c>
      <c r="AG720" t="s">
        <v>121</v>
      </c>
      <c r="AH720" t="s">
        <v>327</v>
      </c>
      <c r="AI720" t="s">
        <v>121</v>
      </c>
      <c r="AJ720" t="s">
        <v>715</v>
      </c>
      <c r="AK720" t="s">
        <v>121</v>
      </c>
      <c r="AL720" t="s">
        <v>121</v>
      </c>
      <c r="AM720" t="s">
        <v>121</v>
      </c>
    </row>
    <row r="721" spans="9:39" x14ac:dyDescent="0.3">
      <c r="I721">
        <f t="shared" ca="1" si="2"/>
        <v>1</v>
      </c>
      <c r="J721">
        <f t="shared" ca="1" si="3"/>
        <v>0</v>
      </c>
      <c r="K721">
        <f t="shared" ca="1" si="4"/>
        <v>635</v>
      </c>
      <c r="L721">
        <f t="shared" ca="1" si="5"/>
        <v>635</v>
      </c>
      <c r="M721" s="11">
        <f t="shared" ca="1" si="6"/>
        <v>66141</v>
      </c>
      <c r="N721">
        <v>66141</v>
      </c>
      <c r="O721" t="s">
        <v>94</v>
      </c>
      <c r="P721" t="s">
        <v>1546</v>
      </c>
      <c r="Q721" t="s">
        <v>25</v>
      </c>
      <c r="R721" t="s">
        <v>248</v>
      </c>
      <c r="S721" t="s">
        <v>552</v>
      </c>
      <c r="U721" s="6">
        <v>42212.518564814818</v>
      </c>
      <c r="V721" t="s">
        <v>18</v>
      </c>
      <c r="W721" t="s">
        <v>783</v>
      </c>
      <c r="X721" s="6">
        <v>42212.518564814818</v>
      </c>
      <c r="Y721" t="s">
        <v>119</v>
      </c>
      <c r="AB721" t="s">
        <v>200</v>
      </c>
      <c r="AC721" t="s">
        <v>247</v>
      </c>
      <c r="AD721" t="s">
        <v>227</v>
      </c>
      <c r="AE721" t="s">
        <v>226</v>
      </c>
      <c r="AG721" t="s">
        <v>121</v>
      </c>
      <c r="AH721" t="s">
        <v>327</v>
      </c>
      <c r="AI721" t="s">
        <v>121</v>
      </c>
      <c r="AJ721" t="s">
        <v>715</v>
      </c>
      <c r="AK721" t="s">
        <v>121</v>
      </c>
      <c r="AL721" t="s">
        <v>121</v>
      </c>
      <c r="AM721" t="s">
        <v>121</v>
      </c>
    </row>
    <row r="722" spans="9:39" x14ac:dyDescent="0.3">
      <c r="I722">
        <f t="shared" ca="1" si="2"/>
        <v>0</v>
      </c>
      <c r="J722">
        <f t="shared" ca="1" si="3"/>
        <v>1</v>
      </c>
      <c r="K722">
        <f t="shared" ca="1" si="4"/>
        <v>624</v>
      </c>
      <c r="L722">
        <f t="shared" ca="1" si="5"/>
        <v>635</v>
      </c>
      <c r="M722" s="11">
        <f t="shared" ca="1" si="6"/>
        <v>66142</v>
      </c>
      <c r="N722">
        <v>66142</v>
      </c>
      <c r="O722" t="s">
        <v>94</v>
      </c>
      <c r="P722" t="s">
        <v>1547</v>
      </c>
      <c r="Q722" t="s">
        <v>25</v>
      </c>
      <c r="R722" t="s">
        <v>783</v>
      </c>
      <c r="S722" t="s">
        <v>552</v>
      </c>
      <c r="U722" s="6">
        <v>42224.483946759261</v>
      </c>
      <c r="V722" t="s">
        <v>35</v>
      </c>
      <c r="W722" t="s">
        <v>783</v>
      </c>
      <c r="X722" s="6">
        <v>42212.518622685187</v>
      </c>
      <c r="Y722" t="s">
        <v>119</v>
      </c>
      <c r="AB722" t="s">
        <v>201</v>
      </c>
      <c r="AC722" t="s">
        <v>247</v>
      </c>
      <c r="AD722" t="s">
        <v>227</v>
      </c>
      <c r="AE722" t="s">
        <v>226</v>
      </c>
      <c r="AG722" t="s">
        <v>121</v>
      </c>
      <c r="AH722" t="s">
        <v>327</v>
      </c>
      <c r="AI722" t="s">
        <v>362</v>
      </c>
      <c r="AJ722" t="s">
        <v>716</v>
      </c>
      <c r="AK722" t="s">
        <v>121</v>
      </c>
      <c r="AL722" t="s">
        <v>121</v>
      </c>
      <c r="AM722" t="s">
        <v>121</v>
      </c>
    </row>
    <row r="723" spans="9:39" x14ac:dyDescent="0.3">
      <c r="I723">
        <f t="shared" ca="1" si="2"/>
        <v>0</v>
      </c>
      <c r="J723">
        <f t="shared" ca="1" si="3"/>
        <v>0</v>
      </c>
      <c r="K723">
        <f t="shared" ca="1" si="4"/>
        <v>613</v>
      </c>
      <c r="L723">
        <f t="shared" ca="1" si="5"/>
        <v>634</v>
      </c>
      <c r="M723" s="11">
        <f t="shared" ca="1" si="6"/>
        <v>66186</v>
      </c>
      <c r="N723">
        <v>66186</v>
      </c>
      <c r="O723" t="s">
        <v>43</v>
      </c>
      <c r="P723" t="s">
        <v>1548</v>
      </c>
      <c r="Q723" t="s">
        <v>16</v>
      </c>
      <c r="R723" t="s">
        <v>1330</v>
      </c>
      <c r="S723" t="s">
        <v>296</v>
      </c>
      <c r="T723" t="s">
        <v>794</v>
      </c>
      <c r="U723" s="6">
        <v>42235.385925925926</v>
      </c>
      <c r="V723" t="s">
        <v>18</v>
      </c>
      <c r="W723" t="s">
        <v>17</v>
      </c>
      <c r="X723" s="6">
        <v>42213.339016203703</v>
      </c>
      <c r="Y723" t="s">
        <v>122</v>
      </c>
      <c r="AB723" t="s">
        <v>201</v>
      </c>
      <c r="AC723" t="s">
        <v>933</v>
      </c>
      <c r="AD723" t="s">
        <v>220</v>
      </c>
      <c r="AE723" t="s">
        <v>243</v>
      </c>
      <c r="AG723" t="s">
        <v>121</v>
      </c>
      <c r="AH723" t="s">
        <v>327</v>
      </c>
      <c r="AI723" t="s">
        <v>121</v>
      </c>
      <c r="AJ723" t="s">
        <v>717</v>
      </c>
      <c r="AK723" t="s">
        <v>121</v>
      </c>
      <c r="AL723" t="s">
        <v>121</v>
      </c>
      <c r="AM723" t="s">
        <v>121</v>
      </c>
    </row>
    <row r="724" spans="9:39" x14ac:dyDescent="0.3">
      <c r="I724">
        <f t="shared" ca="1" si="2"/>
        <v>1</v>
      </c>
      <c r="J724">
        <f t="shared" ca="1" si="3"/>
        <v>0</v>
      </c>
      <c r="K724">
        <f t="shared" ca="1" si="4"/>
        <v>632</v>
      </c>
      <c r="L724">
        <f t="shared" ca="1" si="5"/>
        <v>634</v>
      </c>
      <c r="M724" s="11">
        <f t="shared" ca="1" si="6"/>
        <v>66200</v>
      </c>
      <c r="N724">
        <v>66200</v>
      </c>
      <c r="O724" t="s">
        <v>22</v>
      </c>
      <c r="P724" t="s">
        <v>1549</v>
      </c>
      <c r="Q724" t="s">
        <v>39</v>
      </c>
      <c r="R724" t="s">
        <v>251</v>
      </c>
      <c r="S724" t="s">
        <v>177</v>
      </c>
      <c r="U724" s="6">
        <v>42216.359780092593</v>
      </c>
      <c r="V724" t="s">
        <v>18</v>
      </c>
      <c r="W724" t="s">
        <v>783</v>
      </c>
      <c r="X724" s="6">
        <v>42213.489363425928</v>
      </c>
      <c r="Y724" t="s">
        <v>245</v>
      </c>
      <c r="AB724" t="s">
        <v>199</v>
      </c>
      <c r="AC724" t="s">
        <v>247</v>
      </c>
      <c r="AD724" t="s">
        <v>222</v>
      </c>
      <c r="AE724" t="s">
        <v>221</v>
      </c>
      <c r="AG724" t="s">
        <v>121</v>
      </c>
      <c r="AH724" t="s">
        <v>327</v>
      </c>
      <c r="AI724" t="s">
        <v>121</v>
      </c>
      <c r="AJ724" t="s">
        <v>715</v>
      </c>
      <c r="AK724" t="s">
        <v>121</v>
      </c>
      <c r="AL724" t="s">
        <v>121</v>
      </c>
      <c r="AM724" t="s">
        <v>121</v>
      </c>
    </row>
    <row r="725" spans="9:39" x14ac:dyDescent="0.3">
      <c r="I725">
        <f t="shared" ca="1" si="2"/>
        <v>1</v>
      </c>
      <c r="J725">
        <f t="shared" ca="1" si="3"/>
        <v>0</v>
      </c>
      <c r="K725">
        <f t="shared" ca="1" si="4"/>
        <v>633</v>
      </c>
      <c r="L725">
        <f t="shared" ca="1" si="5"/>
        <v>634</v>
      </c>
      <c r="M725" s="11">
        <f t="shared" ca="1" si="6"/>
        <v>66203</v>
      </c>
      <c r="N725">
        <v>66203</v>
      </c>
      <c r="O725" t="s">
        <v>22</v>
      </c>
      <c r="P725" t="s">
        <v>1550</v>
      </c>
      <c r="Q725" t="s">
        <v>39</v>
      </c>
      <c r="R725" t="s">
        <v>579</v>
      </c>
      <c r="S725" t="s">
        <v>552</v>
      </c>
      <c r="U725" s="6">
        <v>42214.690694444442</v>
      </c>
      <c r="V725" t="s">
        <v>18</v>
      </c>
      <c r="W725" t="s">
        <v>783</v>
      </c>
      <c r="X725" s="6">
        <v>42213.518564814818</v>
      </c>
      <c r="Y725" t="s">
        <v>245</v>
      </c>
      <c r="AB725" t="s">
        <v>199</v>
      </c>
      <c r="AC725" t="s">
        <v>247</v>
      </c>
      <c r="AD725" t="s">
        <v>222</v>
      </c>
      <c r="AE725" t="s">
        <v>221</v>
      </c>
      <c r="AG725" t="s">
        <v>121</v>
      </c>
      <c r="AH725" t="s">
        <v>327</v>
      </c>
      <c r="AI725" t="s">
        <v>121</v>
      </c>
      <c r="AJ725" t="s">
        <v>715</v>
      </c>
      <c r="AK725" t="s">
        <v>121</v>
      </c>
      <c r="AL725" t="s">
        <v>121</v>
      </c>
      <c r="AM725" t="s">
        <v>121</v>
      </c>
    </row>
    <row r="726" spans="9:39" x14ac:dyDescent="0.3">
      <c r="I726">
        <f t="shared" ca="1" si="2"/>
        <v>1</v>
      </c>
      <c r="J726">
        <f t="shared" ca="1" si="3"/>
        <v>0</v>
      </c>
      <c r="K726">
        <f t="shared" ca="1" si="4"/>
        <v>633</v>
      </c>
      <c r="L726">
        <f t="shared" ca="1" si="5"/>
        <v>634</v>
      </c>
      <c r="M726" s="11">
        <f t="shared" ca="1" si="6"/>
        <v>66205</v>
      </c>
      <c r="N726">
        <v>66205</v>
      </c>
      <c r="O726" t="s">
        <v>22</v>
      </c>
      <c r="P726" t="s">
        <v>1551</v>
      </c>
      <c r="Q726" t="s">
        <v>39</v>
      </c>
      <c r="R726" t="s">
        <v>248</v>
      </c>
      <c r="S726" t="s">
        <v>552</v>
      </c>
      <c r="U726" s="6">
        <v>42214.690763888888</v>
      </c>
      <c r="V726" t="s">
        <v>18</v>
      </c>
      <c r="W726" t="s">
        <v>783</v>
      </c>
      <c r="X726" s="6">
        <v>42213.518680555557</v>
      </c>
      <c r="Y726" t="s">
        <v>245</v>
      </c>
      <c r="AB726" t="s">
        <v>199</v>
      </c>
      <c r="AC726" t="s">
        <v>247</v>
      </c>
      <c r="AD726" t="s">
        <v>222</v>
      </c>
      <c r="AE726" t="s">
        <v>221</v>
      </c>
      <c r="AG726" t="s">
        <v>121</v>
      </c>
      <c r="AH726" t="s">
        <v>327</v>
      </c>
      <c r="AI726" t="s">
        <v>121</v>
      </c>
      <c r="AJ726" t="s">
        <v>715</v>
      </c>
      <c r="AK726" t="s">
        <v>121</v>
      </c>
      <c r="AL726" t="s">
        <v>121</v>
      </c>
      <c r="AM726" t="s">
        <v>121</v>
      </c>
    </row>
    <row r="727" spans="9:39" x14ac:dyDescent="0.3">
      <c r="I727">
        <f t="shared" ca="1" si="2"/>
        <v>0</v>
      </c>
      <c r="J727">
        <f t="shared" ca="1" si="3"/>
        <v>1</v>
      </c>
      <c r="K727">
        <f t="shared" ca="1" si="4"/>
        <v>625</v>
      </c>
      <c r="L727">
        <f t="shared" ca="1" si="5"/>
        <v>633</v>
      </c>
      <c r="M727" s="11">
        <f t="shared" ca="1" si="6"/>
        <v>66235</v>
      </c>
      <c r="N727">
        <v>66235</v>
      </c>
      <c r="O727" t="s">
        <v>45</v>
      </c>
      <c r="P727" t="s">
        <v>1552</v>
      </c>
      <c r="Q727" t="s">
        <v>25</v>
      </c>
      <c r="R727" t="s">
        <v>251</v>
      </c>
      <c r="S727" t="s">
        <v>155</v>
      </c>
      <c r="U727" s="6">
        <v>42223.120925925927</v>
      </c>
      <c r="V727" t="s">
        <v>40</v>
      </c>
      <c r="W727" t="s">
        <v>783</v>
      </c>
      <c r="X727" s="6">
        <v>42214.058749999997</v>
      </c>
      <c r="Y727" t="s">
        <v>255</v>
      </c>
      <c r="AB727" t="s">
        <v>201</v>
      </c>
      <c r="AC727" t="s">
        <v>247</v>
      </c>
      <c r="AD727" t="s">
        <v>227</v>
      </c>
      <c r="AE727" t="s">
        <v>237</v>
      </c>
      <c r="AG727" t="s">
        <v>121</v>
      </c>
      <c r="AH727" t="s">
        <v>327</v>
      </c>
      <c r="AI727" t="s">
        <v>121</v>
      </c>
      <c r="AJ727" t="s">
        <v>716</v>
      </c>
      <c r="AK727" t="s">
        <v>121</v>
      </c>
      <c r="AL727" t="s">
        <v>121</v>
      </c>
      <c r="AM727" t="s">
        <v>121</v>
      </c>
    </row>
    <row r="728" spans="9:39" x14ac:dyDescent="0.3">
      <c r="I728">
        <f t="shared" ca="1" si="2"/>
        <v>0</v>
      </c>
      <c r="J728">
        <f t="shared" ca="1" si="3"/>
        <v>1</v>
      </c>
      <c r="K728">
        <f t="shared" ca="1" si="4"/>
        <v>632</v>
      </c>
      <c r="L728">
        <f t="shared" ca="1" si="5"/>
        <v>633</v>
      </c>
      <c r="M728" s="11">
        <f t="shared" ca="1" si="6"/>
        <v>66283</v>
      </c>
      <c r="N728">
        <v>66283</v>
      </c>
      <c r="O728" t="s">
        <v>45</v>
      </c>
      <c r="P728" t="s">
        <v>1553</v>
      </c>
      <c r="Q728" t="s">
        <v>25</v>
      </c>
      <c r="R728" t="s">
        <v>579</v>
      </c>
      <c r="S728" t="s">
        <v>552</v>
      </c>
      <c r="U728" s="6">
        <v>42215.673067129632</v>
      </c>
      <c r="V728" t="s">
        <v>18</v>
      </c>
      <c r="W728" t="s">
        <v>783</v>
      </c>
      <c r="X728" s="6">
        <v>42214.519375000003</v>
      </c>
      <c r="Y728" t="s">
        <v>255</v>
      </c>
      <c r="AB728" t="s">
        <v>201</v>
      </c>
      <c r="AC728" t="s">
        <v>247</v>
      </c>
      <c r="AD728" t="s">
        <v>227</v>
      </c>
      <c r="AE728" t="s">
        <v>237</v>
      </c>
      <c r="AG728" t="s">
        <v>121</v>
      </c>
      <c r="AH728" t="s">
        <v>327</v>
      </c>
      <c r="AI728" t="s">
        <v>121</v>
      </c>
      <c r="AJ728" t="s">
        <v>716</v>
      </c>
      <c r="AK728" t="s">
        <v>121</v>
      </c>
      <c r="AL728" t="s">
        <v>121</v>
      </c>
      <c r="AM728" t="s">
        <v>121</v>
      </c>
    </row>
    <row r="729" spans="9:39" x14ac:dyDescent="0.3">
      <c r="I729">
        <f t="shared" ca="1" si="2"/>
        <v>0</v>
      </c>
      <c r="J729">
        <f t="shared" ca="1" si="3"/>
        <v>1</v>
      </c>
      <c r="K729">
        <f t="shared" ca="1" si="4"/>
        <v>632</v>
      </c>
      <c r="L729">
        <f t="shared" ca="1" si="5"/>
        <v>633</v>
      </c>
      <c r="M729" s="11">
        <f t="shared" ca="1" si="6"/>
        <v>66284</v>
      </c>
      <c r="N729">
        <v>66284</v>
      </c>
      <c r="O729" t="s">
        <v>45</v>
      </c>
      <c r="P729" t="s">
        <v>1554</v>
      </c>
      <c r="Q729" t="s">
        <v>25</v>
      </c>
      <c r="R729" t="s">
        <v>248</v>
      </c>
      <c r="S729" t="s">
        <v>552</v>
      </c>
      <c r="U729" s="6">
        <v>42215.673067129632</v>
      </c>
      <c r="V729" t="s">
        <v>18</v>
      </c>
      <c r="W729" t="s">
        <v>783</v>
      </c>
      <c r="X729" s="6">
        <v>42214.519456018519</v>
      </c>
      <c r="Y729" t="s">
        <v>255</v>
      </c>
      <c r="AB729" t="s">
        <v>201</v>
      </c>
      <c r="AC729" t="s">
        <v>247</v>
      </c>
      <c r="AD729" t="s">
        <v>227</v>
      </c>
      <c r="AE729" t="s">
        <v>237</v>
      </c>
      <c r="AG729" t="s">
        <v>121</v>
      </c>
      <c r="AH729" t="s">
        <v>327</v>
      </c>
      <c r="AI729" t="s">
        <v>121</v>
      </c>
      <c r="AJ729" t="s">
        <v>716</v>
      </c>
      <c r="AK729" t="s">
        <v>121</v>
      </c>
      <c r="AL729" t="s">
        <v>121</v>
      </c>
      <c r="AM729" t="s">
        <v>121</v>
      </c>
    </row>
    <row r="730" spans="9:39" x14ac:dyDescent="0.3">
      <c r="I730">
        <f t="shared" ca="1" si="2"/>
        <v>0</v>
      </c>
      <c r="J730">
        <f t="shared" ca="1" si="3"/>
        <v>1</v>
      </c>
      <c r="K730">
        <f t="shared" ca="1" si="4"/>
        <v>632</v>
      </c>
      <c r="L730">
        <f t="shared" ca="1" si="5"/>
        <v>632</v>
      </c>
      <c r="M730" s="11">
        <f t="shared" ca="1" si="6"/>
        <v>66368</v>
      </c>
      <c r="N730">
        <v>66368</v>
      </c>
      <c r="O730" t="s">
        <v>45</v>
      </c>
      <c r="P730" t="s">
        <v>1555</v>
      </c>
      <c r="Q730" t="s">
        <v>25</v>
      </c>
      <c r="R730" t="s">
        <v>783</v>
      </c>
      <c r="S730" t="s">
        <v>552</v>
      </c>
      <c r="U730" s="6">
        <v>42215.674224537041</v>
      </c>
      <c r="V730" t="s">
        <v>18</v>
      </c>
      <c r="W730" t="s">
        <v>783</v>
      </c>
      <c r="X730" s="6">
        <v>42215.674224537041</v>
      </c>
      <c r="Y730" t="s">
        <v>255</v>
      </c>
      <c r="AB730" t="s">
        <v>201</v>
      </c>
      <c r="AC730" t="s">
        <v>247</v>
      </c>
      <c r="AD730" t="s">
        <v>227</v>
      </c>
      <c r="AE730" t="s">
        <v>237</v>
      </c>
      <c r="AG730" t="s">
        <v>121</v>
      </c>
      <c r="AH730" t="s">
        <v>327</v>
      </c>
      <c r="AI730" t="s">
        <v>121</v>
      </c>
      <c r="AJ730" t="s">
        <v>716</v>
      </c>
      <c r="AK730" t="s">
        <v>121</v>
      </c>
      <c r="AL730" t="s">
        <v>121</v>
      </c>
      <c r="AM730" t="s">
        <v>121</v>
      </c>
    </row>
    <row r="731" spans="9:39" x14ac:dyDescent="0.3">
      <c r="I731">
        <f t="shared" ca="1" si="2"/>
        <v>0</v>
      </c>
      <c r="J731">
        <f t="shared" ca="1" si="3"/>
        <v>0</v>
      </c>
      <c r="K731">
        <f t="shared" ca="1" si="4"/>
        <v>629</v>
      </c>
      <c r="L731">
        <f t="shared" ca="1" si="5"/>
        <v>632</v>
      </c>
      <c r="M731" s="11">
        <f t="shared" ca="1" si="6"/>
        <v>66377</v>
      </c>
      <c r="N731">
        <v>66377</v>
      </c>
      <c r="O731" t="s">
        <v>59</v>
      </c>
      <c r="P731" t="s">
        <v>1556</v>
      </c>
      <c r="Q731" t="s">
        <v>16</v>
      </c>
      <c r="R731" t="s">
        <v>579</v>
      </c>
      <c r="S731" t="s">
        <v>552</v>
      </c>
      <c r="U731" s="6">
        <v>42219.673275462963</v>
      </c>
      <c r="V731" t="s">
        <v>18</v>
      </c>
      <c r="W731" t="s">
        <v>783</v>
      </c>
      <c r="X731" s="6">
        <v>42216.018645833334</v>
      </c>
      <c r="Y731" t="s">
        <v>122</v>
      </c>
      <c r="AB731" t="s">
        <v>200</v>
      </c>
      <c r="AC731" t="s">
        <v>247</v>
      </c>
      <c r="AD731" t="s">
        <v>220</v>
      </c>
      <c r="AE731" t="s">
        <v>243</v>
      </c>
      <c r="AG731" t="s">
        <v>121</v>
      </c>
      <c r="AH731" t="s">
        <v>327</v>
      </c>
      <c r="AI731" t="s">
        <v>121</v>
      </c>
      <c r="AJ731" t="s">
        <v>716</v>
      </c>
      <c r="AK731" t="s">
        <v>121</v>
      </c>
      <c r="AL731" t="s">
        <v>121</v>
      </c>
      <c r="AM731" t="s">
        <v>121</v>
      </c>
    </row>
    <row r="732" spans="9:39" x14ac:dyDescent="0.3">
      <c r="I732">
        <f t="shared" ca="1" si="2"/>
        <v>0</v>
      </c>
      <c r="J732">
        <f t="shared" ca="1" si="3"/>
        <v>0</v>
      </c>
      <c r="K732">
        <f t="shared" ca="1" si="4"/>
        <v>628</v>
      </c>
      <c r="L732">
        <f t="shared" ca="1" si="5"/>
        <v>632</v>
      </c>
      <c r="M732" s="11">
        <f t="shared" ca="1" si="6"/>
        <v>66378</v>
      </c>
      <c r="N732">
        <v>66378</v>
      </c>
      <c r="O732" t="s">
        <v>59</v>
      </c>
      <c r="P732" t="s">
        <v>1557</v>
      </c>
      <c r="Q732" t="s">
        <v>16</v>
      </c>
      <c r="R732" t="s">
        <v>783</v>
      </c>
      <c r="S732" t="s">
        <v>552</v>
      </c>
      <c r="U732" s="6">
        <v>42220.303703703707</v>
      </c>
      <c r="V732" t="s">
        <v>18</v>
      </c>
      <c r="W732" t="s">
        <v>783</v>
      </c>
      <c r="X732" s="6">
        <v>42216.018692129626</v>
      </c>
      <c r="Y732" t="s">
        <v>122</v>
      </c>
      <c r="AB732" t="s">
        <v>200</v>
      </c>
      <c r="AC732" t="s">
        <v>247</v>
      </c>
      <c r="AD732" t="s">
        <v>220</v>
      </c>
      <c r="AE732" t="s">
        <v>219</v>
      </c>
      <c r="AG732" t="s">
        <v>121</v>
      </c>
      <c r="AH732" t="s">
        <v>327</v>
      </c>
      <c r="AI732" t="s">
        <v>121</v>
      </c>
      <c r="AJ732" t="s">
        <v>716</v>
      </c>
      <c r="AK732" t="s">
        <v>121</v>
      </c>
      <c r="AL732" t="s">
        <v>121</v>
      </c>
      <c r="AM732" t="s">
        <v>121</v>
      </c>
    </row>
    <row r="733" spans="9:39" x14ac:dyDescent="0.3">
      <c r="I733">
        <f t="shared" ca="1" si="2"/>
        <v>0</v>
      </c>
      <c r="J733">
        <f t="shared" ca="1" si="3"/>
        <v>0</v>
      </c>
      <c r="K733">
        <f t="shared" ca="1" si="4"/>
        <v>629</v>
      </c>
      <c r="L733">
        <f t="shared" ca="1" si="5"/>
        <v>632</v>
      </c>
      <c r="M733" s="11">
        <f t="shared" ca="1" si="6"/>
        <v>66379</v>
      </c>
      <c r="N733">
        <v>66379</v>
      </c>
      <c r="O733" t="s">
        <v>59</v>
      </c>
      <c r="P733" t="s">
        <v>1558</v>
      </c>
      <c r="Q733" t="s">
        <v>16</v>
      </c>
      <c r="R733" t="s">
        <v>248</v>
      </c>
      <c r="S733" t="s">
        <v>552</v>
      </c>
      <c r="U733" s="6">
        <v>42219.673310185186</v>
      </c>
      <c r="V733" t="s">
        <v>18</v>
      </c>
      <c r="W733" t="s">
        <v>783</v>
      </c>
      <c r="X733" s="6">
        <v>42216.018750000003</v>
      </c>
      <c r="Y733" t="s">
        <v>122</v>
      </c>
      <c r="AB733" t="s">
        <v>200</v>
      </c>
      <c r="AC733" t="s">
        <v>247</v>
      </c>
      <c r="AD733" t="s">
        <v>220</v>
      </c>
      <c r="AE733" t="s">
        <v>243</v>
      </c>
      <c r="AG733" t="s">
        <v>121</v>
      </c>
      <c r="AH733" t="s">
        <v>327</v>
      </c>
      <c r="AI733" t="s">
        <v>121</v>
      </c>
      <c r="AJ733" t="s">
        <v>716</v>
      </c>
      <c r="AK733" t="s">
        <v>121</v>
      </c>
      <c r="AL733" t="s">
        <v>121</v>
      </c>
      <c r="AM733" t="s">
        <v>121</v>
      </c>
    </row>
    <row r="734" spans="9:39" x14ac:dyDescent="0.3">
      <c r="I734">
        <f t="shared" ca="1" si="2"/>
        <v>0</v>
      </c>
      <c r="J734">
        <f t="shared" ca="1" si="3"/>
        <v>1</v>
      </c>
      <c r="K734">
        <f t="shared" ca="1" si="4"/>
        <v>622</v>
      </c>
      <c r="L734">
        <f t="shared" ca="1" si="5"/>
        <v>632</v>
      </c>
      <c r="M734" s="11">
        <f t="shared" ca="1" si="6"/>
        <v>66418</v>
      </c>
      <c r="N734">
        <v>66418</v>
      </c>
      <c r="O734" t="s">
        <v>56</v>
      </c>
      <c r="P734" t="s">
        <v>1559</v>
      </c>
      <c r="Q734" t="s">
        <v>25</v>
      </c>
      <c r="R734" t="s">
        <v>251</v>
      </c>
      <c r="S734" t="s">
        <v>1102</v>
      </c>
      <c r="U734" s="6">
        <v>42226.321574074071</v>
      </c>
      <c r="V734" t="s">
        <v>35</v>
      </c>
      <c r="W734" t="s">
        <v>17</v>
      </c>
      <c r="X734" s="6">
        <v>42216.661608796298</v>
      </c>
      <c r="Y734" t="s">
        <v>125</v>
      </c>
      <c r="AB734" t="s">
        <v>201</v>
      </c>
      <c r="AC734" t="s">
        <v>247</v>
      </c>
      <c r="AD734" t="s">
        <v>220</v>
      </c>
      <c r="AE734" t="s">
        <v>219</v>
      </c>
      <c r="AG734" t="s">
        <v>121</v>
      </c>
      <c r="AH734" t="s">
        <v>327</v>
      </c>
      <c r="AI734" t="s">
        <v>121</v>
      </c>
      <c r="AJ734" t="s">
        <v>716</v>
      </c>
      <c r="AK734" t="s">
        <v>121</v>
      </c>
      <c r="AL734" t="s">
        <v>121</v>
      </c>
      <c r="AM734" t="s">
        <v>121</v>
      </c>
    </row>
    <row r="735" spans="9:39" x14ac:dyDescent="0.3">
      <c r="I735">
        <f t="shared" ca="1" si="2"/>
        <v>0</v>
      </c>
      <c r="J735">
        <f t="shared" ca="1" si="3"/>
        <v>1</v>
      </c>
      <c r="K735">
        <f t="shared" ca="1" si="4"/>
        <v>629</v>
      </c>
      <c r="L735">
        <f t="shared" ca="1" si="5"/>
        <v>629</v>
      </c>
      <c r="M735" s="11">
        <f t="shared" ca="1" si="6"/>
        <v>66453</v>
      </c>
      <c r="N735">
        <v>66453</v>
      </c>
      <c r="O735" t="s">
        <v>56</v>
      </c>
      <c r="P735" t="s">
        <v>1560</v>
      </c>
      <c r="Q735" t="s">
        <v>25</v>
      </c>
      <c r="R735" t="s">
        <v>251</v>
      </c>
      <c r="S735" t="s">
        <v>187</v>
      </c>
      <c r="U735" s="6">
        <v>42219.35260416667</v>
      </c>
      <c r="V735" t="s">
        <v>18</v>
      </c>
      <c r="W735" t="s">
        <v>63</v>
      </c>
      <c r="X735" s="6">
        <v>42219.25712962963</v>
      </c>
      <c r="Y735" t="s">
        <v>786</v>
      </c>
      <c r="AB735" t="s">
        <v>201</v>
      </c>
      <c r="AC735" t="s">
        <v>247</v>
      </c>
      <c r="AD735" t="s">
        <v>220</v>
      </c>
      <c r="AE735" t="s">
        <v>219</v>
      </c>
      <c r="AG735" t="s">
        <v>121</v>
      </c>
      <c r="AH735" t="s">
        <v>327</v>
      </c>
      <c r="AI735" t="s">
        <v>121</v>
      </c>
      <c r="AJ735" t="s">
        <v>716</v>
      </c>
      <c r="AK735" t="s">
        <v>121</v>
      </c>
      <c r="AL735" t="s">
        <v>1561</v>
      </c>
      <c r="AM735" t="s">
        <v>121</v>
      </c>
    </row>
    <row r="736" spans="9:39" x14ac:dyDescent="0.3">
      <c r="I736">
        <f t="shared" ca="1" si="2"/>
        <v>0</v>
      </c>
      <c r="J736">
        <f t="shared" ca="1" si="3"/>
        <v>1</v>
      </c>
      <c r="K736">
        <f t="shared" ca="1" si="4"/>
        <v>629</v>
      </c>
      <c r="L736">
        <f t="shared" ca="1" si="5"/>
        <v>629</v>
      </c>
      <c r="M736" s="11">
        <f t="shared" ca="1" si="6"/>
        <v>66466</v>
      </c>
      <c r="N736">
        <v>66466</v>
      </c>
      <c r="O736" t="s">
        <v>56</v>
      </c>
      <c r="P736" t="s">
        <v>1562</v>
      </c>
      <c r="Q736" t="s">
        <v>25</v>
      </c>
      <c r="R736" t="s">
        <v>1389</v>
      </c>
      <c r="S736" t="s">
        <v>552</v>
      </c>
      <c r="U736" s="6">
        <v>42219.351493055554</v>
      </c>
      <c r="V736" t="s">
        <v>18</v>
      </c>
      <c r="W736" t="s">
        <v>17</v>
      </c>
      <c r="X736" s="6">
        <v>42219.351493055554</v>
      </c>
      <c r="Y736" t="s">
        <v>125</v>
      </c>
      <c r="AB736" t="s">
        <v>201</v>
      </c>
      <c r="AC736" t="s">
        <v>247</v>
      </c>
      <c r="AD736" t="s">
        <v>220</v>
      </c>
      <c r="AE736" t="s">
        <v>219</v>
      </c>
      <c r="AG736" t="s">
        <v>121</v>
      </c>
      <c r="AH736" t="s">
        <v>327</v>
      </c>
      <c r="AI736" t="s">
        <v>121</v>
      </c>
      <c r="AJ736" t="s">
        <v>716</v>
      </c>
      <c r="AK736" t="s">
        <v>121</v>
      </c>
      <c r="AL736" t="s">
        <v>121</v>
      </c>
      <c r="AM736" t="s">
        <v>121</v>
      </c>
    </row>
    <row r="737" spans="9:39" x14ac:dyDescent="0.3">
      <c r="I737">
        <f t="shared" ca="1" si="2"/>
        <v>0</v>
      </c>
      <c r="J737">
        <f t="shared" ca="1" si="3"/>
        <v>1</v>
      </c>
      <c r="K737">
        <f t="shared" ca="1" si="4"/>
        <v>629</v>
      </c>
      <c r="L737">
        <f t="shared" ca="1" si="5"/>
        <v>629</v>
      </c>
      <c r="M737" s="11">
        <f t="shared" ca="1" si="6"/>
        <v>66467</v>
      </c>
      <c r="N737">
        <v>66467</v>
      </c>
      <c r="O737" t="s">
        <v>56</v>
      </c>
      <c r="P737" t="s">
        <v>1563</v>
      </c>
      <c r="Q737" t="s">
        <v>25</v>
      </c>
      <c r="R737" t="s">
        <v>579</v>
      </c>
      <c r="S737" t="s">
        <v>552</v>
      </c>
      <c r="U737" s="6">
        <v>42219.351585648146</v>
      </c>
      <c r="V737" t="s">
        <v>18</v>
      </c>
      <c r="W737" t="s">
        <v>17</v>
      </c>
      <c r="X737" s="6">
        <v>42219.351585648146</v>
      </c>
      <c r="Y737" t="s">
        <v>125</v>
      </c>
      <c r="AB737" t="s">
        <v>201</v>
      </c>
      <c r="AC737" t="s">
        <v>247</v>
      </c>
      <c r="AD737" t="s">
        <v>220</v>
      </c>
      <c r="AE737" t="s">
        <v>219</v>
      </c>
      <c r="AG737" t="s">
        <v>121</v>
      </c>
      <c r="AH737" t="s">
        <v>327</v>
      </c>
      <c r="AI737" t="s">
        <v>121</v>
      </c>
      <c r="AJ737" t="s">
        <v>716</v>
      </c>
      <c r="AK737" t="s">
        <v>121</v>
      </c>
      <c r="AL737" t="s">
        <v>121</v>
      </c>
      <c r="AM737" t="s">
        <v>121</v>
      </c>
    </row>
    <row r="738" spans="9:39" x14ac:dyDescent="0.3">
      <c r="I738">
        <f t="shared" ca="1" si="2"/>
        <v>0</v>
      </c>
      <c r="J738">
        <f t="shared" ca="1" si="3"/>
        <v>1</v>
      </c>
      <c r="K738">
        <f t="shared" ca="1" si="4"/>
        <v>629</v>
      </c>
      <c r="L738">
        <f t="shared" ca="1" si="5"/>
        <v>629</v>
      </c>
      <c r="M738" s="11">
        <f t="shared" ca="1" si="6"/>
        <v>66468</v>
      </c>
      <c r="N738">
        <v>66468</v>
      </c>
      <c r="O738" t="s">
        <v>56</v>
      </c>
      <c r="P738" t="s">
        <v>1564</v>
      </c>
      <c r="Q738" t="s">
        <v>25</v>
      </c>
      <c r="R738" t="s">
        <v>783</v>
      </c>
      <c r="S738" t="s">
        <v>552</v>
      </c>
      <c r="U738" s="6">
        <v>42219.351678240739</v>
      </c>
      <c r="V738" t="s">
        <v>18</v>
      </c>
      <c r="W738" t="s">
        <v>17</v>
      </c>
      <c r="X738" s="6">
        <v>42219.351678240739</v>
      </c>
      <c r="Y738" t="s">
        <v>125</v>
      </c>
      <c r="AB738" t="s">
        <v>201</v>
      </c>
      <c r="AC738" t="s">
        <v>247</v>
      </c>
      <c r="AD738" t="s">
        <v>220</v>
      </c>
      <c r="AE738" t="s">
        <v>219</v>
      </c>
      <c r="AG738" t="s">
        <v>121</v>
      </c>
      <c r="AH738" t="s">
        <v>327</v>
      </c>
      <c r="AI738" t="s">
        <v>121</v>
      </c>
      <c r="AJ738" t="s">
        <v>716</v>
      </c>
      <c r="AK738" t="s">
        <v>121</v>
      </c>
      <c r="AL738" t="s">
        <v>121</v>
      </c>
      <c r="AM738" t="s">
        <v>121</v>
      </c>
    </row>
    <row r="739" spans="9:39" x14ac:dyDescent="0.3">
      <c r="I739">
        <f t="shared" ca="1" si="2"/>
        <v>0</v>
      </c>
      <c r="J739">
        <f t="shared" ca="1" si="3"/>
        <v>1</v>
      </c>
      <c r="K739">
        <f t="shared" ca="1" si="4"/>
        <v>629</v>
      </c>
      <c r="L739">
        <f t="shared" ca="1" si="5"/>
        <v>629</v>
      </c>
      <c r="M739" s="11">
        <f t="shared" ca="1" si="6"/>
        <v>66469</v>
      </c>
      <c r="N739">
        <v>66469</v>
      </c>
      <c r="O739" t="s">
        <v>56</v>
      </c>
      <c r="P739" t="s">
        <v>1565</v>
      </c>
      <c r="Q739" t="s">
        <v>25</v>
      </c>
      <c r="R739" t="s">
        <v>248</v>
      </c>
      <c r="S739" t="s">
        <v>552</v>
      </c>
      <c r="U739" s="6">
        <v>42219.351770833331</v>
      </c>
      <c r="V739" t="s">
        <v>18</v>
      </c>
      <c r="W739" t="s">
        <v>17</v>
      </c>
      <c r="X739" s="6">
        <v>42219.351770833331</v>
      </c>
      <c r="Y739" t="s">
        <v>125</v>
      </c>
      <c r="AB739" t="s">
        <v>201</v>
      </c>
      <c r="AC739" t="s">
        <v>247</v>
      </c>
      <c r="AD739" t="s">
        <v>220</v>
      </c>
      <c r="AE739" t="s">
        <v>219</v>
      </c>
      <c r="AG739" t="s">
        <v>121</v>
      </c>
      <c r="AH739" t="s">
        <v>327</v>
      </c>
      <c r="AI739" t="s">
        <v>121</v>
      </c>
      <c r="AJ739" t="s">
        <v>716</v>
      </c>
      <c r="AK739" t="s">
        <v>121</v>
      </c>
      <c r="AL739" t="s">
        <v>121</v>
      </c>
      <c r="AM739" t="s">
        <v>121</v>
      </c>
    </row>
    <row r="740" spans="9:39" x14ac:dyDescent="0.3">
      <c r="I740">
        <f t="shared" ca="1" si="2"/>
        <v>0</v>
      </c>
      <c r="J740">
        <f t="shared" ca="1" si="3"/>
        <v>1</v>
      </c>
      <c r="K740">
        <f t="shared" ca="1" si="4"/>
        <v>629</v>
      </c>
      <c r="L740">
        <f t="shared" ca="1" si="5"/>
        <v>629</v>
      </c>
      <c r="M740" s="11">
        <f t="shared" ca="1" si="6"/>
        <v>66470</v>
      </c>
      <c r="N740">
        <v>66470</v>
      </c>
      <c r="O740" t="s">
        <v>56</v>
      </c>
      <c r="P740" t="s">
        <v>1566</v>
      </c>
      <c r="Q740" t="s">
        <v>25</v>
      </c>
      <c r="R740" t="s">
        <v>1531</v>
      </c>
      <c r="S740" t="s">
        <v>552</v>
      </c>
      <c r="U740" s="6">
        <v>42219.352129629631</v>
      </c>
      <c r="V740" t="s">
        <v>18</v>
      </c>
      <c r="W740" t="s">
        <v>63</v>
      </c>
      <c r="X740" s="6">
        <v>42219.352129629631</v>
      </c>
      <c r="Y740" t="s">
        <v>786</v>
      </c>
      <c r="AB740" t="s">
        <v>201</v>
      </c>
      <c r="AC740" t="s">
        <v>247</v>
      </c>
      <c r="AD740" t="s">
        <v>220</v>
      </c>
      <c r="AE740" t="s">
        <v>219</v>
      </c>
      <c r="AG740" t="s">
        <v>121</v>
      </c>
      <c r="AH740" t="s">
        <v>327</v>
      </c>
      <c r="AI740" t="s">
        <v>121</v>
      </c>
      <c r="AJ740" t="s">
        <v>716</v>
      </c>
      <c r="AK740" t="s">
        <v>121</v>
      </c>
      <c r="AL740" t="s">
        <v>1561</v>
      </c>
      <c r="AM740" t="s">
        <v>121</v>
      </c>
    </row>
    <row r="741" spans="9:39" x14ac:dyDescent="0.3">
      <c r="I741">
        <f t="shared" ca="1" si="2"/>
        <v>0</v>
      </c>
      <c r="J741">
        <f t="shared" ca="1" si="3"/>
        <v>1</v>
      </c>
      <c r="K741">
        <f t="shared" ca="1" si="4"/>
        <v>629</v>
      </c>
      <c r="L741">
        <f t="shared" ca="1" si="5"/>
        <v>629</v>
      </c>
      <c r="M741" s="11">
        <f t="shared" ca="1" si="6"/>
        <v>66471</v>
      </c>
      <c r="N741">
        <v>66471</v>
      </c>
      <c r="O741" t="s">
        <v>56</v>
      </c>
      <c r="P741" t="s">
        <v>1567</v>
      </c>
      <c r="Q741" t="s">
        <v>25</v>
      </c>
      <c r="R741" t="s">
        <v>1389</v>
      </c>
      <c r="S741" t="s">
        <v>552</v>
      </c>
      <c r="U741" s="6">
        <v>42219.352210648147</v>
      </c>
      <c r="V741" t="s">
        <v>18</v>
      </c>
      <c r="W741" t="s">
        <v>63</v>
      </c>
      <c r="X741" s="6">
        <v>42219.352210648147</v>
      </c>
      <c r="Y741" t="s">
        <v>786</v>
      </c>
      <c r="AB741" t="s">
        <v>201</v>
      </c>
      <c r="AC741" t="s">
        <v>247</v>
      </c>
      <c r="AD741" t="s">
        <v>220</v>
      </c>
      <c r="AE741" t="s">
        <v>219</v>
      </c>
      <c r="AG741" t="s">
        <v>121</v>
      </c>
      <c r="AH741" t="s">
        <v>327</v>
      </c>
      <c r="AI741" t="s">
        <v>121</v>
      </c>
      <c r="AJ741" t="s">
        <v>716</v>
      </c>
      <c r="AK741" t="s">
        <v>121</v>
      </c>
      <c r="AL741" t="s">
        <v>1561</v>
      </c>
      <c r="AM741" t="s">
        <v>121</v>
      </c>
    </row>
    <row r="742" spans="9:39" x14ac:dyDescent="0.3">
      <c r="I742">
        <f t="shared" ca="1" si="2"/>
        <v>0</v>
      </c>
      <c r="J742">
        <f t="shared" ca="1" si="3"/>
        <v>1</v>
      </c>
      <c r="K742">
        <f t="shared" ca="1" si="4"/>
        <v>629</v>
      </c>
      <c r="L742">
        <f t="shared" ca="1" si="5"/>
        <v>629</v>
      </c>
      <c r="M742" s="11">
        <f t="shared" ca="1" si="6"/>
        <v>66472</v>
      </c>
      <c r="N742">
        <v>66472</v>
      </c>
      <c r="O742" t="s">
        <v>56</v>
      </c>
      <c r="P742" t="s">
        <v>1568</v>
      </c>
      <c r="Q742" t="s">
        <v>25</v>
      </c>
      <c r="R742" t="s">
        <v>579</v>
      </c>
      <c r="S742" t="s">
        <v>552</v>
      </c>
      <c r="U742" s="6">
        <v>42219.352280092593</v>
      </c>
      <c r="V742" t="s">
        <v>18</v>
      </c>
      <c r="W742" t="s">
        <v>63</v>
      </c>
      <c r="X742" s="6">
        <v>42219.352280092593</v>
      </c>
      <c r="Y742" t="s">
        <v>786</v>
      </c>
      <c r="AB742" t="s">
        <v>201</v>
      </c>
      <c r="AC742" t="s">
        <v>247</v>
      </c>
      <c r="AD742" t="s">
        <v>220</v>
      </c>
      <c r="AE742" t="s">
        <v>219</v>
      </c>
      <c r="AG742" t="s">
        <v>121</v>
      </c>
      <c r="AH742" t="s">
        <v>327</v>
      </c>
      <c r="AI742" t="s">
        <v>121</v>
      </c>
      <c r="AJ742" t="s">
        <v>716</v>
      </c>
      <c r="AK742" t="s">
        <v>121</v>
      </c>
      <c r="AL742" t="s">
        <v>1561</v>
      </c>
      <c r="AM742" t="s">
        <v>121</v>
      </c>
    </row>
    <row r="743" spans="9:39" x14ac:dyDescent="0.3">
      <c r="I743">
        <f t="shared" ca="1" si="2"/>
        <v>0</v>
      </c>
      <c r="J743">
        <f t="shared" ca="1" si="3"/>
        <v>1</v>
      </c>
      <c r="K743">
        <f t="shared" ca="1" si="4"/>
        <v>629</v>
      </c>
      <c r="L743">
        <f t="shared" ca="1" si="5"/>
        <v>629</v>
      </c>
      <c r="M743" s="11">
        <f t="shared" ca="1" si="6"/>
        <v>66473</v>
      </c>
      <c r="N743">
        <v>66473</v>
      </c>
      <c r="O743" t="s">
        <v>56</v>
      </c>
      <c r="P743" t="s">
        <v>1569</v>
      </c>
      <c r="Q743" t="s">
        <v>25</v>
      </c>
      <c r="R743" t="s">
        <v>783</v>
      </c>
      <c r="S743" t="s">
        <v>552</v>
      </c>
      <c r="U743" s="6">
        <v>42219.352349537039</v>
      </c>
      <c r="V743" t="s">
        <v>18</v>
      </c>
      <c r="W743" t="s">
        <v>63</v>
      </c>
      <c r="X743" s="6">
        <v>42219.352349537039</v>
      </c>
      <c r="Y743" t="s">
        <v>786</v>
      </c>
      <c r="AB743" t="s">
        <v>201</v>
      </c>
      <c r="AC743" t="s">
        <v>247</v>
      </c>
      <c r="AD743" t="s">
        <v>220</v>
      </c>
      <c r="AE743" t="s">
        <v>219</v>
      </c>
      <c r="AG743" t="s">
        <v>121</v>
      </c>
      <c r="AH743" t="s">
        <v>327</v>
      </c>
      <c r="AI743" t="s">
        <v>121</v>
      </c>
      <c r="AJ743" t="s">
        <v>716</v>
      </c>
      <c r="AK743" t="s">
        <v>121</v>
      </c>
      <c r="AL743" t="s">
        <v>1561</v>
      </c>
      <c r="AM743" t="s">
        <v>121</v>
      </c>
    </row>
    <row r="744" spans="9:39" x14ac:dyDescent="0.3">
      <c r="I744">
        <f t="shared" ca="1" si="2"/>
        <v>0</v>
      </c>
      <c r="J744">
        <f t="shared" ca="1" si="3"/>
        <v>1</v>
      </c>
      <c r="K744">
        <f t="shared" ca="1" si="4"/>
        <v>629</v>
      </c>
      <c r="L744">
        <f t="shared" ca="1" si="5"/>
        <v>629</v>
      </c>
      <c r="M744" s="11">
        <f t="shared" ca="1" si="6"/>
        <v>66474</v>
      </c>
      <c r="N744">
        <v>66474</v>
      </c>
      <c r="O744" t="s">
        <v>56</v>
      </c>
      <c r="P744" t="s">
        <v>1570</v>
      </c>
      <c r="Q744" t="s">
        <v>25</v>
      </c>
      <c r="R744" t="s">
        <v>248</v>
      </c>
      <c r="S744" t="s">
        <v>552</v>
      </c>
      <c r="U744" s="6">
        <v>42219.352407407408</v>
      </c>
      <c r="V744" t="s">
        <v>18</v>
      </c>
      <c r="W744" t="s">
        <v>63</v>
      </c>
      <c r="X744" s="6">
        <v>42219.352407407408</v>
      </c>
      <c r="Y744" t="s">
        <v>786</v>
      </c>
      <c r="AB744" t="s">
        <v>201</v>
      </c>
      <c r="AC744" t="s">
        <v>247</v>
      </c>
      <c r="AD744" t="s">
        <v>220</v>
      </c>
      <c r="AE744" t="s">
        <v>219</v>
      </c>
      <c r="AG744" t="s">
        <v>121</v>
      </c>
      <c r="AH744" t="s">
        <v>327</v>
      </c>
      <c r="AI744" t="s">
        <v>121</v>
      </c>
      <c r="AJ744" t="s">
        <v>716</v>
      </c>
      <c r="AK744" t="s">
        <v>121</v>
      </c>
      <c r="AL744" t="s">
        <v>1561</v>
      </c>
      <c r="AM744" t="s">
        <v>121</v>
      </c>
    </row>
    <row r="745" spans="9:39" x14ac:dyDescent="0.3">
      <c r="I745">
        <f t="shared" ca="1" si="2"/>
        <v>0</v>
      </c>
      <c r="J745">
        <f t="shared" ca="1" si="3"/>
        <v>1</v>
      </c>
      <c r="K745">
        <f t="shared" ca="1" si="4"/>
        <v>629</v>
      </c>
      <c r="L745">
        <f t="shared" ca="1" si="5"/>
        <v>629</v>
      </c>
      <c r="M745" s="11">
        <f t="shared" ca="1" si="6"/>
        <v>66475</v>
      </c>
      <c r="N745">
        <v>66475</v>
      </c>
      <c r="O745" t="s">
        <v>56</v>
      </c>
      <c r="P745" t="s">
        <v>1571</v>
      </c>
      <c r="Q745" t="s">
        <v>25</v>
      </c>
      <c r="R745" t="s">
        <v>1375</v>
      </c>
      <c r="S745" t="s">
        <v>552</v>
      </c>
      <c r="U745" s="6">
        <v>42219.352465277778</v>
      </c>
      <c r="V745" t="s">
        <v>18</v>
      </c>
      <c r="W745" t="s">
        <v>63</v>
      </c>
      <c r="X745" s="6">
        <v>42219.352465277778</v>
      </c>
      <c r="Y745" t="s">
        <v>786</v>
      </c>
      <c r="AB745" t="s">
        <v>201</v>
      </c>
      <c r="AC745" t="s">
        <v>247</v>
      </c>
      <c r="AD745" t="s">
        <v>220</v>
      </c>
      <c r="AE745" t="s">
        <v>219</v>
      </c>
      <c r="AG745" t="s">
        <v>121</v>
      </c>
      <c r="AH745" t="s">
        <v>327</v>
      </c>
      <c r="AI745" t="s">
        <v>121</v>
      </c>
      <c r="AJ745" t="s">
        <v>716</v>
      </c>
      <c r="AK745" t="s">
        <v>121</v>
      </c>
      <c r="AL745" t="s">
        <v>1561</v>
      </c>
      <c r="AM745" t="s">
        <v>121</v>
      </c>
    </row>
    <row r="746" spans="9:39" x14ac:dyDescent="0.3">
      <c r="I746">
        <f t="shared" ca="1" si="2"/>
        <v>0</v>
      </c>
      <c r="J746">
        <f t="shared" ca="1" si="3"/>
        <v>1</v>
      </c>
      <c r="K746">
        <f t="shared" ca="1" si="4"/>
        <v>620</v>
      </c>
      <c r="L746">
        <f t="shared" ca="1" si="5"/>
        <v>629</v>
      </c>
      <c r="M746" s="11">
        <f t="shared" ca="1" si="6"/>
        <v>66476</v>
      </c>
      <c r="N746">
        <v>66476</v>
      </c>
      <c r="O746" t="s">
        <v>56</v>
      </c>
      <c r="P746" t="s">
        <v>1572</v>
      </c>
      <c r="Q746" t="s">
        <v>25</v>
      </c>
      <c r="R746" t="s">
        <v>1439</v>
      </c>
      <c r="S746" t="s">
        <v>552</v>
      </c>
      <c r="U746" s="6">
        <v>42228.96539351852</v>
      </c>
      <c r="V746" t="s">
        <v>18</v>
      </c>
      <c r="W746" t="s">
        <v>63</v>
      </c>
      <c r="X746" s="6">
        <v>42219.352534722224</v>
      </c>
      <c r="Y746" t="s">
        <v>786</v>
      </c>
      <c r="AB746" t="s">
        <v>201</v>
      </c>
      <c r="AC746" t="s">
        <v>247</v>
      </c>
      <c r="AD746" t="s">
        <v>220</v>
      </c>
      <c r="AE746" t="s">
        <v>219</v>
      </c>
      <c r="AG746" t="s">
        <v>121</v>
      </c>
      <c r="AH746" t="s">
        <v>327</v>
      </c>
      <c r="AI746" t="s">
        <v>121</v>
      </c>
      <c r="AJ746" t="s">
        <v>716</v>
      </c>
      <c r="AK746" t="s">
        <v>121</v>
      </c>
      <c r="AL746" t="s">
        <v>1561</v>
      </c>
      <c r="AM746" t="s">
        <v>121</v>
      </c>
    </row>
    <row r="747" spans="9:39" x14ac:dyDescent="0.3">
      <c r="I747">
        <f t="shared" ca="1" si="2"/>
        <v>0</v>
      </c>
      <c r="J747">
        <f t="shared" ca="1" si="3"/>
        <v>1</v>
      </c>
      <c r="K747">
        <f t="shared" ca="1" si="4"/>
        <v>620</v>
      </c>
      <c r="L747">
        <f t="shared" ca="1" si="5"/>
        <v>629</v>
      </c>
      <c r="M747" s="11">
        <f t="shared" ca="1" si="6"/>
        <v>66477</v>
      </c>
      <c r="N747">
        <v>66477</v>
      </c>
      <c r="O747" t="s">
        <v>56</v>
      </c>
      <c r="P747" t="s">
        <v>1573</v>
      </c>
      <c r="Q747" t="s">
        <v>25</v>
      </c>
      <c r="R747" t="s">
        <v>1425</v>
      </c>
      <c r="S747" t="s">
        <v>552</v>
      </c>
      <c r="U747" s="6">
        <v>42228.463761574072</v>
      </c>
      <c r="V747" t="s">
        <v>18</v>
      </c>
      <c r="W747" t="s">
        <v>63</v>
      </c>
      <c r="X747" s="6">
        <v>42219.35260416667</v>
      </c>
      <c r="Y747" t="s">
        <v>786</v>
      </c>
      <c r="AB747" t="s">
        <v>201</v>
      </c>
      <c r="AC747" t="s">
        <v>247</v>
      </c>
      <c r="AD747" t="s">
        <v>220</v>
      </c>
      <c r="AE747" t="s">
        <v>219</v>
      </c>
      <c r="AG747" t="s">
        <v>121</v>
      </c>
      <c r="AH747" t="s">
        <v>327</v>
      </c>
      <c r="AI747" t="s">
        <v>121</v>
      </c>
      <c r="AJ747" t="s">
        <v>716</v>
      </c>
      <c r="AK747" t="s">
        <v>121</v>
      </c>
      <c r="AL747" t="s">
        <v>1561</v>
      </c>
      <c r="AM747" t="s">
        <v>121</v>
      </c>
    </row>
    <row r="748" spans="9:39" x14ac:dyDescent="0.3">
      <c r="I748">
        <f t="shared" ca="1" si="2"/>
        <v>0</v>
      </c>
      <c r="J748">
        <f t="shared" ca="1" si="3"/>
        <v>1</v>
      </c>
      <c r="K748">
        <f t="shared" ca="1" si="4"/>
        <v>627</v>
      </c>
      <c r="L748">
        <f t="shared" ca="1" si="5"/>
        <v>629</v>
      </c>
      <c r="M748" s="11">
        <f t="shared" ca="1" si="6"/>
        <v>66480</v>
      </c>
      <c r="N748">
        <v>66480</v>
      </c>
      <c r="O748" t="s">
        <v>22</v>
      </c>
      <c r="P748" t="s">
        <v>1574</v>
      </c>
      <c r="Q748" t="s">
        <v>25</v>
      </c>
      <c r="R748" t="s">
        <v>251</v>
      </c>
      <c r="S748" t="s">
        <v>296</v>
      </c>
      <c r="U748" s="6">
        <v>42221.127893518518</v>
      </c>
      <c r="V748" t="s">
        <v>18</v>
      </c>
      <c r="W748" t="s">
        <v>17</v>
      </c>
      <c r="X748" s="6">
        <v>42219.3749537037</v>
      </c>
      <c r="Y748" t="s">
        <v>125</v>
      </c>
      <c r="AB748" t="s">
        <v>201</v>
      </c>
      <c r="AC748" t="s">
        <v>247</v>
      </c>
      <c r="AD748" t="s">
        <v>220</v>
      </c>
      <c r="AE748" t="s">
        <v>243</v>
      </c>
      <c r="AG748" t="s">
        <v>121</v>
      </c>
      <c r="AH748" t="s">
        <v>327</v>
      </c>
      <c r="AI748" t="s">
        <v>121</v>
      </c>
      <c r="AJ748" t="s">
        <v>716</v>
      </c>
      <c r="AK748" t="s">
        <v>121</v>
      </c>
      <c r="AL748" t="s">
        <v>121</v>
      </c>
      <c r="AM748" t="s">
        <v>121</v>
      </c>
    </row>
    <row r="749" spans="9:39" x14ac:dyDescent="0.3">
      <c r="I749">
        <f t="shared" ca="1" si="2"/>
        <v>0</v>
      </c>
      <c r="J749">
        <f t="shared" ca="1" si="3"/>
        <v>1</v>
      </c>
      <c r="K749">
        <f t="shared" ca="1" si="4"/>
        <v>628</v>
      </c>
      <c r="L749">
        <f t="shared" ca="1" si="5"/>
        <v>629</v>
      </c>
      <c r="M749" s="11">
        <f t="shared" ca="1" si="6"/>
        <v>66481</v>
      </c>
      <c r="N749">
        <v>66481</v>
      </c>
      <c r="O749" t="s">
        <v>22</v>
      </c>
      <c r="P749" t="s">
        <v>1575</v>
      </c>
      <c r="Q749" t="s">
        <v>25</v>
      </c>
      <c r="R749" t="s">
        <v>783</v>
      </c>
      <c r="S749" t="s">
        <v>552</v>
      </c>
      <c r="U749" s="6">
        <v>42220.303842592592</v>
      </c>
      <c r="V749" t="s">
        <v>18</v>
      </c>
      <c r="W749" t="s">
        <v>17</v>
      </c>
      <c r="X749" s="6">
        <v>42219.382847222223</v>
      </c>
      <c r="Y749" t="s">
        <v>125</v>
      </c>
      <c r="AB749" t="s">
        <v>201</v>
      </c>
      <c r="AC749" t="s">
        <v>247</v>
      </c>
      <c r="AD749" t="s">
        <v>220</v>
      </c>
      <c r="AE749" t="s">
        <v>219</v>
      </c>
      <c r="AG749" t="s">
        <v>121</v>
      </c>
      <c r="AH749" t="s">
        <v>327</v>
      </c>
      <c r="AI749" t="s">
        <v>121</v>
      </c>
      <c r="AJ749" t="s">
        <v>716</v>
      </c>
      <c r="AK749" t="s">
        <v>121</v>
      </c>
      <c r="AL749" t="s">
        <v>121</v>
      </c>
      <c r="AM749" t="s">
        <v>121</v>
      </c>
    </row>
    <row r="750" spans="9:39" x14ac:dyDescent="0.3">
      <c r="I750">
        <f t="shared" ca="1" si="2"/>
        <v>0</v>
      </c>
      <c r="J750">
        <f t="shared" ca="1" si="3"/>
        <v>1</v>
      </c>
      <c r="K750">
        <f t="shared" ca="1" si="4"/>
        <v>629</v>
      </c>
      <c r="L750">
        <f t="shared" ca="1" si="5"/>
        <v>629</v>
      </c>
      <c r="M750" s="11">
        <f t="shared" ca="1" si="6"/>
        <v>66482</v>
      </c>
      <c r="N750">
        <v>66482</v>
      </c>
      <c r="O750" t="s">
        <v>22</v>
      </c>
      <c r="P750" t="s">
        <v>1576</v>
      </c>
      <c r="Q750" t="s">
        <v>25</v>
      </c>
      <c r="R750" t="s">
        <v>248</v>
      </c>
      <c r="S750" t="s">
        <v>552</v>
      </c>
      <c r="U750" s="6">
        <v>42219.382916666669</v>
      </c>
      <c r="V750" t="s">
        <v>18</v>
      </c>
      <c r="W750" t="s">
        <v>17</v>
      </c>
      <c r="X750" s="6">
        <v>42219.382916666669</v>
      </c>
      <c r="Y750" t="s">
        <v>125</v>
      </c>
      <c r="AB750" t="s">
        <v>201</v>
      </c>
      <c r="AC750" t="s">
        <v>247</v>
      </c>
      <c r="AD750" t="s">
        <v>220</v>
      </c>
      <c r="AE750" t="s">
        <v>243</v>
      </c>
      <c r="AG750" t="s">
        <v>121</v>
      </c>
      <c r="AH750" t="s">
        <v>327</v>
      </c>
      <c r="AI750" t="s">
        <v>121</v>
      </c>
      <c r="AJ750" t="s">
        <v>716</v>
      </c>
      <c r="AK750" t="s">
        <v>121</v>
      </c>
      <c r="AL750" t="s">
        <v>121</v>
      </c>
      <c r="AM750" t="s">
        <v>121</v>
      </c>
    </row>
    <row r="751" spans="9:39" x14ac:dyDescent="0.3">
      <c r="I751">
        <f t="shared" ca="1" si="2"/>
        <v>1</v>
      </c>
      <c r="J751">
        <f t="shared" ca="1" si="3"/>
        <v>0</v>
      </c>
      <c r="K751">
        <f t="shared" ca="1" si="4"/>
        <v>627</v>
      </c>
      <c r="L751">
        <f t="shared" ca="1" si="5"/>
        <v>627</v>
      </c>
      <c r="M751" s="11">
        <f t="shared" ca="1" si="6"/>
        <v>66612</v>
      </c>
      <c r="N751">
        <v>66612</v>
      </c>
      <c r="O751" t="s">
        <v>56</v>
      </c>
      <c r="P751" t="s">
        <v>1577</v>
      </c>
      <c r="Q751" t="s">
        <v>25</v>
      </c>
      <c r="R751" t="s">
        <v>251</v>
      </c>
      <c r="S751" t="s">
        <v>1578</v>
      </c>
      <c r="U751" s="6">
        <v>42221.382465277777</v>
      </c>
      <c r="V751" t="s">
        <v>18</v>
      </c>
      <c r="W751" t="s">
        <v>248</v>
      </c>
      <c r="X751" s="6">
        <v>42221.233472222222</v>
      </c>
      <c r="Y751" t="s">
        <v>793</v>
      </c>
      <c r="AB751" t="s">
        <v>200</v>
      </c>
      <c r="AC751" t="s">
        <v>247</v>
      </c>
      <c r="AD751" t="s">
        <v>220</v>
      </c>
      <c r="AE751" t="s">
        <v>219</v>
      </c>
      <c r="AG751" t="s">
        <v>121</v>
      </c>
      <c r="AH751" t="s">
        <v>327</v>
      </c>
      <c r="AI751" t="s">
        <v>121</v>
      </c>
      <c r="AJ751" t="s">
        <v>715</v>
      </c>
      <c r="AK751" t="s">
        <v>121</v>
      </c>
      <c r="AL751" t="s">
        <v>121</v>
      </c>
      <c r="AM751" t="s">
        <v>121</v>
      </c>
    </row>
    <row r="752" spans="9:39" x14ac:dyDescent="0.3">
      <c r="I752">
        <f t="shared" ca="1" si="2"/>
        <v>1</v>
      </c>
      <c r="J752">
        <f t="shared" ca="1" si="3"/>
        <v>0</v>
      </c>
      <c r="K752">
        <f t="shared" ca="1" si="4"/>
        <v>627</v>
      </c>
      <c r="L752">
        <f t="shared" ca="1" si="5"/>
        <v>627</v>
      </c>
      <c r="M752" s="11">
        <f t="shared" ca="1" si="6"/>
        <v>66618</v>
      </c>
      <c r="N752">
        <v>66618</v>
      </c>
      <c r="O752" t="s">
        <v>56</v>
      </c>
      <c r="P752" t="s">
        <v>1579</v>
      </c>
      <c r="Q752" t="s">
        <v>25</v>
      </c>
      <c r="R752" t="s">
        <v>248</v>
      </c>
      <c r="S752" t="s">
        <v>552</v>
      </c>
      <c r="U752" s="6">
        <v>42221.38244212963</v>
      </c>
      <c r="V752" t="s">
        <v>18</v>
      </c>
      <c r="W752" t="s">
        <v>248</v>
      </c>
      <c r="X752" s="6">
        <v>42221.380497685182</v>
      </c>
      <c r="Y752" t="s">
        <v>793</v>
      </c>
      <c r="AB752" t="s">
        <v>200</v>
      </c>
      <c r="AC752" t="s">
        <v>247</v>
      </c>
      <c r="AD752" t="s">
        <v>220</v>
      </c>
      <c r="AE752" t="s">
        <v>219</v>
      </c>
      <c r="AG752" t="s">
        <v>121</v>
      </c>
      <c r="AH752" t="s">
        <v>327</v>
      </c>
      <c r="AI752" t="s">
        <v>121</v>
      </c>
      <c r="AJ752" t="s">
        <v>715</v>
      </c>
      <c r="AK752" t="s">
        <v>121</v>
      </c>
      <c r="AL752" t="s">
        <v>121</v>
      </c>
      <c r="AM752" t="s">
        <v>121</v>
      </c>
    </row>
    <row r="753" spans="9:39" x14ac:dyDescent="0.3">
      <c r="I753">
        <f t="shared" ca="1" si="2"/>
        <v>0</v>
      </c>
      <c r="J753">
        <f t="shared" ca="1" si="3"/>
        <v>1</v>
      </c>
      <c r="K753">
        <f t="shared" ca="1" si="4"/>
        <v>620</v>
      </c>
      <c r="L753">
        <f t="shared" ca="1" si="5"/>
        <v>627</v>
      </c>
      <c r="M753" s="11">
        <f t="shared" ca="1" si="6"/>
        <v>66631</v>
      </c>
      <c r="N753">
        <v>66631</v>
      </c>
      <c r="O753" t="s">
        <v>1233</v>
      </c>
      <c r="P753" t="s">
        <v>1580</v>
      </c>
      <c r="Q753" t="s">
        <v>25</v>
      </c>
      <c r="R753" t="s">
        <v>783</v>
      </c>
      <c r="S753" t="s">
        <v>552</v>
      </c>
      <c r="U753" s="6">
        <v>42228.671273148146</v>
      </c>
      <c r="V753" t="s">
        <v>18</v>
      </c>
      <c r="W753" t="s">
        <v>17</v>
      </c>
      <c r="X753" s="6">
        <v>42221.481898148151</v>
      </c>
      <c r="Y753" t="s">
        <v>255</v>
      </c>
      <c r="AB753" t="s">
        <v>201</v>
      </c>
      <c r="AC753" t="s">
        <v>247</v>
      </c>
      <c r="AD753" t="s">
        <v>220</v>
      </c>
      <c r="AE753" t="s">
        <v>229</v>
      </c>
      <c r="AG753" t="s">
        <v>121</v>
      </c>
      <c r="AH753" t="s">
        <v>327</v>
      </c>
      <c r="AI753" t="s">
        <v>362</v>
      </c>
      <c r="AJ753" t="s">
        <v>716</v>
      </c>
      <c r="AK753" t="s">
        <v>121</v>
      </c>
      <c r="AL753" t="s">
        <v>121</v>
      </c>
      <c r="AM753" t="s">
        <v>121</v>
      </c>
    </row>
    <row r="754" spans="9:39" x14ac:dyDescent="0.3">
      <c r="I754">
        <f t="shared" ca="1" si="2"/>
        <v>0</v>
      </c>
      <c r="J754">
        <f t="shared" ca="1" si="3"/>
        <v>1</v>
      </c>
      <c r="K754">
        <f t="shared" ca="1" si="4"/>
        <v>618</v>
      </c>
      <c r="L754">
        <f t="shared" ca="1" si="5"/>
        <v>626</v>
      </c>
      <c r="M754" s="11">
        <f t="shared" ca="1" si="6"/>
        <v>66692</v>
      </c>
      <c r="N754">
        <v>66692</v>
      </c>
      <c r="O754" t="s">
        <v>56</v>
      </c>
      <c r="P754" t="s">
        <v>1581</v>
      </c>
      <c r="Q754" t="s">
        <v>25</v>
      </c>
      <c r="R754" t="s">
        <v>251</v>
      </c>
      <c r="S754" t="s">
        <v>24</v>
      </c>
      <c r="U754" s="6">
        <v>42230.192326388889</v>
      </c>
      <c r="V754" t="s">
        <v>35</v>
      </c>
      <c r="W754" t="s">
        <v>783</v>
      </c>
      <c r="X754" s="6">
        <v>42222.412592592591</v>
      </c>
      <c r="Y754" t="s">
        <v>255</v>
      </c>
      <c r="AB754" t="s">
        <v>201</v>
      </c>
      <c r="AC754" t="s">
        <v>247</v>
      </c>
      <c r="AD754" t="s">
        <v>220</v>
      </c>
      <c r="AE754" t="s">
        <v>219</v>
      </c>
      <c r="AG754" t="s">
        <v>121</v>
      </c>
      <c r="AH754" t="s">
        <v>327</v>
      </c>
      <c r="AI754" t="s">
        <v>121</v>
      </c>
      <c r="AJ754" t="s">
        <v>716</v>
      </c>
      <c r="AK754" t="s">
        <v>121</v>
      </c>
      <c r="AL754" t="s">
        <v>121</v>
      </c>
      <c r="AM754" t="s">
        <v>121</v>
      </c>
    </row>
    <row r="755" spans="9:39" x14ac:dyDescent="0.3">
      <c r="I755">
        <f t="shared" ca="1" si="2"/>
        <v>0</v>
      </c>
      <c r="J755">
        <f t="shared" ca="1" si="3"/>
        <v>1</v>
      </c>
      <c r="K755">
        <f t="shared" ca="1" si="4"/>
        <v>626</v>
      </c>
      <c r="L755">
        <f t="shared" ca="1" si="5"/>
        <v>626</v>
      </c>
      <c r="M755" s="11">
        <f t="shared" ca="1" si="6"/>
        <v>66707</v>
      </c>
      <c r="N755">
        <v>66707</v>
      </c>
      <c r="O755" t="s">
        <v>56</v>
      </c>
      <c r="P755" t="s">
        <v>1582</v>
      </c>
      <c r="Q755" t="s">
        <v>25</v>
      </c>
      <c r="R755" t="s">
        <v>579</v>
      </c>
      <c r="S755" t="s">
        <v>552</v>
      </c>
      <c r="U755" s="6">
        <v>42222.518888888888</v>
      </c>
      <c r="V755" t="s">
        <v>18</v>
      </c>
      <c r="W755" t="s">
        <v>783</v>
      </c>
      <c r="X755" s="6">
        <v>42222.518888888888</v>
      </c>
      <c r="Y755" t="s">
        <v>255</v>
      </c>
      <c r="AB755" t="s">
        <v>201</v>
      </c>
      <c r="AC755" t="s">
        <v>247</v>
      </c>
      <c r="AD755" t="s">
        <v>220</v>
      </c>
      <c r="AE755" t="s">
        <v>219</v>
      </c>
      <c r="AG755" t="s">
        <v>121</v>
      </c>
      <c r="AH755" t="s">
        <v>327</v>
      </c>
      <c r="AI755" t="s">
        <v>121</v>
      </c>
      <c r="AJ755" t="s">
        <v>716</v>
      </c>
      <c r="AK755" t="s">
        <v>121</v>
      </c>
      <c r="AL755" t="s">
        <v>121</v>
      </c>
      <c r="AM755" t="s">
        <v>121</v>
      </c>
    </row>
    <row r="756" spans="9:39" x14ac:dyDescent="0.3">
      <c r="I756">
        <f t="shared" ca="1" si="2"/>
        <v>0</v>
      </c>
      <c r="J756">
        <f t="shared" ca="1" si="3"/>
        <v>1</v>
      </c>
      <c r="K756">
        <f t="shared" ca="1" si="4"/>
        <v>625</v>
      </c>
      <c r="L756">
        <f t="shared" ca="1" si="5"/>
        <v>626</v>
      </c>
      <c r="M756" s="11">
        <f t="shared" ca="1" si="6"/>
        <v>66708</v>
      </c>
      <c r="N756">
        <v>66708</v>
      </c>
      <c r="O756" t="s">
        <v>56</v>
      </c>
      <c r="P756" t="s">
        <v>1583</v>
      </c>
      <c r="Q756" t="s">
        <v>25</v>
      </c>
      <c r="R756" t="s">
        <v>783</v>
      </c>
      <c r="S756" t="s">
        <v>552</v>
      </c>
      <c r="U756" s="6">
        <v>42223.3590625</v>
      </c>
      <c r="V756" t="s">
        <v>18</v>
      </c>
      <c r="W756" t="s">
        <v>783</v>
      </c>
      <c r="X756" s="6">
        <v>42222.518958333334</v>
      </c>
      <c r="Y756" t="s">
        <v>255</v>
      </c>
      <c r="AB756" t="s">
        <v>201</v>
      </c>
      <c r="AC756" t="s">
        <v>247</v>
      </c>
      <c r="AD756" t="s">
        <v>220</v>
      </c>
      <c r="AE756" t="s">
        <v>219</v>
      </c>
      <c r="AG756" t="s">
        <v>121</v>
      </c>
      <c r="AH756" t="s">
        <v>327</v>
      </c>
      <c r="AI756" t="s">
        <v>121</v>
      </c>
      <c r="AJ756" t="s">
        <v>716</v>
      </c>
      <c r="AK756" t="s">
        <v>121</v>
      </c>
      <c r="AL756" t="s">
        <v>121</v>
      </c>
      <c r="AM756" t="s">
        <v>121</v>
      </c>
    </row>
    <row r="757" spans="9:39" x14ac:dyDescent="0.3">
      <c r="I757">
        <f t="shared" ca="1" si="2"/>
        <v>0</v>
      </c>
      <c r="J757">
        <f t="shared" ca="1" si="3"/>
        <v>1</v>
      </c>
      <c r="K757">
        <f t="shared" ca="1" si="4"/>
        <v>626</v>
      </c>
      <c r="L757">
        <f t="shared" ca="1" si="5"/>
        <v>626</v>
      </c>
      <c r="M757" s="11">
        <f t="shared" ca="1" si="6"/>
        <v>66709</v>
      </c>
      <c r="N757">
        <v>66709</v>
      </c>
      <c r="O757" t="s">
        <v>56</v>
      </c>
      <c r="P757" t="s">
        <v>1584</v>
      </c>
      <c r="Q757" t="s">
        <v>25</v>
      </c>
      <c r="R757" t="s">
        <v>248</v>
      </c>
      <c r="S757" t="s">
        <v>552</v>
      </c>
      <c r="U757" s="6">
        <v>42222.519016203703</v>
      </c>
      <c r="V757" t="s">
        <v>18</v>
      </c>
      <c r="W757" t="s">
        <v>783</v>
      </c>
      <c r="X757" s="6">
        <v>42222.519016203703</v>
      </c>
      <c r="Y757" t="s">
        <v>255</v>
      </c>
      <c r="AB757" t="s">
        <v>201</v>
      </c>
      <c r="AC757" t="s">
        <v>247</v>
      </c>
      <c r="AD757" t="s">
        <v>220</v>
      </c>
      <c r="AE757" t="s">
        <v>219</v>
      </c>
      <c r="AG757" t="s">
        <v>121</v>
      </c>
      <c r="AH757" t="s">
        <v>327</v>
      </c>
      <c r="AI757" t="s">
        <v>121</v>
      </c>
      <c r="AJ757" t="s">
        <v>716</v>
      </c>
      <c r="AK757" t="s">
        <v>121</v>
      </c>
      <c r="AL757" t="s">
        <v>121</v>
      </c>
      <c r="AM757" t="s">
        <v>121</v>
      </c>
    </row>
    <row r="758" spans="9:39" x14ac:dyDescent="0.3">
      <c r="I758">
        <f t="shared" ca="1" si="2"/>
        <v>1</v>
      </c>
      <c r="J758">
        <f t="shared" ca="1" si="3"/>
        <v>0</v>
      </c>
      <c r="K758">
        <f t="shared" ca="1" si="4"/>
        <v>622</v>
      </c>
      <c r="L758">
        <f t="shared" ca="1" si="5"/>
        <v>626</v>
      </c>
      <c r="M758" s="11">
        <f t="shared" ca="1" si="6"/>
        <v>66713</v>
      </c>
      <c r="N758">
        <v>66713</v>
      </c>
      <c r="O758" t="s">
        <v>66</v>
      </c>
      <c r="P758" t="s">
        <v>1585</v>
      </c>
      <c r="Q758" t="s">
        <v>25</v>
      </c>
      <c r="R758" t="s">
        <v>251</v>
      </c>
      <c r="S758" t="s">
        <v>1586</v>
      </c>
      <c r="U758" s="6">
        <v>42226.678391203706</v>
      </c>
      <c r="V758" t="s">
        <v>18</v>
      </c>
      <c r="W758" t="s">
        <v>764</v>
      </c>
      <c r="X758" s="6">
        <v>42222.532071759262</v>
      </c>
      <c r="Y758" t="s">
        <v>125</v>
      </c>
      <c r="AB758" t="s">
        <v>200</v>
      </c>
      <c r="AC758" t="s">
        <v>247</v>
      </c>
      <c r="AD758" t="s">
        <v>220</v>
      </c>
      <c r="AE758" t="s">
        <v>243</v>
      </c>
      <c r="AG758" t="s">
        <v>121</v>
      </c>
      <c r="AH758" t="s">
        <v>327</v>
      </c>
      <c r="AI758" t="s">
        <v>121</v>
      </c>
      <c r="AJ758" t="s">
        <v>715</v>
      </c>
      <c r="AK758" t="s">
        <v>121</v>
      </c>
      <c r="AL758" t="s">
        <v>121</v>
      </c>
      <c r="AM758" t="s">
        <v>121</v>
      </c>
    </row>
    <row r="759" spans="9:39" x14ac:dyDescent="0.3">
      <c r="I759">
        <f t="shared" ca="1" si="2"/>
        <v>1</v>
      </c>
      <c r="J759">
        <f t="shared" ca="1" si="3"/>
        <v>0</v>
      </c>
      <c r="K759">
        <f t="shared" ca="1" si="4"/>
        <v>612</v>
      </c>
      <c r="L759">
        <f t="shared" ca="1" si="5"/>
        <v>625</v>
      </c>
      <c r="M759" s="11">
        <f t="shared" ca="1" si="6"/>
        <v>66725</v>
      </c>
      <c r="N759">
        <v>66725</v>
      </c>
      <c r="O759" t="s">
        <v>1586</v>
      </c>
      <c r="P759" t="s">
        <v>1587</v>
      </c>
      <c r="Q759" t="s">
        <v>25</v>
      </c>
      <c r="R759" t="s">
        <v>1389</v>
      </c>
      <c r="S759" t="s">
        <v>552</v>
      </c>
      <c r="U759" s="6">
        <v>42236.121400462966</v>
      </c>
      <c r="V759" t="s">
        <v>35</v>
      </c>
      <c r="W759" t="s">
        <v>764</v>
      </c>
      <c r="X759" s="6">
        <v>42223.018831018519</v>
      </c>
      <c r="Y759" t="s">
        <v>125</v>
      </c>
      <c r="AB759" t="s">
        <v>200</v>
      </c>
      <c r="AC759" t="s">
        <v>247</v>
      </c>
      <c r="AD759" t="s">
        <v>220</v>
      </c>
      <c r="AE759" t="s">
        <v>243</v>
      </c>
      <c r="AG759" t="s">
        <v>121</v>
      </c>
      <c r="AH759" t="s">
        <v>327</v>
      </c>
      <c r="AI759" t="s">
        <v>121</v>
      </c>
      <c r="AJ759" t="s">
        <v>715</v>
      </c>
      <c r="AK759" t="s">
        <v>121</v>
      </c>
      <c r="AL759" t="s">
        <v>121</v>
      </c>
      <c r="AM759" t="s">
        <v>121</v>
      </c>
    </row>
    <row r="760" spans="9:39" x14ac:dyDescent="0.3">
      <c r="I760">
        <f t="shared" ref="I760:I823" ca="1" si="7">IF(OR(INDIRECT($A$73&amp;ROW())=$B$93,INDIRECT($A$73&amp;ROW())=$B$94),1,IF(AND(INDIRECT($A$73&amp;ROW())=$B$95,INDIRECT($A$96&amp;ROW())=$C$93),1,IF(AND(INDIRECT($A$73&amp;ROW())=$B$95,INDIRECT($A$96&amp;ROW())=$C$94),1,0)))</f>
        <v>1</v>
      </c>
      <c r="J760">
        <f t="shared" ref="J760:J823" ca="1" si="8">IF(AND(INDIRECT($A$73&amp;ROW())=$B$95,INDIRECT($A$96&amp;ROW())=$C$95),1,IF(AND(INDIRECT($A$73&amp;ROW())=$B$95,INDIRECT($A$96&amp;ROW())=$C$96),1,0))</f>
        <v>0</v>
      </c>
      <c r="K760">
        <f t="shared" ref="K760:K823" ca="1" si="9">DAYS360(INDIRECT($C$68&amp;ROW()),TODAY())</f>
        <v>625</v>
      </c>
      <c r="L760">
        <f t="shared" ref="L760:L823" ca="1" si="10">DAYS360(INDIRECT($C$69&amp;ROW()),TODAY())</f>
        <v>625</v>
      </c>
      <c r="M760" s="11">
        <f t="shared" ref="M760:M823" ca="1" si="11">HYPERLINK(CONCATENATE("https://bugzilla.houston.hp.com:1181/bugzilla/show_bug.cgi?id=",INDIRECT($C$70&amp;ROW())),INDIRECT($C$70&amp;ROW()))</f>
        <v>66726</v>
      </c>
      <c r="N760">
        <v>66726</v>
      </c>
      <c r="O760" t="s">
        <v>66</v>
      </c>
      <c r="P760" t="s">
        <v>1588</v>
      </c>
      <c r="Q760" t="s">
        <v>25</v>
      </c>
      <c r="R760" t="s">
        <v>579</v>
      </c>
      <c r="S760" t="s">
        <v>552</v>
      </c>
      <c r="U760" s="6">
        <v>42223.328622685185</v>
      </c>
      <c r="V760" t="s">
        <v>18</v>
      </c>
      <c r="W760" t="s">
        <v>764</v>
      </c>
      <c r="X760" s="6">
        <v>42223.018877314818</v>
      </c>
      <c r="Y760" t="s">
        <v>125</v>
      </c>
      <c r="AB760" t="s">
        <v>200</v>
      </c>
      <c r="AC760" t="s">
        <v>247</v>
      </c>
      <c r="AD760" t="s">
        <v>220</v>
      </c>
      <c r="AE760" t="s">
        <v>243</v>
      </c>
      <c r="AG760" t="s">
        <v>121</v>
      </c>
      <c r="AH760" t="s">
        <v>327</v>
      </c>
      <c r="AI760" t="s">
        <v>121</v>
      </c>
      <c r="AJ760" t="s">
        <v>715</v>
      </c>
      <c r="AK760" t="s">
        <v>121</v>
      </c>
      <c r="AL760" t="s">
        <v>121</v>
      </c>
      <c r="AM760" t="s">
        <v>121</v>
      </c>
    </row>
    <row r="761" spans="9:39" x14ac:dyDescent="0.3">
      <c r="I761">
        <f t="shared" ca="1" si="7"/>
        <v>1</v>
      </c>
      <c r="J761">
        <f t="shared" ca="1" si="8"/>
        <v>0</v>
      </c>
      <c r="K761">
        <f t="shared" ca="1" si="9"/>
        <v>614</v>
      </c>
      <c r="L761">
        <f t="shared" ca="1" si="10"/>
        <v>625</v>
      </c>
      <c r="M761" s="11">
        <f t="shared" ca="1" si="11"/>
        <v>66727</v>
      </c>
      <c r="N761">
        <v>66727</v>
      </c>
      <c r="O761" t="s">
        <v>66</v>
      </c>
      <c r="P761" t="s">
        <v>1589</v>
      </c>
      <c r="Q761" t="s">
        <v>25</v>
      </c>
      <c r="R761" t="s">
        <v>783</v>
      </c>
      <c r="S761" t="s">
        <v>552</v>
      </c>
      <c r="U761" s="6">
        <v>42234.320706018516</v>
      </c>
      <c r="V761" t="s">
        <v>18</v>
      </c>
      <c r="W761" t="s">
        <v>764</v>
      </c>
      <c r="X761" s="6">
        <v>42223.018923611111</v>
      </c>
      <c r="Y761" t="s">
        <v>125</v>
      </c>
      <c r="AB761" t="s">
        <v>200</v>
      </c>
      <c r="AC761" t="s">
        <v>247</v>
      </c>
      <c r="AD761" t="s">
        <v>220</v>
      </c>
      <c r="AE761" t="s">
        <v>243</v>
      </c>
      <c r="AG761" t="s">
        <v>337</v>
      </c>
      <c r="AH761" t="s">
        <v>327</v>
      </c>
      <c r="AI761" t="s">
        <v>362</v>
      </c>
      <c r="AJ761" t="s">
        <v>715</v>
      </c>
      <c r="AK761" t="s">
        <v>121</v>
      </c>
      <c r="AL761" t="s">
        <v>121</v>
      </c>
      <c r="AM761" t="s">
        <v>121</v>
      </c>
    </row>
    <row r="762" spans="9:39" x14ac:dyDescent="0.3">
      <c r="I762">
        <f t="shared" ca="1" si="7"/>
        <v>1</v>
      </c>
      <c r="J762">
        <f t="shared" ca="1" si="8"/>
        <v>0</v>
      </c>
      <c r="K762">
        <f t="shared" ca="1" si="9"/>
        <v>625</v>
      </c>
      <c r="L762">
        <f t="shared" ca="1" si="10"/>
        <v>625</v>
      </c>
      <c r="M762" s="11">
        <f t="shared" ca="1" si="11"/>
        <v>66728</v>
      </c>
      <c r="N762">
        <v>66728</v>
      </c>
      <c r="O762" t="s">
        <v>66</v>
      </c>
      <c r="P762" t="s">
        <v>1590</v>
      </c>
      <c r="Q762" t="s">
        <v>25</v>
      </c>
      <c r="R762" t="s">
        <v>248</v>
      </c>
      <c r="S762" t="s">
        <v>552</v>
      </c>
      <c r="U762" s="6">
        <v>42223.234594907408</v>
      </c>
      <c r="V762" t="s">
        <v>18</v>
      </c>
      <c r="W762" t="s">
        <v>764</v>
      </c>
      <c r="X762" s="6">
        <v>42223.01898148148</v>
      </c>
      <c r="Y762" t="s">
        <v>125</v>
      </c>
      <c r="AB762" t="s">
        <v>200</v>
      </c>
      <c r="AC762" t="s">
        <v>247</v>
      </c>
      <c r="AD762" t="s">
        <v>220</v>
      </c>
      <c r="AE762" t="s">
        <v>243</v>
      </c>
      <c r="AG762" t="s">
        <v>121</v>
      </c>
      <c r="AH762" t="s">
        <v>327</v>
      </c>
      <c r="AI762" t="s">
        <v>121</v>
      </c>
      <c r="AJ762" t="s">
        <v>715</v>
      </c>
      <c r="AK762" t="s">
        <v>121</v>
      </c>
      <c r="AL762" t="s">
        <v>121</v>
      </c>
      <c r="AM762" t="s">
        <v>121</v>
      </c>
    </row>
    <row r="763" spans="9:39" x14ac:dyDescent="0.3">
      <c r="I763">
        <f t="shared" ca="1" si="7"/>
        <v>0</v>
      </c>
      <c r="J763">
        <f t="shared" ca="1" si="8"/>
        <v>1</v>
      </c>
      <c r="K763">
        <f t="shared" ca="1" si="9"/>
        <v>625</v>
      </c>
      <c r="L763">
        <f t="shared" ca="1" si="10"/>
        <v>625</v>
      </c>
      <c r="M763" s="11">
        <f t="shared" ca="1" si="11"/>
        <v>66729</v>
      </c>
      <c r="N763">
        <v>66729</v>
      </c>
      <c r="O763" t="s">
        <v>66</v>
      </c>
      <c r="P763" t="s">
        <v>1591</v>
      </c>
      <c r="Q763" t="s">
        <v>25</v>
      </c>
      <c r="R763" t="s">
        <v>1375</v>
      </c>
      <c r="S763" t="s">
        <v>552</v>
      </c>
      <c r="U763" s="6">
        <v>42223.327916666669</v>
      </c>
      <c r="V763" t="s">
        <v>18</v>
      </c>
      <c r="W763" t="s">
        <v>764</v>
      </c>
      <c r="X763" s="6">
        <v>42223.01903935185</v>
      </c>
      <c r="Y763" t="s">
        <v>125</v>
      </c>
      <c r="AB763" t="s">
        <v>201</v>
      </c>
      <c r="AC763" t="s">
        <v>247</v>
      </c>
      <c r="AD763" t="s">
        <v>220</v>
      </c>
      <c r="AE763" t="s">
        <v>243</v>
      </c>
      <c r="AG763" t="s">
        <v>121</v>
      </c>
      <c r="AH763" t="s">
        <v>327</v>
      </c>
      <c r="AI763" t="s">
        <v>121</v>
      </c>
      <c r="AJ763" t="s">
        <v>716</v>
      </c>
      <c r="AK763" t="s">
        <v>121</v>
      </c>
      <c r="AL763" t="s">
        <v>121</v>
      </c>
      <c r="AM763" t="s">
        <v>121</v>
      </c>
    </row>
    <row r="764" spans="9:39" x14ac:dyDescent="0.3">
      <c r="I764">
        <f t="shared" ca="1" si="7"/>
        <v>0</v>
      </c>
      <c r="J764">
        <f t="shared" ca="1" si="8"/>
        <v>1</v>
      </c>
      <c r="K764">
        <f t="shared" ca="1" si="9"/>
        <v>620</v>
      </c>
      <c r="L764">
        <f t="shared" ca="1" si="10"/>
        <v>625</v>
      </c>
      <c r="M764" s="11">
        <f t="shared" ca="1" si="11"/>
        <v>66730</v>
      </c>
      <c r="N764">
        <v>66730</v>
      </c>
      <c r="O764" t="s">
        <v>66</v>
      </c>
      <c r="P764" t="s">
        <v>1592</v>
      </c>
      <c r="Q764" t="s">
        <v>25</v>
      </c>
      <c r="R764" t="s">
        <v>1439</v>
      </c>
      <c r="S764" t="s">
        <v>552</v>
      </c>
      <c r="U764" s="6">
        <v>42228.966296296298</v>
      </c>
      <c r="V764" t="s">
        <v>18</v>
      </c>
      <c r="W764" t="s">
        <v>764</v>
      </c>
      <c r="X764" s="6">
        <v>42223.019085648149</v>
      </c>
      <c r="Y764" t="s">
        <v>125</v>
      </c>
      <c r="AB764" t="s">
        <v>201</v>
      </c>
      <c r="AC764" t="s">
        <v>247</v>
      </c>
      <c r="AD764" t="s">
        <v>220</v>
      </c>
      <c r="AE764" t="s">
        <v>243</v>
      </c>
      <c r="AG764" t="s">
        <v>121</v>
      </c>
      <c r="AH764" t="s">
        <v>327</v>
      </c>
      <c r="AI764" t="s">
        <v>121</v>
      </c>
      <c r="AJ764" t="s">
        <v>716</v>
      </c>
      <c r="AK764" t="s">
        <v>121</v>
      </c>
      <c r="AL764" t="s">
        <v>121</v>
      </c>
      <c r="AM764" t="s">
        <v>121</v>
      </c>
    </row>
    <row r="765" spans="9:39" x14ac:dyDescent="0.3">
      <c r="I765">
        <f t="shared" ca="1" si="7"/>
        <v>0</v>
      </c>
      <c r="J765">
        <f t="shared" ca="1" si="8"/>
        <v>1</v>
      </c>
      <c r="K765">
        <f t="shared" ca="1" si="9"/>
        <v>620</v>
      </c>
      <c r="L765">
        <f t="shared" ca="1" si="10"/>
        <v>625</v>
      </c>
      <c r="M765" s="11">
        <f t="shared" ca="1" si="11"/>
        <v>66731</v>
      </c>
      <c r="N765">
        <v>66731</v>
      </c>
      <c r="O765" t="s">
        <v>66</v>
      </c>
      <c r="P765" t="s">
        <v>1593</v>
      </c>
      <c r="Q765" t="s">
        <v>25</v>
      </c>
      <c r="R765" t="s">
        <v>1425</v>
      </c>
      <c r="S765" t="s">
        <v>552</v>
      </c>
      <c r="U765" s="6">
        <v>42228.529861111114</v>
      </c>
      <c r="V765" t="s">
        <v>18</v>
      </c>
      <c r="W765" t="s">
        <v>764</v>
      </c>
      <c r="X765" s="6">
        <v>42223.019131944442</v>
      </c>
      <c r="Y765" t="s">
        <v>125</v>
      </c>
      <c r="AB765" t="s">
        <v>201</v>
      </c>
      <c r="AC765" t="s">
        <v>247</v>
      </c>
      <c r="AD765" t="s">
        <v>220</v>
      </c>
      <c r="AE765" t="s">
        <v>243</v>
      </c>
      <c r="AG765" t="s">
        <v>121</v>
      </c>
      <c r="AH765" t="s">
        <v>327</v>
      </c>
      <c r="AI765" t="s">
        <v>121</v>
      </c>
      <c r="AJ765" t="s">
        <v>716</v>
      </c>
      <c r="AK765" t="s">
        <v>121</v>
      </c>
      <c r="AL765" t="s">
        <v>121</v>
      </c>
      <c r="AM765" t="s">
        <v>121</v>
      </c>
    </row>
    <row r="766" spans="9:39" x14ac:dyDescent="0.3">
      <c r="I766">
        <f t="shared" ca="1" si="7"/>
        <v>0</v>
      </c>
      <c r="J766">
        <f t="shared" ca="1" si="8"/>
        <v>0</v>
      </c>
      <c r="K766">
        <f t="shared" ca="1" si="9"/>
        <v>622</v>
      </c>
      <c r="L766">
        <f t="shared" ca="1" si="10"/>
        <v>625</v>
      </c>
      <c r="M766" s="11">
        <f t="shared" ca="1" si="11"/>
        <v>66758</v>
      </c>
      <c r="N766">
        <v>66758</v>
      </c>
      <c r="O766" t="s">
        <v>56</v>
      </c>
      <c r="P766" t="s">
        <v>1594</v>
      </c>
      <c r="Q766" t="s">
        <v>16</v>
      </c>
      <c r="R766" t="s">
        <v>251</v>
      </c>
      <c r="S766" t="s">
        <v>24</v>
      </c>
      <c r="U766" s="6">
        <v>42226.504791666666</v>
      </c>
      <c r="V766" t="s">
        <v>18</v>
      </c>
      <c r="W766" t="s">
        <v>783</v>
      </c>
      <c r="X766" s="6">
        <v>42223.318749999999</v>
      </c>
      <c r="Y766" t="s">
        <v>255</v>
      </c>
      <c r="AB766" t="s">
        <v>200</v>
      </c>
      <c r="AC766" t="s">
        <v>247</v>
      </c>
      <c r="AD766" t="s">
        <v>222</v>
      </c>
      <c r="AE766" t="s">
        <v>232</v>
      </c>
      <c r="AG766" t="s">
        <v>121</v>
      </c>
      <c r="AH766" t="s">
        <v>327</v>
      </c>
      <c r="AI766" t="s">
        <v>121</v>
      </c>
      <c r="AJ766" t="s">
        <v>716</v>
      </c>
      <c r="AK766" t="s">
        <v>121</v>
      </c>
      <c r="AL766" t="s">
        <v>121</v>
      </c>
      <c r="AM766" t="s">
        <v>121</v>
      </c>
    </row>
    <row r="767" spans="9:39" x14ac:dyDescent="0.3">
      <c r="I767">
        <f t="shared" ca="1" si="7"/>
        <v>1</v>
      </c>
      <c r="J767">
        <f t="shared" ca="1" si="8"/>
        <v>0</v>
      </c>
      <c r="K767">
        <f t="shared" ca="1" si="9"/>
        <v>625</v>
      </c>
      <c r="L767">
        <f t="shared" ca="1" si="10"/>
        <v>625</v>
      </c>
      <c r="M767" s="11">
        <f t="shared" ca="1" si="11"/>
        <v>66767</v>
      </c>
      <c r="N767">
        <v>66767</v>
      </c>
      <c r="O767" t="s">
        <v>22</v>
      </c>
      <c r="P767" t="s">
        <v>1595</v>
      </c>
      <c r="Q767" t="s">
        <v>25</v>
      </c>
      <c r="R767" t="s">
        <v>248</v>
      </c>
      <c r="S767" t="s">
        <v>552</v>
      </c>
      <c r="T767" t="s">
        <v>1326</v>
      </c>
      <c r="U767" s="6">
        <v>42223.436435185184</v>
      </c>
      <c r="V767" t="s">
        <v>18</v>
      </c>
      <c r="W767" t="s">
        <v>248</v>
      </c>
      <c r="X767" s="6">
        <v>42223.436435185184</v>
      </c>
      <c r="Y767" t="s">
        <v>119</v>
      </c>
      <c r="AB767" t="s">
        <v>199</v>
      </c>
      <c r="AC767" t="s">
        <v>247</v>
      </c>
      <c r="AD767" t="s">
        <v>220</v>
      </c>
      <c r="AE767" t="s">
        <v>243</v>
      </c>
      <c r="AG767" t="s">
        <v>121</v>
      </c>
      <c r="AH767" t="s">
        <v>327</v>
      </c>
      <c r="AI767" t="s">
        <v>121</v>
      </c>
      <c r="AJ767" t="s">
        <v>715</v>
      </c>
      <c r="AK767" t="s">
        <v>121</v>
      </c>
      <c r="AL767" t="s">
        <v>121</v>
      </c>
      <c r="AM767" t="s">
        <v>121</v>
      </c>
    </row>
    <row r="768" spans="9:39" x14ac:dyDescent="0.3">
      <c r="I768">
        <f t="shared" ca="1" si="7"/>
        <v>0</v>
      </c>
      <c r="J768">
        <f t="shared" ca="1" si="8"/>
        <v>0</v>
      </c>
      <c r="K768">
        <f t="shared" ca="1" si="9"/>
        <v>622</v>
      </c>
      <c r="L768">
        <f t="shared" ca="1" si="10"/>
        <v>625</v>
      </c>
      <c r="M768" s="11">
        <f t="shared" ca="1" si="11"/>
        <v>66772</v>
      </c>
      <c r="N768">
        <v>66772</v>
      </c>
      <c r="O768" t="s">
        <v>56</v>
      </c>
      <c r="P768" t="s">
        <v>1596</v>
      </c>
      <c r="Q768" t="s">
        <v>16</v>
      </c>
      <c r="R768" t="s">
        <v>1531</v>
      </c>
      <c r="S768" t="s">
        <v>552</v>
      </c>
      <c r="U768" s="6">
        <v>42226.504814814813</v>
      </c>
      <c r="V768" t="s">
        <v>18</v>
      </c>
      <c r="W768" t="s">
        <v>783</v>
      </c>
      <c r="X768" s="6">
        <v>42223.518796296295</v>
      </c>
      <c r="Y768" t="s">
        <v>255</v>
      </c>
      <c r="AB768" t="s">
        <v>200</v>
      </c>
      <c r="AC768" t="s">
        <v>247</v>
      </c>
      <c r="AD768" t="s">
        <v>222</v>
      </c>
      <c r="AE768" t="s">
        <v>232</v>
      </c>
      <c r="AG768" t="s">
        <v>121</v>
      </c>
      <c r="AH768" t="s">
        <v>327</v>
      </c>
      <c r="AI768" t="s">
        <v>121</v>
      </c>
      <c r="AJ768" t="s">
        <v>716</v>
      </c>
      <c r="AK768" t="s">
        <v>121</v>
      </c>
      <c r="AL768" t="s">
        <v>121</v>
      </c>
      <c r="AM768" t="s">
        <v>121</v>
      </c>
    </row>
    <row r="769" spans="9:39" x14ac:dyDescent="0.3">
      <c r="I769">
        <f t="shared" ca="1" si="7"/>
        <v>0</v>
      </c>
      <c r="J769">
        <f t="shared" ca="1" si="8"/>
        <v>0</v>
      </c>
      <c r="K769">
        <f t="shared" ca="1" si="9"/>
        <v>622</v>
      </c>
      <c r="L769">
        <f t="shared" ca="1" si="10"/>
        <v>625</v>
      </c>
      <c r="M769" s="11">
        <f t="shared" ca="1" si="11"/>
        <v>66773</v>
      </c>
      <c r="N769">
        <v>66773</v>
      </c>
      <c r="O769" t="s">
        <v>56</v>
      </c>
      <c r="P769" t="s">
        <v>1597</v>
      </c>
      <c r="Q769" t="s">
        <v>16</v>
      </c>
      <c r="R769" t="s">
        <v>1389</v>
      </c>
      <c r="S769" t="s">
        <v>552</v>
      </c>
      <c r="U769" s="6">
        <v>42226.504814814813</v>
      </c>
      <c r="V769" t="s">
        <v>18</v>
      </c>
      <c r="W769" t="s">
        <v>783</v>
      </c>
      <c r="X769" s="6">
        <v>42223.518888888888</v>
      </c>
      <c r="Y769" t="s">
        <v>255</v>
      </c>
      <c r="AB769" t="s">
        <v>200</v>
      </c>
      <c r="AC769" t="s">
        <v>247</v>
      </c>
      <c r="AD769" t="s">
        <v>222</v>
      </c>
      <c r="AE769" t="s">
        <v>232</v>
      </c>
      <c r="AG769" t="s">
        <v>121</v>
      </c>
      <c r="AH769" t="s">
        <v>327</v>
      </c>
      <c r="AI769" t="s">
        <v>121</v>
      </c>
      <c r="AJ769" t="s">
        <v>716</v>
      </c>
      <c r="AK769" t="s">
        <v>121</v>
      </c>
      <c r="AL769" t="s">
        <v>121</v>
      </c>
      <c r="AM769" t="s">
        <v>121</v>
      </c>
    </row>
    <row r="770" spans="9:39" x14ac:dyDescent="0.3">
      <c r="I770">
        <f t="shared" ca="1" si="7"/>
        <v>0</v>
      </c>
      <c r="J770">
        <f t="shared" ca="1" si="8"/>
        <v>0</v>
      </c>
      <c r="K770">
        <f t="shared" ca="1" si="9"/>
        <v>622</v>
      </c>
      <c r="L770">
        <f t="shared" ca="1" si="10"/>
        <v>625</v>
      </c>
      <c r="M770" s="11">
        <f t="shared" ca="1" si="11"/>
        <v>66774</v>
      </c>
      <c r="N770">
        <v>66774</v>
      </c>
      <c r="O770" t="s">
        <v>56</v>
      </c>
      <c r="P770" t="s">
        <v>1598</v>
      </c>
      <c r="Q770" t="s">
        <v>16</v>
      </c>
      <c r="R770" t="s">
        <v>579</v>
      </c>
      <c r="S770" t="s">
        <v>552</v>
      </c>
      <c r="U770" s="6">
        <v>42226.504837962966</v>
      </c>
      <c r="V770" t="s">
        <v>18</v>
      </c>
      <c r="W770" t="s">
        <v>783</v>
      </c>
      <c r="X770" s="6">
        <v>42223.518969907411</v>
      </c>
      <c r="Y770" t="s">
        <v>255</v>
      </c>
      <c r="AB770" t="s">
        <v>200</v>
      </c>
      <c r="AC770" t="s">
        <v>247</v>
      </c>
      <c r="AD770" t="s">
        <v>222</v>
      </c>
      <c r="AE770" t="s">
        <v>232</v>
      </c>
      <c r="AG770" t="s">
        <v>121</v>
      </c>
      <c r="AH770" t="s">
        <v>327</v>
      </c>
      <c r="AI770" t="s">
        <v>121</v>
      </c>
      <c r="AJ770" t="s">
        <v>716</v>
      </c>
      <c r="AK770" t="s">
        <v>121</v>
      </c>
      <c r="AL770" t="s">
        <v>121</v>
      </c>
      <c r="AM770" t="s">
        <v>121</v>
      </c>
    </row>
    <row r="771" spans="9:39" x14ac:dyDescent="0.3">
      <c r="I771">
        <f t="shared" ca="1" si="7"/>
        <v>0</v>
      </c>
      <c r="J771">
        <f t="shared" ca="1" si="8"/>
        <v>0</v>
      </c>
      <c r="K771">
        <f t="shared" ca="1" si="9"/>
        <v>622</v>
      </c>
      <c r="L771">
        <f t="shared" ca="1" si="10"/>
        <v>625</v>
      </c>
      <c r="M771" s="11">
        <f t="shared" ca="1" si="11"/>
        <v>66775</v>
      </c>
      <c r="N771">
        <v>66775</v>
      </c>
      <c r="O771" t="s">
        <v>56</v>
      </c>
      <c r="P771" t="s">
        <v>1599</v>
      </c>
      <c r="Q771" t="s">
        <v>16</v>
      </c>
      <c r="R771" t="s">
        <v>783</v>
      </c>
      <c r="S771" t="s">
        <v>552</v>
      </c>
      <c r="U771" s="6">
        <v>42226.504861111112</v>
      </c>
      <c r="V771" t="s">
        <v>18</v>
      </c>
      <c r="W771" t="s">
        <v>783</v>
      </c>
      <c r="X771" s="6">
        <v>42223.519062500003</v>
      </c>
      <c r="Y771" t="s">
        <v>255</v>
      </c>
      <c r="AB771" t="s">
        <v>200</v>
      </c>
      <c r="AC771" t="s">
        <v>247</v>
      </c>
      <c r="AD771" t="s">
        <v>222</v>
      </c>
      <c r="AE771" t="s">
        <v>232</v>
      </c>
      <c r="AG771" t="s">
        <v>121</v>
      </c>
      <c r="AH771" t="s">
        <v>327</v>
      </c>
      <c r="AI771" t="s">
        <v>121</v>
      </c>
      <c r="AJ771" t="s">
        <v>716</v>
      </c>
      <c r="AK771" t="s">
        <v>121</v>
      </c>
      <c r="AL771" t="s">
        <v>121</v>
      </c>
      <c r="AM771" t="s">
        <v>121</v>
      </c>
    </row>
    <row r="772" spans="9:39" x14ac:dyDescent="0.3">
      <c r="I772">
        <f t="shared" ca="1" si="7"/>
        <v>0</v>
      </c>
      <c r="J772">
        <f t="shared" ca="1" si="8"/>
        <v>0</v>
      </c>
      <c r="K772">
        <f t="shared" ca="1" si="9"/>
        <v>622</v>
      </c>
      <c r="L772">
        <f t="shared" ca="1" si="10"/>
        <v>625</v>
      </c>
      <c r="M772" s="11">
        <f t="shared" ca="1" si="11"/>
        <v>66776</v>
      </c>
      <c r="N772">
        <v>66776</v>
      </c>
      <c r="O772" t="s">
        <v>56</v>
      </c>
      <c r="P772" t="s">
        <v>1600</v>
      </c>
      <c r="Q772" t="s">
        <v>16</v>
      </c>
      <c r="R772" t="s">
        <v>248</v>
      </c>
      <c r="S772" t="s">
        <v>552</v>
      </c>
      <c r="U772" s="6">
        <v>42226.504803240743</v>
      </c>
      <c r="V772" t="s">
        <v>18</v>
      </c>
      <c r="W772" t="s">
        <v>783</v>
      </c>
      <c r="X772" s="6">
        <v>42223.519155092596</v>
      </c>
      <c r="Y772" t="s">
        <v>255</v>
      </c>
      <c r="AB772" t="s">
        <v>200</v>
      </c>
      <c r="AC772" t="s">
        <v>247</v>
      </c>
      <c r="AD772" t="s">
        <v>222</v>
      </c>
      <c r="AE772" t="s">
        <v>232</v>
      </c>
      <c r="AG772" t="s">
        <v>121</v>
      </c>
      <c r="AH772" t="s">
        <v>327</v>
      </c>
      <c r="AI772" t="s">
        <v>121</v>
      </c>
      <c r="AJ772" t="s">
        <v>716</v>
      </c>
      <c r="AK772" t="s">
        <v>121</v>
      </c>
      <c r="AL772" t="s">
        <v>121</v>
      </c>
      <c r="AM772" t="s">
        <v>121</v>
      </c>
    </row>
    <row r="773" spans="9:39" x14ac:dyDescent="0.3">
      <c r="I773">
        <f t="shared" ca="1" si="7"/>
        <v>0</v>
      </c>
      <c r="J773">
        <f t="shared" ca="1" si="8"/>
        <v>0</v>
      </c>
      <c r="K773">
        <f t="shared" ca="1" si="9"/>
        <v>622</v>
      </c>
      <c r="L773">
        <f t="shared" ca="1" si="10"/>
        <v>625</v>
      </c>
      <c r="M773" s="11">
        <f t="shared" ca="1" si="11"/>
        <v>66777</v>
      </c>
      <c r="N773">
        <v>66777</v>
      </c>
      <c r="O773" t="s">
        <v>56</v>
      </c>
      <c r="P773" t="s">
        <v>1601</v>
      </c>
      <c r="Q773" t="s">
        <v>16</v>
      </c>
      <c r="R773" t="s">
        <v>1375</v>
      </c>
      <c r="S773" t="s">
        <v>552</v>
      </c>
      <c r="U773" s="6">
        <v>42226.504826388889</v>
      </c>
      <c r="V773" t="s">
        <v>18</v>
      </c>
      <c r="W773" t="s">
        <v>783</v>
      </c>
      <c r="X773" s="6">
        <v>42223.519247685188</v>
      </c>
      <c r="Y773" t="s">
        <v>255</v>
      </c>
      <c r="AB773" t="s">
        <v>200</v>
      </c>
      <c r="AC773" t="s">
        <v>247</v>
      </c>
      <c r="AD773" t="s">
        <v>222</v>
      </c>
      <c r="AE773" t="s">
        <v>232</v>
      </c>
      <c r="AG773" t="s">
        <v>121</v>
      </c>
      <c r="AH773" t="s">
        <v>327</v>
      </c>
      <c r="AI773" t="s">
        <v>121</v>
      </c>
      <c r="AJ773" t="s">
        <v>716</v>
      </c>
      <c r="AK773" t="s">
        <v>121</v>
      </c>
      <c r="AL773" t="s">
        <v>121</v>
      </c>
      <c r="AM773" t="s">
        <v>121</v>
      </c>
    </row>
    <row r="774" spans="9:39" x14ac:dyDescent="0.3">
      <c r="I774">
        <f t="shared" ca="1" si="7"/>
        <v>0</v>
      </c>
      <c r="J774">
        <f t="shared" ca="1" si="8"/>
        <v>0</v>
      </c>
      <c r="K774">
        <f t="shared" ca="1" si="9"/>
        <v>620</v>
      </c>
      <c r="L774">
        <f t="shared" ca="1" si="10"/>
        <v>625</v>
      </c>
      <c r="M774" s="11">
        <f t="shared" ca="1" si="11"/>
        <v>66778</v>
      </c>
      <c r="N774">
        <v>66778</v>
      </c>
      <c r="O774" t="s">
        <v>56</v>
      </c>
      <c r="P774" t="s">
        <v>1602</v>
      </c>
      <c r="Q774" t="s">
        <v>16</v>
      </c>
      <c r="R774" t="s">
        <v>1439</v>
      </c>
      <c r="S774" t="s">
        <v>552</v>
      </c>
      <c r="U774" s="6">
        <v>42228.967615740738</v>
      </c>
      <c r="V774" t="s">
        <v>18</v>
      </c>
      <c r="W774" t="s">
        <v>783</v>
      </c>
      <c r="X774" s="6">
        <v>42223.519328703704</v>
      </c>
      <c r="Y774" t="s">
        <v>255</v>
      </c>
      <c r="AB774" t="s">
        <v>200</v>
      </c>
      <c r="AC774" t="s">
        <v>247</v>
      </c>
      <c r="AD774" t="s">
        <v>222</v>
      </c>
      <c r="AE774" t="s">
        <v>232</v>
      </c>
      <c r="AG774" t="s">
        <v>121</v>
      </c>
      <c r="AH774" t="s">
        <v>327</v>
      </c>
      <c r="AI774" t="s">
        <v>121</v>
      </c>
      <c r="AJ774" t="s">
        <v>716</v>
      </c>
      <c r="AK774" t="s">
        <v>121</v>
      </c>
      <c r="AL774" t="s">
        <v>121</v>
      </c>
      <c r="AM774" t="s">
        <v>121</v>
      </c>
    </row>
    <row r="775" spans="9:39" x14ac:dyDescent="0.3">
      <c r="I775">
        <f t="shared" ca="1" si="7"/>
        <v>0</v>
      </c>
      <c r="J775">
        <f t="shared" ca="1" si="8"/>
        <v>0</v>
      </c>
      <c r="K775">
        <f t="shared" ca="1" si="9"/>
        <v>620</v>
      </c>
      <c r="L775">
        <f t="shared" ca="1" si="10"/>
        <v>625</v>
      </c>
      <c r="M775" s="11">
        <f t="shared" ca="1" si="11"/>
        <v>66779</v>
      </c>
      <c r="N775">
        <v>66779</v>
      </c>
      <c r="O775" t="s">
        <v>56</v>
      </c>
      <c r="P775" t="s">
        <v>1603</v>
      </c>
      <c r="Q775" t="s">
        <v>16</v>
      </c>
      <c r="R775" t="s">
        <v>1425</v>
      </c>
      <c r="S775" t="s">
        <v>552</v>
      </c>
      <c r="U775" s="6">
        <v>42228.476076388892</v>
      </c>
      <c r="V775" t="s">
        <v>18</v>
      </c>
      <c r="W775" t="s">
        <v>783</v>
      </c>
      <c r="X775" s="6">
        <v>42223.519409722219</v>
      </c>
      <c r="Y775" t="s">
        <v>255</v>
      </c>
      <c r="AB775" t="s">
        <v>200</v>
      </c>
      <c r="AC775" t="s">
        <v>247</v>
      </c>
      <c r="AD775" t="s">
        <v>222</v>
      </c>
      <c r="AE775" t="s">
        <v>232</v>
      </c>
      <c r="AG775" t="s">
        <v>121</v>
      </c>
      <c r="AH775" t="s">
        <v>327</v>
      </c>
      <c r="AI775" t="s">
        <v>121</v>
      </c>
      <c r="AJ775" t="s">
        <v>716</v>
      </c>
      <c r="AK775" t="s">
        <v>121</v>
      </c>
      <c r="AL775" t="s">
        <v>121</v>
      </c>
      <c r="AM775" t="s">
        <v>121</v>
      </c>
    </row>
    <row r="776" spans="9:39" x14ac:dyDescent="0.3">
      <c r="I776">
        <f t="shared" ca="1" si="7"/>
        <v>1</v>
      </c>
      <c r="J776">
        <f t="shared" ca="1" si="8"/>
        <v>0</v>
      </c>
      <c r="K776">
        <f t="shared" ca="1" si="9"/>
        <v>615</v>
      </c>
      <c r="L776">
        <f t="shared" ca="1" si="10"/>
        <v>621</v>
      </c>
      <c r="M776" s="11">
        <f t="shared" ca="1" si="11"/>
        <v>66882</v>
      </c>
      <c r="N776">
        <v>66882</v>
      </c>
      <c r="O776" t="s">
        <v>55</v>
      </c>
      <c r="P776" t="s">
        <v>1604</v>
      </c>
      <c r="Q776" t="s">
        <v>25</v>
      </c>
      <c r="R776" t="s">
        <v>251</v>
      </c>
      <c r="S776" t="s">
        <v>1605</v>
      </c>
      <c r="U776" s="6">
        <v>42233.664375</v>
      </c>
      <c r="V776" t="s">
        <v>35</v>
      </c>
      <c r="W776" t="s">
        <v>783</v>
      </c>
      <c r="X776" s="6">
        <v>42227.375613425924</v>
      </c>
      <c r="Y776" t="s">
        <v>255</v>
      </c>
      <c r="AB776" t="s">
        <v>200</v>
      </c>
      <c r="AC776" t="s">
        <v>247</v>
      </c>
      <c r="AD776" t="s">
        <v>220</v>
      </c>
      <c r="AE776" t="s">
        <v>243</v>
      </c>
      <c r="AG776" t="s">
        <v>121</v>
      </c>
      <c r="AH776" t="s">
        <v>327</v>
      </c>
      <c r="AI776" t="s">
        <v>121</v>
      </c>
      <c r="AJ776" t="s">
        <v>715</v>
      </c>
      <c r="AK776" t="s">
        <v>121</v>
      </c>
      <c r="AL776" t="s">
        <v>121</v>
      </c>
      <c r="AM776" t="s">
        <v>121</v>
      </c>
    </row>
    <row r="777" spans="9:39" x14ac:dyDescent="0.3">
      <c r="I777">
        <f t="shared" ca="1" si="7"/>
        <v>1</v>
      </c>
      <c r="J777">
        <f t="shared" ca="1" si="8"/>
        <v>0</v>
      </c>
      <c r="K777">
        <f t="shared" ca="1" si="9"/>
        <v>613</v>
      </c>
      <c r="L777">
        <f t="shared" ca="1" si="10"/>
        <v>621</v>
      </c>
      <c r="M777" s="11">
        <f t="shared" ca="1" si="11"/>
        <v>66891</v>
      </c>
      <c r="N777">
        <v>66891</v>
      </c>
      <c r="O777" t="s">
        <v>56</v>
      </c>
      <c r="P777" t="s">
        <v>1606</v>
      </c>
      <c r="Q777" t="s">
        <v>39</v>
      </c>
      <c r="R777" t="s">
        <v>251</v>
      </c>
      <c r="S777" t="s">
        <v>1102</v>
      </c>
      <c r="U777" s="6">
        <v>42235.267650462964</v>
      </c>
      <c r="V777" t="s">
        <v>18</v>
      </c>
      <c r="W777" t="s">
        <v>17</v>
      </c>
      <c r="X777" s="6">
        <v>42227.434872685182</v>
      </c>
      <c r="Y777" t="s">
        <v>125</v>
      </c>
      <c r="AB777" t="s">
        <v>200</v>
      </c>
      <c r="AC777" t="s">
        <v>247</v>
      </c>
      <c r="AD777" t="s">
        <v>220</v>
      </c>
      <c r="AE777" t="s">
        <v>219</v>
      </c>
      <c r="AG777" t="s">
        <v>121</v>
      </c>
      <c r="AH777" t="s">
        <v>327</v>
      </c>
      <c r="AI777" t="s">
        <v>121</v>
      </c>
      <c r="AJ777" t="s">
        <v>715</v>
      </c>
      <c r="AK777" t="s">
        <v>121</v>
      </c>
      <c r="AL777" t="s">
        <v>121</v>
      </c>
      <c r="AM777" t="s">
        <v>121</v>
      </c>
    </row>
    <row r="778" spans="9:39" x14ac:dyDescent="0.3">
      <c r="I778">
        <f t="shared" ca="1" si="7"/>
        <v>1</v>
      </c>
      <c r="J778">
        <f t="shared" ca="1" si="8"/>
        <v>0</v>
      </c>
      <c r="K778">
        <f t="shared" ca="1" si="9"/>
        <v>614</v>
      </c>
      <c r="L778">
        <f t="shared" ca="1" si="10"/>
        <v>621</v>
      </c>
      <c r="M778" s="11">
        <f t="shared" ca="1" si="11"/>
        <v>66893</v>
      </c>
      <c r="N778">
        <v>66893</v>
      </c>
      <c r="O778" t="s">
        <v>56</v>
      </c>
      <c r="P778" t="s">
        <v>1607</v>
      </c>
      <c r="Q778" t="s">
        <v>39</v>
      </c>
      <c r="R778" t="s">
        <v>783</v>
      </c>
      <c r="S778" t="s">
        <v>552</v>
      </c>
      <c r="U778" s="6">
        <v>42234.024953703702</v>
      </c>
      <c r="V778" t="s">
        <v>18</v>
      </c>
      <c r="W778" t="s">
        <v>17</v>
      </c>
      <c r="X778" s="6">
        <v>42227.466377314813</v>
      </c>
      <c r="Y778" t="s">
        <v>125</v>
      </c>
      <c r="AB778" t="s">
        <v>200</v>
      </c>
      <c r="AC778" t="s">
        <v>247</v>
      </c>
      <c r="AD778" t="s">
        <v>220</v>
      </c>
      <c r="AE778" t="s">
        <v>219</v>
      </c>
      <c r="AG778" t="s">
        <v>337</v>
      </c>
      <c r="AH778" t="s">
        <v>327</v>
      </c>
      <c r="AI778" t="s">
        <v>121</v>
      </c>
      <c r="AJ778" t="s">
        <v>715</v>
      </c>
      <c r="AK778" t="s">
        <v>121</v>
      </c>
      <c r="AL778" t="s">
        <v>121</v>
      </c>
      <c r="AM778" t="s">
        <v>121</v>
      </c>
    </row>
    <row r="779" spans="9:39" x14ac:dyDescent="0.3">
      <c r="I779">
        <f t="shared" ca="1" si="7"/>
        <v>1</v>
      </c>
      <c r="J779">
        <f t="shared" ca="1" si="8"/>
        <v>0</v>
      </c>
      <c r="K779">
        <f t="shared" ca="1" si="9"/>
        <v>621</v>
      </c>
      <c r="L779">
        <f t="shared" ca="1" si="10"/>
        <v>621</v>
      </c>
      <c r="M779" s="11">
        <f t="shared" ca="1" si="11"/>
        <v>66894</v>
      </c>
      <c r="N779">
        <v>66894</v>
      </c>
      <c r="O779" t="s">
        <v>56</v>
      </c>
      <c r="P779" t="s">
        <v>1608</v>
      </c>
      <c r="Q779" t="s">
        <v>39</v>
      </c>
      <c r="R779" t="s">
        <v>248</v>
      </c>
      <c r="S779" t="s">
        <v>552</v>
      </c>
      <c r="U779" s="6">
        <v>42227.466458333336</v>
      </c>
      <c r="V779" t="s">
        <v>18</v>
      </c>
      <c r="W779" t="s">
        <v>17</v>
      </c>
      <c r="X779" s="6">
        <v>42227.466458333336</v>
      </c>
      <c r="Y779" t="s">
        <v>125</v>
      </c>
      <c r="AB779" t="s">
        <v>200</v>
      </c>
      <c r="AC779" t="s">
        <v>247</v>
      </c>
      <c r="AD779" t="s">
        <v>220</v>
      </c>
      <c r="AE779" t="s">
        <v>219</v>
      </c>
      <c r="AG779" t="s">
        <v>121</v>
      </c>
      <c r="AH779" t="s">
        <v>327</v>
      </c>
      <c r="AI779" t="s">
        <v>121</v>
      </c>
      <c r="AJ779" t="s">
        <v>715</v>
      </c>
      <c r="AK779" t="s">
        <v>121</v>
      </c>
      <c r="AL779" t="s">
        <v>121</v>
      </c>
      <c r="AM779" t="s">
        <v>121</v>
      </c>
    </row>
    <row r="780" spans="9:39" x14ac:dyDescent="0.3">
      <c r="I780">
        <f t="shared" ca="1" si="7"/>
        <v>1</v>
      </c>
      <c r="J780">
        <f t="shared" ca="1" si="8"/>
        <v>0</v>
      </c>
      <c r="K780">
        <f t="shared" ca="1" si="9"/>
        <v>620</v>
      </c>
      <c r="L780">
        <f t="shared" ca="1" si="10"/>
        <v>621</v>
      </c>
      <c r="M780" s="11">
        <f t="shared" ca="1" si="11"/>
        <v>66904</v>
      </c>
      <c r="N780">
        <v>66904</v>
      </c>
      <c r="O780" t="s">
        <v>56</v>
      </c>
      <c r="P780" t="s">
        <v>1609</v>
      </c>
      <c r="Q780" t="s">
        <v>39</v>
      </c>
      <c r="R780" t="s">
        <v>1375</v>
      </c>
      <c r="S780" t="s">
        <v>552</v>
      </c>
      <c r="T780" t="s">
        <v>1433</v>
      </c>
      <c r="U780" s="6">
        <v>42228.274629629632</v>
      </c>
      <c r="V780" t="s">
        <v>35</v>
      </c>
      <c r="W780" t="s">
        <v>17</v>
      </c>
      <c r="X780" s="6">
        <v>42227.6403125</v>
      </c>
      <c r="Y780" t="s">
        <v>801</v>
      </c>
      <c r="AB780" t="s">
        <v>200</v>
      </c>
      <c r="AC780" t="s">
        <v>247</v>
      </c>
      <c r="AD780" t="s">
        <v>220</v>
      </c>
      <c r="AE780" t="s">
        <v>219</v>
      </c>
      <c r="AG780" t="s">
        <v>121</v>
      </c>
      <c r="AH780" t="s">
        <v>327</v>
      </c>
      <c r="AI780" t="s">
        <v>121</v>
      </c>
      <c r="AJ780" t="s">
        <v>715</v>
      </c>
      <c r="AK780" t="s">
        <v>121</v>
      </c>
      <c r="AL780" t="s">
        <v>121</v>
      </c>
      <c r="AM780" t="s">
        <v>121</v>
      </c>
    </row>
    <row r="781" spans="9:39" x14ac:dyDescent="0.3">
      <c r="I781">
        <f t="shared" ca="1" si="7"/>
        <v>1</v>
      </c>
      <c r="J781">
        <f t="shared" ca="1" si="8"/>
        <v>0</v>
      </c>
      <c r="K781">
        <f t="shared" ca="1" si="9"/>
        <v>620</v>
      </c>
      <c r="L781">
        <f t="shared" ca="1" si="10"/>
        <v>621</v>
      </c>
      <c r="M781" s="11">
        <f t="shared" ca="1" si="11"/>
        <v>66905</v>
      </c>
      <c r="N781">
        <v>66905</v>
      </c>
      <c r="O781" t="s">
        <v>187</v>
      </c>
      <c r="P781" t="s">
        <v>1610</v>
      </c>
      <c r="Q781" t="s">
        <v>25</v>
      </c>
      <c r="R781" t="s">
        <v>1375</v>
      </c>
      <c r="S781" t="s">
        <v>552</v>
      </c>
      <c r="T781" t="s">
        <v>1433</v>
      </c>
      <c r="U781" s="6">
        <v>42228.281018518515</v>
      </c>
      <c r="V781" t="s">
        <v>35</v>
      </c>
      <c r="W781" t="s">
        <v>63</v>
      </c>
      <c r="X781" s="6">
        <v>42227.641157407408</v>
      </c>
      <c r="Y781" t="s">
        <v>786</v>
      </c>
      <c r="AB781" t="s">
        <v>200</v>
      </c>
      <c r="AC781" t="s">
        <v>247</v>
      </c>
      <c r="AD781" t="s">
        <v>220</v>
      </c>
      <c r="AE781" t="s">
        <v>219</v>
      </c>
      <c r="AG781" t="s">
        <v>121</v>
      </c>
      <c r="AH781" t="s">
        <v>327</v>
      </c>
      <c r="AI781" t="s">
        <v>121</v>
      </c>
      <c r="AJ781" t="s">
        <v>715</v>
      </c>
      <c r="AK781" t="s">
        <v>121</v>
      </c>
      <c r="AL781" t="s">
        <v>121</v>
      </c>
      <c r="AM781" t="s">
        <v>121</v>
      </c>
    </row>
    <row r="782" spans="9:39" x14ac:dyDescent="0.3">
      <c r="I782">
        <f t="shared" ca="1" si="7"/>
        <v>1</v>
      </c>
      <c r="J782">
        <f t="shared" ca="1" si="8"/>
        <v>0</v>
      </c>
      <c r="K782">
        <f t="shared" ca="1" si="9"/>
        <v>620</v>
      </c>
      <c r="L782">
        <f t="shared" ca="1" si="10"/>
        <v>621</v>
      </c>
      <c r="M782" s="11">
        <f t="shared" ca="1" si="11"/>
        <v>66906</v>
      </c>
      <c r="N782">
        <v>66906</v>
      </c>
      <c r="O782" t="s">
        <v>56</v>
      </c>
      <c r="P782" t="s">
        <v>1611</v>
      </c>
      <c r="Q782" t="s">
        <v>25</v>
      </c>
      <c r="R782" t="s">
        <v>1375</v>
      </c>
      <c r="S782" t="s">
        <v>552</v>
      </c>
      <c r="T782" t="s">
        <v>1433</v>
      </c>
      <c r="U782" s="6">
        <v>42228.287465277775</v>
      </c>
      <c r="V782" t="s">
        <v>35</v>
      </c>
      <c r="W782" t="s">
        <v>17</v>
      </c>
      <c r="X782" s="6">
        <v>42227.645497685182</v>
      </c>
      <c r="Y782" t="s">
        <v>124</v>
      </c>
      <c r="AB782" t="s">
        <v>200</v>
      </c>
      <c r="AC782" t="s">
        <v>247</v>
      </c>
      <c r="AD782" t="s">
        <v>220</v>
      </c>
      <c r="AE782" t="s">
        <v>219</v>
      </c>
      <c r="AG782" t="s">
        <v>121</v>
      </c>
      <c r="AH782" t="s">
        <v>327</v>
      </c>
      <c r="AI782" t="s">
        <v>121</v>
      </c>
      <c r="AJ782" t="s">
        <v>715</v>
      </c>
      <c r="AK782" t="s">
        <v>121</v>
      </c>
      <c r="AL782" t="s">
        <v>121</v>
      </c>
      <c r="AM782" t="s">
        <v>121</v>
      </c>
    </row>
    <row r="783" spans="9:39" x14ac:dyDescent="0.3">
      <c r="I783">
        <f t="shared" ca="1" si="7"/>
        <v>1</v>
      </c>
      <c r="J783">
        <f t="shared" ca="1" si="8"/>
        <v>0</v>
      </c>
      <c r="K783">
        <f t="shared" ca="1" si="9"/>
        <v>612</v>
      </c>
      <c r="L783">
        <f t="shared" ca="1" si="10"/>
        <v>620</v>
      </c>
      <c r="M783" s="11">
        <f t="shared" ca="1" si="11"/>
        <v>66942</v>
      </c>
      <c r="N783">
        <v>66942</v>
      </c>
      <c r="O783" t="s">
        <v>43</v>
      </c>
      <c r="P783" t="s">
        <v>1612</v>
      </c>
      <c r="Q783" t="s">
        <v>25</v>
      </c>
      <c r="R783" t="s">
        <v>248</v>
      </c>
      <c r="S783" t="s">
        <v>366</v>
      </c>
      <c r="U783" s="6">
        <v>42236.403032407405</v>
      </c>
      <c r="V783" t="s">
        <v>18</v>
      </c>
      <c r="W783" t="s">
        <v>248</v>
      </c>
      <c r="X783" s="6">
        <v>42228.284710648149</v>
      </c>
      <c r="Y783" t="s">
        <v>124</v>
      </c>
      <c r="AA783" t="s">
        <v>184</v>
      </c>
      <c r="AB783" t="s">
        <v>200</v>
      </c>
      <c r="AC783" t="s">
        <v>247</v>
      </c>
      <c r="AD783" t="s">
        <v>220</v>
      </c>
      <c r="AE783" t="s">
        <v>243</v>
      </c>
      <c r="AG783" t="s">
        <v>121</v>
      </c>
      <c r="AH783" t="s">
        <v>327</v>
      </c>
      <c r="AI783" t="s">
        <v>121</v>
      </c>
      <c r="AJ783" t="s">
        <v>715</v>
      </c>
      <c r="AK783" t="s">
        <v>121</v>
      </c>
      <c r="AL783" t="s">
        <v>1561</v>
      </c>
      <c r="AM783" t="s">
        <v>121</v>
      </c>
    </row>
    <row r="784" spans="9:39" x14ac:dyDescent="0.3">
      <c r="I784">
        <f t="shared" ca="1" si="7"/>
        <v>1</v>
      </c>
      <c r="J784">
        <f t="shared" ca="1" si="8"/>
        <v>0</v>
      </c>
      <c r="K784">
        <f t="shared" ca="1" si="9"/>
        <v>612</v>
      </c>
      <c r="L784">
        <f t="shared" ca="1" si="10"/>
        <v>620</v>
      </c>
      <c r="M784" s="11">
        <f t="shared" ca="1" si="11"/>
        <v>66944</v>
      </c>
      <c r="N784">
        <v>66944</v>
      </c>
      <c r="O784" t="s">
        <v>1668</v>
      </c>
      <c r="P784" t="s">
        <v>1613</v>
      </c>
      <c r="Q784" t="s">
        <v>25</v>
      </c>
      <c r="R784" t="s">
        <v>248</v>
      </c>
      <c r="S784" t="s">
        <v>366</v>
      </c>
      <c r="U784" s="6">
        <v>42236.403969907406</v>
      </c>
      <c r="V784" t="s">
        <v>18</v>
      </c>
      <c r="W784" t="s">
        <v>248</v>
      </c>
      <c r="X784" s="6">
        <v>42228.301400462966</v>
      </c>
      <c r="Y784" t="s">
        <v>124</v>
      </c>
      <c r="AA784" t="s">
        <v>184</v>
      </c>
      <c r="AB784" t="s">
        <v>200</v>
      </c>
      <c r="AC784" t="s">
        <v>247</v>
      </c>
      <c r="AD784" t="s">
        <v>220</v>
      </c>
      <c r="AE784" t="s">
        <v>243</v>
      </c>
      <c r="AG784" t="s">
        <v>121</v>
      </c>
      <c r="AH784" t="s">
        <v>327</v>
      </c>
      <c r="AI784" t="s">
        <v>121</v>
      </c>
      <c r="AJ784" t="s">
        <v>715</v>
      </c>
      <c r="AK784" t="s">
        <v>121</v>
      </c>
      <c r="AL784" t="s">
        <v>1561</v>
      </c>
      <c r="AM784" t="s">
        <v>121</v>
      </c>
    </row>
    <row r="785" spans="9:39" x14ac:dyDescent="0.3">
      <c r="I785">
        <f t="shared" ca="1" si="7"/>
        <v>1</v>
      </c>
      <c r="J785">
        <f t="shared" ca="1" si="8"/>
        <v>0</v>
      </c>
      <c r="K785">
        <f t="shared" ca="1" si="9"/>
        <v>614</v>
      </c>
      <c r="L785">
        <f t="shared" ca="1" si="10"/>
        <v>619</v>
      </c>
      <c r="M785" s="11">
        <f t="shared" ca="1" si="11"/>
        <v>67017</v>
      </c>
      <c r="N785">
        <v>67017</v>
      </c>
      <c r="O785" t="s">
        <v>55</v>
      </c>
      <c r="P785" t="s">
        <v>1614</v>
      </c>
      <c r="Q785" t="s">
        <v>25</v>
      </c>
      <c r="R785" t="s">
        <v>783</v>
      </c>
      <c r="S785" t="s">
        <v>552</v>
      </c>
      <c r="U785" s="6">
        <v>42234.47146990741</v>
      </c>
      <c r="V785" t="s">
        <v>18</v>
      </c>
      <c r="W785" t="s">
        <v>783</v>
      </c>
      <c r="X785" s="6">
        <v>42229.300428240742</v>
      </c>
      <c r="Y785" t="s">
        <v>255</v>
      </c>
      <c r="AB785" t="s">
        <v>200</v>
      </c>
      <c r="AC785" t="s">
        <v>247</v>
      </c>
      <c r="AD785" t="s">
        <v>220</v>
      </c>
      <c r="AE785" t="s">
        <v>243</v>
      </c>
      <c r="AG785" t="s">
        <v>337</v>
      </c>
      <c r="AH785" t="s">
        <v>327</v>
      </c>
      <c r="AI785" t="s">
        <v>121</v>
      </c>
      <c r="AJ785" t="s">
        <v>715</v>
      </c>
      <c r="AK785" t="s">
        <v>121</v>
      </c>
      <c r="AL785" t="s">
        <v>121</v>
      </c>
      <c r="AM785" t="s">
        <v>121</v>
      </c>
    </row>
    <row r="786" spans="9:39" x14ac:dyDescent="0.3">
      <c r="I786">
        <f t="shared" ca="1" si="7"/>
        <v>1</v>
      </c>
      <c r="J786">
        <f t="shared" ca="1" si="8"/>
        <v>0</v>
      </c>
      <c r="K786">
        <f t="shared" ca="1" si="9"/>
        <v>619</v>
      </c>
      <c r="L786">
        <f t="shared" ca="1" si="10"/>
        <v>619</v>
      </c>
      <c r="M786" s="11">
        <f t="shared" ca="1" si="11"/>
        <v>67018</v>
      </c>
      <c r="N786">
        <v>67018</v>
      </c>
      <c r="O786" t="s">
        <v>55</v>
      </c>
      <c r="P786" t="s">
        <v>1615</v>
      </c>
      <c r="Q786" t="s">
        <v>25</v>
      </c>
      <c r="R786" t="s">
        <v>248</v>
      </c>
      <c r="S786" t="s">
        <v>552</v>
      </c>
      <c r="U786" s="6">
        <v>42229.300532407404</v>
      </c>
      <c r="V786" t="s">
        <v>18</v>
      </c>
      <c r="W786" t="s">
        <v>783</v>
      </c>
      <c r="X786" s="6">
        <v>42229.300532407404</v>
      </c>
      <c r="Y786" t="s">
        <v>255</v>
      </c>
      <c r="AB786" t="s">
        <v>200</v>
      </c>
      <c r="AC786" t="s">
        <v>247</v>
      </c>
      <c r="AD786" t="s">
        <v>220</v>
      </c>
      <c r="AE786" t="s">
        <v>243</v>
      </c>
      <c r="AG786" t="s">
        <v>121</v>
      </c>
      <c r="AH786" t="s">
        <v>327</v>
      </c>
      <c r="AI786" t="s">
        <v>121</v>
      </c>
      <c r="AJ786" t="s">
        <v>715</v>
      </c>
      <c r="AK786" t="s">
        <v>121</v>
      </c>
      <c r="AL786" t="s">
        <v>121</v>
      </c>
      <c r="AM786" t="s">
        <v>121</v>
      </c>
    </row>
    <row r="787" spans="9:39" x14ac:dyDescent="0.3">
      <c r="I787">
        <f t="shared" ca="1" si="7"/>
        <v>1</v>
      </c>
      <c r="J787">
        <f t="shared" ca="1" si="8"/>
        <v>0</v>
      </c>
      <c r="K787">
        <f t="shared" ca="1" si="9"/>
        <v>613</v>
      </c>
      <c r="L787">
        <f t="shared" ca="1" si="10"/>
        <v>619</v>
      </c>
      <c r="M787" s="11">
        <f t="shared" ca="1" si="11"/>
        <v>67033</v>
      </c>
      <c r="N787">
        <v>67033</v>
      </c>
      <c r="O787" t="s">
        <v>22</v>
      </c>
      <c r="P787" t="s">
        <v>1616</v>
      </c>
      <c r="Q787" t="s">
        <v>39</v>
      </c>
      <c r="R787" t="s">
        <v>251</v>
      </c>
      <c r="S787" t="s">
        <v>52</v>
      </c>
      <c r="U787" s="6">
        <v>42235.35869212963</v>
      </c>
      <c r="V787" t="s">
        <v>18</v>
      </c>
      <c r="W787" t="s">
        <v>783</v>
      </c>
      <c r="X787" s="6">
        <v>42229.461053240739</v>
      </c>
      <c r="Y787" t="s">
        <v>255</v>
      </c>
      <c r="AB787" t="s">
        <v>200</v>
      </c>
      <c r="AC787" t="s">
        <v>247</v>
      </c>
      <c r="AD787" t="s">
        <v>222</v>
      </c>
      <c r="AE787" t="s">
        <v>233</v>
      </c>
      <c r="AG787" t="s">
        <v>121</v>
      </c>
      <c r="AH787" t="s">
        <v>327</v>
      </c>
      <c r="AI787" t="s">
        <v>121</v>
      </c>
      <c r="AJ787" t="s">
        <v>715</v>
      </c>
      <c r="AK787" t="s">
        <v>121</v>
      </c>
      <c r="AL787" t="s">
        <v>121</v>
      </c>
      <c r="AM787" t="s">
        <v>121</v>
      </c>
    </row>
    <row r="788" spans="9:39" x14ac:dyDescent="0.3">
      <c r="I788">
        <f t="shared" ca="1" si="7"/>
        <v>1</v>
      </c>
      <c r="J788">
        <f t="shared" ca="1" si="8"/>
        <v>0</v>
      </c>
      <c r="K788">
        <f t="shared" ca="1" si="9"/>
        <v>615</v>
      </c>
      <c r="L788">
        <f t="shared" ca="1" si="10"/>
        <v>619</v>
      </c>
      <c r="M788" s="11">
        <f t="shared" ca="1" si="11"/>
        <v>67034</v>
      </c>
      <c r="N788">
        <v>67034</v>
      </c>
      <c r="O788" t="s">
        <v>187</v>
      </c>
      <c r="P788" t="s">
        <v>1617</v>
      </c>
      <c r="Q788" t="s">
        <v>25</v>
      </c>
      <c r="R788" t="s">
        <v>251</v>
      </c>
      <c r="S788" t="s">
        <v>292</v>
      </c>
      <c r="U788" s="6">
        <v>42233.342037037037</v>
      </c>
      <c r="V788" t="s">
        <v>35</v>
      </c>
      <c r="W788" t="s">
        <v>783</v>
      </c>
      <c r="X788" s="6">
        <v>42229.472141203703</v>
      </c>
      <c r="Y788" t="s">
        <v>255</v>
      </c>
      <c r="AB788" t="s">
        <v>199</v>
      </c>
      <c r="AC788" t="s">
        <v>247</v>
      </c>
      <c r="AD788" t="s">
        <v>220</v>
      </c>
      <c r="AE788" t="s">
        <v>219</v>
      </c>
      <c r="AG788" t="s">
        <v>121</v>
      </c>
      <c r="AH788" t="s">
        <v>327</v>
      </c>
      <c r="AI788" t="s">
        <v>121</v>
      </c>
      <c r="AJ788" t="s">
        <v>715</v>
      </c>
      <c r="AK788" t="s">
        <v>121</v>
      </c>
      <c r="AL788" t="s">
        <v>1561</v>
      </c>
      <c r="AM788" t="s">
        <v>121</v>
      </c>
    </row>
    <row r="789" spans="9:39" x14ac:dyDescent="0.3">
      <c r="I789">
        <f t="shared" ca="1" si="7"/>
        <v>0</v>
      </c>
      <c r="J789">
        <f t="shared" ca="1" si="8"/>
        <v>1</v>
      </c>
      <c r="K789">
        <f t="shared" ca="1" si="9"/>
        <v>615</v>
      </c>
      <c r="L789">
        <f t="shared" ca="1" si="10"/>
        <v>619</v>
      </c>
      <c r="M789" s="11">
        <f t="shared" ca="1" si="11"/>
        <v>67037</v>
      </c>
      <c r="N789">
        <v>67037</v>
      </c>
      <c r="O789" t="s">
        <v>45</v>
      </c>
      <c r="P789" t="s">
        <v>1618</v>
      </c>
      <c r="Q789" t="s">
        <v>25</v>
      </c>
      <c r="R789" t="s">
        <v>251</v>
      </c>
      <c r="S789" t="s">
        <v>177</v>
      </c>
      <c r="U789" s="6">
        <v>42233.548495370371</v>
      </c>
      <c r="V789" t="s">
        <v>18</v>
      </c>
      <c r="W789" t="s">
        <v>783</v>
      </c>
      <c r="X789" s="6">
        <v>42229.485173611109</v>
      </c>
      <c r="Y789" t="s">
        <v>245</v>
      </c>
      <c r="AB789" t="s">
        <v>201</v>
      </c>
      <c r="AC789" t="s">
        <v>247</v>
      </c>
      <c r="AD789" t="s">
        <v>227</v>
      </c>
      <c r="AE789" t="s">
        <v>237</v>
      </c>
      <c r="AG789" t="s">
        <v>121</v>
      </c>
      <c r="AH789" t="s">
        <v>327</v>
      </c>
      <c r="AI789" t="s">
        <v>121</v>
      </c>
      <c r="AJ789" t="s">
        <v>716</v>
      </c>
      <c r="AK789" t="s">
        <v>121</v>
      </c>
      <c r="AL789" t="s">
        <v>121</v>
      </c>
      <c r="AM789" t="s">
        <v>121</v>
      </c>
    </row>
    <row r="790" spans="9:39" x14ac:dyDescent="0.3">
      <c r="I790">
        <f t="shared" ca="1" si="7"/>
        <v>1</v>
      </c>
      <c r="J790">
        <f t="shared" ca="1" si="8"/>
        <v>0</v>
      </c>
      <c r="K790">
        <f t="shared" ca="1" si="9"/>
        <v>614</v>
      </c>
      <c r="L790">
        <f t="shared" ca="1" si="10"/>
        <v>619</v>
      </c>
      <c r="M790" s="11">
        <f t="shared" ca="1" si="11"/>
        <v>67041</v>
      </c>
      <c r="N790">
        <v>67041</v>
      </c>
      <c r="O790" t="s">
        <v>59</v>
      </c>
      <c r="P790" t="s">
        <v>1619</v>
      </c>
      <c r="Q790" t="s">
        <v>25</v>
      </c>
      <c r="R790" t="s">
        <v>579</v>
      </c>
      <c r="S790" t="s">
        <v>552</v>
      </c>
      <c r="U790" s="6">
        <v>42234.220879629633</v>
      </c>
      <c r="V790" t="s">
        <v>18</v>
      </c>
      <c r="W790" t="s">
        <v>783</v>
      </c>
      <c r="X790" s="6">
        <v>42229.519259259258</v>
      </c>
      <c r="Y790" t="s">
        <v>122</v>
      </c>
      <c r="AB790" t="s">
        <v>199</v>
      </c>
      <c r="AC790" t="s">
        <v>247</v>
      </c>
      <c r="AD790" t="s">
        <v>220</v>
      </c>
      <c r="AE790" t="s">
        <v>219</v>
      </c>
      <c r="AG790" t="s">
        <v>121</v>
      </c>
      <c r="AH790" t="s">
        <v>327</v>
      </c>
      <c r="AI790" t="s">
        <v>121</v>
      </c>
      <c r="AJ790" t="s">
        <v>715</v>
      </c>
      <c r="AK790" t="s">
        <v>121</v>
      </c>
      <c r="AL790" t="s">
        <v>121</v>
      </c>
      <c r="AM790" t="s">
        <v>121</v>
      </c>
    </row>
    <row r="791" spans="9:39" x14ac:dyDescent="0.3">
      <c r="I791">
        <f t="shared" ca="1" si="7"/>
        <v>1</v>
      </c>
      <c r="J791">
        <f t="shared" ca="1" si="8"/>
        <v>0</v>
      </c>
      <c r="K791">
        <f t="shared" ca="1" si="9"/>
        <v>612</v>
      </c>
      <c r="L791">
        <f t="shared" ca="1" si="10"/>
        <v>619</v>
      </c>
      <c r="M791" s="11">
        <f t="shared" ca="1" si="11"/>
        <v>67042</v>
      </c>
      <c r="N791">
        <v>67042</v>
      </c>
      <c r="O791" t="s">
        <v>59</v>
      </c>
      <c r="P791" t="s">
        <v>1620</v>
      </c>
      <c r="Q791" t="s">
        <v>25</v>
      </c>
      <c r="R791" t="s">
        <v>783</v>
      </c>
      <c r="S791" t="s">
        <v>552</v>
      </c>
      <c r="U791" s="6">
        <v>42236.289212962962</v>
      </c>
      <c r="V791" t="s">
        <v>18</v>
      </c>
      <c r="W791" t="s">
        <v>783</v>
      </c>
      <c r="X791" s="6">
        <v>42229.519328703704</v>
      </c>
      <c r="Y791" t="s">
        <v>122</v>
      </c>
      <c r="AB791" t="s">
        <v>199</v>
      </c>
      <c r="AC791" t="s">
        <v>247</v>
      </c>
      <c r="AD791" t="s">
        <v>220</v>
      </c>
      <c r="AE791" t="s">
        <v>219</v>
      </c>
      <c r="AG791" t="s">
        <v>588</v>
      </c>
      <c r="AH791" t="s">
        <v>327</v>
      </c>
      <c r="AI791" t="s">
        <v>121</v>
      </c>
      <c r="AJ791" t="s">
        <v>715</v>
      </c>
      <c r="AK791" t="s">
        <v>121</v>
      </c>
      <c r="AL791" t="s">
        <v>121</v>
      </c>
      <c r="AM791" t="s">
        <v>121</v>
      </c>
    </row>
    <row r="792" spans="9:39" x14ac:dyDescent="0.3">
      <c r="I792">
        <f t="shared" ca="1" si="7"/>
        <v>1</v>
      </c>
      <c r="J792">
        <f t="shared" ca="1" si="8"/>
        <v>0</v>
      </c>
      <c r="K792">
        <f t="shared" ca="1" si="9"/>
        <v>614</v>
      </c>
      <c r="L792">
        <f t="shared" ca="1" si="10"/>
        <v>619</v>
      </c>
      <c r="M792" s="11">
        <f t="shared" ca="1" si="11"/>
        <v>67043</v>
      </c>
      <c r="N792">
        <v>67043</v>
      </c>
      <c r="O792" t="s">
        <v>59</v>
      </c>
      <c r="P792" t="s">
        <v>1621</v>
      </c>
      <c r="Q792" t="s">
        <v>25</v>
      </c>
      <c r="R792" t="s">
        <v>248</v>
      </c>
      <c r="S792" t="s">
        <v>552</v>
      </c>
      <c r="U792" s="6">
        <v>42234.221053240741</v>
      </c>
      <c r="V792" t="s">
        <v>18</v>
      </c>
      <c r="W792" t="s">
        <v>783</v>
      </c>
      <c r="X792" s="6">
        <v>42229.519479166665</v>
      </c>
      <c r="Y792" t="s">
        <v>122</v>
      </c>
      <c r="AB792" t="s">
        <v>199</v>
      </c>
      <c r="AC792" t="s">
        <v>247</v>
      </c>
      <c r="AD792" t="s">
        <v>220</v>
      </c>
      <c r="AE792" t="s">
        <v>219</v>
      </c>
      <c r="AG792" t="s">
        <v>121</v>
      </c>
      <c r="AH792" t="s">
        <v>327</v>
      </c>
      <c r="AI792" t="s">
        <v>121</v>
      </c>
      <c r="AJ792" t="s">
        <v>715</v>
      </c>
      <c r="AK792" t="s">
        <v>121</v>
      </c>
      <c r="AL792" t="s">
        <v>121</v>
      </c>
      <c r="AM792" t="s">
        <v>121</v>
      </c>
    </row>
    <row r="793" spans="9:39" x14ac:dyDescent="0.3">
      <c r="I793">
        <f t="shared" ca="1" si="7"/>
        <v>0</v>
      </c>
      <c r="J793">
        <f t="shared" ca="1" si="8"/>
        <v>0</v>
      </c>
      <c r="K793">
        <f t="shared" ca="1" si="9"/>
        <v>618</v>
      </c>
      <c r="L793">
        <f t="shared" ca="1" si="10"/>
        <v>619</v>
      </c>
      <c r="M793" s="11">
        <f t="shared" ca="1" si="11"/>
        <v>67065</v>
      </c>
      <c r="N793">
        <v>67065</v>
      </c>
      <c r="O793" t="s">
        <v>22</v>
      </c>
      <c r="P793" t="s">
        <v>1622</v>
      </c>
      <c r="Q793" t="s">
        <v>16</v>
      </c>
      <c r="R793" t="s">
        <v>251</v>
      </c>
      <c r="S793" t="s">
        <v>22</v>
      </c>
      <c r="U793" s="6">
        <v>42230.480891203704</v>
      </c>
      <c r="V793" t="s">
        <v>18</v>
      </c>
      <c r="W793" t="s">
        <v>783</v>
      </c>
      <c r="X793" s="6">
        <v>42229.695775462962</v>
      </c>
      <c r="Y793" t="s">
        <v>118</v>
      </c>
      <c r="AB793" t="s">
        <v>199</v>
      </c>
      <c r="AC793" t="s">
        <v>247</v>
      </c>
      <c r="AD793" t="s">
        <v>222</v>
      </c>
      <c r="AE793" t="s">
        <v>225</v>
      </c>
      <c r="AG793" t="s">
        <v>121</v>
      </c>
      <c r="AH793" t="s">
        <v>327</v>
      </c>
      <c r="AI793" t="s">
        <v>121</v>
      </c>
      <c r="AJ793" t="s">
        <v>716</v>
      </c>
      <c r="AK793" t="s">
        <v>121</v>
      </c>
      <c r="AL793" t="s">
        <v>121</v>
      </c>
      <c r="AM793" t="s">
        <v>121</v>
      </c>
    </row>
    <row r="794" spans="9:39" x14ac:dyDescent="0.3">
      <c r="I794">
        <f t="shared" ca="1" si="7"/>
        <v>0</v>
      </c>
      <c r="J794">
        <f t="shared" ca="1" si="8"/>
        <v>0</v>
      </c>
      <c r="K794">
        <f t="shared" ca="1" si="9"/>
        <v>618</v>
      </c>
      <c r="L794">
        <f t="shared" ca="1" si="10"/>
        <v>618</v>
      </c>
      <c r="M794" s="11">
        <f t="shared" ca="1" si="11"/>
        <v>67077</v>
      </c>
      <c r="N794">
        <v>67077</v>
      </c>
      <c r="O794" t="s">
        <v>22</v>
      </c>
      <c r="P794" t="s">
        <v>1623</v>
      </c>
      <c r="Q794" t="s">
        <v>16</v>
      </c>
      <c r="R794" t="s">
        <v>579</v>
      </c>
      <c r="S794" t="s">
        <v>552</v>
      </c>
      <c r="U794" s="6">
        <v>42230.480914351851</v>
      </c>
      <c r="V794" t="s">
        <v>18</v>
      </c>
      <c r="W794" t="s">
        <v>783</v>
      </c>
      <c r="X794" s="6">
        <v>42230.019166666665</v>
      </c>
      <c r="Y794" t="s">
        <v>118</v>
      </c>
      <c r="AB794" t="s">
        <v>199</v>
      </c>
      <c r="AC794" t="s">
        <v>247</v>
      </c>
      <c r="AD794" t="s">
        <v>222</v>
      </c>
      <c r="AE794" t="s">
        <v>225</v>
      </c>
      <c r="AG794" t="s">
        <v>121</v>
      </c>
      <c r="AH794" t="s">
        <v>327</v>
      </c>
      <c r="AI794" t="s">
        <v>121</v>
      </c>
      <c r="AJ794" t="s">
        <v>716</v>
      </c>
      <c r="AK794" t="s">
        <v>121</v>
      </c>
      <c r="AL794" t="s">
        <v>121</v>
      </c>
      <c r="AM794" t="s">
        <v>121</v>
      </c>
    </row>
    <row r="795" spans="9:39" x14ac:dyDescent="0.3">
      <c r="I795">
        <f t="shared" ca="1" si="7"/>
        <v>0</v>
      </c>
      <c r="J795">
        <f t="shared" ca="1" si="8"/>
        <v>0</v>
      </c>
      <c r="K795">
        <f t="shared" ca="1" si="9"/>
        <v>618</v>
      </c>
      <c r="L795">
        <f t="shared" ca="1" si="10"/>
        <v>618</v>
      </c>
      <c r="M795" s="11">
        <f t="shared" ca="1" si="11"/>
        <v>67078</v>
      </c>
      <c r="N795">
        <v>67078</v>
      </c>
      <c r="O795" t="s">
        <v>22</v>
      </c>
      <c r="P795" t="s">
        <v>1624</v>
      </c>
      <c r="Q795" t="s">
        <v>16</v>
      </c>
      <c r="R795" t="s">
        <v>783</v>
      </c>
      <c r="S795" t="s">
        <v>552</v>
      </c>
      <c r="U795" s="6">
        <v>42230.478819444441</v>
      </c>
      <c r="V795" t="s">
        <v>18</v>
      </c>
      <c r="W795" t="s">
        <v>783</v>
      </c>
      <c r="X795" s="6">
        <v>42230.019224537034</v>
      </c>
      <c r="Y795" t="s">
        <v>118</v>
      </c>
      <c r="AB795" t="s">
        <v>199</v>
      </c>
      <c r="AC795" t="s">
        <v>247</v>
      </c>
      <c r="AD795" t="s">
        <v>222</v>
      </c>
      <c r="AE795" t="s">
        <v>225</v>
      </c>
      <c r="AG795" t="s">
        <v>121</v>
      </c>
      <c r="AH795" t="s">
        <v>327</v>
      </c>
      <c r="AI795" t="s">
        <v>121</v>
      </c>
      <c r="AJ795" t="s">
        <v>716</v>
      </c>
      <c r="AK795" t="s">
        <v>121</v>
      </c>
      <c r="AL795" t="s">
        <v>121</v>
      </c>
      <c r="AM795" t="s">
        <v>121</v>
      </c>
    </row>
    <row r="796" spans="9:39" x14ac:dyDescent="0.3">
      <c r="I796">
        <f t="shared" ca="1" si="7"/>
        <v>0</v>
      </c>
      <c r="J796">
        <f t="shared" ca="1" si="8"/>
        <v>0</v>
      </c>
      <c r="K796">
        <f t="shared" ca="1" si="9"/>
        <v>618</v>
      </c>
      <c r="L796">
        <f t="shared" ca="1" si="10"/>
        <v>618</v>
      </c>
      <c r="M796" s="11">
        <f t="shared" ca="1" si="11"/>
        <v>67079</v>
      </c>
      <c r="N796">
        <v>67079</v>
      </c>
      <c r="O796" t="s">
        <v>22</v>
      </c>
      <c r="P796" t="s">
        <v>1625</v>
      </c>
      <c r="Q796" t="s">
        <v>16</v>
      </c>
      <c r="R796" t="s">
        <v>248</v>
      </c>
      <c r="S796" t="s">
        <v>552</v>
      </c>
      <c r="U796" s="6">
        <v>42230.480914351851</v>
      </c>
      <c r="V796" t="s">
        <v>18</v>
      </c>
      <c r="W796" t="s">
        <v>783</v>
      </c>
      <c r="X796" s="6">
        <v>42230.019293981481</v>
      </c>
      <c r="Y796" t="s">
        <v>118</v>
      </c>
      <c r="AB796" t="s">
        <v>199</v>
      </c>
      <c r="AC796" t="s">
        <v>247</v>
      </c>
      <c r="AD796" t="s">
        <v>222</v>
      </c>
      <c r="AE796" t="s">
        <v>225</v>
      </c>
      <c r="AG796" t="s">
        <v>121</v>
      </c>
      <c r="AH796" t="s">
        <v>327</v>
      </c>
      <c r="AI796" t="s">
        <v>121</v>
      </c>
      <c r="AJ796" t="s">
        <v>716</v>
      </c>
      <c r="AK796" t="s">
        <v>121</v>
      </c>
      <c r="AL796" t="s">
        <v>121</v>
      </c>
      <c r="AM796" t="s">
        <v>121</v>
      </c>
    </row>
    <row r="797" spans="9:39" x14ac:dyDescent="0.3">
      <c r="I797">
        <f t="shared" ca="1" si="7"/>
        <v>1</v>
      </c>
      <c r="J797">
        <f t="shared" ca="1" si="8"/>
        <v>0</v>
      </c>
      <c r="K797">
        <f t="shared" ca="1" si="9"/>
        <v>615</v>
      </c>
      <c r="L797">
        <f t="shared" ca="1" si="10"/>
        <v>618</v>
      </c>
      <c r="M797" s="11">
        <f t="shared" ca="1" si="11"/>
        <v>67131</v>
      </c>
      <c r="N797">
        <v>67131</v>
      </c>
      <c r="O797" t="s">
        <v>94</v>
      </c>
      <c r="P797" t="s">
        <v>1626</v>
      </c>
      <c r="Q797" t="s">
        <v>39</v>
      </c>
      <c r="R797" t="s">
        <v>251</v>
      </c>
      <c r="S797" t="s">
        <v>94</v>
      </c>
      <c r="U797" s="6">
        <v>42233.547106481485</v>
      </c>
      <c r="V797" t="s">
        <v>18</v>
      </c>
      <c r="W797" t="s">
        <v>783</v>
      </c>
      <c r="X797" s="6">
        <v>42230.601736111108</v>
      </c>
      <c r="Y797" t="s">
        <v>245</v>
      </c>
      <c r="AB797" t="s">
        <v>200</v>
      </c>
      <c r="AC797" t="s">
        <v>247</v>
      </c>
      <c r="AD797" t="s">
        <v>222</v>
      </c>
      <c r="AE797" t="s">
        <v>225</v>
      </c>
      <c r="AG797" t="s">
        <v>121</v>
      </c>
      <c r="AH797" t="s">
        <v>327</v>
      </c>
      <c r="AI797" t="s">
        <v>121</v>
      </c>
      <c r="AJ797" t="s">
        <v>715</v>
      </c>
      <c r="AK797" t="s">
        <v>121</v>
      </c>
      <c r="AL797" t="s">
        <v>121</v>
      </c>
      <c r="AM797" t="s">
        <v>121</v>
      </c>
    </row>
    <row r="798" spans="9:39" x14ac:dyDescent="0.3">
      <c r="I798">
        <f t="shared" ca="1" si="7"/>
        <v>1</v>
      </c>
      <c r="J798">
        <f t="shared" ca="1" si="8"/>
        <v>0</v>
      </c>
      <c r="K798">
        <f t="shared" ca="1" si="9"/>
        <v>612</v>
      </c>
      <c r="L798">
        <f t="shared" ca="1" si="10"/>
        <v>615</v>
      </c>
      <c r="M798" s="11">
        <f t="shared" ca="1" si="11"/>
        <v>67148</v>
      </c>
      <c r="N798">
        <v>67148</v>
      </c>
      <c r="O798" t="s">
        <v>1628</v>
      </c>
      <c r="P798" t="s">
        <v>1627</v>
      </c>
      <c r="Q798" t="s">
        <v>25</v>
      </c>
      <c r="R798" t="s">
        <v>248</v>
      </c>
      <c r="S798" t="s">
        <v>1628</v>
      </c>
      <c r="U798" s="6">
        <v>42236.402291666665</v>
      </c>
      <c r="V798" t="s">
        <v>18</v>
      </c>
      <c r="W798" t="s">
        <v>248</v>
      </c>
      <c r="X798" s="6">
        <v>42233.014027777775</v>
      </c>
      <c r="Y798" t="s">
        <v>124</v>
      </c>
      <c r="AB798" t="s">
        <v>200</v>
      </c>
      <c r="AC798" t="s">
        <v>247</v>
      </c>
      <c r="AD798" t="s">
        <v>227</v>
      </c>
      <c r="AE798" t="s">
        <v>237</v>
      </c>
      <c r="AG798" t="s">
        <v>121</v>
      </c>
      <c r="AH798" t="s">
        <v>327</v>
      </c>
      <c r="AI798" t="s">
        <v>121</v>
      </c>
      <c r="AJ798" t="s">
        <v>715</v>
      </c>
      <c r="AK798" t="s">
        <v>121</v>
      </c>
      <c r="AL798" t="s">
        <v>121</v>
      </c>
      <c r="AM798" t="s">
        <v>121</v>
      </c>
    </row>
    <row r="799" spans="9:39" x14ac:dyDescent="0.3">
      <c r="I799">
        <f t="shared" ca="1" si="7"/>
        <v>1</v>
      </c>
      <c r="J799">
        <f t="shared" ca="1" si="8"/>
        <v>0</v>
      </c>
      <c r="K799">
        <f t="shared" ca="1" si="9"/>
        <v>615</v>
      </c>
      <c r="L799">
        <f t="shared" ca="1" si="10"/>
        <v>615</v>
      </c>
      <c r="M799" s="11">
        <f t="shared" ca="1" si="11"/>
        <v>67185</v>
      </c>
      <c r="N799">
        <v>67185</v>
      </c>
      <c r="O799" t="s">
        <v>22</v>
      </c>
      <c r="P799" t="s">
        <v>1629</v>
      </c>
      <c r="Q799" t="s">
        <v>39</v>
      </c>
      <c r="R799" t="s">
        <v>783</v>
      </c>
      <c r="S799" t="s">
        <v>552</v>
      </c>
      <c r="U799" s="6">
        <v>42233.306712962964</v>
      </c>
      <c r="V799" t="s">
        <v>18</v>
      </c>
      <c r="W799" t="s">
        <v>783</v>
      </c>
      <c r="X799" s="6">
        <v>42233.306712962964</v>
      </c>
      <c r="Y799" t="s">
        <v>255</v>
      </c>
      <c r="AB799" t="s">
        <v>200</v>
      </c>
      <c r="AC799" t="s">
        <v>247</v>
      </c>
      <c r="AD799" t="s">
        <v>222</v>
      </c>
      <c r="AE799" t="s">
        <v>240</v>
      </c>
      <c r="AG799" t="s">
        <v>121</v>
      </c>
      <c r="AH799" t="s">
        <v>327</v>
      </c>
      <c r="AI799" t="s">
        <v>121</v>
      </c>
      <c r="AJ799" t="s">
        <v>715</v>
      </c>
      <c r="AK799" t="s">
        <v>121</v>
      </c>
      <c r="AL799" t="s">
        <v>121</v>
      </c>
      <c r="AM799" t="s">
        <v>121</v>
      </c>
    </row>
    <row r="800" spans="9:39" x14ac:dyDescent="0.3">
      <c r="I800">
        <f t="shared" ca="1" si="7"/>
        <v>1</v>
      </c>
      <c r="J800">
        <f t="shared" ca="1" si="8"/>
        <v>0</v>
      </c>
      <c r="K800">
        <f t="shared" ca="1" si="9"/>
        <v>615</v>
      </c>
      <c r="L800">
        <f t="shared" ca="1" si="10"/>
        <v>615</v>
      </c>
      <c r="M800" s="11">
        <f t="shared" ca="1" si="11"/>
        <v>67186</v>
      </c>
      <c r="N800">
        <v>67186</v>
      </c>
      <c r="O800" t="s">
        <v>22</v>
      </c>
      <c r="P800" t="s">
        <v>1630</v>
      </c>
      <c r="Q800" t="s">
        <v>39</v>
      </c>
      <c r="R800" t="s">
        <v>248</v>
      </c>
      <c r="S800" t="s">
        <v>552</v>
      </c>
      <c r="U800" s="6">
        <v>42233.306863425925</v>
      </c>
      <c r="V800" t="s">
        <v>18</v>
      </c>
      <c r="W800" t="s">
        <v>783</v>
      </c>
      <c r="X800" s="6">
        <v>42233.306863425925</v>
      </c>
      <c r="Y800" t="s">
        <v>255</v>
      </c>
      <c r="AB800" t="s">
        <v>200</v>
      </c>
      <c r="AC800" t="s">
        <v>247</v>
      </c>
      <c r="AD800" t="s">
        <v>222</v>
      </c>
      <c r="AE800" t="s">
        <v>240</v>
      </c>
      <c r="AG800" t="s">
        <v>121</v>
      </c>
      <c r="AH800" t="s">
        <v>327</v>
      </c>
      <c r="AI800" t="s">
        <v>121</v>
      </c>
      <c r="AJ800" t="s">
        <v>715</v>
      </c>
      <c r="AK800" t="s">
        <v>121</v>
      </c>
      <c r="AL800" t="s">
        <v>121</v>
      </c>
      <c r="AM800" t="s">
        <v>121</v>
      </c>
    </row>
    <row r="801" spans="9:39" x14ac:dyDescent="0.3">
      <c r="I801">
        <f t="shared" ca="1" si="7"/>
        <v>1</v>
      </c>
      <c r="J801">
        <f t="shared" ca="1" si="8"/>
        <v>0</v>
      </c>
      <c r="K801">
        <f t="shared" ca="1" si="9"/>
        <v>613</v>
      </c>
      <c r="L801">
        <f t="shared" ca="1" si="10"/>
        <v>615</v>
      </c>
      <c r="M801" s="11">
        <f t="shared" ca="1" si="11"/>
        <v>67205</v>
      </c>
      <c r="N801">
        <v>67205</v>
      </c>
      <c r="O801" t="s">
        <v>19</v>
      </c>
      <c r="P801" t="s">
        <v>1631</v>
      </c>
      <c r="Q801" t="s">
        <v>39</v>
      </c>
      <c r="R801" t="s">
        <v>251</v>
      </c>
      <c r="S801" t="s">
        <v>1102</v>
      </c>
      <c r="U801" s="6">
        <v>42235.717615740738</v>
      </c>
      <c r="V801" t="s">
        <v>18</v>
      </c>
      <c r="W801" t="s">
        <v>764</v>
      </c>
      <c r="X801" s="6">
        <v>42233.488043981481</v>
      </c>
      <c r="Y801" t="s">
        <v>125</v>
      </c>
      <c r="AB801" t="s">
        <v>201</v>
      </c>
      <c r="AC801" t="s">
        <v>247</v>
      </c>
      <c r="AD801" t="s">
        <v>220</v>
      </c>
      <c r="AE801" t="s">
        <v>219</v>
      </c>
      <c r="AG801" t="s">
        <v>121</v>
      </c>
      <c r="AH801" t="s">
        <v>327</v>
      </c>
      <c r="AI801" t="s">
        <v>121</v>
      </c>
      <c r="AJ801" t="s">
        <v>715</v>
      </c>
      <c r="AK801" t="s">
        <v>121</v>
      </c>
      <c r="AL801" t="s">
        <v>121</v>
      </c>
      <c r="AM801" t="s">
        <v>121</v>
      </c>
    </row>
    <row r="802" spans="9:39" x14ac:dyDescent="0.3">
      <c r="I802">
        <f t="shared" ca="1" si="7"/>
        <v>0</v>
      </c>
      <c r="J802">
        <f t="shared" ca="1" si="8"/>
        <v>0</v>
      </c>
      <c r="K802">
        <f t="shared" ca="1" si="9"/>
        <v>615</v>
      </c>
      <c r="L802">
        <f t="shared" ca="1" si="10"/>
        <v>615</v>
      </c>
      <c r="M802" s="11">
        <f t="shared" ca="1" si="11"/>
        <v>67208</v>
      </c>
      <c r="N802">
        <v>67208</v>
      </c>
      <c r="O802" t="s">
        <v>59</v>
      </c>
      <c r="P802" t="s">
        <v>1632</v>
      </c>
      <c r="Q802" t="s">
        <v>16</v>
      </c>
      <c r="R802" t="s">
        <v>248</v>
      </c>
      <c r="S802" t="s">
        <v>552</v>
      </c>
      <c r="U802" s="6">
        <v>42233.513043981482</v>
      </c>
      <c r="V802" t="s">
        <v>18</v>
      </c>
      <c r="W802" t="s">
        <v>17</v>
      </c>
      <c r="X802" s="6">
        <v>42233.513043981482</v>
      </c>
      <c r="Y802" t="s">
        <v>124</v>
      </c>
      <c r="AB802" t="s">
        <v>201</v>
      </c>
      <c r="AC802" t="s">
        <v>121</v>
      </c>
      <c r="AD802" t="s">
        <v>220</v>
      </c>
      <c r="AE802" t="s">
        <v>219</v>
      </c>
      <c r="AG802" t="s">
        <v>121</v>
      </c>
      <c r="AH802" t="s">
        <v>327</v>
      </c>
      <c r="AI802" t="s">
        <v>121</v>
      </c>
      <c r="AJ802" t="s">
        <v>717</v>
      </c>
      <c r="AK802" t="s">
        <v>121</v>
      </c>
      <c r="AL802" t="s">
        <v>121</v>
      </c>
      <c r="AM802" t="s">
        <v>121</v>
      </c>
    </row>
    <row r="803" spans="9:39" x14ac:dyDescent="0.3">
      <c r="I803">
        <f t="shared" ca="1" si="7"/>
        <v>0</v>
      </c>
      <c r="J803">
        <f t="shared" ca="1" si="8"/>
        <v>0</v>
      </c>
      <c r="K803">
        <f t="shared" ca="1" si="9"/>
        <v>615</v>
      </c>
      <c r="L803">
        <f t="shared" ca="1" si="10"/>
        <v>615</v>
      </c>
      <c r="M803" s="11">
        <f t="shared" ca="1" si="11"/>
        <v>67209</v>
      </c>
      <c r="N803">
        <v>67209</v>
      </c>
      <c r="O803" t="s">
        <v>56</v>
      </c>
      <c r="P803" t="s">
        <v>1633</v>
      </c>
      <c r="Q803" t="s">
        <v>16</v>
      </c>
      <c r="R803" t="s">
        <v>248</v>
      </c>
      <c r="S803" t="s">
        <v>552</v>
      </c>
      <c r="T803" t="s">
        <v>794</v>
      </c>
      <c r="U803" s="6">
        <v>42233.515011574076</v>
      </c>
      <c r="V803" t="s">
        <v>18</v>
      </c>
      <c r="W803" t="s">
        <v>173</v>
      </c>
      <c r="X803" s="6">
        <v>42233.515011574076</v>
      </c>
      <c r="Y803" t="s">
        <v>122</v>
      </c>
      <c r="AB803" t="s">
        <v>201</v>
      </c>
      <c r="AC803" t="s">
        <v>121</v>
      </c>
      <c r="AD803" t="s">
        <v>222</v>
      </c>
      <c r="AE803" t="s">
        <v>221</v>
      </c>
      <c r="AG803" t="s">
        <v>121</v>
      </c>
      <c r="AH803" t="s">
        <v>327</v>
      </c>
      <c r="AI803" t="s">
        <v>121</v>
      </c>
      <c r="AJ803" t="s">
        <v>717</v>
      </c>
      <c r="AK803" t="s">
        <v>121</v>
      </c>
      <c r="AL803" t="s">
        <v>121</v>
      </c>
      <c r="AM803" t="s">
        <v>121</v>
      </c>
    </row>
    <row r="804" spans="9:39" x14ac:dyDescent="0.3">
      <c r="I804">
        <f t="shared" ca="1" si="7"/>
        <v>0</v>
      </c>
      <c r="J804">
        <f t="shared" ca="1" si="8"/>
        <v>0</v>
      </c>
      <c r="K804">
        <f t="shared" ca="1" si="9"/>
        <v>615</v>
      </c>
      <c r="L804">
        <f t="shared" ca="1" si="10"/>
        <v>615</v>
      </c>
      <c r="M804" s="11">
        <f t="shared" ca="1" si="11"/>
        <v>67210</v>
      </c>
      <c r="N804">
        <v>67210</v>
      </c>
      <c r="O804" t="s">
        <v>56</v>
      </c>
      <c r="P804" t="s">
        <v>1634</v>
      </c>
      <c r="Q804" t="s">
        <v>16</v>
      </c>
      <c r="R804" t="s">
        <v>248</v>
      </c>
      <c r="S804" t="s">
        <v>552</v>
      </c>
      <c r="U804" s="6">
        <v>42233.5158912037</v>
      </c>
      <c r="V804" t="s">
        <v>18</v>
      </c>
      <c r="W804" t="s">
        <v>173</v>
      </c>
      <c r="X804" s="6">
        <v>42233.5158912037</v>
      </c>
      <c r="Y804" t="s">
        <v>122</v>
      </c>
      <c r="AB804" t="s">
        <v>201</v>
      </c>
      <c r="AC804" t="s">
        <v>121</v>
      </c>
      <c r="AD804" t="s">
        <v>220</v>
      </c>
      <c r="AE804" t="s">
        <v>219</v>
      </c>
      <c r="AG804" t="s">
        <v>121</v>
      </c>
      <c r="AH804" t="s">
        <v>327</v>
      </c>
      <c r="AI804" t="s">
        <v>121</v>
      </c>
      <c r="AJ804" t="s">
        <v>717</v>
      </c>
      <c r="AK804" t="s">
        <v>121</v>
      </c>
      <c r="AL804" t="s">
        <v>121</v>
      </c>
      <c r="AM804" t="s">
        <v>121</v>
      </c>
    </row>
    <row r="805" spans="9:39" x14ac:dyDescent="0.3">
      <c r="I805">
        <f t="shared" ca="1" si="7"/>
        <v>1</v>
      </c>
      <c r="J805">
        <f t="shared" ca="1" si="8"/>
        <v>0</v>
      </c>
      <c r="K805">
        <f t="shared" ca="1" si="9"/>
        <v>615</v>
      </c>
      <c r="L805">
        <f t="shared" ca="1" si="10"/>
        <v>615</v>
      </c>
      <c r="M805" s="11">
        <f t="shared" ca="1" si="11"/>
        <v>67213</v>
      </c>
      <c r="N805">
        <v>67213</v>
      </c>
      <c r="O805" t="s">
        <v>56</v>
      </c>
      <c r="P805" t="s">
        <v>1635</v>
      </c>
      <c r="Q805" t="s">
        <v>39</v>
      </c>
      <c r="R805" t="s">
        <v>579</v>
      </c>
      <c r="S805" t="s">
        <v>552</v>
      </c>
      <c r="U805" s="6">
        <v>42233.519317129627</v>
      </c>
      <c r="V805" t="s">
        <v>18</v>
      </c>
      <c r="W805" t="s">
        <v>764</v>
      </c>
      <c r="X805" s="6">
        <v>42233.519317129627</v>
      </c>
      <c r="Y805" t="s">
        <v>125</v>
      </c>
      <c r="AB805" t="s">
        <v>201</v>
      </c>
      <c r="AC805" t="s">
        <v>247</v>
      </c>
      <c r="AD805" t="s">
        <v>220</v>
      </c>
      <c r="AE805" t="s">
        <v>219</v>
      </c>
      <c r="AG805" t="s">
        <v>121</v>
      </c>
      <c r="AH805" t="s">
        <v>327</v>
      </c>
      <c r="AI805" t="s">
        <v>121</v>
      </c>
      <c r="AJ805" t="s">
        <v>715</v>
      </c>
      <c r="AK805" t="s">
        <v>121</v>
      </c>
      <c r="AL805" t="s">
        <v>121</v>
      </c>
      <c r="AM805" t="s">
        <v>121</v>
      </c>
    </row>
    <row r="806" spans="9:39" x14ac:dyDescent="0.3">
      <c r="I806">
        <f t="shared" ca="1" si="7"/>
        <v>1</v>
      </c>
      <c r="J806">
        <f t="shared" ca="1" si="8"/>
        <v>0</v>
      </c>
      <c r="K806">
        <f t="shared" ca="1" si="9"/>
        <v>612</v>
      </c>
      <c r="L806">
        <f t="shared" ca="1" si="10"/>
        <v>615</v>
      </c>
      <c r="M806" s="11">
        <f t="shared" ca="1" si="11"/>
        <v>67214</v>
      </c>
      <c r="N806">
        <v>67214</v>
      </c>
      <c r="O806" t="s">
        <v>66</v>
      </c>
      <c r="P806" t="s">
        <v>1636</v>
      </c>
      <c r="Q806" t="s">
        <v>39</v>
      </c>
      <c r="R806" t="s">
        <v>783</v>
      </c>
      <c r="S806" t="s">
        <v>552</v>
      </c>
      <c r="U806" s="6">
        <v>42236.312638888892</v>
      </c>
      <c r="V806" t="s">
        <v>18</v>
      </c>
      <c r="W806" t="s">
        <v>764</v>
      </c>
      <c r="X806" s="6">
        <v>42233.519375000003</v>
      </c>
      <c r="Y806" t="s">
        <v>125</v>
      </c>
      <c r="AB806" t="s">
        <v>201</v>
      </c>
      <c r="AC806" t="s">
        <v>247</v>
      </c>
      <c r="AD806" t="s">
        <v>220</v>
      </c>
      <c r="AE806" t="s">
        <v>219</v>
      </c>
      <c r="AG806" t="s">
        <v>337</v>
      </c>
      <c r="AH806" t="s">
        <v>327</v>
      </c>
      <c r="AI806" t="s">
        <v>121</v>
      </c>
      <c r="AJ806" t="s">
        <v>715</v>
      </c>
      <c r="AK806" t="s">
        <v>121</v>
      </c>
      <c r="AL806" t="s">
        <v>121</v>
      </c>
      <c r="AM806" t="s">
        <v>121</v>
      </c>
    </row>
    <row r="807" spans="9:39" x14ac:dyDescent="0.3">
      <c r="I807">
        <f t="shared" ca="1" si="7"/>
        <v>1</v>
      </c>
      <c r="J807">
        <f t="shared" ca="1" si="8"/>
        <v>0</v>
      </c>
      <c r="K807">
        <f t="shared" ca="1" si="9"/>
        <v>615</v>
      </c>
      <c r="L807">
        <f t="shared" ca="1" si="10"/>
        <v>615</v>
      </c>
      <c r="M807" s="11">
        <f t="shared" ca="1" si="11"/>
        <v>67215</v>
      </c>
      <c r="N807">
        <v>67215</v>
      </c>
      <c r="O807" t="s">
        <v>56</v>
      </c>
      <c r="P807" t="s">
        <v>1637</v>
      </c>
      <c r="Q807" t="s">
        <v>39</v>
      </c>
      <c r="R807" t="s">
        <v>248</v>
      </c>
      <c r="S807" t="s">
        <v>552</v>
      </c>
      <c r="U807" s="6">
        <v>42233.519444444442</v>
      </c>
      <c r="V807" t="s">
        <v>18</v>
      </c>
      <c r="W807" t="s">
        <v>764</v>
      </c>
      <c r="X807" s="6">
        <v>42233.519444444442</v>
      </c>
      <c r="Y807" t="s">
        <v>125</v>
      </c>
      <c r="AB807" t="s">
        <v>201</v>
      </c>
      <c r="AC807" t="s">
        <v>247</v>
      </c>
      <c r="AD807" t="s">
        <v>220</v>
      </c>
      <c r="AE807" t="s">
        <v>219</v>
      </c>
      <c r="AG807" t="s">
        <v>121</v>
      </c>
      <c r="AH807" t="s">
        <v>327</v>
      </c>
      <c r="AI807" t="s">
        <v>121</v>
      </c>
      <c r="AJ807" t="s">
        <v>715</v>
      </c>
      <c r="AK807" t="s">
        <v>121</v>
      </c>
      <c r="AL807" t="s">
        <v>121</v>
      </c>
      <c r="AM807" t="s">
        <v>121</v>
      </c>
    </row>
    <row r="808" spans="9:39" x14ac:dyDescent="0.3">
      <c r="I808">
        <f t="shared" ca="1" si="7"/>
        <v>1</v>
      </c>
      <c r="J808">
        <f t="shared" ca="1" si="8"/>
        <v>0</v>
      </c>
      <c r="K808">
        <f t="shared" ca="1" si="9"/>
        <v>614</v>
      </c>
      <c r="L808">
        <f t="shared" ca="1" si="10"/>
        <v>615</v>
      </c>
      <c r="M808" s="11">
        <f t="shared" ca="1" si="11"/>
        <v>67219</v>
      </c>
      <c r="N808">
        <v>67219</v>
      </c>
      <c r="O808" t="s">
        <v>94</v>
      </c>
      <c r="P808" t="s">
        <v>1638</v>
      </c>
      <c r="Q808" t="s">
        <v>39</v>
      </c>
      <c r="R808" t="s">
        <v>783</v>
      </c>
      <c r="S808" t="s">
        <v>552</v>
      </c>
      <c r="U808" s="6">
        <v>42234.470555555556</v>
      </c>
      <c r="V808" t="s">
        <v>18</v>
      </c>
      <c r="W808" t="s">
        <v>783</v>
      </c>
      <c r="X808" s="6">
        <v>42233.546944444446</v>
      </c>
      <c r="Y808" t="s">
        <v>245</v>
      </c>
      <c r="AB808" t="s">
        <v>200</v>
      </c>
      <c r="AC808" t="s">
        <v>247</v>
      </c>
      <c r="AD808" t="s">
        <v>222</v>
      </c>
      <c r="AE808" t="s">
        <v>225</v>
      </c>
      <c r="AG808" t="s">
        <v>337</v>
      </c>
      <c r="AH808" t="s">
        <v>327</v>
      </c>
      <c r="AI808" t="s">
        <v>121</v>
      </c>
      <c r="AJ808" t="s">
        <v>715</v>
      </c>
      <c r="AK808" t="s">
        <v>121</v>
      </c>
      <c r="AL808" t="s">
        <v>121</v>
      </c>
      <c r="AM808" t="s">
        <v>121</v>
      </c>
    </row>
    <row r="809" spans="9:39" x14ac:dyDescent="0.3">
      <c r="I809">
        <f t="shared" ca="1" si="7"/>
        <v>1</v>
      </c>
      <c r="J809">
        <f t="shared" ca="1" si="8"/>
        <v>0</v>
      </c>
      <c r="K809">
        <f t="shared" ca="1" si="9"/>
        <v>615</v>
      </c>
      <c r="L809">
        <f t="shared" ca="1" si="10"/>
        <v>615</v>
      </c>
      <c r="M809" s="11">
        <f t="shared" ca="1" si="11"/>
        <v>67220</v>
      </c>
      <c r="N809">
        <v>67220</v>
      </c>
      <c r="O809" t="s">
        <v>94</v>
      </c>
      <c r="P809" t="s">
        <v>1639</v>
      </c>
      <c r="Q809" t="s">
        <v>39</v>
      </c>
      <c r="R809" t="s">
        <v>248</v>
      </c>
      <c r="S809" t="s">
        <v>552</v>
      </c>
      <c r="U809" s="6">
        <v>42233.547106481485</v>
      </c>
      <c r="V809" t="s">
        <v>18</v>
      </c>
      <c r="W809" t="s">
        <v>783</v>
      </c>
      <c r="X809" s="6">
        <v>42233.547106481485</v>
      </c>
      <c r="Y809" t="s">
        <v>245</v>
      </c>
      <c r="AB809" t="s">
        <v>200</v>
      </c>
      <c r="AC809" t="s">
        <v>247</v>
      </c>
      <c r="AD809" t="s">
        <v>222</v>
      </c>
      <c r="AE809" t="s">
        <v>225</v>
      </c>
      <c r="AG809" t="s">
        <v>121</v>
      </c>
      <c r="AH809" t="s">
        <v>327</v>
      </c>
      <c r="AI809" t="s">
        <v>121</v>
      </c>
      <c r="AJ809" t="s">
        <v>715</v>
      </c>
      <c r="AK809" t="s">
        <v>121</v>
      </c>
      <c r="AL809" t="s">
        <v>121</v>
      </c>
      <c r="AM809" t="s">
        <v>121</v>
      </c>
    </row>
    <row r="810" spans="9:39" x14ac:dyDescent="0.3">
      <c r="I810">
        <f t="shared" ca="1" si="7"/>
        <v>0</v>
      </c>
      <c r="J810">
        <f t="shared" ca="1" si="8"/>
        <v>1</v>
      </c>
      <c r="K810">
        <f t="shared" ca="1" si="9"/>
        <v>615</v>
      </c>
      <c r="L810">
        <f t="shared" ca="1" si="10"/>
        <v>615</v>
      </c>
      <c r="M810" s="11">
        <f t="shared" ca="1" si="11"/>
        <v>67221</v>
      </c>
      <c r="N810">
        <v>67221</v>
      </c>
      <c r="O810" t="s">
        <v>45</v>
      </c>
      <c r="P810" t="s">
        <v>1640</v>
      </c>
      <c r="Q810" t="s">
        <v>25</v>
      </c>
      <c r="R810" t="s">
        <v>783</v>
      </c>
      <c r="S810" t="s">
        <v>552</v>
      </c>
      <c r="U810" s="6">
        <v>42233.548379629632</v>
      </c>
      <c r="V810" t="s">
        <v>18</v>
      </c>
      <c r="W810" t="s">
        <v>783</v>
      </c>
      <c r="X810" s="6">
        <v>42233.548379629632</v>
      </c>
      <c r="Y810" t="s">
        <v>245</v>
      </c>
      <c r="AB810" t="s">
        <v>201</v>
      </c>
      <c r="AC810" t="s">
        <v>247</v>
      </c>
      <c r="AD810" t="s">
        <v>227</v>
      </c>
      <c r="AE810" t="s">
        <v>237</v>
      </c>
      <c r="AG810" t="s">
        <v>121</v>
      </c>
      <c r="AH810" t="s">
        <v>327</v>
      </c>
      <c r="AI810" t="s">
        <v>121</v>
      </c>
      <c r="AJ810" t="s">
        <v>716</v>
      </c>
      <c r="AK810" t="s">
        <v>121</v>
      </c>
      <c r="AL810" t="s">
        <v>121</v>
      </c>
      <c r="AM810" t="s">
        <v>121</v>
      </c>
    </row>
    <row r="811" spans="9:39" x14ac:dyDescent="0.3">
      <c r="I811">
        <f t="shared" ca="1" si="7"/>
        <v>0</v>
      </c>
      <c r="J811">
        <f t="shared" ca="1" si="8"/>
        <v>1</v>
      </c>
      <c r="K811">
        <f t="shared" ca="1" si="9"/>
        <v>615</v>
      </c>
      <c r="L811">
        <f t="shared" ca="1" si="10"/>
        <v>615</v>
      </c>
      <c r="M811" s="11">
        <f t="shared" ca="1" si="11"/>
        <v>67222</v>
      </c>
      <c r="N811">
        <v>67222</v>
      </c>
      <c r="O811" t="s">
        <v>45</v>
      </c>
      <c r="P811" t="s">
        <v>1641</v>
      </c>
      <c r="Q811" t="s">
        <v>25</v>
      </c>
      <c r="R811" t="s">
        <v>248</v>
      </c>
      <c r="S811" t="s">
        <v>552</v>
      </c>
      <c r="U811" s="6">
        <v>42233.548495370371</v>
      </c>
      <c r="V811" t="s">
        <v>18</v>
      </c>
      <c r="W811" t="s">
        <v>783</v>
      </c>
      <c r="X811" s="6">
        <v>42233.548495370371</v>
      </c>
      <c r="Y811" t="s">
        <v>245</v>
      </c>
      <c r="AB811" t="s">
        <v>201</v>
      </c>
      <c r="AC811" t="s">
        <v>247</v>
      </c>
      <c r="AD811" t="s">
        <v>227</v>
      </c>
      <c r="AE811" t="s">
        <v>237</v>
      </c>
      <c r="AG811" t="s">
        <v>121</v>
      </c>
      <c r="AH811" t="s">
        <v>327</v>
      </c>
      <c r="AI811" t="s">
        <v>121</v>
      </c>
      <c r="AJ811" t="s">
        <v>716</v>
      </c>
      <c r="AK811" t="s">
        <v>121</v>
      </c>
      <c r="AL811" t="s">
        <v>121</v>
      </c>
      <c r="AM811" t="s">
        <v>121</v>
      </c>
    </row>
    <row r="812" spans="9:39" x14ac:dyDescent="0.3">
      <c r="I812">
        <f t="shared" ca="1" si="7"/>
        <v>0</v>
      </c>
      <c r="J812">
        <f t="shared" ca="1" si="8"/>
        <v>1</v>
      </c>
      <c r="K812">
        <f t="shared" ca="1" si="9"/>
        <v>613</v>
      </c>
      <c r="L812">
        <f t="shared" ca="1" si="10"/>
        <v>615</v>
      </c>
      <c r="M812" s="11">
        <f t="shared" ca="1" si="11"/>
        <v>67224</v>
      </c>
      <c r="N812">
        <v>67224</v>
      </c>
      <c r="O812" t="s">
        <v>1233</v>
      </c>
      <c r="P812" t="s">
        <v>1642</v>
      </c>
      <c r="Q812" t="s">
        <v>25</v>
      </c>
      <c r="R812" t="s">
        <v>251</v>
      </c>
      <c r="S812" t="s">
        <v>31</v>
      </c>
      <c r="U812" s="6">
        <v>42235.407442129632</v>
      </c>
      <c r="V812" t="s">
        <v>18</v>
      </c>
      <c r="W812" t="s">
        <v>783</v>
      </c>
      <c r="X812" s="6">
        <v>42233.584513888891</v>
      </c>
      <c r="Y812" t="s">
        <v>1329</v>
      </c>
      <c r="AB812" t="s">
        <v>201</v>
      </c>
      <c r="AC812" t="s">
        <v>247</v>
      </c>
      <c r="AD812" t="s">
        <v>220</v>
      </c>
      <c r="AE812" t="s">
        <v>229</v>
      </c>
      <c r="AG812" t="s">
        <v>121</v>
      </c>
      <c r="AH812" t="s">
        <v>327</v>
      </c>
      <c r="AI812" t="s">
        <v>121</v>
      </c>
      <c r="AJ812" t="s">
        <v>716</v>
      </c>
      <c r="AK812" t="s">
        <v>121</v>
      </c>
      <c r="AL812" t="s">
        <v>121</v>
      </c>
      <c r="AM812" t="s">
        <v>121</v>
      </c>
    </row>
    <row r="813" spans="9:39" x14ac:dyDescent="0.3">
      <c r="I813">
        <f t="shared" ca="1" si="7"/>
        <v>0</v>
      </c>
      <c r="J813">
        <f t="shared" ca="1" si="8"/>
        <v>0</v>
      </c>
      <c r="K813">
        <f t="shared" ca="1" si="9"/>
        <v>615</v>
      </c>
      <c r="L813">
        <f t="shared" ca="1" si="10"/>
        <v>615</v>
      </c>
      <c r="M813" s="11">
        <f t="shared" ca="1" si="11"/>
        <v>67239</v>
      </c>
      <c r="N813">
        <v>67239</v>
      </c>
      <c r="O813" t="s">
        <v>56</v>
      </c>
      <c r="P813" t="s">
        <v>1643</v>
      </c>
      <c r="Q813" t="s">
        <v>16</v>
      </c>
      <c r="R813" t="s">
        <v>248</v>
      </c>
      <c r="S813" t="s">
        <v>552</v>
      </c>
      <c r="U813" s="6">
        <v>42233.700868055559</v>
      </c>
      <c r="V813" t="s">
        <v>18</v>
      </c>
      <c r="W813" t="s">
        <v>57</v>
      </c>
      <c r="X813" s="6">
        <v>42233.700868055559</v>
      </c>
      <c r="Y813" t="s">
        <v>122</v>
      </c>
      <c r="AB813" t="s">
        <v>201</v>
      </c>
      <c r="AC813" t="s">
        <v>121</v>
      </c>
      <c r="AD813" t="s">
        <v>220</v>
      </c>
      <c r="AE813" t="s">
        <v>219</v>
      </c>
      <c r="AG813" t="s">
        <v>121</v>
      </c>
      <c r="AH813" t="s">
        <v>327</v>
      </c>
      <c r="AI813" t="s">
        <v>121</v>
      </c>
      <c r="AJ813" t="s">
        <v>717</v>
      </c>
      <c r="AK813" t="s">
        <v>121</v>
      </c>
      <c r="AL813" t="s">
        <v>121</v>
      </c>
      <c r="AM813" t="s">
        <v>121</v>
      </c>
    </row>
    <row r="814" spans="9:39" x14ac:dyDescent="0.3">
      <c r="I814">
        <f t="shared" ca="1" si="7"/>
        <v>1</v>
      </c>
      <c r="J814">
        <f t="shared" ca="1" si="8"/>
        <v>0</v>
      </c>
      <c r="K814">
        <f t="shared" ca="1" si="9"/>
        <v>612</v>
      </c>
      <c r="L814">
        <f t="shared" ca="1" si="10"/>
        <v>615</v>
      </c>
      <c r="M814" s="11">
        <f t="shared" ca="1" si="11"/>
        <v>67242</v>
      </c>
      <c r="N814">
        <v>67242</v>
      </c>
      <c r="O814" t="s">
        <v>53</v>
      </c>
      <c r="P814" t="s">
        <v>1644</v>
      </c>
      <c r="Q814" t="s">
        <v>39</v>
      </c>
      <c r="R814" t="s">
        <v>251</v>
      </c>
      <c r="S814" t="s">
        <v>1586</v>
      </c>
      <c r="U814" s="6">
        <v>42236.0155787037</v>
      </c>
      <c r="V814" t="s">
        <v>18</v>
      </c>
      <c r="W814" t="s">
        <v>63</v>
      </c>
      <c r="X814" s="6">
        <v>42233.841956018521</v>
      </c>
      <c r="Y814" t="s">
        <v>125</v>
      </c>
      <c r="AB814" t="s">
        <v>201</v>
      </c>
      <c r="AC814" t="s">
        <v>247</v>
      </c>
      <c r="AD814" t="s">
        <v>220</v>
      </c>
      <c r="AE814" t="s">
        <v>243</v>
      </c>
      <c r="AG814" t="s">
        <v>121</v>
      </c>
      <c r="AH814" t="s">
        <v>327</v>
      </c>
      <c r="AI814" t="s">
        <v>121</v>
      </c>
      <c r="AJ814" t="s">
        <v>715</v>
      </c>
      <c r="AK814" t="s">
        <v>121</v>
      </c>
      <c r="AL814" t="s">
        <v>121</v>
      </c>
      <c r="AM814" t="s">
        <v>121</v>
      </c>
    </row>
    <row r="815" spans="9:39" x14ac:dyDescent="0.3">
      <c r="I815">
        <f t="shared" ca="1" si="7"/>
        <v>1</v>
      </c>
      <c r="J815">
        <f t="shared" ca="1" si="8"/>
        <v>0</v>
      </c>
      <c r="K815">
        <f t="shared" ca="1" si="9"/>
        <v>615</v>
      </c>
      <c r="L815">
        <f t="shared" ca="1" si="10"/>
        <v>615</v>
      </c>
      <c r="M815" s="11">
        <f t="shared" ca="1" si="11"/>
        <v>67243</v>
      </c>
      <c r="N815">
        <v>67243</v>
      </c>
      <c r="O815" t="s">
        <v>36</v>
      </c>
      <c r="P815" t="s">
        <v>1645</v>
      </c>
      <c r="Q815" t="s">
        <v>25</v>
      </c>
      <c r="R815" t="s">
        <v>251</v>
      </c>
      <c r="S815" t="s">
        <v>1646</v>
      </c>
      <c r="U815" s="6">
        <v>42233.988981481481</v>
      </c>
      <c r="V815" t="s">
        <v>18</v>
      </c>
      <c r="W815" t="s">
        <v>783</v>
      </c>
      <c r="X815" s="6">
        <v>42233.858923611115</v>
      </c>
      <c r="Y815" t="s">
        <v>244</v>
      </c>
      <c r="AB815" t="s">
        <v>199</v>
      </c>
      <c r="AC815" t="s">
        <v>217</v>
      </c>
      <c r="AD815" t="s">
        <v>222</v>
      </c>
      <c r="AE815" t="s">
        <v>225</v>
      </c>
      <c r="AG815" t="s">
        <v>121</v>
      </c>
      <c r="AH815" t="s">
        <v>327</v>
      </c>
      <c r="AI815" t="s">
        <v>121</v>
      </c>
      <c r="AJ815" t="s">
        <v>715</v>
      </c>
      <c r="AK815" t="s">
        <v>121</v>
      </c>
      <c r="AL815" t="s">
        <v>121</v>
      </c>
      <c r="AM815" t="s">
        <v>121</v>
      </c>
    </row>
    <row r="816" spans="9:39" x14ac:dyDescent="0.3">
      <c r="I816">
        <f t="shared" ca="1" si="7"/>
        <v>1</v>
      </c>
      <c r="J816">
        <f t="shared" ca="1" si="8"/>
        <v>0</v>
      </c>
      <c r="K816">
        <f t="shared" ca="1" si="9"/>
        <v>615</v>
      </c>
      <c r="L816">
        <f t="shared" ca="1" si="10"/>
        <v>615</v>
      </c>
      <c r="M816" s="11">
        <f t="shared" ca="1" si="11"/>
        <v>67245</v>
      </c>
      <c r="N816">
        <v>67245</v>
      </c>
      <c r="O816" t="s">
        <v>36</v>
      </c>
      <c r="P816" t="s">
        <v>1647</v>
      </c>
      <c r="Q816" t="s">
        <v>25</v>
      </c>
      <c r="R816" t="s">
        <v>248</v>
      </c>
      <c r="S816" t="s">
        <v>236</v>
      </c>
      <c r="U816" s="6">
        <v>42233.988981481481</v>
      </c>
      <c r="V816" t="s">
        <v>18</v>
      </c>
      <c r="W816" t="s">
        <v>783</v>
      </c>
      <c r="X816" s="6">
        <v>42233.988981481481</v>
      </c>
      <c r="Y816" t="s">
        <v>244</v>
      </c>
      <c r="AB816" t="s">
        <v>199</v>
      </c>
      <c r="AC816" t="s">
        <v>217</v>
      </c>
      <c r="AD816" t="s">
        <v>222</v>
      </c>
      <c r="AE816" t="s">
        <v>225</v>
      </c>
      <c r="AG816" t="s">
        <v>121</v>
      </c>
      <c r="AH816" t="s">
        <v>327</v>
      </c>
      <c r="AI816" t="s">
        <v>121</v>
      </c>
      <c r="AJ816" t="s">
        <v>715</v>
      </c>
      <c r="AK816" t="s">
        <v>121</v>
      </c>
      <c r="AL816" t="s">
        <v>121</v>
      </c>
      <c r="AM816" t="s">
        <v>121</v>
      </c>
    </row>
    <row r="817" spans="9:39" x14ac:dyDescent="0.3">
      <c r="I817">
        <f t="shared" ca="1" si="7"/>
        <v>1</v>
      </c>
      <c r="J817">
        <f t="shared" ca="1" si="8"/>
        <v>0</v>
      </c>
      <c r="K817">
        <f t="shared" ca="1" si="9"/>
        <v>614</v>
      </c>
      <c r="L817">
        <f t="shared" ca="1" si="10"/>
        <v>614</v>
      </c>
      <c r="M817" s="11">
        <f t="shared" ca="1" si="11"/>
        <v>67247</v>
      </c>
      <c r="N817">
        <v>67247</v>
      </c>
      <c r="O817" t="s">
        <v>53</v>
      </c>
      <c r="P817" t="s">
        <v>1648</v>
      </c>
      <c r="Q817" t="s">
        <v>39</v>
      </c>
      <c r="R817" t="s">
        <v>1531</v>
      </c>
      <c r="S817" t="s">
        <v>552</v>
      </c>
      <c r="U817" s="6">
        <v>42234.53466435185</v>
      </c>
      <c r="V817" t="s">
        <v>18</v>
      </c>
      <c r="W817" t="s">
        <v>63</v>
      </c>
      <c r="X817" s="6">
        <v>42234.019178240742</v>
      </c>
      <c r="Y817" t="s">
        <v>125</v>
      </c>
      <c r="AB817" t="s">
        <v>201</v>
      </c>
      <c r="AC817" t="s">
        <v>247</v>
      </c>
      <c r="AD817" t="s">
        <v>220</v>
      </c>
      <c r="AE817" t="s">
        <v>243</v>
      </c>
      <c r="AG817" t="s">
        <v>121</v>
      </c>
      <c r="AH817" t="s">
        <v>327</v>
      </c>
      <c r="AI817" t="s">
        <v>121</v>
      </c>
      <c r="AJ817" t="s">
        <v>715</v>
      </c>
      <c r="AK817" t="s">
        <v>121</v>
      </c>
      <c r="AL817" t="s">
        <v>121</v>
      </c>
      <c r="AM817" t="s">
        <v>121</v>
      </c>
    </row>
    <row r="818" spans="9:39" x14ac:dyDescent="0.3">
      <c r="I818">
        <f t="shared" ca="1" si="7"/>
        <v>1</v>
      </c>
      <c r="J818">
        <f t="shared" ca="1" si="8"/>
        <v>0</v>
      </c>
      <c r="K818">
        <f t="shared" ca="1" si="9"/>
        <v>614</v>
      </c>
      <c r="L818">
        <f t="shared" ca="1" si="10"/>
        <v>614</v>
      </c>
      <c r="M818" s="11">
        <f t="shared" ca="1" si="11"/>
        <v>67248</v>
      </c>
      <c r="N818">
        <v>67248</v>
      </c>
      <c r="O818" t="s">
        <v>53</v>
      </c>
      <c r="P818" t="s">
        <v>1649</v>
      </c>
      <c r="Q818" t="s">
        <v>39</v>
      </c>
      <c r="R818" t="s">
        <v>1389</v>
      </c>
      <c r="S818" t="s">
        <v>552</v>
      </c>
      <c r="U818" s="6">
        <v>42234.534675925926</v>
      </c>
      <c r="V818" t="s">
        <v>18</v>
      </c>
      <c r="W818" t="s">
        <v>63</v>
      </c>
      <c r="X818" s="6">
        <v>42234.019259259258</v>
      </c>
      <c r="Y818" t="s">
        <v>125</v>
      </c>
      <c r="AB818" t="s">
        <v>201</v>
      </c>
      <c r="AC818" t="s">
        <v>247</v>
      </c>
      <c r="AD818" t="s">
        <v>220</v>
      </c>
      <c r="AE818" t="s">
        <v>243</v>
      </c>
      <c r="AG818" t="s">
        <v>121</v>
      </c>
      <c r="AH818" t="s">
        <v>327</v>
      </c>
      <c r="AI818" t="s">
        <v>121</v>
      </c>
      <c r="AJ818" t="s">
        <v>715</v>
      </c>
      <c r="AK818" t="s">
        <v>121</v>
      </c>
      <c r="AL818" t="s">
        <v>121</v>
      </c>
      <c r="AM818" t="s">
        <v>121</v>
      </c>
    </row>
    <row r="819" spans="9:39" x14ac:dyDescent="0.3">
      <c r="I819">
        <f t="shared" ca="1" si="7"/>
        <v>1</v>
      </c>
      <c r="J819">
        <f t="shared" ca="1" si="8"/>
        <v>0</v>
      </c>
      <c r="K819">
        <f t="shared" ca="1" si="9"/>
        <v>614</v>
      </c>
      <c r="L819">
        <f t="shared" ca="1" si="10"/>
        <v>614</v>
      </c>
      <c r="M819" s="11">
        <f t="shared" ca="1" si="11"/>
        <v>67249</v>
      </c>
      <c r="N819">
        <v>67249</v>
      </c>
      <c r="O819" t="s">
        <v>53</v>
      </c>
      <c r="P819" t="s">
        <v>1650</v>
      </c>
      <c r="Q819" t="s">
        <v>39</v>
      </c>
      <c r="R819" t="s">
        <v>579</v>
      </c>
      <c r="S819" t="s">
        <v>552</v>
      </c>
      <c r="U819" s="6">
        <v>42234.53466435185</v>
      </c>
      <c r="V819" t="s">
        <v>18</v>
      </c>
      <c r="W819" t="s">
        <v>63</v>
      </c>
      <c r="X819" s="6">
        <v>42234.019409722219</v>
      </c>
      <c r="Y819" t="s">
        <v>125</v>
      </c>
      <c r="AB819" t="s">
        <v>201</v>
      </c>
      <c r="AC819" t="s">
        <v>247</v>
      </c>
      <c r="AD819" t="s">
        <v>220</v>
      </c>
      <c r="AE819" t="s">
        <v>243</v>
      </c>
      <c r="AG819" t="s">
        <v>121</v>
      </c>
      <c r="AH819" t="s">
        <v>327</v>
      </c>
      <c r="AI819" t="s">
        <v>121</v>
      </c>
      <c r="AJ819" t="s">
        <v>715</v>
      </c>
      <c r="AK819" t="s">
        <v>121</v>
      </c>
      <c r="AL819" t="s">
        <v>121</v>
      </c>
      <c r="AM819" t="s">
        <v>121</v>
      </c>
    </row>
    <row r="820" spans="9:39" x14ac:dyDescent="0.3">
      <c r="I820">
        <f t="shared" ca="1" si="7"/>
        <v>1</v>
      </c>
      <c r="J820">
        <f t="shared" ca="1" si="8"/>
        <v>0</v>
      </c>
      <c r="K820">
        <f t="shared" ca="1" si="9"/>
        <v>612</v>
      </c>
      <c r="L820">
        <f t="shared" ca="1" si="10"/>
        <v>614</v>
      </c>
      <c r="M820" s="11">
        <f t="shared" ca="1" si="11"/>
        <v>67250</v>
      </c>
      <c r="N820">
        <v>67250</v>
      </c>
      <c r="O820" t="s">
        <v>53</v>
      </c>
      <c r="P820" t="s">
        <v>1651</v>
      </c>
      <c r="Q820" t="s">
        <v>39</v>
      </c>
      <c r="R820" t="s">
        <v>783</v>
      </c>
      <c r="S820" t="s">
        <v>552</v>
      </c>
      <c r="U820" s="6">
        <v>42236.293113425927</v>
      </c>
      <c r="V820" t="s">
        <v>18</v>
      </c>
      <c r="W820" t="s">
        <v>63</v>
      </c>
      <c r="X820" s="6">
        <v>42234.019467592596</v>
      </c>
      <c r="Y820" t="s">
        <v>125</v>
      </c>
      <c r="AB820" t="s">
        <v>201</v>
      </c>
      <c r="AC820" t="s">
        <v>247</v>
      </c>
      <c r="AD820" t="s">
        <v>220</v>
      </c>
      <c r="AE820" t="s">
        <v>243</v>
      </c>
      <c r="AG820" t="s">
        <v>588</v>
      </c>
      <c r="AH820" t="s">
        <v>327</v>
      </c>
      <c r="AI820" t="s">
        <v>121</v>
      </c>
      <c r="AJ820" t="s">
        <v>715</v>
      </c>
      <c r="AK820" t="s">
        <v>121</v>
      </c>
      <c r="AL820" t="s">
        <v>121</v>
      </c>
      <c r="AM820" t="s">
        <v>121</v>
      </c>
    </row>
    <row r="821" spans="9:39" x14ac:dyDescent="0.3">
      <c r="I821">
        <f t="shared" ca="1" si="7"/>
        <v>1</v>
      </c>
      <c r="J821">
        <f t="shared" ca="1" si="8"/>
        <v>0</v>
      </c>
      <c r="K821">
        <f t="shared" ca="1" si="9"/>
        <v>613</v>
      </c>
      <c r="L821">
        <f t="shared" ca="1" si="10"/>
        <v>614</v>
      </c>
      <c r="M821" s="11">
        <f t="shared" ca="1" si="11"/>
        <v>67251</v>
      </c>
      <c r="N821">
        <v>67251</v>
      </c>
      <c r="O821" t="s">
        <v>53</v>
      </c>
      <c r="P821" t="s">
        <v>1652</v>
      </c>
      <c r="Q821" t="s">
        <v>39</v>
      </c>
      <c r="R821" t="s">
        <v>248</v>
      </c>
      <c r="S821" t="s">
        <v>552</v>
      </c>
      <c r="U821" s="6">
        <v>42235.293414351851</v>
      </c>
      <c r="V821" t="s">
        <v>18</v>
      </c>
      <c r="W821" t="s">
        <v>63</v>
      </c>
      <c r="X821" s="6">
        <v>42234.019525462965</v>
      </c>
      <c r="Y821" t="s">
        <v>125</v>
      </c>
      <c r="AB821" t="s">
        <v>201</v>
      </c>
      <c r="AC821" t="s">
        <v>247</v>
      </c>
      <c r="AD821" t="s">
        <v>220</v>
      </c>
      <c r="AE821" t="s">
        <v>219</v>
      </c>
      <c r="AG821" t="s">
        <v>121</v>
      </c>
      <c r="AH821" t="s">
        <v>327</v>
      </c>
      <c r="AI821" t="s">
        <v>121</v>
      </c>
      <c r="AJ821" t="s">
        <v>715</v>
      </c>
      <c r="AK821" t="s">
        <v>121</v>
      </c>
      <c r="AL821" t="s">
        <v>121</v>
      </c>
      <c r="AM821" t="s">
        <v>121</v>
      </c>
    </row>
    <row r="822" spans="9:39" x14ac:dyDescent="0.3">
      <c r="I822">
        <f t="shared" ca="1" si="7"/>
        <v>1</v>
      </c>
      <c r="J822">
        <f t="shared" ca="1" si="8"/>
        <v>0</v>
      </c>
      <c r="K822">
        <f t="shared" ca="1" si="9"/>
        <v>614</v>
      </c>
      <c r="L822">
        <f t="shared" ca="1" si="10"/>
        <v>614</v>
      </c>
      <c r="M822" s="11">
        <f t="shared" ca="1" si="11"/>
        <v>67253</v>
      </c>
      <c r="N822">
        <v>67253</v>
      </c>
      <c r="O822" t="s">
        <v>53</v>
      </c>
      <c r="P822" t="s">
        <v>1653</v>
      </c>
      <c r="Q822" t="s">
        <v>39</v>
      </c>
      <c r="R822" t="s">
        <v>1375</v>
      </c>
      <c r="S822" t="s">
        <v>552</v>
      </c>
      <c r="U822" s="6">
        <v>42234.53465277778</v>
      </c>
      <c r="V822" t="s">
        <v>18</v>
      </c>
      <c r="W822" t="s">
        <v>63</v>
      </c>
      <c r="X822" s="6">
        <v>42234.019594907404</v>
      </c>
      <c r="Y822" t="s">
        <v>125</v>
      </c>
      <c r="AB822" t="s">
        <v>201</v>
      </c>
      <c r="AC822" t="s">
        <v>247</v>
      </c>
      <c r="AD822" t="s">
        <v>220</v>
      </c>
      <c r="AE822" t="s">
        <v>243</v>
      </c>
      <c r="AG822" t="s">
        <v>121</v>
      </c>
      <c r="AH822" t="s">
        <v>327</v>
      </c>
      <c r="AI822" t="s">
        <v>121</v>
      </c>
      <c r="AJ822" t="s">
        <v>715</v>
      </c>
      <c r="AK822" t="s">
        <v>121</v>
      </c>
      <c r="AL822" t="s">
        <v>121</v>
      </c>
      <c r="AM822" t="s">
        <v>121</v>
      </c>
    </row>
    <row r="823" spans="9:39" x14ac:dyDescent="0.3">
      <c r="I823">
        <f t="shared" ca="1" si="7"/>
        <v>1</v>
      </c>
      <c r="J823">
        <f t="shared" ca="1" si="8"/>
        <v>0</v>
      </c>
      <c r="K823">
        <f t="shared" ca="1" si="9"/>
        <v>614</v>
      </c>
      <c r="L823">
        <f t="shared" ca="1" si="10"/>
        <v>614</v>
      </c>
      <c r="M823" s="11">
        <f t="shared" ca="1" si="11"/>
        <v>67254</v>
      </c>
      <c r="N823">
        <v>67254</v>
      </c>
      <c r="O823" t="s">
        <v>53</v>
      </c>
      <c r="P823" t="s">
        <v>1654</v>
      </c>
      <c r="Q823" t="s">
        <v>39</v>
      </c>
      <c r="R823" t="s">
        <v>1655</v>
      </c>
      <c r="S823" t="s">
        <v>552</v>
      </c>
      <c r="U823" s="6">
        <v>42234.534699074073</v>
      </c>
      <c r="V823" t="s">
        <v>18</v>
      </c>
      <c r="W823" t="s">
        <v>63</v>
      </c>
      <c r="X823" s="6">
        <v>42234.019652777781</v>
      </c>
      <c r="Y823" t="s">
        <v>125</v>
      </c>
      <c r="AB823" t="s">
        <v>201</v>
      </c>
      <c r="AC823" t="s">
        <v>247</v>
      </c>
      <c r="AD823" t="s">
        <v>220</v>
      </c>
      <c r="AE823" t="s">
        <v>243</v>
      </c>
      <c r="AG823" t="s">
        <v>121</v>
      </c>
      <c r="AH823" t="s">
        <v>327</v>
      </c>
      <c r="AI823" t="s">
        <v>121</v>
      </c>
      <c r="AJ823" t="s">
        <v>715</v>
      </c>
      <c r="AK823" t="s">
        <v>121</v>
      </c>
      <c r="AL823" t="s">
        <v>121</v>
      </c>
      <c r="AM823" t="s">
        <v>121</v>
      </c>
    </row>
    <row r="824" spans="9:39" x14ac:dyDescent="0.3">
      <c r="I824">
        <f t="shared" ref="I824:I841" ca="1" si="12">IF(OR(INDIRECT($A$73&amp;ROW())=$B$93,INDIRECT($A$73&amp;ROW())=$B$94),1,IF(AND(INDIRECT($A$73&amp;ROW())=$B$95,INDIRECT($A$96&amp;ROW())=$C$93),1,IF(AND(INDIRECT($A$73&amp;ROW())=$B$95,INDIRECT($A$96&amp;ROW())=$C$94),1,0)))</f>
        <v>1</v>
      </c>
      <c r="J824">
        <f t="shared" ref="J824:J841" ca="1" si="13">IF(AND(INDIRECT($A$73&amp;ROW())=$B$95,INDIRECT($A$96&amp;ROW())=$C$95),1,IF(AND(INDIRECT($A$73&amp;ROW())=$B$95,INDIRECT($A$96&amp;ROW())=$C$96),1,0))</f>
        <v>0</v>
      </c>
      <c r="K824">
        <f t="shared" ref="K824:K841" ca="1" si="14">DAYS360(INDIRECT($C$68&amp;ROW()),TODAY())</f>
        <v>614</v>
      </c>
      <c r="L824">
        <f t="shared" ref="L824:L841" ca="1" si="15">DAYS360(INDIRECT($C$69&amp;ROW()),TODAY())</f>
        <v>614</v>
      </c>
      <c r="M824" s="11">
        <f t="shared" ref="M824:M841" ca="1" si="16">HYPERLINK(CONCATENATE("https://bugzilla.houston.hp.com:1181/bugzilla/show_bug.cgi?id=",INDIRECT($C$70&amp;ROW())),INDIRECT($C$70&amp;ROW()))</f>
        <v>67256</v>
      </c>
      <c r="N824">
        <v>67256</v>
      </c>
      <c r="O824" t="s">
        <v>53</v>
      </c>
      <c r="P824" t="s">
        <v>1656</v>
      </c>
      <c r="Q824" t="s">
        <v>39</v>
      </c>
      <c r="R824" t="s">
        <v>1425</v>
      </c>
      <c r="S824" t="s">
        <v>552</v>
      </c>
      <c r="U824" s="6">
        <v>42234.534687500003</v>
      </c>
      <c r="V824" t="s">
        <v>18</v>
      </c>
      <c r="W824" t="s">
        <v>63</v>
      </c>
      <c r="X824" s="6">
        <v>42234.019699074073</v>
      </c>
      <c r="Y824" t="s">
        <v>125</v>
      </c>
      <c r="AB824" t="s">
        <v>201</v>
      </c>
      <c r="AC824" t="s">
        <v>247</v>
      </c>
      <c r="AD824" t="s">
        <v>220</v>
      </c>
      <c r="AE824" t="s">
        <v>243</v>
      </c>
      <c r="AG824" t="s">
        <v>121</v>
      </c>
      <c r="AH824" t="s">
        <v>327</v>
      </c>
      <c r="AI824" t="s">
        <v>121</v>
      </c>
      <c r="AJ824" t="s">
        <v>715</v>
      </c>
      <c r="AK824" t="s">
        <v>121</v>
      </c>
      <c r="AL824" t="s">
        <v>121</v>
      </c>
      <c r="AM824" t="s">
        <v>121</v>
      </c>
    </row>
    <row r="825" spans="9:39" x14ac:dyDescent="0.3">
      <c r="I825">
        <f t="shared" ca="1" si="12"/>
        <v>1</v>
      </c>
      <c r="J825">
        <f t="shared" ca="1" si="13"/>
        <v>0</v>
      </c>
      <c r="K825">
        <f t="shared" ca="1" si="14"/>
        <v>613</v>
      </c>
      <c r="L825">
        <f t="shared" ca="1" si="15"/>
        <v>614</v>
      </c>
      <c r="M825" s="11">
        <f t="shared" ca="1" si="16"/>
        <v>67281</v>
      </c>
      <c r="N825">
        <v>67281</v>
      </c>
      <c r="O825" t="s">
        <v>22</v>
      </c>
      <c r="P825" t="s">
        <v>1657</v>
      </c>
      <c r="Q825" t="s">
        <v>38</v>
      </c>
      <c r="R825" t="s">
        <v>251</v>
      </c>
      <c r="S825" t="s">
        <v>46</v>
      </c>
      <c r="U825" s="6">
        <v>42235.488125000003</v>
      </c>
      <c r="V825" t="s">
        <v>35</v>
      </c>
      <c r="W825" t="s">
        <v>783</v>
      </c>
      <c r="X825" s="6">
        <v>42234.254791666666</v>
      </c>
      <c r="Y825" t="s">
        <v>535</v>
      </c>
      <c r="AB825" t="s">
        <v>199</v>
      </c>
      <c r="AC825" t="s">
        <v>247</v>
      </c>
      <c r="AD825" t="s">
        <v>222</v>
      </c>
      <c r="AE825" t="s">
        <v>225</v>
      </c>
      <c r="AG825" t="s">
        <v>121</v>
      </c>
      <c r="AH825" t="s">
        <v>327</v>
      </c>
      <c r="AI825" t="s">
        <v>121</v>
      </c>
      <c r="AJ825" t="s">
        <v>715</v>
      </c>
      <c r="AK825" t="s">
        <v>121</v>
      </c>
      <c r="AL825" t="s">
        <v>121</v>
      </c>
      <c r="AM825" t="s">
        <v>121</v>
      </c>
    </row>
    <row r="826" spans="9:39" x14ac:dyDescent="0.3">
      <c r="I826">
        <f t="shared" ca="1" si="12"/>
        <v>0</v>
      </c>
      <c r="J826">
        <f t="shared" ca="1" si="13"/>
        <v>1</v>
      </c>
      <c r="K826">
        <f t="shared" ca="1" si="14"/>
        <v>613</v>
      </c>
      <c r="L826">
        <f t="shared" ca="1" si="15"/>
        <v>614</v>
      </c>
      <c r="M826" s="11">
        <f t="shared" ca="1" si="16"/>
        <v>67294</v>
      </c>
      <c r="N826">
        <v>67294</v>
      </c>
      <c r="O826" t="s">
        <v>1233</v>
      </c>
      <c r="P826" t="s">
        <v>1658</v>
      </c>
      <c r="Q826" t="s">
        <v>25</v>
      </c>
      <c r="R826" t="s">
        <v>1531</v>
      </c>
      <c r="S826" t="s">
        <v>552</v>
      </c>
      <c r="U826" s="6">
        <v>42235.407407407409</v>
      </c>
      <c r="V826" t="s">
        <v>18</v>
      </c>
      <c r="W826" t="s">
        <v>783</v>
      </c>
      <c r="X826" s="6">
        <v>42234.519155092596</v>
      </c>
      <c r="Y826" t="s">
        <v>1329</v>
      </c>
      <c r="AB826" t="s">
        <v>201</v>
      </c>
      <c r="AC826" t="s">
        <v>247</v>
      </c>
      <c r="AD826" t="s">
        <v>220</v>
      </c>
      <c r="AE826" t="s">
        <v>229</v>
      </c>
      <c r="AG826" t="s">
        <v>121</v>
      </c>
      <c r="AH826" t="s">
        <v>327</v>
      </c>
      <c r="AI826" t="s">
        <v>121</v>
      </c>
      <c r="AJ826" t="s">
        <v>717</v>
      </c>
      <c r="AK826" t="s">
        <v>121</v>
      </c>
      <c r="AL826" t="s">
        <v>121</v>
      </c>
      <c r="AM826" t="s">
        <v>121</v>
      </c>
    </row>
    <row r="827" spans="9:39" x14ac:dyDescent="0.3">
      <c r="I827">
        <f t="shared" ca="1" si="12"/>
        <v>0</v>
      </c>
      <c r="J827">
        <f t="shared" ca="1" si="13"/>
        <v>1</v>
      </c>
      <c r="K827">
        <f t="shared" ca="1" si="14"/>
        <v>613</v>
      </c>
      <c r="L827">
        <f t="shared" ca="1" si="15"/>
        <v>614</v>
      </c>
      <c r="M827" s="11">
        <f t="shared" ca="1" si="16"/>
        <v>67295</v>
      </c>
      <c r="N827">
        <v>67295</v>
      </c>
      <c r="O827" t="s">
        <v>1233</v>
      </c>
      <c r="P827" t="s">
        <v>1659</v>
      </c>
      <c r="Q827" t="s">
        <v>25</v>
      </c>
      <c r="R827" t="s">
        <v>1389</v>
      </c>
      <c r="S827" t="s">
        <v>552</v>
      </c>
      <c r="U827" s="6">
        <v>42235.407395833332</v>
      </c>
      <c r="V827" t="s">
        <v>18</v>
      </c>
      <c r="W827" t="s">
        <v>783</v>
      </c>
      <c r="X827" s="6">
        <v>42234.519247685188</v>
      </c>
      <c r="Y827" t="s">
        <v>1329</v>
      </c>
      <c r="AB827" t="s">
        <v>201</v>
      </c>
      <c r="AC827" t="s">
        <v>247</v>
      </c>
      <c r="AD827" t="s">
        <v>220</v>
      </c>
      <c r="AE827" t="s">
        <v>229</v>
      </c>
      <c r="AG827" t="s">
        <v>121</v>
      </c>
      <c r="AH827" t="s">
        <v>327</v>
      </c>
      <c r="AI827" t="s">
        <v>121</v>
      </c>
      <c r="AJ827" t="s">
        <v>717</v>
      </c>
      <c r="AK827" t="s">
        <v>121</v>
      </c>
      <c r="AL827" t="s">
        <v>121</v>
      </c>
      <c r="AM827" t="s">
        <v>121</v>
      </c>
    </row>
    <row r="828" spans="9:39" x14ac:dyDescent="0.3">
      <c r="I828">
        <f t="shared" ca="1" si="12"/>
        <v>0</v>
      </c>
      <c r="J828">
        <f t="shared" ca="1" si="13"/>
        <v>1</v>
      </c>
      <c r="K828">
        <f t="shared" ca="1" si="14"/>
        <v>613</v>
      </c>
      <c r="L828">
        <f t="shared" ca="1" si="15"/>
        <v>614</v>
      </c>
      <c r="M828" s="11">
        <f t="shared" ca="1" si="16"/>
        <v>67296</v>
      </c>
      <c r="N828">
        <v>67296</v>
      </c>
      <c r="O828" t="s">
        <v>1233</v>
      </c>
      <c r="P828" t="s">
        <v>1660</v>
      </c>
      <c r="Q828" t="s">
        <v>25</v>
      </c>
      <c r="R828" t="s">
        <v>579</v>
      </c>
      <c r="S828" t="s">
        <v>552</v>
      </c>
      <c r="U828" s="6">
        <v>42235.407418981478</v>
      </c>
      <c r="V828" t="s">
        <v>18</v>
      </c>
      <c r="W828" t="s">
        <v>783</v>
      </c>
      <c r="X828" s="6">
        <v>42234.51934027778</v>
      </c>
      <c r="Y828" t="s">
        <v>1329</v>
      </c>
      <c r="AB828" t="s">
        <v>201</v>
      </c>
      <c r="AC828" t="s">
        <v>247</v>
      </c>
      <c r="AD828" t="s">
        <v>220</v>
      </c>
      <c r="AE828" t="s">
        <v>229</v>
      </c>
      <c r="AG828" t="s">
        <v>121</v>
      </c>
      <c r="AH828" t="s">
        <v>327</v>
      </c>
      <c r="AI828" t="s">
        <v>121</v>
      </c>
      <c r="AJ828" t="s">
        <v>717</v>
      </c>
      <c r="AK828" t="s">
        <v>121</v>
      </c>
      <c r="AL828" t="s">
        <v>121</v>
      </c>
      <c r="AM828" t="s">
        <v>121</v>
      </c>
    </row>
    <row r="829" spans="9:39" x14ac:dyDescent="0.3">
      <c r="I829">
        <f t="shared" ca="1" si="12"/>
        <v>0</v>
      </c>
      <c r="J829">
        <f t="shared" ca="1" si="13"/>
        <v>1</v>
      </c>
      <c r="K829">
        <f t="shared" ca="1" si="14"/>
        <v>613</v>
      </c>
      <c r="L829">
        <f t="shared" ca="1" si="15"/>
        <v>614</v>
      </c>
      <c r="M829" s="11">
        <f t="shared" ca="1" si="16"/>
        <v>67297</v>
      </c>
      <c r="N829">
        <v>67297</v>
      </c>
      <c r="O829" t="s">
        <v>1233</v>
      </c>
      <c r="P829" t="s">
        <v>1661</v>
      </c>
      <c r="Q829" t="s">
        <v>25</v>
      </c>
      <c r="R829" t="s">
        <v>783</v>
      </c>
      <c r="S829" t="s">
        <v>552</v>
      </c>
      <c r="U829" s="6">
        <v>42235.408587962964</v>
      </c>
      <c r="V829" t="s">
        <v>18</v>
      </c>
      <c r="W829" t="s">
        <v>783</v>
      </c>
      <c r="X829" s="6">
        <v>42234.519421296296</v>
      </c>
      <c r="Y829" t="s">
        <v>1329</v>
      </c>
      <c r="AB829" t="s">
        <v>201</v>
      </c>
      <c r="AC829" t="s">
        <v>247</v>
      </c>
      <c r="AD829" t="s">
        <v>220</v>
      </c>
      <c r="AE829" t="s">
        <v>229</v>
      </c>
      <c r="AG829" t="s">
        <v>121</v>
      </c>
      <c r="AH829" t="s">
        <v>327</v>
      </c>
      <c r="AI829" t="s">
        <v>362</v>
      </c>
      <c r="AJ829" t="s">
        <v>717</v>
      </c>
      <c r="AK829" t="s">
        <v>121</v>
      </c>
      <c r="AL829" t="s">
        <v>121</v>
      </c>
      <c r="AM829" t="s">
        <v>121</v>
      </c>
    </row>
    <row r="830" spans="9:39" x14ac:dyDescent="0.3">
      <c r="I830">
        <f t="shared" ca="1" si="12"/>
        <v>0</v>
      </c>
      <c r="J830">
        <f t="shared" ca="1" si="13"/>
        <v>1</v>
      </c>
      <c r="K830">
        <f t="shared" ca="1" si="14"/>
        <v>613</v>
      </c>
      <c r="L830">
        <f t="shared" ca="1" si="15"/>
        <v>614</v>
      </c>
      <c r="M830" s="11">
        <f t="shared" ca="1" si="16"/>
        <v>67298</v>
      </c>
      <c r="N830">
        <v>67298</v>
      </c>
      <c r="O830" t="s">
        <v>1233</v>
      </c>
      <c r="P830" t="s">
        <v>1662</v>
      </c>
      <c r="Q830" t="s">
        <v>25</v>
      </c>
      <c r="R830" t="s">
        <v>248</v>
      </c>
      <c r="S830" t="s">
        <v>552</v>
      </c>
      <c r="U830" s="6">
        <v>42235.407384259262</v>
      </c>
      <c r="V830" t="s">
        <v>18</v>
      </c>
      <c r="W830" t="s">
        <v>783</v>
      </c>
      <c r="X830" s="6">
        <v>42234.519490740742</v>
      </c>
      <c r="Y830" t="s">
        <v>1329</v>
      </c>
      <c r="AB830" t="s">
        <v>201</v>
      </c>
      <c r="AC830" t="s">
        <v>247</v>
      </c>
      <c r="AD830" t="s">
        <v>220</v>
      </c>
      <c r="AE830" t="s">
        <v>229</v>
      </c>
      <c r="AG830" t="s">
        <v>121</v>
      </c>
      <c r="AH830" t="s">
        <v>327</v>
      </c>
      <c r="AI830" t="s">
        <v>121</v>
      </c>
      <c r="AJ830" t="s">
        <v>717</v>
      </c>
      <c r="AK830" t="s">
        <v>121</v>
      </c>
      <c r="AL830" t="s">
        <v>121</v>
      </c>
      <c r="AM830" t="s">
        <v>121</v>
      </c>
    </row>
    <row r="831" spans="9:39" x14ac:dyDescent="0.3">
      <c r="I831">
        <f t="shared" ca="1" si="12"/>
        <v>0</v>
      </c>
      <c r="J831">
        <f t="shared" ca="1" si="13"/>
        <v>1</v>
      </c>
      <c r="K831">
        <f t="shared" ca="1" si="14"/>
        <v>613</v>
      </c>
      <c r="L831">
        <f t="shared" ca="1" si="15"/>
        <v>614</v>
      </c>
      <c r="M831" s="11">
        <f t="shared" ca="1" si="16"/>
        <v>67299</v>
      </c>
      <c r="N831">
        <v>67299</v>
      </c>
      <c r="O831" t="s">
        <v>1233</v>
      </c>
      <c r="P831" t="s">
        <v>1663</v>
      </c>
      <c r="Q831" t="s">
        <v>25</v>
      </c>
      <c r="R831" t="s">
        <v>1375</v>
      </c>
      <c r="S831" t="s">
        <v>552</v>
      </c>
      <c r="U831" s="6">
        <v>42235.407442129632</v>
      </c>
      <c r="V831" t="s">
        <v>18</v>
      </c>
      <c r="W831" t="s">
        <v>783</v>
      </c>
      <c r="X831" s="6">
        <v>42234.519594907404</v>
      </c>
      <c r="Y831" t="s">
        <v>1329</v>
      </c>
      <c r="AB831" t="s">
        <v>201</v>
      </c>
      <c r="AC831" t="s">
        <v>247</v>
      </c>
      <c r="AD831" t="s">
        <v>220</v>
      </c>
      <c r="AE831" t="s">
        <v>229</v>
      </c>
      <c r="AG831" t="s">
        <v>121</v>
      </c>
      <c r="AH831" t="s">
        <v>327</v>
      </c>
      <c r="AI831" t="s">
        <v>121</v>
      </c>
      <c r="AJ831" t="s">
        <v>717</v>
      </c>
      <c r="AK831" t="s">
        <v>121</v>
      </c>
      <c r="AL831" t="s">
        <v>121</v>
      </c>
      <c r="AM831" t="s">
        <v>121</v>
      </c>
    </row>
    <row r="832" spans="9:39" x14ac:dyDescent="0.3">
      <c r="I832">
        <f t="shared" ca="1" si="12"/>
        <v>0</v>
      </c>
      <c r="J832">
        <f t="shared" ca="1" si="13"/>
        <v>1</v>
      </c>
      <c r="K832">
        <f t="shared" ca="1" si="14"/>
        <v>613</v>
      </c>
      <c r="L832">
        <f t="shared" ca="1" si="15"/>
        <v>614</v>
      </c>
      <c r="M832" s="11">
        <f t="shared" ca="1" si="16"/>
        <v>67300</v>
      </c>
      <c r="N832">
        <v>67300</v>
      </c>
      <c r="O832" t="s">
        <v>1233</v>
      </c>
      <c r="P832" t="s">
        <v>1664</v>
      </c>
      <c r="Q832" t="s">
        <v>25</v>
      </c>
      <c r="R832" t="s">
        <v>1655</v>
      </c>
      <c r="S832" t="s">
        <v>552</v>
      </c>
      <c r="U832" s="6">
        <v>42235.407407407409</v>
      </c>
      <c r="V832" t="s">
        <v>18</v>
      </c>
      <c r="W832" t="s">
        <v>783</v>
      </c>
      <c r="X832" s="6">
        <v>42234.519687499997</v>
      </c>
      <c r="Y832" t="s">
        <v>1329</v>
      </c>
      <c r="AB832" t="s">
        <v>201</v>
      </c>
      <c r="AC832" t="s">
        <v>247</v>
      </c>
      <c r="AD832" t="s">
        <v>220</v>
      </c>
      <c r="AE832" t="s">
        <v>229</v>
      </c>
      <c r="AG832" t="s">
        <v>121</v>
      </c>
      <c r="AH832" t="s">
        <v>327</v>
      </c>
      <c r="AI832" t="s">
        <v>121</v>
      </c>
      <c r="AJ832" t="s">
        <v>717</v>
      </c>
      <c r="AK832" t="s">
        <v>121</v>
      </c>
      <c r="AL832" t="s">
        <v>121</v>
      </c>
      <c r="AM832" t="s">
        <v>121</v>
      </c>
    </row>
    <row r="833" spans="9:39" x14ac:dyDescent="0.3">
      <c r="I833">
        <f t="shared" ca="1" si="12"/>
        <v>0</v>
      </c>
      <c r="J833">
        <f t="shared" ca="1" si="13"/>
        <v>1</v>
      </c>
      <c r="K833">
        <f t="shared" ca="1" si="14"/>
        <v>613</v>
      </c>
      <c r="L833">
        <f t="shared" ca="1" si="15"/>
        <v>614</v>
      </c>
      <c r="M833" s="11">
        <f t="shared" ca="1" si="16"/>
        <v>67301</v>
      </c>
      <c r="N833">
        <v>67301</v>
      </c>
      <c r="O833" t="s">
        <v>1233</v>
      </c>
      <c r="P833" t="s">
        <v>1665</v>
      </c>
      <c r="Q833" t="s">
        <v>25</v>
      </c>
      <c r="R833" t="s">
        <v>1425</v>
      </c>
      <c r="S833" t="s">
        <v>552</v>
      </c>
      <c r="U833" s="6">
        <v>42235.407430555555</v>
      </c>
      <c r="V833" t="s">
        <v>18</v>
      </c>
      <c r="W833" t="s">
        <v>783</v>
      </c>
      <c r="X833" s="6">
        <v>42234.519756944443</v>
      </c>
      <c r="Y833" t="s">
        <v>1329</v>
      </c>
      <c r="AB833" t="s">
        <v>201</v>
      </c>
      <c r="AC833" t="s">
        <v>247</v>
      </c>
      <c r="AD833" t="s">
        <v>220</v>
      </c>
      <c r="AE833" t="s">
        <v>229</v>
      </c>
      <c r="AG833" t="s">
        <v>121</v>
      </c>
      <c r="AH833" t="s">
        <v>327</v>
      </c>
      <c r="AI833" t="s">
        <v>121</v>
      </c>
      <c r="AJ833" t="s">
        <v>717</v>
      </c>
      <c r="AK833" t="s">
        <v>121</v>
      </c>
      <c r="AL833" t="s">
        <v>121</v>
      </c>
      <c r="AM833" t="s">
        <v>121</v>
      </c>
    </row>
    <row r="834" spans="9:39" x14ac:dyDescent="0.3">
      <c r="I834">
        <f t="shared" ca="1" si="12"/>
        <v>1</v>
      </c>
      <c r="J834">
        <f t="shared" ca="1" si="13"/>
        <v>0</v>
      </c>
      <c r="K834">
        <f t="shared" ca="1" si="14"/>
        <v>613</v>
      </c>
      <c r="L834">
        <f t="shared" ca="1" si="15"/>
        <v>614</v>
      </c>
      <c r="M834" s="11">
        <f t="shared" ca="1" si="16"/>
        <v>67303</v>
      </c>
      <c r="N834">
        <v>67303</v>
      </c>
      <c r="O834" t="s">
        <v>22</v>
      </c>
      <c r="P834" t="s">
        <v>1666</v>
      </c>
      <c r="Q834" t="s">
        <v>38</v>
      </c>
      <c r="R834" t="s">
        <v>783</v>
      </c>
      <c r="S834" t="s">
        <v>552</v>
      </c>
      <c r="U834" s="6">
        <v>42235.740717592591</v>
      </c>
      <c r="V834" t="s">
        <v>18</v>
      </c>
      <c r="W834" t="s">
        <v>783</v>
      </c>
      <c r="X834" s="6">
        <v>42234.53665509259</v>
      </c>
      <c r="Y834" t="s">
        <v>535</v>
      </c>
      <c r="AB834" t="s">
        <v>199</v>
      </c>
      <c r="AC834" t="s">
        <v>247</v>
      </c>
      <c r="AD834" t="s">
        <v>222</v>
      </c>
      <c r="AE834" t="s">
        <v>225</v>
      </c>
      <c r="AG834" t="s">
        <v>588</v>
      </c>
      <c r="AH834" t="s">
        <v>327</v>
      </c>
      <c r="AI834" t="s">
        <v>121</v>
      </c>
      <c r="AJ834" t="s">
        <v>715</v>
      </c>
      <c r="AK834" t="s">
        <v>121</v>
      </c>
      <c r="AL834" t="s">
        <v>121</v>
      </c>
      <c r="AM834" t="s">
        <v>121</v>
      </c>
    </row>
    <row r="835" spans="9:39" x14ac:dyDescent="0.3">
      <c r="I835">
        <f t="shared" ca="1" si="12"/>
        <v>1</v>
      </c>
      <c r="J835">
        <f t="shared" ca="1" si="13"/>
        <v>0</v>
      </c>
      <c r="K835">
        <f t="shared" ca="1" si="14"/>
        <v>613</v>
      </c>
      <c r="L835">
        <f t="shared" ca="1" si="15"/>
        <v>614</v>
      </c>
      <c r="M835" s="11">
        <f t="shared" ca="1" si="16"/>
        <v>67304</v>
      </c>
      <c r="N835">
        <v>67304</v>
      </c>
      <c r="O835" t="s">
        <v>22</v>
      </c>
      <c r="P835" t="s">
        <v>1667</v>
      </c>
      <c r="Q835" t="s">
        <v>38</v>
      </c>
      <c r="R835" t="s">
        <v>248</v>
      </c>
      <c r="S835" t="s">
        <v>552</v>
      </c>
      <c r="U835" s="6">
        <v>42235.484340277777</v>
      </c>
      <c r="V835" t="s">
        <v>18</v>
      </c>
      <c r="W835" t="s">
        <v>783</v>
      </c>
      <c r="X835" s="6">
        <v>42234.536747685182</v>
      </c>
      <c r="Y835" t="s">
        <v>535</v>
      </c>
      <c r="AB835" t="s">
        <v>199</v>
      </c>
      <c r="AC835" t="s">
        <v>247</v>
      </c>
      <c r="AD835" t="s">
        <v>222</v>
      </c>
      <c r="AE835" t="s">
        <v>225</v>
      </c>
      <c r="AG835" t="s">
        <v>121</v>
      </c>
      <c r="AH835" t="s">
        <v>327</v>
      </c>
      <c r="AI835" t="s">
        <v>121</v>
      </c>
      <c r="AJ835" t="s">
        <v>715</v>
      </c>
      <c r="AK835" t="s">
        <v>121</v>
      </c>
      <c r="AL835" t="s">
        <v>121</v>
      </c>
      <c r="AM835" t="s">
        <v>121</v>
      </c>
    </row>
    <row r="836" spans="9:39" x14ac:dyDescent="0.3">
      <c r="I836">
        <f t="shared" ca="1" si="12"/>
        <v>1</v>
      </c>
      <c r="J836">
        <f t="shared" ca="1" si="13"/>
        <v>0</v>
      </c>
      <c r="K836">
        <f t="shared" ca="1" si="14"/>
        <v>613</v>
      </c>
      <c r="L836">
        <f t="shared" ca="1" si="15"/>
        <v>614</v>
      </c>
      <c r="M836" s="11">
        <f t="shared" ca="1" si="16"/>
        <v>67309</v>
      </c>
      <c r="N836">
        <v>67309</v>
      </c>
      <c r="O836" t="s">
        <v>1668</v>
      </c>
      <c r="P836" t="s">
        <v>1669</v>
      </c>
      <c r="Q836" t="s">
        <v>39</v>
      </c>
      <c r="R836" t="s">
        <v>251</v>
      </c>
      <c r="S836" t="s">
        <v>1668</v>
      </c>
      <c r="U836" s="6">
        <v>42235.917719907404</v>
      </c>
      <c r="V836" t="s">
        <v>35</v>
      </c>
      <c r="W836" t="s">
        <v>248</v>
      </c>
      <c r="X836" s="6">
        <v>42234.657777777778</v>
      </c>
      <c r="Y836" t="s">
        <v>793</v>
      </c>
      <c r="AB836" t="s">
        <v>200</v>
      </c>
      <c r="AC836" t="s">
        <v>247</v>
      </c>
      <c r="AD836" t="s">
        <v>220</v>
      </c>
      <c r="AE836" t="s">
        <v>219</v>
      </c>
      <c r="AG836" t="s">
        <v>121</v>
      </c>
      <c r="AH836" t="s">
        <v>327</v>
      </c>
      <c r="AI836" t="s">
        <v>121</v>
      </c>
      <c r="AJ836" t="s">
        <v>715</v>
      </c>
      <c r="AK836" t="s">
        <v>121</v>
      </c>
      <c r="AL836" t="s">
        <v>1561</v>
      </c>
      <c r="AM836" t="s">
        <v>121</v>
      </c>
    </row>
    <row r="837" spans="9:39" x14ac:dyDescent="0.3">
      <c r="I837">
        <f t="shared" ca="1" si="12"/>
        <v>1</v>
      </c>
      <c r="J837">
        <f t="shared" ca="1" si="13"/>
        <v>0</v>
      </c>
      <c r="K837">
        <f t="shared" ca="1" si="14"/>
        <v>613</v>
      </c>
      <c r="L837">
        <f t="shared" ca="1" si="15"/>
        <v>614</v>
      </c>
      <c r="M837" s="11">
        <f t="shared" ca="1" si="16"/>
        <v>67311</v>
      </c>
      <c r="N837">
        <v>67311</v>
      </c>
      <c r="O837" t="s">
        <v>241</v>
      </c>
      <c r="P837" t="s">
        <v>1670</v>
      </c>
      <c r="Q837" t="s">
        <v>25</v>
      </c>
      <c r="R837" t="s">
        <v>248</v>
      </c>
      <c r="S837" t="s">
        <v>917</v>
      </c>
      <c r="U837" s="6">
        <v>42235.612453703703</v>
      </c>
      <c r="V837" t="s">
        <v>18</v>
      </c>
      <c r="W837" t="s">
        <v>248</v>
      </c>
      <c r="X837" s="6">
        <v>42234.668912037036</v>
      </c>
      <c r="Y837" t="s">
        <v>846</v>
      </c>
      <c r="AB837" t="s">
        <v>200</v>
      </c>
      <c r="AC837" t="s">
        <v>247</v>
      </c>
      <c r="AD837" t="s">
        <v>220</v>
      </c>
      <c r="AE837" t="s">
        <v>243</v>
      </c>
      <c r="AG837" t="s">
        <v>121</v>
      </c>
      <c r="AH837" t="s">
        <v>327</v>
      </c>
      <c r="AI837" t="s">
        <v>121</v>
      </c>
      <c r="AJ837" t="s">
        <v>715</v>
      </c>
      <c r="AK837" t="s">
        <v>121</v>
      </c>
      <c r="AL837" t="s">
        <v>121</v>
      </c>
      <c r="AM837" t="s">
        <v>121</v>
      </c>
    </row>
    <row r="838" spans="9:39" x14ac:dyDescent="0.3">
      <c r="I838">
        <f t="shared" ca="1" si="12"/>
        <v>1</v>
      </c>
      <c r="J838">
        <f t="shared" ca="1" si="13"/>
        <v>0</v>
      </c>
      <c r="K838">
        <f t="shared" ca="1" si="14"/>
        <v>613</v>
      </c>
      <c r="L838">
        <f t="shared" ca="1" si="15"/>
        <v>613</v>
      </c>
      <c r="M838" s="11">
        <f t="shared" ca="1" si="16"/>
        <v>67324</v>
      </c>
      <c r="N838">
        <v>67324</v>
      </c>
      <c r="O838" t="s">
        <v>1668</v>
      </c>
      <c r="P838" t="s">
        <v>1671</v>
      </c>
      <c r="Q838" t="s">
        <v>39</v>
      </c>
      <c r="R838" t="s">
        <v>248</v>
      </c>
      <c r="S838" t="s">
        <v>552</v>
      </c>
      <c r="U838" s="6">
        <v>42235.497361111113</v>
      </c>
      <c r="V838" t="s">
        <v>18</v>
      </c>
      <c r="W838" t="s">
        <v>248</v>
      </c>
      <c r="X838" s="6">
        <v>42235.019432870373</v>
      </c>
      <c r="Y838" t="s">
        <v>793</v>
      </c>
      <c r="AB838" t="s">
        <v>200</v>
      </c>
      <c r="AC838" t="s">
        <v>247</v>
      </c>
      <c r="AD838" t="s">
        <v>220</v>
      </c>
      <c r="AE838" t="s">
        <v>219</v>
      </c>
      <c r="AG838" t="s">
        <v>121</v>
      </c>
      <c r="AH838" t="s">
        <v>327</v>
      </c>
      <c r="AI838" t="s">
        <v>121</v>
      </c>
      <c r="AJ838" t="s">
        <v>715</v>
      </c>
      <c r="AK838" t="s">
        <v>121</v>
      </c>
      <c r="AL838" t="s">
        <v>121</v>
      </c>
      <c r="AM838" t="s">
        <v>121</v>
      </c>
    </row>
    <row r="839" spans="9:39" x14ac:dyDescent="0.3">
      <c r="I839">
        <f t="shared" ca="1" si="12"/>
        <v>0</v>
      </c>
      <c r="J839">
        <f t="shared" ca="1" si="13"/>
        <v>0</v>
      </c>
      <c r="K839">
        <f t="shared" ca="1" si="14"/>
        <v>612</v>
      </c>
      <c r="L839">
        <f t="shared" ca="1" si="15"/>
        <v>612</v>
      </c>
      <c r="M839" s="11">
        <f t="shared" ca="1" si="16"/>
        <v>67458</v>
      </c>
      <c r="N839">
        <v>67458</v>
      </c>
      <c r="O839" t="s">
        <v>56</v>
      </c>
      <c r="P839" t="s">
        <v>1673</v>
      </c>
      <c r="Q839" t="s">
        <v>16</v>
      </c>
      <c r="R839" t="s">
        <v>251</v>
      </c>
      <c r="S839" t="s">
        <v>156</v>
      </c>
      <c r="U839" s="6">
        <v>42236.207002314812</v>
      </c>
      <c r="V839" t="s">
        <v>18</v>
      </c>
      <c r="W839" t="s">
        <v>248</v>
      </c>
      <c r="X839" s="6">
        <v>42236.207002314812</v>
      </c>
      <c r="Y839" t="s">
        <v>118</v>
      </c>
      <c r="AB839" t="s">
        <v>201</v>
      </c>
      <c r="AC839" t="s">
        <v>247</v>
      </c>
      <c r="AD839" t="s">
        <v>222</v>
      </c>
      <c r="AE839" t="s">
        <v>232</v>
      </c>
      <c r="AG839" t="s">
        <v>121</v>
      </c>
      <c r="AH839" t="s">
        <v>327</v>
      </c>
      <c r="AI839" t="s">
        <v>121</v>
      </c>
      <c r="AJ839" t="s">
        <v>717</v>
      </c>
      <c r="AK839" t="s">
        <v>121</v>
      </c>
      <c r="AL839" t="s">
        <v>1674</v>
      </c>
      <c r="AM839" t="s">
        <v>121</v>
      </c>
    </row>
    <row r="840" spans="9:39" x14ac:dyDescent="0.3">
      <c r="I840">
        <f t="shared" ca="1" si="12"/>
        <v>0</v>
      </c>
      <c r="J840">
        <f t="shared" ca="1" si="13"/>
        <v>0</v>
      </c>
      <c r="K840">
        <f t="shared" ca="1" si="14"/>
        <v>612</v>
      </c>
      <c r="L840">
        <f t="shared" ca="1" si="15"/>
        <v>612</v>
      </c>
      <c r="M840" s="11">
        <f t="shared" ca="1" si="16"/>
        <v>67470</v>
      </c>
      <c r="N840">
        <v>67470</v>
      </c>
      <c r="O840" t="s">
        <v>56</v>
      </c>
      <c r="P840" t="s">
        <v>1675</v>
      </c>
      <c r="Q840" t="s">
        <v>16</v>
      </c>
      <c r="R840" t="s">
        <v>251</v>
      </c>
      <c r="S840" t="s">
        <v>1676</v>
      </c>
      <c r="T840" t="s">
        <v>181</v>
      </c>
      <c r="U840" s="6">
        <v>42236.365682870368</v>
      </c>
      <c r="V840" t="s">
        <v>18</v>
      </c>
      <c r="W840" t="s">
        <v>248</v>
      </c>
      <c r="X840" s="6">
        <v>42236.335092592592</v>
      </c>
      <c r="Y840" t="s">
        <v>122</v>
      </c>
      <c r="AB840" t="s">
        <v>200</v>
      </c>
      <c r="AC840" t="s">
        <v>247</v>
      </c>
      <c r="AD840" t="s">
        <v>220</v>
      </c>
      <c r="AE840" t="s">
        <v>219</v>
      </c>
      <c r="AG840" t="s">
        <v>121</v>
      </c>
      <c r="AH840" t="s">
        <v>327</v>
      </c>
      <c r="AI840" t="s">
        <v>121</v>
      </c>
      <c r="AJ840" t="s">
        <v>716</v>
      </c>
      <c r="AK840" t="s">
        <v>121</v>
      </c>
      <c r="AL840" t="s">
        <v>121</v>
      </c>
      <c r="AM840" t="s">
        <v>121</v>
      </c>
    </row>
    <row r="841" spans="9:39" x14ac:dyDescent="0.3">
      <c r="I841">
        <f t="shared" ca="1" si="12"/>
        <v>0</v>
      </c>
      <c r="J841">
        <f t="shared" ca="1" si="13"/>
        <v>1</v>
      </c>
      <c r="K841">
        <f t="shared" ca="1" si="14"/>
        <v>612</v>
      </c>
      <c r="L841">
        <f t="shared" ca="1" si="15"/>
        <v>612</v>
      </c>
      <c r="M841" s="11">
        <f t="shared" ca="1" si="16"/>
        <v>67476</v>
      </c>
      <c r="N841">
        <v>67476</v>
      </c>
      <c r="O841" t="s">
        <v>56</v>
      </c>
      <c r="P841" t="s">
        <v>1677</v>
      </c>
      <c r="Q841" t="s">
        <v>25</v>
      </c>
      <c r="R841" t="s">
        <v>251</v>
      </c>
      <c r="S841" t="s">
        <v>1401</v>
      </c>
      <c r="U841" s="6">
        <v>42236.400543981479</v>
      </c>
      <c r="V841" t="s">
        <v>18</v>
      </c>
      <c r="W841" t="s">
        <v>1375</v>
      </c>
      <c r="X841" s="6">
        <v>42236.399861111109</v>
      </c>
      <c r="Y841" t="s">
        <v>125</v>
      </c>
      <c r="AB841" t="s">
        <v>201</v>
      </c>
      <c r="AC841" t="s">
        <v>247</v>
      </c>
      <c r="AD841" t="s">
        <v>220</v>
      </c>
      <c r="AE841" t="s">
        <v>219</v>
      </c>
      <c r="AG841" t="s">
        <v>121</v>
      </c>
      <c r="AH841" t="s">
        <v>327</v>
      </c>
      <c r="AI841" t="s">
        <v>121</v>
      </c>
      <c r="AJ841" t="s">
        <v>716</v>
      </c>
      <c r="AK841" t="s">
        <v>121</v>
      </c>
      <c r="AL841" t="s">
        <v>121</v>
      </c>
      <c r="AM841" t="s">
        <v>121</v>
      </c>
    </row>
  </sheetData>
  <autoFilter ref="I1:AK841"/>
  <hyperlinks>
    <hyperlink ref="B64" location="Assignees!A1" display="Assignees"/>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Assigned to">
          <x14:formula1>
            <xm:f>[4]Assignees!#REF!</xm:f>
          </x14:formula1>
          <xm:sqref>B39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K697"/>
  <sheetViews>
    <sheetView workbookViewId="0">
      <selection activeCell="F31" sqref="F31"/>
    </sheetView>
  </sheetViews>
  <sheetFormatPr defaultRowHeight="14.4" x14ac:dyDescent="0.3"/>
  <cols>
    <col min="2" max="2" width="25.6640625" bestFit="1" customWidth="1"/>
    <col min="4" max="4" width="18.77734375" customWidth="1"/>
    <col min="9" max="10" width="0" hidden="1" customWidth="1"/>
    <col min="11" max="12" width="4.77734375" customWidth="1"/>
    <col min="13" max="13" width="8" bestFit="1" customWidth="1"/>
    <col min="14" max="14" width="0" hidden="1" customWidth="1"/>
    <col min="15" max="15" width="18.77734375" customWidth="1"/>
    <col min="16" max="16" width="117.21875" customWidth="1"/>
    <col min="17" max="17" width="9.6640625" bestFit="1" customWidth="1"/>
    <col min="18" max="18" width="17.109375" bestFit="1" customWidth="1"/>
    <col min="19" max="19" width="31.21875" bestFit="1" customWidth="1"/>
    <col min="20" max="20" width="59.33203125" bestFit="1" customWidth="1"/>
    <col min="21" max="21" width="15.6640625" bestFit="1" customWidth="1"/>
    <col min="22" max="22" width="10" bestFit="1" customWidth="1"/>
    <col min="23" max="23" width="25.6640625" bestFit="1" customWidth="1"/>
    <col min="24" max="24" width="15.6640625" bestFit="1" customWidth="1"/>
  </cols>
  <sheetData>
    <row r="1" spans="1:37" x14ac:dyDescent="0.3">
      <c r="A1" s="1" t="s">
        <v>0</v>
      </c>
      <c r="B1" s="1" t="s">
        <v>1</v>
      </c>
      <c r="C1" s="1" t="s">
        <v>0</v>
      </c>
      <c r="D1" s="1" t="s">
        <v>2</v>
      </c>
      <c r="E1" s="1" t="s">
        <v>165</v>
      </c>
      <c r="F1" s="1" t="s">
        <v>3</v>
      </c>
      <c r="G1" s="1" t="s">
        <v>4</v>
      </c>
      <c r="H1" s="1" t="s">
        <v>373</v>
      </c>
      <c r="I1" t="s">
        <v>267</v>
      </c>
      <c r="J1" t="s">
        <v>346</v>
      </c>
      <c r="K1" t="s">
        <v>86</v>
      </c>
      <c r="L1" t="s">
        <v>87</v>
      </c>
      <c r="M1" t="s">
        <v>1123</v>
      </c>
      <c r="N1" t="s">
        <v>5</v>
      </c>
      <c r="O1" t="s">
        <v>6</v>
      </c>
      <c r="P1" t="s">
        <v>7</v>
      </c>
      <c r="Q1" t="s">
        <v>8</v>
      </c>
      <c r="R1" t="s">
        <v>9</v>
      </c>
      <c r="S1" t="s">
        <v>10</v>
      </c>
      <c r="T1" t="s">
        <v>11</v>
      </c>
      <c r="U1" t="s">
        <v>12</v>
      </c>
      <c r="V1" t="s">
        <v>13</v>
      </c>
      <c r="W1" t="s">
        <v>14</v>
      </c>
      <c r="X1" t="s">
        <v>90</v>
      </c>
      <c r="Y1" t="s">
        <v>116</v>
      </c>
      <c r="Z1" t="s">
        <v>117</v>
      </c>
      <c r="AA1" t="s">
        <v>185</v>
      </c>
      <c r="AB1" t="s">
        <v>202</v>
      </c>
      <c r="AC1" t="s">
        <v>218</v>
      </c>
      <c r="AD1" t="s">
        <v>235</v>
      </c>
      <c r="AE1" t="s">
        <v>234</v>
      </c>
      <c r="AF1" t="s">
        <v>259</v>
      </c>
      <c r="AG1" t="s">
        <v>325</v>
      </c>
      <c r="AH1" t="s">
        <v>329</v>
      </c>
      <c r="AI1" t="s">
        <v>361</v>
      </c>
      <c r="AJ1" t="s">
        <v>714</v>
      </c>
      <c r="AK1" t="s">
        <v>761</v>
      </c>
    </row>
    <row r="2" spans="1:37" x14ac:dyDescent="0.3">
      <c r="A2" s="2">
        <f ca="1">COUNTIF(INDIRECT(A68&amp;A67):INDIRECT(A69&amp;A66),INDIRECT("b"&amp;ROW()))</f>
        <v>291</v>
      </c>
      <c r="B2" s="2" t="str">
        <f>Assignees!C1</f>
        <v>Astra</v>
      </c>
      <c r="C2" s="3">
        <f ca="1">COUNTIF(INDIRECT(A71&amp;A67):INDIRECT(A71&amp;A66),INDIRECT("d"&amp;ROW()))</f>
        <v>11</v>
      </c>
      <c r="D2" s="3" t="str">
        <f>Assignees!D1</f>
        <v>Astra</v>
      </c>
      <c r="E2" s="16">
        <f ca="1">COUNTIFS(INDIRECT(A71&amp;A67):INDIRECT(A71&amp;A66),INDIRECT("d"&amp;ROW()),INDIRECT(A73&amp;A67):INDIRECT(A73&amp;A66),E1)</f>
        <v>0</v>
      </c>
      <c r="F2" s="4">
        <f ca="1">COUNTIFS(INDIRECT(A71&amp;A67):INDIRECT(A71&amp;A66),INDIRECT("d"&amp;ROW()),INDIRECT(A73&amp;A67):INDIRECT(A73&amp;A66),F1)</f>
        <v>0</v>
      </c>
      <c r="G2" s="3">
        <f ca="1">COUNTIFS(INDIRECT(A71&amp;A67):INDIRECT(A71&amp;A66),INDIRECT("d"&amp;ROW()),INDIRECT(A73&amp;A67):INDIRECT(A73&amp;A66),G1)</f>
        <v>5</v>
      </c>
      <c r="H2" s="5">
        <f ca="1">COUNTIFS(INDIRECT(A71&amp;A67):INDIRECT(A71&amp;A66),INDIRECT("d"&amp;ROW()),INDIRECT(A73&amp;A67):INDIRECT(A73&amp;A66),H1)</f>
        <v>6</v>
      </c>
      <c r="I2">
        <f ca="1">IF(OR(INDIRECT(A73&amp;ROW())=B93,INDIRECT(A73&amp;ROW())=B94),1,IF(AND(INDIRECT(A73&amp;ROW())=B95,INDIRECT(A96&amp;ROW())=C93),1,IF(AND(INDIRECT(A73&amp;ROW())=B95,INDIRECT(A96&amp;ROW())=C94),1,0)))</f>
        <v>0</v>
      </c>
      <c r="J2">
        <f ca="1">IF(AND(INDIRECT(A73&amp;ROW())=B95,INDIRECT(A96&amp;ROW())=C95),1,IF(AND(INDIRECT(A73&amp;ROW())=B95,INDIRECT(A96&amp;ROW())=C96),1,0))</f>
        <v>0</v>
      </c>
      <c r="K2">
        <f ca="1">DAYS360(INDIRECT(C68&amp;ROW()),TODAY())</f>
        <v>721</v>
      </c>
      <c r="L2">
        <f ca="1">DAYS360(INDIRECT(C69&amp;ROW()),TODAY())</f>
        <v>1221</v>
      </c>
      <c r="M2" s="11">
        <f ca="1">HYPERLINK(CONCATENATE("https://bugzilla.houston.hp.com:1181/bugzilla/show_bug.cgi?id=",INDIRECT(C70&amp;ROW())),INDIRECT(C70&amp;ROW()))</f>
        <v>37654</v>
      </c>
      <c r="N2">
        <v>37654</v>
      </c>
      <c r="O2" t="s">
        <v>55</v>
      </c>
      <c r="P2" t="s">
        <v>389</v>
      </c>
      <c r="Q2" t="s">
        <v>16</v>
      </c>
      <c r="R2" t="s">
        <v>251</v>
      </c>
      <c r="S2" t="s">
        <v>55</v>
      </c>
      <c r="U2" s="6">
        <v>42125.439826388887</v>
      </c>
      <c r="V2" t="s">
        <v>18</v>
      </c>
      <c r="W2" t="s">
        <v>17</v>
      </c>
      <c r="X2" s="6">
        <v>41619.560983796298</v>
      </c>
      <c r="Y2" t="s">
        <v>122</v>
      </c>
      <c r="AB2" t="s">
        <v>200</v>
      </c>
      <c r="AC2" t="s">
        <v>121</v>
      </c>
      <c r="AD2" t="s">
        <v>220</v>
      </c>
      <c r="AE2" t="s">
        <v>219</v>
      </c>
      <c r="AG2" t="s">
        <v>121</v>
      </c>
      <c r="AH2" t="s">
        <v>327</v>
      </c>
      <c r="AI2" t="s">
        <v>121</v>
      </c>
      <c r="AJ2" t="s">
        <v>716</v>
      </c>
      <c r="AK2" t="s">
        <v>121</v>
      </c>
    </row>
    <row r="3" spans="1:37" x14ac:dyDescent="0.3">
      <c r="A3" s="2">
        <f ca="1">COUNTIF(INDIRECT(A68&amp;A67):INDIRECT(A69&amp;A66),INDIRECT("b"&amp;ROW()))</f>
        <v>2</v>
      </c>
      <c r="B3" s="2" t="str">
        <f>Assignees!C2</f>
        <v>Astra-IR7</v>
      </c>
      <c r="C3" s="3">
        <f ca="1">COUNTIF(INDIRECT(A71&amp;A67):INDIRECT(A71&amp;A66),INDIRECT("d"&amp;ROW()))</f>
        <v>268</v>
      </c>
      <c r="D3" s="3" t="str">
        <f>Assignees!D2</f>
        <v>Atlas</v>
      </c>
      <c r="E3" s="16">
        <f ca="1">COUNTIFS(INDIRECT(A71&amp;A67):INDIRECT(A71&amp;A66),INDIRECT("d"&amp;ROW()),INDIRECT(A73&amp;A67):INDIRECT(A73&amp;A66),E1)</f>
        <v>2</v>
      </c>
      <c r="F3" s="4">
        <f ca="1">COUNTIFS(INDIRECT(A71&amp;A67):INDIRECT(A71&amp;A66),INDIRECT("d"&amp;ROW()),INDIRECT(A73&amp;A67):INDIRECT(A73&amp;A66),F1)</f>
        <v>29</v>
      </c>
      <c r="G3" s="3">
        <f ca="1">COUNTIFS(INDIRECT(A71&amp;A67):INDIRECT(A71&amp;A66),INDIRECT("d"&amp;ROW()),INDIRECT(A73&amp;A67):INDIRECT(A73&amp;A66),G1)</f>
        <v>98</v>
      </c>
      <c r="H3" s="5">
        <f ca="1">COUNTIFS(INDIRECT(A71&amp;A67):INDIRECT(A71&amp;A66),INDIRECT("d"&amp;ROW()),INDIRECT(A73&amp;A67):INDIRECT(A73&amp;A66),H1)</f>
        <v>139</v>
      </c>
      <c r="I3">
        <f ca="1">IF(OR(INDIRECT(A73&amp;ROW())=B93,INDIRECT(A73&amp;ROW())=B94),1,IF(AND(INDIRECT(A73&amp;ROW())=B95,INDIRECT(A96&amp;ROW())=C93),1,IF(AND(INDIRECT(A73&amp;ROW())=B95,INDIRECT(A96&amp;ROW())=C94),1,0)))</f>
        <v>0</v>
      </c>
      <c r="J3">
        <f ca="1">IF(AND(INDIRECT(A73&amp;ROW())=B95,INDIRECT(A96&amp;ROW())=C95),1,IF(AND(INDIRECT(A73&amp;ROW())=B95,INDIRECT(A96&amp;ROW())=C96),1,0))</f>
        <v>0</v>
      </c>
      <c r="K3">
        <f ca="1">DAYS360(INDIRECT(C68&amp;ROW()),TODAY())</f>
        <v>721</v>
      </c>
      <c r="L3">
        <f ca="1">DAYS360(INDIRECT(C69&amp;ROW()),TODAY())</f>
        <v>1214</v>
      </c>
      <c r="M3" s="11">
        <f ca="1">HYPERLINK(CONCATENATE("https://bugzilla.houston.hp.com:1181/bugzilla/show_bug.cgi?id=",INDIRECT(C70&amp;ROW())),INDIRECT(C70&amp;ROW()))</f>
        <v>37855</v>
      </c>
      <c r="N3">
        <v>37855</v>
      </c>
      <c r="O3" t="s">
        <v>56</v>
      </c>
      <c r="P3" t="s">
        <v>388</v>
      </c>
      <c r="Q3" t="s">
        <v>16</v>
      </c>
      <c r="R3" t="s">
        <v>251</v>
      </c>
      <c r="S3" t="s">
        <v>43</v>
      </c>
      <c r="U3" s="6">
        <v>42125.439976851849</v>
      </c>
      <c r="V3" t="s">
        <v>35</v>
      </c>
      <c r="W3" t="s">
        <v>17</v>
      </c>
      <c r="X3" s="6">
        <v>41626.51222222222</v>
      </c>
      <c r="Y3" t="s">
        <v>122</v>
      </c>
      <c r="AB3" t="s">
        <v>201</v>
      </c>
      <c r="AC3" t="s">
        <v>121</v>
      </c>
      <c r="AD3" t="s">
        <v>220</v>
      </c>
      <c r="AE3" t="s">
        <v>219</v>
      </c>
      <c r="AG3" t="s">
        <v>121</v>
      </c>
      <c r="AH3" t="s">
        <v>327</v>
      </c>
      <c r="AI3" t="s">
        <v>121</v>
      </c>
      <c r="AJ3" t="s">
        <v>717</v>
      </c>
      <c r="AK3" t="s">
        <v>121</v>
      </c>
    </row>
    <row r="4" spans="1:37" x14ac:dyDescent="0.3">
      <c r="A4" s="2">
        <f ca="1">COUNTIF(INDIRECT(A68&amp;A67):INDIRECT(A69&amp;A66),INDIRECT("b"&amp;ROW()))</f>
        <v>2</v>
      </c>
      <c r="B4" s="2" t="str">
        <f>Assignees!C3</f>
        <v>Astra-IR8</v>
      </c>
      <c r="C4" s="3">
        <f ca="1">COUNTIF(INDIRECT(A71&amp;A67):INDIRECT(A71&amp;A66),INDIRECT("d"&amp;ROW()))</f>
        <v>0</v>
      </c>
      <c r="D4" s="3" t="str">
        <f>Assignees!D3</f>
        <v>Bellatrix</v>
      </c>
      <c r="E4" s="16">
        <f ca="1">COUNTIFS(INDIRECT(A71&amp;A67):INDIRECT(A71&amp;A66),INDIRECT("d"&amp;ROW()),INDIRECT(A73&amp;A67):INDIRECT(A73&amp;A66),E1)</f>
        <v>0</v>
      </c>
      <c r="F4" s="4">
        <f ca="1">COUNTIFS(INDIRECT(A71&amp;A67):INDIRECT(A71&amp;A66),INDIRECT("d"&amp;ROW()),INDIRECT(A73&amp;A67):INDIRECT(A73&amp;A66),F1)</f>
        <v>0</v>
      </c>
      <c r="G4" s="3">
        <f ca="1">COUNTIFS(INDIRECT(A71&amp;A67):INDIRECT(A71&amp;A66),INDIRECT("d"&amp;ROW()),INDIRECT(A73&amp;A67):INDIRECT(A73&amp;A66),G1)</f>
        <v>0</v>
      </c>
      <c r="H4" s="5">
        <f ca="1">COUNTIFS(INDIRECT(A71&amp;A67):INDIRECT(A71&amp;A66),INDIRECT("d"&amp;ROW()),INDIRECT(A73&amp;A67):INDIRECT(A73&amp;A66),H1)</f>
        <v>0</v>
      </c>
      <c r="I4">
        <f ca="1">IF(OR(INDIRECT(A73&amp;ROW())=B93,INDIRECT(A73&amp;ROW())=B94),1,IF(AND(INDIRECT(A73&amp;ROW())=B95,INDIRECT(A96&amp;ROW())=C93),1,IF(AND(INDIRECT(A73&amp;ROW())=B95,INDIRECT(A96&amp;ROW())=C94),1,0)))</f>
        <v>0</v>
      </c>
      <c r="J4">
        <f ca="1">IF(AND(INDIRECT(A73&amp;ROW())=B95,INDIRECT(A96&amp;ROW())=C95),1,IF(AND(INDIRECT(A73&amp;ROW())=B95,INDIRECT(A96&amp;ROW())=C96),1,0))</f>
        <v>1</v>
      </c>
      <c r="K4">
        <f ca="1">DAYS360(INDIRECT(C68&amp;ROW()),TODAY())</f>
        <v>710</v>
      </c>
      <c r="L4">
        <f ca="1">DAYS360(INDIRECT(C69&amp;ROW()),TODAY())</f>
        <v>1159</v>
      </c>
      <c r="M4" s="11">
        <f ca="1">HYPERLINK(CONCATENATE("https://bugzilla.houston.hp.com:1181/bugzilla/show_bug.cgi?id=",INDIRECT(C70&amp;ROW())),INDIRECT(C70&amp;ROW()))</f>
        <v>39099</v>
      </c>
      <c r="N4">
        <v>39099</v>
      </c>
      <c r="O4" t="s">
        <v>53</v>
      </c>
      <c r="P4" t="s">
        <v>1053</v>
      </c>
      <c r="Q4" t="s">
        <v>25</v>
      </c>
      <c r="R4" t="s">
        <v>251</v>
      </c>
      <c r="S4" t="s">
        <v>53</v>
      </c>
      <c r="U4" s="6">
        <v>42136.61577546296</v>
      </c>
      <c r="V4" t="s">
        <v>18</v>
      </c>
      <c r="W4" t="s">
        <v>17</v>
      </c>
      <c r="X4" s="6">
        <v>41683.468611111108</v>
      </c>
      <c r="Y4" t="s">
        <v>118</v>
      </c>
      <c r="AB4" t="s">
        <v>201</v>
      </c>
      <c r="AC4" t="s">
        <v>1027</v>
      </c>
      <c r="AD4" t="s">
        <v>220</v>
      </c>
      <c r="AE4" t="s">
        <v>219</v>
      </c>
      <c r="AG4" t="s">
        <v>121</v>
      </c>
      <c r="AH4" t="s">
        <v>327</v>
      </c>
      <c r="AI4" t="s">
        <v>121</v>
      </c>
      <c r="AJ4" t="s">
        <v>716</v>
      </c>
      <c r="AK4" t="s">
        <v>121</v>
      </c>
    </row>
    <row r="5" spans="1:37" x14ac:dyDescent="0.3">
      <c r="A5" s="2">
        <f ca="1">COUNTIF(INDIRECT(A68&amp;A67):INDIRECT(A69&amp;A66),INDIRECT("b"&amp;ROW()))</f>
        <v>2</v>
      </c>
      <c r="B5" s="2" t="str">
        <f>Assignees!C4</f>
        <v>Astra-IR9</v>
      </c>
      <c r="C5" s="3">
        <f ca="1">COUNTIF(INDIRECT(A71&amp;A67):INDIRECT(A71&amp;A66),INDIRECT("d"&amp;ROW()))</f>
        <v>253</v>
      </c>
      <c r="D5" s="3" t="str">
        <f>Assignees!D4</f>
        <v>Master</v>
      </c>
      <c r="E5" s="16">
        <f ca="1">COUNTIFS(INDIRECT(A71&amp;A67):INDIRECT(A71&amp;A66),INDIRECT("d"&amp;ROW()),INDIRECT(A73&amp;A67):INDIRECT(A73&amp;A66),E1)</f>
        <v>0</v>
      </c>
      <c r="F5" s="4">
        <f ca="1">COUNTIFS(INDIRECT(A71&amp;A67):INDIRECT(A71&amp;A66),INDIRECT("d"&amp;ROW()),INDIRECT(A73&amp;A67):INDIRECT(A73&amp;A66),F1)</f>
        <v>34</v>
      </c>
      <c r="G5" s="3">
        <f ca="1">COUNTIFS(INDIRECT(A71&amp;A67):INDIRECT(A71&amp;A66),INDIRECT("d"&amp;ROW()),INDIRECT(A73&amp;A67):INDIRECT(A73&amp;A66),G1)</f>
        <v>111</v>
      </c>
      <c r="H5" s="5">
        <f ca="1">COUNTIFS(INDIRECT(A71&amp;A67):INDIRECT(A71&amp;A66),INDIRECT("d"&amp;ROW()),INDIRECT(A73&amp;A67):INDIRECT(A73&amp;A66),H1)</f>
        <v>108</v>
      </c>
      <c r="I5">
        <f ca="1">IF(OR(INDIRECT(A73&amp;ROW())=B93,INDIRECT(A73&amp;ROW())=B94),1,IF(AND(INDIRECT(A73&amp;ROW())=B95,INDIRECT(A96&amp;ROW())=C93),1,IF(AND(INDIRECT(A73&amp;ROW())=B95,INDIRECT(A96&amp;ROW())=C94),1,0)))</f>
        <v>0</v>
      </c>
      <c r="J5">
        <f ca="1">IF(AND(INDIRECT(A73&amp;ROW())=B95,INDIRECT(A96&amp;ROW())=C95),1,IF(AND(INDIRECT(A73&amp;ROW())=B95,INDIRECT(A96&amp;ROW())=C96),1,0))</f>
        <v>0</v>
      </c>
      <c r="K5">
        <f ca="1">DAYS360(INDIRECT(C68&amp;ROW()),TODAY())</f>
        <v>728</v>
      </c>
      <c r="L5">
        <f ca="1">DAYS360(INDIRECT(C69&amp;ROW()),TODAY())</f>
        <v>1145</v>
      </c>
      <c r="M5" s="11">
        <f ca="1">HYPERLINK(CONCATENATE("https://bugzilla.houston.hp.com:1181/bugzilla/show_bug.cgi?id=",INDIRECT(C70&amp;ROW())),INDIRECT(C70&amp;ROW()))</f>
        <v>39639</v>
      </c>
      <c r="N5">
        <v>39639</v>
      </c>
      <c r="O5" t="s">
        <v>66</v>
      </c>
      <c r="P5" t="s">
        <v>208</v>
      </c>
      <c r="Q5" t="s">
        <v>16</v>
      </c>
      <c r="R5" t="s">
        <v>251</v>
      </c>
      <c r="S5" t="s">
        <v>37</v>
      </c>
      <c r="T5" t="s">
        <v>794</v>
      </c>
      <c r="U5" s="6">
        <v>42118.519513888888</v>
      </c>
      <c r="V5" t="s">
        <v>35</v>
      </c>
      <c r="W5" t="s">
        <v>17</v>
      </c>
      <c r="X5" s="6">
        <v>41697.087245370371</v>
      </c>
      <c r="Y5" t="s">
        <v>119</v>
      </c>
      <c r="AB5" t="s">
        <v>201</v>
      </c>
      <c r="AC5" t="s">
        <v>121</v>
      </c>
      <c r="AD5" t="s">
        <v>220</v>
      </c>
      <c r="AE5" t="s">
        <v>219</v>
      </c>
      <c r="AG5" t="s">
        <v>121</v>
      </c>
      <c r="AH5" t="s">
        <v>327</v>
      </c>
      <c r="AI5" t="s">
        <v>121</v>
      </c>
      <c r="AJ5" t="s">
        <v>717</v>
      </c>
      <c r="AK5" t="s">
        <v>121</v>
      </c>
    </row>
    <row r="6" spans="1:37" x14ac:dyDescent="0.3">
      <c r="A6" s="2">
        <f ca="1">COUNTIF(INDIRECT(A68&amp;A67):INDIRECT(A69&amp;A66),INDIRECT("b"&amp;ROW()))</f>
        <v>2</v>
      </c>
      <c r="B6" s="2" t="str">
        <f>Assignees!C5</f>
        <v>Astra-IR10</v>
      </c>
      <c r="C6" s="3">
        <f ca="1">COUNTIF(INDIRECT(A71&amp;A67):INDIRECT(A71&amp;A66),INDIRECT("d"&amp;ROW()))</f>
        <v>1</v>
      </c>
      <c r="D6" s="3" t="str">
        <f>Assignees!D5</f>
        <v>Astra-Waiver</v>
      </c>
      <c r="E6" s="16">
        <f ca="1">COUNTIFS(INDIRECT(A71&amp;A67):INDIRECT(A71&amp;A66),INDIRECT("d"&amp;ROW()),INDIRECT(A73&amp;A67):INDIRECT(A73&amp;A66),E1)</f>
        <v>0</v>
      </c>
      <c r="F6" s="4">
        <f ca="1">COUNTIFS(INDIRECT(A71&amp;A67):INDIRECT(A71&amp;A66),INDIRECT("d"&amp;ROW()),INDIRECT(A73&amp;A67):INDIRECT(A73&amp;A66),F1)</f>
        <v>0</v>
      </c>
      <c r="G6" s="3">
        <f ca="1">COUNTIFS(INDIRECT(A71&amp;A67):INDIRECT(A71&amp;A66),INDIRECT("d"&amp;ROW()),INDIRECT(A73&amp;A67):INDIRECT(A73&amp;A66),G1)</f>
        <v>1</v>
      </c>
      <c r="H6" s="5">
        <f ca="1">COUNTIFS(INDIRECT(A71&amp;A67):INDIRECT(A71&amp;A66),INDIRECT("d"&amp;ROW()),INDIRECT(A73&amp;A67):INDIRECT(A73&amp;A66),H1)</f>
        <v>0</v>
      </c>
      <c r="I6">
        <f ca="1">IF(OR(INDIRECT(A73&amp;ROW())=B93,INDIRECT(A73&amp;ROW())=B94),1,IF(AND(INDIRECT(A73&amp;ROW())=B95,INDIRECT(A96&amp;ROW())=C93),1,IF(AND(INDIRECT(A73&amp;ROW())=B95,INDIRECT(A96&amp;ROW())=C94),1,0)))</f>
        <v>0</v>
      </c>
      <c r="J6">
        <f ca="1">IF(AND(INDIRECT(A73&amp;ROW())=B95,INDIRECT(A96&amp;ROW())=C95),1,IF(AND(INDIRECT(A73&amp;ROW())=B95,INDIRECT(A96&amp;ROW())=C96),1,0))</f>
        <v>1</v>
      </c>
      <c r="K6">
        <f ca="1">DAYS360(INDIRECT(C68&amp;ROW()),TODAY())</f>
        <v>729</v>
      </c>
      <c r="L6">
        <f ca="1">DAYS360(INDIRECT(C69&amp;ROW()),TODAY())</f>
        <v>1145</v>
      </c>
      <c r="M6" s="11">
        <f ca="1">HYPERLINK(CONCATENATE("https://bugzilla.houston.hp.com:1181/bugzilla/show_bug.cgi?id=",INDIRECT(C70&amp;ROW())),INDIRECT(C70&amp;ROW()))</f>
        <v>39670</v>
      </c>
      <c r="N6">
        <v>39670</v>
      </c>
      <c r="O6" t="s">
        <v>31</v>
      </c>
      <c r="P6" t="s">
        <v>540</v>
      </c>
      <c r="Q6" t="s">
        <v>25</v>
      </c>
      <c r="R6" t="s">
        <v>251</v>
      </c>
      <c r="S6" t="s">
        <v>31</v>
      </c>
      <c r="U6" s="6">
        <v>42117.402280092596</v>
      </c>
      <c r="V6" t="s">
        <v>40</v>
      </c>
      <c r="W6" t="s">
        <v>17</v>
      </c>
      <c r="X6" s="6">
        <v>41697.697731481479</v>
      </c>
      <c r="Y6" t="s">
        <v>119</v>
      </c>
      <c r="AB6" t="s">
        <v>201</v>
      </c>
      <c r="AC6" t="s">
        <v>121</v>
      </c>
      <c r="AD6" t="s">
        <v>220</v>
      </c>
      <c r="AE6" t="s">
        <v>219</v>
      </c>
      <c r="AG6" t="s">
        <v>121</v>
      </c>
      <c r="AH6" t="s">
        <v>327</v>
      </c>
      <c r="AI6" t="s">
        <v>121</v>
      </c>
      <c r="AJ6" t="s">
        <v>716</v>
      </c>
      <c r="AK6" t="s">
        <v>121</v>
      </c>
    </row>
    <row r="7" spans="1:37" x14ac:dyDescent="0.3">
      <c r="A7" s="2">
        <f ca="1">COUNTIF(INDIRECT(A68&amp;A67):INDIRECT(A69&amp;A66),INDIRECT("b"&amp;ROW()))</f>
        <v>1</v>
      </c>
      <c r="B7" s="2" t="str">
        <f>Assignees!C6</f>
        <v>Astra-IR11</v>
      </c>
      <c r="C7" s="3">
        <f ca="1">COUNTIF(INDIRECT(A71&amp;A67):INDIRECT(A71&amp;A66),INDIRECT("d"&amp;ROW()))</f>
        <v>86</v>
      </c>
      <c r="D7" s="3" t="str">
        <f>Assignees!D6</f>
        <v>Astra-Maint</v>
      </c>
      <c r="E7" s="16">
        <f ca="1">COUNTIFS(INDIRECT(A71&amp;A67):INDIRECT(A71&amp;A66),INDIRECT("d"&amp;ROW()),INDIRECT(A73&amp;A67):INDIRECT(A73&amp;A66),E1)</f>
        <v>0</v>
      </c>
      <c r="F7" s="4">
        <f ca="1">COUNTIFS(INDIRECT(A71&amp;A67):INDIRECT(A71&amp;A66),INDIRECT("d"&amp;ROW()),INDIRECT(A73&amp;A67):INDIRECT(A73&amp;A66),F1)</f>
        <v>26</v>
      </c>
      <c r="G7" s="3">
        <f ca="1">COUNTIFS(INDIRECT(A71&amp;A67):INDIRECT(A71&amp;A66),INDIRECT("d"&amp;ROW()),INDIRECT(A73&amp;A67):INDIRECT(A73&amp;A66),G1)</f>
        <v>50</v>
      </c>
      <c r="H7" s="5">
        <f ca="1">COUNTIFS(INDIRECT(A71&amp;A67):INDIRECT(A71&amp;A66),INDIRECT("d"&amp;ROW()),INDIRECT(A73&amp;A67):INDIRECT(A73&amp;A66),H1)</f>
        <v>10</v>
      </c>
      <c r="I7">
        <f ca="1">IF(OR(INDIRECT(A73&amp;ROW())=B93,INDIRECT(A73&amp;ROW())=B94),1,IF(AND(INDIRECT(A73&amp;ROW())=B95,INDIRECT(A96&amp;ROW())=C93),1,IF(AND(INDIRECT(A73&amp;ROW())=B95,INDIRECT(A96&amp;ROW())=C94),1,0)))</f>
        <v>0</v>
      </c>
      <c r="J7">
        <f ca="1">IF(AND(INDIRECT(A73&amp;ROW())=B95,INDIRECT(A96&amp;ROW())=C95),1,IF(AND(INDIRECT(A73&amp;ROW())=B95,INDIRECT(A96&amp;ROW())=C96),1,0))</f>
        <v>0</v>
      </c>
      <c r="K7">
        <f ca="1">DAYS360(INDIRECT(C68&amp;ROW()),TODAY())</f>
        <v>718</v>
      </c>
      <c r="L7">
        <f ca="1">DAYS360(INDIRECT(C69&amp;ROW()),TODAY())</f>
        <v>1130</v>
      </c>
      <c r="M7" s="11">
        <f ca="1">HYPERLINK(CONCATENATE("https://bugzilla.houston.hp.com:1181/bugzilla/show_bug.cgi?id=",INDIRECT(C70&amp;ROW())),INDIRECT(C70&amp;ROW()))</f>
        <v>40103</v>
      </c>
      <c r="N7">
        <v>40103</v>
      </c>
      <c r="O7" t="s">
        <v>21</v>
      </c>
      <c r="P7" t="s">
        <v>387</v>
      </c>
      <c r="Q7" t="s">
        <v>16</v>
      </c>
      <c r="R7" t="s">
        <v>251</v>
      </c>
      <c r="S7" t="s">
        <v>49</v>
      </c>
      <c r="T7" t="s">
        <v>794</v>
      </c>
      <c r="U7" s="6">
        <v>42128.643333333333</v>
      </c>
      <c r="V7" t="s">
        <v>18</v>
      </c>
      <c r="W7" t="s">
        <v>17</v>
      </c>
      <c r="X7" s="6">
        <v>41710.731678240743</v>
      </c>
      <c r="Y7" t="s">
        <v>244</v>
      </c>
      <c r="AB7" t="s">
        <v>201</v>
      </c>
      <c r="AC7" t="s">
        <v>121</v>
      </c>
      <c r="AD7" t="s">
        <v>227</v>
      </c>
      <c r="AE7" t="s">
        <v>238</v>
      </c>
      <c r="AG7" t="s">
        <v>121</v>
      </c>
      <c r="AH7" t="s">
        <v>327</v>
      </c>
      <c r="AI7" t="s">
        <v>121</v>
      </c>
      <c r="AJ7" t="s">
        <v>717</v>
      </c>
      <c r="AK7" t="s">
        <v>121</v>
      </c>
    </row>
    <row r="8" spans="1:37" x14ac:dyDescent="0.3">
      <c r="A8" s="2">
        <f ca="1">COUNTIF(INDIRECT(A68&amp;A67):INDIRECT(A69&amp;A66),INDIRECT("b"&amp;ROW()))</f>
        <v>3</v>
      </c>
      <c r="B8" s="2" t="str">
        <f>Assignees!C7</f>
        <v>Astra-IR12</v>
      </c>
      <c r="C8" s="3">
        <f ca="1">COUNTIF(INDIRECT(A71&amp;A67):INDIRECT(A71&amp;A66),INDIRECT("d"&amp;ROW()))</f>
        <v>77</v>
      </c>
      <c r="D8" s="3" t="str">
        <f>Assignees!D7</f>
        <v>Astra-1.1.0</v>
      </c>
      <c r="E8" s="16">
        <f ca="1">COUNTIFS(INDIRECT(A71&amp;A67):INDIRECT(A71&amp;A66),INDIRECT("d"&amp;ROW()),INDIRECT(A73&amp;A67):INDIRECT(A73&amp;A66),E1)</f>
        <v>0</v>
      </c>
      <c r="F8" s="4">
        <f ca="1">COUNTIFS(INDIRECT(A71&amp;A67):INDIRECT(A71&amp;A66),INDIRECT("d"&amp;ROW()),INDIRECT(A73&amp;A67):INDIRECT(A73&amp;A66),F1)</f>
        <v>16</v>
      </c>
      <c r="G8" s="3">
        <f ca="1">COUNTIFS(INDIRECT(A71&amp;A67):INDIRECT(A71&amp;A66),INDIRECT("d"&amp;ROW()),INDIRECT(A73&amp;A67):INDIRECT(A73&amp;A66),G1)</f>
        <v>46</v>
      </c>
      <c r="H8" s="5">
        <f ca="1">COUNTIFS(INDIRECT(A71&amp;A67):INDIRECT(A71&amp;A66),INDIRECT("d"&amp;ROW()),INDIRECT(A73&amp;A67):INDIRECT(A73&amp;A66),H1)</f>
        <v>15</v>
      </c>
      <c r="I8">
        <f ca="1">IF(OR(INDIRECT(A73&amp;ROW())=B93,INDIRECT(A73&amp;ROW())=B94),1,IF(AND(INDIRECT(A73&amp;ROW())=B95,INDIRECT(A96&amp;ROW())=C93),1,IF(AND(INDIRECT(A73&amp;ROW())=B95,INDIRECT(A96&amp;ROW())=C94),1,0)))</f>
        <v>0</v>
      </c>
      <c r="J8">
        <f ca="1">IF(AND(INDIRECT(A73&amp;ROW())=B95,INDIRECT(A96&amp;ROW())=C95),1,IF(AND(INDIRECT(A73&amp;ROW())=B95,INDIRECT(A96&amp;ROW())=C96),1,0))</f>
        <v>0</v>
      </c>
      <c r="K8">
        <f ca="1">DAYS360(INDIRECT(C68&amp;ROW()),TODAY())</f>
        <v>724</v>
      </c>
      <c r="L8">
        <f ca="1">DAYS360(INDIRECT(C69&amp;ROW()),TODAY())</f>
        <v>1129</v>
      </c>
      <c r="M8" s="11">
        <f ca="1">HYPERLINK(CONCATENATE("https://bugzilla.houston.hp.com:1181/bugzilla/show_bug.cgi?id=",INDIRECT(C70&amp;ROW())),INDIRECT(C70&amp;ROW()))</f>
        <v>40147</v>
      </c>
      <c r="N8">
        <v>40147</v>
      </c>
      <c r="O8" t="s">
        <v>203</v>
      </c>
      <c r="P8" t="s">
        <v>386</v>
      </c>
      <c r="Q8" t="s">
        <v>16</v>
      </c>
      <c r="R8" t="s">
        <v>251</v>
      </c>
      <c r="S8" t="s">
        <v>43</v>
      </c>
      <c r="U8" s="6">
        <v>42122.542349537034</v>
      </c>
      <c r="V8" t="s">
        <v>35</v>
      </c>
      <c r="W8" t="s">
        <v>17</v>
      </c>
      <c r="X8" s="6">
        <v>41711.557384259257</v>
      </c>
      <c r="Y8" t="s">
        <v>118</v>
      </c>
      <c r="AB8" t="s">
        <v>201</v>
      </c>
      <c r="AC8" t="s">
        <v>121</v>
      </c>
      <c r="AD8" t="s">
        <v>220</v>
      </c>
      <c r="AE8" t="s">
        <v>223</v>
      </c>
      <c r="AG8" t="s">
        <v>121</v>
      </c>
      <c r="AH8" t="s">
        <v>327</v>
      </c>
      <c r="AI8" t="s">
        <v>121</v>
      </c>
      <c r="AJ8" t="s">
        <v>717</v>
      </c>
      <c r="AK8" t="s">
        <v>121</v>
      </c>
    </row>
    <row r="9" spans="1:37" x14ac:dyDescent="0.3">
      <c r="A9" s="2">
        <f ca="1">COUNTIF(INDIRECT(A68&amp;A67):INDIRECT(A69&amp;A66),INDIRECT("b"&amp;ROW()))</f>
        <v>4</v>
      </c>
      <c r="B9" s="2" t="str">
        <f>Assignees!C8</f>
        <v>Astra-IR13</v>
      </c>
      <c r="C9" s="3">
        <f ca="1">COUNTIF(INDIRECT(A71&amp;A67):INDIRECT(A71&amp;A66),INDIRECT("d"&amp;ROW()))</f>
        <v>0</v>
      </c>
      <c r="D9" s="3">
        <f>Assignees!D8</f>
        <v>0</v>
      </c>
      <c r="E9" s="16">
        <f ca="1">COUNTIFS(INDIRECT(A71&amp;A67):INDIRECT(A71&amp;A66),INDIRECT("d"&amp;ROW()),INDIRECT(A73&amp;A67):INDIRECT(A73&amp;A66),E1)</f>
        <v>0</v>
      </c>
      <c r="F9" s="4">
        <f ca="1">COUNTIFS(INDIRECT(A71&amp;A67):INDIRECT(A71&amp;A66),INDIRECT("d"&amp;ROW()),INDIRECT(A73&amp;A67):INDIRECT(A73&amp;A66),F1)</f>
        <v>0</v>
      </c>
      <c r="G9" s="3">
        <f ca="1">COUNTIFS(INDIRECT(A71&amp;A67):INDIRECT(A71&amp;A66),INDIRECT("d"&amp;ROW()),INDIRECT(A73&amp;A67):INDIRECT(A73&amp;A66),G1)</f>
        <v>0</v>
      </c>
      <c r="H9" s="5">
        <f ca="1">COUNTIFS(INDIRECT(A71&amp;A67):INDIRECT(A71&amp;A66),INDIRECT("d"&amp;ROW()),INDIRECT(A73&amp;A67):INDIRECT(A73&amp;A66),H1)</f>
        <v>0</v>
      </c>
      <c r="I9">
        <f ca="1">IF(OR(INDIRECT(A73&amp;ROW())=B93,INDIRECT(A73&amp;ROW())=B94),1,IF(AND(INDIRECT(A73&amp;ROW())=B95,INDIRECT(A96&amp;ROW())=C93),1,IF(AND(INDIRECT(A73&amp;ROW())=B95,INDIRECT(A96&amp;ROW())=C94),1,0)))</f>
        <v>0</v>
      </c>
      <c r="J9">
        <f ca="1">IF(AND(INDIRECT(A73&amp;ROW())=B95,INDIRECT(A96&amp;ROW())=C95),1,IF(AND(INDIRECT(A73&amp;ROW())=B95,INDIRECT(A96&amp;ROW())=C96),1,0))</f>
        <v>1</v>
      </c>
      <c r="K9">
        <f ca="1">DAYS360(INDIRECT(C68&amp;ROW()),TODAY())</f>
        <v>721</v>
      </c>
      <c r="L9">
        <f ca="1">DAYS360(INDIRECT(C69&amp;ROW()),TODAY())</f>
        <v>1117</v>
      </c>
      <c r="M9" s="11">
        <f ca="1">HYPERLINK(CONCATENATE("https://bugzilla.houston.hp.com:1181/bugzilla/show_bug.cgi?id=",INDIRECT(C70&amp;ROW())),INDIRECT(C70&amp;ROW()))</f>
        <v>41238</v>
      </c>
      <c r="N9">
        <v>41238</v>
      </c>
      <c r="O9" t="s">
        <v>56</v>
      </c>
      <c r="P9" t="s">
        <v>385</v>
      </c>
      <c r="Q9" t="s">
        <v>25</v>
      </c>
      <c r="R9" t="s">
        <v>251</v>
      </c>
      <c r="S9" t="s">
        <v>43</v>
      </c>
      <c r="U9" s="6">
        <v>42125.442164351851</v>
      </c>
      <c r="V9" t="s">
        <v>18</v>
      </c>
      <c r="W9" t="s">
        <v>17</v>
      </c>
      <c r="X9" s="6">
        <v>41723.653414351851</v>
      </c>
      <c r="Y9" t="s">
        <v>122</v>
      </c>
      <c r="AB9" t="s">
        <v>201</v>
      </c>
      <c r="AC9" t="s">
        <v>121</v>
      </c>
      <c r="AD9" t="s">
        <v>220</v>
      </c>
      <c r="AE9" t="s">
        <v>219</v>
      </c>
      <c r="AG9" t="s">
        <v>121</v>
      </c>
      <c r="AH9" t="s">
        <v>327</v>
      </c>
      <c r="AI9" t="s">
        <v>121</v>
      </c>
      <c r="AJ9" t="s">
        <v>716</v>
      </c>
      <c r="AK9" t="s">
        <v>121</v>
      </c>
    </row>
    <row r="10" spans="1:37" x14ac:dyDescent="0.3">
      <c r="A10" s="2">
        <f ca="1">COUNTIF(INDIRECT(A68&amp;A67):INDIRECT(A69&amp;A66),INDIRECT("b"&amp;ROW()))</f>
        <v>1</v>
      </c>
      <c r="B10" s="2" t="str">
        <f>Assignees!C9</f>
        <v>Astra-Post IR13 06-20</v>
      </c>
      <c r="C10" s="3">
        <f ca="1">COUNTIF(INDIRECT(A71&amp;A67):INDIRECT(A71&amp;A66),INDIRECT("d"&amp;ROW()))</f>
        <v>0</v>
      </c>
      <c r="D10" s="3">
        <f>Assignees!D9</f>
        <v>0</v>
      </c>
      <c r="E10" s="16">
        <f ca="1">COUNTIFS(INDIRECT(A71&amp;A67):INDIRECT(A71&amp;A66),INDIRECT("d"&amp;ROW()),INDIRECT(A73&amp;A67):INDIRECT(A73&amp;A66),E1)</f>
        <v>0</v>
      </c>
      <c r="F10" s="4">
        <f ca="1">COUNTIFS(INDIRECT(A71&amp;A67):INDIRECT(A71&amp;A66),INDIRECT("d"&amp;ROW()),INDIRECT(A73&amp;A67):INDIRECT(A73&amp;A66),F1)</f>
        <v>0</v>
      </c>
      <c r="G10" s="3">
        <f ca="1">COUNTIFS(INDIRECT(A71&amp;A67):INDIRECT(A71&amp;A66),INDIRECT("d"&amp;ROW()),INDIRECT(A73&amp;A67):INDIRECT(A73&amp;A66),G1)</f>
        <v>0</v>
      </c>
      <c r="H10" s="5">
        <f ca="1">COUNTIFS(INDIRECT(A71&amp;A67):INDIRECT(A71&amp;A66),INDIRECT("d"&amp;ROW()),INDIRECT(A73&amp;A67):INDIRECT(A73&amp;A66),H1)</f>
        <v>0</v>
      </c>
      <c r="I10">
        <f ca="1">IF(OR(INDIRECT(A73&amp;ROW())=B93,INDIRECT(A73&amp;ROW())=B94),1,IF(AND(INDIRECT(A73&amp;ROW())=B95,INDIRECT(A96&amp;ROW())=C93),1,IF(AND(INDIRECT(A73&amp;ROW())=B95,INDIRECT(A96&amp;ROW())=C94),1,0)))</f>
        <v>0</v>
      </c>
      <c r="J10">
        <f ca="1">IF(AND(INDIRECT(A73&amp;ROW())=B95,INDIRECT(A96&amp;ROW())=C95),1,IF(AND(INDIRECT(A73&amp;ROW())=B95,INDIRECT(A96&amp;ROW())=C96),1,0))</f>
        <v>1</v>
      </c>
      <c r="K10">
        <f ca="1">DAYS360(INDIRECT(C68&amp;ROW()),TODAY())</f>
        <v>724</v>
      </c>
      <c r="L10">
        <f ca="1">DAYS360(INDIRECT(C69&amp;ROW()),TODAY())</f>
        <v>1115</v>
      </c>
      <c r="M10" s="11">
        <f ca="1">HYPERLINK(CONCATENATE("https://bugzilla.houston.hp.com:1181/bugzilla/show_bug.cgi?id=",INDIRECT(C70&amp;ROW())),INDIRECT(C70&amp;ROW()))</f>
        <v>41344</v>
      </c>
      <c r="N10">
        <v>41344</v>
      </c>
      <c r="O10" t="s">
        <v>43</v>
      </c>
      <c r="P10" t="s">
        <v>384</v>
      </c>
      <c r="Q10" t="s">
        <v>25</v>
      </c>
      <c r="R10" t="s">
        <v>251</v>
      </c>
      <c r="S10" t="s">
        <v>43</v>
      </c>
      <c r="U10" s="6">
        <v>42122.353217592594</v>
      </c>
      <c r="V10" t="s">
        <v>18</v>
      </c>
      <c r="W10" t="s">
        <v>17</v>
      </c>
      <c r="X10" s="6">
        <v>41725.638310185182</v>
      </c>
      <c r="Y10" t="s">
        <v>122</v>
      </c>
      <c r="AB10" t="s">
        <v>201</v>
      </c>
      <c r="AC10" t="s">
        <v>121</v>
      </c>
      <c r="AD10" t="s">
        <v>220</v>
      </c>
      <c r="AE10" t="s">
        <v>219</v>
      </c>
      <c r="AG10" t="s">
        <v>121</v>
      </c>
      <c r="AH10" t="s">
        <v>327</v>
      </c>
      <c r="AI10" t="s">
        <v>121</v>
      </c>
      <c r="AJ10" t="s">
        <v>716</v>
      </c>
      <c r="AK10" t="s">
        <v>121</v>
      </c>
    </row>
    <row r="11" spans="1:37" x14ac:dyDescent="0.3">
      <c r="A11" s="2">
        <f ca="1">COUNTIF(INDIRECT(A68&amp;A67):INDIRECT(A69&amp;A66),INDIRECT("b"&amp;ROW()))</f>
        <v>3</v>
      </c>
      <c r="B11" s="2" t="str">
        <f>Assignees!C10</f>
        <v>Astra-Post IR13 06-27-RTI</v>
      </c>
      <c r="C11" s="3">
        <f ca="1">COUNTIF(INDIRECT(A71&amp;A67):INDIRECT(A71&amp;A66),INDIRECT("d"&amp;ROW()))</f>
        <v>0</v>
      </c>
      <c r="D11" s="3">
        <f>Assignees!D10</f>
        <v>0</v>
      </c>
      <c r="E11" s="16">
        <f ca="1">COUNTIFS(INDIRECT(A71&amp;A67):INDIRECT(A71&amp;A66),INDIRECT("d"&amp;ROW()),INDIRECT(A73&amp;A67):INDIRECT(A73&amp;A66),E1)</f>
        <v>0</v>
      </c>
      <c r="F11" s="4">
        <f ca="1">COUNTIFS(INDIRECT(A71&amp;A67):INDIRECT(A71&amp;A66),INDIRECT("d"&amp;ROW()),INDIRECT(A73&amp;A67):INDIRECT(A73&amp;A66),F1)</f>
        <v>0</v>
      </c>
      <c r="G11" s="3">
        <f ca="1">COUNTIFS(INDIRECT(A71&amp;A67):INDIRECT(A71&amp;A66),INDIRECT("d"&amp;ROW()),INDIRECT(A73&amp;A67):INDIRECT(A73&amp;A66),G1)</f>
        <v>0</v>
      </c>
      <c r="H11" s="5">
        <f ca="1">COUNTIFS(INDIRECT(A71&amp;A67):INDIRECT(A71&amp;A66),INDIRECT("d"&amp;ROW()),INDIRECT(A73&amp;A67):INDIRECT(A73&amp;A66),H1)</f>
        <v>0</v>
      </c>
      <c r="I11">
        <f ca="1">IF(OR(INDIRECT(A73&amp;ROW())=B93,INDIRECT(A73&amp;ROW())=B94),1,IF(AND(INDIRECT(A73&amp;ROW())=B95,INDIRECT(A96&amp;ROW())=C93),1,IF(AND(INDIRECT(A73&amp;ROW())=B95,INDIRECT(A96&amp;ROW())=C94),1,0)))</f>
        <v>0</v>
      </c>
      <c r="J11">
        <f ca="1">IF(AND(INDIRECT(A73&amp;ROW())=B95,INDIRECT(A96&amp;ROW())=C95),1,IF(AND(INDIRECT(A73&amp;ROW())=B95,INDIRECT(A96&amp;ROW())=C96),1,0))</f>
        <v>0</v>
      </c>
      <c r="K11">
        <f ca="1">DAYS360(INDIRECT(C68&amp;ROW()),TODAY())</f>
        <v>728</v>
      </c>
      <c r="L11">
        <f ca="1">DAYS360(INDIRECT(C69&amp;ROW()),TODAY())</f>
        <v>1098</v>
      </c>
      <c r="M11" s="11">
        <f ca="1">HYPERLINK(CONCATENATE("https://bugzilla.houston.hp.com:1181/bugzilla/show_bug.cgi?id=",INDIRECT(C70&amp;ROW())),INDIRECT(C70&amp;ROW()))</f>
        <v>41906</v>
      </c>
      <c r="N11">
        <v>41906</v>
      </c>
      <c r="O11" t="s">
        <v>88</v>
      </c>
      <c r="P11" t="s">
        <v>456</v>
      </c>
      <c r="Q11" t="s">
        <v>16</v>
      </c>
      <c r="R11" t="s">
        <v>251</v>
      </c>
      <c r="S11" t="s">
        <v>31</v>
      </c>
      <c r="U11" s="6">
        <v>42118.519907407404</v>
      </c>
      <c r="V11" t="s">
        <v>40</v>
      </c>
      <c r="W11" t="s">
        <v>17</v>
      </c>
      <c r="X11" s="6">
        <v>41743.650300925925</v>
      </c>
      <c r="Y11" t="s">
        <v>119</v>
      </c>
      <c r="AB11" t="s">
        <v>201</v>
      </c>
      <c r="AC11" t="s">
        <v>121</v>
      </c>
      <c r="AD11" t="s">
        <v>222</v>
      </c>
      <c r="AE11" t="s">
        <v>225</v>
      </c>
      <c r="AG11" t="s">
        <v>121</v>
      </c>
      <c r="AH11" t="s">
        <v>327</v>
      </c>
      <c r="AI11" t="s">
        <v>121</v>
      </c>
      <c r="AJ11" t="s">
        <v>717</v>
      </c>
      <c r="AK11" t="s">
        <v>121</v>
      </c>
    </row>
    <row r="12" spans="1:37" x14ac:dyDescent="0.3">
      <c r="A12" s="2">
        <f ca="1">COUNTIF(INDIRECT(A68&amp;A67):INDIRECT(A69&amp;A66),INDIRECT("b"&amp;ROW()))</f>
        <v>3</v>
      </c>
      <c r="B12" s="2" t="str">
        <f>Assignees!C11</f>
        <v>Astra-Post IR13 07-11-RTI</v>
      </c>
      <c r="C12" s="3">
        <f ca="1">COUNTIF(INDIRECT(A71&amp;A67):INDIRECT(A71&amp;A66),INDIRECT("d"&amp;ROW()))</f>
        <v>0</v>
      </c>
      <c r="D12" s="3">
        <f>Assignees!D11</f>
        <v>0</v>
      </c>
      <c r="E12" s="16">
        <f ca="1">COUNTIFS(INDIRECT(A71&amp;A67):INDIRECT(A71&amp;A66),INDIRECT("d"&amp;ROW()),INDIRECT(A73&amp;A67):INDIRECT(A73&amp;A66),E1)</f>
        <v>0</v>
      </c>
      <c r="F12" s="4">
        <f ca="1">COUNTIFS(INDIRECT(A71&amp;A67):INDIRECT(A71&amp;A66),INDIRECT("d"&amp;ROW()),INDIRECT(A73&amp;A67):INDIRECT(A73&amp;A66),F1)</f>
        <v>0</v>
      </c>
      <c r="G12" s="3">
        <f ca="1">COUNTIFS(INDIRECT(A71&amp;A67):INDIRECT(A71&amp;A66),INDIRECT("d"&amp;ROW()),INDIRECT(A73&amp;A67):INDIRECT(A73&amp;A66),G1)</f>
        <v>0</v>
      </c>
      <c r="H12" s="5">
        <f ca="1">COUNTIFS(INDIRECT(A71&amp;A67):INDIRECT(A71&amp;A66),INDIRECT("d"&amp;ROW()),INDIRECT(A73&amp;A67):INDIRECT(A73&amp;A66),H1)</f>
        <v>0</v>
      </c>
      <c r="I12">
        <f ca="1">IF(OR(INDIRECT(A73&amp;ROW())=B93,INDIRECT(A73&amp;ROW())=B94),1,IF(AND(INDIRECT(A73&amp;ROW())=B95,INDIRECT(A96&amp;ROW())=C93),1,IF(AND(INDIRECT(A73&amp;ROW())=B95,INDIRECT(A96&amp;ROW())=C94),1,0)))</f>
        <v>0</v>
      </c>
      <c r="J12">
        <f ca="1">IF(AND(INDIRECT(A73&amp;ROW())=B95,INDIRECT(A96&amp;ROW())=C95),1,IF(AND(INDIRECT(A73&amp;ROW())=B95,INDIRECT(A96&amp;ROW())=C96),1,0))</f>
        <v>1</v>
      </c>
      <c r="K12">
        <f ca="1">DAYS360(INDIRECT(C68&amp;ROW()),TODAY())</f>
        <v>724</v>
      </c>
      <c r="L12">
        <f ca="1">DAYS360(INDIRECT(C69&amp;ROW()),TODAY())</f>
        <v>1088</v>
      </c>
      <c r="M12" s="11">
        <f ca="1">HYPERLINK(CONCATENATE("https://bugzilla.houston.hp.com:1181/bugzilla/show_bug.cgi?id=",INDIRECT(C70&amp;ROW())),INDIRECT(C70&amp;ROW()))</f>
        <v>42234</v>
      </c>
      <c r="N12">
        <v>42234</v>
      </c>
      <c r="O12" t="s">
        <v>187</v>
      </c>
      <c r="P12" t="s">
        <v>455</v>
      </c>
      <c r="Q12" t="s">
        <v>25</v>
      </c>
      <c r="R12" t="s">
        <v>251</v>
      </c>
      <c r="S12" t="s">
        <v>22</v>
      </c>
      <c r="U12" s="6">
        <v>42122.355613425927</v>
      </c>
      <c r="V12" t="s">
        <v>18</v>
      </c>
      <c r="W12" t="s">
        <v>17</v>
      </c>
      <c r="X12" s="6">
        <v>41753.652465277781</v>
      </c>
      <c r="Y12" t="s">
        <v>786</v>
      </c>
      <c r="AB12" t="s">
        <v>201</v>
      </c>
      <c r="AC12" t="s">
        <v>121</v>
      </c>
      <c r="AD12" t="s">
        <v>220</v>
      </c>
      <c r="AE12" t="s">
        <v>219</v>
      </c>
      <c r="AG12" t="s">
        <v>121</v>
      </c>
      <c r="AH12" t="s">
        <v>327</v>
      </c>
      <c r="AI12" t="s">
        <v>121</v>
      </c>
      <c r="AJ12" t="s">
        <v>716</v>
      </c>
      <c r="AK12" t="s">
        <v>121</v>
      </c>
    </row>
    <row r="13" spans="1:37" x14ac:dyDescent="0.3">
      <c r="A13" s="2">
        <f ca="1">COUNTIF(INDIRECT(A68&amp;A67):INDIRECT(A69&amp;A66),INDIRECT("b"&amp;ROW()))</f>
        <v>6</v>
      </c>
      <c r="B13" s="2" t="str">
        <f>Assignees!C12</f>
        <v>Astra-Post IR13 07-18</v>
      </c>
      <c r="I13">
        <f ca="1">IF(OR(INDIRECT(A73&amp;ROW())=B93,INDIRECT(A73&amp;ROW())=B94),1,IF(AND(INDIRECT(A73&amp;ROW())=B95,INDIRECT(A96&amp;ROW())=C93),1,IF(AND(INDIRECT(A73&amp;ROW())=B95,INDIRECT(A96&amp;ROW())=C94),1,0)))</f>
        <v>0</v>
      </c>
      <c r="J13">
        <f ca="1">IF(AND(INDIRECT(A73&amp;ROW())=B95,INDIRECT(A96&amp;ROW())=C95),1,IF(AND(INDIRECT(A73&amp;ROW())=B95,INDIRECT(A96&amp;ROW())=C96),1,0))</f>
        <v>0</v>
      </c>
      <c r="K13">
        <f ca="1">DAYS360(INDIRECT(C68&amp;ROW()),TODAY())</f>
        <v>728</v>
      </c>
      <c r="L13">
        <f ca="1">DAYS360(INDIRECT(C69&amp;ROW()),TODAY())</f>
        <v>1084</v>
      </c>
      <c r="M13" s="11">
        <f ca="1">HYPERLINK(CONCATENATE("https://bugzilla.houston.hp.com:1181/bugzilla/show_bug.cgi?id=",INDIRECT(C70&amp;ROW())),INDIRECT(C70&amp;ROW()))</f>
        <v>42317</v>
      </c>
      <c r="N13">
        <v>42317</v>
      </c>
      <c r="O13" t="s">
        <v>88</v>
      </c>
      <c r="P13" t="s">
        <v>454</v>
      </c>
      <c r="Q13" t="s">
        <v>16</v>
      </c>
      <c r="R13" t="s">
        <v>251</v>
      </c>
      <c r="S13" t="s">
        <v>31</v>
      </c>
      <c r="U13" s="6">
        <v>42118.52002314815</v>
      </c>
      <c r="V13" t="s">
        <v>35</v>
      </c>
      <c r="W13" t="s">
        <v>17</v>
      </c>
      <c r="X13" s="6">
        <v>41757.419675925928</v>
      </c>
      <c r="Y13" t="s">
        <v>119</v>
      </c>
      <c r="AB13" t="s">
        <v>201</v>
      </c>
      <c r="AC13" t="s">
        <v>121</v>
      </c>
      <c r="AD13" t="s">
        <v>222</v>
      </c>
      <c r="AE13" t="s">
        <v>240</v>
      </c>
      <c r="AG13" t="s">
        <v>121</v>
      </c>
      <c r="AH13" t="s">
        <v>327</v>
      </c>
      <c r="AI13" t="s">
        <v>121</v>
      </c>
      <c r="AJ13" t="s">
        <v>717</v>
      </c>
      <c r="AK13" t="s">
        <v>121</v>
      </c>
    </row>
    <row r="14" spans="1:37" x14ac:dyDescent="0.3">
      <c r="A14" s="2">
        <f ca="1">COUNTIF(INDIRECT(A68&amp;A67):INDIRECT(A69&amp;A66),INDIRECT("b"&amp;ROW()))</f>
        <v>4</v>
      </c>
      <c r="B14" s="2" t="str">
        <f>Assignees!C13</f>
        <v>Astra-Post IR13 07-25-RTI</v>
      </c>
      <c r="I14">
        <f ca="1">IF(OR(INDIRECT(A73&amp;ROW())=B93,INDIRECT(A73&amp;ROW())=B94),1,IF(AND(INDIRECT(A73&amp;ROW())=B95,INDIRECT(A96&amp;ROW())=C93),1,IF(AND(INDIRECT(A73&amp;ROW())=B95,INDIRECT(A96&amp;ROW())=C94),1,0)))</f>
        <v>0</v>
      </c>
      <c r="J14">
        <f ca="1">IF(AND(INDIRECT(A73&amp;ROW())=B95,INDIRECT(A96&amp;ROW())=C95),1,IF(AND(INDIRECT(A73&amp;ROW())=B95,INDIRECT(A96&amp;ROW())=C96),1,0))</f>
        <v>0</v>
      </c>
      <c r="K14">
        <f ca="1">DAYS360(INDIRECT(C68&amp;ROW()),TODAY())</f>
        <v>674</v>
      </c>
      <c r="L14">
        <f ca="1">DAYS360(INDIRECT(C69&amp;ROW()),TODAY())</f>
        <v>1084</v>
      </c>
      <c r="M14" s="11">
        <f ca="1">HYPERLINK(CONCATENATE("https://bugzilla.houston.hp.com:1181/bugzilla/show_bug.cgi?id=",INDIRECT(C70&amp;ROW())),INDIRECT(C70&amp;ROW()))</f>
        <v>42322</v>
      </c>
      <c r="N14">
        <v>42322</v>
      </c>
      <c r="O14" t="s">
        <v>56</v>
      </c>
      <c r="P14" t="s">
        <v>453</v>
      </c>
      <c r="Q14" t="s">
        <v>16</v>
      </c>
      <c r="R14" t="s">
        <v>251</v>
      </c>
      <c r="S14" t="s">
        <v>24</v>
      </c>
      <c r="T14" t="s">
        <v>794</v>
      </c>
      <c r="U14" s="6">
        <v>42173.527106481481</v>
      </c>
      <c r="V14" t="s">
        <v>35</v>
      </c>
      <c r="W14" t="s">
        <v>17</v>
      </c>
      <c r="X14" s="6">
        <v>41757.499259259261</v>
      </c>
      <c r="Y14" t="s">
        <v>119</v>
      </c>
      <c r="AB14" t="s">
        <v>201</v>
      </c>
      <c r="AC14" t="s">
        <v>121</v>
      </c>
      <c r="AD14" t="s">
        <v>220</v>
      </c>
      <c r="AE14" t="s">
        <v>219</v>
      </c>
      <c r="AG14" t="s">
        <v>121</v>
      </c>
      <c r="AH14" t="s">
        <v>327</v>
      </c>
      <c r="AI14" t="s">
        <v>121</v>
      </c>
      <c r="AJ14" t="s">
        <v>717</v>
      </c>
      <c r="AK14" t="s">
        <v>121</v>
      </c>
    </row>
    <row r="15" spans="1:37" x14ac:dyDescent="0.3">
      <c r="A15" s="2">
        <f ca="1">COUNTIF(INDIRECT(A68&amp;A67):INDIRECT(A69&amp;A66),INDIRECT("b"&amp;ROW()))</f>
        <v>8</v>
      </c>
      <c r="B15" s="2" t="str">
        <f>Assignees!C14</f>
        <v>Astra-Post IR13 08-08-RTI</v>
      </c>
      <c r="I15">
        <f ca="1">IF(OR(INDIRECT(A73&amp;ROW())=B93,INDIRECT(A73&amp;ROW())=B94),1,IF(AND(INDIRECT(A73&amp;ROW())=B95,INDIRECT(A96&amp;ROW())=C93),1,IF(AND(INDIRECT(A73&amp;ROW())=B95,INDIRECT(A96&amp;ROW())=C94),1,0)))</f>
        <v>0</v>
      </c>
      <c r="J15">
        <f ca="1">IF(AND(INDIRECT(A73&amp;ROW())=B95,INDIRECT(A96&amp;ROW())=C95),1,IF(AND(INDIRECT(A73&amp;ROW())=B95,INDIRECT(A96&amp;ROW())=C96),1,0))</f>
        <v>0</v>
      </c>
      <c r="K15">
        <f ca="1">DAYS360(INDIRECT(C68&amp;ROW()),TODAY())</f>
        <v>724</v>
      </c>
      <c r="L15">
        <f ca="1">DAYS360(INDIRECT(C69&amp;ROW()),TODAY())</f>
        <v>1082</v>
      </c>
      <c r="M15" s="11">
        <f ca="1">HYPERLINK(CONCATENATE("https://bugzilla.houston.hp.com:1181/bugzilla/show_bug.cgi?id=",INDIRECT(C70&amp;ROW())),INDIRECT(C70&amp;ROW()))</f>
        <v>42414</v>
      </c>
      <c r="N15">
        <v>42414</v>
      </c>
      <c r="O15" t="s">
        <v>53</v>
      </c>
      <c r="P15" t="s">
        <v>713</v>
      </c>
      <c r="Q15" t="s">
        <v>16</v>
      </c>
      <c r="R15" t="s">
        <v>251</v>
      </c>
      <c r="S15" t="s">
        <v>53</v>
      </c>
      <c r="U15" s="6">
        <v>42122.542314814818</v>
      </c>
      <c r="V15" t="s">
        <v>18</v>
      </c>
      <c r="W15" t="s">
        <v>17</v>
      </c>
      <c r="X15" s="6">
        <v>41759.650740740741</v>
      </c>
      <c r="Y15" t="s">
        <v>118</v>
      </c>
      <c r="AB15" t="s">
        <v>201</v>
      </c>
      <c r="AC15" t="s">
        <v>121</v>
      </c>
      <c r="AD15" t="s">
        <v>220</v>
      </c>
      <c r="AE15" t="s">
        <v>219</v>
      </c>
      <c r="AG15" t="s">
        <v>121</v>
      </c>
      <c r="AH15" t="s">
        <v>327</v>
      </c>
      <c r="AI15" t="s">
        <v>121</v>
      </c>
      <c r="AJ15" t="s">
        <v>717</v>
      </c>
      <c r="AK15" t="s">
        <v>121</v>
      </c>
    </row>
    <row r="16" spans="1:37" x14ac:dyDescent="0.3">
      <c r="A16" s="2">
        <f ca="1">COUNTIF(INDIRECT(A68&amp;A67):INDIRECT(A69&amp;A66),INDIRECT("b"&amp;ROW()))</f>
        <v>12</v>
      </c>
      <c r="B16" s="2" t="str">
        <f>Assignees!C15</f>
        <v>Astra-Post IR13 08-15</v>
      </c>
      <c r="C16" s="7">
        <f ca="1">SUM(C2:C12)</f>
        <v>696</v>
      </c>
      <c r="D16" s="7" t="s">
        <v>23</v>
      </c>
      <c r="E16" s="1">
        <f ca="1">SUM(E2:E9)</f>
        <v>2</v>
      </c>
      <c r="F16" s="1">
        <f ca="1">SUM(F2:F9)</f>
        <v>105</v>
      </c>
      <c r="G16" s="7">
        <f ca="1">SUM(G2:G9)</f>
        <v>311</v>
      </c>
      <c r="H16" s="7">
        <f ca="1">SUM(H2:H12)</f>
        <v>278</v>
      </c>
      <c r="I16">
        <f ca="1">IF(OR(INDIRECT(A73&amp;ROW())=B93,INDIRECT(A73&amp;ROW())=B94),1,IF(AND(INDIRECT(A73&amp;ROW())=B95,INDIRECT(A96&amp;ROW())=C93),1,IF(AND(INDIRECT(A73&amp;ROW())=B95,INDIRECT(A96&amp;ROW())=C94),1,0)))</f>
        <v>0</v>
      </c>
      <c r="J16">
        <f ca="1">IF(AND(INDIRECT(A73&amp;ROW())=B95,INDIRECT(A96&amp;ROW())=C95),1,IF(AND(INDIRECT(A73&amp;ROW())=B95,INDIRECT(A96&amp;ROW())=C96),1,0))</f>
        <v>0</v>
      </c>
      <c r="K16">
        <f ca="1">DAYS360(INDIRECT(C68&amp;ROW()),TODAY())</f>
        <v>800</v>
      </c>
      <c r="L16">
        <f ca="1">DAYS360(INDIRECT(C69&amp;ROW()),TODAY())</f>
        <v>1067</v>
      </c>
      <c r="M16" s="11">
        <f ca="1">HYPERLINK(CONCATENATE("https://bugzilla.houston.hp.com:1181/bugzilla/show_bug.cgi?id=",INDIRECT(C70&amp;ROW())),INDIRECT(C70&amp;ROW()))</f>
        <v>42914</v>
      </c>
      <c r="N16">
        <v>42914</v>
      </c>
      <c r="O16" t="s">
        <v>66</v>
      </c>
      <c r="P16" t="s">
        <v>331</v>
      </c>
      <c r="Q16" t="s">
        <v>16</v>
      </c>
      <c r="R16" t="s">
        <v>17</v>
      </c>
      <c r="S16" t="s">
        <v>33</v>
      </c>
      <c r="U16" s="6">
        <v>42047.981203703705</v>
      </c>
      <c r="V16" t="s">
        <v>35</v>
      </c>
      <c r="W16" t="s">
        <v>172</v>
      </c>
      <c r="X16" s="6">
        <v>41774.400381944448</v>
      </c>
      <c r="Y16" t="s">
        <v>119</v>
      </c>
      <c r="AB16" t="s">
        <v>201</v>
      </c>
      <c r="AC16" t="s">
        <v>121</v>
      </c>
      <c r="AD16" t="s">
        <v>222</v>
      </c>
      <c r="AE16" t="s">
        <v>228</v>
      </c>
      <c r="AG16" t="s">
        <v>121</v>
      </c>
      <c r="AH16" t="s">
        <v>327</v>
      </c>
      <c r="AI16" t="s">
        <v>121</v>
      </c>
      <c r="AJ16" t="s">
        <v>717</v>
      </c>
      <c r="AK16" t="s">
        <v>121</v>
      </c>
    </row>
    <row r="17" spans="1:37" x14ac:dyDescent="0.3">
      <c r="A17" s="2">
        <f ca="1">COUNTIF(INDIRECT(A68&amp;A67):INDIRECT(A69&amp;A66),INDIRECT("b"&amp;ROW()))</f>
        <v>11</v>
      </c>
      <c r="B17" s="2" t="str">
        <f>Assignees!C16</f>
        <v>Astra-Post IR13 08-22</v>
      </c>
      <c r="C17">
        <f ca="1">C16-H16</f>
        <v>418</v>
      </c>
      <c r="D17" s="8" t="s">
        <v>26</v>
      </c>
      <c r="I17">
        <f ca="1">IF(OR(INDIRECT(A73&amp;ROW())=B93,INDIRECT(A73&amp;ROW())=B94),1,IF(AND(INDIRECT(A73&amp;ROW())=B95,INDIRECT(A96&amp;ROW())=C93),1,IF(AND(INDIRECT(A73&amp;ROW())=B95,INDIRECT(A96&amp;ROW())=C94),1,0)))</f>
        <v>1</v>
      </c>
      <c r="J17">
        <f ca="1">IF(AND(INDIRECT(A73&amp;ROW())=B95,INDIRECT(A96&amp;ROW())=C95),1,IF(AND(INDIRECT(A73&amp;ROW())=B95,INDIRECT(A96&amp;ROW())=C96),1,0))</f>
        <v>0</v>
      </c>
      <c r="K17">
        <f ca="1">DAYS360(INDIRECT(C68&amp;ROW()),TODAY())</f>
        <v>675</v>
      </c>
      <c r="L17">
        <f ca="1">DAYS360(INDIRECT(C69&amp;ROW()),TODAY())</f>
        <v>1066</v>
      </c>
      <c r="M17" s="11">
        <f ca="1">HYPERLINK(CONCATENATE("https://bugzilla.houston.hp.com:1181/bugzilla/show_bug.cgi?id=",INDIRECT(C70&amp;ROW())),INDIRECT(C70&amp;ROW()))</f>
        <v>42962</v>
      </c>
      <c r="N17">
        <v>42962</v>
      </c>
      <c r="O17" t="s">
        <v>204</v>
      </c>
      <c r="P17" t="s">
        <v>712</v>
      </c>
      <c r="Q17" t="s">
        <v>25</v>
      </c>
      <c r="R17" t="s">
        <v>251</v>
      </c>
      <c r="S17" t="s">
        <v>31</v>
      </c>
      <c r="T17" t="s">
        <v>979</v>
      </c>
      <c r="U17" s="6">
        <v>42172.206180555557</v>
      </c>
      <c r="V17" t="s">
        <v>40</v>
      </c>
      <c r="W17" t="s">
        <v>17</v>
      </c>
      <c r="X17" s="6">
        <v>41775.516168981485</v>
      </c>
      <c r="Y17" t="s">
        <v>119</v>
      </c>
      <c r="AB17" t="s">
        <v>200</v>
      </c>
      <c r="AC17" t="s">
        <v>121</v>
      </c>
      <c r="AD17" t="s">
        <v>222</v>
      </c>
      <c r="AE17" t="s">
        <v>225</v>
      </c>
      <c r="AG17" t="s">
        <v>121</v>
      </c>
      <c r="AH17" t="s">
        <v>327</v>
      </c>
      <c r="AI17" t="s">
        <v>121</v>
      </c>
      <c r="AJ17" t="s">
        <v>715</v>
      </c>
      <c r="AK17" t="s">
        <v>121</v>
      </c>
    </row>
    <row r="18" spans="1:37" x14ac:dyDescent="0.3">
      <c r="A18" s="2">
        <f ca="1">COUNTIF(INDIRECT(A68&amp;A67):INDIRECT(A69&amp;A66),INDIRECT("b"&amp;ROW()))</f>
        <v>5</v>
      </c>
      <c r="B18" s="2" t="str">
        <f>Assignees!C17</f>
        <v>Astra-Post IR13 08-29</v>
      </c>
      <c r="C18">
        <f ca="1">C16-H16-C21-C50-C32</f>
        <v>263</v>
      </c>
      <c r="D18" t="s">
        <v>29</v>
      </c>
      <c r="I18">
        <f ca="1">IF(OR(INDIRECT(A73&amp;ROW())=B93,INDIRECT(A73&amp;ROW())=B94),1,IF(AND(INDIRECT(A73&amp;ROW())=B95,INDIRECT(A96&amp;ROW())=C93),1,IF(AND(INDIRECT(A73&amp;ROW())=B95,INDIRECT(A96&amp;ROW())=C94),1,0)))</f>
        <v>1</v>
      </c>
      <c r="J18">
        <f ca="1">IF(AND(INDIRECT(A73&amp;ROW())=B95,INDIRECT(A96&amp;ROW())=C95),1,IF(AND(INDIRECT(A73&amp;ROW())=B95,INDIRECT(A96&amp;ROW())=C96),1,0))</f>
        <v>0</v>
      </c>
      <c r="K18">
        <f ca="1">DAYS360(INDIRECT(C68&amp;ROW()),TODAY())</f>
        <v>724</v>
      </c>
      <c r="L18">
        <f ca="1">DAYS360(INDIRECT(C69&amp;ROW()),TODAY())</f>
        <v>1048</v>
      </c>
      <c r="M18" s="11">
        <f ca="1">HYPERLINK(CONCATENATE("https://bugzilla.houston.hp.com:1181/bugzilla/show_bug.cgi?id=",INDIRECT(C70&amp;ROW())),INDIRECT(C70&amp;ROW()))</f>
        <v>43571</v>
      </c>
      <c r="N18">
        <v>43571</v>
      </c>
      <c r="O18" t="s">
        <v>180</v>
      </c>
      <c r="P18" t="s">
        <v>452</v>
      </c>
      <c r="Q18" t="s">
        <v>25</v>
      </c>
      <c r="R18" t="s">
        <v>251</v>
      </c>
      <c r="S18" t="s">
        <v>46</v>
      </c>
      <c r="T18" t="s">
        <v>794</v>
      </c>
      <c r="U18" s="6">
        <v>42122.35528935185</v>
      </c>
      <c r="V18" t="s">
        <v>18</v>
      </c>
      <c r="W18" t="s">
        <v>17</v>
      </c>
      <c r="X18" s="6">
        <v>41794.596504629626</v>
      </c>
      <c r="Y18" t="s">
        <v>119</v>
      </c>
      <c r="AB18" t="s">
        <v>200</v>
      </c>
      <c r="AC18" t="s">
        <v>121</v>
      </c>
      <c r="AD18" t="s">
        <v>222</v>
      </c>
      <c r="AE18" t="s">
        <v>221</v>
      </c>
      <c r="AG18" t="s">
        <v>121</v>
      </c>
      <c r="AH18" t="s">
        <v>327</v>
      </c>
      <c r="AI18" t="s">
        <v>121</v>
      </c>
      <c r="AJ18" t="s">
        <v>715</v>
      </c>
      <c r="AK18" t="s">
        <v>121</v>
      </c>
    </row>
    <row r="19" spans="1:37" x14ac:dyDescent="0.3">
      <c r="A19" s="2">
        <f ca="1">COUNTIF(INDIRECT(A68&amp;A67):INDIRECT(A69&amp;A66),INDIRECT("b"&amp;ROW()))</f>
        <v>9</v>
      </c>
      <c r="B19" s="2" t="str">
        <f>Assignees!C18</f>
        <v>Astra-Post IR13 09-05</v>
      </c>
      <c r="C19" s="9">
        <f ca="1">(COUNTIFS(INDIRECT(A80&amp;A67):INDIRECT(A80&amp;A66),A93))</f>
        <v>563</v>
      </c>
      <c r="D19" s="9" t="str">
        <f>A93</f>
        <v>NEW</v>
      </c>
      <c r="E19" s="16">
        <f ca="1">(COUNTIFS(INDIRECT(A80&amp;A67):INDIRECT(A80&amp;A66),INDIRECT("d"&amp;ROW()),INDIRECT(A73&amp;A67):INDIRECT(A73&amp;A66),E1))</f>
        <v>2</v>
      </c>
      <c r="F19" s="4">
        <f ca="1">(COUNTIFS(INDIRECT(A80&amp;A67):INDIRECT(A80&amp;A66),INDIRECT("d"&amp;ROW()),INDIRECT(A73&amp;A67):INDIRECT(A73&amp;A66),F1))</f>
        <v>75</v>
      </c>
      <c r="G19" s="3">
        <f ca="1">(COUNTIFS(INDIRECT(A80&amp;A67):INDIRECT(A80&amp;A66),INDIRECT("d"&amp;ROW()),INDIRECT(A73&amp;A67):INDIRECT(A73&amp;A66),G1))</f>
        <v>256</v>
      </c>
      <c r="H19" s="5">
        <f ca="1">(COUNTIFS(INDIRECT(A80&amp;A67):INDIRECT(A80&amp;A66),INDIRECT("d"&amp;ROW()),INDIRECT(A73&amp;A67):INDIRECT(A73&amp;A66),H1))</f>
        <v>230</v>
      </c>
      <c r="I19">
        <f ca="1">IF(OR(INDIRECT(A73&amp;ROW())=B93,INDIRECT(A73&amp;ROW())=B94),1,IF(AND(INDIRECT(A73&amp;ROW())=B95,INDIRECT(A96&amp;ROW())=C93),1,IF(AND(INDIRECT(A73&amp;ROW())=B95,INDIRECT(A96&amp;ROW())=C94),1,0)))</f>
        <v>0</v>
      </c>
      <c r="J19">
        <f ca="1">IF(AND(INDIRECT(A73&amp;ROW())=B95,INDIRECT(A96&amp;ROW())=C95),1,IF(AND(INDIRECT(A73&amp;ROW())=B95,INDIRECT(A96&amp;ROW())=C96),1,0))</f>
        <v>1</v>
      </c>
      <c r="K19">
        <f ca="1">DAYS360(INDIRECT(C68&amp;ROW()),TODAY())</f>
        <v>682</v>
      </c>
      <c r="L19">
        <f ca="1">DAYS360(INDIRECT(C69&amp;ROW()),TODAY())</f>
        <v>1047</v>
      </c>
      <c r="M19" s="11">
        <f ca="1">HYPERLINK(CONCATENATE("https://bugzilla.houston.hp.com:1181/bugzilla/show_bug.cgi?id=",INDIRECT(C70&amp;ROW())),INDIRECT(C70&amp;ROW()))</f>
        <v>43596</v>
      </c>
      <c r="N19">
        <v>43596</v>
      </c>
      <c r="O19" t="s">
        <v>204</v>
      </c>
      <c r="P19" t="s">
        <v>711</v>
      </c>
      <c r="Q19" t="s">
        <v>25</v>
      </c>
      <c r="R19" t="s">
        <v>251</v>
      </c>
      <c r="S19" t="s">
        <v>33</v>
      </c>
      <c r="U19" s="6">
        <v>42165.558819444443</v>
      </c>
      <c r="V19" t="s">
        <v>40</v>
      </c>
      <c r="W19" t="s">
        <v>17</v>
      </c>
      <c r="X19" s="6">
        <v>41795.209398148145</v>
      </c>
      <c r="Y19" t="s">
        <v>119</v>
      </c>
      <c r="AB19" t="s">
        <v>201</v>
      </c>
      <c r="AC19" t="s">
        <v>121</v>
      </c>
      <c r="AD19" t="s">
        <v>220</v>
      </c>
      <c r="AE19" t="s">
        <v>223</v>
      </c>
      <c r="AG19" t="s">
        <v>121</v>
      </c>
      <c r="AH19" t="s">
        <v>327</v>
      </c>
      <c r="AI19" t="s">
        <v>121</v>
      </c>
      <c r="AJ19" t="s">
        <v>716</v>
      </c>
      <c r="AK19" t="s">
        <v>121</v>
      </c>
    </row>
    <row r="20" spans="1:37" x14ac:dyDescent="0.3">
      <c r="A20" s="2">
        <f ca="1">COUNTIF(INDIRECT(A68&amp;A67):INDIRECT(A69&amp;A66),INDIRECT("b"&amp;ROW()))</f>
        <v>2</v>
      </c>
      <c r="B20" s="2" t="str">
        <f>Assignees!C19</f>
        <v>Astra-Post IR13 09-12</v>
      </c>
      <c r="C20" s="9">
        <f ca="1">(COUNTIFS(INDIRECT(A80&amp;A67):INDIRECT(A80&amp;A66),A94))</f>
        <v>82</v>
      </c>
      <c r="D20" s="9" t="str">
        <f>A94</f>
        <v>ASSIGNED</v>
      </c>
      <c r="E20" s="16">
        <f ca="1">(COUNTIFS(INDIRECT(A80&amp;A67):INDIRECT(A80&amp;A66),INDIRECT("d"&amp;ROW()),INDIRECT(A73&amp;A67):INDIRECT(A73&amp;A66),E1))</f>
        <v>0</v>
      </c>
      <c r="F20" s="4">
        <f ca="1">(COUNTIFS(INDIRECT(A80&amp;A67):INDIRECT(A80&amp;A66),INDIRECT("d"&amp;ROW()),INDIRECT(A73&amp;A67):INDIRECT(A73&amp;A66),F1))</f>
        <v>14</v>
      </c>
      <c r="G20" s="3">
        <f ca="1">(COUNTIFS(INDIRECT(A80&amp;A67):INDIRECT(A80&amp;A66),INDIRECT("d"&amp;ROW()),INDIRECT(A73&amp;A67):INDIRECT(A73&amp;A66),G1))</f>
        <v>30</v>
      </c>
      <c r="H20" s="5">
        <f ca="1">(COUNTIFS(INDIRECT(A80&amp;A67):INDIRECT(A80&amp;A66),INDIRECT("d"&amp;ROW()),INDIRECT(A73&amp;A67):INDIRECT(A73&amp;A66),H1))</f>
        <v>38</v>
      </c>
      <c r="I20">
        <f ca="1">IF(OR(INDIRECT(A73&amp;ROW())=B93,INDIRECT(A73&amp;ROW())=B94),1,IF(AND(INDIRECT(A73&amp;ROW())=B95,INDIRECT(A96&amp;ROW())=C93),1,IF(AND(INDIRECT(A73&amp;ROW())=B95,INDIRECT(A96&amp;ROW())=C94),1,0)))</f>
        <v>0</v>
      </c>
      <c r="J20">
        <f ca="1">IF(AND(INDIRECT(A73&amp;ROW())=B95,INDIRECT(A96&amp;ROW())=C95),1,IF(AND(INDIRECT(A73&amp;ROW())=B95,INDIRECT(A96&amp;ROW())=C96),1,0))</f>
        <v>0</v>
      </c>
      <c r="K20">
        <f ca="1">DAYS360(INDIRECT(C68&amp;ROW()),TODAY())</f>
        <v>728</v>
      </c>
      <c r="L20">
        <f ca="1">DAYS360(INDIRECT(C69&amp;ROW()),TODAY())</f>
        <v>1040</v>
      </c>
      <c r="M20" s="11">
        <f ca="1">HYPERLINK(CONCATENATE("https://bugzilla.houston.hp.com:1181/bugzilla/show_bug.cgi?id=",INDIRECT(C70&amp;ROW())),INDIRECT(C70&amp;ROW()))</f>
        <v>43856</v>
      </c>
      <c r="N20">
        <v>43856</v>
      </c>
      <c r="O20" t="s">
        <v>59</v>
      </c>
      <c r="P20" t="s">
        <v>254</v>
      </c>
      <c r="Q20" t="s">
        <v>16</v>
      </c>
      <c r="R20" t="s">
        <v>251</v>
      </c>
      <c r="S20" t="s">
        <v>68</v>
      </c>
      <c r="U20" s="6">
        <v>42118.52034722222</v>
      </c>
      <c r="V20" t="s">
        <v>35</v>
      </c>
      <c r="W20" t="s">
        <v>17</v>
      </c>
      <c r="X20" s="6">
        <v>41802.251354166663</v>
      </c>
      <c r="Y20" t="s">
        <v>124</v>
      </c>
      <c r="AB20" t="s">
        <v>201</v>
      </c>
      <c r="AC20" t="s">
        <v>121</v>
      </c>
      <c r="AD20" t="s">
        <v>220</v>
      </c>
      <c r="AE20" t="s">
        <v>219</v>
      </c>
      <c r="AG20" t="s">
        <v>121</v>
      </c>
      <c r="AH20" t="s">
        <v>327</v>
      </c>
      <c r="AI20" t="s">
        <v>121</v>
      </c>
      <c r="AJ20" t="s">
        <v>717</v>
      </c>
      <c r="AK20" t="s">
        <v>121</v>
      </c>
    </row>
    <row r="21" spans="1:37" x14ac:dyDescent="0.3">
      <c r="A21" s="2">
        <f ca="1">COUNTIF(INDIRECT(A68&amp;A67):INDIRECT(A69&amp;A66),INDIRECT("b"&amp;ROW()))</f>
        <v>2</v>
      </c>
      <c r="B21" s="2" t="str">
        <f>Assignees!C20</f>
        <v>Astra-Post IR13 09-19</v>
      </c>
      <c r="C21" s="9">
        <f ca="1">(COUNTIFS(INDIRECT(A80&amp;A67):INDIRECT(A80&amp;A66),A95))</f>
        <v>51</v>
      </c>
      <c r="D21" s="9" t="str">
        <f>A95</f>
        <v>REOPENED</v>
      </c>
      <c r="E21" s="16">
        <f ca="1">(COUNTIFS(INDIRECT(A80&amp;A67):INDIRECT(A80&amp;A66),INDIRECT("d"&amp;ROW()),INDIRECT(A73&amp;A67):INDIRECT(A73&amp;A66),E1))</f>
        <v>0</v>
      </c>
      <c r="F21" s="4">
        <f ca="1">(COUNTIFS(INDIRECT(A80&amp;A67):INDIRECT(A80&amp;A66),INDIRECT("d"&amp;ROW()),INDIRECT(A73&amp;A67):INDIRECT(A73&amp;A66),F1))</f>
        <v>16</v>
      </c>
      <c r="G21" s="3">
        <f ca="1">(COUNTIFS(INDIRECT(A80&amp;A67):INDIRECT(A80&amp;A66),INDIRECT("d"&amp;ROW()),INDIRECT(A73&amp;A67):INDIRECT(A73&amp;A66),G1))</f>
        <v>25</v>
      </c>
      <c r="H21" s="5">
        <f ca="1">(COUNTIFS(INDIRECT(A80&amp;A67):INDIRECT(A80&amp;A66),INDIRECT("d"&amp;ROW()),INDIRECT(A73&amp;A67):INDIRECT(A73&amp;A66),H1))</f>
        <v>10</v>
      </c>
      <c r="I21">
        <f ca="1">IF(OR(INDIRECT(A73&amp;ROW())=B93,INDIRECT(A73&amp;ROW())=B94),1,IF(AND(INDIRECT(A73&amp;ROW())=B95,INDIRECT(A96&amp;ROW())=C93),1,IF(AND(INDIRECT(A73&amp;ROW())=B95,INDIRECT(A96&amp;ROW())=C94),1,0)))</f>
        <v>0</v>
      </c>
      <c r="J21">
        <f ca="1">IF(AND(INDIRECT(A73&amp;ROW())=B95,INDIRECT(A96&amp;ROW())=C95),1,IF(AND(INDIRECT(A73&amp;ROW())=B95,INDIRECT(A96&amp;ROW())=C96),1,0))</f>
        <v>0</v>
      </c>
      <c r="K21">
        <f ca="1">DAYS360(INDIRECT(C68&amp;ROW()),TODAY())</f>
        <v>721</v>
      </c>
      <c r="L21">
        <f ca="1">DAYS360(INDIRECT(C69&amp;ROW()),TODAY())</f>
        <v>1040</v>
      </c>
      <c r="M21" s="11">
        <f ca="1">HYPERLINK(CONCATENATE("https://bugzilla.houston.hp.com:1181/bugzilla/show_bug.cgi?id=",INDIRECT(C70&amp;ROW())),INDIRECT(C70&amp;ROW()))</f>
        <v>43867</v>
      </c>
      <c r="N21">
        <v>43867</v>
      </c>
      <c r="O21" t="s">
        <v>21</v>
      </c>
      <c r="P21" t="s">
        <v>451</v>
      </c>
      <c r="Q21" t="s">
        <v>16</v>
      </c>
      <c r="R21" t="s">
        <v>251</v>
      </c>
      <c r="S21" t="s">
        <v>21</v>
      </c>
      <c r="U21" s="6">
        <v>42125.442002314812</v>
      </c>
      <c r="V21" t="s">
        <v>18</v>
      </c>
      <c r="W21" t="s">
        <v>17</v>
      </c>
      <c r="X21" s="6">
        <v>41802.479467592595</v>
      </c>
      <c r="Y21" t="s">
        <v>122</v>
      </c>
      <c r="AB21" t="s">
        <v>201</v>
      </c>
      <c r="AC21" t="s">
        <v>121</v>
      </c>
      <c r="AD21" t="s">
        <v>222</v>
      </c>
      <c r="AE21" t="s">
        <v>225</v>
      </c>
      <c r="AG21" t="s">
        <v>121</v>
      </c>
      <c r="AH21" t="s">
        <v>327</v>
      </c>
      <c r="AI21" t="s">
        <v>121</v>
      </c>
      <c r="AJ21" t="s">
        <v>717</v>
      </c>
      <c r="AK21" t="s">
        <v>121</v>
      </c>
    </row>
    <row r="22" spans="1:37" x14ac:dyDescent="0.3">
      <c r="A22" s="2">
        <f ca="1">COUNTIF(INDIRECT(A68&amp;A67):INDIRECT(A69&amp;A66),INDIRECT("b"&amp;ROW()))</f>
        <v>5</v>
      </c>
      <c r="B22" s="2" t="str">
        <f>Assignees!C21</f>
        <v>Astra-Post IR13 09-26</v>
      </c>
      <c r="C22" s="21">
        <f ca="1">COUNTIFS(INDIRECT(A79&amp;A67):INDIRECT(A79&amp;A66),"*"&amp;B92&amp;"*")</f>
        <v>31</v>
      </c>
      <c r="D22" s="21" t="str">
        <f>CONCATENATE(B79," ",B92)</f>
        <v>Component Documentation</v>
      </c>
      <c r="E22" s="16">
        <f ca="1">COUNTIFS(INDIRECT(A69&amp;A67):INDIRECT(A69&amp;A66),"*"&amp;A92&amp;"*",INDIRECT(A73&amp;A67):INDIRECT(A73&amp;A66),E1)</f>
        <v>0</v>
      </c>
      <c r="F22" s="4">
        <f ca="1">COUNTIFS(INDIRECT(A69&amp;A67):INDIRECT(A69&amp;A66),"*"&amp;A92&amp;"*",INDIRECT(A73&amp;A67):INDIRECT(A73&amp;A66),F1)</f>
        <v>0</v>
      </c>
      <c r="G22" s="3">
        <f ca="1">COUNTIFS(INDIRECT(A69&amp;A67):INDIRECT(A69&amp;A66),"*"&amp;A92&amp;"*",INDIRECT(A73&amp;A67):INDIRECT(A73&amp;A66),G1)</f>
        <v>0</v>
      </c>
      <c r="H22" s="5">
        <f ca="1">(COUNTIFS(INDIRECT(A80&amp;A67):INDIRECT(A80&amp;A66),INDIRECT("d"&amp;ROW()),INDIRECT(A73&amp;A67):INDIRECT(A73&amp;A66),H1))</f>
        <v>0</v>
      </c>
      <c r="I22">
        <f ca="1">IF(OR(INDIRECT(A73&amp;ROW())=B93,INDIRECT(A73&amp;ROW())=B94),1,IF(AND(INDIRECT(A73&amp;ROW())=B95,INDIRECT(A96&amp;ROW())=C93),1,IF(AND(INDIRECT(A73&amp;ROW())=B95,INDIRECT(A96&amp;ROW())=C94),1,0)))</f>
        <v>0</v>
      </c>
      <c r="J22">
        <f ca="1">IF(AND(INDIRECT(A73&amp;ROW())=B95,INDIRECT(A96&amp;ROW())=C95),1,IF(AND(INDIRECT(A73&amp;ROW())=B95,INDIRECT(A96&amp;ROW())=C96),1,0))</f>
        <v>0</v>
      </c>
      <c r="K22">
        <f ca="1">DAYS360(INDIRECT(C68&amp;ROW()),TODAY())</f>
        <v>721</v>
      </c>
      <c r="L22">
        <f ca="1">DAYS360(INDIRECT(C69&amp;ROW()),TODAY())</f>
        <v>1035</v>
      </c>
      <c r="M22" s="11">
        <f ca="1">HYPERLINK(CONCATENATE("https://bugzilla.houston.hp.com:1181/bugzilla/show_bug.cgi?id=",INDIRECT(C70&amp;ROW())),INDIRECT(C70&amp;ROW()))</f>
        <v>44024</v>
      </c>
      <c r="N22">
        <v>44024</v>
      </c>
      <c r="O22" t="s">
        <v>180</v>
      </c>
      <c r="P22" t="s">
        <v>450</v>
      </c>
      <c r="Q22" t="s">
        <v>16</v>
      </c>
      <c r="R22" t="s">
        <v>251</v>
      </c>
      <c r="S22" t="s">
        <v>59</v>
      </c>
      <c r="U22" s="6">
        <v>42125.442199074074</v>
      </c>
      <c r="V22" t="s">
        <v>18</v>
      </c>
      <c r="W22" t="s">
        <v>17</v>
      </c>
      <c r="X22" s="6">
        <v>41807.146840277775</v>
      </c>
      <c r="Y22" t="s">
        <v>122</v>
      </c>
      <c r="AB22" t="s">
        <v>200</v>
      </c>
      <c r="AC22" t="s">
        <v>121</v>
      </c>
      <c r="AD22" t="s">
        <v>222</v>
      </c>
      <c r="AE22" t="s">
        <v>225</v>
      </c>
      <c r="AG22" t="s">
        <v>121</v>
      </c>
      <c r="AH22" t="s">
        <v>327</v>
      </c>
      <c r="AI22" t="s">
        <v>121</v>
      </c>
      <c r="AJ22" t="s">
        <v>716</v>
      </c>
      <c r="AK22" t="s">
        <v>121</v>
      </c>
    </row>
    <row r="23" spans="1:37" x14ac:dyDescent="0.3">
      <c r="A23" s="2">
        <f ca="1">COUNTIF(INDIRECT(A68&amp;A67):INDIRECT(A69&amp;A66),INDIRECT("b"&amp;ROW()))</f>
        <v>2</v>
      </c>
      <c r="B23" s="2" t="str">
        <f>Assignees!C22</f>
        <v>Astra-Post IR13 10-03</v>
      </c>
      <c r="I23">
        <f ca="1">IF(OR(INDIRECT(A73&amp;ROW())=B93,INDIRECT(A73&amp;ROW())=B94),1,IF(AND(INDIRECT(A73&amp;ROW())=B95,INDIRECT(A96&amp;ROW())=C93),1,IF(AND(INDIRECT(A73&amp;ROW())=B95,INDIRECT(A96&amp;ROW())=C94),1,0)))</f>
        <v>0</v>
      </c>
      <c r="J23">
        <f ca="1">IF(AND(INDIRECT(A73&amp;ROW())=B95,INDIRECT(A96&amp;ROW())=C95),1,IF(AND(INDIRECT(A73&amp;ROW())=B95,INDIRECT(A96&amp;ROW())=C96),1,0))</f>
        <v>0</v>
      </c>
      <c r="K23">
        <f ca="1">DAYS360(INDIRECT(C68&amp;ROW()),TODAY())</f>
        <v>728</v>
      </c>
      <c r="L23">
        <f ca="1">DAYS360(INDIRECT(C69&amp;ROW()),TODAY())</f>
        <v>1025</v>
      </c>
      <c r="M23" s="11">
        <f ca="1">HYPERLINK(CONCATENATE("https://bugzilla.houston.hp.com:1181/bugzilla/show_bug.cgi?id=",INDIRECT(C70&amp;ROW())),INDIRECT(C70&amp;ROW()))</f>
        <v>44771</v>
      </c>
      <c r="N23">
        <v>44771</v>
      </c>
      <c r="O23" t="s">
        <v>56</v>
      </c>
      <c r="P23" t="s">
        <v>710</v>
      </c>
      <c r="Q23" t="s">
        <v>16</v>
      </c>
      <c r="R23" t="s">
        <v>251</v>
      </c>
      <c r="S23" t="s">
        <v>61</v>
      </c>
      <c r="U23" s="6">
        <v>42118.520520833335</v>
      </c>
      <c r="V23" t="s">
        <v>18</v>
      </c>
      <c r="W23" t="s">
        <v>17</v>
      </c>
      <c r="X23" s="6">
        <v>41817.356145833335</v>
      </c>
      <c r="Y23" t="s">
        <v>118</v>
      </c>
      <c r="AB23" t="s">
        <v>201</v>
      </c>
      <c r="AC23" t="s">
        <v>121</v>
      </c>
      <c r="AD23" t="s">
        <v>220</v>
      </c>
      <c r="AE23" t="s">
        <v>219</v>
      </c>
      <c r="AG23" t="s">
        <v>121</v>
      </c>
      <c r="AH23" t="s">
        <v>327</v>
      </c>
      <c r="AI23" t="s">
        <v>121</v>
      </c>
      <c r="AJ23" t="s">
        <v>717</v>
      </c>
      <c r="AK23" t="s">
        <v>121</v>
      </c>
    </row>
    <row r="24" spans="1:37" x14ac:dyDescent="0.3">
      <c r="A24" s="2">
        <f ca="1">COUNTIF(INDIRECT(A68&amp;A67):INDIRECT(A69&amp;A66),INDIRECT("b"&amp;ROW()))</f>
        <v>11</v>
      </c>
      <c r="B24" s="2" t="str">
        <f>Assignees!C23</f>
        <v>Astra-Post IR13 10-10</v>
      </c>
      <c r="C24" s="10">
        <f ca="1">COUNTIFS(INDIRECT(A78&amp;A67):INDIRECT(A78&amp;A66),INDIRECT("d"&amp;ROW()))</f>
        <v>200</v>
      </c>
      <c r="D24" s="10" t="str">
        <f>CONCATENATE("Protocols-",A88)</f>
        <v>Protocols-AAUM</v>
      </c>
      <c r="E24" s="16">
        <f ca="1">COUNTIFS(INDIRECT(A78&amp;A67):INDIRECT(A78&amp;A66),INDIRECT("d"&amp;ROW()),INDIRECT(A73&amp;A67):INDIRECT(A73&amp;A66),E1)</f>
        <v>0</v>
      </c>
      <c r="F24" s="4">
        <f ca="1">COUNTIFS(INDIRECT(A78&amp;A67):INDIRECT(A78&amp;A66),INDIRECT("d"&amp;ROW()),INDIRECT(A73&amp;A67):INDIRECT(A73&amp;A66),F1)</f>
        <v>20</v>
      </c>
      <c r="G24" s="3">
        <f ca="1">COUNTIFS(INDIRECT(A78&amp;A67):INDIRECT(A78&amp;A66),INDIRECT("d"&amp;ROW()),INDIRECT(A73&amp;A67):INDIRECT(A73&amp;A66),G1)</f>
        <v>102</v>
      </c>
      <c r="H24" s="5">
        <f ca="1">COUNTIFS(INDIRECT(A78&amp;A67):INDIRECT(A78&amp;A66),INDIRECT("d"&amp;ROW()),INDIRECT(A73&amp;A67):INDIRECT(A73&amp;A66),H1)</f>
        <v>78</v>
      </c>
      <c r="I24">
        <f ca="1">IF(OR(INDIRECT(A73&amp;ROW())=B93,INDIRECT(A73&amp;ROW())=B94),1,IF(AND(INDIRECT(A73&amp;ROW())=B95,INDIRECT(A96&amp;ROW())=C93),1,IF(AND(INDIRECT(A73&amp;ROW())=B95,INDIRECT(A96&amp;ROW())=C94),1,0)))</f>
        <v>0</v>
      </c>
      <c r="J24">
        <f ca="1">IF(AND(INDIRECT(A73&amp;ROW())=B95,INDIRECT(A96&amp;ROW())=C95),1,IF(AND(INDIRECT(A73&amp;ROW())=B95,INDIRECT(A96&amp;ROW())=C96),1,0))</f>
        <v>0</v>
      </c>
      <c r="K24">
        <f ca="1">DAYS360(INDIRECT(C68&amp;ROW()),TODAY())</f>
        <v>721</v>
      </c>
      <c r="L24">
        <f ca="1">DAYS360(INDIRECT(C69&amp;ROW()),TODAY())</f>
        <v>1021</v>
      </c>
      <c r="M24" s="11">
        <f ca="1">HYPERLINK(CONCATENATE("https://bugzilla.houston.hp.com:1181/bugzilla/show_bug.cgi?id=",INDIRECT(C70&amp;ROW())),INDIRECT(C70&amp;ROW()))</f>
        <v>46238</v>
      </c>
      <c r="N24">
        <v>46238</v>
      </c>
      <c r="O24" t="s">
        <v>174</v>
      </c>
      <c r="P24" t="s">
        <v>709</v>
      </c>
      <c r="Q24" t="s">
        <v>16</v>
      </c>
      <c r="R24" t="s">
        <v>251</v>
      </c>
      <c r="S24" t="s">
        <v>174</v>
      </c>
      <c r="U24" s="6">
        <v>42125.442280092589</v>
      </c>
      <c r="V24" t="s">
        <v>18</v>
      </c>
      <c r="W24" t="s">
        <v>17</v>
      </c>
      <c r="X24" s="6">
        <v>41821.631064814814</v>
      </c>
      <c r="Y24" t="s">
        <v>122</v>
      </c>
      <c r="AB24" t="s">
        <v>199</v>
      </c>
      <c r="AC24" t="s">
        <v>121</v>
      </c>
      <c r="AD24" t="s">
        <v>222</v>
      </c>
      <c r="AE24" t="s">
        <v>233</v>
      </c>
      <c r="AG24" t="s">
        <v>121</v>
      </c>
      <c r="AH24" t="s">
        <v>327</v>
      </c>
      <c r="AI24" t="s">
        <v>121</v>
      </c>
      <c r="AJ24" t="s">
        <v>716</v>
      </c>
      <c r="AK24" t="s">
        <v>121</v>
      </c>
    </row>
    <row r="25" spans="1:37" x14ac:dyDescent="0.3">
      <c r="A25" s="2">
        <f ca="1">COUNTIF(INDIRECT(A68&amp;A67):INDIRECT(A69&amp;A66),INDIRECT("b"&amp;ROW()))</f>
        <v>2</v>
      </c>
      <c r="B25" s="2" t="str">
        <f>Assignees!C24</f>
        <v>Astra-Post IR13 10-17</v>
      </c>
      <c r="C25" s="10">
        <f ca="1">COUNTIFS(INDIRECT(A78&amp;A67):INDIRECT(A78&amp;A66),INDIRECT("d"&amp;ROW()))</f>
        <v>101</v>
      </c>
      <c r="D25" s="10" t="str">
        <f>CONCATENATE("Protocols-",A89)</f>
        <v>Protocols-NFS</v>
      </c>
      <c r="E25" s="16">
        <f ca="1">COUNTIFS(INDIRECT(A78&amp;A67):INDIRECT(A78&amp;A66),INDIRECT("d"&amp;ROW()),INDIRECT(A73&amp;A67):INDIRECT(A73&amp;A66),E1)</f>
        <v>2</v>
      </c>
      <c r="F25" s="4">
        <f ca="1">COUNTIFS(INDIRECT(A78&amp;A67):INDIRECT(A78&amp;A66),INDIRECT("d"&amp;ROW()),INDIRECT(A73&amp;A67):INDIRECT(A73&amp;A66),F1)</f>
        <v>23</v>
      </c>
      <c r="G25" s="3">
        <f ca="1">COUNTIFS(INDIRECT(A78&amp;A67):INDIRECT(A78&amp;A66),INDIRECT("d"&amp;ROW()),INDIRECT(A73&amp;A67):INDIRECT(A73&amp;A66),G1)</f>
        <v>40</v>
      </c>
      <c r="H25" s="5">
        <f ca="1">COUNTIFS(INDIRECT(A78&amp;A67):INDIRECT(A78&amp;A66),INDIRECT("d"&amp;ROW()),INDIRECT(A73&amp;A67):INDIRECT(A73&amp;A66),H1)</f>
        <v>36</v>
      </c>
      <c r="I25">
        <f ca="1">IF(OR(INDIRECT(A73&amp;ROW())=B93,INDIRECT(A73&amp;ROW())=B94),1,IF(AND(INDIRECT(A73&amp;ROW())=B95,INDIRECT(A96&amp;ROW())=C93),1,IF(AND(INDIRECT(A73&amp;ROW())=B95,INDIRECT(A96&amp;ROW())=C94),1,0)))</f>
        <v>0</v>
      </c>
      <c r="J25">
        <f ca="1">IF(AND(INDIRECT(A73&amp;ROW())=B95,INDIRECT(A96&amp;ROW())=C95),1,IF(AND(INDIRECT(A73&amp;ROW())=B95,INDIRECT(A96&amp;ROW())=C96),1,0))</f>
        <v>1</v>
      </c>
      <c r="K25">
        <f ca="1">DAYS360(INDIRECT(C68&amp;ROW()),TODAY())</f>
        <v>728</v>
      </c>
      <c r="L25">
        <f ca="1">DAYS360(INDIRECT(C69&amp;ROW()),TODAY())</f>
        <v>1020</v>
      </c>
      <c r="M25" s="11">
        <f ca="1">HYPERLINK(CONCATENATE("https://bugzilla.houston.hp.com:1181/bugzilla/show_bug.cgi?id=",INDIRECT(C70&amp;ROW())),INDIRECT(C70&amp;ROW()))</f>
        <v>46293</v>
      </c>
      <c r="N25">
        <v>46293</v>
      </c>
      <c r="O25" t="s">
        <v>53</v>
      </c>
      <c r="P25" t="s">
        <v>708</v>
      </c>
      <c r="Q25" t="s">
        <v>25</v>
      </c>
      <c r="R25" t="s">
        <v>251</v>
      </c>
      <c r="S25" t="s">
        <v>31</v>
      </c>
      <c r="U25" s="6">
        <v>42118.33866898148</v>
      </c>
      <c r="V25" t="s">
        <v>40</v>
      </c>
      <c r="W25" t="s">
        <v>17</v>
      </c>
      <c r="X25" s="6">
        <v>41822.446030092593</v>
      </c>
      <c r="Y25" t="s">
        <v>119</v>
      </c>
      <c r="AB25" t="s">
        <v>201</v>
      </c>
      <c r="AC25" t="s">
        <v>121</v>
      </c>
      <c r="AD25" t="s">
        <v>220</v>
      </c>
      <c r="AE25" t="s">
        <v>219</v>
      </c>
      <c r="AG25" t="s">
        <v>121</v>
      </c>
      <c r="AH25" t="s">
        <v>327</v>
      </c>
      <c r="AI25" t="s">
        <v>121</v>
      </c>
      <c r="AJ25" t="s">
        <v>716</v>
      </c>
      <c r="AK25" t="s">
        <v>121</v>
      </c>
    </row>
    <row r="26" spans="1:37" x14ac:dyDescent="0.3">
      <c r="A26" s="2">
        <f ca="1">COUNTIF(INDIRECT(A68&amp;A67):INDIRECT(A69&amp;A66),INDIRECT("b"&amp;ROW()))</f>
        <v>20</v>
      </c>
      <c r="B26" s="2" t="str">
        <f>Assignees!C25</f>
        <v>Astra-Post IR13 10-24</v>
      </c>
      <c r="C26" s="10">
        <f ca="1">COUNTIFS(INDIRECT(A78&amp;A67):INDIRECT(A78&amp;A66),INDIRECT("d"&amp;ROW()))</f>
        <v>395</v>
      </c>
      <c r="D26" s="10" t="str">
        <f>CONCATENATE("Protocols-",A90)</f>
        <v>Protocols-SMB</v>
      </c>
      <c r="E26" s="16">
        <f ca="1">COUNTIFS(INDIRECT(A78&amp;A67):INDIRECT(A78&amp;A66),INDIRECT("d"&amp;ROW()),INDIRECT(A73&amp;A67):INDIRECT(A73&amp;A66),E1)</f>
        <v>0</v>
      </c>
      <c r="F26" s="4">
        <f ca="1">COUNTIFS(INDIRECT(A78&amp;A67):INDIRECT(A78&amp;A66),INDIRECT("d"&amp;ROW()),INDIRECT(A73&amp;A67):INDIRECT(A73&amp;A66),F1)</f>
        <v>62</v>
      </c>
      <c r="G26" s="3">
        <f ca="1">COUNTIFS(INDIRECT(A78&amp;A67):INDIRECT(A78&amp;A66),INDIRECT("d"&amp;ROW()),INDIRECT(A73&amp;A67):INDIRECT(A73&amp;A66),G1)</f>
        <v>169</v>
      </c>
      <c r="H26" s="5">
        <f ca="1">COUNTIFS(INDIRECT(A78&amp;A67):INDIRECT(A78&amp;A66),INDIRECT("d"&amp;ROW()),INDIRECT(A73&amp;A67):INDIRECT(A73&amp;A66),H1)</f>
        <v>164</v>
      </c>
      <c r="I26">
        <f ca="1">IF(OR(INDIRECT(A73&amp;ROW())=B93,INDIRECT(A73&amp;ROW())=B94),1,IF(AND(INDIRECT(A73&amp;ROW())=B95,INDIRECT(A96&amp;ROW())=C93),1,IF(AND(INDIRECT(A73&amp;ROW())=B95,INDIRECT(A96&amp;ROW())=C94),1,0)))</f>
        <v>0</v>
      </c>
      <c r="J26">
        <f ca="1">IF(AND(INDIRECT(A73&amp;ROW())=B95,INDIRECT(A96&amp;ROW())=C95),1,IF(AND(INDIRECT(A73&amp;ROW())=B95,INDIRECT(A96&amp;ROW())=C96),1,0))</f>
        <v>0</v>
      </c>
      <c r="K26">
        <f ca="1">DAYS360(INDIRECT(C68&amp;ROW()),TODAY())</f>
        <v>728</v>
      </c>
      <c r="L26">
        <f ca="1">DAYS360(INDIRECT(C69&amp;ROW()),TODAY())</f>
        <v>1020</v>
      </c>
      <c r="M26" s="11">
        <f ca="1">HYPERLINK(CONCATENATE("https://bugzilla.houston.hp.com:1181/bugzilla/show_bug.cgi?id=",INDIRECT(C70&amp;ROW())),INDIRECT(C70&amp;ROW()))</f>
        <v>46326</v>
      </c>
      <c r="N26">
        <v>46326</v>
      </c>
      <c r="O26" t="s">
        <v>88</v>
      </c>
      <c r="P26" t="s">
        <v>707</v>
      </c>
      <c r="Q26" t="s">
        <v>16</v>
      </c>
      <c r="R26" t="s">
        <v>251</v>
      </c>
      <c r="S26" t="s">
        <v>177</v>
      </c>
      <c r="U26" s="6">
        <v>42118.520601851851</v>
      </c>
      <c r="V26" t="s">
        <v>40</v>
      </c>
      <c r="W26" t="s">
        <v>17</v>
      </c>
      <c r="X26" s="6">
        <v>41822.770127314812</v>
      </c>
      <c r="Y26" t="s">
        <v>245</v>
      </c>
      <c r="Z26" t="s">
        <v>190</v>
      </c>
      <c r="AB26" t="s">
        <v>201</v>
      </c>
      <c r="AC26" t="s">
        <v>121</v>
      </c>
      <c r="AD26" t="s">
        <v>220</v>
      </c>
      <c r="AE26" t="s">
        <v>219</v>
      </c>
      <c r="AG26" t="s">
        <v>121</v>
      </c>
      <c r="AH26" t="s">
        <v>327</v>
      </c>
      <c r="AI26" t="s">
        <v>121</v>
      </c>
      <c r="AJ26" t="s">
        <v>717</v>
      </c>
      <c r="AK26" t="s">
        <v>121</v>
      </c>
    </row>
    <row r="27" spans="1:37" x14ac:dyDescent="0.3">
      <c r="A27" s="2">
        <f ca="1">COUNTIF(INDIRECT(A68&amp;A67):INDIRECT(A69&amp;A66),INDIRECT("b"&amp;ROW()))</f>
        <v>6</v>
      </c>
      <c r="B27" s="2" t="str">
        <f>Assignees!C26</f>
        <v>Astra-Post IR13 10-31</v>
      </c>
      <c r="C27" s="21">
        <f ca="1">COUNTIFS(INDIRECT(A69&amp;A67):INDIRECT(A69&amp;A66),"*"&amp;A92&amp;"*",INDIRECT(A80&amp;A67):INDIRECT(A80&amp;A66),A93)</f>
        <v>0</v>
      </c>
      <c r="D27" s="21" t="str">
        <f>CONCATENATE(A92," ",A93)</f>
        <v>BUC1 NEW</v>
      </c>
      <c r="E27" s="16">
        <f ca="1">COUNTIFS(INDIRECT(A69&amp;A67):INDIRECT(A69&amp;A66),"*"&amp;A92&amp;"*",INDIRECT(A80&amp;A67):INDIRECT(A80&amp;A66),A93,INDIRECT(A73&amp;A67):INDIRECT(A73&amp;A66),E1)</f>
        <v>0</v>
      </c>
      <c r="F27" s="4">
        <f ca="1">COUNTIFS(INDIRECT(A69&amp;A67):INDIRECT(A69&amp;A66),"*"&amp;A92&amp;"*",INDIRECT(A80&amp;A67):INDIRECT(A80&amp;A66),A93,INDIRECT(A73&amp;A67):INDIRECT(A73&amp;A66),F1)</f>
        <v>0</v>
      </c>
      <c r="G27" s="3">
        <f ca="1">COUNTIFS(INDIRECT(A69&amp;A67):INDIRECT(A69&amp;A66),"*"&amp;A92&amp;"*",INDIRECT(A80&amp;A67):INDIRECT(A80&amp;A66),A93,INDIRECT(A73&amp;A67):INDIRECT(A73&amp;A66),G1)</f>
        <v>0</v>
      </c>
      <c r="I27">
        <f ca="1">IF(OR(INDIRECT(A73&amp;ROW())=B93,INDIRECT(A73&amp;ROW())=B94),1,IF(AND(INDIRECT(A73&amp;ROW())=B95,INDIRECT(A96&amp;ROW())=C93),1,IF(AND(INDIRECT(A73&amp;ROW())=B95,INDIRECT(A96&amp;ROW())=C94),1,0)))</f>
        <v>0</v>
      </c>
      <c r="J27">
        <f ca="1">IF(AND(INDIRECT(A73&amp;ROW())=B95,INDIRECT(A96&amp;ROW())=C95),1,IF(AND(INDIRECT(A73&amp;ROW())=B95,INDIRECT(A96&amp;ROW())=C96),1,0))</f>
        <v>0</v>
      </c>
      <c r="K27">
        <f ca="1">DAYS360(INDIRECT(C68&amp;ROW()),TODAY())</f>
        <v>728</v>
      </c>
      <c r="L27">
        <f ca="1">DAYS360(INDIRECT(C69&amp;ROW()),TODAY())</f>
        <v>1013</v>
      </c>
      <c r="M27" s="11">
        <f ca="1">HYPERLINK(CONCATENATE("https://bugzilla.houston.hp.com:1181/bugzilla/show_bug.cgi?id=",INDIRECT(C70&amp;ROW())),INDIRECT(C70&amp;ROW()))</f>
        <v>46659</v>
      </c>
      <c r="N27">
        <v>46659</v>
      </c>
      <c r="O27" t="s">
        <v>22</v>
      </c>
      <c r="P27" t="s">
        <v>706</v>
      </c>
      <c r="Q27" t="s">
        <v>16</v>
      </c>
      <c r="R27" t="s">
        <v>251</v>
      </c>
      <c r="S27" t="s">
        <v>49</v>
      </c>
      <c r="U27" s="6">
        <v>42118.52071759259</v>
      </c>
      <c r="V27" t="s">
        <v>18</v>
      </c>
      <c r="W27" t="s">
        <v>17</v>
      </c>
      <c r="X27" s="6">
        <v>41829.631932870368</v>
      </c>
      <c r="Y27" t="s">
        <v>244</v>
      </c>
      <c r="AB27" t="s">
        <v>201</v>
      </c>
      <c r="AC27" t="s">
        <v>121</v>
      </c>
      <c r="AD27" t="s">
        <v>222</v>
      </c>
      <c r="AE27" t="s">
        <v>225</v>
      </c>
      <c r="AG27" t="s">
        <v>121</v>
      </c>
      <c r="AH27" t="s">
        <v>327</v>
      </c>
      <c r="AI27" t="s">
        <v>121</v>
      </c>
      <c r="AJ27" t="s">
        <v>717</v>
      </c>
      <c r="AK27" t="s">
        <v>121</v>
      </c>
    </row>
    <row r="28" spans="1:37" x14ac:dyDescent="0.3">
      <c r="A28" s="2">
        <f ca="1">COUNTIF(INDIRECT(A68&amp;A67):INDIRECT(A69&amp;A66),INDIRECT("b"&amp;ROW()))</f>
        <v>0</v>
      </c>
      <c r="B28" s="2" t="e">
        <f>Assignees!#REF!</f>
        <v>#REF!</v>
      </c>
      <c r="C28" s="21">
        <f ca="1">COUNTIFS(INDIRECT(A69&amp;A67):INDIRECT(A69&amp;A66),"*"&amp;A92&amp;"*",INDIRECT(A80&amp;A67):INDIRECT(A80&amp;A66),A94)</f>
        <v>0</v>
      </c>
      <c r="D28" s="21" t="str">
        <f>CONCATENATE(A92," ",A94)</f>
        <v>BUC1 ASSIGNED</v>
      </c>
      <c r="E28" s="16">
        <f ca="1">COUNTIFS(INDIRECT(A69&amp;A67):INDIRECT(A69&amp;A66),"*"&amp;A92&amp;"*",INDIRECT(A80&amp;A67):INDIRECT(A80&amp;A66),A94,INDIRECT(A73&amp;A67):INDIRECT(A73&amp;A66),E1)</f>
        <v>0</v>
      </c>
      <c r="F28" s="4">
        <f ca="1">COUNTIFS(INDIRECT(A69&amp;A67):INDIRECT(A69&amp;A66),"*"&amp;A92&amp;"*",INDIRECT(A80&amp;A67):INDIRECT(A80&amp;A66),A94,INDIRECT(A73&amp;A67):INDIRECT(A73&amp;A66),F1)</f>
        <v>0</v>
      </c>
      <c r="G28" s="3">
        <f ca="1">COUNTIFS(INDIRECT(A69&amp;A67):INDIRECT(A69&amp;A66),"*"&amp;A92&amp;"*",INDIRECT(A80&amp;A67):INDIRECT(A80&amp;A66),A94,INDIRECT(A73&amp;A67):INDIRECT(A73&amp;A66),G1)</f>
        <v>0</v>
      </c>
      <c r="I28">
        <f ca="1">IF(OR(INDIRECT(A73&amp;ROW())=B93,INDIRECT(A73&amp;ROW())=B94),1,IF(AND(INDIRECT(A73&amp;ROW())=B95,INDIRECT(A96&amp;ROW())=C93),1,IF(AND(INDIRECT(A73&amp;ROW())=B95,INDIRECT(A96&amp;ROW())=C94),1,0)))</f>
        <v>0</v>
      </c>
      <c r="J28">
        <f ca="1">IF(AND(INDIRECT(A73&amp;ROW())=B95,INDIRECT(A96&amp;ROW())=C95),1,IF(AND(INDIRECT(A73&amp;ROW())=B95,INDIRECT(A96&amp;ROW())=C96),1,0))</f>
        <v>0</v>
      </c>
      <c r="K28">
        <f ca="1">DAYS360(INDIRECT(C68&amp;ROW()),TODAY())</f>
        <v>721</v>
      </c>
      <c r="L28">
        <f ca="1">DAYS360(INDIRECT(C69&amp;ROW()),TODAY())</f>
        <v>1011</v>
      </c>
      <c r="M28" s="11">
        <f ca="1">HYPERLINK(CONCATENATE("https://bugzilla.houston.hp.com:1181/bugzilla/show_bug.cgi?id=",INDIRECT(C70&amp;ROW())),INDIRECT(C70&amp;ROW()))</f>
        <v>46771</v>
      </c>
      <c r="N28">
        <v>46771</v>
      </c>
      <c r="O28" t="s">
        <v>45</v>
      </c>
      <c r="P28" t="s">
        <v>478</v>
      </c>
      <c r="Q28" t="s">
        <v>16</v>
      </c>
      <c r="R28" t="s">
        <v>251</v>
      </c>
      <c r="S28" t="s">
        <v>168</v>
      </c>
      <c r="U28" s="6">
        <v>42125.643969907411</v>
      </c>
      <c r="V28" t="s">
        <v>40</v>
      </c>
      <c r="W28" t="s">
        <v>17</v>
      </c>
      <c r="X28" s="6">
        <v>41831.196400462963</v>
      </c>
      <c r="Y28" t="s">
        <v>123</v>
      </c>
      <c r="AB28" t="s">
        <v>199</v>
      </c>
      <c r="AC28" t="s">
        <v>121</v>
      </c>
      <c r="AD28" t="s">
        <v>227</v>
      </c>
      <c r="AE28" t="s">
        <v>231</v>
      </c>
      <c r="AG28" t="s">
        <v>121</v>
      </c>
      <c r="AH28" t="s">
        <v>327</v>
      </c>
      <c r="AI28" t="s">
        <v>121</v>
      </c>
      <c r="AJ28" t="s">
        <v>716</v>
      </c>
      <c r="AK28" t="s">
        <v>121</v>
      </c>
    </row>
    <row r="29" spans="1:37" x14ac:dyDescent="0.3">
      <c r="A29" s="2">
        <f ca="1">COUNTIF(INDIRECT(A68&amp;A67):INDIRECT(A69&amp;A66),INDIRECT("b"&amp;ROW()))</f>
        <v>1</v>
      </c>
      <c r="B29" s="2" t="str">
        <f>Assignees!C27</f>
        <v>StoreOnce Xanadu(SMB 5.6.x)</v>
      </c>
      <c r="C29" s="21">
        <f ca="1">COUNTIFS(INDIRECT(A69&amp;A67):INDIRECT(A69&amp;A66),"*"&amp;A92&amp;"*",INDIRECT(A80&amp;A67):INDIRECT(A80&amp;A66),A95)</f>
        <v>0</v>
      </c>
      <c r="D29" s="21" t="str">
        <f>CONCATENATE(A92," ",A95)</f>
        <v>BUC1 REOPENED</v>
      </c>
      <c r="E29" s="16">
        <f ca="1">COUNTIFS(INDIRECT(A69&amp;A67):INDIRECT(A69&amp;A66),"*"&amp;A92&amp;"*",INDIRECT(A80&amp;A67):INDIRECT(A80&amp;A66),A95,INDIRECT(A73&amp;A67):INDIRECT(A73&amp;A66),E1)</f>
        <v>0</v>
      </c>
      <c r="F29" s="4">
        <f ca="1">COUNTIFS(INDIRECT(A69&amp;A67):INDIRECT(A69&amp;A66),"*"&amp;A92&amp;"*",INDIRECT(A80&amp;A67):INDIRECT(A80&amp;A66),A95,INDIRECT(A73&amp;A67):INDIRECT(A73&amp;A66),F1)</f>
        <v>0</v>
      </c>
      <c r="G29" s="3">
        <f ca="1">COUNTIFS(INDIRECT(A69&amp;A67):INDIRECT(A69&amp;A66),"*"&amp;A92&amp;"*",INDIRECT(A80&amp;A67):INDIRECT(A80&amp;A66),A95,INDIRECT(A73&amp;A67):INDIRECT(A73&amp;A66),G1)</f>
        <v>0</v>
      </c>
      <c r="I29">
        <f ca="1">IF(OR(INDIRECT(A73&amp;ROW())=B93,INDIRECT(A73&amp;ROW())=B94),1,IF(AND(INDIRECT(A73&amp;ROW())=B95,INDIRECT(A96&amp;ROW())=C93),1,IF(AND(INDIRECT(A73&amp;ROW())=B95,INDIRECT(A96&amp;ROW())=C94),1,0)))</f>
        <v>0</v>
      </c>
      <c r="J29">
        <f ca="1">IF(AND(INDIRECT(A73&amp;ROW())=B95,INDIRECT(A96&amp;ROW())=C95),1,IF(AND(INDIRECT(A73&amp;ROW())=B95,INDIRECT(A96&amp;ROW())=C96),1,0))</f>
        <v>0</v>
      </c>
      <c r="K29">
        <f ca="1">DAYS360(INDIRECT(C68&amp;ROW()),TODAY())</f>
        <v>721</v>
      </c>
      <c r="L29">
        <f ca="1">DAYS360(INDIRECT(C69&amp;ROW()),TODAY())</f>
        <v>1004</v>
      </c>
      <c r="M29" s="11">
        <f ca="1">HYPERLINK(CONCATENATE("https://bugzilla.houston.hp.com:1181/bugzilla/show_bug.cgi?id=",INDIRECT(C70&amp;ROW())),INDIRECT(C70&amp;ROW()))</f>
        <v>47187</v>
      </c>
      <c r="N29">
        <v>47187</v>
      </c>
      <c r="O29" t="s">
        <v>213</v>
      </c>
      <c r="P29" t="s">
        <v>449</v>
      </c>
      <c r="Q29" t="s">
        <v>16</v>
      </c>
      <c r="R29" t="s">
        <v>251</v>
      </c>
      <c r="S29" t="s">
        <v>213</v>
      </c>
      <c r="U29" s="6">
        <v>42125.442048611112</v>
      </c>
      <c r="V29" t="s">
        <v>18</v>
      </c>
      <c r="W29" t="s">
        <v>17</v>
      </c>
      <c r="X29" s="6">
        <v>41838.292291666665</v>
      </c>
      <c r="Y29" t="s">
        <v>122</v>
      </c>
      <c r="AB29" t="s">
        <v>201</v>
      </c>
      <c r="AC29" t="s">
        <v>121</v>
      </c>
      <c r="AD29" t="s">
        <v>220</v>
      </c>
      <c r="AE29" t="s">
        <v>219</v>
      </c>
      <c r="AG29" t="s">
        <v>121</v>
      </c>
      <c r="AH29" t="s">
        <v>327</v>
      </c>
      <c r="AI29" t="s">
        <v>121</v>
      </c>
      <c r="AJ29" t="s">
        <v>717</v>
      </c>
      <c r="AK29" t="s">
        <v>121</v>
      </c>
    </row>
    <row r="30" spans="1:37" x14ac:dyDescent="0.3">
      <c r="A30" s="2">
        <f ca="1">COUNTIF(INDIRECT(A68&amp;A67):INDIRECT(A69&amp;A66),INDIRECT("b"&amp;ROW()))</f>
        <v>0</v>
      </c>
      <c r="B30" s="2" t="str">
        <f>Assignees!C28</f>
        <v>6.1 (Ensenada)</v>
      </c>
      <c r="C30" s="22">
        <f ca="1">COUNTIFS(INDIRECT(A97&amp;A67):INDIRECT(A97&amp;A66),1,INDIRECT(A71&amp;A67):INDIRECT(A71&amp;A66),D2&amp;"*")-COUNTIFS(INDIRECT(A97&amp;A67):INDIRECT(A97&amp;A66),1,INDIRECT(A71&amp;A67):INDIRECT(A71&amp;A66),D2&amp;"*",INDIRECT(A98&amp;A67):INDIRECT(A98&amp;A66),C98)</f>
        <v>79</v>
      </c>
      <c r="D30" s="22" t="str">
        <f>CONCATENATE("RedZone ",D2,"*")</f>
        <v>RedZone Astra*</v>
      </c>
      <c r="E30" s="8"/>
      <c r="I30">
        <f ca="1">IF(OR(INDIRECT(A73&amp;ROW())=B93,INDIRECT(A73&amp;ROW())=B94),1,IF(AND(INDIRECT(A73&amp;ROW())=B95,INDIRECT(A96&amp;ROW())=C93),1,IF(AND(INDIRECT(A73&amp;ROW())=B95,INDIRECT(A96&amp;ROW())=C94),1,0)))</f>
        <v>0</v>
      </c>
      <c r="J30">
        <f ca="1">IF(AND(INDIRECT(A73&amp;ROW())=B95,INDIRECT(A96&amp;ROW())=C95),1,IF(AND(INDIRECT(A73&amp;ROW())=B95,INDIRECT(A96&amp;ROW())=C96),1,0))</f>
        <v>1</v>
      </c>
      <c r="K30">
        <f ca="1">DAYS360(INDIRECT(C68&amp;ROW()),TODAY())</f>
        <v>724</v>
      </c>
      <c r="L30">
        <f ca="1">DAYS360(INDIRECT(C69&amp;ROW()),TODAY())</f>
        <v>1001</v>
      </c>
      <c r="M30" s="11">
        <f ca="1">HYPERLINK(CONCATENATE("https://bugzilla.houston.hp.com:1181/bugzilla/show_bug.cgi?id=",INDIRECT(C70&amp;ROW())),INDIRECT(C70&amp;ROW()))</f>
        <v>47269</v>
      </c>
      <c r="N30">
        <v>47269</v>
      </c>
      <c r="O30" t="s">
        <v>56</v>
      </c>
      <c r="P30" t="s">
        <v>448</v>
      </c>
      <c r="Q30" t="s">
        <v>25</v>
      </c>
      <c r="R30" t="s">
        <v>251</v>
      </c>
      <c r="S30" t="s">
        <v>183</v>
      </c>
      <c r="U30" s="6">
        <v>42122.349108796298</v>
      </c>
      <c r="V30" t="s">
        <v>40</v>
      </c>
      <c r="W30" t="s">
        <v>17</v>
      </c>
      <c r="X30" s="6">
        <v>41841.625428240739</v>
      </c>
      <c r="Y30" t="s">
        <v>244</v>
      </c>
      <c r="AB30" t="s">
        <v>201</v>
      </c>
      <c r="AC30" t="s">
        <v>121</v>
      </c>
      <c r="AD30" t="s">
        <v>220</v>
      </c>
      <c r="AE30" t="s">
        <v>219</v>
      </c>
      <c r="AG30" t="s">
        <v>121</v>
      </c>
      <c r="AH30" t="s">
        <v>327</v>
      </c>
      <c r="AI30" t="s">
        <v>121</v>
      </c>
      <c r="AJ30" t="s">
        <v>716</v>
      </c>
      <c r="AK30" t="s">
        <v>121</v>
      </c>
    </row>
    <row r="31" spans="1:37" x14ac:dyDescent="0.3">
      <c r="A31" s="2">
        <f ca="1">COUNTIF(INDIRECT(A68&amp;A67):INDIRECT(A69&amp;A66),INDIRECT("b"&amp;ROW()))</f>
        <v>0</v>
      </c>
      <c r="B31" s="2" t="str">
        <f>Assignees!C29</f>
        <v>6.2 (Fiji)</v>
      </c>
      <c r="C31" s="25">
        <f ca="1">COUNTIFS(INDIRECT(A99&amp;A67):INDIRECT(A99&amp;A66),1,INDIRECT(A71&amp;A67):INDIRECT(A71&amp;A66),D2&amp;"*")-COUNTIFS(INDIRECT(A99&amp;A67):INDIRECT(A99&amp;A66),1,INDIRECT(A71&amp;A67):INDIRECT(A71&amp;A66),D2&amp;"*",INDIRECT(A98&amp;A67):INDIRECT(A98&amp;A66),C98)</f>
        <v>65</v>
      </c>
      <c r="D31" s="25" t="str">
        <f>CONCATENATE("YellowZone ",D2,"*")</f>
        <v>YellowZone Astra*</v>
      </c>
      <c r="I31">
        <f ca="1">IF(OR(INDIRECT(A73&amp;ROW())=B93,INDIRECT(A73&amp;ROW())=B94),1,IF(AND(INDIRECT(A73&amp;ROW())=B95,INDIRECT(A96&amp;ROW())=C93),1,IF(AND(INDIRECT(A73&amp;ROW())=B95,INDIRECT(A96&amp;ROW())=C94),1,0)))</f>
        <v>1</v>
      </c>
      <c r="J31">
        <f ca="1">IF(AND(INDIRECT(A73&amp;ROW())=B95,INDIRECT(A96&amp;ROW())=C95),1,IF(AND(INDIRECT(A73&amp;ROW())=B95,INDIRECT(A96&amp;ROW())=C96),1,0))</f>
        <v>0</v>
      </c>
      <c r="K31">
        <f ca="1">DAYS360(INDIRECT(C68&amp;ROW()),TODAY())</f>
        <v>730</v>
      </c>
      <c r="L31">
        <f ca="1">DAYS360(INDIRECT(C69&amp;ROW()),TODAY())</f>
        <v>1000</v>
      </c>
      <c r="M31" s="11">
        <f ca="1">HYPERLINK(CONCATENATE("https://bugzilla.houston.hp.com:1181/bugzilla/show_bug.cgi?id=",INDIRECT(C70&amp;ROW())),INDIRECT(C70&amp;ROW()))</f>
        <v>47337</v>
      </c>
      <c r="N31">
        <v>47337</v>
      </c>
      <c r="O31" t="s">
        <v>21</v>
      </c>
      <c r="P31" t="s">
        <v>475</v>
      </c>
      <c r="Q31" t="s">
        <v>25</v>
      </c>
      <c r="R31" t="s">
        <v>251</v>
      </c>
      <c r="S31" t="s">
        <v>253</v>
      </c>
      <c r="U31" s="6">
        <v>42116.455277777779</v>
      </c>
      <c r="V31" t="s">
        <v>40</v>
      </c>
      <c r="W31" t="s">
        <v>17</v>
      </c>
      <c r="X31" s="6">
        <v>41842.501296296294</v>
      </c>
      <c r="Y31" t="s">
        <v>120</v>
      </c>
      <c r="AB31" t="s">
        <v>200</v>
      </c>
      <c r="AC31" t="s">
        <v>121</v>
      </c>
      <c r="AD31" t="s">
        <v>220</v>
      </c>
      <c r="AE31" t="s">
        <v>219</v>
      </c>
      <c r="AG31" t="s">
        <v>121</v>
      </c>
      <c r="AH31" t="s">
        <v>327</v>
      </c>
      <c r="AI31" t="s">
        <v>121</v>
      </c>
      <c r="AJ31" t="s">
        <v>715</v>
      </c>
      <c r="AK31" t="s">
        <v>121</v>
      </c>
    </row>
    <row r="32" spans="1:37" x14ac:dyDescent="0.3">
      <c r="A32" s="2">
        <f ca="1">COUNTIF(INDIRECT(A68&amp;A67):INDIRECT(A69&amp;A66),INDIRECT("b"&amp;ROW()))</f>
        <v>3</v>
      </c>
      <c r="B32" s="2" t="str">
        <f>Assignees!C30</f>
        <v>6.3 (FlyingSaucer)</v>
      </c>
      <c r="C32" s="1">
        <f ca="1">(COUNTIFS(INDIRECT(A72&amp;A67):INDIRECT(A72&amp;A66),"*"&amp;A87&amp;"*"))</f>
        <v>1</v>
      </c>
      <c r="D32" t="s">
        <v>34</v>
      </c>
      <c r="I32">
        <f ca="1">IF(OR(INDIRECT(A73&amp;ROW())=B93,INDIRECT(A73&amp;ROW())=B94),1,IF(AND(INDIRECT(A73&amp;ROW())=B95,INDIRECT(A96&amp;ROW())=C93),1,IF(AND(INDIRECT(A73&amp;ROW())=B95,INDIRECT(A96&amp;ROW())=C94),1,0)))</f>
        <v>0</v>
      </c>
      <c r="J32">
        <f ca="1">IF(AND(INDIRECT(A73&amp;ROW())=B95,INDIRECT(A96&amp;ROW())=C95),1,IF(AND(INDIRECT(A73&amp;ROW())=B95,INDIRECT(A96&amp;ROW())=C96),1,0))</f>
        <v>0</v>
      </c>
      <c r="K32">
        <f ca="1">DAYS360(INDIRECT(C68&amp;ROW()),TODAY())</f>
        <v>728</v>
      </c>
      <c r="L32">
        <f ca="1">DAYS360(INDIRECT(C69&amp;ROW()),TODAY())</f>
        <v>999</v>
      </c>
      <c r="M32" s="11">
        <f ca="1">HYPERLINK(CONCATENATE("https://bugzilla.houston.hp.com:1181/bugzilla/show_bug.cgi?id=",INDIRECT(C70&amp;ROW())),INDIRECT(C70&amp;ROW()))</f>
        <v>47415</v>
      </c>
      <c r="N32">
        <v>47415</v>
      </c>
      <c r="O32" t="s">
        <v>22</v>
      </c>
      <c r="P32" t="s">
        <v>705</v>
      </c>
      <c r="Q32" t="s">
        <v>16</v>
      </c>
      <c r="R32" t="s">
        <v>251</v>
      </c>
      <c r="S32" t="s">
        <v>36</v>
      </c>
      <c r="U32" s="6">
        <v>42118.55841435185</v>
      </c>
      <c r="V32" t="s">
        <v>18</v>
      </c>
      <c r="W32" t="s">
        <v>17</v>
      </c>
      <c r="X32" s="6">
        <v>41843.549317129633</v>
      </c>
      <c r="Y32" t="s">
        <v>122</v>
      </c>
      <c r="AB32" t="s">
        <v>201</v>
      </c>
      <c r="AC32" t="s">
        <v>121</v>
      </c>
      <c r="AD32" t="s">
        <v>220</v>
      </c>
      <c r="AE32" t="s">
        <v>219</v>
      </c>
      <c r="AG32" t="s">
        <v>121</v>
      </c>
      <c r="AH32" t="s">
        <v>327</v>
      </c>
      <c r="AI32" t="s">
        <v>121</v>
      </c>
      <c r="AJ32" t="s">
        <v>717</v>
      </c>
      <c r="AK32" t="s">
        <v>121</v>
      </c>
    </row>
    <row r="33" spans="1:37" x14ac:dyDescent="0.3">
      <c r="A33" s="2">
        <f ca="1">COUNTIF(INDIRECT(A68&amp;A67):INDIRECT(A69&amp;A66),INDIRECT("b"&amp;ROW()))</f>
        <v>2</v>
      </c>
      <c r="B33" s="2" t="str">
        <f>Assignees!C31</f>
        <v>6.5 (Ghost)</v>
      </c>
      <c r="C33">
        <f ca="1">COUNTIFS(INDIRECT(A71&amp;A67):INDIRECT(A71&amp;A66),A85&amp;"*")</f>
        <v>253</v>
      </c>
      <c r="D33" s="8" t="s">
        <v>98</v>
      </c>
      <c r="I33">
        <f ca="1">IF(OR(INDIRECT(A73&amp;ROW())=B93,INDIRECT(A73&amp;ROW())=B94),1,IF(AND(INDIRECT(A73&amp;ROW())=B95,INDIRECT(A96&amp;ROW())=C93),1,IF(AND(INDIRECT(A73&amp;ROW())=B95,INDIRECT(A96&amp;ROW())=C94),1,0)))</f>
        <v>0</v>
      </c>
      <c r="J33">
        <f ca="1">IF(AND(INDIRECT(A73&amp;ROW())=B95,INDIRECT(A96&amp;ROW())=C95),1,IF(AND(INDIRECT(A73&amp;ROW())=B95,INDIRECT(A96&amp;ROW())=C96),1,0))</f>
        <v>0</v>
      </c>
      <c r="K33">
        <f ca="1">DAYS360(INDIRECT(C68&amp;ROW()),TODAY())</f>
        <v>683</v>
      </c>
      <c r="L33">
        <f ca="1">DAYS360(INDIRECT(C69&amp;ROW()),TODAY())</f>
        <v>998</v>
      </c>
      <c r="M33" s="11">
        <f ca="1">HYPERLINK(CONCATENATE("https://bugzilla.houston.hp.com:1181/bugzilla/show_bug.cgi?id=",INDIRECT(C70&amp;ROW())),INDIRECT(C70&amp;ROW()))</f>
        <v>47515</v>
      </c>
      <c r="N33">
        <v>47515</v>
      </c>
      <c r="O33" t="s">
        <v>88</v>
      </c>
      <c r="P33" t="s">
        <v>447</v>
      </c>
      <c r="Q33" t="s">
        <v>16</v>
      </c>
      <c r="R33" t="s">
        <v>251</v>
      </c>
      <c r="S33" t="s">
        <v>52</v>
      </c>
      <c r="U33" s="6">
        <v>42164.611527777779</v>
      </c>
      <c r="V33" t="s">
        <v>18</v>
      </c>
      <c r="W33" t="s">
        <v>17</v>
      </c>
      <c r="X33" s="6">
        <v>41844.425266203703</v>
      </c>
      <c r="Y33" t="s">
        <v>119</v>
      </c>
      <c r="AB33" t="s">
        <v>201</v>
      </c>
      <c r="AC33" t="s">
        <v>121</v>
      </c>
      <c r="AD33" t="s">
        <v>222</v>
      </c>
      <c r="AE33" t="s">
        <v>240</v>
      </c>
      <c r="AG33" t="s">
        <v>121</v>
      </c>
      <c r="AH33" t="s">
        <v>327</v>
      </c>
      <c r="AI33" t="s">
        <v>121</v>
      </c>
      <c r="AJ33" t="s">
        <v>717</v>
      </c>
      <c r="AK33" t="s">
        <v>121</v>
      </c>
    </row>
    <row r="34" spans="1:37" x14ac:dyDescent="0.3">
      <c r="A34" s="2">
        <f ca="1">COUNTIF(INDIRECT(A68&amp;A67):INDIRECT(A69&amp;A66),INDIRECT("b"&amp;ROW()))</f>
        <v>0</v>
      </c>
      <c r="B34" s="2" t="str">
        <f>Assignees!C32</f>
        <v>6.5.x (Ghost patch)</v>
      </c>
      <c r="C34"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4</v>
      </c>
      <c r="D34" s="9" t="str">
        <f>CONCATENATE(A83," ",A84)</f>
        <v>NFS [PML]</v>
      </c>
      <c r="E34" s="8" t="str">
        <f t="shared" ref="E34:E40" si="0">D2</f>
        <v>Astra</v>
      </c>
      <c r="I34">
        <f ca="1">IF(OR(INDIRECT(A73&amp;ROW())=B93,INDIRECT(A73&amp;ROW())=B94),1,IF(AND(INDIRECT(A73&amp;ROW())=B95,INDIRECT(A96&amp;ROW())=C93),1,IF(AND(INDIRECT(A73&amp;ROW())=B95,INDIRECT(A96&amp;ROW())=C94),1,0)))</f>
        <v>0</v>
      </c>
      <c r="J34">
        <f ca="1">IF(AND(INDIRECT(A73&amp;ROW())=B95,INDIRECT(A96&amp;ROW())=C95),1,IF(AND(INDIRECT(A73&amp;ROW())=B95,INDIRECT(A96&amp;ROW())=C96),1,0))</f>
        <v>0</v>
      </c>
      <c r="K34">
        <f ca="1">DAYS360(INDIRECT(C68&amp;ROW()),TODAY())</f>
        <v>721</v>
      </c>
      <c r="L34">
        <f ca="1">DAYS360(INDIRECT(C69&amp;ROW()),TODAY())</f>
        <v>994</v>
      </c>
      <c r="M34" s="11">
        <f ca="1">HYPERLINK(CONCATENATE("https://bugzilla.houston.hp.com:1181/bugzilla/show_bug.cgi?id=",INDIRECT(C70&amp;ROW())),INDIRECT(C70&amp;ROW()))</f>
        <v>47697</v>
      </c>
      <c r="N34">
        <v>47697</v>
      </c>
      <c r="O34" t="s">
        <v>56</v>
      </c>
      <c r="P34" t="s">
        <v>704</v>
      </c>
      <c r="Q34" t="s">
        <v>16</v>
      </c>
      <c r="R34" t="s">
        <v>251</v>
      </c>
      <c r="S34" t="s">
        <v>188</v>
      </c>
      <c r="U34" s="6">
        <v>42125.44390046296</v>
      </c>
      <c r="V34" t="s">
        <v>18</v>
      </c>
      <c r="W34" t="s">
        <v>17</v>
      </c>
      <c r="X34" s="6">
        <v>41848.552175925928</v>
      </c>
      <c r="Y34" t="s">
        <v>122</v>
      </c>
      <c r="AB34" t="s">
        <v>200</v>
      </c>
      <c r="AC34" t="s">
        <v>121</v>
      </c>
      <c r="AD34" t="s">
        <v>220</v>
      </c>
      <c r="AE34" t="s">
        <v>219</v>
      </c>
      <c r="AG34" t="s">
        <v>121</v>
      </c>
      <c r="AH34" t="s">
        <v>327</v>
      </c>
      <c r="AI34" t="s">
        <v>121</v>
      </c>
      <c r="AJ34" t="s">
        <v>716</v>
      </c>
      <c r="AK34" t="s">
        <v>121</v>
      </c>
    </row>
    <row r="35" spans="1:37" x14ac:dyDescent="0.3">
      <c r="A35" s="2">
        <f ca="1">COUNTIF(INDIRECT(A68&amp;A67):INDIRECT(A69&amp;A66),INDIRECT("b"&amp;ROW()))</f>
        <v>9</v>
      </c>
      <c r="B35" s="2" t="str">
        <f>Assignees!C33</f>
        <v>Halo</v>
      </c>
      <c r="C35"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35</v>
      </c>
      <c r="D35" s="9" t="str">
        <f>CONCATENATE(A83," ",A84)</f>
        <v>NFS [PML]</v>
      </c>
      <c r="E35" s="8" t="str">
        <f t="shared" si="0"/>
        <v>Atlas</v>
      </c>
      <c r="I35">
        <f ca="1">IF(OR(INDIRECT(A73&amp;ROW())=B93,INDIRECT(A73&amp;ROW())=B94),1,IF(AND(INDIRECT(A73&amp;ROW())=B95,INDIRECT(A96&amp;ROW())=C93),1,IF(AND(INDIRECT(A73&amp;ROW())=B95,INDIRECT(A96&amp;ROW())=C94),1,0)))</f>
        <v>0</v>
      </c>
      <c r="J35">
        <f ca="1">IF(AND(INDIRECT(A73&amp;ROW())=B95,INDIRECT(A96&amp;ROW())=C95),1,IF(AND(INDIRECT(A73&amp;ROW())=B95,INDIRECT(A96&amp;ROW())=C96),1,0))</f>
        <v>0</v>
      </c>
      <c r="K35">
        <f ca="1">DAYS360(INDIRECT(C68&amp;ROW()),TODAY())</f>
        <v>721</v>
      </c>
      <c r="L35">
        <f ca="1">DAYS360(INDIRECT(C69&amp;ROW()),TODAY())</f>
        <v>992</v>
      </c>
      <c r="M35" s="11">
        <f ca="1">HYPERLINK(CONCATENATE("https://bugzilla.houston.hp.com:1181/bugzilla/show_bug.cgi?id=",INDIRECT(C70&amp;ROW())),INDIRECT(C70&amp;ROW()))</f>
        <v>47791</v>
      </c>
      <c r="N35">
        <v>47791</v>
      </c>
      <c r="O35" t="s">
        <v>19</v>
      </c>
      <c r="P35" t="s">
        <v>744</v>
      </c>
      <c r="Q35" t="s">
        <v>16</v>
      </c>
      <c r="R35" t="s">
        <v>251</v>
      </c>
      <c r="S35" t="s">
        <v>43</v>
      </c>
      <c r="U35" s="6">
        <v>42125.443761574075</v>
      </c>
      <c r="V35" t="s">
        <v>18</v>
      </c>
      <c r="W35" t="s">
        <v>17</v>
      </c>
      <c r="X35" s="6">
        <v>41850.351284722223</v>
      </c>
      <c r="Y35" t="s">
        <v>122</v>
      </c>
      <c r="AB35" t="s">
        <v>200</v>
      </c>
      <c r="AC35" t="s">
        <v>247</v>
      </c>
      <c r="AD35" t="s">
        <v>220</v>
      </c>
      <c r="AE35" t="s">
        <v>219</v>
      </c>
      <c r="AG35" t="s">
        <v>121</v>
      </c>
      <c r="AH35" t="s">
        <v>327</v>
      </c>
      <c r="AI35" t="s">
        <v>121</v>
      </c>
      <c r="AJ35" t="s">
        <v>716</v>
      </c>
      <c r="AK35" t="s">
        <v>121</v>
      </c>
    </row>
    <row r="36" spans="1:37" x14ac:dyDescent="0.3">
      <c r="A36" s="2">
        <f ca="1">COUNTIF(INDIRECT(A68&amp;A67):INDIRECT(A69&amp;A66),INDIRECT("b"&amp;ROW()))</f>
        <v>36</v>
      </c>
      <c r="B36" s="2" t="str">
        <f>Assignees!C34</f>
        <v>Atlas</v>
      </c>
      <c r="C36"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0</v>
      </c>
      <c r="D36" s="9" t="str">
        <f>CONCATENATE(A83," ",A84)</f>
        <v>NFS [PML]</v>
      </c>
      <c r="E36" s="8" t="str">
        <f t="shared" si="0"/>
        <v>Bellatrix</v>
      </c>
      <c r="I36">
        <f ca="1">IF(OR(INDIRECT(A73&amp;ROW())=B93,INDIRECT(A73&amp;ROW())=B94),1,IF(AND(INDIRECT(A73&amp;ROW())=B95,INDIRECT(A96&amp;ROW())=C93),1,IF(AND(INDIRECT(A73&amp;ROW())=B95,INDIRECT(A96&amp;ROW())=C94),1,0)))</f>
        <v>0</v>
      </c>
      <c r="J36">
        <f ca="1">IF(AND(INDIRECT(A73&amp;ROW())=B95,INDIRECT(A96&amp;ROW())=C95),1,IF(AND(INDIRECT(A73&amp;ROW())=B95,INDIRECT(A96&amp;ROW())=C96),1,0))</f>
        <v>0</v>
      </c>
      <c r="K36">
        <f ca="1">DAYS360(INDIRECT(C68&amp;ROW()),TODAY())</f>
        <v>729</v>
      </c>
      <c r="L36">
        <f ca="1">DAYS360(INDIRECT(C69&amp;ROW()),TODAY())</f>
        <v>992</v>
      </c>
      <c r="M36" s="11">
        <f ca="1">HYPERLINK(CONCATENATE("https://bugzilla.houston.hp.com:1181/bugzilla/show_bug.cgi?id=",INDIRECT(C70&amp;ROW())),INDIRECT(C70&amp;ROW()))</f>
        <v>47877</v>
      </c>
      <c r="N36">
        <v>47877</v>
      </c>
      <c r="O36" t="s">
        <v>56</v>
      </c>
      <c r="P36" t="s">
        <v>703</v>
      </c>
      <c r="Q36" t="s">
        <v>16</v>
      </c>
      <c r="R36" t="s">
        <v>251</v>
      </c>
      <c r="S36" t="s">
        <v>15</v>
      </c>
      <c r="U36" s="6">
        <v>42117.403090277781</v>
      </c>
      <c r="V36" t="s">
        <v>35</v>
      </c>
      <c r="W36" t="s">
        <v>17</v>
      </c>
      <c r="X36" s="6">
        <v>41851.903414351851</v>
      </c>
      <c r="Y36" t="s">
        <v>119</v>
      </c>
      <c r="AB36" t="s">
        <v>200</v>
      </c>
      <c r="AC36" t="s">
        <v>121</v>
      </c>
      <c r="AD36" t="s">
        <v>220</v>
      </c>
      <c r="AE36" t="s">
        <v>219</v>
      </c>
      <c r="AG36" t="s">
        <v>121</v>
      </c>
      <c r="AH36" t="s">
        <v>327</v>
      </c>
      <c r="AI36" t="s">
        <v>121</v>
      </c>
      <c r="AJ36" t="s">
        <v>716</v>
      </c>
      <c r="AK36" t="s">
        <v>121</v>
      </c>
    </row>
    <row r="37" spans="1:37" x14ac:dyDescent="0.3">
      <c r="A37" s="2">
        <f ca="1">COUNTIF(INDIRECT(A68&amp;A67):INDIRECT(A69&amp;A66),INDIRECT("b"&amp;ROW()))</f>
        <v>0</v>
      </c>
      <c r="B37" s="2">
        <f>Assignees!C36</f>
        <v>0</v>
      </c>
      <c r="C37"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36</v>
      </c>
      <c r="D37" s="9" t="str">
        <f>CONCATENATE(A83," ",A84)</f>
        <v>NFS [PML]</v>
      </c>
      <c r="E37" s="8" t="str">
        <f t="shared" si="0"/>
        <v>Master</v>
      </c>
      <c r="I37">
        <f ca="1">IF(OR(INDIRECT(A73&amp;ROW())=B93,INDIRECT(A73&amp;ROW())=B94),1,IF(AND(INDIRECT(A73&amp;ROW())=B95,INDIRECT(A96&amp;ROW())=C93),1,IF(AND(INDIRECT(A73&amp;ROW())=B95,INDIRECT(A96&amp;ROW())=C94),1,0)))</f>
        <v>0</v>
      </c>
      <c r="J37">
        <f ca="1">IF(AND(INDIRECT(A73&amp;ROW())=B95,INDIRECT(A96&amp;ROW())=C95),1,IF(AND(INDIRECT(A73&amp;ROW())=B95,INDIRECT(A96&amp;ROW())=C96),1,0))</f>
        <v>0</v>
      </c>
      <c r="K37">
        <f ca="1">DAYS360(INDIRECT(C68&amp;ROW()),TODAY())</f>
        <v>728</v>
      </c>
      <c r="L37">
        <f ca="1">DAYS360(INDIRECT(C69&amp;ROW()),TODAY())</f>
        <v>981</v>
      </c>
      <c r="M37" s="11">
        <f ca="1">HYPERLINK(CONCATENATE("https://bugzilla.houston.hp.com:1181/bugzilla/show_bug.cgi?id=",INDIRECT(C70&amp;ROW())),INDIRECT(C70&amp;ROW()))</f>
        <v>48400</v>
      </c>
      <c r="N37">
        <v>48400</v>
      </c>
      <c r="O37" t="s">
        <v>56</v>
      </c>
      <c r="P37" t="s">
        <v>702</v>
      </c>
      <c r="Q37" t="s">
        <v>16</v>
      </c>
      <c r="R37" t="s">
        <v>251</v>
      </c>
      <c r="S37" t="s">
        <v>42</v>
      </c>
      <c r="U37" s="6">
        <v>42118.560972222222</v>
      </c>
      <c r="V37" t="s">
        <v>18</v>
      </c>
      <c r="W37" t="s">
        <v>17</v>
      </c>
      <c r="X37" s="6">
        <v>41862.660682870373</v>
      </c>
      <c r="Y37" t="s">
        <v>122</v>
      </c>
      <c r="AB37" t="s">
        <v>201</v>
      </c>
      <c r="AC37" t="s">
        <v>121</v>
      </c>
      <c r="AD37" t="s">
        <v>220</v>
      </c>
      <c r="AE37" t="s">
        <v>219</v>
      </c>
      <c r="AG37" t="s">
        <v>121</v>
      </c>
      <c r="AH37" t="s">
        <v>64</v>
      </c>
      <c r="AI37" t="s">
        <v>121</v>
      </c>
      <c r="AJ37" t="s">
        <v>717</v>
      </c>
      <c r="AK37" t="s">
        <v>121</v>
      </c>
    </row>
    <row r="38" spans="1:37" x14ac:dyDescent="0.3">
      <c r="A38" s="2">
        <f ca="1">COUNTIF(INDIRECT(A68&amp;A67):INDIRECT(A69&amp;A66),INDIRECT("b"&amp;ROW()))</f>
        <v>0</v>
      </c>
      <c r="B38" s="2">
        <f>Assignees!C37</f>
        <v>0</v>
      </c>
      <c r="C38"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0</v>
      </c>
      <c r="D38" s="9" t="str">
        <f>CONCATENATE(A83," ",A84)</f>
        <v>NFS [PML]</v>
      </c>
      <c r="E38" s="8" t="str">
        <f t="shared" si="0"/>
        <v>Astra-Waiver</v>
      </c>
      <c r="I38">
        <f ca="1">IF(OR(INDIRECT(A73&amp;ROW())=B93,INDIRECT(A73&amp;ROW())=B94),1,IF(AND(INDIRECT(A73&amp;ROW())=B95,INDIRECT(A96&amp;ROW())=C93),1,IF(AND(INDIRECT(A73&amp;ROW())=B95,INDIRECT(A96&amp;ROW())=C94),1,0)))</f>
        <v>0</v>
      </c>
      <c r="J38">
        <f ca="1">IF(AND(INDIRECT(A73&amp;ROW())=B95,INDIRECT(A96&amp;ROW())=C95),1,IF(AND(INDIRECT(A73&amp;ROW())=B95,INDIRECT(A96&amp;ROW())=C96),1,0))</f>
        <v>0</v>
      </c>
      <c r="K38">
        <f ca="1">DAYS360(INDIRECT(C68&amp;ROW()),TODAY())</f>
        <v>721</v>
      </c>
      <c r="L38">
        <f ca="1">DAYS360(INDIRECT(C69&amp;ROW()),TODAY())</f>
        <v>980</v>
      </c>
      <c r="M38" s="11">
        <f ca="1">HYPERLINK(CONCATENATE("https://bugzilla.houston.hp.com:1181/bugzilla/show_bug.cgi?id=",INDIRECT(C70&amp;ROW())),INDIRECT(C70&amp;ROW()))</f>
        <v>48464</v>
      </c>
      <c r="N38">
        <v>48464</v>
      </c>
      <c r="O38" t="s">
        <v>55</v>
      </c>
      <c r="P38" t="s">
        <v>701</v>
      </c>
      <c r="Q38" t="s">
        <v>16</v>
      </c>
      <c r="R38" t="s">
        <v>251</v>
      </c>
      <c r="S38" t="s">
        <v>42</v>
      </c>
      <c r="U38" s="6">
        <v>42125.443819444445</v>
      </c>
      <c r="V38" t="s">
        <v>35</v>
      </c>
      <c r="W38" t="s">
        <v>17</v>
      </c>
      <c r="X38" s="6">
        <v>41863.624351851853</v>
      </c>
      <c r="Y38" t="s">
        <v>122</v>
      </c>
      <c r="AB38" t="s">
        <v>200</v>
      </c>
      <c r="AC38" t="s">
        <v>121</v>
      </c>
      <c r="AD38" t="s">
        <v>220</v>
      </c>
      <c r="AE38" t="s">
        <v>219</v>
      </c>
      <c r="AG38" t="s">
        <v>121</v>
      </c>
      <c r="AH38" t="s">
        <v>327</v>
      </c>
      <c r="AI38" t="s">
        <v>121</v>
      </c>
      <c r="AJ38" t="s">
        <v>716</v>
      </c>
      <c r="AK38" t="s">
        <v>121</v>
      </c>
    </row>
    <row r="39" spans="1:37" x14ac:dyDescent="0.3">
      <c r="A39" s="7">
        <f ca="1">SUM(A2:A38)</f>
        <v>470</v>
      </c>
      <c r="B39" s="7" t="s">
        <v>23</v>
      </c>
      <c r="C39"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14</v>
      </c>
      <c r="D39" s="9" t="str">
        <f>CONCATENATE(A83," ",A84)</f>
        <v>NFS [PML]</v>
      </c>
      <c r="E39" s="8" t="str">
        <f t="shared" si="0"/>
        <v>Astra-Maint</v>
      </c>
      <c r="I39">
        <f ca="1">IF(OR(INDIRECT(A73&amp;ROW())=B93,INDIRECT(A73&amp;ROW())=B94),1,IF(AND(INDIRECT(A73&amp;ROW())=B95,INDIRECT(A96&amp;ROW())=C93),1,IF(AND(INDIRECT(A73&amp;ROW())=B95,INDIRECT(A96&amp;ROW())=C94),1,0)))</f>
        <v>0</v>
      </c>
      <c r="J39">
        <f ca="1">IF(AND(INDIRECT(A73&amp;ROW())=B95,INDIRECT(A96&amp;ROW())=C95),1,IF(AND(INDIRECT(A73&amp;ROW())=B95,INDIRECT(A96&amp;ROW())=C96),1,0))</f>
        <v>1</v>
      </c>
      <c r="K39">
        <f ca="1">DAYS360(INDIRECT(C68&amp;ROW()),TODAY())</f>
        <v>683</v>
      </c>
      <c r="L39">
        <f ca="1">DAYS360(INDIRECT(C69&amp;ROW()),TODAY())</f>
        <v>979</v>
      </c>
      <c r="M39" s="11">
        <f ca="1">HYPERLINK(CONCATENATE("https://bugzilla.houston.hp.com:1181/bugzilla/show_bug.cgi?id=",INDIRECT(C70&amp;ROW())),INDIRECT(C70&amp;ROW()))</f>
        <v>48484</v>
      </c>
      <c r="N39">
        <v>48484</v>
      </c>
      <c r="O39" t="s">
        <v>49</v>
      </c>
      <c r="P39" t="s">
        <v>700</v>
      </c>
      <c r="Q39" t="s">
        <v>25</v>
      </c>
      <c r="R39" t="s">
        <v>251</v>
      </c>
      <c r="S39" t="s">
        <v>52</v>
      </c>
      <c r="U39" s="6">
        <v>42164.619247685187</v>
      </c>
      <c r="V39" t="s">
        <v>35</v>
      </c>
      <c r="W39" t="s">
        <v>17</v>
      </c>
      <c r="X39" s="6">
        <v>41864.074270833335</v>
      </c>
      <c r="Y39" t="s">
        <v>119</v>
      </c>
      <c r="AB39" t="s">
        <v>201</v>
      </c>
      <c r="AC39" t="s">
        <v>121</v>
      </c>
      <c r="AD39" t="s">
        <v>222</v>
      </c>
      <c r="AE39" t="s">
        <v>240</v>
      </c>
      <c r="AG39" t="s">
        <v>121</v>
      </c>
      <c r="AH39" t="s">
        <v>64</v>
      </c>
      <c r="AI39" t="s">
        <v>121</v>
      </c>
      <c r="AJ39" t="s">
        <v>716</v>
      </c>
      <c r="AK39" t="s">
        <v>121</v>
      </c>
    </row>
    <row r="40" spans="1:37" x14ac:dyDescent="0.3">
      <c r="A40">
        <f ca="1">COUNTIF(INDIRECT(A76&amp;A67):INDIRECT(A76&amp;A66),B40&amp;"*")</f>
        <v>136</v>
      </c>
      <c r="B40" t="s">
        <v>126</v>
      </c>
      <c r="C40"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14</v>
      </c>
      <c r="D40" s="9" t="str">
        <f>CONCATENATE(A83," ",A84)</f>
        <v>NFS [PML]</v>
      </c>
      <c r="E40" s="8" t="str">
        <f t="shared" si="0"/>
        <v>Astra-1.1.0</v>
      </c>
      <c r="I40">
        <f ca="1">IF(OR(INDIRECT(A73&amp;ROW())=B93,INDIRECT(A73&amp;ROW())=B94),1,IF(AND(INDIRECT(A73&amp;ROW())=B95,INDIRECT(A96&amp;ROW())=C93),1,IF(AND(INDIRECT(A73&amp;ROW())=B95,INDIRECT(A96&amp;ROW())=C94),1,0)))</f>
        <v>0</v>
      </c>
      <c r="J40">
        <f ca="1">IF(AND(INDIRECT(A73&amp;ROW())=B95,INDIRECT(A96&amp;ROW())=C95),1,IF(AND(INDIRECT(A73&amp;ROW())=B95,INDIRECT(A96&amp;ROW())=C96),1,0))</f>
        <v>0</v>
      </c>
      <c r="K40">
        <f ca="1">DAYS360(INDIRECT(C68&amp;ROW()),TODAY())</f>
        <v>770</v>
      </c>
      <c r="L40">
        <f ca="1">DAYS360(INDIRECT(C69&amp;ROW()),TODAY())</f>
        <v>977</v>
      </c>
      <c r="M40" s="11">
        <f ca="1">HYPERLINK(CONCATENATE("https://bugzilla.houston.hp.com:1181/bugzilla/show_bug.cgi?id=",INDIRECT(C70&amp;ROW())),INDIRECT(C70&amp;ROW()))</f>
        <v>48691</v>
      </c>
      <c r="N40">
        <v>48691</v>
      </c>
      <c r="O40" t="s">
        <v>56</v>
      </c>
      <c r="P40" t="s">
        <v>279</v>
      </c>
      <c r="Q40" t="s">
        <v>16</v>
      </c>
      <c r="R40" t="s">
        <v>251</v>
      </c>
      <c r="S40" t="s">
        <v>65</v>
      </c>
      <c r="U40" s="6">
        <v>42075.349849537037</v>
      </c>
      <c r="V40" t="s">
        <v>18</v>
      </c>
      <c r="W40" t="s">
        <v>17</v>
      </c>
      <c r="X40" s="6">
        <v>41866.418425925927</v>
      </c>
      <c r="Y40" t="s">
        <v>118</v>
      </c>
      <c r="AB40" t="s">
        <v>201</v>
      </c>
      <c r="AC40" t="s">
        <v>121</v>
      </c>
      <c r="AD40" t="s">
        <v>220</v>
      </c>
      <c r="AE40" t="s">
        <v>219</v>
      </c>
      <c r="AG40" t="s">
        <v>121</v>
      </c>
      <c r="AH40" t="s">
        <v>327</v>
      </c>
      <c r="AI40" t="s">
        <v>121</v>
      </c>
      <c r="AJ40" t="s">
        <v>717</v>
      </c>
      <c r="AK40" t="s">
        <v>121</v>
      </c>
    </row>
    <row r="41" spans="1:37" x14ac:dyDescent="0.3">
      <c r="A41">
        <f ca="1">COUNTIF(INDIRECT(A76&amp;A67):INDIRECT(A76&amp;A66),B41&amp;"*")</f>
        <v>14</v>
      </c>
      <c r="B41" t="s">
        <v>127</v>
      </c>
      <c r="C41">
        <f ca="1">SUM(C34:C40)</f>
        <v>103</v>
      </c>
      <c r="I41">
        <f ca="1">IF(OR(INDIRECT(A73&amp;ROW())=B93,INDIRECT(A73&amp;ROW())=B94),1,IF(AND(INDIRECT(A73&amp;ROW())=B95,INDIRECT(A96&amp;ROW())=C93),1,IF(AND(INDIRECT(A73&amp;ROW())=B95,INDIRECT(A96&amp;ROW())=C94),1,0)))</f>
        <v>0</v>
      </c>
      <c r="J41">
        <f ca="1">IF(AND(INDIRECT(A73&amp;ROW())=B95,INDIRECT(A96&amp;ROW())=C95),1,IF(AND(INDIRECT(A73&amp;ROW())=B95,INDIRECT(A96&amp;ROW())=C96),1,0))</f>
        <v>0</v>
      </c>
      <c r="K41">
        <f ca="1">DAYS360(INDIRECT(C68&amp;ROW()),TODAY())</f>
        <v>770</v>
      </c>
      <c r="L41">
        <f ca="1">DAYS360(INDIRECT(C69&amp;ROW()),TODAY())</f>
        <v>977</v>
      </c>
      <c r="M41" s="11">
        <f ca="1">HYPERLINK(CONCATENATE("https://bugzilla.houston.hp.com:1181/bugzilla/show_bug.cgi?id=",INDIRECT(C70&amp;ROW())),INDIRECT(C70&amp;ROW()))</f>
        <v>48692</v>
      </c>
      <c r="N41">
        <v>48692</v>
      </c>
      <c r="O41" t="s">
        <v>56</v>
      </c>
      <c r="P41" t="s">
        <v>278</v>
      </c>
      <c r="Q41" t="s">
        <v>16</v>
      </c>
      <c r="R41" t="s">
        <v>251</v>
      </c>
      <c r="S41" t="s">
        <v>65</v>
      </c>
      <c r="T41" t="s">
        <v>803</v>
      </c>
      <c r="U41" s="6">
        <v>42075.350902777776</v>
      </c>
      <c r="V41" t="s">
        <v>35</v>
      </c>
      <c r="W41" t="s">
        <v>17</v>
      </c>
      <c r="X41" s="6">
        <v>41866.420034722221</v>
      </c>
      <c r="Y41" t="s">
        <v>793</v>
      </c>
      <c r="AB41" t="s">
        <v>201</v>
      </c>
      <c r="AC41" t="s">
        <v>121</v>
      </c>
      <c r="AD41" t="s">
        <v>220</v>
      </c>
      <c r="AE41" t="s">
        <v>219</v>
      </c>
      <c r="AG41" t="s">
        <v>121</v>
      </c>
      <c r="AH41" t="s">
        <v>64</v>
      </c>
      <c r="AI41" t="s">
        <v>121</v>
      </c>
      <c r="AJ41" t="s">
        <v>717</v>
      </c>
      <c r="AK41" t="s">
        <v>121</v>
      </c>
    </row>
    <row r="42" spans="1:37" x14ac:dyDescent="0.3">
      <c r="A42" s="1">
        <f ca="1">SUM(A40:A41)</f>
        <v>150</v>
      </c>
      <c r="B42" s="1" t="s">
        <v>128</v>
      </c>
      <c r="C42" s="12">
        <f ca="1">COUNTIFS(INDIRECT(A72&amp;A67):INDIRECT(A72&amp;A66),"*"&amp;A83&amp;"*",INDIRECT(A71&amp;A67):INDIRECT(A71&amp;A66),INDIRECT("e"&amp;ROW()),INDIRECT(A70&amp;A67):INDIRECT(A70&amp;A66),A82&amp;"*")</f>
        <v>0</v>
      </c>
      <c r="D42" s="12" t="str">
        <f>CONCATENATE(A83,"  core")</f>
        <v>NFS  core</v>
      </c>
      <c r="E42" s="8" t="str">
        <f t="shared" ref="E42:E48" si="1">D2</f>
        <v>Astra</v>
      </c>
      <c r="I42">
        <f ca="1">IF(OR(INDIRECT(A73&amp;ROW())=B93,INDIRECT(A73&amp;ROW())=B94),1,IF(AND(INDIRECT(A73&amp;ROW())=B95,INDIRECT(A96&amp;ROW())=C93),1,IF(AND(INDIRECT(A73&amp;ROW())=B95,INDIRECT(A96&amp;ROW())=C94),1,0)))</f>
        <v>1</v>
      </c>
      <c r="J42">
        <f ca="1">IF(AND(INDIRECT(A73&amp;ROW())=B95,INDIRECT(A96&amp;ROW())=C95),1,IF(AND(INDIRECT(A73&amp;ROW())=B95,INDIRECT(A96&amp;ROW())=C96),1,0))</f>
        <v>0</v>
      </c>
      <c r="K42">
        <f ca="1">DAYS360(INDIRECT(C68&amp;ROW()),TODAY())</f>
        <v>691</v>
      </c>
      <c r="L42">
        <f ca="1">DAYS360(INDIRECT(C69&amp;ROW()),TODAY())</f>
        <v>977</v>
      </c>
      <c r="M42" s="11">
        <f ca="1">HYPERLINK(CONCATENATE("https://bugzilla.houston.hp.com:1181/bugzilla/show_bug.cgi?id=",INDIRECT(C70&amp;ROW())),INDIRECT(C70&amp;ROW()))</f>
        <v>48696</v>
      </c>
      <c r="N42">
        <v>48696</v>
      </c>
      <c r="O42" t="s">
        <v>94</v>
      </c>
      <c r="P42" t="s">
        <v>446</v>
      </c>
      <c r="Q42" t="s">
        <v>39</v>
      </c>
      <c r="R42" t="s">
        <v>251</v>
      </c>
      <c r="S42" t="s">
        <v>24</v>
      </c>
      <c r="T42" t="s">
        <v>782</v>
      </c>
      <c r="U42" s="6">
        <v>42156.600081018521</v>
      </c>
      <c r="V42" t="s">
        <v>35</v>
      </c>
      <c r="W42" t="s">
        <v>17</v>
      </c>
      <c r="X42" s="6">
        <v>41866.469768518517</v>
      </c>
      <c r="Y42" t="s">
        <v>119</v>
      </c>
      <c r="AB42" t="s">
        <v>201</v>
      </c>
      <c r="AC42" t="s">
        <v>121</v>
      </c>
      <c r="AD42" t="s">
        <v>227</v>
      </c>
      <c r="AE42" t="s">
        <v>231</v>
      </c>
      <c r="AG42" t="s">
        <v>121</v>
      </c>
      <c r="AH42" t="s">
        <v>64</v>
      </c>
      <c r="AI42" t="s">
        <v>121</v>
      </c>
      <c r="AJ42" t="s">
        <v>715</v>
      </c>
      <c r="AK42" t="s">
        <v>121</v>
      </c>
    </row>
    <row r="43" spans="1:37" x14ac:dyDescent="0.3">
      <c r="C43" s="12">
        <f ca="1">COUNTIFS(INDIRECT(A72&amp;A67):INDIRECT(A72&amp;A66),"*"&amp;A83&amp;"*",INDIRECT(A71&amp;A67):INDIRECT(A71&amp;A66),INDIRECT("e"&amp;ROW()),INDIRECT(A70&amp;A67):INDIRECT(A70&amp;A66),A82&amp;"*")</f>
        <v>0</v>
      </c>
      <c r="D43" s="12" t="str">
        <f>CONCATENATE(A83,"  core")</f>
        <v>NFS  core</v>
      </c>
      <c r="E43" s="8" t="str">
        <f t="shared" si="1"/>
        <v>Atlas</v>
      </c>
      <c r="I43">
        <f ca="1">IF(OR(INDIRECT(A73&amp;ROW())=B93,INDIRECT(A73&amp;ROW())=B94),1,IF(AND(INDIRECT(A73&amp;ROW())=B95,INDIRECT(A96&amp;ROW())=C93),1,IF(AND(INDIRECT(A73&amp;ROW())=B95,INDIRECT(A96&amp;ROW())=C94),1,0)))</f>
        <v>0</v>
      </c>
      <c r="J43">
        <f ca="1">IF(AND(INDIRECT(A73&amp;ROW())=B95,INDIRECT(A96&amp;ROW())=C95),1,IF(AND(INDIRECT(A73&amp;ROW())=B95,INDIRECT(A96&amp;ROW())=C96),1,0))</f>
        <v>0</v>
      </c>
      <c r="K43">
        <f ca="1">DAYS360(INDIRECT(C68&amp;ROW()),TODAY())</f>
        <v>728</v>
      </c>
      <c r="L43">
        <f ca="1">DAYS360(INDIRECT(C69&amp;ROW()),TODAY())</f>
        <v>977</v>
      </c>
      <c r="M43" s="11">
        <f ca="1">HYPERLINK(CONCATENATE("https://bugzilla.houston.hp.com:1181/bugzilla/show_bug.cgi?id=",INDIRECT(C70&amp;ROW())),INDIRECT(C70&amp;ROW()))</f>
        <v>48703</v>
      </c>
      <c r="N43">
        <v>48703</v>
      </c>
      <c r="O43" t="s">
        <v>66</v>
      </c>
      <c r="P43" t="s">
        <v>291</v>
      </c>
      <c r="Q43" t="s">
        <v>16</v>
      </c>
      <c r="R43" t="s">
        <v>251</v>
      </c>
      <c r="S43" t="s">
        <v>65</v>
      </c>
      <c r="U43" s="6">
        <v>42118.561168981483</v>
      </c>
      <c r="V43" t="s">
        <v>18</v>
      </c>
      <c r="W43" t="s">
        <v>17</v>
      </c>
      <c r="X43" s="6">
        <v>41866.624490740738</v>
      </c>
      <c r="Y43" t="s">
        <v>122</v>
      </c>
      <c r="AB43" t="s">
        <v>201</v>
      </c>
      <c r="AC43" t="s">
        <v>121</v>
      </c>
      <c r="AD43" t="s">
        <v>222</v>
      </c>
      <c r="AE43" t="s">
        <v>233</v>
      </c>
      <c r="AG43" t="s">
        <v>121</v>
      </c>
      <c r="AH43" t="s">
        <v>64</v>
      </c>
      <c r="AI43" t="s">
        <v>121</v>
      </c>
      <c r="AJ43" t="s">
        <v>717</v>
      </c>
      <c r="AK43" t="s">
        <v>121</v>
      </c>
    </row>
    <row r="44" spans="1:37" x14ac:dyDescent="0.3">
      <c r="C44" s="12">
        <f ca="1">COUNTIFS(INDIRECT(A72&amp;A67):INDIRECT(A72&amp;A66),"*"&amp;A83&amp;"*",INDIRECT(A71&amp;A67):INDIRECT(A71&amp;A66),INDIRECT("e"&amp;ROW()),INDIRECT(A70&amp;A67):INDIRECT(A70&amp;A66),A82&amp;"*")</f>
        <v>0</v>
      </c>
      <c r="D44" s="12" t="str">
        <f>CONCATENATE(A83,"  core")</f>
        <v>NFS  core</v>
      </c>
      <c r="E44" s="8" t="str">
        <f t="shared" si="1"/>
        <v>Bellatrix</v>
      </c>
      <c r="I44">
        <f ca="1">IF(OR(INDIRECT(A73&amp;ROW())=B93,INDIRECT(A73&amp;ROW())=B94),1,IF(AND(INDIRECT(A73&amp;ROW())=B95,INDIRECT(A96&amp;ROW())=C93),1,IF(AND(INDIRECT(A73&amp;ROW())=B95,INDIRECT(A96&amp;ROW())=C94),1,0)))</f>
        <v>0</v>
      </c>
      <c r="J44">
        <f ca="1">IF(AND(INDIRECT(A73&amp;ROW())=B95,INDIRECT(A96&amp;ROW())=C95),1,IF(AND(INDIRECT(A73&amp;ROW())=B95,INDIRECT(A96&amp;ROW())=C96),1,0))</f>
        <v>0</v>
      </c>
      <c r="K44">
        <f ca="1">DAYS360(INDIRECT(C68&amp;ROW()),TODAY())</f>
        <v>729</v>
      </c>
      <c r="L44">
        <f ca="1">DAYS360(INDIRECT(C69&amp;ROW()),TODAY())</f>
        <v>972</v>
      </c>
      <c r="M44" s="11">
        <f ca="1">HYPERLINK(CONCATENATE("https://bugzilla.houston.hp.com:1181/bugzilla/show_bug.cgi?id=",INDIRECT(C70&amp;ROW())),INDIRECT(C70&amp;ROW()))</f>
        <v>48872</v>
      </c>
      <c r="N44">
        <v>48872</v>
      </c>
      <c r="O44" t="s">
        <v>56</v>
      </c>
      <c r="P44" t="s">
        <v>699</v>
      </c>
      <c r="Q44" t="s">
        <v>16</v>
      </c>
      <c r="R44" t="s">
        <v>251</v>
      </c>
      <c r="S44" t="s">
        <v>239</v>
      </c>
      <c r="T44" t="s">
        <v>48</v>
      </c>
      <c r="U44" s="6">
        <v>42117.403298611112</v>
      </c>
      <c r="V44" t="s">
        <v>35</v>
      </c>
      <c r="W44" t="s">
        <v>17</v>
      </c>
      <c r="X44" s="6">
        <v>41871.14303240741</v>
      </c>
      <c r="Y44" t="s">
        <v>124</v>
      </c>
      <c r="AB44" t="s">
        <v>200</v>
      </c>
      <c r="AC44" t="s">
        <v>121</v>
      </c>
      <c r="AD44" t="s">
        <v>220</v>
      </c>
      <c r="AE44" t="s">
        <v>219</v>
      </c>
      <c r="AG44" t="s">
        <v>121</v>
      </c>
      <c r="AH44" t="s">
        <v>64</v>
      </c>
      <c r="AI44" t="s">
        <v>121</v>
      </c>
      <c r="AJ44" t="s">
        <v>716</v>
      </c>
      <c r="AK44" t="s">
        <v>121</v>
      </c>
    </row>
    <row r="45" spans="1:37" x14ac:dyDescent="0.3">
      <c r="C45" s="12">
        <f ca="1">COUNTIFS(INDIRECT(A72&amp;A67):INDIRECT(A72&amp;A66),"*"&amp;A83&amp;"*",INDIRECT(A71&amp;A67):INDIRECT(A71&amp;A66),INDIRECT("e"&amp;ROW()),INDIRECT(A70&amp;A67):INDIRECT(A70&amp;A66),A82&amp;"*")</f>
        <v>0</v>
      </c>
      <c r="D45" s="12" t="str">
        <f>CONCATENATE(A83,"  core")</f>
        <v>NFS  core</v>
      </c>
      <c r="E45" s="8" t="str">
        <f t="shared" si="1"/>
        <v>Master</v>
      </c>
      <c r="I45">
        <f ca="1">IF(OR(INDIRECT(A73&amp;ROW())=B93,INDIRECT(A73&amp;ROW())=B94),1,IF(AND(INDIRECT(A73&amp;ROW())=B95,INDIRECT(A96&amp;ROW())=C93),1,IF(AND(INDIRECT(A73&amp;ROW())=B95,INDIRECT(A96&amp;ROW())=C94),1,0)))</f>
        <v>0</v>
      </c>
      <c r="J45">
        <f ca="1">IF(AND(INDIRECT(A73&amp;ROW())=B95,INDIRECT(A96&amp;ROW())=C95),1,IF(AND(INDIRECT(A73&amp;ROW())=B95,INDIRECT(A96&amp;ROW())=C96),1,0))</f>
        <v>0</v>
      </c>
      <c r="K45">
        <f ca="1">DAYS360(INDIRECT(C68&amp;ROW()),TODAY())</f>
        <v>721</v>
      </c>
      <c r="L45">
        <f ca="1">DAYS360(INDIRECT(C69&amp;ROW()),TODAY())</f>
        <v>971</v>
      </c>
      <c r="M45" s="11">
        <f ca="1">HYPERLINK(CONCATENATE("https://bugzilla.houston.hp.com:1181/bugzilla/show_bug.cgi?id=",INDIRECT(C70&amp;ROW())),INDIRECT(C70&amp;ROW()))</f>
        <v>48965</v>
      </c>
      <c r="N45">
        <v>48965</v>
      </c>
      <c r="O45" t="s">
        <v>22</v>
      </c>
      <c r="P45" t="s">
        <v>445</v>
      </c>
      <c r="Q45" t="s">
        <v>16</v>
      </c>
      <c r="R45" t="s">
        <v>251</v>
      </c>
      <c r="S45" t="s">
        <v>22</v>
      </c>
      <c r="U45" s="6">
        <v>42125.443831018521</v>
      </c>
      <c r="V45" t="s">
        <v>18</v>
      </c>
      <c r="W45" t="s">
        <v>17</v>
      </c>
      <c r="X45" s="6">
        <v>41872.448865740742</v>
      </c>
      <c r="Y45" t="s">
        <v>122</v>
      </c>
      <c r="Z45" t="s">
        <v>255</v>
      </c>
      <c r="AB45" t="s">
        <v>201</v>
      </c>
      <c r="AC45" t="s">
        <v>121</v>
      </c>
      <c r="AD45" t="s">
        <v>220</v>
      </c>
      <c r="AE45" t="s">
        <v>219</v>
      </c>
      <c r="AG45" t="s">
        <v>121</v>
      </c>
      <c r="AH45" t="s">
        <v>64</v>
      </c>
      <c r="AI45" t="s">
        <v>121</v>
      </c>
      <c r="AJ45" t="s">
        <v>717</v>
      </c>
      <c r="AK45" t="s">
        <v>121</v>
      </c>
    </row>
    <row r="46" spans="1:37" x14ac:dyDescent="0.3">
      <c r="C46" s="12">
        <f ca="1">COUNTIFS(INDIRECT(A72&amp;A67):INDIRECT(A72&amp;A66),"*"&amp;A83&amp;"*",INDIRECT(A71&amp;A67):INDIRECT(A71&amp;A66),INDIRECT("e"&amp;ROW()),INDIRECT(A70&amp;A67):INDIRECT(A70&amp;A66),A82&amp;"*")</f>
        <v>0</v>
      </c>
      <c r="D46" s="12" t="str">
        <f>CONCATENATE(A83,"  core")</f>
        <v>NFS  core</v>
      </c>
      <c r="E46" s="8" t="str">
        <f t="shared" si="1"/>
        <v>Astra-Waiver</v>
      </c>
      <c r="I46">
        <f ca="1">IF(OR(INDIRECT(A73&amp;ROW())=B93,INDIRECT(A73&amp;ROW())=B94),1,IF(AND(INDIRECT(A73&amp;ROW())=B95,INDIRECT(A96&amp;ROW())=C93),1,IF(AND(INDIRECT(A73&amp;ROW())=B95,INDIRECT(A96&amp;ROW())=C94),1,0)))</f>
        <v>0</v>
      </c>
      <c r="J46">
        <f ca="1">IF(AND(INDIRECT(A73&amp;ROW())=B95,INDIRECT(A96&amp;ROW())=C95),1,IF(AND(INDIRECT(A73&amp;ROW())=B95,INDIRECT(A96&amp;ROW())=C96),1,0))</f>
        <v>0</v>
      </c>
      <c r="K46">
        <f ca="1">DAYS360(INDIRECT(C68&amp;ROW()),TODAY())</f>
        <v>666</v>
      </c>
      <c r="L46">
        <f ca="1">DAYS360(INDIRECT(C69&amp;ROW()),TODAY())</f>
        <v>970</v>
      </c>
      <c r="M46" s="11">
        <f ca="1">HYPERLINK(CONCATENATE("https://bugzilla.houston.hp.com:1181/bugzilla/show_bug.cgi?id=",INDIRECT(C70&amp;ROW())),INDIRECT(C70&amp;ROW()))</f>
        <v>49007</v>
      </c>
      <c r="N46">
        <v>49007</v>
      </c>
      <c r="O46" t="s">
        <v>204</v>
      </c>
      <c r="P46" t="s">
        <v>423</v>
      </c>
      <c r="Q46" t="s">
        <v>16</v>
      </c>
      <c r="R46" t="s">
        <v>251</v>
      </c>
      <c r="S46" t="s">
        <v>24</v>
      </c>
      <c r="T46" t="s">
        <v>48</v>
      </c>
      <c r="U46" s="6">
        <v>42181.306805555556</v>
      </c>
      <c r="V46" t="s">
        <v>35</v>
      </c>
      <c r="W46" t="s">
        <v>17</v>
      </c>
      <c r="X46" s="6">
        <v>41873.282511574071</v>
      </c>
      <c r="Y46" t="s">
        <v>119</v>
      </c>
      <c r="AB46" t="s">
        <v>201</v>
      </c>
      <c r="AC46" t="s">
        <v>121</v>
      </c>
      <c r="AD46" t="s">
        <v>222</v>
      </c>
      <c r="AE46" t="s">
        <v>221</v>
      </c>
      <c r="AG46" t="s">
        <v>121</v>
      </c>
      <c r="AH46" t="s">
        <v>327</v>
      </c>
      <c r="AI46" t="s">
        <v>121</v>
      </c>
      <c r="AJ46" t="s">
        <v>717</v>
      </c>
      <c r="AK46" t="s">
        <v>121</v>
      </c>
    </row>
    <row r="47" spans="1:37" x14ac:dyDescent="0.3">
      <c r="C47" s="12">
        <f ca="1">COUNTIFS(INDIRECT(A72&amp;A67):INDIRECT(A72&amp;A66),"*"&amp;A83&amp;"*",INDIRECT(A71&amp;A67):INDIRECT(A71&amp;A66),INDIRECT("e"&amp;ROW()),INDIRECT(A70&amp;A67):INDIRECT(A70&amp;A66),A82&amp;"*")</f>
        <v>0</v>
      </c>
      <c r="D47" s="12" t="str">
        <f>CONCATENATE(A83,"  core")</f>
        <v>NFS  core</v>
      </c>
      <c r="E47" s="8" t="str">
        <f t="shared" si="1"/>
        <v>Astra-Maint</v>
      </c>
      <c r="I47">
        <f ca="1">IF(OR(INDIRECT(A73&amp;ROW())=B93,INDIRECT(A73&amp;ROW())=B94),1,IF(AND(INDIRECT(A73&amp;ROW())=B95,INDIRECT(A96&amp;ROW())=C93),1,IF(AND(INDIRECT(A73&amp;ROW())=B95,INDIRECT(A96&amp;ROW())=C94),1,0)))</f>
        <v>0</v>
      </c>
      <c r="J47">
        <f ca="1">IF(AND(INDIRECT(A73&amp;ROW())=B95,INDIRECT(A96&amp;ROW())=C95),1,IF(AND(INDIRECT(A73&amp;ROW())=B95,INDIRECT(A96&amp;ROW())=C96),1,0))</f>
        <v>0</v>
      </c>
      <c r="K47">
        <f ca="1">DAYS360(INDIRECT(C68&amp;ROW()),TODAY())</f>
        <v>729</v>
      </c>
      <c r="L47">
        <f ca="1">DAYS360(INDIRECT(C69&amp;ROW()),TODAY())</f>
        <v>967</v>
      </c>
      <c r="M47" s="11">
        <f ca="1">HYPERLINK(CONCATENATE("https://bugzilla.houston.hp.com:1181/bugzilla/show_bug.cgi?id=",INDIRECT(C70&amp;ROW())),INDIRECT(C70&amp;ROW()))</f>
        <v>49096</v>
      </c>
      <c r="N47">
        <v>49096</v>
      </c>
      <c r="O47" t="s">
        <v>88</v>
      </c>
      <c r="P47" t="s">
        <v>444</v>
      </c>
      <c r="Q47" t="s">
        <v>16</v>
      </c>
      <c r="R47" t="s">
        <v>251</v>
      </c>
      <c r="S47" t="s">
        <v>174</v>
      </c>
      <c r="U47" s="6">
        <v>42117.403402777774</v>
      </c>
      <c r="V47" t="s">
        <v>40</v>
      </c>
      <c r="W47" t="s">
        <v>17</v>
      </c>
      <c r="X47" s="6">
        <v>41876.589675925927</v>
      </c>
      <c r="Y47" t="s">
        <v>119</v>
      </c>
      <c r="AB47" t="s">
        <v>199</v>
      </c>
      <c r="AC47" t="s">
        <v>121</v>
      </c>
      <c r="AD47" t="s">
        <v>220</v>
      </c>
      <c r="AE47" t="s">
        <v>290</v>
      </c>
      <c r="AG47" t="s">
        <v>121</v>
      </c>
      <c r="AH47" t="s">
        <v>64</v>
      </c>
      <c r="AI47" t="s">
        <v>121</v>
      </c>
      <c r="AJ47" t="s">
        <v>716</v>
      </c>
      <c r="AK47" t="s">
        <v>121</v>
      </c>
    </row>
    <row r="48" spans="1:37" x14ac:dyDescent="0.3">
      <c r="C48" s="12">
        <f ca="1">COUNTIFS(INDIRECT(A72&amp;A67):INDIRECT(A72&amp;A66),"*"&amp;A83&amp;"*",INDIRECT(A71&amp;A67):INDIRECT(A71&amp;A66),INDIRECT("e"&amp;ROW()),INDIRECT(A70&amp;A67):INDIRECT(A70&amp;A66),A82&amp;"*")</f>
        <v>0</v>
      </c>
      <c r="D48" s="12" t="str">
        <f>CONCATENATE(A83,"  core")</f>
        <v>NFS  core</v>
      </c>
      <c r="E48" s="8" t="str">
        <f t="shared" si="1"/>
        <v>Astra-1.1.0</v>
      </c>
      <c r="I48">
        <f ca="1">IF(OR(INDIRECT(A73&amp;ROW())=B93,INDIRECT(A73&amp;ROW())=B94),1,IF(AND(INDIRECT(A73&amp;ROW())=B95,INDIRECT(A96&amp;ROW())=C93),1,IF(AND(INDIRECT(A73&amp;ROW())=B95,INDIRECT(A96&amp;ROW())=C94),1,0)))</f>
        <v>0</v>
      </c>
      <c r="J48">
        <f ca="1">IF(AND(INDIRECT(A73&amp;ROW())=B95,INDIRECT(A96&amp;ROW())=C95),1,IF(AND(INDIRECT(A73&amp;ROW())=B95,INDIRECT(A96&amp;ROW())=C96),1,0))</f>
        <v>1</v>
      </c>
      <c r="K48">
        <f ca="1">DAYS360(INDIRECT(C68&amp;ROW()),TODAY())</f>
        <v>688</v>
      </c>
      <c r="L48">
        <f ca="1">DAYS360(INDIRECT(C69&amp;ROW()),TODAY())</f>
        <v>966</v>
      </c>
      <c r="M48" s="11">
        <f ca="1">HYPERLINK(CONCATENATE("https://bugzilla.houston.hp.com:1181/bugzilla/show_bug.cgi?id=",INDIRECT(C70&amp;ROW())),INDIRECT(C70&amp;ROW()))</f>
        <v>49164</v>
      </c>
      <c r="N48">
        <v>49164</v>
      </c>
      <c r="O48" t="s">
        <v>88</v>
      </c>
      <c r="P48" t="s">
        <v>698</v>
      </c>
      <c r="Q48" t="s">
        <v>25</v>
      </c>
      <c r="R48" t="s">
        <v>251</v>
      </c>
      <c r="S48" t="s">
        <v>253</v>
      </c>
      <c r="U48" s="6">
        <v>42159.568888888891</v>
      </c>
      <c r="V48" t="s">
        <v>18</v>
      </c>
      <c r="W48" t="s">
        <v>17</v>
      </c>
      <c r="X48" s="6">
        <v>41877.634756944448</v>
      </c>
      <c r="Y48" t="s">
        <v>120</v>
      </c>
      <c r="AB48" t="s">
        <v>201</v>
      </c>
      <c r="AC48" t="s">
        <v>121</v>
      </c>
      <c r="AD48" t="s">
        <v>222</v>
      </c>
      <c r="AE48" t="s">
        <v>240</v>
      </c>
      <c r="AG48" t="s">
        <v>121</v>
      </c>
      <c r="AH48" t="s">
        <v>64</v>
      </c>
      <c r="AI48" t="s">
        <v>121</v>
      </c>
      <c r="AJ48" t="s">
        <v>716</v>
      </c>
      <c r="AK48" t="s">
        <v>121</v>
      </c>
    </row>
    <row r="49" spans="2:37" x14ac:dyDescent="0.3">
      <c r="C49">
        <f ca="1">SUM(C42:C48)</f>
        <v>0</v>
      </c>
      <c r="I49">
        <f ca="1">IF(OR(INDIRECT(A73&amp;ROW())=B93,INDIRECT(A73&amp;ROW())=B94),1,IF(AND(INDIRECT(A73&amp;ROW())=B95,INDIRECT(A96&amp;ROW())=C93),1,IF(AND(INDIRECT(A73&amp;ROW())=B95,INDIRECT(A96&amp;ROW())=C94),1,0)))</f>
        <v>1</v>
      </c>
      <c r="J49">
        <f ca="1">IF(AND(INDIRECT(A73&amp;ROW())=B95,INDIRECT(A96&amp;ROW())=C95),1,IF(AND(INDIRECT(A73&amp;ROW())=B95,INDIRECT(A96&amp;ROW())=C96),1,0))</f>
        <v>0</v>
      </c>
      <c r="K49">
        <f ca="1">DAYS360(INDIRECT(C68&amp;ROW()),TODAY())</f>
        <v>689</v>
      </c>
      <c r="L49">
        <f ca="1">DAYS360(INDIRECT(C69&amp;ROW()),TODAY())</f>
        <v>966</v>
      </c>
      <c r="M49" s="11">
        <f ca="1">HYPERLINK(CONCATENATE("https://bugzilla.houston.hp.com:1181/bugzilla/show_bug.cgi?id=",INDIRECT(C70&amp;ROW())),INDIRECT(C70&amp;ROW()))</f>
        <v>49170</v>
      </c>
      <c r="N49">
        <v>49170</v>
      </c>
      <c r="O49" t="s">
        <v>53</v>
      </c>
      <c r="P49" t="s">
        <v>697</v>
      </c>
      <c r="Q49" t="s">
        <v>39</v>
      </c>
      <c r="R49" t="s">
        <v>251</v>
      </c>
      <c r="S49" t="s">
        <v>53</v>
      </c>
      <c r="U49" s="6">
        <v>42158.118113425924</v>
      </c>
      <c r="V49" t="s">
        <v>18</v>
      </c>
      <c r="W49" t="s">
        <v>17</v>
      </c>
      <c r="X49" s="6">
        <v>41877.706018518518</v>
      </c>
      <c r="Y49" t="s">
        <v>793</v>
      </c>
      <c r="AB49" t="s">
        <v>201</v>
      </c>
      <c r="AC49" t="s">
        <v>121</v>
      </c>
      <c r="AD49" t="s">
        <v>220</v>
      </c>
      <c r="AE49" t="s">
        <v>219</v>
      </c>
      <c r="AG49" t="s">
        <v>121</v>
      </c>
      <c r="AH49" t="s">
        <v>327</v>
      </c>
      <c r="AI49" t="s">
        <v>121</v>
      </c>
      <c r="AJ49" t="s">
        <v>715</v>
      </c>
      <c r="AK49" t="s">
        <v>121</v>
      </c>
    </row>
    <row r="50" spans="2:37" x14ac:dyDescent="0.3">
      <c r="C50" s="1">
        <f ca="1">SUM(C49,C41)</f>
        <v>103</v>
      </c>
      <c r="I50">
        <f ca="1">IF(OR(INDIRECT(A73&amp;ROW())=B93,INDIRECT(A73&amp;ROW())=B94),1,IF(AND(INDIRECT(A73&amp;ROW())=B95,INDIRECT(A96&amp;ROW())=C93),1,IF(AND(INDIRECT(A73&amp;ROW())=B95,INDIRECT(A96&amp;ROW())=C94),1,0)))</f>
        <v>0</v>
      </c>
      <c r="J50">
        <f ca="1">IF(AND(INDIRECT(A73&amp;ROW())=B95,INDIRECT(A96&amp;ROW())=C95),1,IF(AND(INDIRECT(A73&amp;ROW())=B95,INDIRECT(A96&amp;ROW())=C96),1,0))</f>
        <v>0</v>
      </c>
      <c r="K50">
        <f ca="1">DAYS360(INDIRECT(C68&amp;ROW()),TODAY())</f>
        <v>728</v>
      </c>
      <c r="L50">
        <f ca="1">DAYS360(INDIRECT(C69&amp;ROW()),TODAY())</f>
        <v>965</v>
      </c>
      <c r="M50" s="11">
        <f ca="1">HYPERLINK(CONCATENATE("https://bugzilla.houston.hp.com:1181/bugzilla/show_bug.cgi?id=",INDIRECT(C70&amp;ROW())),INDIRECT(C70&amp;ROW()))</f>
        <v>49234</v>
      </c>
      <c r="N50">
        <v>49234</v>
      </c>
      <c r="O50" t="s">
        <v>56</v>
      </c>
      <c r="P50" t="s">
        <v>696</v>
      </c>
      <c r="Q50" t="s">
        <v>16</v>
      </c>
      <c r="R50" t="s">
        <v>251</v>
      </c>
      <c r="S50" t="s">
        <v>68</v>
      </c>
      <c r="U50" s="6">
        <v>42118.559942129628</v>
      </c>
      <c r="V50" t="s">
        <v>18</v>
      </c>
      <c r="W50" t="s">
        <v>17</v>
      </c>
      <c r="X50" s="6">
        <v>41878.6874537037</v>
      </c>
      <c r="Y50" t="s">
        <v>122</v>
      </c>
      <c r="AB50" t="s">
        <v>201</v>
      </c>
      <c r="AC50" t="s">
        <v>121</v>
      </c>
      <c r="AD50" t="s">
        <v>220</v>
      </c>
      <c r="AE50" t="s">
        <v>219</v>
      </c>
      <c r="AG50" t="s">
        <v>121</v>
      </c>
      <c r="AH50" t="s">
        <v>327</v>
      </c>
      <c r="AI50" t="s">
        <v>121</v>
      </c>
      <c r="AJ50" t="s">
        <v>717</v>
      </c>
      <c r="AK50" t="s">
        <v>121</v>
      </c>
    </row>
    <row r="51" spans="2:37" x14ac:dyDescent="0.3">
      <c r="I51">
        <f ca="1">IF(OR(INDIRECT(A73&amp;ROW())=B93,INDIRECT(A73&amp;ROW())=B94),1,IF(AND(INDIRECT(A73&amp;ROW())=B95,INDIRECT(A96&amp;ROW())=C93),1,IF(AND(INDIRECT(A73&amp;ROW())=B95,INDIRECT(A96&amp;ROW())=C94),1,0)))</f>
        <v>0</v>
      </c>
      <c r="J51">
        <f ca="1">IF(AND(INDIRECT(A73&amp;ROW())=B95,INDIRECT(A96&amp;ROW())=C95),1,IF(AND(INDIRECT(A73&amp;ROW())=B95,INDIRECT(A96&amp;ROW())=C96),1,0))</f>
        <v>0</v>
      </c>
      <c r="K51">
        <f ca="1">DAYS360(INDIRECT(C68&amp;ROW()),TODAY())</f>
        <v>721</v>
      </c>
      <c r="L51">
        <f ca="1">DAYS360(INDIRECT(C69&amp;ROW()),TODAY())</f>
        <v>964</v>
      </c>
      <c r="M51" s="11">
        <f ca="1">HYPERLINK(CONCATENATE("https://bugzilla.houston.hp.com:1181/bugzilla/show_bug.cgi?id=",INDIRECT(C70&amp;ROW())),INDIRECT(C70&amp;ROW()))</f>
        <v>49291</v>
      </c>
      <c r="N51">
        <v>49291</v>
      </c>
      <c r="O51" t="s">
        <v>88</v>
      </c>
      <c r="P51" t="s">
        <v>443</v>
      </c>
      <c r="Q51" t="s">
        <v>16</v>
      </c>
      <c r="R51" t="s">
        <v>251</v>
      </c>
      <c r="S51" t="s">
        <v>294</v>
      </c>
      <c r="U51" s="6">
        <v>42125.445208333331</v>
      </c>
      <c r="V51" t="s">
        <v>18</v>
      </c>
      <c r="W51" t="s">
        <v>17</v>
      </c>
      <c r="X51" s="6">
        <v>41879.510150462964</v>
      </c>
      <c r="Y51" t="s">
        <v>122</v>
      </c>
      <c r="AB51" t="s">
        <v>200</v>
      </c>
      <c r="AC51" t="s">
        <v>121</v>
      </c>
      <c r="AD51" t="s">
        <v>222</v>
      </c>
      <c r="AE51" t="s">
        <v>221</v>
      </c>
      <c r="AG51" t="s">
        <v>121</v>
      </c>
      <c r="AH51" t="s">
        <v>64</v>
      </c>
      <c r="AI51" t="s">
        <v>121</v>
      </c>
      <c r="AJ51" t="s">
        <v>716</v>
      </c>
      <c r="AK51" t="s">
        <v>121</v>
      </c>
    </row>
    <row r="52" spans="2:37" x14ac:dyDescent="0.3">
      <c r="B52" t="s">
        <v>93</v>
      </c>
      <c r="E52" t="s">
        <v>92</v>
      </c>
      <c r="I52">
        <f ca="1">IF(OR(INDIRECT(A73&amp;ROW())=B93,INDIRECT(A73&amp;ROW())=B94),1,IF(AND(INDIRECT(A73&amp;ROW())=B95,INDIRECT(A96&amp;ROW())=C93),1,IF(AND(INDIRECT(A73&amp;ROW())=B95,INDIRECT(A96&amp;ROW())=C94),1,0)))</f>
        <v>0</v>
      </c>
      <c r="J52">
        <f ca="1">IF(AND(INDIRECT(A73&amp;ROW())=B95,INDIRECT(A96&amp;ROW())=C95),1,IF(AND(INDIRECT(A73&amp;ROW())=B95,INDIRECT(A96&amp;ROW())=C96),1,0))</f>
        <v>0</v>
      </c>
      <c r="K52">
        <f ca="1">DAYS360(INDIRECT(C68&amp;ROW()),TODAY())</f>
        <v>721</v>
      </c>
      <c r="L52">
        <f ca="1">DAYS360(INDIRECT(C69&amp;ROW()),TODAY())</f>
        <v>964</v>
      </c>
      <c r="M52" s="11">
        <f ca="1">HYPERLINK(CONCATENATE("https://bugzilla.houston.hp.com:1181/bugzilla/show_bug.cgi?id=",INDIRECT(C70&amp;ROW())),INDIRECT(C70&amp;ROW()))</f>
        <v>49317</v>
      </c>
      <c r="N52">
        <v>49317</v>
      </c>
      <c r="O52" t="s">
        <v>22</v>
      </c>
      <c r="P52" t="s">
        <v>442</v>
      </c>
      <c r="Q52" t="s">
        <v>16</v>
      </c>
      <c r="R52" t="s">
        <v>251</v>
      </c>
      <c r="S52" t="s">
        <v>65</v>
      </c>
      <c r="U52" s="6">
        <v>42125.4452662037</v>
      </c>
      <c r="V52" t="s">
        <v>18</v>
      </c>
      <c r="W52" t="s">
        <v>17</v>
      </c>
      <c r="X52" s="6">
        <v>41879.637557870374</v>
      </c>
      <c r="Y52" t="s">
        <v>122</v>
      </c>
      <c r="AB52" t="s">
        <v>200</v>
      </c>
      <c r="AC52" t="s">
        <v>121</v>
      </c>
      <c r="AD52" t="s">
        <v>220</v>
      </c>
      <c r="AE52" t="s">
        <v>223</v>
      </c>
      <c r="AG52" t="s">
        <v>121</v>
      </c>
      <c r="AH52" t="s">
        <v>64</v>
      </c>
      <c r="AI52" t="s">
        <v>121</v>
      </c>
      <c r="AJ52" t="s">
        <v>716</v>
      </c>
      <c r="AK52" t="s">
        <v>121</v>
      </c>
    </row>
    <row r="53" spans="2:37" x14ac:dyDescent="0.3">
      <c r="B53">
        <f ca="1">COUNTIFS(INDIRECT(A74&amp;A67):INDIRECT(A74&amp;A66),  "&lt;30")</f>
        <v>0</v>
      </c>
      <c r="C53" t="s">
        <v>80</v>
      </c>
      <c r="E53">
        <f ca="1">COUNTIFS(INDIRECT(A75&amp;A67):INDIRECT(A75&amp;A66),  "&lt;30")</f>
        <v>0</v>
      </c>
      <c r="I53">
        <f ca="1">IF(OR(INDIRECT(A73&amp;ROW())=B93,INDIRECT(A73&amp;ROW())=B94),1,IF(AND(INDIRECT(A73&amp;ROW())=B95,INDIRECT(A96&amp;ROW())=C93),1,IF(AND(INDIRECT(A73&amp;ROW())=B95,INDIRECT(A96&amp;ROW())=C94),1,0)))</f>
        <v>0</v>
      </c>
      <c r="J53">
        <f ca="1">IF(AND(INDIRECT(A73&amp;ROW())=B95,INDIRECT(A96&amp;ROW())=C95),1,IF(AND(INDIRECT(A73&amp;ROW())=B95,INDIRECT(A96&amp;ROW())=C96),1,0))</f>
        <v>0</v>
      </c>
      <c r="K53">
        <f ca="1">DAYS360(INDIRECT(C68&amp;ROW()),TODAY())</f>
        <v>721</v>
      </c>
      <c r="L53">
        <f ca="1">DAYS360(INDIRECT(C69&amp;ROW()),TODAY())</f>
        <v>964</v>
      </c>
      <c r="M53" s="11">
        <f ca="1">HYPERLINK(CONCATENATE("https://bugzilla.houston.hp.com:1181/bugzilla/show_bug.cgi?id=",INDIRECT(C70&amp;ROW())),INDIRECT(C70&amp;ROW()))</f>
        <v>49327</v>
      </c>
      <c r="N53">
        <v>49327</v>
      </c>
      <c r="O53" t="s">
        <v>49</v>
      </c>
      <c r="P53" t="s">
        <v>441</v>
      </c>
      <c r="Q53" t="s">
        <v>16</v>
      </c>
      <c r="R53" t="s">
        <v>251</v>
      </c>
      <c r="S53" t="s">
        <v>294</v>
      </c>
      <c r="U53" s="6">
        <v>42125.445185185185</v>
      </c>
      <c r="V53" t="s">
        <v>18</v>
      </c>
      <c r="W53" t="s">
        <v>17</v>
      </c>
      <c r="X53" s="6">
        <v>41879.789236111108</v>
      </c>
      <c r="Y53" t="s">
        <v>122</v>
      </c>
      <c r="AB53" t="s">
        <v>200</v>
      </c>
      <c r="AC53" t="s">
        <v>121</v>
      </c>
      <c r="AD53" t="s">
        <v>222</v>
      </c>
      <c r="AE53" t="s">
        <v>221</v>
      </c>
      <c r="AG53" t="s">
        <v>121</v>
      </c>
      <c r="AH53" t="s">
        <v>64</v>
      </c>
      <c r="AI53" t="s">
        <v>121</v>
      </c>
      <c r="AJ53" t="s">
        <v>716</v>
      </c>
      <c r="AK53" t="s">
        <v>121</v>
      </c>
    </row>
    <row r="54" spans="2:37" x14ac:dyDescent="0.3">
      <c r="B54">
        <f ca="1">COUNTIFS(INDIRECT(A74&amp;A67):INDIRECT(A74&amp;A66),  "&gt;=30", INDIRECT(A74&amp;A67):INDIRECT(A74&amp;A66),"&lt;60")</f>
        <v>0</v>
      </c>
      <c r="C54" t="s">
        <v>81</v>
      </c>
      <c r="E54">
        <f ca="1">COUNTIFS(INDIRECT(A75&amp;A67):INDIRECT(A75&amp;A66),  "&gt;=30", INDIRECT(A75&amp;A67):INDIRECT(A75&amp;A66),"&lt;60")</f>
        <v>0</v>
      </c>
      <c r="I54">
        <f ca="1">IF(OR(INDIRECT(A73&amp;ROW())=B93,INDIRECT(A73&amp;ROW())=B94),1,IF(AND(INDIRECT(A73&amp;ROW())=B95,INDIRECT(A96&amp;ROW())=C93),1,IF(AND(INDIRECT(A73&amp;ROW())=B95,INDIRECT(A96&amp;ROW())=C94),1,0)))</f>
        <v>0</v>
      </c>
      <c r="J54">
        <f ca="1">IF(AND(INDIRECT(A73&amp;ROW())=B95,INDIRECT(A96&amp;ROW())=C95),1,IF(AND(INDIRECT(A73&amp;ROW())=B95,INDIRECT(A96&amp;ROW())=C96),1,0))</f>
        <v>0</v>
      </c>
      <c r="K54">
        <f ca="1">DAYS360(INDIRECT(C68&amp;ROW()),TODAY())</f>
        <v>721</v>
      </c>
      <c r="L54">
        <f ca="1">DAYS360(INDIRECT(C69&amp;ROW()),TODAY())</f>
        <v>964</v>
      </c>
      <c r="M54" s="11">
        <f ca="1">HYPERLINK(CONCATENATE("https://bugzilla.houston.hp.com:1181/bugzilla/show_bug.cgi?id=",INDIRECT(C70&amp;ROW())),INDIRECT(C70&amp;ROW()))</f>
        <v>49328</v>
      </c>
      <c r="N54">
        <v>49328</v>
      </c>
      <c r="O54" t="s">
        <v>49</v>
      </c>
      <c r="P54" t="s">
        <v>440</v>
      </c>
      <c r="Q54" t="s">
        <v>16</v>
      </c>
      <c r="R54" t="s">
        <v>251</v>
      </c>
      <c r="S54" t="s">
        <v>294</v>
      </c>
      <c r="U54" s="6">
        <v>42125.445104166669</v>
      </c>
      <c r="V54" t="s">
        <v>35</v>
      </c>
      <c r="W54" t="s">
        <v>17</v>
      </c>
      <c r="X54" s="6">
        <v>41879.801539351851</v>
      </c>
      <c r="Y54" t="s">
        <v>122</v>
      </c>
      <c r="AB54" t="s">
        <v>200</v>
      </c>
      <c r="AC54" t="s">
        <v>121</v>
      </c>
      <c r="AD54" t="s">
        <v>222</v>
      </c>
      <c r="AE54" t="s">
        <v>221</v>
      </c>
      <c r="AG54" t="s">
        <v>121</v>
      </c>
      <c r="AH54" t="s">
        <v>64</v>
      </c>
      <c r="AI54" t="s">
        <v>121</v>
      </c>
      <c r="AJ54" t="s">
        <v>716</v>
      </c>
      <c r="AK54" t="s">
        <v>121</v>
      </c>
    </row>
    <row r="55" spans="2:37" x14ac:dyDescent="0.3">
      <c r="B55">
        <f ca="1">COUNTIFS(INDIRECT(A74&amp;A67):INDIRECT(A74&amp;A66),  "&gt;=60", INDIRECT(A74&amp;A67):INDIRECT(A74&amp;A66),"&lt;90")</f>
        <v>0</v>
      </c>
      <c r="C55" t="s">
        <v>82</v>
      </c>
      <c r="E55">
        <f ca="1">COUNTIFS(INDIRECT(A75&amp;A67):INDIRECT(A75&amp;A66),  "&gt;=60", INDIRECT(A75&amp;A67):INDIRECT(A75&amp;A66),"&lt;90")</f>
        <v>0</v>
      </c>
      <c r="I55">
        <f ca="1">IF(OR(INDIRECT(A73&amp;ROW())=B93,INDIRECT(A73&amp;ROW())=B94),1,IF(AND(INDIRECT(A73&amp;ROW())=B95,INDIRECT(A96&amp;ROW())=C93),1,IF(AND(INDIRECT(A73&amp;ROW())=B95,INDIRECT(A96&amp;ROW())=C94),1,0)))</f>
        <v>0</v>
      </c>
      <c r="J55">
        <f ca="1">IF(AND(INDIRECT(A73&amp;ROW())=B95,INDIRECT(A96&amp;ROW())=C95),1,IF(AND(INDIRECT(A73&amp;ROW())=B95,INDIRECT(A96&amp;ROW())=C96),1,0))</f>
        <v>0</v>
      </c>
      <c r="K55">
        <f ca="1">DAYS360(INDIRECT(C68&amp;ROW()),TODAY())</f>
        <v>721</v>
      </c>
      <c r="L55">
        <f ca="1">DAYS360(INDIRECT(C69&amp;ROW()),TODAY())</f>
        <v>964</v>
      </c>
      <c r="M55" s="11">
        <f ca="1">HYPERLINK(CONCATENATE("https://bugzilla.houston.hp.com:1181/bugzilla/show_bug.cgi?id=",INDIRECT(C70&amp;ROW())),INDIRECT(C70&amp;ROW()))</f>
        <v>49329</v>
      </c>
      <c r="N55">
        <v>49329</v>
      </c>
      <c r="O55" t="s">
        <v>49</v>
      </c>
      <c r="P55" t="s">
        <v>439</v>
      </c>
      <c r="Q55" t="s">
        <v>16</v>
      </c>
      <c r="R55" t="s">
        <v>251</v>
      </c>
      <c r="S55" t="s">
        <v>294</v>
      </c>
      <c r="U55" s="6">
        <v>42125.445243055554</v>
      </c>
      <c r="V55" t="s">
        <v>40</v>
      </c>
      <c r="W55" t="s">
        <v>17</v>
      </c>
      <c r="X55" s="6">
        <v>41879.824189814812</v>
      </c>
      <c r="Y55" t="s">
        <v>122</v>
      </c>
      <c r="AB55" t="s">
        <v>200</v>
      </c>
      <c r="AC55" t="s">
        <v>121</v>
      </c>
      <c r="AD55" t="s">
        <v>222</v>
      </c>
      <c r="AE55" t="s">
        <v>221</v>
      </c>
      <c r="AG55" t="s">
        <v>121</v>
      </c>
      <c r="AH55" t="s">
        <v>327</v>
      </c>
      <c r="AI55" t="s">
        <v>121</v>
      </c>
      <c r="AJ55" t="s">
        <v>716</v>
      </c>
      <c r="AK55" t="s">
        <v>121</v>
      </c>
    </row>
    <row r="56" spans="2:37" x14ac:dyDescent="0.3">
      <c r="B56">
        <f ca="1">COUNTIFS(INDIRECT(A74&amp;A67):INDIRECT(A74&amp;A66),  "&gt;=90", INDIRECT(A74&amp;A67):INDIRECT(A74&amp;A66),"&lt;120")</f>
        <v>0</v>
      </c>
      <c r="C56" t="s">
        <v>83</v>
      </c>
      <c r="E56">
        <f ca="1">COUNTIFS(INDIRECT(A75&amp;A67):INDIRECT(A75&amp;A66),  "&gt;=90", INDIRECT(A75&amp;A67):INDIRECT(A75&amp;A66),"&lt;120")</f>
        <v>0</v>
      </c>
      <c r="I56">
        <f ca="1">IF(OR(INDIRECT(A73&amp;ROW())=B93,INDIRECT(A73&amp;ROW())=B94),1,IF(AND(INDIRECT(A73&amp;ROW())=B95,INDIRECT(A96&amp;ROW())=C93),1,IF(AND(INDIRECT(A73&amp;ROW())=B95,INDIRECT(A96&amp;ROW())=C94),1,0)))</f>
        <v>0</v>
      </c>
      <c r="J56">
        <f ca="1">IF(AND(INDIRECT(A73&amp;ROW())=B95,INDIRECT(A96&amp;ROW())=C95),1,IF(AND(INDIRECT(A73&amp;ROW())=B95,INDIRECT(A96&amp;ROW())=C96),1,0))</f>
        <v>0</v>
      </c>
      <c r="K56">
        <f ca="1">DAYS360(INDIRECT(C68&amp;ROW()),TODAY())</f>
        <v>721</v>
      </c>
      <c r="L56">
        <f ca="1">DAYS360(INDIRECT(C69&amp;ROW()),TODAY())</f>
        <v>964</v>
      </c>
      <c r="M56" s="11">
        <f ca="1">HYPERLINK(CONCATENATE("https://bugzilla.houston.hp.com:1181/bugzilla/show_bug.cgi?id=",INDIRECT(C70&amp;ROW())),INDIRECT(C70&amp;ROW()))</f>
        <v>49330</v>
      </c>
      <c r="N56">
        <v>49330</v>
      </c>
      <c r="O56" t="s">
        <v>49</v>
      </c>
      <c r="P56" t="s">
        <v>438</v>
      </c>
      <c r="Q56" t="s">
        <v>16</v>
      </c>
      <c r="R56" t="s">
        <v>251</v>
      </c>
      <c r="S56" t="s">
        <v>294</v>
      </c>
      <c r="U56" s="6">
        <v>42125.445231481484</v>
      </c>
      <c r="V56" t="s">
        <v>18</v>
      </c>
      <c r="W56" t="s">
        <v>17</v>
      </c>
      <c r="X56" s="6">
        <v>41879.830439814818</v>
      </c>
      <c r="Y56" t="s">
        <v>122</v>
      </c>
      <c r="AB56" t="s">
        <v>200</v>
      </c>
      <c r="AC56" t="s">
        <v>121</v>
      </c>
      <c r="AD56" t="s">
        <v>222</v>
      </c>
      <c r="AE56" t="s">
        <v>221</v>
      </c>
      <c r="AG56" t="s">
        <v>121</v>
      </c>
      <c r="AH56" t="s">
        <v>327</v>
      </c>
      <c r="AI56" t="s">
        <v>121</v>
      </c>
      <c r="AJ56" t="s">
        <v>716</v>
      </c>
      <c r="AK56" t="s">
        <v>121</v>
      </c>
    </row>
    <row r="57" spans="2:37" x14ac:dyDescent="0.3">
      <c r="B57">
        <f ca="1">COUNTIFS(INDIRECT(A74&amp;A67):INDIRECT(A74&amp;A66),  "&gt;=120", INDIRECT(A74&amp;A67):INDIRECT(A74&amp;A66),"&lt;150")</f>
        <v>0</v>
      </c>
      <c r="C57" t="s">
        <v>84</v>
      </c>
      <c r="E57">
        <f ca="1">COUNTIFS(INDIRECT(A75&amp;A67):INDIRECT(A75&amp;A66),  "&gt;=120", INDIRECT(A75&amp;A67):INDIRECT(A75&amp;A66),"&lt;150")</f>
        <v>0</v>
      </c>
      <c r="I57">
        <f ca="1">IF(OR(INDIRECT(A73&amp;ROW())=B93,INDIRECT(A73&amp;ROW())=B94),1,IF(AND(INDIRECT(A73&amp;ROW())=B95,INDIRECT(A96&amp;ROW())=C93),1,IF(AND(INDIRECT(A73&amp;ROW())=B95,INDIRECT(A96&amp;ROW())=C94),1,0)))</f>
        <v>0</v>
      </c>
      <c r="J57">
        <f ca="1">IF(AND(INDIRECT(A73&amp;ROW())=B95,INDIRECT(A96&amp;ROW())=C95),1,IF(AND(INDIRECT(A73&amp;ROW())=B95,INDIRECT(A96&amp;ROW())=C96),1,0))</f>
        <v>0</v>
      </c>
      <c r="K57">
        <f ca="1">DAYS360(INDIRECT(C68&amp;ROW()),TODAY())</f>
        <v>721</v>
      </c>
      <c r="L57">
        <f ca="1">DAYS360(INDIRECT(C69&amp;ROW()),TODAY())</f>
        <v>964</v>
      </c>
      <c r="M57" s="11">
        <f ca="1">HYPERLINK(CONCATENATE("https://bugzilla.houston.hp.com:1181/bugzilla/show_bug.cgi?id=",INDIRECT(C70&amp;ROW())),INDIRECT(C70&amp;ROW()))</f>
        <v>49332</v>
      </c>
      <c r="N57">
        <v>49332</v>
      </c>
      <c r="O57" t="s">
        <v>49</v>
      </c>
      <c r="P57" t="s">
        <v>437</v>
      </c>
      <c r="Q57" t="s">
        <v>16</v>
      </c>
      <c r="R57" t="s">
        <v>251</v>
      </c>
      <c r="S57" t="s">
        <v>294</v>
      </c>
      <c r="U57" s="6">
        <v>42125.445173611108</v>
      </c>
      <c r="V57" t="s">
        <v>18</v>
      </c>
      <c r="W57" t="s">
        <v>17</v>
      </c>
      <c r="X57" s="6">
        <v>41879.843773148146</v>
      </c>
      <c r="Y57" t="s">
        <v>122</v>
      </c>
      <c r="AB57" t="s">
        <v>200</v>
      </c>
      <c r="AC57" t="s">
        <v>121</v>
      </c>
      <c r="AD57" t="s">
        <v>222</v>
      </c>
      <c r="AE57" t="s">
        <v>221</v>
      </c>
      <c r="AG57" t="s">
        <v>121</v>
      </c>
      <c r="AH57" t="s">
        <v>327</v>
      </c>
      <c r="AI57" t="s">
        <v>121</v>
      </c>
      <c r="AJ57" t="s">
        <v>716</v>
      </c>
      <c r="AK57" t="s">
        <v>121</v>
      </c>
    </row>
    <row r="58" spans="2:37" x14ac:dyDescent="0.3">
      <c r="B58">
        <f ca="1">COUNTIFS(INDIRECT(A74&amp;A67):INDIRECT(A74&amp;A66),  "&gt;=150")</f>
        <v>694</v>
      </c>
      <c r="C58" t="s">
        <v>85</v>
      </c>
      <c r="E58">
        <f ca="1">COUNTIFS(INDIRECT(A75&amp;A67):INDIRECT(A75&amp;A66),  "&gt;=150")</f>
        <v>694</v>
      </c>
      <c r="I58">
        <f ca="1">IF(OR(INDIRECT(A73&amp;ROW())=B93,INDIRECT(A73&amp;ROW())=B94),1,IF(AND(INDIRECT(A73&amp;ROW())=B95,INDIRECT(A96&amp;ROW())=C93),1,IF(AND(INDIRECT(A73&amp;ROW())=B95,INDIRECT(A96&amp;ROW())=C94),1,0)))</f>
        <v>0</v>
      </c>
      <c r="J58">
        <f ca="1">IF(AND(INDIRECT(A73&amp;ROW())=B95,INDIRECT(A96&amp;ROW())=C95),1,IF(AND(INDIRECT(A73&amp;ROW())=B95,INDIRECT(A96&amp;ROW())=C96),1,0))</f>
        <v>0</v>
      </c>
      <c r="K58">
        <f ca="1">DAYS360(INDIRECT(C68&amp;ROW()),TODAY())</f>
        <v>721</v>
      </c>
      <c r="L58">
        <f ca="1">DAYS360(INDIRECT(C69&amp;ROW()),TODAY())</f>
        <v>961</v>
      </c>
      <c r="M58" s="11">
        <f ca="1">HYPERLINK(CONCATENATE("https://bugzilla.houston.hp.com:1181/bugzilla/show_bug.cgi?id=",INDIRECT(C70&amp;ROW())),INDIRECT(C70&amp;ROW()))</f>
        <v>49412</v>
      </c>
      <c r="N58">
        <v>49412</v>
      </c>
      <c r="O58" t="s">
        <v>53</v>
      </c>
      <c r="P58" t="s">
        <v>695</v>
      </c>
      <c r="Q58" t="s">
        <v>16</v>
      </c>
      <c r="R58" t="s">
        <v>251</v>
      </c>
      <c r="S58" t="s">
        <v>43</v>
      </c>
      <c r="U58" s="6">
        <v>42125.445277777777</v>
      </c>
      <c r="V58" t="s">
        <v>18</v>
      </c>
      <c r="W58" t="s">
        <v>17</v>
      </c>
      <c r="X58" s="6">
        <v>41883.474710648145</v>
      </c>
      <c r="Y58" t="s">
        <v>122</v>
      </c>
      <c r="AB58" t="s">
        <v>200</v>
      </c>
      <c r="AC58" t="s">
        <v>121</v>
      </c>
      <c r="AD58" t="s">
        <v>220</v>
      </c>
      <c r="AE58" t="s">
        <v>219</v>
      </c>
      <c r="AG58" t="s">
        <v>121</v>
      </c>
      <c r="AH58" t="s">
        <v>327</v>
      </c>
      <c r="AI58" t="s">
        <v>121</v>
      </c>
      <c r="AJ58" t="s">
        <v>716</v>
      </c>
      <c r="AK58" t="s">
        <v>121</v>
      </c>
    </row>
    <row r="59" spans="2:37" x14ac:dyDescent="0.3">
      <c r="B59">
        <f ca="1">SUM(B53:B58)</f>
        <v>694</v>
      </c>
      <c r="E59">
        <f ca="1">SUM(E53:E58)</f>
        <v>694</v>
      </c>
      <c r="I59">
        <f ca="1">IF(OR(INDIRECT(A73&amp;ROW())=B93,INDIRECT(A73&amp;ROW())=B94),1,IF(AND(INDIRECT(A73&amp;ROW())=B95,INDIRECT(A96&amp;ROW())=C93),1,IF(AND(INDIRECT(A73&amp;ROW())=B95,INDIRECT(A96&amp;ROW())=C94),1,0)))</f>
        <v>0</v>
      </c>
      <c r="J59">
        <f ca="1">IF(AND(INDIRECT(A73&amp;ROW())=B95,INDIRECT(A96&amp;ROW())=C95),1,IF(AND(INDIRECT(A73&amp;ROW())=B95,INDIRECT(A96&amp;ROW())=C96),1,0))</f>
        <v>0</v>
      </c>
      <c r="K59">
        <f ca="1">DAYS360(INDIRECT(C68&amp;ROW()),TODAY())</f>
        <v>721</v>
      </c>
      <c r="L59">
        <f ca="1">DAYS360(INDIRECT(C69&amp;ROW()),TODAY())</f>
        <v>959</v>
      </c>
      <c r="M59" s="11">
        <f ca="1">HYPERLINK(CONCATENATE("https://bugzilla.houston.hp.com:1181/bugzilla/show_bug.cgi?id=",INDIRECT(C70&amp;ROW())),INDIRECT(C70&amp;ROW()))</f>
        <v>49537</v>
      </c>
      <c r="N59">
        <v>49537</v>
      </c>
      <c r="O59" t="s">
        <v>22</v>
      </c>
      <c r="P59" t="s">
        <v>694</v>
      </c>
      <c r="Q59" t="s">
        <v>16</v>
      </c>
      <c r="R59" t="s">
        <v>251</v>
      </c>
      <c r="S59" t="s">
        <v>21</v>
      </c>
      <c r="U59" s="6">
        <v>42125.445138888892</v>
      </c>
      <c r="V59" t="s">
        <v>18</v>
      </c>
      <c r="W59" t="s">
        <v>17</v>
      </c>
      <c r="X59" s="6">
        <v>41885.440613425926</v>
      </c>
      <c r="Y59" t="s">
        <v>122</v>
      </c>
      <c r="AB59" t="s">
        <v>200</v>
      </c>
      <c r="AC59" t="s">
        <v>121</v>
      </c>
      <c r="AD59" t="s">
        <v>227</v>
      </c>
      <c r="AE59" t="s">
        <v>226</v>
      </c>
      <c r="AG59" t="s">
        <v>121</v>
      </c>
      <c r="AH59" t="s">
        <v>64</v>
      </c>
      <c r="AI59" t="s">
        <v>121</v>
      </c>
      <c r="AJ59" t="s">
        <v>716</v>
      </c>
      <c r="AK59" t="s">
        <v>121</v>
      </c>
    </row>
    <row r="60" spans="2:37" x14ac:dyDescent="0.3">
      <c r="I60">
        <f ca="1">IF(OR(INDIRECT(A73&amp;ROW())=B93,INDIRECT(A73&amp;ROW())=B94),1,IF(AND(INDIRECT(A73&amp;ROW())=B95,INDIRECT(A96&amp;ROW())=C93),1,IF(AND(INDIRECT(A73&amp;ROW())=B95,INDIRECT(A96&amp;ROW())=C94),1,0)))</f>
        <v>0</v>
      </c>
      <c r="J60">
        <f ca="1">IF(AND(INDIRECT(A73&amp;ROW())=B95,INDIRECT(A96&amp;ROW())=C95),1,IF(AND(INDIRECT(A73&amp;ROW())=B95,INDIRECT(A96&amp;ROW())=C96),1,0))</f>
        <v>0</v>
      </c>
      <c r="K60">
        <f ca="1">DAYS360(INDIRECT(C68&amp;ROW()),TODAY())</f>
        <v>721</v>
      </c>
      <c r="L60">
        <f ca="1">DAYS360(INDIRECT(C69&amp;ROW()),TODAY())</f>
        <v>954</v>
      </c>
      <c r="M60" s="11">
        <f ca="1">HYPERLINK(CONCATENATE("https://bugzilla.houston.hp.com:1181/bugzilla/show_bug.cgi?id=",INDIRECT(C70&amp;ROW())),INDIRECT(C70&amp;ROW()))</f>
        <v>49712</v>
      </c>
      <c r="N60">
        <v>49712</v>
      </c>
      <c r="O60" t="s">
        <v>88</v>
      </c>
      <c r="P60" t="s">
        <v>693</v>
      </c>
      <c r="Q60" t="s">
        <v>16</v>
      </c>
      <c r="R60" t="s">
        <v>251</v>
      </c>
      <c r="S60" t="s">
        <v>315</v>
      </c>
      <c r="U60" s="6">
        <v>42125.446435185186</v>
      </c>
      <c r="V60" t="s">
        <v>18</v>
      </c>
      <c r="W60" t="s">
        <v>17</v>
      </c>
      <c r="X60" s="6">
        <v>41890.225023148145</v>
      </c>
      <c r="Y60" t="s">
        <v>122</v>
      </c>
      <c r="AA60" t="s">
        <v>184</v>
      </c>
      <c r="AB60" t="s">
        <v>200</v>
      </c>
      <c r="AC60" t="s">
        <v>121</v>
      </c>
      <c r="AD60" t="s">
        <v>220</v>
      </c>
      <c r="AE60" t="s">
        <v>219</v>
      </c>
      <c r="AG60" t="s">
        <v>121</v>
      </c>
      <c r="AH60" t="s">
        <v>64</v>
      </c>
      <c r="AI60" t="s">
        <v>121</v>
      </c>
      <c r="AJ60" t="s">
        <v>716</v>
      </c>
      <c r="AK60" t="s">
        <v>121</v>
      </c>
    </row>
    <row r="61" spans="2:37" x14ac:dyDescent="0.3">
      <c r="B61" s="14">
        <f ca="1">AVERAGE(INDIRECT(A74&amp;A67):INDIRECT(A74&amp;A66))</f>
        <v>710.44668587896251</v>
      </c>
      <c r="C61" t="s">
        <v>91</v>
      </c>
      <c r="E61" s="14">
        <f ca="1">AVERAGE(INDIRECT(A75&amp;A67):INDIRECT(A75&amp;A66))</f>
        <v>801.7103746397695</v>
      </c>
      <c r="I61">
        <f ca="1">IF(OR(INDIRECT(A73&amp;ROW())=B93,INDIRECT(A73&amp;ROW())=B94),1,IF(AND(INDIRECT(A73&amp;ROW())=B95,INDIRECT(A96&amp;ROW())=C93),1,IF(AND(INDIRECT(A73&amp;ROW())=B95,INDIRECT(A96&amp;ROW())=C94),1,0)))</f>
        <v>0</v>
      </c>
      <c r="J61">
        <f ca="1">IF(AND(INDIRECT(A73&amp;ROW())=B95,INDIRECT(A96&amp;ROW())=C95),1,IF(AND(INDIRECT(A73&amp;ROW())=B95,INDIRECT(A96&amp;ROW())=C96),1,0))</f>
        <v>0</v>
      </c>
      <c r="K61">
        <f ca="1">DAYS360(INDIRECT(C68&amp;ROW()),TODAY())</f>
        <v>721</v>
      </c>
      <c r="L61">
        <f ca="1">DAYS360(INDIRECT(C69&amp;ROW()),TODAY())</f>
        <v>954</v>
      </c>
      <c r="M61" s="11">
        <f ca="1">HYPERLINK(CONCATENATE("https://bugzilla.houston.hp.com:1181/bugzilla/show_bug.cgi?id=",INDIRECT(C70&amp;ROW())),INDIRECT(C70&amp;ROW()))</f>
        <v>49732</v>
      </c>
      <c r="N61">
        <v>49732</v>
      </c>
      <c r="O61" t="s">
        <v>45</v>
      </c>
      <c r="P61" t="s">
        <v>474</v>
      </c>
      <c r="Q61" t="s">
        <v>16</v>
      </c>
      <c r="R61" t="s">
        <v>251</v>
      </c>
      <c r="S61" t="s">
        <v>191</v>
      </c>
      <c r="U61" s="6">
        <v>42125.649328703701</v>
      </c>
      <c r="V61" t="s">
        <v>35</v>
      </c>
      <c r="W61" t="s">
        <v>17</v>
      </c>
      <c r="X61" s="6">
        <v>41890.332835648151</v>
      </c>
      <c r="Y61" t="s">
        <v>245</v>
      </c>
      <c r="Z61" t="s">
        <v>245</v>
      </c>
      <c r="AB61" t="s">
        <v>201</v>
      </c>
      <c r="AC61" t="s">
        <v>121</v>
      </c>
      <c r="AD61" t="s">
        <v>227</v>
      </c>
      <c r="AE61" t="s">
        <v>231</v>
      </c>
      <c r="AG61" t="s">
        <v>121</v>
      </c>
      <c r="AH61" t="s">
        <v>327</v>
      </c>
      <c r="AI61" t="s">
        <v>121</v>
      </c>
      <c r="AJ61" t="s">
        <v>717</v>
      </c>
      <c r="AK61" t="s">
        <v>121</v>
      </c>
    </row>
    <row r="62" spans="2:37" x14ac:dyDescent="0.3">
      <c r="I62">
        <f ca="1">IF(OR(INDIRECT(A73&amp;ROW())=B93,INDIRECT(A73&amp;ROW())=B94),1,IF(AND(INDIRECT(A73&amp;ROW())=B95,INDIRECT(A96&amp;ROW())=C93),1,IF(AND(INDIRECT(A73&amp;ROW())=B95,INDIRECT(A96&amp;ROW())=C94),1,0)))</f>
        <v>0</v>
      </c>
      <c r="J62">
        <f ca="1">IF(AND(INDIRECT(A73&amp;ROW())=B95,INDIRECT(A96&amp;ROW())=C95),1,IF(AND(INDIRECT(A73&amp;ROW())=B95,INDIRECT(A96&amp;ROW())=C96),1,0))</f>
        <v>1</v>
      </c>
      <c r="K62">
        <f ca="1">DAYS360(INDIRECT(C68&amp;ROW()),TODAY())</f>
        <v>730</v>
      </c>
      <c r="L62">
        <f ca="1">DAYS360(INDIRECT(C69&amp;ROW()),TODAY())</f>
        <v>954</v>
      </c>
      <c r="M62" s="11">
        <f ca="1">HYPERLINK(CONCATENATE("https://bugzilla.houston.hp.com:1181/bugzilla/show_bug.cgi?id=",INDIRECT(C70&amp;ROW())),INDIRECT(C70&amp;ROW()))</f>
        <v>49740</v>
      </c>
      <c r="N62">
        <v>49740</v>
      </c>
      <c r="O62" t="s">
        <v>56</v>
      </c>
      <c r="P62" t="s">
        <v>473</v>
      </c>
      <c r="Q62" t="s">
        <v>25</v>
      </c>
      <c r="R62" t="s">
        <v>251</v>
      </c>
      <c r="S62" t="s">
        <v>41</v>
      </c>
      <c r="U62" s="6">
        <v>42116.540243055555</v>
      </c>
      <c r="V62" t="s">
        <v>35</v>
      </c>
      <c r="W62" t="s">
        <v>17</v>
      </c>
      <c r="X62" s="6">
        <v>41890.400462962964</v>
      </c>
      <c r="Y62" t="s">
        <v>119</v>
      </c>
      <c r="AB62" t="s">
        <v>201</v>
      </c>
      <c r="AC62" t="s">
        <v>121</v>
      </c>
      <c r="AD62" t="s">
        <v>220</v>
      </c>
      <c r="AE62" t="s">
        <v>219</v>
      </c>
      <c r="AF62" s="13">
        <v>41901</v>
      </c>
      <c r="AG62" t="s">
        <v>121</v>
      </c>
      <c r="AH62" t="s">
        <v>64</v>
      </c>
      <c r="AI62" t="s">
        <v>121</v>
      </c>
      <c r="AJ62" t="s">
        <v>717</v>
      </c>
      <c r="AK62" t="s">
        <v>121</v>
      </c>
    </row>
    <row r="63" spans="2:37" x14ac:dyDescent="0.3">
      <c r="I63">
        <f ca="1">IF(OR(INDIRECT(A73&amp;ROW())=B93,INDIRECT(A73&amp;ROW())=B94),1,IF(AND(INDIRECT(A73&amp;ROW())=B95,INDIRECT(A96&amp;ROW())=C93),1,IF(AND(INDIRECT(A73&amp;ROW())=B95,INDIRECT(A96&amp;ROW())=C94),1,0)))</f>
        <v>0</v>
      </c>
      <c r="J63">
        <f ca="1">IF(AND(INDIRECT(A73&amp;ROW())=B95,INDIRECT(A96&amp;ROW())=C95),1,IF(AND(INDIRECT(A73&amp;ROW())=B95,INDIRECT(A96&amp;ROW())=C96),1,0))</f>
        <v>1</v>
      </c>
      <c r="K63">
        <f ca="1">DAYS360(INDIRECT(C68&amp;ROW()),TODAY())</f>
        <v>682</v>
      </c>
      <c r="L63">
        <f ca="1">DAYS360(INDIRECT(C69&amp;ROW()),TODAY())</f>
        <v>954</v>
      </c>
      <c r="M63" s="11">
        <f ca="1">HYPERLINK(CONCATENATE("https://bugzilla.houston.hp.com:1181/bugzilla/show_bug.cgi?id=",INDIRECT(C70&amp;ROW())),INDIRECT(C70&amp;ROW()))</f>
        <v>49746</v>
      </c>
      <c r="N63">
        <v>49746</v>
      </c>
      <c r="O63" t="s">
        <v>66</v>
      </c>
      <c r="P63" t="s">
        <v>692</v>
      </c>
      <c r="Q63" t="s">
        <v>25</v>
      </c>
      <c r="R63" t="s">
        <v>251</v>
      </c>
      <c r="S63" t="s">
        <v>41</v>
      </c>
      <c r="U63" s="6">
        <v>42165.555185185185</v>
      </c>
      <c r="V63" t="s">
        <v>35</v>
      </c>
      <c r="W63" t="s">
        <v>17</v>
      </c>
      <c r="X63" s="6">
        <v>41890.412164351852</v>
      </c>
      <c r="Y63" t="s">
        <v>119</v>
      </c>
      <c r="AB63" t="s">
        <v>201</v>
      </c>
      <c r="AC63" t="s">
        <v>121</v>
      </c>
      <c r="AD63" t="s">
        <v>220</v>
      </c>
      <c r="AE63" t="s">
        <v>219</v>
      </c>
      <c r="AF63" s="13">
        <v>41901</v>
      </c>
      <c r="AG63" t="s">
        <v>121</v>
      </c>
      <c r="AH63" t="s">
        <v>327</v>
      </c>
      <c r="AI63" t="s">
        <v>121</v>
      </c>
      <c r="AJ63" t="s">
        <v>716</v>
      </c>
      <c r="AK63" t="s">
        <v>121</v>
      </c>
    </row>
    <row r="64" spans="2:37" x14ac:dyDescent="0.3">
      <c r="B64" s="11" t="s">
        <v>175</v>
      </c>
      <c r="I64">
        <f ca="1">IF(OR(INDIRECT(A73&amp;ROW())=B93,INDIRECT(A73&amp;ROW())=B94),1,IF(AND(INDIRECT(A73&amp;ROW())=B95,INDIRECT(A96&amp;ROW())=C93),1,IF(AND(INDIRECT(A73&amp;ROW())=B95,INDIRECT(A96&amp;ROW())=C94),1,0)))</f>
        <v>0</v>
      </c>
      <c r="J64">
        <f ca="1">IF(AND(INDIRECT(A73&amp;ROW())=B95,INDIRECT(A96&amp;ROW())=C95),1,IF(AND(INDIRECT(A73&amp;ROW())=B95,INDIRECT(A96&amp;ROW())=C96),1,0))</f>
        <v>0</v>
      </c>
      <c r="K64">
        <f ca="1">DAYS360(INDIRECT(C68&amp;ROW()),TODAY())</f>
        <v>728</v>
      </c>
      <c r="L64">
        <f ca="1">DAYS360(INDIRECT(C69&amp;ROW()),TODAY())</f>
        <v>951</v>
      </c>
      <c r="M64" s="11">
        <f ca="1">HYPERLINK(CONCATENATE("https://bugzilla.houston.hp.com:1181/bugzilla/show_bug.cgi?id=",INDIRECT(C70&amp;ROW())),INDIRECT(C70&amp;ROW()))</f>
        <v>49957</v>
      </c>
      <c r="N64">
        <v>49957</v>
      </c>
      <c r="O64" t="s">
        <v>56</v>
      </c>
      <c r="P64" t="s">
        <v>436</v>
      </c>
      <c r="Q64" t="s">
        <v>16</v>
      </c>
      <c r="R64" t="s">
        <v>251</v>
      </c>
      <c r="S64" t="s">
        <v>43</v>
      </c>
      <c r="U64" s="6">
        <v>42118.560312499998</v>
      </c>
      <c r="V64" t="s">
        <v>18</v>
      </c>
      <c r="W64" t="s">
        <v>17</v>
      </c>
      <c r="X64" s="6">
        <v>41893.406828703701</v>
      </c>
      <c r="Y64" t="s">
        <v>122</v>
      </c>
      <c r="AB64" t="s">
        <v>201</v>
      </c>
      <c r="AC64" t="s">
        <v>247</v>
      </c>
      <c r="AD64" t="s">
        <v>220</v>
      </c>
      <c r="AE64" t="s">
        <v>219</v>
      </c>
      <c r="AG64" t="s">
        <v>121</v>
      </c>
      <c r="AH64" t="s">
        <v>64</v>
      </c>
      <c r="AI64" t="s">
        <v>121</v>
      </c>
      <c r="AJ64" t="s">
        <v>717</v>
      </c>
      <c r="AK64" t="s">
        <v>121</v>
      </c>
    </row>
    <row r="65" spans="1:37" x14ac:dyDescent="0.3">
      <c r="I65">
        <f ca="1">IF(OR(INDIRECT(A73&amp;ROW())=B93,INDIRECT(A73&amp;ROW())=B94),1,IF(AND(INDIRECT(A73&amp;ROW())=B95,INDIRECT(A96&amp;ROW())=C93),1,IF(AND(INDIRECT(A73&amp;ROW())=B95,INDIRECT(A96&amp;ROW())=C94),1,0)))</f>
        <v>0</v>
      </c>
      <c r="J65">
        <f ca="1">IF(AND(INDIRECT(A73&amp;ROW())=B95,INDIRECT(A96&amp;ROW())=C95),1,IF(AND(INDIRECT(A73&amp;ROW())=B95,INDIRECT(A96&amp;ROW())=C96),1,0))</f>
        <v>0</v>
      </c>
      <c r="K65">
        <f ca="1">DAYS360(INDIRECT(C68&amp;ROW()),TODAY())</f>
        <v>728</v>
      </c>
      <c r="L65">
        <f ca="1">DAYS360(INDIRECT(C69&amp;ROW()),TODAY())</f>
        <v>951</v>
      </c>
      <c r="M65" s="11">
        <f ca="1">HYPERLINK(CONCATENATE("https://bugzilla.houston.hp.com:1181/bugzilla/show_bug.cgi?id=",INDIRECT(C70&amp;ROW())),INDIRECT(C70&amp;ROW()))</f>
        <v>49964</v>
      </c>
      <c r="N65">
        <v>49964</v>
      </c>
      <c r="O65" t="s">
        <v>56</v>
      </c>
      <c r="P65" t="s">
        <v>435</v>
      </c>
      <c r="Q65" t="s">
        <v>16</v>
      </c>
      <c r="R65" t="s">
        <v>251</v>
      </c>
      <c r="S65" t="s">
        <v>43</v>
      </c>
      <c r="U65" s="6">
        <v>42118.559756944444</v>
      </c>
      <c r="V65" t="s">
        <v>18</v>
      </c>
      <c r="W65" t="s">
        <v>17</v>
      </c>
      <c r="X65" s="6">
        <v>41893.488923611112</v>
      </c>
      <c r="Y65" t="s">
        <v>122</v>
      </c>
      <c r="AB65" t="s">
        <v>201</v>
      </c>
      <c r="AC65" t="s">
        <v>247</v>
      </c>
      <c r="AD65" t="s">
        <v>220</v>
      </c>
      <c r="AE65" t="s">
        <v>219</v>
      </c>
      <c r="AG65" t="s">
        <v>121</v>
      </c>
      <c r="AH65" t="s">
        <v>327</v>
      </c>
      <c r="AI65" t="s">
        <v>121</v>
      </c>
      <c r="AJ65" t="s">
        <v>717</v>
      </c>
      <c r="AK65" t="s">
        <v>121</v>
      </c>
    </row>
    <row r="66" spans="1:37" x14ac:dyDescent="0.3">
      <c r="A66">
        <f>COUNTA(P1:P800)</f>
        <v>697</v>
      </c>
      <c r="B66" t="s">
        <v>110</v>
      </c>
      <c r="I66">
        <f ca="1">IF(OR(INDIRECT(A73&amp;ROW())=B93,INDIRECT(A73&amp;ROW())=B94),1,IF(AND(INDIRECT(A73&amp;ROW())=B95,INDIRECT(A96&amp;ROW())=C93),1,IF(AND(INDIRECT(A73&amp;ROW())=B95,INDIRECT(A96&amp;ROW())=C94),1,0)))</f>
        <v>0</v>
      </c>
      <c r="J66">
        <f ca="1">IF(AND(INDIRECT(A73&amp;ROW())=B95,INDIRECT(A96&amp;ROW())=C95),1,IF(AND(INDIRECT(A73&amp;ROW())=B95,INDIRECT(A96&amp;ROW())=C96),1,0))</f>
        <v>0</v>
      </c>
      <c r="K66">
        <f ca="1">DAYS360(INDIRECT(C68&amp;ROW()),TODAY())</f>
        <v>721</v>
      </c>
      <c r="L66">
        <f ca="1">DAYS360(INDIRECT(C69&amp;ROW()),TODAY())</f>
        <v>950</v>
      </c>
      <c r="M66" s="11">
        <f ca="1">HYPERLINK(CONCATENATE("https://bugzilla.houston.hp.com:1181/bugzilla/show_bug.cgi?id=",INDIRECT(C70&amp;ROW())),INDIRECT(C70&amp;ROW()))</f>
        <v>50012</v>
      </c>
      <c r="N66">
        <v>50012</v>
      </c>
      <c r="O66" t="s">
        <v>42</v>
      </c>
      <c r="P66" t="s">
        <v>691</v>
      </c>
      <c r="Q66" t="s">
        <v>16</v>
      </c>
      <c r="R66" t="s">
        <v>251</v>
      </c>
      <c r="S66" t="s">
        <v>68</v>
      </c>
      <c r="U66" s="6">
        <v>42125.446493055555</v>
      </c>
      <c r="V66" t="s">
        <v>35</v>
      </c>
      <c r="W66" t="s">
        <v>17</v>
      </c>
      <c r="X66" s="6">
        <v>41894.224282407406</v>
      </c>
      <c r="Y66" t="s">
        <v>122</v>
      </c>
      <c r="AB66" t="s">
        <v>200</v>
      </c>
      <c r="AC66" t="s">
        <v>247</v>
      </c>
      <c r="AD66" t="s">
        <v>220</v>
      </c>
      <c r="AE66" t="s">
        <v>219</v>
      </c>
      <c r="AF66" s="13">
        <v>41904</v>
      </c>
      <c r="AG66" t="s">
        <v>121</v>
      </c>
      <c r="AH66" t="s">
        <v>64</v>
      </c>
      <c r="AI66" t="s">
        <v>121</v>
      </c>
      <c r="AJ66" t="s">
        <v>716</v>
      </c>
      <c r="AK66" t="s">
        <v>121</v>
      </c>
    </row>
    <row r="67" spans="1:37" x14ac:dyDescent="0.3">
      <c r="A67">
        <v>2</v>
      </c>
      <c r="B67" t="s">
        <v>111</v>
      </c>
      <c r="I67">
        <f ca="1">IF(OR(INDIRECT(A73&amp;ROW())=B93,INDIRECT(A73&amp;ROW())=B94),1,IF(AND(INDIRECT(A73&amp;ROW())=B95,INDIRECT(A96&amp;ROW())=C93),1,IF(AND(INDIRECT(A73&amp;ROW())=B95,INDIRECT(A96&amp;ROW())=C94),1,0)))</f>
        <v>0</v>
      </c>
      <c r="J67">
        <f ca="1">IF(AND(INDIRECT(A73&amp;ROW())=B95,INDIRECT(A96&amp;ROW())=C95),1,IF(AND(INDIRECT(A73&amp;ROW())=B95,INDIRECT(A96&amp;ROW())=C96),1,0))</f>
        <v>0</v>
      </c>
      <c r="K67">
        <f ca="1">DAYS360(INDIRECT(C68&amp;ROW()),TODAY())</f>
        <v>710</v>
      </c>
      <c r="L67">
        <f ca="1">DAYS360(INDIRECT(C69&amp;ROW()),TODAY())</f>
        <v>947</v>
      </c>
      <c r="M67" s="11">
        <f ca="1">HYPERLINK(CONCATENATE("https://bugzilla.houston.hp.com:1181/bugzilla/show_bug.cgi?id=",INDIRECT(C70&amp;ROW())),INDIRECT(C70&amp;ROW()))</f>
        <v>50105</v>
      </c>
      <c r="N67">
        <v>50105</v>
      </c>
      <c r="O67" t="s">
        <v>66</v>
      </c>
      <c r="P67" t="s">
        <v>1052</v>
      </c>
      <c r="Q67" t="s">
        <v>16</v>
      </c>
      <c r="R67" t="s">
        <v>251</v>
      </c>
      <c r="S67" t="s">
        <v>66</v>
      </c>
      <c r="U67" s="6">
        <v>42136.646921296298</v>
      </c>
      <c r="V67" t="s">
        <v>18</v>
      </c>
      <c r="W67" t="s">
        <v>17</v>
      </c>
      <c r="X67" s="6">
        <v>41897.447847222225</v>
      </c>
      <c r="Y67" t="s">
        <v>122</v>
      </c>
      <c r="AB67" t="s">
        <v>201</v>
      </c>
      <c r="AC67" t="s">
        <v>247</v>
      </c>
      <c r="AD67" t="s">
        <v>220</v>
      </c>
      <c r="AE67" t="s">
        <v>290</v>
      </c>
      <c r="AG67" t="s">
        <v>121</v>
      </c>
      <c r="AH67" t="s">
        <v>1029</v>
      </c>
      <c r="AI67" t="s">
        <v>121</v>
      </c>
      <c r="AJ67" t="s">
        <v>717</v>
      </c>
      <c r="AK67" t="s">
        <v>121</v>
      </c>
    </row>
    <row r="68" spans="1:37" x14ac:dyDescent="0.3">
      <c r="A68" t="s">
        <v>112</v>
      </c>
      <c r="B68" t="s">
        <v>103</v>
      </c>
      <c r="C68" t="s">
        <v>97</v>
      </c>
      <c r="D68" t="s">
        <v>276</v>
      </c>
      <c r="I68">
        <f ca="1">IF(OR(INDIRECT(A73&amp;ROW())=B93,INDIRECT(A73&amp;ROW())=B94),1,IF(AND(INDIRECT(A73&amp;ROW())=B95,INDIRECT(A96&amp;ROW())=C93),1,IF(AND(INDIRECT(A73&amp;ROW())=B95,INDIRECT(A96&amp;ROW())=C94),1,0)))</f>
        <v>0</v>
      </c>
      <c r="J68">
        <f ca="1">IF(AND(INDIRECT(A73&amp;ROW())=B95,INDIRECT(A96&amp;ROW())=C95),1,IF(AND(INDIRECT(A73&amp;ROW())=B95,INDIRECT(A96&amp;ROW())=C96),1,0))</f>
        <v>0</v>
      </c>
      <c r="K68">
        <f ca="1">DAYS360(INDIRECT(C68&amp;ROW()),TODAY())</f>
        <v>688</v>
      </c>
      <c r="L68">
        <f ca="1">DAYS360(INDIRECT(C69&amp;ROW()),TODAY())</f>
        <v>946</v>
      </c>
      <c r="M68" s="11">
        <f ca="1">HYPERLINK(CONCATENATE("https://bugzilla.houston.hp.com:1181/bugzilla/show_bug.cgi?id=",INDIRECT(C70&amp;ROW())),INDIRECT(C70&amp;ROW()))</f>
        <v>50187</v>
      </c>
      <c r="N68">
        <v>50187</v>
      </c>
      <c r="O68" t="s">
        <v>56</v>
      </c>
      <c r="P68" t="s">
        <v>690</v>
      </c>
      <c r="Q68" t="s">
        <v>16</v>
      </c>
      <c r="R68" t="s">
        <v>251</v>
      </c>
      <c r="S68" t="s">
        <v>53</v>
      </c>
      <c r="U68" s="6">
        <v>42159.577060185184</v>
      </c>
      <c r="V68" t="s">
        <v>18</v>
      </c>
      <c r="W68" t="s">
        <v>17</v>
      </c>
      <c r="X68" s="6">
        <v>41898.725266203706</v>
      </c>
      <c r="Y68" t="s">
        <v>793</v>
      </c>
      <c r="AB68" t="s">
        <v>201</v>
      </c>
      <c r="AC68" t="s">
        <v>247</v>
      </c>
      <c r="AD68" t="s">
        <v>220</v>
      </c>
      <c r="AE68" t="s">
        <v>219</v>
      </c>
      <c r="AG68" t="s">
        <v>121</v>
      </c>
      <c r="AH68" t="s">
        <v>64</v>
      </c>
      <c r="AI68" t="s">
        <v>121</v>
      </c>
      <c r="AJ68" t="s">
        <v>717</v>
      </c>
      <c r="AK68" t="s">
        <v>121</v>
      </c>
    </row>
    <row r="69" spans="1:37" x14ac:dyDescent="0.3">
      <c r="A69" t="s">
        <v>264</v>
      </c>
      <c r="B69" t="s">
        <v>104</v>
      </c>
      <c r="C69" t="s">
        <v>113</v>
      </c>
      <c r="D69" t="s">
        <v>277</v>
      </c>
      <c r="I69">
        <f ca="1">IF(OR(INDIRECT(A73&amp;ROW())=B93,INDIRECT(A73&amp;ROW())=B94),1,IF(AND(INDIRECT(A73&amp;ROW())=B95,INDIRECT(A96&amp;ROW())=C93),1,IF(AND(INDIRECT(A73&amp;ROW())=B95,INDIRECT(A96&amp;ROW())=C94),1,0)))</f>
        <v>0</v>
      </c>
      <c r="J69">
        <f ca="1">IF(AND(INDIRECT(A73&amp;ROW())=B95,INDIRECT(A96&amp;ROW())=C95),1,IF(AND(INDIRECT(A73&amp;ROW())=B95,INDIRECT(A96&amp;ROW())=C96),1,0))</f>
        <v>0</v>
      </c>
      <c r="K69">
        <f ca="1">DAYS360(INDIRECT(C68&amp;ROW()),TODAY())</f>
        <v>728</v>
      </c>
      <c r="L69">
        <f ca="1">DAYS360(INDIRECT(C69&amp;ROW()),TODAY())</f>
        <v>945</v>
      </c>
      <c r="M69" s="11">
        <f ca="1">HYPERLINK(CONCATENATE("https://bugzilla.houston.hp.com:1181/bugzilla/show_bug.cgi?id=",INDIRECT(C70&amp;ROW())),INDIRECT(C70&amp;ROW()))</f>
        <v>50237</v>
      </c>
      <c r="N69">
        <v>50237</v>
      </c>
      <c r="O69" t="s">
        <v>55</v>
      </c>
      <c r="P69" t="s">
        <v>689</v>
      </c>
      <c r="Q69" t="s">
        <v>16</v>
      </c>
      <c r="R69" t="s">
        <v>251</v>
      </c>
      <c r="S69" t="s">
        <v>55</v>
      </c>
      <c r="U69" s="6">
        <v>42118.560115740744</v>
      </c>
      <c r="V69" t="s">
        <v>18</v>
      </c>
      <c r="W69" t="s">
        <v>17</v>
      </c>
      <c r="X69" s="6">
        <v>41899.478541666664</v>
      </c>
      <c r="Y69" t="s">
        <v>122</v>
      </c>
      <c r="AB69" t="s">
        <v>201</v>
      </c>
      <c r="AC69" t="s">
        <v>247</v>
      </c>
      <c r="AD69" t="s">
        <v>220</v>
      </c>
      <c r="AE69" t="s">
        <v>219</v>
      </c>
      <c r="AG69" t="s">
        <v>121</v>
      </c>
      <c r="AH69" t="s">
        <v>64</v>
      </c>
      <c r="AI69" t="s">
        <v>121</v>
      </c>
      <c r="AJ69" t="s">
        <v>717</v>
      </c>
      <c r="AK69" t="s">
        <v>121</v>
      </c>
    </row>
    <row r="70" spans="1:37" x14ac:dyDescent="0.3">
      <c r="A70" t="s">
        <v>102</v>
      </c>
      <c r="B70" t="s">
        <v>78</v>
      </c>
      <c r="C70" t="s">
        <v>101</v>
      </c>
      <c r="D70" t="s">
        <v>356</v>
      </c>
      <c r="I70">
        <f ca="1">IF(OR(INDIRECT(A73&amp;ROW())=B93,INDIRECT(A73&amp;ROW())=B94),1,IF(AND(INDIRECT(A73&amp;ROW())=B95,INDIRECT(A96&amp;ROW())=C93),1,IF(AND(INDIRECT(A73&amp;ROW())=B95,INDIRECT(A96&amp;ROW())=C94),1,0)))</f>
        <v>0</v>
      </c>
      <c r="J70">
        <f ca="1">IF(AND(INDIRECT(A73&amp;ROW())=B95,INDIRECT(A96&amp;ROW())=C95),1,IF(AND(INDIRECT(A73&amp;ROW())=B95,INDIRECT(A96&amp;ROW())=C96),1,0))</f>
        <v>1</v>
      </c>
      <c r="K70">
        <f ca="1">DAYS360(INDIRECT(C68&amp;ROW()),TODAY())</f>
        <v>714</v>
      </c>
      <c r="L70">
        <f ca="1">DAYS360(INDIRECT(C69&amp;ROW()),TODAY())</f>
        <v>945</v>
      </c>
      <c r="M70" s="11">
        <f ca="1">HYPERLINK(CONCATENATE("https://bugzilla.houston.hp.com:1181/bugzilla/show_bug.cgi?id=",INDIRECT(C70&amp;ROW())),INDIRECT(C70&amp;ROW()))</f>
        <v>50242</v>
      </c>
      <c r="N70">
        <v>50242</v>
      </c>
      <c r="O70" t="s">
        <v>204</v>
      </c>
      <c r="P70" t="s">
        <v>472</v>
      </c>
      <c r="Q70" t="s">
        <v>25</v>
      </c>
      <c r="R70" t="s">
        <v>251</v>
      </c>
      <c r="S70" t="s">
        <v>31</v>
      </c>
      <c r="T70" t="s">
        <v>979</v>
      </c>
      <c r="U70" s="6">
        <v>42132.550069444442</v>
      </c>
      <c r="V70" t="s">
        <v>40</v>
      </c>
      <c r="W70" t="s">
        <v>17</v>
      </c>
      <c r="X70" s="6">
        <v>41899.569421296299</v>
      </c>
      <c r="Y70" t="s">
        <v>119</v>
      </c>
      <c r="AB70" t="s">
        <v>201</v>
      </c>
      <c r="AC70" t="s">
        <v>247</v>
      </c>
      <c r="AD70" t="s">
        <v>222</v>
      </c>
      <c r="AE70" t="s">
        <v>221</v>
      </c>
      <c r="AG70" t="s">
        <v>121</v>
      </c>
      <c r="AH70" t="s">
        <v>64</v>
      </c>
      <c r="AI70" t="s">
        <v>121</v>
      </c>
      <c r="AJ70" t="s">
        <v>716</v>
      </c>
      <c r="AK70" t="s">
        <v>121</v>
      </c>
    </row>
    <row r="71" spans="1:37" x14ac:dyDescent="0.3">
      <c r="A71" t="s">
        <v>348</v>
      </c>
      <c r="B71" t="s">
        <v>105</v>
      </c>
      <c r="I71">
        <f ca="1">IF(OR(INDIRECT(A73&amp;ROW())=B93,INDIRECT(A73&amp;ROW())=B94),1,IF(AND(INDIRECT(A73&amp;ROW())=B95,INDIRECT(A96&amp;ROW())=C93),1,IF(AND(INDIRECT(A73&amp;ROW())=B95,INDIRECT(A96&amp;ROW())=C94),1,0)))</f>
        <v>0</v>
      </c>
      <c r="J71">
        <f ca="1">IF(AND(INDIRECT(A73&amp;ROW())=B95,INDIRECT(A96&amp;ROW())=C95),1,IF(AND(INDIRECT(A73&amp;ROW())=B95,INDIRECT(A96&amp;ROW())=C96),1,0))</f>
        <v>0</v>
      </c>
      <c r="K71">
        <f ca="1">DAYS360(INDIRECT(C68&amp;ROW()),TODAY())</f>
        <v>728</v>
      </c>
      <c r="L71">
        <f ca="1">DAYS360(INDIRECT(C69&amp;ROW()),TODAY())</f>
        <v>940</v>
      </c>
      <c r="M71" s="11">
        <f ca="1">HYPERLINK(CONCATENATE("https://bugzilla.houston.hp.com:1181/bugzilla/show_bug.cgi?id=",INDIRECT(C70&amp;ROW())),INDIRECT(C70&amp;ROW()))</f>
        <v>50432</v>
      </c>
      <c r="N71">
        <v>50432</v>
      </c>
      <c r="O71" t="s">
        <v>56</v>
      </c>
      <c r="P71" t="s">
        <v>688</v>
      </c>
      <c r="Q71" t="s">
        <v>16</v>
      </c>
      <c r="R71" t="s">
        <v>251</v>
      </c>
      <c r="S71" t="s">
        <v>330</v>
      </c>
      <c r="U71" s="6">
        <v>42118.521851851852</v>
      </c>
      <c r="V71" t="s">
        <v>18</v>
      </c>
      <c r="W71" t="s">
        <v>17</v>
      </c>
      <c r="X71" s="6">
        <v>41904.840578703705</v>
      </c>
      <c r="Y71" t="s">
        <v>787</v>
      </c>
      <c r="AB71" t="s">
        <v>201</v>
      </c>
      <c r="AC71" t="s">
        <v>247</v>
      </c>
      <c r="AD71" t="s">
        <v>220</v>
      </c>
      <c r="AE71" t="s">
        <v>219</v>
      </c>
      <c r="AG71" t="s">
        <v>121</v>
      </c>
      <c r="AH71" t="s">
        <v>327</v>
      </c>
      <c r="AI71" t="s">
        <v>121</v>
      </c>
      <c r="AJ71" t="s">
        <v>717</v>
      </c>
      <c r="AK71" t="s">
        <v>121</v>
      </c>
    </row>
    <row r="72" spans="1:37" x14ac:dyDescent="0.3">
      <c r="A72" t="s">
        <v>100</v>
      </c>
      <c r="B72" t="s">
        <v>106</v>
      </c>
      <c r="I72">
        <f ca="1">IF(OR(INDIRECT(A73&amp;ROW())=B93,INDIRECT(A73&amp;ROW())=B94),1,IF(AND(INDIRECT(A73&amp;ROW())=B95,INDIRECT(A96&amp;ROW())=C93),1,IF(AND(INDIRECT(A73&amp;ROW())=B95,INDIRECT(A96&amp;ROW())=C94),1,0)))</f>
        <v>1</v>
      </c>
      <c r="J72">
        <f ca="1">IF(AND(INDIRECT(A73&amp;ROW())=B95,INDIRECT(A96&amp;ROW())=C95),1,IF(AND(INDIRECT(A73&amp;ROW())=B95,INDIRECT(A96&amp;ROW())=C96),1,0))</f>
        <v>0</v>
      </c>
      <c r="K72">
        <f ca="1">DAYS360(INDIRECT(C68&amp;ROW()),TODAY())</f>
        <v>694</v>
      </c>
      <c r="L72">
        <f ca="1">DAYS360(INDIRECT(C69&amp;ROW()),TODAY())</f>
        <v>939</v>
      </c>
      <c r="M72" s="11">
        <f ca="1">HYPERLINK(CONCATENATE("https://bugzilla.houston.hp.com:1181/bugzilla/show_bug.cgi?id=",INDIRECT(C70&amp;ROW())),INDIRECT(C70&amp;ROW()))</f>
        <v>50470</v>
      </c>
      <c r="N72">
        <v>50470</v>
      </c>
      <c r="O72" t="s">
        <v>53</v>
      </c>
      <c r="P72" t="s">
        <v>687</v>
      </c>
      <c r="Q72" t="s">
        <v>39</v>
      </c>
      <c r="R72" t="s">
        <v>251</v>
      </c>
      <c r="S72" t="s">
        <v>47</v>
      </c>
      <c r="U72" s="6">
        <v>42152.316331018519</v>
      </c>
      <c r="V72" t="s">
        <v>18</v>
      </c>
      <c r="W72" t="s">
        <v>17</v>
      </c>
      <c r="X72" s="6">
        <v>41905.402071759258</v>
      </c>
      <c r="Y72" t="s">
        <v>119</v>
      </c>
      <c r="AB72" t="s">
        <v>201</v>
      </c>
      <c r="AC72" t="s">
        <v>247</v>
      </c>
      <c r="AD72" t="s">
        <v>220</v>
      </c>
      <c r="AE72" t="s">
        <v>219</v>
      </c>
      <c r="AG72" t="s">
        <v>121</v>
      </c>
      <c r="AH72" t="s">
        <v>64</v>
      </c>
      <c r="AI72" t="s">
        <v>121</v>
      </c>
      <c r="AJ72" t="s">
        <v>715</v>
      </c>
      <c r="AK72" t="s">
        <v>121</v>
      </c>
    </row>
    <row r="73" spans="1:37" x14ac:dyDescent="0.3">
      <c r="A73" t="s">
        <v>273</v>
      </c>
      <c r="B73" t="s">
        <v>107</v>
      </c>
      <c r="I73">
        <f ca="1">IF(OR(INDIRECT(A73&amp;ROW())=B93,INDIRECT(A73&amp;ROW())=B94),1,IF(AND(INDIRECT(A73&amp;ROW())=B95,INDIRECT(A96&amp;ROW())=C93),1,IF(AND(INDIRECT(A73&amp;ROW())=B95,INDIRECT(A96&amp;ROW())=C94),1,0)))</f>
        <v>0</v>
      </c>
      <c r="J73">
        <f ca="1">IF(AND(INDIRECT(A73&amp;ROW())=B95,INDIRECT(A96&amp;ROW())=C95),1,IF(AND(INDIRECT(A73&amp;ROW())=B95,INDIRECT(A96&amp;ROW())=C96),1,0))</f>
        <v>0</v>
      </c>
      <c r="K73">
        <f ca="1">DAYS360(INDIRECT(C68&amp;ROW()),TODAY())</f>
        <v>724</v>
      </c>
      <c r="L73">
        <f ca="1">DAYS360(INDIRECT(C69&amp;ROW()),TODAY())</f>
        <v>939</v>
      </c>
      <c r="M73" s="11">
        <f ca="1">HYPERLINK(CONCATENATE("https://bugzilla.houston.hp.com:1181/bugzilla/show_bug.cgi?id=",INDIRECT(C70&amp;ROW())),INDIRECT(C70&amp;ROW()))</f>
        <v>50489</v>
      </c>
      <c r="N73">
        <v>50489</v>
      </c>
      <c r="O73" t="s">
        <v>334</v>
      </c>
      <c r="P73" t="s">
        <v>434</v>
      </c>
      <c r="Q73" t="s">
        <v>16</v>
      </c>
      <c r="R73" t="s">
        <v>251</v>
      </c>
      <c r="S73" t="s">
        <v>182</v>
      </c>
      <c r="U73" s="6">
        <v>42122.400648148148</v>
      </c>
      <c r="V73" t="s">
        <v>35</v>
      </c>
      <c r="W73" t="s">
        <v>17</v>
      </c>
      <c r="X73" s="6">
        <v>41905.60564814815</v>
      </c>
      <c r="Y73" t="s">
        <v>245</v>
      </c>
      <c r="AB73" t="s">
        <v>200</v>
      </c>
      <c r="AC73" t="s">
        <v>247</v>
      </c>
      <c r="AD73" t="s">
        <v>227</v>
      </c>
      <c r="AE73" t="s">
        <v>230</v>
      </c>
      <c r="AG73" t="s">
        <v>121</v>
      </c>
      <c r="AH73" t="s">
        <v>327</v>
      </c>
      <c r="AI73" t="s">
        <v>121</v>
      </c>
      <c r="AJ73" t="s">
        <v>716</v>
      </c>
      <c r="AK73" t="s">
        <v>121</v>
      </c>
    </row>
    <row r="74" spans="1:37" x14ac:dyDescent="0.3">
      <c r="A74" t="s">
        <v>271</v>
      </c>
      <c r="B74" t="s">
        <v>108</v>
      </c>
      <c r="I74">
        <f ca="1">IF(OR(INDIRECT(A73&amp;ROW())=B93,INDIRECT(A73&amp;ROW())=B94),1,IF(AND(INDIRECT(A73&amp;ROW())=B95,INDIRECT(A96&amp;ROW())=C93),1,IF(AND(INDIRECT(A73&amp;ROW())=B95,INDIRECT(A96&amp;ROW())=C94),1,0)))</f>
        <v>1</v>
      </c>
      <c r="J74">
        <f ca="1">IF(AND(INDIRECT(A73&amp;ROW())=B95,INDIRECT(A96&amp;ROW())=C95),1,IF(AND(INDIRECT(A73&amp;ROW())=B95,INDIRECT(A96&amp;ROW())=C96),1,0))</f>
        <v>0</v>
      </c>
      <c r="K74">
        <f ca="1">DAYS360(INDIRECT(C68&amp;ROW()),TODAY())</f>
        <v>730</v>
      </c>
      <c r="L74">
        <f ca="1">DAYS360(INDIRECT(C69&amp;ROW()),TODAY())</f>
        <v>939</v>
      </c>
      <c r="M74" s="11">
        <f ca="1">HYPERLINK(CONCATENATE("https://bugzilla.houston.hp.com:1181/bugzilla/show_bug.cgi?id=",INDIRECT(C70&amp;ROW())),INDIRECT(C70&amp;ROW()))</f>
        <v>50493</v>
      </c>
      <c r="N74">
        <v>50493</v>
      </c>
      <c r="O74" t="s">
        <v>45</v>
      </c>
      <c r="P74" t="s">
        <v>333</v>
      </c>
      <c r="Q74" t="s">
        <v>25</v>
      </c>
      <c r="R74" t="s">
        <v>251</v>
      </c>
      <c r="S74" t="s">
        <v>59</v>
      </c>
      <c r="U74" s="6">
        <v>42116.54115740741</v>
      </c>
      <c r="V74" t="s">
        <v>18</v>
      </c>
      <c r="W74" t="s">
        <v>17</v>
      </c>
      <c r="X74" s="6">
        <v>41905.630509259259</v>
      </c>
      <c r="Y74" t="s">
        <v>119</v>
      </c>
      <c r="AB74" t="s">
        <v>200</v>
      </c>
      <c r="AC74" t="s">
        <v>247</v>
      </c>
      <c r="AD74" t="s">
        <v>222</v>
      </c>
      <c r="AE74" t="s">
        <v>232</v>
      </c>
      <c r="AG74" t="s">
        <v>121</v>
      </c>
      <c r="AH74" t="s">
        <v>327</v>
      </c>
      <c r="AI74" t="s">
        <v>121</v>
      </c>
      <c r="AJ74" t="s">
        <v>715</v>
      </c>
      <c r="AK74" t="s">
        <v>121</v>
      </c>
    </row>
    <row r="75" spans="1:37" x14ac:dyDescent="0.3">
      <c r="A75" t="s">
        <v>349</v>
      </c>
      <c r="B75" t="s">
        <v>109</v>
      </c>
      <c r="I75">
        <f ca="1">IF(OR(INDIRECT(A73&amp;ROW())=B93,INDIRECT(A73&amp;ROW())=B94),1,IF(AND(INDIRECT(A73&amp;ROW())=B95,INDIRECT(A96&amp;ROW())=C93),1,IF(AND(INDIRECT(A73&amp;ROW())=B95,INDIRECT(A96&amp;ROW())=C94),1,0)))</f>
        <v>1</v>
      </c>
      <c r="J75">
        <f ca="1">IF(AND(INDIRECT(A73&amp;ROW())=B95,INDIRECT(A96&amp;ROW())=C95),1,IF(AND(INDIRECT(A73&amp;ROW())=B95,INDIRECT(A96&amp;ROW())=C96),1,0))</f>
        <v>0</v>
      </c>
      <c r="K75">
        <f ca="1">DAYS360(INDIRECT(C68&amp;ROW()),TODAY())</f>
        <v>684</v>
      </c>
      <c r="L75">
        <f ca="1">DAYS360(INDIRECT(C69&amp;ROW()),TODAY())</f>
        <v>939</v>
      </c>
      <c r="M75" s="11">
        <f ca="1">HYPERLINK(CONCATENATE("https://bugzilla.houston.hp.com:1181/bugzilla/show_bug.cgi?id=",INDIRECT(C70&amp;ROW())),INDIRECT(C70&amp;ROW()))</f>
        <v>50495</v>
      </c>
      <c r="N75">
        <v>50495</v>
      </c>
      <c r="O75" t="s">
        <v>56</v>
      </c>
      <c r="P75" t="s">
        <v>332</v>
      </c>
      <c r="Q75" t="s">
        <v>25</v>
      </c>
      <c r="R75" t="s">
        <v>248</v>
      </c>
      <c r="S75" t="s">
        <v>59</v>
      </c>
      <c r="U75" s="6">
        <v>42163.604224537034</v>
      </c>
      <c r="V75" t="s">
        <v>18</v>
      </c>
      <c r="W75" t="s">
        <v>257</v>
      </c>
      <c r="X75" s="6">
        <v>41905.634016203701</v>
      </c>
      <c r="Y75" t="s">
        <v>119</v>
      </c>
      <c r="AB75" t="s">
        <v>200</v>
      </c>
      <c r="AC75" t="s">
        <v>247</v>
      </c>
      <c r="AD75" t="s">
        <v>222</v>
      </c>
      <c r="AE75" t="s">
        <v>221</v>
      </c>
      <c r="AG75" t="s">
        <v>121</v>
      </c>
      <c r="AH75" t="s">
        <v>327</v>
      </c>
      <c r="AI75" t="s">
        <v>121</v>
      </c>
      <c r="AJ75" t="s">
        <v>715</v>
      </c>
      <c r="AK75" t="s">
        <v>121</v>
      </c>
    </row>
    <row r="76" spans="1:37" x14ac:dyDescent="0.3">
      <c r="A76" t="s">
        <v>274</v>
      </c>
      <c r="B76" t="s">
        <v>114</v>
      </c>
      <c r="I76">
        <f ca="1">IF(OR(INDIRECT(A73&amp;ROW())=B93,INDIRECT(A73&amp;ROW())=B94),1,IF(AND(INDIRECT(A73&amp;ROW())=B95,INDIRECT(A96&amp;ROW())=C93),1,IF(AND(INDIRECT(A73&amp;ROW())=B95,INDIRECT(A96&amp;ROW())=C94),1,0)))</f>
        <v>0</v>
      </c>
      <c r="J76">
        <f ca="1">IF(AND(INDIRECT(A73&amp;ROW())=B95,INDIRECT(A96&amp;ROW())=C95),1,IF(AND(INDIRECT(A73&amp;ROW())=B95,INDIRECT(A96&amp;ROW())=C96),1,0))</f>
        <v>0</v>
      </c>
      <c r="K76">
        <f ca="1">DAYS360(INDIRECT(C68&amp;ROW()),TODAY())</f>
        <v>728</v>
      </c>
      <c r="L76">
        <f ca="1">DAYS360(INDIRECT(C69&amp;ROW()),TODAY())</f>
        <v>939</v>
      </c>
      <c r="M76" s="11">
        <f ca="1">HYPERLINK(CONCATENATE("https://bugzilla.houston.hp.com:1181/bugzilla/show_bug.cgi?id=",INDIRECT(C70&amp;ROW())),INDIRECT(C70&amp;ROW()))</f>
        <v>50497</v>
      </c>
      <c r="N76">
        <v>50497</v>
      </c>
      <c r="O76" t="s">
        <v>88</v>
      </c>
      <c r="P76" t="s">
        <v>686</v>
      </c>
      <c r="Q76" t="s">
        <v>16</v>
      </c>
      <c r="R76" t="s">
        <v>251</v>
      </c>
      <c r="S76" t="s">
        <v>31</v>
      </c>
      <c r="U76" s="6">
        <v>42118.521944444445</v>
      </c>
      <c r="V76" t="s">
        <v>18</v>
      </c>
      <c r="W76" t="s">
        <v>17</v>
      </c>
      <c r="X76" s="6">
        <v>41905.694814814815</v>
      </c>
      <c r="Y76" t="s">
        <v>119</v>
      </c>
      <c r="AB76" t="s">
        <v>201</v>
      </c>
      <c r="AC76" t="s">
        <v>247</v>
      </c>
      <c r="AD76" t="s">
        <v>222</v>
      </c>
      <c r="AE76" t="s">
        <v>240</v>
      </c>
      <c r="AG76" t="s">
        <v>121</v>
      </c>
      <c r="AH76" t="s">
        <v>327</v>
      </c>
      <c r="AI76" t="s">
        <v>121</v>
      </c>
      <c r="AJ76" t="s">
        <v>717</v>
      </c>
      <c r="AK76" t="s">
        <v>121</v>
      </c>
    </row>
    <row r="77" spans="1:37" x14ac:dyDescent="0.3">
      <c r="A77" t="s">
        <v>350</v>
      </c>
      <c r="B77" t="s">
        <v>115</v>
      </c>
      <c r="I77">
        <f ca="1">IF(OR(INDIRECT(A73&amp;ROW())=B93,INDIRECT(A73&amp;ROW())=B94),1,IF(AND(INDIRECT(A73&amp;ROW())=B95,INDIRECT(A96&amp;ROW())=C93),1,IF(AND(INDIRECT(A73&amp;ROW())=B95,INDIRECT(A96&amp;ROW())=C94),1,0)))</f>
        <v>0</v>
      </c>
      <c r="J77">
        <f ca="1">IF(AND(INDIRECT(A73&amp;ROW())=B95,INDIRECT(A96&amp;ROW())=C95),1,IF(AND(INDIRECT(A73&amp;ROW())=B95,INDIRECT(A96&amp;ROW())=C96),1,0))</f>
        <v>1</v>
      </c>
      <c r="K77">
        <f ca="1">DAYS360(INDIRECT(C68&amp;ROW()),TODAY())</f>
        <v>684</v>
      </c>
      <c r="L77">
        <f ca="1">DAYS360(INDIRECT(C69&amp;ROW()),TODAY())</f>
        <v>937</v>
      </c>
      <c r="M77" s="11">
        <f ca="1">HYPERLINK(CONCATENATE("https://bugzilla.houston.hp.com:1181/bugzilla/show_bug.cgi?id=",INDIRECT(C70&amp;ROW())),INDIRECT(C70&amp;ROW()))</f>
        <v>50644</v>
      </c>
      <c r="N77">
        <v>50644</v>
      </c>
      <c r="O77" t="s">
        <v>42</v>
      </c>
      <c r="P77" t="s">
        <v>433</v>
      </c>
      <c r="Q77" t="s">
        <v>25</v>
      </c>
      <c r="R77" t="s">
        <v>251</v>
      </c>
      <c r="S77" t="s">
        <v>42</v>
      </c>
      <c r="U77" s="6">
        <v>42163.587870370371</v>
      </c>
      <c r="V77" t="s">
        <v>35</v>
      </c>
      <c r="W77" t="s">
        <v>17</v>
      </c>
      <c r="X77" s="6">
        <v>41907.666851851849</v>
      </c>
      <c r="Y77" t="s">
        <v>122</v>
      </c>
      <c r="AB77" t="s">
        <v>201</v>
      </c>
      <c r="AC77" t="s">
        <v>247</v>
      </c>
      <c r="AD77" t="s">
        <v>220</v>
      </c>
      <c r="AE77" t="s">
        <v>219</v>
      </c>
      <c r="AG77" t="s">
        <v>121</v>
      </c>
      <c r="AH77" t="s">
        <v>64</v>
      </c>
      <c r="AI77" t="s">
        <v>121</v>
      </c>
      <c r="AJ77" t="s">
        <v>716</v>
      </c>
      <c r="AK77" t="s">
        <v>121</v>
      </c>
    </row>
    <row r="78" spans="1:37" x14ac:dyDescent="0.3">
      <c r="A78" t="s">
        <v>275</v>
      </c>
      <c r="B78" t="s">
        <v>235</v>
      </c>
      <c r="I78">
        <f ca="1">IF(OR(INDIRECT(A73&amp;ROW())=B93,INDIRECT(A73&amp;ROW())=B94),1,IF(AND(INDIRECT(A73&amp;ROW())=B95,INDIRECT(A96&amp;ROW())=C93),1,IF(AND(INDIRECT(A73&amp;ROW())=B95,INDIRECT(A96&amp;ROW())=C94),1,0)))</f>
        <v>0</v>
      </c>
      <c r="J78">
        <f ca="1">IF(AND(INDIRECT(A73&amp;ROW())=B95,INDIRECT(A96&amp;ROW())=C95),1,IF(AND(INDIRECT(A73&amp;ROW())=B95,INDIRECT(A96&amp;ROW())=C96),1,0))</f>
        <v>0</v>
      </c>
      <c r="K78">
        <f ca="1">DAYS360(INDIRECT(C68&amp;ROW()),TODAY())</f>
        <v>721</v>
      </c>
      <c r="L78">
        <f ca="1">DAYS360(INDIRECT(C69&amp;ROW()),TODAY())</f>
        <v>936</v>
      </c>
      <c r="M78" s="11">
        <f ca="1">HYPERLINK(CONCATENATE("https://bugzilla.houston.hp.com:1181/bugzilla/show_bug.cgi?id=",INDIRECT(C70&amp;ROW())),INDIRECT(C70&amp;ROW()))</f>
        <v>50667</v>
      </c>
      <c r="N78">
        <v>50667</v>
      </c>
      <c r="O78" t="s">
        <v>50</v>
      </c>
      <c r="P78" t="s">
        <v>432</v>
      </c>
      <c r="Q78" t="s">
        <v>16</v>
      </c>
      <c r="R78" t="s">
        <v>251</v>
      </c>
      <c r="S78" t="s">
        <v>335</v>
      </c>
      <c r="U78" s="6">
        <v>42125.446539351855</v>
      </c>
      <c r="V78" t="s">
        <v>18</v>
      </c>
      <c r="W78" t="s">
        <v>17</v>
      </c>
      <c r="X78" s="6">
        <v>41908.131435185183</v>
      </c>
      <c r="Y78" t="s">
        <v>122</v>
      </c>
      <c r="AB78" t="s">
        <v>200</v>
      </c>
      <c r="AC78" t="s">
        <v>247</v>
      </c>
      <c r="AD78" t="s">
        <v>227</v>
      </c>
      <c r="AE78" t="s">
        <v>231</v>
      </c>
      <c r="AG78" t="s">
        <v>121</v>
      </c>
      <c r="AH78" t="s">
        <v>327</v>
      </c>
      <c r="AI78" t="s">
        <v>121</v>
      </c>
      <c r="AJ78" t="s">
        <v>716</v>
      </c>
      <c r="AK78" t="s">
        <v>121</v>
      </c>
    </row>
    <row r="79" spans="1:37" x14ac:dyDescent="0.3">
      <c r="A79" t="s">
        <v>351</v>
      </c>
      <c r="B79" t="s">
        <v>234</v>
      </c>
      <c r="I79">
        <f ca="1">IF(OR(INDIRECT(A73&amp;ROW())=B93,INDIRECT(A73&amp;ROW())=B94),1,IF(AND(INDIRECT(A73&amp;ROW())=B95,INDIRECT(A96&amp;ROW())=C93),1,IF(AND(INDIRECT(A73&amp;ROW())=B95,INDIRECT(A96&amp;ROW())=C94),1,0)))</f>
        <v>0</v>
      </c>
      <c r="J79">
        <f ca="1">IF(AND(INDIRECT(A73&amp;ROW())=B95,INDIRECT(A96&amp;ROW())=C95),1,IF(AND(INDIRECT(A73&amp;ROW())=B95,INDIRECT(A96&amp;ROW())=C96),1,0))</f>
        <v>0</v>
      </c>
      <c r="K79">
        <f ca="1">DAYS360(INDIRECT(C68&amp;ROW()),TODAY())</f>
        <v>802</v>
      </c>
      <c r="L79">
        <f ca="1">DAYS360(INDIRECT(C69&amp;ROW()),TODAY())</f>
        <v>933</v>
      </c>
      <c r="M79" s="11">
        <f ca="1">HYPERLINK(CONCATENATE("https://bugzilla.houston.hp.com:1181/bugzilla/show_bug.cgi?id=",INDIRECT(C70&amp;ROW())),INDIRECT(C70&amp;ROW()))</f>
        <v>50880</v>
      </c>
      <c r="N79">
        <v>50880</v>
      </c>
      <c r="O79" t="s">
        <v>66</v>
      </c>
      <c r="P79" t="s">
        <v>685</v>
      </c>
      <c r="Q79" t="s">
        <v>16</v>
      </c>
      <c r="R79" t="s">
        <v>251</v>
      </c>
      <c r="S79" t="s">
        <v>66</v>
      </c>
      <c r="U79" s="6">
        <v>42045.710277777776</v>
      </c>
      <c r="V79" t="s">
        <v>35</v>
      </c>
      <c r="W79" t="s">
        <v>17</v>
      </c>
      <c r="X79" s="6">
        <v>41911.766562500001</v>
      </c>
      <c r="Y79" t="s">
        <v>786</v>
      </c>
      <c r="AB79" t="s">
        <v>200</v>
      </c>
      <c r="AC79" t="s">
        <v>247</v>
      </c>
      <c r="AD79" t="s">
        <v>220</v>
      </c>
      <c r="AE79" t="s">
        <v>219</v>
      </c>
      <c r="AG79" t="s">
        <v>121</v>
      </c>
      <c r="AH79" t="s">
        <v>327</v>
      </c>
      <c r="AI79" t="s">
        <v>121</v>
      </c>
      <c r="AJ79" t="s">
        <v>716</v>
      </c>
      <c r="AK79" t="s">
        <v>121</v>
      </c>
    </row>
    <row r="80" spans="1:37" x14ac:dyDescent="0.3">
      <c r="A80" t="s">
        <v>272</v>
      </c>
      <c r="B80" t="s">
        <v>265</v>
      </c>
      <c r="I80">
        <f ca="1">IF(OR(INDIRECT(A73&amp;ROW())=B93,INDIRECT(A73&amp;ROW())=B94),1,IF(AND(INDIRECT(A73&amp;ROW())=B95,INDIRECT(A96&amp;ROW())=C93),1,IF(AND(INDIRECT(A73&amp;ROW())=B95,INDIRECT(A96&amp;ROW())=C94),1,0)))</f>
        <v>1</v>
      </c>
      <c r="J80">
        <f ca="1">IF(AND(INDIRECT(A73&amp;ROW())=B95,INDIRECT(A96&amp;ROW())=C95),1,IF(AND(INDIRECT(A73&amp;ROW())=B95,INDIRECT(A96&amp;ROW())=C96),1,0))</f>
        <v>0</v>
      </c>
      <c r="K80">
        <f ca="1">DAYS360(INDIRECT(C68&amp;ROW()),TODAY())</f>
        <v>687</v>
      </c>
      <c r="L80">
        <f ca="1">DAYS360(INDIRECT(C69&amp;ROW()),TODAY())</f>
        <v>932</v>
      </c>
      <c r="M80" s="11">
        <f ca="1">HYPERLINK(CONCATENATE("https://bugzilla.houston.hp.com:1181/bugzilla/show_bug.cgi?id=",INDIRECT(C70&amp;ROW())),INDIRECT(C70&amp;ROW()))</f>
        <v>50953</v>
      </c>
      <c r="N80">
        <v>50953</v>
      </c>
      <c r="O80" t="s">
        <v>45</v>
      </c>
      <c r="P80" t="s">
        <v>684</v>
      </c>
      <c r="Q80" t="s">
        <v>25</v>
      </c>
      <c r="R80" t="s">
        <v>251</v>
      </c>
      <c r="S80" t="s">
        <v>21</v>
      </c>
      <c r="U80" s="6">
        <v>42160.512187499997</v>
      </c>
      <c r="V80" t="s">
        <v>18</v>
      </c>
      <c r="W80" t="s">
        <v>17</v>
      </c>
      <c r="X80" s="6">
        <v>41912.61074074074</v>
      </c>
      <c r="Y80" t="s">
        <v>123</v>
      </c>
      <c r="AB80" t="s">
        <v>200</v>
      </c>
      <c r="AC80" t="s">
        <v>247</v>
      </c>
      <c r="AD80" t="s">
        <v>227</v>
      </c>
      <c r="AE80" t="s">
        <v>226</v>
      </c>
      <c r="AG80" t="s">
        <v>121</v>
      </c>
      <c r="AH80" t="s">
        <v>64</v>
      </c>
      <c r="AI80" t="s">
        <v>121</v>
      </c>
      <c r="AJ80" t="s">
        <v>715</v>
      </c>
      <c r="AK80" t="s">
        <v>121</v>
      </c>
    </row>
    <row r="81" spans="1:37" x14ac:dyDescent="0.3">
      <c r="A81" t="s">
        <v>154</v>
      </c>
      <c r="B81" t="s">
        <v>30</v>
      </c>
      <c r="C81" t="s">
        <v>160</v>
      </c>
      <c r="I81">
        <f ca="1">IF(OR(INDIRECT(A73&amp;ROW())=B93,INDIRECT(A73&amp;ROW())=B94),1,IF(AND(INDIRECT(A73&amp;ROW())=B95,INDIRECT(A96&amp;ROW())=C93),1,IF(AND(INDIRECT(A73&amp;ROW())=B95,INDIRECT(A96&amp;ROW())=C94),1,0)))</f>
        <v>0</v>
      </c>
      <c r="J81">
        <f ca="1">IF(AND(INDIRECT(A73&amp;ROW())=B95,INDIRECT(A96&amp;ROW())=C95),1,IF(AND(INDIRECT(A73&amp;ROW())=B95,INDIRECT(A96&amp;ROW())=C96),1,0))</f>
        <v>1</v>
      </c>
      <c r="K81">
        <f ca="1">DAYS360(INDIRECT(C68&amp;ROW()),TODAY())</f>
        <v>724</v>
      </c>
      <c r="L81">
        <f ca="1">DAYS360(INDIRECT(C69&amp;ROW()),TODAY())</f>
        <v>929</v>
      </c>
      <c r="M81" s="11">
        <f ca="1">HYPERLINK(CONCATENATE("https://bugzilla.houston.hp.com:1181/bugzilla/show_bug.cgi?id=",INDIRECT(C70&amp;ROW())),INDIRECT(C70&amp;ROW()))</f>
        <v>51087</v>
      </c>
      <c r="N81">
        <v>51087</v>
      </c>
      <c r="O81" t="s">
        <v>56</v>
      </c>
      <c r="P81" t="s">
        <v>431</v>
      </c>
      <c r="Q81" t="s">
        <v>25</v>
      </c>
      <c r="R81" t="s">
        <v>251</v>
      </c>
      <c r="S81" t="s">
        <v>53</v>
      </c>
      <c r="U81" s="6">
        <v>42122.352916666663</v>
      </c>
      <c r="V81" t="s">
        <v>18</v>
      </c>
      <c r="W81" t="s">
        <v>17</v>
      </c>
      <c r="X81" s="6">
        <v>41915.6015162037</v>
      </c>
      <c r="Y81" t="s">
        <v>122</v>
      </c>
      <c r="AB81" t="s">
        <v>201</v>
      </c>
      <c r="AC81" t="s">
        <v>247</v>
      </c>
      <c r="AD81" t="s">
        <v>220</v>
      </c>
      <c r="AE81" t="s">
        <v>219</v>
      </c>
      <c r="AG81" t="s">
        <v>121</v>
      </c>
      <c r="AH81" t="s">
        <v>327</v>
      </c>
      <c r="AI81" t="s">
        <v>121</v>
      </c>
      <c r="AJ81" t="s">
        <v>716</v>
      </c>
      <c r="AK81" t="s">
        <v>121</v>
      </c>
    </row>
    <row r="82" spans="1:37" x14ac:dyDescent="0.3">
      <c r="A82" t="s">
        <v>157</v>
      </c>
      <c r="B82" t="s">
        <v>161</v>
      </c>
      <c r="I82">
        <f ca="1">IF(OR(INDIRECT(A73&amp;ROW())=B93,INDIRECT(A73&amp;ROW())=B94),1,IF(AND(INDIRECT(A73&amp;ROW())=B95,INDIRECT(A96&amp;ROW())=C93),1,IF(AND(INDIRECT(A73&amp;ROW())=B95,INDIRECT(A96&amp;ROW())=C94),1,0)))</f>
        <v>0</v>
      </c>
      <c r="J82">
        <f ca="1">IF(AND(INDIRECT(A73&amp;ROW())=B95,INDIRECT(A96&amp;ROW())=C95),1,IF(AND(INDIRECT(A73&amp;ROW())=B95,INDIRECT(A96&amp;ROW())=C96),1,0))</f>
        <v>1</v>
      </c>
      <c r="K82">
        <f ca="1">DAYS360(INDIRECT(C68&amp;ROW()),TODAY())</f>
        <v>691</v>
      </c>
      <c r="L82">
        <f ca="1">DAYS360(INDIRECT(C69&amp;ROW()),TODAY())</f>
        <v>929</v>
      </c>
      <c r="M82" s="11">
        <f ca="1">HYPERLINK(CONCATENATE("https://bugzilla.houston.hp.com:1181/bugzilla/show_bug.cgi?id=",INDIRECT(C70&amp;ROW())),INDIRECT(C70&amp;ROW()))</f>
        <v>51092</v>
      </c>
      <c r="N82">
        <v>51092</v>
      </c>
      <c r="O82" t="s">
        <v>22</v>
      </c>
      <c r="P82" t="s">
        <v>430</v>
      </c>
      <c r="Q82" t="s">
        <v>25</v>
      </c>
      <c r="R82" t="s">
        <v>251</v>
      </c>
      <c r="S82" t="s">
        <v>22</v>
      </c>
      <c r="T82" t="s">
        <v>794</v>
      </c>
      <c r="U82" s="6">
        <v>42156.258032407408</v>
      </c>
      <c r="V82" t="s">
        <v>40</v>
      </c>
      <c r="W82" t="s">
        <v>17</v>
      </c>
      <c r="X82" s="6">
        <v>41915.671134259261</v>
      </c>
      <c r="Y82" t="s">
        <v>122</v>
      </c>
      <c r="AB82" t="s">
        <v>201</v>
      </c>
      <c r="AC82" t="s">
        <v>247</v>
      </c>
      <c r="AD82" t="s">
        <v>220</v>
      </c>
      <c r="AE82" t="s">
        <v>219</v>
      </c>
      <c r="AG82" t="s">
        <v>337</v>
      </c>
      <c r="AH82" t="s">
        <v>327</v>
      </c>
      <c r="AI82" t="s">
        <v>121</v>
      </c>
      <c r="AJ82" t="s">
        <v>716</v>
      </c>
      <c r="AK82" t="s">
        <v>121</v>
      </c>
    </row>
    <row r="83" spans="1:37" x14ac:dyDescent="0.3">
      <c r="A83" t="s">
        <v>158</v>
      </c>
      <c r="B83" t="s">
        <v>162</v>
      </c>
      <c r="I83">
        <f ca="1">IF(OR(INDIRECT(A73&amp;ROW())=B93,INDIRECT(A73&amp;ROW())=B94),1,IF(AND(INDIRECT(A73&amp;ROW())=B95,INDIRECT(A96&amp;ROW())=C93),1,IF(AND(INDIRECT(A73&amp;ROW())=B95,INDIRECT(A96&amp;ROW())=C94),1,0)))</f>
        <v>1</v>
      </c>
      <c r="J83">
        <f ca="1">IF(AND(INDIRECT(A73&amp;ROW())=B95,INDIRECT(A96&amp;ROW())=C95),1,IF(AND(INDIRECT(A73&amp;ROW())=B95,INDIRECT(A96&amp;ROW())=C96),1,0))</f>
        <v>0</v>
      </c>
      <c r="K83">
        <f ca="1">DAYS360(INDIRECT(C68&amp;ROW()),TODAY())</f>
        <v>666</v>
      </c>
      <c r="L83">
        <f ca="1">DAYS360(INDIRECT(C69&amp;ROW()),TODAY())</f>
        <v>929</v>
      </c>
      <c r="M83" s="11">
        <f ca="1">HYPERLINK(CONCATENATE("https://bugzilla.houston.hp.com:1181/bugzilla/show_bug.cgi?id=",INDIRECT(C70&amp;ROW())),INDIRECT(C70&amp;ROW()))</f>
        <v>51093</v>
      </c>
      <c r="N83">
        <v>51093</v>
      </c>
      <c r="O83" t="s">
        <v>56</v>
      </c>
      <c r="P83" t="s">
        <v>1324</v>
      </c>
      <c r="Q83" t="s">
        <v>25</v>
      </c>
      <c r="R83" t="s">
        <v>251</v>
      </c>
      <c r="S83" t="s">
        <v>177</v>
      </c>
      <c r="U83" s="6">
        <v>42181.680798611109</v>
      </c>
      <c r="V83" t="s">
        <v>40</v>
      </c>
      <c r="W83" t="s">
        <v>783</v>
      </c>
      <c r="X83" s="6">
        <v>41915.693078703705</v>
      </c>
      <c r="Y83" t="s">
        <v>245</v>
      </c>
      <c r="AB83" t="s">
        <v>200</v>
      </c>
      <c r="AC83" t="s">
        <v>247</v>
      </c>
      <c r="AD83" t="s">
        <v>220</v>
      </c>
      <c r="AE83" t="s">
        <v>219</v>
      </c>
      <c r="AG83" t="s">
        <v>1082</v>
      </c>
      <c r="AH83" t="s">
        <v>64</v>
      </c>
      <c r="AI83" t="s">
        <v>121</v>
      </c>
      <c r="AJ83" t="s">
        <v>715</v>
      </c>
      <c r="AK83" t="s">
        <v>121</v>
      </c>
    </row>
    <row r="84" spans="1:37" x14ac:dyDescent="0.3">
      <c r="A84" t="s">
        <v>159</v>
      </c>
      <c r="B84" t="s">
        <v>163</v>
      </c>
      <c r="I84">
        <f ca="1">IF(OR(INDIRECT(A73&amp;ROW())=B93,INDIRECT(A73&amp;ROW())=B94),1,IF(AND(INDIRECT(A73&amp;ROW())=B95,INDIRECT(A96&amp;ROW())=C93),1,IF(AND(INDIRECT(A73&amp;ROW())=B95,INDIRECT(A96&amp;ROW())=C94),1,0)))</f>
        <v>0</v>
      </c>
      <c r="J84">
        <f ca="1">IF(AND(INDIRECT(A73&amp;ROW())=B95,INDIRECT(A96&amp;ROW())=C95),1,IF(AND(INDIRECT(A73&amp;ROW())=B95,INDIRECT(A96&amp;ROW())=C96),1,0))</f>
        <v>1</v>
      </c>
      <c r="K84">
        <f ca="1">DAYS360(INDIRECT(C68&amp;ROW()),TODAY())</f>
        <v>690</v>
      </c>
      <c r="L84">
        <f ca="1">DAYS360(INDIRECT(C69&amp;ROW()),TODAY())</f>
        <v>925</v>
      </c>
      <c r="M84" s="11">
        <f ca="1">HYPERLINK(CONCATENATE("https://bugzilla.houston.hp.com:1181/bugzilla/show_bug.cgi?id=",INDIRECT(C70&amp;ROW())),INDIRECT(C70&amp;ROW()))</f>
        <v>51177</v>
      </c>
      <c r="N84">
        <v>51177</v>
      </c>
      <c r="O84" t="s">
        <v>66</v>
      </c>
      <c r="P84" t="s">
        <v>1051</v>
      </c>
      <c r="Q84" t="s">
        <v>25</v>
      </c>
      <c r="R84" t="s">
        <v>251</v>
      </c>
      <c r="S84" t="s">
        <v>33</v>
      </c>
      <c r="T84" t="s">
        <v>794</v>
      </c>
      <c r="U84" s="6">
        <v>42157.088888888888</v>
      </c>
      <c r="V84" t="s">
        <v>35</v>
      </c>
      <c r="W84" t="s">
        <v>17</v>
      </c>
      <c r="X84" s="6">
        <v>41919.239328703705</v>
      </c>
      <c r="Y84" t="s">
        <v>119</v>
      </c>
      <c r="AB84" t="s">
        <v>201</v>
      </c>
      <c r="AC84" t="s">
        <v>247</v>
      </c>
      <c r="AD84" t="s">
        <v>220</v>
      </c>
      <c r="AE84" t="s">
        <v>223</v>
      </c>
      <c r="AG84" t="s">
        <v>121</v>
      </c>
      <c r="AH84" t="s">
        <v>64</v>
      </c>
      <c r="AI84" t="s">
        <v>121</v>
      </c>
      <c r="AJ84" t="s">
        <v>716</v>
      </c>
      <c r="AK84" t="s">
        <v>121</v>
      </c>
    </row>
    <row r="85" spans="1:37" x14ac:dyDescent="0.3">
      <c r="A85" t="s">
        <v>251</v>
      </c>
      <c r="B85" t="s">
        <v>163</v>
      </c>
      <c r="I85">
        <f ca="1">IF(OR(INDIRECT(A73&amp;ROW())=B93,INDIRECT(A73&amp;ROW())=B94),1,IF(AND(INDIRECT(A73&amp;ROW())=B95,INDIRECT(A96&amp;ROW())=C93),1,IF(AND(INDIRECT(A73&amp;ROW())=B95,INDIRECT(A96&amp;ROW())=C94),1,0)))</f>
        <v>0</v>
      </c>
      <c r="J85">
        <f ca="1">IF(AND(INDIRECT(A73&amp;ROW())=B95,INDIRECT(A96&amp;ROW())=C95),1,IF(AND(INDIRECT(A73&amp;ROW())=B95,INDIRECT(A96&amp;ROW())=C96),1,0))</f>
        <v>1</v>
      </c>
      <c r="K85">
        <f ca="1">DAYS360(INDIRECT(C68&amp;ROW()),TODAY())</f>
        <v>724</v>
      </c>
      <c r="L85">
        <f ca="1">DAYS360(INDIRECT(C69&amp;ROW()),TODAY())</f>
        <v>925</v>
      </c>
      <c r="M85" s="11">
        <f ca="1">HYPERLINK(CONCATENATE("https://bugzilla.houston.hp.com:1181/bugzilla/show_bug.cgi?id=",INDIRECT(C70&amp;ROW())),INDIRECT(C70&amp;ROW()))</f>
        <v>51197</v>
      </c>
      <c r="N85">
        <v>51197</v>
      </c>
      <c r="O85" t="s">
        <v>45</v>
      </c>
      <c r="P85" t="s">
        <v>429</v>
      </c>
      <c r="Q85" t="s">
        <v>25</v>
      </c>
      <c r="R85" t="s">
        <v>251</v>
      </c>
      <c r="S85" t="s">
        <v>45</v>
      </c>
      <c r="T85" t="s">
        <v>287</v>
      </c>
      <c r="U85" s="6">
        <v>42122.350775462961</v>
      </c>
      <c r="V85" t="s">
        <v>35</v>
      </c>
      <c r="W85" t="s">
        <v>17</v>
      </c>
      <c r="X85" s="6">
        <v>41919.538078703707</v>
      </c>
      <c r="Y85" t="s">
        <v>122</v>
      </c>
      <c r="AB85" t="s">
        <v>201</v>
      </c>
      <c r="AC85" t="s">
        <v>247</v>
      </c>
      <c r="AD85" t="s">
        <v>227</v>
      </c>
      <c r="AE85" t="s">
        <v>226</v>
      </c>
      <c r="AG85" t="s">
        <v>121</v>
      </c>
      <c r="AH85" t="s">
        <v>327</v>
      </c>
      <c r="AI85" t="s">
        <v>121</v>
      </c>
      <c r="AJ85" t="s">
        <v>716</v>
      </c>
      <c r="AK85" t="s">
        <v>121</v>
      </c>
    </row>
    <row r="86" spans="1:37" x14ac:dyDescent="0.3">
      <c r="A86" t="s">
        <v>166</v>
      </c>
      <c r="I86">
        <f ca="1">IF(OR(INDIRECT(A73&amp;ROW())=B93,INDIRECT(A73&amp;ROW())=B94),1,IF(AND(INDIRECT(A73&amp;ROW())=B95,INDIRECT(A96&amp;ROW())=C93),1,IF(AND(INDIRECT(A73&amp;ROW())=B95,INDIRECT(A96&amp;ROW())=C94),1,0)))</f>
        <v>0</v>
      </c>
      <c r="J86">
        <f ca="1">IF(AND(INDIRECT(A73&amp;ROW())=B95,INDIRECT(A96&amp;ROW())=C95),1,IF(AND(INDIRECT(A73&amp;ROW())=B95,INDIRECT(A96&amp;ROW())=C96),1,0))</f>
        <v>0</v>
      </c>
      <c r="K86">
        <f ca="1">DAYS360(INDIRECT(C68&amp;ROW()),TODAY())</f>
        <v>721</v>
      </c>
      <c r="L86">
        <f ca="1">DAYS360(INDIRECT(C69&amp;ROW()),TODAY())</f>
        <v>924</v>
      </c>
      <c r="M86" s="11">
        <f ca="1">HYPERLINK(CONCATENATE("https://bugzilla.houston.hp.com:1181/bugzilla/show_bug.cgi?id=",INDIRECT(C70&amp;ROW())),INDIRECT(C70&amp;ROW()))</f>
        <v>51276</v>
      </c>
      <c r="N86">
        <v>51276</v>
      </c>
      <c r="O86" t="s">
        <v>88</v>
      </c>
      <c r="P86" t="s">
        <v>428</v>
      </c>
      <c r="Q86" t="s">
        <v>16</v>
      </c>
      <c r="R86" t="s">
        <v>251</v>
      </c>
      <c r="S86" t="s">
        <v>294</v>
      </c>
      <c r="U86" s="6">
        <v>42125.446319444447</v>
      </c>
      <c r="V86" t="s">
        <v>18</v>
      </c>
      <c r="W86" t="s">
        <v>17</v>
      </c>
      <c r="X86" s="6">
        <v>41920.661064814813</v>
      </c>
      <c r="Y86" t="s">
        <v>122</v>
      </c>
      <c r="AB86" t="s">
        <v>201</v>
      </c>
      <c r="AC86" t="s">
        <v>247</v>
      </c>
      <c r="AD86" t="s">
        <v>222</v>
      </c>
      <c r="AE86" t="s">
        <v>225</v>
      </c>
      <c r="AG86" t="s">
        <v>121</v>
      </c>
      <c r="AH86" t="s">
        <v>327</v>
      </c>
      <c r="AI86" t="s">
        <v>121</v>
      </c>
      <c r="AJ86" t="s">
        <v>717</v>
      </c>
      <c r="AK86" t="s">
        <v>121</v>
      </c>
    </row>
    <row r="87" spans="1:37" x14ac:dyDescent="0.3">
      <c r="A87" t="s">
        <v>169</v>
      </c>
      <c r="B87" t="s">
        <v>163</v>
      </c>
      <c r="C87" t="s">
        <v>170</v>
      </c>
      <c r="I87">
        <f ca="1">IF(OR(INDIRECT(A73&amp;ROW())=B93,INDIRECT(A73&amp;ROW())=B94),1,IF(AND(INDIRECT(A73&amp;ROW())=B95,INDIRECT(A96&amp;ROW())=C93),1,IF(AND(INDIRECT(A73&amp;ROW())=B95,INDIRECT(A96&amp;ROW())=C94),1,0)))</f>
        <v>0</v>
      </c>
      <c r="J87">
        <f ca="1">IF(AND(INDIRECT(A73&amp;ROW())=B95,INDIRECT(A96&amp;ROW())=C95),1,IF(AND(INDIRECT(A73&amp;ROW())=B95,INDIRECT(A96&amp;ROW())=C96),1,0))</f>
        <v>0</v>
      </c>
      <c r="K87">
        <f ca="1">DAYS360(INDIRECT(C68&amp;ROW()),TODAY())</f>
        <v>721</v>
      </c>
      <c r="L87">
        <f ca="1">DAYS360(INDIRECT(C69&amp;ROW()),TODAY())</f>
        <v>919</v>
      </c>
      <c r="M87" s="11">
        <f ca="1">HYPERLINK(CONCATENATE("https://bugzilla.houston.hp.com:1181/bugzilla/show_bug.cgi?id=",INDIRECT(C70&amp;ROW())),INDIRECT(C70&amp;ROW()))</f>
        <v>51523</v>
      </c>
      <c r="N87">
        <v>51523</v>
      </c>
      <c r="O87" t="s">
        <v>21</v>
      </c>
      <c r="P87" t="s">
        <v>427</v>
      </c>
      <c r="Q87" t="s">
        <v>16</v>
      </c>
      <c r="R87" t="s">
        <v>251</v>
      </c>
      <c r="S87" t="s">
        <v>22</v>
      </c>
      <c r="U87" s="6">
        <v>42125.447500000002</v>
      </c>
      <c r="V87" t="s">
        <v>18</v>
      </c>
      <c r="W87" t="s">
        <v>17</v>
      </c>
      <c r="X87" s="6">
        <v>41925.70585648148</v>
      </c>
      <c r="Y87" t="s">
        <v>122</v>
      </c>
      <c r="AB87" t="s">
        <v>201</v>
      </c>
      <c r="AC87" t="s">
        <v>247</v>
      </c>
      <c r="AD87" t="s">
        <v>222</v>
      </c>
      <c r="AE87" t="s">
        <v>225</v>
      </c>
      <c r="AG87" t="s">
        <v>121</v>
      </c>
      <c r="AH87" t="s">
        <v>327</v>
      </c>
      <c r="AI87" t="s">
        <v>121</v>
      </c>
      <c r="AJ87" t="s">
        <v>717</v>
      </c>
      <c r="AK87" t="s">
        <v>121</v>
      </c>
    </row>
    <row r="88" spans="1:37" x14ac:dyDescent="0.3">
      <c r="A88" t="s">
        <v>261</v>
      </c>
      <c r="I88">
        <f ca="1">IF(OR(INDIRECT(A73&amp;ROW())=B93,INDIRECT(A73&amp;ROW())=B94),1,IF(AND(INDIRECT(A73&amp;ROW())=B95,INDIRECT(A96&amp;ROW())=C93),1,IF(AND(INDIRECT(A73&amp;ROW())=B95,INDIRECT(A96&amp;ROW())=C94),1,0)))</f>
        <v>0</v>
      </c>
      <c r="J88">
        <f ca="1">IF(AND(INDIRECT(A73&amp;ROW())=B95,INDIRECT(A96&amp;ROW())=C95),1,IF(AND(INDIRECT(A73&amp;ROW())=B95,INDIRECT(A96&amp;ROW())=C96),1,0))</f>
        <v>0</v>
      </c>
      <c r="K88">
        <f ca="1">DAYS360(INDIRECT(C68&amp;ROW()),TODAY())</f>
        <v>710</v>
      </c>
      <c r="L88">
        <f ca="1">DAYS360(INDIRECT(C69&amp;ROW()),TODAY())</f>
        <v>918</v>
      </c>
      <c r="M88" s="11">
        <f ca="1">HYPERLINK(CONCATENATE("https://bugzilla.houston.hp.com:1181/bugzilla/show_bug.cgi?id=",INDIRECT(C70&amp;ROW())),INDIRECT(C70&amp;ROW()))</f>
        <v>51589</v>
      </c>
      <c r="N88">
        <v>51589</v>
      </c>
      <c r="O88" t="s">
        <v>66</v>
      </c>
      <c r="P88" t="s">
        <v>1050</v>
      </c>
      <c r="Q88" t="s">
        <v>16</v>
      </c>
      <c r="R88" t="s">
        <v>251</v>
      </c>
      <c r="S88" t="s">
        <v>66</v>
      </c>
      <c r="U88" s="6">
        <v>42136.635497685187</v>
      </c>
      <c r="V88" t="s">
        <v>18</v>
      </c>
      <c r="W88" t="s">
        <v>17</v>
      </c>
      <c r="X88" s="6">
        <v>41926.76421296296</v>
      </c>
      <c r="Y88" t="s">
        <v>255</v>
      </c>
      <c r="AB88" t="s">
        <v>201</v>
      </c>
      <c r="AC88" t="s">
        <v>247</v>
      </c>
      <c r="AD88" t="s">
        <v>220</v>
      </c>
      <c r="AE88" t="s">
        <v>219</v>
      </c>
      <c r="AG88" t="s">
        <v>121</v>
      </c>
      <c r="AH88" t="s">
        <v>327</v>
      </c>
      <c r="AI88" t="s">
        <v>121</v>
      </c>
      <c r="AJ88" t="s">
        <v>716</v>
      </c>
      <c r="AK88" t="s">
        <v>121</v>
      </c>
    </row>
    <row r="89" spans="1:37" x14ac:dyDescent="0.3">
      <c r="A89" t="s">
        <v>158</v>
      </c>
      <c r="I89">
        <f ca="1">IF(OR(INDIRECT(A73&amp;ROW())=B93,INDIRECT(A73&amp;ROW())=B94),1,IF(AND(INDIRECT(A73&amp;ROW())=B95,INDIRECT(A96&amp;ROW())=C93),1,IF(AND(INDIRECT(A73&amp;ROW())=B95,INDIRECT(A96&amp;ROW())=C94),1,0)))</f>
        <v>0</v>
      </c>
      <c r="J89">
        <f ca="1">IF(AND(INDIRECT(A73&amp;ROW())=B95,INDIRECT(A96&amp;ROW())=C95),1,IF(AND(INDIRECT(A73&amp;ROW())=B95,INDIRECT(A96&amp;ROW())=C96),1,0))</f>
        <v>0</v>
      </c>
      <c r="K89">
        <f ca="1">DAYS360(INDIRECT(C68&amp;ROW()),TODAY())</f>
        <v>688</v>
      </c>
      <c r="L89">
        <f ca="1">DAYS360(INDIRECT(C69&amp;ROW()),TODAY())</f>
        <v>912</v>
      </c>
      <c r="M89" s="11">
        <f ca="1">HYPERLINK(CONCATENATE("https://bugzilla.houston.hp.com:1181/bugzilla/show_bug.cgi?id=",INDIRECT(C70&amp;ROW())),INDIRECT(C70&amp;ROW()))</f>
        <v>51898</v>
      </c>
      <c r="N89">
        <v>51898</v>
      </c>
      <c r="O89" t="s">
        <v>56</v>
      </c>
      <c r="P89" t="s">
        <v>683</v>
      </c>
      <c r="Q89" t="s">
        <v>16</v>
      </c>
      <c r="R89" t="s">
        <v>251</v>
      </c>
      <c r="S89" t="s">
        <v>323</v>
      </c>
      <c r="U89" s="6">
        <v>42159.550162037034</v>
      </c>
      <c r="V89" t="s">
        <v>18</v>
      </c>
      <c r="W89" t="s">
        <v>17</v>
      </c>
      <c r="X89" s="6">
        <v>41932.742824074077</v>
      </c>
      <c r="Y89" t="s">
        <v>122</v>
      </c>
      <c r="AB89" t="s">
        <v>200</v>
      </c>
      <c r="AC89" t="s">
        <v>247</v>
      </c>
      <c r="AD89" t="s">
        <v>220</v>
      </c>
      <c r="AE89" t="s">
        <v>219</v>
      </c>
      <c r="AG89" t="s">
        <v>121</v>
      </c>
      <c r="AH89" t="s">
        <v>64</v>
      </c>
      <c r="AI89" t="s">
        <v>121</v>
      </c>
      <c r="AJ89" t="s">
        <v>716</v>
      </c>
      <c r="AK89" t="s">
        <v>121</v>
      </c>
    </row>
    <row r="90" spans="1:37" x14ac:dyDescent="0.3">
      <c r="A90" t="s">
        <v>262</v>
      </c>
      <c r="I90">
        <f ca="1">IF(OR(INDIRECT(A73&amp;ROW())=B93,INDIRECT(A73&amp;ROW())=B94),1,IF(AND(INDIRECT(A73&amp;ROW())=B95,INDIRECT(A96&amp;ROW())=C93),1,IF(AND(INDIRECT(A73&amp;ROW())=B95,INDIRECT(A96&amp;ROW())=C94),1,0)))</f>
        <v>0</v>
      </c>
      <c r="J90">
        <f ca="1">IF(AND(INDIRECT(A73&amp;ROW())=B95,INDIRECT(A96&amp;ROW())=C95),1,IF(AND(INDIRECT(A73&amp;ROW())=B95,INDIRECT(A96&amp;ROW())=C96),1,0))</f>
        <v>0</v>
      </c>
      <c r="K90">
        <f ca="1">DAYS360(INDIRECT(C68&amp;ROW()),TODAY())</f>
        <v>721</v>
      </c>
      <c r="L90">
        <f ca="1">DAYS360(INDIRECT(C69&amp;ROW()),TODAY())</f>
        <v>908</v>
      </c>
      <c r="M90" s="11">
        <f ca="1">HYPERLINK(CONCATENATE("https://bugzilla.houston.hp.com:1181/bugzilla/show_bug.cgi?id=",INDIRECT(C70&amp;ROW())),INDIRECT(C70&amp;ROW()))</f>
        <v>52136</v>
      </c>
      <c r="N90">
        <v>52136</v>
      </c>
      <c r="O90" t="s">
        <v>65</v>
      </c>
      <c r="P90" t="s">
        <v>426</v>
      </c>
      <c r="Q90" t="s">
        <v>16</v>
      </c>
      <c r="R90" t="s">
        <v>251</v>
      </c>
      <c r="S90" t="s">
        <v>43</v>
      </c>
      <c r="U90" s="6">
        <v>42125.447581018518</v>
      </c>
      <c r="V90" t="s">
        <v>18</v>
      </c>
      <c r="W90" t="s">
        <v>17</v>
      </c>
      <c r="X90" s="6">
        <v>41936.676226851851</v>
      </c>
      <c r="Y90" t="s">
        <v>122</v>
      </c>
      <c r="AB90" t="s">
        <v>201</v>
      </c>
      <c r="AC90" t="s">
        <v>247</v>
      </c>
      <c r="AD90" t="s">
        <v>220</v>
      </c>
      <c r="AE90" t="s">
        <v>219</v>
      </c>
      <c r="AG90" t="s">
        <v>121</v>
      </c>
      <c r="AH90" t="s">
        <v>64</v>
      </c>
      <c r="AI90" t="s">
        <v>121</v>
      </c>
      <c r="AJ90" t="s">
        <v>717</v>
      </c>
      <c r="AK90" t="s">
        <v>121</v>
      </c>
    </row>
    <row r="91" spans="1:37" x14ac:dyDescent="0.3">
      <c r="A91" t="s">
        <v>229</v>
      </c>
      <c r="I91">
        <f ca="1">IF(OR(INDIRECT(A73&amp;ROW())=B93,INDIRECT(A73&amp;ROW())=B94),1,IF(AND(INDIRECT(A73&amp;ROW())=B95,INDIRECT(A96&amp;ROW())=C93),1,IF(AND(INDIRECT(A73&amp;ROW())=B95,INDIRECT(A96&amp;ROW())=C94),1,0)))</f>
        <v>0</v>
      </c>
      <c r="J91">
        <f ca="1">IF(AND(INDIRECT(A73&amp;ROW())=B95,INDIRECT(A96&amp;ROW())=C95),1,IF(AND(INDIRECT(A73&amp;ROW())=B95,INDIRECT(A96&amp;ROW())=C96),1,0))</f>
        <v>0</v>
      </c>
      <c r="K91">
        <f ca="1">DAYS360(INDIRECT(C68&amp;ROW()),TODAY())</f>
        <v>721</v>
      </c>
      <c r="L91">
        <f ca="1">DAYS360(INDIRECT(C69&amp;ROW()),TODAY())</f>
        <v>904</v>
      </c>
      <c r="M91" s="11">
        <f ca="1">HYPERLINK(CONCATENATE("https://bugzilla.houston.hp.com:1181/bugzilla/show_bug.cgi?id=",INDIRECT(C70&amp;ROW())),INDIRECT(C70&amp;ROW()))</f>
        <v>52294</v>
      </c>
      <c r="N91">
        <v>52294</v>
      </c>
      <c r="O91" t="s">
        <v>56</v>
      </c>
      <c r="P91" t="s">
        <v>682</v>
      </c>
      <c r="Q91" t="s">
        <v>16</v>
      </c>
      <c r="R91" t="s">
        <v>251</v>
      </c>
      <c r="S91" t="s">
        <v>323</v>
      </c>
      <c r="T91" t="s">
        <v>353</v>
      </c>
      <c r="U91" s="6">
        <v>42125.447696759256</v>
      </c>
      <c r="V91" t="s">
        <v>18</v>
      </c>
      <c r="W91" t="s">
        <v>17</v>
      </c>
      <c r="X91" s="6">
        <v>41940.594814814816</v>
      </c>
      <c r="Y91" t="s">
        <v>122</v>
      </c>
      <c r="AB91" t="s">
        <v>200</v>
      </c>
      <c r="AC91" t="s">
        <v>247</v>
      </c>
      <c r="AD91" t="s">
        <v>220</v>
      </c>
      <c r="AE91" t="s">
        <v>219</v>
      </c>
      <c r="AG91" t="s">
        <v>121</v>
      </c>
      <c r="AH91" t="s">
        <v>64</v>
      </c>
      <c r="AI91" t="s">
        <v>121</v>
      </c>
      <c r="AJ91" t="s">
        <v>716</v>
      </c>
      <c r="AK91" t="s">
        <v>121</v>
      </c>
    </row>
    <row r="92" spans="1:37" x14ac:dyDescent="0.3">
      <c r="A92" t="s">
        <v>242</v>
      </c>
      <c r="B92" t="s">
        <v>375</v>
      </c>
      <c r="I92">
        <f ca="1">IF(OR(INDIRECT(A73&amp;ROW())=B93,INDIRECT(A73&amp;ROW())=B94),1,IF(AND(INDIRECT(A73&amp;ROW())=B95,INDIRECT(A96&amp;ROW())=C93),1,IF(AND(INDIRECT(A73&amp;ROW())=B95,INDIRECT(A96&amp;ROW())=C94),1,0)))</f>
        <v>0</v>
      </c>
      <c r="J92">
        <f ca="1">IF(AND(INDIRECT(A73&amp;ROW())=B95,INDIRECT(A96&amp;ROW())=C95),1,IF(AND(INDIRECT(A73&amp;ROW())=B95,INDIRECT(A96&amp;ROW())=C96),1,0))</f>
        <v>1</v>
      </c>
      <c r="K92">
        <f ca="1">DAYS360(INDIRECT(C68&amp;ROW()),TODAY())</f>
        <v>730</v>
      </c>
      <c r="L92">
        <f ca="1">DAYS360(INDIRECT(C69&amp;ROW()),TODAY())</f>
        <v>903</v>
      </c>
      <c r="M92" s="11">
        <f ca="1">HYPERLINK(CONCATENATE("https://bugzilla.houston.hp.com:1181/bugzilla/show_bug.cgi?id=",INDIRECT(C70&amp;ROW())),INDIRECT(C70&amp;ROW()))</f>
        <v>52318</v>
      </c>
      <c r="N92">
        <v>52318</v>
      </c>
      <c r="O92" t="s">
        <v>19</v>
      </c>
      <c r="P92" t="s">
        <v>492</v>
      </c>
      <c r="Q92" t="s">
        <v>25</v>
      </c>
      <c r="R92" t="s">
        <v>251</v>
      </c>
      <c r="S92" t="s">
        <v>354</v>
      </c>
      <c r="U92" s="6">
        <v>42116.542094907411</v>
      </c>
      <c r="V92" t="s">
        <v>18</v>
      </c>
      <c r="W92" t="s">
        <v>17</v>
      </c>
      <c r="X92" s="6">
        <v>41941.160590277781</v>
      </c>
      <c r="Y92" t="s">
        <v>255</v>
      </c>
      <c r="AB92" t="s">
        <v>201</v>
      </c>
      <c r="AC92" t="s">
        <v>247</v>
      </c>
      <c r="AD92" t="s">
        <v>220</v>
      </c>
      <c r="AE92" t="s">
        <v>219</v>
      </c>
      <c r="AG92" t="s">
        <v>121</v>
      </c>
      <c r="AH92" t="s">
        <v>64</v>
      </c>
      <c r="AI92" t="s">
        <v>121</v>
      </c>
      <c r="AJ92" t="s">
        <v>716</v>
      </c>
      <c r="AK92" t="s">
        <v>121</v>
      </c>
    </row>
    <row r="93" spans="1:37" x14ac:dyDescent="0.3">
      <c r="A93" t="s">
        <v>18</v>
      </c>
      <c r="B93" t="s">
        <v>38</v>
      </c>
      <c r="C93" t="s">
        <v>199</v>
      </c>
      <c r="I93">
        <f ca="1">IF(OR(INDIRECT(A73&amp;ROW())=B93,INDIRECT(A73&amp;ROW())=B94),1,IF(AND(INDIRECT(A73&amp;ROW())=B95,INDIRECT(A96&amp;ROW())=C93),1,IF(AND(INDIRECT(A73&amp;ROW())=B95,INDIRECT(A96&amp;ROW())=C94),1,0)))</f>
        <v>0</v>
      </c>
      <c r="J93">
        <f ca="1">IF(AND(INDIRECT(A73&amp;ROW())=B95,INDIRECT(A96&amp;ROW())=C95),1,IF(AND(INDIRECT(A73&amp;ROW())=B95,INDIRECT(A96&amp;ROW())=C96),1,0))</f>
        <v>0</v>
      </c>
      <c r="K93">
        <f ca="1">DAYS360(INDIRECT(C68&amp;ROW()),TODAY())</f>
        <v>721</v>
      </c>
      <c r="L93">
        <f ca="1">DAYS360(INDIRECT(C69&amp;ROW()),TODAY())</f>
        <v>902</v>
      </c>
      <c r="M93" s="11">
        <f ca="1">HYPERLINK(CONCATENATE("https://bugzilla.houston.hp.com:1181/bugzilla/show_bug.cgi?id=",INDIRECT(C70&amp;ROW())),INDIRECT(C70&amp;ROW()))</f>
        <v>52390</v>
      </c>
      <c r="N93">
        <v>52390</v>
      </c>
      <c r="O93" t="s">
        <v>249</v>
      </c>
      <c r="P93" t="s">
        <v>681</v>
      </c>
      <c r="Q93" t="s">
        <v>16</v>
      </c>
      <c r="R93" t="s">
        <v>251</v>
      </c>
      <c r="S93" t="s">
        <v>36</v>
      </c>
      <c r="U93" s="6">
        <v>42125.447604166664</v>
      </c>
      <c r="V93" t="s">
        <v>18</v>
      </c>
      <c r="W93" t="s">
        <v>17</v>
      </c>
      <c r="X93" s="6">
        <v>41942.304166666669</v>
      </c>
      <c r="Y93" t="s">
        <v>122</v>
      </c>
      <c r="AB93" t="s">
        <v>201</v>
      </c>
      <c r="AC93" t="s">
        <v>247</v>
      </c>
      <c r="AD93" t="s">
        <v>220</v>
      </c>
      <c r="AE93" t="s">
        <v>223</v>
      </c>
      <c r="AG93" t="s">
        <v>121</v>
      </c>
      <c r="AH93" t="s">
        <v>64</v>
      </c>
      <c r="AI93" t="s">
        <v>121</v>
      </c>
      <c r="AJ93" t="s">
        <v>717</v>
      </c>
      <c r="AK93" t="s">
        <v>121</v>
      </c>
    </row>
    <row r="94" spans="1:37" x14ac:dyDescent="0.3">
      <c r="A94" t="s">
        <v>35</v>
      </c>
      <c r="B94" t="s">
        <v>39</v>
      </c>
      <c r="C94" t="s">
        <v>200</v>
      </c>
      <c r="I94">
        <f ca="1">IF(OR(INDIRECT(A73&amp;ROW())=B93,INDIRECT(A73&amp;ROW())=B94),1,IF(AND(INDIRECT(A73&amp;ROW())=B95,INDIRECT(A96&amp;ROW())=C93),1,IF(AND(INDIRECT(A73&amp;ROW())=B95,INDIRECT(A96&amp;ROW())=C94),1,0)))</f>
        <v>0</v>
      </c>
      <c r="J94">
        <f ca="1">IF(AND(INDIRECT(A73&amp;ROW())=B95,INDIRECT(A96&amp;ROW())=C95),1,IF(AND(INDIRECT(A73&amp;ROW())=B95,INDIRECT(A96&amp;ROW())=C96),1,0))</f>
        <v>0</v>
      </c>
      <c r="K94">
        <f ca="1">DAYS360(INDIRECT(C68&amp;ROW()),TODAY())</f>
        <v>721</v>
      </c>
      <c r="L94">
        <f ca="1">DAYS360(INDIRECT(C69&amp;ROW()),TODAY())</f>
        <v>902</v>
      </c>
      <c r="M94" s="11">
        <f ca="1">HYPERLINK(CONCATENATE("https://bugzilla.houston.hp.com:1181/bugzilla/show_bug.cgi?id=",INDIRECT(C70&amp;ROW())),INDIRECT(C70&amp;ROW()))</f>
        <v>52482</v>
      </c>
      <c r="N94">
        <v>52482</v>
      </c>
      <c r="O94" t="s">
        <v>66</v>
      </c>
      <c r="P94" t="s">
        <v>743</v>
      </c>
      <c r="Q94" t="s">
        <v>16</v>
      </c>
      <c r="R94" t="s">
        <v>251</v>
      </c>
      <c r="S94" t="s">
        <v>323</v>
      </c>
      <c r="U94" s="6">
        <v>42125.447534722225</v>
      </c>
      <c r="V94" t="s">
        <v>18</v>
      </c>
      <c r="W94" t="s">
        <v>17</v>
      </c>
      <c r="X94" s="6">
        <v>41943.450358796297</v>
      </c>
      <c r="Y94" t="s">
        <v>122</v>
      </c>
      <c r="AB94" t="s">
        <v>201</v>
      </c>
      <c r="AC94" t="s">
        <v>247</v>
      </c>
      <c r="AD94" t="s">
        <v>220</v>
      </c>
      <c r="AE94" t="s">
        <v>219</v>
      </c>
      <c r="AG94" t="s">
        <v>121</v>
      </c>
      <c r="AH94" t="s">
        <v>327</v>
      </c>
      <c r="AI94" t="s">
        <v>121</v>
      </c>
      <c r="AJ94" t="s">
        <v>717</v>
      </c>
      <c r="AK94" t="s">
        <v>121</v>
      </c>
    </row>
    <row r="95" spans="1:37" x14ac:dyDescent="0.3">
      <c r="A95" t="s">
        <v>40</v>
      </c>
      <c r="B95" t="s">
        <v>25</v>
      </c>
      <c r="C95" t="s">
        <v>201</v>
      </c>
      <c r="I95">
        <f ca="1">IF(OR(INDIRECT(A73&amp;ROW())=B93,INDIRECT(A73&amp;ROW())=B94),1,IF(AND(INDIRECT(A73&amp;ROW())=B95,INDIRECT(A96&amp;ROW())=C93),1,IF(AND(INDIRECT(A73&amp;ROW())=B95,INDIRECT(A96&amp;ROW())=C94),1,0)))</f>
        <v>1</v>
      </c>
      <c r="J95">
        <f ca="1">IF(AND(INDIRECT(A73&amp;ROW())=B95,INDIRECT(A96&amp;ROW())=C95),1,IF(AND(INDIRECT(A73&amp;ROW())=B95,INDIRECT(A96&amp;ROW())=C96),1,0))</f>
        <v>0</v>
      </c>
      <c r="K95">
        <f ca="1">DAYS360(INDIRECT(C68&amp;ROW()),TODAY())</f>
        <v>724</v>
      </c>
      <c r="L95">
        <f ca="1">DAYS360(INDIRECT(C69&amp;ROW()),TODAY())</f>
        <v>899</v>
      </c>
      <c r="M95" s="11">
        <f ca="1">HYPERLINK(CONCATENATE("https://bugzilla.houston.hp.com:1181/bugzilla/show_bug.cgi?id=",INDIRECT(C70&amp;ROW())),INDIRECT(C70&amp;ROW()))</f>
        <v>52549</v>
      </c>
      <c r="N95">
        <v>52549</v>
      </c>
      <c r="O95" t="s">
        <v>188</v>
      </c>
      <c r="P95" t="s">
        <v>742</v>
      </c>
      <c r="Q95" t="s">
        <v>25</v>
      </c>
      <c r="R95" t="s">
        <v>251</v>
      </c>
      <c r="S95" t="s">
        <v>44</v>
      </c>
      <c r="U95" s="6">
        <v>42122.35260416667</v>
      </c>
      <c r="V95" t="s">
        <v>18</v>
      </c>
      <c r="W95" t="s">
        <v>17</v>
      </c>
      <c r="X95" s="6">
        <v>41946.398634259262</v>
      </c>
      <c r="Y95" t="s">
        <v>119</v>
      </c>
      <c r="AB95" t="s">
        <v>200</v>
      </c>
      <c r="AC95" t="s">
        <v>121</v>
      </c>
      <c r="AD95" t="s">
        <v>222</v>
      </c>
      <c r="AE95" t="s">
        <v>233</v>
      </c>
      <c r="AF95" s="13">
        <v>41878</v>
      </c>
      <c r="AG95" t="s">
        <v>121</v>
      </c>
      <c r="AH95" t="s">
        <v>64</v>
      </c>
      <c r="AI95" t="s">
        <v>362</v>
      </c>
      <c r="AJ95" t="s">
        <v>715</v>
      </c>
      <c r="AK95" t="s">
        <v>121</v>
      </c>
    </row>
    <row r="96" spans="1:37" x14ac:dyDescent="0.3">
      <c r="A96" t="s">
        <v>352</v>
      </c>
      <c r="B96" t="s">
        <v>266</v>
      </c>
      <c r="C96" t="s">
        <v>318</v>
      </c>
      <c r="I96">
        <f ca="1">IF(OR(INDIRECT(A73&amp;ROW())=B93,INDIRECT(A73&amp;ROW())=B94),1,IF(AND(INDIRECT(A73&amp;ROW())=B95,INDIRECT(A96&amp;ROW())=C93),1,IF(AND(INDIRECT(A73&amp;ROW())=B95,INDIRECT(A96&amp;ROW())=C94),1,0)))</f>
        <v>1</v>
      </c>
      <c r="J96">
        <f ca="1">IF(AND(INDIRECT(A73&amp;ROW())=B95,INDIRECT(A96&amp;ROW())=C95),1,IF(AND(INDIRECT(A73&amp;ROW())=B95,INDIRECT(A96&amp;ROW())=C96),1,0))</f>
        <v>0</v>
      </c>
      <c r="K96">
        <f ca="1">DAYS360(INDIRECT(C68&amp;ROW()),TODAY())</f>
        <v>730</v>
      </c>
      <c r="L96">
        <f ca="1">DAYS360(INDIRECT(C69&amp;ROW()),TODAY())</f>
        <v>899</v>
      </c>
      <c r="M96" s="11">
        <f ca="1">HYPERLINK(CONCATENATE("https://bugzilla.houston.hp.com:1181/bugzilla/show_bug.cgi?id=",INDIRECT(C70&amp;ROW())),INDIRECT(C70&amp;ROW()))</f>
        <v>52552</v>
      </c>
      <c r="N96">
        <v>52552</v>
      </c>
      <c r="O96" t="s">
        <v>50</v>
      </c>
      <c r="P96" t="s">
        <v>425</v>
      </c>
      <c r="Q96" t="s">
        <v>25</v>
      </c>
      <c r="R96" t="s">
        <v>251</v>
      </c>
      <c r="S96" t="s">
        <v>44</v>
      </c>
      <c r="T96" t="s">
        <v>782</v>
      </c>
      <c r="U96" s="6">
        <v>42116.454432870371</v>
      </c>
      <c r="V96" t="s">
        <v>18</v>
      </c>
      <c r="W96" t="s">
        <v>17</v>
      </c>
      <c r="X96" s="6">
        <v>41946.424259259256</v>
      </c>
      <c r="Y96" t="s">
        <v>119</v>
      </c>
      <c r="AB96" t="s">
        <v>200</v>
      </c>
      <c r="AC96" t="s">
        <v>121</v>
      </c>
      <c r="AD96" t="s">
        <v>227</v>
      </c>
      <c r="AE96" t="s">
        <v>226</v>
      </c>
      <c r="AG96" t="s">
        <v>121</v>
      </c>
      <c r="AH96" t="s">
        <v>327</v>
      </c>
      <c r="AI96" t="s">
        <v>362</v>
      </c>
      <c r="AJ96" t="s">
        <v>715</v>
      </c>
      <c r="AK96" t="s">
        <v>121</v>
      </c>
    </row>
    <row r="97" spans="1:37" x14ac:dyDescent="0.3">
      <c r="A97" t="s">
        <v>96</v>
      </c>
      <c r="B97" t="s">
        <v>268</v>
      </c>
      <c r="I97">
        <f ca="1">IF(OR(INDIRECT(A73&amp;ROW())=B93,INDIRECT(A73&amp;ROW())=B94),1,IF(AND(INDIRECT(A73&amp;ROW())=B95,INDIRECT(A96&amp;ROW())=C93),1,IF(AND(INDIRECT(A73&amp;ROW())=B95,INDIRECT(A96&amp;ROW())=C94),1,0)))</f>
        <v>1</v>
      </c>
      <c r="J97">
        <f ca="1">IF(AND(INDIRECT(A73&amp;ROW())=B95,INDIRECT(A96&amp;ROW())=C95),1,IF(AND(INDIRECT(A73&amp;ROW())=B95,INDIRECT(A96&amp;ROW())=C96),1,0))</f>
        <v>0</v>
      </c>
      <c r="K97">
        <f ca="1">DAYS360(INDIRECT(C68&amp;ROW()),TODAY())</f>
        <v>730</v>
      </c>
      <c r="L97">
        <f ca="1">DAYS360(INDIRECT(C69&amp;ROW()),TODAY())</f>
        <v>899</v>
      </c>
      <c r="M97" s="11">
        <f ca="1">HYPERLINK(CONCATENATE("https://bugzilla.houston.hp.com:1181/bugzilla/show_bug.cgi?id=",INDIRECT(C70&amp;ROW())),INDIRECT(C70&amp;ROW()))</f>
        <v>52554</v>
      </c>
      <c r="N97">
        <v>52554</v>
      </c>
      <c r="O97" t="s">
        <v>56</v>
      </c>
      <c r="P97" t="s">
        <v>424</v>
      </c>
      <c r="Q97" t="s">
        <v>39</v>
      </c>
      <c r="R97" t="s">
        <v>251</v>
      </c>
      <c r="S97" t="s">
        <v>44</v>
      </c>
      <c r="U97" s="6">
        <v>42116.731180555558</v>
      </c>
      <c r="V97" t="s">
        <v>18</v>
      </c>
      <c r="W97" t="s">
        <v>17</v>
      </c>
      <c r="X97" s="6">
        <v>41946.468263888892</v>
      </c>
      <c r="Y97" t="s">
        <v>245</v>
      </c>
      <c r="AB97" t="s">
        <v>200</v>
      </c>
      <c r="AC97" t="s">
        <v>121</v>
      </c>
      <c r="AD97" t="s">
        <v>220</v>
      </c>
      <c r="AE97" t="s">
        <v>219</v>
      </c>
      <c r="AG97" t="s">
        <v>121</v>
      </c>
      <c r="AH97" t="s">
        <v>327</v>
      </c>
      <c r="AI97" t="s">
        <v>362</v>
      </c>
      <c r="AJ97" t="s">
        <v>715</v>
      </c>
      <c r="AK97" t="s">
        <v>121</v>
      </c>
    </row>
    <row r="98" spans="1:37" x14ac:dyDescent="0.3">
      <c r="A98" t="s">
        <v>263</v>
      </c>
      <c r="B98" t="s">
        <v>269</v>
      </c>
      <c r="C98" t="s">
        <v>270</v>
      </c>
      <c r="I98">
        <f ca="1">IF(OR(INDIRECT(A73&amp;ROW())=B93,INDIRECT(A73&amp;ROW())=B94),1,IF(AND(INDIRECT(A73&amp;ROW())=B95,INDIRECT(A96&amp;ROW())=C93),1,IF(AND(INDIRECT(A73&amp;ROW())=B95,INDIRECT(A96&amp;ROW())=C94),1,0)))</f>
        <v>1</v>
      </c>
      <c r="J98">
        <f ca="1">IF(AND(INDIRECT(A73&amp;ROW())=B95,INDIRECT(A96&amp;ROW())=C95),1,IF(AND(INDIRECT(A73&amp;ROW())=B95,INDIRECT(A96&amp;ROW())=C96),1,0))</f>
        <v>0</v>
      </c>
      <c r="K98">
        <f ca="1">DAYS360(INDIRECT(C68&amp;ROW()),TODAY())</f>
        <v>730</v>
      </c>
      <c r="L98">
        <f ca="1">DAYS360(INDIRECT(C69&amp;ROW()),TODAY())</f>
        <v>899</v>
      </c>
      <c r="M98" s="11">
        <f ca="1">HYPERLINK(CONCATENATE("https://bugzilla.houston.hp.com:1181/bugzilla/show_bug.cgi?id=",INDIRECT(C70&amp;ROW())),INDIRECT(C70&amp;ROW()))</f>
        <v>52555</v>
      </c>
      <c r="N98">
        <v>52555</v>
      </c>
      <c r="O98" t="s">
        <v>55</v>
      </c>
      <c r="P98" t="s">
        <v>471</v>
      </c>
      <c r="Q98" t="s">
        <v>25</v>
      </c>
      <c r="R98" t="s">
        <v>251</v>
      </c>
      <c r="S98" t="s">
        <v>44</v>
      </c>
      <c r="U98" s="6">
        <v>42116.454155092593</v>
      </c>
      <c r="V98" t="s">
        <v>18</v>
      </c>
      <c r="W98" t="s">
        <v>17</v>
      </c>
      <c r="X98" s="6">
        <v>41946.474421296298</v>
      </c>
      <c r="Y98" t="s">
        <v>793</v>
      </c>
      <c r="AB98" t="s">
        <v>200</v>
      </c>
      <c r="AC98" t="s">
        <v>121</v>
      </c>
      <c r="AD98" t="s">
        <v>220</v>
      </c>
      <c r="AE98" t="s">
        <v>219</v>
      </c>
      <c r="AG98" t="s">
        <v>121</v>
      </c>
      <c r="AH98" t="s">
        <v>327</v>
      </c>
      <c r="AI98" t="s">
        <v>121</v>
      </c>
      <c r="AJ98" t="s">
        <v>715</v>
      </c>
      <c r="AK98" t="s">
        <v>121</v>
      </c>
    </row>
    <row r="99" spans="1:37" x14ac:dyDescent="0.3">
      <c r="A99" t="s">
        <v>95</v>
      </c>
      <c r="B99" t="s">
        <v>347</v>
      </c>
      <c r="I99">
        <f ca="1">IF(OR(INDIRECT(A73&amp;ROW())=B93,INDIRECT(A73&amp;ROW())=B94),1,IF(AND(INDIRECT(A73&amp;ROW())=B95,INDIRECT(A96&amp;ROW())=C93),1,IF(AND(INDIRECT(A73&amp;ROW())=B95,INDIRECT(A96&amp;ROW())=C94),1,0)))</f>
        <v>0</v>
      </c>
      <c r="J99">
        <f ca="1">IF(AND(INDIRECT(A73&amp;ROW())=B95,INDIRECT(A96&amp;ROW())=C95),1,IF(AND(INDIRECT(A73&amp;ROW())=B95,INDIRECT(A96&amp;ROW())=C96),1,0))</f>
        <v>1</v>
      </c>
      <c r="K99">
        <f ca="1">DAYS360(INDIRECT(C68&amp;ROW()),TODAY())</f>
        <v>730</v>
      </c>
      <c r="L99">
        <f ca="1">DAYS360(INDIRECT(C69&amp;ROW()),TODAY())</f>
        <v>899</v>
      </c>
      <c r="M99" s="11">
        <f ca="1">HYPERLINK(CONCATENATE("https://bugzilla.houston.hp.com:1181/bugzilla/show_bug.cgi?id=",INDIRECT(C70&amp;ROW())),INDIRECT(C70&amp;ROW()))</f>
        <v>52558</v>
      </c>
      <c r="N99">
        <v>52558</v>
      </c>
      <c r="O99" t="s">
        <v>66</v>
      </c>
      <c r="P99" t="s">
        <v>473</v>
      </c>
      <c r="Q99" t="s">
        <v>25</v>
      </c>
      <c r="R99" t="s">
        <v>251</v>
      </c>
      <c r="S99" t="s">
        <v>44</v>
      </c>
      <c r="U99" s="6">
        <v>42116.542615740742</v>
      </c>
      <c r="V99" t="s">
        <v>18</v>
      </c>
      <c r="W99" t="s">
        <v>17</v>
      </c>
      <c r="X99" s="6">
        <v>41946.490312499998</v>
      </c>
      <c r="Y99" t="s">
        <v>119</v>
      </c>
      <c r="AB99" t="s">
        <v>201</v>
      </c>
      <c r="AC99" t="s">
        <v>121</v>
      </c>
      <c r="AD99" t="s">
        <v>220</v>
      </c>
      <c r="AE99" t="s">
        <v>219</v>
      </c>
      <c r="AF99" s="13">
        <v>41901</v>
      </c>
      <c r="AG99" t="s">
        <v>121</v>
      </c>
      <c r="AH99" t="s">
        <v>64</v>
      </c>
      <c r="AI99" t="s">
        <v>363</v>
      </c>
      <c r="AJ99" t="s">
        <v>716</v>
      </c>
      <c r="AK99" t="s">
        <v>121</v>
      </c>
    </row>
    <row r="100" spans="1:37" x14ac:dyDescent="0.3">
      <c r="I100">
        <f ca="1">IF(OR(INDIRECT(A73&amp;ROW())=B93,INDIRECT(A73&amp;ROW())=B94),1,IF(AND(INDIRECT(A73&amp;ROW())=B95,INDIRECT(A96&amp;ROW())=C93),1,IF(AND(INDIRECT(A73&amp;ROW())=B95,INDIRECT(A96&amp;ROW())=C94),1,0)))</f>
        <v>0</v>
      </c>
      <c r="J100">
        <f ca="1">IF(AND(INDIRECT(A73&amp;ROW())=B95,INDIRECT(A96&amp;ROW())=C95),1,IF(AND(INDIRECT(A73&amp;ROW())=B95,INDIRECT(A96&amp;ROW())=C96),1,0))</f>
        <v>0</v>
      </c>
      <c r="K100">
        <f ca="1">DAYS360(INDIRECT(C68&amp;ROW()),TODAY())</f>
        <v>730</v>
      </c>
      <c r="L100">
        <f ca="1">DAYS360(INDIRECT(C69&amp;ROW()),TODAY())</f>
        <v>898</v>
      </c>
      <c r="M100" s="11">
        <f ca="1">HYPERLINK(CONCATENATE("https://bugzilla.houston.hp.com:1181/bugzilla/show_bug.cgi?id=",INDIRECT(C70&amp;ROW())),INDIRECT(C70&amp;ROW()))</f>
        <v>52603</v>
      </c>
      <c r="N100">
        <v>52603</v>
      </c>
      <c r="O100" t="s">
        <v>56</v>
      </c>
      <c r="P100" t="s">
        <v>491</v>
      </c>
      <c r="Q100" t="s">
        <v>16</v>
      </c>
      <c r="R100" t="s">
        <v>251</v>
      </c>
      <c r="S100" t="s">
        <v>155</v>
      </c>
      <c r="U100" s="6">
        <v>42116.542743055557</v>
      </c>
      <c r="V100" t="s">
        <v>40</v>
      </c>
      <c r="W100" t="s">
        <v>17</v>
      </c>
      <c r="X100" s="6">
        <v>41947.299305555556</v>
      </c>
      <c r="Y100" t="s">
        <v>255</v>
      </c>
      <c r="AB100" t="s">
        <v>199</v>
      </c>
      <c r="AC100" t="s">
        <v>247</v>
      </c>
      <c r="AD100" t="s">
        <v>220</v>
      </c>
      <c r="AE100" t="s">
        <v>219</v>
      </c>
      <c r="AG100" t="s">
        <v>121</v>
      </c>
      <c r="AH100" t="s">
        <v>327</v>
      </c>
      <c r="AI100" t="s">
        <v>121</v>
      </c>
      <c r="AJ100" t="s">
        <v>716</v>
      </c>
      <c r="AK100" t="s">
        <v>121</v>
      </c>
    </row>
    <row r="101" spans="1:37" x14ac:dyDescent="0.3">
      <c r="I101">
        <f ca="1">IF(OR(INDIRECT(A73&amp;ROW())=B93,INDIRECT(A73&amp;ROW())=B94),1,IF(AND(INDIRECT(A73&amp;ROW())=B95,INDIRECT(A96&amp;ROW())=C93),1,IF(AND(INDIRECT(A73&amp;ROW())=B95,INDIRECT(A96&amp;ROW())=C94),1,0)))</f>
        <v>0</v>
      </c>
      <c r="J101">
        <f ca="1">IF(AND(INDIRECT(A73&amp;ROW())=B95,INDIRECT(A96&amp;ROW())=C95),1,IF(AND(INDIRECT(A73&amp;ROW())=B95,INDIRECT(A96&amp;ROW())=C96),1,0))</f>
        <v>0</v>
      </c>
      <c r="K101">
        <f ca="1">DAYS360(INDIRECT(C68&amp;ROW()),TODAY())</f>
        <v>669</v>
      </c>
      <c r="L101">
        <f ca="1">DAYS360(INDIRECT(C69&amp;ROW()),TODAY())</f>
        <v>898</v>
      </c>
      <c r="M101" s="11">
        <f ca="1">HYPERLINK(CONCATENATE("https://bugzilla.houston.hp.com:1181/bugzilla/show_bug.cgi?id=",INDIRECT(C70&amp;ROW())),INDIRECT(C70&amp;ROW()))</f>
        <v>52633</v>
      </c>
      <c r="N101">
        <v>52633</v>
      </c>
      <c r="O101" t="s">
        <v>55</v>
      </c>
      <c r="P101" t="s">
        <v>741</v>
      </c>
      <c r="Q101" t="s">
        <v>16</v>
      </c>
      <c r="R101" t="s">
        <v>251</v>
      </c>
      <c r="S101" t="s">
        <v>365</v>
      </c>
      <c r="U101" s="6">
        <v>42178.474108796298</v>
      </c>
      <c r="V101" t="s">
        <v>35</v>
      </c>
      <c r="W101" t="s">
        <v>17</v>
      </c>
      <c r="X101" s="6">
        <v>41947.458136574074</v>
      </c>
      <c r="Y101" t="s">
        <v>246</v>
      </c>
      <c r="AB101" t="s">
        <v>200</v>
      </c>
      <c r="AC101" t="s">
        <v>247</v>
      </c>
      <c r="AD101" t="s">
        <v>220</v>
      </c>
      <c r="AE101" t="s">
        <v>219</v>
      </c>
      <c r="AG101" t="s">
        <v>121</v>
      </c>
      <c r="AH101" t="s">
        <v>327</v>
      </c>
      <c r="AI101" t="s">
        <v>121</v>
      </c>
      <c r="AJ101" t="s">
        <v>716</v>
      </c>
      <c r="AK101" t="s">
        <v>121</v>
      </c>
    </row>
    <row r="102" spans="1:37" x14ac:dyDescent="0.3">
      <c r="I102">
        <f ca="1">IF(OR(INDIRECT(A73&amp;ROW())=B93,INDIRECT(A73&amp;ROW())=B94),1,IF(AND(INDIRECT(A73&amp;ROW())=B95,INDIRECT(A96&amp;ROW())=C93),1,IF(AND(INDIRECT(A73&amp;ROW())=B95,INDIRECT(A96&amp;ROW())=C94),1,0)))</f>
        <v>0</v>
      </c>
      <c r="J102">
        <f ca="1">IF(AND(INDIRECT(A73&amp;ROW())=B95,INDIRECT(A96&amp;ROW())=C95),1,IF(AND(INDIRECT(A73&amp;ROW())=B95,INDIRECT(A96&amp;ROW())=C96),1,0))</f>
        <v>0</v>
      </c>
      <c r="K102">
        <f ca="1">DAYS360(INDIRECT(C68&amp;ROW()),TODAY())</f>
        <v>714</v>
      </c>
      <c r="L102">
        <f ca="1">DAYS360(INDIRECT(C69&amp;ROW()),TODAY())</f>
        <v>898</v>
      </c>
      <c r="M102" s="11">
        <f ca="1">HYPERLINK(CONCATENATE("https://bugzilla.houston.hp.com:1181/bugzilla/show_bug.cgi?id=",INDIRECT(C70&amp;ROW())),INDIRECT(C70&amp;ROW()))</f>
        <v>52651</v>
      </c>
      <c r="N102">
        <v>52651</v>
      </c>
      <c r="O102" t="s">
        <v>56</v>
      </c>
      <c r="P102" t="s">
        <v>929</v>
      </c>
      <c r="Q102" t="s">
        <v>16</v>
      </c>
      <c r="R102" t="s">
        <v>251</v>
      </c>
      <c r="S102" t="s">
        <v>292</v>
      </c>
      <c r="T102" t="s">
        <v>842</v>
      </c>
      <c r="U102" s="6">
        <v>42132.358182870368</v>
      </c>
      <c r="V102" t="s">
        <v>18</v>
      </c>
      <c r="W102" t="s">
        <v>17</v>
      </c>
      <c r="X102" s="6">
        <v>41947.710601851853</v>
      </c>
      <c r="Y102" t="s">
        <v>785</v>
      </c>
      <c r="AB102" t="s">
        <v>200</v>
      </c>
      <c r="AC102" t="s">
        <v>247</v>
      </c>
      <c r="AD102" t="s">
        <v>220</v>
      </c>
      <c r="AE102" t="s">
        <v>219</v>
      </c>
      <c r="AG102" t="s">
        <v>121</v>
      </c>
      <c r="AH102" t="s">
        <v>327</v>
      </c>
      <c r="AI102" t="s">
        <v>121</v>
      </c>
      <c r="AJ102" t="s">
        <v>716</v>
      </c>
      <c r="AK102" t="s">
        <v>121</v>
      </c>
    </row>
    <row r="103" spans="1:37" x14ac:dyDescent="0.3">
      <c r="I103">
        <f ca="1">IF(OR(INDIRECT(A73&amp;ROW())=B93,INDIRECT(A73&amp;ROW())=B94),1,IF(AND(INDIRECT(A73&amp;ROW())=B95,INDIRECT(A96&amp;ROW())=C93),1,IF(AND(INDIRECT(A73&amp;ROW())=B95,INDIRECT(A96&amp;ROW())=C94),1,0)))</f>
        <v>1</v>
      </c>
      <c r="J103">
        <f ca="1">IF(AND(INDIRECT(A73&amp;ROW())=B95,INDIRECT(A96&amp;ROW())=C95),1,IF(AND(INDIRECT(A73&amp;ROW())=B95,INDIRECT(A96&amp;ROW())=C96),1,0))</f>
        <v>0</v>
      </c>
      <c r="K103">
        <f ca="1">DAYS360(INDIRECT(C68&amp;ROW()),TODAY())</f>
        <v>730</v>
      </c>
      <c r="L103">
        <f ca="1">DAYS360(INDIRECT(C69&amp;ROW()),TODAY())</f>
        <v>897</v>
      </c>
      <c r="M103" s="11">
        <f ca="1">HYPERLINK(CONCATENATE("https://bugzilla.houston.hp.com:1181/bugzilla/show_bug.cgi?id=",INDIRECT(C70&amp;ROW())),INDIRECT(C70&amp;ROW()))</f>
        <v>52678</v>
      </c>
      <c r="N103">
        <v>52678</v>
      </c>
      <c r="O103" t="s">
        <v>298</v>
      </c>
      <c r="P103" t="s">
        <v>470</v>
      </c>
      <c r="Q103" t="s">
        <v>39</v>
      </c>
      <c r="R103" t="s">
        <v>251</v>
      </c>
      <c r="S103" t="s">
        <v>321</v>
      </c>
      <c r="U103" s="6">
        <v>42116.453344907408</v>
      </c>
      <c r="V103" t="s">
        <v>18</v>
      </c>
      <c r="W103" t="s">
        <v>17</v>
      </c>
      <c r="X103" s="6">
        <v>41948.176805555559</v>
      </c>
      <c r="Y103" t="s">
        <v>119</v>
      </c>
      <c r="AB103" t="s">
        <v>201</v>
      </c>
      <c r="AC103" t="s">
        <v>247</v>
      </c>
      <c r="AD103" t="s">
        <v>227</v>
      </c>
      <c r="AE103" t="s">
        <v>231</v>
      </c>
      <c r="AG103" t="s">
        <v>121</v>
      </c>
      <c r="AH103" t="s">
        <v>327</v>
      </c>
      <c r="AI103" t="s">
        <v>121</v>
      </c>
      <c r="AJ103" t="s">
        <v>715</v>
      </c>
      <c r="AK103" t="s">
        <v>121</v>
      </c>
    </row>
    <row r="104" spans="1:37" x14ac:dyDescent="0.3">
      <c r="I104">
        <f ca="1">IF(OR(INDIRECT(A73&amp;ROW())=B93,INDIRECT(A73&amp;ROW())=B94),1,IF(AND(INDIRECT(A73&amp;ROW())=B95,INDIRECT(A96&amp;ROW())=C93),1,IF(AND(INDIRECT(A73&amp;ROW())=B95,INDIRECT(A96&amp;ROW())=C94),1,0)))</f>
        <v>0</v>
      </c>
      <c r="J104">
        <f ca="1">IF(AND(INDIRECT(A73&amp;ROW())=B95,INDIRECT(A96&amp;ROW())=C95),1,IF(AND(INDIRECT(A73&amp;ROW())=B95,INDIRECT(A96&amp;ROW())=C96),1,0))</f>
        <v>0</v>
      </c>
      <c r="K104">
        <f ca="1">DAYS360(INDIRECT(C68&amp;ROW()),TODAY())</f>
        <v>721</v>
      </c>
      <c r="L104">
        <f ca="1">DAYS360(INDIRECT(C69&amp;ROW()),TODAY())</f>
        <v>897</v>
      </c>
      <c r="M104" s="11">
        <f ca="1">HYPERLINK(CONCATENATE("https://bugzilla.houston.hp.com:1181/bugzilla/show_bug.cgi?id=",INDIRECT(C70&amp;ROW())),INDIRECT(C70&amp;ROW()))</f>
        <v>52707</v>
      </c>
      <c r="N104">
        <v>52707</v>
      </c>
      <c r="O104" t="s">
        <v>241</v>
      </c>
      <c r="P104" t="s">
        <v>490</v>
      </c>
      <c r="Q104" t="s">
        <v>16</v>
      </c>
      <c r="R104" t="s">
        <v>251</v>
      </c>
      <c r="S104" t="s">
        <v>367</v>
      </c>
      <c r="T104" t="s">
        <v>782</v>
      </c>
      <c r="U104" s="6">
        <v>42125.653182870374</v>
      </c>
      <c r="V104" t="s">
        <v>40</v>
      </c>
      <c r="W104" t="s">
        <v>17</v>
      </c>
      <c r="X104" s="6">
        <v>41948.442997685182</v>
      </c>
      <c r="Y104" t="s">
        <v>245</v>
      </c>
      <c r="AB104" t="s">
        <v>201</v>
      </c>
      <c r="AC104" t="s">
        <v>247</v>
      </c>
      <c r="AD104" t="s">
        <v>227</v>
      </c>
      <c r="AE104" t="s">
        <v>237</v>
      </c>
      <c r="AG104" t="s">
        <v>121</v>
      </c>
      <c r="AH104" t="s">
        <v>327</v>
      </c>
      <c r="AI104" t="s">
        <v>121</v>
      </c>
      <c r="AJ104" t="s">
        <v>717</v>
      </c>
      <c r="AK104" t="s">
        <v>121</v>
      </c>
    </row>
    <row r="105" spans="1:37" x14ac:dyDescent="0.3">
      <c r="I105">
        <f ca="1">IF(OR(INDIRECT(A73&amp;ROW())=B93,INDIRECT(A73&amp;ROW())=B94),1,IF(AND(INDIRECT(A73&amp;ROW())=B95,INDIRECT(A96&amp;ROW())=C93),1,IF(AND(INDIRECT(A73&amp;ROW())=B95,INDIRECT(A96&amp;ROW())=C94),1,0)))</f>
        <v>1</v>
      </c>
      <c r="J105">
        <f ca="1">IF(AND(INDIRECT(A73&amp;ROW())=B95,INDIRECT(A96&amp;ROW())=C95),1,IF(AND(INDIRECT(A73&amp;ROW())=B95,INDIRECT(A96&amp;ROW())=C96),1,0))</f>
        <v>0</v>
      </c>
      <c r="K105">
        <f ca="1">DAYS360(INDIRECT(C68&amp;ROW()),TODAY())</f>
        <v>710</v>
      </c>
      <c r="L105">
        <f ca="1">DAYS360(INDIRECT(C69&amp;ROW()),TODAY())</f>
        <v>897</v>
      </c>
      <c r="M105" s="11">
        <f ca="1">HYPERLINK(CONCATENATE("https://bugzilla.houston.hp.com:1181/bugzilla/show_bug.cgi?id=",INDIRECT(C70&amp;ROW())),INDIRECT(C70&amp;ROW()))</f>
        <v>52720</v>
      </c>
      <c r="N105">
        <v>52720</v>
      </c>
      <c r="O105" t="s">
        <v>22</v>
      </c>
      <c r="P105" t="s">
        <v>857</v>
      </c>
      <c r="Q105" t="s">
        <v>39</v>
      </c>
      <c r="R105" t="s">
        <v>251</v>
      </c>
      <c r="S105" t="s">
        <v>369</v>
      </c>
      <c r="U105" s="6">
        <v>42136.734016203707</v>
      </c>
      <c r="V105" t="s">
        <v>18</v>
      </c>
      <c r="W105" t="s">
        <v>17</v>
      </c>
      <c r="X105" s="6">
        <v>41948.632592592592</v>
      </c>
      <c r="Y105" t="s">
        <v>245</v>
      </c>
      <c r="AB105" t="s">
        <v>201</v>
      </c>
      <c r="AC105" t="s">
        <v>247</v>
      </c>
      <c r="AD105" t="s">
        <v>222</v>
      </c>
      <c r="AE105" t="s">
        <v>221</v>
      </c>
      <c r="AG105" t="s">
        <v>121</v>
      </c>
      <c r="AH105" t="s">
        <v>327</v>
      </c>
      <c r="AI105" t="s">
        <v>121</v>
      </c>
      <c r="AJ105" t="s">
        <v>715</v>
      </c>
      <c r="AK105" t="s">
        <v>121</v>
      </c>
    </row>
    <row r="106" spans="1:37" x14ac:dyDescent="0.3">
      <c r="I106">
        <f ca="1">IF(OR(INDIRECT(A73&amp;ROW())=B93,INDIRECT(A73&amp;ROW())=B94),1,IF(AND(INDIRECT(A73&amp;ROW())=B95,INDIRECT(A96&amp;ROW())=C93),1,IF(AND(INDIRECT(A73&amp;ROW())=B95,INDIRECT(A96&amp;ROW())=C94),1,0)))</f>
        <v>0</v>
      </c>
      <c r="J106">
        <f ca="1">IF(AND(INDIRECT(A73&amp;ROW())=B95,INDIRECT(A96&amp;ROW())=C95),1,IF(AND(INDIRECT(A73&amp;ROW())=B95,INDIRECT(A96&amp;ROW())=C96),1,0))</f>
        <v>1</v>
      </c>
      <c r="K106">
        <f ca="1">DAYS360(INDIRECT(C68&amp;ROW()),TODAY())</f>
        <v>730</v>
      </c>
      <c r="L106">
        <f ca="1">DAYS360(INDIRECT(C69&amp;ROW()),TODAY())</f>
        <v>896</v>
      </c>
      <c r="M106" s="11">
        <f ca="1">HYPERLINK(CONCATENATE("https://bugzilla.houston.hp.com:1181/bugzilla/show_bug.cgi?id=",INDIRECT(C70&amp;ROW())),INDIRECT(C70&amp;ROW()))</f>
        <v>52807</v>
      </c>
      <c r="N106">
        <v>52807</v>
      </c>
      <c r="O106" t="s">
        <v>88</v>
      </c>
      <c r="P106" t="s">
        <v>680</v>
      </c>
      <c r="Q106" t="s">
        <v>25</v>
      </c>
      <c r="R106" t="s">
        <v>251</v>
      </c>
      <c r="S106" t="s">
        <v>28</v>
      </c>
      <c r="U106" s="6">
        <v>42116.543541666666</v>
      </c>
      <c r="V106" t="s">
        <v>18</v>
      </c>
      <c r="W106" t="s">
        <v>17</v>
      </c>
      <c r="X106" s="6">
        <v>41949.735173611109</v>
      </c>
      <c r="Y106" t="s">
        <v>246</v>
      </c>
      <c r="AB106" t="s">
        <v>201</v>
      </c>
      <c r="AC106" t="s">
        <v>247</v>
      </c>
      <c r="AD106" t="s">
        <v>222</v>
      </c>
      <c r="AE106" t="s">
        <v>221</v>
      </c>
      <c r="AG106" t="s">
        <v>121</v>
      </c>
      <c r="AH106" t="s">
        <v>327</v>
      </c>
      <c r="AI106" t="s">
        <v>121</v>
      </c>
      <c r="AJ106" t="s">
        <v>716</v>
      </c>
      <c r="AK106" t="s">
        <v>121</v>
      </c>
    </row>
    <row r="107" spans="1:37" x14ac:dyDescent="0.3">
      <c r="I107">
        <f ca="1">IF(OR(INDIRECT(A73&amp;ROW())=B93,INDIRECT(A73&amp;ROW())=B94),1,IF(AND(INDIRECT(A73&amp;ROW())=B95,INDIRECT(A96&amp;ROW())=C93),1,IF(AND(INDIRECT(A73&amp;ROW())=B95,INDIRECT(A96&amp;ROW())=C94),1,0)))</f>
        <v>0</v>
      </c>
      <c r="J107">
        <f ca="1">IF(AND(INDIRECT(A73&amp;ROW())=B95,INDIRECT(A96&amp;ROW())=C95),1,IF(AND(INDIRECT(A73&amp;ROW())=B95,INDIRECT(A96&amp;ROW())=C96),1,0))</f>
        <v>1</v>
      </c>
      <c r="K107">
        <f ca="1">DAYS360(INDIRECT(C68&amp;ROW()),TODAY())</f>
        <v>730</v>
      </c>
      <c r="L107">
        <f ca="1">DAYS360(INDIRECT(C69&amp;ROW()),TODAY())</f>
        <v>896</v>
      </c>
      <c r="M107" s="11">
        <f ca="1">HYPERLINK(CONCATENATE("https://bugzilla.houston.hp.com:1181/bugzilla/show_bug.cgi?id=",INDIRECT(C70&amp;ROW())),INDIRECT(C70&amp;ROW()))</f>
        <v>52811</v>
      </c>
      <c r="N107">
        <v>52811</v>
      </c>
      <c r="O107" t="s">
        <v>88</v>
      </c>
      <c r="P107" t="s">
        <v>679</v>
      </c>
      <c r="Q107" t="s">
        <v>25</v>
      </c>
      <c r="R107" t="s">
        <v>251</v>
      </c>
      <c r="S107" t="s">
        <v>49</v>
      </c>
      <c r="U107" s="6">
        <v>42116.543622685182</v>
      </c>
      <c r="V107" t="s">
        <v>18</v>
      </c>
      <c r="W107" t="s">
        <v>17</v>
      </c>
      <c r="X107" s="6">
        <v>41949.822881944441</v>
      </c>
      <c r="Y107" t="s">
        <v>246</v>
      </c>
      <c r="AB107" t="s">
        <v>201</v>
      </c>
      <c r="AC107" t="s">
        <v>247</v>
      </c>
      <c r="AD107" t="s">
        <v>222</v>
      </c>
      <c r="AE107" t="s">
        <v>221</v>
      </c>
      <c r="AG107" t="s">
        <v>121</v>
      </c>
      <c r="AH107" t="s">
        <v>327</v>
      </c>
      <c r="AI107" t="s">
        <v>121</v>
      </c>
      <c r="AJ107" t="s">
        <v>716</v>
      </c>
      <c r="AK107" t="s">
        <v>121</v>
      </c>
    </row>
    <row r="108" spans="1:37" x14ac:dyDescent="0.3">
      <c r="I108">
        <f ca="1">IF(OR(INDIRECT(A73&amp;ROW())=B93,INDIRECT(A73&amp;ROW())=B94),1,IF(AND(INDIRECT(A73&amp;ROW())=B95,INDIRECT(A96&amp;ROW())=C93),1,IF(AND(INDIRECT(A73&amp;ROW())=B95,INDIRECT(A96&amp;ROW())=C94),1,0)))</f>
        <v>0</v>
      </c>
      <c r="J108">
        <f ca="1">IF(AND(INDIRECT(A73&amp;ROW())=B95,INDIRECT(A96&amp;ROW())=C95),1,IF(AND(INDIRECT(A73&amp;ROW())=B95,INDIRECT(A96&amp;ROW())=C96),1,0))</f>
        <v>0</v>
      </c>
      <c r="K108">
        <f ca="1">DAYS360(INDIRECT(C68&amp;ROW()),TODAY())</f>
        <v>721</v>
      </c>
      <c r="L108">
        <f ca="1">DAYS360(INDIRECT(C69&amp;ROW()),TODAY())</f>
        <v>895</v>
      </c>
      <c r="M108" s="11">
        <f ca="1">HYPERLINK(CONCATENATE("https://bugzilla.houston.hp.com:1181/bugzilla/show_bug.cgi?id=",INDIRECT(C70&amp;ROW())),INDIRECT(C70&amp;ROW()))</f>
        <v>52820</v>
      </c>
      <c r="N108">
        <v>52820</v>
      </c>
      <c r="O108" t="s">
        <v>88</v>
      </c>
      <c r="P108" t="s">
        <v>678</v>
      </c>
      <c r="Q108" t="s">
        <v>16</v>
      </c>
      <c r="R108" t="s">
        <v>251</v>
      </c>
      <c r="S108" t="s">
        <v>344</v>
      </c>
      <c r="U108" s="6">
        <v>42125.447638888887</v>
      </c>
      <c r="V108" t="s">
        <v>18</v>
      </c>
      <c r="W108" t="s">
        <v>17</v>
      </c>
      <c r="X108" s="6">
        <v>41950.132824074077</v>
      </c>
      <c r="Y108" t="s">
        <v>122</v>
      </c>
      <c r="AB108" t="s">
        <v>201</v>
      </c>
      <c r="AC108" t="s">
        <v>247</v>
      </c>
      <c r="AD108" t="s">
        <v>222</v>
      </c>
      <c r="AE108" t="s">
        <v>221</v>
      </c>
      <c r="AG108" t="s">
        <v>121</v>
      </c>
      <c r="AH108" t="s">
        <v>327</v>
      </c>
      <c r="AI108" t="s">
        <v>121</v>
      </c>
      <c r="AJ108" t="s">
        <v>717</v>
      </c>
      <c r="AK108" t="s">
        <v>121</v>
      </c>
    </row>
    <row r="109" spans="1:37" x14ac:dyDescent="0.3">
      <c r="I109">
        <f ca="1">IF(OR(INDIRECT(A73&amp;ROW())=B93,INDIRECT(A73&amp;ROW())=B94),1,IF(AND(INDIRECT(A73&amp;ROW())=B95,INDIRECT(A96&amp;ROW())=C93),1,IF(AND(INDIRECT(A73&amp;ROW())=B95,INDIRECT(A96&amp;ROW())=C94),1,0)))</f>
        <v>0</v>
      </c>
      <c r="J109">
        <f ca="1">IF(AND(INDIRECT(A73&amp;ROW())=B95,INDIRECT(A96&amp;ROW())=C95),1,IF(AND(INDIRECT(A73&amp;ROW())=B95,INDIRECT(A96&amp;ROW())=C96),1,0))</f>
        <v>0</v>
      </c>
      <c r="K109">
        <f ca="1">DAYS360(INDIRECT(C68&amp;ROW()),TODAY())</f>
        <v>728</v>
      </c>
      <c r="L109">
        <f ca="1">DAYS360(INDIRECT(C69&amp;ROW()),TODAY())</f>
        <v>895</v>
      </c>
      <c r="M109" s="11">
        <f ca="1">HYPERLINK(CONCATENATE("https://bugzilla.houston.hp.com:1181/bugzilla/show_bug.cgi?id=",INDIRECT(C70&amp;ROW())),INDIRECT(C70&amp;ROW()))</f>
        <v>52830</v>
      </c>
      <c r="N109">
        <v>52830</v>
      </c>
      <c r="O109" t="s">
        <v>66</v>
      </c>
      <c r="P109" t="s">
        <v>677</v>
      </c>
      <c r="Q109" t="s">
        <v>16</v>
      </c>
      <c r="R109" t="s">
        <v>251</v>
      </c>
      <c r="S109" t="s">
        <v>366</v>
      </c>
      <c r="U109" s="6">
        <v>42118.522511574076</v>
      </c>
      <c r="V109" t="s">
        <v>18</v>
      </c>
      <c r="W109" t="s">
        <v>17</v>
      </c>
      <c r="X109" s="6">
        <v>41950.29074074074</v>
      </c>
      <c r="Y109" t="s">
        <v>124</v>
      </c>
      <c r="AB109" t="s">
        <v>201</v>
      </c>
      <c r="AC109" t="s">
        <v>247</v>
      </c>
      <c r="AD109" t="s">
        <v>220</v>
      </c>
      <c r="AE109" t="s">
        <v>219</v>
      </c>
      <c r="AG109" t="s">
        <v>121</v>
      </c>
      <c r="AH109" t="s">
        <v>327</v>
      </c>
      <c r="AI109" t="s">
        <v>121</v>
      </c>
      <c r="AJ109" t="s">
        <v>717</v>
      </c>
      <c r="AK109" t="s">
        <v>121</v>
      </c>
    </row>
    <row r="110" spans="1:37" x14ac:dyDescent="0.3">
      <c r="I110">
        <f ca="1">IF(OR(INDIRECT(A73&amp;ROW())=B93,INDIRECT(A73&amp;ROW())=B94),1,IF(AND(INDIRECT(A73&amp;ROW())=B95,INDIRECT(A96&amp;ROW())=C93),1,IF(AND(INDIRECT(A73&amp;ROW())=B95,INDIRECT(A96&amp;ROW())=C94),1,0)))</f>
        <v>0</v>
      </c>
      <c r="J110">
        <f ca="1">IF(AND(INDIRECT(A73&amp;ROW())=B95,INDIRECT(A96&amp;ROW())=C95),1,IF(AND(INDIRECT(A73&amp;ROW())=B95,INDIRECT(A96&amp;ROW())=C96),1,0))</f>
        <v>0</v>
      </c>
      <c r="K110">
        <f ca="1">DAYS360(INDIRECT(C68&amp;ROW()),TODAY())</f>
        <v>728</v>
      </c>
      <c r="L110">
        <f ca="1">DAYS360(INDIRECT(C69&amp;ROW()),TODAY())</f>
        <v>892</v>
      </c>
      <c r="M110" s="11">
        <f ca="1">HYPERLINK(CONCATENATE("https://bugzilla.houston.hp.com:1181/bugzilla/show_bug.cgi?id=",INDIRECT(C70&amp;ROW())),INDIRECT(C70&amp;ROW()))</f>
        <v>52912</v>
      </c>
      <c r="N110">
        <v>52912</v>
      </c>
      <c r="O110" t="s">
        <v>180</v>
      </c>
      <c r="P110" t="s">
        <v>676</v>
      </c>
      <c r="Q110" t="s">
        <v>16</v>
      </c>
      <c r="R110" t="s">
        <v>251</v>
      </c>
      <c r="S110" t="s">
        <v>368</v>
      </c>
      <c r="U110" s="6">
        <v>42118.522604166668</v>
      </c>
      <c r="V110" t="s">
        <v>18</v>
      </c>
      <c r="W110" t="s">
        <v>17</v>
      </c>
      <c r="X110" s="6">
        <v>41953.282175925924</v>
      </c>
      <c r="Y110" t="s">
        <v>342</v>
      </c>
      <c r="AB110" t="s">
        <v>201</v>
      </c>
      <c r="AC110" t="s">
        <v>217</v>
      </c>
      <c r="AD110" t="s">
        <v>222</v>
      </c>
      <c r="AE110" t="s">
        <v>225</v>
      </c>
      <c r="AG110" t="s">
        <v>121</v>
      </c>
      <c r="AH110" t="s">
        <v>327</v>
      </c>
      <c r="AI110" t="s">
        <v>121</v>
      </c>
      <c r="AJ110" t="s">
        <v>717</v>
      </c>
      <c r="AK110" t="s">
        <v>121</v>
      </c>
    </row>
    <row r="111" spans="1:37" x14ac:dyDescent="0.3">
      <c r="I111">
        <f ca="1">IF(OR(INDIRECT(A73&amp;ROW())=B93,INDIRECT(A73&amp;ROW())=B94),1,IF(AND(INDIRECT(A73&amp;ROW())=B95,INDIRECT(A96&amp;ROW())=C93),1,IF(AND(INDIRECT(A73&amp;ROW())=B95,INDIRECT(A96&amp;ROW())=C94),1,0)))</f>
        <v>0</v>
      </c>
      <c r="J111">
        <f ca="1">IF(AND(INDIRECT(A73&amp;ROW())=B95,INDIRECT(A96&amp;ROW())=C95),1,IF(AND(INDIRECT(A73&amp;ROW())=B95,INDIRECT(A96&amp;ROW())=C96),1,0))</f>
        <v>0</v>
      </c>
      <c r="K111">
        <f ca="1">DAYS360(INDIRECT(C68&amp;ROW()),TODAY())</f>
        <v>721</v>
      </c>
      <c r="L111">
        <f ca="1">DAYS360(INDIRECT(C69&amp;ROW()),TODAY())</f>
        <v>892</v>
      </c>
      <c r="M111" s="11">
        <f ca="1">HYPERLINK(CONCATENATE("https://bugzilla.houston.hp.com:1181/bugzilla/show_bug.cgi?id=",INDIRECT(C70&amp;ROW())),INDIRECT(C70&amp;ROW()))</f>
        <v>52923</v>
      </c>
      <c r="N111">
        <v>52923</v>
      </c>
      <c r="O111" t="s">
        <v>56</v>
      </c>
      <c r="P111" t="s">
        <v>546</v>
      </c>
      <c r="Q111" t="s">
        <v>16</v>
      </c>
      <c r="R111" t="s">
        <v>251</v>
      </c>
      <c r="S111" t="s">
        <v>53</v>
      </c>
      <c r="U111" s="6">
        <v>42125.448680555557</v>
      </c>
      <c r="V111" t="s">
        <v>18</v>
      </c>
      <c r="W111" t="s">
        <v>17</v>
      </c>
      <c r="X111" s="6">
        <v>41953.569768518515</v>
      </c>
      <c r="Y111" t="s">
        <v>122</v>
      </c>
      <c r="AB111" t="s">
        <v>201</v>
      </c>
      <c r="AC111" t="s">
        <v>247</v>
      </c>
      <c r="AD111" t="s">
        <v>220</v>
      </c>
      <c r="AE111" t="s">
        <v>219</v>
      </c>
      <c r="AG111" t="s">
        <v>121</v>
      </c>
      <c r="AH111" t="s">
        <v>327</v>
      </c>
      <c r="AI111" t="s">
        <v>121</v>
      </c>
      <c r="AJ111" t="s">
        <v>717</v>
      </c>
      <c r="AK111" t="s">
        <v>121</v>
      </c>
    </row>
    <row r="112" spans="1:37" x14ac:dyDescent="0.3">
      <c r="I112">
        <f ca="1">IF(OR(INDIRECT(A73&amp;ROW())=B93,INDIRECT(A73&amp;ROW())=B94),1,IF(AND(INDIRECT(A73&amp;ROW())=B95,INDIRECT(A96&amp;ROW())=C93),1,IF(AND(INDIRECT(A73&amp;ROW())=B95,INDIRECT(A96&amp;ROW())=C94),1,0)))</f>
        <v>0</v>
      </c>
      <c r="J112">
        <f ca="1">IF(AND(INDIRECT(A73&amp;ROW())=B95,INDIRECT(A96&amp;ROW())=C95),1,IF(AND(INDIRECT(A73&amp;ROW())=B95,INDIRECT(A96&amp;ROW())=C96),1,0))</f>
        <v>1</v>
      </c>
      <c r="K112">
        <f ca="1">DAYS360(INDIRECT(C68&amp;ROW()),TODAY())</f>
        <v>721</v>
      </c>
      <c r="L112">
        <f ca="1">DAYS360(INDIRECT(C69&amp;ROW()),TODAY())</f>
        <v>892</v>
      </c>
      <c r="M112" s="11">
        <f ca="1">HYPERLINK(CONCATENATE("https://bugzilla.houston.hp.com:1181/bugzilla/show_bug.cgi?id=",INDIRECT(C70&amp;ROW())),INDIRECT(C70&amp;ROW()))</f>
        <v>52933</v>
      </c>
      <c r="N112">
        <v>52933</v>
      </c>
      <c r="O112" t="s">
        <v>241</v>
      </c>
      <c r="P112" t="s">
        <v>489</v>
      </c>
      <c r="Q112" t="s">
        <v>25</v>
      </c>
      <c r="R112" t="s">
        <v>251</v>
      </c>
      <c r="S112" t="s">
        <v>177</v>
      </c>
      <c r="U112" s="6">
        <v>42125.655624999999</v>
      </c>
      <c r="V112" t="s">
        <v>18</v>
      </c>
      <c r="W112" t="s">
        <v>17</v>
      </c>
      <c r="X112" s="6">
        <v>41953.77202546296</v>
      </c>
      <c r="Y112" t="s">
        <v>245</v>
      </c>
      <c r="AB112" t="s">
        <v>201</v>
      </c>
      <c r="AC112" t="s">
        <v>247</v>
      </c>
      <c r="AD112" t="s">
        <v>227</v>
      </c>
      <c r="AE112" t="s">
        <v>237</v>
      </c>
      <c r="AG112" t="s">
        <v>121</v>
      </c>
      <c r="AH112" t="s">
        <v>327</v>
      </c>
      <c r="AI112" t="s">
        <v>121</v>
      </c>
      <c r="AJ112" t="s">
        <v>716</v>
      </c>
      <c r="AK112" t="s">
        <v>121</v>
      </c>
    </row>
    <row r="113" spans="9:37" x14ac:dyDescent="0.3">
      <c r="I113">
        <f ca="1">IF(OR(INDIRECT(A73&amp;ROW())=B93,INDIRECT(A73&amp;ROW())=B94),1,IF(AND(INDIRECT(A73&amp;ROW())=B95,INDIRECT(A96&amp;ROW())=C93),1,IF(AND(INDIRECT(A73&amp;ROW())=B95,INDIRECT(A96&amp;ROW())=C94),1,0)))</f>
        <v>0</v>
      </c>
      <c r="J113">
        <f ca="1">IF(AND(INDIRECT(A73&amp;ROW())=B95,INDIRECT(A96&amp;ROW())=C95),1,IF(AND(INDIRECT(A73&amp;ROW())=B95,INDIRECT(A96&amp;ROW())=C96),1,0))</f>
        <v>1</v>
      </c>
      <c r="K113">
        <f ca="1">DAYS360(INDIRECT(C68&amp;ROW()),TODAY())</f>
        <v>684</v>
      </c>
      <c r="L113">
        <f ca="1">DAYS360(INDIRECT(C69&amp;ROW()),TODAY())</f>
        <v>890</v>
      </c>
      <c r="M113" s="11">
        <f ca="1">HYPERLINK(CONCATENATE("https://bugzilla.houston.hp.com:1181/bugzilla/show_bug.cgi?id=",INDIRECT(C70&amp;ROW())),INDIRECT(C70&amp;ROW()))</f>
        <v>53006</v>
      </c>
      <c r="N113">
        <v>53006</v>
      </c>
      <c r="O113" t="s">
        <v>50</v>
      </c>
      <c r="P113" t="s">
        <v>469</v>
      </c>
      <c r="Q113" t="s">
        <v>25</v>
      </c>
      <c r="R113" t="s">
        <v>251</v>
      </c>
      <c r="S113" t="s">
        <v>315</v>
      </c>
      <c r="U113" s="6">
        <v>42163.593229166669</v>
      </c>
      <c r="V113" t="s">
        <v>18</v>
      </c>
      <c r="W113" t="s">
        <v>17</v>
      </c>
      <c r="X113" s="6">
        <v>41955.206990740742</v>
      </c>
      <c r="Y113" t="s">
        <v>119</v>
      </c>
      <c r="AA113" t="s">
        <v>184</v>
      </c>
      <c r="AB113" t="s">
        <v>201</v>
      </c>
      <c r="AC113" t="s">
        <v>247</v>
      </c>
      <c r="AD113" t="s">
        <v>227</v>
      </c>
      <c r="AE113" t="s">
        <v>370</v>
      </c>
      <c r="AG113" t="s">
        <v>121</v>
      </c>
      <c r="AH113" t="s">
        <v>327</v>
      </c>
      <c r="AI113" t="s">
        <v>121</v>
      </c>
      <c r="AJ113" t="s">
        <v>716</v>
      </c>
      <c r="AK113" t="s">
        <v>121</v>
      </c>
    </row>
    <row r="114" spans="9:37" x14ac:dyDescent="0.3">
      <c r="I114">
        <f ca="1">IF(OR(INDIRECT(A73&amp;ROW())=B93,INDIRECT(A73&amp;ROW())=B94),1,IF(AND(INDIRECT(A73&amp;ROW())=B95,INDIRECT(A96&amp;ROW())=C93),1,IF(AND(INDIRECT(A73&amp;ROW())=B95,INDIRECT(A96&amp;ROW())=C94),1,0)))</f>
        <v>0</v>
      </c>
      <c r="J114">
        <f ca="1">IF(AND(INDIRECT(A73&amp;ROW())=B95,INDIRECT(A96&amp;ROW())=C95),1,IF(AND(INDIRECT(A73&amp;ROW())=B95,INDIRECT(A96&amp;ROW())=C96),1,0))</f>
        <v>0</v>
      </c>
      <c r="K114">
        <f ca="1">DAYS360(INDIRECT(C68&amp;ROW()),TODAY())</f>
        <v>721</v>
      </c>
      <c r="L114">
        <f ca="1">DAYS360(INDIRECT(C69&amp;ROW()),TODAY())</f>
        <v>889</v>
      </c>
      <c r="M114" s="11">
        <f ca="1">HYPERLINK(CONCATENATE("https://bugzilla.houston.hp.com:1181/bugzilla/show_bug.cgi?id=",INDIRECT(C70&amp;ROW())),INDIRECT(C70&amp;ROW()))</f>
        <v>53105</v>
      </c>
      <c r="N114">
        <v>53105</v>
      </c>
      <c r="O114" t="s">
        <v>56</v>
      </c>
      <c r="P114" t="s">
        <v>468</v>
      </c>
      <c r="Q114" t="s">
        <v>16</v>
      </c>
      <c r="R114" t="s">
        <v>251</v>
      </c>
      <c r="S114" t="s">
        <v>374</v>
      </c>
      <c r="U114" s="6">
        <v>42125.448692129627</v>
      </c>
      <c r="V114" t="s">
        <v>18</v>
      </c>
      <c r="W114" t="s">
        <v>17</v>
      </c>
      <c r="X114" s="6">
        <v>41956.951111111113</v>
      </c>
      <c r="Y114" t="s">
        <v>122</v>
      </c>
      <c r="AB114" t="s">
        <v>200</v>
      </c>
      <c r="AC114" t="s">
        <v>247</v>
      </c>
      <c r="AD114" t="s">
        <v>220</v>
      </c>
      <c r="AE114" t="s">
        <v>219</v>
      </c>
      <c r="AG114" t="s">
        <v>121</v>
      </c>
      <c r="AH114" t="s">
        <v>327</v>
      </c>
      <c r="AI114" t="s">
        <v>121</v>
      </c>
      <c r="AJ114" t="s">
        <v>716</v>
      </c>
      <c r="AK114" t="s">
        <v>121</v>
      </c>
    </row>
    <row r="115" spans="9:37" x14ac:dyDescent="0.3">
      <c r="I115">
        <f ca="1">IF(OR(INDIRECT(A73&amp;ROW())=B93,INDIRECT(A73&amp;ROW())=B94),1,IF(AND(INDIRECT(A73&amp;ROW())=B95,INDIRECT(A96&amp;ROW())=C93),1,IF(AND(INDIRECT(A73&amp;ROW())=B95,INDIRECT(A96&amp;ROW())=C94),1,0)))</f>
        <v>0</v>
      </c>
      <c r="J115">
        <f ca="1">IF(AND(INDIRECT(A73&amp;ROW())=B95,INDIRECT(A96&amp;ROW())=C95),1,IF(AND(INDIRECT(A73&amp;ROW())=B95,INDIRECT(A96&amp;ROW())=C96),1,0))</f>
        <v>0</v>
      </c>
      <c r="K115">
        <f ca="1">DAYS360(INDIRECT(C68&amp;ROW()),TODAY())</f>
        <v>710</v>
      </c>
      <c r="L115">
        <f ca="1">DAYS360(INDIRECT(C69&amp;ROW()),TODAY())</f>
        <v>885</v>
      </c>
      <c r="M115" s="11">
        <f ca="1">HYPERLINK(CONCATENATE("https://bugzilla.houston.hp.com:1181/bugzilla/show_bug.cgi?id=",INDIRECT(C70&amp;ROW())),INDIRECT(C70&amp;ROW()))</f>
        <v>53213</v>
      </c>
      <c r="N115">
        <v>53213</v>
      </c>
      <c r="O115" t="s">
        <v>43</v>
      </c>
      <c r="P115" t="s">
        <v>1049</v>
      </c>
      <c r="Q115" t="s">
        <v>16</v>
      </c>
      <c r="R115" t="s">
        <v>251</v>
      </c>
      <c r="S115" t="s">
        <v>68</v>
      </c>
      <c r="T115" t="s">
        <v>794</v>
      </c>
      <c r="U115" s="6">
        <v>42136.636747685188</v>
      </c>
      <c r="V115" t="s">
        <v>18</v>
      </c>
      <c r="W115" t="s">
        <v>17</v>
      </c>
      <c r="X115" s="6">
        <v>41960.464930555558</v>
      </c>
      <c r="Y115" t="s">
        <v>124</v>
      </c>
      <c r="AB115" t="s">
        <v>201</v>
      </c>
      <c r="AC115" t="s">
        <v>247</v>
      </c>
      <c r="AD115" t="s">
        <v>220</v>
      </c>
      <c r="AE115" t="s">
        <v>219</v>
      </c>
      <c r="AG115" t="s">
        <v>121</v>
      </c>
      <c r="AH115" t="s">
        <v>327</v>
      </c>
      <c r="AI115" t="s">
        <v>121</v>
      </c>
      <c r="AJ115" t="s">
        <v>717</v>
      </c>
      <c r="AK115" t="s">
        <v>121</v>
      </c>
    </row>
    <row r="116" spans="9:37" x14ac:dyDescent="0.3">
      <c r="I116">
        <f ca="1">IF(OR(INDIRECT(A73&amp;ROW())=B93,INDIRECT(A73&amp;ROW())=B94),1,IF(AND(INDIRECT(A73&amp;ROW())=B95,INDIRECT(A96&amp;ROW())=C93),1,IF(AND(INDIRECT(A73&amp;ROW())=B95,INDIRECT(A96&amp;ROW())=C94),1,0)))</f>
        <v>0</v>
      </c>
      <c r="J116">
        <f ca="1">IF(AND(INDIRECT(A73&amp;ROW())=B95,INDIRECT(A96&amp;ROW())=C95),1,IF(AND(INDIRECT(A73&amp;ROW())=B95,INDIRECT(A96&amp;ROW())=C96),1,0))</f>
        <v>0</v>
      </c>
      <c r="K116">
        <f ca="1">DAYS360(INDIRECT(C68&amp;ROW()),TODAY())</f>
        <v>721</v>
      </c>
      <c r="L116">
        <f ca="1">DAYS360(INDIRECT(C69&amp;ROW()),TODAY())</f>
        <v>885</v>
      </c>
      <c r="M116" s="11">
        <f ca="1">HYPERLINK(CONCATENATE("https://bugzilla.houston.hp.com:1181/bugzilla/show_bug.cgi?id=",INDIRECT(C70&amp;ROW())),INDIRECT(C70&amp;ROW()))</f>
        <v>53225</v>
      </c>
      <c r="N116">
        <v>53225</v>
      </c>
      <c r="O116" t="s">
        <v>56</v>
      </c>
      <c r="P116" t="s">
        <v>377</v>
      </c>
      <c r="Q116" t="s">
        <v>16</v>
      </c>
      <c r="R116" t="s">
        <v>248</v>
      </c>
      <c r="S116" t="s">
        <v>36</v>
      </c>
      <c r="U116" s="6">
        <v>42125.443796296298</v>
      </c>
      <c r="V116" t="s">
        <v>18</v>
      </c>
      <c r="W116" t="s">
        <v>17</v>
      </c>
      <c r="X116" s="6">
        <v>41960.705925925926</v>
      </c>
      <c r="Y116" t="s">
        <v>122</v>
      </c>
      <c r="AB116" t="s">
        <v>201</v>
      </c>
      <c r="AC116" t="s">
        <v>121</v>
      </c>
      <c r="AD116" t="s">
        <v>220</v>
      </c>
      <c r="AE116" t="s">
        <v>219</v>
      </c>
      <c r="AG116" t="s">
        <v>121</v>
      </c>
      <c r="AH116" t="s">
        <v>327</v>
      </c>
      <c r="AI116" t="s">
        <v>121</v>
      </c>
      <c r="AJ116" t="s">
        <v>717</v>
      </c>
      <c r="AK116" t="s">
        <v>121</v>
      </c>
    </row>
    <row r="117" spans="9:37" x14ac:dyDescent="0.3">
      <c r="I117">
        <f ca="1">IF(OR(INDIRECT(A73&amp;ROW())=B93,INDIRECT(A73&amp;ROW())=B94),1,IF(AND(INDIRECT(A73&amp;ROW())=B95,INDIRECT(A96&amp;ROW())=C93),1,IF(AND(INDIRECT(A73&amp;ROW())=B95,INDIRECT(A96&amp;ROW())=C94),1,0)))</f>
        <v>0</v>
      </c>
      <c r="J117">
        <f ca="1">IF(AND(INDIRECT(A73&amp;ROW())=B95,INDIRECT(A96&amp;ROW())=C95),1,IF(AND(INDIRECT(A73&amp;ROW())=B95,INDIRECT(A96&amp;ROW())=C96),1,0))</f>
        <v>0</v>
      </c>
      <c r="K117">
        <f ca="1">DAYS360(INDIRECT(C68&amp;ROW()),TODAY())</f>
        <v>721</v>
      </c>
      <c r="L117">
        <f ca="1">DAYS360(INDIRECT(C69&amp;ROW()),TODAY())</f>
        <v>885</v>
      </c>
      <c r="M117" s="11">
        <f ca="1">HYPERLINK(CONCATENATE("https://bugzilla.houston.hp.com:1181/bugzilla/show_bug.cgi?id=",INDIRECT(C70&amp;ROW())),INDIRECT(C70&amp;ROW()))</f>
        <v>53231</v>
      </c>
      <c r="N117">
        <v>53231</v>
      </c>
      <c r="O117" t="s">
        <v>56</v>
      </c>
      <c r="P117" t="s">
        <v>376</v>
      </c>
      <c r="Q117" t="s">
        <v>16</v>
      </c>
      <c r="R117" t="s">
        <v>248</v>
      </c>
      <c r="S117" t="s">
        <v>36</v>
      </c>
      <c r="U117" s="6">
        <v>42125.443854166668</v>
      </c>
      <c r="V117" t="s">
        <v>18</v>
      </c>
      <c r="W117" t="s">
        <v>17</v>
      </c>
      <c r="X117" s="6">
        <v>41960.706388888888</v>
      </c>
      <c r="Y117" t="s">
        <v>122</v>
      </c>
      <c r="AB117" t="s">
        <v>201</v>
      </c>
      <c r="AC117" t="s">
        <v>121</v>
      </c>
      <c r="AD117" t="s">
        <v>220</v>
      </c>
      <c r="AE117" t="s">
        <v>219</v>
      </c>
      <c r="AG117" t="s">
        <v>121</v>
      </c>
      <c r="AH117" t="s">
        <v>64</v>
      </c>
      <c r="AI117" t="s">
        <v>121</v>
      </c>
      <c r="AJ117" t="s">
        <v>717</v>
      </c>
      <c r="AK117" t="s">
        <v>121</v>
      </c>
    </row>
    <row r="118" spans="9:37" x14ac:dyDescent="0.3">
      <c r="I118">
        <f ca="1">IF(OR(INDIRECT(A73&amp;ROW())=B93,INDIRECT(A73&amp;ROW())=B94),1,IF(AND(INDIRECT(A73&amp;ROW())=B95,INDIRECT(A96&amp;ROW())=C93),1,IF(AND(INDIRECT(A73&amp;ROW())=B95,INDIRECT(A96&amp;ROW())=C94),1,0)))</f>
        <v>0</v>
      </c>
      <c r="J118">
        <f ca="1">IF(AND(INDIRECT(A73&amp;ROW())=B95,INDIRECT(A96&amp;ROW())=C95),1,IF(AND(INDIRECT(A73&amp;ROW())=B95,INDIRECT(A96&amp;ROW())=C96),1,0))</f>
        <v>0</v>
      </c>
      <c r="K118">
        <f ca="1">DAYS360(INDIRECT(C68&amp;ROW()),TODAY())</f>
        <v>721</v>
      </c>
      <c r="L118">
        <f ca="1">DAYS360(INDIRECT(C69&amp;ROW()),TODAY())</f>
        <v>884</v>
      </c>
      <c r="M118" s="11">
        <f ca="1">HYPERLINK(CONCATENATE("https://bugzilla.houston.hp.com:1181/bugzilla/show_bug.cgi?id=",INDIRECT(C70&amp;ROW())),INDIRECT(C70&amp;ROW()))</f>
        <v>53298</v>
      </c>
      <c r="N118">
        <v>53298</v>
      </c>
      <c r="O118" t="s">
        <v>55</v>
      </c>
      <c r="P118" t="s">
        <v>383</v>
      </c>
      <c r="Q118" t="s">
        <v>16</v>
      </c>
      <c r="R118" t="s">
        <v>248</v>
      </c>
      <c r="S118" t="s">
        <v>36</v>
      </c>
      <c r="U118" s="6">
        <v>42125.439930555556</v>
      </c>
      <c r="V118" t="s">
        <v>18</v>
      </c>
      <c r="W118" t="s">
        <v>17</v>
      </c>
      <c r="X118" s="6">
        <v>41961.535937499997</v>
      </c>
      <c r="Y118" t="s">
        <v>122</v>
      </c>
      <c r="AB118" t="s">
        <v>200</v>
      </c>
      <c r="AC118" t="s">
        <v>121</v>
      </c>
      <c r="AD118" t="s">
        <v>220</v>
      </c>
      <c r="AE118" t="s">
        <v>219</v>
      </c>
      <c r="AG118" t="s">
        <v>121</v>
      </c>
      <c r="AH118" t="s">
        <v>327</v>
      </c>
      <c r="AI118" t="s">
        <v>121</v>
      </c>
      <c r="AJ118" t="s">
        <v>716</v>
      </c>
      <c r="AK118" t="s">
        <v>121</v>
      </c>
    </row>
    <row r="119" spans="9:37" x14ac:dyDescent="0.3">
      <c r="I119">
        <f ca="1">IF(OR(INDIRECT(A73&amp;ROW())=B93,INDIRECT(A73&amp;ROW())=B94),1,IF(AND(INDIRECT(A73&amp;ROW())=B95,INDIRECT(A96&amp;ROW())=C93),1,IF(AND(INDIRECT(A73&amp;ROW())=B95,INDIRECT(A96&amp;ROW())=C94),1,0)))</f>
        <v>0</v>
      </c>
      <c r="J119">
        <f ca="1">IF(AND(INDIRECT(A73&amp;ROW())=B95,INDIRECT(A96&amp;ROW())=C95),1,IF(AND(INDIRECT(A73&amp;ROW())=B95,INDIRECT(A96&amp;ROW())=C96),1,0))</f>
        <v>0</v>
      </c>
      <c r="K119">
        <f ca="1">DAYS360(INDIRECT(C68&amp;ROW()),TODAY())</f>
        <v>721</v>
      </c>
      <c r="L119">
        <f ca="1">DAYS360(INDIRECT(C69&amp;ROW()),TODAY())</f>
        <v>884</v>
      </c>
      <c r="M119" s="11">
        <f ca="1">HYPERLINK(CONCATENATE("https://bugzilla.houston.hp.com:1181/bugzilla/show_bug.cgi?id=",INDIRECT(C70&amp;ROW())),INDIRECT(C70&amp;ROW()))</f>
        <v>53303</v>
      </c>
      <c r="N119">
        <v>53303</v>
      </c>
      <c r="O119" t="s">
        <v>56</v>
      </c>
      <c r="P119" t="s">
        <v>382</v>
      </c>
      <c r="Q119" t="s">
        <v>16</v>
      </c>
      <c r="R119" t="s">
        <v>248</v>
      </c>
      <c r="S119" t="s">
        <v>36</v>
      </c>
      <c r="U119" s="6">
        <v>42125.440000000002</v>
      </c>
      <c r="V119" t="s">
        <v>18</v>
      </c>
      <c r="W119" t="s">
        <v>17</v>
      </c>
      <c r="X119" s="6">
        <v>41961.5468287037</v>
      </c>
      <c r="Y119" t="s">
        <v>122</v>
      </c>
      <c r="AB119" t="s">
        <v>201</v>
      </c>
      <c r="AC119" t="s">
        <v>121</v>
      </c>
      <c r="AD119" t="s">
        <v>220</v>
      </c>
      <c r="AE119" t="s">
        <v>219</v>
      </c>
      <c r="AG119" t="s">
        <v>121</v>
      </c>
      <c r="AH119" t="s">
        <v>327</v>
      </c>
      <c r="AI119" t="s">
        <v>121</v>
      </c>
      <c r="AJ119" t="s">
        <v>717</v>
      </c>
      <c r="AK119" t="s">
        <v>121</v>
      </c>
    </row>
    <row r="120" spans="9:37" x14ac:dyDescent="0.3">
      <c r="I120">
        <f ca="1">IF(OR(INDIRECT(A73&amp;ROW())=B93,INDIRECT(A73&amp;ROW())=B94),1,IF(AND(INDIRECT(A73&amp;ROW())=B95,INDIRECT(A96&amp;ROW())=C93),1,IF(AND(INDIRECT(A73&amp;ROW())=B95,INDIRECT(A96&amp;ROW())=C94),1,0)))</f>
        <v>0</v>
      </c>
      <c r="J120">
        <f ca="1">IF(AND(INDIRECT(A73&amp;ROW())=B95,INDIRECT(A96&amp;ROW())=C95),1,IF(AND(INDIRECT(A73&amp;ROW())=B95,INDIRECT(A96&amp;ROW())=C96),1,0))</f>
        <v>1</v>
      </c>
      <c r="K120">
        <f ca="1">DAYS360(INDIRECT(C68&amp;ROW()),TODAY())</f>
        <v>681</v>
      </c>
      <c r="L120">
        <f ca="1">DAYS360(INDIRECT(C69&amp;ROW()),TODAY())</f>
        <v>884</v>
      </c>
      <c r="M120" s="11">
        <f ca="1">HYPERLINK(CONCATENATE("https://bugzilla.houston.hp.com:1181/bugzilla/show_bug.cgi?id=",INDIRECT(C70&amp;ROW())),INDIRECT(C70&amp;ROW()))</f>
        <v>53313</v>
      </c>
      <c r="N120">
        <v>53313</v>
      </c>
      <c r="O120" t="s">
        <v>56</v>
      </c>
      <c r="P120" t="s">
        <v>867</v>
      </c>
      <c r="Q120" t="s">
        <v>25</v>
      </c>
      <c r="R120" t="s">
        <v>251</v>
      </c>
      <c r="S120" t="s">
        <v>43</v>
      </c>
      <c r="U120" s="6">
        <v>42166.562164351853</v>
      </c>
      <c r="V120" t="s">
        <v>18</v>
      </c>
      <c r="W120" t="s">
        <v>17</v>
      </c>
      <c r="X120" s="6">
        <v>41961.575497685182</v>
      </c>
      <c r="Y120" t="s">
        <v>119</v>
      </c>
      <c r="AB120" t="s">
        <v>201</v>
      </c>
      <c r="AC120" t="s">
        <v>247</v>
      </c>
      <c r="AD120" t="s">
        <v>220</v>
      </c>
      <c r="AE120" t="s">
        <v>219</v>
      </c>
      <c r="AG120" t="s">
        <v>121</v>
      </c>
      <c r="AH120" t="s">
        <v>327</v>
      </c>
      <c r="AI120" t="s">
        <v>121</v>
      </c>
      <c r="AJ120" t="s">
        <v>716</v>
      </c>
      <c r="AK120" t="s">
        <v>121</v>
      </c>
    </row>
    <row r="121" spans="9:37" x14ac:dyDescent="0.3">
      <c r="I121">
        <f ca="1">IF(OR(INDIRECT(A73&amp;ROW())=B93,INDIRECT(A73&amp;ROW())=B94),1,IF(AND(INDIRECT(A73&amp;ROW())=B95,INDIRECT(A96&amp;ROW())=C93),1,IF(AND(INDIRECT(A73&amp;ROW())=B95,INDIRECT(A96&amp;ROW())=C94),1,0)))</f>
        <v>0</v>
      </c>
      <c r="J121">
        <f ca="1">IF(AND(INDIRECT(A73&amp;ROW())=B95,INDIRECT(A96&amp;ROW())=C95),1,IF(AND(INDIRECT(A73&amp;ROW())=B95,INDIRECT(A96&amp;ROW())=C96),1,0))</f>
        <v>0</v>
      </c>
      <c r="K121">
        <f ca="1">DAYS360(INDIRECT(C68&amp;ROW()),TODAY())</f>
        <v>733</v>
      </c>
      <c r="L121">
        <f ca="1">DAYS360(INDIRECT(C69&amp;ROW()),TODAY())</f>
        <v>884</v>
      </c>
      <c r="M121" s="11">
        <f ca="1">HYPERLINK(CONCATENATE("https://bugzilla.houston.hp.com:1181/bugzilla/show_bug.cgi?id=",INDIRECT(C70&amp;ROW())),INDIRECT(C70&amp;ROW()))</f>
        <v>53324</v>
      </c>
      <c r="N121">
        <v>53324</v>
      </c>
      <c r="O121" t="s">
        <v>66</v>
      </c>
      <c r="P121" t="s">
        <v>381</v>
      </c>
      <c r="Q121" t="s">
        <v>16</v>
      </c>
      <c r="R121" t="s">
        <v>248</v>
      </c>
      <c r="S121" t="s">
        <v>36</v>
      </c>
      <c r="U121" s="6">
        <v>42113.702372685184</v>
      </c>
      <c r="V121" t="s">
        <v>18</v>
      </c>
      <c r="W121" t="s">
        <v>32</v>
      </c>
      <c r="X121" s="6">
        <v>41961.64980324074</v>
      </c>
      <c r="Y121" t="s">
        <v>119</v>
      </c>
      <c r="AB121" t="s">
        <v>201</v>
      </c>
      <c r="AC121" t="s">
        <v>121</v>
      </c>
      <c r="AD121" t="s">
        <v>220</v>
      </c>
      <c r="AE121" t="s">
        <v>219</v>
      </c>
      <c r="AG121" t="s">
        <v>121</v>
      </c>
      <c r="AH121" t="s">
        <v>327</v>
      </c>
      <c r="AI121" t="s">
        <v>121</v>
      </c>
      <c r="AJ121" t="s">
        <v>716</v>
      </c>
      <c r="AK121" t="s">
        <v>121</v>
      </c>
    </row>
    <row r="122" spans="9:37" x14ac:dyDescent="0.3">
      <c r="I122">
        <f ca="1">IF(OR(INDIRECT(A73&amp;ROW())=B93,INDIRECT(A73&amp;ROW())=B94),1,IF(AND(INDIRECT(A73&amp;ROW())=B95,INDIRECT(A96&amp;ROW())=C93),1,IF(AND(INDIRECT(A73&amp;ROW())=B95,INDIRECT(A96&amp;ROW())=C94),1,0)))</f>
        <v>0</v>
      </c>
      <c r="J122">
        <f ca="1">IF(AND(INDIRECT(A73&amp;ROW())=B95,INDIRECT(A96&amp;ROW())=C95),1,IF(AND(INDIRECT(A73&amp;ROW())=B95,INDIRECT(A96&amp;ROW())=C96),1,0))</f>
        <v>0</v>
      </c>
      <c r="K122">
        <f ca="1">DAYS360(INDIRECT(C68&amp;ROW()),TODAY())</f>
        <v>721</v>
      </c>
      <c r="L122">
        <f ca="1">DAYS360(INDIRECT(C69&amp;ROW()),TODAY())</f>
        <v>884</v>
      </c>
      <c r="M122" s="11">
        <f ca="1">HYPERLINK(CONCATENATE("https://bugzilla.houston.hp.com:1181/bugzilla/show_bug.cgi?id=",INDIRECT(C70&amp;ROW())),INDIRECT(C70&amp;ROW()))</f>
        <v>53329</v>
      </c>
      <c r="N122">
        <v>53329</v>
      </c>
      <c r="O122" t="s">
        <v>203</v>
      </c>
      <c r="P122" t="s">
        <v>380</v>
      </c>
      <c r="Q122" t="s">
        <v>16</v>
      </c>
      <c r="R122" t="s">
        <v>248</v>
      </c>
      <c r="S122" t="s">
        <v>36</v>
      </c>
      <c r="U122" s="6">
        <v>42125.439722222225</v>
      </c>
      <c r="V122" t="s">
        <v>18</v>
      </c>
      <c r="W122" t="s">
        <v>20</v>
      </c>
      <c r="X122" s="6">
        <v>41961.660949074074</v>
      </c>
      <c r="Y122" t="s">
        <v>122</v>
      </c>
      <c r="AB122" t="s">
        <v>201</v>
      </c>
      <c r="AC122" t="s">
        <v>121</v>
      </c>
      <c r="AD122" t="s">
        <v>220</v>
      </c>
      <c r="AE122" t="s">
        <v>223</v>
      </c>
      <c r="AG122" t="s">
        <v>121</v>
      </c>
      <c r="AH122" t="s">
        <v>327</v>
      </c>
      <c r="AI122" t="s">
        <v>121</v>
      </c>
      <c r="AJ122" t="s">
        <v>717</v>
      </c>
      <c r="AK122" t="s">
        <v>121</v>
      </c>
    </row>
    <row r="123" spans="9:37" x14ac:dyDescent="0.3">
      <c r="I123">
        <f ca="1">IF(OR(INDIRECT(A73&amp;ROW())=B93,INDIRECT(A73&amp;ROW())=B94),1,IF(AND(INDIRECT(A73&amp;ROW())=B95,INDIRECT(A96&amp;ROW())=C93),1,IF(AND(INDIRECT(A73&amp;ROW())=B95,INDIRECT(A96&amp;ROW())=C94),1,0)))</f>
        <v>0</v>
      </c>
      <c r="J123">
        <f ca="1">IF(AND(INDIRECT(A73&amp;ROW())=B95,INDIRECT(A96&amp;ROW())=C95),1,IF(AND(INDIRECT(A73&amp;ROW())=B95,INDIRECT(A96&amp;ROW())=C96),1,0))</f>
        <v>1</v>
      </c>
      <c r="K123">
        <f ca="1">DAYS360(INDIRECT(C68&amp;ROW()),TODAY())</f>
        <v>687</v>
      </c>
      <c r="L123">
        <f ca="1">DAYS360(INDIRECT(C69&amp;ROW()),TODAY())</f>
        <v>884</v>
      </c>
      <c r="M123" s="11">
        <f ca="1">HYPERLINK(CONCATENATE("https://bugzilla.houston.hp.com:1181/bugzilla/show_bug.cgi?id=",INDIRECT(C70&amp;ROW())),INDIRECT(C70&amp;ROW()))</f>
        <v>53336</v>
      </c>
      <c r="N123">
        <v>53336</v>
      </c>
      <c r="O123" t="s">
        <v>56</v>
      </c>
      <c r="P123" t="s">
        <v>379</v>
      </c>
      <c r="Q123" t="s">
        <v>25</v>
      </c>
      <c r="R123" t="s">
        <v>248</v>
      </c>
      <c r="S123" t="s">
        <v>36</v>
      </c>
      <c r="U123" s="6">
        <v>42160.524062500001</v>
      </c>
      <c r="V123" t="s">
        <v>18</v>
      </c>
      <c r="W123" t="s">
        <v>17</v>
      </c>
      <c r="X123" s="6">
        <v>41961.667453703703</v>
      </c>
      <c r="Y123" t="s">
        <v>122</v>
      </c>
      <c r="AB123" t="s">
        <v>201</v>
      </c>
      <c r="AC123" t="s">
        <v>121</v>
      </c>
      <c r="AD123" t="s">
        <v>220</v>
      </c>
      <c r="AE123" t="s">
        <v>219</v>
      </c>
      <c r="AG123" t="s">
        <v>121</v>
      </c>
      <c r="AH123" t="s">
        <v>327</v>
      </c>
      <c r="AI123" t="s">
        <v>121</v>
      </c>
      <c r="AJ123" t="s">
        <v>716</v>
      </c>
      <c r="AK123" t="s">
        <v>121</v>
      </c>
    </row>
    <row r="124" spans="9:37" x14ac:dyDescent="0.3">
      <c r="I124">
        <f ca="1">IF(OR(INDIRECT(A73&amp;ROW())=B93,INDIRECT(A73&amp;ROW())=B94),1,IF(AND(INDIRECT(A73&amp;ROW())=B95,INDIRECT(A96&amp;ROW())=C93),1,IF(AND(INDIRECT(A73&amp;ROW())=B95,INDIRECT(A96&amp;ROW())=C94),1,0)))</f>
        <v>0</v>
      </c>
      <c r="J124">
        <f ca="1">IF(AND(INDIRECT(A73&amp;ROW())=B95,INDIRECT(A96&amp;ROW())=C95),1,IF(AND(INDIRECT(A73&amp;ROW())=B95,INDIRECT(A96&amp;ROW())=C96),1,0))</f>
        <v>1</v>
      </c>
      <c r="K124">
        <f ca="1">DAYS360(INDIRECT(C68&amp;ROW()),TODAY())</f>
        <v>721</v>
      </c>
      <c r="L124">
        <f ca="1">DAYS360(INDIRECT(C69&amp;ROW()),TODAY())</f>
        <v>884</v>
      </c>
      <c r="M124" s="11">
        <f ca="1">HYPERLINK(CONCATENATE("https://bugzilla.houston.hp.com:1181/bugzilla/show_bug.cgi?id=",INDIRECT(C70&amp;ROW())),INDIRECT(C70&amp;ROW()))</f>
        <v>53342</v>
      </c>
      <c r="N124">
        <v>53342</v>
      </c>
      <c r="O124" t="s">
        <v>43</v>
      </c>
      <c r="P124" t="s">
        <v>378</v>
      </c>
      <c r="Q124" t="s">
        <v>25</v>
      </c>
      <c r="R124" t="s">
        <v>248</v>
      </c>
      <c r="S124" t="s">
        <v>36</v>
      </c>
      <c r="U124" s="6">
        <v>42125.442384259259</v>
      </c>
      <c r="V124" t="s">
        <v>18</v>
      </c>
      <c r="W124" t="s">
        <v>20</v>
      </c>
      <c r="X124" s="6">
        <v>41961.691874999997</v>
      </c>
      <c r="Y124" t="s">
        <v>122</v>
      </c>
      <c r="AB124" t="s">
        <v>201</v>
      </c>
      <c r="AC124" t="s">
        <v>121</v>
      </c>
      <c r="AD124" t="s">
        <v>220</v>
      </c>
      <c r="AE124" t="s">
        <v>219</v>
      </c>
      <c r="AG124" t="s">
        <v>121</v>
      </c>
      <c r="AH124" t="s">
        <v>327</v>
      </c>
      <c r="AI124" t="s">
        <v>121</v>
      </c>
      <c r="AJ124" t="s">
        <v>716</v>
      </c>
      <c r="AK124" t="s">
        <v>121</v>
      </c>
    </row>
    <row r="125" spans="9:37" x14ac:dyDescent="0.3">
      <c r="I125">
        <f ca="1">IF(OR(INDIRECT(A73&amp;ROW())=B93,INDIRECT(A73&amp;ROW())=B94),1,IF(AND(INDIRECT(A73&amp;ROW())=B95,INDIRECT(A96&amp;ROW())=C93),1,IF(AND(INDIRECT(A73&amp;ROW())=B95,INDIRECT(A96&amp;ROW())=C94),1,0)))</f>
        <v>0</v>
      </c>
      <c r="J125">
        <f ca="1">IF(AND(INDIRECT(A73&amp;ROW())=B95,INDIRECT(A96&amp;ROW())=C95),1,IF(AND(INDIRECT(A73&amp;ROW())=B95,INDIRECT(A96&amp;ROW())=C96),1,0))</f>
        <v>0</v>
      </c>
      <c r="K125">
        <f ca="1">DAYS360(INDIRECT(C68&amp;ROW()),TODAY())</f>
        <v>730</v>
      </c>
      <c r="L125">
        <f ca="1">DAYS360(INDIRECT(C69&amp;ROW()),TODAY())</f>
        <v>883</v>
      </c>
      <c r="M125" s="11">
        <f ca="1">HYPERLINK(CONCATENATE("https://bugzilla.houston.hp.com:1181/bugzilla/show_bug.cgi?id=",INDIRECT(C70&amp;ROW())),INDIRECT(C70&amp;ROW()))</f>
        <v>53355</v>
      </c>
      <c r="N125">
        <v>53355</v>
      </c>
      <c r="O125" t="s">
        <v>66</v>
      </c>
      <c r="P125" t="s">
        <v>488</v>
      </c>
      <c r="Q125" t="s">
        <v>16</v>
      </c>
      <c r="R125" t="s">
        <v>251</v>
      </c>
      <c r="S125" t="s">
        <v>374</v>
      </c>
      <c r="U125" s="6">
        <v>42116.543923611112</v>
      </c>
      <c r="V125" t="s">
        <v>35</v>
      </c>
      <c r="W125" t="s">
        <v>17</v>
      </c>
      <c r="X125" s="6">
        <v>41962.112662037034</v>
      </c>
      <c r="Y125" t="s">
        <v>787</v>
      </c>
      <c r="AB125" t="s">
        <v>199</v>
      </c>
      <c r="AC125" t="s">
        <v>247</v>
      </c>
      <c r="AD125" t="s">
        <v>220</v>
      </c>
      <c r="AE125" t="s">
        <v>219</v>
      </c>
      <c r="AG125" t="s">
        <v>588</v>
      </c>
      <c r="AH125" t="s">
        <v>327</v>
      </c>
      <c r="AI125" t="s">
        <v>121</v>
      </c>
      <c r="AJ125" t="s">
        <v>716</v>
      </c>
      <c r="AK125" t="s">
        <v>121</v>
      </c>
    </row>
    <row r="126" spans="9:37" x14ac:dyDescent="0.3">
      <c r="I126">
        <f ca="1">IF(OR(INDIRECT(A73&amp;ROW())=B93,INDIRECT(A73&amp;ROW())=B94),1,IF(AND(INDIRECT(A73&amp;ROW())=B95,INDIRECT(A96&amp;ROW())=C93),1,IF(AND(INDIRECT(A73&amp;ROW())=B95,INDIRECT(A96&amp;ROW())=C94),1,0)))</f>
        <v>0</v>
      </c>
      <c r="J126">
        <f ca="1">IF(AND(INDIRECT(A73&amp;ROW())=B95,INDIRECT(A96&amp;ROW())=C95),1,IF(AND(INDIRECT(A73&amp;ROW())=B95,INDIRECT(A96&amp;ROW())=C96),1,0))</f>
        <v>0</v>
      </c>
      <c r="K126">
        <f ca="1">DAYS360(INDIRECT(C68&amp;ROW()),TODAY())</f>
        <v>800</v>
      </c>
      <c r="L126">
        <f ca="1">DAYS360(INDIRECT(C69&amp;ROW()),TODAY())</f>
        <v>883</v>
      </c>
      <c r="M126" s="11">
        <f ca="1">HYPERLINK(CONCATENATE("https://bugzilla.houston.hp.com:1181/bugzilla/show_bug.cgi?id=",INDIRECT(C70&amp;ROW())),INDIRECT(C70&amp;ROW()))</f>
        <v>53402</v>
      </c>
      <c r="N126">
        <v>53402</v>
      </c>
      <c r="O126" t="s">
        <v>88</v>
      </c>
      <c r="P126" t="s">
        <v>422</v>
      </c>
      <c r="Q126" t="s">
        <v>16</v>
      </c>
      <c r="R126" t="s">
        <v>248</v>
      </c>
      <c r="S126" t="s">
        <v>36</v>
      </c>
      <c r="U126" s="6">
        <v>42047.9452662037</v>
      </c>
      <c r="V126" t="s">
        <v>18</v>
      </c>
      <c r="W126" t="s">
        <v>27</v>
      </c>
      <c r="X126" s="6">
        <v>41962.478715277779</v>
      </c>
      <c r="Y126" t="s">
        <v>119</v>
      </c>
      <c r="AB126" t="s">
        <v>201</v>
      </c>
      <c r="AC126" t="s">
        <v>121</v>
      </c>
      <c r="AD126" t="s">
        <v>222</v>
      </c>
      <c r="AE126" t="s">
        <v>225</v>
      </c>
      <c r="AG126" t="s">
        <v>121</v>
      </c>
      <c r="AH126" t="s">
        <v>327</v>
      </c>
      <c r="AI126" t="s">
        <v>121</v>
      </c>
      <c r="AJ126" t="s">
        <v>717</v>
      </c>
      <c r="AK126" t="s">
        <v>121</v>
      </c>
    </row>
    <row r="127" spans="9:37" x14ac:dyDescent="0.3">
      <c r="I127">
        <f ca="1">IF(OR(INDIRECT(A73&amp;ROW())=B93,INDIRECT(A73&amp;ROW())=B94),1,IF(AND(INDIRECT(A73&amp;ROW())=B95,INDIRECT(A96&amp;ROW())=C93),1,IF(AND(INDIRECT(A73&amp;ROW())=B95,INDIRECT(A96&amp;ROW())=C94),1,0)))</f>
        <v>0</v>
      </c>
      <c r="J127">
        <f ca="1">IF(AND(INDIRECT(A73&amp;ROW())=B95,INDIRECT(A96&amp;ROW())=C95),1,IF(AND(INDIRECT(A73&amp;ROW())=B95,INDIRECT(A96&amp;ROW())=C96),1,0))</f>
        <v>1</v>
      </c>
      <c r="K127">
        <f ca="1">DAYS360(INDIRECT(C68&amp;ROW()),TODAY())</f>
        <v>800</v>
      </c>
      <c r="L127">
        <f ca="1">DAYS360(INDIRECT(C69&amp;ROW()),TODAY())</f>
        <v>883</v>
      </c>
      <c r="M127" s="11">
        <f ca="1">HYPERLINK(CONCATENATE("https://bugzilla.houston.hp.com:1181/bugzilla/show_bug.cgi?id=",INDIRECT(C70&amp;ROW())),INDIRECT(C70&amp;ROW()))</f>
        <v>53415</v>
      </c>
      <c r="N127">
        <v>53415</v>
      </c>
      <c r="O127" t="s">
        <v>56</v>
      </c>
      <c r="P127" t="s">
        <v>421</v>
      </c>
      <c r="Q127" t="s">
        <v>25</v>
      </c>
      <c r="R127" t="s">
        <v>248</v>
      </c>
      <c r="S127" t="s">
        <v>36</v>
      </c>
      <c r="U127" s="6">
        <v>42047.945960648147</v>
      </c>
      <c r="V127" t="s">
        <v>18</v>
      </c>
      <c r="W127" t="s">
        <v>89</v>
      </c>
      <c r="X127" s="6">
        <v>41962.515706018516</v>
      </c>
      <c r="Y127" t="s">
        <v>786</v>
      </c>
      <c r="AB127" t="s">
        <v>201</v>
      </c>
      <c r="AC127" t="s">
        <v>121</v>
      </c>
      <c r="AD127" t="s">
        <v>220</v>
      </c>
      <c r="AE127" t="s">
        <v>219</v>
      </c>
      <c r="AG127" t="s">
        <v>121</v>
      </c>
      <c r="AH127" t="s">
        <v>327</v>
      </c>
      <c r="AI127" t="s">
        <v>121</v>
      </c>
      <c r="AJ127" t="s">
        <v>716</v>
      </c>
      <c r="AK127" t="s">
        <v>121</v>
      </c>
    </row>
    <row r="128" spans="9:37" x14ac:dyDescent="0.3">
      <c r="I128">
        <f ca="1">IF(OR(INDIRECT(A73&amp;ROW())=B93,INDIRECT(A73&amp;ROW())=B94),1,IF(AND(INDIRECT(A73&amp;ROW())=B95,INDIRECT(A96&amp;ROW())=C93),1,IF(AND(INDIRECT(A73&amp;ROW())=B95,INDIRECT(A96&amp;ROW())=C94),1,0)))</f>
        <v>0</v>
      </c>
      <c r="J128">
        <f ca="1">IF(AND(INDIRECT(A73&amp;ROW())=B95,INDIRECT(A96&amp;ROW())=C95),1,IF(AND(INDIRECT(A73&amp;ROW())=B95,INDIRECT(A96&amp;ROW())=C96),1,0))</f>
        <v>0</v>
      </c>
      <c r="K128">
        <f ca="1">DAYS360(INDIRECT(C68&amp;ROW()),TODAY())</f>
        <v>800</v>
      </c>
      <c r="L128">
        <f ca="1">DAYS360(INDIRECT(C69&amp;ROW()),TODAY())</f>
        <v>883</v>
      </c>
      <c r="M128" s="11">
        <f ca="1">HYPERLINK(CONCATENATE("https://bugzilla.houston.hp.com:1181/bugzilla/show_bug.cgi?id=",INDIRECT(C70&amp;ROW())),INDIRECT(C70&amp;ROW()))</f>
        <v>53420</v>
      </c>
      <c r="N128">
        <v>53420</v>
      </c>
      <c r="O128" t="s">
        <v>88</v>
      </c>
      <c r="P128" t="s">
        <v>420</v>
      </c>
      <c r="Q128" t="s">
        <v>16</v>
      </c>
      <c r="R128" t="s">
        <v>248</v>
      </c>
      <c r="S128" t="s">
        <v>36</v>
      </c>
      <c r="U128" s="6">
        <v>42047.944016203706</v>
      </c>
      <c r="V128" t="s">
        <v>18</v>
      </c>
      <c r="W128" t="s">
        <v>79</v>
      </c>
      <c r="X128" s="6">
        <v>41962.525289351855</v>
      </c>
      <c r="Y128" t="s">
        <v>119</v>
      </c>
      <c r="AB128" t="s">
        <v>201</v>
      </c>
      <c r="AC128" t="s">
        <v>121</v>
      </c>
      <c r="AD128" t="s">
        <v>222</v>
      </c>
      <c r="AE128" t="s">
        <v>240</v>
      </c>
      <c r="AG128" t="s">
        <v>121</v>
      </c>
      <c r="AH128" t="s">
        <v>327</v>
      </c>
      <c r="AI128" t="s">
        <v>121</v>
      </c>
      <c r="AJ128" t="s">
        <v>717</v>
      </c>
      <c r="AK128" t="s">
        <v>121</v>
      </c>
    </row>
    <row r="129" spans="9:37" x14ac:dyDescent="0.3">
      <c r="I129">
        <f ca="1">IF(OR(INDIRECT(A73&amp;ROW())=B93,INDIRECT(A73&amp;ROW())=B94),1,IF(AND(INDIRECT(A73&amp;ROW())=B95,INDIRECT(A96&amp;ROW())=C93),1,IF(AND(INDIRECT(A73&amp;ROW())=B95,INDIRECT(A96&amp;ROW())=C94),1,0)))</f>
        <v>0</v>
      </c>
      <c r="J129">
        <f ca="1">IF(AND(INDIRECT(A73&amp;ROW())=B95,INDIRECT(A96&amp;ROW())=C95),1,IF(AND(INDIRECT(A73&amp;ROW())=B95,INDIRECT(A96&amp;ROW())=C96),1,0))</f>
        <v>0</v>
      </c>
      <c r="K129">
        <f ca="1">DAYS360(INDIRECT(C68&amp;ROW()),TODAY())</f>
        <v>681</v>
      </c>
      <c r="L129">
        <f ca="1">DAYS360(INDIRECT(C69&amp;ROW()),TODAY())</f>
        <v>883</v>
      </c>
      <c r="M129" s="11">
        <f ca="1">HYPERLINK(CONCATENATE("https://bugzilla.houston.hp.com:1181/bugzilla/show_bug.cgi?id=",INDIRECT(C70&amp;ROW())),INDIRECT(C70&amp;ROW()))</f>
        <v>53425</v>
      </c>
      <c r="N129">
        <v>53425</v>
      </c>
      <c r="O129" t="s">
        <v>56</v>
      </c>
      <c r="P129" t="s">
        <v>419</v>
      </c>
      <c r="Q129" t="s">
        <v>16</v>
      </c>
      <c r="R129" t="s">
        <v>248</v>
      </c>
      <c r="S129" t="s">
        <v>36</v>
      </c>
      <c r="U129" s="6">
        <v>42166.355740740742</v>
      </c>
      <c r="V129" t="s">
        <v>18</v>
      </c>
      <c r="W129" t="s">
        <v>27</v>
      </c>
      <c r="X129" s="6">
        <v>41962.529432870368</v>
      </c>
      <c r="Y129" t="s">
        <v>119</v>
      </c>
      <c r="AB129" t="s">
        <v>201</v>
      </c>
      <c r="AC129" t="s">
        <v>121</v>
      </c>
      <c r="AD129" t="s">
        <v>220</v>
      </c>
      <c r="AE129" t="s">
        <v>219</v>
      </c>
      <c r="AG129" t="s">
        <v>121</v>
      </c>
      <c r="AH129" t="s">
        <v>327</v>
      </c>
      <c r="AI129" t="s">
        <v>121</v>
      </c>
      <c r="AJ129" t="s">
        <v>717</v>
      </c>
      <c r="AK129" t="s">
        <v>121</v>
      </c>
    </row>
    <row r="130" spans="9:37" x14ac:dyDescent="0.3">
      <c r="I130">
        <f ca="1">IF(OR(INDIRECT(A73&amp;ROW())=B93,INDIRECT(A73&amp;ROW())=B94),1,IF(AND(INDIRECT(A73&amp;ROW())=B95,INDIRECT(A96&amp;ROW())=C93),1,IF(AND(INDIRECT(A73&amp;ROW())=B95,INDIRECT(A96&amp;ROW())=C94),1,0)))</f>
        <v>0</v>
      </c>
      <c r="J130">
        <f ca="1">IF(AND(INDIRECT(A73&amp;ROW())=B95,INDIRECT(A96&amp;ROW())=C95),1,IF(AND(INDIRECT(A73&amp;ROW())=B95,INDIRECT(A96&amp;ROW())=C96),1,0))</f>
        <v>0</v>
      </c>
      <c r="K130">
        <f ca="1">DAYS360(INDIRECT(C68&amp;ROW()),TODAY())</f>
        <v>721</v>
      </c>
      <c r="L130">
        <f ca="1">DAYS360(INDIRECT(C69&amp;ROW()),TODAY())</f>
        <v>883</v>
      </c>
      <c r="M130" s="11">
        <f ca="1">HYPERLINK(CONCATENATE("https://bugzilla.houston.hp.com:1181/bugzilla/show_bug.cgi?id=",INDIRECT(C70&amp;ROW())),INDIRECT(C70&amp;ROW()))</f>
        <v>53446</v>
      </c>
      <c r="N130">
        <v>53446</v>
      </c>
      <c r="O130" t="s">
        <v>56</v>
      </c>
      <c r="P130" t="s">
        <v>674</v>
      </c>
      <c r="Q130" t="s">
        <v>16</v>
      </c>
      <c r="R130" t="s">
        <v>251</v>
      </c>
      <c r="S130" t="s">
        <v>55</v>
      </c>
      <c r="U130" s="6">
        <v>42125.448657407411</v>
      </c>
      <c r="V130" t="s">
        <v>18</v>
      </c>
      <c r="W130" t="s">
        <v>17</v>
      </c>
      <c r="X130" s="6">
        <v>41962.642233796294</v>
      </c>
      <c r="Y130" t="s">
        <v>122</v>
      </c>
      <c r="AB130" t="s">
        <v>201</v>
      </c>
      <c r="AC130" t="s">
        <v>247</v>
      </c>
      <c r="AD130" t="s">
        <v>220</v>
      </c>
      <c r="AE130" t="s">
        <v>219</v>
      </c>
      <c r="AG130" t="s">
        <v>121</v>
      </c>
      <c r="AH130" t="s">
        <v>327</v>
      </c>
      <c r="AI130" t="s">
        <v>121</v>
      </c>
      <c r="AJ130" t="s">
        <v>717</v>
      </c>
      <c r="AK130" t="s">
        <v>121</v>
      </c>
    </row>
    <row r="131" spans="9:37" x14ac:dyDescent="0.3">
      <c r="I131">
        <f ca="1">IF(OR(INDIRECT(A73&amp;ROW())=B93,INDIRECT(A73&amp;ROW())=B94),1,IF(AND(INDIRECT(A73&amp;ROW())=B95,INDIRECT(A96&amp;ROW())=C93),1,IF(AND(INDIRECT(A73&amp;ROW())=B95,INDIRECT(A96&amp;ROW())=C94),1,0)))</f>
        <v>1</v>
      </c>
      <c r="J131">
        <f ca="1">IF(AND(INDIRECT(A73&amp;ROW())=B95,INDIRECT(A96&amp;ROW())=C95),1,IF(AND(INDIRECT(A73&amp;ROW())=B95,INDIRECT(A96&amp;ROW())=C96),1,0))</f>
        <v>0</v>
      </c>
      <c r="K131">
        <f ca="1">DAYS360(INDIRECT(C68&amp;ROW()),TODAY())</f>
        <v>800</v>
      </c>
      <c r="L131">
        <f ca="1">DAYS360(INDIRECT(C69&amp;ROW()),TODAY())</f>
        <v>882</v>
      </c>
      <c r="M131" s="11">
        <f ca="1">HYPERLINK(CONCATENATE("https://bugzilla.houston.hp.com:1181/bugzilla/show_bug.cgi?id=",INDIRECT(C70&amp;ROW())),INDIRECT(C70&amp;ROW()))</f>
        <v>53480</v>
      </c>
      <c r="N131">
        <v>53480</v>
      </c>
      <c r="O131" t="s">
        <v>180</v>
      </c>
      <c r="P131" t="s">
        <v>418</v>
      </c>
      <c r="Q131" t="s">
        <v>25</v>
      </c>
      <c r="R131" t="s">
        <v>248</v>
      </c>
      <c r="S131" t="s">
        <v>36</v>
      </c>
      <c r="U131" s="6">
        <v>42047.955960648149</v>
      </c>
      <c r="V131" t="s">
        <v>18</v>
      </c>
      <c r="W131" t="s">
        <v>171</v>
      </c>
      <c r="X131" s="6">
        <v>41963.306967592594</v>
      </c>
      <c r="Y131" t="s">
        <v>119</v>
      </c>
      <c r="AB131" t="s">
        <v>200</v>
      </c>
      <c r="AC131" t="s">
        <v>121</v>
      </c>
      <c r="AD131" t="s">
        <v>222</v>
      </c>
      <c r="AE131" t="s">
        <v>221</v>
      </c>
      <c r="AG131" t="s">
        <v>121</v>
      </c>
      <c r="AH131" t="s">
        <v>327</v>
      </c>
      <c r="AI131" t="s">
        <v>121</v>
      </c>
      <c r="AJ131" t="s">
        <v>715</v>
      </c>
      <c r="AK131" t="s">
        <v>121</v>
      </c>
    </row>
    <row r="132" spans="9:37" x14ac:dyDescent="0.3">
      <c r="I132">
        <f ca="1">IF(OR(INDIRECT(A73&amp;ROW())=B93,INDIRECT(A73&amp;ROW())=B94),1,IF(AND(INDIRECT(A73&amp;ROW())=B95,INDIRECT(A96&amp;ROW())=C93),1,IF(AND(INDIRECT(A73&amp;ROW())=B95,INDIRECT(A96&amp;ROW())=C94),1,0)))</f>
        <v>0</v>
      </c>
      <c r="J132">
        <f ca="1">IF(AND(INDIRECT(A73&amp;ROW())=B95,INDIRECT(A96&amp;ROW())=C95),1,IF(AND(INDIRECT(A73&amp;ROW())=B95,INDIRECT(A96&amp;ROW())=C96),1,0))</f>
        <v>0</v>
      </c>
      <c r="K132">
        <f ca="1">DAYS360(INDIRECT(C68&amp;ROW()),TODAY())</f>
        <v>721</v>
      </c>
      <c r="L132">
        <f ca="1">DAYS360(INDIRECT(C69&amp;ROW()),TODAY())</f>
        <v>882</v>
      </c>
      <c r="M132" s="11">
        <f ca="1">HYPERLINK(CONCATENATE("https://bugzilla.houston.hp.com:1181/bugzilla/show_bug.cgi?id=",INDIRECT(C70&amp;ROW())),INDIRECT(C70&amp;ROW()))</f>
        <v>53489</v>
      </c>
      <c r="N132">
        <v>53489</v>
      </c>
      <c r="O132" t="s">
        <v>21</v>
      </c>
      <c r="P132" t="s">
        <v>417</v>
      </c>
      <c r="Q132" t="s">
        <v>16</v>
      </c>
      <c r="R132" t="s">
        <v>248</v>
      </c>
      <c r="S132" t="s">
        <v>36</v>
      </c>
      <c r="U132" s="6">
        <v>42125.442152777781</v>
      </c>
      <c r="V132" t="s">
        <v>18</v>
      </c>
      <c r="W132" t="s">
        <v>171</v>
      </c>
      <c r="X132" s="6">
        <v>41963.308657407404</v>
      </c>
      <c r="Y132" t="s">
        <v>122</v>
      </c>
      <c r="AB132" t="s">
        <v>201</v>
      </c>
      <c r="AC132" t="s">
        <v>121</v>
      </c>
      <c r="AD132" t="s">
        <v>222</v>
      </c>
      <c r="AE132" t="s">
        <v>225</v>
      </c>
      <c r="AG132" t="s">
        <v>121</v>
      </c>
      <c r="AH132" t="s">
        <v>327</v>
      </c>
      <c r="AI132" t="s">
        <v>121</v>
      </c>
      <c r="AJ132" t="s">
        <v>717</v>
      </c>
      <c r="AK132" t="s">
        <v>121</v>
      </c>
    </row>
    <row r="133" spans="9:37" x14ac:dyDescent="0.3">
      <c r="I133">
        <f ca="1">IF(OR(INDIRECT(A73&amp;ROW())=B93,INDIRECT(A73&amp;ROW())=B94),1,IF(AND(INDIRECT(A73&amp;ROW())=B95,INDIRECT(A96&amp;ROW())=C93),1,IF(AND(INDIRECT(A73&amp;ROW())=B95,INDIRECT(A96&amp;ROW())=C94),1,0)))</f>
        <v>0</v>
      </c>
      <c r="J133">
        <f ca="1">IF(AND(INDIRECT(A73&amp;ROW())=B95,INDIRECT(A96&amp;ROW())=C95),1,IF(AND(INDIRECT(A73&amp;ROW())=B95,INDIRECT(A96&amp;ROW())=C96),1,0))</f>
        <v>0</v>
      </c>
      <c r="K133">
        <f ca="1">DAYS360(INDIRECT(C68&amp;ROW()),TODAY())</f>
        <v>721</v>
      </c>
      <c r="L133">
        <f ca="1">DAYS360(INDIRECT(C69&amp;ROW()),TODAY())</f>
        <v>882</v>
      </c>
      <c r="M133" s="11">
        <f ca="1">HYPERLINK(CONCATENATE("https://bugzilla.houston.hp.com:1181/bugzilla/show_bug.cgi?id=",INDIRECT(C70&amp;ROW())),INDIRECT(C70&amp;ROW()))</f>
        <v>53492</v>
      </c>
      <c r="N133">
        <v>53492</v>
      </c>
      <c r="O133" t="s">
        <v>180</v>
      </c>
      <c r="P133" t="s">
        <v>416</v>
      </c>
      <c r="Q133" t="s">
        <v>16</v>
      </c>
      <c r="R133" t="s">
        <v>248</v>
      </c>
      <c r="S133" t="s">
        <v>36</v>
      </c>
      <c r="U133" s="6">
        <v>42125.442372685182</v>
      </c>
      <c r="V133" t="s">
        <v>18</v>
      </c>
      <c r="W133" t="s">
        <v>172</v>
      </c>
      <c r="X133" s="6">
        <v>41963.308993055558</v>
      </c>
      <c r="Y133" t="s">
        <v>122</v>
      </c>
      <c r="AB133" t="s">
        <v>200</v>
      </c>
      <c r="AC133" t="s">
        <v>121</v>
      </c>
      <c r="AD133" t="s">
        <v>222</v>
      </c>
      <c r="AE133" t="s">
        <v>225</v>
      </c>
      <c r="AG133" t="s">
        <v>121</v>
      </c>
      <c r="AH133" t="s">
        <v>327</v>
      </c>
      <c r="AI133" t="s">
        <v>121</v>
      </c>
      <c r="AJ133" t="s">
        <v>716</v>
      </c>
      <c r="AK133" t="s">
        <v>121</v>
      </c>
    </row>
    <row r="134" spans="9:37" x14ac:dyDescent="0.3">
      <c r="I134">
        <f ca="1">IF(OR(INDIRECT(A73&amp;ROW())=B93,INDIRECT(A73&amp;ROW())=B94),1,IF(AND(INDIRECT(A73&amp;ROW())=B95,INDIRECT(A96&amp;ROW())=C93),1,IF(AND(INDIRECT(A73&amp;ROW())=B95,INDIRECT(A96&amp;ROW())=C94),1,0)))</f>
        <v>0</v>
      </c>
      <c r="J134">
        <f ca="1">IF(AND(INDIRECT(A73&amp;ROW())=B95,INDIRECT(A96&amp;ROW())=C95),1,IF(AND(INDIRECT(A73&amp;ROW())=B95,INDIRECT(A96&amp;ROW())=C96),1,0))</f>
        <v>0</v>
      </c>
      <c r="K134">
        <f ca="1">DAYS360(INDIRECT(C68&amp;ROW()),TODAY())</f>
        <v>721</v>
      </c>
      <c r="L134">
        <f ca="1">DAYS360(INDIRECT(C69&amp;ROW()),TODAY())</f>
        <v>882</v>
      </c>
      <c r="M134" s="11">
        <f ca="1">HYPERLINK(CONCATENATE("https://bugzilla.houston.hp.com:1181/bugzilla/show_bug.cgi?id=",INDIRECT(C70&amp;ROW())),INDIRECT(C70&amp;ROW()))</f>
        <v>53504</v>
      </c>
      <c r="N134">
        <v>53504</v>
      </c>
      <c r="O134" t="s">
        <v>213</v>
      </c>
      <c r="P134" t="s">
        <v>415</v>
      </c>
      <c r="Q134" t="s">
        <v>16</v>
      </c>
      <c r="R134" t="s">
        <v>248</v>
      </c>
      <c r="S134" t="s">
        <v>36</v>
      </c>
      <c r="U134" s="6">
        <v>42125.443923611114</v>
      </c>
      <c r="V134" t="s">
        <v>18</v>
      </c>
      <c r="W134" t="s">
        <v>172</v>
      </c>
      <c r="X134" s="6">
        <v>41963.310601851852</v>
      </c>
      <c r="Y134" t="s">
        <v>122</v>
      </c>
      <c r="AB134" t="s">
        <v>201</v>
      </c>
      <c r="AC134" t="s">
        <v>121</v>
      </c>
      <c r="AD134" t="s">
        <v>220</v>
      </c>
      <c r="AE134" t="s">
        <v>219</v>
      </c>
      <c r="AG134" t="s">
        <v>121</v>
      </c>
      <c r="AH134" t="s">
        <v>327</v>
      </c>
      <c r="AI134" t="s">
        <v>121</v>
      </c>
      <c r="AJ134" t="s">
        <v>717</v>
      </c>
      <c r="AK134" t="s">
        <v>121</v>
      </c>
    </row>
    <row r="135" spans="9:37" x14ac:dyDescent="0.3">
      <c r="I135">
        <f ca="1">IF(OR(INDIRECT(A73&amp;ROW())=B93,INDIRECT(A73&amp;ROW())=B94),1,IF(AND(INDIRECT(A73&amp;ROW())=B95,INDIRECT(A96&amp;ROW())=C93),1,IF(AND(INDIRECT(A73&amp;ROW())=B95,INDIRECT(A96&amp;ROW())=C94),1,0)))</f>
        <v>0</v>
      </c>
      <c r="J135">
        <f ca="1">IF(AND(INDIRECT(A73&amp;ROW())=B95,INDIRECT(A96&amp;ROW())=C95),1,IF(AND(INDIRECT(A73&amp;ROW())=B95,INDIRECT(A96&amp;ROW())=C96),1,0))</f>
        <v>1</v>
      </c>
      <c r="K135">
        <f ca="1">DAYS360(INDIRECT(C68&amp;ROW()),TODAY())</f>
        <v>800</v>
      </c>
      <c r="L135">
        <f ca="1">DAYS360(INDIRECT(C69&amp;ROW()),TODAY())</f>
        <v>882</v>
      </c>
      <c r="M135" s="11">
        <f ca="1">HYPERLINK(CONCATENATE("https://bugzilla.houston.hp.com:1181/bugzilla/show_bug.cgi?id=",INDIRECT(C70&amp;ROW())),INDIRECT(C70&amp;ROW()))</f>
        <v>53507</v>
      </c>
      <c r="N135">
        <v>53507</v>
      </c>
      <c r="O135" t="s">
        <v>56</v>
      </c>
      <c r="P135" t="s">
        <v>414</v>
      </c>
      <c r="Q135" t="s">
        <v>25</v>
      </c>
      <c r="R135" t="s">
        <v>248</v>
      </c>
      <c r="S135" t="s">
        <v>36</v>
      </c>
      <c r="U135" s="6">
        <v>42047.945706018516</v>
      </c>
      <c r="V135" t="s">
        <v>18</v>
      </c>
      <c r="W135" t="s">
        <v>215</v>
      </c>
      <c r="X135" s="6">
        <v>41963.311215277776</v>
      </c>
      <c r="Y135" t="s">
        <v>244</v>
      </c>
      <c r="AB135" t="s">
        <v>201</v>
      </c>
      <c r="AC135" t="s">
        <v>121</v>
      </c>
      <c r="AD135" t="s">
        <v>220</v>
      </c>
      <c r="AE135" t="s">
        <v>219</v>
      </c>
      <c r="AG135" t="s">
        <v>121</v>
      </c>
      <c r="AH135" t="s">
        <v>327</v>
      </c>
      <c r="AI135" t="s">
        <v>121</v>
      </c>
      <c r="AJ135" t="s">
        <v>716</v>
      </c>
      <c r="AK135" t="s">
        <v>121</v>
      </c>
    </row>
    <row r="136" spans="9:37" x14ac:dyDescent="0.3">
      <c r="I136">
        <f ca="1">IF(OR(INDIRECT(A73&amp;ROW())=B93,INDIRECT(A73&amp;ROW())=B94),1,IF(AND(INDIRECT(A73&amp;ROW())=B95,INDIRECT(A96&amp;ROW())=C93),1,IF(AND(INDIRECT(A73&amp;ROW())=B95,INDIRECT(A96&amp;ROW())=C94),1,0)))</f>
        <v>0</v>
      </c>
      <c r="J136">
        <f ca="1">IF(AND(INDIRECT(A73&amp;ROW())=B95,INDIRECT(A96&amp;ROW())=C95),1,IF(AND(INDIRECT(A73&amp;ROW())=B95,INDIRECT(A96&amp;ROW())=C96),1,0))</f>
        <v>0</v>
      </c>
      <c r="K136">
        <f ca="1">DAYS360(INDIRECT(C68&amp;ROW()),TODAY())</f>
        <v>800</v>
      </c>
      <c r="L136">
        <f ca="1">DAYS360(INDIRECT(C69&amp;ROW()),TODAY())</f>
        <v>882</v>
      </c>
      <c r="M136" s="11">
        <f ca="1">HYPERLINK(CONCATENATE("https://bugzilla.houston.hp.com:1181/bugzilla/show_bug.cgi?id=",INDIRECT(C70&amp;ROW())),INDIRECT(C70&amp;ROW()))</f>
        <v>53510</v>
      </c>
      <c r="N136">
        <v>53510</v>
      </c>
      <c r="O136" t="s">
        <v>88</v>
      </c>
      <c r="P136" t="s">
        <v>413</v>
      </c>
      <c r="Q136" t="s">
        <v>16</v>
      </c>
      <c r="R136" t="s">
        <v>248</v>
      </c>
      <c r="S136" t="s">
        <v>36</v>
      </c>
      <c r="U136" s="6">
        <v>42047.943113425928</v>
      </c>
      <c r="V136" t="s">
        <v>18</v>
      </c>
      <c r="W136" t="s">
        <v>215</v>
      </c>
      <c r="X136" s="6">
        <v>41963.311759259261</v>
      </c>
      <c r="Y136" t="s">
        <v>119</v>
      </c>
      <c r="AB136" t="s">
        <v>201</v>
      </c>
      <c r="AC136" t="s">
        <v>121</v>
      </c>
      <c r="AD136" t="s">
        <v>222</v>
      </c>
      <c r="AE136" t="s">
        <v>240</v>
      </c>
      <c r="AG136" t="s">
        <v>121</v>
      </c>
      <c r="AH136" t="s">
        <v>327</v>
      </c>
      <c r="AI136" t="s">
        <v>121</v>
      </c>
      <c r="AJ136" t="s">
        <v>717</v>
      </c>
      <c r="AK136" t="s">
        <v>121</v>
      </c>
    </row>
    <row r="137" spans="9:37" x14ac:dyDescent="0.3">
      <c r="I137">
        <f ca="1">IF(OR(INDIRECT(A73&amp;ROW())=B93,INDIRECT(A73&amp;ROW())=B94),1,IF(AND(INDIRECT(A73&amp;ROW())=B95,INDIRECT(A96&amp;ROW())=C93),1,IF(AND(INDIRECT(A73&amp;ROW())=B95,INDIRECT(A96&amp;ROW())=C94),1,0)))</f>
        <v>1</v>
      </c>
      <c r="J137">
        <f ca="1">IF(AND(INDIRECT(A73&amp;ROW())=B95,INDIRECT(A96&amp;ROW())=C95),1,IF(AND(INDIRECT(A73&amp;ROW())=B95,INDIRECT(A96&amp;ROW())=C96),1,0))</f>
        <v>0</v>
      </c>
      <c r="K137">
        <f ca="1">DAYS360(INDIRECT(C68&amp;ROW()),TODAY())</f>
        <v>803</v>
      </c>
      <c r="L137">
        <f ca="1">DAYS360(INDIRECT(C69&amp;ROW()),TODAY())</f>
        <v>882</v>
      </c>
      <c r="M137" s="11">
        <f ca="1">HYPERLINK(CONCATENATE("https://bugzilla.houston.hp.com:1181/bugzilla/show_bug.cgi?id=",INDIRECT(C70&amp;ROW())),INDIRECT(C70&amp;ROW()))</f>
        <v>53513</v>
      </c>
      <c r="N137">
        <v>53513</v>
      </c>
      <c r="O137" t="s">
        <v>94</v>
      </c>
      <c r="P137" t="s">
        <v>412</v>
      </c>
      <c r="Q137" t="s">
        <v>39</v>
      </c>
      <c r="R137" t="s">
        <v>248</v>
      </c>
      <c r="S137" t="s">
        <v>36</v>
      </c>
      <c r="U137" s="6">
        <v>42044.504583333335</v>
      </c>
      <c r="V137" t="s">
        <v>18</v>
      </c>
      <c r="W137" t="s">
        <v>211</v>
      </c>
      <c r="X137" s="6">
        <v>41963.312141203707</v>
      </c>
      <c r="Y137" t="s">
        <v>119</v>
      </c>
      <c r="AB137" t="s">
        <v>201</v>
      </c>
      <c r="AC137" t="s">
        <v>121</v>
      </c>
      <c r="AD137" t="s">
        <v>227</v>
      </c>
      <c r="AE137" t="s">
        <v>231</v>
      </c>
      <c r="AG137" t="s">
        <v>121</v>
      </c>
      <c r="AH137" t="s">
        <v>64</v>
      </c>
      <c r="AI137" t="s">
        <v>121</v>
      </c>
      <c r="AJ137" t="s">
        <v>715</v>
      </c>
      <c r="AK137" t="s">
        <v>121</v>
      </c>
    </row>
    <row r="138" spans="9:37" x14ac:dyDescent="0.3">
      <c r="I138">
        <f ca="1">IF(OR(INDIRECT(A73&amp;ROW())=B93,INDIRECT(A73&amp;ROW())=B94),1,IF(AND(INDIRECT(A73&amp;ROW())=B95,INDIRECT(A96&amp;ROW())=C93),1,IF(AND(INDIRECT(A73&amp;ROW())=B95,INDIRECT(A96&amp;ROW())=C94),1,0)))</f>
        <v>0</v>
      </c>
      <c r="J138">
        <f ca="1">IF(AND(INDIRECT(A73&amp;ROW())=B95,INDIRECT(A96&amp;ROW())=C95),1,IF(AND(INDIRECT(A73&amp;ROW())=B95,INDIRECT(A96&amp;ROW())=C96),1,0))</f>
        <v>0</v>
      </c>
      <c r="K138">
        <f ca="1">DAYS360(INDIRECT(C68&amp;ROW()),TODAY())</f>
        <v>721</v>
      </c>
      <c r="L138">
        <f ca="1">DAYS360(INDIRECT(C69&amp;ROW()),TODAY())</f>
        <v>882</v>
      </c>
      <c r="M138" s="11">
        <f ca="1">HYPERLINK(CONCATENATE("https://bugzilla.houston.hp.com:1181/bugzilla/show_bug.cgi?id=",INDIRECT(C70&amp;ROW())),INDIRECT(C70&amp;ROW()))</f>
        <v>53516</v>
      </c>
      <c r="N138">
        <v>53516</v>
      </c>
      <c r="O138" t="s">
        <v>22</v>
      </c>
      <c r="P138" t="s">
        <v>411</v>
      </c>
      <c r="Q138" t="s">
        <v>16</v>
      </c>
      <c r="R138" t="s">
        <v>248</v>
      </c>
      <c r="S138" t="s">
        <v>36</v>
      </c>
      <c r="U138" s="6">
        <v>42125.443807870368</v>
      </c>
      <c r="V138" t="s">
        <v>18</v>
      </c>
      <c r="W138" t="s">
        <v>17</v>
      </c>
      <c r="X138" s="6">
        <v>41963.312673611108</v>
      </c>
      <c r="Y138" t="s">
        <v>122</v>
      </c>
      <c r="Z138" t="s">
        <v>255</v>
      </c>
      <c r="AB138" t="s">
        <v>201</v>
      </c>
      <c r="AC138" t="s">
        <v>121</v>
      </c>
      <c r="AD138" t="s">
        <v>220</v>
      </c>
      <c r="AE138" t="s">
        <v>219</v>
      </c>
      <c r="AG138" t="s">
        <v>121</v>
      </c>
      <c r="AH138" t="s">
        <v>64</v>
      </c>
      <c r="AI138" t="s">
        <v>121</v>
      </c>
      <c r="AJ138" t="s">
        <v>717</v>
      </c>
      <c r="AK138" t="s">
        <v>121</v>
      </c>
    </row>
    <row r="139" spans="9:37" x14ac:dyDescent="0.3">
      <c r="I139">
        <f ca="1">IF(OR(INDIRECT(A73&amp;ROW())=B93,INDIRECT(A73&amp;ROW())=B94),1,IF(AND(INDIRECT(A73&amp;ROW())=B95,INDIRECT(A96&amp;ROW())=C93),1,IF(AND(INDIRECT(A73&amp;ROW())=B95,INDIRECT(A96&amp;ROW())=C94),1,0)))</f>
        <v>0</v>
      </c>
      <c r="J139">
        <f ca="1">IF(AND(INDIRECT(A73&amp;ROW())=B95,INDIRECT(A96&amp;ROW())=C95),1,IF(AND(INDIRECT(A73&amp;ROW())=B95,INDIRECT(A96&amp;ROW())=C96),1,0))</f>
        <v>0</v>
      </c>
      <c r="K139">
        <f ca="1">DAYS360(INDIRECT(C68&amp;ROW()),TODAY())</f>
        <v>800</v>
      </c>
      <c r="L139">
        <f ca="1">DAYS360(INDIRECT(C69&amp;ROW()),TODAY())</f>
        <v>882</v>
      </c>
      <c r="M139" s="11">
        <f ca="1">HYPERLINK(CONCATENATE("https://bugzilla.houston.hp.com:1181/bugzilla/show_bug.cgi?id=",INDIRECT(C70&amp;ROW())),INDIRECT(C70&amp;ROW()))</f>
        <v>53525</v>
      </c>
      <c r="N139">
        <v>53525</v>
      </c>
      <c r="O139" t="s">
        <v>88</v>
      </c>
      <c r="P139" t="s">
        <v>410</v>
      </c>
      <c r="Q139" t="s">
        <v>16</v>
      </c>
      <c r="R139" t="s">
        <v>248</v>
      </c>
      <c r="S139" t="s">
        <v>36</v>
      </c>
      <c r="U139" s="6">
        <v>42047.958749999998</v>
      </c>
      <c r="V139" t="s">
        <v>18</v>
      </c>
      <c r="W139" t="s">
        <v>260</v>
      </c>
      <c r="X139" s="6">
        <v>41963.313935185186</v>
      </c>
      <c r="Y139" t="s">
        <v>119</v>
      </c>
      <c r="AB139" t="s">
        <v>199</v>
      </c>
      <c r="AC139" t="s">
        <v>121</v>
      </c>
      <c r="AD139" t="s">
        <v>220</v>
      </c>
      <c r="AE139" t="s">
        <v>290</v>
      </c>
      <c r="AG139" t="s">
        <v>121</v>
      </c>
      <c r="AH139" t="s">
        <v>64</v>
      </c>
      <c r="AI139" t="s">
        <v>121</v>
      </c>
      <c r="AJ139" t="s">
        <v>716</v>
      </c>
      <c r="AK139" t="s">
        <v>121</v>
      </c>
    </row>
    <row r="140" spans="9:37" x14ac:dyDescent="0.3">
      <c r="I140">
        <f ca="1">IF(OR(INDIRECT(A73&amp;ROW())=B93,INDIRECT(A73&amp;ROW())=B94),1,IF(AND(INDIRECT(A73&amp;ROW())=B95,INDIRECT(A96&amp;ROW())=C93),1,IF(AND(INDIRECT(A73&amp;ROW())=B95,INDIRECT(A96&amp;ROW())=C94),1,0)))</f>
        <v>0</v>
      </c>
      <c r="J140">
        <f ca="1">IF(AND(INDIRECT(A73&amp;ROW())=B95,INDIRECT(A96&amp;ROW())=C95),1,IF(AND(INDIRECT(A73&amp;ROW())=B95,INDIRECT(A96&amp;ROW())=C96),1,0))</f>
        <v>0</v>
      </c>
      <c r="K140">
        <f ca="1">DAYS360(INDIRECT(C68&amp;ROW()),TODAY())</f>
        <v>721</v>
      </c>
      <c r="L140">
        <f ca="1">DAYS360(INDIRECT(C69&amp;ROW()),TODAY())</f>
        <v>882</v>
      </c>
      <c r="M140" s="11">
        <f ca="1">HYPERLINK(CONCATENATE("https://bugzilla.houston.hp.com:1181/bugzilla/show_bug.cgi?id=",INDIRECT(C70&amp;ROW())),INDIRECT(C70&amp;ROW()))</f>
        <v>53531</v>
      </c>
      <c r="N140">
        <v>53531</v>
      </c>
      <c r="O140" t="s">
        <v>88</v>
      </c>
      <c r="P140" t="s">
        <v>409</v>
      </c>
      <c r="Q140" t="s">
        <v>16</v>
      </c>
      <c r="R140" t="s">
        <v>248</v>
      </c>
      <c r="S140" t="s">
        <v>36</v>
      </c>
      <c r="U140" s="6">
        <v>42125.445243055554</v>
      </c>
      <c r="V140" t="s">
        <v>18</v>
      </c>
      <c r="W140" t="s">
        <v>258</v>
      </c>
      <c r="X140" s="6">
        <v>41963.314837962964</v>
      </c>
      <c r="Y140" t="s">
        <v>122</v>
      </c>
      <c r="AB140" t="s">
        <v>200</v>
      </c>
      <c r="AC140" t="s">
        <v>121</v>
      </c>
      <c r="AD140" t="s">
        <v>222</v>
      </c>
      <c r="AE140" t="s">
        <v>221</v>
      </c>
      <c r="AG140" t="s">
        <v>121</v>
      </c>
      <c r="AH140" t="s">
        <v>64</v>
      </c>
      <c r="AI140" t="s">
        <v>121</v>
      </c>
      <c r="AJ140" t="s">
        <v>716</v>
      </c>
      <c r="AK140" t="s">
        <v>121</v>
      </c>
    </row>
    <row r="141" spans="9:37" x14ac:dyDescent="0.3">
      <c r="I141">
        <f ca="1">IF(OR(INDIRECT(A73&amp;ROW())=B93,INDIRECT(A73&amp;ROW())=B94),1,IF(AND(INDIRECT(A73&amp;ROW())=B95,INDIRECT(A96&amp;ROW())=C93),1,IF(AND(INDIRECT(A73&amp;ROW())=B95,INDIRECT(A96&amp;ROW())=C94),1,0)))</f>
        <v>0</v>
      </c>
      <c r="J141">
        <f ca="1">IF(AND(INDIRECT(A73&amp;ROW())=B95,INDIRECT(A96&amp;ROW())=C95),1,IF(AND(INDIRECT(A73&amp;ROW())=B95,INDIRECT(A96&amp;ROW())=C96),1,0))</f>
        <v>0</v>
      </c>
      <c r="K141">
        <f ca="1">DAYS360(INDIRECT(C68&amp;ROW()),TODAY())</f>
        <v>721</v>
      </c>
      <c r="L141">
        <f ca="1">DAYS360(INDIRECT(C69&amp;ROW()),TODAY())</f>
        <v>882</v>
      </c>
      <c r="M141" s="11">
        <f ca="1">HYPERLINK(CONCATENATE("https://bugzilla.houston.hp.com:1181/bugzilla/show_bug.cgi?id=",INDIRECT(C70&amp;ROW())),INDIRECT(C70&amp;ROW()))</f>
        <v>53534</v>
      </c>
      <c r="N141">
        <v>53534</v>
      </c>
      <c r="O141" t="s">
        <v>22</v>
      </c>
      <c r="P141" t="s">
        <v>408</v>
      </c>
      <c r="Q141" t="s">
        <v>16</v>
      </c>
      <c r="R141" t="s">
        <v>248</v>
      </c>
      <c r="S141" t="s">
        <v>36</v>
      </c>
      <c r="U141" s="6">
        <v>42125.445324074077</v>
      </c>
      <c r="V141" t="s">
        <v>18</v>
      </c>
      <c r="W141" t="s">
        <v>17</v>
      </c>
      <c r="X141" s="6">
        <v>41963.315185185187</v>
      </c>
      <c r="Y141" t="s">
        <v>122</v>
      </c>
      <c r="AB141" t="s">
        <v>200</v>
      </c>
      <c r="AC141" t="s">
        <v>121</v>
      </c>
      <c r="AD141" t="s">
        <v>220</v>
      </c>
      <c r="AE141" t="s">
        <v>223</v>
      </c>
      <c r="AG141" t="s">
        <v>121</v>
      </c>
      <c r="AH141" t="s">
        <v>64</v>
      </c>
      <c r="AI141" t="s">
        <v>121</v>
      </c>
      <c r="AJ141" t="s">
        <v>716</v>
      </c>
      <c r="AK141" t="s">
        <v>121</v>
      </c>
    </row>
    <row r="142" spans="9:37" x14ac:dyDescent="0.3">
      <c r="I142">
        <f ca="1">IF(OR(INDIRECT(A73&amp;ROW())=B93,INDIRECT(A73&amp;ROW())=B94),1,IF(AND(INDIRECT(A73&amp;ROW())=B95,INDIRECT(A96&amp;ROW())=C93),1,IF(AND(INDIRECT(A73&amp;ROW())=B95,INDIRECT(A96&amp;ROW())=C94),1,0)))</f>
        <v>0</v>
      </c>
      <c r="J142">
        <f ca="1">IF(AND(INDIRECT(A73&amp;ROW())=B95,INDIRECT(A96&amp;ROW())=C95),1,IF(AND(INDIRECT(A73&amp;ROW())=B95,INDIRECT(A96&amp;ROW())=C96),1,0))</f>
        <v>0</v>
      </c>
      <c r="K142">
        <f ca="1">DAYS360(INDIRECT(C68&amp;ROW()),TODAY())</f>
        <v>721</v>
      </c>
      <c r="L142">
        <f ca="1">DAYS360(INDIRECT(C69&amp;ROW()),TODAY())</f>
        <v>882</v>
      </c>
      <c r="M142" s="11">
        <f ca="1">HYPERLINK(CONCATENATE("https://bugzilla.houston.hp.com:1181/bugzilla/show_bug.cgi?id=",INDIRECT(C70&amp;ROW())),INDIRECT(C70&amp;ROW()))</f>
        <v>53537</v>
      </c>
      <c r="N142">
        <v>53537</v>
      </c>
      <c r="O142" t="s">
        <v>49</v>
      </c>
      <c r="P142" t="s">
        <v>407</v>
      </c>
      <c r="Q142" t="s">
        <v>16</v>
      </c>
      <c r="R142" t="s">
        <v>248</v>
      </c>
      <c r="S142" t="s">
        <v>36</v>
      </c>
      <c r="U142" s="6">
        <v>42125.445162037038</v>
      </c>
      <c r="V142" t="s">
        <v>18</v>
      </c>
      <c r="W142" t="s">
        <v>258</v>
      </c>
      <c r="X142" s="6">
        <v>41963.315509259257</v>
      </c>
      <c r="Y142" t="s">
        <v>122</v>
      </c>
      <c r="AB142" t="s">
        <v>200</v>
      </c>
      <c r="AC142" t="s">
        <v>121</v>
      </c>
      <c r="AD142" t="s">
        <v>222</v>
      </c>
      <c r="AE142" t="s">
        <v>221</v>
      </c>
      <c r="AG142" t="s">
        <v>121</v>
      </c>
      <c r="AH142" t="s">
        <v>64</v>
      </c>
      <c r="AI142" t="s">
        <v>121</v>
      </c>
      <c r="AJ142" t="s">
        <v>716</v>
      </c>
      <c r="AK142" t="s">
        <v>121</v>
      </c>
    </row>
    <row r="143" spans="9:37" x14ac:dyDescent="0.3">
      <c r="I143">
        <f ca="1">IF(OR(INDIRECT(A73&amp;ROW())=B93,INDIRECT(A73&amp;ROW())=B94),1,IF(AND(INDIRECT(A73&amp;ROW())=B95,INDIRECT(A96&amp;ROW())=C93),1,IF(AND(INDIRECT(A73&amp;ROW())=B95,INDIRECT(A96&amp;ROW())=C94),1,0)))</f>
        <v>0</v>
      </c>
      <c r="J143">
        <f ca="1">IF(AND(INDIRECT(A73&amp;ROW())=B95,INDIRECT(A96&amp;ROW())=C95),1,IF(AND(INDIRECT(A73&amp;ROW())=B95,INDIRECT(A96&amp;ROW())=C96),1,0))</f>
        <v>0</v>
      </c>
      <c r="K143">
        <f ca="1">DAYS360(INDIRECT(C68&amp;ROW()),TODAY())</f>
        <v>721</v>
      </c>
      <c r="L143">
        <f ca="1">DAYS360(INDIRECT(C69&amp;ROW()),TODAY())</f>
        <v>882</v>
      </c>
      <c r="M143" s="11">
        <f ca="1">HYPERLINK(CONCATENATE("https://bugzilla.houston.hp.com:1181/bugzilla/show_bug.cgi?id=",INDIRECT(C70&amp;ROW())),INDIRECT(C70&amp;ROW()))</f>
        <v>53540</v>
      </c>
      <c r="N143">
        <v>53540</v>
      </c>
      <c r="O143" t="s">
        <v>49</v>
      </c>
      <c r="P143" t="s">
        <v>406</v>
      </c>
      <c r="Q143" t="s">
        <v>16</v>
      </c>
      <c r="R143" t="s">
        <v>248</v>
      </c>
      <c r="S143" t="s">
        <v>36</v>
      </c>
      <c r="U143" s="6">
        <v>42125.445208333331</v>
      </c>
      <c r="V143" t="s">
        <v>18</v>
      </c>
      <c r="W143" t="s">
        <v>258</v>
      </c>
      <c r="X143" s="6">
        <v>41963.315798611111</v>
      </c>
      <c r="Y143" t="s">
        <v>122</v>
      </c>
      <c r="AB143" t="s">
        <v>200</v>
      </c>
      <c r="AC143" t="s">
        <v>121</v>
      </c>
      <c r="AD143" t="s">
        <v>222</v>
      </c>
      <c r="AE143" t="s">
        <v>221</v>
      </c>
      <c r="AG143" t="s">
        <v>121</v>
      </c>
      <c r="AH143" t="s">
        <v>64</v>
      </c>
      <c r="AI143" t="s">
        <v>121</v>
      </c>
      <c r="AJ143" t="s">
        <v>716</v>
      </c>
      <c r="AK143" t="s">
        <v>121</v>
      </c>
    </row>
    <row r="144" spans="9:37" x14ac:dyDescent="0.3">
      <c r="I144">
        <f ca="1">IF(OR(INDIRECT(A73&amp;ROW())=B93,INDIRECT(A73&amp;ROW())=B94),1,IF(AND(INDIRECT(A73&amp;ROW())=B95,INDIRECT(A96&amp;ROW())=C93),1,IF(AND(INDIRECT(A73&amp;ROW())=B95,INDIRECT(A96&amp;ROW())=C94),1,0)))</f>
        <v>0</v>
      </c>
      <c r="J144">
        <f ca="1">IF(AND(INDIRECT(A73&amp;ROW())=B95,INDIRECT(A96&amp;ROW())=C95),1,IF(AND(INDIRECT(A73&amp;ROW())=B95,INDIRECT(A96&amp;ROW())=C96),1,0))</f>
        <v>0</v>
      </c>
      <c r="K144">
        <f ca="1">DAYS360(INDIRECT(C68&amp;ROW()),TODAY())</f>
        <v>721</v>
      </c>
      <c r="L144">
        <f ca="1">DAYS360(INDIRECT(C69&amp;ROW()),TODAY())</f>
        <v>882</v>
      </c>
      <c r="M144" s="11">
        <f ca="1">HYPERLINK(CONCATENATE("https://bugzilla.houston.hp.com:1181/bugzilla/show_bug.cgi?id=",INDIRECT(C70&amp;ROW())),INDIRECT(C70&amp;ROW()))</f>
        <v>53543</v>
      </c>
      <c r="N144">
        <v>53543</v>
      </c>
      <c r="O144" t="s">
        <v>49</v>
      </c>
      <c r="P144" t="s">
        <v>405</v>
      </c>
      <c r="Q144" t="s">
        <v>16</v>
      </c>
      <c r="R144" t="s">
        <v>248</v>
      </c>
      <c r="S144" t="s">
        <v>36</v>
      </c>
      <c r="U144" s="6">
        <v>42125.4452662037</v>
      </c>
      <c r="V144" t="s">
        <v>18</v>
      </c>
      <c r="W144" t="s">
        <v>258</v>
      </c>
      <c r="X144" s="6">
        <v>41963.316087962965</v>
      </c>
      <c r="Y144" t="s">
        <v>122</v>
      </c>
      <c r="AB144" t="s">
        <v>200</v>
      </c>
      <c r="AC144" t="s">
        <v>121</v>
      </c>
      <c r="AD144" t="s">
        <v>222</v>
      </c>
      <c r="AE144" t="s">
        <v>221</v>
      </c>
      <c r="AG144" t="s">
        <v>121</v>
      </c>
      <c r="AH144" t="s">
        <v>327</v>
      </c>
      <c r="AI144" t="s">
        <v>121</v>
      </c>
      <c r="AJ144" t="s">
        <v>716</v>
      </c>
      <c r="AK144" t="s">
        <v>121</v>
      </c>
    </row>
    <row r="145" spans="9:37" x14ac:dyDescent="0.3">
      <c r="I145">
        <f ca="1">IF(OR(INDIRECT(A73&amp;ROW())=B93,INDIRECT(A73&amp;ROW())=B94),1,IF(AND(INDIRECT(A73&amp;ROW())=B95,INDIRECT(A96&amp;ROW())=C93),1,IF(AND(INDIRECT(A73&amp;ROW())=B95,INDIRECT(A96&amp;ROW())=C94),1,0)))</f>
        <v>0</v>
      </c>
      <c r="J145">
        <f ca="1">IF(AND(INDIRECT(A73&amp;ROW())=B95,INDIRECT(A96&amp;ROW())=C95),1,IF(AND(INDIRECT(A73&amp;ROW())=B95,INDIRECT(A96&amp;ROW())=C96),1,0))</f>
        <v>0</v>
      </c>
      <c r="K145">
        <f ca="1">DAYS360(INDIRECT(C68&amp;ROW()),TODAY())</f>
        <v>721</v>
      </c>
      <c r="L145">
        <f ca="1">DAYS360(INDIRECT(C69&amp;ROW()),TODAY())</f>
        <v>882</v>
      </c>
      <c r="M145" s="11">
        <f ca="1">HYPERLINK(CONCATENATE("https://bugzilla.houston.hp.com:1181/bugzilla/show_bug.cgi?id=",INDIRECT(C70&amp;ROW())),INDIRECT(C70&amp;ROW()))</f>
        <v>53546</v>
      </c>
      <c r="N145">
        <v>53546</v>
      </c>
      <c r="O145" t="s">
        <v>49</v>
      </c>
      <c r="P145" t="s">
        <v>404</v>
      </c>
      <c r="Q145" t="s">
        <v>16</v>
      </c>
      <c r="R145" t="s">
        <v>248</v>
      </c>
      <c r="S145" t="s">
        <v>36</v>
      </c>
      <c r="U145" s="6">
        <v>42125.4453125</v>
      </c>
      <c r="V145" t="s">
        <v>18</v>
      </c>
      <c r="W145" t="s">
        <v>258</v>
      </c>
      <c r="X145" s="6">
        <v>41963.316354166665</v>
      </c>
      <c r="Y145" t="s">
        <v>122</v>
      </c>
      <c r="AB145" t="s">
        <v>200</v>
      </c>
      <c r="AC145" t="s">
        <v>121</v>
      </c>
      <c r="AD145" t="s">
        <v>222</v>
      </c>
      <c r="AE145" t="s">
        <v>221</v>
      </c>
      <c r="AG145" t="s">
        <v>121</v>
      </c>
      <c r="AH145" t="s">
        <v>327</v>
      </c>
      <c r="AI145" t="s">
        <v>121</v>
      </c>
      <c r="AJ145" t="s">
        <v>716</v>
      </c>
      <c r="AK145" t="s">
        <v>121</v>
      </c>
    </row>
    <row r="146" spans="9:37" x14ac:dyDescent="0.3">
      <c r="I146">
        <f ca="1">IF(OR(INDIRECT(A73&amp;ROW())=B93,INDIRECT(A73&amp;ROW())=B94),1,IF(AND(INDIRECT(A73&amp;ROW())=B95,INDIRECT(A96&amp;ROW())=C93),1,IF(AND(INDIRECT(A73&amp;ROW())=B95,INDIRECT(A96&amp;ROW())=C94),1,0)))</f>
        <v>0</v>
      </c>
      <c r="J146">
        <f ca="1">IF(AND(INDIRECT(A73&amp;ROW())=B95,INDIRECT(A96&amp;ROW())=C95),1,IF(AND(INDIRECT(A73&amp;ROW())=B95,INDIRECT(A96&amp;ROW())=C96),1,0))</f>
        <v>0</v>
      </c>
      <c r="K146">
        <f ca="1">DAYS360(INDIRECT(C68&amp;ROW()),TODAY())</f>
        <v>721</v>
      </c>
      <c r="L146">
        <f ca="1">DAYS360(INDIRECT(C69&amp;ROW()),TODAY())</f>
        <v>882</v>
      </c>
      <c r="M146" s="11">
        <f ca="1">HYPERLINK(CONCATENATE("https://bugzilla.houston.hp.com:1181/bugzilla/show_bug.cgi?id=",INDIRECT(C70&amp;ROW())),INDIRECT(C70&amp;ROW()))</f>
        <v>53549</v>
      </c>
      <c r="N146">
        <v>53549</v>
      </c>
      <c r="O146" t="s">
        <v>49</v>
      </c>
      <c r="P146" t="s">
        <v>403</v>
      </c>
      <c r="Q146" t="s">
        <v>16</v>
      </c>
      <c r="R146" t="s">
        <v>248</v>
      </c>
      <c r="S146" t="s">
        <v>36</v>
      </c>
      <c r="U146" s="6">
        <v>42125.445150462961</v>
      </c>
      <c r="V146" t="s">
        <v>18</v>
      </c>
      <c r="W146" t="s">
        <v>258</v>
      </c>
      <c r="X146" s="6">
        <v>41963.316643518519</v>
      </c>
      <c r="Y146" t="s">
        <v>122</v>
      </c>
      <c r="AB146" t="s">
        <v>200</v>
      </c>
      <c r="AC146" t="s">
        <v>121</v>
      </c>
      <c r="AD146" t="s">
        <v>222</v>
      </c>
      <c r="AE146" t="s">
        <v>221</v>
      </c>
      <c r="AG146" t="s">
        <v>121</v>
      </c>
      <c r="AH146" t="s">
        <v>327</v>
      </c>
      <c r="AI146" t="s">
        <v>121</v>
      </c>
      <c r="AJ146" t="s">
        <v>716</v>
      </c>
      <c r="AK146" t="s">
        <v>121</v>
      </c>
    </row>
    <row r="147" spans="9:37" x14ac:dyDescent="0.3">
      <c r="I147">
        <f ca="1">IF(OR(INDIRECT(A73&amp;ROW())=B93,INDIRECT(A73&amp;ROW())=B94),1,IF(AND(INDIRECT(A73&amp;ROW())=B95,INDIRECT(A96&amp;ROW())=C93),1,IF(AND(INDIRECT(A73&amp;ROW())=B95,INDIRECT(A96&amp;ROW())=C94),1,0)))</f>
        <v>0</v>
      </c>
      <c r="J147">
        <f ca="1">IF(AND(INDIRECT(A73&amp;ROW())=B95,INDIRECT(A96&amp;ROW())=C95),1,IF(AND(INDIRECT(A73&amp;ROW())=B95,INDIRECT(A96&amp;ROW())=C96),1,0))</f>
        <v>0</v>
      </c>
      <c r="K147">
        <f ca="1">DAYS360(INDIRECT(C68&amp;ROW()),TODAY())</f>
        <v>721</v>
      </c>
      <c r="L147">
        <f ca="1">DAYS360(INDIRECT(C69&amp;ROW()),TODAY())</f>
        <v>882</v>
      </c>
      <c r="M147" s="11">
        <f ca="1">HYPERLINK(CONCATENATE("https://bugzilla.houston.hp.com:1181/bugzilla/show_bug.cgi?id=",INDIRECT(C70&amp;ROW())),INDIRECT(C70&amp;ROW()))</f>
        <v>53561</v>
      </c>
      <c r="N147">
        <v>53561</v>
      </c>
      <c r="O147" t="s">
        <v>56</v>
      </c>
      <c r="P147" t="s">
        <v>402</v>
      </c>
      <c r="Q147" t="s">
        <v>16</v>
      </c>
      <c r="R147" t="s">
        <v>248</v>
      </c>
      <c r="S147" t="s">
        <v>36</v>
      </c>
      <c r="U147" s="6">
        <v>42125.446539351855</v>
      </c>
      <c r="V147" t="s">
        <v>18</v>
      </c>
      <c r="W147" t="s">
        <v>257</v>
      </c>
      <c r="X147" s="6">
        <v>41963.318425925929</v>
      </c>
      <c r="Y147" t="s">
        <v>122</v>
      </c>
      <c r="AB147" t="s">
        <v>201</v>
      </c>
      <c r="AC147" t="s">
        <v>247</v>
      </c>
      <c r="AD147" t="s">
        <v>220</v>
      </c>
      <c r="AE147" t="s">
        <v>219</v>
      </c>
      <c r="AG147" t="s">
        <v>121</v>
      </c>
      <c r="AH147" t="s">
        <v>64</v>
      </c>
      <c r="AI147" t="s">
        <v>121</v>
      </c>
      <c r="AJ147" t="s">
        <v>717</v>
      </c>
      <c r="AK147" t="s">
        <v>121</v>
      </c>
    </row>
    <row r="148" spans="9:37" x14ac:dyDescent="0.3">
      <c r="I148">
        <f ca="1">IF(OR(INDIRECT(A73&amp;ROW())=B93,INDIRECT(A73&amp;ROW())=B94),1,IF(AND(INDIRECT(A73&amp;ROW())=B95,INDIRECT(A96&amp;ROW())=C93),1,IF(AND(INDIRECT(A73&amp;ROW())=B95,INDIRECT(A96&amp;ROW())=C94),1,0)))</f>
        <v>0</v>
      </c>
      <c r="J148">
        <f ca="1">IF(AND(INDIRECT(A73&amp;ROW())=B95,INDIRECT(A96&amp;ROW())=C95),1,IF(AND(INDIRECT(A73&amp;ROW())=B95,INDIRECT(A96&amp;ROW())=C96),1,0))</f>
        <v>0</v>
      </c>
      <c r="K148">
        <f ca="1">DAYS360(INDIRECT(C68&amp;ROW()),TODAY())</f>
        <v>721</v>
      </c>
      <c r="L148">
        <f ca="1">DAYS360(INDIRECT(C69&amp;ROW()),TODAY())</f>
        <v>882</v>
      </c>
      <c r="M148" s="11">
        <f ca="1">HYPERLINK(CONCATENATE("https://bugzilla.houston.hp.com:1181/bugzilla/show_bug.cgi?id=",INDIRECT(C70&amp;ROW())),INDIRECT(C70&amp;ROW()))</f>
        <v>53564</v>
      </c>
      <c r="N148">
        <v>53564</v>
      </c>
      <c r="O148" t="s">
        <v>56</v>
      </c>
      <c r="P148" t="s">
        <v>401</v>
      </c>
      <c r="Q148" t="s">
        <v>16</v>
      </c>
      <c r="R148" t="s">
        <v>248</v>
      </c>
      <c r="S148" t="s">
        <v>36</v>
      </c>
      <c r="U148" s="6">
        <v>42125.446331018517</v>
      </c>
      <c r="V148" t="s">
        <v>18</v>
      </c>
      <c r="W148" t="s">
        <v>257</v>
      </c>
      <c r="X148" s="6">
        <v>41963.318773148145</v>
      </c>
      <c r="Y148" t="s">
        <v>122</v>
      </c>
      <c r="AB148" t="s">
        <v>201</v>
      </c>
      <c r="AC148" t="s">
        <v>247</v>
      </c>
      <c r="AD148" t="s">
        <v>220</v>
      </c>
      <c r="AE148" t="s">
        <v>219</v>
      </c>
      <c r="AG148" t="s">
        <v>121</v>
      </c>
      <c r="AH148" t="s">
        <v>327</v>
      </c>
      <c r="AI148" t="s">
        <v>121</v>
      </c>
      <c r="AJ148" t="s">
        <v>717</v>
      </c>
      <c r="AK148" t="s">
        <v>121</v>
      </c>
    </row>
    <row r="149" spans="9:37" x14ac:dyDescent="0.3">
      <c r="I149">
        <f ca="1">IF(OR(INDIRECT(A73&amp;ROW())=B93,INDIRECT(A73&amp;ROW())=B94),1,IF(AND(INDIRECT(A73&amp;ROW())=B95,INDIRECT(A96&amp;ROW())=C93),1,IF(AND(INDIRECT(A73&amp;ROW())=B95,INDIRECT(A96&amp;ROW())=C94),1,0)))</f>
        <v>0</v>
      </c>
      <c r="J149">
        <f ca="1">IF(AND(INDIRECT(A73&amp;ROW())=B95,INDIRECT(A96&amp;ROW())=C95),1,IF(AND(INDIRECT(A73&amp;ROW())=B95,INDIRECT(A96&amp;ROW())=C96),1,0))</f>
        <v>0</v>
      </c>
      <c r="K149">
        <f ca="1">DAYS360(INDIRECT(C68&amp;ROW()),TODAY())</f>
        <v>800</v>
      </c>
      <c r="L149">
        <f ca="1">DAYS360(INDIRECT(C69&amp;ROW()),TODAY())</f>
        <v>882</v>
      </c>
      <c r="M149" s="11">
        <f ca="1">HYPERLINK(CONCATENATE("https://bugzilla.houston.hp.com:1181/bugzilla/show_bug.cgi?id=",INDIRECT(C70&amp;ROW())),INDIRECT(C70&amp;ROW()))</f>
        <v>53573</v>
      </c>
      <c r="N149">
        <v>53573</v>
      </c>
      <c r="O149" t="s">
        <v>334</v>
      </c>
      <c r="P149" t="s">
        <v>400</v>
      </c>
      <c r="Q149" t="s">
        <v>16</v>
      </c>
      <c r="R149" t="s">
        <v>248</v>
      </c>
      <c r="S149" t="s">
        <v>36</v>
      </c>
      <c r="U149" s="6">
        <v>42047.980590277781</v>
      </c>
      <c r="V149" t="s">
        <v>18</v>
      </c>
      <c r="W149" t="s">
        <v>260</v>
      </c>
      <c r="X149" s="6">
        <v>41963.319826388892</v>
      </c>
      <c r="Y149" t="s">
        <v>245</v>
      </c>
      <c r="AB149" t="s">
        <v>200</v>
      </c>
      <c r="AC149" t="s">
        <v>247</v>
      </c>
      <c r="AD149" t="s">
        <v>227</v>
      </c>
      <c r="AE149" t="s">
        <v>230</v>
      </c>
      <c r="AG149" t="s">
        <v>121</v>
      </c>
      <c r="AH149" t="s">
        <v>327</v>
      </c>
      <c r="AI149" t="s">
        <v>121</v>
      </c>
      <c r="AJ149" t="s">
        <v>716</v>
      </c>
      <c r="AK149" t="s">
        <v>121</v>
      </c>
    </row>
    <row r="150" spans="9:37" x14ac:dyDescent="0.3">
      <c r="I150">
        <f ca="1">IF(OR(INDIRECT(A73&amp;ROW())=B93,INDIRECT(A73&amp;ROW())=B94),1,IF(AND(INDIRECT(A73&amp;ROW())=B95,INDIRECT(A96&amp;ROW())=C93),1,IF(AND(INDIRECT(A73&amp;ROW())=B95,INDIRECT(A96&amp;ROW())=C94),1,0)))</f>
        <v>0</v>
      </c>
      <c r="J150">
        <f ca="1">IF(AND(INDIRECT(A73&amp;ROW())=B95,INDIRECT(A96&amp;ROW())=C95),1,IF(AND(INDIRECT(A73&amp;ROW())=B95,INDIRECT(A96&amp;ROW())=C96),1,0))</f>
        <v>1</v>
      </c>
      <c r="K150">
        <f ca="1">DAYS360(INDIRECT(C68&amp;ROW()),TODAY())</f>
        <v>721</v>
      </c>
      <c r="L150">
        <f ca="1">DAYS360(INDIRECT(C69&amp;ROW()),TODAY())</f>
        <v>882</v>
      </c>
      <c r="M150" s="11">
        <f ca="1">HYPERLINK(CONCATENATE("https://bugzilla.houston.hp.com:1181/bugzilla/show_bug.cgi?id=",INDIRECT(C70&amp;ROW())),INDIRECT(C70&amp;ROW()))</f>
        <v>53585</v>
      </c>
      <c r="N150">
        <v>53585</v>
      </c>
      <c r="O150" t="s">
        <v>42</v>
      </c>
      <c r="P150" t="s">
        <v>399</v>
      </c>
      <c r="Q150" t="s">
        <v>25</v>
      </c>
      <c r="R150" t="s">
        <v>248</v>
      </c>
      <c r="S150" t="s">
        <v>36</v>
      </c>
      <c r="U150" s="6">
        <v>42125.446412037039</v>
      </c>
      <c r="V150" t="s">
        <v>18</v>
      </c>
      <c r="W150" t="s">
        <v>17</v>
      </c>
      <c r="X150" s="6">
        <v>41963.321562500001</v>
      </c>
      <c r="Y150" t="s">
        <v>122</v>
      </c>
      <c r="AB150" t="s">
        <v>201</v>
      </c>
      <c r="AC150" t="s">
        <v>247</v>
      </c>
      <c r="AD150" t="s">
        <v>220</v>
      </c>
      <c r="AE150" t="s">
        <v>219</v>
      </c>
      <c r="AG150" t="s">
        <v>121</v>
      </c>
      <c r="AH150" t="s">
        <v>64</v>
      </c>
      <c r="AI150" t="s">
        <v>121</v>
      </c>
      <c r="AJ150" t="s">
        <v>716</v>
      </c>
      <c r="AK150" t="s">
        <v>121</v>
      </c>
    </row>
    <row r="151" spans="9:37" x14ac:dyDescent="0.3">
      <c r="I151">
        <f ca="1">IF(OR(INDIRECT(A73&amp;ROW())=B93,INDIRECT(A73&amp;ROW())=B94),1,IF(AND(INDIRECT(A73&amp;ROW())=B95,INDIRECT(A96&amp;ROW())=C93),1,IF(AND(INDIRECT(A73&amp;ROW())=B95,INDIRECT(A96&amp;ROW())=C94),1,0)))</f>
        <v>0</v>
      </c>
      <c r="J151">
        <f ca="1">IF(AND(INDIRECT(A73&amp;ROW())=B95,INDIRECT(A96&amp;ROW())=C95),1,IF(AND(INDIRECT(A73&amp;ROW())=B95,INDIRECT(A96&amp;ROW())=C96),1,0))</f>
        <v>0</v>
      </c>
      <c r="K151">
        <f ca="1">DAYS360(INDIRECT(C68&amp;ROW()),TODAY())</f>
        <v>721</v>
      </c>
      <c r="L151">
        <f ca="1">DAYS360(INDIRECT(C69&amp;ROW()),TODAY())</f>
        <v>882</v>
      </c>
      <c r="M151" s="11">
        <f ca="1">HYPERLINK(CONCATENATE("https://bugzilla.houston.hp.com:1181/bugzilla/show_bug.cgi?id=",INDIRECT(C70&amp;ROW())),INDIRECT(C70&amp;ROW()))</f>
        <v>53588</v>
      </c>
      <c r="N151">
        <v>53588</v>
      </c>
      <c r="O151" t="s">
        <v>50</v>
      </c>
      <c r="P151" t="s">
        <v>398</v>
      </c>
      <c r="Q151" t="s">
        <v>16</v>
      </c>
      <c r="R151" t="s">
        <v>248</v>
      </c>
      <c r="S151" t="s">
        <v>36</v>
      </c>
      <c r="U151" s="6">
        <v>42125.446469907409</v>
      </c>
      <c r="V151" t="s">
        <v>18</v>
      </c>
      <c r="W151" t="s">
        <v>288</v>
      </c>
      <c r="X151" s="6">
        <v>41963.321979166663</v>
      </c>
      <c r="Y151" t="s">
        <v>122</v>
      </c>
      <c r="AB151" t="s">
        <v>200</v>
      </c>
      <c r="AC151" t="s">
        <v>247</v>
      </c>
      <c r="AD151" t="s">
        <v>227</v>
      </c>
      <c r="AE151" t="s">
        <v>231</v>
      </c>
      <c r="AG151" t="s">
        <v>121</v>
      </c>
      <c r="AH151" t="s">
        <v>327</v>
      </c>
      <c r="AI151" t="s">
        <v>121</v>
      </c>
      <c r="AJ151" t="s">
        <v>716</v>
      </c>
      <c r="AK151" t="s">
        <v>121</v>
      </c>
    </row>
    <row r="152" spans="9:37" x14ac:dyDescent="0.3">
      <c r="I152">
        <f ca="1">IF(OR(INDIRECT(A73&amp;ROW())=B93,INDIRECT(A73&amp;ROW())=B94),1,IF(AND(INDIRECT(A73&amp;ROW())=B95,INDIRECT(A96&amp;ROW())=C93),1,IF(AND(INDIRECT(A73&amp;ROW())=B95,INDIRECT(A96&amp;ROW())=C94),1,0)))</f>
        <v>0</v>
      </c>
      <c r="J152">
        <f ca="1">IF(AND(INDIRECT(A73&amp;ROW())=B95,INDIRECT(A96&amp;ROW())=C95),1,IF(AND(INDIRECT(A73&amp;ROW())=B95,INDIRECT(A96&amp;ROW())=C96),1,0))</f>
        <v>1</v>
      </c>
      <c r="K152">
        <f ca="1">DAYS360(INDIRECT(C68&amp;ROW()),TODAY())</f>
        <v>721</v>
      </c>
      <c r="L152">
        <f ca="1">DAYS360(INDIRECT(C69&amp;ROW()),TODAY())</f>
        <v>882</v>
      </c>
      <c r="M152" s="11">
        <f ca="1">HYPERLINK(CONCATENATE("https://bugzilla.houston.hp.com:1181/bugzilla/show_bug.cgi?id=",INDIRECT(C70&amp;ROW())),INDIRECT(C70&amp;ROW()))</f>
        <v>53594</v>
      </c>
      <c r="N152">
        <v>53594</v>
      </c>
      <c r="O152" t="s">
        <v>56</v>
      </c>
      <c r="P152" t="s">
        <v>397</v>
      </c>
      <c r="Q152" t="s">
        <v>25</v>
      </c>
      <c r="R152" t="s">
        <v>248</v>
      </c>
      <c r="S152" t="s">
        <v>36</v>
      </c>
      <c r="U152" s="6">
        <v>42125.44630787037</v>
      </c>
      <c r="V152" t="s">
        <v>18</v>
      </c>
      <c r="W152" t="s">
        <v>324</v>
      </c>
      <c r="X152" s="6">
        <v>41963.322870370372</v>
      </c>
      <c r="Y152" t="s">
        <v>122</v>
      </c>
      <c r="AB152" t="s">
        <v>201</v>
      </c>
      <c r="AC152" t="s">
        <v>247</v>
      </c>
      <c r="AD152" t="s">
        <v>220</v>
      </c>
      <c r="AE152" t="s">
        <v>219</v>
      </c>
      <c r="AG152" t="s">
        <v>121</v>
      </c>
      <c r="AH152" t="s">
        <v>327</v>
      </c>
      <c r="AI152" t="s">
        <v>121</v>
      </c>
      <c r="AJ152" t="s">
        <v>716</v>
      </c>
      <c r="AK152" t="s">
        <v>121</v>
      </c>
    </row>
    <row r="153" spans="9:37" x14ac:dyDescent="0.3">
      <c r="I153">
        <f ca="1">IF(OR(INDIRECT(A73&amp;ROW())=B93,INDIRECT(A73&amp;ROW())=B94),1,IF(AND(INDIRECT(A73&amp;ROW())=B95,INDIRECT(A96&amp;ROW())=C93),1,IF(AND(INDIRECT(A73&amp;ROW())=B95,INDIRECT(A96&amp;ROW())=C94),1,0)))</f>
        <v>0</v>
      </c>
      <c r="J153">
        <f ca="1">IF(AND(INDIRECT(A73&amp;ROW())=B95,INDIRECT(A96&amp;ROW())=C95),1,IF(AND(INDIRECT(A73&amp;ROW())=B95,INDIRECT(A96&amp;ROW())=C96),1,0))</f>
        <v>1</v>
      </c>
      <c r="K153">
        <f ca="1">DAYS360(INDIRECT(C68&amp;ROW()),TODAY())</f>
        <v>721</v>
      </c>
      <c r="L153">
        <f ca="1">DAYS360(INDIRECT(C69&amp;ROW()),TODAY())</f>
        <v>882</v>
      </c>
      <c r="M153" s="11">
        <f ca="1">HYPERLINK(CONCATENATE("https://bugzilla.houston.hp.com:1181/bugzilla/show_bug.cgi?id=",INDIRECT(C70&amp;ROW())),INDIRECT(C70&amp;ROW()))</f>
        <v>53597</v>
      </c>
      <c r="N153">
        <v>53597</v>
      </c>
      <c r="O153" t="s">
        <v>22</v>
      </c>
      <c r="P153" t="s">
        <v>396</v>
      </c>
      <c r="Q153" t="s">
        <v>25</v>
      </c>
      <c r="R153" t="s">
        <v>248</v>
      </c>
      <c r="S153" t="s">
        <v>36</v>
      </c>
      <c r="U153" s="6">
        <v>42125.446574074071</v>
      </c>
      <c r="V153" t="s">
        <v>18</v>
      </c>
      <c r="W153" t="s">
        <v>324</v>
      </c>
      <c r="X153" s="6">
        <v>41963.323252314818</v>
      </c>
      <c r="Y153" t="s">
        <v>122</v>
      </c>
      <c r="AB153" t="s">
        <v>201</v>
      </c>
      <c r="AC153" t="s">
        <v>247</v>
      </c>
      <c r="AD153" t="s">
        <v>220</v>
      </c>
      <c r="AE153" t="s">
        <v>219</v>
      </c>
      <c r="AG153" t="s">
        <v>337</v>
      </c>
      <c r="AH153" t="s">
        <v>327</v>
      </c>
      <c r="AI153" t="s">
        <v>121</v>
      </c>
      <c r="AJ153" t="s">
        <v>716</v>
      </c>
      <c r="AK153" t="s">
        <v>121</v>
      </c>
    </row>
    <row r="154" spans="9:37" x14ac:dyDescent="0.3">
      <c r="I154">
        <f ca="1">IF(OR(INDIRECT(A73&amp;ROW())=B93,INDIRECT(A73&amp;ROW())=B94),1,IF(AND(INDIRECT(A73&amp;ROW())=B95,INDIRECT(A96&amp;ROW())=C93),1,IF(AND(INDIRECT(A73&amp;ROW())=B95,INDIRECT(A96&amp;ROW())=C94),1,0)))</f>
        <v>0</v>
      </c>
      <c r="J154">
        <f ca="1">IF(AND(INDIRECT(A73&amp;ROW())=B95,INDIRECT(A96&amp;ROW())=C95),1,IF(AND(INDIRECT(A73&amp;ROW())=B95,INDIRECT(A96&amp;ROW())=C96),1,0))</f>
        <v>1</v>
      </c>
      <c r="K154">
        <f ca="1">DAYS360(INDIRECT(C68&amp;ROW()),TODAY())</f>
        <v>721</v>
      </c>
      <c r="L154">
        <f ca="1">DAYS360(INDIRECT(C69&amp;ROW()),TODAY())</f>
        <v>882</v>
      </c>
      <c r="M154" s="11">
        <f ca="1">HYPERLINK(CONCATENATE("https://bugzilla.houston.hp.com:1181/bugzilla/show_bug.cgi?id=",INDIRECT(C70&amp;ROW())),INDIRECT(C70&amp;ROW()))</f>
        <v>53600</v>
      </c>
      <c r="N154">
        <v>53600</v>
      </c>
      <c r="O154" t="s">
        <v>45</v>
      </c>
      <c r="P154" t="s">
        <v>395</v>
      </c>
      <c r="Q154" t="s">
        <v>25</v>
      </c>
      <c r="R154" t="s">
        <v>248</v>
      </c>
      <c r="S154" t="s">
        <v>36</v>
      </c>
      <c r="T154" t="s">
        <v>287</v>
      </c>
      <c r="U154" s="6">
        <v>42125.446342592593</v>
      </c>
      <c r="V154" t="s">
        <v>18</v>
      </c>
      <c r="W154" t="s">
        <v>295</v>
      </c>
      <c r="X154" s="6">
        <v>41963.323969907404</v>
      </c>
      <c r="Y154" t="s">
        <v>122</v>
      </c>
      <c r="AB154" t="s">
        <v>201</v>
      </c>
      <c r="AC154" t="s">
        <v>247</v>
      </c>
      <c r="AD154" t="s">
        <v>227</v>
      </c>
      <c r="AE154" t="s">
        <v>226</v>
      </c>
      <c r="AG154" t="s">
        <v>121</v>
      </c>
      <c r="AH154" t="s">
        <v>327</v>
      </c>
      <c r="AI154" t="s">
        <v>121</v>
      </c>
      <c r="AJ154" t="s">
        <v>716</v>
      </c>
      <c r="AK154" t="s">
        <v>121</v>
      </c>
    </row>
    <row r="155" spans="9:37" x14ac:dyDescent="0.3">
      <c r="I155">
        <f ca="1">IF(OR(INDIRECT(A73&amp;ROW())=B93,INDIRECT(A73&amp;ROW())=B94),1,IF(AND(INDIRECT(A73&amp;ROW())=B95,INDIRECT(A96&amp;ROW())=C93),1,IF(AND(INDIRECT(A73&amp;ROW())=B95,INDIRECT(A96&amp;ROW())=C94),1,0)))</f>
        <v>0</v>
      </c>
      <c r="J155">
        <f ca="1">IF(AND(INDIRECT(A73&amp;ROW())=B95,INDIRECT(A96&amp;ROW())=C95),1,IF(AND(INDIRECT(A73&amp;ROW())=B95,INDIRECT(A96&amp;ROW())=C96),1,0))</f>
        <v>0</v>
      </c>
      <c r="K155">
        <f ca="1">DAYS360(INDIRECT(C68&amp;ROW()),TODAY())</f>
        <v>721</v>
      </c>
      <c r="L155">
        <f ca="1">DAYS360(INDIRECT(C69&amp;ROW()),TODAY())</f>
        <v>882</v>
      </c>
      <c r="M155" s="11">
        <f ca="1">HYPERLINK(CONCATENATE("https://bugzilla.houston.hp.com:1181/bugzilla/show_bug.cgi?id=",INDIRECT(C70&amp;ROW())),INDIRECT(C70&amp;ROW()))</f>
        <v>53603</v>
      </c>
      <c r="N155">
        <v>53603</v>
      </c>
      <c r="O155" t="s">
        <v>88</v>
      </c>
      <c r="P155" t="s">
        <v>394</v>
      </c>
      <c r="Q155" t="s">
        <v>16</v>
      </c>
      <c r="R155" t="s">
        <v>248</v>
      </c>
      <c r="S155" t="s">
        <v>36</v>
      </c>
      <c r="U155" s="6">
        <v>42125.447662037041</v>
      </c>
      <c r="V155" t="s">
        <v>18</v>
      </c>
      <c r="W155" t="s">
        <v>295</v>
      </c>
      <c r="X155" s="6">
        <v>41963.324328703704</v>
      </c>
      <c r="Y155" t="s">
        <v>122</v>
      </c>
      <c r="AB155" t="s">
        <v>201</v>
      </c>
      <c r="AC155" t="s">
        <v>247</v>
      </c>
      <c r="AD155" t="s">
        <v>222</v>
      </c>
      <c r="AE155" t="s">
        <v>225</v>
      </c>
      <c r="AG155" t="s">
        <v>121</v>
      </c>
      <c r="AH155" t="s">
        <v>327</v>
      </c>
      <c r="AI155" t="s">
        <v>121</v>
      </c>
      <c r="AJ155" t="s">
        <v>717</v>
      </c>
      <c r="AK155" t="s">
        <v>121</v>
      </c>
    </row>
    <row r="156" spans="9:37" x14ac:dyDescent="0.3">
      <c r="I156">
        <f ca="1">IF(OR(INDIRECT(A73&amp;ROW())=B93,INDIRECT(A73&amp;ROW())=B94),1,IF(AND(INDIRECT(A73&amp;ROW())=B95,INDIRECT(A96&amp;ROW())=C93),1,IF(AND(INDIRECT(A73&amp;ROW())=B95,INDIRECT(A96&amp;ROW())=C94),1,0)))</f>
        <v>0</v>
      </c>
      <c r="J156">
        <f ca="1">IF(AND(INDIRECT(A73&amp;ROW())=B95,INDIRECT(A96&amp;ROW())=C95),1,IF(AND(INDIRECT(A73&amp;ROW())=B95,INDIRECT(A96&amp;ROW())=C96),1,0))</f>
        <v>0</v>
      </c>
      <c r="K156">
        <f ca="1">DAYS360(INDIRECT(C68&amp;ROW()),TODAY())</f>
        <v>721</v>
      </c>
      <c r="L156">
        <f ca="1">DAYS360(INDIRECT(C69&amp;ROW()),TODAY())</f>
        <v>882</v>
      </c>
      <c r="M156">
        <f ca="1">HYPERLINK(CONCATENATE("https://bugzilla.houston.hp.com:1181/bugzilla/show_bug.cgi?id=",INDIRECT(C70&amp;ROW())),INDIRECT(C70&amp;ROW()))</f>
        <v>53606</v>
      </c>
      <c r="N156">
        <v>53606</v>
      </c>
      <c r="O156" t="s">
        <v>21</v>
      </c>
      <c r="P156" t="s">
        <v>393</v>
      </c>
      <c r="Q156" t="s">
        <v>16</v>
      </c>
      <c r="R156" t="s">
        <v>248</v>
      </c>
      <c r="S156" t="s">
        <v>36</v>
      </c>
      <c r="U156" s="6">
        <v>42125.447615740741</v>
      </c>
      <c r="V156" t="s">
        <v>18</v>
      </c>
      <c r="W156" t="s">
        <v>322</v>
      </c>
      <c r="X156" s="6">
        <v>41963.324618055558</v>
      </c>
      <c r="Y156" t="s">
        <v>122</v>
      </c>
      <c r="AB156" t="s">
        <v>201</v>
      </c>
      <c r="AC156" t="s">
        <v>247</v>
      </c>
      <c r="AD156" t="s">
        <v>222</v>
      </c>
      <c r="AE156" t="s">
        <v>225</v>
      </c>
      <c r="AG156" t="s">
        <v>121</v>
      </c>
      <c r="AH156" t="s">
        <v>327</v>
      </c>
      <c r="AI156" t="s">
        <v>121</v>
      </c>
      <c r="AJ156" t="s">
        <v>717</v>
      </c>
      <c r="AK156" t="s">
        <v>121</v>
      </c>
    </row>
    <row r="157" spans="9:37" x14ac:dyDescent="0.3">
      <c r="I157">
        <f ca="1">IF(OR(INDIRECT(A73&amp;ROW())=B93,INDIRECT(A73&amp;ROW())=B94),1,IF(AND(INDIRECT(A73&amp;ROW())=B95,INDIRECT(A96&amp;ROW())=C93),1,IF(AND(INDIRECT(A73&amp;ROW())=B95,INDIRECT(A96&amp;ROW())=C94),1,0)))</f>
        <v>0</v>
      </c>
      <c r="J157">
        <f ca="1">IF(AND(INDIRECT(A73&amp;ROW())=B95,INDIRECT(A96&amp;ROW())=C95),1,IF(AND(INDIRECT(A73&amp;ROW())=B95,INDIRECT(A96&amp;ROW())=C96),1,0))</f>
        <v>0</v>
      </c>
      <c r="K157">
        <f ca="1">DAYS360(INDIRECT(C68&amp;ROW()),TODAY())</f>
        <v>721</v>
      </c>
      <c r="L157">
        <f ca="1">DAYS360(INDIRECT(C69&amp;ROW()),TODAY())</f>
        <v>882</v>
      </c>
      <c r="M157">
        <f ca="1">HYPERLINK(CONCATENATE("https://bugzilla.houston.hp.com:1181/bugzilla/show_bug.cgi?id=",INDIRECT(C70&amp;ROW())),INDIRECT(C70&amp;ROW()))</f>
        <v>53625</v>
      </c>
      <c r="N157">
        <v>53625</v>
      </c>
      <c r="O157" t="s">
        <v>65</v>
      </c>
      <c r="P157" t="s">
        <v>392</v>
      </c>
      <c r="Q157" t="s">
        <v>16</v>
      </c>
      <c r="R157" t="s">
        <v>248</v>
      </c>
      <c r="S157" t="s">
        <v>36</v>
      </c>
      <c r="U157" s="6">
        <v>42125.447592592594</v>
      </c>
      <c r="V157" t="s">
        <v>18</v>
      </c>
      <c r="W157" t="s">
        <v>322</v>
      </c>
      <c r="X157" s="6">
        <v>41963.326724537037</v>
      </c>
      <c r="Y157" t="s">
        <v>122</v>
      </c>
      <c r="AB157" t="s">
        <v>201</v>
      </c>
      <c r="AC157" t="s">
        <v>247</v>
      </c>
      <c r="AD157" t="s">
        <v>220</v>
      </c>
      <c r="AE157" t="s">
        <v>219</v>
      </c>
      <c r="AG157" t="s">
        <v>121</v>
      </c>
      <c r="AH157" t="s">
        <v>64</v>
      </c>
      <c r="AI157" t="s">
        <v>121</v>
      </c>
      <c r="AJ157" t="s">
        <v>717</v>
      </c>
      <c r="AK157" t="s">
        <v>121</v>
      </c>
    </row>
    <row r="158" spans="9:37" x14ac:dyDescent="0.3">
      <c r="I158">
        <f ca="1">IF(OR(INDIRECT(A73&amp;ROW())=B93,INDIRECT(A73&amp;ROW())=B94),1,IF(AND(INDIRECT(A73&amp;ROW())=B95,INDIRECT(A96&amp;ROW())=C93),1,IF(AND(INDIRECT(A73&amp;ROW())=B95,INDIRECT(A96&amp;ROW())=C94),1,0)))</f>
        <v>1</v>
      </c>
      <c r="J158">
        <f ca="1">IF(AND(INDIRECT(A73&amp;ROW())=B95,INDIRECT(A96&amp;ROW())=C95),1,IF(AND(INDIRECT(A73&amp;ROW())=B95,INDIRECT(A96&amp;ROW())=C96),1,0))</f>
        <v>0</v>
      </c>
      <c r="K158">
        <f ca="1">DAYS360(INDIRECT(C68&amp;ROW()),TODAY())</f>
        <v>792</v>
      </c>
      <c r="L158">
        <f ca="1">DAYS360(INDIRECT(C69&amp;ROW()),TODAY())</f>
        <v>882</v>
      </c>
      <c r="M158">
        <f ca="1">HYPERLINK(CONCATENATE("https://bugzilla.houston.hp.com:1181/bugzilla/show_bug.cgi?id=",INDIRECT(C70&amp;ROW())),INDIRECT(C70&amp;ROW()))</f>
        <v>53634</v>
      </c>
      <c r="N158">
        <v>53634</v>
      </c>
      <c r="O158" t="s">
        <v>50</v>
      </c>
      <c r="P158" t="s">
        <v>391</v>
      </c>
      <c r="Q158" t="s">
        <v>25</v>
      </c>
      <c r="R158" t="s">
        <v>248</v>
      </c>
      <c r="S158" t="s">
        <v>36</v>
      </c>
      <c r="U158" s="6">
        <v>42055.522488425922</v>
      </c>
      <c r="V158" t="s">
        <v>18</v>
      </c>
      <c r="W158" t="s">
        <v>215</v>
      </c>
      <c r="X158" s="6">
        <v>41963.32912037037</v>
      </c>
      <c r="Y158" t="s">
        <v>119</v>
      </c>
      <c r="AB158" t="s">
        <v>200</v>
      </c>
      <c r="AC158" t="s">
        <v>121</v>
      </c>
      <c r="AD158" t="s">
        <v>227</v>
      </c>
      <c r="AE158" t="s">
        <v>226</v>
      </c>
      <c r="AG158" t="s">
        <v>121</v>
      </c>
      <c r="AH158" t="s">
        <v>327</v>
      </c>
      <c r="AI158" t="s">
        <v>362</v>
      </c>
      <c r="AJ158" t="s">
        <v>715</v>
      </c>
      <c r="AK158" t="s">
        <v>121</v>
      </c>
    </row>
    <row r="159" spans="9:37" x14ac:dyDescent="0.3">
      <c r="I159">
        <f ca="1">IF(OR(INDIRECT(A73&amp;ROW())=B93,INDIRECT(A73&amp;ROW())=B94),1,IF(AND(INDIRECT(A73&amp;ROW())=B95,INDIRECT(A96&amp;ROW())=C93),1,IF(AND(INDIRECT(A73&amp;ROW())=B95,INDIRECT(A96&amp;ROW())=C94),1,0)))</f>
        <v>1</v>
      </c>
      <c r="J159">
        <f ca="1">IF(AND(INDIRECT(A73&amp;ROW())=B95,INDIRECT(A96&amp;ROW())=C95),1,IF(AND(INDIRECT(A73&amp;ROW())=B95,INDIRECT(A96&amp;ROW())=C96),1,0))</f>
        <v>0</v>
      </c>
      <c r="K159">
        <f ca="1">DAYS360(INDIRECT(C68&amp;ROW()),TODAY())</f>
        <v>731</v>
      </c>
      <c r="L159">
        <f ca="1">DAYS360(INDIRECT(C69&amp;ROW()),TODAY())</f>
        <v>882</v>
      </c>
      <c r="M159">
        <f ca="1">HYPERLINK(CONCATENATE("https://bugzilla.houston.hp.com:1181/bugzilla/show_bug.cgi?id=",INDIRECT(C70&amp;ROW())),INDIRECT(C70&amp;ROW()))</f>
        <v>53637</v>
      </c>
      <c r="N159">
        <v>53637</v>
      </c>
      <c r="O159" t="s">
        <v>56</v>
      </c>
      <c r="P159" t="s">
        <v>390</v>
      </c>
      <c r="Q159" t="s">
        <v>39</v>
      </c>
      <c r="R159" t="s">
        <v>248</v>
      </c>
      <c r="S159" t="s">
        <v>36</v>
      </c>
      <c r="U159" s="6">
        <v>42115.349305555559</v>
      </c>
      <c r="V159" t="s">
        <v>18</v>
      </c>
      <c r="W159" t="s">
        <v>260</v>
      </c>
      <c r="X159" s="6">
        <v>41963.329664351855</v>
      </c>
      <c r="Y159" t="s">
        <v>245</v>
      </c>
      <c r="AB159" t="s">
        <v>200</v>
      </c>
      <c r="AC159" t="s">
        <v>121</v>
      </c>
      <c r="AD159" t="s">
        <v>220</v>
      </c>
      <c r="AE159" t="s">
        <v>219</v>
      </c>
      <c r="AG159" t="s">
        <v>121</v>
      </c>
      <c r="AH159" t="s">
        <v>327</v>
      </c>
      <c r="AI159" t="s">
        <v>362</v>
      </c>
      <c r="AJ159" t="s">
        <v>715</v>
      </c>
      <c r="AK159" t="s">
        <v>121</v>
      </c>
    </row>
    <row r="160" spans="9:37" x14ac:dyDescent="0.3">
      <c r="I160">
        <f ca="1">IF(OR(INDIRECT(A73&amp;ROW())=B93,INDIRECT(A73&amp;ROW())=B94),1,IF(AND(INDIRECT(A73&amp;ROW())=B95,INDIRECT(A96&amp;ROW())=C93),1,IF(AND(INDIRECT(A73&amp;ROW())=B95,INDIRECT(A96&amp;ROW())=C94),1,0)))</f>
        <v>1</v>
      </c>
      <c r="J160">
        <f ca="1">IF(AND(INDIRECT(A73&amp;ROW())=B95,INDIRECT(A96&amp;ROW())=C95),1,IF(AND(INDIRECT(A73&amp;ROW())=B95,INDIRECT(A96&amp;ROW())=C96),1,0))</f>
        <v>0</v>
      </c>
      <c r="K160">
        <f ca="1">DAYS360(INDIRECT(C68&amp;ROW()),TODAY())</f>
        <v>769</v>
      </c>
      <c r="L160">
        <f ca="1">DAYS360(INDIRECT(C69&amp;ROW()),TODAY())</f>
        <v>882</v>
      </c>
      <c r="M160">
        <f ca="1">HYPERLINK(CONCATENATE("https://bugzilla.houston.hp.com:1181/bugzilla/show_bug.cgi?id=",INDIRECT(C70&amp;ROW())),INDIRECT(C70&amp;ROW()))</f>
        <v>53649</v>
      </c>
      <c r="N160">
        <v>53649</v>
      </c>
      <c r="O160" t="s">
        <v>298</v>
      </c>
      <c r="P160" t="s">
        <v>467</v>
      </c>
      <c r="Q160" t="s">
        <v>39</v>
      </c>
      <c r="R160" t="s">
        <v>248</v>
      </c>
      <c r="S160" t="s">
        <v>36</v>
      </c>
      <c r="U160" s="6">
        <v>42076.509421296294</v>
      </c>
      <c r="V160" t="s">
        <v>18</v>
      </c>
      <c r="W160" t="s">
        <v>343</v>
      </c>
      <c r="X160" s="6">
        <v>41963.331307870372</v>
      </c>
      <c r="Y160" t="s">
        <v>119</v>
      </c>
      <c r="AB160" t="s">
        <v>201</v>
      </c>
      <c r="AC160" t="s">
        <v>247</v>
      </c>
      <c r="AD160" t="s">
        <v>227</v>
      </c>
      <c r="AE160" t="s">
        <v>231</v>
      </c>
      <c r="AG160" t="s">
        <v>121</v>
      </c>
      <c r="AH160" t="s">
        <v>327</v>
      </c>
      <c r="AI160" t="s">
        <v>121</v>
      </c>
      <c r="AJ160" t="s">
        <v>715</v>
      </c>
      <c r="AK160" t="s">
        <v>121</v>
      </c>
    </row>
    <row r="161" spans="9:37" x14ac:dyDescent="0.3">
      <c r="I161">
        <f ca="1">IF(OR(INDIRECT(A73&amp;ROW())=B93,INDIRECT(A73&amp;ROW())=B94),1,IF(AND(INDIRECT(A73&amp;ROW())=B95,INDIRECT(A96&amp;ROW())=C93),1,IF(AND(INDIRECT(A73&amp;ROW())=B95,INDIRECT(A96&amp;ROW())=C94),1,0)))</f>
        <v>0</v>
      </c>
      <c r="J161">
        <f ca="1">IF(AND(INDIRECT(A73&amp;ROW())=B95,INDIRECT(A96&amp;ROW())=C95),1,IF(AND(INDIRECT(A73&amp;ROW())=B95,INDIRECT(A96&amp;ROW())=C96),1,0))</f>
        <v>1</v>
      </c>
      <c r="K161">
        <f ca="1">DAYS360(INDIRECT(C68&amp;ROW()),TODAY())</f>
        <v>749</v>
      </c>
      <c r="L161">
        <f ca="1">DAYS360(INDIRECT(C69&amp;ROW()),TODAY())</f>
        <v>882</v>
      </c>
      <c r="M161">
        <f ca="1">HYPERLINK(CONCATENATE("https://bugzilla.houston.hp.com:1181/bugzilla/show_bug.cgi?id=",INDIRECT(C70&amp;ROW())),INDIRECT(C70&amp;ROW()))</f>
        <v>53666</v>
      </c>
      <c r="N161">
        <v>53666</v>
      </c>
      <c r="O161" t="s">
        <v>326</v>
      </c>
      <c r="P161" t="s">
        <v>466</v>
      </c>
      <c r="Q161" t="s">
        <v>25</v>
      </c>
      <c r="R161" t="s">
        <v>17</v>
      </c>
      <c r="S161" t="s">
        <v>36</v>
      </c>
      <c r="U161" s="6">
        <v>42097.476076388892</v>
      </c>
      <c r="V161" t="s">
        <v>18</v>
      </c>
      <c r="W161" t="s">
        <v>17</v>
      </c>
      <c r="X161" s="6">
        <v>41963.37358796296</v>
      </c>
      <c r="Y161" t="s">
        <v>119</v>
      </c>
      <c r="AA161" t="s">
        <v>184</v>
      </c>
      <c r="AB161" t="s">
        <v>201</v>
      </c>
      <c r="AC161" t="s">
        <v>247</v>
      </c>
      <c r="AD161" t="s">
        <v>227</v>
      </c>
      <c r="AE161" t="s">
        <v>230</v>
      </c>
      <c r="AG161" t="s">
        <v>121</v>
      </c>
      <c r="AH161" t="s">
        <v>327</v>
      </c>
      <c r="AI161" t="s">
        <v>362</v>
      </c>
      <c r="AJ161" t="s">
        <v>716</v>
      </c>
      <c r="AK161" t="s">
        <v>121</v>
      </c>
    </row>
    <row r="162" spans="9:37" x14ac:dyDescent="0.3">
      <c r="I162">
        <f ca="1">IF(OR(INDIRECT(A73&amp;ROW())=B93,INDIRECT(A73&amp;ROW())=B94),1,IF(AND(INDIRECT(A73&amp;ROW())=B95,INDIRECT(A96&amp;ROW())=C93),1,IF(AND(INDIRECT(A73&amp;ROW())=B95,INDIRECT(A96&amp;ROW())=C94),1,0)))</f>
        <v>0</v>
      </c>
      <c r="J162">
        <f ca="1">IF(AND(INDIRECT(A73&amp;ROW())=B95,INDIRECT(A96&amp;ROW())=C95),1,IF(AND(INDIRECT(A73&amp;ROW())=B95,INDIRECT(A96&amp;ROW())=C96),1,0))</f>
        <v>1</v>
      </c>
      <c r="K162">
        <f ca="1">DAYS360(INDIRECT(C68&amp;ROW()),TODAY())</f>
        <v>853</v>
      </c>
      <c r="L162">
        <f ca="1">DAYS360(INDIRECT(C69&amp;ROW()),TODAY())</f>
        <v>882</v>
      </c>
      <c r="M162">
        <f ca="1">HYPERLINK(CONCATENATE("https://bugzilla.houston.hp.com:1181/bugzilla/show_bug.cgi?id=",INDIRECT(C70&amp;ROW())),INDIRECT(C70&amp;ROW()))</f>
        <v>53667</v>
      </c>
      <c r="N162">
        <v>53667</v>
      </c>
      <c r="O162" t="s">
        <v>45</v>
      </c>
      <c r="P162" t="s">
        <v>465</v>
      </c>
      <c r="Q162" t="s">
        <v>25</v>
      </c>
      <c r="R162" t="s">
        <v>248</v>
      </c>
      <c r="S162" t="s">
        <v>36</v>
      </c>
      <c r="U162" s="6">
        <v>41992.591354166667</v>
      </c>
      <c r="V162" t="s">
        <v>18</v>
      </c>
      <c r="W162" t="s">
        <v>17</v>
      </c>
      <c r="X162" s="6">
        <v>41963.373645833337</v>
      </c>
      <c r="Y162" t="s">
        <v>119</v>
      </c>
      <c r="AA162" t="s">
        <v>184</v>
      </c>
      <c r="AB162" t="s">
        <v>201</v>
      </c>
      <c r="AC162" t="s">
        <v>247</v>
      </c>
      <c r="AD162" t="s">
        <v>227</v>
      </c>
      <c r="AE162" t="s">
        <v>370</v>
      </c>
      <c r="AG162" t="s">
        <v>121</v>
      </c>
      <c r="AH162" t="s">
        <v>327</v>
      </c>
      <c r="AI162" t="s">
        <v>121</v>
      </c>
      <c r="AJ162" t="s">
        <v>716</v>
      </c>
      <c r="AK162" t="s">
        <v>121</v>
      </c>
    </row>
    <row r="163" spans="9:37" x14ac:dyDescent="0.3">
      <c r="I163">
        <f ca="1">IF(OR(INDIRECT(A73&amp;ROW())=B93,INDIRECT(A73&amp;ROW())=B94),1,IF(AND(INDIRECT(A73&amp;ROW())=B95,INDIRECT(A96&amp;ROW())=C93),1,IF(AND(INDIRECT(A73&amp;ROW())=B95,INDIRECT(A96&amp;ROW())=C94),1,0)))</f>
        <v>0</v>
      </c>
      <c r="J163">
        <f ca="1">IF(AND(INDIRECT(A73&amp;ROW())=B95,INDIRECT(A96&amp;ROW())=C95),1,IF(AND(INDIRECT(A73&amp;ROW())=B95,INDIRECT(A96&amp;ROW())=C96),1,0))</f>
        <v>0</v>
      </c>
      <c r="K163">
        <f ca="1">DAYS360(INDIRECT(C68&amp;ROW()),TODAY())</f>
        <v>721</v>
      </c>
      <c r="L163">
        <f ca="1">DAYS360(INDIRECT(C69&amp;ROW()),TODAY())</f>
        <v>882</v>
      </c>
      <c r="M163">
        <f ca="1">HYPERLINK(CONCATENATE("https://bugzilla.houston.hp.com:1181/bugzilla/show_bug.cgi?id=",INDIRECT(C70&amp;ROW())),INDIRECT(C70&amp;ROW()))</f>
        <v>53677</v>
      </c>
      <c r="N163">
        <v>53677</v>
      </c>
      <c r="O163" t="s">
        <v>56</v>
      </c>
      <c r="P163" t="s">
        <v>464</v>
      </c>
      <c r="Q163" t="s">
        <v>16</v>
      </c>
      <c r="R163" t="s">
        <v>248</v>
      </c>
      <c r="S163" t="s">
        <v>36</v>
      </c>
      <c r="U163" s="6">
        <v>42125.448738425926</v>
      </c>
      <c r="V163" t="s">
        <v>18</v>
      </c>
      <c r="W163" t="s">
        <v>341</v>
      </c>
      <c r="X163" s="6">
        <v>41963.376620370371</v>
      </c>
      <c r="Y163" t="s">
        <v>122</v>
      </c>
      <c r="AB163" t="s">
        <v>200</v>
      </c>
      <c r="AC163" t="s">
        <v>247</v>
      </c>
      <c r="AD163" t="s">
        <v>220</v>
      </c>
      <c r="AE163" t="s">
        <v>219</v>
      </c>
      <c r="AG163" t="s">
        <v>121</v>
      </c>
      <c r="AH163" t="s">
        <v>327</v>
      </c>
      <c r="AI163" t="s">
        <v>121</v>
      </c>
      <c r="AJ163" t="s">
        <v>716</v>
      </c>
      <c r="AK163" t="s">
        <v>121</v>
      </c>
    </row>
    <row r="164" spans="9:37" x14ac:dyDescent="0.3">
      <c r="I164">
        <f ca="1">IF(OR(INDIRECT(A73&amp;ROW())=B93,INDIRECT(A73&amp;ROW())=B94),1,IF(AND(INDIRECT(A73&amp;ROW())=B95,INDIRECT(A96&amp;ROW())=C93),1,IF(AND(INDIRECT(A73&amp;ROW())=B95,INDIRECT(A96&amp;ROW())=C94),1,0)))</f>
        <v>0</v>
      </c>
      <c r="J164">
        <f ca="1">IF(AND(INDIRECT(A73&amp;ROW())=B95,INDIRECT(A96&amp;ROW())=C95),1,IF(AND(INDIRECT(A73&amp;ROW())=B95,INDIRECT(A96&amp;ROW())=C96),1,0))</f>
        <v>0</v>
      </c>
      <c r="K164">
        <f ca="1">DAYS360(INDIRECT(C68&amp;ROW()),TODAY())</f>
        <v>800</v>
      </c>
      <c r="L164">
        <f ca="1">DAYS360(INDIRECT(C69&amp;ROW()),TODAY())</f>
        <v>882</v>
      </c>
      <c r="M164">
        <f ca="1">HYPERLINK(CONCATENATE("https://bugzilla.houston.hp.com:1181/bugzilla/show_bug.cgi?id=",INDIRECT(C70&amp;ROW())),INDIRECT(C70&amp;ROW()))</f>
        <v>53683</v>
      </c>
      <c r="N164">
        <v>53683</v>
      </c>
      <c r="O164" t="s">
        <v>326</v>
      </c>
      <c r="P164" t="s">
        <v>463</v>
      </c>
      <c r="Q164" t="s">
        <v>16</v>
      </c>
      <c r="R164" t="s">
        <v>17</v>
      </c>
      <c r="S164" t="s">
        <v>36</v>
      </c>
      <c r="U164" s="6">
        <v>42047.980717592596</v>
      </c>
      <c r="V164" t="s">
        <v>18</v>
      </c>
      <c r="W164" t="s">
        <v>207</v>
      </c>
      <c r="X164" s="6">
        <v>41963.399247685185</v>
      </c>
      <c r="Y164" t="s">
        <v>123</v>
      </c>
      <c r="AB164" t="s">
        <v>199</v>
      </c>
      <c r="AC164" t="s">
        <v>121</v>
      </c>
      <c r="AD164" t="s">
        <v>227</v>
      </c>
      <c r="AE164" t="s">
        <v>230</v>
      </c>
      <c r="AG164" t="s">
        <v>121</v>
      </c>
      <c r="AH164" t="s">
        <v>327</v>
      </c>
      <c r="AI164" t="s">
        <v>362</v>
      </c>
      <c r="AJ164" t="s">
        <v>716</v>
      </c>
      <c r="AK164" t="s">
        <v>121</v>
      </c>
    </row>
    <row r="165" spans="9:37" x14ac:dyDescent="0.3">
      <c r="I165">
        <f ca="1">IF(OR(INDIRECT(A73&amp;ROW())=B93,INDIRECT(A73&amp;ROW())=B94),1,IF(AND(INDIRECT(A73&amp;ROW())=B95,INDIRECT(A96&amp;ROW())=C93),1,IF(AND(INDIRECT(A73&amp;ROW())=B95,INDIRECT(A96&amp;ROW())=C94),1,0)))</f>
        <v>0</v>
      </c>
      <c r="J165">
        <f ca="1">IF(AND(INDIRECT(A73&amp;ROW())=B95,INDIRECT(A96&amp;ROW())=C95),1,IF(AND(INDIRECT(A73&amp;ROW())=B95,INDIRECT(A96&amp;ROW())=C96),1,0))</f>
        <v>0</v>
      </c>
      <c r="K165">
        <f ca="1">DAYS360(INDIRECT(C68&amp;ROW()),TODAY())</f>
        <v>721</v>
      </c>
      <c r="L165">
        <f ca="1">DAYS360(INDIRECT(C69&amp;ROW()),TODAY())</f>
        <v>882</v>
      </c>
      <c r="M165">
        <f ca="1">HYPERLINK(CONCATENATE("https://bugzilla.houston.hp.com:1181/bugzilla/show_bug.cgi?id=",INDIRECT(C70&amp;ROW())),INDIRECT(C70&amp;ROW()))</f>
        <v>53684</v>
      </c>
      <c r="N165">
        <v>53684</v>
      </c>
      <c r="O165" t="s">
        <v>45</v>
      </c>
      <c r="P165" t="s">
        <v>476</v>
      </c>
      <c r="Q165" t="s">
        <v>16</v>
      </c>
      <c r="R165" t="s">
        <v>248</v>
      </c>
      <c r="S165" t="s">
        <v>36</v>
      </c>
      <c r="U165" s="6">
        <v>42125.644004629627</v>
      </c>
      <c r="V165" t="s">
        <v>18</v>
      </c>
      <c r="W165" t="s">
        <v>207</v>
      </c>
      <c r="X165" s="6">
        <v>41963.405358796299</v>
      </c>
      <c r="Y165" t="s">
        <v>123</v>
      </c>
      <c r="AB165" t="s">
        <v>199</v>
      </c>
      <c r="AC165" t="s">
        <v>121</v>
      </c>
      <c r="AD165" t="s">
        <v>227</v>
      </c>
      <c r="AE165" t="s">
        <v>231</v>
      </c>
      <c r="AG165" t="s">
        <v>121</v>
      </c>
      <c r="AH165" t="s">
        <v>327</v>
      </c>
      <c r="AI165" t="s">
        <v>121</v>
      </c>
      <c r="AJ165" t="s">
        <v>716</v>
      </c>
      <c r="AK165" t="s">
        <v>121</v>
      </c>
    </row>
    <row r="166" spans="9:37" x14ac:dyDescent="0.3">
      <c r="I166">
        <f ca="1">IF(OR(INDIRECT(A73&amp;ROW())=B93,INDIRECT(A73&amp;ROW())=B94),1,IF(AND(INDIRECT(A73&amp;ROW())=B95,INDIRECT(A96&amp;ROW())=C93),1,IF(AND(INDIRECT(A73&amp;ROW())=B95,INDIRECT(A96&amp;ROW())=C94),1,0)))</f>
        <v>1</v>
      </c>
      <c r="J166">
        <f ca="1">IF(AND(INDIRECT(A73&amp;ROW())=B95,INDIRECT(A96&amp;ROW())=C95),1,IF(AND(INDIRECT(A73&amp;ROW())=B95,INDIRECT(A96&amp;ROW())=C96),1,0))</f>
        <v>0</v>
      </c>
      <c r="K166">
        <f ca="1">DAYS360(INDIRECT(C68&amp;ROW()),TODAY())</f>
        <v>757</v>
      </c>
      <c r="L166">
        <f ca="1">DAYS360(INDIRECT(C69&amp;ROW()),TODAY())</f>
        <v>882</v>
      </c>
      <c r="M166">
        <f ca="1">HYPERLINK(CONCATENATE("https://bugzilla.houston.hp.com:1181/bugzilla/show_bug.cgi?id=",INDIRECT(C70&amp;ROW())),INDIRECT(C70&amp;ROW()))</f>
        <v>53713</v>
      </c>
      <c r="N166">
        <v>53713</v>
      </c>
      <c r="O166" t="s">
        <v>43</v>
      </c>
      <c r="P166" t="s">
        <v>480</v>
      </c>
      <c r="Q166" t="s">
        <v>25</v>
      </c>
      <c r="R166" t="s">
        <v>251</v>
      </c>
      <c r="S166" t="s">
        <v>336</v>
      </c>
      <c r="U166" s="6">
        <v>42088.084247685183</v>
      </c>
      <c r="V166" t="s">
        <v>40</v>
      </c>
      <c r="W166" t="s">
        <v>17</v>
      </c>
      <c r="X166" s="6">
        <v>41963.720011574071</v>
      </c>
      <c r="Y166" t="s">
        <v>342</v>
      </c>
      <c r="AB166" t="s">
        <v>200</v>
      </c>
      <c r="AC166" t="s">
        <v>247</v>
      </c>
      <c r="AD166" t="s">
        <v>220</v>
      </c>
      <c r="AE166" t="s">
        <v>219</v>
      </c>
      <c r="AG166" t="s">
        <v>121</v>
      </c>
      <c r="AH166" t="s">
        <v>327</v>
      </c>
      <c r="AI166" t="s">
        <v>121</v>
      </c>
      <c r="AJ166" t="s">
        <v>715</v>
      </c>
      <c r="AK166" t="s">
        <v>121</v>
      </c>
    </row>
    <row r="167" spans="9:37" x14ac:dyDescent="0.3">
      <c r="I167">
        <f ca="1">IF(OR(INDIRECT(A73&amp;ROW())=B93,INDIRECT(A73&amp;ROW())=B94),1,IF(AND(INDIRECT(A73&amp;ROW())=B95,INDIRECT(A96&amp;ROW())=C93),1,IF(AND(INDIRECT(A73&amp;ROW())=B95,INDIRECT(A96&amp;ROW())=C94),1,0)))</f>
        <v>0</v>
      </c>
      <c r="J167">
        <f ca="1">IF(AND(INDIRECT(A73&amp;ROW())=B95,INDIRECT(A96&amp;ROW())=C95),1,IF(AND(INDIRECT(A73&amp;ROW())=B95,INDIRECT(A96&amp;ROW())=C96),1,0))</f>
        <v>0</v>
      </c>
      <c r="K167">
        <f ca="1">DAYS360(INDIRECT(C68&amp;ROW()),TODAY())</f>
        <v>666</v>
      </c>
      <c r="L167">
        <f ca="1">DAYS360(INDIRECT(C69&amp;ROW()),TODAY())</f>
        <v>882</v>
      </c>
      <c r="M167">
        <f ca="1">HYPERLINK(CONCATENATE("https://bugzilla.houston.hp.com:1181/bugzilla/show_bug.cgi?id=",INDIRECT(C70&amp;ROW())),INDIRECT(C70&amp;ROW()))</f>
        <v>53719</v>
      </c>
      <c r="N167">
        <v>53719</v>
      </c>
      <c r="O167" t="s">
        <v>204</v>
      </c>
      <c r="P167" t="s">
        <v>461</v>
      </c>
      <c r="Q167" t="s">
        <v>16</v>
      </c>
      <c r="R167" t="s">
        <v>248</v>
      </c>
      <c r="S167" t="s">
        <v>36</v>
      </c>
      <c r="U167" s="6">
        <v>42181.316608796296</v>
      </c>
      <c r="V167" t="s">
        <v>35</v>
      </c>
      <c r="W167" t="s">
        <v>258</v>
      </c>
      <c r="X167" s="6">
        <v>41963.788032407407</v>
      </c>
      <c r="Y167" t="s">
        <v>119</v>
      </c>
      <c r="AB167" t="s">
        <v>201</v>
      </c>
      <c r="AC167" t="s">
        <v>121</v>
      </c>
      <c r="AD167" t="s">
        <v>222</v>
      </c>
      <c r="AE167" t="s">
        <v>221</v>
      </c>
      <c r="AG167" t="s">
        <v>121</v>
      </c>
      <c r="AH167" t="s">
        <v>327</v>
      </c>
      <c r="AI167" t="s">
        <v>121</v>
      </c>
      <c r="AJ167" t="s">
        <v>717</v>
      </c>
      <c r="AK167" t="s">
        <v>121</v>
      </c>
    </row>
    <row r="168" spans="9:37" x14ac:dyDescent="0.3">
      <c r="I168">
        <f ca="1">IF(OR(INDIRECT(A73&amp;ROW())=B93,INDIRECT(A73&amp;ROW())=B94),1,IF(AND(INDIRECT(A73&amp;ROW())=B95,INDIRECT(A96&amp;ROW())=C93),1,IF(AND(INDIRECT(A73&amp;ROW())=B95,INDIRECT(A96&amp;ROW())=C94),1,0)))</f>
        <v>0</v>
      </c>
      <c r="J168">
        <f ca="1">IF(AND(INDIRECT(A73&amp;ROW())=B95,INDIRECT(A96&amp;ROW())=C95),1,IF(AND(INDIRECT(A73&amp;ROW())=B95,INDIRECT(A96&amp;ROW())=C96),1,0))</f>
        <v>0</v>
      </c>
      <c r="K168">
        <f ca="1">DAYS360(INDIRECT(C68&amp;ROW()),TODAY())</f>
        <v>721</v>
      </c>
      <c r="L168">
        <f ca="1">DAYS360(INDIRECT(C69&amp;ROW()),TODAY())</f>
        <v>882</v>
      </c>
      <c r="M168">
        <f ca="1">HYPERLINK(CONCATENATE("https://bugzilla.houston.hp.com:1181/bugzilla/show_bug.cgi?id=",INDIRECT(C70&amp;ROW())),INDIRECT(C70&amp;ROW()))</f>
        <v>53725</v>
      </c>
      <c r="N168">
        <v>53725</v>
      </c>
      <c r="O168" t="s">
        <v>45</v>
      </c>
      <c r="P168" t="s">
        <v>460</v>
      </c>
      <c r="Q168" t="s">
        <v>16</v>
      </c>
      <c r="R168" t="s">
        <v>248</v>
      </c>
      <c r="S168" t="s">
        <v>36</v>
      </c>
      <c r="U168" s="6">
        <v>42125.649328703701</v>
      </c>
      <c r="V168" t="s">
        <v>18</v>
      </c>
      <c r="W168" t="s">
        <v>260</v>
      </c>
      <c r="X168" s="6">
        <v>41963.826539351852</v>
      </c>
      <c r="Y168" t="s">
        <v>245</v>
      </c>
      <c r="Z168" t="s">
        <v>245</v>
      </c>
      <c r="AB168" t="s">
        <v>201</v>
      </c>
      <c r="AC168" t="s">
        <v>121</v>
      </c>
      <c r="AD168" t="s">
        <v>227</v>
      </c>
      <c r="AE168" t="s">
        <v>231</v>
      </c>
      <c r="AG168" t="s">
        <v>121</v>
      </c>
      <c r="AH168" t="s">
        <v>327</v>
      </c>
      <c r="AI168" t="s">
        <v>121</v>
      </c>
      <c r="AJ168" t="s">
        <v>717</v>
      </c>
      <c r="AK168" t="s">
        <v>121</v>
      </c>
    </row>
    <row r="169" spans="9:37" x14ac:dyDescent="0.3">
      <c r="I169">
        <f ca="1">IF(OR(INDIRECT(A73&amp;ROW())=B93,INDIRECT(A73&amp;ROW())=B94),1,IF(AND(INDIRECT(A73&amp;ROW())=B95,INDIRECT(A96&amp;ROW())=C93),1,IF(AND(INDIRECT(A73&amp;ROW())=B95,INDIRECT(A96&amp;ROW())=C94),1,0)))</f>
        <v>0</v>
      </c>
      <c r="J169">
        <f ca="1">IF(AND(INDIRECT(A73&amp;ROW())=B95,INDIRECT(A96&amp;ROW())=C95),1,IF(AND(INDIRECT(A73&amp;ROW())=B95,INDIRECT(A96&amp;ROW())=C96),1,0))</f>
        <v>1</v>
      </c>
      <c r="K169">
        <f ca="1">DAYS360(INDIRECT(C68&amp;ROW()),TODAY())</f>
        <v>835</v>
      </c>
      <c r="L169">
        <f ca="1">DAYS360(INDIRECT(C69&amp;ROW()),TODAY())</f>
        <v>882</v>
      </c>
      <c r="M169">
        <f ca="1">HYPERLINK(CONCATENATE("https://bugzilla.houston.hp.com:1181/bugzilla/show_bug.cgi?id=",INDIRECT(C70&amp;ROW())),INDIRECT(C70&amp;ROW()))</f>
        <v>53727</v>
      </c>
      <c r="N169">
        <v>53727</v>
      </c>
      <c r="O169" t="s">
        <v>326</v>
      </c>
      <c r="P169" t="s">
        <v>459</v>
      </c>
      <c r="Q169" t="s">
        <v>25</v>
      </c>
      <c r="R169" t="s">
        <v>17</v>
      </c>
      <c r="S169" t="s">
        <v>36</v>
      </c>
      <c r="U169" s="6">
        <v>42011.647777777776</v>
      </c>
      <c r="V169" t="s">
        <v>18</v>
      </c>
      <c r="W169" t="s">
        <v>288</v>
      </c>
      <c r="X169" s="6">
        <v>41963.828958333332</v>
      </c>
      <c r="Y169" t="s">
        <v>119</v>
      </c>
      <c r="AB169" t="s">
        <v>201</v>
      </c>
      <c r="AC169" t="s">
        <v>121</v>
      </c>
      <c r="AD169" t="s">
        <v>220</v>
      </c>
      <c r="AE169" t="s">
        <v>224</v>
      </c>
      <c r="AF169" s="13">
        <v>41901</v>
      </c>
      <c r="AG169" t="s">
        <v>121</v>
      </c>
      <c r="AH169" t="s">
        <v>64</v>
      </c>
      <c r="AI169" t="s">
        <v>363</v>
      </c>
      <c r="AJ169" t="s">
        <v>716</v>
      </c>
      <c r="AK169" t="s">
        <v>121</v>
      </c>
    </row>
    <row r="170" spans="9:37" x14ac:dyDescent="0.3">
      <c r="I170">
        <f ca="1">IF(OR(INDIRECT(A73&amp;ROW())=B93,INDIRECT(A73&amp;ROW())=B94),1,IF(AND(INDIRECT(A73&amp;ROW())=B95,INDIRECT(A96&amp;ROW())=C93),1,IF(AND(INDIRECT(A73&amp;ROW())=B95,INDIRECT(A96&amp;ROW())=C94),1,0)))</f>
        <v>0</v>
      </c>
      <c r="J170">
        <f ca="1">IF(AND(INDIRECT(A73&amp;ROW())=B95,INDIRECT(A96&amp;ROW())=C95),1,IF(AND(INDIRECT(A73&amp;ROW())=B95,INDIRECT(A96&amp;ROW())=C96),1,0))</f>
        <v>1</v>
      </c>
      <c r="K170">
        <f ca="1">DAYS360(INDIRECT(C68&amp;ROW()),TODAY())</f>
        <v>800</v>
      </c>
      <c r="L170">
        <f ca="1">DAYS360(INDIRECT(C69&amp;ROW()),TODAY())</f>
        <v>882</v>
      </c>
      <c r="M170">
        <f ca="1">HYPERLINK(CONCATENATE("https://bugzilla.houston.hp.com:1181/bugzilla/show_bug.cgi?id=",INDIRECT(C70&amp;ROW())),INDIRECT(C70&amp;ROW()))</f>
        <v>53728</v>
      </c>
      <c r="N170">
        <v>53728</v>
      </c>
      <c r="O170" t="s">
        <v>56</v>
      </c>
      <c r="P170" t="s">
        <v>458</v>
      </c>
      <c r="Q170" t="s">
        <v>25</v>
      </c>
      <c r="R170" t="s">
        <v>248</v>
      </c>
      <c r="S170" t="s">
        <v>36</v>
      </c>
      <c r="U170" s="6">
        <v>42047.974247685182</v>
      </c>
      <c r="V170" t="s">
        <v>18</v>
      </c>
      <c r="W170" t="s">
        <v>288</v>
      </c>
      <c r="X170" s="6">
        <v>41963.831631944442</v>
      </c>
      <c r="Y170" t="s">
        <v>119</v>
      </c>
      <c r="AB170" t="s">
        <v>201</v>
      </c>
      <c r="AC170" t="s">
        <v>121</v>
      </c>
      <c r="AD170" t="s">
        <v>220</v>
      </c>
      <c r="AE170" t="s">
        <v>219</v>
      </c>
      <c r="AF170" s="13">
        <v>41901</v>
      </c>
      <c r="AG170" t="s">
        <v>121</v>
      </c>
      <c r="AH170" t="s">
        <v>64</v>
      </c>
      <c r="AI170" t="s">
        <v>121</v>
      </c>
      <c r="AJ170" t="s">
        <v>716</v>
      </c>
      <c r="AK170" t="s">
        <v>121</v>
      </c>
    </row>
    <row r="171" spans="9:37" x14ac:dyDescent="0.3">
      <c r="I171">
        <f ca="1">IF(OR(INDIRECT(A73&amp;ROW())=B93,INDIRECT(A73&amp;ROW())=B94),1,IF(AND(INDIRECT(A73&amp;ROW())=B95,INDIRECT(A96&amp;ROW())=C93),1,IF(AND(INDIRECT(A73&amp;ROW())=B95,INDIRECT(A96&amp;ROW())=C94),1,0)))</f>
        <v>0</v>
      </c>
      <c r="J171">
        <f ca="1">IF(AND(INDIRECT(A73&amp;ROW())=B95,INDIRECT(A96&amp;ROW())=C95),1,IF(AND(INDIRECT(A73&amp;ROW())=B95,INDIRECT(A96&amp;ROW())=C96),1,0))</f>
        <v>1</v>
      </c>
      <c r="K171">
        <f ca="1">DAYS360(INDIRECT(C68&amp;ROW()),TODAY())</f>
        <v>714</v>
      </c>
      <c r="L171">
        <f ca="1">DAYS360(INDIRECT(C69&amp;ROW()),TODAY())</f>
        <v>882</v>
      </c>
      <c r="M171">
        <f ca="1">HYPERLINK(CONCATENATE("https://bugzilla.houston.hp.com:1181/bugzilla/show_bug.cgi?id=",INDIRECT(C70&amp;ROW())),INDIRECT(C70&amp;ROW()))</f>
        <v>53733</v>
      </c>
      <c r="N171">
        <v>53733</v>
      </c>
      <c r="O171" t="s">
        <v>204</v>
      </c>
      <c r="P171" t="s">
        <v>457</v>
      </c>
      <c r="Q171" t="s">
        <v>25</v>
      </c>
      <c r="R171" t="s">
        <v>17</v>
      </c>
      <c r="S171" t="s">
        <v>36</v>
      </c>
      <c r="T171" t="s">
        <v>54</v>
      </c>
      <c r="U171" s="6">
        <v>42132.550150462965</v>
      </c>
      <c r="V171" t="s">
        <v>35</v>
      </c>
      <c r="W171" t="s">
        <v>17</v>
      </c>
      <c r="X171" s="6">
        <v>41963.87427083333</v>
      </c>
      <c r="Y171" t="s">
        <v>119</v>
      </c>
      <c r="AB171" t="s">
        <v>201</v>
      </c>
      <c r="AC171" t="s">
        <v>247</v>
      </c>
      <c r="AD171" t="s">
        <v>222</v>
      </c>
      <c r="AE171" t="s">
        <v>228</v>
      </c>
      <c r="AG171" t="s">
        <v>337</v>
      </c>
      <c r="AH171" t="s">
        <v>64</v>
      </c>
      <c r="AI171" t="s">
        <v>362</v>
      </c>
      <c r="AJ171" t="s">
        <v>716</v>
      </c>
      <c r="AK171" t="s">
        <v>121</v>
      </c>
    </row>
    <row r="172" spans="9:37" x14ac:dyDescent="0.3">
      <c r="I172">
        <f ca="1">IF(OR(INDIRECT(A73&amp;ROW())=B93,INDIRECT(A73&amp;ROW())=B94),1,IF(AND(INDIRECT(A73&amp;ROW())=B95,INDIRECT(A96&amp;ROW())=C93),1,IF(AND(INDIRECT(A73&amp;ROW())=B95,INDIRECT(A96&amp;ROW())=C94),1,0)))</f>
        <v>1</v>
      </c>
      <c r="J172">
        <f ca="1">IF(AND(INDIRECT(A73&amp;ROW())=B95,INDIRECT(A96&amp;ROW())=C95),1,IF(AND(INDIRECT(A73&amp;ROW())=B95,INDIRECT(A96&amp;ROW())=C96),1,0))</f>
        <v>0</v>
      </c>
      <c r="K172">
        <f ca="1">DAYS360(INDIRECT(C68&amp;ROW()),TODAY())</f>
        <v>870</v>
      </c>
      <c r="L172">
        <f ca="1">DAYS360(INDIRECT(C69&amp;ROW()),TODAY())</f>
        <v>871</v>
      </c>
      <c r="M172" s="11">
        <f ca="1">HYPERLINK(CONCATENATE("https://bugzilla.houston.hp.com:1181/bugzilla/show_bug.cgi?id=",INDIRECT(C70&amp;ROW())),INDIRECT(C70&amp;ROW()))</f>
        <v>54144</v>
      </c>
      <c r="N172">
        <v>54144</v>
      </c>
      <c r="O172" t="s">
        <v>43</v>
      </c>
      <c r="P172" t="s">
        <v>479</v>
      </c>
      <c r="Q172" t="s">
        <v>25</v>
      </c>
      <c r="R172" t="s">
        <v>248</v>
      </c>
      <c r="S172" t="s">
        <v>36</v>
      </c>
      <c r="U172" s="6">
        <v>41975.575798611113</v>
      </c>
      <c r="V172" t="s">
        <v>18</v>
      </c>
      <c r="W172" t="s">
        <v>17</v>
      </c>
      <c r="X172" s="6">
        <v>41974.702986111108</v>
      </c>
      <c r="Y172" t="s">
        <v>342</v>
      </c>
      <c r="AB172" t="s">
        <v>200</v>
      </c>
      <c r="AC172" t="s">
        <v>247</v>
      </c>
      <c r="AD172" t="s">
        <v>220</v>
      </c>
      <c r="AE172" t="s">
        <v>219</v>
      </c>
      <c r="AG172" t="s">
        <v>121</v>
      </c>
      <c r="AH172" t="s">
        <v>327</v>
      </c>
      <c r="AI172" t="s">
        <v>121</v>
      </c>
      <c r="AJ172" t="s">
        <v>715</v>
      </c>
      <c r="AK172" t="s">
        <v>121</v>
      </c>
    </row>
    <row r="173" spans="9:37" x14ac:dyDescent="0.3">
      <c r="I173">
        <f ca="1">IF(OR(INDIRECT(A73&amp;ROW())=B93,INDIRECT(A73&amp;ROW())=B94),1,IF(AND(INDIRECT(A73&amp;ROW())=B95,INDIRECT(A96&amp;ROW())=C93),1,IF(AND(INDIRECT(A73&amp;ROW())=B95,INDIRECT(A96&amp;ROW())=C94),1,0)))</f>
        <v>0</v>
      </c>
      <c r="J173">
        <f ca="1">IF(AND(INDIRECT(A73&amp;ROW())=B95,INDIRECT(A96&amp;ROW())=C95),1,IF(AND(INDIRECT(A73&amp;ROW())=B95,INDIRECT(A96&amp;ROW())=C96),1,0))</f>
        <v>1</v>
      </c>
      <c r="K173">
        <f ca="1">DAYS360(INDIRECT(C68&amp;ROW()),TODAY())</f>
        <v>721</v>
      </c>
      <c r="L173">
        <f ca="1">DAYS360(INDIRECT(C69&amp;ROW()),TODAY())</f>
        <v>870</v>
      </c>
      <c r="M173">
        <f ca="1">HYPERLINK(CONCATENATE("https://bugzilla.houston.hp.com:1181/bugzilla/show_bug.cgi?id=",INDIRECT(C70&amp;ROW())),INDIRECT(C70&amp;ROW()))</f>
        <v>54180</v>
      </c>
      <c r="N173">
        <v>54180</v>
      </c>
      <c r="O173" t="s">
        <v>326</v>
      </c>
      <c r="P173" t="s">
        <v>487</v>
      </c>
      <c r="Q173" t="s">
        <v>25</v>
      </c>
      <c r="R173" t="s">
        <v>17</v>
      </c>
      <c r="S173" t="s">
        <v>36</v>
      </c>
      <c r="U173" s="6">
        <v>42125.447627314818</v>
      </c>
      <c r="V173" t="s">
        <v>18</v>
      </c>
      <c r="W173" t="s">
        <v>343</v>
      </c>
      <c r="X173" s="6">
        <v>41975.376284722224</v>
      </c>
      <c r="Y173" t="s">
        <v>122</v>
      </c>
      <c r="AB173" t="s">
        <v>201</v>
      </c>
      <c r="AC173" t="s">
        <v>247</v>
      </c>
      <c r="AD173" t="s">
        <v>220</v>
      </c>
      <c r="AE173" t="s">
        <v>224</v>
      </c>
      <c r="AG173" t="s">
        <v>121</v>
      </c>
      <c r="AH173" t="s">
        <v>64</v>
      </c>
      <c r="AI173" t="s">
        <v>363</v>
      </c>
      <c r="AJ173" t="s">
        <v>716</v>
      </c>
      <c r="AK173" t="s">
        <v>121</v>
      </c>
    </row>
    <row r="174" spans="9:37" x14ac:dyDescent="0.3">
      <c r="I174">
        <f ca="1">IF(OR(INDIRECT(A73&amp;ROW())=B93,INDIRECT(A73&amp;ROW())=B94),1,IF(AND(INDIRECT(A73&amp;ROW())=B95,INDIRECT(A96&amp;ROW())=C93),1,IF(AND(INDIRECT(A73&amp;ROW())=B95,INDIRECT(A96&amp;ROW())=C94),1,0)))</f>
        <v>0</v>
      </c>
      <c r="J174">
        <f ca="1">IF(AND(INDIRECT(A73&amp;ROW())=B95,INDIRECT(A96&amp;ROW())=C95),1,IF(AND(INDIRECT(A73&amp;ROW())=B95,INDIRECT(A96&amp;ROW())=C96),1,0))</f>
        <v>1</v>
      </c>
      <c r="K174">
        <f ca="1">DAYS360(INDIRECT(C68&amp;ROW()),TODAY())</f>
        <v>721</v>
      </c>
      <c r="L174">
        <f ca="1">DAYS360(INDIRECT(C69&amp;ROW()),TODAY())</f>
        <v>870</v>
      </c>
      <c r="M174">
        <f ca="1">HYPERLINK(CONCATENATE("https://bugzilla.houston.hp.com:1181/bugzilla/show_bug.cgi?id=",INDIRECT(C70&amp;ROW())),INDIRECT(C70&amp;ROW()))</f>
        <v>54181</v>
      </c>
      <c r="N174">
        <v>54181</v>
      </c>
      <c r="O174" t="s">
        <v>56</v>
      </c>
      <c r="P174" t="s">
        <v>486</v>
      </c>
      <c r="Q174" t="s">
        <v>25</v>
      </c>
      <c r="R174" t="s">
        <v>248</v>
      </c>
      <c r="S174" t="s">
        <v>36</v>
      </c>
      <c r="U174" s="6">
        <v>42125.447581018518</v>
      </c>
      <c r="V174" t="s">
        <v>18</v>
      </c>
      <c r="W174" t="s">
        <v>343</v>
      </c>
      <c r="X174" s="6">
        <v>41975.38009259259</v>
      </c>
      <c r="Y174" t="s">
        <v>122</v>
      </c>
      <c r="AB174" t="s">
        <v>201</v>
      </c>
      <c r="AC174" t="s">
        <v>247</v>
      </c>
      <c r="AD174" t="s">
        <v>220</v>
      </c>
      <c r="AE174" t="s">
        <v>219</v>
      </c>
      <c r="AG174" t="s">
        <v>121</v>
      </c>
      <c r="AH174" t="s">
        <v>64</v>
      </c>
      <c r="AI174" t="s">
        <v>121</v>
      </c>
      <c r="AJ174" t="s">
        <v>716</v>
      </c>
      <c r="AK174" t="s">
        <v>121</v>
      </c>
    </row>
    <row r="175" spans="9:37" x14ac:dyDescent="0.3">
      <c r="I175">
        <f ca="1">IF(OR(INDIRECT(A73&amp;ROW())=B93,INDIRECT(A73&amp;ROW())=B94),1,IF(AND(INDIRECT(A73&amp;ROW())=B95,INDIRECT(A96&amp;ROW())=C93),1,IF(AND(INDIRECT(A73&amp;ROW())=B95,INDIRECT(A96&amp;ROW())=C94),1,0)))</f>
        <v>0</v>
      </c>
      <c r="J175">
        <f ca="1">IF(AND(INDIRECT(A73&amp;ROW())=B95,INDIRECT(A96&amp;ROW())=C95),1,IF(AND(INDIRECT(A73&amp;ROW())=B95,INDIRECT(A96&amp;ROW())=C96),1,0))</f>
        <v>0</v>
      </c>
      <c r="K175">
        <f ca="1">DAYS360(INDIRECT(C68&amp;ROW()),TODAY())</f>
        <v>721</v>
      </c>
      <c r="L175">
        <f ca="1">DAYS360(INDIRECT(C69&amp;ROW()),TODAY())</f>
        <v>870</v>
      </c>
      <c r="M175">
        <f ca="1">HYPERLINK(CONCATENATE("https://bugzilla.houston.hp.com:1181/bugzilla/show_bug.cgi?id=",INDIRECT(C70&amp;ROW())),INDIRECT(C70&amp;ROW()))</f>
        <v>54184</v>
      </c>
      <c r="N175">
        <v>54184</v>
      </c>
      <c r="O175" t="s">
        <v>241</v>
      </c>
      <c r="P175" t="s">
        <v>485</v>
      </c>
      <c r="Q175" t="s">
        <v>16</v>
      </c>
      <c r="R175" t="s">
        <v>248</v>
      </c>
      <c r="S175" t="s">
        <v>36</v>
      </c>
      <c r="U175" s="6">
        <v>42125.65320601852</v>
      </c>
      <c r="V175" t="s">
        <v>18</v>
      </c>
      <c r="W175" t="s">
        <v>339</v>
      </c>
      <c r="X175" s="6">
        <v>41975.38925925926</v>
      </c>
      <c r="Y175" t="s">
        <v>245</v>
      </c>
      <c r="AB175" t="s">
        <v>201</v>
      </c>
      <c r="AC175" t="s">
        <v>247</v>
      </c>
      <c r="AD175" t="s">
        <v>227</v>
      </c>
      <c r="AE175" t="s">
        <v>237</v>
      </c>
      <c r="AG175" t="s">
        <v>121</v>
      </c>
      <c r="AH175" t="s">
        <v>327</v>
      </c>
      <c r="AI175" t="s">
        <v>121</v>
      </c>
      <c r="AJ175" t="s">
        <v>717</v>
      </c>
      <c r="AK175" t="s">
        <v>121</v>
      </c>
    </row>
    <row r="176" spans="9:37" x14ac:dyDescent="0.3">
      <c r="I176">
        <f ca="1">IF(OR(INDIRECT(A73&amp;ROW())=B93,INDIRECT(A73&amp;ROW())=B94),1,IF(AND(INDIRECT(A73&amp;ROW())=B95,INDIRECT(A96&amp;ROW())=C93),1,IF(AND(INDIRECT(A73&amp;ROW())=B95,INDIRECT(A96&amp;ROW())=C94),1,0)))</f>
        <v>0</v>
      </c>
      <c r="J176">
        <f ca="1">IF(AND(INDIRECT(A73&amp;ROW())=B95,INDIRECT(A96&amp;ROW())=C95),1,IF(AND(INDIRECT(A73&amp;ROW())=B95,INDIRECT(A96&amp;ROW())=C96),1,0))</f>
        <v>1</v>
      </c>
      <c r="K176">
        <f ca="1">DAYS360(INDIRECT(C68&amp;ROW()),TODAY())</f>
        <v>869</v>
      </c>
      <c r="L176">
        <f ca="1">DAYS360(INDIRECT(C69&amp;ROW()),TODAY())</f>
        <v>870</v>
      </c>
      <c r="M176">
        <f ca="1">HYPERLINK(CONCATENATE("https://bugzilla.houston.hp.com:1181/bugzilla/show_bug.cgi?id=",INDIRECT(C70&amp;ROW())),INDIRECT(C70&amp;ROW()))</f>
        <v>54186</v>
      </c>
      <c r="N176">
        <v>54186</v>
      </c>
      <c r="O176" t="s">
        <v>326</v>
      </c>
      <c r="P176" t="s">
        <v>484</v>
      </c>
      <c r="Q176" t="s">
        <v>25</v>
      </c>
      <c r="R176" t="s">
        <v>17</v>
      </c>
      <c r="S176" t="s">
        <v>36</v>
      </c>
      <c r="U176" s="6">
        <v>41976.523692129631</v>
      </c>
      <c r="V176" t="s">
        <v>18</v>
      </c>
      <c r="W176" t="s">
        <v>343</v>
      </c>
      <c r="X176" s="6">
        <v>41975.390381944446</v>
      </c>
      <c r="Y176" t="s">
        <v>245</v>
      </c>
      <c r="AB176" t="s">
        <v>201</v>
      </c>
      <c r="AC176" t="s">
        <v>247</v>
      </c>
      <c r="AD176" t="s">
        <v>227</v>
      </c>
      <c r="AE176" t="s">
        <v>230</v>
      </c>
      <c r="AG176" t="s">
        <v>121</v>
      </c>
      <c r="AH176" t="s">
        <v>327</v>
      </c>
      <c r="AI176" t="s">
        <v>362</v>
      </c>
      <c r="AJ176" t="s">
        <v>716</v>
      </c>
      <c r="AK176" t="s">
        <v>121</v>
      </c>
    </row>
    <row r="177" spans="9:37" x14ac:dyDescent="0.3">
      <c r="I177">
        <f ca="1">IF(OR(INDIRECT(A73&amp;ROW())=B93,INDIRECT(A73&amp;ROW())=B94),1,IF(AND(INDIRECT(A73&amp;ROW())=B95,INDIRECT(A96&amp;ROW())=C93),1,IF(AND(INDIRECT(A73&amp;ROW())=B95,INDIRECT(A96&amp;ROW())=C94),1,0)))</f>
        <v>0</v>
      </c>
      <c r="J177">
        <f ca="1">IF(AND(INDIRECT(A73&amp;ROW())=B95,INDIRECT(A96&amp;ROW())=C95),1,IF(AND(INDIRECT(A73&amp;ROW())=B95,INDIRECT(A96&amp;ROW())=C96),1,0))</f>
        <v>1</v>
      </c>
      <c r="K177">
        <f ca="1">DAYS360(INDIRECT(C68&amp;ROW()),TODAY())</f>
        <v>721</v>
      </c>
      <c r="L177">
        <f ca="1">DAYS360(INDIRECT(C69&amp;ROW()),TODAY())</f>
        <v>870</v>
      </c>
      <c r="M177">
        <f ca="1">HYPERLINK(CONCATENATE("https://bugzilla.houston.hp.com:1181/bugzilla/show_bug.cgi?id=",INDIRECT(C70&amp;ROW())),INDIRECT(C70&amp;ROW()))</f>
        <v>54187</v>
      </c>
      <c r="N177">
        <v>54187</v>
      </c>
      <c r="O177" t="s">
        <v>241</v>
      </c>
      <c r="P177" t="s">
        <v>483</v>
      </c>
      <c r="Q177" t="s">
        <v>25</v>
      </c>
      <c r="R177" t="s">
        <v>248</v>
      </c>
      <c r="S177" t="s">
        <v>36</v>
      </c>
      <c r="U177" s="6">
        <v>42125.655613425923</v>
      </c>
      <c r="V177" t="s">
        <v>18</v>
      </c>
      <c r="W177" t="s">
        <v>343</v>
      </c>
      <c r="X177" s="6">
        <v>41975.393379629626</v>
      </c>
      <c r="Y177" t="s">
        <v>245</v>
      </c>
      <c r="AB177" t="s">
        <v>201</v>
      </c>
      <c r="AC177" t="s">
        <v>247</v>
      </c>
      <c r="AD177" t="s">
        <v>227</v>
      </c>
      <c r="AE177" t="s">
        <v>237</v>
      </c>
      <c r="AG177" t="s">
        <v>121</v>
      </c>
      <c r="AH177" t="s">
        <v>327</v>
      </c>
      <c r="AI177" t="s">
        <v>121</v>
      </c>
      <c r="AJ177" t="s">
        <v>716</v>
      </c>
      <c r="AK177" t="s">
        <v>121</v>
      </c>
    </row>
    <row r="178" spans="9:37" x14ac:dyDescent="0.3">
      <c r="I178">
        <f ca="1">IF(OR(INDIRECT(A73&amp;ROW())=B93,INDIRECT(A73&amp;ROW())=B94),1,IF(AND(INDIRECT(A73&amp;ROW())=B95,INDIRECT(A96&amp;ROW())=C93),1,IF(AND(INDIRECT(A73&amp;ROW())=B95,INDIRECT(A96&amp;ROW())=C94),1,0)))</f>
        <v>0</v>
      </c>
      <c r="J178">
        <f ca="1">IF(AND(INDIRECT(A73&amp;ROW())=B95,INDIRECT(A96&amp;ROW())=C95),1,IF(AND(INDIRECT(A73&amp;ROW())=B95,INDIRECT(A96&amp;ROW())=C96),1,0))</f>
        <v>0</v>
      </c>
      <c r="K178">
        <f ca="1">DAYS360(INDIRECT(C68&amp;ROW()),TODAY())</f>
        <v>835</v>
      </c>
      <c r="L178">
        <f ca="1">DAYS360(INDIRECT(C69&amp;ROW()),TODAY())</f>
        <v>870</v>
      </c>
      <c r="M178">
        <f ca="1">HYPERLINK(CONCATENATE("https://bugzilla.houston.hp.com:1181/bugzilla/show_bug.cgi?id=",INDIRECT(C70&amp;ROW())),INDIRECT(C70&amp;ROW()))</f>
        <v>54198</v>
      </c>
      <c r="N178">
        <v>54198</v>
      </c>
      <c r="O178" t="s">
        <v>326</v>
      </c>
      <c r="P178" t="s">
        <v>506</v>
      </c>
      <c r="Q178" t="s">
        <v>16</v>
      </c>
      <c r="R178" t="s">
        <v>17</v>
      </c>
      <c r="S178" t="s">
        <v>36</v>
      </c>
      <c r="U178" s="6">
        <v>42011.308912037035</v>
      </c>
      <c r="V178" t="s">
        <v>35</v>
      </c>
      <c r="W178" t="s">
        <v>343</v>
      </c>
      <c r="X178" s="6">
        <v>41975.427766203706</v>
      </c>
      <c r="Y178" t="s">
        <v>255</v>
      </c>
      <c r="AB178" t="s">
        <v>199</v>
      </c>
      <c r="AC178" t="s">
        <v>247</v>
      </c>
      <c r="AD178" t="s">
        <v>220</v>
      </c>
      <c r="AE178" t="s">
        <v>224</v>
      </c>
      <c r="AG178" t="s">
        <v>121</v>
      </c>
      <c r="AH178" t="s">
        <v>327</v>
      </c>
      <c r="AI178" t="s">
        <v>362</v>
      </c>
      <c r="AJ178" t="s">
        <v>716</v>
      </c>
      <c r="AK178" t="s">
        <v>121</v>
      </c>
    </row>
    <row r="179" spans="9:37" x14ac:dyDescent="0.3">
      <c r="I179">
        <f ca="1">IF(OR(INDIRECT(A73&amp;ROW())=B93,INDIRECT(A73&amp;ROW())=B94),1,IF(AND(INDIRECT(A73&amp;ROW())=B95,INDIRECT(A96&amp;ROW())=C93),1,IF(AND(INDIRECT(A73&amp;ROW())=B95,INDIRECT(A96&amp;ROW())=C94),1,0)))</f>
        <v>0</v>
      </c>
      <c r="J179">
        <f ca="1">IF(AND(INDIRECT(A73&amp;ROW())=B95,INDIRECT(A96&amp;ROW())=C95),1,IF(AND(INDIRECT(A73&amp;ROW())=B95,INDIRECT(A96&amp;ROW())=C96),1,0))</f>
        <v>0</v>
      </c>
      <c r="K179">
        <f ca="1">DAYS360(INDIRECT(C68&amp;ROW()),TODAY())</f>
        <v>733</v>
      </c>
      <c r="L179">
        <f ca="1">DAYS360(INDIRECT(C69&amp;ROW()),TODAY())</f>
        <v>870</v>
      </c>
      <c r="M179">
        <f ca="1">HYPERLINK(CONCATENATE("https://bugzilla.houston.hp.com:1181/bugzilla/show_bug.cgi?id=",INDIRECT(C70&amp;ROW())),INDIRECT(C70&amp;ROW()))</f>
        <v>54199</v>
      </c>
      <c r="N179">
        <v>54199</v>
      </c>
      <c r="O179" t="s">
        <v>56</v>
      </c>
      <c r="P179" t="s">
        <v>482</v>
      </c>
      <c r="Q179" t="s">
        <v>16</v>
      </c>
      <c r="R179" t="s">
        <v>248</v>
      </c>
      <c r="S179" t="s">
        <v>36</v>
      </c>
      <c r="U179" s="6">
        <v>42113.598020833335</v>
      </c>
      <c r="V179" t="s">
        <v>18</v>
      </c>
      <c r="W179" t="s">
        <v>343</v>
      </c>
      <c r="X179" s="6">
        <v>41975.430879629632</v>
      </c>
      <c r="Y179" t="s">
        <v>255</v>
      </c>
      <c r="AB179" t="s">
        <v>199</v>
      </c>
      <c r="AC179" t="s">
        <v>247</v>
      </c>
      <c r="AD179" t="s">
        <v>220</v>
      </c>
      <c r="AE179" t="s">
        <v>219</v>
      </c>
      <c r="AG179" t="s">
        <v>121</v>
      </c>
      <c r="AH179" t="s">
        <v>327</v>
      </c>
      <c r="AI179" t="s">
        <v>121</v>
      </c>
      <c r="AJ179" t="s">
        <v>716</v>
      </c>
      <c r="AK179" t="s">
        <v>121</v>
      </c>
    </row>
    <row r="180" spans="9:37" x14ac:dyDescent="0.3">
      <c r="I180">
        <f ca="1">IF(OR(INDIRECT(A73&amp;ROW())=B93,INDIRECT(A73&amp;ROW())=B94),1,IF(AND(INDIRECT(A73&amp;ROW())=B95,INDIRECT(A96&amp;ROW())=C93),1,IF(AND(INDIRECT(A73&amp;ROW())=B95,INDIRECT(A96&amp;ROW())=C94),1,0)))</f>
        <v>0</v>
      </c>
      <c r="J180">
        <f ca="1">IF(AND(INDIRECT(A73&amp;ROW())=B95,INDIRECT(A96&amp;ROW())=C95),1,IF(AND(INDIRECT(A73&amp;ROW())=B95,INDIRECT(A96&amp;ROW())=C96),1,0))</f>
        <v>0</v>
      </c>
      <c r="K180">
        <f ca="1">DAYS360(INDIRECT(C68&amp;ROW()),TODAY())</f>
        <v>690</v>
      </c>
      <c r="L180">
        <f ca="1">DAYS360(INDIRECT(C69&amp;ROW()),TODAY())</f>
        <v>870</v>
      </c>
      <c r="M180">
        <f ca="1">HYPERLINK(CONCATENATE("https://bugzilla.houston.hp.com:1181/bugzilla/show_bug.cgi?id=",INDIRECT(C70&amp;ROW())),INDIRECT(C70&amp;ROW()))</f>
        <v>54214</v>
      </c>
      <c r="N180">
        <v>54214</v>
      </c>
      <c r="O180" t="s">
        <v>45</v>
      </c>
      <c r="P180" t="s">
        <v>501</v>
      </c>
      <c r="Q180" t="s">
        <v>16</v>
      </c>
      <c r="R180" t="s">
        <v>251</v>
      </c>
      <c r="S180" t="s">
        <v>52</v>
      </c>
      <c r="U180" s="6">
        <v>42157.34238425926</v>
      </c>
      <c r="V180" t="s">
        <v>18</v>
      </c>
      <c r="W180" t="s">
        <v>17</v>
      </c>
      <c r="X180" s="6">
        <v>41975.603159722225</v>
      </c>
      <c r="Y180" t="s">
        <v>255</v>
      </c>
      <c r="AB180" t="s">
        <v>201</v>
      </c>
      <c r="AC180" t="s">
        <v>247</v>
      </c>
      <c r="AD180" t="s">
        <v>227</v>
      </c>
      <c r="AE180" t="s">
        <v>237</v>
      </c>
      <c r="AG180" t="s">
        <v>121</v>
      </c>
      <c r="AH180" t="s">
        <v>327</v>
      </c>
      <c r="AI180" t="s">
        <v>121</v>
      </c>
      <c r="AJ180" t="s">
        <v>717</v>
      </c>
      <c r="AK180" t="s">
        <v>121</v>
      </c>
    </row>
    <row r="181" spans="9:37" x14ac:dyDescent="0.3">
      <c r="I181">
        <f ca="1">IF(OR(INDIRECT(A73&amp;ROW())=B93,INDIRECT(A73&amp;ROW())=B94),1,IF(AND(INDIRECT(A73&amp;ROW())=B95,INDIRECT(A96&amp;ROW())=C93),1,IF(AND(INDIRECT(A73&amp;ROW())=B95,INDIRECT(A96&amp;ROW())=C94),1,0)))</f>
        <v>0</v>
      </c>
      <c r="J181">
        <f ca="1">IF(AND(INDIRECT(A73&amp;ROW())=B95,INDIRECT(A96&amp;ROW())=C95),1,IF(AND(INDIRECT(A73&amp;ROW())=B95,INDIRECT(A96&amp;ROW())=C96),1,0))</f>
        <v>0</v>
      </c>
      <c r="K181">
        <f ca="1">DAYS360(INDIRECT(C68&amp;ROW()),TODAY())</f>
        <v>729</v>
      </c>
      <c r="L181">
        <f ca="1">DAYS360(INDIRECT(C69&amp;ROW()),TODAY())</f>
        <v>870</v>
      </c>
      <c r="M181">
        <f ca="1">HYPERLINK(CONCATENATE("https://bugzilla.houston.hp.com:1181/bugzilla/show_bug.cgi?id=",INDIRECT(C70&amp;ROW())),INDIRECT(C70&amp;ROW()))</f>
        <v>54215</v>
      </c>
      <c r="N181">
        <v>54215</v>
      </c>
      <c r="O181" t="s">
        <v>45</v>
      </c>
      <c r="P181" t="s">
        <v>500</v>
      </c>
      <c r="Q181" t="s">
        <v>16</v>
      </c>
      <c r="R181" t="s">
        <v>251</v>
      </c>
      <c r="S181" t="s">
        <v>367</v>
      </c>
      <c r="U181" s="6">
        <v>42117.404652777775</v>
      </c>
      <c r="V181" t="s">
        <v>18</v>
      </c>
      <c r="W181" t="s">
        <v>17</v>
      </c>
      <c r="X181" s="6">
        <v>41975.612685185188</v>
      </c>
      <c r="Y181" t="s">
        <v>245</v>
      </c>
      <c r="AB181" t="s">
        <v>200</v>
      </c>
      <c r="AC181" t="s">
        <v>247</v>
      </c>
      <c r="AD181" t="s">
        <v>227</v>
      </c>
      <c r="AE181" t="s">
        <v>230</v>
      </c>
      <c r="AG181" t="s">
        <v>121</v>
      </c>
      <c r="AH181" t="s">
        <v>327</v>
      </c>
      <c r="AI181" t="s">
        <v>121</v>
      </c>
      <c r="AJ181" t="s">
        <v>716</v>
      </c>
      <c r="AK181" t="s">
        <v>121</v>
      </c>
    </row>
    <row r="182" spans="9:37" x14ac:dyDescent="0.3">
      <c r="I182">
        <f ca="1">IF(OR(INDIRECT(A73&amp;ROW())=B93,INDIRECT(A73&amp;ROW())=B94),1,IF(AND(INDIRECT(A73&amp;ROW())=B95,INDIRECT(A96&amp;ROW())=C93),1,IF(AND(INDIRECT(A73&amp;ROW())=B95,INDIRECT(A96&amp;ROW())=C94),1,0)))</f>
        <v>0</v>
      </c>
      <c r="J182">
        <f ca="1">IF(AND(INDIRECT(A73&amp;ROW())=B95,INDIRECT(A96&amp;ROW())=C95),1,IF(AND(INDIRECT(A73&amp;ROW())=B95,INDIRECT(A96&amp;ROW())=C96),1,0))</f>
        <v>0</v>
      </c>
      <c r="K182">
        <f ca="1">DAYS360(INDIRECT(C68&amp;ROW()),TODAY())</f>
        <v>736</v>
      </c>
      <c r="L182">
        <f ca="1">DAYS360(INDIRECT(C69&amp;ROW()),TODAY())</f>
        <v>870</v>
      </c>
      <c r="M182">
        <f ca="1">HYPERLINK(CONCATENATE("https://bugzilla.houston.hp.com:1181/bugzilla/show_bug.cgi?id=",INDIRECT(C70&amp;ROW())),INDIRECT(C70&amp;ROW()))</f>
        <v>54218</v>
      </c>
      <c r="N182">
        <v>54218</v>
      </c>
      <c r="O182" t="s">
        <v>919</v>
      </c>
      <c r="P182" t="s">
        <v>499</v>
      </c>
      <c r="Q182" t="s">
        <v>16</v>
      </c>
      <c r="R182" t="s">
        <v>17</v>
      </c>
      <c r="S182" t="s">
        <v>477</v>
      </c>
      <c r="U182" s="6">
        <v>42110.702280092592</v>
      </c>
      <c r="V182" t="s">
        <v>18</v>
      </c>
      <c r="W182" t="s">
        <v>339</v>
      </c>
      <c r="X182" s="6">
        <v>41975.714236111111</v>
      </c>
      <c r="Y182" t="s">
        <v>245</v>
      </c>
      <c r="AB182" t="s">
        <v>201</v>
      </c>
      <c r="AC182" t="s">
        <v>247</v>
      </c>
      <c r="AD182" t="s">
        <v>227</v>
      </c>
      <c r="AE182" t="s">
        <v>230</v>
      </c>
      <c r="AG182" t="s">
        <v>121</v>
      </c>
      <c r="AH182" t="s">
        <v>327</v>
      </c>
      <c r="AI182" t="s">
        <v>362</v>
      </c>
      <c r="AJ182" t="s">
        <v>717</v>
      </c>
      <c r="AK182" t="s">
        <v>121</v>
      </c>
    </row>
    <row r="183" spans="9:37" x14ac:dyDescent="0.3">
      <c r="I183">
        <f ca="1">IF(OR(INDIRECT(A73&amp;ROW())=B93,INDIRECT(A73&amp;ROW())=B94),1,IF(AND(INDIRECT(A73&amp;ROW())=B95,INDIRECT(A96&amp;ROW())=C93),1,IF(AND(INDIRECT(A73&amp;ROW())=B95,INDIRECT(A96&amp;ROW())=C94),1,0)))</f>
        <v>0</v>
      </c>
      <c r="J183">
        <f ca="1">IF(AND(INDIRECT(A73&amp;ROW())=B95,INDIRECT(A96&amp;ROW())=C95),1,IF(AND(INDIRECT(A73&amp;ROW())=B95,INDIRECT(A96&amp;ROW())=C96),1,0))</f>
        <v>1</v>
      </c>
      <c r="K183">
        <f ca="1">DAYS360(INDIRECT(C68&amp;ROW()),TODAY())</f>
        <v>730</v>
      </c>
      <c r="L183">
        <f ca="1">DAYS360(INDIRECT(C69&amp;ROW()),TODAY())</f>
        <v>870</v>
      </c>
      <c r="M183">
        <f ca="1">HYPERLINK(CONCATENATE("https://bugzilla.houston.hp.com:1181/bugzilla/show_bug.cgi?id=",INDIRECT(C70&amp;ROW())),INDIRECT(C70&amp;ROW()))</f>
        <v>54221</v>
      </c>
      <c r="N183">
        <v>54221</v>
      </c>
      <c r="O183" t="s">
        <v>56</v>
      </c>
      <c r="P183" t="s">
        <v>481</v>
      </c>
      <c r="Q183" t="s">
        <v>25</v>
      </c>
      <c r="R183" t="s">
        <v>251</v>
      </c>
      <c r="S183" t="s">
        <v>43</v>
      </c>
      <c r="U183" s="6">
        <v>42116.732118055559</v>
      </c>
      <c r="V183" t="s">
        <v>18</v>
      </c>
      <c r="W183" t="s">
        <v>17</v>
      </c>
      <c r="X183" s="6">
        <v>41975.804108796299</v>
      </c>
      <c r="Y183" t="s">
        <v>793</v>
      </c>
      <c r="AB183" t="s">
        <v>201</v>
      </c>
      <c r="AC183" t="s">
        <v>247</v>
      </c>
      <c r="AD183" t="s">
        <v>220</v>
      </c>
      <c r="AE183" t="s">
        <v>219</v>
      </c>
      <c r="AG183" t="s">
        <v>121</v>
      </c>
      <c r="AH183" t="s">
        <v>327</v>
      </c>
      <c r="AI183" t="s">
        <v>121</v>
      </c>
      <c r="AJ183" t="s">
        <v>716</v>
      </c>
      <c r="AK183" t="s">
        <v>121</v>
      </c>
    </row>
    <row r="184" spans="9:37" x14ac:dyDescent="0.3">
      <c r="I184">
        <f ca="1">IF(OR(INDIRECT(A73&amp;ROW())=B93,INDIRECT(A73&amp;ROW())=B94),1,IF(AND(INDIRECT(A73&amp;ROW())=B95,INDIRECT(A96&amp;ROW())=C93),1,IF(AND(INDIRECT(A73&amp;ROW())=B95,INDIRECT(A96&amp;ROW())=C94),1,0)))</f>
        <v>0</v>
      </c>
      <c r="J184">
        <f ca="1">IF(AND(INDIRECT(A73&amp;ROW())=B95,INDIRECT(A96&amp;ROW())=C95),1,IF(AND(INDIRECT(A73&amp;ROW())=B95,INDIRECT(A96&amp;ROW())=C96),1,0))</f>
        <v>1</v>
      </c>
      <c r="K184">
        <f ca="1">DAYS360(INDIRECT(C68&amp;ROW()),TODAY())</f>
        <v>721</v>
      </c>
      <c r="L184">
        <f ca="1">DAYS360(INDIRECT(C69&amp;ROW()),TODAY())</f>
        <v>869</v>
      </c>
      <c r="M184">
        <f ca="1">HYPERLINK(CONCATENATE("https://bugzilla.houston.hp.com:1181/bugzilla/show_bug.cgi?id=",INDIRECT(C70&amp;ROW())),INDIRECT(C70&amp;ROW()))</f>
        <v>54272</v>
      </c>
      <c r="N184">
        <v>54272</v>
      </c>
      <c r="O184" t="s">
        <v>56</v>
      </c>
      <c r="P184" t="s">
        <v>498</v>
      </c>
      <c r="Q184" t="s">
        <v>25</v>
      </c>
      <c r="R184" t="s">
        <v>248</v>
      </c>
      <c r="S184" t="s">
        <v>36</v>
      </c>
      <c r="U184" s="6">
        <v>42125.448750000003</v>
      </c>
      <c r="V184" t="s">
        <v>18</v>
      </c>
      <c r="W184" t="s">
        <v>360</v>
      </c>
      <c r="X184" s="6">
        <v>41976.671122685184</v>
      </c>
      <c r="Y184" t="s">
        <v>122</v>
      </c>
      <c r="AB184" t="s">
        <v>201</v>
      </c>
      <c r="AC184" t="s">
        <v>247</v>
      </c>
      <c r="AD184" t="s">
        <v>220</v>
      </c>
      <c r="AE184" t="s">
        <v>219</v>
      </c>
      <c r="AG184" t="s">
        <v>121</v>
      </c>
      <c r="AH184" t="s">
        <v>327</v>
      </c>
      <c r="AI184" t="s">
        <v>121</v>
      </c>
      <c r="AJ184" t="s">
        <v>716</v>
      </c>
      <c r="AK184" t="s">
        <v>121</v>
      </c>
    </row>
    <row r="185" spans="9:37" x14ac:dyDescent="0.3">
      <c r="I185">
        <f ca="1">IF(OR(INDIRECT(A73&amp;ROW())=B93,INDIRECT(A73&amp;ROW())=B94),1,IF(AND(INDIRECT(A73&amp;ROW())=B95,INDIRECT(A96&amp;ROW())=C93),1,IF(AND(INDIRECT(A73&amp;ROW())=B95,INDIRECT(A96&amp;ROW())=C94),1,0)))</f>
        <v>0</v>
      </c>
      <c r="J185">
        <f ca="1">IF(AND(INDIRECT(A73&amp;ROW())=B95,INDIRECT(A96&amp;ROW())=C95),1,IF(AND(INDIRECT(A73&amp;ROW())=B95,INDIRECT(A96&amp;ROW())=C96),1,0))</f>
        <v>0</v>
      </c>
      <c r="K185">
        <f ca="1">DAYS360(INDIRECT(C68&amp;ROW()),TODAY())</f>
        <v>721</v>
      </c>
      <c r="L185">
        <f ca="1">DAYS360(INDIRECT(C69&amp;ROW()),TODAY())</f>
        <v>869</v>
      </c>
      <c r="M185">
        <f ca="1">HYPERLINK(CONCATENATE("https://bugzilla.houston.hp.com:1181/bugzilla/show_bug.cgi?id=",INDIRECT(C70&amp;ROW())),INDIRECT(C70&amp;ROW()))</f>
        <v>54278</v>
      </c>
      <c r="N185">
        <v>54278</v>
      </c>
      <c r="O185" t="s">
        <v>45</v>
      </c>
      <c r="P185" t="s">
        <v>497</v>
      </c>
      <c r="Q185" t="s">
        <v>16</v>
      </c>
      <c r="R185" t="s">
        <v>248</v>
      </c>
      <c r="S185" t="s">
        <v>36</v>
      </c>
      <c r="U185" s="6">
        <v>42125.661678240744</v>
      </c>
      <c r="V185" t="s">
        <v>18</v>
      </c>
      <c r="W185" t="s">
        <v>339</v>
      </c>
      <c r="X185" s="6">
        <v>41976.674849537034</v>
      </c>
      <c r="Y185" t="s">
        <v>255</v>
      </c>
      <c r="AB185" t="s">
        <v>201</v>
      </c>
      <c r="AC185" t="s">
        <v>247</v>
      </c>
      <c r="AD185" t="s">
        <v>227</v>
      </c>
      <c r="AE185" t="s">
        <v>237</v>
      </c>
      <c r="AG185" t="s">
        <v>121</v>
      </c>
      <c r="AH185" t="s">
        <v>327</v>
      </c>
      <c r="AI185" t="s">
        <v>121</v>
      </c>
      <c r="AJ185" t="s">
        <v>717</v>
      </c>
      <c r="AK185" t="s">
        <v>121</v>
      </c>
    </row>
    <row r="186" spans="9:37" x14ac:dyDescent="0.3">
      <c r="I186">
        <f ca="1">IF(OR(INDIRECT(A73&amp;ROW())=B93,INDIRECT(A73&amp;ROW())=B94),1,IF(AND(INDIRECT(A73&amp;ROW())=B95,INDIRECT(A96&amp;ROW())=C93),1,IF(AND(INDIRECT(A73&amp;ROW())=B95,INDIRECT(A96&amp;ROW())=C94),1,0)))</f>
        <v>0</v>
      </c>
      <c r="J186">
        <f ca="1">IF(AND(INDIRECT(A73&amp;ROW())=B95,INDIRECT(A96&amp;ROW())=C95),1,IF(AND(INDIRECT(A73&amp;ROW())=B95,INDIRECT(A96&amp;ROW())=C96),1,0))</f>
        <v>0</v>
      </c>
      <c r="K186">
        <f ca="1">DAYS360(INDIRECT(C68&amp;ROW()),TODAY())</f>
        <v>731</v>
      </c>
      <c r="L186">
        <f ca="1">DAYS360(INDIRECT(C69&amp;ROW()),TODAY())</f>
        <v>869</v>
      </c>
      <c r="M186">
        <f ca="1">HYPERLINK(CONCATENATE("https://bugzilla.houston.hp.com:1181/bugzilla/show_bug.cgi?id=",INDIRECT(C70&amp;ROW())),INDIRECT(C70&amp;ROW()))</f>
        <v>54280</v>
      </c>
      <c r="N186">
        <v>54280</v>
      </c>
      <c r="O186" t="s">
        <v>919</v>
      </c>
      <c r="P186" t="s">
        <v>496</v>
      </c>
      <c r="Q186" t="s">
        <v>16</v>
      </c>
      <c r="R186" t="s">
        <v>17</v>
      </c>
      <c r="S186" t="s">
        <v>36</v>
      </c>
      <c r="U186" s="6">
        <v>42115.892118055555</v>
      </c>
      <c r="V186" t="s">
        <v>18</v>
      </c>
      <c r="W186" t="s">
        <v>372</v>
      </c>
      <c r="X186" s="6">
        <v>41976.675324074073</v>
      </c>
      <c r="Y186" t="s">
        <v>245</v>
      </c>
      <c r="AB186" t="s">
        <v>200</v>
      </c>
      <c r="AC186" t="s">
        <v>247</v>
      </c>
      <c r="AD186" t="s">
        <v>227</v>
      </c>
      <c r="AE186" t="s">
        <v>230</v>
      </c>
      <c r="AG186" t="s">
        <v>121</v>
      </c>
      <c r="AH186" t="s">
        <v>327</v>
      </c>
      <c r="AI186" t="s">
        <v>363</v>
      </c>
      <c r="AJ186" t="s">
        <v>716</v>
      </c>
      <c r="AK186" t="s">
        <v>121</v>
      </c>
    </row>
    <row r="187" spans="9:37" x14ac:dyDescent="0.3">
      <c r="I187">
        <f ca="1">IF(OR(INDIRECT(A73&amp;ROW())=B93,INDIRECT(A73&amp;ROW())=B94),1,IF(AND(INDIRECT(A73&amp;ROW())=B95,INDIRECT(A96&amp;ROW())=C93),1,IF(AND(INDIRECT(A73&amp;ROW())=B95,INDIRECT(A96&amp;ROW())=C94),1,0)))</f>
        <v>0</v>
      </c>
      <c r="J187">
        <f ca="1">IF(AND(INDIRECT(A73&amp;ROW())=B95,INDIRECT(A96&amp;ROW())=C95),1,IF(AND(INDIRECT(A73&amp;ROW())=B95,INDIRECT(A96&amp;ROW())=C96),1,0))</f>
        <v>0</v>
      </c>
      <c r="K187">
        <f ca="1">DAYS360(INDIRECT(C68&amp;ROW()),TODAY())</f>
        <v>731</v>
      </c>
      <c r="L187">
        <f ca="1">DAYS360(INDIRECT(C69&amp;ROW()),TODAY())</f>
        <v>869</v>
      </c>
      <c r="M187">
        <f ca="1">HYPERLINK(CONCATENATE("https://bugzilla.houston.hp.com:1181/bugzilla/show_bug.cgi?id=",INDIRECT(C70&amp;ROW())),INDIRECT(C70&amp;ROW()))</f>
        <v>54281</v>
      </c>
      <c r="N187">
        <v>54281</v>
      </c>
      <c r="O187" t="s">
        <v>36</v>
      </c>
      <c r="P187" t="s">
        <v>495</v>
      </c>
      <c r="Q187" t="s">
        <v>16</v>
      </c>
      <c r="R187" t="s">
        <v>248</v>
      </c>
      <c r="S187" t="s">
        <v>36</v>
      </c>
      <c r="U187" s="6">
        <v>42115.893796296295</v>
      </c>
      <c r="V187" t="s">
        <v>18</v>
      </c>
      <c r="W187" t="s">
        <v>372</v>
      </c>
      <c r="X187" s="6">
        <v>41976.675428240742</v>
      </c>
      <c r="Y187" t="s">
        <v>245</v>
      </c>
      <c r="AB187" t="s">
        <v>200</v>
      </c>
      <c r="AC187" t="s">
        <v>247</v>
      </c>
      <c r="AD187" t="s">
        <v>227</v>
      </c>
      <c r="AE187" t="s">
        <v>230</v>
      </c>
      <c r="AG187" t="s">
        <v>121</v>
      </c>
      <c r="AH187" t="s">
        <v>327</v>
      </c>
      <c r="AI187" t="s">
        <v>121</v>
      </c>
      <c r="AJ187" t="s">
        <v>716</v>
      </c>
      <c r="AK187" t="s">
        <v>121</v>
      </c>
    </row>
    <row r="188" spans="9:37" x14ac:dyDescent="0.3">
      <c r="I188">
        <f ca="1">IF(OR(INDIRECT(A73&amp;ROW())=B93,INDIRECT(A73&amp;ROW())=B94),1,IF(AND(INDIRECT(A73&amp;ROW())=B95,INDIRECT(A96&amp;ROW())=C93),1,IF(AND(INDIRECT(A73&amp;ROW())=B95,INDIRECT(A96&amp;ROW())=C94),1,0)))</f>
        <v>0</v>
      </c>
      <c r="J188">
        <f ca="1">IF(AND(INDIRECT(A73&amp;ROW())=B95,INDIRECT(A96&amp;ROW())=C95),1,IF(AND(INDIRECT(A73&amp;ROW())=B95,INDIRECT(A96&amp;ROW())=C96),1,0))</f>
        <v>0</v>
      </c>
      <c r="K188">
        <f ca="1">DAYS360(INDIRECT(C68&amp;ROW()),TODAY())</f>
        <v>724</v>
      </c>
      <c r="L188">
        <f ca="1">DAYS360(INDIRECT(C69&amp;ROW()),TODAY())</f>
        <v>869</v>
      </c>
      <c r="M188">
        <f ca="1">HYPERLINK(CONCATENATE("https://bugzilla.houston.hp.com:1181/bugzilla/show_bug.cgi?id=",INDIRECT(C70&amp;ROW())),INDIRECT(C70&amp;ROW()))</f>
        <v>54283</v>
      </c>
      <c r="N188">
        <v>54283</v>
      </c>
      <c r="O188" t="s">
        <v>241</v>
      </c>
      <c r="P188" t="s">
        <v>494</v>
      </c>
      <c r="Q188" t="s">
        <v>16</v>
      </c>
      <c r="R188" t="s">
        <v>251</v>
      </c>
      <c r="S188" t="s">
        <v>36</v>
      </c>
      <c r="U188" s="6">
        <v>42122.319062499999</v>
      </c>
      <c r="V188" t="s">
        <v>18</v>
      </c>
      <c r="W188" t="s">
        <v>17</v>
      </c>
      <c r="X188" s="6">
        <v>41976.684965277775</v>
      </c>
      <c r="Y188" t="s">
        <v>122</v>
      </c>
      <c r="AB188" t="s">
        <v>201</v>
      </c>
      <c r="AC188" t="s">
        <v>247</v>
      </c>
      <c r="AD188" t="s">
        <v>227</v>
      </c>
      <c r="AE188" t="s">
        <v>237</v>
      </c>
      <c r="AG188" t="s">
        <v>121</v>
      </c>
      <c r="AH188" t="s">
        <v>327</v>
      </c>
      <c r="AI188" t="s">
        <v>121</v>
      </c>
      <c r="AJ188" t="s">
        <v>717</v>
      </c>
      <c r="AK188" t="s">
        <v>121</v>
      </c>
    </row>
    <row r="189" spans="9:37" x14ac:dyDescent="0.3">
      <c r="I189">
        <f ca="1">IF(OR(INDIRECT(A73&amp;ROW())=B93,INDIRECT(A73&amp;ROW())=B94),1,IF(AND(INDIRECT(A73&amp;ROW())=B95,INDIRECT(A96&amp;ROW())=C93),1,IF(AND(INDIRECT(A73&amp;ROW())=B95,INDIRECT(A96&amp;ROW())=C94),1,0)))</f>
        <v>0</v>
      </c>
      <c r="J189">
        <f ca="1">IF(AND(INDIRECT(A73&amp;ROW())=B95,INDIRECT(A96&amp;ROW())=C95),1,IF(AND(INDIRECT(A73&amp;ROW())=B95,INDIRECT(A96&amp;ROW())=C96),1,0))</f>
        <v>0</v>
      </c>
      <c r="K189">
        <f ca="1">DAYS360(INDIRECT(C68&amp;ROW()),TODAY())</f>
        <v>721</v>
      </c>
      <c r="L189">
        <f ca="1">DAYS360(INDIRECT(C69&amp;ROW()),TODAY())</f>
        <v>869</v>
      </c>
      <c r="M189">
        <f ca="1">HYPERLINK(CONCATENATE("https://bugzilla.houston.hp.com:1181/bugzilla/show_bug.cgi?id=",INDIRECT(C70&amp;ROW())),INDIRECT(C70&amp;ROW()))</f>
        <v>54284</v>
      </c>
      <c r="N189">
        <v>54284</v>
      </c>
      <c r="O189" t="s">
        <v>36</v>
      </c>
      <c r="P189" t="s">
        <v>493</v>
      </c>
      <c r="Q189" t="s">
        <v>16</v>
      </c>
      <c r="R189" t="s">
        <v>248</v>
      </c>
      <c r="S189" t="s">
        <v>36</v>
      </c>
      <c r="U189" s="6">
        <v>42125.44866898148</v>
      </c>
      <c r="V189" t="s">
        <v>18</v>
      </c>
      <c r="W189" t="s">
        <v>339</v>
      </c>
      <c r="X189" s="6">
        <v>41976.687175925923</v>
      </c>
      <c r="Y189" t="s">
        <v>122</v>
      </c>
      <c r="AB189" t="s">
        <v>201</v>
      </c>
      <c r="AC189" t="s">
        <v>247</v>
      </c>
      <c r="AD189" t="s">
        <v>227</v>
      </c>
      <c r="AE189" t="s">
        <v>237</v>
      </c>
      <c r="AG189" t="s">
        <v>121</v>
      </c>
      <c r="AH189" t="s">
        <v>327</v>
      </c>
      <c r="AI189" t="s">
        <v>121</v>
      </c>
      <c r="AJ189" t="s">
        <v>716</v>
      </c>
      <c r="AK189" t="s">
        <v>121</v>
      </c>
    </row>
    <row r="190" spans="9:37" x14ac:dyDescent="0.3">
      <c r="I190">
        <f ca="1">IF(OR(INDIRECT(A73&amp;ROW())=B93,INDIRECT(A73&amp;ROW())=B94),1,IF(AND(INDIRECT(A73&amp;ROW())=B95,INDIRECT(A96&amp;ROW())=C93),1,IF(AND(INDIRECT(A73&amp;ROW())=B95,INDIRECT(A96&amp;ROW())=C94),1,0)))</f>
        <v>0</v>
      </c>
      <c r="J190">
        <f ca="1">IF(AND(INDIRECT(A73&amp;ROW())=B95,INDIRECT(A96&amp;ROW())=C95),1,IF(AND(INDIRECT(A73&amp;ROW())=B95,INDIRECT(A96&amp;ROW())=C96),1,0))</f>
        <v>0</v>
      </c>
      <c r="K190">
        <f ca="1">DAYS360(INDIRECT(C68&amp;ROW()),TODAY())</f>
        <v>721</v>
      </c>
      <c r="L190">
        <f ca="1">DAYS360(INDIRECT(C69&amp;ROW()),TODAY())</f>
        <v>869</v>
      </c>
      <c r="M190">
        <f ca="1">HYPERLINK(CONCATENATE("https://bugzilla.houston.hp.com:1181/bugzilla/show_bug.cgi?id=",INDIRECT(C70&amp;ROW())),INDIRECT(C70&amp;ROW()))</f>
        <v>54292</v>
      </c>
      <c r="N190">
        <v>54292</v>
      </c>
      <c r="O190" t="s">
        <v>65</v>
      </c>
      <c r="P190" t="s">
        <v>502</v>
      </c>
      <c r="Q190" t="s">
        <v>16</v>
      </c>
      <c r="R190" t="s">
        <v>251</v>
      </c>
      <c r="S190" t="s">
        <v>43</v>
      </c>
      <c r="U190" s="6">
        <v>42125.44871527778</v>
      </c>
      <c r="V190" t="s">
        <v>18</v>
      </c>
      <c r="W190" t="s">
        <v>17</v>
      </c>
      <c r="X190" s="6">
        <v>41976.750104166669</v>
      </c>
      <c r="Y190" t="s">
        <v>122</v>
      </c>
      <c r="AB190" t="s">
        <v>201</v>
      </c>
      <c r="AC190" t="s">
        <v>247</v>
      </c>
      <c r="AD190" t="s">
        <v>220</v>
      </c>
      <c r="AE190" t="s">
        <v>219</v>
      </c>
      <c r="AG190" t="s">
        <v>121</v>
      </c>
      <c r="AH190" t="s">
        <v>327</v>
      </c>
      <c r="AI190" t="s">
        <v>121</v>
      </c>
      <c r="AJ190" t="s">
        <v>717</v>
      </c>
      <c r="AK190" t="s">
        <v>121</v>
      </c>
    </row>
    <row r="191" spans="9:37" x14ac:dyDescent="0.3">
      <c r="I191">
        <f ca="1">IF(OR(INDIRECT(A73&amp;ROW())=B93,INDIRECT(A73&amp;ROW())=B94),1,IF(AND(INDIRECT(A73&amp;ROW())=B95,INDIRECT(A96&amp;ROW())=C93),1,IF(AND(INDIRECT(A73&amp;ROW())=B95,INDIRECT(A96&amp;ROW())=C94),1,0)))</f>
        <v>1</v>
      </c>
      <c r="J191">
        <f ca="1">IF(AND(INDIRECT(A73&amp;ROW())=B95,INDIRECT(A96&amp;ROW())=C95),1,IF(AND(INDIRECT(A73&amp;ROW())=B95,INDIRECT(A96&amp;ROW())=C96),1,0))</f>
        <v>0</v>
      </c>
      <c r="K191">
        <f ca="1">DAYS360(INDIRECT(C68&amp;ROW()),TODAY())</f>
        <v>668</v>
      </c>
      <c r="L191">
        <f ca="1">DAYS360(INDIRECT(C69&amp;ROW()),TODAY())</f>
        <v>868</v>
      </c>
      <c r="M191">
        <f ca="1">HYPERLINK(CONCATENATE("https://bugzilla.houston.hp.com:1181/bugzilla/show_bug.cgi?id=",INDIRECT(C70&amp;ROW())),INDIRECT(C70&amp;ROW()))</f>
        <v>54350</v>
      </c>
      <c r="N191">
        <v>54350</v>
      </c>
      <c r="O191" t="s">
        <v>22</v>
      </c>
      <c r="P191" t="s">
        <v>1323</v>
      </c>
      <c r="Q191" t="s">
        <v>25</v>
      </c>
      <c r="R191" t="s">
        <v>251</v>
      </c>
      <c r="S191" t="s">
        <v>364</v>
      </c>
      <c r="T191" t="s">
        <v>610</v>
      </c>
      <c r="U191" s="6">
        <v>42179.41646990741</v>
      </c>
      <c r="V191" t="s">
        <v>40</v>
      </c>
      <c r="W191" t="s">
        <v>512</v>
      </c>
      <c r="X191" s="6">
        <v>41977.548055555555</v>
      </c>
      <c r="Y191" t="s">
        <v>255</v>
      </c>
      <c r="AB191" t="s">
        <v>200</v>
      </c>
      <c r="AC191" t="s">
        <v>247</v>
      </c>
      <c r="AD191" t="s">
        <v>222</v>
      </c>
      <c r="AE191" t="s">
        <v>225</v>
      </c>
      <c r="AG191" t="s">
        <v>121</v>
      </c>
      <c r="AH191" t="s">
        <v>327</v>
      </c>
      <c r="AI191" t="s">
        <v>121</v>
      </c>
      <c r="AJ191" t="s">
        <v>715</v>
      </c>
      <c r="AK191" t="s">
        <v>121</v>
      </c>
    </row>
    <row r="192" spans="9:37" x14ac:dyDescent="0.3">
      <c r="I192">
        <f ca="1">IF(OR(INDIRECT(A73&amp;ROW())=B93,INDIRECT(A73&amp;ROW())=B94),1,IF(AND(INDIRECT(A73&amp;ROW())=B95,INDIRECT(A96&amp;ROW())=C93),1,IF(AND(INDIRECT(A73&amp;ROW())=B95,INDIRECT(A96&amp;ROW())=C94),1,0)))</f>
        <v>0</v>
      </c>
      <c r="J192">
        <f ca="1">IF(AND(INDIRECT(A73&amp;ROW())=B95,INDIRECT(A96&amp;ROW())=C95),1,IF(AND(INDIRECT(A73&amp;ROW())=B95,INDIRECT(A96&amp;ROW())=C96),1,0))</f>
        <v>1</v>
      </c>
      <c r="K192">
        <f ca="1">DAYS360(INDIRECT(C68&amp;ROW()),TODAY())</f>
        <v>721</v>
      </c>
      <c r="L192">
        <f ca="1">DAYS360(INDIRECT(C69&amp;ROW()),TODAY())</f>
        <v>867</v>
      </c>
      <c r="M192">
        <f ca="1">HYPERLINK(CONCATENATE("https://bugzilla.houston.hp.com:1181/bugzilla/show_bug.cgi?id=",INDIRECT(C70&amp;ROW())),INDIRECT(C70&amp;ROW()))</f>
        <v>54393</v>
      </c>
      <c r="N192">
        <v>54393</v>
      </c>
      <c r="O192" t="s">
        <v>22</v>
      </c>
      <c r="P192" t="s">
        <v>505</v>
      </c>
      <c r="Q192" t="s">
        <v>25</v>
      </c>
      <c r="R192" t="s">
        <v>251</v>
      </c>
      <c r="S192" t="s">
        <v>36</v>
      </c>
      <c r="U192" s="6">
        <v>42125.663171296299</v>
      </c>
      <c r="V192" t="s">
        <v>18</v>
      </c>
      <c r="W192" t="s">
        <v>17</v>
      </c>
      <c r="X192" s="6">
        <v>41978.416562500002</v>
      </c>
      <c r="Y192" t="s">
        <v>793</v>
      </c>
      <c r="AB192" t="s">
        <v>201</v>
      </c>
      <c r="AC192" t="s">
        <v>247</v>
      </c>
      <c r="AD192" t="s">
        <v>222</v>
      </c>
      <c r="AE192" t="s">
        <v>225</v>
      </c>
      <c r="AG192" t="s">
        <v>121</v>
      </c>
      <c r="AH192" t="s">
        <v>327</v>
      </c>
      <c r="AI192" t="s">
        <v>121</v>
      </c>
      <c r="AJ192" t="s">
        <v>716</v>
      </c>
      <c r="AK192" t="s">
        <v>121</v>
      </c>
    </row>
    <row r="193" spans="9:37" x14ac:dyDescent="0.3">
      <c r="I193">
        <f ca="1">IF(OR(INDIRECT(A73&amp;ROW())=B93,INDIRECT(A73&amp;ROW())=B94),1,IF(AND(INDIRECT(A73&amp;ROW())=B95,INDIRECT(A96&amp;ROW())=C93),1,IF(AND(INDIRECT(A73&amp;ROW())=B95,INDIRECT(A96&amp;ROW())=C94),1,0)))</f>
        <v>0</v>
      </c>
      <c r="J193">
        <f ca="1">IF(AND(INDIRECT(A73&amp;ROW())=B95,INDIRECT(A96&amp;ROW())=C95),1,IF(AND(INDIRECT(A73&amp;ROW())=B95,INDIRECT(A96&amp;ROW())=C96),1,0))</f>
        <v>1</v>
      </c>
      <c r="K193">
        <f ca="1">DAYS360(INDIRECT(C68&amp;ROW()),TODAY())</f>
        <v>721</v>
      </c>
      <c r="L193">
        <f ca="1">DAYS360(INDIRECT(C69&amp;ROW()),TODAY())</f>
        <v>867</v>
      </c>
      <c r="M193">
        <f ca="1">HYPERLINK(CONCATENATE("https://bugzilla.houston.hp.com:1181/bugzilla/show_bug.cgi?id=",INDIRECT(C70&amp;ROW())),INDIRECT(C70&amp;ROW()))</f>
        <v>54394</v>
      </c>
      <c r="N193">
        <v>54394</v>
      </c>
      <c r="O193" t="s">
        <v>22</v>
      </c>
      <c r="P193" t="s">
        <v>504</v>
      </c>
      <c r="Q193" t="s">
        <v>25</v>
      </c>
      <c r="R193" t="s">
        <v>248</v>
      </c>
      <c r="S193" t="s">
        <v>36</v>
      </c>
      <c r="U193" s="6">
        <v>42125.663148148145</v>
      </c>
      <c r="V193" t="s">
        <v>18</v>
      </c>
      <c r="W193" t="s">
        <v>341</v>
      </c>
      <c r="X193" s="6">
        <v>41978.42869212963</v>
      </c>
      <c r="Y193" t="s">
        <v>793</v>
      </c>
      <c r="AB193" t="s">
        <v>201</v>
      </c>
      <c r="AC193" t="s">
        <v>247</v>
      </c>
      <c r="AD193" t="s">
        <v>222</v>
      </c>
      <c r="AE193" t="s">
        <v>225</v>
      </c>
      <c r="AG193" t="s">
        <v>121</v>
      </c>
      <c r="AH193" t="s">
        <v>327</v>
      </c>
      <c r="AI193" t="s">
        <v>121</v>
      </c>
      <c r="AJ193" t="s">
        <v>716</v>
      </c>
      <c r="AK193" t="s">
        <v>121</v>
      </c>
    </row>
    <row r="194" spans="9:37" x14ac:dyDescent="0.3">
      <c r="I194">
        <f ca="1">IF(OR(INDIRECT(A73&amp;ROW())=B93,INDIRECT(A73&amp;ROW())=B94),1,IF(AND(INDIRECT(A73&amp;ROW())=B95,INDIRECT(A96&amp;ROW())=C93),1,IF(AND(INDIRECT(A73&amp;ROW())=B95,INDIRECT(A96&amp;ROW())=C94),1,0)))</f>
        <v>0</v>
      </c>
      <c r="J194">
        <f ca="1">IF(AND(INDIRECT(A73&amp;ROW())=B95,INDIRECT(A96&amp;ROW())=C95),1,IF(AND(INDIRECT(A73&amp;ROW())=B95,INDIRECT(A96&amp;ROW())=C96),1,0))</f>
        <v>0</v>
      </c>
      <c r="K194">
        <f ca="1">DAYS360(INDIRECT(C68&amp;ROW()),TODAY())</f>
        <v>734</v>
      </c>
      <c r="L194">
        <f ca="1">DAYS360(INDIRECT(C69&amp;ROW()),TODAY())</f>
        <v>860</v>
      </c>
      <c r="M194">
        <f ca="1">HYPERLINK(CONCATENATE("https://bugzilla.houston.hp.com:1181/bugzilla/show_bug.cgi?id=",INDIRECT(C70&amp;ROW())),INDIRECT(C70&amp;ROW()))</f>
        <v>54734</v>
      </c>
      <c r="N194">
        <v>54734</v>
      </c>
      <c r="O194" t="s">
        <v>66</v>
      </c>
      <c r="P194" t="s">
        <v>510</v>
      </c>
      <c r="Q194" t="s">
        <v>16</v>
      </c>
      <c r="R194" t="s">
        <v>251</v>
      </c>
      <c r="S194" t="s">
        <v>36</v>
      </c>
      <c r="T194" t="s">
        <v>794</v>
      </c>
      <c r="U194" s="6">
        <v>42112.773888888885</v>
      </c>
      <c r="V194" t="s">
        <v>18</v>
      </c>
      <c r="W194" t="s">
        <v>17</v>
      </c>
      <c r="X194" s="6">
        <v>41985.403136574074</v>
      </c>
      <c r="Y194" t="s">
        <v>122</v>
      </c>
      <c r="AB194" t="s">
        <v>201</v>
      </c>
      <c r="AC194" t="s">
        <v>247</v>
      </c>
      <c r="AD194" t="s">
        <v>220</v>
      </c>
      <c r="AE194" t="s">
        <v>223</v>
      </c>
      <c r="AG194" t="s">
        <v>121</v>
      </c>
      <c r="AH194" t="s">
        <v>327</v>
      </c>
      <c r="AI194" t="s">
        <v>121</v>
      </c>
      <c r="AJ194" t="s">
        <v>717</v>
      </c>
      <c r="AK194" t="s">
        <v>121</v>
      </c>
    </row>
    <row r="195" spans="9:37" x14ac:dyDescent="0.3">
      <c r="I195">
        <f ca="1">IF(OR(INDIRECT(A73&amp;ROW())=B93,INDIRECT(A73&amp;ROW())=B94),1,IF(AND(INDIRECT(A73&amp;ROW())=B95,INDIRECT(A96&amp;ROW())=C93),1,IF(AND(INDIRECT(A73&amp;ROW())=B95,INDIRECT(A96&amp;ROW())=C94),1,0)))</f>
        <v>0</v>
      </c>
      <c r="J195">
        <f ca="1">IF(AND(INDIRECT(A73&amp;ROW())=B95,INDIRECT(A96&amp;ROW())=C95),1,IF(AND(INDIRECT(A73&amp;ROW())=B95,INDIRECT(A96&amp;ROW())=C96),1,0))</f>
        <v>0</v>
      </c>
      <c r="K195">
        <f ca="1">DAYS360(INDIRECT(C68&amp;ROW()),TODAY())</f>
        <v>734</v>
      </c>
      <c r="L195">
        <f ca="1">DAYS360(INDIRECT(C69&amp;ROW()),TODAY())</f>
        <v>860</v>
      </c>
      <c r="M195">
        <f ca="1">HYPERLINK(CONCATENATE("https://bugzilla.houston.hp.com:1181/bugzilla/show_bug.cgi?id=",INDIRECT(C70&amp;ROW())),INDIRECT(C70&amp;ROW()))</f>
        <v>54736</v>
      </c>
      <c r="N195">
        <v>54736</v>
      </c>
      <c r="O195" t="s">
        <v>66</v>
      </c>
      <c r="P195" t="s">
        <v>509</v>
      </c>
      <c r="Q195" t="s">
        <v>16</v>
      </c>
      <c r="R195" t="s">
        <v>248</v>
      </c>
      <c r="S195" t="s">
        <v>36</v>
      </c>
      <c r="T195" t="s">
        <v>794</v>
      </c>
      <c r="U195" s="6">
        <v>42112.773912037039</v>
      </c>
      <c r="V195" t="s">
        <v>18</v>
      </c>
      <c r="W195" t="s">
        <v>17</v>
      </c>
      <c r="X195" s="6">
        <v>41985.403819444444</v>
      </c>
      <c r="Y195" t="s">
        <v>122</v>
      </c>
      <c r="AB195" t="s">
        <v>201</v>
      </c>
      <c r="AC195" t="s">
        <v>247</v>
      </c>
      <c r="AD195" t="s">
        <v>220</v>
      </c>
      <c r="AE195" t="s">
        <v>223</v>
      </c>
      <c r="AG195" t="s">
        <v>121</v>
      </c>
      <c r="AH195" t="s">
        <v>327</v>
      </c>
      <c r="AI195" t="s">
        <v>121</v>
      </c>
      <c r="AJ195" t="s">
        <v>716</v>
      </c>
      <c r="AK195" t="s">
        <v>121</v>
      </c>
    </row>
    <row r="196" spans="9:37" x14ac:dyDescent="0.3">
      <c r="I196">
        <f ca="1">IF(OR(INDIRECT(A73&amp;ROW())=B93,INDIRECT(A73&amp;ROW())=B94),1,IF(AND(INDIRECT(A73&amp;ROW())=B95,INDIRECT(A96&amp;ROW())=C93),1,IF(AND(INDIRECT(A73&amp;ROW())=B95,INDIRECT(A96&amp;ROW())=C94),1,0)))</f>
        <v>1</v>
      </c>
      <c r="J196">
        <f ca="1">IF(AND(INDIRECT(A73&amp;ROW())=B95,INDIRECT(A96&amp;ROW())=C95),1,IF(AND(INDIRECT(A73&amp;ROW())=B95,INDIRECT(A96&amp;ROW())=C96),1,0))</f>
        <v>0</v>
      </c>
      <c r="K196">
        <f ca="1">DAYS360(INDIRECT(C68&amp;ROW()),TODAY())</f>
        <v>721</v>
      </c>
      <c r="L196">
        <f ca="1">DAYS360(INDIRECT(C69&amp;ROW()),TODAY())</f>
        <v>857</v>
      </c>
      <c r="M196">
        <f ca="1">HYPERLINK(CONCATENATE("https://bugzilla.houston.hp.com:1181/bugzilla/show_bug.cgi?id=",INDIRECT(C70&amp;ROW())),INDIRECT(C70&amp;ROW()))</f>
        <v>54823</v>
      </c>
      <c r="N196">
        <v>54823</v>
      </c>
      <c r="O196" t="s">
        <v>45</v>
      </c>
      <c r="P196" t="s">
        <v>524</v>
      </c>
      <c r="Q196" t="s">
        <v>25</v>
      </c>
      <c r="R196" t="s">
        <v>251</v>
      </c>
      <c r="S196" t="s">
        <v>345</v>
      </c>
      <c r="U196" s="6">
        <v>42125.67114583333</v>
      </c>
      <c r="V196" t="s">
        <v>18</v>
      </c>
      <c r="W196" t="s">
        <v>17</v>
      </c>
      <c r="X196" s="6">
        <v>41988.671932870369</v>
      </c>
      <c r="Y196" t="s">
        <v>244</v>
      </c>
      <c r="AB196" t="s">
        <v>200</v>
      </c>
      <c r="AC196" t="s">
        <v>247</v>
      </c>
      <c r="AD196" t="s">
        <v>227</v>
      </c>
      <c r="AE196" t="s">
        <v>226</v>
      </c>
      <c r="AG196" t="s">
        <v>121</v>
      </c>
      <c r="AH196" t="s">
        <v>327</v>
      </c>
      <c r="AI196" t="s">
        <v>121</v>
      </c>
      <c r="AJ196" t="s">
        <v>715</v>
      </c>
      <c r="AK196" t="s">
        <v>121</v>
      </c>
    </row>
    <row r="197" spans="9:37" x14ac:dyDescent="0.3">
      <c r="I197">
        <f ca="1">IF(OR(INDIRECT(A73&amp;ROW())=B93,INDIRECT(A73&amp;ROW())=B94),1,IF(AND(INDIRECT(A73&amp;ROW())=B95,INDIRECT(A96&amp;ROW())=C93),1,IF(AND(INDIRECT(A73&amp;ROW())=B95,INDIRECT(A96&amp;ROW())=C94),1,0)))</f>
        <v>1</v>
      </c>
      <c r="J197">
        <f ca="1">IF(AND(INDIRECT(A73&amp;ROW())=B95,INDIRECT(A96&amp;ROW())=C95),1,IF(AND(INDIRECT(A73&amp;ROW())=B95,INDIRECT(A96&amp;ROW())=C96),1,0))</f>
        <v>0</v>
      </c>
      <c r="K197">
        <f ca="1">DAYS360(INDIRECT(C68&amp;ROW()),TODAY())</f>
        <v>769</v>
      </c>
      <c r="L197">
        <f ca="1">DAYS360(INDIRECT(C69&amp;ROW()),TODAY())</f>
        <v>856</v>
      </c>
      <c r="M197">
        <f ca="1">HYPERLINK(CONCATENATE("https://bugzilla.houston.hp.com:1181/bugzilla/show_bug.cgi?id=",INDIRECT(C70&amp;ROW())),INDIRECT(C70&amp;ROW()))</f>
        <v>54867</v>
      </c>
      <c r="N197">
        <v>54867</v>
      </c>
      <c r="O197" t="s">
        <v>740</v>
      </c>
      <c r="P197" t="s">
        <v>513</v>
      </c>
      <c r="Q197" t="s">
        <v>25</v>
      </c>
      <c r="R197" t="s">
        <v>289</v>
      </c>
      <c r="S197" t="s">
        <v>36</v>
      </c>
      <c r="U197" s="6">
        <v>42076.53800925926</v>
      </c>
      <c r="V197" t="s">
        <v>18</v>
      </c>
      <c r="W197" t="s">
        <v>17</v>
      </c>
      <c r="X197" s="6">
        <v>41989.384004629632</v>
      </c>
      <c r="Y197" t="s">
        <v>244</v>
      </c>
      <c r="AB197" t="s">
        <v>200</v>
      </c>
      <c r="AC197" t="s">
        <v>247</v>
      </c>
      <c r="AD197" t="s">
        <v>227</v>
      </c>
      <c r="AE197" t="s">
        <v>230</v>
      </c>
      <c r="AG197" t="s">
        <v>121</v>
      </c>
      <c r="AH197" t="s">
        <v>327</v>
      </c>
      <c r="AI197" t="s">
        <v>362</v>
      </c>
      <c r="AJ197" t="s">
        <v>715</v>
      </c>
      <c r="AK197" t="s">
        <v>121</v>
      </c>
    </row>
    <row r="198" spans="9:37" x14ac:dyDescent="0.3">
      <c r="I198">
        <f ca="1">IF(OR(INDIRECT(A73&amp;ROW())=B93,INDIRECT(A73&amp;ROW())=B94),1,IF(AND(INDIRECT(A73&amp;ROW())=B95,INDIRECT(A96&amp;ROW())=C93),1,IF(AND(INDIRECT(A73&amp;ROW())=B95,INDIRECT(A96&amp;ROW())=C94),1,0)))</f>
        <v>1</v>
      </c>
      <c r="J198">
        <f ca="1">IF(AND(INDIRECT(A73&amp;ROW())=B95,INDIRECT(A96&amp;ROW())=C95),1,IF(AND(INDIRECT(A73&amp;ROW())=B95,INDIRECT(A96&amp;ROW())=C96),1,0))</f>
        <v>0</v>
      </c>
      <c r="K198">
        <f ca="1">DAYS360(INDIRECT(C68&amp;ROW()),TODAY())</f>
        <v>721</v>
      </c>
      <c r="L198">
        <f ca="1">DAYS360(INDIRECT(C69&amp;ROW()),TODAY())</f>
        <v>856</v>
      </c>
      <c r="M198">
        <f ca="1">HYPERLINK(CONCATENATE("https://bugzilla.houston.hp.com:1181/bugzilla/show_bug.cgi?id=",INDIRECT(C70&amp;ROW())),INDIRECT(C70&amp;ROW()))</f>
        <v>54868</v>
      </c>
      <c r="N198">
        <v>54868</v>
      </c>
      <c r="O198" t="s">
        <v>45</v>
      </c>
      <c r="P198" t="s">
        <v>522</v>
      </c>
      <c r="Q198" t="s">
        <v>25</v>
      </c>
      <c r="R198" t="s">
        <v>248</v>
      </c>
      <c r="S198" t="s">
        <v>36</v>
      </c>
      <c r="U198" s="6">
        <v>42125.671122685184</v>
      </c>
      <c r="V198" t="s">
        <v>18</v>
      </c>
      <c r="W198" t="s">
        <v>17</v>
      </c>
      <c r="X198" s="6">
        <v>41989.384074074071</v>
      </c>
      <c r="Y198" t="s">
        <v>244</v>
      </c>
      <c r="AB198" t="s">
        <v>200</v>
      </c>
      <c r="AC198" t="s">
        <v>247</v>
      </c>
      <c r="AD198" t="s">
        <v>227</v>
      </c>
      <c r="AE198" t="s">
        <v>226</v>
      </c>
      <c r="AG198" t="s">
        <v>121</v>
      </c>
      <c r="AH198" t="s">
        <v>327</v>
      </c>
      <c r="AI198" t="s">
        <v>121</v>
      </c>
      <c r="AJ198" t="s">
        <v>715</v>
      </c>
      <c r="AK198" t="s">
        <v>121</v>
      </c>
    </row>
    <row r="199" spans="9:37" x14ac:dyDescent="0.3">
      <c r="I199">
        <f ca="1">IF(OR(INDIRECT(A73&amp;ROW())=B93,INDIRECT(A73&amp;ROW())=B94),1,IF(AND(INDIRECT(A73&amp;ROW())=B95,INDIRECT(A96&amp;ROW())=C93),1,IF(AND(INDIRECT(A73&amp;ROW())=B95,INDIRECT(A96&amp;ROW())=C94),1,0)))</f>
        <v>0</v>
      </c>
      <c r="J199">
        <f ca="1">IF(AND(INDIRECT(A73&amp;ROW())=B95,INDIRECT(A96&amp;ROW())=C95),1,IF(AND(INDIRECT(A73&amp;ROW())=B95,INDIRECT(A96&amp;ROW())=C96),1,0))</f>
        <v>0</v>
      </c>
      <c r="K199">
        <f ca="1">DAYS360(INDIRECT(C68&amp;ROW()),TODAY())</f>
        <v>718</v>
      </c>
      <c r="L199">
        <f ca="1">DAYS360(INDIRECT(C69&amp;ROW()),TODAY())</f>
        <v>856</v>
      </c>
      <c r="M199">
        <f ca="1">HYPERLINK(CONCATENATE("https://bugzilla.houston.hp.com:1181/bugzilla/show_bug.cgi?id=",INDIRECT(C70&amp;ROW())),INDIRECT(C70&amp;ROW()))</f>
        <v>54893</v>
      </c>
      <c r="N199">
        <v>54893</v>
      </c>
      <c r="O199" t="s">
        <v>21</v>
      </c>
      <c r="P199" t="s">
        <v>521</v>
      </c>
      <c r="Q199" t="s">
        <v>16</v>
      </c>
      <c r="R199" t="s">
        <v>251</v>
      </c>
      <c r="S199" t="s">
        <v>31</v>
      </c>
      <c r="U199" s="6">
        <v>42128.473263888889</v>
      </c>
      <c r="V199" t="s">
        <v>18</v>
      </c>
      <c r="W199" t="s">
        <v>17</v>
      </c>
      <c r="X199" s="6">
        <v>41989.673946759256</v>
      </c>
      <c r="Y199" t="s">
        <v>255</v>
      </c>
      <c r="AB199" t="s">
        <v>200</v>
      </c>
      <c r="AC199" t="s">
        <v>247</v>
      </c>
      <c r="AD199" t="s">
        <v>222</v>
      </c>
      <c r="AE199" t="s">
        <v>240</v>
      </c>
      <c r="AG199" t="s">
        <v>121</v>
      </c>
      <c r="AH199" t="s">
        <v>327</v>
      </c>
      <c r="AI199" t="s">
        <v>121</v>
      </c>
      <c r="AJ199" t="s">
        <v>716</v>
      </c>
      <c r="AK199" t="s">
        <v>121</v>
      </c>
    </row>
    <row r="200" spans="9:37" x14ac:dyDescent="0.3">
      <c r="I200">
        <f ca="1">IF(OR(INDIRECT(A73&amp;ROW())=B93,INDIRECT(A73&amp;ROW())=B94),1,IF(AND(INDIRECT(A73&amp;ROW())=B95,INDIRECT(A96&amp;ROW())=C93),1,IF(AND(INDIRECT(A73&amp;ROW())=B95,INDIRECT(A96&amp;ROW())=C94),1,0)))</f>
        <v>1</v>
      </c>
      <c r="J200">
        <f ca="1">IF(AND(INDIRECT(A73&amp;ROW())=B95,INDIRECT(A96&amp;ROW())=C95),1,IF(AND(INDIRECT(A73&amp;ROW())=B95,INDIRECT(A96&amp;ROW())=C96),1,0))</f>
        <v>0</v>
      </c>
      <c r="K200">
        <f ca="1">DAYS360(INDIRECT(C68&amp;ROW()),TODAY())</f>
        <v>710</v>
      </c>
      <c r="L200">
        <f ca="1">DAYS360(INDIRECT(C69&amp;ROW()),TODAY())</f>
        <v>855</v>
      </c>
      <c r="M200">
        <f ca="1">HYPERLINK(CONCATENATE("https://bugzilla.houston.hp.com:1181/bugzilla/show_bug.cgi?id=",INDIRECT(C70&amp;ROW())),INDIRECT(C70&amp;ROW()))</f>
        <v>54914</v>
      </c>
      <c r="N200">
        <v>54914</v>
      </c>
      <c r="O200" t="s">
        <v>156</v>
      </c>
      <c r="P200" t="s">
        <v>520</v>
      </c>
      <c r="Q200" t="s">
        <v>25</v>
      </c>
      <c r="R200" t="s">
        <v>251</v>
      </c>
      <c r="S200" t="s">
        <v>296</v>
      </c>
      <c r="U200" s="6">
        <v>42136.018703703703</v>
      </c>
      <c r="V200" t="s">
        <v>35</v>
      </c>
      <c r="W200" t="s">
        <v>17</v>
      </c>
      <c r="X200" s="6">
        <v>41990.217222222222</v>
      </c>
      <c r="Y200" t="s">
        <v>342</v>
      </c>
      <c r="AB200" t="s">
        <v>200</v>
      </c>
      <c r="AC200" t="s">
        <v>247</v>
      </c>
      <c r="AD200" t="s">
        <v>220</v>
      </c>
      <c r="AE200" t="s">
        <v>219</v>
      </c>
      <c r="AG200" t="s">
        <v>121</v>
      </c>
      <c r="AH200" t="s">
        <v>327</v>
      </c>
      <c r="AI200" t="s">
        <v>121</v>
      </c>
      <c r="AJ200" t="s">
        <v>715</v>
      </c>
      <c r="AK200" t="s">
        <v>121</v>
      </c>
    </row>
    <row r="201" spans="9:37" x14ac:dyDescent="0.3">
      <c r="I201">
        <f ca="1">IF(OR(INDIRECT(A73&amp;ROW())=B93,INDIRECT(A73&amp;ROW())=B94),1,IF(AND(INDIRECT(A73&amp;ROW())=B95,INDIRECT(A96&amp;ROW())=C93),1,IF(AND(INDIRECT(A73&amp;ROW())=B95,INDIRECT(A96&amp;ROW())=C94),1,0)))</f>
        <v>0</v>
      </c>
      <c r="J201">
        <f ca="1">IF(AND(INDIRECT(A73&amp;ROW())=B95,INDIRECT(A96&amp;ROW())=C95),1,IF(AND(INDIRECT(A73&amp;ROW())=B95,INDIRECT(A96&amp;ROW())=C96),1,0))</f>
        <v>1</v>
      </c>
      <c r="K201">
        <f ca="1">DAYS360(INDIRECT(C68&amp;ROW()),TODAY())</f>
        <v>771</v>
      </c>
      <c r="L201">
        <f ca="1">DAYS360(INDIRECT(C69&amp;ROW()),TODAY())</f>
        <v>854</v>
      </c>
      <c r="M201">
        <f ca="1">HYPERLINK(CONCATENATE("https://bugzilla.houston.hp.com:1181/bugzilla/show_bug.cgi?id=",INDIRECT(C70&amp;ROW())),INDIRECT(C70&amp;ROW()))</f>
        <v>54986</v>
      </c>
      <c r="N201">
        <v>54986</v>
      </c>
      <c r="O201" t="s">
        <v>94</v>
      </c>
      <c r="P201" t="s">
        <v>519</v>
      </c>
      <c r="Q201" t="s">
        <v>25</v>
      </c>
      <c r="R201" t="s">
        <v>251</v>
      </c>
      <c r="S201" t="s">
        <v>94</v>
      </c>
      <c r="U201" s="6">
        <v>42074.558310185188</v>
      </c>
      <c r="V201" t="s">
        <v>35</v>
      </c>
      <c r="W201" t="s">
        <v>17</v>
      </c>
      <c r="X201" s="6">
        <v>41991.504074074073</v>
      </c>
      <c r="Y201" t="s">
        <v>118</v>
      </c>
      <c r="AB201" t="s">
        <v>201</v>
      </c>
      <c r="AC201" t="s">
        <v>247</v>
      </c>
      <c r="AD201" t="s">
        <v>227</v>
      </c>
      <c r="AE201" t="s">
        <v>226</v>
      </c>
      <c r="AG201" t="s">
        <v>121</v>
      </c>
      <c r="AH201" t="s">
        <v>327</v>
      </c>
      <c r="AI201" t="s">
        <v>121</v>
      </c>
      <c r="AJ201" t="s">
        <v>716</v>
      </c>
      <c r="AK201" t="s">
        <v>121</v>
      </c>
    </row>
    <row r="202" spans="9:37" x14ac:dyDescent="0.3">
      <c r="I202">
        <f ca="1">IF(OR(INDIRECT(A73&amp;ROW())=B93,INDIRECT(A73&amp;ROW())=B94),1,IF(AND(INDIRECT(A73&amp;ROW())=B95,INDIRECT(A96&amp;ROW())=C93),1,IF(AND(INDIRECT(A73&amp;ROW())=B95,INDIRECT(A96&amp;ROW())=C94),1,0)))</f>
        <v>0</v>
      </c>
      <c r="J202">
        <f ca="1">IF(AND(INDIRECT(A73&amp;ROW())=B95,INDIRECT(A96&amp;ROW())=C95),1,IF(AND(INDIRECT(A73&amp;ROW())=B95,INDIRECT(A96&amp;ROW())=C96),1,0))</f>
        <v>1</v>
      </c>
      <c r="K202">
        <f ca="1">DAYS360(INDIRECT(C68&amp;ROW()),TODAY())</f>
        <v>769</v>
      </c>
      <c r="L202">
        <f ca="1">DAYS360(INDIRECT(C69&amp;ROW()),TODAY())</f>
        <v>854</v>
      </c>
      <c r="M202">
        <f ca="1">HYPERLINK(CONCATENATE("https://bugzilla.houston.hp.com:1181/bugzilla/show_bug.cgi?id=",INDIRECT(C70&amp;ROW())),INDIRECT(C70&amp;ROW()))</f>
        <v>54988</v>
      </c>
      <c r="N202">
        <v>54988</v>
      </c>
      <c r="O202" t="s">
        <v>94</v>
      </c>
      <c r="P202" t="s">
        <v>518</v>
      </c>
      <c r="Q202" t="s">
        <v>25</v>
      </c>
      <c r="R202" t="s">
        <v>248</v>
      </c>
      <c r="S202" t="s">
        <v>44</v>
      </c>
      <c r="U202" s="6">
        <v>42076.528506944444</v>
      </c>
      <c r="V202" t="s">
        <v>18</v>
      </c>
      <c r="W202" t="s">
        <v>17</v>
      </c>
      <c r="X202" s="6">
        <v>41991.541261574072</v>
      </c>
      <c r="Y202" t="s">
        <v>118</v>
      </c>
      <c r="AB202" t="s">
        <v>201</v>
      </c>
      <c r="AC202" t="s">
        <v>247</v>
      </c>
      <c r="AD202" t="s">
        <v>227</v>
      </c>
      <c r="AE202" t="s">
        <v>226</v>
      </c>
      <c r="AG202" t="s">
        <v>121</v>
      </c>
      <c r="AH202" t="s">
        <v>327</v>
      </c>
      <c r="AI202" t="s">
        <v>121</v>
      </c>
      <c r="AJ202" t="s">
        <v>716</v>
      </c>
      <c r="AK202" t="s">
        <v>121</v>
      </c>
    </row>
    <row r="203" spans="9:37" x14ac:dyDescent="0.3">
      <c r="I203">
        <f ca="1">IF(OR(INDIRECT(A73&amp;ROW())=B93,INDIRECT(A73&amp;ROW())=B94),1,IF(AND(INDIRECT(A73&amp;ROW())=B95,INDIRECT(A96&amp;ROW())=C93),1,IF(AND(INDIRECT(A73&amp;ROW())=B95,INDIRECT(A96&amp;ROW())=C94),1,0)))</f>
        <v>0</v>
      </c>
      <c r="J203">
        <f ca="1">IF(AND(INDIRECT(A73&amp;ROW())=B95,INDIRECT(A96&amp;ROW())=C95),1,IF(AND(INDIRECT(A73&amp;ROW())=B95,INDIRECT(A96&amp;ROW())=C96),1,0))</f>
        <v>0</v>
      </c>
      <c r="K203">
        <f ca="1">DAYS360(INDIRECT(C68&amp;ROW()),TODAY())</f>
        <v>674</v>
      </c>
      <c r="L203">
        <f ca="1">DAYS360(INDIRECT(C69&amp;ROW()),TODAY())</f>
        <v>854</v>
      </c>
      <c r="M203">
        <f ca="1">HYPERLINK(CONCATENATE("https://bugzilla.houston.hp.com:1181/bugzilla/show_bug.cgi?id=",INDIRECT(C70&amp;ROW())),INDIRECT(C70&amp;ROW()))</f>
        <v>54992</v>
      </c>
      <c r="N203">
        <v>54992</v>
      </c>
      <c r="O203" t="s">
        <v>250</v>
      </c>
      <c r="P203" t="s">
        <v>517</v>
      </c>
      <c r="Q203" t="s">
        <v>16</v>
      </c>
      <c r="R203" t="s">
        <v>251</v>
      </c>
      <c r="S203" t="s">
        <v>24</v>
      </c>
      <c r="U203" s="6">
        <v>42173.524733796294</v>
      </c>
      <c r="V203" t="s">
        <v>18</v>
      </c>
      <c r="W203" t="s">
        <v>17</v>
      </c>
      <c r="X203" s="6">
        <v>41991.587407407409</v>
      </c>
      <c r="Y203" t="s">
        <v>255</v>
      </c>
      <c r="AB203" t="s">
        <v>200</v>
      </c>
      <c r="AC203" t="s">
        <v>247</v>
      </c>
      <c r="AD203" t="s">
        <v>222</v>
      </c>
      <c r="AE203" t="s">
        <v>221</v>
      </c>
      <c r="AG203" t="s">
        <v>121</v>
      </c>
      <c r="AH203" t="s">
        <v>327</v>
      </c>
      <c r="AI203" t="s">
        <v>121</v>
      </c>
      <c r="AJ203" t="s">
        <v>716</v>
      </c>
      <c r="AK203" t="s">
        <v>121</v>
      </c>
    </row>
    <row r="204" spans="9:37" x14ac:dyDescent="0.3">
      <c r="I204">
        <f ca="1">IF(OR(INDIRECT(A73&amp;ROW())=B93,INDIRECT(A73&amp;ROW())=B94),1,IF(AND(INDIRECT(A73&amp;ROW())=B95,INDIRECT(A96&amp;ROW())=C93),1,IF(AND(INDIRECT(A73&amp;ROW())=B95,INDIRECT(A96&amp;ROW())=C94),1,0)))</f>
        <v>1</v>
      </c>
      <c r="J204">
        <f ca="1">IF(AND(INDIRECT(A73&amp;ROW())=B95,INDIRECT(A96&amp;ROW())=C95),1,IF(AND(INDIRECT(A73&amp;ROW())=B95,INDIRECT(A96&amp;ROW())=C96),1,0))</f>
        <v>0</v>
      </c>
      <c r="K204">
        <f ca="1">DAYS360(INDIRECT(C68&amp;ROW()),TODAY())</f>
        <v>701</v>
      </c>
      <c r="L204">
        <f ca="1">DAYS360(INDIRECT(C69&amp;ROW()),TODAY())</f>
        <v>853</v>
      </c>
      <c r="M204">
        <f ca="1">HYPERLINK(CONCATENATE("https://bugzilla.houston.hp.com:1181/bugzilla/show_bug.cgi?id=",INDIRECT(C70&amp;ROW())),INDIRECT(C70&amp;ROW()))</f>
        <v>55017</v>
      </c>
      <c r="N204">
        <v>55017</v>
      </c>
      <c r="O204" t="s">
        <v>55</v>
      </c>
      <c r="P204" t="s">
        <v>539</v>
      </c>
      <c r="Q204" t="s">
        <v>25</v>
      </c>
      <c r="R204" t="s">
        <v>251</v>
      </c>
      <c r="S204" t="s">
        <v>516</v>
      </c>
      <c r="U204" s="6">
        <v>42145.412430555552</v>
      </c>
      <c r="V204" t="s">
        <v>40</v>
      </c>
      <c r="W204" t="s">
        <v>17</v>
      </c>
      <c r="X204" s="6">
        <v>41992.048368055555</v>
      </c>
      <c r="Y204" t="s">
        <v>342</v>
      </c>
      <c r="Z204" t="s">
        <v>810</v>
      </c>
      <c r="AB204" t="s">
        <v>200</v>
      </c>
      <c r="AC204" t="s">
        <v>247</v>
      </c>
      <c r="AD204" t="s">
        <v>220</v>
      </c>
      <c r="AE204" t="s">
        <v>219</v>
      </c>
      <c r="AG204" t="s">
        <v>121</v>
      </c>
      <c r="AH204" t="s">
        <v>327</v>
      </c>
      <c r="AI204" t="s">
        <v>121</v>
      </c>
      <c r="AJ204" t="s">
        <v>715</v>
      </c>
      <c r="AK204" t="s">
        <v>121</v>
      </c>
    </row>
    <row r="205" spans="9:37" x14ac:dyDescent="0.3">
      <c r="I205">
        <f ca="1">IF(OR(INDIRECT(A73&amp;ROW())=B93,INDIRECT(A73&amp;ROW())=B94),1,IF(AND(INDIRECT(A73&amp;ROW())=B95,INDIRECT(A96&amp;ROW())=C93),1,IF(AND(INDIRECT(A73&amp;ROW())=B95,INDIRECT(A96&amp;ROW())=C94),1,0)))</f>
        <v>1</v>
      </c>
      <c r="J205">
        <f ca="1">IF(AND(INDIRECT(A73&amp;ROW())=B95,INDIRECT(A96&amp;ROW())=C95),1,IF(AND(INDIRECT(A73&amp;ROW())=B95,INDIRECT(A96&amp;ROW())=C96),1,0))</f>
        <v>0</v>
      </c>
      <c r="K205">
        <f ca="1">DAYS360(INDIRECT(C68&amp;ROW()),TODAY())</f>
        <v>769</v>
      </c>
      <c r="L205">
        <f ca="1">DAYS360(INDIRECT(C69&amp;ROW()),TODAY())</f>
        <v>853</v>
      </c>
      <c r="M205">
        <f ca="1">HYPERLINK(CONCATENATE("https://bugzilla.houston.hp.com:1181/bugzilla/show_bug.cgi?id=",INDIRECT(C70&amp;ROW())),INDIRECT(C70&amp;ROW()))</f>
        <v>55057</v>
      </c>
      <c r="N205">
        <v>55057</v>
      </c>
      <c r="O205" t="s">
        <v>94</v>
      </c>
      <c r="P205" t="s">
        <v>515</v>
      </c>
      <c r="Q205" t="s">
        <v>25</v>
      </c>
      <c r="R205" t="s">
        <v>248</v>
      </c>
      <c r="S205" t="s">
        <v>36</v>
      </c>
      <c r="U205" s="6">
        <v>42076.539953703701</v>
      </c>
      <c r="V205" t="s">
        <v>18</v>
      </c>
      <c r="W205" t="s">
        <v>248</v>
      </c>
      <c r="X205" s="6">
        <v>41992.583391203705</v>
      </c>
      <c r="Y205" t="s">
        <v>119</v>
      </c>
      <c r="AB205" t="s">
        <v>200</v>
      </c>
      <c r="AC205" t="s">
        <v>247</v>
      </c>
      <c r="AD205" t="s">
        <v>227</v>
      </c>
      <c r="AE205" t="s">
        <v>226</v>
      </c>
      <c r="AG205" t="s">
        <v>121</v>
      </c>
      <c r="AH205" t="s">
        <v>327</v>
      </c>
      <c r="AI205" t="s">
        <v>121</v>
      </c>
      <c r="AJ205" t="s">
        <v>715</v>
      </c>
      <c r="AK205" t="s">
        <v>121</v>
      </c>
    </row>
    <row r="206" spans="9:37" x14ac:dyDescent="0.3">
      <c r="I206">
        <f ca="1">IF(OR(INDIRECT(A73&amp;ROW())=B93,INDIRECT(A73&amp;ROW())=B94),1,IF(AND(INDIRECT(A73&amp;ROW())=B95,INDIRECT(A96&amp;ROW())=C93),1,IF(AND(INDIRECT(A73&amp;ROW())=B95,INDIRECT(A96&amp;ROW())=C94),1,0)))</f>
        <v>0</v>
      </c>
      <c r="J206">
        <f ca="1">IF(AND(INDIRECT(A73&amp;ROW())=B95,INDIRECT(A96&amp;ROW())=C95),1,IF(AND(INDIRECT(A73&amp;ROW())=B95,INDIRECT(A96&amp;ROW())=C96),1,0))</f>
        <v>1</v>
      </c>
      <c r="K206">
        <f ca="1">DAYS360(INDIRECT(C68&amp;ROW()),TODAY())</f>
        <v>730</v>
      </c>
      <c r="L206">
        <f ca="1">DAYS360(INDIRECT(C69&amp;ROW()),TODAY())</f>
        <v>850</v>
      </c>
      <c r="M206">
        <f ca="1">HYPERLINK(CONCATENATE("https://bugzilla.houston.hp.com:1181/bugzilla/show_bug.cgi?id=",INDIRECT(C70&amp;ROW())),INDIRECT(C70&amp;ROW()))</f>
        <v>55094</v>
      </c>
      <c r="N206">
        <v>55094</v>
      </c>
      <c r="O206" t="s">
        <v>545</v>
      </c>
      <c r="P206" t="s">
        <v>530</v>
      </c>
      <c r="Q206" t="s">
        <v>25</v>
      </c>
      <c r="R206" t="s">
        <v>251</v>
      </c>
      <c r="S206" t="s">
        <v>316</v>
      </c>
      <c r="U206" s="6">
        <v>42116.73296296296</v>
      </c>
      <c r="V206" t="s">
        <v>40</v>
      </c>
      <c r="W206" t="s">
        <v>17</v>
      </c>
      <c r="X206" s="6">
        <v>41995.420844907407</v>
      </c>
      <c r="Y206" t="s">
        <v>255</v>
      </c>
      <c r="AB206" t="s">
        <v>201</v>
      </c>
      <c r="AC206" t="s">
        <v>247</v>
      </c>
      <c r="AD206" t="s">
        <v>222</v>
      </c>
      <c r="AE206" t="s">
        <v>221</v>
      </c>
      <c r="AG206" t="s">
        <v>121</v>
      </c>
      <c r="AH206" t="s">
        <v>327</v>
      </c>
      <c r="AI206" t="s">
        <v>121</v>
      </c>
      <c r="AJ206" t="s">
        <v>716</v>
      </c>
      <c r="AK206" t="s">
        <v>121</v>
      </c>
    </row>
    <row r="207" spans="9:37" x14ac:dyDescent="0.3">
      <c r="I207">
        <f ca="1">IF(OR(INDIRECT(A73&amp;ROW())=B93,INDIRECT(A73&amp;ROW())=B94),1,IF(AND(INDIRECT(A73&amp;ROW())=B95,INDIRECT(A96&amp;ROW())=C93),1,IF(AND(INDIRECT(A73&amp;ROW())=B95,INDIRECT(A96&amp;ROW())=C94),1,0)))</f>
        <v>0</v>
      </c>
      <c r="J207">
        <f ca="1">IF(AND(INDIRECT(A73&amp;ROW())=B95,INDIRECT(A96&amp;ROW())=C95),1,IF(AND(INDIRECT(A73&amp;ROW())=B95,INDIRECT(A96&amp;ROW())=C96),1,0))</f>
        <v>0</v>
      </c>
      <c r="K207">
        <f ca="1">DAYS360(INDIRECT(C68&amp;ROW()),TODAY())</f>
        <v>670</v>
      </c>
      <c r="L207">
        <f ca="1">DAYS360(INDIRECT(C69&amp;ROW()),TODAY())</f>
        <v>849</v>
      </c>
      <c r="M207">
        <f ca="1">HYPERLINK(CONCATENATE("https://bugzilla.houston.hp.com:1181/bugzilla/show_bug.cgi?id=",INDIRECT(C70&amp;ROW())),INDIRECT(C70&amp;ROW()))</f>
        <v>55128</v>
      </c>
      <c r="N207">
        <v>55128</v>
      </c>
      <c r="O207" t="s">
        <v>45</v>
      </c>
      <c r="P207" t="s">
        <v>529</v>
      </c>
      <c r="Q207" t="s">
        <v>16</v>
      </c>
      <c r="R207" t="s">
        <v>251</v>
      </c>
      <c r="S207" t="s">
        <v>45</v>
      </c>
      <c r="U207" s="6">
        <v>42177.505104166667</v>
      </c>
      <c r="V207" t="s">
        <v>18</v>
      </c>
      <c r="W207" t="s">
        <v>17</v>
      </c>
      <c r="X207" s="6">
        <v>41996.529907407406</v>
      </c>
      <c r="Y207" t="s">
        <v>122</v>
      </c>
      <c r="AB207" t="s">
        <v>201</v>
      </c>
      <c r="AC207" t="s">
        <v>247</v>
      </c>
      <c r="AD207" t="s">
        <v>227</v>
      </c>
      <c r="AE207" t="s">
        <v>226</v>
      </c>
      <c r="AG207" t="s">
        <v>121</v>
      </c>
      <c r="AH207" t="s">
        <v>327</v>
      </c>
      <c r="AI207" t="s">
        <v>121</v>
      </c>
      <c r="AJ207" t="s">
        <v>717</v>
      </c>
      <c r="AK207" t="s">
        <v>121</v>
      </c>
    </row>
    <row r="208" spans="9:37" x14ac:dyDescent="0.3">
      <c r="I208">
        <f ca="1">IF(OR(INDIRECT(A73&amp;ROW())=B93,INDIRECT(A73&amp;ROW())=B94),1,IF(AND(INDIRECT(A73&amp;ROW())=B95,INDIRECT(A96&amp;ROW())=C93),1,IF(AND(INDIRECT(A73&amp;ROW())=B95,INDIRECT(A96&amp;ROW())=C94),1,0)))</f>
        <v>0</v>
      </c>
      <c r="J208">
        <f ca="1">IF(AND(INDIRECT(A73&amp;ROW())=B95,INDIRECT(A96&amp;ROW())=C95),1,IF(AND(INDIRECT(A73&amp;ROW())=B95,INDIRECT(A96&amp;ROW())=C96),1,0))</f>
        <v>0</v>
      </c>
      <c r="K208">
        <f ca="1">DAYS360(INDIRECT(C68&amp;ROW()),TODAY())</f>
        <v>668</v>
      </c>
      <c r="L208">
        <f ca="1">DAYS360(INDIRECT(C69&amp;ROW()),TODAY())</f>
        <v>849</v>
      </c>
      <c r="M208">
        <f ca="1">HYPERLINK(CONCATENATE("https://bugzilla.houston.hp.com:1181/bugzilla/show_bug.cgi?id=",INDIRECT(C70&amp;ROW())),INDIRECT(C70&amp;ROW()))</f>
        <v>55129</v>
      </c>
      <c r="N208">
        <v>55129</v>
      </c>
      <c r="O208" t="s">
        <v>326</v>
      </c>
      <c r="P208" t="s">
        <v>534</v>
      </c>
      <c r="Q208" t="s">
        <v>16</v>
      </c>
      <c r="R208" t="s">
        <v>17</v>
      </c>
      <c r="S208" t="s">
        <v>45</v>
      </c>
      <c r="U208" s="6">
        <v>42179.493819444448</v>
      </c>
      <c r="V208" t="s">
        <v>18</v>
      </c>
      <c r="W208" t="s">
        <v>17</v>
      </c>
      <c r="X208" s="6">
        <v>41996.532210648147</v>
      </c>
      <c r="Y208" t="s">
        <v>122</v>
      </c>
      <c r="AB208" t="s">
        <v>201</v>
      </c>
      <c r="AC208" t="s">
        <v>247</v>
      </c>
      <c r="AD208" t="s">
        <v>227</v>
      </c>
      <c r="AE208" t="s">
        <v>230</v>
      </c>
      <c r="AG208" t="s">
        <v>121</v>
      </c>
      <c r="AH208" t="s">
        <v>327</v>
      </c>
      <c r="AI208" t="s">
        <v>362</v>
      </c>
      <c r="AJ208" t="s">
        <v>717</v>
      </c>
      <c r="AK208" t="s">
        <v>121</v>
      </c>
    </row>
    <row r="209" spans="1:37" x14ac:dyDescent="0.3">
      <c r="I209">
        <f ca="1">IF(OR(INDIRECT(A73&amp;ROW())=B93,INDIRECT(A73&amp;ROW())=B94),1,IF(AND(INDIRECT(A73&amp;ROW())=B95,INDIRECT(A96&amp;ROW())=C93),1,IF(AND(INDIRECT(A73&amp;ROW())=B95,INDIRECT(A96&amp;ROW())=C94),1,0)))</f>
        <v>0</v>
      </c>
      <c r="J209">
        <f ca="1">IF(AND(INDIRECT(A73&amp;ROW())=B95,INDIRECT(A96&amp;ROW())=C95),1,IF(AND(INDIRECT(A73&amp;ROW())=B95,INDIRECT(A96&amp;ROW())=C96),1,0))</f>
        <v>0</v>
      </c>
      <c r="K209">
        <f ca="1">DAYS360(INDIRECT(C68&amp;ROW()),TODAY())</f>
        <v>668</v>
      </c>
      <c r="L209">
        <f ca="1">DAYS360(INDIRECT(C69&amp;ROW()),TODAY())</f>
        <v>849</v>
      </c>
      <c r="M209">
        <f ca="1">HYPERLINK(CONCATENATE("https://bugzilla.houston.hp.com:1181/bugzilla/show_bug.cgi?id=",INDIRECT(C70&amp;ROW())),INDIRECT(C70&amp;ROW()))</f>
        <v>55130</v>
      </c>
      <c r="N209">
        <v>55130</v>
      </c>
      <c r="O209" t="s">
        <v>45</v>
      </c>
      <c r="P209" t="s">
        <v>533</v>
      </c>
      <c r="Q209" t="s">
        <v>16</v>
      </c>
      <c r="R209" t="s">
        <v>248</v>
      </c>
      <c r="S209" t="s">
        <v>45</v>
      </c>
      <c r="U209" s="6">
        <v>42179.493784722225</v>
      </c>
      <c r="V209" t="s">
        <v>18</v>
      </c>
      <c r="W209" t="s">
        <v>17</v>
      </c>
      <c r="X209" s="6">
        <v>41996.533703703702</v>
      </c>
      <c r="Y209" t="s">
        <v>122</v>
      </c>
      <c r="AB209" t="s">
        <v>201</v>
      </c>
      <c r="AC209" t="s">
        <v>247</v>
      </c>
      <c r="AD209" t="s">
        <v>227</v>
      </c>
      <c r="AE209" t="s">
        <v>226</v>
      </c>
      <c r="AG209" t="s">
        <v>121</v>
      </c>
      <c r="AH209" t="s">
        <v>327</v>
      </c>
      <c r="AI209" t="s">
        <v>121</v>
      </c>
      <c r="AJ209" t="s">
        <v>717</v>
      </c>
      <c r="AK209" t="s">
        <v>121</v>
      </c>
    </row>
    <row r="210" spans="1:37" x14ac:dyDescent="0.3">
      <c r="I210">
        <f ca="1">IF(OR(INDIRECT(A73&amp;ROW())=B93,INDIRECT(A73&amp;ROW())=B94),1,IF(AND(INDIRECT(A73&amp;ROW())=B95,INDIRECT(A96&amp;ROW())=C93),1,IF(AND(INDIRECT(A73&amp;ROW())=B95,INDIRECT(A96&amp;ROW())=C94),1,0)))</f>
        <v>0</v>
      </c>
      <c r="J210">
        <f ca="1">IF(AND(INDIRECT(A73&amp;ROW())=B95,INDIRECT(A96&amp;ROW())=C95),1,IF(AND(INDIRECT(A73&amp;ROW())=B95,INDIRECT(A96&amp;ROW())=C96),1,0))</f>
        <v>0</v>
      </c>
      <c r="K210">
        <f ca="1">DAYS360(INDIRECT(C68&amp;ROW()),TODAY())</f>
        <v>729</v>
      </c>
      <c r="L210">
        <f ca="1">DAYS360(INDIRECT(C69&amp;ROW()),TODAY())</f>
        <v>848</v>
      </c>
      <c r="M210">
        <f ca="1">HYPERLINK(CONCATENATE("https://bugzilla.houston.hp.com:1181/bugzilla/show_bug.cgi?id=",INDIRECT(C70&amp;ROW())),INDIRECT(C70&amp;ROW()))</f>
        <v>55135</v>
      </c>
      <c r="N210">
        <v>55135</v>
      </c>
      <c r="O210" t="s">
        <v>53</v>
      </c>
      <c r="P210" t="s">
        <v>532</v>
      </c>
      <c r="Q210" t="s">
        <v>16</v>
      </c>
      <c r="R210" t="s">
        <v>251</v>
      </c>
      <c r="S210" t="s">
        <v>528</v>
      </c>
      <c r="U210" s="6">
        <v>42117.404918981483</v>
      </c>
      <c r="V210" t="s">
        <v>35</v>
      </c>
      <c r="W210" t="s">
        <v>17</v>
      </c>
      <c r="X210" s="6">
        <v>41997.038680555554</v>
      </c>
      <c r="Y210" t="s">
        <v>123</v>
      </c>
      <c r="AB210" t="s">
        <v>200</v>
      </c>
      <c r="AC210" t="s">
        <v>247</v>
      </c>
      <c r="AD210" t="s">
        <v>220</v>
      </c>
      <c r="AE210" t="s">
        <v>219</v>
      </c>
      <c r="AG210" t="s">
        <v>121</v>
      </c>
      <c r="AH210" t="s">
        <v>327</v>
      </c>
      <c r="AI210" t="s">
        <v>121</v>
      </c>
      <c r="AJ210" t="s">
        <v>716</v>
      </c>
      <c r="AK210" t="s">
        <v>121</v>
      </c>
    </row>
    <row r="211" spans="1:37" x14ac:dyDescent="0.3">
      <c r="I211">
        <f ca="1">IF(OR(INDIRECT(A73&amp;ROW())=B93,INDIRECT(A73&amp;ROW())=B94),1,IF(AND(INDIRECT(A73&amp;ROW())=B95,INDIRECT(A96&amp;ROW())=C93),1,IF(AND(INDIRECT(A73&amp;ROW())=B95,INDIRECT(A96&amp;ROW())=C94),1,0)))</f>
        <v>0</v>
      </c>
      <c r="J211">
        <f ca="1">IF(AND(INDIRECT(A73&amp;ROW())=B95,INDIRECT(A96&amp;ROW())=C95),1,IF(AND(INDIRECT(A73&amp;ROW())=B95,INDIRECT(A96&amp;ROW())=C96),1,0))</f>
        <v>1</v>
      </c>
      <c r="K211">
        <f ca="1">DAYS360(INDIRECT(C68&amp;ROW()),TODAY())</f>
        <v>684</v>
      </c>
      <c r="L211">
        <f ca="1">DAYS360(INDIRECT(C69&amp;ROW()),TODAY())</f>
        <v>845</v>
      </c>
      <c r="M211">
        <f ca="1">HYPERLINK(CONCATENATE("https://bugzilla.houston.hp.com:1181/bugzilla/show_bug.cgi?id=",INDIRECT(C70&amp;ROW())),INDIRECT(C70&amp;ROW()))</f>
        <v>55139</v>
      </c>
      <c r="N211">
        <v>55139</v>
      </c>
      <c r="O211" t="s">
        <v>36</v>
      </c>
      <c r="P211" t="s">
        <v>527</v>
      </c>
      <c r="Q211" t="s">
        <v>25</v>
      </c>
      <c r="R211" t="s">
        <v>248</v>
      </c>
      <c r="S211" t="s">
        <v>526</v>
      </c>
      <c r="U211" s="6">
        <v>42163.610335648147</v>
      </c>
      <c r="V211" t="s">
        <v>18</v>
      </c>
      <c r="W211" t="s">
        <v>525</v>
      </c>
      <c r="X211" s="6">
        <v>42000.001817129632</v>
      </c>
      <c r="Y211" t="s">
        <v>255</v>
      </c>
      <c r="AB211" t="s">
        <v>201</v>
      </c>
      <c r="AC211" t="s">
        <v>247</v>
      </c>
      <c r="AD211" t="s">
        <v>222</v>
      </c>
      <c r="AE211" t="s">
        <v>221</v>
      </c>
      <c r="AG211" t="s">
        <v>121</v>
      </c>
      <c r="AH211" t="s">
        <v>327</v>
      </c>
      <c r="AI211" t="s">
        <v>121</v>
      </c>
      <c r="AJ211" t="s">
        <v>716</v>
      </c>
      <c r="AK211" t="s">
        <v>121</v>
      </c>
    </row>
    <row r="212" spans="1:37" x14ac:dyDescent="0.3">
      <c r="I212">
        <f ca="1">IF(OR(INDIRECT(A73&amp;ROW())=B93,INDIRECT(A73&amp;ROW())=B94),1,IF(AND(INDIRECT(A73&amp;ROW())=B95,INDIRECT(A96&amp;ROW())=C93),1,IF(AND(INDIRECT(A73&amp;ROW())=B95,INDIRECT(A96&amp;ROW())=C94),1,0)))</f>
        <v>0</v>
      </c>
      <c r="J212">
        <f ca="1">IF(AND(INDIRECT(A73&amp;ROW())=B95,INDIRECT(A96&amp;ROW())=C95),1,IF(AND(INDIRECT(A73&amp;ROW())=B95,INDIRECT(A96&amp;ROW())=C96),1,0))</f>
        <v>1</v>
      </c>
      <c r="K212">
        <f ca="1">DAYS360(INDIRECT(C68&amp;ROW()),TODAY())</f>
        <v>730</v>
      </c>
      <c r="L212">
        <f ca="1">DAYS360(INDIRECT(C69&amp;ROW()),TODAY())</f>
        <v>839</v>
      </c>
      <c r="M212">
        <f ca="1">HYPERLINK(CONCATENATE("https://bugzilla.houston.hp.com:1181/bugzilla/show_bug.cgi?id=",INDIRECT(C70&amp;ROW())),INDIRECT(C70&amp;ROW()))</f>
        <v>55159</v>
      </c>
      <c r="N212">
        <v>55159</v>
      </c>
      <c r="O212" t="s">
        <v>56</v>
      </c>
      <c r="P212" t="s">
        <v>739</v>
      </c>
      <c r="Q212" t="s">
        <v>25</v>
      </c>
      <c r="R212" t="s">
        <v>251</v>
      </c>
      <c r="S212" t="s">
        <v>587</v>
      </c>
      <c r="U212" s="6">
        <v>42116.733067129629</v>
      </c>
      <c r="V212" t="s">
        <v>18</v>
      </c>
      <c r="W212" t="s">
        <v>17</v>
      </c>
      <c r="X212" s="6">
        <v>42007.195254629631</v>
      </c>
      <c r="Y212" t="s">
        <v>255</v>
      </c>
      <c r="AB212" t="s">
        <v>201</v>
      </c>
      <c r="AC212" t="s">
        <v>247</v>
      </c>
      <c r="AD212" t="s">
        <v>220</v>
      </c>
      <c r="AE212" t="s">
        <v>219</v>
      </c>
      <c r="AG212" t="s">
        <v>121</v>
      </c>
      <c r="AH212" t="s">
        <v>327</v>
      </c>
      <c r="AI212" t="s">
        <v>121</v>
      </c>
      <c r="AJ212" t="s">
        <v>716</v>
      </c>
      <c r="AK212" t="s">
        <v>121</v>
      </c>
    </row>
    <row r="213" spans="1:37" x14ac:dyDescent="0.3">
      <c r="I213">
        <f ca="1">IF(OR(INDIRECT(A73&amp;ROW())=B93,INDIRECT(A73&amp;ROW())=B94),1,IF(AND(INDIRECT(A73&amp;ROW())=B95,INDIRECT(A96&amp;ROW())=C93),1,IF(AND(INDIRECT(A73&amp;ROW())=B95,INDIRECT(A96&amp;ROW())=C94),1,0)))</f>
        <v>0</v>
      </c>
      <c r="J213">
        <f ca="1">IF(AND(INDIRECT(A73&amp;ROW())=B95,INDIRECT(A96&amp;ROW())=C95),1,IF(AND(INDIRECT(A73&amp;ROW())=B95,INDIRECT(A96&amp;ROW())=C96),1,0))</f>
        <v>0</v>
      </c>
      <c r="K213">
        <f ca="1">DAYS360(INDIRECT(C68&amp;ROW()),TODAY())</f>
        <v>729</v>
      </c>
      <c r="L213">
        <f ca="1">DAYS360(INDIRECT(C69&amp;ROW()),TODAY())</f>
        <v>837</v>
      </c>
      <c r="M213">
        <f ca="1">HYPERLINK(CONCATENATE("https://bugzilla.houston.hp.com:1181/bugzilla/show_bug.cgi?id=",INDIRECT(C70&amp;ROW())),INDIRECT(C70&amp;ROW()))</f>
        <v>55198</v>
      </c>
      <c r="N213">
        <v>55198</v>
      </c>
      <c r="O213" t="s">
        <v>550</v>
      </c>
      <c r="P213" t="s">
        <v>538</v>
      </c>
      <c r="Q213" t="s">
        <v>16</v>
      </c>
      <c r="R213" t="s">
        <v>251</v>
      </c>
      <c r="S213" t="s">
        <v>345</v>
      </c>
      <c r="U213" s="6">
        <v>42117.405011574076</v>
      </c>
      <c r="V213" t="s">
        <v>35</v>
      </c>
      <c r="W213" t="s">
        <v>17</v>
      </c>
      <c r="X213" s="6">
        <v>42009.658854166664</v>
      </c>
      <c r="Y213" t="s">
        <v>246</v>
      </c>
      <c r="AB213" t="s">
        <v>200</v>
      </c>
      <c r="AC213" t="s">
        <v>247</v>
      </c>
      <c r="AD213" t="s">
        <v>222</v>
      </c>
      <c r="AE213" t="s">
        <v>221</v>
      </c>
      <c r="AG213" t="s">
        <v>121</v>
      </c>
      <c r="AH213" t="s">
        <v>327</v>
      </c>
      <c r="AI213" t="s">
        <v>121</v>
      </c>
      <c r="AJ213" t="s">
        <v>716</v>
      </c>
      <c r="AK213" t="s">
        <v>121</v>
      </c>
    </row>
    <row r="214" spans="1:37" x14ac:dyDescent="0.3">
      <c r="I214">
        <f ca="1">IF(OR(INDIRECT(A73&amp;ROW())=B93,INDIRECT(A73&amp;ROW())=B94),1,IF(AND(INDIRECT(A73&amp;ROW())=B95,INDIRECT(A96&amp;ROW())=C93),1,IF(AND(INDIRECT(A73&amp;ROW())=B95,INDIRECT(A96&amp;ROW())=C94),1,0)))</f>
        <v>0</v>
      </c>
      <c r="J214">
        <f ca="1">IF(AND(INDIRECT(A73&amp;ROW())=B95,INDIRECT(A96&amp;ROW())=C95),1,IF(AND(INDIRECT(A73&amp;ROW())=B95,INDIRECT(A96&amp;ROW())=C96),1,0))</f>
        <v>0</v>
      </c>
      <c r="K214">
        <f ca="1">DAYS360(INDIRECT(C68&amp;ROW()),TODAY())</f>
        <v>681</v>
      </c>
      <c r="L214">
        <f ca="1">DAYS360(INDIRECT(C69&amp;ROW()),TODAY())</f>
        <v>836</v>
      </c>
      <c r="M214">
        <f ca="1">HYPERLINK(CONCATENATE("https://bugzilla.houston.hp.com:1181/bugzilla/show_bug.cgi?id=",INDIRECT(C70&amp;ROW())),INDIRECT(C70&amp;ROW()))</f>
        <v>55222</v>
      </c>
      <c r="N214">
        <v>55222</v>
      </c>
      <c r="O214" t="s">
        <v>56</v>
      </c>
      <c r="P214" t="s">
        <v>586</v>
      </c>
      <c r="Q214" t="s">
        <v>16</v>
      </c>
      <c r="R214" t="s">
        <v>248</v>
      </c>
      <c r="S214" t="s">
        <v>44</v>
      </c>
      <c r="U214" s="6">
        <v>42166.355844907404</v>
      </c>
      <c r="V214" t="s">
        <v>18</v>
      </c>
      <c r="W214" t="s">
        <v>525</v>
      </c>
      <c r="X214" s="6">
        <v>42010.32135416667</v>
      </c>
      <c r="Y214" t="s">
        <v>246</v>
      </c>
      <c r="AB214" t="s">
        <v>200</v>
      </c>
      <c r="AC214" t="s">
        <v>247</v>
      </c>
      <c r="AD214" t="s">
        <v>220</v>
      </c>
      <c r="AE214" t="s">
        <v>219</v>
      </c>
      <c r="AG214" t="s">
        <v>121</v>
      </c>
      <c r="AH214" t="s">
        <v>327</v>
      </c>
      <c r="AI214" t="s">
        <v>121</v>
      </c>
      <c r="AJ214" t="s">
        <v>716</v>
      </c>
      <c r="AK214" t="s">
        <v>121</v>
      </c>
    </row>
    <row r="215" spans="1:37" x14ac:dyDescent="0.3">
      <c r="I215">
        <f ca="1">IF(OR(INDIRECT(A73&amp;ROW())=B93,INDIRECT(A73&amp;ROW())=B94),1,IF(AND(INDIRECT(A73&amp;ROW())=B95,INDIRECT(A96&amp;ROW())=C93),1,IF(AND(INDIRECT(A73&amp;ROW())=B95,INDIRECT(A96&amp;ROW())=C94),1,0)))</f>
        <v>0</v>
      </c>
      <c r="J215">
        <f ca="1">IF(AND(INDIRECT(A73&amp;ROW())=B95,INDIRECT(A96&amp;ROW())=C95),1,IF(AND(INDIRECT(A73&amp;ROW())=B95,INDIRECT(A96&amp;ROW())=C96),1,0))</f>
        <v>0</v>
      </c>
      <c r="K215">
        <f ca="1">DAYS360(INDIRECT(C68&amp;ROW()),TODAY())</f>
        <v>729</v>
      </c>
      <c r="L215">
        <f ca="1">DAYS360(INDIRECT(C69&amp;ROW()),TODAY())</f>
        <v>836</v>
      </c>
      <c r="M215">
        <f ca="1">HYPERLINK(CONCATENATE("https://bugzilla.houston.hp.com:1181/bugzilla/show_bug.cgi?id=",INDIRECT(C70&amp;ROW())),INDIRECT(C70&amp;ROW()))</f>
        <v>55269</v>
      </c>
      <c r="N215">
        <v>55269</v>
      </c>
      <c r="O215" t="s">
        <v>55</v>
      </c>
      <c r="P215" t="s">
        <v>537</v>
      </c>
      <c r="Q215" t="s">
        <v>16</v>
      </c>
      <c r="R215" t="s">
        <v>251</v>
      </c>
      <c r="S215" t="s">
        <v>49</v>
      </c>
      <c r="U215" s="6">
        <v>42117.405115740738</v>
      </c>
      <c r="V215" t="s">
        <v>18</v>
      </c>
      <c r="W215" t="s">
        <v>17</v>
      </c>
      <c r="X215" s="6">
        <v>42010.692233796297</v>
      </c>
      <c r="Y215" t="s">
        <v>245</v>
      </c>
      <c r="AB215" t="s">
        <v>200</v>
      </c>
      <c r="AC215" t="s">
        <v>247</v>
      </c>
      <c r="AD215" t="s">
        <v>222</v>
      </c>
      <c r="AE215" t="s">
        <v>225</v>
      </c>
      <c r="AG215" t="s">
        <v>121</v>
      </c>
      <c r="AH215" t="s">
        <v>327</v>
      </c>
      <c r="AI215" t="s">
        <v>121</v>
      </c>
      <c r="AJ215" t="s">
        <v>717</v>
      </c>
      <c r="AK215" t="s">
        <v>121</v>
      </c>
    </row>
    <row r="216" spans="1:37" x14ac:dyDescent="0.3">
      <c r="I216">
        <f ca="1">IF(OR(INDIRECT(A73&amp;ROW())=B93,INDIRECT(A73&amp;ROW())=B94),1,IF(AND(INDIRECT(A73&amp;ROW())=B95,INDIRECT(A96&amp;ROW())=C93),1,IF(AND(INDIRECT(A73&amp;ROW())=B95,INDIRECT(A96&amp;ROW())=C94),1,0)))</f>
        <v>0</v>
      </c>
      <c r="J216">
        <f ca="1">IF(AND(INDIRECT(A73&amp;ROW())=B95,INDIRECT(A96&amp;ROW())=C95),1,IF(AND(INDIRECT(A73&amp;ROW())=B95,INDIRECT(A96&amp;ROW())=C96),1,0))</f>
        <v>0</v>
      </c>
      <c r="K216">
        <f ca="1">DAYS360(INDIRECT(C68&amp;ROW()),TODAY())</f>
        <v>835</v>
      </c>
      <c r="L216">
        <f ca="1">DAYS360(INDIRECT(C69&amp;ROW()),TODAY())</f>
        <v>835</v>
      </c>
      <c r="M216">
        <f ca="1">HYPERLINK(CONCATENATE("https://bugzilla.houston.hp.com:1181/bugzilla/show_bug.cgi?id=",INDIRECT(C70&amp;ROW())),INDIRECT(C70&amp;ROW()))</f>
        <v>55302</v>
      </c>
      <c r="N216">
        <v>55302</v>
      </c>
      <c r="O216" t="s">
        <v>31</v>
      </c>
      <c r="P216" t="s">
        <v>536</v>
      </c>
      <c r="Q216" t="s">
        <v>16</v>
      </c>
      <c r="R216" t="s">
        <v>248</v>
      </c>
      <c r="S216" t="s">
        <v>36</v>
      </c>
      <c r="U216" s="6">
        <v>42011.331990740742</v>
      </c>
      <c r="V216" t="s">
        <v>18</v>
      </c>
      <c r="W216" t="s">
        <v>32</v>
      </c>
      <c r="X216" s="6">
        <v>42011.331990740742</v>
      </c>
      <c r="Y216" t="s">
        <v>119</v>
      </c>
      <c r="AB216" t="s">
        <v>200</v>
      </c>
      <c r="AC216" t="s">
        <v>121</v>
      </c>
      <c r="AD216" t="s">
        <v>220</v>
      </c>
      <c r="AE216" t="s">
        <v>219</v>
      </c>
      <c r="AG216" t="s">
        <v>121</v>
      </c>
      <c r="AH216" t="s">
        <v>327</v>
      </c>
      <c r="AI216" t="s">
        <v>121</v>
      </c>
      <c r="AJ216" t="s">
        <v>716</v>
      </c>
      <c r="AK216" t="s">
        <v>121</v>
      </c>
    </row>
    <row r="217" spans="1:37" x14ac:dyDescent="0.3">
      <c r="I217">
        <f ca="1">IF(OR(INDIRECT(A73&amp;ROW())=B93,INDIRECT(A73&amp;ROW())=B94),1,IF(AND(INDIRECT(A73&amp;ROW())=B95,INDIRECT(A96&amp;ROW())=C93),1,IF(AND(INDIRECT(A73&amp;ROW())=B95,INDIRECT(A96&amp;ROW())=C94),1,0)))</f>
        <v>0</v>
      </c>
      <c r="J217">
        <f ca="1">IF(AND(INDIRECT(A73&amp;ROW())=B95,INDIRECT(A96&amp;ROW())=C95),1,IF(AND(INDIRECT(A73&amp;ROW())=B95,INDIRECT(A96&amp;ROW())=C96),1,0))</f>
        <v>1</v>
      </c>
      <c r="K217">
        <f ca="1">DAYS360(INDIRECT(C68&amp;ROW()),TODAY())</f>
        <v>721</v>
      </c>
      <c r="L217">
        <f ca="1">DAYS360(INDIRECT(C69&amp;ROW()),TODAY())</f>
        <v>835</v>
      </c>
      <c r="M217">
        <f ca="1">HYPERLINK(CONCATENATE("https://bugzilla.houston.hp.com:1181/bugzilla/show_bug.cgi?id=",INDIRECT(C70&amp;ROW())),INDIRECT(C70&amp;ROW()))</f>
        <v>55314</v>
      </c>
      <c r="N217">
        <v>55314</v>
      </c>
      <c r="O217" t="s">
        <v>55</v>
      </c>
      <c r="P217" t="s">
        <v>542</v>
      </c>
      <c r="Q217" t="s">
        <v>25</v>
      </c>
      <c r="R217" t="s">
        <v>251</v>
      </c>
      <c r="S217" t="s">
        <v>43</v>
      </c>
      <c r="U217" s="6">
        <v>42125.44972222222</v>
      </c>
      <c r="V217" t="s">
        <v>18</v>
      </c>
      <c r="W217" t="s">
        <v>17</v>
      </c>
      <c r="X217" s="6">
        <v>42011.547847222224</v>
      </c>
      <c r="Y217" t="s">
        <v>122</v>
      </c>
      <c r="AB217" t="s">
        <v>201</v>
      </c>
      <c r="AC217" t="s">
        <v>247</v>
      </c>
      <c r="AD217" t="s">
        <v>220</v>
      </c>
      <c r="AE217" t="s">
        <v>219</v>
      </c>
      <c r="AG217" t="s">
        <v>121</v>
      </c>
      <c r="AH217" t="s">
        <v>327</v>
      </c>
      <c r="AI217" t="s">
        <v>121</v>
      </c>
      <c r="AJ217" t="s">
        <v>716</v>
      </c>
      <c r="AK217" t="s">
        <v>121</v>
      </c>
    </row>
    <row r="218" spans="1:37" x14ac:dyDescent="0.3">
      <c r="I218">
        <f ca="1">IF(OR(INDIRECT(A73&amp;ROW())=B93,INDIRECT(A73&amp;ROW())=B94),1,IF(AND(INDIRECT(A73&amp;ROW())=B95,INDIRECT(A96&amp;ROW())=C93),1,IF(AND(INDIRECT(A73&amp;ROW())=B95,INDIRECT(A96&amp;ROW())=C94),1,0)))</f>
        <v>0</v>
      </c>
      <c r="J218">
        <f ca="1">IF(AND(INDIRECT(A73&amp;ROW())=B95,INDIRECT(A96&amp;ROW())=C95),1,IF(AND(INDIRECT(A73&amp;ROW())=B95,INDIRECT(A96&amp;ROW())=C96),1,0))</f>
        <v>1</v>
      </c>
      <c r="K218">
        <f ca="1">DAYS360(INDIRECT(C68&amp;ROW()),TODAY())</f>
        <v>721</v>
      </c>
      <c r="L218">
        <f ca="1">DAYS360(INDIRECT(C69&amp;ROW()),TODAY())</f>
        <v>835</v>
      </c>
      <c r="M218">
        <f ca="1">HYPERLINK(CONCATENATE("https://bugzilla.houston.hp.com:1181/bugzilla/show_bug.cgi?id=",INDIRECT(C70&amp;ROW())),INDIRECT(C70&amp;ROW()))</f>
        <v>55316</v>
      </c>
      <c r="N218">
        <v>55316</v>
      </c>
      <c r="O218" t="s">
        <v>56</v>
      </c>
      <c r="P218" t="s">
        <v>541</v>
      </c>
      <c r="Q218" t="s">
        <v>25</v>
      </c>
      <c r="R218" t="s">
        <v>248</v>
      </c>
      <c r="S218" t="s">
        <v>43</v>
      </c>
      <c r="U218" s="6">
        <v>42125.449699074074</v>
      </c>
      <c r="V218" t="s">
        <v>18</v>
      </c>
      <c r="W218" t="s">
        <v>372</v>
      </c>
      <c r="X218" s="6">
        <v>42011.550023148149</v>
      </c>
      <c r="Y218" t="s">
        <v>122</v>
      </c>
      <c r="AB218" t="s">
        <v>201</v>
      </c>
      <c r="AC218" t="s">
        <v>247</v>
      </c>
      <c r="AD218" t="s">
        <v>220</v>
      </c>
      <c r="AE218" t="s">
        <v>219</v>
      </c>
      <c r="AG218" t="s">
        <v>121</v>
      </c>
      <c r="AH218" t="s">
        <v>327</v>
      </c>
      <c r="AI218" t="s">
        <v>121</v>
      </c>
      <c r="AJ218" t="s">
        <v>716</v>
      </c>
      <c r="AK218" t="s">
        <v>121</v>
      </c>
    </row>
    <row r="219" spans="1:37" x14ac:dyDescent="0.3">
      <c r="I219">
        <f ca="1">IF(OR(INDIRECT(A73&amp;ROW())=B93,INDIRECT(A73&amp;ROW())=B94),1,IF(AND(INDIRECT(A73&amp;ROW())=B95,INDIRECT(A96&amp;ROW())=C93),1,IF(AND(INDIRECT(A73&amp;ROW())=B95,INDIRECT(A96&amp;ROW())=C94),1,0)))</f>
        <v>0</v>
      </c>
      <c r="J219">
        <f ca="1">IF(AND(INDIRECT(A73&amp;ROW())=B95,INDIRECT(A96&amp;ROW())=C95),1,IF(AND(INDIRECT(A73&amp;ROW())=B95,INDIRECT(A96&amp;ROW())=C96),1,0))</f>
        <v>1</v>
      </c>
      <c r="K219">
        <f ca="1">DAYS360(INDIRECT(C68&amp;ROW()),TODAY())</f>
        <v>684</v>
      </c>
      <c r="L219">
        <f ca="1">DAYS360(INDIRECT(C69&amp;ROW()),TODAY())</f>
        <v>833</v>
      </c>
      <c r="M219">
        <f ca="1">HYPERLINK(CONCATENATE("https://bugzilla.houston.hp.com:1181/bugzilla/show_bug.cgi?id=",INDIRECT(C70&amp;ROW())),INDIRECT(C70&amp;ROW()))</f>
        <v>55416</v>
      </c>
      <c r="N219">
        <v>55416</v>
      </c>
      <c r="O219" t="s">
        <v>56</v>
      </c>
      <c r="P219" t="s">
        <v>544</v>
      </c>
      <c r="Q219" t="s">
        <v>25</v>
      </c>
      <c r="R219" t="s">
        <v>248</v>
      </c>
      <c r="S219" t="s">
        <v>36</v>
      </c>
      <c r="U219" s="6">
        <v>42163.61037037037</v>
      </c>
      <c r="V219" t="s">
        <v>18</v>
      </c>
      <c r="W219" t="s">
        <v>343</v>
      </c>
      <c r="X219" s="6">
        <v>42013.560266203705</v>
      </c>
      <c r="Y219" t="s">
        <v>122</v>
      </c>
      <c r="AB219" t="s">
        <v>201</v>
      </c>
      <c r="AC219" t="s">
        <v>247</v>
      </c>
      <c r="AD219" t="s">
        <v>220</v>
      </c>
      <c r="AE219" t="s">
        <v>219</v>
      </c>
      <c r="AG219" t="s">
        <v>121</v>
      </c>
      <c r="AH219" t="s">
        <v>327</v>
      </c>
      <c r="AI219" t="s">
        <v>121</v>
      </c>
      <c r="AJ219" t="s">
        <v>716</v>
      </c>
      <c r="AK219" t="s">
        <v>121</v>
      </c>
    </row>
    <row r="220" spans="1:37" x14ac:dyDescent="0.3">
      <c r="A220" s="11"/>
      <c r="I220">
        <f ca="1">IF(OR(INDIRECT(A73&amp;ROW())=B93,INDIRECT(A73&amp;ROW())=B94),1,IF(AND(INDIRECT(A73&amp;ROW())=B95,INDIRECT(A96&amp;ROW())=C93),1,IF(AND(INDIRECT(A73&amp;ROW())=B95,INDIRECT(A96&amp;ROW())=C94),1,0)))</f>
        <v>0</v>
      </c>
      <c r="J220">
        <f ca="1">IF(AND(INDIRECT(A73&amp;ROW())=B95,INDIRECT(A96&amp;ROW())=C95),1,IF(AND(INDIRECT(A73&amp;ROW())=B95,INDIRECT(A96&amp;ROW())=C96),1,0))</f>
        <v>0</v>
      </c>
      <c r="K220">
        <f ca="1">DAYS360(INDIRECT(C68&amp;ROW()),TODAY())</f>
        <v>721</v>
      </c>
      <c r="L220">
        <f ca="1">DAYS360(INDIRECT(C69&amp;ROW()),TODAY())</f>
        <v>833</v>
      </c>
      <c r="M220">
        <f ca="1">HYPERLINK(CONCATENATE("https://bugzilla.houston.hp.com:1181/bugzilla/show_bug.cgi?id=",INDIRECT(C70&amp;ROW())),INDIRECT(C70&amp;ROW()))</f>
        <v>55430</v>
      </c>
      <c r="N220">
        <v>55430</v>
      </c>
      <c r="O220" t="s">
        <v>56</v>
      </c>
      <c r="P220" t="s">
        <v>543</v>
      </c>
      <c r="Q220" t="s">
        <v>16</v>
      </c>
      <c r="R220" t="s">
        <v>248</v>
      </c>
      <c r="S220" t="s">
        <v>36</v>
      </c>
      <c r="U220" s="6">
        <v>42125.448541666665</v>
      </c>
      <c r="V220" t="s">
        <v>18</v>
      </c>
      <c r="W220" t="s">
        <v>324</v>
      </c>
      <c r="X220" s="6">
        <v>42013.620613425926</v>
      </c>
      <c r="Y220" t="s">
        <v>122</v>
      </c>
      <c r="AB220" t="s">
        <v>201</v>
      </c>
      <c r="AC220" t="s">
        <v>247</v>
      </c>
      <c r="AD220" t="s">
        <v>220</v>
      </c>
      <c r="AE220" t="s">
        <v>219</v>
      </c>
      <c r="AG220" t="s">
        <v>121</v>
      </c>
      <c r="AH220" t="s">
        <v>327</v>
      </c>
      <c r="AI220" t="s">
        <v>121</v>
      </c>
      <c r="AJ220" t="s">
        <v>717</v>
      </c>
      <c r="AK220" t="s">
        <v>121</v>
      </c>
    </row>
    <row r="221" spans="1:37" x14ac:dyDescent="0.3">
      <c r="I221">
        <f ca="1">IF(OR(INDIRECT(A73&amp;ROW())=B93,INDIRECT(A73&amp;ROW())=B94),1,IF(AND(INDIRECT(A73&amp;ROW())=B95,INDIRECT(A96&amp;ROW())=C93),1,IF(AND(INDIRECT(A73&amp;ROW())=B95,INDIRECT(A96&amp;ROW())=C94),1,0)))</f>
        <v>0</v>
      </c>
      <c r="J221">
        <f ca="1">IF(AND(INDIRECT(A73&amp;ROW())=B95,INDIRECT(A96&amp;ROW())=C95),1,IF(AND(INDIRECT(A73&amp;ROW())=B95,INDIRECT(A96&amp;ROW())=C96),1,0))</f>
        <v>0</v>
      </c>
      <c r="K221">
        <f ca="1">DAYS360(INDIRECT(C68&amp;ROW()),TODAY())</f>
        <v>729</v>
      </c>
      <c r="L221">
        <f ca="1">DAYS360(INDIRECT(C69&amp;ROW()),TODAY())</f>
        <v>830</v>
      </c>
      <c r="M221">
        <f ca="1">HYPERLINK(CONCATENATE("https://bugzilla.houston.hp.com:1181/bugzilla/show_bug.cgi?id=",INDIRECT(C70&amp;ROW())),INDIRECT(C70&amp;ROW()))</f>
        <v>55490</v>
      </c>
      <c r="N221">
        <v>55490</v>
      </c>
      <c r="O221" t="s">
        <v>53</v>
      </c>
      <c r="P221" t="s">
        <v>549</v>
      </c>
      <c r="Q221" t="s">
        <v>16</v>
      </c>
      <c r="R221" t="s">
        <v>251</v>
      </c>
      <c r="S221" t="s">
        <v>47</v>
      </c>
      <c r="U221" s="6">
        <v>42117.405312499999</v>
      </c>
      <c r="V221" t="s">
        <v>18</v>
      </c>
      <c r="W221" t="s">
        <v>17</v>
      </c>
      <c r="X221" s="6">
        <v>42016.581944444442</v>
      </c>
      <c r="Y221" t="s">
        <v>119</v>
      </c>
      <c r="AB221" t="s">
        <v>199</v>
      </c>
      <c r="AC221" t="s">
        <v>247</v>
      </c>
      <c r="AD221" t="s">
        <v>220</v>
      </c>
      <c r="AE221" t="s">
        <v>219</v>
      </c>
      <c r="AG221" t="s">
        <v>121</v>
      </c>
      <c r="AH221" t="s">
        <v>327</v>
      </c>
      <c r="AI221" t="s">
        <v>121</v>
      </c>
      <c r="AJ221" t="s">
        <v>716</v>
      </c>
      <c r="AK221" t="s">
        <v>121</v>
      </c>
    </row>
    <row r="222" spans="1:37" x14ac:dyDescent="0.3">
      <c r="I222">
        <f ca="1">IF(OR(INDIRECT(A73&amp;ROW())=B93,INDIRECT(A73&amp;ROW())=B94),1,IF(AND(INDIRECT(A73&amp;ROW())=B95,INDIRECT(A96&amp;ROW())=C93),1,IF(AND(INDIRECT(A73&amp;ROW())=B95,INDIRECT(A96&amp;ROW())=C94),1,0)))</f>
        <v>0</v>
      </c>
      <c r="J222">
        <f ca="1">IF(AND(INDIRECT(A73&amp;ROW())=B95,INDIRECT(A96&amp;ROW())=C95),1,IF(AND(INDIRECT(A73&amp;ROW())=B95,INDIRECT(A96&amp;ROW())=C96),1,0))</f>
        <v>1</v>
      </c>
      <c r="K222">
        <f ca="1">DAYS360(INDIRECT(C68&amp;ROW()),TODAY())</f>
        <v>682</v>
      </c>
      <c r="L222">
        <f ca="1">DAYS360(INDIRECT(C69&amp;ROW()),TODAY())</f>
        <v>829</v>
      </c>
      <c r="M222">
        <f ca="1">HYPERLINK(CONCATENATE("https://bugzilla.houston.hp.com:1181/bugzilla/show_bug.cgi?id=",INDIRECT(C70&amp;ROW())),INDIRECT(C70&amp;ROW()))</f>
        <v>55549</v>
      </c>
      <c r="N222">
        <v>55549</v>
      </c>
      <c r="O222" t="s">
        <v>66</v>
      </c>
      <c r="P222" t="s">
        <v>548</v>
      </c>
      <c r="Q222" t="s">
        <v>25</v>
      </c>
      <c r="R222" t="s">
        <v>251</v>
      </c>
      <c r="S222" t="s">
        <v>66</v>
      </c>
      <c r="U222" s="6">
        <v>42165.564432870371</v>
      </c>
      <c r="V222" t="s">
        <v>35</v>
      </c>
      <c r="W222" t="s">
        <v>17</v>
      </c>
      <c r="X222" s="6">
        <v>42017.588472222225</v>
      </c>
      <c r="Y222" t="s">
        <v>122</v>
      </c>
      <c r="AB222" t="s">
        <v>201</v>
      </c>
      <c r="AC222" t="s">
        <v>247</v>
      </c>
      <c r="AD222" t="s">
        <v>220</v>
      </c>
      <c r="AE222" t="s">
        <v>219</v>
      </c>
      <c r="AG222" t="s">
        <v>121</v>
      </c>
      <c r="AH222" t="s">
        <v>327</v>
      </c>
      <c r="AI222" t="s">
        <v>121</v>
      </c>
      <c r="AJ222" t="s">
        <v>716</v>
      </c>
      <c r="AK222" t="s">
        <v>121</v>
      </c>
    </row>
    <row r="223" spans="1:37" x14ac:dyDescent="0.3">
      <c r="H223" s="24"/>
      <c r="I223">
        <f ca="1">IF(OR(INDIRECT(A73&amp;ROW())=B93,INDIRECT(A73&amp;ROW())=B94),1,IF(AND(INDIRECT(A73&amp;ROW())=B95,INDIRECT(A96&amp;ROW())=C93),1,IF(AND(INDIRECT(A73&amp;ROW())=B95,INDIRECT(A96&amp;ROW())=C94),1,0)))</f>
        <v>0</v>
      </c>
      <c r="J223">
        <f ca="1">IF(AND(INDIRECT(A73&amp;ROW())=B95,INDIRECT(A96&amp;ROW())=C95),1,IF(AND(INDIRECT(A73&amp;ROW())=B95,INDIRECT(A96&amp;ROW())=C96),1,0))</f>
        <v>1</v>
      </c>
      <c r="K223">
        <f ca="1">DAYS360(INDIRECT(C68&amp;ROW()),TODAY())</f>
        <v>681</v>
      </c>
      <c r="L223">
        <f ca="1">DAYS360(INDIRECT(C69&amp;ROW()),TODAY())</f>
        <v>828</v>
      </c>
      <c r="M223">
        <f ca="1">HYPERLINK(CONCATENATE("https://bugzilla.houston.hp.com:1181/bugzilla/show_bug.cgi?id=",INDIRECT(C70&amp;ROW())),INDIRECT(C70&amp;ROW()))</f>
        <v>55619</v>
      </c>
      <c r="N223">
        <v>55619</v>
      </c>
      <c r="O223" t="s">
        <v>66</v>
      </c>
      <c r="P223" t="s">
        <v>548</v>
      </c>
      <c r="Q223" t="s">
        <v>25</v>
      </c>
      <c r="R223" t="s">
        <v>251</v>
      </c>
      <c r="S223" t="s">
        <v>66</v>
      </c>
      <c r="U223" s="6">
        <v>42166.560358796298</v>
      </c>
      <c r="V223" t="s">
        <v>35</v>
      </c>
      <c r="W223" t="s">
        <v>17</v>
      </c>
      <c r="X223" s="6">
        <v>42018.617395833331</v>
      </c>
      <c r="Y223" t="s">
        <v>122</v>
      </c>
      <c r="AB223" t="s">
        <v>201</v>
      </c>
      <c r="AC223" t="s">
        <v>247</v>
      </c>
      <c r="AD223" t="s">
        <v>220</v>
      </c>
      <c r="AE223" t="s">
        <v>219</v>
      </c>
      <c r="AG223" t="s">
        <v>121</v>
      </c>
      <c r="AH223" t="s">
        <v>327</v>
      </c>
      <c r="AI223" t="s">
        <v>121</v>
      </c>
      <c r="AJ223" t="s">
        <v>716</v>
      </c>
      <c r="AK223" t="s">
        <v>121</v>
      </c>
    </row>
    <row r="224" spans="1:37" x14ac:dyDescent="0.3">
      <c r="I224">
        <f ca="1">IF(OR(INDIRECT(A73&amp;ROW())=B93,INDIRECT(A73&amp;ROW())=B94),1,IF(AND(INDIRECT(A73&amp;ROW())=B95,INDIRECT(A96&amp;ROW())=C93),1,IF(AND(INDIRECT(A73&amp;ROW())=B95,INDIRECT(A96&amp;ROW())=C94),1,0)))</f>
        <v>1</v>
      </c>
      <c r="J224">
        <f ca="1">IF(AND(INDIRECT(A73&amp;ROW())=B95,INDIRECT(A96&amp;ROW())=C95),1,IF(AND(INDIRECT(A73&amp;ROW())=B95,INDIRECT(A96&amp;ROW())=C96),1,0))</f>
        <v>0</v>
      </c>
      <c r="K224">
        <f ca="1">DAYS360(INDIRECT(C68&amp;ROW()),TODAY())</f>
        <v>677</v>
      </c>
      <c r="L224">
        <f ca="1">DAYS360(INDIRECT(C69&amp;ROW()),TODAY())</f>
        <v>828</v>
      </c>
      <c r="M224">
        <f ca="1">HYPERLINK(CONCATENATE("https://bugzilla.houston.hp.com:1181/bugzilla/show_bug.cgi?id=",INDIRECT(C70&amp;ROW())),INDIRECT(C70&amp;ROW()))</f>
        <v>55626</v>
      </c>
      <c r="N224">
        <v>55626</v>
      </c>
      <c r="O224" t="s">
        <v>53</v>
      </c>
      <c r="P224" t="s">
        <v>748</v>
      </c>
      <c r="Q224" t="s">
        <v>39</v>
      </c>
      <c r="R224" t="s">
        <v>251</v>
      </c>
      <c r="S224" t="s">
        <v>53</v>
      </c>
      <c r="U224" s="6">
        <v>42170.692187499997</v>
      </c>
      <c r="V224" t="s">
        <v>18</v>
      </c>
      <c r="W224" t="s">
        <v>17</v>
      </c>
      <c r="X224" s="6">
        <v>42018.702581018515</v>
      </c>
      <c r="Y224" t="s">
        <v>122</v>
      </c>
      <c r="AB224" t="s">
        <v>201</v>
      </c>
      <c r="AC224" t="s">
        <v>247</v>
      </c>
      <c r="AD224" t="s">
        <v>220</v>
      </c>
      <c r="AE224" t="s">
        <v>219</v>
      </c>
      <c r="AG224" t="s">
        <v>121</v>
      </c>
      <c r="AH224" t="s">
        <v>327</v>
      </c>
      <c r="AI224" t="s">
        <v>121</v>
      </c>
      <c r="AJ224" t="s">
        <v>715</v>
      </c>
      <c r="AK224" t="s">
        <v>121</v>
      </c>
    </row>
    <row r="225" spans="9:37" x14ac:dyDescent="0.3">
      <c r="I225">
        <f ca="1">IF(OR(INDIRECT(A73&amp;ROW())=B93,INDIRECT(A73&amp;ROW())=B94),1,IF(AND(INDIRECT(A73&amp;ROW())=B95,INDIRECT(A96&amp;ROW())=C93),1,IF(AND(INDIRECT(A73&amp;ROW())=B95,INDIRECT(A96&amp;ROW())=C94),1,0)))</f>
        <v>1</v>
      </c>
      <c r="J225">
        <f ca="1">IF(AND(INDIRECT(A73&amp;ROW())=B95,INDIRECT(A96&amp;ROW())=C95),1,IF(AND(INDIRECT(A73&amp;ROW())=B95,INDIRECT(A96&amp;ROW())=C96),1,0))</f>
        <v>0</v>
      </c>
      <c r="K225">
        <f ca="1">DAYS360(INDIRECT(C68&amp;ROW()),TODAY())</f>
        <v>682</v>
      </c>
      <c r="L225">
        <f ca="1">DAYS360(INDIRECT(C69&amp;ROW()),TODAY())</f>
        <v>828</v>
      </c>
      <c r="M225">
        <f ca="1">HYPERLINK(CONCATENATE("https://bugzilla.houston.hp.com:1181/bugzilla/show_bug.cgi?id=",INDIRECT(C70&amp;ROW())),INDIRECT(C70&amp;ROW()))</f>
        <v>55627</v>
      </c>
      <c r="N225">
        <v>55627</v>
      </c>
      <c r="O225" t="s">
        <v>53</v>
      </c>
      <c r="P225" t="s">
        <v>551</v>
      </c>
      <c r="Q225" t="s">
        <v>39</v>
      </c>
      <c r="R225" t="s">
        <v>251</v>
      </c>
      <c r="S225" t="s">
        <v>53</v>
      </c>
      <c r="U225" s="6">
        <v>42165.551458333335</v>
      </c>
      <c r="V225" t="s">
        <v>18</v>
      </c>
      <c r="W225" t="s">
        <v>17</v>
      </c>
      <c r="X225" s="6">
        <v>42018.719236111108</v>
      </c>
      <c r="Y225" t="s">
        <v>122</v>
      </c>
      <c r="AB225" t="s">
        <v>201</v>
      </c>
      <c r="AC225" t="s">
        <v>247</v>
      </c>
      <c r="AD225" t="s">
        <v>220</v>
      </c>
      <c r="AE225" t="s">
        <v>219</v>
      </c>
      <c r="AG225" t="s">
        <v>121</v>
      </c>
      <c r="AH225" t="s">
        <v>327</v>
      </c>
      <c r="AI225" t="s">
        <v>121</v>
      </c>
      <c r="AJ225" t="s">
        <v>715</v>
      </c>
      <c r="AK225" t="s">
        <v>121</v>
      </c>
    </row>
    <row r="226" spans="9:37" x14ac:dyDescent="0.3">
      <c r="I226">
        <f ca="1">IF(OR(INDIRECT(A73&amp;ROW())=B93,INDIRECT(A73&amp;ROW())=B94),1,IF(AND(INDIRECT(A73&amp;ROW())=B95,INDIRECT(A96&amp;ROW())=C93),1,IF(AND(INDIRECT(A73&amp;ROW())=B95,INDIRECT(A96&amp;ROW())=C94),1,0)))</f>
        <v>0</v>
      </c>
      <c r="J226">
        <f ca="1">IF(AND(INDIRECT(A73&amp;ROW())=B95,INDIRECT(A96&amp;ROW())=C95),1,IF(AND(INDIRECT(A73&amp;ROW())=B95,INDIRECT(A96&amp;ROW())=C96),1,0))</f>
        <v>0</v>
      </c>
      <c r="K226">
        <f ca="1">DAYS360(INDIRECT(C68&amp;ROW()),TODAY())</f>
        <v>721</v>
      </c>
      <c r="L226">
        <f ca="1">DAYS360(INDIRECT(C69&amp;ROW()),TODAY())</f>
        <v>827</v>
      </c>
      <c r="M226">
        <f ca="1">HYPERLINK(CONCATENATE("https://bugzilla.houston.hp.com:1181/bugzilla/show_bug.cgi?id=",INDIRECT(C70&amp;ROW())),INDIRECT(C70&amp;ROW()))</f>
        <v>55690</v>
      </c>
      <c r="N226">
        <v>55690</v>
      </c>
      <c r="O226" t="s">
        <v>22</v>
      </c>
      <c r="P226" t="s">
        <v>557</v>
      </c>
      <c r="Q226" t="s">
        <v>16</v>
      </c>
      <c r="R226" t="s">
        <v>251</v>
      </c>
      <c r="S226" t="s">
        <v>22</v>
      </c>
      <c r="U226" s="6">
        <v>42125.450775462959</v>
      </c>
      <c r="V226" t="s">
        <v>18</v>
      </c>
      <c r="W226" t="s">
        <v>17</v>
      </c>
      <c r="X226" s="6">
        <v>42019.371122685188</v>
      </c>
      <c r="Y226" t="s">
        <v>122</v>
      </c>
      <c r="AB226" t="s">
        <v>201</v>
      </c>
      <c r="AC226" t="s">
        <v>247</v>
      </c>
      <c r="AD226" t="s">
        <v>222</v>
      </c>
      <c r="AE226" t="s">
        <v>225</v>
      </c>
      <c r="AG226" t="s">
        <v>121</v>
      </c>
      <c r="AH226" t="s">
        <v>327</v>
      </c>
      <c r="AI226" t="s">
        <v>121</v>
      </c>
      <c r="AJ226" t="s">
        <v>717</v>
      </c>
      <c r="AK226" t="s">
        <v>121</v>
      </c>
    </row>
    <row r="227" spans="9:37" x14ac:dyDescent="0.3">
      <c r="I227">
        <f ca="1">IF(OR(INDIRECT(A73&amp;ROW())=B93,INDIRECT(A73&amp;ROW())=B94),1,IF(AND(INDIRECT(A73&amp;ROW())=B95,INDIRECT(A96&amp;ROW())=C93),1,IF(AND(INDIRECT(A73&amp;ROW())=B95,INDIRECT(A96&amp;ROW())=C94),1,0)))</f>
        <v>0</v>
      </c>
      <c r="J227">
        <f ca="1">IF(AND(INDIRECT(A73&amp;ROW())=B95,INDIRECT(A96&amp;ROW())=C95),1,IF(AND(INDIRECT(A73&amp;ROW())=B95,INDIRECT(A96&amp;ROW())=C96),1,0))</f>
        <v>0</v>
      </c>
      <c r="K227">
        <f ca="1">DAYS360(INDIRECT(C68&amp;ROW()),TODAY())</f>
        <v>721</v>
      </c>
      <c r="L227">
        <f ca="1">DAYS360(INDIRECT(C69&amp;ROW()),TODAY())</f>
        <v>827</v>
      </c>
      <c r="M227">
        <f ca="1">HYPERLINK(CONCATENATE("https://bugzilla.houston.hp.com:1181/bugzilla/show_bug.cgi?id=",INDIRECT(C70&amp;ROW())),INDIRECT(C70&amp;ROW()))</f>
        <v>55692</v>
      </c>
      <c r="N227">
        <v>55692</v>
      </c>
      <c r="O227" t="s">
        <v>36</v>
      </c>
      <c r="P227" t="s">
        <v>556</v>
      </c>
      <c r="Q227" t="s">
        <v>16</v>
      </c>
      <c r="R227" t="s">
        <v>248</v>
      </c>
      <c r="S227" t="s">
        <v>552</v>
      </c>
      <c r="U227" s="6">
        <v>42125.450833333336</v>
      </c>
      <c r="V227" t="s">
        <v>18</v>
      </c>
      <c r="W227" t="s">
        <v>17</v>
      </c>
      <c r="X227" s="6">
        <v>42019.375428240739</v>
      </c>
      <c r="Y227" t="s">
        <v>122</v>
      </c>
      <c r="AB227" t="s">
        <v>201</v>
      </c>
      <c r="AC227" t="s">
        <v>247</v>
      </c>
      <c r="AD227" t="s">
        <v>222</v>
      </c>
      <c r="AE227" t="s">
        <v>225</v>
      </c>
      <c r="AG227" t="s">
        <v>121</v>
      </c>
      <c r="AH227" t="s">
        <v>327</v>
      </c>
      <c r="AI227" t="s">
        <v>121</v>
      </c>
      <c r="AJ227" t="s">
        <v>717</v>
      </c>
      <c r="AK227" t="s">
        <v>121</v>
      </c>
    </row>
    <row r="228" spans="9:37" x14ac:dyDescent="0.3">
      <c r="I228">
        <f ca="1">IF(OR(INDIRECT(A73&amp;ROW())=B93,INDIRECT(A73&amp;ROW())=B94),1,IF(AND(INDIRECT(A73&amp;ROW())=B95,INDIRECT(A96&amp;ROW())=C93),1,IF(AND(INDIRECT(A73&amp;ROW())=B95,INDIRECT(A96&amp;ROW())=C94),1,0)))</f>
        <v>0</v>
      </c>
      <c r="J228">
        <f ca="1">IF(AND(INDIRECT(A73&amp;ROW())=B95,INDIRECT(A96&amp;ROW())=C95),1,IF(AND(INDIRECT(A73&amp;ROW())=B95,INDIRECT(A96&amp;ROW())=C96),1,0))</f>
        <v>0</v>
      </c>
      <c r="K228">
        <f ca="1">DAYS360(INDIRECT(C68&amp;ROW()),TODAY())</f>
        <v>729</v>
      </c>
      <c r="L228">
        <f ca="1">DAYS360(INDIRECT(C69&amp;ROW()),TODAY())</f>
        <v>827</v>
      </c>
      <c r="M228">
        <f ca="1">HYPERLINK(CONCATENATE("https://bugzilla.houston.hp.com:1181/bugzilla/show_bug.cgi?id=",INDIRECT(C70&amp;ROW())),INDIRECT(C70&amp;ROW()))</f>
        <v>55707</v>
      </c>
      <c r="N228">
        <v>55707</v>
      </c>
      <c r="O228" t="s">
        <v>374</v>
      </c>
      <c r="P228" t="s">
        <v>555</v>
      </c>
      <c r="Q228" t="s">
        <v>16</v>
      </c>
      <c r="R228" t="s">
        <v>251</v>
      </c>
      <c r="S228" t="s">
        <v>374</v>
      </c>
      <c r="U228" s="6">
        <v>42117.405405092592</v>
      </c>
      <c r="V228" t="s">
        <v>18</v>
      </c>
      <c r="W228" t="s">
        <v>17</v>
      </c>
      <c r="X228" s="6">
        <v>42019.951620370368</v>
      </c>
      <c r="Y228" t="s">
        <v>787</v>
      </c>
      <c r="AB228" t="s">
        <v>200</v>
      </c>
      <c r="AC228" t="s">
        <v>247</v>
      </c>
      <c r="AD228" t="s">
        <v>227</v>
      </c>
      <c r="AE228" t="s">
        <v>237</v>
      </c>
      <c r="AG228" t="s">
        <v>121</v>
      </c>
      <c r="AH228" t="s">
        <v>327</v>
      </c>
      <c r="AI228" t="s">
        <v>121</v>
      </c>
      <c r="AJ228" t="s">
        <v>716</v>
      </c>
      <c r="AK228" t="s">
        <v>121</v>
      </c>
    </row>
    <row r="229" spans="9:37" x14ac:dyDescent="0.3">
      <c r="I229">
        <f ca="1">IF(OR(INDIRECT(A73&amp;ROW())=B93,INDIRECT(A73&amp;ROW())=B94),1,IF(AND(INDIRECT(A73&amp;ROW())=B95,INDIRECT(A96&amp;ROW())=C93),1,IF(AND(INDIRECT(A73&amp;ROW())=B95,INDIRECT(A96&amp;ROW())=C94),1,0)))</f>
        <v>0</v>
      </c>
      <c r="J229">
        <f ca="1">IF(AND(INDIRECT(A73&amp;ROW())=B95,INDIRECT(A96&amp;ROW())=C95),1,IF(AND(INDIRECT(A73&amp;ROW())=B95,INDIRECT(A96&amp;ROW())=C96),1,0))</f>
        <v>1</v>
      </c>
      <c r="K229">
        <f ca="1">DAYS360(INDIRECT(C68&amp;ROW()),TODAY())</f>
        <v>730</v>
      </c>
      <c r="L229">
        <f ca="1">DAYS360(INDIRECT(C69&amp;ROW()),TODAY())</f>
        <v>826</v>
      </c>
      <c r="M229">
        <f ca="1">HYPERLINK(CONCATENATE("https://bugzilla.houston.hp.com:1181/bugzilla/show_bug.cgi?id=",INDIRECT(C70&amp;ROW())),INDIRECT(C70&amp;ROW()))</f>
        <v>55719</v>
      </c>
      <c r="N229">
        <v>55719</v>
      </c>
      <c r="O229" t="s">
        <v>21</v>
      </c>
      <c r="P229" t="s">
        <v>554</v>
      </c>
      <c r="Q229" t="s">
        <v>25</v>
      </c>
      <c r="R229" t="s">
        <v>251</v>
      </c>
      <c r="S229" t="s">
        <v>553</v>
      </c>
      <c r="U229" s="6">
        <v>42116.734351851854</v>
      </c>
      <c r="V229" t="s">
        <v>35</v>
      </c>
      <c r="W229" t="s">
        <v>17</v>
      </c>
      <c r="X229" s="6">
        <v>42020.166122685187</v>
      </c>
      <c r="Y229" t="s">
        <v>124</v>
      </c>
      <c r="AB229" t="s">
        <v>201</v>
      </c>
      <c r="AC229" t="s">
        <v>247</v>
      </c>
      <c r="AD229" t="s">
        <v>222</v>
      </c>
      <c r="AE229" t="s">
        <v>221</v>
      </c>
      <c r="AG229" t="s">
        <v>121</v>
      </c>
      <c r="AH229" t="s">
        <v>327</v>
      </c>
      <c r="AI229" t="s">
        <v>121</v>
      </c>
      <c r="AJ229" t="s">
        <v>716</v>
      </c>
      <c r="AK229" t="s">
        <v>121</v>
      </c>
    </row>
    <row r="230" spans="9:37" x14ac:dyDescent="0.3">
      <c r="I230">
        <f ca="1">IF(OR(INDIRECT(A73&amp;ROW())=B93,INDIRECT(A73&amp;ROW())=B94),1,IF(AND(INDIRECT(A73&amp;ROW())=B95,INDIRECT(A96&amp;ROW())=C93),1,IF(AND(INDIRECT(A73&amp;ROW())=B95,INDIRECT(A96&amp;ROW())=C94),1,0)))</f>
        <v>1</v>
      </c>
      <c r="J230">
        <f ca="1">IF(AND(INDIRECT(A73&amp;ROW())=B95,INDIRECT(A96&amp;ROW())=C95),1,IF(AND(INDIRECT(A73&amp;ROW())=B95,INDIRECT(A96&amp;ROW())=C96),1,0))</f>
        <v>0</v>
      </c>
      <c r="K230">
        <f ca="1">DAYS360(INDIRECT(C68&amp;ROW()),TODAY())</f>
        <v>675</v>
      </c>
      <c r="L230">
        <f ca="1">DAYS360(INDIRECT(C69&amp;ROW()),TODAY())</f>
        <v>826</v>
      </c>
      <c r="M230">
        <f ca="1">HYPERLINK(CONCATENATE("https://bugzilla.houston.hp.com:1181/bugzilla/show_bug.cgi?id=",INDIRECT(C70&amp;ROW())),INDIRECT(C70&amp;ROW()))</f>
        <v>55766</v>
      </c>
      <c r="N230">
        <v>55766</v>
      </c>
      <c r="O230" t="s">
        <v>856</v>
      </c>
      <c r="P230" t="s">
        <v>558</v>
      </c>
      <c r="Q230" t="s">
        <v>25</v>
      </c>
      <c r="R230" t="s">
        <v>251</v>
      </c>
      <c r="S230" t="s">
        <v>43</v>
      </c>
      <c r="T230" t="s">
        <v>1276</v>
      </c>
      <c r="U230" s="6">
        <v>42172.013622685183</v>
      </c>
      <c r="V230" t="s">
        <v>35</v>
      </c>
      <c r="W230" t="s">
        <v>17</v>
      </c>
      <c r="X230" s="6">
        <v>42020.673159722224</v>
      </c>
      <c r="Y230" t="s">
        <v>122</v>
      </c>
      <c r="AB230" t="s">
        <v>200</v>
      </c>
      <c r="AC230" t="s">
        <v>247</v>
      </c>
      <c r="AD230" t="s">
        <v>220</v>
      </c>
      <c r="AE230" t="s">
        <v>219</v>
      </c>
      <c r="AG230" t="s">
        <v>121</v>
      </c>
      <c r="AH230" t="s">
        <v>327</v>
      </c>
      <c r="AI230" t="s">
        <v>121</v>
      </c>
      <c r="AJ230" t="s">
        <v>715</v>
      </c>
      <c r="AK230" t="s">
        <v>121</v>
      </c>
    </row>
    <row r="231" spans="9:37" x14ac:dyDescent="0.3">
      <c r="I231">
        <f ca="1">IF(OR(INDIRECT(A73&amp;ROW())=B93,INDIRECT(A73&amp;ROW())=B94),1,IF(AND(INDIRECT(A73&amp;ROW())=B95,INDIRECT(A96&amp;ROW())=C93),1,IF(AND(INDIRECT(A73&amp;ROW())=B95,INDIRECT(A96&amp;ROW())=C94),1,0)))</f>
        <v>0</v>
      </c>
      <c r="J231">
        <f ca="1">IF(AND(INDIRECT(A73&amp;ROW())=B95,INDIRECT(A96&amp;ROW())=C95),1,IF(AND(INDIRECT(A73&amp;ROW())=B95,INDIRECT(A96&amp;ROW())=C96),1,0))</f>
        <v>0</v>
      </c>
      <c r="K231">
        <f ca="1">DAYS360(INDIRECT(C68&amp;ROW()),TODAY())</f>
        <v>728</v>
      </c>
      <c r="L231">
        <f ca="1">DAYS360(INDIRECT(C69&amp;ROW()),TODAY())</f>
        <v>821</v>
      </c>
      <c r="M231" s="11">
        <f ca="1">HYPERLINK(CONCATENATE("https://bugzilla.houston.hp.com:1181/bugzilla/show_bug.cgi?id=",INDIRECT(C70&amp;ROW())),INDIRECT(C70&amp;ROW()))</f>
        <v>55900</v>
      </c>
      <c r="N231">
        <v>55900</v>
      </c>
      <c r="O231" t="s">
        <v>56</v>
      </c>
      <c r="P231" t="s">
        <v>566</v>
      </c>
      <c r="Q231" t="s">
        <v>16</v>
      </c>
      <c r="R231" t="s">
        <v>251</v>
      </c>
      <c r="S231" t="s">
        <v>59</v>
      </c>
      <c r="U231" s="6">
        <v>42118.523414351854</v>
      </c>
      <c r="V231" t="s">
        <v>18</v>
      </c>
      <c r="W231" t="s">
        <v>17</v>
      </c>
      <c r="X231" s="6">
        <v>42025.187048611115</v>
      </c>
      <c r="Y231" t="s">
        <v>788</v>
      </c>
      <c r="AB231" t="s">
        <v>201</v>
      </c>
      <c r="AC231" t="s">
        <v>247</v>
      </c>
      <c r="AD231" t="s">
        <v>220</v>
      </c>
      <c r="AE231" t="s">
        <v>219</v>
      </c>
      <c r="AG231" t="s">
        <v>121</v>
      </c>
      <c r="AH231" t="s">
        <v>327</v>
      </c>
      <c r="AI231" t="s">
        <v>121</v>
      </c>
      <c r="AJ231" t="s">
        <v>717</v>
      </c>
      <c r="AK231" t="s">
        <v>121</v>
      </c>
    </row>
    <row r="232" spans="9:37" x14ac:dyDescent="0.3">
      <c r="I232">
        <f ca="1">IF(OR(INDIRECT(A73&amp;ROW())=B93,INDIRECT(A73&amp;ROW())=B94),1,IF(AND(INDIRECT(A73&amp;ROW())=B95,INDIRECT(A96&amp;ROW())=C93),1,IF(AND(INDIRECT(A73&amp;ROW())=B95,INDIRECT(A96&amp;ROW())=C94),1,0)))</f>
        <v>0</v>
      </c>
      <c r="J232">
        <f ca="1">IF(AND(INDIRECT(A73&amp;ROW())=B95,INDIRECT(A96&amp;ROW())=C95),1,IF(AND(INDIRECT(A73&amp;ROW())=B95,INDIRECT(A96&amp;ROW())=C96),1,0))</f>
        <v>0</v>
      </c>
      <c r="K232">
        <f ca="1">DAYS360(INDIRECT(C68&amp;ROW()),TODAY())</f>
        <v>728</v>
      </c>
      <c r="L232">
        <f ca="1">DAYS360(INDIRECT(C69&amp;ROW()),TODAY())</f>
        <v>821</v>
      </c>
      <c r="M232" s="11">
        <f ca="1">HYPERLINK(CONCATENATE("https://bugzilla.houston.hp.com:1181/bugzilla/show_bug.cgi?id=",INDIRECT(C70&amp;ROW())),INDIRECT(C70&amp;ROW()))</f>
        <v>55915</v>
      </c>
      <c r="N232">
        <v>55915</v>
      </c>
      <c r="O232" t="s">
        <v>66</v>
      </c>
      <c r="P232" t="s">
        <v>565</v>
      </c>
      <c r="Q232" t="s">
        <v>16</v>
      </c>
      <c r="R232" t="s">
        <v>251</v>
      </c>
      <c r="S232" t="s">
        <v>66</v>
      </c>
      <c r="U232" s="6">
        <v>42118.523506944446</v>
      </c>
      <c r="V232" t="s">
        <v>18</v>
      </c>
      <c r="W232" t="s">
        <v>17</v>
      </c>
      <c r="X232" s="6">
        <v>42025.416770833333</v>
      </c>
      <c r="Y232" t="s">
        <v>124</v>
      </c>
      <c r="AB232" t="s">
        <v>201</v>
      </c>
      <c r="AC232" t="s">
        <v>247</v>
      </c>
      <c r="AD232" t="s">
        <v>220</v>
      </c>
      <c r="AE232" t="s">
        <v>219</v>
      </c>
      <c r="AG232" t="s">
        <v>121</v>
      </c>
      <c r="AH232" t="s">
        <v>327</v>
      </c>
      <c r="AI232" t="s">
        <v>121</v>
      </c>
      <c r="AJ232" t="s">
        <v>717</v>
      </c>
      <c r="AK232" t="s">
        <v>121</v>
      </c>
    </row>
    <row r="233" spans="9:37" x14ac:dyDescent="0.3">
      <c r="I233">
        <f ca="1">IF(OR(INDIRECT(A73&amp;ROW())=B93,INDIRECT(A73&amp;ROW())=B94),1,IF(AND(INDIRECT(A73&amp;ROW())=B95,INDIRECT(A96&amp;ROW())=C93),1,IF(AND(INDIRECT(A73&amp;ROW())=B95,INDIRECT(A96&amp;ROW())=C94),1,0)))</f>
        <v>0</v>
      </c>
      <c r="J233">
        <f ca="1">IF(AND(INDIRECT(A73&amp;ROW())=B95,INDIRECT(A96&amp;ROW())=C95),1,IF(AND(INDIRECT(A73&amp;ROW())=B95,INDIRECT(A96&amp;ROW())=C96),1,0))</f>
        <v>1</v>
      </c>
      <c r="K233">
        <f ca="1">DAYS360(INDIRECT(C68&amp;ROW()),TODAY())</f>
        <v>684</v>
      </c>
      <c r="L233">
        <f ca="1">DAYS360(INDIRECT(C69&amp;ROW()),TODAY())</f>
        <v>821</v>
      </c>
      <c r="M233">
        <f ca="1">HYPERLINK(CONCATENATE("https://bugzilla.houston.hp.com:1181/bugzilla/show_bug.cgi?id=",INDIRECT(C70&amp;ROW())),INDIRECT(C70&amp;ROW()))</f>
        <v>55920</v>
      </c>
      <c r="N233">
        <v>55920</v>
      </c>
      <c r="O233" t="s">
        <v>66</v>
      </c>
      <c r="P233" t="s">
        <v>564</v>
      </c>
      <c r="Q233" t="s">
        <v>25</v>
      </c>
      <c r="R233" t="s">
        <v>251</v>
      </c>
      <c r="S233" t="s">
        <v>66</v>
      </c>
      <c r="U233" s="6">
        <v>42163.59784722222</v>
      </c>
      <c r="V233" t="s">
        <v>18</v>
      </c>
      <c r="W233" t="s">
        <v>17</v>
      </c>
      <c r="X233" s="6">
        <v>42025.463854166665</v>
      </c>
      <c r="Y233" t="s">
        <v>124</v>
      </c>
      <c r="AB233" t="s">
        <v>201</v>
      </c>
      <c r="AC233" t="s">
        <v>247</v>
      </c>
      <c r="AD233" t="s">
        <v>220</v>
      </c>
      <c r="AE233" t="s">
        <v>219</v>
      </c>
      <c r="AG233" t="s">
        <v>121</v>
      </c>
      <c r="AH233" t="s">
        <v>327</v>
      </c>
      <c r="AI233" t="s">
        <v>121</v>
      </c>
      <c r="AJ233" t="s">
        <v>716</v>
      </c>
      <c r="AK233" t="s">
        <v>121</v>
      </c>
    </row>
    <row r="234" spans="9:37" x14ac:dyDescent="0.3">
      <c r="I234">
        <f ca="1">IF(OR(INDIRECT(A73&amp;ROW())=B93,INDIRECT(A73&amp;ROW())=B94),1,IF(AND(INDIRECT(A73&amp;ROW())=B95,INDIRECT(A96&amp;ROW())=C93),1,IF(AND(INDIRECT(A73&amp;ROW())=B95,INDIRECT(A96&amp;ROW())=C94),1,0)))</f>
        <v>0</v>
      </c>
      <c r="J234">
        <f ca="1">IF(AND(INDIRECT(A73&amp;ROW())=B95,INDIRECT(A96&amp;ROW())=C95),1,IF(AND(INDIRECT(A73&amp;ROW())=B95,INDIRECT(A96&amp;ROW())=C96),1,0))</f>
        <v>1</v>
      </c>
      <c r="K234">
        <f ca="1">DAYS360(INDIRECT(C68&amp;ROW()),TODAY())</f>
        <v>800</v>
      </c>
      <c r="L234">
        <f ca="1">DAYS360(INDIRECT(C69&amp;ROW()),TODAY())</f>
        <v>821</v>
      </c>
      <c r="M234">
        <f ca="1">HYPERLINK(CONCATENATE("https://bugzilla.houston.hp.com:1181/bugzilla/show_bug.cgi?id=",INDIRECT(C70&amp;ROW())),INDIRECT(C70&amp;ROW()))</f>
        <v>55923</v>
      </c>
      <c r="N234">
        <v>55923</v>
      </c>
      <c r="O234" t="s">
        <v>56</v>
      </c>
      <c r="P234" t="s">
        <v>563</v>
      </c>
      <c r="Q234" t="s">
        <v>25</v>
      </c>
      <c r="R234" t="s">
        <v>248</v>
      </c>
      <c r="S234" t="s">
        <v>552</v>
      </c>
      <c r="U234" s="6">
        <v>42047.512106481481</v>
      </c>
      <c r="V234" t="s">
        <v>18</v>
      </c>
      <c r="W234" t="s">
        <v>322</v>
      </c>
      <c r="X234" s="6">
        <v>42025.479351851849</v>
      </c>
      <c r="Y234" t="s">
        <v>124</v>
      </c>
      <c r="AB234" t="s">
        <v>201</v>
      </c>
      <c r="AC234" t="s">
        <v>247</v>
      </c>
      <c r="AD234" t="s">
        <v>220</v>
      </c>
      <c r="AE234" t="s">
        <v>219</v>
      </c>
      <c r="AG234" t="s">
        <v>121</v>
      </c>
      <c r="AH234" t="s">
        <v>327</v>
      </c>
      <c r="AI234" t="s">
        <v>121</v>
      </c>
      <c r="AJ234" t="s">
        <v>716</v>
      </c>
      <c r="AK234" t="s">
        <v>121</v>
      </c>
    </row>
    <row r="235" spans="9:37" x14ac:dyDescent="0.3">
      <c r="I235">
        <f ca="1">IF(OR(INDIRECT(A73&amp;ROW())=B93,INDIRECT(A73&amp;ROW())=B94),1,IF(AND(INDIRECT(A73&amp;ROW())=B95,INDIRECT(A96&amp;ROW())=C93),1,IF(AND(INDIRECT(A73&amp;ROW())=B95,INDIRECT(A96&amp;ROW())=C94),1,0)))</f>
        <v>0</v>
      </c>
      <c r="J235">
        <f ca="1">IF(AND(INDIRECT(A73&amp;ROW())=B95,INDIRECT(A96&amp;ROW())=C95),1,IF(AND(INDIRECT(A73&amp;ROW())=B95,INDIRECT(A96&amp;ROW())=C96),1,0))</f>
        <v>1</v>
      </c>
      <c r="K235">
        <f ca="1">DAYS360(INDIRECT(C68&amp;ROW()),TODAY())</f>
        <v>684</v>
      </c>
      <c r="L235">
        <f ca="1">DAYS360(INDIRECT(C69&amp;ROW()),TODAY())</f>
        <v>821</v>
      </c>
      <c r="M235">
        <f ca="1">HYPERLINK(CONCATENATE("https://bugzilla.houston.hp.com:1181/bugzilla/show_bug.cgi?id=",INDIRECT(C70&amp;ROW())),INDIRECT(C70&amp;ROW()))</f>
        <v>55928</v>
      </c>
      <c r="N235">
        <v>55928</v>
      </c>
      <c r="O235" t="s">
        <v>56</v>
      </c>
      <c r="P235" t="s">
        <v>562</v>
      </c>
      <c r="Q235" t="s">
        <v>25</v>
      </c>
      <c r="R235" t="s">
        <v>251</v>
      </c>
      <c r="S235" t="s">
        <v>66</v>
      </c>
      <c r="U235" s="6">
        <v>42163.599583333336</v>
      </c>
      <c r="V235" t="s">
        <v>18</v>
      </c>
      <c r="W235" t="s">
        <v>17</v>
      </c>
      <c r="X235" s="6">
        <v>42025.595729166664</v>
      </c>
      <c r="Y235" t="s">
        <v>122</v>
      </c>
      <c r="AB235" t="s">
        <v>201</v>
      </c>
      <c r="AC235" t="s">
        <v>247</v>
      </c>
      <c r="AD235" t="s">
        <v>220</v>
      </c>
      <c r="AE235" t="s">
        <v>219</v>
      </c>
      <c r="AG235" t="s">
        <v>121</v>
      </c>
      <c r="AH235" t="s">
        <v>327</v>
      </c>
      <c r="AI235" t="s">
        <v>121</v>
      </c>
      <c r="AJ235" t="s">
        <v>716</v>
      </c>
      <c r="AK235" t="s">
        <v>121</v>
      </c>
    </row>
    <row r="236" spans="9:37" x14ac:dyDescent="0.3">
      <c r="I236">
        <f ca="1">IF(OR(INDIRECT(A73&amp;ROW())=B93,INDIRECT(A73&amp;ROW())=B94),1,IF(AND(INDIRECT(A73&amp;ROW())=B95,INDIRECT(A96&amp;ROW())=C93),1,IF(AND(INDIRECT(A73&amp;ROW())=B95,INDIRECT(A96&amp;ROW())=C94),1,0)))</f>
        <v>0</v>
      </c>
      <c r="J236">
        <f ca="1">IF(AND(INDIRECT(A73&amp;ROW())=B95,INDIRECT(A96&amp;ROW())=C95),1,IF(AND(INDIRECT(A73&amp;ROW())=B95,INDIRECT(A96&amp;ROW())=C96),1,0))</f>
        <v>1</v>
      </c>
      <c r="K236">
        <f ca="1">DAYS360(INDIRECT(C68&amp;ROW()),TODAY())</f>
        <v>721</v>
      </c>
      <c r="L236">
        <f ca="1">DAYS360(INDIRECT(C69&amp;ROW()),TODAY())</f>
        <v>821</v>
      </c>
      <c r="M236">
        <f ca="1">HYPERLINK(CONCATENATE("https://bugzilla.houston.hp.com:1181/bugzilla/show_bug.cgi?id=",INDIRECT(C70&amp;ROW())),INDIRECT(C70&amp;ROW()))</f>
        <v>55929</v>
      </c>
      <c r="N236">
        <v>55929</v>
      </c>
      <c r="O236" t="s">
        <v>66</v>
      </c>
      <c r="P236" t="s">
        <v>561</v>
      </c>
      <c r="Q236" t="s">
        <v>25</v>
      </c>
      <c r="R236" t="s">
        <v>251</v>
      </c>
      <c r="S236" t="s">
        <v>66</v>
      </c>
      <c r="U236" s="6">
        <v>42125.451828703706</v>
      </c>
      <c r="V236" t="s">
        <v>18</v>
      </c>
      <c r="W236" t="s">
        <v>17</v>
      </c>
      <c r="X236" s="6">
        <v>42025.615925925929</v>
      </c>
      <c r="Y236" t="s">
        <v>122</v>
      </c>
      <c r="AB236" t="s">
        <v>201</v>
      </c>
      <c r="AC236" t="s">
        <v>247</v>
      </c>
      <c r="AD236" t="s">
        <v>220</v>
      </c>
      <c r="AE236" t="s">
        <v>219</v>
      </c>
      <c r="AG236" t="s">
        <v>121</v>
      </c>
      <c r="AH236" t="s">
        <v>327</v>
      </c>
      <c r="AI236" t="s">
        <v>121</v>
      </c>
      <c r="AJ236" t="s">
        <v>716</v>
      </c>
      <c r="AK236" t="s">
        <v>121</v>
      </c>
    </row>
    <row r="237" spans="9:37" x14ac:dyDescent="0.3">
      <c r="I237">
        <f ca="1">IF(OR(INDIRECT(A73&amp;ROW())=B93,INDIRECT(A73&amp;ROW())=B94),1,IF(AND(INDIRECT(A73&amp;ROW())=B95,INDIRECT(A96&amp;ROW())=C93),1,IF(AND(INDIRECT(A73&amp;ROW())=B95,INDIRECT(A96&amp;ROW())=C94),1,0)))</f>
        <v>0</v>
      </c>
      <c r="J237">
        <f ca="1">IF(AND(INDIRECT(A73&amp;ROW())=B95,INDIRECT(A96&amp;ROW())=C95),1,IF(AND(INDIRECT(A73&amp;ROW())=B95,INDIRECT(A96&amp;ROW())=C96),1,0))</f>
        <v>1</v>
      </c>
      <c r="K237">
        <f ca="1">DAYS360(INDIRECT(C68&amp;ROW()),TODAY())</f>
        <v>721</v>
      </c>
      <c r="L237">
        <f ca="1">DAYS360(INDIRECT(C69&amp;ROW()),TODAY())</f>
        <v>821</v>
      </c>
      <c r="M237">
        <f ca="1">HYPERLINK(CONCATENATE("https://bugzilla.houston.hp.com:1181/bugzilla/show_bug.cgi?id=",INDIRECT(C70&amp;ROW())),INDIRECT(C70&amp;ROW()))</f>
        <v>55934</v>
      </c>
      <c r="N237">
        <v>55934</v>
      </c>
      <c r="O237" t="s">
        <v>56</v>
      </c>
      <c r="P237" t="s">
        <v>560</v>
      </c>
      <c r="Q237" t="s">
        <v>25</v>
      </c>
      <c r="R237" t="s">
        <v>248</v>
      </c>
      <c r="S237" t="s">
        <v>552</v>
      </c>
      <c r="U237" s="6">
        <v>42125.451736111114</v>
      </c>
      <c r="V237" t="s">
        <v>18</v>
      </c>
      <c r="W237" t="s">
        <v>322</v>
      </c>
      <c r="X237" s="6">
        <v>42025.632627314815</v>
      </c>
      <c r="Y237" t="s">
        <v>122</v>
      </c>
      <c r="AB237" t="s">
        <v>201</v>
      </c>
      <c r="AC237" t="s">
        <v>247</v>
      </c>
      <c r="AD237" t="s">
        <v>220</v>
      </c>
      <c r="AE237" t="s">
        <v>219</v>
      </c>
      <c r="AG237" t="s">
        <v>121</v>
      </c>
      <c r="AH237" t="s">
        <v>327</v>
      </c>
      <c r="AI237" t="s">
        <v>121</v>
      </c>
      <c r="AJ237" t="s">
        <v>716</v>
      </c>
      <c r="AK237" t="s">
        <v>121</v>
      </c>
    </row>
    <row r="238" spans="9:37" x14ac:dyDescent="0.3">
      <c r="I238">
        <f ca="1">IF(OR(INDIRECT(A73&amp;ROW())=B93,INDIRECT(A73&amp;ROW())=B94),1,IF(AND(INDIRECT(A73&amp;ROW())=B95,INDIRECT(A96&amp;ROW())=C93),1,IF(AND(INDIRECT(A73&amp;ROW())=B95,INDIRECT(A96&amp;ROW())=C94),1,0)))</f>
        <v>0</v>
      </c>
      <c r="J238">
        <f ca="1">IF(AND(INDIRECT(A73&amp;ROW())=B95,INDIRECT(A96&amp;ROW())=C95),1,IF(AND(INDIRECT(A73&amp;ROW())=B95,INDIRECT(A96&amp;ROW())=C96),1,0))</f>
        <v>1</v>
      </c>
      <c r="K238">
        <f ca="1">DAYS360(INDIRECT(C68&amp;ROW()),TODAY())</f>
        <v>721</v>
      </c>
      <c r="L238">
        <f ca="1">DAYS360(INDIRECT(C69&amp;ROW()),TODAY())</f>
        <v>821</v>
      </c>
      <c r="M238">
        <f ca="1">HYPERLINK(CONCATENATE("https://bugzilla.houston.hp.com:1181/bugzilla/show_bug.cgi?id=",INDIRECT(C70&amp;ROW())),INDIRECT(C70&amp;ROW()))</f>
        <v>55935</v>
      </c>
      <c r="N238">
        <v>55935</v>
      </c>
      <c r="O238" t="s">
        <v>56</v>
      </c>
      <c r="P238" t="s">
        <v>559</v>
      </c>
      <c r="Q238" t="s">
        <v>25</v>
      </c>
      <c r="R238" t="s">
        <v>248</v>
      </c>
      <c r="S238" t="s">
        <v>552</v>
      </c>
      <c r="U238" s="6">
        <v>42125.450902777775</v>
      </c>
      <c r="V238" t="s">
        <v>18</v>
      </c>
      <c r="W238" t="s">
        <v>322</v>
      </c>
      <c r="X238" s="6">
        <v>42025.634236111109</v>
      </c>
      <c r="Y238" t="s">
        <v>122</v>
      </c>
      <c r="AB238" t="s">
        <v>201</v>
      </c>
      <c r="AC238" t="s">
        <v>247</v>
      </c>
      <c r="AD238" t="s">
        <v>220</v>
      </c>
      <c r="AE238" t="s">
        <v>219</v>
      </c>
      <c r="AG238" t="s">
        <v>121</v>
      </c>
      <c r="AH238" t="s">
        <v>327</v>
      </c>
      <c r="AI238" t="s">
        <v>121</v>
      </c>
      <c r="AJ238" t="s">
        <v>716</v>
      </c>
      <c r="AK238" t="s">
        <v>121</v>
      </c>
    </row>
    <row r="239" spans="9:37" x14ac:dyDescent="0.3">
      <c r="I239">
        <f ca="1">IF(OR(INDIRECT(A73&amp;ROW())=B93,INDIRECT(A73&amp;ROW())=B94),1,IF(AND(INDIRECT(A73&amp;ROW())=B95,INDIRECT(A96&amp;ROW())=C93),1,IF(AND(INDIRECT(A73&amp;ROW())=B95,INDIRECT(A96&amp;ROW())=C94),1,0)))</f>
        <v>0</v>
      </c>
      <c r="J239">
        <f ca="1">IF(AND(INDIRECT(A73&amp;ROW())=B95,INDIRECT(A96&amp;ROW())=C95),1,IF(AND(INDIRECT(A73&amp;ROW())=B95,INDIRECT(A96&amp;ROW())=C96),1,0))</f>
        <v>1</v>
      </c>
      <c r="K239">
        <f ca="1">DAYS360(INDIRECT(C68&amp;ROW()),TODAY())</f>
        <v>721</v>
      </c>
      <c r="L239">
        <f ca="1">DAYS360(INDIRECT(C69&amp;ROW()),TODAY())</f>
        <v>820</v>
      </c>
      <c r="M239">
        <f ca="1">HYPERLINK(CONCATENATE("https://bugzilla.houston.hp.com:1181/bugzilla/show_bug.cgi?id=",INDIRECT(C70&amp;ROW())),INDIRECT(C70&amp;ROW()))</f>
        <v>55967</v>
      </c>
      <c r="N239">
        <v>55967</v>
      </c>
      <c r="O239" t="s">
        <v>21</v>
      </c>
      <c r="P239" t="s">
        <v>575</v>
      </c>
      <c r="Q239" t="s">
        <v>25</v>
      </c>
      <c r="R239" t="s">
        <v>251</v>
      </c>
      <c r="S239" t="s">
        <v>316</v>
      </c>
      <c r="U239" s="6">
        <v>42125.676608796297</v>
      </c>
      <c r="V239" t="s">
        <v>18</v>
      </c>
      <c r="W239" t="s">
        <v>17</v>
      </c>
      <c r="X239" s="6">
        <v>42026.318402777775</v>
      </c>
      <c r="Y239" t="s">
        <v>255</v>
      </c>
      <c r="AB239" t="s">
        <v>201</v>
      </c>
      <c r="AC239" t="s">
        <v>247</v>
      </c>
      <c r="AD239" t="s">
        <v>222</v>
      </c>
      <c r="AE239" t="s">
        <v>225</v>
      </c>
      <c r="AG239" t="s">
        <v>121</v>
      </c>
      <c r="AH239" t="s">
        <v>327</v>
      </c>
      <c r="AI239" t="s">
        <v>362</v>
      </c>
      <c r="AJ239" t="s">
        <v>716</v>
      </c>
      <c r="AK239" t="s">
        <v>121</v>
      </c>
    </row>
    <row r="240" spans="9:37" x14ac:dyDescent="0.3">
      <c r="I240">
        <f ca="1">IF(OR(INDIRECT(A73&amp;ROW())=B93,INDIRECT(A73&amp;ROW())=B94),1,IF(AND(INDIRECT(A73&amp;ROW())=B95,INDIRECT(A96&amp;ROW())=C93),1,IF(AND(INDIRECT(A73&amp;ROW())=B95,INDIRECT(A96&amp;ROW())=C94),1,0)))</f>
        <v>0</v>
      </c>
      <c r="J240">
        <f ca="1">IF(AND(INDIRECT(A73&amp;ROW())=B95,INDIRECT(A96&amp;ROW())=C95),1,IF(AND(INDIRECT(A73&amp;ROW())=B95,INDIRECT(A96&amp;ROW())=C96),1,0))</f>
        <v>1</v>
      </c>
      <c r="K240">
        <f ca="1">DAYS360(INDIRECT(C68&amp;ROW()),TODAY())</f>
        <v>721</v>
      </c>
      <c r="L240">
        <f ca="1">DAYS360(INDIRECT(C69&amp;ROW()),TODAY())</f>
        <v>820</v>
      </c>
      <c r="M240">
        <f ca="1">HYPERLINK(CONCATENATE("https://bugzilla.houston.hp.com:1181/bugzilla/show_bug.cgi?id=",INDIRECT(C70&amp;ROW())),INDIRECT(C70&amp;ROW()))</f>
        <v>55968</v>
      </c>
      <c r="N240">
        <v>55968</v>
      </c>
      <c r="O240" t="s">
        <v>21</v>
      </c>
      <c r="P240" t="s">
        <v>574</v>
      </c>
      <c r="Q240" t="s">
        <v>25</v>
      </c>
      <c r="R240" t="s">
        <v>251</v>
      </c>
      <c r="S240" t="s">
        <v>316</v>
      </c>
      <c r="U240" s="6">
        <v>42125.677905092591</v>
      </c>
      <c r="V240" t="s">
        <v>18</v>
      </c>
      <c r="W240" t="s">
        <v>17</v>
      </c>
      <c r="X240" s="6">
        <v>42026.333229166667</v>
      </c>
      <c r="Y240" t="s">
        <v>255</v>
      </c>
      <c r="AB240" t="s">
        <v>201</v>
      </c>
      <c r="AC240" t="s">
        <v>247</v>
      </c>
      <c r="AD240" t="s">
        <v>222</v>
      </c>
      <c r="AE240" t="s">
        <v>240</v>
      </c>
      <c r="AG240" t="s">
        <v>121</v>
      </c>
      <c r="AH240" t="s">
        <v>327</v>
      </c>
      <c r="AI240" t="s">
        <v>121</v>
      </c>
      <c r="AJ240" t="s">
        <v>716</v>
      </c>
      <c r="AK240" t="s">
        <v>121</v>
      </c>
    </row>
    <row r="241" spans="9:37" x14ac:dyDescent="0.3">
      <c r="I241">
        <f ca="1">IF(OR(INDIRECT(A73&amp;ROW())=B93,INDIRECT(A73&amp;ROW())=B94),1,IF(AND(INDIRECT(A73&amp;ROW())=B95,INDIRECT(A96&amp;ROW())=C93),1,IF(AND(INDIRECT(A73&amp;ROW())=B95,INDIRECT(A96&amp;ROW())=C94),1,0)))</f>
        <v>0</v>
      </c>
      <c r="J241">
        <f ca="1">IF(AND(INDIRECT(A73&amp;ROW())=B95,INDIRECT(A96&amp;ROW())=C95),1,IF(AND(INDIRECT(A73&amp;ROW())=B95,INDIRECT(A96&amp;ROW())=C96),1,0))</f>
        <v>1</v>
      </c>
      <c r="K241">
        <f ca="1">DAYS360(INDIRECT(C68&amp;ROW()),TODAY())</f>
        <v>721</v>
      </c>
      <c r="L241">
        <f ca="1">DAYS360(INDIRECT(C69&amp;ROW()),TODAY())</f>
        <v>820</v>
      </c>
      <c r="M241">
        <f ca="1">HYPERLINK(CONCATENATE("https://bugzilla.houston.hp.com:1181/bugzilla/show_bug.cgi?id=",INDIRECT(C70&amp;ROW())),INDIRECT(C70&amp;ROW()))</f>
        <v>55971</v>
      </c>
      <c r="N241">
        <v>55971</v>
      </c>
      <c r="O241" t="s">
        <v>56</v>
      </c>
      <c r="P241" t="s">
        <v>570</v>
      </c>
      <c r="Q241" t="s">
        <v>25</v>
      </c>
      <c r="R241" t="s">
        <v>251</v>
      </c>
      <c r="S241" t="s">
        <v>66</v>
      </c>
      <c r="U241" s="6">
        <v>42125.45171296296</v>
      </c>
      <c r="V241" t="s">
        <v>18</v>
      </c>
      <c r="W241" t="s">
        <v>17</v>
      </c>
      <c r="X241" s="6">
        <v>42026.434212962966</v>
      </c>
      <c r="Y241" t="s">
        <v>122</v>
      </c>
      <c r="AB241" t="s">
        <v>201</v>
      </c>
      <c r="AC241" t="s">
        <v>247</v>
      </c>
      <c r="AD241" t="s">
        <v>220</v>
      </c>
      <c r="AE241" t="s">
        <v>219</v>
      </c>
      <c r="AG241" t="s">
        <v>121</v>
      </c>
      <c r="AH241" t="s">
        <v>327</v>
      </c>
      <c r="AI241" t="s">
        <v>121</v>
      </c>
      <c r="AJ241" t="s">
        <v>716</v>
      </c>
      <c r="AK241" t="s">
        <v>121</v>
      </c>
    </row>
    <row r="242" spans="9:37" x14ac:dyDescent="0.3">
      <c r="I242">
        <f ca="1">IF(OR(INDIRECT(A73&amp;ROW())=B93,INDIRECT(A73&amp;ROW())=B94),1,IF(AND(INDIRECT(A73&amp;ROW())=B95,INDIRECT(A96&amp;ROW())=C93),1,IF(AND(INDIRECT(A73&amp;ROW())=B95,INDIRECT(A96&amp;ROW())=C94),1,0)))</f>
        <v>0</v>
      </c>
      <c r="J242">
        <f ca="1">IF(AND(INDIRECT(A73&amp;ROW())=B95,INDIRECT(A96&amp;ROW())=C95),1,IF(AND(INDIRECT(A73&amp;ROW())=B95,INDIRECT(A96&amp;ROW())=C96),1,0))</f>
        <v>1</v>
      </c>
      <c r="K242">
        <f ca="1">DAYS360(INDIRECT(C68&amp;ROW()),TODAY())</f>
        <v>684</v>
      </c>
      <c r="L242">
        <f ca="1">DAYS360(INDIRECT(C69&amp;ROW()),TODAY())</f>
        <v>820</v>
      </c>
      <c r="M242">
        <f ca="1">HYPERLINK(CONCATENATE("https://bugzilla.houston.hp.com:1181/bugzilla/show_bug.cgi?id=",INDIRECT(C70&amp;ROW())),INDIRECT(C70&amp;ROW()))</f>
        <v>55972</v>
      </c>
      <c r="N242">
        <v>55972</v>
      </c>
      <c r="O242" t="s">
        <v>56</v>
      </c>
      <c r="P242" t="s">
        <v>609</v>
      </c>
      <c r="Q242" t="s">
        <v>25</v>
      </c>
      <c r="R242" t="s">
        <v>251</v>
      </c>
      <c r="S242" t="s">
        <v>66</v>
      </c>
      <c r="U242" s="6">
        <v>42163.606608796297</v>
      </c>
      <c r="V242" t="s">
        <v>18</v>
      </c>
      <c r="W242" t="s">
        <v>17</v>
      </c>
      <c r="X242" s="6">
        <v>42026.457569444443</v>
      </c>
      <c r="Y242" t="s">
        <v>122</v>
      </c>
      <c r="AB242" t="s">
        <v>201</v>
      </c>
      <c r="AC242" t="s">
        <v>247</v>
      </c>
      <c r="AD242" t="s">
        <v>220</v>
      </c>
      <c r="AE242" t="s">
        <v>219</v>
      </c>
      <c r="AG242" t="s">
        <v>121</v>
      </c>
      <c r="AH242" t="s">
        <v>327</v>
      </c>
      <c r="AI242" t="s">
        <v>121</v>
      </c>
      <c r="AJ242" t="s">
        <v>716</v>
      </c>
      <c r="AK242" t="s">
        <v>121</v>
      </c>
    </row>
    <row r="243" spans="9:37" x14ac:dyDescent="0.3">
      <c r="I243">
        <f ca="1">IF(OR(INDIRECT(A73&amp;ROW())=B93,INDIRECT(A73&amp;ROW())=B94),1,IF(AND(INDIRECT(A73&amp;ROW())=B95,INDIRECT(A96&amp;ROW())=C93),1,IF(AND(INDIRECT(A73&amp;ROW())=B95,INDIRECT(A96&amp;ROW())=C94),1,0)))</f>
        <v>0</v>
      </c>
      <c r="J243">
        <f ca="1">IF(AND(INDIRECT(A73&amp;ROW())=B95,INDIRECT(A96&amp;ROW())=C95),1,IF(AND(INDIRECT(A73&amp;ROW())=B95,INDIRECT(A96&amp;ROW())=C96),1,0))</f>
        <v>1</v>
      </c>
      <c r="K243">
        <f ca="1">DAYS360(INDIRECT(C68&amp;ROW()),TODAY())</f>
        <v>721</v>
      </c>
      <c r="L243">
        <f ca="1">DAYS360(INDIRECT(C69&amp;ROW()),TODAY())</f>
        <v>820</v>
      </c>
      <c r="M243">
        <f ca="1">HYPERLINK(CONCATENATE("https://bugzilla.houston.hp.com:1181/bugzilla/show_bug.cgi?id=",INDIRECT(C70&amp;ROW())),INDIRECT(C70&amp;ROW()))</f>
        <v>55976</v>
      </c>
      <c r="N243">
        <v>55976</v>
      </c>
      <c r="O243" t="s">
        <v>56</v>
      </c>
      <c r="P243" t="s">
        <v>569</v>
      </c>
      <c r="Q243" t="s">
        <v>25</v>
      </c>
      <c r="R243" t="s">
        <v>248</v>
      </c>
      <c r="S243" t="s">
        <v>552</v>
      </c>
      <c r="U243" s="6">
        <v>42125.451678240737</v>
      </c>
      <c r="V243" t="s">
        <v>18</v>
      </c>
      <c r="W243" t="s">
        <v>322</v>
      </c>
      <c r="X243" s="6">
        <v>42026.495092592595</v>
      </c>
      <c r="Y243" t="s">
        <v>122</v>
      </c>
      <c r="AB243" t="s">
        <v>201</v>
      </c>
      <c r="AC243" t="s">
        <v>247</v>
      </c>
      <c r="AD243" t="s">
        <v>220</v>
      </c>
      <c r="AE243" t="s">
        <v>219</v>
      </c>
      <c r="AG243" t="s">
        <v>121</v>
      </c>
      <c r="AH243" t="s">
        <v>327</v>
      </c>
      <c r="AI243" t="s">
        <v>121</v>
      </c>
      <c r="AJ243" t="s">
        <v>716</v>
      </c>
      <c r="AK243" t="s">
        <v>121</v>
      </c>
    </row>
    <row r="244" spans="9:37" x14ac:dyDescent="0.3">
      <c r="I244">
        <f ca="1">IF(OR(INDIRECT(A73&amp;ROW())=B93,INDIRECT(A73&amp;ROW())=B94),1,IF(AND(INDIRECT(A73&amp;ROW())=B95,INDIRECT(A96&amp;ROW())=C93),1,IF(AND(INDIRECT(A73&amp;ROW())=B95,INDIRECT(A96&amp;ROW())=C94),1,0)))</f>
        <v>0</v>
      </c>
      <c r="J244">
        <f ca="1">IF(AND(INDIRECT(A73&amp;ROW())=B95,INDIRECT(A96&amp;ROW())=C95),1,IF(AND(INDIRECT(A73&amp;ROW())=B95,INDIRECT(A96&amp;ROW())=C96),1,0))</f>
        <v>1</v>
      </c>
      <c r="K244">
        <f ca="1">DAYS360(INDIRECT(C68&amp;ROW()),TODAY())</f>
        <v>721</v>
      </c>
      <c r="L244">
        <f ca="1">DAYS360(INDIRECT(C69&amp;ROW()),TODAY())</f>
        <v>820</v>
      </c>
      <c r="M244">
        <f ca="1">HYPERLINK(CONCATENATE("https://bugzilla.houston.hp.com:1181/bugzilla/show_bug.cgi?id=",INDIRECT(C70&amp;ROW())),INDIRECT(C70&amp;ROW()))</f>
        <v>55978</v>
      </c>
      <c r="N244">
        <v>55978</v>
      </c>
      <c r="O244" t="s">
        <v>56</v>
      </c>
      <c r="P244" t="s">
        <v>568</v>
      </c>
      <c r="Q244" t="s">
        <v>25</v>
      </c>
      <c r="R244" t="s">
        <v>251</v>
      </c>
      <c r="S244" t="s">
        <v>66</v>
      </c>
      <c r="U244" s="6">
        <v>42125.451793981483</v>
      </c>
      <c r="V244" t="s">
        <v>18</v>
      </c>
      <c r="W244" t="s">
        <v>17</v>
      </c>
      <c r="X244" s="6">
        <v>42026.602916666663</v>
      </c>
      <c r="Y244" t="s">
        <v>122</v>
      </c>
      <c r="AB244" t="s">
        <v>201</v>
      </c>
      <c r="AC244" t="s">
        <v>247</v>
      </c>
      <c r="AD244" t="s">
        <v>220</v>
      </c>
      <c r="AE244" t="s">
        <v>219</v>
      </c>
      <c r="AG244" t="s">
        <v>121</v>
      </c>
      <c r="AH244" t="s">
        <v>327</v>
      </c>
      <c r="AI244" t="s">
        <v>121</v>
      </c>
      <c r="AJ244" t="s">
        <v>716</v>
      </c>
      <c r="AK244" t="s">
        <v>121</v>
      </c>
    </row>
    <row r="245" spans="9:37" x14ac:dyDescent="0.3">
      <c r="I245">
        <f ca="1">IF(OR(INDIRECT(A73&amp;ROW())=B93,INDIRECT(A73&amp;ROW())=B94),1,IF(AND(INDIRECT(A73&amp;ROW())=B95,INDIRECT(A96&amp;ROW())=C93),1,IF(AND(INDIRECT(A73&amp;ROW())=B95,INDIRECT(A96&amp;ROW())=C94),1,0)))</f>
        <v>0</v>
      </c>
      <c r="J245">
        <f ca="1">IF(AND(INDIRECT(A73&amp;ROW())=B95,INDIRECT(A96&amp;ROW())=C95),1,IF(AND(INDIRECT(A73&amp;ROW())=B95,INDIRECT(A96&amp;ROW())=C96),1,0))</f>
        <v>1</v>
      </c>
      <c r="K245">
        <f ca="1">DAYS360(INDIRECT(C68&amp;ROW()),TODAY())</f>
        <v>721</v>
      </c>
      <c r="L245">
        <f ca="1">DAYS360(INDIRECT(C69&amp;ROW()),TODAY())</f>
        <v>819</v>
      </c>
      <c r="M245">
        <f ca="1">HYPERLINK(CONCATENATE("https://bugzilla.houston.hp.com:1181/bugzilla/show_bug.cgi?id=",INDIRECT(C70&amp;ROW())),INDIRECT(C70&amp;ROW()))</f>
        <v>56013</v>
      </c>
      <c r="N245">
        <v>56013</v>
      </c>
      <c r="O245" t="s">
        <v>56</v>
      </c>
      <c r="P245" t="s">
        <v>567</v>
      </c>
      <c r="Q245" t="s">
        <v>25</v>
      </c>
      <c r="R245" t="s">
        <v>248</v>
      </c>
      <c r="S245" t="s">
        <v>552</v>
      </c>
      <c r="U245" s="6">
        <v>42125.451886574076</v>
      </c>
      <c r="V245" t="s">
        <v>18</v>
      </c>
      <c r="W245" t="s">
        <v>322</v>
      </c>
      <c r="X245" s="6">
        <v>42027.410879629628</v>
      </c>
      <c r="Y245" t="s">
        <v>122</v>
      </c>
      <c r="AB245" t="s">
        <v>201</v>
      </c>
      <c r="AC245" t="s">
        <v>247</v>
      </c>
      <c r="AD245" t="s">
        <v>220</v>
      </c>
      <c r="AE245" t="s">
        <v>219</v>
      </c>
      <c r="AG245" t="s">
        <v>121</v>
      </c>
      <c r="AH245" t="s">
        <v>327</v>
      </c>
      <c r="AI245" t="s">
        <v>121</v>
      </c>
      <c r="AJ245" t="s">
        <v>716</v>
      </c>
      <c r="AK245" t="s">
        <v>121</v>
      </c>
    </row>
    <row r="246" spans="9:37" x14ac:dyDescent="0.3">
      <c r="I246">
        <f ca="1">IF(OR(INDIRECT(A73&amp;ROW())=B93,INDIRECT(A73&amp;ROW())=B94),1,IF(AND(INDIRECT(A73&amp;ROW())=B95,INDIRECT(A96&amp;ROW())=C93),1,IF(AND(INDIRECT(A73&amp;ROW())=B95,INDIRECT(A96&amp;ROW())=C94),1,0)))</f>
        <v>0</v>
      </c>
      <c r="J246">
        <f ca="1">IF(AND(INDIRECT(A73&amp;ROW())=B95,INDIRECT(A96&amp;ROW())=C95),1,IF(AND(INDIRECT(A73&amp;ROW())=B95,INDIRECT(A96&amp;ROW())=C96),1,0))</f>
        <v>1</v>
      </c>
      <c r="K246">
        <f ca="1">DAYS360(INDIRECT(C68&amp;ROW()),TODAY())</f>
        <v>721</v>
      </c>
      <c r="L246">
        <f ca="1">DAYS360(INDIRECT(C69&amp;ROW()),TODAY())</f>
        <v>819</v>
      </c>
      <c r="M246">
        <f ca="1">HYPERLINK(CONCATENATE("https://bugzilla.houston.hp.com:1181/bugzilla/show_bug.cgi?id=",INDIRECT(C70&amp;ROW())),INDIRECT(C70&amp;ROW()))</f>
        <v>56028</v>
      </c>
      <c r="N246">
        <v>56028</v>
      </c>
      <c r="O246" t="s">
        <v>21</v>
      </c>
      <c r="P246" t="s">
        <v>573</v>
      </c>
      <c r="Q246" t="s">
        <v>25</v>
      </c>
      <c r="R246" t="s">
        <v>248</v>
      </c>
      <c r="S246" t="s">
        <v>552</v>
      </c>
      <c r="U246" s="6">
        <v>42125.676585648151</v>
      </c>
      <c r="V246" t="s">
        <v>18</v>
      </c>
      <c r="W246" t="s">
        <v>531</v>
      </c>
      <c r="X246" s="6">
        <v>42027.631597222222</v>
      </c>
      <c r="Y246" t="s">
        <v>255</v>
      </c>
      <c r="AB246" t="s">
        <v>201</v>
      </c>
      <c r="AC246" t="s">
        <v>247</v>
      </c>
      <c r="AD246" t="s">
        <v>222</v>
      </c>
      <c r="AE246" t="s">
        <v>225</v>
      </c>
      <c r="AG246" t="s">
        <v>121</v>
      </c>
      <c r="AH246" t="s">
        <v>327</v>
      </c>
      <c r="AI246" t="s">
        <v>362</v>
      </c>
      <c r="AJ246" t="s">
        <v>716</v>
      </c>
      <c r="AK246" t="s">
        <v>121</v>
      </c>
    </row>
    <row r="247" spans="9:37" x14ac:dyDescent="0.3">
      <c r="I247">
        <f ca="1">IF(OR(INDIRECT(A73&amp;ROW())=B93,INDIRECT(A73&amp;ROW())=B94),1,IF(AND(INDIRECT(A73&amp;ROW())=B95,INDIRECT(A96&amp;ROW())=C93),1,IF(AND(INDIRECT(A73&amp;ROW())=B95,INDIRECT(A96&amp;ROW())=C94),1,0)))</f>
        <v>0</v>
      </c>
      <c r="J247">
        <f ca="1">IF(AND(INDIRECT(A73&amp;ROW())=B95,INDIRECT(A96&amp;ROW())=C95),1,IF(AND(INDIRECT(A73&amp;ROW())=B95,INDIRECT(A96&amp;ROW())=C96),1,0))</f>
        <v>1</v>
      </c>
      <c r="K247">
        <f ca="1">DAYS360(INDIRECT(C68&amp;ROW()),TODAY())</f>
        <v>721</v>
      </c>
      <c r="L247">
        <f ca="1">DAYS360(INDIRECT(C69&amp;ROW()),TODAY())</f>
        <v>819</v>
      </c>
      <c r="M247">
        <f ca="1">HYPERLINK(CONCATENATE("https://bugzilla.houston.hp.com:1181/bugzilla/show_bug.cgi?id=",INDIRECT(C70&amp;ROW())),INDIRECT(C70&amp;ROW()))</f>
        <v>56029</v>
      </c>
      <c r="N247">
        <v>56029</v>
      </c>
      <c r="O247" t="s">
        <v>21</v>
      </c>
      <c r="P247" t="s">
        <v>572</v>
      </c>
      <c r="Q247" t="s">
        <v>25</v>
      </c>
      <c r="R247" t="s">
        <v>248</v>
      </c>
      <c r="S247" t="s">
        <v>552</v>
      </c>
      <c r="U247" s="6">
        <v>42125.677881944444</v>
      </c>
      <c r="V247" t="s">
        <v>18</v>
      </c>
      <c r="W247" t="s">
        <v>531</v>
      </c>
      <c r="X247" s="6">
        <v>42027.633900462963</v>
      </c>
      <c r="Y247" t="s">
        <v>255</v>
      </c>
      <c r="AB247" t="s">
        <v>201</v>
      </c>
      <c r="AC247" t="s">
        <v>247</v>
      </c>
      <c r="AD247" t="s">
        <v>222</v>
      </c>
      <c r="AE247" t="s">
        <v>240</v>
      </c>
      <c r="AG247" t="s">
        <v>121</v>
      </c>
      <c r="AH247" t="s">
        <v>327</v>
      </c>
      <c r="AI247" t="s">
        <v>121</v>
      </c>
      <c r="AJ247" t="s">
        <v>716</v>
      </c>
      <c r="AK247" t="s">
        <v>121</v>
      </c>
    </row>
    <row r="248" spans="9:37" x14ac:dyDescent="0.3">
      <c r="I248">
        <f ca="1">IF(OR(INDIRECT(A73&amp;ROW())=B93,INDIRECT(A73&amp;ROW())=B94),1,IF(AND(INDIRECT(A73&amp;ROW())=B95,INDIRECT(A96&amp;ROW())=C93),1,IF(AND(INDIRECT(A73&amp;ROW())=B95,INDIRECT(A96&amp;ROW())=C94),1,0)))</f>
        <v>0</v>
      </c>
      <c r="J248">
        <f ca="1">IF(AND(INDIRECT(A73&amp;ROW())=B95,INDIRECT(A96&amp;ROW())=C95),1,IF(AND(INDIRECT(A73&amp;ROW())=B95,INDIRECT(A96&amp;ROW())=C96),1,0))</f>
        <v>1</v>
      </c>
      <c r="K248">
        <f ca="1">DAYS360(INDIRECT(C68&amp;ROW()),TODAY())</f>
        <v>730</v>
      </c>
      <c r="L248">
        <f ca="1">DAYS360(INDIRECT(C69&amp;ROW()),TODAY())</f>
        <v>819</v>
      </c>
      <c r="M248">
        <f ca="1">HYPERLINK(CONCATENATE("https://bugzilla.houston.hp.com:1181/bugzilla/show_bug.cgi?id=",INDIRECT(C70&amp;ROW())),INDIRECT(C70&amp;ROW()))</f>
        <v>56033</v>
      </c>
      <c r="N248">
        <v>56033</v>
      </c>
      <c r="O248" t="s">
        <v>56</v>
      </c>
      <c r="P248" t="s">
        <v>585</v>
      </c>
      <c r="Q248" t="s">
        <v>25</v>
      </c>
      <c r="R248" t="s">
        <v>251</v>
      </c>
      <c r="S248" t="s">
        <v>66</v>
      </c>
      <c r="U248" s="6">
        <v>42116.735208333332</v>
      </c>
      <c r="V248" t="s">
        <v>18</v>
      </c>
      <c r="W248" t="s">
        <v>17</v>
      </c>
      <c r="X248" s="6">
        <v>42027.722395833334</v>
      </c>
      <c r="Y248" t="s">
        <v>124</v>
      </c>
      <c r="AB248" t="s">
        <v>201</v>
      </c>
      <c r="AC248" t="s">
        <v>247</v>
      </c>
      <c r="AD248" t="s">
        <v>220</v>
      </c>
      <c r="AE248" t="s">
        <v>219</v>
      </c>
      <c r="AG248" t="s">
        <v>121</v>
      </c>
      <c r="AH248" t="s">
        <v>327</v>
      </c>
      <c r="AI248" t="s">
        <v>121</v>
      </c>
      <c r="AJ248" t="s">
        <v>716</v>
      </c>
      <c r="AK248" t="s">
        <v>121</v>
      </c>
    </row>
    <row r="249" spans="9:37" x14ac:dyDescent="0.3">
      <c r="I249">
        <f ca="1">IF(OR(INDIRECT(A73&amp;ROW())=B93,INDIRECT(A73&amp;ROW())=B94),1,IF(AND(INDIRECT(A73&amp;ROW())=B95,INDIRECT(A96&amp;ROW())=C93),1,IF(AND(INDIRECT(A73&amp;ROW())=B95,INDIRECT(A96&amp;ROW())=C94),1,0)))</f>
        <v>0</v>
      </c>
      <c r="J249">
        <f ca="1">IF(AND(INDIRECT(A73&amp;ROW())=B95,INDIRECT(A96&amp;ROW())=C95),1,IF(AND(INDIRECT(A73&amp;ROW())=B95,INDIRECT(A96&amp;ROW())=C96),1,0))</f>
        <v>1</v>
      </c>
      <c r="K249">
        <f ca="1">DAYS360(INDIRECT(C68&amp;ROW()),TODAY())</f>
        <v>816</v>
      </c>
      <c r="L249">
        <f ca="1">DAYS360(INDIRECT(C69&amp;ROW()),TODAY())</f>
        <v>816</v>
      </c>
      <c r="M249">
        <f ca="1">HYPERLINK(CONCATENATE("https://bugzilla.houston.hp.com:1181/bugzilla/show_bug.cgi?id=",INDIRECT(C70&amp;ROW())),INDIRECT(C70&amp;ROW()))</f>
        <v>56045</v>
      </c>
      <c r="N249">
        <v>56045</v>
      </c>
      <c r="O249" t="s">
        <v>56</v>
      </c>
      <c r="P249" t="s">
        <v>571</v>
      </c>
      <c r="Q249" t="s">
        <v>25</v>
      </c>
      <c r="R249" t="s">
        <v>248</v>
      </c>
      <c r="S249" t="s">
        <v>552</v>
      </c>
      <c r="U249" s="6">
        <v>42030.326377314814</v>
      </c>
      <c r="V249" t="s">
        <v>18</v>
      </c>
      <c r="W249" t="s">
        <v>205</v>
      </c>
      <c r="X249" s="6">
        <v>42030.325902777775</v>
      </c>
      <c r="Y249" t="s">
        <v>124</v>
      </c>
      <c r="AB249" t="s">
        <v>201</v>
      </c>
      <c r="AC249" t="s">
        <v>247</v>
      </c>
      <c r="AD249" t="s">
        <v>220</v>
      </c>
      <c r="AE249" t="s">
        <v>219</v>
      </c>
      <c r="AG249" t="s">
        <v>121</v>
      </c>
      <c r="AH249" t="s">
        <v>327</v>
      </c>
      <c r="AI249" t="s">
        <v>121</v>
      </c>
      <c r="AJ249" t="s">
        <v>716</v>
      </c>
      <c r="AK249" t="s">
        <v>121</v>
      </c>
    </row>
    <row r="250" spans="9:37" x14ac:dyDescent="0.3">
      <c r="I250">
        <f ca="1">IF(OR(INDIRECT(A73&amp;ROW())=B93,INDIRECT(A73&amp;ROW())=B94),1,IF(AND(INDIRECT(A73&amp;ROW())=B95,INDIRECT(A96&amp;ROW())=C93),1,IF(AND(INDIRECT(A73&amp;ROW())=B95,INDIRECT(A96&amp;ROW())=C94),1,0)))</f>
        <v>0</v>
      </c>
      <c r="J250">
        <f ca="1">IF(AND(INDIRECT(A73&amp;ROW())=B95,INDIRECT(A96&amp;ROW())=C95),1,IF(AND(INDIRECT(A73&amp;ROW())=B95,INDIRECT(A96&amp;ROW())=C96),1,0))</f>
        <v>1</v>
      </c>
      <c r="K250">
        <f ca="1">DAYS360(INDIRECT(C68&amp;ROW()),TODAY())</f>
        <v>684</v>
      </c>
      <c r="L250">
        <f ca="1">DAYS360(INDIRECT(C69&amp;ROW()),TODAY())</f>
        <v>816</v>
      </c>
      <c r="M250">
        <f ca="1">HYPERLINK(CONCATENATE("https://bugzilla.houston.hp.com:1181/bugzilla/show_bug.cgi?id=",INDIRECT(C70&amp;ROW())),INDIRECT(C70&amp;ROW()))</f>
        <v>56053</v>
      </c>
      <c r="N250">
        <v>56053</v>
      </c>
      <c r="O250" t="s">
        <v>56</v>
      </c>
      <c r="P250" t="s">
        <v>584</v>
      </c>
      <c r="Q250" t="s">
        <v>25</v>
      </c>
      <c r="R250" t="s">
        <v>251</v>
      </c>
      <c r="S250" t="s">
        <v>66</v>
      </c>
      <c r="U250" s="6">
        <v>42163.602731481478</v>
      </c>
      <c r="V250" t="s">
        <v>18</v>
      </c>
      <c r="W250" t="s">
        <v>17</v>
      </c>
      <c r="X250" s="6">
        <v>42030.454444444447</v>
      </c>
      <c r="Y250" t="s">
        <v>122</v>
      </c>
      <c r="AB250" t="s">
        <v>201</v>
      </c>
      <c r="AC250" t="s">
        <v>247</v>
      </c>
      <c r="AD250" t="s">
        <v>220</v>
      </c>
      <c r="AE250" t="s">
        <v>219</v>
      </c>
      <c r="AG250" t="s">
        <v>121</v>
      </c>
      <c r="AH250" t="s">
        <v>327</v>
      </c>
      <c r="AI250" t="s">
        <v>121</v>
      </c>
      <c r="AJ250" t="s">
        <v>716</v>
      </c>
      <c r="AK250" t="s">
        <v>121</v>
      </c>
    </row>
    <row r="251" spans="9:37" x14ac:dyDescent="0.3">
      <c r="I251">
        <f ca="1">IF(OR(INDIRECT(A73&amp;ROW())=B93,INDIRECT(A73&amp;ROW())=B94),1,IF(AND(INDIRECT(A73&amp;ROW())=B95,INDIRECT(A96&amp;ROW())=C93),1,IF(AND(INDIRECT(A73&amp;ROW())=B95,INDIRECT(A96&amp;ROW())=C94),1,0)))</f>
        <v>0</v>
      </c>
      <c r="J251">
        <f ca="1">IF(AND(INDIRECT(A73&amp;ROW())=B95,INDIRECT(A96&amp;ROW())=C95),1,IF(AND(INDIRECT(A73&amp;ROW())=B95,INDIRECT(A96&amp;ROW())=C96),1,0))</f>
        <v>1</v>
      </c>
      <c r="K251">
        <f ca="1">DAYS360(INDIRECT(C68&amp;ROW()),TODAY())</f>
        <v>721</v>
      </c>
      <c r="L251">
        <f ca="1">DAYS360(INDIRECT(C69&amp;ROW()),TODAY())</f>
        <v>816</v>
      </c>
      <c r="M251">
        <f ca="1">HYPERLINK(CONCATENATE("https://bugzilla.houston.hp.com:1181/bugzilla/show_bug.cgi?id=",INDIRECT(C70&amp;ROW())),INDIRECT(C70&amp;ROW()))</f>
        <v>56057</v>
      </c>
      <c r="N251">
        <v>56057</v>
      </c>
      <c r="O251" t="s">
        <v>56</v>
      </c>
      <c r="P251" t="s">
        <v>583</v>
      </c>
      <c r="Q251" t="s">
        <v>25</v>
      </c>
      <c r="R251" t="s">
        <v>248</v>
      </c>
      <c r="S251" t="s">
        <v>552</v>
      </c>
      <c r="U251" s="6">
        <v>42125.452974537038</v>
      </c>
      <c r="V251" t="s">
        <v>18</v>
      </c>
      <c r="W251" t="s">
        <v>322</v>
      </c>
      <c r="X251" s="6">
        <v>42030.48777777778</v>
      </c>
      <c r="Y251" t="s">
        <v>122</v>
      </c>
      <c r="AB251" t="s">
        <v>201</v>
      </c>
      <c r="AC251" t="s">
        <v>247</v>
      </c>
      <c r="AD251" t="s">
        <v>220</v>
      </c>
      <c r="AE251" t="s">
        <v>219</v>
      </c>
      <c r="AG251" t="s">
        <v>121</v>
      </c>
      <c r="AH251" t="s">
        <v>327</v>
      </c>
      <c r="AI251" t="s">
        <v>121</v>
      </c>
      <c r="AJ251" t="s">
        <v>716</v>
      </c>
      <c r="AK251" t="s">
        <v>121</v>
      </c>
    </row>
    <row r="252" spans="9:37" x14ac:dyDescent="0.3">
      <c r="I252">
        <f ca="1">IF(OR(INDIRECT(A73&amp;ROW())=B93,INDIRECT(A73&amp;ROW())=B94),1,IF(AND(INDIRECT(A73&amp;ROW())=B95,INDIRECT(A96&amp;ROW())=C93),1,IF(AND(INDIRECT(A73&amp;ROW())=B95,INDIRECT(A96&amp;ROW())=C94),1,0)))</f>
        <v>0</v>
      </c>
      <c r="J252">
        <f ca="1">IF(AND(INDIRECT(A73&amp;ROW())=B95,INDIRECT(A96&amp;ROW())=C95),1,IF(AND(INDIRECT(A73&amp;ROW())=B95,INDIRECT(A96&amp;ROW())=C96),1,0))</f>
        <v>1</v>
      </c>
      <c r="K252">
        <f ca="1">DAYS360(INDIRECT(C68&amp;ROW()),TODAY())</f>
        <v>684</v>
      </c>
      <c r="L252">
        <f ca="1">DAYS360(INDIRECT(C69&amp;ROW()),TODAY())</f>
        <v>816</v>
      </c>
      <c r="M252">
        <f ca="1">HYPERLINK(CONCATENATE("https://bugzilla.houston.hp.com:1181/bugzilla/show_bug.cgi?id=",INDIRECT(C70&amp;ROW())),INDIRECT(C70&amp;ROW()))</f>
        <v>56067</v>
      </c>
      <c r="N252">
        <v>56067</v>
      </c>
      <c r="O252" t="s">
        <v>56</v>
      </c>
      <c r="P252" t="s">
        <v>582</v>
      </c>
      <c r="Q252" t="s">
        <v>25</v>
      </c>
      <c r="R252" t="s">
        <v>251</v>
      </c>
      <c r="S252" t="s">
        <v>66</v>
      </c>
      <c r="U252" s="6">
        <v>42163.605011574073</v>
      </c>
      <c r="V252" t="s">
        <v>18</v>
      </c>
      <c r="W252" t="s">
        <v>17</v>
      </c>
      <c r="X252" s="6">
        <v>42030.65353009259</v>
      </c>
      <c r="Y252" t="s">
        <v>122</v>
      </c>
      <c r="AB252" t="s">
        <v>201</v>
      </c>
      <c r="AC252" t="s">
        <v>247</v>
      </c>
      <c r="AD252" t="s">
        <v>220</v>
      </c>
      <c r="AE252" t="s">
        <v>219</v>
      </c>
      <c r="AG252" t="s">
        <v>121</v>
      </c>
      <c r="AH252" t="s">
        <v>327</v>
      </c>
      <c r="AI252" t="s">
        <v>121</v>
      </c>
      <c r="AJ252" t="s">
        <v>716</v>
      </c>
      <c r="AK252" t="s">
        <v>121</v>
      </c>
    </row>
    <row r="253" spans="9:37" x14ac:dyDescent="0.3">
      <c r="I253">
        <f ca="1">IF(OR(INDIRECT(A73&amp;ROW())=B93,INDIRECT(A73&amp;ROW())=B94),1,IF(AND(INDIRECT(A73&amp;ROW())=B95,INDIRECT(A96&amp;ROW())=C93),1,IF(AND(INDIRECT(A73&amp;ROW())=B95,INDIRECT(A96&amp;ROW())=C94),1,0)))</f>
        <v>0</v>
      </c>
      <c r="J253">
        <f ca="1">IF(AND(INDIRECT(A73&amp;ROW())=B95,INDIRECT(A96&amp;ROW())=C95),1,IF(AND(INDIRECT(A73&amp;ROW())=B95,INDIRECT(A96&amp;ROW())=C96),1,0))</f>
        <v>1</v>
      </c>
      <c r="K253">
        <f ca="1">DAYS360(INDIRECT(C68&amp;ROW()),TODAY())</f>
        <v>721</v>
      </c>
      <c r="L253">
        <f ca="1">DAYS360(INDIRECT(C69&amp;ROW()),TODAY())</f>
        <v>816</v>
      </c>
      <c r="M253">
        <f ca="1">HYPERLINK(CONCATENATE("https://bugzilla.houston.hp.com:1181/bugzilla/show_bug.cgi?id=",INDIRECT(C70&amp;ROW())),INDIRECT(C70&amp;ROW()))</f>
        <v>56070</v>
      </c>
      <c r="N253">
        <v>56070</v>
      </c>
      <c r="O253" t="s">
        <v>56</v>
      </c>
      <c r="P253" t="s">
        <v>581</v>
      </c>
      <c r="Q253" t="s">
        <v>25</v>
      </c>
      <c r="R253" t="s">
        <v>248</v>
      </c>
      <c r="S253" t="s">
        <v>552</v>
      </c>
      <c r="U253" s="6">
        <v>42125.452928240738</v>
      </c>
      <c r="V253" t="s">
        <v>18</v>
      </c>
      <c r="W253" t="s">
        <v>322</v>
      </c>
      <c r="X253" s="6">
        <v>42030.662905092591</v>
      </c>
      <c r="Y253" t="s">
        <v>122</v>
      </c>
      <c r="AB253" t="s">
        <v>201</v>
      </c>
      <c r="AC253" t="s">
        <v>247</v>
      </c>
      <c r="AD253" t="s">
        <v>220</v>
      </c>
      <c r="AE253" t="s">
        <v>219</v>
      </c>
      <c r="AG253" t="s">
        <v>121</v>
      </c>
      <c r="AH253" t="s">
        <v>327</v>
      </c>
      <c r="AI253" t="s">
        <v>121</v>
      </c>
      <c r="AJ253" t="s">
        <v>716</v>
      </c>
      <c r="AK253" t="s">
        <v>121</v>
      </c>
    </row>
    <row r="254" spans="9:37" x14ac:dyDescent="0.3">
      <c r="I254">
        <f ca="1">IF(OR(INDIRECT(A73&amp;ROW())=B93,INDIRECT(A73&amp;ROW())=B94),1,IF(AND(INDIRECT(A73&amp;ROW())=B95,INDIRECT(A96&amp;ROW())=C93),1,IF(AND(INDIRECT(A73&amp;ROW())=B95,INDIRECT(A96&amp;ROW())=C94),1,0)))</f>
        <v>1</v>
      </c>
      <c r="J254">
        <f ca="1">IF(AND(INDIRECT(A73&amp;ROW())=B95,INDIRECT(A96&amp;ROW())=C95),1,IF(AND(INDIRECT(A73&amp;ROW())=B95,INDIRECT(A96&amp;ROW())=C96),1,0))</f>
        <v>0</v>
      </c>
      <c r="K254">
        <f ca="1">DAYS360(INDIRECT(C68&amp;ROW()),TODAY())</f>
        <v>681</v>
      </c>
      <c r="L254">
        <f ca="1">DAYS360(INDIRECT(C69&amp;ROW()),TODAY())</f>
        <v>815</v>
      </c>
      <c r="M254">
        <f ca="1">HYPERLINK(CONCATENATE("https://bugzilla.houston.hp.com:1181/bugzilla/show_bug.cgi?id=",INDIRECT(C70&amp;ROW())),INDIRECT(C70&amp;ROW()))</f>
        <v>56087</v>
      </c>
      <c r="N254">
        <v>56087</v>
      </c>
      <c r="O254" t="s">
        <v>241</v>
      </c>
      <c r="P254" t="s">
        <v>791</v>
      </c>
      <c r="Q254" t="s">
        <v>25</v>
      </c>
      <c r="R254" t="s">
        <v>251</v>
      </c>
      <c r="S254" t="s">
        <v>33</v>
      </c>
      <c r="U254" s="6">
        <v>42166.337025462963</v>
      </c>
      <c r="V254" t="s">
        <v>18</v>
      </c>
      <c r="W254" t="s">
        <v>17</v>
      </c>
      <c r="X254" s="6">
        <v>42031.244432870371</v>
      </c>
      <c r="Y254" t="s">
        <v>535</v>
      </c>
      <c r="Z254" t="s">
        <v>125</v>
      </c>
      <c r="AB254" t="s">
        <v>200</v>
      </c>
      <c r="AC254" t="s">
        <v>247</v>
      </c>
      <c r="AD254" t="s">
        <v>220</v>
      </c>
      <c r="AE254" t="s">
        <v>224</v>
      </c>
      <c r="AG254" t="s">
        <v>121</v>
      </c>
      <c r="AH254" t="s">
        <v>327</v>
      </c>
      <c r="AI254" t="s">
        <v>362</v>
      </c>
      <c r="AJ254" t="s">
        <v>715</v>
      </c>
      <c r="AK254" t="s">
        <v>121</v>
      </c>
    </row>
    <row r="255" spans="9:37" x14ac:dyDescent="0.3">
      <c r="I255">
        <f ca="1">IF(OR(INDIRECT(A73&amp;ROW())=B93,INDIRECT(A73&amp;ROW())=B94),1,IF(AND(INDIRECT(A73&amp;ROW())=B95,INDIRECT(A96&amp;ROW())=C93),1,IF(AND(INDIRECT(A73&amp;ROW())=B95,INDIRECT(A96&amp;ROW())=C94),1,0)))</f>
        <v>1</v>
      </c>
      <c r="J255">
        <f ca="1">IF(AND(INDIRECT(A73&amp;ROW())=B95,INDIRECT(A96&amp;ROW())=C95),1,IF(AND(INDIRECT(A73&amp;ROW())=B95,INDIRECT(A96&amp;ROW())=C96),1,0))</f>
        <v>0</v>
      </c>
      <c r="K255">
        <f ca="1">DAYS360(INDIRECT(C68&amp;ROW()),TODAY())</f>
        <v>675</v>
      </c>
      <c r="L255">
        <f ca="1">DAYS360(INDIRECT(C69&amp;ROW()),TODAY())</f>
        <v>815</v>
      </c>
      <c r="M255">
        <f ca="1">HYPERLINK(CONCATENATE("https://bugzilla.houston.hp.com:1181/bugzilla/show_bug.cgi?id=",INDIRECT(C70&amp;ROW())),INDIRECT(C70&amp;ROW()))</f>
        <v>56100</v>
      </c>
      <c r="N255">
        <v>56100</v>
      </c>
      <c r="O255" t="s">
        <v>919</v>
      </c>
      <c r="P255" t="s">
        <v>790</v>
      </c>
      <c r="Q255" t="s">
        <v>25</v>
      </c>
      <c r="R255" t="s">
        <v>579</v>
      </c>
      <c r="S255" t="s">
        <v>552</v>
      </c>
      <c r="T255" t="s">
        <v>815</v>
      </c>
      <c r="U255" s="6">
        <v>42172.616979166669</v>
      </c>
      <c r="V255" t="s">
        <v>40</v>
      </c>
      <c r="W255" t="s">
        <v>17</v>
      </c>
      <c r="X255" s="6">
        <v>42031.425138888888</v>
      </c>
      <c r="Y255" t="s">
        <v>119</v>
      </c>
      <c r="Z255" t="s">
        <v>125</v>
      </c>
      <c r="AB255" t="s">
        <v>200</v>
      </c>
      <c r="AC255" t="s">
        <v>247</v>
      </c>
      <c r="AD255" t="s">
        <v>220</v>
      </c>
      <c r="AE255" t="s">
        <v>224</v>
      </c>
      <c r="AG255" t="s">
        <v>121</v>
      </c>
      <c r="AH255" t="s">
        <v>327</v>
      </c>
      <c r="AI255" t="s">
        <v>362</v>
      </c>
      <c r="AJ255" t="s">
        <v>715</v>
      </c>
      <c r="AK255" t="s">
        <v>121</v>
      </c>
    </row>
    <row r="256" spans="9:37" x14ac:dyDescent="0.3">
      <c r="I256">
        <f ca="1">IF(OR(INDIRECT(A73&amp;ROW())=B93,INDIRECT(A73&amp;ROW())=B94),1,IF(AND(INDIRECT(A73&amp;ROW())=B95,INDIRECT(A96&amp;ROW())=C93),1,IF(AND(INDIRECT(A73&amp;ROW())=B95,INDIRECT(A96&amp;ROW())=C94),1,0)))</f>
        <v>1</v>
      </c>
      <c r="J256">
        <f ca="1">IF(AND(INDIRECT(A73&amp;ROW())=B95,INDIRECT(A96&amp;ROW())=C95),1,IF(AND(INDIRECT(A73&amp;ROW())=B95,INDIRECT(A96&amp;ROW())=C96),1,0))</f>
        <v>0</v>
      </c>
      <c r="K256">
        <f ca="1">DAYS360(INDIRECT(C68&amp;ROW()),TODAY())</f>
        <v>690</v>
      </c>
      <c r="L256">
        <f ca="1">DAYS360(INDIRECT(C69&amp;ROW()),TODAY())</f>
        <v>815</v>
      </c>
      <c r="M256">
        <f ca="1">HYPERLINK(CONCATENATE("https://bugzilla.houston.hp.com:1181/bugzilla/show_bug.cgi?id=",INDIRECT(C70&amp;ROW())),INDIRECT(C70&amp;ROW()))</f>
        <v>56102</v>
      </c>
      <c r="N256">
        <v>56102</v>
      </c>
      <c r="O256" t="s">
        <v>56</v>
      </c>
      <c r="P256" t="s">
        <v>789</v>
      </c>
      <c r="Q256" t="s">
        <v>25</v>
      </c>
      <c r="R256" t="s">
        <v>248</v>
      </c>
      <c r="S256" t="s">
        <v>552</v>
      </c>
      <c r="U256" s="6">
        <v>42157.112395833334</v>
      </c>
      <c r="V256" t="s">
        <v>18</v>
      </c>
      <c r="W256" t="s">
        <v>17</v>
      </c>
      <c r="X256" s="6">
        <v>42031.428599537037</v>
      </c>
      <c r="Y256" t="s">
        <v>119</v>
      </c>
      <c r="Z256" t="s">
        <v>125</v>
      </c>
      <c r="AB256" t="s">
        <v>200</v>
      </c>
      <c r="AC256" t="s">
        <v>247</v>
      </c>
      <c r="AD256" t="s">
        <v>220</v>
      </c>
      <c r="AE256" t="s">
        <v>219</v>
      </c>
      <c r="AG256" t="s">
        <v>121</v>
      </c>
      <c r="AH256" t="s">
        <v>327</v>
      </c>
      <c r="AI256" t="s">
        <v>121</v>
      </c>
      <c r="AJ256" t="s">
        <v>715</v>
      </c>
      <c r="AK256" t="s">
        <v>121</v>
      </c>
    </row>
    <row r="257" spans="9:37" x14ac:dyDescent="0.3">
      <c r="I257">
        <f ca="1">IF(OR(INDIRECT(A73&amp;ROW())=B93,INDIRECT(A73&amp;ROW())=B94),1,IF(AND(INDIRECT(A73&amp;ROW())=B95,INDIRECT(A96&amp;ROW())=C93),1,IF(AND(INDIRECT(A73&amp;ROW())=B95,INDIRECT(A96&amp;ROW())=C94),1,0)))</f>
        <v>0</v>
      </c>
      <c r="J257">
        <f ca="1">IF(AND(INDIRECT(A73&amp;ROW())=B95,INDIRECT(A96&amp;ROW())=C95),1,IF(AND(INDIRECT(A73&amp;ROW())=B95,INDIRECT(A96&amp;ROW())=C96),1,0))</f>
        <v>0</v>
      </c>
      <c r="K257">
        <f ca="1">DAYS360(INDIRECT(C68&amp;ROW()),TODAY())</f>
        <v>721</v>
      </c>
      <c r="L257">
        <f ca="1">DAYS360(INDIRECT(C69&amp;ROW()),TODAY())</f>
        <v>810</v>
      </c>
      <c r="M257">
        <f ca="1">HYPERLINK(CONCATENATE("https://bugzilla.houston.hp.com:1181/bugzilla/show_bug.cgi?id=",INDIRECT(C70&amp;ROW())),INDIRECT(C70&amp;ROW()))</f>
        <v>56385</v>
      </c>
      <c r="N257">
        <v>56385</v>
      </c>
      <c r="O257" t="s">
        <v>22</v>
      </c>
      <c r="P257" t="s">
        <v>578</v>
      </c>
      <c r="Q257" t="s">
        <v>16</v>
      </c>
      <c r="R257" t="s">
        <v>251</v>
      </c>
      <c r="S257" t="s">
        <v>43</v>
      </c>
      <c r="U257" s="6">
        <v>42125.452986111108</v>
      </c>
      <c r="V257" t="s">
        <v>18</v>
      </c>
      <c r="W257" t="s">
        <v>17</v>
      </c>
      <c r="X257" s="6">
        <v>42037.399351851855</v>
      </c>
      <c r="Y257" t="s">
        <v>122</v>
      </c>
      <c r="AB257" t="s">
        <v>201</v>
      </c>
      <c r="AC257" t="s">
        <v>247</v>
      </c>
      <c r="AD257" t="s">
        <v>222</v>
      </c>
      <c r="AE257" t="s">
        <v>240</v>
      </c>
      <c r="AG257" t="s">
        <v>121</v>
      </c>
      <c r="AH257" t="s">
        <v>327</v>
      </c>
      <c r="AI257" t="s">
        <v>121</v>
      </c>
      <c r="AJ257" t="s">
        <v>717</v>
      </c>
      <c r="AK257" t="s">
        <v>121</v>
      </c>
    </row>
    <row r="258" spans="9:37" x14ac:dyDescent="0.3">
      <c r="I258">
        <f ca="1">IF(OR(INDIRECT(A73&amp;ROW())=B93,INDIRECT(A73&amp;ROW())=B94),1,IF(AND(INDIRECT(A73&amp;ROW())=B95,INDIRECT(A96&amp;ROW())=C93),1,IF(AND(INDIRECT(A73&amp;ROW())=B95,INDIRECT(A96&amp;ROW())=C94),1,0)))</f>
        <v>0</v>
      </c>
      <c r="J258">
        <f ca="1">IF(AND(INDIRECT(A73&amp;ROW())=B95,INDIRECT(A96&amp;ROW())=C95),1,IF(AND(INDIRECT(A73&amp;ROW())=B95,INDIRECT(A96&amp;ROW())=C96),1,0))</f>
        <v>1</v>
      </c>
      <c r="K258">
        <f ca="1">DAYS360(INDIRECT(C68&amp;ROW()),TODAY())</f>
        <v>730</v>
      </c>
      <c r="L258">
        <f ca="1">DAYS360(INDIRECT(C69&amp;ROW()),TODAY())</f>
        <v>810</v>
      </c>
      <c r="M258">
        <f ca="1">HYPERLINK(CONCATENATE("https://bugzilla.houston.hp.com:1181/bugzilla/show_bug.cgi?id=",INDIRECT(C70&amp;ROW())),INDIRECT(C70&amp;ROW()))</f>
        <v>56388</v>
      </c>
      <c r="N258">
        <v>56388</v>
      </c>
      <c r="O258" t="s">
        <v>56</v>
      </c>
      <c r="P258" t="s">
        <v>596</v>
      </c>
      <c r="Q258" t="s">
        <v>25</v>
      </c>
      <c r="R258" t="s">
        <v>251</v>
      </c>
      <c r="S258" t="s">
        <v>66</v>
      </c>
      <c r="U258" s="6">
        <v>42116.735567129632</v>
      </c>
      <c r="V258" t="s">
        <v>18</v>
      </c>
      <c r="W258" t="s">
        <v>17</v>
      </c>
      <c r="X258" s="6">
        <v>42037.476793981485</v>
      </c>
      <c r="Y258" t="s">
        <v>788</v>
      </c>
      <c r="AB258" t="s">
        <v>201</v>
      </c>
      <c r="AC258" t="s">
        <v>247</v>
      </c>
      <c r="AD258" t="s">
        <v>220</v>
      </c>
      <c r="AE258" t="s">
        <v>219</v>
      </c>
      <c r="AG258" t="s">
        <v>121</v>
      </c>
      <c r="AH258" t="s">
        <v>327</v>
      </c>
      <c r="AI258" t="s">
        <v>121</v>
      </c>
      <c r="AJ258" t="s">
        <v>716</v>
      </c>
      <c r="AK258" t="s">
        <v>121</v>
      </c>
    </row>
    <row r="259" spans="9:37" x14ac:dyDescent="0.3">
      <c r="I259">
        <f ca="1">IF(OR(INDIRECT(A73&amp;ROW())=B93,INDIRECT(A73&amp;ROW())=B94),1,IF(AND(INDIRECT(A73&amp;ROW())=B95,INDIRECT(A96&amp;ROW())=C93),1,IF(AND(INDIRECT(A73&amp;ROW())=B95,INDIRECT(A96&amp;ROW())=C94),1,0)))</f>
        <v>1</v>
      </c>
      <c r="J259">
        <f ca="1">IF(AND(INDIRECT(A73&amp;ROW())=B95,INDIRECT(A96&amp;ROW())=C95),1,IF(AND(INDIRECT(A73&amp;ROW())=B95,INDIRECT(A96&amp;ROW())=C96),1,0))</f>
        <v>0</v>
      </c>
      <c r="K259">
        <f ca="1">DAYS360(INDIRECT(C68&amp;ROW()),TODAY())</f>
        <v>730</v>
      </c>
      <c r="L259">
        <f ca="1">DAYS360(INDIRECT(C69&amp;ROW()),TODAY())</f>
        <v>810</v>
      </c>
      <c r="M259">
        <f ca="1">HYPERLINK(CONCATENATE("https://bugzilla.houston.hp.com:1181/bugzilla/show_bug.cgi?id=",INDIRECT(C70&amp;ROW())),INDIRECT(C70&amp;ROW()))</f>
        <v>56399</v>
      </c>
      <c r="N259">
        <v>56399</v>
      </c>
      <c r="O259" t="s">
        <v>68</v>
      </c>
      <c r="P259" t="s">
        <v>802</v>
      </c>
      <c r="Q259" t="s">
        <v>25</v>
      </c>
      <c r="R259" t="s">
        <v>251</v>
      </c>
      <c r="S259" t="s">
        <v>577</v>
      </c>
      <c r="U259" s="6">
        <v>42116.735636574071</v>
      </c>
      <c r="V259" t="s">
        <v>40</v>
      </c>
      <c r="W259" t="s">
        <v>17</v>
      </c>
      <c r="X259" s="6">
        <v>42037.707766203705</v>
      </c>
      <c r="Y259" t="s">
        <v>255</v>
      </c>
      <c r="Z259" t="s">
        <v>125</v>
      </c>
      <c r="AB259" t="s">
        <v>200</v>
      </c>
      <c r="AC259" t="s">
        <v>247</v>
      </c>
      <c r="AD259" t="s">
        <v>220</v>
      </c>
      <c r="AE259" t="s">
        <v>229</v>
      </c>
      <c r="AG259" t="s">
        <v>121</v>
      </c>
      <c r="AH259" t="s">
        <v>327</v>
      </c>
      <c r="AI259" t="s">
        <v>121</v>
      </c>
      <c r="AJ259" t="s">
        <v>715</v>
      </c>
      <c r="AK259" t="s">
        <v>121</v>
      </c>
    </row>
    <row r="260" spans="9:37" x14ac:dyDescent="0.3">
      <c r="I260">
        <f ca="1">IF(OR(INDIRECT(A73&amp;ROW())=B93,INDIRECT(A73&amp;ROW())=B94),1,IF(AND(INDIRECT(A73&amp;ROW())=B95,INDIRECT(A96&amp;ROW())=C93),1,IF(AND(INDIRECT(A73&amp;ROW())=B95,INDIRECT(A96&amp;ROW())=C94),1,0)))</f>
        <v>0</v>
      </c>
      <c r="J260">
        <f ca="1">IF(AND(INDIRECT(A73&amp;ROW())=B95,INDIRECT(A96&amp;ROW())=C95),1,IF(AND(INDIRECT(A73&amp;ROW())=B95,INDIRECT(A96&amp;ROW())=C96),1,0))</f>
        <v>1</v>
      </c>
      <c r="K260">
        <f ca="1">DAYS360(INDIRECT(C68&amp;ROW()),TODAY())</f>
        <v>679</v>
      </c>
      <c r="L260">
        <f ca="1">DAYS360(INDIRECT(C69&amp;ROW()),TODAY())</f>
        <v>809</v>
      </c>
      <c r="M260">
        <f ca="1">HYPERLINK(CONCATENATE("https://bugzilla.houston.hp.com:1181/bugzilla/show_bug.cgi?id=",INDIRECT(C70&amp;ROW())),INDIRECT(C70&amp;ROW()))</f>
        <v>56425</v>
      </c>
      <c r="N260">
        <v>56425</v>
      </c>
      <c r="O260" t="s">
        <v>56</v>
      </c>
      <c r="P260" t="s">
        <v>595</v>
      </c>
      <c r="Q260" t="s">
        <v>25</v>
      </c>
      <c r="R260" t="s">
        <v>251</v>
      </c>
      <c r="S260" t="s">
        <v>66</v>
      </c>
      <c r="U260" s="6">
        <v>42168.422650462962</v>
      </c>
      <c r="V260" t="s">
        <v>18</v>
      </c>
      <c r="W260" t="s">
        <v>17</v>
      </c>
      <c r="X260" s="6">
        <v>42038.452962962961</v>
      </c>
      <c r="Y260" t="s">
        <v>788</v>
      </c>
      <c r="AB260" t="s">
        <v>201</v>
      </c>
      <c r="AC260" t="s">
        <v>247</v>
      </c>
      <c r="AD260" t="s">
        <v>220</v>
      </c>
      <c r="AE260" t="s">
        <v>219</v>
      </c>
      <c r="AG260" t="s">
        <v>121</v>
      </c>
      <c r="AH260" t="s">
        <v>327</v>
      </c>
      <c r="AI260" t="s">
        <v>121</v>
      </c>
      <c r="AJ260" t="s">
        <v>716</v>
      </c>
      <c r="AK260" t="s">
        <v>121</v>
      </c>
    </row>
    <row r="261" spans="9:37" x14ac:dyDescent="0.3">
      <c r="I261">
        <f ca="1">IF(OR(INDIRECT(A73&amp;ROW())=B93,INDIRECT(A73&amp;ROW())=B94),1,IF(AND(INDIRECT(A73&amp;ROW())=B95,INDIRECT(A96&amp;ROW())=C93),1,IF(AND(INDIRECT(A73&amp;ROW())=B95,INDIRECT(A96&amp;ROW())=C94),1,0)))</f>
        <v>0</v>
      </c>
      <c r="J261">
        <f ca="1">IF(AND(INDIRECT(A73&amp;ROW())=B95,INDIRECT(A96&amp;ROW())=C95),1,IF(AND(INDIRECT(A73&amp;ROW())=B95,INDIRECT(A96&amp;ROW())=C96),1,0))</f>
        <v>1</v>
      </c>
      <c r="K261">
        <f ca="1">DAYS360(INDIRECT(C68&amp;ROW()),TODAY())</f>
        <v>799</v>
      </c>
      <c r="L261">
        <f ca="1">DAYS360(INDIRECT(C69&amp;ROW()),TODAY())</f>
        <v>809</v>
      </c>
      <c r="M261">
        <f ca="1">HYPERLINK(CONCATENATE("https://bugzilla.houston.hp.com:1181/bugzilla/show_bug.cgi?id=",INDIRECT(C70&amp;ROW())),INDIRECT(C70&amp;ROW()))</f>
        <v>56440</v>
      </c>
      <c r="N261">
        <v>56440</v>
      </c>
      <c r="O261" t="s">
        <v>36</v>
      </c>
      <c r="P261" t="s">
        <v>594</v>
      </c>
      <c r="Q261" t="s">
        <v>25</v>
      </c>
      <c r="R261" t="s">
        <v>579</v>
      </c>
      <c r="S261" t="s">
        <v>552</v>
      </c>
      <c r="T261" t="s">
        <v>610</v>
      </c>
      <c r="U261" s="6">
        <v>42048.014004629629</v>
      </c>
      <c r="V261" t="s">
        <v>18</v>
      </c>
      <c r="W261" t="s">
        <v>17</v>
      </c>
      <c r="X261" s="6">
        <v>42038.495104166665</v>
      </c>
      <c r="Y261" t="s">
        <v>788</v>
      </c>
      <c r="AB261" t="s">
        <v>201</v>
      </c>
      <c r="AC261" t="s">
        <v>247</v>
      </c>
      <c r="AD261" t="s">
        <v>222</v>
      </c>
      <c r="AE261" t="s">
        <v>240</v>
      </c>
      <c r="AG261" t="s">
        <v>121</v>
      </c>
      <c r="AH261" t="s">
        <v>327</v>
      </c>
      <c r="AI261" t="s">
        <v>121</v>
      </c>
      <c r="AJ261" t="s">
        <v>716</v>
      </c>
      <c r="AK261" t="s">
        <v>121</v>
      </c>
    </row>
    <row r="262" spans="9:37" x14ac:dyDescent="0.3">
      <c r="I262">
        <f ca="1">IF(OR(INDIRECT(A73&amp;ROW())=B93,INDIRECT(A73&amp;ROW())=B94),1,IF(AND(INDIRECT(A73&amp;ROW())=B95,INDIRECT(A96&amp;ROW())=C93),1,IF(AND(INDIRECT(A73&amp;ROW())=B95,INDIRECT(A96&amp;ROW())=C94),1,0)))</f>
        <v>0</v>
      </c>
      <c r="J262">
        <f ca="1">IF(AND(INDIRECT(A73&amp;ROW())=B95,INDIRECT(A96&amp;ROW())=C95),1,IF(AND(INDIRECT(A73&amp;ROW())=B95,INDIRECT(A96&amp;ROW())=C96),1,0))</f>
        <v>1</v>
      </c>
      <c r="K262">
        <f ca="1">DAYS360(INDIRECT(C68&amp;ROW()),TODAY())</f>
        <v>800</v>
      </c>
      <c r="L262">
        <f ca="1">DAYS360(INDIRECT(C69&amp;ROW()),TODAY())</f>
        <v>809</v>
      </c>
      <c r="M262">
        <f ca="1">HYPERLINK(CONCATENATE("https://bugzilla.houston.hp.com:1181/bugzilla/show_bug.cgi?id=",INDIRECT(C70&amp;ROW())),INDIRECT(C70&amp;ROW()))</f>
        <v>56441</v>
      </c>
      <c r="N262">
        <v>56441</v>
      </c>
      <c r="O262" t="s">
        <v>36</v>
      </c>
      <c r="P262" t="s">
        <v>593</v>
      </c>
      <c r="Q262" t="s">
        <v>25</v>
      </c>
      <c r="R262" t="s">
        <v>579</v>
      </c>
      <c r="S262" t="s">
        <v>552</v>
      </c>
      <c r="T262" t="s">
        <v>610</v>
      </c>
      <c r="U262" s="6">
        <v>42047.994803240741</v>
      </c>
      <c r="V262" t="s">
        <v>18</v>
      </c>
      <c r="W262" t="s">
        <v>17</v>
      </c>
      <c r="X262" s="6">
        <v>42038.496180555558</v>
      </c>
      <c r="Y262" t="s">
        <v>788</v>
      </c>
      <c r="AB262" t="s">
        <v>201</v>
      </c>
      <c r="AC262" t="s">
        <v>247</v>
      </c>
      <c r="AD262" t="s">
        <v>222</v>
      </c>
      <c r="AE262" t="s">
        <v>240</v>
      </c>
      <c r="AG262" t="s">
        <v>121</v>
      </c>
      <c r="AH262" t="s">
        <v>327</v>
      </c>
      <c r="AI262" t="s">
        <v>121</v>
      </c>
      <c r="AJ262" t="s">
        <v>716</v>
      </c>
      <c r="AK262" t="s">
        <v>121</v>
      </c>
    </row>
    <row r="263" spans="9:37" x14ac:dyDescent="0.3">
      <c r="I263">
        <f ca="1">IF(OR(INDIRECT(A73&amp;ROW())=B93,INDIRECT(A73&amp;ROW())=B94),1,IF(AND(INDIRECT(A73&amp;ROW())=B95,INDIRECT(A96&amp;ROW())=C93),1,IF(AND(INDIRECT(A73&amp;ROW())=B95,INDIRECT(A96&amp;ROW())=C94),1,0)))</f>
        <v>0</v>
      </c>
      <c r="J263">
        <f ca="1">IF(AND(INDIRECT(A73&amp;ROW())=B95,INDIRECT(A96&amp;ROW())=C95),1,IF(AND(INDIRECT(A73&amp;ROW())=B95,INDIRECT(A96&amp;ROW())=C96),1,0))</f>
        <v>1</v>
      </c>
      <c r="K263">
        <f ca="1">DAYS360(INDIRECT(C68&amp;ROW()),TODAY())</f>
        <v>809</v>
      </c>
      <c r="L263">
        <f ca="1">DAYS360(INDIRECT(C69&amp;ROW()),TODAY())</f>
        <v>809</v>
      </c>
      <c r="M263">
        <f ca="1">HYPERLINK(CONCATENATE("https://bugzilla.houston.hp.com:1181/bugzilla/show_bug.cgi?id=",INDIRECT(C70&amp;ROW())),INDIRECT(C70&amp;ROW()))</f>
        <v>56442</v>
      </c>
      <c r="N263">
        <v>56442</v>
      </c>
      <c r="O263" t="s">
        <v>36</v>
      </c>
      <c r="P263" t="s">
        <v>592</v>
      </c>
      <c r="Q263" t="s">
        <v>25</v>
      </c>
      <c r="R263" t="s">
        <v>248</v>
      </c>
      <c r="S263" t="s">
        <v>552</v>
      </c>
      <c r="U263" s="6">
        <v>42038.497789351852</v>
      </c>
      <c r="V263" t="s">
        <v>18</v>
      </c>
      <c r="W263" t="s">
        <v>17</v>
      </c>
      <c r="X263" s="6">
        <v>42038.497395833336</v>
      </c>
      <c r="Y263" t="s">
        <v>788</v>
      </c>
      <c r="AB263" t="s">
        <v>201</v>
      </c>
      <c r="AC263" t="s">
        <v>247</v>
      </c>
      <c r="AD263" t="s">
        <v>222</v>
      </c>
      <c r="AE263" t="s">
        <v>240</v>
      </c>
      <c r="AG263" t="s">
        <v>121</v>
      </c>
      <c r="AH263" t="s">
        <v>327</v>
      </c>
      <c r="AI263" t="s">
        <v>121</v>
      </c>
      <c r="AJ263" t="s">
        <v>716</v>
      </c>
      <c r="AK263" t="s">
        <v>121</v>
      </c>
    </row>
    <row r="264" spans="9:37" x14ac:dyDescent="0.3">
      <c r="I264">
        <f ca="1">IF(OR(INDIRECT(A73&amp;ROW())=B93,INDIRECT(A73&amp;ROW())=B94),1,IF(AND(INDIRECT(A73&amp;ROW())=B95,INDIRECT(A96&amp;ROW())=C93),1,IF(AND(INDIRECT(A73&amp;ROW())=B95,INDIRECT(A96&amp;ROW())=C94),1,0)))</f>
        <v>0</v>
      </c>
      <c r="J264">
        <f ca="1">IF(AND(INDIRECT(A73&amp;ROW())=B95,INDIRECT(A96&amp;ROW())=C95),1,IF(AND(INDIRECT(A73&amp;ROW())=B95,INDIRECT(A96&amp;ROW())=C96),1,0))</f>
        <v>1</v>
      </c>
      <c r="K264">
        <f ca="1">DAYS360(INDIRECT(C68&amp;ROW()),TODAY())</f>
        <v>809</v>
      </c>
      <c r="L264">
        <f ca="1">DAYS360(INDIRECT(C69&amp;ROW()),TODAY())</f>
        <v>809</v>
      </c>
      <c r="M264">
        <f ca="1">HYPERLINK(CONCATENATE("https://bugzilla.houston.hp.com:1181/bugzilla/show_bug.cgi?id=",INDIRECT(C70&amp;ROW())),INDIRECT(C70&amp;ROW()))</f>
        <v>56445</v>
      </c>
      <c r="N264">
        <v>56445</v>
      </c>
      <c r="O264" t="s">
        <v>36</v>
      </c>
      <c r="P264" t="s">
        <v>591</v>
      </c>
      <c r="Q264" t="s">
        <v>25</v>
      </c>
      <c r="R264" t="s">
        <v>248</v>
      </c>
      <c r="S264" t="s">
        <v>552</v>
      </c>
      <c r="U264" s="6">
        <v>42038.501550925925</v>
      </c>
      <c r="V264" t="s">
        <v>18</v>
      </c>
      <c r="W264" t="s">
        <v>17</v>
      </c>
      <c r="X264" s="6">
        <v>42038.501111111109</v>
      </c>
      <c r="Y264" t="s">
        <v>788</v>
      </c>
      <c r="AB264" t="s">
        <v>201</v>
      </c>
      <c r="AC264" t="s">
        <v>247</v>
      </c>
      <c r="AD264" t="s">
        <v>222</v>
      </c>
      <c r="AE264" t="s">
        <v>240</v>
      </c>
      <c r="AG264" t="s">
        <v>121</v>
      </c>
      <c r="AH264" t="s">
        <v>327</v>
      </c>
      <c r="AI264" t="s">
        <v>121</v>
      </c>
      <c r="AJ264" t="s">
        <v>716</v>
      </c>
      <c r="AK264" t="s">
        <v>121</v>
      </c>
    </row>
    <row r="265" spans="9:37" x14ac:dyDescent="0.3">
      <c r="I265">
        <f ca="1">IF(OR(INDIRECT(A73&amp;ROW())=B93,INDIRECT(A73&amp;ROW())=B94),1,IF(AND(INDIRECT(A73&amp;ROW())=B95,INDIRECT(A96&amp;ROW())=C93),1,IF(AND(INDIRECT(A73&amp;ROW())=B95,INDIRECT(A96&amp;ROW())=C94),1,0)))</f>
        <v>0</v>
      </c>
      <c r="J265">
        <f ca="1">IF(AND(INDIRECT(A73&amp;ROW())=B95,INDIRECT(A96&amp;ROW())=C95),1,IF(AND(INDIRECT(A73&amp;ROW())=B95,INDIRECT(A96&amp;ROW())=C96),1,0))</f>
        <v>1</v>
      </c>
      <c r="K265">
        <f ca="1">DAYS360(INDIRECT(C68&amp;ROW()),TODAY())</f>
        <v>684</v>
      </c>
      <c r="L265">
        <f ca="1">DAYS360(INDIRECT(C69&amp;ROW()),TODAY())</f>
        <v>809</v>
      </c>
      <c r="M265">
        <f ca="1">HYPERLINK(CONCATENATE("https://bugzilla.houston.hp.com:1181/bugzilla/show_bug.cgi?id=",INDIRECT(C70&amp;ROW())),INDIRECT(C70&amp;ROW()))</f>
        <v>56450</v>
      </c>
      <c r="N265">
        <v>56450</v>
      </c>
      <c r="O265" t="s">
        <v>56</v>
      </c>
      <c r="P265" t="s">
        <v>590</v>
      </c>
      <c r="Q265" t="s">
        <v>25</v>
      </c>
      <c r="R265" t="s">
        <v>251</v>
      </c>
      <c r="S265" t="s">
        <v>66</v>
      </c>
      <c r="U265" s="6">
        <v>42163.60596064815</v>
      </c>
      <c r="V265" t="s">
        <v>18</v>
      </c>
      <c r="W265" t="s">
        <v>17</v>
      </c>
      <c r="X265" s="6">
        <v>42038.576805555553</v>
      </c>
      <c r="Y265" t="s">
        <v>788</v>
      </c>
      <c r="AB265" t="s">
        <v>201</v>
      </c>
      <c r="AC265" t="s">
        <v>247</v>
      </c>
      <c r="AD265" t="s">
        <v>220</v>
      </c>
      <c r="AE265" t="s">
        <v>219</v>
      </c>
      <c r="AG265" t="s">
        <v>121</v>
      </c>
      <c r="AH265" t="s">
        <v>327</v>
      </c>
      <c r="AI265" t="s">
        <v>121</v>
      </c>
      <c r="AJ265" t="s">
        <v>716</v>
      </c>
      <c r="AK265" t="s">
        <v>121</v>
      </c>
    </row>
    <row r="266" spans="9:37" x14ac:dyDescent="0.3">
      <c r="I266">
        <f ca="1">IF(OR(INDIRECT(A73&amp;ROW())=B93,INDIRECT(A73&amp;ROW())=B94),1,IF(AND(INDIRECT(A73&amp;ROW())=B95,INDIRECT(A96&amp;ROW())=C93),1,IF(AND(INDIRECT(A73&amp;ROW())=B95,INDIRECT(A96&amp;ROW())=C94),1,0)))</f>
        <v>0</v>
      </c>
      <c r="J266">
        <f ca="1">IF(AND(INDIRECT(A73&amp;ROW())=B95,INDIRECT(A96&amp;ROW())=C95),1,IF(AND(INDIRECT(A73&amp;ROW())=B95,INDIRECT(A96&amp;ROW())=C96),1,0))</f>
        <v>1</v>
      </c>
      <c r="K266">
        <f ca="1">DAYS360(INDIRECT(C68&amp;ROW()),TODAY())</f>
        <v>809</v>
      </c>
      <c r="L266">
        <f ca="1">DAYS360(INDIRECT(C69&amp;ROW()),TODAY())</f>
        <v>809</v>
      </c>
      <c r="M266">
        <f ca="1">HYPERLINK(CONCATENATE("https://bugzilla.houston.hp.com:1181/bugzilla/show_bug.cgi?id=",INDIRECT(C70&amp;ROW())),INDIRECT(C70&amp;ROW()))</f>
        <v>56458</v>
      </c>
      <c r="N266">
        <v>56458</v>
      </c>
      <c r="O266" t="s">
        <v>56</v>
      </c>
      <c r="P266" t="s">
        <v>589</v>
      </c>
      <c r="Q266" t="s">
        <v>25</v>
      </c>
      <c r="R266" t="s">
        <v>248</v>
      </c>
      <c r="S266" t="s">
        <v>552</v>
      </c>
      <c r="U266" s="6">
        <v>42038.643333333333</v>
      </c>
      <c r="V266" t="s">
        <v>18</v>
      </c>
      <c r="W266" t="s">
        <v>576</v>
      </c>
      <c r="X266" s="6">
        <v>42038.640115740738</v>
      </c>
      <c r="Y266" t="s">
        <v>788</v>
      </c>
      <c r="AB266" t="s">
        <v>201</v>
      </c>
      <c r="AC266" t="s">
        <v>247</v>
      </c>
      <c r="AD266" t="s">
        <v>220</v>
      </c>
      <c r="AE266" t="s">
        <v>219</v>
      </c>
      <c r="AG266" t="s">
        <v>121</v>
      </c>
      <c r="AH266" t="s">
        <v>327</v>
      </c>
      <c r="AI266" t="s">
        <v>121</v>
      </c>
      <c r="AJ266" t="s">
        <v>716</v>
      </c>
      <c r="AK266" t="s">
        <v>121</v>
      </c>
    </row>
    <row r="267" spans="9:37" x14ac:dyDescent="0.3">
      <c r="I267">
        <f ca="1">IF(OR(INDIRECT(A73&amp;ROW())=B93,INDIRECT(A73&amp;ROW())=B94),1,IF(AND(INDIRECT(A73&amp;ROW())=B95,INDIRECT(A96&amp;ROW())=C93),1,IF(AND(INDIRECT(A73&amp;ROW())=B95,INDIRECT(A96&amp;ROW())=C94),1,0)))</f>
        <v>0</v>
      </c>
      <c r="J267">
        <f ca="1">IF(AND(INDIRECT(A73&amp;ROW())=B95,INDIRECT(A96&amp;ROW())=C95),1,IF(AND(INDIRECT(A73&amp;ROW())=B95,INDIRECT(A96&amp;ROW())=C96),1,0))</f>
        <v>1</v>
      </c>
      <c r="K267">
        <f ca="1">DAYS360(INDIRECT(C68&amp;ROW()),TODAY())</f>
        <v>674</v>
      </c>
      <c r="L267">
        <f ca="1">DAYS360(INDIRECT(C69&amp;ROW()),TODAY())</f>
        <v>808</v>
      </c>
      <c r="M267">
        <f ca="1">HYPERLINK(CONCATENATE("https://bugzilla.houston.hp.com:1181/bugzilla/show_bug.cgi?id=",INDIRECT(C70&amp;ROW())),INDIRECT(C70&amp;ROW()))</f>
        <v>56502</v>
      </c>
      <c r="N267">
        <v>56502</v>
      </c>
      <c r="O267" t="s">
        <v>22</v>
      </c>
      <c r="P267" t="s">
        <v>599</v>
      </c>
      <c r="Q267" t="s">
        <v>25</v>
      </c>
      <c r="R267" t="s">
        <v>251</v>
      </c>
      <c r="S267" t="s">
        <v>24</v>
      </c>
      <c r="U267" s="6">
        <v>42173.491678240738</v>
      </c>
      <c r="V267" t="s">
        <v>18</v>
      </c>
      <c r="W267" t="s">
        <v>17</v>
      </c>
      <c r="X267" s="6">
        <v>42039.558599537035</v>
      </c>
      <c r="Y267" t="s">
        <v>535</v>
      </c>
      <c r="AB267" t="s">
        <v>201</v>
      </c>
      <c r="AC267" t="s">
        <v>247</v>
      </c>
      <c r="AD267" t="s">
        <v>222</v>
      </c>
      <c r="AE267" t="s">
        <v>221</v>
      </c>
      <c r="AG267" t="s">
        <v>121</v>
      </c>
      <c r="AH267" t="s">
        <v>327</v>
      </c>
      <c r="AI267" t="s">
        <v>121</v>
      </c>
      <c r="AJ267" t="s">
        <v>716</v>
      </c>
      <c r="AK267" t="s">
        <v>121</v>
      </c>
    </row>
    <row r="268" spans="9:37" x14ac:dyDescent="0.3">
      <c r="I268">
        <f ca="1">IF(OR(INDIRECT(A73&amp;ROW())=B93,INDIRECT(A73&amp;ROW())=B94),1,IF(AND(INDIRECT(A73&amp;ROW())=B95,INDIRECT(A96&amp;ROW())=C93),1,IF(AND(INDIRECT(A73&amp;ROW())=B95,INDIRECT(A96&amp;ROW())=C94),1,0)))</f>
        <v>0</v>
      </c>
      <c r="J268">
        <f ca="1">IF(AND(INDIRECT(A73&amp;ROW())=B95,INDIRECT(A96&amp;ROW())=C95),1,IF(AND(INDIRECT(A73&amp;ROW())=B95,INDIRECT(A96&amp;ROW())=C96),1,0))</f>
        <v>1</v>
      </c>
      <c r="K268">
        <f ca="1">DAYS360(INDIRECT(C68&amp;ROW()),TODAY())</f>
        <v>674</v>
      </c>
      <c r="L268">
        <f ca="1">DAYS360(INDIRECT(C69&amp;ROW()),TODAY())</f>
        <v>808</v>
      </c>
      <c r="M268">
        <f ca="1">HYPERLINK(CONCATENATE("https://bugzilla.houston.hp.com:1181/bugzilla/show_bug.cgi?id=",INDIRECT(C70&amp;ROW())),INDIRECT(C70&amp;ROW()))</f>
        <v>56512</v>
      </c>
      <c r="N268">
        <v>56512</v>
      </c>
      <c r="O268" t="s">
        <v>22</v>
      </c>
      <c r="P268" t="s">
        <v>598</v>
      </c>
      <c r="Q268" t="s">
        <v>25</v>
      </c>
      <c r="R268" t="s">
        <v>579</v>
      </c>
      <c r="S268" t="s">
        <v>552</v>
      </c>
      <c r="U268" s="6">
        <v>42173.491736111115</v>
      </c>
      <c r="V268" t="s">
        <v>18</v>
      </c>
      <c r="W268" t="s">
        <v>576</v>
      </c>
      <c r="X268" s="6">
        <v>42039.647303240738</v>
      </c>
      <c r="Y268" t="s">
        <v>535</v>
      </c>
      <c r="AB268" t="s">
        <v>201</v>
      </c>
      <c r="AC268" t="s">
        <v>247</v>
      </c>
      <c r="AD268" t="s">
        <v>222</v>
      </c>
      <c r="AE268" t="s">
        <v>221</v>
      </c>
      <c r="AG268" t="s">
        <v>121</v>
      </c>
      <c r="AH268" t="s">
        <v>327</v>
      </c>
      <c r="AI268" t="s">
        <v>121</v>
      </c>
      <c r="AJ268" t="s">
        <v>716</v>
      </c>
      <c r="AK268" t="s">
        <v>121</v>
      </c>
    </row>
    <row r="269" spans="9:37" x14ac:dyDescent="0.3">
      <c r="I269">
        <f ca="1">IF(OR(INDIRECT(A73&amp;ROW())=B93,INDIRECT(A73&amp;ROW())=B94),1,IF(AND(INDIRECT(A73&amp;ROW())=B95,INDIRECT(A96&amp;ROW())=C93),1,IF(AND(INDIRECT(A73&amp;ROW())=B95,INDIRECT(A96&amp;ROW())=C94),1,0)))</f>
        <v>0</v>
      </c>
      <c r="J269">
        <f ca="1">IF(AND(INDIRECT(A73&amp;ROW())=B95,INDIRECT(A96&amp;ROW())=C95),1,IF(AND(INDIRECT(A73&amp;ROW())=B95,INDIRECT(A96&amp;ROW())=C96),1,0))</f>
        <v>1</v>
      </c>
      <c r="K269">
        <f ca="1">DAYS360(INDIRECT(C68&amp;ROW()),TODAY())</f>
        <v>674</v>
      </c>
      <c r="L269">
        <f ca="1">DAYS360(INDIRECT(C69&amp;ROW()),TODAY())</f>
        <v>808</v>
      </c>
      <c r="M269">
        <f ca="1">HYPERLINK(CONCATENATE("https://bugzilla.houston.hp.com:1181/bugzilla/show_bug.cgi?id=",INDIRECT(C70&amp;ROW())),INDIRECT(C70&amp;ROW()))</f>
        <v>56513</v>
      </c>
      <c r="N269">
        <v>56513</v>
      </c>
      <c r="O269" t="s">
        <v>36</v>
      </c>
      <c r="P269" t="s">
        <v>597</v>
      </c>
      <c r="Q269" t="s">
        <v>25</v>
      </c>
      <c r="R269" t="s">
        <v>248</v>
      </c>
      <c r="S269" t="s">
        <v>552</v>
      </c>
      <c r="U269" s="6">
        <v>42173.491724537038</v>
      </c>
      <c r="V269" t="s">
        <v>18</v>
      </c>
      <c r="W269" t="s">
        <v>576</v>
      </c>
      <c r="X269" s="6">
        <v>42039.648113425923</v>
      </c>
      <c r="Y269" t="s">
        <v>535</v>
      </c>
      <c r="AB269" t="s">
        <v>201</v>
      </c>
      <c r="AC269" t="s">
        <v>247</v>
      </c>
      <c r="AD269" t="s">
        <v>222</v>
      </c>
      <c r="AE269" t="s">
        <v>221</v>
      </c>
      <c r="AG269" t="s">
        <v>121</v>
      </c>
      <c r="AH269" t="s">
        <v>327</v>
      </c>
      <c r="AI269" t="s">
        <v>121</v>
      </c>
      <c r="AJ269" t="s">
        <v>716</v>
      </c>
      <c r="AK269" t="s">
        <v>121</v>
      </c>
    </row>
    <row r="270" spans="9:37" x14ac:dyDescent="0.3">
      <c r="I270">
        <f ca="1">IF(OR(INDIRECT(A73&amp;ROW())=B93,INDIRECT(A73&amp;ROW())=B94),1,IF(AND(INDIRECT(A73&amp;ROW())=B95,INDIRECT(A96&amp;ROW())=C93),1,IF(AND(INDIRECT(A73&amp;ROW())=B95,INDIRECT(A96&amp;ROW())=C94),1,0)))</f>
        <v>0</v>
      </c>
      <c r="J270">
        <f ca="1">IF(AND(INDIRECT(A73&amp;ROW())=B95,INDIRECT(A96&amp;ROW())=C95),1,IF(AND(INDIRECT(A73&amp;ROW())=B95,INDIRECT(A96&amp;ROW())=C96),1,0))</f>
        <v>1</v>
      </c>
      <c r="K270">
        <f ca="1">DAYS360(INDIRECT(C68&amp;ROW()),TODAY())</f>
        <v>674</v>
      </c>
      <c r="L270">
        <f ca="1">DAYS360(INDIRECT(C69&amp;ROW()),TODAY())</f>
        <v>807</v>
      </c>
      <c r="M270">
        <f ca="1">HYPERLINK(CONCATENATE("https://bugzilla.houston.hp.com:1181/bugzilla/show_bug.cgi?id=",INDIRECT(C70&amp;ROW())),INDIRECT(C70&amp;ROW()))</f>
        <v>56586</v>
      </c>
      <c r="N270">
        <v>56586</v>
      </c>
      <c r="O270" t="s">
        <v>56</v>
      </c>
      <c r="P270" t="s">
        <v>601</v>
      </c>
      <c r="Q270" t="s">
        <v>25</v>
      </c>
      <c r="R270" t="s">
        <v>251</v>
      </c>
      <c r="S270" t="s">
        <v>22</v>
      </c>
      <c r="U270" s="6">
        <v>42173.599386574075</v>
      </c>
      <c r="V270" t="s">
        <v>18</v>
      </c>
      <c r="W270" t="s">
        <v>17</v>
      </c>
      <c r="X270" s="6">
        <v>42040.483576388891</v>
      </c>
      <c r="Y270" t="s">
        <v>122</v>
      </c>
      <c r="AB270" t="s">
        <v>201</v>
      </c>
      <c r="AC270" t="s">
        <v>247</v>
      </c>
      <c r="AD270" t="s">
        <v>220</v>
      </c>
      <c r="AE270" t="s">
        <v>219</v>
      </c>
      <c r="AG270" t="s">
        <v>121</v>
      </c>
      <c r="AH270" t="s">
        <v>327</v>
      </c>
      <c r="AI270" t="s">
        <v>121</v>
      </c>
      <c r="AJ270" t="s">
        <v>716</v>
      </c>
      <c r="AK270" t="s">
        <v>121</v>
      </c>
    </row>
    <row r="271" spans="9:37" x14ac:dyDescent="0.3">
      <c r="I271">
        <f ca="1">IF(OR(INDIRECT(A73&amp;ROW())=B93,INDIRECT(A73&amp;ROW())=B94),1,IF(AND(INDIRECT(A73&amp;ROW())=B95,INDIRECT(A96&amp;ROW())=C93),1,IF(AND(INDIRECT(A73&amp;ROW())=B95,INDIRECT(A96&amp;ROW())=C94),1,0)))</f>
        <v>0</v>
      </c>
      <c r="J271">
        <f ca="1">IF(AND(INDIRECT(A73&amp;ROW())=B95,INDIRECT(A96&amp;ROW())=C95),1,IF(AND(INDIRECT(A73&amp;ROW())=B95,INDIRECT(A96&amp;ROW())=C96),1,0))</f>
        <v>1</v>
      </c>
      <c r="K271">
        <f ca="1">DAYS360(INDIRECT(C68&amp;ROW()),TODAY())</f>
        <v>721</v>
      </c>
      <c r="L271">
        <f ca="1">DAYS360(INDIRECT(C69&amp;ROW()),TODAY())</f>
        <v>807</v>
      </c>
      <c r="M271">
        <f ca="1">HYPERLINK(CONCATENATE("https://bugzilla.houston.hp.com:1181/bugzilla/show_bug.cgi?id=",INDIRECT(C70&amp;ROW())),INDIRECT(C70&amp;ROW()))</f>
        <v>56589</v>
      </c>
      <c r="N271">
        <v>56589</v>
      </c>
      <c r="O271" t="s">
        <v>56</v>
      </c>
      <c r="P271" t="s">
        <v>600</v>
      </c>
      <c r="Q271" t="s">
        <v>25</v>
      </c>
      <c r="R271" t="s">
        <v>248</v>
      </c>
      <c r="S271" t="s">
        <v>552</v>
      </c>
      <c r="U271" s="6">
        <v>42125.452916666669</v>
      </c>
      <c r="V271" t="s">
        <v>18</v>
      </c>
      <c r="W271" t="s">
        <v>576</v>
      </c>
      <c r="X271" s="6">
        <v>42040.484780092593</v>
      </c>
      <c r="Y271" t="s">
        <v>122</v>
      </c>
      <c r="AB271" t="s">
        <v>201</v>
      </c>
      <c r="AC271" t="s">
        <v>247</v>
      </c>
      <c r="AD271" t="s">
        <v>220</v>
      </c>
      <c r="AE271" t="s">
        <v>219</v>
      </c>
      <c r="AG271" t="s">
        <v>121</v>
      </c>
      <c r="AH271" t="s">
        <v>327</v>
      </c>
      <c r="AI271" t="s">
        <v>121</v>
      </c>
      <c r="AJ271" t="s">
        <v>716</v>
      </c>
      <c r="AK271" t="s">
        <v>121</v>
      </c>
    </row>
    <row r="272" spans="9:37" x14ac:dyDescent="0.3">
      <c r="I272">
        <f ca="1">IF(OR(INDIRECT(A73&amp;ROW())=B93,INDIRECT(A73&amp;ROW())=B94),1,IF(AND(INDIRECT(A73&amp;ROW())=B95,INDIRECT(A96&amp;ROW())=C93),1,IF(AND(INDIRECT(A73&amp;ROW())=B95,INDIRECT(A96&amp;ROW())=C94),1,0)))</f>
        <v>1</v>
      </c>
      <c r="J272">
        <f ca="1">IF(AND(INDIRECT(A73&amp;ROW())=B95,INDIRECT(A96&amp;ROW())=C95),1,IF(AND(INDIRECT(A73&amp;ROW())=B95,INDIRECT(A96&amp;ROW())=C96),1,0))</f>
        <v>0</v>
      </c>
      <c r="K272">
        <f ca="1">DAYS360(INDIRECT(C68&amp;ROW()),TODAY())</f>
        <v>691</v>
      </c>
      <c r="L272">
        <f ca="1">DAYS360(INDIRECT(C69&amp;ROW()),TODAY())</f>
        <v>806</v>
      </c>
      <c r="M272">
        <f ca="1">HYPERLINK(CONCATENATE("https://bugzilla.houston.hp.com:1181/bugzilla/show_bug.cgi?id=",INDIRECT(C70&amp;ROW())),INDIRECT(C70&amp;ROW()))</f>
        <v>56687</v>
      </c>
      <c r="N272">
        <v>56687</v>
      </c>
      <c r="O272" t="s">
        <v>164</v>
      </c>
      <c r="P272" t="s">
        <v>602</v>
      </c>
      <c r="Q272" t="s">
        <v>25</v>
      </c>
      <c r="R272" t="s">
        <v>579</v>
      </c>
      <c r="S272" t="s">
        <v>236</v>
      </c>
      <c r="T272" t="s">
        <v>820</v>
      </c>
      <c r="U272" s="6">
        <v>42156.078865740739</v>
      </c>
      <c r="V272" t="s">
        <v>18</v>
      </c>
      <c r="W272" t="s">
        <v>57</v>
      </c>
      <c r="X272" s="6">
        <v>42041.700462962966</v>
      </c>
      <c r="Y272" t="s">
        <v>125</v>
      </c>
      <c r="AB272" t="s">
        <v>200</v>
      </c>
      <c r="AC272" t="s">
        <v>216</v>
      </c>
      <c r="AD272" t="s">
        <v>220</v>
      </c>
      <c r="AE272" t="s">
        <v>219</v>
      </c>
      <c r="AG272" t="s">
        <v>121</v>
      </c>
      <c r="AH272" t="s">
        <v>328</v>
      </c>
      <c r="AI272" t="s">
        <v>362</v>
      </c>
      <c r="AJ272" t="s">
        <v>715</v>
      </c>
      <c r="AK272" t="s">
        <v>121</v>
      </c>
    </row>
    <row r="273" spans="9:37" x14ac:dyDescent="0.3">
      <c r="I273">
        <f ca="1">IF(OR(INDIRECT(A73&amp;ROW())=B93,INDIRECT(A73&amp;ROW())=B94),1,IF(AND(INDIRECT(A73&amp;ROW())=B95,INDIRECT(A96&amp;ROW())=C93),1,IF(AND(INDIRECT(A73&amp;ROW())=B95,INDIRECT(A96&amp;ROW())=C94),1,0)))</f>
        <v>1</v>
      </c>
      <c r="J273">
        <f ca="1">IF(AND(INDIRECT(A73&amp;ROW())=B95,INDIRECT(A96&amp;ROW())=C95),1,IF(AND(INDIRECT(A73&amp;ROW())=B95,INDIRECT(A96&amp;ROW())=C96),1,0))</f>
        <v>0</v>
      </c>
      <c r="K273">
        <f ca="1">DAYS360(INDIRECT(C68&amp;ROW()),TODAY())</f>
        <v>723</v>
      </c>
      <c r="L273">
        <f ca="1">DAYS360(INDIRECT(C69&amp;ROW()),TODAY())</f>
        <v>803</v>
      </c>
      <c r="M273">
        <f ca="1">HYPERLINK(CONCATENATE("https://bugzilla.houston.hp.com:1181/bugzilla/show_bug.cgi?id=",INDIRECT(C70&amp;ROW())),INDIRECT(C70&amp;ROW()))</f>
        <v>56731</v>
      </c>
      <c r="N273">
        <v>56731</v>
      </c>
      <c r="O273" t="s">
        <v>94</v>
      </c>
      <c r="P273" t="s">
        <v>608</v>
      </c>
      <c r="Q273" t="s">
        <v>39</v>
      </c>
      <c r="R273" t="s">
        <v>579</v>
      </c>
      <c r="S273" t="s">
        <v>552</v>
      </c>
      <c r="T273" t="s">
        <v>820</v>
      </c>
      <c r="U273" s="6">
        <v>42123.396423611113</v>
      </c>
      <c r="V273" t="s">
        <v>40</v>
      </c>
      <c r="W273" t="s">
        <v>211</v>
      </c>
      <c r="X273" s="6">
        <v>42044.500763888886</v>
      </c>
      <c r="Y273" t="s">
        <v>119</v>
      </c>
      <c r="AB273" t="s">
        <v>201</v>
      </c>
      <c r="AC273" t="s">
        <v>121</v>
      </c>
      <c r="AD273" t="s">
        <v>227</v>
      </c>
      <c r="AE273" t="s">
        <v>231</v>
      </c>
      <c r="AG273" t="s">
        <v>121</v>
      </c>
      <c r="AH273" t="s">
        <v>64</v>
      </c>
      <c r="AI273" t="s">
        <v>362</v>
      </c>
      <c r="AJ273" t="s">
        <v>715</v>
      </c>
      <c r="AK273" t="s">
        <v>121</v>
      </c>
    </row>
    <row r="274" spans="9:37" x14ac:dyDescent="0.3">
      <c r="I274">
        <f ca="1">IF(OR(INDIRECT(A73&amp;ROW())=B93,INDIRECT(A73&amp;ROW())=B94),1,IF(AND(INDIRECT(A73&amp;ROW())=B95,INDIRECT(A96&amp;ROW())=C93),1,IF(AND(INDIRECT(A73&amp;ROW())=B95,INDIRECT(A96&amp;ROW())=C94),1,0)))</f>
        <v>1</v>
      </c>
      <c r="J274">
        <f ca="1">IF(AND(INDIRECT(A73&amp;ROW())=B95,INDIRECT(A96&amp;ROW())=C95),1,IF(AND(INDIRECT(A73&amp;ROW())=B95,INDIRECT(A96&amp;ROW())=C96),1,0))</f>
        <v>0</v>
      </c>
      <c r="K274">
        <f ca="1">DAYS360(INDIRECT(C68&amp;ROW()),TODAY())</f>
        <v>752</v>
      </c>
      <c r="L274">
        <f ca="1">DAYS360(INDIRECT(C69&amp;ROW()),TODAY())</f>
        <v>803</v>
      </c>
      <c r="M274">
        <f ca="1">HYPERLINK(CONCATENATE("https://bugzilla.houston.hp.com:1181/bugzilla/show_bug.cgi?id=",INDIRECT(C70&amp;ROW())),INDIRECT(C70&amp;ROW()))</f>
        <v>56735</v>
      </c>
      <c r="N274">
        <v>56735</v>
      </c>
      <c r="O274" t="s">
        <v>298</v>
      </c>
      <c r="P274" t="s">
        <v>606</v>
      </c>
      <c r="Q274" t="s">
        <v>39</v>
      </c>
      <c r="R274" t="s">
        <v>579</v>
      </c>
      <c r="S274" t="s">
        <v>552</v>
      </c>
      <c r="T274" t="s">
        <v>820</v>
      </c>
      <c r="U274" s="6">
        <v>42093.074259259258</v>
      </c>
      <c r="V274" t="s">
        <v>40</v>
      </c>
      <c r="W274" t="s">
        <v>343</v>
      </c>
      <c r="X274" s="6">
        <v>42044.506412037037</v>
      </c>
      <c r="Y274" t="s">
        <v>785</v>
      </c>
      <c r="AB274" t="s">
        <v>201</v>
      </c>
      <c r="AC274" t="s">
        <v>247</v>
      </c>
      <c r="AD274" t="s">
        <v>227</v>
      </c>
      <c r="AE274" t="s">
        <v>231</v>
      </c>
      <c r="AG274" t="s">
        <v>121</v>
      </c>
      <c r="AH274" t="s">
        <v>327</v>
      </c>
      <c r="AI274" t="s">
        <v>121</v>
      </c>
      <c r="AJ274" t="s">
        <v>715</v>
      </c>
      <c r="AK274" t="s">
        <v>121</v>
      </c>
    </row>
    <row r="275" spans="9:37" x14ac:dyDescent="0.3">
      <c r="I275">
        <f ca="1">IF(OR(INDIRECT(A73&amp;ROW())=B93,INDIRECT(A73&amp;ROW())=B94),1,IF(AND(INDIRECT(A73&amp;ROW())=B95,INDIRECT(A96&amp;ROW())=C93),1,IF(AND(INDIRECT(A73&amp;ROW())=B95,INDIRECT(A96&amp;ROW())=C94),1,0)))</f>
        <v>1</v>
      </c>
      <c r="J275">
        <f ca="1">IF(AND(INDIRECT(A73&amp;ROW())=B95,INDIRECT(A96&amp;ROW())=C95),1,IF(AND(INDIRECT(A73&amp;ROW())=B95,INDIRECT(A96&amp;ROW())=C96),1,0))</f>
        <v>0</v>
      </c>
      <c r="K275">
        <f ca="1">DAYS360(INDIRECT(C68&amp;ROW()),TODAY())</f>
        <v>728</v>
      </c>
      <c r="L275">
        <f ca="1">DAYS360(INDIRECT(C69&amp;ROW()),TODAY())</f>
        <v>803</v>
      </c>
      <c r="M275">
        <f ca="1">HYPERLINK(CONCATENATE("https://bugzilla.houston.hp.com:1181/bugzilla/show_bug.cgi?id=",INDIRECT(C70&amp;ROW())),INDIRECT(C70&amp;ROW()))</f>
        <v>56736</v>
      </c>
      <c r="N275">
        <v>56736</v>
      </c>
      <c r="O275" t="s">
        <v>156</v>
      </c>
      <c r="P275" t="s">
        <v>605</v>
      </c>
      <c r="Q275" t="s">
        <v>25</v>
      </c>
      <c r="R275" t="s">
        <v>579</v>
      </c>
      <c r="S275" t="s">
        <v>552</v>
      </c>
      <c r="T275" t="s">
        <v>816</v>
      </c>
      <c r="U275" s="6">
        <v>42118.270856481482</v>
      </c>
      <c r="V275" t="s">
        <v>18</v>
      </c>
      <c r="W275" t="s">
        <v>17</v>
      </c>
      <c r="X275" s="6">
        <v>42044.507962962962</v>
      </c>
      <c r="Y275" t="s">
        <v>342</v>
      </c>
      <c r="AB275" t="s">
        <v>200</v>
      </c>
      <c r="AC275" t="s">
        <v>247</v>
      </c>
      <c r="AD275" t="s">
        <v>220</v>
      </c>
      <c r="AE275" t="s">
        <v>219</v>
      </c>
      <c r="AG275" t="s">
        <v>121</v>
      </c>
      <c r="AH275" t="s">
        <v>327</v>
      </c>
      <c r="AI275" t="s">
        <v>362</v>
      </c>
      <c r="AJ275" t="s">
        <v>715</v>
      </c>
      <c r="AK275" t="s">
        <v>121</v>
      </c>
    </row>
    <row r="276" spans="9:37" x14ac:dyDescent="0.3">
      <c r="I276">
        <f ca="1">IF(OR(INDIRECT(A73&amp;ROW())=B93,INDIRECT(A73&amp;ROW())=B94),1,IF(AND(INDIRECT(A73&amp;ROW())=B95,INDIRECT(A96&amp;ROW())=C93),1,IF(AND(INDIRECT(A73&amp;ROW())=B95,INDIRECT(A96&amp;ROW())=C94),1,0)))</f>
        <v>1</v>
      </c>
      <c r="J276">
        <f ca="1">IF(AND(INDIRECT(A73&amp;ROW())=B95,INDIRECT(A96&amp;ROW())=C95),1,IF(AND(INDIRECT(A73&amp;ROW())=B95,INDIRECT(A96&amp;ROW())=C96),1,0))</f>
        <v>0</v>
      </c>
      <c r="K276">
        <f ca="1">DAYS360(INDIRECT(C68&amp;ROW()),TODAY())</f>
        <v>732</v>
      </c>
      <c r="L276">
        <f ca="1">DAYS360(INDIRECT(C69&amp;ROW()),TODAY())</f>
        <v>803</v>
      </c>
      <c r="M276">
        <f ca="1">HYPERLINK(CONCATENATE("https://bugzilla.houston.hp.com:1181/bugzilla/show_bug.cgi?id=",INDIRECT(C70&amp;ROW())),INDIRECT(C70&amp;ROW()))</f>
        <v>56737</v>
      </c>
      <c r="N276">
        <v>56737</v>
      </c>
      <c r="O276" t="s">
        <v>22</v>
      </c>
      <c r="P276" t="s">
        <v>604</v>
      </c>
      <c r="Q276" t="s">
        <v>39</v>
      </c>
      <c r="R276" t="s">
        <v>579</v>
      </c>
      <c r="S276" t="s">
        <v>552</v>
      </c>
      <c r="T276" t="s">
        <v>820</v>
      </c>
      <c r="U276" s="6">
        <v>42114.896689814814</v>
      </c>
      <c r="V276" t="s">
        <v>18</v>
      </c>
      <c r="W276" t="s">
        <v>343</v>
      </c>
      <c r="X276" s="6">
        <v>42044.510810185187</v>
      </c>
      <c r="Y276" t="s">
        <v>245</v>
      </c>
      <c r="AB276" t="s">
        <v>201</v>
      </c>
      <c r="AC276" t="s">
        <v>247</v>
      </c>
      <c r="AD276" t="s">
        <v>222</v>
      </c>
      <c r="AE276" t="s">
        <v>221</v>
      </c>
      <c r="AG276" t="s">
        <v>121</v>
      </c>
      <c r="AH276" t="s">
        <v>327</v>
      </c>
      <c r="AI276" t="s">
        <v>362</v>
      </c>
      <c r="AJ276" t="s">
        <v>715</v>
      </c>
      <c r="AK276" t="s">
        <v>121</v>
      </c>
    </row>
    <row r="277" spans="9:37" x14ac:dyDescent="0.3">
      <c r="I277">
        <f ca="1">IF(OR(INDIRECT(A73&amp;ROW())=B93,INDIRECT(A73&amp;ROW())=B94),1,IF(AND(INDIRECT(A73&amp;ROW())=B95,INDIRECT(A96&amp;ROW())=C93),1,IF(AND(INDIRECT(A73&amp;ROW())=B95,INDIRECT(A96&amp;ROW())=C94),1,0)))</f>
        <v>0</v>
      </c>
      <c r="J277">
        <f ca="1">IF(AND(INDIRECT(A73&amp;ROW())=B95,INDIRECT(A96&amp;ROW())=C95),1,IF(AND(INDIRECT(A73&amp;ROW())=B95,INDIRECT(A96&amp;ROW())=C96),1,0))</f>
        <v>1</v>
      </c>
      <c r="K277">
        <f ca="1">DAYS360(INDIRECT(C68&amp;ROW()),TODAY())</f>
        <v>721</v>
      </c>
      <c r="L277">
        <f ca="1">DAYS360(INDIRECT(C69&amp;ROW()),TODAY())</f>
        <v>803</v>
      </c>
      <c r="M277">
        <f ca="1">HYPERLINK(CONCATENATE("https://bugzilla.houston.hp.com:1181/bugzilla/show_bug.cgi?id=",INDIRECT(C70&amp;ROW())),INDIRECT(C70&amp;ROW()))</f>
        <v>56784</v>
      </c>
      <c r="N277">
        <v>56784</v>
      </c>
      <c r="O277" t="s">
        <v>56</v>
      </c>
      <c r="P277" t="s">
        <v>603</v>
      </c>
      <c r="Q277" t="s">
        <v>25</v>
      </c>
      <c r="R277" t="s">
        <v>248</v>
      </c>
      <c r="S277" t="s">
        <v>552</v>
      </c>
      <c r="U277" s="6">
        <v>42125.451770833337</v>
      </c>
      <c r="V277" t="s">
        <v>18</v>
      </c>
      <c r="W277" t="s">
        <v>512</v>
      </c>
      <c r="X277" s="6">
        <v>42044.682280092595</v>
      </c>
      <c r="Y277" t="s">
        <v>122</v>
      </c>
      <c r="AB277" t="s">
        <v>201</v>
      </c>
      <c r="AC277" t="s">
        <v>247</v>
      </c>
      <c r="AD277" t="s">
        <v>220</v>
      </c>
      <c r="AE277" t="s">
        <v>219</v>
      </c>
      <c r="AG277" t="s">
        <v>121</v>
      </c>
      <c r="AH277" t="s">
        <v>327</v>
      </c>
      <c r="AI277" t="s">
        <v>121</v>
      </c>
      <c r="AJ277" t="s">
        <v>716</v>
      </c>
      <c r="AK277" t="s">
        <v>121</v>
      </c>
    </row>
    <row r="278" spans="9:37" x14ac:dyDescent="0.3">
      <c r="I278">
        <f ca="1">IF(OR(INDIRECT(A73&amp;ROW())=B93,INDIRECT(A73&amp;ROW())=B94),1,IF(AND(INDIRECT(A73&amp;ROW())=B95,INDIRECT(A96&amp;ROW())=C93),1,IF(AND(INDIRECT(A73&amp;ROW())=B95,INDIRECT(A96&amp;ROW())=C94),1,0)))</f>
        <v>0</v>
      </c>
      <c r="J278">
        <f ca="1">IF(AND(INDIRECT(A73&amp;ROW())=B95,INDIRECT(A96&amp;ROW())=C95),1,IF(AND(INDIRECT(A73&amp;ROW())=B95,INDIRECT(A96&amp;ROW())=C96),1,0))</f>
        <v>1</v>
      </c>
      <c r="K278">
        <f ca="1">DAYS360(INDIRECT(C68&amp;ROW()),TODAY())</f>
        <v>732</v>
      </c>
      <c r="L278">
        <f ca="1">DAYS360(INDIRECT(C69&amp;ROW()),TODAY())</f>
        <v>802</v>
      </c>
      <c r="M278">
        <f ca="1">HYPERLINK(CONCATENATE("https://bugzilla.houston.hp.com:1181/bugzilla/show_bug.cgi?id=",INDIRECT(C70&amp;ROW())),INDIRECT(C70&amp;ROW()))</f>
        <v>56829</v>
      </c>
      <c r="N278">
        <v>56829</v>
      </c>
      <c r="O278" t="s">
        <v>36</v>
      </c>
      <c r="P278" t="s">
        <v>672</v>
      </c>
      <c r="Q278" t="s">
        <v>25</v>
      </c>
      <c r="R278" t="s">
        <v>579</v>
      </c>
      <c r="S278" t="s">
        <v>552</v>
      </c>
      <c r="T278" t="s">
        <v>718</v>
      </c>
      <c r="U278" s="6">
        <v>42114.8983912037</v>
      </c>
      <c r="V278" t="s">
        <v>18</v>
      </c>
      <c r="W278" t="s">
        <v>576</v>
      </c>
      <c r="X278" s="6">
        <v>42045.437962962962</v>
      </c>
      <c r="Y278" t="s">
        <v>124</v>
      </c>
      <c r="AB278" t="s">
        <v>201</v>
      </c>
      <c r="AC278" t="s">
        <v>247</v>
      </c>
      <c r="AD278" t="s">
        <v>222</v>
      </c>
      <c r="AE278" t="s">
        <v>228</v>
      </c>
      <c r="AG278" t="s">
        <v>121</v>
      </c>
      <c r="AH278" t="s">
        <v>327</v>
      </c>
      <c r="AI278" t="s">
        <v>362</v>
      </c>
      <c r="AJ278" t="s">
        <v>716</v>
      </c>
      <c r="AK278" t="s">
        <v>121</v>
      </c>
    </row>
    <row r="279" spans="9:37" x14ac:dyDescent="0.3">
      <c r="I279">
        <f ca="1">IF(OR(INDIRECT(A73&amp;ROW())=B93,INDIRECT(A73&amp;ROW())=B94),1,IF(AND(INDIRECT(A73&amp;ROW())=B95,INDIRECT(A96&amp;ROW())=C93),1,IF(AND(INDIRECT(A73&amp;ROW())=B95,INDIRECT(A96&amp;ROW())=C94),1,0)))</f>
        <v>0</v>
      </c>
      <c r="J279">
        <f ca="1">IF(AND(INDIRECT(A73&amp;ROW())=B95,INDIRECT(A96&amp;ROW())=C95),1,IF(AND(INDIRECT(A73&amp;ROW())=B95,INDIRECT(A96&amp;ROW())=C96),1,0))</f>
        <v>1</v>
      </c>
      <c r="K279">
        <f ca="1">DAYS360(INDIRECT(C68&amp;ROW()),TODAY())</f>
        <v>799</v>
      </c>
      <c r="L279">
        <f ca="1">DAYS360(INDIRECT(C69&amp;ROW()),TODAY())</f>
        <v>802</v>
      </c>
      <c r="M279">
        <f ca="1">HYPERLINK(CONCATENATE("https://bugzilla.houston.hp.com:1181/bugzilla/show_bug.cgi?id=",INDIRECT(C70&amp;ROW())),INDIRECT(C70&amp;ROW()))</f>
        <v>56833</v>
      </c>
      <c r="N279">
        <v>56833</v>
      </c>
      <c r="O279" t="s">
        <v>36</v>
      </c>
      <c r="P279" t="s">
        <v>671</v>
      </c>
      <c r="Q279" t="s">
        <v>25</v>
      </c>
      <c r="R279" t="s">
        <v>579</v>
      </c>
      <c r="S279" t="s">
        <v>552</v>
      </c>
      <c r="T279" t="s">
        <v>719</v>
      </c>
      <c r="U279" s="6">
        <v>42048.010648148149</v>
      </c>
      <c r="V279" t="s">
        <v>18</v>
      </c>
      <c r="W279" t="s">
        <v>343</v>
      </c>
      <c r="X279" s="6">
        <v>42045.439618055556</v>
      </c>
      <c r="Y279" t="s">
        <v>246</v>
      </c>
      <c r="AB279" t="s">
        <v>201</v>
      </c>
      <c r="AC279" t="s">
        <v>247</v>
      </c>
      <c r="AD279" t="s">
        <v>222</v>
      </c>
      <c r="AE279" t="s">
        <v>221</v>
      </c>
      <c r="AG279" t="s">
        <v>121</v>
      </c>
      <c r="AH279" t="s">
        <v>327</v>
      </c>
      <c r="AI279" t="s">
        <v>121</v>
      </c>
      <c r="AJ279" t="s">
        <v>716</v>
      </c>
      <c r="AK279" t="s">
        <v>121</v>
      </c>
    </row>
    <row r="280" spans="9:37" x14ac:dyDescent="0.3">
      <c r="I280">
        <f ca="1">IF(OR(INDIRECT(A73&amp;ROW())=B93,INDIRECT(A73&amp;ROW())=B94),1,IF(AND(INDIRECT(A73&amp;ROW())=B95,INDIRECT(A96&amp;ROW())=C93),1,IF(AND(INDIRECT(A73&amp;ROW())=B95,INDIRECT(A96&amp;ROW())=C94),1,0)))</f>
        <v>1</v>
      </c>
      <c r="J280">
        <f ca="1">IF(AND(INDIRECT(A73&amp;ROW())=B95,INDIRECT(A96&amp;ROW())=C95),1,IF(AND(INDIRECT(A73&amp;ROW())=B95,INDIRECT(A96&amp;ROW())=C96),1,0))</f>
        <v>0</v>
      </c>
      <c r="K280">
        <f ca="1">DAYS360(INDIRECT(C68&amp;ROW()),TODAY())</f>
        <v>692</v>
      </c>
      <c r="L280">
        <f ca="1">DAYS360(INDIRECT(C69&amp;ROW()),TODAY())</f>
        <v>802</v>
      </c>
      <c r="M280">
        <f ca="1">HYPERLINK(CONCATENATE("https://bugzilla.houston.hp.com:1181/bugzilla/show_bug.cgi?id=",INDIRECT(C70&amp;ROW())),INDIRECT(C70&amp;ROW()))</f>
        <v>56836</v>
      </c>
      <c r="N280">
        <v>56836</v>
      </c>
      <c r="O280" t="s">
        <v>53</v>
      </c>
      <c r="P280" t="s">
        <v>670</v>
      </c>
      <c r="Q280" t="s">
        <v>39</v>
      </c>
      <c r="R280" t="s">
        <v>579</v>
      </c>
      <c r="S280" t="s">
        <v>552</v>
      </c>
      <c r="T280" t="s">
        <v>998</v>
      </c>
      <c r="U280" s="6">
        <v>42155.949664351851</v>
      </c>
      <c r="V280" t="s">
        <v>40</v>
      </c>
      <c r="W280" t="s">
        <v>258</v>
      </c>
      <c r="X280" s="6">
        <v>42045.447187500002</v>
      </c>
      <c r="Y280" t="s">
        <v>119</v>
      </c>
      <c r="AB280" t="s">
        <v>201</v>
      </c>
      <c r="AC280" t="s">
        <v>247</v>
      </c>
      <c r="AD280" t="s">
        <v>220</v>
      </c>
      <c r="AE280" t="s">
        <v>219</v>
      </c>
      <c r="AG280" t="s">
        <v>121</v>
      </c>
      <c r="AH280" t="s">
        <v>64</v>
      </c>
      <c r="AI280" t="s">
        <v>121</v>
      </c>
      <c r="AJ280" t="s">
        <v>715</v>
      </c>
      <c r="AK280" t="s">
        <v>121</v>
      </c>
    </row>
    <row r="281" spans="9:37" x14ac:dyDescent="0.3">
      <c r="I281">
        <f ca="1">IF(OR(INDIRECT(A73&amp;ROW())=B93,INDIRECT(A73&amp;ROW())=B94),1,IF(AND(INDIRECT(A73&amp;ROW())=B95,INDIRECT(A96&amp;ROW())=C93),1,IF(AND(INDIRECT(A73&amp;ROW())=B95,INDIRECT(A96&amp;ROW())=C94),1,0)))</f>
        <v>0</v>
      </c>
      <c r="J281">
        <f ca="1">IF(AND(INDIRECT(A73&amp;ROW())=B95,INDIRECT(A96&amp;ROW())=C95),1,IF(AND(INDIRECT(A73&amp;ROW())=B95,INDIRECT(A96&amp;ROW())=C96),1,0))</f>
        <v>1</v>
      </c>
      <c r="K281">
        <f ca="1">DAYS360(INDIRECT(C68&amp;ROW()),TODAY())</f>
        <v>752</v>
      </c>
      <c r="L281">
        <f ca="1">DAYS360(INDIRECT(C69&amp;ROW()),TODAY())</f>
        <v>802</v>
      </c>
      <c r="M281">
        <f ca="1">HYPERLINK(CONCATENATE("https://bugzilla.houston.hp.com:1181/bugzilla/show_bug.cgi?id=",INDIRECT(C70&amp;ROW())),INDIRECT(C70&amp;ROW()))</f>
        <v>56838</v>
      </c>
      <c r="N281">
        <v>56838</v>
      </c>
      <c r="O281" t="s">
        <v>36</v>
      </c>
      <c r="P281" t="s">
        <v>669</v>
      </c>
      <c r="Q281" t="s">
        <v>25</v>
      </c>
      <c r="R281" t="s">
        <v>579</v>
      </c>
      <c r="S281" t="s">
        <v>552</v>
      </c>
      <c r="T281" t="s">
        <v>610</v>
      </c>
      <c r="U281" s="6">
        <v>42093.996180555558</v>
      </c>
      <c r="V281" t="s">
        <v>18</v>
      </c>
      <c r="W281" t="s">
        <v>211</v>
      </c>
      <c r="X281" s="6">
        <v>42045.447858796295</v>
      </c>
      <c r="Y281" t="s">
        <v>119</v>
      </c>
      <c r="AB281" t="s">
        <v>201</v>
      </c>
      <c r="AC281" t="s">
        <v>121</v>
      </c>
      <c r="AD281" t="s">
        <v>222</v>
      </c>
      <c r="AE281" t="s">
        <v>240</v>
      </c>
      <c r="AG281" t="s">
        <v>121</v>
      </c>
      <c r="AH281" t="s">
        <v>64</v>
      </c>
      <c r="AI281" t="s">
        <v>121</v>
      </c>
      <c r="AJ281" t="s">
        <v>716</v>
      </c>
      <c r="AK281" t="s">
        <v>121</v>
      </c>
    </row>
    <row r="282" spans="9:37" x14ac:dyDescent="0.3">
      <c r="I282">
        <f ca="1">IF(OR(INDIRECT(A73&amp;ROW())=B93,INDIRECT(A73&amp;ROW())=B94),1,IF(AND(INDIRECT(A73&amp;ROW())=B95,INDIRECT(A96&amp;ROW())=C93),1,IF(AND(INDIRECT(A73&amp;ROW())=B95,INDIRECT(A96&amp;ROW())=C94),1,0)))</f>
        <v>0</v>
      </c>
      <c r="J282">
        <f ca="1">IF(AND(INDIRECT(A73&amp;ROW())=B95,INDIRECT(A96&amp;ROW())=C95),1,IF(AND(INDIRECT(A73&amp;ROW())=B95,INDIRECT(A96&amp;ROW())=C96),1,0))</f>
        <v>1</v>
      </c>
      <c r="K282">
        <f ca="1">DAYS360(INDIRECT(C68&amp;ROW()),TODAY())</f>
        <v>799</v>
      </c>
      <c r="L282">
        <f ca="1">DAYS360(INDIRECT(C69&amp;ROW()),TODAY())</f>
        <v>802</v>
      </c>
      <c r="M282">
        <f ca="1">HYPERLINK(CONCATENATE("https://bugzilla.houston.hp.com:1181/bugzilla/show_bug.cgi?id=",INDIRECT(C70&amp;ROW())),INDIRECT(C70&amp;ROW()))</f>
        <v>56839</v>
      </c>
      <c r="N282">
        <v>56839</v>
      </c>
      <c r="O282" t="s">
        <v>36</v>
      </c>
      <c r="P282" t="s">
        <v>668</v>
      </c>
      <c r="Q282" t="s">
        <v>25</v>
      </c>
      <c r="R282" t="s">
        <v>579</v>
      </c>
      <c r="S282" t="s">
        <v>552</v>
      </c>
      <c r="T282" t="s">
        <v>719</v>
      </c>
      <c r="U282" s="6">
        <v>42048.007557870369</v>
      </c>
      <c r="V282" t="s">
        <v>18</v>
      </c>
      <c r="W282" t="s">
        <v>341</v>
      </c>
      <c r="X282" s="6">
        <v>42045.448148148149</v>
      </c>
      <c r="Y282" t="s">
        <v>246</v>
      </c>
      <c r="AB282" t="s">
        <v>201</v>
      </c>
      <c r="AC282" t="s">
        <v>247</v>
      </c>
      <c r="AD282" t="s">
        <v>222</v>
      </c>
      <c r="AE282" t="s">
        <v>221</v>
      </c>
      <c r="AG282" t="s">
        <v>121</v>
      </c>
      <c r="AH282" t="s">
        <v>327</v>
      </c>
      <c r="AI282" t="s">
        <v>121</v>
      </c>
      <c r="AJ282" t="s">
        <v>716</v>
      </c>
      <c r="AK282" t="s">
        <v>121</v>
      </c>
    </row>
    <row r="283" spans="9:37" x14ac:dyDescent="0.3">
      <c r="I283">
        <f ca="1">IF(OR(INDIRECT(A73&amp;ROW())=B93,INDIRECT(A73&amp;ROW())=B94),1,IF(AND(INDIRECT(A73&amp;ROW())=B95,INDIRECT(A96&amp;ROW())=C93),1,IF(AND(INDIRECT(A73&amp;ROW())=B95,INDIRECT(A96&amp;ROW())=C94),1,0)))</f>
        <v>1</v>
      </c>
      <c r="J283">
        <f ca="1">IF(AND(INDIRECT(A73&amp;ROW())=B95,INDIRECT(A96&amp;ROW())=C95),1,IF(AND(INDIRECT(A73&amp;ROW())=B95,INDIRECT(A96&amp;ROW())=C96),1,0))</f>
        <v>0</v>
      </c>
      <c r="K283">
        <f ca="1">DAYS360(INDIRECT(C68&amp;ROW()),TODAY())</f>
        <v>692</v>
      </c>
      <c r="L283">
        <f ca="1">DAYS360(INDIRECT(C69&amp;ROW()),TODAY())</f>
        <v>802</v>
      </c>
      <c r="M283">
        <f ca="1">HYPERLINK(CONCATENATE("https://bugzilla.houston.hp.com:1181/bugzilla/show_bug.cgi?id=",INDIRECT(C70&amp;ROW())),INDIRECT(C70&amp;ROW()))</f>
        <v>56842</v>
      </c>
      <c r="N283">
        <v>56842</v>
      </c>
      <c r="O283" t="s">
        <v>53</v>
      </c>
      <c r="P283" t="s">
        <v>667</v>
      </c>
      <c r="Q283" t="s">
        <v>39</v>
      </c>
      <c r="R283" t="s">
        <v>579</v>
      </c>
      <c r="S283" t="s">
        <v>552</v>
      </c>
      <c r="T283" t="s">
        <v>999</v>
      </c>
      <c r="U283" s="6">
        <v>42155.948958333334</v>
      </c>
      <c r="V283" t="s">
        <v>40</v>
      </c>
      <c r="W283" t="s">
        <v>260</v>
      </c>
      <c r="X283" s="6">
        <v>42045.449675925927</v>
      </c>
      <c r="Y283" t="s">
        <v>793</v>
      </c>
      <c r="AB283" t="s">
        <v>201</v>
      </c>
      <c r="AC283" t="s">
        <v>121</v>
      </c>
      <c r="AD283" t="s">
        <v>220</v>
      </c>
      <c r="AE283" t="s">
        <v>219</v>
      </c>
      <c r="AG283" t="s">
        <v>121</v>
      </c>
      <c r="AH283" t="s">
        <v>327</v>
      </c>
      <c r="AI283" t="s">
        <v>121</v>
      </c>
      <c r="AJ283" t="s">
        <v>715</v>
      </c>
      <c r="AK283" t="s">
        <v>121</v>
      </c>
    </row>
    <row r="284" spans="9:37" x14ac:dyDescent="0.3">
      <c r="I284">
        <f ca="1">IF(OR(INDIRECT(A73&amp;ROW())=B93,INDIRECT(A73&amp;ROW())=B94),1,IF(AND(INDIRECT(A73&amp;ROW())=B95,INDIRECT(A96&amp;ROW())=C93),1,IF(AND(INDIRECT(A73&amp;ROW())=B95,INDIRECT(A96&amp;ROW())=C94),1,0)))</f>
        <v>0</v>
      </c>
      <c r="J284">
        <f ca="1">IF(AND(INDIRECT(A73&amp;ROW())=B95,INDIRECT(A96&amp;ROW())=C95),1,IF(AND(INDIRECT(A73&amp;ROW())=B95,INDIRECT(A96&amp;ROW())=C96),1,0))</f>
        <v>1</v>
      </c>
      <c r="K284">
        <f ca="1">DAYS360(INDIRECT(C68&amp;ROW()),TODAY())</f>
        <v>802</v>
      </c>
      <c r="L284">
        <f ca="1">DAYS360(INDIRECT(C69&amp;ROW()),TODAY())</f>
        <v>802</v>
      </c>
      <c r="M284">
        <f ca="1">HYPERLINK(CONCATENATE("https://bugzilla.houston.hp.com:1181/bugzilla/show_bug.cgi?id=",INDIRECT(C70&amp;ROW())),INDIRECT(C70&amp;ROW()))</f>
        <v>56848</v>
      </c>
      <c r="N284">
        <v>56848</v>
      </c>
      <c r="O284" t="s">
        <v>36</v>
      </c>
      <c r="P284" t="s">
        <v>665</v>
      </c>
      <c r="Q284" t="s">
        <v>25</v>
      </c>
      <c r="R284" t="s">
        <v>248</v>
      </c>
      <c r="S284" t="s">
        <v>552</v>
      </c>
      <c r="U284" s="6">
        <v>42045.500856481478</v>
      </c>
      <c r="V284" t="s">
        <v>18</v>
      </c>
      <c r="W284" t="s">
        <v>576</v>
      </c>
      <c r="X284" s="6">
        <v>42045.465833333335</v>
      </c>
      <c r="Y284" t="s">
        <v>124</v>
      </c>
      <c r="AB284" t="s">
        <v>201</v>
      </c>
      <c r="AC284" t="s">
        <v>247</v>
      </c>
      <c r="AD284" t="s">
        <v>222</v>
      </c>
      <c r="AE284" t="s">
        <v>221</v>
      </c>
      <c r="AG284" t="s">
        <v>121</v>
      </c>
      <c r="AH284" t="s">
        <v>327</v>
      </c>
      <c r="AI284" t="s">
        <v>121</v>
      </c>
      <c r="AJ284" t="s">
        <v>716</v>
      </c>
      <c r="AK284" t="s">
        <v>121</v>
      </c>
    </row>
    <row r="285" spans="9:37" x14ac:dyDescent="0.3">
      <c r="I285">
        <f ca="1">IF(OR(INDIRECT(A73&amp;ROW())=B93,INDIRECT(A73&amp;ROW())=B94),1,IF(AND(INDIRECT(A73&amp;ROW())=B95,INDIRECT(A96&amp;ROW())=C93),1,IF(AND(INDIRECT(A73&amp;ROW())=B95,INDIRECT(A96&amp;ROW())=C94),1,0)))</f>
        <v>1</v>
      </c>
      <c r="J285">
        <f ca="1">IF(AND(INDIRECT(A73&amp;ROW())=B95,INDIRECT(A96&amp;ROW())=C95),1,IF(AND(INDIRECT(A73&amp;ROW())=B95,INDIRECT(A96&amp;ROW())=C96),1,0))</f>
        <v>0</v>
      </c>
      <c r="K285">
        <f ca="1">DAYS360(INDIRECT(C68&amp;ROW()),TODAY())</f>
        <v>677</v>
      </c>
      <c r="L285">
        <f ca="1">DAYS360(INDIRECT(C69&amp;ROW()),TODAY())</f>
        <v>802</v>
      </c>
      <c r="M285">
        <f ca="1">HYPERLINK(CONCATENATE("https://bugzilla.houston.hp.com:1181/bugzilla/show_bug.cgi?id=",INDIRECT(C70&amp;ROW())),INDIRECT(C70&amp;ROW()))</f>
        <v>56849</v>
      </c>
      <c r="N285">
        <v>56849</v>
      </c>
      <c r="O285" t="s">
        <v>56</v>
      </c>
      <c r="P285" t="s">
        <v>664</v>
      </c>
      <c r="Q285" t="s">
        <v>39</v>
      </c>
      <c r="R285" t="s">
        <v>248</v>
      </c>
      <c r="S285" t="s">
        <v>552</v>
      </c>
      <c r="U285" s="6">
        <v>42170.560057870367</v>
      </c>
      <c r="V285" t="s">
        <v>18</v>
      </c>
      <c r="W285" t="s">
        <v>324</v>
      </c>
      <c r="X285" s="6">
        <v>42045.466180555559</v>
      </c>
      <c r="Y285" t="s">
        <v>122</v>
      </c>
      <c r="AB285" t="s">
        <v>201</v>
      </c>
      <c r="AC285" t="s">
        <v>247</v>
      </c>
      <c r="AD285" t="s">
        <v>220</v>
      </c>
      <c r="AE285" t="s">
        <v>219</v>
      </c>
      <c r="AG285" t="s">
        <v>121</v>
      </c>
      <c r="AH285" t="s">
        <v>327</v>
      </c>
      <c r="AI285" t="s">
        <v>121</v>
      </c>
      <c r="AJ285" t="s">
        <v>715</v>
      </c>
      <c r="AK285" t="s">
        <v>121</v>
      </c>
    </row>
    <row r="286" spans="9:37" x14ac:dyDescent="0.3">
      <c r="I286">
        <f ca="1">IF(OR(INDIRECT(A73&amp;ROW())=B93,INDIRECT(A73&amp;ROW())=B94),1,IF(AND(INDIRECT(A73&amp;ROW())=B95,INDIRECT(A96&amp;ROW())=C93),1,IF(AND(INDIRECT(A73&amp;ROW())=B95,INDIRECT(A96&amp;ROW())=C94),1,0)))</f>
        <v>0</v>
      </c>
      <c r="J286">
        <f ca="1">IF(AND(INDIRECT(A73&amp;ROW())=B95,INDIRECT(A96&amp;ROW())=C95),1,IF(AND(INDIRECT(A73&amp;ROW())=B95,INDIRECT(A96&amp;ROW())=C96),1,0))</f>
        <v>1</v>
      </c>
      <c r="K286">
        <f ca="1">DAYS360(INDIRECT(C68&amp;ROW()),TODAY())</f>
        <v>690</v>
      </c>
      <c r="L286">
        <f ca="1">DAYS360(INDIRECT(C69&amp;ROW()),TODAY())</f>
        <v>802</v>
      </c>
      <c r="M286">
        <f ca="1">HYPERLINK(CONCATENATE("https://bugzilla.houston.hp.com:1181/bugzilla/show_bug.cgi?id=",INDIRECT(C70&amp;ROW())),INDIRECT(C70&amp;ROW()))</f>
        <v>56850</v>
      </c>
      <c r="N286">
        <v>56850</v>
      </c>
      <c r="O286" t="s">
        <v>36</v>
      </c>
      <c r="P286" t="s">
        <v>663</v>
      </c>
      <c r="Q286" t="s">
        <v>25</v>
      </c>
      <c r="R286" t="s">
        <v>248</v>
      </c>
      <c r="S286" t="s">
        <v>552</v>
      </c>
      <c r="U286" s="6">
        <v>42157.094629629632</v>
      </c>
      <c r="V286" t="s">
        <v>18</v>
      </c>
      <c r="W286" t="s">
        <v>171</v>
      </c>
      <c r="X286" s="6">
        <v>42045.466585648152</v>
      </c>
      <c r="Y286" t="s">
        <v>119</v>
      </c>
      <c r="AB286" t="s">
        <v>201</v>
      </c>
      <c r="AC286" t="s">
        <v>121</v>
      </c>
      <c r="AD286" t="s">
        <v>220</v>
      </c>
      <c r="AE286" t="s">
        <v>223</v>
      </c>
      <c r="AG286" t="s">
        <v>121</v>
      </c>
      <c r="AH286" t="s">
        <v>327</v>
      </c>
      <c r="AI286" t="s">
        <v>121</v>
      </c>
      <c r="AJ286" t="s">
        <v>716</v>
      </c>
      <c r="AK286" t="s">
        <v>121</v>
      </c>
    </row>
    <row r="287" spans="9:37" x14ac:dyDescent="0.3">
      <c r="I287">
        <f ca="1">IF(OR(INDIRECT(A73&amp;ROW())=B93,INDIRECT(A73&amp;ROW())=B94),1,IF(AND(INDIRECT(A73&amp;ROW())=B95,INDIRECT(A96&amp;ROW())=C93),1,IF(AND(INDIRECT(A73&amp;ROW())=B95,INDIRECT(A96&amp;ROW())=C94),1,0)))</f>
        <v>1</v>
      </c>
      <c r="J287">
        <f ca="1">IF(AND(INDIRECT(A73&amp;ROW())=B95,INDIRECT(A96&amp;ROW())=C95),1,IF(AND(INDIRECT(A73&amp;ROW())=B95,INDIRECT(A96&amp;ROW())=C96),1,0))</f>
        <v>0</v>
      </c>
      <c r="K287">
        <f ca="1">DAYS360(INDIRECT(C68&amp;ROW()),TODAY())</f>
        <v>684</v>
      </c>
      <c r="L287">
        <f ca="1">DAYS360(INDIRECT(C69&amp;ROW()),TODAY())</f>
        <v>802</v>
      </c>
      <c r="M287">
        <f ca="1">HYPERLINK(CONCATENATE("https://bugzilla.houston.hp.com:1181/bugzilla/show_bug.cgi?id=",INDIRECT(C70&amp;ROW())),INDIRECT(C70&amp;ROW()))</f>
        <v>56851</v>
      </c>
      <c r="N287">
        <v>56851</v>
      </c>
      <c r="O287" t="s">
        <v>53</v>
      </c>
      <c r="P287" t="s">
        <v>662</v>
      </c>
      <c r="Q287" t="s">
        <v>39</v>
      </c>
      <c r="R287" t="s">
        <v>248</v>
      </c>
      <c r="S287" t="s">
        <v>552</v>
      </c>
      <c r="U287" s="6">
        <v>42163.604212962964</v>
      </c>
      <c r="V287" t="s">
        <v>18</v>
      </c>
      <c r="W287" t="s">
        <v>258</v>
      </c>
      <c r="X287" s="6">
        <v>42045.466851851852</v>
      </c>
      <c r="Y287" t="s">
        <v>119</v>
      </c>
      <c r="AB287" t="s">
        <v>201</v>
      </c>
      <c r="AC287" t="s">
        <v>247</v>
      </c>
      <c r="AD287" t="s">
        <v>220</v>
      </c>
      <c r="AE287" t="s">
        <v>219</v>
      </c>
      <c r="AG287" t="s">
        <v>121</v>
      </c>
      <c r="AH287" t="s">
        <v>64</v>
      </c>
      <c r="AI287" t="s">
        <v>121</v>
      </c>
      <c r="AJ287" t="s">
        <v>715</v>
      </c>
      <c r="AK287" t="s">
        <v>121</v>
      </c>
    </row>
    <row r="288" spans="9:37" x14ac:dyDescent="0.3">
      <c r="I288">
        <f ca="1">IF(OR(INDIRECT(A73&amp;ROW())=B93,INDIRECT(A73&amp;ROW())=B94),1,IF(AND(INDIRECT(A73&amp;ROW())=B95,INDIRECT(A96&amp;ROW())=C93),1,IF(AND(INDIRECT(A73&amp;ROW())=B95,INDIRECT(A96&amp;ROW())=C94),1,0)))</f>
        <v>0</v>
      </c>
      <c r="J288">
        <f ca="1">IF(AND(INDIRECT(A73&amp;ROW())=B95,INDIRECT(A96&amp;ROW())=C95),1,IF(AND(INDIRECT(A73&amp;ROW())=B95,INDIRECT(A96&amp;ROW())=C96),1,0))</f>
        <v>1</v>
      </c>
      <c r="K288">
        <f ca="1">DAYS360(INDIRECT(C68&amp;ROW()),TODAY())</f>
        <v>802</v>
      </c>
      <c r="L288">
        <f ca="1">DAYS360(INDIRECT(C69&amp;ROW()),TODAY())</f>
        <v>802</v>
      </c>
      <c r="M288">
        <f ca="1">HYPERLINK(CONCATENATE("https://bugzilla.houston.hp.com:1181/bugzilla/show_bug.cgi?id=",INDIRECT(C70&amp;ROW())),INDIRECT(C70&amp;ROW()))</f>
        <v>56854</v>
      </c>
      <c r="N288">
        <v>56854</v>
      </c>
      <c r="O288" t="s">
        <v>56</v>
      </c>
      <c r="P288" t="s">
        <v>661</v>
      </c>
      <c r="Q288" t="s">
        <v>25</v>
      </c>
      <c r="R288" t="s">
        <v>248</v>
      </c>
      <c r="S288" t="s">
        <v>552</v>
      </c>
      <c r="U288" s="6">
        <v>42045.50408564815</v>
      </c>
      <c r="V288" t="s">
        <v>18</v>
      </c>
      <c r="W288" t="s">
        <v>288</v>
      </c>
      <c r="X288" s="6">
        <v>42045.467939814815</v>
      </c>
      <c r="Y288" t="s">
        <v>119</v>
      </c>
      <c r="AB288" t="s">
        <v>201</v>
      </c>
      <c r="AC288" t="s">
        <v>121</v>
      </c>
      <c r="AD288" t="s">
        <v>220</v>
      </c>
      <c r="AE288" t="s">
        <v>219</v>
      </c>
      <c r="AF288" s="13">
        <v>41901</v>
      </c>
      <c r="AG288" t="s">
        <v>121</v>
      </c>
      <c r="AH288" t="s">
        <v>327</v>
      </c>
      <c r="AI288" t="s">
        <v>121</v>
      </c>
      <c r="AJ288" t="s">
        <v>716</v>
      </c>
      <c r="AK288" t="s">
        <v>121</v>
      </c>
    </row>
    <row r="289" spans="9:37" x14ac:dyDescent="0.3">
      <c r="I289">
        <f ca="1">IF(OR(INDIRECT(A73&amp;ROW())=B93,INDIRECT(A73&amp;ROW())=B94),1,IF(AND(INDIRECT(A73&amp;ROW())=B95,INDIRECT(A96&amp;ROW())=C93),1,IF(AND(INDIRECT(A73&amp;ROW())=B95,INDIRECT(A96&amp;ROW())=C94),1,0)))</f>
        <v>0</v>
      </c>
      <c r="J289">
        <f ca="1">IF(AND(INDIRECT(A73&amp;ROW())=B95,INDIRECT(A96&amp;ROW())=C95),1,IF(AND(INDIRECT(A73&amp;ROW())=B95,INDIRECT(A96&amp;ROW())=C96),1,0))</f>
        <v>1</v>
      </c>
      <c r="K289">
        <f ca="1">DAYS360(INDIRECT(C68&amp;ROW()),TODAY())</f>
        <v>802</v>
      </c>
      <c r="L289">
        <f ca="1">DAYS360(INDIRECT(C69&amp;ROW()),TODAY())</f>
        <v>802</v>
      </c>
      <c r="M289">
        <f ca="1">HYPERLINK(CONCATENATE("https://bugzilla.houston.hp.com:1181/bugzilla/show_bug.cgi?id=",INDIRECT(C70&amp;ROW())),INDIRECT(C70&amp;ROW()))</f>
        <v>56857</v>
      </c>
      <c r="N289">
        <v>56857</v>
      </c>
      <c r="O289" t="s">
        <v>36</v>
      </c>
      <c r="P289" t="s">
        <v>659</v>
      </c>
      <c r="Q289" t="s">
        <v>25</v>
      </c>
      <c r="R289" t="s">
        <v>248</v>
      </c>
      <c r="S289" t="s">
        <v>552</v>
      </c>
      <c r="U289" s="6">
        <v>42045.499108796299</v>
      </c>
      <c r="V289" t="s">
        <v>18</v>
      </c>
      <c r="W289" t="s">
        <v>341</v>
      </c>
      <c r="X289" s="6">
        <v>42045.468923611108</v>
      </c>
      <c r="Y289" t="s">
        <v>246</v>
      </c>
      <c r="AB289" t="s">
        <v>201</v>
      </c>
      <c r="AC289" t="s">
        <v>247</v>
      </c>
      <c r="AD289" t="s">
        <v>222</v>
      </c>
      <c r="AE289" t="s">
        <v>221</v>
      </c>
      <c r="AG289" t="s">
        <v>121</v>
      </c>
      <c r="AH289" t="s">
        <v>327</v>
      </c>
      <c r="AI289" t="s">
        <v>121</v>
      </c>
      <c r="AJ289" t="s">
        <v>716</v>
      </c>
      <c r="AK289" t="s">
        <v>121</v>
      </c>
    </row>
    <row r="290" spans="9:37" x14ac:dyDescent="0.3">
      <c r="I290">
        <f ca="1">IF(OR(INDIRECT(A73&amp;ROW())=B93,INDIRECT(A73&amp;ROW())=B94),1,IF(AND(INDIRECT(A73&amp;ROW())=B95,INDIRECT(A96&amp;ROW())=C93),1,IF(AND(INDIRECT(A73&amp;ROW())=B95,INDIRECT(A96&amp;ROW())=C94),1,0)))</f>
        <v>0</v>
      </c>
      <c r="J290">
        <f ca="1">IF(AND(INDIRECT(A73&amp;ROW())=B95,INDIRECT(A96&amp;ROW())=C95),1,IF(AND(INDIRECT(A73&amp;ROW())=B95,INDIRECT(A96&amp;ROW())=C96),1,0))</f>
        <v>1</v>
      </c>
      <c r="K290">
        <f ca="1">DAYS360(INDIRECT(C68&amp;ROW()),TODAY())</f>
        <v>802</v>
      </c>
      <c r="L290">
        <f ca="1">DAYS360(INDIRECT(C69&amp;ROW()),TODAY())</f>
        <v>802</v>
      </c>
      <c r="M290">
        <f ca="1">HYPERLINK(CONCATENATE("https://bugzilla.houston.hp.com:1181/bugzilla/show_bug.cgi?id=",INDIRECT(C70&amp;ROW())),INDIRECT(C70&amp;ROW()))</f>
        <v>56860</v>
      </c>
      <c r="N290">
        <v>56860</v>
      </c>
      <c r="O290" t="s">
        <v>36</v>
      </c>
      <c r="P290" t="s">
        <v>658</v>
      </c>
      <c r="Q290" t="s">
        <v>25</v>
      </c>
      <c r="R290" t="s">
        <v>248</v>
      </c>
      <c r="S290" t="s">
        <v>552</v>
      </c>
      <c r="U290" s="6">
        <v>42045.504421296297</v>
      </c>
      <c r="V290" t="s">
        <v>18</v>
      </c>
      <c r="W290" t="s">
        <v>343</v>
      </c>
      <c r="X290" s="6">
        <v>42045.469652777778</v>
      </c>
      <c r="Y290" t="s">
        <v>246</v>
      </c>
      <c r="AB290" t="s">
        <v>201</v>
      </c>
      <c r="AC290" t="s">
        <v>247</v>
      </c>
      <c r="AD290" t="s">
        <v>222</v>
      </c>
      <c r="AE290" t="s">
        <v>221</v>
      </c>
      <c r="AG290" t="s">
        <v>121</v>
      </c>
      <c r="AH290" t="s">
        <v>327</v>
      </c>
      <c r="AI290" t="s">
        <v>121</v>
      </c>
      <c r="AJ290" t="s">
        <v>716</v>
      </c>
      <c r="AK290" t="s">
        <v>121</v>
      </c>
    </row>
    <row r="291" spans="9:37" x14ac:dyDescent="0.3">
      <c r="I291">
        <f ca="1">IF(OR(INDIRECT(A73&amp;ROW())=B93,INDIRECT(A73&amp;ROW())=B94),1,IF(AND(INDIRECT(A73&amp;ROW())=B95,INDIRECT(A96&amp;ROW())=C93),1,IF(AND(INDIRECT(A73&amp;ROW())=B95,INDIRECT(A96&amp;ROW())=C94),1,0)))</f>
        <v>0</v>
      </c>
      <c r="J291">
        <f ca="1">IF(AND(INDIRECT(A73&amp;ROW())=B95,INDIRECT(A96&amp;ROW())=C95),1,IF(AND(INDIRECT(A73&amp;ROW())=B95,INDIRECT(A96&amp;ROW())=C96),1,0))</f>
        <v>1</v>
      </c>
      <c r="K291">
        <f ca="1">DAYS360(INDIRECT(C68&amp;ROW()),TODAY())</f>
        <v>802</v>
      </c>
      <c r="L291">
        <f ca="1">DAYS360(INDIRECT(C69&amp;ROW()),TODAY())</f>
        <v>802</v>
      </c>
      <c r="M291">
        <f ca="1">HYPERLINK(CONCATENATE("https://bugzilla.houston.hp.com:1181/bugzilla/show_bug.cgi?id=",INDIRECT(C70&amp;ROW())),INDIRECT(C70&amp;ROW()))</f>
        <v>56861</v>
      </c>
      <c r="N291">
        <v>56861</v>
      </c>
      <c r="O291" t="s">
        <v>36</v>
      </c>
      <c r="P291" t="s">
        <v>657</v>
      </c>
      <c r="Q291" t="s">
        <v>25</v>
      </c>
      <c r="R291" t="s">
        <v>248</v>
      </c>
      <c r="S291" t="s">
        <v>552</v>
      </c>
      <c r="U291" s="6">
        <v>42045.500555555554</v>
      </c>
      <c r="V291" t="s">
        <v>18</v>
      </c>
      <c r="W291" t="s">
        <v>211</v>
      </c>
      <c r="X291" s="6">
        <v>42045.47</v>
      </c>
      <c r="Y291" t="s">
        <v>119</v>
      </c>
      <c r="AB291" t="s">
        <v>201</v>
      </c>
      <c r="AC291" t="s">
        <v>121</v>
      </c>
      <c r="AD291" t="s">
        <v>222</v>
      </c>
      <c r="AE291" t="s">
        <v>240</v>
      </c>
      <c r="AG291" t="s">
        <v>121</v>
      </c>
      <c r="AH291" t="s">
        <v>64</v>
      </c>
      <c r="AI291" t="s">
        <v>121</v>
      </c>
      <c r="AJ291" t="s">
        <v>716</v>
      </c>
      <c r="AK291" t="s">
        <v>121</v>
      </c>
    </row>
    <row r="292" spans="9:37" x14ac:dyDescent="0.3">
      <c r="I292">
        <f ca="1">IF(OR(INDIRECT(A73&amp;ROW())=B93,INDIRECT(A73&amp;ROW())=B94),1,IF(AND(INDIRECT(A73&amp;ROW())=B95,INDIRECT(A96&amp;ROW())=C93),1,IF(AND(INDIRECT(A73&amp;ROW())=B95,INDIRECT(A96&amp;ROW())=C94),1,0)))</f>
        <v>0</v>
      </c>
      <c r="J292">
        <f ca="1">IF(AND(INDIRECT(A73&amp;ROW())=B95,INDIRECT(A96&amp;ROW())=C95),1,IF(AND(INDIRECT(A73&amp;ROW())=B95,INDIRECT(A96&amp;ROW())=C96),1,0))</f>
        <v>1</v>
      </c>
      <c r="K292">
        <f ca="1">DAYS360(INDIRECT(C68&amp;ROW()),TODAY())</f>
        <v>802</v>
      </c>
      <c r="L292">
        <f ca="1">DAYS360(INDIRECT(C69&amp;ROW()),TODAY())</f>
        <v>802</v>
      </c>
      <c r="M292">
        <f ca="1">HYPERLINK(CONCATENATE("https://bugzilla.houston.hp.com:1181/bugzilla/show_bug.cgi?id=",INDIRECT(C70&amp;ROW())),INDIRECT(C70&amp;ROW()))</f>
        <v>56864</v>
      </c>
      <c r="N292">
        <v>56864</v>
      </c>
      <c r="O292" t="s">
        <v>56</v>
      </c>
      <c r="P292" t="s">
        <v>655</v>
      </c>
      <c r="Q292" t="s">
        <v>25</v>
      </c>
      <c r="R292" t="s">
        <v>248</v>
      </c>
      <c r="S292" t="s">
        <v>552</v>
      </c>
      <c r="U292" s="6">
        <v>42045.499976851854</v>
      </c>
      <c r="V292" t="s">
        <v>18</v>
      </c>
      <c r="W292" t="s">
        <v>172</v>
      </c>
      <c r="X292" s="6">
        <v>42045.471018518518</v>
      </c>
      <c r="Y292" t="s">
        <v>119</v>
      </c>
      <c r="AB292" t="s">
        <v>201</v>
      </c>
      <c r="AC292" t="s">
        <v>121</v>
      </c>
      <c r="AD292" t="s">
        <v>220</v>
      </c>
      <c r="AE292" t="s">
        <v>219</v>
      </c>
      <c r="AG292" t="s">
        <v>121</v>
      </c>
      <c r="AH292" t="s">
        <v>327</v>
      </c>
      <c r="AI292" t="s">
        <v>121</v>
      </c>
      <c r="AJ292" t="s">
        <v>716</v>
      </c>
      <c r="AK292" t="s">
        <v>121</v>
      </c>
    </row>
    <row r="293" spans="9:37" x14ac:dyDescent="0.3">
      <c r="I293">
        <f ca="1">IF(OR(INDIRECT(A73&amp;ROW())=B93,INDIRECT(A73&amp;ROW())=B94),1,IF(AND(INDIRECT(A73&amp;ROW())=B95,INDIRECT(A96&amp;ROW())=C93),1,IF(AND(INDIRECT(A73&amp;ROW())=B95,INDIRECT(A96&amp;ROW())=C94),1,0)))</f>
        <v>0</v>
      </c>
      <c r="J293">
        <f ca="1">IF(AND(INDIRECT(A73&amp;ROW())=B95,INDIRECT(A96&amp;ROW())=C95),1,IF(AND(INDIRECT(A73&amp;ROW())=B95,INDIRECT(A96&amp;ROW())=C96),1,0))</f>
        <v>1</v>
      </c>
      <c r="K293">
        <f ca="1">DAYS360(INDIRECT(C68&amp;ROW()),TODAY())</f>
        <v>721</v>
      </c>
      <c r="L293">
        <f ca="1">DAYS360(INDIRECT(C69&amp;ROW()),TODAY())</f>
        <v>802</v>
      </c>
      <c r="M293">
        <f ca="1">HYPERLINK(CONCATENATE("https://bugzilla.houston.hp.com:1181/bugzilla/show_bug.cgi?id=",INDIRECT(C70&amp;ROW())),INDIRECT(C70&amp;ROW()))</f>
        <v>56866</v>
      </c>
      <c r="N293">
        <v>56866</v>
      </c>
      <c r="O293" t="s">
        <v>56</v>
      </c>
      <c r="P293" t="s">
        <v>654</v>
      </c>
      <c r="Q293" t="s">
        <v>25</v>
      </c>
      <c r="R293" t="s">
        <v>248</v>
      </c>
      <c r="S293" t="s">
        <v>552</v>
      </c>
      <c r="U293" s="6">
        <v>42125.449675925927</v>
      </c>
      <c r="V293" t="s">
        <v>18</v>
      </c>
      <c r="W293" t="s">
        <v>372</v>
      </c>
      <c r="X293" s="6">
        <v>42045.471747685187</v>
      </c>
      <c r="Y293" t="s">
        <v>122</v>
      </c>
      <c r="AB293" t="s">
        <v>201</v>
      </c>
      <c r="AC293" t="s">
        <v>247</v>
      </c>
      <c r="AD293" t="s">
        <v>220</v>
      </c>
      <c r="AE293" t="s">
        <v>219</v>
      </c>
      <c r="AG293" t="s">
        <v>121</v>
      </c>
      <c r="AH293" t="s">
        <v>327</v>
      </c>
      <c r="AI293" t="s">
        <v>121</v>
      </c>
      <c r="AJ293" t="s">
        <v>716</v>
      </c>
      <c r="AK293" t="s">
        <v>121</v>
      </c>
    </row>
    <row r="294" spans="9:37" x14ac:dyDescent="0.3">
      <c r="I294">
        <f ca="1">IF(OR(INDIRECT(A73&amp;ROW())=B93,INDIRECT(A73&amp;ROW())=B94),1,IF(AND(INDIRECT(A73&amp;ROW())=B95,INDIRECT(A96&amp;ROW())=C93),1,IF(AND(INDIRECT(A73&amp;ROW())=B95,INDIRECT(A96&amp;ROW())=C94),1,0)))</f>
        <v>0</v>
      </c>
      <c r="J294">
        <f ca="1">IF(AND(INDIRECT(A73&amp;ROW())=B95,INDIRECT(A96&amp;ROW())=C95),1,IF(AND(INDIRECT(A73&amp;ROW())=B95,INDIRECT(A96&amp;ROW())=C96),1,0))</f>
        <v>1</v>
      </c>
      <c r="K294">
        <f ca="1">DAYS360(INDIRECT(C68&amp;ROW()),TODAY())</f>
        <v>675</v>
      </c>
      <c r="L294">
        <f ca="1">DAYS360(INDIRECT(C69&amp;ROW()),TODAY())</f>
        <v>802</v>
      </c>
      <c r="M294">
        <f ca="1">HYPERLINK(CONCATENATE("https://bugzilla.houston.hp.com:1181/bugzilla/show_bug.cgi?id=",INDIRECT(C70&amp;ROW())),INDIRECT(C70&amp;ROW()))</f>
        <v>56895</v>
      </c>
      <c r="N294">
        <v>56895</v>
      </c>
      <c r="O294" t="s">
        <v>44</v>
      </c>
      <c r="P294" t="s">
        <v>738</v>
      </c>
      <c r="Q294" t="s">
        <v>25</v>
      </c>
      <c r="R294" t="s">
        <v>251</v>
      </c>
      <c r="S294" t="s">
        <v>52</v>
      </c>
      <c r="T294" t="s">
        <v>48</v>
      </c>
      <c r="U294" s="6">
        <v>42172.476747685185</v>
      </c>
      <c r="V294" t="s">
        <v>35</v>
      </c>
      <c r="W294" t="s">
        <v>17</v>
      </c>
      <c r="X294" s="6">
        <v>42045.609618055554</v>
      </c>
      <c r="Y294" t="s">
        <v>535</v>
      </c>
      <c r="AB294" t="s">
        <v>201</v>
      </c>
      <c r="AC294" t="s">
        <v>247</v>
      </c>
      <c r="AD294" t="s">
        <v>220</v>
      </c>
      <c r="AE294" t="s">
        <v>219</v>
      </c>
      <c r="AG294" t="s">
        <v>121</v>
      </c>
      <c r="AH294" t="s">
        <v>327</v>
      </c>
      <c r="AI294" t="s">
        <v>121</v>
      </c>
      <c r="AJ294" t="s">
        <v>716</v>
      </c>
      <c r="AK294" t="s">
        <v>121</v>
      </c>
    </row>
    <row r="295" spans="9:37" x14ac:dyDescent="0.3">
      <c r="I295">
        <f ca="1">IF(OR(INDIRECT(A73&amp;ROW())=B93,INDIRECT(A73&amp;ROW())=B94),1,IF(AND(INDIRECT(A73&amp;ROW())=B95,INDIRECT(A96&amp;ROW())=C93),1,IF(AND(INDIRECT(A73&amp;ROW())=B95,INDIRECT(A96&amp;ROW())=C94),1,0)))</f>
        <v>0</v>
      </c>
      <c r="J295">
        <f ca="1">IF(AND(INDIRECT(A73&amp;ROW())=B95,INDIRECT(A96&amp;ROW())=C95),1,IF(AND(INDIRECT(A73&amp;ROW())=B95,INDIRECT(A96&amp;ROW())=C96),1,0))</f>
        <v>0</v>
      </c>
      <c r="K295">
        <f ca="1">DAYS360(INDIRECT(C68&amp;ROW()),TODAY())</f>
        <v>802</v>
      </c>
      <c r="L295">
        <f ca="1">DAYS360(INDIRECT(C69&amp;ROW()),TODAY())</f>
        <v>802</v>
      </c>
      <c r="M295">
        <f ca="1">HYPERLINK(CONCATENATE("https://bugzilla.houston.hp.com:1181/bugzilla/show_bug.cgi?id=",INDIRECT(C70&amp;ROW())),INDIRECT(C70&amp;ROW()))</f>
        <v>56896</v>
      </c>
      <c r="N295">
        <v>56896</v>
      </c>
      <c r="O295" t="s">
        <v>56</v>
      </c>
      <c r="P295" t="s">
        <v>653</v>
      </c>
      <c r="Q295" t="s">
        <v>16</v>
      </c>
      <c r="R295" t="s">
        <v>248</v>
      </c>
      <c r="S295" t="s">
        <v>552</v>
      </c>
      <c r="U295" s="6">
        <v>42045.648831018516</v>
      </c>
      <c r="V295" t="s">
        <v>18</v>
      </c>
      <c r="W295" t="s">
        <v>209</v>
      </c>
      <c r="X295" s="6">
        <v>42045.648240740738</v>
      </c>
      <c r="Y295" t="s">
        <v>119</v>
      </c>
      <c r="AB295" t="s">
        <v>200</v>
      </c>
      <c r="AC295" t="s">
        <v>121</v>
      </c>
      <c r="AD295" t="s">
        <v>220</v>
      </c>
      <c r="AE295" t="s">
        <v>219</v>
      </c>
      <c r="AG295" t="s">
        <v>121</v>
      </c>
      <c r="AH295" t="s">
        <v>327</v>
      </c>
      <c r="AI295" t="s">
        <v>121</v>
      </c>
      <c r="AJ295" t="s">
        <v>716</v>
      </c>
      <c r="AK295" t="s">
        <v>121</v>
      </c>
    </row>
    <row r="296" spans="9:37" x14ac:dyDescent="0.3">
      <c r="I296">
        <f ca="1">IF(OR(INDIRECT(A73&amp;ROW())=B93,INDIRECT(A73&amp;ROW())=B94),1,IF(AND(INDIRECT(A73&amp;ROW())=B95,INDIRECT(A96&amp;ROW())=C93),1,IF(AND(INDIRECT(A73&amp;ROW())=B95,INDIRECT(A96&amp;ROW())=C94),1,0)))</f>
        <v>0</v>
      </c>
      <c r="J296">
        <f ca="1">IF(AND(INDIRECT(A73&amp;ROW())=B95,INDIRECT(A96&amp;ROW())=C95),1,IF(AND(INDIRECT(A73&amp;ROW())=B95,INDIRECT(A96&amp;ROW())=C96),1,0))</f>
        <v>0</v>
      </c>
      <c r="K296">
        <f ca="1">DAYS360(INDIRECT(C68&amp;ROW()),TODAY())</f>
        <v>721</v>
      </c>
      <c r="L296">
        <f ca="1">DAYS360(INDIRECT(C69&amp;ROW()),TODAY())</f>
        <v>802</v>
      </c>
      <c r="M296">
        <f ca="1">HYPERLINK(CONCATENATE("https://bugzilla.houston.hp.com:1181/bugzilla/show_bug.cgi?id=",INDIRECT(C70&amp;ROW())),INDIRECT(C70&amp;ROW()))</f>
        <v>56897</v>
      </c>
      <c r="N296">
        <v>56897</v>
      </c>
      <c r="O296" t="s">
        <v>56</v>
      </c>
      <c r="P296" t="s">
        <v>652</v>
      </c>
      <c r="Q296" t="s">
        <v>16</v>
      </c>
      <c r="R296" t="s">
        <v>248</v>
      </c>
      <c r="S296" t="s">
        <v>552</v>
      </c>
      <c r="U296" s="6">
        <v>42125.44394675926</v>
      </c>
      <c r="V296" t="s">
        <v>18</v>
      </c>
      <c r="W296" t="s">
        <v>209</v>
      </c>
      <c r="X296" s="6">
        <v>42045.652754629627</v>
      </c>
      <c r="Y296" t="s">
        <v>122</v>
      </c>
      <c r="AB296" t="s">
        <v>200</v>
      </c>
      <c r="AC296" t="s">
        <v>121</v>
      </c>
      <c r="AD296" t="s">
        <v>220</v>
      </c>
      <c r="AE296" t="s">
        <v>219</v>
      </c>
      <c r="AG296" t="s">
        <v>121</v>
      </c>
      <c r="AH296" t="s">
        <v>64</v>
      </c>
      <c r="AI296" t="s">
        <v>121</v>
      </c>
      <c r="AJ296" t="s">
        <v>716</v>
      </c>
      <c r="AK296" t="s">
        <v>121</v>
      </c>
    </row>
    <row r="297" spans="9:37" x14ac:dyDescent="0.3">
      <c r="I297">
        <f ca="1">IF(OR(INDIRECT(A73&amp;ROW())=B93,INDIRECT(A73&amp;ROW())=B94),1,IF(AND(INDIRECT(A73&amp;ROW())=B95,INDIRECT(A96&amp;ROW())=C93),1,IF(AND(INDIRECT(A73&amp;ROW())=B95,INDIRECT(A96&amp;ROW())=C94),1,0)))</f>
        <v>0</v>
      </c>
      <c r="J297">
        <f ca="1">IF(AND(INDIRECT(A73&amp;ROW())=B95,INDIRECT(A96&amp;ROW())=C95),1,IF(AND(INDIRECT(A73&amp;ROW())=B95,INDIRECT(A96&amp;ROW())=C96),1,0))</f>
        <v>0</v>
      </c>
      <c r="K297">
        <f ca="1">DAYS360(INDIRECT(C68&amp;ROW()),TODAY())</f>
        <v>802</v>
      </c>
      <c r="L297">
        <f ca="1">DAYS360(INDIRECT(C69&amp;ROW()),TODAY())</f>
        <v>802</v>
      </c>
      <c r="M297">
        <f ca="1">HYPERLINK(CONCATENATE("https://bugzilla.houston.hp.com:1181/bugzilla/show_bug.cgi?id=",INDIRECT(C70&amp;ROW())),INDIRECT(C70&amp;ROW()))</f>
        <v>56898</v>
      </c>
      <c r="N297">
        <v>56898</v>
      </c>
      <c r="O297" t="s">
        <v>36</v>
      </c>
      <c r="P297" t="s">
        <v>651</v>
      </c>
      <c r="Q297" t="s">
        <v>16</v>
      </c>
      <c r="R297" t="s">
        <v>248</v>
      </c>
      <c r="S297" t="s">
        <v>552</v>
      </c>
      <c r="U297" s="6">
        <v>42045.654224537036</v>
      </c>
      <c r="V297" t="s">
        <v>18</v>
      </c>
      <c r="W297" t="s">
        <v>205</v>
      </c>
      <c r="X297" s="6">
        <v>42045.653796296298</v>
      </c>
      <c r="Y297" t="s">
        <v>244</v>
      </c>
      <c r="AB297" t="s">
        <v>201</v>
      </c>
      <c r="AC297" t="s">
        <v>121</v>
      </c>
      <c r="AD297" t="s">
        <v>222</v>
      </c>
      <c r="AE297" t="s">
        <v>225</v>
      </c>
      <c r="AG297" t="s">
        <v>121</v>
      </c>
      <c r="AH297" t="s">
        <v>327</v>
      </c>
      <c r="AI297" t="s">
        <v>121</v>
      </c>
      <c r="AJ297" t="s">
        <v>717</v>
      </c>
      <c r="AK297" t="s">
        <v>121</v>
      </c>
    </row>
    <row r="298" spans="9:37" x14ac:dyDescent="0.3">
      <c r="I298">
        <f ca="1">IF(OR(INDIRECT(A73&amp;ROW())=B93,INDIRECT(A73&amp;ROW())=B94),1,IF(AND(INDIRECT(A73&amp;ROW())=B95,INDIRECT(A96&amp;ROW())=C93),1,IF(AND(INDIRECT(A73&amp;ROW())=B95,INDIRECT(A96&amp;ROW())=C94),1,0)))</f>
        <v>0</v>
      </c>
      <c r="J298">
        <f ca="1">IF(AND(INDIRECT(A73&amp;ROW())=B95,INDIRECT(A96&amp;ROW())=C95),1,IF(AND(INDIRECT(A73&amp;ROW())=B95,INDIRECT(A96&amp;ROW())=C96),1,0))</f>
        <v>0</v>
      </c>
      <c r="K298">
        <f ca="1">DAYS360(INDIRECT(C68&amp;ROW()),TODAY())</f>
        <v>721</v>
      </c>
      <c r="L298">
        <f ca="1">DAYS360(INDIRECT(C69&amp;ROW()),TODAY())</f>
        <v>802</v>
      </c>
      <c r="M298">
        <f ca="1">HYPERLINK(CONCATENATE("https://bugzilla.houston.hp.com:1181/bugzilla/show_bug.cgi?id=",INDIRECT(C70&amp;ROW())),INDIRECT(C70&amp;ROW()))</f>
        <v>56899</v>
      </c>
      <c r="N298">
        <v>56899</v>
      </c>
      <c r="O298" t="s">
        <v>56</v>
      </c>
      <c r="P298" t="s">
        <v>650</v>
      </c>
      <c r="Q298" t="s">
        <v>16</v>
      </c>
      <c r="R298" t="s">
        <v>248</v>
      </c>
      <c r="S298" t="s">
        <v>552</v>
      </c>
      <c r="U298" s="6">
        <v>42125.446446759262</v>
      </c>
      <c r="V298" t="s">
        <v>18</v>
      </c>
      <c r="W298" t="s">
        <v>288</v>
      </c>
      <c r="X298" s="6">
        <v>42045.654699074075</v>
      </c>
      <c r="Y298" t="s">
        <v>122</v>
      </c>
      <c r="AA298" t="s">
        <v>184</v>
      </c>
      <c r="AB298" t="s">
        <v>200</v>
      </c>
      <c r="AC298" t="s">
        <v>121</v>
      </c>
      <c r="AD298" t="s">
        <v>220</v>
      </c>
      <c r="AE298" t="s">
        <v>219</v>
      </c>
      <c r="AG298" t="s">
        <v>121</v>
      </c>
      <c r="AH298" t="s">
        <v>64</v>
      </c>
      <c r="AI298" t="s">
        <v>121</v>
      </c>
      <c r="AJ298" t="s">
        <v>716</v>
      </c>
      <c r="AK298" t="s">
        <v>121</v>
      </c>
    </row>
    <row r="299" spans="9:37" x14ac:dyDescent="0.3">
      <c r="I299">
        <f ca="1">IF(OR(INDIRECT(A73&amp;ROW())=B93,INDIRECT(A73&amp;ROW())=B94),1,IF(AND(INDIRECT(A73&amp;ROW())=B95,INDIRECT(A96&amp;ROW())=C93),1,IF(AND(INDIRECT(A73&amp;ROW())=B95,INDIRECT(A96&amp;ROW())=C94),1,0)))</f>
        <v>0</v>
      </c>
      <c r="J299">
        <f ca="1">IF(AND(INDIRECT(A73&amp;ROW())=B95,INDIRECT(A96&amp;ROW())=C95),1,IF(AND(INDIRECT(A73&amp;ROW())=B95,INDIRECT(A96&amp;ROW())=C96),1,0))</f>
        <v>0</v>
      </c>
      <c r="K299">
        <f ca="1">DAYS360(INDIRECT(C68&amp;ROW()),TODAY())</f>
        <v>802</v>
      </c>
      <c r="L299">
        <f ca="1">DAYS360(INDIRECT(C69&amp;ROW()),TODAY())</f>
        <v>802</v>
      </c>
      <c r="M299">
        <f ca="1">HYPERLINK(CONCATENATE("https://bugzilla.houston.hp.com:1181/bugzilla/show_bug.cgi?id=",INDIRECT(C70&amp;ROW())),INDIRECT(C70&amp;ROW()))</f>
        <v>56900</v>
      </c>
      <c r="N299">
        <v>56900</v>
      </c>
      <c r="O299" t="s">
        <v>56</v>
      </c>
      <c r="P299" t="s">
        <v>649</v>
      </c>
      <c r="Q299" t="s">
        <v>16</v>
      </c>
      <c r="R299" t="s">
        <v>248</v>
      </c>
      <c r="S299" t="s">
        <v>552</v>
      </c>
      <c r="U299" s="6">
        <v>42045.655752314815</v>
      </c>
      <c r="V299" t="s">
        <v>18</v>
      </c>
      <c r="W299" t="s">
        <v>209</v>
      </c>
      <c r="X299" s="6">
        <v>42045.655081018522</v>
      </c>
      <c r="Y299" t="s">
        <v>122</v>
      </c>
      <c r="AB299" t="s">
        <v>201</v>
      </c>
      <c r="AC299" t="s">
        <v>121</v>
      </c>
      <c r="AD299" t="s">
        <v>220</v>
      </c>
      <c r="AE299" t="s">
        <v>219</v>
      </c>
      <c r="AG299" t="s">
        <v>121</v>
      </c>
      <c r="AH299" t="s">
        <v>327</v>
      </c>
      <c r="AI299" t="s">
        <v>121</v>
      </c>
      <c r="AJ299" t="s">
        <v>717</v>
      </c>
      <c r="AK299" t="s">
        <v>121</v>
      </c>
    </row>
    <row r="300" spans="9:37" x14ac:dyDescent="0.3">
      <c r="I300">
        <f ca="1">IF(OR(INDIRECT(A73&amp;ROW())=B93,INDIRECT(A73&amp;ROW())=B94),1,IF(AND(INDIRECT(A73&amp;ROW())=B95,INDIRECT(A96&amp;ROW())=C93),1,IF(AND(INDIRECT(A73&amp;ROW())=B95,INDIRECT(A96&amp;ROW())=C94),1,0)))</f>
        <v>0</v>
      </c>
      <c r="J300">
        <f ca="1">IF(AND(INDIRECT(A73&amp;ROW())=B95,INDIRECT(A96&amp;ROW())=C95),1,IF(AND(INDIRECT(A73&amp;ROW())=B95,INDIRECT(A96&amp;ROW())=C96),1,0))</f>
        <v>0</v>
      </c>
      <c r="K300">
        <f ca="1">DAYS360(INDIRECT(C68&amp;ROW()),TODAY())</f>
        <v>721</v>
      </c>
      <c r="L300">
        <f ca="1">DAYS360(INDIRECT(C69&amp;ROW()),TODAY())</f>
        <v>802</v>
      </c>
      <c r="M300">
        <f ca="1">HYPERLINK(CONCATENATE("https://bugzilla.houston.hp.com:1181/bugzilla/show_bug.cgi?id=",INDIRECT(C70&amp;ROW())),INDIRECT(C70&amp;ROW()))</f>
        <v>56903</v>
      </c>
      <c r="N300">
        <v>56903</v>
      </c>
      <c r="O300" t="s">
        <v>36</v>
      </c>
      <c r="P300" t="s">
        <v>648</v>
      </c>
      <c r="Q300" t="s">
        <v>16</v>
      </c>
      <c r="R300" t="s">
        <v>248</v>
      </c>
      <c r="S300" t="s">
        <v>552</v>
      </c>
      <c r="U300" s="6">
        <v>42125.448611111111</v>
      </c>
      <c r="V300" t="s">
        <v>18</v>
      </c>
      <c r="W300" t="s">
        <v>17</v>
      </c>
      <c r="X300" s="6">
        <v>42045.659398148149</v>
      </c>
      <c r="Y300" t="s">
        <v>122</v>
      </c>
      <c r="AB300" t="s">
        <v>201</v>
      </c>
      <c r="AC300" t="s">
        <v>247</v>
      </c>
      <c r="AD300" t="s">
        <v>222</v>
      </c>
      <c r="AE300" t="s">
        <v>221</v>
      </c>
      <c r="AG300" t="s">
        <v>121</v>
      </c>
      <c r="AH300" t="s">
        <v>327</v>
      </c>
      <c r="AI300" t="s">
        <v>121</v>
      </c>
      <c r="AJ300" t="s">
        <v>717</v>
      </c>
      <c r="AK300" t="s">
        <v>121</v>
      </c>
    </row>
    <row r="301" spans="9:37" x14ac:dyDescent="0.3">
      <c r="I301">
        <f ca="1">IF(OR(INDIRECT(A73&amp;ROW())=B93,INDIRECT(A73&amp;ROW())=B94),1,IF(AND(INDIRECT(A73&amp;ROW())=B95,INDIRECT(A96&amp;ROW())=C93),1,IF(AND(INDIRECT(A73&amp;ROW())=B95,INDIRECT(A96&amp;ROW())=C94),1,0)))</f>
        <v>0</v>
      </c>
      <c r="J301">
        <f ca="1">IF(AND(INDIRECT(A73&amp;ROW())=B95,INDIRECT(A96&amp;ROW())=C95),1,IF(AND(INDIRECT(A73&amp;ROW())=B95,INDIRECT(A96&amp;ROW())=C96),1,0))</f>
        <v>0</v>
      </c>
      <c r="K301">
        <f ca="1">DAYS360(INDIRECT(C68&amp;ROW()),TODAY())</f>
        <v>721</v>
      </c>
      <c r="L301">
        <f ca="1">DAYS360(INDIRECT(C69&amp;ROW()),TODAY())</f>
        <v>802</v>
      </c>
      <c r="M301">
        <f ca="1">HYPERLINK(CONCATENATE("https://bugzilla.houston.hp.com:1181/bugzilla/show_bug.cgi?id=",INDIRECT(C70&amp;ROW())),INDIRECT(C70&amp;ROW()))</f>
        <v>56904</v>
      </c>
      <c r="N301">
        <v>56904</v>
      </c>
      <c r="O301" t="s">
        <v>36</v>
      </c>
      <c r="P301" t="s">
        <v>633</v>
      </c>
      <c r="Q301" t="s">
        <v>16</v>
      </c>
      <c r="R301" t="s">
        <v>248</v>
      </c>
      <c r="S301" t="s">
        <v>552</v>
      </c>
      <c r="U301" s="6">
        <v>42125.447546296295</v>
      </c>
      <c r="V301" t="s">
        <v>18</v>
      </c>
      <c r="W301" t="s">
        <v>17</v>
      </c>
      <c r="X301" s="6">
        <v>42045.660127314812</v>
      </c>
      <c r="Y301" t="s">
        <v>122</v>
      </c>
      <c r="AB301" t="s">
        <v>201</v>
      </c>
      <c r="AC301" t="s">
        <v>247</v>
      </c>
      <c r="AD301" t="s">
        <v>220</v>
      </c>
      <c r="AE301" t="s">
        <v>223</v>
      </c>
      <c r="AG301" t="s">
        <v>121</v>
      </c>
      <c r="AH301" t="s">
        <v>64</v>
      </c>
      <c r="AI301" t="s">
        <v>121</v>
      </c>
      <c r="AJ301" t="s">
        <v>717</v>
      </c>
      <c r="AK301" t="s">
        <v>121</v>
      </c>
    </row>
    <row r="302" spans="9:37" x14ac:dyDescent="0.3">
      <c r="I302">
        <f ca="1">IF(OR(INDIRECT(A73&amp;ROW())=B93,INDIRECT(A73&amp;ROW())=B94),1,IF(AND(INDIRECT(A73&amp;ROW())=B95,INDIRECT(A96&amp;ROW())=C93),1,IF(AND(INDIRECT(A73&amp;ROW())=B95,INDIRECT(A96&amp;ROW())=C94),1,0)))</f>
        <v>0</v>
      </c>
      <c r="J302">
        <f ca="1">IF(AND(INDIRECT(A73&amp;ROW())=B95,INDIRECT(A96&amp;ROW())=C95),1,IF(AND(INDIRECT(A73&amp;ROW())=B95,INDIRECT(A96&amp;ROW())=C96),1,0))</f>
        <v>0</v>
      </c>
      <c r="K302">
        <f ca="1">DAYS360(INDIRECT(C68&amp;ROW()),TODAY())</f>
        <v>721</v>
      </c>
      <c r="L302">
        <f ca="1">DAYS360(INDIRECT(C69&amp;ROW()),TODAY())</f>
        <v>802</v>
      </c>
      <c r="M302">
        <f ca="1">HYPERLINK(CONCATENATE("https://bugzilla.houston.hp.com:1181/bugzilla/show_bug.cgi?id=",INDIRECT(C70&amp;ROW())),INDIRECT(C70&amp;ROW()))</f>
        <v>56905</v>
      </c>
      <c r="N302">
        <v>56905</v>
      </c>
      <c r="O302" t="s">
        <v>56</v>
      </c>
      <c r="P302" t="s">
        <v>634</v>
      </c>
      <c r="Q302" t="s">
        <v>16</v>
      </c>
      <c r="R302" t="s">
        <v>248</v>
      </c>
      <c r="S302" t="s">
        <v>552</v>
      </c>
      <c r="U302" s="6">
        <v>42125.443784722222</v>
      </c>
      <c r="V302" t="s">
        <v>18</v>
      </c>
      <c r="W302" t="s">
        <v>211</v>
      </c>
      <c r="X302" s="6">
        <v>42045.660474537035</v>
      </c>
      <c r="Y302" t="s">
        <v>122</v>
      </c>
      <c r="AB302" t="s">
        <v>201</v>
      </c>
      <c r="AC302" t="s">
        <v>121</v>
      </c>
      <c r="AD302" t="s">
        <v>220</v>
      </c>
      <c r="AE302" t="s">
        <v>219</v>
      </c>
      <c r="AG302" t="s">
        <v>121</v>
      </c>
      <c r="AH302" t="s">
        <v>64</v>
      </c>
      <c r="AI302" t="s">
        <v>121</v>
      </c>
      <c r="AJ302" t="s">
        <v>717</v>
      </c>
      <c r="AK302" t="s">
        <v>121</v>
      </c>
    </row>
    <row r="303" spans="9:37" x14ac:dyDescent="0.3">
      <c r="I303">
        <f ca="1">IF(OR(INDIRECT(A73&amp;ROW())=B93,INDIRECT(A73&amp;ROW())=B94),1,IF(AND(INDIRECT(A73&amp;ROW())=B95,INDIRECT(A96&amp;ROW())=C93),1,IF(AND(INDIRECT(A73&amp;ROW())=B95,INDIRECT(A96&amp;ROW())=C94),1,0)))</f>
        <v>0</v>
      </c>
      <c r="J303">
        <f ca="1">IF(AND(INDIRECT(A73&amp;ROW())=B95,INDIRECT(A96&amp;ROW())=C95),1,IF(AND(INDIRECT(A73&amp;ROW())=B95,INDIRECT(A96&amp;ROW())=C96),1,0))</f>
        <v>0</v>
      </c>
      <c r="K303">
        <f ca="1">DAYS360(INDIRECT(C68&amp;ROW()),TODAY())</f>
        <v>721</v>
      </c>
      <c r="L303">
        <f ca="1">DAYS360(INDIRECT(C69&amp;ROW()),TODAY())</f>
        <v>802</v>
      </c>
      <c r="M303">
        <f ca="1">HYPERLINK(CONCATENATE("https://bugzilla.houston.hp.com:1181/bugzilla/show_bug.cgi?id=",INDIRECT(C70&amp;ROW())),INDIRECT(C70&amp;ROW()))</f>
        <v>56906</v>
      </c>
      <c r="N303">
        <v>56906</v>
      </c>
      <c r="O303" t="s">
        <v>56</v>
      </c>
      <c r="P303" t="s">
        <v>630</v>
      </c>
      <c r="Q303" t="s">
        <v>16</v>
      </c>
      <c r="R303" t="s">
        <v>248</v>
      </c>
      <c r="S303" t="s">
        <v>552</v>
      </c>
      <c r="U303" s="6">
        <v>42125.445300925923</v>
      </c>
      <c r="V303" t="s">
        <v>18</v>
      </c>
      <c r="W303" t="s">
        <v>260</v>
      </c>
      <c r="X303" s="6">
        <v>42045.661574074074</v>
      </c>
      <c r="Y303" t="s">
        <v>122</v>
      </c>
      <c r="AB303" t="s">
        <v>201</v>
      </c>
      <c r="AC303" t="s">
        <v>121</v>
      </c>
      <c r="AD303" t="s">
        <v>220</v>
      </c>
      <c r="AE303" t="s">
        <v>219</v>
      </c>
      <c r="AG303" t="s">
        <v>121</v>
      </c>
      <c r="AH303" t="s">
        <v>327</v>
      </c>
      <c r="AI303" t="s">
        <v>121</v>
      </c>
      <c r="AJ303" t="s">
        <v>717</v>
      </c>
      <c r="AK303" t="s">
        <v>121</v>
      </c>
    </row>
    <row r="304" spans="9:37" x14ac:dyDescent="0.3">
      <c r="I304">
        <f ca="1">IF(OR(INDIRECT(A73&amp;ROW())=B93,INDIRECT(A73&amp;ROW())=B94),1,IF(AND(INDIRECT(A73&amp;ROW())=B95,INDIRECT(A96&amp;ROW())=C93),1,IF(AND(INDIRECT(A73&amp;ROW())=B95,INDIRECT(A96&amp;ROW())=C94),1,0)))</f>
        <v>1</v>
      </c>
      <c r="J304">
        <f ca="1">IF(AND(INDIRECT(A73&amp;ROW())=B95,INDIRECT(A96&amp;ROW())=C95),1,IF(AND(INDIRECT(A73&amp;ROW())=B95,INDIRECT(A96&amp;ROW())=C96),1,0))</f>
        <v>0</v>
      </c>
      <c r="K304">
        <f ca="1">DAYS360(INDIRECT(C68&amp;ROW()),TODAY())</f>
        <v>687</v>
      </c>
      <c r="L304">
        <f ca="1">DAYS360(INDIRECT(C69&amp;ROW()),TODAY())</f>
        <v>802</v>
      </c>
      <c r="M304">
        <f ca="1">HYPERLINK(CONCATENATE("https://bugzilla.houston.hp.com:1181/bugzilla/show_bug.cgi?id=",INDIRECT(C70&amp;ROW())),INDIRECT(C70&amp;ROW()))</f>
        <v>56908</v>
      </c>
      <c r="N304">
        <v>56908</v>
      </c>
      <c r="O304" t="s">
        <v>45</v>
      </c>
      <c r="P304" t="s">
        <v>636</v>
      </c>
      <c r="Q304" t="s">
        <v>25</v>
      </c>
      <c r="R304" t="s">
        <v>248</v>
      </c>
      <c r="S304" t="s">
        <v>552</v>
      </c>
      <c r="U304" s="6">
        <v>42160.512152777781</v>
      </c>
      <c r="V304" t="s">
        <v>18</v>
      </c>
      <c r="W304" t="s">
        <v>256</v>
      </c>
      <c r="X304" s="6">
        <v>42045.663506944446</v>
      </c>
      <c r="Y304" t="s">
        <v>123</v>
      </c>
      <c r="AB304" t="s">
        <v>200</v>
      </c>
      <c r="AC304" t="s">
        <v>247</v>
      </c>
      <c r="AD304" t="s">
        <v>227</v>
      </c>
      <c r="AE304" t="s">
        <v>226</v>
      </c>
      <c r="AG304" t="s">
        <v>121</v>
      </c>
      <c r="AH304" t="s">
        <v>64</v>
      </c>
      <c r="AI304" t="s">
        <v>121</v>
      </c>
      <c r="AJ304" t="s">
        <v>715</v>
      </c>
      <c r="AK304" t="s">
        <v>121</v>
      </c>
    </row>
    <row r="305" spans="9:37" x14ac:dyDescent="0.3">
      <c r="I305">
        <f ca="1">IF(OR(INDIRECT(A73&amp;ROW())=B93,INDIRECT(A73&amp;ROW())=B94),1,IF(AND(INDIRECT(A73&amp;ROW())=B95,INDIRECT(A96&amp;ROW())=C93),1,IF(AND(INDIRECT(A73&amp;ROW())=B95,INDIRECT(A96&amp;ROW())=C94),1,0)))</f>
        <v>0</v>
      </c>
      <c r="J305">
        <f ca="1">IF(AND(INDIRECT(A73&amp;ROW())=B95,INDIRECT(A96&amp;ROW())=C95),1,IF(AND(INDIRECT(A73&amp;ROW())=B95,INDIRECT(A96&amp;ROW())=C96),1,0))</f>
        <v>0</v>
      </c>
      <c r="K305">
        <f ca="1">DAYS360(INDIRECT(C68&amp;ROW()),TODAY())</f>
        <v>721</v>
      </c>
      <c r="L305">
        <f ca="1">DAYS360(INDIRECT(C69&amp;ROW()),TODAY())</f>
        <v>802</v>
      </c>
      <c r="M305">
        <f ca="1">HYPERLINK(CONCATENATE("https://bugzilla.houston.hp.com:1181/bugzilla/show_bug.cgi?id=",INDIRECT(C70&amp;ROW())),INDIRECT(C70&amp;ROW()))</f>
        <v>56910</v>
      </c>
      <c r="N305">
        <v>56910</v>
      </c>
      <c r="O305" t="s">
        <v>56</v>
      </c>
      <c r="P305" t="s">
        <v>638</v>
      </c>
      <c r="Q305" t="s">
        <v>16</v>
      </c>
      <c r="R305" t="s">
        <v>248</v>
      </c>
      <c r="S305" t="s">
        <v>552</v>
      </c>
      <c r="U305" s="6">
        <v>42125.44767361111</v>
      </c>
      <c r="V305" t="s">
        <v>18</v>
      </c>
      <c r="W305" t="s">
        <v>340</v>
      </c>
      <c r="X305" s="6">
        <v>42045.665069444447</v>
      </c>
      <c r="Y305" t="s">
        <v>122</v>
      </c>
      <c r="AB305" t="s">
        <v>200</v>
      </c>
      <c r="AC305" t="s">
        <v>247</v>
      </c>
      <c r="AD305" t="s">
        <v>220</v>
      </c>
      <c r="AE305" t="s">
        <v>219</v>
      </c>
      <c r="AG305" t="s">
        <v>121</v>
      </c>
      <c r="AH305" t="s">
        <v>64</v>
      </c>
      <c r="AI305" t="s">
        <v>121</v>
      </c>
      <c r="AJ305" t="s">
        <v>716</v>
      </c>
      <c r="AK305" t="s">
        <v>121</v>
      </c>
    </row>
    <row r="306" spans="9:37" x14ac:dyDescent="0.3">
      <c r="I306">
        <f ca="1">IF(OR(INDIRECT(A73&amp;ROW())=B93,INDIRECT(A73&amp;ROW())=B94),1,IF(AND(INDIRECT(A73&amp;ROW())=B95,INDIRECT(A96&amp;ROW())=C93),1,IF(AND(INDIRECT(A73&amp;ROW())=B95,INDIRECT(A96&amp;ROW())=C94),1,0)))</f>
        <v>0</v>
      </c>
      <c r="J306">
        <f ca="1">IF(AND(INDIRECT(A73&amp;ROW())=B95,INDIRECT(A96&amp;ROW())=C95),1,IF(AND(INDIRECT(A73&amp;ROW())=B95,INDIRECT(A96&amp;ROW())=C96),1,0))</f>
        <v>0</v>
      </c>
      <c r="K306">
        <f ca="1">DAYS360(INDIRECT(C68&amp;ROW()),TODAY())</f>
        <v>802</v>
      </c>
      <c r="L306">
        <f ca="1">DAYS360(INDIRECT(C69&amp;ROW()),TODAY())</f>
        <v>802</v>
      </c>
      <c r="M306">
        <f ca="1">HYPERLINK(CONCATENATE("https://bugzilla.houston.hp.com:1181/bugzilla/show_bug.cgi?id=",INDIRECT(C70&amp;ROW())),INDIRECT(C70&amp;ROW()))</f>
        <v>56911</v>
      </c>
      <c r="N306">
        <v>56911</v>
      </c>
      <c r="O306" t="s">
        <v>36</v>
      </c>
      <c r="P306" t="s">
        <v>625</v>
      </c>
      <c r="Q306" t="s">
        <v>16</v>
      </c>
      <c r="R306" t="s">
        <v>248</v>
      </c>
      <c r="S306" t="s">
        <v>552</v>
      </c>
      <c r="U306" s="6">
        <v>42045.70890046296</v>
      </c>
      <c r="V306" t="s">
        <v>18</v>
      </c>
      <c r="W306" t="s">
        <v>258</v>
      </c>
      <c r="X306" s="6">
        <v>42045.66615740741</v>
      </c>
      <c r="Y306" t="s">
        <v>120</v>
      </c>
      <c r="AB306" t="s">
        <v>200</v>
      </c>
      <c r="AC306" t="s">
        <v>121</v>
      </c>
      <c r="AD306" t="s">
        <v>222</v>
      </c>
      <c r="AE306" t="s">
        <v>240</v>
      </c>
      <c r="AG306" t="s">
        <v>121</v>
      </c>
      <c r="AH306" t="s">
        <v>64</v>
      </c>
      <c r="AI306" t="s">
        <v>121</v>
      </c>
      <c r="AJ306" t="s">
        <v>716</v>
      </c>
      <c r="AK306" t="s">
        <v>121</v>
      </c>
    </row>
    <row r="307" spans="9:37" x14ac:dyDescent="0.3">
      <c r="I307">
        <f ca="1">IF(OR(INDIRECT(A73&amp;ROW())=B93,INDIRECT(A73&amp;ROW())=B94),1,IF(AND(INDIRECT(A73&amp;ROW())=B95,INDIRECT(A96&amp;ROW())=C93),1,IF(AND(INDIRECT(A73&amp;ROW())=B95,INDIRECT(A96&amp;ROW())=C94),1,0)))</f>
        <v>0</v>
      </c>
      <c r="J307">
        <f ca="1">IF(AND(INDIRECT(A73&amp;ROW())=B95,INDIRECT(A96&amp;ROW())=C95),1,IF(AND(INDIRECT(A73&amp;ROW())=B95,INDIRECT(A96&amp;ROW())=C96),1,0))</f>
        <v>0</v>
      </c>
      <c r="K307">
        <f ca="1">DAYS360(INDIRECT(C68&amp;ROW()),TODAY())</f>
        <v>802</v>
      </c>
      <c r="L307">
        <f ca="1">DAYS360(INDIRECT(C69&amp;ROW()),TODAY())</f>
        <v>802</v>
      </c>
      <c r="M307">
        <f ca="1">HYPERLINK(CONCATENATE("https://bugzilla.houston.hp.com:1181/bugzilla/show_bug.cgi?id=",INDIRECT(C70&amp;ROW())),INDIRECT(C70&amp;ROW()))</f>
        <v>56912</v>
      </c>
      <c r="N307">
        <v>56912</v>
      </c>
      <c r="O307" t="s">
        <v>56</v>
      </c>
      <c r="P307" t="s">
        <v>623</v>
      </c>
      <c r="Q307" t="s">
        <v>16</v>
      </c>
      <c r="R307" t="s">
        <v>248</v>
      </c>
      <c r="S307" t="s">
        <v>552</v>
      </c>
      <c r="U307" s="6">
        <v>42045.710277777776</v>
      </c>
      <c r="V307" t="s">
        <v>18</v>
      </c>
      <c r="W307" t="s">
        <v>17</v>
      </c>
      <c r="X307" s="6">
        <v>42045.667037037034</v>
      </c>
      <c r="Y307" t="s">
        <v>786</v>
      </c>
      <c r="AB307" t="s">
        <v>200</v>
      </c>
      <c r="AC307" t="s">
        <v>247</v>
      </c>
      <c r="AD307" t="s">
        <v>220</v>
      </c>
      <c r="AE307" t="s">
        <v>219</v>
      </c>
      <c r="AG307" t="s">
        <v>121</v>
      </c>
      <c r="AH307" t="s">
        <v>327</v>
      </c>
      <c r="AI307" t="s">
        <v>121</v>
      </c>
      <c r="AJ307" t="s">
        <v>716</v>
      </c>
      <c r="AK307" t="s">
        <v>121</v>
      </c>
    </row>
    <row r="308" spans="9:37" x14ac:dyDescent="0.3">
      <c r="I308">
        <f ca="1">IF(OR(INDIRECT(A73&amp;ROW())=B93,INDIRECT(A73&amp;ROW())=B94),1,IF(AND(INDIRECT(A73&amp;ROW())=B95,INDIRECT(A96&amp;ROW())=C93),1,IF(AND(INDIRECT(A73&amp;ROW())=B95,INDIRECT(A96&amp;ROW())=C94),1,0)))</f>
        <v>0</v>
      </c>
      <c r="J308">
        <f ca="1">IF(AND(INDIRECT(A73&amp;ROW())=B95,INDIRECT(A96&amp;ROW())=C95),1,IF(AND(INDIRECT(A73&amp;ROW())=B95,INDIRECT(A96&amp;ROW())=C96),1,0))</f>
        <v>0</v>
      </c>
      <c r="K308">
        <f ca="1">DAYS360(INDIRECT(C68&amp;ROW()),TODAY())</f>
        <v>721</v>
      </c>
      <c r="L308">
        <f ca="1">DAYS360(INDIRECT(C69&amp;ROW()),TODAY())</f>
        <v>802</v>
      </c>
      <c r="M308">
        <f ca="1">HYPERLINK(CONCATENATE("https://bugzilla.houston.hp.com:1181/bugzilla/show_bug.cgi?id=",INDIRECT(C70&amp;ROW())),INDIRECT(C70&amp;ROW()))</f>
        <v>56913</v>
      </c>
      <c r="N308">
        <v>56913</v>
      </c>
      <c r="O308" t="s">
        <v>36</v>
      </c>
      <c r="P308" t="s">
        <v>622</v>
      </c>
      <c r="Q308" t="s">
        <v>16</v>
      </c>
      <c r="R308" t="s">
        <v>248</v>
      </c>
      <c r="S308" t="s">
        <v>552</v>
      </c>
      <c r="U308" s="6">
        <v>42125.446562500001</v>
      </c>
      <c r="V308" t="s">
        <v>18</v>
      </c>
      <c r="W308" t="s">
        <v>257</v>
      </c>
      <c r="X308" s="6">
        <v>42045.668935185182</v>
      </c>
      <c r="Y308" t="s">
        <v>122</v>
      </c>
      <c r="AB308" t="s">
        <v>200</v>
      </c>
      <c r="AC308" t="s">
        <v>121</v>
      </c>
      <c r="AD308" t="s">
        <v>227</v>
      </c>
      <c r="AE308" t="s">
        <v>226</v>
      </c>
      <c r="AG308" t="s">
        <v>121</v>
      </c>
      <c r="AH308" t="s">
        <v>64</v>
      </c>
      <c r="AI308" t="s">
        <v>121</v>
      </c>
      <c r="AJ308" t="s">
        <v>716</v>
      </c>
      <c r="AK308" t="s">
        <v>121</v>
      </c>
    </row>
    <row r="309" spans="9:37" x14ac:dyDescent="0.3">
      <c r="I309">
        <f ca="1">IF(OR(INDIRECT(A73&amp;ROW())=B93,INDIRECT(A73&amp;ROW())=B94),1,IF(AND(INDIRECT(A73&amp;ROW())=B95,INDIRECT(A96&amp;ROW())=C93),1,IF(AND(INDIRECT(A73&amp;ROW())=B95,INDIRECT(A96&amp;ROW())=C94),1,0)))</f>
        <v>0</v>
      </c>
      <c r="J309">
        <f ca="1">IF(AND(INDIRECT(A73&amp;ROW())=B95,INDIRECT(A96&amp;ROW())=C95),1,IF(AND(INDIRECT(A73&amp;ROW())=B95,INDIRECT(A96&amp;ROW())=C96),1,0))</f>
        <v>0</v>
      </c>
      <c r="K309">
        <f ca="1">DAYS360(INDIRECT(C68&amp;ROW()),TODAY())</f>
        <v>721</v>
      </c>
      <c r="L309">
        <f ca="1">DAYS360(INDIRECT(C69&amp;ROW()),TODAY())</f>
        <v>802</v>
      </c>
      <c r="M309">
        <f ca="1">HYPERLINK(CONCATENATE("https://bugzilla.houston.hp.com:1181/bugzilla/show_bug.cgi?id=",INDIRECT(C70&amp;ROW())),INDIRECT(C70&amp;ROW()))</f>
        <v>56914</v>
      </c>
      <c r="N309">
        <v>56914</v>
      </c>
      <c r="O309" t="s">
        <v>56</v>
      </c>
      <c r="P309" t="s">
        <v>628</v>
      </c>
      <c r="Q309" t="s">
        <v>16</v>
      </c>
      <c r="R309" t="s">
        <v>248</v>
      </c>
      <c r="S309" t="s">
        <v>552</v>
      </c>
      <c r="U309" s="6">
        <v>42125.448703703703</v>
      </c>
      <c r="V309" t="s">
        <v>18</v>
      </c>
      <c r="W309" t="s">
        <v>17</v>
      </c>
      <c r="X309" s="6">
        <v>42045.670347222222</v>
      </c>
      <c r="Y309" t="s">
        <v>122</v>
      </c>
      <c r="AB309" t="s">
        <v>201</v>
      </c>
      <c r="AC309" t="s">
        <v>247</v>
      </c>
      <c r="AD309" t="s">
        <v>220</v>
      </c>
      <c r="AE309" t="s">
        <v>219</v>
      </c>
      <c r="AG309" t="s">
        <v>121</v>
      </c>
      <c r="AH309" t="s">
        <v>327</v>
      </c>
      <c r="AI309" t="s">
        <v>121</v>
      </c>
      <c r="AJ309" t="s">
        <v>717</v>
      </c>
      <c r="AK309" t="s">
        <v>121</v>
      </c>
    </row>
    <row r="310" spans="9:37" x14ac:dyDescent="0.3">
      <c r="I310">
        <f ca="1">IF(OR(INDIRECT(A73&amp;ROW())=B93,INDIRECT(A73&amp;ROW())=B94),1,IF(AND(INDIRECT(A73&amp;ROW())=B95,INDIRECT(A96&amp;ROW())=C93),1,IF(AND(INDIRECT(A73&amp;ROW())=B95,INDIRECT(A96&amp;ROW())=C94),1,0)))</f>
        <v>0</v>
      </c>
      <c r="J310">
        <f ca="1">IF(AND(INDIRECT(A73&amp;ROW())=B95,INDIRECT(A96&amp;ROW())=C95),1,IF(AND(INDIRECT(A73&amp;ROW())=B95,INDIRECT(A96&amp;ROW())=C96),1,0))</f>
        <v>0</v>
      </c>
      <c r="K310">
        <f ca="1">DAYS360(INDIRECT(C68&amp;ROW()),TODAY())</f>
        <v>802</v>
      </c>
      <c r="L310">
        <f ca="1">DAYS360(INDIRECT(C69&amp;ROW()),TODAY())</f>
        <v>802</v>
      </c>
      <c r="M310">
        <f ca="1">HYPERLINK(CONCATENATE("https://bugzilla.houston.hp.com:1181/bugzilla/show_bug.cgi?id=",INDIRECT(C70&amp;ROW())),INDIRECT(C70&amp;ROW()))</f>
        <v>56916</v>
      </c>
      <c r="N310">
        <v>56916</v>
      </c>
      <c r="O310" t="s">
        <v>36</v>
      </c>
      <c r="P310" t="s">
        <v>627</v>
      </c>
      <c r="Q310" t="s">
        <v>16</v>
      </c>
      <c r="R310" t="s">
        <v>248</v>
      </c>
      <c r="S310" t="s">
        <v>552</v>
      </c>
      <c r="U310" s="6">
        <v>42045.708449074074</v>
      </c>
      <c r="V310" t="s">
        <v>18</v>
      </c>
      <c r="W310" t="s">
        <v>317</v>
      </c>
      <c r="X310" s="6">
        <v>42045.671898148146</v>
      </c>
      <c r="Y310" t="s">
        <v>119</v>
      </c>
      <c r="AB310" t="s">
        <v>201</v>
      </c>
      <c r="AC310" t="s">
        <v>247</v>
      </c>
      <c r="AD310" t="s">
        <v>222</v>
      </c>
      <c r="AE310" t="s">
        <v>240</v>
      </c>
      <c r="AG310" t="s">
        <v>121</v>
      </c>
      <c r="AH310" t="s">
        <v>327</v>
      </c>
      <c r="AI310" t="s">
        <v>121</v>
      </c>
      <c r="AJ310" t="s">
        <v>717</v>
      </c>
      <c r="AK310" t="s">
        <v>121</v>
      </c>
    </row>
    <row r="311" spans="9:37" x14ac:dyDescent="0.3">
      <c r="I311">
        <f ca="1">IF(OR(INDIRECT(A73&amp;ROW())=B93,INDIRECT(A73&amp;ROW())=B94),1,IF(AND(INDIRECT(A73&amp;ROW())=B95,INDIRECT(A96&amp;ROW())=C93),1,IF(AND(INDIRECT(A73&amp;ROW())=B95,INDIRECT(A96&amp;ROW())=C94),1,0)))</f>
        <v>0</v>
      </c>
      <c r="J311">
        <f ca="1">IF(AND(INDIRECT(A73&amp;ROW())=B95,INDIRECT(A96&amp;ROW())=C95),1,IF(AND(INDIRECT(A73&amp;ROW())=B95,INDIRECT(A96&amp;ROW())=C96),1,0))</f>
        <v>0</v>
      </c>
      <c r="K311">
        <f ca="1">DAYS360(INDIRECT(C68&amp;ROW()),TODAY())</f>
        <v>721</v>
      </c>
      <c r="L311">
        <f ca="1">DAYS360(INDIRECT(C69&amp;ROW()),TODAY())</f>
        <v>802</v>
      </c>
      <c r="M311">
        <f ca="1">HYPERLINK(CONCATENATE("https://bugzilla.houston.hp.com:1181/bugzilla/show_bug.cgi?id=",INDIRECT(C70&amp;ROW())),INDIRECT(C70&amp;ROW()))</f>
        <v>56917</v>
      </c>
      <c r="N311">
        <v>56917</v>
      </c>
      <c r="O311" t="s">
        <v>56</v>
      </c>
      <c r="P311" t="s">
        <v>629</v>
      </c>
      <c r="Q311" t="s">
        <v>16</v>
      </c>
      <c r="R311" t="s">
        <v>248</v>
      </c>
      <c r="S311" t="s">
        <v>552</v>
      </c>
      <c r="U311" s="6">
        <v>42125.446481481478</v>
      </c>
      <c r="V311" t="s">
        <v>18</v>
      </c>
      <c r="W311" t="s">
        <v>288</v>
      </c>
      <c r="X311" s="6">
        <v>42045.672708333332</v>
      </c>
      <c r="Y311" t="s">
        <v>122</v>
      </c>
      <c r="AB311" t="s">
        <v>201</v>
      </c>
      <c r="AC311" t="s">
        <v>247</v>
      </c>
      <c r="AD311" t="s">
        <v>220</v>
      </c>
      <c r="AE311" t="s">
        <v>219</v>
      </c>
      <c r="AG311" t="s">
        <v>121</v>
      </c>
      <c r="AH311" t="s">
        <v>64</v>
      </c>
      <c r="AI311" t="s">
        <v>121</v>
      </c>
      <c r="AJ311" t="s">
        <v>717</v>
      </c>
      <c r="AK311" t="s">
        <v>121</v>
      </c>
    </row>
    <row r="312" spans="9:37" x14ac:dyDescent="0.3">
      <c r="I312">
        <f ca="1">IF(OR(INDIRECT(A73&amp;ROW())=B93,INDIRECT(A73&amp;ROW())=B94),1,IF(AND(INDIRECT(A73&amp;ROW())=B95,INDIRECT(A96&amp;ROW())=C93),1,IF(AND(INDIRECT(A73&amp;ROW())=B95,INDIRECT(A96&amp;ROW())=C94),1,0)))</f>
        <v>0</v>
      </c>
      <c r="J312">
        <f ca="1">IF(AND(INDIRECT(A73&amp;ROW())=B95,INDIRECT(A96&amp;ROW())=C95),1,IF(AND(INDIRECT(A73&amp;ROW())=B95,INDIRECT(A96&amp;ROW())=C96),1,0))</f>
        <v>0</v>
      </c>
      <c r="K312">
        <f ca="1">DAYS360(INDIRECT(C68&amp;ROW()),TODAY())</f>
        <v>802</v>
      </c>
      <c r="L312">
        <f ca="1">DAYS360(INDIRECT(C69&amp;ROW()),TODAY())</f>
        <v>802</v>
      </c>
      <c r="M312">
        <f ca="1">HYPERLINK(CONCATENATE("https://bugzilla.houston.hp.com:1181/bugzilla/show_bug.cgi?id=",INDIRECT(C70&amp;ROW())),INDIRECT(C70&amp;ROW()))</f>
        <v>56918</v>
      </c>
      <c r="N312">
        <v>56918</v>
      </c>
      <c r="O312" t="s">
        <v>36</v>
      </c>
      <c r="P312" t="s">
        <v>631</v>
      </c>
      <c r="Q312" t="s">
        <v>16</v>
      </c>
      <c r="R312" t="s">
        <v>248</v>
      </c>
      <c r="S312" t="s">
        <v>552</v>
      </c>
      <c r="U312" s="6">
        <v>42045.702314814815</v>
      </c>
      <c r="V312" t="s">
        <v>18</v>
      </c>
      <c r="W312" t="s">
        <v>341</v>
      </c>
      <c r="X312" s="6">
        <v>42045.673090277778</v>
      </c>
      <c r="Y312" t="s">
        <v>118</v>
      </c>
      <c r="AB312" t="s">
        <v>201</v>
      </c>
      <c r="AC312" t="s">
        <v>121</v>
      </c>
      <c r="AD312" t="s">
        <v>222</v>
      </c>
      <c r="AE312" t="s">
        <v>240</v>
      </c>
      <c r="AG312" t="s">
        <v>121</v>
      </c>
      <c r="AH312" t="s">
        <v>327</v>
      </c>
      <c r="AI312" t="s">
        <v>121</v>
      </c>
      <c r="AJ312" t="s">
        <v>717</v>
      </c>
      <c r="AK312" t="s">
        <v>121</v>
      </c>
    </row>
    <row r="313" spans="9:37" x14ac:dyDescent="0.3">
      <c r="I313">
        <f ca="1">IF(OR(INDIRECT(A73&amp;ROW())=B93,INDIRECT(A73&amp;ROW())=B94),1,IF(AND(INDIRECT(A73&amp;ROW())=B95,INDIRECT(A96&amp;ROW())=C93),1,IF(AND(INDIRECT(A73&amp;ROW())=B95,INDIRECT(A96&amp;ROW())=C94),1,0)))</f>
        <v>0</v>
      </c>
      <c r="J313">
        <f ca="1">IF(AND(INDIRECT(A73&amp;ROW())=B95,INDIRECT(A96&amp;ROW())=C95),1,IF(AND(INDIRECT(A73&amp;ROW())=B95,INDIRECT(A96&amp;ROW())=C96),1,0))</f>
        <v>0</v>
      </c>
      <c r="K313">
        <f ca="1">DAYS360(INDIRECT(C68&amp;ROW()),TODAY())</f>
        <v>687</v>
      </c>
      <c r="L313">
        <f ca="1">DAYS360(INDIRECT(C69&amp;ROW()),TODAY())</f>
        <v>802</v>
      </c>
      <c r="M313">
        <f ca="1">HYPERLINK(CONCATENATE("https://bugzilla.houston.hp.com:1181/bugzilla/show_bug.cgi?id=",INDIRECT(C70&amp;ROW())),INDIRECT(C70&amp;ROW()))</f>
        <v>56919</v>
      </c>
      <c r="N313">
        <v>56919</v>
      </c>
      <c r="O313" t="s">
        <v>56</v>
      </c>
      <c r="P313" t="s">
        <v>624</v>
      </c>
      <c r="Q313" t="s">
        <v>16</v>
      </c>
      <c r="R313" t="s">
        <v>248</v>
      </c>
      <c r="S313" t="s">
        <v>552</v>
      </c>
      <c r="U313" s="6">
        <v>42160.521226851852</v>
      </c>
      <c r="V313" t="s">
        <v>18</v>
      </c>
      <c r="W313" t="s">
        <v>260</v>
      </c>
      <c r="X313" s="6">
        <v>42045.674270833333</v>
      </c>
      <c r="Y313" t="s">
        <v>793</v>
      </c>
      <c r="AB313" t="s">
        <v>201</v>
      </c>
      <c r="AC313" t="s">
        <v>247</v>
      </c>
      <c r="AD313" t="s">
        <v>220</v>
      </c>
      <c r="AE313" t="s">
        <v>219</v>
      </c>
      <c r="AG313" t="s">
        <v>121</v>
      </c>
      <c r="AH313" t="s">
        <v>64</v>
      </c>
      <c r="AI313" t="s">
        <v>121</v>
      </c>
      <c r="AJ313" t="s">
        <v>717</v>
      </c>
      <c r="AK313" t="s">
        <v>121</v>
      </c>
    </row>
    <row r="314" spans="9:37" x14ac:dyDescent="0.3">
      <c r="I314">
        <f ca="1">IF(OR(INDIRECT(A73&amp;ROW())=B93,INDIRECT(A73&amp;ROW())=B94),1,IF(AND(INDIRECT(A73&amp;ROW())=B95,INDIRECT(A96&amp;ROW())=C93),1,IF(AND(INDIRECT(A73&amp;ROW())=B95,INDIRECT(A96&amp;ROW())=C94),1,0)))</f>
        <v>0</v>
      </c>
      <c r="J314">
        <f ca="1">IF(AND(INDIRECT(A73&amp;ROW())=B95,INDIRECT(A96&amp;ROW())=C95),1,IF(AND(INDIRECT(A73&amp;ROW())=B95,INDIRECT(A96&amp;ROW())=C96),1,0))</f>
        <v>0</v>
      </c>
      <c r="K314">
        <f ca="1">DAYS360(INDIRECT(C68&amp;ROW()),TODAY())</f>
        <v>802</v>
      </c>
      <c r="L314">
        <f ca="1">DAYS360(INDIRECT(C69&amp;ROW()),TODAY())</f>
        <v>802</v>
      </c>
      <c r="M314">
        <f ca="1">HYPERLINK(CONCATENATE("https://bugzilla.houston.hp.com:1181/bugzilla/show_bug.cgi?id=",INDIRECT(C70&amp;ROW())),INDIRECT(C70&amp;ROW()))</f>
        <v>56920</v>
      </c>
      <c r="N314">
        <v>56920</v>
      </c>
      <c r="O314" t="s">
        <v>36</v>
      </c>
      <c r="P314" t="s">
        <v>637</v>
      </c>
      <c r="Q314" t="s">
        <v>16</v>
      </c>
      <c r="R314" t="s">
        <v>248</v>
      </c>
      <c r="S314" t="s">
        <v>552</v>
      </c>
      <c r="U314" s="6">
        <v>42045.685949074075</v>
      </c>
      <c r="V314" t="s">
        <v>18</v>
      </c>
      <c r="W314" t="s">
        <v>339</v>
      </c>
      <c r="X314" s="6">
        <v>42045.674618055556</v>
      </c>
      <c r="Y314" t="s">
        <v>342</v>
      </c>
      <c r="AB314" t="s">
        <v>201</v>
      </c>
      <c r="AC314" t="s">
        <v>217</v>
      </c>
      <c r="AD314" t="s">
        <v>222</v>
      </c>
      <c r="AE314" t="s">
        <v>225</v>
      </c>
      <c r="AG314" t="s">
        <v>121</v>
      </c>
      <c r="AH314" t="s">
        <v>327</v>
      </c>
      <c r="AI314" t="s">
        <v>121</v>
      </c>
      <c r="AJ314" t="s">
        <v>717</v>
      </c>
      <c r="AK314" t="s">
        <v>121</v>
      </c>
    </row>
    <row r="315" spans="9:37" x14ac:dyDescent="0.3">
      <c r="I315">
        <f ca="1">IF(OR(INDIRECT(A73&amp;ROW())=B93,INDIRECT(A73&amp;ROW())=B94),1,IF(AND(INDIRECT(A73&amp;ROW())=B95,INDIRECT(A96&amp;ROW())=C93),1,IF(AND(INDIRECT(A73&amp;ROW())=B95,INDIRECT(A96&amp;ROW())=C94),1,0)))</f>
        <v>0</v>
      </c>
      <c r="J315">
        <f ca="1">IF(AND(INDIRECT(A73&amp;ROW())=B95,INDIRECT(A96&amp;ROW())=C95),1,IF(AND(INDIRECT(A73&amp;ROW())=B95,INDIRECT(A96&amp;ROW())=C96),1,0))</f>
        <v>0</v>
      </c>
      <c r="K315">
        <f ca="1">DAYS360(INDIRECT(C68&amp;ROW()),TODAY())</f>
        <v>721</v>
      </c>
      <c r="L315">
        <f ca="1">DAYS360(INDIRECT(C69&amp;ROW()),TODAY())</f>
        <v>802</v>
      </c>
      <c r="M315">
        <f ca="1">HYPERLINK(CONCATENATE("https://bugzilla.houston.hp.com:1181/bugzilla/show_bug.cgi?id=",INDIRECT(C70&amp;ROW())),INDIRECT(C70&amp;ROW()))</f>
        <v>56921</v>
      </c>
      <c r="N315">
        <v>56921</v>
      </c>
      <c r="O315" t="s">
        <v>56</v>
      </c>
      <c r="P315" t="s">
        <v>647</v>
      </c>
      <c r="Q315" t="s">
        <v>16</v>
      </c>
      <c r="R315" t="s">
        <v>248</v>
      </c>
      <c r="S315" t="s">
        <v>552</v>
      </c>
      <c r="U315" s="6">
        <v>42125.443981481483</v>
      </c>
      <c r="V315" t="s">
        <v>18</v>
      </c>
      <c r="W315" t="s">
        <v>211</v>
      </c>
      <c r="X315" s="6">
        <v>42045.675682870373</v>
      </c>
      <c r="Y315" t="s">
        <v>122</v>
      </c>
      <c r="AB315" t="s">
        <v>200</v>
      </c>
      <c r="AC315" t="s">
        <v>121</v>
      </c>
      <c r="AD315" t="s">
        <v>220</v>
      </c>
      <c r="AE315" t="s">
        <v>219</v>
      </c>
      <c r="AG315" t="s">
        <v>121</v>
      </c>
      <c r="AH315" t="s">
        <v>327</v>
      </c>
      <c r="AI315" t="s">
        <v>121</v>
      </c>
      <c r="AJ315" t="s">
        <v>716</v>
      </c>
      <c r="AK315" t="s">
        <v>121</v>
      </c>
    </row>
    <row r="316" spans="9:37" x14ac:dyDescent="0.3">
      <c r="I316">
        <f ca="1">IF(OR(INDIRECT(A73&amp;ROW())=B93,INDIRECT(A73&amp;ROW())=B94),1,IF(AND(INDIRECT(A73&amp;ROW())=B95,INDIRECT(A96&amp;ROW())=C93),1,IF(AND(INDIRECT(A73&amp;ROW())=B95,INDIRECT(A96&amp;ROW())=C94),1,0)))</f>
        <v>0</v>
      </c>
      <c r="J316">
        <f ca="1">IF(AND(INDIRECT(A73&amp;ROW())=B95,INDIRECT(A96&amp;ROW())=C95),1,IF(AND(INDIRECT(A73&amp;ROW())=B95,INDIRECT(A96&amp;ROW())=C96),1,0))</f>
        <v>0</v>
      </c>
      <c r="K316">
        <f ca="1">DAYS360(INDIRECT(C68&amp;ROW()),TODAY())</f>
        <v>802</v>
      </c>
      <c r="L316">
        <f ca="1">DAYS360(INDIRECT(C69&amp;ROW()),TODAY())</f>
        <v>802</v>
      </c>
      <c r="M316">
        <f ca="1">HYPERLINK(CONCATENATE("https://bugzilla.houston.hp.com:1181/bugzilla/show_bug.cgi?id=",INDIRECT(C70&amp;ROW())),INDIRECT(C70&amp;ROW()))</f>
        <v>56922</v>
      </c>
      <c r="N316">
        <v>56922</v>
      </c>
      <c r="O316" t="s">
        <v>56</v>
      </c>
      <c r="P316" t="s">
        <v>632</v>
      </c>
      <c r="Q316" t="s">
        <v>16</v>
      </c>
      <c r="R316" t="s">
        <v>248</v>
      </c>
      <c r="S316" t="s">
        <v>552</v>
      </c>
      <c r="U316" s="6">
        <v>42045.701967592591</v>
      </c>
      <c r="V316" t="s">
        <v>18</v>
      </c>
      <c r="W316" t="s">
        <v>343</v>
      </c>
      <c r="X316" s="6">
        <v>42045.676111111112</v>
      </c>
      <c r="Y316" t="s">
        <v>124</v>
      </c>
      <c r="AB316" t="s">
        <v>201</v>
      </c>
      <c r="AC316" t="s">
        <v>247</v>
      </c>
      <c r="AD316" t="s">
        <v>220</v>
      </c>
      <c r="AE316" t="s">
        <v>219</v>
      </c>
      <c r="AG316" t="s">
        <v>121</v>
      </c>
      <c r="AH316" t="s">
        <v>327</v>
      </c>
      <c r="AI316" t="s">
        <v>121</v>
      </c>
      <c r="AJ316" t="s">
        <v>717</v>
      </c>
      <c r="AK316" t="s">
        <v>121</v>
      </c>
    </row>
    <row r="317" spans="9:37" x14ac:dyDescent="0.3">
      <c r="I317">
        <f ca="1">IF(OR(INDIRECT(A73&amp;ROW())=B93,INDIRECT(A73&amp;ROW())=B94),1,IF(AND(INDIRECT(A73&amp;ROW())=B95,INDIRECT(A96&amp;ROW())=C93),1,IF(AND(INDIRECT(A73&amp;ROW())=B95,INDIRECT(A96&amp;ROW())=C94),1,0)))</f>
        <v>0</v>
      </c>
      <c r="J317">
        <f ca="1">IF(AND(INDIRECT(A73&amp;ROW())=B95,INDIRECT(A96&amp;ROW())=C95),1,IF(AND(INDIRECT(A73&amp;ROW())=B95,INDIRECT(A96&amp;ROW())=C96),1,0))</f>
        <v>0</v>
      </c>
      <c r="K317">
        <f ca="1">DAYS360(INDIRECT(C68&amp;ROW()),TODAY())</f>
        <v>721</v>
      </c>
      <c r="L317">
        <f ca="1">DAYS360(INDIRECT(C69&amp;ROW()),TODAY())</f>
        <v>802</v>
      </c>
      <c r="M317">
        <f ca="1">HYPERLINK(CONCATENATE("https://bugzilla.houston.hp.com:1181/bugzilla/show_bug.cgi?id=",INDIRECT(C70&amp;ROW())),INDIRECT(C70&amp;ROW()))</f>
        <v>56923</v>
      </c>
      <c r="N317">
        <v>56923</v>
      </c>
      <c r="O317" t="s">
        <v>56</v>
      </c>
      <c r="P317" t="s">
        <v>646</v>
      </c>
      <c r="Q317" t="s">
        <v>16</v>
      </c>
      <c r="R317" t="s">
        <v>248</v>
      </c>
      <c r="S317" t="s">
        <v>552</v>
      </c>
      <c r="U317" s="6">
        <v>42125.446423611109</v>
      </c>
      <c r="V317" t="s">
        <v>18</v>
      </c>
      <c r="W317" t="s">
        <v>256</v>
      </c>
      <c r="X317" s="6">
        <v>42045.677118055559</v>
      </c>
      <c r="Y317" t="s">
        <v>122</v>
      </c>
      <c r="AB317" t="s">
        <v>200</v>
      </c>
      <c r="AC317" t="s">
        <v>247</v>
      </c>
      <c r="AD317" t="s">
        <v>220</v>
      </c>
      <c r="AE317" t="s">
        <v>219</v>
      </c>
      <c r="AF317" s="13">
        <v>41904</v>
      </c>
      <c r="AG317" t="s">
        <v>121</v>
      </c>
      <c r="AH317" t="s">
        <v>64</v>
      </c>
      <c r="AI317" t="s">
        <v>121</v>
      </c>
      <c r="AJ317" t="s">
        <v>716</v>
      </c>
      <c r="AK317" t="s">
        <v>121</v>
      </c>
    </row>
    <row r="318" spans="9:37" x14ac:dyDescent="0.3">
      <c r="I318">
        <f ca="1">IF(OR(INDIRECT(A73&amp;ROW())=B93,INDIRECT(A73&amp;ROW())=B94),1,IF(AND(INDIRECT(A73&amp;ROW())=B95,INDIRECT(A96&amp;ROW())=C93),1,IF(AND(INDIRECT(A73&amp;ROW())=B95,INDIRECT(A96&amp;ROW())=C94),1,0)))</f>
        <v>0</v>
      </c>
      <c r="J318">
        <f ca="1">IF(AND(INDIRECT(A73&amp;ROW())=B95,INDIRECT(A96&amp;ROW())=C95),1,IF(AND(INDIRECT(A73&amp;ROW())=B95,INDIRECT(A96&amp;ROW())=C96),1,0))</f>
        <v>0</v>
      </c>
      <c r="K318">
        <f ca="1">DAYS360(INDIRECT(C68&amp;ROW()),TODAY())</f>
        <v>721</v>
      </c>
      <c r="L318">
        <f ca="1">DAYS360(INDIRECT(C69&amp;ROW()),TODAY())</f>
        <v>802</v>
      </c>
      <c r="M318">
        <f ca="1">HYPERLINK(CONCATENATE("https://bugzilla.houston.hp.com:1181/bugzilla/show_bug.cgi?id=",INDIRECT(C70&amp;ROW())),INDIRECT(C70&amp;ROW()))</f>
        <v>56924</v>
      </c>
      <c r="N318">
        <v>56924</v>
      </c>
      <c r="O318" t="s">
        <v>56</v>
      </c>
      <c r="P318" t="s">
        <v>645</v>
      </c>
      <c r="Q318" t="s">
        <v>16</v>
      </c>
      <c r="R318" t="s">
        <v>248</v>
      </c>
      <c r="S318" t="s">
        <v>552</v>
      </c>
      <c r="U318" s="6">
        <v>42125.445127314815</v>
      </c>
      <c r="V318" t="s">
        <v>18</v>
      </c>
      <c r="W318" t="s">
        <v>260</v>
      </c>
      <c r="X318" s="6">
        <v>42045.677986111114</v>
      </c>
      <c r="Y318" t="s">
        <v>122</v>
      </c>
      <c r="AB318" t="s">
        <v>200</v>
      </c>
      <c r="AC318" t="s">
        <v>121</v>
      </c>
      <c r="AD318" t="s">
        <v>220</v>
      </c>
      <c r="AE318" t="s">
        <v>219</v>
      </c>
      <c r="AG318" t="s">
        <v>121</v>
      </c>
      <c r="AH318" t="s">
        <v>327</v>
      </c>
      <c r="AI318" t="s">
        <v>121</v>
      </c>
      <c r="AJ318" t="s">
        <v>716</v>
      </c>
      <c r="AK318" t="s">
        <v>121</v>
      </c>
    </row>
    <row r="319" spans="9:37" x14ac:dyDescent="0.3">
      <c r="I319">
        <f ca="1">IF(OR(INDIRECT(A73&amp;ROW())=B93,INDIRECT(A73&amp;ROW())=B94),1,IF(AND(INDIRECT(A73&amp;ROW())=B95,INDIRECT(A96&amp;ROW())=C93),1,IF(AND(INDIRECT(A73&amp;ROW())=B95,INDIRECT(A96&amp;ROW())=C94),1,0)))</f>
        <v>0</v>
      </c>
      <c r="J319">
        <f ca="1">IF(AND(INDIRECT(A73&amp;ROW())=B95,INDIRECT(A96&amp;ROW())=C95),1,IF(AND(INDIRECT(A73&amp;ROW())=B95,INDIRECT(A96&amp;ROW())=C96),1,0))</f>
        <v>0</v>
      </c>
      <c r="K319">
        <f ca="1">DAYS360(INDIRECT(C68&amp;ROW()),TODAY())</f>
        <v>721</v>
      </c>
      <c r="L319">
        <f ca="1">DAYS360(INDIRECT(C69&amp;ROW()),TODAY())</f>
        <v>802</v>
      </c>
      <c r="M319">
        <f ca="1">HYPERLINK(CONCATENATE("https://bugzilla.houston.hp.com:1181/bugzilla/show_bug.cgi?id=",INDIRECT(C70&amp;ROW())),INDIRECT(C70&amp;ROW()))</f>
        <v>56925</v>
      </c>
      <c r="N319">
        <v>56925</v>
      </c>
      <c r="O319" t="s">
        <v>56</v>
      </c>
      <c r="P319" t="s">
        <v>644</v>
      </c>
      <c r="Q319" t="s">
        <v>16</v>
      </c>
      <c r="R319" t="s">
        <v>248</v>
      </c>
      <c r="S319" t="s">
        <v>552</v>
      </c>
      <c r="U319" s="6">
        <v>42125.443888888891</v>
      </c>
      <c r="V319" t="s">
        <v>18</v>
      </c>
      <c r="W319" t="s">
        <v>209</v>
      </c>
      <c r="X319" s="6">
        <v>42045.678368055553</v>
      </c>
      <c r="Y319" t="s">
        <v>122</v>
      </c>
      <c r="AB319" t="s">
        <v>200</v>
      </c>
      <c r="AC319" t="s">
        <v>121</v>
      </c>
      <c r="AD319" t="s">
        <v>220</v>
      </c>
      <c r="AE319" t="s">
        <v>219</v>
      </c>
      <c r="AG319" t="s">
        <v>121</v>
      </c>
      <c r="AH319" t="s">
        <v>327</v>
      </c>
      <c r="AI319" t="s">
        <v>121</v>
      </c>
      <c r="AJ319" t="s">
        <v>716</v>
      </c>
      <c r="AK319" t="s">
        <v>121</v>
      </c>
    </row>
    <row r="320" spans="9:37" x14ac:dyDescent="0.3">
      <c r="I320">
        <f ca="1">IF(OR(INDIRECT(A73&amp;ROW())=B93,INDIRECT(A73&amp;ROW())=B94),1,IF(AND(INDIRECT(A73&amp;ROW())=B95,INDIRECT(A96&amp;ROW())=C93),1,IF(AND(INDIRECT(A73&amp;ROW())=B95,INDIRECT(A96&amp;ROW())=C94),1,0)))</f>
        <v>0</v>
      </c>
      <c r="J320">
        <f ca="1">IF(AND(INDIRECT(A73&amp;ROW())=B95,INDIRECT(A96&amp;ROW())=C95),1,IF(AND(INDIRECT(A73&amp;ROW())=B95,INDIRECT(A96&amp;ROW())=C96),1,0))</f>
        <v>0</v>
      </c>
      <c r="K320">
        <f ca="1">DAYS360(INDIRECT(C68&amp;ROW()),TODAY())</f>
        <v>721</v>
      </c>
      <c r="L320">
        <f ca="1">DAYS360(INDIRECT(C69&amp;ROW()),TODAY())</f>
        <v>802</v>
      </c>
      <c r="M320">
        <f ca="1">HYPERLINK(CONCATENATE("https://bugzilla.houston.hp.com:1181/bugzilla/show_bug.cgi?id=",INDIRECT(C70&amp;ROW())),INDIRECT(C70&amp;ROW()))</f>
        <v>56926</v>
      </c>
      <c r="N320">
        <v>56926</v>
      </c>
      <c r="O320" t="s">
        <v>56</v>
      </c>
      <c r="P320" t="s">
        <v>643</v>
      </c>
      <c r="Q320" t="s">
        <v>16</v>
      </c>
      <c r="R320" t="s">
        <v>248</v>
      </c>
      <c r="S320" t="s">
        <v>552</v>
      </c>
      <c r="U320" s="6">
        <v>42125.447511574072</v>
      </c>
      <c r="V320" t="s">
        <v>18</v>
      </c>
      <c r="W320" t="s">
        <v>343</v>
      </c>
      <c r="X320" s="6">
        <v>42045.679282407407</v>
      </c>
      <c r="Y320" t="s">
        <v>122</v>
      </c>
      <c r="AB320" t="s">
        <v>200</v>
      </c>
      <c r="AC320" t="s">
        <v>247</v>
      </c>
      <c r="AD320" t="s">
        <v>220</v>
      </c>
      <c r="AE320" t="s">
        <v>219</v>
      </c>
      <c r="AG320" t="s">
        <v>121</v>
      </c>
      <c r="AH320" t="s">
        <v>64</v>
      </c>
      <c r="AI320" t="s">
        <v>121</v>
      </c>
      <c r="AJ320" t="s">
        <v>716</v>
      </c>
      <c r="AK320" t="s">
        <v>121</v>
      </c>
    </row>
    <row r="321" spans="9:37" x14ac:dyDescent="0.3">
      <c r="I321">
        <f ca="1">IF(OR(INDIRECT(A73&amp;ROW())=B93,INDIRECT(A73&amp;ROW())=B94),1,IF(AND(INDIRECT(A73&amp;ROW())=B95,INDIRECT(A96&amp;ROW())=C93),1,IF(AND(INDIRECT(A73&amp;ROW())=B95,INDIRECT(A96&amp;ROW())=C94),1,0)))</f>
        <v>0</v>
      </c>
      <c r="J321">
        <f ca="1">IF(AND(INDIRECT(A73&amp;ROW())=B95,INDIRECT(A96&amp;ROW())=C95),1,IF(AND(INDIRECT(A73&amp;ROW())=B95,INDIRECT(A96&amp;ROW())=C96),1,0))</f>
        <v>0</v>
      </c>
      <c r="K321">
        <f ca="1">DAYS360(INDIRECT(C68&amp;ROW()),TODAY())</f>
        <v>802</v>
      </c>
      <c r="L321">
        <f ca="1">DAYS360(INDIRECT(C69&amp;ROW()),TODAY())</f>
        <v>802</v>
      </c>
      <c r="M321">
        <f ca="1">HYPERLINK(CONCATENATE("https://bugzilla.houston.hp.com:1181/bugzilla/show_bug.cgi?id=",INDIRECT(C70&amp;ROW())),INDIRECT(C70&amp;ROW()))</f>
        <v>56927</v>
      </c>
      <c r="N321">
        <v>56927</v>
      </c>
      <c r="O321" t="s">
        <v>56</v>
      </c>
      <c r="P321" t="s">
        <v>642</v>
      </c>
      <c r="Q321" t="s">
        <v>16</v>
      </c>
      <c r="R321" t="s">
        <v>248</v>
      </c>
      <c r="S321" t="s">
        <v>552</v>
      </c>
      <c r="U321" s="6">
        <v>42045.680243055554</v>
      </c>
      <c r="V321" t="s">
        <v>18</v>
      </c>
      <c r="W321" t="s">
        <v>288</v>
      </c>
      <c r="X321" s="6">
        <v>42045.679618055554</v>
      </c>
      <c r="Y321" t="s">
        <v>787</v>
      </c>
      <c r="AB321" t="s">
        <v>201</v>
      </c>
      <c r="AC321" t="s">
        <v>247</v>
      </c>
      <c r="AD321" t="s">
        <v>220</v>
      </c>
      <c r="AE321" t="s">
        <v>219</v>
      </c>
      <c r="AG321" t="s">
        <v>121</v>
      </c>
      <c r="AH321" t="s">
        <v>327</v>
      </c>
      <c r="AI321" t="s">
        <v>121</v>
      </c>
      <c r="AJ321" t="s">
        <v>717</v>
      </c>
      <c r="AK321" t="s">
        <v>121</v>
      </c>
    </row>
    <row r="322" spans="9:37" x14ac:dyDescent="0.3">
      <c r="I322">
        <f ca="1">IF(OR(INDIRECT(A73&amp;ROW())=B93,INDIRECT(A73&amp;ROW())=B94),1,IF(AND(INDIRECT(A73&amp;ROW())=B95,INDIRECT(A96&amp;ROW())=C93),1,IF(AND(INDIRECT(A73&amp;ROW())=B95,INDIRECT(A96&amp;ROW())=C94),1,0)))</f>
        <v>0</v>
      </c>
      <c r="J322">
        <f ca="1">IF(AND(INDIRECT(A73&amp;ROW())=B95,INDIRECT(A96&amp;ROW())=C95),1,IF(AND(INDIRECT(A73&amp;ROW())=B95,INDIRECT(A96&amp;ROW())=C96),1,0))</f>
        <v>0</v>
      </c>
      <c r="K322">
        <f ca="1">DAYS360(INDIRECT(C68&amp;ROW()),TODAY())</f>
        <v>721</v>
      </c>
      <c r="L322">
        <f ca="1">DAYS360(INDIRECT(C69&amp;ROW()),TODAY())</f>
        <v>802</v>
      </c>
      <c r="M322">
        <f ca="1">HYPERLINK(CONCATENATE("https://bugzilla.houston.hp.com:1181/bugzilla/show_bug.cgi?id=",INDIRECT(C70&amp;ROW())),INDIRECT(C70&amp;ROW()))</f>
        <v>56928</v>
      </c>
      <c r="N322">
        <v>56928</v>
      </c>
      <c r="O322" t="s">
        <v>56</v>
      </c>
      <c r="P322" t="s">
        <v>641</v>
      </c>
      <c r="Q322" t="s">
        <v>16</v>
      </c>
      <c r="R322" t="s">
        <v>248</v>
      </c>
      <c r="S322" t="s">
        <v>552</v>
      </c>
      <c r="U322" s="6">
        <v>42125.442418981482</v>
      </c>
      <c r="V322" t="s">
        <v>18</v>
      </c>
      <c r="W322" t="s">
        <v>89</v>
      </c>
      <c r="X322" s="6">
        <v>42045.680694444447</v>
      </c>
      <c r="Y322" t="s">
        <v>122</v>
      </c>
      <c r="AB322" t="s">
        <v>201</v>
      </c>
      <c r="AC322" t="s">
        <v>121</v>
      </c>
      <c r="AD322" t="s">
        <v>220</v>
      </c>
      <c r="AE322" t="s">
        <v>219</v>
      </c>
      <c r="AG322" t="s">
        <v>121</v>
      </c>
      <c r="AH322" t="s">
        <v>327</v>
      </c>
      <c r="AI322" t="s">
        <v>121</v>
      </c>
      <c r="AJ322" t="s">
        <v>717</v>
      </c>
      <c r="AK322" t="s">
        <v>121</v>
      </c>
    </row>
    <row r="323" spans="9:37" x14ac:dyDescent="0.3">
      <c r="I323">
        <f ca="1">IF(OR(INDIRECT(A73&amp;ROW())=B93,INDIRECT(A73&amp;ROW())=B94),1,IF(AND(INDIRECT(A73&amp;ROW())=B95,INDIRECT(A96&amp;ROW())=C93),1,IF(AND(INDIRECT(A73&amp;ROW())=B95,INDIRECT(A96&amp;ROW())=C94),1,0)))</f>
        <v>0</v>
      </c>
      <c r="J323">
        <f ca="1">IF(AND(INDIRECT(A73&amp;ROW())=B95,INDIRECT(A96&amp;ROW())=C95),1,IF(AND(INDIRECT(A73&amp;ROW())=B95,INDIRECT(A96&amp;ROW())=C96),1,0))</f>
        <v>0</v>
      </c>
      <c r="K323">
        <f ca="1">DAYS360(INDIRECT(C68&amp;ROW()),TODAY())</f>
        <v>721</v>
      </c>
      <c r="L323">
        <f ca="1">DAYS360(INDIRECT(C69&amp;ROW()),TODAY())</f>
        <v>802</v>
      </c>
      <c r="M323">
        <f ca="1">HYPERLINK(CONCATENATE("https://bugzilla.houston.hp.com:1181/bugzilla/show_bug.cgi?id=",INDIRECT(C70&amp;ROW())),INDIRECT(C70&amp;ROW()))</f>
        <v>56929</v>
      </c>
      <c r="N323">
        <v>56929</v>
      </c>
      <c r="O323" t="s">
        <v>36</v>
      </c>
      <c r="P323" t="s">
        <v>640</v>
      </c>
      <c r="Q323" t="s">
        <v>16</v>
      </c>
      <c r="R323" t="s">
        <v>248</v>
      </c>
      <c r="S323" t="s">
        <v>552</v>
      </c>
      <c r="U323" s="6">
        <v>42125.442106481481</v>
      </c>
      <c r="V323" t="s">
        <v>18</v>
      </c>
      <c r="W323" t="s">
        <v>206</v>
      </c>
      <c r="X323" s="6">
        <v>42045.681006944447</v>
      </c>
      <c r="Y323" t="s">
        <v>122</v>
      </c>
      <c r="AB323" t="s">
        <v>199</v>
      </c>
      <c r="AC323" t="s">
        <v>121</v>
      </c>
      <c r="AD323" t="s">
        <v>222</v>
      </c>
      <c r="AE323" t="s">
        <v>233</v>
      </c>
      <c r="AG323" t="s">
        <v>121</v>
      </c>
      <c r="AH323" t="s">
        <v>327</v>
      </c>
      <c r="AI323" t="s">
        <v>121</v>
      </c>
      <c r="AJ323" t="s">
        <v>716</v>
      </c>
      <c r="AK323" t="s">
        <v>121</v>
      </c>
    </row>
    <row r="324" spans="9:37" x14ac:dyDescent="0.3">
      <c r="I324">
        <f ca="1">IF(OR(INDIRECT(A73&amp;ROW())=B93,INDIRECT(A73&amp;ROW())=B94),1,IF(AND(INDIRECT(A73&amp;ROW())=B95,INDIRECT(A96&amp;ROW())=C93),1,IF(AND(INDIRECT(A73&amp;ROW())=B95,INDIRECT(A96&amp;ROW())=C94),1,0)))</f>
        <v>0</v>
      </c>
      <c r="J324">
        <f ca="1">IF(AND(INDIRECT(A73&amp;ROW())=B95,INDIRECT(A96&amp;ROW())=C95),1,IF(AND(INDIRECT(A73&amp;ROW())=B95,INDIRECT(A96&amp;ROW())=C96),1,0))</f>
        <v>0</v>
      </c>
      <c r="K324">
        <f ca="1">DAYS360(INDIRECT(C68&amp;ROW()),TODAY())</f>
        <v>802</v>
      </c>
      <c r="L324">
        <f ca="1">DAYS360(INDIRECT(C69&amp;ROW()),TODAY())</f>
        <v>802</v>
      </c>
      <c r="M324">
        <f ca="1">HYPERLINK(CONCATENATE("https://bugzilla.houston.hp.com:1181/bugzilla/show_bug.cgi?id=",INDIRECT(C70&amp;ROW())),INDIRECT(C70&amp;ROW()))</f>
        <v>56930</v>
      </c>
      <c r="N324">
        <v>56930</v>
      </c>
      <c r="O324" t="s">
        <v>56</v>
      </c>
      <c r="P324" t="s">
        <v>639</v>
      </c>
      <c r="Q324" t="s">
        <v>16</v>
      </c>
      <c r="R324" t="s">
        <v>248</v>
      </c>
      <c r="S324" t="s">
        <v>552</v>
      </c>
      <c r="U324" s="6">
        <v>42045.682615740741</v>
      </c>
      <c r="V324" t="s">
        <v>18</v>
      </c>
      <c r="W324" t="s">
        <v>205</v>
      </c>
      <c r="X324" s="6">
        <v>42045.68204861111</v>
      </c>
      <c r="Y324" t="s">
        <v>245</v>
      </c>
      <c r="AB324" t="s">
        <v>201</v>
      </c>
      <c r="AC324" t="s">
        <v>121</v>
      </c>
      <c r="AD324" t="s">
        <v>220</v>
      </c>
      <c r="AE324" t="s">
        <v>219</v>
      </c>
      <c r="AG324" t="s">
        <v>121</v>
      </c>
      <c r="AH324" t="s">
        <v>327</v>
      </c>
      <c r="AI324" t="s">
        <v>121</v>
      </c>
      <c r="AJ324" t="s">
        <v>717</v>
      </c>
      <c r="AK324" t="s">
        <v>121</v>
      </c>
    </row>
    <row r="325" spans="9:37" x14ac:dyDescent="0.3">
      <c r="I325">
        <f ca="1">IF(OR(INDIRECT(A73&amp;ROW())=B93,INDIRECT(A73&amp;ROW())=B94),1,IF(AND(INDIRECT(A73&amp;ROW())=B95,INDIRECT(A96&amp;ROW())=C93),1,IF(AND(INDIRECT(A73&amp;ROW())=B95,INDIRECT(A96&amp;ROW())=C94),1,0)))</f>
        <v>0</v>
      </c>
      <c r="J325">
        <f ca="1">IF(AND(INDIRECT(A73&amp;ROW())=B95,INDIRECT(A96&amp;ROW())=C95),1,IF(AND(INDIRECT(A73&amp;ROW())=B95,INDIRECT(A96&amp;ROW())=C96),1,0))</f>
        <v>0</v>
      </c>
      <c r="K325">
        <f ca="1">DAYS360(INDIRECT(C68&amp;ROW()),TODAY())</f>
        <v>731</v>
      </c>
      <c r="L325">
        <f ca="1">DAYS360(INDIRECT(C69&amp;ROW()),TODAY())</f>
        <v>802</v>
      </c>
      <c r="M325">
        <f ca="1">HYPERLINK(CONCATENATE("https://bugzilla.houston.hp.com:1181/bugzilla/show_bug.cgi?id=",INDIRECT(C70&amp;ROW())),INDIRECT(C70&amp;ROW()))</f>
        <v>56931</v>
      </c>
      <c r="N325">
        <v>56931</v>
      </c>
      <c r="O325" t="s">
        <v>56</v>
      </c>
      <c r="P325" t="s">
        <v>974</v>
      </c>
      <c r="Q325" t="s">
        <v>16</v>
      </c>
      <c r="R325" t="s">
        <v>783</v>
      </c>
      <c r="S325" t="s">
        <v>552</v>
      </c>
      <c r="U325" s="6">
        <v>42115.828506944446</v>
      </c>
      <c r="V325" t="s">
        <v>18</v>
      </c>
      <c r="W325" t="s">
        <v>340</v>
      </c>
      <c r="X325" s="6">
        <v>42045.684733796297</v>
      </c>
      <c r="Y325" t="s">
        <v>122</v>
      </c>
      <c r="AB325" t="s">
        <v>200</v>
      </c>
      <c r="AC325" t="s">
        <v>247</v>
      </c>
      <c r="AD325" t="s">
        <v>220</v>
      </c>
      <c r="AE325" t="s">
        <v>219</v>
      </c>
      <c r="AG325" t="s">
        <v>121</v>
      </c>
      <c r="AH325" t="s">
        <v>64</v>
      </c>
      <c r="AI325" t="s">
        <v>121</v>
      </c>
      <c r="AJ325" t="s">
        <v>716</v>
      </c>
      <c r="AK325" t="s">
        <v>121</v>
      </c>
    </row>
    <row r="326" spans="9:37" x14ac:dyDescent="0.3">
      <c r="I326">
        <f ca="1">IF(OR(INDIRECT(A73&amp;ROW())=B93,INDIRECT(A73&amp;ROW())=B94),1,IF(AND(INDIRECT(A73&amp;ROW())=B95,INDIRECT(A96&amp;ROW())=C93),1,IF(AND(INDIRECT(A73&amp;ROW())=B95,INDIRECT(A96&amp;ROW())=C94),1,0)))</f>
        <v>0</v>
      </c>
      <c r="J326">
        <f ca="1">IF(AND(INDIRECT(A73&amp;ROW())=B95,INDIRECT(A96&amp;ROW())=C95),1,IF(AND(INDIRECT(A73&amp;ROW())=B95,INDIRECT(A96&amp;ROW())=C96),1,0))</f>
        <v>0</v>
      </c>
      <c r="K326">
        <f ca="1">DAYS360(INDIRECT(C68&amp;ROW()),TODAY())</f>
        <v>802</v>
      </c>
      <c r="L326">
        <f ca="1">DAYS360(INDIRECT(C69&amp;ROW()),TODAY())</f>
        <v>802</v>
      </c>
      <c r="M326">
        <f ca="1">HYPERLINK(CONCATENATE("https://bugzilla.houston.hp.com:1181/bugzilla/show_bug.cgi?id=",INDIRECT(C70&amp;ROW())),INDIRECT(C70&amp;ROW()))</f>
        <v>56932</v>
      </c>
      <c r="N326">
        <v>56932</v>
      </c>
      <c r="O326" t="s">
        <v>36</v>
      </c>
      <c r="P326" t="s">
        <v>637</v>
      </c>
      <c r="Q326" t="s">
        <v>16</v>
      </c>
      <c r="R326" t="s">
        <v>248</v>
      </c>
      <c r="S326" t="s">
        <v>552</v>
      </c>
      <c r="U326" s="6">
        <v>42045.685949074075</v>
      </c>
      <c r="V326" t="s">
        <v>18</v>
      </c>
      <c r="W326" t="s">
        <v>339</v>
      </c>
      <c r="X326" s="6">
        <v>42045.685069444444</v>
      </c>
      <c r="Y326" t="s">
        <v>342</v>
      </c>
      <c r="AB326" t="s">
        <v>201</v>
      </c>
      <c r="AC326" t="s">
        <v>217</v>
      </c>
      <c r="AD326" t="s">
        <v>222</v>
      </c>
      <c r="AE326" t="s">
        <v>225</v>
      </c>
      <c r="AG326" t="s">
        <v>121</v>
      </c>
      <c r="AH326" t="s">
        <v>327</v>
      </c>
      <c r="AI326" t="s">
        <v>121</v>
      </c>
      <c r="AJ326" t="s">
        <v>717</v>
      </c>
      <c r="AK326" t="s">
        <v>121</v>
      </c>
    </row>
    <row r="327" spans="9:37" x14ac:dyDescent="0.3">
      <c r="I327">
        <f ca="1">IF(OR(INDIRECT(A73&amp;ROW())=B93,INDIRECT(A73&amp;ROW())=B94),1,IF(AND(INDIRECT(A73&amp;ROW())=B95,INDIRECT(A96&amp;ROW())=C93),1,IF(AND(INDIRECT(A73&amp;ROW())=B95,INDIRECT(A96&amp;ROW())=C94),1,0)))</f>
        <v>0</v>
      </c>
      <c r="J327">
        <f ca="1">IF(AND(INDIRECT(A73&amp;ROW())=B95,INDIRECT(A96&amp;ROW())=C95),1,IF(AND(INDIRECT(A73&amp;ROW())=B95,INDIRECT(A96&amp;ROW())=C96),1,0))</f>
        <v>0</v>
      </c>
      <c r="K327">
        <f ca="1">DAYS360(INDIRECT(C68&amp;ROW()),TODAY())</f>
        <v>721</v>
      </c>
      <c r="L327">
        <f ca="1">DAYS360(INDIRECT(C69&amp;ROW()),TODAY())</f>
        <v>802</v>
      </c>
      <c r="M327">
        <f ca="1">HYPERLINK(CONCATENATE("https://bugzilla.houston.hp.com:1181/bugzilla/show_bug.cgi?id=",INDIRECT(C70&amp;ROW())),INDIRECT(C70&amp;ROW()))</f>
        <v>56936</v>
      </c>
      <c r="N327">
        <v>56936</v>
      </c>
      <c r="O327" t="s">
        <v>56</v>
      </c>
      <c r="P327" t="s">
        <v>634</v>
      </c>
      <c r="Q327" t="s">
        <v>16</v>
      </c>
      <c r="R327" t="s">
        <v>248</v>
      </c>
      <c r="S327" t="s">
        <v>552</v>
      </c>
      <c r="U327" s="6">
        <v>42125.443796296298</v>
      </c>
      <c r="V327" t="s">
        <v>18</v>
      </c>
      <c r="W327" t="s">
        <v>211</v>
      </c>
      <c r="X327" s="6">
        <v>42045.687418981484</v>
      </c>
      <c r="Y327" t="s">
        <v>122</v>
      </c>
      <c r="AB327" t="s">
        <v>201</v>
      </c>
      <c r="AC327" t="s">
        <v>121</v>
      </c>
      <c r="AD327" t="s">
        <v>220</v>
      </c>
      <c r="AE327" t="s">
        <v>219</v>
      </c>
      <c r="AG327" t="s">
        <v>121</v>
      </c>
      <c r="AH327" t="s">
        <v>64</v>
      </c>
      <c r="AI327" t="s">
        <v>121</v>
      </c>
      <c r="AJ327" t="s">
        <v>717</v>
      </c>
      <c r="AK327" t="s">
        <v>121</v>
      </c>
    </row>
    <row r="328" spans="9:37" x14ac:dyDescent="0.3">
      <c r="I328">
        <f ca="1">IF(OR(INDIRECT(A73&amp;ROW())=B93,INDIRECT(A73&amp;ROW())=B94),1,IF(AND(INDIRECT(A73&amp;ROW())=B95,INDIRECT(A96&amp;ROW())=C93),1,IF(AND(INDIRECT(A73&amp;ROW())=B95,INDIRECT(A96&amp;ROW())=C94),1,0)))</f>
        <v>0</v>
      </c>
      <c r="J328">
        <f ca="1">IF(AND(INDIRECT(A73&amp;ROW())=B95,INDIRECT(A96&amp;ROW())=C95),1,IF(AND(INDIRECT(A73&amp;ROW())=B95,INDIRECT(A96&amp;ROW())=C96),1,0))</f>
        <v>0</v>
      </c>
      <c r="K328">
        <f ca="1">DAYS360(INDIRECT(C68&amp;ROW()),TODAY())</f>
        <v>721</v>
      </c>
      <c r="L328">
        <f ca="1">DAYS360(INDIRECT(C69&amp;ROW()),TODAY())</f>
        <v>802</v>
      </c>
      <c r="M328">
        <f ca="1">HYPERLINK(CONCATENATE("https://bugzilla.houston.hp.com:1181/bugzilla/show_bug.cgi?id=",INDIRECT(C70&amp;ROW())),INDIRECT(C70&amp;ROW()))</f>
        <v>56937</v>
      </c>
      <c r="N328">
        <v>56937</v>
      </c>
      <c r="O328" t="s">
        <v>36</v>
      </c>
      <c r="P328" t="s">
        <v>633</v>
      </c>
      <c r="Q328" t="s">
        <v>16</v>
      </c>
      <c r="R328" t="s">
        <v>248</v>
      </c>
      <c r="S328" t="s">
        <v>552</v>
      </c>
      <c r="U328" s="6">
        <v>42125.447685185187</v>
      </c>
      <c r="V328" t="s">
        <v>18</v>
      </c>
      <c r="W328" t="s">
        <v>17</v>
      </c>
      <c r="X328" s="6">
        <v>42045.688657407409</v>
      </c>
      <c r="Y328" t="s">
        <v>122</v>
      </c>
      <c r="AB328" t="s">
        <v>201</v>
      </c>
      <c r="AC328" t="s">
        <v>247</v>
      </c>
      <c r="AD328" t="s">
        <v>220</v>
      </c>
      <c r="AE328" t="s">
        <v>223</v>
      </c>
      <c r="AG328" t="s">
        <v>121</v>
      </c>
      <c r="AH328" t="s">
        <v>64</v>
      </c>
      <c r="AI328" t="s">
        <v>121</v>
      </c>
      <c r="AJ328" t="s">
        <v>717</v>
      </c>
      <c r="AK328" t="s">
        <v>121</v>
      </c>
    </row>
    <row r="329" spans="9:37" x14ac:dyDescent="0.3">
      <c r="I329">
        <f ca="1">IF(OR(INDIRECT(A73&amp;ROW())=B93,INDIRECT(A73&amp;ROW())=B94),1,IF(AND(INDIRECT(A73&amp;ROW())=B95,INDIRECT(A96&amp;ROW())=C93),1,IF(AND(INDIRECT(A73&amp;ROW())=B95,INDIRECT(A96&amp;ROW())=C94),1,0)))</f>
        <v>0</v>
      </c>
      <c r="J329">
        <f ca="1">IF(AND(INDIRECT(A73&amp;ROW())=B95,INDIRECT(A96&amp;ROW())=C95),1,IF(AND(INDIRECT(A73&amp;ROW())=B95,INDIRECT(A96&amp;ROW())=C96),1,0))</f>
        <v>0</v>
      </c>
      <c r="K329">
        <f ca="1">DAYS360(INDIRECT(C68&amp;ROW()),TODAY())</f>
        <v>802</v>
      </c>
      <c r="L329">
        <f ca="1">DAYS360(INDIRECT(C69&amp;ROW()),TODAY())</f>
        <v>802</v>
      </c>
      <c r="M329">
        <f ca="1">HYPERLINK(CONCATENATE("https://bugzilla.houston.hp.com:1181/bugzilla/show_bug.cgi?id=",INDIRECT(C70&amp;ROW())),INDIRECT(C70&amp;ROW()))</f>
        <v>56939</v>
      </c>
      <c r="N329">
        <v>56939</v>
      </c>
      <c r="O329" t="s">
        <v>56</v>
      </c>
      <c r="P329" t="s">
        <v>632</v>
      </c>
      <c r="Q329" t="s">
        <v>16</v>
      </c>
      <c r="R329" t="s">
        <v>248</v>
      </c>
      <c r="S329" t="s">
        <v>552</v>
      </c>
      <c r="U329" s="6">
        <v>42045.701967592591</v>
      </c>
      <c r="V329" t="s">
        <v>18</v>
      </c>
      <c r="W329" t="s">
        <v>343</v>
      </c>
      <c r="X329" s="6">
        <v>42045.701157407406</v>
      </c>
      <c r="Y329" t="s">
        <v>124</v>
      </c>
      <c r="AB329" t="s">
        <v>201</v>
      </c>
      <c r="AC329" t="s">
        <v>247</v>
      </c>
      <c r="AD329" t="s">
        <v>220</v>
      </c>
      <c r="AE329" t="s">
        <v>219</v>
      </c>
      <c r="AG329" t="s">
        <v>121</v>
      </c>
      <c r="AH329" t="s">
        <v>327</v>
      </c>
      <c r="AI329" t="s">
        <v>121</v>
      </c>
      <c r="AJ329" t="s">
        <v>717</v>
      </c>
      <c r="AK329" t="s">
        <v>121</v>
      </c>
    </row>
    <row r="330" spans="9:37" x14ac:dyDescent="0.3">
      <c r="I330">
        <f ca="1">IF(OR(INDIRECT(A73&amp;ROW())=B93,INDIRECT(A73&amp;ROW())=B94),1,IF(AND(INDIRECT(A73&amp;ROW())=B95,INDIRECT(A96&amp;ROW())=C93),1,IF(AND(INDIRECT(A73&amp;ROW())=B95,INDIRECT(A96&amp;ROW())=C94),1,0)))</f>
        <v>0</v>
      </c>
      <c r="J330">
        <f ca="1">IF(AND(INDIRECT(A73&amp;ROW())=B95,INDIRECT(A96&amp;ROW())=C95),1,IF(AND(INDIRECT(A73&amp;ROW())=B95,INDIRECT(A96&amp;ROW())=C96),1,0))</f>
        <v>0</v>
      </c>
      <c r="K330">
        <f ca="1">DAYS360(INDIRECT(C68&amp;ROW()),TODAY())</f>
        <v>802</v>
      </c>
      <c r="L330">
        <f ca="1">DAYS360(INDIRECT(C69&amp;ROW()),TODAY())</f>
        <v>802</v>
      </c>
      <c r="M330">
        <f ca="1">HYPERLINK(CONCATENATE("https://bugzilla.houston.hp.com:1181/bugzilla/show_bug.cgi?id=",INDIRECT(C70&amp;ROW())),INDIRECT(C70&amp;ROW()))</f>
        <v>56940</v>
      </c>
      <c r="N330">
        <v>56940</v>
      </c>
      <c r="O330" t="s">
        <v>36</v>
      </c>
      <c r="P330" t="s">
        <v>631</v>
      </c>
      <c r="Q330" t="s">
        <v>16</v>
      </c>
      <c r="R330" t="s">
        <v>248</v>
      </c>
      <c r="S330" t="s">
        <v>552</v>
      </c>
      <c r="U330" s="6">
        <v>42045.702314814815</v>
      </c>
      <c r="V330" t="s">
        <v>18</v>
      </c>
      <c r="W330" t="s">
        <v>339</v>
      </c>
      <c r="X330" s="6">
        <v>42045.701620370368</v>
      </c>
      <c r="Y330" t="s">
        <v>118</v>
      </c>
      <c r="AB330" t="s">
        <v>201</v>
      </c>
      <c r="AC330" t="s">
        <v>121</v>
      </c>
      <c r="AD330" t="s">
        <v>222</v>
      </c>
      <c r="AE330" t="s">
        <v>240</v>
      </c>
      <c r="AG330" t="s">
        <v>121</v>
      </c>
      <c r="AH330" t="s">
        <v>327</v>
      </c>
      <c r="AI330" t="s">
        <v>121</v>
      </c>
      <c r="AJ330" t="s">
        <v>717</v>
      </c>
      <c r="AK330" t="s">
        <v>121</v>
      </c>
    </row>
    <row r="331" spans="9:37" x14ac:dyDescent="0.3">
      <c r="I331">
        <f ca="1">IF(OR(INDIRECT(A73&amp;ROW())=B93,INDIRECT(A73&amp;ROW())=B94),1,IF(AND(INDIRECT(A73&amp;ROW())=B95,INDIRECT(A96&amp;ROW())=C93),1,IF(AND(INDIRECT(A73&amp;ROW())=B95,INDIRECT(A96&amp;ROW())=C94),1,0)))</f>
        <v>0</v>
      </c>
      <c r="J331">
        <f ca="1">IF(AND(INDIRECT(A73&amp;ROW())=B95,INDIRECT(A96&amp;ROW())=C95),1,IF(AND(INDIRECT(A73&amp;ROW())=B95,INDIRECT(A96&amp;ROW())=C96),1,0))</f>
        <v>0</v>
      </c>
      <c r="K331">
        <f ca="1">DAYS360(INDIRECT(C68&amp;ROW()),TODAY())</f>
        <v>721</v>
      </c>
      <c r="L331">
        <f ca="1">DAYS360(INDIRECT(C69&amp;ROW()),TODAY())</f>
        <v>802</v>
      </c>
      <c r="M331">
        <f ca="1">HYPERLINK(CONCATENATE("https://bugzilla.houston.hp.com:1181/bugzilla/show_bug.cgi?id=",INDIRECT(C70&amp;ROW())),INDIRECT(C70&amp;ROW()))</f>
        <v>56942</v>
      </c>
      <c r="N331">
        <v>56942</v>
      </c>
      <c r="O331" t="s">
        <v>56</v>
      </c>
      <c r="P331" t="s">
        <v>630</v>
      </c>
      <c r="Q331" t="s">
        <v>16</v>
      </c>
      <c r="R331" t="s">
        <v>248</v>
      </c>
      <c r="S331" t="s">
        <v>552</v>
      </c>
      <c r="U331" s="6">
        <v>42125.445092592592</v>
      </c>
      <c r="V331" t="s">
        <v>18</v>
      </c>
      <c r="W331" t="s">
        <v>260</v>
      </c>
      <c r="X331" s="6">
        <v>42045.702800925923</v>
      </c>
      <c r="Y331" t="s">
        <v>122</v>
      </c>
      <c r="AB331" t="s">
        <v>201</v>
      </c>
      <c r="AC331" t="s">
        <v>121</v>
      </c>
      <c r="AD331" t="s">
        <v>220</v>
      </c>
      <c r="AE331" t="s">
        <v>219</v>
      </c>
      <c r="AG331" t="s">
        <v>121</v>
      </c>
      <c r="AH331" t="s">
        <v>327</v>
      </c>
      <c r="AI331" t="s">
        <v>121</v>
      </c>
      <c r="AJ331" t="s">
        <v>717</v>
      </c>
      <c r="AK331" t="s">
        <v>121</v>
      </c>
    </row>
    <row r="332" spans="9:37" x14ac:dyDescent="0.3">
      <c r="I332">
        <f ca="1">IF(OR(INDIRECT(A73&amp;ROW())=B93,INDIRECT(A73&amp;ROW())=B94),1,IF(AND(INDIRECT(A73&amp;ROW())=B95,INDIRECT(A96&amp;ROW())=C93),1,IF(AND(INDIRECT(A73&amp;ROW())=B95,INDIRECT(A96&amp;ROW())=C94),1,0)))</f>
        <v>0</v>
      </c>
      <c r="J332">
        <f ca="1">IF(AND(INDIRECT(A73&amp;ROW())=B95,INDIRECT(A96&amp;ROW())=C95),1,IF(AND(INDIRECT(A73&amp;ROW())=B95,INDIRECT(A96&amp;ROW())=C96),1,0))</f>
        <v>0</v>
      </c>
      <c r="K332">
        <f ca="1">DAYS360(INDIRECT(C68&amp;ROW()),TODAY())</f>
        <v>721</v>
      </c>
      <c r="L332">
        <f ca="1">DAYS360(INDIRECT(C69&amp;ROW()),TODAY())</f>
        <v>802</v>
      </c>
      <c r="M332">
        <f ca="1">HYPERLINK(CONCATENATE("https://bugzilla.houston.hp.com:1181/bugzilla/show_bug.cgi?id=",INDIRECT(C70&amp;ROW())),INDIRECT(C70&amp;ROW()))</f>
        <v>56943</v>
      </c>
      <c r="N332">
        <v>56943</v>
      </c>
      <c r="O332" t="s">
        <v>56</v>
      </c>
      <c r="P332" t="s">
        <v>629</v>
      </c>
      <c r="Q332" t="s">
        <v>16</v>
      </c>
      <c r="R332" t="s">
        <v>248</v>
      </c>
      <c r="S332" t="s">
        <v>552</v>
      </c>
      <c r="U332" s="6">
        <v>42125.446377314816</v>
      </c>
      <c r="V332" t="s">
        <v>18</v>
      </c>
      <c r="W332" t="s">
        <v>288</v>
      </c>
      <c r="X332" s="6">
        <v>42045.703252314815</v>
      </c>
      <c r="Y332" t="s">
        <v>122</v>
      </c>
      <c r="AB332" t="s">
        <v>201</v>
      </c>
      <c r="AC332" t="s">
        <v>247</v>
      </c>
      <c r="AD332" t="s">
        <v>220</v>
      </c>
      <c r="AE332" t="s">
        <v>219</v>
      </c>
      <c r="AG332" t="s">
        <v>121</v>
      </c>
      <c r="AH332" t="s">
        <v>64</v>
      </c>
      <c r="AI332" t="s">
        <v>121</v>
      </c>
      <c r="AJ332" t="s">
        <v>717</v>
      </c>
      <c r="AK332" t="s">
        <v>121</v>
      </c>
    </row>
    <row r="333" spans="9:37" x14ac:dyDescent="0.3">
      <c r="I333">
        <f ca="1">IF(OR(INDIRECT(A73&amp;ROW())=B93,INDIRECT(A73&amp;ROW())=B94),1,IF(AND(INDIRECT(A73&amp;ROW())=B95,INDIRECT(A96&amp;ROW())=C93),1,IF(AND(INDIRECT(A73&amp;ROW())=B95,INDIRECT(A96&amp;ROW())=C94),1,0)))</f>
        <v>0</v>
      </c>
      <c r="J333">
        <f ca="1">IF(AND(INDIRECT(A73&amp;ROW())=B95,INDIRECT(A96&amp;ROW())=C95),1,IF(AND(INDIRECT(A73&amp;ROW())=B95,INDIRECT(A96&amp;ROW())=C96),1,0))</f>
        <v>0</v>
      </c>
      <c r="K333">
        <f ca="1">DAYS360(INDIRECT(C68&amp;ROW()),TODAY())</f>
        <v>721</v>
      </c>
      <c r="L333">
        <f ca="1">DAYS360(INDIRECT(C69&amp;ROW()),TODAY())</f>
        <v>802</v>
      </c>
      <c r="M333">
        <f ca="1">HYPERLINK(CONCATENATE("https://bugzilla.houston.hp.com:1181/bugzilla/show_bug.cgi?id=",INDIRECT(C70&amp;ROW())),INDIRECT(C70&amp;ROW()))</f>
        <v>56946</v>
      </c>
      <c r="N333">
        <v>56946</v>
      </c>
      <c r="O333" t="s">
        <v>56</v>
      </c>
      <c r="P333" t="s">
        <v>628</v>
      </c>
      <c r="Q333" t="s">
        <v>16</v>
      </c>
      <c r="R333" t="s">
        <v>248</v>
      </c>
      <c r="S333" t="s">
        <v>552</v>
      </c>
      <c r="U333" s="6">
        <v>42125.448599537034</v>
      </c>
      <c r="V333" t="s">
        <v>18</v>
      </c>
      <c r="W333" t="s">
        <v>17</v>
      </c>
      <c r="X333" s="6">
        <v>42045.706203703703</v>
      </c>
      <c r="Y333" t="s">
        <v>122</v>
      </c>
      <c r="AB333" t="s">
        <v>201</v>
      </c>
      <c r="AC333" t="s">
        <v>247</v>
      </c>
      <c r="AD333" t="s">
        <v>220</v>
      </c>
      <c r="AE333" t="s">
        <v>219</v>
      </c>
      <c r="AG333" t="s">
        <v>121</v>
      </c>
      <c r="AH333" t="s">
        <v>327</v>
      </c>
      <c r="AI333" t="s">
        <v>121</v>
      </c>
      <c r="AJ333" t="s">
        <v>717</v>
      </c>
      <c r="AK333" t="s">
        <v>121</v>
      </c>
    </row>
    <row r="334" spans="9:37" x14ac:dyDescent="0.3">
      <c r="I334">
        <f ca="1">IF(OR(INDIRECT(A73&amp;ROW())=B93,INDIRECT(A73&amp;ROW())=B94),1,IF(AND(INDIRECT(A73&amp;ROW())=B95,INDIRECT(A96&amp;ROW())=C93),1,IF(AND(INDIRECT(A73&amp;ROW())=B95,INDIRECT(A96&amp;ROW())=C94),1,0)))</f>
        <v>0</v>
      </c>
      <c r="J334">
        <f ca="1">IF(AND(INDIRECT(A73&amp;ROW())=B95,INDIRECT(A96&amp;ROW())=C95),1,IF(AND(INDIRECT(A73&amp;ROW())=B95,INDIRECT(A96&amp;ROW())=C96),1,0))</f>
        <v>0</v>
      </c>
      <c r="K334">
        <f ca="1">DAYS360(INDIRECT(C68&amp;ROW()),TODAY())</f>
        <v>802</v>
      </c>
      <c r="L334">
        <f ca="1">DAYS360(INDIRECT(C69&amp;ROW()),TODAY())</f>
        <v>802</v>
      </c>
      <c r="M334">
        <f ca="1">HYPERLINK(CONCATENATE("https://bugzilla.houston.hp.com:1181/bugzilla/show_bug.cgi?id=",INDIRECT(C70&amp;ROW())),INDIRECT(C70&amp;ROW()))</f>
        <v>56947</v>
      </c>
      <c r="N334">
        <v>56947</v>
      </c>
      <c r="O334" t="s">
        <v>36</v>
      </c>
      <c r="P334" t="s">
        <v>627</v>
      </c>
      <c r="Q334" t="s">
        <v>16</v>
      </c>
      <c r="R334" t="s">
        <v>248</v>
      </c>
      <c r="S334" t="s">
        <v>552</v>
      </c>
      <c r="U334" s="6">
        <v>42045.708449074074</v>
      </c>
      <c r="V334" t="s">
        <v>18</v>
      </c>
      <c r="W334" t="s">
        <v>317</v>
      </c>
      <c r="X334" s="6">
        <v>42045.706493055557</v>
      </c>
      <c r="Y334" t="s">
        <v>119</v>
      </c>
      <c r="AB334" t="s">
        <v>201</v>
      </c>
      <c r="AC334" t="s">
        <v>247</v>
      </c>
      <c r="AD334" t="s">
        <v>222</v>
      </c>
      <c r="AE334" t="s">
        <v>240</v>
      </c>
      <c r="AG334" t="s">
        <v>121</v>
      </c>
      <c r="AH334" t="s">
        <v>327</v>
      </c>
      <c r="AI334" t="s">
        <v>121</v>
      </c>
      <c r="AJ334" t="s">
        <v>717</v>
      </c>
      <c r="AK334" t="s">
        <v>121</v>
      </c>
    </row>
    <row r="335" spans="9:37" x14ac:dyDescent="0.3">
      <c r="I335">
        <f ca="1">IF(OR(INDIRECT(A73&amp;ROW())=B93,INDIRECT(A73&amp;ROW())=B94),1,IF(AND(INDIRECT(A73&amp;ROW())=B95,INDIRECT(A96&amp;ROW())=C93),1,IF(AND(INDIRECT(A73&amp;ROW())=B95,INDIRECT(A96&amp;ROW())=C94),1,0)))</f>
        <v>0</v>
      </c>
      <c r="J335">
        <f ca="1">IF(AND(INDIRECT(A73&amp;ROW())=B95,INDIRECT(A96&amp;ROW())=C95),1,IF(AND(INDIRECT(A73&amp;ROW())=B95,INDIRECT(A96&amp;ROW())=C96),1,0))</f>
        <v>1</v>
      </c>
      <c r="K335">
        <f ca="1">DAYS360(INDIRECT(C68&amp;ROW()),TODAY())</f>
        <v>667</v>
      </c>
      <c r="L335">
        <f ca="1">DAYS360(INDIRECT(C69&amp;ROW()),TODAY())</f>
        <v>802</v>
      </c>
      <c r="M335">
        <f ca="1">HYPERLINK(CONCATENATE("https://bugzilla.houston.hp.com:1181/bugzilla/show_bug.cgi?id=",INDIRECT(C70&amp;ROW())),INDIRECT(C70&amp;ROW()))</f>
        <v>56949</v>
      </c>
      <c r="N335">
        <v>56949</v>
      </c>
      <c r="O335" t="s">
        <v>36</v>
      </c>
      <c r="P335" t="s">
        <v>970</v>
      </c>
      <c r="Q335" t="s">
        <v>25</v>
      </c>
      <c r="R335" t="s">
        <v>783</v>
      </c>
      <c r="S335" t="s">
        <v>552</v>
      </c>
      <c r="U335" s="6">
        <v>42180.460150462961</v>
      </c>
      <c r="V335" t="s">
        <v>18</v>
      </c>
      <c r="W335" t="s">
        <v>258</v>
      </c>
      <c r="X335" s="6">
        <v>42045.707291666666</v>
      </c>
      <c r="Y335" t="s">
        <v>120</v>
      </c>
      <c r="AB335" t="s">
        <v>201</v>
      </c>
      <c r="AC335" t="s">
        <v>121</v>
      </c>
      <c r="AD335" t="s">
        <v>222</v>
      </c>
      <c r="AE335" t="s">
        <v>240</v>
      </c>
      <c r="AG335" t="s">
        <v>121</v>
      </c>
      <c r="AH335" t="s">
        <v>64</v>
      </c>
      <c r="AI335" t="s">
        <v>121</v>
      </c>
      <c r="AJ335" t="s">
        <v>716</v>
      </c>
      <c r="AK335" t="s">
        <v>121</v>
      </c>
    </row>
    <row r="336" spans="9:37" x14ac:dyDescent="0.3">
      <c r="I336">
        <f ca="1">IF(OR(INDIRECT(A73&amp;ROW())=B93,INDIRECT(A73&amp;ROW())=B94),1,IF(AND(INDIRECT(A73&amp;ROW())=B95,INDIRECT(A96&amp;ROW())=C93),1,IF(AND(INDIRECT(A73&amp;ROW())=B95,INDIRECT(A96&amp;ROW())=C94),1,0)))</f>
        <v>0</v>
      </c>
      <c r="J336">
        <f ca="1">IF(AND(INDIRECT(A73&amp;ROW())=B95,INDIRECT(A96&amp;ROW())=C95),1,IF(AND(INDIRECT(A73&amp;ROW())=B95,INDIRECT(A96&amp;ROW())=C96),1,0))</f>
        <v>0</v>
      </c>
      <c r="K336">
        <f ca="1">DAYS360(INDIRECT(C68&amp;ROW()),TODAY())</f>
        <v>688</v>
      </c>
      <c r="L336">
        <f ca="1">DAYS360(INDIRECT(C69&amp;ROW()),TODAY())</f>
        <v>802</v>
      </c>
      <c r="M336">
        <f ca="1">HYPERLINK(CONCATENATE("https://bugzilla.houston.hp.com:1181/bugzilla/show_bug.cgi?id=",INDIRECT(C70&amp;ROW())),INDIRECT(C70&amp;ROW()))</f>
        <v>56950</v>
      </c>
      <c r="N336">
        <v>56950</v>
      </c>
      <c r="O336" t="s">
        <v>56</v>
      </c>
      <c r="P336" t="s">
        <v>969</v>
      </c>
      <c r="Q336" t="s">
        <v>16</v>
      </c>
      <c r="R336" t="s">
        <v>783</v>
      </c>
      <c r="S336" t="s">
        <v>552</v>
      </c>
      <c r="U336" s="6">
        <v>42159.63140046296</v>
      </c>
      <c r="V336" t="s">
        <v>18</v>
      </c>
      <c r="W336" t="s">
        <v>260</v>
      </c>
      <c r="X336" s="6">
        <v>42045.707592592589</v>
      </c>
      <c r="Y336" t="s">
        <v>793</v>
      </c>
      <c r="AB336" t="s">
        <v>201</v>
      </c>
      <c r="AC336" t="s">
        <v>247</v>
      </c>
      <c r="AD336" t="s">
        <v>220</v>
      </c>
      <c r="AE336" t="s">
        <v>219</v>
      </c>
      <c r="AG336" t="s">
        <v>121</v>
      </c>
      <c r="AH336" t="s">
        <v>64</v>
      </c>
      <c r="AI336" t="s">
        <v>121</v>
      </c>
      <c r="AJ336" t="s">
        <v>717</v>
      </c>
      <c r="AK336" t="s">
        <v>121</v>
      </c>
    </row>
    <row r="337" spans="9:37" x14ac:dyDescent="0.3">
      <c r="I337">
        <f ca="1">IF(OR(INDIRECT(A73&amp;ROW())=B93,INDIRECT(A73&amp;ROW())=B94),1,IF(AND(INDIRECT(A73&amp;ROW())=B95,INDIRECT(A96&amp;ROW())=C93),1,IF(AND(INDIRECT(A73&amp;ROW())=B95,INDIRECT(A96&amp;ROW())=C94),1,0)))</f>
        <v>0</v>
      </c>
      <c r="J337">
        <f ca="1">IF(AND(INDIRECT(A73&amp;ROW())=B95,INDIRECT(A96&amp;ROW())=C95),1,IF(AND(INDIRECT(A73&amp;ROW())=B95,INDIRECT(A96&amp;ROW())=C96),1,0))</f>
        <v>0</v>
      </c>
      <c r="K337">
        <f ca="1">DAYS360(INDIRECT(C68&amp;ROW()),TODAY())</f>
        <v>731</v>
      </c>
      <c r="L337">
        <f ca="1">DAYS360(INDIRECT(C69&amp;ROW()),TODAY())</f>
        <v>802</v>
      </c>
      <c r="M337">
        <f ca="1">HYPERLINK(CONCATENATE("https://bugzilla.houston.hp.com:1181/bugzilla/show_bug.cgi?id=",INDIRECT(C70&amp;ROW())),INDIRECT(C70&amp;ROW()))</f>
        <v>56951</v>
      </c>
      <c r="N337">
        <v>56951</v>
      </c>
      <c r="O337" t="s">
        <v>56</v>
      </c>
      <c r="P337" t="s">
        <v>968</v>
      </c>
      <c r="Q337" t="s">
        <v>16</v>
      </c>
      <c r="R337" t="s">
        <v>783</v>
      </c>
      <c r="S337" t="s">
        <v>552</v>
      </c>
      <c r="U337" s="6">
        <v>42115.830393518518</v>
      </c>
      <c r="V337" t="s">
        <v>18</v>
      </c>
      <c r="W337" t="s">
        <v>17</v>
      </c>
      <c r="X337" s="6">
        <v>42045.707916666666</v>
      </c>
      <c r="Y337" t="s">
        <v>786</v>
      </c>
      <c r="AB337" t="s">
        <v>200</v>
      </c>
      <c r="AC337" t="s">
        <v>247</v>
      </c>
      <c r="AD337" t="s">
        <v>220</v>
      </c>
      <c r="AE337" t="s">
        <v>219</v>
      </c>
      <c r="AG337" t="s">
        <v>121</v>
      </c>
      <c r="AH337" t="s">
        <v>327</v>
      </c>
      <c r="AI337" t="s">
        <v>121</v>
      </c>
      <c r="AJ337" t="s">
        <v>716</v>
      </c>
      <c r="AK337" t="s">
        <v>121</v>
      </c>
    </row>
    <row r="338" spans="9:37" x14ac:dyDescent="0.3">
      <c r="I338">
        <f ca="1">IF(OR(INDIRECT(A73&amp;ROW())=B93,INDIRECT(A73&amp;ROW())=B94),1,IF(AND(INDIRECT(A73&amp;ROW())=B95,INDIRECT(A96&amp;ROW())=C93),1,IF(AND(INDIRECT(A73&amp;ROW())=B95,INDIRECT(A96&amp;ROW())=C94),1,0)))</f>
        <v>0</v>
      </c>
      <c r="J338">
        <f ca="1">IF(AND(INDIRECT(A73&amp;ROW())=B95,INDIRECT(A96&amp;ROW())=C95),1,IF(AND(INDIRECT(A73&amp;ROW())=B95,INDIRECT(A96&amp;ROW())=C96),1,0))</f>
        <v>0</v>
      </c>
      <c r="K338">
        <f ca="1">DAYS360(INDIRECT(C68&amp;ROW()),TODAY())</f>
        <v>731</v>
      </c>
      <c r="L338">
        <f ca="1">DAYS360(INDIRECT(C69&amp;ROW()),TODAY())</f>
        <v>802</v>
      </c>
      <c r="M338">
        <f ca="1">HYPERLINK(CONCATENATE("https://bugzilla.houston.hp.com:1181/bugzilla/show_bug.cgi?id=",INDIRECT(C70&amp;ROW())),INDIRECT(C70&amp;ROW()))</f>
        <v>56952</v>
      </c>
      <c r="N338">
        <v>56952</v>
      </c>
      <c r="O338" t="s">
        <v>36</v>
      </c>
      <c r="P338" t="s">
        <v>967</v>
      </c>
      <c r="Q338" t="s">
        <v>16</v>
      </c>
      <c r="R338" t="s">
        <v>783</v>
      </c>
      <c r="S338" t="s">
        <v>552</v>
      </c>
      <c r="U338" s="6">
        <v>42115.664293981485</v>
      </c>
      <c r="V338" t="s">
        <v>18</v>
      </c>
      <c r="W338" t="s">
        <v>257</v>
      </c>
      <c r="X338" s="6">
        <v>42045.709467592591</v>
      </c>
      <c r="Y338" t="s">
        <v>122</v>
      </c>
      <c r="AB338" t="s">
        <v>200</v>
      </c>
      <c r="AC338" t="s">
        <v>121</v>
      </c>
      <c r="AD338" t="s">
        <v>227</v>
      </c>
      <c r="AE338" t="s">
        <v>226</v>
      </c>
      <c r="AG338" t="s">
        <v>121</v>
      </c>
      <c r="AH338" t="s">
        <v>64</v>
      </c>
      <c r="AI338" t="s">
        <v>121</v>
      </c>
      <c r="AJ338" t="s">
        <v>716</v>
      </c>
      <c r="AK338" t="s">
        <v>121</v>
      </c>
    </row>
    <row r="339" spans="9:37" x14ac:dyDescent="0.3">
      <c r="I339">
        <f ca="1">IF(OR(INDIRECT(A73&amp;ROW())=B93,INDIRECT(A73&amp;ROW())=B94),1,IF(AND(INDIRECT(A73&amp;ROW())=B95,INDIRECT(A96&amp;ROW())=C93),1,IF(AND(INDIRECT(A73&amp;ROW())=B95,INDIRECT(A96&amp;ROW())=C94),1,0)))</f>
        <v>0</v>
      </c>
      <c r="J339">
        <f ca="1">IF(AND(INDIRECT(A73&amp;ROW())=B95,INDIRECT(A96&amp;ROW())=C95),1,IF(AND(INDIRECT(A73&amp;ROW())=B95,INDIRECT(A96&amp;ROW())=C96),1,0))</f>
        <v>0</v>
      </c>
      <c r="K339">
        <f ca="1">DAYS360(INDIRECT(C68&amp;ROW()),TODAY())</f>
        <v>802</v>
      </c>
      <c r="L339">
        <f ca="1">DAYS360(INDIRECT(C69&amp;ROW()),TODAY())</f>
        <v>802</v>
      </c>
      <c r="M339">
        <f ca="1">HYPERLINK(CONCATENATE("https://bugzilla.houston.hp.com:1181/bugzilla/show_bug.cgi?id=",INDIRECT(C70&amp;ROW())),INDIRECT(C70&amp;ROW()))</f>
        <v>56955</v>
      </c>
      <c r="N339">
        <v>56955</v>
      </c>
      <c r="O339" t="s">
        <v>36</v>
      </c>
      <c r="P339" t="s">
        <v>620</v>
      </c>
      <c r="Q339" t="s">
        <v>16</v>
      </c>
      <c r="R339" t="s">
        <v>248</v>
      </c>
      <c r="S339" t="s">
        <v>552</v>
      </c>
      <c r="U339" s="6">
        <v>42045.940196759257</v>
      </c>
      <c r="V339" t="s">
        <v>18</v>
      </c>
      <c r="W339" t="s">
        <v>372</v>
      </c>
      <c r="X339" s="6">
        <v>42045.89640046296</v>
      </c>
      <c r="Y339" t="s">
        <v>787</v>
      </c>
      <c r="AB339" t="s">
        <v>200</v>
      </c>
      <c r="AC339" t="s">
        <v>247</v>
      </c>
      <c r="AD339" t="s">
        <v>227</v>
      </c>
      <c r="AE339" t="s">
        <v>237</v>
      </c>
      <c r="AG339" t="s">
        <v>121</v>
      </c>
      <c r="AH339" t="s">
        <v>327</v>
      </c>
      <c r="AI339" t="s">
        <v>121</v>
      </c>
      <c r="AJ339" t="s">
        <v>716</v>
      </c>
      <c r="AK339" t="s">
        <v>121</v>
      </c>
    </row>
    <row r="340" spans="9:37" x14ac:dyDescent="0.3">
      <c r="I340">
        <f ca="1">IF(OR(INDIRECT(A73&amp;ROW())=B93,INDIRECT(A73&amp;ROW())=B94),1,IF(AND(INDIRECT(A73&amp;ROW())=B95,INDIRECT(A96&amp;ROW())=C93),1,IF(AND(INDIRECT(A73&amp;ROW())=B95,INDIRECT(A96&amp;ROW())=C94),1,0)))</f>
        <v>0</v>
      </c>
      <c r="J340">
        <f ca="1">IF(AND(INDIRECT(A73&amp;ROW())=B95,INDIRECT(A96&amp;ROW())=C95),1,IF(AND(INDIRECT(A73&amp;ROW())=B95,INDIRECT(A96&amp;ROW())=C96),1,0))</f>
        <v>0</v>
      </c>
      <c r="K340">
        <f ca="1">DAYS360(INDIRECT(C68&amp;ROW()),TODAY())</f>
        <v>802</v>
      </c>
      <c r="L340">
        <f ca="1">DAYS360(INDIRECT(C69&amp;ROW()),TODAY())</f>
        <v>802</v>
      </c>
      <c r="M340">
        <f ca="1">HYPERLINK(CONCATENATE("https://bugzilla.houston.hp.com:1181/bugzilla/show_bug.cgi?id=",INDIRECT(C70&amp;ROW())),INDIRECT(C70&amp;ROW()))</f>
        <v>56957</v>
      </c>
      <c r="N340">
        <v>56957</v>
      </c>
      <c r="O340" t="s">
        <v>56</v>
      </c>
      <c r="P340" t="s">
        <v>619</v>
      </c>
      <c r="Q340" t="s">
        <v>16</v>
      </c>
      <c r="R340" t="s">
        <v>248</v>
      </c>
      <c r="S340" t="s">
        <v>552</v>
      </c>
      <c r="U340" s="6">
        <v>42045.940879629627</v>
      </c>
      <c r="V340" t="s">
        <v>18</v>
      </c>
      <c r="W340" t="s">
        <v>248</v>
      </c>
      <c r="X340" s="6">
        <v>42045.898831018516</v>
      </c>
      <c r="Y340" t="s">
        <v>124</v>
      </c>
      <c r="AB340" t="s">
        <v>200</v>
      </c>
      <c r="AC340" t="s">
        <v>247</v>
      </c>
      <c r="AD340" t="s">
        <v>220</v>
      </c>
      <c r="AE340" t="s">
        <v>219</v>
      </c>
      <c r="AG340" t="s">
        <v>121</v>
      </c>
      <c r="AH340" t="s">
        <v>327</v>
      </c>
      <c r="AI340" t="s">
        <v>121</v>
      </c>
      <c r="AJ340" t="s">
        <v>716</v>
      </c>
      <c r="AK340" t="s">
        <v>121</v>
      </c>
    </row>
    <row r="341" spans="9:37" x14ac:dyDescent="0.3">
      <c r="I341">
        <f ca="1">IF(OR(INDIRECT(A73&amp;ROW())=B93,INDIRECT(A73&amp;ROW())=B94),1,IF(AND(INDIRECT(A73&amp;ROW())=B95,INDIRECT(A96&amp;ROW())=C93),1,IF(AND(INDIRECT(A73&amp;ROW())=B95,INDIRECT(A96&amp;ROW())=C94),1,0)))</f>
        <v>0</v>
      </c>
      <c r="J341">
        <f ca="1">IF(AND(INDIRECT(A73&amp;ROW())=B95,INDIRECT(A96&amp;ROW())=C95),1,IF(AND(INDIRECT(A73&amp;ROW())=B95,INDIRECT(A96&amp;ROW())=C96),1,0))</f>
        <v>0</v>
      </c>
      <c r="K341">
        <f ca="1">DAYS360(INDIRECT(C68&amp;ROW()),TODAY())</f>
        <v>684</v>
      </c>
      <c r="L341">
        <f ca="1">DAYS360(INDIRECT(C69&amp;ROW()),TODAY())</f>
        <v>802</v>
      </c>
      <c r="M341">
        <f ca="1">HYPERLINK(CONCATENATE("https://bugzilla.houston.hp.com:1181/bugzilla/show_bug.cgi?id=",INDIRECT(C70&amp;ROW())),INDIRECT(C70&amp;ROW()))</f>
        <v>56960</v>
      </c>
      <c r="N341">
        <v>56960</v>
      </c>
      <c r="O341" t="s">
        <v>36</v>
      </c>
      <c r="P341" t="s">
        <v>618</v>
      </c>
      <c r="Q341" t="s">
        <v>16</v>
      </c>
      <c r="R341" t="s">
        <v>248</v>
      </c>
      <c r="S341" t="s">
        <v>552</v>
      </c>
      <c r="U341" s="6">
        <v>42163.610381944447</v>
      </c>
      <c r="V341" t="s">
        <v>18</v>
      </c>
      <c r="W341" t="s">
        <v>372</v>
      </c>
      <c r="X341" s="6">
        <v>42045.904224537036</v>
      </c>
      <c r="Y341" t="s">
        <v>245</v>
      </c>
      <c r="AB341" t="s">
        <v>200</v>
      </c>
      <c r="AC341" t="s">
        <v>247</v>
      </c>
      <c r="AD341" t="s">
        <v>222</v>
      </c>
      <c r="AE341" t="s">
        <v>225</v>
      </c>
      <c r="AG341" t="s">
        <v>121</v>
      </c>
      <c r="AH341" t="s">
        <v>327</v>
      </c>
      <c r="AI341" t="s">
        <v>121</v>
      </c>
      <c r="AJ341" t="s">
        <v>716</v>
      </c>
      <c r="AK341" t="s">
        <v>121</v>
      </c>
    </row>
    <row r="342" spans="9:37" x14ac:dyDescent="0.3">
      <c r="I342">
        <f ca="1">IF(OR(INDIRECT(A73&amp;ROW())=B93,INDIRECT(A73&amp;ROW())=B94),1,IF(AND(INDIRECT(A73&amp;ROW())=B95,INDIRECT(A96&amp;ROW())=C93),1,IF(AND(INDIRECT(A73&amp;ROW())=B95,INDIRECT(A96&amp;ROW())=C94),1,0)))</f>
        <v>0</v>
      </c>
      <c r="J342">
        <f ca="1">IF(AND(INDIRECT(A73&amp;ROW())=B95,INDIRECT(A96&amp;ROW())=C95),1,IF(AND(INDIRECT(A73&amp;ROW())=B95,INDIRECT(A96&amp;ROW())=C96),1,0))</f>
        <v>0</v>
      </c>
      <c r="K342">
        <f ca="1">DAYS360(INDIRECT(C68&amp;ROW()),TODAY())</f>
        <v>674</v>
      </c>
      <c r="L342">
        <f ca="1">DAYS360(INDIRECT(C69&amp;ROW()),TODAY())</f>
        <v>802</v>
      </c>
      <c r="M342">
        <f ca="1">HYPERLINK(CONCATENATE("https://bugzilla.houston.hp.com:1181/bugzilla/show_bug.cgi?id=",INDIRECT(C70&amp;ROW())),INDIRECT(C70&amp;ROW()))</f>
        <v>56964</v>
      </c>
      <c r="N342">
        <v>56964</v>
      </c>
      <c r="O342" t="s">
        <v>250</v>
      </c>
      <c r="P342" t="s">
        <v>617</v>
      </c>
      <c r="Q342" t="s">
        <v>16</v>
      </c>
      <c r="R342" t="s">
        <v>248</v>
      </c>
      <c r="S342" t="s">
        <v>552</v>
      </c>
      <c r="U342" s="6">
        <v>42173.333101851851</v>
      </c>
      <c r="V342" t="s">
        <v>18</v>
      </c>
      <c r="W342" t="s">
        <v>17</v>
      </c>
      <c r="X342" s="6">
        <v>42045.907905092594</v>
      </c>
      <c r="Y342" t="s">
        <v>255</v>
      </c>
      <c r="AB342" t="s">
        <v>200</v>
      </c>
      <c r="AC342" t="s">
        <v>247</v>
      </c>
      <c r="AD342" t="s">
        <v>220</v>
      </c>
      <c r="AE342" t="s">
        <v>219</v>
      </c>
      <c r="AG342" t="s">
        <v>121</v>
      </c>
      <c r="AH342" t="s">
        <v>327</v>
      </c>
      <c r="AI342" t="s">
        <v>121</v>
      </c>
      <c r="AJ342" t="s">
        <v>716</v>
      </c>
      <c r="AK342" t="s">
        <v>121</v>
      </c>
    </row>
    <row r="343" spans="9:37" x14ac:dyDescent="0.3">
      <c r="I343">
        <f ca="1">IF(OR(INDIRECT(A73&amp;ROW())=B93,INDIRECT(A73&amp;ROW())=B94),1,IF(AND(INDIRECT(A73&amp;ROW())=B95,INDIRECT(A96&amp;ROW())=C93),1,IF(AND(INDIRECT(A73&amp;ROW())=B95,INDIRECT(A96&amp;ROW())=C94),1,0)))</f>
        <v>0</v>
      </c>
      <c r="J343">
        <f ca="1">IF(AND(INDIRECT(A73&amp;ROW())=B95,INDIRECT(A96&amp;ROW())=C95),1,IF(AND(INDIRECT(A73&amp;ROW())=B95,INDIRECT(A96&amp;ROW())=C96),1,0))</f>
        <v>0</v>
      </c>
      <c r="K343">
        <f ca="1">DAYS360(INDIRECT(C68&amp;ROW()),TODAY())</f>
        <v>721</v>
      </c>
      <c r="L343">
        <f ca="1">DAYS360(INDIRECT(C69&amp;ROW()),TODAY())</f>
        <v>802</v>
      </c>
      <c r="M343">
        <f ca="1">HYPERLINK(CONCATENATE("https://bugzilla.houston.hp.com:1181/bugzilla/show_bug.cgi?id=",INDIRECT(C70&amp;ROW())),INDIRECT(C70&amp;ROW()))</f>
        <v>56965</v>
      </c>
      <c r="N343">
        <v>56965</v>
      </c>
      <c r="O343" t="s">
        <v>21</v>
      </c>
      <c r="P343" t="s">
        <v>616</v>
      </c>
      <c r="Q343" t="s">
        <v>16</v>
      </c>
      <c r="R343" t="s">
        <v>248</v>
      </c>
      <c r="S343" t="s">
        <v>552</v>
      </c>
      <c r="U343" s="6">
        <v>42125.672951388886</v>
      </c>
      <c r="V343" t="s">
        <v>18</v>
      </c>
      <c r="W343" t="s">
        <v>372</v>
      </c>
      <c r="X343" s="6">
        <v>42045.909050925926</v>
      </c>
      <c r="Y343" t="s">
        <v>255</v>
      </c>
      <c r="AB343" t="s">
        <v>200</v>
      </c>
      <c r="AC343" t="s">
        <v>247</v>
      </c>
      <c r="AD343" t="s">
        <v>222</v>
      </c>
      <c r="AE343" t="s">
        <v>240</v>
      </c>
      <c r="AG343" t="s">
        <v>121</v>
      </c>
      <c r="AH343" t="s">
        <v>327</v>
      </c>
      <c r="AI343" t="s">
        <v>121</v>
      </c>
      <c r="AJ343" t="s">
        <v>716</v>
      </c>
      <c r="AK343" t="s">
        <v>121</v>
      </c>
    </row>
    <row r="344" spans="9:37" x14ac:dyDescent="0.3">
      <c r="I344">
        <f ca="1">IF(OR(INDIRECT(A73&amp;ROW())=B93,INDIRECT(A73&amp;ROW())=B94),1,IF(AND(INDIRECT(A73&amp;ROW())=B95,INDIRECT(A96&amp;ROW())=C93),1,IF(AND(INDIRECT(A73&amp;ROW())=B95,INDIRECT(A96&amp;ROW())=C94),1,0)))</f>
        <v>0</v>
      </c>
      <c r="J344">
        <f ca="1">IF(AND(INDIRECT(A73&amp;ROW())=B95,INDIRECT(A96&amp;ROW())=C95),1,IF(AND(INDIRECT(A73&amp;ROW())=B95,INDIRECT(A96&amp;ROW())=C96),1,0))</f>
        <v>0</v>
      </c>
      <c r="K344">
        <f ca="1">DAYS360(INDIRECT(C68&amp;ROW()),TODAY())</f>
        <v>721</v>
      </c>
      <c r="L344">
        <f ca="1">DAYS360(INDIRECT(C69&amp;ROW()),TODAY())</f>
        <v>802</v>
      </c>
      <c r="M344">
        <f ca="1">HYPERLINK(CONCATENATE("https://bugzilla.houston.hp.com:1181/bugzilla/show_bug.cgi?id=",INDIRECT(C70&amp;ROW())),INDIRECT(C70&amp;ROW()))</f>
        <v>56966</v>
      </c>
      <c r="N344">
        <v>56966</v>
      </c>
      <c r="O344" t="s">
        <v>59</v>
      </c>
      <c r="P344" t="s">
        <v>507</v>
      </c>
      <c r="Q344" t="s">
        <v>16</v>
      </c>
      <c r="R344" t="s">
        <v>248</v>
      </c>
      <c r="S344" t="s">
        <v>552</v>
      </c>
      <c r="U344" s="6">
        <v>42125.664664351854</v>
      </c>
      <c r="V344" t="s">
        <v>18</v>
      </c>
      <c r="W344" t="s">
        <v>258</v>
      </c>
      <c r="X344" s="6">
        <v>42045.910405092596</v>
      </c>
      <c r="Y344" t="s">
        <v>122</v>
      </c>
      <c r="AB344" t="s">
        <v>201</v>
      </c>
      <c r="AC344" t="s">
        <v>247</v>
      </c>
      <c r="AD344" t="s">
        <v>222</v>
      </c>
      <c r="AE344" t="s">
        <v>240</v>
      </c>
      <c r="AG344" t="s">
        <v>121</v>
      </c>
      <c r="AH344" t="s">
        <v>327</v>
      </c>
      <c r="AI344" t="s">
        <v>121</v>
      </c>
      <c r="AJ344" t="s">
        <v>717</v>
      </c>
      <c r="AK344" t="s">
        <v>121</v>
      </c>
    </row>
    <row r="345" spans="9:37" x14ac:dyDescent="0.3">
      <c r="I345">
        <f ca="1">IF(OR(INDIRECT(A73&amp;ROW())=B93,INDIRECT(A73&amp;ROW())=B94),1,IF(AND(INDIRECT(A73&amp;ROW())=B95,INDIRECT(A96&amp;ROW())=C93),1,IF(AND(INDIRECT(A73&amp;ROW())=B95,INDIRECT(A96&amp;ROW())=C94),1,0)))</f>
        <v>0</v>
      </c>
      <c r="J345">
        <f ca="1">IF(AND(INDIRECT(A73&amp;ROW())=B95,INDIRECT(A96&amp;ROW())=C95),1,IF(AND(INDIRECT(A73&amp;ROW())=B95,INDIRECT(A96&amp;ROW())=C96),1,0))</f>
        <v>0</v>
      </c>
      <c r="K345">
        <f ca="1">DAYS360(INDIRECT(C68&amp;ROW()),TODAY())</f>
        <v>721</v>
      </c>
      <c r="L345">
        <f ca="1">DAYS360(INDIRECT(C69&amp;ROW()),TODAY())</f>
        <v>802</v>
      </c>
      <c r="M345">
        <f ca="1">HYPERLINK(CONCATENATE("https://bugzilla.houston.hp.com:1181/bugzilla/show_bug.cgi?id=",INDIRECT(C70&amp;ROW())),INDIRECT(C70&amp;ROW()))</f>
        <v>56967</v>
      </c>
      <c r="N345">
        <v>56967</v>
      </c>
      <c r="O345" t="s">
        <v>56</v>
      </c>
      <c r="P345" t="s">
        <v>615</v>
      </c>
      <c r="Q345" t="s">
        <v>16</v>
      </c>
      <c r="R345" t="s">
        <v>248</v>
      </c>
      <c r="S345" t="s">
        <v>552</v>
      </c>
      <c r="U345" s="6">
        <v>42125.449629629627</v>
      </c>
      <c r="V345" t="s">
        <v>18</v>
      </c>
      <c r="W345" t="s">
        <v>343</v>
      </c>
      <c r="X345" s="6">
        <v>42045.912534722222</v>
      </c>
      <c r="Y345" t="s">
        <v>122</v>
      </c>
      <c r="AB345" t="s">
        <v>201</v>
      </c>
      <c r="AC345" t="s">
        <v>247</v>
      </c>
      <c r="AD345" t="s">
        <v>220</v>
      </c>
      <c r="AE345" t="s">
        <v>219</v>
      </c>
      <c r="AG345" t="s">
        <v>121</v>
      </c>
      <c r="AH345" t="s">
        <v>327</v>
      </c>
      <c r="AI345" t="s">
        <v>121</v>
      </c>
      <c r="AJ345" t="s">
        <v>717</v>
      </c>
      <c r="AK345" t="s">
        <v>121</v>
      </c>
    </row>
    <row r="346" spans="9:37" x14ac:dyDescent="0.3">
      <c r="I346">
        <f ca="1">IF(OR(INDIRECT(A73&amp;ROW())=B93,INDIRECT(A73&amp;ROW())=B94),1,IF(AND(INDIRECT(A73&amp;ROW())=B95,INDIRECT(A96&amp;ROW())=C93),1,IF(AND(INDIRECT(A73&amp;ROW())=B95,INDIRECT(A96&amp;ROW())=C94),1,0)))</f>
        <v>0</v>
      </c>
      <c r="J346">
        <f ca="1">IF(AND(INDIRECT(A73&amp;ROW())=B95,INDIRECT(A96&amp;ROW())=C95),1,IF(AND(INDIRECT(A73&amp;ROW())=B95,INDIRECT(A96&amp;ROW())=C96),1,0))</f>
        <v>0</v>
      </c>
      <c r="K346">
        <f ca="1">DAYS360(INDIRECT(C68&amp;ROW()),TODAY())</f>
        <v>681</v>
      </c>
      <c r="L346">
        <f ca="1">DAYS360(INDIRECT(C69&amp;ROW()),TODAY())</f>
        <v>802</v>
      </c>
      <c r="M346">
        <f ca="1">HYPERLINK(CONCATENATE("https://bugzilla.houston.hp.com:1181/bugzilla/show_bug.cgi?id=",INDIRECT(C70&amp;ROW())),INDIRECT(C70&amp;ROW()))</f>
        <v>56968</v>
      </c>
      <c r="N346">
        <v>56968</v>
      </c>
      <c r="O346" t="s">
        <v>56</v>
      </c>
      <c r="P346" t="s">
        <v>614</v>
      </c>
      <c r="Q346" t="s">
        <v>16</v>
      </c>
      <c r="R346" t="s">
        <v>248</v>
      </c>
      <c r="S346" t="s">
        <v>552</v>
      </c>
      <c r="U346" s="6">
        <v>42166.355405092596</v>
      </c>
      <c r="V346" t="s">
        <v>18</v>
      </c>
      <c r="W346" t="s">
        <v>341</v>
      </c>
      <c r="X346" s="6">
        <v>42045.915069444447</v>
      </c>
      <c r="Y346" t="s">
        <v>787</v>
      </c>
      <c r="AB346" t="s">
        <v>199</v>
      </c>
      <c r="AC346" t="s">
        <v>247</v>
      </c>
      <c r="AD346" t="s">
        <v>220</v>
      </c>
      <c r="AE346" t="s">
        <v>219</v>
      </c>
      <c r="AG346" t="s">
        <v>588</v>
      </c>
      <c r="AH346" t="s">
        <v>327</v>
      </c>
      <c r="AI346" t="s">
        <v>121</v>
      </c>
      <c r="AJ346" t="s">
        <v>716</v>
      </c>
      <c r="AK346" t="s">
        <v>121</v>
      </c>
    </row>
    <row r="347" spans="9:37" x14ac:dyDescent="0.3">
      <c r="I347">
        <f ca="1">IF(OR(INDIRECT(A73&amp;ROW())=B93,INDIRECT(A73&amp;ROW())=B94),1,IF(AND(INDIRECT(A73&amp;ROW())=B95,INDIRECT(A96&amp;ROW())=C93),1,IF(AND(INDIRECT(A73&amp;ROW())=B95,INDIRECT(A96&amp;ROW())=C94),1,0)))</f>
        <v>0</v>
      </c>
      <c r="J347">
        <f ca="1">IF(AND(INDIRECT(A73&amp;ROW())=B95,INDIRECT(A96&amp;ROW())=C95),1,IF(AND(INDIRECT(A73&amp;ROW())=B95,INDIRECT(A96&amp;ROW())=C96),1,0))</f>
        <v>0</v>
      </c>
      <c r="K347">
        <f ca="1">DAYS360(INDIRECT(C68&amp;ROW()),TODAY())</f>
        <v>721</v>
      </c>
      <c r="L347">
        <f ca="1">DAYS360(INDIRECT(C69&amp;ROW()),TODAY())</f>
        <v>802</v>
      </c>
      <c r="M347">
        <f ca="1">HYPERLINK(CONCATENATE("https://bugzilla.houston.hp.com:1181/bugzilla/show_bug.cgi?id=",INDIRECT(C70&amp;ROW())),INDIRECT(C70&amp;ROW()))</f>
        <v>56969</v>
      </c>
      <c r="N347">
        <v>56969</v>
      </c>
      <c r="O347" t="s">
        <v>56</v>
      </c>
      <c r="P347" t="s">
        <v>613</v>
      </c>
      <c r="Q347" t="s">
        <v>16</v>
      </c>
      <c r="R347" t="s">
        <v>248</v>
      </c>
      <c r="S347" t="s">
        <v>552</v>
      </c>
      <c r="U347" s="6">
        <v>42125.449675925927</v>
      </c>
      <c r="V347" t="s">
        <v>18</v>
      </c>
      <c r="W347" t="s">
        <v>372</v>
      </c>
      <c r="X347" s="6">
        <v>42045.918634259258</v>
      </c>
      <c r="Y347" t="s">
        <v>122</v>
      </c>
      <c r="AB347" t="s">
        <v>200</v>
      </c>
      <c r="AC347" t="s">
        <v>247</v>
      </c>
      <c r="AD347" t="s">
        <v>220</v>
      </c>
      <c r="AE347" t="s">
        <v>219</v>
      </c>
      <c r="AG347" t="s">
        <v>121</v>
      </c>
      <c r="AH347" t="s">
        <v>327</v>
      </c>
      <c r="AI347" t="s">
        <v>121</v>
      </c>
      <c r="AJ347" t="s">
        <v>716</v>
      </c>
      <c r="AK347" t="s">
        <v>121</v>
      </c>
    </row>
    <row r="348" spans="9:37" x14ac:dyDescent="0.3">
      <c r="I348">
        <f ca="1">IF(OR(INDIRECT(A73&amp;ROW())=B93,INDIRECT(A73&amp;ROW())=B94),1,IF(AND(INDIRECT(A73&amp;ROW())=B95,INDIRECT(A96&amp;ROW())=C93),1,IF(AND(INDIRECT(A73&amp;ROW())=B95,INDIRECT(A96&amp;ROW())=C94),1,0)))</f>
        <v>0</v>
      </c>
      <c r="J348">
        <f ca="1">IF(AND(INDIRECT(A73&amp;ROW())=B95,INDIRECT(A96&amp;ROW())=C95),1,IF(AND(INDIRECT(A73&amp;ROW())=B95,INDIRECT(A96&amp;ROW())=C96),1,0))</f>
        <v>0</v>
      </c>
      <c r="K348">
        <f ca="1">DAYS360(INDIRECT(C68&amp;ROW()),TODAY())</f>
        <v>681</v>
      </c>
      <c r="L348">
        <f ca="1">DAYS360(INDIRECT(C69&amp;ROW()),TODAY())</f>
        <v>802</v>
      </c>
      <c r="M348">
        <f ca="1">HYPERLINK(CONCATENATE("https://bugzilla.houston.hp.com:1181/bugzilla/show_bug.cgi?id=",INDIRECT(C70&amp;ROW())),INDIRECT(C70&amp;ROW()))</f>
        <v>56987</v>
      </c>
      <c r="N348">
        <v>56987</v>
      </c>
      <c r="O348" t="s">
        <v>56</v>
      </c>
      <c r="P348" t="s">
        <v>612</v>
      </c>
      <c r="Q348" t="s">
        <v>16</v>
      </c>
      <c r="R348" t="s">
        <v>248</v>
      </c>
      <c r="S348" t="s">
        <v>552</v>
      </c>
      <c r="U348" s="6">
        <v>42166.356261574074</v>
      </c>
      <c r="V348" t="s">
        <v>18</v>
      </c>
      <c r="W348" t="s">
        <v>372</v>
      </c>
      <c r="X348" s="6">
        <v>42045.956643518519</v>
      </c>
      <c r="Y348" t="s">
        <v>119</v>
      </c>
      <c r="AB348" t="s">
        <v>199</v>
      </c>
      <c r="AC348" t="s">
        <v>247</v>
      </c>
      <c r="AD348" t="s">
        <v>220</v>
      </c>
      <c r="AE348" t="s">
        <v>219</v>
      </c>
      <c r="AG348" t="s">
        <v>121</v>
      </c>
      <c r="AH348" t="s">
        <v>327</v>
      </c>
      <c r="AI348" t="s">
        <v>121</v>
      </c>
      <c r="AJ348" t="s">
        <v>716</v>
      </c>
      <c r="AK348" t="s">
        <v>121</v>
      </c>
    </row>
    <row r="349" spans="9:37" x14ac:dyDescent="0.3">
      <c r="I349">
        <f ca="1">IF(OR(INDIRECT(A73&amp;ROW())=B93,INDIRECT(A73&amp;ROW())=B94),1,IF(AND(INDIRECT(A73&amp;ROW())=B95,INDIRECT(A96&amp;ROW())=C93),1,IF(AND(INDIRECT(A73&amp;ROW())=B95,INDIRECT(A96&amp;ROW())=C94),1,0)))</f>
        <v>0</v>
      </c>
      <c r="J349">
        <f ca="1">IF(AND(INDIRECT(A73&amp;ROW())=B95,INDIRECT(A96&amp;ROW())=C95),1,IF(AND(INDIRECT(A73&amp;ROW())=B95,INDIRECT(A96&amp;ROW())=C96),1,0))</f>
        <v>0</v>
      </c>
      <c r="K349">
        <f ca="1">DAYS360(INDIRECT(C68&amp;ROW()),TODAY())</f>
        <v>721</v>
      </c>
      <c r="L349">
        <f ca="1">DAYS360(INDIRECT(C69&amp;ROW()),TODAY())</f>
        <v>801</v>
      </c>
      <c r="M349">
        <f ca="1">HYPERLINK(CONCATENATE("https://bugzilla.houston.hp.com:1181/bugzilla/show_bug.cgi?id=",INDIRECT(C70&amp;ROW())),INDIRECT(C70&amp;ROW()))</f>
        <v>56993</v>
      </c>
      <c r="N349">
        <v>56993</v>
      </c>
      <c r="O349" t="s">
        <v>36</v>
      </c>
      <c r="P349" t="s">
        <v>611</v>
      </c>
      <c r="Q349" t="s">
        <v>16</v>
      </c>
      <c r="R349" t="s">
        <v>248</v>
      </c>
      <c r="S349" t="s">
        <v>552</v>
      </c>
      <c r="U349" s="6">
        <v>42125.443865740737</v>
      </c>
      <c r="V349" t="s">
        <v>18</v>
      </c>
      <c r="W349" t="s">
        <v>211</v>
      </c>
      <c r="X349" s="6">
        <v>42046.006435185183</v>
      </c>
      <c r="Y349" t="s">
        <v>122</v>
      </c>
      <c r="AB349" t="s">
        <v>201</v>
      </c>
      <c r="AC349" t="s">
        <v>121</v>
      </c>
      <c r="AD349" t="s">
        <v>222</v>
      </c>
      <c r="AE349" t="s">
        <v>233</v>
      </c>
      <c r="AG349" t="s">
        <v>121</v>
      </c>
      <c r="AH349" t="s">
        <v>64</v>
      </c>
      <c r="AI349" t="s">
        <v>121</v>
      </c>
      <c r="AJ349" t="s">
        <v>717</v>
      </c>
      <c r="AK349" t="s">
        <v>121</v>
      </c>
    </row>
    <row r="350" spans="9:37" x14ac:dyDescent="0.3">
      <c r="I350">
        <f ca="1">IF(OR(INDIRECT(A73&amp;ROW())=B93,INDIRECT(A73&amp;ROW())=B94),1,IF(AND(INDIRECT(A73&amp;ROW())=B95,INDIRECT(A96&amp;ROW())=C93),1,IF(AND(INDIRECT(A73&amp;ROW())=B95,INDIRECT(A96&amp;ROW())=C94),1,0)))</f>
        <v>0</v>
      </c>
      <c r="J350">
        <f ca="1">IF(AND(INDIRECT(A73&amp;ROW())=B95,INDIRECT(A96&amp;ROW())=C95),1,IF(AND(INDIRECT(A73&amp;ROW())=B95,INDIRECT(A96&amp;ROW())=C96),1,0))</f>
        <v>0</v>
      </c>
      <c r="K350">
        <f ca="1">DAYS360(INDIRECT(C68&amp;ROW()),TODAY())</f>
        <v>673</v>
      </c>
      <c r="L350">
        <f ca="1">DAYS360(INDIRECT(C69&amp;ROW()),TODAY())</f>
        <v>801</v>
      </c>
      <c r="M350">
        <f ca="1">HYPERLINK(CONCATENATE("https://bugzilla.houston.hp.com:1181/bugzilla/show_bug.cgi?id=",INDIRECT(C70&amp;ROW())),INDIRECT(C70&amp;ROW()))</f>
        <v>57016</v>
      </c>
      <c r="N350">
        <v>57016</v>
      </c>
      <c r="O350" t="s">
        <v>241</v>
      </c>
      <c r="P350" t="s">
        <v>737</v>
      </c>
      <c r="Q350" t="s">
        <v>16</v>
      </c>
      <c r="R350" t="s">
        <v>251</v>
      </c>
      <c r="S350" t="s">
        <v>523</v>
      </c>
      <c r="U350" s="6">
        <v>42174.078680555554</v>
      </c>
      <c r="V350" t="s">
        <v>18</v>
      </c>
      <c r="W350" t="s">
        <v>17</v>
      </c>
      <c r="X350" s="6">
        <v>42046.158449074072</v>
      </c>
      <c r="Y350" t="s">
        <v>124</v>
      </c>
      <c r="AB350" t="s">
        <v>200</v>
      </c>
      <c r="AC350" t="s">
        <v>247</v>
      </c>
      <c r="AD350" t="s">
        <v>227</v>
      </c>
      <c r="AE350" t="s">
        <v>226</v>
      </c>
      <c r="AG350" t="s">
        <v>121</v>
      </c>
      <c r="AH350" t="s">
        <v>327</v>
      </c>
      <c r="AI350" t="s">
        <v>121</v>
      </c>
      <c r="AJ350" t="s">
        <v>716</v>
      </c>
      <c r="AK350" t="s">
        <v>121</v>
      </c>
    </row>
    <row r="351" spans="9:37" x14ac:dyDescent="0.3">
      <c r="I351">
        <f ca="1">IF(OR(INDIRECT(A73&amp;ROW())=B93,INDIRECT(A73&amp;ROW())=B94),1,IF(AND(INDIRECT(A73&amp;ROW())=B95,INDIRECT(A96&amp;ROW())=C93),1,IF(AND(INDIRECT(A73&amp;ROW())=B95,INDIRECT(A96&amp;ROW())=C94),1,0)))</f>
        <v>0</v>
      </c>
      <c r="J351">
        <f ca="1">IF(AND(INDIRECT(A73&amp;ROW())=B95,INDIRECT(A96&amp;ROW())=C95),1,IF(AND(INDIRECT(A73&amp;ROW())=B95,INDIRECT(A96&amp;ROW())=C96),1,0))</f>
        <v>0</v>
      </c>
      <c r="K351">
        <f ca="1">DAYS360(INDIRECT(C68&amp;ROW()),TODAY())</f>
        <v>792</v>
      </c>
      <c r="L351">
        <f ca="1">DAYS360(INDIRECT(C69&amp;ROW()),TODAY())</f>
        <v>801</v>
      </c>
      <c r="M351">
        <f ca="1">HYPERLINK(CONCATENATE("https://bugzilla.houston.hp.com:1181/bugzilla/show_bug.cgi?id=",INDIRECT(C70&amp;ROW())),INDIRECT(C70&amp;ROW()))</f>
        <v>57043</v>
      </c>
      <c r="N351">
        <v>57043</v>
      </c>
      <c r="O351" t="s">
        <v>241</v>
      </c>
      <c r="P351" t="s">
        <v>736</v>
      </c>
      <c r="Q351" t="s">
        <v>16</v>
      </c>
      <c r="R351" t="s">
        <v>248</v>
      </c>
      <c r="S351" t="s">
        <v>552</v>
      </c>
      <c r="U351" s="6">
        <v>42055.65824074074</v>
      </c>
      <c r="V351" t="s">
        <v>18</v>
      </c>
      <c r="W351" t="s">
        <v>576</v>
      </c>
      <c r="X351" s="6">
        <v>42046.50708333333</v>
      </c>
      <c r="Y351" t="s">
        <v>119</v>
      </c>
      <c r="AB351" t="s">
        <v>200</v>
      </c>
      <c r="AC351" t="s">
        <v>247</v>
      </c>
      <c r="AD351" t="s">
        <v>227</v>
      </c>
      <c r="AE351" t="s">
        <v>226</v>
      </c>
      <c r="AG351" t="s">
        <v>121</v>
      </c>
      <c r="AH351" t="s">
        <v>327</v>
      </c>
      <c r="AI351" t="s">
        <v>121</v>
      </c>
      <c r="AJ351" t="s">
        <v>716</v>
      </c>
      <c r="AK351" t="s">
        <v>121</v>
      </c>
    </row>
    <row r="352" spans="9:37" x14ac:dyDescent="0.3">
      <c r="I352">
        <f ca="1">IF(OR(INDIRECT(A73&amp;ROW())=B93,INDIRECT(A73&amp;ROW())=B94),1,IF(AND(INDIRECT(A73&amp;ROW())=B95,INDIRECT(A96&amp;ROW())=C93),1,IF(AND(INDIRECT(A73&amp;ROW())=B95,INDIRECT(A96&amp;ROW())=C94),1,0)))</f>
        <v>0</v>
      </c>
      <c r="J352">
        <f ca="1">IF(AND(INDIRECT(A73&amp;ROW())=B95,INDIRECT(A96&amp;ROW())=C95),1,IF(AND(INDIRECT(A73&amp;ROW())=B95,INDIRECT(A96&amp;ROW())=C96),1,0))</f>
        <v>0</v>
      </c>
      <c r="K352">
        <f ca="1">DAYS360(INDIRECT(C68&amp;ROW()),TODAY())</f>
        <v>801</v>
      </c>
      <c r="L352">
        <f ca="1">DAYS360(INDIRECT(C69&amp;ROW()),TODAY())</f>
        <v>801</v>
      </c>
      <c r="M352">
        <f ca="1">HYPERLINK(CONCATENATE("https://bugzilla.houston.hp.com:1181/bugzilla/show_bug.cgi?id=",INDIRECT(C70&amp;ROW())),INDIRECT(C70&amp;ROW()))</f>
        <v>57044</v>
      </c>
      <c r="N352">
        <v>57044</v>
      </c>
      <c r="O352" t="s">
        <v>56</v>
      </c>
      <c r="P352" t="s">
        <v>735</v>
      </c>
      <c r="Q352" t="s">
        <v>16</v>
      </c>
      <c r="R352" t="s">
        <v>248</v>
      </c>
      <c r="S352" t="s">
        <v>552</v>
      </c>
      <c r="U352" s="6">
        <v>42046.507962962962</v>
      </c>
      <c r="V352" t="s">
        <v>18</v>
      </c>
      <c r="W352" t="s">
        <v>173</v>
      </c>
      <c r="X352" s="6">
        <v>42046.507372685184</v>
      </c>
      <c r="Y352" t="s">
        <v>122</v>
      </c>
      <c r="AB352" t="s">
        <v>201</v>
      </c>
      <c r="AC352" t="s">
        <v>247</v>
      </c>
      <c r="AD352" t="s">
        <v>220</v>
      </c>
      <c r="AE352" t="s">
        <v>219</v>
      </c>
      <c r="AG352" t="s">
        <v>121</v>
      </c>
      <c r="AH352" t="s">
        <v>327</v>
      </c>
      <c r="AI352" t="s">
        <v>121</v>
      </c>
      <c r="AJ352" t="s">
        <v>717</v>
      </c>
      <c r="AK352" t="s">
        <v>121</v>
      </c>
    </row>
    <row r="353" spans="9:37" x14ac:dyDescent="0.3">
      <c r="I353">
        <f ca="1">IF(OR(INDIRECT(A73&amp;ROW())=B93,INDIRECT(A73&amp;ROW())=B94),1,IF(AND(INDIRECT(A73&amp;ROW())=B95,INDIRECT(A96&amp;ROW())=C93),1,IF(AND(INDIRECT(A73&amp;ROW())=B95,INDIRECT(A96&amp;ROW())=C94),1,0)))</f>
        <v>0</v>
      </c>
      <c r="J353">
        <f ca="1">IF(AND(INDIRECT(A73&amp;ROW())=B95,INDIRECT(A96&amp;ROW())=C95),1,IF(AND(INDIRECT(A73&amp;ROW())=B95,INDIRECT(A96&amp;ROW())=C96),1,0))</f>
        <v>1</v>
      </c>
      <c r="K353">
        <f ca="1">DAYS360(INDIRECT(C68&amp;ROW()),TODAY())</f>
        <v>681</v>
      </c>
      <c r="L353">
        <f ca="1">DAYS360(INDIRECT(C69&amp;ROW()),TODAY())</f>
        <v>801</v>
      </c>
      <c r="M353">
        <f ca="1">HYPERLINK(CONCATENATE("https://bugzilla.houston.hp.com:1181/bugzilla/show_bug.cgi?id=",INDIRECT(C70&amp;ROW())),INDIRECT(C70&amp;ROW()))</f>
        <v>57045</v>
      </c>
      <c r="N353">
        <v>57045</v>
      </c>
      <c r="O353" t="s">
        <v>56</v>
      </c>
      <c r="P353" t="s">
        <v>734</v>
      </c>
      <c r="Q353" t="s">
        <v>25</v>
      </c>
      <c r="R353" t="s">
        <v>248</v>
      </c>
      <c r="S353" t="s">
        <v>552</v>
      </c>
      <c r="U353" s="6">
        <v>42166.35497685185</v>
      </c>
      <c r="V353" t="s">
        <v>18</v>
      </c>
      <c r="W353" t="s">
        <v>514</v>
      </c>
      <c r="X353" s="6">
        <v>42046.528171296297</v>
      </c>
      <c r="Y353" t="s">
        <v>535</v>
      </c>
      <c r="AB353" t="s">
        <v>201</v>
      </c>
      <c r="AC353" t="s">
        <v>247</v>
      </c>
      <c r="AD353" t="s">
        <v>220</v>
      </c>
      <c r="AE353" t="s">
        <v>219</v>
      </c>
      <c r="AG353" t="s">
        <v>121</v>
      </c>
      <c r="AH353" t="s">
        <v>327</v>
      </c>
      <c r="AI353" t="s">
        <v>121</v>
      </c>
      <c r="AJ353" t="s">
        <v>716</v>
      </c>
      <c r="AK353" t="s">
        <v>121</v>
      </c>
    </row>
    <row r="354" spans="9:37" x14ac:dyDescent="0.3">
      <c r="I354">
        <f ca="1">IF(OR(INDIRECT(A73&amp;ROW())=B93,INDIRECT(A73&amp;ROW())=B94),1,IF(AND(INDIRECT(A73&amp;ROW())=B95,INDIRECT(A96&amp;ROW())=C93),1,IF(AND(INDIRECT(A73&amp;ROW())=B95,INDIRECT(A96&amp;ROW())=C94),1,0)))</f>
        <v>0</v>
      </c>
      <c r="J354">
        <f ca="1">IF(AND(INDIRECT(A73&amp;ROW())=B95,INDIRECT(A96&amp;ROW())=C95),1,IF(AND(INDIRECT(A73&amp;ROW())=B95,INDIRECT(A96&amp;ROW())=C96),1,0))</f>
        <v>1</v>
      </c>
      <c r="K354">
        <f ca="1">DAYS360(INDIRECT(C68&amp;ROW()),TODAY())</f>
        <v>681</v>
      </c>
      <c r="L354">
        <f ca="1">DAYS360(INDIRECT(C69&amp;ROW()),TODAY())</f>
        <v>801</v>
      </c>
      <c r="M354">
        <f ca="1">HYPERLINK(CONCATENATE("https://bugzilla.houston.hp.com:1181/bugzilla/show_bug.cgi?id=",INDIRECT(C70&amp;ROW())),INDIRECT(C70&amp;ROW()))</f>
        <v>57048</v>
      </c>
      <c r="N354">
        <v>57048</v>
      </c>
      <c r="O354" t="s">
        <v>56</v>
      </c>
      <c r="P354" t="s">
        <v>733</v>
      </c>
      <c r="Q354" t="s">
        <v>25</v>
      </c>
      <c r="R354" t="s">
        <v>248</v>
      </c>
      <c r="S354" t="s">
        <v>552</v>
      </c>
      <c r="U354" s="6">
        <v>42166.355069444442</v>
      </c>
      <c r="V354" t="s">
        <v>18</v>
      </c>
      <c r="W354" t="s">
        <v>525</v>
      </c>
      <c r="X354" s="6">
        <v>42046.529097222221</v>
      </c>
      <c r="Y354" t="s">
        <v>255</v>
      </c>
      <c r="AB354" t="s">
        <v>201</v>
      </c>
      <c r="AC354" t="s">
        <v>247</v>
      </c>
      <c r="AD354" t="s">
        <v>220</v>
      </c>
      <c r="AE354" t="s">
        <v>219</v>
      </c>
      <c r="AG354" t="s">
        <v>121</v>
      </c>
      <c r="AH354" t="s">
        <v>327</v>
      </c>
      <c r="AI354" t="s">
        <v>121</v>
      </c>
      <c r="AJ354" t="s">
        <v>716</v>
      </c>
      <c r="AK354" t="s">
        <v>121</v>
      </c>
    </row>
    <row r="355" spans="9:37" x14ac:dyDescent="0.3">
      <c r="I355">
        <f ca="1">IF(OR(INDIRECT(A73&amp;ROW())=B93,INDIRECT(A73&amp;ROW())=B94),1,IF(AND(INDIRECT(A73&amp;ROW())=B95,INDIRECT(A96&amp;ROW())=C93),1,IF(AND(INDIRECT(A73&amp;ROW())=B95,INDIRECT(A96&amp;ROW())=C94),1,0)))</f>
        <v>0</v>
      </c>
      <c r="J355">
        <f ca="1">IF(AND(INDIRECT(A73&amp;ROW())=B95,INDIRECT(A96&amp;ROW())=C95),1,IF(AND(INDIRECT(A73&amp;ROW())=B95,INDIRECT(A96&amp;ROW())=C96),1,0))</f>
        <v>0</v>
      </c>
      <c r="K355">
        <f ca="1">DAYS360(INDIRECT(C68&amp;ROW()),TODAY())</f>
        <v>801</v>
      </c>
      <c r="L355">
        <f ca="1">DAYS360(INDIRECT(C69&amp;ROW()),TODAY())</f>
        <v>801</v>
      </c>
      <c r="M355">
        <f ca="1">HYPERLINK(CONCATENATE("https://bugzilla.houston.hp.com:1181/bugzilla/show_bug.cgi?id=",INDIRECT(C70&amp;ROW())),INDIRECT(C70&amp;ROW()))</f>
        <v>57050</v>
      </c>
      <c r="N355">
        <v>57050</v>
      </c>
      <c r="O355" t="s">
        <v>36</v>
      </c>
      <c r="P355" t="s">
        <v>732</v>
      </c>
      <c r="Q355" t="s">
        <v>16</v>
      </c>
      <c r="R355" t="s">
        <v>248</v>
      </c>
      <c r="S355" t="s">
        <v>552</v>
      </c>
      <c r="U355" s="6">
        <v>42046.538854166669</v>
      </c>
      <c r="V355" t="s">
        <v>18</v>
      </c>
      <c r="W355" t="s">
        <v>248</v>
      </c>
      <c r="X355" s="6">
        <v>42046.529687499999</v>
      </c>
      <c r="Y355" t="s">
        <v>786</v>
      </c>
      <c r="AB355" t="s">
        <v>201</v>
      </c>
      <c r="AC355" t="s">
        <v>247</v>
      </c>
      <c r="AD355" t="s">
        <v>227</v>
      </c>
      <c r="AE355" t="s">
        <v>226</v>
      </c>
      <c r="AG355" t="s">
        <v>121</v>
      </c>
      <c r="AH355" t="s">
        <v>327</v>
      </c>
      <c r="AI355" t="s">
        <v>121</v>
      </c>
      <c r="AJ355" t="s">
        <v>717</v>
      </c>
      <c r="AK355" t="s">
        <v>121</v>
      </c>
    </row>
    <row r="356" spans="9:37" x14ac:dyDescent="0.3">
      <c r="I356">
        <f ca="1">IF(OR(INDIRECT(A73&amp;ROW())=B93,INDIRECT(A73&amp;ROW())=B94),1,IF(AND(INDIRECT(A73&amp;ROW())=B95,INDIRECT(A96&amp;ROW())=C93),1,IF(AND(INDIRECT(A73&amp;ROW())=B95,INDIRECT(A96&amp;ROW())=C94),1,0)))</f>
        <v>0</v>
      </c>
      <c r="J356">
        <f ca="1">IF(AND(INDIRECT(A73&amp;ROW())=B95,INDIRECT(A96&amp;ROW())=C95),1,IF(AND(INDIRECT(A73&amp;ROW())=B95,INDIRECT(A96&amp;ROW())=C96),1,0))</f>
        <v>0</v>
      </c>
      <c r="K356">
        <f ca="1">DAYS360(INDIRECT(C68&amp;ROW()),TODAY())</f>
        <v>769</v>
      </c>
      <c r="L356">
        <f ca="1">DAYS360(INDIRECT(C69&amp;ROW()),TODAY())</f>
        <v>801</v>
      </c>
      <c r="M356">
        <f ca="1">HYPERLINK(CONCATENATE("https://bugzilla.houston.hp.com:1181/bugzilla/show_bug.cgi?id=",INDIRECT(C70&amp;ROW())),INDIRECT(C70&amp;ROW()))</f>
        <v>57052</v>
      </c>
      <c r="N356">
        <v>57052</v>
      </c>
      <c r="O356" t="s">
        <v>56</v>
      </c>
      <c r="P356" t="s">
        <v>731</v>
      </c>
      <c r="Q356" t="s">
        <v>16</v>
      </c>
      <c r="R356" t="s">
        <v>248</v>
      </c>
      <c r="S356" t="s">
        <v>552</v>
      </c>
      <c r="U356" s="6">
        <v>42076.532280092593</v>
      </c>
      <c r="V356" t="s">
        <v>18</v>
      </c>
      <c r="W356" t="s">
        <v>248</v>
      </c>
      <c r="X356" s="6">
        <v>42046.530289351853</v>
      </c>
      <c r="Y356" t="s">
        <v>118</v>
      </c>
      <c r="AB356" t="s">
        <v>199</v>
      </c>
      <c r="AC356" t="s">
        <v>247</v>
      </c>
      <c r="AD356" t="s">
        <v>220</v>
      </c>
      <c r="AE356" t="s">
        <v>219</v>
      </c>
      <c r="AG356" t="s">
        <v>121</v>
      </c>
      <c r="AH356" t="s">
        <v>327</v>
      </c>
      <c r="AI356" t="s">
        <v>121</v>
      </c>
      <c r="AJ356" t="s">
        <v>716</v>
      </c>
      <c r="AK356" t="s">
        <v>121</v>
      </c>
    </row>
    <row r="357" spans="9:37" x14ac:dyDescent="0.3">
      <c r="I357">
        <f ca="1">IF(OR(INDIRECT(A73&amp;ROW())=B93,INDIRECT(A73&amp;ROW())=B94),1,IF(AND(INDIRECT(A73&amp;ROW())=B95,INDIRECT(A96&amp;ROW())=C93),1,IF(AND(INDIRECT(A73&amp;ROW())=B95,INDIRECT(A96&amp;ROW())=C94),1,0)))</f>
        <v>0</v>
      </c>
      <c r="J357">
        <f ca="1">IF(AND(INDIRECT(A73&amp;ROW())=B95,INDIRECT(A96&amp;ROW())=C95),1,IF(AND(INDIRECT(A73&amp;ROW())=B95,INDIRECT(A96&amp;ROW())=C96),1,0))</f>
        <v>0</v>
      </c>
      <c r="K357">
        <f ca="1">DAYS360(INDIRECT(C68&amp;ROW()),TODAY())</f>
        <v>801</v>
      </c>
      <c r="L357">
        <f ca="1">DAYS360(INDIRECT(C69&amp;ROW()),TODAY())</f>
        <v>801</v>
      </c>
      <c r="M357">
        <f ca="1">HYPERLINK(CONCATENATE("https://bugzilla.houston.hp.com:1181/bugzilla/show_bug.cgi?id=",INDIRECT(C70&amp;ROW())),INDIRECT(C70&amp;ROW()))</f>
        <v>57054</v>
      </c>
      <c r="N357">
        <v>57054</v>
      </c>
      <c r="O357" t="s">
        <v>56</v>
      </c>
      <c r="P357" t="s">
        <v>730</v>
      </c>
      <c r="Q357" t="s">
        <v>16</v>
      </c>
      <c r="R357" t="s">
        <v>248</v>
      </c>
      <c r="S357" t="s">
        <v>552</v>
      </c>
      <c r="U357" s="6">
        <v>42046.54010416667</v>
      </c>
      <c r="V357" t="s">
        <v>18</v>
      </c>
      <c r="W357" t="s">
        <v>343</v>
      </c>
      <c r="X357" s="6">
        <v>42046.532210648147</v>
      </c>
      <c r="Y357" t="s">
        <v>246</v>
      </c>
      <c r="AB357" t="s">
        <v>200</v>
      </c>
      <c r="AC357" t="s">
        <v>247</v>
      </c>
      <c r="AD357" t="s">
        <v>220</v>
      </c>
      <c r="AE357" t="s">
        <v>219</v>
      </c>
      <c r="AG357" t="s">
        <v>121</v>
      </c>
      <c r="AH357" t="s">
        <v>327</v>
      </c>
      <c r="AI357" t="s">
        <v>121</v>
      </c>
      <c r="AJ357" t="s">
        <v>716</v>
      </c>
      <c r="AK357" t="s">
        <v>121</v>
      </c>
    </row>
    <row r="358" spans="9:37" x14ac:dyDescent="0.3">
      <c r="I358">
        <f ca="1">IF(OR(INDIRECT(A73&amp;ROW())=B93,INDIRECT(A73&amp;ROW())=B94),1,IF(AND(INDIRECT(A73&amp;ROW())=B95,INDIRECT(A96&amp;ROW())=C93),1,IF(AND(INDIRECT(A73&amp;ROW())=B95,INDIRECT(A96&amp;ROW())=C94),1,0)))</f>
        <v>0</v>
      </c>
      <c r="J358">
        <f ca="1">IF(AND(INDIRECT(A73&amp;ROW())=B95,INDIRECT(A96&amp;ROW())=C95),1,IF(AND(INDIRECT(A73&amp;ROW())=B95,INDIRECT(A96&amp;ROW())=C96),1,0))</f>
        <v>1</v>
      </c>
      <c r="K358">
        <f ca="1">DAYS360(INDIRECT(C68&amp;ROW()),TODAY())</f>
        <v>801</v>
      </c>
      <c r="L358">
        <f ca="1">DAYS360(INDIRECT(C69&amp;ROW()),TODAY())</f>
        <v>801</v>
      </c>
      <c r="M358">
        <f ca="1">HYPERLINK(CONCATENATE("https://bugzilla.houston.hp.com:1181/bugzilla/show_bug.cgi?id=",INDIRECT(C70&amp;ROW())),INDIRECT(C70&amp;ROW()))</f>
        <v>57055</v>
      </c>
      <c r="N358">
        <v>57055</v>
      </c>
      <c r="O358" t="s">
        <v>56</v>
      </c>
      <c r="P358" t="s">
        <v>729</v>
      </c>
      <c r="Q358" t="s">
        <v>25</v>
      </c>
      <c r="R358" t="s">
        <v>248</v>
      </c>
      <c r="S358" t="s">
        <v>552</v>
      </c>
      <c r="U358" s="6">
        <v>42046.577997685185</v>
      </c>
      <c r="V358" t="s">
        <v>18</v>
      </c>
      <c r="W358" t="s">
        <v>288</v>
      </c>
      <c r="X358" s="6">
        <v>42046.533553240741</v>
      </c>
      <c r="Y358" t="s">
        <v>119</v>
      </c>
      <c r="AB358" t="s">
        <v>201</v>
      </c>
      <c r="AC358" t="s">
        <v>121</v>
      </c>
      <c r="AD358" t="s">
        <v>220</v>
      </c>
      <c r="AE358" t="s">
        <v>219</v>
      </c>
      <c r="AF358" s="13">
        <v>41901</v>
      </c>
      <c r="AG358" t="s">
        <v>121</v>
      </c>
      <c r="AH358" t="s">
        <v>64</v>
      </c>
      <c r="AI358" t="s">
        <v>363</v>
      </c>
      <c r="AJ358" t="s">
        <v>716</v>
      </c>
      <c r="AK358" t="s">
        <v>121</v>
      </c>
    </row>
    <row r="359" spans="9:37" x14ac:dyDescent="0.3">
      <c r="I359">
        <f ca="1">IF(OR(INDIRECT(A73&amp;ROW())=B93,INDIRECT(A73&amp;ROW())=B94),1,IF(AND(INDIRECT(A73&amp;ROW())=B95,INDIRECT(A96&amp;ROW())=C93),1,IF(AND(INDIRECT(A73&amp;ROW())=B95,INDIRECT(A96&amp;ROW())=C94),1,0)))</f>
        <v>1</v>
      </c>
      <c r="J359">
        <f ca="1">IF(AND(INDIRECT(A73&amp;ROW())=B95,INDIRECT(A96&amp;ROW())=C95),1,IF(AND(INDIRECT(A73&amp;ROW())=B95,INDIRECT(A96&amp;ROW())=C96),1,0))</f>
        <v>0</v>
      </c>
      <c r="K359">
        <f ca="1">DAYS360(INDIRECT(C68&amp;ROW()),TODAY())</f>
        <v>673</v>
      </c>
      <c r="L359">
        <f ca="1">DAYS360(INDIRECT(C69&amp;ROW()),TODAY())</f>
        <v>801</v>
      </c>
      <c r="M359">
        <f ca="1">HYPERLINK(CONCATENATE("https://bugzilla.houston.hp.com:1181/bugzilla/show_bug.cgi?id=",INDIRECT(C70&amp;ROW())),INDIRECT(C70&amp;ROW()))</f>
        <v>57057</v>
      </c>
      <c r="N359">
        <v>57057</v>
      </c>
      <c r="O359" t="s">
        <v>188</v>
      </c>
      <c r="P359" t="s">
        <v>728</v>
      </c>
      <c r="Q359" t="s">
        <v>25</v>
      </c>
      <c r="R359" t="s">
        <v>248</v>
      </c>
      <c r="S359" t="s">
        <v>552</v>
      </c>
      <c r="U359" s="6">
        <v>42174.725127314814</v>
      </c>
      <c r="V359" t="s">
        <v>18</v>
      </c>
      <c r="W359" t="s">
        <v>260</v>
      </c>
      <c r="X359" s="6">
        <v>42046.534212962964</v>
      </c>
      <c r="Y359" t="s">
        <v>119</v>
      </c>
      <c r="AB359" t="s">
        <v>200</v>
      </c>
      <c r="AC359" t="s">
        <v>121</v>
      </c>
      <c r="AD359" t="s">
        <v>222</v>
      </c>
      <c r="AE359" t="s">
        <v>233</v>
      </c>
      <c r="AF359" s="13">
        <v>41878</v>
      </c>
      <c r="AG359" t="s">
        <v>121</v>
      </c>
      <c r="AH359" t="s">
        <v>64</v>
      </c>
      <c r="AI359" t="s">
        <v>362</v>
      </c>
      <c r="AJ359" t="s">
        <v>715</v>
      </c>
      <c r="AK359" t="s">
        <v>121</v>
      </c>
    </row>
    <row r="360" spans="9:37" x14ac:dyDescent="0.3">
      <c r="I360">
        <f ca="1">IF(OR(INDIRECT(A73&amp;ROW())=B93,INDIRECT(A73&amp;ROW())=B94),1,IF(AND(INDIRECT(A73&amp;ROW())=B95,INDIRECT(A96&amp;ROW())=C93),1,IF(AND(INDIRECT(A73&amp;ROW())=B95,INDIRECT(A96&amp;ROW())=C94),1,0)))</f>
        <v>0</v>
      </c>
      <c r="J360">
        <f ca="1">IF(AND(INDIRECT(A73&amp;ROW())=B95,INDIRECT(A96&amp;ROW())=C95),1,IF(AND(INDIRECT(A73&amp;ROW())=B95,INDIRECT(A96&amp;ROW())=C96),1,0))</f>
        <v>0</v>
      </c>
      <c r="K360">
        <f ca="1">DAYS360(INDIRECT(C68&amp;ROW()),TODAY())</f>
        <v>721</v>
      </c>
      <c r="L360">
        <f ca="1">DAYS360(INDIRECT(C69&amp;ROW()),TODAY())</f>
        <v>801</v>
      </c>
      <c r="M360">
        <f ca="1">HYPERLINK(CONCATENATE("https://bugzilla.houston.hp.com:1181/bugzilla/show_bug.cgi?id=",INDIRECT(C70&amp;ROW())),INDIRECT(C70&amp;ROW()))</f>
        <v>57058</v>
      </c>
      <c r="N360">
        <v>57058</v>
      </c>
      <c r="O360" t="s">
        <v>56</v>
      </c>
      <c r="P360" t="s">
        <v>727</v>
      </c>
      <c r="Q360" t="s">
        <v>16</v>
      </c>
      <c r="R360" t="s">
        <v>248</v>
      </c>
      <c r="S360" t="s">
        <v>552</v>
      </c>
      <c r="U360" s="6">
        <v>42125.447685185187</v>
      </c>
      <c r="V360" t="s">
        <v>18</v>
      </c>
      <c r="W360" t="s">
        <v>343</v>
      </c>
      <c r="X360" s="6">
        <v>42046.534537037034</v>
      </c>
      <c r="Y360" t="s">
        <v>122</v>
      </c>
      <c r="AB360" t="s">
        <v>201</v>
      </c>
      <c r="AC360" t="s">
        <v>247</v>
      </c>
      <c r="AD360" t="s">
        <v>220</v>
      </c>
      <c r="AE360" t="s">
        <v>219</v>
      </c>
      <c r="AG360" t="s">
        <v>121</v>
      </c>
      <c r="AH360" t="s">
        <v>327</v>
      </c>
      <c r="AI360" t="s">
        <v>121</v>
      </c>
      <c r="AJ360" t="s">
        <v>717</v>
      </c>
      <c r="AK360" t="s">
        <v>121</v>
      </c>
    </row>
    <row r="361" spans="9:37" x14ac:dyDescent="0.3">
      <c r="I361">
        <f ca="1">IF(OR(INDIRECT(A73&amp;ROW())=B93,INDIRECT(A73&amp;ROW())=B94),1,IF(AND(INDIRECT(A73&amp;ROW())=B95,INDIRECT(A96&amp;ROW())=C93),1,IF(AND(INDIRECT(A73&amp;ROW())=B95,INDIRECT(A96&amp;ROW())=C94),1,0)))</f>
        <v>0</v>
      </c>
      <c r="J361">
        <f ca="1">IF(AND(INDIRECT(A73&amp;ROW())=B95,INDIRECT(A96&amp;ROW())=C95),1,IF(AND(INDIRECT(A73&amp;ROW())=B95,INDIRECT(A96&amp;ROW())=C96),1,0))</f>
        <v>0</v>
      </c>
      <c r="K361">
        <f ca="1">DAYS360(INDIRECT(C68&amp;ROW()),TODAY())</f>
        <v>721</v>
      </c>
      <c r="L361">
        <f ca="1">DAYS360(INDIRECT(C69&amp;ROW()),TODAY())</f>
        <v>801</v>
      </c>
      <c r="M361">
        <f ca="1">HYPERLINK(CONCATENATE("https://bugzilla.houston.hp.com:1181/bugzilla/show_bug.cgi?id=",INDIRECT(C70&amp;ROW())),INDIRECT(C70&amp;ROW()))</f>
        <v>57061</v>
      </c>
      <c r="N361">
        <v>57061</v>
      </c>
      <c r="O361" t="s">
        <v>56</v>
      </c>
      <c r="P361" t="s">
        <v>726</v>
      </c>
      <c r="Q361" t="s">
        <v>16</v>
      </c>
      <c r="R361" t="s">
        <v>248</v>
      </c>
      <c r="S361" t="s">
        <v>552</v>
      </c>
      <c r="U361" s="6">
        <v>42125.443958333337</v>
      </c>
      <c r="V361" t="s">
        <v>18</v>
      </c>
      <c r="W361" t="s">
        <v>355</v>
      </c>
      <c r="X361" s="6">
        <v>42046.535856481481</v>
      </c>
      <c r="Y361" t="s">
        <v>122</v>
      </c>
      <c r="AB361" t="s">
        <v>200</v>
      </c>
      <c r="AC361" t="s">
        <v>121</v>
      </c>
      <c r="AD361" t="s">
        <v>220</v>
      </c>
      <c r="AE361" t="s">
        <v>219</v>
      </c>
      <c r="AG361" t="s">
        <v>121</v>
      </c>
      <c r="AH361" t="s">
        <v>327</v>
      </c>
      <c r="AI361" t="s">
        <v>121</v>
      </c>
      <c r="AJ361" t="s">
        <v>716</v>
      </c>
      <c r="AK361" t="s">
        <v>121</v>
      </c>
    </row>
    <row r="362" spans="9:37" x14ac:dyDescent="0.3">
      <c r="I362">
        <f ca="1">IF(OR(INDIRECT(A73&amp;ROW())=B93,INDIRECT(A73&amp;ROW())=B94),1,IF(AND(INDIRECT(A73&amp;ROW())=B95,INDIRECT(A96&amp;ROW())=C93),1,IF(AND(INDIRECT(A73&amp;ROW())=B95,INDIRECT(A96&amp;ROW())=C94),1,0)))</f>
        <v>0</v>
      </c>
      <c r="J362">
        <f ca="1">IF(AND(INDIRECT(A73&amp;ROW())=B95,INDIRECT(A96&amp;ROW())=C95),1,IF(AND(INDIRECT(A73&amp;ROW())=B95,INDIRECT(A96&amp;ROW())=C96),1,0))</f>
        <v>0</v>
      </c>
      <c r="K362">
        <f ca="1">DAYS360(INDIRECT(C68&amp;ROW()),TODAY())</f>
        <v>721</v>
      </c>
      <c r="L362">
        <f ca="1">DAYS360(INDIRECT(C69&amp;ROW()),TODAY())</f>
        <v>801</v>
      </c>
      <c r="M362">
        <f ca="1">HYPERLINK(CONCATENATE("https://bugzilla.houston.hp.com:1181/bugzilla/show_bug.cgi?id=",INDIRECT(C70&amp;ROW())),INDIRECT(C70&amp;ROW()))</f>
        <v>57062</v>
      </c>
      <c r="N362">
        <v>57062</v>
      </c>
      <c r="O362" t="s">
        <v>56</v>
      </c>
      <c r="P362" t="s">
        <v>725</v>
      </c>
      <c r="Q362" t="s">
        <v>16</v>
      </c>
      <c r="R362" t="s">
        <v>248</v>
      </c>
      <c r="S362" t="s">
        <v>552</v>
      </c>
      <c r="U362" s="6">
        <v>42125.443865740737</v>
      </c>
      <c r="V362" t="s">
        <v>18</v>
      </c>
      <c r="W362" t="s">
        <v>215</v>
      </c>
      <c r="X362" s="6">
        <v>42046.536157407405</v>
      </c>
      <c r="Y362" t="s">
        <v>122</v>
      </c>
      <c r="AB362" t="s">
        <v>200</v>
      </c>
      <c r="AC362" t="s">
        <v>247</v>
      </c>
      <c r="AD362" t="s">
        <v>220</v>
      </c>
      <c r="AE362" t="s">
        <v>219</v>
      </c>
      <c r="AG362" t="s">
        <v>121</v>
      </c>
      <c r="AH362" t="s">
        <v>327</v>
      </c>
      <c r="AI362" t="s">
        <v>121</v>
      </c>
      <c r="AJ362" t="s">
        <v>716</v>
      </c>
      <c r="AK362" t="s">
        <v>121</v>
      </c>
    </row>
    <row r="363" spans="9:37" x14ac:dyDescent="0.3">
      <c r="I363">
        <f ca="1">IF(OR(INDIRECT(A73&amp;ROW())=B93,INDIRECT(A73&amp;ROW())=B94),1,IF(AND(INDIRECT(A73&amp;ROW())=B95,INDIRECT(A96&amp;ROW())=C93),1,IF(AND(INDIRECT(A73&amp;ROW())=B95,INDIRECT(A96&amp;ROW())=C94),1,0)))</f>
        <v>0</v>
      </c>
      <c r="J363">
        <f ca="1">IF(AND(INDIRECT(A73&amp;ROW())=B95,INDIRECT(A96&amp;ROW())=C95),1,IF(AND(INDIRECT(A73&amp;ROW())=B95,INDIRECT(A96&amp;ROW())=C96),1,0))</f>
        <v>0</v>
      </c>
      <c r="K363">
        <f ca="1">DAYS360(INDIRECT(C68&amp;ROW()),TODAY())</f>
        <v>684</v>
      </c>
      <c r="L363">
        <f ca="1">DAYS360(INDIRECT(C69&amp;ROW()),TODAY())</f>
        <v>801</v>
      </c>
      <c r="M363">
        <f ca="1">HYPERLINK(CONCATENATE("https://bugzilla.houston.hp.com:1181/bugzilla/show_bug.cgi?id=",INDIRECT(C70&amp;ROW())),INDIRECT(C70&amp;ROW()))</f>
        <v>57063</v>
      </c>
      <c r="N363">
        <v>57063</v>
      </c>
      <c r="O363" t="s">
        <v>56</v>
      </c>
      <c r="P363" t="s">
        <v>724</v>
      </c>
      <c r="Q363" t="s">
        <v>16</v>
      </c>
      <c r="R363" t="s">
        <v>248</v>
      </c>
      <c r="S363" t="s">
        <v>552</v>
      </c>
      <c r="T363" t="s">
        <v>842</v>
      </c>
      <c r="U363" s="6">
        <v>42163.610300925924</v>
      </c>
      <c r="V363" t="s">
        <v>18</v>
      </c>
      <c r="W363" t="s">
        <v>248</v>
      </c>
      <c r="X363" s="6">
        <v>42046.541284722225</v>
      </c>
      <c r="Y363" t="s">
        <v>785</v>
      </c>
      <c r="AB363" t="s">
        <v>200</v>
      </c>
      <c r="AC363" t="s">
        <v>247</v>
      </c>
      <c r="AD363" t="s">
        <v>220</v>
      </c>
      <c r="AE363" t="s">
        <v>219</v>
      </c>
      <c r="AG363" t="s">
        <v>121</v>
      </c>
      <c r="AH363" t="s">
        <v>327</v>
      </c>
      <c r="AI363" t="s">
        <v>121</v>
      </c>
      <c r="AJ363" t="s">
        <v>716</v>
      </c>
      <c r="AK363" t="s">
        <v>121</v>
      </c>
    </row>
    <row r="364" spans="9:37" x14ac:dyDescent="0.3">
      <c r="I364">
        <f ca="1">IF(OR(INDIRECT(A73&amp;ROW())=B93,INDIRECT(A73&amp;ROW())=B94),1,IF(AND(INDIRECT(A73&amp;ROW())=B95,INDIRECT(A96&amp;ROW())=C93),1,IF(AND(INDIRECT(A73&amp;ROW())=B95,INDIRECT(A96&amp;ROW())=C94),1,0)))</f>
        <v>1</v>
      </c>
      <c r="J364">
        <f ca="1">IF(AND(INDIRECT(A73&amp;ROW())=B95,INDIRECT(A96&amp;ROW())=C95),1,IF(AND(INDIRECT(A73&amp;ROW())=B95,INDIRECT(A96&amp;ROW())=C96),1,0))</f>
        <v>0</v>
      </c>
      <c r="K364">
        <f ca="1">DAYS360(INDIRECT(C68&amp;ROW()),TODAY())</f>
        <v>675</v>
      </c>
      <c r="L364">
        <f ca="1">DAYS360(INDIRECT(C69&amp;ROW()),TODAY())</f>
        <v>801</v>
      </c>
      <c r="M364">
        <f ca="1">HYPERLINK(CONCATENATE("https://bugzilla.houston.hp.com:1181/bugzilla/show_bug.cgi?id=",INDIRECT(C70&amp;ROW())),INDIRECT(C70&amp;ROW()))</f>
        <v>57072</v>
      </c>
      <c r="N364">
        <v>57072</v>
      </c>
      <c r="O364" t="s">
        <v>241</v>
      </c>
      <c r="P364" t="s">
        <v>723</v>
      </c>
      <c r="Q364" t="s">
        <v>39</v>
      </c>
      <c r="R364" t="s">
        <v>251</v>
      </c>
      <c r="S364" t="s">
        <v>24</v>
      </c>
      <c r="U364" s="6">
        <v>42172.323553240742</v>
      </c>
      <c r="V364" t="s">
        <v>18</v>
      </c>
      <c r="W364" t="s">
        <v>17</v>
      </c>
      <c r="X364" s="6">
        <v>42046.616006944445</v>
      </c>
      <c r="Y364" t="s">
        <v>535</v>
      </c>
      <c r="AB364" t="s">
        <v>201</v>
      </c>
      <c r="AC364" t="s">
        <v>247</v>
      </c>
      <c r="AD364" t="s">
        <v>222</v>
      </c>
      <c r="AE364" t="s">
        <v>221</v>
      </c>
      <c r="AG364" t="s">
        <v>121</v>
      </c>
      <c r="AH364" t="s">
        <v>327</v>
      </c>
      <c r="AI364" t="s">
        <v>121</v>
      </c>
      <c r="AJ364" t="s">
        <v>715</v>
      </c>
      <c r="AK364" t="s">
        <v>121</v>
      </c>
    </row>
    <row r="365" spans="9:37" x14ac:dyDescent="0.3">
      <c r="I365">
        <f ca="1">IF(OR(INDIRECT(A73&amp;ROW())=B93,INDIRECT(A73&amp;ROW())=B94),1,IF(AND(INDIRECT(A73&amp;ROW())=B95,INDIRECT(A96&amp;ROW())=C93),1,IF(AND(INDIRECT(A73&amp;ROW())=B95,INDIRECT(A96&amp;ROW())=C94),1,0)))</f>
        <v>1</v>
      </c>
      <c r="J365">
        <f ca="1">IF(AND(INDIRECT(A73&amp;ROW())=B95,INDIRECT(A96&amp;ROW())=C95),1,IF(AND(INDIRECT(A73&amp;ROW())=B95,INDIRECT(A96&amp;ROW())=C96),1,0))</f>
        <v>0</v>
      </c>
      <c r="K365">
        <f ca="1">DAYS360(INDIRECT(C68&amp;ROW()),TODAY())</f>
        <v>676</v>
      </c>
      <c r="L365">
        <f ca="1">DAYS360(INDIRECT(C69&amp;ROW()),TODAY())</f>
        <v>801</v>
      </c>
      <c r="M365">
        <f ca="1">HYPERLINK(CONCATENATE("https://bugzilla.houston.hp.com:1181/bugzilla/show_bug.cgi?id=",INDIRECT(C70&amp;ROW())),INDIRECT(C70&amp;ROW()))</f>
        <v>57075</v>
      </c>
      <c r="N365">
        <v>57075</v>
      </c>
      <c r="O365" t="s">
        <v>241</v>
      </c>
      <c r="P365" t="s">
        <v>722</v>
      </c>
      <c r="Q365" t="s">
        <v>39</v>
      </c>
      <c r="R365" t="s">
        <v>579</v>
      </c>
      <c r="S365" t="s">
        <v>552</v>
      </c>
      <c r="T365" t="s">
        <v>820</v>
      </c>
      <c r="U365" s="6">
        <v>42171.549432870372</v>
      </c>
      <c r="V365" t="s">
        <v>40</v>
      </c>
      <c r="W365" t="s">
        <v>576</v>
      </c>
      <c r="X365" s="6">
        <v>42046.66238425926</v>
      </c>
      <c r="Y365" t="s">
        <v>535</v>
      </c>
      <c r="AB365" t="s">
        <v>201</v>
      </c>
      <c r="AC365" t="s">
        <v>247</v>
      </c>
      <c r="AD365" t="s">
        <v>227</v>
      </c>
      <c r="AE365" t="s">
        <v>237</v>
      </c>
      <c r="AG365" t="s">
        <v>121</v>
      </c>
      <c r="AH365" t="s">
        <v>327</v>
      </c>
      <c r="AI365" t="s">
        <v>362</v>
      </c>
      <c r="AJ365" t="s">
        <v>715</v>
      </c>
      <c r="AK365" t="s">
        <v>121</v>
      </c>
    </row>
    <row r="366" spans="9:37" x14ac:dyDescent="0.3">
      <c r="I366">
        <f ca="1">IF(OR(INDIRECT(A73&amp;ROW())=B93,INDIRECT(A73&amp;ROW())=B94),1,IF(AND(INDIRECT(A73&amp;ROW())=B95,INDIRECT(A96&amp;ROW())=C93),1,IF(AND(INDIRECT(A73&amp;ROW())=B95,INDIRECT(A96&amp;ROW())=C94),1,0)))</f>
        <v>1</v>
      </c>
      <c r="J366">
        <f ca="1">IF(AND(INDIRECT(A73&amp;ROW())=B95,INDIRECT(A96&amp;ROW())=C95),1,IF(AND(INDIRECT(A73&amp;ROW())=B95,INDIRECT(A96&amp;ROW())=C96),1,0))</f>
        <v>0</v>
      </c>
      <c r="K366">
        <f ca="1">DAYS360(INDIRECT(C68&amp;ROW()),TODAY())</f>
        <v>676</v>
      </c>
      <c r="L366">
        <f ca="1">DAYS360(INDIRECT(C69&amp;ROW()),TODAY())</f>
        <v>801</v>
      </c>
      <c r="M366">
        <f ca="1">HYPERLINK(CONCATENATE("https://bugzilla.houston.hp.com:1181/bugzilla/show_bug.cgi?id=",INDIRECT(C70&amp;ROW())),INDIRECT(C70&amp;ROW()))</f>
        <v>57076</v>
      </c>
      <c r="N366">
        <v>57076</v>
      </c>
      <c r="O366" t="s">
        <v>241</v>
      </c>
      <c r="P366" t="s">
        <v>721</v>
      </c>
      <c r="Q366" t="s">
        <v>39</v>
      </c>
      <c r="R366" t="s">
        <v>248</v>
      </c>
      <c r="S366" t="s">
        <v>552</v>
      </c>
      <c r="U366" s="6">
        <v>42171.548877314817</v>
      </c>
      <c r="V366" t="s">
        <v>40</v>
      </c>
      <c r="W366" t="s">
        <v>248</v>
      </c>
      <c r="X366" s="6">
        <v>42046.666458333333</v>
      </c>
      <c r="Y366" t="s">
        <v>535</v>
      </c>
      <c r="AB366" t="s">
        <v>201</v>
      </c>
      <c r="AC366" t="s">
        <v>247</v>
      </c>
      <c r="AD366" t="s">
        <v>227</v>
      </c>
      <c r="AE366" t="s">
        <v>237</v>
      </c>
      <c r="AG366" t="s">
        <v>121</v>
      </c>
      <c r="AH366" t="s">
        <v>327</v>
      </c>
      <c r="AI366" t="s">
        <v>121</v>
      </c>
      <c r="AJ366" t="s">
        <v>715</v>
      </c>
      <c r="AK366" t="s">
        <v>121</v>
      </c>
    </row>
    <row r="367" spans="9:37" x14ac:dyDescent="0.3">
      <c r="I367">
        <f ca="1">IF(OR(INDIRECT(A73&amp;ROW())=B93,INDIRECT(A73&amp;ROW())=B94),1,IF(AND(INDIRECT(A73&amp;ROW())=B95,INDIRECT(A96&amp;ROW())=C93),1,IF(AND(INDIRECT(A73&amp;ROW())=B95,INDIRECT(A96&amp;ROW())=C94),1,0)))</f>
        <v>1</v>
      </c>
      <c r="J367">
        <f ca="1">IF(AND(INDIRECT(A73&amp;ROW())=B95,INDIRECT(A96&amp;ROW())=C95),1,IF(AND(INDIRECT(A73&amp;ROW())=B95,INDIRECT(A96&amp;ROW())=C96),1,0))</f>
        <v>0</v>
      </c>
      <c r="K367">
        <f ca="1">DAYS360(INDIRECT(C68&amp;ROW()),TODAY())</f>
        <v>681</v>
      </c>
      <c r="L367">
        <f ca="1">DAYS360(INDIRECT(C69&amp;ROW()),TODAY())</f>
        <v>800</v>
      </c>
      <c r="M367">
        <f ca="1">HYPERLINK(CONCATENATE("https://bugzilla.houston.hp.com:1181/bugzilla/show_bug.cgi?id=",INDIRECT(C70&amp;ROW())),INDIRECT(C70&amp;ROW()))</f>
        <v>57153</v>
      </c>
      <c r="N367">
        <v>57153</v>
      </c>
      <c r="O367" t="s">
        <v>53</v>
      </c>
      <c r="P367" t="s">
        <v>720</v>
      </c>
      <c r="Q367" t="s">
        <v>39</v>
      </c>
      <c r="R367" t="s">
        <v>251</v>
      </c>
      <c r="S367" t="s">
        <v>43</v>
      </c>
      <c r="U367" s="6">
        <v>42166.734016203707</v>
      </c>
      <c r="V367" t="s">
        <v>18</v>
      </c>
      <c r="W367" t="s">
        <v>17</v>
      </c>
      <c r="X367" s="6">
        <v>42047.550046296295</v>
      </c>
      <c r="Y367" t="s">
        <v>122</v>
      </c>
      <c r="Z367" t="s">
        <v>190</v>
      </c>
      <c r="AB367" t="s">
        <v>201</v>
      </c>
      <c r="AC367" t="s">
        <v>247</v>
      </c>
      <c r="AD367" t="s">
        <v>220</v>
      </c>
      <c r="AE367" t="s">
        <v>219</v>
      </c>
      <c r="AG367" t="s">
        <v>121</v>
      </c>
      <c r="AH367" t="s">
        <v>327</v>
      </c>
      <c r="AI367" t="s">
        <v>121</v>
      </c>
      <c r="AJ367" t="s">
        <v>715</v>
      </c>
      <c r="AK367" t="s">
        <v>121</v>
      </c>
    </row>
    <row r="368" spans="9:37" x14ac:dyDescent="0.3">
      <c r="I368">
        <f ca="1">IF(OR(INDIRECT(A73&amp;ROW())=B93,INDIRECT(A73&amp;ROW())=B94),1,IF(AND(INDIRECT(A73&amp;ROW())=B95,INDIRECT(A96&amp;ROW())=C93),1,IF(AND(INDIRECT(A73&amp;ROW())=B95,INDIRECT(A96&amp;ROW())=C94),1,0)))</f>
        <v>0</v>
      </c>
      <c r="J368">
        <f ca="1">IF(AND(INDIRECT(A73&amp;ROW())=B95,INDIRECT(A96&amp;ROW())=C95),1,IF(AND(INDIRECT(A73&amp;ROW())=B95,INDIRECT(A96&amp;ROW())=C96),1,0))</f>
        <v>1</v>
      </c>
      <c r="K368">
        <f ca="1">DAYS360(INDIRECT(C68&amp;ROW()),TODAY())</f>
        <v>752</v>
      </c>
      <c r="L368">
        <f ca="1">DAYS360(INDIRECT(C69&amp;ROW()),TODAY())</f>
        <v>795</v>
      </c>
      <c r="M368">
        <f ca="1">HYPERLINK(CONCATENATE("https://bugzilla.houston.hp.com:1181/bugzilla/show_bug.cgi?id=",INDIRECT(C70&amp;ROW())),INDIRECT(C70&amp;ROW()))</f>
        <v>57333</v>
      </c>
      <c r="N368">
        <v>57333</v>
      </c>
      <c r="O368" t="s">
        <v>56</v>
      </c>
      <c r="P368" t="s">
        <v>745</v>
      </c>
      <c r="Q368" t="s">
        <v>25</v>
      </c>
      <c r="R368" t="s">
        <v>579</v>
      </c>
      <c r="S368" t="s">
        <v>236</v>
      </c>
      <c r="T368" t="s">
        <v>610</v>
      </c>
      <c r="U368" s="6">
        <v>42093.363055555557</v>
      </c>
      <c r="V368" t="s">
        <v>18</v>
      </c>
      <c r="W368" t="s">
        <v>514</v>
      </c>
      <c r="X368" s="6">
        <v>42052.780381944445</v>
      </c>
      <c r="Y368" t="s">
        <v>535</v>
      </c>
      <c r="AB368" t="s">
        <v>201</v>
      </c>
      <c r="AC368" t="s">
        <v>247</v>
      </c>
      <c r="AD368" t="s">
        <v>220</v>
      </c>
      <c r="AE368" t="s">
        <v>219</v>
      </c>
      <c r="AG368" t="s">
        <v>121</v>
      </c>
      <c r="AH368" t="s">
        <v>327</v>
      </c>
      <c r="AI368" t="s">
        <v>362</v>
      </c>
      <c r="AJ368" t="s">
        <v>716</v>
      </c>
      <c r="AK368" t="s">
        <v>121</v>
      </c>
    </row>
    <row r="369" spans="9:37" x14ac:dyDescent="0.3">
      <c r="I369">
        <f ca="1">IF(OR(INDIRECT(A73&amp;ROW())=B93,INDIRECT(A73&amp;ROW())=B94),1,IF(AND(INDIRECT(A73&amp;ROW())=B95,INDIRECT(A96&amp;ROW())=C93),1,IF(AND(INDIRECT(A73&amp;ROW())=B95,INDIRECT(A96&amp;ROW())=C94),1,0)))</f>
        <v>1</v>
      </c>
      <c r="J369">
        <f ca="1">IF(AND(INDIRECT(A73&amp;ROW())=B95,INDIRECT(A96&amp;ROW())=C95),1,IF(AND(INDIRECT(A73&amp;ROW())=B95,INDIRECT(A96&amp;ROW())=C96),1,0))</f>
        <v>0</v>
      </c>
      <c r="K369">
        <f ca="1">DAYS360(INDIRECT(C68&amp;ROW()),TODAY())</f>
        <v>677</v>
      </c>
      <c r="L369">
        <f ca="1">DAYS360(INDIRECT(C69&amp;ROW()),TODAY())</f>
        <v>794</v>
      </c>
      <c r="M369">
        <f ca="1">HYPERLINK(CONCATENATE("https://bugzilla.houston.hp.com:1181/bugzilla/show_bug.cgi?id=",INDIRECT(C70&amp;ROW())),INDIRECT(C70&amp;ROW()))</f>
        <v>57398</v>
      </c>
      <c r="N369">
        <v>57398</v>
      </c>
      <c r="O369" t="s">
        <v>43</v>
      </c>
      <c r="P369" t="s">
        <v>747</v>
      </c>
      <c r="Q369" t="s">
        <v>39</v>
      </c>
      <c r="R369" t="s">
        <v>248</v>
      </c>
      <c r="S369" t="s">
        <v>552</v>
      </c>
      <c r="U369" s="6">
        <v>42170.558611111112</v>
      </c>
      <c r="V369" t="s">
        <v>18</v>
      </c>
      <c r="W369" t="s">
        <v>372</v>
      </c>
      <c r="X369" s="6">
        <v>42053.567245370374</v>
      </c>
      <c r="Y369" t="s">
        <v>122</v>
      </c>
      <c r="AB369" t="s">
        <v>201</v>
      </c>
      <c r="AC369" t="s">
        <v>247</v>
      </c>
      <c r="AD369" t="s">
        <v>220</v>
      </c>
      <c r="AE369" t="s">
        <v>219</v>
      </c>
      <c r="AG369" t="s">
        <v>121</v>
      </c>
      <c r="AH369" t="s">
        <v>327</v>
      </c>
      <c r="AI369" t="s">
        <v>121</v>
      </c>
      <c r="AJ369" t="s">
        <v>715</v>
      </c>
      <c r="AK369" t="s">
        <v>121</v>
      </c>
    </row>
    <row r="370" spans="9:37" x14ac:dyDescent="0.3">
      <c r="I370">
        <f ca="1">IF(OR(INDIRECT(A73&amp;ROW())=B93,INDIRECT(A73&amp;ROW())=B94),1,IF(AND(INDIRECT(A73&amp;ROW())=B95,INDIRECT(A96&amp;ROW())=C93),1,IF(AND(INDIRECT(A73&amp;ROW())=B95,INDIRECT(A96&amp;ROW())=C94),1,0)))</f>
        <v>0</v>
      </c>
      <c r="J370">
        <f ca="1">IF(AND(INDIRECT(A73&amp;ROW())=B95,INDIRECT(A96&amp;ROW())=C95),1,IF(AND(INDIRECT(A73&amp;ROW())=B95,INDIRECT(A96&amp;ROW())=C96),1,0))</f>
        <v>0</v>
      </c>
      <c r="K370">
        <f ca="1">DAYS360(INDIRECT(C68&amp;ROW()),TODAY())</f>
        <v>668</v>
      </c>
      <c r="L370">
        <f ca="1">DAYS360(INDIRECT(C69&amp;ROW()),TODAY())</f>
        <v>793</v>
      </c>
      <c r="M370">
        <f ca="1">HYPERLINK(CONCATENATE("https://bugzilla.houston.hp.com:1181/bugzilla/show_bug.cgi?id=",INDIRECT(C70&amp;ROW())),INDIRECT(C70&amp;ROW()))</f>
        <v>57448</v>
      </c>
      <c r="N370">
        <v>57448</v>
      </c>
      <c r="O370" t="s">
        <v>45</v>
      </c>
      <c r="P370" t="s">
        <v>759</v>
      </c>
      <c r="Q370" t="s">
        <v>16</v>
      </c>
      <c r="R370" t="s">
        <v>579</v>
      </c>
      <c r="S370" t="s">
        <v>45</v>
      </c>
      <c r="T370" t="s">
        <v>804</v>
      </c>
      <c r="U370" s="6">
        <v>42179.493807870371</v>
      </c>
      <c r="V370" t="s">
        <v>18</v>
      </c>
      <c r="W370" t="s">
        <v>17</v>
      </c>
      <c r="X370" s="6">
        <v>42054.39671296296</v>
      </c>
      <c r="Y370" t="s">
        <v>793</v>
      </c>
      <c r="AB370" t="s">
        <v>201</v>
      </c>
      <c r="AC370" t="s">
        <v>247</v>
      </c>
      <c r="AD370" t="s">
        <v>227</v>
      </c>
      <c r="AE370" t="s">
        <v>226</v>
      </c>
      <c r="AG370" t="s">
        <v>121</v>
      </c>
      <c r="AH370" t="s">
        <v>327</v>
      </c>
      <c r="AI370" t="s">
        <v>121</v>
      </c>
      <c r="AJ370" t="s">
        <v>717</v>
      </c>
      <c r="AK370" t="s">
        <v>121</v>
      </c>
    </row>
    <row r="371" spans="9:37" x14ac:dyDescent="0.3">
      <c r="I371">
        <f ca="1">IF(OR(INDIRECT(A73&amp;ROW())=B93,INDIRECT(A73&amp;ROW())=B94),1,IF(AND(INDIRECT(A73&amp;ROW())=B95,INDIRECT(A96&amp;ROW())=C93),1,IF(AND(INDIRECT(A73&amp;ROW())=B95,INDIRECT(A96&amp;ROW())=C94),1,0)))</f>
        <v>1</v>
      </c>
      <c r="J371">
        <f ca="1">IF(AND(INDIRECT(A73&amp;ROW())=B95,INDIRECT(A96&amp;ROW())=C95),1,IF(AND(INDIRECT(A73&amp;ROW())=B95,INDIRECT(A96&amp;ROW())=C96),1,0))</f>
        <v>0</v>
      </c>
      <c r="K371">
        <f ca="1">DAYS360(INDIRECT(C68&amp;ROW()),TODAY())</f>
        <v>714</v>
      </c>
      <c r="L371">
        <f ca="1">DAYS360(INDIRECT(C69&amp;ROW()),TODAY())</f>
        <v>793</v>
      </c>
      <c r="M371">
        <f ca="1">HYPERLINK(CONCATENATE("https://bugzilla.houston.hp.com:1181/bugzilla/show_bug.cgi?id=",INDIRECT(C70&amp;ROW())),INDIRECT(C70&amp;ROW()))</f>
        <v>57455</v>
      </c>
      <c r="N371">
        <v>57455</v>
      </c>
      <c r="O371" t="s">
        <v>241</v>
      </c>
      <c r="P371" t="s">
        <v>767</v>
      </c>
      <c r="Q371" t="s">
        <v>25</v>
      </c>
      <c r="R371" t="s">
        <v>251</v>
      </c>
      <c r="S371" t="s">
        <v>51</v>
      </c>
      <c r="U371" s="6">
        <v>42132.364224537036</v>
      </c>
      <c r="V371" t="s">
        <v>18</v>
      </c>
      <c r="W371" t="s">
        <v>764</v>
      </c>
      <c r="X371" s="6">
        <v>42054.467719907407</v>
      </c>
      <c r="Y371" t="s">
        <v>122</v>
      </c>
      <c r="AB371" t="s">
        <v>200</v>
      </c>
      <c r="AC371" t="s">
        <v>247</v>
      </c>
      <c r="AD371" t="s">
        <v>222</v>
      </c>
      <c r="AE371" t="s">
        <v>232</v>
      </c>
      <c r="AG371" t="s">
        <v>121</v>
      </c>
      <c r="AH371" t="s">
        <v>327</v>
      </c>
      <c r="AI371" t="s">
        <v>121</v>
      </c>
      <c r="AJ371" t="s">
        <v>715</v>
      </c>
      <c r="AK371" t="s">
        <v>121</v>
      </c>
    </row>
    <row r="372" spans="9:37" x14ac:dyDescent="0.3">
      <c r="I372">
        <f ca="1">IF(OR(INDIRECT(A73&amp;ROW())=B93,INDIRECT(A73&amp;ROW())=B94),1,IF(AND(INDIRECT(A73&amp;ROW())=B95,INDIRECT(A96&amp;ROW())=C93),1,IF(AND(INDIRECT(A73&amp;ROW())=B95,INDIRECT(A96&amp;ROW())=C94),1,0)))</f>
        <v>0</v>
      </c>
      <c r="J372">
        <f ca="1">IF(AND(INDIRECT(A73&amp;ROW())=B95,INDIRECT(A96&amp;ROW())=C95),1,IF(AND(INDIRECT(A73&amp;ROW())=B95,INDIRECT(A96&amp;ROW())=C96),1,0))</f>
        <v>0</v>
      </c>
      <c r="K372">
        <f ca="1">DAYS360(INDIRECT(C68&amp;ROW()),TODAY())</f>
        <v>721</v>
      </c>
      <c r="L372">
        <f ca="1">DAYS360(INDIRECT(C69&amp;ROW()),TODAY())</f>
        <v>793</v>
      </c>
      <c r="M372">
        <f ca="1">HYPERLINK(CONCATENATE("https://bugzilla.houston.hp.com:1181/bugzilla/show_bug.cgi?id=",INDIRECT(C70&amp;ROW())),INDIRECT(C70&amp;ROW()))</f>
        <v>57468</v>
      </c>
      <c r="N372">
        <v>57468</v>
      </c>
      <c r="O372" t="s">
        <v>56</v>
      </c>
      <c r="P372" t="s">
        <v>758</v>
      </c>
      <c r="Q372" t="s">
        <v>16</v>
      </c>
      <c r="R372" t="s">
        <v>251</v>
      </c>
      <c r="S372" t="s">
        <v>53</v>
      </c>
      <c r="U372" s="6">
        <v>42125.453761574077</v>
      </c>
      <c r="V372" t="s">
        <v>18</v>
      </c>
      <c r="W372" t="s">
        <v>17</v>
      </c>
      <c r="X372" s="6">
        <v>42054.521574074075</v>
      </c>
      <c r="Y372" t="s">
        <v>122</v>
      </c>
      <c r="AB372" t="s">
        <v>200</v>
      </c>
      <c r="AC372" t="s">
        <v>247</v>
      </c>
      <c r="AD372" t="s">
        <v>220</v>
      </c>
      <c r="AE372" t="s">
        <v>219</v>
      </c>
      <c r="AG372" t="s">
        <v>121</v>
      </c>
      <c r="AH372" t="s">
        <v>327</v>
      </c>
      <c r="AI372" t="s">
        <v>121</v>
      </c>
      <c r="AJ372" t="s">
        <v>716</v>
      </c>
      <c r="AK372" t="s">
        <v>121</v>
      </c>
    </row>
    <row r="373" spans="9:37" x14ac:dyDescent="0.3">
      <c r="I373">
        <f ca="1">IF(OR(INDIRECT(A73&amp;ROW())=B93,INDIRECT(A73&amp;ROW())=B94),1,IF(AND(INDIRECT(A73&amp;ROW())=B95,INDIRECT(A96&amp;ROW())=C93),1,IF(AND(INDIRECT(A73&amp;ROW())=B95,INDIRECT(A96&amp;ROW())=C94),1,0)))</f>
        <v>1</v>
      </c>
      <c r="J373">
        <f ca="1">IF(AND(INDIRECT(A73&amp;ROW())=B95,INDIRECT(A96&amp;ROW())=C95),1,IF(AND(INDIRECT(A73&amp;ROW())=B95,INDIRECT(A96&amp;ROW())=C96),1,0))</f>
        <v>0</v>
      </c>
      <c r="K373">
        <f ca="1">DAYS360(INDIRECT(C68&amp;ROW()),TODAY())</f>
        <v>728</v>
      </c>
      <c r="L373">
        <f ca="1">DAYS360(INDIRECT(C69&amp;ROW()),TODAY())</f>
        <v>793</v>
      </c>
      <c r="M373">
        <f ca="1">HYPERLINK(CONCATENATE("https://bugzilla.houston.hp.com:1181/bugzilla/show_bug.cgi?id=",INDIRECT(C70&amp;ROW())),INDIRECT(C70&amp;ROW()))</f>
        <v>57480</v>
      </c>
      <c r="N373">
        <v>57480</v>
      </c>
      <c r="O373" t="s">
        <v>241</v>
      </c>
      <c r="P373" t="s">
        <v>757</v>
      </c>
      <c r="Q373" t="s">
        <v>25</v>
      </c>
      <c r="R373" t="s">
        <v>579</v>
      </c>
      <c r="S373" t="s">
        <v>552</v>
      </c>
      <c r="T373" t="s">
        <v>820</v>
      </c>
      <c r="U373" s="6">
        <v>42118.292291666665</v>
      </c>
      <c r="V373" t="s">
        <v>18</v>
      </c>
      <c r="W373" t="s">
        <v>764</v>
      </c>
      <c r="X373" s="6">
        <v>42054.702291666668</v>
      </c>
      <c r="Y373" t="s">
        <v>122</v>
      </c>
      <c r="AB373" t="s">
        <v>200</v>
      </c>
      <c r="AC373" t="s">
        <v>247</v>
      </c>
      <c r="AD373" t="s">
        <v>222</v>
      </c>
      <c r="AE373" t="s">
        <v>221</v>
      </c>
      <c r="AG373" t="s">
        <v>121</v>
      </c>
      <c r="AH373" t="s">
        <v>327</v>
      </c>
      <c r="AI373" t="s">
        <v>121</v>
      </c>
      <c r="AJ373" t="s">
        <v>715</v>
      </c>
      <c r="AK373" t="s">
        <v>121</v>
      </c>
    </row>
    <row r="374" spans="9:37" x14ac:dyDescent="0.3">
      <c r="I374">
        <f ca="1">IF(OR(INDIRECT(A73&amp;ROW())=B93,INDIRECT(A73&amp;ROW())=B94),1,IF(AND(INDIRECT(A73&amp;ROW())=B95,INDIRECT(A96&amp;ROW())=C93),1,IF(AND(INDIRECT(A73&amp;ROW())=B95,INDIRECT(A96&amp;ROW())=C94),1,0)))</f>
        <v>1</v>
      </c>
      <c r="J374">
        <f ca="1">IF(AND(INDIRECT(A73&amp;ROW())=B95,INDIRECT(A96&amp;ROW())=C95),1,IF(AND(INDIRECT(A73&amp;ROW())=B95,INDIRECT(A96&amp;ROW())=C96),1,0))</f>
        <v>0</v>
      </c>
      <c r="K374">
        <f ca="1">DAYS360(INDIRECT(C68&amp;ROW()),TODAY())</f>
        <v>792</v>
      </c>
      <c r="L374">
        <f ca="1">DAYS360(INDIRECT(C69&amp;ROW()),TODAY())</f>
        <v>793</v>
      </c>
      <c r="M374">
        <f ca="1">HYPERLINK(CONCATENATE("https://bugzilla.houston.hp.com:1181/bugzilla/show_bug.cgi?id=",INDIRECT(C70&amp;ROW())),INDIRECT(C70&amp;ROW()))</f>
        <v>57481</v>
      </c>
      <c r="N374">
        <v>57481</v>
      </c>
      <c r="O374" t="s">
        <v>241</v>
      </c>
      <c r="P374" t="s">
        <v>756</v>
      </c>
      <c r="Q374" t="s">
        <v>25</v>
      </c>
      <c r="R374" t="s">
        <v>248</v>
      </c>
      <c r="S374" t="s">
        <v>552</v>
      </c>
      <c r="U374" s="6">
        <v>42055.636655092596</v>
      </c>
      <c r="V374" t="s">
        <v>18</v>
      </c>
      <c r="W374" t="s">
        <v>764</v>
      </c>
      <c r="X374" s="6">
        <v>42054.702337962961</v>
      </c>
      <c r="Y374" t="s">
        <v>122</v>
      </c>
      <c r="AB374" t="s">
        <v>200</v>
      </c>
      <c r="AC374" t="s">
        <v>247</v>
      </c>
      <c r="AD374" t="s">
        <v>222</v>
      </c>
      <c r="AE374" t="s">
        <v>221</v>
      </c>
      <c r="AG374" t="s">
        <v>121</v>
      </c>
      <c r="AH374" t="s">
        <v>327</v>
      </c>
      <c r="AI374" t="s">
        <v>121</v>
      </c>
      <c r="AJ374" t="s">
        <v>715</v>
      </c>
      <c r="AK374" t="s">
        <v>121</v>
      </c>
    </row>
    <row r="375" spans="9:37" x14ac:dyDescent="0.3">
      <c r="I375">
        <f ca="1">IF(OR(INDIRECT(A73&amp;ROW())=B93,INDIRECT(A73&amp;ROW())=B94),1,IF(AND(INDIRECT(A73&amp;ROW())=B95,INDIRECT(A96&amp;ROW())=C93),1,IF(AND(INDIRECT(A73&amp;ROW())=B95,INDIRECT(A96&amp;ROW())=C94),1,0)))</f>
        <v>0</v>
      </c>
      <c r="J375">
        <f ca="1">IF(AND(INDIRECT(A73&amp;ROW())=B95,INDIRECT(A96&amp;ROW())=C95),1,IF(AND(INDIRECT(A73&amp;ROW())=B95,INDIRECT(A96&amp;ROW())=C96),1,0))</f>
        <v>0</v>
      </c>
      <c r="K375">
        <f ca="1">DAYS360(INDIRECT(C68&amp;ROW()),TODAY())</f>
        <v>721</v>
      </c>
      <c r="L375">
        <f ca="1">DAYS360(INDIRECT(C69&amp;ROW()),TODAY())</f>
        <v>793</v>
      </c>
      <c r="M375">
        <f ca="1">HYPERLINK(CONCATENATE("https://bugzilla.houston.hp.com:1181/bugzilla/show_bug.cgi?id=",INDIRECT(C70&amp;ROW())),INDIRECT(C70&amp;ROW()))</f>
        <v>57493</v>
      </c>
      <c r="N375">
        <v>57493</v>
      </c>
      <c r="O375" t="s">
        <v>56</v>
      </c>
      <c r="P375" t="s">
        <v>755</v>
      </c>
      <c r="Q375" t="s">
        <v>16</v>
      </c>
      <c r="R375" t="s">
        <v>248</v>
      </c>
      <c r="S375" t="s">
        <v>552</v>
      </c>
      <c r="U375" s="6">
        <v>42125.453750000001</v>
      </c>
      <c r="V375" t="s">
        <v>18</v>
      </c>
      <c r="W375" t="s">
        <v>324</v>
      </c>
      <c r="X375" s="6">
        <v>42054.703506944446</v>
      </c>
      <c r="Y375" t="s">
        <v>122</v>
      </c>
      <c r="AB375" t="s">
        <v>200</v>
      </c>
      <c r="AC375" t="s">
        <v>247</v>
      </c>
      <c r="AD375" t="s">
        <v>220</v>
      </c>
      <c r="AE375" t="s">
        <v>219</v>
      </c>
      <c r="AG375" t="s">
        <v>121</v>
      </c>
      <c r="AH375" t="s">
        <v>327</v>
      </c>
      <c r="AI375" t="s">
        <v>121</v>
      </c>
      <c r="AJ375" t="s">
        <v>716</v>
      </c>
      <c r="AK375" t="s">
        <v>121</v>
      </c>
    </row>
    <row r="376" spans="9:37" x14ac:dyDescent="0.3">
      <c r="I376">
        <f ca="1">IF(OR(INDIRECT(A73&amp;ROW())=B93,INDIRECT(A73&amp;ROW())=B94),1,IF(AND(INDIRECT(A73&amp;ROW())=B95,INDIRECT(A96&amp;ROW())=C93),1,IF(AND(INDIRECT(A73&amp;ROW())=B95,INDIRECT(A96&amp;ROW())=C94),1,0)))</f>
        <v>1</v>
      </c>
      <c r="J376">
        <f ca="1">IF(AND(INDIRECT(A73&amp;ROW())=B95,INDIRECT(A96&amp;ROW())=C95),1,IF(AND(INDIRECT(A73&amp;ROW())=B95,INDIRECT(A96&amp;ROW())=C96),1,0))</f>
        <v>0</v>
      </c>
      <c r="K376">
        <f ca="1">DAYS360(INDIRECT(C68&amp;ROW()),TODAY())</f>
        <v>735</v>
      </c>
      <c r="L376">
        <f ca="1">DAYS360(INDIRECT(C69&amp;ROW()),TODAY())</f>
        <v>793</v>
      </c>
      <c r="M376">
        <f ca="1">HYPERLINK(CONCATENATE("https://bugzilla.houston.hp.com:1181/bugzilla/show_bug.cgi?id=",INDIRECT(C70&amp;ROW())),INDIRECT(C70&amp;ROW()))</f>
        <v>57494</v>
      </c>
      <c r="N376">
        <v>57494</v>
      </c>
      <c r="O376" t="s">
        <v>55</v>
      </c>
      <c r="P376" t="s">
        <v>754</v>
      </c>
      <c r="Q376" t="s">
        <v>25</v>
      </c>
      <c r="R376" t="s">
        <v>579</v>
      </c>
      <c r="S376" t="s">
        <v>59</v>
      </c>
      <c r="T376" t="s">
        <v>821</v>
      </c>
      <c r="U376" s="6">
        <v>42111.526689814818</v>
      </c>
      <c r="V376" t="s">
        <v>35</v>
      </c>
      <c r="W376" t="s">
        <v>215</v>
      </c>
      <c r="X376" s="6">
        <v>42054.733136574076</v>
      </c>
      <c r="Y376" t="s">
        <v>793</v>
      </c>
      <c r="AB376" t="s">
        <v>200</v>
      </c>
      <c r="AC376" t="s">
        <v>247</v>
      </c>
      <c r="AD376" t="s">
        <v>220</v>
      </c>
      <c r="AE376" t="s">
        <v>219</v>
      </c>
      <c r="AG376" t="s">
        <v>121</v>
      </c>
      <c r="AH376" t="s">
        <v>327</v>
      </c>
      <c r="AI376" t="s">
        <v>362</v>
      </c>
      <c r="AJ376" t="s">
        <v>715</v>
      </c>
      <c r="AK376" t="s">
        <v>121</v>
      </c>
    </row>
    <row r="377" spans="9:37" x14ac:dyDescent="0.3">
      <c r="I377">
        <f ca="1">IF(OR(INDIRECT(A73&amp;ROW())=B93,INDIRECT(A73&amp;ROW())=B94),1,IF(AND(INDIRECT(A73&amp;ROW())=B95,INDIRECT(A96&amp;ROW())=C93),1,IF(AND(INDIRECT(A73&amp;ROW())=B95,INDIRECT(A96&amp;ROW())=C94),1,0)))</f>
        <v>1</v>
      </c>
      <c r="J377">
        <f ca="1">IF(AND(INDIRECT(A73&amp;ROW())=B95,INDIRECT(A96&amp;ROW())=C95),1,IF(AND(INDIRECT(A73&amp;ROW())=B95,INDIRECT(A96&amp;ROW())=C96),1,0))</f>
        <v>0</v>
      </c>
      <c r="K377">
        <f ca="1">DAYS360(INDIRECT(C68&amp;ROW()),TODAY())</f>
        <v>776</v>
      </c>
      <c r="L377">
        <f ca="1">DAYS360(INDIRECT(C69&amp;ROW()),TODAY())</f>
        <v>793</v>
      </c>
      <c r="M377">
        <f ca="1">HYPERLINK(CONCATENATE("https://bugzilla.houston.hp.com:1181/bugzilla/show_bug.cgi?id=",INDIRECT(C70&amp;ROW())),INDIRECT(C70&amp;ROW()))</f>
        <v>57500</v>
      </c>
      <c r="N377">
        <v>57500</v>
      </c>
      <c r="O377" t="s">
        <v>43</v>
      </c>
      <c r="P377" t="s">
        <v>766</v>
      </c>
      <c r="Q377" t="s">
        <v>25</v>
      </c>
      <c r="R377" t="s">
        <v>251</v>
      </c>
      <c r="S377" t="s">
        <v>765</v>
      </c>
      <c r="U377" s="6">
        <v>42069.583437499998</v>
      </c>
      <c r="V377" t="s">
        <v>35</v>
      </c>
      <c r="W377" t="s">
        <v>764</v>
      </c>
      <c r="X377" s="6">
        <v>42054.964317129627</v>
      </c>
      <c r="Y377" t="s">
        <v>124</v>
      </c>
      <c r="AB377" t="s">
        <v>200</v>
      </c>
      <c r="AC377" t="s">
        <v>247</v>
      </c>
      <c r="AD377" t="s">
        <v>220</v>
      </c>
      <c r="AE377" t="s">
        <v>219</v>
      </c>
      <c r="AG377" t="s">
        <v>121</v>
      </c>
      <c r="AH377" t="s">
        <v>327</v>
      </c>
      <c r="AI377" t="s">
        <v>121</v>
      </c>
      <c r="AJ377" t="s">
        <v>715</v>
      </c>
      <c r="AK377" t="s">
        <v>121</v>
      </c>
    </row>
    <row r="378" spans="9:37" x14ac:dyDescent="0.3">
      <c r="I378">
        <f ca="1">IF(OR(INDIRECT(A73&amp;ROW())=B93,INDIRECT(A73&amp;ROW())=B94),1,IF(AND(INDIRECT(A73&amp;ROW())=B95,INDIRECT(A96&amp;ROW())=C93),1,IF(AND(INDIRECT(A73&amp;ROW())=B95,INDIRECT(A96&amp;ROW())=C94),1,0)))</f>
        <v>1</v>
      </c>
      <c r="J378">
        <f ca="1">IF(AND(INDIRECT(A73&amp;ROW())=B95,INDIRECT(A96&amp;ROW())=C95),1,IF(AND(INDIRECT(A73&amp;ROW())=B95,INDIRECT(A96&amp;ROW())=C96),1,0))</f>
        <v>0</v>
      </c>
      <c r="K378">
        <f ca="1">DAYS360(INDIRECT(C68&amp;ROW()),TODAY())</f>
        <v>677</v>
      </c>
      <c r="L378">
        <f ca="1">DAYS360(INDIRECT(C69&amp;ROW()),TODAY())</f>
        <v>792</v>
      </c>
      <c r="M378">
        <f ca="1">HYPERLINK(CONCATENATE("https://bugzilla.houston.hp.com:1181/bugzilla/show_bug.cgi?id=",INDIRECT(C70&amp;ROW())),INDIRECT(C70&amp;ROW()))</f>
        <v>57551</v>
      </c>
      <c r="N378">
        <v>57551</v>
      </c>
      <c r="O378" t="s">
        <v>53</v>
      </c>
      <c r="P378" t="s">
        <v>753</v>
      </c>
      <c r="Q378" t="s">
        <v>39</v>
      </c>
      <c r="R378" t="s">
        <v>248</v>
      </c>
      <c r="S378" t="s">
        <v>552</v>
      </c>
      <c r="U378" s="6">
        <v>42170.561192129629</v>
      </c>
      <c r="V378" t="s">
        <v>18</v>
      </c>
      <c r="W378" t="s">
        <v>343</v>
      </c>
      <c r="X378" s="6">
        <v>42055.264386574076</v>
      </c>
      <c r="Y378" t="s">
        <v>122</v>
      </c>
      <c r="AB378" t="s">
        <v>201</v>
      </c>
      <c r="AC378" t="s">
        <v>247</v>
      </c>
      <c r="AD378" t="s">
        <v>220</v>
      </c>
      <c r="AE378" t="s">
        <v>219</v>
      </c>
      <c r="AG378" t="s">
        <v>121</v>
      </c>
      <c r="AH378" t="s">
        <v>327</v>
      </c>
      <c r="AI378" t="s">
        <v>121</v>
      </c>
      <c r="AJ378" t="s">
        <v>715</v>
      </c>
      <c r="AK378" t="s">
        <v>121</v>
      </c>
    </row>
    <row r="379" spans="9:37" x14ac:dyDescent="0.3">
      <c r="I379">
        <f ca="1">IF(OR(INDIRECT(A73&amp;ROW())=B93,INDIRECT(A73&amp;ROW())=B94),1,IF(AND(INDIRECT(A73&amp;ROW())=B95,INDIRECT(A96&amp;ROW())=C93),1,IF(AND(INDIRECT(A73&amp;ROW())=B95,INDIRECT(A96&amp;ROW())=C94),1,0)))</f>
        <v>0</v>
      </c>
      <c r="J379">
        <f ca="1">IF(AND(INDIRECT(A73&amp;ROW())=B95,INDIRECT(A96&amp;ROW())=C95),1,IF(AND(INDIRECT(A73&amp;ROW())=B95,INDIRECT(A96&amp;ROW())=C96),1,0))</f>
        <v>0</v>
      </c>
      <c r="K379">
        <f ca="1">DAYS360(INDIRECT(C68&amp;ROW()),TODAY())</f>
        <v>721</v>
      </c>
      <c r="L379">
        <f ca="1">DAYS360(INDIRECT(C69&amp;ROW()),TODAY())</f>
        <v>792</v>
      </c>
      <c r="M379">
        <f ca="1">HYPERLINK(CONCATENATE("https://bugzilla.houston.hp.com:1181/bugzilla/show_bug.cgi?id=",INDIRECT(C70&amp;ROW())),INDIRECT(C70&amp;ROW()))</f>
        <v>57564</v>
      </c>
      <c r="N379">
        <v>57564</v>
      </c>
      <c r="O379" t="s">
        <v>36</v>
      </c>
      <c r="P379" t="s">
        <v>751</v>
      </c>
      <c r="Q379" t="s">
        <v>16</v>
      </c>
      <c r="R379" t="s">
        <v>248</v>
      </c>
      <c r="S379" t="s">
        <v>552</v>
      </c>
      <c r="U379" s="6">
        <v>42125.453009259261</v>
      </c>
      <c r="V379" t="s">
        <v>18</v>
      </c>
      <c r="W379" t="s">
        <v>372</v>
      </c>
      <c r="X379" s="6">
        <v>42055.2655787037</v>
      </c>
      <c r="Y379" t="s">
        <v>122</v>
      </c>
      <c r="AB379" t="s">
        <v>201</v>
      </c>
      <c r="AC379" t="s">
        <v>247</v>
      </c>
      <c r="AD379" t="s">
        <v>222</v>
      </c>
      <c r="AE379" t="s">
        <v>240</v>
      </c>
      <c r="AG379" t="s">
        <v>121</v>
      </c>
      <c r="AH379" t="s">
        <v>327</v>
      </c>
      <c r="AI379" t="s">
        <v>121</v>
      </c>
      <c r="AJ379" t="s">
        <v>716</v>
      </c>
      <c r="AK379" t="s">
        <v>121</v>
      </c>
    </row>
    <row r="380" spans="9:37" x14ac:dyDescent="0.3">
      <c r="I380">
        <f ca="1">IF(OR(INDIRECT(A73&amp;ROW())=B93,INDIRECT(A73&amp;ROW())=B94),1,IF(AND(INDIRECT(A73&amp;ROW())=B95,INDIRECT(A96&amp;ROW())=C93),1,IF(AND(INDIRECT(A73&amp;ROW())=B95,INDIRECT(A96&amp;ROW())=C94),1,0)))</f>
        <v>0</v>
      </c>
      <c r="J380">
        <f ca="1">IF(AND(INDIRECT(A73&amp;ROW())=B95,INDIRECT(A96&amp;ROW())=C95),1,IF(AND(INDIRECT(A73&amp;ROW())=B95,INDIRECT(A96&amp;ROW())=C96),1,0))</f>
        <v>0</v>
      </c>
      <c r="K380">
        <f ca="1">DAYS360(INDIRECT(C68&amp;ROW()),TODAY())</f>
        <v>792</v>
      </c>
      <c r="L380">
        <f ca="1">DAYS360(INDIRECT(C69&amp;ROW()),TODAY())</f>
        <v>792</v>
      </c>
      <c r="M380">
        <f ca="1">HYPERLINK(CONCATENATE("https://bugzilla.houston.hp.com:1181/bugzilla/show_bug.cgi?id=",INDIRECT(C70&amp;ROW())),INDIRECT(C70&amp;ROW()))</f>
        <v>57582</v>
      </c>
      <c r="N380">
        <v>57582</v>
      </c>
      <c r="O380" t="s">
        <v>66</v>
      </c>
      <c r="P380" t="s">
        <v>750</v>
      </c>
      <c r="Q380" t="s">
        <v>16</v>
      </c>
      <c r="R380" t="s">
        <v>248</v>
      </c>
      <c r="S380" t="s">
        <v>552</v>
      </c>
      <c r="U380" s="6">
        <v>42055.267337962963</v>
      </c>
      <c r="V380" t="s">
        <v>18</v>
      </c>
      <c r="W380" t="s">
        <v>322</v>
      </c>
      <c r="X380" s="6">
        <v>42055.267337962963</v>
      </c>
      <c r="Y380" t="s">
        <v>124</v>
      </c>
      <c r="AB380" t="s">
        <v>201</v>
      </c>
      <c r="AC380" t="s">
        <v>247</v>
      </c>
      <c r="AD380" t="s">
        <v>220</v>
      </c>
      <c r="AE380" t="s">
        <v>219</v>
      </c>
      <c r="AG380" t="s">
        <v>121</v>
      </c>
      <c r="AH380" t="s">
        <v>327</v>
      </c>
      <c r="AI380" t="s">
        <v>121</v>
      </c>
      <c r="AJ380" t="s">
        <v>717</v>
      </c>
      <c r="AK380" t="s">
        <v>121</v>
      </c>
    </row>
    <row r="381" spans="9:37" x14ac:dyDescent="0.3">
      <c r="I381">
        <f ca="1">IF(OR(INDIRECT(A73&amp;ROW())=B93,INDIRECT(A73&amp;ROW())=B94),1,IF(AND(INDIRECT(A73&amp;ROW())=B95,INDIRECT(A96&amp;ROW())=C93),1,IF(AND(INDIRECT(A73&amp;ROW())=B95,INDIRECT(A96&amp;ROW())=C94),1,0)))</f>
        <v>0</v>
      </c>
      <c r="J381">
        <f ca="1">IF(AND(INDIRECT(A73&amp;ROW())=B95,INDIRECT(A96&amp;ROW())=C95),1,IF(AND(INDIRECT(A73&amp;ROW())=B95,INDIRECT(A96&amp;ROW())=C96),1,0))</f>
        <v>1</v>
      </c>
      <c r="K381">
        <f ca="1">DAYS360(INDIRECT(C68&amp;ROW()),TODAY())</f>
        <v>721</v>
      </c>
      <c r="L381">
        <f ca="1">DAYS360(INDIRECT(C69&amp;ROW()),TODAY())</f>
        <v>792</v>
      </c>
      <c r="M381">
        <f ca="1">HYPERLINK(CONCATENATE("https://bugzilla.houston.hp.com:1181/bugzilla/show_bug.cgi?id=",INDIRECT(C70&amp;ROW())),INDIRECT(C70&amp;ROW()))</f>
        <v>57594</v>
      </c>
      <c r="N381">
        <v>57594</v>
      </c>
      <c r="O381" t="s">
        <v>66</v>
      </c>
      <c r="P381" t="s">
        <v>749</v>
      </c>
      <c r="Q381" t="s">
        <v>25</v>
      </c>
      <c r="R381" t="s">
        <v>248</v>
      </c>
      <c r="S381" t="s">
        <v>552</v>
      </c>
      <c r="U381" s="6">
        <v>42125.450868055559</v>
      </c>
      <c r="V381" t="s">
        <v>18</v>
      </c>
      <c r="W381" t="s">
        <v>372</v>
      </c>
      <c r="X381" s="6">
        <v>42055.268506944441</v>
      </c>
      <c r="Y381" t="s">
        <v>122</v>
      </c>
      <c r="AB381" t="s">
        <v>201</v>
      </c>
      <c r="AC381" t="s">
        <v>247</v>
      </c>
      <c r="AD381" t="s">
        <v>220</v>
      </c>
      <c r="AE381" t="s">
        <v>219</v>
      </c>
      <c r="AG381" t="s">
        <v>121</v>
      </c>
      <c r="AH381" t="s">
        <v>327</v>
      </c>
      <c r="AI381" t="s">
        <v>121</v>
      </c>
      <c r="AJ381" t="s">
        <v>716</v>
      </c>
      <c r="AK381" t="s">
        <v>121</v>
      </c>
    </row>
    <row r="382" spans="9:37" x14ac:dyDescent="0.3">
      <c r="I382">
        <f ca="1">IF(OR(INDIRECT(A73&amp;ROW())=B93,INDIRECT(A73&amp;ROW())=B94),1,IF(AND(INDIRECT(A73&amp;ROW())=B95,INDIRECT(A96&amp;ROW())=C93),1,IF(AND(INDIRECT(A73&amp;ROW())=B95,INDIRECT(A96&amp;ROW())=C94),1,0)))</f>
        <v>1</v>
      </c>
      <c r="J382">
        <f ca="1">IF(AND(INDIRECT(A73&amp;ROW())=B95,INDIRECT(A96&amp;ROW())=C95),1,IF(AND(INDIRECT(A73&amp;ROW())=B95,INDIRECT(A96&amp;ROW())=C96),1,0))</f>
        <v>0</v>
      </c>
      <c r="K382">
        <f ca="1">DAYS360(INDIRECT(C68&amp;ROW()),TODAY())</f>
        <v>735</v>
      </c>
      <c r="L382">
        <f ca="1">DAYS360(INDIRECT(C69&amp;ROW()),TODAY())</f>
        <v>792</v>
      </c>
      <c r="M382">
        <f ca="1">HYPERLINK(CONCATENATE("https://bugzilla.houston.hp.com:1181/bugzilla/show_bug.cgi?id=",INDIRECT(C70&amp;ROW())),INDIRECT(C70&amp;ROW()))</f>
        <v>57652</v>
      </c>
      <c r="N382">
        <v>57652</v>
      </c>
      <c r="O382" t="s">
        <v>50</v>
      </c>
      <c r="P382" t="s">
        <v>760</v>
      </c>
      <c r="Q382" t="s">
        <v>25</v>
      </c>
      <c r="R382" t="s">
        <v>579</v>
      </c>
      <c r="S382" t="s">
        <v>44</v>
      </c>
      <c r="T382" t="s">
        <v>820</v>
      </c>
      <c r="U382" s="6">
        <v>42111.527303240742</v>
      </c>
      <c r="V382" t="s">
        <v>18</v>
      </c>
      <c r="W382" t="s">
        <v>215</v>
      </c>
      <c r="X382" s="6">
        <v>42055.521377314813</v>
      </c>
      <c r="Y382" t="s">
        <v>119</v>
      </c>
      <c r="AB382" t="s">
        <v>200</v>
      </c>
      <c r="AC382" t="s">
        <v>121</v>
      </c>
      <c r="AD382" t="s">
        <v>227</v>
      </c>
      <c r="AE382" t="s">
        <v>226</v>
      </c>
      <c r="AG382" t="s">
        <v>121</v>
      </c>
      <c r="AH382" t="s">
        <v>327</v>
      </c>
      <c r="AI382" t="s">
        <v>362</v>
      </c>
      <c r="AJ382" t="s">
        <v>715</v>
      </c>
      <c r="AK382" t="s">
        <v>121</v>
      </c>
    </row>
    <row r="383" spans="9:37" x14ac:dyDescent="0.3">
      <c r="I383">
        <f ca="1">IF(OR(INDIRECT(A73&amp;ROW())=B93,INDIRECT(A73&amp;ROW())=B94),1,IF(AND(INDIRECT(A73&amp;ROW())=B95,INDIRECT(A96&amp;ROW())=C93),1,IF(AND(INDIRECT(A73&amp;ROW())=B95,INDIRECT(A96&amp;ROW())=C94),1,0)))</f>
        <v>1</v>
      </c>
      <c r="J383">
        <f ca="1">IF(AND(INDIRECT(A73&amp;ROW())=B95,INDIRECT(A96&amp;ROW())=C95),1,IF(AND(INDIRECT(A73&amp;ROW())=B95,INDIRECT(A96&amp;ROW())=C96),1,0))</f>
        <v>0</v>
      </c>
      <c r="K383">
        <f ca="1">DAYS360(INDIRECT(C68&amp;ROW()),TODAY())</f>
        <v>764</v>
      </c>
      <c r="L383">
        <f ca="1">DAYS360(INDIRECT(C69&amp;ROW()),TODAY())</f>
        <v>788</v>
      </c>
      <c r="M383">
        <f ca="1">HYPERLINK(CONCATENATE("https://bugzilla.houston.hp.com:1181/bugzilla/show_bug.cgi?id=",INDIRECT(C70&amp;ROW())),INDIRECT(C70&amp;ROW()))</f>
        <v>57749</v>
      </c>
      <c r="N383">
        <v>57749</v>
      </c>
      <c r="O383" t="s">
        <v>56</v>
      </c>
      <c r="P383" t="s">
        <v>763</v>
      </c>
      <c r="Q383" t="s">
        <v>25</v>
      </c>
      <c r="R383" t="s">
        <v>248</v>
      </c>
      <c r="S383" t="s">
        <v>552</v>
      </c>
      <c r="U383" s="6">
        <v>42081.374513888892</v>
      </c>
      <c r="V383" t="s">
        <v>18</v>
      </c>
      <c r="W383" t="s">
        <v>764</v>
      </c>
      <c r="X383" s="6">
        <v>42059.329548611109</v>
      </c>
      <c r="Y383" t="s">
        <v>124</v>
      </c>
      <c r="AB383" t="s">
        <v>200</v>
      </c>
      <c r="AC383" t="s">
        <v>247</v>
      </c>
      <c r="AD383" t="s">
        <v>220</v>
      </c>
      <c r="AE383" t="s">
        <v>219</v>
      </c>
      <c r="AG383" t="s">
        <v>121</v>
      </c>
      <c r="AH383" t="s">
        <v>327</v>
      </c>
      <c r="AI383" t="s">
        <v>121</v>
      </c>
      <c r="AJ383" t="s">
        <v>715</v>
      </c>
      <c r="AK383" t="s">
        <v>121</v>
      </c>
    </row>
    <row r="384" spans="9:37" x14ac:dyDescent="0.3">
      <c r="I384">
        <f ca="1">IF(OR(INDIRECT(A73&amp;ROW())=B93,INDIRECT(A73&amp;ROW())=B94),1,IF(AND(INDIRECT(A73&amp;ROW())=B95,INDIRECT(A96&amp;ROW())=C93),1,IF(AND(INDIRECT(A73&amp;ROW())=B95,INDIRECT(A96&amp;ROW())=C94),1,0)))</f>
        <v>1</v>
      </c>
      <c r="J384">
        <f ca="1">IF(AND(INDIRECT(A73&amp;ROW())=B95,INDIRECT(A96&amp;ROW())=C95),1,IF(AND(INDIRECT(A73&amp;ROW())=B95,INDIRECT(A96&amp;ROW())=C96),1,0))</f>
        <v>0</v>
      </c>
      <c r="K384">
        <f ca="1">DAYS360(INDIRECT(C68&amp;ROW()),TODAY())</f>
        <v>670</v>
      </c>
      <c r="L384">
        <f ca="1">DAYS360(INDIRECT(C69&amp;ROW()),TODAY())</f>
        <v>788</v>
      </c>
      <c r="M384">
        <f ca="1">HYPERLINK(CONCATENATE("https://bugzilla.houston.hp.com:1181/bugzilla/show_bug.cgi?id=",INDIRECT(C70&amp;ROW())),INDIRECT(C70&amp;ROW()))</f>
        <v>57761</v>
      </c>
      <c r="N384">
        <v>57761</v>
      </c>
      <c r="O384" t="s">
        <v>66</v>
      </c>
      <c r="P384" t="s">
        <v>1322</v>
      </c>
      <c r="Q384" t="s">
        <v>39</v>
      </c>
      <c r="R384" t="s">
        <v>251</v>
      </c>
      <c r="S384" t="s">
        <v>316</v>
      </c>
      <c r="U384" s="6">
        <v>42177.539074074077</v>
      </c>
      <c r="V384" t="s">
        <v>40</v>
      </c>
      <c r="W384" t="s">
        <v>884</v>
      </c>
      <c r="X384" s="6">
        <v>42059.693969907406</v>
      </c>
      <c r="Y384" t="s">
        <v>535</v>
      </c>
      <c r="Z384" t="s">
        <v>125</v>
      </c>
      <c r="AB384" t="s">
        <v>201</v>
      </c>
      <c r="AC384" t="s">
        <v>247</v>
      </c>
      <c r="AD384" t="s">
        <v>220</v>
      </c>
      <c r="AE384" t="s">
        <v>290</v>
      </c>
      <c r="AG384" t="s">
        <v>121</v>
      </c>
      <c r="AH384" t="s">
        <v>327</v>
      </c>
      <c r="AI384" t="s">
        <v>121</v>
      </c>
      <c r="AJ384" t="s">
        <v>715</v>
      </c>
      <c r="AK384" t="s">
        <v>121</v>
      </c>
    </row>
    <row r="385" spans="9:37" x14ac:dyDescent="0.3">
      <c r="I385">
        <f ca="1">IF(OR(INDIRECT(A73&amp;ROW())=B93,INDIRECT(A73&amp;ROW())=B94),1,IF(AND(INDIRECT(A73&amp;ROW())=B95,INDIRECT(A96&amp;ROW())=C93),1,IF(AND(INDIRECT(A73&amp;ROW())=B95,INDIRECT(A96&amp;ROW())=C94),1,0)))</f>
        <v>1</v>
      </c>
      <c r="J385">
        <f ca="1">IF(AND(INDIRECT(A73&amp;ROW())=B95,INDIRECT(A96&amp;ROW())=C95),1,IF(AND(INDIRECT(A73&amp;ROW())=B95,INDIRECT(A96&amp;ROW())=C96),1,0))</f>
        <v>0</v>
      </c>
      <c r="K385">
        <f ca="1">DAYS360(INDIRECT(C68&amp;ROW()),TODAY())</f>
        <v>673</v>
      </c>
      <c r="L385">
        <f ca="1">DAYS360(INDIRECT(C69&amp;ROW()),TODAY())</f>
        <v>787</v>
      </c>
      <c r="M385">
        <f ca="1">HYPERLINK(CONCATENATE("https://bugzilla.houston.hp.com:1181/bugzilla/show_bug.cgi?id=",INDIRECT(C70&amp;ROW())),INDIRECT(C70&amp;ROW()))</f>
        <v>57777</v>
      </c>
      <c r="N385">
        <v>57777</v>
      </c>
      <c r="O385" t="s">
        <v>66</v>
      </c>
      <c r="P385" t="s">
        <v>1321</v>
      </c>
      <c r="Q385" t="s">
        <v>39</v>
      </c>
      <c r="R385" t="s">
        <v>579</v>
      </c>
      <c r="S385" t="s">
        <v>552</v>
      </c>
      <c r="T385" t="s">
        <v>1278</v>
      </c>
      <c r="U385" s="6">
        <v>42174.451608796298</v>
      </c>
      <c r="V385" t="s">
        <v>40</v>
      </c>
      <c r="W385" t="s">
        <v>884</v>
      </c>
      <c r="X385" s="6">
        <v>42060.014386574076</v>
      </c>
      <c r="Y385" t="s">
        <v>535</v>
      </c>
      <c r="Z385" t="s">
        <v>125</v>
      </c>
      <c r="AB385" t="s">
        <v>201</v>
      </c>
      <c r="AC385" t="s">
        <v>247</v>
      </c>
      <c r="AD385" t="s">
        <v>220</v>
      </c>
      <c r="AE385" t="s">
        <v>290</v>
      </c>
      <c r="AG385" t="s">
        <v>121</v>
      </c>
      <c r="AH385" t="s">
        <v>327</v>
      </c>
      <c r="AI385" t="s">
        <v>121</v>
      </c>
      <c r="AJ385" t="s">
        <v>715</v>
      </c>
      <c r="AK385" t="s">
        <v>121</v>
      </c>
    </row>
    <row r="386" spans="9:37" x14ac:dyDescent="0.3">
      <c r="I386">
        <f ca="1">IF(OR(INDIRECT(A73&amp;ROW())=B93,INDIRECT(A73&amp;ROW())=B94),1,IF(AND(INDIRECT(A73&amp;ROW())=B95,INDIRECT(A96&amp;ROW())=C93),1,IF(AND(INDIRECT(A73&amp;ROW())=B95,INDIRECT(A96&amp;ROW())=C94),1,0)))</f>
        <v>1</v>
      </c>
      <c r="J386">
        <f ca="1">IF(AND(INDIRECT(A73&amp;ROW())=B95,INDIRECT(A96&amp;ROW())=C95),1,IF(AND(INDIRECT(A73&amp;ROW())=B95,INDIRECT(A96&amp;ROW())=C96),1,0))</f>
        <v>0</v>
      </c>
      <c r="K386">
        <f ca="1">DAYS360(INDIRECT(C68&amp;ROW()),TODAY())</f>
        <v>673</v>
      </c>
      <c r="L386">
        <f ca="1">DAYS360(INDIRECT(C69&amp;ROW()),TODAY())</f>
        <v>787</v>
      </c>
      <c r="M386">
        <f ca="1">HYPERLINK(CONCATENATE("https://bugzilla.houston.hp.com:1181/bugzilla/show_bug.cgi?id=",INDIRECT(C70&amp;ROW())),INDIRECT(C70&amp;ROW()))</f>
        <v>57778</v>
      </c>
      <c r="N386">
        <v>57778</v>
      </c>
      <c r="O386" t="s">
        <v>66</v>
      </c>
      <c r="P386" t="s">
        <v>1320</v>
      </c>
      <c r="Q386" t="s">
        <v>39</v>
      </c>
      <c r="R386" t="s">
        <v>248</v>
      </c>
      <c r="S386" t="s">
        <v>552</v>
      </c>
      <c r="U386" s="6">
        <v>42174.725902777776</v>
      </c>
      <c r="V386" t="s">
        <v>40</v>
      </c>
      <c r="W386" t="s">
        <v>884</v>
      </c>
      <c r="X386" s="6">
        <v>42060.014467592591</v>
      </c>
      <c r="Y386" t="s">
        <v>535</v>
      </c>
      <c r="Z386" t="s">
        <v>125</v>
      </c>
      <c r="AB386" t="s">
        <v>201</v>
      </c>
      <c r="AC386" t="s">
        <v>247</v>
      </c>
      <c r="AD386" t="s">
        <v>220</v>
      </c>
      <c r="AE386" t="s">
        <v>290</v>
      </c>
      <c r="AG386" t="s">
        <v>121</v>
      </c>
      <c r="AH386" t="s">
        <v>327</v>
      </c>
      <c r="AI386" t="s">
        <v>121</v>
      </c>
      <c r="AJ386" t="s">
        <v>715</v>
      </c>
      <c r="AK386" t="s">
        <v>121</v>
      </c>
    </row>
    <row r="387" spans="9:37" x14ac:dyDescent="0.3">
      <c r="I387">
        <f ca="1">IF(OR(INDIRECT(A73&amp;ROW())=B93,INDIRECT(A73&amp;ROW())=B94),1,IF(AND(INDIRECT(A73&amp;ROW())=B95,INDIRECT(A96&amp;ROW())=C93),1,IF(AND(INDIRECT(A73&amp;ROW())=B95,INDIRECT(A96&amp;ROW())=C94),1,0)))</f>
        <v>0</v>
      </c>
      <c r="J387">
        <f ca="1">IF(AND(INDIRECT(A73&amp;ROW())=B95,INDIRECT(A96&amp;ROW())=C95),1,IF(AND(INDIRECT(A73&amp;ROW())=B95,INDIRECT(A96&amp;ROW())=C96),1,0))</f>
        <v>1</v>
      </c>
      <c r="K387">
        <f ca="1">DAYS360(INDIRECT(C68&amp;ROW()),TODAY())</f>
        <v>721</v>
      </c>
      <c r="L387">
        <f ca="1">DAYS360(INDIRECT(C69&amp;ROW()),TODAY())</f>
        <v>781</v>
      </c>
      <c r="M387">
        <f ca="1">HYPERLINK(CONCATENATE("https://bugzilla.houston.hp.com:1181/bugzilla/show_bug.cgi?id=",INDIRECT(C70&amp;ROW())),INDIRECT(C70&amp;ROW()))</f>
        <v>57963</v>
      </c>
      <c r="N387">
        <v>57963</v>
      </c>
      <c r="O387" t="s">
        <v>241</v>
      </c>
      <c r="P387" t="s">
        <v>778</v>
      </c>
      <c r="Q387" t="s">
        <v>25</v>
      </c>
      <c r="R387" t="s">
        <v>251</v>
      </c>
      <c r="S387" t="s">
        <v>236</v>
      </c>
      <c r="U387" s="6">
        <v>42125.683368055557</v>
      </c>
      <c r="V387" t="s">
        <v>18</v>
      </c>
      <c r="W387" t="s">
        <v>17</v>
      </c>
      <c r="X387" s="6">
        <v>42064.456296296295</v>
      </c>
      <c r="Y387" t="s">
        <v>255</v>
      </c>
      <c r="AB387" t="s">
        <v>201</v>
      </c>
      <c r="AC387" t="s">
        <v>247</v>
      </c>
      <c r="AD387" t="s">
        <v>227</v>
      </c>
      <c r="AE387" t="s">
        <v>237</v>
      </c>
      <c r="AG387" t="s">
        <v>121</v>
      </c>
      <c r="AH387" t="s">
        <v>327</v>
      </c>
      <c r="AI387" t="s">
        <v>121</v>
      </c>
      <c r="AJ387" t="s">
        <v>716</v>
      </c>
      <c r="AK387" t="s">
        <v>121</v>
      </c>
    </row>
    <row r="388" spans="9:37" x14ac:dyDescent="0.3">
      <c r="I388">
        <f ca="1">IF(OR(INDIRECT(A73&amp;ROW())=B93,INDIRECT(A73&amp;ROW())=B94),1,IF(AND(INDIRECT(A73&amp;ROW())=B95,INDIRECT(A96&amp;ROW())=C93),1,IF(AND(INDIRECT(A73&amp;ROW())=B95,INDIRECT(A96&amp;ROW())=C94),1,0)))</f>
        <v>0</v>
      </c>
      <c r="J388">
        <f ca="1">IF(AND(INDIRECT(A73&amp;ROW())=B95,INDIRECT(A96&amp;ROW())=C95),1,IF(AND(INDIRECT(A73&amp;ROW())=B95,INDIRECT(A96&amp;ROW())=C96),1,0))</f>
        <v>1</v>
      </c>
      <c r="K388">
        <f ca="1">DAYS360(INDIRECT(C68&amp;ROW()),TODAY())</f>
        <v>730</v>
      </c>
      <c r="L388">
        <f ca="1">DAYS360(INDIRECT(C69&amp;ROW()),TODAY())</f>
        <v>781</v>
      </c>
      <c r="M388">
        <f ca="1">HYPERLINK(CONCATENATE("https://bugzilla.houston.hp.com:1181/bugzilla/show_bug.cgi?id=",INDIRECT(C70&amp;ROW())),INDIRECT(C70&amp;ROW()))</f>
        <v>57964</v>
      </c>
      <c r="N388">
        <v>57964</v>
      </c>
      <c r="O388" t="s">
        <v>56</v>
      </c>
      <c r="P388" t="s">
        <v>777</v>
      </c>
      <c r="Q388" t="s">
        <v>25</v>
      </c>
      <c r="R388" t="s">
        <v>251</v>
      </c>
      <c r="S388" t="s">
        <v>236</v>
      </c>
      <c r="U388" s="6">
        <v>42116.736770833333</v>
      </c>
      <c r="V388" t="s">
        <v>18</v>
      </c>
      <c r="W388" t="s">
        <v>17</v>
      </c>
      <c r="X388" s="6">
        <v>42064.457870370374</v>
      </c>
      <c r="Y388" t="s">
        <v>255</v>
      </c>
      <c r="AB388" t="s">
        <v>201</v>
      </c>
      <c r="AC388" t="s">
        <v>247</v>
      </c>
      <c r="AD388" t="s">
        <v>220</v>
      </c>
      <c r="AE388" t="s">
        <v>219</v>
      </c>
      <c r="AG388" t="s">
        <v>121</v>
      </c>
      <c r="AH388" t="s">
        <v>327</v>
      </c>
      <c r="AI388" t="s">
        <v>121</v>
      </c>
      <c r="AJ388" t="s">
        <v>716</v>
      </c>
      <c r="AK388" t="s">
        <v>121</v>
      </c>
    </row>
    <row r="389" spans="9:37" x14ac:dyDescent="0.3">
      <c r="I389">
        <f ca="1">IF(OR(INDIRECT(A73&amp;ROW())=B93,INDIRECT(A73&amp;ROW())=B94),1,IF(AND(INDIRECT(A73&amp;ROW())=B95,INDIRECT(A96&amp;ROW())=C93),1,IF(AND(INDIRECT(A73&amp;ROW())=B95,INDIRECT(A96&amp;ROW())=C94),1,0)))</f>
        <v>0</v>
      </c>
      <c r="J389">
        <f ca="1">IF(AND(INDIRECT(A73&amp;ROW())=B95,INDIRECT(A96&amp;ROW())=C95),1,IF(AND(INDIRECT(A73&amp;ROW())=B95,INDIRECT(A96&amp;ROW())=C96),1,0))</f>
        <v>1</v>
      </c>
      <c r="K389">
        <f ca="1">DAYS360(INDIRECT(C68&amp;ROW()),TODAY())</f>
        <v>721</v>
      </c>
      <c r="L389">
        <f ca="1">DAYS360(INDIRECT(C69&amp;ROW()),TODAY())</f>
        <v>780</v>
      </c>
      <c r="M389">
        <f ca="1">HYPERLINK(CONCATENATE("https://bugzilla.houston.hp.com:1181/bugzilla/show_bug.cgi?id=",INDIRECT(C70&amp;ROW())),INDIRECT(C70&amp;ROW()))</f>
        <v>58013</v>
      </c>
      <c r="N389">
        <v>58013</v>
      </c>
      <c r="O389" t="s">
        <v>241</v>
      </c>
      <c r="P389" t="s">
        <v>776</v>
      </c>
      <c r="Q389" t="s">
        <v>25</v>
      </c>
      <c r="R389" t="s">
        <v>248</v>
      </c>
      <c r="S389" t="s">
        <v>552</v>
      </c>
      <c r="U389" s="6">
        <v>42125.683310185188</v>
      </c>
      <c r="V389" t="s">
        <v>18</v>
      </c>
      <c r="W389" t="s">
        <v>576</v>
      </c>
      <c r="X389" s="6">
        <v>42065.375162037039</v>
      </c>
      <c r="Y389" t="s">
        <v>255</v>
      </c>
      <c r="AB389" t="s">
        <v>201</v>
      </c>
      <c r="AC389" t="s">
        <v>247</v>
      </c>
      <c r="AD389" t="s">
        <v>227</v>
      </c>
      <c r="AE389" t="s">
        <v>237</v>
      </c>
      <c r="AG389" t="s">
        <v>121</v>
      </c>
      <c r="AH389" t="s">
        <v>327</v>
      </c>
      <c r="AI389" t="s">
        <v>121</v>
      </c>
      <c r="AJ389" t="s">
        <v>716</v>
      </c>
      <c r="AK389" t="s">
        <v>121</v>
      </c>
    </row>
    <row r="390" spans="9:37" x14ac:dyDescent="0.3">
      <c r="I390">
        <f ca="1">IF(OR(INDIRECT(A73&amp;ROW())=B93,INDIRECT(A73&amp;ROW())=B94),1,IF(AND(INDIRECT(A73&amp;ROW())=B95,INDIRECT(A96&amp;ROW())=C93),1,IF(AND(INDIRECT(A73&amp;ROW())=B95,INDIRECT(A96&amp;ROW())=C94),1,0)))</f>
        <v>0</v>
      </c>
      <c r="J390">
        <f ca="1">IF(AND(INDIRECT(A73&amp;ROW())=B95,INDIRECT(A96&amp;ROW())=C95),1,IF(AND(INDIRECT(A73&amp;ROW())=B95,INDIRECT(A96&amp;ROW())=C96),1,0))</f>
        <v>1</v>
      </c>
      <c r="K390">
        <f ca="1">DAYS360(INDIRECT(C68&amp;ROW()),TODAY())</f>
        <v>681</v>
      </c>
      <c r="L390">
        <f ca="1">DAYS360(INDIRECT(C69&amp;ROW()),TODAY())</f>
        <v>780</v>
      </c>
      <c r="M390">
        <f ca="1">HYPERLINK(CONCATENATE("https://bugzilla.houston.hp.com:1181/bugzilla/show_bug.cgi?id=",INDIRECT(C70&amp;ROW())),INDIRECT(C70&amp;ROW()))</f>
        <v>58015</v>
      </c>
      <c r="N390">
        <v>58015</v>
      </c>
      <c r="O390" t="s">
        <v>56</v>
      </c>
      <c r="P390" t="s">
        <v>775</v>
      </c>
      <c r="Q390" t="s">
        <v>25</v>
      </c>
      <c r="R390" t="s">
        <v>248</v>
      </c>
      <c r="S390" t="s">
        <v>552</v>
      </c>
      <c r="U390" s="6">
        <v>42166.355590277781</v>
      </c>
      <c r="V390" t="s">
        <v>18</v>
      </c>
      <c r="W390" t="s">
        <v>576</v>
      </c>
      <c r="X390" s="6">
        <v>42065.375462962962</v>
      </c>
      <c r="Y390" t="s">
        <v>255</v>
      </c>
      <c r="AB390" t="s">
        <v>201</v>
      </c>
      <c r="AC390" t="s">
        <v>247</v>
      </c>
      <c r="AD390" t="s">
        <v>220</v>
      </c>
      <c r="AE390" t="s">
        <v>219</v>
      </c>
      <c r="AG390" t="s">
        <v>121</v>
      </c>
      <c r="AH390" t="s">
        <v>327</v>
      </c>
      <c r="AI390" t="s">
        <v>121</v>
      </c>
      <c r="AJ390" t="s">
        <v>716</v>
      </c>
      <c r="AK390" t="s">
        <v>121</v>
      </c>
    </row>
    <row r="391" spans="9:37" x14ac:dyDescent="0.3">
      <c r="I391">
        <f ca="1">IF(OR(INDIRECT(A73&amp;ROW())=B93,INDIRECT(A73&amp;ROW())=B94),1,IF(AND(INDIRECT(A73&amp;ROW())=B95,INDIRECT(A96&amp;ROW())=C93),1,IF(AND(INDIRECT(A73&amp;ROW())=B95,INDIRECT(A96&amp;ROW())=C94),1,0)))</f>
        <v>0</v>
      </c>
      <c r="J391">
        <f ca="1">IF(AND(INDIRECT(A73&amp;ROW())=B95,INDIRECT(A96&amp;ROW())=C95),1,IF(AND(INDIRECT(A73&amp;ROW())=B95,INDIRECT(A96&amp;ROW())=C96),1,0))</f>
        <v>0</v>
      </c>
      <c r="K391">
        <f ca="1">DAYS360(INDIRECT(C68&amp;ROW()),TODAY())</f>
        <v>728</v>
      </c>
      <c r="L391">
        <f ca="1">DAYS360(INDIRECT(C69&amp;ROW()),TODAY())</f>
        <v>779</v>
      </c>
      <c r="M391">
        <f ca="1">HYPERLINK(CONCATENATE("https://bugzilla.houston.hp.com:1181/bugzilla/show_bug.cgi?id=",INDIRECT(C70&amp;ROW())),INDIRECT(C70&amp;ROW()))</f>
        <v>58074</v>
      </c>
      <c r="N391">
        <v>58074</v>
      </c>
      <c r="O391" t="s">
        <v>56</v>
      </c>
      <c r="P391" t="s">
        <v>774</v>
      </c>
      <c r="Q391" t="s">
        <v>16</v>
      </c>
      <c r="R391" t="s">
        <v>251</v>
      </c>
      <c r="S391" t="s">
        <v>292</v>
      </c>
      <c r="U391" s="6">
        <v>42118.524386574078</v>
      </c>
      <c r="V391" t="s">
        <v>18</v>
      </c>
      <c r="W391" t="s">
        <v>17</v>
      </c>
      <c r="X391" s="6">
        <v>42066.574571759258</v>
      </c>
      <c r="Y391" t="s">
        <v>785</v>
      </c>
      <c r="AB391" t="s">
        <v>201</v>
      </c>
      <c r="AC391" t="s">
        <v>247</v>
      </c>
      <c r="AD391" t="s">
        <v>220</v>
      </c>
      <c r="AE391" t="s">
        <v>219</v>
      </c>
      <c r="AG391" t="s">
        <v>121</v>
      </c>
      <c r="AH391" t="s">
        <v>768</v>
      </c>
      <c r="AI391" t="s">
        <v>121</v>
      </c>
      <c r="AJ391" t="s">
        <v>717</v>
      </c>
      <c r="AK391" t="s">
        <v>121</v>
      </c>
    </row>
    <row r="392" spans="9:37" x14ac:dyDescent="0.3">
      <c r="I392">
        <f ca="1">IF(OR(INDIRECT(A73&amp;ROW())=B93,INDIRECT(A73&amp;ROW())=B94),1,IF(AND(INDIRECT(A73&amp;ROW())=B95,INDIRECT(A96&amp;ROW())=C93),1,IF(AND(INDIRECT(A73&amp;ROW())=B95,INDIRECT(A96&amp;ROW())=C94),1,0)))</f>
        <v>1</v>
      </c>
      <c r="J392">
        <f ca="1">IF(AND(INDIRECT(A73&amp;ROW())=B95,INDIRECT(A96&amp;ROW())=C95),1,IF(AND(INDIRECT(A73&amp;ROW())=B95,INDIRECT(A96&amp;ROW())=C96),1,0))</f>
        <v>0</v>
      </c>
      <c r="K392">
        <f ca="1">DAYS360(INDIRECT(C68&amp;ROW()),TODAY())</f>
        <v>693</v>
      </c>
      <c r="L392">
        <f ca="1">DAYS360(INDIRECT(C69&amp;ROW()),TODAY())</f>
        <v>779</v>
      </c>
      <c r="M392">
        <f ca="1">HYPERLINK(CONCATENATE("https://bugzilla.houston.hp.com:1181/bugzilla/show_bug.cgi?id=",INDIRECT(C70&amp;ROW())),INDIRECT(C70&amp;ROW()))</f>
        <v>58079</v>
      </c>
      <c r="N392">
        <v>58079</v>
      </c>
      <c r="O392" t="s">
        <v>66</v>
      </c>
      <c r="P392" t="s">
        <v>772</v>
      </c>
      <c r="Q392" t="s">
        <v>39</v>
      </c>
      <c r="R392" t="s">
        <v>251</v>
      </c>
      <c r="S392" t="s">
        <v>66</v>
      </c>
      <c r="T392" t="s">
        <v>782</v>
      </c>
      <c r="U392" s="6">
        <v>42153.075069444443</v>
      </c>
      <c r="V392" t="s">
        <v>35</v>
      </c>
      <c r="W392" t="s">
        <v>17</v>
      </c>
      <c r="X392" s="6">
        <v>42066.752662037034</v>
      </c>
      <c r="Y392" t="s">
        <v>122</v>
      </c>
      <c r="AB392" t="s">
        <v>201</v>
      </c>
      <c r="AC392" t="s">
        <v>247</v>
      </c>
      <c r="AD392" t="s">
        <v>220</v>
      </c>
      <c r="AE392" t="s">
        <v>219</v>
      </c>
      <c r="AG392" t="s">
        <v>121</v>
      </c>
      <c r="AH392" t="s">
        <v>327</v>
      </c>
      <c r="AI392" t="s">
        <v>121</v>
      </c>
      <c r="AJ392" t="s">
        <v>715</v>
      </c>
      <c r="AK392" t="s">
        <v>121</v>
      </c>
    </row>
    <row r="393" spans="9:37" x14ac:dyDescent="0.3">
      <c r="I393">
        <f ca="1">IF(OR(INDIRECT(A73&amp;ROW())=B93,INDIRECT(A73&amp;ROW())=B94),1,IF(AND(INDIRECT(A73&amp;ROW())=B95,INDIRECT(A96&amp;ROW())=C93),1,IF(AND(INDIRECT(A73&amp;ROW())=B95,INDIRECT(A96&amp;ROW())=C94),1,0)))</f>
        <v>1</v>
      </c>
      <c r="J393">
        <f ca="1">IF(AND(INDIRECT(A73&amp;ROW())=B95,INDIRECT(A96&amp;ROW())=C95),1,IF(AND(INDIRECT(A73&amp;ROW())=B95,INDIRECT(A96&amp;ROW())=C96),1,0))</f>
        <v>0</v>
      </c>
      <c r="K393">
        <f ca="1">DAYS360(INDIRECT(C68&amp;ROW()),TODAY())</f>
        <v>668</v>
      </c>
      <c r="L393">
        <f ca="1">DAYS360(INDIRECT(C69&amp;ROW()),TODAY())</f>
        <v>778</v>
      </c>
      <c r="M393">
        <f ca="1">HYPERLINK(CONCATENATE("https://bugzilla.houston.hp.com:1181/bugzilla/show_bug.cgi?id=",INDIRECT(C70&amp;ROW())),INDIRECT(C70&amp;ROW()))</f>
        <v>58085</v>
      </c>
      <c r="N393">
        <v>58085</v>
      </c>
      <c r="O393" t="s">
        <v>919</v>
      </c>
      <c r="P393" t="s">
        <v>771</v>
      </c>
      <c r="Q393" t="s">
        <v>39</v>
      </c>
      <c r="R393" t="s">
        <v>579</v>
      </c>
      <c r="S393" t="s">
        <v>552</v>
      </c>
      <c r="T393" t="s">
        <v>820</v>
      </c>
      <c r="U393" s="6">
        <v>42179.380787037036</v>
      </c>
      <c r="V393" t="s">
        <v>18</v>
      </c>
      <c r="W393" t="s">
        <v>372</v>
      </c>
      <c r="X393" s="6">
        <v>42067.014606481483</v>
      </c>
      <c r="Y393" t="s">
        <v>122</v>
      </c>
      <c r="AB393" t="s">
        <v>201</v>
      </c>
      <c r="AC393" t="s">
        <v>247</v>
      </c>
      <c r="AD393" t="s">
        <v>220</v>
      </c>
      <c r="AE393" t="s">
        <v>224</v>
      </c>
      <c r="AG393" t="s">
        <v>121</v>
      </c>
      <c r="AH393" t="s">
        <v>327</v>
      </c>
      <c r="AI393" t="s">
        <v>362</v>
      </c>
      <c r="AJ393" t="s">
        <v>715</v>
      </c>
      <c r="AK393" t="s">
        <v>121</v>
      </c>
    </row>
    <row r="394" spans="9:37" x14ac:dyDescent="0.3">
      <c r="I394">
        <f ca="1">IF(OR(INDIRECT(A73&amp;ROW())=B93,INDIRECT(A73&amp;ROW())=B94),1,IF(AND(INDIRECT(A73&amp;ROW())=B95,INDIRECT(A96&amp;ROW())=C93),1,IF(AND(INDIRECT(A73&amp;ROW())=B95,INDIRECT(A96&amp;ROW())=C94),1,0)))</f>
        <v>1</v>
      </c>
      <c r="J394">
        <f ca="1">IF(AND(INDIRECT(A73&amp;ROW())=B95,INDIRECT(A96&amp;ROW())=C95),1,IF(AND(INDIRECT(A73&amp;ROW())=B95,INDIRECT(A96&amp;ROW())=C96),1,0))</f>
        <v>0</v>
      </c>
      <c r="K394">
        <f ca="1">DAYS360(INDIRECT(C68&amp;ROW()),TODAY())</f>
        <v>684</v>
      </c>
      <c r="L394">
        <f ca="1">DAYS360(INDIRECT(C69&amp;ROW()),TODAY())</f>
        <v>778</v>
      </c>
      <c r="M394">
        <f ca="1">HYPERLINK(CONCATENATE("https://bugzilla.houston.hp.com:1181/bugzilla/show_bug.cgi?id=",INDIRECT(C70&amp;ROW())),INDIRECT(C70&amp;ROW()))</f>
        <v>58086</v>
      </c>
      <c r="N394">
        <v>58086</v>
      </c>
      <c r="O394" t="s">
        <v>66</v>
      </c>
      <c r="P394" t="s">
        <v>770</v>
      </c>
      <c r="Q394" t="s">
        <v>39</v>
      </c>
      <c r="R394" t="s">
        <v>248</v>
      </c>
      <c r="S394" t="s">
        <v>552</v>
      </c>
      <c r="T394" t="s">
        <v>782</v>
      </c>
      <c r="U394" s="6">
        <v>42163.604212962964</v>
      </c>
      <c r="V394" t="s">
        <v>35</v>
      </c>
      <c r="W394" t="s">
        <v>372</v>
      </c>
      <c r="X394" s="6">
        <v>42067.014675925922</v>
      </c>
      <c r="Y394" t="s">
        <v>122</v>
      </c>
      <c r="AB394" t="s">
        <v>201</v>
      </c>
      <c r="AC394" t="s">
        <v>247</v>
      </c>
      <c r="AD394" t="s">
        <v>220</v>
      </c>
      <c r="AE394" t="s">
        <v>219</v>
      </c>
      <c r="AG394" t="s">
        <v>121</v>
      </c>
      <c r="AH394" t="s">
        <v>327</v>
      </c>
      <c r="AI394" t="s">
        <v>121</v>
      </c>
      <c r="AJ394" t="s">
        <v>715</v>
      </c>
      <c r="AK394" t="s">
        <v>121</v>
      </c>
    </row>
    <row r="395" spans="9:37" x14ac:dyDescent="0.3">
      <c r="I395">
        <f ca="1">IF(OR(INDIRECT(A73&amp;ROW())=B93,INDIRECT(A73&amp;ROW())=B94),1,IF(AND(INDIRECT(A73&amp;ROW())=B95,INDIRECT(A96&amp;ROW())=C93),1,IF(AND(INDIRECT(A73&amp;ROW())=B95,INDIRECT(A96&amp;ROW())=C94),1,0)))</f>
        <v>0</v>
      </c>
      <c r="J395">
        <f ca="1">IF(AND(INDIRECT(A73&amp;ROW())=B95,INDIRECT(A96&amp;ROW())=C95),1,IF(AND(INDIRECT(A73&amp;ROW())=B95,INDIRECT(A96&amp;ROW())=C96),1,0))</f>
        <v>0</v>
      </c>
      <c r="K395">
        <f ca="1">DAYS360(INDIRECT(C68&amp;ROW()),TODAY())</f>
        <v>681</v>
      </c>
      <c r="L395">
        <f ca="1">DAYS360(INDIRECT(C69&amp;ROW()),TODAY())</f>
        <v>778</v>
      </c>
      <c r="M395">
        <f ca="1">HYPERLINK(CONCATENATE("https://bugzilla.houston.hp.com:1181/bugzilla/show_bug.cgi?id=",INDIRECT(C70&amp;ROW())),INDIRECT(C70&amp;ROW()))</f>
        <v>58098</v>
      </c>
      <c r="N395">
        <v>58098</v>
      </c>
      <c r="O395" t="s">
        <v>56</v>
      </c>
      <c r="P395" t="s">
        <v>769</v>
      </c>
      <c r="Q395" t="s">
        <v>16</v>
      </c>
      <c r="R395" t="s">
        <v>248</v>
      </c>
      <c r="S395" t="s">
        <v>552</v>
      </c>
      <c r="U395" s="6">
        <v>42166.356099537035</v>
      </c>
      <c r="V395" t="s">
        <v>18</v>
      </c>
      <c r="W395" t="s">
        <v>372</v>
      </c>
      <c r="X395" s="6">
        <v>42067.015717592592</v>
      </c>
      <c r="Y395" t="s">
        <v>785</v>
      </c>
      <c r="AB395" t="s">
        <v>201</v>
      </c>
      <c r="AC395" t="s">
        <v>247</v>
      </c>
      <c r="AD395" t="s">
        <v>220</v>
      </c>
      <c r="AE395" t="s">
        <v>219</v>
      </c>
      <c r="AG395" t="s">
        <v>121</v>
      </c>
      <c r="AH395" t="s">
        <v>768</v>
      </c>
      <c r="AI395" t="s">
        <v>121</v>
      </c>
      <c r="AJ395" t="s">
        <v>717</v>
      </c>
      <c r="AK395" t="s">
        <v>121</v>
      </c>
    </row>
    <row r="396" spans="9:37" x14ac:dyDescent="0.3">
      <c r="I396">
        <f ca="1">IF(OR(INDIRECT(A73&amp;ROW())=B93,INDIRECT(A73&amp;ROW())=B94),1,IF(AND(INDIRECT(A73&amp;ROW())=B95,INDIRECT(A96&amp;ROW())=C93),1,IF(AND(INDIRECT(A73&amp;ROW())=B95,INDIRECT(A96&amp;ROW())=C94),1,0)))</f>
        <v>0</v>
      </c>
      <c r="J396">
        <f ca="1">IF(AND(INDIRECT(A73&amp;ROW())=B95,INDIRECT(A96&amp;ROW())=C95),1,IF(AND(INDIRECT(A73&amp;ROW())=B95,INDIRECT(A96&amp;ROW())=C96),1,0))</f>
        <v>1</v>
      </c>
      <c r="K396">
        <f ca="1">DAYS360(INDIRECT(C68&amp;ROW()),TODAY())</f>
        <v>675</v>
      </c>
      <c r="L396">
        <f ca="1">DAYS360(INDIRECT(C69&amp;ROW()),TODAY())</f>
        <v>776</v>
      </c>
      <c r="M396">
        <f ca="1">HYPERLINK(CONCATENATE("https://bugzilla.houston.hp.com:1181/bugzilla/show_bug.cgi?id=",INDIRECT(C70&amp;ROW())),INDIRECT(C70&amp;ROW()))</f>
        <v>58308</v>
      </c>
      <c r="N396">
        <v>58308</v>
      </c>
      <c r="O396" t="s">
        <v>22</v>
      </c>
      <c r="P396" t="s">
        <v>781</v>
      </c>
      <c r="Q396" t="s">
        <v>25</v>
      </c>
      <c r="R396" t="s">
        <v>251</v>
      </c>
      <c r="S396" t="s">
        <v>773</v>
      </c>
      <c r="U396" s="6">
        <v>42172.482175925928</v>
      </c>
      <c r="V396" t="s">
        <v>18</v>
      </c>
      <c r="W396" t="s">
        <v>17</v>
      </c>
      <c r="X396" s="6">
        <v>42069.514872685184</v>
      </c>
      <c r="Y396" t="s">
        <v>125</v>
      </c>
      <c r="AB396" t="s">
        <v>201</v>
      </c>
      <c r="AC396" t="s">
        <v>247</v>
      </c>
      <c r="AD396" t="s">
        <v>220</v>
      </c>
      <c r="AE396" t="s">
        <v>223</v>
      </c>
      <c r="AG396" t="s">
        <v>121</v>
      </c>
      <c r="AH396" t="s">
        <v>327</v>
      </c>
      <c r="AI396" t="s">
        <v>121</v>
      </c>
      <c r="AJ396" t="s">
        <v>716</v>
      </c>
      <c r="AK396" t="s">
        <v>121</v>
      </c>
    </row>
    <row r="397" spans="9:37" x14ac:dyDescent="0.3">
      <c r="I397">
        <f ca="1">IF(OR(INDIRECT(A73&amp;ROW())=B93,INDIRECT(A73&amp;ROW())=B94),1,IF(AND(INDIRECT(A73&amp;ROW())=B95,INDIRECT(A96&amp;ROW())=C93),1,IF(AND(INDIRECT(A73&amp;ROW())=B95,INDIRECT(A96&amp;ROW())=C94),1,0)))</f>
        <v>0</v>
      </c>
      <c r="J397">
        <f ca="1">IF(AND(INDIRECT(A73&amp;ROW())=B95,INDIRECT(A96&amp;ROW())=C95),1,IF(AND(INDIRECT(A73&amp;ROW())=B95,INDIRECT(A96&amp;ROW())=C96),1,0))</f>
        <v>1</v>
      </c>
      <c r="K397">
        <f ca="1">DAYS360(INDIRECT(C68&amp;ROW()),TODAY())</f>
        <v>690</v>
      </c>
      <c r="L397">
        <f ca="1">DAYS360(INDIRECT(C69&amp;ROW()),TODAY())</f>
        <v>776</v>
      </c>
      <c r="M397">
        <f ca="1">HYPERLINK(CONCATENATE("https://bugzilla.houston.hp.com:1181/bugzilla/show_bug.cgi?id=",INDIRECT(C70&amp;ROW())),INDIRECT(C70&amp;ROW()))</f>
        <v>58311</v>
      </c>
      <c r="N397">
        <v>58311</v>
      </c>
      <c r="O397" t="s">
        <v>22</v>
      </c>
      <c r="P397" t="s">
        <v>780</v>
      </c>
      <c r="Q397" t="s">
        <v>25</v>
      </c>
      <c r="R397" t="s">
        <v>248</v>
      </c>
      <c r="S397" t="s">
        <v>552</v>
      </c>
      <c r="U397" s="6">
        <v>42157.600729166668</v>
      </c>
      <c r="V397" t="s">
        <v>18</v>
      </c>
      <c r="W397" t="s">
        <v>576</v>
      </c>
      <c r="X397" s="6">
        <v>42069.57304398148</v>
      </c>
      <c r="Y397" t="s">
        <v>125</v>
      </c>
      <c r="AB397" t="s">
        <v>201</v>
      </c>
      <c r="AC397" t="s">
        <v>247</v>
      </c>
      <c r="AD397" t="s">
        <v>220</v>
      </c>
      <c r="AE397" t="s">
        <v>223</v>
      </c>
      <c r="AG397" t="s">
        <v>121</v>
      </c>
      <c r="AH397" t="s">
        <v>327</v>
      </c>
      <c r="AI397" t="s">
        <v>121</v>
      </c>
      <c r="AJ397" t="s">
        <v>716</v>
      </c>
      <c r="AK397" t="s">
        <v>121</v>
      </c>
    </row>
    <row r="398" spans="9:37" x14ac:dyDescent="0.3">
      <c r="I398">
        <f ca="1">IF(OR(INDIRECT(A73&amp;ROW())=B93,INDIRECT(A73&amp;ROW())=B94),1,IF(AND(INDIRECT(A73&amp;ROW())=B95,INDIRECT(A96&amp;ROW())=C93),1,IF(AND(INDIRECT(A73&amp;ROW())=B95,INDIRECT(A96&amp;ROW())=C94),1,0)))</f>
        <v>1</v>
      </c>
      <c r="J398">
        <f ca="1">IF(AND(INDIRECT(A73&amp;ROW())=B95,INDIRECT(A96&amp;ROW())=C95),1,IF(AND(INDIRECT(A73&amp;ROW())=B95,INDIRECT(A96&amp;ROW())=C96),1,0))</f>
        <v>0</v>
      </c>
      <c r="K398">
        <f ca="1">DAYS360(INDIRECT(C68&amp;ROW()),TODAY())</f>
        <v>681</v>
      </c>
      <c r="L398">
        <f ca="1">DAYS360(INDIRECT(C69&amp;ROW()),TODAY())</f>
        <v>773</v>
      </c>
      <c r="M398">
        <f ca="1">HYPERLINK(CONCATENATE("https://bugzilla.houston.hp.com:1181/bugzilla/show_bug.cgi?id=",INDIRECT(C70&amp;ROW())),INDIRECT(C70&amp;ROW()))</f>
        <v>58413</v>
      </c>
      <c r="N398">
        <v>58413</v>
      </c>
      <c r="O398" t="s">
        <v>164</v>
      </c>
      <c r="P398" t="s">
        <v>1253</v>
      </c>
      <c r="Q398" t="s">
        <v>39</v>
      </c>
      <c r="R398" t="s">
        <v>251</v>
      </c>
      <c r="S398" t="s">
        <v>66</v>
      </c>
      <c r="U398" s="6">
        <v>42166.463750000003</v>
      </c>
      <c r="V398" t="s">
        <v>40</v>
      </c>
      <c r="W398" t="s">
        <v>17</v>
      </c>
      <c r="X398" s="6">
        <v>42072.772499999999</v>
      </c>
      <c r="Y398" t="s">
        <v>793</v>
      </c>
      <c r="AB398" t="s">
        <v>201</v>
      </c>
      <c r="AC398" t="s">
        <v>247</v>
      </c>
      <c r="AD398" t="s">
        <v>220</v>
      </c>
      <c r="AE398" t="s">
        <v>219</v>
      </c>
      <c r="AG398" t="s">
        <v>121</v>
      </c>
      <c r="AH398" t="s">
        <v>327</v>
      </c>
      <c r="AI398" t="s">
        <v>121</v>
      </c>
      <c r="AJ398" t="s">
        <v>716</v>
      </c>
      <c r="AK398" t="s">
        <v>121</v>
      </c>
    </row>
    <row r="399" spans="9:37" x14ac:dyDescent="0.3">
      <c r="I399">
        <f ca="1">IF(OR(INDIRECT(A73&amp;ROW())=B93,INDIRECT(A73&amp;ROW())=B94),1,IF(AND(INDIRECT(A73&amp;ROW())=B95,INDIRECT(A96&amp;ROW())=C93),1,IF(AND(INDIRECT(A73&amp;ROW())=B95,INDIRECT(A96&amp;ROW())=C94),1,0)))</f>
        <v>1</v>
      </c>
      <c r="J399">
        <f ca="1">IF(AND(INDIRECT(A73&amp;ROW())=B95,INDIRECT(A96&amp;ROW())=C95),1,IF(AND(INDIRECT(A73&amp;ROW())=B95,INDIRECT(A96&amp;ROW())=C96),1,0))</f>
        <v>0</v>
      </c>
      <c r="K399">
        <f ca="1">DAYS360(INDIRECT(C68&amp;ROW()),TODAY())</f>
        <v>684</v>
      </c>
      <c r="L399">
        <f ca="1">DAYS360(INDIRECT(C69&amp;ROW()),TODAY())</f>
        <v>772</v>
      </c>
      <c r="M399">
        <f ca="1">HYPERLINK(CONCATENATE("https://bugzilla.houston.hp.com:1181/bugzilla/show_bug.cgi?id=",INDIRECT(C70&amp;ROW())),INDIRECT(C70&amp;ROW()))</f>
        <v>58422</v>
      </c>
      <c r="N399">
        <v>58422</v>
      </c>
      <c r="O399" t="s">
        <v>156</v>
      </c>
      <c r="P399" t="s">
        <v>1252</v>
      </c>
      <c r="Q399" t="s">
        <v>39</v>
      </c>
      <c r="R399" t="s">
        <v>579</v>
      </c>
      <c r="S399" t="s">
        <v>552</v>
      </c>
      <c r="T399" t="s">
        <v>822</v>
      </c>
      <c r="U399" s="6">
        <v>42163.40315972222</v>
      </c>
      <c r="V399" t="s">
        <v>40</v>
      </c>
      <c r="W399" t="s">
        <v>322</v>
      </c>
      <c r="X399" s="6">
        <v>42073.014756944445</v>
      </c>
      <c r="Y399" t="s">
        <v>793</v>
      </c>
      <c r="AB399" t="s">
        <v>201</v>
      </c>
      <c r="AC399" t="s">
        <v>247</v>
      </c>
      <c r="AD399" t="s">
        <v>220</v>
      </c>
      <c r="AE399" t="s">
        <v>219</v>
      </c>
      <c r="AG399" t="s">
        <v>121</v>
      </c>
      <c r="AH399" t="s">
        <v>327</v>
      </c>
      <c r="AI399" t="s">
        <v>121</v>
      </c>
      <c r="AJ399" t="s">
        <v>715</v>
      </c>
      <c r="AK399" t="s">
        <v>121</v>
      </c>
    </row>
    <row r="400" spans="9:37" x14ac:dyDescent="0.3">
      <c r="I400">
        <f ca="1">IF(OR(INDIRECT(A73&amp;ROW())=B93,INDIRECT(A73&amp;ROW())=B94),1,IF(AND(INDIRECT(A73&amp;ROW())=B95,INDIRECT(A96&amp;ROW())=C93),1,IF(AND(INDIRECT(A73&amp;ROW())=B95,INDIRECT(A96&amp;ROW())=C94),1,0)))</f>
        <v>1</v>
      </c>
      <c r="J400">
        <f ca="1">IF(AND(INDIRECT(A73&amp;ROW())=B95,INDIRECT(A96&amp;ROW())=C95),1,IF(AND(INDIRECT(A73&amp;ROW())=B95,INDIRECT(A96&amp;ROW())=C96),1,0))</f>
        <v>0</v>
      </c>
      <c r="K400">
        <f ca="1">DAYS360(INDIRECT(C68&amp;ROW()),TODAY())</f>
        <v>735</v>
      </c>
      <c r="L400">
        <f ca="1">DAYS360(INDIRECT(C69&amp;ROW()),TODAY())</f>
        <v>772</v>
      </c>
      <c r="M400">
        <f ca="1">HYPERLINK(CONCATENATE("https://bugzilla.houston.hp.com:1181/bugzilla/show_bug.cgi?id=",INDIRECT(C70&amp;ROW())),INDIRECT(C70&amp;ROW()))</f>
        <v>58468</v>
      </c>
      <c r="N400">
        <v>58468</v>
      </c>
      <c r="O400" t="s">
        <v>68</v>
      </c>
      <c r="P400" t="s">
        <v>800</v>
      </c>
      <c r="Q400" t="s">
        <v>25</v>
      </c>
      <c r="R400" t="s">
        <v>579</v>
      </c>
      <c r="S400" t="s">
        <v>784</v>
      </c>
      <c r="T400" t="s">
        <v>816</v>
      </c>
      <c r="U400" s="6">
        <v>42111.528749999998</v>
      </c>
      <c r="V400" t="s">
        <v>35</v>
      </c>
      <c r="W400" t="s">
        <v>576</v>
      </c>
      <c r="X400" s="6">
        <v>42073.574074074073</v>
      </c>
      <c r="Y400" t="s">
        <v>255</v>
      </c>
      <c r="Z400" t="s">
        <v>125</v>
      </c>
      <c r="AB400" t="s">
        <v>200</v>
      </c>
      <c r="AC400" t="s">
        <v>247</v>
      </c>
      <c r="AD400" t="s">
        <v>220</v>
      </c>
      <c r="AE400" t="s">
        <v>229</v>
      </c>
      <c r="AG400" t="s">
        <v>121</v>
      </c>
      <c r="AH400" t="s">
        <v>327</v>
      </c>
      <c r="AI400" t="s">
        <v>362</v>
      </c>
      <c r="AJ400" t="s">
        <v>715</v>
      </c>
      <c r="AK400" t="s">
        <v>121</v>
      </c>
    </row>
    <row r="401" spans="9:37" x14ac:dyDescent="0.3">
      <c r="I401">
        <f ca="1">IF(OR(INDIRECT(A73&amp;ROW())=B93,INDIRECT(A73&amp;ROW())=B94),1,IF(AND(INDIRECT(A73&amp;ROW())=B95,INDIRECT(A96&amp;ROW())=C93),1,IF(AND(INDIRECT(A73&amp;ROW())=B95,INDIRECT(A96&amp;ROW())=C94),1,0)))</f>
        <v>0</v>
      </c>
      <c r="J401">
        <f ca="1">IF(AND(INDIRECT(A73&amp;ROW())=B95,INDIRECT(A96&amp;ROW())=C95),1,IF(AND(INDIRECT(A73&amp;ROW())=B95,INDIRECT(A96&amp;ROW())=C96),1,0))</f>
        <v>1</v>
      </c>
      <c r="K401">
        <f ca="1">DAYS360(INDIRECT(C68&amp;ROW()),TODAY())</f>
        <v>684</v>
      </c>
      <c r="L401">
        <f ca="1">DAYS360(INDIRECT(C69&amp;ROW()),TODAY())</f>
        <v>770</v>
      </c>
      <c r="M401">
        <f ca="1">HYPERLINK(CONCATENATE("https://bugzilla.houston.hp.com:1181/bugzilla/show_bug.cgi?id=",INDIRECT(C70&amp;ROW())),INDIRECT(C70&amp;ROW()))</f>
        <v>58612</v>
      </c>
      <c r="N401">
        <v>58612</v>
      </c>
      <c r="O401" t="s">
        <v>45</v>
      </c>
      <c r="P401" t="s">
        <v>799</v>
      </c>
      <c r="Q401" t="s">
        <v>25</v>
      </c>
      <c r="R401" t="s">
        <v>251</v>
      </c>
      <c r="S401" t="s">
        <v>33</v>
      </c>
      <c r="T401" t="s">
        <v>798</v>
      </c>
      <c r="U401" s="6">
        <v>42163.556331018517</v>
      </c>
      <c r="V401" t="s">
        <v>18</v>
      </c>
      <c r="W401" t="s">
        <v>783</v>
      </c>
      <c r="X401" s="6">
        <v>42075.22042824074</v>
      </c>
      <c r="Y401" t="s">
        <v>119</v>
      </c>
      <c r="AB401" t="s">
        <v>201</v>
      </c>
      <c r="AC401" t="s">
        <v>247</v>
      </c>
      <c r="AD401" t="s">
        <v>227</v>
      </c>
      <c r="AE401" t="s">
        <v>370</v>
      </c>
      <c r="AG401" t="s">
        <v>121</v>
      </c>
      <c r="AH401" t="s">
        <v>327</v>
      </c>
      <c r="AI401" t="s">
        <v>121</v>
      </c>
      <c r="AJ401" t="s">
        <v>716</v>
      </c>
      <c r="AK401" t="s">
        <v>121</v>
      </c>
    </row>
    <row r="402" spans="9:37" x14ac:dyDescent="0.3">
      <c r="I402">
        <f ca="1">IF(OR(INDIRECT(A73&amp;ROW())=B93,INDIRECT(A73&amp;ROW())=B94),1,IF(AND(INDIRECT(A73&amp;ROW())=B95,INDIRECT(A96&amp;ROW())=C93),1,IF(AND(INDIRECT(A73&amp;ROW())=B95,INDIRECT(A96&amp;ROW())=C94),1,0)))</f>
        <v>0</v>
      </c>
      <c r="J402">
        <f ca="1">IF(AND(INDIRECT(A73&amp;ROW())=B95,INDIRECT(A96&amp;ROW())=C95),1,IF(AND(INDIRECT(A73&amp;ROW())=B95,INDIRECT(A96&amp;ROW())=C96),1,0))</f>
        <v>1</v>
      </c>
      <c r="K402">
        <f ca="1">DAYS360(INDIRECT(C68&amp;ROW()),TODAY())</f>
        <v>690</v>
      </c>
      <c r="L402">
        <f ca="1">DAYS360(INDIRECT(C69&amp;ROW()),TODAY())</f>
        <v>770</v>
      </c>
      <c r="M402">
        <f ca="1">HYPERLINK(CONCATENATE("https://bugzilla.houston.hp.com:1181/bugzilla/show_bug.cgi?id=",INDIRECT(C70&amp;ROW())),INDIRECT(C70&amp;ROW()))</f>
        <v>58627</v>
      </c>
      <c r="N402">
        <v>58627</v>
      </c>
      <c r="O402" t="s">
        <v>36</v>
      </c>
      <c r="P402" t="s">
        <v>797</v>
      </c>
      <c r="Q402" t="s">
        <v>25</v>
      </c>
      <c r="R402" t="s">
        <v>579</v>
      </c>
      <c r="S402" t="s">
        <v>552</v>
      </c>
      <c r="T402" t="s">
        <v>798</v>
      </c>
      <c r="U402" s="6">
        <v>42157.102453703701</v>
      </c>
      <c r="V402" t="s">
        <v>18</v>
      </c>
      <c r="W402" t="s">
        <v>783</v>
      </c>
      <c r="X402" s="6">
        <v>42075.359710648147</v>
      </c>
      <c r="Y402" t="s">
        <v>119</v>
      </c>
      <c r="AB402" t="s">
        <v>201</v>
      </c>
      <c r="AC402" t="s">
        <v>247</v>
      </c>
      <c r="AD402" t="s">
        <v>227</v>
      </c>
      <c r="AE402" t="s">
        <v>370</v>
      </c>
      <c r="AG402" t="s">
        <v>121</v>
      </c>
      <c r="AH402" t="s">
        <v>327</v>
      </c>
      <c r="AI402" t="s">
        <v>121</v>
      </c>
      <c r="AJ402" t="s">
        <v>716</v>
      </c>
      <c r="AK402" t="s">
        <v>121</v>
      </c>
    </row>
    <row r="403" spans="9:37" x14ac:dyDescent="0.3">
      <c r="I403">
        <f ca="1">IF(OR(INDIRECT(A73&amp;ROW())=B93,INDIRECT(A73&amp;ROW())=B94),1,IF(AND(INDIRECT(A73&amp;ROW())=B95,INDIRECT(A96&amp;ROW())=C93),1,IF(AND(INDIRECT(A73&amp;ROW())=B95,INDIRECT(A96&amp;ROW())=C94),1,0)))</f>
        <v>0</v>
      </c>
      <c r="J403">
        <f ca="1">IF(AND(INDIRECT(A73&amp;ROW())=B95,INDIRECT(A96&amp;ROW())=C95),1,IF(AND(INDIRECT(A73&amp;ROW())=B95,INDIRECT(A96&amp;ROW())=C96),1,0))</f>
        <v>1</v>
      </c>
      <c r="K403">
        <f ca="1">DAYS360(INDIRECT(C68&amp;ROW()),TODAY())</f>
        <v>690</v>
      </c>
      <c r="L403">
        <f ca="1">DAYS360(INDIRECT(C69&amp;ROW()),TODAY())</f>
        <v>770</v>
      </c>
      <c r="M403">
        <f ca="1">HYPERLINK(CONCATENATE("https://bugzilla.houston.hp.com:1181/bugzilla/show_bug.cgi?id=",INDIRECT(C70&amp;ROW())),INDIRECT(C70&amp;ROW()))</f>
        <v>58628</v>
      </c>
      <c r="N403">
        <v>58628</v>
      </c>
      <c r="O403" t="s">
        <v>36</v>
      </c>
      <c r="P403" t="s">
        <v>796</v>
      </c>
      <c r="Q403" t="s">
        <v>25</v>
      </c>
      <c r="R403" t="s">
        <v>248</v>
      </c>
      <c r="S403" t="s">
        <v>552</v>
      </c>
      <c r="U403" s="6">
        <v>42157.10324074074</v>
      </c>
      <c r="V403" t="s">
        <v>18</v>
      </c>
      <c r="W403" t="s">
        <v>783</v>
      </c>
      <c r="X403" s="6">
        <v>42075.360277777778</v>
      </c>
      <c r="Y403" t="s">
        <v>119</v>
      </c>
      <c r="AB403" t="s">
        <v>201</v>
      </c>
      <c r="AC403" t="s">
        <v>247</v>
      </c>
      <c r="AD403" t="s">
        <v>227</v>
      </c>
      <c r="AE403" t="s">
        <v>370</v>
      </c>
      <c r="AG403" t="s">
        <v>121</v>
      </c>
      <c r="AH403" t="s">
        <v>327</v>
      </c>
      <c r="AI403" t="s">
        <v>121</v>
      </c>
      <c r="AJ403" t="s">
        <v>716</v>
      </c>
      <c r="AK403" t="s">
        <v>121</v>
      </c>
    </row>
    <row r="404" spans="9:37" x14ac:dyDescent="0.3">
      <c r="I404">
        <f ca="1">IF(OR(INDIRECT(A73&amp;ROW())=B93,INDIRECT(A73&amp;ROW())=B94),1,IF(AND(INDIRECT(A73&amp;ROW())=B95,INDIRECT(A96&amp;ROW())=C93),1,IF(AND(INDIRECT(A73&amp;ROW())=B95,INDIRECT(A96&amp;ROW())=C94),1,0)))</f>
        <v>1</v>
      </c>
      <c r="J404">
        <f ca="1">IF(AND(INDIRECT(A73&amp;ROW())=B95,INDIRECT(A96&amp;ROW())=C95),1,IF(AND(INDIRECT(A73&amp;ROW())=B95,INDIRECT(A96&amp;ROW())=C96),1,0))</f>
        <v>0</v>
      </c>
      <c r="K404">
        <f ca="1">DAYS360(INDIRECT(C68&amp;ROW()),TODAY())</f>
        <v>696</v>
      </c>
      <c r="L404">
        <f ca="1">DAYS360(INDIRECT(C69&amp;ROW()),TODAY())</f>
        <v>769</v>
      </c>
      <c r="M404">
        <f ca="1">HYPERLINK(CONCATENATE("https://bugzilla.houston.hp.com:1181/bugzilla/show_bug.cgi?id=",INDIRECT(C70&amp;ROW())),INDIRECT(C70&amp;ROW()))</f>
        <v>58713</v>
      </c>
      <c r="N404">
        <v>58713</v>
      </c>
      <c r="O404" t="s">
        <v>21</v>
      </c>
      <c r="P404" t="s">
        <v>808</v>
      </c>
      <c r="Q404" t="s">
        <v>39</v>
      </c>
      <c r="R404" t="s">
        <v>251</v>
      </c>
      <c r="S404" t="s">
        <v>336</v>
      </c>
      <c r="U404" s="6">
        <v>42150.368900462963</v>
      </c>
      <c r="V404" t="s">
        <v>18</v>
      </c>
      <c r="W404" t="s">
        <v>17</v>
      </c>
      <c r="X404" s="6">
        <v>42076.621111111112</v>
      </c>
      <c r="Y404" t="s">
        <v>122</v>
      </c>
      <c r="Z404" t="s">
        <v>255</v>
      </c>
      <c r="AB404" t="s">
        <v>201</v>
      </c>
      <c r="AC404" t="s">
        <v>247</v>
      </c>
      <c r="AD404" t="s">
        <v>222</v>
      </c>
      <c r="AE404" t="s">
        <v>221</v>
      </c>
      <c r="AG404" t="s">
        <v>121</v>
      </c>
      <c r="AH404" t="s">
        <v>327</v>
      </c>
      <c r="AI404" t="s">
        <v>121</v>
      </c>
      <c r="AJ404" t="s">
        <v>715</v>
      </c>
      <c r="AK404" t="s">
        <v>121</v>
      </c>
    </row>
    <row r="405" spans="9:37" x14ac:dyDescent="0.3">
      <c r="I405">
        <f ca="1">IF(OR(INDIRECT(A73&amp;ROW())=B93,INDIRECT(A73&amp;ROW())=B94),1,IF(AND(INDIRECT(A73&amp;ROW())=B95,INDIRECT(A96&amp;ROW())=C93),1,IF(AND(INDIRECT(A73&amp;ROW())=B95,INDIRECT(A96&amp;ROW())=C94),1,0)))</f>
        <v>1</v>
      </c>
      <c r="J405">
        <f ca="1">IF(AND(INDIRECT(A73&amp;ROW())=B95,INDIRECT(A96&amp;ROW())=C95),1,IF(AND(INDIRECT(A73&amp;ROW())=B95,INDIRECT(A96&amp;ROW())=C96),1,0))</f>
        <v>0</v>
      </c>
      <c r="K405">
        <f ca="1">DAYS360(INDIRECT(C68&amp;ROW()),TODAY())</f>
        <v>696</v>
      </c>
      <c r="L405">
        <f ca="1">DAYS360(INDIRECT(C69&amp;ROW()),TODAY())</f>
        <v>769</v>
      </c>
      <c r="M405">
        <f ca="1">HYPERLINK(CONCATENATE("https://bugzilla.houston.hp.com:1181/bugzilla/show_bug.cgi?id=",INDIRECT(C70&amp;ROW())),INDIRECT(C70&amp;ROW()))</f>
        <v>58715</v>
      </c>
      <c r="N405">
        <v>58715</v>
      </c>
      <c r="O405" t="s">
        <v>21</v>
      </c>
      <c r="P405" t="s">
        <v>807</v>
      </c>
      <c r="Q405" t="s">
        <v>39</v>
      </c>
      <c r="R405" t="s">
        <v>579</v>
      </c>
      <c r="S405" t="s">
        <v>552</v>
      </c>
      <c r="T405" t="s">
        <v>822</v>
      </c>
      <c r="U405" s="6">
        <v>42150.36886574074</v>
      </c>
      <c r="V405" t="s">
        <v>18</v>
      </c>
      <c r="W405" t="s">
        <v>17</v>
      </c>
      <c r="X405" s="6">
        <v>42076.630497685182</v>
      </c>
      <c r="Y405" t="s">
        <v>122</v>
      </c>
      <c r="AB405" t="s">
        <v>201</v>
      </c>
      <c r="AC405" t="s">
        <v>247</v>
      </c>
      <c r="AD405" t="s">
        <v>222</v>
      </c>
      <c r="AE405" t="s">
        <v>221</v>
      </c>
      <c r="AG405" t="s">
        <v>121</v>
      </c>
      <c r="AH405" t="s">
        <v>327</v>
      </c>
      <c r="AI405" t="s">
        <v>362</v>
      </c>
      <c r="AJ405" t="s">
        <v>715</v>
      </c>
      <c r="AK405" t="s">
        <v>121</v>
      </c>
    </row>
    <row r="406" spans="9:37" x14ac:dyDescent="0.3">
      <c r="I406">
        <f ca="1">IF(OR(INDIRECT(A73&amp;ROW())=B93,INDIRECT(A73&amp;ROW())=B94),1,IF(AND(INDIRECT(A73&amp;ROW())=B95,INDIRECT(A96&amp;ROW())=C93),1,IF(AND(INDIRECT(A73&amp;ROW())=B95,INDIRECT(A96&amp;ROW())=C94),1,0)))</f>
        <v>1</v>
      </c>
      <c r="J406">
        <f ca="1">IF(AND(INDIRECT(A73&amp;ROW())=B95,INDIRECT(A96&amp;ROW())=C95),1,IF(AND(INDIRECT(A73&amp;ROW())=B95,INDIRECT(A96&amp;ROW())=C96),1,0))</f>
        <v>0</v>
      </c>
      <c r="K406">
        <f ca="1">DAYS360(INDIRECT(C68&amp;ROW()),TODAY())</f>
        <v>696</v>
      </c>
      <c r="L406">
        <f ca="1">DAYS360(INDIRECT(C69&amp;ROW()),TODAY())</f>
        <v>769</v>
      </c>
      <c r="M406">
        <f ca="1">HYPERLINK(CONCATENATE("https://bugzilla.houston.hp.com:1181/bugzilla/show_bug.cgi?id=",INDIRECT(C70&amp;ROW())),INDIRECT(C70&amp;ROW()))</f>
        <v>58716</v>
      </c>
      <c r="N406">
        <v>58716</v>
      </c>
      <c r="O406" t="s">
        <v>21</v>
      </c>
      <c r="P406" t="s">
        <v>806</v>
      </c>
      <c r="Q406" t="s">
        <v>39</v>
      </c>
      <c r="R406" t="s">
        <v>248</v>
      </c>
      <c r="S406" t="s">
        <v>552</v>
      </c>
      <c r="U406" s="6">
        <v>42150.368888888886</v>
      </c>
      <c r="V406" t="s">
        <v>18</v>
      </c>
      <c r="W406" t="s">
        <v>17</v>
      </c>
      <c r="X406" s="6">
        <v>42076.630567129629</v>
      </c>
      <c r="Y406" t="s">
        <v>122</v>
      </c>
      <c r="AB406" t="s">
        <v>201</v>
      </c>
      <c r="AC406" t="s">
        <v>247</v>
      </c>
      <c r="AD406" t="s">
        <v>222</v>
      </c>
      <c r="AE406" t="s">
        <v>221</v>
      </c>
      <c r="AG406" t="s">
        <v>121</v>
      </c>
      <c r="AH406" t="s">
        <v>327</v>
      </c>
      <c r="AI406" t="s">
        <v>121</v>
      </c>
      <c r="AJ406" t="s">
        <v>715</v>
      </c>
      <c r="AK406" t="s">
        <v>121</v>
      </c>
    </row>
    <row r="407" spans="9:37" x14ac:dyDescent="0.3">
      <c r="I407">
        <f ca="1">IF(OR(INDIRECT(A73&amp;ROW())=B93,INDIRECT(A73&amp;ROW())=B94),1,IF(AND(INDIRECT(A73&amp;ROW())=B95,INDIRECT(A96&amp;ROW())=C93),1,IF(AND(INDIRECT(A73&amp;ROW())=B95,INDIRECT(A96&amp;ROW())=C94),1,0)))</f>
        <v>1</v>
      </c>
      <c r="J407">
        <f ca="1">IF(AND(INDIRECT(A73&amp;ROW())=B95,INDIRECT(A96&amp;ROW())=C95),1,IF(AND(INDIRECT(A73&amp;ROW())=B95,INDIRECT(A96&amp;ROW())=C96),1,0))</f>
        <v>0</v>
      </c>
      <c r="K407">
        <f ca="1">DAYS360(INDIRECT(C68&amp;ROW()),TODAY())</f>
        <v>769</v>
      </c>
      <c r="L407">
        <f ca="1">DAYS360(INDIRECT(C69&amp;ROW()),TODAY())</f>
        <v>769</v>
      </c>
      <c r="M407">
        <f ca="1">HYPERLINK(CONCATENATE("https://bugzilla.houston.hp.com:1181/bugzilla/show_bug.cgi?id=",INDIRECT(C70&amp;ROW())),INDIRECT(C70&amp;ROW()))</f>
        <v>58720</v>
      </c>
      <c r="N407">
        <v>58720</v>
      </c>
      <c r="O407" t="s">
        <v>56</v>
      </c>
      <c r="P407" t="s">
        <v>805</v>
      </c>
      <c r="Q407" t="s">
        <v>25</v>
      </c>
      <c r="R407" t="s">
        <v>248</v>
      </c>
      <c r="S407" t="s">
        <v>552</v>
      </c>
      <c r="U407" s="6">
        <v>42076.652650462966</v>
      </c>
      <c r="V407" t="s">
        <v>18</v>
      </c>
      <c r="W407" t="s">
        <v>248</v>
      </c>
      <c r="X407" s="6">
        <v>42076.652650462966</v>
      </c>
      <c r="Y407" t="s">
        <v>123</v>
      </c>
      <c r="AB407" t="s">
        <v>200</v>
      </c>
      <c r="AC407" t="s">
        <v>247</v>
      </c>
      <c r="AD407" t="s">
        <v>220</v>
      </c>
      <c r="AE407" t="s">
        <v>219</v>
      </c>
      <c r="AG407" t="s">
        <v>121</v>
      </c>
      <c r="AH407" t="s">
        <v>327</v>
      </c>
      <c r="AI407" t="s">
        <v>121</v>
      </c>
      <c r="AJ407" t="s">
        <v>715</v>
      </c>
      <c r="AK407" t="s">
        <v>121</v>
      </c>
    </row>
    <row r="408" spans="9:37" x14ac:dyDescent="0.3">
      <c r="I408">
        <f ca="1">IF(OR(INDIRECT(A73&amp;ROW())=B93,INDIRECT(A73&amp;ROW())=B94),1,IF(AND(INDIRECT(A73&amp;ROW())=B95,INDIRECT(A96&amp;ROW())=C93),1,IF(AND(INDIRECT(A73&amp;ROW())=B95,INDIRECT(A96&amp;ROW())=C94),1,0)))</f>
        <v>1</v>
      </c>
      <c r="J408">
        <f ca="1">IF(AND(INDIRECT(A73&amp;ROW())=B95,INDIRECT(A96&amp;ROW())=C95),1,IF(AND(INDIRECT(A73&amp;ROW())=B95,INDIRECT(A96&amp;ROW())=C96),1,0))</f>
        <v>0</v>
      </c>
      <c r="K408">
        <f ca="1">DAYS360(INDIRECT(C68&amp;ROW()),TODAY())</f>
        <v>682</v>
      </c>
      <c r="L408">
        <f ca="1">DAYS360(INDIRECT(C69&amp;ROW()),TODAY())</f>
        <v>765</v>
      </c>
      <c r="M408">
        <f ca="1">HYPERLINK(CONCATENATE("https://bugzilla.houston.hp.com:1181/bugzilla/show_bug.cgi?id=",INDIRECT(C70&amp;ROW())),INDIRECT(C70&amp;ROW()))</f>
        <v>58905</v>
      </c>
      <c r="N408">
        <v>58905</v>
      </c>
      <c r="O408" t="s">
        <v>22</v>
      </c>
      <c r="P408" t="s">
        <v>812</v>
      </c>
      <c r="Q408" t="s">
        <v>25</v>
      </c>
      <c r="R408" t="s">
        <v>251</v>
      </c>
      <c r="S408" t="s">
        <v>24</v>
      </c>
      <c r="T408" t="s">
        <v>809</v>
      </c>
      <c r="U408" s="6">
        <v>42165.30364583333</v>
      </c>
      <c r="V408" t="s">
        <v>18</v>
      </c>
      <c r="W408" t="s">
        <v>764</v>
      </c>
      <c r="X408" s="6">
        <v>42080.415046296293</v>
      </c>
      <c r="Y408" t="s">
        <v>810</v>
      </c>
      <c r="AB408" t="s">
        <v>199</v>
      </c>
      <c r="AC408" t="s">
        <v>247</v>
      </c>
      <c r="AD408" t="s">
        <v>222</v>
      </c>
      <c r="AE408" t="s">
        <v>221</v>
      </c>
      <c r="AG408" t="s">
        <v>121</v>
      </c>
      <c r="AH408" t="s">
        <v>327</v>
      </c>
      <c r="AI408" t="s">
        <v>121</v>
      </c>
      <c r="AJ408" t="s">
        <v>715</v>
      </c>
      <c r="AK408" t="s">
        <v>121</v>
      </c>
    </row>
    <row r="409" spans="9:37" x14ac:dyDescent="0.3">
      <c r="I409">
        <f ca="1">IF(OR(INDIRECT(A73&amp;ROW())=B93,INDIRECT(A73&amp;ROW())=B94),1,IF(AND(INDIRECT(A73&amp;ROW())=B95,INDIRECT(A96&amp;ROW())=C93),1,IF(AND(INDIRECT(A73&amp;ROW())=B95,INDIRECT(A96&amp;ROW())=C94),1,0)))</f>
        <v>1</v>
      </c>
      <c r="J409">
        <f ca="1">IF(AND(INDIRECT(A73&amp;ROW())=B95,INDIRECT(A96&amp;ROW())=C95),1,IF(AND(INDIRECT(A73&amp;ROW())=B95,INDIRECT(A96&amp;ROW())=C96),1,0))</f>
        <v>0</v>
      </c>
      <c r="K409">
        <f ca="1">DAYS360(INDIRECT(C68&amp;ROW()),TODAY())</f>
        <v>673</v>
      </c>
      <c r="L409">
        <f ca="1">DAYS360(INDIRECT(C69&amp;ROW()),TODAY())</f>
        <v>765</v>
      </c>
      <c r="M409">
        <f ca="1">HYPERLINK(CONCATENATE("https://bugzilla.houston.hp.com:1181/bugzilla/show_bug.cgi?id=",INDIRECT(C70&amp;ROW())),INDIRECT(C70&amp;ROW()))</f>
        <v>58914</v>
      </c>
      <c r="N409">
        <v>58914</v>
      </c>
      <c r="O409" t="s">
        <v>22</v>
      </c>
      <c r="P409" t="s">
        <v>811</v>
      </c>
      <c r="Q409" t="s">
        <v>25</v>
      </c>
      <c r="R409" t="s">
        <v>248</v>
      </c>
      <c r="S409" t="s">
        <v>552</v>
      </c>
      <c r="T409" t="s">
        <v>809</v>
      </c>
      <c r="U409" s="6">
        <v>42174.716041666667</v>
      </c>
      <c r="V409" t="s">
        <v>18</v>
      </c>
      <c r="W409" t="s">
        <v>764</v>
      </c>
      <c r="X409" s="6">
        <v>42080.545231481483</v>
      </c>
      <c r="Y409" t="s">
        <v>810</v>
      </c>
      <c r="AB409" t="s">
        <v>199</v>
      </c>
      <c r="AC409" t="s">
        <v>247</v>
      </c>
      <c r="AD409" t="s">
        <v>222</v>
      </c>
      <c r="AE409" t="s">
        <v>221</v>
      </c>
      <c r="AG409" t="s">
        <v>121</v>
      </c>
      <c r="AH409" t="s">
        <v>327</v>
      </c>
      <c r="AI409" t="s">
        <v>121</v>
      </c>
      <c r="AJ409" t="s">
        <v>715</v>
      </c>
      <c r="AK409" t="s">
        <v>121</v>
      </c>
    </row>
    <row r="410" spans="9:37" x14ac:dyDescent="0.3">
      <c r="I410">
        <f ca="1">IF(OR(INDIRECT(A73&amp;ROW())=B93,INDIRECT(A73&amp;ROW())=B94),1,IF(AND(INDIRECT(A73&amp;ROW())=B95,INDIRECT(A96&amp;ROW())=C93),1,IF(AND(INDIRECT(A73&amp;ROW())=B95,INDIRECT(A96&amp;ROW())=C94),1,0)))</f>
        <v>1</v>
      </c>
      <c r="J410">
        <f ca="1">IF(AND(INDIRECT(A73&amp;ROW())=B95,INDIRECT(A96&amp;ROW())=C95),1,IF(AND(INDIRECT(A73&amp;ROW())=B95,INDIRECT(A96&amp;ROW())=C96),1,0))</f>
        <v>0</v>
      </c>
      <c r="K410">
        <f ca="1">DAYS360(INDIRECT(C68&amp;ROW()),TODAY())</f>
        <v>730</v>
      </c>
      <c r="L410">
        <f ca="1">DAYS360(INDIRECT(C69&amp;ROW()),TODAY())</f>
        <v>765</v>
      </c>
      <c r="M410">
        <f ca="1">HYPERLINK(CONCATENATE("https://bugzilla.houston.hp.com:1181/bugzilla/show_bug.cgi?id=",INDIRECT(C70&amp;ROW())),INDIRECT(C70&amp;ROW()))</f>
        <v>58924</v>
      </c>
      <c r="N410">
        <v>58924</v>
      </c>
      <c r="O410" t="s">
        <v>56</v>
      </c>
      <c r="P410" t="s">
        <v>813</v>
      </c>
      <c r="Q410" t="s">
        <v>39</v>
      </c>
      <c r="R410" t="s">
        <v>251</v>
      </c>
      <c r="S410" t="s">
        <v>53</v>
      </c>
      <c r="U410" s="6">
        <v>42116.737164351849</v>
      </c>
      <c r="V410" t="s">
        <v>18</v>
      </c>
      <c r="W410" t="s">
        <v>17</v>
      </c>
      <c r="X410" s="6">
        <v>42080.683611111112</v>
      </c>
      <c r="Y410" t="s">
        <v>801</v>
      </c>
      <c r="AB410" t="s">
        <v>201</v>
      </c>
      <c r="AC410" t="s">
        <v>247</v>
      </c>
      <c r="AD410" t="s">
        <v>220</v>
      </c>
      <c r="AE410" t="s">
        <v>219</v>
      </c>
      <c r="AG410" t="s">
        <v>121</v>
      </c>
      <c r="AH410" t="s">
        <v>327</v>
      </c>
      <c r="AI410" t="s">
        <v>121</v>
      </c>
      <c r="AJ410" t="s">
        <v>715</v>
      </c>
      <c r="AK410" t="s">
        <v>121</v>
      </c>
    </row>
    <row r="411" spans="9:37" x14ac:dyDescent="0.3">
      <c r="I411">
        <f ca="1">IF(OR(INDIRECT(A73&amp;ROW())=B93,INDIRECT(A73&amp;ROW())=B94),1,IF(AND(INDIRECT(A73&amp;ROW())=B95,INDIRECT(A96&amp;ROW())=C93),1,IF(AND(INDIRECT(A73&amp;ROW())=B95,INDIRECT(A96&amp;ROW())=C94),1,0)))</f>
        <v>1</v>
      </c>
      <c r="J411">
        <f ca="1">IF(AND(INDIRECT(A73&amp;ROW())=B95,INDIRECT(A96&amp;ROW())=C95),1,IF(AND(INDIRECT(A73&amp;ROW())=B95,INDIRECT(A96&amp;ROW())=C96),1,0))</f>
        <v>0</v>
      </c>
      <c r="K411">
        <f ca="1">DAYS360(INDIRECT(C68&amp;ROW()),TODAY())</f>
        <v>703</v>
      </c>
      <c r="L411">
        <f ca="1">DAYS360(INDIRECT(C69&amp;ROW()),TODAY())</f>
        <v>764</v>
      </c>
      <c r="M411">
        <f ca="1">HYPERLINK(CONCATENATE("https://bugzilla.houston.hp.com:1181/bugzilla/show_bug.cgi?id=",INDIRECT(C70&amp;ROW())),INDIRECT(C70&amp;ROW()))</f>
        <v>59002</v>
      </c>
      <c r="N411">
        <v>59002</v>
      </c>
      <c r="O411" t="s">
        <v>188</v>
      </c>
      <c r="P411" t="s">
        <v>814</v>
      </c>
      <c r="Q411" t="s">
        <v>39</v>
      </c>
      <c r="R411" t="s">
        <v>251</v>
      </c>
      <c r="S411" t="s">
        <v>43</v>
      </c>
      <c r="U411" s="6">
        <v>42143.458402777775</v>
      </c>
      <c r="V411" t="s">
        <v>18</v>
      </c>
      <c r="W411" t="s">
        <v>17</v>
      </c>
      <c r="X411" s="6">
        <v>42081.485729166663</v>
      </c>
      <c r="Y411" t="s">
        <v>793</v>
      </c>
      <c r="AB411" t="s">
        <v>201</v>
      </c>
      <c r="AC411" t="s">
        <v>247</v>
      </c>
      <c r="AD411" t="s">
        <v>220</v>
      </c>
      <c r="AE411" t="s">
        <v>229</v>
      </c>
      <c r="AG411" t="s">
        <v>121</v>
      </c>
      <c r="AH411" t="s">
        <v>327</v>
      </c>
      <c r="AI411" t="s">
        <v>121</v>
      </c>
      <c r="AJ411" t="s">
        <v>715</v>
      </c>
      <c r="AK411" t="s">
        <v>121</v>
      </c>
    </row>
    <row r="412" spans="9:37" x14ac:dyDescent="0.3">
      <c r="I412">
        <f ca="1">IF(OR(INDIRECT(A73&amp;ROW())=B93,INDIRECT(A73&amp;ROW())=B94),1,IF(AND(INDIRECT(A73&amp;ROW())=B95,INDIRECT(A96&amp;ROW())=C93),1,IF(AND(INDIRECT(A73&amp;ROW())=B95,INDIRECT(A96&amp;ROW())=C94),1,0)))</f>
        <v>0</v>
      </c>
      <c r="J412">
        <f ca="1">IF(AND(INDIRECT(A73&amp;ROW())=B95,INDIRECT(A96&amp;ROW())=C95),1,IF(AND(INDIRECT(A73&amp;ROW())=B95,INDIRECT(A96&amp;ROW())=C96),1,0))</f>
        <v>1</v>
      </c>
      <c r="K412">
        <f ca="1">DAYS360(INDIRECT(C68&amp;ROW()),TODAY())</f>
        <v>684</v>
      </c>
      <c r="L412">
        <f ca="1">DAYS360(INDIRECT(C69&amp;ROW()),TODAY())</f>
        <v>759</v>
      </c>
      <c r="M412">
        <f ca="1">HYPERLINK(CONCATENATE("https://bugzilla.houston.hp.com:1181/bugzilla/show_bug.cgi?id=",INDIRECT(C70&amp;ROW())),INDIRECT(C70&amp;ROW()))</f>
        <v>59164</v>
      </c>
      <c r="N412">
        <v>59164</v>
      </c>
      <c r="O412" t="s">
        <v>53</v>
      </c>
      <c r="P412" t="s">
        <v>1011</v>
      </c>
      <c r="Q412" t="s">
        <v>25</v>
      </c>
      <c r="R412" t="s">
        <v>251</v>
      </c>
      <c r="S412" t="s">
        <v>773</v>
      </c>
      <c r="U412" s="6">
        <v>42163.549826388888</v>
      </c>
      <c r="V412" t="s">
        <v>18</v>
      </c>
      <c r="W412" t="s">
        <v>17</v>
      </c>
      <c r="X412" s="6">
        <v>42086.240844907406</v>
      </c>
      <c r="Y412" t="s">
        <v>125</v>
      </c>
      <c r="AB412" t="s">
        <v>201</v>
      </c>
      <c r="AC412" t="s">
        <v>247</v>
      </c>
      <c r="AD412" t="s">
        <v>222</v>
      </c>
      <c r="AE412" t="s">
        <v>221</v>
      </c>
      <c r="AG412" t="s">
        <v>121</v>
      </c>
      <c r="AH412" t="s">
        <v>327</v>
      </c>
      <c r="AI412" t="s">
        <v>121</v>
      </c>
      <c r="AJ412" t="s">
        <v>716</v>
      </c>
      <c r="AK412" t="s">
        <v>121</v>
      </c>
    </row>
    <row r="413" spans="9:37" x14ac:dyDescent="0.3">
      <c r="I413">
        <f ca="1">IF(OR(INDIRECT(A73&amp;ROW())=B93,INDIRECT(A73&amp;ROW())=B94),1,IF(AND(INDIRECT(A73&amp;ROW())=B95,INDIRECT(A96&amp;ROW())=C93),1,IF(AND(INDIRECT(A73&amp;ROW())=B95,INDIRECT(A96&amp;ROW())=C94),1,0)))</f>
        <v>0</v>
      </c>
      <c r="J413">
        <f ca="1">IF(AND(INDIRECT(A73&amp;ROW())=B95,INDIRECT(A96&amp;ROW())=C95),1,IF(AND(INDIRECT(A73&amp;ROW())=B95,INDIRECT(A96&amp;ROW())=C96),1,0))</f>
        <v>1</v>
      </c>
      <c r="K413">
        <f ca="1">DAYS360(INDIRECT(C68&amp;ROW()),TODAY())</f>
        <v>710</v>
      </c>
      <c r="L413">
        <f ca="1">DAYS360(INDIRECT(C69&amp;ROW()),TODAY())</f>
        <v>758</v>
      </c>
      <c r="M413">
        <f ca="1">HYPERLINK(CONCATENATE("https://bugzilla.houston.hp.com:1181/bugzilla/show_bug.cgi?id=",INDIRECT(C70&amp;ROW())),INDIRECT(C70&amp;ROW()))</f>
        <v>59208</v>
      </c>
      <c r="N413">
        <v>59208</v>
      </c>
      <c r="O413" t="s">
        <v>53</v>
      </c>
      <c r="P413" t="s">
        <v>1048</v>
      </c>
      <c r="Q413" t="s">
        <v>25</v>
      </c>
      <c r="R413" t="s">
        <v>783</v>
      </c>
      <c r="S413" t="s">
        <v>1045</v>
      </c>
      <c r="U413" s="6">
        <v>42136.46534722222</v>
      </c>
      <c r="V413" t="s">
        <v>18</v>
      </c>
      <c r="W413" t="s">
        <v>17</v>
      </c>
      <c r="X413" s="6">
        <v>42087.026030092595</v>
      </c>
      <c r="Y413" t="s">
        <v>125</v>
      </c>
      <c r="AB413" t="s">
        <v>201</v>
      </c>
      <c r="AC413" t="s">
        <v>247</v>
      </c>
      <c r="AD413" t="s">
        <v>222</v>
      </c>
      <c r="AE413" t="s">
        <v>221</v>
      </c>
      <c r="AG413" t="s">
        <v>121</v>
      </c>
      <c r="AH413" t="s">
        <v>327</v>
      </c>
      <c r="AI413" t="s">
        <v>121</v>
      </c>
      <c r="AJ413" t="s">
        <v>716</v>
      </c>
      <c r="AK413" t="s">
        <v>121</v>
      </c>
    </row>
    <row r="414" spans="9:37" x14ac:dyDescent="0.3">
      <c r="I414">
        <f ca="1">IF(OR(INDIRECT(A73&amp;ROW())=B93,INDIRECT(A73&amp;ROW())=B94),1,IF(AND(INDIRECT(A73&amp;ROW())=B95,INDIRECT(A96&amp;ROW())=C93),1,IF(AND(INDIRECT(A73&amp;ROW())=B95,INDIRECT(A96&amp;ROW())=C94),1,0)))</f>
        <v>0</v>
      </c>
      <c r="J414">
        <f ca="1">IF(AND(INDIRECT(A73&amp;ROW())=B95,INDIRECT(A96&amp;ROW())=C95),1,IF(AND(INDIRECT(A73&amp;ROW())=B95,INDIRECT(A96&amp;ROW())=C96),1,0))</f>
        <v>1</v>
      </c>
      <c r="K414">
        <f ca="1">DAYS360(INDIRECT(C68&amp;ROW()),TODAY())</f>
        <v>710</v>
      </c>
      <c r="L414">
        <f ca="1">DAYS360(INDIRECT(C69&amp;ROW()),TODAY())</f>
        <v>758</v>
      </c>
      <c r="M414">
        <f ca="1">HYPERLINK(CONCATENATE("https://bugzilla.houston.hp.com:1181/bugzilla/show_bug.cgi?id=",INDIRECT(C70&amp;ROW())),INDIRECT(C70&amp;ROW()))</f>
        <v>59210</v>
      </c>
      <c r="N414">
        <v>59210</v>
      </c>
      <c r="O414" t="s">
        <v>53</v>
      </c>
      <c r="P414" t="s">
        <v>1046</v>
      </c>
      <c r="Q414" t="s">
        <v>25</v>
      </c>
      <c r="R414" t="s">
        <v>248</v>
      </c>
      <c r="S414" t="s">
        <v>1045</v>
      </c>
      <c r="U414" s="6">
        <v>42136.465567129628</v>
      </c>
      <c r="V414" t="s">
        <v>18</v>
      </c>
      <c r="W414" t="s">
        <v>17</v>
      </c>
      <c r="X414" s="6">
        <v>42087.026250000003</v>
      </c>
      <c r="Y414" t="s">
        <v>125</v>
      </c>
      <c r="AB414" t="s">
        <v>201</v>
      </c>
      <c r="AC414" t="s">
        <v>247</v>
      </c>
      <c r="AD414" t="s">
        <v>222</v>
      </c>
      <c r="AE414" t="s">
        <v>221</v>
      </c>
      <c r="AG414" t="s">
        <v>121</v>
      </c>
      <c r="AH414" t="s">
        <v>327</v>
      </c>
      <c r="AI414" t="s">
        <v>121</v>
      </c>
      <c r="AJ414" t="s">
        <v>716</v>
      </c>
      <c r="AK414" t="s">
        <v>121</v>
      </c>
    </row>
    <row r="415" spans="9:37" x14ac:dyDescent="0.3">
      <c r="I415">
        <f ca="1">IF(OR(INDIRECT(A73&amp;ROW())=B93,INDIRECT(A73&amp;ROW())=B94),1,IF(AND(INDIRECT(A73&amp;ROW())=B95,INDIRECT(A96&amp;ROW())=C93),1,IF(AND(INDIRECT(A73&amp;ROW())=B95,INDIRECT(A96&amp;ROW())=C94),1,0)))</f>
        <v>1</v>
      </c>
      <c r="J415">
        <f ca="1">IF(AND(INDIRECT(A73&amp;ROW())=B95,INDIRECT(A96&amp;ROW())=C95),1,IF(AND(INDIRECT(A73&amp;ROW())=B95,INDIRECT(A96&amp;ROW())=C96),1,0))</f>
        <v>0</v>
      </c>
      <c r="K415">
        <f ca="1">DAYS360(INDIRECT(C68&amp;ROW()),TODAY())</f>
        <v>675</v>
      </c>
      <c r="L415">
        <f ca="1">DAYS360(INDIRECT(C69&amp;ROW()),TODAY())</f>
        <v>758</v>
      </c>
      <c r="M415">
        <f ca="1">HYPERLINK(CONCATENATE("https://bugzilla.houston.hp.com:1181/bugzilla/show_bug.cgi?id=",INDIRECT(C70&amp;ROW())),INDIRECT(C70&amp;ROW()))</f>
        <v>59230</v>
      </c>
      <c r="N415">
        <v>59230</v>
      </c>
      <c r="O415" t="s">
        <v>33</v>
      </c>
      <c r="P415" t="s">
        <v>819</v>
      </c>
      <c r="Q415" t="s">
        <v>25</v>
      </c>
      <c r="R415" t="s">
        <v>251</v>
      </c>
      <c r="S415" t="s">
        <v>33</v>
      </c>
      <c r="U415" s="6">
        <v>42172.24355324074</v>
      </c>
      <c r="V415" t="s">
        <v>18</v>
      </c>
      <c r="W415" t="s">
        <v>783</v>
      </c>
      <c r="X415" s="6">
        <v>42087.257743055554</v>
      </c>
      <c r="Y415" t="s">
        <v>119</v>
      </c>
      <c r="AB415" t="s">
        <v>200</v>
      </c>
      <c r="AC415" t="s">
        <v>247</v>
      </c>
      <c r="AD415" t="s">
        <v>220</v>
      </c>
      <c r="AE415" t="s">
        <v>223</v>
      </c>
      <c r="AG415" t="s">
        <v>121</v>
      </c>
      <c r="AH415" t="s">
        <v>327</v>
      </c>
      <c r="AI415" t="s">
        <v>121</v>
      </c>
      <c r="AJ415" t="s">
        <v>715</v>
      </c>
      <c r="AK415" t="s">
        <v>121</v>
      </c>
    </row>
    <row r="416" spans="9:37" x14ac:dyDescent="0.3">
      <c r="I416">
        <f ca="1">IF(OR(INDIRECT(A73&amp;ROW())=B93,INDIRECT(A73&amp;ROW())=B94),1,IF(AND(INDIRECT(A73&amp;ROW())=B95,INDIRECT(A96&amp;ROW())=C93),1,IF(AND(INDIRECT(A73&amp;ROW())=B95,INDIRECT(A96&amp;ROW())=C94),1,0)))</f>
        <v>1</v>
      </c>
      <c r="J416">
        <f ca="1">IF(AND(INDIRECT(A73&amp;ROW())=B95,INDIRECT(A96&amp;ROW())=C95),1,IF(AND(INDIRECT(A73&amp;ROW())=B95,INDIRECT(A96&amp;ROW())=C96),1,0))</f>
        <v>0</v>
      </c>
      <c r="K416">
        <f ca="1">DAYS360(INDIRECT(C68&amp;ROW()),TODAY())</f>
        <v>690</v>
      </c>
      <c r="L416">
        <f ca="1">DAYS360(INDIRECT(C69&amp;ROW()),TODAY())</f>
        <v>758</v>
      </c>
      <c r="M416">
        <f ca="1">HYPERLINK(CONCATENATE("https://bugzilla.houston.hp.com:1181/bugzilla/show_bug.cgi?id=",INDIRECT(C70&amp;ROW())),INDIRECT(C70&amp;ROW()))</f>
        <v>59259</v>
      </c>
      <c r="N416">
        <v>59259</v>
      </c>
      <c r="O416" t="s">
        <v>22</v>
      </c>
      <c r="P416" t="s">
        <v>818</v>
      </c>
      <c r="Q416" t="s">
        <v>25</v>
      </c>
      <c r="R416" t="s">
        <v>579</v>
      </c>
      <c r="S416" t="s">
        <v>552</v>
      </c>
      <c r="T416" t="s">
        <v>822</v>
      </c>
      <c r="U416" s="6">
        <v>42157.090439814812</v>
      </c>
      <c r="V416" t="s">
        <v>18</v>
      </c>
      <c r="W416" t="s">
        <v>783</v>
      </c>
      <c r="X416" s="6">
        <v>42087.716736111113</v>
      </c>
      <c r="Y416" t="s">
        <v>119</v>
      </c>
      <c r="AB416" t="s">
        <v>200</v>
      </c>
      <c r="AC416" t="s">
        <v>247</v>
      </c>
      <c r="AD416" t="s">
        <v>220</v>
      </c>
      <c r="AE416" t="s">
        <v>223</v>
      </c>
      <c r="AG416" t="s">
        <v>121</v>
      </c>
      <c r="AH416" t="s">
        <v>327</v>
      </c>
      <c r="AI416" t="s">
        <v>362</v>
      </c>
      <c r="AJ416" t="s">
        <v>715</v>
      </c>
      <c r="AK416" t="s">
        <v>121</v>
      </c>
    </row>
    <row r="417" spans="9:37" x14ac:dyDescent="0.3">
      <c r="I417">
        <f ca="1">IF(OR(INDIRECT(A73&amp;ROW())=B93,INDIRECT(A73&amp;ROW())=B94),1,IF(AND(INDIRECT(A73&amp;ROW())=B95,INDIRECT(A96&amp;ROW())=C93),1,IF(AND(INDIRECT(A73&amp;ROW())=B95,INDIRECT(A96&amp;ROW())=C94),1,0)))</f>
        <v>1</v>
      </c>
      <c r="J417">
        <f ca="1">IF(AND(INDIRECT(A73&amp;ROW())=B95,INDIRECT(A96&amp;ROW())=C95),1,IF(AND(INDIRECT(A73&amp;ROW())=B95,INDIRECT(A96&amp;ROW())=C96),1,0))</f>
        <v>0</v>
      </c>
      <c r="K417">
        <f ca="1">DAYS360(INDIRECT(C68&amp;ROW()),TODAY())</f>
        <v>690</v>
      </c>
      <c r="L417">
        <f ca="1">DAYS360(INDIRECT(C69&amp;ROW()),TODAY())</f>
        <v>758</v>
      </c>
      <c r="M417">
        <f ca="1">HYPERLINK(CONCATENATE("https://bugzilla.houston.hp.com:1181/bugzilla/show_bug.cgi?id=",INDIRECT(C70&amp;ROW())),INDIRECT(C70&amp;ROW()))</f>
        <v>59260</v>
      </c>
      <c r="N417">
        <v>59260</v>
      </c>
      <c r="O417" t="s">
        <v>22</v>
      </c>
      <c r="P417" t="s">
        <v>817</v>
      </c>
      <c r="Q417" t="s">
        <v>25</v>
      </c>
      <c r="R417" t="s">
        <v>248</v>
      </c>
      <c r="S417" t="s">
        <v>552</v>
      </c>
      <c r="U417" s="6">
        <v>42157.091111111113</v>
      </c>
      <c r="V417" t="s">
        <v>18</v>
      </c>
      <c r="W417" t="s">
        <v>783</v>
      </c>
      <c r="X417" s="6">
        <v>42087.716840277775</v>
      </c>
      <c r="Y417" t="s">
        <v>119</v>
      </c>
      <c r="AB417" t="s">
        <v>200</v>
      </c>
      <c r="AC417" t="s">
        <v>247</v>
      </c>
      <c r="AD417" t="s">
        <v>220</v>
      </c>
      <c r="AE417" t="s">
        <v>223</v>
      </c>
      <c r="AG417" t="s">
        <v>121</v>
      </c>
      <c r="AH417" t="s">
        <v>327</v>
      </c>
      <c r="AI417" t="s">
        <v>121</v>
      </c>
      <c r="AJ417" t="s">
        <v>715</v>
      </c>
      <c r="AK417" t="s">
        <v>121</v>
      </c>
    </row>
    <row r="418" spans="9:37" x14ac:dyDescent="0.3">
      <c r="I418">
        <f ca="1">IF(OR(INDIRECT(A73&amp;ROW())=B93,INDIRECT(A73&amp;ROW())=B94),1,IF(AND(INDIRECT(A73&amp;ROW())=B95,INDIRECT(A96&amp;ROW())=C93),1,IF(AND(INDIRECT(A73&amp;ROW())=B95,INDIRECT(A96&amp;ROW())=C94),1,0)))</f>
        <v>0</v>
      </c>
      <c r="J418">
        <f ca="1">IF(AND(INDIRECT(A73&amp;ROW())=B95,INDIRECT(A96&amp;ROW())=C95),1,IF(AND(INDIRECT(A73&amp;ROW())=B95,INDIRECT(A96&amp;ROW())=C96),1,0))</f>
        <v>1</v>
      </c>
      <c r="K418">
        <f ca="1">DAYS360(INDIRECT(C68&amp;ROW()),TODAY())</f>
        <v>671</v>
      </c>
      <c r="L418">
        <f ca="1">DAYS360(INDIRECT(C69&amp;ROW()),TODAY())</f>
        <v>757</v>
      </c>
      <c r="M418">
        <f ca="1">HYPERLINK(CONCATENATE("https://bugzilla.houston.hp.com:1181/bugzilla/show_bug.cgi?id=",INDIRECT(C70&amp;ROW())),INDIRECT(C70&amp;ROW()))</f>
        <v>59347</v>
      </c>
      <c r="N418">
        <v>59347</v>
      </c>
      <c r="O418" t="s">
        <v>22</v>
      </c>
      <c r="P418" t="s">
        <v>830</v>
      </c>
      <c r="Q418" t="s">
        <v>25</v>
      </c>
      <c r="R418" t="s">
        <v>251</v>
      </c>
      <c r="S418" t="s">
        <v>253</v>
      </c>
      <c r="U418" s="6">
        <v>42176.057349537034</v>
      </c>
      <c r="V418" t="s">
        <v>18</v>
      </c>
      <c r="W418" t="s">
        <v>17</v>
      </c>
      <c r="X418" s="6">
        <v>42088.711562500001</v>
      </c>
      <c r="Y418" t="s">
        <v>246</v>
      </c>
      <c r="AB418" t="s">
        <v>201</v>
      </c>
      <c r="AC418" t="s">
        <v>247</v>
      </c>
      <c r="AD418" t="s">
        <v>222</v>
      </c>
      <c r="AE418" t="s">
        <v>225</v>
      </c>
      <c r="AG418" t="s">
        <v>121</v>
      </c>
      <c r="AH418" t="s">
        <v>327</v>
      </c>
      <c r="AI418" t="s">
        <v>121</v>
      </c>
      <c r="AJ418" t="s">
        <v>716</v>
      </c>
      <c r="AK418" t="s">
        <v>121</v>
      </c>
    </row>
    <row r="419" spans="9:37" x14ac:dyDescent="0.3">
      <c r="I419">
        <f ca="1">IF(OR(INDIRECT(A73&amp;ROW())=B93,INDIRECT(A73&amp;ROW())=B94),1,IF(AND(INDIRECT(A73&amp;ROW())=B95,INDIRECT(A96&amp;ROW())=C93),1,IF(AND(INDIRECT(A73&amp;ROW())=B95,INDIRECT(A96&amp;ROW())=C94),1,0)))</f>
        <v>0</v>
      </c>
      <c r="J419">
        <f ca="1">IF(AND(INDIRECT(A73&amp;ROW())=B95,INDIRECT(A96&amp;ROW())=C95),1,IF(AND(INDIRECT(A73&amp;ROW())=B95,INDIRECT(A96&amp;ROW())=C96),1,0))</f>
        <v>1</v>
      </c>
      <c r="K419">
        <f ca="1">DAYS360(INDIRECT(C68&amp;ROW()),TODAY())</f>
        <v>684</v>
      </c>
      <c r="L419">
        <f ca="1">DAYS360(INDIRECT(C69&amp;ROW()),TODAY())</f>
        <v>757</v>
      </c>
      <c r="M419">
        <f ca="1">HYPERLINK(CONCATENATE("https://bugzilla.houston.hp.com:1181/bugzilla/show_bug.cgi?id=",INDIRECT(C70&amp;ROW())),INDIRECT(C70&amp;ROW()))</f>
        <v>59348</v>
      </c>
      <c r="N419">
        <v>59348</v>
      </c>
      <c r="O419" t="s">
        <v>22</v>
      </c>
      <c r="P419" t="s">
        <v>829</v>
      </c>
      <c r="Q419" t="s">
        <v>25</v>
      </c>
      <c r="R419" t="s">
        <v>251</v>
      </c>
      <c r="S419" t="s">
        <v>253</v>
      </c>
      <c r="U419" s="6">
        <v>42163.565648148149</v>
      </c>
      <c r="V419" t="s">
        <v>18</v>
      </c>
      <c r="W419" t="s">
        <v>17</v>
      </c>
      <c r="X419" s="6">
        <v>42088.71303240741</v>
      </c>
      <c r="Y419" t="s">
        <v>246</v>
      </c>
      <c r="AB419" t="s">
        <v>201</v>
      </c>
      <c r="AC419" t="s">
        <v>247</v>
      </c>
      <c r="AD419" t="s">
        <v>222</v>
      </c>
      <c r="AE419" t="s">
        <v>232</v>
      </c>
      <c r="AG419" t="s">
        <v>121</v>
      </c>
      <c r="AH419" t="s">
        <v>327</v>
      </c>
      <c r="AI419" t="s">
        <v>121</v>
      </c>
      <c r="AJ419" t="s">
        <v>716</v>
      </c>
      <c r="AK419" t="s">
        <v>121</v>
      </c>
    </row>
    <row r="420" spans="9:37" x14ac:dyDescent="0.3">
      <c r="I420">
        <f ca="1">IF(OR(INDIRECT(A73&amp;ROW())=B93,INDIRECT(A73&amp;ROW())=B94),1,IF(AND(INDIRECT(A73&amp;ROW())=B95,INDIRECT(A96&amp;ROW())=C93),1,IF(AND(INDIRECT(A73&amp;ROW())=B95,INDIRECT(A96&amp;ROW())=C94),1,0)))</f>
        <v>0</v>
      </c>
      <c r="J420">
        <f ca="1">IF(AND(INDIRECT(A73&amp;ROW())=B95,INDIRECT(A96&amp;ROW())=C95),1,IF(AND(INDIRECT(A73&amp;ROW())=B95,INDIRECT(A96&amp;ROW())=C96),1,0))</f>
        <v>1</v>
      </c>
      <c r="K420">
        <f ca="1">DAYS360(INDIRECT(C68&amp;ROW()),TODAY())</f>
        <v>752</v>
      </c>
      <c r="L420">
        <f ca="1">DAYS360(INDIRECT(C69&amp;ROW()),TODAY())</f>
        <v>756</v>
      </c>
      <c r="M420">
        <f ca="1">HYPERLINK(CONCATENATE("https://bugzilla.houston.hp.com:1181/bugzilla/show_bug.cgi?id=",INDIRECT(C70&amp;ROW())),INDIRECT(C70&amp;ROW()))</f>
        <v>59359</v>
      </c>
      <c r="N420">
        <v>59359</v>
      </c>
      <c r="O420" t="s">
        <v>22</v>
      </c>
      <c r="P420" t="s">
        <v>828</v>
      </c>
      <c r="Q420" t="s">
        <v>25</v>
      </c>
      <c r="R420" t="s">
        <v>579</v>
      </c>
      <c r="S420" t="s">
        <v>552</v>
      </c>
      <c r="T420" t="s">
        <v>835</v>
      </c>
      <c r="U420" s="6">
        <v>42094.334027777775</v>
      </c>
      <c r="V420" t="s">
        <v>18</v>
      </c>
      <c r="W420" t="s">
        <v>17</v>
      </c>
      <c r="X420" s="6">
        <v>42089.015092592592</v>
      </c>
      <c r="Y420" t="s">
        <v>246</v>
      </c>
      <c r="AB420" t="s">
        <v>201</v>
      </c>
      <c r="AC420" t="s">
        <v>247</v>
      </c>
      <c r="AD420" t="s">
        <v>222</v>
      </c>
      <c r="AE420" t="s">
        <v>232</v>
      </c>
      <c r="AG420" t="s">
        <v>121</v>
      </c>
      <c r="AH420" t="s">
        <v>327</v>
      </c>
      <c r="AI420" t="s">
        <v>121</v>
      </c>
      <c r="AJ420" t="s">
        <v>716</v>
      </c>
      <c r="AK420" t="s">
        <v>121</v>
      </c>
    </row>
    <row r="421" spans="9:37" x14ac:dyDescent="0.3">
      <c r="I421">
        <f ca="1">IF(OR(INDIRECT(A73&amp;ROW())=B93,INDIRECT(A73&amp;ROW())=B94),1,IF(AND(INDIRECT(A73&amp;ROW())=B95,INDIRECT(A96&amp;ROW())=C93),1,IF(AND(INDIRECT(A73&amp;ROW())=B95,INDIRECT(A96&amp;ROW())=C94),1,0)))</f>
        <v>0</v>
      </c>
      <c r="J421">
        <f ca="1">IF(AND(INDIRECT(A73&amp;ROW())=B95,INDIRECT(A96&amp;ROW())=C95),1,IF(AND(INDIRECT(A73&amp;ROW())=B95,INDIRECT(A96&amp;ROW())=C96),1,0))</f>
        <v>1</v>
      </c>
      <c r="K421">
        <f ca="1">DAYS360(INDIRECT(C68&amp;ROW()),TODAY())</f>
        <v>752</v>
      </c>
      <c r="L421">
        <f ca="1">DAYS360(INDIRECT(C69&amp;ROW()),TODAY())</f>
        <v>756</v>
      </c>
      <c r="M421">
        <f ca="1">HYPERLINK(CONCATENATE("https://bugzilla.houston.hp.com:1181/bugzilla/show_bug.cgi?id=",INDIRECT(C70&amp;ROW())),INDIRECT(C70&amp;ROW()))</f>
        <v>59360</v>
      </c>
      <c r="N421">
        <v>59360</v>
      </c>
      <c r="O421" t="s">
        <v>22</v>
      </c>
      <c r="P421" t="s">
        <v>827</v>
      </c>
      <c r="Q421" t="s">
        <v>25</v>
      </c>
      <c r="R421" t="s">
        <v>248</v>
      </c>
      <c r="S421" t="s">
        <v>552</v>
      </c>
      <c r="U421" s="6">
        <v>42093.311527777776</v>
      </c>
      <c r="V421" t="s">
        <v>18</v>
      </c>
      <c r="W421" t="s">
        <v>17</v>
      </c>
      <c r="X421" s="6">
        <v>42089.015150462961</v>
      </c>
      <c r="Y421" t="s">
        <v>246</v>
      </c>
      <c r="AB421" t="s">
        <v>201</v>
      </c>
      <c r="AC421" t="s">
        <v>247</v>
      </c>
      <c r="AD421" t="s">
        <v>222</v>
      </c>
      <c r="AE421" t="s">
        <v>232</v>
      </c>
      <c r="AG421" t="s">
        <v>121</v>
      </c>
      <c r="AH421" t="s">
        <v>327</v>
      </c>
      <c r="AI421" t="s">
        <v>121</v>
      </c>
      <c r="AJ421" t="s">
        <v>716</v>
      </c>
      <c r="AK421" t="s">
        <v>121</v>
      </c>
    </row>
    <row r="422" spans="9:37" x14ac:dyDescent="0.3">
      <c r="I422">
        <f ca="1">IF(OR(INDIRECT(A73&amp;ROW())=B93,INDIRECT(A73&amp;ROW())=B94),1,IF(AND(INDIRECT(A73&amp;ROW())=B95,INDIRECT(A96&amp;ROW())=C93),1,IF(AND(INDIRECT(A73&amp;ROW())=B95,INDIRECT(A96&amp;ROW())=C94),1,0)))</f>
        <v>1</v>
      </c>
      <c r="J422">
        <f ca="1">IF(AND(INDIRECT(A73&amp;ROW())=B95,INDIRECT(A96&amp;ROW())=C95),1,IF(AND(INDIRECT(A73&amp;ROW())=B95,INDIRECT(A96&amp;ROW())=C96),1,0))</f>
        <v>0</v>
      </c>
      <c r="K422">
        <f ca="1">DAYS360(INDIRECT(C68&amp;ROW()),TODAY())</f>
        <v>669</v>
      </c>
      <c r="L422">
        <f ca="1">DAYS360(INDIRECT(C69&amp;ROW()),TODAY())</f>
        <v>756</v>
      </c>
      <c r="M422">
        <f ca="1">HYPERLINK(CONCATENATE("https://bugzilla.houston.hp.com:1181/bugzilla/show_bug.cgi?id=",INDIRECT(C70&amp;ROW())),INDIRECT(C70&amp;ROW()))</f>
        <v>59366</v>
      </c>
      <c r="N422">
        <v>59366</v>
      </c>
      <c r="O422" t="s">
        <v>66</v>
      </c>
      <c r="P422" t="s">
        <v>826</v>
      </c>
      <c r="Q422" t="s">
        <v>39</v>
      </c>
      <c r="R422" t="s">
        <v>251</v>
      </c>
      <c r="S422" t="s">
        <v>187</v>
      </c>
      <c r="U422" s="6">
        <v>42178.233472222222</v>
      </c>
      <c r="V422" t="s">
        <v>35</v>
      </c>
      <c r="W422" t="s">
        <v>17</v>
      </c>
      <c r="X422" s="6">
        <v>42089.027627314812</v>
      </c>
      <c r="Y422" t="s">
        <v>792</v>
      </c>
      <c r="AB422" t="s">
        <v>201</v>
      </c>
      <c r="AC422" t="s">
        <v>247</v>
      </c>
      <c r="AD422" t="s">
        <v>220</v>
      </c>
      <c r="AE422" t="s">
        <v>219</v>
      </c>
      <c r="AG422" t="s">
        <v>121</v>
      </c>
      <c r="AH422" t="s">
        <v>327</v>
      </c>
      <c r="AI422" t="s">
        <v>121</v>
      </c>
      <c r="AJ422" t="s">
        <v>715</v>
      </c>
      <c r="AK422" t="s">
        <v>121</v>
      </c>
    </row>
    <row r="423" spans="9:37" x14ac:dyDescent="0.3">
      <c r="I423">
        <f ca="1">IF(OR(INDIRECT(A73&amp;ROW())=B93,INDIRECT(A73&amp;ROW())=B94),1,IF(AND(INDIRECT(A73&amp;ROW())=B95,INDIRECT(A96&amp;ROW())=C93),1,IF(AND(INDIRECT(A73&amp;ROW())=B95,INDIRECT(A96&amp;ROW())=C94),1,0)))</f>
        <v>1</v>
      </c>
      <c r="J423">
        <f ca="1">IF(AND(INDIRECT(A73&amp;ROW())=B95,INDIRECT(A96&amp;ROW())=C95),1,IF(AND(INDIRECT(A73&amp;ROW())=B95,INDIRECT(A96&amp;ROW())=C96),1,0))</f>
        <v>0</v>
      </c>
      <c r="K423">
        <f ca="1">DAYS360(INDIRECT(C68&amp;ROW()),TODAY())</f>
        <v>687</v>
      </c>
      <c r="L423">
        <f ca="1">DAYS360(INDIRECT(C69&amp;ROW()),TODAY())</f>
        <v>756</v>
      </c>
      <c r="M423">
        <f ca="1">HYPERLINK(CONCATENATE("https://bugzilla.houston.hp.com:1181/bugzilla/show_bug.cgi?id=",INDIRECT(C70&amp;ROW())),INDIRECT(C70&amp;ROW()))</f>
        <v>59407</v>
      </c>
      <c r="N423">
        <v>59407</v>
      </c>
      <c r="O423" t="s">
        <v>53</v>
      </c>
      <c r="P423" t="s">
        <v>825</v>
      </c>
      <c r="Q423" t="s">
        <v>39</v>
      </c>
      <c r="R423" t="s">
        <v>579</v>
      </c>
      <c r="S423" t="s">
        <v>784</v>
      </c>
      <c r="T423" t="s">
        <v>822</v>
      </c>
      <c r="U423" s="6">
        <v>42160.50141203704</v>
      </c>
      <c r="V423" t="s">
        <v>18</v>
      </c>
      <c r="W423" t="s">
        <v>343</v>
      </c>
      <c r="X423" s="6">
        <v>42089.50372685185</v>
      </c>
      <c r="Y423" t="s">
        <v>793</v>
      </c>
      <c r="AB423" t="s">
        <v>201</v>
      </c>
      <c r="AC423" t="s">
        <v>247</v>
      </c>
      <c r="AD423" t="s">
        <v>220</v>
      </c>
      <c r="AE423" t="s">
        <v>229</v>
      </c>
      <c r="AG423" t="s">
        <v>121</v>
      </c>
      <c r="AH423" t="s">
        <v>327</v>
      </c>
      <c r="AI423" t="s">
        <v>362</v>
      </c>
      <c r="AJ423" t="s">
        <v>715</v>
      </c>
      <c r="AK423" t="s">
        <v>121</v>
      </c>
    </row>
    <row r="424" spans="9:37" x14ac:dyDescent="0.3">
      <c r="I424">
        <f ca="1">IF(OR(INDIRECT(A73&amp;ROW())=B93,INDIRECT(A73&amp;ROW())=B94),1,IF(AND(INDIRECT(A73&amp;ROW())=B95,INDIRECT(A96&amp;ROW())=C93),1,IF(AND(INDIRECT(A73&amp;ROW())=B95,INDIRECT(A96&amp;ROW())=C94),1,0)))</f>
        <v>0</v>
      </c>
      <c r="J424">
        <f ca="1">IF(AND(INDIRECT(A73&amp;ROW())=B95,INDIRECT(A96&amp;ROW())=C95),1,IF(AND(INDIRECT(A73&amp;ROW())=B95,INDIRECT(A96&amp;ROW())=C96),1,0))</f>
        <v>1</v>
      </c>
      <c r="K424">
        <f ca="1">DAYS360(INDIRECT(C68&amp;ROW()),TODAY())</f>
        <v>752</v>
      </c>
      <c r="L424">
        <f ca="1">DAYS360(INDIRECT(C69&amp;ROW()),TODAY())</f>
        <v>755</v>
      </c>
      <c r="M424">
        <f ca="1">HYPERLINK(CONCATENATE("https://bugzilla.houston.hp.com:1181/bugzilla/show_bug.cgi?id=",INDIRECT(C70&amp;ROW())),INDIRECT(C70&amp;ROW()))</f>
        <v>59450</v>
      </c>
      <c r="N424">
        <v>59450</v>
      </c>
      <c r="O424" t="s">
        <v>22</v>
      </c>
      <c r="P424" t="s">
        <v>824</v>
      </c>
      <c r="Q424" t="s">
        <v>25</v>
      </c>
      <c r="R424" t="s">
        <v>248</v>
      </c>
      <c r="S424" t="s">
        <v>552</v>
      </c>
      <c r="U424" s="6">
        <v>42093.311597222222</v>
      </c>
      <c r="V424" t="s">
        <v>18</v>
      </c>
      <c r="W424" t="s">
        <v>17</v>
      </c>
      <c r="X424" s="6">
        <v>42090.015208333331</v>
      </c>
      <c r="Y424" t="s">
        <v>246</v>
      </c>
      <c r="AB424" t="s">
        <v>201</v>
      </c>
      <c r="AC424" t="s">
        <v>247</v>
      </c>
      <c r="AD424" t="s">
        <v>222</v>
      </c>
      <c r="AE424" t="s">
        <v>232</v>
      </c>
      <c r="AG424" t="s">
        <v>121</v>
      </c>
      <c r="AH424" t="s">
        <v>327</v>
      </c>
      <c r="AI424" t="s">
        <v>121</v>
      </c>
      <c r="AJ424" t="s">
        <v>716</v>
      </c>
      <c r="AK424" t="s">
        <v>121</v>
      </c>
    </row>
    <row r="425" spans="9:37" x14ac:dyDescent="0.3">
      <c r="I425">
        <f ca="1">IF(OR(INDIRECT(A73&amp;ROW())=B93,INDIRECT(A73&amp;ROW())=B94),1,IF(AND(INDIRECT(A73&amp;ROW())=B95,INDIRECT(A96&amp;ROW())=C93),1,IF(AND(INDIRECT(A73&amp;ROW())=B95,INDIRECT(A96&amp;ROW())=C94),1,0)))</f>
        <v>0</v>
      </c>
      <c r="J425">
        <f ca="1">IF(AND(INDIRECT(A73&amp;ROW())=B95,INDIRECT(A96&amp;ROW())=C95),1,IF(AND(INDIRECT(A73&amp;ROW())=B95,INDIRECT(A96&amp;ROW())=C96),1,0))</f>
        <v>0</v>
      </c>
      <c r="K425">
        <f ca="1">DAYS360(INDIRECT(C68&amp;ROW()),TODAY())</f>
        <v>724</v>
      </c>
      <c r="L425">
        <f ca="1">DAYS360(INDIRECT(C69&amp;ROW()),TODAY())</f>
        <v>755</v>
      </c>
      <c r="M425">
        <f ca="1">HYPERLINK(CONCATENATE("https://bugzilla.houston.hp.com:1181/bugzilla/show_bug.cgi?id=",INDIRECT(C70&amp;ROW())),INDIRECT(C70&amp;ROW()))</f>
        <v>59484</v>
      </c>
      <c r="N425">
        <v>59484</v>
      </c>
      <c r="O425" t="s">
        <v>164</v>
      </c>
      <c r="P425" t="s">
        <v>845</v>
      </c>
      <c r="Q425" t="s">
        <v>16</v>
      </c>
      <c r="R425" t="s">
        <v>251</v>
      </c>
      <c r="S425" t="s">
        <v>823</v>
      </c>
      <c r="T425" t="s">
        <v>181</v>
      </c>
      <c r="U425" s="6">
        <v>42122.283194444448</v>
      </c>
      <c r="V425" t="s">
        <v>35</v>
      </c>
      <c r="W425" t="s">
        <v>17</v>
      </c>
      <c r="X425" s="6">
        <v>42090.238715277781</v>
      </c>
      <c r="Y425" t="s">
        <v>123</v>
      </c>
      <c r="AB425" t="s">
        <v>201</v>
      </c>
      <c r="AC425" t="s">
        <v>247</v>
      </c>
      <c r="AD425" t="s">
        <v>220</v>
      </c>
      <c r="AE425" t="s">
        <v>219</v>
      </c>
      <c r="AG425" t="s">
        <v>121</v>
      </c>
      <c r="AH425" t="s">
        <v>327</v>
      </c>
      <c r="AI425" t="s">
        <v>121</v>
      </c>
      <c r="AJ425" t="s">
        <v>717</v>
      </c>
      <c r="AK425" t="s">
        <v>121</v>
      </c>
    </row>
    <row r="426" spans="9:37" x14ac:dyDescent="0.3">
      <c r="I426">
        <f ca="1">IF(OR(INDIRECT(A73&amp;ROW())=B93,INDIRECT(A73&amp;ROW())=B94),1,IF(AND(INDIRECT(A73&amp;ROW())=B95,INDIRECT(A96&amp;ROW())=C93),1,IF(AND(INDIRECT(A73&amp;ROW())=B95,INDIRECT(A96&amp;ROW())=C94),1,0)))</f>
        <v>0</v>
      </c>
      <c r="J426">
        <f ca="1">IF(AND(INDIRECT(A73&amp;ROW())=B95,INDIRECT(A96&amp;ROW())=C95),1,IF(AND(INDIRECT(A73&amp;ROW())=B95,INDIRECT(A96&amp;ROW())=C96),1,0))</f>
        <v>0</v>
      </c>
      <c r="K426">
        <f ca="1">DAYS360(INDIRECT(C68&amp;ROW()),TODAY())</f>
        <v>732</v>
      </c>
      <c r="L426">
        <f ca="1">DAYS360(INDIRECT(C69&amp;ROW()),TODAY())</f>
        <v>755</v>
      </c>
      <c r="M426">
        <f ca="1">HYPERLINK(CONCATENATE("https://bugzilla.houston.hp.com:1181/bugzilla/show_bug.cgi?id=",INDIRECT(C70&amp;ROW())),INDIRECT(C70&amp;ROW()))</f>
        <v>59501</v>
      </c>
      <c r="N426">
        <v>59501</v>
      </c>
      <c r="O426" t="s">
        <v>164</v>
      </c>
      <c r="P426" t="s">
        <v>834</v>
      </c>
      <c r="Q426" t="s">
        <v>16</v>
      </c>
      <c r="R426" t="s">
        <v>248</v>
      </c>
      <c r="S426" t="s">
        <v>552</v>
      </c>
      <c r="T426" t="s">
        <v>181</v>
      </c>
      <c r="U426" s="6">
        <v>42114.053287037037</v>
      </c>
      <c r="V426" t="s">
        <v>18</v>
      </c>
      <c r="W426" t="s">
        <v>372</v>
      </c>
      <c r="X426" s="6">
        <v>42090.44153935185</v>
      </c>
      <c r="Y426" t="s">
        <v>123</v>
      </c>
      <c r="AB426" t="s">
        <v>201</v>
      </c>
      <c r="AC426" t="s">
        <v>247</v>
      </c>
      <c r="AD426" t="s">
        <v>220</v>
      </c>
      <c r="AE426" t="s">
        <v>219</v>
      </c>
      <c r="AG426" t="s">
        <v>121</v>
      </c>
      <c r="AH426" t="s">
        <v>327</v>
      </c>
      <c r="AI426" t="s">
        <v>121</v>
      </c>
      <c r="AJ426" t="s">
        <v>717</v>
      </c>
      <c r="AK426" t="s">
        <v>121</v>
      </c>
    </row>
    <row r="427" spans="9:37" x14ac:dyDescent="0.3">
      <c r="I427">
        <f ca="1">IF(OR(INDIRECT(A73&amp;ROW())=B93,INDIRECT(A73&amp;ROW())=B94),1,IF(AND(INDIRECT(A73&amp;ROW())=B95,INDIRECT(A96&amp;ROW())=C93),1,IF(AND(INDIRECT(A73&amp;ROW())=B95,INDIRECT(A96&amp;ROW())=C94),1,0)))</f>
        <v>0</v>
      </c>
      <c r="J427">
        <f ca="1">IF(AND(INDIRECT(A73&amp;ROW())=B95,INDIRECT(A96&amp;ROW())=C95),1,IF(AND(INDIRECT(A73&amp;ROW())=B95,INDIRECT(A96&amp;ROW())=C96),1,0))</f>
        <v>1</v>
      </c>
      <c r="K427">
        <f ca="1">DAYS360(INDIRECT(C68&amp;ROW()),TODAY())</f>
        <v>684</v>
      </c>
      <c r="L427">
        <f ca="1">DAYS360(INDIRECT(C69&amp;ROW()),TODAY())</f>
        <v>752</v>
      </c>
      <c r="M427">
        <f ca="1">HYPERLINK(CONCATENATE("https://bugzilla.houston.hp.com:1181/bugzilla/show_bug.cgi?id=",INDIRECT(C70&amp;ROW())),INDIRECT(C70&amp;ROW()))</f>
        <v>59637</v>
      </c>
      <c r="N427">
        <v>59637</v>
      </c>
      <c r="O427" t="s">
        <v>241</v>
      </c>
      <c r="P427" t="s">
        <v>838</v>
      </c>
      <c r="Q427" t="s">
        <v>25</v>
      </c>
      <c r="R427" t="s">
        <v>251</v>
      </c>
      <c r="S427" t="s">
        <v>52</v>
      </c>
      <c r="U427" s="6">
        <v>42163.573865740742</v>
      </c>
      <c r="V427" t="s">
        <v>18</v>
      </c>
      <c r="W427" t="s">
        <v>783</v>
      </c>
      <c r="X427" s="6">
        <v>42094.465636574074</v>
      </c>
      <c r="Y427" t="s">
        <v>255</v>
      </c>
      <c r="AB427" t="s">
        <v>201</v>
      </c>
      <c r="AC427" t="s">
        <v>247</v>
      </c>
      <c r="AD427" t="s">
        <v>222</v>
      </c>
      <c r="AE427" t="s">
        <v>232</v>
      </c>
      <c r="AG427" t="s">
        <v>121</v>
      </c>
      <c r="AH427" t="s">
        <v>327</v>
      </c>
      <c r="AI427" t="s">
        <v>121</v>
      </c>
      <c r="AJ427" t="s">
        <v>716</v>
      </c>
      <c r="AK427" t="s">
        <v>121</v>
      </c>
    </row>
    <row r="428" spans="9:37" x14ac:dyDescent="0.3">
      <c r="I428">
        <f ca="1">IF(OR(INDIRECT(A73&amp;ROW())=B93,INDIRECT(A73&amp;ROW())=B94),1,IF(AND(INDIRECT(A73&amp;ROW())=B95,INDIRECT(A96&amp;ROW())=C93),1,IF(AND(INDIRECT(A73&amp;ROW())=B95,INDIRECT(A96&amp;ROW())=C94),1,0)))</f>
        <v>0</v>
      </c>
      <c r="J428">
        <f ca="1">IF(AND(INDIRECT(A73&amp;ROW())=B95,INDIRECT(A96&amp;ROW())=C95),1,IF(AND(INDIRECT(A73&amp;ROW())=B95,INDIRECT(A96&amp;ROW())=C96),1,0))</f>
        <v>1</v>
      </c>
      <c r="K428">
        <f ca="1">DAYS360(INDIRECT(C68&amp;ROW()),TODAY())</f>
        <v>717</v>
      </c>
      <c r="L428">
        <f ca="1">DAYS360(INDIRECT(C69&amp;ROW()),TODAY())</f>
        <v>752</v>
      </c>
      <c r="M428">
        <f ca="1">HYPERLINK(CONCATENATE("https://bugzilla.houston.hp.com:1181/bugzilla/show_bug.cgi?id=",INDIRECT(C70&amp;ROW())),INDIRECT(C70&amp;ROW()))</f>
        <v>59641</v>
      </c>
      <c r="N428">
        <v>59641</v>
      </c>
      <c r="O428" t="s">
        <v>241</v>
      </c>
      <c r="P428" t="s">
        <v>837</v>
      </c>
      <c r="Q428" t="s">
        <v>25</v>
      </c>
      <c r="R428" t="s">
        <v>579</v>
      </c>
      <c r="S428" t="s">
        <v>552</v>
      </c>
      <c r="T428" t="s">
        <v>1000</v>
      </c>
      <c r="U428" s="6">
        <v>42129.653993055559</v>
      </c>
      <c r="V428" t="s">
        <v>18</v>
      </c>
      <c r="W428" t="s">
        <v>783</v>
      </c>
      <c r="X428" s="6">
        <v>42094.498935185184</v>
      </c>
      <c r="Y428" t="s">
        <v>255</v>
      </c>
      <c r="AB428" t="s">
        <v>201</v>
      </c>
      <c r="AC428" t="s">
        <v>247</v>
      </c>
      <c r="AD428" t="s">
        <v>222</v>
      </c>
      <c r="AE428" t="s">
        <v>232</v>
      </c>
      <c r="AG428" t="s">
        <v>121</v>
      </c>
      <c r="AH428" t="s">
        <v>327</v>
      </c>
      <c r="AI428" t="s">
        <v>362</v>
      </c>
      <c r="AJ428" t="s">
        <v>716</v>
      </c>
      <c r="AK428" t="s">
        <v>121</v>
      </c>
    </row>
    <row r="429" spans="9:37" x14ac:dyDescent="0.3">
      <c r="I429">
        <f ca="1">IF(OR(INDIRECT(A73&amp;ROW())=B93,INDIRECT(A73&amp;ROW())=B94),1,IF(AND(INDIRECT(A73&amp;ROW())=B95,INDIRECT(A96&amp;ROW())=C93),1,IF(AND(INDIRECT(A73&amp;ROW())=B95,INDIRECT(A96&amp;ROW())=C94),1,0)))</f>
        <v>0</v>
      </c>
      <c r="J429">
        <f ca="1">IF(AND(INDIRECT(A73&amp;ROW())=B95,INDIRECT(A96&amp;ROW())=C95),1,IF(AND(INDIRECT(A73&amp;ROW())=B95,INDIRECT(A96&amp;ROW())=C96),1,0))</f>
        <v>1</v>
      </c>
      <c r="K429">
        <f ca="1">DAYS360(INDIRECT(C68&amp;ROW()),TODAY())</f>
        <v>717</v>
      </c>
      <c r="L429">
        <f ca="1">DAYS360(INDIRECT(C69&amp;ROW()),TODAY())</f>
        <v>752</v>
      </c>
      <c r="M429">
        <f ca="1">HYPERLINK(CONCATENATE("https://bugzilla.houston.hp.com:1181/bugzilla/show_bug.cgi?id=",INDIRECT(C70&amp;ROW())),INDIRECT(C70&amp;ROW()))</f>
        <v>59642</v>
      </c>
      <c r="N429">
        <v>59642</v>
      </c>
      <c r="O429" t="s">
        <v>241</v>
      </c>
      <c r="P429" t="s">
        <v>836</v>
      </c>
      <c r="Q429" t="s">
        <v>25</v>
      </c>
      <c r="R429" t="s">
        <v>248</v>
      </c>
      <c r="S429" t="s">
        <v>552</v>
      </c>
      <c r="U429" s="6">
        <v>42129.606840277775</v>
      </c>
      <c r="V429" t="s">
        <v>18</v>
      </c>
      <c r="W429" t="s">
        <v>783</v>
      </c>
      <c r="X429" s="6">
        <v>42094.499027777776</v>
      </c>
      <c r="Y429" t="s">
        <v>255</v>
      </c>
      <c r="AB429" t="s">
        <v>201</v>
      </c>
      <c r="AC429" t="s">
        <v>247</v>
      </c>
      <c r="AD429" t="s">
        <v>222</v>
      </c>
      <c r="AE429" t="s">
        <v>232</v>
      </c>
      <c r="AG429" t="s">
        <v>121</v>
      </c>
      <c r="AH429" t="s">
        <v>327</v>
      </c>
      <c r="AI429" t="s">
        <v>121</v>
      </c>
      <c r="AJ429" t="s">
        <v>716</v>
      </c>
      <c r="AK429" t="s">
        <v>121</v>
      </c>
    </row>
    <row r="430" spans="9:37" x14ac:dyDescent="0.3">
      <c r="I430">
        <f ca="1">IF(OR(INDIRECT(A73&amp;ROW())=B93,INDIRECT(A73&amp;ROW())=B94),1,IF(AND(INDIRECT(A73&amp;ROW())=B95,INDIRECT(A96&amp;ROW())=C93),1,IF(AND(INDIRECT(A73&amp;ROW())=B95,INDIRECT(A96&amp;ROW())=C94),1,0)))</f>
        <v>0</v>
      </c>
      <c r="J430">
        <f ca="1">IF(AND(INDIRECT(A73&amp;ROW())=B95,INDIRECT(A96&amp;ROW())=C95),1,IF(AND(INDIRECT(A73&amp;ROW())=B95,INDIRECT(A96&amp;ROW())=C96),1,0))</f>
        <v>1</v>
      </c>
      <c r="K430">
        <f ca="1">DAYS360(INDIRECT(C68&amp;ROW()),TODAY())</f>
        <v>684</v>
      </c>
      <c r="L430">
        <f ca="1">DAYS360(INDIRECT(C69&amp;ROW()),TODAY())</f>
        <v>752</v>
      </c>
      <c r="M430">
        <f ca="1">HYPERLINK(CONCATENATE("https://bugzilla.houston.hp.com:1181/bugzilla/show_bug.cgi?id=",INDIRECT(C70&amp;ROW())),INDIRECT(C70&amp;ROW()))</f>
        <v>59659</v>
      </c>
      <c r="N430">
        <v>59659</v>
      </c>
      <c r="O430" t="s">
        <v>22</v>
      </c>
      <c r="P430" t="s">
        <v>844</v>
      </c>
      <c r="Q430" t="s">
        <v>25</v>
      </c>
      <c r="R430" t="s">
        <v>251</v>
      </c>
      <c r="S430" t="s">
        <v>49</v>
      </c>
      <c r="U430" s="6">
        <v>42163.575428240743</v>
      </c>
      <c r="V430" t="s">
        <v>18</v>
      </c>
      <c r="W430" t="s">
        <v>764</v>
      </c>
      <c r="X430" s="6">
        <v>42094.688078703701</v>
      </c>
      <c r="Y430" t="s">
        <v>246</v>
      </c>
      <c r="AB430" t="s">
        <v>201</v>
      </c>
      <c r="AC430" t="s">
        <v>247</v>
      </c>
      <c r="AD430" t="s">
        <v>222</v>
      </c>
      <c r="AE430" t="s">
        <v>221</v>
      </c>
      <c r="AG430" t="s">
        <v>121</v>
      </c>
      <c r="AH430" t="s">
        <v>327</v>
      </c>
      <c r="AI430" t="s">
        <v>121</v>
      </c>
      <c r="AJ430" t="s">
        <v>716</v>
      </c>
      <c r="AK430" t="s">
        <v>121</v>
      </c>
    </row>
    <row r="431" spans="9:37" x14ac:dyDescent="0.3">
      <c r="I431">
        <f ca="1">IF(OR(INDIRECT(A73&amp;ROW())=B93,INDIRECT(A73&amp;ROW())=B94),1,IF(AND(INDIRECT(A73&amp;ROW())=B95,INDIRECT(A96&amp;ROW())=C93),1,IF(AND(INDIRECT(A73&amp;ROW())=B95,INDIRECT(A96&amp;ROW())=C94),1,0)))</f>
        <v>1</v>
      </c>
      <c r="J431">
        <f ca="1">IF(AND(INDIRECT(A73&amp;ROW())=B95,INDIRECT(A96&amp;ROW())=C95),1,IF(AND(INDIRECT(A73&amp;ROW())=B95,INDIRECT(A96&amp;ROW())=C96),1,0))</f>
        <v>0</v>
      </c>
      <c r="K431">
        <f ca="1">DAYS360(INDIRECT(C68&amp;ROW()),TODAY())</f>
        <v>718</v>
      </c>
      <c r="L431">
        <f ca="1">DAYS360(INDIRECT(C69&amp;ROW()),TODAY())</f>
        <v>752</v>
      </c>
      <c r="M431">
        <f ca="1">HYPERLINK(CONCATENATE("https://bugzilla.houston.hp.com:1181/bugzilla/show_bug.cgi?id=",INDIRECT(C70&amp;ROW())),INDIRECT(C70&amp;ROW()))</f>
        <v>59661</v>
      </c>
      <c r="N431">
        <v>59661</v>
      </c>
      <c r="O431" t="s">
        <v>21</v>
      </c>
      <c r="P431" t="s">
        <v>843</v>
      </c>
      <c r="Q431" t="s">
        <v>25</v>
      </c>
      <c r="R431" t="s">
        <v>579</v>
      </c>
      <c r="S431" t="s">
        <v>236</v>
      </c>
      <c r="T431" t="s">
        <v>839</v>
      </c>
      <c r="U431" s="6">
        <v>42128.237893518519</v>
      </c>
      <c r="V431" t="s">
        <v>18</v>
      </c>
      <c r="W431" t="s">
        <v>207</v>
      </c>
      <c r="X431" s="6">
        <v>42094.697835648149</v>
      </c>
      <c r="Y431" t="s">
        <v>120</v>
      </c>
      <c r="AB431" t="s">
        <v>200</v>
      </c>
      <c r="AC431" t="s">
        <v>121</v>
      </c>
      <c r="AD431" t="s">
        <v>220</v>
      </c>
      <c r="AE431" t="s">
        <v>219</v>
      </c>
      <c r="AG431" t="s">
        <v>121</v>
      </c>
      <c r="AH431" t="s">
        <v>327</v>
      </c>
      <c r="AI431" t="s">
        <v>362</v>
      </c>
      <c r="AJ431" t="s">
        <v>715</v>
      </c>
      <c r="AK431" t="s">
        <v>121</v>
      </c>
    </row>
    <row r="432" spans="9:37" x14ac:dyDescent="0.3">
      <c r="I432">
        <f ca="1">IF(OR(INDIRECT(A73&amp;ROW())=B93,INDIRECT(A73&amp;ROW())=B94),1,IF(AND(INDIRECT(A73&amp;ROW())=B95,INDIRECT(A96&amp;ROW())=C93),1,IF(AND(INDIRECT(A73&amp;ROW())=B95,INDIRECT(A96&amp;ROW())=C94),1,0)))</f>
        <v>0</v>
      </c>
      <c r="J432">
        <f ca="1">IF(AND(INDIRECT(A73&amp;ROW())=B95,INDIRECT(A96&amp;ROW())=C95),1,IF(AND(INDIRECT(A73&amp;ROW())=B95,INDIRECT(A96&amp;ROW())=C96),1,0))</f>
        <v>1</v>
      </c>
      <c r="K432">
        <f ca="1">DAYS360(INDIRECT(C68&amp;ROW()),TODAY())</f>
        <v>746</v>
      </c>
      <c r="L432">
        <f ca="1">DAYS360(INDIRECT(C69&amp;ROW()),TODAY())</f>
        <v>751</v>
      </c>
      <c r="M432">
        <f ca="1">HYPERLINK(CONCATENATE("https://bugzilla.houston.hp.com:1181/bugzilla/show_bug.cgi?id=",INDIRECT(C70&amp;ROW())),INDIRECT(C70&amp;ROW()))</f>
        <v>59736</v>
      </c>
      <c r="N432">
        <v>59736</v>
      </c>
      <c r="O432" t="s">
        <v>22</v>
      </c>
      <c r="P432" t="s">
        <v>841</v>
      </c>
      <c r="Q432" t="s">
        <v>25</v>
      </c>
      <c r="R432" t="s">
        <v>579</v>
      </c>
      <c r="S432" t="s">
        <v>552</v>
      </c>
      <c r="T432" t="s">
        <v>851</v>
      </c>
      <c r="U432" s="6">
        <v>42100.318692129629</v>
      </c>
      <c r="V432" t="s">
        <v>18</v>
      </c>
      <c r="W432" t="s">
        <v>764</v>
      </c>
      <c r="X432" s="6">
        <v>42095.512280092589</v>
      </c>
      <c r="Y432" t="s">
        <v>246</v>
      </c>
      <c r="AB432" t="s">
        <v>201</v>
      </c>
      <c r="AC432" t="s">
        <v>247</v>
      </c>
      <c r="AD432" t="s">
        <v>222</v>
      </c>
      <c r="AE432" t="s">
        <v>221</v>
      </c>
      <c r="AG432" t="s">
        <v>121</v>
      </c>
      <c r="AH432" t="s">
        <v>327</v>
      </c>
      <c r="AI432" t="s">
        <v>121</v>
      </c>
      <c r="AJ432" t="s">
        <v>716</v>
      </c>
      <c r="AK432" t="s">
        <v>121</v>
      </c>
    </row>
    <row r="433" spans="9:37" x14ac:dyDescent="0.3">
      <c r="I433">
        <f ca="1">IF(OR(INDIRECT(A73&amp;ROW())=B93,INDIRECT(A73&amp;ROW())=B94),1,IF(AND(INDIRECT(A73&amp;ROW())=B95,INDIRECT(A96&amp;ROW())=C93),1,IF(AND(INDIRECT(A73&amp;ROW())=B95,INDIRECT(A96&amp;ROW())=C94),1,0)))</f>
        <v>0</v>
      </c>
      <c r="J433">
        <f ca="1">IF(AND(INDIRECT(A73&amp;ROW())=B95,INDIRECT(A96&amp;ROW())=C95),1,IF(AND(INDIRECT(A73&amp;ROW())=B95,INDIRECT(A96&amp;ROW())=C96),1,0))</f>
        <v>1</v>
      </c>
      <c r="K433">
        <f ca="1">DAYS360(INDIRECT(C68&amp;ROW()),TODAY())</f>
        <v>751</v>
      </c>
      <c r="L433">
        <f ca="1">DAYS360(INDIRECT(C69&amp;ROW()),TODAY())</f>
        <v>751</v>
      </c>
      <c r="M433">
        <f ca="1">HYPERLINK(CONCATENATE("https://bugzilla.houston.hp.com:1181/bugzilla/show_bug.cgi?id=",INDIRECT(C70&amp;ROW())),INDIRECT(C70&amp;ROW()))</f>
        <v>59737</v>
      </c>
      <c r="N433">
        <v>59737</v>
      </c>
      <c r="O433" t="s">
        <v>22</v>
      </c>
      <c r="P433" t="s">
        <v>840</v>
      </c>
      <c r="Q433" t="s">
        <v>25</v>
      </c>
      <c r="R433" t="s">
        <v>248</v>
      </c>
      <c r="S433" t="s">
        <v>552</v>
      </c>
      <c r="U433" s="6">
        <v>42095.512372685182</v>
      </c>
      <c r="V433" t="s">
        <v>18</v>
      </c>
      <c r="W433" t="s">
        <v>764</v>
      </c>
      <c r="X433" s="6">
        <v>42095.512372685182</v>
      </c>
      <c r="Y433" t="s">
        <v>246</v>
      </c>
      <c r="AB433" t="s">
        <v>201</v>
      </c>
      <c r="AC433" t="s">
        <v>247</v>
      </c>
      <c r="AD433" t="s">
        <v>222</v>
      </c>
      <c r="AE433" t="s">
        <v>221</v>
      </c>
      <c r="AG433" t="s">
        <v>121</v>
      </c>
      <c r="AH433" t="s">
        <v>327</v>
      </c>
      <c r="AI433" t="s">
        <v>121</v>
      </c>
      <c r="AJ433" t="s">
        <v>716</v>
      </c>
      <c r="AK433" t="s">
        <v>121</v>
      </c>
    </row>
    <row r="434" spans="9:37" x14ac:dyDescent="0.3">
      <c r="I434">
        <f ca="1">IF(OR(INDIRECT(A73&amp;ROW())=B93,INDIRECT(A73&amp;ROW())=B94),1,IF(AND(INDIRECT(A73&amp;ROW())=B95,INDIRECT(A96&amp;ROW())=C93),1,IF(AND(INDIRECT(A73&amp;ROW())=B95,INDIRECT(A96&amp;ROW())=C94),1,0)))</f>
        <v>0</v>
      </c>
      <c r="J434">
        <f ca="1">IF(AND(INDIRECT(A73&amp;ROW())=B95,INDIRECT(A96&amp;ROW())=C95),1,IF(AND(INDIRECT(A73&amp;ROW())=B95,INDIRECT(A96&amp;ROW())=C96),1,0))</f>
        <v>0</v>
      </c>
      <c r="K434">
        <f ca="1">DAYS360(INDIRECT(C68&amp;ROW()),TODAY())</f>
        <v>721</v>
      </c>
      <c r="L434">
        <f ca="1">DAYS360(INDIRECT(C69&amp;ROW()),TODAY())</f>
        <v>751</v>
      </c>
      <c r="M434">
        <f ca="1">HYPERLINK(CONCATENATE("https://bugzilla.houston.hp.com:1181/bugzilla/show_bug.cgi?id=",INDIRECT(C70&amp;ROW())),INDIRECT(C70&amp;ROW()))</f>
        <v>59756</v>
      </c>
      <c r="N434">
        <v>59756</v>
      </c>
      <c r="O434" t="s">
        <v>21</v>
      </c>
      <c r="P434" t="s">
        <v>849</v>
      </c>
      <c r="Q434" t="s">
        <v>16</v>
      </c>
      <c r="R434" t="s">
        <v>248</v>
      </c>
      <c r="S434" t="s">
        <v>552</v>
      </c>
      <c r="U434" s="6">
        <v>42125.685798611114</v>
      </c>
      <c r="V434" t="s">
        <v>18</v>
      </c>
      <c r="W434" t="s">
        <v>248</v>
      </c>
      <c r="X434" s="6">
        <v>42095.699733796297</v>
      </c>
      <c r="Y434" t="s">
        <v>846</v>
      </c>
      <c r="AB434" t="s">
        <v>200</v>
      </c>
      <c r="AC434" t="s">
        <v>247</v>
      </c>
      <c r="AD434" t="s">
        <v>222</v>
      </c>
      <c r="AE434" t="s">
        <v>240</v>
      </c>
      <c r="AG434" t="s">
        <v>121</v>
      </c>
      <c r="AH434" t="s">
        <v>327</v>
      </c>
      <c r="AI434" t="s">
        <v>121</v>
      </c>
      <c r="AJ434" t="s">
        <v>716</v>
      </c>
      <c r="AK434" t="s">
        <v>121</v>
      </c>
    </row>
    <row r="435" spans="9:37" x14ac:dyDescent="0.3">
      <c r="I435">
        <f ca="1">IF(OR(INDIRECT(A73&amp;ROW())=B93,INDIRECT(A73&amp;ROW())=B94),1,IF(AND(INDIRECT(A73&amp;ROW())=B95,INDIRECT(A96&amp;ROW())=C93),1,IF(AND(INDIRECT(A73&amp;ROW())=B95,INDIRECT(A96&amp;ROW())=C94),1,0)))</f>
        <v>0</v>
      </c>
      <c r="J435">
        <f ca="1">IF(AND(INDIRECT(A73&amp;ROW())=B95,INDIRECT(A96&amp;ROW())=C95),1,IF(AND(INDIRECT(A73&amp;ROW())=B95,INDIRECT(A96&amp;ROW())=C96),1,0))</f>
        <v>1</v>
      </c>
      <c r="K435">
        <f ca="1">DAYS360(INDIRECT(C68&amp;ROW()),TODAY())</f>
        <v>705</v>
      </c>
      <c r="L435">
        <f ca="1">DAYS360(INDIRECT(C69&amp;ROW()),TODAY())</f>
        <v>744</v>
      </c>
      <c r="M435">
        <f ca="1">HYPERLINK(CONCATENATE("https://bugzilla.houston.hp.com:1181/bugzilla/show_bug.cgi?id=",INDIRECT(C70&amp;ROW())),INDIRECT(C70&amp;ROW()))</f>
        <v>60118</v>
      </c>
      <c r="N435">
        <v>60118</v>
      </c>
      <c r="O435" t="s">
        <v>56</v>
      </c>
      <c r="P435" t="s">
        <v>864</v>
      </c>
      <c r="Q435" t="s">
        <v>25</v>
      </c>
      <c r="R435" t="s">
        <v>251</v>
      </c>
      <c r="S435" t="s">
        <v>253</v>
      </c>
      <c r="U435" s="6">
        <v>42141.688692129632</v>
      </c>
      <c r="V435" t="s">
        <v>40</v>
      </c>
      <c r="W435" t="s">
        <v>764</v>
      </c>
      <c r="X435" s="6">
        <v>42102.500810185185</v>
      </c>
      <c r="Y435" t="s">
        <v>246</v>
      </c>
      <c r="AB435" t="s">
        <v>201</v>
      </c>
      <c r="AC435" t="s">
        <v>247</v>
      </c>
      <c r="AD435" t="s">
        <v>220</v>
      </c>
      <c r="AE435" t="s">
        <v>219</v>
      </c>
      <c r="AG435" t="s">
        <v>121</v>
      </c>
      <c r="AH435" t="s">
        <v>768</v>
      </c>
      <c r="AI435" t="s">
        <v>121</v>
      </c>
      <c r="AJ435" t="s">
        <v>716</v>
      </c>
      <c r="AK435" t="s">
        <v>121</v>
      </c>
    </row>
    <row r="436" spans="9:37" x14ac:dyDescent="0.3">
      <c r="I436">
        <f ca="1">IF(OR(INDIRECT(A73&amp;ROW())=B93,INDIRECT(A73&amp;ROW())=B94),1,IF(AND(INDIRECT(A73&amp;ROW())=B95,INDIRECT(A96&amp;ROW())=C93),1,IF(AND(INDIRECT(A73&amp;ROW())=B95,INDIRECT(A96&amp;ROW())=C94),1,0)))</f>
        <v>0</v>
      </c>
      <c r="J436">
        <f ca="1">IF(AND(INDIRECT(A73&amp;ROW())=B95,INDIRECT(A96&amp;ROW())=C95),1,IF(AND(INDIRECT(A73&amp;ROW())=B95,INDIRECT(A96&amp;ROW())=C96),1,0))</f>
        <v>1</v>
      </c>
      <c r="K436">
        <f ca="1">DAYS360(INDIRECT(C68&amp;ROW()),TODAY())</f>
        <v>707</v>
      </c>
      <c r="L436">
        <f ca="1">DAYS360(INDIRECT(C69&amp;ROW()),TODAY())</f>
        <v>743</v>
      </c>
      <c r="M436">
        <f ca="1">HYPERLINK(CONCATENATE("https://bugzilla.houston.hp.com:1181/bugzilla/show_bug.cgi?id=",INDIRECT(C70&amp;ROW())),INDIRECT(C70&amp;ROW()))</f>
        <v>60198</v>
      </c>
      <c r="N436">
        <v>60198</v>
      </c>
      <c r="O436" t="s">
        <v>21</v>
      </c>
      <c r="P436" t="s">
        <v>918</v>
      </c>
      <c r="Q436" t="s">
        <v>25</v>
      </c>
      <c r="R436" t="s">
        <v>251</v>
      </c>
      <c r="S436" t="s">
        <v>917</v>
      </c>
      <c r="U436" s="6">
        <v>42139.420844907407</v>
      </c>
      <c r="V436" t="s">
        <v>18</v>
      </c>
      <c r="W436" t="s">
        <v>783</v>
      </c>
      <c r="X436" s="6">
        <v>42103.399004629631</v>
      </c>
      <c r="Y436" t="s">
        <v>846</v>
      </c>
      <c r="AB436" t="s">
        <v>201</v>
      </c>
      <c r="AC436" t="s">
        <v>247</v>
      </c>
      <c r="AD436" t="s">
        <v>222</v>
      </c>
      <c r="AE436" t="s">
        <v>221</v>
      </c>
      <c r="AG436" t="s">
        <v>121</v>
      </c>
      <c r="AH436" t="s">
        <v>327</v>
      </c>
      <c r="AI436" t="s">
        <v>121</v>
      </c>
      <c r="AJ436" t="s">
        <v>716</v>
      </c>
      <c r="AK436" t="s">
        <v>121</v>
      </c>
    </row>
    <row r="437" spans="9:37" x14ac:dyDescent="0.3">
      <c r="I437">
        <f ca="1">IF(OR(INDIRECT(A73&amp;ROW())=B93,INDIRECT(A73&amp;ROW())=B94),1,IF(AND(INDIRECT(A73&amp;ROW())=B95,INDIRECT(A96&amp;ROW())=C93),1,IF(AND(INDIRECT(A73&amp;ROW())=B95,INDIRECT(A96&amp;ROW())=C94),1,0)))</f>
        <v>0</v>
      </c>
      <c r="J437">
        <f ca="1">IF(AND(INDIRECT(A73&amp;ROW())=B95,INDIRECT(A96&amp;ROW())=C95),1,IF(AND(INDIRECT(A73&amp;ROW())=B95,INDIRECT(A96&amp;ROW())=C96),1,0))</f>
        <v>0</v>
      </c>
      <c r="K437">
        <f ca="1">DAYS360(INDIRECT(C68&amp;ROW()),TODAY())</f>
        <v>669</v>
      </c>
      <c r="L437">
        <f ca="1">DAYS360(INDIRECT(C69&amp;ROW()),TODAY())</f>
        <v>742</v>
      </c>
      <c r="M437">
        <f ca="1">HYPERLINK(CONCATENATE("https://bugzilla.houston.hp.com:1181/bugzilla/show_bug.cgi?id=",INDIRECT(C70&amp;ROW())),INDIRECT(C70&amp;ROW()))</f>
        <v>60262</v>
      </c>
      <c r="N437">
        <v>60262</v>
      </c>
      <c r="O437" t="s">
        <v>56</v>
      </c>
      <c r="P437" t="s">
        <v>863</v>
      </c>
      <c r="Q437" t="s">
        <v>16</v>
      </c>
      <c r="R437" t="s">
        <v>251</v>
      </c>
      <c r="S437" t="s">
        <v>854</v>
      </c>
      <c r="U437" s="6">
        <v>42178.531412037039</v>
      </c>
      <c r="V437" t="s">
        <v>18</v>
      </c>
      <c r="W437" t="s">
        <v>764</v>
      </c>
      <c r="X437" s="6">
        <v>42104.244039351855</v>
      </c>
      <c r="Y437" t="s">
        <v>810</v>
      </c>
      <c r="AB437" t="s">
        <v>201</v>
      </c>
      <c r="AC437" t="s">
        <v>247</v>
      </c>
      <c r="AD437" t="s">
        <v>220</v>
      </c>
      <c r="AE437" t="s">
        <v>223</v>
      </c>
      <c r="AG437" t="s">
        <v>121</v>
      </c>
      <c r="AH437" t="s">
        <v>327</v>
      </c>
      <c r="AI437" t="s">
        <v>121</v>
      </c>
      <c r="AJ437" t="s">
        <v>717</v>
      </c>
      <c r="AK437" t="s">
        <v>121</v>
      </c>
    </row>
    <row r="438" spans="9:37" x14ac:dyDescent="0.3">
      <c r="I438">
        <f ca="1">IF(OR(INDIRECT(A73&amp;ROW())=B93,INDIRECT(A73&amp;ROW())=B94),1,IF(AND(INDIRECT(A73&amp;ROW())=B95,INDIRECT(A96&amp;ROW())=C93),1,IF(AND(INDIRECT(A73&amp;ROW())=B95,INDIRECT(A96&amp;ROW())=C94),1,0)))</f>
        <v>1</v>
      </c>
      <c r="J438">
        <f ca="1">IF(AND(INDIRECT(A73&amp;ROW())=B95,INDIRECT(A96&amp;ROW())=C95),1,IF(AND(INDIRECT(A73&amp;ROW())=B95,INDIRECT(A96&amp;ROW())=C96),1,0))</f>
        <v>0</v>
      </c>
      <c r="K438">
        <f ca="1">DAYS360(INDIRECT(C68&amp;ROW()),TODAY())</f>
        <v>691</v>
      </c>
      <c r="L438">
        <f ca="1">DAYS360(INDIRECT(C69&amp;ROW()),TODAY())</f>
        <v>742</v>
      </c>
      <c r="M438">
        <f ca="1">HYPERLINK(CONCATENATE("https://bugzilla.houston.hp.com:1181/bugzilla/show_bug.cgi?id=",INDIRECT(C70&amp;ROW())),INDIRECT(C70&amp;ROW()))</f>
        <v>60271</v>
      </c>
      <c r="N438">
        <v>60271</v>
      </c>
      <c r="O438" t="s">
        <v>55</v>
      </c>
      <c r="P438" t="s">
        <v>862</v>
      </c>
      <c r="Q438" t="s">
        <v>25</v>
      </c>
      <c r="R438" t="s">
        <v>579</v>
      </c>
      <c r="S438" t="s">
        <v>552</v>
      </c>
      <c r="T438" t="s">
        <v>861</v>
      </c>
      <c r="U438" s="6">
        <v>42156.077268518522</v>
      </c>
      <c r="V438" t="s">
        <v>18</v>
      </c>
      <c r="W438" t="s">
        <v>372</v>
      </c>
      <c r="X438" s="6">
        <v>42104.315185185187</v>
      </c>
      <c r="Y438" t="s">
        <v>342</v>
      </c>
      <c r="Z438" t="s">
        <v>810</v>
      </c>
      <c r="AB438" t="s">
        <v>200</v>
      </c>
      <c r="AC438" t="s">
        <v>247</v>
      </c>
      <c r="AD438" t="s">
        <v>220</v>
      </c>
      <c r="AE438" t="s">
        <v>219</v>
      </c>
      <c r="AG438" t="s">
        <v>121</v>
      </c>
      <c r="AH438" t="s">
        <v>327</v>
      </c>
      <c r="AI438" t="s">
        <v>362</v>
      </c>
      <c r="AJ438" t="s">
        <v>715</v>
      </c>
      <c r="AK438" t="s">
        <v>121</v>
      </c>
    </row>
    <row r="439" spans="9:37" x14ac:dyDescent="0.3">
      <c r="I439">
        <f ca="1">IF(OR(INDIRECT(A73&amp;ROW())=B93,INDIRECT(A73&amp;ROW())=B94),1,IF(AND(INDIRECT(A73&amp;ROW())=B95,INDIRECT(A96&amp;ROW())=C93),1,IF(AND(INDIRECT(A73&amp;ROW())=B95,INDIRECT(A96&amp;ROW())=C94),1,0)))</f>
        <v>0</v>
      </c>
      <c r="J439">
        <f ca="1">IF(AND(INDIRECT(A73&amp;ROW())=B95,INDIRECT(A96&amp;ROW())=C95),1,IF(AND(INDIRECT(A73&amp;ROW())=B95,INDIRECT(A96&amp;ROW())=C96),1,0))</f>
        <v>0</v>
      </c>
      <c r="K439">
        <f ca="1">DAYS360(INDIRECT(C68&amp;ROW()),TODAY())</f>
        <v>742</v>
      </c>
      <c r="L439">
        <f ca="1">DAYS360(INDIRECT(C69&amp;ROW()),TODAY())</f>
        <v>742</v>
      </c>
      <c r="M439">
        <f ca="1">HYPERLINK(CONCATENATE("https://bugzilla.houston.hp.com:1181/bugzilla/show_bug.cgi?id=",INDIRECT(C70&amp;ROW())),INDIRECT(C70&amp;ROW()))</f>
        <v>60274</v>
      </c>
      <c r="N439">
        <v>60274</v>
      </c>
      <c r="O439" t="s">
        <v>36</v>
      </c>
      <c r="P439" t="s">
        <v>860</v>
      </c>
      <c r="Q439" t="s">
        <v>16</v>
      </c>
      <c r="R439" t="s">
        <v>248</v>
      </c>
      <c r="S439" t="s">
        <v>552</v>
      </c>
      <c r="U439" s="6">
        <v>42104.325960648152</v>
      </c>
      <c r="V439" t="s">
        <v>18</v>
      </c>
      <c r="W439" t="s">
        <v>764</v>
      </c>
      <c r="X439" s="6">
        <v>42104.325960648152</v>
      </c>
      <c r="Y439" t="s">
        <v>810</v>
      </c>
      <c r="AB439" t="s">
        <v>201</v>
      </c>
      <c r="AC439" t="s">
        <v>247</v>
      </c>
      <c r="AD439" t="s">
        <v>220</v>
      </c>
      <c r="AE439" t="s">
        <v>223</v>
      </c>
      <c r="AG439" t="s">
        <v>121</v>
      </c>
      <c r="AH439" t="s">
        <v>327</v>
      </c>
      <c r="AI439" t="s">
        <v>121</v>
      </c>
      <c r="AJ439" t="s">
        <v>717</v>
      </c>
      <c r="AK439" t="s">
        <v>121</v>
      </c>
    </row>
    <row r="440" spans="9:37" x14ac:dyDescent="0.3">
      <c r="I440">
        <f ca="1">IF(OR(INDIRECT(A73&amp;ROW())=B93,INDIRECT(A73&amp;ROW())=B94),1,IF(AND(INDIRECT(A73&amp;ROW())=B95,INDIRECT(A96&amp;ROW())=C93),1,IF(AND(INDIRECT(A73&amp;ROW())=B95,INDIRECT(A96&amp;ROW())=C94),1,0)))</f>
        <v>1</v>
      </c>
      <c r="J440">
        <f ca="1">IF(AND(INDIRECT(A73&amp;ROW())=B95,INDIRECT(A96&amp;ROW())=C95),1,IF(AND(INDIRECT(A73&amp;ROW())=B95,INDIRECT(A96&amp;ROW())=C96),1,0))</f>
        <v>0</v>
      </c>
      <c r="K440">
        <f ca="1">DAYS360(INDIRECT(C68&amp;ROW()),TODAY())</f>
        <v>690</v>
      </c>
      <c r="L440">
        <f ca="1">DAYS360(INDIRECT(C69&amp;ROW()),TODAY())</f>
        <v>742</v>
      </c>
      <c r="M440">
        <f ca="1">HYPERLINK(CONCATENATE("https://bugzilla.houston.hp.com:1181/bugzilla/show_bug.cgi?id=",INDIRECT(C70&amp;ROW())),INDIRECT(C70&amp;ROW()))</f>
        <v>60285</v>
      </c>
      <c r="N440">
        <v>60285</v>
      </c>
      <c r="O440" t="s">
        <v>320</v>
      </c>
      <c r="P440" t="s">
        <v>916</v>
      </c>
      <c r="Q440" t="s">
        <v>39</v>
      </c>
      <c r="R440" t="s">
        <v>251</v>
      </c>
      <c r="S440" t="s">
        <v>52</v>
      </c>
      <c r="U440" s="6">
        <v>42157.342418981483</v>
      </c>
      <c r="V440" t="s">
        <v>18</v>
      </c>
      <c r="W440" t="s">
        <v>783</v>
      </c>
      <c r="X440" s="6">
        <v>42104.574594907404</v>
      </c>
      <c r="Y440" t="s">
        <v>255</v>
      </c>
      <c r="AB440" t="s">
        <v>200</v>
      </c>
      <c r="AC440" t="s">
        <v>247</v>
      </c>
      <c r="AD440" t="s">
        <v>227</v>
      </c>
      <c r="AE440" t="s">
        <v>226</v>
      </c>
      <c r="AG440" t="s">
        <v>121</v>
      </c>
      <c r="AH440" t="s">
        <v>327</v>
      </c>
      <c r="AI440" t="s">
        <v>121</v>
      </c>
      <c r="AJ440" t="s">
        <v>715</v>
      </c>
      <c r="AK440" t="s">
        <v>121</v>
      </c>
    </row>
    <row r="441" spans="9:37" x14ac:dyDescent="0.3">
      <c r="I441">
        <f ca="1">IF(OR(INDIRECT(A73&amp;ROW())=B93,INDIRECT(A73&amp;ROW())=B94),1,IF(AND(INDIRECT(A73&amp;ROW())=B95,INDIRECT(A96&amp;ROW())=C93),1,IF(AND(INDIRECT(A73&amp;ROW())=B95,INDIRECT(A96&amp;ROW())=C94),1,0)))</f>
        <v>1</v>
      </c>
      <c r="J441">
        <f ca="1">IF(AND(INDIRECT(A73&amp;ROW())=B95,INDIRECT(A96&amp;ROW())=C95),1,IF(AND(INDIRECT(A73&amp;ROW())=B95,INDIRECT(A96&amp;ROW())=C96),1,0))</f>
        <v>0</v>
      </c>
      <c r="K441">
        <f ca="1">DAYS360(INDIRECT(C68&amp;ROW()),TODAY())</f>
        <v>718</v>
      </c>
      <c r="L441">
        <f ca="1">DAYS360(INDIRECT(C69&amp;ROW()),TODAY())</f>
        <v>742</v>
      </c>
      <c r="M441">
        <f ca="1">HYPERLINK(CONCATENATE("https://bugzilla.houston.hp.com:1181/bugzilla/show_bug.cgi?id=",INDIRECT(C70&amp;ROW())),INDIRECT(C70&amp;ROW()))</f>
        <v>60287</v>
      </c>
      <c r="N441">
        <v>60287</v>
      </c>
      <c r="O441" t="s">
        <v>45</v>
      </c>
      <c r="P441" t="s">
        <v>915</v>
      </c>
      <c r="Q441" t="s">
        <v>39</v>
      </c>
      <c r="R441" t="s">
        <v>579</v>
      </c>
      <c r="S441" t="s">
        <v>552</v>
      </c>
      <c r="T441" t="s">
        <v>920</v>
      </c>
      <c r="U441" s="6">
        <v>42128.230034722219</v>
      </c>
      <c r="V441" t="s">
        <v>18</v>
      </c>
      <c r="W441" t="s">
        <v>783</v>
      </c>
      <c r="X441" s="6">
        <v>42104.609548611108</v>
      </c>
      <c r="Y441" t="s">
        <v>255</v>
      </c>
      <c r="AB441" t="s">
        <v>200</v>
      </c>
      <c r="AC441" t="s">
        <v>247</v>
      </c>
      <c r="AD441" t="s">
        <v>227</v>
      </c>
      <c r="AE441" t="s">
        <v>226</v>
      </c>
      <c r="AG441" t="s">
        <v>121</v>
      </c>
      <c r="AH441" t="s">
        <v>327</v>
      </c>
      <c r="AI441" t="s">
        <v>362</v>
      </c>
      <c r="AJ441" t="s">
        <v>715</v>
      </c>
      <c r="AK441" t="s">
        <v>121</v>
      </c>
    </row>
    <row r="442" spans="9:37" x14ac:dyDescent="0.3">
      <c r="I442">
        <f ca="1">IF(OR(INDIRECT(A73&amp;ROW())=B93,INDIRECT(A73&amp;ROW())=B94),1,IF(AND(INDIRECT(A73&amp;ROW())=B95,INDIRECT(A96&amp;ROW())=C93),1,IF(AND(INDIRECT(A73&amp;ROW())=B95,INDIRECT(A96&amp;ROW())=C94),1,0)))</f>
        <v>0</v>
      </c>
      <c r="J442">
        <f ca="1">IF(AND(INDIRECT(A73&amp;ROW())=B95,INDIRECT(A96&amp;ROW())=C95),1,IF(AND(INDIRECT(A73&amp;ROW())=B95,INDIRECT(A96&amp;ROW())=C96),1,0))</f>
        <v>1</v>
      </c>
      <c r="K442">
        <f ca="1">DAYS360(INDIRECT(C68&amp;ROW()),TODAY())</f>
        <v>683</v>
      </c>
      <c r="L442">
        <f ca="1">DAYS360(INDIRECT(C69&amp;ROW()),TODAY())</f>
        <v>739</v>
      </c>
      <c r="M442">
        <f ca="1">HYPERLINK(CONCATENATE("https://bugzilla.houston.hp.com:1181/bugzilla/show_bug.cgi?id=",INDIRECT(C70&amp;ROW())),INDIRECT(C70&amp;ROW()))</f>
        <v>60382</v>
      </c>
      <c r="N442">
        <v>60382</v>
      </c>
      <c r="O442" t="s">
        <v>68</v>
      </c>
      <c r="P442" t="s">
        <v>893</v>
      </c>
      <c r="Q442" t="s">
        <v>25</v>
      </c>
      <c r="R442" t="s">
        <v>251</v>
      </c>
      <c r="S442" t="s">
        <v>52</v>
      </c>
      <c r="U442" s="6">
        <v>42164.620312500003</v>
      </c>
      <c r="V442" t="s">
        <v>40</v>
      </c>
      <c r="W442" t="s">
        <v>764</v>
      </c>
      <c r="X442" s="6">
        <v>42107.538043981483</v>
      </c>
      <c r="Y442" t="s">
        <v>255</v>
      </c>
      <c r="AB442" t="s">
        <v>201</v>
      </c>
      <c r="AC442" t="s">
        <v>247</v>
      </c>
      <c r="AD442" t="s">
        <v>220</v>
      </c>
      <c r="AE442" t="s">
        <v>229</v>
      </c>
      <c r="AG442" t="s">
        <v>121</v>
      </c>
      <c r="AH442" t="s">
        <v>327</v>
      </c>
      <c r="AI442" t="s">
        <v>121</v>
      </c>
      <c r="AJ442" t="s">
        <v>716</v>
      </c>
      <c r="AK442" t="s">
        <v>121</v>
      </c>
    </row>
    <row r="443" spans="9:37" x14ac:dyDescent="0.3">
      <c r="I443">
        <f ca="1">IF(OR(INDIRECT(A73&amp;ROW())=B93,INDIRECT(A73&amp;ROW())=B94),1,IF(AND(INDIRECT(A73&amp;ROW())=B95,INDIRECT(A96&amp;ROW())=C93),1,IF(AND(INDIRECT(A73&amp;ROW())=B95,INDIRECT(A96&amp;ROW())=C94),1,0)))</f>
        <v>0</v>
      </c>
      <c r="J443">
        <f ca="1">IF(AND(INDIRECT(A73&amp;ROW())=B95,INDIRECT(A96&amp;ROW())=C95),1,IF(AND(INDIRECT(A73&amp;ROW())=B95,INDIRECT(A96&amp;ROW())=C96),1,0))</f>
        <v>1</v>
      </c>
      <c r="K443">
        <f ca="1">DAYS360(INDIRECT(C68&amp;ROW()),TODAY())</f>
        <v>724</v>
      </c>
      <c r="L443">
        <f ca="1">DAYS360(INDIRECT(C69&amp;ROW()),TODAY())</f>
        <v>739</v>
      </c>
      <c r="M443">
        <f ca="1">HYPERLINK(CONCATENATE("https://bugzilla.houston.hp.com:1181/bugzilla/show_bug.cgi?id=",INDIRECT(C70&amp;ROW())),INDIRECT(C70&amp;ROW()))</f>
        <v>60392</v>
      </c>
      <c r="N443">
        <v>60392</v>
      </c>
      <c r="O443" t="s">
        <v>68</v>
      </c>
      <c r="P443" t="s">
        <v>892</v>
      </c>
      <c r="Q443" t="s">
        <v>25</v>
      </c>
      <c r="R443" t="s">
        <v>579</v>
      </c>
      <c r="S443" t="s">
        <v>552</v>
      </c>
      <c r="T443" t="s">
        <v>889</v>
      </c>
      <c r="U443" s="6">
        <v>42122.591226851851</v>
      </c>
      <c r="V443" t="s">
        <v>40</v>
      </c>
      <c r="W443" t="s">
        <v>764</v>
      </c>
      <c r="X443" s="6">
        <v>42107.680706018517</v>
      </c>
      <c r="Y443" t="s">
        <v>255</v>
      </c>
      <c r="AB443" t="s">
        <v>201</v>
      </c>
      <c r="AC443" t="s">
        <v>247</v>
      </c>
      <c r="AD443" t="s">
        <v>220</v>
      </c>
      <c r="AE443" t="s">
        <v>229</v>
      </c>
      <c r="AG443" t="s">
        <v>121</v>
      </c>
      <c r="AH443" t="s">
        <v>327</v>
      </c>
      <c r="AI443" t="s">
        <v>362</v>
      </c>
      <c r="AJ443" t="s">
        <v>716</v>
      </c>
      <c r="AK443" t="s">
        <v>121</v>
      </c>
    </row>
    <row r="444" spans="9:37" x14ac:dyDescent="0.3">
      <c r="I444">
        <f ca="1">IF(OR(INDIRECT(A73&amp;ROW())=B93,INDIRECT(A73&amp;ROW())=B94),1,IF(AND(INDIRECT(A73&amp;ROW())=B95,INDIRECT(A96&amp;ROW())=C93),1,IF(AND(INDIRECT(A73&amp;ROW())=B95,INDIRECT(A96&amp;ROW())=C94),1,0)))</f>
        <v>0</v>
      </c>
      <c r="J444">
        <f ca="1">IF(AND(INDIRECT(A73&amp;ROW())=B95,INDIRECT(A96&amp;ROW())=C95),1,IF(AND(INDIRECT(A73&amp;ROW())=B95,INDIRECT(A96&amp;ROW())=C96),1,0))</f>
        <v>0</v>
      </c>
      <c r="K444">
        <f ca="1">DAYS360(INDIRECT(C68&amp;ROW()),TODAY())</f>
        <v>722</v>
      </c>
      <c r="L444">
        <f ca="1">DAYS360(INDIRECT(C69&amp;ROW()),TODAY())</f>
        <v>738</v>
      </c>
      <c r="M444">
        <f ca="1">HYPERLINK(CONCATENATE("https://bugzilla.houston.hp.com:1181/bugzilla/show_bug.cgi?id=",INDIRECT(C70&amp;ROW())),INDIRECT(C70&amp;ROW()))</f>
        <v>60424</v>
      </c>
      <c r="N444">
        <v>60424</v>
      </c>
      <c r="O444" t="s">
        <v>59</v>
      </c>
      <c r="P444" t="s">
        <v>871</v>
      </c>
      <c r="Q444" t="s">
        <v>16</v>
      </c>
      <c r="R444" t="s">
        <v>251</v>
      </c>
      <c r="S444" t="s">
        <v>870</v>
      </c>
      <c r="T444" t="s">
        <v>865</v>
      </c>
      <c r="U444" s="6">
        <v>42124.724745370368</v>
      </c>
      <c r="V444" t="s">
        <v>40</v>
      </c>
      <c r="W444" t="s">
        <v>764</v>
      </c>
      <c r="X444" s="6">
        <v>42108.167349537034</v>
      </c>
      <c r="Y444" t="s">
        <v>810</v>
      </c>
      <c r="AB444" t="s">
        <v>200</v>
      </c>
      <c r="AC444" t="s">
        <v>247</v>
      </c>
      <c r="AD444" t="s">
        <v>220</v>
      </c>
      <c r="AE444" t="s">
        <v>223</v>
      </c>
      <c r="AG444" t="s">
        <v>121</v>
      </c>
      <c r="AH444" t="s">
        <v>327</v>
      </c>
      <c r="AI444" t="s">
        <v>121</v>
      </c>
      <c r="AJ444" t="s">
        <v>716</v>
      </c>
      <c r="AK444" t="s">
        <v>121</v>
      </c>
    </row>
    <row r="445" spans="9:37" x14ac:dyDescent="0.3">
      <c r="I445">
        <f ca="1">IF(OR(INDIRECT(A73&amp;ROW())=B93,INDIRECT(A73&amp;ROW())=B94),1,IF(AND(INDIRECT(A73&amp;ROW())=B95,INDIRECT(A96&amp;ROW())=C93),1,IF(AND(INDIRECT(A73&amp;ROW())=B95,INDIRECT(A96&amp;ROW())=C94),1,0)))</f>
        <v>0</v>
      </c>
      <c r="J445">
        <f ca="1">IF(AND(INDIRECT(A73&amp;ROW())=B95,INDIRECT(A96&amp;ROW())=C95),1,IF(AND(INDIRECT(A73&amp;ROW())=B95,INDIRECT(A96&amp;ROW())=C96),1,0))</f>
        <v>0</v>
      </c>
      <c r="K445">
        <f ca="1">DAYS360(INDIRECT(C68&amp;ROW()),TODAY())</f>
        <v>717</v>
      </c>
      <c r="L445">
        <f ca="1">DAYS360(INDIRECT(C69&amp;ROW()),TODAY())</f>
        <v>738</v>
      </c>
      <c r="M445">
        <f ca="1">HYPERLINK(CONCATENATE("https://bugzilla.houston.hp.com:1181/bugzilla/show_bug.cgi?id=",INDIRECT(C70&amp;ROW())),INDIRECT(C70&amp;ROW()))</f>
        <v>60438</v>
      </c>
      <c r="N445">
        <v>60438</v>
      </c>
      <c r="O445" t="s">
        <v>59</v>
      </c>
      <c r="P445" t="s">
        <v>869</v>
      </c>
      <c r="Q445" t="s">
        <v>16</v>
      </c>
      <c r="R445" t="s">
        <v>579</v>
      </c>
      <c r="S445" t="s">
        <v>552</v>
      </c>
      <c r="U445" s="6">
        <v>42129.472060185188</v>
      </c>
      <c r="V445" t="s">
        <v>40</v>
      </c>
      <c r="W445" t="s">
        <v>764</v>
      </c>
      <c r="X445" s="6">
        <v>42108.32603009259</v>
      </c>
      <c r="Y445" t="s">
        <v>810</v>
      </c>
      <c r="AB445" t="s">
        <v>200</v>
      </c>
      <c r="AC445" t="s">
        <v>247</v>
      </c>
      <c r="AD445" t="s">
        <v>220</v>
      </c>
      <c r="AE445" t="s">
        <v>223</v>
      </c>
      <c r="AG445" t="s">
        <v>121</v>
      </c>
      <c r="AH445" t="s">
        <v>327</v>
      </c>
      <c r="AI445" t="s">
        <v>121</v>
      </c>
      <c r="AJ445" t="s">
        <v>716</v>
      </c>
      <c r="AK445" t="s">
        <v>121</v>
      </c>
    </row>
    <row r="446" spans="9:37" x14ac:dyDescent="0.3">
      <c r="I446">
        <f ca="1">IF(OR(INDIRECT(A73&amp;ROW())=B93,INDIRECT(A73&amp;ROW())=B94),1,IF(AND(INDIRECT(A73&amp;ROW())=B95,INDIRECT(A96&amp;ROW())=C93),1,IF(AND(INDIRECT(A73&amp;ROW())=B95,INDIRECT(A96&amp;ROW())=C94),1,0)))</f>
        <v>0</v>
      </c>
      <c r="J446">
        <f ca="1">IF(AND(INDIRECT(A73&amp;ROW())=B95,INDIRECT(A96&amp;ROW())=C95),1,IF(AND(INDIRECT(A73&amp;ROW())=B95,INDIRECT(A96&amp;ROW())=C96),1,0))</f>
        <v>0</v>
      </c>
      <c r="K446">
        <f ca="1">DAYS360(INDIRECT(C68&amp;ROW()),TODAY())</f>
        <v>717</v>
      </c>
      <c r="L446">
        <f ca="1">DAYS360(INDIRECT(C69&amp;ROW()),TODAY())</f>
        <v>738</v>
      </c>
      <c r="M446">
        <f ca="1">HYPERLINK(CONCATENATE("https://bugzilla.houston.hp.com:1181/bugzilla/show_bug.cgi?id=",INDIRECT(C70&amp;ROW())),INDIRECT(C70&amp;ROW()))</f>
        <v>60439</v>
      </c>
      <c r="N446">
        <v>60439</v>
      </c>
      <c r="O446" t="s">
        <v>59</v>
      </c>
      <c r="P446" t="s">
        <v>868</v>
      </c>
      <c r="Q446" t="s">
        <v>16</v>
      </c>
      <c r="R446" t="s">
        <v>248</v>
      </c>
      <c r="S446" t="s">
        <v>552</v>
      </c>
      <c r="U446" s="6">
        <v>42129.472037037034</v>
      </c>
      <c r="V446" t="s">
        <v>40</v>
      </c>
      <c r="W446" t="s">
        <v>764</v>
      </c>
      <c r="X446" s="6">
        <v>42108.326099537036</v>
      </c>
      <c r="Y446" t="s">
        <v>810</v>
      </c>
      <c r="AB446" t="s">
        <v>200</v>
      </c>
      <c r="AC446" t="s">
        <v>247</v>
      </c>
      <c r="AD446" t="s">
        <v>220</v>
      </c>
      <c r="AE446" t="s">
        <v>223</v>
      </c>
      <c r="AG446" t="s">
        <v>121</v>
      </c>
      <c r="AH446" t="s">
        <v>327</v>
      </c>
      <c r="AI446" t="s">
        <v>121</v>
      </c>
      <c r="AJ446" t="s">
        <v>716</v>
      </c>
      <c r="AK446" t="s">
        <v>121</v>
      </c>
    </row>
    <row r="447" spans="9:37" x14ac:dyDescent="0.3">
      <c r="I447">
        <f ca="1">IF(OR(INDIRECT(A73&amp;ROW())=B93,INDIRECT(A73&amp;ROW())=B94),1,IF(AND(INDIRECT(A73&amp;ROW())=B95,INDIRECT(A96&amp;ROW())=C93),1,IF(AND(INDIRECT(A73&amp;ROW())=B95,INDIRECT(A96&amp;ROW())=C94),1,0)))</f>
        <v>0</v>
      </c>
      <c r="J447">
        <f ca="1">IF(AND(INDIRECT(A73&amp;ROW())=B95,INDIRECT(A96&amp;ROW())=C95),1,IF(AND(INDIRECT(A73&amp;ROW())=B95,INDIRECT(A96&amp;ROW())=C96),1,0))</f>
        <v>1</v>
      </c>
      <c r="K447">
        <f ca="1">DAYS360(INDIRECT(C68&amp;ROW()),TODAY())</f>
        <v>696</v>
      </c>
      <c r="L447">
        <f ca="1">DAYS360(INDIRECT(C69&amp;ROW()),TODAY())</f>
        <v>738</v>
      </c>
      <c r="M447">
        <f ca="1">HYPERLINK(CONCATENATE("https://bugzilla.houston.hp.com:1181/bugzilla/show_bug.cgi?id=",INDIRECT(C70&amp;ROW())),INDIRECT(C70&amp;ROW()))</f>
        <v>60453</v>
      </c>
      <c r="N447">
        <v>60453</v>
      </c>
      <c r="O447" t="s">
        <v>45</v>
      </c>
      <c r="P447" t="s">
        <v>928</v>
      </c>
      <c r="Q447" t="s">
        <v>25</v>
      </c>
      <c r="R447" t="s">
        <v>251</v>
      </c>
      <c r="S447" t="s">
        <v>365</v>
      </c>
      <c r="T447" t="s">
        <v>48</v>
      </c>
      <c r="U447" s="6">
        <v>42150.966608796298</v>
      </c>
      <c r="V447" t="s">
        <v>35</v>
      </c>
      <c r="W447" t="s">
        <v>783</v>
      </c>
      <c r="X447" s="6">
        <v>42108.482164351852</v>
      </c>
      <c r="Y447" t="s">
        <v>246</v>
      </c>
      <c r="AB447" t="s">
        <v>201</v>
      </c>
      <c r="AC447" t="s">
        <v>247</v>
      </c>
      <c r="AD447" t="s">
        <v>227</v>
      </c>
      <c r="AE447" t="s">
        <v>226</v>
      </c>
      <c r="AG447" t="s">
        <v>121</v>
      </c>
      <c r="AH447" t="s">
        <v>327</v>
      </c>
      <c r="AI447" t="s">
        <v>121</v>
      </c>
      <c r="AJ447" t="s">
        <v>715</v>
      </c>
      <c r="AK447" t="s">
        <v>121</v>
      </c>
    </row>
    <row r="448" spans="9:37" x14ac:dyDescent="0.3">
      <c r="I448">
        <f ca="1">IF(OR(INDIRECT(A73&amp;ROW())=B93,INDIRECT(A73&amp;ROW())=B94),1,IF(AND(INDIRECT(A73&amp;ROW())=B95,INDIRECT(A96&amp;ROW())=C93),1,IF(AND(INDIRECT(A73&amp;ROW())=B95,INDIRECT(A96&amp;ROW())=C94),1,0)))</f>
        <v>0</v>
      </c>
      <c r="J448">
        <f ca="1">IF(AND(INDIRECT(A73&amp;ROW())=B95,INDIRECT(A96&amp;ROW())=C95),1,IF(AND(INDIRECT(A73&amp;ROW())=B95,INDIRECT(A96&amp;ROW())=C96),1,0))</f>
        <v>1</v>
      </c>
      <c r="K448">
        <f ca="1">DAYS360(INDIRECT(C68&amp;ROW()),TODAY())</f>
        <v>684</v>
      </c>
      <c r="L448">
        <f ca="1">DAYS360(INDIRECT(C69&amp;ROW()),TODAY())</f>
        <v>738</v>
      </c>
      <c r="M448">
        <f ca="1">HYPERLINK(CONCATENATE("https://bugzilla.houston.hp.com:1181/bugzilla/show_bug.cgi?id=",INDIRECT(C70&amp;ROW())),INDIRECT(C70&amp;ROW()))</f>
        <v>60454</v>
      </c>
      <c r="N448">
        <v>60454</v>
      </c>
      <c r="O448" t="s">
        <v>45</v>
      </c>
      <c r="P448" t="s">
        <v>891</v>
      </c>
      <c r="Q448" t="s">
        <v>25</v>
      </c>
      <c r="R448" t="s">
        <v>579</v>
      </c>
      <c r="S448" t="s">
        <v>552</v>
      </c>
      <c r="T448" t="s">
        <v>930</v>
      </c>
      <c r="U448" s="6">
        <v>42163.398865740739</v>
      </c>
      <c r="V448" t="s">
        <v>18</v>
      </c>
      <c r="W448" t="s">
        <v>783</v>
      </c>
      <c r="X448" s="6">
        <v>42108.498101851852</v>
      </c>
      <c r="Y448" t="s">
        <v>246</v>
      </c>
      <c r="AB448" t="s">
        <v>201</v>
      </c>
      <c r="AC448" t="s">
        <v>247</v>
      </c>
      <c r="AD448" t="s">
        <v>227</v>
      </c>
      <c r="AE448" t="s">
        <v>226</v>
      </c>
      <c r="AG448" t="s">
        <v>121</v>
      </c>
      <c r="AH448" t="s">
        <v>327</v>
      </c>
      <c r="AI448" t="s">
        <v>121</v>
      </c>
      <c r="AJ448" t="s">
        <v>716</v>
      </c>
      <c r="AK448" t="s">
        <v>121</v>
      </c>
    </row>
    <row r="449" spans="9:37" x14ac:dyDescent="0.3">
      <c r="I449">
        <f ca="1">IF(OR(INDIRECT(A73&amp;ROW())=B93,INDIRECT(A73&amp;ROW())=B94),1,IF(AND(INDIRECT(A73&amp;ROW())=B95,INDIRECT(A96&amp;ROW())=C93),1,IF(AND(INDIRECT(A73&amp;ROW())=B95,INDIRECT(A96&amp;ROW())=C94),1,0)))</f>
        <v>0</v>
      </c>
      <c r="J449">
        <f ca="1">IF(AND(INDIRECT(A73&amp;ROW())=B95,INDIRECT(A96&amp;ROW())=C95),1,IF(AND(INDIRECT(A73&amp;ROW())=B95,INDIRECT(A96&amp;ROW())=C96),1,0))</f>
        <v>1</v>
      </c>
      <c r="K449">
        <f ca="1">DAYS360(INDIRECT(C68&amp;ROW()),TODAY())</f>
        <v>673</v>
      </c>
      <c r="L449">
        <f ca="1">DAYS360(INDIRECT(C69&amp;ROW()),TODAY())</f>
        <v>738</v>
      </c>
      <c r="M449">
        <f ca="1">HYPERLINK(CONCATENATE("https://bugzilla.houston.hp.com:1181/bugzilla/show_bug.cgi?id=",INDIRECT(C70&amp;ROW())),INDIRECT(C70&amp;ROW()))</f>
        <v>60459</v>
      </c>
      <c r="N449">
        <v>60459</v>
      </c>
      <c r="O449" t="s">
        <v>21</v>
      </c>
      <c r="P449" t="s">
        <v>914</v>
      </c>
      <c r="Q449" t="s">
        <v>25</v>
      </c>
      <c r="R449" t="s">
        <v>579</v>
      </c>
      <c r="S449" t="s">
        <v>552</v>
      </c>
      <c r="T449" t="s">
        <v>921</v>
      </c>
      <c r="U449" s="6">
        <v>42174.717291666668</v>
      </c>
      <c r="V449" t="s">
        <v>18</v>
      </c>
      <c r="W449" t="s">
        <v>783</v>
      </c>
      <c r="X449" s="6">
        <v>42108.516365740739</v>
      </c>
      <c r="Y449" t="s">
        <v>846</v>
      </c>
      <c r="AB449" t="s">
        <v>201</v>
      </c>
      <c r="AC449" t="s">
        <v>247</v>
      </c>
      <c r="AD449" t="s">
        <v>222</v>
      </c>
      <c r="AE449" t="s">
        <v>221</v>
      </c>
      <c r="AG449" t="s">
        <v>121</v>
      </c>
      <c r="AH449" t="s">
        <v>327</v>
      </c>
      <c r="AI449" t="s">
        <v>121</v>
      </c>
      <c r="AJ449" t="s">
        <v>716</v>
      </c>
      <c r="AK449" t="s">
        <v>121</v>
      </c>
    </row>
    <row r="450" spans="9:37" x14ac:dyDescent="0.3">
      <c r="I450">
        <f ca="1">IF(OR(INDIRECT(A73&amp;ROW())=B93,INDIRECT(A73&amp;ROW())=B94),1,IF(AND(INDIRECT(A73&amp;ROW())=B95,INDIRECT(A96&amp;ROW())=C93),1,IF(AND(INDIRECT(A73&amp;ROW())=B95,INDIRECT(A96&amp;ROW())=C94),1,0)))</f>
        <v>0</v>
      </c>
      <c r="J450">
        <f ca="1">IF(AND(INDIRECT(A73&amp;ROW())=B95,INDIRECT(A96&amp;ROW())=C95),1,IF(AND(INDIRECT(A73&amp;ROW())=B95,INDIRECT(A96&amp;ROW())=C96),1,0))</f>
        <v>1</v>
      </c>
      <c r="K450">
        <f ca="1">DAYS360(INDIRECT(C68&amp;ROW()),TODAY())</f>
        <v>736</v>
      </c>
      <c r="L450">
        <f ca="1">DAYS360(INDIRECT(C69&amp;ROW()),TODAY())</f>
        <v>737</v>
      </c>
      <c r="M450">
        <f ca="1">HYPERLINK(CONCATENATE("https://bugzilla.houston.hp.com:1181/bugzilla/show_bug.cgi?id=",INDIRECT(C70&amp;ROW())),INDIRECT(C70&amp;ROW()))</f>
        <v>60556</v>
      </c>
      <c r="N450">
        <v>60556</v>
      </c>
      <c r="O450" t="s">
        <v>22</v>
      </c>
      <c r="P450" t="s">
        <v>913</v>
      </c>
      <c r="Q450" t="s">
        <v>25</v>
      </c>
      <c r="R450" t="s">
        <v>251</v>
      </c>
      <c r="S450" t="s">
        <v>253</v>
      </c>
      <c r="U450" s="6">
        <v>42110.727951388886</v>
      </c>
      <c r="V450" t="s">
        <v>18</v>
      </c>
      <c r="W450" t="s">
        <v>764</v>
      </c>
      <c r="X450" s="6">
        <v>42109.729837962965</v>
      </c>
      <c r="Y450" t="s">
        <v>246</v>
      </c>
      <c r="AB450" t="s">
        <v>201</v>
      </c>
      <c r="AC450" t="s">
        <v>247</v>
      </c>
      <c r="AD450" t="s">
        <v>222</v>
      </c>
      <c r="AE450" t="s">
        <v>232</v>
      </c>
      <c r="AG450" t="s">
        <v>121</v>
      </c>
      <c r="AH450" t="s">
        <v>327</v>
      </c>
      <c r="AI450" t="s">
        <v>121</v>
      </c>
      <c r="AJ450" t="s">
        <v>716</v>
      </c>
      <c r="AK450" t="s">
        <v>121</v>
      </c>
    </row>
    <row r="451" spans="9:37" x14ac:dyDescent="0.3">
      <c r="I451">
        <f ca="1">IF(OR(INDIRECT(A73&amp;ROW())=B93,INDIRECT(A73&amp;ROW())=B94),1,IF(AND(INDIRECT(A73&amp;ROW())=B95,INDIRECT(A96&amp;ROW())=C93),1,IF(AND(INDIRECT(A73&amp;ROW())=B95,INDIRECT(A96&amp;ROW())=C94),1,0)))</f>
        <v>1</v>
      </c>
      <c r="J451">
        <f ca="1">IF(AND(INDIRECT(A73&amp;ROW())=B95,INDIRECT(A96&amp;ROW())=C95),1,IF(AND(INDIRECT(A73&amp;ROW())=B95,INDIRECT(A96&amp;ROW())=C96),1,0))</f>
        <v>0</v>
      </c>
      <c r="K451">
        <f ca="1">DAYS360(INDIRECT(C68&amp;ROW()),TODAY())</f>
        <v>666</v>
      </c>
      <c r="L451">
        <f ca="1">DAYS360(INDIRECT(C69&amp;ROW()),TODAY())</f>
        <v>737</v>
      </c>
      <c r="M451">
        <f ca="1">HYPERLINK(CONCATENATE("https://bugzilla.houston.hp.com:1181/bugzilla/show_bug.cgi?id=",INDIRECT(C70&amp;ROW())),INDIRECT(C70&amp;ROW()))</f>
        <v>60557</v>
      </c>
      <c r="N451">
        <v>60557</v>
      </c>
      <c r="O451" t="s">
        <v>164</v>
      </c>
      <c r="P451" t="s">
        <v>912</v>
      </c>
      <c r="Q451" t="s">
        <v>25</v>
      </c>
      <c r="R451" t="s">
        <v>783</v>
      </c>
      <c r="S451" t="s">
        <v>552</v>
      </c>
      <c r="T451" t="s">
        <v>1207</v>
      </c>
      <c r="U451" s="6">
        <v>42181.304178240738</v>
      </c>
      <c r="V451" t="s">
        <v>35</v>
      </c>
      <c r="W451" t="s">
        <v>57</v>
      </c>
      <c r="X451" s="6">
        <v>42109.740752314814</v>
      </c>
      <c r="Y451" t="s">
        <v>125</v>
      </c>
      <c r="AB451" t="s">
        <v>200</v>
      </c>
      <c r="AC451" t="s">
        <v>216</v>
      </c>
      <c r="AD451" t="s">
        <v>220</v>
      </c>
      <c r="AE451" t="s">
        <v>219</v>
      </c>
      <c r="AG451" t="s">
        <v>337</v>
      </c>
      <c r="AH451" t="s">
        <v>328</v>
      </c>
      <c r="AI451" t="s">
        <v>121</v>
      </c>
      <c r="AJ451" t="s">
        <v>715</v>
      </c>
      <c r="AK451" t="s">
        <v>1277</v>
      </c>
    </row>
    <row r="452" spans="9:37" x14ac:dyDescent="0.3">
      <c r="I452">
        <f ca="1">IF(OR(INDIRECT(A73&amp;ROW())=B93,INDIRECT(A73&amp;ROW())=B94),1,IF(AND(INDIRECT(A73&amp;ROW())=B95,INDIRECT(A96&amp;ROW())=C93),1,IF(AND(INDIRECT(A73&amp;ROW())=B95,INDIRECT(A96&amp;ROW())=C94),1,0)))</f>
        <v>0</v>
      </c>
      <c r="J452">
        <f ca="1">IF(AND(INDIRECT(A73&amp;ROW())=B95,INDIRECT(A96&amp;ROW())=C95),1,IF(AND(INDIRECT(A73&amp;ROW())=B95,INDIRECT(A96&amp;ROW())=C96),1,0))</f>
        <v>0</v>
      </c>
      <c r="K452">
        <f ca="1">DAYS360(INDIRECT(C68&amp;ROW()),TODAY())</f>
        <v>670</v>
      </c>
      <c r="L452">
        <f ca="1">DAYS360(INDIRECT(C69&amp;ROW()),TODAY())</f>
        <v>737</v>
      </c>
      <c r="M452">
        <f ca="1">HYPERLINK(CONCATENATE("https://bugzilla.houston.hp.com:1181/bugzilla/show_bug.cgi?id=",INDIRECT(C70&amp;ROW())),INDIRECT(C70&amp;ROW()))</f>
        <v>60559</v>
      </c>
      <c r="N452">
        <v>60559</v>
      </c>
      <c r="O452" t="s">
        <v>45</v>
      </c>
      <c r="P452" t="s">
        <v>911</v>
      </c>
      <c r="Q452" t="s">
        <v>16</v>
      </c>
      <c r="R452" t="s">
        <v>783</v>
      </c>
      <c r="S452" t="s">
        <v>552</v>
      </c>
      <c r="U452" s="6">
        <v>42177.54478009259</v>
      </c>
      <c r="V452" t="s">
        <v>18</v>
      </c>
      <c r="W452" t="s">
        <v>17</v>
      </c>
      <c r="X452" s="6">
        <v>42109.744675925926</v>
      </c>
      <c r="Y452" t="s">
        <v>122</v>
      </c>
      <c r="AB452" t="s">
        <v>201</v>
      </c>
      <c r="AC452" t="s">
        <v>247</v>
      </c>
      <c r="AD452" t="s">
        <v>227</v>
      </c>
      <c r="AE452" t="s">
        <v>226</v>
      </c>
      <c r="AG452" t="s">
        <v>121</v>
      </c>
      <c r="AH452" t="s">
        <v>327</v>
      </c>
      <c r="AI452" t="s">
        <v>121</v>
      </c>
      <c r="AJ452" t="s">
        <v>717</v>
      </c>
      <c r="AK452" t="s">
        <v>121</v>
      </c>
    </row>
    <row r="453" spans="9:37" x14ac:dyDescent="0.3">
      <c r="I453">
        <f ca="1">IF(OR(INDIRECT(A73&amp;ROW())=B93,INDIRECT(A73&amp;ROW())=B94),1,IF(AND(INDIRECT(A73&amp;ROW())=B95,INDIRECT(A96&amp;ROW())=C93),1,IF(AND(INDIRECT(A73&amp;ROW())=B95,INDIRECT(A96&amp;ROW())=C94),1,0)))</f>
        <v>1</v>
      </c>
      <c r="J453">
        <f ca="1">IF(AND(INDIRECT(A73&amp;ROW())=B95,INDIRECT(A96&amp;ROW())=C95),1,IF(AND(INDIRECT(A73&amp;ROW())=B95,INDIRECT(A96&amp;ROW())=C96),1,0))</f>
        <v>0</v>
      </c>
      <c r="K453">
        <f ca="1">DAYS360(INDIRECT(C68&amp;ROW()),TODAY())</f>
        <v>695</v>
      </c>
      <c r="L453">
        <f ca="1">DAYS360(INDIRECT(C69&amp;ROW()),TODAY())</f>
        <v>737</v>
      </c>
      <c r="M453">
        <f ca="1">HYPERLINK(CONCATENATE("https://bugzilla.houston.hp.com:1181/bugzilla/show_bug.cgi?id=",INDIRECT(C70&amp;ROW())),INDIRECT(C70&amp;ROW()))</f>
        <v>60560</v>
      </c>
      <c r="N453">
        <v>60560</v>
      </c>
      <c r="O453" t="s">
        <v>241</v>
      </c>
      <c r="P453" t="s">
        <v>910</v>
      </c>
      <c r="Q453" t="s">
        <v>25</v>
      </c>
      <c r="R453" t="s">
        <v>783</v>
      </c>
      <c r="S453" t="s">
        <v>552</v>
      </c>
      <c r="U453" s="6">
        <v>42151.347118055557</v>
      </c>
      <c r="V453" t="s">
        <v>18</v>
      </c>
      <c r="W453" t="s">
        <v>764</v>
      </c>
      <c r="X453" s="6">
        <v>42109.74486111111</v>
      </c>
      <c r="Y453" t="s">
        <v>122</v>
      </c>
      <c r="AB453" t="s">
        <v>200</v>
      </c>
      <c r="AC453" t="s">
        <v>247</v>
      </c>
      <c r="AD453" t="s">
        <v>222</v>
      </c>
      <c r="AE453" t="s">
        <v>232</v>
      </c>
      <c r="AG453" t="s">
        <v>337</v>
      </c>
      <c r="AH453" t="s">
        <v>327</v>
      </c>
      <c r="AI453" t="s">
        <v>121</v>
      </c>
      <c r="AJ453" t="s">
        <v>715</v>
      </c>
      <c r="AK453" t="s">
        <v>121</v>
      </c>
    </row>
    <row r="454" spans="9:37" x14ac:dyDescent="0.3">
      <c r="I454">
        <f ca="1">IF(OR(INDIRECT(A73&amp;ROW())=B93,INDIRECT(A73&amp;ROW())=B94),1,IF(AND(INDIRECT(A73&amp;ROW())=B95,INDIRECT(A96&amp;ROW())=C93),1,IF(AND(INDIRECT(A73&amp;ROW())=B95,INDIRECT(A96&amp;ROW())=C94),1,0)))</f>
        <v>0</v>
      </c>
      <c r="J454">
        <f ca="1">IF(AND(INDIRECT(A73&amp;ROW())=B95,INDIRECT(A96&amp;ROW())=C95),1,IF(AND(INDIRECT(A73&amp;ROW())=B95,INDIRECT(A96&amp;ROW())=C96),1,0))</f>
        <v>1</v>
      </c>
      <c r="K454">
        <f ca="1">DAYS360(INDIRECT(C68&amp;ROW()),TODAY())</f>
        <v>690</v>
      </c>
      <c r="L454">
        <f ca="1">DAYS360(INDIRECT(C69&amp;ROW()),TODAY())</f>
        <v>737</v>
      </c>
      <c r="M454">
        <f ca="1">HYPERLINK(CONCATENATE("https://bugzilla.houston.hp.com:1181/bugzilla/show_bug.cgi?id=",INDIRECT(C70&amp;ROW())),INDIRECT(C70&amp;ROW()))</f>
        <v>60562</v>
      </c>
      <c r="N454">
        <v>60562</v>
      </c>
      <c r="O454" t="s">
        <v>45</v>
      </c>
      <c r="P454" t="s">
        <v>909</v>
      </c>
      <c r="Q454" t="s">
        <v>25</v>
      </c>
      <c r="R454" t="s">
        <v>783</v>
      </c>
      <c r="S454" t="s">
        <v>552</v>
      </c>
      <c r="T454" t="s">
        <v>798</v>
      </c>
      <c r="U454" s="6">
        <v>42157.103680555556</v>
      </c>
      <c r="V454" t="s">
        <v>18</v>
      </c>
      <c r="W454" t="s">
        <v>783</v>
      </c>
      <c r="X454" s="6">
        <v>42109.747708333336</v>
      </c>
      <c r="Y454" t="s">
        <v>119</v>
      </c>
      <c r="AB454" t="s">
        <v>201</v>
      </c>
      <c r="AC454" t="s">
        <v>247</v>
      </c>
      <c r="AD454" t="s">
        <v>227</v>
      </c>
      <c r="AE454" t="s">
        <v>370</v>
      </c>
      <c r="AG454" t="s">
        <v>121</v>
      </c>
      <c r="AH454" t="s">
        <v>327</v>
      </c>
      <c r="AI454" t="s">
        <v>121</v>
      </c>
      <c r="AJ454" t="s">
        <v>716</v>
      </c>
      <c r="AK454" t="s">
        <v>121</v>
      </c>
    </row>
    <row r="455" spans="9:37" x14ac:dyDescent="0.3">
      <c r="I455">
        <f ca="1">IF(OR(INDIRECT(A73&amp;ROW())=B93,INDIRECT(A73&amp;ROW())=B94),1,IF(AND(INDIRECT(A73&amp;ROW())=B95,INDIRECT(A96&amp;ROW())=C93),1,IF(AND(INDIRECT(A73&amp;ROW())=B95,INDIRECT(A96&amp;ROW())=C94),1,0)))</f>
        <v>1</v>
      </c>
      <c r="J455">
        <f ca="1">IF(AND(INDIRECT(A73&amp;ROW())=B95,INDIRECT(A96&amp;ROW())=C95),1,IF(AND(INDIRECT(A73&amp;ROW())=B95,INDIRECT(A96&amp;ROW())=C96),1,0))</f>
        <v>0</v>
      </c>
      <c r="K455">
        <f ca="1">DAYS360(INDIRECT(C68&amp;ROW()),TODAY())</f>
        <v>666</v>
      </c>
      <c r="L455">
        <f ca="1">DAYS360(INDIRECT(C69&amp;ROW()),TODAY())</f>
        <v>737</v>
      </c>
      <c r="M455">
        <f ca="1">HYPERLINK(CONCATENATE("https://bugzilla.houston.hp.com:1181/bugzilla/show_bug.cgi?id=",INDIRECT(C70&amp;ROW())),INDIRECT(C70&amp;ROW()))</f>
        <v>60563</v>
      </c>
      <c r="N455">
        <v>60563</v>
      </c>
      <c r="O455" t="s">
        <v>21</v>
      </c>
      <c r="P455" t="s">
        <v>908</v>
      </c>
      <c r="Q455" t="s">
        <v>39</v>
      </c>
      <c r="R455" t="s">
        <v>783</v>
      </c>
      <c r="S455" t="s">
        <v>552</v>
      </c>
      <c r="U455" s="6">
        <v>42181.377650462964</v>
      </c>
      <c r="V455" t="s">
        <v>18</v>
      </c>
      <c r="W455" t="s">
        <v>17</v>
      </c>
      <c r="X455" s="6">
        <v>42109.747881944444</v>
      </c>
      <c r="Y455" t="s">
        <v>122</v>
      </c>
      <c r="Z455" t="s">
        <v>255</v>
      </c>
      <c r="AB455" t="s">
        <v>201</v>
      </c>
      <c r="AC455" t="s">
        <v>247</v>
      </c>
      <c r="AD455" t="s">
        <v>222</v>
      </c>
      <c r="AE455" t="s">
        <v>221</v>
      </c>
      <c r="AG455" t="s">
        <v>337</v>
      </c>
      <c r="AH455" t="s">
        <v>327</v>
      </c>
      <c r="AI455" t="s">
        <v>121</v>
      </c>
      <c r="AJ455" t="s">
        <v>715</v>
      </c>
      <c r="AK455" t="s">
        <v>1277</v>
      </c>
    </row>
    <row r="456" spans="9:37" x14ac:dyDescent="0.3">
      <c r="I456">
        <f ca="1">IF(OR(INDIRECT(A73&amp;ROW())=B93,INDIRECT(A73&amp;ROW())=B94),1,IF(AND(INDIRECT(A73&amp;ROW())=B95,INDIRECT(A96&amp;ROW())=C93),1,IF(AND(INDIRECT(A73&amp;ROW())=B95,INDIRECT(A96&amp;ROW())=C94),1,0)))</f>
        <v>1</v>
      </c>
      <c r="J456">
        <f ca="1">IF(AND(INDIRECT(A73&amp;ROW())=B95,INDIRECT(A96&amp;ROW())=C95),1,IF(AND(INDIRECT(A73&amp;ROW())=B95,INDIRECT(A96&amp;ROW())=C96),1,0))</f>
        <v>0</v>
      </c>
      <c r="K456">
        <f ca="1">DAYS360(INDIRECT(C68&amp;ROW()),TODAY())</f>
        <v>668</v>
      </c>
      <c r="L456">
        <f ca="1">DAYS360(INDIRECT(C69&amp;ROW()),TODAY())</f>
        <v>737</v>
      </c>
      <c r="M456">
        <f ca="1">HYPERLINK(CONCATENATE("https://bugzilla.houston.hp.com:1181/bugzilla/show_bug.cgi?id=",INDIRECT(C70&amp;ROW())),INDIRECT(C70&amp;ROW()))</f>
        <v>60564</v>
      </c>
      <c r="N456">
        <v>60564</v>
      </c>
      <c r="O456" t="s">
        <v>22</v>
      </c>
      <c r="P456" t="s">
        <v>907</v>
      </c>
      <c r="Q456" t="s">
        <v>25</v>
      </c>
      <c r="R456" t="s">
        <v>783</v>
      </c>
      <c r="S456" t="s">
        <v>552</v>
      </c>
      <c r="T456" t="s">
        <v>809</v>
      </c>
      <c r="U456" s="6">
        <v>42179.473495370374</v>
      </c>
      <c r="V456" t="s">
        <v>18</v>
      </c>
      <c r="W456" t="s">
        <v>764</v>
      </c>
      <c r="X456" s="6">
        <v>42109.74800925926</v>
      </c>
      <c r="Y456" t="s">
        <v>810</v>
      </c>
      <c r="AB456" t="s">
        <v>199</v>
      </c>
      <c r="AC456" t="s">
        <v>247</v>
      </c>
      <c r="AD456" t="s">
        <v>222</v>
      </c>
      <c r="AE456" t="s">
        <v>228</v>
      </c>
      <c r="AG456" t="s">
        <v>337</v>
      </c>
      <c r="AH456" t="s">
        <v>327</v>
      </c>
      <c r="AI456" t="s">
        <v>362</v>
      </c>
      <c r="AJ456" t="s">
        <v>715</v>
      </c>
      <c r="AK456" t="s">
        <v>121</v>
      </c>
    </row>
    <row r="457" spans="9:37" x14ac:dyDescent="0.3">
      <c r="I457">
        <f ca="1">IF(OR(INDIRECT(A73&amp;ROW())=B93,INDIRECT(A73&amp;ROW())=B94),1,IF(AND(INDIRECT(A73&amp;ROW())=B95,INDIRECT(A96&amp;ROW())=C93),1,IF(AND(INDIRECT(A73&amp;ROW())=B95,INDIRECT(A96&amp;ROW())=C94),1,0)))</f>
        <v>1</v>
      </c>
      <c r="J457">
        <f ca="1">IF(AND(INDIRECT(A73&amp;ROW())=B95,INDIRECT(A96&amp;ROW())=C95),1,IF(AND(INDIRECT(A73&amp;ROW())=B95,INDIRECT(A96&amp;ROW())=C96),1,0))</f>
        <v>0</v>
      </c>
      <c r="K457">
        <f ca="1">DAYS360(INDIRECT(C68&amp;ROW()),TODAY())</f>
        <v>681</v>
      </c>
      <c r="L457">
        <f ca="1">DAYS360(INDIRECT(C69&amp;ROW()),TODAY())</f>
        <v>737</v>
      </c>
      <c r="M457" t="s">
        <v>547</v>
      </c>
      <c r="N457">
        <v>60565</v>
      </c>
      <c r="O457" t="s">
        <v>22</v>
      </c>
      <c r="P457" t="s">
        <v>906</v>
      </c>
      <c r="Q457" t="s">
        <v>25</v>
      </c>
      <c r="R457" t="s">
        <v>783</v>
      </c>
      <c r="S457" t="s">
        <v>552</v>
      </c>
      <c r="T457" t="s">
        <v>1017</v>
      </c>
      <c r="U457" s="6">
        <v>42166.487743055557</v>
      </c>
      <c r="V457" t="s">
        <v>18</v>
      </c>
      <c r="W457" t="s">
        <v>783</v>
      </c>
      <c r="X457" s="6">
        <v>42109.748171296298</v>
      </c>
      <c r="Y457" t="s">
        <v>119</v>
      </c>
      <c r="AB457" t="s">
        <v>200</v>
      </c>
      <c r="AC457" t="s">
        <v>247</v>
      </c>
      <c r="AD457" t="s">
        <v>220</v>
      </c>
      <c r="AE457" t="s">
        <v>223</v>
      </c>
      <c r="AG457" t="s">
        <v>337</v>
      </c>
      <c r="AH457" t="s">
        <v>327</v>
      </c>
      <c r="AI457" t="s">
        <v>121</v>
      </c>
      <c r="AJ457" t="s">
        <v>715</v>
      </c>
      <c r="AK457" t="s">
        <v>121</v>
      </c>
    </row>
    <row r="458" spans="9:37" x14ac:dyDescent="0.3">
      <c r="I458">
        <f ca="1">IF(OR(INDIRECT(A73&amp;ROW())=B93,INDIRECT(A73&amp;ROW())=B94),1,IF(AND(INDIRECT(A73&amp;ROW())=B95,INDIRECT(A96&amp;ROW())=C93),1,IF(AND(INDIRECT(A73&amp;ROW())=B95,INDIRECT(A96&amp;ROW())=C94),1,0)))</f>
        <v>0</v>
      </c>
      <c r="J458">
        <f ca="1">IF(AND(INDIRECT(A73&amp;ROW())=B95,INDIRECT(A96&amp;ROW())=C95),1,IF(AND(INDIRECT(A73&amp;ROW())=B95,INDIRECT(A96&amp;ROW())=C96),1,0))</f>
        <v>1</v>
      </c>
      <c r="K458">
        <f ca="1">DAYS360(INDIRECT(C68&amp;ROW()),TODAY())</f>
        <v>737</v>
      </c>
      <c r="L458">
        <f ca="1">DAYS360(INDIRECT(C69&amp;ROW()),TODAY())</f>
        <v>737</v>
      </c>
      <c r="M458">
        <f ca="1">HYPERLINK(CONCATENATE("https://bugzilla.houston.hp.com:1181/bugzilla/show_bug.cgi?id=",INDIRECT(C70&amp;ROW())),INDIRECT(C70&amp;ROW()))</f>
        <v>60566</v>
      </c>
      <c r="N458">
        <v>60566</v>
      </c>
      <c r="O458" t="s">
        <v>22</v>
      </c>
      <c r="P458" t="s">
        <v>905</v>
      </c>
      <c r="Q458" t="s">
        <v>25</v>
      </c>
      <c r="R458" t="s">
        <v>783</v>
      </c>
      <c r="S458" t="s">
        <v>552</v>
      </c>
      <c r="U458" s="6">
        <v>42109.748472222222</v>
      </c>
      <c r="V458" t="s">
        <v>18</v>
      </c>
      <c r="W458" t="s">
        <v>17</v>
      </c>
      <c r="X458" s="6">
        <v>42109.748472222222</v>
      </c>
      <c r="Y458" t="s">
        <v>246</v>
      </c>
      <c r="AB458" t="s">
        <v>201</v>
      </c>
      <c r="AC458" t="s">
        <v>247</v>
      </c>
      <c r="AD458" t="s">
        <v>222</v>
      </c>
      <c r="AE458" t="s">
        <v>232</v>
      </c>
      <c r="AG458" t="s">
        <v>121</v>
      </c>
      <c r="AH458" t="s">
        <v>327</v>
      </c>
      <c r="AI458" t="s">
        <v>121</v>
      </c>
      <c r="AJ458" t="s">
        <v>716</v>
      </c>
      <c r="AK458" t="s">
        <v>121</v>
      </c>
    </row>
    <row r="459" spans="9:37" x14ac:dyDescent="0.3">
      <c r="I459">
        <f ca="1">IF(OR(INDIRECT(A73&amp;ROW())=B93,INDIRECT(A73&amp;ROW())=B94),1,IF(AND(INDIRECT(A73&amp;ROW())=B95,INDIRECT(A96&amp;ROW())=C93),1,IF(AND(INDIRECT(A73&amp;ROW())=B95,INDIRECT(A96&amp;ROW())=C94),1,0)))</f>
        <v>1</v>
      </c>
      <c r="J459">
        <f ca="1">IF(AND(INDIRECT(A73&amp;ROW())=B95,INDIRECT(A96&amp;ROW())=C95),1,IF(AND(INDIRECT(A73&amp;ROW())=B95,INDIRECT(A96&amp;ROW())=C96),1,0))</f>
        <v>0</v>
      </c>
      <c r="K459">
        <f ca="1">DAYS360(INDIRECT(C68&amp;ROW()),TODAY())</f>
        <v>667</v>
      </c>
      <c r="L459">
        <f ca="1">DAYS360(INDIRECT(C69&amp;ROW()),TODAY())</f>
        <v>737</v>
      </c>
      <c r="M459">
        <f ca="1">HYPERLINK(CONCATENATE("https://bugzilla.houston.hp.com:1181/bugzilla/show_bug.cgi?id=",INDIRECT(C70&amp;ROW())),INDIRECT(C70&amp;ROW()))</f>
        <v>60568</v>
      </c>
      <c r="N459">
        <v>60568</v>
      </c>
      <c r="O459" t="s">
        <v>919</v>
      </c>
      <c r="P459" t="s">
        <v>903</v>
      </c>
      <c r="Q459" t="s">
        <v>25</v>
      </c>
      <c r="R459" t="s">
        <v>783</v>
      </c>
      <c r="S459" t="s">
        <v>552</v>
      </c>
      <c r="U459" s="6">
        <v>42180.579861111109</v>
      </c>
      <c r="V459" t="s">
        <v>40</v>
      </c>
      <c r="W459" t="s">
        <v>783</v>
      </c>
      <c r="X459" s="6">
        <v>42109.748993055553</v>
      </c>
      <c r="Y459" t="s">
        <v>119</v>
      </c>
      <c r="AB459" t="s">
        <v>200</v>
      </c>
      <c r="AC459" t="s">
        <v>247</v>
      </c>
      <c r="AD459" t="s">
        <v>220</v>
      </c>
      <c r="AE459" t="s">
        <v>224</v>
      </c>
      <c r="AG459" t="s">
        <v>588</v>
      </c>
      <c r="AH459" t="s">
        <v>327</v>
      </c>
      <c r="AI459" t="s">
        <v>363</v>
      </c>
      <c r="AJ459" t="s">
        <v>715</v>
      </c>
      <c r="AK459" t="s">
        <v>1133</v>
      </c>
    </row>
    <row r="460" spans="9:37" x14ac:dyDescent="0.3">
      <c r="I460">
        <f ca="1">IF(OR(INDIRECT(A73&amp;ROW())=B93,INDIRECT(A73&amp;ROW())=B94),1,IF(AND(INDIRECT(A73&amp;ROW())=B95,INDIRECT(A96&amp;ROW())=C93),1,IF(AND(INDIRECT(A73&amp;ROW())=B95,INDIRECT(A96&amp;ROW())=C94),1,0)))</f>
        <v>0</v>
      </c>
      <c r="J460">
        <f ca="1">IF(AND(INDIRECT(A73&amp;ROW())=B95,INDIRECT(A96&amp;ROW())=C95),1,IF(AND(INDIRECT(A73&amp;ROW())=B95,INDIRECT(A96&amp;ROW())=C96),1,0))</f>
        <v>1</v>
      </c>
      <c r="K460">
        <f ca="1">DAYS360(INDIRECT(C68&amp;ROW()),TODAY())</f>
        <v>717</v>
      </c>
      <c r="L460">
        <f ca="1">DAYS360(INDIRECT(C69&amp;ROW()),TODAY())</f>
        <v>737</v>
      </c>
      <c r="M460">
        <f ca="1">HYPERLINK(CONCATENATE("https://bugzilla.houston.hp.com:1181/bugzilla/show_bug.cgi?id=",INDIRECT(C70&amp;ROW())),INDIRECT(C70&amp;ROW()))</f>
        <v>60570</v>
      </c>
      <c r="N460">
        <v>60570</v>
      </c>
      <c r="O460" t="s">
        <v>241</v>
      </c>
      <c r="P460" t="s">
        <v>902</v>
      </c>
      <c r="Q460" t="s">
        <v>25</v>
      </c>
      <c r="R460" t="s">
        <v>783</v>
      </c>
      <c r="S460" t="s">
        <v>552</v>
      </c>
      <c r="U460" s="6">
        <v>42129.606886574074</v>
      </c>
      <c r="V460" t="s">
        <v>18</v>
      </c>
      <c r="W460" t="s">
        <v>783</v>
      </c>
      <c r="X460" s="6">
        <v>42109.749328703707</v>
      </c>
      <c r="Y460" t="s">
        <v>255</v>
      </c>
      <c r="AB460" t="s">
        <v>201</v>
      </c>
      <c r="AC460" t="s">
        <v>247</v>
      </c>
      <c r="AD460" t="s">
        <v>222</v>
      </c>
      <c r="AE460" t="s">
        <v>232</v>
      </c>
      <c r="AG460" t="s">
        <v>121</v>
      </c>
      <c r="AH460" t="s">
        <v>327</v>
      </c>
      <c r="AI460" t="s">
        <v>121</v>
      </c>
      <c r="AJ460" t="s">
        <v>716</v>
      </c>
      <c r="AK460" t="s">
        <v>121</v>
      </c>
    </row>
    <row r="461" spans="9:37" x14ac:dyDescent="0.3">
      <c r="I461">
        <f ca="1">IF(OR(INDIRECT(A73&amp;ROW())=B93,INDIRECT(A73&amp;ROW())=B94),1,IF(AND(INDIRECT(A73&amp;ROW())=B95,INDIRECT(A96&amp;ROW())=C93),1,IF(AND(INDIRECT(A73&amp;ROW())=B95,INDIRECT(A96&amp;ROW())=C94),1,0)))</f>
        <v>0</v>
      </c>
      <c r="J461">
        <f ca="1">IF(AND(INDIRECT(A73&amp;ROW())=B95,INDIRECT(A96&amp;ROW())=C95),1,IF(AND(INDIRECT(A73&amp;ROW())=B95,INDIRECT(A96&amp;ROW())=C96),1,0))</f>
        <v>1</v>
      </c>
      <c r="K461">
        <f ca="1">DAYS360(INDIRECT(C68&amp;ROW()),TODAY())</f>
        <v>737</v>
      </c>
      <c r="L461">
        <f ca="1">DAYS360(INDIRECT(C69&amp;ROW()),TODAY())</f>
        <v>737</v>
      </c>
      <c r="M461">
        <f ca="1">HYPERLINK(CONCATENATE("https://bugzilla.houston.hp.com:1181/bugzilla/show_bug.cgi?id=",INDIRECT(C70&amp;ROW())),INDIRECT(C70&amp;ROW()))</f>
        <v>60571</v>
      </c>
      <c r="N461">
        <v>60571</v>
      </c>
      <c r="O461" t="s">
        <v>22</v>
      </c>
      <c r="P461" t="s">
        <v>901</v>
      </c>
      <c r="Q461" t="s">
        <v>25</v>
      </c>
      <c r="R461" t="s">
        <v>783</v>
      </c>
      <c r="S461" t="s">
        <v>552</v>
      </c>
      <c r="U461" s="6">
        <v>42109.749872685185</v>
      </c>
      <c r="V461" t="s">
        <v>18</v>
      </c>
      <c r="W461" t="s">
        <v>764</v>
      </c>
      <c r="X461" s="6">
        <v>42109.749872685185</v>
      </c>
      <c r="Y461" t="s">
        <v>246</v>
      </c>
      <c r="AB461" t="s">
        <v>201</v>
      </c>
      <c r="AC461" t="s">
        <v>247</v>
      </c>
      <c r="AD461" t="s">
        <v>222</v>
      </c>
      <c r="AE461" t="s">
        <v>221</v>
      </c>
      <c r="AG461" t="s">
        <v>121</v>
      </c>
      <c r="AH461" t="s">
        <v>327</v>
      </c>
      <c r="AI461" t="s">
        <v>121</v>
      </c>
      <c r="AJ461" t="s">
        <v>716</v>
      </c>
      <c r="AK461" t="s">
        <v>121</v>
      </c>
    </row>
    <row r="462" spans="9:37" x14ac:dyDescent="0.3">
      <c r="I462">
        <f ca="1">IF(OR(INDIRECT(A73&amp;ROW())=B93,INDIRECT(A73&amp;ROW())=B94),1,IF(AND(INDIRECT(A73&amp;ROW())=B95,INDIRECT(A96&amp;ROW())=C93),1,IF(AND(INDIRECT(A73&amp;ROW())=B95,INDIRECT(A96&amp;ROW())=C94),1,0)))</f>
        <v>0</v>
      </c>
      <c r="J462">
        <f ca="1">IF(AND(INDIRECT(A73&amp;ROW())=B95,INDIRECT(A96&amp;ROW())=C95),1,IF(AND(INDIRECT(A73&amp;ROW())=B95,INDIRECT(A96&amp;ROW())=C96),1,0))</f>
        <v>0</v>
      </c>
      <c r="K462">
        <f ca="1">DAYS360(INDIRECT(C68&amp;ROW()),TODAY())</f>
        <v>737</v>
      </c>
      <c r="L462">
        <f ca="1">DAYS360(INDIRECT(C69&amp;ROW()),TODAY())</f>
        <v>737</v>
      </c>
      <c r="M462">
        <f ca="1">HYPERLINK(CONCATENATE("https://bugzilla.houston.hp.com:1181/bugzilla/show_bug.cgi?id=",INDIRECT(C70&amp;ROW())),INDIRECT(C70&amp;ROW()))</f>
        <v>60576</v>
      </c>
      <c r="N462">
        <v>60576</v>
      </c>
      <c r="O462" t="s">
        <v>56</v>
      </c>
      <c r="P462" t="s">
        <v>898</v>
      </c>
      <c r="Q462" t="s">
        <v>16</v>
      </c>
      <c r="R462" t="s">
        <v>783</v>
      </c>
      <c r="S462" t="s">
        <v>552</v>
      </c>
      <c r="U462" s="6">
        <v>42109.751527777778</v>
      </c>
      <c r="V462" t="s">
        <v>18</v>
      </c>
      <c r="W462" t="s">
        <v>764</v>
      </c>
      <c r="X462" s="6">
        <v>42109.751527777778</v>
      </c>
      <c r="Y462" t="s">
        <v>810</v>
      </c>
      <c r="AB462" t="s">
        <v>201</v>
      </c>
      <c r="AC462" t="s">
        <v>247</v>
      </c>
      <c r="AD462" t="s">
        <v>220</v>
      </c>
      <c r="AE462" t="s">
        <v>223</v>
      </c>
      <c r="AG462" t="s">
        <v>121</v>
      </c>
      <c r="AH462" t="s">
        <v>327</v>
      </c>
      <c r="AI462" t="s">
        <v>121</v>
      </c>
      <c r="AJ462" t="s">
        <v>717</v>
      </c>
      <c r="AK462" t="s">
        <v>121</v>
      </c>
    </row>
    <row r="463" spans="9:37" x14ac:dyDescent="0.3">
      <c r="I463">
        <f ca="1">IF(OR(INDIRECT(A73&amp;ROW())=B93,INDIRECT(A73&amp;ROW())=B94),1,IF(AND(INDIRECT(A73&amp;ROW())=B95,INDIRECT(A96&amp;ROW())=C93),1,IF(AND(INDIRECT(A73&amp;ROW())=B95,INDIRECT(A96&amp;ROW())=C94),1,0)))</f>
        <v>0</v>
      </c>
      <c r="J463">
        <f ca="1">IF(AND(INDIRECT(A73&amp;ROW())=B95,INDIRECT(A96&amp;ROW())=C95),1,IF(AND(INDIRECT(A73&amp;ROW())=B95,INDIRECT(A96&amp;ROW())=C96),1,0))</f>
        <v>1</v>
      </c>
      <c r="K463">
        <f ca="1">DAYS360(INDIRECT(C68&amp;ROW()),TODAY())</f>
        <v>735</v>
      </c>
      <c r="L463">
        <f ca="1">DAYS360(INDIRECT(C69&amp;ROW()),TODAY())</f>
        <v>736</v>
      </c>
      <c r="M463">
        <f ca="1">HYPERLINK(CONCATENATE("https://bugzilla.houston.hp.com:1181/bugzilla/show_bug.cgi?id=",INDIRECT(C70&amp;ROW())),INDIRECT(C70&amp;ROW()))</f>
        <v>60594</v>
      </c>
      <c r="N463">
        <v>60594</v>
      </c>
      <c r="O463" t="s">
        <v>36</v>
      </c>
      <c r="P463" t="s">
        <v>897</v>
      </c>
      <c r="Q463" t="s">
        <v>25</v>
      </c>
      <c r="R463" t="s">
        <v>579</v>
      </c>
      <c r="S463" t="s">
        <v>552</v>
      </c>
      <c r="T463" t="s">
        <v>922</v>
      </c>
      <c r="U463" s="6">
        <v>42111.314699074072</v>
      </c>
      <c r="V463" t="s">
        <v>18</v>
      </c>
      <c r="W463" t="s">
        <v>764</v>
      </c>
      <c r="X463" s="6">
        <v>42110.0156712963</v>
      </c>
      <c r="Y463" t="s">
        <v>246</v>
      </c>
      <c r="AB463" t="s">
        <v>201</v>
      </c>
      <c r="AC463" t="s">
        <v>247</v>
      </c>
      <c r="AD463" t="s">
        <v>222</v>
      </c>
      <c r="AE463" t="s">
        <v>232</v>
      </c>
      <c r="AG463" t="s">
        <v>121</v>
      </c>
      <c r="AH463" t="s">
        <v>327</v>
      </c>
      <c r="AI463" t="s">
        <v>121</v>
      </c>
      <c r="AJ463" t="s">
        <v>716</v>
      </c>
      <c r="AK463" t="s">
        <v>121</v>
      </c>
    </row>
    <row r="464" spans="9:37" x14ac:dyDescent="0.3">
      <c r="I464">
        <f ca="1">IF(OR(INDIRECT(A73&amp;ROW())=B93,INDIRECT(A73&amp;ROW())=B94),1,IF(AND(INDIRECT(A73&amp;ROW())=B95,INDIRECT(A96&amp;ROW())=C93),1,IF(AND(INDIRECT(A73&amp;ROW())=B95,INDIRECT(A96&amp;ROW())=C94),1,0)))</f>
        <v>0</v>
      </c>
      <c r="J464">
        <f ca="1">IF(AND(INDIRECT(A73&amp;ROW())=B95,INDIRECT(A96&amp;ROW())=C95),1,IF(AND(INDIRECT(A73&amp;ROW())=B95,INDIRECT(A96&amp;ROW())=C96),1,0))</f>
        <v>1</v>
      </c>
      <c r="K464">
        <f ca="1">DAYS360(INDIRECT(C68&amp;ROW()),TODAY())</f>
        <v>684</v>
      </c>
      <c r="L464">
        <f ca="1">DAYS360(INDIRECT(C69&amp;ROW()),TODAY())</f>
        <v>736</v>
      </c>
      <c r="M464">
        <f ca="1">HYPERLINK(CONCATENATE("https://bugzilla.houston.hp.com:1181/bugzilla/show_bug.cgi?id=",INDIRECT(C70&amp;ROW())),INDIRECT(C70&amp;ROW()))</f>
        <v>60595</v>
      </c>
      <c r="N464">
        <v>60595</v>
      </c>
      <c r="O464" t="s">
        <v>36</v>
      </c>
      <c r="P464" t="s">
        <v>896</v>
      </c>
      <c r="Q464" t="s">
        <v>25</v>
      </c>
      <c r="R464" t="s">
        <v>248</v>
      </c>
      <c r="S464" t="s">
        <v>552</v>
      </c>
      <c r="U464" s="6">
        <v>42163.610335648147</v>
      </c>
      <c r="V464" t="s">
        <v>18</v>
      </c>
      <c r="W464" t="s">
        <v>764</v>
      </c>
      <c r="X464" s="6">
        <v>42110.015717592592</v>
      </c>
      <c r="Y464" t="s">
        <v>246</v>
      </c>
      <c r="AB464" t="s">
        <v>201</v>
      </c>
      <c r="AC464" t="s">
        <v>247</v>
      </c>
      <c r="AD464" t="s">
        <v>222</v>
      </c>
      <c r="AE464" t="s">
        <v>232</v>
      </c>
      <c r="AG464" t="s">
        <v>121</v>
      </c>
      <c r="AH464" t="s">
        <v>327</v>
      </c>
      <c r="AI464" t="s">
        <v>121</v>
      </c>
      <c r="AJ464" t="s">
        <v>716</v>
      </c>
      <c r="AK464" t="s">
        <v>121</v>
      </c>
    </row>
    <row r="465" spans="9:37" x14ac:dyDescent="0.3">
      <c r="I465">
        <f ca="1">IF(OR(INDIRECT(A73&amp;ROW())=B93,INDIRECT(A73&amp;ROW())=B94),1,IF(AND(INDIRECT(A73&amp;ROW())=B95,INDIRECT(A96&amp;ROW())=C93),1,IF(AND(INDIRECT(A73&amp;ROW())=B95,INDIRECT(A96&amp;ROW())=C94),1,0)))</f>
        <v>0</v>
      </c>
      <c r="J465">
        <f ca="1">IF(AND(INDIRECT(A73&amp;ROW())=B95,INDIRECT(A96&amp;ROW())=C95),1,IF(AND(INDIRECT(A73&amp;ROW())=B95,INDIRECT(A96&amp;ROW())=C96),1,0))</f>
        <v>0</v>
      </c>
      <c r="K465">
        <f ca="1">DAYS360(INDIRECT(C68&amp;ROW()),TODAY())</f>
        <v>681</v>
      </c>
      <c r="L465">
        <f ca="1">DAYS360(INDIRECT(C69&amp;ROW()),TODAY())</f>
        <v>736</v>
      </c>
      <c r="M465">
        <f ca="1">HYPERLINK(CONCATENATE("https://bugzilla.houston.hp.com:1181/bugzilla/show_bug.cgi?id=",INDIRECT(C70&amp;ROW())),INDIRECT(C70&amp;ROW()))</f>
        <v>60601</v>
      </c>
      <c r="N465">
        <v>60601</v>
      </c>
      <c r="O465" t="s">
        <v>66</v>
      </c>
      <c r="P465" t="s">
        <v>895</v>
      </c>
      <c r="Q465" t="s">
        <v>16</v>
      </c>
      <c r="R465" t="s">
        <v>251</v>
      </c>
      <c r="S465" t="s">
        <v>516</v>
      </c>
      <c r="U465" s="6">
        <v>42166.564513888887</v>
      </c>
      <c r="V465" t="s">
        <v>35</v>
      </c>
      <c r="W465" t="s">
        <v>783</v>
      </c>
      <c r="X465" s="6">
        <v>42110.021886574075</v>
      </c>
      <c r="Y465" t="s">
        <v>786</v>
      </c>
      <c r="AB465" t="s">
        <v>200</v>
      </c>
      <c r="AC465" t="s">
        <v>247</v>
      </c>
      <c r="AD465" t="s">
        <v>220</v>
      </c>
      <c r="AE465" t="s">
        <v>219</v>
      </c>
      <c r="AG465" t="s">
        <v>121</v>
      </c>
      <c r="AH465" t="s">
        <v>327</v>
      </c>
      <c r="AI465" t="s">
        <v>121</v>
      </c>
      <c r="AJ465" t="s">
        <v>716</v>
      </c>
      <c r="AK465" t="s">
        <v>121</v>
      </c>
    </row>
    <row r="466" spans="9:37" x14ac:dyDescent="0.3">
      <c r="I466">
        <f ca="1">IF(OR(INDIRECT(A73&amp;ROW())=B93,INDIRECT(A73&amp;ROW())=B94),1,IF(AND(INDIRECT(A73&amp;ROW())=B95,INDIRECT(A96&amp;ROW())=C93),1,IF(AND(INDIRECT(A73&amp;ROW())=B95,INDIRECT(A96&amp;ROW())=C94),1,0)))</f>
        <v>0</v>
      </c>
      <c r="J466">
        <f ca="1">IF(AND(INDIRECT(A73&amp;ROW())=B95,INDIRECT(A96&amp;ROW())=C95),1,IF(AND(INDIRECT(A73&amp;ROW())=B95,INDIRECT(A96&amp;ROW())=C96),1,0))</f>
        <v>0</v>
      </c>
      <c r="K466">
        <f ca="1">DAYS360(INDIRECT(C68&amp;ROW()),TODAY())</f>
        <v>717</v>
      </c>
      <c r="L466">
        <f ca="1">DAYS360(INDIRECT(C69&amp;ROW()),TODAY())</f>
        <v>736</v>
      </c>
      <c r="M466">
        <f ca="1">HYPERLINK(CONCATENATE("https://bugzilla.houston.hp.com:1181/bugzilla/show_bug.cgi?id=",INDIRECT(C70&amp;ROW())),INDIRECT(C70&amp;ROW()))</f>
        <v>60668</v>
      </c>
      <c r="N466">
        <v>60668</v>
      </c>
      <c r="O466" t="s">
        <v>56</v>
      </c>
      <c r="P466" t="s">
        <v>894</v>
      </c>
      <c r="Q466" t="s">
        <v>16</v>
      </c>
      <c r="R466" t="s">
        <v>248</v>
      </c>
      <c r="S466" t="s">
        <v>552</v>
      </c>
      <c r="U466" s="6">
        <v>42129.317453703705</v>
      </c>
      <c r="V466" t="s">
        <v>18</v>
      </c>
      <c r="W466" t="s">
        <v>783</v>
      </c>
      <c r="X466" s="6">
        <v>42110.515844907408</v>
      </c>
      <c r="Y466" t="s">
        <v>786</v>
      </c>
      <c r="AB466" t="s">
        <v>200</v>
      </c>
      <c r="AC466" t="s">
        <v>247</v>
      </c>
      <c r="AD466" t="s">
        <v>220</v>
      </c>
      <c r="AE466" t="s">
        <v>219</v>
      </c>
      <c r="AG466" t="s">
        <v>121</v>
      </c>
      <c r="AH466" t="s">
        <v>327</v>
      </c>
      <c r="AI466" t="s">
        <v>121</v>
      </c>
      <c r="AJ466" t="s">
        <v>716</v>
      </c>
      <c r="AK466" t="s">
        <v>121</v>
      </c>
    </row>
    <row r="467" spans="9:37" x14ac:dyDescent="0.3">
      <c r="I467">
        <f ca="1">IF(OR(INDIRECT(A73&amp;ROW())=B93,INDIRECT(A73&amp;ROW())=B94),1,IF(AND(INDIRECT(A73&amp;ROW())=B95,INDIRECT(A96&amp;ROW())=C93),1,IF(AND(INDIRECT(A73&amp;ROW())=B95,INDIRECT(A96&amp;ROW())=C94),1,0)))</f>
        <v>0</v>
      </c>
      <c r="J467">
        <f ca="1">IF(AND(INDIRECT(A73&amp;ROW())=B95,INDIRECT(A96&amp;ROW())=C95),1,IF(AND(INDIRECT(A73&amp;ROW())=B95,INDIRECT(A96&amp;ROW())=C96),1,0))</f>
        <v>0</v>
      </c>
      <c r="K467">
        <f ca="1">DAYS360(INDIRECT(C68&amp;ROW()),TODAY())</f>
        <v>684</v>
      </c>
      <c r="L467">
        <f ca="1">DAYS360(INDIRECT(C69&amp;ROW()),TODAY())</f>
        <v>735</v>
      </c>
      <c r="M467">
        <f ca="1">HYPERLINK(CONCATENATE("https://bugzilla.houston.hp.com:1181/bugzilla/show_bug.cgi?id=",INDIRECT(C70&amp;ROW())),INDIRECT(C70&amp;ROW()))</f>
        <v>60724</v>
      </c>
      <c r="N467">
        <v>60724</v>
      </c>
      <c r="O467" t="s">
        <v>66</v>
      </c>
      <c r="P467" t="s">
        <v>926</v>
      </c>
      <c r="Q467" t="s">
        <v>16</v>
      </c>
      <c r="R467" t="s">
        <v>251</v>
      </c>
      <c r="S467" t="s">
        <v>33</v>
      </c>
      <c r="T467" t="s">
        <v>966</v>
      </c>
      <c r="U467" s="6">
        <v>42163.581828703704</v>
      </c>
      <c r="V467" t="s">
        <v>18</v>
      </c>
      <c r="W467" t="s">
        <v>783</v>
      </c>
      <c r="X467" s="6">
        <v>42111.162210648145</v>
      </c>
      <c r="Y467" t="s">
        <v>119</v>
      </c>
      <c r="AB467" t="s">
        <v>200</v>
      </c>
      <c r="AC467" t="s">
        <v>247</v>
      </c>
      <c r="AD467" t="s">
        <v>220</v>
      </c>
      <c r="AE467" t="s">
        <v>223</v>
      </c>
      <c r="AG467" t="s">
        <v>121</v>
      </c>
      <c r="AH467" t="s">
        <v>327</v>
      </c>
      <c r="AI467" t="s">
        <v>121</v>
      </c>
      <c r="AJ467" t="s">
        <v>716</v>
      </c>
      <c r="AK467" t="s">
        <v>121</v>
      </c>
    </row>
    <row r="468" spans="9:37" x14ac:dyDescent="0.3">
      <c r="I468">
        <f ca="1">IF(OR(INDIRECT(A73&amp;ROW())=B93,INDIRECT(A73&amp;ROW())=B94),1,IF(AND(INDIRECT(A73&amp;ROW())=B95,INDIRECT(A96&amp;ROW())=C93),1,IF(AND(INDIRECT(A73&amp;ROW())=B95,INDIRECT(A96&amp;ROW())=C94),1,0)))</f>
        <v>0</v>
      </c>
      <c r="J468">
        <f ca="1">IF(AND(INDIRECT(A73&amp;ROW())=B95,INDIRECT(A96&amp;ROW())=C95),1,IF(AND(INDIRECT(A73&amp;ROW())=B95,INDIRECT(A96&amp;ROW())=C96),1,0))</f>
        <v>0</v>
      </c>
      <c r="K468">
        <f ca="1">DAYS360(INDIRECT(C68&amp;ROW()),TODAY())</f>
        <v>690</v>
      </c>
      <c r="L468">
        <f ca="1">DAYS360(INDIRECT(C69&amp;ROW()),TODAY())</f>
        <v>735</v>
      </c>
      <c r="M468">
        <f ca="1">HYPERLINK(CONCATENATE("https://bugzilla.houston.hp.com:1181/bugzilla/show_bug.cgi?id=",INDIRECT(C70&amp;ROW())),INDIRECT(C70&amp;ROW()))</f>
        <v>60736</v>
      </c>
      <c r="N468">
        <v>60736</v>
      </c>
      <c r="O468" t="s">
        <v>59</v>
      </c>
      <c r="P468" t="s">
        <v>925</v>
      </c>
      <c r="Q468" t="s">
        <v>16</v>
      </c>
      <c r="R468" t="s">
        <v>579</v>
      </c>
      <c r="S468" t="s">
        <v>552</v>
      </c>
      <c r="T468" t="s">
        <v>931</v>
      </c>
      <c r="U468" s="6">
        <v>42157.11515046296</v>
      </c>
      <c r="V468" t="s">
        <v>18</v>
      </c>
      <c r="W468" t="s">
        <v>783</v>
      </c>
      <c r="X468" s="6">
        <v>42111.305185185185</v>
      </c>
      <c r="Y468" t="s">
        <v>119</v>
      </c>
      <c r="AB468" t="s">
        <v>200</v>
      </c>
      <c r="AC468" t="s">
        <v>247</v>
      </c>
      <c r="AD468" t="s">
        <v>220</v>
      </c>
      <c r="AE468" t="s">
        <v>223</v>
      </c>
      <c r="AG468" t="s">
        <v>121</v>
      </c>
      <c r="AH468" t="s">
        <v>327</v>
      </c>
      <c r="AI468" t="s">
        <v>121</v>
      </c>
      <c r="AJ468" t="s">
        <v>716</v>
      </c>
      <c r="AK468" t="s">
        <v>121</v>
      </c>
    </row>
    <row r="469" spans="9:37" x14ac:dyDescent="0.3">
      <c r="I469">
        <f ca="1">IF(OR(INDIRECT(A73&amp;ROW())=B93,INDIRECT(A73&amp;ROW())=B94),1,IF(AND(INDIRECT(A73&amp;ROW())=B95,INDIRECT(A96&amp;ROW())=C93),1,IF(AND(INDIRECT(A73&amp;ROW())=B95,INDIRECT(A96&amp;ROW())=C94),1,0)))</f>
        <v>0</v>
      </c>
      <c r="J469">
        <f ca="1">IF(AND(INDIRECT(A73&amp;ROW())=B95,INDIRECT(A96&amp;ROW())=C95),1,IF(AND(INDIRECT(A73&amp;ROW())=B95,INDIRECT(A96&amp;ROW())=C96),1,0))</f>
        <v>0</v>
      </c>
      <c r="K469">
        <f ca="1">DAYS360(INDIRECT(C68&amp;ROW()),TODAY())</f>
        <v>690</v>
      </c>
      <c r="L469">
        <f ca="1">DAYS360(INDIRECT(C69&amp;ROW()),TODAY())</f>
        <v>735</v>
      </c>
      <c r="M469">
        <f ca="1">HYPERLINK(CONCATENATE("https://bugzilla.houston.hp.com:1181/bugzilla/show_bug.cgi?id=",INDIRECT(C70&amp;ROW())),INDIRECT(C70&amp;ROW()))</f>
        <v>60737</v>
      </c>
      <c r="N469">
        <v>60737</v>
      </c>
      <c r="O469" t="s">
        <v>36</v>
      </c>
      <c r="P469" t="s">
        <v>924</v>
      </c>
      <c r="Q469" t="s">
        <v>16</v>
      </c>
      <c r="R469" t="s">
        <v>783</v>
      </c>
      <c r="S469" t="s">
        <v>552</v>
      </c>
      <c r="U469" s="6">
        <v>42157.115648148145</v>
      </c>
      <c r="V469" t="s">
        <v>18</v>
      </c>
      <c r="W469" t="s">
        <v>783</v>
      </c>
      <c r="X469" s="6">
        <v>42111.305277777778</v>
      </c>
      <c r="Y469" t="s">
        <v>119</v>
      </c>
      <c r="AB469" t="s">
        <v>200</v>
      </c>
      <c r="AC469" t="s">
        <v>247</v>
      </c>
      <c r="AD469" t="s">
        <v>220</v>
      </c>
      <c r="AE469" t="s">
        <v>223</v>
      </c>
      <c r="AG469" t="s">
        <v>121</v>
      </c>
      <c r="AH469" t="s">
        <v>327</v>
      </c>
      <c r="AI469" t="s">
        <v>121</v>
      </c>
      <c r="AJ469" t="s">
        <v>716</v>
      </c>
      <c r="AK469" t="s">
        <v>121</v>
      </c>
    </row>
    <row r="470" spans="9:37" x14ac:dyDescent="0.3">
      <c r="I470">
        <f ca="1">IF(OR(INDIRECT(A73&amp;ROW())=B93,INDIRECT(A73&amp;ROW())=B94),1,IF(AND(INDIRECT(A73&amp;ROW())=B95,INDIRECT(A96&amp;ROW())=C93),1,IF(AND(INDIRECT(A73&amp;ROW())=B95,INDIRECT(A96&amp;ROW())=C94),1,0)))</f>
        <v>0</v>
      </c>
      <c r="J470">
        <f ca="1">IF(AND(INDIRECT(A73&amp;ROW())=B95,INDIRECT(A96&amp;ROW())=C95),1,IF(AND(INDIRECT(A73&amp;ROW())=B95,INDIRECT(A96&amp;ROW())=C96),1,0))</f>
        <v>0</v>
      </c>
      <c r="K470">
        <f ca="1">DAYS360(INDIRECT(C68&amp;ROW()),TODAY())</f>
        <v>690</v>
      </c>
      <c r="L470">
        <f ca="1">DAYS360(INDIRECT(C69&amp;ROW()),TODAY())</f>
        <v>735</v>
      </c>
      <c r="M470">
        <f ca="1">HYPERLINK(CONCATENATE("https://bugzilla.houston.hp.com:1181/bugzilla/show_bug.cgi?id=",INDIRECT(C70&amp;ROW())),INDIRECT(C70&amp;ROW()))</f>
        <v>60738</v>
      </c>
      <c r="N470">
        <v>60738</v>
      </c>
      <c r="O470" t="s">
        <v>36</v>
      </c>
      <c r="P470" t="s">
        <v>923</v>
      </c>
      <c r="Q470" t="s">
        <v>16</v>
      </c>
      <c r="R470" t="s">
        <v>248</v>
      </c>
      <c r="S470" t="s">
        <v>552</v>
      </c>
      <c r="U470" s="6">
        <v>42157.116249999999</v>
      </c>
      <c r="V470" t="s">
        <v>18</v>
      </c>
      <c r="W470" t="s">
        <v>783</v>
      </c>
      <c r="X470" s="6">
        <v>42111.305381944447</v>
      </c>
      <c r="Y470" t="s">
        <v>119</v>
      </c>
      <c r="AB470" t="s">
        <v>200</v>
      </c>
      <c r="AC470" t="s">
        <v>247</v>
      </c>
      <c r="AD470" t="s">
        <v>220</v>
      </c>
      <c r="AE470" t="s">
        <v>223</v>
      </c>
      <c r="AG470" t="s">
        <v>121</v>
      </c>
      <c r="AH470" t="s">
        <v>327</v>
      </c>
      <c r="AI470" t="s">
        <v>121</v>
      </c>
      <c r="AJ470" t="s">
        <v>716</v>
      </c>
      <c r="AK470" t="s">
        <v>121</v>
      </c>
    </row>
    <row r="471" spans="9:37" x14ac:dyDescent="0.3">
      <c r="I471">
        <f ca="1">IF(OR(INDIRECT(A73&amp;ROW())=B93,INDIRECT(A73&amp;ROW())=B94),1,IF(AND(INDIRECT(A73&amp;ROW())=B95,INDIRECT(A96&amp;ROW())=C93),1,IF(AND(INDIRECT(A73&amp;ROW())=B95,INDIRECT(A96&amp;ROW())=C94),1,0)))</f>
        <v>0</v>
      </c>
      <c r="J471">
        <f ca="1">IF(AND(INDIRECT(A73&amp;ROW())=B95,INDIRECT(A96&amp;ROW())=C95),1,IF(AND(INDIRECT(A73&amp;ROW())=B95,INDIRECT(A96&amp;ROW())=C96),1,0))</f>
        <v>1</v>
      </c>
      <c r="K471">
        <f ca="1">DAYS360(INDIRECT(C68&amp;ROW()),TODAY())</f>
        <v>731</v>
      </c>
      <c r="L471">
        <f ca="1">DAYS360(INDIRECT(C69&amp;ROW()),TODAY())</f>
        <v>731</v>
      </c>
      <c r="M471">
        <f ca="1">HYPERLINK(CONCATENATE("https://bugzilla.houston.hp.com:1181/bugzilla/show_bug.cgi?id=",INDIRECT(C70&amp;ROW())),INDIRECT(C70&amp;ROW()))</f>
        <v>60985</v>
      </c>
      <c r="N471">
        <v>60985</v>
      </c>
      <c r="O471" t="s">
        <v>56</v>
      </c>
      <c r="P471" t="s">
        <v>965</v>
      </c>
      <c r="Q471" t="s">
        <v>25</v>
      </c>
      <c r="R471" t="s">
        <v>783</v>
      </c>
      <c r="S471" t="s">
        <v>552</v>
      </c>
      <c r="U471" s="6">
        <v>42115.683530092596</v>
      </c>
      <c r="V471" t="s">
        <v>18</v>
      </c>
      <c r="W471" t="s">
        <v>173</v>
      </c>
      <c r="X471" s="6">
        <v>42115.683530092596</v>
      </c>
      <c r="Y471" t="s">
        <v>255</v>
      </c>
      <c r="AB471" t="s">
        <v>201</v>
      </c>
      <c r="AC471" t="s">
        <v>216</v>
      </c>
      <c r="AD471" t="s">
        <v>222</v>
      </c>
      <c r="AE471" t="s">
        <v>221</v>
      </c>
      <c r="AG471" t="s">
        <v>121</v>
      </c>
      <c r="AH471" t="s">
        <v>327</v>
      </c>
      <c r="AI471" t="s">
        <v>362</v>
      </c>
      <c r="AJ471" t="s">
        <v>716</v>
      </c>
      <c r="AK471" t="s">
        <v>121</v>
      </c>
    </row>
    <row r="472" spans="9:37" x14ac:dyDescent="0.3">
      <c r="I472">
        <f ca="1">IF(OR(INDIRECT(A73&amp;ROW())=B93,INDIRECT(A73&amp;ROW())=B94),1,IF(AND(INDIRECT(A73&amp;ROW())=B95,INDIRECT(A96&amp;ROW())=C93),1,IF(AND(INDIRECT(A73&amp;ROW())=B95,INDIRECT(A96&amp;ROW())=C94),1,0)))</f>
        <v>0</v>
      </c>
      <c r="J472">
        <f ca="1">IF(AND(INDIRECT(A73&amp;ROW())=B95,INDIRECT(A96&amp;ROW())=C95),1,IF(AND(INDIRECT(A73&amp;ROW())=B95,INDIRECT(A96&amp;ROW())=C96),1,0))</f>
        <v>1</v>
      </c>
      <c r="K472">
        <f ca="1">DAYS360(INDIRECT(C68&amp;ROW()),TODAY())</f>
        <v>724</v>
      </c>
      <c r="L472">
        <f ca="1">DAYS360(INDIRECT(C69&amp;ROW()),TODAY())</f>
        <v>731</v>
      </c>
      <c r="M472">
        <f ca="1">HYPERLINK(CONCATENATE("https://bugzilla.houston.hp.com:1181/bugzilla/show_bug.cgi?id=",INDIRECT(C70&amp;ROW())),INDIRECT(C70&amp;ROW()))</f>
        <v>60997</v>
      </c>
      <c r="N472">
        <v>60997</v>
      </c>
      <c r="O472" t="s">
        <v>42</v>
      </c>
      <c r="P472" t="s">
        <v>964</v>
      </c>
      <c r="Q472" t="s">
        <v>25</v>
      </c>
      <c r="R472" t="s">
        <v>783</v>
      </c>
      <c r="S472" t="s">
        <v>552</v>
      </c>
      <c r="U472" s="6">
        <v>42122.35119212963</v>
      </c>
      <c r="V472" t="s">
        <v>18</v>
      </c>
      <c r="W472" t="s">
        <v>17</v>
      </c>
      <c r="X472" s="6">
        <v>42115.90828703704</v>
      </c>
      <c r="Y472" t="s">
        <v>122</v>
      </c>
      <c r="AB472" t="s">
        <v>201</v>
      </c>
      <c r="AC472" t="s">
        <v>247</v>
      </c>
      <c r="AD472" t="s">
        <v>220</v>
      </c>
      <c r="AE472" t="s">
        <v>219</v>
      </c>
      <c r="AG472" t="s">
        <v>121</v>
      </c>
      <c r="AH472" t="s">
        <v>64</v>
      </c>
      <c r="AI472" t="s">
        <v>121</v>
      </c>
      <c r="AJ472" t="s">
        <v>716</v>
      </c>
      <c r="AK472" t="s">
        <v>121</v>
      </c>
    </row>
    <row r="473" spans="9:37" x14ac:dyDescent="0.3">
      <c r="I473">
        <f ca="1">IF(OR(INDIRECT(A73&amp;ROW())=B93,INDIRECT(A73&amp;ROW())=B94),1,IF(AND(INDIRECT(A73&amp;ROW())=B95,INDIRECT(A96&amp;ROW())=C93),1,IF(AND(INDIRECT(A73&amp;ROW())=B95,INDIRECT(A96&amp;ROW())=C94),1,0)))</f>
        <v>0</v>
      </c>
      <c r="J473">
        <f ca="1">IF(AND(INDIRECT(A73&amp;ROW())=B95,INDIRECT(A96&amp;ROW())=C95),1,IF(AND(INDIRECT(A73&amp;ROW())=B95,INDIRECT(A96&amp;ROW())=C96),1,0))</f>
        <v>1</v>
      </c>
      <c r="K473">
        <f ca="1">DAYS360(INDIRECT(C68&amp;ROW()),TODAY())</f>
        <v>731</v>
      </c>
      <c r="L473">
        <f ca="1">DAYS360(INDIRECT(C69&amp;ROW()),TODAY())</f>
        <v>731</v>
      </c>
      <c r="M473">
        <f ca="1">HYPERLINK(CONCATENATE("https://bugzilla.houston.hp.com:1181/bugzilla/show_bug.cgi?id=",INDIRECT(C70&amp;ROW())),INDIRECT(C70&amp;ROW()))</f>
        <v>61003</v>
      </c>
      <c r="N473">
        <v>61003</v>
      </c>
      <c r="O473" t="s">
        <v>50</v>
      </c>
      <c r="P473" t="s">
        <v>963</v>
      </c>
      <c r="Q473" t="s">
        <v>25</v>
      </c>
      <c r="R473" t="s">
        <v>783</v>
      </c>
      <c r="S473" t="s">
        <v>552</v>
      </c>
      <c r="U473" s="6">
        <v>42115.913449074076</v>
      </c>
      <c r="V473" t="s">
        <v>18</v>
      </c>
      <c r="W473" t="s">
        <v>17</v>
      </c>
      <c r="X473" s="6">
        <v>42115.913449074076</v>
      </c>
      <c r="Y473" t="s">
        <v>119</v>
      </c>
      <c r="AA473" t="s">
        <v>184</v>
      </c>
      <c r="AB473" t="s">
        <v>201</v>
      </c>
      <c r="AC473" t="s">
        <v>247</v>
      </c>
      <c r="AD473" t="s">
        <v>227</v>
      </c>
      <c r="AE473" t="s">
        <v>370</v>
      </c>
      <c r="AG473" t="s">
        <v>121</v>
      </c>
      <c r="AH473" t="s">
        <v>327</v>
      </c>
      <c r="AI473" t="s">
        <v>121</v>
      </c>
      <c r="AJ473" t="s">
        <v>716</v>
      </c>
      <c r="AK473" t="s">
        <v>121</v>
      </c>
    </row>
    <row r="474" spans="9:37" x14ac:dyDescent="0.3">
      <c r="I474">
        <f ca="1">IF(OR(INDIRECT(A73&amp;ROW())=B93,INDIRECT(A73&amp;ROW())=B94),1,IF(AND(INDIRECT(A73&amp;ROW())=B95,INDIRECT(A96&amp;ROW())=C93),1,IF(AND(INDIRECT(A73&amp;ROW())=B95,INDIRECT(A96&amp;ROW())=C94),1,0)))</f>
        <v>1</v>
      </c>
      <c r="J474">
        <f ca="1">IF(AND(INDIRECT(A73&amp;ROW())=B95,INDIRECT(A96&amp;ROW())=C95),1,IF(AND(INDIRECT(A73&amp;ROW())=B95,INDIRECT(A96&amp;ROW())=C96),1,0))</f>
        <v>0</v>
      </c>
      <c r="K474">
        <f ca="1">DAYS360(INDIRECT(C68&amp;ROW()),TODAY())</f>
        <v>663</v>
      </c>
      <c r="L474">
        <f ca="1">DAYS360(INDIRECT(C69&amp;ROW()),TODAY())</f>
        <v>730</v>
      </c>
      <c r="M474">
        <f ca="1">HYPERLINK(CONCATENATE("https://bugzilla.houston.hp.com:1181/bugzilla/show_bug.cgi?id=",INDIRECT(C70&amp;ROW())),INDIRECT(C70&amp;ROW()))</f>
        <v>61076</v>
      </c>
      <c r="N474">
        <v>61076</v>
      </c>
      <c r="O474" t="s">
        <v>94</v>
      </c>
      <c r="P474" t="s">
        <v>962</v>
      </c>
      <c r="Q474" t="s">
        <v>39</v>
      </c>
      <c r="R474" t="s">
        <v>783</v>
      </c>
      <c r="S474" t="s">
        <v>552</v>
      </c>
      <c r="T474" t="s">
        <v>782</v>
      </c>
      <c r="U474" s="6">
        <v>42184.039027777777</v>
      </c>
      <c r="V474" t="s">
        <v>18</v>
      </c>
      <c r="W474" t="s">
        <v>17</v>
      </c>
      <c r="X474" s="6">
        <v>42116.453148148146</v>
      </c>
      <c r="Y474" t="s">
        <v>119</v>
      </c>
      <c r="AB474" t="s">
        <v>201</v>
      </c>
      <c r="AC474" t="s">
        <v>121</v>
      </c>
      <c r="AD474" t="s">
        <v>227</v>
      </c>
      <c r="AE474" t="s">
        <v>231</v>
      </c>
      <c r="AG474" t="s">
        <v>337</v>
      </c>
      <c r="AH474" t="s">
        <v>64</v>
      </c>
      <c r="AI474" t="s">
        <v>121</v>
      </c>
      <c r="AJ474" t="s">
        <v>715</v>
      </c>
      <c r="AK474" t="s">
        <v>121</v>
      </c>
    </row>
    <row r="475" spans="9:37" x14ac:dyDescent="0.3">
      <c r="I475">
        <f ca="1">IF(OR(INDIRECT(A73&amp;ROW())=B93,INDIRECT(A73&amp;ROW())=B94),1,IF(AND(INDIRECT(A73&amp;ROW())=B95,INDIRECT(A96&amp;ROW())=C93),1,IF(AND(INDIRECT(A73&amp;ROW())=B95,INDIRECT(A96&amp;ROW())=C94),1,0)))</f>
        <v>1</v>
      </c>
      <c r="J475">
        <f ca="1">IF(AND(INDIRECT(A73&amp;ROW())=B95,INDIRECT(A96&amp;ROW())=C95),1,IF(AND(INDIRECT(A73&amp;ROW())=B95,INDIRECT(A96&amp;ROW())=C96),1,0))</f>
        <v>0</v>
      </c>
      <c r="K475">
        <f ca="1">DAYS360(INDIRECT(C68&amp;ROW()),TODAY())</f>
        <v>668</v>
      </c>
      <c r="L475">
        <f ca="1">DAYS360(INDIRECT(C69&amp;ROW()),TODAY())</f>
        <v>730</v>
      </c>
      <c r="M475">
        <f ca="1">HYPERLINK(CONCATENATE("https://bugzilla.houston.hp.com:1181/bugzilla/show_bug.cgi?id=",INDIRECT(C70&amp;ROW())),INDIRECT(C70&amp;ROW()))</f>
        <v>61077</v>
      </c>
      <c r="N475">
        <v>61077</v>
      </c>
      <c r="O475" t="s">
        <v>298</v>
      </c>
      <c r="P475" t="s">
        <v>961</v>
      </c>
      <c r="Q475" t="s">
        <v>39</v>
      </c>
      <c r="R475" t="s">
        <v>783</v>
      </c>
      <c r="S475" t="s">
        <v>552</v>
      </c>
      <c r="U475" s="6">
        <v>42179.260347222225</v>
      </c>
      <c r="V475" t="s">
        <v>18</v>
      </c>
      <c r="W475" t="s">
        <v>17</v>
      </c>
      <c r="X475" s="6">
        <v>42116.453344907408</v>
      </c>
      <c r="Y475" t="s">
        <v>119</v>
      </c>
      <c r="AB475" t="s">
        <v>201</v>
      </c>
      <c r="AC475" t="s">
        <v>247</v>
      </c>
      <c r="AD475" t="s">
        <v>227</v>
      </c>
      <c r="AE475" t="s">
        <v>231</v>
      </c>
      <c r="AG475" t="s">
        <v>337</v>
      </c>
      <c r="AH475" t="s">
        <v>327</v>
      </c>
      <c r="AI475" t="s">
        <v>121</v>
      </c>
      <c r="AJ475" t="s">
        <v>715</v>
      </c>
      <c r="AK475" t="s">
        <v>121</v>
      </c>
    </row>
    <row r="476" spans="9:37" x14ac:dyDescent="0.3">
      <c r="I476">
        <f ca="1">IF(OR(INDIRECT(A73&amp;ROW())=B93,INDIRECT(A73&amp;ROW())=B94),1,IF(AND(INDIRECT(A73&amp;ROW())=B95,INDIRECT(A96&amp;ROW())=C93),1,IF(AND(INDIRECT(A73&amp;ROW())=B95,INDIRECT(A96&amp;ROW())=C94),1,0)))</f>
        <v>1</v>
      </c>
      <c r="J476">
        <f ca="1">IF(AND(INDIRECT(A73&amp;ROW())=B95,INDIRECT(A96&amp;ROW())=C95),1,IF(AND(INDIRECT(A73&amp;ROW())=B95,INDIRECT(A96&amp;ROW())=C96),1,0))</f>
        <v>0</v>
      </c>
      <c r="K476">
        <f ca="1">DAYS360(INDIRECT(C68&amp;ROW()),TODAY())</f>
        <v>674</v>
      </c>
      <c r="L476">
        <f ca="1">DAYS360(INDIRECT(C69&amp;ROW()),TODAY())</f>
        <v>730</v>
      </c>
      <c r="M476">
        <f ca="1">HYPERLINK(CONCATENATE("https://bugzilla.houston.hp.com:1181/bugzilla/show_bug.cgi?id=",INDIRECT(C70&amp;ROW())),INDIRECT(C70&amp;ROW()))</f>
        <v>61079</v>
      </c>
      <c r="N476">
        <v>61079</v>
      </c>
      <c r="O476" t="s">
        <v>241</v>
      </c>
      <c r="P476" t="s">
        <v>960</v>
      </c>
      <c r="Q476" t="s">
        <v>39</v>
      </c>
      <c r="R476" t="s">
        <v>783</v>
      </c>
      <c r="S476" t="s">
        <v>552</v>
      </c>
      <c r="T476" t="s">
        <v>932</v>
      </c>
      <c r="U476" s="6">
        <v>42173.359375</v>
      </c>
      <c r="V476" t="s">
        <v>18</v>
      </c>
      <c r="W476" t="s">
        <v>17</v>
      </c>
      <c r="X476" s="6">
        <v>42116.453750000001</v>
      </c>
      <c r="Y476" t="s">
        <v>535</v>
      </c>
      <c r="AB476" t="s">
        <v>201</v>
      </c>
      <c r="AC476" t="s">
        <v>247</v>
      </c>
      <c r="AD476" t="s">
        <v>222</v>
      </c>
      <c r="AE476" t="s">
        <v>221</v>
      </c>
      <c r="AG476" t="s">
        <v>337</v>
      </c>
      <c r="AH476" t="s">
        <v>327</v>
      </c>
      <c r="AI476" t="s">
        <v>121</v>
      </c>
      <c r="AJ476" t="s">
        <v>715</v>
      </c>
      <c r="AK476" t="s">
        <v>121</v>
      </c>
    </row>
    <row r="477" spans="9:37" x14ac:dyDescent="0.3">
      <c r="I477">
        <f ca="1">IF(OR(INDIRECT(A73&amp;ROW())=B93,INDIRECT(A73&amp;ROW())=B94),1,IF(AND(INDIRECT(A73&amp;ROW())=B95,INDIRECT(A96&amp;ROW())=C93),1,IF(AND(INDIRECT(A73&amp;ROW())=B95,INDIRECT(A96&amp;ROW())=C94),1,0)))</f>
        <v>1</v>
      </c>
      <c r="J477">
        <f ca="1">IF(AND(INDIRECT(A73&amp;ROW())=B95,INDIRECT(A96&amp;ROW())=C95),1,IF(AND(INDIRECT(A73&amp;ROW())=B95,INDIRECT(A96&amp;ROW())=C96),1,0))</f>
        <v>0</v>
      </c>
      <c r="K477">
        <f ca="1">DAYS360(INDIRECT(C68&amp;ROW()),TODAY())</f>
        <v>668</v>
      </c>
      <c r="L477">
        <f ca="1">DAYS360(INDIRECT(C69&amp;ROW()),TODAY())</f>
        <v>730</v>
      </c>
      <c r="M477">
        <f ca="1">HYPERLINK(CONCATENATE("https://bugzilla.houston.hp.com:1181/bugzilla/show_bug.cgi?id=",INDIRECT(C70&amp;ROW())),INDIRECT(C70&amp;ROW()))</f>
        <v>61082</v>
      </c>
      <c r="N477">
        <v>61082</v>
      </c>
      <c r="O477" t="s">
        <v>50</v>
      </c>
      <c r="P477" t="s">
        <v>959</v>
      </c>
      <c r="Q477" t="s">
        <v>25</v>
      </c>
      <c r="R477" t="s">
        <v>783</v>
      </c>
      <c r="S477" t="s">
        <v>552</v>
      </c>
      <c r="T477" t="s">
        <v>782</v>
      </c>
      <c r="U477" s="6">
        <v>42179.262118055558</v>
      </c>
      <c r="V477" t="s">
        <v>18</v>
      </c>
      <c r="W477" t="s">
        <v>17</v>
      </c>
      <c r="X477" s="6">
        <v>42116.454432870371</v>
      </c>
      <c r="Y477" t="s">
        <v>119</v>
      </c>
      <c r="AB477" t="s">
        <v>200</v>
      </c>
      <c r="AC477" t="s">
        <v>121</v>
      </c>
      <c r="AD477" t="s">
        <v>227</v>
      </c>
      <c r="AE477" t="s">
        <v>226</v>
      </c>
      <c r="AG477" t="s">
        <v>337</v>
      </c>
      <c r="AH477" t="s">
        <v>327</v>
      </c>
      <c r="AI477" t="s">
        <v>362</v>
      </c>
      <c r="AJ477" t="s">
        <v>715</v>
      </c>
      <c r="AK477" t="s">
        <v>121</v>
      </c>
    </row>
    <row r="478" spans="9:37" x14ac:dyDescent="0.3">
      <c r="I478">
        <f ca="1">IF(OR(INDIRECT(A73&amp;ROW())=B93,INDIRECT(A73&amp;ROW())=B94),1,IF(AND(INDIRECT(A73&amp;ROW())=B95,INDIRECT(A96&amp;ROW())=C93),1,IF(AND(INDIRECT(A73&amp;ROW())=B95,INDIRECT(A96&amp;ROW())=C94),1,0)))</f>
        <v>1</v>
      </c>
      <c r="J478">
        <f ca="1">IF(AND(INDIRECT(A73&amp;ROW())=B95,INDIRECT(A96&amp;ROW())=C95),1,IF(AND(INDIRECT(A73&amp;ROW())=B95,INDIRECT(A96&amp;ROW())=C96),1,0))</f>
        <v>0</v>
      </c>
      <c r="K478">
        <f ca="1">DAYS360(INDIRECT(C68&amp;ROW()),TODAY())</f>
        <v>668</v>
      </c>
      <c r="L478">
        <f ca="1">DAYS360(INDIRECT(C69&amp;ROW()),TODAY())</f>
        <v>730</v>
      </c>
      <c r="M478">
        <f ca="1">HYPERLINK(CONCATENATE("https://bugzilla.houston.hp.com:1181/bugzilla/show_bug.cgi?id=",INDIRECT(C70&amp;ROW())),INDIRECT(C70&amp;ROW()))</f>
        <v>61083</v>
      </c>
      <c r="N478">
        <v>61083</v>
      </c>
      <c r="O478" t="s">
        <v>66</v>
      </c>
      <c r="P478" t="s">
        <v>958</v>
      </c>
      <c r="Q478" t="s">
        <v>39</v>
      </c>
      <c r="R478" t="s">
        <v>783</v>
      </c>
      <c r="S478" t="s">
        <v>552</v>
      </c>
      <c r="T478" t="s">
        <v>782</v>
      </c>
      <c r="U478" s="6">
        <v>42179.260833333334</v>
      </c>
      <c r="V478" t="s">
        <v>18</v>
      </c>
      <c r="W478" t="s">
        <v>17</v>
      </c>
      <c r="X478" s="6">
        <v>42116.454814814817</v>
      </c>
      <c r="Y478" t="s">
        <v>122</v>
      </c>
      <c r="AB478" t="s">
        <v>201</v>
      </c>
      <c r="AC478" t="s">
        <v>247</v>
      </c>
      <c r="AD478" t="s">
        <v>220</v>
      </c>
      <c r="AE478" t="s">
        <v>219</v>
      </c>
      <c r="AG478" t="s">
        <v>337</v>
      </c>
      <c r="AH478" t="s">
        <v>327</v>
      </c>
      <c r="AI478" t="s">
        <v>121</v>
      </c>
      <c r="AJ478" t="s">
        <v>715</v>
      </c>
      <c r="AK478" t="s">
        <v>121</v>
      </c>
    </row>
    <row r="479" spans="9:37" x14ac:dyDescent="0.3">
      <c r="I479">
        <f ca="1">IF(OR(INDIRECT(A73&amp;ROW())=B93,INDIRECT(A73&amp;ROW())=B94),1,IF(AND(INDIRECT(A73&amp;ROW())=B95,INDIRECT(A96&amp;ROW())=C93),1,IF(AND(INDIRECT(A73&amp;ROW())=B95,INDIRECT(A96&amp;ROW())=C94),1,0)))</f>
        <v>1</v>
      </c>
      <c r="J479">
        <f ca="1">IF(AND(INDIRECT(A73&amp;ROW())=B95,INDIRECT(A96&amp;ROW())=C95),1,IF(AND(INDIRECT(A73&amp;ROW())=B95,INDIRECT(A96&amp;ROW())=C96),1,0))</f>
        <v>0</v>
      </c>
      <c r="K479">
        <f ca="1">DAYS360(INDIRECT(C68&amp;ROW()),TODAY())</f>
        <v>675</v>
      </c>
      <c r="L479">
        <f ca="1">DAYS360(INDIRECT(C69&amp;ROW()),TODAY())</f>
        <v>729</v>
      </c>
      <c r="M479">
        <f ca="1">HYPERLINK(CONCATENATE("https://bugzilla.houston.hp.com:1181/bugzilla/show_bug.cgi?id=",INDIRECT(C70&amp;ROW())),INDIRECT(C70&amp;ROW()))</f>
        <v>61184</v>
      </c>
      <c r="N479">
        <v>61184</v>
      </c>
      <c r="O479" t="s">
        <v>55</v>
      </c>
      <c r="P479" t="s">
        <v>1251</v>
      </c>
      <c r="Q479" t="s">
        <v>39</v>
      </c>
      <c r="R479" t="s">
        <v>251</v>
      </c>
      <c r="S479" t="s">
        <v>177</v>
      </c>
      <c r="T479" t="s">
        <v>1058</v>
      </c>
      <c r="U479" s="6">
        <v>42172.109212962961</v>
      </c>
      <c r="V479" t="s">
        <v>35</v>
      </c>
      <c r="W479" t="s">
        <v>783</v>
      </c>
      <c r="X479" s="6">
        <v>42117.455983796295</v>
      </c>
      <c r="Y479" t="s">
        <v>245</v>
      </c>
      <c r="AB479" t="s">
        <v>201</v>
      </c>
      <c r="AC479" t="s">
        <v>247</v>
      </c>
      <c r="AD479" t="s">
        <v>222</v>
      </c>
      <c r="AE479" t="s">
        <v>240</v>
      </c>
      <c r="AG479" t="s">
        <v>121</v>
      </c>
      <c r="AH479" t="s">
        <v>327</v>
      </c>
      <c r="AI479" t="s">
        <v>121</v>
      </c>
      <c r="AJ479" t="s">
        <v>715</v>
      </c>
      <c r="AK479" t="s">
        <v>121</v>
      </c>
    </row>
    <row r="480" spans="9:37" x14ac:dyDescent="0.3">
      <c r="I480">
        <f ca="1">IF(OR(INDIRECT(A73&amp;ROW())=B93,INDIRECT(A73&amp;ROW())=B94),1,IF(AND(INDIRECT(A73&amp;ROW())=B95,INDIRECT(A96&amp;ROW())=C93),1,IF(AND(INDIRECT(A73&amp;ROW())=B95,INDIRECT(A96&amp;ROW())=C94),1,0)))</f>
        <v>0</v>
      </c>
      <c r="J480">
        <f ca="1">IF(AND(INDIRECT(A73&amp;ROW())=B95,INDIRECT(A96&amp;ROW())=C95),1,IF(AND(INDIRECT(A73&amp;ROW())=B95,INDIRECT(A96&amp;ROW())=C96),1,0))</f>
        <v>1</v>
      </c>
      <c r="K480">
        <f ca="1">DAYS360(INDIRECT(C68&amp;ROW()),TODAY())</f>
        <v>728</v>
      </c>
      <c r="L480">
        <f ca="1">DAYS360(INDIRECT(C69&amp;ROW()),TODAY())</f>
        <v>728</v>
      </c>
      <c r="M480">
        <f ca="1">HYPERLINK(CONCATENATE("https://bugzilla.houston.hp.com:1181/bugzilla/show_bug.cgi?id=",INDIRECT(C70&amp;ROW())),INDIRECT(C70&amp;ROW()))</f>
        <v>61236</v>
      </c>
      <c r="N480">
        <v>61236</v>
      </c>
      <c r="O480" t="s">
        <v>66</v>
      </c>
      <c r="P480" t="s">
        <v>956</v>
      </c>
      <c r="Q480" t="s">
        <v>25</v>
      </c>
      <c r="R480" t="s">
        <v>783</v>
      </c>
      <c r="S480" t="s">
        <v>552</v>
      </c>
      <c r="U480" s="6">
        <v>42118.33730324074</v>
      </c>
      <c r="V480" t="s">
        <v>18</v>
      </c>
      <c r="W480" t="s">
        <v>17</v>
      </c>
      <c r="X480" s="6">
        <v>42118.33730324074</v>
      </c>
      <c r="Y480" t="s">
        <v>124</v>
      </c>
      <c r="AB480" t="s">
        <v>201</v>
      </c>
      <c r="AC480" t="s">
        <v>247</v>
      </c>
      <c r="AD480" t="s">
        <v>220</v>
      </c>
      <c r="AE480" t="s">
        <v>219</v>
      </c>
      <c r="AG480" t="s">
        <v>121</v>
      </c>
      <c r="AH480" t="s">
        <v>327</v>
      </c>
      <c r="AI480" t="s">
        <v>121</v>
      </c>
      <c r="AJ480" t="s">
        <v>716</v>
      </c>
      <c r="AK480" t="s">
        <v>121</v>
      </c>
    </row>
    <row r="481" spans="9:37" x14ac:dyDescent="0.3">
      <c r="I481">
        <f ca="1">IF(OR(INDIRECT(A73&amp;ROW())=B93,INDIRECT(A73&amp;ROW())=B94),1,IF(AND(INDIRECT(A73&amp;ROW())=B95,INDIRECT(A96&amp;ROW())=C93),1,IF(AND(INDIRECT(A73&amp;ROW())=B95,INDIRECT(A96&amp;ROW())=C94),1,0)))</f>
        <v>0</v>
      </c>
      <c r="J481">
        <f ca="1">IF(AND(INDIRECT(A73&amp;ROW())=B95,INDIRECT(A96&amp;ROW())=C95),1,IF(AND(INDIRECT(A73&amp;ROW())=B95,INDIRECT(A96&amp;ROW())=C96),1,0))</f>
        <v>1</v>
      </c>
      <c r="K481">
        <f ca="1">DAYS360(INDIRECT(C68&amp;ROW()),TODAY())</f>
        <v>721</v>
      </c>
      <c r="L481">
        <f ca="1">DAYS360(INDIRECT(C69&amp;ROW()),TODAY())</f>
        <v>728</v>
      </c>
      <c r="M481">
        <f ca="1">HYPERLINK(CONCATENATE("https://bugzilla.houston.hp.com:1181/bugzilla/show_bug.cgi?id=",INDIRECT(C70&amp;ROW())),INDIRECT(C70&amp;ROW()))</f>
        <v>61237</v>
      </c>
      <c r="N481">
        <v>61237</v>
      </c>
      <c r="O481" t="s">
        <v>56</v>
      </c>
      <c r="P481" t="s">
        <v>955</v>
      </c>
      <c r="Q481" t="s">
        <v>25</v>
      </c>
      <c r="R481" t="s">
        <v>783</v>
      </c>
      <c r="S481" t="s">
        <v>552</v>
      </c>
      <c r="U481" s="6">
        <v>42125.451805555553</v>
      </c>
      <c r="V481" t="s">
        <v>18</v>
      </c>
      <c r="W481" t="s">
        <v>17</v>
      </c>
      <c r="X481" s="6">
        <v>42118.337488425925</v>
      </c>
      <c r="Y481" t="s">
        <v>122</v>
      </c>
      <c r="AB481" t="s">
        <v>201</v>
      </c>
      <c r="AC481" t="s">
        <v>247</v>
      </c>
      <c r="AD481" t="s">
        <v>220</v>
      </c>
      <c r="AE481" t="s">
        <v>219</v>
      </c>
      <c r="AG481" t="s">
        <v>121</v>
      </c>
      <c r="AH481" t="s">
        <v>327</v>
      </c>
      <c r="AI481" t="s">
        <v>121</v>
      </c>
      <c r="AJ481" t="s">
        <v>716</v>
      </c>
      <c r="AK481" t="s">
        <v>121</v>
      </c>
    </row>
    <row r="482" spans="9:37" x14ac:dyDescent="0.3">
      <c r="I482">
        <f ca="1">IF(OR(INDIRECT(A73&amp;ROW())=B93,INDIRECT(A73&amp;ROW())=B94),1,IF(AND(INDIRECT(A73&amp;ROW())=B95,INDIRECT(A96&amp;ROW())=C93),1,IF(AND(INDIRECT(A73&amp;ROW())=B95,INDIRECT(A96&amp;ROW())=C94),1,0)))</f>
        <v>0</v>
      </c>
      <c r="J482">
        <f ca="1">IF(AND(INDIRECT(A73&amp;ROW())=B95,INDIRECT(A96&amp;ROW())=C95),1,IF(AND(INDIRECT(A73&amp;ROW())=B95,INDIRECT(A96&amp;ROW())=C96),1,0))</f>
        <v>1</v>
      </c>
      <c r="K482">
        <f ca="1">DAYS360(INDIRECT(C68&amp;ROW()),TODAY())</f>
        <v>721</v>
      </c>
      <c r="L482">
        <f ca="1">DAYS360(INDIRECT(C69&amp;ROW()),TODAY())</f>
        <v>728</v>
      </c>
      <c r="M482">
        <f ca="1">HYPERLINK(CONCATENATE("https://bugzilla.houston.hp.com:1181/bugzilla/show_bug.cgi?id=",INDIRECT(C70&amp;ROW())),INDIRECT(C70&amp;ROW()))</f>
        <v>61238</v>
      </c>
      <c r="N482">
        <v>61238</v>
      </c>
      <c r="O482" t="s">
        <v>56</v>
      </c>
      <c r="P482" t="s">
        <v>954</v>
      </c>
      <c r="Q482" t="s">
        <v>25</v>
      </c>
      <c r="R482" t="s">
        <v>783</v>
      </c>
      <c r="S482" t="s">
        <v>552</v>
      </c>
      <c r="U482" s="6">
        <v>42125.451863425929</v>
      </c>
      <c r="V482" t="s">
        <v>18</v>
      </c>
      <c r="W482" t="s">
        <v>17</v>
      </c>
      <c r="X482" s="6">
        <v>42118.337650462963</v>
      </c>
      <c r="Y482" t="s">
        <v>122</v>
      </c>
      <c r="AB482" t="s">
        <v>201</v>
      </c>
      <c r="AC482" t="s">
        <v>247</v>
      </c>
      <c r="AD482" t="s">
        <v>220</v>
      </c>
      <c r="AE482" t="s">
        <v>219</v>
      </c>
      <c r="AG482" t="s">
        <v>121</v>
      </c>
      <c r="AH482" t="s">
        <v>327</v>
      </c>
      <c r="AI482" t="s">
        <v>121</v>
      </c>
      <c r="AJ482" t="s">
        <v>716</v>
      </c>
      <c r="AK482" t="s">
        <v>121</v>
      </c>
    </row>
    <row r="483" spans="9:37" x14ac:dyDescent="0.3">
      <c r="I483">
        <f ca="1">IF(OR(INDIRECT(A73&amp;ROW())=B93,INDIRECT(A73&amp;ROW())=B94),1,IF(AND(INDIRECT(A73&amp;ROW())=B95,INDIRECT(A96&amp;ROW())=C93),1,IF(AND(INDIRECT(A73&amp;ROW())=B95,INDIRECT(A96&amp;ROW())=C94),1,0)))</f>
        <v>0</v>
      </c>
      <c r="J483">
        <f ca="1">IF(AND(INDIRECT(A73&amp;ROW())=B95,INDIRECT(A96&amp;ROW())=C95),1,IF(AND(INDIRECT(A73&amp;ROW())=B95,INDIRECT(A96&amp;ROW())=C96),1,0))</f>
        <v>1</v>
      </c>
      <c r="K483">
        <f ca="1">DAYS360(INDIRECT(C68&amp;ROW()),TODAY())</f>
        <v>721</v>
      </c>
      <c r="L483">
        <f ca="1">DAYS360(INDIRECT(C69&amp;ROW()),TODAY())</f>
        <v>728</v>
      </c>
      <c r="M483">
        <f ca="1">HYPERLINK(CONCATENATE("https://bugzilla.houston.hp.com:1181/bugzilla/show_bug.cgi?id=",INDIRECT(C70&amp;ROW())),INDIRECT(C70&amp;ROW()))</f>
        <v>61239</v>
      </c>
      <c r="N483">
        <v>61239</v>
      </c>
      <c r="O483" t="s">
        <v>56</v>
      </c>
      <c r="P483" t="s">
        <v>953</v>
      </c>
      <c r="Q483" t="s">
        <v>25</v>
      </c>
      <c r="R483" t="s">
        <v>783</v>
      </c>
      <c r="S483" t="s">
        <v>552</v>
      </c>
      <c r="U483" s="6">
        <v>42125.452974537038</v>
      </c>
      <c r="V483" t="s">
        <v>18</v>
      </c>
      <c r="W483" t="s">
        <v>17</v>
      </c>
      <c r="X483" s="6">
        <v>42118.337824074071</v>
      </c>
      <c r="Y483" t="s">
        <v>122</v>
      </c>
      <c r="AB483" t="s">
        <v>201</v>
      </c>
      <c r="AC483" t="s">
        <v>247</v>
      </c>
      <c r="AD483" t="s">
        <v>220</v>
      </c>
      <c r="AE483" t="s">
        <v>219</v>
      </c>
      <c r="AG483" t="s">
        <v>121</v>
      </c>
      <c r="AH483" t="s">
        <v>327</v>
      </c>
      <c r="AI483" t="s">
        <v>121</v>
      </c>
      <c r="AJ483" t="s">
        <v>716</v>
      </c>
      <c r="AK483" t="s">
        <v>121</v>
      </c>
    </row>
    <row r="484" spans="9:37" x14ac:dyDescent="0.3">
      <c r="I484">
        <f ca="1">IF(OR(INDIRECT(A73&amp;ROW())=B93,INDIRECT(A73&amp;ROW())=B94),1,IF(AND(INDIRECT(A73&amp;ROW())=B95,INDIRECT(A96&amp;ROW())=C93),1,IF(AND(INDIRECT(A73&amp;ROW())=B95,INDIRECT(A96&amp;ROW())=C94),1,0)))</f>
        <v>0</v>
      </c>
      <c r="J484">
        <f ca="1">IF(AND(INDIRECT(A73&amp;ROW())=B95,INDIRECT(A96&amp;ROW())=C95),1,IF(AND(INDIRECT(A73&amp;ROW())=B95,INDIRECT(A96&amp;ROW())=C96),1,0))</f>
        <v>1</v>
      </c>
      <c r="K484">
        <f ca="1">DAYS360(INDIRECT(C68&amp;ROW()),TODAY())</f>
        <v>721</v>
      </c>
      <c r="L484">
        <f ca="1">DAYS360(INDIRECT(C69&amp;ROW()),TODAY())</f>
        <v>728</v>
      </c>
      <c r="M484">
        <f ca="1">HYPERLINK(CONCATENATE("https://bugzilla.houston.hp.com:1181/bugzilla/show_bug.cgi?id=",INDIRECT(C70&amp;ROW())),INDIRECT(C70&amp;ROW()))</f>
        <v>61240</v>
      </c>
      <c r="N484">
        <v>61240</v>
      </c>
      <c r="O484" t="s">
        <v>56</v>
      </c>
      <c r="P484" t="s">
        <v>952</v>
      </c>
      <c r="Q484" t="s">
        <v>25</v>
      </c>
      <c r="R484" t="s">
        <v>783</v>
      </c>
      <c r="S484" t="s">
        <v>552</v>
      </c>
      <c r="U484" s="6">
        <v>42125.452939814815</v>
      </c>
      <c r="V484" t="s">
        <v>18</v>
      </c>
      <c r="W484" t="s">
        <v>17</v>
      </c>
      <c r="X484" s="6">
        <v>42118.33797453704</v>
      </c>
      <c r="Y484" t="s">
        <v>122</v>
      </c>
      <c r="AB484" t="s">
        <v>201</v>
      </c>
      <c r="AC484" t="s">
        <v>247</v>
      </c>
      <c r="AD484" t="s">
        <v>220</v>
      </c>
      <c r="AE484" t="s">
        <v>219</v>
      </c>
      <c r="AG484" t="s">
        <v>121</v>
      </c>
      <c r="AH484" t="s">
        <v>327</v>
      </c>
      <c r="AI484" t="s">
        <v>121</v>
      </c>
      <c r="AJ484" t="s">
        <v>716</v>
      </c>
      <c r="AK484" t="s">
        <v>121</v>
      </c>
    </row>
    <row r="485" spans="9:37" x14ac:dyDescent="0.3">
      <c r="I485">
        <f ca="1">IF(OR(INDIRECT(A73&amp;ROW())=B93,INDIRECT(A73&amp;ROW())=B94),1,IF(AND(INDIRECT(A73&amp;ROW())=B95,INDIRECT(A96&amp;ROW())=C93),1,IF(AND(INDIRECT(A73&amp;ROW())=B95,INDIRECT(A96&amp;ROW())=C94),1,0)))</f>
        <v>0</v>
      </c>
      <c r="J485">
        <f ca="1">IF(AND(INDIRECT(A73&amp;ROW())=B95,INDIRECT(A96&amp;ROW())=C95),1,IF(AND(INDIRECT(A73&amp;ROW())=B95,INDIRECT(A96&amp;ROW())=C96),1,0))</f>
        <v>1</v>
      </c>
      <c r="K485">
        <f ca="1">DAYS360(INDIRECT(C68&amp;ROW()),TODAY())</f>
        <v>728</v>
      </c>
      <c r="L485">
        <f ca="1">DAYS360(INDIRECT(C69&amp;ROW()),TODAY())</f>
        <v>728</v>
      </c>
      <c r="M485">
        <f ca="1">HYPERLINK(CONCATENATE("https://bugzilla.houston.hp.com:1181/bugzilla/show_bug.cgi?id=",INDIRECT(C70&amp;ROW())),INDIRECT(C70&amp;ROW()))</f>
        <v>61241</v>
      </c>
      <c r="N485">
        <v>61241</v>
      </c>
      <c r="O485" t="s">
        <v>56</v>
      </c>
      <c r="P485" t="s">
        <v>951</v>
      </c>
      <c r="Q485" t="s">
        <v>25</v>
      </c>
      <c r="R485" t="s">
        <v>783</v>
      </c>
      <c r="S485" t="s">
        <v>552</v>
      </c>
      <c r="U485" s="6">
        <v>42118.338229166664</v>
      </c>
      <c r="V485" t="s">
        <v>18</v>
      </c>
      <c r="W485" t="s">
        <v>17</v>
      </c>
      <c r="X485" s="6">
        <v>42118.338229166664</v>
      </c>
      <c r="Y485" t="s">
        <v>788</v>
      </c>
      <c r="AB485" t="s">
        <v>201</v>
      </c>
      <c r="AC485" t="s">
        <v>247</v>
      </c>
      <c r="AD485" t="s">
        <v>220</v>
      </c>
      <c r="AE485" t="s">
        <v>219</v>
      </c>
      <c r="AG485" t="s">
        <v>121</v>
      </c>
      <c r="AH485" t="s">
        <v>327</v>
      </c>
      <c r="AI485" t="s">
        <v>121</v>
      </c>
      <c r="AJ485" t="s">
        <v>716</v>
      </c>
      <c r="AK485" t="s">
        <v>121</v>
      </c>
    </row>
    <row r="486" spans="9:37" x14ac:dyDescent="0.3">
      <c r="I486">
        <f ca="1">IF(OR(INDIRECT(A73&amp;ROW())=B93,INDIRECT(A73&amp;ROW())=B94),1,IF(AND(INDIRECT(A73&amp;ROW())=B95,INDIRECT(A96&amp;ROW())=C93),1,IF(AND(INDIRECT(A73&amp;ROW())=B95,INDIRECT(A96&amp;ROW())=C94),1,0)))</f>
        <v>0</v>
      </c>
      <c r="J486">
        <f ca="1">IF(AND(INDIRECT(A73&amp;ROW())=B95,INDIRECT(A96&amp;ROW())=C95),1,IF(AND(INDIRECT(A73&amp;ROW())=B95,INDIRECT(A96&amp;ROW())=C96),1,0))</f>
        <v>1</v>
      </c>
      <c r="K486">
        <f ca="1">DAYS360(INDIRECT(C68&amp;ROW()),TODAY())</f>
        <v>721</v>
      </c>
      <c r="L486">
        <f ca="1">DAYS360(INDIRECT(C69&amp;ROW()),TODAY())</f>
        <v>728</v>
      </c>
      <c r="M486">
        <f ca="1">HYPERLINK(CONCATENATE("https://bugzilla.houston.hp.com:1181/bugzilla/show_bug.cgi?id=",INDIRECT(C70&amp;ROW())),INDIRECT(C70&amp;ROW()))</f>
        <v>61242</v>
      </c>
      <c r="N486">
        <v>61242</v>
      </c>
      <c r="O486" t="s">
        <v>56</v>
      </c>
      <c r="P486" t="s">
        <v>950</v>
      </c>
      <c r="Q486" t="s">
        <v>25</v>
      </c>
      <c r="R486" t="s">
        <v>783</v>
      </c>
      <c r="S486" t="s">
        <v>552</v>
      </c>
      <c r="U486" s="6">
        <v>42125.45175925926</v>
      </c>
      <c r="V486" t="s">
        <v>18</v>
      </c>
      <c r="W486" t="s">
        <v>17</v>
      </c>
      <c r="X486" s="6">
        <v>42118.338460648149</v>
      </c>
      <c r="Y486" t="s">
        <v>122</v>
      </c>
      <c r="AB486" t="s">
        <v>201</v>
      </c>
      <c r="AC486" t="s">
        <v>247</v>
      </c>
      <c r="AD486" t="s">
        <v>220</v>
      </c>
      <c r="AE486" t="s">
        <v>219</v>
      </c>
      <c r="AG486" t="s">
        <v>121</v>
      </c>
      <c r="AH486" t="s">
        <v>327</v>
      </c>
      <c r="AI486" t="s">
        <v>121</v>
      </c>
      <c r="AJ486" t="s">
        <v>716</v>
      </c>
      <c r="AK486" t="s">
        <v>121</v>
      </c>
    </row>
    <row r="487" spans="9:37" x14ac:dyDescent="0.3">
      <c r="I487">
        <f ca="1">IF(OR(INDIRECT(A73&amp;ROW())=B93,INDIRECT(A73&amp;ROW())=B94),1,IF(AND(INDIRECT(A73&amp;ROW())=B95,INDIRECT(A96&amp;ROW())=C93),1,IF(AND(INDIRECT(A73&amp;ROW())=B95,INDIRECT(A96&amp;ROW())=C94),1,0)))</f>
        <v>1</v>
      </c>
      <c r="J487">
        <f ca="1">IF(AND(INDIRECT(A73&amp;ROW())=B95,INDIRECT(A96&amp;ROW())=C95),1,IF(AND(INDIRECT(A73&amp;ROW())=B95,INDIRECT(A96&amp;ROW())=C96),1,0))</f>
        <v>0</v>
      </c>
      <c r="K487">
        <f ca="1">DAYS360(INDIRECT(C68&amp;ROW()),TODAY())</f>
        <v>691</v>
      </c>
      <c r="L487">
        <f ca="1">DAYS360(INDIRECT(C69&amp;ROW()),TODAY())</f>
        <v>728</v>
      </c>
      <c r="M487">
        <f ca="1">HYPERLINK(CONCATENATE("https://bugzilla.houston.hp.com:1181/bugzilla/show_bug.cgi?id=",INDIRECT(C70&amp;ROW())),INDIRECT(C70&amp;ROW()))</f>
        <v>61246</v>
      </c>
      <c r="N487">
        <v>61246</v>
      </c>
      <c r="O487" t="s">
        <v>53</v>
      </c>
      <c r="P487" t="s">
        <v>946</v>
      </c>
      <c r="Q487" t="s">
        <v>39</v>
      </c>
      <c r="R487" t="s">
        <v>783</v>
      </c>
      <c r="S487" t="s">
        <v>552</v>
      </c>
      <c r="U487" s="6">
        <v>42156.614560185182</v>
      </c>
      <c r="V487" t="s">
        <v>18</v>
      </c>
      <c r="W487" t="s">
        <v>17</v>
      </c>
      <c r="X487" s="6">
        <v>42118.339432870373</v>
      </c>
      <c r="Y487" t="s">
        <v>119</v>
      </c>
      <c r="AB487" t="s">
        <v>201</v>
      </c>
      <c r="AC487" t="s">
        <v>247</v>
      </c>
      <c r="AD487" t="s">
        <v>220</v>
      </c>
      <c r="AE487" t="s">
        <v>219</v>
      </c>
      <c r="AG487" t="s">
        <v>337</v>
      </c>
      <c r="AH487" t="s">
        <v>64</v>
      </c>
      <c r="AI487" t="s">
        <v>121</v>
      </c>
      <c r="AJ487" t="s">
        <v>715</v>
      </c>
      <c r="AK487" t="s">
        <v>121</v>
      </c>
    </row>
    <row r="488" spans="9:37" x14ac:dyDescent="0.3">
      <c r="I488">
        <f ca="1">IF(OR(INDIRECT(A73&amp;ROW())=B93,INDIRECT(A73&amp;ROW())=B94),1,IF(AND(INDIRECT(A73&amp;ROW())=B95,INDIRECT(A96&amp;ROW())=C93),1,IF(AND(INDIRECT(A73&amp;ROW())=B95,INDIRECT(A96&amp;ROW())=C94),1,0)))</f>
        <v>0</v>
      </c>
      <c r="J488">
        <f ca="1">IF(AND(INDIRECT(A73&amp;ROW())=B95,INDIRECT(A96&amp;ROW())=C95),1,IF(AND(INDIRECT(A73&amp;ROW())=B95,INDIRECT(A96&amp;ROW())=C96),1,0))</f>
        <v>1</v>
      </c>
      <c r="K488">
        <f ca="1">DAYS360(INDIRECT(C68&amp;ROW()),TODAY())</f>
        <v>682</v>
      </c>
      <c r="L488">
        <f ca="1">DAYS360(INDIRECT(C69&amp;ROW()),TODAY())</f>
        <v>728</v>
      </c>
      <c r="M488">
        <f ca="1">HYPERLINK(CONCATENATE("https://bugzilla.houston.hp.com:1181/bugzilla/show_bug.cgi?id=",INDIRECT(C70&amp;ROW())),INDIRECT(C70&amp;ROW()))</f>
        <v>61247</v>
      </c>
      <c r="N488">
        <v>61247</v>
      </c>
      <c r="O488" t="s">
        <v>204</v>
      </c>
      <c r="P488" t="s">
        <v>945</v>
      </c>
      <c r="Q488" t="s">
        <v>25</v>
      </c>
      <c r="R488" t="s">
        <v>783</v>
      </c>
      <c r="S488" t="s">
        <v>552</v>
      </c>
      <c r="U488" s="6">
        <v>42165.64403935185</v>
      </c>
      <c r="V488" t="s">
        <v>18</v>
      </c>
      <c r="W488" t="s">
        <v>17</v>
      </c>
      <c r="X488" s="6">
        <v>42118.33965277778</v>
      </c>
      <c r="Y488" t="s">
        <v>119</v>
      </c>
      <c r="AB488" t="s">
        <v>201</v>
      </c>
      <c r="AC488" t="s">
        <v>121</v>
      </c>
      <c r="AD488" t="s">
        <v>220</v>
      </c>
      <c r="AE488" t="s">
        <v>223</v>
      </c>
      <c r="AG488" t="s">
        <v>121</v>
      </c>
      <c r="AH488" t="s">
        <v>327</v>
      </c>
      <c r="AI488" t="s">
        <v>362</v>
      </c>
      <c r="AJ488" t="s">
        <v>716</v>
      </c>
      <c r="AK488" t="s">
        <v>121</v>
      </c>
    </row>
    <row r="489" spans="9:37" x14ac:dyDescent="0.3">
      <c r="I489">
        <f ca="1">IF(OR(INDIRECT(A73&amp;ROW())=B93,INDIRECT(A73&amp;ROW())=B94),1,IF(AND(INDIRECT(A73&amp;ROW())=B95,INDIRECT(A96&amp;ROW())=C93),1,IF(AND(INDIRECT(A73&amp;ROW())=B95,INDIRECT(A96&amp;ROW())=C94),1,0)))</f>
        <v>0</v>
      </c>
      <c r="J489">
        <f ca="1">IF(AND(INDIRECT(A73&amp;ROW())=B95,INDIRECT(A96&amp;ROW())=C95),1,IF(AND(INDIRECT(A73&amp;ROW())=B95,INDIRECT(A96&amp;ROW())=C96),1,0))</f>
        <v>1</v>
      </c>
      <c r="K489">
        <f ca="1">DAYS360(INDIRECT(C68&amp;ROW()),TODAY())</f>
        <v>675</v>
      </c>
      <c r="L489">
        <f ca="1">DAYS360(INDIRECT(C69&amp;ROW()),TODAY())</f>
        <v>728</v>
      </c>
      <c r="M489">
        <f ca="1">HYPERLINK(CONCATENATE("https://bugzilla.houston.hp.com:1181/bugzilla/show_bug.cgi?id=",INDIRECT(C70&amp;ROW())),INDIRECT(C70&amp;ROW()))</f>
        <v>61253</v>
      </c>
      <c r="N489">
        <v>61253</v>
      </c>
      <c r="O489" t="s">
        <v>44</v>
      </c>
      <c r="P489" t="s">
        <v>942</v>
      </c>
      <c r="Q489" t="s">
        <v>25</v>
      </c>
      <c r="R489" t="s">
        <v>783</v>
      </c>
      <c r="S489" t="s">
        <v>552</v>
      </c>
      <c r="T489" t="s">
        <v>48</v>
      </c>
      <c r="U489" s="6">
        <v>42172.477094907408</v>
      </c>
      <c r="V489" t="s">
        <v>18</v>
      </c>
      <c r="W489" t="s">
        <v>17</v>
      </c>
      <c r="X489" s="6">
        <v>42118.341377314813</v>
      </c>
      <c r="Y489" t="s">
        <v>535</v>
      </c>
      <c r="AB489" t="s">
        <v>201</v>
      </c>
      <c r="AC489" t="s">
        <v>247</v>
      </c>
      <c r="AD489" t="s">
        <v>220</v>
      </c>
      <c r="AE489" t="s">
        <v>219</v>
      </c>
      <c r="AG489" t="s">
        <v>121</v>
      </c>
      <c r="AH489" t="s">
        <v>327</v>
      </c>
      <c r="AI489" t="s">
        <v>121</v>
      </c>
      <c r="AJ489" t="s">
        <v>716</v>
      </c>
      <c r="AK489" t="s">
        <v>121</v>
      </c>
    </row>
    <row r="490" spans="9:37" x14ac:dyDescent="0.3">
      <c r="I490">
        <f ca="1">IF(OR(INDIRECT(A73&amp;ROW())=B93,INDIRECT(A73&amp;ROW())=B94),1,IF(AND(INDIRECT(A73&amp;ROW())=B95,INDIRECT(A96&amp;ROW())=C93),1,IF(AND(INDIRECT(A73&amp;ROW())=B95,INDIRECT(A96&amp;ROW())=C94),1,0)))</f>
        <v>0</v>
      </c>
      <c r="J490">
        <f ca="1">IF(AND(INDIRECT(A73&amp;ROW())=B95,INDIRECT(A96&amp;ROW())=C95),1,IF(AND(INDIRECT(A73&amp;ROW())=B95,INDIRECT(A96&amp;ROW())=C96),1,0))</f>
        <v>1</v>
      </c>
      <c r="K490">
        <f ca="1">DAYS360(INDIRECT(C68&amp;ROW()),TODAY())</f>
        <v>675</v>
      </c>
      <c r="L490">
        <f ca="1">DAYS360(INDIRECT(C69&amp;ROW()),TODAY())</f>
        <v>728</v>
      </c>
      <c r="M490">
        <f ca="1">HYPERLINK(CONCATENATE("https://bugzilla.houston.hp.com:1181/bugzilla/show_bug.cgi?id=",INDIRECT(C70&amp;ROW())),INDIRECT(C70&amp;ROW()))</f>
        <v>61256</v>
      </c>
      <c r="N490">
        <v>61256</v>
      </c>
      <c r="O490" t="s">
        <v>66</v>
      </c>
      <c r="P490" t="s">
        <v>940</v>
      </c>
      <c r="Q490" t="s">
        <v>25</v>
      </c>
      <c r="R490" t="s">
        <v>783</v>
      </c>
      <c r="S490" t="s">
        <v>552</v>
      </c>
      <c r="U490" s="6">
        <v>42172.473611111112</v>
      </c>
      <c r="V490" t="s">
        <v>18</v>
      </c>
      <c r="W490" t="s">
        <v>17</v>
      </c>
      <c r="X490" s="6">
        <v>42118.342280092591</v>
      </c>
      <c r="Y490" t="s">
        <v>122</v>
      </c>
      <c r="AB490" t="s">
        <v>201</v>
      </c>
      <c r="AC490" t="s">
        <v>247</v>
      </c>
      <c r="AD490" t="s">
        <v>220</v>
      </c>
      <c r="AE490" t="s">
        <v>219</v>
      </c>
      <c r="AG490" t="s">
        <v>121</v>
      </c>
      <c r="AH490" t="s">
        <v>327</v>
      </c>
      <c r="AI490" t="s">
        <v>121</v>
      </c>
      <c r="AJ490" t="s">
        <v>716</v>
      </c>
      <c r="AK490" t="s">
        <v>121</v>
      </c>
    </row>
    <row r="491" spans="9:37" x14ac:dyDescent="0.3">
      <c r="I491">
        <f ca="1">IF(OR(INDIRECT(A73&amp;ROW())=B93,INDIRECT(A73&amp;ROW())=B94),1,IF(AND(INDIRECT(A73&amp;ROW())=B95,INDIRECT(A96&amp;ROW())=C93),1,IF(AND(INDIRECT(A73&amp;ROW())=B95,INDIRECT(A96&amp;ROW())=C94),1,0)))</f>
        <v>0</v>
      </c>
      <c r="J491">
        <f ca="1">IF(AND(INDIRECT(A73&amp;ROW())=B95,INDIRECT(A96&amp;ROW())=C95),1,IF(AND(INDIRECT(A73&amp;ROW())=B95,INDIRECT(A96&amp;ROW())=C96),1,0))</f>
        <v>1</v>
      </c>
      <c r="K491">
        <f ca="1">DAYS360(INDIRECT(C68&amp;ROW()),TODAY())</f>
        <v>675</v>
      </c>
      <c r="L491">
        <f ca="1">DAYS360(INDIRECT(C69&amp;ROW()),TODAY())</f>
        <v>728</v>
      </c>
      <c r="M491">
        <f ca="1">HYPERLINK(CONCATENATE("https://bugzilla.houston.hp.com:1181/bugzilla/show_bug.cgi?id=",INDIRECT(C70&amp;ROW())),INDIRECT(C70&amp;ROW()))</f>
        <v>61257</v>
      </c>
      <c r="N491">
        <v>61257</v>
      </c>
      <c r="O491" t="s">
        <v>56</v>
      </c>
      <c r="P491" t="s">
        <v>939</v>
      </c>
      <c r="Q491" t="s">
        <v>25</v>
      </c>
      <c r="R491" t="s">
        <v>783</v>
      </c>
      <c r="S491" t="s">
        <v>552</v>
      </c>
      <c r="U491" s="6">
        <v>42172.472870370373</v>
      </c>
      <c r="V491" t="s">
        <v>18</v>
      </c>
      <c r="W491" t="s">
        <v>17</v>
      </c>
      <c r="X491" s="6">
        <v>42118.342569444445</v>
      </c>
      <c r="Y491" t="s">
        <v>119</v>
      </c>
      <c r="AB491" t="s">
        <v>201</v>
      </c>
      <c r="AC491" t="s">
        <v>247</v>
      </c>
      <c r="AD491" t="s">
        <v>220</v>
      </c>
      <c r="AE491" t="s">
        <v>219</v>
      </c>
      <c r="AG491" t="s">
        <v>121</v>
      </c>
      <c r="AH491" t="s">
        <v>327</v>
      </c>
      <c r="AI491" t="s">
        <v>121</v>
      </c>
      <c r="AJ491" t="s">
        <v>716</v>
      </c>
      <c r="AK491" t="s">
        <v>121</v>
      </c>
    </row>
    <row r="492" spans="9:37" x14ac:dyDescent="0.3">
      <c r="I492">
        <f ca="1">IF(OR(INDIRECT(A73&amp;ROW())=B93,INDIRECT(A73&amp;ROW())=B94),1,IF(AND(INDIRECT(A73&amp;ROW())=B95,INDIRECT(A96&amp;ROW())=C93),1,IF(AND(INDIRECT(A73&amp;ROW())=B95,INDIRECT(A96&amp;ROW())=C94),1,0)))</f>
        <v>0</v>
      </c>
      <c r="J492">
        <f ca="1">IF(AND(INDIRECT(A73&amp;ROW())=B95,INDIRECT(A96&amp;ROW())=C95),1,IF(AND(INDIRECT(A73&amp;ROW())=B95,INDIRECT(A96&amp;ROW())=C96),1,0))</f>
        <v>0</v>
      </c>
      <c r="K492">
        <f ca="1">DAYS360(INDIRECT(C68&amp;ROW()),TODAY())</f>
        <v>675</v>
      </c>
      <c r="L492">
        <f ca="1">DAYS360(INDIRECT(C69&amp;ROW()),TODAY())</f>
        <v>728</v>
      </c>
      <c r="M492">
        <f ca="1">HYPERLINK(CONCATENATE("https://bugzilla.houston.hp.com:1181/bugzilla/show_bug.cgi?id=",INDIRECT(C70&amp;ROW())),INDIRECT(C70&amp;ROW()))</f>
        <v>61258</v>
      </c>
      <c r="N492">
        <v>61258</v>
      </c>
      <c r="O492" t="s">
        <v>66</v>
      </c>
      <c r="P492" t="s">
        <v>938</v>
      </c>
      <c r="Q492" t="s">
        <v>16</v>
      </c>
      <c r="R492" t="s">
        <v>783</v>
      </c>
      <c r="S492" t="s">
        <v>552</v>
      </c>
      <c r="U492" s="6">
        <v>42172.478032407409</v>
      </c>
      <c r="V492" t="s">
        <v>18</v>
      </c>
      <c r="W492" t="s">
        <v>783</v>
      </c>
      <c r="X492" s="6">
        <v>42118.342928240738</v>
      </c>
      <c r="Y492" t="s">
        <v>786</v>
      </c>
      <c r="AB492" t="s">
        <v>200</v>
      </c>
      <c r="AC492" t="s">
        <v>247</v>
      </c>
      <c r="AD492" t="s">
        <v>220</v>
      </c>
      <c r="AE492" t="s">
        <v>219</v>
      </c>
      <c r="AG492" t="s">
        <v>121</v>
      </c>
      <c r="AH492" t="s">
        <v>327</v>
      </c>
      <c r="AI492" t="s">
        <v>121</v>
      </c>
      <c r="AJ492" t="s">
        <v>716</v>
      </c>
      <c r="AK492" t="s">
        <v>121</v>
      </c>
    </row>
    <row r="493" spans="9:37" x14ac:dyDescent="0.3">
      <c r="I493">
        <f ca="1">IF(OR(INDIRECT(A73&amp;ROW())=B93,INDIRECT(A73&amp;ROW())=B94),1,IF(AND(INDIRECT(A73&amp;ROW())=B95,INDIRECT(A96&amp;ROW())=C93),1,IF(AND(INDIRECT(A73&amp;ROW())=B95,INDIRECT(A96&amp;ROW())=C94),1,0)))</f>
        <v>0</v>
      </c>
      <c r="J493">
        <f ca="1">IF(AND(INDIRECT(A73&amp;ROW())=B95,INDIRECT(A96&amp;ROW())=C95),1,IF(AND(INDIRECT(A73&amp;ROW())=B95,INDIRECT(A96&amp;ROW())=C96),1,0))</f>
        <v>0</v>
      </c>
      <c r="K493">
        <f ca="1">DAYS360(INDIRECT(C68&amp;ROW()),TODAY())</f>
        <v>721</v>
      </c>
      <c r="L493">
        <f ca="1">DAYS360(INDIRECT(C69&amp;ROW()),TODAY())</f>
        <v>728</v>
      </c>
      <c r="M493">
        <f ca="1">HYPERLINK(CONCATENATE("https://bugzilla.houston.hp.com:1181/bugzilla/show_bug.cgi?id=",INDIRECT(C70&amp;ROW())),INDIRECT(C70&amp;ROW()))</f>
        <v>61271</v>
      </c>
      <c r="N493">
        <v>61271</v>
      </c>
      <c r="O493" t="s">
        <v>241</v>
      </c>
      <c r="P493" t="s">
        <v>936</v>
      </c>
      <c r="Q493" t="s">
        <v>16</v>
      </c>
      <c r="R493" t="s">
        <v>251</v>
      </c>
      <c r="S493" t="s">
        <v>296</v>
      </c>
      <c r="U493" s="6">
        <v>42125.494571759256</v>
      </c>
      <c r="V493" t="s">
        <v>18</v>
      </c>
      <c r="W493" t="s">
        <v>17</v>
      </c>
      <c r="X493" s="6">
        <v>42118.46429398148</v>
      </c>
      <c r="Y493" t="s">
        <v>122</v>
      </c>
      <c r="AB493" t="s">
        <v>200</v>
      </c>
      <c r="AC493" t="s">
        <v>247</v>
      </c>
      <c r="AD493" t="s">
        <v>227</v>
      </c>
      <c r="AE493" t="s">
        <v>238</v>
      </c>
      <c r="AG493" t="s">
        <v>121</v>
      </c>
      <c r="AH493" t="s">
        <v>327</v>
      </c>
      <c r="AI493" t="s">
        <v>121</v>
      </c>
      <c r="AJ493" t="s">
        <v>716</v>
      </c>
      <c r="AK493" t="s">
        <v>121</v>
      </c>
    </row>
    <row r="494" spans="9:37" x14ac:dyDescent="0.3">
      <c r="I494">
        <f ca="1">IF(OR(INDIRECT(A73&amp;ROW())=B93,INDIRECT(A73&amp;ROW())=B94),1,IF(AND(INDIRECT(A73&amp;ROW())=B95,INDIRECT(A96&amp;ROW())=C93),1,IF(AND(INDIRECT(A73&amp;ROW())=B95,INDIRECT(A96&amp;ROW())=C94),1,0)))</f>
        <v>0</v>
      </c>
      <c r="J494">
        <f ca="1">IF(AND(INDIRECT(A73&amp;ROW())=B95,INDIRECT(A96&amp;ROW())=C95),1,IF(AND(INDIRECT(A73&amp;ROW())=B95,INDIRECT(A96&amp;ROW())=C96),1,0))</f>
        <v>0</v>
      </c>
      <c r="K494">
        <f ca="1">DAYS360(INDIRECT(C68&amp;ROW()),TODAY())</f>
        <v>721</v>
      </c>
      <c r="L494">
        <f ca="1">DAYS360(INDIRECT(C69&amp;ROW()),TODAY())</f>
        <v>728</v>
      </c>
      <c r="M494">
        <f ca="1">HYPERLINK(CONCATENATE("https://bugzilla.houston.hp.com:1181/bugzilla/show_bug.cgi?id=",INDIRECT(C70&amp;ROW())),INDIRECT(C70&amp;ROW()))</f>
        <v>61285</v>
      </c>
      <c r="N494">
        <v>61285</v>
      </c>
      <c r="O494" t="s">
        <v>241</v>
      </c>
      <c r="P494" t="s">
        <v>935</v>
      </c>
      <c r="Q494" t="s">
        <v>16</v>
      </c>
      <c r="R494" t="s">
        <v>579</v>
      </c>
      <c r="S494" t="s">
        <v>552</v>
      </c>
      <c r="T494" t="s">
        <v>980</v>
      </c>
      <c r="U494" s="6">
        <v>42125.494745370372</v>
      </c>
      <c r="V494" t="s">
        <v>18</v>
      </c>
      <c r="W494" t="s">
        <v>17</v>
      </c>
      <c r="X494" s="6">
        <v>42118.515902777777</v>
      </c>
      <c r="Y494" t="s">
        <v>122</v>
      </c>
      <c r="AB494" t="s">
        <v>200</v>
      </c>
      <c r="AC494" t="s">
        <v>247</v>
      </c>
      <c r="AD494" t="s">
        <v>227</v>
      </c>
      <c r="AE494" t="s">
        <v>238</v>
      </c>
      <c r="AG494" t="s">
        <v>121</v>
      </c>
      <c r="AH494" t="s">
        <v>327</v>
      </c>
      <c r="AI494" t="s">
        <v>121</v>
      </c>
      <c r="AJ494" t="s">
        <v>716</v>
      </c>
      <c r="AK494" t="s">
        <v>121</v>
      </c>
    </row>
    <row r="495" spans="9:37" x14ac:dyDescent="0.3">
      <c r="I495">
        <f ca="1">IF(OR(INDIRECT(A73&amp;ROW())=B93,INDIRECT(A73&amp;ROW())=B94),1,IF(AND(INDIRECT(A73&amp;ROW())=B95,INDIRECT(A96&amp;ROW())=C93),1,IF(AND(INDIRECT(A73&amp;ROW())=B95,INDIRECT(A96&amp;ROW())=C94),1,0)))</f>
        <v>0</v>
      </c>
      <c r="J495">
        <f ca="1">IF(AND(INDIRECT(A73&amp;ROW())=B95,INDIRECT(A96&amp;ROW())=C95),1,IF(AND(INDIRECT(A73&amp;ROW())=B95,INDIRECT(A96&amp;ROW())=C96),1,0))</f>
        <v>0</v>
      </c>
      <c r="K495">
        <f ca="1">DAYS360(INDIRECT(C68&amp;ROW()),TODAY())</f>
        <v>687</v>
      </c>
      <c r="L495">
        <f ca="1">DAYS360(INDIRECT(C69&amp;ROW()),TODAY())</f>
        <v>728</v>
      </c>
      <c r="M495">
        <f ca="1">HYPERLINK(CONCATENATE("https://bugzilla.houston.hp.com:1181/bugzilla/show_bug.cgi?id=",INDIRECT(C70&amp;ROW())),INDIRECT(C70&amp;ROW()))</f>
        <v>61286</v>
      </c>
      <c r="N495">
        <v>61286</v>
      </c>
      <c r="O495" t="s">
        <v>241</v>
      </c>
      <c r="P495" t="s">
        <v>934</v>
      </c>
      <c r="Q495" t="s">
        <v>16</v>
      </c>
      <c r="R495" t="s">
        <v>248</v>
      </c>
      <c r="S495" t="s">
        <v>552</v>
      </c>
      <c r="U495" s="6">
        <v>42160.463993055557</v>
      </c>
      <c r="V495" t="s">
        <v>18</v>
      </c>
      <c r="W495" t="s">
        <v>17</v>
      </c>
      <c r="X495" s="6">
        <v>42118.516018518516</v>
      </c>
      <c r="Y495" t="s">
        <v>122</v>
      </c>
      <c r="AB495" t="s">
        <v>200</v>
      </c>
      <c r="AC495" t="s">
        <v>247</v>
      </c>
      <c r="AD495" t="s">
        <v>227</v>
      </c>
      <c r="AE495" t="s">
        <v>238</v>
      </c>
      <c r="AG495" t="s">
        <v>121</v>
      </c>
      <c r="AH495" t="s">
        <v>327</v>
      </c>
      <c r="AI495" t="s">
        <v>121</v>
      </c>
      <c r="AJ495" t="s">
        <v>716</v>
      </c>
      <c r="AK495" t="s">
        <v>121</v>
      </c>
    </row>
    <row r="496" spans="9:37" x14ac:dyDescent="0.3">
      <c r="I496">
        <f ca="1">IF(OR(INDIRECT(A73&amp;ROW())=B93,INDIRECT(A73&amp;ROW())=B94),1,IF(AND(INDIRECT(A73&amp;ROW())=B95,INDIRECT(A96&amp;ROW())=C93),1,IF(AND(INDIRECT(A73&amp;ROW())=B95,INDIRECT(A96&amp;ROW())=C94),1,0)))</f>
        <v>0</v>
      </c>
      <c r="J496">
        <f ca="1">IF(AND(INDIRECT(A73&amp;ROW())=B95,INDIRECT(A96&amp;ROW())=C95),1,IF(AND(INDIRECT(A73&amp;ROW())=B95,INDIRECT(A96&amp;ROW())=C96),1,0))</f>
        <v>1</v>
      </c>
      <c r="K496">
        <f ca="1">DAYS360(INDIRECT(C68&amp;ROW()),TODAY())</f>
        <v>682</v>
      </c>
      <c r="L496">
        <f ca="1">DAYS360(INDIRECT(C69&amp;ROW()),TODAY())</f>
        <v>725</v>
      </c>
      <c r="M496">
        <f ca="1">HYPERLINK(CONCATENATE("https://bugzilla.houston.hp.com:1181/bugzilla/show_bug.cgi?id=",INDIRECT(C70&amp;ROW())),INDIRECT(C70&amp;ROW()))</f>
        <v>61403</v>
      </c>
      <c r="N496">
        <v>61403</v>
      </c>
      <c r="O496" t="s">
        <v>241</v>
      </c>
      <c r="P496" t="s">
        <v>978</v>
      </c>
      <c r="Q496" t="s">
        <v>25</v>
      </c>
      <c r="R496" t="s">
        <v>251</v>
      </c>
      <c r="S496" t="s">
        <v>52</v>
      </c>
      <c r="U496" s="6">
        <v>42165.575555555559</v>
      </c>
      <c r="V496" t="s">
        <v>18</v>
      </c>
      <c r="W496" t="s">
        <v>783</v>
      </c>
      <c r="X496" s="6">
        <v>42121.557916666665</v>
      </c>
      <c r="Y496" t="s">
        <v>119</v>
      </c>
      <c r="AB496" t="s">
        <v>201</v>
      </c>
      <c r="AC496" t="s">
        <v>247</v>
      </c>
      <c r="AD496" t="s">
        <v>222</v>
      </c>
      <c r="AE496" t="s">
        <v>221</v>
      </c>
      <c r="AG496" t="s">
        <v>121</v>
      </c>
      <c r="AH496" t="s">
        <v>327</v>
      </c>
      <c r="AI496" t="s">
        <v>121</v>
      </c>
      <c r="AJ496" t="s">
        <v>716</v>
      </c>
      <c r="AK496" t="s">
        <v>121</v>
      </c>
    </row>
    <row r="497" spans="9:37" x14ac:dyDescent="0.3">
      <c r="I497">
        <f ca="1">IF(OR(INDIRECT(A73&amp;ROW())=B93,INDIRECT(A73&amp;ROW())=B94),1,IF(AND(INDIRECT(A73&amp;ROW())=B95,INDIRECT(A96&amp;ROW())=C93),1,IF(AND(INDIRECT(A73&amp;ROW())=B95,INDIRECT(A96&amp;ROW())=C94),1,0)))</f>
        <v>0</v>
      </c>
      <c r="J497">
        <f ca="1">IF(AND(INDIRECT(A73&amp;ROW())=B95,INDIRECT(A96&amp;ROW())=C95),1,IF(AND(INDIRECT(A73&amp;ROW())=B95,INDIRECT(A96&amp;ROW())=C96),1,0))</f>
        <v>1</v>
      </c>
      <c r="K497">
        <f ca="1">DAYS360(INDIRECT(C68&amp;ROW()),TODAY())</f>
        <v>716</v>
      </c>
      <c r="L497">
        <f ca="1">DAYS360(INDIRECT(C69&amp;ROW()),TODAY())</f>
        <v>724</v>
      </c>
      <c r="M497">
        <f ca="1">HYPERLINK(CONCATENATE("https://bugzilla.houston.hp.com:1181/bugzilla/show_bug.cgi?id=",INDIRECT(C70&amp;ROW())),INDIRECT(C70&amp;ROW()))</f>
        <v>61422</v>
      </c>
      <c r="N497">
        <v>61422</v>
      </c>
      <c r="O497" t="s">
        <v>241</v>
      </c>
      <c r="P497" t="s">
        <v>977</v>
      </c>
      <c r="Q497" t="s">
        <v>25</v>
      </c>
      <c r="R497" t="s">
        <v>579</v>
      </c>
      <c r="S497" t="s">
        <v>552</v>
      </c>
      <c r="T497" t="s">
        <v>1007</v>
      </c>
      <c r="U497" s="6">
        <v>42130.313888888886</v>
      </c>
      <c r="V497" t="s">
        <v>18</v>
      </c>
      <c r="W497" t="s">
        <v>783</v>
      </c>
      <c r="X497" s="6">
        <v>42122.016122685185</v>
      </c>
      <c r="Y497" t="s">
        <v>119</v>
      </c>
      <c r="AB497" t="s">
        <v>201</v>
      </c>
      <c r="AC497" t="s">
        <v>247</v>
      </c>
      <c r="AD497" t="s">
        <v>222</v>
      </c>
      <c r="AE497" t="s">
        <v>221</v>
      </c>
      <c r="AG497" t="s">
        <v>121</v>
      </c>
      <c r="AH497" t="s">
        <v>327</v>
      </c>
      <c r="AI497" t="s">
        <v>121</v>
      </c>
      <c r="AJ497" t="s">
        <v>716</v>
      </c>
      <c r="AK497" t="s">
        <v>121</v>
      </c>
    </row>
    <row r="498" spans="9:37" x14ac:dyDescent="0.3">
      <c r="I498">
        <f ca="1">IF(OR(INDIRECT(A73&amp;ROW())=B93,INDIRECT(A73&amp;ROW())=B94),1,IF(AND(INDIRECT(A73&amp;ROW())=B95,INDIRECT(A96&amp;ROW())=C93),1,IF(AND(INDIRECT(A73&amp;ROW())=B95,INDIRECT(A96&amp;ROW())=C94),1,0)))</f>
        <v>0</v>
      </c>
      <c r="J498">
        <f ca="1">IF(AND(INDIRECT(A73&amp;ROW())=B95,INDIRECT(A96&amp;ROW())=C95),1,IF(AND(INDIRECT(A73&amp;ROW())=B95,INDIRECT(A96&amp;ROW())=C96),1,0))</f>
        <v>1</v>
      </c>
      <c r="K498">
        <f ca="1">DAYS360(INDIRECT(C68&amp;ROW()),TODAY())</f>
        <v>682</v>
      </c>
      <c r="L498">
        <f ca="1">DAYS360(INDIRECT(C69&amp;ROW()),TODAY())</f>
        <v>724</v>
      </c>
      <c r="M498">
        <f ca="1">HYPERLINK(CONCATENATE("https://bugzilla.houston.hp.com:1181/bugzilla/show_bug.cgi?id=",INDIRECT(C70&amp;ROW())),INDIRECT(C70&amp;ROW()))</f>
        <v>61423</v>
      </c>
      <c r="N498">
        <v>61423</v>
      </c>
      <c r="O498" t="s">
        <v>241</v>
      </c>
      <c r="P498" t="s">
        <v>976</v>
      </c>
      <c r="Q498" t="s">
        <v>25</v>
      </c>
      <c r="R498" t="s">
        <v>783</v>
      </c>
      <c r="S498" t="s">
        <v>552</v>
      </c>
      <c r="U498" s="6">
        <v>42165.645416666666</v>
      </c>
      <c r="V498" t="s">
        <v>18</v>
      </c>
      <c r="W498" t="s">
        <v>783</v>
      </c>
      <c r="X498" s="6">
        <v>42122.016192129631</v>
      </c>
      <c r="Y498" t="s">
        <v>119</v>
      </c>
      <c r="AB498" t="s">
        <v>201</v>
      </c>
      <c r="AC498" t="s">
        <v>247</v>
      </c>
      <c r="AD498" t="s">
        <v>222</v>
      </c>
      <c r="AE498" t="s">
        <v>221</v>
      </c>
      <c r="AG498" t="s">
        <v>121</v>
      </c>
      <c r="AH498" t="s">
        <v>327</v>
      </c>
      <c r="AI498" t="s">
        <v>121</v>
      </c>
      <c r="AJ498" t="s">
        <v>716</v>
      </c>
      <c r="AK498" t="s">
        <v>121</v>
      </c>
    </row>
    <row r="499" spans="9:37" x14ac:dyDescent="0.3">
      <c r="I499">
        <f ca="1">IF(OR(INDIRECT(A73&amp;ROW())=B93,INDIRECT(A73&amp;ROW())=B94),1,IF(AND(INDIRECT(A73&amp;ROW())=B95,INDIRECT(A96&amp;ROW())=C93),1,IF(AND(INDIRECT(A73&amp;ROW())=B95,INDIRECT(A96&amp;ROW())=C94),1,0)))</f>
        <v>0</v>
      </c>
      <c r="J499">
        <f ca="1">IF(AND(INDIRECT(A73&amp;ROW())=B95,INDIRECT(A96&amp;ROW())=C95),1,IF(AND(INDIRECT(A73&amp;ROW())=B95,INDIRECT(A96&amp;ROW())=C96),1,0))</f>
        <v>1</v>
      </c>
      <c r="K499">
        <f ca="1">DAYS360(INDIRECT(C68&amp;ROW()),TODAY())</f>
        <v>716</v>
      </c>
      <c r="L499">
        <f ca="1">DAYS360(INDIRECT(C69&amp;ROW()),TODAY())</f>
        <v>724</v>
      </c>
      <c r="M499">
        <f ca="1">HYPERLINK(CONCATENATE("https://bugzilla.houston.hp.com:1181/bugzilla/show_bug.cgi?id=",INDIRECT(C70&amp;ROW())),INDIRECT(C70&amp;ROW()))</f>
        <v>61424</v>
      </c>
      <c r="N499">
        <v>61424</v>
      </c>
      <c r="O499" t="s">
        <v>241</v>
      </c>
      <c r="P499" t="s">
        <v>975</v>
      </c>
      <c r="Q499" t="s">
        <v>25</v>
      </c>
      <c r="R499" t="s">
        <v>248</v>
      </c>
      <c r="S499" t="s">
        <v>552</v>
      </c>
      <c r="U499" s="6">
        <v>42130.354004629633</v>
      </c>
      <c r="V499" t="s">
        <v>18</v>
      </c>
      <c r="W499" t="s">
        <v>783</v>
      </c>
      <c r="X499" s="6">
        <v>42122.016284722224</v>
      </c>
      <c r="Y499" t="s">
        <v>119</v>
      </c>
      <c r="AB499" t="s">
        <v>201</v>
      </c>
      <c r="AC499" t="s">
        <v>247</v>
      </c>
      <c r="AD499" t="s">
        <v>222</v>
      </c>
      <c r="AE499" t="s">
        <v>221</v>
      </c>
      <c r="AG499" t="s">
        <v>121</v>
      </c>
      <c r="AH499" t="s">
        <v>327</v>
      </c>
      <c r="AI499" t="s">
        <v>121</v>
      </c>
      <c r="AJ499" t="s">
        <v>716</v>
      </c>
      <c r="AK499" t="s">
        <v>121</v>
      </c>
    </row>
    <row r="500" spans="9:37" x14ac:dyDescent="0.3">
      <c r="I500">
        <f ca="1">IF(OR(INDIRECT(A73&amp;ROW())=B93,INDIRECT(A73&amp;ROW())=B94),1,IF(AND(INDIRECT(A73&amp;ROW())=B95,INDIRECT(A96&amp;ROW())=C93),1,IF(AND(INDIRECT(A73&amp;ROW())=B95,INDIRECT(A96&amp;ROW())=C94),1,0)))</f>
        <v>0</v>
      </c>
      <c r="J500">
        <f ca="1">IF(AND(INDIRECT(A73&amp;ROW())=B95,INDIRECT(A96&amp;ROW())=C95),1,IF(AND(INDIRECT(A73&amp;ROW())=B95,INDIRECT(A96&amp;ROW())=C96),1,0))</f>
        <v>1</v>
      </c>
      <c r="K500">
        <f ca="1">DAYS360(INDIRECT(C68&amp;ROW()),TODAY())</f>
        <v>682</v>
      </c>
      <c r="L500">
        <f ca="1">DAYS360(INDIRECT(C69&amp;ROW()),TODAY())</f>
        <v>724</v>
      </c>
      <c r="M500">
        <f ca="1">HYPERLINK(CONCATENATE("https://bugzilla.houston.hp.com:1181/bugzilla/show_bug.cgi?id=",INDIRECT(C70&amp;ROW())),INDIRECT(C70&amp;ROW()))</f>
        <v>61468</v>
      </c>
      <c r="N500">
        <v>61468</v>
      </c>
      <c r="O500" t="s">
        <v>21</v>
      </c>
      <c r="P500" t="s">
        <v>988</v>
      </c>
      <c r="Q500" t="s">
        <v>25</v>
      </c>
      <c r="R500" t="s">
        <v>251</v>
      </c>
      <c r="S500" t="s">
        <v>177</v>
      </c>
      <c r="U500" s="6">
        <v>42165.65347222222</v>
      </c>
      <c r="V500" t="s">
        <v>18</v>
      </c>
      <c r="W500" t="s">
        <v>764</v>
      </c>
      <c r="X500" s="6">
        <v>42122.558807870373</v>
      </c>
      <c r="Y500" t="s">
        <v>245</v>
      </c>
      <c r="AB500" t="s">
        <v>201</v>
      </c>
      <c r="AC500" t="s">
        <v>247</v>
      </c>
      <c r="AD500" t="s">
        <v>222</v>
      </c>
      <c r="AE500" t="s">
        <v>232</v>
      </c>
      <c r="AG500" t="s">
        <v>121</v>
      </c>
      <c r="AH500" t="s">
        <v>327</v>
      </c>
      <c r="AI500" t="s">
        <v>121</v>
      </c>
      <c r="AJ500" t="s">
        <v>716</v>
      </c>
      <c r="AK500" t="s">
        <v>121</v>
      </c>
    </row>
    <row r="501" spans="9:37" x14ac:dyDescent="0.3">
      <c r="I501">
        <f ca="1">IF(OR(INDIRECT(A73&amp;ROW())=B93,INDIRECT(A73&amp;ROW())=B94),1,IF(AND(INDIRECT(A73&amp;ROW())=B95,INDIRECT(A96&amp;ROW())=C93),1,IF(AND(INDIRECT(A73&amp;ROW())=B95,INDIRECT(A96&amp;ROW())=C94),1,0)))</f>
        <v>0</v>
      </c>
      <c r="J501">
        <f ca="1">IF(AND(INDIRECT(A73&amp;ROW())=B95,INDIRECT(A96&amp;ROW())=C95),1,IF(AND(INDIRECT(A73&amp;ROW())=B95,INDIRECT(A96&amp;ROW())=C96),1,0))</f>
        <v>1</v>
      </c>
      <c r="K501">
        <f ca="1">DAYS360(INDIRECT(C68&amp;ROW()),TODAY())</f>
        <v>682</v>
      </c>
      <c r="L501">
        <f ca="1">DAYS360(INDIRECT(C69&amp;ROW()),TODAY())</f>
        <v>724</v>
      </c>
      <c r="M501">
        <f ca="1">HYPERLINK(CONCATENATE("https://bugzilla.houston.hp.com:1181/bugzilla/show_bug.cgi?id=",INDIRECT(C70&amp;ROW())),INDIRECT(C70&amp;ROW()))</f>
        <v>61474</v>
      </c>
      <c r="N501">
        <v>61474</v>
      </c>
      <c r="O501" t="s">
        <v>21</v>
      </c>
      <c r="P501" t="s">
        <v>987</v>
      </c>
      <c r="Q501" t="s">
        <v>25</v>
      </c>
      <c r="R501" t="s">
        <v>783</v>
      </c>
      <c r="S501" t="s">
        <v>552</v>
      </c>
      <c r="U501" s="6">
        <v>42165.577291666668</v>
      </c>
      <c r="V501" t="s">
        <v>18</v>
      </c>
      <c r="W501" t="s">
        <v>764</v>
      </c>
      <c r="X501" s="6">
        <v>42122.649710648147</v>
      </c>
      <c r="Y501" t="s">
        <v>245</v>
      </c>
      <c r="AB501" t="s">
        <v>201</v>
      </c>
      <c r="AC501" t="s">
        <v>247</v>
      </c>
      <c r="AD501" t="s">
        <v>222</v>
      </c>
      <c r="AE501" t="s">
        <v>232</v>
      </c>
      <c r="AG501" t="s">
        <v>121</v>
      </c>
      <c r="AH501" t="s">
        <v>327</v>
      </c>
      <c r="AI501" t="s">
        <v>121</v>
      </c>
      <c r="AJ501" t="s">
        <v>716</v>
      </c>
      <c r="AK501" t="s">
        <v>121</v>
      </c>
    </row>
    <row r="502" spans="9:37" x14ac:dyDescent="0.3">
      <c r="I502">
        <f ca="1">IF(OR(INDIRECT(A73&amp;ROW())=B93,INDIRECT(A73&amp;ROW())=B94),1,IF(AND(INDIRECT(A73&amp;ROW())=B95,INDIRECT(A96&amp;ROW())=C93),1,IF(AND(INDIRECT(A73&amp;ROW())=B95,INDIRECT(A96&amp;ROW())=C94),1,0)))</f>
        <v>0</v>
      </c>
      <c r="J502">
        <f ca="1">IF(AND(INDIRECT(A73&amp;ROW())=B95,INDIRECT(A96&amp;ROW())=C95),1,IF(AND(INDIRECT(A73&amp;ROW())=B95,INDIRECT(A96&amp;ROW())=C96),1,0))</f>
        <v>1</v>
      </c>
      <c r="K502">
        <f ca="1">DAYS360(INDIRECT(C68&amp;ROW()),TODAY())</f>
        <v>724</v>
      </c>
      <c r="L502">
        <f ca="1">DAYS360(INDIRECT(C69&amp;ROW()),TODAY())</f>
        <v>724</v>
      </c>
      <c r="M502">
        <f ca="1">HYPERLINK(CONCATENATE("https://bugzilla.houston.hp.com:1181/bugzilla/show_bug.cgi?id=",INDIRECT(C70&amp;ROW())),INDIRECT(C70&amp;ROW()))</f>
        <v>61475</v>
      </c>
      <c r="N502">
        <v>61475</v>
      </c>
      <c r="O502" t="s">
        <v>21</v>
      </c>
      <c r="P502" t="s">
        <v>986</v>
      </c>
      <c r="Q502" t="s">
        <v>25</v>
      </c>
      <c r="R502" t="s">
        <v>248</v>
      </c>
      <c r="S502" t="s">
        <v>552</v>
      </c>
      <c r="U502" s="6">
        <v>42122.649768518517</v>
      </c>
      <c r="V502" t="s">
        <v>18</v>
      </c>
      <c r="W502" t="s">
        <v>764</v>
      </c>
      <c r="X502" s="6">
        <v>42122.649768518517</v>
      </c>
      <c r="Y502" t="s">
        <v>245</v>
      </c>
      <c r="AB502" t="s">
        <v>201</v>
      </c>
      <c r="AC502" t="s">
        <v>247</v>
      </c>
      <c r="AD502" t="s">
        <v>222</v>
      </c>
      <c r="AE502" t="s">
        <v>232</v>
      </c>
      <c r="AG502" t="s">
        <v>121</v>
      </c>
      <c r="AH502" t="s">
        <v>327</v>
      </c>
      <c r="AI502" t="s">
        <v>121</v>
      </c>
      <c r="AJ502" t="s">
        <v>716</v>
      </c>
      <c r="AK502" t="s">
        <v>121</v>
      </c>
    </row>
    <row r="503" spans="9:37" x14ac:dyDescent="0.3">
      <c r="I503">
        <f ca="1">IF(OR(INDIRECT(A73&amp;ROW())=B93,INDIRECT(A73&amp;ROW())=B94),1,IF(AND(INDIRECT(A73&amp;ROW())=B95,INDIRECT(A96&amp;ROW())=C93),1,IF(AND(INDIRECT(A73&amp;ROW())=B95,INDIRECT(A96&amp;ROW())=C94),1,0)))</f>
        <v>1</v>
      </c>
      <c r="J503">
        <f ca="1">IF(AND(INDIRECT(A73&amp;ROW())=B95,INDIRECT(A96&amp;ROW())=C95),1,IF(AND(INDIRECT(A73&amp;ROW())=B95,INDIRECT(A96&amp;ROW())=C96),1,0))</f>
        <v>0</v>
      </c>
      <c r="K503">
        <f ca="1">DAYS360(INDIRECT(C68&amp;ROW()),TODAY())</f>
        <v>667</v>
      </c>
      <c r="L503">
        <f ca="1">DAYS360(INDIRECT(C69&amp;ROW()),TODAY())</f>
        <v>723</v>
      </c>
      <c r="M503">
        <f ca="1">HYPERLINK(CONCATENATE("https://bugzilla.houston.hp.com:1181/bugzilla/show_bug.cgi?id=",INDIRECT(C70&amp;ROW())),INDIRECT(C70&amp;ROW()))</f>
        <v>61543</v>
      </c>
      <c r="N503">
        <v>61543</v>
      </c>
      <c r="O503" t="s">
        <v>740</v>
      </c>
      <c r="P503" t="s">
        <v>1250</v>
      </c>
      <c r="Q503" t="s">
        <v>25</v>
      </c>
      <c r="R503" t="s">
        <v>251</v>
      </c>
      <c r="S503" t="s">
        <v>296</v>
      </c>
      <c r="U503" s="6">
        <v>42180.955682870372</v>
      </c>
      <c r="V503" t="s">
        <v>35</v>
      </c>
      <c r="W503" t="s">
        <v>17</v>
      </c>
      <c r="X503" s="6">
        <v>42123.449548611112</v>
      </c>
      <c r="Y503" t="s">
        <v>125</v>
      </c>
      <c r="AB503" t="s">
        <v>200</v>
      </c>
      <c r="AC503" t="s">
        <v>247</v>
      </c>
      <c r="AD503" t="s">
        <v>220</v>
      </c>
      <c r="AE503" t="s">
        <v>224</v>
      </c>
      <c r="AG503" t="s">
        <v>121</v>
      </c>
      <c r="AH503" t="s">
        <v>327</v>
      </c>
      <c r="AI503" t="s">
        <v>362</v>
      </c>
      <c r="AJ503" t="s">
        <v>715</v>
      </c>
      <c r="AK503" t="s">
        <v>121</v>
      </c>
    </row>
    <row r="504" spans="9:37" x14ac:dyDescent="0.3">
      <c r="I504">
        <f ca="1">IF(OR(INDIRECT(A73&amp;ROW())=B93,INDIRECT(A73&amp;ROW())=B94),1,IF(AND(INDIRECT(A73&amp;ROW())=B95,INDIRECT(A96&amp;ROW())=C93),1,IF(AND(INDIRECT(A73&amp;ROW())=B95,INDIRECT(A96&amp;ROW())=C94),1,0)))</f>
        <v>1</v>
      </c>
      <c r="J504">
        <f ca="1">IF(AND(INDIRECT(A73&amp;ROW())=B95,INDIRECT(A96&amp;ROW())=C95),1,IF(AND(INDIRECT(A73&amp;ROW())=B95,INDIRECT(A96&amp;ROW())=C96),1,0))</f>
        <v>0</v>
      </c>
      <c r="K504">
        <f ca="1">DAYS360(INDIRECT(C68&amp;ROW()),TODAY())</f>
        <v>669</v>
      </c>
      <c r="L504">
        <f ca="1">DAYS360(INDIRECT(C69&amp;ROW()),TODAY())</f>
        <v>723</v>
      </c>
      <c r="M504">
        <f ca="1">HYPERLINK(CONCATENATE("https://bugzilla.houston.hp.com:1181/bugzilla/show_bug.cgi?id=",INDIRECT(C70&amp;ROW())),INDIRECT(C70&amp;ROW()))</f>
        <v>61546</v>
      </c>
      <c r="N504">
        <v>61546</v>
      </c>
      <c r="O504" t="s">
        <v>919</v>
      </c>
      <c r="P504" t="s">
        <v>1249</v>
      </c>
      <c r="Q504" t="s">
        <v>25</v>
      </c>
      <c r="R504" t="s">
        <v>783</v>
      </c>
      <c r="S504" t="s">
        <v>552</v>
      </c>
      <c r="U504" s="6">
        <v>42178.987858796296</v>
      </c>
      <c r="V504" t="s">
        <v>40</v>
      </c>
      <c r="W504" t="s">
        <v>17</v>
      </c>
      <c r="X504" s="6">
        <v>42123.465462962966</v>
      </c>
      <c r="Y504" t="s">
        <v>125</v>
      </c>
      <c r="AB504" t="s">
        <v>200</v>
      </c>
      <c r="AC504" t="s">
        <v>247</v>
      </c>
      <c r="AD504" t="s">
        <v>220</v>
      </c>
      <c r="AE504" t="s">
        <v>224</v>
      </c>
      <c r="AG504" t="s">
        <v>337</v>
      </c>
      <c r="AH504" t="s">
        <v>327</v>
      </c>
      <c r="AI504" t="s">
        <v>121</v>
      </c>
      <c r="AJ504" t="s">
        <v>715</v>
      </c>
      <c r="AK504" t="s">
        <v>1133</v>
      </c>
    </row>
    <row r="505" spans="9:37" x14ac:dyDescent="0.3">
      <c r="I505">
        <f ca="1">IF(OR(INDIRECT(A73&amp;ROW())=B93,INDIRECT(A73&amp;ROW())=B94),1,IF(AND(INDIRECT(A73&amp;ROW())=B95,INDIRECT(A96&amp;ROW())=C93),1,IF(AND(INDIRECT(A73&amp;ROW())=B95,INDIRECT(A96&amp;ROW())=C94),1,0)))</f>
        <v>1</v>
      </c>
      <c r="J505">
        <f ca="1">IF(AND(INDIRECT(A73&amp;ROW())=B95,INDIRECT(A96&amp;ROW())=C95),1,IF(AND(INDIRECT(A73&amp;ROW())=B95,INDIRECT(A96&amp;ROW())=C96),1,0))</f>
        <v>0</v>
      </c>
      <c r="K505">
        <f ca="1">DAYS360(INDIRECT(C68&amp;ROW()),TODAY())</f>
        <v>683</v>
      </c>
      <c r="L505">
        <f ca="1">DAYS360(INDIRECT(C69&amp;ROW()),TODAY())</f>
        <v>723</v>
      </c>
      <c r="M505">
        <f ca="1">HYPERLINK(CONCATENATE("https://bugzilla.houston.hp.com:1181/bugzilla/show_bug.cgi?id=",INDIRECT(C70&amp;ROW())),INDIRECT(C70&amp;ROW()))</f>
        <v>61547</v>
      </c>
      <c r="N505">
        <v>61547</v>
      </c>
      <c r="O505" t="s">
        <v>43</v>
      </c>
      <c r="P505" t="s">
        <v>1248</v>
      </c>
      <c r="Q505" t="s">
        <v>25</v>
      </c>
      <c r="R505" t="s">
        <v>248</v>
      </c>
      <c r="S505" t="s">
        <v>552</v>
      </c>
      <c r="U505" s="6">
        <v>42164.448344907411</v>
      </c>
      <c r="V505" t="s">
        <v>18</v>
      </c>
      <c r="W505" t="s">
        <v>17</v>
      </c>
      <c r="X505" s="6">
        <v>42123.465532407405</v>
      </c>
      <c r="Y505" t="s">
        <v>125</v>
      </c>
      <c r="AB505" t="s">
        <v>200</v>
      </c>
      <c r="AC505" t="s">
        <v>247</v>
      </c>
      <c r="AD505" t="s">
        <v>220</v>
      </c>
      <c r="AE505" t="s">
        <v>224</v>
      </c>
      <c r="AG505" t="s">
        <v>121</v>
      </c>
      <c r="AH505" t="s">
        <v>327</v>
      </c>
      <c r="AI505" t="s">
        <v>121</v>
      </c>
      <c r="AJ505" t="s">
        <v>715</v>
      </c>
      <c r="AK505" t="s">
        <v>121</v>
      </c>
    </row>
    <row r="506" spans="9:37" x14ac:dyDescent="0.3">
      <c r="I506">
        <f ca="1">IF(OR(INDIRECT(A73&amp;ROW())=B93,INDIRECT(A73&amp;ROW())=B94),1,IF(AND(INDIRECT(A73&amp;ROW())=B95,INDIRECT(A96&amp;ROW())=C93),1,IF(AND(INDIRECT(A73&amp;ROW())=B95,INDIRECT(A96&amp;ROW())=C94),1,0)))</f>
        <v>0</v>
      </c>
      <c r="J506">
        <f ca="1">IF(AND(INDIRECT(A73&amp;ROW())=B95,INDIRECT(A96&amp;ROW())=C95),1,IF(AND(INDIRECT(A73&amp;ROW())=B95,INDIRECT(A96&amp;ROW())=C96),1,0))</f>
        <v>1</v>
      </c>
      <c r="K506">
        <f ca="1">DAYS360(INDIRECT(C68&amp;ROW()),TODAY())</f>
        <v>681</v>
      </c>
      <c r="L506">
        <f ca="1">DAYS360(INDIRECT(C69&amp;ROW()),TODAY())</f>
        <v>723</v>
      </c>
      <c r="M506">
        <f ca="1">HYPERLINK(CONCATENATE("https://bugzilla.houston.hp.com:1181/bugzilla/show_bug.cgi?id=",INDIRECT(C70&amp;ROW())),INDIRECT(C70&amp;ROW()))</f>
        <v>61555</v>
      </c>
      <c r="N506">
        <v>61555</v>
      </c>
      <c r="O506" t="s">
        <v>21</v>
      </c>
      <c r="P506" t="s">
        <v>997</v>
      </c>
      <c r="Q506" t="s">
        <v>25</v>
      </c>
      <c r="R506" t="s">
        <v>251</v>
      </c>
      <c r="S506" t="s">
        <v>365</v>
      </c>
      <c r="U506" s="6">
        <v>42166.567048611112</v>
      </c>
      <c r="V506" t="s">
        <v>18</v>
      </c>
      <c r="W506" t="s">
        <v>783</v>
      </c>
      <c r="X506" s="6">
        <v>42123.566493055558</v>
      </c>
      <c r="Y506" t="s">
        <v>246</v>
      </c>
      <c r="AB506" t="s">
        <v>201</v>
      </c>
      <c r="AC506" t="s">
        <v>247</v>
      </c>
      <c r="AD506" t="s">
        <v>227</v>
      </c>
      <c r="AE506" t="s">
        <v>237</v>
      </c>
      <c r="AG506" t="s">
        <v>121</v>
      </c>
      <c r="AH506" t="s">
        <v>327</v>
      </c>
      <c r="AI506" t="s">
        <v>121</v>
      </c>
      <c r="AJ506" t="s">
        <v>716</v>
      </c>
      <c r="AK506" t="s">
        <v>121</v>
      </c>
    </row>
    <row r="507" spans="9:37" x14ac:dyDescent="0.3">
      <c r="I507">
        <f ca="1">IF(OR(INDIRECT(A73&amp;ROW())=B93,INDIRECT(A73&amp;ROW())=B94),1,IF(AND(INDIRECT(A73&amp;ROW())=B95,INDIRECT(A96&amp;ROW())=C93),1,IF(AND(INDIRECT(A73&amp;ROW())=B95,INDIRECT(A96&amp;ROW())=C94),1,0)))</f>
        <v>0</v>
      </c>
      <c r="J507">
        <f ca="1">IF(AND(INDIRECT(A73&amp;ROW())=B95,INDIRECT(A96&amp;ROW())=C95),1,IF(AND(INDIRECT(A73&amp;ROW())=B95,INDIRECT(A96&amp;ROW())=C96),1,0))</f>
        <v>1</v>
      </c>
      <c r="K507">
        <f ca="1">DAYS360(INDIRECT(C68&amp;ROW()),TODAY())</f>
        <v>675</v>
      </c>
      <c r="L507">
        <f ca="1">DAYS360(INDIRECT(C69&amp;ROW()),TODAY())</f>
        <v>723</v>
      </c>
      <c r="M507">
        <f ca="1">HYPERLINK(CONCATENATE("https://bugzilla.houston.hp.com:1181/bugzilla/show_bug.cgi?id=",INDIRECT(C70&amp;ROW())),INDIRECT(C70&amp;ROW()))</f>
        <v>61557</v>
      </c>
      <c r="N507">
        <v>61557</v>
      </c>
      <c r="O507" t="s">
        <v>45</v>
      </c>
      <c r="P507" t="s">
        <v>996</v>
      </c>
      <c r="Q507" t="s">
        <v>25</v>
      </c>
      <c r="R507" t="s">
        <v>783</v>
      </c>
      <c r="S507" t="s">
        <v>552</v>
      </c>
      <c r="U507" s="6">
        <v>42172.478831018518</v>
      </c>
      <c r="V507" t="s">
        <v>18</v>
      </c>
      <c r="W507" t="s">
        <v>783</v>
      </c>
      <c r="X507" s="6">
        <v>42123.621203703704</v>
      </c>
      <c r="Y507" t="s">
        <v>246</v>
      </c>
      <c r="AB507" t="s">
        <v>201</v>
      </c>
      <c r="AC507" t="s">
        <v>247</v>
      </c>
      <c r="AD507" t="s">
        <v>227</v>
      </c>
      <c r="AE507" t="s">
        <v>237</v>
      </c>
      <c r="AG507" t="s">
        <v>121</v>
      </c>
      <c r="AH507" t="s">
        <v>327</v>
      </c>
      <c r="AI507" t="s">
        <v>121</v>
      </c>
      <c r="AJ507" t="s">
        <v>716</v>
      </c>
      <c r="AK507" t="s">
        <v>121</v>
      </c>
    </row>
    <row r="508" spans="9:37" x14ac:dyDescent="0.3">
      <c r="I508">
        <f ca="1">IF(OR(INDIRECT(A73&amp;ROW())=B93,INDIRECT(A73&amp;ROW())=B94),1,IF(AND(INDIRECT(A73&amp;ROW())=B95,INDIRECT(A96&amp;ROW())=C93),1,IF(AND(INDIRECT(A73&amp;ROW())=B95,INDIRECT(A96&amp;ROW())=C94),1,0)))</f>
        <v>0</v>
      </c>
      <c r="J508">
        <f ca="1">IF(AND(INDIRECT(A73&amp;ROW())=B95,INDIRECT(A96&amp;ROW())=C95),1,IF(AND(INDIRECT(A73&amp;ROW())=B95,INDIRECT(A96&amp;ROW())=C96),1,0))</f>
        <v>1</v>
      </c>
      <c r="K508">
        <f ca="1">DAYS360(INDIRECT(C68&amp;ROW()),TODAY())</f>
        <v>723</v>
      </c>
      <c r="L508">
        <f ca="1">DAYS360(INDIRECT(C69&amp;ROW()),TODAY())</f>
        <v>723</v>
      </c>
      <c r="M508">
        <f ca="1">HYPERLINK(CONCATENATE("https://bugzilla.houston.hp.com:1181/bugzilla/show_bug.cgi?id=",INDIRECT(C70&amp;ROW())),INDIRECT(C70&amp;ROW()))</f>
        <v>61558</v>
      </c>
      <c r="N508">
        <v>61558</v>
      </c>
      <c r="O508" t="s">
        <v>45</v>
      </c>
      <c r="P508" t="s">
        <v>995</v>
      </c>
      <c r="Q508" t="s">
        <v>25</v>
      </c>
      <c r="R508" t="s">
        <v>248</v>
      </c>
      <c r="S508" t="s">
        <v>552</v>
      </c>
      <c r="U508" s="6">
        <v>42123.621261574073</v>
      </c>
      <c r="V508" t="s">
        <v>18</v>
      </c>
      <c r="W508" t="s">
        <v>783</v>
      </c>
      <c r="X508" s="6">
        <v>42123.621261574073</v>
      </c>
      <c r="Y508" t="s">
        <v>246</v>
      </c>
      <c r="AB508" t="s">
        <v>201</v>
      </c>
      <c r="AC508" t="s">
        <v>247</v>
      </c>
      <c r="AD508" t="s">
        <v>227</v>
      </c>
      <c r="AE508" t="s">
        <v>237</v>
      </c>
      <c r="AG508" t="s">
        <v>121</v>
      </c>
      <c r="AH508" t="s">
        <v>327</v>
      </c>
      <c r="AI508" t="s">
        <v>121</v>
      </c>
      <c r="AJ508" t="s">
        <v>716</v>
      </c>
      <c r="AK508" t="s">
        <v>121</v>
      </c>
    </row>
    <row r="509" spans="9:37" x14ac:dyDescent="0.3">
      <c r="I509">
        <f ca="1">IF(OR(INDIRECT(A73&amp;ROW())=B93,INDIRECT(A73&amp;ROW())=B94),1,IF(AND(INDIRECT(A73&amp;ROW())=B95,INDIRECT(A96&amp;ROW())=C93),1,IF(AND(INDIRECT(A73&amp;ROW())=B95,INDIRECT(A96&amp;ROW())=C94),1,0)))</f>
        <v>1</v>
      </c>
      <c r="J509">
        <f ca="1">IF(AND(INDIRECT(A73&amp;ROW())=B95,INDIRECT(A96&amp;ROW())=C95),1,IF(AND(INDIRECT(A73&amp;ROW())=B95,INDIRECT(A96&amp;ROW())=C96),1,0))</f>
        <v>0</v>
      </c>
      <c r="K509">
        <f ca="1">DAYS360(INDIRECT(C68&amp;ROW()),TODAY())</f>
        <v>667</v>
      </c>
      <c r="L509">
        <f ca="1">DAYS360(INDIRECT(C69&amp;ROW()),TODAY())</f>
        <v>723</v>
      </c>
      <c r="M509">
        <f ca="1">HYPERLINK(CONCATENATE("https://bugzilla.houston.hp.com:1181/bugzilla/show_bug.cgi?id=",INDIRECT(C70&amp;ROW())),INDIRECT(C70&amp;ROW()))</f>
        <v>61563</v>
      </c>
      <c r="N509">
        <v>61563</v>
      </c>
      <c r="O509" t="s">
        <v>19</v>
      </c>
      <c r="P509" t="s">
        <v>994</v>
      </c>
      <c r="Q509" t="s">
        <v>25</v>
      </c>
      <c r="R509" t="s">
        <v>251</v>
      </c>
      <c r="S509" t="s">
        <v>917</v>
      </c>
      <c r="U509" s="6">
        <v>42180.55740740741</v>
      </c>
      <c r="V509" t="s">
        <v>18</v>
      </c>
      <c r="W509" t="s">
        <v>783</v>
      </c>
      <c r="X509" s="6">
        <v>42123.659282407411</v>
      </c>
      <c r="Y509" t="s">
        <v>846</v>
      </c>
      <c r="AB509" t="s">
        <v>200</v>
      </c>
      <c r="AC509" t="s">
        <v>247</v>
      </c>
      <c r="AD509" t="s">
        <v>220</v>
      </c>
      <c r="AE509" t="s">
        <v>290</v>
      </c>
      <c r="AG509" t="s">
        <v>121</v>
      </c>
      <c r="AH509" t="s">
        <v>327</v>
      </c>
      <c r="AI509" t="s">
        <v>121</v>
      </c>
      <c r="AJ509" t="s">
        <v>715</v>
      </c>
      <c r="AK509" t="s">
        <v>121</v>
      </c>
    </row>
    <row r="510" spans="9:37" x14ac:dyDescent="0.3">
      <c r="I510">
        <f ca="1">IF(OR(INDIRECT(A73&amp;ROW())=B93,INDIRECT(A73&amp;ROW())=B94),1,IF(AND(INDIRECT(A73&amp;ROW())=B95,INDIRECT(A96&amp;ROW())=C93),1,IF(AND(INDIRECT(A73&amp;ROW())=B95,INDIRECT(A96&amp;ROW())=C94),1,0)))</f>
        <v>1</v>
      </c>
      <c r="J510">
        <f ca="1">IF(AND(INDIRECT(A73&amp;ROW())=B95,INDIRECT(A96&amp;ROW())=C95),1,IF(AND(INDIRECT(A73&amp;ROW())=B95,INDIRECT(A96&amp;ROW())=C96),1,0))</f>
        <v>0</v>
      </c>
      <c r="K510">
        <f ca="1">DAYS360(INDIRECT(C68&amp;ROW()),TODAY())</f>
        <v>668</v>
      </c>
      <c r="L510">
        <f ca="1">DAYS360(INDIRECT(C69&amp;ROW()),TODAY())</f>
        <v>722</v>
      </c>
      <c r="M510">
        <f ca="1">HYPERLINK(CONCATENATE("https://bugzilla.houston.hp.com:1181/bugzilla/show_bug.cgi?id=",INDIRECT(C70&amp;ROW())),INDIRECT(C70&amp;ROW()))</f>
        <v>61618</v>
      </c>
      <c r="N510">
        <v>61618</v>
      </c>
      <c r="O510" t="s">
        <v>19</v>
      </c>
      <c r="P510" t="s">
        <v>992</v>
      </c>
      <c r="Q510" t="s">
        <v>25</v>
      </c>
      <c r="R510" t="s">
        <v>248</v>
      </c>
      <c r="S510" t="s">
        <v>552</v>
      </c>
      <c r="U510" s="6">
        <v>42179.497187499997</v>
      </c>
      <c r="V510" t="s">
        <v>18</v>
      </c>
      <c r="W510" t="s">
        <v>783</v>
      </c>
      <c r="X510" s="6">
        <v>42124.327488425923</v>
      </c>
      <c r="Y510" t="s">
        <v>846</v>
      </c>
      <c r="AB510" t="s">
        <v>200</v>
      </c>
      <c r="AC510" t="s">
        <v>247</v>
      </c>
      <c r="AD510" t="s">
        <v>220</v>
      </c>
      <c r="AE510" t="s">
        <v>290</v>
      </c>
      <c r="AG510" t="s">
        <v>121</v>
      </c>
      <c r="AH510" t="s">
        <v>327</v>
      </c>
      <c r="AI510" t="s">
        <v>121</v>
      </c>
      <c r="AJ510" t="s">
        <v>715</v>
      </c>
      <c r="AK510" t="s">
        <v>121</v>
      </c>
    </row>
    <row r="511" spans="9:37" x14ac:dyDescent="0.3">
      <c r="I511">
        <f ca="1">IF(OR(INDIRECT(A73&amp;ROW())=B93,INDIRECT(A73&amp;ROW())=B94),1,IF(AND(INDIRECT(A73&amp;ROW())=B95,INDIRECT(A96&amp;ROW())=C93),1,IF(AND(INDIRECT(A73&amp;ROW())=B95,INDIRECT(A96&amp;ROW())=C94),1,0)))</f>
        <v>0</v>
      </c>
      <c r="J511">
        <f ca="1">IF(AND(INDIRECT(A73&amp;ROW())=B95,INDIRECT(A96&amp;ROW())=C95),1,IF(AND(INDIRECT(A73&amp;ROW())=B95,INDIRECT(A96&amp;ROW())=C96),1,0))</f>
        <v>0</v>
      </c>
      <c r="K511">
        <f ca="1">DAYS360(INDIRECT(C68&amp;ROW()),TODAY())</f>
        <v>681</v>
      </c>
      <c r="L511">
        <f ca="1">DAYS360(INDIRECT(C69&amp;ROW()),TODAY())</f>
        <v>722</v>
      </c>
      <c r="M511">
        <f ca="1">HYPERLINK(CONCATENATE("https://bugzilla.houston.hp.com:1181/bugzilla/show_bug.cgi?id=",INDIRECT(C70&amp;ROW())),INDIRECT(C70&amp;ROW()))</f>
        <v>61626</v>
      </c>
      <c r="N511">
        <v>61626</v>
      </c>
      <c r="O511" t="s">
        <v>241</v>
      </c>
      <c r="P511" t="s">
        <v>991</v>
      </c>
      <c r="Q511" t="s">
        <v>16</v>
      </c>
      <c r="R511" t="s">
        <v>251</v>
      </c>
      <c r="S511" t="s">
        <v>296</v>
      </c>
      <c r="T511" t="s">
        <v>794</v>
      </c>
      <c r="U511" s="6">
        <v>42166.569074074076</v>
      </c>
      <c r="V511" t="s">
        <v>18</v>
      </c>
      <c r="W511" t="s">
        <v>17</v>
      </c>
      <c r="X511" s="6">
        <v>42124.338078703702</v>
      </c>
      <c r="Y511" t="s">
        <v>122</v>
      </c>
      <c r="AB511" t="s">
        <v>200</v>
      </c>
      <c r="AC511" t="s">
        <v>933</v>
      </c>
      <c r="AD511" t="s">
        <v>222</v>
      </c>
      <c r="AE511" t="s">
        <v>221</v>
      </c>
      <c r="AG511" t="s">
        <v>121</v>
      </c>
      <c r="AH511" t="s">
        <v>327</v>
      </c>
      <c r="AI511" t="s">
        <v>121</v>
      </c>
      <c r="AJ511" t="s">
        <v>716</v>
      </c>
      <c r="AK511" t="s">
        <v>121</v>
      </c>
    </row>
    <row r="512" spans="9:37" x14ac:dyDescent="0.3">
      <c r="I512">
        <f ca="1">IF(OR(INDIRECT(A73&amp;ROW())=B93,INDIRECT(A73&amp;ROW())=B94),1,IF(AND(INDIRECT(A73&amp;ROW())=B95,INDIRECT(A96&amp;ROW())=C93),1,IF(AND(INDIRECT(A73&amp;ROW())=B95,INDIRECT(A96&amp;ROW())=C94),1,0)))</f>
        <v>0</v>
      </c>
      <c r="J512">
        <f ca="1">IF(AND(INDIRECT(A73&amp;ROW())=B95,INDIRECT(A96&amp;ROW())=C95),1,IF(AND(INDIRECT(A73&amp;ROW())=B95,INDIRECT(A96&amp;ROW())=C96),1,0))</f>
        <v>0</v>
      </c>
      <c r="K512">
        <f ca="1">DAYS360(INDIRECT(C68&amp;ROW()),TODAY())</f>
        <v>675</v>
      </c>
      <c r="L512">
        <f ca="1">DAYS360(INDIRECT(C69&amp;ROW()),TODAY())</f>
        <v>722</v>
      </c>
      <c r="M512">
        <f ca="1">HYPERLINK(CONCATENATE("https://bugzilla.houston.hp.com:1181/bugzilla/show_bug.cgi?id=",INDIRECT(C70&amp;ROW())),INDIRECT(C70&amp;ROW()))</f>
        <v>61630</v>
      </c>
      <c r="N512">
        <v>61630</v>
      </c>
      <c r="O512" t="s">
        <v>241</v>
      </c>
      <c r="P512" t="s">
        <v>990</v>
      </c>
      <c r="Q512" t="s">
        <v>16</v>
      </c>
      <c r="R512" t="s">
        <v>783</v>
      </c>
      <c r="S512" t="s">
        <v>552</v>
      </c>
      <c r="T512" t="s">
        <v>794</v>
      </c>
      <c r="U512" s="6">
        <v>42172.479513888888</v>
      </c>
      <c r="V512" t="s">
        <v>18</v>
      </c>
      <c r="W512" t="s">
        <v>17</v>
      </c>
      <c r="X512" s="6">
        <v>42124.355034722219</v>
      </c>
      <c r="Y512" t="s">
        <v>122</v>
      </c>
      <c r="AB512" t="s">
        <v>200</v>
      </c>
      <c r="AC512" t="s">
        <v>933</v>
      </c>
      <c r="AD512" t="s">
        <v>222</v>
      </c>
      <c r="AE512" t="s">
        <v>221</v>
      </c>
      <c r="AG512" t="s">
        <v>121</v>
      </c>
      <c r="AH512" t="s">
        <v>327</v>
      </c>
      <c r="AI512" t="s">
        <v>121</v>
      </c>
      <c r="AJ512" t="s">
        <v>716</v>
      </c>
      <c r="AK512" t="s">
        <v>121</v>
      </c>
    </row>
    <row r="513" spans="9:37" x14ac:dyDescent="0.3">
      <c r="I513">
        <f ca="1">IF(OR(INDIRECT(A73&amp;ROW())=B93,INDIRECT(A73&amp;ROW())=B94),1,IF(AND(INDIRECT(A73&amp;ROW())=B95,INDIRECT(A96&amp;ROW())=C93),1,IF(AND(INDIRECT(A73&amp;ROW())=B95,INDIRECT(A96&amp;ROW())=C94),1,0)))</f>
        <v>0</v>
      </c>
      <c r="J513">
        <f ca="1">IF(AND(INDIRECT(A73&amp;ROW())=B95,INDIRECT(A96&amp;ROW())=C95),1,IF(AND(INDIRECT(A73&amp;ROW())=B95,INDIRECT(A96&amp;ROW())=C96),1,0))</f>
        <v>0</v>
      </c>
      <c r="K513">
        <f ca="1">DAYS360(INDIRECT(C68&amp;ROW()),TODAY())</f>
        <v>721</v>
      </c>
      <c r="L513">
        <f ca="1">DAYS360(INDIRECT(C69&amp;ROW()),TODAY())</f>
        <v>722</v>
      </c>
      <c r="M513">
        <f ca="1">HYPERLINK(CONCATENATE("https://bugzilla.houston.hp.com:1181/bugzilla/show_bug.cgi?id=",INDIRECT(C70&amp;ROW())),INDIRECT(C70&amp;ROW()))</f>
        <v>61631</v>
      </c>
      <c r="N513">
        <v>61631</v>
      </c>
      <c r="O513" t="s">
        <v>241</v>
      </c>
      <c r="P513" t="s">
        <v>989</v>
      </c>
      <c r="Q513" t="s">
        <v>16</v>
      </c>
      <c r="R513" t="s">
        <v>248</v>
      </c>
      <c r="S513" t="s">
        <v>552</v>
      </c>
      <c r="T513" t="s">
        <v>794</v>
      </c>
      <c r="U513" s="6">
        <v>42125.283402777779</v>
      </c>
      <c r="V513" t="s">
        <v>18</v>
      </c>
      <c r="W513" t="s">
        <v>17</v>
      </c>
      <c r="X513" s="6">
        <v>42124.355138888888</v>
      </c>
      <c r="Y513" t="s">
        <v>122</v>
      </c>
      <c r="AB513" t="s">
        <v>200</v>
      </c>
      <c r="AC513" t="s">
        <v>933</v>
      </c>
      <c r="AD513" t="s">
        <v>222</v>
      </c>
      <c r="AE513" t="s">
        <v>221</v>
      </c>
      <c r="AG513" t="s">
        <v>121</v>
      </c>
      <c r="AH513" t="s">
        <v>327</v>
      </c>
      <c r="AI513" t="s">
        <v>121</v>
      </c>
      <c r="AJ513" t="s">
        <v>716</v>
      </c>
      <c r="AK513" t="s">
        <v>121</v>
      </c>
    </row>
    <row r="514" spans="9:37" x14ac:dyDescent="0.3">
      <c r="I514">
        <f ca="1">IF(OR(INDIRECT(A73&amp;ROW())=B93,INDIRECT(A73&amp;ROW())=B94),1,IF(AND(INDIRECT(A73&amp;ROW())=B95,INDIRECT(A96&amp;ROW())=C93),1,IF(AND(INDIRECT(A73&amp;ROW())=B95,INDIRECT(A96&amp;ROW())=C94),1,0)))</f>
        <v>1</v>
      </c>
      <c r="J514">
        <f ca="1">IF(AND(INDIRECT(A73&amp;ROW())=B95,INDIRECT(A96&amp;ROW())=C95),1,IF(AND(INDIRECT(A73&amp;ROW())=B95,INDIRECT(A96&amp;ROW())=C96),1,0))</f>
        <v>0</v>
      </c>
      <c r="K514">
        <f ca="1">DAYS360(INDIRECT(C68&amp;ROW()),TODAY())</f>
        <v>721</v>
      </c>
      <c r="L514">
        <f ca="1">DAYS360(INDIRECT(C69&amp;ROW()),TODAY())</f>
        <v>721</v>
      </c>
      <c r="M514">
        <f ca="1">HYPERLINK(CONCATENATE("https://bugzilla.houston.hp.com:1181/bugzilla/show_bug.cgi?id=",INDIRECT(C70&amp;ROW())),INDIRECT(C70&amp;ROW()))</f>
        <v>61690</v>
      </c>
      <c r="N514">
        <v>61690</v>
      </c>
      <c r="O514" t="s">
        <v>45</v>
      </c>
      <c r="P514" t="s">
        <v>1006</v>
      </c>
      <c r="Q514" t="s">
        <v>38</v>
      </c>
      <c r="R514" t="s">
        <v>248</v>
      </c>
      <c r="S514" t="s">
        <v>552</v>
      </c>
      <c r="U514" s="6">
        <v>42125.427094907405</v>
      </c>
      <c r="V514" t="s">
        <v>18</v>
      </c>
      <c r="W514" t="s">
        <v>248</v>
      </c>
      <c r="X514" s="6">
        <v>42125.427094907405</v>
      </c>
      <c r="Y514" t="s">
        <v>793</v>
      </c>
      <c r="AB514" t="s">
        <v>200</v>
      </c>
      <c r="AC514" t="s">
        <v>247</v>
      </c>
      <c r="AD514" t="s">
        <v>227</v>
      </c>
      <c r="AE514" t="s">
        <v>226</v>
      </c>
      <c r="AG514" t="s">
        <v>121</v>
      </c>
      <c r="AH514" t="s">
        <v>327</v>
      </c>
      <c r="AI514" t="s">
        <v>121</v>
      </c>
      <c r="AJ514" t="s">
        <v>715</v>
      </c>
      <c r="AK514" t="s">
        <v>121</v>
      </c>
    </row>
    <row r="515" spans="9:37" x14ac:dyDescent="0.3">
      <c r="I515">
        <f ca="1">IF(OR(INDIRECT(A73&amp;ROW())=B93,INDIRECT(A73&amp;ROW())=B94),1,IF(AND(INDIRECT(A73&amp;ROW())=B95,INDIRECT(A96&amp;ROW())=C93),1,IF(AND(INDIRECT(A73&amp;ROW())=B95,INDIRECT(A96&amp;ROW())=C94),1,0)))</f>
        <v>1</v>
      </c>
      <c r="J515">
        <f ca="1">IF(AND(INDIRECT(A73&amp;ROW())=B95,INDIRECT(A96&amp;ROW())=C95),1,IF(AND(INDIRECT(A73&amp;ROW())=B95,INDIRECT(A96&amp;ROW())=C96),1,0))</f>
        <v>0</v>
      </c>
      <c r="K515">
        <f ca="1">DAYS360(INDIRECT(C68&amp;ROW()),TODAY())</f>
        <v>680</v>
      </c>
      <c r="L515">
        <f ca="1">DAYS360(INDIRECT(C69&amp;ROW()),TODAY())</f>
        <v>721</v>
      </c>
      <c r="M515">
        <f ca="1">HYPERLINK(CONCATENATE("https://bugzilla.houston.hp.com:1181/bugzilla/show_bug.cgi?id=",INDIRECT(C70&amp;ROW())),INDIRECT(C70&amp;ROW()))</f>
        <v>61692</v>
      </c>
      <c r="N515">
        <v>61692</v>
      </c>
      <c r="O515" t="s">
        <v>187</v>
      </c>
      <c r="P515" t="s">
        <v>1005</v>
      </c>
      <c r="Q515" t="s">
        <v>25</v>
      </c>
      <c r="R515" t="s">
        <v>251</v>
      </c>
      <c r="S515" t="s">
        <v>296</v>
      </c>
      <c r="U515" s="6">
        <v>42167.263356481482</v>
      </c>
      <c r="V515" t="s">
        <v>35</v>
      </c>
      <c r="W515" t="s">
        <v>17</v>
      </c>
      <c r="X515" s="6">
        <v>42125.429236111115</v>
      </c>
      <c r="Y515" t="s">
        <v>122</v>
      </c>
      <c r="AB515" t="s">
        <v>200</v>
      </c>
      <c r="AC515" t="s">
        <v>247</v>
      </c>
      <c r="AD515" t="s">
        <v>220</v>
      </c>
      <c r="AE515" t="s">
        <v>223</v>
      </c>
      <c r="AG515" t="s">
        <v>121</v>
      </c>
      <c r="AH515" t="s">
        <v>327</v>
      </c>
      <c r="AI515" t="s">
        <v>121</v>
      </c>
      <c r="AJ515" t="s">
        <v>715</v>
      </c>
      <c r="AK515" t="s">
        <v>121</v>
      </c>
    </row>
    <row r="516" spans="9:37" x14ac:dyDescent="0.3">
      <c r="I516">
        <f ca="1">IF(OR(INDIRECT(A73&amp;ROW())=B93,INDIRECT(A73&amp;ROW())=B94),1,IF(AND(INDIRECT(A73&amp;ROW())=B95,INDIRECT(A96&amp;ROW())=C93),1,IF(AND(INDIRECT(A73&amp;ROW())=B95,INDIRECT(A96&amp;ROW())=C94),1,0)))</f>
        <v>1</v>
      </c>
      <c r="J516">
        <f ca="1">IF(AND(INDIRECT(A73&amp;ROW())=B95,INDIRECT(A96&amp;ROW())=C95),1,IF(AND(INDIRECT(A73&amp;ROW())=B95,INDIRECT(A96&amp;ROW())=C96),1,0))</f>
        <v>0</v>
      </c>
      <c r="K516">
        <f ca="1">DAYS360(INDIRECT(C68&amp;ROW()),TODAY())</f>
        <v>690</v>
      </c>
      <c r="L516">
        <f ca="1">DAYS360(INDIRECT(C69&amp;ROW()),TODAY())</f>
        <v>721</v>
      </c>
      <c r="M516">
        <f ca="1">HYPERLINK(CONCATENATE("https://bugzilla.houston.hp.com:1181/bugzilla/show_bug.cgi?id=",INDIRECT(C70&amp;ROW())),INDIRECT(C70&amp;ROW()))</f>
        <v>61696</v>
      </c>
      <c r="N516">
        <v>61696</v>
      </c>
      <c r="O516" t="s">
        <v>45</v>
      </c>
      <c r="P516" t="s">
        <v>1021</v>
      </c>
      <c r="Q516" t="s">
        <v>39</v>
      </c>
      <c r="R516" t="s">
        <v>251</v>
      </c>
      <c r="S516" t="s">
        <v>52</v>
      </c>
      <c r="T516" t="s">
        <v>48</v>
      </c>
      <c r="U516" s="6">
        <v>42157.342395833337</v>
      </c>
      <c r="V516" t="s">
        <v>35</v>
      </c>
      <c r="W516" t="s">
        <v>783</v>
      </c>
      <c r="X516" s="6">
        <v>42125.491550925923</v>
      </c>
      <c r="Y516" t="s">
        <v>119</v>
      </c>
      <c r="AB516" t="s">
        <v>201</v>
      </c>
      <c r="AC516" t="s">
        <v>247</v>
      </c>
      <c r="AD516" t="s">
        <v>227</v>
      </c>
      <c r="AE516" t="s">
        <v>226</v>
      </c>
      <c r="AG516" t="s">
        <v>121</v>
      </c>
      <c r="AH516" t="s">
        <v>327</v>
      </c>
      <c r="AI516" t="s">
        <v>121</v>
      </c>
      <c r="AJ516" t="s">
        <v>715</v>
      </c>
      <c r="AK516" t="s">
        <v>121</v>
      </c>
    </row>
    <row r="517" spans="9:37" x14ac:dyDescent="0.3">
      <c r="I517">
        <f ca="1">IF(OR(INDIRECT(A73&amp;ROW())=B93,INDIRECT(A73&amp;ROW())=B94),1,IF(AND(INDIRECT(A73&amp;ROW())=B95,INDIRECT(A96&amp;ROW())=C93),1,IF(AND(INDIRECT(A73&amp;ROW())=B95,INDIRECT(A96&amp;ROW())=C94),1,0)))</f>
        <v>1</v>
      </c>
      <c r="J517">
        <f ca="1">IF(AND(INDIRECT(A73&amp;ROW())=B95,INDIRECT(A96&amp;ROW())=C95),1,IF(AND(INDIRECT(A73&amp;ROW())=B95,INDIRECT(A96&amp;ROW())=C96),1,0))</f>
        <v>0</v>
      </c>
      <c r="K517">
        <f ca="1">DAYS360(INDIRECT(C68&amp;ROW()),TODAY())</f>
        <v>676</v>
      </c>
      <c r="L517">
        <f ca="1">DAYS360(INDIRECT(C69&amp;ROW()),TODAY())</f>
        <v>721</v>
      </c>
      <c r="M517">
        <f ca="1">HYPERLINK(CONCATENATE("https://bugzilla.houston.hp.com:1181/bugzilla/show_bug.cgi?id=",INDIRECT(C70&amp;ROW())),INDIRECT(C70&amp;ROW()))</f>
        <v>61705</v>
      </c>
      <c r="N517">
        <v>61705</v>
      </c>
      <c r="O517" t="s">
        <v>187</v>
      </c>
      <c r="P517" t="s">
        <v>1004</v>
      </c>
      <c r="Q517" t="s">
        <v>25</v>
      </c>
      <c r="R517" t="s">
        <v>579</v>
      </c>
      <c r="S517" t="s">
        <v>552</v>
      </c>
      <c r="U517" s="6">
        <v>42171.023113425923</v>
      </c>
      <c r="V517" t="s">
        <v>18</v>
      </c>
      <c r="W517" t="s">
        <v>17</v>
      </c>
      <c r="X517" s="6">
        <v>42125.516134259262</v>
      </c>
      <c r="Y517" t="s">
        <v>122</v>
      </c>
      <c r="AB517" t="s">
        <v>200</v>
      </c>
      <c r="AC517" t="s">
        <v>247</v>
      </c>
      <c r="AD517" t="s">
        <v>220</v>
      </c>
      <c r="AE517" t="s">
        <v>223</v>
      </c>
      <c r="AG517" t="s">
        <v>121</v>
      </c>
      <c r="AH517" t="s">
        <v>327</v>
      </c>
      <c r="AI517" t="s">
        <v>121</v>
      </c>
      <c r="AJ517" t="s">
        <v>715</v>
      </c>
      <c r="AK517" t="s">
        <v>121</v>
      </c>
    </row>
    <row r="518" spans="9:37" x14ac:dyDescent="0.3">
      <c r="I518">
        <f ca="1">IF(OR(INDIRECT(A73&amp;ROW())=B93,INDIRECT(A73&amp;ROW())=B94),1,IF(AND(INDIRECT(A73&amp;ROW())=B95,INDIRECT(A96&amp;ROW())=C93),1,IF(AND(INDIRECT(A73&amp;ROW())=B95,INDIRECT(A96&amp;ROW())=C94),1,0)))</f>
        <v>1</v>
      </c>
      <c r="J518">
        <f ca="1">IF(AND(INDIRECT(A73&amp;ROW())=B95,INDIRECT(A96&amp;ROW())=C95),1,IF(AND(INDIRECT(A73&amp;ROW())=B95,INDIRECT(A96&amp;ROW())=C96),1,0))</f>
        <v>0</v>
      </c>
      <c r="K518">
        <f ca="1">DAYS360(INDIRECT(C68&amp;ROW()),TODAY())</f>
        <v>676</v>
      </c>
      <c r="L518">
        <f ca="1">DAYS360(INDIRECT(C69&amp;ROW()),TODAY())</f>
        <v>721</v>
      </c>
      <c r="M518">
        <f ca="1">HYPERLINK(CONCATENATE("https://bugzilla.houston.hp.com:1181/bugzilla/show_bug.cgi?id=",INDIRECT(C70&amp;ROW())),INDIRECT(C70&amp;ROW()))</f>
        <v>61707</v>
      </c>
      <c r="N518">
        <v>61707</v>
      </c>
      <c r="O518" t="s">
        <v>187</v>
      </c>
      <c r="P518" t="s">
        <v>1002</v>
      </c>
      <c r="Q518" t="s">
        <v>25</v>
      </c>
      <c r="R518" t="s">
        <v>248</v>
      </c>
      <c r="S518" t="s">
        <v>552</v>
      </c>
      <c r="U518" s="6">
        <v>42171.023229166669</v>
      </c>
      <c r="V518" t="s">
        <v>18</v>
      </c>
      <c r="W518" t="s">
        <v>17</v>
      </c>
      <c r="X518" s="6">
        <v>42125.516250000001</v>
      </c>
      <c r="Y518" t="s">
        <v>122</v>
      </c>
      <c r="AB518" t="s">
        <v>200</v>
      </c>
      <c r="AC518" t="s">
        <v>247</v>
      </c>
      <c r="AD518" t="s">
        <v>220</v>
      </c>
      <c r="AE518" t="s">
        <v>223</v>
      </c>
      <c r="AG518" t="s">
        <v>121</v>
      </c>
      <c r="AH518" t="s">
        <v>327</v>
      </c>
      <c r="AI518" t="s">
        <v>121</v>
      </c>
      <c r="AJ518" t="s">
        <v>715</v>
      </c>
      <c r="AK518" t="s">
        <v>121</v>
      </c>
    </row>
    <row r="519" spans="9:37" x14ac:dyDescent="0.3">
      <c r="I519">
        <f ca="1">IF(OR(INDIRECT(A73&amp;ROW())=B93,INDIRECT(A73&amp;ROW())=B94),1,IF(AND(INDIRECT(A73&amp;ROW())=B95,INDIRECT(A96&amp;ROW())=C93),1,IF(AND(INDIRECT(A73&amp;ROW())=B95,INDIRECT(A96&amp;ROW())=C94),1,0)))</f>
        <v>1</v>
      </c>
      <c r="J519">
        <f ca="1">IF(AND(INDIRECT(A73&amp;ROW())=B95,INDIRECT(A96&amp;ROW())=C95),1,IF(AND(INDIRECT(A73&amp;ROW())=B95,INDIRECT(A96&amp;ROW())=C96),1,0))</f>
        <v>0</v>
      </c>
      <c r="K519">
        <f ca="1">DAYS360(INDIRECT(C68&amp;ROW()),TODAY())</f>
        <v>707</v>
      </c>
      <c r="L519">
        <f ca="1">DAYS360(INDIRECT(C69&amp;ROW()),TODAY())</f>
        <v>721</v>
      </c>
      <c r="M519">
        <f ca="1">HYPERLINK(CONCATENATE("https://bugzilla.houston.hp.com:1181/bugzilla/show_bug.cgi?id=",INDIRECT(C70&amp;ROW())),INDIRECT(C70&amp;ROW()))</f>
        <v>61712</v>
      </c>
      <c r="N519">
        <v>61712</v>
      </c>
      <c r="O519" t="s">
        <v>45</v>
      </c>
      <c r="P519" t="s">
        <v>1001</v>
      </c>
      <c r="Q519" t="s">
        <v>39</v>
      </c>
      <c r="R519" t="s">
        <v>579</v>
      </c>
      <c r="S519" t="s">
        <v>552</v>
      </c>
      <c r="T519" t="s">
        <v>1024</v>
      </c>
      <c r="U519" s="6">
        <v>42139.527569444443</v>
      </c>
      <c r="V519" t="s">
        <v>40</v>
      </c>
      <c r="W519" t="s">
        <v>783</v>
      </c>
      <c r="X519" s="6">
        <v>42125.516759259262</v>
      </c>
      <c r="Y519" t="s">
        <v>119</v>
      </c>
      <c r="AB519" t="s">
        <v>201</v>
      </c>
      <c r="AC519" t="s">
        <v>247</v>
      </c>
      <c r="AD519" t="s">
        <v>227</v>
      </c>
      <c r="AE519" t="s">
        <v>226</v>
      </c>
      <c r="AG519" t="s">
        <v>121</v>
      </c>
      <c r="AH519" t="s">
        <v>327</v>
      </c>
      <c r="AI519" t="s">
        <v>362</v>
      </c>
      <c r="AJ519" t="s">
        <v>715</v>
      </c>
      <c r="AK519" t="s">
        <v>121</v>
      </c>
    </row>
    <row r="520" spans="9:37" x14ac:dyDescent="0.3">
      <c r="I520">
        <f ca="1">IF(OR(INDIRECT(A73&amp;ROW())=B93,INDIRECT(A73&amp;ROW())=B94),1,IF(AND(INDIRECT(A73&amp;ROW())=B95,INDIRECT(A96&amp;ROW())=C93),1,IF(AND(INDIRECT(A73&amp;ROW())=B95,INDIRECT(A96&amp;ROW())=C94),1,0)))</f>
        <v>0</v>
      </c>
      <c r="J520">
        <f ca="1">IF(AND(INDIRECT(A73&amp;ROW())=B95,INDIRECT(A96&amp;ROW())=C95),1,IF(AND(INDIRECT(A73&amp;ROW())=B95,INDIRECT(A96&amp;ROW())=C96),1,0))</f>
        <v>0</v>
      </c>
      <c r="K520">
        <f ca="1">DAYS360(INDIRECT(C68&amp;ROW()),TODAY())</f>
        <v>670</v>
      </c>
      <c r="L520">
        <f ca="1">DAYS360(INDIRECT(C69&amp;ROW()),TODAY())</f>
        <v>716</v>
      </c>
      <c r="M520">
        <f ca="1">HYPERLINK(CONCATENATE("https://bugzilla.houston.hp.com:1181/bugzilla/show_bug.cgi?id=",INDIRECT(C70&amp;ROW())),INDIRECT(C70&amp;ROW()))</f>
        <v>61875</v>
      </c>
      <c r="N520">
        <v>61875</v>
      </c>
      <c r="O520" t="s">
        <v>59</v>
      </c>
      <c r="P520" t="s">
        <v>1010</v>
      </c>
      <c r="Q520" t="s">
        <v>16</v>
      </c>
      <c r="R520" t="s">
        <v>251</v>
      </c>
      <c r="S520" t="s">
        <v>296</v>
      </c>
      <c r="U520" s="6">
        <v>42177.519224537034</v>
      </c>
      <c r="V520" t="s">
        <v>18</v>
      </c>
      <c r="W520" t="s">
        <v>17</v>
      </c>
      <c r="X520" s="6">
        <v>42130.171030092592</v>
      </c>
      <c r="Y520" t="s">
        <v>122</v>
      </c>
      <c r="AB520" t="s">
        <v>200</v>
      </c>
      <c r="AC520" t="s">
        <v>247</v>
      </c>
      <c r="AD520" t="s">
        <v>222</v>
      </c>
      <c r="AE520" t="s">
        <v>228</v>
      </c>
      <c r="AG520" t="s">
        <v>121</v>
      </c>
      <c r="AH520" t="s">
        <v>327</v>
      </c>
      <c r="AI520" t="s">
        <v>121</v>
      </c>
      <c r="AJ520" t="s">
        <v>716</v>
      </c>
      <c r="AK520" t="s">
        <v>121</v>
      </c>
    </row>
    <row r="521" spans="9:37" x14ac:dyDescent="0.3">
      <c r="I521">
        <f ca="1">IF(OR(INDIRECT(A73&amp;ROW())=B93,INDIRECT(A73&amp;ROW())=B94),1,IF(AND(INDIRECT(A73&amp;ROW())=B95,INDIRECT(A96&amp;ROW())=C93),1,IF(AND(INDIRECT(A73&amp;ROW())=B95,INDIRECT(A96&amp;ROW())=C94),1,0)))</f>
        <v>0</v>
      </c>
      <c r="J521">
        <f ca="1">IF(AND(INDIRECT(A73&amp;ROW())=B95,INDIRECT(A96&amp;ROW())=C95),1,IF(AND(INDIRECT(A73&amp;ROW())=B95,INDIRECT(A96&amp;ROW())=C96),1,0))</f>
        <v>0</v>
      </c>
      <c r="K521">
        <f ca="1">DAYS360(INDIRECT(C68&amp;ROW()),TODAY())</f>
        <v>670</v>
      </c>
      <c r="L521">
        <f ca="1">DAYS360(INDIRECT(C69&amp;ROW()),TODAY())</f>
        <v>716</v>
      </c>
      <c r="M521">
        <f ca="1">HYPERLINK(CONCATENATE("https://bugzilla.houston.hp.com:1181/bugzilla/show_bug.cgi?id=",INDIRECT(C70&amp;ROW())),INDIRECT(C70&amp;ROW()))</f>
        <v>61891</v>
      </c>
      <c r="N521">
        <v>61891</v>
      </c>
      <c r="O521" t="s">
        <v>59</v>
      </c>
      <c r="P521" t="s">
        <v>1009</v>
      </c>
      <c r="Q521" t="s">
        <v>16</v>
      </c>
      <c r="R521" t="s">
        <v>783</v>
      </c>
      <c r="S521" t="s">
        <v>552</v>
      </c>
      <c r="U521" s="6">
        <v>42177.556157407409</v>
      </c>
      <c r="V521" t="s">
        <v>18</v>
      </c>
      <c r="W521" t="s">
        <v>17</v>
      </c>
      <c r="X521" s="6">
        <v>42130.330787037034</v>
      </c>
      <c r="Y521" t="s">
        <v>122</v>
      </c>
      <c r="AB521" t="s">
        <v>200</v>
      </c>
      <c r="AC521" t="s">
        <v>247</v>
      </c>
      <c r="AD521" t="s">
        <v>222</v>
      </c>
      <c r="AE521" t="s">
        <v>228</v>
      </c>
      <c r="AG521" t="s">
        <v>121</v>
      </c>
      <c r="AH521" t="s">
        <v>327</v>
      </c>
      <c r="AI521" t="s">
        <v>121</v>
      </c>
      <c r="AJ521" t="s">
        <v>716</v>
      </c>
      <c r="AK521" t="s">
        <v>121</v>
      </c>
    </row>
    <row r="522" spans="9:37" x14ac:dyDescent="0.3">
      <c r="I522">
        <f ca="1">IF(OR(INDIRECT(A73&amp;ROW())=B93,INDIRECT(A73&amp;ROW())=B94),1,IF(AND(INDIRECT(A73&amp;ROW())=B95,INDIRECT(A96&amp;ROW())=C93),1,IF(AND(INDIRECT(A73&amp;ROW())=B95,INDIRECT(A96&amp;ROW())=C94),1,0)))</f>
        <v>0</v>
      </c>
      <c r="J522">
        <f ca="1">IF(AND(INDIRECT(A73&amp;ROW())=B95,INDIRECT(A96&amp;ROW())=C95),1,IF(AND(INDIRECT(A73&amp;ROW())=B95,INDIRECT(A96&amp;ROW())=C96),1,0))</f>
        <v>0</v>
      </c>
      <c r="K522">
        <f ca="1">DAYS360(INDIRECT(C68&amp;ROW()),TODAY())</f>
        <v>668</v>
      </c>
      <c r="L522">
        <f ca="1">DAYS360(INDIRECT(C69&amp;ROW()),TODAY())</f>
        <v>716</v>
      </c>
      <c r="M522">
        <f ca="1">HYPERLINK(CONCATENATE("https://bugzilla.houston.hp.com:1181/bugzilla/show_bug.cgi?id=",INDIRECT(C70&amp;ROW())),INDIRECT(C70&amp;ROW()))</f>
        <v>61892</v>
      </c>
      <c r="N522">
        <v>61892</v>
      </c>
      <c r="O522" t="s">
        <v>59</v>
      </c>
      <c r="P522" t="s">
        <v>1008</v>
      </c>
      <c r="Q522" t="s">
        <v>16</v>
      </c>
      <c r="R522" t="s">
        <v>248</v>
      </c>
      <c r="S522" t="s">
        <v>552</v>
      </c>
      <c r="U522" s="6">
        <v>42179.498993055553</v>
      </c>
      <c r="V522" t="s">
        <v>18</v>
      </c>
      <c r="W522" t="s">
        <v>17</v>
      </c>
      <c r="X522" s="6">
        <v>42130.330891203703</v>
      </c>
      <c r="Y522" t="s">
        <v>122</v>
      </c>
      <c r="AB522" t="s">
        <v>200</v>
      </c>
      <c r="AC522" t="s">
        <v>247</v>
      </c>
      <c r="AD522" t="s">
        <v>222</v>
      </c>
      <c r="AE522" t="s">
        <v>228</v>
      </c>
      <c r="AG522" t="s">
        <v>121</v>
      </c>
      <c r="AH522" t="s">
        <v>327</v>
      </c>
      <c r="AI522" t="s">
        <v>121</v>
      </c>
      <c r="AJ522" t="s">
        <v>716</v>
      </c>
      <c r="AK522" t="s">
        <v>121</v>
      </c>
    </row>
    <row r="523" spans="9:37" x14ac:dyDescent="0.3">
      <c r="I523">
        <f ca="1">IF(OR(INDIRECT(A73&amp;ROW())=B93,INDIRECT(A73&amp;ROW())=B94),1,IF(AND(INDIRECT(A73&amp;ROW())=B95,INDIRECT(A96&amp;ROW())=C93),1,IF(AND(INDIRECT(A73&amp;ROW())=B95,INDIRECT(A96&amp;ROW())=C94),1,0)))</f>
        <v>1</v>
      </c>
      <c r="J523">
        <f ca="1">IF(AND(INDIRECT(A73&amp;ROW())=B95,INDIRECT(A96&amp;ROW())=C95),1,IF(AND(INDIRECT(A73&amp;ROW())=B95,INDIRECT(A96&amp;ROW())=C96),1,0))</f>
        <v>0</v>
      </c>
      <c r="K523">
        <f ca="1">DAYS360(INDIRECT(C68&amp;ROW()),TODAY())</f>
        <v>690</v>
      </c>
      <c r="L523">
        <f ca="1">DAYS360(INDIRECT(C69&amp;ROW()),TODAY())</f>
        <v>716</v>
      </c>
      <c r="M523">
        <f ca="1">HYPERLINK(CONCATENATE("https://bugzilla.houston.hp.com:1181/bugzilla/show_bug.cgi?id=",INDIRECT(C70&amp;ROW())),INDIRECT(C70&amp;ROW()))</f>
        <v>61897</v>
      </c>
      <c r="N523">
        <v>61897</v>
      </c>
      <c r="O523" t="s">
        <v>241</v>
      </c>
      <c r="P523" t="s">
        <v>1015</v>
      </c>
      <c r="Q523" t="s">
        <v>39</v>
      </c>
      <c r="R523" t="s">
        <v>251</v>
      </c>
      <c r="S523" t="s">
        <v>296</v>
      </c>
      <c r="T523" t="s">
        <v>794</v>
      </c>
      <c r="U523" s="6">
        <v>42157.92628472222</v>
      </c>
      <c r="V523" t="s">
        <v>40</v>
      </c>
      <c r="W523" t="s">
        <v>17</v>
      </c>
      <c r="X523" s="6">
        <v>42130.374155092592</v>
      </c>
      <c r="Y523" t="s">
        <v>122</v>
      </c>
      <c r="AB523" t="s">
        <v>201</v>
      </c>
      <c r="AC523" t="s">
        <v>247</v>
      </c>
      <c r="AD523" t="s">
        <v>222</v>
      </c>
      <c r="AE523" t="s">
        <v>232</v>
      </c>
      <c r="AG523" t="s">
        <v>121</v>
      </c>
      <c r="AH523" t="s">
        <v>327</v>
      </c>
      <c r="AI523" t="s">
        <v>121</v>
      </c>
      <c r="AJ523" t="s">
        <v>715</v>
      </c>
      <c r="AK523" t="s">
        <v>121</v>
      </c>
    </row>
    <row r="524" spans="9:37" x14ac:dyDescent="0.3">
      <c r="I524">
        <f ca="1">IF(OR(INDIRECT(A73&amp;ROW())=B93,INDIRECT(A73&amp;ROW())=B94),1,IF(AND(INDIRECT(A73&amp;ROW())=B95,INDIRECT(A96&amp;ROW())=C93),1,IF(AND(INDIRECT(A73&amp;ROW())=B95,INDIRECT(A96&amp;ROW())=C94),1,0)))</f>
        <v>1</v>
      </c>
      <c r="J524">
        <f ca="1">IF(AND(INDIRECT(A73&amp;ROW())=B95,INDIRECT(A96&amp;ROW())=C95),1,IF(AND(INDIRECT(A73&amp;ROW())=B95,INDIRECT(A96&amp;ROW())=C96),1,0))</f>
        <v>0</v>
      </c>
      <c r="K524">
        <f ca="1">DAYS360(INDIRECT(C68&amp;ROW()),TODAY())</f>
        <v>689</v>
      </c>
      <c r="L524">
        <f ca="1">DAYS360(INDIRECT(C69&amp;ROW()),TODAY())</f>
        <v>716</v>
      </c>
      <c r="M524">
        <f ca="1">HYPERLINK(CONCATENATE("https://bugzilla.houston.hp.com:1181/bugzilla/show_bug.cgi?id=",INDIRECT(C70&amp;ROW())),INDIRECT(C70&amp;ROW()))</f>
        <v>61913</v>
      </c>
      <c r="N524">
        <v>61913</v>
      </c>
      <c r="O524" t="s">
        <v>241</v>
      </c>
      <c r="P524" t="s">
        <v>1014</v>
      </c>
      <c r="Q524" t="s">
        <v>39</v>
      </c>
      <c r="R524" t="s">
        <v>783</v>
      </c>
      <c r="S524" t="s">
        <v>552</v>
      </c>
      <c r="U524" s="6">
        <v>42158.335717592592</v>
      </c>
      <c r="V524" t="s">
        <v>40</v>
      </c>
      <c r="W524" t="s">
        <v>17</v>
      </c>
      <c r="X524" s="6">
        <v>42130.516365740739</v>
      </c>
      <c r="Y524" t="s">
        <v>122</v>
      </c>
      <c r="AB524" t="s">
        <v>201</v>
      </c>
      <c r="AC524" t="s">
        <v>247</v>
      </c>
      <c r="AD524" t="s">
        <v>222</v>
      </c>
      <c r="AE524" t="s">
        <v>232</v>
      </c>
      <c r="AG524" t="s">
        <v>337</v>
      </c>
      <c r="AH524" t="s">
        <v>327</v>
      </c>
      <c r="AI524" t="s">
        <v>362</v>
      </c>
      <c r="AJ524" t="s">
        <v>715</v>
      </c>
      <c r="AK524" t="s">
        <v>121</v>
      </c>
    </row>
    <row r="525" spans="9:37" x14ac:dyDescent="0.3">
      <c r="I525">
        <f ca="1">IF(OR(INDIRECT(A73&amp;ROW())=B93,INDIRECT(A73&amp;ROW())=B94),1,IF(AND(INDIRECT(A73&amp;ROW())=B95,INDIRECT(A96&amp;ROW())=C93),1,IF(AND(INDIRECT(A73&amp;ROW())=B95,INDIRECT(A96&amp;ROW())=C94),1,0)))</f>
        <v>1</v>
      </c>
      <c r="J525">
        <f ca="1">IF(AND(INDIRECT(A73&amp;ROW())=B95,INDIRECT(A96&amp;ROW())=C95),1,IF(AND(INDIRECT(A73&amp;ROW())=B95,INDIRECT(A96&amp;ROW())=C96),1,0))</f>
        <v>0</v>
      </c>
      <c r="K525">
        <f ca="1">DAYS360(INDIRECT(C68&amp;ROW()),TODAY())</f>
        <v>711</v>
      </c>
      <c r="L525">
        <f ca="1">DAYS360(INDIRECT(C69&amp;ROW()),TODAY())</f>
        <v>716</v>
      </c>
      <c r="M525">
        <f ca="1">HYPERLINK(CONCATENATE("https://bugzilla.houston.hp.com:1181/bugzilla/show_bug.cgi?id=",INDIRECT(C70&amp;ROW())),INDIRECT(C70&amp;ROW()))</f>
        <v>61956</v>
      </c>
      <c r="N525">
        <v>61956</v>
      </c>
      <c r="O525" t="s">
        <v>94</v>
      </c>
      <c r="P525" t="s">
        <v>1013</v>
      </c>
      <c r="Q525" t="s">
        <v>39</v>
      </c>
      <c r="R525" t="s">
        <v>251</v>
      </c>
      <c r="S525" t="s">
        <v>65</v>
      </c>
      <c r="U525" s="6">
        <v>42135.376747685186</v>
      </c>
      <c r="V525" t="s">
        <v>40</v>
      </c>
      <c r="W525" t="s">
        <v>783</v>
      </c>
      <c r="X525" s="6">
        <v>42130.945879629631</v>
      </c>
      <c r="Y525" t="s">
        <v>793</v>
      </c>
      <c r="AB525" t="s">
        <v>201</v>
      </c>
      <c r="AC525" t="s">
        <v>247</v>
      </c>
      <c r="AD525" t="s">
        <v>220</v>
      </c>
      <c r="AE525" t="s">
        <v>219</v>
      </c>
      <c r="AG525" t="s">
        <v>121</v>
      </c>
      <c r="AH525" t="s">
        <v>327</v>
      </c>
      <c r="AI525" t="s">
        <v>121</v>
      </c>
      <c r="AJ525" t="s">
        <v>715</v>
      </c>
      <c r="AK525" t="s">
        <v>121</v>
      </c>
    </row>
    <row r="526" spans="9:37" x14ac:dyDescent="0.3">
      <c r="I526">
        <f ca="1">IF(OR(INDIRECT(A73&amp;ROW())=B93,INDIRECT(A73&amp;ROW())=B94),1,IF(AND(INDIRECT(A73&amp;ROW())=B95,INDIRECT(A96&amp;ROW())=C93),1,IF(AND(INDIRECT(A73&amp;ROW())=B95,INDIRECT(A96&amp;ROW())=C94),1,0)))</f>
        <v>1</v>
      </c>
      <c r="J526">
        <f ca="1">IF(AND(INDIRECT(A73&amp;ROW())=B95,INDIRECT(A96&amp;ROW())=C95),1,IF(AND(INDIRECT(A73&amp;ROW())=B95,INDIRECT(A96&amp;ROW())=C96),1,0))</f>
        <v>0</v>
      </c>
      <c r="K526">
        <f ca="1">DAYS360(INDIRECT(C68&amp;ROW()),TODAY())</f>
        <v>711</v>
      </c>
      <c r="L526">
        <f ca="1">DAYS360(INDIRECT(C69&amp;ROW()),TODAY())</f>
        <v>715</v>
      </c>
      <c r="M526">
        <f ca="1">HYPERLINK(CONCATENATE("https://bugzilla.houston.hp.com:1181/bugzilla/show_bug.cgi?id=",INDIRECT(C70&amp;ROW())),INDIRECT(C70&amp;ROW()))</f>
        <v>61959</v>
      </c>
      <c r="N526">
        <v>61959</v>
      </c>
      <c r="O526" t="s">
        <v>65</v>
      </c>
      <c r="P526" t="s">
        <v>1012</v>
      </c>
      <c r="Q526" t="s">
        <v>39</v>
      </c>
      <c r="R526" t="s">
        <v>579</v>
      </c>
      <c r="S526" t="s">
        <v>552</v>
      </c>
      <c r="T526" t="s">
        <v>1018</v>
      </c>
      <c r="U526" s="6">
        <v>42135.558923611112</v>
      </c>
      <c r="V526" t="s">
        <v>18</v>
      </c>
      <c r="W526" t="s">
        <v>783</v>
      </c>
      <c r="X526" s="6">
        <v>42131.016284722224</v>
      </c>
      <c r="Y526" t="s">
        <v>793</v>
      </c>
      <c r="AB526" t="s">
        <v>201</v>
      </c>
      <c r="AC526" t="s">
        <v>247</v>
      </c>
      <c r="AD526" t="s">
        <v>220</v>
      </c>
      <c r="AE526" t="s">
        <v>219</v>
      </c>
      <c r="AG526" t="s">
        <v>121</v>
      </c>
      <c r="AH526" t="s">
        <v>327</v>
      </c>
      <c r="AI526" t="s">
        <v>362</v>
      </c>
      <c r="AJ526" t="s">
        <v>715</v>
      </c>
      <c r="AK526" t="s">
        <v>121</v>
      </c>
    </row>
    <row r="527" spans="9:37" x14ac:dyDescent="0.3">
      <c r="I527">
        <f ca="1">IF(OR(INDIRECT(A73&amp;ROW())=B93,INDIRECT(A73&amp;ROW())=B94),1,IF(AND(INDIRECT(A73&amp;ROW())=B95,INDIRECT(A96&amp;ROW())=C93),1,IF(AND(INDIRECT(A73&amp;ROW())=B95,INDIRECT(A96&amp;ROW())=C94),1,0)))</f>
        <v>0</v>
      </c>
      <c r="J527">
        <f ca="1">IF(AND(INDIRECT(A73&amp;ROW())=B95,INDIRECT(A96&amp;ROW())=C95),1,IF(AND(INDIRECT(A73&amp;ROW())=B95,INDIRECT(A96&amp;ROW())=C96),1,0))</f>
        <v>1</v>
      </c>
      <c r="K527">
        <f ca="1">DAYS360(INDIRECT(C68&amp;ROW()),TODAY())</f>
        <v>711</v>
      </c>
      <c r="L527">
        <f ca="1">DAYS360(INDIRECT(C69&amp;ROW()),TODAY())</f>
        <v>714</v>
      </c>
      <c r="M527">
        <f ca="1">HYPERLINK(CONCATENATE("https://bugzilla.houston.hp.com:1181/bugzilla/show_bug.cgi?id=",INDIRECT(C70&amp;ROW())),INDIRECT(C70&amp;ROW()))</f>
        <v>62084</v>
      </c>
      <c r="N527">
        <v>62084</v>
      </c>
      <c r="O527" t="s">
        <v>204</v>
      </c>
      <c r="P527" t="s">
        <v>1020</v>
      </c>
      <c r="Q527" t="s">
        <v>25</v>
      </c>
      <c r="R527" t="s">
        <v>579</v>
      </c>
      <c r="S527" t="s">
        <v>236</v>
      </c>
      <c r="T527" t="s">
        <v>1019</v>
      </c>
      <c r="U527" s="6">
        <v>42135.319016203706</v>
      </c>
      <c r="V527" t="s">
        <v>18</v>
      </c>
      <c r="W527" t="s">
        <v>17</v>
      </c>
      <c r="X527" s="6">
        <v>42132.41542824074</v>
      </c>
      <c r="Y527" t="s">
        <v>119</v>
      </c>
      <c r="AB527" t="s">
        <v>201</v>
      </c>
      <c r="AC527" t="s">
        <v>247</v>
      </c>
      <c r="AD527" t="s">
        <v>222</v>
      </c>
      <c r="AE527" t="s">
        <v>221</v>
      </c>
      <c r="AG527" t="s">
        <v>121</v>
      </c>
      <c r="AH527" t="s">
        <v>64</v>
      </c>
      <c r="AI527" t="s">
        <v>121</v>
      </c>
      <c r="AJ527" t="s">
        <v>716</v>
      </c>
      <c r="AK527" t="s">
        <v>121</v>
      </c>
    </row>
    <row r="528" spans="9:37" x14ac:dyDescent="0.3">
      <c r="I528">
        <f ca="1">IF(OR(INDIRECT(A73&amp;ROW())=B93,INDIRECT(A73&amp;ROW())=B94),1,IF(AND(INDIRECT(A73&amp;ROW())=B95,INDIRECT(A96&amp;ROW())=C93),1,IF(AND(INDIRECT(A73&amp;ROW())=B95,INDIRECT(A96&amp;ROW())=C94),1,0)))</f>
        <v>1</v>
      </c>
      <c r="J528">
        <f ca="1">IF(AND(INDIRECT(A73&amp;ROW())=B95,INDIRECT(A96&amp;ROW())=C95),1,IF(AND(INDIRECT(A73&amp;ROW())=B95,INDIRECT(A96&amp;ROW())=C96),1,0))</f>
        <v>0</v>
      </c>
      <c r="K528">
        <f ca="1">DAYS360(INDIRECT(C68&amp;ROW()),TODAY())</f>
        <v>683</v>
      </c>
      <c r="L528">
        <f ca="1">DAYS360(INDIRECT(C69&amp;ROW()),TODAY())</f>
        <v>714</v>
      </c>
      <c r="M528">
        <f ca="1">HYPERLINK(CONCATENATE("https://bugzilla.houston.hp.com:1181/bugzilla/show_bug.cgi?id=",INDIRECT(C70&amp;ROW())),INDIRECT(C70&amp;ROW()))</f>
        <v>62099</v>
      </c>
      <c r="N528">
        <v>62099</v>
      </c>
      <c r="O528" t="s">
        <v>784</v>
      </c>
      <c r="P528" t="s">
        <v>1044</v>
      </c>
      <c r="Q528" t="s">
        <v>39</v>
      </c>
      <c r="R528" t="s">
        <v>251</v>
      </c>
      <c r="S528" t="s">
        <v>1043</v>
      </c>
      <c r="U528" s="6">
        <v>42164.415949074071</v>
      </c>
      <c r="V528" t="s">
        <v>18</v>
      </c>
      <c r="W528" t="s">
        <v>783</v>
      </c>
      <c r="X528" s="6">
        <v>42132.553414351853</v>
      </c>
      <c r="Y528" t="s">
        <v>119</v>
      </c>
      <c r="AB528" t="s">
        <v>201</v>
      </c>
      <c r="AC528" t="s">
        <v>247</v>
      </c>
      <c r="AD528" t="s">
        <v>220</v>
      </c>
      <c r="AE528" t="s">
        <v>229</v>
      </c>
      <c r="AG528" t="s">
        <v>121</v>
      </c>
      <c r="AH528" t="s">
        <v>327</v>
      </c>
      <c r="AI528" t="s">
        <v>121</v>
      </c>
      <c r="AJ528" t="s">
        <v>715</v>
      </c>
      <c r="AK528" t="s">
        <v>121</v>
      </c>
    </row>
    <row r="529" spans="9:37" x14ac:dyDescent="0.3">
      <c r="I529">
        <f ca="1">IF(OR(INDIRECT(A73&amp;ROW())=B93,INDIRECT(A73&amp;ROW())=B94),1,IF(AND(INDIRECT(A73&amp;ROW())=B95,INDIRECT(A96&amp;ROW())=C93),1,IF(AND(INDIRECT(A73&amp;ROW())=B95,INDIRECT(A96&amp;ROW())=C94),1,0)))</f>
        <v>1</v>
      </c>
      <c r="J529">
        <f ca="1">IF(AND(INDIRECT(A73&amp;ROW())=B95,INDIRECT(A96&amp;ROW())=C95),1,IF(AND(INDIRECT(A73&amp;ROW())=B95,INDIRECT(A96&amp;ROW())=C96),1,0))</f>
        <v>0</v>
      </c>
      <c r="K529">
        <f ca="1">DAYS360(INDIRECT(C68&amp;ROW()),TODAY())</f>
        <v>687</v>
      </c>
      <c r="L529">
        <f ca="1">DAYS360(INDIRECT(C69&amp;ROW()),TODAY())</f>
        <v>711</v>
      </c>
      <c r="M529">
        <f ca="1">HYPERLINK(CONCATENATE("https://bugzilla.houston.hp.com:1181/bugzilla/show_bug.cgi?id=",INDIRECT(C70&amp;ROW())),INDIRECT(C70&amp;ROW()))</f>
        <v>62178</v>
      </c>
      <c r="N529">
        <v>62178</v>
      </c>
      <c r="O529" t="s">
        <v>56</v>
      </c>
      <c r="P529" t="s">
        <v>1022</v>
      </c>
      <c r="Q529" t="s">
        <v>25</v>
      </c>
      <c r="R529" t="s">
        <v>248</v>
      </c>
      <c r="S529" t="s">
        <v>552</v>
      </c>
      <c r="U529" s="6">
        <v>42160.493807870371</v>
      </c>
      <c r="V529" t="s">
        <v>18</v>
      </c>
      <c r="W529" t="s">
        <v>248</v>
      </c>
      <c r="X529" s="6">
        <v>42135.59039351852</v>
      </c>
      <c r="Y529" t="s">
        <v>793</v>
      </c>
      <c r="AB529" t="s">
        <v>200</v>
      </c>
      <c r="AC529" t="s">
        <v>247</v>
      </c>
      <c r="AD529" t="s">
        <v>220</v>
      </c>
      <c r="AE529" t="s">
        <v>219</v>
      </c>
      <c r="AG529" t="s">
        <v>121</v>
      </c>
      <c r="AH529" t="s">
        <v>327</v>
      </c>
      <c r="AI529" t="s">
        <v>121</v>
      </c>
      <c r="AJ529" t="s">
        <v>715</v>
      </c>
      <c r="AK529" t="s">
        <v>121</v>
      </c>
    </row>
    <row r="530" spans="9:37" x14ac:dyDescent="0.3">
      <c r="I530">
        <f ca="1">IF(OR(INDIRECT(A73&amp;ROW())=B93,INDIRECT(A73&amp;ROW())=B94),1,IF(AND(INDIRECT(A73&amp;ROW())=B95,INDIRECT(A96&amp;ROW())=C93),1,IF(AND(INDIRECT(A73&amp;ROW())=B95,INDIRECT(A96&amp;ROW())=C94),1,0)))</f>
        <v>1</v>
      </c>
      <c r="J530">
        <f ca="1">IF(AND(INDIRECT(A73&amp;ROW())=B95,INDIRECT(A96&amp;ROW())=C95),1,IF(AND(INDIRECT(A73&amp;ROW())=B95,INDIRECT(A96&amp;ROW())=C96),1,0))</f>
        <v>0</v>
      </c>
      <c r="K530">
        <f ca="1">DAYS360(INDIRECT(C68&amp;ROW()),TODAY())</f>
        <v>681</v>
      </c>
      <c r="L530">
        <f ca="1">DAYS360(INDIRECT(C69&amp;ROW()),TODAY())</f>
        <v>710</v>
      </c>
      <c r="M530">
        <f ca="1">HYPERLINK(CONCATENATE("https://bugzilla.houston.hp.com:1181/bugzilla/show_bug.cgi?id=",INDIRECT(C70&amp;ROW())),INDIRECT(C70&amp;ROW()))</f>
        <v>62223</v>
      </c>
      <c r="N530">
        <v>62223</v>
      </c>
      <c r="O530" t="s">
        <v>55</v>
      </c>
      <c r="P530" t="s">
        <v>1247</v>
      </c>
      <c r="Q530" t="s">
        <v>39</v>
      </c>
      <c r="R530" t="s">
        <v>579</v>
      </c>
      <c r="S530" t="s">
        <v>236</v>
      </c>
      <c r="T530" t="s">
        <v>1058</v>
      </c>
      <c r="U530" s="6">
        <v>42166.359305555554</v>
      </c>
      <c r="V530" t="s">
        <v>35</v>
      </c>
      <c r="W530" t="s">
        <v>783</v>
      </c>
      <c r="X530" s="6">
        <v>42136.32916666667</v>
      </c>
      <c r="Y530" t="s">
        <v>245</v>
      </c>
      <c r="AB530" t="s">
        <v>201</v>
      </c>
      <c r="AC530" t="s">
        <v>247</v>
      </c>
      <c r="AD530" t="s">
        <v>222</v>
      </c>
      <c r="AE530" t="s">
        <v>240</v>
      </c>
      <c r="AG530" t="s">
        <v>121</v>
      </c>
      <c r="AH530" t="s">
        <v>327</v>
      </c>
      <c r="AI530" t="s">
        <v>121</v>
      </c>
      <c r="AJ530" t="s">
        <v>715</v>
      </c>
      <c r="AK530" t="s">
        <v>121</v>
      </c>
    </row>
    <row r="531" spans="9:37" x14ac:dyDescent="0.3">
      <c r="I531">
        <f ca="1">IF(OR(INDIRECT(A73&amp;ROW())=B93,INDIRECT(A73&amp;ROW())=B94),1,IF(AND(INDIRECT(A73&amp;ROW())=B95,INDIRECT(A96&amp;ROW())=C93),1,IF(AND(INDIRECT(A73&amp;ROW())=B95,INDIRECT(A96&amp;ROW())=C94),1,0)))</f>
        <v>1</v>
      </c>
      <c r="J531">
        <f ca="1">IF(AND(INDIRECT(A73&amp;ROW())=B95,INDIRECT(A96&amp;ROW())=C95),1,IF(AND(INDIRECT(A73&amp;ROW())=B95,INDIRECT(A96&amp;ROW())=C96),1,0))</f>
        <v>0</v>
      </c>
      <c r="K531">
        <f ca="1">DAYS360(INDIRECT(C68&amp;ROW()),TODAY())</f>
        <v>674</v>
      </c>
      <c r="L531">
        <f ca="1">DAYS360(INDIRECT(C69&amp;ROW()),TODAY())</f>
        <v>710</v>
      </c>
      <c r="M531">
        <f ca="1">HYPERLINK(CONCATENATE("https://bugzilla.houston.hp.com:1181/bugzilla/show_bug.cgi?id=",INDIRECT(C70&amp;ROW())),INDIRECT(C70&amp;ROW()))</f>
        <v>62224</v>
      </c>
      <c r="N531">
        <v>62224</v>
      </c>
      <c r="O531" t="s">
        <v>55</v>
      </c>
      <c r="P531" t="s">
        <v>1246</v>
      </c>
      <c r="Q531" t="s">
        <v>39</v>
      </c>
      <c r="R531" t="s">
        <v>783</v>
      </c>
      <c r="S531" t="s">
        <v>236</v>
      </c>
      <c r="T531" t="s">
        <v>1058</v>
      </c>
      <c r="U531" s="6">
        <v>42173.361284722225</v>
      </c>
      <c r="V531" t="s">
        <v>35</v>
      </c>
      <c r="W531" t="s">
        <v>783</v>
      </c>
      <c r="X531" s="6">
        <v>42136.329282407409</v>
      </c>
      <c r="Y531" t="s">
        <v>245</v>
      </c>
      <c r="AB531" t="s">
        <v>201</v>
      </c>
      <c r="AC531" t="s">
        <v>247</v>
      </c>
      <c r="AD531" t="s">
        <v>222</v>
      </c>
      <c r="AE531" t="s">
        <v>240</v>
      </c>
      <c r="AG531" t="s">
        <v>337</v>
      </c>
      <c r="AH531" t="s">
        <v>327</v>
      </c>
      <c r="AI531" t="s">
        <v>363</v>
      </c>
      <c r="AJ531" t="s">
        <v>715</v>
      </c>
      <c r="AK531" t="s">
        <v>121</v>
      </c>
    </row>
    <row r="532" spans="9:37" x14ac:dyDescent="0.3">
      <c r="I532">
        <f ca="1">IF(OR(INDIRECT(A73&amp;ROW())=B93,INDIRECT(A73&amp;ROW())=B94),1,IF(AND(INDIRECT(A73&amp;ROW())=B95,INDIRECT(A96&amp;ROW())=C93),1,IF(AND(INDIRECT(A73&amp;ROW())=B95,INDIRECT(A96&amp;ROW())=C94),1,0)))</f>
        <v>1</v>
      </c>
      <c r="J532">
        <f ca="1">IF(AND(INDIRECT(A73&amp;ROW())=B95,INDIRECT(A96&amp;ROW())=C95),1,IF(AND(INDIRECT(A73&amp;ROW())=B95,INDIRECT(A96&amp;ROW())=C96),1,0))</f>
        <v>0</v>
      </c>
      <c r="K532">
        <f ca="1">DAYS360(INDIRECT(C68&amp;ROW()),TODAY())</f>
        <v>681</v>
      </c>
      <c r="L532">
        <f ca="1">DAYS360(INDIRECT(C69&amp;ROW()),TODAY())</f>
        <v>710</v>
      </c>
      <c r="M532">
        <f ca="1">HYPERLINK(CONCATENATE("https://bugzilla.houston.hp.com:1181/bugzilla/show_bug.cgi?id=",INDIRECT(C70&amp;ROW())),INDIRECT(C70&amp;ROW()))</f>
        <v>62225</v>
      </c>
      <c r="N532">
        <v>62225</v>
      </c>
      <c r="O532" t="s">
        <v>55</v>
      </c>
      <c r="P532" t="s">
        <v>1245</v>
      </c>
      <c r="Q532" t="s">
        <v>39</v>
      </c>
      <c r="R532" t="s">
        <v>248</v>
      </c>
      <c r="S532" t="s">
        <v>236</v>
      </c>
      <c r="T532" t="s">
        <v>1058</v>
      </c>
      <c r="U532" s="6">
        <v>42166.357604166667</v>
      </c>
      <c r="V532" t="s">
        <v>35</v>
      </c>
      <c r="W532" t="s">
        <v>783</v>
      </c>
      <c r="X532" s="6">
        <v>42136.329375000001</v>
      </c>
      <c r="Y532" t="s">
        <v>245</v>
      </c>
      <c r="AB532" t="s">
        <v>201</v>
      </c>
      <c r="AC532" t="s">
        <v>247</v>
      </c>
      <c r="AD532" t="s">
        <v>222</v>
      </c>
      <c r="AE532" t="s">
        <v>240</v>
      </c>
      <c r="AG532" t="s">
        <v>121</v>
      </c>
      <c r="AH532" t="s">
        <v>327</v>
      </c>
      <c r="AI532" t="s">
        <v>121</v>
      </c>
      <c r="AJ532" t="s">
        <v>715</v>
      </c>
      <c r="AK532" t="s">
        <v>121</v>
      </c>
    </row>
    <row r="533" spans="9:37" x14ac:dyDescent="0.3">
      <c r="I533">
        <f ca="1">IF(OR(INDIRECT(A73&amp;ROW())=B93,INDIRECT(A73&amp;ROW())=B94),1,IF(AND(INDIRECT(A73&amp;ROW())=B95,INDIRECT(A96&amp;ROW())=C93),1,IF(AND(INDIRECT(A73&amp;ROW())=B95,INDIRECT(A96&amp;ROW())=C94),1,0)))</f>
        <v>1</v>
      </c>
      <c r="J533">
        <f ca="1">IF(AND(INDIRECT(A73&amp;ROW())=B95,INDIRECT(A96&amp;ROW())=C95),1,IF(AND(INDIRECT(A73&amp;ROW())=B95,INDIRECT(A96&amp;ROW())=C96),1,0))</f>
        <v>0</v>
      </c>
      <c r="K533">
        <f ca="1">DAYS360(INDIRECT(C68&amp;ROW()),TODAY())</f>
        <v>667</v>
      </c>
      <c r="L533">
        <f ca="1">DAYS360(INDIRECT(C69&amp;ROW()),TODAY())</f>
        <v>710</v>
      </c>
      <c r="M533">
        <f ca="1">HYPERLINK(CONCATENATE("https://bugzilla.houston.hp.com:1181/bugzilla/show_bug.cgi?id=",INDIRECT(C70&amp;ROW())),INDIRECT(C70&amp;ROW()))</f>
        <v>62236</v>
      </c>
      <c r="N533">
        <v>62236</v>
      </c>
      <c r="O533" t="s">
        <v>188</v>
      </c>
      <c r="P533" t="s">
        <v>1042</v>
      </c>
      <c r="Q533" t="s">
        <v>39</v>
      </c>
      <c r="R533" t="s">
        <v>579</v>
      </c>
      <c r="S533" t="s">
        <v>552</v>
      </c>
      <c r="T533" t="s">
        <v>1054</v>
      </c>
      <c r="U533" s="6">
        <v>42180.526932870373</v>
      </c>
      <c r="V533" t="s">
        <v>18</v>
      </c>
      <c r="W533" t="s">
        <v>783</v>
      </c>
      <c r="X533" s="6">
        <v>42136.380937499998</v>
      </c>
      <c r="Y533" t="s">
        <v>119</v>
      </c>
      <c r="AB533" t="s">
        <v>201</v>
      </c>
      <c r="AC533" t="s">
        <v>247</v>
      </c>
      <c r="AD533" t="s">
        <v>220</v>
      </c>
      <c r="AE533" t="s">
        <v>229</v>
      </c>
      <c r="AG533" t="s">
        <v>121</v>
      </c>
      <c r="AH533" t="s">
        <v>327</v>
      </c>
      <c r="AI533" t="s">
        <v>121</v>
      </c>
      <c r="AJ533" t="s">
        <v>715</v>
      </c>
      <c r="AK533" t="s">
        <v>121</v>
      </c>
    </row>
    <row r="534" spans="9:37" x14ac:dyDescent="0.3">
      <c r="I534">
        <f ca="1">IF(OR(INDIRECT(A73&amp;ROW())=B93,INDIRECT(A73&amp;ROW())=B94),1,IF(AND(INDIRECT(A73&amp;ROW())=B95,INDIRECT(A96&amp;ROW())=C93),1,IF(AND(INDIRECT(A73&amp;ROW())=B95,INDIRECT(A96&amp;ROW())=C94),1,0)))</f>
        <v>1</v>
      </c>
      <c r="J534">
        <f ca="1">IF(AND(INDIRECT(A73&amp;ROW())=B95,INDIRECT(A96&amp;ROW())=C95),1,IF(AND(INDIRECT(A73&amp;ROW())=B95,INDIRECT(A96&amp;ROW())=C96),1,0))</f>
        <v>0</v>
      </c>
      <c r="K534">
        <f ca="1">DAYS360(INDIRECT(C68&amp;ROW()),TODAY())</f>
        <v>691</v>
      </c>
      <c r="L534">
        <f ca="1">DAYS360(INDIRECT(C69&amp;ROW()),TODAY())</f>
        <v>710</v>
      </c>
      <c r="M534">
        <f ca="1">HYPERLINK(CONCATENATE("https://bugzilla.houston.hp.com:1181/bugzilla/show_bug.cgi?id=",INDIRECT(C70&amp;ROW())),INDIRECT(C70&amp;ROW()))</f>
        <v>62267</v>
      </c>
      <c r="N534">
        <v>62267</v>
      </c>
      <c r="O534" t="s">
        <v>45</v>
      </c>
      <c r="P534" t="s">
        <v>1039</v>
      </c>
      <c r="Q534" t="s">
        <v>25</v>
      </c>
      <c r="R534" t="s">
        <v>579</v>
      </c>
      <c r="S534" t="s">
        <v>552</v>
      </c>
      <c r="U534" s="6">
        <v>42156.076747685183</v>
      </c>
      <c r="V534" t="s">
        <v>18</v>
      </c>
      <c r="W534" t="s">
        <v>57</v>
      </c>
      <c r="X534" s="6">
        <v>42136.578518518516</v>
      </c>
      <c r="Y534" t="s">
        <v>1026</v>
      </c>
      <c r="AB534" t="s">
        <v>200</v>
      </c>
      <c r="AC534" t="s">
        <v>247</v>
      </c>
      <c r="AD534" t="s">
        <v>220</v>
      </c>
      <c r="AE534" t="s">
        <v>290</v>
      </c>
      <c r="AG534" t="s">
        <v>121</v>
      </c>
      <c r="AH534" t="s">
        <v>327</v>
      </c>
      <c r="AI534" t="s">
        <v>121</v>
      </c>
      <c r="AJ534" t="s">
        <v>715</v>
      </c>
      <c r="AK534" t="s">
        <v>121</v>
      </c>
    </row>
    <row r="535" spans="9:37" x14ac:dyDescent="0.3">
      <c r="I535">
        <f ca="1">IF(OR(INDIRECT(A73&amp;ROW())=B93,INDIRECT(A73&amp;ROW())=B94),1,IF(AND(INDIRECT(A73&amp;ROW())=B95,INDIRECT(A96&amp;ROW())=C93),1,IF(AND(INDIRECT(A73&amp;ROW())=B95,INDIRECT(A96&amp;ROW())=C94),1,0)))</f>
        <v>1</v>
      </c>
      <c r="J535">
        <f ca="1">IF(AND(INDIRECT(A73&amp;ROW())=B95,INDIRECT(A96&amp;ROW())=C95),1,IF(AND(INDIRECT(A73&amp;ROW())=B95,INDIRECT(A96&amp;ROW())=C96),1,0))</f>
        <v>0</v>
      </c>
      <c r="K535">
        <f ca="1">DAYS360(INDIRECT(C68&amp;ROW()),TODAY())</f>
        <v>710</v>
      </c>
      <c r="L535">
        <f ca="1">DAYS360(INDIRECT(C69&amp;ROW()),TODAY())</f>
        <v>710</v>
      </c>
      <c r="M535">
        <f ca="1">HYPERLINK(CONCATENATE("https://bugzilla.houston.hp.com:1181/bugzilla/show_bug.cgi?id=",INDIRECT(C70&amp;ROW())),INDIRECT(C70&amp;ROW()))</f>
        <v>62279</v>
      </c>
      <c r="N535">
        <v>62279</v>
      </c>
      <c r="O535" t="s">
        <v>45</v>
      </c>
      <c r="P535" t="s">
        <v>1036</v>
      </c>
      <c r="Q535" t="s">
        <v>38</v>
      </c>
      <c r="R535" t="s">
        <v>248</v>
      </c>
      <c r="S535" t="s">
        <v>552</v>
      </c>
      <c r="U535" s="6">
        <v>42136.598391203705</v>
      </c>
      <c r="V535" t="s">
        <v>18</v>
      </c>
      <c r="W535" t="s">
        <v>248</v>
      </c>
      <c r="X535" s="6">
        <v>42136.598391203705</v>
      </c>
      <c r="Y535" t="s">
        <v>793</v>
      </c>
      <c r="AB535" t="s">
        <v>201</v>
      </c>
      <c r="AC535" t="s">
        <v>247</v>
      </c>
      <c r="AD535" t="s">
        <v>227</v>
      </c>
      <c r="AE535" t="s">
        <v>226</v>
      </c>
      <c r="AG535" t="s">
        <v>121</v>
      </c>
      <c r="AH535" t="s">
        <v>327</v>
      </c>
      <c r="AI535" t="s">
        <v>121</v>
      </c>
      <c r="AJ535" t="s">
        <v>715</v>
      </c>
      <c r="AK535" t="s">
        <v>121</v>
      </c>
    </row>
    <row r="536" spans="9:37" x14ac:dyDescent="0.3">
      <c r="I536">
        <f ca="1">IF(OR(INDIRECT(A73&amp;ROW())=B93,INDIRECT(A73&amp;ROW())=B94),1,IF(AND(INDIRECT(A73&amp;ROW())=B95,INDIRECT(A96&amp;ROW())=C93),1,IF(AND(INDIRECT(A73&amp;ROW())=B95,INDIRECT(A96&amp;ROW())=C94),1,0)))</f>
        <v>0</v>
      </c>
      <c r="J536">
        <f ca="1">IF(AND(INDIRECT(A73&amp;ROW())=B95,INDIRECT(A96&amp;ROW())=C95),1,IF(AND(INDIRECT(A73&amp;ROW())=B95,INDIRECT(A96&amp;ROW())=C96),1,0))</f>
        <v>1</v>
      </c>
      <c r="K536">
        <f ca="1">DAYS360(INDIRECT(C68&amp;ROW()),TODAY())</f>
        <v>710</v>
      </c>
      <c r="L536">
        <f ca="1">DAYS360(INDIRECT(C69&amp;ROW()),TODAY())</f>
        <v>710</v>
      </c>
      <c r="M536">
        <f ca="1">HYPERLINK(CONCATENATE("https://bugzilla.houston.hp.com:1181/bugzilla/show_bug.cgi?id=",INDIRECT(C70&amp;ROW())),INDIRECT(C70&amp;ROW()))</f>
        <v>62282</v>
      </c>
      <c r="N536">
        <v>62282</v>
      </c>
      <c r="O536" t="s">
        <v>53</v>
      </c>
      <c r="P536" t="s">
        <v>1035</v>
      </c>
      <c r="Q536" t="s">
        <v>25</v>
      </c>
      <c r="R536" t="s">
        <v>248</v>
      </c>
      <c r="S536" t="s">
        <v>552</v>
      </c>
      <c r="U536" s="6">
        <v>42136.615694444445</v>
      </c>
      <c r="V536" t="s">
        <v>18</v>
      </c>
      <c r="W536" t="s">
        <v>17</v>
      </c>
      <c r="X536" s="6">
        <v>42136.615694444445</v>
      </c>
      <c r="Y536" t="s">
        <v>118</v>
      </c>
      <c r="AB536" t="s">
        <v>201</v>
      </c>
      <c r="AC536" t="s">
        <v>1027</v>
      </c>
      <c r="AD536" t="s">
        <v>220</v>
      </c>
      <c r="AE536" t="s">
        <v>219</v>
      </c>
      <c r="AG536" t="s">
        <v>121</v>
      </c>
      <c r="AH536" t="s">
        <v>327</v>
      </c>
      <c r="AI536" t="s">
        <v>121</v>
      </c>
      <c r="AJ536" t="s">
        <v>716</v>
      </c>
      <c r="AK536" t="s">
        <v>121</v>
      </c>
    </row>
    <row r="537" spans="9:37" x14ac:dyDescent="0.3">
      <c r="I537">
        <f ca="1">IF(OR(INDIRECT(A73&amp;ROW())=B93,INDIRECT(A73&amp;ROW())=B94),1,IF(AND(INDIRECT(A73&amp;ROW())=B95,INDIRECT(A96&amp;ROW())=C93),1,IF(AND(INDIRECT(A73&amp;ROW())=B95,INDIRECT(A96&amp;ROW())=C94),1,0)))</f>
        <v>0</v>
      </c>
      <c r="J537">
        <f ca="1">IF(AND(INDIRECT(A73&amp;ROW())=B95,INDIRECT(A96&amp;ROW())=C95),1,IF(AND(INDIRECT(A73&amp;ROW())=B95,INDIRECT(A96&amp;ROW())=C96),1,0))</f>
        <v>1</v>
      </c>
      <c r="K537">
        <f ca="1">DAYS360(INDIRECT(C68&amp;ROW()),TODAY())</f>
        <v>690</v>
      </c>
      <c r="L537">
        <f ca="1">DAYS360(INDIRECT(C69&amp;ROW()),TODAY())</f>
        <v>710</v>
      </c>
      <c r="M537">
        <f ca="1">HYPERLINK(CONCATENATE("https://bugzilla.houston.hp.com:1181/bugzilla/show_bug.cgi?id=",INDIRECT(C70&amp;ROW())),INDIRECT(C70&amp;ROW()))</f>
        <v>62284</v>
      </c>
      <c r="N537">
        <v>62284</v>
      </c>
      <c r="O537" t="s">
        <v>66</v>
      </c>
      <c r="P537" t="s">
        <v>1034</v>
      </c>
      <c r="Q537" t="s">
        <v>25</v>
      </c>
      <c r="R537" t="s">
        <v>783</v>
      </c>
      <c r="S537" t="s">
        <v>552</v>
      </c>
      <c r="T537" t="s">
        <v>794</v>
      </c>
      <c r="U537" s="6">
        <v>42157.1171412037</v>
      </c>
      <c r="V537" t="s">
        <v>18</v>
      </c>
      <c r="W537" t="s">
        <v>17</v>
      </c>
      <c r="X537" s="6">
        <v>42136.619583333333</v>
      </c>
      <c r="Y537" t="s">
        <v>119</v>
      </c>
      <c r="AB537" t="s">
        <v>201</v>
      </c>
      <c r="AC537" t="s">
        <v>247</v>
      </c>
      <c r="AD537" t="s">
        <v>220</v>
      </c>
      <c r="AE537" t="s">
        <v>223</v>
      </c>
      <c r="AG537" t="s">
        <v>121</v>
      </c>
      <c r="AH537" t="s">
        <v>64</v>
      </c>
      <c r="AI537" t="s">
        <v>121</v>
      </c>
      <c r="AJ537" t="s">
        <v>716</v>
      </c>
      <c r="AK537" t="s">
        <v>121</v>
      </c>
    </row>
    <row r="538" spans="9:37" x14ac:dyDescent="0.3">
      <c r="I538">
        <f ca="1">IF(OR(INDIRECT(A73&amp;ROW())=B93,INDIRECT(A73&amp;ROW())=B94),1,IF(AND(INDIRECT(A73&amp;ROW())=B95,INDIRECT(A96&amp;ROW())=C93),1,IF(AND(INDIRECT(A73&amp;ROW())=B95,INDIRECT(A96&amp;ROW())=C94),1,0)))</f>
        <v>0</v>
      </c>
      <c r="J538">
        <f ca="1">IF(AND(INDIRECT(A73&amp;ROW())=B95,INDIRECT(A96&amp;ROW())=C95),1,IF(AND(INDIRECT(A73&amp;ROW())=B95,INDIRECT(A96&amp;ROW())=C96),1,0))</f>
        <v>1</v>
      </c>
      <c r="K538">
        <f ca="1">DAYS360(INDIRECT(C68&amp;ROW()),TODAY())</f>
        <v>690</v>
      </c>
      <c r="L538">
        <f ca="1">DAYS360(INDIRECT(C69&amp;ROW()),TODAY())</f>
        <v>710</v>
      </c>
      <c r="M538">
        <f ca="1">HYPERLINK(CONCATENATE("https://bugzilla.houston.hp.com:1181/bugzilla/show_bug.cgi?id=",INDIRECT(C70&amp;ROW())),INDIRECT(C70&amp;ROW()))</f>
        <v>62285</v>
      </c>
      <c r="N538">
        <v>62285</v>
      </c>
      <c r="O538" t="s">
        <v>66</v>
      </c>
      <c r="P538" t="s">
        <v>1033</v>
      </c>
      <c r="Q538" t="s">
        <v>25</v>
      </c>
      <c r="R538" t="s">
        <v>248</v>
      </c>
      <c r="S538" t="s">
        <v>552</v>
      </c>
      <c r="T538" t="s">
        <v>794</v>
      </c>
      <c r="U538" s="6">
        <v>42157.117662037039</v>
      </c>
      <c r="V538" t="s">
        <v>18</v>
      </c>
      <c r="W538" t="s">
        <v>17</v>
      </c>
      <c r="X538" s="6">
        <v>42136.619699074072</v>
      </c>
      <c r="Y538" t="s">
        <v>119</v>
      </c>
      <c r="AB538" t="s">
        <v>201</v>
      </c>
      <c r="AC538" t="s">
        <v>247</v>
      </c>
      <c r="AD538" t="s">
        <v>220</v>
      </c>
      <c r="AE538" t="s">
        <v>223</v>
      </c>
      <c r="AG538" t="s">
        <v>121</v>
      </c>
      <c r="AH538" t="s">
        <v>64</v>
      </c>
      <c r="AI538" t="s">
        <v>121</v>
      </c>
      <c r="AJ538" t="s">
        <v>716</v>
      </c>
      <c r="AK538" t="s">
        <v>121</v>
      </c>
    </row>
    <row r="539" spans="9:37" x14ac:dyDescent="0.3">
      <c r="I539">
        <f ca="1">IF(OR(INDIRECT(A73&amp;ROW())=B93,INDIRECT(A73&amp;ROW())=B94),1,IF(AND(INDIRECT(A73&amp;ROW())=B95,INDIRECT(A96&amp;ROW())=C93),1,IF(AND(INDIRECT(A73&amp;ROW())=B95,INDIRECT(A96&amp;ROW())=C94),1,0)))</f>
        <v>0</v>
      </c>
      <c r="J539">
        <f ca="1">IF(AND(INDIRECT(A73&amp;ROW())=B95,INDIRECT(A96&amp;ROW())=C95),1,IF(AND(INDIRECT(A73&amp;ROW())=B95,INDIRECT(A96&amp;ROW())=C96),1,0))</f>
        <v>0</v>
      </c>
      <c r="K539">
        <f ca="1">DAYS360(INDIRECT(C68&amp;ROW()),TODAY())</f>
        <v>710</v>
      </c>
      <c r="L539">
        <f ca="1">DAYS360(INDIRECT(C69&amp;ROW()),TODAY())</f>
        <v>710</v>
      </c>
      <c r="M539">
        <f ca="1">HYPERLINK(CONCATENATE("https://bugzilla.houston.hp.com:1181/bugzilla/show_bug.cgi?id=",INDIRECT(C70&amp;ROW())),INDIRECT(C70&amp;ROW()))</f>
        <v>62294</v>
      </c>
      <c r="N539">
        <v>62294</v>
      </c>
      <c r="O539" t="s">
        <v>66</v>
      </c>
      <c r="P539" t="s">
        <v>1032</v>
      </c>
      <c r="Q539" t="s">
        <v>16</v>
      </c>
      <c r="R539" t="s">
        <v>248</v>
      </c>
      <c r="S539" t="s">
        <v>552</v>
      </c>
      <c r="U539" s="6">
        <v>42136.635416666664</v>
      </c>
      <c r="V539" t="s">
        <v>18</v>
      </c>
      <c r="W539" t="s">
        <v>17</v>
      </c>
      <c r="X539" s="6">
        <v>42136.635416666664</v>
      </c>
      <c r="Y539" t="s">
        <v>255</v>
      </c>
      <c r="AB539" t="s">
        <v>201</v>
      </c>
      <c r="AC539" t="s">
        <v>247</v>
      </c>
      <c r="AD539" t="s">
        <v>220</v>
      </c>
      <c r="AE539" t="s">
        <v>219</v>
      </c>
      <c r="AG539" t="s">
        <v>121</v>
      </c>
      <c r="AH539" t="s">
        <v>327</v>
      </c>
      <c r="AI539" t="s">
        <v>121</v>
      </c>
      <c r="AJ539" t="s">
        <v>716</v>
      </c>
      <c r="AK539" t="s">
        <v>121</v>
      </c>
    </row>
    <row r="540" spans="9:37" x14ac:dyDescent="0.3">
      <c r="I540">
        <f ca="1">IF(OR(INDIRECT(A73&amp;ROW())=B93,INDIRECT(A73&amp;ROW())=B94),1,IF(AND(INDIRECT(A73&amp;ROW())=B95,INDIRECT(A96&amp;ROW())=C93),1,IF(AND(INDIRECT(A73&amp;ROW())=B95,INDIRECT(A96&amp;ROW())=C94),1,0)))</f>
        <v>0</v>
      </c>
      <c r="J540">
        <f ca="1">IF(AND(INDIRECT(A73&amp;ROW())=B95,INDIRECT(A96&amp;ROW())=C95),1,IF(AND(INDIRECT(A73&amp;ROW())=B95,INDIRECT(A96&amp;ROW())=C96),1,0))</f>
        <v>0</v>
      </c>
      <c r="K540">
        <f ca="1">DAYS360(INDIRECT(C68&amp;ROW()),TODAY())</f>
        <v>710</v>
      </c>
      <c r="L540">
        <f ca="1">DAYS360(INDIRECT(C69&amp;ROW()),TODAY())</f>
        <v>710</v>
      </c>
      <c r="M540">
        <f ca="1">HYPERLINK(CONCATENATE("https://bugzilla.houston.hp.com:1181/bugzilla/show_bug.cgi?id=",INDIRECT(C70&amp;ROW())),INDIRECT(C70&amp;ROW()))</f>
        <v>62296</v>
      </c>
      <c r="N540">
        <v>62296</v>
      </c>
      <c r="O540" t="s">
        <v>43</v>
      </c>
      <c r="P540" t="s">
        <v>1031</v>
      </c>
      <c r="Q540" t="s">
        <v>16</v>
      </c>
      <c r="R540" t="s">
        <v>248</v>
      </c>
      <c r="S540" t="s">
        <v>552</v>
      </c>
      <c r="T540" t="s">
        <v>794</v>
      </c>
      <c r="U540" s="6">
        <v>42136.636666666665</v>
      </c>
      <c r="V540" t="s">
        <v>18</v>
      </c>
      <c r="W540" t="s">
        <v>17</v>
      </c>
      <c r="X540" s="6">
        <v>42136.636666666665</v>
      </c>
      <c r="Y540" t="s">
        <v>124</v>
      </c>
      <c r="AB540" t="s">
        <v>201</v>
      </c>
      <c r="AC540" t="s">
        <v>247</v>
      </c>
      <c r="AD540" t="s">
        <v>220</v>
      </c>
      <c r="AE540" t="s">
        <v>219</v>
      </c>
      <c r="AG540" t="s">
        <v>121</v>
      </c>
      <c r="AH540" t="s">
        <v>327</v>
      </c>
      <c r="AI540" t="s">
        <v>121</v>
      </c>
      <c r="AJ540" t="s">
        <v>717</v>
      </c>
      <c r="AK540" t="s">
        <v>121</v>
      </c>
    </row>
    <row r="541" spans="9:37" x14ac:dyDescent="0.3">
      <c r="I541">
        <f ca="1">IF(OR(INDIRECT(A73&amp;ROW())=B93,INDIRECT(A73&amp;ROW())=B94),1,IF(AND(INDIRECT(A73&amp;ROW())=B95,INDIRECT(A96&amp;ROW())=C93),1,IF(AND(INDIRECT(A73&amp;ROW())=B95,INDIRECT(A96&amp;ROW())=C94),1,0)))</f>
        <v>0</v>
      </c>
      <c r="J541">
        <f ca="1">IF(AND(INDIRECT(A73&amp;ROW())=B95,INDIRECT(A96&amp;ROW())=C95),1,IF(AND(INDIRECT(A73&amp;ROW())=B95,INDIRECT(A96&amp;ROW())=C96),1,0))</f>
        <v>0</v>
      </c>
      <c r="K541">
        <f ca="1">DAYS360(INDIRECT(C68&amp;ROW()),TODAY())</f>
        <v>710</v>
      </c>
      <c r="L541">
        <f ca="1">DAYS360(INDIRECT(C69&amp;ROW()),TODAY())</f>
        <v>710</v>
      </c>
      <c r="M541">
        <f ca="1">HYPERLINK(CONCATENATE("https://bugzilla.houston.hp.com:1181/bugzilla/show_bug.cgi?id=",INDIRECT(C70&amp;ROW())),INDIRECT(C70&amp;ROW()))</f>
        <v>62298</v>
      </c>
      <c r="N541">
        <v>62298</v>
      </c>
      <c r="O541" t="s">
        <v>66</v>
      </c>
      <c r="P541" t="s">
        <v>1030</v>
      </c>
      <c r="Q541" t="s">
        <v>16</v>
      </c>
      <c r="R541" t="s">
        <v>248</v>
      </c>
      <c r="S541" t="s">
        <v>552</v>
      </c>
      <c r="U541" s="6">
        <v>42136.646863425929</v>
      </c>
      <c r="V541" t="s">
        <v>18</v>
      </c>
      <c r="W541" t="s">
        <v>17</v>
      </c>
      <c r="X541" s="6">
        <v>42136.646863425929</v>
      </c>
      <c r="Y541" t="s">
        <v>122</v>
      </c>
      <c r="AB541" t="s">
        <v>201</v>
      </c>
      <c r="AC541" t="s">
        <v>247</v>
      </c>
      <c r="AD541" t="s">
        <v>220</v>
      </c>
      <c r="AE541" t="s">
        <v>290</v>
      </c>
      <c r="AG541" t="s">
        <v>121</v>
      </c>
      <c r="AH541" t="s">
        <v>1029</v>
      </c>
      <c r="AI541" t="s">
        <v>121</v>
      </c>
      <c r="AJ541" t="s">
        <v>717</v>
      </c>
      <c r="AK541" t="s">
        <v>121</v>
      </c>
    </row>
    <row r="542" spans="9:37" x14ac:dyDescent="0.3">
      <c r="I542">
        <f ca="1">IF(OR(INDIRECT(A73&amp;ROW())=B93,INDIRECT(A73&amp;ROW())=B94),1,IF(AND(INDIRECT(A73&amp;ROW())=B95,INDIRECT(A96&amp;ROW())=C93),1,IF(AND(INDIRECT(A73&amp;ROW())=B95,INDIRECT(A96&amp;ROW())=C94),1,0)))</f>
        <v>0</v>
      </c>
      <c r="J542">
        <f ca="1">IF(AND(INDIRECT(A73&amp;ROW())=B95,INDIRECT(A96&amp;ROW())=C95),1,IF(AND(INDIRECT(A73&amp;ROW())=B95,INDIRECT(A96&amp;ROW())=C96),1,0))</f>
        <v>1</v>
      </c>
      <c r="K542">
        <f ca="1">DAYS360(INDIRECT(C68&amp;ROW()),TODAY())</f>
        <v>709</v>
      </c>
      <c r="L542">
        <f ca="1">DAYS360(INDIRECT(C69&amp;ROW()),TODAY())</f>
        <v>709</v>
      </c>
      <c r="M542">
        <f ca="1">HYPERLINK(CONCATENATE("https://bugzilla.houston.hp.com:1181/bugzilla/show_bug.cgi?id=",INDIRECT(C70&amp;ROW())),INDIRECT(C70&amp;ROW()))</f>
        <v>62359</v>
      </c>
      <c r="N542">
        <v>62359</v>
      </c>
      <c r="O542" t="s">
        <v>22</v>
      </c>
      <c r="P542" t="s">
        <v>1057</v>
      </c>
      <c r="Q542" t="s">
        <v>25</v>
      </c>
      <c r="R542" t="s">
        <v>251</v>
      </c>
      <c r="S542" t="s">
        <v>44</v>
      </c>
      <c r="U542" s="6">
        <v>42137.510567129626</v>
      </c>
      <c r="V542" t="s">
        <v>18</v>
      </c>
      <c r="W542" t="s">
        <v>783</v>
      </c>
      <c r="X542" s="6">
        <v>42137.476770833331</v>
      </c>
      <c r="Y542" t="s">
        <v>118</v>
      </c>
      <c r="AB542" t="s">
        <v>201</v>
      </c>
      <c r="AC542" t="s">
        <v>247</v>
      </c>
      <c r="AD542" t="s">
        <v>222</v>
      </c>
      <c r="AE542" t="s">
        <v>221</v>
      </c>
      <c r="AG542" t="s">
        <v>121</v>
      </c>
      <c r="AH542" t="s">
        <v>327</v>
      </c>
      <c r="AI542" t="s">
        <v>121</v>
      </c>
      <c r="AJ542" t="s">
        <v>716</v>
      </c>
      <c r="AK542" t="s">
        <v>121</v>
      </c>
    </row>
    <row r="543" spans="9:37" x14ac:dyDescent="0.3">
      <c r="I543">
        <f ca="1">IF(OR(INDIRECT(A73&amp;ROW())=B93,INDIRECT(A73&amp;ROW())=B94),1,IF(AND(INDIRECT(A73&amp;ROW())=B95,INDIRECT(A96&amp;ROW())=C93),1,IF(AND(INDIRECT(A73&amp;ROW())=B95,INDIRECT(A96&amp;ROW())=C94),1,0)))</f>
        <v>0</v>
      </c>
      <c r="J543">
        <f ca="1">IF(AND(INDIRECT(A73&amp;ROW())=B95,INDIRECT(A96&amp;ROW())=C95),1,IF(AND(INDIRECT(A73&amp;ROW())=B95,INDIRECT(A96&amp;ROW())=C96),1,0))</f>
        <v>1</v>
      </c>
      <c r="K543">
        <f ca="1">DAYS360(INDIRECT(C68&amp;ROW()),TODAY())</f>
        <v>709</v>
      </c>
      <c r="L543">
        <f ca="1">DAYS360(INDIRECT(C69&amp;ROW()),TODAY())</f>
        <v>709</v>
      </c>
      <c r="M543">
        <f ca="1">HYPERLINK(CONCATENATE("https://bugzilla.houston.hp.com:1181/bugzilla/show_bug.cgi?id=",INDIRECT(C70&amp;ROW())),INDIRECT(C70&amp;ROW()))</f>
        <v>62363</v>
      </c>
      <c r="N543">
        <v>62363</v>
      </c>
      <c r="O543" t="s">
        <v>22</v>
      </c>
      <c r="P543" t="s">
        <v>1056</v>
      </c>
      <c r="Q543" t="s">
        <v>25</v>
      </c>
      <c r="R543" t="s">
        <v>783</v>
      </c>
      <c r="S543" t="s">
        <v>552</v>
      </c>
      <c r="U543" s="6">
        <v>42137.500509259262</v>
      </c>
      <c r="V543" t="s">
        <v>18</v>
      </c>
      <c r="W543" t="s">
        <v>783</v>
      </c>
      <c r="X543" s="6">
        <v>42137.500509259262</v>
      </c>
      <c r="Y543" t="s">
        <v>118</v>
      </c>
      <c r="AB543" t="s">
        <v>201</v>
      </c>
      <c r="AC543" t="s">
        <v>247</v>
      </c>
      <c r="AD543" t="s">
        <v>222</v>
      </c>
      <c r="AE543" t="s">
        <v>221</v>
      </c>
      <c r="AG543" t="s">
        <v>121</v>
      </c>
      <c r="AH543" t="s">
        <v>327</v>
      </c>
      <c r="AI543" t="s">
        <v>121</v>
      </c>
      <c r="AJ543" t="s">
        <v>716</v>
      </c>
      <c r="AK543" t="s">
        <v>121</v>
      </c>
    </row>
    <row r="544" spans="9:37" x14ac:dyDescent="0.3">
      <c r="I544">
        <f ca="1">IF(OR(INDIRECT(A73&amp;ROW())=B93,INDIRECT(A73&amp;ROW())=B94),1,IF(AND(INDIRECT(A73&amp;ROW())=B95,INDIRECT(A96&amp;ROW())=C93),1,IF(AND(INDIRECT(A73&amp;ROW())=B95,INDIRECT(A96&amp;ROW())=C94),1,0)))</f>
        <v>0</v>
      </c>
      <c r="J544">
        <f ca="1">IF(AND(INDIRECT(A73&amp;ROW())=B95,INDIRECT(A96&amp;ROW())=C95),1,IF(AND(INDIRECT(A73&amp;ROW())=B95,INDIRECT(A96&amp;ROW())=C96),1,0))</f>
        <v>1</v>
      </c>
      <c r="K544">
        <f ca="1">DAYS360(INDIRECT(C68&amp;ROW()),TODAY())</f>
        <v>709</v>
      </c>
      <c r="L544">
        <f ca="1">DAYS360(INDIRECT(C69&amp;ROW()),TODAY())</f>
        <v>709</v>
      </c>
      <c r="M544">
        <f ca="1">HYPERLINK(CONCATENATE("https://bugzilla.houston.hp.com:1181/bugzilla/show_bug.cgi?id=",INDIRECT(C70&amp;ROW())),INDIRECT(C70&amp;ROW()))</f>
        <v>62364</v>
      </c>
      <c r="N544">
        <v>62364</v>
      </c>
      <c r="O544" t="s">
        <v>22</v>
      </c>
      <c r="P544" t="s">
        <v>1055</v>
      </c>
      <c r="Q544" t="s">
        <v>25</v>
      </c>
      <c r="R544" t="s">
        <v>248</v>
      </c>
      <c r="S544" t="s">
        <v>552</v>
      </c>
      <c r="U544" s="6">
        <v>42137.500567129631</v>
      </c>
      <c r="V544" t="s">
        <v>18</v>
      </c>
      <c r="W544" t="s">
        <v>783</v>
      </c>
      <c r="X544" s="6">
        <v>42137.500567129631</v>
      </c>
      <c r="Y544" t="s">
        <v>118</v>
      </c>
      <c r="AB544" t="s">
        <v>201</v>
      </c>
      <c r="AC544" t="s">
        <v>247</v>
      </c>
      <c r="AD544" t="s">
        <v>222</v>
      </c>
      <c r="AE544" t="s">
        <v>221</v>
      </c>
      <c r="AG544" t="s">
        <v>121</v>
      </c>
      <c r="AH544" t="s">
        <v>327</v>
      </c>
      <c r="AI544" t="s">
        <v>121</v>
      </c>
      <c r="AJ544" t="s">
        <v>716</v>
      </c>
      <c r="AK544" t="s">
        <v>121</v>
      </c>
    </row>
    <row r="545" spans="9:37" x14ac:dyDescent="0.3">
      <c r="I545">
        <f ca="1">IF(OR(INDIRECT(A73&amp;ROW())=B93,INDIRECT(A73&amp;ROW())=B94),1,IF(AND(INDIRECT(A73&amp;ROW())=B95,INDIRECT(A96&amp;ROW())=C93),1,IF(AND(INDIRECT(A73&amp;ROW())=B95,INDIRECT(A96&amp;ROW())=C94),1,0)))</f>
        <v>0</v>
      </c>
      <c r="J545">
        <f ca="1">IF(AND(INDIRECT(A73&amp;ROW())=B95,INDIRECT(A96&amp;ROW())=C95),1,IF(AND(INDIRECT(A73&amp;ROW())=B95,INDIRECT(A96&amp;ROW())=C96),1,0))</f>
        <v>1</v>
      </c>
      <c r="K545">
        <f ca="1">DAYS360(INDIRECT(C68&amp;ROW()),TODAY())</f>
        <v>705</v>
      </c>
      <c r="L545">
        <f ca="1">DAYS360(INDIRECT(C69&amp;ROW()),TODAY())</f>
        <v>705</v>
      </c>
      <c r="M545">
        <f ca="1">HYPERLINK(CONCATENATE("https://bugzilla.houston.hp.com:1181/bugzilla/show_bug.cgi?id=",INDIRECT(C70&amp;ROW())),INDIRECT(C70&amp;ROW()))</f>
        <v>62508</v>
      </c>
      <c r="N545">
        <v>62508</v>
      </c>
      <c r="O545" t="s">
        <v>56</v>
      </c>
      <c r="P545" t="s">
        <v>1063</v>
      </c>
      <c r="Q545" t="s">
        <v>25</v>
      </c>
      <c r="R545" t="s">
        <v>783</v>
      </c>
      <c r="S545" t="s">
        <v>236</v>
      </c>
      <c r="U545" s="6">
        <v>42141.688692129632</v>
      </c>
      <c r="V545" t="s">
        <v>35</v>
      </c>
      <c r="W545" t="s">
        <v>764</v>
      </c>
      <c r="X545" s="6">
        <v>42141.688692129632</v>
      </c>
      <c r="Y545" t="s">
        <v>246</v>
      </c>
      <c r="AB545" t="s">
        <v>201</v>
      </c>
      <c r="AC545" t="s">
        <v>247</v>
      </c>
      <c r="AD545" t="s">
        <v>220</v>
      </c>
      <c r="AE545" t="s">
        <v>219</v>
      </c>
      <c r="AG545" t="s">
        <v>121</v>
      </c>
      <c r="AH545" t="s">
        <v>768</v>
      </c>
      <c r="AI545" t="s">
        <v>121</v>
      </c>
      <c r="AJ545" t="s">
        <v>716</v>
      </c>
      <c r="AK545" t="s">
        <v>121</v>
      </c>
    </row>
    <row r="546" spans="9:37" x14ac:dyDescent="0.3">
      <c r="I546">
        <f ca="1">IF(OR(INDIRECT(A73&amp;ROW())=B93,INDIRECT(A73&amp;ROW())=B94),1,IF(AND(INDIRECT(A73&amp;ROW())=B95,INDIRECT(A96&amp;ROW())=C93),1,IF(AND(INDIRECT(A73&amp;ROW())=B95,INDIRECT(A96&amp;ROW())=C94),1,0)))</f>
        <v>1</v>
      </c>
      <c r="J546">
        <f ca="1">IF(AND(INDIRECT(A73&amp;ROW())=B95,INDIRECT(A96&amp;ROW())=C95),1,IF(AND(INDIRECT(A73&amp;ROW())=B95,INDIRECT(A96&amp;ROW())=C96),1,0))</f>
        <v>0</v>
      </c>
      <c r="K546">
        <f ca="1">DAYS360(INDIRECT(C68&amp;ROW()),TODAY())</f>
        <v>694</v>
      </c>
      <c r="L546">
        <f ca="1">DAYS360(INDIRECT(C69&amp;ROW()),TODAY())</f>
        <v>704</v>
      </c>
      <c r="M546">
        <f ca="1">HYPERLINK(CONCATENATE("https://bugzilla.houston.hp.com:1181/bugzilla/show_bug.cgi?id=",INDIRECT(C70&amp;ROW())),INDIRECT(C70&amp;ROW()))</f>
        <v>62559</v>
      </c>
      <c r="N546">
        <v>62559</v>
      </c>
      <c r="O546" t="s">
        <v>241</v>
      </c>
      <c r="P546" t="s">
        <v>1081</v>
      </c>
      <c r="Q546" t="s">
        <v>25</v>
      </c>
      <c r="R546" t="s">
        <v>251</v>
      </c>
      <c r="S546" t="s">
        <v>1080</v>
      </c>
      <c r="U546" s="6">
        <v>42152.503506944442</v>
      </c>
      <c r="V546" t="s">
        <v>18</v>
      </c>
      <c r="W546" t="s">
        <v>764</v>
      </c>
      <c r="X546" s="6">
        <v>42142.621620370373</v>
      </c>
      <c r="Y546" t="s">
        <v>123</v>
      </c>
      <c r="Z546" t="s">
        <v>123</v>
      </c>
      <c r="AB546" t="s">
        <v>200</v>
      </c>
      <c r="AC546" t="s">
        <v>247</v>
      </c>
      <c r="AD546" t="s">
        <v>227</v>
      </c>
      <c r="AE546" t="s">
        <v>237</v>
      </c>
      <c r="AG546" t="s">
        <v>121</v>
      </c>
      <c r="AH546" t="s">
        <v>327</v>
      </c>
      <c r="AI546" t="s">
        <v>121</v>
      </c>
      <c r="AJ546" t="s">
        <v>715</v>
      </c>
      <c r="AK546" t="s">
        <v>121</v>
      </c>
    </row>
    <row r="547" spans="9:37" x14ac:dyDescent="0.3">
      <c r="I547">
        <f ca="1">IF(OR(INDIRECT(A73&amp;ROW())=B93,INDIRECT(A73&amp;ROW())=B94),1,IF(AND(INDIRECT(A73&amp;ROW())=B95,INDIRECT(A96&amp;ROW())=C93),1,IF(AND(INDIRECT(A73&amp;ROW())=B95,INDIRECT(A96&amp;ROW())=C94),1,0)))</f>
        <v>1</v>
      </c>
      <c r="J547">
        <f ca="1">IF(AND(INDIRECT(A73&amp;ROW())=B95,INDIRECT(A96&amp;ROW())=C95),1,IF(AND(INDIRECT(A73&amp;ROW())=B95,INDIRECT(A96&amp;ROW())=C96),1,0))</f>
        <v>0</v>
      </c>
      <c r="K547">
        <f ca="1">DAYS360(INDIRECT(C68&amp;ROW()),TODAY())</f>
        <v>703</v>
      </c>
      <c r="L547">
        <f ca="1">DAYS360(INDIRECT(C69&amp;ROW()),TODAY())</f>
        <v>703</v>
      </c>
      <c r="M547">
        <f ca="1">HYPERLINK(CONCATENATE("https://bugzilla.houston.hp.com:1181/bugzilla/show_bug.cgi?id=",INDIRECT(C70&amp;ROW())),INDIRECT(C70&amp;ROW()))</f>
        <v>62575</v>
      </c>
      <c r="N547">
        <v>62575</v>
      </c>
      <c r="O547" t="s">
        <v>241</v>
      </c>
      <c r="P547" t="s">
        <v>1079</v>
      </c>
      <c r="Q547" t="s">
        <v>25</v>
      </c>
      <c r="R547" t="s">
        <v>579</v>
      </c>
      <c r="S547" t="s">
        <v>552</v>
      </c>
      <c r="U547" s="6">
        <v>42143.309745370374</v>
      </c>
      <c r="V547" t="s">
        <v>18</v>
      </c>
      <c r="W547" t="s">
        <v>764</v>
      </c>
      <c r="X547" s="6">
        <v>42143.016516203701</v>
      </c>
      <c r="Y547" t="s">
        <v>123</v>
      </c>
      <c r="Z547" t="s">
        <v>123</v>
      </c>
      <c r="AB547" t="s">
        <v>200</v>
      </c>
      <c r="AC547" t="s">
        <v>247</v>
      </c>
      <c r="AD547" t="s">
        <v>227</v>
      </c>
      <c r="AE547" t="s">
        <v>231</v>
      </c>
      <c r="AG547" t="s">
        <v>121</v>
      </c>
      <c r="AH547" t="s">
        <v>327</v>
      </c>
      <c r="AI547" t="s">
        <v>121</v>
      </c>
      <c r="AJ547" t="s">
        <v>715</v>
      </c>
      <c r="AK547" t="s">
        <v>1066</v>
      </c>
    </row>
    <row r="548" spans="9:37" x14ac:dyDescent="0.3">
      <c r="I548">
        <f ca="1">IF(OR(INDIRECT(A73&amp;ROW())=B93,INDIRECT(A73&amp;ROW())=B94),1,IF(AND(INDIRECT(A73&amp;ROW())=B95,INDIRECT(A96&amp;ROW())=C93),1,IF(AND(INDIRECT(A73&amp;ROW())=B95,INDIRECT(A96&amp;ROW())=C94),1,0)))</f>
        <v>1</v>
      </c>
      <c r="J548">
        <f ca="1">IF(AND(INDIRECT(A73&amp;ROW())=B95,INDIRECT(A96&amp;ROW())=C95),1,IF(AND(INDIRECT(A73&amp;ROW())=B95,INDIRECT(A96&amp;ROW())=C96),1,0))</f>
        <v>0</v>
      </c>
      <c r="K548">
        <f ca="1">DAYS360(INDIRECT(C68&amp;ROW()),TODAY())</f>
        <v>703</v>
      </c>
      <c r="L548">
        <f ca="1">DAYS360(INDIRECT(C69&amp;ROW()),TODAY())</f>
        <v>703</v>
      </c>
      <c r="M548">
        <f ca="1">HYPERLINK(CONCATENATE("https://bugzilla.houston.hp.com:1181/bugzilla/show_bug.cgi?id=",INDIRECT(C70&amp;ROW())),INDIRECT(C70&amp;ROW()))</f>
        <v>62576</v>
      </c>
      <c r="N548">
        <v>62576</v>
      </c>
      <c r="O548" t="s">
        <v>241</v>
      </c>
      <c r="P548" t="s">
        <v>1078</v>
      </c>
      <c r="Q548" t="s">
        <v>25</v>
      </c>
      <c r="R548" t="s">
        <v>248</v>
      </c>
      <c r="S548" t="s">
        <v>552</v>
      </c>
      <c r="U548" s="6">
        <v>42143.30976851852</v>
      </c>
      <c r="V548" t="s">
        <v>18</v>
      </c>
      <c r="W548" t="s">
        <v>764</v>
      </c>
      <c r="X548" s="6">
        <v>42143.016574074078</v>
      </c>
      <c r="Y548" t="s">
        <v>123</v>
      </c>
      <c r="Z548" t="s">
        <v>123</v>
      </c>
      <c r="AB548" t="s">
        <v>200</v>
      </c>
      <c r="AC548" t="s">
        <v>247</v>
      </c>
      <c r="AD548" t="s">
        <v>227</v>
      </c>
      <c r="AE548" t="s">
        <v>231</v>
      </c>
      <c r="AG548" t="s">
        <v>121</v>
      </c>
      <c r="AH548" t="s">
        <v>327</v>
      </c>
      <c r="AI548" t="s">
        <v>121</v>
      </c>
      <c r="AJ548" t="s">
        <v>715</v>
      </c>
      <c r="AK548" t="s">
        <v>1066</v>
      </c>
    </row>
    <row r="549" spans="9:37" x14ac:dyDescent="0.3">
      <c r="I549">
        <f ca="1">IF(OR(INDIRECT(A73&amp;ROW())=B93,INDIRECT(A73&amp;ROW())=B94),1,IF(AND(INDIRECT(A73&amp;ROW())=B95,INDIRECT(A96&amp;ROW())=C93),1,IF(AND(INDIRECT(A73&amp;ROW())=B95,INDIRECT(A96&amp;ROW())=C94),1,0)))</f>
        <v>1</v>
      </c>
      <c r="J549">
        <f ca="1">IF(AND(INDIRECT(A73&amp;ROW())=B95,INDIRECT(A96&amp;ROW())=C95),1,IF(AND(INDIRECT(A73&amp;ROW())=B95,INDIRECT(A96&amp;ROW())=C96),1,0))</f>
        <v>0</v>
      </c>
      <c r="K549">
        <f ca="1">DAYS360(INDIRECT(C68&amp;ROW()),TODAY())</f>
        <v>674</v>
      </c>
      <c r="L549">
        <f ca="1">DAYS360(INDIRECT(C69&amp;ROW()),TODAY())</f>
        <v>703</v>
      </c>
      <c r="M549">
        <f ca="1">HYPERLINK(CONCATENATE("https://bugzilla.houston.hp.com:1181/bugzilla/show_bug.cgi?id=",INDIRECT(C70&amp;ROW())),INDIRECT(C70&amp;ROW()))</f>
        <v>62607</v>
      </c>
      <c r="N549">
        <v>62607</v>
      </c>
      <c r="O549" t="s">
        <v>188</v>
      </c>
      <c r="P549" t="s">
        <v>1077</v>
      </c>
      <c r="Q549" t="s">
        <v>39</v>
      </c>
      <c r="R549" t="s">
        <v>251</v>
      </c>
      <c r="S549" t="s">
        <v>24</v>
      </c>
      <c r="U549" s="6">
        <v>42173.362604166665</v>
      </c>
      <c r="V549" t="s">
        <v>18</v>
      </c>
      <c r="W549" t="s">
        <v>764</v>
      </c>
      <c r="X549" s="6">
        <v>42143.354687500003</v>
      </c>
      <c r="Y549" t="s">
        <v>119</v>
      </c>
      <c r="AB549" t="s">
        <v>200</v>
      </c>
      <c r="AC549" t="s">
        <v>247</v>
      </c>
      <c r="AD549" t="s">
        <v>220</v>
      </c>
      <c r="AE549" t="s">
        <v>229</v>
      </c>
      <c r="AG549" t="s">
        <v>121</v>
      </c>
      <c r="AH549" t="s">
        <v>327</v>
      </c>
      <c r="AI549" t="s">
        <v>121</v>
      </c>
      <c r="AJ549" t="s">
        <v>715</v>
      </c>
      <c r="AK549" t="s">
        <v>121</v>
      </c>
    </row>
    <row r="550" spans="9:37" x14ac:dyDescent="0.3">
      <c r="I550">
        <f ca="1">IF(OR(INDIRECT(A73&amp;ROW())=B93,INDIRECT(A73&amp;ROW())=B94),1,IF(AND(INDIRECT(A73&amp;ROW())=B95,INDIRECT(A96&amp;ROW())=C93),1,IF(AND(INDIRECT(A73&amp;ROW())=B95,INDIRECT(A96&amp;ROW())=C94),1,0)))</f>
        <v>1</v>
      </c>
      <c r="J550">
        <f ca="1">IF(AND(INDIRECT(A73&amp;ROW())=B95,INDIRECT(A96&amp;ROW())=C95),1,IF(AND(INDIRECT(A73&amp;ROW())=B95,INDIRECT(A96&amp;ROW())=C96),1,0))</f>
        <v>0</v>
      </c>
      <c r="K550">
        <f ca="1">DAYS360(INDIRECT(C68&amp;ROW()),TODAY())</f>
        <v>674</v>
      </c>
      <c r="L550">
        <f ca="1">DAYS360(INDIRECT(C69&amp;ROW()),TODAY())</f>
        <v>703</v>
      </c>
      <c r="M550">
        <f ca="1">HYPERLINK(CONCATENATE("https://bugzilla.houston.hp.com:1181/bugzilla/show_bug.cgi?id=",INDIRECT(C70&amp;ROW())),INDIRECT(C70&amp;ROW()))</f>
        <v>62608</v>
      </c>
      <c r="N550">
        <v>62608</v>
      </c>
      <c r="O550" t="s">
        <v>188</v>
      </c>
      <c r="P550" t="s">
        <v>1076</v>
      </c>
      <c r="Q550" t="s">
        <v>39</v>
      </c>
      <c r="R550" t="s">
        <v>579</v>
      </c>
      <c r="S550" t="s">
        <v>552</v>
      </c>
      <c r="U550" s="6">
        <v>42173.309942129628</v>
      </c>
      <c r="V550" t="s">
        <v>18</v>
      </c>
      <c r="W550" t="s">
        <v>764</v>
      </c>
      <c r="X550" s="6">
        <v>42143.376076388886</v>
      </c>
      <c r="Y550" t="s">
        <v>119</v>
      </c>
      <c r="AB550" t="s">
        <v>201</v>
      </c>
      <c r="AC550" t="s">
        <v>247</v>
      </c>
      <c r="AD550" t="s">
        <v>220</v>
      </c>
      <c r="AE550" t="s">
        <v>229</v>
      </c>
      <c r="AG550" t="s">
        <v>121</v>
      </c>
      <c r="AH550" t="s">
        <v>327</v>
      </c>
      <c r="AI550" t="s">
        <v>121</v>
      </c>
      <c r="AJ550" t="s">
        <v>715</v>
      </c>
      <c r="AK550" t="s">
        <v>121</v>
      </c>
    </row>
    <row r="551" spans="9:37" x14ac:dyDescent="0.3">
      <c r="I551">
        <f ca="1">IF(OR(INDIRECT(A73&amp;ROW())=B93,INDIRECT(A73&amp;ROW())=B94),1,IF(AND(INDIRECT(A73&amp;ROW())=B95,INDIRECT(A96&amp;ROW())=C93),1,IF(AND(INDIRECT(A73&amp;ROW())=B95,INDIRECT(A96&amp;ROW())=C94),1,0)))</f>
        <v>1</v>
      </c>
      <c r="J551">
        <f ca="1">IF(AND(INDIRECT(A73&amp;ROW())=B95,INDIRECT(A96&amp;ROW())=C95),1,IF(AND(INDIRECT(A73&amp;ROW())=B95,INDIRECT(A96&amp;ROW())=C96),1,0))</f>
        <v>0</v>
      </c>
      <c r="K551">
        <f ca="1">DAYS360(INDIRECT(C68&amp;ROW()),TODAY())</f>
        <v>674</v>
      </c>
      <c r="L551">
        <f ca="1">DAYS360(INDIRECT(C69&amp;ROW()),TODAY())</f>
        <v>703</v>
      </c>
      <c r="M551">
        <f ca="1">HYPERLINK(CONCATENATE("https://bugzilla.houston.hp.com:1181/bugzilla/show_bug.cgi?id=",INDIRECT(C70&amp;ROW())),INDIRECT(C70&amp;ROW()))</f>
        <v>62610</v>
      </c>
      <c r="N551">
        <v>62610</v>
      </c>
      <c r="O551" t="s">
        <v>188</v>
      </c>
      <c r="P551" t="s">
        <v>1074</v>
      </c>
      <c r="Q551" t="s">
        <v>39</v>
      </c>
      <c r="R551" t="s">
        <v>248</v>
      </c>
      <c r="S551" t="s">
        <v>552</v>
      </c>
      <c r="U551" s="6">
        <v>42173.310555555552</v>
      </c>
      <c r="V551" t="s">
        <v>18</v>
      </c>
      <c r="W551" t="s">
        <v>764</v>
      </c>
      <c r="X551" s="6">
        <v>42143.376250000001</v>
      </c>
      <c r="Y551" t="s">
        <v>119</v>
      </c>
      <c r="AB551" t="s">
        <v>201</v>
      </c>
      <c r="AC551" t="s">
        <v>247</v>
      </c>
      <c r="AD551" t="s">
        <v>220</v>
      </c>
      <c r="AE551" t="s">
        <v>229</v>
      </c>
      <c r="AG551" t="s">
        <v>121</v>
      </c>
      <c r="AH551" t="s">
        <v>327</v>
      </c>
      <c r="AI551" t="s">
        <v>121</v>
      </c>
      <c r="AJ551" t="s">
        <v>715</v>
      </c>
      <c r="AK551" t="s">
        <v>121</v>
      </c>
    </row>
    <row r="552" spans="9:37" x14ac:dyDescent="0.3">
      <c r="I552">
        <f ca="1">IF(OR(INDIRECT(A73&amp;ROW())=B93,INDIRECT(A73&amp;ROW())=B94),1,IF(AND(INDIRECT(A73&amp;ROW())=B95,INDIRECT(A96&amp;ROW())=C93),1,IF(AND(INDIRECT(A73&amp;ROW())=B95,INDIRECT(A96&amp;ROW())=C94),1,0)))</f>
        <v>0</v>
      </c>
      <c r="J552">
        <f ca="1">IF(AND(INDIRECT(A73&amp;ROW())=B95,INDIRECT(A96&amp;ROW())=C95),1,IF(AND(INDIRECT(A73&amp;ROW())=B95,INDIRECT(A96&amp;ROW())=C96),1,0))</f>
        <v>1</v>
      </c>
      <c r="K552">
        <f ca="1">DAYS360(INDIRECT(C68&amp;ROW()),TODAY())</f>
        <v>677</v>
      </c>
      <c r="L552">
        <f ca="1">DAYS360(INDIRECT(C69&amp;ROW()),TODAY())</f>
        <v>703</v>
      </c>
      <c r="M552">
        <f ca="1">HYPERLINK(CONCATENATE("https://bugzilla.houston.hp.com:1181/bugzilla/show_bug.cgi?id=",INDIRECT(C70&amp;ROW())),INDIRECT(C70&amp;ROW()))</f>
        <v>62618</v>
      </c>
      <c r="N552">
        <v>62618</v>
      </c>
      <c r="O552" t="s">
        <v>188</v>
      </c>
      <c r="P552" t="s">
        <v>1132</v>
      </c>
      <c r="Q552" t="s">
        <v>25</v>
      </c>
      <c r="R552" t="s">
        <v>251</v>
      </c>
      <c r="S552" t="s">
        <v>24</v>
      </c>
      <c r="U552" s="6">
        <v>42170.552905092591</v>
      </c>
      <c r="V552" t="s">
        <v>18</v>
      </c>
      <c r="W552" t="s">
        <v>764</v>
      </c>
      <c r="X552" s="6">
        <v>42143.454618055555</v>
      </c>
      <c r="Y552" t="s">
        <v>119</v>
      </c>
      <c r="AB552" t="s">
        <v>201</v>
      </c>
      <c r="AC552" t="s">
        <v>247</v>
      </c>
      <c r="AD552" t="s">
        <v>220</v>
      </c>
      <c r="AE552" t="s">
        <v>229</v>
      </c>
      <c r="AG552" t="s">
        <v>121</v>
      </c>
      <c r="AH552" t="s">
        <v>327</v>
      </c>
      <c r="AI552" t="s">
        <v>362</v>
      </c>
      <c r="AJ552" t="s">
        <v>716</v>
      </c>
      <c r="AK552" t="s">
        <v>121</v>
      </c>
    </row>
    <row r="553" spans="9:37" x14ac:dyDescent="0.3">
      <c r="I553">
        <f ca="1">IF(OR(INDIRECT(A73&amp;ROW())=B93,INDIRECT(A73&amp;ROW())=B94),1,IF(AND(INDIRECT(A73&amp;ROW())=B95,INDIRECT(A96&amp;ROW())=C93),1,IF(AND(INDIRECT(A73&amp;ROW())=B95,INDIRECT(A96&amp;ROW())=C94),1,0)))</f>
        <v>0</v>
      </c>
      <c r="J553">
        <f ca="1">IF(AND(INDIRECT(A73&amp;ROW())=B95,INDIRECT(A96&amp;ROW())=C95),1,IF(AND(INDIRECT(A73&amp;ROW())=B95,INDIRECT(A96&amp;ROW())=C96),1,0))</f>
        <v>0</v>
      </c>
      <c r="K553">
        <f ca="1">DAYS360(INDIRECT(C68&amp;ROW()),TODAY())</f>
        <v>670</v>
      </c>
      <c r="L553">
        <f ca="1">DAYS360(INDIRECT(C69&amp;ROW()),TODAY())</f>
        <v>703</v>
      </c>
      <c r="M553">
        <f ca="1">HYPERLINK(CONCATENATE("https://bugzilla.houston.hp.com:1181/bugzilla/show_bug.cgi?id=",INDIRECT(C70&amp;ROW())),INDIRECT(C70&amp;ROW()))</f>
        <v>62620</v>
      </c>
      <c r="N553">
        <v>62620</v>
      </c>
      <c r="O553" t="s">
        <v>21</v>
      </c>
      <c r="P553" t="s">
        <v>1093</v>
      </c>
      <c r="Q553" t="s">
        <v>16</v>
      </c>
      <c r="R553" t="s">
        <v>251</v>
      </c>
      <c r="S553" t="s">
        <v>917</v>
      </c>
      <c r="U553" s="6">
        <v>42177.551863425928</v>
      </c>
      <c r="V553" t="s">
        <v>18</v>
      </c>
      <c r="W553" t="s">
        <v>783</v>
      </c>
      <c r="X553" s="6">
        <v>42143.486145833333</v>
      </c>
      <c r="Y553" t="s">
        <v>846</v>
      </c>
      <c r="AB553" t="s">
        <v>201</v>
      </c>
      <c r="AC553" t="s">
        <v>247</v>
      </c>
      <c r="AD553" t="s">
        <v>222</v>
      </c>
      <c r="AE553" t="s">
        <v>1073</v>
      </c>
      <c r="AG553" t="s">
        <v>121</v>
      </c>
      <c r="AH553" t="s">
        <v>327</v>
      </c>
      <c r="AI553" t="s">
        <v>121</v>
      </c>
      <c r="AJ553" t="s">
        <v>717</v>
      </c>
      <c r="AK553" t="s">
        <v>121</v>
      </c>
    </row>
    <row r="554" spans="9:37" x14ac:dyDescent="0.3">
      <c r="I554">
        <f ca="1">IF(OR(INDIRECT(A73&amp;ROW())=B93,INDIRECT(A73&amp;ROW())=B94),1,IF(AND(INDIRECT(A73&amp;ROW())=B95,INDIRECT(A96&amp;ROW())=C93),1,IF(AND(INDIRECT(A73&amp;ROW())=B95,INDIRECT(A96&amp;ROW())=C94),1,0)))</f>
        <v>0</v>
      </c>
      <c r="J554">
        <f ca="1">IF(AND(INDIRECT(A73&amp;ROW())=B95,INDIRECT(A96&amp;ROW())=C95),1,IF(AND(INDIRECT(A73&amp;ROW())=B95,INDIRECT(A96&amp;ROW())=C96),1,0))</f>
        <v>0</v>
      </c>
      <c r="K554">
        <f ca="1">DAYS360(INDIRECT(C68&amp;ROW()),TODAY())</f>
        <v>703</v>
      </c>
      <c r="L554">
        <f ca="1">DAYS360(INDIRECT(C69&amp;ROW()),TODAY())</f>
        <v>703</v>
      </c>
      <c r="M554">
        <f ca="1">HYPERLINK(CONCATENATE("https://bugzilla.houston.hp.com:1181/bugzilla/show_bug.cgi?id=",INDIRECT(C70&amp;ROW())),INDIRECT(C70&amp;ROW()))</f>
        <v>62623</v>
      </c>
      <c r="N554">
        <v>62623</v>
      </c>
      <c r="O554" t="s">
        <v>21</v>
      </c>
      <c r="P554" t="s">
        <v>1092</v>
      </c>
      <c r="Q554" t="s">
        <v>16</v>
      </c>
      <c r="R554" t="s">
        <v>579</v>
      </c>
      <c r="S554" t="s">
        <v>552</v>
      </c>
      <c r="U554" s="6">
        <v>42143.606388888889</v>
      </c>
      <c r="V554" t="s">
        <v>18</v>
      </c>
      <c r="W554" t="s">
        <v>783</v>
      </c>
      <c r="X554" s="6">
        <v>42143.516631944447</v>
      </c>
      <c r="Y554" t="s">
        <v>846</v>
      </c>
      <c r="AB554" t="s">
        <v>201</v>
      </c>
      <c r="AC554" t="s">
        <v>247</v>
      </c>
      <c r="AD554" t="s">
        <v>222</v>
      </c>
      <c r="AE554" t="s">
        <v>1073</v>
      </c>
      <c r="AG554" t="s">
        <v>121</v>
      </c>
      <c r="AH554" t="s">
        <v>327</v>
      </c>
      <c r="AI554" t="s">
        <v>121</v>
      </c>
      <c r="AJ554" t="s">
        <v>717</v>
      </c>
      <c r="AK554" t="s">
        <v>121</v>
      </c>
    </row>
    <row r="555" spans="9:37" x14ac:dyDescent="0.3">
      <c r="I555">
        <f ca="1">IF(OR(INDIRECT(A73&amp;ROW())=B93,INDIRECT(A73&amp;ROW())=B94),1,IF(AND(INDIRECT(A73&amp;ROW())=B95,INDIRECT(A96&amp;ROW())=C93),1,IF(AND(INDIRECT(A73&amp;ROW())=B95,INDIRECT(A96&amp;ROW())=C94),1,0)))</f>
        <v>0</v>
      </c>
      <c r="J555">
        <f ca="1">IF(AND(INDIRECT(A73&amp;ROW())=B95,INDIRECT(A96&amp;ROW())=C95),1,IF(AND(INDIRECT(A73&amp;ROW())=B95,INDIRECT(A96&amp;ROW())=C96),1,0))</f>
        <v>0</v>
      </c>
      <c r="K555">
        <f ca="1">DAYS360(INDIRECT(C68&amp;ROW()),TODAY())</f>
        <v>670</v>
      </c>
      <c r="L555">
        <f ca="1">DAYS360(INDIRECT(C69&amp;ROW()),TODAY())</f>
        <v>703</v>
      </c>
      <c r="M555">
        <f ca="1">HYPERLINK(CONCATENATE("https://bugzilla.houston.hp.com:1181/bugzilla/show_bug.cgi?id=",INDIRECT(C70&amp;ROW())),INDIRECT(C70&amp;ROW()))</f>
        <v>62624</v>
      </c>
      <c r="N555">
        <v>62624</v>
      </c>
      <c r="O555" t="s">
        <v>21</v>
      </c>
      <c r="P555" t="s">
        <v>1091</v>
      </c>
      <c r="Q555" t="s">
        <v>16</v>
      </c>
      <c r="R555" t="s">
        <v>783</v>
      </c>
      <c r="S555" t="s">
        <v>552</v>
      </c>
      <c r="U555" s="6">
        <v>42177.561701388891</v>
      </c>
      <c r="V555" t="s">
        <v>18</v>
      </c>
      <c r="W555" t="s">
        <v>783</v>
      </c>
      <c r="X555" s="6">
        <v>42143.51667824074</v>
      </c>
      <c r="Y555" t="s">
        <v>846</v>
      </c>
      <c r="AB555" t="s">
        <v>201</v>
      </c>
      <c r="AC555" t="s">
        <v>247</v>
      </c>
      <c r="AD555" t="s">
        <v>222</v>
      </c>
      <c r="AE555" t="s">
        <v>1073</v>
      </c>
      <c r="AG555" t="s">
        <v>121</v>
      </c>
      <c r="AH555" t="s">
        <v>327</v>
      </c>
      <c r="AI555" t="s">
        <v>121</v>
      </c>
      <c r="AJ555" t="s">
        <v>717</v>
      </c>
      <c r="AK555" t="s">
        <v>121</v>
      </c>
    </row>
    <row r="556" spans="9:37" x14ac:dyDescent="0.3">
      <c r="I556">
        <f ca="1">IF(OR(INDIRECT(A73&amp;ROW())=B93,INDIRECT(A73&amp;ROW())=B94),1,IF(AND(INDIRECT(A73&amp;ROW())=B95,INDIRECT(A96&amp;ROW())=C93),1,IF(AND(INDIRECT(A73&amp;ROW())=B95,INDIRECT(A96&amp;ROW())=C94),1,0)))</f>
        <v>0</v>
      </c>
      <c r="J556">
        <f ca="1">IF(AND(INDIRECT(A73&amp;ROW())=B95,INDIRECT(A96&amp;ROW())=C95),1,IF(AND(INDIRECT(A73&amp;ROW())=B95,INDIRECT(A96&amp;ROW())=C96),1,0))</f>
        <v>0</v>
      </c>
      <c r="K556">
        <f ca="1">DAYS360(INDIRECT(C68&amp;ROW()),TODAY())</f>
        <v>701</v>
      </c>
      <c r="L556">
        <f ca="1">DAYS360(INDIRECT(C69&amp;ROW()),TODAY())</f>
        <v>703</v>
      </c>
      <c r="M556">
        <f ca="1">HYPERLINK(CONCATENATE("https://bugzilla.houston.hp.com:1181/bugzilla/show_bug.cgi?id=",INDIRECT(C70&amp;ROW())),INDIRECT(C70&amp;ROW()))</f>
        <v>62625</v>
      </c>
      <c r="N556">
        <v>62625</v>
      </c>
      <c r="O556" t="s">
        <v>21</v>
      </c>
      <c r="P556" t="s">
        <v>1090</v>
      </c>
      <c r="Q556" t="s">
        <v>16</v>
      </c>
      <c r="R556" t="s">
        <v>248</v>
      </c>
      <c r="S556" t="s">
        <v>552</v>
      </c>
      <c r="U556" s="6">
        <v>42145.452256944445</v>
      </c>
      <c r="V556" t="s">
        <v>18</v>
      </c>
      <c r="W556" t="s">
        <v>783</v>
      </c>
      <c r="X556" s="6">
        <v>42143.516736111109</v>
      </c>
      <c r="Y556" t="s">
        <v>846</v>
      </c>
      <c r="AB556" t="s">
        <v>201</v>
      </c>
      <c r="AC556" t="s">
        <v>247</v>
      </c>
      <c r="AD556" t="s">
        <v>222</v>
      </c>
      <c r="AE556" t="s">
        <v>1073</v>
      </c>
      <c r="AG556" t="s">
        <v>121</v>
      </c>
      <c r="AH556" t="s">
        <v>327</v>
      </c>
      <c r="AI556" t="s">
        <v>121</v>
      </c>
      <c r="AJ556" t="s">
        <v>717</v>
      </c>
      <c r="AK556" t="s">
        <v>121</v>
      </c>
    </row>
    <row r="557" spans="9:37" x14ac:dyDescent="0.3">
      <c r="I557">
        <f ca="1">IF(OR(INDIRECT(A73&amp;ROW())=B93,INDIRECT(A73&amp;ROW())=B94),1,IF(AND(INDIRECT(A73&amp;ROW())=B95,INDIRECT(A96&amp;ROW())=C93),1,IF(AND(INDIRECT(A73&amp;ROW())=B95,INDIRECT(A96&amp;ROW())=C94),1,0)))</f>
        <v>0</v>
      </c>
      <c r="J557">
        <f ca="1">IF(AND(INDIRECT(A73&amp;ROW())=B95,INDIRECT(A96&amp;ROW())=C95),1,IF(AND(INDIRECT(A73&amp;ROW())=B95,INDIRECT(A96&amp;ROW())=C96),1,0))</f>
        <v>1</v>
      </c>
      <c r="K557">
        <f ca="1">DAYS360(INDIRECT(C68&amp;ROW()),TODAY())</f>
        <v>674</v>
      </c>
      <c r="L557">
        <f ca="1">DAYS360(INDIRECT(C69&amp;ROW()),TODAY())</f>
        <v>703</v>
      </c>
      <c r="M557">
        <f ca="1">HYPERLINK(CONCATENATE("https://bugzilla.houston.hp.com:1181/bugzilla/show_bug.cgi?id=",INDIRECT(C70&amp;ROW())),INDIRECT(C70&amp;ROW()))</f>
        <v>62632</v>
      </c>
      <c r="N557">
        <v>62632</v>
      </c>
      <c r="O557" t="s">
        <v>188</v>
      </c>
      <c r="P557" t="s">
        <v>1089</v>
      </c>
      <c r="Q557" t="s">
        <v>25</v>
      </c>
      <c r="R557" t="s">
        <v>579</v>
      </c>
      <c r="S557" t="s">
        <v>552</v>
      </c>
      <c r="U557" s="6">
        <v>42173.30574074074</v>
      </c>
      <c r="V557" t="s">
        <v>18</v>
      </c>
      <c r="W557" t="s">
        <v>764</v>
      </c>
      <c r="X557" s="6">
        <v>42143.549502314818</v>
      </c>
      <c r="Y557" t="s">
        <v>119</v>
      </c>
      <c r="AB557" t="s">
        <v>201</v>
      </c>
      <c r="AC557" t="s">
        <v>247</v>
      </c>
      <c r="AD557" t="s">
        <v>220</v>
      </c>
      <c r="AE557" t="s">
        <v>229</v>
      </c>
      <c r="AG557" t="s">
        <v>121</v>
      </c>
      <c r="AH557" t="s">
        <v>327</v>
      </c>
      <c r="AI557" t="s">
        <v>121</v>
      </c>
      <c r="AJ557" t="s">
        <v>716</v>
      </c>
      <c r="AK557" t="s">
        <v>121</v>
      </c>
    </row>
    <row r="558" spans="9:37" x14ac:dyDescent="0.3">
      <c r="I558">
        <f ca="1">IF(OR(INDIRECT(A73&amp;ROW())=B93,INDIRECT(A73&amp;ROW())=B94),1,IF(AND(INDIRECT(A73&amp;ROW())=B95,INDIRECT(A96&amp;ROW())=C93),1,IF(AND(INDIRECT(A73&amp;ROW())=B95,INDIRECT(A96&amp;ROW())=C94),1,0)))</f>
        <v>1</v>
      </c>
      <c r="J558">
        <f ca="1">IF(AND(INDIRECT(A73&amp;ROW())=B95,INDIRECT(A96&amp;ROW())=C95),1,IF(AND(INDIRECT(A73&amp;ROW())=B95,INDIRECT(A96&amp;ROW())=C96),1,0))</f>
        <v>0</v>
      </c>
      <c r="K558">
        <f ca="1">DAYS360(INDIRECT(C68&amp;ROW()),TODAY())</f>
        <v>691</v>
      </c>
      <c r="L558">
        <f ca="1">DAYS360(INDIRECT(C69&amp;ROW()),TODAY())</f>
        <v>702</v>
      </c>
      <c r="M558">
        <f ca="1">HYPERLINK(CONCATENATE("https://bugzilla.houston.hp.com:1181/bugzilla/show_bug.cgi?id=",INDIRECT(C70&amp;ROW())),INDIRECT(C70&amp;ROW()))</f>
        <v>62690</v>
      </c>
      <c r="N558">
        <v>62690</v>
      </c>
      <c r="O558" t="s">
        <v>188</v>
      </c>
      <c r="P558" t="s">
        <v>1088</v>
      </c>
      <c r="Q558" t="s">
        <v>25</v>
      </c>
      <c r="R558" t="s">
        <v>251</v>
      </c>
      <c r="S558" t="s">
        <v>24</v>
      </c>
      <c r="U558" s="6">
        <v>42156.590960648151</v>
      </c>
      <c r="V558" t="s">
        <v>18</v>
      </c>
      <c r="W558" t="s">
        <v>783</v>
      </c>
      <c r="X558" s="6">
        <v>42144.307511574072</v>
      </c>
      <c r="Y558" t="s">
        <v>119</v>
      </c>
      <c r="AB558" t="s">
        <v>200</v>
      </c>
      <c r="AC558" t="s">
        <v>247</v>
      </c>
      <c r="AD558" t="s">
        <v>220</v>
      </c>
      <c r="AE558" t="s">
        <v>229</v>
      </c>
      <c r="AG558" t="s">
        <v>121</v>
      </c>
      <c r="AH558" t="s">
        <v>327</v>
      </c>
      <c r="AI558" t="s">
        <v>121</v>
      </c>
      <c r="AJ558" t="s">
        <v>715</v>
      </c>
      <c r="AK558" t="s">
        <v>121</v>
      </c>
    </row>
    <row r="559" spans="9:37" x14ac:dyDescent="0.3">
      <c r="I559">
        <f ca="1">IF(OR(INDIRECT(A73&amp;ROW())=B93,INDIRECT(A73&amp;ROW())=B94),1,IF(AND(INDIRECT(A73&amp;ROW())=B95,INDIRECT(A96&amp;ROW())=C93),1,IF(AND(INDIRECT(A73&amp;ROW())=B95,INDIRECT(A96&amp;ROW())=C94),1,0)))</f>
        <v>1</v>
      </c>
      <c r="J559">
        <f ca="1">IF(AND(INDIRECT(A73&amp;ROW())=B95,INDIRECT(A96&amp;ROW())=C95),1,IF(AND(INDIRECT(A73&amp;ROW())=B95,INDIRECT(A96&amp;ROW())=C96),1,0))</f>
        <v>0</v>
      </c>
      <c r="K559">
        <f ca="1">DAYS360(INDIRECT(C68&amp;ROW()),TODAY())</f>
        <v>667</v>
      </c>
      <c r="L559">
        <f ca="1">DAYS360(INDIRECT(C69&amp;ROW()),TODAY())</f>
        <v>702</v>
      </c>
      <c r="M559">
        <f ca="1">HYPERLINK(CONCATENATE("https://bugzilla.houston.hp.com:1181/bugzilla/show_bug.cgi?id=",INDIRECT(C70&amp;ROW())),INDIRECT(C70&amp;ROW()))</f>
        <v>62693</v>
      </c>
      <c r="N559">
        <v>62693</v>
      </c>
      <c r="O559" t="s">
        <v>188</v>
      </c>
      <c r="P559" t="s">
        <v>1087</v>
      </c>
      <c r="Q559" t="s">
        <v>25</v>
      </c>
      <c r="R559" t="s">
        <v>579</v>
      </c>
      <c r="S559" t="s">
        <v>552</v>
      </c>
      <c r="U559" s="6">
        <v>42180.523344907408</v>
      </c>
      <c r="V559" t="s">
        <v>18</v>
      </c>
      <c r="W559" t="s">
        <v>783</v>
      </c>
      <c r="X559" s="6">
        <v>42144.365254629629</v>
      </c>
      <c r="Y559" t="s">
        <v>119</v>
      </c>
      <c r="AB559" t="s">
        <v>200</v>
      </c>
      <c r="AC559" t="s">
        <v>247</v>
      </c>
      <c r="AD559" t="s">
        <v>220</v>
      </c>
      <c r="AE559" t="s">
        <v>229</v>
      </c>
      <c r="AG559" t="s">
        <v>121</v>
      </c>
      <c r="AH559" t="s">
        <v>327</v>
      </c>
      <c r="AI559" t="s">
        <v>121</v>
      </c>
      <c r="AJ559" t="s">
        <v>715</v>
      </c>
      <c r="AK559" t="s">
        <v>121</v>
      </c>
    </row>
    <row r="560" spans="9:37" x14ac:dyDescent="0.3">
      <c r="I560">
        <f ca="1">IF(OR(INDIRECT(A73&amp;ROW())=B93,INDIRECT(A73&amp;ROW())=B94),1,IF(AND(INDIRECT(A73&amp;ROW())=B95,INDIRECT(A96&amp;ROW())=C93),1,IF(AND(INDIRECT(A73&amp;ROW())=B95,INDIRECT(A96&amp;ROW())=C94),1,0)))</f>
        <v>0</v>
      </c>
      <c r="J560">
        <f ca="1">IF(AND(INDIRECT(A73&amp;ROW())=B95,INDIRECT(A96&amp;ROW())=C95),1,IF(AND(INDIRECT(A73&amp;ROW())=B95,INDIRECT(A96&amp;ROW())=C96),1,0))</f>
        <v>1</v>
      </c>
      <c r="K560">
        <f ca="1">DAYS360(INDIRECT(C68&amp;ROW()),TODAY())</f>
        <v>669</v>
      </c>
      <c r="L560">
        <f ca="1">DAYS360(INDIRECT(C69&amp;ROW()),TODAY())</f>
        <v>702</v>
      </c>
      <c r="M560">
        <f ca="1">HYPERLINK(CONCATENATE("https://bugzilla.houston.hp.com:1181/bugzilla/show_bug.cgi?id=",INDIRECT(C70&amp;ROW())),INDIRECT(C70&amp;ROW()))</f>
        <v>62719</v>
      </c>
      <c r="N560">
        <v>62719</v>
      </c>
      <c r="O560" t="s">
        <v>55</v>
      </c>
      <c r="P560" t="s">
        <v>1086</v>
      </c>
      <c r="Q560" t="s">
        <v>25</v>
      </c>
      <c r="R560" t="s">
        <v>251</v>
      </c>
      <c r="S560" t="s">
        <v>52</v>
      </c>
      <c r="U560" s="6">
        <v>42178.361180555556</v>
      </c>
      <c r="V560" t="s">
        <v>35</v>
      </c>
      <c r="W560" t="s">
        <v>783</v>
      </c>
      <c r="X560" s="6">
        <v>42144.602094907408</v>
      </c>
      <c r="Y560" t="s">
        <v>119</v>
      </c>
      <c r="AB560" t="s">
        <v>201</v>
      </c>
      <c r="AC560" t="s">
        <v>247</v>
      </c>
      <c r="AD560" t="s">
        <v>222</v>
      </c>
      <c r="AE560" t="s">
        <v>221</v>
      </c>
      <c r="AG560" t="s">
        <v>121</v>
      </c>
      <c r="AH560" t="s">
        <v>327</v>
      </c>
      <c r="AI560" t="s">
        <v>362</v>
      </c>
      <c r="AJ560" t="s">
        <v>716</v>
      </c>
      <c r="AK560" t="s">
        <v>121</v>
      </c>
    </row>
    <row r="561" spans="9:37" x14ac:dyDescent="0.3">
      <c r="I561">
        <f ca="1">IF(OR(INDIRECT(A73&amp;ROW())=B93,INDIRECT(A73&amp;ROW())=B94),1,IF(AND(INDIRECT(A73&amp;ROW())=B95,INDIRECT(A96&amp;ROW())=C93),1,IF(AND(INDIRECT(A73&amp;ROW())=B95,INDIRECT(A96&amp;ROW())=C94),1,0)))</f>
        <v>0</v>
      </c>
      <c r="J561">
        <f ca="1">IF(AND(INDIRECT(A73&amp;ROW())=B95,INDIRECT(A96&amp;ROW())=C95),1,IF(AND(INDIRECT(A73&amp;ROW())=B95,INDIRECT(A96&amp;ROW())=C96),1,0))</f>
        <v>1</v>
      </c>
      <c r="K561">
        <f ca="1">DAYS360(INDIRECT(C68&amp;ROW()),TODAY())</f>
        <v>668</v>
      </c>
      <c r="L561">
        <f ca="1">DAYS360(INDIRECT(C69&amp;ROW()),TODAY())</f>
        <v>702</v>
      </c>
      <c r="M561">
        <f ca="1">HYPERLINK(CONCATENATE("https://bugzilla.houston.hp.com:1181/bugzilla/show_bug.cgi?id=",INDIRECT(C70&amp;ROW())),INDIRECT(C70&amp;ROW()))</f>
        <v>62721</v>
      </c>
      <c r="N561">
        <v>62721</v>
      </c>
      <c r="O561" t="s">
        <v>55</v>
      </c>
      <c r="P561" t="s">
        <v>1085</v>
      </c>
      <c r="Q561" t="s">
        <v>25</v>
      </c>
      <c r="R561" t="s">
        <v>579</v>
      </c>
      <c r="S561" t="s">
        <v>552</v>
      </c>
      <c r="U561" s="6">
        <v>42179.504386574074</v>
      </c>
      <c r="V561" t="s">
        <v>18</v>
      </c>
      <c r="W561" t="s">
        <v>783</v>
      </c>
      <c r="X561" s="6">
        <v>42144.633113425924</v>
      </c>
      <c r="Y561" t="s">
        <v>119</v>
      </c>
      <c r="AB561" t="s">
        <v>201</v>
      </c>
      <c r="AC561" t="s">
        <v>247</v>
      </c>
      <c r="AD561" t="s">
        <v>222</v>
      </c>
      <c r="AE561" t="s">
        <v>221</v>
      </c>
      <c r="AG561" t="s">
        <v>121</v>
      </c>
      <c r="AH561" t="s">
        <v>327</v>
      </c>
      <c r="AI561" t="s">
        <v>121</v>
      </c>
      <c r="AJ561" t="s">
        <v>716</v>
      </c>
      <c r="AK561" t="s">
        <v>121</v>
      </c>
    </row>
    <row r="562" spans="9:37" x14ac:dyDescent="0.3">
      <c r="I562">
        <f ca="1">IF(OR(INDIRECT(A73&amp;ROW())=B93,INDIRECT(A73&amp;ROW())=B94),1,IF(AND(INDIRECT(A73&amp;ROW())=B95,INDIRECT(A96&amp;ROW())=C93),1,IF(AND(INDIRECT(A73&amp;ROW())=B95,INDIRECT(A96&amp;ROW())=C94),1,0)))</f>
        <v>0</v>
      </c>
      <c r="J562">
        <f ca="1">IF(AND(INDIRECT(A73&amp;ROW())=B95,INDIRECT(A96&amp;ROW())=C95),1,IF(AND(INDIRECT(A73&amp;ROW())=B95,INDIRECT(A96&amp;ROW())=C96),1,0))</f>
        <v>1</v>
      </c>
      <c r="K562">
        <f ca="1">DAYS360(INDIRECT(C68&amp;ROW()),TODAY())</f>
        <v>669</v>
      </c>
      <c r="L562">
        <f ca="1">DAYS360(INDIRECT(C69&amp;ROW()),TODAY())</f>
        <v>702</v>
      </c>
      <c r="M562">
        <f ca="1">HYPERLINK(CONCATENATE("https://bugzilla.houston.hp.com:1181/bugzilla/show_bug.cgi?id=",INDIRECT(C70&amp;ROW())),INDIRECT(C70&amp;ROW()))</f>
        <v>62722</v>
      </c>
      <c r="N562">
        <v>62722</v>
      </c>
      <c r="O562" t="s">
        <v>55</v>
      </c>
      <c r="P562" t="s">
        <v>1084</v>
      </c>
      <c r="Q562" t="s">
        <v>25</v>
      </c>
      <c r="R562" t="s">
        <v>783</v>
      </c>
      <c r="S562" t="s">
        <v>552</v>
      </c>
      <c r="U562" s="6">
        <v>42178.363900462966</v>
      </c>
      <c r="V562" t="s">
        <v>18</v>
      </c>
      <c r="W562" t="s">
        <v>783</v>
      </c>
      <c r="X562" s="6">
        <v>42144.633206018516</v>
      </c>
      <c r="Y562" t="s">
        <v>119</v>
      </c>
      <c r="AB562" t="s">
        <v>201</v>
      </c>
      <c r="AC562" t="s">
        <v>247</v>
      </c>
      <c r="AD562" t="s">
        <v>222</v>
      </c>
      <c r="AE562" t="s">
        <v>221</v>
      </c>
      <c r="AG562" t="s">
        <v>121</v>
      </c>
      <c r="AH562" t="s">
        <v>327</v>
      </c>
      <c r="AI562" t="s">
        <v>362</v>
      </c>
      <c r="AJ562" t="s">
        <v>716</v>
      </c>
      <c r="AK562" t="s">
        <v>121</v>
      </c>
    </row>
    <row r="563" spans="9:37" x14ac:dyDescent="0.3">
      <c r="I563">
        <f ca="1">IF(OR(INDIRECT(A73&amp;ROW())=B93,INDIRECT(A73&amp;ROW())=B94),1,IF(AND(INDIRECT(A73&amp;ROW())=B95,INDIRECT(A96&amp;ROW())=C93),1,IF(AND(INDIRECT(A73&amp;ROW())=B95,INDIRECT(A96&amp;ROW())=C94),1,0)))</f>
        <v>0</v>
      </c>
      <c r="J563">
        <f ca="1">IF(AND(INDIRECT(A73&amp;ROW())=B95,INDIRECT(A96&amp;ROW())=C95),1,IF(AND(INDIRECT(A73&amp;ROW())=B95,INDIRECT(A96&amp;ROW())=C96),1,0))</f>
        <v>1</v>
      </c>
      <c r="K563">
        <f ca="1">DAYS360(INDIRECT(C68&amp;ROW()),TODAY())</f>
        <v>668</v>
      </c>
      <c r="L563">
        <f ca="1">DAYS360(INDIRECT(C69&amp;ROW()),TODAY())</f>
        <v>702</v>
      </c>
      <c r="M563">
        <f ca="1">HYPERLINK(CONCATENATE("https://bugzilla.houston.hp.com:1181/bugzilla/show_bug.cgi?id=",INDIRECT(C70&amp;ROW())),INDIRECT(C70&amp;ROW()))</f>
        <v>62723</v>
      </c>
      <c r="N563">
        <v>62723</v>
      </c>
      <c r="O563" t="s">
        <v>55</v>
      </c>
      <c r="P563" t="s">
        <v>1083</v>
      </c>
      <c r="Q563" t="s">
        <v>25</v>
      </c>
      <c r="R563" t="s">
        <v>248</v>
      </c>
      <c r="S563" t="s">
        <v>552</v>
      </c>
      <c r="U563" s="6">
        <v>42179.50445601852</v>
      </c>
      <c r="V563" t="s">
        <v>18</v>
      </c>
      <c r="W563" t="s">
        <v>783</v>
      </c>
      <c r="X563" s="6">
        <v>42144.633287037039</v>
      </c>
      <c r="Y563" t="s">
        <v>119</v>
      </c>
      <c r="AB563" t="s">
        <v>201</v>
      </c>
      <c r="AC563" t="s">
        <v>247</v>
      </c>
      <c r="AD563" t="s">
        <v>222</v>
      </c>
      <c r="AE563" t="s">
        <v>221</v>
      </c>
      <c r="AG563" t="s">
        <v>121</v>
      </c>
      <c r="AH563" t="s">
        <v>327</v>
      </c>
      <c r="AI563" t="s">
        <v>121</v>
      </c>
      <c r="AJ563" t="s">
        <v>716</v>
      </c>
      <c r="AK563" t="s">
        <v>121</v>
      </c>
    </row>
    <row r="564" spans="9:37" x14ac:dyDescent="0.3">
      <c r="I564">
        <f ca="1">IF(OR(INDIRECT(A73&amp;ROW())=B93,INDIRECT(A73&amp;ROW())=B94),1,IF(AND(INDIRECT(A73&amp;ROW())=B95,INDIRECT(A96&amp;ROW())=C93),1,IF(AND(INDIRECT(A73&amp;ROW())=B95,INDIRECT(A96&amp;ROW())=C94),1,0)))</f>
        <v>1</v>
      </c>
      <c r="J564">
        <f ca="1">IF(AND(INDIRECT(A73&amp;ROW())=B95,INDIRECT(A96&amp;ROW())=C95),1,IF(AND(INDIRECT(A73&amp;ROW())=B95,INDIRECT(A96&amp;ROW())=C96),1,0))</f>
        <v>0</v>
      </c>
      <c r="K564">
        <f ca="1">DAYS360(INDIRECT(C68&amp;ROW()),TODAY())</f>
        <v>675</v>
      </c>
      <c r="L564">
        <f ca="1">DAYS360(INDIRECT(C69&amp;ROW()),TODAY())</f>
        <v>702</v>
      </c>
      <c r="M564">
        <f ca="1">HYPERLINK(CONCATENATE("https://bugzilla.houston.hp.com:1181/bugzilla/show_bug.cgi?id=",INDIRECT(C70&amp;ROW())),INDIRECT(C70&amp;ROW()))</f>
        <v>62730</v>
      </c>
      <c r="N564">
        <v>62730</v>
      </c>
      <c r="O564" t="s">
        <v>94</v>
      </c>
      <c r="P564" t="s">
        <v>1097</v>
      </c>
      <c r="Q564" t="s">
        <v>25</v>
      </c>
      <c r="R564" t="s">
        <v>251</v>
      </c>
      <c r="S564" t="s">
        <v>253</v>
      </c>
      <c r="U564" s="6">
        <v>42172.38958333333</v>
      </c>
      <c r="V564" t="s">
        <v>35</v>
      </c>
      <c r="W564" t="s">
        <v>783</v>
      </c>
      <c r="X564" s="6">
        <v>42144.689155092594</v>
      </c>
      <c r="Y564" t="s">
        <v>246</v>
      </c>
      <c r="AB564" t="s">
        <v>200</v>
      </c>
      <c r="AC564" t="s">
        <v>247</v>
      </c>
      <c r="AD564" t="s">
        <v>227</v>
      </c>
      <c r="AE564" t="s">
        <v>226</v>
      </c>
      <c r="AG564" t="s">
        <v>121</v>
      </c>
      <c r="AH564" t="s">
        <v>327</v>
      </c>
      <c r="AI564" t="s">
        <v>121</v>
      </c>
      <c r="AJ564" t="s">
        <v>715</v>
      </c>
      <c r="AK564" t="s">
        <v>121</v>
      </c>
    </row>
    <row r="565" spans="9:37" x14ac:dyDescent="0.3">
      <c r="I565">
        <f ca="1">IF(OR(INDIRECT(A73&amp;ROW())=B93,INDIRECT(A73&amp;ROW())=B94),1,IF(AND(INDIRECT(A73&amp;ROW())=B95,INDIRECT(A96&amp;ROW())=C93),1,IF(AND(INDIRECT(A73&amp;ROW())=B95,INDIRECT(A96&amp;ROW())=C94),1,0)))</f>
        <v>1</v>
      </c>
      <c r="J565">
        <f ca="1">IF(AND(INDIRECT(A73&amp;ROW())=B95,INDIRECT(A96&amp;ROW())=C95),1,IF(AND(INDIRECT(A73&amp;ROW())=B95,INDIRECT(A96&amp;ROW())=C96),1,0))</f>
        <v>0</v>
      </c>
      <c r="K565">
        <f ca="1">DAYS360(INDIRECT(C68&amp;ROW()),TODAY())</f>
        <v>687</v>
      </c>
      <c r="L565">
        <f ca="1">DAYS360(INDIRECT(C69&amp;ROW()),TODAY())</f>
        <v>701</v>
      </c>
      <c r="M565">
        <f ca="1">HYPERLINK(CONCATENATE("https://bugzilla.houston.hp.com:1181/bugzilla/show_bug.cgi?id=",INDIRECT(C70&amp;ROW())),INDIRECT(C70&amp;ROW()))</f>
        <v>62748</v>
      </c>
      <c r="N565">
        <v>62748</v>
      </c>
      <c r="O565" t="s">
        <v>94</v>
      </c>
      <c r="P565" t="s">
        <v>1096</v>
      </c>
      <c r="Q565" t="s">
        <v>25</v>
      </c>
      <c r="R565" t="s">
        <v>579</v>
      </c>
      <c r="S565" t="s">
        <v>552</v>
      </c>
      <c r="U565" s="6">
        <v>42160.491157407407</v>
      </c>
      <c r="V565" t="s">
        <v>18</v>
      </c>
      <c r="W565" t="s">
        <v>783</v>
      </c>
      <c r="X565" s="6">
        <v>42145.016631944447</v>
      </c>
      <c r="Y565" t="s">
        <v>246</v>
      </c>
      <c r="AB565" t="s">
        <v>200</v>
      </c>
      <c r="AC565" t="s">
        <v>247</v>
      </c>
      <c r="AD565" t="s">
        <v>227</v>
      </c>
      <c r="AE565" t="s">
        <v>226</v>
      </c>
      <c r="AG565" t="s">
        <v>121</v>
      </c>
      <c r="AH565" t="s">
        <v>327</v>
      </c>
      <c r="AI565" t="s">
        <v>121</v>
      </c>
      <c r="AJ565" t="s">
        <v>715</v>
      </c>
      <c r="AK565" t="s">
        <v>121</v>
      </c>
    </row>
    <row r="566" spans="9:37" x14ac:dyDescent="0.3">
      <c r="I566">
        <f ca="1">IF(OR(INDIRECT(A73&amp;ROW())=B93,INDIRECT(A73&amp;ROW())=B94),1,IF(AND(INDIRECT(A73&amp;ROW())=B95,INDIRECT(A96&amp;ROW())=C93),1,IF(AND(INDIRECT(A73&amp;ROW())=B95,INDIRECT(A96&amp;ROW())=C94),1,0)))</f>
        <v>1</v>
      </c>
      <c r="J566">
        <f ca="1">IF(AND(INDIRECT(A73&amp;ROW())=B95,INDIRECT(A96&amp;ROW())=C95),1,IF(AND(INDIRECT(A73&amp;ROW())=B95,INDIRECT(A96&amp;ROW())=C96),1,0))</f>
        <v>0</v>
      </c>
      <c r="K566">
        <f ca="1">DAYS360(INDIRECT(C68&amp;ROW()),TODAY())</f>
        <v>687</v>
      </c>
      <c r="L566">
        <f ca="1">DAYS360(INDIRECT(C69&amp;ROW()),TODAY())</f>
        <v>701</v>
      </c>
      <c r="M566">
        <f ca="1">HYPERLINK(CONCATENATE("https://bugzilla.houston.hp.com:1181/bugzilla/show_bug.cgi?id=",INDIRECT(C70&amp;ROW())),INDIRECT(C70&amp;ROW()))</f>
        <v>62750</v>
      </c>
      <c r="N566">
        <v>62750</v>
      </c>
      <c r="O566" t="s">
        <v>94</v>
      </c>
      <c r="P566" t="s">
        <v>1094</v>
      </c>
      <c r="Q566" t="s">
        <v>25</v>
      </c>
      <c r="R566" t="s">
        <v>248</v>
      </c>
      <c r="S566" t="s">
        <v>552</v>
      </c>
      <c r="U566" s="6">
        <v>42160.49114583333</v>
      </c>
      <c r="V566" t="s">
        <v>18</v>
      </c>
      <c r="W566" t="s">
        <v>783</v>
      </c>
      <c r="X566" s="6">
        <v>42145.016747685186</v>
      </c>
      <c r="Y566" t="s">
        <v>246</v>
      </c>
      <c r="AB566" t="s">
        <v>200</v>
      </c>
      <c r="AC566" t="s">
        <v>247</v>
      </c>
      <c r="AD566" t="s">
        <v>227</v>
      </c>
      <c r="AE566" t="s">
        <v>226</v>
      </c>
      <c r="AG566" t="s">
        <v>121</v>
      </c>
      <c r="AH566" t="s">
        <v>327</v>
      </c>
      <c r="AI566" t="s">
        <v>121</v>
      </c>
      <c r="AJ566" t="s">
        <v>715</v>
      </c>
      <c r="AK566" t="s">
        <v>121</v>
      </c>
    </row>
    <row r="567" spans="9:37" x14ac:dyDescent="0.3">
      <c r="I567">
        <f ca="1">IF(OR(INDIRECT(A73&amp;ROW())=B93,INDIRECT(A73&amp;ROW())=B94),1,IF(AND(INDIRECT(A73&amp;ROW())=B95,INDIRECT(A96&amp;ROW())=C93),1,IF(AND(INDIRECT(A73&amp;ROW())=B95,INDIRECT(A96&amp;ROW())=C94),1,0)))</f>
        <v>0</v>
      </c>
      <c r="J567">
        <f ca="1">IF(AND(INDIRECT(A73&amp;ROW())=B95,INDIRECT(A96&amp;ROW())=C95),1,IF(AND(INDIRECT(A73&amp;ROW())=B95,INDIRECT(A96&amp;ROW())=C96),1,0))</f>
        <v>0</v>
      </c>
      <c r="K567">
        <f ca="1">DAYS360(INDIRECT(C68&amp;ROW()),TODAY())</f>
        <v>681</v>
      </c>
      <c r="L567">
        <f ca="1">DAYS360(INDIRECT(C69&amp;ROW()),TODAY())</f>
        <v>701</v>
      </c>
      <c r="M567">
        <f ca="1">HYPERLINK(CONCATENATE("https://bugzilla.houston.hp.com:1181/bugzilla/show_bug.cgi?id=",INDIRECT(C70&amp;ROW())),INDIRECT(C70&amp;ROW()))</f>
        <v>62801</v>
      </c>
      <c r="N567">
        <v>62801</v>
      </c>
      <c r="O567" t="s">
        <v>323</v>
      </c>
      <c r="P567" t="s">
        <v>1103</v>
      </c>
      <c r="Q567" t="s">
        <v>16</v>
      </c>
      <c r="R567" t="s">
        <v>251</v>
      </c>
      <c r="S567" t="s">
        <v>1102</v>
      </c>
      <c r="U567" s="6">
        <v>42166.308483796296</v>
      </c>
      <c r="V567" t="s">
        <v>35</v>
      </c>
      <c r="W567" t="s">
        <v>764</v>
      </c>
      <c r="X567" s="6">
        <v>42145.5387962963</v>
      </c>
      <c r="Y567" t="s">
        <v>125</v>
      </c>
      <c r="AB567" t="s">
        <v>199</v>
      </c>
      <c r="AC567" t="s">
        <v>247</v>
      </c>
      <c r="AD567" t="s">
        <v>220</v>
      </c>
      <c r="AE567" t="s">
        <v>219</v>
      </c>
      <c r="AG567" t="s">
        <v>121</v>
      </c>
      <c r="AH567" t="s">
        <v>327</v>
      </c>
      <c r="AI567" t="s">
        <v>121</v>
      </c>
      <c r="AJ567" t="s">
        <v>716</v>
      </c>
      <c r="AK567" t="s">
        <v>121</v>
      </c>
    </row>
    <row r="568" spans="9:37" x14ac:dyDescent="0.3">
      <c r="I568">
        <f ca="1">IF(OR(INDIRECT(A73&amp;ROW())=B93,INDIRECT(A73&amp;ROW())=B94),1,IF(AND(INDIRECT(A73&amp;ROW())=B95,INDIRECT(A96&amp;ROW())=C93),1,IF(AND(INDIRECT(A73&amp;ROW())=B95,INDIRECT(A96&amp;ROW())=C94),1,0)))</f>
        <v>0</v>
      </c>
      <c r="J568">
        <f ca="1">IF(AND(INDIRECT(A73&amp;ROW())=B95,INDIRECT(A96&amp;ROW())=C95),1,IF(AND(INDIRECT(A73&amp;ROW())=B95,INDIRECT(A96&amp;ROW())=C96),1,0))</f>
        <v>0</v>
      </c>
      <c r="K568">
        <f ca="1">DAYS360(INDIRECT(C68&amp;ROW()),TODAY())</f>
        <v>681</v>
      </c>
      <c r="L568">
        <f ca="1">DAYS360(INDIRECT(C69&amp;ROW()),TODAY())</f>
        <v>701</v>
      </c>
      <c r="M568">
        <f ca="1">HYPERLINK(CONCATENATE("https://bugzilla.houston.hp.com:1181/bugzilla/show_bug.cgi?id=",INDIRECT(C70&amp;ROW())),INDIRECT(C70&amp;ROW()))</f>
        <v>62804</v>
      </c>
      <c r="N568">
        <v>62804</v>
      </c>
      <c r="O568" t="s">
        <v>19</v>
      </c>
      <c r="P568" t="s">
        <v>1101</v>
      </c>
      <c r="Q568" t="s">
        <v>16</v>
      </c>
      <c r="R568" t="s">
        <v>579</v>
      </c>
      <c r="S568" t="s">
        <v>552</v>
      </c>
      <c r="U568" s="6">
        <v>42166.308599537035</v>
      </c>
      <c r="V568" t="s">
        <v>18</v>
      </c>
      <c r="W568" t="s">
        <v>764</v>
      </c>
      <c r="X568" s="6">
        <v>42145.633622685185</v>
      </c>
      <c r="Y568" t="s">
        <v>125</v>
      </c>
      <c r="AB568" t="s">
        <v>199</v>
      </c>
      <c r="AC568" t="s">
        <v>247</v>
      </c>
      <c r="AD568" t="s">
        <v>220</v>
      </c>
      <c r="AE568" t="s">
        <v>219</v>
      </c>
      <c r="AG568" t="s">
        <v>121</v>
      </c>
      <c r="AH568" t="s">
        <v>327</v>
      </c>
      <c r="AI568" t="s">
        <v>121</v>
      </c>
      <c r="AJ568" t="s">
        <v>716</v>
      </c>
      <c r="AK568" t="s">
        <v>121</v>
      </c>
    </row>
    <row r="569" spans="9:37" x14ac:dyDescent="0.3">
      <c r="I569">
        <f ca="1">IF(OR(INDIRECT(A73&amp;ROW())=B93,INDIRECT(A73&amp;ROW())=B94),1,IF(AND(INDIRECT(A73&amp;ROW())=B95,INDIRECT(A96&amp;ROW())=C93),1,IF(AND(INDIRECT(A73&amp;ROW())=B95,INDIRECT(A96&amp;ROW())=C94),1,0)))</f>
        <v>0</v>
      </c>
      <c r="J569">
        <f ca="1">IF(AND(INDIRECT(A73&amp;ROW())=B95,INDIRECT(A96&amp;ROW())=C95),1,IF(AND(INDIRECT(A73&amp;ROW())=B95,INDIRECT(A96&amp;ROW())=C96),1,0))</f>
        <v>0</v>
      </c>
      <c r="K569">
        <f ca="1">DAYS360(INDIRECT(C68&amp;ROW()),TODAY())</f>
        <v>701</v>
      </c>
      <c r="L569">
        <f ca="1">DAYS360(INDIRECT(C69&amp;ROW()),TODAY())</f>
        <v>701</v>
      </c>
      <c r="M569">
        <f ca="1">HYPERLINK(CONCATENATE("https://bugzilla.houston.hp.com:1181/bugzilla/show_bug.cgi?id=",INDIRECT(C70&amp;ROW())),INDIRECT(C70&amp;ROW()))</f>
        <v>62806</v>
      </c>
      <c r="N569">
        <v>62806</v>
      </c>
      <c r="O569" t="s">
        <v>19</v>
      </c>
      <c r="P569" t="s">
        <v>1099</v>
      </c>
      <c r="Q569" t="s">
        <v>16</v>
      </c>
      <c r="R569" t="s">
        <v>248</v>
      </c>
      <c r="S569" t="s">
        <v>552</v>
      </c>
      <c r="U569" s="6">
        <v>42145.633726851855</v>
      </c>
      <c r="V569" t="s">
        <v>18</v>
      </c>
      <c r="W569" t="s">
        <v>764</v>
      </c>
      <c r="X569" s="6">
        <v>42145.633726851855</v>
      </c>
      <c r="Y569" t="s">
        <v>125</v>
      </c>
      <c r="AB569" t="s">
        <v>199</v>
      </c>
      <c r="AC569" t="s">
        <v>247</v>
      </c>
      <c r="AD569" t="s">
        <v>220</v>
      </c>
      <c r="AE569" t="s">
        <v>243</v>
      </c>
      <c r="AG569" t="s">
        <v>121</v>
      </c>
      <c r="AH569" t="s">
        <v>327</v>
      </c>
      <c r="AI569" t="s">
        <v>121</v>
      </c>
      <c r="AJ569" t="s">
        <v>716</v>
      </c>
      <c r="AK569" t="s">
        <v>121</v>
      </c>
    </row>
    <row r="570" spans="9:37" x14ac:dyDescent="0.3">
      <c r="I570">
        <f ca="1">IF(OR(INDIRECT(A73&amp;ROW())=B93,INDIRECT(A73&amp;ROW())=B94),1,IF(AND(INDIRECT(A73&amp;ROW())=B95,INDIRECT(A96&amp;ROW())=C93),1,IF(AND(INDIRECT(A73&amp;ROW())=B95,INDIRECT(A96&amp;ROW())=C94),1,0)))</f>
        <v>1</v>
      </c>
      <c r="J570">
        <f ca="1">IF(AND(INDIRECT(A73&amp;ROW())=B95,INDIRECT(A96&amp;ROW())=C95),1,IF(AND(INDIRECT(A73&amp;ROW())=B95,INDIRECT(A96&amp;ROW())=C96),1,0))</f>
        <v>0</v>
      </c>
      <c r="K570">
        <f ca="1">DAYS360(INDIRECT(C68&amp;ROW()),TODAY())</f>
        <v>670</v>
      </c>
      <c r="L570">
        <f ca="1">DAYS360(INDIRECT(C69&amp;ROW()),TODAY())</f>
        <v>700</v>
      </c>
      <c r="M570">
        <f ca="1">HYPERLINK(CONCATENATE("https://bugzilla.houston.hp.com:1181/bugzilla/show_bug.cgi?id=",INDIRECT(C70&amp;ROW())),INDIRECT(C70&amp;ROW()))</f>
        <v>62843</v>
      </c>
      <c r="N570">
        <v>62843</v>
      </c>
      <c r="O570" t="s">
        <v>21</v>
      </c>
      <c r="P570" t="s">
        <v>1201</v>
      </c>
      <c r="Q570" t="s">
        <v>25</v>
      </c>
      <c r="R570" t="s">
        <v>251</v>
      </c>
      <c r="S570" t="s">
        <v>917</v>
      </c>
      <c r="U570" s="6">
        <v>42177.442418981482</v>
      </c>
      <c r="V570" t="s">
        <v>18</v>
      </c>
      <c r="W570" t="s">
        <v>783</v>
      </c>
      <c r="X570" s="6">
        <v>42146.493784722225</v>
      </c>
      <c r="Y570" t="s">
        <v>846</v>
      </c>
      <c r="AB570" t="s">
        <v>200</v>
      </c>
      <c r="AC570" t="s">
        <v>247</v>
      </c>
      <c r="AD570" t="s">
        <v>222</v>
      </c>
      <c r="AE570" t="s">
        <v>1073</v>
      </c>
      <c r="AG570" t="s">
        <v>121</v>
      </c>
      <c r="AH570" t="s">
        <v>327</v>
      </c>
      <c r="AI570" t="s">
        <v>121</v>
      </c>
      <c r="AJ570" t="s">
        <v>715</v>
      </c>
      <c r="AK570" t="s">
        <v>121</v>
      </c>
    </row>
    <row r="571" spans="9:37" x14ac:dyDescent="0.3">
      <c r="I571">
        <f ca="1">IF(OR(INDIRECT(A73&amp;ROW())=B93,INDIRECT(A73&amp;ROW())=B94),1,IF(AND(INDIRECT(A73&amp;ROW())=B95,INDIRECT(A96&amp;ROW())=C93),1,IF(AND(INDIRECT(A73&amp;ROW())=B95,INDIRECT(A96&amp;ROW())=C94),1,0)))</f>
        <v>1</v>
      </c>
      <c r="J571">
        <f ca="1">IF(AND(INDIRECT(A73&amp;ROW())=B95,INDIRECT(A96&amp;ROW())=C95),1,IF(AND(INDIRECT(A73&amp;ROW())=B95,INDIRECT(A96&amp;ROW())=C96),1,0))</f>
        <v>0</v>
      </c>
      <c r="K571">
        <f ca="1">DAYS360(INDIRECT(C68&amp;ROW()),TODAY())</f>
        <v>677</v>
      </c>
      <c r="L571">
        <f ca="1">DAYS360(INDIRECT(C69&amp;ROW()),TODAY())</f>
        <v>700</v>
      </c>
      <c r="M571">
        <f ca="1">HYPERLINK(CONCATENATE("https://bugzilla.houston.hp.com:1181/bugzilla/show_bug.cgi?id=",INDIRECT(C70&amp;ROW())),INDIRECT(C70&amp;ROW()))</f>
        <v>62847</v>
      </c>
      <c r="N571">
        <v>62847</v>
      </c>
      <c r="O571" t="s">
        <v>21</v>
      </c>
      <c r="P571" t="s">
        <v>1243</v>
      </c>
      <c r="Q571" t="s">
        <v>25</v>
      </c>
      <c r="R571" t="s">
        <v>579</v>
      </c>
      <c r="S571" t="s">
        <v>552</v>
      </c>
      <c r="U571" s="6">
        <v>42170.54005787037</v>
      </c>
      <c r="V571" t="s">
        <v>18</v>
      </c>
      <c r="W571" t="s">
        <v>783</v>
      </c>
      <c r="X571" s="6">
        <v>42146.51667824074</v>
      </c>
      <c r="Y571" t="s">
        <v>846</v>
      </c>
      <c r="AB571" t="s">
        <v>200</v>
      </c>
      <c r="AC571" t="s">
        <v>247</v>
      </c>
      <c r="AD571" t="s">
        <v>222</v>
      </c>
      <c r="AE571" t="s">
        <v>1073</v>
      </c>
      <c r="AG571" t="s">
        <v>121</v>
      </c>
      <c r="AH571" t="s">
        <v>327</v>
      </c>
      <c r="AI571" t="s">
        <v>121</v>
      </c>
      <c r="AJ571" t="s">
        <v>715</v>
      </c>
      <c r="AK571" t="s">
        <v>121</v>
      </c>
    </row>
    <row r="572" spans="9:37" x14ac:dyDescent="0.3">
      <c r="I572">
        <f ca="1">IF(OR(INDIRECT(A73&amp;ROW())=B93,INDIRECT(A73&amp;ROW())=B94),1,IF(AND(INDIRECT(A73&amp;ROW())=B95,INDIRECT(A96&amp;ROW())=C93),1,IF(AND(INDIRECT(A73&amp;ROW())=B95,INDIRECT(A96&amp;ROW())=C94),1,0)))</f>
        <v>0</v>
      </c>
      <c r="J572">
        <f ca="1">IF(AND(INDIRECT(A73&amp;ROW())=B95,INDIRECT(A96&amp;ROW())=C95),1,IF(AND(INDIRECT(A73&amp;ROW())=B95,INDIRECT(A96&amp;ROW())=C96),1,0))</f>
        <v>1</v>
      </c>
      <c r="K572">
        <f ca="1">DAYS360(INDIRECT(C68&amp;ROW()),TODAY())</f>
        <v>689</v>
      </c>
      <c r="L572">
        <f ca="1">DAYS360(INDIRECT(C69&amp;ROW()),TODAY())</f>
        <v>700</v>
      </c>
      <c r="M572">
        <f ca="1">HYPERLINK(CONCATENATE("https://bugzilla.houston.hp.com:1181/bugzilla/show_bug.cgi?id=",INDIRECT(C70&amp;ROW())),INDIRECT(C70&amp;ROW()))</f>
        <v>62876</v>
      </c>
      <c r="N572">
        <v>62876</v>
      </c>
      <c r="O572" t="s">
        <v>55</v>
      </c>
      <c r="P572" t="s">
        <v>1121</v>
      </c>
      <c r="Q572" t="s">
        <v>25</v>
      </c>
      <c r="R572" t="s">
        <v>251</v>
      </c>
      <c r="S572" t="s">
        <v>88</v>
      </c>
      <c r="U572" s="6">
        <v>42158.289733796293</v>
      </c>
      <c r="V572" t="s">
        <v>35</v>
      </c>
      <c r="W572" t="s">
        <v>783</v>
      </c>
      <c r="X572" s="6">
        <v>42146.710370370369</v>
      </c>
      <c r="Y572" t="s">
        <v>125</v>
      </c>
      <c r="AB572" t="s">
        <v>201</v>
      </c>
      <c r="AC572" t="s">
        <v>247</v>
      </c>
      <c r="AD572" t="s">
        <v>222</v>
      </c>
      <c r="AE572" t="s">
        <v>221</v>
      </c>
      <c r="AG572" t="s">
        <v>121</v>
      </c>
      <c r="AH572" t="s">
        <v>327</v>
      </c>
      <c r="AI572" t="s">
        <v>121</v>
      </c>
      <c r="AJ572" t="s">
        <v>716</v>
      </c>
      <c r="AK572" t="s">
        <v>121</v>
      </c>
    </row>
    <row r="573" spans="9:37" x14ac:dyDescent="0.3">
      <c r="I573">
        <f ca="1">IF(OR(INDIRECT(A73&amp;ROW())=B93,INDIRECT(A73&amp;ROW())=B94),1,IF(AND(INDIRECT(A73&amp;ROW())=B95,INDIRECT(A96&amp;ROW())=C93),1,IF(AND(INDIRECT(A73&amp;ROW())=B95,INDIRECT(A96&amp;ROW())=C94),1,0)))</f>
        <v>0</v>
      </c>
      <c r="J573">
        <f ca="1">IF(AND(INDIRECT(A73&amp;ROW())=B95,INDIRECT(A96&amp;ROW())=C95),1,IF(AND(INDIRECT(A73&amp;ROW())=B95,INDIRECT(A96&amp;ROW())=C96),1,0))</f>
        <v>1</v>
      </c>
      <c r="K573">
        <f ca="1">DAYS360(INDIRECT(C68&amp;ROW()),TODAY())</f>
        <v>697</v>
      </c>
      <c r="L573">
        <f ca="1">DAYS360(INDIRECT(C69&amp;ROW()),TODAY())</f>
        <v>699</v>
      </c>
      <c r="M573">
        <f ca="1">HYPERLINK(CONCATENATE("https://bugzilla.houston.hp.com:1181/bugzilla/show_bug.cgi?id=",INDIRECT(C70&amp;ROW())),INDIRECT(C70&amp;ROW()))</f>
        <v>62879</v>
      </c>
      <c r="N573">
        <v>62879</v>
      </c>
      <c r="O573" t="s">
        <v>55</v>
      </c>
      <c r="P573" t="s">
        <v>1120</v>
      </c>
      <c r="Q573" t="s">
        <v>25</v>
      </c>
      <c r="R573" t="s">
        <v>579</v>
      </c>
      <c r="S573" t="s">
        <v>552</v>
      </c>
      <c r="U573" s="6">
        <v>42149.626400462963</v>
      </c>
      <c r="V573" t="s">
        <v>18</v>
      </c>
      <c r="W573" t="s">
        <v>783</v>
      </c>
      <c r="X573" s="6">
        <v>42147.016736111109</v>
      </c>
      <c r="Y573" t="s">
        <v>125</v>
      </c>
      <c r="AB573" t="s">
        <v>201</v>
      </c>
      <c r="AC573" t="s">
        <v>247</v>
      </c>
      <c r="AD573" t="s">
        <v>222</v>
      </c>
      <c r="AE573" t="s">
        <v>221</v>
      </c>
      <c r="AG573" t="s">
        <v>121</v>
      </c>
      <c r="AH573" t="s">
        <v>327</v>
      </c>
      <c r="AI573" t="s">
        <v>121</v>
      </c>
      <c r="AJ573" t="s">
        <v>716</v>
      </c>
      <c r="AK573" t="s">
        <v>121</v>
      </c>
    </row>
    <row r="574" spans="9:37" x14ac:dyDescent="0.3">
      <c r="I574">
        <f ca="1">IF(OR(INDIRECT(A73&amp;ROW())=B93,INDIRECT(A73&amp;ROW())=B94),1,IF(AND(INDIRECT(A73&amp;ROW())=B95,INDIRECT(A96&amp;ROW())=C93),1,IF(AND(INDIRECT(A73&amp;ROW())=B95,INDIRECT(A96&amp;ROW())=C94),1,0)))</f>
        <v>0</v>
      </c>
      <c r="J574">
        <f ca="1">IF(AND(INDIRECT(A73&amp;ROW())=B95,INDIRECT(A96&amp;ROW())=C95),1,IF(AND(INDIRECT(A73&amp;ROW())=B95,INDIRECT(A96&amp;ROW())=C96),1,0))</f>
        <v>1</v>
      </c>
      <c r="K574">
        <f ca="1">DAYS360(INDIRECT(C68&amp;ROW()),TODAY())</f>
        <v>697</v>
      </c>
      <c r="L574">
        <f ca="1">DAYS360(INDIRECT(C69&amp;ROW()),TODAY())</f>
        <v>699</v>
      </c>
      <c r="M574">
        <f ca="1">HYPERLINK(CONCATENATE("https://bugzilla.houston.hp.com:1181/bugzilla/show_bug.cgi?id=",INDIRECT(C70&amp;ROW())),INDIRECT(C70&amp;ROW()))</f>
        <v>62881</v>
      </c>
      <c r="N574">
        <v>62881</v>
      </c>
      <c r="O574" t="s">
        <v>55</v>
      </c>
      <c r="P574" t="s">
        <v>1118</v>
      </c>
      <c r="Q574" t="s">
        <v>25</v>
      </c>
      <c r="R574" t="s">
        <v>248</v>
      </c>
      <c r="S574" t="s">
        <v>552</v>
      </c>
      <c r="U574" s="6">
        <v>42149.626388888886</v>
      </c>
      <c r="V574" t="s">
        <v>18</v>
      </c>
      <c r="W574" t="s">
        <v>783</v>
      </c>
      <c r="X574" s="6">
        <v>42147.016898148147</v>
      </c>
      <c r="Y574" t="s">
        <v>125</v>
      </c>
      <c r="AB574" t="s">
        <v>201</v>
      </c>
      <c r="AC574" t="s">
        <v>247</v>
      </c>
      <c r="AD574" t="s">
        <v>222</v>
      </c>
      <c r="AE574" t="s">
        <v>221</v>
      </c>
      <c r="AG574" t="s">
        <v>121</v>
      </c>
      <c r="AH574" t="s">
        <v>327</v>
      </c>
      <c r="AI574" t="s">
        <v>121</v>
      </c>
      <c r="AJ574" t="s">
        <v>716</v>
      </c>
      <c r="AK574" t="s">
        <v>121</v>
      </c>
    </row>
    <row r="575" spans="9:37" x14ac:dyDescent="0.3">
      <c r="I575">
        <f ca="1">IF(OR(INDIRECT(A73&amp;ROW())=B93,INDIRECT(A73&amp;ROW())=B94),1,IF(AND(INDIRECT(A73&amp;ROW())=B95,INDIRECT(A96&amp;ROW())=C93),1,IF(AND(INDIRECT(A73&amp;ROW())=B95,INDIRECT(A96&amp;ROW())=C94),1,0)))</f>
        <v>1</v>
      </c>
      <c r="J575">
        <f ca="1">IF(AND(INDIRECT(A73&amp;ROW())=B95,INDIRECT(A96&amp;ROW())=C95),1,IF(AND(INDIRECT(A73&amp;ROW())=B95,INDIRECT(A96&amp;ROW())=C96),1,0))</f>
        <v>0</v>
      </c>
      <c r="K575">
        <f ca="1">DAYS360(INDIRECT(C68&amp;ROW()),TODAY())</f>
        <v>690</v>
      </c>
      <c r="L575">
        <f ca="1">DAYS360(INDIRECT(C69&amp;ROW()),TODAY())</f>
        <v>697</v>
      </c>
      <c r="M575">
        <f ca="1">HYPERLINK(CONCATENATE("https://bugzilla.houston.hp.com:1181/bugzilla/show_bug.cgi?id=",INDIRECT(C70&amp;ROW())),INDIRECT(C70&amp;ROW()))</f>
        <v>62918</v>
      </c>
      <c r="N575">
        <v>62918</v>
      </c>
      <c r="O575" t="s">
        <v>62</v>
      </c>
      <c r="P575" t="s">
        <v>1117</v>
      </c>
      <c r="Q575" t="s">
        <v>25</v>
      </c>
      <c r="R575" t="s">
        <v>251</v>
      </c>
      <c r="S575" t="s">
        <v>62</v>
      </c>
      <c r="U575" s="6">
        <v>42157.007928240739</v>
      </c>
      <c r="V575" t="s">
        <v>18</v>
      </c>
      <c r="W575" t="s">
        <v>783</v>
      </c>
      <c r="X575" s="6">
        <v>42149.972442129627</v>
      </c>
      <c r="Y575" t="s">
        <v>119</v>
      </c>
      <c r="AB575" t="s">
        <v>199</v>
      </c>
      <c r="AC575" t="s">
        <v>247</v>
      </c>
      <c r="AD575" t="s">
        <v>220</v>
      </c>
      <c r="AE575" t="s">
        <v>219</v>
      </c>
      <c r="AG575" t="s">
        <v>121</v>
      </c>
      <c r="AH575" t="s">
        <v>327</v>
      </c>
      <c r="AI575" t="s">
        <v>121</v>
      </c>
      <c r="AJ575" t="s">
        <v>715</v>
      </c>
      <c r="AK575" t="s">
        <v>121</v>
      </c>
    </row>
    <row r="576" spans="9:37" x14ac:dyDescent="0.3">
      <c r="I576">
        <f ca="1">IF(OR(INDIRECT(A73&amp;ROW())=B93,INDIRECT(A73&amp;ROW())=B94),1,IF(AND(INDIRECT(A73&amp;ROW())=B95,INDIRECT(A96&amp;ROW())=C93),1,IF(AND(INDIRECT(A73&amp;ROW())=B95,INDIRECT(A96&amp;ROW())=C94),1,0)))</f>
        <v>1</v>
      </c>
      <c r="J576">
        <f ca="1">IF(AND(INDIRECT(A73&amp;ROW())=B95,INDIRECT(A96&amp;ROW())=C95),1,IF(AND(INDIRECT(A73&amp;ROW())=B95,INDIRECT(A96&amp;ROW())=C96),1,0))</f>
        <v>0</v>
      </c>
      <c r="K576">
        <f ca="1">DAYS360(INDIRECT(C68&amp;ROW()),TODAY())</f>
        <v>690</v>
      </c>
      <c r="L576">
        <f ca="1">DAYS360(INDIRECT(C69&amp;ROW()),TODAY())</f>
        <v>696</v>
      </c>
      <c r="M576">
        <f ca="1">HYPERLINK(CONCATENATE("https://bugzilla.houston.hp.com:1181/bugzilla/show_bug.cgi?id=",INDIRECT(C70&amp;ROW())),INDIRECT(C70&amp;ROW()))</f>
        <v>62923</v>
      </c>
      <c r="N576">
        <v>62923</v>
      </c>
      <c r="O576" t="s">
        <v>56</v>
      </c>
      <c r="P576" t="s">
        <v>1116</v>
      </c>
      <c r="Q576" t="s">
        <v>25</v>
      </c>
      <c r="R576" t="s">
        <v>248</v>
      </c>
      <c r="S576" t="s">
        <v>552</v>
      </c>
      <c r="U576" s="6">
        <v>42157.090798611112</v>
      </c>
      <c r="V576" t="s">
        <v>18</v>
      </c>
      <c r="W576" t="s">
        <v>783</v>
      </c>
      <c r="X576" s="6">
        <v>42150.01703703704</v>
      </c>
      <c r="Y576" t="s">
        <v>119</v>
      </c>
      <c r="AB576" t="s">
        <v>199</v>
      </c>
      <c r="AC576" t="s">
        <v>247</v>
      </c>
      <c r="AD576" t="s">
        <v>220</v>
      </c>
      <c r="AE576" t="s">
        <v>219</v>
      </c>
      <c r="AG576" t="s">
        <v>121</v>
      </c>
      <c r="AH576" t="s">
        <v>327</v>
      </c>
      <c r="AI576" t="s">
        <v>121</v>
      </c>
      <c r="AJ576" t="s">
        <v>715</v>
      </c>
      <c r="AK576" t="s">
        <v>121</v>
      </c>
    </row>
    <row r="577" spans="9:37" x14ac:dyDescent="0.3">
      <c r="I577">
        <f ca="1">IF(OR(INDIRECT(A73&amp;ROW())=B93,INDIRECT(A73&amp;ROW())=B94),1,IF(AND(INDIRECT(A73&amp;ROW())=B95,INDIRECT(A96&amp;ROW())=C93),1,IF(AND(INDIRECT(A73&amp;ROW())=B95,INDIRECT(A96&amp;ROW())=C94),1,0)))</f>
        <v>1</v>
      </c>
      <c r="J577">
        <f ca="1">IF(AND(INDIRECT(A73&amp;ROW())=B95,INDIRECT(A96&amp;ROW())=C95),1,IF(AND(INDIRECT(A73&amp;ROW())=B95,INDIRECT(A96&amp;ROW())=C96),1,0))</f>
        <v>0</v>
      </c>
      <c r="K577">
        <f ca="1">DAYS360(INDIRECT(C68&amp;ROW()),TODAY())</f>
        <v>673</v>
      </c>
      <c r="L577">
        <f ca="1">DAYS360(INDIRECT(C69&amp;ROW()),TODAY())</f>
        <v>696</v>
      </c>
      <c r="M577">
        <f ca="1">HYPERLINK(CONCATENATE("https://bugzilla.houston.hp.com:1181/bugzilla/show_bug.cgi?id=",INDIRECT(C70&amp;ROW())),INDIRECT(C70&amp;ROW()))</f>
        <v>62950</v>
      </c>
      <c r="N577">
        <v>62950</v>
      </c>
      <c r="O577" t="s">
        <v>94</v>
      </c>
      <c r="P577" t="s">
        <v>1115</v>
      </c>
      <c r="Q577" t="s">
        <v>25</v>
      </c>
      <c r="R577" t="s">
        <v>251</v>
      </c>
      <c r="S577" t="s">
        <v>52</v>
      </c>
      <c r="T577" t="s">
        <v>1122</v>
      </c>
      <c r="U577" s="6">
        <v>42174.641446759262</v>
      </c>
      <c r="V577" t="s">
        <v>40</v>
      </c>
      <c r="W577" t="s">
        <v>783</v>
      </c>
      <c r="X577" s="6">
        <v>42150.291273148148</v>
      </c>
      <c r="Y577" t="s">
        <v>119</v>
      </c>
      <c r="AB577" t="s">
        <v>200</v>
      </c>
      <c r="AC577" t="s">
        <v>247</v>
      </c>
      <c r="AD577" t="s">
        <v>227</v>
      </c>
      <c r="AE577" t="s">
        <v>226</v>
      </c>
      <c r="AG577" t="s">
        <v>121</v>
      </c>
      <c r="AH577" t="s">
        <v>327</v>
      </c>
      <c r="AI577" t="s">
        <v>121</v>
      </c>
      <c r="AJ577" t="s">
        <v>715</v>
      </c>
      <c r="AK577" t="s">
        <v>121</v>
      </c>
    </row>
    <row r="578" spans="9:37" x14ac:dyDescent="0.3">
      <c r="I578">
        <f ca="1">IF(OR(INDIRECT(A73&amp;ROW())=B93,INDIRECT(A73&amp;ROW())=B94),1,IF(AND(INDIRECT(A73&amp;ROW())=B95,INDIRECT(A96&amp;ROW())=C93),1,IF(AND(INDIRECT(A73&amp;ROW())=B95,INDIRECT(A96&amp;ROW())=C94),1,0)))</f>
        <v>0</v>
      </c>
      <c r="J578">
        <f ca="1">IF(AND(INDIRECT(A73&amp;ROW())=B95,INDIRECT(A96&amp;ROW())=C95),1,IF(AND(INDIRECT(A73&amp;ROW())=B95,INDIRECT(A96&amp;ROW())=C96),1,0))</f>
        <v>1</v>
      </c>
      <c r="K578">
        <f ca="1">DAYS360(INDIRECT(C68&amp;ROW()),TODAY())</f>
        <v>673</v>
      </c>
      <c r="L578">
        <f ca="1">DAYS360(INDIRECT(C69&amp;ROW()),TODAY())</f>
        <v>696</v>
      </c>
      <c r="M578">
        <f ca="1">HYPERLINK(CONCATENATE("https://bugzilla.houston.hp.com:1181/bugzilla/show_bug.cgi?id=",INDIRECT(C70&amp;ROW())),INDIRECT(C70&amp;ROW()))</f>
        <v>62959</v>
      </c>
      <c r="N578">
        <v>62959</v>
      </c>
      <c r="O578" t="s">
        <v>21</v>
      </c>
      <c r="P578" t="s">
        <v>1319</v>
      </c>
      <c r="Q578" t="s">
        <v>25</v>
      </c>
      <c r="R578" t="s">
        <v>251</v>
      </c>
      <c r="S578" t="s">
        <v>24</v>
      </c>
      <c r="U578" s="6">
        <v>42174.340300925927</v>
      </c>
      <c r="V578" t="s">
        <v>40</v>
      </c>
      <c r="W578" t="s">
        <v>783</v>
      </c>
      <c r="X578" s="6">
        <v>42150.384166666663</v>
      </c>
      <c r="Y578" t="s">
        <v>119</v>
      </c>
      <c r="AB578" t="s">
        <v>201</v>
      </c>
      <c r="AC578" t="s">
        <v>247</v>
      </c>
      <c r="AD578" t="s">
        <v>222</v>
      </c>
      <c r="AE578" t="s">
        <v>221</v>
      </c>
      <c r="AG578" t="s">
        <v>121</v>
      </c>
      <c r="AH578" t="s">
        <v>327</v>
      </c>
      <c r="AI578" t="s">
        <v>362</v>
      </c>
      <c r="AJ578" t="s">
        <v>716</v>
      </c>
      <c r="AK578" t="s">
        <v>121</v>
      </c>
    </row>
    <row r="579" spans="9:37" x14ac:dyDescent="0.3">
      <c r="I579">
        <f ca="1">IF(OR(INDIRECT(A73&amp;ROW())=B93,INDIRECT(A73&amp;ROW())=B94),1,IF(AND(INDIRECT(A73&amp;ROW())=B95,INDIRECT(A96&amp;ROW())=C93),1,IF(AND(INDIRECT(A73&amp;ROW())=B95,INDIRECT(A96&amp;ROW())=C94),1,0)))</f>
        <v>1</v>
      </c>
      <c r="J579">
        <f ca="1">IF(AND(INDIRECT(A73&amp;ROW())=B95,INDIRECT(A96&amp;ROW())=C95),1,IF(AND(INDIRECT(A73&amp;ROW())=B95,INDIRECT(A96&amp;ROW())=C96),1,0))</f>
        <v>0</v>
      </c>
      <c r="K579">
        <f ca="1">DAYS360(INDIRECT(C68&amp;ROW()),TODAY())</f>
        <v>696</v>
      </c>
      <c r="L579">
        <f ca="1">DAYS360(INDIRECT(C69&amp;ROW()),TODAY())</f>
        <v>696</v>
      </c>
      <c r="M579">
        <f ca="1">HYPERLINK(CONCATENATE("https://bugzilla.houston.hp.com:1181/bugzilla/show_bug.cgi?id=",INDIRECT(C70&amp;ROW())),INDIRECT(C70&amp;ROW()))</f>
        <v>62972</v>
      </c>
      <c r="N579">
        <v>62972</v>
      </c>
      <c r="O579" t="s">
        <v>45</v>
      </c>
      <c r="P579" t="s">
        <v>1113</v>
      </c>
      <c r="Q579" t="s">
        <v>25</v>
      </c>
      <c r="R579" t="s">
        <v>248</v>
      </c>
      <c r="S579" t="s">
        <v>552</v>
      </c>
      <c r="U579" s="6">
        <v>42150.455312500002</v>
      </c>
      <c r="V579" t="s">
        <v>18</v>
      </c>
      <c r="W579" t="s">
        <v>248</v>
      </c>
      <c r="X579" s="6">
        <v>42150.455312500002</v>
      </c>
      <c r="Y579" t="s">
        <v>793</v>
      </c>
      <c r="AB579" t="s">
        <v>199</v>
      </c>
      <c r="AC579" t="s">
        <v>247</v>
      </c>
      <c r="AD579" t="s">
        <v>220</v>
      </c>
      <c r="AE579" t="s">
        <v>219</v>
      </c>
      <c r="AG579" t="s">
        <v>121</v>
      </c>
      <c r="AH579" t="s">
        <v>328</v>
      </c>
      <c r="AI579" t="s">
        <v>121</v>
      </c>
      <c r="AJ579" t="s">
        <v>715</v>
      </c>
      <c r="AK579" t="s">
        <v>121</v>
      </c>
    </row>
    <row r="580" spans="9:37" x14ac:dyDescent="0.3">
      <c r="I580">
        <f ca="1">IF(OR(INDIRECT(A73&amp;ROW())=B93,INDIRECT(A73&amp;ROW())=B94),1,IF(AND(INDIRECT(A73&amp;ROW())=B95,INDIRECT(A96&amp;ROW())=C93),1,IF(AND(INDIRECT(A73&amp;ROW())=B95,INDIRECT(A96&amp;ROW())=C94),1,0)))</f>
        <v>0</v>
      </c>
      <c r="J580">
        <f ca="1">IF(AND(INDIRECT(A73&amp;ROW())=B95,INDIRECT(A96&amp;ROW())=C95),1,IF(AND(INDIRECT(A73&amp;ROW())=B95,INDIRECT(A96&amp;ROW())=C96),1,0))</f>
        <v>1</v>
      </c>
      <c r="K580">
        <f ca="1">DAYS360(INDIRECT(C68&amp;ROW()),TODAY())</f>
        <v>673</v>
      </c>
      <c r="L580">
        <f ca="1">DAYS360(INDIRECT(C69&amp;ROW()),TODAY())</f>
        <v>696</v>
      </c>
      <c r="M580">
        <f ca="1">HYPERLINK(CONCATENATE("https://bugzilla.houston.hp.com:1181/bugzilla/show_bug.cgi?id=",INDIRECT(C70&amp;ROW())),INDIRECT(C70&amp;ROW()))</f>
        <v>62976</v>
      </c>
      <c r="N580">
        <v>62976</v>
      </c>
      <c r="O580" t="s">
        <v>21</v>
      </c>
      <c r="P580" t="s">
        <v>1318</v>
      </c>
      <c r="Q580" t="s">
        <v>25</v>
      </c>
      <c r="R580" t="s">
        <v>783</v>
      </c>
      <c r="S580" t="s">
        <v>552</v>
      </c>
      <c r="U580" s="6">
        <v>42174.338483796295</v>
      </c>
      <c r="V580" t="s">
        <v>40</v>
      </c>
      <c r="W580" t="s">
        <v>783</v>
      </c>
      <c r="X580" s="6">
        <v>42150.457615740743</v>
      </c>
      <c r="Y580" t="s">
        <v>119</v>
      </c>
      <c r="AB580" t="s">
        <v>201</v>
      </c>
      <c r="AC580" t="s">
        <v>247</v>
      </c>
      <c r="AD580" t="s">
        <v>222</v>
      </c>
      <c r="AE580" t="s">
        <v>221</v>
      </c>
      <c r="AG580" t="s">
        <v>588</v>
      </c>
      <c r="AH580" t="s">
        <v>327</v>
      </c>
      <c r="AI580" t="s">
        <v>362</v>
      </c>
      <c r="AJ580" t="s">
        <v>716</v>
      </c>
      <c r="AK580" t="s">
        <v>1206</v>
      </c>
    </row>
    <row r="581" spans="9:37" x14ac:dyDescent="0.3">
      <c r="I581">
        <f ca="1">IF(OR(INDIRECT(A73&amp;ROW())=B93,INDIRECT(A73&amp;ROW())=B94),1,IF(AND(INDIRECT(A73&amp;ROW())=B95,INDIRECT(A96&amp;ROW())=C93),1,IF(AND(INDIRECT(A73&amp;ROW())=B95,INDIRECT(A96&amp;ROW())=C94),1,0)))</f>
        <v>0</v>
      </c>
      <c r="J581">
        <f ca="1">IF(AND(INDIRECT(A73&amp;ROW())=B95,INDIRECT(A96&amp;ROW())=C95),1,IF(AND(INDIRECT(A73&amp;ROW())=B95,INDIRECT(A96&amp;ROW())=C96),1,0))</f>
        <v>1</v>
      </c>
      <c r="K581">
        <f ca="1">DAYS360(INDIRECT(C68&amp;ROW()),TODAY())</f>
        <v>673</v>
      </c>
      <c r="L581">
        <f ca="1">DAYS360(INDIRECT(C69&amp;ROW()),TODAY())</f>
        <v>696</v>
      </c>
      <c r="M581">
        <f ca="1">HYPERLINK(CONCATENATE("https://bugzilla.houston.hp.com:1181/bugzilla/show_bug.cgi?id=",INDIRECT(C70&amp;ROW())),INDIRECT(C70&amp;ROW()))</f>
        <v>62977</v>
      </c>
      <c r="N581">
        <v>62977</v>
      </c>
      <c r="O581" t="s">
        <v>21</v>
      </c>
      <c r="P581" t="s">
        <v>1317</v>
      </c>
      <c r="Q581" t="s">
        <v>25</v>
      </c>
      <c r="R581" t="s">
        <v>248</v>
      </c>
      <c r="S581" t="s">
        <v>552</v>
      </c>
      <c r="U581" s="6">
        <v>42174.339074074072</v>
      </c>
      <c r="V581" t="s">
        <v>40</v>
      </c>
      <c r="W581" t="s">
        <v>783</v>
      </c>
      <c r="X581" s="6">
        <v>42150.457673611112</v>
      </c>
      <c r="Y581" t="s">
        <v>119</v>
      </c>
      <c r="AB581" t="s">
        <v>201</v>
      </c>
      <c r="AC581" t="s">
        <v>247</v>
      </c>
      <c r="AD581" t="s">
        <v>222</v>
      </c>
      <c r="AE581" t="s">
        <v>221</v>
      </c>
      <c r="AG581" t="s">
        <v>121</v>
      </c>
      <c r="AH581" t="s">
        <v>327</v>
      </c>
      <c r="AI581" t="s">
        <v>121</v>
      </c>
      <c r="AJ581" t="s">
        <v>716</v>
      </c>
      <c r="AK581" t="s">
        <v>121</v>
      </c>
    </row>
    <row r="582" spans="9:37" x14ac:dyDescent="0.3">
      <c r="I582">
        <f ca="1">IF(OR(INDIRECT(A73&amp;ROW())=B93,INDIRECT(A73&amp;ROW())=B94),1,IF(AND(INDIRECT(A73&amp;ROW())=B95,INDIRECT(A96&amp;ROW())=C93),1,IF(AND(INDIRECT(A73&amp;ROW())=B95,INDIRECT(A96&amp;ROW())=C94),1,0)))</f>
        <v>1</v>
      </c>
      <c r="J582">
        <f ca="1">IF(AND(INDIRECT(A73&amp;ROW())=B95,INDIRECT(A96&amp;ROW())=C95),1,IF(AND(INDIRECT(A73&amp;ROW())=B95,INDIRECT(A96&amp;ROW())=C96),1,0))</f>
        <v>0</v>
      </c>
      <c r="K582">
        <f ca="1">DAYS360(INDIRECT(C68&amp;ROW()),TODAY())</f>
        <v>673</v>
      </c>
      <c r="L582">
        <f ca="1">DAYS360(INDIRECT(C69&amp;ROW()),TODAY())</f>
        <v>696</v>
      </c>
      <c r="M582">
        <f ca="1">HYPERLINK(CONCATENATE("https://bugzilla.houston.hp.com:1181/bugzilla/show_bug.cgi?id=",INDIRECT(C70&amp;ROW())),INDIRECT(C70&amp;ROW()))</f>
        <v>62999</v>
      </c>
      <c r="N582">
        <v>62999</v>
      </c>
      <c r="O582" t="s">
        <v>44</v>
      </c>
      <c r="P582" t="s">
        <v>1199</v>
      </c>
      <c r="Q582" t="s">
        <v>39</v>
      </c>
      <c r="R582" t="s">
        <v>251</v>
      </c>
      <c r="S582" t="s">
        <v>587</v>
      </c>
      <c r="U582" s="6">
        <v>42174.615937499999</v>
      </c>
      <c r="V582" t="s">
        <v>18</v>
      </c>
      <c r="W582" t="s">
        <v>783</v>
      </c>
      <c r="X582" s="6">
        <v>42150.971064814818</v>
      </c>
      <c r="Y582" t="s">
        <v>119</v>
      </c>
      <c r="AB582" t="s">
        <v>199</v>
      </c>
      <c r="AC582" t="s">
        <v>247</v>
      </c>
      <c r="AD582" t="s">
        <v>220</v>
      </c>
      <c r="AE582" t="s">
        <v>219</v>
      </c>
      <c r="AG582" t="s">
        <v>121</v>
      </c>
      <c r="AH582" t="s">
        <v>327</v>
      </c>
      <c r="AI582" t="s">
        <v>121</v>
      </c>
      <c r="AJ582" t="s">
        <v>715</v>
      </c>
      <c r="AK582" t="s">
        <v>121</v>
      </c>
    </row>
    <row r="583" spans="9:37" x14ac:dyDescent="0.3">
      <c r="I583">
        <f ca="1">IF(OR(INDIRECT(A73&amp;ROW())=B93,INDIRECT(A73&amp;ROW())=B94),1,IF(AND(INDIRECT(A73&amp;ROW())=B95,INDIRECT(A96&amp;ROW())=C93),1,IF(AND(INDIRECT(A73&amp;ROW())=B95,INDIRECT(A96&amp;ROW())=C94),1,0)))</f>
        <v>1</v>
      </c>
      <c r="J583">
        <f ca="1">IF(AND(INDIRECT(A73&amp;ROW())=B95,INDIRECT(A96&amp;ROW())=C95),1,IF(AND(INDIRECT(A73&amp;ROW())=B95,INDIRECT(A96&amp;ROW())=C96),1,0))</f>
        <v>0</v>
      </c>
      <c r="K583">
        <f ca="1">DAYS360(INDIRECT(C68&amp;ROW()),TODAY())</f>
        <v>691</v>
      </c>
      <c r="L583">
        <f ca="1">DAYS360(INDIRECT(C69&amp;ROW()),TODAY())</f>
        <v>695</v>
      </c>
      <c r="M583">
        <f ca="1">HYPERLINK(CONCATENATE("https://bugzilla.houston.hp.com:1181/bugzilla/show_bug.cgi?id=",INDIRECT(C70&amp;ROW())),INDIRECT(C70&amp;ROW()))</f>
        <v>63011</v>
      </c>
      <c r="N583">
        <v>63011</v>
      </c>
      <c r="O583" t="s">
        <v>66</v>
      </c>
      <c r="P583" t="s">
        <v>1107</v>
      </c>
      <c r="Q583" t="s">
        <v>39</v>
      </c>
      <c r="R583" t="s">
        <v>579</v>
      </c>
      <c r="S583" t="s">
        <v>552</v>
      </c>
      <c r="U583" s="6">
        <v>42156.076863425929</v>
      </c>
      <c r="V583" t="s">
        <v>18</v>
      </c>
      <c r="W583" t="s">
        <v>783</v>
      </c>
      <c r="X583" s="6">
        <v>42151.016956018517</v>
      </c>
      <c r="Y583" t="s">
        <v>119</v>
      </c>
      <c r="AB583" t="s">
        <v>199</v>
      </c>
      <c r="AC583" t="s">
        <v>247</v>
      </c>
      <c r="AD583" t="s">
        <v>220</v>
      </c>
      <c r="AE583" t="s">
        <v>219</v>
      </c>
      <c r="AG583" t="s">
        <v>121</v>
      </c>
      <c r="AH583" t="s">
        <v>327</v>
      </c>
      <c r="AI583" t="s">
        <v>121</v>
      </c>
      <c r="AJ583" t="s">
        <v>715</v>
      </c>
      <c r="AK583" t="s">
        <v>121</v>
      </c>
    </row>
    <row r="584" spans="9:37" x14ac:dyDescent="0.3">
      <c r="I584">
        <f ca="1">IF(OR(INDIRECT(A73&amp;ROW())=B93,INDIRECT(A73&amp;ROW())=B94),1,IF(AND(INDIRECT(A73&amp;ROW())=B95,INDIRECT(A96&amp;ROW())=C93),1,IF(AND(INDIRECT(A73&amp;ROW())=B95,INDIRECT(A96&amp;ROW())=C94),1,0)))</f>
        <v>1</v>
      </c>
      <c r="J584">
        <f ca="1">IF(AND(INDIRECT(A73&amp;ROW())=B95,INDIRECT(A96&amp;ROW())=C95),1,IF(AND(INDIRECT(A73&amp;ROW())=B95,INDIRECT(A96&amp;ROW())=C96),1,0))</f>
        <v>0</v>
      </c>
      <c r="K584">
        <f ca="1">DAYS360(INDIRECT(C68&amp;ROW()),TODAY())</f>
        <v>695</v>
      </c>
      <c r="L584">
        <f ca="1">DAYS360(INDIRECT(C69&amp;ROW()),TODAY())</f>
        <v>695</v>
      </c>
      <c r="M584">
        <f ca="1">HYPERLINK(CONCATENATE("https://bugzilla.houston.hp.com:1181/bugzilla/show_bug.cgi?id=",INDIRECT(C70&amp;ROW())),INDIRECT(C70&amp;ROW()))</f>
        <v>63013</v>
      </c>
      <c r="N584">
        <v>63013</v>
      </c>
      <c r="O584" t="s">
        <v>56</v>
      </c>
      <c r="P584" t="s">
        <v>1105</v>
      </c>
      <c r="Q584" t="s">
        <v>39</v>
      </c>
      <c r="R584" t="s">
        <v>248</v>
      </c>
      <c r="S584" t="s">
        <v>552</v>
      </c>
      <c r="U584" s="6">
        <v>42151.356874999998</v>
      </c>
      <c r="V584" t="s">
        <v>18</v>
      </c>
      <c r="W584" t="s">
        <v>783</v>
      </c>
      <c r="X584" s="6">
        <v>42151.017129629632</v>
      </c>
      <c r="Y584" t="s">
        <v>119</v>
      </c>
      <c r="AB584" t="s">
        <v>199</v>
      </c>
      <c r="AC584" t="s">
        <v>247</v>
      </c>
      <c r="AD584" t="s">
        <v>220</v>
      </c>
      <c r="AE584" t="s">
        <v>219</v>
      </c>
      <c r="AG584" t="s">
        <v>121</v>
      </c>
      <c r="AH584" t="s">
        <v>327</v>
      </c>
      <c r="AI584" t="s">
        <v>121</v>
      </c>
      <c r="AJ584" t="s">
        <v>715</v>
      </c>
      <c r="AK584" t="s">
        <v>121</v>
      </c>
    </row>
    <row r="585" spans="9:37" x14ac:dyDescent="0.3">
      <c r="I585">
        <f ca="1">IF(OR(INDIRECT(A73&amp;ROW())=B93,INDIRECT(A73&amp;ROW())=B94),1,IF(AND(INDIRECT(A73&amp;ROW())=B95,INDIRECT(A96&amp;ROW())=C93),1,IF(AND(INDIRECT(A73&amp;ROW())=B95,INDIRECT(A96&amp;ROW())=C94),1,0)))</f>
        <v>1</v>
      </c>
      <c r="J585">
        <f ca="1">IF(AND(INDIRECT(A73&amp;ROW())=B95,INDIRECT(A96&amp;ROW())=C95),1,IF(AND(INDIRECT(A73&amp;ROW())=B95,INDIRECT(A96&amp;ROW())=C96),1,0))</f>
        <v>0</v>
      </c>
      <c r="K585">
        <f ca="1">DAYS360(INDIRECT(C68&amp;ROW()),TODAY())</f>
        <v>694</v>
      </c>
      <c r="L585">
        <f ca="1">DAYS360(INDIRECT(C69&amp;ROW()),TODAY())</f>
        <v>694</v>
      </c>
      <c r="M585">
        <f ca="1">HYPERLINK(CONCATENATE("https://bugzilla.houston.hp.com:1181/bugzilla/show_bug.cgi?id=",INDIRECT(C70&amp;ROW())),INDIRECT(C70&amp;ROW()))</f>
        <v>63100</v>
      </c>
      <c r="N585">
        <v>63100</v>
      </c>
      <c r="O585" t="s">
        <v>22</v>
      </c>
      <c r="P585" t="s">
        <v>1125</v>
      </c>
      <c r="Q585" t="s">
        <v>39</v>
      </c>
      <c r="R585" t="s">
        <v>248</v>
      </c>
      <c r="S585" t="s">
        <v>552</v>
      </c>
      <c r="U585" s="6">
        <v>42152.329837962963</v>
      </c>
      <c r="V585" t="s">
        <v>18</v>
      </c>
      <c r="W585" t="s">
        <v>248</v>
      </c>
      <c r="X585" s="6">
        <v>42152.329837962963</v>
      </c>
      <c r="Y585" t="s">
        <v>793</v>
      </c>
      <c r="AB585" t="s">
        <v>199</v>
      </c>
      <c r="AC585" t="s">
        <v>1124</v>
      </c>
      <c r="AD585" t="s">
        <v>222</v>
      </c>
      <c r="AE585" t="s">
        <v>221</v>
      </c>
      <c r="AG585" t="s">
        <v>121</v>
      </c>
      <c r="AH585" t="s">
        <v>327</v>
      </c>
      <c r="AI585" t="s">
        <v>121</v>
      </c>
      <c r="AJ585" t="s">
        <v>715</v>
      </c>
      <c r="AK585" t="s">
        <v>121</v>
      </c>
    </row>
    <row r="586" spans="9:37" x14ac:dyDescent="0.3">
      <c r="I586">
        <f ca="1">IF(OR(INDIRECT(A73&amp;ROW())=B93,INDIRECT(A73&amp;ROW())=B94),1,IF(AND(INDIRECT(A73&amp;ROW())=B95,INDIRECT(A96&amp;ROW())=C93),1,IF(AND(INDIRECT(A73&amp;ROW())=B95,INDIRECT(A96&amp;ROW())=C94),1,0)))</f>
        <v>0</v>
      </c>
      <c r="J586">
        <f ca="1">IF(AND(INDIRECT(A73&amp;ROW())=B95,INDIRECT(A96&amp;ROW())=C95),1,IF(AND(INDIRECT(A73&amp;ROW())=B95,INDIRECT(A96&amp;ROW())=C96),1,0))</f>
        <v>1</v>
      </c>
      <c r="K586">
        <f ca="1">DAYS360(INDIRECT(C68&amp;ROW()),TODAY())</f>
        <v>684</v>
      </c>
      <c r="L586">
        <f ca="1">DAYS360(INDIRECT(C69&amp;ROW()),TODAY())</f>
        <v>694</v>
      </c>
      <c r="M586">
        <f ca="1">HYPERLINK(CONCATENATE("https://bugzilla.houston.hp.com:1181/bugzilla/show_bug.cgi?id=",INDIRECT(C70&amp;ROW())),INDIRECT(C70&amp;ROW()))</f>
        <v>63109</v>
      </c>
      <c r="N586">
        <v>63109</v>
      </c>
      <c r="O586" t="s">
        <v>45</v>
      </c>
      <c r="P586" t="s">
        <v>1130</v>
      </c>
      <c r="Q586" t="s">
        <v>25</v>
      </c>
      <c r="R586" t="s">
        <v>579</v>
      </c>
      <c r="S586" t="s">
        <v>552</v>
      </c>
      <c r="T586" t="s">
        <v>48</v>
      </c>
      <c r="U586" s="6">
        <v>42163.400902777779</v>
      </c>
      <c r="V586" t="s">
        <v>18</v>
      </c>
      <c r="W586" t="s">
        <v>248</v>
      </c>
      <c r="X586" s="6">
        <v>42152.419120370374</v>
      </c>
      <c r="Y586" t="s">
        <v>792</v>
      </c>
      <c r="AB586" t="s">
        <v>201</v>
      </c>
      <c r="AC586" t="s">
        <v>247</v>
      </c>
      <c r="AD586" t="s">
        <v>220</v>
      </c>
      <c r="AE586" t="s">
        <v>219</v>
      </c>
      <c r="AG586" t="s">
        <v>121</v>
      </c>
      <c r="AH586" t="s">
        <v>327</v>
      </c>
      <c r="AI586" t="s">
        <v>121</v>
      </c>
      <c r="AJ586" t="s">
        <v>716</v>
      </c>
      <c r="AK586" t="s">
        <v>121</v>
      </c>
    </row>
    <row r="587" spans="9:37" x14ac:dyDescent="0.3">
      <c r="I587">
        <f ca="1">IF(OR(INDIRECT(A73&amp;ROW())=B93,INDIRECT(A73&amp;ROW())=B94),1,IF(AND(INDIRECT(A73&amp;ROW())=B95,INDIRECT(A96&amp;ROW())=C93),1,IF(AND(INDIRECT(A73&amp;ROW())=B95,INDIRECT(A96&amp;ROW())=C94),1,0)))</f>
        <v>1</v>
      </c>
      <c r="J587">
        <f ca="1">IF(AND(INDIRECT(A73&amp;ROW())=B95,INDIRECT(A96&amp;ROW())=C95),1,IF(AND(INDIRECT(A73&amp;ROW())=B95,INDIRECT(A96&amp;ROW())=C96),1,0))</f>
        <v>0</v>
      </c>
      <c r="K587">
        <f ca="1">DAYS360(INDIRECT(C68&amp;ROW()),TODAY())</f>
        <v>677</v>
      </c>
      <c r="L587">
        <f ca="1">DAYS360(INDIRECT(C69&amp;ROW()),TODAY())</f>
        <v>693</v>
      </c>
      <c r="M587">
        <f ca="1">HYPERLINK(CONCATENATE("https://bugzilla.houston.hp.com:1181/bugzilla/show_bug.cgi?id=",INDIRECT(C70&amp;ROW())),INDIRECT(C70&amp;ROW()))</f>
        <v>63161</v>
      </c>
      <c r="N587">
        <v>63161</v>
      </c>
      <c r="O587" t="s">
        <v>22</v>
      </c>
      <c r="P587" t="s">
        <v>1148</v>
      </c>
      <c r="Q587" t="s">
        <v>39</v>
      </c>
      <c r="R587" t="s">
        <v>251</v>
      </c>
      <c r="S587" t="s">
        <v>24</v>
      </c>
      <c r="U587" s="6">
        <v>42170.644791666666</v>
      </c>
      <c r="V587" t="s">
        <v>18</v>
      </c>
      <c r="W587" t="s">
        <v>783</v>
      </c>
      <c r="X587" s="6">
        <v>42153.347361111111</v>
      </c>
      <c r="Y587" t="s">
        <v>119</v>
      </c>
      <c r="AB587" t="s">
        <v>201</v>
      </c>
      <c r="AC587" t="s">
        <v>247</v>
      </c>
      <c r="AD587" t="s">
        <v>220</v>
      </c>
      <c r="AE587" t="s">
        <v>224</v>
      </c>
      <c r="AG587" t="s">
        <v>121</v>
      </c>
      <c r="AH587" t="s">
        <v>327</v>
      </c>
      <c r="AI587" t="s">
        <v>121</v>
      </c>
      <c r="AJ587" t="s">
        <v>715</v>
      </c>
      <c r="AK587" t="s">
        <v>1104</v>
      </c>
    </row>
    <row r="588" spans="9:37" x14ac:dyDescent="0.3">
      <c r="I588">
        <f ca="1">IF(OR(INDIRECT(A73&amp;ROW())=B93,INDIRECT(A73&amp;ROW())=B94),1,IF(AND(INDIRECT(A73&amp;ROW())=B95,INDIRECT(A96&amp;ROW())=C93),1,IF(AND(INDIRECT(A73&amp;ROW())=B95,INDIRECT(A96&amp;ROW())=C94),1,0)))</f>
        <v>0</v>
      </c>
      <c r="J588">
        <f ca="1">IF(AND(INDIRECT(A73&amp;ROW())=B95,INDIRECT(A96&amp;ROW())=C95),1,IF(AND(INDIRECT(A73&amp;ROW())=B95,INDIRECT(A96&amp;ROW())=C96),1,0))</f>
        <v>1</v>
      </c>
      <c r="K588">
        <f ca="1">DAYS360(INDIRECT(C68&amp;ROW()),TODAY())</f>
        <v>673</v>
      </c>
      <c r="L588">
        <f ca="1">DAYS360(INDIRECT(C69&amp;ROW()),TODAY())</f>
        <v>693</v>
      </c>
      <c r="M588">
        <f ca="1">HYPERLINK(CONCATENATE("https://bugzilla.houston.hp.com:1181/bugzilla/show_bug.cgi?id=",INDIRECT(C70&amp;ROW())),INDIRECT(C70&amp;ROW()))</f>
        <v>63164</v>
      </c>
      <c r="N588">
        <v>63164</v>
      </c>
      <c r="O588" t="s">
        <v>66</v>
      </c>
      <c r="P588" t="s">
        <v>1147</v>
      </c>
      <c r="Q588" t="s">
        <v>25</v>
      </c>
      <c r="R588" t="s">
        <v>251</v>
      </c>
      <c r="S588" t="s">
        <v>24</v>
      </c>
      <c r="U588" s="6">
        <v>42174.728101851855</v>
      </c>
      <c r="V588" t="s">
        <v>18</v>
      </c>
      <c r="W588" t="s">
        <v>783</v>
      </c>
      <c r="X588" s="6">
        <v>42153.384872685187</v>
      </c>
      <c r="Y588" t="s">
        <v>119</v>
      </c>
      <c r="AB588" t="s">
        <v>201</v>
      </c>
      <c r="AC588" t="s">
        <v>247</v>
      </c>
      <c r="AD588" t="s">
        <v>222</v>
      </c>
      <c r="AE588" t="s">
        <v>225</v>
      </c>
      <c r="AG588" t="s">
        <v>121</v>
      </c>
      <c r="AH588" t="s">
        <v>327</v>
      </c>
      <c r="AI588" t="s">
        <v>121</v>
      </c>
      <c r="AJ588" t="s">
        <v>716</v>
      </c>
      <c r="AK588" t="s">
        <v>121</v>
      </c>
    </row>
    <row r="589" spans="9:37" x14ac:dyDescent="0.3">
      <c r="I589">
        <f ca="1">IF(OR(INDIRECT(A73&amp;ROW())=B93,INDIRECT(A73&amp;ROW())=B94),1,IF(AND(INDIRECT(A73&amp;ROW())=B95,INDIRECT(A96&amp;ROW())=C93),1,IF(AND(INDIRECT(A73&amp;ROW())=B95,INDIRECT(A96&amp;ROW())=C94),1,0)))</f>
        <v>0</v>
      </c>
      <c r="J589">
        <f ca="1">IF(AND(INDIRECT(A73&amp;ROW())=B95,INDIRECT(A96&amp;ROW())=C95),1,IF(AND(INDIRECT(A73&amp;ROW())=B95,INDIRECT(A96&amp;ROW())=C96),1,0))</f>
        <v>0</v>
      </c>
      <c r="K589">
        <f ca="1">DAYS360(INDIRECT(C68&amp;ROW()),TODAY())</f>
        <v>669</v>
      </c>
      <c r="L589">
        <f ca="1">DAYS360(INDIRECT(C69&amp;ROW()),TODAY())</f>
        <v>693</v>
      </c>
      <c r="M589">
        <f ca="1">HYPERLINK(CONCATENATE("https://bugzilla.houston.hp.com:1181/bugzilla/show_bug.cgi?id=",INDIRECT(C70&amp;ROW())),INDIRECT(C70&amp;ROW()))</f>
        <v>63165</v>
      </c>
      <c r="N589">
        <v>63165</v>
      </c>
      <c r="O589" t="s">
        <v>203</v>
      </c>
      <c r="P589" t="s">
        <v>1146</v>
      </c>
      <c r="Q589" t="s">
        <v>16</v>
      </c>
      <c r="R589" t="s">
        <v>248</v>
      </c>
      <c r="S589" t="s">
        <v>204</v>
      </c>
      <c r="U589" s="6">
        <v>42178.090636574074</v>
      </c>
      <c r="V589" t="s">
        <v>35</v>
      </c>
      <c r="W589" t="s">
        <v>248</v>
      </c>
      <c r="X589" s="6">
        <v>42153.396770833337</v>
      </c>
      <c r="Y589" t="s">
        <v>788</v>
      </c>
      <c r="AB589" t="s">
        <v>201</v>
      </c>
      <c r="AC589" t="s">
        <v>247</v>
      </c>
      <c r="AD589" t="s">
        <v>220</v>
      </c>
      <c r="AE589" t="s">
        <v>219</v>
      </c>
      <c r="AG589" t="s">
        <v>121</v>
      </c>
      <c r="AH589" t="s">
        <v>327</v>
      </c>
      <c r="AI589" t="s">
        <v>121</v>
      </c>
      <c r="AJ589" t="s">
        <v>717</v>
      </c>
      <c r="AK589" t="s">
        <v>121</v>
      </c>
    </row>
    <row r="590" spans="9:37" x14ac:dyDescent="0.3">
      <c r="I590">
        <f ca="1">IF(OR(INDIRECT(A73&amp;ROW())=B93,INDIRECT(A73&amp;ROW())=B94),1,IF(AND(INDIRECT(A73&amp;ROW())=B95,INDIRECT(A96&amp;ROW())=C93),1,IF(AND(INDIRECT(A73&amp;ROW())=B95,INDIRECT(A96&amp;ROW())=C94),1,0)))</f>
        <v>1</v>
      </c>
      <c r="J590">
        <f ca="1">IF(AND(INDIRECT(A73&amp;ROW())=B95,INDIRECT(A96&amp;ROW())=C95),1,IF(AND(INDIRECT(A73&amp;ROW())=B95,INDIRECT(A96&amp;ROW())=C96),1,0))</f>
        <v>0</v>
      </c>
      <c r="K590">
        <f ca="1">DAYS360(INDIRECT(C68&amp;ROW()),TODAY())</f>
        <v>676</v>
      </c>
      <c r="L590">
        <f ca="1">DAYS360(INDIRECT(C69&amp;ROW()),TODAY())</f>
        <v>693</v>
      </c>
      <c r="M590">
        <f ca="1">HYPERLINK(CONCATENATE("https://bugzilla.houston.hp.com:1181/bugzilla/show_bug.cgi?id=",INDIRECT(C70&amp;ROW())),INDIRECT(C70&amp;ROW()))</f>
        <v>63170</v>
      </c>
      <c r="N590">
        <v>63170</v>
      </c>
      <c r="O590" t="s">
        <v>66</v>
      </c>
      <c r="P590" t="s">
        <v>1145</v>
      </c>
      <c r="Q590" t="s">
        <v>39</v>
      </c>
      <c r="R590" t="s">
        <v>579</v>
      </c>
      <c r="S590" t="s">
        <v>552</v>
      </c>
      <c r="U590" s="6">
        <v>42171.567754629628</v>
      </c>
      <c r="V590" t="s">
        <v>18</v>
      </c>
      <c r="W590" t="s">
        <v>783</v>
      </c>
      <c r="X590" s="6">
        <v>42153.40253472222</v>
      </c>
      <c r="Y590" t="s">
        <v>119</v>
      </c>
      <c r="AB590" t="s">
        <v>201</v>
      </c>
      <c r="AC590" t="s">
        <v>247</v>
      </c>
      <c r="AD590" t="s">
        <v>220</v>
      </c>
      <c r="AE590" t="s">
        <v>224</v>
      </c>
      <c r="AG590" t="s">
        <v>121</v>
      </c>
      <c r="AH590" t="s">
        <v>327</v>
      </c>
      <c r="AI590" t="s">
        <v>121</v>
      </c>
      <c r="AJ590" t="s">
        <v>715</v>
      </c>
      <c r="AK590" t="s">
        <v>121</v>
      </c>
    </row>
    <row r="591" spans="9:37" x14ac:dyDescent="0.3">
      <c r="I591">
        <f ca="1">IF(OR(INDIRECT(A73&amp;ROW())=B93,INDIRECT(A73&amp;ROW())=B94),1,IF(AND(INDIRECT(A73&amp;ROW())=B95,INDIRECT(A96&amp;ROW())=C93),1,IF(AND(INDIRECT(A73&amp;ROW())=B95,INDIRECT(A96&amp;ROW())=C94),1,0)))</f>
        <v>1</v>
      </c>
      <c r="J591">
        <f ca="1">IF(AND(INDIRECT(A73&amp;ROW())=B95,INDIRECT(A96&amp;ROW())=C95),1,IF(AND(INDIRECT(A73&amp;ROW())=B95,INDIRECT(A96&amp;ROW())=C96),1,0))</f>
        <v>0</v>
      </c>
      <c r="K591">
        <f ca="1">DAYS360(INDIRECT(C68&amp;ROW()),TODAY())</f>
        <v>676</v>
      </c>
      <c r="L591">
        <f ca="1">DAYS360(INDIRECT(C69&amp;ROW()),TODAY())</f>
        <v>693</v>
      </c>
      <c r="M591">
        <f ca="1">HYPERLINK(CONCATENATE("https://bugzilla.houston.hp.com:1181/bugzilla/show_bug.cgi?id=",INDIRECT(C70&amp;ROW())),INDIRECT(C70&amp;ROW()))</f>
        <v>63172</v>
      </c>
      <c r="N591">
        <v>63172</v>
      </c>
      <c r="O591" t="s">
        <v>66</v>
      </c>
      <c r="P591" t="s">
        <v>1143</v>
      </c>
      <c r="Q591" t="s">
        <v>39</v>
      </c>
      <c r="R591" t="s">
        <v>248</v>
      </c>
      <c r="S591" t="s">
        <v>552</v>
      </c>
      <c r="U591" s="6">
        <v>42171.56659722222</v>
      </c>
      <c r="V591" t="s">
        <v>18</v>
      </c>
      <c r="W591" t="s">
        <v>783</v>
      </c>
      <c r="X591" s="6">
        <v>42153.402638888889</v>
      </c>
      <c r="Y591" t="s">
        <v>119</v>
      </c>
      <c r="AB591" t="s">
        <v>201</v>
      </c>
      <c r="AC591" t="s">
        <v>247</v>
      </c>
      <c r="AD591" t="s">
        <v>220</v>
      </c>
      <c r="AE591" t="s">
        <v>224</v>
      </c>
      <c r="AG591" t="s">
        <v>121</v>
      </c>
      <c r="AH591" t="s">
        <v>327</v>
      </c>
      <c r="AI591" t="s">
        <v>121</v>
      </c>
      <c r="AJ591" t="s">
        <v>715</v>
      </c>
      <c r="AK591" t="s">
        <v>121</v>
      </c>
    </row>
    <row r="592" spans="9:37" x14ac:dyDescent="0.3">
      <c r="I592">
        <f ca="1">IF(OR(INDIRECT(A73&amp;ROW())=B93,INDIRECT(A73&amp;ROW())=B94),1,IF(AND(INDIRECT(A73&amp;ROW())=B95,INDIRECT(A96&amp;ROW())=C93),1,IF(AND(INDIRECT(A73&amp;ROW())=B95,INDIRECT(A96&amp;ROW())=C94),1,0)))</f>
        <v>0</v>
      </c>
      <c r="J592">
        <f ca="1">IF(AND(INDIRECT(A73&amp;ROW())=B95,INDIRECT(A96&amp;ROW())=C95),1,IF(AND(INDIRECT(A73&amp;ROW())=B95,INDIRECT(A96&amp;ROW())=C96),1,0))</f>
        <v>1</v>
      </c>
      <c r="K592">
        <f ca="1">DAYS360(INDIRECT(C68&amp;ROW()),TODAY())</f>
        <v>676</v>
      </c>
      <c r="L592">
        <f ca="1">DAYS360(INDIRECT(C69&amp;ROW()),TODAY())</f>
        <v>693</v>
      </c>
      <c r="M592">
        <f ca="1">HYPERLINK(CONCATENATE("https://bugzilla.houston.hp.com:1181/bugzilla/show_bug.cgi?id=",INDIRECT(C70&amp;ROW())),INDIRECT(C70&amp;ROW()))</f>
        <v>63173</v>
      </c>
      <c r="N592">
        <v>63173</v>
      </c>
      <c r="O592" t="s">
        <v>66</v>
      </c>
      <c r="P592" t="s">
        <v>1142</v>
      </c>
      <c r="Q592" t="s">
        <v>25</v>
      </c>
      <c r="R592" t="s">
        <v>579</v>
      </c>
      <c r="S592" t="s">
        <v>552</v>
      </c>
      <c r="U592" s="6">
        <v>42171.565740740742</v>
      </c>
      <c r="V592" t="s">
        <v>18</v>
      </c>
      <c r="W592" t="s">
        <v>783</v>
      </c>
      <c r="X592" s="6">
        <v>42153.402858796297</v>
      </c>
      <c r="Y592" t="s">
        <v>119</v>
      </c>
      <c r="AB592" t="s">
        <v>201</v>
      </c>
      <c r="AC592" t="s">
        <v>247</v>
      </c>
      <c r="AD592" t="s">
        <v>222</v>
      </c>
      <c r="AE592" t="s">
        <v>225</v>
      </c>
      <c r="AG592" t="s">
        <v>121</v>
      </c>
      <c r="AH592" t="s">
        <v>327</v>
      </c>
      <c r="AI592" t="s">
        <v>121</v>
      </c>
      <c r="AJ592" t="s">
        <v>716</v>
      </c>
      <c r="AK592" t="s">
        <v>121</v>
      </c>
    </row>
    <row r="593" spans="9:37" x14ac:dyDescent="0.3">
      <c r="I593">
        <f ca="1">IF(OR(INDIRECT(A73&amp;ROW())=B93,INDIRECT(A73&amp;ROW())=B94),1,IF(AND(INDIRECT(A73&amp;ROW())=B95,INDIRECT(A96&amp;ROW())=C93),1,IF(AND(INDIRECT(A73&amp;ROW())=B95,INDIRECT(A96&amp;ROW())=C94),1,0)))</f>
        <v>0</v>
      </c>
      <c r="J593">
        <f ca="1">IF(AND(INDIRECT(A73&amp;ROW())=B95,INDIRECT(A96&amp;ROW())=C95),1,IF(AND(INDIRECT(A73&amp;ROW())=B95,INDIRECT(A96&amp;ROW())=C96),1,0))</f>
        <v>1</v>
      </c>
      <c r="K593">
        <f ca="1">DAYS360(INDIRECT(C68&amp;ROW()),TODAY())</f>
        <v>676</v>
      </c>
      <c r="L593">
        <f ca="1">DAYS360(INDIRECT(C69&amp;ROW()),TODAY())</f>
        <v>693</v>
      </c>
      <c r="M593">
        <f ca="1">HYPERLINK(CONCATENATE("https://bugzilla.houston.hp.com:1181/bugzilla/show_bug.cgi?id=",INDIRECT(C70&amp;ROW())),INDIRECT(C70&amp;ROW()))</f>
        <v>63174</v>
      </c>
      <c r="N593">
        <v>63174</v>
      </c>
      <c r="O593" t="s">
        <v>66</v>
      </c>
      <c r="P593" t="s">
        <v>1141</v>
      </c>
      <c r="Q593" t="s">
        <v>25</v>
      </c>
      <c r="R593" t="s">
        <v>783</v>
      </c>
      <c r="S593" t="s">
        <v>552</v>
      </c>
      <c r="U593" s="6">
        <v>42171.565034722225</v>
      </c>
      <c r="V593" t="s">
        <v>18</v>
      </c>
      <c r="W593" t="s">
        <v>783</v>
      </c>
      <c r="X593" s="6">
        <v>42153.402905092589</v>
      </c>
      <c r="Y593" t="s">
        <v>119</v>
      </c>
      <c r="AB593" t="s">
        <v>201</v>
      </c>
      <c r="AC593" t="s">
        <v>247</v>
      </c>
      <c r="AD593" t="s">
        <v>222</v>
      </c>
      <c r="AE593" t="s">
        <v>225</v>
      </c>
      <c r="AG593" t="s">
        <v>121</v>
      </c>
      <c r="AH593" t="s">
        <v>327</v>
      </c>
      <c r="AI593" t="s">
        <v>121</v>
      </c>
      <c r="AJ593" t="s">
        <v>716</v>
      </c>
      <c r="AK593" t="s">
        <v>121</v>
      </c>
    </row>
    <row r="594" spans="9:37" x14ac:dyDescent="0.3">
      <c r="I594">
        <f ca="1">IF(OR(INDIRECT(A73&amp;ROW())=B93,INDIRECT(A73&amp;ROW())=B94),1,IF(AND(INDIRECT(A73&amp;ROW())=B95,INDIRECT(A96&amp;ROW())=C93),1,IF(AND(INDIRECT(A73&amp;ROW())=B95,INDIRECT(A96&amp;ROW())=C94),1,0)))</f>
        <v>0</v>
      </c>
      <c r="J594">
        <f ca="1">IF(AND(INDIRECT(A73&amp;ROW())=B95,INDIRECT(A96&amp;ROW())=C95),1,IF(AND(INDIRECT(A73&amp;ROW())=B95,INDIRECT(A96&amp;ROW())=C96),1,0))</f>
        <v>1</v>
      </c>
      <c r="K594">
        <f ca="1">DAYS360(INDIRECT(C68&amp;ROW()),TODAY())</f>
        <v>676</v>
      </c>
      <c r="L594">
        <f ca="1">DAYS360(INDIRECT(C69&amp;ROW()),TODAY())</f>
        <v>693</v>
      </c>
      <c r="M594">
        <f ca="1">HYPERLINK(CONCATENATE("https://bugzilla.houston.hp.com:1181/bugzilla/show_bug.cgi?id=",INDIRECT(C70&amp;ROW())),INDIRECT(C70&amp;ROW()))</f>
        <v>63175</v>
      </c>
      <c r="N594">
        <v>63175</v>
      </c>
      <c r="O594" t="s">
        <v>66</v>
      </c>
      <c r="P594" t="s">
        <v>1140</v>
      </c>
      <c r="Q594" t="s">
        <v>25</v>
      </c>
      <c r="R594" t="s">
        <v>248</v>
      </c>
      <c r="S594" t="s">
        <v>552</v>
      </c>
      <c r="U594" s="6">
        <v>42171.564143518517</v>
      </c>
      <c r="V594" t="s">
        <v>18</v>
      </c>
      <c r="W594" t="s">
        <v>783</v>
      </c>
      <c r="X594" s="6">
        <v>42153.402962962966</v>
      </c>
      <c r="Y594" t="s">
        <v>119</v>
      </c>
      <c r="AB594" t="s">
        <v>201</v>
      </c>
      <c r="AC594" t="s">
        <v>247</v>
      </c>
      <c r="AD594" t="s">
        <v>222</v>
      </c>
      <c r="AE594" t="s">
        <v>225</v>
      </c>
      <c r="AG594" t="s">
        <v>121</v>
      </c>
      <c r="AH594" t="s">
        <v>327</v>
      </c>
      <c r="AI594" t="s">
        <v>121</v>
      </c>
      <c r="AJ594" t="s">
        <v>716</v>
      </c>
      <c r="AK594" t="s">
        <v>121</v>
      </c>
    </row>
    <row r="595" spans="9:37" x14ac:dyDescent="0.3">
      <c r="I595">
        <f ca="1">IF(OR(INDIRECT(A73&amp;ROW())=B93,INDIRECT(A73&amp;ROW())=B94),1,IF(AND(INDIRECT(A73&amp;ROW())=B95,INDIRECT(A96&amp;ROW())=C93),1,IF(AND(INDIRECT(A73&amp;ROW())=B95,INDIRECT(A96&amp;ROW())=C94),1,0)))</f>
        <v>1</v>
      </c>
      <c r="J595">
        <f ca="1">IF(AND(INDIRECT(A73&amp;ROW())=B95,INDIRECT(A96&amp;ROW())=C95),1,IF(AND(INDIRECT(A73&amp;ROW())=B95,INDIRECT(A96&amp;ROW())=C96),1,0))</f>
        <v>0</v>
      </c>
      <c r="K595">
        <f ca="1">DAYS360(INDIRECT(C68&amp;ROW()),TODAY())</f>
        <v>687</v>
      </c>
      <c r="L595">
        <f ca="1">DAYS360(INDIRECT(C69&amp;ROW()),TODAY())</f>
        <v>693</v>
      </c>
      <c r="M595">
        <f ca="1">HYPERLINK(CONCATENATE("https://bugzilla.houston.hp.com:1181/bugzilla/show_bug.cgi?id=",INDIRECT(C70&amp;ROW())),INDIRECT(C70&amp;ROW()))</f>
        <v>63176</v>
      </c>
      <c r="N595">
        <v>63176</v>
      </c>
      <c r="O595" t="s">
        <v>523</v>
      </c>
      <c r="P595" t="s">
        <v>1139</v>
      </c>
      <c r="Q595" t="s">
        <v>39</v>
      </c>
      <c r="R595" t="s">
        <v>248</v>
      </c>
      <c r="S595" t="s">
        <v>552</v>
      </c>
      <c r="U595" s="6">
        <v>42160.408321759256</v>
      </c>
      <c r="V595" t="s">
        <v>18</v>
      </c>
      <c r="W595" t="s">
        <v>248</v>
      </c>
      <c r="X595" s="6">
        <v>42153.413738425923</v>
      </c>
      <c r="Y595" t="s">
        <v>793</v>
      </c>
      <c r="AB595" t="s">
        <v>199</v>
      </c>
      <c r="AC595" t="s">
        <v>1124</v>
      </c>
      <c r="AD595" t="s">
        <v>222</v>
      </c>
      <c r="AE595" t="s">
        <v>221</v>
      </c>
      <c r="AG595" t="s">
        <v>121</v>
      </c>
      <c r="AH595" t="s">
        <v>327</v>
      </c>
      <c r="AI595" t="s">
        <v>121</v>
      </c>
      <c r="AJ595" t="s">
        <v>715</v>
      </c>
      <c r="AK595" t="s">
        <v>121</v>
      </c>
    </row>
    <row r="596" spans="9:37" x14ac:dyDescent="0.3">
      <c r="I596">
        <f ca="1">IF(OR(INDIRECT(A73&amp;ROW())=B93,INDIRECT(A73&amp;ROW())=B94),1,IF(AND(INDIRECT(A73&amp;ROW())=B95,INDIRECT(A96&amp;ROW())=C93),1,IF(AND(INDIRECT(A73&amp;ROW())=B95,INDIRECT(A96&amp;ROW())=C94),1,0)))</f>
        <v>1</v>
      </c>
      <c r="J596">
        <f ca="1">IF(AND(INDIRECT(A73&amp;ROW())=B95,INDIRECT(A96&amp;ROW())=C95),1,IF(AND(INDIRECT(A73&amp;ROW())=B95,INDIRECT(A96&amp;ROW())=C96),1,0))</f>
        <v>0</v>
      </c>
      <c r="K596">
        <f ca="1">DAYS360(INDIRECT(C68&amp;ROW()),TODAY())</f>
        <v>668</v>
      </c>
      <c r="L596">
        <f ca="1">DAYS360(INDIRECT(C69&amp;ROW()),TODAY())</f>
        <v>693</v>
      </c>
      <c r="M596">
        <f ca="1">HYPERLINK(CONCATENATE("https://bugzilla.houston.hp.com:1181/bugzilla/show_bug.cgi?id=",INDIRECT(C70&amp;ROW())),INDIRECT(C70&amp;ROW()))</f>
        <v>63194</v>
      </c>
      <c r="N596">
        <v>63194</v>
      </c>
      <c r="O596" t="s">
        <v>53</v>
      </c>
      <c r="P596" t="s">
        <v>1197</v>
      </c>
      <c r="Q596" t="s">
        <v>39</v>
      </c>
      <c r="R596" t="s">
        <v>251</v>
      </c>
      <c r="S596" t="s">
        <v>177</v>
      </c>
      <c r="U596" s="6">
        <v>42179.789351851854</v>
      </c>
      <c r="V596" t="s">
        <v>18</v>
      </c>
      <c r="W596" t="s">
        <v>783</v>
      </c>
      <c r="X596" s="6">
        <v>42153.744305555556</v>
      </c>
      <c r="Y596" t="s">
        <v>245</v>
      </c>
      <c r="AB596" t="s">
        <v>201</v>
      </c>
      <c r="AC596" t="s">
        <v>247</v>
      </c>
      <c r="AD596" t="s">
        <v>220</v>
      </c>
      <c r="AE596" t="s">
        <v>219</v>
      </c>
      <c r="AG596" t="s">
        <v>121</v>
      </c>
      <c r="AH596" t="s">
        <v>327</v>
      </c>
      <c r="AI596" t="s">
        <v>121</v>
      </c>
      <c r="AJ596" t="s">
        <v>715</v>
      </c>
      <c r="AK596" t="s">
        <v>121</v>
      </c>
    </row>
    <row r="597" spans="9:37" x14ac:dyDescent="0.3">
      <c r="I597">
        <f ca="1">IF(OR(INDIRECT(A73&amp;ROW())=B93,INDIRECT(A73&amp;ROW())=B94),1,IF(AND(INDIRECT(A73&amp;ROW())=B95,INDIRECT(A96&amp;ROW())=C93),1,IF(AND(INDIRECT(A73&amp;ROW())=B95,INDIRECT(A96&amp;ROW())=C94),1,0)))</f>
        <v>1</v>
      </c>
      <c r="J597">
        <f ca="1">IF(AND(INDIRECT(A73&amp;ROW())=B95,INDIRECT(A96&amp;ROW())=C95),1,IF(AND(INDIRECT(A73&amp;ROW())=B95,INDIRECT(A96&amp;ROW())=C96),1,0))</f>
        <v>0</v>
      </c>
      <c r="K597">
        <f ca="1">DAYS360(INDIRECT(C68&amp;ROW()),TODAY())</f>
        <v>666</v>
      </c>
      <c r="L597">
        <f ca="1">DAYS360(INDIRECT(C69&amp;ROW()),TODAY())</f>
        <v>693</v>
      </c>
      <c r="M597">
        <f ca="1">HYPERLINK(CONCATENATE("https://bugzilla.houston.hp.com:1181/bugzilla/show_bug.cgi?id=",INDIRECT(C70&amp;ROW())),INDIRECT(C70&amp;ROW()))</f>
        <v>63195</v>
      </c>
      <c r="N597">
        <v>63195</v>
      </c>
      <c r="O597" t="s">
        <v>53</v>
      </c>
      <c r="P597" t="s">
        <v>1136</v>
      </c>
      <c r="Q597" t="s">
        <v>39</v>
      </c>
      <c r="R597" t="s">
        <v>783</v>
      </c>
      <c r="S597" t="s">
        <v>552</v>
      </c>
      <c r="T597" t="s">
        <v>1159</v>
      </c>
      <c r="U597" s="6">
        <v>42181.303368055553</v>
      </c>
      <c r="V597" t="s">
        <v>18</v>
      </c>
      <c r="W597" t="s">
        <v>783</v>
      </c>
      <c r="X597" s="6">
        <v>42153.756840277776</v>
      </c>
      <c r="Y597" t="s">
        <v>245</v>
      </c>
      <c r="AB597" t="s">
        <v>201</v>
      </c>
      <c r="AC597" t="s">
        <v>247</v>
      </c>
      <c r="AD597" t="s">
        <v>220</v>
      </c>
      <c r="AE597" t="s">
        <v>219</v>
      </c>
      <c r="AG597" t="s">
        <v>337</v>
      </c>
      <c r="AH597" t="s">
        <v>327</v>
      </c>
      <c r="AI597" t="s">
        <v>121</v>
      </c>
      <c r="AJ597" t="s">
        <v>715</v>
      </c>
      <c r="AK597" t="s">
        <v>121</v>
      </c>
    </row>
    <row r="598" spans="9:37" x14ac:dyDescent="0.3">
      <c r="I598">
        <f ca="1">IF(OR(INDIRECT(A73&amp;ROW())=B93,INDIRECT(A73&amp;ROW())=B94),1,IF(AND(INDIRECT(A73&amp;ROW())=B95,INDIRECT(A96&amp;ROW())=C93),1,IF(AND(INDIRECT(A73&amp;ROW())=B95,INDIRECT(A96&amp;ROW())=C94),1,0)))</f>
        <v>1</v>
      </c>
      <c r="J598">
        <f ca="1">IF(AND(INDIRECT(A73&amp;ROW())=B95,INDIRECT(A96&amp;ROW())=C95),1,IF(AND(INDIRECT(A73&amp;ROW())=B95,INDIRECT(A96&amp;ROW())=C96),1,0))</f>
        <v>0</v>
      </c>
      <c r="K598">
        <f ca="1">DAYS360(INDIRECT(C68&amp;ROW()),TODAY())</f>
        <v>693</v>
      </c>
      <c r="L598">
        <f ca="1">DAYS360(INDIRECT(C69&amp;ROW()),TODAY())</f>
        <v>693</v>
      </c>
      <c r="M598">
        <f ca="1">HYPERLINK(CONCATENATE("https://bugzilla.houston.hp.com:1181/bugzilla/show_bug.cgi?id=",INDIRECT(C70&amp;ROW())),INDIRECT(C70&amp;ROW()))</f>
        <v>63196</v>
      </c>
      <c r="N598">
        <v>63196</v>
      </c>
      <c r="O598" t="s">
        <v>53</v>
      </c>
      <c r="P598" t="s">
        <v>1135</v>
      </c>
      <c r="Q598" t="s">
        <v>39</v>
      </c>
      <c r="R598" t="s">
        <v>248</v>
      </c>
      <c r="S598" t="s">
        <v>552</v>
      </c>
      <c r="U598" s="6">
        <v>42153.776805555557</v>
      </c>
      <c r="V598" t="s">
        <v>18</v>
      </c>
      <c r="W598" t="s">
        <v>783</v>
      </c>
      <c r="X598" s="6">
        <v>42153.756909722222</v>
      </c>
      <c r="Y598" t="s">
        <v>245</v>
      </c>
      <c r="AB598" t="s">
        <v>201</v>
      </c>
      <c r="AC598" t="s">
        <v>247</v>
      </c>
      <c r="AD598" t="s">
        <v>220</v>
      </c>
      <c r="AE598" t="s">
        <v>219</v>
      </c>
      <c r="AG598" t="s">
        <v>121</v>
      </c>
      <c r="AH598" t="s">
        <v>327</v>
      </c>
      <c r="AI598" t="s">
        <v>121</v>
      </c>
      <c r="AJ598" t="s">
        <v>715</v>
      </c>
      <c r="AK598" t="s">
        <v>121</v>
      </c>
    </row>
    <row r="599" spans="9:37" x14ac:dyDescent="0.3">
      <c r="I599">
        <f ca="1">IF(OR(INDIRECT(A73&amp;ROW())=B93,INDIRECT(A73&amp;ROW())=B94),1,IF(AND(INDIRECT(A73&amp;ROW())=B95,INDIRECT(A96&amp;ROW())=C93),1,IF(AND(INDIRECT(A73&amp;ROW())=B95,INDIRECT(A96&amp;ROW())=C94),1,0)))</f>
        <v>1</v>
      </c>
      <c r="J599">
        <f ca="1">IF(AND(INDIRECT(A73&amp;ROW())=B95,INDIRECT(A96&amp;ROW())=C95),1,IF(AND(INDIRECT(A73&amp;ROW())=B95,INDIRECT(A96&amp;ROW())=C96),1,0))</f>
        <v>0</v>
      </c>
      <c r="K599">
        <f ca="1">DAYS360(INDIRECT(C68&amp;ROW()),TODAY())</f>
        <v>666</v>
      </c>
      <c r="L599">
        <f ca="1">DAYS360(INDIRECT(C69&amp;ROW()),TODAY())</f>
        <v>693</v>
      </c>
      <c r="M599">
        <f ca="1">HYPERLINK(CONCATENATE("https://bugzilla.houston.hp.com:1181/bugzilla/show_bug.cgi?id=",INDIRECT(C70&amp;ROW())),INDIRECT(C70&amp;ROW()))</f>
        <v>63197</v>
      </c>
      <c r="N599">
        <v>63197</v>
      </c>
      <c r="O599" t="s">
        <v>241</v>
      </c>
      <c r="P599" t="s">
        <v>1151</v>
      </c>
      <c r="Q599" t="s">
        <v>39</v>
      </c>
      <c r="R599" t="s">
        <v>251</v>
      </c>
      <c r="S599" t="s">
        <v>177</v>
      </c>
      <c r="U599" s="6">
        <v>42181.376655092594</v>
      </c>
      <c r="V599" t="s">
        <v>18</v>
      </c>
      <c r="W599" t="s">
        <v>764</v>
      </c>
      <c r="X599" s="6">
        <v>42153.768229166664</v>
      </c>
      <c r="Y599" t="s">
        <v>245</v>
      </c>
      <c r="AB599" t="s">
        <v>199</v>
      </c>
      <c r="AC599" t="s">
        <v>247</v>
      </c>
      <c r="AD599" t="s">
        <v>227</v>
      </c>
      <c r="AE599" t="s">
        <v>370</v>
      </c>
      <c r="AG599" t="s">
        <v>121</v>
      </c>
      <c r="AH599" t="s">
        <v>327</v>
      </c>
      <c r="AI599" t="s">
        <v>121</v>
      </c>
      <c r="AJ599" t="s">
        <v>715</v>
      </c>
      <c r="AK599" t="s">
        <v>121</v>
      </c>
    </row>
    <row r="600" spans="9:37" x14ac:dyDescent="0.3">
      <c r="I600">
        <f ca="1">IF(OR(INDIRECT(A73&amp;ROW())=B93,INDIRECT(A73&amp;ROW())=B94),1,IF(AND(INDIRECT(A73&amp;ROW())=B95,INDIRECT(A96&amp;ROW())=C93),1,IF(AND(INDIRECT(A73&amp;ROW())=B95,INDIRECT(A96&amp;ROW())=C94),1,0)))</f>
        <v>1</v>
      </c>
      <c r="J600">
        <f ca="1">IF(AND(INDIRECT(A73&amp;ROW())=B95,INDIRECT(A96&amp;ROW())=C95),1,IF(AND(INDIRECT(A73&amp;ROW())=B95,INDIRECT(A96&amp;ROW())=C96),1,0))</f>
        <v>0</v>
      </c>
      <c r="K600">
        <f ca="1">DAYS360(INDIRECT(C68&amp;ROW()),TODAY())</f>
        <v>692</v>
      </c>
      <c r="L600">
        <f ca="1">DAYS360(INDIRECT(C69&amp;ROW()),TODAY())</f>
        <v>692</v>
      </c>
      <c r="M600">
        <f ca="1">HYPERLINK(CONCATENATE("https://bugzilla.houston.hp.com:1181/bugzilla/show_bug.cgi?id=",INDIRECT(C70&amp;ROW())),INDIRECT(C70&amp;ROW()))</f>
        <v>63199</v>
      </c>
      <c r="N600">
        <v>63199</v>
      </c>
      <c r="O600" t="s">
        <v>241</v>
      </c>
      <c r="P600" t="s">
        <v>1150</v>
      </c>
      <c r="Q600" t="s">
        <v>39</v>
      </c>
      <c r="R600" t="s">
        <v>579</v>
      </c>
      <c r="S600" t="s">
        <v>552</v>
      </c>
      <c r="U600" s="6">
        <v>42154.914398148147</v>
      </c>
      <c r="V600" t="s">
        <v>18</v>
      </c>
      <c r="W600" t="s">
        <v>764</v>
      </c>
      <c r="X600" s="6">
        <v>42154.016817129632</v>
      </c>
      <c r="Y600" t="s">
        <v>245</v>
      </c>
      <c r="AB600" t="s">
        <v>199</v>
      </c>
      <c r="AC600" t="s">
        <v>247</v>
      </c>
      <c r="AD600" t="s">
        <v>227</v>
      </c>
      <c r="AE600" t="s">
        <v>370</v>
      </c>
      <c r="AG600" t="s">
        <v>121</v>
      </c>
      <c r="AH600" t="s">
        <v>327</v>
      </c>
      <c r="AI600" t="s">
        <v>121</v>
      </c>
      <c r="AJ600" t="s">
        <v>715</v>
      </c>
      <c r="AK600" t="s">
        <v>121</v>
      </c>
    </row>
    <row r="601" spans="9:37" x14ac:dyDescent="0.3">
      <c r="I601">
        <f ca="1">IF(OR(INDIRECT(A73&amp;ROW())=B93,INDIRECT(A73&amp;ROW())=B94),1,IF(AND(INDIRECT(A73&amp;ROW())=B95,INDIRECT(A96&amp;ROW())=C93),1,IF(AND(INDIRECT(A73&amp;ROW())=B95,INDIRECT(A96&amp;ROW())=C94),1,0)))</f>
        <v>1</v>
      </c>
      <c r="J601">
        <f ca="1">IF(AND(INDIRECT(A73&amp;ROW())=B95,INDIRECT(A96&amp;ROW())=C95),1,IF(AND(INDIRECT(A73&amp;ROW())=B95,INDIRECT(A96&amp;ROW())=C96),1,0))</f>
        <v>0</v>
      </c>
      <c r="K601">
        <f ca="1">DAYS360(INDIRECT(C68&amp;ROW()),TODAY())</f>
        <v>692</v>
      </c>
      <c r="L601">
        <f ca="1">DAYS360(INDIRECT(C69&amp;ROW()),TODAY())</f>
        <v>692</v>
      </c>
      <c r="M601">
        <f ca="1">HYPERLINK(CONCATENATE("https://bugzilla.houston.hp.com:1181/bugzilla/show_bug.cgi?id=",INDIRECT(C70&amp;ROW())),INDIRECT(C70&amp;ROW()))</f>
        <v>63200</v>
      </c>
      <c r="N601">
        <v>63200</v>
      </c>
      <c r="O601" t="s">
        <v>241</v>
      </c>
      <c r="P601" t="s">
        <v>1149</v>
      </c>
      <c r="Q601" t="s">
        <v>39</v>
      </c>
      <c r="R601" t="s">
        <v>248</v>
      </c>
      <c r="S601" t="s">
        <v>552</v>
      </c>
      <c r="U601" s="6">
        <v>42154.914386574077</v>
      </c>
      <c r="V601" t="s">
        <v>18</v>
      </c>
      <c r="W601" t="s">
        <v>764</v>
      </c>
      <c r="X601" s="6">
        <v>42154.016875000001</v>
      </c>
      <c r="Y601" t="s">
        <v>245</v>
      </c>
      <c r="AB601" t="s">
        <v>199</v>
      </c>
      <c r="AC601" t="s">
        <v>247</v>
      </c>
      <c r="AD601" t="s">
        <v>227</v>
      </c>
      <c r="AE601" t="s">
        <v>370</v>
      </c>
      <c r="AG601" t="s">
        <v>121</v>
      </c>
      <c r="AH601" t="s">
        <v>327</v>
      </c>
      <c r="AI601" t="s">
        <v>121</v>
      </c>
      <c r="AJ601" t="s">
        <v>715</v>
      </c>
      <c r="AK601" t="s">
        <v>121</v>
      </c>
    </row>
    <row r="602" spans="9:37" x14ac:dyDescent="0.3">
      <c r="I602">
        <f ca="1">IF(OR(INDIRECT(A73&amp;ROW())=B93,INDIRECT(A73&amp;ROW())=B94),1,IF(AND(INDIRECT(A73&amp;ROW())=B95,INDIRECT(A96&amp;ROW())=C93),1,IF(AND(INDIRECT(A73&amp;ROW())=B95,INDIRECT(A96&amp;ROW())=C94),1,0)))</f>
        <v>1</v>
      </c>
      <c r="J602">
        <f ca="1">IF(AND(INDIRECT(A73&amp;ROW())=B95,INDIRECT(A96&amp;ROW())=C95),1,IF(AND(INDIRECT(A73&amp;ROW())=B95,INDIRECT(A96&amp;ROW())=C96),1,0))</f>
        <v>0</v>
      </c>
      <c r="K602">
        <f ca="1">DAYS360(INDIRECT(C68&amp;ROW()),TODAY())</f>
        <v>668</v>
      </c>
      <c r="L602">
        <f ca="1">DAYS360(INDIRECT(C69&amp;ROW()),TODAY())</f>
        <v>692</v>
      </c>
      <c r="M602">
        <f ca="1">HYPERLINK(CONCATENATE("https://bugzilla.houston.hp.com:1181/bugzilla/show_bug.cgi?id=",INDIRECT(C70&amp;ROW())),INDIRECT(C70&amp;ROW()))</f>
        <v>63201</v>
      </c>
      <c r="N602">
        <v>63201</v>
      </c>
      <c r="O602" t="s">
        <v>241</v>
      </c>
      <c r="P602" t="s">
        <v>1316</v>
      </c>
      <c r="Q602" t="s">
        <v>39</v>
      </c>
      <c r="R602" t="s">
        <v>783</v>
      </c>
      <c r="S602" t="s">
        <v>552</v>
      </c>
      <c r="U602" s="6">
        <v>42179.473611111112</v>
      </c>
      <c r="V602" t="s">
        <v>40</v>
      </c>
      <c r="W602" t="s">
        <v>764</v>
      </c>
      <c r="X602" s="6">
        <v>42154.016921296294</v>
      </c>
      <c r="Y602" t="s">
        <v>245</v>
      </c>
      <c r="AB602" t="s">
        <v>199</v>
      </c>
      <c r="AC602" t="s">
        <v>247</v>
      </c>
      <c r="AD602" t="s">
        <v>227</v>
      </c>
      <c r="AE602" t="s">
        <v>370</v>
      </c>
      <c r="AG602" t="s">
        <v>121</v>
      </c>
      <c r="AH602" t="s">
        <v>327</v>
      </c>
      <c r="AI602" t="s">
        <v>121</v>
      </c>
      <c r="AJ602" t="s">
        <v>715</v>
      </c>
      <c r="AK602" t="s">
        <v>121</v>
      </c>
    </row>
    <row r="603" spans="9:37" x14ac:dyDescent="0.3">
      <c r="I603">
        <f ca="1">IF(OR(INDIRECT(A73&amp;ROW())=B93,INDIRECT(A73&amp;ROW())=B94),1,IF(AND(INDIRECT(A73&amp;ROW())=B95,INDIRECT(A96&amp;ROW())=C93),1,IF(AND(INDIRECT(A73&amp;ROW())=B95,INDIRECT(A96&amp;ROW())=C94),1,0)))</f>
        <v>1</v>
      </c>
      <c r="J603">
        <f ca="1">IF(AND(INDIRECT(A73&amp;ROW())=B95,INDIRECT(A96&amp;ROW())=C95),1,IF(AND(INDIRECT(A73&amp;ROW())=B95,INDIRECT(A96&amp;ROW())=C96),1,0))</f>
        <v>0</v>
      </c>
      <c r="K603">
        <f ca="1">DAYS360(INDIRECT(C68&amp;ROW()),TODAY())</f>
        <v>683</v>
      </c>
      <c r="L603">
        <f ca="1">DAYS360(INDIRECT(C69&amp;ROW()),TODAY())</f>
        <v>691</v>
      </c>
      <c r="M603">
        <f ca="1">HYPERLINK(CONCATENATE("https://bugzilla.houston.hp.com:1181/bugzilla/show_bug.cgi?id=",INDIRECT(C70&amp;ROW())),INDIRECT(C70&amp;ROW()))</f>
        <v>63227</v>
      </c>
      <c r="N603">
        <v>63227</v>
      </c>
      <c r="O603" t="s">
        <v>59</v>
      </c>
      <c r="P603" t="s">
        <v>1241</v>
      </c>
      <c r="Q603" t="s">
        <v>25</v>
      </c>
      <c r="R603" t="s">
        <v>251</v>
      </c>
      <c r="S603" t="s">
        <v>62</v>
      </c>
      <c r="U603" s="6">
        <v>42164.316238425927</v>
      </c>
      <c r="V603" t="s">
        <v>35</v>
      </c>
      <c r="W603" t="s">
        <v>783</v>
      </c>
      <c r="X603" s="6">
        <v>42156.199236111112</v>
      </c>
      <c r="Y603" t="s">
        <v>119</v>
      </c>
      <c r="AB603" t="s">
        <v>199</v>
      </c>
      <c r="AC603" t="s">
        <v>247</v>
      </c>
      <c r="AD603" t="s">
        <v>220</v>
      </c>
      <c r="AE603" t="s">
        <v>219</v>
      </c>
      <c r="AG603" t="s">
        <v>121</v>
      </c>
      <c r="AH603" t="s">
        <v>327</v>
      </c>
      <c r="AI603" t="s">
        <v>121</v>
      </c>
      <c r="AJ603" t="s">
        <v>715</v>
      </c>
      <c r="AK603" t="s">
        <v>121</v>
      </c>
    </row>
    <row r="604" spans="9:37" x14ac:dyDescent="0.3">
      <c r="I604">
        <f ca="1">IF(OR(INDIRECT(A73&amp;ROW())=B93,INDIRECT(A73&amp;ROW())=B94),1,IF(AND(INDIRECT(A73&amp;ROW())=B95,INDIRECT(A96&amp;ROW())=C93),1,IF(AND(INDIRECT(A73&amp;ROW())=B95,INDIRECT(A96&amp;ROW())=C94),1,0)))</f>
        <v>0</v>
      </c>
      <c r="J604">
        <f ca="1">IF(AND(INDIRECT(A73&amp;ROW())=B95,INDIRECT(A96&amp;ROW())=C95),1,IF(AND(INDIRECT(A73&amp;ROW())=B95,INDIRECT(A96&amp;ROW())=C96),1,0))</f>
        <v>0</v>
      </c>
      <c r="K604">
        <f ca="1">DAYS360(INDIRECT(C68&amp;ROW()),TODAY())</f>
        <v>691</v>
      </c>
      <c r="L604">
        <f ca="1">DAYS360(INDIRECT(C69&amp;ROW()),TODAY())</f>
        <v>691</v>
      </c>
      <c r="M604">
        <f ca="1">HYPERLINK(CONCATENATE("https://bugzilla.houston.hp.com:1181/bugzilla/show_bug.cgi?id=",INDIRECT(C70&amp;ROW())),INDIRECT(C70&amp;ROW()))</f>
        <v>63239</v>
      </c>
      <c r="N604">
        <v>63239</v>
      </c>
      <c r="O604" t="s">
        <v>21</v>
      </c>
      <c r="P604" t="s">
        <v>1196</v>
      </c>
      <c r="Q604" t="s">
        <v>16</v>
      </c>
      <c r="R604" t="s">
        <v>251</v>
      </c>
      <c r="S604" t="s">
        <v>1195</v>
      </c>
      <c r="U604" s="6">
        <v>42156.530868055554</v>
      </c>
      <c r="V604" t="s">
        <v>18</v>
      </c>
      <c r="W604" t="s">
        <v>783</v>
      </c>
      <c r="X604" s="6">
        <v>42156.258599537039</v>
      </c>
      <c r="Y604" t="s">
        <v>793</v>
      </c>
      <c r="AB604" t="s">
        <v>201</v>
      </c>
      <c r="AC604" t="s">
        <v>247</v>
      </c>
      <c r="AD604" t="s">
        <v>222</v>
      </c>
      <c r="AE604" t="s">
        <v>221</v>
      </c>
      <c r="AG604" t="s">
        <v>121</v>
      </c>
      <c r="AH604" t="s">
        <v>327</v>
      </c>
      <c r="AI604" t="s">
        <v>121</v>
      </c>
      <c r="AJ604" t="s">
        <v>717</v>
      </c>
      <c r="AK604" t="s">
        <v>121</v>
      </c>
    </row>
    <row r="605" spans="9:37" x14ac:dyDescent="0.3">
      <c r="I605">
        <f ca="1">IF(OR(INDIRECT(A73&amp;ROW())=B93,INDIRECT(A73&amp;ROW())=B94),1,IF(AND(INDIRECT(A73&amp;ROW())=B95,INDIRECT(A96&amp;ROW())=C93),1,IF(AND(INDIRECT(A73&amp;ROW())=B95,INDIRECT(A96&amp;ROW())=C94),1,0)))</f>
        <v>1</v>
      </c>
      <c r="J605">
        <f ca="1">IF(AND(INDIRECT(A73&amp;ROW())=B95,INDIRECT(A96&amp;ROW())=C95),1,IF(AND(INDIRECT(A73&amp;ROW())=B95,INDIRECT(A96&amp;ROW())=C96),1,0))</f>
        <v>0</v>
      </c>
      <c r="K605">
        <f ca="1">DAYS360(INDIRECT(C68&amp;ROW()),TODAY())</f>
        <v>675</v>
      </c>
      <c r="L605">
        <f ca="1">DAYS360(INDIRECT(C69&amp;ROW()),TODAY())</f>
        <v>691</v>
      </c>
      <c r="M605">
        <f ca="1">HYPERLINK(CONCATENATE("https://bugzilla.houston.hp.com:1181/bugzilla/show_bug.cgi?id=",INDIRECT(C70&amp;ROW())),INDIRECT(C70&amp;ROW()))</f>
        <v>63248</v>
      </c>
      <c r="N605">
        <v>63248</v>
      </c>
      <c r="O605" t="s">
        <v>66</v>
      </c>
      <c r="P605" t="s">
        <v>1240</v>
      </c>
      <c r="Q605" t="s">
        <v>25</v>
      </c>
      <c r="R605" t="s">
        <v>783</v>
      </c>
      <c r="S605" t="s">
        <v>552</v>
      </c>
      <c r="U605" s="6">
        <v>42172.641585648147</v>
      </c>
      <c r="V605" t="s">
        <v>18</v>
      </c>
      <c r="W605" t="s">
        <v>783</v>
      </c>
      <c r="X605" s="6">
        <v>42156.306250000001</v>
      </c>
      <c r="Y605" t="s">
        <v>119</v>
      </c>
      <c r="AB605" t="s">
        <v>199</v>
      </c>
      <c r="AC605" t="s">
        <v>247</v>
      </c>
      <c r="AD605" t="s">
        <v>220</v>
      </c>
      <c r="AE605" t="s">
        <v>219</v>
      </c>
      <c r="AG605" t="s">
        <v>337</v>
      </c>
      <c r="AH605" t="s">
        <v>327</v>
      </c>
      <c r="AI605" t="s">
        <v>121</v>
      </c>
      <c r="AJ605" t="s">
        <v>715</v>
      </c>
      <c r="AK605" t="s">
        <v>121</v>
      </c>
    </row>
    <row r="606" spans="9:37" x14ac:dyDescent="0.3">
      <c r="I606">
        <f ca="1">IF(OR(INDIRECT(A73&amp;ROW())=B93,INDIRECT(A73&amp;ROW())=B94),1,IF(AND(INDIRECT(A73&amp;ROW())=B95,INDIRECT(A96&amp;ROW())=C93),1,IF(AND(INDIRECT(A73&amp;ROW())=B95,INDIRECT(A96&amp;ROW())=C94),1,0)))</f>
        <v>1</v>
      </c>
      <c r="J606">
        <f ca="1">IF(AND(INDIRECT(A73&amp;ROW())=B95,INDIRECT(A96&amp;ROW())=C95),1,IF(AND(INDIRECT(A73&amp;ROW())=B95,INDIRECT(A96&amp;ROW())=C96),1,0))</f>
        <v>0</v>
      </c>
      <c r="K606">
        <f ca="1">DAYS360(INDIRECT(C68&amp;ROW()),TODAY())</f>
        <v>684</v>
      </c>
      <c r="L606">
        <f ca="1">DAYS360(INDIRECT(C69&amp;ROW()),TODAY())</f>
        <v>691</v>
      </c>
      <c r="M606">
        <f ca="1">HYPERLINK(CONCATENATE("https://bugzilla.houston.hp.com:1181/bugzilla/show_bug.cgi?id=",INDIRECT(C70&amp;ROW())),INDIRECT(C70&amp;ROW()))</f>
        <v>63249</v>
      </c>
      <c r="N606">
        <v>63249</v>
      </c>
      <c r="O606" t="s">
        <v>66</v>
      </c>
      <c r="P606" t="s">
        <v>1239</v>
      </c>
      <c r="Q606" t="s">
        <v>25</v>
      </c>
      <c r="R606" t="s">
        <v>248</v>
      </c>
      <c r="S606" t="s">
        <v>552</v>
      </c>
      <c r="U606" s="6">
        <v>42163.680046296293</v>
      </c>
      <c r="V606" t="s">
        <v>18</v>
      </c>
      <c r="W606" t="s">
        <v>783</v>
      </c>
      <c r="X606" s="6">
        <v>42156.306354166663</v>
      </c>
      <c r="Y606" t="s">
        <v>119</v>
      </c>
      <c r="AB606" t="s">
        <v>199</v>
      </c>
      <c r="AC606" t="s">
        <v>247</v>
      </c>
      <c r="AD606" t="s">
        <v>220</v>
      </c>
      <c r="AE606" t="s">
        <v>219</v>
      </c>
      <c r="AG606" t="s">
        <v>121</v>
      </c>
      <c r="AH606" t="s">
        <v>327</v>
      </c>
      <c r="AI606" t="s">
        <v>121</v>
      </c>
      <c r="AJ606" t="s">
        <v>715</v>
      </c>
      <c r="AK606" t="s">
        <v>121</v>
      </c>
    </row>
    <row r="607" spans="9:37" x14ac:dyDescent="0.3">
      <c r="I607">
        <f ca="1">IF(OR(INDIRECT(A73&amp;ROW())=B93,INDIRECT(A73&amp;ROW())=B94),1,IF(AND(INDIRECT(A73&amp;ROW())=B95,INDIRECT(A96&amp;ROW())=C93),1,IF(AND(INDIRECT(A73&amp;ROW())=B95,INDIRECT(A96&amp;ROW())=C94),1,0)))</f>
        <v>0</v>
      </c>
      <c r="J607">
        <f ca="1">IF(AND(INDIRECT(A73&amp;ROW())=B95,INDIRECT(A96&amp;ROW())=C95),1,IF(AND(INDIRECT(A73&amp;ROW())=B95,INDIRECT(A96&amp;ROW())=C96),1,0))</f>
        <v>0</v>
      </c>
      <c r="K607">
        <f ca="1">DAYS360(INDIRECT(C68&amp;ROW()),TODAY())</f>
        <v>691</v>
      </c>
      <c r="L607">
        <f ca="1">DAYS360(INDIRECT(C69&amp;ROW()),TODAY())</f>
        <v>691</v>
      </c>
      <c r="M607">
        <f ca="1">HYPERLINK(CONCATENATE("https://bugzilla.houston.hp.com:1181/bugzilla/show_bug.cgi?id=",INDIRECT(C70&amp;ROW())),INDIRECT(C70&amp;ROW()))</f>
        <v>63272</v>
      </c>
      <c r="N607">
        <v>63272</v>
      </c>
      <c r="O607" t="s">
        <v>21</v>
      </c>
      <c r="P607" t="s">
        <v>1194</v>
      </c>
      <c r="Q607" t="s">
        <v>16</v>
      </c>
      <c r="R607" t="s">
        <v>579</v>
      </c>
      <c r="S607" t="s">
        <v>552</v>
      </c>
      <c r="U607" s="6">
        <v>42156.534791666665</v>
      </c>
      <c r="V607" t="s">
        <v>18</v>
      </c>
      <c r="W607" t="s">
        <v>783</v>
      </c>
      <c r="X607" s="6">
        <v>42156.516979166663</v>
      </c>
      <c r="Y607" t="s">
        <v>793</v>
      </c>
      <c r="AB607" t="s">
        <v>201</v>
      </c>
      <c r="AC607" t="s">
        <v>247</v>
      </c>
      <c r="AD607" t="s">
        <v>222</v>
      </c>
      <c r="AE607" t="s">
        <v>221</v>
      </c>
      <c r="AG607" t="s">
        <v>121</v>
      </c>
      <c r="AH607" t="s">
        <v>327</v>
      </c>
      <c r="AI607" t="s">
        <v>121</v>
      </c>
      <c r="AJ607" t="s">
        <v>716</v>
      </c>
      <c r="AK607" t="s">
        <v>121</v>
      </c>
    </row>
    <row r="608" spans="9:37" x14ac:dyDescent="0.3">
      <c r="I608">
        <f ca="1">IF(OR(INDIRECT(A73&amp;ROW())=B93,INDIRECT(A73&amp;ROW())=B94),1,IF(AND(INDIRECT(A73&amp;ROW())=B95,INDIRECT(A96&amp;ROW())=C93),1,IF(AND(INDIRECT(A73&amp;ROW())=B95,INDIRECT(A96&amp;ROW())=C94),1,0)))</f>
        <v>0</v>
      </c>
      <c r="J608">
        <f ca="1">IF(AND(INDIRECT(A73&amp;ROW())=B95,INDIRECT(A96&amp;ROW())=C95),1,IF(AND(INDIRECT(A73&amp;ROW())=B95,INDIRECT(A96&amp;ROW())=C96),1,0))</f>
        <v>0</v>
      </c>
      <c r="K608">
        <f ca="1">DAYS360(INDIRECT(C68&amp;ROW()),TODAY())</f>
        <v>691</v>
      </c>
      <c r="L608">
        <f ca="1">DAYS360(INDIRECT(C69&amp;ROW()),TODAY())</f>
        <v>691</v>
      </c>
      <c r="M608">
        <f ca="1">HYPERLINK(CONCATENATE("https://bugzilla.houston.hp.com:1181/bugzilla/show_bug.cgi?id=",INDIRECT(C70&amp;ROW())),INDIRECT(C70&amp;ROW()))</f>
        <v>63273</v>
      </c>
      <c r="N608">
        <v>63273</v>
      </c>
      <c r="O608" t="s">
        <v>21</v>
      </c>
      <c r="P608" t="s">
        <v>1193</v>
      </c>
      <c r="Q608" t="s">
        <v>16</v>
      </c>
      <c r="R608" t="s">
        <v>783</v>
      </c>
      <c r="S608" t="s">
        <v>552</v>
      </c>
      <c r="U608" s="6">
        <v>42156.534768518519</v>
      </c>
      <c r="V608" t="s">
        <v>18</v>
      </c>
      <c r="W608" t="s">
        <v>783</v>
      </c>
      <c r="X608" s="6">
        <v>42156.51703703704</v>
      </c>
      <c r="Y608" t="s">
        <v>793</v>
      </c>
      <c r="AB608" t="s">
        <v>201</v>
      </c>
      <c r="AC608" t="s">
        <v>247</v>
      </c>
      <c r="AD608" t="s">
        <v>222</v>
      </c>
      <c r="AE608" t="s">
        <v>221</v>
      </c>
      <c r="AG608" t="s">
        <v>121</v>
      </c>
      <c r="AH608" t="s">
        <v>327</v>
      </c>
      <c r="AI608" t="s">
        <v>121</v>
      </c>
      <c r="AJ608" t="s">
        <v>716</v>
      </c>
      <c r="AK608" t="s">
        <v>121</v>
      </c>
    </row>
    <row r="609" spans="9:37" x14ac:dyDescent="0.3">
      <c r="I609">
        <f ca="1">IF(OR(INDIRECT(A73&amp;ROW())=B93,INDIRECT(A73&amp;ROW())=B94),1,IF(AND(INDIRECT(A73&amp;ROW())=B95,INDIRECT(A96&amp;ROW())=C93),1,IF(AND(INDIRECT(A73&amp;ROW())=B95,INDIRECT(A96&amp;ROW())=C94),1,0)))</f>
        <v>0</v>
      </c>
      <c r="J609">
        <f ca="1">IF(AND(INDIRECT(A73&amp;ROW())=B95,INDIRECT(A96&amp;ROW())=C95),1,IF(AND(INDIRECT(A73&amp;ROW())=B95,INDIRECT(A96&amp;ROW())=C96),1,0))</f>
        <v>0</v>
      </c>
      <c r="K609">
        <f ca="1">DAYS360(INDIRECT(C68&amp;ROW()),TODAY())</f>
        <v>691</v>
      </c>
      <c r="L609">
        <f ca="1">DAYS360(INDIRECT(C69&amp;ROW()),TODAY())</f>
        <v>691</v>
      </c>
      <c r="M609">
        <f ca="1">HYPERLINK(CONCATENATE("https://bugzilla.houston.hp.com:1181/bugzilla/show_bug.cgi?id=",INDIRECT(C70&amp;ROW())),INDIRECT(C70&amp;ROW()))</f>
        <v>63274</v>
      </c>
      <c r="N609">
        <v>63274</v>
      </c>
      <c r="O609" t="s">
        <v>21</v>
      </c>
      <c r="P609" t="s">
        <v>1192</v>
      </c>
      <c r="Q609" t="s">
        <v>16</v>
      </c>
      <c r="R609" t="s">
        <v>248</v>
      </c>
      <c r="S609" t="s">
        <v>552</v>
      </c>
      <c r="U609" s="6">
        <v>42156.534803240742</v>
      </c>
      <c r="V609" t="s">
        <v>18</v>
      </c>
      <c r="W609" t="s">
        <v>783</v>
      </c>
      <c r="X609" s="6">
        <v>42156.517106481479</v>
      </c>
      <c r="Y609" t="s">
        <v>793</v>
      </c>
      <c r="AB609" t="s">
        <v>201</v>
      </c>
      <c r="AC609" t="s">
        <v>247</v>
      </c>
      <c r="AD609" t="s">
        <v>222</v>
      </c>
      <c r="AE609" t="s">
        <v>221</v>
      </c>
      <c r="AG609" t="s">
        <v>121</v>
      </c>
      <c r="AH609" t="s">
        <v>327</v>
      </c>
      <c r="AI609" t="s">
        <v>121</v>
      </c>
      <c r="AJ609" t="s">
        <v>716</v>
      </c>
      <c r="AK609" t="s">
        <v>121</v>
      </c>
    </row>
    <row r="610" spans="9:37" x14ac:dyDescent="0.3">
      <c r="I610">
        <f ca="1">IF(OR(INDIRECT(A73&amp;ROW())=B93,INDIRECT(A73&amp;ROW())=B94),1,IF(AND(INDIRECT(A73&amp;ROW())=B95,INDIRECT(A96&amp;ROW())=C93),1,IF(AND(INDIRECT(A73&amp;ROW())=B95,INDIRECT(A96&amp;ROW())=C94),1,0)))</f>
        <v>1</v>
      </c>
      <c r="J610">
        <f ca="1">IF(AND(INDIRECT(A73&amp;ROW())=B95,INDIRECT(A96&amp;ROW())=C95),1,IF(AND(INDIRECT(A73&amp;ROW())=B95,INDIRECT(A96&amp;ROW())=C96),1,0))</f>
        <v>0</v>
      </c>
      <c r="K610">
        <f ca="1">DAYS360(INDIRECT(C68&amp;ROW()),TODAY())</f>
        <v>676</v>
      </c>
      <c r="L610">
        <f ca="1">DAYS360(INDIRECT(C69&amp;ROW()),TODAY())</f>
        <v>691</v>
      </c>
      <c r="M610">
        <f ca="1">HYPERLINK(CONCATENATE("https://bugzilla.houston.hp.com:1181/bugzilla/show_bug.cgi?id=",INDIRECT(C70&amp;ROW())),INDIRECT(C70&amp;ROW()))</f>
        <v>63278</v>
      </c>
      <c r="N610">
        <v>63278</v>
      </c>
      <c r="O610" t="s">
        <v>66</v>
      </c>
      <c r="P610" t="s">
        <v>1191</v>
      </c>
      <c r="Q610" t="s">
        <v>39</v>
      </c>
      <c r="R610" t="s">
        <v>251</v>
      </c>
      <c r="S610" t="s">
        <v>1102</v>
      </c>
      <c r="U610" s="6">
        <v>42171.374155092592</v>
      </c>
      <c r="V610" t="s">
        <v>18</v>
      </c>
      <c r="W610" t="s">
        <v>17</v>
      </c>
      <c r="X610" s="6">
        <v>42156.525219907409</v>
      </c>
      <c r="Y610" t="s">
        <v>125</v>
      </c>
      <c r="AB610" t="s">
        <v>200</v>
      </c>
      <c r="AC610" t="s">
        <v>247</v>
      </c>
      <c r="AD610" t="s">
        <v>220</v>
      </c>
      <c r="AE610" t="s">
        <v>219</v>
      </c>
      <c r="AG610" t="s">
        <v>121</v>
      </c>
      <c r="AH610" t="s">
        <v>327</v>
      </c>
      <c r="AI610" t="s">
        <v>121</v>
      </c>
      <c r="AJ610" t="s">
        <v>715</v>
      </c>
      <c r="AK610" t="s">
        <v>121</v>
      </c>
    </row>
    <row r="611" spans="9:37" x14ac:dyDescent="0.3">
      <c r="I611">
        <f ca="1">IF(OR(INDIRECT(A73&amp;ROW())=B93,INDIRECT(A73&amp;ROW())=B94),1,IF(AND(INDIRECT(A73&amp;ROW())=B95,INDIRECT(A96&amp;ROW())=C93),1,IF(AND(INDIRECT(A73&amp;ROW())=B95,INDIRECT(A96&amp;ROW())=C94),1,0)))</f>
        <v>1</v>
      </c>
      <c r="J611">
        <f ca="1">IF(AND(INDIRECT(A73&amp;ROW())=B95,INDIRECT(A96&amp;ROW())=C95),1,IF(AND(INDIRECT(A73&amp;ROW())=B95,INDIRECT(A96&amp;ROW())=C96),1,0))</f>
        <v>0</v>
      </c>
      <c r="K611">
        <f ca="1">DAYS360(INDIRECT(C68&amp;ROW()),TODAY())</f>
        <v>691</v>
      </c>
      <c r="L611">
        <f ca="1">DAYS360(INDIRECT(C69&amp;ROW()),TODAY())</f>
        <v>691</v>
      </c>
      <c r="M611">
        <f ca="1">HYPERLINK(CONCATENATE("https://bugzilla.houston.hp.com:1181/bugzilla/show_bug.cgi?id=",INDIRECT(C70&amp;ROW())),INDIRECT(C70&amp;ROW()))</f>
        <v>63279</v>
      </c>
      <c r="N611">
        <v>63279</v>
      </c>
      <c r="O611" t="s">
        <v>66</v>
      </c>
      <c r="P611" t="s">
        <v>1190</v>
      </c>
      <c r="Q611" t="s">
        <v>39</v>
      </c>
      <c r="R611" t="s">
        <v>579</v>
      </c>
      <c r="S611" t="s">
        <v>552</v>
      </c>
      <c r="U611" s="6">
        <v>42156.547210648147</v>
      </c>
      <c r="V611" t="s">
        <v>18</v>
      </c>
      <c r="W611" t="s">
        <v>17</v>
      </c>
      <c r="X611" s="6">
        <v>42156.537048611113</v>
      </c>
      <c r="Y611" t="s">
        <v>125</v>
      </c>
      <c r="AB611" t="s">
        <v>200</v>
      </c>
      <c r="AC611" t="s">
        <v>247</v>
      </c>
      <c r="AD611" t="s">
        <v>220</v>
      </c>
      <c r="AE611" t="s">
        <v>219</v>
      </c>
      <c r="AG611" t="s">
        <v>121</v>
      </c>
      <c r="AH611" t="s">
        <v>327</v>
      </c>
      <c r="AI611" t="s">
        <v>121</v>
      </c>
      <c r="AJ611" t="s">
        <v>715</v>
      </c>
      <c r="AK611" t="s">
        <v>121</v>
      </c>
    </row>
    <row r="612" spans="9:37" x14ac:dyDescent="0.3">
      <c r="I612">
        <f ca="1">IF(OR(INDIRECT(A73&amp;ROW())=B93,INDIRECT(A73&amp;ROW())=B94),1,IF(AND(INDIRECT(A73&amp;ROW())=B95,INDIRECT(A96&amp;ROW())=C93),1,IF(AND(INDIRECT(A73&amp;ROW())=B95,INDIRECT(A96&amp;ROW())=C94),1,0)))</f>
        <v>1</v>
      </c>
      <c r="J612">
        <f ca="1">IF(AND(INDIRECT(A73&amp;ROW())=B95,INDIRECT(A96&amp;ROW())=C95),1,IF(AND(INDIRECT(A73&amp;ROW())=B95,INDIRECT(A96&amp;ROW())=C96),1,0))</f>
        <v>0</v>
      </c>
      <c r="K612">
        <f ca="1">DAYS360(INDIRECT(C68&amp;ROW()),TODAY())</f>
        <v>675</v>
      </c>
      <c r="L612">
        <f ca="1">DAYS360(INDIRECT(C69&amp;ROW()),TODAY())</f>
        <v>691</v>
      </c>
      <c r="M612">
        <f ca="1">HYPERLINK(CONCATENATE("https://bugzilla.houston.hp.com:1181/bugzilla/show_bug.cgi?id=",INDIRECT(C70&amp;ROW())),INDIRECT(C70&amp;ROW()))</f>
        <v>63280</v>
      </c>
      <c r="N612">
        <v>63280</v>
      </c>
      <c r="O612" t="s">
        <v>66</v>
      </c>
      <c r="P612" t="s">
        <v>1189</v>
      </c>
      <c r="Q612" t="s">
        <v>39</v>
      </c>
      <c r="R612" t="s">
        <v>783</v>
      </c>
      <c r="S612" t="s">
        <v>552</v>
      </c>
      <c r="U612" s="6">
        <v>42172.635000000002</v>
      </c>
      <c r="V612" t="s">
        <v>18</v>
      </c>
      <c r="W612" t="s">
        <v>17</v>
      </c>
      <c r="X612" s="6">
        <v>42156.537164351852</v>
      </c>
      <c r="Y612" t="s">
        <v>125</v>
      </c>
      <c r="AB612" t="s">
        <v>200</v>
      </c>
      <c r="AC612" t="s">
        <v>247</v>
      </c>
      <c r="AD612" t="s">
        <v>220</v>
      </c>
      <c r="AE612" t="s">
        <v>219</v>
      </c>
      <c r="AG612" t="s">
        <v>337</v>
      </c>
      <c r="AH612" t="s">
        <v>327</v>
      </c>
      <c r="AI612" t="s">
        <v>121</v>
      </c>
      <c r="AJ612" t="s">
        <v>715</v>
      </c>
      <c r="AK612" t="s">
        <v>121</v>
      </c>
    </row>
    <row r="613" spans="9:37" x14ac:dyDescent="0.3">
      <c r="I613">
        <f ca="1">IF(OR(INDIRECT(A73&amp;ROW())=B93,INDIRECT(A73&amp;ROW())=B94),1,IF(AND(INDIRECT(A73&amp;ROW())=B95,INDIRECT(A96&amp;ROW())=C93),1,IF(AND(INDIRECT(A73&amp;ROW())=B95,INDIRECT(A96&amp;ROW())=C94),1,0)))</f>
        <v>1</v>
      </c>
      <c r="J613">
        <f ca="1">IF(AND(INDIRECT(A73&amp;ROW())=B95,INDIRECT(A96&amp;ROW())=C95),1,IF(AND(INDIRECT(A73&amp;ROW())=B95,INDIRECT(A96&amp;ROW())=C96),1,0))</f>
        <v>0</v>
      </c>
      <c r="K613">
        <f ca="1">DAYS360(INDIRECT(C68&amp;ROW()),TODAY())</f>
        <v>691</v>
      </c>
      <c r="L613">
        <f ca="1">DAYS360(INDIRECT(C69&amp;ROW()),TODAY())</f>
        <v>691</v>
      </c>
      <c r="M613">
        <f ca="1">HYPERLINK(CONCATENATE("https://bugzilla.houston.hp.com:1181/bugzilla/show_bug.cgi?id=",INDIRECT(C70&amp;ROW())),INDIRECT(C70&amp;ROW()))</f>
        <v>63281</v>
      </c>
      <c r="N613">
        <v>63281</v>
      </c>
      <c r="O613" t="s">
        <v>66</v>
      </c>
      <c r="P613" t="s">
        <v>1188</v>
      </c>
      <c r="Q613" t="s">
        <v>39</v>
      </c>
      <c r="R613" t="s">
        <v>248</v>
      </c>
      <c r="S613" t="s">
        <v>552</v>
      </c>
      <c r="U613" s="6">
        <v>42156.548090277778</v>
      </c>
      <c r="V613" t="s">
        <v>18</v>
      </c>
      <c r="W613" t="s">
        <v>17</v>
      </c>
      <c r="X613" s="6">
        <v>42156.537291666667</v>
      </c>
      <c r="Y613" t="s">
        <v>125</v>
      </c>
      <c r="AB613" t="s">
        <v>200</v>
      </c>
      <c r="AC613" t="s">
        <v>247</v>
      </c>
      <c r="AD613" t="s">
        <v>220</v>
      </c>
      <c r="AE613" t="s">
        <v>219</v>
      </c>
      <c r="AG613" t="s">
        <v>121</v>
      </c>
      <c r="AH613" t="s">
        <v>327</v>
      </c>
      <c r="AI613" t="s">
        <v>121</v>
      </c>
      <c r="AJ613" t="s">
        <v>715</v>
      </c>
      <c r="AK613" t="s">
        <v>121</v>
      </c>
    </row>
    <row r="614" spans="9:37" x14ac:dyDescent="0.3">
      <c r="I614">
        <f ca="1">IF(OR(INDIRECT(A73&amp;ROW())=B93,INDIRECT(A73&amp;ROW())=B94),1,IF(AND(INDIRECT(A73&amp;ROW())=B95,INDIRECT(A96&amp;ROW())=C93),1,IF(AND(INDIRECT(A73&amp;ROW())=B95,INDIRECT(A96&amp;ROW())=C94),1,0)))</f>
        <v>0</v>
      </c>
      <c r="J614">
        <f ca="1">IF(AND(INDIRECT(A73&amp;ROW())=B95,INDIRECT(A96&amp;ROW())=C95),1,IF(AND(INDIRECT(A73&amp;ROW())=B95,INDIRECT(A96&amp;ROW())=C96),1,0))</f>
        <v>1</v>
      </c>
      <c r="K614">
        <f ca="1">DAYS360(INDIRECT(C68&amp;ROW()),TODAY())</f>
        <v>681</v>
      </c>
      <c r="L614">
        <f ca="1">DAYS360(INDIRECT(C69&amp;ROW()),TODAY())</f>
        <v>690</v>
      </c>
      <c r="M614">
        <f ca="1">HYPERLINK(CONCATENATE("https://bugzilla.houston.hp.com:1181/bugzilla/show_bug.cgi?id=",INDIRECT(C70&amp;ROW())),INDIRECT(C70&amp;ROW()))</f>
        <v>63336</v>
      </c>
      <c r="N614">
        <v>63336</v>
      </c>
      <c r="O614" t="s">
        <v>22</v>
      </c>
      <c r="P614" t="s">
        <v>1187</v>
      </c>
      <c r="Q614" t="s">
        <v>25</v>
      </c>
      <c r="R614" t="s">
        <v>783</v>
      </c>
      <c r="S614" t="s">
        <v>44</v>
      </c>
      <c r="T614" t="s">
        <v>794</v>
      </c>
      <c r="U614" s="6">
        <v>42166.582071759258</v>
      </c>
      <c r="V614" t="s">
        <v>18</v>
      </c>
      <c r="W614" t="s">
        <v>17</v>
      </c>
      <c r="X614" s="6">
        <v>42157.599398148152</v>
      </c>
      <c r="Y614" t="s">
        <v>125</v>
      </c>
      <c r="AB614" t="s">
        <v>201</v>
      </c>
      <c r="AC614" t="s">
        <v>247</v>
      </c>
      <c r="AD614" t="s">
        <v>220</v>
      </c>
      <c r="AE614" t="s">
        <v>223</v>
      </c>
      <c r="AG614" t="s">
        <v>121</v>
      </c>
      <c r="AH614" t="s">
        <v>327</v>
      </c>
      <c r="AI614" t="s">
        <v>363</v>
      </c>
      <c r="AJ614" t="s">
        <v>716</v>
      </c>
      <c r="AK614" t="s">
        <v>121</v>
      </c>
    </row>
    <row r="615" spans="9:37" x14ac:dyDescent="0.3">
      <c r="I615">
        <f ca="1">IF(OR(INDIRECT(A73&amp;ROW())=B93,INDIRECT(A73&amp;ROW())=B94),1,IF(AND(INDIRECT(A73&amp;ROW())=B95,INDIRECT(A96&amp;ROW())=C93),1,IF(AND(INDIRECT(A73&amp;ROW())=B95,INDIRECT(A96&amp;ROW())=C94),1,0)))</f>
        <v>1</v>
      </c>
      <c r="J615">
        <f ca="1">IF(AND(INDIRECT(A73&amp;ROW())=B95,INDIRECT(A96&amp;ROW())=C95),1,IF(AND(INDIRECT(A73&amp;ROW())=B95,INDIRECT(A96&amp;ROW())=C96),1,0))</f>
        <v>0</v>
      </c>
      <c r="K615">
        <f ca="1">DAYS360(INDIRECT(C68&amp;ROW()),TODAY())</f>
        <v>689</v>
      </c>
      <c r="L615">
        <f ca="1">DAYS360(INDIRECT(C69&amp;ROW()),TODAY())</f>
        <v>689</v>
      </c>
      <c r="M615">
        <f ca="1">HYPERLINK(CONCATENATE("https://bugzilla.houston.hp.com:1181/bugzilla/show_bug.cgi?id=",INDIRECT(C70&amp;ROW())),INDIRECT(C70&amp;ROW()))</f>
        <v>63359</v>
      </c>
      <c r="N615">
        <v>63359</v>
      </c>
      <c r="O615" t="s">
        <v>53</v>
      </c>
      <c r="P615" t="s">
        <v>1186</v>
      </c>
      <c r="Q615" t="s">
        <v>39</v>
      </c>
      <c r="R615" t="s">
        <v>579</v>
      </c>
      <c r="S615" t="s">
        <v>552</v>
      </c>
      <c r="U615" s="6">
        <v>42158.33488425926</v>
      </c>
      <c r="V615" t="s">
        <v>18</v>
      </c>
      <c r="W615" t="s">
        <v>63</v>
      </c>
      <c r="X615" s="6">
        <v>42158.017002314817</v>
      </c>
      <c r="Y615" t="s">
        <v>1026</v>
      </c>
      <c r="AB615" t="s">
        <v>201</v>
      </c>
      <c r="AC615" t="s">
        <v>247</v>
      </c>
      <c r="AD615" t="s">
        <v>220</v>
      </c>
      <c r="AE615" t="s">
        <v>243</v>
      </c>
      <c r="AG615" t="s">
        <v>121</v>
      </c>
      <c r="AH615" t="s">
        <v>327</v>
      </c>
      <c r="AI615" t="s">
        <v>121</v>
      </c>
      <c r="AJ615" t="s">
        <v>715</v>
      </c>
      <c r="AK615" t="s">
        <v>121</v>
      </c>
    </row>
    <row r="616" spans="9:37" x14ac:dyDescent="0.3">
      <c r="I616">
        <f ca="1">IF(OR(INDIRECT(A73&amp;ROW())=B93,INDIRECT(A73&amp;ROW())=B94),1,IF(AND(INDIRECT(A73&amp;ROW())=B95,INDIRECT(A96&amp;ROW())=C93),1,IF(AND(INDIRECT(A73&amp;ROW())=B95,INDIRECT(A96&amp;ROW())=C94),1,0)))</f>
        <v>1</v>
      </c>
      <c r="J616">
        <f ca="1">IF(AND(INDIRECT(A73&amp;ROW())=B95,INDIRECT(A96&amp;ROW())=C95),1,IF(AND(INDIRECT(A73&amp;ROW())=B95,INDIRECT(A96&amp;ROW())=C96),1,0))</f>
        <v>0</v>
      </c>
      <c r="K616">
        <f ca="1">DAYS360(INDIRECT(C68&amp;ROW()),TODAY())</f>
        <v>675</v>
      </c>
      <c r="L616">
        <f ca="1">DAYS360(INDIRECT(C69&amp;ROW()),TODAY())</f>
        <v>689</v>
      </c>
      <c r="M616">
        <f ca="1">HYPERLINK(CONCATENATE("https://bugzilla.houston.hp.com:1181/bugzilla/show_bug.cgi?id=",INDIRECT(C70&amp;ROW())),INDIRECT(C70&amp;ROW()))</f>
        <v>63360</v>
      </c>
      <c r="N616">
        <v>63360</v>
      </c>
      <c r="O616" t="s">
        <v>53</v>
      </c>
      <c r="P616" t="s">
        <v>1185</v>
      </c>
      <c r="Q616" t="s">
        <v>39</v>
      </c>
      <c r="R616" t="s">
        <v>783</v>
      </c>
      <c r="S616" t="s">
        <v>552</v>
      </c>
      <c r="U616" s="6">
        <v>42172.628981481481</v>
      </c>
      <c r="V616" t="s">
        <v>18</v>
      </c>
      <c r="W616" t="s">
        <v>63</v>
      </c>
      <c r="X616" s="6">
        <v>42158.017060185186</v>
      </c>
      <c r="Y616" t="s">
        <v>1026</v>
      </c>
      <c r="AB616" t="s">
        <v>201</v>
      </c>
      <c r="AC616" t="s">
        <v>247</v>
      </c>
      <c r="AD616" t="s">
        <v>220</v>
      </c>
      <c r="AE616" t="s">
        <v>219</v>
      </c>
      <c r="AG616" t="s">
        <v>337</v>
      </c>
      <c r="AH616" t="s">
        <v>327</v>
      </c>
      <c r="AI616" t="s">
        <v>121</v>
      </c>
      <c r="AJ616" t="s">
        <v>715</v>
      </c>
      <c r="AK616" t="s">
        <v>121</v>
      </c>
    </row>
    <row r="617" spans="9:37" x14ac:dyDescent="0.3">
      <c r="I617">
        <f ca="1">IF(OR(INDIRECT(A73&amp;ROW())=B93,INDIRECT(A73&amp;ROW())=B94),1,IF(AND(INDIRECT(A73&amp;ROW())=B95,INDIRECT(A96&amp;ROW())=C93),1,IF(AND(INDIRECT(A73&amp;ROW())=B95,INDIRECT(A96&amp;ROW())=C94),1,0)))</f>
        <v>1</v>
      </c>
      <c r="J617">
        <f ca="1">IF(AND(INDIRECT(A73&amp;ROW())=B95,INDIRECT(A96&amp;ROW())=C95),1,IF(AND(INDIRECT(A73&amp;ROW())=B95,INDIRECT(A96&amp;ROW())=C96),1,0))</f>
        <v>0</v>
      </c>
      <c r="K617">
        <f ca="1">DAYS360(INDIRECT(C68&amp;ROW()),TODAY())</f>
        <v>689</v>
      </c>
      <c r="L617">
        <f ca="1">DAYS360(INDIRECT(C69&amp;ROW()),TODAY())</f>
        <v>689</v>
      </c>
      <c r="M617">
        <f ca="1">HYPERLINK(CONCATENATE("https://bugzilla.houston.hp.com:1181/bugzilla/show_bug.cgi?id=",INDIRECT(C70&amp;ROW())),INDIRECT(C70&amp;ROW()))</f>
        <v>63361</v>
      </c>
      <c r="N617">
        <v>63361</v>
      </c>
      <c r="O617" t="s">
        <v>53</v>
      </c>
      <c r="P617" t="s">
        <v>1184</v>
      </c>
      <c r="Q617" t="s">
        <v>39</v>
      </c>
      <c r="R617" t="s">
        <v>248</v>
      </c>
      <c r="S617" t="s">
        <v>552</v>
      </c>
      <c r="U617" s="6">
        <v>42158.33488425926</v>
      </c>
      <c r="V617" t="s">
        <v>18</v>
      </c>
      <c r="W617" t="s">
        <v>63</v>
      </c>
      <c r="X617" s="6">
        <v>42158.017129629632</v>
      </c>
      <c r="Y617" t="s">
        <v>1026</v>
      </c>
      <c r="AB617" t="s">
        <v>201</v>
      </c>
      <c r="AC617" t="s">
        <v>247</v>
      </c>
      <c r="AD617" t="s">
        <v>220</v>
      </c>
      <c r="AE617" t="s">
        <v>243</v>
      </c>
      <c r="AG617" t="s">
        <v>121</v>
      </c>
      <c r="AH617" t="s">
        <v>327</v>
      </c>
      <c r="AI617" t="s">
        <v>121</v>
      </c>
      <c r="AJ617" t="s">
        <v>715</v>
      </c>
      <c r="AK617" t="s">
        <v>121</v>
      </c>
    </row>
    <row r="618" spans="9:37" x14ac:dyDescent="0.3">
      <c r="I618">
        <f ca="1">IF(OR(INDIRECT(A73&amp;ROW())=B93,INDIRECT(A73&amp;ROW())=B94),1,IF(AND(INDIRECT(A73&amp;ROW())=B95,INDIRECT(A96&amp;ROW())=C93),1,IF(AND(INDIRECT(A73&amp;ROW())=B95,INDIRECT(A96&amp;ROW())=C94),1,0)))</f>
        <v>1</v>
      </c>
      <c r="J618">
        <f ca="1">IF(AND(INDIRECT(A73&amp;ROW())=B95,INDIRECT(A96&amp;ROW())=C95),1,IF(AND(INDIRECT(A73&amp;ROW())=B95,INDIRECT(A96&amp;ROW())=C96),1,0))</f>
        <v>0</v>
      </c>
      <c r="K618">
        <f ca="1">DAYS360(INDIRECT(C68&amp;ROW()),TODAY())</f>
        <v>687</v>
      </c>
      <c r="L618">
        <f ca="1">DAYS360(INDIRECT(C69&amp;ROW()),TODAY())</f>
        <v>689</v>
      </c>
      <c r="M618">
        <f ca="1">HYPERLINK(CONCATENATE("https://bugzilla.houston.hp.com:1181/bugzilla/show_bug.cgi?id=",INDIRECT(C70&amp;ROW())),INDIRECT(C70&amp;ROW()))</f>
        <v>63423</v>
      </c>
      <c r="N618">
        <v>63423</v>
      </c>
      <c r="O618" t="s">
        <v>45</v>
      </c>
      <c r="P618" t="s">
        <v>1183</v>
      </c>
      <c r="Q618" t="s">
        <v>39</v>
      </c>
      <c r="R618" t="s">
        <v>251</v>
      </c>
      <c r="S618" t="s">
        <v>236</v>
      </c>
      <c r="U618" s="6">
        <v>42160.309386574074</v>
      </c>
      <c r="V618" t="s">
        <v>35</v>
      </c>
      <c r="W618" t="s">
        <v>17</v>
      </c>
      <c r="X618" s="6">
        <v>42158.957037037035</v>
      </c>
      <c r="Y618" t="s">
        <v>801</v>
      </c>
      <c r="AB618" t="s">
        <v>201</v>
      </c>
      <c r="AC618" t="s">
        <v>247</v>
      </c>
      <c r="AD618" t="s">
        <v>227</v>
      </c>
      <c r="AE618" t="s">
        <v>226</v>
      </c>
      <c r="AG618" t="s">
        <v>121</v>
      </c>
      <c r="AH618" t="s">
        <v>327</v>
      </c>
      <c r="AI618" t="s">
        <v>121</v>
      </c>
      <c r="AJ618" t="s">
        <v>715</v>
      </c>
      <c r="AK618" t="s">
        <v>121</v>
      </c>
    </row>
    <row r="619" spans="9:37" x14ac:dyDescent="0.3">
      <c r="I619">
        <f ca="1">IF(OR(INDIRECT(A73&amp;ROW())=B93,INDIRECT(A73&amp;ROW())=B94),1,IF(AND(INDIRECT(A73&amp;ROW())=B95,INDIRECT(A96&amp;ROW())=C93),1,IF(AND(INDIRECT(A73&amp;ROW())=B95,INDIRECT(A96&amp;ROW())=C94),1,0)))</f>
        <v>1</v>
      </c>
      <c r="J619">
        <f ca="1">IF(AND(INDIRECT(A73&amp;ROW())=B95,INDIRECT(A96&amp;ROW())=C95),1,IF(AND(INDIRECT(A73&amp;ROW())=B95,INDIRECT(A96&amp;ROW())=C96),1,0))</f>
        <v>0</v>
      </c>
      <c r="K619">
        <f ca="1">DAYS360(INDIRECT(C68&amp;ROW()),TODAY())</f>
        <v>687</v>
      </c>
      <c r="L619">
        <f ca="1">DAYS360(INDIRECT(C69&amp;ROW()),TODAY())</f>
        <v>688</v>
      </c>
      <c r="M619">
        <f ca="1">HYPERLINK(CONCATENATE("https://bugzilla.houston.hp.com:1181/bugzilla/show_bug.cgi?id=",INDIRECT(C70&amp;ROW())),INDIRECT(C70&amp;ROW()))</f>
        <v>63435</v>
      </c>
      <c r="N619">
        <v>63435</v>
      </c>
      <c r="O619" t="s">
        <v>56</v>
      </c>
      <c r="P619" t="s">
        <v>1182</v>
      </c>
      <c r="Q619" t="s">
        <v>39</v>
      </c>
      <c r="R619" t="s">
        <v>248</v>
      </c>
      <c r="S619" t="s">
        <v>552</v>
      </c>
      <c r="U619" s="6">
        <v>42160.398842592593</v>
      </c>
      <c r="V619" t="s">
        <v>18</v>
      </c>
      <c r="W619" t="s">
        <v>248</v>
      </c>
      <c r="X619" s="6">
        <v>42159.017280092594</v>
      </c>
      <c r="Y619" t="s">
        <v>793</v>
      </c>
      <c r="AB619" t="s">
        <v>201</v>
      </c>
      <c r="AC619" t="s">
        <v>247</v>
      </c>
      <c r="AD619" t="s">
        <v>220</v>
      </c>
      <c r="AE619" t="s">
        <v>219</v>
      </c>
      <c r="AG619" t="s">
        <v>121</v>
      </c>
      <c r="AH619" t="s">
        <v>327</v>
      </c>
      <c r="AI619" t="s">
        <v>121</v>
      </c>
      <c r="AJ619" t="s">
        <v>715</v>
      </c>
      <c r="AK619" t="s">
        <v>121</v>
      </c>
    </row>
    <row r="620" spans="9:37" x14ac:dyDescent="0.3">
      <c r="I620">
        <f ca="1">IF(OR(INDIRECT(A73&amp;ROW())=B93,INDIRECT(A73&amp;ROW())=B94),1,IF(AND(INDIRECT(A73&amp;ROW())=B95,INDIRECT(A96&amp;ROW())=C93),1,IF(AND(INDIRECT(A73&amp;ROW())=B95,INDIRECT(A96&amp;ROW())=C94),1,0)))</f>
        <v>1</v>
      </c>
      <c r="J620">
        <f ca="1">IF(AND(INDIRECT(A73&amp;ROW())=B95,INDIRECT(A96&amp;ROW())=C95),1,IF(AND(INDIRECT(A73&amp;ROW())=B95,INDIRECT(A96&amp;ROW())=C96),1,0))</f>
        <v>0</v>
      </c>
      <c r="K620">
        <f ca="1">DAYS360(INDIRECT(C68&amp;ROW()),TODAY())</f>
        <v>665</v>
      </c>
      <c r="L620">
        <f ca="1">DAYS360(INDIRECT(C69&amp;ROW()),TODAY())</f>
        <v>688</v>
      </c>
      <c r="M620">
        <f ca="1">HYPERLINK(CONCATENATE("https://bugzilla.houston.hp.com:1181/bugzilla/show_bug.cgi?id=",INDIRECT(C70&amp;ROW())),INDIRECT(C70&amp;ROW()))</f>
        <v>63460</v>
      </c>
      <c r="N620">
        <v>63460</v>
      </c>
      <c r="O620" t="s">
        <v>45</v>
      </c>
      <c r="P620" t="s">
        <v>1181</v>
      </c>
      <c r="Q620" t="s">
        <v>39</v>
      </c>
      <c r="R620" t="s">
        <v>248</v>
      </c>
      <c r="S620" t="s">
        <v>784</v>
      </c>
      <c r="T620" t="s">
        <v>1280</v>
      </c>
      <c r="U620" s="6">
        <v>42182.593865740739</v>
      </c>
      <c r="V620" t="s">
        <v>35</v>
      </c>
      <c r="W620" t="s">
        <v>17</v>
      </c>
      <c r="X620" s="6">
        <v>42159.356446759259</v>
      </c>
      <c r="Y620" t="s">
        <v>801</v>
      </c>
      <c r="AB620" t="s">
        <v>201</v>
      </c>
      <c r="AC620" t="s">
        <v>247</v>
      </c>
      <c r="AD620" t="s">
        <v>227</v>
      </c>
      <c r="AE620" t="s">
        <v>226</v>
      </c>
      <c r="AG620" t="s">
        <v>121</v>
      </c>
      <c r="AH620" t="s">
        <v>327</v>
      </c>
      <c r="AI620" t="s">
        <v>121</v>
      </c>
      <c r="AJ620" t="s">
        <v>715</v>
      </c>
      <c r="AK620" t="s">
        <v>121</v>
      </c>
    </row>
    <row r="621" spans="9:37" x14ac:dyDescent="0.3">
      <c r="I621">
        <f ca="1">IF(OR(INDIRECT(A73&amp;ROW())=B93,INDIRECT(A73&amp;ROW())=B94),1,IF(AND(INDIRECT(A73&amp;ROW())=B95,INDIRECT(A96&amp;ROW())=C93),1,IF(AND(INDIRECT(A73&amp;ROW())=B95,INDIRECT(A96&amp;ROW())=C94),1,0)))</f>
        <v>1</v>
      </c>
      <c r="J621">
        <f ca="1">IF(AND(INDIRECT(A73&amp;ROW())=B95,INDIRECT(A96&amp;ROW())=C95),1,IF(AND(INDIRECT(A73&amp;ROW())=B95,INDIRECT(A96&amp;ROW())=C96),1,0))</f>
        <v>0</v>
      </c>
      <c r="K621">
        <f ca="1">DAYS360(INDIRECT(C68&amp;ROW()),TODAY())</f>
        <v>663</v>
      </c>
      <c r="L621">
        <f ca="1">DAYS360(INDIRECT(C69&amp;ROW()),TODAY())</f>
        <v>688</v>
      </c>
      <c r="M621">
        <f ca="1">HYPERLINK(CONCATENATE("https://bugzilla.houston.hp.com:1181/bugzilla/show_bug.cgi?id=",INDIRECT(C70&amp;ROW())),INDIRECT(C70&amp;ROW()))</f>
        <v>63480</v>
      </c>
      <c r="N621">
        <v>63480</v>
      </c>
      <c r="O621" t="s">
        <v>164</v>
      </c>
      <c r="P621" t="s">
        <v>1174</v>
      </c>
      <c r="Q621" t="s">
        <v>25</v>
      </c>
      <c r="R621" t="s">
        <v>251</v>
      </c>
      <c r="S621" t="s">
        <v>1102</v>
      </c>
      <c r="U621" s="6">
        <v>42184.285682870373</v>
      </c>
      <c r="V621" t="s">
        <v>35</v>
      </c>
      <c r="W621" t="s">
        <v>17</v>
      </c>
      <c r="X621" s="6">
        <v>42159.568333333336</v>
      </c>
      <c r="Y621" t="s">
        <v>125</v>
      </c>
      <c r="AB621" t="s">
        <v>200</v>
      </c>
      <c r="AC621" t="s">
        <v>247</v>
      </c>
      <c r="AD621" t="s">
        <v>220</v>
      </c>
      <c r="AE621" t="s">
        <v>219</v>
      </c>
      <c r="AG621" t="s">
        <v>121</v>
      </c>
      <c r="AH621" t="s">
        <v>327</v>
      </c>
      <c r="AI621" t="s">
        <v>121</v>
      </c>
      <c r="AJ621" t="s">
        <v>715</v>
      </c>
      <c r="AK621" t="s">
        <v>121</v>
      </c>
    </row>
    <row r="622" spans="9:37" x14ac:dyDescent="0.3">
      <c r="I622">
        <f ca="1">IF(OR(INDIRECT(A73&amp;ROW())=B93,INDIRECT(A73&amp;ROW())=B94),1,IF(AND(INDIRECT(A73&amp;ROW())=B95,INDIRECT(A96&amp;ROW())=C93),1,IF(AND(INDIRECT(A73&amp;ROW())=B95,INDIRECT(A96&amp;ROW())=C94),1,0)))</f>
        <v>0</v>
      </c>
      <c r="J622">
        <f ca="1">IF(AND(INDIRECT(A73&amp;ROW())=B95,INDIRECT(A96&amp;ROW())=C95),1,IF(AND(INDIRECT(A73&amp;ROW())=B95,INDIRECT(A96&amp;ROW())=C96),1,0))</f>
        <v>0</v>
      </c>
      <c r="K622">
        <f ca="1">DAYS360(INDIRECT(C68&amp;ROW()),TODAY())</f>
        <v>687</v>
      </c>
      <c r="L622">
        <f ca="1">DAYS360(INDIRECT(C69&amp;ROW()),TODAY())</f>
        <v>688</v>
      </c>
      <c r="M622">
        <f ca="1">HYPERLINK(CONCATENATE("https://bugzilla.houston.hp.com:1181/bugzilla/show_bug.cgi?id=",INDIRECT(C70&amp;ROW())),INDIRECT(C70&amp;ROW()))</f>
        <v>63486</v>
      </c>
      <c r="N622">
        <v>63486</v>
      </c>
      <c r="O622" t="s">
        <v>22</v>
      </c>
      <c r="P622" t="s">
        <v>1173</v>
      </c>
      <c r="Q622" t="s">
        <v>16</v>
      </c>
      <c r="R622" t="s">
        <v>251</v>
      </c>
      <c r="S622" t="s">
        <v>1172</v>
      </c>
      <c r="U622" s="6">
        <v>42160.420474537037</v>
      </c>
      <c r="V622" t="s">
        <v>18</v>
      </c>
      <c r="W622" t="s">
        <v>783</v>
      </c>
      <c r="X622" s="6">
        <v>42159.706087962964</v>
      </c>
      <c r="Y622" t="s">
        <v>244</v>
      </c>
      <c r="AB622" t="s">
        <v>201</v>
      </c>
      <c r="AC622" t="s">
        <v>247</v>
      </c>
      <c r="AD622" t="s">
        <v>222</v>
      </c>
      <c r="AE622" t="s">
        <v>240</v>
      </c>
      <c r="AG622" t="s">
        <v>121</v>
      </c>
      <c r="AH622" t="s">
        <v>327</v>
      </c>
      <c r="AI622" t="s">
        <v>121</v>
      </c>
      <c r="AJ622" t="s">
        <v>717</v>
      </c>
      <c r="AK622" t="s">
        <v>121</v>
      </c>
    </row>
    <row r="623" spans="9:37" x14ac:dyDescent="0.3">
      <c r="I623">
        <f ca="1">IF(OR(INDIRECT(A73&amp;ROW())=B93,INDIRECT(A73&amp;ROW())=B94),1,IF(AND(INDIRECT(A73&amp;ROW())=B95,INDIRECT(A96&amp;ROW())=C93),1,IF(AND(INDIRECT(A73&amp;ROW())=B95,INDIRECT(A96&amp;ROW())=C94),1,0)))</f>
        <v>0</v>
      </c>
      <c r="J623">
        <f ca="1">IF(AND(INDIRECT(A73&amp;ROW())=B95,INDIRECT(A96&amp;ROW())=C95),1,IF(AND(INDIRECT(A73&amp;ROW())=B95,INDIRECT(A96&amp;ROW())=C96),1,0))</f>
        <v>0</v>
      </c>
      <c r="K623">
        <f ca="1">DAYS360(INDIRECT(C68&amp;ROW()),TODAY())</f>
        <v>687</v>
      </c>
      <c r="L623">
        <f ca="1">DAYS360(INDIRECT(C69&amp;ROW()),TODAY())</f>
        <v>687</v>
      </c>
      <c r="M623">
        <f ca="1">HYPERLINK(CONCATENATE("https://bugzilla.houston.hp.com:1181/bugzilla/show_bug.cgi?id=",INDIRECT(C70&amp;ROW())),INDIRECT(C70&amp;ROW()))</f>
        <v>63494</v>
      </c>
      <c r="N623">
        <v>63494</v>
      </c>
      <c r="O623" t="s">
        <v>22</v>
      </c>
      <c r="P623" t="s">
        <v>1171</v>
      </c>
      <c r="Q623" t="s">
        <v>16</v>
      </c>
      <c r="R623" t="s">
        <v>579</v>
      </c>
      <c r="S623" t="s">
        <v>552</v>
      </c>
      <c r="U623" s="6">
        <v>42160.458101851851</v>
      </c>
      <c r="V623" t="s">
        <v>18</v>
      </c>
      <c r="W623" t="s">
        <v>783</v>
      </c>
      <c r="X623" s="6">
        <v>42160.017094907409</v>
      </c>
      <c r="Y623" t="s">
        <v>244</v>
      </c>
      <c r="AB623" t="s">
        <v>201</v>
      </c>
      <c r="AC623" t="s">
        <v>247</v>
      </c>
      <c r="AD623" t="s">
        <v>222</v>
      </c>
      <c r="AE623" t="s">
        <v>240</v>
      </c>
      <c r="AG623" t="s">
        <v>121</v>
      </c>
      <c r="AH623" t="s">
        <v>327</v>
      </c>
      <c r="AI623" t="s">
        <v>121</v>
      </c>
      <c r="AJ623" t="s">
        <v>717</v>
      </c>
      <c r="AK623" t="s">
        <v>121</v>
      </c>
    </row>
    <row r="624" spans="9:37" x14ac:dyDescent="0.3">
      <c r="I624">
        <f ca="1">IF(OR(INDIRECT(A73&amp;ROW())=B93,INDIRECT(A73&amp;ROW())=B94),1,IF(AND(INDIRECT(A73&amp;ROW())=B95,INDIRECT(A96&amp;ROW())=C93),1,IF(AND(INDIRECT(A73&amp;ROW())=B95,INDIRECT(A96&amp;ROW())=C94),1,0)))</f>
        <v>0</v>
      </c>
      <c r="J624">
        <f ca="1">IF(AND(INDIRECT(A73&amp;ROW())=B95,INDIRECT(A96&amp;ROW())=C95),1,IF(AND(INDIRECT(A73&amp;ROW())=B95,INDIRECT(A96&amp;ROW())=C96),1,0))</f>
        <v>0</v>
      </c>
      <c r="K624">
        <f ca="1">DAYS360(INDIRECT(C68&amp;ROW()),TODAY())</f>
        <v>687</v>
      </c>
      <c r="L624">
        <f ca="1">DAYS360(INDIRECT(C69&amp;ROW()),TODAY())</f>
        <v>687</v>
      </c>
      <c r="M624">
        <f ca="1">HYPERLINK(CONCATENATE("https://bugzilla.houston.hp.com:1181/bugzilla/show_bug.cgi?id=",INDIRECT(C70&amp;ROW())),INDIRECT(C70&amp;ROW()))</f>
        <v>63495</v>
      </c>
      <c r="N624">
        <v>63495</v>
      </c>
      <c r="O624" t="s">
        <v>22</v>
      </c>
      <c r="P624" t="s">
        <v>1170</v>
      </c>
      <c r="Q624" t="s">
        <v>16</v>
      </c>
      <c r="R624" t="s">
        <v>783</v>
      </c>
      <c r="S624" t="s">
        <v>552</v>
      </c>
      <c r="U624" s="6">
        <v>42160.458090277774</v>
      </c>
      <c r="V624" t="s">
        <v>18</v>
      </c>
      <c r="W624" t="s">
        <v>783</v>
      </c>
      <c r="X624" s="6">
        <v>42160.017152777778</v>
      </c>
      <c r="Y624" t="s">
        <v>244</v>
      </c>
      <c r="AB624" t="s">
        <v>201</v>
      </c>
      <c r="AC624" t="s">
        <v>247</v>
      </c>
      <c r="AD624" t="s">
        <v>222</v>
      </c>
      <c r="AE624" t="s">
        <v>240</v>
      </c>
      <c r="AG624" t="s">
        <v>121</v>
      </c>
      <c r="AH624" t="s">
        <v>327</v>
      </c>
      <c r="AI624" t="s">
        <v>121</v>
      </c>
      <c r="AJ624" t="s">
        <v>717</v>
      </c>
      <c r="AK624" t="s">
        <v>121</v>
      </c>
    </row>
    <row r="625" spans="9:37" x14ac:dyDescent="0.3">
      <c r="I625">
        <f ca="1">IF(OR(INDIRECT(A73&amp;ROW())=B93,INDIRECT(A73&amp;ROW())=B94),1,IF(AND(INDIRECT(A73&amp;ROW())=B95,INDIRECT(A96&amp;ROW())=C93),1,IF(AND(INDIRECT(A73&amp;ROW())=B95,INDIRECT(A96&amp;ROW())=C94),1,0)))</f>
        <v>0</v>
      </c>
      <c r="J625">
        <f ca="1">IF(AND(INDIRECT(A73&amp;ROW())=B95,INDIRECT(A96&amp;ROW())=C95),1,IF(AND(INDIRECT(A73&amp;ROW())=B95,INDIRECT(A96&amp;ROW())=C96),1,0))</f>
        <v>0</v>
      </c>
      <c r="K625">
        <f ca="1">DAYS360(INDIRECT(C68&amp;ROW()),TODAY())</f>
        <v>687</v>
      </c>
      <c r="L625">
        <f ca="1">DAYS360(INDIRECT(C69&amp;ROW()),TODAY())</f>
        <v>687</v>
      </c>
      <c r="M625">
        <f ca="1">HYPERLINK(CONCATENATE("https://bugzilla.houston.hp.com:1181/bugzilla/show_bug.cgi?id=",INDIRECT(C70&amp;ROW())),INDIRECT(C70&amp;ROW()))</f>
        <v>63496</v>
      </c>
      <c r="N625">
        <v>63496</v>
      </c>
      <c r="O625" t="s">
        <v>22</v>
      </c>
      <c r="P625" t="s">
        <v>1169</v>
      </c>
      <c r="Q625" t="s">
        <v>16</v>
      </c>
      <c r="R625" t="s">
        <v>248</v>
      </c>
      <c r="S625" t="s">
        <v>552</v>
      </c>
      <c r="U625" s="6">
        <v>42160.458078703705</v>
      </c>
      <c r="V625" t="s">
        <v>18</v>
      </c>
      <c r="W625" t="s">
        <v>783</v>
      </c>
      <c r="X625" s="6">
        <v>42160.017199074071</v>
      </c>
      <c r="Y625" t="s">
        <v>244</v>
      </c>
      <c r="AB625" t="s">
        <v>201</v>
      </c>
      <c r="AC625" t="s">
        <v>247</v>
      </c>
      <c r="AD625" t="s">
        <v>222</v>
      </c>
      <c r="AE625" t="s">
        <v>240</v>
      </c>
      <c r="AG625" t="s">
        <v>121</v>
      </c>
      <c r="AH625" t="s">
        <v>327</v>
      </c>
      <c r="AI625" t="s">
        <v>121</v>
      </c>
      <c r="AJ625" t="s">
        <v>717</v>
      </c>
      <c r="AK625" t="s">
        <v>121</v>
      </c>
    </row>
    <row r="626" spans="9:37" x14ac:dyDescent="0.3">
      <c r="I626">
        <f ca="1">IF(OR(INDIRECT(A73&amp;ROW())=B93,INDIRECT(A73&amp;ROW())=B94),1,IF(AND(INDIRECT(A73&amp;ROW())=B95,INDIRECT(A96&amp;ROW())=C93),1,IF(AND(INDIRECT(A73&amp;ROW())=B95,INDIRECT(A96&amp;ROW())=C94),1,0)))</f>
        <v>1</v>
      </c>
      <c r="J626">
        <f ca="1">IF(AND(INDIRECT(A73&amp;ROW())=B95,INDIRECT(A96&amp;ROW())=C95),1,IF(AND(INDIRECT(A73&amp;ROW())=B95,INDIRECT(A96&amp;ROW())=C96),1,0))</f>
        <v>0</v>
      </c>
      <c r="K626">
        <f ca="1">DAYS360(INDIRECT(C68&amp;ROW()),TODAY())</f>
        <v>674</v>
      </c>
      <c r="L626">
        <f ca="1">DAYS360(INDIRECT(C69&amp;ROW()),TODAY())</f>
        <v>687</v>
      </c>
      <c r="M626">
        <f ca="1">HYPERLINK(CONCATENATE("https://bugzilla.houston.hp.com:1181/bugzilla/show_bug.cgi?id=",INDIRECT(C70&amp;ROW())),INDIRECT(C70&amp;ROW()))</f>
        <v>63527</v>
      </c>
      <c r="N626">
        <v>63527</v>
      </c>
      <c r="O626" t="s">
        <v>56</v>
      </c>
      <c r="P626" t="s">
        <v>1168</v>
      </c>
      <c r="Q626" t="s">
        <v>25</v>
      </c>
      <c r="R626" t="s">
        <v>579</v>
      </c>
      <c r="S626" t="s">
        <v>552</v>
      </c>
      <c r="U626" s="6">
        <v>42173.389722222222</v>
      </c>
      <c r="V626" t="s">
        <v>18</v>
      </c>
      <c r="W626" t="s">
        <v>17</v>
      </c>
      <c r="X626" s="6">
        <v>42160.408715277779</v>
      </c>
      <c r="Y626" t="s">
        <v>125</v>
      </c>
      <c r="AB626" t="s">
        <v>200</v>
      </c>
      <c r="AC626" t="s">
        <v>247</v>
      </c>
      <c r="AD626" t="s">
        <v>220</v>
      </c>
      <c r="AE626" t="s">
        <v>219</v>
      </c>
      <c r="AG626" t="s">
        <v>121</v>
      </c>
      <c r="AH626" t="s">
        <v>327</v>
      </c>
      <c r="AI626" t="s">
        <v>121</v>
      </c>
      <c r="AJ626" t="s">
        <v>715</v>
      </c>
      <c r="AK626" t="s">
        <v>121</v>
      </c>
    </row>
    <row r="627" spans="9:37" x14ac:dyDescent="0.3">
      <c r="I627">
        <f ca="1">IF(OR(INDIRECT(A73&amp;ROW())=B93,INDIRECT(A73&amp;ROW())=B94),1,IF(AND(INDIRECT(A73&amp;ROW())=B95,INDIRECT(A96&amp;ROW())=C93),1,IF(AND(INDIRECT(A73&amp;ROW())=B95,INDIRECT(A96&amp;ROW())=C94),1,0)))</f>
        <v>1</v>
      </c>
      <c r="J627">
        <f ca="1">IF(AND(INDIRECT(A73&amp;ROW())=B95,INDIRECT(A96&amp;ROW())=C95),1,IF(AND(INDIRECT(A73&amp;ROW())=B95,INDIRECT(A96&amp;ROW())=C96),1,0))</f>
        <v>0</v>
      </c>
      <c r="K627">
        <f ca="1">DAYS360(INDIRECT(C68&amp;ROW()),TODAY())</f>
        <v>669</v>
      </c>
      <c r="L627">
        <f ca="1">DAYS360(INDIRECT(C69&amp;ROW()),TODAY())</f>
        <v>687</v>
      </c>
      <c r="M627">
        <f ca="1">HYPERLINK(CONCATENATE("https://bugzilla.houston.hp.com:1181/bugzilla/show_bug.cgi?id=",INDIRECT(C70&amp;ROW())),INDIRECT(C70&amp;ROW()))</f>
        <v>63528</v>
      </c>
      <c r="N627">
        <v>63528</v>
      </c>
      <c r="O627" t="s">
        <v>164</v>
      </c>
      <c r="P627" t="s">
        <v>1167</v>
      </c>
      <c r="Q627" t="s">
        <v>25</v>
      </c>
      <c r="R627" t="s">
        <v>783</v>
      </c>
      <c r="S627" t="s">
        <v>552</v>
      </c>
      <c r="U627" s="6">
        <v>42178.225648148145</v>
      </c>
      <c r="V627" t="s">
        <v>18</v>
      </c>
      <c r="W627" t="s">
        <v>17</v>
      </c>
      <c r="X627" s="6">
        <v>42160.408842592595</v>
      </c>
      <c r="Y627" t="s">
        <v>125</v>
      </c>
      <c r="AB627" t="s">
        <v>200</v>
      </c>
      <c r="AC627" t="s">
        <v>247</v>
      </c>
      <c r="AD627" t="s">
        <v>220</v>
      </c>
      <c r="AE627" t="s">
        <v>219</v>
      </c>
      <c r="AG627" t="s">
        <v>1082</v>
      </c>
      <c r="AH627" t="s">
        <v>327</v>
      </c>
      <c r="AI627" t="s">
        <v>121</v>
      </c>
      <c r="AJ627" t="s">
        <v>715</v>
      </c>
      <c r="AK627" t="s">
        <v>121</v>
      </c>
    </row>
    <row r="628" spans="9:37" x14ac:dyDescent="0.3">
      <c r="I628">
        <f ca="1">IF(OR(INDIRECT(A73&amp;ROW())=B93,INDIRECT(A73&amp;ROW())=B94),1,IF(AND(INDIRECT(A73&amp;ROW())=B95,INDIRECT(A96&amp;ROW())=C93),1,IF(AND(INDIRECT(A73&amp;ROW())=B95,INDIRECT(A96&amp;ROW())=C94),1,0)))</f>
        <v>1</v>
      </c>
      <c r="J628">
        <f ca="1">IF(AND(INDIRECT(A73&amp;ROW())=B95,INDIRECT(A96&amp;ROW())=C95),1,IF(AND(INDIRECT(A73&amp;ROW())=B95,INDIRECT(A96&amp;ROW())=C96),1,0))</f>
        <v>0</v>
      </c>
      <c r="K628">
        <f ca="1">DAYS360(INDIRECT(C68&amp;ROW()),TODAY())</f>
        <v>674</v>
      </c>
      <c r="L628">
        <f ca="1">DAYS360(INDIRECT(C69&amp;ROW()),TODAY())</f>
        <v>687</v>
      </c>
      <c r="M628">
        <f ca="1">HYPERLINK(CONCATENATE("https://bugzilla.houston.hp.com:1181/bugzilla/show_bug.cgi?id=",INDIRECT(C70&amp;ROW())),INDIRECT(C70&amp;ROW()))</f>
        <v>63529</v>
      </c>
      <c r="N628">
        <v>63529</v>
      </c>
      <c r="O628" t="s">
        <v>56</v>
      </c>
      <c r="P628" t="s">
        <v>1166</v>
      </c>
      <c r="Q628" t="s">
        <v>25</v>
      </c>
      <c r="R628" t="s">
        <v>248</v>
      </c>
      <c r="S628" t="s">
        <v>552</v>
      </c>
      <c r="U628" s="6">
        <v>42173.389699074076</v>
      </c>
      <c r="V628" t="s">
        <v>18</v>
      </c>
      <c r="W628" t="s">
        <v>17</v>
      </c>
      <c r="X628" s="6">
        <v>42160.40896990741</v>
      </c>
      <c r="Y628" t="s">
        <v>125</v>
      </c>
      <c r="AB628" t="s">
        <v>200</v>
      </c>
      <c r="AC628" t="s">
        <v>247</v>
      </c>
      <c r="AD628" t="s">
        <v>220</v>
      </c>
      <c r="AE628" t="s">
        <v>219</v>
      </c>
      <c r="AG628" t="s">
        <v>121</v>
      </c>
      <c r="AH628" t="s">
        <v>327</v>
      </c>
      <c r="AI628" t="s">
        <v>121</v>
      </c>
      <c r="AJ628" t="s">
        <v>715</v>
      </c>
      <c r="AK628" t="s">
        <v>121</v>
      </c>
    </row>
    <row r="629" spans="9:37" x14ac:dyDescent="0.3">
      <c r="I629">
        <f ca="1">IF(OR(INDIRECT(A73&amp;ROW())=B93,INDIRECT(A73&amp;ROW())=B94),1,IF(AND(INDIRECT(A73&amp;ROW())=B95,INDIRECT(A96&amp;ROW())=C93),1,IF(AND(INDIRECT(A73&amp;ROW())=B95,INDIRECT(A96&amp;ROW())=C94),1,0)))</f>
        <v>0</v>
      </c>
      <c r="J629">
        <f ca="1">IF(AND(INDIRECT(A73&amp;ROW())=B95,INDIRECT(A96&amp;ROW())=C95),1,IF(AND(INDIRECT(A73&amp;ROW())=B95,INDIRECT(A96&amp;ROW())=C96),1,0))</f>
        <v>0</v>
      </c>
      <c r="K629">
        <f ca="1">DAYS360(INDIRECT(C68&amp;ROW()),TODAY())</f>
        <v>687</v>
      </c>
      <c r="L629">
        <f ca="1">DAYS360(INDIRECT(C69&amp;ROW()),TODAY())</f>
        <v>687</v>
      </c>
      <c r="M629">
        <f ca="1">HYPERLINK(CONCATENATE("https://bugzilla.houston.hp.com:1181/bugzilla/show_bug.cgi?id=",INDIRECT(C70&amp;ROW())),INDIRECT(C70&amp;ROW()))</f>
        <v>63582</v>
      </c>
      <c r="N629">
        <v>63582</v>
      </c>
      <c r="O629" t="s">
        <v>292</v>
      </c>
      <c r="P629" t="s">
        <v>1161</v>
      </c>
      <c r="Q629" t="s">
        <v>16</v>
      </c>
      <c r="R629" t="s">
        <v>251</v>
      </c>
      <c r="S629" t="s">
        <v>292</v>
      </c>
      <c r="U629" s="6">
        <v>42160.545601851853</v>
      </c>
      <c r="V629" t="s">
        <v>18</v>
      </c>
      <c r="W629" t="s">
        <v>783</v>
      </c>
      <c r="X629" s="6">
        <v>42160.536643518521</v>
      </c>
      <c r="Y629" t="s">
        <v>122</v>
      </c>
      <c r="AB629" t="s">
        <v>201</v>
      </c>
      <c r="AC629" t="s">
        <v>247</v>
      </c>
      <c r="AD629" t="s">
        <v>220</v>
      </c>
      <c r="AE629" t="s">
        <v>219</v>
      </c>
      <c r="AG629" t="s">
        <v>121</v>
      </c>
      <c r="AH629" t="s">
        <v>327</v>
      </c>
      <c r="AI629" t="s">
        <v>121</v>
      </c>
      <c r="AJ629" t="s">
        <v>717</v>
      </c>
      <c r="AK629" t="s">
        <v>121</v>
      </c>
    </row>
    <row r="630" spans="9:37" x14ac:dyDescent="0.3">
      <c r="I630">
        <f ca="1">IF(OR(INDIRECT(A73&amp;ROW())=B93,INDIRECT(A73&amp;ROW())=B94),1,IF(AND(INDIRECT(A73&amp;ROW())=B95,INDIRECT(A96&amp;ROW())=C93),1,IF(AND(INDIRECT(A73&amp;ROW())=B95,INDIRECT(A96&amp;ROW())=C94),1,0)))</f>
        <v>0</v>
      </c>
      <c r="J630">
        <f ca="1">IF(AND(INDIRECT(A73&amp;ROW())=B95,INDIRECT(A96&amp;ROW())=C95),1,IF(AND(INDIRECT(A73&amp;ROW())=B95,INDIRECT(A96&amp;ROW())=C96),1,0))</f>
        <v>0</v>
      </c>
      <c r="K630">
        <f ca="1">DAYS360(INDIRECT(C68&amp;ROW()),TODAY())</f>
        <v>687</v>
      </c>
      <c r="L630">
        <f ca="1">DAYS360(INDIRECT(C69&amp;ROW()),TODAY())</f>
        <v>687</v>
      </c>
      <c r="M630">
        <f ca="1">HYPERLINK(CONCATENATE("https://bugzilla.houston.hp.com:1181/bugzilla/show_bug.cgi?id=",INDIRECT(C70&amp;ROW())),INDIRECT(C70&amp;ROW()))</f>
        <v>63584</v>
      </c>
      <c r="N630">
        <v>63584</v>
      </c>
      <c r="O630" t="s">
        <v>292</v>
      </c>
      <c r="P630" t="s">
        <v>1160</v>
      </c>
      <c r="Q630" t="s">
        <v>16</v>
      </c>
      <c r="R630" t="s">
        <v>248</v>
      </c>
      <c r="S630" t="s">
        <v>552</v>
      </c>
      <c r="U630" s="6">
        <v>42160.545601851853</v>
      </c>
      <c r="V630" t="s">
        <v>18</v>
      </c>
      <c r="W630" t="s">
        <v>783</v>
      </c>
      <c r="X630" s="6">
        <v>42160.545601851853</v>
      </c>
      <c r="Y630" t="s">
        <v>122</v>
      </c>
      <c r="AB630" t="s">
        <v>201</v>
      </c>
      <c r="AC630" t="s">
        <v>247</v>
      </c>
      <c r="AD630" t="s">
        <v>220</v>
      </c>
      <c r="AE630" t="s">
        <v>219</v>
      </c>
      <c r="AG630" t="s">
        <v>121</v>
      </c>
      <c r="AH630" t="s">
        <v>327</v>
      </c>
      <c r="AI630" t="s">
        <v>121</v>
      </c>
      <c r="AJ630" t="s">
        <v>717</v>
      </c>
      <c r="AK630" t="s">
        <v>121</v>
      </c>
    </row>
    <row r="631" spans="9:37" x14ac:dyDescent="0.3">
      <c r="I631">
        <f ca="1">IF(OR(INDIRECT(A73&amp;ROW())=B93,INDIRECT(A73&amp;ROW())=B94),1,IF(AND(INDIRECT(A73&amp;ROW())=B95,INDIRECT(A96&amp;ROW())=C93),1,IF(AND(INDIRECT(A73&amp;ROW())=B95,INDIRECT(A96&amp;ROW())=C94),1,0)))</f>
        <v>0</v>
      </c>
      <c r="J631">
        <f ca="1">IF(AND(INDIRECT(A73&amp;ROW())=B95,INDIRECT(A96&amp;ROW())=C95),1,IF(AND(INDIRECT(A73&amp;ROW())=B95,INDIRECT(A96&amp;ROW())=C96),1,0))</f>
        <v>0</v>
      </c>
      <c r="K631">
        <f ca="1">DAYS360(INDIRECT(C68&amp;ROW()),TODAY())</f>
        <v>684</v>
      </c>
      <c r="L631">
        <f ca="1">DAYS360(INDIRECT(C69&amp;ROW()),TODAY())</f>
        <v>684</v>
      </c>
      <c r="M631">
        <f ca="1">HYPERLINK(CONCATENATE("https://bugzilla.houston.hp.com:1181/bugzilla/show_bug.cgi?id=",INDIRECT(C70&amp;ROW())),INDIRECT(C70&amp;ROW()))</f>
        <v>63655</v>
      </c>
      <c r="N631">
        <v>63655</v>
      </c>
      <c r="O631" t="s">
        <v>856</v>
      </c>
      <c r="P631" t="s">
        <v>1238</v>
      </c>
      <c r="Q631" t="s">
        <v>16</v>
      </c>
      <c r="R631" t="s">
        <v>248</v>
      </c>
      <c r="S631" t="s">
        <v>856</v>
      </c>
      <c r="U631" s="6">
        <v>42163.22283564815</v>
      </c>
      <c r="V631" t="s">
        <v>35</v>
      </c>
      <c r="W631" t="s">
        <v>248</v>
      </c>
      <c r="X631" s="6">
        <v>42163.215277777781</v>
      </c>
      <c r="Y631" t="s">
        <v>788</v>
      </c>
      <c r="AB631" t="s">
        <v>201</v>
      </c>
      <c r="AC631" t="s">
        <v>247</v>
      </c>
      <c r="AD631" t="s">
        <v>220</v>
      </c>
      <c r="AE631" t="s">
        <v>219</v>
      </c>
      <c r="AG631" t="s">
        <v>121</v>
      </c>
      <c r="AH631" t="s">
        <v>64</v>
      </c>
      <c r="AI631" t="s">
        <v>121</v>
      </c>
      <c r="AJ631" t="s">
        <v>717</v>
      </c>
      <c r="AK631" t="s">
        <v>121</v>
      </c>
    </row>
    <row r="632" spans="9:37" x14ac:dyDescent="0.3">
      <c r="I632">
        <f ca="1">IF(OR(INDIRECT(A73&amp;ROW())=B93,INDIRECT(A73&amp;ROW())=B94),1,IF(AND(INDIRECT(A73&amp;ROW())=B95,INDIRECT(A96&amp;ROW())=C93),1,IF(AND(INDIRECT(A73&amp;ROW())=B95,INDIRECT(A96&amp;ROW())=C94),1,0)))</f>
        <v>0</v>
      </c>
      <c r="J632">
        <f ca="1">IF(AND(INDIRECT(A73&amp;ROW())=B95,INDIRECT(A96&amp;ROW())=C95),1,IF(AND(INDIRECT(A73&amp;ROW())=B95,INDIRECT(A96&amp;ROW())=C96),1,0))</f>
        <v>0</v>
      </c>
      <c r="K632">
        <f ca="1">DAYS360(INDIRECT(C68&amp;ROW()),TODAY())</f>
        <v>684</v>
      </c>
      <c r="L632">
        <f ca="1">DAYS360(INDIRECT(C69&amp;ROW()),TODAY())</f>
        <v>684</v>
      </c>
      <c r="M632">
        <f ca="1">HYPERLINK(CONCATENATE("https://bugzilla.houston.hp.com:1181/bugzilla/show_bug.cgi?id=",INDIRECT(C70&amp;ROW())),INDIRECT(C70&amp;ROW()))</f>
        <v>63657</v>
      </c>
      <c r="N632">
        <v>63657</v>
      </c>
      <c r="O632" t="s">
        <v>856</v>
      </c>
      <c r="P632" t="s">
        <v>1237</v>
      </c>
      <c r="Q632" t="s">
        <v>16</v>
      </c>
      <c r="R632" t="s">
        <v>248</v>
      </c>
      <c r="S632" t="s">
        <v>856</v>
      </c>
      <c r="U632" s="6">
        <v>42163.227430555555</v>
      </c>
      <c r="V632" t="s">
        <v>18</v>
      </c>
      <c r="W632" t="s">
        <v>248</v>
      </c>
      <c r="X632" s="6">
        <v>42163.227430555555</v>
      </c>
      <c r="Y632" t="s">
        <v>788</v>
      </c>
      <c r="AB632" t="s">
        <v>201</v>
      </c>
      <c r="AC632" t="s">
        <v>247</v>
      </c>
      <c r="AD632" t="s">
        <v>220</v>
      </c>
      <c r="AE632" t="s">
        <v>219</v>
      </c>
      <c r="AG632" t="s">
        <v>121</v>
      </c>
      <c r="AH632" t="s">
        <v>64</v>
      </c>
      <c r="AI632" t="s">
        <v>121</v>
      </c>
      <c r="AJ632" t="s">
        <v>717</v>
      </c>
      <c r="AK632" t="s">
        <v>121</v>
      </c>
    </row>
    <row r="633" spans="9:37" x14ac:dyDescent="0.3">
      <c r="I633">
        <f ca="1">IF(OR(INDIRECT(A73&amp;ROW())=B93,INDIRECT(A73&amp;ROW())=B94),1,IF(AND(INDIRECT(A73&amp;ROW())=B95,INDIRECT(A96&amp;ROW())=C93),1,IF(AND(INDIRECT(A73&amp;ROW())=B95,INDIRECT(A96&amp;ROW())=C94),1,0)))</f>
        <v>1</v>
      </c>
      <c r="J633">
        <f ca="1">IF(AND(INDIRECT(A73&amp;ROW())=B95,INDIRECT(A96&amp;ROW())=C95),1,IF(AND(INDIRECT(A73&amp;ROW())=B95,INDIRECT(A96&amp;ROW())=C96),1,0))</f>
        <v>0</v>
      </c>
      <c r="K633">
        <f ca="1">DAYS360(INDIRECT(C68&amp;ROW()),TODAY())</f>
        <v>682</v>
      </c>
      <c r="L633">
        <f ca="1">DAYS360(INDIRECT(C69&amp;ROW()),TODAY())</f>
        <v>684</v>
      </c>
      <c r="M633">
        <f ca="1">HYPERLINK(CONCATENATE("https://bugzilla.houston.hp.com:1181/bugzilla/show_bug.cgi?id=",INDIRECT(C70&amp;ROW())),INDIRECT(C70&amp;ROW()))</f>
        <v>63709</v>
      </c>
      <c r="N633">
        <v>63709</v>
      </c>
      <c r="O633" t="s">
        <v>53</v>
      </c>
      <c r="P633" t="s">
        <v>1236</v>
      </c>
      <c r="Q633" t="s">
        <v>39</v>
      </c>
      <c r="R633" t="s">
        <v>251</v>
      </c>
      <c r="S633" t="s">
        <v>177</v>
      </c>
      <c r="U633" s="6">
        <v>42165.970775462964</v>
      </c>
      <c r="V633" t="s">
        <v>18</v>
      </c>
      <c r="W633" t="s">
        <v>783</v>
      </c>
      <c r="X633" s="6">
        <v>42163.646435185183</v>
      </c>
      <c r="Y633" t="s">
        <v>245</v>
      </c>
      <c r="AB633" t="s">
        <v>201</v>
      </c>
      <c r="AC633" t="s">
        <v>247</v>
      </c>
      <c r="AD633" t="s">
        <v>227</v>
      </c>
      <c r="AE633" t="s">
        <v>237</v>
      </c>
      <c r="AG633" t="s">
        <v>121</v>
      </c>
      <c r="AH633" t="s">
        <v>327</v>
      </c>
      <c r="AI633" t="s">
        <v>121</v>
      </c>
      <c r="AJ633" t="s">
        <v>715</v>
      </c>
      <c r="AK633" t="s">
        <v>121</v>
      </c>
    </row>
    <row r="634" spans="9:37" x14ac:dyDescent="0.3">
      <c r="I634">
        <f ca="1">IF(OR(INDIRECT(A73&amp;ROW())=B93,INDIRECT(A73&amp;ROW())=B94),1,IF(AND(INDIRECT(A73&amp;ROW())=B95,INDIRECT(A96&amp;ROW())=C93),1,IF(AND(INDIRECT(A73&amp;ROW())=B95,INDIRECT(A96&amp;ROW())=C94),1,0)))</f>
        <v>1</v>
      </c>
      <c r="J634">
        <f ca="1">IF(AND(INDIRECT(A73&amp;ROW())=B95,INDIRECT(A96&amp;ROW())=C95),1,IF(AND(INDIRECT(A73&amp;ROW())=B95,INDIRECT(A96&amp;ROW())=C96),1,0))</f>
        <v>0</v>
      </c>
      <c r="K634">
        <f ca="1">DAYS360(INDIRECT(C68&amp;ROW()),TODAY())</f>
        <v>682</v>
      </c>
      <c r="L634">
        <f ca="1">DAYS360(INDIRECT(C69&amp;ROW()),TODAY())</f>
        <v>683</v>
      </c>
      <c r="M634">
        <f ca="1">HYPERLINK(CONCATENATE("https://bugzilla.houston.hp.com:1181/bugzilla/show_bug.cgi?id=",INDIRECT(C70&amp;ROW())),INDIRECT(C70&amp;ROW()))</f>
        <v>63742</v>
      </c>
      <c r="N634">
        <v>63742</v>
      </c>
      <c r="O634" t="s">
        <v>53</v>
      </c>
      <c r="P634" t="s">
        <v>1235</v>
      </c>
      <c r="Q634" t="s">
        <v>39</v>
      </c>
      <c r="R634" t="s">
        <v>579</v>
      </c>
      <c r="S634" t="s">
        <v>552</v>
      </c>
      <c r="U634" s="6">
        <v>42165.970821759256</v>
      </c>
      <c r="V634" t="s">
        <v>18</v>
      </c>
      <c r="W634" t="s">
        <v>783</v>
      </c>
      <c r="X634" s="6">
        <v>42164.017245370371</v>
      </c>
      <c r="Y634" t="s">
        <v>245</v>
      </c>
      <c r="AB634" t="s">
        <v>201</v>
      </c>
      <c r="AC634" t="s">
        <v>247</v>
      </c>
      <c r="AD634" t="s">
        <v>227</v>
      </c>
      <c r="AE634" t="s">
        <v>237</v>
      </c>
      <c r="AG634" t="s">
        <v>121</v>
      </c>
      <c r="AH634" t="s">
        <v>327</v>
      </c>
      <c r="AI634" t="s">
        <v>121</v>
      </c>
      <c r="AJ634" t="s">
        <v>715</v>
      </c>
      <c r="AK634" t="s">
        <v>121</v>
      </c>
    </row>
    <row r="635" spans="9:37" x14ac:dyDescent="0.3">
      <c r="I635">
        <f ca="1">IF(OR(INDIRECT(A73&amp;ROW())=B93,INDIRECT(A73&amp;ROW())=B94),1,IF(AND(INDIRECT(A73&amp;ROW())=B95,INDIRECT(A96&amp;ROW())=C93),1,IF(AND(INDIRECT(A73&amp;ROW())=B95,INDIRECT(A96&amp;ROW())=C94),1,0)))</f>
        <v>1</v>
      </c>
      <c r="J635">
        <f ca="1">IF(AND(INDIRECT(A73&amp;ROW())=B95,INDIRECT(A96&amp;ROW())=C95),1,IF(AND(INDIRECT(A73&amp;ROW())=B95,INDIRECT(A96&amp;ROW())=C96),1,0))</f>
        <v>0</v>
      </c>
      <c r="K635">
        <f ca="1">DAYS360(INDIRECT(C68&amp;ROW()),TODAY())</f>
        <v>682</v>
      </c>
      <c r="L635">
        <f ca="1">DAYS360(INDIRECT(C69&amp;ROW()),TODAY())</f>
        <v>683</v>
      </c>
      <c r="M635">
        <f ca="1">HYPERLINK(CONCATENATE("https://bugzilla.houston.hp.com:1181/bugzilla/show_bug.cgi?id=",INDIRECT(C70&amp;ROW())),INDIRECT(C70&amp;ROW()))</f>
        <v>63743</v>
      </c>
      <c r="N635">
        <v>63743</v>
      </c>
      <c r="O635" t="s">
        <v>53</v>
      </c>
      <c r="P635" t="s">
        <v>1234</v>
      </c>
      <c r="Q635" t="s">
        <v>39</v>
      </c>
      <c r="R635" t="s">
        <v>248</v>
      </c>
      <c r="S635" t="s">
        <v>552</v>
      </c>
      <c r="U635" s="6">
        <v>42165.970821759256</v>
      </c>
      <c r="V635" t="s">
        <v>18</v>
      </c>
      <c r="W635" t="s">
        <v>783</v>
      </c>
      <c r="X635" s="6">
        <v>42164.017314814817</v>
      </c>
      <c r="Y635" t="s">
        <v>245</v>
      </c>
      <c r="AB635" t="s">
        <v>201</v>
      </c>
      <c r="AC635" t="s">
        <v>247</v>
      </c>
      <c r="AD635" t="s">
        <v>227</v>
      </c>
      <c r="AE635" t="s">
        <v>237</v>
      </c>
      <c r="AG635" t="s">
        <v>121</v>
      </c>
      <c r="AH635" t="s">
        <v>327</v>
      </c>
      <c r="AI635" t="s">
        <v>121</v>
      </c>
      <c r="AJ635" t="s">
        <v>715</v>
      </c>
      <c r="AK635" t="s">
        <v>121</v>
      </c>
    </row>
    <row r="636" spans="9:37" x14ac:dyDescent="0.3">
      <c r="I636">
        <f ca="1">IF(OR(INDIRECT(A73&amp;ROW())=B93,INDIRECT(A73&amp;ROW())=B94),1,IF(AND(INDIRECT(A73&amp;ROW())=B95,INDIRECT(A96&amp;ROW())=C93),1,IF(AND(INDIRECT(A73&amp;ROW())=B95,INDIRECT(A96&amp;ROW())=C94),1,0)))</f>
        <v>1</v>
      </c>
      <c r="J636">
        <f ca="1">IF(AND(INDIRECT(A73&amp;ROW())=B95,INDIRECT(A96&amp;ROW())=C95),1,IF(AND(INDIRECT(A73&amp;ROW())=B95,INDIRECT(A96&amp;ROW())=C96),1,0))</f>
        <v>0</v>
      </c>
      <c r="K636">
        <f ca="1">DAYS360(INDIRECT(C68&amp;ROW()),TODAY())</f>
        <v>683</v>
      </c>
      <c r="L636">
        <f ca="1">DAYS360(INDIRECT(C69&amp;ROW()),TODAY())</f>
        <v>683</v>
      </c>
      <c r="M636">
        <f ca="1">HYPERLINK(CONCATENATE("https://bugzilla.houston.hp.com:1181/bugzilla/show_bug.cgi?id=",INDIRECT(C70&amp;ROW())),INDIRECT(C70&amp;ROW()))</f>
        <v>63782</v>
      </c>
      <c r="N636">
        <v>63782</v>
      </c>
      <c r="O636" t="s">
        <v>1233</v>
      </c>
      <c r="P636" t="s">
        <v>1232</v>
      </c>
      <c r="Q636" t="s">
        <v>39</v>
      </c>
      <c r="R636" t="s">
        <v>248</v>
      </c>
      <c r="S636" t="s">
        <v>552</v>
      </c>
      <c r="U636" s="6">
        <v>42164.441678240742</v>
      </c>
      <c r="V636" t="s">
        <v>18</v>
      </c>
      <c r="W636" t="s">
        <v>248</v>
      </c>
      <c r="X636" s="6">
        <v>42164.441678240742</v>
      </c>
      <c r="Y636" t="s">
        <v>255</v>
      </c>
      <c r="AB636" t="s">
        <v>201</v>
      </c>
      <c r="AC636" t="s">
        <v>247</v>
      </c>
      <c r="AD636" t="s">
        <v>220</v>
      </c>
      <c r="AE636" t="s">
        <v>229</v>
      </c>
      <c r="AG636" t="s">
        <v>121</v>
      </c>
      <c r="AH636" t="s">
        <v>328</v>
      </c>
      <c r="AI636" t="s">
        <v>121</v>
      </c>
      <c r="AJ636" t="s">
        <v>715</v>
      </c>
      <c r="AK636" t="s">
        <v>121</v>
      </c>
    </row>
    <row r="637" spans="9:37" x14ac:dyDescent="0.3">
      <c r="I637">
        <f ca="1">IF(OR(INDIRECT(A73&amp;ROW())=B93,INDIRECT(A73&amp;ROW())=B94),1,IF(AND(INDIRECT(A73&amp;ROW())=B95,INDIRECT(A96&amp;ROW())=C93),1,IF(AND(INDIRECT(A73&amp;ROW())=B95,INDIRECT(A96&amp;ROW())=C94),1,0)))</f>
        <v>0</v>
      </c>
      <c r="J637">
        <f ca="1">IF(AND(INDIRECT(A73&amp;ROW())=B95,INDIRECT(A96&amp;ROW())=C95),1,IF(AND(INDIRECT(A73&amp;ROW())=B95,INDIRECT(A96&amp;ROW())=C96),1,0))</f>
        <v>1</v>
      </c>
      <c r="K637">
        <f ca="1">DAYS360(INDIRECT(C68&amp;ROW()),TODAY())</f>
        <v>683</v>
      </c>
      <c r="L637">
        <f ca="1">DAYS360(INDIRECT(C69&amp;ROW()),TODAY())</f>
        <v>683</v>
      </c>
      <c r="M637">
        <f ca="1">HYPERLINK(CONCATENATE("https://bugzilla.houston.hp.com:1181/bugzilla/show_bug.cgi?id=",INDIRECT(C70&amp;ROW())),INDIRECT(C70&amp;ROW()))</f>
        <v>63783</v>
      </c>
      <c r="N637">
        <v>63783</v>
      </c>
      <c r="O637" t="s">
        <v>56</v>
      </c>
      <c r="P637" t="s">
        <v>1231</v>
      </c>
      <c r="Q637" t="s">
        <v>25</v>
      </c>
      <c r="R637" t="s">
        <v>248</v>
      </c>
      <c r="S637" t="s">
        <v>552</v>
      </c>
      <c r="U637" s="6">
        <v>42164.444201388891</v>
      </c>
      <c r="V637" t="s">
        <v>18</v>
      </c>
      <c r="W637" t="s">
        <v>248</v>
      </c>
      <c r="X637" s="6">
        <v>42164.444201388891</v>
      </c>
      <c r="Y637" t="s">
        <v>124</v>
      </c>
      <c r="AB637" t="s">
        <v>201</v>
      </c>
      <c r="AC637" t="s">
        <v>247</v>
      </c>
      <c r="AD637" t="s">
        <v>220</v>
      </c>
      <c r="AE637" t="s">
        <v>219</v>
      </c>
      <c r="AG637" t="s">
        <v>121</v>
      </c>
      <c r="AH637" t="s">
        <v>327</v>
      </c>
      <c r="AI637" t="s">
        <v>121</v>
      </c>
      <c r="AJ637" t="s">
        <v>716</v>
      </c>
      <c r="AK637" t="s">
        <v>121</v>
      </c>
    </row>
    <row r="638" spans="9:37" x14ac:dyDescent="0.3">
      <c r="I638">
        <f ca="1">IF(OR(INDIRECT(A73&amp;ROW())=B93,INDIRECT(A73&amp;ROW())=B94),1,IF(AND(INDIRECT(A73&amp;ROW())=B95,INDIRECT(A96&amp;ROW())=C93),1,IF(AND(INDIRECT(A73&amp;ROW())=B95,INDIRECT(A96&amp;ROW())=C94),1,0)))</f>
        <v>1</v>
      </c>
      <c r="J638">
        <f ca="1">IF(AND(INDIRECT(A73&amp;ROW())=B95,INDIRECT(A96&amp;ROW())=C95),1,IF(AND(INDIRECT(A73&amp;ROW())=B95,INDIRECT(A96&amp;ROW())=C96),1,0))</f>
        <v>0</v>
      </c>
      <c r="K638">
        <f ca="1">DAYS360(INDIRECT(C68&amp;ROW()),TODAY())</f>
        <v>667</v>
      </c>
      <c r="L638">
        <f ca="1">DAYS360(INDIRECT(C69&amp;ROW()),TODAY())</f>
        <v>683</v>
      </c>
      <c r="M638">
        <f ca="1">HYPERLINK(CONCATENATE("https://bugzilla.houston.hp.com:1181/bugzilla/show_bug.cgi?id=",INDIRECT(C70&amp;ROW())),INDIRECT(C70&amp;ROW()))</f>
        <v>63791</v>
      </c>
      <c r="N638">
        <v>63791</v>
      </c>
      <c r="O638" t="s">
        <v>66</v>
      </c>
      <c r="P638" t="s">
        <v>1230</v>
      </c>
      <c r="Q638" t="s">
        <v>25</v>
      </c>
      <c r="R638" t="s">
        <v>251</v>
      </c>
      <c r="S638" t="s">
        <v>24</v>
      </c>
      <c r="U638" s="6">
        <v>42180.1955787037</v>
      </c>
      <c r="V638" t="s">
        <v>40</v>
      </c>
      <c r="W638" t="s">
        <v>783</v>
      </c>
      <c r="X638" s="6">
        <v>42164.610868055555</v>
      </c>
      <c r="Y638" t="s">
        <v>119</v>
      </c>
      <c r="AB638" t="s">
        <v>199</v>
      </c>
      <c r="AC638" t="s">
        <v>247</v>
      </c>
      <c r="AD638" t="s">
        <v>220</v>
      </c>
      <c r="AE638" t="s">
        <v>219</v>
      </c>
      <c r="AG638" t="s">
        <v>121</v>
      </c>
      <c r="AH638" t="s">
        <v>327</v>
      </c>
      <c r="AI638" t="s">
        <v>121</v>
      </c>
      <c r="AJ638" t="s">
        <v>715</v>
      </c>
      <c r="AK638" t="s">
        <v>121</v>
      </c>
    </row>
    <row r="639" spans="9:37" x14ac:dyDescent="0.3">
      <c r="I639">
        <f ca="1">IF(OR(INDIRECT(A73&amp;ROW())=B93,INDIRECT(A73&amp;ROW())=B94),1,IF(AND(INDIRECT(A73&amp;ROW())=B95,INDIRECT(A96&amp;ROW())=C93),1,IF(AND(INDIRECT(A73&amp;ROW())=B95,INDIRECT(A96&amp;ROW())=C94),1,0)))</f>
        <v>0</v>
      </c>
      <c r="J639">
        <f ca="1">IF(AND(INDIRECT(A73&amp;ROW())=B95,INDIRECT(A96&amp;ROW())=C95),1,IF(AND(INDIRECT(A73&amp;ROW())=B95,INDIRECT(A96&amp;ROW())=C96),1,0))</f>
        <v>1</v>
      </c>
      <c r="K639">
        <f ca="1">DAYS360(INDIRECT(C68&amp;ROW()),TODAY())</f>
        <v>682</v>
      </c>
      <c r="L639">
        <f ca="1">DAYS360(INDIRECT(C69&amp;ROW()),TODAY())</f>
        <v>682</v>
      </c>
      <c r="M639">
        <f ca="1">HYPERLINK(CONCATENATE("https://bugzilla.houston.hp.com:1181/bugzilla/show_bug.cgi?id=",INDIRECT(C70&amp;ROW())),INDIRECT(C70&amp;ROW()))</f>
        <v>63807</v>
      </c>
      <c r="N639">
        <v>63807</v>
      </c>
      <c r="O639" t="s">
        <v>56</v>
      </c>
      <c r="P639" t="s">
        <v>1229</v>
      </c>
      <c r="Q639" t="s">
        <v>25</v>
      </c>
      <c r="R639" t="s">
        <v>248</v>
      </c>
      <c r="S639" t="s">
        <v>552</v>
      </c>
      <c r="U639" s="6">
        <v>42165.060370370367</v>
      </c>
      <c r="V639" t="s">
        <v>18</v>
      </c>
      <c r="W639" t="s">
        <v>248</v>
      </c>
      <c r="X639" s="6">
        <v>42165.017500000002</v>
      </c>
      <c r="Y639" t="s">
        <v>124</v>
      </c>
      <c r="AB639" t="s">
        <v>201</v>
      </c>
      <c r="AC639" t="s">
        <v>247</v>
      </c>
      <c r="AD639" t="s">
        <v>220</v>
      </c>
      <c r="AE639" t="s">
        <v>219</v>
      </c>
      <c r="AG639" t="s">
        <v>121</v>
      </c>
      <c r="AH639" t="s">
        <v>327</v>
      </c>
      <c r="AI639" t="s">
        <v>121</v>
      </c>
      <c r="AJ639" t="s">
        <v>716</v>
      </c>
      <c r="AK639" t="s">
        <v>121</v>
      </c>
    </row>
    <row r="640" spans="9:37" x14ac:dyDescent="0.3">
      <c r="I640">
        <f ca="1">IF(OR(INDIRECT(A73&amp;ROW())=B93,INDIRECT(A73&amp;ROW())=B94),1,IF(AND(INDIRECT(A73&amp;ROW())=B95,INDIRECT(A96&amp;ROW())=C93),1,IF(AND(INDIRECT(A73&amp;ROW())=B95,INDIRECT(A96&amp;ROW())=C94),1,0)))</f>
        <v>1</v>
      </c>
      <c r="J640">
        <f ca="1">IF(AND(INDIRECT(A73&amp;ROW())=B95,INDIRECT(A96&amp;ROW())=C95),1,IF(AND(INDIRECT(A73&amp;ROW())=B95,INDIRECT(A96&amp;ROW())=C96),1,0))</f>
        <v>0</v>
      </c>
      <c r="K640">
        <f ca="1">DAYS360(INDIRECT(C68&amp;ROW()),TODAY())</f>
        <v>675</v>
      </c>
      <c r="L640">
        <f ca="1">DAYS360(INDIRECT(C69&amp;ROW()),TODAY())</f>
        <v>682</v>
      </c>
      <c r="M640">
        <f ca="1">HYPERLINK(CONCATENATE("https://bugzilla.houston.hp.com:1181/bugzilla/show_bug.cgi?id=",INDIRECT(C70&amp;ROW())),INDIRECT(C70&amp;ROW()))</f>
        <v>63824</v>
      </c>
      <c r="N640">
        <v>63824</v>
      </c>
      <c r="O640" t="s">
        <v>187</v>
      </c>
      <c r="P640" t="s">
        <v>1228</v>
      </c>
      <c r="Q640" t="s">
        <v>25</v>
      </c>
      <c r="R640" t="s">
        <v>251</v>
      </c>
      <c r="S640" t="s">
        <v>24</v>
      </c>
      <c r="T640" t="s">
        <v>1276</v>
      </c>
      <c r="U640" s="6">
        <v>42172.936631944445</v>
      </c>
      <c r="V640" t="s">
        <v>35</v>
      </c>
      <c r="W640" t="s">
        <v>783</v>
      </c>
      <c r="X640" s="6">
        <v>42165.309444444443</v>
      </c>
      <c r="Y640" t="s">
        <v>119</v>
      </c>
      <c r="AB640" t="s">
        <v>200</v>
      </c>
      <c r="AC640" t="s">
        <v>247</v>
      </c>
      <c r="AD640" t="s">
        <v>220</v>
      </c>
      <c r="AE640" t="s">
        <v>219</v>
      </c>
      <c r="AG640" t="s">
        <v>121</v>
      </c>
      <c r="AH640" t="s">
        <v>327</v>
      </c>
      <c r="AI640" t="s">
        <v>121</v>
      </c>
      <c r="AJ640" t="s">
        <v>715</v>
      </c>
      <c r="AK640" t="s">
        <v>121</v>
      </c>
    </row>
    <row r="641" spans="9:37" x14ac:dyDescent="0.3">
      <c r="I641">
        <f ca="1">IF(OR(INDIRECT(A73&amp;ROW())=B93,INDIRECT(A73&amp;ROW())=B94),1,IF(AND(INDIRECT(A73&amp;ROW())=B95,INDIRECT(A96&amp;ROW())=C93),1,IF(AND(INDIRECT(A73&amp;ROW())=B95,INDIRECT(A96&amp;ROW())=C94),1,0)))</f>
        <v>1</v>
      </c>
      <c r="J641">
        <f ca="1">IF(AND(INDIRECT(A73&amp;ROW())=B95,INDIRECT(A96&amp;ROW())=C95),1,IF(AND(INDIRECT(A73&amp;ROW())=B95,INDIRECT(A96&amp;ROW())=C96),1,0))</f>
        <v>0</v>
      </c>
      <c r="K641">
        <f ca="1">DAYS360(INDIRECT(C68&amp;ROW()),TODAY())</f>
        <v>675</v>
      </c>
      <c r="L641">
        <f ca="1">DAYS360(INDIRECT(C69&amp;ROW()),TODAY())</f>
        <v>682</v>
      </c>
      <c r="M641">
        <f ca="1">HYPERLINK(CONCATENATE("https://bugzilla.houston.hp.com:1181/bugzilla/show_bug.cgi?id=",INDIRECT(C70&amp;ROW())),INDIRECT(C70&amp;ROW()))</f>
        <v>63843</v>
      </c>
      <c r="N641">
        <v>63843</v>
      </c>
      <c r="O641" t="s">
        <v>187</v>
      </c>
      <c r="P641" t="s">
        <v>1227</v>
      </c>
      <c r="Q641" t="s">
        <v>25</v>
      </c>
      <c r="R641" t="s">
        <v>579</v>
      </c>
      <c r="S641" t="s">
        <v>552</v>
      </c>
      <c r="U641" s="6">
        <v>42172.606874999998</v>
      </c>
      <c r="V641" t="s">
        <v>18</v>
      </c>
      <c r="W641" t="s">
        <v>783</v>
      </c>
      <c r="X641" s="6">
        <v>42165.51840277778</v>
      </c>
      <c r="Y641" t="s">
        <v>119</v>
      </c>
      <c r="AB641" t="s">
        <v>200</v>
      </c>
      <c r="AC641" t="s">
        <v>247</v>
      </c>
      <c r="AD641" t="s">
        <v>220</v>
      </c>
      <c r="AE641" t="s">
        <v>219</v>
      </c>
      <c r="AG641" t="s">
        <v>121</v>
      </c>
      <c r="AH641" t="s">
        <v>327</v>
      </c>
      <c r="AI641" t="s">
        <v>121</v>
      </c>
      <c r="AJ641" t="s">
        <v>715</v>
      </c>
      <c r="AK641" t="s">
        <v>121</v>
      </c>
    </row>
    <row r="642" spans="9:37" x14ac:dyDescent="0.3">
      <c r="I642">
        <f ca="1">IF(OR(INDIRECT(A73&amp;ROW())=B93,INDIRECT(A73&amp;ROW())=B94),1,IF(AND(INDIRECT(A73&amp;ROW())=B95,INDIRECT(A96&amp;ROW())=C93),1,IF(AND(INDIRECT(A73&amp;ROW())=B95,INDIRECT(A96&amp;ROW())=C94),1,0)))</f>
        <v>1</v>
      </c>
      <c r="J642">
        <f ca="1">IF(AND(INDIRECT(A73&amp;ROW())=B95,INDIRECT(A96&amp;ROW())=C95),1,IF(AND(INDIRECT(A73&amp;ROW())=B95,INDIRECT(A96&amp;ROW())=C96),1,0))</f>
        <v>0</v>
      </c>
      <c r="K642">
        <f ca="1">DAYS360(INDIRECT(C68&amp;ROW()),TODAY())</f>
        <v>681</v>
      </c>
      <c r="L642">
        <f ca="1">DAYS360(INDIRECT(C69&amp;ROW()),TODAY())</f>
        <v>681</v>
      </c>
      <c r="M642">
        <f ca="1">HYPERLINK(CONCATENATE("https://bugzilla.houston.hp.com:1181/bugzilla/show_bug.cgi?id=",INDIRECT(C70&amp;ROW())),INDIRECT(C70&amp;ROW()))</f>
        <v>63890</v>
      </c>
      <c r="N642">
        <v>63890</v>
      </c>
      <c r="O642" t="s">
        <v>856</v>
      </c>
      <c r="P642" t="s">
        <v>1224</v>
      </c>
      <c r="Q642" t="s">
        <v>25</v>
      </c>
      <c r="R642" t="s">
        <v>579</v>
      </c>
      <c r="S642" t="s">
        <v>552</v>
      </c>
      <c r="T642" t="s">
        <v>48</v>
      </c>
      <c r="U642" s="6">
        <v>42166.259965277779</v>
      </c>
      <c r="V642" t="s">
        <v>18</v>
      </c>
      <c r="W642" t="s">
        <v>17</v>
      </c>
      <c r="X642" s="6">
        <v>42166.259965277779</v>
      </c>
      <c r="Y642" t="s">
        <v>122</v>
      </c>
      <c r="AB642" t="s">
        <v>200</v>
      </c>
      <c r="AC642" t="s">
        <v>247</v>
      </c>
      <c r="AD642" t="s">
        <v>220</v>
      </c>
      <c r="AE642" t="s">
        <v>219</v>
      </c>
      <c r="AG642" t="s">
        <v>121</v>
      </c>
      <c r="AH642" t="s">
        <v>327</v>
      </c>
      <c r="AI642" t="s">
        <v>121</v>
      </c>
      <c r="AJ642" t="s">
        <v>715</v>
      </c>
      <c r="AK642" t="s">
        <v>121</v>
      </c>
    </row>
    <row r="643" spans="9:37" x14ac:dyDescent="0.3">
      <c r="I643">
        <f ca="1">IF(OR(INDIRECT(A73&amp;ROW())=B93,INDIRECT(A73&amp;ROW())=B94),1,IF(AND(INDIRECT(A73&amp;ROW())=B95,INDIRECT(A96&amp;ROW())=C93),1,IF(AND(INDIRECT(A73&amp;ROW())=B95,INDIRECT(A96&amp;ROW())=C94),1,0)))</f>
        <v>1</v>
      </c>
      <c r="J643">
        <f ca="1">IF(AND(INDIRECT(A73&amp;ROW())=B95,INDIRECT(A96&amp;ROW())=C95),1,IF(AND(INDIRECT(A73&amp;ROW())=B95,INDIRECT(A96&amp;ROW())=C96),1,0))</f>
        <v>0</v>
      </c>
      <c r="K643">
        <f ca="1">DAYS360(INDIRECT(C68&amp;ROW()),TODAY())</f>
        <v>676</v>
      </c>
      <c r="L643">
        <f ca="1">DAYS360(INDIRECT(C69&amp;ROW()),TODAY())</f>
        <v>681</v>
      </c>
      <c r="M643">
        <f ca="1">HYPERLINK(CONCATENATE("https://bugzilla.houston.hp.com:1181/bugzilla/show_bug.cgi?id=",INDIRECT(C70&amp;ROW())),INDIRECT(C70&amp;ROW()))</f>
        <v>63894</v>
      </c>
      <c r="N643">
        <v>63894</v>
      </c>
      <c r="O643" t="s">
        <v>66</v>
      </c>
      <c r="P643" t="s">
        <v>1222</v>
      </c>
      <c r="Q643" t="s">
        <v>25</v>
      </c>
      <c r="R643" t="s">
        <v>579</v>
      </c>
      <c r="S643" t="s">
        <v>552</v>
      </c>
      <c r="U643" s="6">
        <v>42171.55300925926</v>
      </c>
      <c r="V643" t="s">
        <v>18</v>
      </c>
      <c r="W643" t="s">
        <v>783</v>
      </c>
      <c r="X643" s="6">
        <v>42166.29755787037</v>
      </c>
      <c r="Y643" t="s">
        <v>119</v>
      </c>
      <c r="AB643" t="s">
        <v>199</v>
      </c>
      <c r="AC643" t="s">
        <v>247</v>
      </c>
      <c r="AD643" t="s">
        <v>220</v>
      </c>
      <c r="AE643" t="s">
        <v>219</v>
      </c>
      <c r="AG643" t="s">
        <v>121</v>
      </c>
      <c r="AH643" t="s">
        <v>327</v>
      </c>
      <c r="AI643" t="s">
        <v>121</v>
      </c>
      <c r="AJ643" t="s">
        <v>715</v>
      </c>
      <c r="AK643" t="s">
        <v>121</v>
      </c>
    </row>
    <row r="644" spans="9:37" x14ac:dyDescent="0.3">
      <c r="I644">
        <f ca="1">IF(OR(INDIRECT(A73&amp;ROW())=B93,INDIRECT(A73&amp;ROW())=B94),1,IF(AND(INDIRECT(A73&amp;ROW())=B95,INDIRECT(A96&amp;ROW())=C93),1,IF(AND(INDIRECT(A73&amp;ROW())=B95,INDIRECT(A96&amp;ROW())=C94),1,0)))</f>
        <v>1</v>
      </c>
      <c r="J644">
        <f ca="1">IF(AND(INDIRECT(A73&amp;ROW())=B95,INDIRECT(A96&amp;ROW())=C95),1,IF(AND(INDIRECT(A73&amp;ROW())=B95,INDIRECT(A96&amp;ROW())=C96),1,0))</f>
        <v>0</v>
      </c>
      <c r="K644">
        <f ca="1">DAYS360(INDIRECT(C68&amp;ROW()),TODAY())</f>
        <v>673</v>
      </c>
      <c r="L644">
        <f ca="1">DAYS360(INDIRECT(C69&amp;ROW()),TODAY())</f>
        <v>681</v>
      </c>
      <c r="M644">
        <f ca="1">HYPERLINK(CONCATENATE("https://bugzilla.houston.hp.com:1181/bugzilla/show_bug.cgi?id=",INDIRECT(C70&amp;ROW())),INDIRECT(C70&amp;ROW()))</f>
        <v>63895</v>
      </c>
      <c r="N644">
        <v>63895</v>
      </c>
      <c r="O644" t="s">
        <v>66</v>
      </c>
      <c r="P644" t="s">
        <v>1221</v>
      </c>
      <c r="Q644" t="s">
        <v>25</v>
      </c>
      <c r="R644" t="s">
        <v>783</v>
      </c>
      <c r="S644" t="s">
        <v>552</v>
      </c>
      <c r="U644" s="6">
        <v>42174.33384259259</v>
      </c>
      <c r="V644" t="s">
        <v>18</v>
      </c>
      <c r="W644" t="s">
        <v>783</v>
      </c>
      <c r="X644" s="6">
        <v>42166.297685185185</v>
      </c>
      <c r="Y644" t="s">
        <v>119</v>
      </c>
      <c r="AB644" t="s">
        <v>199</v>
      </c>
      <c r="AC644" t="s">
        <v>247</v>
      </c>
      <c r="AD644" t="s">
        <v>220</v>
      </c>
      <c r="AE644" t="s">
        <v>219</v>
      </c>
      <c r="AG644" t="s">
        <v>337</v>
      </c>
      <c r="AH644" t="s">
        <v>327</v>
      </c>
      <c r="AI644" t="s">
        <v>121</v>
      </c>
      <c r="AJ644" t="s">
        <v>715</v>
      </c>
      <c r="AK644" t="s">
        <v>1277</v>
      </c>
    </row>
    <row r="645" spans="9:37" x14ac:dyDescent="0.3">
      <c r="I645">
        <f ca="1">IF(OR(INDIRECT(A73&amp;ROW())=B93,INDIRECT(A73&amp;ROW())=B94),1,IF(AND(INDIRECT(A73&amp;ROW())=B95,INDIRECT(A96&amp;ROW())=C93),1,IF(AND(INDIRECT(A73&amp;ROW())=B95,INDIRECT(A96&amp;ROW())=C94),1,0)))</f>
        <v>1</v>
      </c>
      <c r="J645">
        <f ca="1">IF(AND(INDIRECT(A73&amp;ROW())=B95,INDIRECT(A96&amp;ROW())=C95),1,IF(AND(INDIRECT(A73&amp;ROW())=B95,INDIRECT(A96&amp;ROW())=C96),1,0))</f>
        <v>0</v>
      </c>
      <c r="K645">
        <f ca="1">DAYS360(INDIRECT(C68&amp;ROW()),TODAY())</f>
        <v>681</v>
      </c>
      <c r="L645">
        <f ca="1">DAYS360(INDIRECT(C69&amp;ROW()),TODAY())</f>
        <v>681</v>
      </c>
      <c r="M645">
        <f ca="1">HYPERLINK(CONCATENATE("https://bugzilla.houston.hp.com:1181/bugzilla/show_bug.cgi?id=",INDIRECT(C70&amp;ROW())),INDIRECT(C70&amp;ROW()))</f>
        <v>63896</v>
      </c>
      <c r="N645">
        <v>63896</v>
      </c>
      <c r="O645" t="s">
        <v>66</v>
      </c>
      <c r="P645" t="s">
        <v>1220</v>
      </c>
      <c r="Q645" t="s">
        <v>25</v>
      </c>
      <c r="R645" t="s">
        <v>248</v>
      </c>
      <c r="S645" t="s">
        <v>552</v>
      </c>
      <c r="U645" s="6">
        <v>42166.375520833331</v>
      </c>
      <c r="V645" t="s">
        <v>18</v>
      </c>
      <c r="W645" t="s">
        <v>783</v>
      </c>
      <c r="X645" s="6">
        <v>42166.297835648147</v>
      </c>
      <c r="Y645" t="s">
        <v>119</v>
      </c>
      <c r="AB645" t="s">
        <v>199</v>
      </c>
      <c r="AC645" t="s">
        <v>247</v>
      </c>
      <c r="AD645" t="s">
        <v>220</v>
      </c>
      <c r="AE645" t="s">
        <v>219</v>
      </c>
      <c r="AG645" t="s">
        <v>121</v>
      </c>
      <c r="AH645" t="s">
        <v>327</v>
      </c>
      <c r="AI645" t="s">
        <v>121</v>
      </c>
      <c r="AJ645" t="s">
        <v>715</v>
      </c>
      <c r="AK645" t="s">
        <v>121</v>
      </c>
    </row>
    <row r="646" spans="9:37" x14ac:dyDescent="0.3">
      <c r="I646">
        <f ca="1">IF(OR(INDIRECT(A73&amp;ROW())=B93,INDIRECT(A73&amp;ROW())=B94),1,IF(AND(INDIRECT(A73&amp;ROW())=B95,INDIRECT(A96&amp;ROW())=C93),1,IF(AND(INDIRECT(A73&amp;ROW())=B95,INDIRECT(A96&amp;ROW())=C94),1,0)))</f>
        <v>1</v>
      </c>
      <c r="J646">
        <f ca="1">IF(AND(INDIRECT(A73&amp;ROW())=B95,INDIRECT(A96&amp;ROW())=C95),1,IF(AND(INDIRECT(A73&amp;ROW())=B95,INDIRECT(A96&amp;ROW())=C96),1,0))</f>
        <v>0</v>
      </c>
      <c r="K646">
        <f ca="1">DAYS360(INDIRECT(C68&amp;ROW()),TODAY())</f>
        <v>677</v>
      </c>
      <c r="L646">
        <f ca="1">DAYS360(INDIRECT(C69&amp;ROW()),TODAY())</f>
        <v>677</v>
      </c>
      <c r="M646">
        <f ca="1">HYPERLINK(CONCATENATE("https://bugzilla.houston.hp.com:1181/bugzilla/show_bug.cgi?id=",INDIRECT(C70&amp;ROW())),INDIRECT(C70&amp;ROW()))</f>
        <v>64075</v>
      </c>
      <c r="N646">
        <v>64075</v>
      </c>
      <c r="O646" t="s">
        <v>204</v>
      </c>
      <c r="P646" t="s">
        <v>1217</v>
      </c>
      <c r="Q646" t="s">
        <v>25</v>
      </c>
      <c r="R646" t="s">
        <v>579</v>
      </c>
      <c r="S646" t="s">
        <v>552</v>
      </c>
      <c r="T646" t="s">
        <v>54</v>
      </c>
      <c r="U646" s="6">
        <v>42170.554965277777</v>
      </c>
      <c r="V646" t="s">
        <v>18</v>
      </c>
      <c r="W646" t="s">
        <v>17</v>
      </c>
      <c r="X646" s="6">
        <v>42170.554965277777</v>
      </c>
      <c r="Y646" t="s">
        <v>119</v>
      </c>
      <c r="AB646" t="s">
        <v>200</v>
      </c>
      <c r="AC646" t="s">
        <v>121</v>
      </c>
      <c r="AD646" t="s">
        <v>222</v>
      </c>
      <c r="AE646" t="s">
        <v>225</v>
      </c>
      <c r="AG646" t="s">
        <v>121</v>
      </c>
      <c r="AH646" t="s">
        <v>327</v>
      </c>
      <c r="AI646" t="s">
        <v>121</v>
      </c>
      <c r="AJ646" t="s">
        <v>715</v>
      </c>
      <c r="AK646" t="s">
        <v>121</v>
      </c>
    </row>
    <row r="647" spans="9:37" x14ac:dyDescent="0.3">
      <c r="I647">
        <f ca="1">IF(OR(INDIRECT(A73&amp;ROW())=B93,INDIRECT(A73&amp;ROW())=B94),1,IF(AND(INDIRECT(A73&amp;ROW())=B95,INDIRECT(A96&amp;ROW())=C93),1,IF(AND(INDIRECT(A73&amp;ROW())=B95,INDIRECT(A96&amp;ROW())=C94),1,0)))</f>
        <v>1</v>
      </c>
      <c r="J647">
        <f ca="1">IF(AND(INDIRECT(A73&amp;ROW())=B95,INDIRECT(A96&amp;ROW())=C95),1,IF(AND(INDIRECT(A73&amp;ROW())=B95,INDIRECT(A96&amp;ROW())=C96),1,0))</f>
        <v>0</v>
      </c>
      <c r="K647">
        <f ca="1">DAYS360(INDIRECT(C68&amp;ROW()),TODAY())</f>
        <v>668</v>
      </c>
      <c r="L647">
        <f ca="1">DAYS360(INDIRECT(C69&amp;ROW()),TODAY())</f>
        <v>677</v>
      </c>
      <c r="M647">
        <f ca="1">HYPERLINK(CONCATENATE("https://bugzilla.houston.hp.com:1181/bugzilla/show_bug.cgi?id=",INDIRECT(C70&amp;ROW())),INDIRECT(C70&amp;ROW()))</f>
        <v>64077</v>
      </c>
      <c r="N647">
        <v>64077</v>
      </c>
      <c r="O647" t="s">
        <v>55</v>
      </c>
      <c r="P647" t="s">
        <v>1216</v>
      </c>
      <c r="Q647" t="s">
        <v>39</v>
      </c>
      <c r="R647" t="s">
        <v>251</v>
      </c>
      <c r="S647" t="s">
        <v>177</v>
      </c>
      <c r="T647" t="s">
        <v>1215</v>
      </c>
      <c r="U647" s="6">
        <v>42179.319374999999</v>
      </c>
      <c r="V647" t="s">
        <v>35</v>
      </c>
      <c r="W647" t="s">
        <v>783</v>
      </c>
      <c r="X647" s="6">
        <v>42170.574050925927</v>
      </c>
      <c r="Y647" t="s">
        <v>245</v>
      </c>
      <c r="AB647" t="s">
        <v>199</v>
      </c>
      <c r="AC647" t="s">
        <v>247</v>
      </c>
      <c r="AD647" t="s">
        <v>222</v>
      </c>
      <c r="AE647" t="s">
        <v>221</v>
      </c>
      <c r="AG647" t="s">
        <v>121</v>
      </c>
      <c r="AH647" t="s">
        <v>327</v>
      </c>
      <c r="AI647" t="s">
        <v>121</v>
      </c>
      <c r="AJ647" t="s">
        <v>715</v>
      </c>
      <c r="AK647" t="s">
        <v>121</v>
      </c>
    </row>
    <row r="648" spans="9:37" x14ac:dyDescent="0.3">
      <c r="I648">
        <f ca="1">IF(OR(INDIRECT(A73&amp;ROW())=B93,INDIRECT(A73&amp;ROW())=B94),1,IF(AND(INDIRECT(A73&amp;ROW())=B95,INDIRECT(A96&amp;ROW())=C93),1,IF(AND(INDIRECT(A73&amp;ROW())=B95,INDIRECT(A96&amp;ROW())=C94),1,0)))</f>
        <v>1</v>
      </c>
      <c r="J648">
        <f ca="1">IF(AND(INDIRECT(A73&amp;ROW())=B95,INDIRECT(A96&amp;ROW())=C95),1,IF(AND(INDIRECT(A73&amp;ROW())=B95,INDIRECT(A96&amp;ROW())=C96),1,0))</f>
        <v>0</v>
      </c>
      <c r="K648">
        <f ca="1">DAYS360(INDIRECT(C68&amp;ROW()),TODAY())</f>
        <v>677</v>
      </c>
      <c r="L648">
        <f ca="1">DAYS360(INDIRECT(C69&amp;ROW()),TODAY())</f>
        <v>677</v>
      </c>
      <c r="M648">
        <f ca="1">HYPERLINK(CONCATENATE("https://bugzilla.houston.hp.com:1181/bugzilla/show_bug.cgi?id=",INDIRECT(C70&amp;ROW())),INDIRECT(C70&amp;ROW()))</f>
        <v>64078</v>
      </c>
      <c r="N648">
        <v>64078</v>
      </c>
      <c r="O648" t="s">
        <v>55</v>
      </c>
      <c r="P648" t="s">
        <v>1214</v>
      </c>
      <c r="Q648" t="s">
        <v>39</v>
      </c>
      <c r="R648" t="s">
        <v>579</v>
      </c>
      <c r="S648" t="s">
        <v>552</v>
      </c>
      <c r="U648" s="6">
        <v>42170.586562500001</v>
      </c>
      <c r="V648" t="s">
        <v>18</v>
      </c>
      <c r="W648" t="s">
        <v>783</v>
      </c>
      <c r="X648" s="6">
        <v>42170.586562500001</v>
      </c>
      <c r="Y648" t="s">
        <v>245</v>
      </c>
      <c r="AB648" t="s">
        <v>199</v>
      </c>
      <c r="AC648" t="s">
        <v>247</v>
      </c>
      <c r="AD648" t="s">
        <v>222</v>
      </c>
      <c r="AE648" t="s">
        <v>221</v>
      </c>
      <c r="AG648" t="s">
        <v>121</v>
      </c>
      <c r="AH648" t="s">
        <v>327</v>
      </c>
      <c r="AI648" t="s">
        <v>121</v>
      </c>
      <c r="AJ648" t="s">
        <v>715</v>
      </c>
      <c r="AK648" t="s">
        <v>121</v>
      </c>
    </row>
    <row r="649" spans="9:37" x14ac:dyDescent="0.3">
      <c r="I649">
        <f ca="1">IF(OR(INDIRECT(A73&amp;ROW())=B93,INDIRECT(A73&amp;ROW())=B94),1,IF(AND(INDIRECT(A73&amp;ROW())=B95,INDIRECT(A96&amp;ROW())=C93),1,IF(AND(INDIRECT(A73&amp;ROW())=B95,INDIRECT(A96&amp;ROW())=C94),1,0)))</f>
        <v>1</v>
      </c>
      <c r="J649">
        <f ca="1">IF(AND(INDIRECT(A73&amp;ROW())=B95,INDIRECT(A96&amp;ROW())=C95),1,IF(AND(INDIRECT(A73&amp;ROW())=B95,INDIRECT(A96&amp;ROW())=C96),1,0))</f>
        <v>0</v>
      </c>
      <c r="K649">
        <f ca="1">DAYS360(INDIRECT(C68&amp;ROW()),TODAY())</f>
        <v>666</v>
      </c>
      <c r="L649">
        <f ca="1">DAYS360(INDIRECT(C69&amp;ROW()),TODAY())</f>
        <v>677</v>
      </c>
      <c r="M649">
        <f ca="1">HYPERLINK(CONCATENATE("https://bugzilla.houston.hp.com:1181/bugzilla/show_bug.cgi?id=",INDIRECT(C70&amp;ROW())),INDIRECT(C70&amp;ROW()))</f>
        <v>64079</v>
      </c>
      <c r="N649">
        <v>64079</v>
      </c>
      <c r="O649" t="s">
        <v>94</v>
      </c>
      <c r="P649" t="s">
        <v>1213</v>
      </c>
      <c r="Q649" t="s">
        <v>39</v>
      </c>
      <c r="R649" t="s">
        <v>783</v>
      </c>
      <c r="S649" t="s">
        <v>552</v>
      </c>
      <c r="U649" s="6">
        <v>42181.306597222225</v>
      </c>
      <c r="V649" t="s">
        <v>35</v>
      </c>
      <c r="W649" t="s">
        <v>783</v>
      </c>
      <c r="X649" s="6">
        <v>42170.586701388886</v>
      </c>
      <c r="Y649" t="s">
        <v>245</v>
      </c>
      <c r="AB649" t="s">
        <v>199</v>
      </c>
      <c r="AC649" t="s">
        <v>247</v>
      </c>
      <c r="AD649" t="s">
        <v>222</v>
      </c>
      <c r="AE649" t="s">
        <v>225</v>
      </c>
      <c r="AG649" t="s">
        <v>337</v>
      </c>
      <c r="AH649" t="s">
        <v>327</v>
      </c>
      <c r="AI649" t="s">
        <v>121</v>
      </c>
      <c r="AJ649" t="s">
        <v>715</v>
      </c>
      <c r="AK649" t="s">
        <v>1279</v>
      </c>
    </row>
    <row r="650" spans="9:37" x14ac:dyDescent="0.3">
      <c r="I650">
        <f ca="1">IF(OR(INDIRECT(A73&amp;ROW())=B93,INDIRECT(A73&amp;ROW())=B94),1,IF(AND(INDIRECT(A73&amp;ROW())=B95,INDIRECT(A96&amp;ROW())=C93),1,IF(AND(INDIRECT(A73&amp;ROW())=B95,INDIRECT(A96&amp;ROW())=C94),1,0)))</f>
        <v>1</v>
      </c>
      <c r="J650">
        <f ca="1">IF(AND(INDIRECT(A73&amp;ROW())=B95,INDIRECT(A96&amp;ROW())=C95),1,IF(AND(INDIRECT(A73&amp;ROW())=B95,INDIRECT(A96&amp;ROW())=C96),1,0))</f>
        <v>0</v>
      </c>
      <c r="K650">
        <f ca="1">DAYS360(INDIRECT(C68&amp;ROW()),TODAY())</f>
        <v>677</v>
      </c>
      <c r="L650">
        <f ca="1">DAYS360(INDIRECT(C69&amp;ROW()),TODAY())</f>
        <v>677</v>
      </c>
      <c r="M650">
        <f ca="1">HYPERLINK(CONCATENATE("https://bugzilla.houston.hp.com:1181/bugzilla/show_bug.cgi?id=",INDIRECT(C70&amp;ROW())),INDIRECT(C70&amp;ROW()))</f>
        <v>64080</v>
      </c>
      <c r="N650">
        <v>64080</v>
      </c>
      <c r="O650" t="s">
        <v>55</v>
      </c>
      <c r="P650" t="s">
        <v>1212</v>
      </c>
      <c r="Q650" t="s">
        <v>39</v>
      </c>
      <c r="R650" t="s">
        <v>248</v>
      </c>
      <c r="S650" t="s">
        <v>552</v>
      </c>
      <c r="U650" s="6">
        <v>42170.586747685185</v>
      </c>
      <c r="V650" t="s">
        <v>18</v>
      </c>
      <c r="W650" t="s">
        <v>783</v>
      </c>
      <c r="X650" s="6">
        <v>42170.586747685185</v>
      </c>
      <c r="Y650" t="s">
        <v>245</v>
      </c>
      <c r="AB650" t="s">
        <v>199</v>
      </c>
      <c r="AC650" t="s">
        <v>247</v>
      </c>
      <c r="AD650" t="s">
        <v>222</v>
      </c>
      <c r="AE650" t="s">
        <v>221</v>
      </c>
      <c r="AG650" t="s">
        <v>121</v>
      </c>
      <c r="AH650" t="s">
        <v>327</v>
      </c>
      <c r="AI650" t="s">
        <v>121</v>
      </c>
      <c r="AJ650" t="s">
        <v>715</v>
      </c>
      <c r="AK650" t="s">
        <v>121</v>
      </c>
    </row>
    <row r="651" spans="9:37" x14ac:dyDescent="0.3">
      <c r="I651">
        <f ca="1">IF(OR(INDIRECT(A73&amp;ROW())=B93,INDIRECT(A73&amp;ROW())=B94),1,IF(AND(INDIRECT(A73&amp;ROW())=B95,INDIRECT(A96&amp;ROW())=C93),1,IF(AND(INDIRECT(A73&amp;ROW())=B95,INDIRECT(A96&amp;ROW())=C94),1,0)))</f>
        <v>0</v>
      </c>
      <c r="J651">
        <f ca="1">IF(AND(INDIRECT(A73&amp;ROW())=B95,INDIRECT(A96&amp;ROW())=C95),1,IF(AND(INDIRECT(A73&amp;ROW())=B95,INDIRECT(A96&amp;ROW())=C96),1,0))</f>
        <v>0</v>
      </c>
      <c r="K651">
        <f ca="1">DAYS360(INDIRECT(C68&amp;ROW()),TODAY())</f>
        <v>675</v>
      </c>
      <c r="L651">
        <f ca="1">DAYS360(INDIRECT(C69&amp;ROW()),TODAY())</f>
        <v>676</v>
      </c>
      <c r="M651">
        <f ca="1">HYPERLINK(CONCATENATE("https://bugzilla.houston.hp.com:1181/bugzilla/show_bug.cgi?id=",INDIRECT(C70&amp;ROW())),INDIRECT(C70&amp;ROW()))</f>
        <v>64142</v>
      </c>
      <c r="N651">
        <v>64142</v>
      </c>
      <c r="O651" t="s">
        <v>56</v>
      </c>
      <c r="P651" t="s">
        <v>1275</v>
      </c>
      <c r="Q651" t="s">
        <v>16</v>
      </c>
      <c r="R651" t="s">
        <v>579</v>
      </c>
      <c r="S651" t="s">
        <v>552</v>
      </c>
      <c r="U651" s="6">
        <v>42172.064120370371</v>
      </c>
      <c r="V651" t="s">
        <v>18</v>
      </c>
      <c r="W651" t="s">
        <v>63</v>
      </c>
      <c r="X651" s="6">
        <v>42171.419652777775</v>
      </c>
      <c r="Y651" t="s">
        <v>792</v>
      </c>
      <c r="AB651" t="s">
        <v>201</v>
      </c>
      <c r="AC651" t="s">
        <v>247</v>
      </c>
      <c r="AD651" t="s">
        <v>220</v>
      </c>
      <c r="AE651" t="s">
        <v>219</v>
      </c>
      <c r="AG651" t="s">
        <v>121</v>
      </c>
      <c r="AH651" t="s">
        <v>327</v>
      </c>
      <c r="AI651" t="s">
        <v>121</v>
      </c>
      <c r="AJ651" t="s">
        <v>717</v>
      </c>
      <c r="AK651" t="s">
        <v>121</v>
      </c>
    </row>
    <row r="652" spans="9:37" x14ac:dyDescent="0.3">
      <c r="I652">
        <f ca="1">IF(OR(INDIRECT(A73&amp;ROW())=B93,INDIRECT(A73&amp;ROW())=B94),1,IF(AND(INDIRECT(A73&amp;ROW())=B95,INDIRECT(A96&amp;ROW())=C93),1,IF(AND(INDIRECT(A73&amp;ROW())=B95,INDIRECT(A96&amp;ROW())=C94),1,0)))</f>
        <v>0</v>
      </c>
      <c r="J652">
        <f ca="1">IF(AND(INDIRECT(A73&amp;ROW())=B95,INDIRECT(A96&amp;ROW())=C95),1,IF(AND(INDIRECT(A73&amp;ROW())=B95,INDIRECT(A96&amp;ROW())=C96),1,0))</f>
        <v>0</v>
      </c>
      <c r="K652">
        <f ca="1">DAYS360(INDIRECT(C68&amp;ROW()),TODAY())</f>
        <v>675</v>
      </c>
      <c r="L652">
        <f ca="1">DAYS360(INDIRECT(C69&amp;ROW()),TODAY())</f>
        <v>676</v>
      </c>
      <c r="M652">
        <f ca="1">HYPERLINK(CONCATENATE("https://bugzilla.houston.hp.com:1181/bugzilla/show_bug.cgi?id=",INDIRECT(C70&amp;ROW())),INDIRECT(C70&amp;ROW()))</f>
        <v>64143</v>
      </c>
      <c r="N652">
        <v>64143</v>
      </c>
      <c r="O652" t="s">
        <v>56</v>
      </c>
      <c r="P652" t="s">
        <v>1274</v>
      </c>
      <c r="Q652" t="s">
        <v>16</v>
      </c>
      <c r="R652" t="s">
        <v>783</v>
      </c>
      <c r="S652" t="s">
        <v>552</v>
      </c>
      <c r="U652" s="6">
        <v>42172.064236111109</v>
      </c>
      <c r="V652" t="s">
        <v>18</v>
      </c>
      <c r="W652" t="s">
        <v>63</v>
      </c>
      <c r="X652" s="6">
        <v>42171.419722222221</v>
      </c>
      <c r="Y652" t="s">
        <v>792</v>
      </c>
      <c r="AB652" t="s">
        <v>201</v>
      </c>
      <c r="AC652" t="s">
        <v>247</v>
      </c>
      <c r="AD652" t="s">
        <v>220</v>
      </c>
      <c r="AE652" t="s">
        <v>219</v>
      </c>
      <c r="AG652" t="s">
        <v>121</v>
      </c>
      <c r="AH652" t="s">
        <v>327</v>
      </c>
      <c r="AI652" t="s">
        <v>121</v>
      </c>
      <c r="AJ652" t="s">
        <v>717</v>
      </c>
      <c r="AK652" t="s">
        <v>121</v>
      </c>
    </row>
    <row r="653" spans="9:37" x14ac:dyDescent="0.3">
      <c r="I653">
        <f ca="1">IF(OR(INDIRECT(A73&amp;ROW())=B93,INDIRECT(A73&amp;ROW())=B94),1,IF(AND(INDIRECT(A73&amp;ROW())=B95,INDIRECT(A96&amp;ROW())=C93),1,IF(AND(INDIRECT(A73&amp;ROW())=B95,INDIRECT(A96&amp;ROW())=C94),1,0)))</f>
        <v>0</v>
      </c>
      <c r="J653">
        <f ca="1">IF(AND(INDIRECT(A73&amp;ROW())=B95,INDIRECT(A96&amp;ROW())=C95),1,IF(AND(INDIRECT(A73&amp;ROW())=B95,INDIRECT(A96&amp;ROW())=C96),1,0))</f>
        <v>0</v>
      </c>
      <c r="K653">
        <f ca="1">DAYS360(INDIRECT(C68&amp;ROW()),TODAY())</f>
        <v>675</v>
      </c>
      <c r="L653">
        <f ca="1">DAYS360(INDIRECT(C69&amp;ROW()),TODAY())</f>
        <v>676</v>
      </c>
      <c r="M653">
        <f ca="1">HYPERLINK(CONCATENATE("https://bugzilla.houston.hp.com:1181/bugzilla/show_bug.cgi?id=",INDIRECT(C70&amp;ROW())),INDIRECT(C70&amp;ROW()))</f>
        <v>64144</v>
      </c>
      <c r="N653">
        <v>64144</v>
      </c>
      <c r="O653" t="s">
        <v>56</v>
      </c>
      <c r="P653" t="s">
        <v>1273</v>
      </c>
      <c r="Q653" t="s">
        <v>16</v>
      </c>
      <c r="R653" t="s">
        <v>248</v>
      </c>
      <c r="S653" t="s">
        <v>552</v>
      </c>
      <c r="U653" s="6">
        <v>42172.06449074074</v>
      </c>
      <c r="V653" t="s">
        <v>18</v>
      </c>
      <c r="W653" t="s">
        <v>63</v>
      </c>
      <c r="X653" s="6">
        <v>42171.419791666667</v>
      </c>
      <c r="Y653" t="s">
        <v>792</v>
      </c>
      <c r="AB653" t="s">
        <v>201</v>
      </c>
      <c r="AC653" t="s">
        <v>247</v>
      </c>
      <c r="AD653" t="s">
        <v>220</v>
      </c>
      <c r="AE653" t="s">
        <v>219</v>
      </c>
      <c r="AG653" t="s">
        <v>121</v>
      </c>
      <c r="AH653" t="s">
        <v>327</v>
      </c>
      <c r="AI653" t="s">
        <v>121</v>
      </c>
      <c r="AJ653" t="s">
        <v>717</v>
      </c>
      <c r="AK653" t="s">
        <v>121</v>
      </c>
    </row>
    <row r="654" spans="9:37" x14ac:dyDescent="0.3">
      <c r="I654">
        <f ca="1">IF(OR(INDIRECT(A73&amp;ROW())=B93,INDIRECT(A73&amp;ROW())=B94),1,IF(AND(INDIRECT(A73&amp;ROW())=B95,INDIRECT(A96&amp;ROW())=C93),1,IF(AND(INDIRECT(A73&amp;ROW())=B95,INDIRECT(A96&amp;ROW())=C94),1,0)))</f>
        <v>0</v>
      </c>
      <c r="J654">
        <f ca="1">IF(AND(INDIRECT(A73&amp;ROW())=B95,INDIRECT(A96&amp;ROW())=C95),1,IF(AND(INDIRECT(A73&amp;ROW())=B95,INDIRECT(A96&amp;ROW())=C96),1,0))</f>
        <v>0</v>
      </c>
      <c r="K654">
        <f ca="1">DAYS360(INDIRECT(C68&amp;ROW()),TODAY())</f>
        <v>674</v>
      </c>
      <c r="L654">
        <f ca="1">DAYS360(INDIRECT(C69&amp;ROW()),TODAY())</f>
        <v>675</v>
      </c>
      <c r="M654">
        <f ca="1">HYPERLINK(CONCATENATE("https://bugzilla.houston.hp.com:1181/bugzilla/show_bug.cgi?id=",INDIRECT(C70&amp;ROW())),INDIRECT(C70&amp;ROW()))</f>
        <v>64176</v>
      </c>
      <c r="N654">
        <v>64176</v>
      </c>
      <c r="O654" t="s">
        <v>56</v>
      </c>
      <c r="P654" t="s">
        <v>1268</v>
      </c>
      <c r="Q654" t="s">
        <v>16</v>
      </c>
      <c r="R654" t="s">
        <v>248</v>
      </c>
      <c r="S654" t="s">
        <v>552</v>
      </c>
      <c r="U654" s="6">
        <v>42173.387407407405</v>
      </c>
      <c r="V654" t="s">
        <v>18</v>
      </c>
      <c r="W654" t="s">
        <v>248</v>
      </c>
      <c r="X654" s="6">
        <v>42172.017685185187</v>
      </c>
      <c r="Y654" t="s">
        <v>124</v>
      </c>
      <c r="AB654" t="s">
        <v>200</v>
      </c>
      <c r="AC654" t="s">
        <v>247</v>
      </c>
      <c r="AD654" t="s">
        <v>220</v>
      </c>
      <c r="AE654" t="s">
        <v>219</v>
      </c>
      <c r="AG654" t="s">
        <v>121</v>
      </c>
      <c r="AH654" t="s">
        <v>1267</v>
      </c>
      <c r="AI654" t="s">
        <v>121</v>
      </c>
      <c r="AJ654" t="s">
        <v>716</v>
      </c>
      <c r="AK654" t="s">
        <v>121</v>
      </c>
    </row>
    <row r="655" spans="9:37" x14ac:dyDescent="0.3">
      <c r="I655">
        <f ca="1">IF(OR(INDIRECT(A73&amp;ROW())=B93,INDIRECT(A73&amp;ROW())=B94),1,IF(AND(INDIRECT(A73&amp;ROW())=B95,INDIRECT(A96&amp;ROW())=C93),1,IF(AND(INDIRECT(A73&amp;ROW())=B95,INDIRECT(A96&amp;ROW())=C94),1,0)))</f>
        <v>1</v>
      </c>
      <c r="J655">
        <f ca="1">IF(AND(INDIRECT(A73&amp;ROW())=B95,INDIRECT(A96&amp;ROW())=C95),1,IF(AND(INDIRECT(A73&amp;ROW())=B95,INDIRECT(A96&amp;ROW())=C96),1,0))</f>
        <v>0</v>
      </c>
      <c r="K655">
        <f ca="1">DAYS360(INDIRECT(C68&amp;ROW()),TODAY())</f>
        <v>675</v>
      </c>
      <c r="L655">
        <f ca="1">DAYS360(INDIRECT(C69&amp;ROW()),TODAY())</f>
        <v>675</v>
      </c>
      <c r="M655">
        <f ca="1">HYPERLINK(CONCATENATE("https://bugzilla.houston.hp.com:1181/bugzilla/show_bug.cgi?id=",INDIRECT(C70&amp;ROW())),INDIRECT(C70&amp;ROW()))</f>
        <v>64205</v>
      </c>
      <c r="N655">
        <v>64205</v>
      </c>
      <c r="O655" t="s">
        <v>56</v>
      </c>
      <c r="P655" t="s">
        <v>1266</v>
      </c>
      <c r="Q655" t="s">
        <v>25</v>
      </c>
      <c r="R655" t="s">
        <v>579</v>
      </c>
      <c r="S655" t="s">
        <v>552</v>
      </c>
      <c r="U655" s="6">
        <v>42172.340856481482</v>
      </c>
      <c r="V655" t="s">
        <v>18</v>
      </c>
      <c r="W655" t="s">
        <v>63</v>
      </c>
      <c r="X655" s="6">
        <v>42172.340856481482</v>
      </c>
      <c r="Y655" t="s">
        <v>801</v>
      </c>
      <c r="AB655" t="s">
        <v>199</v>
      </c>
      <c r="AC655" t="s">
        <v>247</v>
      </c>
      <c r="AD655" t="s">
        <v>220</v>
      </c>
      <c r="AE655" t="s">
        <v>219</v>
      </c>
      <c r="AG655" t="s">
        <v>121</v>
      </c>
      <c r="AH655" t="s">
        <v>327</v>
      </c>
      <c r="AI655" t="s">
        <v>121</v>
      </c>
      <c r="AJ655" t="s">
        <v>715</v>
      </c>
      <c r="AK655" t="s">
        <v>121</v>
      </c>
    </row>
    <row r="656" spans="9:37" x14ac:dyDescent="0.3">
      <c r="I656">
        <f ca="1">IF(OR(INDIRECT(A73&amp;ROW())=B93,INDIRECT(A73&amp;ROW())=B94),1,IF(AND(INDIRECT(A73&amp;ROW())=B95,INDIRECT(A96&amp;ROW())=C93),1,IF(AND(INDIRECT(A73&amp;ROW())=B95,INDIRECT(A96&amp;ROW())=C94),1,0)))</f>
        <v>1</v>
      </c>
      <c r="J656">
        <f ca="1">IF(AND(INDIRECT(A73&amp;ROW())=B95,INDIRECT(A96&amp;ROW())=C95),1,IF(AND(INDIRECT(A73&amp;ROW())=B95,INDIRECT(A96&amp;ROW())=C96),1,0))</f>
        <v>0</v>
      </c>
      <c r="K656">
        <f ca="1">DAYS360(INDIRECT(C68&amp;ROW()),TODAY())</f>
        <v>670</v>
      </c>
      <c r="L656">
        <f ca="1">DAYS360(INDIRECT(C69&amp;ROW()),TODAY())</f>
        <v>675</v>
      </c>
      <c r="M656">
        <f ca="1">HYPERLINK(CONCATENATE("https://bugzilla.houston.hp.com:1181/bugzilla/show_bug.cgi?id=",INDIRECT(C70&amp;ROW())),INDIRECT(C70&amp;ROW()))</f>
        <v>64206</v>
      </c>
      <c r="N656">
        <v>64206</v>
      </c>
      <c r="O656" t="s">
        <v>59</v>
      </c>
      <c r="P656" t="s">
        <v>1265</v>
      </c>
      <c r="Q656" t="s">
        <v>25</v>
      </c>
      <c r="R656" t="s">
        <v>783</v>
      </c>
      <c r="S656" t="s">
        <v>552</v>
      </c>
      <c r="T656" t="s">
        <v>1122</v>
      </c>
      <c r="U656" s="6">
        <v>42177.331689814811</v>
      </c>
      <c r="V656" t="s">
        <v>35</v>
      </c>
      <c r="W656" t="s">
        <v>63</v>
      </c>
      <c r="X656" s="6">
        <v>42172.340914351851</v>
      </c>
      <c r="Y656" t="s">
        <v>801</v>
      </c>
      <c r="AB656" t="s">
        <v>199</v>
      </c>
      <c r="AC656" t="s">
        <v>247</v>
      </c>
      <c r="AD656" t="s">
        <v>220</v>
      </c>
      <c r="AE656" t="s">
        <v>219</v>
      </c>
      <c r="AG656" t="s">
        <v>337</v>
      </c>
      <c r="AH656" t="s">
        <v>327</v>
      </c>
      <c r="AI656" t="s">
        <v>121</v>
      </c>
      <c r="AJ656" t="s">
        <v>715</v>
      </c>
      <c r="AK656" t="s">
        <v>1277</v>
      </c>
    </row>
    <row r="657" spans="9:37" x14ac:dyDescent="0.3">
      <c r="I657">
        <f ca="1">IF(OR(INDIRECT(A73&amp;ROW())=B93,INDIRECT(A73&amp;ROW())=B94),1,IF(AND(INDIRECT(A73&amp;ROW())=B95,INDIRECT(A96&amp;ROW())=C93),1,IF(AND(INDIRECT(A73&amp;ROW())=B95,INDIRECT(A96&amp;ROW())=C94),1,0)))</f>
        <v>1</v>
      </c>
      <c r="J657">
        <f ca="1">IF(AND(INDIRECT(A73&amp;ROW())=B95,INDIRECT(A96&amp;ROW())=C95),1,IF(AND(INDIRECT(A73&amp;ROW())=B95,INDIRECT(A96&amp;ROW())=C96),1,0))</f>
        <v>0</v>
      </c>
      <c r="K657">
        <f ca="1">DAYS360(INDIRECT(C68&amp;ROW()),TODAY())</f>
        <v>666</v>
      </c>
      <c r="L657">
        <f ca="1">DAYS360(INDIRECT(C69&amp;ROW()),TODAY())</f>
        <v>675</v>
      </c>
      <c r="M657">
        <f ca="1">HYPERLINK(CONCATENATE("https://bugzilla.houston.hp.com:1181/bugzilla/show_bug.cgi?id=",INDIRECT(C70&amp;ROW())),INDIRECT(C70&amp;ROW()))</f>
        <v>64207</v>
      </c>
      <c r="N657">
        <v>64207</v>
      </c>
      <c r="O657" t="s">
        <v>56</v>
      </c>
      <c r="P657" t="s">
        <v>1264</v>
      </c>
      <c r="Q657" t="s">
        <v>25</v>
      </c>
      <c r="R657" t="s">
        <v>248</v>
      </c>
      <c r="S657" t="s">
        <v>552</v>
      </c>
      <c r="T657" t="s">
        <v>54</v>
      </c>
      <c r="U657" s="6">
        <v>42181.070555555554</v>
      </c>
      <c r="V657" t="s">
        <v>35</v>
      </c>
      <c r="W657" t="s">
        <v>63</v>
      </c>
      <c r="X657" s="6">
        <v>42172.340995370374</v>
      </c>
      <c r="Y657" t="s">
        <v>801</v>
      </c>
      <c r="AB657" t="s">
        <v>199</v>
      </c>
      <c r="AC657" t="s">
        <v>247</v>
      </c>
      <c r="AD657" t="s">
        <v>220</v>
      </c>
      <c r="AE657" t="s">
        <v>219</v>
      </c>
      <c r="AG657" t="s">
        <v>121</v>
      </c>
      <c r="AH657" t="s">
        <v>327</v>
      </c>
      <c r="AI657" t="s">
        <v>121</v>
      </c>
      <c r="AJ657" t="s">
        <v>715</v>
      </c>
      <c r="AK657" t="s">
        <v>121</v>
      </c>
    </row>
    <row r="658" spans="9:37" x14ac:dyDescent="0.3">
      <c r="I658">
        <f ca="1">IF(OR(INDIRECT(A73&amp;ROW())=B93,INDIRECT(A73&amp;ROW())=B94),1,IF(AND(INDIRECT(A73&amp;ROW())=B95,INDIRECT(A96&amp;ROW())=C93),1,IF(AND(INDIRECT(A73&amp;ROW())=B95,INDIRECT(A96&amp;ROW())=C94),1,0)))</f>
        <v>1</v>
      </c>
      <c r="J658">
        <f ca="1">IF(AND(INDIRECT(A73&amp;ROW())=B95,INDIRECT(A96&amp;ROW())=C95),1,IF(AND(INDIRECT(A73&amp;ROW())=B95,INDIRECT(A96&amp;ROW())=C96),1,0))</f>
        <v>0</v>
      </c>
      <c r="K658">
        <f ca="1">DAYS360(INDIRECT(C68&amp;ROW()),TODAY())</f>
        <v>663</v>
      </c>
      <c r="L658">
        <f ca="1">DAYS360(INDIRECT(C69&amp;ROW()),TODAY())</f>
        <v>675</v>
      </c>
      <c r="M658">
        <f ca="1">HYPERLINK(CONCATENATE("https://bugzilla.houston.hp.com:1181/bugzilla/show_bug.cgi?id=",INDIRECT(C70&amp;ROW())),INDIRECT(C70&amp;ROW()))</f>
        <v>64221</v>
      </c>
      <c r="N658">
        <v>64221</v>
      </c>
      <c r="O658" t="s">
        <v>204</v>
      </c>
      <c r="P658" t="s">
        <v>1263</v>
      </c>
      <c r="Q658" t="s">
        <v>39</v>
      </c>
      <c r="R658" t="s">
        <v>251</v>
      </c>
      <c r="S658" t="s">
        <v>177</v>
      </c>
      <c r="T658" t="s">
        <v>48</v>
      </c>
      <c r="U658" s="6">
        <v>42184.305636574078</v>
      </c>
      <c r="V658" t="s">
        <v>35</v>
      </c>
      <c r="W658" t="s">
        <v>783</v>
      </c>
      <c r="X658" s="6">
        <v>42172.434386574074</v>
      </c>
      <c r="Y658" t="s">
        <v>245</v>
      </c>
      <c r="AB658" t="s">
        <v>201</v>
      </c>
      <c r="AC658" t="s">
        <v>247</v>
      </c>
      <c r="AD658" t="s">
        <v>220</v>
      </c>
      <c r="AE658" t="s">
        <v>219</v>
      </c>
      <c r="AG658" t="s">
        <v>121</v>
      </c>
      <c r="AH658" t="s">
        <v>327</v>
      </c>
      <c r="AI658" t="s">
        <v>121</v>
      </c>
      <c r="AJ658" t="s">
        <v>715</v>
      </c>
      <c r="AK658" t="s">
        <v>121</v>
      </c>
    </row>
    <row r="659" spans="9:37" x14ac:dyDescent="0.3">
      <c r="I659">
        <f ca="1">IF(OR(INDIRECT(A73&amp;ROW())=B93,INDIRECT(A73&amp;ROW())=B94),1,IF(AND(INDIRECT(A73&amp;ROW())=B95,INDIRECT(A96&amp;ROW())=C93),1,IF(AND(INDIRECT(A73&amp;ROW())=B95,INDIRECT(A96&amp;ROW())=C94),1,0)))</f>
        <v>1</v>
      </c>
      <c r="J659">
        <f ca="1">IF(AND(INDIRECT(A73&amp;ROW())=B95,INDIRECT(A96&amp;ROW())=C95),1,IF(AND(INDIRECT(A73&amp;ROW())=B95,INDIRECT(A96&amp;ROW())=C96),1,0))</f>
        <v>0</v>
      </c>
      <c r="K659">
        <f ca="1">DAYS360(INDIRECT(C68&amp;ROW()),TODAY())</f>
        <v>675</v>
      </c>
      <c r="L659">
        <f ca="1">DAYS360(INDIRECT(C69&amp;ROW()),TODAY())</f>
        <v>675</v>
      </c>
      <c r="M659">
        <f ca="1">HYPERLINK(CONCATENATE("https://bugzilla.houston.hp.com:1181/bugzilla/show_bug.cgi?id=",INDIRECT(C70&amp;ROW())),INDIRECT(C70&amp;ROW()))</f>
        <v>64222</v>
      </c>
      <c r="N659">
        <v>64222</v>
      </c>
      <c r="O659" t="s">
        <v>56</v>
      </c>
      <c r="P659" t="s">
        <v>1262</v>
      </c>
      <c r="Q659" t="s">
        <v>39</v>
      </c>
      <c r="R659" t="s">
        <v>579</v>
      </c>
      <c r="S659" t="s">
        <v>552</v>
      </c>
      <c r="U659" s="6">
        <v>42172.465092592596</v>
      </c>
      <c r="V659" t="s">
        <v>18</v>
      </c>
      <c r="W659" t="s">
        <v>783</v>
      </c>
      <c r="X659" s="6">
        <v>42172.453055555554</v>
      </c>
      <c r="Y659" t="s">
        <v>245</v>
      </c>
      <c r="AB659" t="s">
        <v>201</v>
      </c>
      <c r="AC659" t="s">
        <v>247</v>
      </c>
      <c r="AD659" t="s">
        <v>220</v>
      </c>
      <c r="AE659" t="s">
        <v>219</v>
      </c>
      <c r="AG659" t="s">
        <v>121</v>
      </c>
      <c r="AH659" t="s">
        <v>327</v>
      </c>
      <c r="AI659" t="s">
        <v>121</v>
      </c>
      <c r="AJ659" t="s">
        <v>715</v>
      </c>
      <c r="AK659" t="s">
        <v>121</v>
      </c>
    </row>
    <row r="660" spans="9:37" x14ac:dyDescent="0.3">
      <c r="I660">
        <f ca="1">IF(OR(INDIRECT(A73&amp;ROW())=B93,INDIRECT(A73&amp;ROW())=B94),1,IF(AND(INDIRECT(A73&amp;ROW())=B95,INDIRECT(A96&amp;ROW())=C93),1,IF(AND(INDIRECT(A73&amp;ROW())=B95,INDIRECT(A96&amp;ROW())=C94),1,0)))</f>
        <v>1</v>
      </c>
      <c r="J660">
        <f ca="1">IF(AND(INDIRECT(A73&amp;ROW())=B95,INDIRECT(A96&amp;ROW())=C95),1,IF(AND(INDIRECT(A73&amp;ROW())=B95,INDIRECT(A96&amp;ROW())=C96),1,0))</f>
        <v>0</v>
      </c>
      <c r="K660">
        <f ca="1">DAYS360(INDIRECT(C68&amp;ROW()),TODAY())</f>
        <v>666</v>
      </c>
      <c r="L660">
        <f ca="1">DAYS360(INDIRECT(C69&amp;ROW()),TODAY())</f>
        <v>675</v>
      </c>
      <c r="M660">
        <f ca="1">HYPERLINK(CONCATENATE("https://bugzilla.houston.hp.com:1181/bugzilla/show_bug.cgi?id=",INDIRECT(C70&amp;ROW())),INDIRECT(C70&amp;ROW()))</f>
        <v>64223</v>
      </c>
      <c r="N660">
        <v>64223</v>
      </c>
      <c r="O660" t="s">
        <v>204</v>
      </c>
      <c r="P660" t="s">
        <v>1261</v>
      </c>
      <c r="Q660" t="s">
        <v>39</v>
      </c>
      <c r="R660" t="s">
        <v>783</v>
      </c>
      <c r="S660" t="s">
        <v>552</v>
      </c>
      <c r="U660" s="6">
        <v>42181.284212962964</v>
      </c>
      <c r="V660" t="s">
        <v>18</v>
      </c>
      <c r="W660" t="s">
        <v>783</v>
      </c>
      <c r="X660" s="6">
        <v>42172.453125</v>
      </c>
      <c r="Y660" t="s">
        <v>245</v>
      </c>
      <c r="AB660" t="s">
        <v>201</v>
      </c>
      <c r="AC660" t="s">
        <v>247</v>
      </c>
      <c r="AD660" t="s">
        <v>220</v>
      </c>
      <c r="AE660" t="s">
        <v>219</v>
      </c>
      <c r="AG660" t="s">
        <v>121</v>
      </c>
      <c r="AH660" t="s">
        <v>327</v>
      </c>
      <c r="AI660" t="s">
        <v>121</v>
      </c>
      <c r="AJ660" t="s">
        <v>715</v>
      </c>
      <c r="AK660" t="s">
        <v>121</v>
      </c>
    </row>
    <row r="661" spans="9:37" x14ac:dyDescent="0.3">
      <c r="I661">
        <f ca="1">IF(OR(INDIRECT(A73&amp;ROW())=B93,INDIRECT(A73&amp;ROW())=B94),1,IF(AND(INDIRECT(A73&amp;ROW())=B95,INDIRECT(A96&amp;ROW())=C93),1,IF(AND(INDIRECT(A73&amp;ROW())=B95,INDIRECT(A96&amp;ROW())=C94),1,0)))</f>
        <v>1</v>
      </c>
      <c r="J661">
        <f ca="1">IF(AND(INDIRECT(A73&amp;ROW())=B95,INDIRECT(A96&amp;ROW())=C95),1,IF(AND(INDIRECT(A73&amp;ROW())=B95,INDIRECT(A96&amp;ROW())=C96),1,0))</f>
        <v>0</v>
      </c>
      <c r="K661">
        <f ca="1">DAYS360(INDIRECT(C68&amp;ROW()),TODAY())</f>
        <v>675</v>
      </c>
      <c r="L661">
        <f ca="1">DAYS360(INDIRECT(C69&amp;ROW()),TODAY())</f>
        <v>675</v>
      </c>
      <c r="M661">
        <f ca="1">HYPERLINK(CONCATENATE("https://bugzilla.houston.hp.com:1181/bugzilla/show_bug.cgi?id=",INDIRECT(C70&amp;ROW())),INDIRECT(C70&amp;ROW()))</f>
        <v>64224</v>
      </c>
      <c r="N661">
        <v>64224</v>
      </c>
      <c r="O661" t="s">
        <v>56</v>
      </c>
      <c r="P661" t="s">
        <v>1260</v>
      </c>
      <c r="Q661" t="s">
        <v>39</v>
      </c>
      <c r="R661" t="s">
        <v>248</v>
      </c>
      <c r="S661" t="s">
        <v>552</v>
      </c>
      <c r="U661" s="6">
        <v>42172.465081018519</v>
      </c>
      <c r="V661" t="s">
        <v>18</v>
      </c>
      <c r="W661" t="s">
        <v>783</v>
      </c>
      <c r="X661" s="6">
        <v>42172.453182870369</v>
      </c>
      <c r="Y661" t="s">
        <v>245</v>
      </c>
      <c r="AB661" t="s">
        <v>201</v>
      </c>
      <c r="AC661" t="s">
        <v>247</v>
      </c>
      <c r="AD661" t="s">
        <v>220</v>
      </c>
      <c r="AE661" t="s">
        <v>219</v>
      </c>
      <c r="AG661" t="s">
        <v>121</v>
      </c>
      <c r="AH661" t="s">
        <v>327</v>
      </c>
      <c r="AI661" t="s">
        <v>121</v>
      </c>
      <c r="AJ661" t="s">
        <v>715</v>
      </c>
      <c r="AK661" t="s">
        <v>121</v>
      </c>
    </row>
    <row r="662" spans="9:37" x14ac:dyDescent="0.3">
      <c r="I662">
        <f ca="1">IF(OR(INDIRECT(A73&amp;ROW())=B93,INDIRECT(A73&amp;ROW())=B94),1,IF(AND(INDIRECT(A73&amp;ROW())=B95,INDIRECT(A96&amp;ROW())=C93),1,IF(AND(INDIRECT(A73&amp;ROW())=B95,INDIRECT(A96&amp;ROW())=C94),1,0)))</f>
        <v>0</v>
      </c>
      <c r="J662">
        <f ca="1">IF(AND(INDIRECT(A73&amp;ROW())=B95,INDIRECT(A96&amp;ROW())=C95),1,IF(AND(INDIRECT(A73&amp;ROW())=B95,INDIRECT(A96&amp;ROW())=C96),1,0))</f>
        <v>1</v>
      </c>
      <c r="K662">
        <f ca="1">DAYS360(INDIRECT(C68&amp;ROW()),TODAY())</f>
        <v>675</v>
      </c>
      <c r="L662">
        <f ca="1">DAYS360(INDIRECT(C69&amp;ROW()),TODAY())</f>
        <v>675</v>
      </c>
      <c r="M662">
        <f ca="1">HYPERLINK(CONCATENATE("https://bugzilla.houston.hp.com:1181/bugzilla/show_bug.cgi?id=",INDIRECT(C70&amp;ROW())),INDIRECT(C70&amp;ROW()))</f>
        <v>64245</v>
      </c>
      <c r="N662">
        <v>64245</v>
      </c>
      <c r="O662" t="s">
        <v>22</v>
      </c>
      <c r="P662" t="s">
        <v>1259</v>
      </c>
      <c r="Q662" t="s">
        <v>25</v>
      </c>
      <c r="R662" t="s">
        <v>251</v>
      </c>
      <c r="S662" t="s">
        <v>49</v>
      </c>
      <c r="U662" s="6">
        <v>42172.671354166669</v>
      </c>
      <c r="V662" t="s">
        <v>18</v>
      </c>
      <c r="W662" t="s">
        <v>783</v>
      </c>
      <c r="X662" s="6">
        <v>42172.644525462965</v>
      </c>
      <c r="Y662" t="s">
        <v>244</v>
      </c>
      <c r="AB662" t="s">
        <v>201</v>
      </c>
      <c r="AC662" t="s">
        <v>247</v>
      </c>
      <c r="AD662" t="s">
        <v>222</v>
      </c>
      <c r="AE662" t="s">
        <v>225</v>
      </c>
      <c r="AG662" t="s">
        <v>121</v>
      </c>
      <c r="AH662" t="s">
        <v>327</v>
      </c>
      <c r="AI662" t="s">
        <v>121</v>
      </c>
      <c r="AJ662" t="s">
        <v>716</v>
      </c>
      <c r="AK662" t="s">
        <v>121</v>
      </c>
    </row>
    <row r="663" spans="9:37" x14ac:dyDescent="0.3">
      <c r="I663">
        <f ca="1">IF(OR(INDIRECT(A73&amp;ROW())=B93,INDIRECT(A73&amp;ROW())=B94),1,IF(AND(INDIRECT(A73&amp;ROW())=B95,INDIRECT(A96&amp;ROW())=C93),1,IF(AND(INDIRECT(A73&amp;ROW())=B95,INDIRECT(A96&amp;ROW())=C94),1,0)))</f>
        <v>0</v>
      </c>
      <c r="J663">
        <f ca="1">IF(AND(INDIRECT(A73&amp;ROW())=B95,INDIRECT(A96&amp;ROW())=C95),1,IF(AND(INDIRECT(A73&amp;ROW())=B95,INDIRECT(A96&amp;ROW())=C96),1,0))</f>
        <v>1</v>
      </c>
      <c r="K663">
        <f ca="1">DAYS360(INDIRECT(C68&amp;ROW()),TODAY())</f>
        <v>675</v>
      </c>
      <c r="L663">
        <f ca="1">DAYS360(INDIRECT(C69&amp;ROW()),TODAY())</f>
        <v>675</v>
      </c>
      <c r="M663">
        <f ca="1">HYPERLINK(CONCATENATE("https://bugzilla.houston.hp.com:1181/bugzilla/show_bug.cgi?id=",INDIRECT(C70&amp;ROW())),INDIRECT(C70&amp;ROW()))</f>
        <v>64246</v>
      </c>
      <c r="N663">
        <v>64246</v>
      </c>
      <c r="O663" t="s">
        <v>22</v>
      </c>
      <c r="P663" t="s">
        <v>1258</v>
      </c>
      <c r="Q663" t="s">
        <v>25</v>
      </c>
      <c r="R663" t="s">
        <v>579</v>
      </c>
      <c r="S663" t="s">
        <v>552</v>
      </c>
      <c r="U663" s="6">
        <v>42172.671203703707</v>
      </c>
      <c r="V663" t="s">
        <v>18</v>
      </c>
      <c r="W663" t="s">
        <v>783</v>
      </c>
      <c r="X663" s="6">
        <v>42172.671203703707</v>
      </c>
      <c r="Y663" t="s">
        <v>244</v>
      </c>
      <c r="AB663" t="s">
        <v>201</v>
      </c>
      <c r="AC663" t="s">
        <v>247</v>
      </c>
      <c r="AD663" t="s">
        <v>222</v>
      </c>
      <c r="AE663" t="s">
        <v>225</v>
      </c>
      <c r="AG663" t="s">
        <v>121</v>
      </c>
      <c r="AH663" t="s">
        <v>327</v>
      </c>
      <c r="AI663" t="s">
        <v>121</v>
      </c>
      <c r="AJ663" t="s">
        <v>716</v>
      </c>
      <c r="AK663" t="s">
        <v>121</v>
      </c>
    </row>
    <row r="664" spans="9:37" x14ac:dyDescent="0.3">
      <c r="I664">
        <f ca="1">IF(OR(INDIRECT(A73&amp;ROW())=B93,INDIRECT(A73&amp;ROW())=B94),1,IF(AND(INDIRECT(A73&amp;ROW())=B95,INDIRECT(A96&amp;ROW())=C93),1,IF(AND(INDIRECT(A73&amp;ROW())=B95,INDIRECT(A96&amp;ROW())=C94),1,0)))</f>
        <v>0</v>
      </c>
      <c r="J664">
        <f ca="1">IF(AND(INDIRECT(A73&amp;ROW())=B95,INDIRECT(A96&amp;ROW())=C95),1,IF(AND(INDIRECT(A73&amp;ROW())=B95,INDIRECT(A96&amp;ROW())=C96),1,0))</f>
        <v>1</v>
      </c>
      <c r="K664">
        <f ca="1">DAYS360(INDIRECT(C68&amp;ROW()),TODAY())</f>
        <v>675</v>
      </c>
      <c r="L664">
        <f ca="1">DAYS360(INDIRECT(C69&amp;ROW()),TODAY())</f>
        <v>675</v>
      </c>
      <c r="M664">
        <f ca="1">HYPERLINK(CONCATENATE("https://bugzilla.houston.hp.com:1181/bugzilla/show_bug.cgi?id=",INDIRECT(C70&amp;ROW())),INDIRECT(C70&amp;ROW()))</f>
        <v>64247</v>
      </c>
      <c r="N664">
        <v>64247</v>
      </c>
      <c r="O664" t="s">
        <v>22</v>
      </c>
      <c r="P664" t="s">
        <v>1257</v>
      </c>
      <c r="Q664" t="s">
        <v>25</v>
      </c>
      <c r="R664" t="s">
        <v>783</v>
      </c>
      <c r="S664" t="s">
        <v>552</v>
      </c>
      <c r="U664" s="6">
        <v>42172.671284722222</v>
      </c>
      <c r="V664" t="s">
        <v>18</v>
      </c>
      <c r="W664" t="s">
        <v>783</v>
      </c>
      <c r="X664" s="6">
        <v>42172.671284722222</v>
      </c>
      <c r="Y664" t="s">
        <v>244</v>
      </c>
      <c r="AB664" t="s">
        <v>201</v>
      </c>
      <c r="AC664" t="s">
        <v>247</v>
      </c>
      <c r="AD664" t="s">
        <v>222</v>
      </c>
      <c r="AE664" t="s">
        <v>225</v>
      </c>
      <c r="AG664" t="s">
        <v>121</v>
      </c>
      <c r="AH664" t="s">
        <v>327</v>
      </c>
      <c r="AI664" t="s">
        <v>121</v>
      </c>
      <c r="AJ664" t="s">
        <v>716</v>
      </c>
      <c r="AK664" t="s">
        <v>121</v>
      </c>
    </row>
    <row r="665" spans="9:37" x14ac:dyDescent="0.3">
      <c r="I665">
        <f ca="1">IF(OR(INDIRECT(A73&amp;ROW())=B93,INDIRECT(A73&amp;ROW())=B94),1,IF(AND(INDIRECT(A73&amp;ROW())=B95,INDIRECT(A96&amp;ROW())=C93),1,IF(AND(INDIRECT(A73&amp;ROW())=B95,INDIRECT(A96&amp;ROW())=C94),1,0)))</f>
        <v>0</v>
      </c>
      <c r="J665">
        <f ca="1">IF(AND(INDIRECT(A73&amp;ROW())=B95,INDIRECT(A96&amp;ROW())=C95),1,IF(AND(INDIRECT(A73&amp;ROW())=B95,INDIRECT(A96&amp;ROW())=C96),1,0))</f>
        <v>1</v>
      </c>
      <c r="K665">
        <f ca="1">DAYS360(INDIRECT(C68&amp;ROW()),TODAY())</f>
        <v>675</v>
      </c>
      <c r="L665">
        <f ca="1">DAYS360(INDIRECT(C69&amp;ROW()),TODAY())</f>
        <v>675</v>
      </c>
      <c r="M665">
        <f ca="1">HYPERLINK(CONCATENATE("https://bugzilla.houston.hp.com:1181/bugzilla/show_bug.cgi?id=",INDIRECT(C70&amp;ROW())),INDIRECT(C70&amp;ROW()))</f>
        <v>64248</v>
      </c>
      <c r="N665">
        <v>64248</v>
      </c>
      <c r="O665" t="s">
        <v>22</v>
      </c>
      <c r="P665" t="s">
        <v>1256</v>
      </c>
      <c r="Q665" t="s">
        <v>25</v>
      </c>
      <c r="R665" t="s">
        <v>248</v>
      </c>
      <c r="S665" t="s">
        <v>552</v>
      </c>
      <c r="U665" s="6">
        <v>42172.671354166669</v>
      </c>
      <c r="V665" t="s">
        <v>18</v>
      </c>
      <c r="W665" t="s">
        <v>783</v>
      </c>
      <c r="X665" s="6">
        <v>42172.671354166669</v>
      </c>
      <c r="Y665" t="s">
        <v>244</v>
      </c>
      <c r="AB665" t="s">
        <v>201</v>
      </c>
      <c r="AC665" t="s">
        <v>247</v>
      </c>
      <c r="AD665" t="s">
        <v>222</v>
      </c>
      <c r="AE665" t="s">
        <v>225</v>
      </c>
      <c r="AG665" t="s">
        <v>121</v>
      </c>
      <c r="AH665" t="s">
        <v>327</v>
      </c>
      <c r="AI665" t="s">
        <v>121</v>
      </c>
      <c r="AJ665" t="s">
        <v>716</v>
      </c>
      <c r="AK665" t="s">
        <v>121</v>
      </c>
    </row>
    <row r="666" spans="9:37" x14ac:dyDescent="0.3">
      <c r="I666">
        <f ca="1">IF(OR(INDIRECT(A73&amp;ROW())=B93,INDIRECT(A73&amp;ROW())=B94),1,IF(AND(INDIRECT(A73&amp;ROW())=B95,INDIRECT(A96&amp;ROW())=C93),1,IF(AND(INDIRECT(A73&amp;ROW())=B95,INDIRECT(A96&amp;ROW())=C94),1,0)))</f>
        <v>0</v>
      </c>
      <c r="J666">
        <f ca="1">IF(AND(INDIRECT(A73&amp;ROW())=B95,INDIRECT(A96&amp;ROW())=C95),1,IF(AND(INDIRECT(A73&amp;ROW())=B95,INDIRECT(A96&amp;ROW())=C96),1,0))</f>
        <v>1</v>
      </c>
      <c r="K666">
        <f ca="1">DAYS360(INDIRECT(C68&amp;ROW()),TODAY())</f>
        <v>674</v>
      </c>
      <c r="L666">
        <f ca="1">DAYS360(INDIRECT(C69&amp;ROW()),TODAY())</f>
        <v>674</v>
      </c>
      <c r="M666">
        <f ca="1">HYPERLINK(CONCATENATE("https://bugzilla.houston.hp.com:1181/bugzilla/show_bug.cgi?id=",INDIRECT(C70&amp;ROW())),INDIRECT(C70&amp;ROW()))</f>
        <v>64291</v>
      </c>
      <c r="N666">
        <v>64291</v>
      </c>
      <c r="O666" t="s">
        <v>22</v>
      </c>
      <c r="P666" t="s">
        <v>1315</v>
      </c>
      <c r="Q666" t="s">
        <v>25</v>
      </c>
      <c r="R666" t="s">
        <v>783</v>
      </c>
      <c r="S666" t="s">
        <v>552</v>
      </c>
      <c r="U666" s="6">
        <v>42173.491736111115</v>
      </c>
      <c r="V666" t="s">
        <v>18</v>
      </c>
      <c r="W666" t="s">
        <v>17</v>
      </c>
      <c r="X666" s="6">
        <v>42173.490104166667</v>
      </c>
      <c r="Y666" t="s">
        <v>535</v>
      </c>
      <c r="AB666" t="s">
        <v>201</v>
      </c>
      <c r="AC666" t="s">
        <v>247</v>
      </c>
      <c r="AD666" t="s">
        <v>222</v>
      </c>
      <c r="AE666" t="s">
        <v>221</v>
      </c>
      <c r="AG666" t="s">
        <v>121</v>
      </c>
      <c r="AH666" t="s">
        <v>327</v>
      </c>
      <c r="AI666" t="s">
        <v>121</v>
      </c>
      <c r="AJ666" t="s">
        <v>716</v>
      </c>
      <c r="AK666" t="s">
        <v>121</v>
      </c>
    </row>
    <row r="667" spans="9:37" x14ac:dyDescent="0.3">
      <c r="I667">
        <f ca="1">IF(OR(INDIRECT(A73&amp;ROW())=B93,INDIRECT(A73&amp;ROW())=B94),1,IF(AND(INDIRECT(A73&amp;ROW())=B95,INDIRECT(A96&amp;ROW())=C93),1,IF(AND(INDIRECT(A73&amp;ROW())=B95,INDIRECT(A96&amp;ROW())=C94),1,0)))</f>
        <v>0</v>
      </c>
      <c r="J667">
        <f ca="1">IF(AND(INDIRECT(A73&amp;ROW())=B95,INDIRECT(A96&amp;ROW())=C95),1,IF(AND(INDIRECT(A73&amp;ROW())=B95,INDIRECT(A96&amp;ROW())=C96),1,0))</f>
        <v>0</v>
      </c>
      <c r="K667">
        <f ca="1">DAYS360(INDIRECT(C68&amp;ROW()),TODAY())</f>
        <v>674</v>
      </c>
      <c r="L667">
        <f ca="1">DAYS360(INDIRECT(C69&amp;ROW()),TODAY())</f>
        <v>674</v>
      </c>
      <c r="M667">
        <f ca="1">HYPERLINK(CONCATENATE("https://bugzilla.houston.hp.com:1181/bugzilla/show_bug.cgi?id=",INDIRECT(C70&amp;ROW())),INDIRECT(C70&amp;ROW()))</f>
        <v>64295</v>
      </c>
      <c r="N667">
        <v>64295</v>
      </c>
      <c r="O667" t="s">
        <v>250</v>
      </c>
      <c r="P667" t="s">
        <v>1314</v>
      </c>
      <c r="Q667" t="s">
        <v>16</v>
      </c>
      <c r="R667" t="s">
        <v>579</v>
      </c>
      <c r="S667" t="s">
        <v>552</v>
      </c>
      <c r="U667" s="6">
        <v>42173.524675925924</v>
      </c>
      <c r="V667" t="s">
        <v>18</v>
      </c>
      <c r="W667" t="s">
        <v>17</v>
      </c>
      <c r="X667" s="6">
        <v>42173.524675925924</v>
      </c>
      <c r="Y667" t="s">
        <v>255</v>
      </c>
      <c r="AB667" t="s">
        <v>200</v>
      </c>
      <c r="AC667" t="s">
        <v>247</v>
      </c>
      <c r="AD667" t="s">
        <v>222</v>
      </c>
      <c r="AE667" t="s">
        <v>221</v>
      </c>
      <c r="AG667" t="s">
        <v>121</v>
      </c>
      <c r="AH667" t="s">
        <v>327</v>
      </c>
      <c r="AI667" t="s">
        <v>121</v>
      </c>
      <c r="AJ667" t="s">
        <v>716</v>
      </c>
      <c r="AK667" t="s">
        <v>121</v>
      </c>
    </row>
    <row r="668" spans="9:37" x14ac:dyDescent="0.3">
      <c r="I668">
        <f ca="1">IF(OR(INDIRECT(A73&amp;ROW())=B93,INDIRECT(A73&amp;ROW())=B94),1,IF(AND(INDIRECT(A73&amp;ROW())=B95,INDIRECT(A96&amp;ROW())=C93),1,IF(AND(INDIRECT(A73&amp;ROW())=B95,INDIRECT(A96&amp;ROW())=C94),1,0)))</f>
        <v>0</v>
      </c>
      <c r="J668">
        <f ca="1">IF(AND(INDIRECT(A73&amp;ROW())=B95,INDIRECT(A96&amp;ROW())=C95),1,IF(AND(INDIRECT(A73&amp;ROW())=B95,INDIRECT(A96&amp;ROW())=C96),1,0))</f>
        <v>0</v>
      </c>
      <c r="K668">
        <f ca="1">DAYS360(INDIRECT(C68&amp;ROW()),TODAY())</f>
        <v>674</v>
      </c>
      <c r="L668">
        <f ca="1">DAYS360(INDIRECT(C69&amp;ROW()),TODAY())</f>
        <v>674</v>
      </c>
      <c r="M668">
        <f ca="1">HYPERLINK(CONCATENATE("https://bugzilla.houston.hp.com:1181/bugzilla/show_bug.cgi?id=",INDIRECT(C70&amp;ROW())),INDIRECT(C70&amp;ROW()))</f>
        <v>64296</v>
      </c>
      <c r="N668">
        <v>64296</v>
      </c>
      <c r="O668" t="s">
        <v>250</v>
      </c>
      <c r="P668" t="s">
        <v>1313</v>
      </c>
      <c r="Q668" t="s">
        <v>16</v>
      </c>
      <c r="R668" t="s">
        <v>783</v>
      </c>
      <c r="S668" t="s">
        <v>552</v>
      </c>
      <c r="U668" s="6">
        <v>42173.524733796294</v>
      </c>
      <c r="V668" t="s">
        <v>18</v>
      </c>
      <c r="W668" t="s">
        <v>17</v>
      </c>
      <c r="X668" s="6">
        <v>42173.524733796294</v>
      </c>
      <c r="Y668" t="s">
        <v>255</v>
      </c>
      <c r="AB668" t="s">
        <v>200</v>
      </c>
      <c r="AC668" t="s">
        <v>247</v>
      </c>
      <c r="AD668" t="s">
        <v>222</v>
      </c>
      <c r="AE668" t="s">
        <v>221</v>
      </c>
      <c r="AG668" t="s">
        <v>121</v>
      </c>
      <c r="AH668" t="s">
        <v>327</v>
      </c>
      <c r="AI668" t="s">
        <v>121</v>
      </c>
      <c r="AJ668" t="s">
        <v>716</v>
      </c>
      <c r="AK668" t="s">
        <v>121</v>
      </c>
    </row>
    <row r="669" spans="9:37" x14ac:dyDescent="0.3">
      <c r="I669">
        <f ca="1">IF(OR(INDIRECT(A73&amp;ROW())=B93,INDIRECT(A73&amp;ROW())=B94),1,IF(AND(INDIRECT(A73&amp;ROW())=B95,INDIRECT(A96&amp;ROW())=C93),1,IF(AND(INDIRECT(A73&amp;ROW())=B95,INDIRECT(A96&amp;ROW())=C94),1,0)))</f>
        <v>0</v>
      </c>
      <c r="J669">
        <f ca="1">IF(AND(INDIRECT(A73&amp;ROW())=B95,INDIRECT(A96&amp;ROW())=C95),1,IF(AND(INDIRECT(A73&amp;ROW())=B95,INDIRECT(A96&amp;ROW())=C96),1,0))</f>
        <v>1</v>
      </c>
      <c r="K669">
        <f ca="1">DAYS360(INDIRECT(C68&amp;ROW()),TODAY())</f>
        <v>674</v>
      </c>
      <c r="L669">
        <f ca="1">DAYS360(INDIRECT(C69&amp;ROW()),TODAY())</f>
        <v>674</v>
      </c>
      <c r="M669">
        <f ca="1">HYPERLINK(CONCATENATE("https://bugzilla.houston.hp.com:1181/bugzilla/show_bug.cgi?id=",INDIRECT(C70&amp;ROW())),INDIRECT(C70&amp;ROW()))</f>
        <v>64300</v>
      </c>
      <c r="N669">
        <v>64300</v>
      </c>
      <c r="O669" t="s">
        <v>56</v>
      </c>
      <c r="P669" t="s">
        <v>1312</v>
      </c>
      <c r="Q669" t="s">
        <v>25</v>
      </c>
      <c r="R669" t="s">
        <v>579</v>
      </c>
      <c r="S669" t="s">
        <v>552</v>
      </c>
      <c r="U669" s="6">
        <v>42173.599317129629</v>
      </c>
      <c r="V669" t="s">
        <v>18</v>
      </c>
      <c r="W669" t="s">
        <v>17</v>
      </c>
      <c r="X669" s="6">
        <v>42173.599317129629</v>
      </c>
      <c r="Y669" t="s">
        <v>122</v>
      </c>
      <c r="AB669" t="s">
        <v>201</v>
      </c>
      <c r="AC669" t="s">
        <v>247</v>
      </c>
      <c r="AD669" t="s">
        <v>220</v>
      </c>
      <c r="AE669" t="s">
        <v>219</v>
      </c>
      <c r="AG669" t="s">
        <v>121</v>
      </c>
      <c r="AH669" t="s">
        <v>327</v>
      </c>
      <c r="AI669" t="s">
        <v>121</v>
      </c>
      <c r="AJ669" t="s">
        <v>716</v>
      </c>
      <c r="AK669" t="s">
        <v>121</v>
      </c>
    </row>
    <row r="670" spans="9:37" x14ac:dyDescent="0.3">
      <c r="I670">
        <f ca="1">IF(OR(INDIRECT(A73&amp;ROW())=B93,INDIRECT(A73&amp;ROW())=B94),1,IF(AND(INDIRECT(A73&amp;ROW())=B95,INDIRECT(A96&amp;ROW())=C93),1,IF(AND(INDIRECT(A73&amp;ROW())=B95,INDIRECT(A96&amp;ROW())=C94),1,0)))</f>
        <v>0</v>
      </c>
      <c r="J670">
        <f ca="1">IF(AND(INDIRECT(A73&amp;ROW())=B95,INDIRECT(A96&amp;ROW())=C95),1,IF(AND(INDIRECT(A73&amp;ROW())=B95,INDIRECT(A96&amp;ROW())=C96),1,0))</f>
        <v>1</v>
      </c>
      <c r="K670">
        <f ca="1">DAYS360(INDIRECT(C68&amp;ROW()),TODAY())</f>
        <v>674</v>
      </c>
      <c r="L670">
        <f ca="1">DAYS360(INDIRECT(C69&amp;ROW()),TODAY())</f>
        <v>674</v>
      </c>
      <c r="M670">
        <f ca="1">HYPERLINK(CONCATENATE("https://bugzilla.houston.hp.com:1181/bugzilla/show_bug.cgi?id=",INDIRECT(C70&amp;ROW())),INDIRECT(C70&amp;ROW()))</f>
        <v>64301</v>
      </c>
      <c r="N670">
        <v>64301</v>
      </c>
      <c r="O670" t="s">
        <v>56</v>
      </c>
      <c r="P670" t="s">
        <v>1311</v>
      </c>
      <c r="Q670" t="s">
        <v>25</v>
      </c>
      <c r="R670" t="s">
        <v>783</v>
      </c>
      <c r="S670" t="s">
        <v>552</v>
      </c>
      <c r="U670" s="6">
        <v>42173.599386574075</v>
      </c>
      <c r="V670" t="s">
        <v>18</v>
      </c>
      <c r="W670" t="s">
        <v>17</v>
      </c>
      <c r="X670" s="6">
        <v>42173.599386574075</v>
      </c>
      <c r="Y670" t="s">
        <v>122</v>
      </c>
      <c r="AB670" t="s">
        <v>201</v>
      </c>
      <c r="AC670" t="s">
        <v>247</v>
      </c>
      <c r="AD670" t="s">
        <v>220</v>
      </c>
      <c r="AE670" t="s">
        <v>219</v>
      </c>
      <c r="AG670" t="s">
        <v>121</v>
      </c>
      <c r="AH670" t="s">
        <v>327</v>
      </c>
      <c r="AI670" t="s">
        <v>121</v>
      </c>
      <c r="AJ670" t="s">
        <v>716</v>
      </c>
      <c r="AK670" t="s">
        <v>121</v>
      </c>
    </row>
    <row r="671" spans="9:37" x14ac:dyDescent="0.3">
      <c r="I671">
        <f ca="1">IF(OR(INDIRECT(A73&amp;ROW())=B93,INDIRECT(A73&amp;ROW())=B94),1,IF(AND(INDIRECT(A73&amp;ROW())=B95,INDIRECT(A96&amp;ROW())=C93),1,IF(AND(INDIRECT(A73&amp;ROW())=B95,INDIRECT(A96&amp;ROW())=C94),1,0)))</f>
        <v>0</v>
      </c>
      <c r="J671">
        <f ca="1">IF(AND(INDIRECT(A73&amp;ROW())=B95,INDIRECT(A96&amp;ROW())=C95),1,IF(AND(INDIRECT(A73&amp;ROW())=B95,INDIRECT(A96&amp;ROW())=C96),1,0))</f>
        <v>0</v>
      </c>
      <c r="K671">
        <f ca="1">DAYS360(INDIRECT(C68&amp;ROW()),TODAY())</f>
        <v>673</v>
      </c>
      <c r="L671">
        <f ca="1">DAYS360(INDIRECT(C69&amp;ROW()),TODAY())</f>
        <v>673</v>
      </c>
      <c r="M671">
        <f ca="1">HYPERLINK(CONCATENATE("https://bugzilla.houston.hp.com:1181/bugzilla/show_bug.cgi?id=",INDIRECT(C70&amp;ROW())),INDIRECT(C70&amp;ROW()))</f>
        <v>64320</v>
      </c>
      <c r="N671">
        <v>64320</v>
      </c>
      <c r="O671" t="s">
        <v>203</v>
      </c>
      <c r="P671" t="s">
        <v>1310</v>
      </c>
      <c r="Q671" t="s">
        <v>16</v>
      </c>
      <c r="R671" t="s">
        <v>248</v>
      </c>
      <c r="S671" t="s">
        <v>203</v>
      </c>
      <c r="U671" s="6">
        <v>42174.212199074071</v>
      </c>
      <c r="V671" t="s">
        <v>35</v>
      </c>
      <c r="W671" t="s">
        <v>248</v>
      </c>
      <c r="X671" s="6">
        <v>42174.212199074071</v>
      </c>
      <c r="Y671" t="s">
        <v>788</v>
      </c>
      <c r="AB671" t="s">
        <v>201</v>
      </c>
      <c r="AC671" t="s">
        <v>247</v>
      </c>
      <c r="AD671" t="s">
        <v>220</v>
      </c>
      <c r="AE671" t="s">
        <v>219</v>
      </c>
      <c r="AG671" t="s">
        <v>121</v>
      </c>
      <c r="AH671" t="s">
        <v>327</v>
      </c>
      <c r="AI671" t="s">
        <v>121</v>
      </c>
      <c r="AJ671" t="s">
        <v>717</v>
      </c>
      <c r="AK671" t="s">
        <v>121</v>
      </c>
    </row>
    <row r="672" spans="9:37" x14ac:dyDescent="0.3">
      <c r="I672">
        <f ca="1">IF(OR(INDIRECT(A73&amp;ROW())=B93,INDIRECT(A73&amp;ROW())=B94),1,IF(AND(INDIRECT(A73&amp;ROW())=B95,INDIRECT(A96&amp;ROW())=C93),1,IF(AND(INDIRECT(A73&amp;ROW())=B95,INDIRECT(A96&amp;ROW())=C94),1,0)))</f>
        <v>0</v>
      </c>
      <c r="J672">
        <f ca="1">IF(AND(INDIRECT(A73&amp;ROW())=B95,INDIRECT(A96&amp;ROW())=C95),1,IF(AND(INDIRECT(A73&amp;ROW())=B95,INDIRECT(A96&amp;ROW())=C96),1,0))</f>
        <v>0</v>
      </c>
      <c r="K672">
        <f ca="1">DAYS360(INDIRECT(C68&amp;ROW()),TODAY())</f>
        <v>673</v>
      </c>
      <c r="L672">
        <f ca="1">DAYS360(INDIRECT(C69&amp;ROW()),TODAY())</f>
        <v>673</v>
      </c>
      <c r="M672">
        <f ca="1">HYPERLINK(CONCATENATE("https://bugzilla.houston.hp.com:1181/bugzilla/show_bug.cgi?id=",INDIRECT(C70&amp;ROW())),INDIRECT(C70&amp;ROW()))</f>
        <v>64321</v>
      </c>
      <c r="N672">
        <v>64321</v>
      </c>
      <c r="O672" t="s">
        <v>203</v>
      </c>
      <c r="P672" t="s">
        <v>1309</v>
      </c>
      <c r="Q672" t="s">
        <v>16</v>
      </c>
      <c r="R672" t="s">
        <v>248</v>
      </c>
      <c r="S672" t="s">
        <v>203</v>
      </c>
      <c r="U672" s="6">
        <v>42174.246932870374</v>
      </c>
      <c r="V672" t="s">
        <v>35</v>
      </c>
      <c r="W672" t="s">
        <v>248</v>
      </c>
      <c r="X672" s="6">
        <v>42174.246932870374</v>
      </c>
      <c r="Y672" t="s">
        <v>788</v>
      </c>
      <c r="AB672" t="s">
        <v>201</v>
      </c>
      <c r="AC672" t="s">
        <v>247</v>
      </c>
      <c r="AD672" t="s">
        <v>220</v>
      </c>
      <c r="AE672" t="s">
        <v>219</v>
      </c>
      <c r="AG672" t="s">
        <v>121</v>
      </c>
      <c r="AH672" t="s">
        <v>327</v>
      </c>
      <c r="AI672" t="s">
        <v>121</v>
      </c>
      <c r="AJ672" t="s">
        <v>717</v>
      </c>
      <c r="AK672" t="s">
        <v>121</v>
      </c>
    </row>
    <row r="673" spans="9:37" x14ac:dyDescent="0.3">
      <c r="I673">
        <f ca="1">IF(OR(INDIRECT(A73&amp;ROW())=B93,INDIRECT(A73&amp;ROW())=B94),1,IF(AND(INDIRECT(A73&amp;ROW())=B95,INDIRECT(A96&amp;ROW())=C93),1,IF(AND(INDIRECT(A73&amp;ROW())=B95,INDIRECT(A96&amp;ROW())=C94),1,0)))</f>
        <v>1</v>
      </c>
      <c r="J673">
        <f ca="1">IF(AND(INDIRECT(A73&amp;ROW())=B95,INDIRECT(A96&amp;ROW())=C95),1,IF(AND(INDIRECT(A73&amp;ROW())=B95,INDIRECT(A96&amp;ROW())=C96),1,0))</f>
        <v>0</v>
      </c>
      <c r="K673">
        <f ca="1">DAYS360(INDIRECT(C68&amp;ROW()),TODAY())</f>
        <v>663</v>
      </c>
      <c r="L673">
        <f ca="1">DAYS360(INDIRECT(C69&amp;ROW()),TODAY())</f>
        <v>673</v>
      </c>
      <c r="M673">
        <f ca="1">HYPERLINK(CONCATENATE("https://bugzilla.houston.hp.com:1181/bugzilla/show_bug.cgi?id=",INDIRECT(C70&amp;ROW())),INDIRECT(C70&amp;ROW()))</f>
        <v>64333</v>
      </c>
      <c r="N673">
        <v>64333</v>
      </c>
      <c r="O673" t="s">
        <v>66</v>
      </c>
      <c r="P673" t="s">
        <v>1308</v>
      </c>
      <c r="Q673" t="s">
        <v>39</v>
      </c>
      <c r="R673" t="s">
        <v>783</v>
      </c>
      <c r="S673" t="s">
        <v>552</v>
      </c>
      <c r="U673" s="6">
        <v>42184.309374999997</v>
      </c>
      <c r="V673" t="s">
        <v>18</v>
      </c>
      <c r="W673" t="s">
        <v>17</v>
      </c>
      <c r="X673" s="6">
        <v>42174.400312500002</v>
      </c>
      <c r="Y673" t="s">
        <v>535</v>
      </c>
      <c r="Z673" t="s">
        <v>125</v>
      </c>
      <c r="AB673" t="s">
        <v>201</v>
      </c>
      <c r="AC673" t="s">
        <v>247</v>
      </c>
      <c r="AD673" t="s">
        <v>220</v>
      </c>
      <c r="AE673" t="s">
        <v>290</v>
      </c>
      <c r="AG673" t="s">
        <v>588</v>
      </c>
      <c r="AH673" t="s">
        <v>327</v>
      </c>
      <c r="AI673" t="s">
        <v>121</v>
      </c>
      <c r="AJ673" t="s">
        <v>715</v>
      </c>
      <c r="AK673" t="s">
        <v>121</v>
      </c>
    </row>
    <row r="674" spans="9:37" x14ac:dyDescent="0.3">
      <c r="I674">
        <f ca="1">IF(OR(INDIRECT(A73&amp;ROW())=B93,INDIRECT(A73&amp;ROW())=B94),1,IF(AND(INDIRECT(A73&amp;ROW())=B95,INDIRECT(A96&amp;ROW())=C93),1,IF(AND(INDIRECT(A73&amp;ROW())=B95,INDIRECT(A96&amp;ROW())=C94),1,0)))</f>
        <v>1</v>
      </c>
      <c r="J674">
        <f ca="1">IF(AND(INDIRECT(A73&amp;ROW())=B95,INDIRECT(A96&amp;ROW())=C95),1,IF(AND(INDIRECT(A73&amp;ROW())=B95,INDIRECT(A96&amp;ROW())=C96),1,0))</f>
        <v>0</v>
      </c>
      <c r="K674">
        <f ca="1">DAYS360(INDIRECT(C68&amp;ROW()),TODAY())</f>
        <v>673</v>
      </c>
      <c r="L674">
        <f ca="1">DAYS360(INDIRECT(C69&amp;ROW()),TODAY())</f>
        <v>673</v>
      </c>
      <c r="M674">
        <f ca="1">HYPERLINK(CONCATENATE("https://bugzilla.houston.hp.com:1181/bugzilla/show_bug.cgi?id=",INDIRECT(C70&amp;ROW())),INDIRECT(C70&amp;ROW()))</f>
        <v>64348</v>
      </c>
      <c r="N674">
        <v>64348</v>
      </c>
      <c r="O674" t="s">
        <v>94</v>
      </c>
      <c r="P674" t="s">
        <v>1307</v>
      </c>
      <c r="Q674" t="s">
        <v>25</v>
      </c>
      <c r="R674" t="s">
        <v>579</v>
      </c>
      <c r="S674" t="s">
        <v>552</v>
      </c>
      <c r="T674" t="s">
        <v>1122</v>
      </c>
      <c r="U674" s="6">
        <v>42174.639988425923</v>
      </c>
      <c r="V674" t="s">
        <v>18</v>
      </c>
      <c r="W674" t="s">
        <v>783</v>
      </c>
      <c r="X674" s="6">
        <v>42174.639988425923</v>
      </c>
      <c r="Y674" t="s">
        <v>119</v>
      </c>
      <c r="AB674" t="s">
        <v>200</v>
      </c>
      <c r="AC674" t="s">
        <v>247</v>
      </c>
      <c r="AD674" t="s">
        <v>227</v>
      </c>
      <c r="AE674" t="s">
        <v>226</v>
      </c>
      <c r="AG674" t="s">
        <v>121</v>
      </c>
      <c r="AH674" t="s">
        <v>327</v>
      </c>
      <c r="AI674" t="s">
        <v>121</v>
      </c>
      <c r="AJ674" t="s">
        <v>715</v>
      </c>
      <c r="AK674" t="s">
        <v>121</v>
      </c>
    </row>
    <row r="675" spans="9:37" x14ac:dyDescent="0.3">
      <c r="I675">
        <f ca="1">IF(OR(INDIRECT(A73&amp;ROW())=B93,INDIRECT(A73&amp;ROW())=B94),1,IF(AND(INDIRECT(A73&amp;ROW())=B95,INDIRECT(A96&amp;ROW())=C93),1,IF(AND(INDIRECT(A73&amp;ROW())=B95,INDIRECT(A96&amp;ROW())=C94),1,0)))</f>
        <v>0</v>
      </c>
      <c r="J675">
        <f ca="1">IF(AND(INDIRECT(A73&amp;ROW())=B95,INDIRECT(A96&amp;ROW())=C95),1,IF(AND(INDIRECT(A73&amp;ROW())=B95,INDIRECT(A96&amp;ROW())=C96),1,0))</f>
        <v>0</v>
      </c>
      <c r="K675">
        <f ca="1">DAYS360(INDIRECT(C68&amp;ROW()),TODAY())</f>
        <v>671</v>
      </c>
      <c r="L675">
        <f ca="1">DAYS360(INDIRECT(C69&amp;ROW()),TODAY())</f>
        <v>671</v>
      </c>
      <c r="M675">
        <f ca="1">HYPERLINK(CONCATENATE("https://bugzilla.houston.hp.com:1181/bugzilla/show_bug.cgi?id=",INDIRECT(C70&amp;ROW())),INDIRECT(C70&amp;ROW()))</f>
        <v>64354</v>
      </c>
      <c r="N675">
        <v>64354</v>
      </c>
      <c r="O675" t="s">
        <v>203</v>
      </c>
      <c r="P675" t="s">
        <v>1306</v>
      </c>
      <c r="Q675" t="s">
        <v>16</v>
      </c>
      <c r="R675" t="s">
        <v>248</v>
      </c>
      <c r="S675" t="s">
        <v>203</v>
      </c>
      <c r="U675" s="6">
        <v>42176.989733796298</v>
      </c>
      <c r="V675" t="s">
        <v>35</v>
      </c>
      <c r="W675" t="s">
        <v>248</v>
      </c>
      <c r="X675" s="6">
        <v>42176.989733796298</v>
      </c>
      <c r="Y675" t="s">
        <v>788</v>
      </c>
      <c r="AB675" t="s">
        <v>201</v>
      </c>
      <c r="AC675" t="s">
        <v>247</v>
      </c>
      <c r="AD675" t="s">
        <v>220</v>
      </c>
      <c r="AE675" t="s">
        <v>219</v>
      </c>
      <c r="AG675" t="s">
        <v>121</v>
      </c>
      <c r="AH675" t="s">
        <v>327</v>
      </c>
      <c r="AI675" t="s">
        <v>121</v>
      </c>
      <c r="AJ675" t="s">
        <v>717</v>
      </c>
      <c r="AK675" t="s">
        <v>121</v>
      </c>
    </row>
    <row r="676" spans="9:37" x14ac:dyDescent="0.3">
      <c r="I676">
        <f ca="1">IF(OR(INDIRECT(A73&amp;ROW())=B93,INDIRECT(A73&amp;ROW())=B94),1,IF(AND(INDIRECT(A73&amp;ROW())=B95,INDIRECT(A96&amp;ROW())=C93),1,IF(AND(INDIRECT(A73&amp;ROW())=B95,INDIRECT(A96&amp;ROW())=C94),1,0)))</f>
        <v>0</v>
      </c>
      <c r="J676">
        <f ca="1">IF(AND(INDIRECT(A73&amp;ROW())=B95,INDIRECT(A96&amp;ROW())=C95),1,IF(AND(INDIRECT(A73&amp;ROW())=B95,INDIRECT(A96&amp;ROW())=C96),1,0))</f>
        <v>0</v>
      </c>
      <c r="K676">
        <f ca="1">DAYS360(INDIRECT(C68&amp;ROW()),TODAY())</f>
        <v>670</v>
      </c>
      <c r="L676">
        <f ca="1">DAYS360(INDIRECT(C69&amp;ROW()),TODAY())</f>
        <v>670</v>
      </c>
      <c r="M676">
        <f ca="1">HYPERLINK(CONCATENATE("https://bugzilla.houston.hp.com:1181/bugzilla/show_bug.cgi?id=",INDIRECT(C70&amp;ROW())),INDIRECT(C70&amp;ROW()))</f>
        <v>64368</v>
      </c>
      <c r="N676">
        <v>64368</v>
      </c>
      <c r="O676" t="s">
        <v>203</v>
      </c>
      <c r="P676" t="s">
        <v>1305</v>
      </c>
      <c r="Q676" t="s">
        <v>16</v>
      </c>
      <c r="R676" t="s">
        <v>248</v>
      </c>
      <c r="S676" t="s">
        <v>203</v>
      </c>
      <c r="U676" s="6">
        <v>42177.092615740738</v>
      </c>
      <c r="V676" t="s">
        <v>35</v>
      </c>
      <c r="W676" t="s">
        <v>248</v>
      </c>
      <c r="X676" s="6">
        <v>42177.092615740738</v>
      </c>
      <c r="Y676" t="s">
        <v>788</v>
      </c>
      <c r="AB676" t="s">
        <v>201</v>
      </c>
      <c r="AC676" t="s">
        <v>247</v>
      </c>
      <c r="AD676" t="s">
        <v>220</v>
      </c>
      <c r="AE676" t="s">
        <v>219</v>
      </c>
      <c r="AG676" t="s">
        <v>121</v>
      </c>
      <c r="AH676" t="s">
        <v>327</v>
      </c>
      <c r="AI676" t="s">
        <v>121</v>
      </c>
      <c r="AJ676" t="s">
        <v>717</v>
      </c>
      <c r="AK676" t="s">
        <v>121</v>
      </c>
    </row>
    <row r="677" spans="9:37" x14ac:dyDescent="0.3">
      <c r="I677">
        <f ca="1">IF(OR(INDIRECT(A73&amp;ROW())=B93,INDIRECT(A73&amp;ROW())=B94),1,IF(AND(INDIRECT(A73&amp;ROW())=B95,INDIRECT(A96&amp;ROW())=C93),1,IF(AND(INDIRECT(A73&amp;ROW())=B95,INDIRECT(A96&amp;ROW())=C94),1,0)))</f>
        <v>0</v>
      </c>
      <c r="J677">
        <f ca="1">IF(AND(INDIRECT(A73&amp;ROW())=B95,INDIRECT(A96&amp;ROW())=C95),1,IF(AND(INDIRECT(A73&amp;ROW())=B95,INDIRECT(A96&amp;ROW())=C96),1,0))</f>
        <v>0</v>
      </c>
      <c r="K677">
        <f ca="1">DAYS360(INDIRECT(C68&amp;ROW()),TODAY())</f>
        <v>670</v>
      </c>
      <c r="L677">
        <f ca="1">DAYS360(INDIRECT(C69&amp;ROW()),TODAY())</f>
        <v>670</v>
      </c>
      <c r="M677">
        <f ca="1">HYPERLINK(CONCATENATE("https://bugzilla.houston.hp.com:1181/bugzilla/show_bug.cgi?id=",INDIRECT(C70&amp;ROW())),INDIRECT(C70&amp;ROW()))</f>
        <v>64385</v>
      </c>
      <c r="N677">
        <v>64385</v>
      </c>
      <c r="O677" t="s">
        <v>203</v>
      </c>
      <c r="P677" t="s">
        <v>1304</v>
      </c>
      <c r="Q677" t="s">
        <v>16</v>
      </c>
      <c r="R677" t="s">
        <v>248</v>
      </c>
      <c r="S677" t="s">
        <v>203</v>
      </c>
      <c r="U677" s="6">
        <v>42177.210694444446</v>
      </c>
      <c r="V677" t="s">
        <v>35</v>
      </c>
      <c r="W677" t="s">
        <v>248</v>
      </c>
      <c r="X677" s="6">
        <v>42177.210694444446</v>
      </c>
      <c r="Y677" t="s">
        <v>788</v>
      </c>
      <c r="AB677" t="s">
        <v>201</v>
      </c>
      <c r="AC677" t="s">
        <v>247</v>
      </c>
      <c r="AD677" t="s">
        <v>220</v>
      </c>
      <c r="AE677" t="s">
        <v>219</v>
      </c>
      <c r="AG677" t="s">
        <v>121</v>
      </c>
      <c r="AH677" t="s">
        <v>327</v>
      </c>
      <c r="AI677" t="s">
        <v>121</v>
      </c>
      <c r="AJ677" t="s">
        <v>717</v>
      </c>
      <c r="AK677" t="s">
        <v>121</v>
      </c>
    </row>
    <row r="678" spans="9:37" x14ac:dyDescent="0.3">
      <c r="I678">
        <f ca="1">IF(OR(INDIRECT(A73&amp;ROW())=B93,INDIRECT(A73&amp;ROW())=B94),1,IF(AND(INDIRECT(A73&amp;ROW())=B95,INDIRECT(A96&amp;ROW())=C93),1,IF(AND(INDIRECT(A73&amp;ROW())=B95,INDIRECT(A96&amp;ROW())=C94),1,0)))</f>
        <v>0</v>
      </c>
      <c r="J678">
        <f ca="1">IF(AND(INDIRECT(A73&amp;ROW())=B95,INDIRECT(A96&amp;ROW())=C95),1,IF(AND(INDIRECT(A73&amp;ROW())=B95,INDIRECT(A96&amp;ROW())=C96),1,0))</f>
        <v>0</v>
      </c>
      <c r="K678">
        <f ca="1">DAYS360(INDIRECT(C68&amp;ROW()),TODAY())</f>
        <v>669</v>
      </c>
      <c r="L678">
        <f ca="1">DAYS360(INDIRECT(C69&amp;ROW()),TODAY())</f>
        <v>669</v>
      </c>
      <c r="M678">
        <f ca="1">HYPERLINK(CONCATENATE("https://bugzilla.houston.hp.com:1181/bugzilla/show_bug.cgi?id=",INDIRECT(C70&amp;ROW())),INDIRECT(C70&amp;ROW()))</f>
        <v>64437</v>
      </c>
      <c r="N678">
        <v>64437</v>
      </c>
      <c r="O678" t="s">
        <v>203</v>
      </c>
      <c r="P678" t="s">
        <v>1303</v>
      </c>
      <c r="Q678" t="s">
        <v>16</v>
      </c>
      <c r="R678" t="s">
        <v>248</v>
      </c>
      <c r="S678" t="s">
        <v>203</v>
      </c>
      <c r="U678" s="6">
        <v>42178.202893518515</v>
      </c>
      <c r="V678" t="s">
        <v>35</v>
      </c>
      <c r="W678" t="s">
        <v>248</v>
      </c>
      <c r="X678" s="6">
        <v>42178.202893518515</v>
      </c>
      <c r="Y678" t="s">
        <v>788</v>
      </c>
      <c r="AB678" t="s">
        <v>201</v>
      </c>
      <c r="AC678" t="s">
        <v>247</v>
      </c>
      <c r="AD678" t="s">
        <v>220</v>
      </c>
      <c r="AE678" t="s">
        <v>219</v>
      </c>
      <c r="AG678" t="s">
        <v>121</v>
      </c>
      <c r="AH678" t="s">
        <v>327</v>
      </c>
      <c r="AI678" t="s">
        <v>121</v>
      </c>
      <c r="AJ678" t="s">
        <v>717</v>
      </c>
      <c r="AK678" t="s">
        <v>121</v>
      </c>
    </row>
    <row r="679" spans="9:37" x14ac:dyDescent="0.3">
      <c r="I679">
        <f ca="1">IF(OR(INDIRECT(A73&amp;ROW())=B93,INDIRECT(A73&amp;ROW())=B94),1,IF(AND(INDIRECT(A73&amp;ROW())=B95,INDIRECT(A96&amp;ROW())=C93),1,IF(AND(INDIRECT(A73&amp;ROW())=B95,INDIRECT(A96&amp;ROW())=C94),1,0)))</f>
        <v>0</v>
      </c>
      <c r="J679">
        <f ca="1">IF(AND(INDIRECT(A73&amp;ROW())=B95,INDIRECT(A96&amp;ROW())=C95),1,IF(AND(INDIRECT(A73&amp;ROW())=B95,INDIRECT(A96&amp;ROW())=C96),1,0))</f>
        <v>0</v>
      </c>
      <c r="K679">
        <f ca="1">DAYS360(INDIRECT(C68&amp;ROW()),TODAY())</f>
        <v>669</v>
      </c>
      <c r="L679">
        <f ca="1">DAYS360(INDIRECT(C69&amp;ROW()),TODAY())</f>
        <v>669</v>
      </c>
      <c r="M679">
        <f ca="1">HYPERLINK(CONCATENATE("https://bugzilla.houston.hp.com:1181/bugzilla/show_bug.cgi?id=",INDIRECT(C70&amp;ROW())),INDIRECT(C70&amp;ROW()))</f>
        <v>64440</v>
      </c>
      <c r="N679">
        <v>64440</v>
      </c>
      <c r="O679" t="s">
        <v>203</v>
      </c>
      <c r="P679" t="s">
        <v>1302</v>
      </c>
      <c r="Q679" t="s">
        <v>16</v>
      </c>
      <c r="R679" t="s">
        <v>248</v>
      </c>
      <c r="S679" t="s">
        <v>203</v>
      </c>
      <c r="U679" s="6">
        <v>42178.247731481482</v>
      </c>
      <c r="V679" t="s">
        <v>35</v>
      </c>
      <c r="W679" t="s">
        <v>248</v>
      </c>
      <c r="X679" s="6">
        <v>42178.247731481482</v>
      </c>
      <c r="Y679" t="s">
        <v>788</v>
      </c>
      <c r="AB679" t="s">
        <v>201</v>
      </c>
      <c r="AC679" t="s">
        <v>247</v>
      </c>
      <c r="AD679" t="s">
        <v>220</v>
      </c>
      <c r="AE679" t="s">
        <v>219</v>
      </c>
      <c r="AG679" t="s">
        <v>121</v>
      </c>
      <c r="AH679" t="s">
        <v>327</v>
      </c>
      <c r="AI679" t="s">
        <v>121</v>
      </c>
      <c r="AJ679" t="s">
        <v>717</v>
      </c>
      <c r="AK679" t="s">
        <v>121</v>
      </c>
    </row>
    <row r="680" spans="9:37" x14ac:dyDescent="0.3">
      <c r="I680">
        <f ca="1">IF(OR(INDIRECT(A73&amp;ROW())=B93,INDIRECT(A73&amp;ROW())=B94),1,IF(AND(INDIRECT(A73&amp;ROW())=B95,INDIRECT(A96&amp;ROW())=C93),1,IF(AND(INDIRECT(A73&amp;ROW())=B95,INDIRECT(A96&amp;ROW())=C94),1,0)))</f>
        <v>0</v>
      </c>
      <c r="J680">
        <f ca="1">IF(AND(INDIRECT(A73&amp;ROW())=B95,INDIRECT(A96&amp;ROW())=C95),1,IF(AND(INDIRECT(A73&amp;ROW())=B95,INDIRECT(A96&amp;ROW())=C96),1,0))</f>
        <v>1</v>
      </c>
      <c r="K680">
        <f ca="1">DAYS360(INDIRECT(C68&amp;ROW()),TODAY())</f>
        <v>668</v>
      </c>
      <c r="L680">
        <f ca="1">DAYS360(INDIRECT(C69&amp;ROW()),TODAY())</f>
        <v>669</v>
      </c>
      <c r="M680">
        <f ca="1">HYPERLINK(CONCATENATE("https://bugzilla.houston.hp.com:1181/bugzilla/show_bug.cgi?id=",INDIRECT(C70&amp;ROW())),INDIRECT(C70&amp;ROW()))</f>
        <v>64456</v>
      </c>
      <c r="N680">
        <v>64456</v>
      </c>
      <c r="O680" t="s">
        <v>56</v>
      </c>
      <c r="P680" t="s">
        <v>1301</v>
      </c>
      <c r="Q680" t="s">
        <v>25</v>
      </c>
      <c r="R680" t="s">
        <v>251</v>
      </c>
      <c r="S680" t="s">
        <v>1300</v>
      </c>
      <c r="U680" s="6">
        <v>42179.553055555552</v>
      </c>
      <c r="V680" t="s">
        <v>18</v>
      </c>
      <c r="W680" t="s">
        <v>783</v>
      </c>
      <c r="X680" s="6">
        <v>42178.457800925928</v>
      </c>
      <c r="Y680" t="s">
        <v>120</v>
      </c>
      <c r="AB680" t="s">
        <v>201</v>
      </c>
      <c r="AC680" t="s">
        <v>247</v>
      </c>
      <c r="AD680" t="s">
        <v>220</v>
      </c>
      <c r="AE680" t="s">
        <v>219</v>
      </c>
      <c r="AG680" t="s">
        <v>121</v>
      </c>
      <c r="AH680" t="s">
        <v>327</v>
      </c>
      <c r="AI680" t="s">
        <v>121</v>
      </c>
      <c r="AJ680" t="s">
        <v>716</v>
      </c>
      <c r="AK680" t="s">
        <v>121</v>
      </c>
    </row>
    <row r="681" spans="9:37" x14ac:dyDescent="0.3">
      <c r="I681">
        <f ca="1">IF(OR(INDIRECT(A73&amp;ROW())=B93,INDIRECT(A73&amp;ROW())=B94),1,IF(AND(INDIRECT(A73&amp;ROW())=B95,INDIRECT(A96&amp;ROW())=C93),1,IF(AND(INDIRECT(A73&amp;ROW())=B95,INDIRECT(A96&amp;ROW())=C94),1,0)))</f>
        <v>0</v>
      </c>
      <c r="J681">
        <f ca="1">IF(AND(INDIRECT(A73&amp;ROW())=B95,INDIRECT(A96&amp;ROW())=C95),1,IF(AND(INDIRECT(A73&amp;ROW())=B95,INDIRECT(A96&amp;ROW())=C96),1,0))</f>
        <v>1</v>
      </c>
      <c r="K681">
        <f ca="1">DAYS360(INDIRECT(C68&amp;ROW()),TODAY())</f>
        <v>666</v>
      </c>
      <c r="L681">
        <f ca="1">DAYS360(INDIRECT(C69&amp;ROW()),TODAY())</f>
        <v>669</v>
      </c>
      <c r="M681">
        <f ca="1">HYPERLINK(CONCATENATE("https://bugzilla.houston.hp.com:1181/bugzilla/show_bug.cgi?id=",INDIRECT(C70&amp;ROW())),INDIRECT(C70&amp;ROW()))</f>
        <v>64462</v>
      </c>
      <c r="N681">
        <v>64462</v>
      </c>
      <c r="O681" t="s">
        <v>56</v>
      </c>
      <c r="P681" t="s">
        <v>1299</v>
      </c>
      <c r="Q681" t="s">
        <v>25</v>
      </c>
      <c r="R681" t="s">
        <v>579</v>
      </c>
      <c r="S681" t="s">
        <v>552</v>
      </c>
      <c r="U681" s="6">
        <v>42181.400590277779</v>
      </c>
      <c r="V681" t="s">
        <v>18</v>
      </c>
      <c r="W681" t="s">
        <v>783</v>
      </c>
      <c r="X681" s="6">
        <v>42178.51761574074</v>
      </c>
      <c r="Y681" t="s">
        <v>120</v>
      </c>
      <c r="AB681" t="s">
        <v>201</v>
      </c>
      <c r="AC681" t="s">
        <v>247</v>
      </c>
      <c r="AD681" t="s">
        <v>220</v>
      </c>
      <c r="AE681" t="s">
        <v>219</v>
      </c>
      <c r="AG681" t="s">
        <v>121</v>
      </c>
      <c r="AH681" t="s">
        <v>327</v>
      </c>
      <c r="AI681" t="s">
        <v>121</v>
      </c>
      <c r="AJ681" t="s">
        <v>716</v>
      </c>
      <c r="AK681" t="s">
        <v>121</v>
      </c>
    </row>
    <row r="682" spans="9:37" x14ac:dyDescent="0.3">
      <c r="I682">
        <f ca="1">IF(OR(INDIRECT(A73&amp;ROW())=B93,INDIRECT(A73&amp;ROW())=B94),1,IF(AND(INDIRECT(A73&amp;ROW())=B95,INDIRECT(A96&amp;ROW())=C93),1,IF(AND(INDIRECT(A73&amp;ROW())=B95,INDIRECT(A96&amp;ROW())=C94),1,0)))</f>
        <v>0</v>
      </c>
      <c r="J682">
        <f ca="1">IF(AND(INDIRECT(A73&amp;ROW())=B95,INDIRECT(A96&amp;ROW())=C95),1,IF(AND(INDIRECT(A73&amp;ROW())=B95,INDIRECT(A96&amp;ROW())=C96),1,0))</f>
        <v>1</v>
      </c>
      <c r="K682">
        <f ca="1">DAYS360(INDIRECT(C68&amp;ROW()),TODAY())</f>
        <v>666</v>
      </c>
      <c r="L682">
        <f ca="1">DAYS360(INDIRECT(C69&amp;ROW()),TODAY())</f>
        <v>669</v>
      </c>
      <c r="M682">
        <f ca="1">HYPERLINK(CONCATENATE("https://bugzilla.houston.hp.com:1181/bugzilla/show_bug.cgi?id=",INDIRECT(C70&amp;ROW())),INDIRECT(C70&amp;ROW()))</f>
        <v>64463</v>
      </c>
      <c r="N682">
        <v>64463</v>
      </c>
      <c r="O682" t="s">
        <v>56</v>
      </c>
      <c r="P682" t="s">
        <v>1298</v>
      </c>
      <c r="Q682" t="s">
        <v>25</v>
      </c>
      <c r="R682" t="s">
        <v>783</v>
      </c>
      <c r="S682" t="s">
        <v>552</v>
      </c>
      <c r="U682" s="6">
        <v>42181.400567129633</v>
      </c>
      <c r="V682" t="s">
        <v>18</v>
      </c>
      <c r="W682" t="s">
        <v>783</v>
      </c>
      <c r="X682" s="6">
        <v>42178.517685185187</v>
      </c>
      <c r="Y682" t="s">
        <v>120</v>
      </c>
      <c r="AB682" t="s">
        <v>201</v>
      </c>
      <c r="AC682" t="s">
        <v>247</v>
      </c>
      <c r="AD682" t="s">
        <v>220</v>
      </c>
      <c r="AE682" t="s">
        <v>219</v>
      </c>
      <c r="AG682" t="s">
        <v>121</v>
      </c>
      <c r="AH682" t="s">
        <v>327</v>
      </c>
      <c r="AI682" t="s">
        <v>121</v>
      </c>
      <c r="AJ682" t="s">
        <v>716</v>
      </c>
      <c r="AK682" t="s">
        <v>121</v>
      </c>
    </row>
    <row r="683" spans="9:37" x14ac:dyDescent="0.3">
      <c r="I683">
        <f ca="1">IF(OR(INDIRECT(A73&amp;ROW())=B93,INDIRECT(A73&amp;ROW())=B94),1,IF(AND(INDIRECT(A73&amp;ROW())=B95,INDIRECT(A96&amp;ROW())=C93),1,IF(AND(INDIRECT(A73&amp;ROW())=B95,INDIRECT(A96&amp;ROW())=C94),1,0)))</f>
        <v>0</v>
      </c>
      <c r="J683">
        <f ca="1">IF(AND(INDIRECT(A73&amp;ROW())=B95,INDIRECT(A96&amp;ROW())=C95),1,IF(AND(INDIRECT(A73&amp;ROW())=B95,INDIRECT(A96&amp;ROW())=C96),1,0))</f>
        <v>1</v>
      </c>
      <c r="K683">
        <f ca="1">DAYS360(INDIRECT(C68&amp;ROW()),TODAY())</f>
        <v>666</v>
      </c>
      <c r="L683">
        <f ca="1">DAYS360(INDIRECT(C69&amp;ROW()),TODAY())</f>
        <v>669</v>
      </c>
      <c r="M683">
        <f ca="1">HYPERLINK(CONCATENATE("https://bugzilla.houston.hp.com:1181/bugzilla/show_bug.cgi?id=",INDIRECT(C70&amp;ROW())),INDIRECT(C70&amp;ROW()))</f>
        <v>64464</v>
      </c>
      <c r="N683">
        <v>64464</v>
      </c>
      <c r="O683" t="s">
        <v>56</v>
      </c>
      <c r="P683" t="s">
        <v>1297</v>
      </c>
      <c r="Q683" t="s">
        <v>25</v>
      </c>
      <c r="R683" t="s">
        <v>248</v>
      </c>
      <c r="S683" t="s">
        <v>552</v>
      </c>
      <c r="U683" s="6">
        <v>42181.400601851848</v>
      </c>
      <c r="V683" t="s">
        <v>18</v>
      </c>
      <c r="W683" t="s">
        <v>783</v>
      </c>
      <c r="X683" s="6">
        <v>42178.517754629633</v>
      </c>
      <c r="Y683" t="s">
        <v>120</v>
      </c>
      <c r="AB683" t="s">
        <v>201</v>
      </c>
      <c r="AC683" t="s">
        <v>247</v>
      </c>
      <c r="AD683" t="s">
        <v>220</v>
      </c>
      <c r="AE683" t="s">
        <v>219</v>
      </c>
      <c r="AG683" t="s">
        <v>121</v>
      </c>
      <c r="AH683" t="s">
        <v>327</v>
      </c>
      <c r="AI683" t="s">
        <v>121</v>
      </c>
      <c r="AJ683" t="s">
        <v>716</v>
      </c>
      <c r="AK683" t="s">
        <v>121</v>
      </c>
    </row>
    <row r="684" spans="9:37" x14ac:dyDescent="0.3">
      <c r="I684">
        <f ca="1">IF(OR(INDIRECT(A73&amp;ROW())=B93,INDIRECT(A73&amp;ROW())=B94),1,IF(AND(INDIRECT(A73&amp;ROW())=B95,INDIRECT(A96&amp;ROW())=C93),1,IF(AND(INDIRECT(A73&amp;ROW())=B95,INDIRECT(A96&amp;ROW())=C94),1,0)))</f>
        <v>1</v>
      </c>
      <c r="J684">
        <f ca="1">IF(AND(INDIRECT(A73&amp;ROW())=B95,INDIRECT(A96&amp;ROW())=C95),1,IF(AND(INDIRECT(A73&amp;ROW())=B95,INDIRECT(A96&amp;ROW())=C96),1,0))</f>
        <v>0</v>
      </c>
      <c r="K684">
        <f ca="1">DAYS360(INDIRECT(C68&amp;ROW()),TODAY())</f>
        <v>666</v>
      </c>
      <c r="L684">
        <f ca="1">DAYS360(INDIRECT(C69&amp;ROW()),TODAY())</f>
        <v>669</v>
      </c>
      <c r="M684">
        <f ca="1">HYPERLINK(CONCATENATE("https://bugzilla.houston.hp.com:1181/bugzilla/show_bug.cgi?id=",INDIRECT(C70&amp;ROW())),INDIRECT(C70&amp;ROW()))</f>
        <v>64470</v>
      </c>
      <c r="N684">
        <v>64470</v>
      </c>
      <c r="O684" t="s">
        <v>203</v>
      </c>
      <c r="P684" t="s">
        <v>1296</v>
      </c>
      <c r="Q684" t="s">
        <v>39</v>
      </c>
      <c r="R684" t="s">
        <v>251</v>
      </c>
      <c r="S684" t="s">
        <v>177</v>
      </c>
      <c r="U684" s="6">
        <v>42181.529479166667</v>
      </c>
      <c r="V684" t="s">
        <v>18</v>
      </c>
      <c r="W684" t="s">
        <v>783</v>
      </c>
      <c r="X684" s="6">
        <v>42178.804027777776</v>
      </c>
      <c r="Y684" t="s">
        <v>245</v>
      </c>
      <c r="AB684" t="s">
        <v>199</v>
      </c>
      <c r="AC684" t="s">
        <v>247</v>
      </c>
      <c r="AD684" t="s">
        <v>220</v>
      </c>
      <c r="AE684" t="s">
        <v>219</v>
      </c>
      <c r="AG684" t="s">
        <v>121</v>
      </c>
      <c r="AH684" t="s">
        <v>327</v>
      </c>
      <c r="AI684" t="s">
        <v>121</v>
      </c>
      <c r="AJ684" t="s">
        <v>715</v>
      </c>
      <c r="AK684" t="s">
        <v>121</v>
      </c>
    </row>
    <row r="685" spans="9:37" x14ac:dyDescent="0.3">
      <c r="I685">
        <f ca="1">IF(OR(INDIRECT(A73&amp;ROW())=B93,INDIRECT(A73&amp;ROW())=B94),1,IF(AND(INDIRECT(A73&amp;ROW())=B95,INDIRECT(A96&amp;ROW())=C93),1,IF(AND(INDIRECT(A73&amp;ROW())=B95,INDIRECT(A96&amp;ROW())=C94),1,0)))</f>
        <v>1</v>
      </c>
      <c r="J685">
        <f ca="1">IF(AND(INDIRECT(A73&amp;ROW())=B95,INDIRECT(A96&amp;ROW())=C95),1,IF(AND(INDIRECT(A73&amp;ROW())=B95,INDIRECT(A96&amp;ROW())=C96),1,0))</f>
        <v>0</v>
      </c>
      <c r="K685">
        <f ca="1">DAYS360(INDIRECT(C68&amp;ROW()),TODAY())</f>
        <v>666</v>
      </c>
      <c r="L685">
        <f ca="1">DAYS360(INDIRECT(C69&amp;ROW()),TODAY())</f>
        <v>668</v>
      </c>
      <c r="M685">
        <f ca="1">HYPERLINK(CONCATENATE("https://bugzilla.houston.hp.com:1181/bugzilla/show_bug.cgi?id=",INDIRECT(C70&amp;ROW())),INDIRECT(C70&amp;ROW()))</f>
        <v>64480</v>
      </c>
      <c r="N685">
        <v>64480</v>
      </c>
      <c r="O685" t="s">
        <v>56</v>
      </c>
      <c r="P685" t="s">
        <v>1295</v>
      </c>
      <c r="Q685" t="s">
        <v>39</v>
      </c>
      <c r="R685" t="s">
        <v>579</v>
      </c>
      <c r="S685" t="s">
        <v>552</v>
      </c>
      <c r="U685" s="6">
        <v>42181.340717592589</v>
      </c>
      <c r="V685" t="s">
        <v>18</v>
      </c>
      <c r="W685" t="s">
        <v>783</v>
      </c>
      <c r="X685" s="6">
        <v>42179.017685185187</v>
      </c>
      <c r="Y685" t="s">
        <v>245</v>
      </c>
      <c r="AB685" t="s">
        <v>199</v>
      </c>
      <c r="AC685" t="s">
        <v>247</v>
      </c>
      <c r="AD685" t="s">
        <v>220</v>
      </c>
      <c r="AE685" t="s">
        <v>219</v>
      </c>
      <c r="AG685" t="s">
        <v>121</v>
      </c>
      <c r="AH685" t="s">
        <v>327</v>
      </c>
      <c r="AI685" t="s">
        <v>121</v>
      </c>
      <c r="AJ685" t="s">
        <v>715</v>
      </c>
      <c r="AK685" t="s">
        <v>121</v>
      </c>
    </row>
    <row r="686" spans="9:37" x14ac:dyDescent="0.3">
      <c r="I686">
        <f ca="1">IF(OR(INDIRECT(A73&amp;ROW())=B93,INDIRECT(A73&amp;ROW())=B94),1,IF(AND(INDIRECT(A73&amp;ROW())=B95,INDIRECT(A96&amp;ROW())=C93),1,IF(AND(INDIRECT(A73&amp;ROW())=B95,INDIRECT(A96&amp;ROW())=C94),1,0)))</f>
        <v>1</v>
      </c>
      <c r="J686">
        <f ca="1">IF(AND(INDIRECT(A73&amp;ROW())=B95,INDIRECT(A96&amp;ROW())=C95),1,IF(AND(INDIRECT(A73&amp;ROW())=B95,INDIRECT(A96&amp;ROW())=C96),1,0))</f>
        <v>0</v>
      </c>
      <c r="K686">
        <f ca="1">DAYS360(INDIRECT(C68&amp;ROW()),TODAY())</f>
        <v>666</v>
      </c>
      <c r="L686">
        <f ca="1">DAYS360(INDIRECT(C69&amp;ROW()),TODAY())</f>
        <v>668</v>
      </c>
      <c r="M686">
        <f ca="1">HYPERLINK(CONCATENATE("https://bugzilla.houston.hp.com:1181/bugzilla/show_bug.cgi?id=",INDIRECT(C70&amp;ROW())),INDIRECT(C70&amp;ROW()))</f>
        <v>64481</v>
      </c>
      <c r="N686">
        <v>64481</v>
      </c>
      <c r="O686" t="s">
        <v>203</v>
      </c>
      <c r="P686" t="s">
        <v>1294</v>
      </c>
      <c r="Q686" t="s">
        <v>39</v>
      </c>
      <c r="R686" t="s">
        <v>783</v>
      </c>
      <c r="S686" t="s">
        <v>552</v>
      </c>
      <c r="U686" s="6">
        <v>42181.341006944444</v>
      </c>
      <c r="V686" t="s">
        <v>18</v>
      </c>
      <c r="W686" t="s">
        <v>783</v>
      </c>
      <c r="X686" s="6">
        <v>42179.017754629633</v>
      </c>
      <c r="Y686" t="s">
        <v>245</v>
      </c>
      <c r="AB686" t="s">
        <v>199</v>
      </c>
      <c r="AC686" t="s">
        <v>247</v>
      </c>
      <c r="AD686" t="s">
        <v>220</v>
      </c>
      <c r="AE686" t="s">
        <v>219</v>
      </c>
      <c r="AG686" t="s">
        <v>121</v>
      </c>
      <c r="AH686" t="s">
        <v>327</v>
      </c>
      <c r="AI686" t="s">
        <v>121</v>
      </c>
      <c r="AJ686" t="s">
        <v>715</v>
      </c>
      <c r="AK686" t="s">
        <v>121</v>
      </c>
    </row>
    <row r="687" spans="9:37" x14ac:dyDescent="0.3">
      <c r="I687">
        <f ca="1">IF(OR(INDIRECT(A73&amp;ROW())=B93,INDIRECT(A73&amp;ROW())=B94),1,IF(AND(INDIRECT(A73&amp;ROW())=B95,INDIRECT(A96&amp;ROW())=C93),1,IF(AND(INDIRECT(A73&amp;ROW())=B95,INDIRECT(A96&amp;ROW())=C94),1,0)))</f>
        <v>1</v>
      </c>
      <c r="J687">
        <f ca="1">IF(AND(INDIRECT(A73&amp;ROW())=B95,INDIRECT(A96&amp;ROW())=C95),1,IF(AND(INDIRECT(A73&amp;ROW())=B95,INDIRECT(A96&amp;ROW())=C96),1,0))</f>
        <v>0</v>
      </c>
      <c r="K687">
        <f ca="1">DAYS360(INDIRECT(C68&amp;ROW()),TODAY())</f>
        <v>666</v>
      </c>
      <c r="L687">
        <f ca="1">DAYS360(INDIRECT(C69&amp;ROW()),TODAY())</f>
        <v>668</v>
      </c>
      <c r="M687">
        <f ca="1">HYPERLINK(CONCATENATE("https://bugzilla.houston.hp.com:1181/bugzilla/show_bug.cgi?id=",INDIRECT(C70&amp;ROW())),INDIRECT(C70&amp;ROW()))</f>
        <v>64482</v>
      </c>
      <c r="N687">
        <v>64482</v>
      </c>
      <c r="O687" t="s">
        <v>56</v>
      </c>
      <c r="P687" t="s">
        <v>1293</v>
      </c>
      <c r="Q687" t="s">
        <v>39</v>
      </c>
      <c r="R687" t="s">
        <v>248</v>
      </c>
      <c r="S687" t="s">
        <v>552</v>
      </c>
      <c r="U687" s="6">
        <v>42181.341261574074</v>
      </c>
      <c r="V687" t="s">
        <v>18</v>
      </c>
      <c r="W687" t="s">
        <v>783</v>
      </c>
      <c r="X687" s="6">
        <v>42179.017824074072</v>
      </c>
      <c r="Y687" t="s">
        <v>245</v>
      </c>
      <c r="AB687" t="s">
        <v>199</v>
      </c>
      <c r="AC687" t="s">
        <v>247</v>
      </c>
      <c r="AD687" t="s">
        <v>220</v>
      </c>
      <c r="AE687" t="s">
        <v>219</v>
      </c>
      <c r="AG687" t="s">
        <v>121</v>
      </c>
      <c r="AH687" t="s">
        <v>327</v>
      </c>
      <c r="AI687" t="s">
        <v>121</v>
      </c>
      <c r="AJ687" t="s">
        <v>715</v>
      </c>
      <c r="AK687" t="s">
        <v>121</v>
      </c>
    </row>
    <row r="688" spans="9:37" x14ac:dyDescent="0.3">
      <c r="I688">
        <f ca="1">IF(OR(INDIRECT(A73&amp;ROW())=B93,INDIRECT(A73&amp;ROW())=B94),1,IF(AND(INDIRECT(A73&amp;ROW())=B95,INDIRECT(A96&amp;ROW())=C93),1,IF(AND(INDIRECT(A73&amp;ROW())=B95,INDIRECT(A96&amp;ROW())=C94),1,0)))</f>
        <v>0</v>
      </c>
      <c r="J688">
        <f ca="1">IF(AND(INDIRECT(A73&amp;ROW())=B95,INDIRECT(A96&amp;ROW())=C95),1,IF(AND(INDIRECT(A73&amp;ROW())=B95,INDIRECT(A96&amp;ROW())=C96),1,0))</f>
        <v>0</v>
      </c>
      <c r="K688">
        <f ca="1">DAYS360(INDIRECT(C68&amp;ROW()),TODAY())</f>
        <v>668</v>
      </c>
      <c r="L688">
        <f ca="1">DAYS360(INDIRECT(C69&amp;ROW()),TODAY())</f>
        <v>668</v>
      </c>
      <c r="M688">
        <f ca="1">HYPERLINK(CONCATENATE("https://bugzilla.houston.hp.com:1181/bugzilla/show_bug.cgi?id=",INDIRECT(C70&amp;ROW())),INDIRECT(C70&amp;ROW()))</f>
        <v>64490</v>
      </c>
      <c r="N688">
        <v>64490</v>
      </c>
      <c r="O688" t="s">
        <v>203</v>
      </c>
      <c r="P688" t="s">
        <v>1292</v>
      </c>
      <c r="Q688" t="s">
        <v>16</v>
      </c>
      <c r="R688" t="s">
        <v>248</v>
      </c>
      <c r="S688" t="s">
        <v>203</v>
      </c>
      <c r="U688" s="6">
        <v>42179.055555555555</v>
      </c>
      <c r="V688" t="s">
        <v>35</v>
      </c>
      <c r="W688" t="s">
        <v>248</v>
      </c>
      <c r="X688" s="6">
        <v>42179.055555555555</v>
      </c>
      <c r="Y688" t="s">
        <v>788</v>
      </c>
      <c r="AB688" t="s">
        <v>201</v>
      </c>
      <c r="AC688" t="s">
        <v>247</v>
      </c>
      <c r="AD688" t="s">
        <v>220</v>
      </c>
      <c r="AE688" t="s">
        <v>219</v>
      </c>
      <c r="AG688" t="s">
        <v>121</v>
      </c>
      <c r="AH688" t="s">
        <v>327</v>
      </c>
      <c r="AI688" t="s">
        <v>121</v>
      </c>
      <c r="AJ688" t="s">
        <v>717</v>
      </c>
      <c r="AK688" t="s">
        <v>121</v>
      </c>
    </row>
    <row r="689" spans="9:37" x14ac:dyDescent="0.3">
      <c r="I689">
        <f ca="1">IF(OR(INDIRECT(A73&amp;ROW())=B93,INDIRECT(A73&amp;ROW())=B94),1,IF(AND(INDIRECT(A73&amp;ROW())=B95,INDIRECT(A96&amp;ROW())=C93),1,IF(AND(INDIRECT(A73&amp;ROW())=B95,INDIRECT(A96&amp;ROW())=C94),1,0)))</f>
        <v>0</v>
      </c>
      <c r="J689">
        <f ca="1">IF(AND(INDIRECT(A73&amp;ROW())=B95,INDIRECT(A96&amp;ROW())=C95),1,IF(AND(INDIRECT(A73&amp;ROW())=B95,INDIRECT(A96&amp;ROW())=C96),1,0))</f>
        <v>0</v>
      </c>
      <c r="K689">
        <f ca="1">DAYS360(INDIRECT(C68&amp;ROW()),TODAY())</f>
        <v>668</v>
      </c>
      <c r="L689">
        <f ca="1">DAYS360(INDIRECT(C69&amp;ROW()),TODAY())</f>
        <v>668</v>
      </c>
      <c r="M689">
        <f ca="1">HYPERLINK(CONCATENATE("https://bugzilla.houston.hp.com:1181/bugzilla/show_bug.cgi?id=",INDIRECT(C70&amp;ROW())),INDIRECT(C70&amp;ROW()))</f>
        <v>64494</v>
      </c>
      <c r="N689">
        <v>64494</v>
      </c>
      <c r="O689" t="s">
        <v>203</v>
      </c>
      <c r="P689" t="s">
        <v>1291</v>
      </c>
      <c r="Q689" t="s">
        <v>16</v>
      </c>
      <c r="R689" t="s">
        <v>248</v>
      </c>
      <c r="S689" t="s">
        <v>203</v>
      </c>
      <c r="U689" s="6">
        <v>42179.091423611113</v>
      </c>
      <c r="V689" t="s">
        <v>35</v>
      </c>
      <c r="W689" t="s">
        <v>248</v>
      </c>
      <c r="X689" s="6">
        <v>42179.091423611113</v>
      </c>
      <c r="Y689" t="s">
        <v>788</v>
      </c>
      <c r="AB689" t="s">
        <v>201</v>
      </c>
      <c r="AC689" t="s">
        <v>247</v>
      </c>
      <c r="AD689" t="s">
        <v>220</v>
      </c>
      <c r="AE689" t="s">
        <v>219</v>
      </c>
      <c r="AG689" t="s">
        <v>121</v>
      </c>
      <c r="AH689" t="s">
        <v>327</v>
      </c>
      <c r="AI689" t="s">
        <v>121</v>
      </c>
      <c r="AJ689" t="s">
        <v>717</v>
      </c>
      <c r="AK689" t="s">
        <v>121</v>
      </c>
    </row>
    <row r="690" spans="9:37" x14ac:dyDescent="0.3">
      <c r="I690">
        <f ca="1">IF(OR(INDIRECT(A73&amp;ROW())=B93,INDIRECT(A73&amp;ROW())=B94),1,IF(AND(INDIRECT(A73&amp;ROW())=B95,INDIRECT(A96&amp;ROW())=C93),1,IF(AND(INDIRECT(A73&amp;ROW())=B95,INDIRECT(A96&amp;ROW())=C94),1,0)))</f>
        <v>0</v>
      </c>
      <c r="J690">
        <f ca="1">IF(AND(INDIRECT(A73&amp;ROW())=B95,INDIRECT(A96&amp;ROW())=C95),1,IF(AND(INDIRECT(A73&amp;ROW())=B95,INDIRECT(A96&amp;ROW())=C96),1,0))</f>
        <v>0</v>
      </c>
      <c r="K690">
        <f ca="1">DAYS360(INDIRECT(C68&amp;ROW()),TODAY())</f>
        <v>668</v>
      </c>
      <c r="L690">
        <f ca="1">DAYS360(INDIRECT(C69&amp;ROW()),TODAY())</f>
        <v>668</v>
      </c>
      <c r="M690">
        <f ca="1">HYPERLINK(CONCATENATE("https://bugzilla.houston.hp.com:1181/bugzilla/show_bug.cgi?id=",INDIRECT(C70&amp;ROW())),INDIRECT(C70&amp;ROW()))</f>
        <v>64498</v>
      </c>
      <c r="N690">
        <v>64498</v>
      </c>
      <c r="O690" t="s">
        <v>203</v>
      </c>
      <c r="P690" t="s">
        <v>1290</v>
      </c>
      <c r="Q690" t="s">
        <v>16</v>
      </c>
      <c r="R690" t="s">
        <v>248</v>
      </c>
      <c r="S690" t="s">
        <v>203</v>
      </c>
      <c r="U690" s="6">
        <v>42179.115844907406</v>
      </c>
      <c r="V690" t="s">
        <v>35</v>
      </c>
      <c r="W690" t="s">
        <v>248</v>
      </c>
      <c r="X690" s="6">
        <v>42179.115844907406</v>
      </c>
      <c r="Y690" t="s">
        <v>788</v>
      </c>
      <c r="AB690" t="s">
        <v>201</v>
      </c>
      <c r="AC690" t="s">
        <v>247</v>
      </c>
      <c r="AD690" t="s">
        <v>220</v>
      </c>
      <c r="AE690" t="s">
        <v>219</v>
      </c>
      <c r="AG690" t="s">
        <v>121</v>
      </c>
      <c r="AH690" t="s">
        <v>327</v>
      </c>
      <c r="AI690" t="s">
        <v>121</v>
      </c>
      <c r="AJ690" t="s">
        <v>717</v>
      </c>
      <c r="AK690" t="s">
        <v>121</v>
      </c>
    </row>
    <row r="691" spans="9:37" x14ac:dyDescent="0.3">
      <c r="I691">
        <f ca="1">IF(OR(INDIRECT(A73&amp;ROW())=B93,INDIRECT(A73&amp;ROW())=B94),1,IF(AND(INDIRECT(A73&amp;ROW())=B95,INDIRECT(A96&amp;ROW())=C93),1,IF(AND(INDIRECT(A73&amp;ROW())=B95,INDIRECT(A96&amp;ROW())=C94),1,0)))</f>
        <v>1</v>
      </c>
      <c r="J691">
        <f ca="1">IF(AND(INDIRECT(A73&amp;ROW())=B95,INDIRECT(A96&amp;ROW())=C95),1,IF(AND(INDIRECT(A73&amp;ROW())=B95,INDIRECT(A96&amp;ROW())=C96),1,0))</f>
        <v>0</v>
      </c>
      <c r="K691">
        <f ca="1">DAYS360(INDIRECT(C68&amp;ROW()),TODAY())</f>
        <v>667</v>
      </c>
      <c r="L691">
        <f ca="1">DAYS360(INDIRECT(C69&amp;ROW()),TODAY())</f>
        <v>667</v>
      </c>
      <c r="M691">
        <f ca="1">HYPERLINK(CONCATENATE("https://bugzilla.houston.hp.com:1181/bugzilla/show_bug.cgi?id=",INDIRECT(C70&amp;ROW())),INDIRECT(C70&amp;ROW()))</f>
        <v>64589</v>
      </c>
      <c r="N691">
        <v>64589</v>
      </c>
      <c r="O691" t="s">
        <v>53</v>
      </c>
      <c r="P691" t="s">
        <v>1289</v>
      </c>
      <c r="Q691" t="s">
        <v>39</v>
      </c>
      <c r="R691" t="s">
        <v>248</v>
      </c>
      <c r="S691" t="s">
        <v>552</v>
      </c>
      <c r="U691" s="6">
        <v>42180.341805555552</v>
      </c>
      <c r="V691" t="s">
        <v>18</v>
      </c>
      <c r="W691" t="s">
        <v>248</v>
      </c>
      <c r="X691" s="6">
        <v>42180.341805555552</v>
      </c>
      <c r="Y691" t="s">
        <v>793</v>
      </c>
      <c r="AB691" t="s">
        <v>200</v>
      </c>
      <c r="AC691" t="s">
        <v>1124</v>
      </c>
      <c r="AD691" t="s">
        <v>220</v>
      </c>
      <c r="AE691" t="s">
        <v>219</v>
      </c>
      <c r="AG691" t="s">
        <v>121</v>
      </c>
      <c r="AH691" t="s">
        <v>327</v>
      </c>
      <c r="AI691" t="s">
        <v>121</v>
      </c>
      <c r="AJ691" t="s">
        <v>715</v>
      </c>
      <c r="AK691" t="s">
        <v>121</v>
      </c>
    </row>
    <row r="692" spans="9:37" x14ac:dyDescent="0.3">
      <c r="I692">
        <f ca="1">IF(OR(INDIRECT(A73&amp;ROW())=B93,INDIRECT(A73&amp;ROW())=B94),1,IF(AND(INDIRECT(A73&amp;ROW())=B95,INDIRECT(A96&amp;ROW())=C93),1,IF(AND(INDIRECT(A73&amp;ROW())=B95,INDIRECT(A96&amp;ROW())=C94),1,0)))</f>
        <v>1</v>
      </c>
      <c r="J692">
        <f ca="1">IF(AND(INDIRECT(A73&amp;ROW())=B95,INDIRECT(A96&amp;ROW())=C95),1,IF(AND(INDIRECT(A73&amp;ROW())=B95,INDIRECT(A96&amp;ROW())=C96),1,0))</f>
        <v>0</v>
      </c>
      <c r="K692">
        <f ca="1">DAYS360(INDIRECT(C68&amp;ROW()),TODAY())</f>
        <v>666</v>
      </c>
      <c r="L692">
        <f ca="1">DAYS360(INDIRECT(C69&amp;ROW()),TODAY())</f>
        <v>667</v>
      </c>
      <c r="M692">
        <f ca="1">HYPERLINK(CONCATENATE("https://bugzilla.houston.hp.com:1181/bugzilla/show_bug.cgi?id=",INDIRECT(C70&amp;ROW())),INDIRECT(C70&amp;ROW()))</f>
        <v>64629</v>
      </c>
      <c r="N692">
        <v>64629</v>
      </c>
      <c r="O692" t="s">
        <v>53</v>
      </c>
      <c r="P692" t="s">
        <v>1288</v>
      </c>
      <c r="Q692" t="s">
        <v>25</v>
      </c>
      <c r="R692" t="s">
        <v>251</v>
      </c>
      <c r="S692" t="s">
        <v>53</v>
      </c>
      <c r="U692" s="6">
        <v>42181.080393518518</v>
      </c>
      <c r="V692" t="s">
        <v>18</v>
      </c>
      <c r="W692" t="s">
        <v>783</v>
      </c>
      <c r="X692" s="6">
        <v>42180.858634259261</v>
      </c>
      <c r="Y692" t="s">
        <v>786</v>
      </c>
      <c r="AB692" t="s">
        <v>200</v>
      </c>
      <c r="AC692" t="s">
        <v>247</v>
      </c>
      <c r="AD692" t="s">
        <v>220</v>
      </c>
      <c r="AE692" t="s">
        <v>219</v>
      </c>
      <c r="AG692" t="s">
        <v>121</v>
      </c>
      <c r="AH692" t="s">
        <v>327</v>
      </c>
      <c r="AI692" t="s">
        <v>121</v>
      </c>
      <c r="AJ692" t="s">
        <v>715</v>
      </c>
      <c r="AK692" t="s">
        <v>121</v>
      </c>
    </row>
    <row r="693" spans="9:37" x14ac:dyDescent="0.3">
      <c r="I693">
        <f ca="1">IF(OR(INDIRECT(A73&amp;ROW())=B93,INDIRECT(A73&amp;ROW())=B94),1,IF(AND(INDIRECT(A73&amp;ROW())=B95,INDIRECT(A96&amp;ROW())=C93),1,IF(AND(INDIRECT(A73&amp;ROW())=B95,INDIRECT(A96&amp;ROW())=C94),1,0)))</f>
        <v>1</v>
      </c>
      <c r="J693">
        <f ca="1">IF(AND(INDIRECT(A73&amp;ROW())=B95,INDIRECT(A96&amp;ROW())=C95),1,IF(AND(INDIRECT(A73&amp;ROW())=B95,INDIRECT(A96&amp;ROW())=C96),1,0))</f>
        <v>0</v>
      </c>
      <c r="K693">
        <f ca="1">DAYS360(INDIRECT(C68&amp;ROW()),TODAY())</f>
        <v>666</v>
      </c>
      <c r="L693">
        <f ca="1">DAYS360(INDIRECT(C69&amp;ROW()),TODAY())</f>
        <v>666</v>
      </c>
      <c r="M693">
        <f ca="1">HYPERLINK(CONCATENATE("https://bugzilla.houston.hp.com:1181/bugzilla/show_bug.cgi?id=",INDIRECT(C70&amp;ROW())),INDIRECT(C70&amp;ROW()))</f>
        <v>64633</v>
      </c>
      <c r="N693">
        <v>64633</v>
      </c>
      <c r="O693" t="s">
        <v>56</v>
      </c>
      <c r="P693" t="s">
        <v>1287</v>
      </c>
      <c r="Q693" t="s">
        <v>25</v>
      </c>
      <c r="R693" t="s">
        <v>579</v>
      </c>
      <c r="S693" t="s">
        <v>552</v>
      </c>
      <c r="U693" s="6">
        <v>42181.017638888887</v>
      </c>
      <c r="V693" t="s">
        <v>18</v>
      </c>
      <c r="W693" t="s">
        <v>783</v>
      </c>
      <c r="X693" s="6">
        <v>42181.017638888887</v>
      </c>
      <c r="Y693" t="s">
        <v>786</v>
      </c>
      <c r="AB693" t="s">
        <v>200</v>
      </c>
      <c r="AC693" t="s">
        <v>247</v>
      </c>
      <c r="AD693" t="s">
        <v>220</v>
      </c>
      <c r="AE693" t="s">
        <v>219</v>
      </c>
      <c r="AG693" t="s">
        <v>121</v>
      </c>
      <c r="AH693" t="s">
        <v>327</v>
      </c>
      <c r="AI693" t="s">
        <v>121</v>
      </c>
      <c r="AJ693" t="s">
        <v>715</v>
      </c>
      <c r="AK693" t="s">
        <v>121</v>
      </c>
    </row>
    <row r="694" spans="9:37" x14ac:dyDescent="0.3">
      <c r="I694">
        <f ca="1">IF(OR(INDIRECT(A73&amp;ROW())=B93,INDIRECT(A73&amp;ROW())=B94),1,IF(AND(INDIRECT(A73&amp;ROW())=B95,INDIRECT(A96&amp;ROW())=C93),1,IF(AND(INDIRECT(A73&amp;ROW())=B95,INDIRECT(A96&amp;ROW())=C94),1,0)))</f>
        <v>1</v>
      </c>
      <c r="J694">
        <f ca="1">IF(AND(INDIRECT(A73&amp;ROW())=B95,INDIRECT(A96&amp;ROW())=C95),1,IF(AND(INDIRECT(A73&amp;ROW())=B95,INDIRECT(A96&amp;ROW())=C96),1,0))</f>
        <v>0</v>
      </c>
      <c r="K694">
        <f ca="1">DAYS360(INDIRECT(C68&amp;ROW()),TODAY())</f>
        <v>666</v>
      </c>
      <c r="L694">
        <f ca="1">DAYS360(INDIRECT(C69&amp;ROW()),TODAY())</f>
        <v>666</v>
      </c>
      <c r="M694">
        <f ca="1">HYPERLINK(CONCATENATE("https://bugzilla.houston.hp.com:1181/bugzilla/show_bug.cgi?id=",INDIRECT(C70&amp;ROW())),INDIRECT(C70&amp;ROW()))</f>
        <v>64634</v>
      </c>
      <c r="N694">
        <v>64634</v>
      </c>
      <c r="O694" t="s">
        <v>53</v>
      </c>
      <c r="P694" t="s">
        <v>1286</v>
      </c>
      <c r="Q694" t="s">
        <v>25</v>
      </c>
      <c r="R694" t="s">
        <v>783</v>
      </c>
      <c r="S694" t="s">
        <v>552</v>
      </c>
      <c r="U694" s="6">
        <v>42181.080081018517</v>
      </c>
      <c r="V694" t="s">
        <v>18</v>
      </c>
      <c r="W694" t="s">
        <v>783</v>
      </c>
      <c r="X694" s="6">
        <v>42181.017708333333</v>
      </c>
      <c r="Y694" t="s">
        <v>786</v>
      </c>
      <c r="AB694" t="s">
        <v>200</v>
      </c>
      <c r="AC694" t="s">
        <v>247</v>
      </c>
      <c r="AD694" t="s">
        <v>220</v>
      </c>
      <c r="AE694" t="s">
        <v>219</v>
      </c>
      <c r="AG694" t="s">
        <v>121</v>
      </c>
      <c r="AH694" t="s">
        <v>327</v>
      </c>
      <c r="AI694" t="s">
        <v>121</v>
      </c>
      <c r="AJ694" t="s">
        <v>715</v>
      </c>
      <c r="AK694" t="s">
        <v>121</v>
      </c>
    </row>
    <row r="695" spans="9:37" x14ac:dyDescent="0.3">
      <c r="I695">
        <f ca="1">IF(OR(INDIRECT(A73&amp;ROW())=B93,INDIRECT(A73&amp;ROW())=B94),1,IF(AND(INDIRECT(A73&amp;ROW())=B95,INDIRECT(A96&amp;ROW())=C93),1,IF(AND(INDIRECT(A73&amp;ROW())=B95,INDIRECT(A96&amp;ROW())=C94),1,0)))</f>
        <v>1</v>
      </c>
      <c r="J695">
        <f ca="1">IF(AND(INDIRECT(A73&amp;ROW())=B95,INDIRECT(A96&amp;ROW())=C95),1,IF(AND(INDIRECT(A73&amp;ROW())=B95,INDIRECT(A96&amp;ROW())=C96),1,0))</f>
        <v>0</v>
      </c>
      <c r="K695">
        <f ca="1">DAYS360(INDIRECT(C68&amp;ROW()),TODAY())</f>
        <v>666</v>
      </c>
      <c r="L695">
        <f ca="1">DAYS360(INDIRECT(C69&amp;ROW()),TODAY())</f>
        <v>666</v>
      </c>
      <c r="M695">
        <f ca="1">HYPERLINK(CONCATENATE("https://bugzilla.houston.hp.com:1181/bugzilla/show_bug.cgi?id=",INDIRECT(C70&amp;ROW())),INDIRECT(C70&amp;ROW()))</f>
        <v>64635</v>
      </c>
      <c r="N695">
        <v>64635</v>
      </c>
      <c r="O695" t="s">
        <v>56</v>
      </c>
      <c r="P695" t="s">
        <v>1285</v>
      </c>
      <c r="Q695" t="s">
        <v>25</v>
      </c>
      <c r="R695" t="s">
        <v>248</v>
      </c>
      <c r="S695" t="s">
        <v>552</v>
      </c>
      <c r="U695" s="6">
        <v>42181.017766203702</v>
      </c>
      <c r="V695" t="s">
        <v>18</v>
      </c>
      <c r="W695" t="s">
        <v>783</v>
      </c>
      <c r="X695" s="6">
        <v>42181.017766203702</v>
      </c>
      <c r="Y695" t="s">
        <v>786</v>
      </c>
      <c r="AB695" t="s">
        <v>200</v>
      </c>
      <c r="AC695" t="s">
        <v>247</v>
      </c>
      <c r="AD695" t="s">
        <v>220</v>
      </c>
      <c r="AE695" t="s">
        <v>219</v>
      </c>
      <c r="AG695" t="s">
        <v>121</v>
      </c>
      <c r="AH695" t="s">
        <v>327</v>
      </c>
      <c r="AI695" t="s">
        <v>121</v>
      </c>
      <c r="AJ695" t="s">
        <v>715</v>
      </c>
      <c r="AK695" t="s">
        <v>121</v>
      </c>
    </row>
    <row r="696" spans="9:37" x14ac:dyDescent="0.3">
      <c r="N696">
        <v>64653</v>
      </c>
      <c r="O696" t="s">
        <v>56</v>
      </c>
      <c r="P696" t="s">
        <v>1284</v>
      </c>
      <c r="Q696" t="s">
        <v>16</v>
      </c>
      <c r="R696" t="s">
        <v>248</v>
      </c>
      <c r="S696" t="s">
        <v>1283</v>
      </c>
      <c r="T696" t="s">
        <v>181</v>
      </c>
      <c r="U696" s="6">
        <v>42181.2346875</v>
      </c>
      <c r="V696" t="s">
        <v>18</v>
      </c>
      <c r="W696" t="s">
        <v>248</v>
      </c>
      <c r="X696" s="6">
        <v>42181.201724537037</v>
      </c>
      <c r="Y696" t="s">
        <v>123</v>
      </c>
      <c r="AB696" t="s">
        <v>200</v>
      </c>
      <c r="AC696" t="s">
        <v>247</v>
      </c>
      <c r="AD696" t="s">
        <v>220</v>
      </c>
      <c r="AE696" t="s">
        <v>219</v>
      </c>
      <c r="AG696" t="s">
        <v>121</v>
      </c>
      <c r="AH696" t="s">
        <v>327</v>
      </c>
      <c r="AI696" t="s">
        <v>121</v>
      </c>
      <c r="AJ696" t="s">
        <v>716</v>
      </c>
      <c r="AK696" t="s">
        <v>121</v>
      </c>
    </row>
    <row r="697" spans="9:37" x14ac:dyDescent="0.3">
      <c r="N697">
        <v>64660</v>
      </c>
      <c r="O697" t="s">
        <v>56</v>
      </c>
      <c r="P697" t="s">
        <v>1282</v>
      </c>
      <c r="Q697" t="s">
        <v>25</v>
      </c>
      <c r="R697" t="s">
        <v>248</v>
      </c>
      <c r="S697" t="s">
        <v>1281</v>
      </c>
      <c r="T697" t="s">
        <v>181</v>
      </c>
      <c r="U697" s="6">
        <v>42181.297627314816</v>
      </c>
      <c r="V697" t="s">
        <v>18</v>
      </c>
      <c r="W697" t="s">
        <v>248</v>
      </c>
      <c r="X697" s="6">
        <v>42181.293576388889</v>
      </c>
      <c r="Y697" t="s">
        <v>123</v>
      </c>
      <c r="AB697" t="s">
        <v>201</v>
      </c>
      <c r="AC697" t="s">
        <v>247</v>
      </c>
      <c r="AD697" t="s">
        <v>220</v>
      </c>
      <c r="AE697" t="s">
        <v>219</v>
      </c>
      <c r="AG697" t="s">
        <v>121</v>
      </c>
      <c r="AH697" t="s">
        <v>327</v>
      </c>
      <c r="AI697" t="s">
        <v>121</v>
      </c>
      <c r="AJ697" t="s">
        <v>716</v>
      </c>
      <c r="AK697" t="s">
        <v>121</v>
      </c>
    </row>
  </sheetData>
  <autoFilter ref="I1:AK800"/>
  <hyperlinks>
    <hyperlink ref="B64" location="Assignees!A1" display="Assignees"/>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Assigned to">
          <x14:formula1>
            <xm:f>[4]Assignees!#REF!</xm:f>
          </x14:formula1>
          <xm:sqref>B39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695"/>
  <sheetViews>
    <sheetView workbookViewId="0">
      <selection activeCell="H31" sqref="H31"/>
    </sheetView>
  </sheetViews>
  <sheetFormatPr defaultRowHeight="14.4" x14ac:dyDescent="0.3"/>
  <cols>
    <col min="2" max="2" width="25.6640625" bestFit="1" customWidth="1"/>
    <col min="4" max="4" width="18.77734375" customWidth="1"/>
    <col min="9" max="10" width="8.88671875" hidden="1" customWidth="1"/>
    <col min="11" max="12" width="4.77734375" customWidth="1"/>
    <col min="13" max="13" width="8" bestFit="1" customWidth="1"/>
    <col min="14" max="14" width="8.88671875" hidden="1" customWidth="1"/>
    <col min="15" max="15" width="18.77734375" customWidth="1"/>
    <col min="16" max="16" width="117.21875" customWidth="1"/>
    <col min="17" max="17" width="9.6640625" bestFit="1" customWidth="1"/>
    <col min="18" max="18" width="17.109375" bestFit="1" customWidth="1"/>
    <col min="19" max="19" width="31.77734375" bestFit="1" customWidth="1"/>
    <col min="20" max="20" width="59.33203125" bestFit="1" customWidth="1"/>
    <col min="21" max="21" width="15.6640625" bestFit="1" customWidth="1"/>
    <col min="22" max="22" width="10" bestFit="1" customWidth="1"/>
    <col min="23" max="23" width="25.6640625" bestFit="1" customWidth="1"/>
    <col min="24" max="24" width="15.6640625" bestFit="1" customWidth="1"/>
  </cols>
  <sheetData>
    <row r="1" spans="1:37" x14ac:dyDescent="0.3">
      <c r="A1" s="1" t="s">
        <v>0</v>
      </c>
      <c r="B1" s="1" t="s">
        <v>1</v>
      </c>
      <c r="C1" s="1" t="s">
        <v>0</v>
      </c>
      <c r="D1" s="1" t="s">
        <v>2</v>
      </c>
      <c r="E1" s="1" t="s">
        <v>165</v>
      </c>
      <c r="F1" s="1" t="s">
        <v>3</v>
      </c>
      <c r="G1" s="1" t="s">
        <v>4</v>
      </c>
      <c r="H1" s="1" t="s">
        <v>373</v>
      </c>
      <c r="I1" t="s">
        <v>267</v>
      </c>
      <c r="J1" t="s">
        <v>346</v>
      </c>
      <c r="K1" t="s">
        <v>86</v>
      </c>
      <c r="L1" t="s">
        <v>87</v>
      </c>
      <c r="M1" t="s">
        <v>1123</v>
      </c>
      <c r="N1" t="s">
        <v>5</v>
      </c>
      <c r="O1" t="s">
        <v>6</v>
      </c>
      <c r="P1" t="s">
        <v>7</v>
      </c>
      <c r="Q1" t="s">
        <v>8</v>
      </c>
      <c r="R1" t="s">
        <v>9</v>
      </c>
      <c r="S1" t="s">
        <v>10</v>
      </c>
      <c r="T1" t="s">
        <v>11</v>
      </c>
      <c r="U1" t="s">
        <v>12</v>
      </c>
      <c r="V1" t="s">
        <v>13</v>
      </c>
      <c r="W1" t="s">
        <v>14</v>
      </c>
      <c r="X1" t="s">
        <v>90</v>
      </c>
      <c r="Y1" t="s">
        <v>116</v>
      </c>
      <c r="Z1" t="s">
        <v>117</v>
      </c>
      <c r="AA1" t="s">
        <v>185</v>
      </c>
      <c r="AB1" t="s">
        <v>202</v>
      </c>
      <c r="AC1" t="s">
        <v>218</v>
      </c>
      <c r="AD1" t="s">
        <v>235</v>
      </c>
      <c r="AE1" t="s">
        <v>234</v>
      </c>
      <c r="AF1" t="s">
        <v>259</v>
      </c>
      <c r="AG1" t="s">
        <v>325</v>
      </c>
      <c r="AH1" t="s">
        <v>329</v>
      </c>
      <c r="AI1" t="s">
        <v>361</v>
      </c>
      <c r="AJ1" t="s">
        <v>714</v>
      </c>
      <c r="AK1" t="s">
        <v>761</v>
      </c>
    </row>
    <row r="2" spans="1:37" x14ac:dyDescent="0.3">
      <c r="A2" s="2">
        <f ca="1">COUNTIF(INDIRECT(A68&amp;A67):INDIRECT(A69&amp;A66),INDIRECT("b"&amp;ROW()))</f>
        <v>294</v>
      </c>
      <c r="B2" s="2" t="str">
        <f>Assignees!C1</f>
        <v>Astra</v>
      </c>
      <c r="C2" s="3">
        <f ca="1">COUNTIF(INDIRECT(A71&amp;A67):INDIRECT(A71&amp;A66),INDIRECT("d"&amp;ROW()))</f>
        <v>12</v>
      </c>
      <c r="D2" s="3" t="str">
        <f>Assignees!D1</f>
        <v>Astra</v>
      </c>
      <c r="E2" s="16">
        <f ca="1">COUNTIFS(INDIRECT(A71&amp;A67):INDIRECT(A71&amp;A66),INDIRECT("d"&amp;ROW()),INDIRECT(A73&amp;A67):INDIRECT(A73&amp;A66),E1)</f>
        <v>0</v>
      </c>
      <c r="F2" s="4">
        <f ca="1">COUNTIFS(INDIRECT(A71&amp;A67):INDIRECT(A71&amp;A66),INDIRECT("d"&amp;ROW()),INDIRECT(A73&amp;A67):INDIRECT(A73&amp;A66),F1)</f>
        <v>0</v>
      </c>
      <c r="G2" s="3">
        <f ca="1">COUNTIFS(INDIRECT(A71&amp;A67):INDIRECT(A71&amp;A66),INDIRECT("d"&amp;ROW()),INDIRECT(A73&amp;A67):INDIRECT(A73&amp;A66),G1)</f>
        <v>6</v>
      </c>
      <c r="H2" s="5">
        <f ca="1">COUNTIFS(INDIRECT(A71&amp;A67):INDIRECT(A71&amp;A66),INDIRECT("d"&amp;ROW()),INDIRECT(A73&amp;A67):INDIRECT(A73&amp;A66),H1)</f>
        <v>6</v>
      </c>
      <c r="I2">
        <f ca="1">IF(OR(INDIRECT(A73&amp;ROW())=B93,INDIRECT(A73&amp;ROW())=B94),1,IF(AND(INDIRECT(A73&amp;ROW())=B95,INDIRECT(A96&amp;ROW())=C93),1,IF(AND(INDIRECT(A73&amp;ROW())=B95,INDIRECT(A96&amp;ROW())=C94),1,0)))</f>
        <v>0</v>
      </c>
      <c r="J2">
        <f ca="1">IF(AND(INDIRECT(A73&amp;ROW())=B95,INDIRECT(A96&amp;ROW())=C95),1,IF(AND(INDIRECT(A73&amp;ROW())=B95,INDIRECT(A96&amp;ROW())=C96),1,0))</f>
        <v>0</v>
      </c>
      <c r="K2">
        <f ca="1">DAYS360(INDIRECT(C68&amp;ROW()),TODAY())</f>
        <v>721</v>
      </c>
      <c r="L2">
        <f ca="1">DAYS360(INDIRECT(C69&amp;ROW()),TODAY())</f>
        <v>1221</v>
      </c>
      <c r="M2" s="11">
        <f ca="1">HYPERLINK(CONCATENATE("https://bugzilla.houston.hp.com:1181/bugzilla/show_bug.cgi?id=",INDIRECT(C70&amp;ROW())),INDIRECT(C70&amp;ROW()))</f>
        <v>37654</v>
      </c>
      <c r="N2">
        <v>37654</v>
      </c>
      <c r="O2" t="s">
        <v>55</v>
      </c>
      <c r="P2" t="s">
        <v>389</v>
      </c>
      <c r="Q2" t="s">
        <v>16</v>
      </c>
      <c r="R2" t="s">
        <v>251</v>
      </c>
      <c r="S2" t="s">
        <v>55</v>
      </c>
      <c r="U2" s="6">
        <v>42125.439826388887</v>
      </c>
      <c r="V2" t="s">
        <v>18</v>
      </c>
      <c r="W2" t="s">
        <v>17</v>
      </c>
      <c r="X2" s="6">
        <v>41619.560983796298</v>
      </c>
      <c r="Y2" t="s">
        <v>122</v>
      </c>
      <c r="AB2" t="s">
        <v>200</v>
      </c>
      <c r="AC2" t="s">
        <v>121</v>
      </c>
      <c r="AD2" t="s">
        <v>220</v>
      </c>
      <c r="AE2" t="s">
        <v>219</v>
      </c>
      <c r="AG2" t="s">
        <v>121</v>
      </c>
      <c r="AH2" t="s">
        <v>327</v>
      </c>
      <c r="AI2" t="s">
        <v>121</v>
      </c>
      <c r="AJ2" t="s">
        <v>716</v>
      </c>
      <c r="AK2" t="s">
        <v>121</v>
      </c>
    </row>
    <row r="3" spans="1:37" x14ac:dyDescent="0.3">
      <c r="A3" s="2">
        <f ca="1">COUNTIF(INDIRECT(A68&amp;A67):INDIRECT(A69&amp;A66),INDIRECT("b"&amp;ROW()))</f>
        <v>2</v>
      </c>
      <c r="B3" s="2" t="str">
        <f>Assignees!C2</f>
        <v>Astra-IR7</v>
      </c>
      <c r="C3" s="3">
        <f ca="1">COUNTIF(INDIRECT(A71&amp;A67):INDIRECT(A71&amp;A66),INDIRECT("d"&amp;ROW()))</f>
        <v>263</v>
      </c>
      <c r="D3" s="3" t="str">
        <f>Assignees!D2</f>
        <v>Atlas</v>
      </c>
      <c r="E3" s="16">
        <f ca="1">COUNTIFS(INDIRECT(A71&amp;A67):INDIRECT(A71&amp;A66),INDIRECT("d"&amp;ROW()),INDIRECT(A73&amp;A67):INDIRECT(A73&amp;A66),E1)</f>
        <v>2</v>
      </c>
      <c r="F3" s="4">
        <f ca="1">COUNTIFS(INDIRECT(A71&amp;A67):INDIRECT(A71&amp;A66),INDIRECT("d"&amp;ROW()),INDIRECT(A73&amp;A67):INDIRECT(A73&amp;A66),F1)</f>
        <v>28</v>
      </c>
      <c r="G3" s="3">
        <f ca="1">COUNTIFS(INDIRECT(A71&amp;A67):INDIRECT(A71&amp;A66),INDIRECT("d"&amp;ROW()),INDIRECT(A73&amp;A67):INDIRECT(A73&amp;A66),G1)</f>
        <v>103</v>
      </c>
      <c r="H3" s="5">
        <f ca="1">COUNTIFS(INDIRECT(A71&amp;A67):INDIRECT(A71&amp;A66),INDIRECT("d"&amp;ROW()),INDIRECT(A73&amp;A67):INDIRECT(A73&amp;A66),H1)</f>
        <v>130</v>
      </c>
      <c r="I3">
        <f ca="1">IF(OR(INDIRECT(A73&amp;ROW())=B93,INDIRECT(A73&amp;ROW())=B94),1,IF(AND(INDIRECT(A73&amp;ROW())=B95,INDIRECT(A96&amp;ROW())=C93),1,IF(AND(INDIRECT(A73&amp;ROW())=B95,INDIRECT(A96&amp;ROW())=C94),1,0)))</f>
        <v>0</v>
      </c>
      <c r="J3">
        <f ca="1">IF(AND(INDIRECT(A73&amp;ROW())=B95,INDIRECT(A96&amp;ROW())=C95),1,IF(AND(INDIRECT(A73&amp;ROW())=B95,INDIRECT(A96&amp;ROW())=C96),1,0))</f>
        <v>0</v>
      </c>
      <c r="K3">
        <f ca="1">DAYS360(INDIRECT(C68&amp;ROW()),TODAY())</f>
        <v>721</v>
      </c>
      <c r="L3">
        <f ca="1">DAYS360(INDIRECT(C69&amp;ROW()),TODAY())</f>
        <v>1214</v>
      </c>
      <c r="M3" s="11">
        <f ca="1">HYPERLINK(CONCATENATE("https://bugzilla.houston.hp.com:1181/bugzilla/show_bug.cgi?id=",INDIRECT(C70&amp;ROW())),INDIRECT(C70&amp;ROW()))</f>
        <v>37855</v>
      </c>
      <c r="N3">
        <v>37855</v>
      </c>
      <c r="O3" t="s">
        <v>56</v>
      </c>
      <c r="P3" t="s">
        <v>388</v>
      </c>
      <c r="Q3" t="s">
        <v>16</v>
      </c>
      <c r="R3" t="s">
        <v>251</v>
      </c>
      <c r="S3" t="s">
        <v>43</v>
      </c>
      <c r="U3" s="6">
        <v>42125.439976851849</v>
      </c>
      <c r="V3" t="s">
        <v>35</v>
      </c>
      <c r="W3" t="s">
        <v>17</v>
      </c>
      <c r="X3" s="6">
        <v>41626.51222222222</v>
      </c>
      <c r="Y3" t="s">
        <v>122</v>
      </c>
      <c r="AB3" t="s">
        <v>201</v>
      </c>
      <c r="AC3" t="s">
        <v>121</v>
      </c>
      <c r="AD3" t="s">
        <v>220</v>
      </c>
      <c r="AE3" t="s">
        <v>219</v>
      </c>
      <c r="AG3" t="s">
        <v>121</v>
      </c>
      <c r="AH3" t="s">
        <v>327</v>
      </c>
      <c r="AI3" t="s">
        <v>121</v>
      </c>
      <c r="AJ3" t="s">
        <v>717</v>
      </c>
      <c r="AK3" t="s">
        <v>121</v>
      </c>
    </row>
    <row r="4" spans="1:37" x14ac:dyDescent="0.3">
      <c r="A4" s="2">
        <f ca="1">COUNTIF(INDIRECT(A68&amp;A67):INDIRECT(A69&amp;A66),INDIRECT("b"&amp;ROW()))</f>
        <v>2</v>
      </c>
      <c r="B4" s="2" t="str">
        <f>Assignees!C3</f>
        <v>Astra-IR8</v>
      </c>
      <c r="C4" s="3">
        <f ca="1">COUNTIF(INDIRECT(A71&amp;A67):INDIRECT(A71&amp;A66),INDIRECT("d"&amp;ROW()))</f>
        <v>0</v>
      </c>
      <c r="D4" s="3" t="str">
        <f>Assignees!D3</f>
        <v>Bellatrix</v>
      </c>
      <c r="E4" s="16">
        <f ca="1">COUNTIFS(INDIRECT(A71&amp;A67):INDIRECT(A71&amp;A66),INDIRECT("d"&amp;ROW()),INDIRECT(A73&amp;A67):INDIRECT(A73&amp;A66),E1)</f>
        <v>0</v>
      </c>
      <c r="F4" s="4">
        <f ca="1">COUNTIFS(INDIRECT(A71&amp;A67):INDIRECT(A71&amp;A66),INDIRECT("d"&amp;ROW()),INDIRECT(A73&amp;A67):INDIRECT(A73&amp;A66),F1)</f>
        <v>0</v>
      </c>
      <c r="G4" s="3">
        <f ca="1">COUNTIFS(INDIRECT(A71&amp;A67):INDIRECT(A71&amp;A66),INDIRECT("d"&amp;ROW()),INDIRECT(A73&amp;A67):INDIRECT(A73&amp;A66),G1)</f>
        <v>0</v>
      </c>
      <c r="H4" s="5">
        <f ca="1">COUNTIFS(INDIRECT(A71&amp;A67):INDIRECT(A71&amp;A66),INDIRECT("d"&amp;ROW()),INDIRECT(A73&amp;A67):INDIRECT(A73&amp;A66),H1)</f>
        <v>0</v>
      </c>
      <c r="I4">
        <f ca="1">IF(OR(INDIRECT(A73&amp;ROW())=B93,INDIRECT(A73&amp;ROW())=B94),1,IF(AND(INDIRECT(A73&amp;ROW())=B95,INDIRECT(A96&amp;ROW())=C93),1,IF(AND(INDIRECT(A73&amp;ROW())=B95,INDIRECT(A96&amp;ROW())=C94),1,0)))</f>
        <v>0</v>
      </c>
      <c r="J4">
        <f ca="1">IF(AND(INDIRECT(A73&amp;ROW())=B95,INDIRECT(A96&amp;ROW())=C95),1,IF(AND(INDIRECT(A73&amp;ROW())=B95,INDIRECT(A96&amp;ROW())=C96),1,0))</f>
        <v>1</v>
      </c>
      <c r="K4">
        <f ca="1">DAYS360(INDIRECT(C68&amp;ROW()),TODAY())</f>
        <v>710</v>
      </c>
      <c r="L4">
        <f ca="1">DAYS360(INDIRECT(C69&amp;ROW()),TODAY())</f>
        <v>1159</v>
      </c>
      <c r="M4" s="11">
        <f ca="1">HYPERLINK(CONCATENATE("https://bugzilla.houston.hp.com:1181/bugzilla/show_bug.cgi?id=",INDIRECT(C70&amp;ROW())),INDIRECT(C70&amp;ROW()))</f>
        <v>39099</v>
      </c>
      <c r="N4">
        <v>39099</v>
      </c>
      <c r="O4" t="s">
        <v>53</v>
      </c>
      <c r="P4" t="s">
        <v>1053</v>
      </c>
      <c r="Q4" t="s">
        <v>25</v>
      </c>
      <c r="R4" t="s">
        <v>251</v>
      </c>
      <c r="S4" t="s">
        <v>53</v>
      </c>
      <c r="U4" s="6">
        <v>42136.61577546296</v>
      </c>
      <c r="V4" t="s">
        <v>18</v>
      </c>
      <c r="W4" t="s">
        <v>17</v>
      </c>
      <c r="X4" s="6">
        <v>41683.468611111108</v>
      </c>
      <c r="Y4" t="s">
        <v>118</v>
      </c>
      <c r="AB4" t="s">
        <v>201</v>
      </c>
      <c r="AC4" t="s">
        <v>1027</v>
      </c>
      <c r="AD4" t="s">
        <v>220</v>
      </c>
      <c r="AE4" t="s">
        <v>219</v>
      </c>
      <c r="AG4" t="s">
        <v>121</v>
      </c>
      <c r="AH4" t="s">
        <v>327</v>
      </c>
      <c r="AI4" t="s">
        <v>121</v>
      </c>
      <c r="AJ4" t="s">
        <v>716</v>
      </c>
      <c r="AK4" t="s">
        <v>121</v>
      </c>
    </row>
    <row r="5" spans="1:37" x14ac:dyDescent="0.3">
      <c r="A5" s="2">
        <f ca="1">COUNTIF(INDIRECT(A68&amp;A67):INDIRECT(A69&amp;A66),INDIRECT("b"&amp;ROW()))</f>
        <v>2</v>
      </c>
      <c r="B5" s="2" t="str">
        <f>Assignees!C4</f>
        <v>Astra-IR9</v>
      </c>
      <c r="C5" s="3">
        <f ca="1">COUNTIF(INDIRECT(A71&amp;A67):INDIRECT(A71&amp;A66),INDIRECT("d"&amp;ROW()))</f>
        <v>249</v>
      </c>
      <c r="D5" s="3" t="str">
        <f>Assignees!D4</f>
        <v>Master</v>
      </c>
      <c r="E5" s="16">
        <f ca="1">COUNTIFS(INDIRECT(A71&amp;A67):INDIRECT(A71&amp;A66),INDIRECT("d"&amp;ROW()),INDIRECT(A73&amp;A67):INDIRECT(A73&amp;A66),E1)</f>
        <v>0</v>
      </c>
      <c r="F5" s="4">
        <f ca="1">COUNTIFS(INDIRECT(A71&amp;A67):INDIRECT(A71&amp;A66),INDIRECT("d"&amp;ROW()),INDIRECT(A73&amp;A67):INDIRECT(A73&amp;A66),F1)</f>
        <v>32</v>
      </c>
      <c r="G5" s="3">
        <f ca="1">COUNTIFS(INDIRECT(A71&amp;A67):INDIRECT(A71&amp;A66),INDIRECT("d"&amp;ROW()),INDIRECT(A73&amp;A67):INDIRECT(A73&amp;A66),G1)</f>
        <v>107</v>
      </c>
      <c r="H5" s="5">
        <f ca="1">COUNTIFS(INDIRECT(A71&amp;A67):INDIRECT(A71&amp;A66),INDIRECT("d"&amp;ROW()),INDIRECT(A73&amp;A67):INDIRECT(A73&amp;A66),H1)</f>
        <v>110</v>
      </c>
      <c r="I5">
        <f ca="1">IF(OR(INDIRECT(A73&amp;ROW())=B93,INDIRECT(A73&amp;ROW())=B94),1,IF(AND(INDIRECT(A73&amp;ROW())=B95,INDIRECT(A96&amp;ROW())=C93),1,IF(AND(INDIRECT(A73&amp;ROW())=B95,INDIRECT(A96&amp;ROW())=C94),1,0)))</f>
        <v>0</v>
      </c>
      <c r="J5">
        <f ca="1">IF(AND(INDIRECT(A73&amp;ROW())=B95,INDIRECT(A96&amp;ROW())=C95),1,IF(AND(INDIRECT(A73&amp;ROW())=B95,INDIRECT(A96&amp;ROW())=C96),1,0))</f>
        <v>0</v>
      </c>
      <c r="K5">
        <f ca="1">DAYS360(INDIRECT(C68&amp;ROW()),TODAY())</f>
        <v>728</v>
      </c>
      <c r="L5">
        <f ca="1">DAYS360(INDIRECT(C69&amp;ROW()),TODAY())</f>
        <v>1145</v>
      </c>
      <c r="M5" s="11">
        <f ca="1">HYPERLINK(CONCATENATE("https://bugzilla.houston.hp.com:1181/bugzilla/show_bug.cgi?id=",INDIRECT(C70&amp;ROW())),INDIRECT(C70&amp;ROW()))</f>
        <v>39639</v>
      </c>
      <c r="N5">
        <v>39639</v>
      </c>
      <c r="O5" t="s">
        <v>66</v>
      </c>
      <c r="P5" t="s">
        <v>208</v>
      </c>
      <c r="Q5" t="s">
        <v>16</v>
      </c>
      <c r="R5" t="s">
        <v>251</v>
      </c>
      <c r="S5" t="s">
        <v>37</v>
      </c>
      <c r="T5" t="s">
        <v>794</v>
      </c>
      <c r="U5" s="6">
        <v>42118.519513888888</v>
      </c>
      <c r="V5" t="s">
        <v>35</v>
      </c>
      <c r="W5" t="s">
        <v>17</v>
      </c>
      <c r="X5" s="6">
        <v>41697.087245370371</v>
      </c>
      <c r="Y5" t="s">
        <v>119</v>
      </c>
      <c r="AB5" t="s">
        <v>201</v>
      </c>
      <c r="AC5" t="s">
        <v>121</v>
      </c>
      <c r="AD5" t="s">
        <v>220</v>
      </c>
      <c r="AE5" t="s">
        <v>219</v>
      </c>
      <c r="AG5" t="s">
        <v>121</v>
      </c>
      <c r="AH5" t="s">
        <v>327</v>
      </c>
      <c r="AI5" t="s">
        <v>121</v>
      </c>
      <c r="AJ5" t="s">
        <v>717</v>
      </c>
      <c r="AK5" t="s">
        <v>121</v>
      </c>
    </row>
    <row r="6" spans="1:37" x14ac:dyDescent="0.3">
      <c r="A6" s="2">
        <f ca="1">COUNTIF(INDIRECT(A68&amp;A67):INDIRECT(A69&amp;A66),INDIRECT("b"&amp;ROW()))</f>
        <v>2</v>
      </c>
      <c r="B6" s="2" t="str">
        <f>Assignees!C5</f>
        <v>Astra-IR10</v>
      </c>
      <c r="C6" s="3">
        <f ca="1">COUNTIF(INDIRECT(A71&amp;A67):INDIRECT(A71&amp;A66),INDIRECT("d"&amp;ROW()))</f>
        <v>1</v>
      </c>
      <c r="D6" s="3" t="str">
        <f>Assignees!D5</f>
        <v>Astra-Waiver</v>
      </c>
      <c r="E6" s="16">
        <f ca="1">COUNTIFS(INDIRECT(A71&amp;A67):INDIRECT(A71&amp;A66),INDIRECT("d"&amp;ROW()),INDIRECT(A73&amp;A67):INDIRECT(A73&amp;A66),E1)</f>
        <v>0</v>
      </c>
      <c r="F6" s="4">
        <f ca="1">COUNTIFS(INDIRECT(A71&amp;A67):INDIRECT(A71&amp;A66),INDIRECT("d"&amp;ROW()),INDIRECT(A73&amp;A67):INDIRECT(A73&amp;A66),F1)</f>
        <v>0</v>
      </c>
      <c r="G6" s="3">
        <f ca="1">COUNTIFS(INDIRECT(A71&amp;A67):INDIRECT(A71&amp;A66),INDIRECT("d"&amp;ROW()),INDIRECT(A73&amp;A67):INDIRECT(A73&amp;A66),G1)</f>
        <v>1</v>
      </c>
      <c r="H6" s="5">
        <f ca="1">COUNTIFS(INDIRECT(A71&amp;A67):INDIRECT(A71&amp;A66),INDIRECT("d"&amp;ROW()),INDIRECT(A73&amp;A67):INDIRECT(A73&amp;A66),H1)</f>
        <v>0</v>
      </c>
      <c r="I6">
        <f ca="1">IF(OR(INDIRECT(A73&amp;ROW())=B93,INDIRECT(A73&amp;ROW())=B94),1,IF(AND(INDIRECT(A73&amp;ROW())=B95,INDIRECT(A96&amp;ROW())=C93),1,IF(AND(INDIRECT(A73&amp;ROW())=B95,INDIRECT(A96&amp;ROW())=C94),1,0)))</f>
        <v>0</v>
      </c>
      <c r="J6">
        <f ca="1">IF(AND(INDIRECT(A73&amp;ROW())=B95,INDIRECT(A96&amp;ROW())=C95),1,IF(AND(INDIRECT(A73&amp;ROW())=B95,INDIRECT(A96&amp;ROW())=C96),1,0))</f>
        <v>1</v>
      </c>
      <c r="K6">
        <f ca="1">DAYS360(INDIRECT(C68&amp;ROW()),TODAY())</f>
        <v>729</v>
      </c>
      <c r="L6">
        <f ca="1">DAYS360(INDIRECT(C69&amp;ROW()),TODAY())</f>
        <v>1145</v>
      </c>
      <c r="M6" s="11">
        <f ca="1">HYPERLINK(CONCATENATE("https://bugzilla.houston.hp.com:1181/bugzilla/show_bug.cgi?id=",INDIRECT(C70&amp;ROW())),INDIRECT(C70&amp;ROW()))</f>
        <v>39670</v>
      </c>
      <c r="N6">
        <v>39670</v>
      </c>
      <c r="O6" t="s">
        <v>31</v>
      </c>
      <c r="P6" t="s">
        <v>540</v>
      </c>
      <c r="Q6" t="s">
        <v>25</v>
      </c>
      <c r="R6" t="s">
        <v>251</v>
      </c>
      <c r="S6" t="s">
        <v>31</v>
      </c>
      <c r="U6" s="6">
        <v>42117.402280092596</v>
      </c>
      <c r="V6" t="s">
        <v>40</v>
      </c>
      <c r="W6" t="s">
        <v>17</v>
      </c>
      <c r="X6" s="6">
        <v>41697.697731481479</v>
      </c>
      <c r="Y6" t="s">
        <v>119</v>
      </c>
      <c r="AB6" t="s">
        <v>201</v>
      </c>
      <c r="AC6" t="s">
        <v>121</v>
      </c>
      <c r="AD6" t="s">
        <v>220</v>
      </c>
      <c r="AE6" t="s">
        <v>219</v>
      </c>
      <c r="AG6" t="s">
        <v>121</v>
      </c>
      <c r="AH6" t="s">
        <v>327</v>
      </c>
      <c r="AI6" t="s">
        <v>121</v>
      </c>
      <c r="AJ6" t="s">
        <v>716</v>
      </c>
      <c r="AK6" t="s">
        <v>121</v>
      </c>
    </row>
    <row r="7" spans="1:37" x14ac:dyDescent="0.3">
      <c r="A7" s="2">
        <f ca="1">COUNTIF(INDIRECT(A68&amp;A67):INDIRECT(A69&amp;A66),INDIRECT("b"&amp;ROW()))</f>
        <v>1</v>
      </c>
      <c r="B7" s="2" t="str">
        <f>Assignees!C6</f>
        <v>Astra-IR11</v>
      </c>
      <c r="C7" s="3">
        <f ca="1">COUNTIF(INDIRECT(A71&amp;A67):INDIRECT(A71&amp;A66),INDIRECT("d"&amp;ROW()))</f>
        <v>83</v>
      </c>
      <c r="D7" s="3" t="str">
        <f>Assignees!D6</f>
        <v>Astra-Maint</v>
      </c>
      <c r="E7" s="16">
        <f ca="1">COUNTIFS(INDIRECT(A71&amp;A67):INDIRECT(A71&amp;A66),INDIRECT("d"&amp;ROW()),INDIRECT(A73&amp;A67):INDIRECT(A73&amp;A66),E1)</f>
        <v>0</v>
      </c>
      <c r="F7" s="4">
        <f ca="1">COUNTIFS(INDIRECT(A71&amp;A67):INDIRECT(A71&amp;A66),INDIRECT("d"&amp;ROW()),INDIRECT(A73&amp;A67):INDIRECT(A73&amp;A66),F1)</f>
        <v>25</v>
      </c>
      <c r="G7" s="3">
        <f ca="1">COUNTIFS(INDIRECT(A71&amp;A67):INDIRECT(A71&amp;A66),INDIRECT("d"&amp;ROW()),INDIRECT(A73&amp;A67):INDIRECT(A73&amp;A66),G1)</f>
        <v>48</v>
      </c>
      <c r="H7" s="5">
        <f ca="1">COUNTIFS(INDIRECT(A71&amp;A67):INDIRECT(A71&amp;A66),INDIRECT("d"&amp;ROW()),INDIRECT(A73&amp;A67):INDIRECT(A73&amp;A66),H1)</f>
        <v>10</v>
      </c>
      <c r="I7">
        <f ca="1">IF(OR(INDIRECT(A73&amp;ROW())=B93,INDIRECT(A73&amp;ROW())=B94),1,IF(AND(INDIRECT(A73&amp;ROW())=B95,INDIRECT(A96&amp;ROW())=C93),1,IF(AND(INDIRECT(A73&amp;ROW())=B95,INDIRECT(A96&amp;ROW())=C94),1,0)))</f>
        <v>0</v>
      </c>
      <c r="J7">
        <f ca="1">IF(AND(INDIRECT(A73&amp;ROW())=B95,INDIRECT(A96&amp;ROW())=C95),1,IF(AND(INDIRECT(A73&amp;ROW())=B95,INDIRECT(A96&amp;ROW())=C96),1,0))</f>
        <v>0</v>
      </c>
      <c r="K7">
        <f ca="1">DAYS360(INDIRECT(C68&amp;ROW()),TODAY())</f>
        <v>718</v>
      </c>
      <c r="L7">
        <f ca="1">DAYS360(INDIRECT(C69&amp;ROW()),TODAY())</f>
        <v>1130</v>
      </c>
      <c r="M7" s="11">
        <f ca="1">HYPERLINK(CONCATENATE("https://bugzilla.houston.hp.com:1181/bugzilla/show_bug.cgi?id=",INDIRECT(C70&amp;ROW())),INDIRECT(C70&amp;ROW()))</f>
        <v>40103</v>
      </c>
      <c r="N7">
        <v>40103</v>
      </c>
      <c r="O7" t="s">
        <v>21</v>
      </c>
      <c r="P7" t="s">
        <v>387</v>
      </c>
      <c r="Q7" t="s">
        <v>16</v>
      </c>
      <c r="R7" t="s">
        <v>251</v>
      </c>
      <c r="S7" t="s">
        <v>49</v>
      </c>
      <c r="T7" t="s">
        <v>794</v>
      </c>
      <c r="U7" s="6">
        <v>42128.643333333333</v>
      </c>
      <c r="V7" t="s">
        <v>18</v>
      </c>
      <c r="W7" t="s">
        <v>17</v>
      </c>
      <c r="X7" s="6">
        <v>41710.731678240743</v>
      </c>
      <c r="Y7" t="s">
        <v>244</v>
      </c>
      <c r="AB7" t="s">
        <v>201</v>
      </c>
      <c r="AC7" t="s">
        <v>121</v>
      </c>
      <c r="AD7" t="s">
        <v>227</v>
      </c>
      <c r="AE7" t="s">
        <v>238</v>
      </c>
      <c r="AG7" t="s">
        <v>121</v>
      </c>
      <c r="AH7" t="s">
        <v>327</v>
      </c>
      <c r="AI7" t="s">
        <v>121</v>
      </c>
      <c r="AJ7" t="s">
        <v>717</v>
      </c>
      <c r="AK7" t="s">
        <v>121</v>
      </c>
    </row>
    <row r="8" spans="1:37" x14ac:dyDescent="0.3">
      <c r="A8" s="2">
        <f ca="1">COUNTIF(INDIRECT(A68&amp;A67):INDIRECT(A69&amp;A66),INDIRECT("b"&amp;ROW()))</f>
        <v>3</v>
      </c>
      <c r="B8" s="2" t="str">
        <f>Assignees!C7</f>
        <v>Astra-IR12</v>
      </c>
      <c r="C8" s="3">
        <f ca="1">COUNTIF(INDIRECT(A71&amp;A67):INDIRECT(A71&amp;A66),INDIRECT("d"&amp;ROW()))</f>
        <v>86</v>
      </c>
      <c r="D8" s="3" t="str">
        <f>Assignees!D7</f>
        <v>Astra-1.1.0</v>
      </c>
      <c r="E8" s="16">
        <f ca="1">COUNTIFS(INDIRECT(A71&amp;A67):INDIRECT(A71&amp;A66),INDIRECT("d"&amp;ROW()),INDIRECT(A73&amp;A67):INDIRECT(A73&amp;A66),E1)</f>
        <v>0</v>
      </c>
      <c r="F8" s="4">
        <f ca="1">COUNTIFS(INDIRECT(A71&amp;A67):INDIRECT(A71&amp;A66),INDIRECT("d"&amp;ROW()),INDIRECT(A73&amp;A67):INDIRECT(A73&amp;A66),F1)</f>
        <v>20</v>
      </c>
      <c r="G8" s="3">
        <f ca="1">COUNTIFS(INDIRECT(A71&amp;A67):INDIRECT(A71&amp;A66),INDIRECT("d"&amp;ROW()),INDIRECT(A73&amp;A67):INDIRECT(A73&amp;A66),G1)</f>
        <v>49</v>
      </c>
      <c r="H8" s="5">
        <f ca="1">COUNTIFS(INDIRECT(A71&amp;A67):INDIRECT(A71&amp;A66),INDIRECT("d"&amp;ROW()),INDIRECT(A73&amp;A67):INDIRECT(A73&amp;A66),H1)</f>
        <v>17</v>
      </c>
      <c r="I8">
        <f ca="1">IF(OR(INDIRECT(A73&amp;ROW())=B93,INDIRECT(A73&amp;ROW())=B94),1,IF(AND(INDIRECT(A73&amp;ROW())=B95,INDIRECT(A96&amp;ROW())=C93),1,IF(AND(INDIRECT(A73&amp;ROW())=B95,INDIRECT(A96&amp;ROW())=C94),1,0)))</f>
        <v>0</v>
      </c>
      <c r="J8">
        <f ca="1">IF(AND(INDIRECT(A73&amp;ROW())=B95,INDIRECT(A96&amp;ROW())=C95),1,IF(AND(INDIRECT(A73&amp;ROW())=B95,INDIRECT(A96&amp;ROW())=C96),1,0))</f>
        <v>0</v>
      </c>
      <c r="K8">
        <f ca="1">DAYS360(INDIRECT(C68&amp;ROW()),TODAY())</f>
        <v>724</v>
      </c>
      <c r="L8">
        <f ca="1">DAYS360(INDIRECT(C69&amp;ROW()),TODAY())</f>
        <v>1129</v>
      </c>
      <c r="M8" s="11">
        <f ca="1">HYPERLINK(CONCATENATE("https://bugzilla.houston.hp.com:1181/bugzilla/show_bug.cgi?id=",INDIRECT(C70&amp;ROW())),INDIRECT(C70&amp;ROW()))</f>
        <v>40147</v>
      </c>
      <c r="N8">
        <v>40147</v>
      </c>
      <c r="O8" t="s">
        <v>203</v>
      </c>
      <c r="P8" t="s">
        <v>386</v>
      </c>
      <c r="Q8" t="s">
        <v>16</v>
      </c>
      <c r="R8" t="s">
        <v>251</v>
      </c>
      <c r="S8" t="s">
        <v>43</v>
      </c>
      <c r="U8" s="6">
        <v>42122.542349537034</v>
      </c>
      <c r="V8" t="s">
        <v>35</v>
      </c>
      <c r="W8" t="s">
        <v>17</v>
      </c>
      <c r="X8" s="6">
        <v>41711.557384259257</v>
      </c>
      <c r="Y8" t="s">
        <v>118</v>
      </c>
      <c r="AB8" t="s">
        <v>201</v>
      </c>
      <c r="AC8" t="s">
        <v>121</v>
      </c>
      <c r="AD8" t="s">
        <v>220</v>
      </c>
      <c r="AE8" t="s">
        <v>223</v>
      </c>
      <c r="AG8" t="s">
        <v>121</v>
      </c>
      <c r="AH8" t="s">
        <v>327</v>
      </c>
      <c r="AI8" t="s">
        <v>121</v>
      </c>
      <c r="AJ8" t="s">
        <v>717</v>
      </c>
      <c r="AK8" t="s">
        <v>121</v>
      </c>
    </row>
    <row r="9" spans="1:37" x14ac:dyDescent="0.3">
      <c r="A9" s="2">
        <f ca="1">COUNTIF(INDIRECT(A68&amp;A67):INDIRECT(A69&amp;A66),INDIRECT("b"&amp;ROW()))</f>
        <v>4</v>
      </c>
      <c r="B9" s="2" t="str">
        <f>Assignees!C8</f>
        <v>Astra-IR13</v>
      </c>
      <c r="C9" s="3">
        <f ca="1">COUNTIF(INDIRECT(A71&amp;A67):INDIRECT(A71&amp;A66),INDIRECT("d"&amp;ROW()))</f>
        <v>0</v>
      </c>
      <c r="D9" s="3">
        <f>Assignees!D8</f>
        <v>0</v>
      </c>
      <c r="E9" s="16">
        <f ca="1">COUNTIFS(INDIRECT(A71&amp;A67):INDIRECT(A71&amp;A66),INDIRECT("d"&amp;ROW()),INDIRECT(A73&amp;A67):INDIRECT(A73&amp;A66),E1)</f>
        <v>0</v>
      </c>
      <c r="F9" s="4">
        <f ca="1">COUNTIFS(INDIRECT(A71&amp;A67):INDIRECT(A71&amp;A66),INDIRECT("d"&amp;ROW()),INDIRECT(A73&amp;A67):INDIRECT(A73&amp;A66),F1)</f>
        <v>0</v>
      </c>
      <c r="G9" s="3">
        <f ca="1">COUNTIFS(INDIRECT(A71&amp;A67):INDIRECT(A71&amp;A66),INDIRECT("d"&amp;ROW()),INDIRECT(A73&amp;A67):INDIRECT(A73&amp;A66),G1)</f>
        <v>0</v>
      </c>
      <c r="H9" s="5">
        <f ca="1">COUNTIFS(INDIRECT(A71&amp;A67):INDIRECT(A71&amp;A66),INDIRECT("d"&amp;ROW()),INDIRECT(A73&amp;A67):INDIRECT(A73&amp;A66),H1)</f>
        <v>0</v>
      </c>
      <c r="I9">
        <f ca="1">IF(OR(INDIRECT(A73&amp;ROW())=B93,INDIRECT(A73&amp;ROW())=B94),1,IF(AND(INDIRECT(A73&amp;ROW())=B95,INDIRECT(A96&amp;ROW())=C93),1,IF(AND(INDIRECT(A73&amp;ROW())=B95,INDIRECT(A96&amp;ROW())=C94),1,0)))</f>
        <v>0</v>
      </c>
      <c r="J9">
        <f ca="1">IF(AND(INDIRECT(A73&amp;ROW())=B95,INDIRECT(A96&amp;ROW())=C95),1,IF(AND(INDIRECT(A73&amp;ROW())=B95,INDIRECT(A96&amp;ROW())=C96),1,0))</f>
        <v>1</v>
      </c>
      <c r="K9">
        <f ca="1">DAYS360(INDIRECT(C68&amp;ROW()),TODAY())</f>
        <v>721</v>
      </c>
      <c r="L9">
        <f ca="1">DAYS360(INDIRECT(C69&amp;ROW()),TODAY())</f>
        <v>1117</v>
      </c>
      <c r="M9" s="11">
        <f ca="1">HYPERLINK(CONCATENATE("https://bugzilla.houston.hp.com:1181/bugzilla/show_bug.cgi?id=",INDIRECT(C70&amp;ROW())),INDIRECT(C70&amp;ROW()))</f>
        <v>41238</v>
      </c>
      <c r="N9">
        <v>41238</v>
      </c>
      <c r="O9" t="s">
        <v>56</v>
      </c>
      <c r="P9" t="s">
        <v>385</v>
      </c>
      <c r="Q9" t="s">
        <v>25</v>
      </c>
      <c r="R9" t="s">
        <v>251</v>
      </c>
      <c r="S9" t="s">
        <v>43</v>
      </c>
      <c r="U9" s="6">
        <v>42125.442164351851</v>
      </c>
      <c r="V9" t="s">
        <v>18</v>
      </c>
      <c r="W9" t="s">
        <v>17</v>
      </c>
      <c r="X9" s="6">
        <v>41723.653414351851</v>
      </c>
      <c r="Y9" t="s">
        <v>122</v>
      </c>
      <c r="AB9" t="s">
        <v>201</v>
      </c>
      <c r="AC9" t="s">
        <v>121</v>
      </c>
      <c r="AD9" t="s">
        <v>220</v>
      </c>
      <c r="AE9" t="s">
        <v>219</v>
      </c>
      <c r="AG9" t="s">
        <v>121</v>
      </c>
      <c r="AH9" t="s">
        <v>327</v>
      </c>
      <c r="AI9" t="s">
        <v>121</v>
      </c>
      <c r="AJ9" t="s">
        <v>716</v>
      </c>
      <c r="AK9" t="s">
        <v>121</v>
      </c>
    </row>
    <row r="10" spans="1:37" x14ac:dyDescent="0.3">
      <c r="A10" s="2">
        <f ca="1">COUNTIF(INDIRECT(A68&amp;A67):INDIRECT(A69&amp;A66),INDIRECT("b"&amp;ROW()))</f>
        <v>1</v>
      </c>
      <c r="B10" s="2" t="str">
        <f>Assignees!C9</f>
        <v>Astra-Post IR13 06-20</v>
      </c>
      <c r="C10" s="3">
        <f ca="1">COUNTIF(INDIRECT(A71&amp;A67):INDIRECT(A71&amp;A66),INDIRECT("d"&amp;ROW()))</f>
        <v>0</v>
      </c>
      <c r="D10" s="3">
        <f>Assignees!D9</f>
        <v>0</v>
      </c>
      <c r="E10" s="16">
        <f ca="1">COUNTIFS(INDIRECT(A71&amp;A67):INDIRECT(A71&amp;A66),INDIRECT("d"&amp;ROW()),INDIRECT(A73&amp;A67):INDIRECT(A73&amp;A66),E1)</f>
        <v>0</v>
      </c>
      <c r="F10" s="4">
        <f ca="1">COUNTIFS(INDIRECT(A71&amp;A67):INDIRECT(A71&amp;A66),INDIRECT("d"&amp;ROW()),INDIRECT(A73&amp;A67):INDIRECT(A73&amp;A66),F1)</f>
        <v>0</v>
      </c>
      <c r="G10" s="3">
        <f ca="1">COUNTIFS(INDIRECT(A71&amp;A67):INDIRECT(A71&amp;A66),INDIRECT("d"&amp;ROW()),INDIRECT(A73&amp;A67):INDIRECT(A73&amp;A66),G1)</f>
        <v>0</v>
      </c>
      <c r="H10" s="5">
        <f ca="1">COUNTIFS(INDIRECT(A71&amp;A67):INDIRECT(A71&amp;A66),INDIRECT("d"&amp;ROW()),INDIRECT(A73&amp;A67):INDIRECT(A73&amp;A66),H1)</f>
        <v>0</v>
      </c>
      <c r="I10">
        <f ca="1">IF(OR(INDIRECT(A73&amp;ROW())=B93,INDIRECT(A73&amp;ROW())=B94),1,IF(AND(INDIRECT(A73&amp;ROW())=B95,INDIRECT(A96&amp;ROW())=C93),1,IF(AND(INDIRECT(A73&amp;ROW())=B95,INDIRECT(A96&amp;ROW())=C94),1,0)))</f>
        <v>0</v>
      </c>
      <c r="J10">
        <f ca="1">IF(AND(INDIRECT(A73&amp;ROW())=B95,INDIRECT(A96&amp;ROW())=C95),1,IF(AND(INDIRECT(A73&amp;ROW())=B95,INDIRECT(A96&amp;ROW())=C96),1,0))</f>
        <v>1</v>
      </c>
      <c r="K10">
        <f ca="1">DAYS360(INDIRECT(C68&amp;ROW()),TODAY())</f>
        <v>724</v>
      </c>
      <c r="L10">
        <f ca="1">DAYS360(INDIRECT(C69&amp;ROW()),TODAY())</f>
        <v>1115</v>
      </c>
      <c r="M10" s="11">
        <f ca="1">HYPERLINK(CONCATENATE("https://bugzilla.houston.hp.com:1181/bugzilla/show_bug.cgi?id=",INDIRECT(C70&amp;ROW())),INDIRECT(C70&amp;ROW()))</f>
        <v>41344</v>
      </c>
      <c r="N10">
        <v>41344</v>
      </c>
      <c r="O10" t="s">
        <v>43</v>
      </c>
      <c r="P10" t="s">
        <v>384</v>
      </c>
      <c r="Q10" t="s">
        <v>25</v>
      </c>
      <c r="R10" t="s">
        <v>251</v>
      </c>
      <c r="S10" t="s">
        <v>43</v>
      </c>
      <c r="U10" s="6">
        <v>42122.353217592594</v>
      </c>
      <c r="V10" t="s">
        <v>18</v>
      </c>
      <c r="W10" t="s">
        <v>17</v>
      </c>
      <c r="X10" s="6">
        <v>41725.638310185182</v>
      </c>
      <c r="Y10" t="s">
        <v>122</v>
      </c>
      <c r="AB10" t="s">
        <v>201</v>
      </c>
      <c r="AC10" t="s">
        <v>121</v>
      </c>
      <c r="AD10" t="s">
        <v>220</v>
      </c>
      <c r="AE10" t="s">
        <v>219</v>
      </c>
      <c r="AG10" t="s">
        <v>121</v>
      </c>
      <c r="AH10" t="s">
        <v>327</v>
      </c>
      <c r="AI10" t="s">
        <v>121</v>
      </c>
      <c r="AJ10" t="s">
        <v>716</v>
      </c>
      <c r="AK10" t="s">
        <v>121</v>
      </c>
    </row>
    <row r="11" spans="1:37" x14ac:dyDescent="0.3">
      <c r="A11" s="2">
        <f ca="1">COUNTIF(INDIRECT(A68&amp;A67):INDIRECT(A69&amp;A66),INDIRECT("b"&amp;ROW()))</f>
        <v>3</v>
      </c>
      <c r="B11" s="2" t="str">
        <f>Assignees!C10</f>
        <v>Astra-Post IR13 06-27-RTI</v>
      </c>
      <c r="C11" s="3">
        <f ca="1">COUNTIF(INDIRECT(A71&amp;A67):INDIRECT(A71&amp;A66),INDIRECT("d"&amp;ROW()))</f>
        <v>0</v>
      </c>
      <c r="D11" s="3">
        <f>Assignees!D10</f>
        <v>0</v>
      </c>
      <c r="E11" s="16">
        <f ca="1">COUNTIFS(INDIRECT(A71&amp;A67):INDIRECT(A71&amp;A66),INDIRECT("d"&amp;ROW()),INDIRECT(A73&amp;A67):INDIRECT(A73&amp;A66),E1)</f>
        <v>0</v>
      </c>
      <c r="F11" s="4">
        <f ca="1">COUNTIFS(INDIRECT(A71&amp;A67):INDIRECT(A71&amp;A66),INDIRECT("d"&amp;ROW()),INDIRECT(A73&amp;A67):INDIRECT(A73&amp;A66),F1)</f>
        <v>0</v>
      </c>
      <c r="G11" s="3">
        <f ca="1">COUNTIFS(INDIRECT(A71&amp;A67):INDIRECT(A71&amp;A66),INDIRECT("d"&amp;ROW()),INDIRECT(A73&amp;A67):INDIRECT(A73&amp;A66),G1)</f>
        <v>0</v>
      </c>
      <c r="H11" s="5">
        <f ca="1">COUNTIFS(INDIRECT(A71&amp;A67):INDIRECT(A71&amp;A66),INDIRECT("d"&amp;ROW()),INDIRECT(A73&amp;A67):INDIRECT(A73&amp;A66),H1)</f>
        <v>0</v>
      </c>
      <c r="I11">
        <f ca="1">IF(OR(INDIRECT(A73&amp;ROW())=B93,INDIRECT(A73&amp;ROW())=B94),1,IF(AND(INDIRECT(A73&amp;ROW())=B95,INDIRECT(A96&amp;ROW())=C93),1,IF(AND(INDIRECT(A73&amp;ROW())=B95,INDIRECT(A96&amp;ROW())=C94),1,0)))</f>
        <v>0</v>
      </c>
      <c r="J11">
        <f ca="1">IF(AND(INDIRECT(A73&amp;ROW())=B95,INDIRECT(A96&amp;ROW())=C95),1,IF(AND(INDIRECT(A73&amp;ROW())=B95,INDIRECT(A96&amp;ROW())=C96),1,0))</f>
        <v>0</v>
      </c>
      <c r="K11">
        <f ca="1">DAYS360(INDIRECT(C68&amp;ROW()),TODAY())</f>
        <v>728</v>
      </c>
      <c r="L11">
        <f ca="1">DAYS360(INDIRECT(C69&amp;ROW()),TODAY())</f>
        <v>1098</v>
      </c>
      <c r="M11" s="11">
        <f ca="1">HYPERLINK(CONCATENATE("https://bugzilla.houston.hp.com:1181/bugzilla/show_bug.cgi?id=",INDIRECT(C70&amp;ROW())),INDIRECT(C70&amp;ROW()))</f>
        <v>41906</v>
      </c>
      <c r="N11">
        <v>41906</v>
      </c>
      <c r="O11" t="s">
        <v>88</v>
      </c>
      <c r="P11" t="s">
        <v>456</v>
      </c>
      <c r="Q11" t="s">
        <v>16</v>
      </c>
      <c r="R11" t="s">
        <v>251</v>
      </c>
      <c r="S11" t="s">
        <v>31</v>
      </c>
      <c r="U11" s="6">
        <v>42118.519907407404</v>
      </c>
      <c r="V11" t="s">
        <v>40</v>
      </c>
      <c r="W11" t="s">
        <v>17</v>
      </c>
      <c r="X11" s="6">
        <v>41743.650300925925</v>
      </c>
      <c r="Y11" t="s">
        <v>119</v>
      </c>
      <c r="AB11" t="s">
        <v>201</v>
      </c>
      <c r="AC11" t="s">
        <v>121</v>
      </c>
      <c r="AD11" t="s">
        <v>222</v>
      </c>
      <c r="AE11" t="s">
        <v>225</v>
      </c>
      <c r="AG11" t="s">
        <v>121</v>
      </c>
      <c r="AH11" t="s">
        <v>327</v>
      </c>
      <c r="AI11" t="s">
        <v>121</v>
      </c>
      <c r="AJ11" t="s">
        <v>717</v>
      </c>
      <c r="AK11" t="s">
        <v>121</v>
      </c>
    </row>
    <row r="12" spans="1:37" x14ac:dyDescent="0.3">
      <c r="A12" s="2">
        <f ca="1">COUNTIF(INDIRECT(A68&amp;A67):INDIRECT(A69&amp;A66),INDIRECT("b"&amp;ROW()))</f>
        <v>4</v>
      </c>
      <c r="B12" s="2" t="str">
        <f>Assignees!C11</f>
        <v>Astra-Post IR13 07-11-RTI</v>
      </c>
      <c r="C12" s="3">
        <f ca="1">COUNTIF(INDIRECT(A71&amp;A67):INDIRECT(A71&amp;A66),INDIRECT("d"&amp;ROW()))</f>
        <v>0</v>
      </c>
      <c r="D12" s="3">
        <f>Assignees!D11</f>
        <v>0</v>
      </c>
      <c r="E12" s="16">
        <f ca="1">COUNTIFS(INDIRECT(A71&amp;A67):INDIRECT(A71&amp;A66),INDIRECT("d"&amp;ROW()),INDIRECT(A73&amp;A67):INDIRECT(A73&amp;A66),E1)</f>
        <v>0</v>
      </c>
      <c r="F12" s="4">
        <f ca="1">COUNTIFS(INDIRECT(A71&amp;A67):INDIRECT(A71&amp;A66),INDIRECT("d"&amp;ROW()),INDIRECT(A73&amp;A67):INDIRECT(A73&amp;A66),F1)</f>
        <v>0</v>
      </c>
      <c r="G12" s="3">
        <f ca="1">COUNTIFS(INDIRECT(A71&amp;A67):INDIRECT(A71&amp;A66),INDIRECT("d"&amp;ROW()),INDIRECT(A73&amp;A67):INDIRECT(A73&amp;A66),G1)</f>
        <v>0</v>
      </c>
      <c r="H12" s="5">
        <f ca="1">COUNTIFS(INDIRECT(A71&amp;A67):INDIRECT(A71&amp;A66),INDIRECT("d"&amp;ROW()),INDIRECT(A73&amp;A67):INDIRECT(A73&amp;A66),H1)</f>
        <v>0</v>
      </c>
      <c r="I12">
        <f ca="1">IF(OR(INDIRECT(A73&amp;ROW())=B93,INDIRECT(A73&amp;ROW())=B94),1,IF(AND(INDIRECT(A73&amp;ROW())=B95,INDIRECT(A96&amp;ROW())=C93),1,IF(AND(INDIRECT(A73&amp;ROW())=B95,INDIRECT(A96&amp;ROW())=C94),1,0)))</f>
        <v>0</v>
      </c>
      <c r="J12">
        <f ca="1">IF(AND(INDIRECT(A73&amp;ROW())=B95,INDIRECT(A96&amp;ROW())=C95),1,IF(AND(INDIRECT(A73&amp;ROW())=B95,INDIRECT(A96&amp;ROW())=C96),1,0))</f>
        <v>1</v>
      </c>
      <c r="K12">
        <f ca="1">DAYS360(INDIRECT(C68&amp;ROW()),TODAY())</f>
        <v>724</v>
      </c>
      <c r="L12">
        <f ca="1">DAYS360(INDIRECT(C69&amp;ROW()),TODAY())</f>
        <v>1088</v>
      </c>
      <c r="M12" s="11">
        <f ca="1">HYPERLINK(CONCATENATE("https://bugzilla.houston.hp.com:1181/bugzilla/show_bug.cgi?id=",INDIRECT(C70&amp;ROW())),INDIRECT(C70&amp;ROW()))</f>
        <v>42234</v>
      </c>
      <c r="N12">
        <v>42234</v>
      </c>
      <c r="O12" t="s">
        <v>187</v>
      </c>
      <c r="P12" t="s">
        <v>455</v>
      </c>
      <c r="Q12" t="s">
        <v>25</v>
      </c>
      <c r="R12" t="s">
        <v>251</v>
      </c>
      <c r="S12" t="s">
        <v>22</v>
      </c>
      <c r="U12" s="6">
        <v>42122.355613425927</v>
      </c>
      <c r="V12" t="s">
        <v>18</v>
      </c>
      <c r="W12" t="s">
        <v>17</v>
      </c>
      <c r="X12" s="6">
        <v>41753.652465277781</v>
      </c>
      <c r="Y12" t="s">
        <v>786</v>
      </c>
      <c r="AB12" t="s">
        <v>201</v>
      </c>
      <c r="AC12" t="s">
        <v>121</v>
      </c>
      <c r="AD12" t="s">
        <v>220</v>
      </c>
      <c r="AE12" t="s">
        <v>219</v>
      </c>
      <c r="AG12" t="s">
        <v>121</v>
      </c>
      <c r="AH12" t="s">
        <v>327</v>
      </c>
      <c r="AI12" t="s">
        <v>121</v>
      </c>
      <c r="AJ12" t="s">
        <v>716</v>
      </c>
      <c r="AK12" t="s">
        <v>121</v>
      </c>
    </row>
    <row r="13" spans="1:37" x14ac:dyDescent="0.3">
      <c r="A13" s="2">
        <f ca="1">COUNTIF(INDIRECT(A68&amp;A67):INDIRECT(A69&amp;A66),INDIRECT("b"&amp;ROW()))</f>
        <v>6</v>
      </c>
      <c r="B13" s="2" t="str">
        <f>Assignees!C12</f>
        <v>Astra-Post IR13 07-18</v>
      </c>
      <c r="I13">
        <f ca="1">IF(OR(INDIRECT(A73&amp;ROW())=B93,INDIRECT(A73&amp;ROW())=B94),1,IF(AND(INDIRECT(A73&amp;ROW())=B95,INDIRECT(A96&amp;ROW())=C93),1,IF(AND(INDIRECT(A73&amp;ROW())=B95,INDIRECT(A96&amp;ROW())=C94),1,0)))</f>
        <v>0</v>
      </c>
      <c r="J13">
        <f ca="1">IF(AND(INDIRECT(A73&amp;ROW())=B95,INDIRECT(A96&amp;ROW())=C95),1,IF(AND(INDIRECT(A73&amp;ROW())=B95,INDIRECT(A96&amp;ROW())=C96),1,0))</f>
        <v>0</v>
      </c>
      <c r="K13">
        <f ca="1">DAYS360(INDIRECT(C68&amp;ROW()),TODAY())</f>
        <v>728</v>
      </c>
      <c r="L13">
        <f ca="1">DAYS360(INDIRECT(C69&amp;ROW()),TODAY())</f>
        <v>1084</v>
      </c>
      <c r="M13" s="11">
        <f ca="1">HYPERLINK(CONCATENATE("https://bugzilla.houston.hp.com:1181/bugzilla/show_bug.cgi?id=",INDIRECT(C70&amp;ROW())),INDIRECT(C70&amp;ROW()))</f>
        <v>42317</v>
      </c>
      <c r="N13">
        <v>42317</v>
      </c>
      <c r="O13" t="s">
        <v>88</v>
      </c>
      <c r="P13" t="s">
        <v>454</v>
      </c>
      <c r="Q13" t="s">
        <v>16</v>
      </c>
      <c r="R13" t="s">
        <v>251</v>
      </c>
      <c r="S13" t="s">
        <v>31</v>
      </c>
      <c r="U13" s="6">
        <v>42118.52002314815</v>
      </c>
      <c r="V13" t="s">
        <v>35</v>
      </c>
      <c r="W13" t="s">
        <v>17</v>
      </c>
      <c r="X13" s="6">
        <v>41757.419675925928</v>
      </c>
      <c r="Y13" t="s">
        <v>119</v>
      </c>
      <c r="AB13" t="s">
        <v>201</v>
      </c>
      <c r="AC13" t="s">
        <v>121</v>
      </c>
      <c r="AD13" t="s">
        <v>222</v>
      </c>
      <c r="AE13" t="s">
        <v>240</v>
      </c>
      <c r="AG13" t="s">
        <v>121</v>
      </c>
      <c r="AH13" t="s">
        <v>327</v>
      </c>
      <c r="AI13" t="s">
        <v>121</v>
      </c>
      <c r="AJ13" t="s">
        <v>717</v>
      </c>
      <c r="AK13" t="s">
        <v>121</v>
      </c>
    </row>
    <row r="14" spans="1:37" x14ac:dyDescent="0.3">
      <c r="A14" s="2">
        <f ca="1">COUNTIF(INDIRECT(A68&amp;A67):INDIRECT(A69&amp;A66),INDIRECT("b"&amp;ROW()))</f>
        <v>4</v>
      </c>
      <c r="B14" s="2" t="str">
        <f>Assignees!C13</f>
        <v>Astra-Post IR13 07-25-RTI</v>
      </c>
      <c r="I14">
        <f ca="1">IF(OR(INDIRECT(A73&amp;ROW())=B93,INDIRECT(A73&amp;ROW())=B94),1,IF(AND(INDIRECT(A73&amp;ROW())=B95,INDIRECT(A96&amp;ROW())=C93),1,IF(AND(INDIRECT(A73&amp;ROW())=B95,INDIRECT(A96&amp;ROW())=C94),1,0)))</f>
        <v>0</v>
      </c>
      <c r="J14">
        <f ca="1">IF(AND(INDIRECT(A73&amp;ROW())=B95,INDIRECT(A96&amp;ROW())=C95),1,IF(AND(INDIRECT(A73&amp;ROW())=B95,INDIRECT(A96&amp;ROW())=C96),1,0))</f>
        <v>0</v>
      </c>
      <c r="K14">
        <f ca="1">DAYS360(INDIRECT(C68&amp;ROW()),TODAY())</f>
        <v>677</v>
      </c>
      <c r="L14">
        <f ca="1">DAYS360(INDIRECT(C69&amp;ROW()),TODAY())</f>
        <v>1084</v>
      </c>
      <c r="M14" s="11">
        <f ca="1">HYPERLINK(CONCATENATE("https://bugzilla.houston.hp.com:1181/bugzilla/show_bug.cgi?id=",INDIRECT(C70&amp;ROW())),INDIRECT(C70&amp;ROW()))</f>
        <v>42322</v>
      </c>
      <c r="N14">
        <v>42322</v>
      </c>
      <c r="O14" t="s">
        <v>56</v>
      </c>
      <c r="P14" t="s">
        <v>453</v>
      </c>
      <c r="Q14" t="s">
        <v>16</v>
      </c>
      <c r="R14" t="s">
        <v>251</v>
      </c>
      <c r="S14" t="s">
        <v>24</v>
      </c>
      <c r="U14" s="6">
        <v>42170.525046296294</v>
      </c>
      <c r="V14" t="s">
        <v>35</v>
      </c>
      <c r="W14" t="s">
        <v>17</v>
      </c>
      <c r="X14" s="6">
        <v>41757.499259259261</v>
      </c>
      <c r="Y14" t="s">
        <v>119</v>
      </c>
      <c r="AB14" t="s">
        <v>201</v>
      </c>
      <c r="AC14" t="s">
        <v>121</v>
      </c>
      <c r="AD14" t="s">
        <v>220</v>
      </c>
      <c r="AE14" t="s">
        <v>219</v>
      </c>
      <c r="AG14" t="s">
        <v>121</v>
      </c>
      <c r="AH14" t="s">
        <v>327</v>
      </c>
      <c r="AI14" t="s">
        <v>121</v>
      </c>
      <c r="AJ14" t="s">
        <v>717</v>
      </c>
      <c r="AK14" t="s">
        <v>121</v>
      </c>
    </row>
    <row r="15" spans="1:37" x14ac:dyDescent="0.3">
      <c r="A15" s="2">
        <f ca="1">COUNTIF(INDIRECT(A68&amp;A67):INDIRECT(A69&amp;A66),INDIRECT("b"&amp;ROW()))</f>
        <v>8</v>
      </c>
      <c r="B15" s="2" t="str">
        <f>Assignees!C14</f>
        <v>Astra-Post IR13 08-08-RTI</v>
      </c>
      <c r="I15">
        <f ca="1">IF(OR(INDIRECT(A73&amp;ROW())=B93,INDIRECT(A73&amp;ROW())=B94),1,IF(AND(INDIRECT(A73&amp;ROW())=B95,INDIRECT(A96&amp;ROW())=C93),1,IF(AND(INDIRECT(A73&amp;ROW())=B95,INDIRECT(A96&amp;ROW())=C94),1,0)))</f>
        <v>0</v>
      </c>
      <c r="J15">
        <f ca="1">IF(AND(INDIRECT(A73&amp;ROW())=B95,INDIRECT(A96&amp;ROW())=C95),1,IF(AND(INDIRECT(A73&amp;ROW())=B95,INDIRECT(A96&amp;ROW())=C96),1,0))</f>
        <v>0</v>
      </c>
      <c r="K15">
        <f ca="1">DAYS360(INDIRECT(C68&amp;ROW()),TODAY())</f>
        <v>724</v>
      </c>
      <c r="L15">
        <f ca="1">DAYS360(INDIRECT(C69&amp;ROW()),TODAY())</f>
        <v>1082</v>
      </c>
      <c r="M15" s="11">
        <f ca="1">HYPERLINK(CONCATENATE("https://bugzilla.houston.hp.com:1181/bugzilla/show_bug.cgi?id=",INDIRECT(C70&amp;ROW())),INDIRECT(C70&amp;ROW()))</f>
        <v>42414</v>
      </c>
      <c r="N15">
        <v>42414</v>
      </c>
      <c r="O15" t="s">
        <v>53</v>
      </c>
      <c r="P15" t="s">
        <v>713</v>
      </c>
      <c r="Q15" t="s">
        <v>16</v>
      </c>
      <c r="R15" t="s">
        <v>251</v>
      </c>
      <c r="S15" t="s">
        <v>53</v>
      </c>
      <c r="U15" s="6">
        <v>42122.542314814818</v>
      </c>
      <c r="V15" t="s">
        <v>18</v>
      </c>
      <c r="W15" t="s">
        <v>17</v>
      </c>
      <c r="X15" s="6">
        <v>41759.650740740741</v>
      </c>
      <c r="Y15" t="s">
        <v>118</v>
      </c>
      <c r="AB15" t="s">
        <v>201</v>
      </c>
      <c r="AC15" t="s">
        <v>121</v>
      </c>
      <c r="AD15" t="s">
        <v>220</v>
      </c>
      <c r="AE15" t="s">
        <v>219</v>
      </c>
      <c r="AG15" t="s">
        <v>121</v>
      </c>
      <c r="AH15" t="s">
        <v>327</v>
      </c>
      <c r="AI15" t="s">
        <v>121</v>
      </c>
      <c r="AJ15" t="s">
        <v>717</v>
      </c>
      <c r="AK15" t="s">
        <v>121</v>
      </c>
    </row>
    <row r="16" spans="1:37" x14ac:dyDescent="0.3">
      <c r="A16" s="2">
        <f ca="1">COUNTIF(INDIRECT(A68&amp;A67):INDIRECT(A69&amp;A66),INDIRECT("b"&amp;ROW()))</f>
        <v>12</v>
      </c>
      <c r="B16" s="2" t="str">
        <f>Assignees!C15</f>
        <v>Astra-Post IR13 08-15</v>
      </c>
      <c r="C16" s="7">
        <f ca="1">SUM(C2:C12)</f>
        <v>694</v>
      </c>
      <c r="D16" s="7" t="s">
        <v>23</v>
      </c>
      <c r="E16" s="1">
        <f ca="1">SUM(E2:E9)</f>
        <v>2</v>
      </c>
      <c r="F16" s="1">
        <f ca="1">SUM(F2:F9)</f>
        <v>105</v>
      </c>
      <c r="G16" s="7">
        <f ca="1">SUM(G2:G9)</f>
        <v>314</v>
      </c>
      <c r="H16" s="7">
        <f ca="1">SUM(H2:H12)</f>
        <v>273</v>
      </c>
      <c r="I16">
        <f ca="1">IF(OR(INDIRECT(A73&amp;ROW())=B93,INDIRECT(A73&amp;ROW())=B94),1,IF(AND(INDIRECT(A73&amp;ROW())=B95,INDIRECT(A96&amp;ROW())=C93),1,IF(AND(INDIRECT(A73&amp;ROW())=B95,INDIRECT(A96&amp;ROW())=C94),1,0)))</f>
        <v>0</v>
      </c>
      <c r="J16">
        <f ca="1">IF(AND(INDIRECT(A73&amp;ROW())=B95,INDIRECT(A96&amp;ROW())=C95),1,IF(AND(INDIRECT(A73&amp;ROW())=B95,INDIRECT(A96&amp;ROW())=C96),1,0))</f>
        <v>0</v>
      </c>
      <c r="K16">
        <f ca="1">DAYS360(INDIRECT(C68&amp;ROW()),TODAY())</f>
        <v>800</v>
      </c>
      <c r="L16">
        <f ca="1">DAYS360(INDIRECT(C69&amp;ROW()),TODAY())</f>
        <v>1067</v>
      </c>
      <c r="M16" s="11">
        <f ca="1">HYPERLINK(CONCATENATE("https://bugzilla.houston.hp.com:1181/bugzilla/show_bug.cgi?id=",INDIRECT(C70&amp;ROW())),INDIRECT(C70&amp;ROW()))</f>
        <v>42914</v>
      </c>
      <c r="N16">
        <v>42914</v>
      </c>
      <c r="O16" t="s">
        <v>66</v>
      </c>
      <c r="P16" t="s">
        <v>331</v>
      </c>
      <c r="Q16" t="s">
        <v>16</v>
      </c>
      <c r="R16" t="s">
        <v>17</v>
      </c>
      <c r="S16" t="s">
        <v>33</v>
      </c>
      <c r="U16" s="6">
        <v>42047.981203703705</v>
      </c>
      <c r="V16" t="s">
        <v>35</v>
      </c>
      <c r="W16" t="s">
        <v>172</v>
      </c>
      <c r="X16" s="6">
        <v>41774.400381944448</v>
      </c>
      <c r="Y16" t="s">
        <v>119</v>
      </c>
      <c r="AB16" t="s">
        <v>201</v>
      </c>
      <c r="AC16" t="s">
        <v>121</v>
      </c>
      <c r="AD16" t="s">
        <v>222</v>
      </c>
      <c r="AE16" t="s">
        <v>228</v>
      </c>
      <c r="AG16" t="s">
        <v>121</v>
      </c>
      <c r="AH16" t="s">
        <v>327</v>
      </c>
      <c r="AI16" t="s">
        <v>121</v>
      </c>
      <c r="AJ16" t="s">
        <v>717</v>
      </c>
      <c r="AK16" t="s">
        <v>121</v>
      </c>
    </row>
    <row r="17" spans="1:37" x14ac:dyDescent="0.3">
      <c r="A17" s="2">
        <f ca="1">COUNTIF(INDIRECT(A68&amp;A67):INDIRECT(A69&amp;A66),INDIRECT("b"&amp;ROW()))</f>
        <v>11</v>
      </c>
      <c r="B17" s="2" t="str">
        <f>Assignees!C16</f>
        <v>Astra-Post IR13 08-22</v>
      </c>
      <c r="C17">
        <f ca="1">C16-H16</f>
        <v>421</v>
      </c>
      <c r="D17" s="8" t="s">
        <v>26</v>
      </c>
      <c r="I17">
        <f ca="1">IF(OR(INDIRECT(A73&amp;ROW())=B93,INDIRECT(A73&amp;ROW())=B94),1,IF(AND(INDIRECT(A73&amp;ROW())=B95,INDIRECT(A96&amp;ROW())=C93),1,IF(AND(INDIRECT(A73&amp;ROW())=B95,INDIRECT(A96&amp;ROW())=C94),1,0)))</f>
        <v>1</v>
      </c>
      <c r="J17">
        <f ca="1">IF(AND(INDIRECT(A73&amp;ROW())=B95,INDIRECT(A96&amp;ROW())=C95),1,IF(AND(INDIRECT(A73&amp;ROW())=B95,INDIRECT(A96&amp;ROW())=C96),1,0))</f>
        <v>0</v>
      </c>
      <c r="K17">
        <f ca="1">DAYS360(INDIRECT(C68&amp;ROW()),TODAY())</f>
        <v>675</v>
      </c>
      <c r="L17">
        <f ca="1">DAYS360(INDIRECT(C69&amp;ROW()),TODAY())</f>
        <v>1066</v>
      </c>
      <c r="M17" s="11">
        <f ca="1">HYPERLINK(CONCATENATE("https://bugzilla.houston.hp.com:1181/bugzilla/show_bug.cgi?id=",INDIRECT(C70&amp;ROW())),INDIRECT(C70&amp;ROW()))</f>
        <v>42962</v>
      </c>
      <c r="N17">
        <v>42962</v>
      </c>
      <c r="O17" t="s">
        <v>204</v>
      </c>
      <c r="P17" t="s">
        <v>712</v>
      </c>
      <c r="Q17" t="s">
        <v>25</v>
      </c>
      <c r="R17" t="s">
        <v>251</v>
      </c>
      <c r="S17" t="s">
        <v>31</v>
      </c>
      <c r="T17" t="s">
        <v>979</v>
      </c>
      <c r="U17" s="6">
        <v>42172.206180555557</v>
      </c>
      <c r="V17" t="s">
        <v>40</v>
      </c>
      <c r="W17" t="s">
        <v>17</v>
      </c>
      <c r="X17" s="6">
        <v>41775.516168981485</v>
      </c>
      <c r="Y17" t="s">
        <v>119</v>
      </c>
      <c r="AB17" t="s">
        <v>200</v>
      </c>
      <c r="AC17" t="s">
        <v>121</v>
      </c>
      <c r="AD17" t="s">
        <v>222</v>
      </c>
      <c r="AE17" t="s">
        <v>225</v>
      </c>
      <c r="AG17" t="s">
        <v>121</v>
      </c>
      <c r="AH17" t="s">
        <v>327</v>
      </c>
      <c r="AI17" t="s">
        <v>121</v>
      </c>
      <c r="AJ17" t="s">
        <v>715</v>
      </c>
      <c r="AK17" t="s">
        <v>121</v>
      </c>
    </row>
    <row r="18" spans="1:37" x14ac:dyDescent="0.3">
      <c r="A18" s="2">
        <f ca="1">COUNTIF(INDIRECT(A68&amp;A67):INDIRECT(A69&amp;A66),INDIRECT("b"&amp;ROW()))</f>
        <v>5</v>
      </c>
      <c r="B18" s="2" t="str">
        <f>Assignees!C17</f>
        <v>Astra-Post IR13 08-29</v>
      </c>
      <c r="C18">
        <f ca="1">C16-H16-C21-C50-C32</f>
        <v>269</v>
      </c>
      <c r="D18" t="s">
        <v>29</v>
      </c>
      <c r="I18">
        <f ca="1">IF(OR(INDIRECT(A73&amp;ROW())=B93,INDIRECT(A73&amp;ROW())=B94),1,IF(AND(INDIRECT(A73&amp;ROW())=B95,INDIRECT(A96&amp;ROW())=C93),1,IF(AND(INDIRECT(A73&amp;ROW())=B95,INDIRECT(A96&amp;ROW())=C94),1,0)))</f>
        <v>1</v>
      </c>
      <c r="J18">
        <f ca="1">IF(AND(INDIRECT(A73&amp;ROW())=B95,INDIRECT(A96&amp;ROW())=C95),1,IF(AND(INDIRECT(A73&amp;ROW())=B95,INDIRECT(A96&amp;ROW())=C96),1,0))</f>
        <v>0</v>
      </c>
      <c r="K18">
        <f ca="1">DAYS360(INDIRECT(C68&amp;ROW()),TODAY())</f>
        <v>724</v>
      </c>
      <c r="L18">
        <f ca="1">DAYS360(INDIRECT(C69&amp;ROW()),TODAY())</f>
        <v>1048</v>
      </c>
      <c r="M18" s="11">
        <f ca="1">HYPERLINK(CONCATENATE("https://bugzilla.houston.hp.com:1181/bugzilla/show_bug.cgi?id=",INDIRECT(C70&amp;ROW())),INDIRECT(C70&amp;ROW()))</f>
        <v>43571</v>
      </c>
      <c r="N18">
        <v>43571</v>
      </c>
      <c r="O18" t="s">
        <v>180</v>
      </c>
      <c r="P18" t="s">
        <v>452</v>
      </c>
      <c r="Q18" t="s">
        <v>25</v>
      </c>
      <c r="R18" t="s">
        <v>251</v>
      </c>
      <c r="S18" t="s">
        <v>46</v>
      </c>
      <c r="T18" t="s">
        <v>794</v>
      </c>
      <c r="U18" s="6">
        <v>42122.35528935185</v>
      </c>
      <c r="V18" t="s">
        <v>18</v>
      </c>
      <c r="W18" t="s">
        <v>17</v>
      </c>
      <c r="X18" s="6">
        <v>41794.596504629626</v>
      </c>
      <c r="Y18" t="s">
        <v>119</v>
      </c>
      <c r="AB18" t="s">
        <v>200</v>
      </c>
      <c r="AC18" t="s">
        <v>121</v>
      </c>
      <c r="AD18" t="s">
        <v>222</v>
      </c>
      <c r="AE18" t="s">
        <v>221</v>
      </c>
      <c r="AG18" t="s">
        <v>121</v>
      </c>
      <c r="AH18" t="s">
        <v>327</v>
      </c>
      <c r="AI18" t="s">
        <v>121</v>
      </c>
      <c r="AJ18" t="s">
        <v>715</v>
      </c>
      <c r="AK18" t="s">
        <v>121</v>
      </c>
    </row>
    <row r="19" spans="1:37" x14ac:dyDescent="0.3">
      <c r="A19" s="2">
        <f ca="1">COUNTIF(INDIRECT(A68&amp;A67):INDIRECT(A69&amp;A66),INDIRECT("b"&amp;ROW()))</f>
        <v>9</v>
      </c>
      <c r="B19" s="2" t="str">
        <f>Assignees!C18</f>
        <v>Astra-Post IR13 09-05</v>
      </c>
      <c r="C19" s="9">
        <f ca="1">(COUNTIFS(INDIRECT(A80&amp;A67):INDIRECT(A80&amp;A66),A93))</f>
        <v>583</v>
      </c>
      <c r="D19" s="9" t="str">
        <f>A93</f>
        <v>NEW</v>
      </c>
      <c r="E19" s="16">
        <f ca="1">(COUNTIFS(INDIRECT(A80&amp;A67):INDIRECT(A80&amp;A66),INDIRECT("d"&amp;ROW()),INDIRECT(A73&amp;A67):INDIRECT(A73&amp;A66),E1))</f>
        <v>2</v>
      </c>
      <c r="F19" s="4">
        <f ca="1">(COUNTIFS(INDIRECT(A80&amp;A67):INDIRECT(A80&amp;A66),INDIRECT("d"&amp;ROW()),INDIRECT(A73&amp;A67):INDIRECT(A73&amp;A66),F1))</f>
        <v>82</v>
      </c>
      <c r="G19" s="3">
        <f ca="1">(COUNTIFS(INDIRECT(A80&amp;A67):INDIRECT(A80&amp;A66),INDIRECT("d"&amp;ROW()),INDIRECT(A73&amp;A67):INDIRECT(A73&amp;A66),G1))</f>
        <v>263</v>
      </c>
      <c r="H19" s="5">
        <f ca="1">(COUNTIFS(INDIRECT(A80&amp;A67):INDIRECT(A80&amp;A66),INDIRECT("d"&amp;ROW()),INDIRECT(A73&amp;A67):INDIRECT(A73&amp;A66),H1))</f>
        <v>236</v>
      </c>
      <c r="I19">
        <f ca="1">IF(OR(INDIRECT(A73&amp;ROW())=B93,INDIRECT(A73&amp;ROW())=B94),1,IF(AND(INDIRECT(A73&amp;ROW())=B95,INDIRECT(A96&amp;ROW())=C93),1,IF(AND(INDIRECT(A73&amp;ROW())=B95,INDIRECT(A96&amp;ROW())=C94),1,0)))</f>
        <v>0</v>
      </c>
      <c r="J19">
        <f ca="1">IF(AND(INDIRECT(A73&amp;ROW())=B95,INDIRECT(A96&amp;ROW())=C95),1,IF(AND(INDIRECT(A73&amp;ROW())=B95,INDIRECT(A96&amp;ROW())=C96),1,0))</f>
        <v>1</v>
      </c>
      <c r="K19">
        <f ca="1">DAYS360(INDIRECT(C68&amp;ROW()),TODAY())</f>
        <v>682</v>
      </c>
      <c r="L19">
        <f ca="1">DAYS360(INDIRECT(C69&amp;ROW()),TODAY())</f>
        <v>1047</v>
      </c>
      <c r="M19" s="11">
        <f ca="1">HYPERLINK(CONCATENATE("https://bugzilla.houston.hp.com:1181/bugzilla/show_bug.cgi?id=",INDIRECT(C70&amp;ROW())),INDIRECT(C70&amp;ROW()))</f>
        <v>43596</v>
      </c>
      <c r="N19">
        <v>43596</v>
      </c>
      <c r="O19" t="s">
        <v>204</v>
      </c>
      <c r="P19" t="s">
        <v>711</v>
      </c>
      <c r="Q19" t="s">
        <v>25</v>
      </c>
      <c r="R19" t="s">
        <v>251</v>
      </c>
      <c r="S19" t="s">
        <v>33</v>
      </c>
      <c r="U19" s="6">
        <v>42165.558819444443</v>
      </c>
      <c r="V19" t="s">
        <v>40</v>
      </c>
      <c r="W19" t="s">
        <v>17</v>
      </c>
      <c r="X19" s="6">
        <v>41795.209398148145</v>
      </c>
      <c r="Y19" t="s">
        <v>119</v>
      </c>
      <c r="AB19" t="s">
        <v>201</v>
      </c>
      <c r="AC19" t="s">
        <v>121</v>
      </c>
      <c r="AD19" t="s">
        <v>220</v>
      </c>
      <c r="AE19" t="s">
        <v>223</v>
      </c>
      <c r="AG19" t="s">
        <v>121</v>
      </c>
      <c r="AH19" t="s">
        <v>327</v>
      </c>
      <c r="AI19" t="s">
        <v>121</v>
      </c>
      <c r="AJ19" t="s">
        <v>716</v>
      </c>
      <c r="AK19" t="s">
        <v>121</v>
      </c>
    </row>
    <row r="20" spans="1:37" x14ac:dyDescent="0.3">
      <c r="A20" s="2">
        <f ca="1">COUNTIF(INDIRECT(A68&amp;A67):INDIRECT(A69&amp;A66),INDIRECT("b"&amp;ROW()))</f>
        <v>2</v>
      </c>
      <c r="B20" s="2" t="str">
        <f>Assignees!C19</f>
        <v>Astra-Post IR13 09-12</v>
      </c>
      <c r="C20" s="9">
        <f ca="1">(COUNTIFS(INDIRECT(A80&amp;A67):INDIRECT(A80&amp;A66),A94))</f>
        <v>67</v>
      </c>
      <c r="D20" s="9" t="str">
        <f>A94</f>
        <v>ASSIGNED</v>
      </c>
      <c r="E20" s="16">
        <f ca="1">(COUNTIFS(INDIRECT(A80&amp;A67):INDIRECT(A80&amp;A66),INDIRECT("d"&amp;ROW()),INDIRECT(A73&amp;A67):INDIRECT(A73&amp;A66),E1))</f>
        <v>0</v>
      </c>
      <c r="F20" s="4">
        <f ca="1">(COUNTIFS(INDIRECT(A80&amp;A67):INDIRECT(A80&amp;A66),INDIRECT("d"&amp;ROW()),INDIRECT(A73&amp;A67):INDIRECT(A73&amp;A66),F1))</f>
        <v>10</v>
      </c>
      <c r="G20" s="3">
        <f ca="1">(COUNTIFS(INDIRECT(A80&amp;A67):INDIRECT(A80&amp;A66),INDIRECT("d"&amp;ROW()),INDIRECT(A73&amp;A67):INDIRECT(A73&amp;A66),G1))</f>
        <v>30</v>
      </c>
      <c r="H20" s="5">
        <f ca="1">(COUNTIFS(INDIRECT(A80&amp;A67):INDIRECT(A80&amp;A66),INDIRECT("d"&amp;ROW()),INDIRECT(A73&amp;A67):INDIRECT(A73&amp;A66),H1))</f>
        <v>27</v>
      </c>
      <c r="I20">
        <f ca="1">IF(OR(INDIRECT(A73&amp;ROW())=B93,INDIRECT(A73&amp;ROW())=B94),1,IF(AND(INDIRECT(A73&amp;ROW())=B95,INDIRECT(A96&amp;ROW())=C93),1,IF(AND(INDIRECT(A73&amp;ROW())=B95,INDIRECT(A96&amp;ROW())=C94),1,0)))</f>
        <v>0</v>
      </c>
      <c r="J20">
        <f ca="1">IF(AND(INDIRECT(A73&amp;ROW())=B95,INDIRECT(A96&amp;ROW())=C95),1,IF(AND(INDIRECT(A73&amp;ROW())=B95,INDIRECT(A96&amp;ROW())=C96),1,0))</f>
        <v>0</v>
      </c>
      <c r="K20">
        <f ca="1">DAYS360(INDIRECT(C68&amp;ROW()),TODAY())</f>
        <v>728</v>
      </c>
      <c r="L20">
        <f ca="1">DAYS360(INDIRECT(C69&amp;ROW()),TODAY())</f>
        <v>1040</v>
      </c>
      <c r="M20" s="11">
        <f ca="1">HYPERLINK(CONCATENATE("https://bugzilla.houston.hp.com:1181/bugzilla/show_bug.cgi?id=",INDIRECT(C70&amp;ROW())),INDIRECT(C70&amp;ROW()))</f>
        <v>43856</v>
      </c>
      <c r="N20">
        <v>43856</v>
      </c>
      <c r="O20" t="s">
        <v>59</v>
      </c>
      <c r="P20" t="s">
        <v>254</v>
      </c>
      <c r="Q20" t="s">
        <v>16</v>
      </c>
      <c r="R20" t="s">
        <v>251</v>
      </c>
      <c r="S20" t="s">
        <v>68</v>
      </c>
      <c r="U20" s="6">
        <v>42118.52034722222</v>
      </c>
      <c r="V20" t="s">
        <v>35</v>
      </c>
      <c r="W20" t="s">
        <v>17</v>
      </c>
      <c r="X20" s="6">
        <v>41802.251354166663</v>
      </c>
      <c r="Y20" t="s">
        <v>124</v>
      </c>
      <c r="AB20" t="s">
        <v>201</v>
      </c>
      <c r="AC20" t="s">
        <v>121</v>
      </c>
      <c r="AD20" t="s">
        <v>220</v>
      </c>
      <c r="AE20" t="s">
        <v>219</v>
      </c>
      <c r="AG20" t="s">
        <v>121</v>
      </c>
      <c r="AH20" t="s">
        <v>327</v>
      </c>
      <c r="AI20" t="s">
        <v>121</v>
      </c>
      <c r="AJ20" t="s">
        <v>717</v>
      </c>
      <c r="AK20" t="s">
        <v>121</v>
      </c>
    </row>
    <row r="21" spans="1:37" x14ac:dyDescent="0.3">
      <c r="A21" s="2">
        <f ca="1">COUNTIF(INDIRECT(A68&amp;A67):INDIRECT(A69&amp;A66),INDIRECT("b"&amp;ROW()))</f>
        <v>3</v>
      </c>
      <c r="B21" s="2" t="str">
        <f>Assignees!C20</f>
        <v>Astra-Post IR13 09-19</v>
      </c>
      <c r="C21" s="9">
        <f ca="1">(COUNTIFS(INDIRECT(A80&amp;A67):INDIRECT(A80&amp;A66),A95))</f>
        <v>44</v>
      </c>
      <c r="D21" s="9" t="str">
        <f>A95</f>
        <v>REOPENED</v>
      </c>
      <c r="E21" s="16">
        <f ca="1">(COUNTIFS(INDIRECT(A80&amp;A67):INDIRECT(A80&amp;A66),INDIRECT("d"&amp;ROW()),INDIRECT(A73&amp;A67):INDIRECT(A73&amp;A66),E1))</f>
        <v>0</v>
      </c>
      <c r="F21" s="4">
        <f ca="1">(COUNTIFS(INDIRECT(A80&amp;A67):INDIRECT(A80&amp;A66),INDIRECT("d"&amp;ROW()),INDIRECT(A73&amp;A67):INDIRECT(A73&amp;A66),F1))</f>
        <v>13</v>
      </c>
      <c r="G21" s="3">
        <f ca="1">(COUNTIFS(INDIRECT(A80&amp;A67):INDIRECT(A80&amp;A66),INDIRECT("d"&amp;ROW()),INDIRECT(A73&amp;A67):INDIRECT(A73&amp;A66),G1))</f>
        <v>21</v>
      </c>
      <c r="H21" s="5">
        <f ca="1">(COUNTIFS(INDIRECT(A80&amp;A67):INDIRECT(A80&amp;A66),INDIRECT("d"&amp;ROW()),INDIRECT(A73&amp;A67):INDIRECT(A73&amp;A66),H1))</f>
        <v>10</v>
      </c>
      <c r="I21">
        <f ca="1">IF(OR(INDIRECT(A73&amp;ROW())=B93,INDIRECT(A73&amp;ROW())=B94),1,IF(AND(INDIRECT(A73&amp;ROW())=B95,INDIRECT(A96&amp;ROW())=C93),1,IF(AND(INDIRECT(A73&amp;ROW())=B95,INDIRECT(A96&amp;ROW())=C94),1,0)))</f>
        <v>0</v>
      </c>
      <c r="J21">
        <f ca="1">IF(AND(INDIRECT(A73&amp;ROW())=B95,INDIRECT(A96&amp;ROW())=C95),1,IF(AND(INDIRECT(A73&amp;ROW())=B95,INDIRECT(A96&amp;ROW())=C96),1,0))</f>
        <v>0</v>
      </c>
      <c r="K21">
        <f ca="1">DAYS360(INDIRECT(C68&amp;ROW()),TODAY())</f>
        <v>721</v>
      </c>
      <c r="L21">
        <f ca="1">DAYS360(INDIRECT(C69&amp;ROW()),TODAY())</f>
        <v>1040</v>
      </c>
      <c r="M21" s="11">
        <f ca="1">HYPERLINK(CONCATENATE("https://bugzilla.houston.hp.com:1181/bugzilla/show_bug.cgi?id=",INDIRECT(C70&amp;ROW())),INDIRECT(C70&amp;ROW()))</f>
        <v>43867</v>
      </c>
      <c r="N21">
        <v>43867</v>
      </c>
      <c r="O21" t="s">
        <v>21</v>
      </c>
      <c r="P21" t="s">
        <v>451</v>
      </c>
      <c r="Q21" t="s">
        <v>16</v>
      </c>
      <c r="R21" t="s">
        <v>251</v>
      </c>
      <c r="S21" t="s">
        <v>21</v>
      </c>
      <c r="U21" s="6">
        <v>42125.442002314812</v>
      </c>
      <c r="V21" t="s">
        <v>18</v>
      </c>
      <c r="W21" t="s">
        <v>17</v>
      </c>
      <c r="X21" s="6">
        <v>41802.479467592595</v>
      </c>
      <c r="Y21" t="s">
        <v>122</v>
      </c>
      <c r="AB21" t="s">
        <v>201</v>
      </c>
      <c r="AC21" t="s">
        <v>121</v>
      </c>
      <c r="AD21" t="s">
        <v>222</v>
      </c>
      <c r="AE21" t="s">
        <v>225</v>
      </c>
      <c r="AG21" t="s">
        <v>121</v>
      </c>
      <c r="AH21" t="s">
        <v>327</v>
      </c>
      <c r="AI21" t="s">
        <v>121</v>
      </c>
      <c r="AJ21" t="s">
        <v>717</v>
      </c>
      <c r="AK21" t="s">
        <v>121</v>
      </c>
    </row>
    <row r="22" spans="1:37" x14ac:dyDescent="0.3">
      <c r="A22" s="2">
        <f ca="1">COUNTIF(INDIRECT(A68&amp;A67):INDIRECT(A69&amp;A66),INDIRECT("b"&amp;ROW()))</f>
        <v>5</v>
      </c>
      <c r="B22" s="2" t="str">
        <f>Assignees!C21</f>
        <v>Astra-Post IR13 09-26</v>
      </c>
      <c r="C22" s="21">
        <f ca="1">COUNTIFS(INDIRECT(A79&amp;A67):INDIRECT(A79&amp;A66),"*"&amp;B92&amp;"*")</f>
        <v>32</v>
      </c>
      <c r="D22" s="21" t="str">
        <f>CONCATENATE(B79," ",B92)</f>
        <v>Component Documentation</v>
      </c>
      <c r="E22" s="16">
        <f ca="1">COUNTIFS(INDIRECT(A69&amp;A67):INDIRECT(A69&amp;A66),"*"&amp;A92&amp;"*",INDIRECT(A73&amp;A67):INDIRECT(A73&amp;A66),E1)</f>
        <v>0</v>
      </c>
      <c r="F22" s="4">
        <f ca="1">COUNTIFS(INDIRECT(A69&amp;A67):INDIRECT(A69&amp;A66),"*"&amp;A92&amp;"*",INDIRECT(A73&amp;A67):INDIRECT(A73&amp;A66),F1)</f>
        <v>0</v>
      </c>
      <c r="G22" s="3">
        <f ca="1">COUNTIFS(INDIRECT(A69&amp;A67):INDIRECT(A69&amp;A66),"*"&amp;A92&amp;"*",INDIRECT(A73&amp;A67):INDIRECT(A73&amp;A66),G1)</f>
        <v>0</v>
      </c>
      <c r="H22" s="5">
        <f ca="1">(COUNTIFS(INDIRECT(A80&amp;A67):INDIRECT(A80&amp;A66),INDIRECT("d"&amp;ROW()),INDIRECT(A73&amp;A67):INDIRECT(A73&amp;A66),H1))</f>
        <v>0</v>
      </c>
      <c r="I22">
        <f ca="1">IF(OR(INDIRECT(A73&amp;ROW())=B93,INDIRECT(A73&amp;ROW())=B94),1,IF(AND(INDIRECT(A73&amp;ROW())=B95,INDIRECT(A96&amp;ROW())=C93),1,IF(AND(INDIRECT(A73&amp;ROW())=B95,INDIRECT(A96&amp;ROW())=C94),1,0)))</f>
        <v>0</v>
      </c>
      <c r="J22">
        <f ca="1">IF(AND(INDIRECT(A73&amp;ROW())=B95,INDIRECT(A96&amp;ROW())=C95),1,IF(AND(INDIRECT(A73&amp;ROW())=B95,INDIRECT(A96&amp;ROW())=C96),1,0))</f>
        <v>0</v>
      </c>
      <c r="K22">
        <f ca="1">DAYS360(INDIRECT(C68&amp;ROW()),TODAY())</f>
        <v>721</v>
      </c>
      <c r="L22">
        <f ca="1">DAYS360(INDIRECT(C69&amp;ROW()),TODAY())</f>
        <v>1035</v>
      </c>
      <c r="M22" s="11">
        <f ca="1">HYPERLINK(CONCATENATE("https://bugzilla.houston.hp.com:1181/bugzilla/show_bug.cgi?id=",INDIRECT(C70&amp;ROW())),INDIRECT(C70&amp;ROW()))</f>
        <v>44024</v>
      </c>
      <c r="N22">
        <v>44024</v>
      </c>
      <c r="O22" t="s">
        <v>180</v>
      </c>
      <c r="P22" t="s">
        <v>450</v>
      </c>
      <c r="Q22" t="s">
        <v>16</v>
      </c>
      <c r="R22" t="s">
        <v>251</v>
      </c>
      <c r="S22" t="s">
        <v>59</v>
      </c>
      <c r="U22" s="6">
        <v>42125.442199074074</v>
      </c>
      <c r="V22" t="s">
        <v>18</v>
      </c>
      <c r="W22" t="s">
        <v>17</v>
      </c>
      <c r="X22" s="6">
        <v>41807.146840277775</v>
      </c>
      <c r="Y22" t="s">
        <v>122</v>
      </c>
      <c r="AB22" t="s">
        <v>200</v>
      </c>
      <c r="AC22" t="s">
        <v>121</v>
      </c>
      <c r="AD22" t="s">
        <v>222</v>
      </c>
      <c r="AE22" t="s">
        <v>225</v>
      </c>
      <c r="AG22" t="s">
        <v>121</v>
      </c>
      <c r="AH22" t="s">
        <v>327</v>
      </c>
      <c r="AI22" t="s">
        <v>121</v>
      </c>
      <c r="AJ22" t="s">
        <v>716</v>
      </c>
      <c r="AK22" t="s">
        <v>121</v>
      </c>
    </row>
    <row r="23" spans="1:37" x14ac:dyDescent="0.3">
      <c r="A23" s="2">
        <f ca="1">COUNTIF(INDIRECT(A68&amp;A67):INDIRECT(A69&amp;A66),INDIRECT("b"&amp;ROW()))</f>
        <v>2</v>
      </c>
      <c r="B23" s="2" t="str">
        <f>Assignees!C22</f>
        <v>Astra-Post IR13 10-03</v>
      </c>
      <c r="I23">
        <f ca="1">IF(OR(INDIRECT(A73&amp;ROW())=B93,INDIRECT(A73&amp;ROW())=B94),1,IF(AND(INDIRECT(A73&amp;ROW())=B95,INDIRECT(A96&amp;ROW())=C93),1,IF(AND(INDIRECT(A73&amp;ROW())=B95,INDIRECT(A96&amp;ROW())=C94),1,0)))</f>
        <v>0</v>
      </c>
      <c r="J23">
        <f ca="1">IF(AND(INDIRECT(A73&amp;ROW())=B95,INDIRECT(A96&amp;ROW())=C95),1,IF(AND(INDIRECT(A73&amp;ROW())=B95,INDIRECT(A96&amp;ROW())=C96),1,0))</f>
        <v>0</v>
      </c>
      <c r="K23">
        <f ca="1">DAYS360(INDIRECT(C68&amp;ROW()),TODAY())</f>
        <v>728</v>
      </c>
      <c r="L23">
        <f ca="1">DAYS360(INDIRECT(C69&amp;ROW()),TODAY())</f>
        <v>1025</v>
      </c>
      <c r="M23" s="11">
        <f ca="1">HYPERLINK(CONCATENATE("https://bugzilla.houston.hp.com:1181/bugzilla/show_bug.cgi?id=",INDIRECT(C70&amp;ROW())),INDIRECT(C70&amp;ROW()))</f>
        <v>44771</v>
      </c>
      <c r="N23">
        <v>44771</v>
      </c>
      <c r="O23" t="s">
        <v>56</v>
      </c>
      <c r="P23" t="s">
        <v>710</v>
      </c>
      <c r="Q23" t="s">
        <v>16</v>
      </c>
      <c r="R23" t="s">
        <v>251</v>
      </c>
      <c r="S23" t="s">
        <v>61</v>
      </c>
      <c r="U23" s="6">
        <v>42118.520520833335</v>
      </c>
      <c r="V23" t="s">
        <v>18</v>
      </c>
      <c r="W23" t="s">
        <v>17</v>
      </c>
      <c r="X23" s="6">
        <v>41817.356145833335</v>
      </c>
      <c r="Y23" t="s">
        <v>118</v>
      </c>
      <c r="AB23" t="s">
        <v>201</v>
      </c>
      <c r="AC23" t="s">
        <v>121</v>
      </c>
      <c r="AD23" t="s">
        <v>220</v>
      </c>
      <c r="AE23" t="s">
        <v>219</v>
      </c>
      <c r="AG23" t="s">
        <v>121</v>
      </c>
      <c r="AH23" t="s">
        <v>327</v>
      </c>
      <c r="AI23" t="s">
        <v>121</v>
      </c>
      <c r="AJ23" t="s">
        <v>717</v>
      </c>
      <c r="AK23" t="s">
        <v>121</v>
      </c>
    </row>
    <row r="24" spans="1:37" x14ac:dyDescent="0.3">
      <c r="A24" s="2">
        <f ca="1">COUNTIF(INDIRECT(A68&amp;A67):INDIRECT(A69&amp;A66),INDIRECT("b"&amp;ROW()))</f>
        <v>11</v>
      </c>
      <c r="B24" s="2" t="str">
        <f>Assignees!C23</f>
        <v>Astra-Post IR13 10-10</v>
      </c>
      <c r="C24" s="10">
        <f ca="1">COUNTIFS(INDIRECT(A78&amp;A67):INDIRECT(A78&amp;A66),INDIRECT("d"&amp;ROW()))</f>
        <v>203</v>
      </c>
      <c r="D24" s="10" t="str">
        <f>CONCATENATE("Protocols-",A88)</f>
        <v>Protocols-AAUM</v>
      </c>
      <c r="E24" s="16">
        <f ca="1">COUNTIFS(INDIRECT(A78&amp;A67):INDIRECT(A78&amp;A66),INDIRECT("d"&amp;ROW()),INDIRECT(A73&amp;A67):INDIRECT(A73&amp;A66),E1)</f>
        <v>0</v>
      </c>
      <c r="F24" s="4">
        <f ca="1">COUNTIFS(INDIRECT(A78&amp;A67):INDIRECT(A78&amp;A66),INDIRECT("d"&amp;ROW()),INDIRECT(A73&amp;A67):INDIRECT(A73&amp;A66),F1)</f>
        <v>23</v>
      </c>
      <c r="G24" s="3">
        <f ca="1">COUNTIFS(INDIRECT(A78&amp;A67):INDIRECT(A78&amp;A66),INDIRECT("d"&amp;ROW()),INDIRECT(A73&amp;A67):INDIRECT(A73&amp;A66),G1)</f>
        <v>103</v>
      </c>
      <c r="H24" s="5">
        <f ca="1">COUNTIFS(INDIRECT(A78&amp;A67):INDIRECT(A78&amp;A66),INDIRECT("d"&amp;ROW()),INDIRECT(A73&amp;A67):INDIRECT(A73&amp;A66),H1)</f>
        <v>77</v>
      </c>
      <c r="I24">
        <f ca="1">IF(OR(INDIRECT(A73&amp;ROW())=B93,INDIRECT(A73&amp;ROW())=B94),1,IF(AND(INDIRECT(A73&amp;ROW())=B95,INDIRECT(A96&amp;ROW())=C93),1,IF(AND(INDIRECT(A73&amp;ROW())=B95,INDIRECT(A96&amp;ROW())=C94),1,0)))</f>
        <v>0</v>
      </c>
      <c r="J24">
        <f ca="1">IF(AND(INDIRECT(A73&amp;ROW())=B95,INDIRECT(A96&amp;ROW())=C95),1,IF(AND(INDIRECT(A73&amp;ROW())=B95,INDIRECT(A96&amp;ROW())=C96),1,0))</f>
        <v>0</v>
      </c>
      <c r="K24">
        <f ca="1">DAYS360(INDIRECT(C68&amp;ROW()),TODAY())</f>
        <v>721</v>
      </c>
      <c r="L24">
        <f ca="1">DAYS360(INDIRECT(C69&amp;ROW()),TODAY())</f>
        <v>1021</v>
      </c>
      <c r="M24" s="11">
        <f ca="1">HYPERLINK(CONCATENATE("https://bugzilla.houston.hp.com:1181/bugzilla/show_bug.cgi?id=",INDIRECT(C70&amp;ROW())),INDIRECT(C70&amp;ROW()))</f>
        <v>46238</v>
      </c>
      <c r="N24">
        <v>46238</v>
      </c>
      <c r="O24" t="s">
        <v>174</v>
      </c>
      <c r="P24" t="s">
        <v>709</v>
      </c>
      <c r="Q24" t="s">
        <v>16</v>
      </c>
      <c r="R24" t="s">
        <v>251</v>
      </c>
      <c r="S24" t="s">
        <v>174</v>
      </c>
      <c r="U24" s="6">
        <v>42125.442280092589</v>
      </c>
      <c r="V24" t="s">
        <v>18</v>
      </c>
      <c r="W24" t="s">
        <v>17</v>
      </c>
      <c r="X24" s="6">
        <v>41821.631064814814</v>
      </c>
      <c r="Y24" t="s">
        <v>122</v>
      </c>
      <c r="AB24" t="s">
        <v>199</v>
      </c>
      <c r="AC24" t="s">
        <v>121</v>
      </c>
      <c r="AD24" t="s">
        <v>222</v>
      </c>
      <c r="AE24" t="s">
        <v>233</v>
      </c>
      <c r="AG24" t="s">
        <v>121</v>
      </c>
      <c r="AH24" t="s">
        <v>327</v>
      </c>
      <c r="AI24" t="s">
        <v>121</v>
      </c>
      <c r="AJ24" t="s">
        <v>716</v>
      </c>
      <c r="AK24" t="s">
        <v>121</v>
      </c>
    </row>
    <row r="25" spans="1:37" x14ac:dyDescent="0.3">
      <c r="A25" s="2">
        <f ca="1">COUNTIF(INDIRECT(A68&amp;A67):INDIRECT(A69&amp;A66),INDIRECT("b"&amp;ROW()))</f>
        <v>2</v>
      </c>
      <c r="B25" s="2" t="str">
        <f>Assignees!C24</f>
        <v>Astra-Post IR13 10-17</v>
      </c>
      <c r="C25" s="10">
        <f ca="1">COUNTIFS(INDIRECT(A78&amp;A67):INDIRECT(A78&amp;A66),INDIRECT("d"&amp;ROW()))</f>
        <v>100</v>
      </c>
      <c r="D25" s="10" t="str">
        <f>CONCATENATE("Protocols-",A89)</f>
        <v>Protocols-NFS</v>
      </c>
      <c r="E25" s="16">
        <f ca="1">COUNTIFS(INDIRECT(A78&amp;A67):INDIRECT(A78&amp;A66),INDIRECT("d"&amp;ROW()),INDIRECT(A73&amp;A67):INDIRECT(A73&amp;A66),E1)</f>
        <v>2</v>
      </c>
      <c r="F25" s="4">
        <f ca="1">COUNTIFS(INDIRECT(A78&amp;A67):INDIRECT(A78&amp;A66),INDIRECT("d"&amp;ROW()),INDIRECT(A73&amp;A67):INDIRECT(A73&amp;A66),F1)</f>
        <v>22</v>
      </c>
      <c r="G25" s="3">
        <f ca="1">COUNTIFS(INDIRECT(A78&amp;A67):INDIRECT(A78&amp;A66),INDIRECT("d"&amp;ROW()),INDIRECT(A73&amp;A67):INDIRECT(A73&amp;A66),G1)</f>
        <v>40</v>
      </c>
      <c r="H25" s="5">
        <f ca="1">COUNTIFS(INDIRECT(A78&amp;A67):INDIRECT(A78&amp;A66),INDIRECT("d"&amp;ROW()),INDIRECT(A73&amp;A67):INDIRECT(A73&amp;A66),H1)</f>
        <v>36</v>
      </c>
      <c r="I25">
        <f ca="1">IF(OR(INDIRECT(A73&amp;ROW())=B93,INDIRECT(A73&amp;ROW())=B94),1,IF(AND(INDIRECT(A73&amp;ROW())=B95,INDIRECT(A96&amp;ROW())=C93),1,IF(AND(INDIRECT(A73&amp;ROW())=B95,INDIRECT(A96&amp;ROW())=C94),1,0)))</f>
        <v>0</v>
      </c>
      <c r="J25">
        <f ca="1">IF(AND(INDIRECT(A73&amp;ROW())=B95,INDIRECT(A96&amp;ROW())=C95),1,IF(AND(INDIRECT(A73&amp;ROW())=B95,INDIRECT(A96&amp;ROW())=C96),1,0))</f>
        <v>1</v>
      </c>
      <c r="K25">
        <f ca="1">DAYS360(INDIRECT(C68&amp;ROW()),TODAY())</f>
        <v>728</v>
      </c>
      <c r="L25">
        <f ca="1">DAYS360(INDIRECT(C69&amp;ROW()),TODAY())</f>
        <v>1020</v>
      </c>
      <c r="M25" s="11">
        <f ca="1">HYPERLINK(CONCATENATE("https://bugzilla.houston.hp.com:1181/bugzilla/show_bug.cgi?id=",INDIRECT(C70&amp;ROW())),INDIRECT(C70&amp;ROW()))</f>
        <v>46293</v>
      </c>
      <c r="N25">
        <v>46293</v>
      </c>
      <c r="O25" t="s">
        <v>53</v>
      </c>
      <c r="P25" t="s">
        <v>708</v>
      </c>
      <c r="Q25" t="s">
        <v>25</v>
      </c>
      <c r="R25" t="s">
        <v>251</v>
      </c>
      <c r="S25" t="s">
        <v>31</v>
      </c>
      <c r="U25" s="6">
        <v>42118.33866898148</v>
      </c>
      <c r="V25" t="s">
        <v>40</v>
      </c>
      <c r="W25" t="s">
        <v>17</v>
      </c>
      <c r="X25" s="6">
        <v>41822.446030092593</v>
      </c>
      <c r="Y25" t="s">
        <v>119</v>
      </c>
      <c r="AB25" t="s">
        <v>201</v>
      </c>
      <c r="AC25" t="s">
        <v>121</v>
      </c>
      <c r="AD25" t="s">
        <v>220</v>
      </c>
      <c r="AE25" t="s">
        <v>219</v>
      </c>
      <c r="AG25" t="s">
        <v>121</v>
      </c>
      <c r="AH25" t="s">
        <v>327</v>
      </c>
      <c r="AI25" t="s">
        <v>121</v>
      </c>
      <c r="AJ25" t="s">
        <v>716</v>
      </c>
      <c r="AK25" t="s">
        <v>121</v>
      </c>
    </row>
    <row r="26" spans="1:37" x14ac:dyDescent="0.3">
      <c r="A26" s="2">
        <f ca="1">COUNTIF(INDIRECT(A68&amp;A67):INDIRECT(A69&amp;A66),INDIRECT("b"&amp;ROW()))</f>
        <v>20</v>
      </c>
      <c r="B26" s="2" t="str">
        <f>Assignees!C25</f>
        <v>Astra-Post IR13 10-24</v>
      </c>
      <c r="C26" s="10">
        <f ca="1">COUNTIFS(INDIRECT(A78&amp;A67):INDIRECT(A78&amp;A66),INDIRECT("d"&amp;ROW()))</f>
        <v>391</v>
      </c>
      <c r="D26" s="10" t="str">
        <f>CONCATENATE("Protocols-",A90)</f>
        <v>Protocols-SMB</v>
      </c>
      <c r="E26" s="16">
        <f ca="1">COUNTIFS(INDIRECT(A78&amp;A67):INDIRECT(A78&amp;A66),INDIRECT("d"&amp;ROW()),INDIRECT(A73&amp;A67):INDIRECT(A73&amp;A66),E1)</f>
        <v>0</v>
      </c>
      <c r="F26" s="4">
        <f ca="1">COUNTIFS(INDIRECT(A78&amp;A67):INDIRECT(A78&amp;A66),INDIRECT("d"&amp;ROW()),INDIRECT(A73&amp;A67):INDIRECT(A73&amp;A66),F1)</f>
        <v>60</v>
      </c>
      <c r="G26" s="3">
        <f ca="1">COUNTIFS(INDIRECT(A78&amp;A67):INDIRECT(A78&amp;A66),INDIRECT("d"&amp;ROW()),INDIRECT(A73&amp;A67):INDIRECT(A73&amp;A66),G1)</f>
        <v>171</v>
      </c>
      <c r="H26" s="5">
        <f ca="1">COUNTIFS(INDIRECT(A78&amp;A67):INDIRECT(A78&amp;A66),INDIRECT("d"&amp;ROW()),INDIRECT(A73&amp;A67):INDIRECT(A73&amp;A66),H1)</f>
        <v>160</v>
      </c>
      <c r="I26">
        <f ca="1">IF(OR(INDIRECT(A73&amp;ROW())=B93,INDIRECT(A73&amp;ROW())=B94),1,IF(AND(INDIRECT(A73&amp;ROW())=B95,INDIRECT(A96&amp;ROW())=C93),1,IF(AND(INDIRECT(A73&amp;ROW())=B95,INDIRECT(A96&amp;ROW())=C94),1,0)))</f>
        <v>0</v>
      </c>
      <c r="J26">
        <f ca="1">IF(AND(INDIRECT(A73&amp;ROW())=B95,INDIRECT(A96&amp;ROW())=C95),1,IF(AND(INDIRECT(A73&amp;ROW())=B95,INDIRECT(A96&amp;ROW())=C96),1,0))</f>
        <v>0</v>
      </c>
      <c r="K26">
        <f ca="1">DAYS360(INDIRECT(C68&amp;ROW()),TODAY())</f>
        <v>728</v>
      </c>
      <c r="L26">
        <f ca="1">DAYS360(INDIRECT(C69&amp;ROW()),TODAY())</f>
        <v>1020</v>
      </c>
      <c r="M26" s="11">
        <f ca="1">HYPERLINK(CONCATENATE("https://bugzilla.houston.hp.com:1181/bugzilla/show_bug.cgi?id=",INDIRECT(C70&amp;ROW())),INDIRECT(C70&amp;ROW()))</f>
        <v>46326</v>
      </c>
      <c r="N26">
        <v>46326</v>
      </c>
      <c r="O26" t="s">
        <v>88</v>
      </c>
      <c r="P26" t="s">
        <v>707</v>
      </c>
      <c r="Q26" t="s">
        <v>16</v>
      </c>
      <c r="R26" t="s">
        <v>251</v>
      </c>
      <c r="S26" t="s">
        <v>177</v>
      </c>
      <c r="U26" s="6">
        <v>42118.520601851851</v>
      </c>
      <c r="V26" t="s">
        <v>40</v>
      </c>
      <c r="W26" t="s">
        <v>17</v>
      </c>
      <c r="X26" s="6">
        <v>41822.770127314812</v>
      </c>
      <c r="Y26" t="s">
        <v>245</v>
      </c>
      <c r="Z26" t="s">
        <v>190</v>
      </c>
      <c r="AB26" t="s">
        <v>201</v>
      </c>
      <c r="AC26" t="s">
        <v>121</v>
      </c>
      <c r="AD26" t="s">
        <v>220</v>
      </c>
      <c r="AE26" t="s">
        <v>219</v>
      </c>
      <c r="AG26" t="s">
        <v>121</v>
      </c>
      <c r="AH26" t="s">
        <v>327</v>
      </c>
      <c r="AI26" t="s">
        <v>121</v>
      </c>
      <c r="AJ26" t="s">
        <v>717</v>
      </c>
      <c r="AK26" t="s">
        <v>121</v>
      </c>
    </row>
    <row r="27" spans="1:37" x14ac:dyDescent="0.3">
      <c r="A27" s="2">
        <f ca="1">COUNTIF(INDIRECT(A68&amp;A67):INDIRECT(A69&amp;A66),INDIRECT("b"&amp;ROW()))</f>
        <v>6</v>
      </c>
      <c r="B27" s="2" t="str">
        <f>Assignees!C26</f>
        <v>Astra-Post IR13 10-31</v>
      </c>
      <c r="C27" s="21">
        <f ca="1">COUNTIFS(INDIRECT(A69&amp;A67):INDIRECT(A69&amp;A66),"*"&amp;A92&amp;"*",INDIRECT(A80&amp;A67):INDIRECT(A80&amp;A66),A93)</f>
        <v>0</v>
      </c>
      <c r="D27" s="21" t="str">
        <f>CONCATENATE(A92," ",A93)</f>
        <v>BUC1 NEW</v>
      </c>
      <c r="E27" s="16">
        <f ca="1">COUNTIFS(INDIRECT(A69&amp;A67):INDIRECT(A69&amp;A66),"*"&amp;A92&amp;"*",INDIRECT(A80&amp;A67):INDIRECT(A80&amp;A66),A93,INDIRECT(A73&amp;A67):INDIRECT(A73&amp;A66),E1)</f>
        <v>0</v>
      </c>
      <c r="F27" s="4">
        <f ca="1">COUNTIFS(INDIRECT(A69&amp;A67):INDIRECT(A69&amp;A66),"*"&amp;A92&amp;"*",INDIRECT(A80&amp;A67):INDIRECT(A80&amp;A66),A93,INDIRECT(A73&amp;A67):INDIRECT(A73&amp;A66),F1)</f>
        <v>0</v>
      </c>
      <c r="G27" s="3">
        <f ca="1">COUNTIFS(INDIRECT(A69&amp;A67):INDIRECT(A69&amp;A66),"*"&amp;A92&amp;"*",INDIRECT(A80&amp;A67):INDIRECT(A80&amp;A66),A93,INDIRECT(A73&amp;A67):INDIRECT(A73&amp;A66),G1)</f>
        <v>0</v>
      </c>
      <c r="I27">
        <f ca="1">IF(OR(INDIRECT(A73&amp;ROW())=B93,INDIRECT(A73&amp;ROW())=B94),1,IF(AND(INDIRECT(A73&amp;ROW())=B95,INDIRECT(A96&amp;ROW())=C93),1,IF(AND(INDIRECT(A73&amp;ROW())=B95,INDIRECT(A96&amp;ROW())=C94),1,0)))</f>
        <v>0</v>
      </c>
      <c r="J27">
        <f ca="1">IF(AND(INDIRECT(A73&amp;ROW())=B95,INDIRECT(A96&amp;ROW())=C95),1,IF(AND(INDIRECT(A73&amp;ROW())=B95,INDIRECT(A96&amp;ROW())=C96),1,0))</f>
        <v>0</v>
      </c>
      <c r="K27">
        <f ca="1">DAYS360(INDIRECT(C68&amp;ROW()),TODAY())</f>
        <v>728</v>
      </c>
      <c r="L27">
        <f ca="1">DAYS360(INDIRECT(C69&amp;ROW()),TODAY())</f>
        <v>1013</v>
      </c>
      <c r="M27" s="11">
        <f ca="1">HYPERLINK(CONCATENATE("https://bugzilla.houston.hp.com:1181/bugzilla/show_bug.cgi?id=",INDIRECT(C70&amp;ROW())),INDIRECT(C70&amp;ROW()))</f>
        <v>46659</v>
      </c>
      <c r="N27">
        <v>46659</v>
      </c>
      <c r="O27" t="s">
        <v>22</v>
      </c>
      <c r="P27" t="s">
        <v>706</v>
      </c>
      <c r="Q27" t="s">
        <v>16</v>
      </c>
      <c r="R27" t="s">
        <v>251</v>
      </c>
      <c r="S27" t="s">
        <v>49</v>
      </c>
      <c r="U27" s="6">
        <v>42118.52071759259</v>
      </c>
      <c r="V27" t="s">
        <v>18</v>
      </c>
      <c r="W27" t="s">
        <v>17</v>
      </c>
      <c r="X27" s="6">
        <v>41829.631932870368</v>
      </c>
      <c r="Y27" t="s">
        <v>244</v>
      </c>
      <c r="AB27" t="s">
        <v>201</v>
      </c>
      <c r="AC27" t="s">
        <v>121</v>
      </c>
      <c r="AD27" t="s">
        <v>222</v>
      </c>
      <c r="AE27" t="s">
        <v>225</v>
      </c>
      <c r="AG27" t="s">
        <v>121</v>
      </c>
      <c r="AH27" t="s">
        <v>327</v>
      </c>
      <c r="AI27" t="s">
        <v>121</v>
      </c>
      <c r="AJ27" t="s">
        <v>717</v>
      </c>
      <c r="AK27" t="s">
        <v>121</v>
      </c>
    </row>
    <row r="28" spans="1:37" x14ac:dyDescent="0.3">
      <c r="A28" s="2">
        <f ca="1">COUNTIF(INDIRECT(A68&amp;A67):INDIRECT(A69&amp;A66),INDIRECT("b"&amp;ROW()))</f>
        <v>0</v>
      </c>
      <c r="B28" s="2" t="e">
        <f>Assignees!#REF!</f>
        <v>#REF!</v>
      </c>
      <c r="C28" s="21">
        <f ca="1">COUNTIFS(INDIRECT(A69&amp;A67):INDIRECT(A69&amp;A66),"*"&amp;A92&amp;"*",INDIRECT(A80&amp;A67):INDIRECT(A80&amp;A66),A94)</f>
        <v>0</v>
      </c>
      <c r="D28" s="21" t="str">
        <f>CONCATENATE(A92," ",A94)</f>
        <v>BUC1 ASSIGNED</v>
      </c>
      <c r="E28" s="16">
        <f ca="1">COUNTIFS(INDIRECT(A69&amp;A67):INDIRECT(A69&amp;A66),"*"&amp;A92&amp;"*",INDIRECT(A80&amp;A67):INDIRECT(A80&amp;A66),A94,INDIRECT(A73&amp;A67):INDIRECT(A73&amp;A66),E1)</f>
        <v>0</v>
      </c>
      <c r="F28" s="4">
        <f ca="1">COUNTIFS(INDIRECT(A69&amp;A67):INDIRECT(A69&amp;A66),"*"&amp;A92&amp;"*",INDIRECT(A80&amp;A67):INDIRECT(A80&amp;A66),A94,INDIRECT(A73&amp;A67):INDIRECT(A73&amp;A66),F1)</f>
        <v>0</v>
      </c>
      <c r="G28" s="3">
        <f ca="1">COUNTIFS(INDIRECT(A69&amp;A67):INDIRECT(A69&amp;A66),"*"&amp;A92&amp;"*",INDIRECT(A80&amp;A67):INDIRECT(A80&amp;A66),A94,INDIRECT(A73&amp;A67):INDIRECT(A73&amp;A66),G1)</f>
        <v>0</v>
      </c>
      <c r="I28">
        <f ca="1">IF(OR(INDIRECT(A73&amp;ROW())=B93,INDIRECT(A73&amp;ROW())=B94),1,IF(AND(INDIRECT(A73&amp;ROW())=B95,INDIRECT(A96&amp;ROW())=C93),1,IF(AND(INDIRECT(A73&amp;ROW())=B95,INDIRECT(A96&amp;ROW())=C94),1,0)))</f>
        <v>0</v>
      </c>
      <c r="J28">
        <f ca="1">IF(AND(INDIRECT(A73&amp;ROW())=B95,INDIRECT(A96&amp;ROW())=C95),1,IF(AND(INDIRECT(A73&amp;ROW())=B95,INDIRECT(A96&amp;ROW())=C96),1,0))</f>
        <v>0</v>
      </c>
      <c r="K28">
        <f ca="1">DAYS360(INDIRECT(C68&amp;ROW()),TODAY())</f>
        <v>721</v>
      </c>
      <c r="L28">
        <f ca="1">DAYS360(INDIRECT(C69&amp;ROW()),TODAY())</f>
        <v>1011</v>
      </c>
      <c r="M28" s="11">
        <f ca="1">HYPERLINK(CONCATENATE("https://bugzilla.houston.hp.com:1181/bugzilla/show_bug.cgi?id=",INDIRECT(C70&amp;ROW())),INDIRECT(C70&amp;ROW()))</f>
        <v>46771</v>
      </c>
      <c r="N28">
        <v>46771</v>
      </c>
      <c r="O28" t="s">
        <v>45</v>
      </c>
      <c r="P28" t="s">
        <v>478</v>
      </c>
      <c r="Q28" t="s">
        <v>16</v>
      </c>
      <c r="R28" t="s">
        <v>251</v>
      </c>
      <c r="S28" t="s">
        <v>168</v>
      </c>
      <c r="U28" s="6">
        <v>42125.643969907411</v>
      </c>
      <c r="V28" t="s">
        <v>40</v>
      </c>
      <c r="W28" t="s">
        <v>17</v>
      </c>
      <c r="X28" s="6">
        <v>41831.196400462963</v>
      </c>
      <c r="Y28" t="s">
        <v>123</v>
      </c>
      <c r="AB28" t="s">
        <v>199</v>
      </c>
      <c r="AC28" t="s">
        <v>121</v>
      </c>
      <c r="AD28" t="s">
        <v>227</v>
      </c>
      <c r="AE28" t="s">
        <v>231</v>
      </c>
      <c r="AG28" t="s">
        <v>121</v>
      </c>
      <c r="AH28" t="s">
        <v>327</v>
      </c>
      <c r="AI28" t="s">
        <v>121</v>
      </c>
      <c r="AJ28" t="s">
        <v>716</v>
      </c>
      <c r="AK28" t="s">
        <v>121</v>
      </c>
    </row>
    <row r="29" spans="1:37" x14ac:dyDescent="0.3">
      <c r="A29" s="2">
        <f ca="1">COUNTIF(INDIRECT(A68&amp;A67):INDIRECT(A69&amp;A66),INDIRECT("b"&amp;ROW()))</f>
        <v>1</v>
      </c>
      <c r="B29" s="2" t="str">
        <f>Assignees!C27</f>
        <v>StoreOnce Xanadu(SMB 5.6.x)</v>
      </c>
      <c r="C29" s="21">
        <f ca="1">COUNTIFS(INDIRECT(A69&amp;A67):INDIRECT(A69&amp;A66),"*"&amp;A92&amp;"*",INDIRECT(A80&amp;A67):INDIRECT(A80&amp;A66),A95)</f>
        <v>0</v>
      </c>
      <c r="D29" s="21" t="str">
        <f>CONCATENATE(A92," ",A95)</f>
        <v>BUC1 REOPENED</v>
      </c>
      <c r="E29" s="16">
        <f ca="1">COUNTIFS(INDIRECT(A69&amp;A67):INDIRECT(A69&amp;A66),"*"&amp;A92&amp;"*",INDIRECT(A80&amp;A67):INDIRECT(A80&amp;A66),A95,INDIRECT(A73&amp;A67):INDIRECT(A73&amp;A66),E1)</f>
        <v>0</v>
      </c>
      <c r="F29" s="4">
        <f ca="1">COUNTIFS(INDIRECT(A69&amp;A67):INDIRECT(A69&amp;A66),"*"&amp;A92&amp;"*",INDIRECT(A80&amp;A67):INDIRECT(A80&amp;A66),A95,INDIRECT(A73&amp;A67):INDIRECT(A73&amp;A66),F1)</f>
        <v>0</v>
      </c>
      <c r="G29" s="3">
        <f ca="1">COUNTIFS(INDIRECT(A69&amp;A67):INDIRECT(A69&amp;A66),"*"&amp;A92&amp;"*",INDIRECT(A80&amp;A67):INDIRECT(A80&amp;A66),A95,INDIRECT(A73&amp;A67):INDIRECT(A73&amp;A66),G1)</f>
        <v>0</v>
      </c>
      <c r="I29">
        <f ca="1">IF(OR(INDIRECT(A73&amp;ROW())=B93,INDIRECT(A73&amp;ROW())=B94),1,IF(AND(INDIRECT(A73&amp;ROW())=B95,INDIRECT(A96&amp;ROW())=C93),1,IF(AND(INDIRECT(A73&amp;ROW())=B95,INDIRECT(A96&amp;ROW())=C94),1,0)))</f>
        <v>0</v>
      </c>
      <c r="J29">
        <f ca="1">IF(AND(INDIRECT(A73&amp;ROW())=B95,INDIRECT(A96&amp;ROW())=C95),1,IF(AND(INDIRECT(A73&amp;ROW())=B95,INDIRECT(A96&amp;ROW())=C96),1,0))</f>
        <v>0</v>
      </c>
      <c r="K29">
        <f ca="1">DAYS360(INDIRECT(C68&amp;ROW()),TODAY())</f>
        <v>721</v>
      </c>
      <c r="L29">
        <f ca="1">DAYS360(INDIRECT(C69&amp;ROW()),TODAY())</f>
        <v>1004</v>
      </c>
      <c r="M29" s="11">
        <f ca="1">HYPERLINK(CONCATENATE("https://bugzilla.houston.hp.com:1181/bugzilla/show_bug.cgi?id=",INDIRECT(C70&amp;ROW())),INDIRECT(C70&amp;ROW()))</f>
        <v>47187</v>
      </c>
      <c r="N29">
        <v>47187</v>
      </c>
      <c r="O29" t="s">
        <v>213</v>
      </c>
      <c r="P29" t="s">
        <v>449</v>
      </c>
      <c r="Q29" t="s">
        <v>16</v>
      </c>
      <c r="R29" t="s">
        <v>251</v>
      </c>
      <c r="S29" t="s">
        <v>213</v>
      </c>
      <c r="U29" s="6">
        <v>42125.442048611112</v>
      </c>
      <c r="V29" t="s">
        <v>18</v>
      </c>
      <c r="W29" t="s">
        <v>17</v>
      </c>
      <c r="X29" s="6">
        <v>41838.292291666665</v>
      </c>
      <c r="Y29" t="s">
        <v>122</v>
      </c>
      <c r="AB29" t="s">
        <v>201</v>
      </c>
      <c r="AC29" t="s">
        <v>121</v>
      </c>
      <c r="AD29" t="s">
        <v>220</v>
      </c>
      <c r="AE29" t="s">
        <v>219</v>
      </c>
      <c r="AG29" t="s">
        <v>121</v>
      </c>
      <c r="AH29" t="s">
        <v>327</v>
      </c>
      <c r="AI29" t="s">
        <v>121</v>
      </c>
      <c r="AJ29" t="s">
        <v>717</v>
      </c>
      <c r="AK29" t="s">
        <v>121</v>
      </c>
    </row>
    <row r="30" spans="1:37" x14ac:dyDescent="0.3">
      <c r="A30" s="2">
        <f ca="1">COUNTIF(INDIRECT(A68&amp;A67):INDIRECT(A69&amp;A66),INDIRECT("b"&amp;ROW()))</f>
        <v>0</v>
      </c>
      <c r="B30" s="2" t="str">
        <f>Assignees!C28</f>
        <v>6.1 (Ensenada)</v>
      </c>
      <c r="C30" s="22">
        <f ca="1">COUNTIFS(INDIRECT(A97&amp;A67):INDIRECT(A97&amp;A66),1,INDIRECT(A71&amp;A67):INDIRECT(A71&amp;A66),D2&amp;"*")-COUNTIFS(INDIRECT(A97&amp;A67):INDIRECT(A97&amp;A66),1,INDIRECT(A71&amp;A67):INDIRECT(A71&amp;A66),D2&amp;"*",INDIRECT(A98&amp;A67):INDIRECT(A98&amp;A66),C98)</f>
        <v>90</v>
      </c>
      <c r="D30" s="22" t="str">
        <f>CONCATENATE("RedZone ",D2,"*")</f>
        <v>RedZone Astra*</v>
      </c>
      <c r="E30" s="8"/>
      <c r="I30">
        <f ca="1">IF(OR(INDIRECT(A73&amp;ROW())=B93,INDIRECT(A73&amp;ROW())=B94),1,IF(AND(INDIRECT(A73&amp;ROW())=B95,INDIRECT(A96&amp;ROW())=C93),1,IF(AND(INDIRECT(A73&amp;ROW())=B95,INDIRECT(A96&amp;ROW())=C94),1,0)))</f>
        <v>0</v>
      </c>
      <c r="J30">
        <f ca="1">IF(AND(INDIRECT(A73&amp;ROW())=B95,INDIRECT(A96&amp;ROW())=C95),1,IF(AND(INDIRECT(A73&amp;ROW())=B95,INDIRECT(A96&amp;ROW())=C96),1,0))</f>
        <v>1</v>
      </c>
      <c r="K30">
        <f ca="1">DAYS360(INDIRECT(C68&amp;ROW()),TODAY())</f>
        <v>724</v>
      </c>
      <c r="L30">
        <f ca="1">DAYS360(INDIRECT(C69&amp;ROW()),TODAY())</f>
        <v>1001</v>
      </c>
      <c r="M30" s="11">
        <f ca="1">HYPERLINK(CONCATENATE("https://bugzilla.houston.hp.com:1181/bugzilla/show_bug.cgi?id=",INDIRECT(C70&amp;ROW())),INDIRECT(C70&amp;ROW()))</f>
        <v>47269</v>
      </c>
      <c r="N30">
        <v>47269</v>
      </c>
      <c r="O30" t="s">
        <v>56</v>
      </c>
      <c r="P30" t="s">
        <v>448</v>
      </c>
      <c r="Q30" t="s">
        <v>25</v>
      </c>
      <c r="R30" t="s">
        <v>251</v>
      </c>
      <c r="S30" t="s">
        <v>183</v>
      </c>
      <c r="U30" s="6">
        <v>42122.349108796298</v>
      </c>
      <c r="V30" t="s">
        <v>40</v>
      </c>
      <c r="W30" t="s">
        <v>17</v>
      </c>
      <c r="X30" s="6">
        <v>41841.625428240739</v>
      </c>
      <c r="Y30" t="s">
        <v>244</v>
      </c>
      <c r="AB30" t="s">
        <v>201</v>
      </c>
      <c r="AC30" t="s">
        <v>121</v>
      </c>
      <c r="AD30" t="s">
        <v>220</v>
      </c>
      <c r="AE30" t="s">
        <v>219</v>
      </c>
      <c r="AG30" t="s">
        <v>121</v>
      </c>
      <c r="AH30" t="s">
        <v>327</v>
      </c>
      <c r="AI30" t="s">
        <v>121</v>
      </c>
      <c r="AJ30" t="s">
        <v>716</v>
      </c>
      <c r="AK30" t="s">
        <v>121</v>
      </c>
    </row>
    <row r="31" spans="1:37" x14ac:dyDescent="0.3">
      <c r="A31" s="2">
        <f ca="1">COUNTIF(INDIRECT(A68&amp;A67):INDIRECT(A69&amp;A66),INDIRECT("b"&amp;ROW()))</f>
        <v>0</v>
      </c>
      <c r="B31" s="2" t="str">
        <f>Assignees!C29</f>
        <v>6.2 (Fiji)</v>
      </c>
      <c r="C31" s="25">
        <f ca="1">COUNTIFS(INDIRECT(A99&amp;A67):INDIRECT(A99&amp;A66),1,INDIRECT(A71&amp;A67):INDIRECT(A71&amp;A66),D2&amp;"*")-COUNTIFS(INDIRECT(A99&amp;A67):INDIRECT(A99&amp;A66),1,INDIRECT(A71&amp;A67):INDIRECT(A71&amp;A66),D2&amp;"*",INDIRECT(A98&amp;A67):INDIRECT(A98&amp;A66),C98)</f>
        <v>59</v>
      </c>
      <c r="D31" s="25" t="str">
        <f>CONCATENATE("YellowZone ",D2,"*")</f>
        <v>YellowZone Astra*</v>
      </c>
      <c r="I31">
        <f ca="1">IF(OR(INDIRECT(A73&amp;ROW())=B93,INDIRECT(A73&amp;ROW())=B94),1,IF(AND(INDIRECT(A73&amp;ROW())=B95,INDIRECT(A96&amp;ROW())=C93),1,IF(AND(INDIRECT(A73&amp;ROW())=B95,INDIRECT(A96&amp;ROW())=C94),1,0)))</f>
        <v>1</v>
      </c>
      <c r="J31">
        <f ca="1">IF(AND(INDIRECT(A73&amp;ROW())=B95,INDIRECT(A96&amp;ROW())=C95),1,IF(AND(INDIRECT(A73&amp;ROW())=B95,INDIRECT(A96&amp;ROW())=C96),1,0))</f>
        <v>0</v>
      </c>
      <c r="K31">
        <f ca="1">DAYS360(INDIRECT(C68&amp;ROW()),TODAY())</f>
        <v>730</v>
      </c>
      <c r="L31">
        <f ca="1">DAYS360(INDIRECT(C69&amp;ROW()),TODAY())</f>
        <v>1000</v>
      </c>
      <c r="M31" s="11">
        <f ca="1">HYPERLINK(CONCATENATE("https://bugzilla.houston.hp.com:1181/bugzilla/show_bug.cgi?id=",INDIRECT(C70&amp;ROW())),INDIRECT(C70&amp;ROW()))</f>
        <v>47337</v>
      </c>
      <c r="N31">
        <v>47337</v>
      </c>
      <c r="O31" t="s">
        <v>21</v>
      </c>
      <c r="P31" t="s">
        <v>475</v>
      </c>
      <c r="Q31" t="s">
        <v>25</v>
      </c>
      <c r="R31" t="s">
        <v>251</v>
      </c>
      <c r="S31" t="s">
        <v>253</v>
      </c>
      <c r="U31" s="6">
        <v>42116.455277777779</v>
      </c>
      <c r="V31" t="s">
        <v>40</v>
      </c>
      <c r="W31" t="s">
        <v>17</v>
      </c>
      <c r="X31" s="6">
        <v>41842.501296296294</v>
      </c>
      <c r="Y31" t="s">
        <v>120</v>
      </c>
      <c r="AB31" t="s">
        <v>200</v>
      </c>
      <c r="AC31" t="s">
        <v>121</v>
      </c>
      <c r="AD31" t="s">
        <v>220</v>
      </c>
      <c r="AE31" t="s">
        <v>219</v>
      </c>
      <c r="AG31" t="s">
        <v>121</v>
      </c>
      <c r="AH31" t="s">
        <v>327</v>
      </c>
      <c r="AI31" t="s">
        <v>121</v>
      </c>
      <c r="AJ31" t="s">
        <v>715</v>
      </c>
      <c r="AK31" t="s">
        <v>121</v>
      </c>
    </row>
    <row r="32" spans="1:37" x14ac:dyDescent="0.3">
      <c r="A32" s="2">
        <f ca="1">COUNTIF(INDIRECT(A68&amp;A67):INDIRECT(A69&amp;A66),INDIRECT("b"&amp;ROW()))</f>
        <v>3</v>
      </c>
      <c r="B32" s="2" t="str">
        <f>Assignees!C30</f>
        <v>6.3 (FlyingSaucer)</v>
      </c>
      <c r="C32" s="1">
        <f ca="1">(COUNTIFS(INDIRECT(A72&amp;A67):INDIRECT(A72&amp;A66),"*"&amp;A87&amp;"*"))</f>
        <v>1</v>
      </c>
      <c r="D32" t="s">
        <v>34</v>
      </c>
      <c r="I32">
        <f ca="1">IF(OR(INDIRECT(A73&amp;ROW())=B93,INDIRECT(A73&amp;ROW())=B94),1,IF(AND(INDIRECT(A73&amp;ROW())=B95,INDIRECT(A96&amp;ROW())=C93),1,IF(AND(INDIRECT(A73&amp;ROW())=B95,INDIRECT(A96&amp;ROW())=C94),1,0)))</f>
        <v>0</v>
      </c>
      <c r="J32">
        <f ca="1">IF(AND(INDIRECT(A73&amp;ROW())=B95,INDIRECT(A96&amp;ROW())=C95),1,IF(AND(INDIRECT(A73&amp;ROW())=B95,INDIRECT(A96&amp;ROW())=C96),1,0))</f>
        <v>0</v>
      </c>
      <c r="K32">
        <f ca="1">DAYS360(INDIRECT(C68&amp;ROW()),TODAY())</f>
        <v>728</v>
      </c>
      <c r="L32">
        <f ca="1">DAYS360(INDIRECT(C69&amp;ROW()),TODAY())</f>
        <v>999</v>
      </c>
      <c r="M32" s="11">
        <f ca="1">HYPERLINK(CONCATENATE("https://bugzilla.houston.hp.com:1181/bugzilla/show_bug.cgi?id=",INDIRECT(C70&amp;ROW())),INDIRECT(C70&amp;ROW()))</f>
        <v>47415</v>
      </c>
      <c r="N32">
        <v>47415</v>
      </c>
      <c r="O32" t="s">
        <v>22</v>
      </c>
      <c r="P32" t="s">
        <v>705</v>
      </c>
      <c r="Q32" t="s">
        <v>16</v>
      </c>
      <c r="R32" t="s">
        <v>251</v>
      </c>
      <c r="S32" t="s">
        <v>36</v>
      </c>
      <c r="U32" s="6">
        <v>42118.55841435185</v>
      </c>
      <c r="V32" t="s">
        <v>18</v>
      </c>
      <c r="W32" t="s">
        <v>17</v>
      </c>
      <c r="X32" s="6">
        <v>41843.549317129633</v>
      </c>
      <c r="Y32" t="s">
        <v>122</v>
      </c>
      <c r="AB32" t="s">
        <v>201</v>
      </c>
      <c r="AC32" t="s">
        <v>121</v>
      </c>
      <c r="AD32" t="s">
        <v>220</v>
      </c>
      <c r="AE32" t="s">
        <v>219</v>
      </c>
      <c r="AG32" t="s">
        <v>121</v>
      </c>
      <c r="AH32" t="s">
        <v>327</v>
      </c>
      <c r="AI32" t="s">
        <v>121</v>
      </c>
      <c r="AJ32" t="s">
        <v>717</v>
      </c>
      <c r="AK32" t="s">
        <v>121</v>
      </c>
    </row>
    <row r="33" spans="1:37" x14ac:dyDescent="0.3">
      <c r="A33" s="2">
        <f ca="1">COUNTIF(INDIRECT(A68&amp;A67):INDIRECT(A69&amp;A66),INDIRECT("b"&amp;ROW()))</f>
        <v>2</v>
      </c>
      <c r="B33" s="2" t="str">
        <f>Assignees!C31</f>
        <v>6.5 (Ghost)</v>
      </c>
      <c r="C33">
        <f ca="1">COUNTIFS(INDIRECT(A71&amp;A67):INDIRECT(A71&amp;A66),A85&amp;"*")</f>
        <v>249</v>
      </c>
      <c r="D33" s="8" t="s">
        <v>98</v>
      </c>
      <c r="I33">
        <f ca="1">IF(OR(INDIRECT(A73&amp;ROW())=B93,INDIRECT(A73&amp;ROW())=B94),1,IF(AND(INDIRECT(A73&amp;ROW())=B95,INDIRECT(A96&amp;ROW())=C93),1,IF(AND(INDIRECT(A73&amp;ROW())=B95,INDIRECT(A96&amp;ROW())=C94),1,0)))</f>
        <v>0</v>
      </c>
      <c r="J33">
        <f ca="1">IF(AND(INDIRECT(A73&amp;ROW())=B95,INDIRECT(A96&amp;ROW())=C95),1,IF(AND(INDIRECT(A73&amp;ROW())=B95,INDIRECT(A96&amp;ROW())=C96),1,0))</f>
        <v>0</v>
      </c>
      <c r="K33">
        <f ca="1">DAYS360(INDIRECT(C68&amp;ROW()),TODAY())</f>
        <v>683</v>
      </c>
      <c r="L33">
        <f ca="1">DAYS360(INDIRECT(C69&amp;ROW()),TODAY())</f>
        <v>998</v>
      </c>
      <c r="M33" s="11">
        <f ca="1">HYPERLINK(CONCATENATE("https://bugzilla.houston.hp.com:1181/bugzilla/show_bug.cgi?id=",INDIRECT(C70&amp;ROW())),INDIRECT(C70&amp;ROW()))</f>
        <v>47515</v>
      </c>
      <c r="N33">
        <v>47515</v>
      </c>
      <c r="O33" t="s">
        <v>88</v>
      </c>
      <c r="P33" t="s">
        <v>447</v>
      </c>
      <c r="Q33" t="s">
        <v>16</v>
      </c>
      <c r="R33" t="s">
        <v>251</v>
      </c>
      <c r="S33" t="s">
        <v>52</v>
      </c>
      <c r="U33" s="6">
        <v>42164.611527777779</v>
      </c>
      <c r="V33" t="s">
        <v>18</v>
      </c>
      <c r="W33" t="s">
        <v>17</v>
      </c>
      <c r="X33" s="6">
        <v>41844.425266203703</v>
      </c>
      <c r="Y33" t="s">
        <v>119</v>
      </c>
      <c r="AB33" t="s">
        <v>201</v>
      </c>
      <c r="AC33" t="s">
        <v>121</v>
      </c>
      <c r="AD33" t="s">
        <v>222</v>
      </c>
      <c r="AE33" t="s">
        <v>240</v>
      </c>
      <c r="AG33" t="s">
        <v>121</v>
      </c>
      <c r="AH33" t="s">
        <v>327</v>
      </c>
      <c r="AI33" t="s">
        <v>121</v>
      </c>
      <c r="AJ33" t="s">
        <v>717</v>
      </c>
      <c r="AK33" t="s">
        <v>121</v>
      </c>
    </row>
    <row r="34" spans="1:37" x14ac:dyDescent="0.3">
      <c r="A34" s="2">
        <f ca="1">COUNTIF(INDIRECT(A68&amp;A67):INDIRECT(A69&amp;A66),INDIRECT("b"&amp;ROW()))</f>
        <v>0</v>
      </c>
      <c r="B34" s="2" t="str">
        <f>Assignees!C32</f>
        <v>6.5.x (Ghost patch)</v>
      </c>
      <c r="C34"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5</v>
      </c>
      <c r="D34" s="9" t="str">
        <f>CONCATENATE(A83," ",A84)</f>
        <v>NFS [PML]</v>
      </c>
      <c r="E34" s="8" t="str">
        <f t="shared" ref="E34:E40" si="0">D2</f>
        <v>Astra</v>
      </c>
      <c r="I34">
        <f ca="1">IF(OR(INDIRECT(A73&amp;ROW())=B93,INDIRECT(A73&amp;ROW())=B94),1,IF(AND(INDIRECT(A73&amp;ROW())=B95,INDIRECT(A96&amp;ROW())=C93),1,IF(AND(INDIRECT(A73&amp;ROW())=B95,INDIRECT(A96&amp;ROW())=C94),1,0)))</f>
        <v>0</v>
      </c>
      <c r="J34">
        <f ca="1">IF(AND(INDIRECT(A73&amp;ROW())=B95,INDIRECT(A96&amp;ROW())=C95),1,IF(AND(INDIRECT(A73&amp;ROW())=B95,INDIRECT(A96&amp;ROW())=C96),1,0))</f>
        <v>0</v>
      </c>
      <c r="K34">
        <f ca="1">DAYS360(INDIRECT(C68&amp;ROW()),TODAY())</f>
        <v>721</v>
      </c>
      <c r="L34">
        <f ca="1">DAYS360(INDIRECT(C69&amp;ROW()),TODAY())</f>
        <v>994</v>
      </c>
      <c r="M34" s="11">
        <f ca="1">HYPERLINK(CONCATENATE("https://bugzilla.houston.hp.com:1181/bugzilla/show_bug.cgi?id=",INDIRECT(C70&amp;ROW())),INDIRECT(C70&amp;ROW()))</f>
        <v>47697</v>
      </c>
      <c r="N34">
        <v>47697</v>
      </c>
      <c r="O34" t="s">
        <v>56</v>
      </c>
      <c r="P34" t="s">
        <v>704</v>
      </c>
      <c r="Q34" t="s">
        <v>16</v>
      </c>
      <c r="R34" t="s">
        <v>251</v>
      </c>
      <c r="S34" t="s">
        <v>188</v>
      </c>
      <c r="U34" s="6">
        <v>42125.44390046296</v>
      </c>
      <c r="V34" t="s">
        <v>18</v>
      </c>
      <c r="W34" t="s">
        <v>17</v>
      </c>
      <c r="X34" s="6">
        <v>41848.552175925928</v>
      </c>
      <c r="Y34" t="s">
        <v>122</v>
      </c>
      <c r="AB34" t="s">
        <v>200</v>
      </c>
      <c r="AC34" t="s">
        <v>121</v>
      </c>
      <c r="AD34" t="s">
        <v>220</v>
      </c>
      <c r="AE34" t="s">
        <v>219</v>
      </c>
      <c r="AG34" t="s">
        <v>121</v>
      </c>
      <c r="AH34" t="s">
        <v>327</v>
      </c>
      <c r="AI34" t="s">
        <v>121</v>
      </c>
      <c r="AJ34" t="s">
        <v>716</v>
      </c>
      <c r="AK34" t="s">
        <v>121</v>
      </c>
    </row>
    <row r="35" spans="1:37" x14ac:dyDescent="0.3">
      <c r="A35" s="2">
        <f ca="1">COUNTIF(INDIRECT(A68&amp;A67):INDIRECT(A69&amp;A66),INDIRECT("b"&amp;ROW()))</f>
        <v>9</v>
      </c>
      <c r="B35" s="2" t="str">
        <f>Assignees!C33</f>
        <v>Halo</v>
      </c>
      <c r="C35"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38</v>
      </c>
      <c r="D35" s="9" t="str">
        <f>CONCATENATE(A83," ",A84)</f>
        <v>NFS [PML]</v>
      </c>
      <c r="E35" s="8" t="str">
        <f t="shared" si="0"/>
        <v>Atlas</v>
      </c>
      <c r="I35">
        <f ca="1">IF(OR(INDIRECT(A73&amp;ROW())=B93,INDIRECT(A73&amp;ROW())=B94),1,IF(AND(INDIRECT(A73&amp;ROW())=B95,INDIRECT(A96&amp;ROW())=C93),1,IF(AND(INDIRECT(A73&amp;ROW())=B95,INDIRECT(A96&amp;ROW())=C94),1,0)))</f>
        <v>0</v>
      </c>
      <c r="J35">
        <f ca="1">IF(AND(INDIRECT(A73&amp;ROW())=B95,INDIRECT(A96&amp;ROW())=C95),1,IF(AND(INDIRECT(A73&amp;ROW())=B95,INDIRECT(A96&amp;ROW())=C96),1,0))</f>
        <v>0</v>
      </c>
      <c r="K35">
        <f ca="1">DAYS360(INDIRECT(C68&amp;ROW()),TODAY())</f>
        <v>721</v>
      </c>
      <c r="L35">
        <f ca="1">DAYS360(INDIRECT(C69&amp;ROW()),TODAY())</f>
        <v>992</v>
      </c>
      <c r="M35" s="11">
        <f ca="1">HYPERLINK(CONCATENATE("https://bugzilla.houston.hp.com:1181/bugzilla/show_bug.cgi?id=",INDIRECT(C70&amp;ROW())),INDIRECT(C70&amp;ROW()))</f>
        <v>47791</v>
      </c>
      <c r="N35">
        <v>47791</v>
      </c>
      <c r="O35" t="s">
        <v>19</v>
      </c>
      <c r="P35" t="s">
        <v>744</v>
      </c>
      <c r="Q35" t="s">
        <v>16</v>
      </c>
      <c r="R35" t="s">
        <v>251</v>
      </c>
      <c r="S35" t="s">
        <v>43</v>
      </c>
      <c r="U35" s="6">
        <v>42125.443761574075</v>
      </c>
      <c r="V35" t="s">
        <v>18</v>
      </c>
      <c r="W35" t="s">
        <v>17</v>
      </c>
      <c r="X35" s="6">
        <v>41850.351284722223</v>
      </c>
      <c r="Y35" t="s">
        <v>122</v>
      </c>
      <c r="AB35" t="s">
        <v>200</v>
      </c>
      <c r="AC35" t="s">
        <v>247</v>
      </c>
      <c r="AD35" t="s">
        <v>220</v>
      </c>
      <c r="AE35" t="s">
        <v>219</v>
      </c>
      <c r="AG35" t="s">
        <v>121</v>
      </c>
      <c r="AH35" t="s">
        <v>327</v>
      </c>
      <c r="AI35" t="s">
        <v>121</v>
      </c>
      <c r="AJ35" t="s">
        <v>716</v>
      </c>
      <c r="AK35" t="s">
        <v>121</v>
      </c>
    </row>
    <row r="36" spans="1:37" x14ac:dyDescent="0.3">
      <c r="A36" s="2">
        <f ca="1">COUNTIF(INDIRECT(A68&amp;A67):INDIRECT(A69&amp;A66),INDIRECT("b"&amp;ROW()))</f>
        <v>24</v>
      </c>
      <c r="B36" s="2" t="str">
        <f>Assignees!C34</f>
        <v>Atlas</v>
      </c>
      <c r="C36"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0</v>
      </c>
      <c r="D36" s="9" t="str">
        <f>CONCATENATE(A83," ",A84)</f>
        <v>NFS [PML]</v>
      </c>
      <c r="E36" s="8" t="str">
        <f t="shared" si="0"/>
        <v>Bellatrix</v>
      </c>
      <c r="I36">
        <f ca="1">IF(OR(INDIRECT(A73&amp;ROW())=B93,INDIRECT(A73&amp;ROW())=B94),1,IF(AND(INDIRECT(A73&amp;ROW())=B95,INDIRECT(A96&amp;ROW())=C93),1,IF(AND(INDIRECT(A73&amp;ROW())=B95,INDIRECT(A96&amp;ROW())=C94),1,0)))</f>
        <v>0</v>
      </c>
      <c r="J36">
        <f ca="1">IF(AND(INDIRECT(A73&amp;ROW())=B95,INDIRECT(A96&amp;ROW())=C95),1,IF(AND(INDIRECT(A73&amp;ROW())=B95,INDIRECT(A96&amp;ROW())=C96),1,0))</f>
        <v>0</v>
      </c>
      <c r="K36">
        <f ca="1">DAYS360(INDIRECT(C68&amp;ROW()),TODAY())</f>
        <v>729</v>
      </c>
      <c r="L36">
        <f ca="1">DAYS360(INDIRECT(C69&amp;ROW()),TODAY())</f>
        <v>992</v>
      </c>
      <c r="M36" s="11">
        <f ca="1">HYPERLINK(CONCATENATE("https://bugzilla.houston.hp.com:1181/bugzilla/show_bug.cgi?id=",INDIRECT(C70&amp;ROW())),INDIRECT(C70&amp;ROW()))</f>
        <v>47877</v>
      </c>
      <c r="N36">
        <v>47877</v>
      </c>
      <c r="O36" t="s">
        <v>56</v>
      </c>
      <c r="P36" t="s">
        <v>703</v>
      </c>
      <c r="Q36" t="s">
        <v>16</v>
      </c>
      <c r="R36" t="s">
        <v>251</v>
      </c>
      <c r="S36" t="s">
        <v>15</v>
      </c>
      <c r="U36" s="6">
        <v>42117.403090277781</v>
      </c>
      <c r="V36" t="s">
        <v>35</v>
      </c>
      <c r="W36" t="s">
        <v>17</v>
      </c>
      <c r="X36" s="6">
        <v>41851.903414351851</v>
      </c>
      <c r="Y36" t="s">
        <v>119</v>
      </c>
      <c r="AB36" t="s">
        <v>200</v>
      </c>
      <c r="AC36" t="s">
        <v>121</v>
      </c>
      <c r="AD36" t="s">
        <v>220</v>
      </c>
      <c r="AE36" t="s">
        <v>219</v>
      </c>
      <c r="AG36" t="s">
        <v>121</v>
      </c>
      <c r="AH36" t="s">
        <v>327</v>
      </c>
      <c r="AI36" t="s">
        <v>121</v>
      </c>
      <c r="AJ36" t="s">
        <v>716</v>
      </c>
      <c r="AK36" t="s">
        <v>121</v>
      </c>
    </row>
    <row r="37" spans="1:37" x14ac:dyDescent="0.3">
      <c r="A37" s="2">
        <f ca="1">COUNTIF(INDIRECT(A68&amp;A67):INDIRECT(A69&amp;A66),INDIRECT("b"&amp;ROW()))</f>
        <v>0</v>
      </c>
      <c r="B37" s="2">
        <f>Assignees!C36</f>
        <v>0</v>
      </c>
      <c r="C37"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36</v>
      </c>
      <c r="D37" s="9" t="str">
        <f>CONCATENATE(A83," ",A84)</f>
        <v>NFS [PML]</v>
      </c>
      <c r="E37" s="8" t="str">
        <f t="shared" si="0"/>
        <v>Master</v>
      </c>
      <c r="I37">
        <f ca="1">IF(OR(INDIRECT(A73&amp;ROW())=B93,INDIRECT(A73&amp;ROW())=B94),1,IF(AND(INDIRECT(A73&amp;ROW())=B95,INDIRECT(A96&amp;ROW())=C93),1,IF(AND(INDIRECT(A73&amp;ROW())=B95,INDIRECT(A96&amp;ROW())=C94),1,0)))</f>
        <v>0</v>
      </c>
      <c r="J37">
        <f ca="1">IF(AND(INDIRECT(A73&amp;ROW())=B95,INDIRECT(A96&amp;ROW())=C95),1,IF(AND(INDIRECT(A73&amp;ROW())=B95,INDIRECT(A96&amp;ROW())=C96),1,0))</f>
        <v>0</v>
      </c>
      <c r="K37">
        <f ca="1">DAYS360(INDIRECT(C68&amp;ROW()),TODAY())</f>
        <v>728</v>
      </c>
      <c r="L37">
        <f ca="1">DAYS360(INDIRECT(C69&amp;ROW()),TODAY())</f>
        <v>981</v>
      </c>
      <c r="M37" s="11">
        <f ca="1">HYPERLINK(CONCATENATE("https://bugzilla.houston.hp.com:1181/bugzilla/show_bug.cgi?id=",INDIRECT(C70&amp;ROW())),INDIRECT(C70&amp;ROW()))</f>
        <v>48400</v>
      </c>
      <c r="N37">
        <v>48400</v>
      </c>
      <c r="O37" t="s">
        <v>56</v>
      </c>
      <c r="P37" t="s">
        <v>702</v>
      </c>
      <c r="Q37" t="s">
        <v>16</v>
      </c>
      <c r="R37" t="s">
        <v>251</v>
      </c>
      <c r="S37" t="s">
        <v>42</v>
      </c>
      <c r="U37" s="6">
        <v>42118.560972222222</v>
      </c>
      <c r="V37" t="s">
        <v>18</v>
      </c>
      <c r="W37" t="s">
        <v>17</v>
      </c>
      <c r="X37" s="6">
        <v>41862.660682870373</v>
      </c>
      <c r="Y37" t="s">
        <v>122</v>
      </c>
      <c r="AB37" t="s">
        <v>201</v>
      </c>
      <c r="AC37" t="s">
        <v>121</v>
      </c>
      <c r="AD37" t="s">
        <v>220</v>
      </c>
      <c r="AE37" t="s">
        <v>219</v>
      </c>
      <c r="AG37" t="s">
        <v>121</v>
      </c>
      <c r="AH37" t="s">
        <v>64</v>
      </c>
      <c r="AI37" t="s">
        <v>121</v>
      </c>
      <c r="AJ37" t="s">
        <v>717</v>
      </c>
      <c r="AK37" t="s">
        <v>121</v>
      </c>
    </row>
    <row r="38" spans="1:37" x14ac:dyDescent="0.3">
      <c r="A38" s="2">
        <f ca="1">COUNTIF(INDIRECT(A68&amp;A67):INDIRECT(A69&amp;A66),INDIRECT("b"&amp;ROW()))</f>
        <v>0</v>
      </c>
      <c r="B38" s="2">
        <f>Assignees!C37</f>
        <v>0</v>
      </c>
      <c r="C38"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0</v>
      </c>
      <c r="D38" s="9" t="str">
        <f>CONCATENATE(A83," ",A84)</f>
        <v>NFS [PML]</v>
      </c>
      <c r="E38" s="8" t="str">
        <f t="shared" si="0"/>
        <v>Astra-Waiver</v>
      </c>
      <c r="I38">
        <f ca="1">IF(OR(INDIRECT(A73&amp;ROW())=B93,INDIRECT(A73&amp;ROW())=B94),1,IF(AND(INDIRECT(A73&amp;ROW())=B95,INDIRECT(A96&amp;ROW())=C93),1,IF(AND(INDIRECT(A73&amp;ROW())=B95,INDIRECT(A96&amp;ROW())=C94),1,0)))</f>
        <v>0</v>
      </c>
      <c r="J38">
        <f ca="1">IF(AND(INDIRECT(A73&amp;ROW())=B95,INDIRECT(A96&amp;ROW())=C95),1,IF(AND(INDIRECT(A73&amp;ROW())=B95,INDIRECT(A96&amp;ROW())=C96),1,0))</f>
        <v>0</v>
      </c>
      <c r="K38">
        <f ca="1">DAYS360(INDIRECT(C68&amp;ROW()),TODAY())</f>
        <v>721</v>
      </c>
      <c r="L38">
        <f ca="1">DAYS360(INDIRECT(C69&amp;ROW()),TODAY())</f>
        <v>980</v>
      </c>
      <c r="M38" s="11">
        <f ca="1">HYPERLINK(CONCATENATE("https://bugzilla.houston.hp.com:1181/bugzilla/show_bug.cgi?id=",INDIRECT(C70&amp;ROW())),INDIRECT(C70&amp;ROW()))</f>
        <v>48464</v>
      </c>
      <c r="N38">
        <v>48464</v>
      </c>
      <c r="O38" t="s">
        <v>55</v>
      </c>
      <c r="P38" t="s">
        <v>701</v>
      </c>
      <c r="Q38" t="s">
        <v>16</v>
      </c>
      <c r="R38" t="s">
        <v>251</v>
      </c>
      <c r="S38" t="s">
        <v>42</v>
      </c>
      <c r="U38" s="6">
        <v>42125.443819444445</v>
      </c>
      <c r="V38" t="s">
        <v>35</v>
      </c>
      <c r="W38" t="s">
        <v>17</v>
      </c>
      <c r="X38" s="6">
        <v>41863.624351851853</v>
      </c>
      <c r="Y38" t="s">
        <v>122</v>
      </c>
      <c r="AB38" t="s">
        <v>200</v>
      </c>
      <c r="AC38" t="s">
        <v>121</v>
      </c>
      <c r="AD38" t="s">
        <v>220</v>
      </c>
      <c r="AE38" t="s">
        <v>219</v>
      </c>
      <c r="AG38" t="s">
        <v>121</v>
      </c>
      <c r="AH38" t="s">
        <v>327</v>
      </c>
      <c r="AI38" t="s">
        <v>121</v>
      </c>
      <c r="AJ38" t="s">
        <v>716</v>
      </c>
      <c r="AK38" t="s">
        <v>121</v>
      </c>
    </row>
    <row r="39" spans="1:37" x14ac:dyDescent="0.3">
      <c r="A39" s="7">
        <f ca="1">SUM(A2:A38)</f>
        <v>463</v>
      </c>
      <c r="B39" s="7" t="s">
        <v>23</v>
      </c>
      <c r="C39"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13</v>
      </c>
      <c r="D39" s="9" t="str">
        <f>CONCATENATE(A83," ",A84)</f>
        <v>NFS [PML]</v>
      </c>
      <c r="E39" s="8" t="str">
        <f t="shared" si="0"/>
        <v>Astra-Maint</v>
      </c>
      <c r="I39">
        <f ca="1">IF(OR(INDIRECT(A73&amp;ROW())=B93,INDIRECT(A73&amp;ROW())=B94),1,IF(AND(INDIRECT(A73&amp;ROW())=B95,INDIRECT(A96&amp;ROW())=C93),1,IF(AND(INDIRECT(A73&amp;ROW())=B95,INDIRECT(A96&amp;ROW())=C94),1,0)))</f>
        <v>0</v>
      </c>
      <c r="J39">
        <f ca="1">IF(AND(INDIRECT(A73&amp;ROW())=B95,INDIRECT(A96&amp;ROW())=C95),1,IF(AND(INDIRECT(A73&amp;ROW())=B95,INDIRECT(A96&amp;ROW())=C96),1,0))</f>
        <v>1</v>
      </c>
      <c r="K39">
        <f ca="1">DAYS360(INDIRECT(C68&amp;ROW()),TODAY())</f>
        <v>683</v>
      </c>
      <c r="L39">
        <f ca="1">DAYS360(INDIRECT(C69&amp;ROW()),TODAY())</f>
        <v>979</v>
      </c>
      <c r="M39" s="11">
        <f ca="1">HYPERLINK(CONCATENATE("https://bugzilla.houston.hp.com:1181/bugzilla/show_bug.cgi?id=",INDIRECT(C70&amp;ROW())),INDIRECT(C70&amp;ROW()))</f>
        <v>48484</v>
      </c>
      <c r="N39">
        <v>48484</v>
      </c>
      <c r="O39" t="s">
        <v>49</v>
      </c>
      <c r="P39" t="s">
        <v>700</v>
      </c>
      <c r="Q39" t="s">
        <v>25</v>
      </c>
      <c r="R39" t="s">
        <v>251</v>
      </c>
      <c r="S39" t="s">
        <v>52</v>
      </c>
      <c r="U39" s="6">
        <v>42164.619247685187</v>
      </c>
      <c r="V39" t="s">
        <v>35</v>
      </c>
      <c r="W39" t="s">
        <v>17</v>
      </c>
      <c r="X39" s="6">
        <v>41864.074270833335</v>
      </c>
      <c r="Y39" t="s">
        <v>119</v>
      </c>
      <c r="AB39" t="s">
        <v>201</v>
      </c>
      <c r="AC39" t="s">
        <v>121</v>
      </c>
      <c r="AD39" t="s">
        <v>222</v>
      </c>
      <c r="AE39" t="s">
        <v>240</v>
      </c>
      <c r="AG39" t="s">
        <v>121</v>
      </c>
      <c r="AH39" t="s">
        <v>64</v>
      </c>
      <c r="AI39" t="s">
        <v>121</v>
      </c>
      <c r="AJ39" t="s">
        <v>716</v>
      </c>
      <c r="AK39" t="s">
        <v>121</v>
      </c>
    </row>
    <row r="40" spans="1:37" x14ac:dyDescent="0.3">
      <c r="A40">
        <f ca="1">COUNTIF(INDIRECT(A76&amp;A67):INDIRECT(A76&amp;A66),B40&amp;"*")</f>
        <v>145</v>
      </c>
      <c r="B40" t="s">
        <v>126</v>
      </c>
      <c r="C40"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15</v>
      </c>
      <c r="D40" s="9" t="str">
        <f>CONCATENATE(A83," ",A84)</f>
        <v>NFS [PML]</v>
      </c>
      <c r="E40" s="8" t="str">
        <f t="shared" si="0"/>
        <v>Astra-1.1.0</v>
      </c>
      <c r="I40">
        <f ca="1">IF(OR(INDIRECT(A73&amp;ROW())=B93,INDIRECT(A73&amp;ROW())=B94),1,IF(AND(INDIRECT(A73&amp;ROW())=B95,INDIRECT(A96&amp;ROW())=C93),1,IF(AND(INDIRECT(A73&amp;ROW())=B95,INDIRECT(A96&amp;ROW())=C94),1,0)))</f>
        <v>0</v>
      </c>
      <c r="J40">
        <f ca="1">IF(AND(INDIRECT(A73&amp;ROW())=B95,INDIRECT(A96&amp;ROW())=C95),1,IF(AND(INDIRECT(A73&amp;ROW())=B95,INDIRECT(A96&amp;ROW())=C96),1,0))</f>
        <v>0</v>
      </c>
      <c r="K40">
        <f ca="1">DAYS360(INDIRECT(C68&amp;ROW()),TODAY())</f>
        <v>770</v>
      </c>
      <c r="L40">
        <f ca="1">DAYS360(INDIRECT(C69&amp;ROW()),TODAY())</f>
        <v>977</v>
      </c>
      <c r="M40" s="11">
        <f ca="1">HYPERLINK(CONCATENATE("https://bugzilla.houston.hp.com:1181/bugzilla/show_bug.cgi?id=",INDIRECT(C70&amp;ROW())),INDIRECT(C70&amp;ROW()))</f>
        <v>48691</v>
      </c>
      <c r="N40">
        <v>48691</v>
      </c>
      <c r="O40" t="s">
        <v>56</v>
      </c>
      <c r="P40" t="s">
        <v>279</v>
      </c>
      <c r="Q40" t="s">
        <v>16</v>
      </c>
      <c r="R40" t="s">
        <v>251</v>
      </c>
      <c r="S40" t="s">
        <v>65</v>
      </c>
      <c r="U40" s="6">
        <v>42075.349849537037</v>
      </c>
      <c r="V40" t="s">
        <v>18</v>
      </c>
      <c r="W40" t="s">
        <v>17</v>
      </c>
      <c r="X40" s="6">
        <v>41866.418425925927</v>
      </c>
      <c r="Y40" t="s">
        <v>118</v>
      </c>
      <c r="AB40" t="s">
        <v>201</v>
      </c>
      <c r="AC40" t="s">
        <v>121</v>
      </c>
      <c r="AD40" t="s">
        <v>220</v>
      </c>
      <c r="AE40" t="s">
        <v>219</v>
      </c>
      <c r="AG40" t="s">
        <v>121</v>
      </c>
      <c r="AH40" t="s">
        <v>327</v>
      </c>
      <c r="AI40" t="s">
        <v>121</v>
      </c>
      <c r="AJ40" t="s">
        <v>717</v>
      </c>
      <c r="AK40" t="s">
        <v>121</v>
      </c>
    </row>
    <row r="41" spans="1:37" x14ac:dyDescent="0.3">
      <c r="A41">
        <f ca="1">COUNTIF(INDIRECT(A76&amp;A67):INDIRECT(A76&amp;A66),B41&amp;"*")</f>
        <v>13</v>
      </c>
      <c r="B41" t="s">
        <v>127</v>
      </c>
      <c r="C41">
        <f ca="1">SUM(C34:C40)</f>
        <v>107</v>
      </c>
      <c r="I41">
        <f ca="1">IF(OR(INDIRECT(A73&amp;ROW())=B93,INDIRECT(A73&amp;ROW())=B94),1,IF(AND(INDIRECT(A73&amp;ROW())=B95,INDIRECT(A96&amp;ROW())=C93),1,IF(AND(INDIRECT(A73&amp;ROW())=B95,INDIRECT(A96&amp;ROW())=C94),1,0)))</f>
        <v>0</v>
      </c>
      <c r="J41">
        <f ca="1">IF(AND(INDIRECT(A73&amp;ROW())=B95,INDIRECT(A96&amp;ROW())=C95),1,IF(AND(INDIRECT(A73&amp;ROW())=B95,INDIRECT(A96&amp;ROW())=C96),1,0))</f>
        <v>0</v>
      </c>
      <c r="K41">
        <f ca="1">DAYS360(INDIRECT(C68&amp;ROW()),TODAY())</f>
        <v>770</v>
      </c>
      <c r="L41">
        <f ca="1">DAYS360(INDIRECT(C69&amp;ROW()),TODAY())</f>
        <v>977</v>
      </c>
      <c r="M41" s="11">
        <f ca="1">HYPERLINK(CONCATENATE("https://bugzilla.houston.hp.com:1181/bugzilla/show_bug.cgi?id=",INDIRECT(C70&amp;ROW())),INDIRECT(C70&amp;ROW()))</f>
        <v>48692</v>
      </c>
      <c r="N41">
        <v>48692</v>
      </c>
      <c r="O41" t="s">
        <v>56</v>
      </c>
      <c r="P41" t="s">
        <v>278</v>
      </c>
      <c r="Q41" t="s">
        <v>16</v>
      </c>
      <c r="R41" t="s">
        <v>251</v>
      </c>
      <c r="S41" t="s">
        <v>65</v>
      </c>
      <c r="T41" t="s">
        <v>803</v>
      </c>
      <c r="U41" s="6">
        <v>42075.350902777776</v>
      </c>
      <c r="V41" t="s">
        <v>35</v>
      </c>
      <c r="W41" t="s">
        <v>17</v>
      </c>
      <c r="X41" s="6">
        <v>41866.420034722221</v>
      </c>
      <c r="Y41" t="s">
        <v>793</v>
      </c>
      <c r="AB41" t="s">
        <v>201</v>
      </c>
      <c r="AC41" t="s">
        <v>121</v>
      </c>
      <c r="AD41" t="s">
        <v>220</v>
      </c>
      <c r="AE41" t="s">
        <v>219</v>
      </c>
      <c r="AG41" t="s">
        <v>121</v>
      </c>
      <c r="AH41" t="s">
        <v>64</v>
      </c>
      <c r="AI41" t="s">
        <v>121</v>
      </c>
      <c r="AJ41" t="s">
        <v>717</v>
      </c>
      <c r="AK41" t="s">
        <v>121</v>
      </c>
    </row>
    <row r="42" spans="1:37" x14ac:dyDescent="0.3">
      <c r="A42" s="1">
        <f ca="1">SUM(A40:A41)</f>
        <v>158</v>
      </c>
      <c r="B42" s="1" t="s">
        <v>128</v>
      </c>
      <c r="C42" s="12">
        <f ca="1">COUNTIFS(INDIRECT(A72&amp;A67):INDIRECT(A72&amp;A66),"*"&amp;A83&amp;"*",INDIRECT(A71&amp;A67):INDIRECT(A71&amp;A66),INDIRECT("e"&amp;ROW()),INDIRECT(A70&amp;A67):INDIRECT(A70&amp;A66),A82&amp;"*")</f>
        <v>0</v>
      </c>
      <c r="D42" s="12" t="str">
        <f>CONCATENATE(A83,"  core")</f>
        <v>NFS  core</v>
      </c>
      <c r="E42" s="8" t="str">
        <f t="shared" ref="E42:E48" si="1">D2</f>
        <v>Astra</v>
      </c>
      <c r="I42">
        <f ca="1">IF(OR(INDIRECT(A73&amp;ROW())=B93,INDIRECT(A73&amp;ROW())=B94),1,IF(AND(INDIRECT(A73&amp;ROW())=B95,INDIRECT(A96&amp;ROW())=C93),1,IF(AND(INDIRECT(A73&amp;ROW())=B95,INDIRECT(A96&amp;ROW())=C94),1,0)))</f>
        <v>1</v>
      </c>
      <c r="J42">
        <f ca="1">IF(AND(INDIRECT(A73&amp;ROW())=B95,INDIRECT(A96&amp;ROW())=C95),1,IF(AND(INDIRECT(A73&amp;ROW())=B95,INDIRECT(A96&amp;ROW())=C96),1,0))</f>
        <v>0</v>
      </c>
      <c r="K42">
        <f ca="1">DAYS360(INDIRECT(C68&amp;ROW()),TODAY())</f>
        <v>691</v>
      </c>
      <c r="L42">
        <f ca="1">DAYS360(INDIRECT(C69&amp;ROW()),TODAY())</f>
        <v>977</v>
      </c>
      <c r="M42" s="11">
        <f ca="1">HYPERLINK(CONCATENATE("https://bugzilla.houston.hp.com:1181/bugzilla/show_bug.cgi?id=",INDIRECT(C70&amp;ROW())),INDIRECT(C70&amp;ROW()))</f>
        <v>48696</v>
      </c>
      <c r="N42">
        <v>48696</v>
      </c>
      <c r="O42" t="s">
        <v>94</v>
      </c>
      <c r="P42" t="s">
        <v>446</v>
      </c>
      <c r="Q42" t="s">
        <v>39</v>
      </c>
      <c r="R42" t="s">
        <v>251</v>
      </c>
      <c r="S42" t="s">
        <v>24</v>
      </c>
      <c r="T42" t="s">
        <v>782</v>
      </c>
      <c r="U42" s="6">
        <v>42156.600081018521</v>
      </c>
      <c r="V42" t="s">
        <v>35</v>
      </c>
      <c r="W42" t="s">
        <v>17</v>
      </c>
      <c r="X42" s="6">
        <v>41866.469768518517</v>
      </c>
      <c r="Y42" t="s">
        <v>119</v>
      </c>
      <c r="AB42" t="s">
        <v>201</v>
      </c>
      <c r="AC42" t="s">
        <v>121</v>
      </c>
      <c r="AD42" t="s">
        <v>227</v>
      </c>
      <c r="AE42" t="s">
        <v>231</v>
      </c>
      <c r="AG42" t="s">
        <v>121</v>
      </c>
      <c r="AH42" t="s">
        <v>64</v>
      </c>
      <c r="AI42" t="s">
        <v>121</v>
      </c>
      <c r="AJ42" t="s">
        <v>715</v>
      </c>
      <c r="AK42" t="s">
        <v>121</v>
      </c>
    </row>
    <row r="43" spans="1:37" x14ac:dyDescent="0.3">
      <c r="C43" s="12">
        <f ca="1">COUNTIFS(INDIRECT(A72&amp;A67):INDIRECT(A72&amp;A66),"*"&amp;A83&amp;"*",INDIRECT(A71&amp;A67):INDIRECT(A71&amp;A66),INDIRECT("e"&amp;ROW()),INDIRECT(A70&amp;A67):INDIRECT(A70&amp;A66),A82&amp;"*")</f>
        <v>0</v>
      </c>
      <c r="D43" s="12" t="str">
        <f>CONCATENATE(A83,"  core")</f>
        <v>NFS  core</v>
      </c>
      <c r="E43" s="8" t="str">
        <f t="shared" si="1"/>
        <v>Atlas</v>
      </c>
      <c r="I43">
        <f ca="1">IF(OR(INDIRECT(A73&amp;ROW())=B93,INDIRECT(A73&amp;ROW())=B94),1,IF(AND(INDIRECT(A73&amp;ROW())=B95,INDIRECT(A96&amp;ROW())=C93),1,IF(AND(INDIRECT(A73&amp;ROW())=B95,INDIRECT(A96&amp;ROW())=C94),1,0)))</f>
        <v>0</v>
      </c>
      <c r="J43">
        <f ca="1">IF(AND(INDIRECT(A73&amp;ROW())=B95,INDIRECT(A96&amp;ROW())=C95),1,IF(AND(INDIRECT(A73&amp;ROW())=B95,INDIRECT(A96&amp;ROW())=C96),1,0))</f>
        <v>0</v>
      </c>
      <c r="K43">
        <f ca="1">DAYS360(INDIRECT(C68&amp;ROW()),TODAY())</f>
        <v>728</v>
      </c>
      <c r="L43">
        <f ca="1">DAYS360(INDIRECT(C69&amp;ROW()),TODAY())</f>
        <v>977</v>
      </c>
      <c r="M43" s="11">
        <f ca="1">HYPERLINK(CONCATENATE("https://bugzilla.houston.hp.com:1181/bugzilla/show_bug.cgi?id=",INDIRECT(C70&amp;ROW())),INDIRECT(C70&amp;ROW()))</f>
        <v>48703</v>
      </c>
      <c r="N43">
        <v>48703</v>
      </c>
      <c r="O43" t="s">
        <v>66</v>
      </c>
      <c r="P43" t="s">
        <v>291</v>
      </c>
      <c r="Q43" t="s">
        <v>16</v>
      </c>
      <c r="R43" t="s">
        <v>251</v>
      </c>
      <c r="S43" t="s">
        <v>65</v>
      </c>
      <c r="U43" s="6">
        <v>42118.561168981483</v>
      </c>
      <c r="V43" t="s">
        <v>18</v>
      </c>
      <c r="W43" t="s">
        <v>17</v>
      </c>
      <c r="X43" s="6">
        <v>41866.624490740738</v>
      </c>
      <c r="Y43" t="s">
        <v>122</v>
      </c>
      <c r="AB43" t="s">
        <v>201</v>
      </c>
      <c r="AC43" t="s">
        <v>121</v>
      </c>
      <c r="AD43" t="s">
        <v>222</v>
      </c>
      <c r="AE43" t="s">
        <v>233</v>
      </c>
      <c r="AG43" t="s">
        <v>121</v>
      </c>
      <c r="AH43" t="s">
        <v>64</v>
      </c>
      <c r="AI43" t="s">
        <v>121</v>
      </c>
      <c r="AJ43" t="s">
        <v>717</v>
      </c>
      <c r="AK43" t="s">
        <v>121</v>
      </c>
    </row>
    <row r="44" spans="1:37" x14ac:dyDescent="0.3">
      <c r="C44" s="12">
        <f ca="1">COUNTIFS(INDIRECT(A72&amp;A67):INDIRECT(A72&amp;A66),"*"&amp;A83&amp;"*",INDIRECT(A71&amp;A67):INDIRECT(A71&amp;A66),INDIRECT("e"&amp;ROW()),INDIRECT(A70&amp;A67):INDIRECT(A70&amp;A66),A82&amp;"*")</f>
        <v>0</v>
      </c>
      <c r="D44" s="12" t="str">
        <f>CONCATENATE(A83,"  core")</f>
        <v>NFS  core</v>
      </c>
      <c r="E44" s="8" t="str">
        <f t="shared" si="1"/>
        <v>Bellatrix</v>
      </c>
      <c r="I44">
        <f ca="1">IF(OR(INDIRECT(A73&amp;ROW())=B93,INDIRECT(A73&amp;ROW())=B94),1,IF(AND(INDIRECT(A73&amp;ROW())=B95,INDIRECT(A96&amp;ROW())=C93),1,IF(AND(INDIRECT(A73&amp;ROW())=B95,INDIRECT(A96&amp;ROW())=C94),1,0)))</f>
        <v>0</v>
      </c>
      <c r="J44">
        <f ca="1">IF(AND(INDIRECT(A73&amp;ROW())=B95,INDIRECT(A96&amp;ROW())=C95),1,IF(AND(INDIRECT(A73&amp;ROW())=B95,INDIRECT(A96&amp;ROW())=C96),1,0))</f>
        <v>0</v>
      </c>
      <c r="K44">
        <f ca="1">DAYS360(INDIRECT(C68&amp;ROW()),TODAY())</f>
        <v>729</v>
      </c>
      <c r="L44">
        <f ca="1">DAYS360(INDIRECT(C69&amp;ROW()),TODAY())</f>
        <v>972</v>
      </c>
      <c r="M44" s="11">
        <f ca="1">HYPERLINK(CONCATENATE("https://bugzilla.houston.hp.com:1181/bugzilla/show_bug.cgi?id=",INDIRECT(C70&amp;ROW())),INDIRECT(C70&amp;ROW()))</f>
        <v>48872</v>
      </c>
      <c r="N44">
        <v>48872</v>
      </c>
      <c r="O44" t="s">
        <v>56</v>
      </c>
      <c r="P44" t="s">
        <v>699</v>
      </c>
      <c r="Q44" t="s">
        <v>16</v>
      </c>
      <c r="R44" t="s">
        <v>251</v>
      </c>
      <c r="S44" t="s">
        <v>239</v>
      </c>
      <c r="T44" t="s">
        <v>48</v>
      </c>
      <c r="U44" s="6">
        <v>42117.403298611112</v>
      </c>
      <c r="V44" t="s">
        <v>35</v>
      </c>
      <c r="W44" t="s">
        <v>17</v>
      </c>
      <c r="X44" s="6">
        <v>41871.14303240741</v>
      </c>
      <c r="Y44" t="s">
        <v>124</v>
      </c>
      <c r="AB44" t="s">
        <v>200</v>
      </c>
      <c r="AC44" t="s">
        <v>121</v>
      </c>
      <c r="AD44" t="s">
        <v>220</v>
      </c>
      <c r="AE44" t="s">
        <v>219</v>
      </c>
      <c r="AG44" t="s">
        <v>121</v>
      </c>
      <c r="AH44" t="s">
        <v>64</v>
      </c>
      <c r="AI44" t="s">
        <v>121</v>
      </c>
      <c r="AJ44" t="s">
        <v>716</v>
      </c>
      <c r="AK44" t="s">
        <v>121</v>
      </c>
    </row>
    <row r="45" spans="1:37" x14ac:dyDescent="0.3">
      <c r="C45" s="12">
        <f ca="1">COUNTIFS(INDIRECT(A72&amp;A67):INDIRECT(A72&amp;A66),"*"&amp;A83&amp;"*",INDIRECT(A71&amp;A67):INDIRECT(A71&amp;A66),INDIRECT("e"&amp;ROW()),INDIRECT(A70&amp;A67):INDIRECT(A70&amp;A66),A82&amp;"*")</f>
        <v>0</v>
      </c>
      <c r="D45" s="12" t="str">
        <f>CONCATENATE(A83,"  core")</f>
        <v>NFS  core</v>
      </c>
      <c r="E45" s="8" t="str">
        <f t="shared" si="1"/>
        <v>Master</v>
      </c>
      <c r="I45">
        <f ca="1">IF(OR(INDIRECT(A73&amp;ROW())=B93,INDIRECT(A73&amp;ROW())=B94),1,IF(AND(INDIRECT(A73&amp;ROW())=B95,INDIRECT(A96&amp;ROW())=C93),1,IF(AND(INDIRECT(A73&amp;ROW())=B95,INDIRECT(A96&amp;ROW())=C94),1,0)))</f>
        <v>0</v>
      </c>
      <c r="J45">
        <f ca="1">IF(AND(INDIRECT(A73&amp;ROW())=B95,INDIRECT(A96&amp;ROW())=C95),1,IF(AND(INDIRECT(A73&amp;ROW())=B95,INDIRECT(A96&amp;ROW())=C96),1,0))</f>
        <v>0</v>
      </c>
      <c r="K45">
        <f ca="1">DAYS360(INDIRECT(C68&amp;ROW()),TODAY())</f>
        <v>721</v>
      </c>
      <c r="L45">
        <f ca="1">DAYS360(INDIRECT(C69&amp;ROW()),TODAY())</f>
        <v>971</v>
      </c>
      <c r="M45" s="11">
        <f ca="1">HYPERLINK(CONCATENATE("https://bugzilla.houston.hp.com:1181/bugzilla/show_bug.cgi?id=",INDIRECT(C70&amp;ROW())),INDIRECT(C70&amp;ROW()))</f>
        <v>48965</v>
      </c>
      <c r="N45">
        <v>48965</v>
      </c>
      <c r="O45" t="s">
        <v>22</v>
      </c>
      <c r="P45" t="s">
        <v>445</v>
      </c>
      <c r="Q45" t="s">
        <v>16</v>
      </c>
      <c r="R45" t="s">
        <v>251</v>
      </c>
      <c r="S45" t="s">
        <v>22</v>
      </c>
      <c r="U45" s="6">
        <v>42125.443831018521</v>
      </c>
      <c r="V45" t="s">
        <v>18</v>
      </c>
      <c r="W45" t="s">
        <v>17</v>
      </c>
      <c r="X45" s="6">
        <v>41872.448865740742</v>
      </c>
      <c r="Y45" t="s">
        <v>122</v>
      </c>
      <c r="Z45" t="s">
        <v>255</v>
      </c>
      <c r="AB45" t="s">
        <v>201</v>
      </c>
      <c r="AC45" t="s">
        <v>121</v>
      </c>
      <c r="AD45" t="s">
        <v>220</v>
      </c>
      <c r="AE45" t="s">
        <v>219</v>
      </c>
      <c r="AG45" t="s">
        <v>121</v>
      </c>
      <c r="AH45" t="s">
        <v>64</v>
      </c>
      <c r="AI45" t="s">
        <v>121</v>
      </c>
      <c r="AJ45" t="s">
        <v>717</v>
      </c>
      <c r="AK45" t="s">
        <v>121</v>
      </c>
    </row>
    <row r="46" spans="1:37" x14ac:dyDescent="0.3">
      <c r="C46" s="12">
        <f ca="1">COUNTIFS(INDIRECT(A72&amp;A67):INDIRECT(A72&amp;A66),"*"&amp;A83&amp;"*",INDIRECT(A71&amp;A67):INDIRECT(A71&amp;A66),INDIRECT("e"&amp;ROW()),INDIRECT(A70&amp;A67):INDIRECT(A70&amp;A66),A82&amp;"*")</f>
        <v>0</v>
      </c>
      <c r="D46" s="12" t="str">
        <f>CONCATENATE(A83,"  core")</f>
        <v>NFS  core</v>
      </c>
      <c r="E46" s="8" t="str">
        <f t="shared" si="1"/>
        <v>Astra-Waiver</v>
      </c>
      <c r="I46">
        <f ca="1">IF(OR(INDIRECT(A73&amp;ROW())=B93,INDIRECT(A73&amp;ROW())=B94),1,IF(AND(INDIRECT(A73&amp;ROW())=B95,INDIRECT(A96&amp;ROW())=C93),1,IF(AND(INDIRECT(A73&amp;ROW())=B95,INDIRECT(A96&amp;ROW())=C94),1,0)))</f>
        <v>0</v>
      </c>
      <c r="J46">
        <f ca="1">IF(AND(INDIRECT(A73&amp;ROW())=B95,INDIRECT(A96&amp;ROW())=C95),1,IF(AND(INDIRECT(A73&amp;ROW())=B95,INDIRECT(A96&amp;ROW())=C96),1,0))</f>
        <v>0</v>
      </c>
      <c r="K46">
        <f ca="1">DAYS360(INDIRECT(C68&amp;ROW()),TODAY())</f>
        <v>690</v>
      </c>
      <c r="L46">
        <f ca="1">DAYS360(INDIRECT(C69&amp;ROW()),TODAY())</f>
        <v>970</v>
      </c>
      <c r="M46" s="11">
        <f ca="1">HYPERLINK(CONCATENATE("https://bugzilla.houston.hp.com:1181/bugzilla/show_bug.cgi?id=",INDIRECT(C70&amp;ROW())),INDIRECT(C70&amp;ROW()))</f>
        <v>49007</v>
      </c>
      <c r="N46">
        <v>49007</v>
      </c>
      <c r="O46" t="s">
        <v>856</v>
      </c>
      <c r="P46" t="s">
        <v>423</v>
      </c>
      <c r="Q46" t="s">
        <v>16</v>
      </c>
      <c r="R46" t="s">
        <v>251</v>
      </c>
      <c r="S46" t="s">
        <v>24</v>
      </c>
      <c r="T46" t="s">
        <v>48</v>
      </c>
      <c r="U46" s="6">
        <v>42157.285729166666</v>
      </c>
      <c r="V46" t="s">
        <v>35</v>
      </c>
      <c r="W46" t="s">
        <v>17</v>
      </c>
      <c r="X46" s="6">
        <v>41873.282511574071</v>
      </c>
      <c r="Y46" t="s">
        <v>119</v>
      </c>
      <c r="AB46" t="s">
        <v>201</v>
      </c>
      <c r="AC46" t="s">
        <v>121</v>
      </c>
      <c r="AD46" t="s">
        <v>222</v>
      </c>
      <c r="AE46" t="s">
        <v>221</v>
      </c>
      <c r="AG46" t="s">
        <v>121</v>
      </c>
      <c r="AH46" t="s">
        <v>327</v>
      </c>
      <c r="AI46" t="s">
        <v>121</v>
      </c>
      <c r="AJ46" t="s">
        <v>717</v>
      </c>
      <c r="AK46" t="s">
        <v>121</v>
      </c>
    </row>
    <row r="47" spans="1:37" x14ac:dyDescent="0.3">
      <c r="C47" s="12">
        <f ca="1">COUNTIFS(INDIRECT(A72&amp;A67):INDIRECT(A72&amp;A66),"*"&amp;A83&amp;"*",INDIRECT(A71&amp;A67):INDIRECT(A71&amp;A66),INDIRECT("e"&amp;ROW()),INDIRECT(A70&amp;A67):INDIRECT(A70&amp;A66),A82&amp;"*")</f>
        <v>0</v>
      </c>
      <c r="D47" s="12" t="str">
        <f>CONCATENATE(A83,"  core")</f>
        <v>NFS  core</v>
      </c>
      <c r="E47" s="8" t="str">
        <f t="shared" si="1"/>
        <v>Astra-Maint</v>
      </c>
      <c r="I47">
        <f ca="1">IF(OR(INDIRECT(A73&amp;ROW())=B93,INDIRECT(A73&amp;ROW())=B94),1,IF(AND(INDIRECT(A73&amp;ROW())=B95,INDIRECT(A96&amp;ROW())=C93),1,IF(AND(INDIRECT(A73&amp;ROW())=B95,INDIRECT(A96&amp;ROW())=C94),1,0)))</f>
        <v>0</v>
      </c>
      <c r="J47">
        <f ca="1">IF(AND(INDIRECT(A73&amp;ROW())=B95,INDIRECT(A96&amp;ROW())=C95),1,IF(AND(INDIRECT(A73&amp;ROW())=B95,INDIRECT(A96&amp;ROW())=C96),1,0))</f>
        <v>0</v>
      </c>
      <c r="K47">
        <f ca="1">DAYS360(INDIRECT(C68&amp;ROW()),TODAY())</f>
        <v>729</v>
      </c>
      <c r="L47">
        <f ca="1">DAYS360(INDIRECT(C69&amp;ROW()),TODAY())</f>
        <v>967</v>
      </c>
      <c r="M47" s="11">
        <f ca="1">HYPERLINK(CONCATENATE("https://bugzilla.houston.hp.com:1181/bugzilla/show_bug.cgi?id=",INDIRECT(C70&amp;ROW())),INDIRECT(C70&amp;ROW()))</f>
        <v>49096</v>
      </c>
      <c r="N47">
        <v>49096</v>
      </c>
      <c r="O47" t="s">
        <v>88</v>
      </c>
      <c r="P47" t="s">
        <v>444</v>
      </c>
      <c r="Q47" t="s">
        <v>16</v>
      </c>
      <c r="R47" t="s">
        <v>251</v>
      </c>
      <c r="S47" t="s">
        <v>174</v>
      </c>
      <c r="U47" s="6">
        <v>42117.403402777774</v>
      </c>
      <c r="V47" t="s">
        <v>40</v>
      </c>
      <c r="W47" t="s">
        <v>17</v>
      </c>
      <c r="X47" s="6">
        <v>41876.589675925927</v>
      </c>
      <c r="Y47" t="s">
        <v>119</v>
      </c>
      <c r="AB47" t="s">
        <v>199</v>
      </c>
      <c r="AC47" t="s">
        <v>121</v>
      </c>
      <c r="AD47" t="s">
        <v>220</v>
      </c>
      <c r="AE47" t="s">
        <v>290</v>
      </c>
      <c r="AG47" t="s">
        <v>121</v>
      </c>
      <c r="AH47" t="s">
        <v>64</v>
      </c>
      <c r="AI47" t="s">
        <v>121</v>
      </c>
      <c r="AJ47" t="s">
        <v>716</v>
      </c>
      <c r="AK47" t="s">
        <v>121</v>
      </c>
    </row>
    <row r="48" spans="1:37" x14ac:dyDescent="0.3">
      <c r="C48" s="12">
        <f ca="1">COUNTIFS(INDIRECT(A72&amp;A67):INDIRECT(A72&amp;A66),"*"&amp;A83&amp;"*",INDIRECT(A71&amp;A67):INDIRECT(A71&amp;A66),INDIRECT("e"&amp;ROW()),INDIRECT(A70&amp;A67):INDIRECT(A70&amp;A66),A82&amp;"*")</f>
        <v>0</v>
      </c>
      <c r="D48" s="12" t="str">
        <f>CONCATENATE(A83,"  core")</f>
        <v>NFS  core</v>
      </c>
      <c r="E48" s="8" t="str">
        <f t="shared" si="1"/>
        <v>Astra-1.1.0</v>
      </c>
      <c r="I48">
        <f ca="1">IF(OR(INDIRECT(A73&amp;ROW())=B93,INDIRECT(A73&amp;ROW())=B94),1,IF(AND(INDIRECT(A73&amp;ROW())=B95,INDIRECT(A96&amp;ROW())=C93),1,IF(AND(INDIRECT(A73&amp;ROW())=B95,INDIRECT(A96&amp;ROW())=C94),1,0)))</f>
        <v>0</v>
      </c>
      <c r="J48">
        <f ca="1">IF(AND(INDIRECT(A73&amp;ROW())=B95,INDIRECT(A96&amp;ROW())=C95),1,IF(AND(INDIRECT(A73&amp;ROW())=B95,INDIRECT(A96&amp;ROW())=C96),1,0))</f>
        <v>1</v>
      </c>
      <c r="K48">
        <f ca="1">DAYS360(INDIRECT(C68&amp;ROW()),TODAY())</f>
        <v>688</v>
      </c>
      <c r="L48">
        <f ca="1">DAYS360(INDIRECT(C69&amp;ROW()),TODAY())</f>
        <v>966</v>
      </c>
      <c r="M48" s="11">
        <f ca="1">HYPERLINK(CONCATENATE("https://bugzilla.houston.hp.com:1181/bugzilla/show_bug.cgi?id=",INDIRECT(C70&amp;ROW())),INDIRECT(C70&amp;ROW()))</f>
        <v>49164</v>
      </c>
      <c r="N48">
        <v>49164</v>
      </c>
      <c r="O48" t="s">
        <v>88</v>
      </c>
      <c r="P48" t="s">
        <v>698</v>
      </c>
      <c r="Q48" t="s">
        <v>25</v>
      </c>
      <c r="R48" t="s">
        <v>251</v>
      </c>
      <c r="S48" t="s">
        <v>253</v>
      </c>
      <c r="U48" s="6">
        <v>42159.568888888891</v>
      </c>
      <c r="V48" t="s">
        <v>18</v>
      </c>
      <c r="W48" t="s">
        <v>17</v>
      </c>
      <c r="X48" s="6">
        <v>41877.634756944448</v>
      </c>
      <c r="Y48" t="s">
        <v>120</v>
      </c>
      <c r="AB48" t="s">
        <v>201</v>
      </c>
      <c r="AC48" t="s">
        <v>121</v>
      </c>
      <c r="AD48" t="s">
        <v>222</v>
      </c>
      <c r="AE48" t="s">
        <v>240</v>
      </c>
      <c r="AG48" t="s">
        <v>121</v>
      </c>
      <c r="AH48" t="s">
        <v>64</v>
      </c>
      <c r="AI48" t="s">
        <v>121</v>
      </c>
      <c r="AJ48" t="s">
        <v>716</v>
      </c>
      <c r="AK48" t="s">
        <v>121</v>
      </c>
    </row>
    <row r="49" spans="2:37" x14ac:dyDescent="0.3">
      <c r="C49">
        <f ca="1">SUM(C42:C48)</f>
        <v>0</v>
      </c>
      <c r="I49">
        <f ca="1">IF(OR(INDIRECT(A73&amp;ROW())=B93,INDIRECT(A73&amp;ROW())=B94),1,IF(AND(INDIRECT(A73&amp;ROW())=B95,INDIRECT(A96&amp;ROW())=C93),1,IF(AND(INDIRECT(A73&amp;ROW())=B95,INDIRECT(A96&amp;ROW())=C94),1,0)))</f>
        <v>1</v>
      </c>
      <c r="J49">
        <f ca="1">IF(AND(INDIRECT(A73&amp;ROW())=B95,INDIRECT(A96&amp;ROW())=C95),1,IF(AND(INDIRECT(A73&amp;ROW())=B95,INDIRECT(A96&amp;ROW())=C96),1,0))</f>
        <v>0</v>
      </c>
      <c r="K49">
        <f ca="1">DAYS360(INDIRECT(C68&amp;ROW()),TODAY())</f>
        <v>689</v>
      </c>
      <c r="L49">
        <f ca="1">DAYS360(INDIRECT(C69&amp;ROW()),TODAY())</f>
        <v>966</v>
      </c>
      <c r="M49" s="11">
        <f ca="1">HYPERLINK(CONCATENATE("https://bugzilla.houston.hp.com:1181/bugzilla/show_bug.cgi?id=",INDIRECT(C70&amp;ROW())),INDIRECT(C70&amp;ROW()))</f>
        <v>49170</v>
      </c>
      <c r="N49">
        <v>49170</v>
      </c>
      <c r="O49" t="s">
        <v>53</v>
      </c>
      <c r="P49" t="s">
        <v>697</v>
      </c>
      <c r="Q49" t="s">
        <v>39</v>
      </c>
      <c r="R49" t="s">
        <v>251</v>
      </c>
      <c r="S49" t="s">
        <v>53</v>
      </c>
      <c r="U49" s="6">
        <v>42158.118113425924</v>
      </c>
      <c r="V49" t="s">
        <v>18</v>
      </c>
      <c r="W49" t="s">
        <v>17</v>
      </c>
      <c r="X49" s="6">
        <v>41877.706018518518</v>
      </c>
      <c r="Y49" t="s">
        <v>793</v>
      </c>
      <c r="AB49" t="s">
        <v>201</v>
      </c>
      <c r="AC49" t="s">
        <v>121</v>
      </c>
      <c r="AD49" t="s">
        <v>220</v>
      </c>
      <c r="AE49" t="s">
        <v>219</v>
      </c>
      <c r="AG49" t="s">
        <v>121</v>
      </c>
      <c r="AH49" t="s">
        <v>327</v>
      </c>
      <c r="AI49" t="s">
        <v>121</v>
      </c>
      <c r="AJ49" t="s">
        <v>715</v>
      </c>
      <c r="AK49" t="s">
        <v>121</v>
      </c>
    </row>
    <row r="50" spans="2:37" x14ac:dyDescent="0.3">
      <c r="C50" s="1">
        <f ca="1">SUM(C49,C41)</f>
        <v>107</v>
      </c>
      <c r="I50">
        <f ca="1">IF(OR(INDIRECT(A73&amp;ROW())=B93,INDIRECT(A73&amp;ROW())=B94),1,IF(AND(INDIRECT(A73&amp;ROW())=B95,INDIRECT(A96&amp;ROW())=C93),1,IF(AND(INDIRECT(A73&amp;ROW())=B95,INDIRECT(A96&amp;ROW())=C94),1,0)))</f>
        <v>0</v>
      </c>
      <c r="J50">
        <f ca="1">IF(AND(INDIRECT(A73&amp;ROW())=B95,INDIRECT(A96&amp;ROW())=C95),1,IF(AND(INDIRECT(A73&amp;ROW())=B95,INDIRECT(A96&amp;ROW())=C96),1,0))</f>
        <v>0</v>
      </c>
      <c r="K50">
        <f ca="1">DAYS360(INDIRECT(C68&amp;ROW()),TODAY())</f>
        <v>728</v>
      </c>
      <c r="L50">
        <f ca="1">DAYS360(INDIRECT(C69&amp;ROW()),TODAY())</f>
        <v>965</v>
      </c>
      <c r="M50" s="11">
        <f ca="1">HYPERLINK(CONCATENATE("https://bugzilla.houston.hp.com:1181/bugzilla/show_bug.cgi?id=",INDIRECT(C70&amp;ROW())),INDIRECT(C70&amp;ROW()))</f>
        <v>49234</v>
      </c>
      <c r="N50">
        <v>49234</v>
      </c>
      <c r="O50" t="s">
        <v>56</v>
      </c>
      <c r="P50" t="s">
        <v>696</v>
      </c>
      <c r="Q50" t="s">
        <v>16</v>
      </c>
      <c r="R50" t="s">
        <v>251</v>
      </c>
      <c r="S50" t="s">
        <v>68</v>
      </c>
      <c r="U50" s="6">
        <v>42118.559942129628</v>
      </c>
      <c r="V50" t="s">
        <v>18</v>
      </c>
      <c r="W50" t="s">
        <v>17</v>
      </c>
      <c r="X50" s="6">
        <v>41878.6874537037</v>
      </c>
      <c r="Y50" t="s">
        <v>122</v>
      </c>
      <c r="AB50" t="s">
        <v>201</v>
      </c>
      <c r="AC50" t="s">
        <v>121</v>
      </c>
      <c r="AD50" t="s">
        <v>220</v>
      </c>
      <c r="AE50" t="s">
        <v>219</v>
      </c>
      <c r="AG50" t="s">
        <v>121</v>
      </c>
      <c r="AH50" t="s">
        <v>327</v>
      </c>
      <c r="AI50" t="s">
        <v>121</v>
      </c>
      <c r="AJ50" t="s">
        <v>717</v>
      </c>
      <c r="AK50" t="s">
        <v>121</v>
      </c>
    </row>
    <row r="51" spans="2:37" x14ac:dyDescent="0.3">
      <c r="I51">
        <f ca="1">IF(OR(INDIRECT(A73&amp;ROW())=B93,INDIRECT(A73&amp;ROW())=B94),1,IF(AND(INDIRECT(A73&amp;ROW())=B95,INDIRECT(A96&amp;ROW())=C93),1,IF(AND(INDIRECT(A73&amp;ROW())=B95,INDIRECT(A96&amp;ROW())=C94),1,0)))</f>
        <v>0</v>
      </c>
      <c r="J51">
        <f ca="1">IF(AND(INDIRECT(A73&amp;ROW())=B95,INDIRECT(A96&amp;ROW())=C95),1,IF(AND(INDIRECT(A73&amp;ROW())=B95,INDIRECT(A96&amp;ROW())=C96),1,0))</f>
        <v>0</v>
      </c>
      <c r="K51">
        <f ca="1">DAYS360(INDIRECT(C68&amp;ROW()),TODAY())</f>
        <v>721</v>
      </c>
      <c r="L51">
        <f ca="1">DAYS360(INDIRECT(C69&amp;ROW()),TODAY())</f>
        <v>964</v>
      </c>
      <c r="M51" s="11">
        <f ca="1">HYPERLINK(CONCATENATE("https://bugzilla.houston.hp.com:1181/bugzilla/show_bug.cgi?id=",INDIRECT(C70&amp;ROW())),INDIRECT(C70&amp;ROW()))</f>
        <v>49291</v>
      </c>
      <c r="N51">
        <v>49291</v>
      </c>
      <c r="O51" t="s">
        <v>88</v>
      </c>
      <c r="P51" t="s">
        <v>443</v>
      </c>
      <c r="Q51" t="s">
        <v>16</v>
      </c>
      <c r="R51" t="s">
        <v>251</v>
      </c>
      <c r="S51" t="s">
        <v>294</v>
      </c>
      <c r="U51" s="6">
        <v>42125.445208333331</v>
      </c>
      <c r="V51" t="s">
        <v>18</v>
      </c>
      <c r="W51" t="s">
        <v>17</v>
      </c>
      <c r="X51" s="6">
        <v>41879.510150462964</v>
      </c>
      <c r="Y51" t="s">
        <v>122</v>
      </c>
      <c r="AB51" t="s">
        <v>200</v>
      </c>
      <c r="AC51" t="s">
        <v>121</v>
      </c>
      <c r="AD51" t="s">
        <v>222</v>
      </c>
      <c r="AE51" t="s">
        <v>221</v>
      </c>
      <c r="AG51" t="s">
        <v>121</v>
      </c>
      <c r="AH51" t="s">
        <v>64</v>
      </c>
      <c r="AI51" t="s">
        <v>121</v>
      </c>
      <c r="AJ51" t="s">
        <v>716</v>
      </c>
      <c r="AK51" t="s">
        <v>121</v>
      </c>
    </row>
    <row r="52" spans="2:37" x14ac:dyDescent="0.3">
      <c r="B52" t="s">
        <v>93</v>
      </c>
      <c r="E52" t="s">
        <v>92</v>
      </c>
      <c r="I52">
        <f ca="1">IF(OR(INDIRECT(A73&amp;ROW())=B93,INDIRECT(A73&amp;ROW())=B94),1,IF(AND(INDIRECT(A73&amp;ROW())=B95,INDIRECT(A96&amp;ROW())=C93),1,IF(AND(INDIRECT(A73&amp;ROW())=B95,INDIRECT(A96&amp;ROW())=C94),1,0)))</f>
        <v>0</v>
      </c>
      <c r="J52">
        <f ca="1">IF(AND(INDIRECT(A73&amp;ROW())=B95,INDIRECT(A96&amp;ROW())=C95),1,IF(AND(INDIRECT(A73&amp;ROW())=B95,INDIRECT(A96&amp;ROW())=C96),1,0))</f>
        <v>0</v>
      </c>
      <c r="K52">
        <f ca="1">DAYS360(INDIRECT(C68&amp;ROW()),TODAY())</f>
        <v>721</v>
      </c>
      <c r="L52">
        <f ca="1">DAYS360(INDIRECT(C69&amp;ROW()),TODAY())</f>
        <v>964</v>
      </c>
      <c r="M52" s="11">
        <f ca="1">HYPERLINK(CONCATENATE("https://bugzilla.houston.hp.com:1181/bugzilla/show_bug.cgi?id=",INDIRECT(C70&amp;ROW())),INDIRECT(C70&amp;ROW()))</f>
        <v>49317</v>
      </c>
      <c r="N52">
        <v>49317</v>
      </c>
      <c r="O52" t="s">
        <v>22</v>
      </c>
      <c r="P52" t="s">
        <v>442</v>
      </c>
      <c r="Q52" t="s">
        <v>16</v>
      </c>
      <c r="R52" t="s">
        <v>251</v>
      </c>
      <c r="S52" t="s">
        <v>65</v>
      </c>
      <c r="U52" s="6">
        <v>42125.4452662037</v>
      </c>
      <c r="V52" t="s">
        <v>18</v>
      </c>
      <c r="W52" t="s">
        <v>17</v>
      </c>
      <c r="X52" s="6">
        <v>41879.637557870374</v>
      </c>
      <c r="Y52" t="s">
        <v>122</v>
      </c>
      <c r="AB52" t="s">
        <v>200</v>
      </c>
      <c r="AC52" t="s">
        <v>121</v>
      </c>
      <c r="AD52" t="s">
        <v>220</v>
      </c>
      <c r="AE52" t="s">
        <v>223</v>
      </c>
      <c r="AG52" t="s">
        <v>121</v>
      </c>
      <c r="AH52" t="s">
        <v>64</v>
      </c>
      <c r="AI52" t="s">
        <v>121</v>
      </c>
      <c r="AJ52" t="s">
        <v>716</v>
      </c>
      <c r="AK52" t="s">
        <v>121</v>
      </c>
    </row>
    <row r="53" spans="2:37" x14ac:dyDescent="0.3">
      <c r="B53">
        <f ca="1">COUNTIFS(INDIRECT(A74&amp;A67):INDIRECT(A74&amp;A66),  "&lt;30")</f>
        <v>0</v>
      </c>
      <c r="C53" t="s">
        <v>80</v>
      </c>
      <c r="E53">
        <f ca="1">COUNTIFS(INDIRECT(A75&amp;A67):INDIRECT(A75&amp;A66),  "&lt;30")</f>
        <v>0</v>
      </c>
      <c r="I53">
        <f ca="1">IF(OR(INDIRECT(A73&amp;ROW())=B93,INDIRECT(A73&amp;ROW())=B94),1,IF(AND(INDIRECT(A73&amp;ROW())=B95,INDIRECT(A96&amp;ROW())=C93),1,IF(AND(INDIRECT(A73&amp;ROW())=B95,INDIRECT(A96&amp;ROW())=C94),1,0)))</f>
        <v>0</v>
      </c>
      <c r="J53">
        <f ca="1">IF(AND(INDIRECT(A73&amp;ROW())=B95,INDIRECT(A96&amp;ROW())=C95),1,IF(AND(INDIRECT(A73&amp;ROW())=B95,INDIRECT(A96&amp;ROW())=C96),1,0))</f>
        <v>0</v>
      </c>
      <c r="K53">
        <f ca="1">DAYS360(INDIRECT(C68&amp;ROW()),TODAY())</f>
        <v>721</v>
      </c>
      <c r="L53">
        <f ca="1">DAYS360(INDIRECT(C69&amp;ROW()),TODAY())</f>
        <v>964</v>
      </c>
      <c r="M53" s="11">
        <f ca="1">HYPERLINK(CONCATENATE("https://bugzilla.houston.hp.com:1181/bugzilla/show_bug.cgi?id=",INDIRECT(C70&amp;ROW())),INDIRECT(C70&amp;ROW()))</f>
        <v>49327</v>
      </c>
      <c r="N53">
        <v>49327</v>
      </c>
      <c r="O53" t="s">
        <v>49</v>
      </c>
      <c r="P53" t="s">
        <v>441</v>
      </c>
      <c r="Q53" t="s">
        <v>16</v>
      </c>
      <c r="R53" t="s">
        <v>251</v>
      </c>
      <c r="S53" t="s">
        <v>294</v>
      </c>
      <c r="U53" s="6">
        <v>42125.445185185185</v>
      </c>
      <c r="V53" t="s">
        <v>18</v>
      </c>
      <c r="W53" t="s">
        <v>17</v>
      </c>
      <c r="X53" s="6">
        <v>41879.789236111108</v>
      </c>
      <c r="Y53" t="s">
        <v>122</v>
      </c>
      <c r="AB53" t="s">
        <v>200</v>
      </c>
      <c r="AC53" t="s">
        <v>121</v>
      </c>
      <c r="AD53" t="s">
        <v>222</v>
      </c>
      <c r="AE53" t="s">
        <v>221</v>
      </c>
      <c r="AG53" t="s">
        <v>121</v>
      </c>
      <c r="AH53" t="s">
        <v>64</v>
      </c>
      <c r="AI53" t="s">
        <v>121</v>
      </c>
      <c r="AJ53" t="s">
        <v>716</v>
      </c>
      <c r="AK53" t="s">
        <v>121</v>
      </c>
    </row>
    <row r="54" spans="2:37" x14ac:dyDescent="0.3">
      <c r="B54">
        <f ca="1">COUNTIFS(INDIRECT(A74&amp;A67):INDIRECT(A74&amp;A66),  "&gt;=30", INDIRECT(A74&amp;A67):INDIRECT(A74&amp;A66),"&lt;60")</f>
        <v>0</v>
      </c>
      <c r="C54" t="s">
        <v>81</v>
      </c>
      <c r="E54">
        <f ca="1">COUNTIFS(INDIRECT(A75&amp;A67):INDIRECT(A75&amp;A66),  "&gt;=30", INDIRECT(A75&amp;A67):INDIRECT(A75&amp;A66),"&lt;60")</f>
        <v>0</v>
      </c>
      <c r="I54">
        <f ca="1">IF(OR(INDIRECT(A73&amp;ROW())=B93,INDIRECT(A73&amp;ROW())=B94),1,IF(AND(INDIRECT(A73&amp;ROW())=B95,INDIRECT(A96&amp;ROW())=C93),1,IF(AND(INDIRECT(A73&amp;ROW())=B95,INDIRECT(A96&amp;ROW())=C94),1,0)))</f>
        <v>0</v>
      </c>
      <c r="J54">
        <f ca="1">IF(AND(INDIRECT(A73&amp;ROW())=B95,INDIRECT(A96&amp;ROW())=C95),1,IF(AND(INDIRECT(A73&amp;ROW())=B95,INDIRECT(A96&amp;ROW())=C96),1,0))</f>
        <v>0</v>
      </c>
      <c r="K54">
        <f ca="1">DAYS360(INDIRECT(C68&amp;ROW()),TODAY())</f>
        <v>721</v>
      </c>
      <c r="L54">
        <f ca="1">DAYS360(INDIRECT(C69&amp;ROW()),TODAY())</f>
        <v>964</v>
      </c>
      <c r="M54" s="11">
        <f ca="1">HYPERLINK(CONCATENATE("https://bugzilla.houston.hp.com:1181/bugzilla/show_bug.cgi?id=",INDIRECT(C70&amp;ROW())),INDIRECT(C70&amp;ROW()))</f>
        <v>49328</v>
      </c>
      <c r="N54">
        <v>49328</v>
      </c>
      <c r="O54" t="s">
        <v>49</v>
      </c>
      <c r="P54" t="s">
        <v>440</v>
      </c>
      <c r="Q54" t="s">
        <v>16</v>
      </c>
      <c r="R54" t="s">
        <v>251</v>
      </c>
      <c r="S54" t="s">
        <v>294</v>
      </c>
      <c r="U54" s="6">
        <v>42125.445104166669</v>
      </c>
      <c r="V54" t="s">
        <v>35</v>
      </c>
      <c r="W54" t="s">
        <v>17</v>
      </c>
      <c r="X54" s="6">
        <v>41879.801539351851</v>
      </c>
      <c r="Y54" t="s">
        <v>122</v>
      </c>
      <c r="AB54" t="s">
        <v>200</v>
      </c>
      <c r="AC54" t="s">
        <v>121</v>
      </c>
      <c r="AD54" t="s">
        <v>222</v>
      </c>
      <c r="AE54" t="s">
        <v>221</v>
      </c>
      <c r="AG54" t="s">
        <v>121</v>
      </c>
      <c r="AH54" t="s">
        <v>64</v>
      </c>
      <c r="AI54" t="s">
        <v>121</v>
      </c>
      <c r="AJ54" t="s">
        <v>716</v>
      </c>
      <c r="AK54" t="s">
        <v>121</v>
      </c>
    </row>
    <row r="55" spans="2:37" x14ac:dyDescent="0.3">
      <c r="B55">
        <f ca="1">COUNTIFS(INDIRECT(A74&amp;A67):INDIRECT(A74&amp;A66),  "&gt;=60", INDIRECT(A74&amp;A67):INDIRECT(A74&amp;A66),"&lt;90")</f>
        <v>0</v>
      </c>
      <c r="C55" t="s">
        <v>82</v>
      </c>
      <c r="E55">
        <f ca="1">COUNTIFS(INDIRECT(A75&amp;A67):INDIRECT(A75&amp;A66),  "&gt;=60", INDIRECT(A75&amp;A67):INDIRECT(A75&amp;A66),"&lt;90")</f>
        <v>0</v>
      </c>
      <c r="I55">
        <f ca="1">IF(OR(INDIRECT(A73&amp;ROW())=B93,INDIRECT(A73&amp;ROW())=B94),1,IF(AND(INDIRECT(A73&amp;ROW())=B95,INDIRECT(A96&amp;ROW())=C93),1,IF(AND(INDIRECT(A73&amp;ROW())=B95,INDIRECT(A96&amp;ROW())=C94),1,0)))</f>
        <v>0</v>
      </c>
      <c r="J55">
        <f ca="1">IF(AND(INDIRECT(A73&amp;ROW())=B95,INDIRECT(A96&amp;ROW())=C95),1,IF(AND(INDIRECT(A73&amp;ROW())=B95,INDIRECT(A96&amp;ROW())=C96),1,0))</f>
        <v>0</v>
      </c>
      <c r="K55">
        <f ca="1">DAYS360(INDIRECT(C68&amp;ROW()),TODAY())</f>
        <v>721</v>
      </c>
      <c r="L55">
        <f ca="1">DAYS360(INDIRECT(C69&amp;ROW()),TODAY())</f>
        <v>964</v>
      </c>
      <c r="M55" s="11">
        <f ca="1">HYPERLINK(CONCATENATE("https://bugzilla.houston.hp.com:1181/bugzilla/show_bug.cgi?id=",INDIRECT(C70&amp;ROW())),INDIRECT(C70&amp;ROW()))</f>
        <v>49329</v>
      </c>
      <c r="N55">
        <v>49329</v>
      </c>
      <c r="O55" t="s">
        <v>49</v>
      </c>
      <c r="P55" t="s">
        <v>439</v>
      </c>
      <c r="Q55" t="s">
        <v>16</v>
      </c>
      <c r="R55" t="s">
        <v>251</v>
      </c>
      <c r="S55" t="s">
        <v>294</v>
      </c>
      <c r="U55" s="6">
        <v>42125.445243055554</v>
      </c>
      <c r="V55" t="s">
        <v>40</v>
      </c>
      <c r="W55" t="s">
        <v>17</v>
      </c>
      <c r="X55" s="6">
        <v>41879.824189814812</v>
      </c>
      <c r="Y55" t="s">
        <v>122</v>
      </c>
      <c r="AB55" t="s">
        <v>200</v>
      </c>
      <c r="AC55" t="s">
        <v>121</v>
      </c>
      <c r="AD55" t="s">
        <v>222</v>
      </c>
      <c r="AE55" t="s">
        <v>221</v>
      </c>
      <c r="AG55" t="s">
        <v>121</v>
      </c>
      <c r="AH55" t="s">
        <v>327</v>
      </c>
      <c r="AI55" t="s">
        <v>121</v>
      </c>
      <c r="AJ55" t="s">
        <v>716</v>
      </c>
      <c r="AK55" t="s">
        <v>121</v>
      </c>
    </row>
    <row r="56" spans="2:37" x14ac:dyDescent="0.3">
      <c r="B56">
        <f ca="1">COUNTIFS(INDIRECT(A74&amp;A67):INDIRECT(A74&amp;A66),  "&gt;=90", INDIRECT(A74&amp;A67):INDIRECT(A74&amp;A66),"&lt;120")</f>
        <v>0</v>
      </c>
      <c r="C56" t="s">
        <v>83</v>
      </c>
      <c r="E56">
        <f ca="1">COUNTIFS(INDIRECT(A75&amp;A67):INDIRECT(A75&amp;A66),  "&gt;=90", INDIRECT(A75&amp;A67):INDIRECT(A75&amp;A66),"&lt;120")</f>
        <v>0</v>
      </c>
      <c r="I56">
        <f ca="1">IF(OR(INDIRECT(A73&amp;ROW())=B93,INDIRECT(A73&amp;ROW())=B94),1,IF(AND(INDIRECT(A73&amp;ROW())=B95,INDIRECT(A96&amp;ROW())=C93),1,IF(AND(INDIRECT(A73&amp;ROW())=B95,INDIRECT(A96&amp;ROW())=C94),1,0)))</f>
        <v>0</v>
      </c>
      <c r="J56">
        <f ca="1">IF(AND(INDIRECT(A73&amp;ROW())=B95,INDIRECT(A96&amp;ROW())=C95),1,IF(AND(INDIRECT(A73&amp;ROW())=B95,INDIRECT(A96&amp;ROW())=C96),1,0))</f>
        <v>0</v>
      </c>
      <c r="K56">
        <f ca="1">DAYS360(INDIRECT(C68&amp;ROW()),TODAY())</f>
        <v>721</v>
      </c>
      <c r="L56">
        <f ca="1">DAYS360(INDIRECT(C69&amp;ROW()),TODAY())</f>
        <v>964</v>
      </c>
      <c r="M56" s="11">
        <f ca="1">HYPERLINK(CONCATENATE("https://bugzilla.houston.hp.com:1181/bugzilla/show_bug.cgi?id=",INDIRECT(C70&amp;ROW())),INDIRECT(C70&amp;ROW()))</f>
        <v>49330</v>
      </c>
      <c r="N56">
        <v>49330</v>
      </c>
      <c r="O56" t="s">
        <v>49</v>
      </c>
      <c r="P56" t="s">
        <v>438</v>
      </c>
      <c r="Q56" t="s">
        <v>16</v>
      </c>
      <c r="R56" t="s">
        <v>251</v>
      </c>
      <c r="S56" t="s">
        <v>294</v>
      </c>
      <c r="U56" s="6">
        <v>42125.445231481484</v>
      </c>
      <c r="V56" t="s">
        <v>18</v>
      </c>
      <c r="W56" t="s">
        <v>17</v>
      </c>
      <c r="X56" s="6">
        <v>41879.830439814818</v>
      </c>
      <c r="Y56" t="s">
        <v>122</v>
      </c>
      <c r="AB56" t="s">
        <v>200</v>
      </c>
      <c r="AC56" t="s">
        <v>121</v>
      </c>
      <c r="AD56" t="s">
        <v>222</v>
      </c>
      <c r="AE56" t="s">
        <v>221</v>
      </c>
      <c r="AG56" t="s">
        <v>121</v>
      </c>
      <c r="AH56" t="s">
        <v>327</v>
      </c>
      <c r="AI56" t="s">
        <v>121</v>
      </c>
      <c r="AJ56" t="s">
        <v>716</v>
      </c>
      <c r="AK56" t="s">
        <v>121</v>
      </c>
    </row>
    <row r="57" spans="2:37" x14ac:dyDescent="0.3">
      <c r="B57">
        <f ca="1">COUNTIFS(INDIRECT(A74&amp;A67):INDIRECT(A74&amp;A66),  "&gt;=120", INDIRECT(A74&amp;A67):INDIRECT(A74&amp;A66),"&lt;150")</f>
        <v>0</v>
      </c>
      <c r="C57" t="s">
        <v>84</v>
      </c>
      <c r="E57">
        <f ca="1">COUNTIFS(INDIRECT(A75&amp;A67):INDIRECT(A75&amp;A66),  "&gt;=120", INDIRECT(A75&amp;A67):INDIRECT(A75&amp;A66),"&lt;150")</f>
        <v>0</v>
      </c>
      <c r="I57">
        <f ca="1">IF(OR(INDIRECT(A73&amp;ROW())=B93,INDIRECT(A73&amp;ROW())=B94),1,IF(AND(INDIRECT(A73&amp;ROW())=B95,INDIRECT(A96&amp;ROW())=C93),1,IF(AND(INDIRECT(A73&amp;ROW())=B95,INDIRECT(A96&amp;ROW())=C94),1,0)))</f>
        <v>0</v>
      </c>
      <c r="J57">
        <f ca="1">IF(AND(INDIRECT(A73&amp;ROW())=B95,INDIRECT(A96&amp;ROW())=C95),1,IF(AND(INDIRECT(A73&amp;ROW())=B95,INDIRECT(A96&amp;ROW())=C96),1,0))</f>
        <v>0</v>
      </c>
      <c r="K57">
        <f ca="1">DAYS360(INDIRECT(C68&amp;ROW()),TODAY())</f>
        <v>721</v>
      </c>
      <c r="L57">
        <f ca="1">DAYS360(INDIRECT(C69&amp;ROW()),TODAY())</f>
        <v>964</v>
      </c>
      <c r="M57" s="11">
        <f ca="1">HYPERLINK(CONCATENATE("https://bugzilla.houston.hp.com:1181/bugzilla/show_bug.cgi?id=",INDIRECT(C70&amp;ROW())),INDIRECT(C70&amp;ROW()))</f>
        <v>49332</v>
      </c>
      <c r="N57">
        <v>49332</v>
      </c>
      <c r="O57" t="s">
        <v>49</v>
      </c>
      <c r="P57" t="s">
        <v>437</v>
      </c>
      <c r="Q57" t="s">
        <v>16</v>
      </c>
      <c r="R57" t="s">
        <v>251</v>
      </c>
      <c r="S57" t="s">
        <v>294</v>
      </c>
      <c r="U57" s="6">
        <v>42125.445173611108</v>
      </c>
      <c r="V57" t="s">
        <v>18</v>
      </c>
      <c r="W57" t="s">
        <v>17</v>
      </c>
      <c r="X57" s="6">
        <v>41879.843773148146</v>
      </c>
      <c r="Y57" t="s">
        <v>122</v>
      </c>
      <c r="AB57" t="s">
        <v>200</v>
      </c>
      <c r="AC57" t="s">
        <v>121</v>
      </c>
      <c r="AD57" t="s">
        <v>222</v>
      </c>
      <c r="AE57" t="s">
        <v>221</v>
      </c>
      <c r="AG57" t="s">
        <v>121</v>
      </c>
      <c r="AH57" t="s">
        <v>327</v>
      </c>
      <c r="AI57" t="s">
        <v>121</v>
      </c>
      <c r="AJ57" t="s">
        <v>716</v>
      </c>
      <c r="AK57" t="s">
        <v>121</v>
      </c>
    </row>
    <row r="58" spans="2:37" x14ac:dyDescent="0.3">
      <c r="B58">
        <f ca="1">COUNTIFS(INDIRECT(A74&amp;A67):INDIRECT(A74&amp;A66),  "&gt;=150")</f>
        <v>694</v>
      </c>
      <c r="C58" t="s">
        <v>85</v>
      </c>
      <c r="E58">
        <f ca="1">COUNTIFS(INDIRECT(A75&amp;A67):INDIRECT(A75&amp;A66),  "&gt;=150")</f>
        <v>694</v>
      </c>
      <c r="I58">
        <f ca="1">IF(OR(INDIRECT(A73&amp;ROW())=B93,INDIRECT(A73&amp;ROW())=B94),1,IF(AND(INDIRECT(A73&amp;ROW())=B95,INDIRECT(A96&amp;ROW())=C93),1,IF(AND(INDIRECT(A73&amp;ROW())=B95,INDIRECT(A96&amp;ROW())=C94),1,0)))</f>
        <v>0</v>
      </c>
      <c r="J58">
        <f ca="1">IF(AND(INDIRECT(A73&amp;ROW())=B95,INDIRECT(A96&amp;ROW())=C95),1,IF(AND(INDIRECT(A73&amp;ROW())=B95,INDIRECT(A96&amp;ROW())=C96),1,0))</f>
        <v>0</v>
      </c>
      <c r="K58">
        <f ca="1">DAYS360(INDIRECT(C68&amp;ROW()),TODAY())</f>
        <v>721</v>
      </c>
      <c r="L58">
        <f ca="1">DAYS360(INDIRECT(C69&amp;ROW()),TODAY())</f>
        <v>961</v>
      </c>
      <c r="M58" s="11">
        <f ca="1">HYPERLINK(CONCATENATE("https://bugzilla.houston.hp.com:1181/bugzilla/show_bug.cgi?id=",INDIRECT(C70&amp;ROW())),INDIRECT(C70&amp;ROW()))</f>
        <v>49412</v>
      </c>
      <c r="N58">
        <v>49412</v>
      </c>
      <c r="O58" t="s">
        <v>53</v>
      </c>
      <c r="P58" t="s">
        <v>695</v>
      </c>
      <c r="Q58" t="s">
        <v>16</v>
      </c>
      <c r="R58" t="s">
        <v>251</v>
      </c>
      <c r="S58" t="s">
        <v>43</v>
      </c>
      <c r="U58" s="6">
        <v>42125.445277777777</v>
      </c>
      <c r="V58" t="s">
        <v>18</v>
      </c>
      <c r="W58" t="s">
        <v>17</v>
      </c>
      <c r="X58" s="6">
        <v>41883.474710648145</v>
      </c>
      <c r="Y58" t="s">
        <v>122</v>
      </c>
      <c r="AB58" t="s">
        <v>200</v>
      </c>
      <c r="AC58" t="s">
        <v>121</v>
      </c>
      <c r="AD58" t="s">
        <v>220</v>
      </c>
      <c r="AE58" t="s">
        <v>219</v>
      </c>
      <c r="AG58" t="s">
        <v>121</v>
      </c>
      <c r="AH58" t="s">
        <v>327</v>
      </c>
      <c r="AI58" t="s">
        <v>121</v>
      </c>
      <c r="AJ58" t="s">
        <v>716</v>
      </c>
      <c r="AK58" t="s">
        <v>121</v>
      </c>
    </row>
    <row r="59" spans="2:37" x14ac:dyDescent="0.3">
      <c r="B59">
        <f ca="1">SUM(B53:B58)</f>
        <v>694</v>
      </c>
      <c r="E59">
        <f ca="1">SUM(E53:E58)</f>
        <v>694</v>
      </c>
      <c r="I59">
        <f ca="1">IF(OR(INDIRECT(A73&amp;ROW())=B93,INDIRECT(A73&amp;ROW())=B94),1,IF(AND(INDIRECT(A73&amp;ROW())=B95,INDIRECT(A96&amp;ROW())=C93),1,IF(AND(INDIRECT(A73&amp;ROW())=B95,INDIRECT(A96&amp;ROW())=C94),1,0)))</f>
        <v>0</v>
      </c>
      <c r="J59">
        <f ca="1">IF(AND(INDIRECT(A73&amp;ROW())=B95,INDIRECT(A96&amp;ROW())=C95),1,IF(AND(INDIRECT(A73&amp;ROW())=B95,INDIRECT(A96&amp;ROW())=C96),1,0))</f>
        <v>0</v>
      </c>
      <c r="K59">
        <f ca="1">DAYS360(INDIRECT(C68&amp;ROW()),TODAY())</f>
        <v>721</v>
      </c>
      <c r="L59">
        <f ca="1">DAYS360(INDIRECT(C69&amp;ROW()),TODAY())</f>
        <v>959</v>
      </c>
      <c r="M59" s="11">
        <f ca="1">HYPERLINK(CONCATENATE("https://bugzilla.houston.hp.com:1181/bugzilla/show_bug.cgi?id=",INDIRECT(C70&amp;ROW())),INDIRECT(C70&amp;ROW()))</f>
        <v>49537</v>
      </c>
      <c r="N59">
        <v>49537</v>
      </c>
      <c r="O59" t="s">
        <v>22</v>
      </c>
      <c r="P59" t="s">
        <v>694</v>
      </c>
      <c r="Q59" t="s">
        <v>16</v>
      </c>
      <c r="R59" t="s">
        <v>251</v>
      </c>
      <c r="S59" t="s">
        <v>21</v>
      </c>
      <c r="U59" s="6">
        <v>42125.445138888892</v>
      </c>
      <c r="V59" t="s">
        <v>18</v>
      </c>
      <c r="W59" t="s">
        <v>17</v>
      </c>
      <c r="X59" s="6">
        <v>41885.440613425926</v>
      </c>
      <c r="Y59" t="s">
        <v>122</v>
      </c>
      <c r="AB59" t="s">
        <v>200</v>
      </c>
      <c r="AC59" t="s">
        <v>121</v>
      </c>
      <c r="AD59" t="s">
        <v>227</v>
      </c>
      <c r="AE59" t="s">
        <v>226</v>
      </c>
      <c r="AG59" t="s">
        <v>121</v>
      </c>
      <c r="AH59" t="s">
        <v>64</v>
      </c>
      <c r="AI59" t="s">
        <v>121</v>
      </c>
      <c r="AJ59" t="s">
        <v>716</v>
      </c>
      <c r="AK59" t="s">
        <v>121</v>
      </c>
    </row>
    <row r="60" spans="2:37" x14ac:dyDescent="0.3">
      <c r="I60">
        <f ca="1">IF(OR(INDIRECT(A73&amp;ROW())=B93,INDIRECT(A73&amp;ROW())=B94),1,IF(AND(INDIRECT(A73&amp;ROW())=B95,INDIRECT(A96&amp;ROW())=C93),1,IF(AND(INDIRECT(A73&amp;ROW())=B95,INDIRECT(A96&amp;ROW())=C94),1,0)))</f>
        <v>0</v>
      </c>
      <c r="J60">
        <f ca="1">IF(AND(INDIRECT(A73&amp;ROW())=B95,INDIRECT(A96&amp;ROW())=C95),1,IF(AND(INDIRECT(A73&amp;ROW())=B95,INDIRECT(A96&amp;ROW())=C96),1,0))</f>
        <v>0</v>
      </c>
      <c r="K60">
        <f ca="1">DAYS360(INDIRECT(C68&amp;ROW()),TODAY())</f>
        <v>721</v>
      </c>
      <c r="L60">
        <f ca="1">DAYS360(INDIRECT(C69&amp;ROW()),TODAY())</f>
        <v>954</v>
      </c>
      <c r="M60" s="11">
        <f ca="1">HYPERLINK(CONCATENATE("https://bugzilla.houston.hp.com:1181/bugzilla/show_bug.cgi?id=",INDIRECT(C70&amp;ROW())),INDIRECT(C70&amp;ROW()))</f>
        <v>49712</v>
      </c>
      <c r="N60">
        <v>49712</v>
      </c>
      <c r="O60" t="s">
        <v>88</v>
      </c>
      <c r="P60" t="s">
        <v>693</v>
      </c>
      <c r="Q60" t="s">
        <v>16</v>
      </c>
      <c r="R60" t="s">
        <v>251</v>
      </c>
      <c r="S60" t="s">
        <v>315</v>
      </c>
      <c r="U60" s="6">
        <v>42125.446435185186</v>
      </c>
      <c r="V60" t="s">
        <v>18</v>
      </c>
      <c r="W60" t="s">
        <v>17</v>
      </c>
      <c r="X60" s="6">
        <v>41890.225023148145</v>
      </c>
      <c r="Y60" t="s">
        <v>122</v>
      </c>
      <c r="AA60" t="s">
        <v>184</v>
      </c>
      <c r="AB60" t="s">
        <v>200</v>
      </c>
      <c r="AC60" t="s">
        <v>121</v>
      </c>
      <c r="AD60" t="s">
        <v>220</v>
      </c>
      <c r="AE60" t="s">
        <v>219</v>
      </c>
      <c r="AG60" t="s">
        <v>121</v>
      </c>
      <c r="AH60" t="s">
        <v>64</v>
      </c>
      <c r="AI60" t="s">
        <v>121</v>
      </c>
      <c r="AJ60" t="s">
        <v>716</v>
      </c>
      <c r="AK60" t="s">
        <v>121</v>
      </c>
    </row>
    <row r="61" spans="2:37" x14ac:dyDescent="0.3">
      <c r="B61" s="14">
        <f ca="1">AVERAGE(INDIRECT(A74&amp;A67):INDIRECT(A74&amp;A66))</f>
        <v>714.94092219020172</v>
      </c>
      <c r="C61" t="s">
        <v>91</v>
      </c>
      <c r="E61" s="14">
        <f ca="1">AVERAGE(INDIRECT(A75&amp;A67):INDIRECT(A75&amp;A66))</f>
        <v>803.40057636887605</v>
      </c>
      <c r="I61">
        <f ca="1">IF(OR(INDIRECT(A73&amp;ROW())=B93,INDIRECT(A73&amp;ROW())=B94),1,IF(AND(INDIRECT(A73&amp;ROW())=B95,INDIRECT(A96&amp;ROW())=C93),1,IF(AND(INDIRECT(A73&amp;ROW())=B95,INDIRECT(A96&amp;ROW())=C94),1,0)))</f>
        <v>0</v>
      </c>
      <c r="J61">
        <f ca="1">IF(AND(INDIRECT(A73&amp;ROW())=B95,INDIRECT(A96&amp;ROW())=C95),1,IF(AND(INDIRECT(A73&amp;ROW())=B95,INDIRECT(A96&amp;ROW())=C96),1,0))</f>
        <v>0</v>
      </c>
      <c r="K61">
        <f ca="1">DAYS360(INDIRECT(C68&amp;ROW()),TODAY())</f>
        <v>721</v>
      </c>
      <c r="L61">
        <f ca="1">DAYS360(INDIRECT(C69&amp;ROW()),TODAY())</f>
        <v>954</v>
      </c>
      <c r="M61" s="11">
        <f ca="1">HYPERLINK(CONCATENATE("https://bugzilla.houston.hp.com:1181/bugzilla/show_bug.cgi?id=",INDIRECT(C70&amp;ROW())),INDIRECT(C70&amp;ROW()))</f>
        <v>49732</v>
      </c>
      <c r="N61">
        <v>49732</v>
      </c>
      <c r="O61" t="s">
        <v>45</v>
      </c>
      <c r="P61" t="s">
        <v>474</v>
      </c>
      <c r="Q61" t="s">
        <v>16</v>
      </c>
      <c r="R61" t="s">
        <v>251</v>
      </c>
      <c r="S61" t="s">
        <v>191</v>
      </c>
      <c r="U61" s="6">
        <v>42125.649328703701</v>
      </c>
      <c r="V61" t="s">
        <v>35</v>
      </c>
      <c r="W61" t="s">
        <v>17</v>
      </c>
      <c r="X61" s="6">
        <v>41890.332835648151</v>
      </c>
      <c r="Y61" t="s">
        <v>245</v>
      </c>
      <c r="Z61" t="s">
        <v>245</v>
      </c>
      <c r="AB61" t="s">
        <v>201</v>
      </c>
      <c r="AC61" t="s">
        <v>121</v>
      </c>
      <c r="AD61" t="s">
        <v>227</v>
      </c>
      <c r="AE61" t="s">
        <v>231</v>
      </c>
      <c r="AG61" t="s">
        <v>121</v>
      </c>
      <c r="AH61" t="s">
        <v>327</v>
      </c>
      <c r="AI61" t="s">
        <v>121</v>
      </c>
      <c r="AJ61" t="s">
        <v>717</v>
      </c>
      <c r="AK61" t="s">
        <v>121</v>
      </c>
    </row>
    <row r="62" spans="2:37" x14ac:dyDescent="0.3">
      <c r="I62">
        <f ca="1">IF(OR(INDIRECT(A73&amp;ROW())=B93,INDIRECT(A73&amp;ROW())=B94),1,IF(AND(INDIRECT(A73&amp;ROW())=B95,INDIRECT(A96&amp;ROW())=C93),1,IF(AND(INDIRECT(A73&amp;ROW())=B95,INDIRECT(A96&amp;ROW())=C94),1,0)))</f>
        <v>0</v>
      </c>
      <c r="J62">
        <f ca="1">IF(AND(INDIRECT(A73&amp;ROW())=B95,INDIRECT(A96&amp;ROW())=C95),1,IF(AND(INDIRECT(A73&amp;ROW())=B95,INDIRECT(A96&amp;ROW())=C96),1,0))</f>
        <v>1</v>
      </c>
      <c r="K62">
        <f ca="1">DAYS360(INDIRECT(C68&amp;ROW()),TODAY())</f>
        <v>730</v>
      </c>
      <c r="L62">
        <f ca="1">DAYS360(INDIRECT(C69&amp;ROW()),TODAY())</f>
        <v>954</v>
      </c>
      <c r="M62" s="11">
        <f ca="1">HYPERLINK(CONCATENATE("https://bugzilla.houston.hp.com:1181/bugzilla/show_bug.cgi?id=",INDIRECT(C70&amp;ROW())),INDIRECT(C70&amp;ROW()))</f>
        <v>49740</v>
      </c>
      <c r="N62">
        <v>49740</v>
      </c>
      <c r="O62" t="s">
        <v>56</v>
      </c>
      <c r="P62" t="s">
        <v>473</v>
      </c>
      <c r="Q62" t="s">
        <v>25</v>
      </c>
      <c r="R62" t="s">
        <v>251</v>
      </c>
      <c r="S62" t="s">
        <v>41</v>
      </c>
      <c r="U62" s="6">
        <v>42116.540243055555</v>
      </c>
      <c r="V62" t="s">
        <v>35</v>
      </c>
      <c r="W62" t="s">
        <v>17</v>
      </c>
      <c r="X62" s="6">
        <v>41890.400462962964</v>
      </c>
      <c r="Y62" t="s">
        <v>119</v>
      </c>
      <c r="AB62" t="s">
        <v>201</v>
      </c>
      <c r="AC62" t="s">
        <v>121</v>
      </c>
      <c r="AD62" t="s">
        <v>220</v>
      </c>
      <c r="AE62" t="s">
        <v>219</v>
      </c>
      <c r="AF62" s="13">
        <v>41901</v>
      </c>
      <c r="AG62" t="s">
        <v>121</v>
      </c>
      <c r="AH62" t="s">
        <v>64</v>
      </c>
      <c r="AI62" t="s">
        <v>121</v>
      </c>
      <c r="AJ62" t="s">
        <v>717</v>
      </c>
      <c r="AK62" t="s">
        <v>121</v>
      </c>
    </row>
    <row r="63" spans="2:37" x14ac:dyDescent="0.3">
      <c r="I63">
        <f ca="1">IF(OR(INDIRECT(A73&amp;ROW())=B93,INDIRECT(A73&amp;ROW())=B94),1,IF(AND(INDIRECT(A73&amp;ROW())=B95,INDIRECT(A96&amp;ROW())=C93),1,IF(AND(INDIRECT(A73&amp;ROW())=B95,INDIRECT(A96&amp;ROW())=C94),1,0)))</f>
        <v>0</v>
      </c>
      <c r="J63">
        <f ca="1">IF(AND(INDIRECT(A73&amp;ROW())=B95,INDIRECT(A96&amp;ROW())=C95),1,IF(AND(INDIRECT(A73&amp;ROW())=B95,INDIRECT(A96&amp;ROW())=C96),1,0))</f>
        <v>1</v>
      </c>
      <c r="K63">
        <f ca="1">DAYS360(INDIRECT(C68&amp;ROW()),TODAY())</f>
        <v>682</v>
      </c>
      <c r="L63">
        <f ca="1">DAYS360(INDIRECT(C69&amp;ROW()),TODAY())</f>
        <v>954</v>
      </c>
      <c r="M63" s="11">
        <f ca="1">HYPERLINK(CONCATENATE("https://bugzilla.houston.hp.com:1181/bugzilla/show_bug.cgi?id=",INDIRECT(C70&amp;ROW())),INDIRECT(C70&amp;ROW()))</f>
        <v>49746</v>
      </c>
      <c r="N63">
        <v>49746</v>
      </c>
      <c r="O63" t="s">
        <v>66</v>
      </c>
      <c r="P63" t="s">
        <v>692</v>
      </c>
      <c r="Q63" t="s">
        <v>25</v>
      </c>
      <c r="R63" t="s">
        <v>251</v>
      </c>
      <c r="S63" t="s">
        <v>41</v>
      </c>
      <c r="U63" s="6">
        <v>42165.555185185185</v>
      </c>
      <c r="V63" t="s">
        <v>35</v>
      </c>
      <c r="W63" t="s">
        <v>17</v>
      </c>
      <c r="X63" s="6">
        <v>41890.412164351852</v>
      </c>
      <c r="Y63" t="s">
        <v>119</v>
      </c>
      <c r="AB63" t="s">
        <v>201</v>
      </c>
      <c r="AC63" t="s">
        <v>121</v>
      </c>
      <c r="AD63" t="s">
        <v>220</v>
      </c>
      <c r="AE63" t="s">
        <v>219</v>
      </c>
      <c r="AF63" s="13">
        <v>41901</v>
      </c>
      <c r="AG63" t="s">
        <v>121</v>
      </c>
      <c r="AH63" t="s">
        <v>327</v>
      </c>
      <c r="AI63" t="s">
        <v>121</v>
      </c>
      <c r="AJ63" t="s">
        <v>716</v>
      </c>
      <c r="AK63" t="s">
        <v>121</v>
      </c>
    </row>
    <row r="64" spans="2:37" x14ac:dyDescent="0.3">
      <c r="B64" s="11" t="s">
        <v>175</v>
      </c>
      <c r="I64">
        <f ca="1">IF(OR(INDIRECT(A73&amp;ROW())=B93,INDIRECT(A73&amp;ROW())=B94),1,IF(AND(INDIRECT(A73&amp;ROW())=B95,INDIRECT(A96&amp;ROW())=C93),1,IF(AND(INDIRECT(A73&amp;ROW())=B95,INDIRECT(A96&amp;ROW())=C94),1,0)))</f>
        <v>0</v>
      </c>
      <c r="J64">
        <f ca="1">IF(AND(INDIRECT(A73&amp;ROW())=B95,INDIRECT(A96&amp;ROW())=C95),1,IF(AND(INDIRECT(A73&amp;ROW())=B95,INDIRECT(A96&amp;ROW())=C96),1,0))</f>
        <v>0</v>
      </c>
      <c r="K64">
        <f ca="1">DAYS360(INDIRECT(C68&amp;ROW()),TODAY())</f>
        <v>728</v>
      </c>
      <c r="L64">
        <f ca="1">DAYS360(INDIRECT(C69&amp;ROW()),TODAY())</f>
        <v>951</v>
      </c>
      <c r="M64" s="11">
        <f ca="1">HYPERLINK(CONCATENATE("https://bugzilla.houston.hp.com:1181/bugzilla/show_bug.cgi?id=",INDIRECT(C70&amp;ROW())),INDIRECT(C70&amp;ROW()))</f>
        <v>49957</v>
      </c>
      <c r="N64">
        <v>49957</v>
      </c>
      <c r="O64" t="s">
        <v>56</v>
      </c>
      <c r="P64" t="s">
        <v>436</v>
      </c>
      <c r="Q64" t="s">
        <v>16</v>
      </c>
      <c r="R64" t="s">
        <v>251</v>
      </c>
      <c r="S64" t="s">
        <v>43</v>
      </c>
      <c r="U64" s="6">
        <v>42118.560312499998</v>
      </c>
      <c r="V64" t="s">
        <v>18</v>
      </c>
      <c r="W64" t="s">
        <v>17</v>
      </c>
      <c r="X64" s="6">
        <v>41893.406828703701</v>
      </c>
      <c r="Y64" t="s">
        <v>122</v>
      </c>
      <c r="AB64" t="s">
        <v>201</v>
      </c>
      <c r="AC64" t="s">
        <v>247</v>
      </c>
      <c r="AD64" t="s">
        <v>220</v>
      </c>
      <c r="AE64" t="s">
        <v>219</v>
      </c>
      <c r="AG64" t="s">
        <v>121</v>
      </c>
      <c r="AH64" t="s">
        <v>64</v>
      </c>
      <c r="AI64" t="s">
        <v>121</v>
      </c>
      <c r="AJ64" t="s">
        <v>717</v>
      </c>
      <c r="AK64" t="s">
        <v>121</v>
      </c>
    </row>
    <row r="65" spans="1:37" x14ac:dyDescent="0.3">
      <c r="I65">
        <f ca="1">IF(OR(INDIRECT(A73&amp;ROW())=B93,INDIRECT(A73&amp;ROW())=B94),1,IF(AND(INDIRECT(A73&amp;ROW())=B95,INDIRECT(A96&amp;ROW())=C93),1,IF(AND(INDIRECT(A73&amp;ROW())=B95,INDIRECT(A96&amp;ROW())=C94),1,0)))</f>
        <v>0</v>
      </c>
      <c r="J65">
        <f ca="1">IF(AND(INDIRECT(A73&amp;ROW())=B95,INDIRECT(A96&amp;ROW())=C95),1,IF(AND(INDIRECT(A73&amp;ROW())=B95,INDIRECT(A96&amp;ROW())=C96),1,0))</f>
        <v>0</v>
      </c>
      <c r="K65">
        <f ca="1">DAYS360(INDIRECT(C68&amp;ROW()),TODAY())</f>
        <v>728</v>
      </c>
      <c r="L65">
        <f ca="1">DAYS360(INDIRECT(C69&amp;ROW()),TODAY())</f>
        <v>951</v>
      </c>
      <c r="M65" s="11">
        <f ca="1">HYPERLINK(CONCATENATE("https://bugzilla.houston.hp.com:1181/bugzilla/show_bug.cgi?id=",INDIRECT(C70&amp;ROW())),INDIRECT(C70&amp;ROW()))</f>
        <v>49964</v>
      </c>
      <c r="N65">
        <v>49964</v>
      </c>
      <c r="O65" t="s">
        <v>56</v>
      </c>
      <c r="P65" t="s">
        <v>435</v>
      </c>
      <c r="Q65" t="s">
        <v>16</v>
      </c>
      <c r="R65" t="s">
        <v>251</v>
      </c>
      <c r="S65" t="s">
        <v>43</v>
      </c>
      <c r="U65" s="6">
        <v>42118.559756944444</v>
      </c>
      <c r="V65" t="s">
        <v>18</v>
      </c>
      <c r="W65" t="s">
        <v>17</v>
      </c>
      <c r="X65" s="6">
        <v>41893.488923611112</v>
      </c>
      <c r="Y65" t="s">
        <v>122</v>
      </c>
      <c r="AB65" t="s">
        <v>201</v>
      </c>
      <c r="AC65" t="s">
        <v>247</v>
      </c>
      <c r="AD65" t="s">
        <v>220</v>
      </c>
      <c r="AE65" t="s">
        <v>219</v>
      </c>
      <c r="AG65" t="s">
        <v>121</v>
      </c>
      <c r="AH65" t="s">
        <v>327</v>
      </c>
      <c r="AI65" t="s">
        <v>121</v>
      </c>
      <c r="AJ65" t="s">
        <v>717</v>
      </c>
      <c r="AK65" t="s">
        <v>121</v>
      </c>
    </row>
    <row r="66" spans="1:37" x14ac:dyDescent="0.3">
      <c r="A66">
        <f>COUNTA(P1:P800)</f>
        <v>695</v>
      </c>
      <c r="B66" t="s">
        <v>110</v>
      </c>
      <c r="I66">
        <f ca="1">IF(OR(INDIRECT(A73&amp;ROW())=B93,INDIRECT(A73&amp;ROW())=B94),1,IF(AND(INDIRECT(A73&amp;ROW())=B95,INDIRECT(A96&amp;ROW())=C93),1,IF(AND(INDIRECT(A73&amp;ROW())=B95,INDIRECT(A96&amp;ROW())=C94),1,0)))</f>
        <v>0</v>
      </c>
      <c r="J66">
        <f ca="1">IF(AND(INDIRECT(A73&amp;ROW())=B95,INDIRECT(A96&amp;ROW())=C95),1,IF(AND(INDIRECT(A73&amp;ROW())=B95,INDIRECT(A96&amp;ROW())=C96),1,0))</f>
        <v>0</v>
      </c>
      <c r="K66">
        <f ca="1">DAYS360(INDIRECT(C68&amp;ROW()),TODAY())</f>
        <v>721</v>
      </c>
      <c r="L66">
        <f ca="1">DAYS360(INDIRECT(C69&amp;ROW()),TODAY())</f>
        <v>950</v>
      </c>
      <c r="M66" s="11">
        <f ca="1">HYPERLINK(CONCATENATE("https://bugzilla.houston.hp.com:1181/bugzilla/show_bug.cgi?id=",INDIRECT(C70&amp;ROW())),INDIRECT(C70&amp;ROW()))</f>
        <v>50012</v>
      </c>
      <c r="N66">
        <v>50012</v>
      </c>
      <c r="O66" t="s">
        <v>42</v>
      </c>
      <c r="P66" t="s">
        <v>691</v>
      </c>
      <c r="Q66" t="s">
        <v>16</v>
      </c>
      <c r="R66" t="s">
        <v>251</v>
      </c>
      <c r="S66" t="s">
        <v>68</v>
      </c>
      <c r="U66" s="6">
        <v>42125.446493055555</v>
      </c>
      <c r="V66" t="s">
        <v>35</v>
      </c>
      <c r="W66" t="s">
        <v>17</v>
      </c>
      <c r="X66" s="6">
        <v>41894.224282407406</v>
      </c>
      <c r="Y66" t="s">
        <v>122</v>
      </c>
      <c r="AB66" t="s">
        <v>200</v>
      </c>
      <c r="AC66" t="s">
        <v>247</v>
      </c>
      <c r="AD66" t="s">
        <v>220</v>
      </c>
      <c r="AE66" t="s">
        <v>219</v>
      </c>
      <c r="AF66" s="13">
        <v>41904</v>
      </c>
      <c r="AG66" t="s">
        <v>121</v>
      </c>
      <c r="AH66" t="s">
        <v>64</v>
      </c>
      <c r="AI66" t="s">
        <v>121</v>
      </c>
      <c r="AJ66" t="s">
        <v>716</v>
      </c>
      <c r="AK66" t="s">
        <v>121</v>
      </c>
    </row>
    <row r="67" spans="1:37" x14ac:dyDescent="0.3">
      <c r="A67">
        <v>2</v>
      </c>
      <c r="B67" t="s">
        <v>111</v>
      </c>
      <c r="I67">
        <f ca="1">IF(OR(INDIRECT(A73&amp;ROW())=B93,INDIRECT(A73&amp;ROW())=B94),1,IF(AND(INDIRECT(A73&amp;ROW())=B95,INDIRECT(A96&amp;ROW())=C93),1,IF(AND(INDIRECT(A73&amp;ROW())=B95,INDIRECT(A96&amp;ROW())=C94),1,0)))</f>
        <v>0</v>
      </c>
      <c r="J67">
        <f ca="1">IF(AND(INDIRECT(A73&amp;ROW())=B95,INDIRECT(A96&amp;ROW())=C95),1,IF(AND(INDIRECT(A73&amp;ROW())=B95,INDIRECT(A96&amp;ROW())=C96),1,0))</f>
        <v>0</v>
      </c>
      <c r="K67">
        <f ca="1">DAYS360(INDIRECT(C68&amp;ROW()),TODAY())</f>
        <v>710</v>
      </c>
      <c r="L67">
        <f ca="1">DAYS360(INDIRECT(C69&amp;ROW()),TODAY())</f>
        <v>947</v>
      </c>
      <c r="M67" s="11">
        <f ca="1">HYPERLINK(CONCATENATE("https://bugzilla.houston.hp.com:1181/bugzilla/show_bug.cgi?id=",INDIRECT(C70&amp;ROW())),INDIRECT(C70&amp;ROW()))</f>
        <v>50105</v>
      </c>
      <c r="N67">
        <v>50105</v>
      </c>
      <c r="O67" t="s">
        <v>66</v>
      </c>
      <c r="P67" t="s">
        <v>1052</v>
      </c>
      <c r="Q67" t="s">
        <v>16</v>
      </c>
      <c r="R67" t="s">
        <v>251</v>
      </c>
      <c r="S67" t="s">
        <v>66</v>
      </c>
      <c r="U67" s="6">
        <v>42136.646921296298</v>
      </c>
      <c r="V67" t="s">
        <v>18</v>
      </c>
      <c r="W67" t="s">
        <v>17</v>
      </c>
      <c r="X67" s="6">
        <v>41897.447847222225</v>
      </c>
      <c r="Y67" t="s">
        <v>122</v>
      </c>
      <c r="AB67" t="s">
        <v>201</v>
      </c>
      <c r="AC67" t="s">
        <v>247</v>
      </c>
      <c r="AD67" t="s">
        <v>220</v>
      </c>
      <c r="AE67" t="s">
        <v>290</v>
      </c>
      <c r="AG67" t="s">
        <v>121</v>
      </c>
      <c r="AH67" t="s">
        <v>1029</v>
      </c>
      <c r="AI67" t="s">
        <v>121</v>
      </c>
      <c r="AJ67" t="s">
        <v>717</v>
      </c>
      <c r="AK67" t="s">
        <v>121</v>
      </c>
    </row>
    <row r="68" spans="1:37" x14ac:dyDescent="0.3">
      <c r="A68" t="s">
        <v>112</v>
      </c>
      <c r="B68" t="s">
        <v>103</v>
      </c>
      <c r="C68" t="s">
        <v>97</v>
      </c>
      <c r="D68" t="s">
        <v>276</v>
      </c>
      <c r="I68">
        <f ca="1">IF(OR(INDIRECT(A73&amp;ROW())=B93,INDIRECT(A73&amp;ROW())=B94),1,IF(AND(INDIRECT(A73&amp;ROW())=B95,INDIRECT(A96&amp;ROW())=C93),1,IF(AND(INDIRECT(A73&amp;ROW())=B95,INDIRECT(A96&amp;ROW())=C94),1,0)))</f>
        <v>0</v>
      </c>
      <c r="J68">
        <f ca="1">IF(AND(INDIRECT(A73&amp;ROW())=B95,INDIRECT(A96&amp;ROW())=C95),1,IF(AND(INDIRECT(A73&amp;ROW())=B95,INDIRECT(A96&amp;ROW())=C96),1,0))</f>
        <v>0</v>
      </c>
      <c r="K68">
        <f ca="1">DAYS360(INDIRECT(C68&amp;ROW()),TODAY())</f>
        <v>688</v>
      </c>
      <c r="L68">
        <f ca="1">DAYS360(INDIRECT(C69&amp;ROW()),TODAY())</f>
        <v>946</v>
      </c>
      <c r="M68" s="11">
        <f ca="1">HYPERLINK(CONCATENATE("https://bugzilla.houston.hp.com:1181/bugzilla/show_bug.cgi?id=",INDIRECT(C70&amp;ROW())),INDIRECT(C70&amp;ROW()))</f>
        <v>50187</v>
      </c>
      <c r="N68">
        <v>50187</v>
      </c>
      <c r="O68" t="s">
        <v>56</v>
      </c>
      <c r="P68" t="s">
        <v>690</v>
      </c>
      <c r="Q68" t="s">
        <v>16</v>
      </c>
      <c r="R68" t="s">
        <v>251</v>
      </c>
      <c r="S68" t="s">
        <v>53</v>
      </c>
      <c r="U68" s="6">
        <v>42159.577060185184</v>
      </c>
      <c r="V68" t="s">
        <v>18</v>
      </c>
      <c r="W68" t="s">
        <v>17</v>
      </c>
      <c r="X68" s="6">
        <v>41898.725266203706</v>
      </c>
      <c r="Y68" t="s">
        <v>793</v>
      </c>
      <c r="AB68" t="s">
        <v>201</v>
      </c>
      <c r="AC68" t="s">
        <v>247</v>
      </c>
      <c r="AD68" t="s">
        <v>220</v>
      </c>
      <c r="AE68" t="s">
        <v>219</v>
      </c>
      <c r="AG68" t="s">
        <v>121</v>
      </c>
      <c r="AH68" t="s">
        <v>64</v>
      </c>
      <c r="AI68" t="s">
        <v>121</v>
      </c>
      <c r="AJ68" t="s">
        <v>717</v>
      </c>
      <c r="AK68" t="s">
        <v>121</v>
      </c>
    </row>
    <row r="69" spans="1:37" x14ac:dyDescent="0.3">
      <c r="A69" t="s">
        <v>264</v>
      </c>
      <c r="B69" t="s">
        <v>104</v>
      </c>
      <c r="C69" t="s">
        <v>113</v>
      </c>
      <c r="D69" t="s">
        <v>277</v>
      </c>
      <c r="I69">
        <f ca="1">IF(OR(INDIRECT(A73&amp;ROW())=B93,INDIRECT(A73&amp;ROW())=B94),1,IF(AND(INDIRECT(A73&amp;ROW())=B95,INDIRECT(A96&amp;ROW())=C93),1,IF(AND(INDIRECT(A73&amp;ROW())=B95,INDIRECT(A96&amp;ROW())=C94),1,0)))</f>
        <v>0</v>
      </c>
      <c r="J69">
        <f ca="1">IF(AND(INDIRECT(A73&amp;ROW())=B95,INDIRECT(A96&amp;ROW())=C95),1,IF(AND(INDIRECT(A73&amp;ROW())=B95,INDIRECT(A96&amp;ROW())=C96),1,0))</f>
        <v>0</v>
      </c>
      <c r="K69">
        <f ca="1">DAYS360(INDIRECT(C68&amp;ROW()),TODAY())</f>
        <v>728</v>
      </c>
      <c r="L69">
        <f ca="1">DAYS360(INDIRECT(C69&amp;ROW()),TODAY())</f>
        <v>945</v>
      </c>
      <c r="M69" s="11">
        <f ca="1">HYPERLINK(CONCATENATE("https://bugzilla.houston.hp.com:1181/bugzilla/show_bug.cgi?id=",INDIRECT(C70&amp;ROW())),INDIRECT(C70&amp;ROW()))</f>
        <v>50237</v>
      </c>
      <c r="N69">
        <v>50237</v>
      </c>
      <c r="O69" t="s">
        <v>55</v>
      </c>
      <c r="P69" t="s">
        <v>689</v>
      </c>
      <c r="Q69" t="s">
        <v>16</v>
      </c>
      <c r="R69" t="s">
        <v>251</v>
      </c>
      <c r="S69" t="s">
        <v>55</v>
      </c>
      <c r="U69" s="6">
        <v>42118.560115740744</v>
      </c>
      <c r="V69" t="s">
        <v>18</v>
      </c>
      <c r="W69" t="s">
        <v>17</v>
      </c>
      <c r="X69" s="6">
        <v>41899.478541666664</v>
      </c>
      <c r="Y69" t="s">
        <v>122</v>
      </c>
      <c r="AB69" t="s">
        <v>201</v>
      </c>
      <c r="AC69" t="s">
        <v>247</v>
      </c>
      <c r="AD69" t="s">
        <v>220</v>
      </c>
      <c r="AE69" t="s">
        <v>219</v>
      </c>
      <c r="AG69" t="s">
        <v>121</v>
      </c>
      <c r="AH69" t="s">
        <v>64</v>
      </c>
      <c r="AI69" t="s">
        <v>121</v>
      </c>
      <c r="AJ69" t="s">
        <v>717</v>
      </c>
      <c r="AK69" t="s">
        <v>121</v>
      </c>
    </row>
    <row r="70" spans="1:37" x14ac:dyDescent="0.3">
      <c r="A70" t="s">
        <v>102</v>
      </c>
      <c r="B70" t="s">
        <v>78</v>
      </c>
      <c r="C70" t="s">
        <v>101</v>
      </c>
      <c r="D70" t="s">
        <v>356</v>
      </c>
      <c r="I70">
        <f ca="1">IF(OR(INDIRECT(A73&amp;ROW())=B93,INDIRECT(A73&amp;ROW())=B94),1,IF(AND(INDIRECT(A73&amp;ROW())=B95,INDIRECT(A96&amp;ROW())=C93),1,IF(AND(INDIRECT(A73&amp;ROW())=B95,INDIRECT(A96&amp;ROW())=C94),1,0)))</f>
        <v>0</v>
      </c>
      <c r="J70">
        <f ca="1">IF(AND(INDIRECT(A73&amp;ROW())=B95,INDIRECT(A96&amp;ROW())=C95),1,IF(AND(INDIRECT(A73&amp;ROW())=B95,INDIRECT(A96&amp;ROW())=C96),1,0))</f>
        <v>1</v>
      </c>
      <c r="K70">
        <f ca="1">DAYS360(INDIRECT(C68&amp;ROW()),TODAY())</f>
        <v>714</v>
      </c>
      <c r="L70">
        <f ca="1">DAYS360(INDIRECT(C69&amp;ROW()),TODAY())</f>
        <v>945</v>
      </c>
      <c r="M70" s="11">
        <f ca="1">HYPERLINK(CONCATENATE("https://bugzilla.houston.hp.com:1181/bugzilla/show_bug.cgi?id=",INDIRECT(C70&amp;ROW())),INDIRECT(C70&amp;ROW()))</f>
        <v>50242</v>
      </c>
      <c r="N70">
        <v>50242</v>
      </c>
      <c r="O70" t="s">
        <v>204</v>
      </c>
      <c r="P70" t="s">
        <v>472</v>
      </c>
      <c r="Q70" t="s">
        <v>25</v>
      </c>
      <c r="R70" t="s">
        <v>251</v>
      </c>
      <c r="S70" t="s">
        <v>31</v>
      </c>
      <c r="T70" t="s">
        <v>979</v>
      </c>
      <c r="U70" s="6">
        <v>42132.550069444442</v>
      </c>
      <c r="V70" t="s">
        <v>40</v>
      </c>
      <c r="W70" t="s">
        <v>17</v>
      </c>
      <c r="X70" s="6">
        <v>41899.569421296299</v>
      </c>
      <c r="Y70" t="s">
        <v>119</v>
      </c>
      <c r="AB70" t="s">
        <v>201</v>
      </c>
      <c r="AC70" t="s">
        <v>247</v>
      </c>
      <c r="AD70" t="s">
        <v>222</v>
      </c>
      <c r="AE70" t="s">
        <v>221</v>
      </c>
      <c r="AG70" t="s">
        <v>121</v>
      </c>
      <c r="AH70" t="s">
        <v>64</v>
      </c>
      <c r="AI70" t="s">
        <v>121</v>
      </c>
      <c r="AJ70" t="s">
        <v>716</v>
      </c>
      <c r="AK70" t="s">
        <v>121</v>
      </c>
    </row>
    <row r="71" spans="1:37" x14ac:dyDescent="0.3">
      <c r="A71" t="s">
        <v>348</v>
      </c>
      <c r="B71" t="s">
        <v>105</v>
      </c>
      <c r="I71">
        <f ca="1">IF(OR(INDIRECT(A73&amp;ROW())=B93,INDIRECT(A73&amp;ROW())=B94),1,IF(AND(INDIRECT(A73&amp;ROW())=B95,INDIRECT(A96&amp;ROW())=C93),1,IF(AND(INDIRECT(A73&amp;ROW())=B95,INDIRECT(A96&amp;ROW())=C94),1,0)))</f>
        <v>0</v>
      </c>
      <c r="J71">
        <f ca="1">IF(AND(INDIRECT(A73&amp;ROW())=B95,INDIRECT(A96&amp;ROW())=C95),1,IF(AND(INDIRECT(A73&amp;ROW())=B95,INDIRECT(A96&amp;ROW())=C96),1,0))</f>
        <v>0</v>
      </c>
      <c r="K71">
        <f ca="1">DAYS360(INDIRECT(C68&amp;ROW()),TODAY())</f>
        <v>728</v>
      </c>
      <c r="L71">
        <f ca="1">DAYS360(INDIRECT(C69&amp;ROW()),TODAY())</f>
        <v>940</v>
      </c>
      <c r="M71" s="11">
        <f ca="1">HYPERLINK(CONCATENATE("https://bugzilla.houston.hp.com:1181/bugzilla/show_bug.cgi?id=",INDIRECT(C70&amp;ROW())),INDIRECT(C70&amp;ROW()))</f>
        <v>50432</v>
      </c>
      <c r="N71">
        <v>50432</v>
      </c>
      <c r="O71" t="s">
        <v>56</v>
      </c>
      <c r="P71" t="s">
        <v>688</v>
      </c>
      <c r="Q71" t="s">
        <v>16</v>
      </c>
      <c r="R71" t="s">
        <v>251</v>
      </c>
      <c r="S71" t="s">
        <v>330</v>
      </c>
      <c r="U71" s="6">
        <v>42118.521851851852</v>
      </c>
      <c r="V71" t="s">
        <v>18</v>
      </c>
      <c r="W71" t="s">
        <v>17</v>
      </c>
      <c r="X71" s="6">
        <v>41904.840578703705</v>
      </c>
      <c r="Y71" t="s">
        <v>787</v>
      </c>
      <c r="AB71" t="s">
        <v>201</v>
      </c>
      <c r="AC71" t="s">
        <v>247</v>
      </c>
      <c r="AD71" t="s">
        <v>220</v>
      </c>
      <c r="AE71" t="s">
        <v>219</v>
      </c>
      <c r="AG71" t="s">
        <v>121</v>
      </c>
      <c r="AH71" t="s">
        <v>327</v>
      </c>
      <c r="AI71" t="s">
        <v>121</v>
      </c>
      <c r="AJ71" t="s">
        <v>717</v>
      </c>
      <c r="AK71" t="s">
        <v>121</v>
      </c>
    </row>
    <row r="72" spans="1:37" x14ac:dyDescent="0.3">
      <c r="A72" t="s">
        <v>100</v>
      </c>
      <c r="B72" t="s">
        <v>106</v>
      </c>
      <c r="I72">
        <f ca="1">IF(OR(INDIRECT(A73&amp;ROW())=B93,INDIRECT(A73&amp;ROW())=B94),1,IF(AND(INDIRECT(A73&amp;ROW())=B95,INDIRECT(A96&amp;ROW())=C93),1,IF(AND(INDIRECT(A73&amp;ROW())=B95,INDIRECT(A96&amp;ROW())=C94),1,0)))</f>
        <v>1</v>
      </c>
      <c r="J72">
        <f ca="1">IF(AND(INDIRECT(A73&amp;ROW())=B95,INDIRECT(A96&amp;ROW())=C95),1,IF(AND(INDIRECT(A73&amp;ROW())=B95,INDIRECT(A96&amp;ROW())=C96),1,0))</f>
        <v>0</v>
      </c>
      <c r="K72">
        <f ca="1">DAYS360(INDIRECT(C68&amp;ROW()),TODAY())</f>
        <v>694</v>
      </c>
      <c r="L72">
        <f ca="1">DAYS360(INDIRECT(C69&amp;ROW()),TODAY())</f>
        <v>939</v>
      </c>
      <c r="M72" s="11">
        <f ca="1">HYPERLINK(CONCATENATE("https://bugzilla.houston.hp.com:1181/bugzilla/show_bug.cgi?id=",INDIRECT(C70&amp;ROW())),INDIRECT(C70&amp;ROW()))</f>
        <v>50470</v>
      </c>
      <c r="N72">
        <v>50470</v>
      </c>
      <c r="O72" t="s">
        <v>53</v>
      </c>
      <c r="P72" t="s">
        <v>687</v>
      </c>
      <c r="Q72" t="s">
        <v>39</v>
      </c>
      <c r="R72" t="s">
        <v>251</v>
      </c>
      <c r="S72" t="s">
        <v>47</v>
      </c>
      <c r="U72" s="6">
        <v>42152.316331018519</v>
      </c>
      <c r="V72" t="s">
        <v>18</v>
      </c>
      <c r="W72" t="s">
        <v>17</v>
      </c>
      <c r="X72" s="6">
        <v>41905.402071759258</v>
      </c>
      <c r="Y72" t="s">
        <v>119</v>
      </c>
      <c r="AB72" t="s">
        <v>201</v>
      </c>
      <c r="AC72" t="s">
        <v>247</v>
      </c>
      <c r="AD72" t="s">
        <v>220</v>
      </c>
      <c r="AE72" t="s">
        <v>219</v>
      </c>
      <c r="AG72" t="s">
        <v>121</v>
      </c>
      <c r="AH72" t="s">
        <v>64</v>
      </c>
      <c r="AI72" t="s">
        <v>121</v>
      </c>
      <c r="AJ72" t="s">
        <v>715</v>
      </c>
      <c r="AK72" t="s">
        <v>121</v>
      </c>
    </row>
    <row r="73" spans="1:37" x14ac:dyDescent="0.3">
      <c r="A73" t="s">
        <v>273</v>
      </c>
      <c r="B73" t="s">
        <v>107</v>
      </c>
      <c r="I73">
        <f ca="1">IF(OR(INDIRECT(A73&amp;ROW())=B93,INDIRECT(A73&amp;ROW())=B94),1,IF(AND(INDIRECT(A73&amp;ROW())=B95,INDIRECT(A96&amp;ROW())=C93),1,IF(AND(INDIRECT(A73&amp;ROW())=B95,INDIRECT(A96&amp;ROW())=C94),1,0)))</f>
        <v>0</v>
      </c>
      <c r="J73">
        <f ca="1">IF(AND(INDIRECT(A73&amp;ROW())=B95,INDIRECT(A96&amp;ROW())=C95),1,IF(AND(INDIRECT(A73&amp;ROW())=B95,INDIRECT(A96&amp;ROW())=C96),1,0))</f>
        <v>0</v>
      </c>
      <c r="K73">
        <f ca="1">DAYS360(INDIRECT(C68&amp;ROW()),TODAY())</f>
        <v>724</v>
      </c>
      <c r="L73">
        <f ca="1">DAYS360(INDIRECT(C69&amp;ROW()),TODAY())</f>
        <v>939</v>
      </c>
      <c r="M73" s="11">
        <f ca="1">HYPERLINK(CONCATENATE("https://bugzilla.houston.hp.com:1181/bugzilla/show_bug.cgi?id=",INDIRECT(C70&amp;ROW())),INDIRECT(C70&amp;ROW()))</f>
        <v>50489</v>
      </c>
      <c r="N73">
        <v>50489</v>
      </c>
      <c r="O73" t="s">
        <v>334</v>
      </c>
      <c r="P73" t="s">
        <v>434</v>
      </c>
      <c r="Q73" t="s">
        <v>16</v>
      </c>
      <c r="R73" t="s">
        <v>251</v>
      </c>
      <c r="S73" t="s">
        <v>182</v>
      </c>
      <c r="U73" s="6">
        <v>42122.400648148148</v>
      </c>
      <c r="V73" t="s">
        <v>35</v>
      </c>
      <c r="W73" t="s">
        <v>17</v>
      </c>
      <c r="X73" s="6">
        <v>41905.60564814815</v>
      </c>
      <c r="Y73" t="s">
        <v>245</v>
      </c>
      <c r="AB73" t="s">
        <v>200</v>
      </c>
      <c r="AC73" t="s">
        <v>247</v>
      </c>
      <c r="AD73" t="s">
        <v>227</v>
      </c>
      <c r="AE73" t="s">
        <v>230</v>
      </c>
      <c r="AG73" t="s">
        <v>121</v>
      </c>
      <c r="AH73" t="s">
        <v>327</v>
      </c>
      <c r="AI73" t="s">
        <v>121</v>
      </c>
      <c r="AJ73" t="s">
        <v>716</v>
      </c>
      <c r="AK73" t="s">
        <v>121</v>
      </c>
    </row>
    <row r="74" spans="1:37" x14ac:dyDescent="0.3">
      <c r="A74" t="s">
        <v>271</v>
      </c>
      <c r="B74" t="s">
        <v>108</v>
      </c>
      <c r="I74">
        <f ca="1">IF(OR(INDIRECT(A73&amp;ROW())=B93,INDIRECT(A73&amp;ROW())=B94),1,IF(AND(INDIRECT(A73&amp;ROW())=B95,INDIRECT(A96&amp;ROW())=C93),1,IF(AND(INDIRECT(A73&amp;ROW())=B95,INDIRECT(A96&amp;ROW())=C94),1,0)))</f>
        <v>1</v>
      </c>
      <c r="J74">
        <f ca="1">IF(AND(INDIRECT(A73&amp;ROW())=B95,INDIRECT(A96&amp;ROW())=C95),1,IF(AND(INDIRECT(A73&amp;ROW())=B95,INDIRECT(A96&amp;ROW())=C96),1,0))</f>
        <v>0</v>
      </c>
      <c r="K74">
        <f ca="1">DAYS360(INDIRECT(C68&amp;ROW()),TODAY())</f>
        <v>730</v>
      </c>
      <c r="L74">
        <f ca="1">DAYS360(INDIRECT(C69&amp;ROW()),TODAY())</f>
        <v>939</v>
      </c>
      <c r="M74" s="11">
        <f ca="1">HYPERLINK(CONCATENATE("https://bugzilla.houston.hp.com:1181/bugzilla/show_bug.cgi?id=",INDIRECT(C70&amp;ROW())),INDIRECT(C70&amp;ROW()))</f>
        <v>50493</v>
      </c>
      <c r="N74">
        <v>50493</v>
      </c>
      <c r="O74" t="s">
        <v>45</v>
      </c>
      <c r="P74" t="s">
        <v>333</v>
      </c>
      <c r="Q74" t="s">
        <v>25</v>
      </c>
      <c r="R74" t="s">
        <v>251</v>
      </c>
      <c r="S74" t="s">
        <v>59</v>
      </c>
      <c r="U74" s="6">
        <v>42116.54115740741</v>
      </c>
      <c r="V74" t="s">
        <v>18</v>
      </c>
      <c r="W74" t="s">
        <v>17</v>
      </c>
      <c r="X74" s="6">
        <v>41905.630509259259</v>
      </c>
      <c r="Y74" t="s">
        <v>119</v>
      </c>
      <c r="AB74" t="s">
        <v>200</v>
      </c>
      <c r="AC74" t="s">
        <v>247</v>
      </c>
      <c r="AD74" t="s">
        <v>222</v>
      </c>
      <c r="AE74" t="s">
        <v>232</v>
      </c>
      <c r="AG74" t="s">
        <v>121</v>
      </c>
      <c r="AH74" t="s">
        <v>327</v>
      </c>
      <c r="AI74" t="s">
        <v>121</v>
      </c>
      <c r="AJ74" t="s">
        <v>715</v>
      </c>
      <c r="AK74" t="s">
        <v>121</v>
      </c>
    </row>
    <row r="75" spans="1:37" x14ac:dyDescent="0.3">
      <c r="A75" t="s">
        <v>349</v>
      </c>
      <c r="B75" t="s">
        <v>109</v>
      </c>
      <c r="I75">
        <f ca="1">IF(OR(INDIRECT(A73&amp;ROW())=B93,INDIRECT(A73&amp;ROW())=B94),1,IF(AND(INDIRECT(A73&amp;ROW())=B95,INDIRECT(A96&amp;ROW())=C93),1,IF(AND(INDIRECT(A73&amp;ROW())=B95,INDIRECT(A96&amp;ROW())=C94),1,0)))</f>
        <v>1</v>
      </c>
      <c r="J75">
        <f ca="1">IF(AND(INDIRECT(A73&amp;ROW())=B95,INDIRECT(A96&amp;ROW())=C95),1,IF(AND(INDIRECT(A73&amp;ROW())=B95,INDIRECT(A96&amp;ROW())=C96),1,0))</f>
        <v>0</v>
      </c>
      <c r="K75">
        <f ca="1">DAYS360(INDIRECT(C68&amp;ROW()),TODAY())</f>
        <v>684</v>
      </c>
      <c r="L75">
        <f ca="1">DAYS360(INDIRECT(C69&amp;ROW()),TODAY())</f>
        <v>939</v>
      </c>
      <c r="M75" s="11">
        <f ca="1">HYPERLINK(CONCATENATE("https://bugzilla.houston.hp.com:1181/bugzilla/show_bug.cgi?id=",INDIRECT(C70&amp;ROW())),INDIRECT(C70&amp;ROW()))</f>
        <v>50495</v>
      </c>
      <c r="N75">
        <v>50495</v>
      </c>
      <c r="O75" t="s">
        <v>56</v>
      </c>
      <c r="P75" t="s">
        <v>332</v>
      </c>
      <c r="Q75" t="s">
        <v>25</v>
      </c>
      <c r="R75" t="s">
        <v>248</v>
      </c>
      <c r="S75" t="s">
        <v>59</v>
      </c>
      <c r="U75" s="6">
        <v>42163.604224537034</v>
      </c>
      <c r="V75" t="s">
        <v>18</v>
      </c>
      <c r="W75" t="s">
        <v>257</v>
      </c>
      <c r="X75" s="6">
        <v>41905.634016203701</v>
      </c>
      <c r="Y75" t="s">
        <v>119</v>
      </c>
      <c r="AB75" t="s">
        <v>200</v>
      </c>
      <c r="AC75" t="s">
        <v>247</v>
      </c>
      <c r="AD75" t="s">
        <v>222</v>
      </c>
      <c r="AE75" t="s">
        <v>221</v>
      </c>
      <c r="AG75" t="s">
        <v>121</v>
      </c>
      <c r="AH75" t="s">
        <v>327</v>
      </c>
      <c r="AI75" t="s">
        <v>121</v>
      </c>
      <c r="AJ75" t="s">
        <v>715</v>
      </c>
      <c r="AK75" t="s">
        <v>121</v>
      </c>
    </row>
    <row r="76" spans="1:37" x14ac:dyDescent="0.3">
      <c r="A76" t="s">
        <v>274</v>
      </c>
      <c r="B76" t="s">
        <v>114</v>
      </c>
      <c r="I76">
        <f ca="1">IF(OR(INDIRECT(A73&amp;ROW())=B93,INDIRECT(A73&amp;ROW())=B94),1,IF(AND(INDIRECT(A73&amp;ROW())=B95,INDIRECT(A96&amp;ROW())=C93),1,IF(AND(INDIRECT(A73&amp;ROW())=B95,INDIRECT(A96&amp;ROW())=C94),1,0)))</f>
        <v>0</v>
      </c>
      <c r="J76">
        <f ca="1">IF(AND(INDIRECT(A73&amp;ROW())=B95,INDIRECT(A96&amp;ROW())=C95),1,IF(AND(INDIRECT(A73&amp;ROW())=B95,INDIRECT(A96&amp;ROW())=C96),1,0))</f>
        <v>0</v>
      </c>
      <c r="K76">
        <f ca="1">DAYS360(INDIRECT(C68&amp;ROW()),TODAY())</f>
        <v>728</v>
      </c>
      <c r="L76">
        <f ca="1">DAYS360(INDIRECT(C69&amp;ROW()),TODAY())</f>
        <v>939</v>
      </c>
      <c r="M76" s="11">
        <f ca="1">HYPERLINK(CONCATENATE("https://bugzilla.houston.hp.com:1181/bugzilla/show_bug.cgi?id=",INDIRECT(C70&amp;ROW())),INDIRECT(C70&amp;ROW()))</f>
        <v>50497</v>
      </c>
      <c r="N76">
        <v>50497</v>
      </c>
      <c r="O76" t="s">
        <v>88</v>
      </c>
      <c r="P76" t="s">
        <v>686</v>
      </c>
      <c r="Q76" t="s">
        <v>16</v>
      </c>
      <c r="R76" t="s">
        <v>251</v>
      </c>
      <c r="S76" t="s">
        <v>31</v>
      </c>
      <c r="U76" s="6">
        <v>42118.521944444445</v>
      </c>
      <c r="V76" t="s">
        <v>18</v>
      </c>
      <c r="W76" t="s">
        <v>17</v>
      </c>
      <c r="X76" s="6">
        <v>41905.694814814815</v>
      </c>
      <c r="Y76" t="s">
        <v>119</v>
      </c>
      <c r="AB76" t="s">
        <v>201</v>
      </c>
      <c r="AC76" t="s">
        <v>247</v>
      </c>
      <c r="AD76" t="s">
        <v>222</v>
      </c>
      <c r="AE76" t="s">
        <v>240</v>
      </c>
      <c r="AG76" t="s">
        <v>121</v>
      </c>
      <c r="AH76" t="s">
        <v>327</v>
      </c>
      <c r="AI76" t="s">
        <v>121</v>
      </c>
      <c r="AJ76" t="s">
        <v>717</v>
      </c>
      <c r="AK76" t="s">
        <v>121</v>
      </c>
    </row>
    <row r="77" spans="1:37" x14ac:dyDescent="0.3">
      <c r="A77" t="s">
        <v>350</v>
      </c>
      <c r="B77" t="s">
        <v>115</v>
      </c>
      <c r="I77">
        <f ca="1">IF(OR(INDIRECT(A73&amp;ROW())=B93,INDIRECT(A73&amp;ROW())=B94),1,IF(AND(INDIRECT(A73&amp;ROW())=B95,INDIRECT(A96&amp;ROW())=C93),1,IF(AND(INDIRECT(A73&amp;ROW())=B95,INDIRECT(A96&amp;ROW())=C94),1,0)))</f>
        <v>1</v>
      </c>
      <c r="J77">
        <f ca="1">IF(AND(INDIRECT(A73&amp;ROW())=B95,INDIRECT(A96&amp;ROW())=C95),1,IF(AND(INDIRECT(A73&amp;ROW())=B95,INDIRECT(A96&amp;ROW())=C96),1,0))</f>
        <v>0</v>
      </c>
      <c r="K77">
        <f ca="1">DAYS360(INDIRECT(C68&amp;ROW()),TODAY())</f>
        <v>849</v>
      </c>
      <c r="L77">
        <f ca="1">DAYS360(INDIRECT(C69&amp;ROW()),TODAY())</f>
        <v>938</v>
      </c>
      <c r="M77" s="11">
        <f ca="1">HYPERLINK(CONCATENATE("https://bugzilla.houston.hp.com:1181/bugzilla/show_bug.cgi?id=",INDIRECT(C70&amp;ROW())),INDIRECT(C70&amp;ROW()))</f>
        <v>50561</v>
      </c>
      <c r="N77">
        <v>50561</v>
      </c>
      <c r="O77" t="s">
        <v>326</v>
      </c>
      <c r="P77" t="s">
        <v>338</v>
      </c>
      <c r="Q77" t="s">
        <v>25</v>
      </c>
      <c r="R77" t="s">
        <v>17</v>
      </c>
      <c r="S77" t="s">
        <v>24</v>
      </c>
      <c r="U77" s="6">
        <v>41996.488333333335</v>
      </c>
      <c r="V77" t="s">
        <v>40</v>
      </c>
      <c r="W77" t="s">
        <v>317</v>
      </c>
      <c r="X77" s="6">
        <v>41906.604884259257</v>
      </c>
      <c r="Y77" t="s">
        <v>119</v>
      </c>
      <c r="Z77" t="s">
        <v>255</v>
      </c>
      <c r="AB77" t="s">
        <v>200</v>
      </c>
      <c r="AC77" t="s">
        <v>247</v>
      </c>
      <c r="AD77" t="s">
        <v>222</v>
      </c>
      <c r="AE77" t="s">
        <v>228</v>
      </c>
      <c r="AG77" t="s">
        <v>121</v>
      </c>
      <c r="AH77" t="s">
        <v>64</v>
      </c>
      <c r="AI77" t="s">
        <v>363</v>
      </c>
      <c r="AJ77" t="s">
        <v>715</v>
      </c>
      <c r="AK77" t="s">
        <v>121</v>
      </c>
    </row>
    <row r="78" spans="1:37" x14ac:dyDescent="0.3">
      <c r="A78" t="s">
        <v>275</v>
      </c>
      <c r="B78" t="s">
        <v>235</v>
      </c>
      <c r="I78">
        <f ca="1">IF(OR(INDIRECT(A73&amp;ROW())=B93,INDIRECT(A73&amp;ROW())=B94),1,IF(AND(INDIRECT(A73&amp;ROW())=B95,INDIRECT(A96&amp;ROW())=C93),1,IF(AND(INDIRECT(A73&amp;ROW())=B95,INDIRECT(A96&amp;ROW())=C94),1,0)))</f>
        <v>0</v>
      </c>
      <c r="J78">
        <f ca="1">IF(AND(INDIRECT(A73&amp;ROW())=B95,INDIRECT(A96&amp;ROW())=C95),1,IF(AND(INDIRECT(A73&amp;ROW())=B95,INDIRECT(A96&amp;ROW())=C96),1,0))</f>
        <v>1</v>
      </c>
      <c r="K78">
        <f ca="1">DAYS360(INDIRECT(C68&amp;ROW()),TODAY())</f>
        <v>684</v>
      </c>
      <c r="L78">
        <f ca="1">DAYS360(INDIRECT(C69&amp;ROW()),TODAY())</f>
        <v>937</v>
      </c>
      <c r="M78" s="11">
        <f ca="1">HYPERLINK(CONCATENATE("https://bugzilla.houston.hp.com:1181/bugzilla/show_bug.cgi?id=",INDIRECT(C70&amp;ROW())),INDIRECT(C70&amp;ROW()))</f>
        <v>50644</v>
      </c>
      <c r="N78">
        <v>50644</v>
      </c>
      <c r="O78" t="s">
        <v>42</v>
      </c>
      <c r="P78" t="s">
        <v>433</v>
      </c>
      <c r="Q78" t="s">
        <v>25</v>
      </c>
      <c r="R78" t="s">
        <v>251</v>
      </c>
      <c r="S78" t="s">
        <v>42</v>
      </c>
      <c r="U78" s="6">
        <v>42163.587870370371</v>
      </c>
      <c r="V78" t="s">
        <v>35</v>
      </c>
      <c r="W78" t="s">
        <v>17</v>
      </c>
      <c r="X78" s="6">
        <v>41907.666851851849</v>
      </c>
      <c r="Y78" t="s">
        <v>122</v>
      </c>
      <c r="AB78" t="s">
        <v>201</v>
      </c>
      <c r="AC78" t="s">
        <v>247</v>
      </c>
      <c r="AD78" t="s">
        <v>220</v>
      </c>
      <c r="AE78" t="s">
        <v>219</v>
      </c>
      <c r="AG78" t="s">
        <v>121</v>
      </c>
      <c r="AH78" t="s">
        <v>64</v>
      </c>
      <c r="AI78" t="s">
        <v>121</v>
      </c>
      <c r="AJ78" t="s">
        <v>716</v>
      </c>
      <c r="AK78" t="s">
        <v>121</v>
      </c>
    </row>
    <row r="79" spans="1:37" x14ac:dyDescent="0.3">
      <c r="A79" t="s">
        <v>351</v>
      </c>
      <c r="B79" t="s">
        <v>234</v>
      </c>
      <c r="I79">
        <f ca="1">IF(OR(INDIRECT(A73&amp;ROW())=B93,INDIRECT(A73&amp;ROW())=B94),1,IF(AND(INDIRECT(A73&amp;ROW())=B95,INDIRECT(A96&amp;ROW())=C93),1,IF(AND(INDIRECT(A73&amp;ROW())=B95,INDIRECT(A96&amp;ROW())=C94),1,0)))</f>
        <v>0</v>
      </c>
      <c r="J79">
        <f ca="1">IF(AND(INDIRECT(A73&amp;ROW())=B95,INDIRECT(A96&amp;ROW())=C95),1,IF(AND(INDIRECT(A73&amp;ROW())=B95,INDIRECT(A96&amp;ROW())=C96),1,0))</f>
        <v>0</v>
      </c>
      <c r="K79">
        <f ca="1">DAYS360(INDIRECT(C68&amp;ROW()),TODAY())</f>
        <v>721</v>
      </c>
      <c r="L79">
        <f ca="1">DAYS360(INDIRECT(C69&amp;ROW()),TODAY())</f>
        <v>936</v>
      </c>
      <c r="M79" s="11">
        <f ca="1">HYPERLINK(CONCATENATE("https://bugzilla.houston.hp.com:1181/bugzilla/show_bug.cgi?id=",INDIRECT(C70&amp;ROW())),INDIRECT(C70&amp;ROW()))</f>
        <v>50667</v>
      </c>
      <c r="N79">
        <v>50667</v>
      </c>
      <c r="O79" t="s">
        <v>50</v>
      </c>
      <c r="P79" t="s">
        <v>432</v>
      </c>
      <c r="Q79" t="s">
        <v>16</v>
      </c>
      <c r="R79" t="s">
        <v>251</v>
      </c>
      <c r="S79" t="s">
        <v>335</v>
      </c>
      <c r="U79" s="6">
        <v>42125.446539351855</v>
      </c>
      <c r="V79" t="s">
        <v>18</v>
      </c>
      <c r="W79" t="s">
        <v>17</v>
      </c>
      <c r="X79" s="6">
        <v>41908.131435185183</v>
      </c>
      <c r="Y79" t="s">
        <v>122</v>
      </c>
      <c r="AB79" t="s">
        <v>200</v>
      </c>
      <c r="AC79" t="s">
        <v>247</v>
      </c>
      <c r="AD79" t="s">
        <v>227</v>
      </c>
      <c r="AE79" t="s">
        <v>231</v>
      </c>
      <c r="AG79" t="s">
        <v>121</v>
      </c>
      <c r="AH79" t="s">
        <v>327</v>
      </c>
      <c r="AI79" t="s">
        <v>121</v>
      </c>
      <c r="AJ79" t="s">
        <v>716</v>
      </c>
      <c r="AK79" t="s">
        <v>121</v>
      </c>
    </row>
    <row r="80" spans="1:37" x14ac:dyDescent="0.3">
      <c r="A80" t="s">
        <v>272</v>
      </c>
      <c r="B80" t="s">
        <v>265</v>
      </c>
      <c r="I80">
        <f ca="1">IF(OR(INDIRECT(A73&amp;ROW())=B93,INDIRECT(A73&amp;ROW())=B94),1,IF(AND(INDIRECT(A73&amp;ROW())=B95,INDIRECT(A96&amp;ROW())=C93),1,IF(AND(INDIRECT(A73&amp;ROW())=B95,INDIRECT(A96&amp;ROW())=C94),1,0)))</f>
        <v>0</v>
      </c>
      <c r="J80">
        <f ca="1">IF(AND(INDIRECT(A73&amp;ROW())=B95,INDIRECT(A96&amp;ROW())=C95),1,IF(AND(INDIRECT(A73&amp;ROW())=B95,INDIRECT(A96&amp;ROW())=C96),1,0))</f>
        <v>0</v>
      </c>
      <c r="K80">
        <f ca="1">DAYS360(INDIRECT(C68&amp;ROW()),TODAY())</f>
        <v>802</v>
      </c>
      <c r="L80">
        <f ca="1">DAYS360(INDIRECT(C69&amp;ROW()),TODAY())</f>
        <v>933</v>
      </c>
      <c r="M80" s="11">
        <f ca="1">HYPERLINK(CONCATENATE("https://bugzilla.houston.hp.com:1181/bugzilla/show_bug.cgi?id=",INDIRECT(C70&amp;ROW())),INDIRECT(C70&amp;ROW()))</f>
        <v>50880</v>
      </c>
      <c r="N80">
        <v>50880</v>
      </c>
      <c r="O80" t="s">
        <v>66</v>
      </c>
      <c r="P80" t="s">
        <v>685</v>
      </c>
      <c r="Q80" t="s">
        <v>16</v>
      </c>
      <c r="R80" t="s">
        <v>251</v>
      </c>
      <c r="S80" t="s">
        <v>66</v>
      </c>
      <c r="U80" s="6">
        <v>42045.710277777776</v>
      </c>
      <c r="V80" t="s">
        <v>35</v>
      </c>
      <c r="W80" t="s">
        <v>17</v>
      </c>
      <c r="X80" s="6">
        <v>41911.766562500001</v>
      </c>
      <c r="Y80" t="s">
        <v>786</v>
      </c>
      <c r="AB80" t="s">
        <v>200</v>
      </c>
      <c r="AC80" t="s">
        <v>247</v>
      </c>
      <c r="AD80" t="s">
        <v>220</v>
      </c>
      <c r="AE80" t="s">
        <v>219</v>
      </c>
      <c r="AG80" t="s">
        <v>121</v>
      </c>
      <c r="AH80" t="s">
        <v>327</v>
      </c>
      <c r="AI80" t="s">
        <v>121</v>
      </c>
      <c r="AJ80" t="s">
        <v>716</v>
      </c>
      <c r="AK80" t="s">
        <v>121</v>
      </c>
    </row>
    <row r="81" spans="1:37" x14ac:dyDescent="0.3">
      <c r="A81" t="s">
        <v>154</v>
      </c>
      <c r="B81" t="s">
        <v>30</v>
      </c>
      <c r="C81" t="s">
        <v>160</v>
      </c>
      <c r="I81">
        <f ca="1">IF(OR(INDIRECT(A73&amp;ROW())=B93,INDIRECT(A73&amp;ROW())=B94),1,IF(AND(INDIRECT(A73&amp;ROW())=B95,INDIRECT(A96&amp;ROW())=C93),1,IF(AND(INDIRECT(A73&amp;ROW())=B95,INDIRECT(A96&amp;ROW())=C94),1,0)))</f>
        <v>1</v>
      </c>
      <c r="J81">
        <f ca="1">IF(AND(INDIRECT(A73&amp;ROW())=B95,INDIRECT(A96&amp;ROW())=C95),1,IF(AND(INDIRECT(A73&amp;ROW())=B95,INDIRECT(A96&amp;ROW())=C96),1,0))</f>
        <v>0</v>
      </c>
      <c r="K81">
        <f ca="1">DAYS360(INDIRECT(C68&amp;ROW()),TODAY())</f>
        <v>687</v>
      </c>
      <c r="L81">
        <f ca="1">DAYS360(INDIRECT(C69&amp;ROW()),TODAY())</f>
        <v>932</v>
      </c>
      <c r="M81" s="11">
        <f ca="1">HYPERLINK(CONCATENATE("https://bugzilla.houston.hp.com:1181/bugzilla/show_bug.cgi?id=",INDIRECT(C70&amp;ROW())),INDIRECT(C70&amp;ROW()))</f>
        <v>50953</v>
      </c>
      <c r="N81">
        <v>50953</v>
      </c>
      <c r="O81" t="s">
        <v>45</v>
      </c>
      <c r="P81" t="s">
        <v>684</v>
      </c>
      <c r="Q81" t="s">
        <v>25</v>
      </c>
      <c r="R81" t="s">
        <v>251</v>
      </c>
      <c r="S81" t="s">
        <v>21</v>
      </c>
      <c r="U81" s="6">
        <v>42160.512187499997</v>
      </c>
      <c r="V81" t="s">
        <v>18</v>
      </c>
      <c r="W81" t="s">
        <v>17</v>
      </c>
      <c r="X81" s="6">
        <v>41912.61074074074</v>
      </c>
      <c r="Y81" t="s">
        <v>123</v>
      </c>
      <c r="AB81" t="s">
        <v>200</v>
      </c>
      <c r="AC81" t="s">
        <v>247</v>
      </c>
      <c r="AD81" t="s">
        <v>227</v>
      </c>
      <c r="AE81" t="s">
        <v>226</v>
      </c>
      <c r="AG81" t="s">
        <v>121</v>
      </c>
      <c r="AH81" t="s">
        <v>64</v>
      </c>
      <c r="AI81" t="s">
        <v>121</v>
      </c>
      <c r="AJ81" t="s">
        <v>715</v>
      </c>
      <c r="AK81" t="s">
        <v>121</v>
      </c>
    </row>
    <row r="82" spans="1:37" x14ac:dyDescent="0.3">
      <c r="A82" t="s">
        <v>157</v>
      </c>
      <c r="B82" t="s">
        <v>161</v>
      </c>
      <c r="I82">
        <f ca="1">IF(OR(INDIRECT(A73&amp;ROW())=B93,INDIRECT(A73&amp;ROW())=B94),1,IF(AND(INDIRECT(A73&amp;ROW())=B95,INDIRECT(A96&amp;ROW())=C93),1,IF(AND(INDIRECT(A73&amp;ROW())=B95,INDIRECT(A96&amp;ROW())=C94),1,0)))</f>
        <v>0</v>
      </c>
      <c r="J82">
        <f ca="1">IF(AND(INDIRECT(A73&amp;ROW())=B95,INDIRECT(A96&amp;ROW())=C95),1,IF(AND(INDIRECT(A73&amp;ROW())=B95,INDIRECT(A96&amp;ROW())=C96),1,0))</f>
        <v>1</v>
      </c>
      <c r="K82">
        <f ca="1">DAYS360(INDIRECT(C68&amp;ROW()),TODAY())</f>
        <v>724</v>
      </c>
      <c r="L82">
        <f ca="1">DAYS360(INDIRECT(C69&amp;ROW()),TODAY())</f>
        <v>929</v>
      </c>
      <c r="M82" s="11">
        <f ca="1">HYPERLINK(CONCATENATE("https://bugzilla.houston.hp.com:1181/bugzilla/show_bug.cgi?id=",INDIRECT(C70&amp;ROW())),INDIRECT(C70&amp;ROW()))</f>
        <v>51087</v>
      </c>
      <c r="N82">
        <v>51087</v>
      </c>
      <c r="O82" t="s">
        <v>56</v>
      </c>
      <c r="P82" t="s">
        <v>431</v>
      </c>
      <c r="Q82" t="s">
        <v>25</v>
      </c>
      <c r="R82" t="s">
        <v>251</v>
      </c>
      <c r="S82" t="s">
        <v>53</v>
      </c>
      <c r="U82" s="6">
        <v>42122.352916666663</v>
      </c>
      <c r="V82" t="s">
        <v>18</v>
      </c>
      <c r="W82" t="s">
        <v>17</v>
      </c>
      <c r="X82" s="6">
        <v>41915.6015162037</v>
      </c>
      <c r="Y82" t="s">
        <v>122</v>
      </c>
      <c r="AB82" t="s">
        <v>201</v>
      </c>
      <c r="AC82" t="s">
        <v>247</v>
      </c>
      <c r="AD82" t="s">
        <v>220</v>
      </c>
      <c r="AE82" t="s">
        <v>219</v>
      </c>
      <c r="AG82" t="s">
        <v>121</v>
      </c>
      <c r="AH82" t="s">
        <v>327</v>
      </c>
      <c r="AI82" t="s">
        <v>121</v>
      </c>
      <c r="AJ82" t="s">
        <v>716</v>
      </c>
      <c r="AK82" t="s">
        <v>121</v>
      </c>
    </row>
    <row r="83" spans="1:37" x14ac:dyDescent="0.3">
      <c r="A83" t="s">
        <v>158</v>
      </c>
      <c r="B83" t="s">
        <v>162</v>
      </c>
      <c r="I83">
        <f ca="1">IF(OR(INDIRECT(A73&amp;ROW())=B93,INDIRECT(A73&amp;ROW())=B94),1,IF(AND(INDIRECT(A73&amp;ROW())=B95,INDIRECT(A96&amp;ROW())=C93),1,IF(AND(INDIRECT(A73&amp;ROW())=B95,INDIRECT(A96&amp;ROW())=C94),1,0)))</f>
        <v>0</v>
      </c>
      <c r="J83">
        <f ca="1">IF(AND(INDIRECT(A73&amp;ROW())=B95,INDIRECT(A96&amp;ROW())=C95),1,IF(AND(INDIRECT(A73&amp;ROW())=B95,INDIRECT(A96&amp;ROW())=C96),1,0))</f>
        <v>1</v>
      </c>
      <c r="K83">
        <f ca="1">DAYS360(INDIRECT(C68&amp;ROW()),TODAY())</f>
        <v>691</v>
      </c>
      <c r="L83">
        <f ca="1">DAYS360(INDIRECT(C69&amp;ROW()),TODAY())</f>
        <v>929</v>
      </c>
      <c r="M83" s="11">
        <f ca="1">HYPERLINK(CONCATENATE("https://bugzilla.houston.hp.com:1181/bugzilla/show_bug.cgi?id=",INDIRECT(C70&amp;ROW())),INDIRECT(C70&amp;ROW()))</f>
        <v>51092</v>
      </c>
      <c r="N83">
        <v>51092</v>
      </c>
      <c r="O83" t="s">
        <v>22</v>
      </c>
      <c r="P83" t="s">
        <v>430</v>
      </c>
      <c r="Q83" t="s">
        <v>25</v>
      </c>
      <c r="R83" t="s">
        <v>251</v>
      </c>
      <c r="S83" t="s">
        <v>22</v>
      </c>
      <c r="T83" t="s">
        <v>794</v>
      </c>
      <c r="U83" s="6">
        <v>42156.258032407408</v>
      </c>
      <c r="V83" t="s">
        <v>40</v>
      </c>
      <c r="W83" t="s">
        <v>17</v>
      </c>
      <c r="X83" s="6">
        <v>41915.671134259261</v>
      </c>
      <c r="Y83" t="s">
        <v>122</v>
      </c>
      <c r="AB83" t="s">
        <v>201</v>
      </c>
      <c r="AC83" t="s">
        <v>247</v>
      </c>
      <c r="AD83" t="s">
        <v>220</v>
      </c>
      <c r="AE83" t="s">
        <v>219</v>
      </c>
      <c r="AG83" t="s">
        <v>337</v>
      </c>
      <c r="AH83" t="s">
        <v>327</v>
      </c>
      <c r="AI83" t="s">
        <v>121</v>
      </c>
      <c r="AJ83" t="s">
        <v>716</v>
      </c>
      <c r="AK83" t="s">
        <v>121</v>
      </c>
    </row>
    <row r="84" spans="1:37" x14ac:dyDescent="0.3">
      <c r="A84" t="s">
        <v>159</v>
      </c>
      <c r="B84" t="s">
        <v>163</v>
      </c>
      <c r="I84">
        <f ca="1">IF(OR(INDIRECT(A73&amp;ROW())=B93,INDIRECT(A73&amp;ROW())=B94),1,IF(AND(INDIRECT(A73&amp;ROW())=B95,INDIRECT(A96&amp;ROW())=C93),1,IF(AND(INDIRECT(A73&amp;ROW())=B95,INDIRECT(A96&amp;ROW())=C94),1,0)))</f>
        <v>0</v>
      </c>
      <c r="J84">
        <f ca="1">IF(AND(INDIRECT(A73&amp;ROW())=B95,INDIRECT(A96&amp;ROW())=C95),1,IF(AND(INDIRECT(A73&amp;ROW())=B95,INDIRECT(A96&amp;ROW())=C96),1,0))</f>
        <v>1</v>
      </c>
      <c r="K84">
        <f ca="1">DAYS360(INDIRECT(C68&amp;ROW()),TODAY())</f>
        <v>690</v>
      </c>
      <c r="L84">
        <f ca="1">DAYS360(INDIRECT(C69&amp;ROW()),TODAY())</f>
        <v>925</v>
      </c>
      <c r="M84" s="11">
        <f ca="1">HYPERLINK(CONCATENATE("https://bugzilla.houston.hp.com:1181/bugzilla/show_bug.cgi?id=",INDIRECT(C70&amp;ROW())),INDIRECT(C70&amp;ROW()))</f>
        <v>51177</v>
      </c>
      <c r="N84">
        <v>51177</v>
      </c>
      <c r="O84" t="s">
        <v>66</v>
      </c>
      <c r="P84" t="s">
        <v>1051</v>
      </c>
      <c r="Q84" t="s">
        <v>25</v>
      </c>
      <c r="R84" t="s">
        <v>251</v>
      </c>
      <c r="S84" t="s">
        <v>33</v>
      </c>
      <c r="T84" t="s">
        <v>794</v>
      </c>
      <c r="U84" s="6">
        <v>42157.088888888888</v>
      </c>
      <c r="V84" t="s">
        <v>35</v>
      </c>
      <c r="W84" t="s">
        <v>17</v>
      </c>
      <c r="X84" s="6">
        <v>41919.239328703705</v>
      </c>
      <c r="Y84" t="s">
        <v>119</v>
      </c>
      <c r="AB84" t="s">
        <v>201</v>
      </c>
      <c r="AC84" t="s">
        <v>247</v>
      </c>
      <c r="AD84" t="s">
        <v>220</v>
      </c>
      <c r="AE84" t="s">
        <v>223</v>
      </c>
      <c r="AG84" t="s">
        <v>121</v>
      </c>
      <c r="AH84" t="s">
        <v>64</v>
      </c>
      <c r="AI84" t="s">
        <v>121</v>
      </c>
      <c r="AJ84" t="s">
        <v>716</v>
      </c>
      <c r="AK84" t="s">
        <v>121</v>
      </c>
    </row>
    <row r="85" spans="1:37" x14ac:dyDescent="0.3">
      <c r="A85" t="s">
        <v>251</v>
      </c>
      <c r="B85" t="s">
        <v>163</v>
      </c>
      <c r="I85">
        <f ca="1">IF(OR(INDIRECT(A73&amp;ROW())=B93,INDIRECT(A73&amp;ROW())=B94),1,IF(AND(INDIRECT(A73&amp;ROW())=B95,INDIRECT(A96&amp;ROW())=C93),1,IF(AND(INDIRECT(A73&amp;ROW())=B95,INDIRECT(A96&amp;ROW())=C94),1,0)))</f>
        <v>0</v>
      </c>
      <c r="J85">
        <f ca="1">IF(AND(INDIRECT(A73&amp;ROW())=B95,INDIRECT(A96&amp;ROW())=C95),1,IF(AND(INDIRECT(A73&amp;ROW())=B95,INDIRECT(A96&amp;ROW())=C96),1,0))</f>
        <v>1</v>
      </c>
      <c r="K85">
        <f ca="1">DAYS360(INDIRECT(C68&amp;ROW()),TODAY())</f>
        <v>724</v>
      </c>
      <c r="L85">
        <f ca="1">DAYS360(INDIRECT(C69&amp;ROW()),TODAY())</f>
        <v>925</v>
      </c>
      <c r="M85" s="11">
        <f ca="1">HYPERLINK(CONCATENATE("https://bugzilla.houston.hp.com:1181/bugzilla/show_bug.cgi?id=",INDIRECT(C70&amp;ROW())),INDIRECT(C70&amp;ROW()))</f>
        <v>51197</v>
      </c>
      <c r="N85">
        <v>51197</v>
      </c>
      <c r="O85" t="s">
        <v>45</v>
      </c>
      <c r="P85" t="s">
        <v>429</v>
      </c>
      <c r="Q85" t="s">
        <v>25</v>
      </c>
      <c r="R85" t="s">
        <v>251</v>
      </c>
      <c r="S85" t="s">
        <v>45</v>
      </c>
      <c r="T85" t="s">
        <v>287</v>
      </c>
      <c r="U85" s="6">
        <v>42122.350775462961</v>
      </c>
      <c r="V85" t="s">
        <v>35</v>
      </c>
      <c r="W85" t="s">
        <v>17</v>
      </c>
      <c r="X85" s="6">
        <v>41919.538078703707</v>
      </c>
      <c r="Y85" t="s">
        <v>122</v>
      </c>
      <c r="AB85" t="s">
        <v>201</v>
      </c>
      <c r="AC85" t="s">
        <v>247</v>
      </c>
      <c r="AD85" t="s">
        <v>227</v>
      </c>
      <c r="AE85" t="s">
        <v>226</v>
      </c>
      <c r="AG85" t="s">
        <v>121</v>
      </c>
      <c r="AH85" t="s">
        <v>327</v>
      </c>
      <c r="AI85" t="s">
        <v>121</v>
      </c>
      <c r="AJ85" t="s">
        <v>716</v>
      </c>
      <c r="AK85" t="s">
        <v>121</v>
      </c>
    </row>
    <row r="86" spans="1:37" x14ac:dyDescent="0.3">
      <c r="A86" t="s">
        <v>166</v>
      </c>
      <c r="I86">
        <f ca="1">IF(OR(INDIRECT(A73&amp;ROW())=B93,INDIRECT(A73&amp;ROW())=B94),1,IF(AND(INDIRECT(A73&amp;ROW())=B95,INDIRECT(A96&amp;ROW())=C93),1,IF(AND(INDIRECT(A73&amp;ROW())=B95,INDIRECT(A96&amp;ROW())=C94),1,0)))</f>
        <v>0</v>
      </c>
      <c r="J86">
        <f ca="1">IF(AND(INDIRECT(A73&amp;ROW())=B95,INDIRECT(A96&amp;ROW())=C95),1,IF(AND(INDIRECT(A73&amp;ROW())=B95,INDIRECT(A96&amp;ROW())=C96),1,0))</f>
        <v>0</v>
      </c>
      <c r="K86">
        <f ca="1">DAYS360(INDIRECT(C68&amp;ROW()),TODAY())</f>
        <v>721</v>
      </c>
      <c r="L86">
        <f ca="1">DAYS360(INDIRECT(C69&amp;ROW()),TODAY())</f>
        <v>924</v>
      </c>
      <c r="M86" s="11">
        <f ca="1">HYPERLINK(CONCATENATE("https://bugzilla.houston.hp.com:1181/bugzilla/show_bug.cgi?id=",INDIRECT(C70&amp;ROW())),INDIRECT(C70&amp;ROW()))</f>
        <v>51276</v>
      </c>
      <c r="N86">
        <v>51276</v>
      </c>
      <c r="O86" t="s">
        <v>88</v>
      </c>
      <c r="P86" t="s">
        <v>428</v>
      </c>
      <c r="Q86" t="s">
        <v>16</v>
      </c>
      <c r="R86" t="s">
        <v>251</v>
      </c>
      <c r="S86" t="s">
        <v>294</v>
      </c>
      <c r="U86" s="6">
        <v>42125.446319444447</v>
      </c>
      <c r="V86" t="s">
        <v>18</v>
      </c>
      <c r="W86" t="s">
        <v>17</v>
      </c>
      <c r="X86" s="6">
        <v>41920.661064814813</v>
      </c>
      <c r="Y86" t="s">
        <v>122</v>
      </c>
      <c r="AB86" t="s">
        <v>201</v>
      </c>
      <c r="AC86" t="s">
        <v>247</v>
      </c>
      <c r="AD86" t="s">
        <v>222</v>
      </c>
      <c r="AE86" t="s">
        <v>225</v>
      </c>
      <c r="AG86" t="s">
        <v>121</v>
      </c>
      <c r="AH86" t="s">
        <v>327</v>
      </c>
      <c r="AI86" t="s">
        <v>121</v>
      </c>
      <c r="AJ86" t="s">
        <v>717</v>
      </c>
      <c r="AK86" t="s">
        <v>121</v>
      </c>
    </row>
    <row r="87" spans="1:37" x14ac:dyDescent="0.3">
      <c r="A87" t="s">
        <v>169</v>
      </c>
      <c r="B87" t="s">
        <v>163</v>
      </c>
      <c r="C87" t="s">
        <v>170</v>
      </c>
      <c r="I87">
        <f ca="1">IF(OR(INDIRECT(A73&amp;ROW())=B93,INDIRECT(A73&amp;ROW())=B94),1,IF(AND(INDIRECT(A73&amp;ROW())=B95,INDIRECT(A96&amp;ROW())=C93),1,IF(AND(INDIRECT(A73&amp;ROW())=B95,INDIRECT(A96&amp;ROW())=C94),1,0)))</f>
        <v>0</v>
      </c>
      <c r="J87">
        <f ca="1">IF(AND(INDIRECT(A73&amp;ROW())=B95,INDIRECT(A96&amp;ROW())=C95),1,IF(AND(INDIRECT(A73&amp;ROW())=B95,INDIRECT(A96&amp;ROW())=C96),1,0))</f>
        <v>0</v>
      </c>
      <c r="K87">
        <f ca="1">DAYS360(INDIRECT(C68&amp;ROW()),TODAY())</f>
        <v>721</v>
      </c>
      <c r="L87">
        <f ca="1">DAYS360(INDIRECT(C69&amp;ROW()),TODAY())</f>
        <v>919</v>
      </c>
      <c r="M87" s="11">
        <f ca="1">HYPERLINK(CONCATENATE("https://bugzilla.houston.hp.com:1181/bugzilla/show_bug.cgi?id=",INDIRECT(C70&amp;ROW())),INDIRECT(C70&amp;ROW()))</f>
        <v>51523</v>
      </c>
      <c r="N87">
        <v>51523</v>
      </c>
      <c r="O87" t="s">
        <v>21</v>
      </c>
      <c r="P87" t="s">
        <v>427</v>
      </c>
      <c r="Q87" t="s">
        <v>16</v>
      </c>
      <c r="R87" t="s">
        <v>251</v>
      </c>
      <c r="S87" t="s">
        <v>22</v>
      </c>
      <c r="U87" s="6">
        <v>42125.447500000002</v>
      </c>
      <c r="V87" t="s">
        <v>18</v>
      </c>
      <c r="W87" t="s">
        <v>17</v>
      </c>
      <c r="X87" s="6">
        <v>41925.70585648148</v>
      </c>
      <c r="Y87" t="s">
        <v>122</v>
      </c>
      <c r="AB87" t="s">
        <v>201</v>
      </c>
      <c r="AC87" t="s">
        <v>247</v>
      </c>
      <c r="AD87" t="s">
        <v>222</v>
      </c>
      <c r="AE87" t="s">
        <v>225</v>
      </c>
      <c r="AG87" t="s">
        <v>121</v>
      </c>
      <c r="AH87" t="s">
        <v>327</v>
      </c>
      <c r="AI87" t="s">
        <v>121</v>
      </c>
      <c r="AJ87" t="s">
        <v>717</v>
      </c>
      <c r="AK87" t="s">
        <v>121</v>
      </c>
    </row>
    <row r="88" spans="1:37" x14ac:dyDescent="0.3">
      <c r="A88" t="s">
        <v>261</v>
      </c>
      <c r="I88">
        <f ca="1">IF(OR(INDIRECT(A73&amp;ROW())=B93,INDIRECT(A73&amp;ROW())=B94),1,IF(AND(INDIRECT(A73&amp;ROW())=B95,INDIRECT(A96&amp;ROW())=C93),1,IF(AND(INDIRECT(A73&amp;ROW())=B95,INDIRECT(A96&amp;ROW())=C94),1,0)))</f>
        <v>0</v>
      </c>
      <c r="J88">
        <f ca="1">IF(AND(INDIRECT(A73&amp;ROW())=B95,INDIRECT(A96&amp;ROW())=C95),1,IF(AND(INDIRECT(A73&amp;ROW())=B95,INDIRECT(A96&amp;ROW())=C96),1,0))</f>
        <v>0</v>
      </c>
      <c r="K88">
        <f ca="1">DAYS360(INDIRECT(C68&amp;ROW()),TODAY())</f>
        <v>710</v>
      </c>
      <c r="L88">
        <f ca="1">DAYS360(INDIRECT(C69&amp;ROW()),TODAY())</f>
        <v>918</v>
      </c>
      <c r="M88" s="11">
        <f ca="1">HYPERLINK(CONCATENATE("https://bugzilla.houston.hp.com:1181/bugzilla/show_bug.cgi?id=",INDIRECT(C70&amp;ROW())),INDIRECT(C70&amp;ROW()))</f>
        <v>51589</v>
      </c>
      <c r="N88">
        <v>51589</v>
      </c>
      <c r="O88" t="s">
        <v>66</v>
      </c>
      <c r="P88" t="s">
        <v>1050</v>
      </c>
      <c r="Q88" t="s">
        <v>16</v>
      </c>
      <c r="R88" t="s">
        <v>251</v>
      </c>
      <c r="S88" t="s">
        <v>66</v>
      </c>
      <c r="U88" s="6">
        <v>42136.635497685187</v>
      </c>
      <c r="V88" t="s">
        <v>18</v>
      </c>
      <c r="W88" t="s">
        <v>17</v>
      </c>
      <c r="X88" s="6">
        <v>41926.76421296296</v>
      </c>
      <c r="Y88" t="s">
        <v>255</v>
      </c>
      <c r="AB88" t="s">
        <v>201</v>
      </c>
      <c r="AC88" t="s">
        <v>247</v>
      </c>
      <c r="AD88" t="s">
        <v>220</v>
      </c>
      <c r="AE88" t="s">
        <v>219</v>
      </c>
      <c r="AG88" t="s">
        <v>121</v>
      </c>
      <c r="AH88" t="s">
        <v>327</v>
      </c>
      <c r="AI88" t="s">
        <v>121</v>
      </c>
      <c r="AJ88" t="s">
        <v>716</v>
      </c>
      <c r="AK88" t="s">
        <v>121</v>
      </c>
    </row>
    <row r="89" spans="1:37" x14ac:dyDescent="0.3">
      <c r="A89" t="s">
        <v>158</v>
      </c>
      <c r="I89">
        <f ca="1">IF(OR(INDIRECT(A73&amp;ROW())=B93,INDIRECT(A73&amp;ROW())=B94),1,IF(AND(INDIRECT(A73&amp;ROW())=B95,INDIRECT(A96&amp;ROW())=C93),1,IF(AND(INDIRECT(A73&amp;ROW())=B95,INDIRECT(A96&amp;ROW())=C94),1,0)))</f>
        <v>0</v>
      </c>
      <c r="J89">
        <f ca="1">IF(AND(INDIRECT(A73&amp;ROW())=B95,INDIRECT(A96&amp;ROW())=C95),1,IF(AND(INDIRECT(A73&amp;ROW())=B95,INDIRECT(A96&amp;ROW())=C96),1,0))</f>
        <v>0</v>
      </c>
      <c r="K89">
        <f ca="1">DAYS360(INDIRECT(C68&amp;ROW()),TODAY())</f>
        <v>688</v>
      </c>
      <c r="L89">
        <f ca="1">DAYS360(INDIRECT(C69&amp;ROW()),TODAY())</f>
        <v>912</v>
      </c>
      <c r="M89" s="11">
        <f ca="1">HYPERLINK(CONCATENATE("https://bugzilla.houston.hp.com:1181/bugzilla/show_bug.cgi?id=",INDIRECT(C70&amp;ROW())),INDIRECT(C70&amp;ROW()))</f>
        <v>51898</v>
      </c>
      <c r="N89">
        <v>51898</v>
      </c>
      <c r="O89" t="s">
        <v>56</v>
      </c>
      <c r="P89" t="s">
        <v>683</v>
      </c>
      <c r="Q89" t="s">
        <v>16</v>
      </c>
      <c r="R89" t="s">
        <v>251</v>
      </c>
      <c r="S89" t="s">
        <v>323</v>
      </c>
      <c r="U89" s="6">
        <v>42159.550162037034</v>
      </c>
      <c r="V89" t="s">
        <v>18</v>
      </c>
      <c r="W89" t="s">
        <v>17</v>
      </c>
      <c r="X89" s="6">
        <v>41932.742824074077</v>
      </c>
      <c r="Y89" t="s">
        <v>122</v>
      </c>
      <c r="AB89" t="s">
        <v>200</v>
      </c>
      <c r="AC89" t="s">
        <v>247</v>
      </c>
      <c r="AD89" t="s">
        <v>220</v>
      </c>
      <c r="AE89" t="s">
        <v>219</v>
      </c>
      <c r="AG89" t="s">
        <v>121</v>
      </c>
      <c r="AH89" t="s">
        <v>64</v>
      </c>
      <c r="AI89" t="s">
        <v>121</v>
      </c>
      <c r="AJ89" t="s">
        <v>716</v>
      </c>
      <c r="AK89" t="s">
        <v>121</v>
      </c>
    </row>
    <row r="90" spans="1:37" x14ac:dyDescent="0.3">
      <c r="A90" t="s">
        <v>262</v>
      </c>
      <c r="I90">
        <f ca="1">IF(OR(INDIRECT(A73&amp;ROW())=B93,INDIRECT(A73&amp;ROW())=B94),1,IF(AND(INDIRECT(A73&amp;ROW())=B95,INDIRECT(A96&amp;ROW())=C93),1,IF(AND(INDIRECT(A73&amp;ROW())=B95,INDIRECT(A96&amp;ROW())=C94),1,0)))</f>
        <v>0</v>
      </c>
      <c r="J90">
        <f ca="1">IF(AND(INDIRECT(A73&amp;ROW())=B95,INDIRECT(A96&amp;ROW())=C95),1,IF(AND(INDIRECT(A73&amp;ROW())=B95,INDIRECT(A96&amp;ROW())=C96),1,0))</f>
        <v>0</v>
      </c>
      <c r="K90">
        <f ca="1">DAYS360(INDIRECT(C68&amp;ROW()),TODAY())</f>
        <v>721</v>
      </c>
      <c r="L90">
        <f ca="1">DAYS360(INDIRECT(C69&amp;ROW()),TODAY())</f>
        <v>908</v>
      </c>
      <c r="M90" s="11">
        <f ca="1">HYPERLINK(CONCATENATE("https://bugzilla.houston.hp.com:1181/bugzilla/show_bug.cgi?id=",INDIRECT(C70&amp;ROW())),INDIRECT(C70&amp;ROW()))</f>
        <v>52136</v>
      </c>
      <c r="N90">
        <v>52136</v>
      </c>
      <c r="O90" t="s">
        <v>65</v>
      </c>
      <c r="P90" t="s">
        <v>426</v>
      </c>
      <c r="Q90" t="s">
        <v>16</v>
      </c>
      <c r="R90" t="s">
        <v>251</v>
      </c>
      <c r="S90" t="s">
        <v>43</v>
      </c>
      <c r="U90" s="6">
        <v>42125.447581018518</v>
      </c>
      <c r="V90" t="s">
        <v>18</v>
      </c>
      <c r="W90" t="s">
        <v>17</v>
      </c>
      <c r="X90" s="6">
        <v>41936.676226851851</v>
      </c>
      <c r="Y90" t="s">
        <v>122</v>
      </c>
      <c r="AB90" t="s">
        <v>201</v>
      </c>
      <c r="AC90" t="s">
        <v>247</v>
      </c>
      <c r="AD90" t="s">
        <v>220</v>
      </c>
      <c r="AE90" t="s">
        <v>219</v>
      </c>
      <c r="AG90" t="s">
        <v>121</v>
      </c>
      <c r="AH90" t="s">
        <v>64</v>
      </c>
      <c r="AI90" t="s">
        <v>121</v>
      </c>
      <c r="AJ90" t="s">
        <v>717</v>
      </c>
      <c r="AK90" t="s">
        <v>121</v>
      </c>
    </row>
    <row r="91" spans="1:37" x14ac:dyDescent="0.3">
      <c r="A91" t="s">
        <v>229</v>
      </c>
      <c r="I91">
        <f ca="1">IF(OR(INDIRECT(A73&amp;ROW())=B93,INDIRECT(A73&amp;ROW())=B94),1,IF(AND(INDIRECT(A73&amp;ROW())=B95,INDIRECT(A96&amp;ROW())=C93),1,IF(AND(INDIRECT(A73&amp;ROW())=B95,INDIRECT(A96&amp;ROW())=C94),1,0)))</f>
        <v>0</v>
      </c>
      <c r="J91">
        <f ca="1">IF(AND(INDIRECT(A73&amp;ROW())=B95,INDIRECT(A96&amp;ROW())=C95),1,IF(AND(INDIRECT(A73&amp;ROW())=B95,INDIRECT(A96&amp;ROW())=C96),1,0))</f>
        <v>0</v>
      </c>
      <c r="K91">
        <f ca="1">DAYS360(INDIRECT(C68&amp;ROW()),TODAY())</f>
        <v>721</v>
      </c>
      <c r="L91">
        <f ca="1">DAYS360(INDIRECT(C69&amp;ROW()),TODAY())</f>
        <v>904</v>
      </c>
      <c r="M91" s="11">
        <f ca="1">HYPERLINK(CONCATENATE("https://bugzilla.houston.hp.com:1181/bugzilla/show_bug.cgi?id=",INDIRECT(C70&amp;ROW())),INDIRECT(C70&amp;ROW()))</f>
        <v>52294</v>
      </c>
      <c r="N91">
        <v>52294</v>
      </c>
      <c r="O91" t="s">
        <v>56</v>
      </c>
      <c r="P91" t="s">
        <v>682</v>
      </c>
      <c r="Q91" t="s">
        <v>16</v>
      </c>
      <c r="R91" t="s">
        <v>251</v>
      </c>
      <c r="S91" t="s">
        <v>323</v>
      </c>
      <c r="T91" t="s">
        <v>353</v>
      </c>
      <c r="U91" s="6">
        <v>42125.447696759256</v>
      </c>
      <c r="V91" t="s">
        <v>18</v>
      </c>
      <c r="W91" t="s">
        <v>17</v>
      </c>
      <c r="X91" s="6">
        <v>41940.594814814816</v>
      </c>
      <c r="Y91" t="s">
        <v>122</v>
      </c>
      <c r="AB91" t="s">
        <v>200</v>
      </c>
      <c r="AC91" t="s">
        <v>247</v>
      </c>
      <c r="AD91" t="s">
        <v>220</v>
      </c>
      <c r="AE91" t="s">
        <v>219</v>
      </c>
      <c r="AG91" t="s">
        <v>121</v>
      </c>
      <c r="AH91" t="s">
        <v>64</v>
      </c>
      <c r="AI91" t="s">
        <v>121</v>
      </c>
      <c r="AJ91" t="s">
        <v>716</v>
      </c>
      <c r="AK91" t="s">
        <v>121</v>
      </c>
    </row>
    <row r="92" spans="1:37" x14ac:dyDescent="0.3">
      <c r="A92" t="s">
        <v>242</v>
      </c>
      <c r="B92" t="s">
        <v>375</v>
      </c>
      <c r="I92">
        <f ca="1">IF(OR(INDIRECT(A73&amp;ROW())=B93,INDIRECT(A73&amp;ROW())=B94),1,IF(AND(INDIRECT(A73&amp;ROW())=B95,INDIRECT(A96&amp;ROW())=C93),1,IF(AND(INDIRECT(A73&amp;ROW())=B95,INDIRECT(A96&amp;ROW())=C94),1,0)))</f>
        <v>0</v>
      </c>
      <c r="J92">
        <f ca="1">IF(AND(INDIRECT(A73&amp;ROW())=B95,INDIRECT(A96&amp;ROW())=C95),1,IF(AND(INDIRECT(A73&amp;ROW())=B95,INDIRECT(A96&amp;ROW())=C96),1,0))</f>
        <v>1</v>
      </c>
      <c r="K92">
        <f ca="1">DAYS360(INDIRECT(C68&amp;ROW()),TODAY())</f>
        <v>730</v>
      </c>
      <c r="L92">
        <f ca="1">DAYS360(INDIRECT(C69&amp;ROW()),TODAY())</f>
        <v>903</v>
      </c>
      <c r="M92" s="11">
        <f ca="1">HYPERLINK(CONCATENATE("https://bugzilla.houston.hp.com:1181/bugzilla/show_bug.cgi?id=",INDIRECT(C70&amp;ROW())),INDIRECT(C70&amp;ROW()))</f>
        <v>52318</v>
      </c>
      <c r="N92">
        <v>52318</v>
      </c>
      <c r="O92" t="s">
        <v>19</v>
      </c>
      <c r="P92" t="s">
        <v>492</v>
      </c>
      <c r="Q92" t="s">
        <v>25</v>
      </c>
      <c r="R92" t="s">
        <v>251</v>
      </c>
      <c r="S92" t="s">
        <v>354</v>
      </c>
      <c r="U92" s="6">
        <v>42116.542094907411</v>
      </c>
      <c r="V92" t="s">
        <v>18</v>
      </c>
      <c r="W92" t="s">
        <v>17</v>
      </c>
      <c r="X92" s="6">
        <v>41941.160590277781</v>
      </c>
      <c r="Y92" t="s">
        <v>255</v>
      </c>
      <c r="AB92" t="s">
        <v>201</v>
      </c>
      <c r="AC92" t="s">
        <v>247</v>
      </c>
      <c r="AD92" t="s">
        <v>220</v>
      </c>
      <c r="AE92" t="s">
        <v>219</v>
      </c>
      <c r="AG92" t="s">
        <v>121</v>
      </c>
      <c r="AH92" t="s">
        <v>64</v>
      </c>
      <c r="AI92" t="s">
        <v>121</v>
      </c>
      <c r="AJ92" t="s">
        <v>716</v>
      </c>
      <c r="AK92" t="s">
        <v>121</v>
      </c>
    </row>
    <row r="93" spans="1:37" x14ac:dyDescent="0.3">
      <c r="A93" t="s">
        <v>18</v>
      </c>
      <c r="B93" t="s">
        <v>38</v>
      </c>
      <c r="C93" t="s">
        <v>199</v>
      </c>
      <c r="I93">
        <f ca="1">IF(OR(INDIRECT(A73&amp;ROW())=B93,INDIRECT(A73&amp;ROW())=B94),1,IF(AND(INDIRECT(A73&amp;ROW())=B95,INDIRECT(A96&amp;ROW())=C93),1,IF(AND(INDIRECT(A73&amp;ROW())=B95,INDIRECT(A96&amp;ROW())=C94),1,0)))</f>
        <v>0</v>
      </c>
      <c r="J93">
        <f ca="1">IF(AND(INDIRECT(A73&amp;ROW())=B95,INDIRECT(A96&amp;ROW())=C95),1,IF(AND(INDIRECT(A73&amp;ROW())=B95,INDIRECT(A96&amp;ROW())=C96),1,0))</f>
        <v>0</v>
      </c>
      <c r="K93">
        <f ca="1">DAYS360(INDIRECT(C68&amp;ROW()),TODAY())</f>
        <v>721</v>
      </c>
      <c r="L93">
        <f ca="1">DAYS360(INDIRECT(C69&amp;ROW()),TODAY())</f>
        <v>902</v>
      </c>
      <c r="M93" s="11">
        <f ca="1">HYPERLINK(CONCATENATE("https://bugzilla.houston.hp.com:1181/bugzilla/show_bug.cgi?id=",INDIRECT(C70&amp;ROW())),INDIRECT(C70&amp;ROW()))</f>
        <v>52390</v>
      </c>
      <c r="N93">
        <v>52390</v>
      </c>
      <c r="O93" t="s">
        <v>249</v>
      </c>
      <c r="P93" t="s">
        <v>681</v>
      </c>
      <c r="Q93" t="s">
        <v>16</v>
      </c>
      <c r="R93" t="s">
        <v>251</v>
      </c>
      <c r="S93" t="s">
        <v>36</v>
      </c>
      <c r="U93" s="6">
        <v>42125.447604166664</v>
      </c>
      <c r="V93" t="s">
        <v>18</v>
      </c>
      <c r="W93" t="s">
        <v>17</v>
      </c>
      <c r="X93" s="6">
        <v>41942.304166666669</v>
      </c>
      <c r="Y93" t="s">
        <v>122</v>
      </c>
      <c r="AB93" t="s">
        <v>201</v>
      </c>
      <c r="AC93" t="s">
        <v>247</v>
      </c>
      <c r="AD93" t="s">
        <v>220</v>
      </c>
      <c r="AE93" t="s">
        <v>223</v>
      </c>
      <c r="AG93" t="s">
        <v>121</v>
      </c>
      <c r="AH93" t="s">
        <v>64</v>
      </c>
      <c r="AI93" t="s">
        <v>121</v>
      </c>
      <c r="AJ93" t="s">
        <v>717</v>
      </c>
      <c r="AK93" t="s">
        <v>121</v>
      </c>
    </row>
    <row r="94" spans="1:37" x14ac:dyDescent="0.3">
      <c r="A94" t="s">
        <v>35</v>
      </c>
      <c r="B94" t="s">
        <v>39</v>
      </c>
      <c r="C94" t="s">
        <v>200</v>
      </c>
      <c r="I94">
        <f ca="1">IF(OR(INDIRECT(A73&amp;ROW())=B93,INDIRECT(A73&amp;ROW())=B94),1,IF(AND(INDIRECT(A73&amp;ROW())=B95,INDIRECT(A96&amp;ROW())=C93),1,IF(AND(INDIRECT(A73&amp;ROW())=B95,INDIRECT(A96&amp;ROW())=C94),1,0)))</f>
        <v>0</v>
      </c>
      <c r="J94">
        <f ca="1">IF(AND(INDIRECT(A73&amp;ROW())=B95,INDIRECT(A96&amp;ROW())=C95),1,IF(AND(INDIRECT(A73&amp;ROW())=B95,INDIRECT(A96&amp;ROW())=C96),1,0))</f>
        <v>0</v>
      </c>
      <c r="K94">
        <f ca="1">DAYS360(INDIRECT(C68&amp;ROW()),TODAY())</f>
        <v>721</v>
      </c>
      <c r="L94">
        <f ca="1">DAYS360(INDIRECT(C69&amp;ROW()),TODAY())</f>
        <v>902</v>
      </c>
      <c r="M94" s="11">
        <f ca="1">HYPERLINK(CONCATENATE("https://bugzilla.houston.hp.com:1181/bugzilla/show_bug.cgi?id=",INDIRECT(C70&amp;ROW())),INDIRECT(C70&amp;ROW()))</f>
        <v>52482</v>
      </c>
      <c r="N94">
        <v>52482</v>
      </c>
      <c r="O94" t="s">
        <v>66</v>
      </c>
      <c r="P94" t="s">
        <v>743</v>
      </c>
      <c r="Q94" t="s">
        <v>16</v>
      </c>
      <c r="R94" t="s">
        <v>251</v>
      </c>
      <c r="S94" t="s">
        <v>323</v>
      </c>
      <c r="U94" s="6">
        <v>42125.447534722225</v>
      </c>
      <c r="V94" t="s">
        <v>18</v>
      </c>
      <c r="W94" t="s">
        <v>17</v>
      </c>
      <c r="X94" s="6">
        <v>41943.450358796297</v>
      </c>
      <c r="Y94" t="s">
        <v>122</v>
      </c>
      <c r="AB94" t="s">
        <v>201</v>
      </c>
      <c r="AC94" t="s">
        <v>247</v>
      </c>
      <c r="AD94" t="s">
        <v>220</v>
      </c>
      <c r="AE94" t="s">
        <v>219</v>
      </c>
      <c r="AG94" t="s">
        <v>121</v>
      </c>
      <c r="AH94" t="s">
        <v>327</v>
      </c>
      <c r="AI94" t="s">
        <v>121</v>
      </c>
      <c r="AJ94" t="s">
        <v>717</v>
      </c>
      <c r="AK94" t="s">
        <v>121</v>
      </c>
    </row>
    <row r="95" spans="1:37" x14ac:dyDescent="0.3">
      <c r="A95" t="s">
        <v>40</v>
      </c>
      <c r="B95" t="s">
        <v>25</v>
      </c>
      <c r="C95" t="s">
        <v>201</v>
      </c>
      <c r="I95">
        <f ca="1">IF(OR(INDIRECT(A73&amp;ROW())=B93,INDIRECT(A73&amp;ROW())=B94),1,IF(AND(INDIRECT(A73&amp;ROW())=B95,INDIRECT(A96&amp;ROW())=C93),1,IF(AND(INDIRECT(A73&amp;ROW())=B95,INDIRECT(A96&amp;ROW())=C94),1,0)))</f>
        <v>1</v>
      </c>
      <c r="J95">
        <f ca="1">IF(AND(INDIRECT(A73&amp;ROW())=B95,INDIRECT(A96&amp;ROW())=C95),1,IF(AND(INDIRECT(A73&amp;ROW())=B95,INDIRECT(A96&amp;ROW())=C96),1,0))</f>
        <v>0</v>
      </c>
      <c r="K95">
        <f ca="1">DAYS360(INDIRECT(C68&amp;ROW()),TODAY())</f>
        <v>724</v>
      </c>
      <c r="L95">
        <f ca="1">DAYS360(INDIRECT(C69&amp;ROW()),TODAY())</f>
        <v>899</v>
      </c>
      <c r="M95" s="11">
        <f ca="1">HYPERLINK(CONCATENATE("https://bugzilla.houston.hp.com:1181/bugzilla/show_bug.cgi?id=",INDIRECT(C70&amp;ROW())),INDIRECT(C70&amp;ROW()))</f>
        <v>52549</v>
      </c>
      <c r="N95">
        <v>52549</v>
      </c>
      <c r="O95" t="s">
        <v>188</v>
      </c>
      <c r="P95" t="s">
        <v>742</v>
      </c>
      <c r="Q95" t="s">
        <v>25</v>
      </c>
      <c r="R95" t="s">
        <v>251</v>
      </c>
      <c r="S95" t="s">
        <v>44</v>
      </c>
      <c r="U95" s="6">
        <v>42122.35260416667</v>
      </c>
      <c r="V95" t="s">
        <v>18</v>
      </c>
      <c r="W95" t="s">
        <v>17</v>
      </c>
      <c r="X95" s="6">
        <v>41946.398634259262</v>
      </c>
      <c r="Y95" t="s">
        <v>119</v>
      </c>
      <c r="AB95" t="s">
        <v>200</v>
      </c>
      <c r="AC95" t="s">
        <v>121</v>
      </c>
      <c r="AD95" t="s">
        <v>222</v>
      </c>
      <c r="AE95" t="s">
        <v>233</v>
      </c>
      <c r="AF95" s="13">
        <v>41878</v>
      </c>
      <c r="AG95" t="s">
        <v>121</v>
      </c>
      <c r="AH95" t="s">
        <v>64</v>
      </c>
      <c r="AI95" t="s">
        <v>362</v>
      </c>
      <c r="AJ95" t="s">
        <v>715</v>
      </c>
      <c r="AK95" t="s">
        <v>121</v>
      </c>
    </row>
    <row r="96" spans="1:37" x14ac:dyDescent="0.3">
      <c r="A96" t="s">
        <v>352</v>
      </c>
      <c r="B96" t="s">
        <v>266</v>
      </c>
      <c r="C96" t="s">
        <v>318</v>
      </c>
      <c r="I96">
        <f ca="1">IF(OR(INDIRECT(A73&amp;ROW())=B93,INDIRECT(A73&amp;ROW())=B94),1,IF(AND(INDIRECT(A73&amp;ROW())=B95,INDIRECT(A96&amp;ROW())=C93),1,IF(AND(INDIRECT(A73&amp;ROW())=B95,INDIRECT(A96&amp;ROW())=C94),1,0)))</f>
        <v>1</v>
      </c>
      <c r="J96">
        <f ca="1">IF(AND(INDIRECT(A73&amp;ROW())=B95,INDIRECT(A96&amp;ROW())=C95),1,IF(AND(INDIRECT(A73&amp;ROW())=B95,INDIRECT(A96&amp;ROW())=C96),1,0))</f>
        <v>0</v>
      </c>
      <c r="K96">
        <f ca="1">DAYS360(INDIRECT(C68&amp;ROW()),TODAY())</f>
        <v>730</v>
      </c>
      <c r="L96">
        <f ca="1">DAYS360(INDIRECT(C69&amp;ROW()),TODAY())</f>
        <v>899</v>
      </c>
      <c r="M96" s="11">
        <f ca="1">HYPERLINK(CONCATENATE("https://bugzilla.houston.hp.com:1181/bugzilla/show_bug.cgi?id=",INDIRECT(C70&amp;ROW())),INDIRECT(C70&amp;ROW()))</f>
        <v>52552</v>
      </c>
      <c r="N96">
        <v>52552</v>
      </c>
      <c r="O96" t="s">
        <v>50</v>
      </c>
      <c r="P96" t="s">
        <v>425</v>
      </c>
      <c r="Q96" t="s">
        <v>25</v>
      </c>
      <c r="R96" t="s">
        <v>251</v>
      </c>
      <c r="S96" t="s">
        <v>44</v>
      </c>
      <c r="T96" t="s">
        <v>782</v>
      </c>
      <c r="U96" s="6">
        <v>42116.454432870371</v>
      </c>
      <c r="V96" t="s">
        <v>18</v>
      </c>
      <c r="W96" t="s">
        <v>17</v>
      </c>
      <c r="X96" s="6">
        <v>41946.424259259256</v>
      </c>
      <c r="Y96" t="s">
        <v>119</v>
      </c>
      <c r="AB96" t="s">
        <v>200</v>
      </c>
      <c r="AC96" t="s">
        <v>121</v>
      </c>
      <c r="AD96" t="s">
        <v>227</v>
      </c>
      <c r="AE96" t="s">
        <v>226</v>
      </c>
      <c r="AG96" t="s">
        <v>121</v>
      </c>
      <c r="AH96" t="s">
        <v>327</v>
      </c>
      <c r="AI96" t="s">
        <v>362</v>
      </c>
      <c r="AJ96" t="s">
        <v>715</v>
      </c>
      <c r="AK96" t="s">
        <v>121</v>
      </c>
    </row>
    <row r="97" spans="1:37" x14ac:dyDescent="0.3">
      <c r="A97" t="s">
        <v>96</v>
      </c>
      <c r="B97" t="s">
        <v>268</v>
      </c>
      <c r="I97">
        <f ca="1">IF(OR(INDIRECT(A73&amp;ROW())=B93,INDIRECT(A73&amp;ROW())=B94),1,IF(AND(INDIRECT(A73&amp;ROW())=B95,INDIRECT(A96&amp;ROW())=C93),1,IF(AND(INDIRECT(A73&amp;ROW())=B95,INDIRECT(A96&amp;ROW())=C94),1,0)))</f>
        <v>1</v>
      </c>
      <c r="J97">
        <f ca="1">IF(AND(INDIRECT(A73&amp;ROW())=B95,INDIRECT(A96&amp;ROW())=C95),1,IF(AND(INDIRECT(A73&amp;ROW())=B95,INDIRECT(A96&amp;ROW())=C96),1,0))</f>
        <v>0</v>
      </c>
      <c r="K97">
        <f ca="1">DAYS360(INDIRECT(C68&amp;ROW()),TODAY())</f>
        <v>730</v>
      </c>
      <c r="L97">
        <f ca="1">DAYS360(INDIRECT(C69&amp;ROW()),TODAY())</f>
        <v>899</v>
      </c>
      <c r="M97" s="11">
        <f ca="1">HYPERLINK(CONCATENATE("https://bugzilla.houston.hp.com:1181/bugzilla/show_bug.cgi?id=",INDIRECT(C70&amp;ROW())),INDIRECT(C70&amp;ROW()))</f>
        <v>52554</v>
      </c>
      <c r="N97">
        <v>52554</v>
      </c>
      <c r="O97" t="s">
        <v>56</v>
      </c>
      <c r="P97" t="s">
        <v>424</v>
      </c>
      <c r="Q97" t="s">
        <v>39</v>
      </c>
      <c r="R97" t="s">
        <v>251</v>
      </c>
      <c r="S97" t="s">
        <v>44</v>
      </c>
      <c r="U97" s="6">
        <v>42116.731180555558</v>
      </c>
      <c r="V97" t="s">
        <v>18</v>
      </c>
      <c r="W97" t="s">
        <v>17</v>
      </c>
      <c r="X97" s="6">
        <v>41946.468263888892</v>
      </c>
      <c r="Y97" t="s">
        <v>245</v>
      </c>
      <c r="AB97" t="s">
        <v>200</v>
      </c>
      <c r="AC97" t="s">
        <v>121</v>
      </c>
      <c r="AD97" t="s">
        <v>220</v>
      </c>
      <c r="AE97" t="s">
        <v>219</v>
      </c>
      <c r="AG97" t="s">
        <v>121</v>
      </c>
      <c r="AH97" t="s">
        <v>327</v>
      </c>
      <c r="AI97" t="s">
        <v>362</v>
      </c>
      <c r="AJ97" t="s">
        <v>715</v>
      </c>
      <c r="AK97" t="s">
        <v>121</v>
      </c>
    </row>
    <row r="98" spans="1:37" x14ac:dyDescent="0.3">
      <c r="A98" t="s">
        <v>263</v>
      </c>
      <c r="B98" t="s">
        <v>269</v>
      </c>
      <c r="C98" t="s">
        <v>270</v>
      </c>
      <c r="I98">
        <f ca="1">IF(OR(INDIRECT(A73&amp;ROW())=B93,INDIRECT(A73&amp;ROW())=B94),1,IF(AND(INDIRECT(A73&amp;ROW())=B95,INDIRECT(A96&amp;ROW())=C93),1,IF(AND(INDIRECT(A73&amp;ROW())=B95,INDIRECT(A96&amp;ROW())=C94),1,0)))</f>
        <v>1</v>
      </c>
      <c r="J98">
        <f ca="1">IF(AND(INDIRECT(A73&amp;ROW())=B95,INDIRECT(A96&amp;ROW())=C95),1,IF(AND(INDIRECT(A73&amp;ROW())=B95,INDIRECT(A96&amp;ROW())=C96),1,0))</f>
        <v>0</v>
      </c>
      <c r="K98">
        <f ca="1">DAYS360(INDIRECT(C68&amp;ROW()),TODAY())</f>
        <v>730</v>
      </c>
      <c r="L98">
        <f ca="1">DAYS360(INDIRECT(C69&amp;ROW()),TODAY())</f>
        <v>899</v>
      </c>
      <c r="M98" s="11">
        <f ca="1">HYPERLINK(CONCATENATE("https://bugzilla.houston.hp.com:1181/bugzilla/show_bug.cgi?id=",INDIRECT(C70&amp;ROW())),INDIRECT(C70&amp;ROW()))</f>
        <v>52555</v>
      </c>
      <c r="N98">
        <v>52555</v>
      </c>
      <c r="O98" t="s">
        <v>55</v>
      </c>
      <c r="P98" t="s">
        <v>471</v>
      </c>
      <c r="Q98" t="s">
        <v>25</v>
      </c>
      <c r="R98" t="s">
        <v>251</v>
      </c>
      <c r="S98" t="s">
        <v>44</v>
      </c>
      <c r="U98" s="6">
        <v>42116.454155092593</v>
      </c>
      <c r="V98" t="s">
        <v>18</v>
      </c>
      <c r="W98" t="s">
        <v>17</v>
      </c>
      <c r="X98" s="6">
        <v>41946.474421296298</v>
      </c>
      <c r="Y98" t="s">
        <v>793</v>
      </c>
      <c r="AB98" t="s">
        <v>200</v>
      </c>
      <c r="AC98" t="s">
        <v>121</v>
      </c>
      <c r="AD98" t="s">
        <v>220</v>
      </c>
      <c r="AE98" t="s">
        <v>219</v>
      </c>
      <c r="AG98" t="s">
        <v>121</v>
      </c>
      <c r="AH98" t="s">
        <v>327</v>
      </c>
      <c r="AI98" t="s">
        <v>121</v>
      </c>
      <c r="AJ98" t="s">
        <v>715</v>
      </c>
      <c r="AK98" t="s">
        <v>121</v>
      </c>
    </row>
    <row r="99" spans="1:37" x14ac:dyDescent="0.3">
      <c r="A99" t="s">
        <v>95</v>
      </c>
      <c r="B99" t="s">
        <v>347</v>
      </c>
      <c r="I99">
        <f ca="1">IF(OR(INDIRECT(A73&amp;ROW())=B93,INDIRECT(A73&amp;ROW())=B94),1,IF(AND(INDIRECT(A73&amp;ROW())=B95,INDIRECT(A96&amp;ROW())=C93),1,IF(AND(INDIRECT(A73&amp;ROW())=B95,INDIRECT(A96&amp;ROW())=C94),1,0)))</f>
        <v>0</v>
      </c>
      <c r="J99">
        <f ca="1">IF(AND(INDIRECT(A73&amp;ROW())=B95,INDIRECT(A96&amp;ROW())=C95),1,IF(AND(INDIRECT(A73&amp;ROW())=B95,INDIRECT(A96&amp;ROW())=C96),1,0))</f>
        <v>1</v>
      </c>
      <c r="K99">
        <f ca="1">DAYS360(INDIRECT(C68&amp;ROW()),TODAY())</f>
        <v>730</v>
      </c>
      <c r="L99">
        <f ca="1">DAYS360(INDIRECT(C69&amp;ROW()),TODAY())</f>
        <v>899</v>
      </c>
      <c r="M99" s="11">
        <f ca="1">HYPERLINK(CONCATENATE("https://bugzilla.houston.hp.com:1181/bugzilla/show_bug.cgi?id=",INDIRECT(C70&amp;ROW())),INDIRECT(C70&amp;ROW()))</f>
        <v>52558</v>
      </c>
      <c r="N99">
        <v>52558</v>
      </c>
      <c r="O99" t="s">
        <v>66</v>
      </c>
      <c r="P99" t="s">
        <v>473</v>
      </c>
      <c r="Q99" t="s">
        <v>25</v>
      </c>
      <c r="R99" t="s">
        <v>251</v>
      </c>
      <c r="S99" t="s">
        <v>44</v>
      </c>
      <c r="U99" s="6">
        <v>42116.542615740742</v>
      </c>
      <c r="V99" t="s">
        <v>18</v>
      </c>
      <c r="W99" t="s">
        <v>17</v>
      </c>
      <c r="X99" s="6">
        <v>41946.490312499998</v>
      </c>
      <c r="Y99" t="s">
        <v>119</v>
      </c>
      <c r="AB99" t="s">
        <v>201</v>
      </c>
      <c r="AC99" t="s">
        <v>121</v>
      </c>
      <c r="AD99" t="s">
        <v>220</v>
      </c>
      <c r="AE99" t="s">
        <v>219</v>
      </c>
      <c r="AF99" s="13">
        <v>41901</v>
      </c>
      <c r="AG99" t="s">
        <v>121</v>
      </c>
      <c r="AH99" t="s">
        <v>64</v>
      </c>
      <c r="AI99" t="s">
        <v>363</v>
      </c>
      <c r="AJ99" t="s">
        <v>716</v>
      </c>
      <c r="AK99" t="s">
        <v>121</v>
      </c>
    </row>
    <row r="100" spans="1:37" x14ac:dyDescent="0.3">
      <c r="I100">
        <f ca="1">IF(OR(INDIRECT(A73&amp;ROW())=B93,INDIRECT(A73&amp;ROW())=B94),1,IF(AND(INDIRECT(A73&amp;ROW())=B95,INDIRECT(A96&amp;ROW())=C93),1,IF(AND(INDIRECT(A73&amp;ROW())=B95,INDIRECT(A96&amp;ROW())=C94),1,0)))</f>
        <v>0</v>
      </c>
      <c r="J100">
        <f ca="1">IF(AND(INDIRECT(A73&amp;ROW())=B95,INDIRECT(A96&amp;ROW())=C95),1,IF(AND(INDIRECT(A73&amp;ROW())=B95,INDIRECT(A96&amp;ROW())=C96),1,0))</f>
        <v>0</v>
      </c>
      <c r="K100">
        <f ca="1">DAYS360(INDIRECT(C68&amp;ROW()),TODAY())</f>
        <v>730</v>
      </c>
      <c r="L100">
        <f ca="1">DAYS360(INDIRECT(C69&amp;ROW()),TODAY())</f>
        <v>898</v>
      </c>
      <c r="M100" s="11">
        <f ca="1">HYPERLINK(CONCATENATE("https://bugzilla.houston.hp.com:1181/bugzilla/show_bug.cgi?id=",INDIRECT(C70&amp;ROW())),INDIRECT(C70&amp;ROW()))</f>
        <v>52603</v>
      </c>
      <c r="N100">
        <v>52603</v>
      </c>
      <c r="O100" t="s">
        <v>56</v>
      </c>
      <c r="P100" t="s">
        <v>491</v>
      </c>
      <c r="Q100" t="s">
        <v>16</v>
      </c>
      <c r="R100" t="s">
        <v>251</v>
      </c>
      <c r="S100" t="s">
        <v>155</v>
      </c>
      <c r="U100" s="6">
        <v>42116.542743055557</v>
      </c>
      <c r="V100" t="s">
        <v>40</v>
      </c>
      <c r="W100" t="s">
        <v>17</v>
      </c>
      <c r="X100" s="6">
        <v>41947.299305555556</v>
      </c>
      <c r="Y100" t="s">
        <v>255</v>
      </c>
      <c r="AB100" t="s">
        <v>199</v>
      </c>
      <c r="AC100" t="s">
        <v>247</v>
      </c>
      <c r="AD100" t="s">
        <v>220</v>
      </c>
      <c r="AE100" t="s">
        <v>219</v>
      </c>
      <c r="AG100" t="s">
        <v>121</v>
      </c>
      <c r="AH100" t="s">
        <v>327</v>
      </c>
      <c r="AI100" t="s">
        <v>121</v>
      </c>
      <c r="AJ100" t="s">
        <v>716</v>
      </c>
      <c r="AK100" t="s">
        <v>121</v>
      </c>
    </row>
    <row r="101" spans="1:37" x14ac:dyDescent="0.3">
      <c r="I101">
        <f ca="1">IF(OR(INDIRECT(A73&amp;ROW())=B93,INDIRECT(A73&amp;ROW())=B94),1,IF(AND(INDIRECT(A73&amp;ROW())=B95,INDIRECT(A96&amp;ROW())=C93),1,IF(AND(INDIRECT(A73&amp;ROW())=B95,INDIRECT(A96&amp;ROW())=C94),1,0)))</f>
        <v>0</v>
      </c>
      <c r="J101">
        <f ca="1">IF(AND(INDIRECT(A73&amp;ROW())=B95,INDIRECT(A96&amp;ROW())=C95),1,IF(AND(INDIRECT(A73&amp;ROW())=B95,INDIRECT(A96&amp;ROW())=C96),1,0))</f>
        <v>0</v>
      </c>
      <c r="K101">
        <f ca="1">DAYS360(INDIRECT(C68&amp;ROW()),TODAY())</f>
        <v>730</v>
      </c>
      <c r="L101">
        <f ca="1">DAYS360(INDIRECT(C69&amp;ROW()),TODAY())</f>
        <v>898</v>
      </c>
      <c r="M101" s="11">
        <f ca="1">HYPERLINK(CONCATENATE("https://bugzilla.houston.hp.com:1181/bugzilla/show_bug.cgi?id=",INDIRECT(C70&amp;ROW())),INDIRECT(C70&amp;ROW()))</f>
        <v>52633</v>
      </c>
      <c r="N101">
        <v>52633</v>
      </c>
      <c r="O101" t="s">
        <v>55</v>
      </c>
      <c r="P101" t="s">
        <v>741</v>
      </c>
      <c r="Q101" t="s">
        <v>16</v>
      </c>
      <c r="R101" t="s">
        <v>251</v>
      </c>
      <c r="S101" t="s">
        <v>365</v>
      </c>
      <c r="U101" s="6">
        <v>42116.542916666665</v>
      </c>
      <c r="V101" t="s">
        <v>35</v>
      </c>
      <c r="W101" t="s">
        <v>17</v>
      </c>
      <c r="X101" s="6">
        <v>41947.458136574074</v>
      </c>
      <c r="Y101" t="s">
        <v>246</v>
      </c>
      <c r="AB101" t="s">
        <v>200</v>
      </c>
      <c r="AC101" t="s">
        <v>247</v>
      </c>
      <c r="AD101" t="s">
        <v>220</v>
      </c>
      <c r="AE101" t="s">
        <v>219</v>
      </c>
      <c r="AG101" t="s">
        <v>121</v>
      </c>
      <c r="AH101" t="s">
        <v>327</v>
      </c>
      <c r="AI101" t="s">
        <v>121</v>
      </c>
      <c r="AJ101" t="s">
        <v>716</v>
      </c>
      <c r="AK101" t="s">
        <v>121</v>
      </c>
    </row>
    <row r="102" spans="1:37" x14ac:dyDescent="0.3">
      <c r="I102">
        <f ca="1">IF(OR(INDIRECT(A73&amp;ROW())=B93,INDIRECT(A73&amp;ROW())=B94),1,IF(AND(INDIRECT(A73&amp;ROW())=B95,INDIRECT(A96&amp;ROW())=C93),1,IF(AND(INDIRECT(A73&amp;ROW())=B95,INDIRECT(A96&amp;ROW())=C94),1,0)))</f>
        <v>0</v>
      </c>
      <c r="J102">
        <f ca="1">IF(AND(INDIRECT(A73&amp;ROW())=B95,INDIRECT(A96&amp;ROW())=C95),1,IF(AND(INDIRECT(A73&amp;ROW())=B95,INDIRECT(A96&amp;ROW())=C96),1,0))</f>
        <v>0</v>
      </c>
      <c r="K102">
        <f ca="1">DAYS360(INDIRECT(C68&amp;ROW()),TODAY())</f>
        <v>714</v>
      </c>
      <c r="L102">
        <f ca="1">DAYS360(INDIRECT(C69&amp;ROW()),TODAY())</f>
        <v>898</v>
      </c>
      <c r="M102" s="11">
        <f ca="1">HYPERLINK(CONCATENATE("https://bugzilla.houston.hp.com:1181/bugzilla/show_bug.cgi?id=",INDIRECT(C70&amp;ROW())),INDIRECT(C70&amp;ROW()))</f>
        <v>52651</v>
      </c>
      <c r="N102">
        <v>52651</v>
      </c>
      <c r="O102" t="s">
        <v>56</v>
      </c>
      <c r="P102" t="s">
        <v>929</v>
      </c>
      <c r="Q102" t="s">
        <v>16</v>
      </c>
      <c r="R102" t="s">
        <v>251</v>
      </c>
      <c r="S102" t="s">
        <v>292</v>
      </c>
      <c r="T102" t="s">
        <v>842</v>
      </c>
      <c r="U102" s="6">
        <v>42132.358182870368</v>
      </c>
      <c r="V102" t="s">
        <v>18</v>
      </c>
      <c r="W102" t="s">
        <v>17</v>
      </c>
      <c r="X102" s="6">
        <v>41947.710601851853</v>
      </c>
      <c r="Y102" t="s">
        <v>785</v>
      </c>
      <c r="AB102" t="s">
        <v>200</v>
      </c>
      <c r="AC102" t="s">
        <v>247</v>
      </c>
      <c r="AD102" t="s">
        <v>220</v>
      </c>
      <c r="AE102" t="s">
        <v>219</v>
      </c>
      <c r="AG102" t="s">
        <v>121</v>
      </c>
      <c r="AH102" t="s">
        <v>327</v>
      </c>
      <c r="AI102" t="s">
        <v>121</v>
      </c>
      <c r="AJ102" t="s">
        <v>716</v>
      </c>
      <c r="AK102" t="s">
        <v>121</v>
      </c>
    </row>
    <row r="103" spans="1:37" x14ac:dyDescent="0.3">
      <c r="I103">
        <f ca="1">IF(OR(INDIRECT(A73&amp;ROW())=B93,INDIRECT(A73&amp;ROW())=B94),1,IF(AND(INDIRECT(A73&amp;ROW())=B95,INDIRECT(A96&amp;ROW())=C93),1,IF(AND(INDIRECT(A73&amp;ROW())=B95,INDIRECT(A96&amp;ROW())=C94),1,0)))</f>
        <v>1</v>
      </c>
      <c r="J103">
        <f ca="1">IF(AND(INDIRECT(A73&amp;ROW())=B95,INDIRECT(A96&amp;ROW())=C95),1,IF(AND(INDIRECT(A73&amp;ROW())=B95,INDIRECT(A96&amp;ROW())=C96),1,0))</f>
        <v>0</v>
      </c>
      <c r="K103">
        <f ca="1">DAYS360(INDIRECT(C68&amp;ROW()),TODAY())</f>
        <v>730</v>
      </c>
      <c r="L103">
        <f ca="1">DAYS360(INDIRECT(C69&amp;ROW()),TODAY())</f>
        <v>897</v>
      </c>
      <c r="M103" s="11">
        <f ca="1">HYPERLINK(CONCATENATE("https://bugzilla.houston.hp.com:1181/bugzilla/show_bug.cgi?id=",INDIRECT(C70&amp;ROW())),INDIRECT(C70&amp;ROW()))</f>
        <v>52678</v>
      </c>
      <c r="N103">
        <v>52678</v>
      </c>
      <c r="O103" t="s">
        <v>298</v>
      </c>
      <c r="P103" t="s">
        <v>470</v>
      </c>
      <c r="Q103" t="s">
        <v>39</v>
      </c>
      <c r="R103" t="s">
        <v>251</v>
      </c>
      <c r="S103" t="s">
        <v>321</v>
      </c>
      <c r="U103" s="6">
        <v>42116.453344907408</v>
      </c>
      <c r="V103" t="s">
        <v>18</v>
      </c>
      <c r="W103" t="s">
        <v>17</v>
      </c>
      <c r="X103" s="6">
        <v>41948.176805555559</v>
      </c>
      <c r="Y103" t="s">
        <v>119</v>
      </c>
      <c r="AB103" t="s">
        <v>201</v>
      </c>
      <c r="AC103" t="s">
        <v>247</v>
      </c>
      <c r="AD103" t="s">
        <v>227</v>
      </c>
      <c r="AE103" t="s">
        <v>231</v>
      </c>
      <c r="AG103" t="s">
        <v>121</v>
      </c>
      <c r="AH103" t="s">
        <v>327</v>
      </c>
      <c r="AI103" t="s">
        <v>121</v>
      </c>
      <c r="AJ103" t="s">
        <v>715</v>
      </c>
      <c r="AK103" t="s">
        <v>121</v>
      </c>
    </row>
    <row r="104" spans="1:37" x14ac:dyDescent="0.3">
      <c r="I104">
        <f ca="1">IF(OR(INDIRECT(A73&amp;ROW())=B93,INDIRECT(A73&amp;ROW())=B94),1,IF(AND(INDIRECT(A73&amp;ROW())=B95,INDIRECT(A96&amp;ROW())=C93),1,IF(AND(INDIRECT(A73&amp;ROW())=B95,INDIRECT(A96&amp;ROW())=C94),1,0)))</f>
        <v>0</v>
      </c>
      <c r="J104">
        <f ca="1">IF(AND(INDIRECT(A73&amp;ROW())=B95,INDIRECT(A96&amp;ROW())=C95),1,IF(AND(INDIRECT(A73&amp;ROW())=B95,INDIRECT(A96&amp;ROW())=C96),1,0))</f>
        <v>0</v>
      </c>
      <c r="K104">
        <f ca="1">DAYS360(INDIRECT(C68&amp;ROW()),TODAY())</f>
        <v>721</v>
      </c>
      <c r="L104">
        <f ca="1">DAYS360(INDIRECT(C69&amp;ROW()),TODAY())</f>
        <v>897</v>
      </c>
      <c r="M104" s="11">
        <f ca="1">HYPERLINK(CONCATENATE("https://bugzilla.houston.hp.com:1181/bugzilla/show_bug.cgi?id=",INDIRECT(C70&amp;ROW())),INDIRECT(C70&amp;ROW()))</f>
        <v>52707</v>
      </c>
      <c r="N104">
        <v>52707</v>
      </c>
      <c r="O104" t="s">
        <v>241</v>
      </c>
      <c r="P104" t="s">
        <v>490</v>
      </c>
      <c r="Q104" t="s">
        <v>16</v>
      </c>
      <c r="R104" t="s">
        <v>251</v>
      </c>
      <c r="S104" t="s">
        <v>367</v>
      </c>
      <c r="T104" t="s">
        <v>782</v>
      </c>
      <c r="U104" s="6">
        <v>42125.653182870374</v>
      </c>
      <c r="V104" t="s">
        <v>40</v>
      </c>
      <c r="W104" t="s">
        <v>17</v>
      </c>
      <c r="X104" s="6">
        <v>41948.442997685182</v>
      </c>
      <c r="Y104" t="s">
        <v>245</v>
      </c>
      <c r="AB104" t="s">
        <v>201</v>
      </c>
      <c r="AC104" t="s">
        <v>247</v>
      </c>
      <c r="AD104" t="s">
        <v>227</v>
      </c>
      <c r="AE104" t="s">
        <v>237</v>
      </c>
      <c r="AG104" t="s">
        <v>121</v>
      </c>
      <c r="AH104" t="s">
        <v>327</v>
      </c>
      <c r="AI104" t="s">
        <v>121</v>
      </c>
      <c r="AJ104" t="s">
        <v>717</v>
      </c>
      <c r="AK104" t="s">
        <v>121</v>
      </c>
    </row>
    <row r="105" spans="1:37" x14ac:dyDescent="0.3">
      <c r="I105">
        <f ca="1">IF(OR(INDIRECT(A73&amp;ROW())=B93,INDIRECT(A73&amp;ROW())=B94),1,IF(AND(INDIRECT(A73&amp;ROW())=B95,INDIRECT(A96&amp;ROW())=C93),1,IF(AND(INDIRECT(A73&amp;ROW())=B95,INDIRECT(A96&amp;ROW())=C94),1,0)))</f>
        <v>1</v>
      </c>
      <c r="J105">
        <f ca="1">IF(AND(INDIRECT(A73&amp;ROW())=B95,INDIRECT(A96&amp;ROW())=C95),1,IF(AND(INDIRECT(A73&amp;ROW())=B95,INDIRECT(A96&amp;ROW())=C96),1,0))</f>
        <v>0</v>
      </c>
      <c r="K105">
        <f ca="1">DAYS360(INDIRECT(C68&amp;ROW()),TODAY())</f>
        <v>710</v>
      </c>
      <c r="L105">
        <f ca="1">DAYS360(INDIRECT(C69&amp;ROW()),TODAY())</f>
        <v>897</v>
      </c>
      <c r="M105" s="11">
        <f ca="1">HYPERLINK(CONCATENATE("https://bugzilla.houston.hp.com:1181/bugzilla/show_bug.cgi?id=",INDIRECT(C70&amp;ROW())),INDIRECT(C70&amp;ROW()))</f>
        <v>52720</v>
      </c>
      <c r="N105">
        <v>52720</v>
      </c>
      <c r="O105" t="s">
        <v>22</v>
      </c>
      <c r="P105" t="s">
        <v>857</v>
      </c>
      <c r="Q105" t="s">
        <v>39</v>
      </c>
      <c r="R105" t="s">
        <v>251</v>
      </c>
      <c r="S105" t="s">
        <v>369</v>
      </c>
      <c r="U105" s="6">
        <v>42136.734016203707</v>
      </c>
      <c r="V105" t="s">
        <v>18</v>
      </c>
      <c r="W105" t="s">
        <v>17</v>
      </c>
      <c r="X105" s="6">
        <v>41948.632592592592</v>
      </c>
      <c r="Y105" t="s">
        <v>245</v>
      </c>
      <c r="AB105" t="s">
        <v>201</v>
      </c>
      <c r="AC105" t="s">
        <v>247</v>
      </c>
      <c r="AD105" t="s">
        <v>222</v>
      </c>
      <c r="AE105" t="s">
        <v>221</v>
      </c>
      <c r="AG105" t="s">
        <v>121</v>
      </c>
      <c r="AH105" t="s">
        <v>327</v>
      </c>
      <c r="AI105" t="s">
        <v>121</v>
      </c>
      <c r="AJ105" t="s">
        <v>715</v>
      </c>
      <c r="AK105" t="s">
        <v>121</v>
      </c>
    </row>
    <row r="106" spans="1:37" x14ac:dyDescent="0.3">
      <c r="I106">
        <f ca="1">IF(OR(INDIRECT(A73&amp;ROW())=B93,INDIRECT(A73&amp;ROW())=B94),1,IF(AND(INDIRECT(A73&amp;ROW())=B95,INDIRECT(A96&amp;ROW())=C93),1,IF(AND(INDIRECT(A73&amp;ROW())=B95,INDIRECT(A96&amp;ROW())=C94),1,0)))</f>
        <v>0</v>
      </c>
      <c r="J106">
        <f ca="1">IF(AND(INDIRECT(A73&amp;ROW())=B95,INDIRECT(A96&amp;ROW())=C95),1,IF(AND(INDIRECT(A73&amp;ROW())=B95,INDIRECT(A96&amp;ROW())=C96),1,0))</f>
        <v>1</v>
      </c>
      <c r="K106">
        <f ca="1">DAYS360(INDIRECT(C68&amp;ROW()),TODAY())</f>
        <v>730</v>
      </c>
      <c r="L106">
        <f ca="1">DAYS360(INDIRECT(C69&amp;ROW()),TODAY())</f>
        <v>896</v>
      </c>
      <c r="M106" s="11">
        <f ca="1">HYPERLINK(CONCATENATE("https://bugzilla.houston.hp.com:1181/bugzilla/show_bug.cgi?id=",INDIRECT(C70&amp;ROW())),INDIRECT(C70&amp;ROW()))</f>
        <v>52807</v>
      </c>
      <c r="N106">
        <v>52807</v>
      </c>
      <c r="O106" t="s">
        <v>88</v>
      </c>
      <c r="P106" t="s">
        <v>680</v>
      </c>
      <c r="Q106" t="s">
        <v>25</v>
      </c>
      <c r="R106" t="s">
        <v>251</v>
      </c>
      <c r="S106" t="s">
        <v>28</v>
      </c>
      <c r="U106" s="6">
        <v>42116.543541666666</v>
      </c>
      <c r="V106" t="s">
        <v>18</v>
      </c>
      <c r="W106" t="s">
        <v>17</v>
      </c>
      <c r="X106" s="6">
        <v>41949.735173611109</v>
      </c>
      <c r="Y106" t="s">
        <v>246</v>
      </c>
      <c r="AB106" t="s">
        <v>201</v>
      </c>
      <c r="AC106" t="s">
        <v>247</v>
      </c>
      <c r="AD106" t="s">
        <v>222</v>
      </c>
      <c r="AE106" t="s">
        <v>221</v>
      </c>
      <c r="AG106" t="s">
        <v>121</v>
      </c>
      <c r="AH106" t="s">
        <v>327</v>
      </c>
      <c r="AI106" t="s">
        <v>121</v>
      </c>
      <c r="AJ106" t="s">
        <v>716</v>
      </c>
      <c r="AK106" t="s">
        <v>121</v>
      </c>
    </row>
    <row r="107" spans="1:37" x14ac:dyDescent="0.3">
      <c r="I107">
        <f ca="1">IF(OR(INDIRECT(A73&amp;ROW())=B93,INDIRECT(A73&amp;ROW())=B94),1,IF(AND(INDIRECT(A73&amp;ROW())=B95,INDIRECT(A96&amp;ROW())=C93),1,IF(AND(INDIRECT(A73&amp;ROW())=B95,INDIRECT(A96&amp;ROW())=C94),1,0)))</f>
        <v>0</v>
      </c>
      <c r="J107">
        <f ca="1">IF(AND(INDIRECT(A73&amp;ROW())=B95,INDIRECT(A96&amp;ROW())=C95),1,IF(AND(INDIRECT(A73&amp;ROW())=B95,INDIRECT(A96&amp;ROW())=C96),1,0))</f>
        <v>1</v>
      </c>
      <c r="K107">
        <f ca="1">DAYS360(INDIRECT(C68&amp;ROW()),TODAY())</f>
        <v>730</v>
      </c>
      <c r="L107">
        <f ca="1">DAYS360(INDIRECT(C69&amp;ROW()),TODAY())</f>
        <v>896</v>
      </c>
      <c r="M107" s="11">
        <f ca="1">HYPERLINK(CONCATENATE("https://bugzilla.houston.hp.com:1181/bugzilla/show_bug.cgi?id=",INDIRECT(C70&amp;ROW())),INDIRECT(C70&amp;ROW()))</f>
        <v>52811</v>
      </c>
      <c r="N107">
        <v>52811</v>
      </c>
      <c r="O107" t="s">
        <v>88</v>
      </c>
      <c r="P107" t="s">
        <v>679</v>
      </c>
      <c r="Q107" t="s">
        <v>25</v>
      </c>
      <c r="R107" t="s">
        <v>251</v>
      </c>
      <c r="S107" t="s">
        <v>49</v>
      </c>
      <c r="U107" s="6">
        <v>42116.543622685182</v>
      </c>
      <c r="V107" t="s">
        <v>18</v>
      </c>
      <c r="W107" t="s">
        <v>17</v>
      </c>
      <c r="X107" s="6">
        <v>41949.822881944441</v>
      </c>
      <c r="Y107" t="s">
        <v>246</v>
      </c>
      <c r="AB107" t="s">
        <v>201</v>
      </c>
      <c r="AC107" t="s">
        <v>247</v>
      </c>
      <c r="AD107" t="s">
        <v>222</v>
      </c>
      <c r="AE107" t="s">
        <v>221</v>
      </c>
      <c r="AG107" t="s">
        <v>121</v>
      </c>
      <c r="AH107" t="s">
        <v>327</v>
      </c>
      <c r="AI107" t="s">
        <v>121</v>
      </c>
      <c r="AJ107" t="s">
        <v>716</v>
      </c>
      <c r="AK107" t="s">
        <v>121</v>
      </c>
    </row>
    <row r="108" spans="1:37" x14ac:dyDescent="0.3">
      <c r="I108">
        <f ca="1">IF(OR(INDIRECT(A73&amp;ROW())=B93,INDIRECT(A73&amp;ROW())=B94),1,IF(AND(INDIRECT(A73&amp;ROW())=B95,INDIRECT(A96&amp;ROW())=C93),1,IF(AND(INDIRECT(A73&amp;ROW())=B95,INDIRECT(A96&amp;ROW())=C94),1,0)))</f>
        <v>0</v>
      </c>
      <c r="J108">
        <f ca="1">IF(AND(INDIRECT(A73&amp;ROW())=B95,INDIRECT(A96&amp;ROW())=C95),1,IF(AND(INDIRECT(A73&amp;ROW())=B95,INDIRECT(A96&amp;ROW())=C96),1,0))</f>
        <v>0</v>
      </c>
      <c r="K108">
        <f ca="1">DAYS360(INDIRECT(C68&amp;ROW()),TODAY())</f>
        <v>721</v>
      </c>
      <c r="L108">
        <f ca="1">DAYS360(INDIRECT(C69&amp;ROW()),TODAY())</f>
        <v>895</v>
      </c>
      <c r="M108" s="11">
        <f ca="1">HYPERLINK(CONCATENATE("https://bugzilla.houston.hp.com:1181/bugzilla/show_bug.cgi?id=",INDIRECT(C70&amp;ROW())),INDIRECT(C70&amp;ROW()))</f>
        <v>52820</v>
      </c>
      <c r="N108">
        <v>52820</v>
      </c>
      <c r="O108" t="s">
        <v>88</v>
      </c>
      <c r="P108" t="s">
        <v>678</v>
      </c>
      <c r="Q108" t="s">
        <v>16</v>
      </c>
      <c r="R108" t="s">
        <v>251</v>
      </c>
      <c r="S108" t="s">
        <v>344</v>
      </c>
      <c r="U108" s="6">
        <v>42125.447638888887</v>
      </c>
      <c r="V108" t="s">
        <v>18</v>
      </c>
      <c r="W108" t="s">
        <v>17</v>
      </c>
      <c r="X108" s="6">
        <v>41950.132824074077</v>
      </c>
      <c r="Y108" t="s">
        <v>122</v>
      </c>
      <c r="AB108" t="s">
        <v>201</v>
      </c>
      <c r="AC108" t="s">
        <v>247</v>
      </c>
      <c r="AD108" t="s">
        <v>222</v>
      </c>
      <c r="AE108" t="s">
        <v>221</v>
      </c>
      <c r="AG108" t="s">
        <v>121</v>
      </c>
      <c r="AH108" t="s">
        <v>327</v>
      </c>
      <c r="AI108" t="s">
        <v>121</v>
      </c>
      <c r="AJ108" t="s">
        <v>717</v>
      </c>
      <c r="AK108" t="s">
        <v>121</v>
      </c>
    </row>
    <row r="109" spans="1:37" x14ac:dyDescent="0.3">
      <c r="I109">
        <f ca="1">IF(OR(INDIRECT(A73&amp;ROW())=B93,INDIRECT(A73&amp;ROW())=B94),1,IF(AND(INDIRECT(A73&amp;ROW())=B95,INDIRECT(A96&amp;ROW())=C93),1,IF(AND(INDIRECT(A73&amp;ROW())=B95,INDIRECT(A96&amp;ROW())=C94),1,0)))</f>
        <v>0</v>
      </c>
      <c r="J109">
        <f ca="1">IF(AND(INDIRECT(A73&amp;ROW())=B95,INDIRECT(A96&amp;ROW())=C95),1,IF(AND(INDIRECT(A73&amp;ROW())=B95,INDIRECT(A96&amp;ROW())=C96),1,0))</f>
        <v>0</v>
      </c>
      <c r="K109">
        <f ca="1">DAYS360(INDIRECT(C68&amp;ROW()),TODAY())</f>
        <v>728</v>
      </c>
      <c r="L109">
        <f ca="1">DAYS360(INDIRECT(C69&amp;ROW()),TODAY())</f>
        <v>895</v>
      </c>
      <c r="M109" s="11">
        <f ca="1">HYPERLINK(CONCATENATE("https://bugzilla.houston.hp.com:1181/bugzilla/show_bug.cgi?id=",INDIRECT(C70&amp;ROW())),INDIRECT(C70&amp;ROW()))</f>
        <v>52830</v>
      </c>
      <c r="N109">
        <v>52830</v>
      </c>
      <c r="O109" t="s">
        <v>66</v>
      </c>
      <c r="P109" t="s">
        <v>677</v>
      </c>
      <c r="Q109" t="s">
        <v>16</v>
      </c>
      <c r="R109" t="s">
        <v>251</v>
      </c>
      <c r="S109" t="s">
        <v>366</v>
      </c>
      <c r="U109" s="6">
        <v>42118.522511574076</v>
      </c>
      <c r="V109" t="s">
        <v>18</v>
      </c>
      <c r="W109" t="s">
        <v>17</v>
      </c>
      <c r="X109" s="6">
        <v>41950.29074074074</v>
      </c>
      <c r="Y109" t="s">
        <v>124</v>
      </c>
      <c r="AB109" t="s">
        <v>201</v>
      </c>
      <c r="AC109" t="s">
        <v>247</v>
      </c>
      <c r="AD109" t="s">
        <v>220</v>
      </c>
      <c r="AE109" t="s">
        <v>219</v>
      </c>
      <c r="AG109" t="s">
        <v>121</v>
      </c>
      <c r="AH109" t="s">
        <v>327</v>
      </c>
      <c r="AI109" t="s">
        <v>121</v>
      </c>
      <c r="AJ109" t="s">
        <v>717</v>
      </c>
      <c r="AK109" t="s">
        <v>121</v>
      </c>
    </row>
    <row r="110" spans="1:37" x14ac:dyDescent="0.3">
      <c r="I110">
        <f ca="1">IF(OR(INDIRECT(A73&amp;ROW())=B93,INDIRECT(A73&amp;ROW())=B94),1,IF(AND(INDIRECT(A73&amp;ROW())=B95,INDIRECT(A96&amp;ROW())=C93),1,IF(AND(INDIRECT(A73&amp;ROW())=B95,INDIRECT(A96&amp;ROW())=C94),1,0)))</f>
        <v>0</v>
      </c>
      <c r="J110">
        <f ca="1">IF(AND(INDIRECT(A73&amp;ROW())=B95,INDIRECT(A96&amp;ROW())=C95),1,IF(AND(INDIRECT(A73&amp;ROW())=B95,INDIRECT(A96&amp;ROW())=C96),1,0))</f>
        <v>0</v>
      </c>
      <c r="K110">
        <f ca="1">DAYS360(INDIRECT(C68&amp;ROW()),TODAY())</f>
        <v>728</v>
      </c>
      <c r="L110">
        <f ca="1">DAYS360(INDIRECT(C69&amp;ROW()),TODAY())</f>
        <v>892</v>
      </c>
      <c r="M110" s="11">
        <f ca="1">HYPERLINK(CONCATENATE("https://bugzilla.houston.hp.com:1181/bugzilla/show_bug.cgi?id=",INDIRECT(C70&amp;ROW())),INDIRECT(C70&amp;ROW()))</f>
        <v>52912</v>
      </c>
      <c r="N110">
        <v>52912</v>
      </c>
      <c r="O110" t="s">
        <v>180</v>
      </c>
      <c r="P110" t="s">
        <v>676</v>
      </c>
      <c r="Q110" t="s">
        <v>16</v>
      </c>
      <c r="R110" t="s">
        <v>251</v>
      </c>
      <c r="S110" t="s">
        <v>368</v>
      </c>
      <c r="U110" s="6">
        <v>42118.522604166668</v>
      </c>
      <c r="V110" t="s">
        <v>18</v>
      </c>
      <c r="W110" t="s">
        <v>17</v>
      </c>
      <c r="X110" s="6">
        <v>41953.282175925924</v>
      </c>
      <c r="Y110" t="s">
        <v>342</v>
      </c>
      <c r="AB110" t="s">
        <v>201</v>
      </c>
      <c r="AC110" t="s">
        <v>217</v>
      </c>
      <c r="AD110" t="s">
        <v>222</v>
      </c>
      <c r="AE110" t="s">
        <v>225</v>
      </c>
      <c r="AG110" t="s">
        <v>121</v>
      </c>
      <c r="AH110" t="s">
        <v>327</v>
      </c>
      <c r="AI110" t="s">
        <v>121</v>
      </c>
      <c r="AJ110" t="s">
        <v>717</v>
      </c>
      <c r="AK110" t="s">
        <v>121</v>
      </c>
    </row>
    <row r="111" spans="1:37" x14ac:dyDescent="0.3">
      <c r="I111">
        <f ca="1">IF(OR(INDIRECT(A73&amp;ROW())=B93,INDIRECT(A73&amp;ROW())=B94),1,IF(AND(INDIRECT(A73&amp;ROW())=B95,INDIRECT(A96&amp;ROW())=C93),1,IF(AND(INDIRECT(A73&amp;ROW())=B95,INDIRECT(A96&amp;ROW())=C94),1,0)))</f>
        <v>0</v>
      </c>
      <c r="J111">
        <f ca="1">IF(AND(INDIRECT(A73&amp;ROW())=B95,INDIRECT(A96&amp;ROW())=C95),1,IF(AND(INDIRECT(A73&amp;ROW())=B95,INDIRECT(A96&amp;ROW())=C96),1,0))</f>
        <v>0</v>
      </c>
      <c r="K111">
        <f ca="1">DAYS360(INDIRECT(C68&amp;ROW()),TODAY())</f>
        <v>721</v>
      </c>
      <c r="L111">
        <f ca="1">DAYS360(INDIRECT(C69&amp;ROW()),TODAY())</f>
        <v>892</v>
      </c>
      <c r="M111" s="11">
        <f ca="1">HYPERLINK(CONCATENATE("https://bugzilla.houston.hp.com:1181/bugzilla/show_bug.cgi?id=",INDIRECT(C70&amp;ROW())),INDIRECT(C70&amp;ROW()))</f>
        <v>52923</v>
      </c>
      <c r="N111">
        <v>52923</v>
      </c>
      <c r="O111" t="s">
        <v>56</v>
      </c>
      <c r="P111" t="s">
        <v>546</v>
      </c>
      <c r="Q111" t="s">
        <v>16</v>
      </c>
      <c r="R111" t="s">
        <v>251</v>
      </c>
      <c r="S111" t="s">
        <v>53</v>
      </c>
      <c r="U111" s="6">
        <v>42125.448680555557</v>
      </c>
      <c r="V111" t="s">
        <v>18</v>
      </c>
      <c r="W111" t="s">
        <v>17</v>
      </c>
      <c r="X111" s="6">
        <v>41953.569768518515</v>
      </c>
      <c r="Y111" t="s">
        <v>122</v>
      </c>
      <c r="AB111" t="s">
        <v>201</v>
      </c>
      <c r="AC111" t="s">
        <v>247</v>
      </c>
      <c r="AD111" t="s">
        <v>220</v>
      </c>
      <c r="AE111" t="s">
        <v>219</v>
      </c>
      <c r="AG111" t="s">
        <v>121</v>
      </c>
      <c r="AH111" t="s">
        <v>327</v>
      </c>
      <c r="AI111" t="s">
        <v>121</v>
      </c>
      <c r="AJ111" t="s">
        <v>717</v>
      </c>
      <c r="AK111" t="s">
        <v>121</v>
      </c>
    </row>
    <row r="112" spans="1:37" x14ac:dyDescent="0.3">
      <c r="I112">
        <f ca="1">IF(OR(INDIRECT(A73&amp;ROW())=B93,INDIRECT(A73&amp;ROW())=B94),1,IF(AND(INDIRECT(A73&amp;ROW())=B95,INDIRECT(A96&amp;ROW())=C93),1,IF(AND(INDIRECT(A73&amp;ROW())=B95,INDIRECT(A96&amp;ROW())=C94),1,0)))</f>
        <v>0</v>
      </c>
      <c r="J112">
        <f ca="1">IF(AND(INDIRECT(A73&amp;ROW())=B95,INDIRECT(A96&amp;ROW())=C95),1,IF(AND(INDIRECT(A73&amp;ROW())=B95,INDIRECT(A96&amp;ROW())=C96),1,0))</f>
        <v>1</v>
      </c>
      <c r="K112">
        <f ca="1">DAYS360(INDIRECT(C68&amp;ROW()),TODAY())</f>
        <v>721</v>
      </c>
      <c r="L112">
        <f ca="1">DAYS360(INDIRECT(C69&amp;ROW()),TODAY())</f>
        <v>892</v>
      </c>
      <c r="M112" s="11">
        <f ca="1">HYPERLINK(CONCATENATE("https://bugzilla.houston.hp.com:1181/bugzilla/show_bug.cgi?id=",INDIRECT(C70&amp;ROW())),INDIRECT(C70&amp;ROW()))</f>
        <v>52933</v>
      </c>
      <c r="N112">
        <v>52933</v>
      </c>
      <c r="O112" t="s">
        <v>241</v>
      </c>
      <c r="P112" t="s">
        <v>489</v>
      </c>
      <c r="Q112" t="s">
        <v>25</v>
      </c>
      <c r="R112" t="s">
        <v>251</v>
      </c>
      <c r="S112" t="s">
        <v>177</v>
      </c>
      <c r="U112" s="6">
        <v>42125.655624999999</v>
      </c>
      <c r="V112" t="s">
        <v>18</v>
      </c>
      <c r="W112" t="s">
        <v>17</v>
      </c>
      <c r="X112" s="6">
        <v>41953.77202546296</v>
      </c>
      <c r="Y112" t="s">
        <v>245</v>
      </c>
      <c r="AB112" t="s">
        <v>201</v>
      </c>
      <c r="AC112" t="s">
        <v>247</v>
      </c>
      <c r="AD112" t="s">
        <v>227</v>
      </c>
      <c r="AE112" t="s">
        <v>237</v>
      </c>
      <c r="AG112" t="s">
        <v>121</v>
      </c>
      <c r="AH112" t="s">
        <v>327</v>
      </c>
      <c r="AI112" t="s">
        <v>121</v>
      </c>
      <c r="AJ112" t="s">
        <v>716</v>
      </c>
      <c r="AK112" t="s">
        <v>121</v>
      </c>
    </row>
    <row r="113" spans="9:37" x14ac:dyDescent="0.3">
      <c r="I113">
        <f ca="1">IF(OR(INDIRECT(A73&amp;ROW())=B93,INDIRECT(A73&amp;ROW())=B94),1,IF(AND(INDIRECT(A73&amp;ROW())=B95,INDIRECT(A96&amp;ROW())=C93),1,IF(AND(INDIRECT(A73&amp;ROW())=B95,INDIRECT(A96&amp;ROW())=C94),1,0)))</f>
        <v>0</v>
      </c>
      <c r="J113">
        <f ca="1">IF(AND(INDIRECT(A73&amp;ROW())=B95,INDIRECT(A96&amp;ROW())=C95),1,IF(AND(INDIRECT(A73&amp;ROW())=B95,INDIRECT(A96&amp;ROW())=C96),1,0))</f>
        <v>1</v>
      </c>
      <c r="K113">
        <f ca="1">DAYS360(INDIRECT(C68&amp;ROW()),TODAY())</f>
        <v>684</v>
      </c>
      <c r="L113">
        <f ca="1">DAYS360(INDIRECT(C69&amp;ROW()),TODAY())</f>
        <v>890</v>
      </c>
      <c r="M113" s="11">
        <f ca="1">HYPERLINK(CONCATENATE("https://bugzilla.houston.hp.com:1181/bugzilla/show_bug.cgi?id=",INDIRECT(C70&amp;ROW())),INDIRECT(C70&amp;ROW()))</f>
        <v>53006</v>
      </c>
      <c r="N113">
        <v>53006</v>
      </c>
      <c r="O113" t="s">
        <v>50</v>
      </c>
      <c r="P113" t="s">
        <v>469</v>
      </c>
      <c r="Q113" t="s">
        <v>25</v>
      </c>
      <c r="R113" t="s">
        <v>251</v>
      </c>
      <c r="S113" t="s">
        <v>315</v>
      </c>
      <c r="U113" s="6">
        <v>42163.593229166669</v>
      </c>
      <c r="V113" t="s">
        <v>18</v>
      </c>
      <c r="W113" t="s">
        <v>17</v>
      </c>
      <c r="X113" s="6">
        <v>41955.206990740742</v>
      </c>
      <c r="Y113" t="s">
        <v>119</v>
      </c>
      <c r="AA113" t="s">
        <v>184</v>
      </c>
      <c r="AB113" t="s">
        <v>201</v>
      </c>
      <c r="AC113" t="s">
        <v>247</v>
      </c>
      <c r="AD113" t="s">
        <v>227</v>
      </c>
      <c r="AE113" t="s">
        <v>370</v>
      </c>
      <c r="AG113" t="s">
        <v>121</v>
      </c>
      <c r="AH113" t="s">
        <v>327</v>
      </c>
      <c r="AI113" t="s">
        <v>121</v>
      </c>
      <c r="AJ113" t="s">
        <v>716</v>
      </c>
      <c r="AK113" t="s">
        <v>121</v>
      </c>
    </row>
    <row r="114" spans="9:37" x14ac:dyDescent="0.3">
      <c r="I114">
        <f ca="1">IF(OR(INDIRECT(A73&amp;ROW())=B93,INDIRECT(A73&amp;ROW())=B94),1,IF(AND(INDIRECT(A73&amp;ROW())=B95,INDIRECT(A96&amp;ROW())=C93),1,IF(AND(INDIRECT(A73&amp;ROW())=B95,INDIRECT(A96&amp;ROW())=C94),1,0)))</f>
        <v>0</v>
      </c>
      <c r="J114">
        <f ca="1">IF(AND(INDIRECT(A73&amp;ROW())=B95,INDIRECT(A96&amp;ROW())=C95),1,IF(AND(INDIRECT(A73&amp;ROW())=B95,INDIRECT(A96&amp;ROW())=C96),1,0))</f>
        <v>0</v>
      </c>
      <c r="K114">
        <f ca="1">DAYS360(INDIRECT(C68&amp;ROW()),TODAY())</f>
        <v>721</v>
      </c>
      <c r="L114">
        <f ca="1">DAYS360(INDIRECT(C69&amp;ROW()),TODAY())</f>
        <v>889</v>
      </c>
      <c r="M114" s="11">
        <f ca="1">HYPERLINK(CONCATENATE("https://bugzilla.houston.hp.com:1181/bugzilla/show_bug.cgi?id=",INDIRECT(C70&amp;ROW())),INDIRECT(C70&amp;ROW()))</f>
        <v>53105</v>
      </c>
      <c r="N114">
        <v>53105</v>
      </c>
      <c r="O114" t="s">
        <v>56</v>
      </c>
      <c r="P114" t="s">
        <v>468</v>
      </c>
      <c r="Q114" t="s">
        <v>16</v>
      </c>
      <c r="R114" t="s">
        <v>251</v>
      </c>
      <c r="S114" t="s">
        <v>374</v>
      </c>
      <c r="U114" s="6">
        <v>42125.448692129627</v>
      </c>
      <c r="V114" t="s">
        <v>18</v>
      </c>
      <c r="W114" t="s">
        <v>17</v>
      </c>
      <c r="X114" s="6">
        <v>41956.951111111113</v>
      </c>
      <c r="Y114" t="s">
        <v>122</v>
      </c>
      <c r="AB114" t="s">
        <v>200</v>
      </c>
      <c r="AC114" t="s">
        <v>247</v>
      </c>
      <c r="AD114" t="s">
        <v>220</v>
      </c>
      <c r="AE114" t="s">
        <v>219</v>
      </c>
      <c r="AG114" t="s">
        <v>121</v>
      </c>
      <c r="AH114" t="s">
        <v>327</v>
      </c>
      <c r="AI114" t="s">
        <v>121</v>
      </c>
      <c r="AJ114" t="s">
        <v>716</v>
      </c>
      <c r="AK114" t="s">
        <v>121</v>
      </c>
    </row>
    <row r="115" spans="9:37" x14ac:dyDescent="0.3">
      <c r="I115">
        <f ca="1">IF(OR(INDIRECT(A73&amp;ROW())=B93,INDIRECT(A73&amp;ROW())=B94),1,IF(AND(INDIRECT(A73&amp;ROW())=B95,INDIRECT(A96&amp;ROW())=C93),1,IF(AND(INDIRECT(A73&amp;ROW())=B95,INDIRECT(A96&amp;ROW())=C94),1,0)))</f>
        <v>0</v>
      </c>
      <c r="J115">
        <f ca="1">IF(AND(INDIRECT(A73&amp;ROW())=B95,INDIRECT(A96&amp;ROW())=C95),1,IF(AND(INDIRECT(A73&amp;ROW())=B95,INDIRECT(A96&amp;ROW())=C96),1,0))</f>
        <v>0</v>
      </c>
      <c r="K115">
        <f ca="1">DAYS360(INDIRECT(C68&amp;ROW()),TODAY())</f>
        <v>710</v>
      </c>
      <c r="L115">
        <f ca="1">DAYS360(INDIRECT(C69&amp;ROW()),TODAY())</f>
        <v>885</v>
      </c>
      <c r="M115" s="11">
        <f ca="1">HYPERLINK(CONCATENATE("https://bugzilla.houston.hp.com:1181/bugzilla/show_bug.cgi?id=",INDIRECT(C70&amp;ROW())),INDIRECT(C70&amp;ROW()))</f>
        <v>53213</v>
      </c>
      <c r="N115">
        <v>53213</v>
      </c>
      <c r="O115" t="s">
        <v>43</v>
      </c>
      <c r="P115" t="s">
        <v>1049</v>
      </c>
      <c r="Q115" t="s">
        <v>16</v>
      </c>
      <c r="R115" t="s">
        <v>251</v>
      </c>
      <c r="S115" t="s">
        <v>68</v>
      </c>
      <c r="T115" t="s">
        <v>794</v>
      </c>
      <c r="U115" s="6">
        <v>42136.636747685188</v>
      </c>
      <c r="V115" t="s">
        <v>18</v>
      </c>
      <c r="W115" t="s">
        <v>17</v>
      </c>
      <c r="X115" s="6">
        <v>41960.464930555558</v>
      </c>
      <c r="Y115" t="s">
        <v>124</v>
      </c>
      <c r="AB115" t="s">
        <v>201</v>
      </c>
      <c r="AC115" t="s">
        <v>247</v>
      </c>
      <c r="AD115" t="s">
        <v>220</v>
      </c>
      <c r="AE115" t="s">
        <v>219</v>
      </c>
      <c r="AG115" t="s">
        <v>121</v>
      </c>
      <c r="AH115" t="s">
        <v>327</v>
      </c>
      <c r="AI115" t="s">
        <v>121</v>
      </c>
      <c r="AJ115" t="s">
        <v>717</v>
      </c>
      <c r="AK115" t="s">
        <v>121</v>
      </c>
    </row>
    <row r="116" spans="9:37" x14ac:dyDescent="0.3">
      <c r="I116">
        <f ca="1">IF(OR(INDIRECT(A73&amp;ROW())=B93,INDIRECT(A73&amp;ROW())=B94),1,IF(AND(INDIRECT(A73&amp;ROW())=B95,INDIRECT(A96&amp;ROW())=C93),1,IF(AND(INDIRECT(A73&amp;ROW())=B95,INDIRECT(A96&amp;ROW())=C94),1,0)))</f>
        <v>0</v>
      </c>
      <c r="J116">
        <f ca="1">IF(AND(INDIRECT(A73&amp;ROW())=B95,INDIRECT(A96&amp;ROW())=C95),1,IF(AND(INDIRECT(A73&amp;ROW())=B95,INDIRECT(A96&amp;ROW())=C96),1,0))</f>
        <v>0</v>
      </c>
      <c r="K116">
        <f ca="1">DAYS360(INDIRECT(C68&amp;ROW()),TODAY())</f>
        <v>721</v>
      </c>
      <c r="L116">
        <f ca="1">DAYS360(INDIRECT(C69&amp;ROW()),TODAY())</f>
        <v>885</v>
      </c>
      <c r="M116" s="11">
        <f ca="1">HYPERLINK(CONCATENATE("https://bugzilla.houston.hp.com:1181/bugzilla/show_bug.cgi?id=",INDIRECT(C70&amp;ROW())),INDIRECT(C70&amp;ROW()))</f>
        <v>53225</v>
      </c>
      <c r="N116">
        <v>53225</v>
      </c>
      <c r="O116" t="s">
        <v>56</v>
      </c>
      <c r="P116" t="s">
        <v>377</v>
      </c>
      <c r="Q116" t="s">
        <v>16</v>
      </c>
      <c r="R116" t="s">
        <v>248</v>
      </c>
      <c r="S116" t="s">
        <v>36</v>
      </c>
      <c r="U116" s="6">
        <v>42125.443796296298</v>
      </c>
      <c r="V116" t="s">
        <v>18</v>
      </c>
      <c r="W116" t="s">
        <v>17</v>
      </c>
      <c r="X116" s="6">
        <v>41960.705925925926</v>
      </c>
      <c r="Y116" t="s">
        <v>122</v>
      </c>
      <c r="AB116" t="s">
        <v>201</v>
      </c>
      <c r="AC116" t="s">
        <v>121</v>
      </c>
      <c r="AD116" t="s">
        <v>220</v>
      </c>
      <c r="AE116" t="s">
        <v>219</v>
      </c>
      <c r="AG116" t="s">
        <v>121</v>
      </c>
      <c r="AH116" t="s">
        <v>327</v>
      </c>
      <c r="AI116" t="s">
        <v>121</v>
      </c>
      <c r="AJ116" t="s">
        <v>717</v>
      </c>
      <c r="AK116" t="s">
        <v>121</v>
      </c>
    </row>
    <row r="117" spans="9:37" x14ac:dyDescent="0.3">
      <c r="I117">
        <f ca="1">IF(OR(INDIRECT(A73&amp;ROW())=B93,INDIRECT(A73&amp;ROW())=B94),1,IF(AND(INDIRECT(A73&amp;ROW())=B95,INDIRECT(A96&amp;ROW())=C93),1,IF(AND(INDIRECT(A73&amp;ROW())=B95,INDIRECT(A96&amp;ROW())=C94),1,0)))</f>
        <v>0</v>
      </c>
      <c r="J117">
        <f ca="1">IF(AND(INDIRECT(A73&amp;ROW())=B95,INDIRECT(A96&amp;ROW())=C95),1,IF(AND(INDIRECT(A73&amp;ROW())=B95,INDIRECT(A96&amp;ROW())=C96),1,0))</f>
        <v>0</v>
      </c>
      <c r="K117">
        <f ca="1">DAYS360(INDIRECT(C68&amp;ROW()),TODAY())</f>
        <v>721</v>
      </c>
      <c r="L117">
        <f ca="1">DAYS360(INDIRECT(C69&amp;ROW()),TODAY())</f>
        <v>885</v>
      </c>
      <c r="M117" s="11">
        <f ca="1">HYPERLINK(CONCATENATE("https://bugzilla.houston.hp.com:1181/bugzilla/show_bug.cgi?id=",INDIRECT(C70&amp;ROW())),INDIRECT(C70&amp;ROW()))</f>
        <v>53231</v>
      </c>
      <c r="N117">
        <v>53231</v>
      </c>
      <c r="O117" t="s">
        <v>56</v>
      </c>
      <c r="P117" t="s">
        <v>376</v>
      </c>
      <c r="Q117" t="s">
        <v>16</v>
      </c>
      <c r="R117" t="s">
        <v>248</v>
      </c>
      <c r="S117" t="s">
        <v>36</v>
      </c>
      <c r="U117" s="6">
        <v>42125.443854166668</v>
      </c>
      <c r="V117" t="s">
        <v>18</v>
      </c>
      <c r="W117" t="s">
        <v>17</v>
      </c>
      <c r="X117" s="6">
        <v>41960.706388888888</v>
      </c>
      <c r="Y117" t="s">
        <v>122</v>
      </c>
      <c r="AB117" t="s">
        <v>201</v>
      </c>
      <c r="AC117" t="s">
        <v>121</v>
      </c>
      <c r="AD117" t="s">
        <v>220</v>
      </c>
      <c r="AE117" t="s">
        <v>219</v>
      </c>
      <c r="AG117" t="s">
        <v>121</v>
      </c>
      <c r="AH117" t="s">
        <v>64</v>
      </c>
      <c r="AI117" t="s">
        <v>121</v>
      </c>
      <c r="AJ117" t="s">
        <v>717</v>
      </c>
      <c r="AK117" t="s">
        <v>121</v>
      </c>
    </row>
    <row r="118" spans="9:37" x14ac:dyDescent="0.3">
      <c r="I118">
        <f ca="1">IF(OR(INDIRECT(A73&amp;ROW())=B93,INDIRECT(A73&amp;ROW())=B94),1,IF(AND(INDIRECT(A73&amp;ROW())=B95,INDIRECT(A96&amp;ROW())=C93),1,IF(AND(INDIRECT(A73&amp;ROW())=B95,INDIRECT(A96&amp;ROW())=C94),1,0)))</f>
        <v>0</v>
      </c>
      <c r="J118">
        <f ca="1">IF(AND(INDIRECT(A73&amp;ROW())=B95,INDIRECT(A96&amp;ROW())=C95),1,IF(AND(INDIRECT(A73&amp;ROW())=B95,INDIRECT(A96&amp;ROW())=C96),1,0))</f>
        <v>0</v>
      </c>
      <c r="K118">
        <f ca="1">DAYS360(INDIRECT(C68&amp;ROW()),TODAY())</f>
        <v>721</v>
      </c>
      <c r="L118">
        <f ca="1">DAYS360(INDIRECT(C69&amp;ROW()),TODAY())</f>
        <v>884</v>
      </c>
      <c r="M118" s="11">
        <f ca="1">HYPERLINK(CONCATENATE("https://bugzilla.houston.hp.com:1181/bugzilla/show_bug.cgi?id=",INDIRECT(C70&amp;ROW())),INDIRECT(C70&amp;ROW()))</f>
        <v>53298</v>
      </c>
      <c r="N118">
        <v>53298</v>
      </c>
      <c r="O118" t="s">
        <v>55</v>
      </c>
      <c r="P118" t="s">
        <v>383</v>
      </c>
      <c r="Q118" t="s">
        <v>16</v>
      </c>
      <c r="R118" t="s">
        <v>248</v>
      </c>
      <c r="S118" t="s">
        <v>36</v>
      </c>
      <c r="U118" s="6">
        <v>42125.439930555556</v>
      </c>
      <c r="V118" t="s">
        <v>18</v>
      </c>
      <c r="W118" t="s">
        <v>17</v>
      </c>
      <c r="X118" s="6">
        <v>41961.535937499997</v>
      </c>
      <c r="Y118" t="s">
        <v>122</v>
      </c>
      <c r="AB118" t="s">
        <v>200</v>
      </c>
      <c r="AC118" t="s">
        <v>121</v>
      </c>
      <c r="AD118" t="s">
        <v>220</v>
      </c>
      <c r="AE118" t="s">
        <v>219</v>
      </c>
      <c r="AG118" t="s">
        <v>121</v>
      </c>
      <c r="AH118" t="s">
        <v>327</v>
      </c>
      <c r="AI118" t="s">
        <v>121</v>
      </c>
      <c r="AJ118" t="s">
        <v>716</v>
      </c>
      <c r="AK118" t="s">
        <v>121</v>
      </c>
    </row>
    <row r="119" spans="9:37" x14ac:dyDescent="0.3">
      <c r="I119">
        <f ca="1">IF(OR(INDIRECT(A73&amp;ROW())=B93,INDIRECT(A73&amp;ROW())=B94),1,IF(AND(INDIRECT(A73&amp;ROW())=B95,INDIRECT(A96&amp;ROW())=C93),1,IF(AND(INDIRECT(A73&amp;ROW())=B95,INDIRECT(A96&amp;ROW())=C94),1,0)))</f>
        <v>0</v>
      </c>
      <c r="J119">
        <f ca="1">IF(AND(INDIRECT(A73&amp;ROW())=B95,INDIRECT(A96&amp;ROW())=C95),1,IF(AND(INDIRECT(A73&amp;ROW())=B95,INDIRECT(A96&amp;ROW())=C96),1,0))</f>
        <v>0</v>
      </c>
      <c r="K119">
        <f ca="1">DAYS360(INDIRECT(C68&amp;ROW()),TODAY())</f>
        <v>721</v>
      </c>
      <c r="L119">
        <f ca="1">DAYS360(INDIRECT(C69&amp;ROW()),TODAY())</f>
        <v>884</v>
      </c>
      <c r="M119" s="11">
        <f ca="1">HYPERLINK(CONCATENATE("https://bugzilla.houston.hp.com:1181/bugzilla/show_bug.cgi?id=",INDIRECT(C70&amp;ROW())),INDIRECT(C70&amp;ROW()))</f>
        <v>53303</v>
      </c>
      <c r="N119">
        <v>53303</v>
      </c>
      <c r="O119" t="s">
        <v>56</v>
      </c>
      <c r="P119" t="s">
        <v>382</v>
      </c>
      <c r="Q119" t="s">
        <v>16</v>
      </c>
      <c r="R119" t="s">
        <v>248</v>
      </c>
      <c r="S119" t="s">
        <v>36</v>
      </c>
      <c r="U119" s="6">
        <v>42125.440000000002</v>
      </c>
      <c r="V119" t="s">
        <v>18</v>
      </c>
      <c r="W119" t="s">
        <v>17</v>
      </c>
      <c r="X119" s="6">
        <v>41961.5468287037</v>
      </c>
      <c r="Y119" t="s">
        <v>122</v>
      </c>
      <c r="AB119" t="s">
        <v>201</v>
      </c>
      <c r="AC119" t="s">
        <v>121</v>
      </c>
      <c r="AD119" t="s">
        <v>220</v>
      </c>
      <c r="AE119" t="s">
        <v>219</v>
      </c>
      <c r="AG119" t="s">
        <v>121</v>
      </c>
      <c r="AH119" t="s">
        <v>327</v>
      </c>
      <c r="AI119" t="s">
        <v>121</v>
      </c>
      <c r="AJ119" t="s">
        <v>717</v>
      </c>
      <c r="AK119" t="s">
        <v>121</v>
      </c>
    </row>
    <row r="120" spans="9:37" x14ac:dyDescent="0.3">
      <c r="I120">
        <f ca="1">IF(OR(INDIRECT(A73&amp;ROW())=B93,INDIRECT(A73&amp;ROW())=B94),1,IF(AND(INDIRECT(A73&amp;ROW())=B95,INDIRECT(A96&amp;ROW())=C93),1,IF(AND(INDIRECT(A73&amp;ROW())=B95,INDIRECT(A96&amp;ROW())=C94),1,0)))</f>
        <v>0</v>
      </c>
      <c r="J120">
        <f ca="1">IF(AND(INDIRECT(A73&amp;ROW())=B95,INDIRECT(A96&amp;ROW())=C95),1,IF(AND(INDIRECT(A73&amp;ROW())=B95,INDIRECT(A96&amp;ROW())=C96),1,0))</f>
        <v>1</v>
      </c>
      <c r="K120">
        <f ca="1">DAYS360(INDIRECT(C68&amp;ROW()),TODAY())</f>
        <v>681</v>
      </c>
      <c r="L120">
        <f ca="1">DAYS360(INDIRECT(C69&amp;ROW()),TODAY())</f>
        <v>884</v>
      </c>
      <c r="M120" s="11">
        <f ca="1">HYPERLINK(CONCATENATE("https://bugzilla.houston.hp.com:1181/bugzilla/show_bug.cgi?id=",INDIRECT(C70&amp;ROW())),INDIRECT(C70&amp;ROW()))</f>
        <v>53313</v>
      </c>
      <c r="N120">
        <v>53313</v>
      </c>
      <c r="O120" t="s">
        <v>56</v>
      </c>
      <c r="P120" t="s">
        <v>867</v>
      </c>
      <c r="Q120" t="s">
        <v>25</v>
      </c>
      <c r="R120" t="s">
        <v>251</v>
      </c>
      <c r="S120" t="s">
        <v>43</v>
      </c>
      <c r="U120" s="6">
        <v>42166.562164351853</v>
      </c>
      <c r="V120" t="s">
        <v>18</v>
      </c>
      <c r="W120" t="s">
        <v>17</v>
      </c>
      <c r="X120" s="6">
        <v>41961.575497685182</v>
      </c>
      <c r="Y120" t="s">
        <v>119</v>
      </c>
      <c r="AB120" t="s">
        <v>201</v>
      </c>
      <c r="AC120" t="s">
        <v>247</v>
      </c>
      <c r="AD120" t="s">
        <v>220</v>
      </c>
      <c r="AE120" t="s">
        <v>219</v>
      </c>
      <c r="AG120" t="s">
        <v>121</v>
      </c>
      <c r="AH120" t="s">
        <v>327</v>
      </c>
      <c r="AI120" t="s">
        <v>121</v>
      </c>
      <c r="AJ120" t="s">
        <v>716</v>
      </c>
      <c r="AK120" t="s">
        <v>121</v>
      </c>
    </row>
    <row r="121" spans="9:37" x14ac:dyDescent="0.3">
      <c r="I121">
        <f ca="1">IF(OR(INDIRECT(A73&amp;ROW())=B93,INDIRECT(A73&amp;ROW())=B94),1,IF(AND(INDIRECT(A73&amp;ROW())=B95,INDIRECT(A96&amp;ROW())=C93),1,IF(AND(INDIRECT(A73&amp;ROW())=B95,INDIRECT(A96&amp;ROW())=C94),1,0)))</f>
        <v>0</v>
      </c>
      <c r="J121">
        <f ca="1">IF(AND(INDIRECT(A73&amp;ROW())=B95,INDIRECT(A96&amp;ROW())=C95),1,IF(AND(INDIRECT(A73&amp;ROW())=B95,INDIRECT(A96&amp;ROW())=C96),1,0))</f>
        <v>0</v>
      </c>
      <c r="K121">
        <f ca="1">DAYS360(INDIRECT(C68&amp;ROW()),TODAY())</f>
        <v>733</v>
      </c>
      <c r="L121">
        <f ca="1">DAYS360(INDIRECT(C69&amp;ROW()),TODAY())</f>
        <v>884</v>
      </c>
      <c r="M121" s="11">
        <f ca="1">HYPERLINK(CONCATENATE("https://bugzilla.houston.hp.com:1181/bugzilla/show_bug.cgi?id=",INDIRECT(C70&amp;ROW())),INDIRECT(C70&amp;ROW()))</f>
        <v>53324</v>
      </c>
      <c r="N121">
        <v>53324</v>
      </c>
      <c r="O121" t="s">
        <v>66</v>
      </c>
      <c r="P121" t="s">
        <v>381</v>
      </c>
      <c r="Q121" t="s">
        <v>16</v>
      </c>
      <c r="R121" t="s">
        <v>248</v>
      </c>
      <c r="S121" t="s">
        <v>36</v>
      </c>
      <c r="U121" s="6">
        <v>42113.702372685184</v>
      </c>
      <c r="V121" t="s">
        <v>18</v>
      </c>
      <c r="W121" t="s">
        <v>32</v>
      </c>
      <c r="X121" s="6">
        <v>41961.64980324074</v>
      </c>
      <c r="Y121" t="s">
        <v>119</v>
      </c>
      <c r="AB121" t="s">
        <v>201</v>
      </c>
      <c r="AC121" t="s">
        <v>121</v>
      </c>
      <c r="AD121" t="s">
        <v>220</v>
      </c>
      <c r="AE121" t="s">
        <v>219</v>
      </c>
      <c r="AG121" t="s">
        <v>121</v>
      </c>
      <c r="AH121" t="s">
        <v>327</v>
      </c>
      <c r="AI121" t="s">
        <v>121</v>
      </c>
      <c r="AJ121" t="s">
        <v>716</v>
      </c>
      <c r="AK121" t="s">
        <v>121</v>
      </c>
    </row>
    <row r="122" spans="9:37" x14ac:dyDescent="0.3">
      <c r="I122">
        <f ca="1">IF(OR(INDIRECT(A73&amp;ROW())=B93,INDIRECT(A73&amp;ROW())=B94),1,IF(AND(INDIRECT(A73&amp;ROW())=B95,INDIRECT(A96&amp;ROW())=C93),1,IF(AND(INDIRECT(A73&amp;ROW())=B95,INDIRECT(A96&amp;ROW())=C94),1,0)))</f>
        <v>0</v>
      </c>
      <c r="J122">
        <f ca="1">IF(AND(INDIRECT(A73&amp;ROW())=B95,INDIRECT(A96&amp;ROW())=C95),1,IF(AND(INDIRECT(A73&amp;ROW())=B95,INDIRECT(A96&amp;ROW())=C96),1,0))</f>
        <v>0</v>
      </c>
      <c r="K122">
        <f ca="1">DAYS360(INDIRECT(C68&amp;ROW()),TODAY())</f>
        <v>721</v>
      </c>
      <c r="L122">
        <f ca="1">DAYS360(INDIRECT(C69&amp;ROW()),TODAY())</f>
        <v>884</v>
      </c>
      <c r="M122" s="11">
        <f ca="1">HYPERLINK(CONCATENATE("https://bugzilla.houston.hp.com:1181/bugzilla/show_bug.cgi?id=",INDIRECT(C70&amp;ROW())),INDIRECT(C70&amp;ROW()))</f>
        <v>53329</v>
      </c>
      <c r="N122">
        <v>53329</v>
      </c>
      <c r="O122" t="s">
        <v>203</v>
      </c>
      <c r="P122" t="s">
        <v>380</v>
      </c>
      <c r="Q122" t="s">
        <v>16</v>
      </c>
      <c r="R122" t="s">
        <v>248</v>
      </c>
      <c r="S122" t="s">
        <v>36</v>
      </c>
      <c r="U122" s="6">
        <v>42125.439722222225</v>
      </c>
      <c r="V122" t="s">
        <v>18</v>
      </c>
      <c r="W122" t="s">
        <v>20</v>
      </c>
      <c r="X122" s="6">
        <v>41961.660949074074</v>
      </c>
      <c r="Y122" t="s">
        <v>122</v>
      </c>
      <c r="AB122" t="s">
        <v>201</v>
      </c>
      <c r="AC122" t="s">
        <v>121</v>
      </c>
      <c r="AD122" t="s">
        <v>220</v>
      </c>
      <c r="AE122" t="s">
        <v>223</v>
      </c>
      <c r="AG122" t="s">
        <v>121</v>
      </c>
      <c r="AH122" t="s">
        <v>327</v>
      </c>
      <c r="AI122" t="s">
        <v>121</v>
      </c>
      <c r="AJ122" t="s">
        <v>717</v>
      </c>
      <c r="AK122" t="s">
        <v>121</v>
      </c>
    </row>
    <row r="123" spans="9:37" x14ac:dyDescent="0.3">
      <c r="I123">
        <f ca="1">IF(OR(INDIRECT(A73&amp;ROW())=B93,INDIRECT(A73&amp;ROW())=B94),1,IF(AND(INDIRECT(A73&amp;ROW())=B95,INDIRECT(A96&amp;ROW())=C93),1,IF(AND(INDIRECT(A73&amp;ROW())=B95,INDIRECT(A96&amp;ROW())=C94),1,0)))</f>
        <v>0</v>
      </c>
      <c r="J123">
        <f ca="1">IF(AND(INDIRECT(A73&amp;ROW())=B95,INDIRECT(A96&amp;ROW())=C95),1,IF(AND(INDIRECT(A73&amp;ROW())=B95,INDIRECT(A96&amp;ROW())=C96),1,0))</f>
        <v>1</v>
      </c>
      <c r="K123">
        <f ca="1">DAYS360(INDIRECT(C68&amp;ROW()),TODAY())</f>
        <v>687</v>
      </c>
      <c r="L123">
        <f ca="1">DAYS360(INDIRECT(C69&amp;ROW()),TODAY())</f>
        <v>884</v>
      </c>
      <c r="M123" s="11">
        <f ca="1">HYPERLINK(CONCATENATE("https://bugzilla.houston.hp.com:1181/bugzilla/show_bug.cgi?id=",INDIRECT(C70&amp;ROW())),INDIRECT(C70&amp;ROW()))</f>
        <v>53336</v>
      </c>
      <c r="N123">
        <v>53336</v>
      </c>
      <c r="O123" t="s">
        <v>56</v>
      </c>
      <c r="P123" t="s">
        <v>379</v>
      </c>
      <c r="Q123" t="s">
        <v>25</v>
      </c>
      <c r="R123" t="s">
        <v>248</v>
      </c>
      <c r="S123" t="s">
        <v>36</v>
      </c>
      <c r="U123" s="6">
        <v>42160.524062500001</v>
      </c>
      <c r="V123" t="s">
        <v>18</v>
      </c>
      <c r="W123" t="s">
        <v>17</v>
      </c>
      <c r="X123" s="6">
        <v>41961.667453703703</v>
      </c>
      <c r="Y123" t="s">
        <v>122</v>
      </c>
      <c r="AB123" t="s">
        <v>201</v>
      </c>
      <c r="AC123" t="s">
        <v>121</v>
      </c>
      <c r="AD123" t="s">
        <v>220</v>
      </c>
      <c r="AE123" t="s">
        <v>219</v>
      </c>
      <c r="AG123" t="s">
        <v>121</v>
      </c>
      <c r="AH123" t="s">
        <v>327</v>
      </c>
      <c r="AI123" t="s">
        <v>121</v>
      </c>
      <c r="AJ123" t="s">
        <v>716</v>
      </c>
      <c r="AK123" t="s">
        <v>121</v>
      </c>
    </row>
    <row r="124" spans="9:37" x14ac:dyDescent="0.3">
      <c r="I124">
        <f ca="1">IF(OR(INDIRECT(A73&amp;ROW())=B93,INDIRECT(A73&amp;ROW())=B94),1,IF(AND(INDIRECT(A73&amp;ROW())=B95,INDIRECT(A96&amp;ROW())=C93),1,IF(AND(INDIRECT(A73&amp;ROW())=B95,INDIRECT(A96&amp;ROW())=C94),1,0)))</f>
        <v>0</v>
      </c>
      <c r="J124">
        <f ca="1">IF(AND(INDIRECT(A73&amp;ROW())=B95,INDIRECT(A96&amp;ROW())=C95),1,IF(AND(INDIRECT(A73&amp;ROW())=B95,INDIRECT(A96&amp;ROW())=C96),1,0))</f>
        <v>1</v>
      </c>
      <c r="K124">
        <f ca="1">DAYS360(INDIRECT(C68&amp;ROW()),TODAY())</f>
        <v>721</v>
      </c>
      <c r="L124">
        <f ca="1">DAYS360(INDIRECT(C69&amp;ROW()),TODAY())</f>
        <v>884</v>
      </c>
      <c r="M124" s="11">
        <f ca="1">HYPERLINK(CONCATENATE("https://bugzilla.houston.hp.com:1181/bugzilla/show_bug.cgi?id=",INDIRECT(C70&amp;ROW())),INDIRECT(C70&amp;ROW()))</f>
        <v>53342</v>
      </c>
      <c r="N124">
        <v>53342</v>
      </c>
      <c r="O124" t="s">
        <v>43</v>
      </c>
      <c r="P124" t="s">
        <v>378</v>
      </c>
      <c r="Q124" t="s">
        <v>25</v>
      </c>
      <c r="R124" t="s">
        <v>248</v>
      </c>
      <c r="S124" t="s">
        <v>36</v>
      </c>
      <c r="U124" s="6">
        <v>42125.442384259259</v>
      </c>
      <c r="V124" t="s">
        <v>18</v>
      </c>
      <c r="W124" t="s">
        <v>20</v>
      </c>
      <c r="X124" s="6">
        <v>41961.691874999997</v>
      </c>
      <c r="Y124" t="s">
        <v>122</v>
      </c>
      <c r="AB124" t="s">
        <v>201</v>
      </c>
      <c r="AC124" t="s">
        <v>121</v>
      </c>
      <c r="AD124" t="s">
        <v>220</v>
      </c>
      <c r="AE124" t="s">
        <v>219</v>
      </c>
      <c r="AG124" t="s">
        <v>121</v>
      </c>
      <c r="AH124" t="s">
        <v>327</v>
      </c>
      <c r="AI124" t="s">
        <v>121</v>
      </c>
      <c r="AJ124" t="s">
        <v>716</v>
      </c>
      <c r="AK124" t="s">
        <v>121</v>
      </c>
    </row>
    <row r="125" spans="9:37" x14ac:dyDescent="0.3">
      <c r="I125">
        <f ca="1">IF(OR(INDIRECT(A73&amp;ROW())=B93,INDIRECT(A73&amp;ROW())=B94),1,IF(AND(INDIRECT(A73&amp;ROW())=B95,INDIRECT(A96&amp;ROW())=C93),1,IF(AND(INDIRECT(A73&amp;ROW())=B95,INDIRECT(A96&amp;ROW())=C94),1,0)))</f>
        <v>0</v>
      </c>
      <c r="J125">
        <f ca="1">IF(AND(INDIRECT(A73&amp;ROW())=B95,INDIRECT(A96&amp;ROW())=C95),1,IF(AND(INDIRECT(A73&amp;ROW())=B95,INDIRECT(A96&amp;ROW())=C96),1,0))</f>
        <v>0</v>
      </c>
      <c r="K125">
        <f ca="1">DAYS360(INDIRECT(C68&amp;ROW()),TODAY())</f>
        <v>730</v>
      </c>
      <c r="L125">
        <f ca="1">DAYS360(INDIRECT(C69&amp;ROW()),TODAY())</f>
        <v>883</v>
      </c>
      <c r="M125" s="11">
        <f ca="1">HYPERLINK(CONCATENATE("https://bugzilla.houston.hp.com:1181/bugzilla/show_bug.cgi?id=",INDIRECT(C70&amp;ROW())),INDIRECT(C70&amp;ROW()))</f>
        <v>53355</v>
      </c>
      <c r="N125">
        <v>53355</v>
      </c>
      <c r="O125" t="s">
        <v>66</v>
      </c>
      <c r="P125" t="s">
        <v>488</v>
      </c>
      <c r="Q125" t="s">
        <v>16</v>
      </c>
      <c r="R125" t="s">
        <v>251</v>
      </c>
      <c r="S125" t="s">
        <v>374</v>
      </c>
      <c r="U125" s="6">
        <v>42116.543923611112</v>
      </c>
      <c r="V125" t="s">
        <v>35</v>
      </c>
      <c r="W125" t="s">
        <v>17</v>
      </c>
      <c r="X125" s="6">
        <v>41962.112662037034</v>
      </c>
      <c r="Y125" t="s">
        <v>787</v>
      </c>
      <c r="AB125" t="s">
        <v>199</v>
      </c>
      <c r="AC125" t="s">
        <v>247</v>
      </c>
      <c r="AD125" t="s">
        <v>220</v>
      </c>
      <c r="AE125" t="s">
        <v>219</v>
      </c>
      <c r="AG125" t="s">
        <v>588</v>
      </c>
      <c r="AH125" t="s">
        <v>327</v>
      </c>
      <c r="AI125" t="s">
        <v>121</v>
      </c>
      <c r="AJ125" t="s">
        <v>716</v>
      </c>
      <c r="AK125" t="s">
        <v>121</v>
      </c>
    </row>
    <row r="126" spans="9:37" x14ac:dyDescent="0.3">
      <c r="I126">
        <f ca="1">IF(OR(INDIRECT(A73&amp;ROW())=B93,INDIRECT(A73&amp;ROW())=B94),1,IF(AND(INDIRECT(A73&amp;ROW())=B95,INDIRECT(A96&amp;ROW())=C93),1,IF(AND(INDIRECT(A73&amp;ROW())=B95,INDIRECT(A96&amp;ROW())=C94),1,0)))</f>
        <v>0</v>
      </c>
      <c r="J126">
        <f ca="1">IF(AND(INDIRECT(A73&amp;ROW())=B95,INDIRECT(A96&amp;ROW())=C95),1,IF(AND(INDIRECT(A73&amp;ROW())=B95,INDIRECT(A96&amp;ROW())=C96),1,0))</f>
        <v>0</v>
      </c>
      <c r="K126">
        <f ca="1">DAYS360(INDIRECT(C68&amp;ROW()),TODAY())</f>
        <v>800</v>
      </c>
      <c r="L126">
        <f ca="1">DAYS360(INDIRECT(C69&amp;ROW()),TODAY())</f>
        <v>883</v>
      </c>
      <c r="M126" s="11">
        <f ca="1">HYPERLINK(CONCATENATE("https://bugzilla.houston.hp.com:1181/bugzilla/show_bug.cgi?id=",INDIRECT(C70&amp;ROW())),INDIRECT(C70&amp;ROW()))</f>
        <v>53402</v>
      </c>
      <c r="N126">
        <v>53402</v>
      </c>
      <c r="O126" t="s">
        <v>88</v>
      </c>
      <c r="P126" t="s">
        <v>422</v>
      </c>
      <c r="Q126" t="s">
        <v>16</v>
      </c>
      <c r="R126" t="s">
        <v>248</v>
      </c>
      <c r="S126" t="s">
        <v>36</v>
      </c>
      <c r="U126" s="6">
        <v>42047.9452662037</v>
      </c>
      <c r="V126" t="s">
        <v>18</v>
      </c>
      <c r="W126" t="s">
        <v>27</v>
      </c>
      <c r="X126" s="6">
        <v>41962.478715277779</v>
      </c>
      <c r="Y126" t="s">
        <v>119</v>
      </c>
      <c r="AB126" t="s">
        <v>201</v>
      </c>
      <c r="AC126" t="s">
        <v>121</v>
      </c>
      <c r="AD126" t="s">
        <v>222</v>
      </c>
      <c r="AE126" t="s">
        <v>225</v>
      </c>
      <c r="AG126" t="s">
        <v>121</v>
      </c>
      <c r="AH126" t="s">
        <v>327</v>
      </c>
      <c r="AI126" t="s">
        <v>121</v>
      </c>
      <c r="AJ126" t="s">
        <v>717</v>
      </c>
      <c r="AK126" t="s">
        <v>121</v>
      </c>
    </row>
    <row r="127" spans="9:37" x14ac:dyDescent="0.3">
      <c r="I127">
        <f ca="1">IF(OR(INDIRECT(A73&amp;ROW())=B93,INDIRECT(A73&amp;ROW())=B94),1,IF(AND(INDIRECT(A73&amp;ROW())=B95,INDIRECT(A96&amp;ROW())=C93),1,IF(AND(INDIRECT(A73&amp;ROW())=B95,INDIRECT(A96&amp;ROW())=C94),1,0)))</f>
        <v>0</v>
      </c>
      <c r="J127">
        <f ca="1">IF(AND(INDIRECT(A73&amp;ROW())=B95,INDIRECT(A96&amp;ROW())=C95),1,IF(AND(INDIRECT(A73&amp;ROW())=B95,INDIRECT(A96&amp;ROW())=C96),1,0))</f>
        <v>1</v>
      </c>
      <c r="K127">
        <f ca="1">DAYS360(INDIRECT(C68&amp;ROW()),TODAY())</f>
        <v>800</v>
      </c>
      <c r="L127">
        <f ca="1">DAYS360(INDIRECT(C69&amp;ROW()),TODAY())</f>
        <v>883</v>
      </c>
      <c r="M127" s="11">
        <f ca="1">HYPERLINK(CONCATENATE("https://bugzilla.houston.hp.com:1181/bugzilla/show_bug.cgi?id=",INDIRECT(C70&amp;ROW())),INDIRECT(C70&amp;ROW()))</f>
        <v>53415</v>
      </c>
      <c r="N127">
        <v>53415</v>
      </c>
      <c r="O127" t="s">
        <v>56</v>
      </c>
      <c r="P127" t="s">
        <v>421</v>
      </c>
      <c r="Q127" t="s">
        <v>25</v>
      </c>
      <c r="R127" t="s">
        <v>248</v>
      </c>
      <c r="S127" t="s">
        <v>36</v>
      </c>
      <c r="U127" s="6">
        <v>42047.945960648147</v>
      </c>
      <c r="V127" t="s">
        <v>18</v>
      </c>
      <c r="W127" t="s">
        <v>89</v>
      </c>
      <c r="X127" s="6">
        <v>41962.515706018516</v>
      </c>
      <c r="Y127" t="s">
        <v>786</v>
      </c>
      <c r="AB127" t="s">
        <v>201</v>
      </c>
      <c r="AC127" t="s">
        <v>121</v>
      </c>
      <c r="AD127" t="s">
        <v>220</v>
      </c>
      <c r="AE127" t="s">
        <v>219</v>
      </c>
      <c r="AG127" t="s">
        <v>121</v>
      </c>
      <c r="AH127" t="s">
        <v>327</v>
      </c>
      <c r="AI127" t="s">
        <v>121</v>
      </c>
      <c r="AJ127" t="s">
        <v>716</v>
      </c>
      <c r="AK127" t="s">
        <v>121</v>
      </c>
    </row>
    <row r="128" spans="9:37" x14ac:dyDescent="0.3">
      <c r="I128">
        <f ca="1">IF(OR(INDIRECT(A73&amp;ROW())=B93,INDIRECT(A73&amp;ROW())=B94),1,IF(AND(INDIRECT(A73&amp;ROW())=B95,INDIRECT(A96&amp;ROW())=C93),1,IF(AND(INDIRECT(A73&amp;ROW())=B95,INDIRECT(A96&amp;ROW())=C94),1,0)))</f>
        <v>0</v>
      </c>
      <c r="J128">
        <f ca="1">IF(AND(INDIRECT(A73&amp;ROW())=B95,INDIRECT(A96&amp;ROW())=C95),1,IF(AND(INDIRECT(A73&amp;ROW())=B95,INDIRECT(A96&amp;ROW())=C96),1,0))</f>
        <v>0</v>
      </c>
      <c r="K128">
        <f ca="1">DAYS360(INDIRECT(C68&amp;ROW()),TODAY())</f>
        <v>800</v>
      </c>
      <c r="L128">
        <f ca="1">DAYS360(INDIRECT(C69&amp;ROW()),TODAY())</f>
        <v>883</v>
      </c>
      <c r="M128" s="11">
        <f ca="1">HYPERLINK(CONCATENATE("https://bugzilla.houston.hp.com:1181/bugzilla/show_bug.cgi?id=",INDIRECT(C70&amp;ROW())),INDIRECT(C70&amp;ROW()))</f>
        <v>53420</v>
      </c>
      <c r="N128">
        <v>53420</v>
      </c>
      <c r="O128" t="s">
        <v>88</v>
      </c>
      <c r="P128" t="s">
        <v>420</v>
      </c>
      <c r="Q128" t="s">
        <v>16</v>
      </c>
      <c r="R128" t="s">
        <v>248</v>
      </c>
      <c r="S128" t="s">
        <v>36</v>
      </c>
      <c r="U128" s="6">
        <v>42047.944016203706</v>
      </c>
      <c r="V128" t="s">
        <v>18</v>
      </c>
      <c r="W128" t="s">
        <v>79</v>
      </c>
      <c r="X128" s="6">
        <v>41962.525289351855</v>
      </c>
      <c r="Y128" t="s">
        <v>119</v>
      </c>
      <c r="AB128" t="s">
        <v>201</v>
      </c>
      <c r="AC128" t="s">
        <v>121</v>
      </c>
      <c r="AD128" t="s">
        <v>222</v>
      </c>
      <c r="AE128" t="s">
        <v>240</v>
      </c>
      <c r="AG128" t="s">
        <v>121</v>
      </c>
      <c r="AH128" t="s">
        <v>327</v>
      </c>
      <c r="AI128" t="s">
        <v>121</v>
      </c>
      <c r="AJ128" t="s">
        <v>717</v>
      </c>
      <c r="AK128" t="s">
        <v>121</v>
      </c>
    </row>
    <row r="129" spans="9:37" x14ac:dyDescent="0.3">
      <c r="I129">
        <f ca="1">IF(OR(INDIRECT(A73&amp;ROW())=B93,INDIRECT(A73&amp;ROW())=B94),1,IF(AND(INDIRECT(A73&amp;ROW())=B95,INDIRECT(A96&amp;ROW())=C93),1,IF(AND(INDIRECT(A73&amp;ROW())=B95,INDIRECT(A96&amp;ROW())=C94),1,0)))</f>
        <v>0</v>
      </c>
      <c r="J129">
        <f ca="1">IF(AND(INDIRECT(A73&amp;ROW())=B95,INDIRECT(A96&amp;ROW())=C95),1,IF(AND(INDIRECT(A73&amp;ROW())=B95,INDIRECT(A96&amp;ROW())=C96),1,0))</f>
        <v>0</v>
      </c>
      <c r="K129">
        <f ca="1">DAYS360(INDIRECT(C68&amp;ROW()),TODAY())</f>
        <v>681</v>
      </c>
      <c r="L129">
        <f ca="1">DAYS360(INDIRECT(C69&amp;ROW()),TODAY())</f>
        <v>883</v>
      </c>
      <c r="M129" s="11">
        <f ca="1">HYPERLINK(CONCATENATE("https://bugzilla.houston.hp.com:1181/bugzilla/show_bug.cgi?id=",INDIRECT(C70&amp;ROW())),INDIRECT(C70&amp;ROW()))</f>
        <v>53425</v>
      </c>
      <c r="N129">
        <v>53425</v>
      </c>
      <c r="O129" t="s">
        <v>56</v>
      </c>
      <c r="P129" t="s">
        <v>419</v>
      </c>
      <c r="Q129" t="s">
        <v>16</v>
      </c>
      <c r="R129" t="s">
        <v>248</v>
      </c>
      <c r="S129" t="s">
        <v>36</v>
      </c>
      <c r="U129" s="6">
        <v>42166.355740740742</v>
      </c>
      <c r="V129" t="s">
        <v>18</v>
      </c>
      <c r="W129" t="s">
        <v>27</v>
      </c>
      <c r="X129" s="6">
        <v>41962.529432870368</v>
      </c>
      <c r="Y129" t="s">
        <v>119</v>
      </c>
      <c r="AB129" t="s">
        <v>201</v>
      </c>
      <c r="AC129" t="s">
        <v>121</v>
      </c>
      <c r="AD129" t="s">
        <v>220</v>
      </c>
      <c r="AE129" t="s">
        <v>219</v>
      </c>
      <c r="AG129" t="s">
        <v>121</v>
      </c>
      <c r="AH129" t="s">
        <v>327</v>
      </c>
      <c r="AI129" t="s">
        <v>121</v>
      </c>
      <c r="AJ129" t="s">
        <v>717</v>
      </c>
      <c r="AK129" t="s">
        <v>121</v>
      </c>
    </row>
    <row r="130" spans="9:37" x14ac:dyDescent="0.3">
      <c r="I130">
        <f ca="1">IF(OR(INDIRECT(A73&amp;ROW())=B93,INDIRECT(A73&amp;ROW())=B94),1,IF(AND(INDIRECT(A73&amp;ROW())=B95,INDIRECT(A96&amp;ROW())=C93),1,IF(AND(INDIRECT(A73&amp;ROW())=B95,INDIRECT(A96&amp;ROW())=C94),1,0)))</f>
        <v>0</v>
      </c>
      <c r="J130">
        <f ca="1">IF(AND(INDIRECT(A73&amp;ROW())=B95,INDIRECT(A96&amp;ROW())=C95),1,IF(AND(INDIRECT(A73&amp;ROW())=B95,INDIRECT(A96&amp;ROW())=C96),1,0))</f>
        <v>0</v>
      </c>
      <c r="K130">
        <f ca="1">DAYS360(INDIRECT(C68&amp;ROW()),TODAY())</f>
        <v>721</v>
      </c>
      <c r="L130">
        <f ca="1">DAYS360(INDIRECT(C69&amp;ROW()),TODAY())</f>
        <v>883</v>
      </c>
      <c r="M130" s="11">
        <f ca="1">HYPERLINK(CONCATENATE("https://bugzilla.houston.hp.com:1181/bugzilla/show_bug.cgi?id=",INDIRECT(C70&amp;ROW())),INDIRECT(C70&amp;ROW()))</f>
        <v>53446</v>
      </c>
      <c r="N130">
        <v>53446</v>
      </c>
      <c r="O130" t="s">
        <v>56</v>
      </c>
      <c r="P130" t="s">
        <v>674</v>
      </c>
      <c r="Q130" t="s">
        <v>16</v>
      </c>
      <c r="R130" t="s">
        <v>251</v>
      </c>
      <c r="S130" t="s">
        <v>55</v>
      </c>
      <c r="U130" s="6">
        <v>42125.448657407411</v>
      </c>
      <c r="V130" t="s">
        <v>18</v>
      </c>
      <c r="W130" t="s">
        <v>17</v>
      </c>
      <c r="X130" s="6">
        <v>41962.642233796294</v>
      </c>
      <c r="Y130" t="s">
        <v>122</v>
      </c>
      <c r="AB130" t="s">
        <v>201</v>
      </c>
      <c r="AC130" t="s">
        <v>247</v>
      </c>
      <c r="AD130" t="s">
        <v>220</v>
      </c>
      <c r="AE130" t="s">
        <v>219</v>
      </c>
      <c r="AG130" t="s">
        <v>121</v>
      </c>
      <c r="AH130" t="s">
        <v>327</v>
      </c>
      <c r="AI130" t="s">
        <v>121</v>
      </c>
      <c r="AJ130" t="s">
        <v>717</v>
      </c>
      <c r="AK130" t="s">
        <v>121</v>
      </c>
    </row>
    <row r="131" spans="9:37" x14ac:dyDescent="0.3">
      <c r="I131">
        <f ca="1">IF(OR(INDIRECT(A73&amp;ROW())=B93,INDIRECT(A73&amp;ROW())=B94),1,IF(AND(INDIRECT(A73&amp;ROW())=B95,INDIRECT(A96&amp;ROW())=C93),1,IF(AND(INDIRECT(A73&amp;ROW())=B95,INDIRECT(A96&amp;ROW())=C94),1,0)))</f>
        <v>1</v>
      </c>
      <c r="J131">
        <f ca="1">IF(AND(INDIRECT(A73&amp;ROW())=B95,INDIRECT(A96&amp;ROW())=C95),1,IF(AND(INDIRECT(A73&amp;ROW())=B95,INDIRECT(A96&amp;ROW())=C96),1,0))</f>
        <v>0</v>
      </c>
      <c r="K131">
        <f ca="1">DAYS360(INDIRECT(C68&amp;ROW()),TODAY())</f>
        <v>800</v>
      </c>
      <c r="L131">
        <f ca="1">DAYS360(INDIRECT(C69&amp;ROW()),TODAY())</f>
        <v>882</v>
      </c>
      <c r="M131" s="11">
        <f ca="1">HYPERLINK(CONCATENATE("https://bugzilla.houston.hp.com:1181/bugzilla/show_bug.cgi?id=",INDIRECT(C70&amp;ROW())),INDIRECT(C70&amp;ROW()))</f>
        <v>53480</v>
      </c>
      <c r="N131">
        <v>53480</v>
      </c>
      <c r="O131" t="s">
        <v>180</v>
      </c>
      <c r="P131" t="s">
        <v>418</v>
      </c>
      <c r="Q131" t="s">
        <v>25</v>
      </c>
      <c r="R131" t="s">
        <v>248</v>
      </c>
      <c r="S131" t="s">
        <v>36</v>
      </c>
      <c r="U131" s="6">
        <v>42047.955960648149</v>
      </c>
      <c r="V131" t="s">
        <v>18</v>
      </c>
      <c r="W131" t="s">
        <v>171</v>
      </c>
      <c r="X131" s="6">
        <v>41963.306967592594</v>
      </c>
      <c r="Y131" t="s">
        <v>119</v>
      </c>
      <c r="AB131" t="s">
        <v>200</v>
      </c>
      <c r="AC131" t="s">
        <v>121</v>
      </c>
      <c r="AD131" t="s">
        <v>222</v>
      </c>
      <c r="AE131" t="s">
        <v>221</v>
      </c>
      <c r="AG131" t="s">
        <v>121</v>
      </c>
      <c r="AH131" t="s">
        <v>327</v>
      </c>
      <c r="AI131" t="s">
        <v>121</v>
      </c>
      <c r="AJ131" t="s">
        <v>715</v>
      </c>
      <c r="AK131" t="s">
        <v>121</v>
      </c>
    </row>
    <row r="132" spans="9:37" x14ac:dyDescent="0.3">
      <c r="I132">
        <f ca="1">IF(OR(INDIRECT(A73&amp;ROW())=B93,INDIRECT(A73&amp;ROW())=B94),1,IF(AND(INDIRECT(A73&amp;ROW())=B95,INDIRECT(A96&amp;ROW())=C93),1,IF(AND(INDIRECT(A73&amp;ROW())=B95,INDIRECT(A96&amp;ROW())=C94),1,0)))</f>
        <v>0</v>
      </c>
      <c r="J132">
        <f ca="1">IF(AND(INDIRECT(A73&amp;ROW())=B95,INDIRECT(A96&amp;ROW())=C95),1,IF(AND(INDIRECT(A73&amp;ROW())=B95,INDIRECT(A96&amp;ROW())=C96),1,0))</f>
        <v>0</v>
      </c>
      <c r="K132">
        <f ca="1">DAYS360(INDIRECT(C68&amp;ROW()),TODAY())</f>
        <v>721</v>
      </c>
      <c r="L132">
        <f ca="1">DAYS360(INDIRECT(C69&amp;ROW()),TODAY())</f>
        <v>882</v>
      </c>
      <c r="M132" s="11">
        <f ca="1">HYPERLINK(CONCATENATE("https://bugzilla.houston.hp.com:1181/bugzilla/show_bug.cgi?id=",INDIRECT(C70&amp;ROW())),INDIRECT(C70&amp;ROW()))</f>
        <v>53489</v>
      </c>
      <c r="N132">
        <v>53489</v>
      </c>
      <c r="O132" t="s">
        <v>21</v>
      </c>
      <c r="P132" t="s">
        <v>417</v>
      </c>
      <c r="Q132" t="s">
        <v>16</v>
      </c>
      <c r="R132" t="s">
        <v>248</v>
      </c>
      <c r="S132" t="s">
        <v>36</v>
      </c>
      <c r="U132" s="6">
        <v>42125.442152777781</v>
      </c>
      <c r="V132" t="s">
        <v>18</v>
      </c>
      <c r="W132" t="s">
        <v>171</v>
      </c>
      <c r="X132" s="6">
        <v>41963.308657407404</v>
      </c>
      <c r="Y132" t="s">
        <v>122</v>
      </c>
      <c r="AB132" t="s">
        <v>201</v>
      </c>
      <c r="AC132" t="s">
        <v>121</v>
      </c>
      <c r="AD132" t="s">
        <v>222</v>
      </c>
      <c r="AE132" t="s">
        <v>225</v>
      </c>
      <c r="AG132" t="s">
        <v>121</v>
      </c>
      <c r="AH132" t="s">
        <v>327</v>
      </c>
      <c r="AI132" t="s">
        <v>121</v>
      </c>
      <c r="AJ132" t="s">
        <v>717</v>
      </c>
      <c r="AK132" t="s">
        <v>121</v>
      </c>
    </row>
    <row r="133" spans="9:37" x14ac:dyDescent="0.3">
      <c r="I133">
        <f ca="1">IF(OR(INDIRECT(A73&amp;ROW())=B93,INDIRECT(A73&amp;ROW())=B94),1,IF(AND(INDIRECT(A73&amp;ROW())=B95,INDIRECT(A96&amp;ROW())=C93),1,IF(AND(INDIRECT(A73&amp;ROW())=B95,INDIRECT(A96&amp;ROW())=C94),1,0)))</f>
        <v>0</v>
      </c>
      <c r="J133">
        <f ca="1">IF(AND(INDIRECT(A73&amp;ROW())=B95,INDIRECT(A96&amp;ROW())=C95),1,IF(AND(INDIRECT(A73&amp;ROW())=B95,INDIRECT(A96&amp;ROW())=C96),1,0))</f>
        <v>0</v>
      </c>
      <c r="K133">
        <f ca="1">DAYS360(INDIRECT(C68&amp;ROW()),TODAY())</f>
        <v>721</v>
      </c>
      <c r="L133">
        <f ca="1">DAYS360(INDIRECT(C69&amp;ROW()),TODAY())</f>
        <v>882</v>
      </c>
      <c r="M133" s="11">
        <f ca="1">HYPERLINK(CONCATENATE("https://bugzilla.houston.hp.com:1181/bugzilla/show_bug.cgi?id=",INDIRECT(C70&amp;ROW())),INDIRECT(C70&amp;ROW()))</f>
        <v>53492</v>
      </c>
      <c r="N133">
        <v>53492</v>
      </c>
      <c r="O133" t="s">
        <v>180</v>
      </c>
      <c r="P133" t="s">
        <v>416</v>
      </c>
      <c r="Q133" t="s">
        <v>16</v>
      </c>
      <c r="R133" t="s">
        <v>248</v>
      </c>
      <c r="S133" t="s">
        <v>36</v>
      </c>
      <c r="U133" s="6">
        <v>42125.442372685182</v>
      </c>
      <c r="V133" t="s">
        <v>18</v>
      </c>
      <c r="W133" t="s">
        <v>172</v>
      </c>
      <c r="X133" s="6">
        <v>41963.308993055558</v>
      </c>
      <c r="Y133" t="s">
        <v>122</v>
      </c>
      <c r="AB133" t="s">
        <v>200</v>
      </c>
      <c r="AC133" t="s">
        <v>121</v>
      </c>
      <c r="AD133" t="s">
        <v>222</v>
      </c>
      <c r="AE133" t="s">
        <v>225</v>
      </c>
      <c r="AG133" t="s">
        <v>121</v>
      </c>
      <c r="AH133" t="s">
        <v>327</v>
      </c>
      <c r="AI133" t="s">
        <v>121</v>
      </c>
      <c r="AJ133" t="s">
        <v>716</v>
      </c>
      <c r="AK133" t="s">
        <v>121</v>
      </c>
    </row>
    <row r="134" spans="9:37" x14ac:dyDescent="0.3">
      <c r="I134">
        <f ca="1">IF(OR(INDIRECT(A73&amp;ROW())=B93,INDIRECT(A73&amp;ROW())=B94),1,IF(AND(INDIRECT(A73&amp;ROW())=B95,INDIRECT(A96&amp;ROW())=C93),1,IF(AND(INDIRECT(A73&amp;ROW())=B95,INDIRECT(A96&amp;ROW())=C94),1,0)))</f>
        <v>0</v>
      </c>
      <c r="J134">
        <f ca="1">IF(AND(INDIRECT(A73&amp;ROW())=B95,INDIRECT(A96&amp;ROW())=C95),1,IF(AND(INDIRECT(A73&amp;ROW())=B95,INDIRECT(A96&amp;ROW())=C96),1,0))</f>
        <v>0</v>
      </c>
      <c r="K134">
        <f ca="1">DAYS360(INDIRECT(C68&amp;ROW()),TODAY())</f>
        <v>721</v>
      </c>
      <c r="L134">
        <f ca="1">DAYS360(INDIRECT(C69&amp;ROW()),TODAY())</f>
        <v>882</v>
      </c>
      <c r="M134" s="11">
        <f ca="1">HYPERLINK(CONCATENATE("https://bugzilla.houston.hp.com:1181/bugzilla/show_bug.cgi?id=",INDIRECT(C70&amp;ROW())),INDIRECT(C70&amp;ROW()))</f>
        <v>53504</v>
      </c>
      <c r="N134">
        <v>53504</v>
      </c>
      <c r="O134" t="s">
        <v>213</v>
      </c>
      <c r="P134" t="s">
        <v>415</v>
      </c>
      <c r="Q134" t="s">
        <v>16</v>
      </c>
      <c r="R134" t="s">
        <v>248</v>
      </c>
      <c r="S134" t="s">
        <v>36</v>
      </c>
      <c r="U134" s="6">
        <v>42125.443923611114</v>
      </c>
      <c r="V134" t="s">
        <v>18</v>
      </c>
      <c r="W134" t="s">
        <v>172</v>
      </c>
      <c r="X134" s="6">
        <v>41963.310601851852</v>
      </c>
      <c r="Y134" t="s">
        <v>122</v>
      </c>
      <c r="AB134" t="s">
        <v>201</v>
      </c>
      <c r="AC134" t="s">
        <v>121</v>
      </c>
      <c r="AD134" t="s">
        <v>220</v>
      </c>
      <c r="AE134" t="s">
        <v>219</v>
      </c>
      <c r="AG134" t="s">
        <v>121</v>
      </c>
      <c r="AH134" t="s">
        <v>327</v>
      </c>
      <c r="AI134" t="s">
        <v>121</v>
      </c>
      <c r="AJ134" t="s">
        <v>717</v>
      </c>
      <c r="AK134" t="s">
        <v>121</v>
      </c>
    </row>
    <row r="135" spans="9:37" x14ac:dyDescent="0.3">
      <c r="I135">
        <f ca="1">IF(OR(INDIRECT(A73&amp;ROW())=B93,INDIRECT(A73&amp;ROW())=B94),1,IF(AND(INDIRECT(A73&amp;ROW())=B95,INDIRECT(A96&amp;ROW())=C93),1,IF(AND(INDIRECT(A73&amp;ROW())=B95,INDIRECT(A96&amp;ROW())=C94),1,0)))</f>
        <v>0</v>
      </c>
      <c r="J135">
        <f ca="1">IF(AND(INDIRECT(A73&amp;ROW())=B95,INDIRECT(A96&amp;ROW())=C95),1,IF(AND(INDIRECT(A73&amp;ROW())=B95,INDIRECT(A96&amp;ROW())=C96),1,0))</f>
        <v>1</v>
      </c>
      <c r="K135">
        <f ca="1">DAYS360(INDIRECT(C68&amp;ROW()),TODAY())</f>
        <v>800</v>
      </c>
      <c r="L135">
        <f ca="1">DAYS360(INDIRECT(C69&amp;ROW()),TODAY())</f>
        <v>882</v>
      </c>
      <c r="M135" s="11">
        <f ca="1">HYPERLINK(CONCATENATE("https://bugzilla.houston.hp.com:1181/bugzilla/show_bug.cgi?id=",INDIRECT(C70&amp;ROW())),INDIRECT(C70&amp;ROW()))</f>
        <v>53507</v>
      </c>
      <c r="N135">
        <v>53507</v>
      </c>
      <c r="O135" t="s">
        <v>56</v>
      </c>
      <c r="P135" t="s">
        <v>414</v>
      </c>
      <c r="Q135" t="s">
        <v>25</v>
      </c>
      <c r="R135" t="s">
        <v>248</v>
      </c>
      <c r="S135" t="s">
        <v>36</v>
      </c>
      <c r="U135" s="6">
        <v>42047.945706018516</v>
      </c>
      <c r="V135" t="s">
        <v>18</v>
      </c>
      <c r="W135" t="s">
        <v>215</v>
      </c>
      <c r="X135" s="6">
        <v>41963.311215277776</v>
      </c>
      <c r="Y135" t="s">
        <v>244</v>
      </c>
      <c r="AB135" t="s">
        <v>201</v>
      </c>
      <c r="AC135" t="s">
        <v>121</v>
      </c>
      <c r="AD135" t="s">
        <v>220</v>
      </c>
      <c r="AE135" t="s">
        <v>219</v>
      </c>
      <c r="AG135" t="s">
        <v>121</v>
      </c>
      <c r="AH135" t="s">
        <v>327</v>
      </c>
      <c r="AI135" t="s">
        <v>121</v>
      </c>
      <c r="AJ135" t="s">
        <v>716</v>
      </c>
      <c r="AK135" t="s">
        <v>121</v>
      </c>
    </row>
    <row r="136" spans="9:37" x14ac:dyDescent="0.3">
      <c r="I136">
        <f ca="1">IF(OR(INDIRECT(A73&amp;ROW())=B93,INDIRECT(A73&amp;ROW())=B94),1,IF(AND(INDIRECT(A73&amp;ROW())=B95,INDIRECT(A96&amp;ROW())=C93),1,IF(AND(INDIRECT(A73&amp;ROW())=B95,INDIRECT(A96&amp;ROW())=C94),1,0)))</f>
        <v>0</v>
      </c>
      <c r="J136">
        <f ca="1">IF(AND(INDIRECT(A73&amp;ROW())=B95,INDIRECT(A96&amp;ROW())=C95),1,IF(AND(INDIRECT(A73&amp;ROW())=B95,INDIRECT(A96&amp;ROW())=C96),1,0))</f>
        <v>0</v>
      </c>
      <c r="K136">
        <f ca="1">DAYS360(INDIRECT(C68&amp;ROW()),TODAY())</f>
        <v>800</v>
      </c>
      <c r="L136">
        <f ca="1">DAYS360(INDIRECT(C69&amp;ROW()),TODAY())</f>
        <v>882</v>
      </c>
      <c r="M136" s="11">
        <f ca="1">HYPERLINK(CONCATENATE("https://bugzilla.houston.hp.com:1181/bugzilla/show_bug.cgi?id=",INDIRECT(C70&amp;ROW())),INDIRECT(C70&amp;ROW()))</f>
        <v>53510</v>
      </c>
      <c r="N136">
        <v>53510</v>
      </c>
      <c r="O136" t="s">
        <v>88</v>
      </c>
      <c r="P136" t="s">
        <v>413</v>
      </c>
      <c r="Q136" t="s">
        <v>16</v>
      </c>
      <c r="R136" t="s">
        <v>248</v>
      </c>
      <c r="S136" t="s">
        <v>36</v>
      </c>
      <c r="U136" s="6">
        <v>42047.943113425928</v>
      </c>
      <c r="V136" t="s">
        <v>18</v>
      </c>
      <c r="W136" t="s">
        <v>215</v>
      </c>
      <c r="X136" s="6">
        <v>41963.311759259261</v>
      </c>
      <c r="Y136" t="s">
        <v>119</v>
      </c>
      <c r="AB136" t="s">
        <v>201</v>
      </c>
      <c r="AC136" t="s">
        <v>121</v>
      </c>
      <c r="AD136" t="s">
        <v>222</v>
      </c>
      <c r="AE136" t="s">
        <v>240</v>
      </c>
      <c r="AG136" t="s">
        <v>121</v>
      </c>
      <c r="AH136" t="s">
        <v>327</v>
      </c>
      <c r="AI136" t="s">
        <v>121</v>
      </c>
      <c r="AJ136" t="s">
        <v>717</v>
      </c>
      <c r="AK136" t="s">
        <v>121</v>
      </c>
    </row>
    <row r="137" spans="9:37" x14ac:dyDescent="0.3">
      <c r="I137">
        <f ca="1">IF(OR(INDIRECT(A73&amp;ROW())=B93,INDIRECT(A73&amp;ROW())=B94),1,IF(AND(INDIRECT(A73&amp;ROW())=B95,INDIRECT(A96&amp;ROW())=C93),1,IF(AND(INDIRECT(A73&amp;ROW())=B95,INDIRECT(A96&amp;ROW())=C94),1,0)))</f>
        <v>1</v>
      </c>
      <c r="J137">
        <f ca="1">IF(AND(INDIRECT(A73&amp;ROW())=B95,INDIRECT(A96&amp;ROW())=C95),1,IF(AND(INDIRECT(A73&amp;ROW())=B95,INDIRECT(A96&amp;ROW())=C96),1,0))</f>
        <v>0</v>
      </c>
      <c r="K137">
        <f ca="1">DAYS360(INDIRECT(C68&amp;ROW()),TODAY())</f>
        <v>803</v>
      </c>
      <c r="L137">
        <f ca="1">DAYS360(INDIRECT(C69&amp;ROW()),TODAY())</f>
        <v>882</v>
      </c>
      <c r="M137" s="11">
        <f ca="1">HYPERLINK(CONCATENATE("https://bugzilla.houston.hp.com:1181/bugzilla/show_bug.cgi?id=",INDIRECT(C70&amp;ROW())),INDIRECT(C70&amp;ROW()))</f>
        <v>53513</v>
      </c>
      <c r="N137">
        <v>53513</v>
      </c>
      <c r="O137" t="s">
        <v>94</v>
      </c>
      <c r="P137" t="s">
        <v>412</v>
      </c>
      <c r="Q137" t="s">
        <v>39</v>
      </c>
      <c r="R137" t="s">
        <v>248</v>
      </c>
      <c r="S137" t="s">
        <v>36</v>
      </c>
      <c r="U137" s="6">
        <v>42044.504583333335</v>
      </c>
      <c r="V137" t="s">
        <v>18</v>
      </c>
      <c r="W137" t="s">
        <v>211</v>
      </c>
      <c r="X137" s="6">
        <v>41963.312141203707</v>
      </c>
      <c r="Y137" t="s">
        <v>119</v>
      </c>
      <c r="AB137" t="s">
        <v>201</v>
      </c>
      <c r="AC137" t="s">
        <v>121</v>
      </c>
      <c r="AD137" t="s">
        <v>227</v>
      </c>
      <c r="AE137" t="s">
        <v>231</v>
      </c>
      <c r="AG137" t="s">
        <v>121</v>
      </c>
      <c r="AH137" t="s">
        <v>64</v>
      </c>
      <c r="AI137" t="s">
        <v>121</v>
      </c>
      <c r="AJ137" t="s">
        <v>715</v>
      </c>
      <c r="AK137" t="s">
        <v>121</v>
      </c>
    </row>
    <row r="138" spans="9:37" x14ac:dyDescent="0.3">
      <c r="I138">
        <f ca="1">IF(OR(INDIRECT(A73&amp;ROW())=B93,INDIRECT(A73&amp;ROW())=B94),1,IF(AND(INDIRECT(A73&amp;ROW())=B95,INDIRECT(A96&amp;ROW())=C93),1,IF(AND(INDIRECT(A73&amp;ROW())=B95,INDIRECT(A96&amp;ROW())=C94),1,0)))</f>
        <v>0</v>
      </c>
      <c r="J138">
        <f ca="1">IF(AND(INDIRECT(A73&amp;ROW())=B95,INDIRECT(A96&amp;ROW())=C95),1,IF(AND(INDIRECT(A73&amp;ROW())=B95,INDIRECT(A96&amp;ROW())=C96),1,0))</f>
        <v>0</v>
      </c>
      <c r="K138">
        <f ca="1">DAYS360(INDIRECT(C68&amp;ROW()),TODAY())</f>
        <v>721</v>
      </c>
      <c r="L138">
        <f ca="1">DAYS360(INDIRECT(C69&amp;ROW()),TODAY())</f>
        <v>882</v>
      </c>
      <c r="M138" s="11">
        <f ca="1">HYPERLINK(CONCATENATE("https://bugzilla.houston.hp.com:1181/bugzilla/show_bug.cgi?id=",INDIRECT(C70&amp;ROW())),INDIRECT(C70&amp;ROW()))</f>
        <v>53516</v>
      </c>
      <c r="N138">
        <v>53516</v>
      </c>
      <c r="O138" t="s">
        <v>22</v>
      </c>
      <c r="P138" t="s">
        <v>411</v>
      </c>
      <c r="Q138" t="s">
        <v>16</v>
      </c>
      <c r="R138" t="s">
        <v>248</v>
      </c>
      <c r="S138" t="s">
        <v>36</v>
      </c>
      <c r="U138" s="6">
        <v>42125.443807870368</v>
      </c>
      <c r="V138" t="s">
        <v>18</v>
      </c>
      <c r="W138" t="s">
        <v>17</v>
      </c>
      <c r="X138" s="6">
        <v>41963.312673611108</v>
      </c>
      <c r="Y138" t="s">
        <v>122</v>
      </c>
      <c r="Z138" t="s">
        <v>255</v>
      </c>
      <c r="AB138" t="s">
        <v>201</v>
      </c>
      <c r="AC138" t="s">
        <v>121</v>
      </c>
      <c r="AD138" t="s">
        <v>220</v>
      </c>
      <c r="AE138" t="s">
        <v>219</v>
      </c>
      <c r="AG138" t="s">
        <v>121</v>
      </c>
      <c r="AH138" t="s">
        <v>64</v>
      </c>
      <c r="AI138" t="s">
        <v>121</v>
      </c>
      <c r="AJ138" t="s">
        <v>717</v>
      </c>
      <c r="AK138" t="s">
        <v>121</v>
      </c>
    </row>
    <row r="139" spans="9:37" x14ac:dyDescent="0.3">
      <c r="I139">
        <f ca="1">IF(OR(INDIRECT(A73&amp;ROW())=B93,INDIRECT(A73&amp;ROW())=B94),1,IF(AND(INDIRECT(A73&amp;ROW())=B95,INDIRECT(A96&amp;ROW())=C93),1,IF(AND(INDIRECT(A73&amp;ROW())=B95,INDIRECT(A96&amp;ROW())=C94),1,0)))</f>
        <v>0</v>
      </c>
      <c r="J139">
        <f ca="1">IF(AND(INDIRECT(A73&amp;ROW())=B95,INDIRECT(A96&amp;ROW())=C95),1,IF(AND(INDIRECT(A73&amp;ROW())=B95,INDIRECT(A96&amp;ROW())=C96),1,0))</f>
        <v>0</v>
      </c>
      <c r="K139">
        <f ca="1">DAYS360(INDIRECT(C68&amp;ROW()),TODAY())</f>
        <v>800</v>
      </c>
      <c r="L139">
        <f ca="1">DAYS360(INDIRECT(C69&amp;ROW()),TODAY())</f>
        <v>882</v>
      </c>
      <c r="M139" s="11">
        <f ca="1">HYPERLINK(CONCATENATE("https://bugzilla.houston.hp.com:1181/bugzilla/show_bug.cgi?id=",INDIRECT(C70&amp;ROW())),INDIRECT(C70&amp;ROW()))</f>
        <v>53525</v>
      </c>
      <c r="N139">
        <v>53525</v>
      </c>
      <c r="O139" t="s">
        <v>88</v>
      </c>
      <c r="P139" t="s">
        <v>410</v>
      </c>
      <c r="Q139" t="s">
        <v>16</v>
      </c>
      <c r="R139" t="s">
        <v>248</v>
      </c>
      <c r="S139" t="s">
        <v>36</v>
      </c>
      <c r="U139" s="6">
        <v>42047.958749999998</v>
      </c>
      <c r="V139" t="s">
        <v>18</v>
      </c>
      <c r="W139" t="s">
        <v>260</v>
      </c>
      <c r="X139" s="6">
        <v>41963.313935185186</v>
      </c>
      <c r="Y139" t="s">
        <v>119</v>
      </c>
      <c r="AB139" t="s">
        <v>199</v>
      </c>
      <c r="AC139" t="s">
        <v>121</v>
      </c>
      <c r="AD139" t="s">
        <v>220</v>
      </c>
      <c r="AE139" t="s">
        <v>290</v>
      </c>
      <c r="AG139" t="s">
        <v>121</v>
      </c>
      <c r="AH139" t="s">
        <v>64</v>
      </c>
      <c r="AI139" t="s">
        <v>121</v>
      </c>
      <c r="AJ139" t="s">
        <v>716</v>
      </c>
      <c r="AK139" t="s">
        <v>121</v>
      </c>
    </row>
    <row r="140" spans="9:37" x14ac:dyDescent="0.3">
      <c r="I140">
        <f ca="1">IF(OR(INDIRECT(A73&amp;ROW())=B93,INDIRECT(A73&amp;ROW())=B94),1,IF(AND(INDIRECT(A73&amp;ROW())=B95,INDIRECT(A96&amp;ROW())=C93),1,IF(AND(INDIRECT(A73&amp;ROW())=B95,INDIRECT(A96&amp;ROW())=C94),1,0)))</f>
        <v>0</v>
      </c>
      <c r="J140">
        <f ca="1">IF(AND(INDIRECT(A73&amp;ROW())=B95,INDIRECT(A96&amp;ROW())=C95),1,IF(AND(INDIRECT(A73&amp;ROW())=B95,INDIRECT(A96&amp;ROW())=C96),1,0))</f>
        <v>0</v>
      </c>
      <c r="K140">
        <f ca="1">DAYS360(INDIRECT(C68&amp;ROW()),TODAY())</f>
        <v>721</v>
      </c>
      <c r="L140">
        <f ca="1">DAYS360(INDIRECT(C69&amp;ROW()),TODAY())</f>
        <v>882</v>
      </c>
      <c r="M140" s="11">
        <f ca="1">HYPERLINK(CONCATENATE("https://bugzilla.houston.hp.com:1181/bugzilla/show_bug.cgi?id=",INDIRECT(C70&amp;ROW())),INDIRECT(C70&amp;ROW()))</f>
        <v>53531</v>
      </c>
      <c r="N140">
        <v>53531</v>
      </c>
      <c r="O140" t="s">
        <v>88</v>
      </c>
      <c r="P140" t="s">
        <v>409</v>
      </c>
      <c r="Q140" t="s">
        <v>16</v>
      </c>
      <c r="R140" t="s">
        <v>248</v>
      </c>
      <c r="S140" t="s">
        <v>36</v>
      </c>
      <c r="U140" s="6">
        <v>42125.445243055554</v>
      </c>
      <c r="V140" t="s">
        <v>18</v>
      </c>
      <c r="W140" t="s">
        <v>258</v>
      </c>
      <c r="X140" s="6">
        <v>41963.314837962964</v>
      </c>
      <c r="Y140" t="s">
        <v>122</v>
      </c>
      <c r="AB140" t="s">
        <v>200</v>
      </c>
      <c r="AC140" t="s">
        <v>121</v>
      </c>
      <c r="AD140" t="s">
        <v>222</v>
      </c>
      <c r="AE140" t="s">
        <v>221</v>
      </c>
      <c r="AG140" t="s">
        <v>121</v>
      </c>
      <c r="AH140" t="s">
        <v>64</v>
      </c>
      <c r="AI140" t="s">
        <v>121</v>
      </c>
      <c r="AJ140" t="s">
        <v>716</v>
      </c>
      <c r="AK140" t="s">
        <v>121</v>
      </c>
    </row>
    <row r="141" spans="9:37" x14ac:dyDescent="0.3">
      <c r="I141">
        <f ca="1">IF(OR(INDIRECT(A73&amp;ROW())=B93,INDIRECT(A73&amp;ROW())=B94),1,IF(AND(INDIRECT(A73&amp;ROW())=B95,INDIRECT(A96&amp;ROW())=C93),1,IF(AND(INDIRECT(A73&amp;ROW())=B95,INDIRECT(A96&amp;ROW())=C94),1,0)))</f>
        <v>0</v>
      </c>
      <c r="J141">
        <f ca="1">IF(AND(INDIRECT(A73&amp;ROW())=B95,INDIRECT(A96&amp;ROW())=C95),1,IF(AND(INDIRECT(A73&amp;ROW())=B95,INDIRECT(A96&amp;ROW())=C96),1,0))</f>
        <v>0</v>
      </c>
      <c r="K141">
        <f ca="1">DAYS360(INDIRECT(C68&amp;ROW()),TODAY())</f>
        <v>721</v>
      </c>
      <c r="L141">
        <f ca="1">DAYS360(INDIRECT(C69&amp;ROW()),TODAY())</f>
        <v>882</v>
      </c>
      <c r="M141" s="11">
        <f ca="1">HYPERLINK(CONCATENATE("https://bugzilla.houston.hp.com:1181/bugzilla/show_bug.cgi?id=",INDIRECT(C70&amp;ROW())),INDIRECT(C70&amp;ROW()))</f>
        <v>53534</v>
      </c>
      <c r="N141">
        <v>53534</v>
      </c>
      <c r="O141" t="s">
        <v>22</v>
      </c>
      <c r="P141" t="s">
        <v>408</v>
      </c>
      <c r="Q141" t="s">
        <v>16</v>
      </c>
      <c r="R141" t="s">
        <v>248</v>
      </c>
      <c r="S141" t="s">
        <v>36</v>
      </c>
      <c r="U141" s="6">
        <v>42125.445324074077</v>
      </c>
      <c r="V141" t="s">
        <v>18</v>
      </c>
      <c r="W141" t="s">
        <v>17</v>
      </c>
      <c r="X141" s="6">
        <v>41963.315185185187</v>
      </c>
      <c r="Y141" t="s">
        <v>122</v>
      </c>
      <c r="AB141" t="s">
        <v>200</v>
      </c>
      <c r="AC141" t="s">
        <v>121</v>
      </c>
      <c r="AD141" t="s">
        <v>220</v>
      </c>
      <c r="AE141" t="s">
        <v>223</v>
      </c>
      <c r="AG141" t="s">
        <v>121</v>
      </c>
      <c r="AH141" t="s">
        <v>64</v>
      </c>
      <c r="AI141" t="s">
        <v>121</v>
      </c>
      <c r="AJ141" t="s">
        <v>716</v>
      </c>
      <c r="AK141" t="s">
        <v>121</v>
      </c>
    </row>
    <row r="142" spans="9:37" x14ac:dyDescent="0.3">
      <c r="I142">
        <f ca="1">IF(OR(INDIRECT(A73&amp;ROW())=B93,INDIRECT(A73&amp;ROW())=B94),1,IF(AND(INDIRECT(A73&amp;ROW())=B95,INDIRECT(A96&amp;ROW())=C93),1,IF(AND(INDIRECT(A73&amp;ROW())=B95,INDIRECT(A96&amp;ROW())=C94),1,0)))</f>
        <v>0</v>
      </c>
      <c r="J142">
        <f ca="1">IF(AND(INDIRECT(A73&amp;ROW())=B95,INDIRECT(A96&amp;ROW())=C95),1,IF(AND(INDIRECT(A73&amp;ROW())=B95,INDIRECT(A96&amp;ROW())=C96),1,0))</f>
        <v>0</v>
      </c>
      <c r="K142">
        <f ca="1">DAYS360(INDIRECT(C68&amp;ROW()),TODAY())</f>
        <v>721</v>
      </c>
      <c r="L142">
        <f ca="1">DAYS360(INDIRECT(C69&amp;ROW()),TODAY())</f>
        <v>882</v>
      </c>
      <c r="M142" s="11">
        <f ca="1">HYPERLINK(CONCATENATE("https://bugzilla.houston.hp.com:1181/bugzilla/show_bug.cgi?id=",INDIRECT(C70&amp;ROW())),INDIRECT(C70&amp;ROW()))</f>
        <v>53537</v>
      </c>
      <c r="N142">
        <v>53537</v>
      </c>
      <c r="O142" t="s">
        <v>49</v>
      </c>
      <c r="P142" t="s">
        <v>407</v>
      </c>
      <c r="Q142" t="s">
        <v>16</v>
      </c>
      <c r="R142" t="s">
        <v>248</v>
      </c>
      <c r="S142" t="s">
        <v>36</v>
      </c>
      <c r="U142" s="6">
        <v>42125.445162037038</v>
      </c>
      <c r="V142" t="s">
        <v>18</v>
      </c>
      <c r="W142" t="s">
        <v>258</v>
      </c>
      <c r="X142" s="6">
        <v>41963.315509259257</v>
      </c>
      <c r="Y142" t="s">
        <v>122</v>
      </c>
      <c r="AB142" t="s">
        <v>200</v>
      </c>
      <c r="AC142" t="s">
        <v>121</v>
      </c>
      <c r="AD142" t="s">
        <v>222</v>
      </c>
      <c r="AE142" t="s">
        <v>221</v>
      </c>
      <c r="AG142" t="s">
        <v>121</v>
      </c>
      <c r="AH142" t="s">
        <v>64</v>
      </c>
      <c r="AI142" t="s">
        <v>121</v>
      </c>
      <c r="AJ142" t="s">
        <v>716</v>
      </c>
      <c r="AK142" t="s">
        <v>121</v>
      </c>
    </row>
    <row r="143" spans="9:37" x14ac:dyDescent="0.3">
      <c r="I143">
        <f ca="1">IF(OR(INDIRECT(A73&amp;ROW())=B93,INDIRECT(A73&amp;ROW())=B94),1,IF(AND(INDIRECT(A73&amp;ROW())=B95,INDIRECT(A96&amp;ROW())=C93),1,IF(AND(INDIRECT(A73&amp;ROW())=B95,INDIRECT(A96&amp;ROW())=C94),1,0)))</f>
        <v>0</v>
      </c>
      <c r="J143">
        <f ca="1">IF(AND(INDIRECT(A73&amp;ROW())=B95,INDIRECT(A96&amp;ROW())=C95),1,IF(AND(INDIRECT(A73&amp;ROW())=B95,INDIRECT(A96&amp;ROW())=C96),1,0))</f>
        <v>0</v>
      </c>
      <c r="K143">
        <f ca="1">DAYS360(INDIRECT(C68&amp;ROW()),TODAY())</f>
        <v>721</v>
      </c>
      <c r="L143">
        <f ca="1">DAYS360(INDIRECT(C69&amp;ROW()),TODAY())</f>
        <v>882</v>
      </c>
      <c r="M143" s="11">
        <f ca="1">HYPERLINK(CONCATENATE("https://bugzilla.houston.hp.com:1181/bugzilla/show_bug.cgi?id=",INDIRECT(C70&amp;ROW())),INDIRECT(C70&amp;ROW()))</f>
        <v>53540</v>
      </c>
      <c r="N143">
        <v>53540</v>
      </c>
      <c r="O143" t="s">
        <v>49</v>
      </c>
      <c r="P143" t="s">
        <v>406</v>
      </c>
      <c r="Q143" t="s">
        <v>16</v>
      </c>
      <c r="R143" t="s">
        <v>248</v>
      </c>
      <c r="S143" t="s">
        <v>36</v>
      </c>
      <c r="U143" s="6">
        <v>42125.445208333331</v>
      </c>
      <c r="V143" t="s">
        <v>18</v>
      </c>
      <c r="W143" t="s">
        <v>258</v>
      </c>
      <c r="X143" s="6">
        <v>41963.315798611111</v>
      </c>
      <c r="Y143" t="s">
        <v>122</v>
      </c>
      <c r="AB143" t="s">
        <v>200</v>
      </c>
      <c r="AC143" t="s">
        <v>121</v>
      </c>
      <c r="AD143" t="s">
        <v>222</v>
      </c>
      <c r="AE143" t="s">
        <v>221</v>
      </c>
      <c r="AG143" t="s">
        <v>121</v>
      </c>
      <c r="AH143" t="s">
        <v>64</v>
      </c>
      <c r="AI143" t="s">
        <v>121</v>
      </c>
      <c r="AJ143" t="s">
        <v>716</v>
      </c>
      <c r="AK143" t="s">
        <v>121</v>
      </c>
    </row>
    <row r="144" spans="9:37" x14ac:dyDescent="0.3">
      <c r="I144">
        <f ca="1">IF(OR(INDIRECT(A73&amp;ROW())=B93,INDIRECT(A73&amp;ROW())=B94),1,IF(AND(INDIRECT(A73&amp;ROW())=B95,INDIRECT(A96&amp;ROW())=C93),1,IF(AND(INDIRECT(A73&amp;ROW())=B95,INDIRECT(A96&amp;ROW())=C94),1,0)))</f>
        <v>0</v>
      </c>
      <c r="J144">
        <f ca="1">IF(AND(INDIRECT(A73&amp;ROW())=B95,INDIRECT(A96&amp;ROW())=C95),1,IF(AND(INDIRECT(A73&amp;ROW())=B95,INDIRECT(A96&amp;ROW())=C96),1,0))</f>
        <v>0</v>
      </c>
      <c r="K144">
        <f ca="1">DAYS360(INDIRECT(C68&amp;ROW()),TODAY())</f>
        <v>721</v>
      </c>
      <c r="L144">
        <f ca="1">DAYS360(INDIRECT(C69&amp;ROW()),TODAY())</f>
        <v>882</v>
      </c>
      <c r="M144" s="11">
        <f ca="1">HYPERLINK(CONCATENATE("https://bugzilla.houston.hp.com:1181/bugzilla/show_bug.cgi?id=",INDIRECT(C70&amp;ROW())),INDIRECT(C70&amp;ROW()))</f>
        <v>53543</v>
      </c>
      <c r="N144">
        <v>53543</v>
      </c>
      <c r="O144" t="s">
        <v>49</v>
      </c>
      <c r="P144" t="s">
        <v>405</v>
      </c>
      <c r="Q144" t="s">
        <v>16</v>
      </c>
      <c r="R144" t="s">
        <v>248</v>
      </c>
      <c r="S144" t="s">
        <v>36</v>
      </c>
      <c r="U144" s="6">
        <v>42125.4452662037</v>
      </c>
      <c r="V144" t="s">
        <v>18</v>
      </c>
      <c r="W144" t="s">
        <v>258</v>
      </c>
      <c r="X144" s="6">
        <v>41963.316087962965</v>
      </c>
      <c r="Y144" t="s">
        <v>122</v>
      </c>
      <c r="AB144" t="s">
        <v>200</v>
      </c>
      <c r="AC144" t="s">
        <v>121</v>
      </c>
      <c r="AD144" t="s">
        <v>222</v>
      </c>
      <c r="AE144" t="s">
        <v>221</v>
      </c>
      <c r="AG144" t="s">
        <v>121</v>
      </c>
      <c r="AH144" t="s">
        <v>327</v>
      </c>
      <c r="AI144" t="s">
        <v>121</v>
      </c>
      <c r="AJ144" t="s">
        <v>716</v>
      </c>
      <c r="AK144" t="s">
        <v>121</v>
      </c>
    </row>
    <row r="145" spans="9:37" x14ac:dyDescent="0.3">
      <c r="I145">
        <f ca="1">IF(OR(INDIRECT(A73&amp;ROW())=B93,INDIRECT(A73&amp;ROW())=B94),1,IF(AND(INDIRECT(A73&amp;ROW())=B95,INDIRECT(A96&amp;ROW())=C93),1,IF(AND(INDIRECT(A73&amp;ROW())=B95,INDIRECT(A96&amp;ROW())=C94),1,0)))</f>
        <v>0</v>
      </c>
      <c r="J145">
        <f ca="1">IF(AND(INDIRECT(A73&amp;ROW())=B95,INDIRECT(A96&amp;ROW())=C95),1,IF(AND(INDIRECT(A73&amp;ROW())=B95,INDIRECT(A96&amp;ROW())=C96),1,0))</f>
        <v>0</v>
      </c>
      <c r="K145">
        <f ca="1">DAYS360(INDIRECT(C68&amp;ROW()),TODAY())</f>
        <v>721</v>
      </c>
      <c r="L145">
        <f ca="1">DAYS360(INDIRECT(C69&amp;ROW()),TODAY())</f>
        <v>882</v>
      </c>
      <c r="M145" s="11">
        <f ca="1">HYPERLINK(CONCATENATE("https://bugzilla.houston.hp.com:1181/bugzilla/show_bug.cgi?id=",INDIRECT(C70&amp;ROW())),INDIRECT(C70&amp;ROW()))</f>
        <v>53546</v>
      </c>
      <c r="N145">
        <v>53546</v>
      </c>
      <c r="O145" t="s">
        <v>49</v>
      </c>
      <c r="P145" t="s">
        <v>404</v>
      </c>
      <c r="Q145" t="s">
        <v>16</v>
      </c>
      <c r="R145" t="s">
        <v>248</v>
      </c>
      <c r="S145" t="s">
        <v>36</v>
      </c>
      <c r="U145" s="6">
        <v>42125.4453125</v>
      </c>
      <c r="V145" t="s">
        <v>18</v>
      </c>
      <c r="W145" t="s">
        <v>258</v>
      </c>
      <c r="X145" s="6">
        <v>41963.316354166665</v>
      </c>
      <c r="Y145" t="s">
        <v>122</v>
      </c>
      <c r="AB145" t="s">
        <v>200</v>
      </c>
      <c r="AC145" t="s">
        <v>121</v>
      </c>
      <c r="AD145" t="s">
        <v>222</v>
      </c>
      <c r="AE145" t="s">
        <v>221</v>
      </c>
      <c r="AG145" t="s">
        <v>121</v>
      </c>
      <c r="AH145" t="s">
        <v>327</v>
      </c>
      <c r="AI145" t="s">
        <v>121</v>
      </c>
      <c r="AJ145" t="s">
        <v>716</v>
      </c>
      <c r="AK145" t="s">
        <v>121</v>
      </c>
    </row>
    <row r="146" spans="9:37" x14ac:dyDescent="0.3">
      <c r="I146">
        <f ca="1">IF(OR(INDIRECT(A73&amp;ROW())=B93,INDIRECT(A73&amp;ROW())=B94),1,IF(AND(INDIRECT(A73&amp;ROW())=B95,INDIRECT(A96&amp;ROW())=C93),1,IF(AND(INDIRECT(A73&amp;ROW())=B95,INDIRECT(A96&amp;ROW())=C94),1,0)))</f>
        <v>0</v>
      </c>
      <c r="J146">
        <f ca="1">IF(AND(INDIRECT(A73&amp;ROW())=B95,INDIRECT(A96&amp;ROW())=C95),1,IF(AND(INDIRECT(A73&amp;ROW())=B95,INDIRECT(A96&amp;ROW())=C96),1,0))</f>
        <v>0</v>
      </c>
      <c r="K146">
        <f ca="1">DAYS360(INDIRECT(C68&amp;ROW()),TODAY())</f>
        <v>721</v>
      </c>
      <c r="L146">
        <f ca="1">DAYS360(INDIRECT(C69&amp;ROW()),TODAY())</f>
        <v>882</v>
      </c>
      <c r="M146" s="11">
        <f ca="1">HYPERLINK(CONCATENATE("https://bugzilla.houston.hp.com:1181/bugzilla/show_bug.cgi?id=",INDIRECT(C70&amp;ROW())),INDIRECT(C70&amp;ROW()))</f>
        <v>53549</v>
      </c>
      <c r="N146">
        <v>53549</v>
      </c>
      <c r="O146" t="s">
        <v>49</v>
      </c>
      <c r="P146" t="s">
        <v>403</v>
      </c>
      <c r="Q146" t="s">
        <v>16</v>
      </c>
      <c r="R146" t="s">
        <v>248</v>
      </c>
      <c r="S146" t="s">
        <v>36</v>
      </c>
      <c r="U146" s="6">
        <v>42125.445150462961</v>
      </c>
      <c r="V146" t="s">
        <v>18</v>
      </c>
      <c r="W146" t="s">
        <v>258</v>
      </c>
      <c r="X146" s="6">
        <v>41963.316643518519</v>
      </c>
      <c r="Y146" t="s">
        <v>122</v>
      </c>
      <c r="AB146" t="s">
        <v>200</v>
      </c>
      <c r="AC146" t="s">
        <v>121</v>
      </c>
      <c r="AD146" t="s">
        <v>222</v>
      </c>
      <c r="AE146" t="s">
        <v>221</v>
      </c>
      <c r="AG146" t="s">
        <v>121</v>
      </c>
      <c r="AH146" t="s">
        <v>327</v>
      </c>
      <c r="AI146" t="s">
        <v>121</v>
      </c>
      <c r="AJ146" t="s">
        <v>716</v>
      </c>
      <c r="AK146" t="s">
        <v>121</v>
      </c>
    </row>
    <row r="147" spans="9:37" x14ac:dyDescent="0.3">
      <c r="I147">
        <f ca="1">IF(OR(INDIRECT(A73&amp;ROW())=B93,INDIRECT(A73&amp;ROW())=B94),1,IF(AND(INDIRECT(A73&amp;ROW())=B95,INDIRECT(A96&amp;ROW())=C93),1,IF(AND(INDIRECT(A73&amp;ROW())=B95,INDIRECT(A96&amp;ROW())=C94),1,0)))</f>
        <v>0</v>
      </c>
      <c r="J147">
        <f ca="1">IF(AND(INDIRECT(A73&amp;ROW())=B95,INDIRECT(A96&amp;ROW())=C95),1,IF(AND(INDIRECT(A73&amp;ROW())=B95,INDIRECT(A96&amp;ROW())=C96),1,0))</f>
        <v>0</v>
      </c>
      <c r="K147">
        <f ca="1">DAYS360(INDIRECT(C68&amp;ROW()),TODAY())</f>
        <v>721</v>
      </c>
      <c r="L147">
        <f ca="1">DAYS360(INDIRECT(C69&amp;ROW()),TODAY())</f>
        <v>882</v>
      </c>
      <c r="M147" s="11">
        <f ca="1">HYPERLINK(CONCATENATE("https://bugzilla.houston.hp.com:1181/bugzilla/show_bug.cgi?id=",INDIRECT(C70&amp;ROW())),INDIRECT(C70&amp;ROW()))</f>
        <v>53561</v>
      </c>
      <c r="N147">
        <v>53561</v>
      </c>
      <c r="O147" t="s">
        <v>56</v>
      </c>
      <c r="P147" t="s">
        <v>402</v>
      </c>
      <c r="Q147" t="s">
        <v>16</v>
      </c>
      <c r="R147" t="s">
        <v>248</v>
      </c>
      <c r="S147" t="s">
        <v>36</v>
      </c>
      <c r="U147" s="6">
        <v>42125.446539351855</v>
      </c>
      <c r="V147" t="s">
        <v>18</v>
      </c>
      <c r="W147" t="s">
        <v>257</v>
      </c>
      <c r="X147" s="6">
        <v>41963.318425925929</v>
      </c>
      <c r="Y147" t="s">
        <v>122</v>
      </c>
      <c r="AB147" t="s">
        <v>201</v>
      </c>
      <c r="AC147" t="s">
        <v>247</v>
      </c>
      <c r="AD147" t="s">
        <v>220</v>
      </c>
      <c r="AE147" t="s">
        <v>219</v>
      </c>
      <c r="AG147" t="s">
        <v>121</v>
      </c>
      <c r="AH147" t="s">
        <v>64</v>
      </c>
      <c r="AI147" t="s">
        <v>121</v>
      </c>
      <c r="AJ147" t="s">
        <v>717</v>
      </c>
      <c r="AK147" t="s">
        <v>121</v>
      </c>
    </row>
    <row r="148" spans="9:37" x14ac:dyDescent="0.3">
      <c r="I148">
        <f ca="1">IF(OR(INDIRECT(A73&amp;ROW())=B93,INDIRECT(A73&amp;ROW())=B94),1,IF(AND(INDIRECT(A73&amp;ROW())=B95,INDIRECT(A96&amp;ROW())=C93),1,IF(AND(INDIRECT(A73&amp;ROW())=B95,INDIRECT(A96&amp;ROW())=C94),1,0)))</f>
        <v>0</v>
      </c>
      <c r="J148">
        <f ca="1">IF(AND(INDIRECT(A73&amp;ROW())=B95,INDIRECT(A96&amp;ROW())=C95),1,IF(AND(INDIRECT(A73&amp;ROW())=B95,INDIRECT(A96&amp;ROW())=C96),1,0))</f>
        <v>0</v>
      </c>
      <c r="K148">
        <f ca="1">DAYS360(INDIRECT(C68&amp;ROW()),TODAY())</f>
        <v>721</v>
      </c>
      <c r="L148">
        <f ca="1">DAYS360(INDIRECT(C69&amp;ROW()),TODAY())</f>
        <v>882</v>
      </c>
      <c r="M148" s="11">
        <f ca="1">HYPERLINK(CONCATENATE("https://bugzilla.houston.hp.com:1181/bugzilla/show_bug.cgi?id=",INDIRECT(C70&amp;ROW())),INDIRECT(C70&amp;ROW()))</f>
        <v>53564</v>
      </c>
      <c r="N148">
        <v>53564</v>
      </c>
      <c r="O148" t="s">
        <v>56</v>
      </c>
      <c r="P148" t="s">
        <v>401</v>
      </c>
      <c r="Q148" t="s">
        <v>16</v>
      </c>
      <c r="R148" t="s">
        <v>248</v>
      </c>
      <c r="S148" t="s">
        <v>36</v>
      </c>
      <c r="U148" s="6">
        <v>42125.446331018517</v>
      </c>
      <c r="V148" t="s">
        <v>18</v>
      </c>
      <c r="W148" t="s">
        <v>257</v>
      </c>
      <c r="X148" s="6">
        <v>41963.318773148145</v>
      </c>
      <c r="Y148" t="s">
        <v>122</v>
      </c>
      <c r="AB148" t="s">
        <v>201</v>
      </c>
      <c r="AC148" t="s">
        <v>247</v>
      </c>
      <c r="AD148" t="s">
        <v>220</v>
      </c>
      <c r="AE148" t="s">
        <v>219</v>
      </c>
      <c r="AG148" t="s">
        <v>121</v>
      </c>
      <c r="AH148" t="s">
        <v>327</v>
      </c>
      <c r="AI148" t="s">
        <v>121</v>
      </c>
      <c r="AJ148" t="s">
        <v>717</v>
      </c>
      <c r="AK148" t="s">
        <v>121</v>
      </c>
    </row>
    <row r="149" spans="9:37" x14ac:dyDescent="0.3">
      <c r="I149">
        <f ca="1">IF(OR(INDIRECT(A73&amp;ROW())=B93,INDIRECT(A73&amp;ROW())=B94),1,IF(AND(INDIRECT(A73&amp;ROW())=B95,INDIRECT(A96&amp;ROW())=C93),1,IF(AND(INDIRECT(A73&amp;ROW())=B95,INDIRECT(A96&amp;ROW())=C94),1,0)))</f>
        <v>0</v>
      </c>
      <c r="J149">
        <f ca="1">IF(AND(INDIRECT(A73&amp;ROW())=B95,INDIRECT(A96&amp;ROW())=C95),1,IF(AND(INDIRECT(A73&amp;ROW())=B95,INDIRECT(A96&amp;ROW())=C96),1,0))</f>
        <v>0</v>
      </c>
      <c r="K149">
        <f ca="1">DAYS360(INDIRECT(C68&amp;ROW()),TODAY())</f>
        <v>800</v>
      </c>
      <c r="L149">
        <f ca="1">DAYS360(INDIRECT(C69&amp;ROW()),TODAY())</f>
        <v>882</v>
      </c>
      <c r="M149" s="11">
        <f ca="1">HYPERLINK(CONCATENATE("https://bugzilla.houston.hp.com:1181/bugzilla/show_bug.cgi?id=",INDIRECT(C70&amp;ROW())),INDIRECT(C70&amp;ROW()))</f>
        <v>53573</v>
      </c>
      <c r="N149">
        <v>53573</v>
      </c>
      <c r="O149" t="s">
        <v>334</v>
      </c>
      <c r="P149" t="s">
        <v>400</v>
      </c>
      <c r="Q149" t="s">
        <v>16</v>
      </c>
      <c r="R149" t="s">
        <v>248</v>
      </c>
      <c r="S149" t="s">
        <v>36</v>
      </c>
      <c r="U149" s="6">
        <v>42047.980590277781</v>
      </c>
      <c r="V149" t="s">
        <v>18</v>
      </c>
      <c r="W149" t="s">
        <v>260</v>
      </c>
      <c r="X149" s="6">
        <v>41963.319826388892</v>
      </c>
      <c r="Y149" t="s">
        <v>245</v>
      </c>
      <c r="AB149" t="s">
        <v>200</v>
      </c>
      <c r="AC149" t="s">
        <v>247</v>
      </c>
      <c r="AD149" t="s">
        <v>227</v>
      </c>
      <c r="AE149" t="s">
        <v>230</v>
      </c>
      <c r="AG149" t="s">
        <v>121</v>
      </c>
      <c r="AH149" t="s">
        <v>327</v>
      </c>
      <c r="AI149" t="s">
        <v>121</v>
      </c>
      <c r="AJ149" t="s">
        <v>716</v>
      </c>
      <c r="AK149" t="s">
        <v>121</v>
      </c>
    </row>
    <row r="150" spans="9:37" x14ac:dyDescent="0.3">
      <c r="I150">
        <f ca="1">IF(OR(INDIRECT(A73&amp;ROW())=B93,INDIRECT(A73&amp;ROW())=B94),1,IF(AND(INDIRECT(A73&amp;ROW())=B95,INDIRECT(A96&amp;ROW())=C93),1,IF(AND(INDIRECT(A73&amp;ROW())=B95,INDIRECT(A96&amp;ROW())=C94),1,0)))</f>
        <v>0</v>
      </c>
      <c r="J150">
        <f ca="1">IF(AND(INDIRECT(A73&amp;ROW())=B95,INDIRECT(A96&amp;ROW())=C95),1,IF(AND(INDIRECT(A73&amp;ROW())=B95,INDIRECT(A96&amp;ROW())=C96),1,0))</f>
        <v>1</v>
      </c>
      <c r="K150">
        <f ca="1">DAYS360(INDIRECT(C68&amp;ROW()),TODAY())</f>
        <v>721</v>
      </c>
      <c r="L150">
        <f ca="1">DAYS360(INDIRECT(C69&amp;ROW()),TODAY())</f>
        <v>882</v>
      </c>
      <c r="M150" s="11">
        <f ca="1">HYPERLINK(CONCATENATE("https://bugzilla.houston.hp.com:1181/bugzilla/show_bug.cgi?id=",INDIRECT(C70&amp;ROW())),INDIRECT(C70&amp;ROW()))</f>
        <v>53585</v>
      </c>
      <c r="N150">
        <v>53585</v>
      </c>
      <c r="O150" t="s">
        <v>42</v>
      </c>
      <c r="P150" t="s">
        <v>399</v>
      </c>
      <c r="Q150" t="s">
        <v>25</v>
      </c>
      <c r="R150" t="s">
        <v>248</v>
      </c>
      <c r="S150" t="s">
        <v>36</v>
      </c>
      <c r="U150" s="6">
        <v>42125.446412037039</v>
      </c>
      <c r="V150" t="s">
        <v>18</v>
      </c>
      <c r="W150" t="s">
        <v>17</v>
      </c>
      <c r="X150" s="6">
        <v>41963.321562500001</v>
      </c>
      <c r="Y150" t="s">
        <v>122</v>
      </c>
      <c r="AB150" t="s">
        <v>201</v>
      </c>
      <c r="AC150" t="s">
        <v>247</v>
      </c>
      <c r="AD150" t="s">
        <v>220</v>
      </c>
      <c r="AE150" t="s">
        <v>219</v>
      </c>
      <c r="AG150" t="s">
        <v>121</v>
      </c>
      <c r="AH150" t="s">
        <v>64</v>
      </c>
      <c r="AI150" t="s">
        <v>121</v>
      </c>
      <c r="AJ150" t="s">
        <v>716</v>
      </c>
      <c r="AK150" t="s">
        <v>121</v>
      </c>
    </row>
    <row r="151" spans="9:37" x14ac:dyDescent="0.3">
      <c r="I151">
        <f ca="1">IF(OR(INDIRECT(A73&amp;ROW())=B93,INDIRECT(A73&amp;ROW())=B94),1,IF(AND(INDIRECT(A73&amp;ROW())=B95,INDIRECT(A96&amp;ROW())=C93),1,IF(AND(INDIRECT(A73&amp;ROW())=B95,INDIRECT(A96&amp;ROW())=C94),1,0)))</f>
        <v>0</v>
      </c>
      <c r="J151">
        <f ca="1">IF(AND(INDIRECT(A73&amp;ROW())=B95,INDIRECT(A96&amp;ROW())=C95),1,IF(AND(INDIRECT(A73&amp;ROW())=B95,INDIRECT(A96&amp;ROW())=C96),1,0))</f>
        <v>0</v>
      </c>
      <c r="K151">
        <f ca="1">DAYS360(INDIRECT(C68&amp;ROW()),TODAY())</f>
        <v>721</v>
      </c>
      <c r="L151">
        <f ca="1">DAYS360(INDIRECT(C69&amp;ROW()),TODAY())</f>
        <v>882</v>
      </c>
      <c r="M151" s="11">
        <f ca="1">HYPERLINK(CONCATENATE("https://bugzilla.houston.hp.com:1181/bugzilla/show_bug.cgi?id=",INDIRECT(C70&amp;ROW())),INDIRECT(C70&amp;ROW()))</f>
        <v>53588</v>
      </c>
      <c r="N151">
        <v>53588</v>
      </c>
      <c r="O151" t="s">
        <v>50</v>
      </c>
      <c r="P151" t="s">
        <v>398</v>
      </c>
      <c r="Q151" t="s">
        <v>16</v>
      </c>
      <c r="R151" t="s">
        <v>248</v>
      </c>
      <c r="S151" t="s">
        <v>36</v>
      </c>
      <c r="U151" s="6">
        <v>42125.446469907409</v>
      </c>
      <c r="V151" t="s">
        <v>18</v>
      </c>
      <c r="W151" t="s">
        <v>288</v>
      </c>
      <c r="X151" s="6">
        <v>41963.321979166663</v>
      </c>
      <c r="Y151" t="s">
        <v>122</v>
      </c>
      <c r="AB151" t="s">
        <v>200</v>
      </c>
      <c r="AC151" t="s">
        <v>247</v>
      </c>
      <c r="AD151" t="s">
        <v>227</v>
      </c>
      <c r="AE151" t="s">
        <v>231</v>
      </c>
      <c r="AG151" t="s">
        <v>121</v>
      </c>
      <c r="AH151" t="s">
        <v>327</v>
      </c>
      <c r="AI151" t="s">
        <v>121</v>
      </c>
      <c r="AJ151" t="s">
        <v>716</v>
      </c>
      <c r="AK151" t="s">
        <v>121</v>
      </c>
    </row>
    <row r="152" spans="9:37" x14ac:dyDescent="0.3">
      <c r="I152">
        <f ca="1">IF(OR(INDIRECT(A73&amp;ROW())=B93,INDIRECT(A73&amp;ROW())=B94),1,IF(AND(INDIRECT(A73&amp;ROW())=B95,INDIRECT(A96&amp;ROW())=C93),1,IF(AND(INDIRECT(A73&amp;ROW())=B95,INDIRECT(A96&amp;ROW())=C94),1,0)))</f>
        <v>0</v>
      </c>
      <c r="J152">
        <f ca="1">IF(AND(INDIRECT(A73&amp;ROW())=B95,INDIRECT(A96&amp;ROW())=C95),1,IF(AND(INDIRECT(A73&amp;ROW())=B95,INDIRECT(A96&amp;ROW())=C96),1,0))</f>
        <v>1</v>
      </c>
      <c r="K152">
        <f ca="1">DAYS360(INDIRECT(C68&amp;ROW()),TODAY())</f>
        <v>721</v>
      </c>
      <c r="L152">
        <f ca="1">DAYS360(INDIRECT(C69&amp;ROW()),TODAY())</f>
        <v>882</v>
      </c>
      <c r="M152" s="11">
        <f ca="1">HYPERLINK(CONCATENATE("https://bugzilla.houston.hp.com:1181/bugzilla/show_bug.cgi?id=",INDIRECT(C70&amp;ROW())),INDIRECT(C70&amp;ROW()))</f>
        <v>53594</v>
      </c>
      <c r="N152">
        <v>53594</v>
      </c>
      <c r="O152" t="s">
        <v>56</v>
      </c>
      <c r="P152" t="s">
        <v>397</v>
      </c>
      <c r="Q152" t="s">
        <v>25</v>
      </c>
      <c r="R152" t="s">
        <v>248</v>
      </c>
      <c r="S152" t="s">
        <v>36</v>
      </c>
      <c r="U152" s="6">
        <v>42125.44630787037</v>
      </c>
      <c r="V152" t="s">
        <v>18</v>
      </c>
      <c r="W152" t="s">
        <v>324</v>
      </c>
      <c r="X152" s="6">
        <v>41963.322870370372</v>
      </c>
      <c r="Y152" t="s">
        <v>122</v>
      </c>
      <c r="AB152" t="s">
        <v>201</v>
      </c>
      <c r="AC152" t="s">
        <v>247</v>
      </c>
      <c r="AD152" t="s">
        <v>220</v>
      </c>
      <c r="AE152" t="s">
        <v>219</v>
      </c>
      <c r="AG152" t="s">
        <v>121</v>
      </c>
      <c r="AH152" t="s">
        <v>327</v>
      </c>
      <c r="AI152" t="s">
        <v>121</v>
      </c>
      <c r="AJ152" t="s">
        <v>716</v>
      </c>
      <c r="AK152" t="s">
        <v>121</v>
      </c>
    </row>
    <row r="153" spans="9:37" x14ac:dyDescent="0.3">
      <c r="I153">
        <f ca="1">IF(OR(INDIRECT(A73&amp;ROW())=B93,INDIRECT(A73&amp;ROW())=B94),1,IF(AND(INDIRECT(A73&amp;ROW())=B95,INDIRECT(A96&amp;ROW())=C93),1,IF(AND(INDIRECT(A73&amp;ROW())=B95,INDIRECT(A96&amp;ROW())=C94),1,0)))</f>
        <v>0</v>
      </c>
      <c r="J153">
        <f ca="1">IF(AND(INDIRECT(A73&amp;ROW())=B95,INDIRECT(A96&amp;ROW())=C95),1,IF(AND(INDIRECT(A73&amp;ROW())=B95,INDIRECT(A96&amp;ROW())=C96),1,0))</f>
        <v>1</v>
      </c>
      <c r="K153">
        <f ca="1">DAYS360(INDIRECT(C68&amp;ROW()),TODAY())</f>
        <v>721</v>
      </c>
      <c r="L153">
        <f ca="1">DAYS360(INDIRECT(C69&amp;ROW()),TODAY())</f>
        <v>882</v>
      </c>
      <c r="M153" s="11">
        <f ca="1">HYPERLINK(CONCATENATE("https://bugzilla.houston.hp.com:1181/bugzilla/show_bug.cgi?id=",INDIRECT(C70&amp;ROW())),INDIRECT(C70&amp;ROW()))</f>
        <v>53597</v>
      </c>
      <c r="N153">
        <v>53597</v>
      </c>
      <c r="O153" t="s">
        <v>22</v>
      </c>
      <c r="P153" t="s">
        <v>396</v>
      </c>
      <c r="Q153" t="s">
        <v>25</v>
      </c>
      <c r="R153" t="s">
        <v>248</v>
      </c>
      <c r="S153" t="s">
        <v>36</v>
      </c>
      <c r="U153" s="6">
        <v>42125.446574074071</v>
      </c>
      <c r="V153" t="s">
        <v>18</v>
      </c>
      <c r="W153" t="s">
        <v>324</v>
      </c>
      <c r="X153" s="6">
        <v>41963.323252314818</v>
      </c>
      <c r="Y153" t="s">
        <v>122</v>
      </c>
      <c r="AB153" t="s">
        <v>201</v>
      </c>
      <c r="AC153" t="s">
        <v>247</v>
      </c>
      <c r="AD153" t="s">
        <v>220</v>
      </c>
      <c r="AE153" t="s">
        <v>219</v>
      </c>
      <c r="AG153" t="s">
        <v>337</v>
      </c>
      <c r="AH153" t="s">
        <v>327</v>
      </c>
      <c r="AI153" t="s">
        <v>121</v>
      </c>
      <c r="AJ153" t="s">
        <v>716</v>
      </c>
      <c r="AK153" t="s">
        <v>121</v>
      </c>
    </row>
    <row r="154" spans="9:37" x14ac:dyDescent="0.3">
      <c r="I154">
        <f ca="1">IF(OR(INDIRECT(A73&amp;ROW())=B93,INDIRECT(A73&amp;ROW())=B94),1,IF(AND(INDIRECT(A73&amp;ROW())=B95,INDIRECT(A96&amp;ROW())=C93),1,IF(AND(INDIRECT(A73&amp;ROW())=B95,INDIRECT(A96&amp;ROW())=C94),1,0)))</f>
        <v>0</v>
      </c>
      <c r="J154">
        <f ca="1">IF(AND(INDIRECT(A73&amp;ROW())=B95,INDIRECT(A96&amp;ROW())=C95),1,IF(AND(INDIRECT(A73&amp;ROW())=B95,INDIRECT(A96&amp;ROW())=C96),1,0))</f>
        <v>1</v>
      </c>
      <c r="K154">
        <f ca="1">DAYS360(INDIRECT(C68&amp;ROW()),TODAY())</f>
        <v>721</v>
      </c>
      <c r="L154">
        <f ca="1">DAYS360(INDIRECT(C69&amp;ROW()),TODAY())</f>
        <v>882</v>
      </c>
      <c r="M154" s="11">
        <f ca="1">HYPERLINK(CONCATENATE("https://bugzilla.houston.hp.com:1181/bugzilla/show_bug.cgi?id=",INDIRECT(C70&amp;ROW())),INDIRECT(C70&amp;ROW()))</f>
        <v>53600</v>
      </c>
      <c r="N154">
        <v>53600</v>
      </c>
      <c r="O154" t="s">
        <v>45</v>
      </c>
      <c r="P154" t="s">
        <v>395</v>
      </c>
      <c r="Q154" t="s">
        <v>25</v>
      </c>
      <c r="R154" t="s">
        <v>248</v>
      </c>
      <c r="S154" t="s">
        <v>36</v>
      </c>
      <c r="T154" t="s">
        <v>287</v>
      </c>
      <c r="U154" s="6">
        <v>42125.446342592593</v>
      </c>
      <c r="V154" t="s">
        <v>18</v>
      </c>
      <c r="W154" t="s">
        <v>295</v>
      </c>
      <c r="X154" s="6">
        <v>41963.323969907404</v>
      </c>
      <c r="Y154" t="s">
        <v>122</v>
      </c>
      <c r="AB154" t="s">
        <v>201</v>
      </c>
      <c r="AC154" t="s">
        <v>247</v>
      </c>
      <c r="AD154" t="s">
        <v>227</v>
      </c>
      <c r="AE154" t="s">
        <v>226</v>
      </c>
      <c r="AG154" t="s">
        <v>121</v>
      </c>
      <c r="AH154" t="s">
        <v>327</v>
      </c>
      <c r="AI154" t="s">
        <v>121</v>
      </c>
      <c r="AJ154" t="s">
        <v>716</v>
      </c>
      <c r="AK154" t="s">
        <v>121</v>
      </c>
    </row>
    <row r="155" spans="9:37" x14ac:dyDescent="0.3">
      <c r="I155">
        <f ca="1">IF(OR(INDIRECT(A73&amp;ROW())=B93,INDIRECT(A73&amp;ROW())=B94),1,IF(AND(INDIRECT(A73&amp;ROW())=B95,INDIRECT(A96&amp;ROW())=C93),1,IF(AND(INDIRECT(A73&amp;ROW())=B95,INDIRECT(A96&amp;ROW())=C94),1,0)))</f>
        <v>0</v>
      </c>
      <c r="J155">
        <f ca="1">IF(AND(INDIRECT(A73&amp;ROW())=B95,INDIRECT(A96&amp;ROW())=C95),1,IF(AND(INDIRECT(A73&amp;ROW())=B95,INDIRECT(A96&amp;ROW())=C96),1,0))</f>
        <v>0</v>
      </c>
      <c r="K155">
        <f ca="1">DAYS360(INDIRECT(C68&amp;ROW()),TODAY())</f>
        <v>721</v>
      </c>
      <c r="L155">
        <f ca="1">DAYS360(INDIRECT(C69&amp;ROW()),TODAY())</f>
        <v>882</v>
      </c>
      <c r="M155" s="11">
        <f ca="1">HYPERLINK(CONCATENATE("https://bugzilla.houston.hp.com:1181/bugzilla/show_bug.cgi?id=",INDIRECT(C70&amp;ROW())),INDIRECT(C70&amp;ROW()))</f>
        <v>53603</v>
      </c>
      <c r="N155">
        <v>53603</v>
      </c>
      <c r="O155" t="s">
        <v>88</v>
      </c>
      <c r="P155" t="s">
        <v>394</v>
      </c>
      <c r="Q155" t="s">
        <v>16</v>
      </c>
      <c r="R155" t="s">
        <v>248</v>
      </c>
      <c r="S155" t="s">
        <v>36</v>
      </c>
      <c r="U155" s="6">
        <v>42125.447662037041</v>
      </c>
      <c r="V155" t="s">
        <v>18</v>
      </c>
      <c r="W155" t="s">
        <v>295</v>
      </c>
      <c r="X155" s="6">
        <v>41963.324328703704</v>
      </c>
      <c r="Y155" t="s">
        <v>122</v>
      </c>
      <c r="AB155" t="s">
        <v>201</v>
      </c>
      <c r="AC155" t="s">
        <v>247</v>
      </c>
      <c r="AD155" t="s">
        <v>222</v>
      </c>
      <c r="AE155" t="s">
        <v>225</v>
      </c>
      <c r="AG155" t="s">
        <v>121</v>
      </c>
      <c r="AH155" t="s">
        <v>327</v>
      </c>
      <c r="AI155" t="s">
        <v>121</v>
      </c>
      <c r="AJ155" t="s">
        <v>717</v>
      </c>
      <c r="AK155" t="s">
        <v>121</v>
      </c>
    </row>
    <row r="156" spans="9:37" x14ac:dyDescent="0.3">
      <c r="I156">
        <f ca="1">IF(OR(INDIRECT(A73&amp;ROW())=B93,INDIRECT(A73&amp;ROW())=B94),1,IF(AND(INDIRECT(A73&amp;ROW())=B95,INDIRECT(A96&amp;ROW())=C93),1,IF(AND(INDIRECT(A73&amp;ROW())=B95,INDIRECT(A96&amp;ROW())=C94),1,0)))</f>
        <v>0</v>
      </c>
      <c r="J156">
        <f ca="1">IF(AND(INDIRECT(A73&amp;ROW())=B95,INDIRECT(A96&amp;ROW())=C95),1,IF(AND(INDIRECT(A73&amp;ROW())=B95,INDIRECT(A96&amp;ROW())=C96),1,0))</f>
        <v>0</v>
      </c>
      <c r="K156">
        <f ca="1">DAYS360(INDIRECT(C68&amp;ROW()),TODAY())</f>
        <v>721</v>
      </c>
      <c r="L156">
        <f ca="1">DAYS360(INDIRECT(C69&amp;ROW()),TODAY())</f>
        <v>882</v>
      </c>
      <c r="M156">
        <f ca="1">HYPERLINK(CONCATENATE("https://bugzilla.houston.hp.com:1181/bugzilla/show_bug.cgi?id=",INDIRECT(C70&amp;ROW())),INDIRECT(C70&amp;ROW()))</f>
        <v>53606</v>
      </c>
      <c r="N156">
        <v>53606</v>
      </c>
      <c r="O156" t="s">
        <v>21</v>
      </c>
      <c r="P156" t="s">
        <v>393</v>
      </c>
      <c r="Q156" t="s">
        <v>16</v>
      </c>
      <c r="R156" t="s">
        <v>248</v>
      </c>
      <c r="S156" t="s">
        <v>36</v>
      </c>
      <c r="U156" s="6">
        <v>42125.447615740741</v>
      </c>
      <c r="V156" t="s">
        <v>18</v>
      </c>
      <c r="W156" t="s">
        <v>322</v>
      </c>
      <c r="X156" s="6">
        <v>41963.324618055558</v>
      </c>
      <c r="Y156" t="s">
        <v>122</v>
      </c>
      <c r="AB156" t="s">
        <v>201</v>
      </c>
      <c r="AC156" t="s">
        <v>247</v>
      </c>
      <c r="AD156" t="s">
        <v>222</v>
      </c>
      <c r="AE156" t="s">
        <v>225</v>
      </c>
      <c r="AG156" t="s">
        <v>121</v>
      </c>
      <c r="AH156" t="s">
        <v>327</v>
      </c>
      <c r="AI156" t="s">
        <v>121</v>
      </c>
      <c r="AJ156" t="s">
        <v>717</v>
      </c>
      <c r="AK156" t="s">
        <v>121</v>
      </c>
    </row>
    <row r="157" spans="9:37" x14ac:dyDescent="0.3">
      <c r="I157">
        <f ca="1">IF(OR(INDIRECT(A73&amp;ROW())=B93,INDIRECT(A73&amp;ROW())=B94),1,IF(AND(INDIRECT(A73&amp;ROW())=B95,INDIRECT(A96&amp;ROW())=C93),1,IF(AND(INDIRECT(A73&amp;ROW())=B95,INDIRECT(A96&amp;ROW())=C94),1,0)))</f>
        <v>0</v>
      </c>
      <c r="J157">
        <f ca="1">IF(AND(INDIRECT(A73&amp;ROW())=B95,INDIRECT(A96&amp;ROW())=C95),1,IF(AND(INDIRECT(A73&amp;ROW())=B95,INDIRECT(A96&amp;ROW())=C96),1,0))</f>
        <v>0</v>
      </c>
      <c r="K157">
        <f ca="1">DAYS360(INDIRECT(C68&amp;ROW()),TODAY())</f>
        <v>721</v>
      </c>
      <c r="L157">
        <f ca="1">DAYS360(INDIRECT(C69&amp;ROW()),TODAY())</f>
        <v>882</v>
      </c>
      <c r="M157">
        <f ca="1">HYPERLINK(CONCATENATE("https://bugzilla.houston.hp.com:1181/bugzilla/show_bug.cgi?id=",INDIRECT(C70&amp;ROW())),INDIRECT(C70&amp;ROW()))</f>
        <v>53625</v>
      </c>
      <c r="N157">
        <v>53625</v>
      </c>
      <c r="O157" t="s">
        <v>65</v>
      </c>
      <c r="P157" t="s">
        <v>392</v>
      </c>
      <c r="Q157" t="s">
        <v>16</v>
      </c>
      <c r="R157" t="s">
        <v>248</v>
      </c>
      <c r="S157" t="s">
        <v>36</v>
      </c>
      <c r="U157" s="6">
        <v>42125.447592592594</v>
      </c>
      <c r="V157" t="s">
        <v>18</v>
      </c>
      <c r="W157" t="s">
        <v>322</v>
      </c>
      <c r="X157" s="6">
        <v>41963.326724537037</v>
      </c>
      <c r="Y157" t="s">
        <v>122</v>
      </c>
      <c r="AB157" t="s">
        <v>201</v>
      </c>
      <c r="AC157" t="s">
        <v>247</v>
      </c>
      <c r="AD157" t="s">
        <v>220</v>
      </c>
      <c r="AE157" t="s">
        <v>219</v>
      </c>
      <c r="AG157" t="s">
        <v>121</v>
      </c>
      <c r="AH157" t="s">
        <v>64</v>
      </c>
      <c r="AI157" t="s">
        <v>121</v>
      </c>
      <c r="AJ157" t="s">
        <v>717</v>
      </c>
      <c r="AK157" t="s">
        <v>121</v>
      </c>
    </row>
    <row r="158" spans="9:37" x14ac:dyDescent="0.3">
      <c r="I158">
        <f ca="1">IF(OR(INDIRECT(A73&amp;ROW())=B93,INDIRECT(A73&amp;ROW())=B94),1,IF(AND(INDIRECT(A73&amp;ROW())=B95,INDIRECT(A96&amp;ROW())=C93),1,IF(AND(INDIRECT(A73&amp;ROW())=B95,INDIRECT(A96&amp;ROW())=C94),1,0)))</f>
        <v>1</v>
      </c>
      <c r="J158">
        <f ca="1">IF(AND(INDIRECT(A73&amp;ROW())=B95,INDIRECT(A96&amp;ROW())=C95),1,IF(AND(INDIRECT(A73&amp;ROW())=B95,INDIRECT(A96&amp;ROW())=C96),1,0))</f>
        <v>0</v>
      </c>
      <c r="K158">
        <f ca="1">DAYS360(INDIRECT(C68&amp;ROW()),TODAY())</f>
        <v>792</v>
      </c>
      <c r="L158">
        <f ca="1">DAYS360(INDIRECT(C69&amp;ROW()),TODAY())</f>
        <v>882</v>
      </c>
      <c r="M158">
        <f ca="1">HYPERLINK(CONCATENATE("https://bugzilla.houston.hp.com:1181/bugzilla/show_bug.cgi?id=",INDIRECT(C70&amp;ROW())),INDIRECT(C70&amp;ROW()))</f>
        <v>53634</v>
      </c>
      <c r="N158">
        <v>53634</v>
      </c>
      <c r="O158" t="s">
        <v>50</v>
      </c>
      <c r="P158" t="s">
        <v>391</v>
      </c>
      <c r="Q158" t="s">
        <v>25</v>
      </c>
      <c r="R158" t="s">
        <v>248</v>
      </c>
      <c r="S158" t="s">
        <v>36</v>
      </c>
      <c r="U158" s="6">
        <v>42055.522488425922</v>
      </c>
      <c r="V158" t="s">
        <v>18</v>
      </c>
      <c r="W158" t="s">
        <v>215</v>
      </c>
      <c r="X158" s="6">
        <v>41963.32912037037</v>
      </c>
      <c r="Y158" t="s">
        <v>119</v>
      </c>
      <c r="AB158" t="s">
        <v>200</v>
      </c>
      <c r="AC158" t="s">
        <v>121</v>
      </c>
      <c r="AD158" t="s">
        <v>227</v>
      </c>
      <c r="AE158" t="s">
        <v>226</v>
      </c>
      <c r="AG158" t="s">
        <v>121</v>
      </c>
      <c r="AH158" t="s">
        <v>327</v>
      </c>
      <c r="AI158" t="s">
        <v>362</v>
      </c>
      <c r="AJ158" t="s">
        <v>715</v>
      </c>
      <c r="AK158" t="s">
        <v>121</v>
      </c>
    </row>
    <row r="159" spans="9:37" x14ac:dyDescent="0.3">
      <c r="I159">
        <f ca="1">IF(OR(INDIRECT(A73&amp;ROW())=B93,INDIRECT(A73&amp;ROW())=B94),1,IF(AND(INDIRECT(A73&amp;ROW())=B95,INDIRECT(A96&amp;ROW())=C93),1,IF(AND(INDIRECT(A73&amp;ROW())=B95,INDIRECT(A96&amp;ROW())=C94),1,0)))</f>
        <v>1</v>
      </c>
      <c r="J159">
        <f ca="1">IF(AND(INDIRECT(A73&amp;ROW())=B95,INDIRECT(A96&amp;ROW())=C95),1,IF(AND(INDIRECT(A73&amp;ROW())=B95,INDIRECT(A96&amp;ROW())=C96),1,0))</f>
        <v>0</v>
      </c>
      <c r="K159">
        <f ca="1">DAYS360(INDIRECT(C68&amp;ROW()),TODAY())</f>
        <v>731</v>
      </c>
      <c r="L159">
        <f ca="1">DAYS360(INDIRECT(C69&amp;ROW()),TODAY())</f>
        <v>882</v>
      </c>
      <c r="M159">
        <f ca="1">HYPERLINK(CONCATENATE("https://bugzilla.houston.hp.com:1181/bugzilla/show_bug.cgi?id=",INDIRECT(C70&amp;ROW())),INDIRECT(C70&amp;ROW()))</f>
        <v>53637</v>
      </c>
      <c r="N159">
        <v>53637</v>
      </c>
      <c r="O159" t="s">
        <v>56</v>
      </c>
      <c r="P159" t="s">
        <v>390</v>
      </c>
      <c r="Q159" t="s">
        <v>39</v>
      </c>
      <c r="R159" t="s">
        <v>248</v>
      </c>
      <c r="S159" t="s">
        <v>36</v>
      </c>
      <c r="U159" s="6">
        <v>42115.349305555559</v>
      </c>
      <c r="V159" t="s">
        <v>18</v>
      </c>
      <c r="W159" t="s">
        <v>260</v>
      </c>
      <c r="X159" s="6">
        <v>41963.329664351855</v>
      </c>
      <c r="Y159" t="s">
        <v>245</v>
      </c>
      <c r="AB159" t="s">
        <v>200</v>
      </c>
      <c r="AC159" t="s">
        <v>121</v>
      </c>
      <c r="AD159" t="s">
        <v>220</v>
      </c>
      <c r="AE159" t="s">
        <v>219</v>
      </c>
      <c r="AG159" t="s">
        <v>121</v>
      </c>
      <c r="AH159" t="s">
        <v>327</v>
      </c>
      <c r="AI159" t="s">
        <v>362</v>
      </c>
      <c r="AJ159" t="s">
        <v>715</v>
      </c>
      <c r="AK159" t="s">
        <v>121</v>
      </c>
    </row>
    <row r="160" spans="9:37" x14ac:dyDescent="0.3">
      <c r="I160">
        <f ca="1">IF(OR(INDIRECT(A73&amp;ROW())=B93,INDIRECT(A73&amp;ROW())=B94),1,IF(AND(INDIRECT(A73&amp;ROW())=B95,INDIRECT(A96&amp;ROW())=C93),1,IF(AND(INDIRECT(A73&amp;ROW())=B95,INDIRECT(A96&amp;ROW())=C94),1,0)))</f>
        <v>1</v>
      </c>
      <c r="J160">
        <f ca="1">IF(AND(INDIRECT(A73&amp;ROW())=B95,INDIRECT(A96&amp;ROW())=C95),1,IF(AND(INDIRECT(A73&amp;ROW())=B95,INDIRECT(A96&amp;ROW())=C96),1,0))</f>
        <v>0</v>
      </c>
      <c r="K160">
        <f ca="1">DAYS360(INDIRECT(C68&amp;ROW()),TODAY())</f>
        <v>769</v>
      </c>
      <c r="L160">
        <f ca="1">DAYS360(INDIRECT(C69&amp;ROW()),TODAY())</f>
        <v>882</v>
      </c>
      <c r="M160">
        <f ca="1">HYPERLINK(CONCATENATE("https://bugzilla.houston.hp.com:1181/bugzilla/show_bug.cgi?id=",INDIRECT(C70&amp;ROW())),INDIRECT(C70&amp;ROW()))</f>
        <v>53649</v>
      </c>
      <c r="N160">
        <v>53649</v>
      </c>
      <c r="O160" t="s">
        <v>298</v>
      </c>
      <c r="P160" t="s">
        <v>467</v>
      </c>
      <c r="Q160" t="s">
        <v>39</v>
      </c>
      <c r="R160" t="s">
        <v>248</v>
      </c>
      <c r="S160" t="s">
        <v>36</v>
      </c>
      <c r="U160" s="6">
        <v>42076.509421296294</v>
      </c>
      <c r="V160" t="s">
        <v>18</v>
      </c>
      <c r="W160" t="s">
        <v>343</v>
      </c>
      <c r="X160" s="6">
        <v>41963.331307870372</v>
      </c>
      <c r="Y160" t="s">
        <v>119</v>
      </c>
      <c r="AB160" t="s">
        <v>201</v>
      </c>
      <c r="AC160" t="s">
        <v>247</v>
      </c>
      <c r="AD160" t="s">
        <v>227</v>
      </c>
      <c r="AE160" t="s">
        <v>231</v>
      </c>
      <c r="AG160" t="s">
        <v>121</v>
      </c>
      <c r="AH160" t="s">
        <v>327</v>
      </c>
      <c r="AI160" t="s">
        <v>121</v>
      </c>
      <c r="AJ160" t="s">
        <v>715</v>
      </c>
      <c r="AK160" t="s">
        <v>121</v>
      </c>
    </row>
    <row r="161" spans="9:37" x14ac:dyDescent="0.3">
      <c r="I161">
        <f ca="1">IF(OR(INDIRECT(A73&amp;ROW())=B93,INDIRECT(A73&amp;ROW())=B94),1,IF(AND(INDIRECT(A73&amp;ROW())=B95,INDIRECT(A96&amp;ROW())=C93),1,IF(AND(INDIRECT(A73&amp;ROW())=B95,INDIRECT(A96&amp;ROW())=C94),1,0)))</f>
        <v>0</v>
      </c>
      <c r="J161">
        <f ca="1">IF(AND(INDIRECT(A73&amp;ROW())=B95,INDIRECT(A96&amp;ROW())=C95),1,IF(AND(INDIRECT(A73&amp;ROW())=B95,INDIRECT(A96&amp;ROW())=C96),1,0))</f>
        <v>1</v>
      </c>
      <c r="K161">
        <f ca="1">DAYS360(INDIRECT(C68&amp;ROW()),TODAY())</f>
        <v>749</v>
      </c>
      <c r="L161">
        <f ca="1">DAYS360(INDIRECT(C69&amp;ROW()),TODAY())</f>
        <v>882</v>
      </c>
      <c r="M161">
        <f ca="1">HYPERLINK(CONCATENATE("https://bugzilla.houston.hp.com:1181/bugzilla/show_bug.cgi?id=",INDIRECT(C70&amp;ROW())),INDIRECT(C70&amp;ROW()))</f>
        <v>53666</v>
      </c>
      <c r="N161">
        <v>53666</v>
      </c>
      <c r="O161" t="s">
        <v>326</v>
      </c>
      <c r="P161" t="s">
        <v>466</v>
      </c>
      <c r="Q161" t="s">
        <v>25</v>
      </c>
      <c r="R161" t="s">
        <v>17</v>
      </c>
      <c r="S161" t="s">
        <v>36</v>
      </c>
      <c r="U161" s="6">
        <v>42097.476076388892</v>
      </c>
      <c r="V161" t="s">
        <v>18</v>
      </c>
      <c r="W161" t="s">
        <v>17</v>
      </c>
      <c r="X161" s="6">
        <v>41963.37358796296</v>
      </c>
      <c r="Y161" t="s">
        <v>119</v>
      </c>
      <c r="AA161" t="s">
        <v>184</v>
      </c>
      <c r="AB161" t="s">
        <v>201</v>
      </c>
      <c r="AC161" t="s">
        <v>247</v>
      </c>
      <c r="AD161" t="s">
        <v>227</v>
      </c>
      <c r="AE161" t="s">
        <v>230</v>
      </c>
      <c r="AG161" t="s">
        <v>121</v>
      </c>
      <c r="AH161" t="s">
        <v>327</v>
      </c>
      <c r="AI161" t="s">
        <v>362</v>
      </c>
      <c r="AJ161" t="s">
        <v>716</v>
      </c>
      <c r="AK161" t="s">
        <v>121</v>
      </c>
    </row>
    <row r="162" spans="9:37" x14ac:dyDescent="0.3">
      <c r="I162">
        <f ca="1">IF(OR(INDIRECT(A73&amp;ROW())=B93,INDIRECT(A73&amp;ROW())=B94),1,IF(AND(INDIRECT(A73&amp;ROW())=B95,INDIRECT(A96&amp;ROW())=C93),1,IF(AND(INDIRECT(A73&amp;ROW())=B95,INDIRECT(A96&amp;ROW())=C94),1,0)))</f>
        <v>0</v>
      </c>
      <c r="J162">
        <f ca="1">IF(AND(INDIRECT(A73&amp;ROW())=B95,INDIRECT(A96&amp;ROW())=C95),1,IF(AND(INDIRECT(A73&amp;ROW())=B95,INDIRECT(A96&amp;ROW())=C96),1,0))</f>
        <v>1</v>
      </c>
      <c r="K162">
        <f ca="1">DAYS360(INDIRECT(C68&amp;ROW()),TODAY())</f>
        <v>853</v>
      </c>
      <c r="L162">
        <f ca="1">DAYS360(INDIRECT(C69&amp;ROW()),TODAY())</f>
        <v>882</v>
      </c>
      <c r="M162">
        <f ca="1">HYPERLINK(CONCATENATE("https://bugzilla.houston.hp.com:1181/bugzilla/show_bug.cgi?id=",INDIRECT(C70&amp;ROW())),INDIRECT(C70&amp;ROW()))</f>
        <v>53667</v>
      </c>
      <c r="N162">
        <v>53667</v>
      </c>
      <c r="O162" t="s">
        <v>45</v>
      </c>
      <c r="P162" t="s">
        <v>465</v>
      </c>
      <c r="Q162" t="s">
        <v>25</v>
      </c>
      <c r="R162" t="s">
        <v>248</v>
      </c>
      <c r="S162" t="s">
        <v>36</v>
      </c>
      <c r="U162" s="6">
        <v>41992.591354166667</v>
      </c>
      <c r="V162" t="s">
        <v>18</v>
      </c>
      <c r="W162" t="s">
        <v>17</v>
      </c>
      <c r="X162" s="6">
        <v>41963.373645833337</v>
      </c>
      <c r="Y162" t="s">
        <v>119</v>
      </c>
      <c r="AA162" t="s">
        <v>184</v>
      </c>
      <c r="AB162" t="s">
        <v>201</v>
      </c>
      <c r="AC162" t="s">
        <v>247</v>
      </c>
      <c r="AD162" t="s">
        <v>227</v>
      </c>
      <c r="AE162" t="s">
        <v>370</v>
      </c>
      <c r="AG162" t="s">
        <v>121</v>
      </c>
      <c r="AH162" t="s">
        <v>327</v>
      </c>
      <c r="AI162" t="s">
        <v>121</v>
      </c>
      <c r="AJ162" t="s">
        <v>716</v>
      </c>
      <c r="AK162" t="s">
        <v>121</v>
      </c>
    </row>
    <row r="163" spans="9:37" x14ac:dyDescent="0.3">
      <c r="I163">
        <f ca="1">IF(OR(INDIRECT(A73&amp;ROW())=B93,INDIRECT(A73&amp;ROW())=B94),1,IF(AND(INDIRECT(A73&amp;ROW())=B95,INDIRECT(A96&amp;ROW())=C93),1,IF(AND(INDIRECT(A73&amp;ROW())=B95,INDIRECT(A96&amp;ROW())=C94),1,0)))</f>
        <v>0</v>
      </c>
      <c r="J163">
        <f ca="1">IF(AND(INDIRECT(A73&amp;ROW())=B95,INDIRECT(A96&amp;ROW())=C95),1,IF(AND(INDIRECT(A73&amp;ROW())=B95,INDIRECT(A96&amp;ROW())=C96),1,0))</f>
        <v>0</v>
      </c>
      <c r="K163">
        <f ca="1">DAYS360(INDIRECT(C68&amp;ROW()),TODAY())</f>
        <v>721</v>
      </c>
      <c r="L163">
        <f ca="1">DAYS360(INDIRECT(C69&amp;ROW()),TODAY())</f>
        <v>882</v>
      </c>
      <c r="M163">
        <f ca="1">HYPERLINK(CONCATENATE("https://bugzilla.houston.hp.com:1181/bugzilla/show_bug.cgi?id=",INDIRECT(C70&amp;ROW())),INDIRECT(C70&amp;ROW()))</f>
        <v>53677</v>
      </c>
      <c r="N163">
        <v>53677</v>
      </c>
      <c r="O163" t="s">
        <v>56</v>
      </c>
      <c r="P163" t="s">
        <v>464</v>
      </c>
      <c r="Q163" t="s">
        <v>16</v>
      </c>
      <c r="R163" t="s">
        <v>248</v>
      </c>
      <c r="S163" t="s">
        <v>36</v>
      </c>
      <c r="U163" s="6">
        <v>42125.448738425926</v>
      </c>
      <c r="V163" t="s">
        <v>18</v>
      </c>
      <c r="W163" t="s">
        <v>341</v>
      </c>
      <c r="X163" s="6">
        <v>41963.376620370371</v>
      </c>
      <c r="Y163" t="s">
        <v>122</v>
      </c>
      <c r="AB163" t="s">
        <v>200</v>
      </c>
      <c r="AC163" t="s">
        <v>247</v>
      </c>
      <c r="AD163" t="s">
        <v>220</v>
      </c>
      <c r="AE163" t="s">
        <v>219</v>
      </c>
      <c r="AG163" t="s">
        <v>121</v>
      </c>
      <c r="AH163" t="s">
        <v>327</v>
      </c>
      <c r="AI163" t="s">
        <v>121</v>
      </c>
      <c r="AJ163" t="s">
        <v>716</v>
      </c>
      <c r="AK163" t="s">
        <v>121</v>
      </c>
    </row>
    <row r="164" spans="9:37" x14ac:dyDescent="0.3">
      <c r="I164">
        <f ca="1">IF(OR(INDIRECT(A73&amp;ROW())=B93,INDIRECT(A73&amp;ROW())=B94),1,IF(AND(INDIRECT(A73&amp;ROW())=B95,INDIRECT(A96&amp;ROW())=C93),1,IF(AND(INDIRECT(A73&amp;ROW())=B95,INDIRECT(A96&amp;ROW())=C94),1,0)))</f>
        <v>0</v>
      </c>
      <c r="J164">
        <f ca="1">IF(AND(INDIRECT(A73&amp;ROW())=B95,INDIRECT(A96&amp;ROW())=C95),1,IF(AND(INDIRECT(A73&amp;ROW())=B95,INDIRECT(A96&amp;ROW())=C96),1,0))</f>
        <v>0</v>
      </c>
      <c r="K164">
        <f ca="1">DAYS360(INDIRECT(C68&amp;ROW()),TODAY())</f>
        <v>800</v>
      </c>
      <c r="L164">
        <f ca="1">DAYS360(INDIRECT(C69&amp;ROW()),TODAY())</f>
        <v>882</v>
      </c>
      <c r="M164">
        <f ca="1">HYPERLINK(CONCATENATE("https://bugzilla.houston.hp.com:1181/bugzilla/show_bug.cgi?id=",INDIRECT(C70&amp;ROW())),INDIRECT(C70&amp;ROW()))</f>
        <v>53683</v>
      </c>
      <c r="N164">
        <v>53683</v>
      </c>
      <c r="O164" t="s">
        <v>326</v>
      </c>
      <c r="P164" t="s">
        <v>463</v>
      </c>
      <c r="Q164" t="s">
        <v>16</v>
      </c>
      <c r="R164" t="s">
        <v>17</v>
      </c>
      <c r="S164" t="s">
        <v>36</v>
      </c>
      <c r="U164" s="6">
        <v>42047.980717592596</v>
      </c>
      <c r="V164" t="s">
        <v>18</v>
      </c>
      <c r="W164" t="s">
        <v>207</v>
      </c>
      <c r="X164" s="6">
        <v>41963.399247685185</v>
      </c>
      <c r="Y164" t="s">
        <v>123</v>
      </c>
      <c r="AB164" t="s">
        <v>199</v>
      </c>
      <c r="AC164" t="s">
        <v>121</v>
      </c>
      <c r="AD164" t="s">
        <v>227</v>
      </c>
      <c r="AE164" t="s">
        <v>230</v>
      </c>
      <c r="AG164" t="s">
        <v>121</v>
      </c>
      <c r="AH164" t="s">
        <v>327</v>
      </c>
      <c r="AI164" t="s">
        <v>362</v>
      </c>
      <c r="AJ164" t="s">
        <v>716</v>
      </c>
      <c r="AK164" t="s">
        <v>121</v>
      </c>
    </row>
    <row r="165" spans="9:37" x14ac:dyDescent="0.3">
      <c r="I165">
        <f ca="1">IF(OR(INDIRECT(A73&amp;ROW())=B93,INDIRECT(A73&amp;ROW())=B94),1,IF(AND(INDIRECT(A73&amp;ROW())=B95,INDIRECT(A96&amp;ROW())=C93),1,IF(AND(INDIRECT(A73&amp;ROW())=B95,INDIRECT(A96&amp;ROW())=C94),1,0)))</f>
        <v>0</v>
      </c>
      <c r="J165">
        <f ca="1">IF(AND(INDIRECT(A73&amp;ROW())=B95,INDIRECT(A96&amp;ROW())=C95),1,IF(AND(INDIRECT(A73&amp;ROW())=B95,INDIRECT(A96&amp;ROW())=C96),1,0))</f>
        <v>0</v>
      </c>
      <c r="K165">
        <f ca="1">DAYS360(INDIRECT(C68&amp;ROW()),TODAY())</f>
        <v>721</v>
      </c>
      <c r="L165">
        <f ca="1">DAYS360(INDIRECT(C69&amp;ROW()),TODAY())</f>
        <v>882</v>
      </c>
      <c r="M165">
        <f ca="1">HYPERLINK(CONCATENATE("https://bugzilla.houston.hp.com:1181/bugzilla/show_bug.cgi?id=",INDIRECT(C70&amp;ROW())),INDIRECT(C70&amp;ROW()))</f>
        <v>53684</v>
      </c>
      <c r="N165">
        <v>53684</v>
      </c>
      <c r="O165" t="s">
        <v>45</v>
      </c>
      <c r="P165" t="s">
        <v>476</v>
      </c>
      <c r="Q165" t="s">
        <v>16</v>
      </c>
      <c r="R165" t="s">
        <v>248</v>
      </c>
      <c r="S165" t="s">
        <v>36</v>
      </c>
      <c r="U165" s="6">
        <v>42125.644004629627</v>
      </c>
      <c r="V165" t="s">
        <v>18</v>
      </c>
      <c r="W165" t="s">
        <v>207</v>
      </c>
      <c r="X165" s="6">
        <v>41963.405358796299</v>
      </c>
      <c r="Y165" t="s">
        <v>123</v>
      </c>
      <c r="AB165" t="s">
        <v>199</v>
      </c>
      <c r="AC165" t="s">
        <v>121</v>
      </c>
      <c r="AD165" t="s">
        <v>227</v>
      </c>
      <c r="AE165" t="s">
        <v>231</v>
      </c>
      <c r="AG165" t="s">
        <v>121</v>
      </c>
      <c r="AH165" t="s">
        <v>327</v>
      </c>
      <c r="AI165" t="s">
        <v>121</v>
      </c>
      <c r="AJ165" t="s">
        <v>716</v>
      </c>
      <c r="AK165" t="s">
        <v>121</v>
      </c>
    </row>
    <row r="166" spans="9:37" x14ac:dyDescent="0.3">
      <c r="I166">
        <f ca="1">IF(OR(INDIRECT(A73&amp;ROW())=B93,INDIRECT(A73&amp;ROW())=B94),1,IF(AND(INDIRECT(A73&amp;ROW())=B95,INDIRECT(A96&amp;ROW())=C93),1,IF(AND(INDIRECT(A73&amp;ROW())=B95,INDIRECT(A96&amp;ROW())=C94),1,0)))</f>
        <v>1</v>
      </c>
      <c r="J166">
        <f ca="1">IF(AND(INDIRECT(A73&amp;ROW())=B95,INDIRECT(A96&amp;ROW())=C95),1,IF(AND(INDIRECT(A73&amp;ROW())=B95,INDIRECT(A96&amp;ROW())=C96),1,0))</f>
        <v>0</v>
      </c>
      <c r="K166">
        <f ca="1">DAYS360(INDIRECT(C68&amp;ROW()),TODAY())</f>
        <v>882</v>
      </c>
      <c r="L166">
        <f ca="1">DAYS360(INDIRECT(C69&amp;ROW()),TODAY())</f>
        <v>882</v>
      </c>
      <c r="M166">
        <f ca="1">HYPERLINK(CONCATENATE("https://bugzilla.houston.hp.com:1181/bugzilla/show_bug.cgi?id=",INDIRECT(C70&amp;ROW())),INDIRECT(C70&amp;ROW()))</f>
        <v>53689</v>
      </c>
      <c r="N166">
        <v>53689</v>
      </c>
      <c r="O166" t="s">
        <v>36</v>
      </c>
      <c r="P166" t="s">
        <v>462</v>
      </c>
      <c r="Q166" t="s">
        <v>25</v>
      </c>
      <c r="R166" t="s">
        <v>248</v>
      </c>
      <c r="S166" t="s">
        <v>36</v>
      </c>
      <c r="U166" s="6">
        <v>41963.415879629632</v>
      </c>
      <c r="V166" t="s">
        <v>18</v>
      </c>
      <c r="W166" t="s">
        <v>207</v>
      </c>
      <c r="X166" s="6">
        <v>41963.415879629632</v>
      </c>
      <c r="Y166" t="s">
        <v>120</v>
      </c>
      <c r="AB166" t="s">
        <v>200</v>
      </c>
      <c r="AC166" t="s">
        <v>121</v>
      </c>
      <c r="AD166" t="s">
        <v>220</v>
      </c>
      <c r="AE166" t="s">
        <v>219</v>
      </c>
      <c r="AG166" t="s">
        <v>121</v>
      </c>
      <c r="AH166" t="s">
        <v>327</v>
      </c>
      <c r="AI166" t="s">
        <v>121</v>
      </c>
      <c r="AJ166" t="s">
        <v>715</v>
      </c>
      <c r="AK166" t="s">
        <v>121</v>
      </c>
    </row>
    <row r="167" spans="9:37" x14ac:dyDescent="0.3">
      <c r="I167">
        <f ca="1">IF(OR(INDIRECT(A73&amp;ROW())=B93,INDIRECT(A73&amp;ROW())=B94),1,IF(AND(INDIRECT(A73&amp;ROW())=B95,INDIRECT(A96&amp;ROW())=C93),1,IF(AND(INDIRECT(A73&amp;ROW())=B95,INDIRECT(A96&amp;ROW())=C94),1,0)))</f>
        <v>1</v>
      </c>
      <c r="J167">
        <f ca="1">IF(AND(INDIRECT(A73&amp;ROW())=B95,INDIRECT(A96&amp;ROW())=C95),1,IF(AND(INDIRECT(A73&amp;ROW())=B95,INDIRECT(A96&amp;ROW())=C96),1,0))</f>
        <v>0</v>
      </c>
      <c r="K167">
        <f ca="1">DAYS360(INDIRECT(C68&amp;ROW()),TODAY())</f>
        <v>757</v>
      </c>
      <c r="L167">
        <f ca="1">DAYS360(INDIRECT(C69&amp;ROW()),TODAY())</f>
        <v>882</v>
      </c>
      <c r="M167">
        <f ca="1">HYPERLINK(CONCATENATE("https://bugzilla.houston.hp.com:1181/bugzilla/show_bug.cgi?id=",INDIRECT(C70&amp;ROW())),INDIRECT(C70&amp;ROW()))</f>
        <v>53713</v>
      </c>
      <c r="N167">
        <v>53713</v>
      </c>
      <c r="O167" t="s">
        <v>43</v>
      </c>
      <c r="P167" t="s">
        <v>480</v>
      </c>
      <c r="Q167" t="s">
        <v>25</v>
      </c>
      <c r="R167" t="s">
        <v>251</v>
      </c>
      <c r="S167" t="s">
        <v>336</v>
      </c>
      <c r="U167" s="6">
        <v>42088.084247685183</v>
      </c>
      <c r="V167" t="s">
        <v>40</v>
      </c>
      <c r="W167" t="s">
        <v>17</v>
      </c>
      <c r="X167" s="6">
        <v>41963.720011574071</v>
      </c>
      <c r="Y167" t="s">
        <v>342</v>
      </c>
      <c r="AB167" t="s">
        <v>200</v>
      </c>
      <c r="AC167" t="s">
        <v>247</v>
      </c>
      <c r="AD167" t="s">
        <v>220</v>
      </c>
      <c r="AE167" t="s">
        <v>219</v>
      </c>
      <c r="AG167" t="s">
        <v>121</v>
      </c>
      <c r="AH167" t="s">
        <v>327</v>
      </c>
      <c r="AI167" t="s">
        <v>121</v>
      </c>
      <c r="AJ167" t="s">
        <v>715</v>
      </c>
      <c r="AK167" t="s">
        <v>121</v>
      </c>
    </row>
    <row r="168" spans="9:37" x14ac:dyDescent="0.3">
      <c r="I168">
        <f ca="1">IF(OR(INDIRECT(A73&amp;ROW())=B93,INDIRECT(A73&amp;ROW())=B94),1,IF(AND(INDIRECT(A73&amp;ROW())=B95,INDIRECT(A96&amp;ROW())=C93),1,IF(AND(INDIRECT(A73&amp;ROW())=B95,INDIRECT(A96&amp;ROW())=C94),1,0)))</f>
        <v>0</v>
      </c>
      <c r="J168">
        <f ca="1">IF(AND(INDIRECT(A73&amp;ROW())=B95,INDIRECT(A96&amp;ROW())=C95),1,IF(AND(INDIRECT(A73&amp;ROW())=B95,INDIRECT(A96&amp;ROW())=C96),1,0))</f>
        <v>0</v>
      </c>
      <c r="K168">
        <f ca="1">DAYS360(INDIRECT(C68&amp;ROW()),TODAY())</f>
        <v>730</v>
      </c>
      <c r="L168">
        <f ca="1">DAYS360(INDIRECT(C69&amp;ROW()),TODAY())</f>
        <v>882</v>
      </c>
      <c r="M168">
        <f ca="1">HYPERLINK(CONCATENATE("https://bugzilla.houston.hp.com:1181/bugzilla/show_bug.cgi?id=",INDIRECT(C70&amp;ROW())),INDIRECT(C70&amp;ROW()))</f>
        <v>53719</v>
      </c>
      <c r="N168">
        <v>53719</v>
      </c>
      <c r="O168" t="s">
        <v>856</v>
      </c>
      <c r="P168" t="s">
        <v>461</v>
      </c>
      <c r="Q168" t="s">
        <v>16</v>
      </c>
      <c r="R168" t="s">
        <v>248</v>
      </c>
      <c r="S168" t="s">
        <v>36</v>
      </c>
      <c r="U168" s="6">
        <v>42116.923831018517</v>
      </c>
      <c r="V168" t="s">
        <v>35</v>
      </c>
      <c r="W168" t="s">
        <v>258</v>
      </c>
      <c r="X168" s="6">
        <v>41963.788032407407</v>
      </c>
      <c r="Y168" t="s">
        <v>119</v>
      </c>
      <c r="AB168" t="s">
        <v>201</v>
      </c>
      <c r="AC168" t="s">
        <v>121</v>
      </c>
      <c r="AD168" t="s">
        <v>222</v>
      </c>
      <c r="AE168" t="s">
        <v>221</v>
      </c>
      <c r="AG168" t="s">
        <v>121</v>
      </c>
      <c r="AH168" t="s">
        <v>327</v>
      </c>
      <c r="AI168" t="s">
        <v>121</v>
      </c>
      <c r="AJ168" t="s">
        <v>717</v>
      </c>
      <c r="AK168" t="s">
        <v>121</v>
      </c>
    </row>
    <row r="169" spans="9:37" x14ac:dyDescent="0.3">
      <c r="I169">
        <f ca="1">IF(OR(INDIRECT(A73&amp;ROW())=B93,INDIRECT(A73&amp;ROW())=B94),1,IF(AND(INDIRECT(A73&amp;ROW())=B95,INDIRECT(A96&amp;ROW())=C93),1,IF(AND(INDIRECT(A73&amp;ROW())=B95,INDIRECT(A96&amp;ROW())=C94),1,0)))</f>
        <v>0</v>
      </c>
      <c r="J169">
        <f ca="1">IF(AND(INDIRECT(A73&amp;ROW())=B95,INDIRECT(A96&amp;ROW())=C95),1,IF(AND(INDIRECT(A73&amp;ROW())=B95,INDIRECT(A96&amp;ROW())=C96),1,0))</f>
        <v>0</v>
      </c>
      <c r="K169">
        <f ca="1">DAYS360(INDIRECT(C68&amp;ROW()),TODAY())</f>
        <v>721</v>
      </c>
      <c r="L169">
        <f ca="1">DAYS360(INDIRECT(C69&amp;ROW()),TODAY())</f>
        <v>882</v>
      </c>
      <c r="M169">
        <f ca="1">HYPERLINK(CONCATENATE("https://bugzilla.houston.hp.com:1181/bugzilla/show_bug.cgi?id=",INDIRECT(C70&amp;ROW())),INDIRECT(C70&amp;ROW()))</f>
        <v>53725</v>
      </c>
      <c r="N169">
        <v>53725</v>
      </c>
      <c r="O169" t="s">
        <v>45</v>
      </c>
      <c r="P169" t="s">
        <v>460</v>
      </c>
      <c r="Q169" t="s">
        <v>16</v>
      </c>
      <c r="R169" t="s">
        <v>248</v>
      </c>
      <c r="S169" t="s">
        <v>36</v>
      </c>
      <c r="U169" s="6">
        <v>42125.649328703701</v>
      </c>
      <c r="V169" t="s">
        <v>18</v>
      </c>
      <c r="W169" t="s">
        <v>260</v>
      </c>
      <c r="X169" s="6">
        <v>41963.826539351852</v>
      </c>
      <c r="Y169" t="s">
        <v>245</v>
      </c>
      <c r="Z169" t="s">
        <v>245</v>
      </c>
      <c r="AB169" t="s">
        <v>201</v>
      </c>
      <c r="AC169" t="s">
        <v>121</v>
      </c>
      <c r="AD169" t="s">
        <v>227</v>
      </c>
      <c r="AE169" t="s">
        <v>231</v>
      </c>
      <c r="AG169" t="s">
        <v>121</v>
      </c>
      <c r="AH169" t="s">
        <v>327</v>
      </c>
      <c r="AI169" t="s">
        <v>121</v>
      </c>
      <c r="AJ169" t="s">
        <v>717</v>
      </c>
      <c r="AK169" t="s">
        <v>121</v>
      </c>
    </row>
    <row r="170" spans="9:37" x14ac:dyDescent="0.3">
      <c r="I170">
        <f ca="1">IF(OR(INDIRECT(A73&amp;ROW())=B93,INDIRECT(A73&amp;ROW())=B94),1,IF(AND(INDIRECT(A73&amp;ROW())=B95,INDIRECT(A96&amp;ROW())=C93),1,IF(AND(INDIRECT(A73&amp;ROW())=B95,INDIRECT(A96&amp;ROW())=C94),1,0)))</f>
        <v>0</v>
      </c>
      <c r="J170">
        <f ca="1">IF(AND(INDIRECT(A73&amp;ROW())=B95,INDIRECT(A96&amp;ROW())=C95),1,IF(AND(INDIRECT(A73&amp;ROW())=B95,INDIRECT(A96&amp;ROW())=C96),1,0))</f>
        <v>1</v>
      </c>
      <c r="K170">
        <f ca="1">DAYS360(INDIRECT(C68&amp;ROW()),TODAY())</f>
        <v>835</v>
      </c>
      <c r="L170">
        <f ca="1">DAYS360(INDIRECT(C69&amp;ROW()),TODAY())</f>
        <v>882</v>
      </c>
      <c r="M170">
        <f ca="1">HYPERLINK(CONCATENATE("https://bugzilla.houston.hp.com:1181/bugzilla/show_bug.cgi?id=",INDIRECT(C70&amp;ROW())),INDIRECT(C70&amp;ROW()))</f>
        <v>53727</v>
      </c>
      <c r="N170">
        <v>53727</v>
      </c>
      <c r="O170" t="s">
        <v>326</v>
      </c>
      <c r="P170" t="s">
        <v>459</v>
      </c>
      <c r="Q170" t="s">
        <v>25</v>
      </c>
      <c r="R170" t="s">
        <v>17</v>
      </c>
      <c r="S170" t="s">
        <v>36</v>
      </c>
      <c r="U170" s="6">
        <v>42011.647777777776</v>
      </c>
      <c r="V170" t="s">
        <v>18</v>
      </c>
      <c r="W170" t="s">
        <v>288</v>
      </c>
      <c r="X170" s="6">
        <v>41963.828958333332</v>
      </c>
      <c r="Y170" t="s">
        <v>119</v>
      </c>
      <c r="AB170" t="s">
        <v>201</v>
      </c>
      <c r="AC170" t="s">
        <v>121</v>
      </c>
      <c r="AD170" t="s">
        <v>220</v>
      </c>
      <c r="AE170" t="s">
        <v>224</v>
      </c>
      <c r="AF170" s="13">
        <v>41901</v>
      </c>
      <c r="AG170" t="s">
        <v>121</v>
      </c>
      <c r="AH170" t="s">
        <v>64</v>
      </c>
      <c r="AI170" t="s">
        <v>363</v>
      </c>
      <c r="AJ170" t="s">
        <v>716</v>
      </c>
      <c r="AK170" t="s">
        <v>121</v>
      </c>
    </row>
    <row r="171" spans="9:37" x14ac:dyDescent="0.3">
      <c r="I171">
        <f ca="1">IF(OR(INDIRECT(A73&amp;ROW())=B93,INDIRECT(A73&amp;ROW())=B94),1,IF(AND(INDIRECT(A73&amp;ROW())=B95,INDIRECT(A96&amp;ROW())=C93),1,IF(AND(INDIRECT(A73&amp;ROW())=B95,INDIRECT(A96&amp;ROW())=C94),1,0)))</f>
        <v>0</v>
      </c>
      <c r="J171">
        <f ca="1">IF(AND(INDIRECT(A73&amp;ROW())=B95,INDIRECT(A96&amp;ROW())=C95),1,IF(AND(INDIRECT(A73&amp;ROW())=B95,INDIRECT(A96&amp;ROW())=C96),1,0))</f>
        <v>1</v>
      </c>
      <c r="K171">
        <f ca="1">DAYS360(INDIRECT(C68&amp;ROW()),TODAY())</f>
        <v>800</v>
      </c>
      <c r="L171">
        <f ca="1">DAYS360(INDIRECT(C69&amp;ROW()),TODAY())</f>
        <v>882</v>
      </c>
      <c r="M171">
        <f ca="1">HYPERLINK(CONCATENATE("https://bugzilla.houston.hp.com:1181/bugzilla/show_bug.cgi?id=",INDIRECT(C70&amp;ROW())),INDIRECT(C70&amp;ROW()))</f>
        <v>53728</v>
      </c>
      <c r="N171">
        <v>53728</v>
      </c>
      <c r="O171" t="s">
        <v>56</v>
      </c>
      <c r="P171" t="s">
        <v>458</v>
      </c>
      <c r="Q171" t="s">
        <v>25</v>
      </c>
      <c r="R171" t="s">
        <v>248</v>
      </c>
      <c r="S171" t="s">
        <v>36</v>
      </c>
      <c r="U171" s="6">
        <v>42047.974247685182</v>
      </c>
      <c r="V171" t="s">
        <v>18</v>
      </c>
      <c r="W171" t="s">
        <v>288</v>
      </c>
      <c r="X171" s="6">
        <v>41963.831631944442</v>
      </c>
      <c r="Y171" t="s">
        <v>119</v>
      </c>
      <c r="AB171" t="s">
        <v>201</v>
      </c>
      <c r="AC171" t="s">
        <v>121</v>
      </c>
      <c r="AD171" t="s">
        <v>220</v>
      </c>
      <c r="AE171" t="s">
        <v>219</v>
      </c>
      <c r="AF171" s="13">
        <v>41901</v>
      </c>
      <c r="AG171" t="s">
        <v>121</v>
      </c>
      <c r="AH171" t="s">
        <v>64</v>
      </c>
      <c r="AI171" t="s">
        <v>121</v>
      </c>
      <c r="AJ171" t="s">
        <v>716</v>
      </c>
      <c r="AK171" t="s">
        <v>121</v>
      </c>
    </row>
    <row r="172" spans="9:37" x14ac:dyDescent="0.3">
      <c r="I172">
        <f ca="1">IF(OR(INDIRECT(A73&amp;ROW())=B93,INDIRECT(A73&amp;ROW())=B94),1,IF(AND(INDIRECT(A73&amp;ROW())=B95,INDIRECT(A96&amp;ROW())=C93),1,IF(AND(INDIRECT(A73&amp;ROW())=B95,INDIRECT(A96&amp;ROW())=C94),1,0)))</f>
        <v>0</v>
      </c>
      <c r="J172">
        <f ca="1">IF(AND(INDIRECT(A73&amp;ROW())=B95,INDIRECT(A96&amp;ROW())=C95),1,IF(AND(INDIRECT(A73&amp;ROW())=B95,INDIRECT(A96&amp;ROW())=C96),1,0))</f>
        <v>1</v>
      </c>
      <c r="K172">
        <f ca="1">DAYS360(INDIRECT(C68&amp;ROW()),TODAY())</f>
        <v>714</v>
      </c>
      <c r="L172">
        <f ca="1">DAYS360(INDIRECT(C69&amp;ROW()),TODAY())</f>
        <v>882</v>
      </c>
      <c r="M172" s="11">
        <f ca="1">HYPERLINK(CONCATENATE("https://bugzilla.houston.hp.com:1181/bugzilla/show_bug.cgi?id=",INDIRECT(C70&amp;ROW())),INDIRECT(C70&amp;ROW()))</f>
        <v>53733</v>
      </c>
      <c r="N172">
        <v>53733</v>
      </c>
      <c r="O172" t="s">
        <v>204</v>
      </c>
      <c r="P172" t="s">
        <v>457</v>
      </c>
      <c r="Q172" t="s">
        <v>25</v>
      </c>
      <c r="R172" t="s">
        <v>17</v>
      </c>
      <c r="S172" t="s">
        <v>36</v>
      </c>
      <c r="T172" t="s">
        <v>54</v>
      </c>
      <c r="U172" s="6">
        <v>42132.550150462965</v>
      </c>
      <c r="V172" t="s">
        <v>35</v>
      </c>
      <c r="W172" t="s">
        <v>17</v>
      </c>
      <c r="X172" s="6">
        <v>41963.87427083333</v>
      </c>
      <c r="Y172" t="s">
        <v>119</v>
      </c>
      <c r="AB172" t="s">
        <v>201</v>
      </c>
      <c r="AC172" t="s">
        <v>247</v>
      </c>
      <c r="AD172" t="s">
        <v>222</v>
      </c>
      <c r="AE172" t="s">
        <v>228</v>
      </c>
      <c r="AG172" t="s">
        <v>337</v>
      </c>
      <c r="AH172" t="s">
        <v>64</v>
      </c>
      <c r="AI172" t="s">
        <v>362</v>
      </c>
      <c r="AJ172" t="s">
        <v>716</v>
      </c>
      <c r="AK172" t="s">
        <v>121</v>
      </c>
    </row>
    <row r="173" spans="9:37" x14ac:dyDescent="0.3">
      <c r="I173">
        <f ca="1">IF(OR(INDIRECT(A73&amp;ROW())=B93,INDIRECT(A73&amp;ROW())=B94),1,IF(AND(INDIRECT(A73&amp;ROW())=B95,INDIRECT(A96&amp;ROW())=C93),1,IF(AND(INDIRECT(A73&amp;ROW())=B95,INDIRECT(A96&amp;ROW())=C94),1,0)))</f>
        <v>1</v>
      </c>
      <c r="J173">
        <f ca="1">IF(AND(INDIRECT(A73&amp;ROW())=B95,INDIRECT(A96&amp;ROW())=C95),1,IF(AND(INDIRECT(A73&amp;ROW())=B95,INDIRECT(A96&amp;ROW())=C96),1,0))</f>
        <v>0</v>
      </c>
      <c r="K173">
        <f ca="1">DAYS360(INDIRECT(C68&amp;ROW()),TODAY())</f>
        <v>870</v>
      </c>
      <c r="L173">
        <f ca="1">DAYS360(INDIRECT(C69&amp;ROW()),TODAY())</f>
        <v>871</v>
      </c>
      <c r="M173">
        <f ca="1">HYPERLINK(CONCATENATE("https://bugzilla.houston.hp.com:1181/bugzilla/show_bug.cgi?id=",INDIRECT(C70&amp;ROW())),INDIRECT(C70&amp;ROW()))</f>
        <v>54144</v>
      </c>
      <c r="N173">
        <v>54144</v>
      </c>
      <c r="O173" t="s">
        <v>43</v>
      </c>
      <c r="P173" t="s">
        <v>479</v>
      </c>
      <c r="Q173" t="s">
        <v>25</v>
      </c>
      <c r="R173" t="s">
        <v>248</v>
      </c>
      <c r="S173" t="s">
        <v>36</v>
      </c>
      <c r="U173" s="6">
        <v>41975.575798611113</v>
      </c>
      <c r="V173" t="s">
        <v>18</v>
      </c>
      <c r="W173" t="s">
        <v>17</v>
      </c>
      <c r="X173" s="6">
        <v>41974.702986111108</v>
      </c>
      <c r="Y173" t="s">
        <v>342</v>
      </c>
      <c r="AB173" t="s">
        <v>200</v>
      </c>
      <c r="AC173" t="s">
        <v>247</v>
      </c>
      <c r="AD173" t="s">
        <v>220</v>
      </c>
      <c r="AE173" t="s">
        <v>219</v>
      </c>
      <c r="AG173" t="s">
        <v>121</v>
      </c>
      <c r="AH173" t="s">
        <v>327</v>
      </c>
      <c r="AI173" t="s">
        <v>121</v>
      </c>
      <c r="AJ173" t="s">
        <v>715</v>
      </c>
      <c r="AK173" t="s">
        <v>121</v>
      </c>
    </row>
    <row r="174" spans="9:37" x14ac:dyDescent="0.3">
      <c r="I174">
        <f ca="1">IF(OR(INDIRECT(A73&amp;ROW())=B93,INDIRECT(A73&amp;ROW())=B94),1,IF(AND(INDIRECT(A73&amp;ROW())=B95,INDIRECT(A96&amp;ROW())=C93),1,IF(AND(INDIRECT(A73&amp;ROW())=B95,INDIRECT(A96&amp;ROW())=C94),1,0)))</f>
        <v>0</v>
      </c>
      <c r="J174">
        <f ca="1">IF(AND(INDIRECT(A73&amp;ROW())=B95,INDIRECT(A96&amp;ROW())=C95),1,IF(AND(INDIRECT(A73&amp;ROW())=B95,INDIRECT(A96&amp;ROW())=C96),1,0))</f>
        <v>1</v>
      </c>
      <c r="K174">
        <f ca="1">DAYS360(INDIRECT(C68&amp;ROW()),TODAY())</f>
        <v>721</v>
      </c>
      <c r="L174">
        <f ca="1">DAYS360(INDIRECT(C69&amp;ROW()),TODAY())</f>
        <v>870</v>
      </c>
      <c r="M174">
        <f ca="1">HYPERLINK(CONCATENATE("https://bugzilla.houston.hp.com:1181/bugzilla/show_bug.cgi?id=",INDIRECT(C70&amp;ROW())),INDIRECT(C70&amp;ROW()))</f>
        <v>54180</v>
      </c>
      <c r="N174">
        <v>54180</v>
      </c>
      <c r="O174" t="s">
        <v>326</v>
      </c>
      <c r="P174" t="s">
        <v>487</v>
      </c>
      <c r="Q174" t="s">
        <v>25</v>
      </c>
      <c r="R174" t="s">
        <v>17</v>
      </c>
      <c r="S174" t="s">
        <v>36</v>
      </c>
      <c r="U174" s="6">
        <v>42125.447627314818</v>
      </c>
      <c r="V174" t="s">
        <v>18</v>
      </c>
      <c r="W174" t="s">
        <v>343</v>
      </c>
      <c r="X174" s="6">
        <v>41975.376284722224</v>
      </c>
      <c r="Y174" t="s">
        <v>122</v>
      </c>
      <c r="AB174" t="s">
        <v>201</v>
      </c>
      <c r="AC174" t="s">
        <v>247</v>
      </c>
      <c r="AD174" t="s">
        <v>220</v>
      </c>
      <c r="AE174" t="s">
        <v>224</v>
      </c>
      <c r="AG174" t="s">
        <v>121</v>
      </c>
      <c r="AH174" t="s">
        <v>64</v>
      </c>
      <c r="AI174" t="s">
        <v>363</v>
      </c>
      <c r="AJ174" t="s">
        <v>716</v>
      </c>
      <c r="AK174" t="s">
        <v>121</v>
      </c>
    </row>
    <row r="175" spans="9:37" x14ac:dyDescent="0.3">
      <c r="I175">
        <f ca="1">IF(OR(INDIRECT(A73&amp;ROW())=B93,INDIRECT(A73&amp;ROW())=B94),1,IF(AND(INDIRECT(A73&amp;ROW())=B95,INDIRECT(A96&amp;ROW())=C93),1,IF(AND(INDIRECT(A73&amp;ROW())=B95,INDIRECT(A96&amp;ROW())=C94),1,0)))</f>
        <v>0</v>
      </c>
      <c r="J175">
        <f ca="1">IF(AND(INDIRECT(A73&amp;ROW())=B95,INDIRECT(A96&amp;ROW())=C95),1,IF(AND(INDIRECT(A73&amp;ROW())=B95,INDIRECT(A96&amp;ROW())=C96),1,0))</f>
        <v>1</v>
      </c>
      <c r="K175">
        <f ca="1">DAYS360(INDIRECT(C68&amp;ROW()),TODAY())</f>
        <v>721</v>
      </c>
      <c r="L175">
        <f ca="1">DAYS360(INDIRECT(C69&amp;ROW()),TODAY())</f>
        <v>870</v>
      </c>
      <c r="M175">
        <f ca="1">HYPERLINK(CONCATENATE("https://bugzilla.houston.hp.com:1181/bugzilla/show_bug.cgi?id=",INDIRECT(C70&amp;ROW())),INDIRECT(C70&amp;ROW()))</f>
        <v>54181</v>
      </c>
      <c r="N175">
        <v>54181</v>
      </c>
      <c r="O175" t="s">
        <v>56</v>
      </c>
      <c r="P175" t="s">
        <v>486</v>
      </c>
      <c r="Q175" t="s">
        <v>25</v>
      </c>
      <c r="R175" t="s">
        <v>248</v>
      </c>
      <c r="S175" t="s">
        <v>36</v>
      </c>
      <c r="U175" s="6">
        <v>42125.447581018518</v>
      </c>
      <c r="V175" t="s">
        <v>18</v>
      </c>
      <c r="W175" t="s">
        <v>343</v>
      </c>
      <c r="X175" s="6">
        <v>41975.38009259259</v>
      </c>
      <c r="Y175" t="s">
        <v>122</v>
      </c>
      <c r="AB175" t="s">
        <v>201</v>
      </c>
      <c r="AC175" t="s">
        <v>247</v>
      </c>
      <c r="AD175" t="s">
        <v>220</v>
      </c>
      <c r="AE175" t="s">
        <v>219</v>
      </c>
      <c r="AG175" t="s">
        <v>121</v>
      </c>
      <c r="AH175" t="s">
        <v>64</v>
      </c>
      <c r="AI175" t="s">
        <v>121</v>
      </c>
      <c r="AJ175" t="s">
        <v>716</v>
      </c>
      <c r="AK175" t="s">
        <v>121</v>
      </c>
    </row>
    <row r="176" spans="9:37" x14ac:dyDescent="0.3">
      <c r="I176">
        <f ca="1">IF(OR(INDIRECT(A73&amp;ROW())=B93,INDIRECT(A73&amp;ROW())=B94),1,IF(AND(INDIRECT(A73&amp;ROW())=B95,INDIRECT(A96&amp;ROW())=C93),1,IF(AND(INDIRECT(A73&amp;ROW())=B95,INDIRECT(A96&amp;ROW())=C94),1,0)))</f>
        <v>0</v>
      </c>
      <c r="J176">
        <f ca="1">IF(AND(INDIRECT(A73&amp;ROW())=B95,INDIRECT(A96&amp;ROW())=C95),1,IF(AND(INDIRECT(A73&amp;ROW())=B95,INDIRECT(A96&amp;ROW())=C96),1,0))</f>
        <v>0</v>
      </c>
      <c r="K176">
        <f ca="1">DAYS360(INDIRECT(C68&amp;ROW()),TODAY())</f>
        <v>721</v>
      </c>
      <c r="L176">
        <f ca="1">DAYS360(INDIRECT(C69&amp;ROW()),TODAY())</f>
        <v>870</v>
      </c>
      <c r="M176">
        <f ca="1">HYPERLINK(CONCATENATE("https://bugzilla.houston.hp.com:1181/bugzilla/show_bug.cgi?id=",INDIRECT(C70&amp;ROW())),INDIRECT(C70&amp;ROW()))</f>
        <v>54184</v>
      </c>
      <c r="N176">
        <v>54184</v>
      </c>
      <c r="O176" t="s">
        <v>241</v>
      </c>
      <c r="P176" t="s">
        <v>485</v>
      </c>
      <c r="Q176" t="s">
        <v>16</v>
      </c>
      <c r="R176" t="s">
        <v>248</v>
      </c>
      <c r="S176" t="s">
        <v>36</v>
      </c>
      <c r="U176" s="6">
        <v>42125.65320601852</v>
      </c>
      <c r="V176" t="s">
        <v>18</v>
      </c>
      <c r="W176" t="s">
        <v>339</v>
      </c>
      <c r="X176" s="6">
        <v>41975.38925925926</v>
      </c>
      <c r="Y176" t="s">
        <v>245</v>
      </c>
      <c r="AB176" t="s">
        <v>201</v>
      </c>
      <c r="AC176" t="s">
        <v>247</v>
      </c>
      <c r="AD176" t="s">
        <v>227</v>
      </c>
      <c r="AE176" t="s">
        <v>237</v>
      </c>
      <c r="AG176" t="s">
        <v>121</v>
      </c>
      <c r="AH176" t="s">
        <v>327</v>
      </c>
      <c r="AI176" t="s">
        <v>121</v>
      </c>
      <c r="AJ176" t="s">
        <v>717</v>
      </c>
      <c r="AK176" t="s">
        <v>121</v>
      </c>
    </row>
    <row r="177" spans="9:37" x14ac:dyDescent="0.3">
      <c r="I177">
        <f ca="1">IF(OR(INDIRECT(A73&amp;ROW())=B93,INDIRECT(A73&amp;ROW())=B94),1,IF(AND(INDIRECT(A73&amp;ROW())=B95,INDIRECT(A96&amp;ROW())=C93),1,IF(AND(INDIRECT(A73&amp;ROW())=B95,INDIRECT(A96&amp;ROW())=C94),1,0)))</f>
        <v>0</v>
      </c>
      <c r="J177">
        <f ca="1">IF(AND(INDIRECT(A73&amp;ROW())=B95,INDIRECT(A96&amp;ROW())=C95),1,IF(AND(INDIRECT(A73&amp;ROW())=B95,INDIRECT(A96&amp;ROW())=C96),1,0))</f>
        <v>1</v>
      </c>
      <c r="K177">
        <f ca="1">DAYS360(INDIRECT(C68&amp;ROW()),TODAY())</f>
        <v>869</v>
      </c>
      <c r="L177">
        <f ca="1">DAYS360(INDIRECT(C69&amp;ROW()),TODAY())</f>
        <v>870</v>
      </c>
      <c r="M177">
        <f ca="1">HYPERLINK(CONCATENATE("https://bugzilla.houston.hp.com:1181/bugzilla/show_bug.cgi?id=",INDIRECT(C70&amp;ROW())),INDIRECT(C70&amp;ROW()))</f>
        <v>54186</v>
      </c>
      <c r="N177">
        <v>54186</v>
      </c>
      <c r="O177" t="s">
        <v>326</v>
      </c>
      <c r="P177" t="s">
        <v>484</v>
      </c>
      <c r="Q177" t="s">
        <v>25</v>
      </c>
      <c r="R177" t="s">
        <v>17</v>
      </c>
      <c r="S177" t="s">
        <v>36</v>
      </c>
      <c r="U177" s="6">
        <v>41976.523692129631</v>
      </c>
      <c r="V177" t="s">
        <v>18</v>
      </c>
      <c r="W177" t="s">
        <v>343</v>
      </c>
      <c r="X177" s="6">
        <v>41975.390381944446</v>
      </c>
      <c r="Y177" t="s">
        <v>245</v>
      </c>
      <c r="AB177" t="s">
        <v>201</v>
      </c>
      <c r="AC177" t="s">
        <v>247</v>
      </c>
      <c r="AD177" t="s">
        <v>227</v>
      </c>
      <c r="AE177" t="s">
        <v>230</v>
      </c>
      <c r="AG177" t="s">
        <v>121</v>
      </c>
      <c r="AH177" t="s">
        <v>327</v>
      </c>
      <c r="AI177" t="s">
        <v>362</v>
      </c>
      <c r="AJ177" t="s">
        <v>716</v>
      </c>
      <c r="AK177" t="s">
        <v>121</v>
      </c>
    </row>
    <row r="178" spans="9:37" x14ac:dyDescent="0.3">
      <c r="I178">
        <f ca="1">IF(OR(INDIRECT(A73&amp;ROW())=B93,INDIRECT(A73&amp;ROW())=B94),1,IF(AND(INDIRECT(A73&amp;ROW())=B95,INDIRECT(A96&amp;ROW())=C93),1,IF(AND(INDIRECT(A73&amp;ROW())=B95,INDIRECT(A96&amp;ROW())=C94),1,0)))</f>
        <v>0</v>
      </c>
      <c r="J178">
        <f ca="1">IF(AND(INDIRECT(A73&amp;ROW())=B95,INDIRECT(A96&amp;ROW())=C95),1,IF(AND(INDIRECT(A73&amp;ROW())=B95,INDIRECT(A96&amp;ROW())=C96),1,0))</f>
        <v>1</v>
      </c>
      <c r="K178">
        <f ca="1">DAYS360(INDIRECT(C68&amp;ROW()),TODAY())</f>
        <v>721</v>
      </c>
      <c r="L178">
        <f ca="1">DAYS360(INDIRECT(C69&amp;ROW()),TODAY())</f>
        <v>870</v>
      </c>
      <c r="M178">
        <f ca="1">HYPERLINK(CONCATENATE("https://bugzilla.houston.hp.com:1181/bugzilla/show_bug.cgi?id=",INDIRECT(C70&amp;ROW())),INDIRECT(C70&amp;ROW()))</f>
        <v>54187</v>
      </c>
      <c r="N178">
        <v>54187</v>
      </c>
      <c r="O178" t="s">
        <v>241</v>
      </c>
      <c r="P178" t="s">
        <v>483</v>
      </c>
      <c r="Q178" t="s">
        <v>25</v>
      </c>
      <c r="R178" t="s">
        <v>248</v>
      </c>
      <c r="S178" t="s">
        <v>36</v>
      </c>
      <c r="U178" s="6">
        <v>42125.655613425923</v>
      </c>
      <c r="V178" t="s">
        <v>18</v>
      </c>
      <c r="W178" t="s">
        <v>343</v>
      </c>
      <c r="X178" s="6">
        <v>41975.393379629626</v>
      </c>
      <c r="Y178" t="s">
        <v>245</v>
      </c>
      <c r="AB178" t="s">
        <v>201</v>
      </c>
      <c r="AC178" t="s">
        <v>247</v>
      </c>
      <c r="AD178" t="s">
        <v>227</v>
      </c>
      <c r="AE178" t="s">
        <v>237</v>
      </c>
      <c r="AG178" t="s">
        <v>121</v>
      </c>
      <c r="AH178" t="s">
        <v>327</v>
      </c>
      <c r="AI178" t="s">
        <v>121</v>
      </c>
      <c r="AJ178" t="s">
        <v>716</v>
      </c>
      <c r="AK178" t="s">
        <v>121</v>
      </c>
    </row>
    <row r="179" spans="9:37" x14ac:dyDescent="0.3">
      <c r="I179">
        <f ca="1">IF(OR(INDIRECT(A73&amp;ROW())=B93,INDIRECT(A73&amp;ROW())=B94),1,IF(AND(INDIRECT(A73&amp;ROW())=B95,INDIRECT(A96&amp;ROW())=C93),1,IF(AND(INDIRECT(A73&amp;ROW())=B95,INDIRECT(A96&amp;ROW())=C94),1,0)))</f>
        <v>0</v>
      </c>
      <c r="J179">
        <f ca="1">IF(AND(INDIRECT(A73&amp;ROW())=B95,INDIRECT(A96&amp;ROW())=C95),1,IF(AND(INDIRECT(A73&amp;ROW())=B95,INDIRECT(A96&amp;ROW())=C96),1,0))</f>
        <v>0</v>
      </c>
      <c r="K179">
        <f ca="1">DAYS360(INDIRECT(C68&amp;ROW()),TODAY())</f>
        <v>835</v>
      </c>
      <c r="L179">
        <f ca="1">DAYS360(INDIRECT(C69&amp;ROW()),TODAY())</f>
        <v>870</v>
      </c>
      <c r="M179">
        <f ca="1">HYPERLINK(CONCATENATE("https://bugzilla.houston.hp.com:1181/bugzilla/show_bug.cgi?id=",INDIRECT(C70&amp;ROW())),INDIRECT(C70&amp;ROW()))</f>
        <v>54198</v>
      </c>
      <c r="N179">
        <v>54198</v>
      </c>
      <c r="O179" t="s">
        <v>326</v>
      </c>
      <c r="P179" t="s">
        <v>506</v>
      </c>
      <c r="Q179" t="s">
        <v>16</v>
      </c>
      <c r="R179" t="s">
        <v>17</v>
      </c>
      <c r="S179" t="s">
        <v>36</v>
      </c>
      <c r="U179" s="6">
        <v>42011.308912037035</v>
      </c>
      <c r="V179" t="s">
        <v>35</v>
      </c>
      <c r="W179" t="s">
        <v>343</v>
      </c>
      <c r="X179" s="6">
        <v>41975.427766203706</v>
      </c>
      <c r="Y179" t="s">
        <v>255</v>
      </c>
      <c r="AB179" t="s">
        <v>199</v>
      </c>
      <c r="AC179" t="s">
        <v>247</v>
      </c>
      <c r="AD179" t="s">
        <v>220</v>
      </c>
      <c r="AE179" t="s">
        <v>224</v>
      </c>
      <c r="AG179" t="s">
        <v>121</v>
      </c>
      <c r="AH179" t="s">
        <v>327</v>
      </c>
      <c r="AI179" t="s">
        <v>362</v>
      </c>
      <c r="AJ179" t="s">
        <v>716</v>
      </c>
      <c r="AK179" t="s">
        <v>121</v>
      </c>
    </row>
    <row r="180" spans="9:37" x14ac:dyDescent="0.3">
      <c r="I180">
        <f ca="1">IF(OR(INDIRECT(A73&amp;ROW())=B93,INDIRECT(A73&amp;ROW())=B94),1,IF(AND(INDIRECT(A73&amp;ROW())=B95,INDIRECT(A96&amp;ROW())=C93),1,IF(AND(INDIRECT(A73&amp;ROW())=B95,INDIRECT(A96&amp;ROW())=C94),1,0)))</f>
        <v>0</v>
      </c>
      <c r="J180">
        <f ca="1">IF(AND(INDIRECT(A73&amp;ROW())=B95,INDIRECT(A96&amp;ROW())=C95),1,IF(AND(INDIRECT(A73&amp;ROW())=B95,INDIRECT(A96&amp;ROW())=C96),1,0))</f>
        <v>0</v>
      </c>
      <c r="K180">
        <f ca="1">DAYS360(INDIRECT(C68&amp;ROW()),TODAY())</f>
        <v>733</v>
      </c>
      <c r="L180">
        <f ca="1">DAYS360(INDIRECT(C69&amp;ROW()),TODAY())</f>
        <v>870</v>
      </c>
      <c r="M180">
        <f ca="1">HYPERLINK(CONCATENATE("https://bugzilla.houston.hp.com:1181/bugzilla/show_bug.cgi?id=",INDIRECT(C70&amp;ROW())),INDIRECT(C70&amp;ROW()))</f>
        <v>54199</v>
      </c>
      <c r="N180">
        <v>54199</v>
      </c>
      <c r="O180" t="s">
        <v>56</v>
      </c>
      <c r="P180" t="s">
        <v>482</v>
      </c>
      <c r="Q180" t="s">
        <v>16</v>
      </c>
      <c r="R180" t="s">
        <v>248</v>
      </c>
      <c r="S180" t="s">
        <v>36</v>
      </c>
      <c r="U180" s="6">
        <v>42113.598020833335</v>
      </c>
      <c r="V180" t="s">
        <v>18</v>
      </c>
      <c r="W180" t="s">
        <v>343</v>
      </c>
      <c r="X180" s="6">
        <v>41975.430879629632</v>
      </c>
      <c r="Y180" t="s">
        <v>255</v>
      </c>
      <c r="AB180" t="s">
        <v>199</v>
      </c>
      <c r="AC180" t="s">
        <v>247</v>
      </c>
      <c r="AD180" t="s">
        <v>220</v>
      </c>
      <c r="AE180" t="s">
        <v>219</v>
      </c>
      <c r="AG180" t="s">
        <v>121</v>
      </c>
      <c r="AH180" t="s">
        <v>327</v>
      </c>
      <c r="AI180" t="s">
        <v>121</v>
      </c>
      <c r="AJ180" t="s">
        <v>716</v>
      </c>
      <c r="AK180" t="s">
        <v>121</v>
      </c>
    </row>
    <row r="181" spans="9:37" x14ac:dyDescent="0.3">
      <c r="I181">
        <f ca="1">IF(OR(INDIRECT(A73&amp;ROW())=B93,INDIRECT(A73&amp;ROW())=B94),1,IF(AND(INDIRECT(A73&amp;ROW())=B95,INDIRECT(A96&amp;ROW())=C93),1,IF(AND(INDIRECT(A73&amp;ROW())=B95,INDIRECT(A96&amp;ROW())=C94),1,0)))</f>
        <v>0</v>
      </c>
      <c r="J181">
        <f ca="1">IF(AND(INDIRECT(A73&amp;ROW())=B95,INDIRECT(A96&amp;ROW())=C95),1,IF(AND(INDIRECT(A73&amp;ROW())=B95,INDIRECT(A96&amp;ROW())=C96),1,0))</f>
        <v>0</v>
      </c>
      <c r="K181">
        <f ca="1">DAYS360(INDIRECT(C68&amp;ROW()),TODAY())</f>
        <v>690</v>
      </c>
      <c r="L181">
        <f ca="1">DAYS360(INDIRECT(C69&amp;ROW()),TODAY())</f>
        <v>870</v>
      </c>
      <c r="M181">
        <f ca="1">HYPERLINK(CONCATENATE("https://bugzilla.houston.hp.com:1181/bugzilla/show_bug.cgi?id=",INDIRECT(C70&amp;ROW())),INDIRECT(C70&amp;ROW()))</f>
        <v>54214</v>
      </c>
      <c r="N181">
        <v>54214</v>
      </c>
      <c r="O181" t="s">
        <v>45</v>
      </c>
      <c r="P181" t="s">
        <v>501</v>
      </c>
      <c r="Q181" t="s">
        <v>16</v>
      </c>
      <c r="R181" t="s">
        <v>251</v>
      </c>
      <c r="S181" t="s">
        <v>52</v>
      </c>
      <c r="U181" s="6">
        <v>42157.34238425926</v>
      </c>
      <c r="V181" t="s">
        <v>18</v>
      </c>
      <c r="W181" t="s">
        <v>17</v>
      </c>
      <c r="X181" s="6">
        <v>41975.603159722225</v>
      </c>
      <c r="Y181" t="s">
        <v>255</v>
      </c>
      <c r="AB181" t="s">
        <v>201</v>
      </c>
      <c r="AC181" t="s">
        <v>247</v>
      </c>
      <c r="AD181" t="s">
        <v>227</v>
      </c>
      <c r="AE181" t="s">
        <v>237</v>
      </c>
      <c r="AG181" t="s">
        <v>121</v>
      </c>
      <c r="AH181" t="s">
        <v>327</v>
      </c>
      <c r="AI181" t="s">
        <v>121</v>
      </c>
      <c r="AJ181" t="s">
        <v>717</v>
      </c>
      <c r="AK181" t="s">
        <v>121</v>
      </c>
    </row>
    <row r="182" spans="9:37" x14ac:dyDescent="0.3">
      <c r="I182">
        <f ca="1">IF(OR(INDIRECT(A73&amp;ROW())=B93,INDIRECT(A73&amp;ROW())=B94),1,IF(AND(INDIRECT(A73&amp;ROW())=B95,INDIRECT(A96&amp;ROW())=C93),1,IF(AND(INDIRECT(A73&amp;ROW())=B95,INDIRECT(A96&amp;ROW())=C94),1,0)))</f>
        <v>0</v>
      </c>
      <c r="J182">
        <f ca="1">IF(AND(INDIRECT(A73&amp;ROW())=B95,INDIRECT(A96&amp;ROW())=C95),1,IF(AND(INDIRECT(A73&amp;ROW())=B95,INDIRECT(A96&amp;ROW())=C96),1,0))</f>
        <v>0</v>
      </c>
      <c r="K182">
        <f ca="1">DAYS360(INDIRECT(C68&amp;ROW()),TODAY())</f>
        <v>729</v>
      </c>
      <c r="L182">
        <f ca="1">DAYS360(INDIRECT(C69&amp;ROW()),TODAY())</f>
        <v>870</v>
      </c>
      <c r="M182">
        <f ca="1">HYPERLINK(CONCATENATE("https://bugzilla.houston.hp.com:1181/bugzilla/show_bug.cgi?id=",INDIRECT(C70&amp;ROW())),INDIRECT(C70&amp;ROW()))</f>
        <v>54215</v>
      </c>
      <c r="N182">
        <v>54215</v>
      </c>
      <c r="O182" t="s">
        <v>45</v>
      </c>
      <c r="P182" t="s">
        <v>500</v>
      </c>
      <c r="Q182" t="s">
        <v>16</v>
      </c>
      <c r="R182" t="s">
        <v>251</v>
      </c>
      <c r="S182" t="s">
        <v>367</v>
      </c>
      <c r="U182" s="6">
        <v>42117.404652777775</v>
      </c>
      <c r="V182" t="s">
        <v>18</v>
      </c>
      <c r="W182" t="s">
        <v>17</v>
      </c>
      <c r="X182" s="6">
        <v>41975.612685185188</v>
      </c>
      <c r="Y182" t="s">
        <v>245</v>
      </c>
      <c r="AB182" t="s">
        <v>200</v>
      </c>
      <c r="AC182" t="s">
        <v>247</v>
      </c>
      <c r="AD182" t="s">
        <v>227</v>
      </c>
      <c r="AE182" t="s">
        <v>230</v>
      </c>
      <c r="AG182" t="s">
        <v>121</v>
      </c>
      <c r="AH182" t="s">
        <v>327</v>
      </c>
      <c r="AI182" t="s">
        <v>121</v>
      </c>
      <c r="AJ182" t="s">
        <v>716</v>
      </c>
      <c r="AK182" t="s">
        <v>121</v>
      </c>
    </row>
    <row r="183" spans="9:37" x14ac:dyDescent="0.3">
      <c r="I183">
        <f ca="1">IF(OR(INDIRECT(A73&amp;ROW())=B93,INDIRECT(A73&amp;ROW())=B94),1,IF(AND(INDIRECT(A73&amp;ROW())=B95,INDIRECT(A96&amp;ROW())=C93),1,IF(AND(INDIRECT(A73&amp;ROW())=B95,INDIRECT(A96&amp;ROW())=C94),1,0)))</f>
        <v>0</v>
      </c>
      <c r="J183">
        <f ca="1">IF(AND(INDIRECT(A73&amp;ROW())=B95,INDIRECT(A96&amp;ROW())=C95),1,IF(AND(INDIRECT(A73&amp;ROW())=B95,INDIRECT(A96&amp;ROW())=C96),1,0))</f>
        <v>0</v>
      </c>
      <c r="K183">
        <f ca="1">DAYS360(INDIRECT(C68&amp;ROW()),TODAY())</f>
        <v>736</v>
      </c>
      <c r="L183">
        <f ca="1">DAYS360(INDIRECT(C69&amp;ROW()),TODAY())</f>
        <v>870</v>
      </c>
      <c r="M183">
        <f ca="1">HYPERLINK(CONCATENATE("https://bugzilla.houston.hp.com:1181/bugzilla/show_bug.cgi?id=",INDIRECT(C70&amp;ROW())),INDIRECT(C70&amp;ROW()))</f>
        <v>54218</v>
      </c>
      <c r="N183">
        <v>54218</v>
      </c>
      <c r="O183" t="s">
        <v>919</v>
      </c>
      <c r="P183" t="s">
        <v>499</v>
      </c>
      <c r="Q183" t="s">
        <v>16</v>
      </c>
      <c r="R183" t="s">
        <v>17</v>
      </c>
      <c r="S183" t="s">
        <v>477</v>
      </c>
      <c r="U183" s="6">
        <v>42110.702280092592</v>
      </c>
      <c r="V183" t="s">
        <v>18</v>
      </c>
      <c r="W183" t="s">
        <v>339</v>
      </c>
      <c r="X183" s="6">
        <v>41975.714236111111</v>
      </c>
      <c r="Y183" t="s">
        <v>245</v>
      </c>
      <c r="AB183" t="s">
        <v>201</v>
      </c>
      <c r="AC183" t="s">
        <v>247</v>
      </c>
      <c r="AD183" t="s">
        <v>227</v>
      </c>
      <c r="AE183" t="s">
        <v>230</v>
      </c>
      <c r="AG183" t="s">
        <v>121</v>
      </c>
      <c r="AH183" t="s">
        <v>327</v>
      </c>
      <c r="AI183" t="s">
        <v>362</v>
      </c>
      <c r="AJ183" t="s">
        <v>717</v>
      </c>
      <c r="AK183" t="s">
        <v>121</v>
      </c>
    </row>
    <row r="184" spans="9:37" x14ac:dyDescent="0.3">
      <c r="I184">
        <f ca="1">IF(OR(INDIRECT(A73&amp;ROW())=B93,INDIRECT(A73&amp;ROW())=B94),1,IF(AND(INDIRECT(A73&amp;ROW())=B95,INDIRECT(A96&amp;ROW())=C93),1,IF(AND(INDIRECT(A73&amp;ROW())=B95,INDIRECT(A96&amp;ROW())=C94),1,0)))</f>
        <v>0</v>
      </c>
      <c r="J184">
        <f ca="1">IF(AND(INDIRECT(A73&amp;ROW())=B95,INDIRECT(A96&amp;ROW())=C95),1,IF(AND(INDIRECT(A73&amp;ROW())=B95,INDIRECT(A96&amp;ROW())=C96),1,0))</f>
        <v>1</v>
      </c>
      <c r="K184">
        <f ca="1">DAYS360(INDIRECT(C68&amp;ROW()),TODAY())</f>
        <v>730</v>
      </c>
      <c r="L184">
        <f ca="1">DAYS360(INDIRECT(C69&amp;ROW()),TODAY())</f>
        <v>870</v>
      </c>
      <c r="M184">
        <f ca="1">HYPERLINK(CONCATENATE("https://bugzilla.houston.hp.com:1181/bugzilla/show_bug.cgi?id=",INDIRECT(C70&amp;ROW())),INDIRECT(C70&amp;ROW()))</f>
        <v>54221</v>
      </c>
      <c r="N184">
        <v>54221</v>
      </c>
      <c r="O184" t="s">
        <v>56</v>
      </c>
      <c r="P184" t="s">
        <v>481</v>
      </c>
      <c r="Q184" t="s">
        <v>25</v>
      </c>
      <c r="R184" t="s">
        <v>251</v>
      </c>
      <c r="S184" t="s">
        <v>43</v>
      </c>
      <c r="U184" s="6">
        <v>42116.732118055559</v>
      </c>
      <c r="V184" t="s">
        <v>18</v>
      </c>
      <c r="W184" t="s">
        <v>17</v>
      </c>
      <c r="X184" s="6">
        <v>41975.804108796299</v>
      </c>
      <c r="Y184" t="s">
        <v>793</v>
      </c>
      <c r="AB184" t="s">
        <v>201</v>
      </c>
      <c r="AC184" t="s">
        <v>247</v>
      </c>
      <c r="AD184" t="s">
        <v>220</v>
      </c>
      <c r="AE184" t="s">
        <v>219</v>
      </c>
      <c r="AG184" t="s">
        <v>121</v>
      </c>
      <c r="AH184" t="s">
        <v>327</v>
      </c>
      <c r="AI184" t="s">
        <v>121</v>
      </c>
      <c r="AJ184" t="s">
        <v>716</v>
      </c>
      <c r="AK184" t="s">
        <v>121</v>
      </c>
    </row>
    <row r="185" spans="9:37" x14ac:dyDescent="0.3">
      <c r="I185">
        <f ca="1">IF(OR(INDIRECT(A73&amp;ROW())=B93,INDIRECT(A73&amp;ROW())=B94),1,IF(AND(INDIRECT(A73&amp;ROW())=B95,INDIRECT(A96&amp;ROW())=C93),1,IF(AND(INDIRECT(A73&amp;ROW())=B95,INDIRECT(A96&amp;ROW())=C94),1,0)))</f>
        <v>1</v>
      </c>
      <c r="J185">
        <f ca="1">IF(AND(INDIRECT(A73&amp;ROW())=B95,INDIRECT(A96&amp;ROW())=C95),1,IF(AND(INDIRECT(A73&amp;ROW())=B95,INDIRECT(A96&amp;ROW())=C96),1,0))</f>
        <v>0</v>
      </c>
      <c r="K185">
        <f ca="1">DAYS360(INDIRECT(C68&amp;ROW()),TODAY())</f>
        <v>691</v>
      </c>
      <c r="L185">
        <f ca="1">DAYS360(INDIRECT(C69&amp;ROW()),TODAY())</f>
        <v>869</v>
      </c>
      <c r="M185">
        <f ca="1">HYPERLINK(CONCATENATE("https://bugzilla.houston.hp.com:1181/bugzilla/show_bug.cgi?id=",INDIRECT(C70&amp;ROW())),INDIRECT(C70&amp;ROW()))</f>
        <v>54268</v>
      </c>
      <c r="N185">
        <v>54268</v>
      </c>
      <c r="O185" t="s">
        <v>164</v>
      </c>
      <c r="P185" t="s">
        <v>503</v>
      </c>
      <c r="Q185" t="s">
        <v>25</v>
      </c>
      <c r="R185" t="s">
        <v>251</v>
      </c>
      <c r="S185" t="s">
        <v>24</v>
      </c>
      <c r="U185" s="6">
        <v>42156.598819444444</v>
      </c>
      <c r="V185" t="s">
        <v>40</v>
      </c>
      <c r="W185" t="s">
        <v>17</v>
      </c>
      <c r="X185" s="6">
        <v>41976.612835648149</v>
      </c>
      <c r="Y185" t="s">
        <v>255</v>
      </c>
      <c r="AB185" t="s">
        <v>200</v>
      </c>
      <c r="AC185" t="s">
        <v>247</v>
      </c>
      <c r="AD185" t="s">
        <v>220</v>
      </c>
      <c r="AE185" t="s">
        <v>219</v>
      </c>
      <c r="AG185" t="s">
        <v>121</v>
      </c>
      <c r="AH185" t="s">
        <v>327</v>
      </c>
      <c r="AI185" t="s">
        <v>121</v>
      </c>
      <c r="AJ185" t="s">
        <v>715</v>
      </c>
      <c r="AK185" t="s">
        <v>121</v>
      </c>
    </row>
    <row r="186" spans="9:37" x14ac:dyDescent="0.3">
      <c r="I186">
        <f ca="1">IF(OR(INDIRECT(A73&amp;ROW())=B93,INDIRECT(A73&amp;ROW())=B94),1,IF(AND(INDIRECT(A73&amp;ROW())=B95,INDIRECT(A96&amp;ROW())=C93),1,IF(AND(INDIRECT(A73&amp;ROW())=B95,INDIRECT(A96&amp;ROW())=C94),1,0)))</f>
        <v>0</v>
      </c>
      <c r="J186">
        <f ca="1">IF(AND(INDIRECT(A73&amp;ROW())=B95,INDIRECT(A96&amp;ROW())=C95),1,IF(AND(INDIRECT(A73&amp;ROW())=B95,INDIRECT(A96&amp;ROW())=C96),1,0))</f>
        <v>1</v>
      </c>
      <c r="K186">
        <f ca="1">DAYS360(INDIRECT(C68&amp;ROW()),TODAY())</f>
        <v>721</v>
      </c>
      <c r="L186">
        <f ca="1">DAYS360(INDIRECT(C69&amp;ROW()),TODAY())</f>
        <v>869</v>
      </c>
      <c r="M186">
        <f ca="1">HYPERLINK(CONCATENATE("https://bugzilla.houston.hp.com:1181/bugzilla/show_bug.cgi?id=",INDIRECT(C70&amp;ROW())),INDIRECT(C70&amp;ROW()))</f>
        <v>54272</v>
      </c>
      <c r="N186">
        <v>54272</v>
      </c>
      <c r="O186" t="s">
        <v>56</v>
      </c>
      <c r="P186" t="s">
        <v>498</v>
      </c>
      <c r="Q186" t="s">
        <v>25</v>
      </c>
      <c r="R186" t="s">
        <v>248</v>
      </c>
      <c r="S186" t="s">
        <v>36</v>
      </c>
      <c r="U186" s="6">
        <v>42125.448750000003</v>
      </c>
      <c r="V186" t="s">
        <v>18</v>
      </c>
      <c r="W186" t="s">
        <v>360</v>
      </c>
      <c r="X186" s="6">
        <v>41976.671122685184</v>
      </c>
      <c r="Y186" t="s">
        <v>122</v>
      </c>
      <c r="AB186" t="s">
        <v>201</v>
      </c>
      <c r="AC186" t="s">
        <v>247</v>
      </c>
      <c r="AD186" t="s">
        <v>220</v>
      </c>
      <c r="AE186" t="s">
        <v>219</v>
      </c>
      <c r="AG186" t="s">
        <v>121</v>
      </c>
      <c r="AH186" t="s">
        <v>327</v>
      </c>
      <c r="AI186" t="s">
        <v>121</v>
      </c>
      <c r="AJ186" t="s">
        <v>716</v>
      </c>
      <c r="AK186" t="s">
        <v>121</v>
      </c>
    </row>
    <row r="187" spans="9:37" x14ac:dyDescent="0.3">
      <c r="I187">
        <f ca="1">IF(OR(INDIRECT(A73&amp;ROW())=B93,INDIRECT(A73&amp;ROW())=B94),1,IF(AND(INDIRECT(A73&amp;ROW())=B95,INDIRECT(A96&amp;ROW())=C93),1,IF(AND(INDIRECT(A73&amp;ROW())=B95,INDIRECT(A96&amp;ROW())=C94),1,0)))</f>
        <v>0</v>
      </c>
      <c r="J187">
        <f ca="1">IF(AND(INDIRECT(A73&amp;ROW())=B95,INDIRECT(A96&amp;ROW())=C95),1,IF(AND(INDIRECT(A73&amp;ROW())=B95,INDIRECT(A96&amp;ROW())=C96),1,0))</f>
        <v>0</v>
      </c>
      <c r="K187">
        <f ca="1">DAYS360(INDIRECT(C68&amp;ROW()),TODAY())</f>
        <v>721</v>
      </c>
      <c r="L187">
        <f ca="1">DAYS360(INDIRECT(C69&amp;ROW()),TODAY())</f>
        <v>869</v>
      </c>
      <c r="M187">
        <f ca="1">HYPERLINK(CONCATENATE("https://bugzilla.houston.hp.com:1181/bugzilla/show_bug.cgi?id=",INDIRECT(C70&amp;ROW())),INDIRECT(C70&amp;ROW()))</f>
        <v>54278</v>
      </c>
      <c r="N187">
        <v>54278</v>
      </c>
      <c r="O187" t="s">
        <v>45</v>
      </c>
      <c r="P187" t="s">
        <v>497</v>
      </c>
      <c r="Q187" t="s">
        <v>16</v>
      </c>
      <c r="R187" t="s">
        <v>248</v>
      </c>
      <c r="S187" t="s">
        <v>36</v>
      </c>
      <c r="U187" s="6">
        <v>42125.661678240744</v>
      </c>
      <c r="V187" t="s">
        <v>18</v>
      </c>
      <c r="W187" t="s">
        <v>339</v>
      </c>
      <c r="X187" s="6">
        <v>41976.674849537034</v>
      </c>
      <c r="Y187" t="s">
        <v>255</v>
      </c>
      <c r="AB187" t="s">
        <v>201</v>
      </c>
      <c r="AC187" t="s">
        <v>247</v>
      </c>
      <c r="AD187" t="s">
        <v>227</v>
      </c>
      <c r="AE187" t="s">
        <v>237</v>
      </c>
      <c r="AG187" t="s">
        <v>121</v>
      </c>
      <c r="AH187" t="s">
        <v>327</v>
      </c>
      <c r="AI187" t="s">
        <v>121</v>
      </c>
      <c r="AJ187" t="s">
        <v>717</v>
      </c>
      <c r="AK187" t="s">
        <v>121</v>
      </c>
    </row>
    <row r="188" spans="9:37" x14ac:dyDescent="0.3">
      <c r="I188">
        <f ca="1">IF(OR(INDIRECT(A73&amp;ROW())=B93,INDIRECT(A73&amp;ROW())=B94),1,IF(AND(INDIRECT(A73&amp;ROW())=B95,INDIRECT(A96&amp;ROW())=C93),1,IF(AND(INDIRECT(A73&amp;ROW())=B95,INDIRECT(A96&amp;ROW())=C94),1,0)))</f>
        <v>0</v>
      </c>
      <c r="J188">
        <f ca="1">IF(AND(INDIRECT(A73&amp;ROW())=B95,INDIRECT(A96&amp;ROW())=C95),1,IF(AND(INDIRECT(A73&amp;ROW())=B95,INDIRECT(A96&amp;ROW())=C96),1,0))</f>
        <v>0</v>
      </c>
      <c r="K188">
        <f ca="1">DAYS360(INDIRECT(C68&amp;ROW()),TODAY())</f>
        <v>731</v>
      </c>
      <c r="L188">
        <f ca="1">DAYS360(INDIRECT(C69&amp;ROW()),TODAY())</f>
        <v>869</v>
      </c>
      <c r="M188">
        <f ca="1">HYPERLINK(CONCATENATE("https://bugzilla.houston.hp.com:1181/bugzilla/show_bug.cgi?id=",INDIRECT(C70&amp;ROW())),INDIRECT(C70&amp;ROW()))</f>
        <v>54280</v>
      </c>
      <c r="N188">
        <v>54280</v>
      </c>
      <c r="O188" t="s">
        <v>919</v>
      </c>
      <c r="P188" t="s">
        <v>496</v>
      </c>
      <c r="Q188" t="s">
        <v>16</v>
      </c>
      <c r="R188" t="s">
        <v>17</v>
      </c>
      <c r="S188" t="s">
        <v>36</v>
      </c>
      <c r="U188" s="6">
        <v>42115.892118055555</v>
      </c>
      <c r="V188" t="s">
        <v>18</v>
      </c>
      <c r="W188" t="s">
        <v>372</v>
      </c>
      <c r="X188" s="6">
        <v>41976.675324074073</v>
      </c>
      <c r="Y188" t="s">
        <v>245</v>
      </c>
      <c r="AB188" t="s">
        <v>200</v>
      </c>
      <c r="AC188" t="s">
        <v>247</v>
      </c>
      <c r="AD188" t="s">
        <v>227</v>
      </c>
      <c r="AE188" t="s">
        <v>230</v>
      </c>
      <c r="AG188" t="s">
        <v>121</v>
      </c>
      <c r="AH188" t="s">
        <v>327</v>
      </c>
      <c r="AI188" t="s">
        <v>363</v>
      </c>
      <c r="AJ188" t="s">
        <v>716</v>
      </c>
      <c r="AK188" t="s">
        <v>121</v>
      </c>
    </row>
    <row r="189" spans="9:37" x14ac:dyDescent="0.3">
      <c r="I189">
        <f ca="1">IF(OR(INDIRECT(A73&amp;ROW())=B93,INDIRECT(A73&amp;ROW())=B94),1,IF(AND(INDIRECT(A73&amp;ROW())=B95,INDIRECT(A96&amp;ROW())=C93),1,IF(AND(INDIRECT(A73&amp;ROW())=B95,INDIRECT(A96&amp;ROW())=C94),1,0)))</f>
        <v>0</v>
      </c>
      <c r="J189">
        <f ca="1">IF(AND(INDIRECT(A73&amp;ROW())=B95,INDIRECT(A96&amp;ROW())=C95),1,IF(AND(INDIRECT(A73&amp;ROW())=B95,INDIRECT(A96&amp;ROW())=C96),1,0))</f>
        <v>0</v>
      </c>
      <c r="K189">
        <f ca="1">DAYS360(INDIRECT(C68&amp;ROW()),TODAY())</f>
        <v>731</v>
      </c>
      <c r="L189">
        <f ca="1">DAYS360(INDIRECT(C69&amp;ROW()),TODAY())</f>
        <v>869</v>
      </c>
      <c r="M189">
        <f ca="1">HYPERLINK(CONCATENATE("https://bugzilla.houston.hp.com:1181/bugzilla/show_bug.cgi?id=",INDIRECT(C70&amp;ROW())),INDIRECT(C70&amp;ROW()))</f>
        <v>54281</v>
      </c>
      <c r="N189">
        <v>54281</v>
      </c>
      <c r="O189" t="s">
        <v>36</v>
      </c>
      <c r="P189" t="s">
        <v>495</v>
      </c>
      <c r="Q189" t="s">
        <v>16</v>
      </c>
      <c r="R189" t="s">
        <v>248</v>
      </c>
      <c r="S189" t="s">
        <v>36</v>
      </c>
      <c r="U189" s="6">
        <v>42115.893796296295</v>
      </c>
      <c r="V189" t="s">
        <v>18</v>
      </c>
      <c r="W189" t="s">
        <v>372</v>
      </c>
      <c r="X189" s="6">
        <v>41976.675428240742</v>
      </c>
      <c r="Y189" t="s">
        <v>245</v>
      </c>
      <c r="AB189" t="s">
        <v>200</v>
      </c>
      <c r="AC189" t="s">
        <v>247</v>
      </c>
      <c r="AD189" t="s">
        <v>227</v>
      </c>
      <c r="AE189" t="s">
        <v>230</v>
      </c>
      <c r="AG189" t="s">
        <v>121</v>
      </c>
      <c r="AH189" t="s">
        <v>327</v>
      </c>
      <c r="AI189" t="s">
        <v>121</v>
      </c>
      <c r="AJ189" t="s">
        <v>716</v>
      </c>
      <c r="AK189" t="s">
        <v>121</v>
      </c>
    </row>
    <row r="190" spans="9:37" x14ac:dyDescent="0.3">
      <c r="I190">
        <f ca="1">IF(OR(INDIRECT(A73&amp;ROW())=B93,INDIRECT(A73&amp;ROW())=B94),1,IF(AND(INDIRECT(A73&amp;ROW())=B95,INDIRECT(A96&amp;ROW())=C93),1,IF(AND(INDIRECT(A73&amp;ROW())=B95,INDIRECT(A96&amp;ROW())=C94),1,0)))</f>
        <v>0</v>
      </c>
      <c r="J190">
        <f ca="1">IF(AND(INDIRECT(A73&amp;ROW())=B95,INDIRECT(A96&amp;ROW())=C95),1,IF(AND(INDIRECT(A73&amp;ROW())=B95,INDIRECT(A96&amp;ROW())=C96),1,0))</f>
        <v>0</v>
      </c>
      <c r="K190">
        <f ca="1">DAYS360(INDIRECT(C68&amp;ROW()),TODAY())</f>
        <v>724</v>
      </c>
      <c r="L190">
        <f ca="1">DAYS360(INDIRECT(C69&amp;ROW()),TODAY())</f>
        <v>869</v>
      </c>
      <c r="M190">
        <f ca="1">HYPERLINK(CONCATENATE("https://bugzilla.houston.hp.com:1181/bugzilla/show_bug.cgi?id=",INDIRECT(C70&amp;ROW())),INDIRECT(C70&amp;ROW()))</f>
        <v>54283</v>
      </c>
      <c r="N190">
        <v>54283</v>
      </c>
      <c r="O190" t="s">
        <v>241</v>
      </c>
      <c r="P190" t="s">
        <v>494</v>
      </c>
      <c r="Q190" t="s">
        <v>16</v>
      </c>
      <c r="R190" t="s">
        <v>251</v>
      </c>
      <c r="S190" t="s">
        <v>36</v>
      </c>
      <c r="U190" s="6">
        <v>42122.319062499999</v>
      </c>
      <c r="V190" t="s">
        <v>18</v>
      </c>
      <c r="W190" t="s">
        <v>17</v>
      </c>
      <c r="X190" s="6">
        <v>41976.684965277775</v>
      </c>
      <c r="Y190" t="s">
        <v>122</v>
      </c>
      <c r="AB190" t="s">
        <v>201</v>
      </c>
      <c r="AC190" t="s">
        <v>247</v>
      </c>
      <c r="AD190" t="s">
        <v>227</v>
      </c>
      <c r="AE190" t="s">
        <v>237</v>
      </c>
      <c r="AG190" t="s">
        <v>121</v>
      </c>
      <c r="AH190" t="s">
        <v>327</v>
      </c>
      <c r="AI190" t="s">
        <v>121</v>
      </c>
      <c r="AJ190" t="s">
        <v>717</v>
      </c>
      <c r="AK190" t="s">
        <v>121</v>
      </c>
    </row>
    <row r="191" spans="9:37" x14ac:dyDescent="0.3">
      <c r="I191">
        <f ca="1">IF(OR(INDIRECT(A73&amp;ROW())=B93,INDIRECT(A73&amp;ROW())=B94),1,IF(AND(INDIRECT(A73&amp;ROW())=B95,INDIRECT(A96&amp;ROW())=C93),1,IF(AND(INDIRECT(A73&amp;ROW())=B95,INDIRECT(A96&amp;ROW())=C94),1,0)))</f>
        <v>0</v>
      </c>
      <c r="J191">
        <f ca="1">IF(AND(INDIRECT(A73&amp;ROW())=B95,INDIRECT(A96&amp;ROW())=C95),1,IF(AND(INDIRECT(A73&amp;ROW())=B95,INDIRECT(A96&amp;ROW())=C96),1,0))</f>
        <v>0</v>
      </c>
      <c r="K191">
        <f ca="1">DAYS360(INDIRECT(C68&amp;ROW()),TODAY())</f>
        <v>721</v>
      </c>
      <c r="L191">
        <f ca="1">DAYS360(INDIRECT(C69&amp;ROW()),TODAY())</f>
        <v>869</v>
      </c>
      <c r="M191">
        <f ca="1">HYPERLINK(CONCATENATE("https://bugzilla.houston.hp.com:1181/bugzilla/show_bug.cgi?id=",INDIRECT(C70&amp;ROW())),INDIRECT(C70&amp;ROW()))</f>
        <v>54284</v>
      </c>
      <c r="N191">
        <v>54284</v>
      </c>
      <c r="O191" t="s">
        <v>36</v>
      </c>
      <c r="P191" t="s">
        <v>493</v>
      </c>
      <c r="Q191" t="s">
        <v>16</v>
      </c>
      <c r="R191" t="s">
        <v>248</v>
      </c>
      <c r="S191" t="s">
        <v>36</v>
      </c>
      <c r="U191" s="6">
        <v>42125.44866898148</v>
      </c>
      <c r="V191" t="s">
        <v>18</v>
      </c>
      <c r="W191" t="s">
        <v>339</v>
      </c>
      <c r="X191" s="6">
        <v>41976.687175925923</v>
      </c>
      <c r="Y191" t="s">
        <v>122</v>
      </c>
      <c r="AB191" t="s">
        <v>201</v>
      </c>
      <c r="AC191" t="s">
        <v>247</v>
      </c>
      <c r="AD191" t="s">
        <v>227</v>
      </c>
      <c r="AE191" t="s">
        <v>237</v>
      </c>
      <c r="AG191" t="s">
        <v>121</v>
      </c>
      <c r="AH191" t="s">
        <v>327</v>
      </c>
      <c r="AI191" t="s">
        <v>121</v>
      </c>
      <c r="AJ191" t="s">
        <v>716</v>
      </c>
      <c r="AK191" t="s">
        <v>121</v>
      </c>
    </row>
    <row r="192" spans="9:37" x14ac:dyDescent="0.3">
      <c r="I192">
        <f ca="1">IF(OR(INDIRECT(A73&amp;ROW())=B93,INDIRECT(A73&amp;ROW())=B94),1,IF(AND(INDIRECT(A73&amp;ROW())=B95,INDIRECT(A96&amp;ROW())=C93),1,IF(AND(INDIRECT(A73&amp;ROW())=B95,INDIRECT(A96&amp;ROW())=C94),1,0)))</f>
        <v>0</v>
      </c>
      <c r="J192">
        <f ca="1">IF(AND(INDIRECT(A73&amp;ROW())=B95,INDIRECT(A96&amp;ROW())=C95),1,IF(AND(INDIRECT(A73&amp;ROW())=B95,INDIRECT(A96&amp;ROW())=C96),1,0))</f>
        <v>0</v>
      </c>
      <c r="K192">
        <f ca="1">DAYS360(INDIRECT(C68&amp;ROW()),TODAY())</f>
        <v>721</v>
      </c>
      <c r="L192">
        <f ca="1">DAYS360(INDIRECT(C69&amp;ROW()),TODAY())</f>
        <v>869</v>
      </c>
      <c r="M192">
        <f ca="1">HYPERLINK(CONCATENATE("https://bugzilla.houston.hp.com:1181/bugzilla/show_bug.cgi?id=",INDIRECT(C70&amp;ROW())),INDIRECT(C70&amp;ROW()))</f>
        <v>54292</v>
      </c>
      <c r="N192">
        <v>54292</v>
      </c>
      <c r="O192" t="s">
        <v>65</v>
      </c>
      <c r="P192" t="s">
        <v>502</v>
      </c>
      <c r="Q192" t="s">
        <v>16</v>
      </c>
      <c r="R192" t="s">
        <v>251</v>
      </c>
      <c r="S192" t="s">
        <v>43</v>
      </c>
      <c r="U192" s="6">
        <v>42125.44871527778</v>
      </c>
      <c r="V192" t="s">
        <v>18</v>
      </c>
      <c r="W192" t="s">
        <v>17</v>
      </c>
      <c r="X192" s="6">
        <v>41976.750104166669</v>
      </c>
      <c r="Y192" t="s">
        <v>122</v>
      </c>
      <c r="AB192" t="s">
        <v>201</v>
      </c>
      <c r="AC192" t="s">
        <v>247</v>
      </c>
      <c r="AD192" t="s">
        <v>220</v>
      </c>
      <c r="AE192" t="s">
        <v>219</v>
      </c>
      <c r="AG192" t="s">
        <v>121</v>
      </c>
      <c r="AH192" t="s">
        <v>327</v>
      </c>
      <c r="AI192" t="s">
        <v>121</v>
      </c>
      <c r="AJ192" t="s">
        <v>717</v>
      </c>
      <c r="AK192" t="s">
        <v>121</v>
      </c>
    </row>
    <row r="193" spans="9:37" x14ac:dyDescent="0.3">
      <c r="I193">
        <f ca="1">IF(OR(INDIRECT(A73&amp;ROW())=B93,INDIRECT(A73&amp;ROW())=B94),1,IF(AND(INDIRECT(A73&amp;ROW())=B95,INDIRECT(A96&amp;ROW())=C93),1,IF(AND(INDIRECT(A73&amp;ROW())=B95,INDIRECT(A96&amp;ROW())=C94),1,0)))</f>
        <v>0</v>
      </c>
      <c r="J193">
        <f ca="1">IF(AND(INDIRECT(A73&amp;ROW())=B95,INDIRECT(A96&amp;ROW())=C95),1,IF(AND(INDIRECT(A73&amp;ROW())=B95,INDIRECT(A96&amp;ROW())=C96),1,0))</f>
        <v>1</v>
      </c>
      <c r="K193">
        <f ca="1">DAYS360(INDIRECT(C68&amp;ROW()),TODAY())</f>
        <v>721</v>
      </c>
      <c r="L193">
        <f ca="1">DAYS360(INDIRECT(C69&amp;ROW()),TODAY())</f>
        <v>867</v>
      </c>
      <c r="M193">
        <f ca="1">HYPERLINK(CONCATENATE("https://bugzilla.houston.hp.com:1181/bugzilla/show_bug.cgi?id=",INDIRECT(C70&amp;ROW())),INDIRECT(C70&amp;ROW()))</f>
        <v>54393</v>
      </c>
      <c r="N193">
        <v>54393</v>
      </c>
      <c r="O193" t="s">
        <v>22</v>
      </c>
      <c r="P193" t="s">
        <v>505</v>
      </c>
      <c r="Q193" t="s">
        <v>25</v>
      </c>
      <c r="R193" t="s">
        <v>251</v>
      </c>
      <c r="S193" t="s">
        <v>36</v>
      </c>
      <c r="U193" s="6">
        <v>42125.663171296299</v>
      </c>
      <c r="V193" t="s">
        <v>18</v>
      </c>
      <c r="W193" t="s">
        <v>17</v>
      </c>
      <c r="X193" s="6">
        <v>41978.416562500002</v>
      </c>
      <c r="Y193" t="s">
        <v>793</v>
      </c>
      <c r="AB193" t="s">
        <v>201</v>
      </c>
      <c r="AC193" t="s">
        <v>247</v>
      </c>
      <c r="AD193" t="s">
        <v>222</v>
      </c>
      <c r="AE193" t="s">
        <v>225</v>
      </c>
      <c r="AG193" t="s">
        <v>121</v>
      </c>
      <c r="AH193" t="s">
        <v>327</v>
      </c>
      <c r="AI193" t="s">
        <v>121</v>
      </c>
      <c r="AJ193" t="s">
        <v>716</v>
      </c>
      <c r="AK193" t="s">
        <v>121</v>
      </c>
    </row>
    <row r="194" spans="9:37" x14ac:dyDescent="0.3">
      <c r="I194">
        <f ca="1">IF(OR(INDIRECT(A73&amp;ROW())=B93,INDIRECT(A73&amp;ROW())=B94),1,IF(AND(INDIRECT(A73&amp;ROW())=B95,INDIRECT(A96&amp;ROW())=C93),1,IF(AND(INDIRECT(A73&amp;ROW())=B95,INDIRECT(A96&amp;ROW())=C94),1,0)))</f>
        <v>0</v>
      </c>
      <c r="J194">
        <f ca="1">IF(AND(INDIRECT(A73&amp;ROW())=B95,INDIRECT(A96&amp;ROW())=C95),1,IF(AND(INDIRECT(A73&amp;ROW())=B95,INDIRECT(A96&amp;ROW())=C96),1,0))</f>
        <v>1</v>
      </c>
      <c r="K194">
        <f ca="1">DAYS360(INDIRECT(C68&amp;ROW()),TODAY())</f>
        <v>721</v>
      </c>
      <c r="L194">
        <f ca="1">DAYS360(INDIRECT(C69&amp;ROW()),TODAY())</f>
        <v>867</v>
      </c>
      <c r="M194">
        <f ca="1">HYPERLINK(CONCATENATE("https://bugzilla.houston.hp.com:1181/bugzilla/show_bug.cgi?id=",INDIRECT(C70&amp;ROW())),INDIRECT(C70&amp;ROW()))</f>
        <v>54394</v>
      </c>
      <c r="N194">
        <v>54394</v>
      </c>
      <c r="O194" t="s">
        <v>22</v>
      </c>
      <c r="P194" t="s">
        <v>504</v>
      </c>
      <c r="Q194" t="s">
        <v>25</v>
      </c>
      <c r="R194" t="s">
        <v>248</v>
      </c>
      <c r="S194" t="s">
        <v>36</v>
      </c>
      <c r="U194" s="6">
        <v>42125.663148148145</v>
      </c>
      <c r="V194" t="s">
        <v>18</v>
      </c>
      <c r="W194" t="s">
        <v>341</v>
      </c>
      <c r="X194" s="6">
        <v>41978.42869212963</v>
      </c>
      <c r="Y194" t="s">
        <v>793</v>
      </c>
      <c r="AB194" t="s">
        <v>201</v>
      </c>
      <c r="AC194" t="s">
        <v>247</v>
      </c>
      <c r="AD194" t="s">
        <v>222</v>
      </c>
      <c r="AE194" t="s">
        <v>225</v>
      </c>
      <c r="AG194" t="s">
        <v>121</v>
      </c>
      <c r="AH194" t="s">
        <v>327</v>
      </c>
      <c r="AI194" t="s">
        <v>121</v>
      </c>
      <c r="AJ194" t="s">
        <v>716</v>
      </c>
      <c r="AK194" t="s">
        <v>121</v>
      </c>
    </row>
    <row r="195" spans="9:37" x14ac:dyDescent="0.3">
      <c r="I195">
        <f ca="1">IF(OR(INDIRECT(A73&amp;ROW())=B93,INDIRECT(A73&amp;ROW())=B94),1,IF(AND(INDIRECT(A73&amp;ROW())=B95,INDIRECT(A96&amp;ROW())=C93),1,IF(AND(INDIRECT(A73&amp;ROW())=B95,INDIRECT(A96&amp;ROW())=C94),1,0)))</f>
        <v>1</v>
      </c>
      <c r="J195">
        <f ca="1">IF(AND(INDIRECT(A73&amp;ROW())=B95,INDIRECT(A96&amp;ROW())=C95),1,IF(AND(INDIRECT(A73&amp;ROW())=B95,INDIRECT(A96&amp;ROW())=C96),1,0))</f>
        <v>0</v>
      </c>
      <c r="K195">
        <f ca="1">DAYS360(INDIRECT(C68&amp;ROW()),TODAY())</f>
        <v>729</v>
      </c>
      <c r="L195">
        <f ca="1">DAYS360(INDIRECT(C69&amp;ROW()),TODAY())</f>
        <v>860</v>
      </c>
      <c r="M195">
        <f ca="1">HYPERLINK(CONCATENATE("https://bugzilla.houston.hp.com:1181/bugzilla/show_bug.cgi?id=",INDIRECT(C70&amp;ROW())),INDIRECT(C70&amp;ROW()))</f>
        <v>54717</v>
      </c>
      <c r="N195">
        <v>54717</v>
      </c>
      <c r="O195" t="s">
        <v>36</v>
      </c>
      <c r="P195" t="s">
        <v>511</v>
      </c>
      <c r="Q195" t="s">
        <v>25</v>
      </c>
      <c r="R195" t="s">
        <v>248</v>
      </c>
      <c r="S195" t="s">
        <v>44</v>
      </c>
      <c r="U195" s="6">
        <v>42117.266597222224</v>
      </c>
      <c r="V195" t="s">
        <v>18</v>
      </c>
      <c r="W195" t="s">
        <v>508</v>
      </c>
      <c r="X195" s="6">
        <v>41985.331608796296</v>
      </c>
      <c r="Y195" t="s">
        <v>255</v>
      </c>
      <c r="AB195" t="s">
        <v>200</v>
      </c>
      <c r="AC195" t="s">
        <v>247</v>
      </c>
      <c r="AD195" t="s">
        <v>222</v>
      </c>
      <c r="AE195" t="s">
        <v>233</v>
      </c>
      <c r="AG195" t="s">
        <v>121</v>
      </c>
      <c r="AH195" t="s">
        <v>327</v>
      </c>
      <c r="AI195" t="s">
        <v>121</v>
      </c>
      <c r="AJ195" t="s">
        <v>715</v>
      </c>
      <c r="AK195" t="s">
        <v>121</v>
      </c>
    </row>
    <row r="196" spans="9:37" x14ac:dyDescent="0.3">
      <c r="I196">
        <f ca="1">IF(OR(INDIRECT(A73&amp;ROW())=B93,INDIRECT(A73&amp;ROW())=B94),1,IF(AND(INDIRECT(A73&amp;ROW())=B95,INDIRECT(A96&amp;ROW())=C93),1,IF(AND(INDIRECT(A73&amp;ROW())=B95,INDIRECT(A96&amp;ROW())=C94),1,0)))</f>
        <v>0</v>
      </c>
      <c r="J196">
        <f ca="1">IF(AND(INDIRECT(A73&amp;ROW())=B95,INDIRECT(A96&amp;ROW())=C95),1,IF(AND(INDIRECT(A73&amp;ROW())=B95,INDIRECT(A96&amp;ROW())=C96),1,0))</f>
        <v>0</v>
      </c>
      <c r="K196">
        <f ca="1">DAYS360(INDIRECT(C68&amp;ROW()),TODAY())</f>
        <v>734</v>
      </c>
      <c r="L196">
        <f ca="1">DAYS360(INDIRECT(C69&amp;ROW()),TODAY())</f>
        <v>860</v>
      </c>
      <c r="M196">
        <f ca="1">HYPERLINK(CONCATENATE("https://bugzilla.houston.hp.com:1181/bugzilla/show_bug.cgi?id=",INDIRECT(C70&amp;ROW())),INDIRECT(C70&amp;ROW()))</f>
        <v>54734</v>
      </c>
      <c r="N196">
        <v>54734</v>
      </c>
      <c r="O196" t="s">
        <v>66</v>
      </c>
      <c r="P196" t="s">
        <v>510</v>
      </c>
      <c r="Q196" t="s">
        <v>16</v>
      </c>
      <c r="R196" t="s">
        <v>251</v>
      </c>
      <c r="S196" t="s">
        <v>36</v>
      </c>
      <c r="T196" t="s">
        <v>794</v>
      </c>
      <c r="U196" s="6">
        <v>42112.773888888885</v>
      </c>
      <c r="V196" t="s">
        <v>18</v>
      </c>
      <c r="W196" t="s">
        <v>17</v>
      </c>
      <c r="X196" s="6">
        <v>41985.403136574074</v>
      </c>
      <c r="Y196" t="s">
        <v>122</v>
      </c>
      <c r="AB196" t="s">
        <v>201</v>
      </c>
      <c r="AC196" t="s">
        <v>247</v>
      </c>
      <c r="AD196" t="s">
        <v>220</v>
      </c>
      <c r="AE196" t="s">
        <v>223</v>
      </c>
      <c r="AG196" t="s">
        <v>121</v>
      </c>
      <c r="AH196" t="s">
        <v>327</v>
      </c>
      <c r="AI196" t="s">
        <v>121</v>
      </c>
      <c r="AJ196" t="s">
        <v>717</v>
      </c>
      <c r="AK196" t="s">
        <v>121</v>
      </c>
    </row>
    <row r="197" spans="9:37" x14ac:dyDescent="0.3">
      <c r="I197">
        <f ca="1">IF(OR(INDIRECT(A73&amp;ROW())=B93,INDIRECT(A73&amp;ROW())=B94),1,IF(AND(INDIRECT(A73&amp;ROW())=B95,INDIRECT(A96&amp;ROW())=C93),1,IF(AND(INDIRECT(A73&amp;ROW())=B95,INDIRECT(A96&amp;ROW())=C94),1,0)))</f>
        <v>0</v>
      </c>
      <c r="J197">
        <f ca="1">IF(AND(INDIRECT(A73&amp;ROW())=B95,INDIRECT(A96&amp;ROW())=C95),1,IF(AND(INDIRECT(A73&amp;ROW())=B95,INDIRECT(A96&amp;ROW())=C96),1,0))</f>
        <v>0</v>
      </c>
      <c r="K197">
        <f ca="1">DAYS360(INDIRECT(C68&amp;ROW()),TODAY())</f>
        <v>734</v>
      </c>
      <c r="L197">
        <f ca="1">DAYS360(INDIRECT(C69&amp;ROW()),TODAY())</f>
        <v>860</v>
      </c>
      <c r="M197">
        <f ca="1">HYPERLINK(CONCATENATE("https://bugzilla.houston.hp.com:1181/bugzilla/show_bug.cgi?id=",INDIRECT(C70&amp;ROW())),INDIRECT(C70&amp;ROW()))</f>
        <v>54736</v>
      </c>
      <c r="N197">
        <v>54736</v>
      </c>
      <c r="O197" t="s">
        <v>66</v>
      </c>
      <c r="P197" t="s">
        <v>509</v>
      </c>
      <c r="Q197" t="s">
        <v>16</v>
      </c>
      <c r="R197" t="s">
        <v>248</v>
      </c>
      <c r="S197" t="s">
        <v>36</v>
      </c>
      <c r="T197" t="s">
        <v>794</v>
      </c>
      <c r="U197" s="6">
        <v>42112.773912037039</v>
      </c>
      <c r="V197" t="s">
        <v>18</v>
      </c>
      <c r="W197" t="s">
        <v>17</v>
      </c>
      <c r="X197" s="6">
        <v>41985.403819444444</v>
      </c>
      <c r="Y197" t="s">
        <v>122</v>
      </c>
      <c r="AB197" t="s">
        <v>201</v>
      </c>
      <c r="AC197" t="s">
        <v>247</v>
      </c>
      <c r="AD197" t="s">
        <v>220</v>
      </c>
      <c r="AE197" t="s">
        <v>223</v>
      </c>
      <c r="AG197" t="s">
        <v>121</v>
      </c>
      <c r="AH197" t="s">
        <v>327</v>
      </c>
      <c r="AI197" t="s">
        <v>121</v>
      </c>
      <c r="AJ197" t="s">
        <v>716</v>
      </c>
      <c r="AK197" t="s">
        <v>121</v>
      </c>
    </row>
    <row r="198" spans="9:37" x14ac:dyDescent="0.3">
      <c r="I198">
        <f ca="1">IF(OR(INDIRECT(A73&amp;ROW())=B93,INDIRECT(A73&amp;ROW())=B94),1,IF(AND(INDIRECT(A73&amp;ROW())=B95,INDIRECT(A96&amp;ROW())=C93),1,IF(AND(INDIRECT(A73&amp;ROW())=B95,INDIRECT(A96&amp;ROW())=C94),1,0)))</f>
        <v>1</v>
      </c>
      <c r="J198">
        <f ca="1">IF(AND(INDIRECT(A73&amp;ROW())=B95,INDIRECT(A96&amp;ROW())=C95),1,IF(AND(INDIRECT(A73&amp;ROW())=B95,INDIRECT(A96&amp;ROW())=C96),1,0))</f>
        <v>0</v>
      </c>
      <c r="K198">
        <f ca="1">DAYS360(INDIRECT(C68&amp;ROW()),TODAY())</f>
        <v>721</v>
      </c>
      <c r="L198">
        <f ca="1">DAYS360(INDIRECT(C69&amp;ROW()),TODAY())</f>
        <v>857</v>
      </c>
      <c r="M198">
        <f ca="1">HYPERLINK(CONCATENATE("https://bugzilla.houston.hp.com:1181/bugzilla/show_bug.cgi?id=",INDIRECT(C70&amp;ROW())),INDIRECT(C70&amp;ROW()))</f>
        <v>54823</v>
      </c>
      <c r="N198">
        <v>54823</v>
      </c>
      <c r="O198" t="s">
        <v>45</v>
      </c>
      <c r="P198" t="s">
        <v>524</v>
      </c>
      <c r="Q198" t="s">
        <v>25</v>
      </c>
      <c r="R198" t="s">
        <v>251</v>
      </c>
      <c r="S198" t="s">
        <v>345</v>
      </c>
      <c r="U198" s="6">
        <v>42125.67114583333</v>
      </c>
      <c r="V198" t="s">
        <v>18</v>
      </c>
      <c r="W198" t="s">
        <v>17</v>
      </c>
      <c r="X198" s="6">
        <v>41988.671932870369</v>
      </c>
      <c r="Y198" t="s">
        <v>244</v>
      </c>
      <c r="AB198" t="s">
        <v>200</v>
      </c>
      <c r="AC198" t="s">
        <v>247</v>
      </c>
      <c r="AD198" t="s">
        <v>227</v>
      </c>
      <c r="AE198" t="s">
        <v>226</v>
      </c>
      <c r="AG198" t="s">
        <v>121</v>
      </c>
      <c r="AH198" t="s">
        <v>327</v>
      </c>
      <c r="AI198" t="s">
        <v>121</v>
      </c>
      <c r="AJ198" t="s">
        <v>715</v>
      </c>
      <c r="AK198" t="s">
        <v>121</v>
      </c>
    </row>
    <row r="199" spans="9:37" x14ac:dyDescent="0.3">
      <c r="I199">
        <f ca="1">IF(OR(INDIRECT(A73&amp;ROW())=B93,INDIRECT(A73&amp;ROW())=B94),1,IF(AND(INDIRECT(A73&amp;ROW())=B95,INDIRECT(A96&amp;ROW())=C93),1,IF(AND(INDIRECT(A73&amp;ROW())=B95,INDIRECT(A96&amp;ROW())=C94),1,0)))</f>
        <v>1</v>
      </c>
      <c r="J199">
        <f ca="1">IF(AND(INDIRECT(A73&amp;ROW())=B95,INDIRECT(A96&amp;ROW())=C95),1,IF(AND(INDIRECT(A73&amp;ROW())=B95,INDIRECT(A96&amp;ROW())=C96),1,0))</f>
        <v>0</v>
      </c>
      <c r="K199">
        <f ca="1">DAYS360(INDIRECT(C68&amp;ROW()),TODAY())</f>
        <v>769</v>
      </c>
      <c r="L199">
        <f ca="1">DAYS360(INDIRECT(C69&amp;ROW()),TODAY())</f>
        <v>856</v>
      </c>
      <c r="M199">
        <f ca="1">HYPERLINK(CONCATENATE("https://bugzilla.houston.hp.com:1181/bugzilla/show_bug.cgi?id=",INDIRECT(C70&amp;ROW())),INDIRECT(C70&amp;ROW()))</f>
        <v>54867</v>
      </c>
      <c r="N199">
        <v>54867</v>
      </c>
      <c r="O199" t="s">
        <v>740</v>
      </c>
      <c r="P199" t="s">
        <v>513</v>
      </c>
      <c r="Q199" t="s">
        <v>25</v>
      </c>
      <c r="R199" t="s">
        <v>289</v>
      </c>
      <c r="S199" t="s">
        <v>36</v>
      </c>
      <c r="U199" s="6">
        <v>42076.53800925926</v>
      </c>
      <c r="V199" t="s">
        <v>18</v>
      </c>
      <c r="W199" t="s">
        <v>17</v>
      </c>
      <c r="X199" s="6">
        <v>41989.384004629632</v>
      </c>
      <c r="Y199" t="s">
        <v>244</v>
      </c>
      <c r="AB199" t="s">
        <v>200</v>
      </c>
      <c r="AC199" t="s">
        <v>247</v>
      </c>
      <c r="AD199" t="s">
        <v>227</v>
      </c>
      <c r="AE199" t="s">
        <v>230</v>
      </c>
      <c r="AG199" t="s">
        <v>121</v>
      </c>
      <c r="AH199" t="s">
        <v>327</v>
      </c>
      <c r="AI199" t="s">
        <v>362</v>
      </c>
      <c r="AJ199" t="s">
        <v>715</v>
      </c>
      <c r="AK199" t="s">
        <v>121</v>
      </c>
    </row>
    <row r="200" spans="9:37" x14ac:dyDescent="0.3">
      <c r="I200">
        <f ca="1">IF(OR(INDIRECT(A73&amp;ROW())=B93,INDIRECT(A73&amp;ROW())=B94),1,IF(AND(INDIRECT(A73&amp;ROW())=B95,INDIRECT(A96&amp;ROW())=C93),1,IF(AND(INDIRECT(A73&amp;ROW())=B95,INDIRECT(A96&amp;ROW())=C94),1,0)))</f>
        <v>1</v>
      </c>
      <c r="J200">
        <f ca="1">IF(AND(INDIRECT(A73&amp;ROW())=B95,INDIRECT(A96&amp;ROW())=C95),1,IF(AND(INDIRECT(A73&amp;ROW())=B95,INDIRECT(A96&amp;ROW())=C96),1,0))</f>
        <v>0</v>
      </c>
      <c r="K200">
        <f ca="1">DAYS360(INDIRECT(C68&amp;ROW()),TODAY())</f>
        <v>721</v>
      </c>
      <c r="L200">
        <f ca="1">DAYS360(INDIRECT(C69&amp;ROW()),TODAY())</f>
        <v>856</v>
      </c>
      <c r="M200">
        <f ca="1">HYPERLINK(CONCATENATE("https://bugzilla.houston.hp.com:1181/bugzilla/show_bug.cgi?id=",INDIRECT(C70&amp;ROW())),INDIRECT(C70&amp;ROW()))</f>
        <v>54868</v>
      </c>
      <c r="N200">
        <v>54868</v>
      </c>
      <c r="O200" t="s">
        <v>45</v>
      </c>
      <c r="P200" t="s">
        <v>522</v>
      </c>
      <c r="Q200" t="s">
        <v>25</v>
      </c>
      <c r="R200" t="s">
        <v>248</v>
      </c>
      <c r="S200" t="s">
        <v>36</v>
      </c>
      <c r="U200" s="6">
        <v>42125.671122685184</v>
      </c>
      <c r="V200" t="s">
        <v>18</v>
      </c>
      <c r="W200" t="s">
        <v>17</v>
      </c>
      <c r="X200" s="6">
        <v>41989.384074074071</v>
      </c>
      <c r="Y200" t="s">
        <v>244</v>
      </c>
      <c r="AB200" t="s">
        <v>200</v>
      </c>
      <c r="AC200" t="s">
        <v>247</v>
      </c>
      <c r="AD200" t="s">
        <v>227</v>
      </c>
      <c r="AE200" t="s">
        <v>226</v>
      </c>
      <c r="AG200" t="s">
        <v>121</v>
      </c>
      <c r="AH200" t="s">
        <v>327</v>
      </c>
      <c r="AI200" t="s">
        <v>121</v>
      </c>
      <c r="AJ200" t="s">
        <v>715</v>
      </c>
      <c r="AK200" t="s">
        <v>121</v>
      </c>
    </row>
    <row r="201" spans="9:37" x14ac:dyDescent="0.3">
      <c r="I201">
        <f ca="1">IF(OR(INDIRECT(A73&amp;ROW())=B93,INDIRECT(A73&amp;ROW())=B94),1,IF(AND(INDIRECT(A73&amp;ROW())=B95,INDIRECT(A96&amp;ROW())=C93),1,IF(AND(INDIRECT(A73&amp;ROW())=B95,INDIRECT(A96&amp;ROW())=C94),1,0)))</f>
        <v>0</v>
      </c>
      <c r="J201">
        <f ca="1">IF(AND(INDIRECT(A73&amp;ROW())=B95,INDIRECT(A96&amp;ROW())=C95),1,IF(AND(INDIRECT(A73&amp;ROW())=B95,INDIRECT(A96&amp;ROW())=C96),1,0))</f>
        <v>0</v>
      </c>
      <c r="K201">
        <f ca="1">DAYS360(INDIRECT(C68&amp;ROW()),TODAY())</f>
        <v>718</v>
      </c>
      <c r="L201">
        <f ca="1">DAYS360(INDIRECT(C69&amp;ROW()),TODAY())</f>
        <v>856</v>
      </c>
      <c r="M201">
        <f ca="1">HYPERLINK(CONCATENATE("https://bugzilla.houston.hp.com:1181/bugzilla/show_bug.cgi?id=",INDIRECT(C70&amp;ROW())),INDIRECT(C70&amp;ROW()))</f>
        <v>54893</v>
      </c>
      <c r="N201">
        <v>54893</v>
      </c>
      <c r="O201" t="s">
        <v>21</v>
      </c>
      <c r="P201" t="s">
        <v>521</v>
      </c>
      <c r="Q201" t="s">
        <v>16</v>
      </c>
      <c r="R201" t="s">
        <v>251</v>
      </c>
      <c r="S201" t="s">
        <v>31</v>
      </c>
      <c r="U201" s="6">
        <v>42128.473263888889</v>
      </c>
      <c r="V201" t="s">
        <v>18</v>
      </c>
      <c r="W201" t="s">
        <v>17</v>
      </c>
      <c r="X201" s="6">
        <v>41989.673946759256</v>
      </c>
      <c r="Y201" t="s">
        <v>255</v>
      </c>
      <c r="AB201" t="s">
        <v>200</v>
      </c>
      <c r="AC201" t="s">
        <v>247</v>
      </c>
      <c r="AD201" t="s">
        <v>222</v>
      </c>
      <c r="AE201" t="s">
        <v>240</v>
      </c>
      <c r="AG201" t="s">
        <v>121</v>
      </c>
      <c r="AH201" t="s">
        <v>327</v>
      </c>
      <c r="AI201" t="s">
        <v>121</v>
      </c>
      <c r="AJ201" t="s">
        <v>716</v>
      </c>
      <c r="AK201" t="s">
        <v>121</v>
      </c>
    </row>
    <row r="202" spans="9:37" x14ac:dyDescent="0.3">
      <c r="I202">
        <f ca="1">IF(OR(INDIRECT(A73&amp;ROW())=B93,INDIRECT(A73&amp;ROW())=B94),1,IF(AND(INDIRECT(A73&amp;ROW())=B95,INDIRECT(A96&amp;ROW())=C93),1,IF(AND(INDIRECT(A73&amp;ROW())=B95,INDIRECT(A96&amp;ROW())=C94),1,0)))</f>
        <v>1</v>
      </c>
      <c r="J202">
        <f ca="1">IF(AND(INDIRECT(A73&amp;ROW())=B95,INDIRECT(A96&amp;ROW())=C95),1,IF(AND(INDIRECT(A73&amp;ROW())=B95,INDIRECT(A96&amp;ROW())=C96),1,0))</f>
        <v>0</v>
      </c>
      <c r="K202">
        <f ca="1">DAYS360(INDIRECT(C68&amp;ROW()),TODAY())</f>
        <v>710</v>
      </c>
      <c r="L202">
        <f ca="1">DAYS360(INDIRECT(C69&amp;ROW()),TODAY())</f>
        <v>855</v>
      </c>
      <c r="M202">
        <f ca="1">HYPERLINK(CONCATENATE("https://bugzilla.houston.hp.com:1181/bugzilla/show_bug.cgi?id=",INDIRECT(C70&amp;ROW())),INDIRECT(C70&amp;ROW()))</f>
        <v>54914</v>
      </c>
      <c r="N202">
        <v>54914</v>
      </c>
      <c r="O202" t="s">
        <v>156</v>
      </c>
      <c r="P202" t="s">
        <v>520</v>
      </c>
      <c r="Q202" t="s">
        <v>25</v>
      </c>
      <c r="R202" t="s">
        <v>251</v>
      </c>
      <c r="S202" t="s">
        <v>296</v>
      </c>
      <c r="U202" s="6">
        <v>42136.018703703703</v>
      </c>
      <c r="V202" t="s">
        <v>35</v>
      </c>
      <c r="W202" t="s">
        <v>17</v>
      </c>
      <c r="X202" s="6">
        <v>41990.217222222222</v>
      </c>
      <c r="Y202" t="s">
        <v>342</v>
      </c>
      <c r="AB202" t="s">
        <v>200</v>
      </c>
      <c r="AC202" t="s">
        <v>247</v>
      </c>
      <c r="AD202" t="s">
        <v>220</v>
      </c>
      <c r="AE202" t="s">
        <v>219</v>
      </c>
      <c r="AG202" t="s">
        <v>121</v>
      </c>
      <c r="AH202" t="s">
        <v>327</v>
      </c>
      <c r="AI202" t="s">
        <v>121</v>
      </c>
      <c r="AJ202" t="s">
        <v>715</v>
      </c>
      <c r="AK202" t="s">
        <v>121</v>
      </c>
    </row>
    <row r="203" spans="9:37" x14ac:dyDescent="0.3">
      <c r="I203">
        <f ca="1">IF(OR(INDIRECT(A73&amp;ROW())=B93,INDIRECT(A73&amp;ROW())=B94),1,IF(AND(INDIRECT(A73&amp;ROW())=B95,INDIRECT(A96&amp;ROW())=C93),1,IF(AND(INDIRECT(A73&amp;ROW())=B95,INDIRECT(A96&amp;ROW())=C94),1,0)))</f>
        <v>0</v>
      </c>
      <c r="J203">
        <f ca="1">IF(AND(INDIRECT(A73&amp;ROW())=B95,INDIRECT(A96&amp;ROW())=C95),1,IF(AND(INDIRECT(A73&amp;ROW())=B95,INDIRECT(A96&amp;ROW())=C96),1,0))</f>
        <v>1</v>
      </c>
      <c r="K203">
        <f ca="1">DAYS360(INDIRECT(C68&amp;ROW()),TODAY())</f>
        <v>771</v>
      </c>
      <c r="L203">
        <f ca="1">DAYS360(INDIRECT(C69&amp;ROW()),TODAY())</f>
        <v>854</v>
      </c>
      <c r="M203">
        <f ca="1">HYPERLINK(CONCATENATE("https://bugzilla.houston.hp.com:1181/bugzilla/show_bug.cgi?id=",INDIRECT(C70&amp;ROW())),INDIRECT(C70&amp;ROW()))</f>
        <v>54986</v>
      </c>
      <c r="N203">
        <v>54986</v>
      </c>
      <c r="O203" t="s">
        <v>94</v>
      </c>
      <c r="P203" t="s">
        <v>519</v>
      </c>
      <c r="Q203" t="s">
        <v>25</v>
      </c>
      <c r="R203" t="s">
        <v>251</v>
      </c>
      <c r="S203" t="s">
        <v>94</v>
      </c>
      <c r="U203" s="6">
        <v>42074.558310185188</v>
      </c>
      <c r="V203" t="s">
        <v>35</v>
      </c>
      <c r="W203" t="s">
        <v>17</v>
      </c>
      <c r="X203" s="6">
        <v>41991.504074074073</v>
      </c>
      <c r="Y203" t="s">
        <v>118</v>
      </c>
      <c r="AB203" t="s">
        <v>201</v>
      </c>
      <c r="AC203" t="s">
        <v>247</v>
      </c>
      <c r="AD203" t="s">
        <v>227</v>
      </c>
      <c r="AE203" t="s">
        <v>226</v>
      </c>
      <c r="AG203" t="s">
        <v>121</v>
      </c>
      <c r="AH203" t="s">
        <v>327</v>
      </c>
      <c r="AI203" t="s">
        <v>121</v>
      </c>
      <c r="AJ203" t="s">
        <v>716</v>
      </c>
      <c r="AK203" t="s">
        <v>121</v>
      </c>
    </row>
    <row r="204" spans="9:37" x14ac:dyDescent="0.3">
      <c r="I204">
        <f ca="1">IF(OR(INDIRECT(A73&amp;ROW())=B93,INDIRECT(A73&amp;ROW())=B94),1,IF(AND(INDIRECT(A73&amp;ROW())=B95,INDIRECT(A96&amp;ROW())=C93),1,IF(AND(INDIRECT(A73&amp;ROW())=B95,INDIRECT(A96&amp;ROW())=C94),1,0)))</f>
        <v>0</v>
      </c>
      <c r="J204">
        <f ca="1">IF(AND(INDIRECT(A73&amp;ROW())=B95,INDIRECT(A96&amp;ROW())=C95),1,IF(AND(INDIRECT(A73&amp;ROW())=B95,INDIRECT(A96&amp;ROW())=C96),1,0))</f>
        <v>1</v>
      </c>
      <c r="K204">
        <f ca="1">DAYS360(INDIRECT(C68&amp;ROW()),TODAY())</f>
        <v>769</v>
      </c>
      <c r="L204">
        <f ca="1">DAYS360(INDIRECT(C69&amp;ROW()),TODAY())</f>
        <v>854</v>
      </c>
      <c r="M204">
        <f ca="1">HYPERLINK(CONCATENATE("https://bugzilla.houston.hp.com:1181/bugzilla/show_bug.cgi?id=",INDIRECT(C70&amp;ROW())),INDIRECT(C70&amp;ROW()))</f>
        <v>54988</v>
      </c>
      <c r="N204">
        <v>54988</v>
      </c>
      <c r="O204" t="s">
        <v>94</v>
      </c>
      <c r="P204" t="s">
        <v>518</v>
      </c>
      <c r="Q204" t="s">
        <v>25</v>
      </c>
      <c r="R204" t="s">
        <v>248</v>
      </c>
      <c r="S204" t="s">
        <v>44</v>
      </c>
      <c r="U204" s="6">
        <v>42076.528506944444</v>
      </c>
      <c r="V204" t="s">
        <v>18</v>
      </c>
      <c r="W204" t="s">
        <v>17</v>
      </c>
      <c r="X204" s="6">
        <v>41991.541261574072</v>
      </c>
      <c r="Y204" t="s">
        <v>118</v>
      </c>
      <c r="AB204" t="s">
        <v>201</v>
      </c>
      <c r="AC204" t="s">
        <v>247</v>
      </c>
      <c r="AD204" t="s">
        <v>227</v>
      </c>
      <c r="AE204" t="s">
        <v>226</v>
      </c>
      <c r="AG204" t="s">
        <v>121</v>
      </c>
      <c r="AH204" t="s">
        <v>327</v>
      </c>
      <c r="AI204" t="s">
        <v>121</v>
      </c>
      <c r="AJ204" t="s">
        <v>716</v>
      </c>
      <c r="AK204" t="s">
        <v>121</v>
      </c>
    </row>
    <row r="205" spans="9:37" x14ac:dyDescent="0.3">
      <c r="I205">
        <f ca="1">IF(OR(INDIRECT(A73&amp;ROW())=B93,INDIRECT(A73&amp;ROW())=B94),1,IF(AND(INDIRECT(A73&amp;ROW())=B95,INDIRECT(A96&amp;ROW())=C93),1,IF(AND(INDIRECT(A73&amp;ROW())=B95,INDIRECT(A96&amp;ROW())=C94),1,0)))</f>
        <v>0</v>
      </c>
      <c r="J205">
        <f ca="1">IF(AND(INDIRECT(A73&amp;ROW())=B95,INDIRECT(A96&amp;ROW())=C95),1,IF(AND(INDIRECT(A73&amp;ROW())=B95,INDIRECT(A96&amp;ROW())=C96),1,0))</f>
        <v>0</v>
      </c>
      <c r="K205">
        <f ca="1">DAYS360(INDIRECT(C68&amp;ROW()),TODAY())</f>
        <v>691</v>
      </c>
      <c r="L205">
        <f ca="1">DAYS360(INDIRECT(C69&amp;ROW()),TODAY())</f>
        <v>854</v>
      </c>
      <c r="M205">
        <f ca="1">HYPERLINK(CONCATENATE("https://bugzilla.houston.hp.com:1181/bugzilla/show_bug.cgi?id=",INDIRECT(C70&amp;ROW())),INDIRECT(C70&amp;ROW()))</f>
        <v>54992</v>
      </c>
      <c r="N205">
        <v>54992</v>
      </c>
      <c r="O205" t="s">
        <v>250</v>
      </c>
      <c r="P205" t="s">
        <v>517</v>
      </c>
      <c r="Q205" t="s">
        <v>16</v>
      </c>
      <c r="R205" t="s">
        <v>251</v>
      </c>
      <c r="S205" t="s">
        <v>24</v>
      </c>
      <c r="U205" s="6">
        <v>42156.491030092591</v>
      </c>
      <c r="V205" t="s">
        <v>18</v>
      </c>
      <c r="W205" t="s">
        <v>17</v>
      </c>
      <c r="X205" s="6">
        <v>41991.587407407409</v>
      </c>
      <c r="Y205" t="s">
        <v>255</v>
      </c>
      <c r="AB205" t="s">
        <v>200</v>
      </c>
      <c r="AC205" t="s">
        <v>247</v>
      </c>
      <c r="AD205" t="s">
        <v>222</v>
      </c>
      <c r="AE205" t="s">
        <v>221</v>
      </c>
      <c r="AG205" t="s">
        <v>121</v>
      </c>
      <c r="AH205" t="s">
        <v>327</v>
      </c>
      <c r="AI205" t="s">
        <v>121</v>
      </c>
      <c r="AJ205" t="s">
        <v>716</v>
      </c>
      <c r="AK205" t="s">
        <v>121</v>
      </c>
    </row>
    <row r="206" spans="9:37" x14ac:dyDescent="0.3">
      <c r="I206">
        <f ca="1">IF(OR(INDIRECT(A73&amp;ROW())=B93,INDIRECT(A73&amp;ROW())=B94),1,IF(AND(INDIRECT(A73&amp;ROW())=B95,INDIRECT(A96&amp;ROW())=C93),1,IF(AND(INDIRECT(A73&amp;ROW())=B95,INDIRECT(A96&amp;ROW())=C94),1,0)))</f>
        <v>1</v>
      </c>
      <c r="J206">
        <f ca="1">IF(AND(INDIRECT(A73&amp;ROW())=B95,INDIRECT(A96&amp;ROW())=C95),1,IF(AND(INDIRECT(A73&amp;ROW())=B95,INDIRECT(A96&amp;ROW())=C96),1,0))</f>
        <v>0</v>
      </c>
      <c r="K206">
        <f ca="1">DAYS360(INDIRECT(C68&amp;ROW()),TODAY())</f>
        <v>701</v>
      </c>
      <c r="L206">
        <f ca="1">DAYS360(INDIRECT(C69&amp;ROW()),TODAY())</f>
        <v>853</v>
      </c>
      <c r="M206">
        <f ca="1">HYPERLINK(CONCATENATE("https://bugzilla.houston.hp.com:1181/bugzilla/show_bug.cgi?id=",INDIRECT(C70&amp;ROW())),INDIRECT(C70&amp;ROW()))</f>
        <v>55017</v>
      </c>
      <c r="N206">
        <v>55017</v>
      </c>
      <c r="O206" t="s">
        <v>55</v>
      </c>
      <c r="P206" t="s">
        <v>539</v>
      </c>
      <c r="Q206" t="s">
        <v>25</v>
      </c>
      <c r="R206" t="s">
        <v>251</v>
      </c>
      <c r="S206" t="s">
        <v>516</v>
      </c>
      <c r="U206" s="6">
        <v>42145.412430555552</v>
      </c>
      <c r="V206" t="s">
        <v>40</v>
      </c>
      <c r="W206" t="s">
        <v>17</v>
      </c>
      <c r="X206" s="6">
        <v>41992.048368055555</v>
      </c>
      <c r="Y206" t="s">
        <v>342</v>
      </c>
      <c r="Z206" t="s">
        <v>810</v>
      </c>
      <c r="AB206" t="s">
        <v>200</v>
      </c>
      <c r="AC206" t="s">
        <v>247</v>
      </c>
      <c r="AD206" t="s">
        <v>220</v>
      </c>
      <c r="AE206" t="s">
        <v>219</v>
      </c>
      <c r="AG206" t="s">
        <v>121</v>
      </c>
      <c r="AH206" t="s">
        <v>327</v>
      </c>
      <c r="AI206" t="s">
        <v>121</v>
      </c>
      <c r="AJ206" t="s">
        <v>715</v>
      </c>
      <c r="AK206" t="s">
        <v>121</v>
      </c>
    </row>
    <row r="207" spans="9:37" x14ac:dyDescent="0.3">
      <c r="I207">
        <f ca="1">IF(OR(INDIRECT(A73&amp;ROW())=B93,INDIRECT(A73&amp;ROW())=B94),1,IF(AND(INDIRECT(A73&amp;ROW())=B95,INDIRECT(A96&amp;ROW())=C93),1,IF(AND(INDIRECT(A73&amp;ROW())=B95,INDIRECT(A96&amp;ROW())=C94),1,0)))</f>
        <v>1</v>
      </c>
      <c r="J207">
        <f ca="1">IF(AND(INDIRECT(A73&amp;ROW())=B95,INDIRECT(A96&amp;ROW())=C95),1,IF(AND(INDIRECT(A73&amp;ROW())=B95,INDIRECT(A96&amp;ROW())=C96),1,0))</f>
        <v>0</v>
      </c>
      <c r="K207">
        <f ca="1">DAYS360(INDIRECT(C68&amp;ROW()),TODAY())</f>
        <v>769</v>
      </c>
      <c r="L207">
        <f ca="1">DAYS360(INDIRECT(C69&amp;ROW()),TODAY())</f>
        <v>853</v>
      </c>
      <c r="M207">
        <f ca="1">HYPERLINK(CONCATENATE("https://bugzilla.houston.hp.com:1181/bugzilla/show_bug.cgi?id=",INDIRECT(C70&amp;ROW())),INDIRECT(C70&amp;ROW()))</f>
        <v>55057</v>
      </c>
      <c r="N207">
        <v>55057</v>
      </c>
      <c r="O207" t="s">
        <v>94</v>
      </c>
      <c r="P207" t="s">
        <v>515</v>
      </c>
      <c r="Q207" t="s">
        <v>25</v>
      </c>
      <c r="R207" t="s">
        <v>248</v>
      </c>
      <c r="S207" t="s">
        <v>36</v>
      </c>
      <c r="U207" s="6">
        <v>42076.539953703701</v>
      </c>
      <c r="V207" t="s">
        <v>18</v>
      </c>
      <c r="W207" t="s">
        <v>248</v>
      </c>
      <c r="X207" s="6">
        <v>41992.583391203705</v>
      </c>
      <c r="Y207" t="s">
        <v>119</v>
      </c>
      <c r="AB207" t="s">
        <v>200</v>
      </c>
      <c r="AC207" t="s">
        <v>247</v>
      </c>
      <c r="AD207" t="s">
        <v>227</v>
      </c>
      <c r="AE207" t="s">
        <v>226</v>
      </c>
      <c r="AG207" t="s">
        <v>121</v>
      </c>
      <c r="AH207" t="s">
        <v>327</v>
      </c>
      <c r="AI207" t="s">
        <v>121</v>
      </c>
      <c r="AJ207" t="s">
        <v>715</v>
      </c>
      <c r="AK207" t="s">
        <v>121</v>
      </c>
    </row>
    <row r="208" spans="9:37" x14ac:dyDescent="0.3">
      <c r="I208">
        <f ca="1">IF(OR(INDIRECT(A73&amp;ROW())=B93,INDIRECT(A73&amp;ROW())=B94),1,IF(AND(INDIRECT(A73&amp;ROW())=B95,INDIRECT(A96&amp;ROW())=C93),1,IF(AND(INDIRECT(A73&amp;ROW())=B95,INDIRECT(A96&amp;ROW())=C94),1,0)))</f>
        <v>0</v>
      </c>
      <c r="J208">
        <f ca="1">IF(AND(INDIRECT(A73&amp;ROW())=B95,INDIRECT(A96&amp;ROW())=C95),1,IF(AND(INDIRECT(A73&amp;ROW())=B95,INDIRECT(A96&amp;ROW())=C96),1,0))</f>
        <v>1</v>
      </c>
      <c r="K208">
        <f ca="1">DAYS360(INDIRECT(C68&amp;ROW()),TODAY())</f>
        <v>730</v>
      </c>
      <c r="L208">
        <f ca="1">DAYS360(INDIRECT(C69&amp;ROW()),TODAY())</f>
        <v>850</v>
      </c>
      <c r="M208">
        <f ca="1">HYPERLINK(CONCATENATE("https://bugzilla.houston.hp.com:1181/bugzilla/show_bug.cgi?id=",INDIRECT(C70&amp;ROW())),INDIRECT(C70&amp;ROW()))</f>
        <v>55094</v>
      </c>
      <c r="N208">
        <v>55094</v>
      </c>
      <c r="O208" t="s">
        <v>545</v>
      </c>
      <c r="P208" t="s">
        <v>530</v>
      </c>
      <c r="Q208" t="s">
        <v>25</v>
      </c>
      <c r="R208" t="s">
        <v>251</v>
      </c>
      <c r="S208" t="s">
        <v>316</v>
      </c>
      <c r="U208" s="6">
        <v>42116.73296296296</v>
      </c>
      <c r="V208" t="s">
        <v>40</v>
      </c>
      <c r="W208" t="s">
        <v>17</v>
      </c>
      <c r="X208" s="6">
        <v>41995.420844907407</v>
      </c>
      <c r="Y208" t="s">
        <v>255</v>
      </c>
      <c r="AB208" t="s">
        <v>201</v>
      </c>
      <c r="AC208" t="s">
        <v>247</v>
      </c>
      <c r="AD208" t="s">
        <v>222</v>
      </c>
      <c r="AE208" t="s">
        <v>221</v>
      </c>
      <c r="AG208" t="s">
        <v>121</v>
      </c>
      <c r="AH208" t="s">
        <v>327</v>
      </c>
      <c r="AI208" t="s">
        <v>121</v>
      </c>
      <c r="AJ208" t="s">
        <v>716</v>
      </c>
      <c r="AK208" t="s">
        <v>121</v>
      </c>
    </row>
    <row r="209" spans="1:37" x14ac:dyDescent="0.3">
      <c r="I209">
        <f ca="1">IF(OR(INDIRECT(A73&amp;ROW())=B93,INDIRECT(A73&amp;ROW())=B94),1,IF(AND(INDIRECT(A73&amp;ROW())=B95,INDIRECT(A96&amp;ROW())=C93),1,IF(AND(INDIRECT(A73&amp;ROW())=B95,INDIRECT(A96&amp;ROW())=C94),1,0)))</f>
        <v>0</v>
      </c>
      <c r="J209">
        <f ca="1">IF(AND(INDIRECT(A73&amp;ROW())=B95,INDIRECT(A96&amp;ROW())=C95),1,IF(AND(INDIRECT(A73&amp;ROW())=B95,INDIRECT(A96&amp;ROW())=C96),1,0))</f>
        <v>0</v>
      </c>
      <c r="K209">
        <f ca="1">DAYS360(INDIRECT(C68&amp;ROW()),TODAY())</f>
        <v>721</v>
      </c>
      <c r="L209">
        <f ca="1">DAYS360(INDIRECT(C69&amp;ROW()),TODAY())</f>
        <v>849</v>
      </c>
      <c r="M209">
        <f ca="1">HYPERLINK(CONCATENATE("https://bugzilla.houston.hp.com:1181/bugzilla/show_bug.cgi?id=",INDIRECT(C70&amp;ROW())),INDIRECT(C70&amp;ROW()))</f>
        <v>55128</v>
      </c>
      <c r="N209">
        <v>55128</v>
      </c>
      <c r="O209" t="s">
        <v>45</v>
      </c>
      <c r="P209" t="s">
        <v>529</v>
      </c>
      <c r="Q209" t="s">
        <v>16</v>
      </c>
      <c r="R209" t="s">
        <v>251</v>
      </c>
      <c r="S209" t="s">
        <v>45</v>
      </c>
      <c r="U209" s="6">
        <v>42125.44976851852</v>
      </c>
      <c r="V209" t="s">
        <v>18</v>
      </c>
      <c r="W209" t="s">
        <v>17</v>
      </c>
      <c r="X209" s="6">
        <v>41996.529907407406</v>
      </c>
      <c r="Y209" t="s">
        <v>122</v>
      </c>
      <c r="AB209" t="s">
        <v>200</v>
      </c>
      <c r="AC209" t="s">
        <v>247</v>
      </c>
      <c r="AD209" t="s">
        <v>227</v>
      </c>
      <c r="AE209" t="s">
        <v>226</v>
      </c>
      <c r="AG209" t="s">
        <v>121</v>
      </c>
      <c r="AH209" t="s">
        <v>327</v>
      </c>
      <c r="AI209" t="s">
        <v>121</v>
      </c>
      <c r="AJ209" t="s">
        <v>717</v>
      </c>
      <c r="AK209" t="s">
        <v>121</v>
      </c>
    </row>
    <row r="210" spans="1:37" x14ac:dyDescent="0.3">
      <c r="I210">
        <f ca="1">IF(OR(INDIRECT(A73&amp;ROW())=B93,INDIRECT(A73&amp;ROW())=B94),1,IF(AND(INDIRECT(A73&amp;ROW())=B95,INDIRECT(A96&amp;ROW())=C93),1,IF(AND(INDIRECT(A73&amp;ROW())=B95,INDIRECT(A96&amp;ROW())=C94),1,0)))</f>
        <v>0</v>
      </c>
      <c r="J210">
        <f ca="1">IF(AND(INDIRECT(A73&amp;ROW())=B95,INDIRECT(A96&amp;ROW())=C95),1,IF(AND(INDIRECT(A73&amp;ROW())=B95,INDIRECT(A96&amp;ROW())=C96),1,0))</f>
        <v>0</v>
      </c>
      <c r="K210">
        <f ca="1">DAYS360(INDIRECT(C68&amp;ROW()),TODAY())</f>
        <v>721</v>
      </c>
      <c r="L210">
        <f ca="1">DAYS360(INDIRECT(C69&amp;ROW()),TODAY())</f>
        <v>849</v>
      </c>
      <c r="M210">
        <f ca="1">HYPERLINK(CONCATENATE("https://bugzilla.houston.hp.com:1181/bugzilla/show_bug.cgi?id=",INDIRECT(C70&amp;ROW())),INDIRECT(C70&amp;ROW()))</f>
        <v>55129</v>
      </c>
      <c r="N210">
        <v>55129</v>
      </c>
      <c r="O210" t="s">
        <v>326</v>
      </c>
      <c r="P210" t="s">
        <v>534</v>
      </c>
      <c r="Q210" t="s">
        <v>16</v>
      </c>
      <c r="R210" t="s">
        <v>17</v>
      </c>
      <c r="S210" t="s">
        <v>45</v>
      </c>
      <c r="U210" s="6">
        <v>42125.449791666666</v>
      </c>
      <c r="V210" t="s">
        <v>18</v>
      </c>
      <c r="W210" t="s">
        <v>17</v>
      </c>
      <c r="X210" s="6">
        <v>41996.532210648147</v>
      </c>
      <c r="Y210" t="s">
        <v>122</v>
      </c>
      <c r="AB210" t="s">
        <v>200</v>
      </c>
      <c r="AC210" t="s">
        <v>247</v>
      </c>
      <c r="AD210" t="s">
        <v>227</v>
      </c>
      <c r="AE210" t="s">
        <v>230</v>
      </c>
      <c r="AG210" t="s">
        <v>121</v>
      </c>
      <c r="AH210" t="s">
        <v>327</v>
      </c>
      <c r="AI210" t="s">
        <v>362</v>
      </c>
      <c r="AJ210" t="s">
        <v>717</v>
      </c>
      <c r="AK210" t="s">
        <v>121</v>
      </c>
    </row>
    <row r="211" spans="1:37" x14ac:dyDescent="0.3">
      <c r="I211">
        <f ca="1">IF(OR(INDIRECT(A73&amp;ROW())=B93,INDIRECT(A73&amp;ROW())=B94),1,IF(AND(INDIRECT(A73&amp;ROW())=B95,INDIRECT(A96&amp;ROW())=C93),1,IF(AND(INDIRECT(A73&amp;ROW())=B95,INDIRECT(A96&amp;ROW())=C94),1,0)))</f>
        <v>0</v>
      </c>
      <c r="J211">
        <f ca="1">IF(AND(INDIRECT(A73&amp;ROW())=B95,INDIRECT(A96&amp;ROW())=C95),1,IF(AND(INDIRECT(A73&amp;ROW())=B95,INDIRECT(A96&amp;ROW())=C96),1,0))</f>
        <v>0</v>
      </c>
      <c r="K211">
        <f ca="1">DAYS360(INDIRECT(C68&amp;ROW()),TODAY())</f>
        <v>684</v>
      </c>
      <c r="L211">
        <f ca="1">DAYS360(INDIRECT(C69&amp;ROW()),TODAY())</f>
        <v>849</v>
      </c>
      <c r="M211">
        <f ca="1">HYPERLINK(CONCATENATE("https://bugzilla.houston.hp.com:1181/bugzilla/show_bug.cgi?id=",INDIRECT(C70&amp;ROW())),INDIRECT(C70&amp;ROW()))</f>
        <v>55130</v>
      </c>
      <c r="N211">
        <v>55130</v>
      </c>
      <c r="O211" t="s">
        <v>45</v>
      </c>
      <c r="P211" t="s">
        <v>533</v>
      </c>
      <c r="Q211" t="s">
        <v>16</v>
      </c>
      <c r="R211" t="s">
        <v>248</v>
      </c>
      <c r="S211" t="s">
        <v>45</v>
      </c>
      <c r="U211" s="6">
        <v>42163.610335648147</v>
      </c>
      <c r="V211" t="s">
        <v>18</v>
      </c>
      <c r="W211" t="s">
        <v>17</v>
      </c>
      <c r="X211" s="6">
        <v>41996.533703703702</v>
      </c>
      <c r="Y211" t="s">
        <v>122</v>
      </c>
      <c r="AB211" t="s">
        <v>200</v>
      </c>
      <c r="AC211" t="s">
        <v>247</v>
      </c>
      <c r="AD211" t="s">
        <v>227</v>
      </c>
      <c r="AE211" t="s">
        <v>226</v>
      </c>
      <c r="AG211" t="s">
        <v>121</v>
      </c>
      <c r="AH211" t="s">
        <v>327</v>
      </c>
      <c r="AI211" t="s">
        <v>121</v>
      </c>
      <c r="AJ211" t="s">
        <v>716</v>
      </c>
      <c r="AK211" t="s">
        <v>121</v>
      </c>
    </row>
    <row r="212" spans="1:37" x14ac:dyDescent="0.3">
      <c r="I212">
        <f ca="1">IF(OR(INDIRECT(A73&amp;ROW())=B93,INDIRECT(A73&amp;ROW())=B94),1,IF(AND(INDIRECT(A73&amp;ROW())=B95,INDIRECT(A96&amp;ROW())=C93),1,IF(AND(INDIRECT(A73&amp;ROW())=B95,INDIRECT(A96&amp;ROW())=C94),1,0)))</f>
        <v>0</v>
      </c>
      <c r="J212">
        <f ca="1">IF(AND(INDIRECT(A73&amp;ROW())=B95,INDIRECT(A96&amp;ROW())=C95),1,IF(AND(INDIRECT(A73&amp;ROW())=B95,INDIRECT(A96&amp;ROW())=C96),1,0))</f>
        <v>0</v>
      </c>
      <c r="K212">
        <f ca="1">DAYS360(INDIRECT(C68&amp;ROW()),TODAY())</f>
        <v>729</v>
      </c>
      <c r="L212">
        <f ca="1">DAYS360(INDIRECT(C69&amp;ROW()),TODAY())</f>
        <v>848</v>
      </c>
      <c r="M212">
        <f ca="1">HYPERLINK(CONCATENATE("https://bugzilla.houston.hp.com:1181/bugzilla/show_bug.cgi?id=",INDIRECT(C70&amp;ROW())),INDIRECT(C70&amp;ROW()))</f>
        <v>55135</v>
      </c>
      <c r="N212">
        <v>55135</v>
      </c>
      <c r="O212" t="s">
        <v>53</v>
      </c>
      <c r="P212" t="s">
        <v>532</v>
      </c>
      <c r="Q212" t="s">
        <v>16</v>
      </c>
      <c r="R212" t="s">
        <v>251</v>
      </c>
      <c r="S212" t="s">
        <v>528</v>
      </c>
      <c r="U212" s="6">
        <v>42117.404918981483</v>
      </c>
      <c r="V212" t="s">
        <v>35</v>
      </c>
      <c r="W212" t="s">
        <v>17</v>
      </c>
      <c r="X212" s="6">
        <v>41997.038680555554</v>
      </c>
      <c r="Y212" t="s">
        <v>123</v>
      </c>
      <c r="AB212" t="s">
        <v>200</v>
      </c>
      <c r="AC212" t="s">
        <v>247</v>
      </c>
      <c r="AD212" t="s">
        <v>220</v>
      </c>
      <c r="AE212" t="s">
        <v>219</v>
      </c>
      <c r="AG212" t="s">
        <v>121</v>
      </c>
      <c r="AH212" t="s">
        <v>327</v>
      </c>
      <c r="AI212" t="s">
        <v>121</v>
      </c>
      <c r="AJ212" t="s">
        <v>716</v>
      </c>
      <c r="AK212" t="s">
        <v>121</v>
      </c>
    </row>
    <row r="213" spans="1:37" x14ac:dyDescent="0.3">
      <c r="I213">
        <f ca="1">IF(OR(INDIRECT(A73&amp;ROW())=B93,INDIRECT(A73&amp;ROW())=B94),1,IF(AND(INDIRECT(A73&amp;ROW())=B95,INDIRECT(A96&amp;ROW())=C93),1,IF(AND(INDIRECT(A73&amp;ROW())=B95,INDIRECT(A96&amp;ROW())=C94),1,0)))</f>
        <v>0</v>
      </c>
      <c r="J213">
        <f ca="1">IF(AND(INDIRECT(A73&amp;ROW())=B95,INDIRECT(A96&amp;ROW())=C95),1,IF(AND(INDIRECT(A73&amp;ROW())=B95,INDIRECT(A96&amp;ROW())=C96),1,0))</f>
        <v>1</v>
      </c>
      <c r="K213">
        <f ca="1">DAYS360(INDIRECT(C68&amp;ROW()),TODAY())</f>
        <v>684</v>
      </c>
      <c r="L213">
        <f ca="1">DAYS360(INDIRECT(C69&amp;ROW()),TODAY())</f>
        <v>845</v>
      </c>
      <c r="M213">
        <f ca="1">HYPERLINK(CONCATENATE("https://bugzilla.houston.hp.com:1181/bugzilla/show_bug.cgi?id=",INDIRECT(C70&amp;ROW())),INDIRECT(C70&amp;ROW()))</f>
        <v>55139</v>
      </c>
      <c r="N213">
        <v>55139</v>
      </c>
      <c r="O213" t="s">
        <v>36</v>
      </c>
      <c r="P213" t="s">
        <v>527</v>
      </c>
      <c r="Q213" t="s">
        <v>25</v>
      </c>
      <c r="R213" t="s">
        <v>248</v>
      </c>
      <c r="S213" t="s">
        <v>526</v>
      </c>
      <c r="U213" s="6">
        <v>42163.610335648147</v>
      </c>
      <c r="V213" t="s">
        <v>18</v>
      </c>
      <c r="W213" t="s">
        <v>525</v>
      </c>
      <c r="X213" s="6">
        <v>42000.001817129632</v>
      </c>
      <c r="Y213" t="s">
        <v>255</v>
      </c>
      <c r="AB213" t="s">
        <v>201</v>
      </c>
      <c r="AC213" t="s">
        <v>247</v>
      </c>
      <c r="AD213" t="s">
        <v>222</v>
      </c>
      <c r="AE213" t="s">
        <v>221</v>
      </c>
      <c r="AG213" t="s">
        <v>121</v>
      </c>
      <c r="AH213" t="s">
        <v>327</v>
      </c>
      <c r="AI213" t="s">
        <v>121</v>
      </c>
      <c r="AJ213" t="s">
        <v>716</v>
      </c>
      <c r="AK213" t="s">
        <v>121</v>
      </c>
    </row>
    <row r="214" spans="1:37" x14ac:dyDescent="0.3">
      <c r="I214">
        <f ca="1">IF(OR(INDIRECT(A73&amp;ROW())=B93,INDIRECT(A73&amp;ROW())=B94),1,IF(AND(INDIRECT(A73&amp;ROW())=B95,INDIRECT(A96&amp;ROW())=C93),1,IF(AND(INDIRECT(A73&amp;ROW())=B95,INDIRECT(A96&amp;ROW())=C94),1,0)))</f>
        <v>0</v>
      </c>
      <c r="J214">
        <f ca="1">IF(AND(INDIRECT(A73&amp;ROW())=B95,INDIRECT(A96&amp;ROW())=C95),1,IF(AND(INDIRECT(A73&amp;ROW())=B95,INDIRECT(A96&amp;ROW())=C96),1,0))</f>
        <v>1</v>
      </c>
      <c r="K214">
        <f ca="1">DAYS360(INDIRECT(C68&amp;ROW()),TODAY())</f>
        <v>730</v>
      </c>
      <c r="L214">
        <f ca="1">DAYS360(INDIRECT(C69&amp;ROW()),TODAY())</f>
        <v>839</v>
      </c>
      <c r="M214">
        <f ca="1">HYPERLINK(CONCATENATE("https://bugzilla.houston.hp.com:1181/bugzilla/show_bug.cgi?id=",INDIRECT(C70&amp;ROW())),INDIRECT(C70&amp;ROW()))</f>
        <v>55159</v>
      </c>
      <c r="N214">
        <v>55159</v>
      </c>
      <c r="O214" t="s">
        <v>56</v>
      </c>
      <c r="P214" t="s">
        <v>739</v>
      </c>
      <c r="Q214" t="s">
        <v>25</v>
      </c>
      <c r="R214" t="s">
        <v>251</v>
      </c>
      <c r="S214" t="s">
        <v>587</v>
      </c>
      <c r="U214" s="6">
        <v>42116.733067129629</v>
      </c>
      <c r="V214" t="s">
        <v>18</v>
      </c>
      <c r="W214" t="s">
        <v>17</v>
      </c>
      <c r="X214" s="6">
        <v>42007.195254629631</v>
      </c>
      <c r="Y214" t="s">
        <v>255</v>
      </c>
      <c r="AB214" t="s">
        <v>201</v>
      </c>
      <c r="AC214" t="s">
        <v>247</v>
      </c>
      <c r="AD214" t="s">
        <v>220</v>
      </c>
      <c r="AE214" t="s">
        <v>219</v>
      </c>
      <c r="AG214" t="s">
        <v>121</v>
      </c>
      <c r="AH214" t="s">
        <v>327</v>
      </c>
      <c r="AI214" t="s">
        <v>121</v>
      </c>
      <c r="AJ214" t="s">
        <v>716</v>
      </c>
      <c r="AK214" t="s">
        <v>121</v>
      </c>
    </row>
    <row r="215" spans="1:37" x14ac:dyDescent="0.3">
      <c r="I215">
        <f ca="1">IF(OR(INDIRECT(A73&amp;ROW())=B93,INDIRECT(A73&amp;ROW())=B94),1,IF(AND(INDIRECT(A73&amp;ROW())=B95,INDIRECT(A96&amp;ROW())=C93),1,IF(AND(INDIRECT(A73&amp;ROW())=B95,INDIRECT(A96&amp;ROW())=C94),1,0)))</f>
        <v>0</v>
      </c>
      <c r="J215">
        <f ca="1">IF(AND(INDIRECT(A73&amp;ROW())=B95,INDIRECT(A96&amp;ROW())=C95),1,IF(AND(INDIRECT(A73&amp;ROW())=B95,INDIRECT(A96&amp;ROW())=C96),1,0))</f>
        <v>0</v>
      </c>
      <c r="K215">
        <f ca="1">DAYS360(INDIRECT(C68&amp;ROW()),TODAY())</f>
        <v>729</v>
      </c>
      <c r="L215">
        <f ca="1">DAYS360(INDIRECT(C69&amp;ROW()),TODAY())</f>
        <v>837</v>
      </c>
      <c r="M215">
        <f ca="1">HYPERLINK(CONCATENATE("https://bugzilla.houston.hp.com:1181/bugzilla/show_bug.cgi?id=",INDIRECT(C70&amp;ROW())),INDIRECT(C70&amp;ROW()))</f>
        <v>55198</v>
      </c>
      <c r="N215">
        <v>55198</v>
      </c>
      <c r="O215" t="s">
        <v>550</v>
      </c>
      <c r="P215" t="s">
        <v>538</v>
      </c>
      <c r="Q215" t="s">
        <v>16</v>
      </c>
      <c r="R215" t="s">
        <v>251</v>
      </c>
      <c r="S215" t="s">
        <v>345</v>
      </c>
      <c r="U215" s="6">
        <v>42117.405011574076</v>
      </c>
      <c r="V215" t="s">
        <v>35</v>
      </c>
      <c r="W215" t="s">
        <v>17</v>
      </c>
      <c r="X215" s="6">
        <v>42009.658854166664</v>
      </c>
      <c r="Y215" t="s">
        <v>246</v>
      </c>
      <c r="AB215" t="s">
        <v>200</v>
      </c>
      <c r="AC215" t="s">
        <v>247</v>
      </c>
      <c r="AD215" t="s">
        <v>222</v>
      </c>
      <c r="AE215" t="s">
        <v>221</v>
      </c>
      <c r="AG215" t="s">
        <v>121</v>
      </c>
      <c r="AH215" t="s">
        <v>327</v>
      </c>
      <c r="AI215" t="s">
        <v>121</v>
      </c>
      <c r="AJ215" t="s">
        <v>716</v>
      </c>
      <c r="AK215" t="s">
        <v>121</v>
      </c>
    </row>
    <row r="216" spans="1:37" x14ac:dyDescent="0.3">
      <c r="I216">
        <f ca="1">IF(OR(INDIRECT(A73&amp;ROW())=B93,INDIRECT(A73&amp;ROW())=B94),1,IF(AND(INDIRECT(A73&amp;ROW())=B95,INDIRECT(A96&amp;ROW())=C93),1,IF(AND(INDIRECT(A73&amp;ROW())=B95,INDIRECT(A96&amp;ROW())=C94),1,0)))</f>
        <v>0</v>
      </c>
      <c r="J216">
        <f ca="1">IF(AND(INDIRECT(A73&amp;ROW())=B95,INDIRECT(A96&amp;ROW())=C95),1,IF(AND(INDIRECT(A73&amp;ROW())=B95,INDIRECT(A96&amp;ROW())=C96),1,0))</f>
        <v>0</v>
      </c>
      <c r="K216">
        <f ca="1">DAYS360(INDIRECT(C68&amp;ROW()),TODAY())</f>
        <v>681</v>
      </c>
      <c r="L216">
        <f ca="1">DAYS360(INDIRECT(C69&amp;ROW()),TODAY())</f>
        <v>836</v>
      </c>
      <c r="M216">
        <f ca="1">HYPERLINK(CONCATENATE("https://bugzilla.houston.hp.com:1181/bugzilla/show_bug.cgi?id=",INDIRECT(C70&amp;ROW())),INDIRECT(C70&amp;ROW()))</f>
        <v>55222</v>
      </c>
      <c r="N216">
        <v>55222</v>
      </c>
      <c r="O216" t="s">
        <v>56</v>
      </c>
      <c r="P216" t="s">
        <v>586</v>
      </c>
      <c r="Q216" t="s">
        <v>16</v>
      </c>
      <c r="R216" t="s">
        <v>248</v>
      </c>
      <c r="S216" t="s">
        <v>44</v>
      </c>
      <c r="U216" s="6">
        <v>42166.355844907404</v>
      </c>
      <c r="V216" t="s">
        <v>18</v>
      </c>
      <c r="W216" t="s">
        <v>525</v>
      </c>
      <c r="X216" s="6">
        <v>42010.32135416667</v>
      </c>
      <c r="Y216" t="s">
        <v>246</v>
      </c>
      <c r="AB216" t="s">
        <v>200</v>
      </c>
      <c r="AC216" t="s">
        <v>247</v>
      </c>
      <c r="AD216" t="s">
        <v>220</v>
      </c>
      <c r="AE216" t="s">
        <v>219</v>
      </c>
      <c r="AG216" t="s">
        <v>121</v>
      </c>
      <c r="AH216" t="s">
        <v>327</v>
      </c>
      <c r="AI216" t="s">
        <v>121</v>
      </c>
      <c r="AJ216" t="s">
        <v>716</v>
      </c>
      <c r="AK216" t="s">
        <v>121</v>
      </c>
    </row>
    <row r="217" spans="1:37" x14ac:dyDescent="0.3">
      <c r="I217">
        <f ca="1">IF(OR(INDIRECT(A73&amp;ROW())=B93,INDIRECT(A73&amp;ROW())=B94),1,IF(AND(INDIRECT(A73&amp;ROW())=B95,INDIRECT(A96&amp;ROW())=C93),1,IF(AND(INDIRECT(A73&amp;ROW())=B95,INDIRECT(A96&amp;ROW())=C94),1,0)))</f>
        <v>0</v>
      </c>
      <c r="J217">
        <f ca="1">IF(AND(INDIRECT(A73&amp;ROW())=B95,INDIRECT(A96&amp;ROW())=C95),1,IF(AND(INDIRECT(A73&amp;ROW())=B95,INDIRECT(A96&amp;ROW())=C96),1,0))</f>
        <v>0</v>
      </c>
      <c r="K217">
        <f ca="1">DAYS360(INDIRECT(C68&amp;ROW()),TODAY())</f>
        <v>729</v>
      </c>
      <c r="L217">
        <f ca="1">DAYS360(INDIRECT(C69&amp;ROW()),TODAY())</f>
        <v>836</v>
      </c>
      <c r="M217">
        <f ca="1">HYPERLINK(CONCATENATE("https://bugzilla.houston.hp.com:1181/bugzilla/show_bug.cgi?id=",INDIRECT(C70&amp;ROW())),INDIRECT(C70&amp;ROW()))</f>
        <v>55269</v>
      </c>
      <c r="N217">
        <v>55269</v>
      </c>
      <c r="O217" t="s">
        <v>55</v>
      </c>
      <c r="P217" t="s">
        <v>537</v>
      </c>
      <c r="Q217" t="s">
        <v>16</v>
      </c>
      <c r="R217" t="s">
        <v>251</v>
      </c>
      <c r="S217" t="s">
        <v>49</v>
      </c>
      <c r="U217" s="6">
        <v>42117.405115740738</v>
      </c>
      <c r="V217" t="s">
        <v>18</v>
      </c>
      <c r="W217" t="s">
        <v>17</v>
      </c>
      <c r="X217" s="6">
        <v>42010.692233796297</v>
      </c>
      <c r="Y217" t="s">
        <v>245</v>
      </c>
      <c r="AB217" t="s">
        <v>200</v>
      </c>
      <c r="AC217" t="s">
        <v>247</v>
      </c>
      <c r="AD217" t="s">
        <v>222</v>
      </c>
      <c r="AE217" t="s">
        <v>225</v>
      </c>
      <c r="AG217" t="s">
        <v>121</v>
      </c>
      <c r="AH217" t="s">
        <v>327</v>
      </c>
      <c r="AI217" t="s">
        <v>121</v>
      </c>
      <c r="AJ217" t="s">
        <v>717</v>
      </c>
      <c r="AK217" t="s">
        <v>121</v>
      </c>
    </row>
    <row r="218" spans="1:37" x14ac:dyDescent="0.3">
      <c r="I218">
        <f ca="1">IF(OR(INDIRECT(A73&amp;ROW())=B93,INDIRECT(A73&amp;ROW())=B94),1,IF(AND(INDIRECT(A73&amp;ROW())=B95,INDIRECT(A96&amp;ROW())=C93),1,IF(AND(INDIRECT(A73&amp;ROW())=B95,INDIRECT(A96&amp;ROW())=C94),1,0)))</f>
        <v>0</v>
      </c>
      <c r="J218">
        <f ca="1">IF(AND(INDIRECT(A73&amp;ROW())=B95,INDIRECT(A96&amp;ROW())=C95),1,IF(AND(INDIRECT(A73&amp;ROW())=B95,INDIRECT(A96&amp;ROW())=C96),1,0))</f>
        <v>0</v>
      </c>
      <c r="K218">
        <f ca="1">DAYS360(INDIRECT(C68&amp;ROW()),TODAY())</f>
        <v>835</v>
      </c>
      <c r="L218">
        <f ca="1">DAYS360(INDIRECT(C69&amp;ROW()),TODAY())</f>
        <v>835</v>
      </c>
      <c r="M218">
        <f ca="1">HYPERLINK(CONCATENATE("https://bugzilla.houston.hp.com:1181/bugzilla/show_bug.cgi?id=",INDIRECT(C70&amp;ROW())),INDIRECT(C70&amp;ROW()))</f>
        <v>55302</v>
      </c>
      <c r="N218">
        <v>55302</v>
      </c>
      <c r="O218" t="s">
        <v>31</v>
      </c>
      <c r="P218" t="s">
        <v>536</v>
      </c>
      <c r="Q218" t="s">
        <v>16</v>
      </c>
      <c r="R218" t="s">
        <v>248</v>
      </c>
      <c r="S218" t="s">
        <v>36</v>
      </c>
      <c r="U218" s="6">
        <v>42011.331990740742</v>
      </c>
      <c r="V218" t="s">
        <v>18</v>
      </c>
      <c r="W218" t="s">
        <v>32</v>
      </c>
      <c r="X218" s="6">
        <v>42011.331990740742</v>
      </c>
      <c r="Y218" t="s">
        <v>119</v>
      </c>
      <c r="AB218" t="s">
        <v>200</v>
      </c>
      <c r="AC218" t="s">
        <v>121</v>
      </c>
      <c r="AD218" t="s">
        <v>220</v>
      </c>
      <c r="AE218" t="s">
        <v>219</v>
      </c>
      <c r="AG218" t="s">
        <v>121</v>
      </c>
      <c r="AH218" t="s">
        <v>327</v>
      </c>
      <c r="AI218" t="s">
        <v>121</v>
      </c>
      <c r="AJ218" t="s">
        <v>716</v>
      </c>
      <c r="AK218" t="s">
        <v>121</v>
      </c>
    </row>
    <row r="219" spans="1:37" x14ac:dyDescent="0.3">
      <c r="I219">
        <f ca="1">IF(OR(INDIRECT(A73&amp;ROW())=B93,INDIRECT(A73&amp;ROW())=B94),1,IF(AND(INDIRECT(A73&amp;ROW())=B95,INDIRECT(A96&amp;ROW())=C93),1,IF(AND(INDIRECT(A73&amp;ROW())=B95,INDIRECT(A96&amp;ROW())=C94),1,0)))</f>
        <v>0</v>
      </c>
      <c r="J219">
        <f ca="1">IF(AND(INDIRECT(A73&amp;ROW())=B95,INDIRECT(A96&amp;ROW())=C95),1,IF(AND(INDIRECT(A73&amp;ROW())=B95,INDIRECT(A96&amp;ROW())=C96),1,0))</f>
        <v>1</v>
      </c>
      <c r="K219">
        <f ca="1">DAYS360(INDIRECT(C68&amp;ROW()),TODAY())</f>
        <v>721</v>
      </c>
      <c r="L219">
        <f ca="1">DAYS360(INDIRECT(C69&amp;ROW()),TODAY())</f>
        <v>835</v>
      </c>
      <c r="M219">
        <f ca="1">HYPERLINK(CONCATENATE("https://bugzilla.houston.hp.com:1181/bugzilla/show_bug.cgi?id=",INDIRECT(C70&amp;ROW())),INDIRECT(C70&amp;ROW()))</f>
        <v>55314</v>
      </c>
      <c r="N219">
        <v>55314</v>
      </c>
      <c r="O219" t="s">
        <v>55</v>
      </c>
      <c r="P219" t="s">
        <v>542</v>
      </c>
      <c r="Q219" t="s">
        <v>25</v>
      </c>
      <c r="R219" t="s">
        <v>251</v>
      </c>
      <c r="S219" t="s">
        <v>43</v>
      </c>
      <c r="U219" s="6">
        <v>42125.44972222222</v>
      </c>
      <c r="V219" t="s">
        <v>18</v>
      </c>
      <c r="W219" t="s">
        <v>17</v>
      </c>
      <c r="X219" s="6">
        <v>42011.547847222224</v>
      </c>
      <c r="Y219" t="s">
        <v>122</v>
      </c>
      <c r="AB219" t="s">
        <v>201</v>
      </c>
      <c r="AC219" t="s">
        <v>247</v>
      </c>
      <c r="AD219" t="s">
        <v>220</v>
      </c>
      <c r="AE219" t="s">
        <v>219</v>
      </c>
      <c r="AG219" t="s">
        <v>121</v>
      </c>
      <c r="AH219" t="s">
        <v>327</v>
      </c>
      <c r="AI219" t="s">
        <v>121</v>
      </c>
      <c r="AJ219" t="s">
        <v>716</v>
      </c>
      <c r="AK219" t="s">
        <v>121</v>
      </c>
    </row>
    <row r="220" spans="1:37" x14ac:dyDescent="0.3">
      <c r="A220" s="11"/>
      <c r="I220">
        <f ca="1">IF(OR(INDIRECT(A73&amp;ROW())=B93,INDIRECT(A73&amp;ROW())=B94),1,IF(AND(INDIRECT(A73&amp;ROW())=B95,INDIRECT(A96&amp;ROW())=C93),1,IF(AND(INDIRECT(A73&amp;ROW())=B95,INDIRECT(A96&amp;ROW())=C94),1,0)))</f>
        <v>0</v>
      </c>
      <c r="J220">
        <f ca="1">IF(AND(INDIRECT(A73&amp;ROW())=B95,INDIRECT(A96&amp;ROW())=C95),1,IF(AND(INDIRECT(A73&amp;ROW())=B95,INDIRECT(A96&amp;ROW())=C96),1,0))</f>
        <v>1</v>
      </c>
      <c r="K220">
        <f ca="1">DAYS360(INDIRECT(C68&amp;ROW()),TODAY())</f>
        <v>721</v>
      </c>
      <c r="L220">
        <f ca="1">DAYS360(INDIRECT(C69&amp;ROW()),TODAY())</f>
        <v>835</v>
      </c>
      <c r="M220">
        <f ca="1">HYPERLINK(CONCATENATE("https://bugzilla.houston.hp.com:1181/bugzilla/show_bug.cgi?id=",INDIRECT(C70&amp;ROW())),INDIRECT(C70&amp;ROW()))</f>
        <v>55316</v>
      </c>
      <c r="N220">
        <v>55316</v>
      </c>
      <c r="O220" t="s">
        <v>56</v>
      </c>
      <c r="P220" t="s">
        <v>541</v>
      </c>
      <c r="Q220" t="s">
        <v>25</v>
      </c>
      <c r="R220" t="s">
        <v>248</v>
      </c>
      <c r="S220" t="s">
        <v>43</v>
      </c>
      <c r="U220" s="6">
        <v>42125.449699074074</v>
      </c>
      <c r="V220" t="s">
        <v>18</v>
      </c>
      <c r="W220" t="s">
        <v>372</v>
      </c>
      <c r="X220" s="6">
        <v>42011.550023148149</v>
      </c>
      <c r="Y220" t="s">
        <v>122</v>
      </c>
      <c r="AB220" t="s">
        <v>201</v>
      </c>
      <c r="AC220" t="s">
        <v>247</v>
      </c>
      <c r="AD220" t="s">
        <v>220</v>
      </c>
      <c r="AE220" t="s">
        <v>219</v>
      </c>
      <c r="AG220" t="s">
        <v>121</v>
      </c>
      <c r="AH220" t="s">
        <v>327</v>
      </c>
      <c r="AI220" t="s">
        <v>121</v>
      </c>
      <c r="AJ220" t="s">
        <v>716</v>
      </c>
      <c r="AK220" t="s">
        <v>121</v>
      </c>
    </row>
    <row r="221" spans="1:37" x14ac:dyDescent="0.3">
      <c r="I221">
        <f ca="1">IF(OR(INDIRECT(A73&amp;ROW())=B93,INDIRECT(A73&amp;ROW())=B94),1,IF(AND(INDIRECT(A73&amp;ROW())=B95,INDIRECT(A96&amp;ROW())=C93),1,IF(AND(INDIRECT(A73&amp;ROW())=B95,INDIRECT(A96&amp;ROW())=C94),1,0)))</f>
        <v>0</v>
      </c>
      <c r="J221">
        <f ca="1">IF(AND(INDIRECT(A73&amp;ROW())=B95,INDIRECT(A96&amp;ROW())=C95),1,IF(AND(INDIRECT(A73&amp;ROW())=B95,INDIRECT(A96&amp;ROW())=C96),1,0))</f>
        <v>1</v>
      </c>
      <c r="K221">
        <f ca="1">DAYS360(INDIRECT(C68&amp;ROW()),TODAY())</f>
        <v>684</v>
      </c>
      <c r="L221">
        <f ca="1">DAYS360(INDIRECT(C69&amp;ROW()),TODAY())</f>
        <v>833</v>
      </c>
      <c r="M221">
        <f ca="1">HYPERLINK(CONCATENATE("https://bugzilla.houston.hp.com:1181/bugzilla/show_bug.cgi?id=",INDIRECT(C70&amp;ROW())),INDIRECT(C70&amp;ROW()))</f>
        <v>55416</v>
      </c>
      <c r="N221">
        <v>55416</v>
      </c>
      <c r="O221" t="s">
        <v>56</v>
      </c>
      <c r="P221" t="s">
        <v>544</v>
      </c>
      <c r="Q221" t="s">
        <v>25</v>
      </c>
      <c r="R221" t="s">
        <v>248</v>
      </c>
      <c r="S221" t="s">
        <v>36</v>
      </c>
      <c r="U221" s="6">
        <v>42163.61037037037</v>
      </c>
      <c r="V221" t="s">
        <v>18</v>
      </c>
      <c r="W221" t="s">
        <v>343</v>
      </c>
      <c r="X221" s="6">
        <v>42013.560266203705</v>
      </c>
      <c r="Y221" t="s">
        <v>122</v>
      </c>
      <c r="AB221" t="s">
        <v>201</v>
      </c>
      <c r="AC221" t="s">
        <v>247</v>
      </c>
      <c r="AD221" t="s">
        <v>220</v>
      </c>
      <c r="AE221" t="s">
        <v>219</v>
      </c>
      <c r="AG221" t="s">
        <v>121</v>
      </c>
      <c r="AH221" t="s">
        <v>327</v>
      </c>
      <c r="AI221" t="s">
        <v>121</v>
      </c>
      <c r="AJ221" t="s">
        <v>716</v>
      </c>
      <c r="AK221" t="s">
        <v>121</v>
      </c>
    </row>
    <row r="222" spans="1:37" x14ac:dyDescent="0.3">
      <c r="I222">
        <f ca="1">IF(OR(INDIRECT(A73&amp;ROW())=B93,INDIRECT(A73&amp;ROW())=B94),1,IF(AND(INDIRECT(A73&amp;ROW())=B95,INDIRECT(A96&amp;ROW())=C93),1,IF(AND(INDIRECT(A73&amp;ROW())=B95,INDIRECT(A96&amp;ROW())=C94),1,0)))</f>
        <v>0</v>
      </c>
      <c r="J222">
        <f ca="1">IF(AND(INDIRECT(A73&amp;ROW())=B95,INDIRECT(A96&amp;ROW())=C95),1,IF(AND(INDIRECT(A73&amp;ROW())=B95,INDIRECT(A96&amp;ROW())=C96),1,0))</f>
        <v>0</v>
      </c>
      <c r="K222">
        <f ca="1">DAYS360(INDIRECT(C68&amp;ROW()),TODAY())</f>
        <v>721</v>
      </c>
      <c r="L222">
        <f ca="1">DAYS360(INDIRECT(C69&amp;ROW()),TODAY())</f>
        <v>833</v>
      </c>
      <c r="M222">
        <f ca="1">HYPERLINK(CONCATENATE("https://bugzilla.houston.hp.com:1181/bugzilla/show_bug.cgi?id=",INDIRECT(C70&amp;ROW())),INDIRECT(C70&amp;ROW()))</f>
        <v>55430</v>
      </c>
      <c r="N222">
        <v>55430</v>
      </c>
      <c r="O222" t="s">
        <v>56</v>
      </c>
      <c r="P222" t="s">
        <v>543</v>
      </c>
      <c r="Q222" t="s">
        <v>16</v>
      </c>
      <c r="R222" t="s">
        <v>248</v>
      </c>
      <c r="S222" t="s">
        <v>36</v>
      </c>
      <c r="U222" s="6">
        <v>42125.448541666665</v>
      </c>
      <c r="V222" t="s">
        <v>18</v>
      </c>
      <c r="W222" t="s">
        <v>324</v>
      </c>
      <c r="X222" s="6">
        <v>42013.620613425926</v>
      </c>
      <c r="Y222" t="s">
        <v>122</v>
      </c>
      <c r="AB222" t="s">
        <v>201</v>
      </c>
      <c r="AC222" t="s">
        <v>247</v>
      </c>
      <c r="AD222" t="s">
        <v>220</v>
      </c>
      <c r="AE222" t="s">
        <v>219</v>
      </c>
      <c r="AG222" t="s">
        <v>121</v>
      </c>
      <c r="AH222" t="s">
        <v>327</v>
      </c>
      <c r="AI222" t="s">
        <v>121</v>
      </c>
      <c r="AJ222" t="s">
        <v>717</v>
      </c>
      <c r="AK222" t="s">
        <v>121</v>
      </c>
    </row>
    <row r="223" spans="1:37" x14ac:dyDescent="0.3">
      <c r="H223" s="24"/>
      <c r="I223">
        <f ca="1">IF(OR(INDIRECT(A73&amp;ROW())=B93,INDIRECT(A73&amp;ROW())=B94),1,IF(AND(INDIRECT(A73&amp;ROW())=B95,INDIRECT(A96&amp;ROW())=C93),1,IF(AND(INDIRECT(A73&amp;ROW())=B95,INDIRECT(A96&amp;ROW())=C94),1,0)))</f>
        <v>0</v>
      </c>
      <c r="J223">
        <f ca="1">IF(AND(INDIRECT(A73&amp;ROW())=B95,INDIRECT(A96&amp;ROW())=C95),1,IF(AND(INDIRECT(A73&amp;ROW())=B95,INDIRECT(A96&amp;ROW())=C96),1,0))</f>
        <v>0</v>
      </c>
      <c r="K223">
        <f ca="1">DAYS360(INDIRECT(C68&amp;ROW()),TODAY())</f>
        <v>729</v>
      </c>
      <c r="L223">
        <f ca="1">DAYS360(INDIRECT(C69&amp;ROW()),TODAY())</f>
        <v>830</v>
      </c>
      <c r="M223">
        <f ca="1">HYPERLINK(CONCATENATE("https://bugzilla.houston.hp.com:1181/bugzilla/show_bug.cgi?id=",INDIRECT(C70&amp;ROW())),INDIRECT(C70&amp;ROW()))</f>
        <v>55490</v>
      </c>
      <c r="N223">
        <v>55490</v>
      </c>
      <c r="O223" t="s">
        <v>53</v>
      </c>
      <c r="P223" t="s">
        <v>549</v>
      </c>
      <c r="Q223" t="s">
        <v>16</v>
      </c>
      <c r="R223" t="s">
        <v>251</v>
      </c>
      <c r="S223" t="s">
        <v>47</v>
      </c>
      <c r="U223" s="6">
        <v>42117.405312499999</v>
      </c>
      <c r="V223" t="s">
        <v>18</v>
      </c>
      <c r="W223" t="s">
        <v>17</v>
      </c>
      <c r="X223" s="6">
        <v>42016.581944444442</v>
      </c>
      <c r="Y223" t="s">
        <v>119</v>
      </c>
      <c r="AB223" t="s">
        <v>199</v>
      </c>
      <c r="AC223" t="s">
        <v>247</v>
      </c>
      <c r="AD223" t="s">
        <v>220</v>
      </c>
      <c r="AE223" t="s">
        <v>219</v>
      </c>
      <c r="AG223" t="s">
        <v>121</v>
      </c>
      <c r="AH223" t="s">
        <v>327</v>
      </c>
      <c r="AI223" t="s">
        <v>121</v>
      </c>
      <c r="AJ223" t="s">
        <v>716</v>
      </c>
      <c r="AK223" t="s">
        <v>121</v>
      </c>
    </row>
    <row r="224" spans="1:37" x14ac:dyDescent="0.3">
      <c r="I224">
        <f ca="1">IF(OR(INDIRECT(A73&amp;ROW())=B93,INDIRECT(A73&amp;ROW())=B94),1,IF(AND(INDIRECT(A73&amp;ROW())=B95,INDIRECT(A96&amp;ROW())=C93),1,IF(AND(INDIRECT(A73&amp;ROW())=B95,INDIRECT(A96&amp;ROW())=C94),1,0)))</f>
        <v>0</v>
      </c>
      <c r="J224">
        <f ca="1">IF(AND(INDIRECT(A73&amp;ROW())=B95,INDIRECT(A96&amp;ROW())=C95),1,IF(AND(INDIRECT(A73&amp;ROW())=B95,INDIRECT(A96&amp;ROW())=C96),1,0))</f>
        <v>1</v>
      </c>
      <c r="K224">
        <f ca="1">DAYS360(INDIRECT(C68&amp;ROW()),TODAY())</f>
        <v>682</v>
      </c>
      <c r="L224">
        <f ca="1">DAYS360(INDIRECT(C69&amp;ROW()),TODAY())</f>
        <v>829</v>
      </c>
      <c r="M224">
        <f ca="1">HYPERLINK(CONCATENATE("https://bugzilla.houston.hp.com:1181/bugzilla/show_bug.cgi?id=",INDIRECT(C70&amp;ROW())),INDIRECT(C70&amp;ROW()))</f>
        <v>55549</v>
      </c>
      <c r="N224">
        <v>55549</v>
      </c>
      <c r="O224" t="s">
        <v>66</v>
      </c>
      <c r="P224" t="s">
        <v>548</v>
      </c>
      <c r="Q224" t="s">
        <v>25</v>
      </c>
      <c r="R224" t="s">
        <v>251</v>
      </c>
      <c r="S224" t="s">
        <v>66</v>
      </c>
      <c r="U224" s="6">
        <v>42165.564432870371</v>
      </c>
      <c r="V224" t="s">
        <v>35</v>
      </c>
      <c r="W224" t="s">
        <v>17</v>
      </c>
      <c r="X224" s="6">
        <v>42017.588472222225</v>
      </c>
      <c r="Y224" t="s">
        <v>122</v>
      </c>
      <c r="AB224" t="s">
        <v>201</v>
      </c>
      <c r="AC224" t="s">
        <v>247</v>
      </c>
      <c r="AD224" t="s">
        <v>220</v>
      </c>
      <c r="AE224" t="s">
        <v>219</v>
      </c>
      <c r="AG224" t="s">
        <v>121</v>
      </c>
      <c r="AH224" t="s">
        <v>327</v>
      </c>
      <c r="AI224" t="s">
        <v>121</v>
      </c>
      <c r="AJ224" t="s">
        <v>716</v>
      </c>
      <c r="AK224" t="s">
        <v>121</v>
      </c>
    </row>
    <row r="225" spans="9:37" x14ac:dyDescent="0.3">
      <c r="I225">
        <f ca="1">IF(OR(INDIRECT(A73&amp;ROW())=B93,INDIRECT(A73&amp;ROW())=B94),1,IF(AND(INDIRECT(A73&amp;ROW())=B95,INDIRECT(A96&amp;ROW())=C93),1,IF(AND(INDIRECT(A73&amp;ROW())=B95,INDIRECT(A96&amp;ROW())=C94),1,0)))</f>
        <v>0</v>
      </c>
      <c r="J225">
        <f ca="1">IF(AND(INDIRECT(A73&amp;ROW())=B95,INDIRECT(A96&amp;ROW())=C95),1,IF(AND(INDIRECT(A73&amp;ROW())=B95,INDIRECT(A96&amp;ROW())=C96),1,0))</f>
        <v>1</v>
      </c>
      <c r="K225">
        <f ca="1">DAYS360(INDIRECT(C68&amp;ROW()),TODAY())</f>
        <v>681</v>
      </c>
      <c r="L225">
        <f ca="1">DAYS360(INDIRECT(C69&amp;ROW()),TODAY())</f>
        <v>828</v>
      </c>
      <c r="M225">
        <f ca="1">HYPERLINK(CONCATENATE("https://bugzilla.houston.hp.com:1181/bugzilla/show_bug.cgi?id=",INDIRECT(C70&amp;ROW())),INDIRECT(C70&amp;ROW()))</f>
        <v>55619</v>
      </c>
      <c r="N225">
        <v>55619</v>
      </c>
      <c r="O225" t="s">
        <v>66</v>
      </c>
      <c r="P225" t="s">
        <v>548</v>
      </c>
      <c r="Q225" t="s">
        <v>25</v>
      </c>
      <c r="R225" t="s">
        <v>251</v>
      </c>
      <c r="S225" t="s">
        <v>66</v>
      </c>
      <c r="U225" s="6">
        <v>42166.560358796298</v>
      </c>
      <c r="V225" t="s">
        <v>35</v>
      </c>
      <c r="W225" t="s">
        <v>17</v>
      </c>
      <c r="X225" s="6">
        <v>42018.617395833331</v>
      </c>
      <c r="Y225" t="s">
        <v>122</v>
      </c>
      <c r="AB225" t="s">
        <v>201</v>
      </c>
      <c r="AC225" t="s">
        <v>247</v>
      </c>
      <c r="AD225" t="s">
        <v>220</v>
      </c>
      <c r="AE225" t="s">
        <v>219</v>
      </c>
      <c r="AG225" t="s">
        <v>121</v>
      </c>
      <c r="AH225" t="s">
        <v>327</v>
      </c>
      <c r="AI225" t="s">
        <v>121</v>
      </c>
      <c r="AJ225" t="s">
        <v>716</v>
      </c>
      <c r="AK225" t="s">
        <v>121</v>
      </c>
    </row>
    <row r="226" spans="9:37" x14ac:dyDescent="0.3">
      <c r="I226">
        <f ca="1">IF(OR(INDIRECT(A73&amp;ROW())=B93,INDIRECT(A73&amp;ROW())=B94),1,IF(AND(INDIRECT(A73&amp;ROW())=B95,INDIRECT(A96&amp;ROW())=C93),1,IF(AND(INDIRECT(A73&amp;ROW())=B95,INDIRECT(A96&amp;ROW())=C94),1,0)))</f>
        <v>1</v>
      </c>
      <c r="J226">
        <f ca="1">IF(AND(INDIRECT(A73&amp;ROW())=B95,INDIRECT(A96&amp;ROW())=C95),1,IF(AND(INDIRECT(A73&amp;ROW())=B95,INDIRECT(A96&amp;ROW())=C96),1,0))</f>
        <v>0</v>
      </c>
      <c r="K226">
        <f ca="1">DAYS360(INDIRECT(C68&amp;ROW()),TODAY())</f>
        <v>677</v>
      </c>
      <c r="L226">
        <f ca="1">DAYS360(INDIRECT(C69&amp;ROW()),TODAY())</f>
        <v>828</v>
      </c>
      <c r="M226">
        <f ca="1">HYPERLINK(CONCATENATE("https://bugzilla.houston.hp.com:1181/bugzilla/show_bug.cgi?id=",INDIRECT(C70&amp;ROW())),INDIRECT(C70&amp;ROW()))</f>
        <v>55626</v>
      </c>
      <c r="N226">
        <v>55626</v>
      </c>
      <c r="O226" t="s">
        <v>53</v>
      </c>
      <c r="P226" t="s">
        <v>748</v>
      </c>
      <c r="Q226" t="s">
        <v>39</v>
      </c>
      <c r="R226" t="s">
        <v>251</v>
      </c>
      <c r="S226" t="s">
        <v>53</v>
      </c>
      <c r="U226" s="6">
        <v>42170.692187499997</v>
      </c>
      <c r="V226" t="s">
        <v>18</v>
      </c>
      <c r="W226" t="s">
        <v>17</v>
      </c>
      <c r="X226" s="6">
        <v>42018.702581018515</v>
      </c>
      <c r="Y226" t="s">
        <v>122</v>
      </c>
      <c r="AB226" t="s">
        <v>201</v>
      </c>
      <c r="AC226" t="s">
        <v>247</v>
      </c>
      <c r="AD226" t="s">
        <v>220</v>
      </c>
      <c r="AE226" t="s">
        <v>219</v>
      </c>
      <c r="AG226" t="s">
        <v>121</v>
      </c>
      <c r="AH226" t="s">
        <v>327</v>
      </c>
      <c r="AI226" t="s">
        <v>121</v>
      </c>
      <c r="AJ226" t="s">
        <v>715</v>
      </c>
      <c r="AK226" t="s">
        <v>121</v>
      </c>
    </row>
    <row r="227" spans="9:37" x14ac:dyDescent="0.3">
      <c r="I227">
        <f ca="1">IF(OR(INDIRECT(A73&amp;ROW())=B93,INDIRECT(A73&amp;ROW())=B94),1,IF(AND(INDIRECT(A73&amp;ROW())=B95,INDIRECT(A96&amp;ROW())=C93),1,IF(AND(INDIRECT(A73&amp;ROW())=B95,INDIRECT(A96&amp;ROW())=C94),1,0)))</f>
        <v>1</v>
      </c>
      <c r="J227">
        <f ca="1">IF(AND(INDIRECT(A73&amp;ROW())=B95,INDIRECT(A96&amp;ROW())=C95),1,IF(AND(INDIRECT(A73&amp;ROW())=B95,INDIRECT(A96&amp;ROW())=C96),1,0))</f>
        <v>0</v>
      </c>
      <c r="K227">
        <f ca="1">DAYS360(INDIRECT(C68&amp;ROW()),TODAY())</f>
        <v>682</v>
      </c>
      <c r="L227">
        <f ca="1">DAYS360(INDIRECT(C69&amp;ROW()),TODAY())</f>
        <v>828</v>
      </c>
      <c r="M227">
        <f ca="1">HYPERLINK(CONCATENATE("https://bugzilla.houston.hp.com:1181/bugzilla/show_bug.cgi?id=",INDIRECT(C70&amp;ROW())),INDIRECT(C70&amp;ROW()))</f>
        <v>55627</v>
      </c>
      <c r="N227">
        <v>55627</v>
      </c>
      <c r="O227" t="s">
        <v>53</v>
      </c>
      <c r="P227" t="s">
        <v>551</v>
      </c>
      <c r="Q227" t="s">
        <v>39</v>
      </c>
      <c r="R227" t="s">
        <v>251</v>
      </c>
      <c r="S227" t="s">
        <v>53</v>
      </c>
      <c r="U227" s="6">
        <v>42165.551458333335</v>
      </c>
      <c r="V227" t="s">
        <v>18</v>
      </c>
      <c r="W227" t="s">
        <v>17</v>
      </c>
      <c r="X227" s="6">
        <v>42018.719236111108</v>
      </c>
      <c r="Y227" t="s">
        <v>122</v>
      </c>
      <c r="AB227" t="s">
        <v>201</v>
      </c>
      <c r="AC227" t="s">
        <v>247</v>
      </c>
      <c r="AD227" t="s">
        <v>220</v>
      </c>
      <c r="AE227" t="s">
        <v>219</v>
      </c>
      <c r="AG227" t="s">
        <v>121</v>
      </c>
      <c r="AH227" t="s">
        <v>327</v>
      </c>
      <c r="AI227" t="s">
        <v>121</v>
      </c>
      <c r="AJ227" t="s">
        <v>715</v>
      </c>
      <c r="AK227" t="s">
        <v>121</v>
      </c>
    </row>
    <row r="228" spans="9:37" x14ac:dyDescent="0.3">
      <c r="I228">
        <f ca="1">IF(OR(INDIRECT(A73&amp;ROW())=B93,INDIRECT(A73&amp;ROW())=B94),1,IF(AND(INDIRECT(A73&amp;ROW())=B95,INDIRECT(A96&amp;ROW())=C93),1,IF(AND(INDIRECT(A73&amp;ROW())=B95,INDIRECT(A96&amp;ROW())=C94),1,0)))</f>
        <v>0</v>
      </c>
      <c r="J228">
        <f ca="1">IF(AND(INDIRECT(A73&amp;ROW())=B95,INDIRECT(A96&amp;ROW())=C95),1,IF(AND(INDIRECT(A73&amp;ROW())=B95,INDIRECT(A96&amp;ROW())=C96),1,0))</f>
        <v>0</v>
      </c>
      <c r="K228">
        <f ca="1">DAYS360(INDIRECT(C68&amp;ROW()),TODAY())</f>
        <v>721</v>
      </c>
      <c r="L228">
        <f ca="1">DAYS360(INDIRECT(C69&amp;ROW()),TODAY())</f>
        <v>827</v>
      </c>
      <c r="M228">
        <f ca="1">HYPERLINK(CONCATENATE("https://bugzilla.houston.hp.com:1181/bugzilla/show_bug.cgi?id=",INDIRECT(C70&amp;ROW())),INDIRECT(C70&amp;ROW()))</f>
        <v>55690</v>
      </c>
      <c r="N228">
        <v>55690</v>
      </c>
      <c r="O228" t="s">
        <v>22</v>
      </c>
      <c r="P228" t="s">
        <v>557</v>
      </c>
      <c r="Q228" t="s">
        <v>16</v>
      </c>
      <c r="R228" t="s">
        <v>251</v>
      </c>
      <c r="S228" t="s">
        <v>22</v>
      </c>
      <c r="U228" s="6">
        <v>42125.450775462959</v>
      </c>
      <c r="V228" t="s">
        <v>18</v>
      </c>
      <c r="W228" t="s">
        <v>17</v>
      </c>
      <c r="X228" s="6">
        <v>42019.371122685188</v>
      </c>
      <c r="Y228" t="s">
        <v>122</v>
      </c>
      <c r="AB228" t="s">
        <v>201</v>
      </c>
      <c r="AC228" t="s">
        <v>247</v>
      </c>
      <c r="AD228" t="s">
        <v>222</v>
      </c>
      <c r="AE228" t="s">
        <v>225</v>
      </c>
      <c r="AG228" t="s">
        <v>121</v>
      </c>
      <c r="AH228" t="s">
        <v>327</v>
      </c>
      <c r="AI228" t="s">
        <v>121</v>
      </c>
      <c r="AJ228" t="s">
        <v>717</v>
      </c>
      <c r="AK228" t="s">
        <v>121</v>
      </c>
    </row>
    <row r="229" spans="9:37" x14ac:dyDescent="0.3">
      <c r="I229">
        <f ca="1">IF(OR(INDIRECT(A73&amp;ROW())=B93,INDIRECT(A73&amp;ROW())=B94),1,IF(AND(INDIRECT(A73&amp;ROW())=B95,INDIRECT(A96&amp;ROW())=C93),1,IF(AND(INDIRECT(A73&amp;ROW())=B95,INDIRECT(A96&amp;ROW())=C94),1,0)))</f>
        <v>0</v>
      </c>
      <c r="J229">
        <f ca="1">IF(AND(INDIRECT(A73&amp;ROW())=B95,INDIRECT(A96&amp;ROW())=C95),1,IF(AND(INDIRECT(A73&amp;ROW())=B95,INDIRECT(A96&amp;ROW())=C96),1,0))</f>
        <v>0</v>
      </c>
      <c r="K229">
        <f ca="1">DAYS360(INDIRECT(C68&amp;ROW()),TODAY())</f>
        <v>721</v>
      </c>
      <c r="L229">
        <f ca="1">DAYS360(INDIRECT(C69&amp;ROW()),TODAY())</f>
        <v>827</v>
      </c>
      <c r="M229">
        <f ca="1">HYPERLINK(CONCATENATE("https://bugzilla.houston.hp.com:1181/bugzilla/show_bug.cgi?id=",INDIRECT(C70&amp;ROW())),INDIRECT(C70&amp;ROW()))</f>
        <v>55692</v>
      </c>
      <c r="N229">
        <v>55692</v>
      </c>
      <c r="O229" t="s">
        <v>36</v>
      </c>
      <c r="P229" t="s">
        <v>556</v>
      </c>
      <c r="Q229" t="s">
        <v>16</v>
      </c>
      <c r="R229" t="s">
        <v>248</v>
      </c>
      <c r="S229" t="s">
        <v>552</v>
      </c>
      <c r="U229" s="6">
        <v>42125.450833333336</v>
      </c>
      <c r="V229" t="s">
        <v>18</v>
      </c>
      <c r="W229" t="s">
        <v>17</v>
      </c>
      <c r="X229" s="6">
        <v>42019.375428240739</v>
      </c>
      <c r="Y229" t="s">
        <v>122</v>
      </c>
      <c r="AB229" t="s">
        <v>201</v>
      </c>
      <c r="AC229" t="s">
        <v>247</v>
      </c>
      <c r="AD229" t="s">
        <v>222</v>
      </c>
      <c r="AE229" t="s">
        <v>225</v>
      </c>
      <c r="AG229" t="s">
        <v>121</v>
      </c>
      <c r="AH229" t="s">
        <v>327</v>
      </c>
      <c r="AI229" t="s">
        <v>121</v>
      </c>
      <c r="AJ229" t="s">
        <v>717</v>
      </c>
      <c r="AK229" t="s">
        <v>121</v>
      </c>
    </row>
    <row r="230" spans="9:37" x14ac:dyDescent="0.3">
      <c r="I230">
        <f ca="1">IF(OR(INDIRECT(A73&amp;ROW())=B93,INDIRECT(A73&amp;ROW())=B94),1,IF(AND(INDIRECT(A73&amp;ROW())=B95,INDIRECT(A96&amp;ROW())=C93),1,IF(AND(INDIRECT(A73&amp;ROW())=B95,INDIRECT(A96&amp;ROW())=C94),1,0)))</f>
        <v>0</v>
      </c>
      <c r="J230">
        <f ca="1">IF(AND(INDIRECT(A73&amp;ROW())=B95,INDIRECT(A96&amp;ROW())=C95),1,IF(AND(INDIRECT(A73&amp;ROW())=B95,INDIRECT(A96&amp;ROW())=C96),1,0))</f>
        <v>0</v>
      </c>
      <c r="K230">
        <f ca="1">DAYS360(INDIRECT(C68&amp;ROW()),TODAY())</f>
        <v>729</v>
      </c>
      <c r="L230">
        <f ca="1">DAYS360(INDIRECT(C69&amp;ROW()),TODAY())</f>
        <v>827</v>
      </c>
      <c r="M230">
        <f ca="1">HYPERLINK(CONCATENATE("https://bugzilla.houston.hp.com:1181/bugzilla/show_bug.cgi?id=",INDIRECT(C70&amp;ROW())),INDIRECT(C70&amp;ROW()))</f>
        <v>55707</v>
      </c>
      <c r="N230">
        <v>55707</v>
      </c>
      <c r="O230" t="s">
        <v>374</v>
      </c>
      <c r="P230" t="s">
        <v>555</v>
      </c>
      <c r="Q230" t="s">
        <v>16</v>
      </c>
      <c r="R230" t="s">
        <v>251</v>
      </c>
      <c r="S230" t="s">
        <v>374</v>
      </c>
      <c r="U230" s="6">
        <v>42117.405405092592</v>
      </c>
      <c r="V230" t="s">
        <v>18</v>
      </c>
      <c r="W230" t="s">
        <v>17</v>
      </c>
      <c r="X230" s="6">
        <v>42019.951620370368</v>
      </c>
      <c r="Y230" t="s">
        <v>787</v>
      </c>
      <c r="AB230" t="s">
        <v>200</v>
      </c>
      <c r="AC230" t="s">
        <v>247</v>
      </c>
      <c r="AD230" t="s">
        <v>227</v>
      </c>
      <c r="AE230" t="s">
        <v>237</v>
      </c>
      <c r="AG230" t="s">
        <v>121</v>
      </c>
      <c r="AH230" t="s">
        <v>327</v>
      </c>
      <c r="AI230" t="s">
        <v>121</v>
      </c>
      <c r="AJ230" t="s">
        <v>716</v>
      </c>
      <c r="AK230" t="s">
        <v>121</v>
      </c>
    </row>
    <row r="231" spans="9:37" x14ac:dyDescent="0.3">
      <c r="I231">
        <f ca="1">IF(OR(INDIRECT(A73&amp;ROW())=B93,INDIRECT(A73&amp;ROW())=B94),1,IF(AND(INDIRECT(A73&amp;ROW())=B95,INDIRECT(A96&amp;ROW())=C93),1,IF(AND(INDIRECT(A73&amp;ROW())=B95,INDIRECT(A96&amp;ROW())=C94),1,0)))</f>
        <v>0</v>
      </c>
      <c r="J231">
        <f ca="1">IF(AND(INDIRECT(A73&amp;ROW())=B95,INDIRECT(A96&amp;ROW())=C95),1,IF(AND(INDIRECT(A73&amp;ROW())=B95,INDIRECT(A96&amp;ROW())=C96),1,0))</f>
        <v>1</v>
      </c>
      <c r="K231">
        <f ca="1">DAYS360(INDIRECT(C68&amp;ROW()),TODAY())</f>
        <v>730</v>
      </c>
      <c r="L231">
        <f ca="1">DAYS360(INDIRECT(C69&amp;ROW()),TODAY())</f>
        <v>826</v>
      </c>
      <c r="M231" s="11">
        <f ca="1">HYPERLINK(CONCATENATE("https://bugzilla.houston.hp.com:1181/bugzilla/show_bug.cgi?id=",INDIRECT(C70&amp;ROW())),INDIRECT(C70&amp;ROW()))</f>
        <v>55719</v>
      </c>
      <c r="N231">
        <v>55719</v>
      </c>
      <c r="O231" t="s">
        <v>21</v>
      </c>
      <c r="P231" t="s">
        <v>554</v>
      </c>
      <c r="Q231" t="s">
        <v>25</v>
      </c>
      <c r="R231" t="s">
        <v>251</v>
      </c>
      <c r="S231" t="s">
        <v>553</v>
      </c>
      <c r="U231" s="6">
        <v>42116.734351851854</v>
      </c>
      <c r="V231" t="s">
        <v>35</v>
      </c>
      <c r="W231" t="s">
        <v>17</v>
      </c>
      <c r="X231" s="6">
        <v>42020.166122685187</v>
      </c>
      <c r="Y231" t="s">
        <v>124</v>
      </c>
      <c r="AB231" t="s">
        <v>201</v>
      </c>
      <c r="AC231" t="s">
        <v>247</v>
      </c>
      <c r="AD231" t="s">
        <v>222</v>
      </c>
      <c r="AE231" t="s">
        <v>221</v>
      </c>
      <c r="AG231" t="s">
        <v>121</v>
      </c>
      <c r="AH231" t="s">
        <v>327</v>
      </c>
      <c r="AI231" t="s">
        <v>121</v>
      </c>
      <c r="AJ231" t="s">
        <v>716</v>
      </c>
      <c r="AK231" t="s">
        <v>121</v>
      </c>
    </row>
    <row r="232" spans="9:37" x14ac:dyDescent="0.3">
      <c r="I232">
        <f ca="1">IF(OR(INDIRECT(A73&amp;ROW())=B93,INDIRECT(A73&amp;ROW())=B94),1,IF(AND(INDIRECT(A73&amp;ROW())=B95,INDIRECT(A96&amp;ROW())=C93),1,IF(AND(INDIRECT(A73&amp;ROW())=B95,INDIRECT(A96&amp;ROW())=C94),1,0)))</f>
        <v>1</v>
      </c>
      <c r="J232">
        <f ca="1">IF(AND(INDIRECT(A73&amp;ROW())=B95,INDIRECT(A96&amp;ROW())=C95),1,IF(AND(INDIRECT(A73&amp;ROW())=B95,INDIRECT(A96&amp;ROW())=C96),1,0))</f>
        <v>0</v>
      </c>
      <c r="K232">
        <f ca="1">DAYS360(INDIRECT(C68&amp;ROW()),TODAY())</f>
        <v>675</v>
      </c>
      <c r="L232">
        <f ca="1">DAYS360(INDIRECT(C69&amp;ROW()),TODAY())</f>
        <v>826</v>
      </c>
      <c r="M232" s="11">
        <f ca="1">HYPERLINK(CONCATENATE("https://bugzilla.houston.hp.com:1181/bugzilla/show_bug.cgi?id=",INDIRECT(C70&amp;ROW())),INDIRECT(C70&amp;ROW()))</f>
        <v>55766</v>
      </c>
      <c r="N232">
        <v>55766</v>
      </c>
      <c r="O232" t="s">
        <v>856</v>
      </c>
      <c r="P232" t="s">
        <v>558</v>
      </c>
      <c r="Q232" t="s">
        <v>25</v>
      </c>
      <c r="R232" t="s">
        <v>251</v>
      </c>
      <c r="S232" t="s">
        <v>43</v>
      </c>
      <c r="T232" t="s">
        <v>1276</v>
      </c>
      <c r="U232" s="6">
        <v>42172.013622685183</v>
      </c>
      <c r="V232" t="s">
        <v>35</v>
      </c>
      <c r="W232" t="s">
        <v>17</v>
      </c>
      <c r="X232" s="6">
        <v>42020.673159722224</v>
      </c>
      <c r="Y232" t="s">
        <v>122</v>
      </c>
      <c r="AB232" t="s">
        <v>200</v>
      </c>
      <c r="AC232" t="s">
        <v>247</v>
      </c>
      <c r="AD232" t="s">
        <v>220</v>
      </c>
      <c r="AE232" t="s">
        <v>219</v>
      </c>
      <c r="AG232" t="s">
        <v>121</v>
      </c>
      <c r="AH232" t="s">
        <v>327</v>
      </c>
      <c r="AI232" t="s">
        <v>121</v>
      </c>
      <c r="AJ232" t="s">
        <v>715</v>
      </c>
      <c r="AK232" t="s">
        <v>121</v>
      </c>
    </row>
    <row r="233" spans="9:37" x14ac:dyDescent="0.3">
      <c r="I233">
        <f ca="1">IF(OR(INDIRECT(A73&amp;ROW())=B93,INDIRECT(A73&amp;ROW())=B94),1,IF(AND(INDIRECT(A73&amp;ROW())=B95,INDIRECT(A96&amp;ROW())=C93),1,IF(AND(INDIRECT(A73&amp;ROW())=B95,INDIRECT(A96&amp;ROW())=C94),1,0)))</f>
        <v>0</v>
      </c>
      <c r="J233">
        <f ca="1">IF(AND(INDIRECT(A73&amp;ROW())=B95,INDIRECT(A96&amp;ROW())=C95),1,IF(AND(INDIRECT(A73&amp;ROW())=B95,INDIRECT(A96&amp;ROW())=C96),1,0))</f>
        <v>0</v>
      </c>
      <c r="K233">
        <f ca="1">DAYS360(INDIRECT(C68&amp;ROW()),TODAY())</f>
        <v>728</v>
      </c>
      <c r="L233">
        <f ca="1">DAYS360(INDIRECT(C69&amp;ROW()),TODAY())</f>
        <v>821</v>
      </c>
      <c r="M233">
        <f ca="1">HYPERLINK(CONCATENATE("https://bugzilla.houston.hp.com:1181/bugzilla/show_bug.cgi?id=",INDIRECT(C70&amp;ROW())),INDIRECT(C70&amp;ROW()))</f>
        <v>55900</v>
      </c>
      <c r="N233">
        <v>55900</v>
      </c>
      <c r="O233" t="s">
        <v>56</v>
      </c>
      <c r="P233" t="s">
        <v>566</v>
      </c>
      <c r="Q233" t="s">
        <v>16</v>
      </c>
      <c r="R233" t="s">
        <v>251</v>
      </c>
      <c r="S233" t="s">
        <v>59</v>
      </c>
      <c r="U233" s="6">
        <v>42118.523414351854</v>
      </c>
      <c r="V233" t="s">
        <v>18</v>
      </c>
      <c r="W233" t="s">
        <v>17</v>
      </c>
      <c r="X233" s="6">
        <v>42025.187048611115</v>
      </c>
      <c r="Y233" t="s">
        <v>788</v>
      </c>
      <c r="AB233" t="s">
        <v>201</v>
      </c>
      <c r="AC233" t="s">
        <v>247</v>
      </c>
      <c r="AD233" t="s">
        <v>220</v>
      </c>
      <c r="AE233" t="s">
        <v>219</v>
      </c>
      <c r="AG233" t="s">
        <v>121</v>
      </c>
      <c r="AH233" t="s">
        <v>327</v>
      </c>
      <c r="AI233" t="s">
        <v>121</v>
      </c>
      <c r="AJ233" t="s">
        <v>717</v>
      </c>
      <c r="AK233" t="s">
        <v>121</v>
      </c>
    </row>
    <row r="234" spans="9:37" x14ac:dyDescent="0.3">
      <c r="I234">
        <f ca="1">IF(OR(INDIRECT(A73&amp;ROW())=B93,INDIRECT(A73&amp;ROW())=B94),1,IF(AND(INDIRECT(A73&amp;ROW())=B95,INDIRECT(A96&amp;ROW())=C93),1,IF(AND(INDIRECT(A73&amp;ROW())=B95,INDIRECT(A96&amp;ROW())=C94),1,0)))</f>
        <v>0</v>
      </c>
      <c r="J234">
        <f ca="1">IF(AND(INDIRECT(A73&amp;ROW())=B95,INDIRECT(A96&amp;ROW())=C95),1,IF(AND(INDIRECT(A73&amp;ROW())=B95,INDIRECT(A96&amp;ROW())=C96),1,0))</f>
        <v>0</v>
      </c>
      <c r="K234">
        <f ca="1">DAYS360(INDIRECT(C68&amp;ROW()),TODAY())</f>
        <v>728</v>
      </c>
      <c r="L234">
        <f ca="1">DAYS360(INDIRECT(C69&amp;ROW()),TODAY())</f>
        <v>821</v>
      </c>
      <c r="M234">
        <f ca="1">HYPERLINK(CONCATENATE("https://bugzilla.houston.hp.com:1181/bugzilla/show_bug.cgi?id=",INDIRECT(C70&amp;ROW())),INDIRECT(C70&amp;ROW()))</f>
        <v>55915</v>
      </c>
      <c r="N234">
        <v>55915</v>
      </c>
      <c r="O234" t="s">
        <v>66</v>
      </c>
      <c r="P234" t="s">
        <v>565</v>
      </c>
      <c r="Q234" t="s">
        <v>16</v>
      </c>
      <c r="R234" t="s">
        <v>251</v>
      </c>
      <c r="S234" t="s">
        <v>66</v>
      </c>
      <c r="U234" s="6">
        <v>42118.523506944446</v>
      </c>
      <c r="V234" t="s">
        <v>18</v>
      </c>
      <c r="W234" t="s">
        <v>17</v>
      </c>
      <c r="X234" s="6">
        <v>42025.416770833333</v>
      </c>
      <c r="Y234" t="s">
        <v>124</v>
      </c>
      <c r="AB234" t="s">
        <v>201</v>
      </c>
      <c r="AC234" t="s">
        <v>247</v>
      </c>
      <c r="AD234" t="s">
        <v>220</v>
      </c>
      <c r="AE234" t="s">
        <v>219</v>
      </c>
      <c r="AG234" t="s">
        <v>121</v>
      </c>
      <c r="AH234" t="s">
        <v>327</v>
      </c>
      <c r="AI234" t="s">
        <v>121</v>
      </c>
      <c r="AJ234" t="s">
        <v>717</v>
      </c>
      <c r="AK234" t="s">
        <v>121</v>
      </c>
    </row>
    <row r="235" spans="9:37" x14ac:dyDescent="0.3">
      <c r="I235">
        <f ca="1">IF(OR(INDIRECT(A73&amp;ROW())=B93,INDIRECT(A73&amp;ROW())=B94),1,IF(AND(INDIRECT(A73&amp;ROW())=B95,INDIRECT(A96&amp;ROW())=C93),1,IF(AND(INDIRECT(A73&amp;ROW())=B95,INDIRECT(A96&amp;ROW())=C94),1,0)))</f>
        <v>0</v>
      </c>
      <c r="J235">
        <f ca="1">IF(AND(INDIRECT(A73&amp;ROW())=B95,INDIRECT(A96&amp;ROW())=C95),1,IF(AND(INDIRECT(A73&amp;ROW())=B95,INDIRECT(A96&amp;ROW())=C96),1,0))</f>
        <v>1</v>
      </c>
      <c r="K235">
        <f ca="1">DAYS360(INDIRECT(C68&amp;ROW()),TODAY())</f>
        <v>684</v>
      </c>
      <c r="L235">
        <f ca="1">DAYS360(INDIRECT(C69&amp;ROW()),TODAY())</f>
        <v>821</v>
      </c>
      <c r="M235">
        <f ca="1">HYPERLINK(CONCATENATE("https://bugzilla.houston.hp.com:1181/bugzilla/show_bug.cgi?id=",INDIRECT(C70&amp;ROW())),INDIRECT(C70&amp;ROW()))</f>
        <v>55920</v>
      </c>
      <c r="N235">
        <v>55920</v>
      </c>
      <c r="O235" t="s">
        <v>66</v>
      </c>
      <c r="P235" t="s">
        <v>564</v>
      </c>
      <c r="Q235" t="s">
        <v>25</v>
      </c>
      <c r="R235" t="s">
        <v>251</v>
      </c>
      <c r="S235" t="s">
        <v>66</v>
      </c>
      <c r="U235" s="6">
        <v>42163.59784722222</v>
      </c>
      <c r="V235" t="s">
        <v>18</v>
      </c>
      <c r="W235" t="s">
        <v>17</v>
      </c>
      <c r="X235" s="6">
        <v>42025.463854166665</v>
      </c>
      <c r="Y235" t="s">
        <v>124</v>
      </c>
      <c r="AB235" t="s">
        <v>201</v>
      </c>
      <c r="AC235" t="s">
        <v>247</v>
      </c>
      <c r="AD235" t="s">
        <v>220</v>
      </c>
      <c r="AE235" t="s">
        <v>219</v>
      </c>
      <c r="AG235" t="s">
        <v>121</v>
      </c>
      <c r="AH235" t="s">
        <v>327</v>
      </c>
      <c r="AI235" t="s">
        <v>121</v>
      </c>
      <c r="AJ235" t="s">
        <v>716</v>
      </c>
      <c r="AK235" t="s">
        <v>121</v>
      </c>
    </row>
    <row r="236" spans="9:37" x14ac:dyDescent="0.3">
      <c r="I236">
        <f ca="1">IF(OR(INDIRECT(A73&amp;ROW())=B93,INDIRECT(A73&amp;ROW())=B94),1,IF(AND(INDIRECT(A73&amp;ROW())=B95,INDIRECT(A96&amp;ROW())=C93),1,IF(AND(INDIRECT(A73&amp;ROW())=B95,INDIRECT(A96&amp;ROW())=C94),1,0)))</f>
        <v>0</v>
      </c>
      <c r="J236">
        <f ca="1">IF(AND(INDIRECT(A73&amp;ROW())=B95,INDIRECT(A96&amp;ROW())=C95),1,IF(AND(INDIRECT(A73&amp;ROW())=B95,INDIRECT(A96&amp;ROW())=C96),1,0))</f>
        <v>1</v>
      </c>
      <c r="K236">
        <f ca="1">DAYS360(INDIRECT(C68&amp;ROW()),TODAY())</f>
        <v>800</v>
      </c>
      <c r="L236">
        <f ca="1">DAYS360(INDIRECT(C69&amp;ROW()),TODAY())</f>
        <v>821</v>
      </c>
      <c r="M236">
        <f ca="1">HYPERLINK(CONCATENATE("https://bugzilla.houston.hp.com:1181/bugzilla/show_bug.cgi?id=",INDIRECT(C70&amp;ROW())),INDIRECT(C70&amp;ROW()))</f>
        <v>55923</v>
      </c>
      <c r="N236">
        <v>55923</v>
      </c>
      <c r="O236" t="s">
        <v>56</v>
      </c>
      <c r="P236" t="s">
        <v>563</v>
      </c>
      <c r="Q236" t="s">
        <v>25</v>
      </c>
      <c r="R236" t="s">
        <v>248</v>
      </c>
      <c r="S236" t="s">
        <v>552</v>
      </c>
      <c r="U236" s="6">
        <v>42047.512106481481</v>
      </c>
      <c r="V236" t="s">
        <v>18</v>
      </c>
      <c r="W236" t="s">
        <v>322</v>
      </c>
      <c r="X236" s="6">
        <v>42025.479351851849</v>
      </c>
      <c r="Y236" t="s">
        <v>124</v>
      </c>
      <c r="AB236" t="s">
        <v>201</v>
      </c>
      <c r="AC236" t="s">
        <v>247</v>
      </c>
      <c r="AD236" t="s">
        <v>220</v>
      </c>
      <c r="AE236" t="s">
        <v>219</v>
      </c>
      <c r="AG236" t="s">
        <v>121</v>
      </c>
      <c r="AH236" t="s">
        <v>327</v>
      </c>
      <c r="AI236" t="s">
        <v>121</v>
      </c>
      <c r="AJ236" t="s">
        <v>716</v>
      </c>
      <c r="AK236" t="s">
        <v>121</v>
      </c>
    </row>
    <row r="237" spans="9:37" x14ac:dyDescent="0.3">
      <c r="I237">
        <f ca="1">IF(OR(INDIRECT(A73&amp;ROW())=B93,INDIRECT(A73&amp;ROW())=B94),1,IF(AND(INDIRECT(A73&amp;ROW())=B95,INDIRECT(A96&amp;ROW())=C93),1,IF(AND(INDIRECT(A73&amp;ROW())=B95,INDIRECT(A96&amp;ROW())=C94),1,0)))</f>
        <v>0</v>
      </c>
      <c r="J237">
        <f ca="1">IF(AND(INDIRECT(A73&amp;ROW())=B95,INDIRECT(A96&amp;ROW())=C95),1,IF(AND(INDIRECT(A73&amp;ROW())=B95,INDIRECT(A96&amp;ROW())=C96),1,0))</f>
        <v>1</v>
      </c>
      <c r="K237">
        <f ca="1">DAYS360(INDIRECT(C68&amp;ROW()),TODAY())</f>
        <v>684</v>
      </c>
      <c r="L237">
        <f ca="1">DAYS360(INDIRECT(C69&amp;ROW()),TODAY())</f>
        <v>821</v>
      </c>
      <c r="M237">
        <f ca="1">HYPERLINK(CONCATENATE("https://bugzilla.houston.hp.com:1181/bugzilla/show_bug.cgi?id=",INDIRECT(C70&amp;ROW())),INDIRECT(C70&amp;ROW()))</f>
        <v>55928</v>
      </c>
      <c r="N237">
        <v>55928</v>
      </c>
      <c r="O237" t="s">
        <v>56</v>
      </c>
      <c r="P237" t="s">
        <v>562</v>
      </c>
      <c r="Q237" t="s">
        <v>25</v>
      </c>
      <c r="R237" t="s">
        <v>251</v>
      </c>
      <c r="S237" t="s">
        <v>66</v>
      </c>
      <c r="U237" s="6">
        <v>42163.599583333336</v>
      </c>
      <c r="V237" t="s">
        <v>18</v>
      </c>
      <c r="W237" t="s">
        <v>17</v>
      </c>
      <c r="X237" s="6">
        <v>42025.595729166664</v>
      </c>
      <c r="Y237" t="s">
        <v>122</v>
      </c>
      <c r="AB237" t="s">
        <v>201</v>
      </c>
      <c r="AC237" t="s">
        <v>247</v>
      </c>
      <c r="AD237" t="s">
        <v>220</v>
      </c>
      <c r="AE237" t="s">
        <v>219</v>
      </c>
      <c r="AG237" t="s">
        <v>121</v>
      </c>
      <c r="AH237" t="s">
        <v>327</v>
      </c>
      <c r="AI237" t="s">
        <v>121</v>
      </c>
      <c r="AJ237" t="s">
        <v>716</v>
      </c>
      <c r="AK237" t="s">
        <v>121</v>
      </c>
    </row>
    <row r="238" spans="9:37" x14ac:dyDescent="0.3">
      <c r="I238">
        <f ca="1">IF(OR(INDIRECT(A73&amp;ROW())=B93,INDIRECT(A73&amp;ROW())=B94),1,IF(AND(INDIRECT(A73&amp;ROW())=B95,INDIRECT(A96&amp;ROW())=C93),1,IF(AND(INDIRECT(A73&amp;ROW())=B95,INDIRECT(A96&amp;ROW())=C94),1,0)))</f>
        <v>0</v>
      </c>
      <c r="J238">
        <f ca="1">IF(AND(INDIRECT(A73&amp;ROW())=B95,INDIRECT(A96&amp;ROW())=C95),1,IF(AND(INDIRECT(A73&amp;ROW())=B95,INDIRECT(A96&amp;ROW())=C96),1,0))</f>
        <v>1</v>
      </c>
      <c r="K238">
        <f ca="1">DAYS360(INDIRECT(C68&amp;ROW()),TODAY())</f>
        <v>721</v>
      </c>
      <c r="L238">
        <f ca="1">DAYS360(INDIRECT(C69&amp;ROW()),TODAY())</f>
        <v>821</v>
      </c>
      <c r="M238">
        <f ca="1">HYPERLINK(CONCATENATE("https://bugzilla.houston.hp.com:1181/bugzilla/show_bug.cgi?id=",INDIRECT(C70&amp;ROW())),INDIRECT(C70&amp;ROW()))</f>
        <v>55929</v>
      </c>
      <c r="N238">
        <v>55929</v>
      </c>
      <c r="O238" t="s">
        <v>66</v>
      </c>
      <c r="P238" t="s">
        <v>561</v>
      </c>
      <c r="Q238" t="s">
        <v>25</v>
      </c>
      <c r="R238" t="s">
        <v>251</v>
      </c>
      <c r="S238" t="s">
        <v>66</v>
      </c>
      <c r="U238" s="6">
        <v>42125.451828703706</v>
      </c>
      <c r="V238" t="s">
        <v>18</v>
      </c>
      <c r="W238" t="s">
        <v>17</v>
      </c>
      <c r="X238" s="6">
        <v>42025.615925925929</v>
      </c>
      <c r="Y238" t="s">
        <v>122</v>
      </c>
      <c r="AB238" t="s">
        <v>201</v>
      </c>
      <c r="AC238" t="s">
        <v>247</v>
      </c>
      <c r="AD238" t="s">
        <v>220</v>
      </c>
      <c r="AE238" t="s">
        <v>219</v>
      </c>
      <c r="AG238" t="s">
        <v>121</v>
      </c>
      <c r="AH238" t="s">
        <v>327</v>
      </c>
      <c r="AI238" t="s">
        <v>121</v>
      </c>
      <c r="AJ238" t="s">
        <v>716</v>
      </c>
      <c r="AK238" t="s">
        <v>121</v>
      </c>
    </row>
    <row r="239" spans="9:37" x14ac:dyDescent="0.3">
      <c r="I239">
        <f ca="1">IF(OR(INDIRECT(A73&amp;ROW())=B93,INDIRECT(A73&amp;ROW())=B94),1,IF(AND(INDIRECT(A73&amp;ROW())=B95,INDIRECT(A96&amp;ROW())=C93),1,IF(AND(INDIRECT(A73&amp;ROW())=B95,INDIRECT(A96&amp;ROW())=C94),1,0)))</f>
        <v>0</v>
      </c>
      <c r="J239">
        <f ca="1">IF(AND(INDIRECT(A73&amp;ROW())=B95,INDIRECT(A96&amp;ROW())=C95),1,IF(AND(INDIRECT(A73&amp;ROW())=B95,INDIRECT(A96&amp;ROW())=C96),1,0))</f>
        <v>1</v>
      </c>
      <c r="K239">
        <f ca="1">DAYS360(INDIRECT(C68&amp;ROW()),TODAY())</f>
        <v>721</v>
      </c>
      <c r="L239">
        <f ca="1">DAYS360(INDIRECT(C69&amp;ROW()),TODAY())</f>
        <v>821</v>
      </c>
      <c r="M239">
        <f ca="1">HYPERLINK(CONCATENATE("https://bugzilla.houston.hp.com:1181/bugzilla/show_bug.cgi?id=",INDIRECT(C70&amp;ROW())),INDIRECT(C70&amp;ROW()))</f>
        <v>55934</v>
      </c>
      <c r="N239">
        <v>55934</v>
      </c>
      <c r="O239" t="s">
        <v>56</v>
      </c>
      <c r="P239" t="s">
        <v>560</v>
      </c>
      <c r="Q239" t="s">
        <v>25</v>
      </c>
      <c r="R239" t="s">
        <v>248</v>
      </c>
      <c r="S239" t="s">
        <v>552</v>
      </c>
      <c r="U239" s="6">
        <v>42125.451736111114</v>
      </c>
      <c r="V239" t="s">
        <v>18</v>
      </c>
      <c r="W239" t="s">
        <v>322</v>
      </c>
      <c r="X239" s="6">
        <v>42025.632627314815</v>
      </c>
      <c r="Y239" t="s">
        <v>122</v>
      </c>
      <c r="AB239" t="s">
        <v>201</v>
      </c>
      <c r="AC239" t="s">
        <v>247</v>
      </c>
      <c r="AD239" t="s">
        <v>220</v>
      </c>
      <c r="AE239" t="s">
        <v>219</v>
      </c>
      <c r="AG239" t="s">
        <v>121</v>
      </c>
      <c r="AH239" t="s">
        <v>327</v>
      </c>
      <c r="AI239" t="s">
        <v>121</v>
      </c>
      <c r="AJ239" t="s">
        <v>716</v>
      </c>
      <c r="AK239" t="s">
        <v>121</v>
      </c>
    </row>
    <row r="240" spans="9:37" x14ac:dyDescent="0.3">
      <c r="I240">
        <f ca="1">IF(OR(INDIRECT(A73&amp;ROW())=B93,INDIRECT(A73&amp;ROW())=B94),1,IF(AND(INDIRECT(A73&amp;ROW())=B95,INDIRECT(A96&amp;ROW())=C93),1,IF(AND(INDIRECT(A73&amp;ROW())=B95,INDIRECT(A96&amp;ROW())=C94),1,0)))</f>
        <v>0</v>
      </c>
      <c r="J240">
        <f ca="1">IF(AND(INDIRECT(A73&amp;ROW())=B95,INDIRECT(A96&amp;ROW())=C95),1,IF(AND(INDIRECT(A73&amp;ROW())=B95,INDIRECT(A96&amp;ROW())=C96),1,0))</f>
        <v>1</v>
      </c>
      <c r="K240">
        <f ca="1">DAYS360(INDIRECT(C68&amp;ROW()),TODAY())</f>
        <v>721</v>
      </c>
      <c r="L240">
        <f ca="1">DAYS360(INDIRECT(C69&amp;ROW()),TODAY())</f>
        <v>821</v>
      </c>
      <c r="M240">
        <f ca="1">HYPERLINK(CONCATENATE("https://bugzilla.houston.hp.com:1181/bugzilla/show_bug.cgi?id=",INDIRECT(C70&amp;ROW())),INDIRECT(C70&amp;ROW()))</f>
        <v>55935</v>
      </c>
      <c r="N240">
        <v>55935</v>
      </c>
      <c r="O240" t="s">
        <v>56</v>
      </c>
      <c r="P240" t="s">
        <v>559</v>
      </c>
      <c r="Q240" t="s">
        <v>25</v>
      </c>
      <c r="R240" t="s">
        <v>248</v>
      </c>
      <c r="S240" t="s">
        <v>552</v>
      </c>
      <c r="U240" s="6">
        <v>42125.450902777775</v>
      </c>
      <c r="V240" t="s">
        <v>18</v>
      </c>
      <c r="W240" t="s">
        <v>322</v>
      </c>
      <c r="X240" s="6">
        <v>42025.634236111109</v>
      </c>
      <c r="Y240" t="s">
        <v>122</v>
      </c>
      <c r="AB240" t="s">
        <v>201</v>
      </c>
      <c r="AC240" t="s">
        <v>247</v>
      </c>
      <c r="AD240" t="s">
        <v>220</v>
      </c>
      <c r="AE240" t="s">
        <v>219</v>
      </c>
      <c r="AG240" t="s">
        <v>121</v>
      </c>
      <c r="AH240" t="s">
        <v>327</v>
      </c>
      <c r="AI240" t="s">
        <v>121</v>
      </c>
      <c r="AJ240" t="s">
        <v>716</v>
      </c>
      <c r="AK240" t="s">
        <v>121</v>
      </c>
    </row>
    <row r="241" spans="9:37" x14ac:dyDescent="0.3">
      <c r="I241">
        <f ca="1">IF(OR(INDIRECT(A73&amp;ROW())=B93,INDIRECT(A73&amp;ROW())=B94),1,IF(AND(INDIRECT(A73&amp;ROW())=B95,INDIRECT(A96&amp;ROW())=C93),1,IF(AND(INDIRECT(A73&amp;ROW())=B95,INDIRECT(A96&amp;ROW())=C94),1,0)))</f>
        <v>0</v>
      </c>
      <c r="J241">
        <f ca="1">IF(AND(INDIRECT(A73&amp;ROW())=B95,INDIRECT(A96&amp;ROW())=C95),1,IF(AND(INDIRECT(A73&amp;ROW())=B95,INDIRECT(A96&amp;ROW())=C96),1,0))</f>
        <v>1</v>
      </c>
      <c r="K241">
        <f ca="1">DAYS360(INDIRECT(C68&amp;ROW()),TODAY())</f>
        <v>721</v>
      </c>
      <c r="L241">
        <f ca="1">DAYS360(INDIRECT(C69&amp;ROW()),TODAY())</f>
        <v>820</v>
      </c>
      <c r="M241">
        <f ca="1">HYPERLINK(CONCATENATE("https://bugzilla.houston.hp.com:1181/bugzilla/show_bug.cgi?id=",INDIRECT(C70&amp;ROW())),INDIRECT(C70&amp;ROW()))</f>
        <v>55967</v>
      </c>
      <c r="N241">
        <v>55967</v>
      </c>
      <c r="O241" t="s">
        <v>21</v>
      </c>
      <c r="P241" t="s">
        <v>575</v>
      </c>
      <c r="Q241" t="s">
        <v>25</v>
      </c>
      <c r="R241" t="s">
        <v>251</v>
      </c>
      <c r="S241" t="s">
        <v>316</v>
      </c>
      <c r="U241" s="6">
        <v>42125.676608796297</v>
      </c>
      <c r="V241" t="s">
        <v>18</v>
      </c>
      <c r="W241" t="s">
        <v>17</v>
      </c>
      <c r="X241" s="6">
        <v>42026.318402777775</v>
      </c>
      <c r="Y241" t="s">
        <v>255</v>
      </c>
      <c r="AB241" t="s">
        <v>201</v>
      </c>
      <c r="AC241" t="s">
        <v>247</v>
      </c>
      <c r="AD241" t="s">
        <v>222</v>
      </c>
      <c r="AE241" t="s">
        <v>225</v>
      </c>
      <c r="AG241" t="s">
        <v>121</v>
      </c>
      <c r="AH241" t="s">
        <v>327</v>
      </c>
      <c r="AI241" t="s">
        <v>362</v>
      </c>
      <c r="AJ241" t="s">
        <v>716</v>
      </c>
      <c r="AK241" t="s">
        <v>121</v>
      </c>
    </row>
    <row r="242" spans="9:37" x14ac:dyDescent="0.3">
      <c r="I242">
        <f ca="1">IF(OR(INDIRECT(A73&amp;ROW())=B93,INDIRECT(A73&amp;ROW())=B94),1,IF(AND(INDIRECT(A73&amp;ROW())=B95,INDIRECT(A96&amp;ROW())=C93),1,IF(AND(INDIRECT(A73&amp;ROW())=B95,INDIRECT(A96&amp;ROW())=C94),1,0)))</f>
        <v>0</v>
      </c>
      <c r="J242">
        <f ca="1">IF(AND(INDIRECT(A73&amp;ROW())=B95,INDIRECT(A96&amp;ROW())=C95),1,IF(AND(INDIRECT(A73&amp;ROW())=B95,INDIRECT(A96&amp;ROW())=C96),1,0))</f>
        <v>1</v>
      </c>
      <c r="K242">
        <f ca="1">DAYS360(INDIRECT(C68&amp;ROW()),TODAY())</f>
        <v>721</v>
      </c>
      <c r="L242">
        <f ca="1">DAYS360(INDIRECT(C69&amp;ROW()),TODAY())</f>
        <v>820</v>
      </c>
      <c r="M242">
        <f ca="1">HYPERLINK(CONCATENATE("https://bugzilla.houston.hp.com:1181/bugzilla/show_bug.cgi?id=",INDIRECT(C70&amp;ROW())),INDIRECT(C70&amp;ROW()))</f>
        <v>55968</v>
      </c>
      <c r="N242">
        <v>55968</v>
      </c>
      <c r="O242" t="s">
        <v>21</v>
      </c>
      <c r="P242" t="s">
        <v>574</v>
      </c>
      <c r="Q242" t="s">
        <v>25</v>
      </c>
      <c r="R242" t="s">
        <v>251</v>
      </c>
      <c r="S242" t="s">
        <v>316</v>
      </c>
      <c r="U242" s="6">
        <v>42125.677905092591</v>
      </c>
      <c r="V242" t="s">
        <v>18</v>
      </c>
      <c r="W242" t="s">
        <v>17</v>
      </c>
      <c r="X242" s="6">
        <v>42026.333229166667</v>
      </c>
      <c r="Y242" t="s">
        <v>255</v>
      </c>
      <c r="AB242" t="s">
        <v>201</v>
      </c>
      <c r="AC242" t="s">
        <v>247</v>
      </c>
      <c r="AD242" t="s">
        <v>222</v>
      </c>
      <c r="AE242" t="s">
        <v>240</v>
      </c>
      <c r="AG242" t="s">
        <v>121</v>
      </c>
      <c r="AH242" t="s">
        <v>327</v>
      </c>
      <c r="AI242" t="s">
        <v>121</v>
      </c>
      <c r="AJ242" t="s">
        <v>716</v>
      </c>
      <c r="AK242" t="s">
        <v>121</v>
      </c>
    </row>
    <row r="243" spans="9:37" x14ac:dyDescent="0.3">
      <c r="I243">
        <f ca="1">IF(OR(INDIRECT(A73&amp;ROW())=B93,INDIRECT(A73&amp;ROW())=B94),1,IF(AND(INDIRECT(A73&amp;ROW())=B95,INDIRECT(A96&amp;ROW())=C93),1,IF(AND(INDIRECT(A73&amp;ROW())=B95,INDIRECT(A96&amp;ROW())=C94),1,0)))</f>
        <v>0</v>
      </c>
      <c r="J243">
        <f ca="1">IF(AND(INDIRECT(A73&amp;ROW())=B95,INDIRECT(A96&amp;ROW())=C95),1,IF(AND(INDIRECT(A73&amp;ROW())=B95,INDIRECT(A96&amp;ROW())=C96),1,0))</f>
        <v>1</v>
      </c>
      <c r="K243">
        <f ca="1">DAYS360(INDIRECT(C68&amp;ROW()),TODAY())</f>
        <v>721</v>
      </c>
      <c r="L243">
        <f ca="1">DAYS360(INDIRECT(C69&amp;ROW()),TODAY())</f>
        <v>820</v>
      </c>
      <c r="M243">
        <f ca="1">HYPERLINK(CONCATENATE("https://bugzilla.houston.hp.com:1181/bugzilla/show_bug.cgi?id=",INDIRECT(C70&amp;ROW())),INDIRECT(C70&amp;ROW()))</f>
        <v>55971</v>
      </c>
      <c r="N243">
        <v>55971</v>
      </c>
      <c r="O243" t="s">
        <v>56</v>
      </c>
      <c r="P243" t="s">
        <v>570</v>
      </c>
      <c r="Q243" t="s">
        <v>25</v>
      </c>
      <c r="R243" t="s">
        <v>251</v>
      </c>
      <c r="S243" t="s">
        <v>66</v>
      </c>
      <c r="U243" s="6">
        <v>42125.45171296296</v>
      </c>
      <c r="V243" t="s">
        <v>18</v>
      </c>
      <c r="W243" t="s">
        <v>17</v>
      </c>
      <c r="X243" s="6">
        <v>42026.434212962966</v>
      </c>
      <c r="Y243" t="s">
        <v>122</v>
      </c>
      <c r="AB243" t="s">
        <v>201</v>
      </c>
      <c r="AC243" t="s">
        <v>247</v>
      </c>
      <c r="AD243" t="s">
        <v>220</v>
      </c>
      <c r="AE243" t="s">
        <v>219</v>
      </c>
      <c r="AG243" t="s">
        <v>121</v>
      </c>
      <c r="AH243" t="s">
        <v>327</v>
      </c>
      <c r="AI243" t="s">
        <v>121</v>
      </c>
      <c r="AJ243" t="s">
        <v>716</v>
      </c>
      <c r="AK243" t="s">
        <v>121</v>
      </c>
    </row>
    <row r="244" spans="9:37" x14ac:dyDescent="0.3">
      <c r="I244">
        <f ca="1">IF(OR(INDIRECT(A73&amp;ROW())=B93,INDIRECT(A73&amp;ROW())=B94),1,IF(AND(INDIRECT(A73&amp;ROW())=B95,INDIRECT(A96&amp;ROW())=C93),1,IF(AND(INDIRECT(A73&amp;ROW())=B95,INDIRECT(A96&amp;ROW())=C94),1,0)))</f>
        <v>0</v>
      </c>
      <c r="J244">
        <f ca="1">IF(AND(INDIRECT(A73&amp;ROW())=B95,INDIRECT(A96&amp;ROW())=C95),1,IF(AND(INDIRECT(A73&amp;ROW())=B95,INDIRECT(A96&amp;ROW())=C96),1,0))</f>
        <v>1</v>
      </c>
      <c r="K244">
        <f ca="1">DAYS360(INDIRECT(C68&amp;ROW()),TODAY())</f>
        <v>684</v>
      </c>
      <c r="L244">
        <f ca="1">DAYS360(INDIRECT(C69&amp;ROW()),TODAY())</f>
        <v>820</v>
      </c>
      <c r="M244">
        <f ca="1">HYPERLINK(CONCATENATE("https://bugzilla.houston.hp.com:1181/bugzilla/show_bug.cgi?id=",INDIRECT(C70&amp;ROW())),INDIRECT(C70&amp;ROW()))</f>
        <v>55972</v>
      </c>
      <c r="N244">
        <v>55972</v>
      </c>
      <c r="O244" t="s">
        <v>56</v>
      </c>
      <c r="P244" t="s">
        <v>609</v>
      </c>
      <c r="Q244" t="s">
        <v>25</v>
      </c>
      <c r="R244" t="s">
        <v>251</v>
      </c>
      <c r="S244" t="s">
        <v>66</v>
      </c>
      <c r="U244" s="6">
        <v>42163.606608796297</v>
      </c>
      <c r="V244" t="s">
        <v>18</v>
      </c>
      <c r="W244" t="s">
        <v>17</v>
      </c>
      <c r="X244" s="6">
        <v>42026.457569444443</v>
      </c>
      <c r="Y244" t="s">
        <v>122</v>
      </c>
      <c r="AB244" t="s">
        <v>201</v>
      </c>
      <c r="AC244" t="s">
        <v>247</v>
      </c>
      <c r="AD244" t="s">
        <v>220</v>
      </c>
      <c r="AE244" t="s">
        <v>219</v>
      </c>
      <c r="AG244" t="s">
        <v>121</v>
      </c>
      <c r="AH244" t="s">
        <v>327</v>
      </c>
      <c r="AI244" t="s">
        <v>121</v>
      </c>
      <c r="AJ244" t="s">
        <v>716</v>
      </c>
      <c r="AK244" t="s">
        <v>121</v>
      </c>
    </row>
    <row r="245" spans="9:37" x14ac:dyDescent="0.3">
      <c r="I245">
        <f ca="1">IF(OR(INDIRECT(A73&amp;ROW())=B93,INDIRECT(A73&amp;ROW())=B94),1,IF(AND(INDIRECT(A73&amp;ROW())=B95,INDIRECT(A96&amp;ROW())=C93),1,IF(AND(INDIRECT(A73&amp;ROW())=B95,INDIRECT(A96&amp;ROW())=C94),1,0)))</f>
        <v>0</v>
      </c>
      <c r="J245">
        <f ca="1">IF(AND(INDIRECT(A73&amp;ROW())=B95,INDIRECT(A96&amp;ROW())=C95),1,IF(AND(INDIRECT(A73&amp;ROW())=B95,INDIRECT(A96&amp;ROW())=C96),1,0))</f>
        <v>1</v>
      </c>
      <c r="K245">
        <f ca="1">DAYS360(INDIRECT(C68&amp;ROW()),TODAY())</f>
        <v>721</v>
      </c>
      <c r="L245">
        <f ca="1">DAYS360(INDIRECT(C69&amp;ROW()),TODAY())</f>
        <v>820</v>
      </c>
      <c r="M245">
        <f ca="1">HYPERLINK(CONCATENATE("https://bugzilla.houston.hp.com:1181/bugzilla/show_bug.cgi?id=",INDIRECT(C70&amp;ROW())),INDIRECT(C70&amp;ROW()))</f>
        <v>55976</v>
      </c>
      <c r="N245">
        <v>55976</v>
      </c>
      <c r="O245" t="s">
        <v>56</v>
      </c>
      <c r="P245" t="s">
        <v>569</v>
      </c>
      <c r="Q245" t="s">
        <v>25</v>
      </c>
      <c r="R245" t="s">
        <v>248</v>
      </c>
      <c r="S245" t="s">
        <v>552</v>
      </c>
      <c r="U245" s="6">
        <v>42125.451678240737</v>
      </c>
      <c r="V245" t="s">
        <v>18</v>
      </c>
      <c r="W245" t="s">
        <v>322</v>
      </c>
      <c r="X245" s="6">
        <v>42026.495092592595</v>
      </c>
      <c r="Y245" t="s">
        <v>122</v>
      </c>
      <c r="AB245" t="s">
        <v>201</v>
      </c>
      <c r="AC245" t="s">
        <v>247</v>
      </c>
      <c r="AD245" t="s">
        <v>220</v>
      </c>
      <c r="AE245" t="s">
        <v>219</v>
      </c>
      <c r="AG245" t="s">
        <v>121</v>
      </c>
      <c r="AH245" t="s">
        <v>327</v>
      </c>
      <c r="AI245" t="s">
        <v>121</v>
      </c>
      <c r="AJ245" t="s">
        <v>716</v>
      </c>
      <c r="AK245" t="s">
        <v>121</v>
      </c>
    </row>
    <row r="246" spans="9:37" x14ac:dyDescent="0.3">
      <c r="I246">
        <f ca="1">IF(OR(INDIRECT(A73&amp;ROW())=B93,INDIRECT(A73&amp;ROW())=B94),1,IF(AND(INDIRECT(A73&amp;ROW())=B95,INDIRECT(A96&amp;ROW())=C93),1,IF(AND(INDIRECT(A73&amp;ROW())=B95,INDIRECT(A96&amp;ROW())=C94),1,0)))</f>
        <v>0</v>
      </c>
      <c r="J246">
        <f ca="1">IF(AND(INDIRECT(A73&amp;ROW())=B95,INDIRECT(A96&amp;ROW())=C95),1,IF(AND(INDIRECT(A73&amp;ROW())=B95,INDIRECT(A96&amp;ROW())=C96),1,0))</f>
        <v>1</v>
      </c>
      <c r="K246">
        <f ca="1">DAYS360(INDIRECT(C68&amp;ROW()),TODAY())</f>
        <v>721</v>
      </c>
      <c r="L246">
        <f ca="1">DAYS360(INDIRECT(C69&amp;ROW()),TODAY())</f>
        <v>820</v>
      </c>
      <c r="M246">
        <f ca="1">HYPERLINK(CONCATENATE("https://bugzilla.houston.hp.com:1181/bugzilla/show_bug.cgi?id=",INDIRECT(C70&amp;ROW())),INDIRECT(C70&amp;ROW()))</f>
        <v>55978</v>
      </c>
      <c r="N246">
        <v>55978</v>
      </c>
      <c r="O246" t="s">
        <v>56</v>
      </c>
      <c r="P246" t="s">
        <v>568</v>
      </c>
      <c r="Q246" t="s">
        <v>25</v>
      </c>
      <c r="R246" t="s">
        <v>251</v>
      </c>
      <c r="S246" t="s">
        <v>66</v>
      </c>
      <c r="U246" s="6">
        <v>42125.451793981483</v>
      </c>
      <c r="V246" t="s">
        <v>18</v>
      </c>
      <c r="W246" t="s">
        <v>17</v>
      </c>
      <c r="X246" s="6">
        <v>42026.602916666663</v>
      </c>
      <c r="Y246" t="s">
        <v>122</v>
      </c>
      <c r="AB246" t="s">
        <v>201</v>
      </c>
      <c r="AC246" t="s">
        <v>247</v>
      </c>
      <c r="AD246" t="s">
        <v>220</v>
      </c>
      <c r="AE246" t="s">
        <v>219</v>
      </c>
      <c r="AG246" t="s">
        <v>121</v>
      </c>
      <c r="AH246" t="s">
        <v>327</v>
      </c>
      <c r="AI246" t="s">
        <v>121</v>
      </c>
      <c r="AJ246" t="s">
        <v>716</v>
      </c>
      <c r="AK246" t="s">
        <v>121</v>
      </c>
    </row>
    <row r="247" spans="9:37" x14ac:dyDescent="0.3">
      <c r="I247">
        <f ca="1">IF(OR(INDIRECT(A73&amp;ROW())=B93,INDIRECT(A73&amp;ROW())=B94),1,IF(AND(INDIRECT(A73&amp;ROW())=B95,INDIRECT(A96&amp;ROW())=C93),1,IF(AND(INDIRECT(A73&amp;ROW())=B95,INDIRECT(A96&amp;ROW())=C94),1,0)))</f>
        <v>0</v>
      </c>
      <c r="J247">
        <f ca="1">IF(AND(INDIRECT(A73&amp;ROW())=B95,INDIRECT(A96&amp;ROW())=C95),1,IF(AND(INDIRECT(A73&amp;ROW())=B95,INDIRECT(A96&amp;ROW())=C96),1,0))</f>
        <v>1</v>
      </c>
      <c r="K247">
        <f ca="1">DAYS360(INDIRECT(C68&amp;ROW()),TODAY())</f>
        <v>721</v>
      </c>
      <c r="L247">
        <f ca="1">DAYS360(INDIRECT(C69&amp;ROW()),TODAY())</f>
        <v>819</v>
      </c>
      <c r="M247">
        <f ca="1">HYPERLINK(CONCATENATE("https://bugzilla.houston.hp.com:1181/bugzilla/show_bug.cgi?id=",INDIRECT(C70&amp;ROW())),INDIRECT(C70&amp;ROW()))</f>
        <v>56013</v>
      </c>
      <c r="N247">
        <v>56013</v>
      </c>
      <c r="O247" t="s">
        <v>56</v>
      </c>
      <c r="P247" t="s">
        <v>567</v>
      </c>
      <c r="Q247" t="s">
        <v>25</v>
      </c>
      <c r="R247" t="s">
        <v>248</v>
      </c>
      <c r="S247" t="s">
        <v>552</v>
      </c>
      <c r="U247" s="6">
        <v>42125.451886574076</v>
      </c>
      <c r="V247" t="s">
        <v>18</v>
      </c>
      <c r="W247" t="s">
        <v>322</v>
      </c>
      <c r="X247" s="6">
        <v>42027.410879629628</v>
      </c>
      <c r="Y247" t="s">
        <v>122</v>
      </c>
      <c r="AB247" t="s">
        <v>201</v>
      </c>
      <c r="AC247" t="s">
        <v>247</v>
      </c>
      <c r="AD247" t="s">
        <v>220</v>
      </c>
      <c r="AE247" t="s">
        <v>219</v>
      </c>
      <c r="AG247" t="s">
        <v>121</v>
      </c>
      <c r="AH247" t="s">
        <v>327</v>
      </c>
      <c r="AI247" t="s">
        <v>121</v>
      </c>
      <c r="AJ247" t="s">
        <v>716</v>
      </c>
      <c r="AK247" t="s">
        <v>121</v>
      </c>
    </row>
    <row r="248" spans="9:37" x14ac:dyDescent="0.3">
      <c r="I248">
        <f ca="1">IF(OR(INDIRECT(A73&amp;ROW())=B93,INDIRECT(A73&amp;ROW())=B94),1,IF(AND(INDIRECT(A73&amp;ROW())=B95,INDIRECT(A96&amp;ROW())=C93),1,IF(AND(INDIRECT(A73&amp;ROW())=B95,INDIRECT(A96&amp;ROW())=C94),1,0)))</f>
        <v>0</v>
      </c>
      <c r="J248">
        <f ca="1">IF(AND(INDIRECT(A73&amp;ROW())=B95,INDIRECT(A96&amp;ROW())=C95),1,IF(AND(INDIRECT(A73&amp;ROW())=B95,INDIRECT(A96&amp;ROW())=C96),1,0))</f>
        <v>1</v>
      </c>
      <c r="K248">
        <f ca="1">DAYS360(INDIRECT(C68&amp;ROW()),TODAY())</f>
        <v>721</v>
      </c>
      <c r="L248">
        <f ca="1">DAYS360(INDIRECT(C69&amp;ROW()),TODAY())</f>
        <v>819</v>
      </c>
      <c r="M248">
        <f ca="1">HYPERLINK(CONCATENATE("https://bugzilla.houston.hp.com:1181/bugzilla/show_bug.cgi?id=",INDIRECT(C70&amp;ROW())),INDIRECT(C70&amp;ROW()))</f>
        <v>56028</v>
      </c>
      <c r="N248">
        <v>56028</v>
      </c>
      <c r="O248" t="s">
        <v>21</v>
      </c>
      <c r="P248" t="s">
        <v>573</v>
      </c>
      <c r="Q248" t="s">
        <v>25</v>
      </c>
      <c r="R248" t="s">
        <v>248</v>
      </c>
      <c r="S248" t="s">
        <v>552</v>
      </c>
      <c r="U248" s="6">
        <v>42125.676585648151</v>
      </c>
      <c r="V248" t="s">
        <v>18</v>
      </c>
      <c r="W248" t="s">
        <v>531</v>
      </c>
      <c r="X248" s="6">
        <v>42027.631597222222</v>
      </c>
      <c r="Y248" t="s">
        <v>255</v>
      </c>
      <c r="AB248" t="s">
        <v>201</v>
      </c>
      <c r="AC248" t="s">
        <v>247</v>
      </c>
      <c r="AD248" t="s">
        <v>222</v>
      </c>
      <c r="AE248" t="s">
        <v>225</v>
      </c>
      <c r="AG248" t="s">
        <v>121</v>
      </c>
      <c r="AH248" t="s">
        <v>327</v>
      </c>
      <c r="AI248" t="s">
        <v>362</v>
      </c>
      <c r="AJ248" t="s">
        <v>716</v>
      </c>
      <c r="AK248" t="s">
        <v>121</v>
      </c>
    </row>
    <row r="249" spans="9:37" x14ac:dyDescent="0.3">
      <c r="I249">
        <f ca="1">IF(OR(INDIRECT(A73&amp;ROW())=B93,INDIRECT(A73&amp;ROW())=B94),1,IF(AND(INDIRECT(A73&amp;ROW())=B95,INDIRECT(A96&amp;ROW())=C93),1,IF(AND(INDIRECT(A73&amp;ROW())=B95,INDIRECT(A96&amp;ROW())=C94),1,0)))</f>
        <v>0</v>
      </c>
      <c r="J249">
        <f ca="1">IF(AND(INDIRECT(A73&amp;ROW())=B95,INDIRECT(A96&amp;ROW())=C95),1,IF(AND(INDIRECT(A73&amp;ROW())=B95,INDIRECT(A96&amp;ROW())=C96),1,0))</f>
        <v>1</v>
      </c>
      <c r="K249">
        <f ca="1">DAYS360(INDIRECT(C68&amp;ROW()),TODAY())</f>
        <v>721</v>
      </c>
      <c r="L249">
        <f ca="1">DAYS360(INDIRECT(C69&amp;ROW()),TODAY())</f>
        <v>819</v>
      </c>
      <c r="M249">
        <f ca="1">HYPERLINK(CONCATENATE("https://bugzilla.houston.hp.com:1181/bugzilla/show_bug.cgi?id=",INDIRECT(C70&amp;ROW())),INDIRECT(C70&amp;ROW()))</f>
        <v>56029</v>
      </c>
      <c r="N249">
        <v>56029</v>
      </c>
      <c r="O249" t="s">
        <v>21</v>
      </c>
      <c r="P249" t="s">
        <v>572</v>
      </c>
      <c r="Q249" t="s">
        <v>25</v>
      </c>
      <c r="R249" t="s">
        <v>248</v>
      </c>
      <c r="S249" t="s">
        <v>552</v>
      </c>
      <c r="U249" s="6">
        <v>42125.677881944444</v>
      </c>
      <c r="V249" t="s">
        <v>18</v>
      </c>
      <c r="W249" t="s">
        <v>531</v>
      </c>
      <c r="X249" s="6">
        <v>42027.633900462963</v>
      </c>
      <c r="Y249" t="s">
        <v>255</v>
      </c>
      <c r="AB249" t="s">
        <v>201</v>
      </c>
      <c r="AC249" t="s">
        <v>247</v>
      </c>
      <c r="AD249" t="s">
        <v>222</v>
      </c>
      <c r="AE249" t="s">
        <v>240</v>
      </c>
      <c r="AG249" t="s">
        <v>121</v>
      </c>
      <c r="AH249" t="s">
        <v>327</v>
      </c>
      <c r="AI249" t="s">
        <v>121</v>
      </c>
      <c r="AJ249" t="s">
        <v>716</v>
      </c>
      <c r="AK249" t="s">
        <v>121</v>
      </c>
    </row>
    <row r="250" spans="9:37" x14ac:dyDescent="0.3">
      <c r="I250">
        <f ca="1">IF(OR(INDIRECT(A73&amp;ROW())=B93,INDIRECT(A73&amp;ROW())=B94),1,IF(AND(INDIRECT(A73&amp;ROW())=B95,INDIRECT(A96&amp;ROW())=C93),1,IF(AND(INDIRECT(A73&amp;ROW())=B95,INDIRECT(A96&amp;ROW())=C94),1,0)))</f>
        <v>0</v>
      </c>
      <c r="J250">
        <f ca="1">IF(AND(INDIRECT(A73&amp;ROW())=B95,INDIRECT(A96&amp;ROW())=C95),1,IF(AND(INDIRECT(A73&amp;ROW())=B95,INDIRECT(A96&amp;ROW())=C96),1,0))</f>
        <v>1</v>
      </c>
      <c r="K250">
        <f ca="1">DAYS360(INDIRECT(C68&amp;ROW()),TODAY())</f>
        <v>730</v>
      </c>
      <c r="L250">
        <f ca="1">DAYS360(INDIRECT(C69&amp;ROW()),TODAY())</f>
        <v>819</v>
      </c>
      <c r="M250">
        <f ca="1">HYPERLINK(CONCATENATE("https://bugzilla.houston.hp.com:1181/bugzilla/show_bug.cgi?id=",INDIRECT(C70&amp;ROW())),INDIRECT(C70&amp;ROW()))</f>
        <v>56033</v>
      </c>
      <c r="N250">
        <v>56033</v>
      </c>
      <c r="O250" t="s">
        <v>56</v>
      </c>
      <c r="P250" t="s">
        <v>585</v>
      </c>
      <c r="Q250" t="s">
        <v>25</v>
      </c>
      <c r="R250" t="s">
        <v>251</v>
      </c>
      <c r="S250" t="s">
        <v>66</v>
      </c>
      <c r="U250" s="6">
        <v>42116.735208333332</v>
      </c>
      <c r="V250" t="s">
        <v>18</v>
      </c>
      <c r="W250" t="s">
        <v>17</v>
      </c>
      <c r="X250" s="6">
        <v>42027.722395833334</v>
      </c>
      <c r="Y250" t="s">
        <v>124</v>
      </c>
      <c r="AB250" t="s">
        <v>201</v>
      </c>
      <c r="AC250" t="s">
        <v>247</v>
      </c>
      <c r="AD250" t="s">
        <v>220</v>
      </c>
      <c r="AE250" t="s">
        <v>219</v>
      </c>
      <c r="AG250" t="s">
        <v>121</v>
      </c>
      <c r="AH250" t="s">
        <v>327</v>
      </c>
      <c r="AI250" t="s">
        <v>121</v>
      </c>
      <c r="AJ250" t="s">
        <v>716</v>
      </c>
      <c r="AK250" t="s">
        <v>121</v>
      </c>
    </row>
    <row r="251" spans="9:37" x14ac:dyDescent="0.3">
      <c r="I251">
        <f ca="1">IF(OR(INDIRECT(A73&amp;ROW())=B93,INDIRECT(A73&amp;ROW())=B94),1,IF(AND(INDIRECT(A73&amp;ROW())=B95,INDIRECT(A96&amp;ROW())=C93),1,IF(AND(INDIRECT(A73&amp;ROW())=B95,INDIRECT(A96&amp;ROW())=C94),1,0)))</f>
        <v>0</v>
      </c>
      <c r="J251">
        <f ca="1">IF(AND(INDIRECT(A73&amp;ROW())=B95,INDIRECT(A96&amp;ROW())=C95),1,IF(AND(INDIRECT(A73&amp;ROW())=B95,INDIRECT(A96&amp;ROW())=C96),1,0))</f>
        <v>1</v>
      </c>
      <c r="K251">
        <f ca="1">DAYS360(INDIRECT(C68&amp;ROW()),TODAY())</f>
        <v>816</v>
      </c>
      <c r="L251">
        <f ca="1">DAYS360(INDIRECT(C69&amp;ROW()),TODAY())</f>
        <v>816</v>
      </c>
      <c r="M251">
        <f ca="1">HYPERLINK(CONCATENATE("https://bugzilla.houston.hp.com:1181/bugzilla/show_bug.cgi?id=",INDIRECT(C70&amp;ROW())),INDIRECT(C70&amp;ROW()))</f>
        <v>56045</v>
      </c>
      <c r="N251">
        <v>56045</v>
      </c>
      <c r="O251" t="s">
        <v>56</v>
      </c>
      <c r="P251" t="s">
        <v>571</v>
      </c>
      <c r="Q251" t="s">
        <v>25</v>
      </c>
      <c r="R251" t="s">
        <v>248</v>
      </c>
      <c r="S251" t="s">
        <v>552</v>
      </c>
      <c r="U251" s="6">
        <v>42030.326377314814</v>
      </c>
      <c r="V251" t="s">
        <v>18</v>
      </c>
      <c r="W251" t="s">
        <v>205</v>
      </c>
      <c r="X251" s="6">
        <v>42030.325902777775</v>
      </c>
      <c r="Y251" t="s">
        <v>124</v>
      </c>
      <c r="AB251" t="s">
        <v>201</v>
      </c>
      <c r="AC251" t="s">
        <v>247</v>
      </c>
      <c r="AD251" t="s">
        <v>220</v>
      </c>
      <c r="AE251" t="s">
        <v>219</v>
      </c>
      <c r="AG251" t="s">
        <v>121</v>
      </c>
      <c r="AH251" t="s">
        <v>327</v>
      </c>
      <c r="AI251" t="s">
        <v>121</v>
      </c>
      <c r="AJ251" t="s">
        <v>716</v>
      </c>
      <c r="AK251" t="s">
        <v>121</v>
      </c>
    </row>
    <row r="252" spans="9:37" x14ac:dyDescent="0.3">
      <c r="I252">
        <f ca="1">IF(OR(INDIRECT(A73&amp;ROW())=B93,INDIRECT(A73&amp;ROW())=B94),1,IF(AND(INDIRECT(A73&amp;ROW())=B95,INDIRECT(A96&amp;ROW())=C93),1,IF(AND(INDIRECT(A73&amp;ROW())=B95,INDIRECT(A96&amp;ROW())=C94),1,0)))</f>
        <v>0</v>
      </c>
      <c r="J252">
        <f ca="1">IF(AND(INDIRECT(A73&amp;ROW())=B95,INDIRECT(A96&amp;ROW())=C95),1,IF(AND(INDIRECT(A73&amp;ROW())=B95,INDIRECT(A96&amp;ROW())=C96),1,0))</f>
        <v>1</v>
      </c>
      <c r="K252">
        <f ca="1">DAYS360(INDIRECT(C68&amp;ROW()),TODAY())</f>
        <v>684</v>
      </c>
      <c r="L252">
        <f ca="1">DAYS360(INDIRECT(C69&amp;ROW()),TODAY())</f>
        <v>816</v>
      </c>
      <c r="M252">
        <f ca="1">HYPERLINK(CONCATENATE("https://bugzilla.houston.hp.com:1181/bugzilla/show_bug.cgi?id=",INDIRECT(C70&amp;ROW())),INDIRECT(C70&amp;ROW()))</f>
        <v>56053</v>
      </c>
      <c r="N252">
        <v>56053</v>
      </c>
      <c r="O252" t="s">
        <v>56</v>
      </c>
      <c r="P252" t="s">
        <v>584</v>
      </c>
      <c r="Q252" t="s">
        <v>25</v>
      </c>
      <c r="R252" t="s">
        <v>251</v>
      </c>
      <c r="S252" t="s">
        <v>66</v>
      </c>
      <c r="U252" s="6">
        <v>42163.602731481478</v>
      </c>
      <c r="V252" t="s">
        <v>18</v>
      </c>
      <c r="W252" t="s">
        <v>17</v>
      </c>
      <c r="X252" s="6">
        <v>42030.454444444447</v>
      </c>
      <c r="Y252" t="s">
        <v>122</v>
      </c>
      <c r="AB252" t="s">
        <v>201</v>
      </c>
      <c r="AC252" t="s">
        <v>247</v>
      </c>
      <c r="AD252" t="s">
        <v>220</v>
      </c>
      <c r="AE252" t="s">
        <v>219</v>
      </c>
      <c r="AG252" t="s">
        <v>121</v>
      </c>
      <c r="AH252" t="s">
        <v>327</v>
      </c>
      <c r="AI252" t="s">
        <v>121</v>
      </c>
      <c r="AJ252" t="s">
        <v>716</v>
      </c>
      <c r="AK252" t="s">
        <v>121</v>
      </c>
    </row>
    <row r="253" spans="9:37" x14ac:dyDescent="0.3">
      <c r="I253">
        <f ca="1">IF(OR(INDIRECT(A73&amp;ROW())=B93,INDIRECT(A73&amp;ROW())=B94),1,IF(AND(INDIRECT(A73&amp;ROW())=B95,INDIRECT(A96&amp;ROW())=C93),1,IF(AND(INDIRECT(A73&amp;ROW())=B95,INDIRECT(A96&amp;ROW())=C94),1,0)))</f>
        <v>0</v>
      </c>
      <c r="J253">
        <f ca="1">IF(AND(INDIRECT(A73&amp;ROW())=B95,INDIRECT(A96&amp;ROW())=C95),1,IF(AND(INDIRECT(A73&amp;ROW())=B95,INDIRECT(A96&amp;ROW())=C96),1,0))</f>
        <v>1</v>
      </c>
      <c r="K253">
        <f ca="1">DAYS360(INDIRECT(C68&amp;ROW()),TODAY())</f>
        <v>721</v>
      </c>
      <c r="L253">
        <f ca="1">DAYS360(INDIRECT(C69&amp;ROW()),TODAY())</f>
        <v>816</v>
      </c>
      <c r="M253">
        <f ca="1">HYPERLINK(CONCATENATE("https://bugzilla.houston.hp.com:1181/bugzilla/show_bug.cgi?id=",INDIRECT(C70&amp;ROW())),INDIRECT(C70&amp;ROW()))</f>
        <v>56057</v>
      </c>
      <c r="N253">
        <v>56057</v>
      </c>
      <c r="O253" t="s">
        <v>56</v>
      </c>
      <c r="P253" t="s">
        <v>583</v>
      </c>
      <c r="Q253" t="s">
        <v>25</v>
      </c>
      <c r="R253" t="s">
        <v>248</v>
      </c>
      <c r="S253" t="s">
        <v>552</v>
      </c>
      <c r="U253" s="6">
        <v>42125.452974537038</v>
      </c>
      <c r="V253" t="s">
        <v>18</v>
      </c>
      <c r="W253" t="s">
        <v>322</v>
      </c>
      <c r="X253" s="6">
        <v>42030.48777777778</v>
      </c>
      <c r="Y253" t="s">
        <v>122</v>
      </c>
      <c r="AB253" t="s">
        <v>201</v>
      </c>
      <c r="AC253" t="s">
        <v>247</v>
      </c>
      <c r="AD253" t="s">
        <v>220</v>
      </c>
      <c r="AE253" t="s">
        <v>219</v>
      </c>
      <c r="AG253" t="s">
        <v>121</v>
      </c>
      <c r="AH253" t="s">
        <v>327</v>
      </c>
      <c r="AI253" t="s">
        <v>121</v>
      </c>
      <c r="AJ253" t="s">
        <v>716</v>
      </c>
      <c r="AK253" t="s">
        <v>121</v>
      </c>
    </row>
    <row r="254" spans="9:37" x14ac:dyDescent="0.3">
      <c r="I254">
        <f ca="1">IF(OR(INDIRECT(A73&amp;ROW())=B93,INDIRECT(A73&amp;ROW())=B94),1,IF(AND(INDIRECT(A73&amp;ROW())=B95,INDIRECT(A96&amp;ROW())=C93),1,IF(AND(INDIRECT(A73&amp;ROW())=B95,INDIRECT(A96&amp;ROW())=C94),1,0)))</f>
        <v>0</v>
      </c>
      <c r="J254">
        <f ca="1">IF(AND(INDIRECT(A73&amp;ROW())=B95,INDIRECT(A96&amp;ROW())=C95),1,IF(AND(INDIRECT(A73&amp;ROW())=B95,INDIRECT(A96&amp;ROW())=C96),1,0))</f>
        <v>1</v>
      </c>
      <c r="K254">
        <f ca="1">DAYS360(INDIRECT(C68&amp;ROW()),TODAY())</f>
        <v>684</v>
      </c>
      <c r="L254">
        <f ca="1">DAYS360(INDIRECT(C69&amp;ROW()),TODAY())</f>
        <v>816</v>
      </c>
      <c r="M254">
        <f ca="1">HYPERLINK(CONCATENATE("https://bugzilla.houston.hp.com:1181/bugzilla/show_bug.cgi?id=",INDIRECT(C70&amp;ROW())),INDIRECT(C70&amp;ROW()))</f>
        <v>56067</v>
      </c>
      <c r="N254">
        <v>56067</v>
      </c>
      <c r="O254" t="s">
        <v>56</v>
      </c>
      <c r="P254" t="s">
        <v>582</v>
      </c>
      <c r="Q254" t="s">
        <v>25</v>
      </c>
      <c r="R254" t="s">
        <v>251</v>
      </c>
      <c r="S254" t="s">
        <v>66</v>
      </c>
      <c r="U254" s="6">
        <v>42163.605011574073</v>
      </c>
      <c r="V254" t="s">
        <v>18</v>
      </c>
      <c r="W254" t="s">
        <v>17</v>
      </c>
      <c r="X254" s="6">
        <v>42030.65353009259</v>
      </c>
      <c r="Y254" t="s">
        <v>122</v>
      </c>
      <c r="AB254" t="s">
        <v>201</v>
      </c>
      <c r="AC254" t="s">
        <v>247</v>
      </c>
      <c r="AD254" t="s">
        <v>220</v>
      </c>
      <c r="AE254" t="s">
        <v>219</v>
      </c>
      <c r="AG254" t="s">
        <v>121</v>
      </c>
      <c r="AH254" t="s">
        <v>327</v>
      </c>
      <c r="AI254" t="s">
        <v>121</v>
      </c>
      <c r="AJ254" t="s">
        <v>716</v>
      </c>
      <c r="AK254" t="s">
        <v>121</v>
      </c>
    </row>
    <row r="255" spans="9:37" x14ac:dyDescent="0.3">
      <c r="I255">
        <f ca="1">IF(OR(INDIRECT(A73&amp;ROW())=B93,INDIRECT(A73&amp;ROW())=B94),1,IF(AND(INDIRECT(A73&amp;ROW())=B95,INDIRECT(A96&amp;ROW())=C93),1,IF(AND(INDIRECT(A73&amp;ROW())=B95,INDIRECT(A96&amp;ROW())=C94),1,0)))</f>
        <v>0</v>
      </c>
      <c r="J255">
        <f ca="1">IF(AND(INDIRECT(A73&amp;ROW())=B95,INDIRECT(A96&amp;ROW())=C95),1,IF(AND(INDIRECT(A73&amp;ROW())=B95,INDIRECT(A96&amp;ROW())=C96),1,0))</f>
        <v>1</v>
      </c>
      <c r="K255">
        <f ca="1">DAYS360(INDIRECT(C68&amp;ROW()),TODAY())</f>
        <v>721</v>
      </c>
      <c r="L255">
        <f ca="1">DAYS360(INDIRECT(C69&amp;ROW()),TODAY())</f>
        <v>816</v>
      </c>
      <c r="M255">
        <f ca="1">HYPERLINK(CONCATENATE("https://bugzilla.houston.hp.com:1181/bugzilla/show_bug.cgi?id=",INDIRECT(C70&amp;ROW())),INDIRECT(C70&amp;ROW()))</f>
        <v>56070</v>
      </c>
      <c r="N255">
        <v>56070</v>
      </c>
      <c r="O255" t="s">
        <v>56</v>
      </c>
      <c r="P255" t="s">
        <v>581</v>
      </c>
      <c r="Q255" t="s">
        <v>25</v>
      </c>
      <c r="R255" t="s">
        <v>248</v>
      </c>
      <c r="S255" t="s">
        <v>552</v>
      </c>
      <c r="U255" s="6">
        <v>42125.452928240738</v>
      </c>
      <c r="V255" t="s">
        <v>18</v>
      </c>
      <c r="W255" t="s">
        <v>322</v>
      </c>
      <c r="X255" s="6">
        <v>42030.662905092591</v>
      </c>
      <c r="Y255" t="s">
        <v>122</v>
      </c>
      <c r="AB255" t="s">
        <v>201</v>
      </c>
      <c r="AC255" t="s">
        <v>247</v>
      </c>
      <c r="AD255" t="s">
        <v>220</v>
      </c>
      <c r="AE255" t="s">
        <v>219</v>
      </c>
      <c r="AG255" t="s">
        <v>121</v>
      </c>
      <c r="AH255" t="s">
        <v>327</v>
      </c>
      <c r="AI255" t="s">
        <v>121</v>
      </c>
      <c r="AJ255" t="s">
        <v>716</v>
      </c>
      <c r="AK255" t="s">
        <v>121</v>
      </c>
    </row>
    <row r="256" spans="9:37" x14ac:dyDescent="0.3">
      <c r="I256">
        <f ca="1">IF(OR(INDIRECT(A73&amp;ROW())=B93,INDIRECT(A73&amp;ROW())=B94),1,IF(AND(INDIRECT(A73&amp;ROW())=B95,INDIRECT(A96&amp;ROW())=C93),1,IF(AND(INDIRECT(A73&amp;ROW())=B95,INDIRECT(A96&amp;ROW())=C94),1,0)))</f>
        <v>1</v>
      </c>
      <c r="J256">
        <f ca="1">IF(AND(INDIRECT(A73&amp;ROW())=B95,INDIRECT(A96&amp;ROW())=C95),1,IF(AND(INDIRECT(A73&amp;ROW())=B95,INDIRECT(A96&amp;ROW())=C96),1,0))</f>
        <v>0</v>
      </c>
      <c r="K256">
        <f ca="1">DAYS360(INDIRECT(C68&amp;ROW()),TODAY())</f>
        <v>681</v>
      </c>
      <c r="L256">
        <f ca="1">DAYS360(INDIRECT(C69&amp;ROW()),TODAY())</f>
        <v>815</v>
      </c>
      <c r="M256">
        <f ca="1">HYPERLINK(CONCATENATE("https://bugzilla.houston.hp.com:1181/bugzilla/show_bug.cgi?id=",INDIRECT(C70&amp;ROW())),INDIRECT(C70&amp;ROW()))</f>
        <v>56087</v>
      </c>
      <c r="N256">
        <v>56087</v>
      </c>
      <c r="O256" t="s">
        <v>241</v>
      </c>
      <c r="P256" t="s">
        <v>791</v>
      </c>
      <c r="Q256" t="s">
        <v>25</v>
      </c>
      <c r="R256" t="s">
        <v>251</v>
      </c>
      <c r="S256" t="s">
        <v>33</v>
      </c>
      <c r="U256" s="6">
        <v>42166.337025462963</v>
      </c>
      <c r="V256" t="s">
        <v>18</v>
      </c>
      <c r="W256" t="s">
        <v>17</v>
      </c>
      <c r="X256" s="6">
        <v>42031.244432870371</v>
      </c>
      <c r="Y256" t="s">
        <v>535</v>
      </c>
      <c r="Z256" t="s">
        <v>125</v>
      </c>
      <c r="AB256" t="s">
        <v>200</v>
      </c>
      <c r="AC256" t="s">
        <v>247</v>
      </c>
      <c r="AD256" t="s">
        <v>220</v>
      </c>
      <c r="AE256" t="s">
        <v>224</v>
      </c>
      <c r="AG256" t="s">
        <v>121</v>
      </c>
      <c r="AH256" t="s">
        <v>327</v>
      </c>
      <c r="AI256" t="s">
        <v>362</v>
      </c>
      <c r="AJ256" t="s">
        <v>715</v>
      </c>
      <c r="AK256" t="s">
        <v>121</v>
      </c>
    </row>
    <row r="257" spans="9:37" x14ac:dyDescent="0.3">
      <c r="I257">
        <f ca="1">IF(OR(INDIRECT(A73&amp;ROW())=B93,INDIRECT(A73&amp;ROW())=B94),1,IF(AND(INDIRECT(A73&amp;ROW())=B95,INDIRECT(A96&amp;ROW())=C93),1,IF(AND(INDIRECT(A73&amp;ROW())=B95,INDIRECT(A96&amp;ROW())=C94),1,0)))</f>
        <v>1</v>
      </c>
      <c r="J257">
        <f ca="1">IF(AND(INDIRECT(A73&amp;ROW())=B95,INDIRECT(A96&amp;ROW())=C95),1,IF(AND(INDIRECT(A73&amp;ROW())=B95,INDIRECT(A96&amp;ROW())=C96),1,0))</f>
        <v>0</v>
      </c>
      <c r="K257">
        <f ca="1">DAYS360(INDIRECT(C68&amp;ROW()),TODAY())</f>
        <v>675</v>
      </c>
      <c r="L257">
        <f ca="1">DAYS360(INDIRECT(C69&amp;ROW()),TODAY())</f>
        <v>815</v>
      </c>
      <c r="M257">
        <f ca="1">HYPERLINK(CONCATENATE("https://bugzilla.houston.hp.com:1181/bugzilla/show_bug.cgi?id=",INDIRECT(C70&amp;ROW())),INDIRECT(C70&amp;ROW()))</f>
        <v>56100</v>
      </c>
      <c r="N257">
        <v>56100</v>
      </c>
      <c r="O257" t="s">
        <v>919</v>
      </c>
      <c r="P257" t="s">
        <v>790</v>
      </c>
      <c r="Q257" t="s">
        <v>25</v>
      </c>
      <c r="R257" t="s">
        <v>579</v>
      </c>
      <c r="S257" t="s">
        <v>552</v>
      </c>
      <c r="T257" t="s">
        <v>815</v>
      </c>
      <c r="U257" s="6">
        <v>42172.616979166669</v>
      </c>
      <c r="V257" t="s">
        <v>40</v>
      </c>
      <c r="W257" t="s">
        <v>17</v>
      </c>
      <c r="X257" s="6">
        <v>42031.425138888888</v>
      </c>
      <c r="Y257" t="s">
        <v>119</v>
      </c>
      <c r="Z257" t="s">
        <v>125</v>
      </c>
      <c r="AB257" t="s">
        <v>200</v>
      </c>
      <c r="AC257" t="s">
        <v>247</v>
      </c>
      <c r="AD257" t="s">
        <v>220</v>
      </c>
      <c r="AE257" t="s">
        <v>224</v>
      </c>
      <c r="AG257" t="s">
        <v>121</v>
      </c>
      <c r="AH257" t="s">
        <v>327</v>
      </c>
      <c r="AI257" t="s">
        <v>362</v>
      </c>
      <c r="AJ257" t="s">
        <v>715</v>
      </c>
      <c r="AK257" t="s">
        <v>121</v>
      </c>
    </row>
    <row r="258" spans="9:37" x14ac:dyDescent="0.3">
      <c r="I258">
        <f ca="1">IF(OR(INDIRECT(A73&amp;ROW())=B93,INDIRECT(A73&amp;ROW())=B94),1,IF(AND(INDIRECT(A73&amp;ROW())=B95,INDIRECT(A96&amp;ROW())=C93),1,IF(AND(INDIRECT(A73&amp;ROW())=B95,INDIRECT(A96&amp;ROW())=C94),1,0)))</f>
        <v>1</v>
      </c>
      <c r="J258">
        <f ca="1">IF(AND(INDIRECT(A73&amp;ROW())=B95,INDIRECT(A96&amp;ROW())=C95),1,IF(AND(INDIRECT(A73&amp;ROW())=B95,INDIRECT(A96&amp;ROW())=C96),1,0))</f>
        <v>0</v>
      </c>
      <c r="K258">
        <f ca="1">DAYS360(INDIRECT(C68&amp;ROW()),TODAY())</f>
        <v>690</v>
      </c>
      <c r="L258">
        <f ca="1">DAYS360(INDIRECT(C69&amp;ROW()),TODAY())</f>
        <v>815</v>
      </c>
      <c r="M258">
        <f ca="1">HYPERLINK(CONCATENATE("https://bugzilla.houston.hp.com:1181/bugzilla/show_bug.cgi?id=",INDIRECT(C70&amp;ROW())),INDIRECT(C70&amp;ROW()))</f>
        <v>56102</v>
      </c>
      <c r="N258">
        <v>56102</v>
      </c>
      <c r="O258" t="s">
        <v>56</v>
      </c>
      <c r="P258" t="s">
        <v>789</v>
      </c>
      <c r="Q258" t="s">
        <v>25</v>
      </c>
      <c r="R258" t="s">
        <v>248</v>
      </c>
      <c r="S258" t="s">
        <v>552</v>
      </c>
      <c r="U258" s="6">
        <v>42157.112395833334</v>
      </c>
      <c r="V258" t="s">
        <v>18</v>
      </c>
      <c r="W258" t="s">
        <v>17</v>
      </c>
      <c r="X258" s="6">
        <v>42031.428599537037</v>
      </c>
      <c r="Y258" t="s">
        <v>119</v>
      </c>
      <c r="Z258" t="s">
        <v>125</v>
      </c>
      <c r="AB258" t="s">
        <v>200</v>
      </c>
      <c r="AC258" t="s">
        <v>247</v>
      </c>
      <c r="AD258" t="s">
        <v>220</v>
      </c>
      <c r="AE258" t="s">
        <v>219</v>
      </c>
      <c r="AG258" t="s">
        <v>121</v>
      </c>
      <c r="AH258" t="s">
        <v>327</v>
      </c>
      <c r="AI258" t="s">
        <v>121</v>
      </c>
      <c r="AJ258" t="s">
        <v>715</v>
      </c>
      <c r="AK258" t="s">
        <v>121</v>
      </c>
    </row>
    <row r="259" spans="9:37" x14ac:dyDescent="0.3">
      <c r="I259">
        <f ca="1">IF(OR(INDIRECT(A73&amp;ROW())=B93,INDIRECT(A73&amp;ROW())=B94),1,IF(AND(INDIRECT(A73&amp;ROW())=B95,INDIRECT(A96&amp;ROW())=C93),1,IF(AND(INDIRECT(A73&amp;ROW())=B95,INDIRECT(A96&amp;ROW())=C94),1,0)))</f>
        <v>0</v>
      </c>
      <c r="J259">
        <f ca="1">IF(AND(INDIRECT(A73&amp;ROW())=B95,INDIRECT(A96&amp;ROW())=C95),1,IF(AND(INDIRECT(A73&amp;ROW())=B95,INDIRECT(A96&amp;ROW())=C96),1,0))</f>
        <v>0</v>
      </c>
      <c r="K259">
        <f ca="1">DAYS360(INDIRECT(C68&amp;ROW()),TODAY())</f>
        <v>721</v>
      </c>
      <c r="L259">
        <f ca="1">DAYS360(INDIRECT(C69&amp;ROW()),TODAY())</f>
        <v>810</v>
      </c>
      <c r="M259">
        <f ca="1">HYPERLINK(CONCATENATE("https://bugzilla.houston.hp.com:1181/bugzilla/show_bug.cgi?id=",INDIRECT(C70&amp;ROW())),INDIRECT(C70&amp;ROW()))</f>
        <v>56385</v>
      </c>
      <c r="N259">
        <v>56385</v>
      </c>
      <c r="O259" t="s">
        <v>22</v>
      </c>
      <c r="P259" t="s">
        <v>578</v>
      </c>
      <c r="Q259" t="s">
        <v>16</v>
      </c>
      <c r="R259" t="s">
        <v>251</v>
      </c>
      <c r="S259" t="s">
        <v>43</v>
      </c>
      <c r="U259" s="6">
        <v>42125.452986111108</v>
      </c>
      <c r="V259" t="s">
        <v>18</v>
      </c>
      <c r="W259" t="s">
        <v>17</v>
      </c>
      <c r="X259" s="6">
        <v>42037.399351851855</v>
      </c>
      <c r="Y259" t="s">
        <v>122</v>
      </c>
      <c r="AB259" t="s">
        <v>201</v>
      </c>
      <c r="AC259" t="s">
        <v>247</v>
      </c>
      <c r="AD259" t="s">
        <v>222</v>
      </c>
      <c r="AE259" t="s">
        <v>240</v>
      </c>
      <c r="AG259" t="s">
        <v>121</v>
      </c>
      <c r="AH259" t="s">
        <v>327</v>
      </c>
      <c r="AI259" t="s">
        <v>121</v>
      </c>
      <c r="AJ259" t="s">
        <v>717</v>
      </c>
      <c r="AK259" t="s">
        <v>121</v>
      </c>
    </row>
    <row r="260" spans="9:37" x14ac:dyDescent="0.3">
      <c r="I260">
        <f ca="1">IF(OR(INDIRECT(A73&amp;ROW())=B93,INDIRECT(A73&amp;ROW())=B94),1,IF(AND(INDIRECT(A73&amp;ROW())=B95,INDIRECT(A96&amp;ROW())=C93),1,IF(AND(INDIRECT(A73&amp;ROW())=B95,INDIRECT(A96&amp;ROW())=C94),1,0)))</f>
        <v>0</v>
      </c>
      <c r="J260">
        <f ca="1">IF(AND(INDIRECT(A73&amp;ROW())=B95,INDIRECT(A96&amp;ROW())=C95),1,IF(AND(INDIRECT(A73&amp;ROW())=B95,INDIRECT(A96&amp;ROW())=C96),1,0))</f>
        <v>1</v>
      </c>
      <c r="K260">
        <f ca="1">DAYS360(INDIRECT(C68&amp;ROW()),TODAY())</f>
        <v>730</v>
      </c>
      <c r="L260">
        <f ca="1">DAYS360(INDIRECT(C69&amp;ROW()),TODAY())</f>
        <v>810</v>
      </c>
      <c r="M260">
        <f ca="1">HYPERLINK(CONCATENATE("https://bugzilla.houston.hp.com:1181/bugzilla/show_bug.cgi?id=",INDIRECT(C70&amp;ROW())),INDIRECT(C70&amp;ROW()))</f>
        <v>56388</v>
      </c>
      <c r="N260">
        <v>56388</v>
      </c>
      <c r="O260" t="s">
        <v>56</v>
      </c>
      <c r="P260" t="s">
        <v>596</v>
      </c>
      <c r="Q260" t="s">
        <v>25</v>
      </c>
      <c r="R260" t="s">
        <v>251</v>
      </c>
      <c r="S260" t="s">
        <v>66</v>
      </c>
      <c r="U260" s="6">
        <v>42116.735567129632</v>
      </c>
      <c r="V260" t="s">
        <v>18</v>
      </c>
      <c r="W260" t="s">
        <v>17</v>
      </c>
      <c r="X260" s="6">
        <v>42037.476793981485</v>
      </c>
      <c r="Y260" t="s">
        <v>788</v>
      </c>
      <c r="AB260" t="s">
        <v>201</v>
      </c>
      <c r="AC260" t="s">
        <v>247</v>
      </c>
      <c r="AD260" t="s">
        <v>220</v>
      </c>
      <c r="AE260" t="s">
        <v>219</v>
      </c>
      <c r="AG260" t="s">
        <v>121</v>
      </c>
      <c r="AH260" t="s">
        <v>327</v>
      </c>
      <c r="AI260" t="s">
        <v>121</v>
      </c>
      <c r="AJ260" t="s">
        <v>716</v>
      </c>
      <c r="AK260" t="s">
        <v>121</v>
      </c>
    </row>
    <row r="261" spans="9:37" x14ac:dyDescent="0.3">
      <c r="I261">
        <f ca="1">IF(OR(INDIRECT(A73&amp;ROW())=B93,INDIRECT(A73&amp;ROW())=B94),1,IF(AND(INDIRECT(A73&amp;ROW())=B95,INDIRECT(A96&amp;ROW())=C93),1,IF(AND(INDIRECT(A73&amp;ROW())=B95,INDIRECT(A96&amp;ROW())=C94),1,0)))</f>
        <v>1</v>
      </c>
      <c r="J261">
        <f ca="1">IF(AND(INDIRECT(A73&amp;ROW())=B95,INDIRECT(A96&amp;ROW())=C95),1,IF(AND(INDIRECT(A73&amp;ROW())=B95,INDIRECT(A96&amp;ROW())=C96),1,0))</f>
        <v>0</v>
      </c>
      <c r="K261">
        <f ca="1">DAYS360(INDIRECT(C68&amp;ROW()),TODAY())</f>
        <v>730</v>
      </c>
      <c r="L261">
        <f ca="1">DAYS360(INDIRECT(C69&amp;ROW()),TODAY())</f>
        <v>810</v>
      </c>
      <c r="M261">
        <f ca="1">HYPERLINK(CONCATENATE("https://bugzilla.houston.hp.com:1181/bugzilla/show_bug.cgi?id=",INDIRECT(C70&amp;ROW())),INDIRECT(C70&amp;ROW()))</f>
        <v>56399</v>
      </c>
      <c r="N261">
        <v>56399</v>
      </c>
      <c r="O261" t="s">
        <v>68</v>
      </c>
      <c r="P261" t="s">
        <v>802</v>
      </c>
      <c r="Q261" t="s">
        <v>25</v>
      </c>
      <c r="R261" t="s">
        <v>251</v>
      </c>
      <c r="S261" t="s">
        <v>577</v>
      </c>
      <c r="U261" s="6">
        <v>42116.735636574071</v>
      </c>
      <c r="V261" t="s">
        <v>40</v>
      </c>
      <c r="W261" t="s">
        <v>17</v>
      </c>
      <c r="X261" s="6">
        <v>42037.707766203705</v>
      </c>
      <c r="Y261" t="s">
        <v>255</v>
      </c>
      <c r="Z261" t="s">
        <v>125</v>
      </c>
      <c r="AB261" t="s">
        <v>200</v>
      </c>
      <c r="AC261" t="s">
        <v>247</v>
      </c>
      <c r="AD261" t="s">
        <v>220</v>
      </c>
      <c r="AE261" t="s">
        <v>229</v>
      </c>
      <c r="AG261" t="s">
        <v>121</v>
      </c>
      <c r="AH261" t="s">
        <v>327</v>
      </c>
      <c r="AI261" t="s">
        <v>121</v>
      </c>
      <c r="AJ261" t="s">
        <v>715</v>
      </c>
      <c r="AK261" t="s">
        <v>121</v>
      </c>
    </row>
    <row r="262" spans="9:37" x14ac:dyDescent="0.3">
      <c r="I262">
        <f ca="1">IF(OR(INDIRECT(A73&amp;ROW())=B93,INDIRECT(A73&amp;ROW())=B94),1,IF(AND(INDIRECT(A73&amp;ROW())=B95,INDIRECT(A96&amp;ROW())=C93),1,IF(AND(INDIRECT(A73&amp;ROW())=B95,INDIRECT(A96&amp;ROW())=C94),1,0)))</f>
        <v>0</v>
      </c>
      <c r="J262">
        <f ca="1">IF(AND(INDIRECT(A73&amp;ROW())=B95,INDIRECT(A96&amp;ROW())=C95),1,IF(AND(INDIRECT(A73&amp;ROW())=B95,INDIRECT(A96&amp;ROW())=C96),1,0))</f>
        <v>1</v>
      </c>
      <c r="K262">
        <f ca="1">DAYS360(INDIRECT(C68&amp;ROW()),TODAY())</f>
        <v>679</v>
      </c>
      <c r="L262">
        <f ca="1">DAYS360(INDIRECT(C69&amp;ROW()),TODAY())</f>
        <v>809</v>
      </c>
      <c r="M262">
        <f ca="1">HYPERLINK(CONCATENATE("https://bugzilla.houston.hp.com:1181/bugzilla/show_bug.cgi?id=",INDIRECT(C70&amp;ROW())),INDIRECT(C70&amp;ROW()))</f>
        <v>56425</v>
      </c>
      <c r="N262">
        <v>56425</v>
      </c>
      <c r="O262" t="s">
        <v>56</v>
      </c>
      <c r="P262" t="s">
        <v>595</v>
      </c>
      <c r="Q262" t="s">
        <v>25</v>
      </c>
      <c r="R262" t="s">
        <v>251</v>
      </c>
      <c r="S262" t="s">
        <v>66</v>
      </c>
      <c r="U262" s="6">
        <v>42168.422650462962</v>
      </c>
      <c r="V262" t="s">
        <v>18</v>
      </c>
      <c r="W262" t="s">
        <v>17</v>
      </c>
      <c r="X262" s="6">
        <v>42038.452962962961</v>
      </c>
      <c r="Y262" t="s">
        <v>788</v>
      </c>
      <c r="AB262" t="s">
        <v>201</v>
      </c>
      <c r="AC262" t="s">
        <v>247</v>
      </c>
      <c r="AD262" t="s">
        <v>220</v>
      </c>
      <c r="AE262" t="s">
        <v>219</v>
      </c>
      <c r="AG262" t="s">
        <v>121</v>
      </c>
      <c r="AH262" t="s">
        <v>327</v>
      </c>
      <c r="AI262" t="s">
        <v>121</v>
      </c>
      <c r="AJ262" t="s">
        <v>716</v>
      </c>
      <c r="AK262" t="s">
        <v>121</v>
      </c>
    </row>
    <row r="263" spans="9:37" x14ac:dyDescent="0.3">
      <c r="I263">
        <f ca="1">IF(OR(INDIRECT(A73&amp;ROW())=B93,INDIRECT(A73&amp;ROW())=B94),1,IF(AND(INDIRECT(A73&amp;ROW())=B95,INDIRECT(A96&amp;ROW())=C93),1,IF(AND(INDIRECT(A73&amp;ROW())=B95,INDIRECT(A96&amp;ROW())=C94),1,0)))</f>
        <v>0</v>
      </c>
      <c r="J263">
        <f ca="1">IF(AND(INDIRECT(A73&amp;ROW())=B95,INDIRECT(A96&amp;ROW())=C95),1,IF(AND(INDIRECT(A73&amp;ROW())=B95,INDIRECT(A96&amp;ROW())=C96),1,0))</f>
        <v>1</v>
      </c>
      <c r="K263">
        <f ca="1">DAYS360(INDIRECT(C68&amp;ROW()),TODAY())</f>
        <v>799</v>
      </c>
      <c r="L263">
        <f ca="1">DAYS360(INDIRECT(C69&amp;ROW()),TODAY())</f>
        <v>809</v>
      </c>
      <c r="M263">
        <f ca="1">HYPERLINK(CONCATENATE("https://bugzilla.houston.hp.com:1181/bugzilla/show_bug.cgi?id=",INDIRECT(C70&amp;ROW())),INDIRECT(C70&amp;ROW()))</f>
        <v>56440</v>
      </c>
      <c r="N263">
        <v>56440</v>
      </c>
      <c r="O263" t="s">
        <v>36</v>
      </c>
      <c r="P263" t="s">
        <v>594</v>
      </c>
      <c r="Q263" t="s">
        <v>25</v>
      </c>
      <c r="R263" t="s">
        <v>579</v>
      </c>
      <c r="S263" t="s">
        <v>552</v>
      </c>
      <c r="T263" t="s">
        <v>610</v>
      </c>
      <c r="U263" s="6">
        <v>42048.014004629629</v>
      </c>
      <c r="V263" t="s">
        <v>18</v>
      </c>
      <c r="W263" t="s">
        <v>17</v>
      </c>
      <c r="X263" s="6">
        <v>42038.495104166665</v>
      </c>
      <c r="Y263" t="s">
        <v>788</v>
      </c>
      <c r="AB263" t="s">
        <v>201</v>
      </c>
      <c r="AC263" t="s">
        <v>247</v>
      </c>
      <c r="AD263" t="s">
        <v>222</v>
      </c>
      <c r="AE263" t="s">
        <v>240</v>
      </c>
      <c r="AG263" t="s">
        <v>121</v>
      </c>
      <c r="AH263" t="s">
        <v>327</v>
      </c>
      <c r="AI263" t="s">
        <v>121</v>
      </c>
      <c r="AJ263" t="s">
        <v>716</v>
      </c>
      <c r="AK263" t="s">
        <v>121</v>
      </c>
    </row>
    <row r="264" spans="9:37" x14ac:dyDescent="0.3">
      <c r="I264">
        <f ca="1">IF(OR(INDIRECT(A73&amp;ROW())=B93,INDIRECT(A73&amp;ROW())=B94),1,IF(AND(INDIRECT(A73&amp;ROW())=B95,INDIRECT(A96&amp;ROW())=C93),1,IF(AND(INDIRECT(A73&amp;ROW())=B95,INDIRECT(A96&amp;ROW())=C94),1,0)))</f>
        <v>0</v>
      </c>
      <c r="J264">
        <f ca="1">IF(AND(INDIRECT(A73&amp;ROW())=B95,INDIRECT(A96&amp;ROW())=C95),1,IF(AND(INDIRECT(A73&amp;ROW())=B95,INDIRECT(A96&amp;ROW())=C96),1,0))</f>
        <v>1</v>
      </c>
      <c r="K264">
        <f ca="1">DAYS360(INDIRECT(C68&amp;ROW()),TODAY())</f>
        <v>800</v>
      </c>
      <c r="L264">
        <f ca="1">DAYS360(INDIRECT(C69&amp;ROW()),TODAY())</f>
        <v>809</v>
      </c>
      <c r="M264">
        <f ca="1">HYPERLINK(CONCATENATE("https://bugzilla.houston.hp.com:1181/bugzilla/show_bug.cgi?id=",INDIRECT(C70&amp;ROW())),INDIRECT(C70&amp;ROW()))</f>
        <v>56441</v>
      </c>
      <c r="N264">
        <v>56441</v>
      </c>
      <c r="O264" t="s">
        <v>36</v>
      </c>
      <c r="P264" t="s">
        <v>593</v>
      </c>
      <c r="Q264" t="s">
        <v>25</v>
      </c>
      <c r="R264" t="s">
        <v>579</v>
      </c>
      <c r="S264" t="s">
        <v>552</v>
      </c>
      <c r="T264" t="s">
        <v>610</v>
      </c>
      <c r="U264" s="6">
        <v>42047.994803240741</v>
      </c>
      <c r="V264" t="s">
        <v>18</v>
      </c>
      <c r="W264" t="s">
        <v>17</v>
      </c>
      <c r="X264" s="6">
        <v>42038.496180555558</v>
      </c>
      <c r="Y264" t="s">
        <v>788</v>
      </c>
      <c r="AB264" t="s">
        <v>201</v>
      </c>
      <c r="AC264" t="s">
        <v>247</v>
      </c>
      <c r="AD264" t="s">
        <v>222</v>
      </c>
      <c r="AE264" t="s">
        <v>240</v>
      </c>
      <c r="AG264" t="s">
        <v>121</v>
      </c>
      <c r="AH264" t="s">
        <v>327</v>
      </c>
      <c r="AI264" t="s">
        <v>121</v>
      </c>
      <c r="AJ264" t="s">
        <v>716</v>
      </c>
      <c r="AK264" t="s">
        <v>121</v>
      </c>
    </row>
    <row r="265" spans="9:37" x14ac:dyDescent="0.3">
      <c r="I265">
        <f ca="1">IF(OR(INDIRECT(A73&amp;ROW())=B93,INDIRECT(A73&amp;ROW())=B94),1,IF(AND(INDIRECT(A73&amp;ROW())=B95,INDIRECT(A96&amp;ROW())=C93),1,IF(AND(INDIRECT(A73&amp;ROW())=B95,INDIRECT(A96&amp;ROW())=C94),1,0)))</f>
        <v>0</v>
      </c>
      <c r="J265">
        <f ca="1">IF(AND(INDIRECT(A73&amp;ROW())=B95,INDIRECT(A96&amp;ROW())=C95),1,IF(AND(INDIRECT(A73&amp;ROW())=B95,INDIRECT(A96&amp;ROW())=C96),1,0))</f>
        <v>1</v>
      </c>
      <c r="K265">
        <f ca="1">DAYS360(INDIRECT(C68&amp;ROW()),TODAY())</f>
        <v>809</v>
      </c>
      <c r="L265">
        <f ca="1">DAYS360(INDIRECT(C69&amp;ROW()),TODAY())</f>
        <v>809</v>
      </c>
      <c r="M265">
        <f ca="1">HYPERLINK(CONCATENATE("https://bugzilla.houston.hp.com:1181/bugzilla/show_bug.cgi?id=",INDIRECT(C70&amp;ROW())),INDIRECT(C70&amp;ROW()))</f>
        <v>56442</v>
      </c>
      <c r="N265">
        <v>56442</v>
      </c>
      <c r="O265" t="s">
        <v>36</v>
      </c>
      <c r="P265" t="s">
        <v>592</v>
      </c>
      <c r="Q265" t="s">
        <v>25</v>
      </c>
      <c r="R265" t="s">
        <v>248</v>
      </c>
      <c r="S265" t="s">
        <v>552</v>
      </c>
      <c r="U265" s="6">
        <v>42038.497789351852</v>
      </c>
      <c r="V265" t="s">
        <v>18</v>
      </c>
      <c r="W265" t="s">
        <v>17</v>
      </c>
      <c r="X265" s="6">
        <v>42038.497395833336</v>
      </c>
      <c r="Y265" t="s">
        <v>788</v>
      </c>
      <c r="AB265" t="s">
        <v>201</v>
      </c>
      <c r="AC265" t="s">
        <v>247</v>
      </c>
      <c r="AD265" t="s">
        <v>222</v>
      </c>
      <c r="AE265" t="s">
        <v>240</v>
      </c>
      <c r="AG265" t="s">
        <v>121</v>
      </c>
      <c r="AH265" t="s">
        <v>327</v>
      </c>
      <c r="AI265" t="s">
        <v>121</v>
      </c>
      <c r="AJ265" t="s">
        <v>716</v>
      </c>
      <c r="AK265" t="s">
        <v>121</v>
      </c>
    </row>
    <row r="266" spans="9:37" x14ac:dyDescent="0.3">
      <c r="I266">
        <f ca="1">IF(OR(INDIRECT(A73&amp;ROW())=B93,INDIRECT(A73&amp;ROW())=B94),1,IF(AND(INDIRECT(A73&amp;ROW())=B95,INDIRECT(A96&amp;ROW())=C93),1,IF(AND(INDIRECT(A73&amp;ROW())=B95,INDIRECT(A96&amp;ROW())=C94),1,0)))</f>
        <v>0</v>
      </c>
      <c r="J266">
        <f ca="1">IF(AND(INDIRECT(A73&amp;ROW())=B95,INDIRECT(A96&amp;ROW())=C95),1,IF(AND(INDIRECT(A73&amp;ROW())=B95,INDIRECT(A96&amp;ROW())=C96),1,0))</f>
        <v>1</v>
      </c>
      <c r="K266">
        <f ca="1">DAYS360(INDIRECT(C68&amp;ROW()),TODAY())</f>
        <v>809</v>
      </c>
      <c r="L266">
        <f ca="1">DAYS360(INDIRECT(C69&amp;ROW()),TODAY())</f>
        <v>809</v>
      </c>
      <c r="M266">
        <f ca="1">HYPERLINK(CONCATENATE("https://bugzilla.houston.hp.com:1181/bugzilla/show_bug.cgi?id=",INDIRECT(C70&amp;ROW())),INDIRECT(C70&amp;ROW()))</f>
        <v>56445</v>
      </c>
      <c r="N266">
        <v>56445</v>
      </c>
      <c r="O266" t="s">
        <v>36</v>
      </c>
      <c r="P266" t="s">
        <v>591</v>
      </c>
      <c r="Q266" t="s">
        <v>25</v>
      </c>
      <c r="R266" t="s">
        <v>248</v>
      </c>
      <c r="S266" t="s">
        <v>552</v>
      </c>
      <c r="U266" s="6">
        <v>42038.501550925925</v>
      </c>
      <c r="V266" t="s">
        <v>18</v>
      </c>
      <c r="W266" t="s">
        <v>17</v>
      </c>
      <c r="X266" s="6">
        <v>42038.501111111109</v>
      </c>
      <c r="Y266" t="s">
        <v>788</v>
      </c>
      <c r="AB266" t="s">
        <v>201</v>
      </c>
      <c r="AC266" t="s">
        <v>247</v>
      </c>
      <c r="AD266" t="s">
        <v>222</v>
      </c>
      <c r="AE266" t="s">
        <v>240</v>
      </c>
      <c r="AG266" t="s">
        <v>121</v>
      </c>
      <c r="AH266" t="s">
        <v>327</v>
      </c>
      <c r="AI266" t="s">
        <v>121</v>
      </c>
      <c r="AJ266" t="s">
        <v>716</v>
      </c>
      <c r="AK266" t="s">
        <v>121</v>
      </c>
    </row>
    <row r="267" spans="9:37" x14ac:dyDescent="0.3">
      <c r="I267">
        <f ca="1">IF(OR(INDIRECT(A73&amp;ROW())=B93,INDIRECT(A73&amp;ROW())=B94),1,IF(AND(INDIRECT(A73&amp;ROW())=B95,INDIRECT(A96&amp;ROW())=C93),1,IF(AND(INDIRECT(A73&amp;ROW())=B95,INDIRECT(A96&amp;ROW())=C94),1,0)))</f>
        <v>0</v>
      </c>
      <c r="J267">
        <f ca="1">IF(AND(INDIRECT(A73&amp;ROW())=B95,INDIRECT(A96&amp;ROW())=C95),1,IF(AND(INDIRECT(A73&amp;ROW())=B95,INDIRECT(A96&amp;ROW())=C96),1,0))</f>
        <v>1</v>
      </c>
      <c r="K267">
        <f ca="1">DAYS360(INDIRECT(C68&amp;ROW()),TODAY())</f>
        <v>684</v>
      </c>
      <c r="L267">
        <f ca="1">DAYS360(INDIRECT(C69&amp;ROW()),TODAY())</f>
        <v>809</v>
      </c>
      <c r="M267">
        <f ca="1">HYPERLINK(CONCATENATE("https://bugzilla.houston.hp.com:1181/bugzilla/show_bug.cgi?id=",INDIRECT(C70&amp;ROW())),INDIRECT(C70&amp;ROW()))</f>
        <v>56450</v>
      </c>
      <c r="N267">
        <v>56450</v>
      </c>
      <c r="O267" t="s">
        <v>56</v>
      </c>
      <c r="P267" t="s">
        <v>590</v>
      </c>
      <c r="Q267" t="s">
        <v>25</v>
      </c>
      <c r="R267" t="s">
        <v>251</v>
      </c>
      <c r="S267" t="s">
        <v>66</v>
      </c>
      <c r="U267" s="6">
        <v>42163.60596064815</v>
      </c>
      <c r="V267" t="s">
        <v>18</v>
      </c>
      <c r="W267" t="s">
        <v>17</v>
      </c>
      <c r="X267" s="6">
        <v>42038.576805555553</v>
      </c>
      <c r="Y267" t="s">
        <v>788</v>
      </c>
      <c r="AB267" t="s">
        <v>201</v>
      </c>
      <c r="AC267" t="s">
        <v>247</v>
      </c>
      <c r="AD267" t="s">
        <v>220</v>
      </c>
      <c r="AE267" t="s">
        <v>219</v>
      </c>
      <c r="AG267" t="s">
        <v>121</v>
      </c>
      <c r="AH267" t="s">
        <v>327</v>
      </c>
      <c r="AI267" t="s">
        <v>121</v>
      </c>
      <c r="AJ267" t="s">
        <v>716</v>
      </c>
      <c r="AK267" t="s">
        <v>121</v>
      </c>
    </row>
    <row r="268" spans="9:37" x14ac:dyDescent="0.3">
      <c r="I268">
        <f ca="1">IF(OR(INDIRECT(A73&amp;ROW())=B93,INDIRECT(A73&amp;ROW())=B94),1,IF(AND(INDIRECT(A73&amp;ROW())=B95,INDIRECT(A96&amp;ROW())=C93),1,IF(AND(INDIRECT(A73&amp;ROW())=B95,INDIRECT(A96&amp;ROW())=C94),1,0)))</f>
        <v>0</v>
      </c>
      <c r="J268">
        <f ca="1">IF(AND(INDIRECT(A73&amp;ROW())=B95,INDIRECT(A96&amp;ROW())=C95),1,IF(AND(INDIRECT(A73&amp;ROW())=B95,INDIRECT(A96&amp;ROW())=C96),1,0))</f>
        <v>1</v>
      </c>
      <c r="K268">
        <f ca="1">DAYS360(INDIRECT(C68&amp;ROW()),TODAY())</f>
        <v>809</v>
      </c>
      <c r="L268">
        <f ca="1">DAYS360(INDIRECT(C69&amp;ROW()),TODAY())</f>
        <v>809</v>
      </c>
      <c r="M268">
        <f ca="1">HYPERLINK(CONCATENATE("https://bugzilla.houston.hp.com:1181/bugzilla/show_bug.cgi?id=",INDIRECT(C70&amp;ROW())),INDIRECT(C70&amp;ROW()))</f>
        <v>56458</v>
      </c>
      <c r="N268">
        <v>56458</v>
      </c>
      <c r="O268" t="s">
        <v>56</v>
      </c>
      <c r="P268" t="s">
        <v>589</v>
      </c>
      <c r="Q268" t="s">
        <v>25</v>
      </c>
      <c r="R268" t="s">
        <v>248</v>
      </c>
      <c r="S268" t="s">
        <v>552</v>
      </c>
      <c r="U268" s="6">
        <v>42038.643333333333</v>
      </c>
      <c r="V268" t="s">
        <v>18</v>
      </c>
      <c r="W268" t="s">
        <v>576</v>
      </c>
      <c r="X268" s="6">
        <v>42038.640115740738</v>
      </c>
      <c r="Y268" t="s">
        <v>788</v>
      </c>
      <c r="AB268" t="s">
        <v>201</v>
      </c>
      <c r="AC268" t="s">
        <v>247</v>
      </c>
      <c r="AD268" t="s">
        <v>220</v>
      </c>
      <c r="AE268" t="s">
        <v>219</v>
      </c>
      <c r="AG268" t="s">
        <v>121</v>
      </c>
      <c r="AH268" t="s">
        <v>327</v>
      </c>
      <c r="AI268" t="s">
        <v>121</v>
      </c>
      <c r="AJ268" t="s">
        <v>716</v>
      </c>
      <c r="AK268" t="s">
        <v>121</v>
      </c>
    </row>
    <row r="269" spans="9:37" x14ac:dyDescent="0.3">
      <c r="I269">
        <f ca="1">IF(OR(INDIRECT(A73&amp;ROW())=B93,INDIRECT(A73&amp;ROW())=B94),1,IF(AND(INDIRECT(A73&amp;ROW())=B95,INDIRECT(A96&amp;ROW())=C93),1,IF(AND(INDIRECT(A73&amp;ROW())=B95,INDIRECT(A96&amp;ROW())=C94),1,0)))</f>
        <v>0</v>
      </c>
      <c r="J269">
        <f ca="1">IF(AND(INDIRECT(A73&amp;ROW())=B95,INDIRECT(A96&amp;ROW())=C95),1,IF(AND(INDIRECT(A73&amp;ROW())=B95,INDIRECT(A96&amp;ROW())=C96),1,0))</f>
        <v>1</v>
      </c>
      <c r="K269">
        <f ca="1">DAYS360(INDIRECT(C68&amp;ROW()),TODAY())</f>
        <v>691</v>
      </c>
      <c r="L269">
        <f ca="1">DAYS360(INDIRECT(C69&amp;ROW()),TODAY())</f>
        <v>808</v>
      </c>
      <c r="M269">
        <f ca="1">HYPERLINK(CONCATENATE("https://bugzilla.houston.hp.com:1181/bugzilla/show_bug.cgi?id=",INDIRECT(C70&amp;ROW())),INDIRECT(C70&amp;ROW()))</f>
        <v>56502</v>
      </c>
      <c r="N269">
        <v>56502</v>
      </c>
      <c r="O269" t="s">
        <v>22</v>
      </c>
      <c r="P269" t="s">
        <v>599</v>
      </c>
      <c r="Q269" t="s">
        <v>25</v>
      </c>
      <c r="R269" t="s">
        <v>251</v>
      </c>
      <c r="S269" t="s">
        <v>24</v>
      </c>
      <c r="U269" s="6">
        <v>42156.595127314817</v>
      </c>
      <c r="V269" t="s">
        <v>18</v>
      </c>
      <c r="W269" t="s">
        <v>17</v>
      </c>
      <c r="X269" s="6">
        <v>42039.558599537035</v>
      </c>
      <c r="Y269" t="s">
        <v>535</v>
      </c>
      <c r="AB269" t="s">
        <v>201</v>
      </c>
      <c r="AC269" t="s">
        <v>247</v>
      </c>
      <c r="AD269" t="s">
        <v>222</v>
      </c>
      <c r="AE269" t="s">
        <v>221</v>
      </c>
      <c r="AG269" t="s">
        <v>121</v>
      </c>
      <c r="AH269" t="s">
        <v>327</v>
      </c>
      <c r="AI269" t="s">
        <v>121</v>
      </c>
      <c r="AJ269" t="s">
        <v>715</v>
      </c>
      <c r="AK269" t="s">
        <v>121</v>
      </c>
    </row>
    <row r="270" spans="9:37" x14ac:dyDescent="0.3">
      <c r="I270">
        <f ca="1">IF(OR(INDIRECT(A73&amp;ROW())=B93,INDIRECT(A73&amp;ROW())=B94),1,IF(AND(INDIRECT(A73&amp;ROW())=B95,INDIRECT(A96&amp;ROW())=C93),1,IF(AND(INDIRECT(A73&amp;ROW())=B95,INDIRECT(A96&amp;ROW())=C94),1,0)))</f>
        <v>0</v>
      </c>
      <c r="J270">
        <f ca="1">IF(AND(INDIRECT(A73&amp;ROW())=B95,INDIRECT(A96&amp;ROW())=C95),1,IF(AND(INDIRECT(A73&amp;ROW())=B95,INDIRECT(A96&amp;ROW())=C96),1,0))</f>
        <v>1</v>
      </c>
      <c r="K270">
        <f ca="1">DAYS360(INDIRECT(C68&amp;ROW()),TODAY())</f>
        <v>795</v>
      </c>
      <c r="L270">
        <f ca="1">DAYS360(INDIRECT(C69&amp;ROW()),TODAY())</f>
        <v>808</v>
      </c>
      <c r="M270">
        <f ca="1">HYPERLINK(CONCATENATE("https://bugzilla.houston.hp.com:1181/bugzilla/show_bug.cgi?id=",INDIRECT(C70&amp;ROW())),INDIRECT(C70&amp;ROW()))</f>
        <v>56512</v>
      </c>
      <c r="N270">
        <v>56512</v>
      </c>
      <c r="O270" t="s">
        <v>22</v>
      </c>
      <c r="P270" t="s">
        <v>598</v>
      </c>
      <c r="Q270" t="s">
        <v>25</v>
      </c>
      <c r="R270" t="s">
        <v>579</v>
      </c>
      <c r="S270" t="s">
        <v>552</v>
      </c>
      <c r="U270" s="6">
        <v>42052.332604166666</v>
      </c>
      <c r="V270" t="s">
        <v>18</v>
      </c>
      <c r="W270" t="s">
        <v>576</v>
      </c>
      <c r="X270" s="6">
        <v>42039.647303240738</v>
      </c>
      <c r="Y270" t="s">
        <v>535</v>
      </c>
      <c r="AB270" t="s">
        <v>201</v>
      </c>
      <c r="AC270" t="s">
        <v>247</v>
      </c>
      <c r="AD270" t="s">
        <v>222</v>
      </c>
      <c r="AE270" t="s">
        <v>221</v>
      </c>
      <c r="AG270" t="s">
        <v>121</v>
      </c>
      <c r="AH270" t="s">
        <v>327</v>
      </c>
      <c r="AI270" t="s">
        <v>121</v>
      </c>
      <c r="AJ270" t="s">
        <v>716</v>
      </c>
      <c r="AK270" t="s">
        <v>121</v>
      </c>
    </row>
    <row r="271" spans="9:37" x14ac:dyDescent="0.3">
      <c r="I271">
        <f ca="1">IF(OR(INDIRECT(A73&amp;ROW())=B93,INDIRECT(A73&amp;ROW())=B94),1,IF(AND(INDIRECT(A73&amp;ROW())=B95,INDIRECT(A96&amp;ROW())=C93),1,IF(AND(INDIRECT(A73&amp;ROW())=B95,INDIRECT(A96&amp;ROW())=C94),1,0)))</f>
        <v>0</v>
      </c>
      <c r="J271">
        <f ca="1">IF(AND(INDIRECT(A73&amp;ROW())=B95,INDIRECT(A96&amp;ROW())=C95),1,IF(AND(INDIRECT(A73&amp;ROW())=B95,INDIRECT(A96&amp;ROW())=C96),1,0))</f>
        <v>1</v>
      </c>
      <c r="K271">
        <f ca="1">DAYS360(INDIRECT(C68&amp;ROW()),TODAY())</f>
        <v>684</v>
      </c>
      <c r="L271">
        <f ca="1">DAYS360(INDIRECT(C69&amp;ROW()),TODAY())</f>
        <v>808</v>
      </c>
      <c r="M271">
        <f ca="1">HYPERLINK(CONCATENATE("https://bugzilla.houston.hp.com:1181/bugzilla/show_bug.cgi?id=",INDIRECT(C70&amp;ROW())),INDIRECT(C70&amp;ROW()))</f>
        <v>56513</v>
      </c>
      <c r="N271">
        <v>56513</v>
      </c>
      <c r="O271" t="s">
        <v>36</v>
      </c>
      <c r="P271" t="s">
        <v>597</v>
      </c>
      <c r="Q271" t="s">
        <v>25</v>
      </c>
      <c r="R271" t="s">
        <v>248</v>
      </c>
      <c r="S271" t="s">
        <v>552</v>
      </c>
      <c r="U271" s="6">
        <v>42163.610312500001</v>
      </c>
      <c r="V271" t="s">
        <v>18</v>
      </c>
      <c r="W271" t="s">
        <v>576</v>
      </c>
      <c r="X271" s="6">
        <v>42039.648113425923</v>
      </c>
      <c r="Y271" t="s">
        <v>535</v>
      </c>
      <c r="AB271" t="s">
        <v>201</v>
      </c>
      <c r="AC271" t="s">
        <v>247</v>
      </c>
      <c r="AD271" t="s">
        <v>222</v>
      </c>
      <c r="AE271" t="s">
        <v>221</v>
      </c>
      <c r="AG271" t="s">
        <v>121</v>
      </c>
      <c r="AH271" t="s">
        <v>327</v>
      </c>
      <c r="AI271" t="s">
        <v>121</v>
      </c>
      <c r="AJ271" t="s">
        <v>716</v>
      </c>
      <c r="AK271" t="s">
        <v>121</v>
      </c>
    </row>
    <row r="272" spans="9:37" x14ac:dyDescent="0.3">
      <c r="I272">
        <f ca="1">IF(OR(INDIRECT(A73&amp;ROW())=B93,INDIRECT(A73&amp;ROW())=B94),1,IF(AND(INDIRECT(A73&amp;ROW())=B95,INDIRECT(A96&amp;ROW())=C93),1,IF(AND(INDIRECT(A73&amp;ROW())=B95,INDIRECT(A96&amp;ROW())=C94),1,0)))</f>
        <v>0</v>
      </c>
      <c r="J272">
        <f ca="1">IF(AND(INDIRECT(A73&amp;ROW())=B95,INDIRECT(A96&amp;ROW())=C95),1,IF(AND(INDIRECT(A73&amp;ROW())=B95,INDIRECT(A96&amp;ROW())=C96),1,0))</f>
        <v>1</v>
      </c>
      <c r="K272">
        <f ca="1">DAYS360(INDIRECT(C68&amp;ROW()),TODAY())</f>
        <v>721</v>
      </c>
      <c r="L272">
        <f ca="1">DAYS360(INDIRECT(C69&amp;ROW()),TODAY())</f>
        <v>807</v>
      </c>
      <c r="M272">
        <f ca="1">HYPERLINK(CONCATENATE("https://bugzilla.houston.hp.com:1181/bugzilla/show_bug.cgi?id=",INDIRECT(C70&amp;ROW())),INDIRECT(C70&amp;ROW()))</f>
        <v>56586</v>
      </c>
      <c r="N272">
        <v>56586</v>
      </c>
      <c r="O272" t="s">
        <v>56</v>
      </c>
      <c r="P272" t="s">
        <v>601</v>
      </c>
      <c r="Q272" t="s">
        <v>25</v>
      </c>
      <c r="R272" t="s">
        <v>251</v>
      </c>
      <c r="S272" t="s">
        <v>22</v>
      </c>
      <c r="U272" s="6">
        <v>42125.452800925923</v>
      </c>
      <c r="V272" t="s">
        <v>18</v>
      </c>
      <c r="W272" t="s">
        <v>17</v>
      </c>
      <c r="X272" s="6">
        <v>42040.483576388891</v>
      </c>
      <c r="Y272" t="s">
        <v>122</v>
      </c>
      <c r="AB272" t="s">
        <v>201</v>
      </c>
      <c r="AC272" t="s">
        <v>247</v>
      </c>
      <c r="AD272" t="s">
        <v>220</v>
      </c>
      <c r="AE272" t="s">
        <v>219</v>
      </c>
      <c r="AG272" t="s">
        <v>121</v>
      </c>
      <c r="AH272" t="s">
        <v>327</v>
      </c>
      <c r="AI272" t="s">
        <v>121</v>
      </c>
      <c r="AJ272" t="s">
        <v>716</v>
      </c>
      <c r="AK272" t="s">
        <v>121</v>
      </c>
    </row>
    <row r="273" spans="9:37" x14ac:dyDescent="0.3">
      <c r="I273">
        <f ca="1">IF(OR(INDIRECT(A73&amp;ROW())=B93,INDIRECT(A73&amp;ROW())=B94),1,IF(AND(INDIRECT(A73&amp;ROW())=B95,INDIRECT(A96&amp;ROW())=C93),1,IF(AND(INDIRECT(A73&amp;ROW())=B95,INDIRECT(A96&amp;ROW())=C94),1,0)))</f>
        <v>0</v>
      </c>
      <c r="J273">
        <f ca="1">IF(AND(INDIRECT(A73&amp;ROW())=B95,INDIRECT(A96&amp;ROW())=C95),1,IF(AND(INDIRECT(A73&amp;ROW())=B95,INDIRECT(A96&amp;ROW())=C96),1,0))</f>
        <v>1</v>
      </c>
      <c r="K273">
        <f ca="1">DAYS360(INDIRECT(C68&amp;ROW()),TODAY())</f>
        <v>721</v>
      </c>
      <c r="L273">
        <f ca="1">DAYS360(INDIRECT(C69&amp;ROW()),TODAY())</f>
        <v>807</v>
      </c>
      <c r="M273">
        <f ca="1">HYPERLINK(CONCATENATE("https://bugzilla.houston.hp.com:1181/bugzilla/show_bug.cgi?id=",INDIRECT(C70&amp;ROW())),INDIRECT(C70&amp;ROW()))</f>
        <v>56589</v>
      </c>
      <c r="N273">
        <v>56589</v>
      </c>
      <c r="O273" t="s">
        <v>56</v>
      </c>
      <c r="P273" t="s">
        <v>600</v>
      </c>
      <c r="Q273" t="s">
        <v>25</v>
      </c>
      <c r="R273" t="s">
        <v>248</v>
      </c>
      <c r="S273" t="s">
        <v>552</v>
      </c>
      <c r="U273" s="6">
        <v>42125.452916666669</v>
      </c>
      <c r="V273" t="s">
        <v>18</v>
      </c>
      <c r="W273" t="s">
        <v>576</v>
      </c>
      <c r="X273" s="6">
        <v>42040.484780092593</v>
      </c>
      <c r="Y273" t="s">
        <v>122</v>
      </c>
      <c r="AB273" t="s">
        <v>201</v>
      </c>
      <c r="AC273" t="s">
        <v>247</v>
      </c>
      <c r="AD273" t="s">
        <v>220</v>
      </c>
      <c r="AE273" t="s">
        <v>219</v>
      </c>
      <c r="AG273" t="s">
        <v>121</v>
      </c>
      <c r="AH273" t="s">
        <v>327</v>
      </c>
      <c r="AI273" t="s">
        <v>121</v>
      </c>
      <c r="AJ273" t="s">
        <v>716</v>
      </c>
      <c r="AK273" t="s">
        <v>121</v>
      </c>
    </row>
    <row r="274" spans="9:37" x14ac:dyDescent="0.3">
      <c r="I274">
        <f ca="1">IF(OR(INDIRECT(A73&amp;ROW())=B93,INDIRECT(A73&amp;ROW())=B94),1,IF(AND(INDIRECT(A73&amp;ROW())=B95,INDIRECT(A96&amp;ROW())=C93),1,IF(AND(INDIRECT(A73&amp;ROW())=B95,INDIRECT(A96&amp;ROW())=C94),1,0)))</f>
        <v>1</v>
      </c>
      <c r="J274">
        <f ca="1">IF(AND(INDIRECT(A73&amp;ROW())=B95,INDIRECT(A96&amp;ROW())=C95),1,IF(AND(INDIRECT(A73&amp;ROW())=B95,INDIRECT(A96&amp;ROW())=C96),1,0))</f>
        <v>0</v>
      </c>
      <c r="K274">
        <f ca="1">DAYS360(INDIRECT(C68&amp;ROW()),TODAY())</f>
        <v>691</v>
      </c>
      <c r="L274">
        <f ca="1">DAYS360(INDIRECT(C69&amp;ROW()),TODAY())</f>
        <v>806</v>
      </c>
      <c r="M274">
        <f ca="1">HYPERLINK(CONCATENATE("https://bugzilla.houston.hp.com:1181/bugzilla/show_bug.cgi?id=",INDIRECT(C70&amp;ROW())),INDIRECT(C70&amp;ROW()))</f>
        <v>56687</v>
      </c>
      <c r="N274">
        <v>56687</v>
      </c>
      <c r="O274" t="s">
        <v>164</v>
      </c>
      <c r="P274" t="s">
        <v>602</v>
      </c>
      <c r="Q274" t="s">
        <v>25</v>
      </c>
      <c r="R274" t="s">
        <v>579</v>
      </c>
      <c r="S274" t="s">
        <v>236</v>
      </c>
      <c r="T274" t="s">
        <v>820</v>
      </c>
      <c r="U274" s="6">
        <v>42156.078865740739</v>
      </c>
      <c r="V274" t="s">
        <v>18</v>
      </c>
      <c r="W274" t="s">
        <v>57</v>
      </c>
      <c r="X274" s="6">
        <v>42041.700462962966</v>
      </c>
      <c r="Y274" t="s">
        <v>125</v>
      </c>
      <c r="AB274" t="s">
        <v>200</v>
      </c>
      <c r="AC274" t="s">
        <v>216</v>
      </c>
      <c r="AD274" t="s">
        <v>220</v>
      </c>
      <c r="AE274" t="s">
        <v>219</v>
      </c>
      <c r="AG274" t="s">
        <v>121</v>
      </c>
      <c r="AH274" t="s">
        <v>328</v>
      </c>
      <c r="AI274" t="s">
        <v>362</v>
      </c>
      <c r="AJ274" t="s">
        <v>715</v>
      </c>
      <c r="AK274" t="s">
        <v>121</v>
      </c>
    </row>
    <row r="275" spans="9:37" x14ac:dyDescent="0.3">
      <c r="I275">
        <f ca="1">IF(OR(INDIRECT(A73&amp;ROW())=B93,INDIRECT(A73&amp;ROW())=B94),1,IF(AND(INDIRECT(A73&amp;ROW())=B95,INDIRECT(A96&amp;ROW())=C93),1,IF(AND(INDIRECT(A73&amp;ROW())=B95,INDIRECT(A96&amp;ROW())=C94),1,0)))</f>
        <v>1</v>
      </c>
      <c r="J275">
        <f ca="1">IF(AND(INDIRECT(A73&amp;ROW())=B95,INDIRECT(A96&amp;ROW())=C95),1,IF(AND(INDIRECT(A73&amp;ROW())=B95,INDIRECT(A96&amp;ROW())=C96),1,0))</f>
        <v>0</v>
      </c>
      <c r="K275">
        <f ca="1">DAYS360(INDIRECT(C68&amp;ROW()),TODAY())</f>
        <v>723</v>
      </c>
      <c r="L275">
        <f ca="1">DAYS360(INDIRECT(C69&amp;ROW()),TODAY())</f>
        <v>803</v>
      </c>
      <c r="M275">
        <f ca="1">HYPERLINK(CONCATENATE("https://bugzilla.houston.hp.com:1181/bugzilla/show_bug.cgi?id=",INDIRECT(C70&amp;ROW())),INDIRECT(C70&amp;ROW()))</f>
        <v>56731</v>
      </c>
      <c r="N275">
        <v>56731</v>
      </c>
      <c r="O275" t="s">
        <v>94</v>
      </c>
      <c r="P275" t="s">
        <v>608</v>
      </c>
      <c r="Q275" t="s">
        <v>39</v>
      </c>
      <c r="R275" t="s">
        <v>579</v>
      </c>
      <c r="S275" t="s">
        <v>552</v>
      </c>
      <c r="T275" t="s">
        <v>820</v>
      </c>
      <c r="U275" s="6">
        <v>42123.396423611113</v>
      </c>
      <c r="V275" t="s">
        <v>40</v>
      </c>
      <c r="W275" t="s">
        <v>211</v>
      </c>
      <c r="X275" s="6">
        <v>42044.500763888886</v>
      </c>
      <c r="Y275" t="s">
        <v>119</v>
      </c>
      <c r="AB275" t="s">
        <v>201</v>
      </c>
      <c r="AC275" t="s">
        <v>121</v>
      </c>
      <c r="AD275" t="s">
        <v>227</v>
      </c>
      <c r="AE275" t="s">
        <v>231</v>
      </c>
      <c r="AG275" t="s">
        <v>121</v>
      </c>
      <c r="AH275" t="s">
        <v>64</v>
      </c>
      <c r="AI275" t="s">
        <v>362</v>
      </c>
      <c r="AJ275" t="s">
        <v>715</v>
      </c>
      <c r="AK275" t="s">
        <v>121</v>
      </c>
    </row>
    <row r="276" spans="9:37" x14ac:dyDescent="0.3">
      <c r="I276">
        <f ca="1">IF(OR(INDIRECT(A73&amp;ROW())=B93,INDIRECT(A73&amp;ROW())=B94),1,IF(AND(INDIRECT(A73&amp;ROW())=B95,INDIRECT(A96&amp;ROW())=C93),1,IF(AND(INDIRECT(A73&amp;ROW())=B95,INDIRECT(A96&amp;ROW())=C94),1,0)))</f>
        <v>1</v>
      </c>
      <c r="J276">
        <f ca="1">IF(AND(INDIRECT(A73&amp;ROW())=B95,INDIRECT(A96&amp;ROW())=C95),1,IF(AND(INDIRECT(A73&amp;ROW())=B95,INDIRECT(A96&amp;ROW())=C96),1,0))</f>
        <v>0</v>
      </c>
      <c r="K276">
        <f ca="1">DAYS360(INDIRECT(C68&amp;ROW()),TODAY())</f>
        <v>752</v>
      </c>
      <c r="L276">
        <f ca="1">DAYS360(INDIRECT(C69&amp;ROW()),TODAY())</f>
        <v>803</v>
      </c>
      <c r="M276">
        <f ca="1">HYPERLINK(CONCATENATE("https://bugzilla.houston.hp.com:1181/bugzilla/show_bug.cgi?id=",INDIRECT(C70&amp;ROW())),INDIRECT(C70&amp;ROW()))</f>
        <v>56735</v>
      </c>
      <c r="N276">
        <v>56735</v>
      </c>
      <c r="O276" t="s">
        <v>298</v>
      </c>
      <c r="P276" t="s">
        <v>606</v>
      </c>
      <c r="Q276" t="s">
        <v>39</v>
      </c>
      <c r="R276" t="s">
        <v>579</v>
      </c>
      <c r="S276" t="s">
        <v>552</v>
      </c>
      <c r="T276" t="s">
        <v>820</v>
      </c>
      <c r="U276" s="6">
        <v>42093.074259259258</v>
      </c>
      <c r="V276" t="s">
        <v>40</v>
      </c>
      <c r="W276" t="s">
        <v>343</v>
      </c>
      <c r="X276" s="6">
        <v>42044.506412037037</v>
      </c>
      <c r="Y276" t="s">
        <v>785</v>
      </c>
      <c r="AB276" t="s">
        <v>201</v>
      </c>
      <c r="AC276" t="s">
        <v>247</v>
      </c>
      <c r="AD276" t="s">
        <v>227</v>
      </c>
      <c r="AE276" t="s">
        <v>231</v>
      </c>
      <c r="AG276" t="s">
        <v>121</v>
      </c>
      <c r="AH276" t="s">
        <v>327</v>
      </c>
      <c r="AI276" t="s">
        <v>121</v>
      </c>
      <c r="AJ276" t="s">
        <v>715</v>
      </c>
      <c r="AK276" t="s">
        <v>121</v>
      </c>
    </row>
    <row r="277" spans="9:37" x14ac:dyDescent="0.3">
      <c r="I277">
        <f ca="1">IF(OR(INDIRECT(A73&amp;ROW())=B93,INDIRECT(A73&amp;ROW())=B94),1,IF(AND(INDIRECT(A73&amp;ROW())=B95,INDIRECT(A96&amp;ROW())=C93),1,IF(AND(INDIRECT(A73&amp;ROW())=B95,INDIRECT(A96&amp;ROW())=C94),1,0)))</f>
        <v>1</v>
      </c>
      <c r="J277">
        <f ca="1">IF(AND(INDIRECT(A73&amp;ROW())=B95,INDIRECT(A96&amp;ROW())=C95),1,IF(AND(INDIRECT(A73&amp;ROW())=B95,INDIRECT(A96&amp;ROW())=C96),1,0))</f>
        <v>0</v>
      </c>
      <c r="K277">
        <f ca="1">DAYS360(INDIRECT(C68&amp;ROW()),TODAY())</f>
        <v>728</v>
      </c>
      <c r="L277">
        <f ca="1">DAYS360(INDIRECT(C69&amp;ROW()),TODAY())</f>
        <v>803</v>
      </c>
      <c r="M277">
        <f ca="1">HYPERLINK(CONCATENATE("https://bugzilla.houston.hp.com:1181/bugzilla/show_bug.cgi?id=",INDIRECT(C70&amp;ROW())),INDIRECT(C70&amp;ROW()))</f>
        <v>56736</v>
      </c>
      <c r="N277">
        <v>56736</v>
      </c>
      <c r="O277" t="s">
        <v>156</v>
      </c>
      <c r="P277" t="s">
        <v>605</v>
      </c>
      <c r="Q277" t="s">
        <v>25</v>
      </c>
      <c r="R277" t="s">
        <v>579</v>
      </c>
      <c r="S277" t="s">
        <v>552</v>
      </c>
      <c r="T277" t="s">
        <v>816</v>
      </c>
      <c r="U277" s="6">
        <v>42118.270856481482</v>
      </c>
      <c r="V277" t="s">
        <v>18</v>
      </c>
      <c r="W277" t="s">
        <v>17</v>
      </c>
      <c r="X277" s="6">
        <v>42044.507962962962</v>
      </c>
      <c r="Y277" t="s">
        <v>342</v>
      </c>
      <c r="AB277" t="s">
        <v>200</v>
      </c>
      <c r="AC277" t="s">
        <v>247</v>
      </c>
      <c r="AD277" t="s">
        <v>220</v>
      </c>
      <c r="AE277" t="s">
        <v>219</v>
      </c>
      <c r="AG277" t="s">
        <v>121</v>
      </c>
      <c r="AH277" t="s">
        <v>327</v>
      </c>
      <c r="AI277" t="s">
        <v>362</v>
      </c>
      <c r="AJ277" t="s">
        <v>715</v>
      </c>
      <c r="AK277" t="s">
        <v>121</v>
      </c>
    </row>
    <row r="278" spans="9:37" x14ac:dyDescent="0.3">
      <c r="I278">
        <f ca="1">IF(OR(INDIRECT(A73&amp;ROW())=B93,INDIRECT(A73&amp;ROW())=B94),1,IF(AND(INDIRECT(A73&amp;ROW())=B95,INDIRECT(A96&amp;ROW())=C93),1,IF(AND(INDIRECT(A73&amp;ROW())=B95,INDIRECT(A96&amp;ROW())=C94),1,0)))</f>
        <v>1</v>
      </c>
      <c r="J278">
        <f ca="1">IF(AND(INDIRECT(A73&amp;ROW())=B95,INDIRECT(A96&amp;ROW())=C95),1,IF(AND(INDIRECT(A73&amp;ROW())=B95,INDIRECT(A96&amp;ROW())=C96),1,0))</f>
        <v>0</v>
      </c>
      <c r="K278">
        <f ca="1">DAYS360(INDIRECT(C68&amp;ROW()),TODAY())</f>
        <v>732</v>
      </c>
      <c r="L278">
        <f ca="1">DAYS360(INDIRECT(C69&amp;ROW()),TODAY())</f>
        <v>803</v>
      </c>
      <c r="M278">
        <f ca="1">HYPERLINK(CONCATENATE("https://bugzilla.houston.hp.com:1181/bugzilla/show_bug.cgi?id=",INDIRECT(C70&amp;ROW())),INDIRECT(C70&amp;ROW()))</f>
        <v>56737</v>
      </c>
      <c r="N278">
        <v>56737</v>
      </c>
      <c r="O278" t="s">
        <v>22</v>
      </c>
      <c r="P278" t="s">
        <v>604</v>
      </c>
      <c r="Q278" t="s">
        <v>39</v>
      </c>
      <c r="R278" t="s">
        <v>579</v>
      </c>
      <c r="S278" t="s">
        <v>552</v>
      </c>
      <c r="T278" t="s">
        <v>820</v>
      </c>
      <c r="U278" s="6">
        <v>42114.896689814814</v>
      </c>
      <c r="V278" t="s">
        <v>18</v>
      </c>
      <c r="W278" t="s">
        <v>343</v>
      </c>
      <c r="X278" s="6">
        <v>42044.510810185187</v>
      </c>
      <c r="Y278" t="s">
        <v>245</v>
      </c>
      <c r="AB278" t="s">
        <v>201</v>
      </c>
      <c r="AC278" t="s">
        <v>247</v>
      </c>
      <c r="AD278" t="s">
        <v>222</v>
      </c>
      <c r="AE278" t="s">
        <v>221</v>
      </c>
      <c r="AG278" t="s">
        <v>121</v>
      </c>
      <c r="AH278" t="s">
        <v>327</v>
      </c>
      <c r="AI278" t="s">
        <v>362</v>
      </c>
      <c r="AJ278" t="s">
        <v>715</v>
      </c>
      <c r="AK278" t="s">
        <v>121</v>
      </c>
    </row>
    <row r="279" spans="9:37" x14ac:dyDescent="0.3">
      <c r="I279">
        <f ca="1">IF(OR(INDIRECT(A73&amp;ROW())=B93,INDIRECT(A73&amp;ROW())=B94),1,IF(AND(INDIRECT(A73&amp;ROW())=B95,INDIRECT(A96&amp;ROW())=C93),1,IF(AND(INDIRECT(A73&amp;ROW())=B95,INDIRECT(A96&amp;ROW())=C94),1,0)))</f>
        <v>0</v>
      </c>
      <c r="J279">
        <f ca="1">IF(AND(INDIRECT(A73&amp;ROW())=B95,INDIRECT(A96&amp;ROW())=C95),1,IF(AND(INDIRECT(A73&amp;ROW())=B95,INDIRECT(A96&amp;ROW())=C96),1,0))</f>
        <v>1</v>
      </c>
      <c r="K279">
        <f ca="1">DAYS360(INDIRECT(C68&amp;ROW()),TODAY())</f>
        <v>721</v>
      </c>
      <c r="L279">
        <f ca="1">DAYS360(INDIRECT(C69&amp;ROW()),TODAY())</f>
        <v>803</v>
      </c>
      <c r="M279">
        <f ca="1">HYPERLINK(CONCATENATE("https://bugzilla.houston.hp.com:1181/bugzilla/show_bug.cgi?id=",INDIRECT(C70&amp;ROW())),INDIRECT(C70&amp;ROW()))</f>
        <v>56784</v>
      </c>
      <c r="N279">
        <v>56784</v>
      </c>
      <c r="O279" t="s">
        <v>56</v>
      </c>
      <c r="P279" t="s">
        <v>603</v>
      </c>
      <c r="Q279" t="s">
        <v>25</v>
      </c>
      <c r="R279" t="s">
        <v>248</v>
      </c>
      <c r="S279" t="s">
        <v>552</v>
      </c>
      <c r="U279" s="6">
        <v>42125.451770833337</v>
      </c>
      <c r="V279" t="s">
        <v>18</v>
      </c>
      <c r="W279" t="s">
        <v>512</v>
      </c>
      <c r="X279" s="6">
        <v>42044.682280092595</v>
      </c>
      <c r="Y279" t="s">
        <v>122</v>
      </c>
      <c r="AB279" t="s">
        <v>201</v>
      </c>
      <c r="AC279" t="s">
        <v>247</v>
      </c>
      <c r="AD279" t="s">
        <v>220</v>
      </c>
      <c r="AE279" t="s">
        <v>219</v>
      </c>
      <c r="AG279" t="s">
        <v>121</v>
      </c>
      <c r="AH279" t="s">
        <v>327</v>
      </c>
      <c r="AI279" t="s">
        <v>121</v>
      </c>
      <c r="AJ279" t="s">
        <v>716</v>
      </c>
      <c r="AK279" t="s">
        <v>121</v>
      </c>
    </row>
    <row r="280" spans="9:37" x14ac:dyDescent="0.3">
      <c r="I280">
        <f ca="1">IF(OR(INDIRECT(A73&amp;ROW())=B93,INDIRECT(A73&amp;ROW())=B94),1,IF(AND(INDIRECT(A73&amp;ROW())=B95,INDIRECT(A96&amp;ROW())=C93),1,IF(AND(INDIRECT(A73&amp;ROW())=B95,INDIRECT(A96&amp;ROW())=C94),1,0)))</f>
        <v>0</v>
      </c>
      <c r="J280">
        <f ca="1">IF(AND(INDIRECT(A73&amp;ROW())=B95,INDIRECT(A96&amp;ROW())=C95),1,IF(AND(INDIRECT(A73&amp;ROW())=B95,INDIRECT(A96&amp;ROW())=C96),1,0))</f>
        <v>1</v>
      </c>
      <c r="K280">
        <f ca="1">DAYS360(INDIRECT(C68&amp;ROW()),TODAY())</f>
        <v>732</v>
      </c>
      <c r="L280">
        <f ca="1">DAYS360(INDIRECT(C69&amp;ROW()),TODAY())</f>
        <v>802</v>
      </c>
      <c r="M280">
        <f ca="1">HYPERLINK(CONCATENATE("https://bugzilla.houston.hp.com:1181/bugzilla/show_bug.cgi?id=",INDIRECT(C70&amp;ROW())),INDIRECT(C70&amp;ROW()))</f>
        <v>56829</v>
      </c>
      <c r="N280">
        <v>56829</v>
      </c>
      <c r="O280" t="s">
        <v>36</v>
      </c>
      <c r="P280" t="s">
        <v>672</v>
      </c>
      <c r="Q280" t="s">
        <v>25</v>
      </c>
      <c r="R280" t="s">
        <v>579</v>
      </c>
      <c r="S280" t="s">
        <v>552</v>
      </c>
      <c r="T280" t="s">
        <v>718</v>
      </c>
      <c r="U280" s="6">
        <v>42114.8983912037</v>
      </c>
      <c r="V280" t="s">
        <v>18</v>
      </c>
      <c r="W280" t="s">
        <v>576</v>
      </c>
      <c r="X280" s="6">
        <v>42045.437962962962</v>
      </c>
      <c r="Y280" t="s">
        <v>124</v>
      </c>
      <c r="AB280" t="s">
        <v>201</v>
      </c>
      <c r="AC280" t="s">
        <v>247</v>
      </c>
      <c r="AD280" t="s">
        <v>222</v>
      </c>
      <c r="AE280" t="s">
        <v>228</v>
      </c>
      <c r="AG280" t="s">
        <v>121</v>
      </c>
      <c r="AH280" t="s">
        <v>327</v>
      </c>
      <c r="AI280" t="s">
        <v>362</v>
      </c>
      <c r="AJ280" t="s">
        <v>716</v>
      </c>
      <c r="AK280" t="s">
        <v>121</v>
      </c>
    </row>
    <row r="281" spans="9:37" x14ac:dyDescent="0.3">
      <c r="I281">
        <f ca="1">IF(OR(INDIRECT(A73&amp;ROW())=B93,INDIRECT(A73&amp;ROW())=B94),1,IF(AND(INDIRECT(A73&amp;ROW())=B95,INDIRECT(A96&amp;ROW())=C93),1,IF(AND(INDIRECT(A73&amp;ROW())=B95,INDIRECT(A96&amp;ROW())=C94),1,0)))</f>
        <v>0</v>
      </c>
      <c r="J281">
        <f ca="1">IF(AND(INDIRECT(A73&amp;ROW())=B95,INDIRECT(A96&amp;ROW())=C95),1,IF(AND(INDIRECT(A73&amp;ROW())=B95,INDIRECT(A96&amp;ROW())=C96),1,0))</f>
        <v>1</v>
      </c>
      <c r="K281">
        <f ca="1">DAYS360(INDIRECT(C68&amp;ROW()),TODAY())</f>
        <v>799</v>
      </c>
      <c r="L281">
        <f ca="1">DAYS360(INDIRECT(C69&amp;ROW()),TODAY())</f>
        <v>802</v>
      </c>
      <c r="M281">
        <f ca="1">HYPERLINK(CONCATENATE("https://bugzilla.houston.hp.com:1181/bugzilla/show_bug.cgi?id=",INDIRECT(C70&amp;ROW())),INDIRECT(C70&amp;ROW()))</f>
        <v>56833</v>
      </c>
      <c r="N281">
        <v>56833</v>
      </c>
      <c r="O281" t="s">
        <v>36</v>
      </c>
      <c r="P281" t="s">
        <v>671</v>
      </c>
      <c r="Q281" t="s">
        <v>25</v>
      </c>
      <c r="R281" t="s">
        <v>579</v>
      </c>
      <c r="S281" t="s">
        <v>552</v>
      </c>
      <c r="T281" t="s">
        <v>719</v>
      </c>
      <c r="U281" s="6">
        <v>42048.010648148149</v>
      </c>
      <c r="V281" t="s">
        <v>18</v>
      </c>
      <c r="W281" t="s">
        <v>343</v>
      </c>
      <c r="X281" s="6">
        <v>42045.439618055556</v>
      </c>
      <c r="Y281" t="s">
        <v>246</v>
      </c>
      <c r="AB281" t="s">
        <v>201</v>
      </c>
      <c r="AC281" t="s">
        <v>247</v>
      </c>
      <c r="AD281" t="s">
        <v>222</v>
      </c>
      <c r="AE281" t="s">
        <v>221</v>
      </c>
      <c r="AG281" t="s">
        <v>121</v>
      </c>
      <c r="AH281" t="s">
        <v>327</v>
      </c>
      <c r="AI281" t="s">
        <v>121</v>
      </c>
      <c r="AJ281" t="s">
        <v>716</v>
      </c>
      <c r="AK281" t="s">
        <v>121</v>
      </c>
    </row>
    <row r="282" spans="9:37" x14ac:dyDescent="0.3">
      <c r="I282">
        <f ca="1">IF(OR(INDIRECT(A73&amp;ROW())=B93,INDIRECT(A73&amp;ROW())=B94),1,IF(AND(INDIRECT(A73&amp;ROW())=B95,INDIRECT(A96&amp;ROW())=C93),1,IF(AND(INDIRECT(A73&amp;ROW())=B95,INDIRECT(A96&amp;ROW())=C94),1,0)))</f>
        <v>1</v>
      </c>
      <c r="J282">
        <f ca="1">IF(AND(INDIRECT(A73&amp;ROW())=B95,INDIRECT(A96&amp;ROW())=C95),1,IF(AND(INDIRECT(A73&amp;ROW())=B95,INDIRECT(A96&amp;ROW())=C96),1,0))</f>
        <v>0</v>
      </c>
      <c r="K282">
        <f ca="1">DAYS360(INDIRECT(C68&amp;ROW()),TODAY())</f>
        <v>692</v>
      </c>
      <c r="L282">
        <f ca="1">DAYS360(INDIRECT(C69&amp;ROW()),TODAY())</f>
        <v>802</v>
      </c>
      <c r="M282">
        <f ca="1">HYPERLINK(CONCATENATE("https://bugzilla.houston.hp.com:1181/bugzilla/show_bug.cgi?id=",INDIRECT(C70&amp;ROW())),INDIRECT(C70&amp;ROW()))</f>
        <v>56836</v>
      </c>
      <c r="N282">
        <v>56836</v>
      </c>
      <c r="O282" t="s">
        <v>53</v>
      </c>
      <c r="P282" t="s">
        <v>670</v>
      </c>
      <c r="Q282" t="s">
        <v>39</v>
      </c>
      <c r="R282" t="s">
        <v>579</v>
      </c>
      <c r="S282" t="s">
        <v>552</v>
      </c>
      <c r="T282" t="s">
        <v>998</v>
      </c>
      <c r="U282" s="6">
        <v>42155.949664351851</v>
      </c>
      <c r="V282" t="s">
        <v>40</v>
      </c>
      <c r="W282" t="s">
        <v>258</v>
      </c>
      <c r="X282" s="6">
        <v>42045.447187500002</v>
      </c>
      <c r="Y282" t="s">
        <v>119</v>
      </c>
      <c r="AB282" t="s">
        <v>201</v>
      </c>
      <c r="AC282" t="s">
        <v>247</v>
      </c>
      <c r="AD282" t="s">
        <v>220</v>
      </c>
      <c r="AE282" t="s">
        <v>219</v>
      </c>
      <c r="AG282" t="s">
        <v>121</v>
      </c>
      <c r="AH282" t="s">
        <v>64</v>
      </c>
      <c r="AI282" t="s">
        <v>121</v>
      </c>
      <c r="AJ282" t="s">
        <v>715</v>
      </c>
      <c r="AK282" t="s">
        <v>121</v>
      </c>
    </row>
    <row r="283" spans="9:37" x14ac:dyDescent="0.3">
      <c r="I283">
        <f ca="1">IF(OR(INDIRECT(A73&amp;ROW())=B93,INDIRECT(A73&amp;ROW())=B94),1,IF(AND(INDIRECT(A73&amp;ROW())=B95,INDIRECT(A96&amp;ROW())=C93),1,IF(AND(INDIRECT(A73&amp;ROW())=B95,INDIRECT(A96&amp;ROW())=C94),1,0)))</f>
        <v>0</v>
      </c>
      <c r="J283">
        <f ca="1">IF(AND(INDIRECT(A73&amp;ROW())=B95,INDIRECT(A96&amp;ROW())=C95),1,IF(AND(INDIRECT(A73&amp;ROW())=B95,INDIRECT(A96&amp;ROW())=C96),1,0))</f>
        <v>1</v>
      </c>
      <c r="K283">
        <f ca="1">DAYS360(INDIRECT(C68&amp;ROW()),TODAY())</f>
        <v>752</v>
      </c>
      <c r="L283">
        <f ca="1">DAYS360(INDIRECT(C69&amp;ROW()),TODAY())</f>
        <v>802</v>
      </c>
      <c r="M283">
        <f ca="1">HYPERLINK(CONCATENATE("https://bugzilla.houston.hp.com:1181/bugzilla/show_bug.cgi?id=",INDIRECT(C70&amp;ROW())),INDIRECT(C70&amp;ROW()))</f>
        <v>56838</v>
      </c>
      <c r="N283">
        <v>56838</v>
      </c>
      <c r="O283" t="s">
        <v>36</v>
      </c>
      <c r="P283" t="s">
        <v>669</v>
      </c>
      <c r="Q283" t="s">
        <v>25</v>
      </c>
      <c r="R283" t="s">
        <v>579</v>
      </c>
      <c r="S283" t="s">
        <v>552</v>
      </c>
      <c r="T283" t="s">
        <v>610</v>
      </c>
      <c r="U283" s="6">
        <v>42093.996180555558</v>
      </c>
      <c r="V283" t="s">
        <v>18</v>
      </c>
      <c r="W283" t="s">
        <v>211</v>
      </c>
      <c r="X283" s="6">
        <v>42045.447858796295</v>
      </c>
      <c r="Y283" t="s">
        <v>119</v>
      </c>
      <c r="AB283" t="s">
        <v>201</v>
      </c>
      <c r="AC283" t="s">
        <v>121</v>
      </c>
      <c r="AD283" t="s">
        <v>222</v>
      </c>
      <c r="AE283" t="s">
        <v>240</v>
      </c>
      <c r="AG283" t="s">
        <v>121</v>
      </c>
      <c r="AH283" t="s">
        <v>64</v>
      </c>
      <c r="AI283" t="s">
        <v>121</v>
      </c>
      <c r="AJ283" t="s">
        <v>716</v>
      </c>
      <c r="AK283" t="s">
        <v>121</v>
      </c>
    </row>
    <row r="284" spans="9:37" x14ac:dyDescent="0.3">
      <c r="I284">
        <f ca="1">IF(OR(INDIRECT(A73&amp;ROW())=B93,INDIRECT(A73&amp;ROW())=B94),1,IF(AND(INDIRECT(A73&amp;ROW())=B95,INDIRECT(A96&amp;ROW())=C93),1,IF(AND(INDIRECT(A73&amp;ROW())=B95,INDIRECT(A96&amp;ROW())=C94),1,0)))</f>
        <v>0</v>
      </c>
      <c r="J284">
        <f ca="1">IF(AND(INDIRECT(A73&amp;ROW())=B95,INDIRECT(A96&amp;ROW())=C95),1,IF(AND(INDIRECT(A73&amp;ROW())=B95,INDIRECT(A96&amp;ROW())=C96),1,0))</f>
        <v>1</v>
      </c>
      <c r="K284">
        <f ca="1">DAYS360(INDIRECT(C68&amp;ROW()),TODAY())</f>
        <v>799</v>
      </c>
      <c r="L284">
        <f ca="1">DAYS360(INDIRECT(C69&amp;ROW()),TODAY())</f>
        <v>802</v>
      </c>
      <c r="M284">
        <f ca="1">HYPERLINK(CONCATENATE("https://bugzilla.houston.hp.com:1181/bugzilla/show_bug.cgi?id=",INDIRECT(C70&amp;ROW())),INDIRECT(C70&amp;ROW()))</f>
        <v>56839</v>
      </c>
      <c r="N284">
        <v>56839</v>
      </c>
      <c r="O284" t="s">
        <v>36</v>
      </c>
      <c r="P284" t="s">
        <v>668</v>
      </c>
      <c r="Q284" t="s">
        <v>25</v>
      </c>
      <c r="R284" t="s">
        <v>579</v>
      </c>
      <c r="S284" t="s">
        <v>552</v>
      </c>
      <c r="T284" t="s">
        <v>719</v>
      </c>
      <c r="U284" s="6">
        <v>42048.007557870369</v>
      </c>
      <c r="V284" t="s">
        <v>18</v>
      </c>
      <c r="W284" t="s">
        <v>341</v>
      </c>
      <c r="X284" s="6">
        <v>42045.448148148149</v>
      </c>
      <c r="Y284" t="s">
        <v>246</v>
      </c>
      <c r="AB284" t="s">
        <v>201</v>
      </c>
      <c r="AC284" t="s">
        <v>247</v>
      </c>
      <c r="AD284" t="s">
        <v>222</v>
      </c>
      <c r="AE284" t="s">
        <v>221</v>
      </c>
      <c r="AG284" t="s">
        <v>121</v>
      </c>
      <c r="AH284" t="s">
        <v>327</v>
      </c>
      <c r="AI284" t="s">
        <v>121</v>
      </c>
      <c r="AJ284" t="s">
        <v>716</v>
      </c>
      <c r="AK284" t="s">
        <v>121</v>
      </c>
    </row>
    <row r="285" spans="9:37" x14ac:dyDescent="0.3">
      <c r="I285">
        <f ca="1">IF(OR(INDIRECT(A73&amp;ROW())=B93,INDIRECT(A73&amp;ROW())=B94),1,IF(AND(INDIRECT(A73&amp;ROW())=B95,INDIRECT(A96&amp;ROW())=C93),1,IF(AND(INDIRECT(A73&amp;ROW())=B95,INDIRECT(A96&amp;ROW())=C94),1,0)))</f>
        <v>1</v>
      </c>
      <c r="J285">
        <f ca="1">IF(AND(INDIRECT(A73&amp;ROW())=B95,INDIRECT(A96&amp;ROW())=C95),1,IF(AND(INDIRECT(A73&amp;ROW())=B95,INDIRECT(A96&amp;ROW())=C96),1,0))</f>
        <v>0</v>
      </c>
      <c r="K285">
        <f ca="1">DAYS360(INDIRECT(C68&amp;ROW()),TODAY())</f>
        <v>692</v>
      </c>
      <c r="L285">
        <f ca="1">DAYS360(INDIRECT(C69&amp;ROW()),TODAY())</f>
        <v>802</v>
      </c>
      <c r="M285">
        <f ca="1">HYPERLINK(CONCATENATE("https://bugzilla.houston.hp.com:1181/bugzilla/show_bug.cgi?id=",INDIRECT(C70&amp;ROW())),INDIRECT(C70&amp;ROW()))</f>
        <v>56842</v>
      </c>
      <c r="N285">
        <v>56842</v>
      </c>
      <c r="O285" t="s">
        <v>53</v>
      </c>
      <c r="P285" t="s">
        <v>667</v>
      </c>
      <c r="Q285" t="s">
        <v>39</v>
      </c>
      <c r="R285" t="s">
        <v>579</v>
      </c>
      <c r="S285" t="s">
        <v>552</v>
      </c>
      <c r="T285" t="s">
        <v>999</v>
      </c>
      <c r="U285" s="6">
        <v>42155.948958333334</v>
      </c>
      <c r="V285" t="s">
        <v>40</v>
      </c>
      <c r="W285" t="s">
        <v>260</v>
      </c>
      <c r="X285" s="6">
        <v>42045.449675925927</v>
      </c>
      <c r="Y285" t="s">
        <v>793</v>
      </c>
      <c r="AB285" t="s">
        <v>201</v>
      </c>
      <c r="AC285" t="s">
        <v>121</v>
      </c>
      <c r="AD285" t="s">
        <v>220</v>
      </c>
      <c r="AE285" t="s">
        <v>219</v>
      </c>
      <c r="AG285" t="s">
        <v>121</v>
      </c>
      <c r="AH285" t="s">
        <v>327</v>
      </c>
      <c r="AI285" t="s">
        <v>121</v>
      </c>
      <c r="AJ285" t="s">
        <v>715</v>
      </c>
      <c r="AK285" t="s">
        <v>121</v>
      </c>
    </row>
    <row r="286" spans="9:37" x14ac:dyDescent="0.3">
      <c r="I286">
        <f ca="1">IF(OR(INDIRECT(A73&amp;ROW())=B93,INDIRECT(A73&amp;ROW())=B94),1,IF(AND(INDIRECT(A73&amp;ROW())=B95,INDIRECT(A96&amp;ROW())=C93),1,IF(AND(INDIRECT(A73&amp;ROW())=B95,INDIRECT(A96&amp;ROW())=C94),1,0)))</f>
        <v>0</v>
      </c>
      <c r="J286">
        <f ca="1">IF(AND(INDIRECT(A73&amp;ROW())=B95,INDIRECT(A96&amp;ROW())=C95),1,IF(AND(INDIRECT(A73&amp;ROW())=B95,INDIRECT(A96&amp;ROW())=C96),1,0))</f>
        <v>1</v>
      </c>
      <c r="K286">
        <f ca="1">DAYS360(INDIRECT(C68&amp;ROW()),TODAY())</f>
        <v>802</v>
      </c>
      <c r="L286">
        <f ca="1">DAYS360(INDIRECT(C69&amp;ROW()),TODAY())</f>
        <v>802</v>
      </c>
      <c r="M286">
        <f ca="1">HYPERLINK(CONCATENATE("https://bugzilla.houston.hp.com:1181/bugzilla/show_bug.cgi?id=",INDIRECT(C70&amp;ROW())),INDIRECT(C70&amp;ROW()))</f>
        <v>56848</v>
      </c>
      <c r="N286">
        <v>56848</v>
      </c>
      <c r="O286" t="s">
        <v>36</v>
      </c>
      <c r="P286" t="s">
        <v>665</v>
      </c>
      <c r="Q286" t="s">
        <v>25</v>
      </c>
      <c r="R286" t="s">
        <v>248</v>
      </c>
      <c r="S286" t="s">
        <v>552</v>
      </c>
      <c r="U286" s="6">
        <v>42045.500856481478</v>
      </c>
      <c r="V286" t="s">
        <v>18</v>
      </c>
      <c r="W286" t="s">
        <v>576</v>
      </c>
      <c r="X286" s="6">
        <v>42045.465833333335</v>
      </c>
      <c r="Y286" t="s">
        <v>124</v>
      </c>
      <c r="AB286" t="s">
        <v>201</v>
      </c>
      <c r="AC286" t="s">
        <v>247</v>
      </c>
      <c r="AD286" t="s">
        <v>222</v>
      </c>
      <c r="AE286" t="s">
        <v>221</v>
      </c>
      <c r="AG286" t="s">
        <v>121</v>
      </c>
      <c r="AH286" t="s">
        <v>327</v>
      </c>
      <c r="AI286" t="s">
        <v>121</v>
      </c>
      <c r="AJ286" t="s">
        <v>716</v>
      </c>
      <c r="AK286" t="s">
        <v>121</v>
      </c>
    </row>
    <row r="287" spans="9:37" x14ac:dyDescent="0.3">
      <c r="I287">
        <f ca="1">IF(OR(INDIRECT(A73&amp;ROW())=B93,INDIRECT(A73&amp;ROW())=B94),1,IF(AND(INDIRECT(A73&amp;ROW())=B95,INDIRECT(A96&amp;ROW())=C93),1,IF(AND(INDIRECT(A73&amp;ROW())=B95,INDIRECT(A96&amp;ROW())=C94),1,0)))</f>
        <v>1</v>
      </c>
      <c r="J287">
        <f ca="1">IF(AND(INDIRECT(A73&amp;ROW())=B95,INDIRECT(A96&amp;ROW())=C95),1,IF(AND(INDIRECT(A73&amp;ROW())=B95,INDIRECT(A96&amp;ROW())=C96),1,0))</f>
        <v>0</v>
      </c>
      <c r="K287">
        <f ca="1">DAYS360(INDIRECT(C68&amp;ROW()),TODAY())</f>
        <v>677</v>
      </c>
      <c r="L287">
        <f ca="1">DAYS360(INDIRECT(C69&amp;ROW()),TODAY())</f>
        <v>802</v>
      </c>
      <c r="M287">
        <f ca="1">HYPERLINK(CONCATENATE("https://bugzilla.houston.hp.com:1181/bugzilla/show_bug.cgi?id=",INDIRECT(C70&amp;ROW())),INDIRECT(C70&amp;ROW()))</f>
        <v>56849</v>
      </c>
      <c r="N287">
        <v>56849</v>
      </c>
      <c r="O287" t="s">
        <v>56</v>
      </c>
      <c r="P287" t="s">
        <v>664</v>
      </c>
      <c r="Q287" t="s">
        <v>39</v>
      </c>
      <c r="R287" t="s">
        <v>248</v>
      </c>
      <c r="S287" t="s">
        <v>552</v>
      </c>
      <c r="U287" s="6">
        <v>42170.560057870367</v>
      </c>
      <c r="V287" t="s">
        <v>18</v>
      </c>
      <c r="W287" t="s">
        <v>324</v>
      </c>
      <c r="X287" s="6">
        <v>42045.466180555559</v>
      </c>
      <c r="Y287" t="s">
        <v>122</v>
      </c>
      <c r="AB287" t="s">
        <v>201</v>
      </c>
      <c r="AC287" t="s">
        <v>247</v>
      </c>
      <c r="AD287" t="s">
        <v>220</v>
      </c>
      <c r="AE287" t="s">
        <v>219</v>
      </c>
      <c r="AG287" t="s">
        <v>121</v>
      </c>
      <c r="AH287" t="s">
        <v>327</v>
      </c>
      <c r="AI287" t="s">
        <v>121</v>
      </c>
      <c r="AJ287" t="s">
        <v>715</v>
      </c>
      <c r="AK287" t="s">
        <v>121</v>
      </c>
    </row>
    <row r="288" spans="9:37" x14ac:dyDescent="0.3">
      <c r="I288">
        <f ca="1">IF(OR(INDIRECT(A73&amp;ROW())=B93,INDIRECT(A73&amp;ROW())=B94),1,IF(AND(INDIRECT(A73&amp;ROW())=B95,INDIRECT(A96&amp;ROW())=C93),1,IF(AND(INDIRECT(A73&amp;ROW())=B95,INDIRECT(A96&amp;ROW())=C94),1,0)))</f>
        <v>0</v>
      </c>
      <c r="J288">
        <f ca="1">IF(AND(INDIRECT(A73&amp;ROW())=B95,INDIRECT(A96&amp;ROW())=C95),1,IF(AND(INDIRECT(A73&amp;ROW())=B95,INDIRECT(A96&amp;ROW())=C96),1,0))</f>
        <v>1</v>
      </c>
      <c r="K288">
        <f ca="1">DAYS360(INDIRECT(C68&amp;ROW()),TODAY())</f>
        <v>690</v>
      </c>
      <c r="L288">
        <f ca="1">DAYS360(INDIRECT(C69&amp;ROW()),TODAY())</f>
        <v>802</v>
      </c>
      <c r="M288">
        <f ca="1">HYPERLINK(CONCATENATE("https://bugzilla.houston.hp.com:1181/bugzilla/show_bug.cgi?id=",INDIRECT(C70&amp;ROW())),INDIRECT(C70&amp;ROW()))</f>
        <v>56850</v>
      </c>
      <c r="N288">
        <v>56850</v>
      </c>
      <c r="O288" t="s">
        <v>36</v>
      </c>
      <c r="P288" t="s">
        <v>663</v>
      </c>
      <c r="Q288" t="s">
        <v>25</v>
      </c>
      <c r="R288" t="s">
        <v>248</v>
      </c>
      <c r="S288" t="s">
        <v>552</v>
      </c>
      <c r="U288" s="6">
        <v>42157.094629629632</v>
      </c>
      <c r="V288" t="s">
        <v>18</v>
      </c>
      <c r="W288" t="s">
        <v>171</v>
      </c>
      <c r="X288" s="6">
        <v>42045.466585648152</v>
      </c>
      <c r="Y288" t="s">
        <v>119</v>
      </c>
      <c r="AB288" t="s">
        <v>201</v>
      </c>
      <c r="AC288" t="s">
        <v>121</v>
      </c>
      <c r="AD288" t="s">
        <v>220</v>
      </c>
      <c r="AE288" t="s">
        <v>223</v>
      </c>
      <c r="AG288" t="s">
        <v>121</v>
      </c>
      <c r="AH288" t="s">
        <v>327</v>
      </c>
      <c r="AI288" t="s">
        <v>121</v>
      </c>
      <c r="AJ288" t="s">
        <v>716</v>
      </c>
      <c r="AK288" t="s">
        <v>121</v>
      </c>
    </row>
    <row r="289" spans="9:37" x14ac:dyDescent="0.3">
      <c r="I289">
        <f ca="1">IF(OR(INDIRECT(A73&amp;ROW())=B93,INDIRECT(A73&amp;ROW())=B94),1,IF(AND(INDIRECT(A73&amp;ROW())=B95,INDIRECT(A96&amp;ROW())=C93),1,IF(AND(INDIRECT(A73&amp;ROW())=B95,INDIRECT(A96&amp;ROW())=C94),1,0)))</f>
        <v>1</v>
      </c>
      <c r="J289">
        <f ca="1">IF(AND(INDIRECT(A73&amp;ROW())=B95,INDIRECT(A96&amp;ROW())=C95),1,IF(AND(INDIRECT(A73&amp;ROW())=B95,INDIRECT(A96&amp;ROW())=C96),1,0))</f>
        <v>0</v>
      </c>
      <c r="K289">
        <f ca="1">DAYS360(INDIRECT(C68&amp;ROW()),TODAY())</f>
        <v>684</v>
      </c>
      <c r="L289">
        <f ca="1">DAYS360(INDIRECT(C69&amp;ROW()),TODAY())</f>
        <v>802</v>
      </c>
      <c r="M289">
        <f ca="1">HYPERLINK(CONCATENATE("https://bugzilla.houston.hp.com:1181/bugzilla/show_bug.cgi?id=",INDIRECT(C70&amp;ROW())),INDIRECT(C70&amp;ROW()))</f>
        <v>56851</v>
      </c>
      <c r="N289">
        <v>56851</v>
      </c>
      <c r="O289" t="s">
        <v>53</v>
      </c>
      <c r="P289" t="s">
        <v>662</v>
      </c>
      <c r="Q289" t="s">
        <v>39</v>
      </c>
      <c r="R289" t="s">
        <v>248</v>
      </c>
      <c r="S289" t="s">
        <v>552</v>
      </c>
      <c r="U289" s="6">
        <v>42163.604212962964</v>
      </c>
      <c r="V289" t="s">
        <v>18</v>
      </c>
      <c r="W289" t="s">
        <v>258</v>
      </c>
      <c r="X289" s="6">
        <v>42045.466851851852</v>
      </c>
      <c r="Y289" t="s">
        <v>119</v>
      </c>
      <c r="AB289" t="s">
        <v>201</v>
      </c>
      <c r="AC289" t="s">
        <v>247</v>
      </c>
      <c r="AD289" t="s">
        <v>220</v>
      </c>
      <c r="AE289" t="s">
        <v>219</v>
      </c>
      <c r="AG289" t="s">
        <v>121</v>
      </c>
      <c r="AH289" t="s">
        <v>64</v>
      </c>
      <c r="AI289" t="s">
        <v>121</v>
      </c>
      <c r="AJ289" t="s">
        <v>715</v>
      </c>
      <c r="AK289" t="s">
        <v>121</v>
      </c>
    </row>
    <row r="290" spans="9:37" x14ac:dyDescent="0.3">
      <c r="I290">
        <f ca="1">IF(OR(INDIRECT(A73&amp;ROW())=B93,INDIRECT(A73&amp;ROW())=B94),1,IF(AND(INDIRECT(A73&amp;ROW())=B95,INDIRECT(A96&amp;ROW())=C93),1,IF(AND(INDIRECT(A73&amp;ROW())=B95,INDIRECT(A96&amp;ROW())=C94),1,0)))</f>
        <v>0</v>
      </c>
      <c r="J290">
        <f ca="1">IF(AND(INDIRECT(A73&amp;ROW())=B95,INDIRECT(A96&amp;ROW())=C95),1,IF(AND(INDIRECT(A73&amp;ROW())=B95,INDIRECT(A96&amp;ROW())=C96),1,0))</f>
        <v>1</v>
      </c>
      <c r="K290">
        <f ca="1">DAYS360(INDIRECT(C68&amp;ROW()),TODAY())</f>
        <v>802</v>
      </c>
      <c r="L290">
        <f ca="1">DAYS360(INDIRECT(C69&amp;ROW()),TODAY())</f>
        <v>802</v>
      </c>
      <c r="M290">
        <f ca="1">HYPERLINK(CONCATENATE("https://bugzilla.houston.hp.com:1181/bugzilla/show_bug.cgi?id=",INDIRECT(C70&amp;ROW())),INDIRECT(C70&amp;ROW()))</f>
        <v>56854</v>
      </c>
      <c r="N290">
        <v>56854</v>
      </c>
      <c r="O290" t="s">
        <v>56</v>
      </c>
      <c r="P290" t="s">
        <v>661</v>
      </c>
      <c r="Q290" t="s">
        <v>25</v>
      </c>
      <c r="R290" t="s">
        <v>248</v>
      </c>
      <c r="S290" t="s">
        <v>552</v>
      </c>
      <c r="U290" s="6">
        <v>42045.50408564815</v>
      </c>
      <c r="V290" t="s">
        <v>18</v>
      </c>
      <c r="W290" t="s">
        <v>288</v>
      </c>
      <c r="X290" s="6">
        <v>42045.467939814815</v>
      </c>
      <c r="Y290" t="s">
        <v>119</v>
      </c>
      <c r="AB290" t="s">
        <v>201</v>
      </c>
      <c r="AC290" t="s">
        <v>121</v>
      </c>
      <c r="AD290" t="s">
        <v>220</v>
      </c>
      <c r="AE290" t="s">
        <v>219</v>
      </c>
      <c r="AF290" s="13">
        <v>41901</v>
      </c>
      <c r="AG290" t="s">
        <v>121</v>
      </c>
      <c r="AH290" t="s">
        <v>327</v>
      </c>
      <c r="AI290" t="s">
        <v>121</v>
      </c>
      <c r="AJ290" t="s">
        <v>716</v>
      </c>
      <c r="AK290" t="s">
        <v>121</v>
      </c>
    </row>
    <row r="291" spans="9:37" x14ac:dyDescent="0.3">
      <c r="I291">
        <f ca="1">IF(OR(INDIRECT(A73&amp;ROW())=B93,INDIRECT(A73&amp;ROW())=B94),1,IF(AND(INDIRECT(A73&amp;ROW())=B95,INDIRECT(A96&amp;ROW())=C93),1,IF(AND(INDIRECT(A73&amp;ROW())=B95,INDIRECT(A96&amp;ROW())=C94),1,0)))</f>
        <v>0</v>
      </c>
      <c r="J291">
        <f ca="1">IF(AND(INDIRECT(A73&amp;ROW())=B95,INDIRECT(A96&amp;ROW())=C95),1,IF(AND(INDIRECT(A73&amp;ROW())=B95,INDIRECT(A96&amp;ROW())=C96),1,0))</f>
        <v>1</v>
      </c>
      <c r="K291">
        <f ca="1">DAYS360(INDIRECT(C68&amp;ROW()),TODAY())</f>
        <v>802</v>
      </c>
      <c r="L291">
        <f ca="1">DAYS360(INDIRECT(C69&amp;ROW()),TODAY())</f>
        <v>802</v>
      </c>
      <c r="M291">
        <f ca="1">HYPERLINK(CONCATENATE("https://bugzilla.houston.hp.com:1181/bugzilla/show_bug.cgi?id=",INDIRECT(C70&amp;ROW())),INDIRECT(C70&amp;ROW()))</f>
        <v>56857</v>
      </c>
      <c r="N291">
        <v>56857</v>
      </c>
      <c r="O291" t="s">
        <v>36</v>
      </c>
      <c r="P291" t="s">
        <v>659</v>
      </c>
      <c r="Q291" t="s">
        <v>25</v>
      </c>
      <c r="R291" t="s">
        <v>248</v>
      </c>
      <c r="S291" t="s">
        <v>552</v>
      </c>
      <c r="U291" s="6">
        <v>42045.499108796299</v>
      </c>
      <c r="V291" t="s">
        <v>18</v>
      </c>
      <c r="W291" t="s">
        <v>341</v>
      </c>
      <c r="X291" s="6">
        <v>42045.468923611108</v>
      </c>
      <c r="Y291" t="s">
        <v>246</v>
      </c>
      <c r="AB291" t="s">
        <v>201</v>
      </c>
      <c r="AC291" t="s">
        <v>247</v>
      </c>
      <c r="AD291" t="s">
        <v>222</v>
      </c>
      <c r="AE291" t="s">
        <v>221</v>
      </c>
      <c r="AG291" t="s">
        <v>121</v>
      </c>
      <c r="AH291" t="s">
        <v>327</v>
      </c>
      <c r="AI291" t="s">
        <v>121</v>
      </c>
      <c r="AJ291" t="s">
        <v>716</v>
      </c>
      <c r="AK291" t="s">
        <v>121</v>
      </c>
    </row>
    <row r="292" spans="9:37" x14ac:dyDescent="0.3">
      <c r="I292">
        <f ca="1">IF(OR(INDIRECT(A73&amp;ROW())=B93,INDIRECT(A73&amp;ROW())=B94),1,IF(AND(INDIRECT(A73&amp;ROW())=B95,INDIRECT(A96&amp;ROW())=C93),1,IF(AND(INDIRECT(A73&amp;ROW())=B95,INDIRECT(A96&amp;ROW())=C94),1,0)))</f>
        <v>0</v>
      </c>
      <c r="J292">
        <f ca="1">IF(AND(INDIRECT(A73&amp;ROW())=B95,INDIRECT(A96&amp;ROW())=C95),1,IF(AND(INDIRECT(A73&amp;ROW())=B95,INDIRECT(A96&amp;ROW())=C96),1,0))</f>
        <v>1</v>
      </c>
      <c r="K292">
        <f ca="1">DAYS360(INDIRECT(C68&amp;ROW()),TODAY())</f>
        <v>802</v>
      </c>
      <c r="L292">
        <f ca="1">DAYS360(INDIRECT(C69&amp;ROW()),TODAY())</f>
        <v>802</v>
      </c>
      <c r="M292">
        <f ca="1">HYPERLINK(CONCATENATE("https://bugzilla.houston.hp.com:1181/bugzilla/show_bug.cgi?id=",INDIRECT(C70&amp;ROW())),INDIRECT(C70&amp;ROW()))</f>
        <v>56860</v>
      </c>
      <c r="N292">
        <v>56860</v>
      </c>
      <c r="O292" t="s">
        <v>36</v>
      </c>
      <c r="P292" t="s">
        <v>658</v>
      </c>
      <c r="Q292" t="s">
        <v>25</v>
      </c>
      <c r="R292" t="s">
        <v>248</v>
      </c>
      <c r="S292" t="s">
        <v>552</v>
      </c>
      <c r="U292" s="6">
        <v>42045.504421296297</v>
      </c>
      <c r="V292" t="s">
        <v>18</v>
      </c>
      <c r="W292" t="s">
        <v>343</v>
      </c>
      <c r="X292" s="6">
        <v>42045.469652777778</v>
      </c>
      <c r="Y292" t="s">
        <v>246</v>
      </c>
      <c r="AB292" t="s">
        <v>201</v>
      </c>
      <c r="AC292" t="s">
        <v>247</v>
      </c>
      <c r="AD292" t="s">
        <v>222</v>
      </c>
      <c r="AE292" t="s">
        <v>221</v>
      </c>
      <c r="AG292" t="s">
        <v>121</v>
      </c>
      <c r="AH292" t="s">
        <v>327</v>
      </c>
      <c r="AI292" t="s">
        <v>121</v>
      </c>
      <c r="AJ292" t="s">
        <v>716</v>
      </c>
      <c r="AK292" t="s">
        <v>121</v>
      </c>
    </row>
    <row r="293" spans="9:37" x14ac:dyDescent="0.3">
      <c r="I293">
        <f ca="1">IF(OR(INDIRECT(A73&amp;ROW())=B93,INDIRECT(A73&amp;ROW())=B94),1,IF(AND(INDIRECT(A73&amp;ROW())=B95,INDIRECT(A96&amp;ROW())=C93),1,IF(AND(INDIRECT(A73&amp;ROW())=B95,INDIRECT(A96&amp;ROW())=C94),1,0)))</f>
        <v>0</v>
      </c>
      <c r="J293">
        <f ca="1">IF(AND(INDIRECT(A73&amp;ROW())=B95,INDIRECT(A96&amp;ROW())=C95),1,IF(AND(INDIRECT(A73&amp;ROW())=B95,INDIRECT(A96&amp;ROW())=C96),1,0))</f>
        <v>1</v>
      </c>
      <c r="K293">
        <f ca="1">DAYS360(INDIRECT(C68&amp;ROW()),TODAY())</f>
        <v>802</v>
      </c>
      <c r="L293">
        <f ca="1">DAYS360(INDIRECT(C69&amp;ROW()),TODAY())</f>
        <v>802</v>
      </c>
      <c r="M293">
        <f ca="1">HYPERLINK(CONCATENATE("https://bugzilla.houston.hp.com:1181/bugzilla/show_bug.cgi?id=",INDIRECT(C70&amp;ROW())),INDIRECT(C70&amp;ROW()))</f>
        <v>56861</v>
      </c>
      <c r="N293">
        <v>56861</v>
      </c>
      <c r="O293" t="s">
        <v>36</v>
      </c>
      <c r="P293" t="s">
        <v>657</v>
      </c>
      <c r="Q293" t="s">
        <v>25</v>
      </c>
      <c r="R293" t="s">
        <v>248</v>
      </c>
      <c r="S293" t="s">
        <v>552</v>
      </c>
      <c r="U293" s="6">
        <v>42045.500555555554</v>
      </c>
      <c r="V293" t="s">
        <v>18</v>
      </c>
      <c r="W293" t="s">
        <v>211</v>
      </c>
      <c r="X293" s="6">
        <v>42045.47</v>
      </c>
      <c r="Y293" t="s">
        <v>119</v>
      </c>
      <c r="AB293" t="s">
        <v>201</v>
      </c>
      <c r="AC293" t="s">
        <v>121</v>
      </c>
      <c r="AD293" t="s">
        <v>222</v>
      </c>
      <c r="AE293" t="s">
        <v>240</v>
      </c>
      <c r="AG293" t="s">
        <v>121</v>
      </c>
      <c r="AH293" t="s">
        <v>64</v>
      </c>
      <c r="AI293" t="s">
        <v>121</v>
      </c>
      <c r="AJ293" t="s">
        <v>716</v>
      </c>
      <c r="AK293" t="s">
        <v>121</v>
      </c>
    </row>
    <row r="294" spans="9:37" x14ac:dyDescent="0.3">
      <c r="I294">
        <f ca="1">IF(OR(INDIRECT(A73&amp;ROW())=B93,INDIRECT(A73&amp;ROW())=B94),1,IF(AND(INDIRECT(A73&amp;ROW())=B95,INDIRECT(A96&amp;ROW())=C93),1,IF(AND(INDIRECT(A73&amp;ROW())=B95,INDIRECT(A96&amp;ROW())=C94),1,0)))</f>
        <v>0</v>
      </c>
      <c r="J294">
        <f ca="1">IF(AND(INDIRECT(A73&amp;ROW())=B95,INDIRECT(A96&amp;ROW())=C95),1,IF(AND(INDIRECT(A73&amp;ROW())=B95,INDIRECT(A96&amp;ROW())=C96),1,0))</f>
        <v>1</v>
      </c>
      <c r="K294">
        <f ca="1">DAYS360(INDIRECT(C68&amp;ROW()),TODAY())</f>
        <v>802</v>
      </c>
      <c r="L294">
        <f ca="1">DAYS360(INDIRECT(C69&amp;ROW()),TODAY())</f>
        <v>802</v>
      </c>
      <c r="M294">
        <f ca="1">HYPERLINK(CONCATENATE("https://bugzilla.houston.hp.com:1181/bugzilla/show_bug.cgi?id=",INDIRECT(C70&amp;ROW())),INDIRECT(C70&amp;ROW()))</f>
        <v>56864</v>
      </c>
      <c r="N294">
        <v>56864</v>
      </c>
      <c r="O294" t="s">
        <v>56</v>
      </c>
      <c r="P294" t="s">
        <v>655</v>
      </c>
      <c r="Q294" t="s">
        <v>25</v>
      </c>
      <c r="R294" t="s">
        <v>248</v>
      </c>
      <c r="S294" t="s">
        <v>552</v>
      </c>
      <c r="U294" s="6">
        <v>42045.499976851854</v>
      </c>
      <c r="V294" t="s">
        <v>18</v>
      </c>
      <c r="W294" t="s">
        <v>172</v>
      </c>
      <c r="X294" s="6">
        <v>42045.471018518518</v>
      </c>
      <c r="Y294" t="s">
        <v>119</v>
      </c>
      <c r="AB294" t="s">
        <v>201</v>
      </c>
      <c r="AC294" t="s">
        <v>121</v>
      </c>
      <c r="AD294" t="s">
        <v>220</v>
      </c>
      <c r="AE294" t="s">
        <v>219</v>
      </c>
      <c r="AG294" t="s">
        <v>121</v>
      </c>
      <c r="AH294" t="s">
        <v>327</v>
      </c>
      <c r="AI294" t="s">
        <v>121</v>
      </c>
      <c r="AJ294" t="s">
        <v>716</v>
      </c>
      <c r="AK294" t="s">
        <v>121</v>
      </c>
    </row>
    <row r="295" spans="9:37" x14ac:dyDescent="0.3">
      <c r="I295">
        <f ca="1">IF(OR(INDIRECT(A73&amp;ROW())=B93,INDIRECT(A73&amp;ROW())=B94),1,IF(AND(INDIRECT(A73&amp;ROW())=B95,INDIRECT(A96&amp;ROW())=C93),1,IF(AND(INDIRECT(A73&amp;ROW())=B95,INDIRECT(A96&amp;ROW())=C94),1,0)))</f>
        <v>0</v>
      </c>
      <c r="J295">
        <f ca="1">IF(AND(INDIRECT(A73&amp;ROW())=B95,INDIRECT(A96&amp;ROW())=C95),1,IF(AND(INDIRECT(A73&amp;ROW())=B95,INDIRECT(A96&amp;ROW())=C96),1,0))</f>
        <v>1</v>
      </c>
      <c r="K295">
        <f ca="1">DAYS360(INDIRECT(C68&amp;ROW()),TODAY())</f>
        <v>721</v>
      </c>
      <c r="L295">
        <f ca="1">DAYS360(INDIRECT(C69&amp;ROW()),TODAY())</f>
        <v>802</v>
      </c>
      <c r="M295">
        <f ca="1">HYPERLINK(CONCATENATE("https://bugzilla.houston.hp.com:1181/bugzilla/show_bug.cgi?id=",INDIRECT(C70&amp;ROW())),INDIRECT(C70&amp;ROW()))</f>
        <v>56866</v>
      </c>
      <c r="N295">
        <v>56866</v>
      </c>
      <c r="O295" t="s">
        <v>56</v>
      </c>
      <c r="P295" t="s">
        <v>654</v>
      </c>
      <c r="Q295" t="s">
        <v>25</v>
      </c>
      <c r="R295" t="s">
        <v>248</v>
      </c>
      <c r="S295" t="s">
        <v>552</v>
      </c>
      <c r="U295" s="6">
        <v>42125.449675925927</v>
      </c>
      <c r="V295" t="s">
        <v>18</v>
      </c>
      <c r="W295" t="s">
        <v>372</v>
      </c>
      <c r="X295" s="6">
        <v>42045.471747685187</v>
      </c>
      <c r="Y295" t="s">
        <v>122</v>
      </c>
      <c r="AB295" t="s">
        <v>201</v>
      </c>
      <c r="AC295" t="s">
        <v>247</v>
      </c>
      <c r="AD295" t="s">
        <v>220</v>
      </c>
      <c r="AE295" t="s">
        <v>219</v>
      </c>
      <c r="AG295" t="s">
        <v>121</v>
      </c>
      <c r="AH295" t="s">
        <v>327</v>
      </c>
      <c r="AI295" t="s">
        <v>121</v>
      </c>
      <c r="AJ295" t="s">
        <v>716</v>
      </c>
      <c r="AK295" t="s">
        <v>121</v>
      </c>
    </row>
    <row r="296" spans="9:37" x14ac:dyDescent="0.3">
      <c r="I296">
        <f ca="1">IF(OR(INDIRECT(A73&amp;ROW())=B93,INDIRECT(A73&amp;ROW())=B94),1,IF(AND(INDIRECT(A73&amp;ROW())=B95,INDIRECT(A96&amp;ROW())=C93),1,IF(AND(INDIRECT(A73&amp;ROW())=B95,INDIRECT(A96&amp;ROW())=C94),1,0)))</f>
        <v>0</v>
      </c>
      <c r="J296">
        <f ca="1">IF(AND(INDIRECT(A73&amp;ROW())=B95,INDIRECT(A96&amp;ROW())=C95),1,IF(AND(INDIRECT(A73&amp;ROW())=B95,INDIRECT(A96&amp;ROW())=C96),1,0))</f>
        <v>1</v>
      </c>
      <c r="K296">
        <f ca="1">DAYS360(INDIRECT(C68&amp;ROW()),TODAY())</f>
        <v>675</v>
      </c>
      <c r="L296">
        <f ca="1">DAYS360(INDIRECT(C69&amp;ROW()),TODAY())</f>
        <v>802</v>
      </c>
      <c r="M296">
        <f ca="1">HYPERLINK(CONCATENATE("https://bugzilla.houston.hp.com:1181/bugzilla/show_bug.cgi?id=",INDIRECT(C70&amp;ROW())),INDIRECT(C70&amp;ROW()))</f>
        <v>56895</v>
      </c>
      <c r="N296">
        <v>56895</v>
      </c>
      <c r="O296" t="s">
        <v>44</v>
      </c>
      <c r="P296" t="s">
        <v>738</v>
      </c>
      <c r="Q296" t="s">
        <v>25</v>
      </c>
      <c r="R296" t="s">
        <v>251</v>
      </c>
      <c r="S296" t="s">
        <v>52</v>
      </c>
      <c r="T296" t="s">
        <v>48</v>
      </c>
      <c r="U296" s="6">
        <v>42172.476747685185</v>
      </c>
      <c r="V296" t="s">
        <v>35</v>
      </c>
      <c r="W296" t="s">
        <v>17</v>
      </c>
      <c r="X296" s="6">
        <v>42045.609618055554</v>
      </c>
      <c r="Y296" t="s">
        <v>535</v>
      </c>
      <c r="AB296" t="s">
        <v>201</v>
      </c>
      <c r="AC296" t="s">
        <v>247</v>
      </c>
      <c r="AD296" t="s">
        <v>220</v>
      </c>
      <c r="AE296" t="s">
        <v>219</v>
      </c>
      <c r="AG296" t="s">
        <v>121</v>
      </c>
      <c r="AH296" t="s">
        <v>327</v>
      </c>
      <c r="AI296" t="s">
        <v>121</v>
      </c>
      <c r="AJ296" t="s">
        <v>716</v>
      </c>
      <c r="AK296" t="s">
        <v>121</v>
      </c>
    </row>
    <row r="297" spans="9:37" x14ac:dyDescent="0.3">
      <c r="I297">
        <f ca="1">IF(OR(INDIRECT(A73&amp;ROW())=B93,INDIRECT(A73&amp;ROW())=B94),1,IF(AND(INDIRECT(A73&amp;ROW())=B95,INDIRECT(A96&amp;ROW())=C93),1,IF(AND(INDIRECT(A73&amp;ROW())=B95,INDIRECT(A96&amp;ROW())=C94),1,0)))</f>
        <v>0</v>
      </c>
      <c r="J297">
        <f ca="1">IF(AND(INDIRECT(A73&amp;ROW())=B95,INDIRECT(A96&amp;ROW())=C95),1,IF(AND(INDIRECT(A73&amp;ROW())=B95,INDIRECT(A96&amp;ROW())=C96),1,0))</f>
        <v>0</v>
      </c>
      <c r="K297">
        <f ca="1">DAYS360(INDIRECT(C68&amp;ROW()),TODAY())</f>
        <v>802</v>
      </c>
      <c r="L297">
        <f ca="1">DAYS360(INDIRECT(C69&amp;ROW()),TODAY())</f>
        <v>802</v>
      </c>
      <c r="M297">
        <f ca="1">HYPERLINK(CONCATENATE("https://bugzilla.houston.hp.com:1181/bugzilla/show_bug.cgi?id=",INDIRECT(C70&amp;ROW())),INDIRECT(C70&amp;ROW()))</f>
        <v>56896</v>
      </c>
      <c r="N297">
        <v>56896</v>
      </c>
      <c r="O297" t="s">
        <v>56</v>
      </c>
      <c r="P297" t="s">
        <v>653</v>
      </c>
      <c r="Q297" t="s">
        <v>16</v>
      </c>
      <c r="R297" t="s">
        <v>248</v>
      </c>
      <c r="S297" t="s">
        <v>552</v>
      </c>
      <c r="U297" s="6">
        <v>42045.648831018516</v>
      </c>
      <c r="V297" t="s">
        <v>18</v>
      </c>
      <c r="W297" t="s">
        <v>209</v>
      </c>
      <c r="X297" s="6">
        <v>42045.648240740738</v>
      </c>
      <c r="Y297" t="s">
        <v>119</v>
      </c>
      <c r="AB297" t="s">
        <v>200</v>
      </c>
      <c r="AC297" t="s">
        <v>121</v>
      </c>
      <c r="AD297" t="s">
        <v>220</v>
      </c>
      <c r="AE297" t="s">
        <v>219</v>
      </c>
      <c r="AG297" t="s">
        <v>121</v>
      </c>
      <c r="AH297" t="s">
        <v>327</v>
      </c>
      <c r="AI297" t="s">
        <v>121</v>
      </c>
      <c r="AJ297" t="s">
        <v>716</v>
      </c>
      <c r="AK297" t="s">
        <v>121</v>
      </c>
    </row>
    <row r="298" spans="9:37" x14ac:dyDescent="0.3">
      <c r="I298">
        <f ca="1">IF(OR(INDIRECT(A73&amp;ROW())=B93,INDIRECT(A73&amp;ROW())=B94),1,IF(AND(INDIRECT(A73&amp;ROW())=B95,INDIRECT(A96&amp;ROW())=C93),1,IF(AND(INDIRECT(A73&amp;ROW())=B95,INDIRECT(A96&amp;ROW())=C94),1,0)))</f>
        <v>0</v>
      </c>
      <c r="J298">
        <f ca="1">IF(AND(INDIRECT(A73&amp;ROW())=B95,INDIRECT(A96&amp;ROW())=C95),1,IF(AND(INDIRECT(A73&amp;ROW())=B95,INDIRECT(A96&amp;ROW())=C96),1,0))</f>
        <v>0</v>
      </c>
      <c r="K298">
        <f ca="1">DAYS360(INDIRECT(C68&amp;ROW()),TODAY())</f>
        <v>721</v>
      </c>
      <c r="L298">
        <f ca="1">DAYS360(INDIRECT(C69&amp;ROW()),TODAY())</f>
        <v>802</v>
      </c>
      <c r="M298">
        <f ca="1">HYPERLINK(CONCATENATE("https://bugzilla.houston.hp.com:1181/bugzilla/show_bug.cgi?id=",INDIRECT(C70&amp;ROW())),INDIRECT(C70&amp;ROW()))</f>
        <v>56897</v>
      </c>
      <c r="N298">
        <v>56897</v>
      </c>
      <c r="O298" t="s">
        <v>56</v>
      </c>
      <c r="P298" t="s">
        <v>652</v>
      </c>
      <c r="Q298" t="s">
        <v>16</v>
      </c>
      <c r="R298" t="s">
        <v>248</v>
      </c>
      <c r="S298" t="s">
        <v>552</v>
      </c>
      <c r="U298" s="6">
        <v>42125.44394675926</v>
      </c>
      <c r="V298" t="s">
        <v>18</v>
      </c>
      <c r="W298" t="s">
        <v>209</v>
      </c>
      <c r="X298" s="6">
        <v>42045.652754629627</v>
      </c>
      <c r="Y298" t="s">
        <v>122</v>
      </c>
      <c r="AB298" t="s">
        <v>200</v>
      </c>
      <c r="AC298" t="s">
        <v>121</v>
      </c>
      <c r="AD298" t="s">
        <v>220</v>
      </c>
      <c r="AE298" t="s">
        <v>219</v>
      </c>
      <c r="AG298" t="s">
        <v>121</v>
      </c>
      <c r="AH298" t="s">
        <v>64</v>
      </c>
      <c r="AI298" t="s">
        <v>121</v>
      </c>
      <c r="AJ298" t="s">
        <v>716</v>
      </c>
      <c r="AK298" t="s">
        <v>121</v>
      </c>
    </row>
    <row r="299" spans="9:37" x14ac:dyDescent="0.3">
      <c r="I299">
        <f ca="1">IF(OR(INDIRECT(A73&amp;ROW())=B93,INDIRECT(A73&amp;ROW())=B94),1,IF(AND(INDIRECT(A73&amp;ROW())=B95,INDIRECT(A96&amp;ROW())=C93),1,IF(AND(INDIRECT(A73&amp;ROW())=B95,INDIRECT(A96&amp;ROW())=C94),1,0)))</f>
        <v>0</v>
      </c>
      <c r="J299">
        <f ca="1">IF(AND(INDIRECT(A73&amp;ROW())=B95,INDIRECT(A96&amp;ROW())=C95),1,IF(AND(INDIRECT(A73&amp;ROW())=B95,INDIRECT(A96&amp;ROW())=C96),1,0))</f>
        <v>0</v>
      </c>
      <c r="K299">
        <f ca="1">DAYS360(INDIRECT(C68&amp;ROW()),TODAY())</f>
        <v>802</v>
      </c>
      <c r="L299">
        <f ca="1">DAYS360(INDIRECT(C69&amp;ROW()),TODAY())</f>
        <v>802</v>
      </c>
      <c r="M299">
        <f ca="1">HYPERLINK(CONCATENATE("https://bugzilla.houston.hp.com:1181/bugzilla/show_bug.cgi?id=",INDIRECT(C70&amp;ROW())),INDIRECT(C70&amp;ROW()))</f>
        <v>56898</v>
      </c>
      <c r="N299">
        <v>56898</v>
      </c>
      <c r="O299" t="s">
        <v>36</v>
      </c>
      <c r="P299" t="s">
        <v>651</v>
      </c>
      <c r="Q299" t="s">
        <v>16</v>
      </c>
      <c r="R299" t="s">
        <v>248</v>
      </c>
      <c r="S299" t="s">
        <v>552</v>
      </c>
      <c r="U299" s="6">
        <v>42045.654224537036</v>
      </c>
      <c r="V299" t="s">
        <v>18</v>
      </c>
      <c r="W299" t="s">
        <v>205</v>
      </c>
      <c r="X299" s="6">
        <v>42045.653796296298</v>
      </c>
      <c r="Y299" t="s">
        <v>244</v>
      </c>
      <c r="AB299" t="s">
        <v>201</v>
      </c>
      <c r="AC299" t="s">
        <v>121</v>
      </c>
      <c r="AD299" t="s">
        <v>222</v>
      </c>
      <c r="AE299" t="s">
        <v>225</v>
      </c>
      <c r="AG299" t="s">
        <v>121</v>
      </c>
      <c r="AH299" t="s">
        <v>327</v>
      </c>
      <c r="AI299" t="s">
        <v>121</v>
      </c>
      <c r="AJ299" t="s">
        <v>717</v>
      </c>
      <c r="AK299" t="s">
        <v>121</v>
      </c>
    </row>
    <row r="300" spans="9:37" x14ac:dyDescent="0.3">
      <c r="I300">
        <f ca="1">IF(OR(INDIRECT(A73&amp;ROW())=B93,INDIRECT(A73&amp;ROW())=B94),1,IF(AND(INDIRECT(A73&amp;ROW())=B95,INDIRECT(A96&amp;ROW())=C93),1,IF(AND(INDIRECT(A73&amp;ROW())=B95,INDIRECT(A96&amp;ROW())=C94),1,0)))</f>
        <v>0</v>
      </c>
      <c r="J300">
        <f ca="1">IF(AND(INDIRECT(A73&amp;ROW())=B95,INDIRECT(A96&amp;ROW())=C95),1,IF(AND(INDIRECT(A73&amp;ROW())=B95,INDIRECT(A96&amp;ROW())=C96),1,0))</f>
        <v>0</v>
      </c>
      <c r="K300">
        <f ca="1">DAYS360(INDIRECT(C68&amp;ROW()),TODAY())</f>
        <v>721</v>
      </c>
      <c r="L300">
        <f ca="1">DAYS360(INDIRECT(C69&amp;ROW()),TODAY())</f>
        <v>802</v>
      </c>
      <c r="M300">
        <f ca="1">HYPERLINK(CONCATENATE("https://bugzilla.houston.hp.com:1181/bugzilla/show_bug.cgi?id=",INDIRECT(C70&amp;ROW())),INDIRECT(C70&amp;ROW()))</f>
        <v>56899</v>
      </c>
      <c r="N300">
        <v>56899</v>
      </c>
      <c r="O300" t="s">
        <v>56</v>
      </c>
      <c r="P300" t="s">
        <v>650</v>
      </c>
      <c r="Q300" t="s">
        <v>16</v>
      </c>
      <c r="R300" t="s">
        <v>248</v>
      </c>
      <c r="S300" t="s">
        <v>552</v>
      </c>
      <c r="U300" s="6">
        <v>42125.446446759262</v>
      </c>
      <c r="V300" t="s">
        <v>18</v>
      </c>
      <c r="W300" t="s">
        <v>288</v>
      </c>
      <c r="X300" s="6">
        <v>42045.654699074075</v>
      </c>
      <c r="Y300" t="s">
        <v>122</v>
      </c>
      <c r="AA300" t="s">
        <v>184</v>
      </c>
      <c r="AB300" t="s">
        <v>200</v>
      </c>
      <c r="AC300" t="s">
        <v>121</v>
      </c>
      <c r="AD300" t="s">
        <v>220</v>
      </c>
      <c r="AE300" t="s">
        <v>219</v>
      </c>
      <c r="AG300" t="s">
        <v>121</v>
      </c>
      <c r="AH300" t="s">
        <v>64</v>
      </c>
      <c r="AI300" t="s">
        <v>121</v>
      </c>
      <c r="AJ300" t="s">
        <v>716</v>
      </c>
      <c r="AK300" t="s">
        <v>121</v>
      </c>
    </row>
    <row r="301" spans="9:37" x14ac:dyDescent="0.3">
      <c r="I301">
        <f ca="1">IF(OR(INDIRECT(A73&amp;ROW())=B93,INDIRECT(A73&amp;ROW())=B94),1,IF(AND(INDIRECT(A73&amp;ROW())=B95,INDIRECT(A96&amp;ROW())=C93),1,IF(AND(INDIRECT(A73&amp;ROW())=B95,INDIRECT(A96&amp;ROW())=C94),1,0)))</f>
        <v>0</v>
      </c>
      <c r="J301">
        <f ca="1">IF(AND(INDIRECT(A73&amp;ROW())=B95,INDIRECT(A96&amp;ROW())=C95),1,IF(AND(INDIRECT(A73&amp;ROW())=B95,INDIRECT(A96&amp;ROW())=C96),1,0))</f>
        <v>0</v>
      </c>
      <c r="K301">
        <f ca="1">DAYS360(INDIRECT(C68&amp;ROW()),TODAY())</f>
        <v>802</v>
      </c>
      <c r="L301">
        <f ca="1">DAYS360(INDIRECT(C69&amp;ROW()),TODAY())</f>
        <v>802</v>
      </c>
      <c r="M301">
        <f ca="1">HYPERLINK(CONCATENATE("https://bugzilla.houston.hp.com:1181/bugzilla/show_bug.cgi?id=",INDIRECT(C70&amp;ROW())),INDIRECT(C70&amp;ROW()))</f>
        <v>56900</v>
      </c>
      <c r="N301">
        <v>56900</v>
      </c>
      <c r="O301" t="s">
        <v>56</v>
      </c>
      <c r="P301" t="s">
        <v>649</v>
      </c>
      <c r="Q301" t="s">
        <v>16</v>
      </c>
      <c r="R301" t="s">
        <v>248</v>
      </c>
      <c r="S301" t="s">
        <v>552</v>
      </c>
      <c r="U301" s="6">
        <v>42045.655752314815</v>
      </c>
      <c r="V301" t="s">
        <v>18</v>
      </c>
      <c r="W301" t="s">
        <v>209</v>
      </c>
      <c r="X301" s="6">
        <v>42045.655081018522</v>
      </c>
      <c r="Y301" t="s">
        <v>122</v>
      </c>
      <c r="AB301" t="s">
        <v>201</v>
      </c>
      <c r="AC301" t="s">
        <v>121</v>
      </c>
      <c r="AD301" t="s">
        <v>220</v>
      </c>
      <c r="AE301" t="s">
        <v>219</v>
      </c>
      <c r="AG301" t="s">
        <v>121</v>
      </c>
      <c r="AH301" t="s">
        <v>327</v>
      </c>
      <c r="AI301" t="s">
        <v>121</v>
      </c>
      <c r="AJ301" t="s">
        <v>717</v>
      </c>
      <c r="AK301" t="s">
        <v>121</v>
      </c>
    </row>
    <row r="302" spans="9:37" x14ac:dyDescent="0.3">
      <c r="I302">
        <f ca="1">IF(OR(INDIRECT(A73&amp;ROW())=B93,INDIRECT(A73&amp;ROW())=B94),1,IF(AND(INDIRECT(A73&amp;ROW())=B95,INDIRECT(A96&amp;ROW())=C93),1,IF(AND(INDIRECT(A73&amp;ROW())=B95,INDIRECT(A96&amp;ROW())=C94),1,0)))</f>
        <v>0</v>
      </c>
      <c r="J302">
        <f ca="1">IF(AND(INDIRECT(A73&amp;ROW())=B95,INDIRECT(A96&amp;ROW())=C95),1,IF(AND(INDIRECT(A73&amp;ROW())=B95,INDIRECT(A96&amp;ROW())=C96),1,0))</f>
        <v>0</v>
      </c>
      <c r="K302">
        <f ca="1">DAYS360(INDIRECT(C68&amp;ROW()),TODAY())</f>
        <v>721</v>
      </c>
      <c r="L302">
        <f ca="1">DAYS360(INDIRECT(C69&amp;ROW()),TODAY())</f>
        <v>802</v>
      </c>
      <c r="M302">
        <f ca="1">HYPERLINK(CONCATENATE("https://bugzilla.houston.hp.com:1181/bugzilla/show_bug.cgi?id=",INDIRECT(C70&amp;ROW())),INDIRECT(C70&amp;ROW()))</f>
        <v>56903</v>
      </c>
      <c r="N302">
        <v>56903</v>
      </c>
      <c r="O302" t="s">
        <v>36</v>
      </c>
      <c r="P302" t="s">
        <v>648</v>
      </c>
      <c r="Q302" t="s">
        <v>16</v>
      </c>
      <c r="R302" t="s">
        <v>248</v>
      </c>
      <c r="S302" t="s">
        <v>552</v>
      </c>
      <c r="U302" s="6">
        <v>42125.448611111111</v>
      </c>
      <c r="V302" t="s">
        <v>18</v>
      </c>
      <c r="W302" t="s">
        <v>17</v>
      </c>
      <c r="X302" s="6">
        <v>42045.659398148149</v>
      </c>
      <c r="Y302" t="s">
        <v>122</v>
      </c>
      <c r="AB302" t="s">
        <v>201</v>
      </c>
      <c r="AC302" t="s">
        <v>247</v>
      </c>
      <c r="AD302" t="s">
        <v>222</v>
      </c>
      <c r="AE302" t="s">
        <v>221</v>
      </c>
      <c r="AG302" t="s">
        <v>121</v>
      </c>
      <c r="AH302" t="s">
        <v>327</v>
      </c>
      <c r="AI302" t="s">
        <v>121</v>
      </c>
      <c r="AJ302" t="s">
        <v>717</v>
      </c>
      <c r="AK302" t="s">
        <v>121</v>
      </c>
    </row>
    <row r="303" spans="9:37" x14ac:dyDescent="0.3">
      <c r="I303">
        <f ca="1">IF(OR(INDIRECT(A73&amp;ROW())=B93,INDIRECT(A73&amp;ROW())=B94),1,IF(AND(INDIRECT(A73&amp;ROW())=B95,INDIRECT(A96&amp;ROW())=C93),1,IF(AND(INDIRECT(A73&amp;ROW())=B95,INDIRECT(A96&amp;ROW())=C94),1,0)))</f>
        <v>0</v>
      </c>
      <c r="J303">
        <f ca="1">IF(AND(INDIRECT(A73&amp;ROW())=B95,INDIRECT(A96&amp;ROW())=C95),1,IF(AND(INDIRECT(A73&amp;ROW())=B95,INDIRECT(A96&amp;ROW())=C96),1,0))</f>
        <v>0</v>
      </c>
      <c r="K303">
        <f ca="1">DAYS360(INDIRECT(C68&amp;ROW()),TODAY())</f>
        <v>721</v>
      </c>
      <c r="L303">
        <f ca="1">DAYS360(INDIRECT(C69&amp;ROW()),TODAY())</f>
        <v>802</v>
      </c>
      <c r="M303">
        <f ca="1">HYPERLINK(CONCATENATE("https://bugzilla.houston.hp.com:1181/bugzilla/show_bug.cgi?id=",INDIRECT(C70&amp;ROW())),INDIRECT(C70&amp;ROW()))</f>
        <v>56904</v>
      </c>
      <c r="N303">
        <v>56904</v>
      </c>
      <c r="O303" t="s">
        <v>36</v>
      </c>
      <c r="P303" t="s">
        <v>633</v>
      </c>
      <c r="Q303" t="s">
        <v>16</v>
      </c>
      <c r="R303" t="s">
        <v>248</v>
      </c>
      <c r="S303" t="s">
        <v>552</v>
      </c>
      <c r="U303" s="6">
        <v>42125.447546296295</v>
      </c>
      <c r="V303" t="s">
        <v>18</v>
      </c>
      <c r="W303" t="s">
        <v>17</v>
      </c>
      <c r="X303" s="6">
        <v>42045.660127314812</v>
      </c>
      <c r="Y303" t="s">
        <v>122</v>
      </c>
      <c r="AB303" t="s">
        <v>201</v>
      </c>
      <c r="AC303" t="s">
        <v>247</v>
      </c>
      <c r="AD303" t="s">
        <v>220</v>
      </c>
      <c r="AE303" t="s">
        <v>223</v>
      </c>
      <c r="AG303" t="s">
        <v>121</v>
      </c>
      <c r="AH303" t="s">
        <v>64</v>
      </c>
      <c r="AI303" t="s">
        <v>121</v>
      </c>
      <c r="AJ303" t="s">
        <v>717</v>
      </c>
      <c r="AK303" t="s">
        <v>121</v>
      </c>
    </row>
    <row r="304" spans="9:37" x14ac:dyDescent="0.3">
      <c r="I304">
        <f ca="1">IF(OR(INDIRECT(A73&amp;ROW())=B93,INDIRECT(A73&amp;ROW())=B94),1,IF(AND(INDIRECT(A73&amp;ROW())=B95,INDIRECT(A96&amp;ROW())=C93),1,IF(AND(INDIRECT(A73&amp;ROW())=B95,INDIRECT(A96&amp;ROW())=C94),1,0)))</f>
        <v>0</v>
      </c>
      <c r="J304">
        <f ca="1">IF(AND(INDIRECT(A73&amp;ROW())=B95,INDIRECT(A96&amp;ROW())=C95),1,IF(AND(INDIRECT(A73&amp;ROW())=B95,INDIRECT(A96&amp;ROW())=C96),1,0))</f>
        <v>0</v>
      </c>
      <c r="K304">
        <f ca="1">DAYS360(INDIRECT(C68&amp;ROW()),TODAY())</f>
        <v>721</v>
      </c>
      <c r="L304">
        <f ca="1">DAYS360(INDIRECT(C69&amp;ROW()),TODAY())</f>
        <v>802</v>
      </c>
      <c r="M304">
        <f ca="1">HYPERLINK(CONCATENATE("https://bugzilla.houston.hp.com:1181/bugzilla/show_bug.cgi?id=",INDIRECT(C70&amp;ROW())),INDIRECT(C70&amp;ROW()))</f>
        <v>56905</v>
      </c>
      <c r="N304">
        <v>56905</v>
      </c>
      <c r="O304" t="s">
        <v>56</v>
      </c>
      <c r="P304" t="s">
        <v>634</v>
      </c>
      <c r="Q304" t="s">
        <v>16</v>
      </c>
      <c r="R304" t="s">
        <v>248</v>
      </c>
      <c r="S304" t="s">
        <v>552</v>
      </c>
      <c r="U304" s="6">
        <v>42125.443784722222</v>
      </c>
      <c r="V304" t="s">
        <v>18</v>
      </c>
      <c r="W304" t="s">
        <v>211</v>
      </c>
      <c r="X304" s="6">
        <v>42045.660474537035</v>
      </c>
      <c r="Y304" t="s">
        <v>122</v>
      </c>
      <c r="AB304" t="s">
        <v>201</v>
      </c>
      <c r="AC304" t="s">
        <v>121</v>
      </c>
      <c r="AD304" t="s">
        <v>220</v>
      </c>
      <c r="AE304" t="s">
        <v>219</v>
      </c>
      <c r="AG304" t="s">
        <v>121</v>
      </c>
      <c r="AH304" t="s">
        <v>64</v>
      </c>
      <c r="AI304" t="s">
        <v>121</v>
      </c>
      <c r="AJ304" t="s">
        <v>717</v>
      </c>
      <c r="AK304" t="s">
        <v>121</v>
      </c>
    </row>
    <row r="305" spans="9:37" x14ac:dyDescent="0.3">
      <c r="I305">
        <f ca="1">IF(OR(INDIRECT(A73&amp;ROW())=B93,INDIRECT(A73&amp;ROW())=B94),1,IF(AND(INDIRECT(A73&amp;ROW())=B95,INDIRECT(A96&amp;ROW())=C93),1,IF(AND(INDIRECT(A73&amp;ROW())=B95,INDIRECT(A96&amp;ROW())=C94),1,0)))</f>
        <v>0</v>
      </c>
      <c r="J305">
        <f ca="1">IF(AND(INDIRECT(A73&amp;ROW())=B95,INDIRECT(A96&amp;ROW())=C95),1,IF(AND(INDIRECT(A73&amp;ROW())=B95,INDIRECT(A96&amp;ROW())=C96),1,0))</f>
        <v>0</v>
      </c>
      <c r="K305">
        <f ca="1">DAYS360(INDIRECT(C68&amp;ROW()),TODAY())</f>
        <v>721</v>
      </c>
      <c r="L305">
        <f ca="1">DAYS360(INDIRECT(C69&amp;ROW()),TODAY())</f>
        <v>802</v>
      </c>
      <c r="M305">
        <f ca="1">HYPERLINK(CONCATENATE("https://bugzilla.houston.hp.com:1181/bugzilla/show_bug.cgi?id=",INDIRECT(C70&amp;ROW())),INDIRECT(C70&amp;ROW()))</f>
        <v>56906</v>
      </c>
      <c r="N305">
        <v>56906</v>
      </c>
      <c r="O305" t="s">
        <v>56</v>
      </c>
      <c r="P305" t="s">
        <v>630</v>
      </c>
      <c r="Q305" t="s">
        <v>16</v>
      </c>
      <c r="R305" t="s">
        <v>248</v>
      </c>
      <c r="S305" t="s">
        <v>552</v>
      </c>
      <c r="U305" s="6">
        <v>42125.445300925923</v>
      </c>
      <c r="V305" t="s">
        <v>18</v>
      </c>
      <c r="W305" t="s">
        <v>260</v>
      </c>
      <c r="X305" s="6">
        <v>42045.661574074074</v>
      </c>
      <c r="Y305" t="s">
        <v>122</v>
      </c>
      <c r="AB305" t="s">
        <v>201</v>
      </c>
      <c r="AC305" t="s">
        <v>121</v>
      </c>
      <c r="AD305" t="s">
        <v>220</v>
      </c>
      <c r="AE305" t="s">
        <v>219</v>
      </c>
      <c r="AG305" t="s">
        <v>121</v>
      </c>
      <c r="AH305" t="s">
        <v>327</v>
      </c>
      <c r="AI305" t="s">
        <v>121</v>
      </c>
      <c r="AJ305" t="s">
        <v>717</v>
      </c>
      <c r="AK305" t="s">
        <v>121</v>
      </c>
    </row>
    <row r="306" spans="9:37" x14ac:dyDescent="0.3">
      <c r="I306">
        <f ca="1">IF(OR(INDIRECT(A73&amp;ROW())=B93,INDIRECT(A73&amp;ROW())=B94),1,IF(AND(INDIRECT(A73&amp;ROW())=B95,INDIRECT(A96&amp;ROW())=C93),1,IF(AND(INDIRECT(A73&amp;ROW())=B95,INDIRECT(A96&amp;ROW())=C94),1,0)))</f>
        <v>1</v>
      </c>
      <c r="J306">
        <f ca="1">IF(AND(INDIRECT(A73&amp;ROW())=B95,INDIRECT(A96&amp;ROW())=C95),1,IF(AND(INDIRECT(A73&amp;ROW())=B95,INDIRECT(A96&amp;ROW())=C96),1,0))</f>
        <v>0</v>
      </c>
      <c r="K306">
        <f ca="1">DAYS360(INDIRECT(C68&amp;ROW()),TODAY())</f>
        <v>687</v>
      </c>
      <c r="L306">
        <f ca="1">DAYS360(INDIRECT(C69&amp;ROW()),TODAY())</f>
        <v>802</v>
      </c>
      <c r="M306">
        <f ca="1">HYPERLINK(CONCATENATE("https://bugzilla.houston.hp.com:1181/bugzilla/show_bug.cgi?id=",INDIRECT(C70&amp;ROW())),INDIRECT(C70&amp;ROW()))</f>
        <v>56908</v>
      </c>
      <c r="N306">
        <v>56908</v>
      </c>
      <c r="O306" t="s">
        <v>45</v>
      </c>
      <c r="P306" t="s">
        <v>636</v>
      </c>
      <c r="Q306" t="s">
        <v>25</v>
      </c>
      <c r="R306" t="s">
        <v>248</v>
      </c>
      <c r="S306" t="s">
        <v>552</v>
      </c>
      <c r="U306" s="6">
        <v>42160.512152777781</v>
      </c>
      <c r="V306" t="s">
        <v>18</v>
      </c>
      <c r="W306" t="s">
        <v>256</v>
      </c>
      <c r="X306" s="6">
        <v>42045.663506944446</v>
      </c>
      <c r="Y306" t="s">
        <v>123</v>
      </c>
      <c r="AB306" t="s">
        <v>200</v>
      </c>
      <c r="AC306" t="s">
        <v>247</v>
      </c>
      <c r="AD306" t="s">
        <v>227</v>
      </c>
      <c r="AE306" t="s">
        <v>226</v>
      </c>
      <c r="AG306" t="s">
        <v>121</v>
      </c>
      <c r="AH306" t="s">
        <v>64</v>
      </c>
      <c r="AI306" t="s">
        <v>121</v>
      </c>
      <c r="AJ306" t="s">
        <v>715</v>
      </c>
      <c r="AK306" t="s">
        <v>121</v>
      </c>
    </row>
    <row r="307" spans="9:37" x14ac:dyDescent="0.3">
      <c r="I307">
        <f ca="1">IF(OR(INDIRECT(A73&amp;ROW())=B93,INDIRECT(A73&amp;ROW())=B94),1,IF(AND(INDIRECT(A73&amp;ROW())=B95,INDIRECT(A96&amp;ROW())=C93),1,IF(AND(INDIRECT(A73&amp;ROW())=B95,INDIRECT(A96&amp;ROW())=C94),1,0)))</f>
        <v>0</v>
      </c>
      <c r="J307">
        <f ca="1">IF(AND(INDIRECT(A73&amp;ROW())=B95,INDIRECT(A96&amp;ROW())=C95),1,IF(AND(INDIRECT(A73&amp;ROW())=B95,INDIRECT(A96&amp;ROW())=C96),1,0))</f>
        <v>0</v>
      </c>
      <c r="K307">
        <f ca="1">DAYS360(INDIRECT(C68&amp;ROW()),TODAY())</f>
        <v>721</v>
      </c>
      <c r="L307">
        <f ca="1">DAYS360(INDIRECT(C69&amp;ROW()),TODAY())</f>
        <v>802</v>
      </c>
      <c r="M307">
        <f ca="1">HYPERLINK(CONCATENATE("https://bugzilla.houston.hp.com:1181/bugzilla/show_bug.cgi?id=",INDIRECT(C70&amp;ROW())),INDIRECT(C70&amp;ROW()))</f>
        <v>56910</v>
      </c>
      <c r="N307">
        <v>56910</v>
      </c>
      <c r="O307" t="s">
        <v>56</v>
      </c>
      <c r="P307" t="s">
        <v>638</v>
      </c>
      <c r="Q307" t="s">
        <v>16</v>
      </c>
      <c r="R307" t="s">
        <v>248</v>
      </c>
      <c r="S307" t="s">
        <v>552</v>
      </c>
      <c r="U307" s="6">
        <v>42125.44767361111</v>
      </c>
      <c r="V307" t="s">
        <v>18</v>
      </c>
      <c r="W307" t="s">
        <v>340</v>
      </c>
      <c r="X307" s="6">
        <v>42045.665069444447</v>
      </c>
      <c r="Y307" t="s">
        <v>122</v>
      </c>
      <c r="AB307" t="s">
        <v>200</v>
      </c>
      <c r="AC307" t="s">
        <v>247</v>
      </c>
      <c r="AD307" t="s">
        <v>220</v>
      </c>
      <c r="AE307" t="s">
        <v>219</v>
      </c>
      <c r="AG307" t="s">
        <v>121</v>
      </c>
      <c r="AH307" t="s">
        <v>64</v>
      </c>
      <c r="AI307" t="s">
        <v>121</v>
      </c>
      <c r="AJ307" t="s">
        <v>716</v>
      </c>
      <c r="AK307" t="s">
        <v>121</v>
      </c>
    </row>
    <row r="308" spans="9:37" x14ac:dyDescent="0.3">
      <c r="I308">
        <f ca="1">IF(OR(INDIRECT(A73&amp;ROW())=B93,INDIRECT(A73&amp;ROW())=B94),1,IF(AND(INDIRECT(A73&amp;ROW())=B95,INDIRECT(A96&amp;ROW())=C93),1,IF(AND(INDIRECT(A73&amp;ROW())=B95,INDIRECT(A96&amp;ROW())=C94),1,0)))</f>
        <v>0</v>
      </c>
      <c r="J308">
        <f ca="1">IF(AND(INDIRECT(A73&amp;ROW())=B95,INDIRECT(A96&amp;ROW())=C95),1,IF(AND(INDIRECT(A73&amp;ROW())=B95,INDIRECT(A96&amp;ROW())=C96),1,0))</f>
        <v>0</v>
      </c>
      <c r="K308">
        <f ca="1">DAYS360(INDIRECT(C68&amp;ROW()),TODAY())</f>
        <v>802</v>
      </c>
      <c r="L308">
        <f ca="1">DAYS360(INDIRECT(C69&amp;ROW()),TODAY())</f>
        <v>802</v>
      </c>
      <c r="M308">
        <f ca="1">HYPERLINK(CONCATENATE("https://bugzilla.houston.hp.com:1181/bugzilla/show_bug.cgi?id=",INDIRECT(C70&amp;ROW())),INDIRECT(C70&amp;ROW()))</f>
        <v>56911</v>
      </c>
      <c r="N308">
        <v>56911</v>
      </c>
      <c r="O308" t="s">
        <v>36</v>
      </c>
      <c r="P308" t="s">
        <v>625</v>
      </c>
      <c r="Q308" t="s">
        <v>16</v>
      </c>
      <c r="R308" t="s">
        <v>248</v>
      </c>
      <c r="S308" t="s">
        <v>552</v>
      </c>
      <c r="U308" s="6">
        <v>42045.70890046296</v>
      </c>
      <c r="V308" t="s">
        <v>18</v>
      </c>
      <c r="W308" t="s">
        <v>258</v>
      </c>
      <c r="X308" s="6">
        <v>42045.66615740741</v>
      </c>
      <c r="Y308" t="s">
        <v>120</v>
      </c>
      <c r="AB308" t="s">
        <v>200</v>
      </c>
      <c r="AC308" t="s">
        <v>121</v>
      </c>
      <c r="AD308" t="s">
        <v>222</v>
      </c>
      <c r="AE308" t="s">
        <v>240</v>
      </c>
      <c r="AG308" t="s">
        <v>121</v>
      </c>
      <c r="AH308" t="s">
        <v>64</v>
      </c>
      <c r="AI308" t="s">
        <v>121</v>
      </c>
      <c r="AJ308" t="s">
        <v>716</v>
      </c>
      <c r="AK308" t="s">
        <v>121</v>
      </c>
    </row>
    <row r="309" spans="9:37" x14ac:dyDescent="0.3">
      <c r="I309">
        <f ca="1">IF(OR(INDIRECT(A73&amp;ROW())=B93,INDIRECT(A73&amp;ROW())=B94),1,IF(AND(INDIRECT(A73&amp;ROW())=B95,INDIRECT(A96&amp;ROW())=C93),1,IF(AND(INDIRECT(A73&amp;ROW())=B95,INDIRECT(A96&amp;ROW())=C94),1,0)))</f>
        <v>0</v>
      </c>
      <c r="J309">
        <f ca="1">IF(AND(INDIRECT(A73&amp;ROW())=B95,INDIRECT(A96&amp;ROW())=C95),1,IF(AND(INDIRECT(A73&amp;ROW())=B95,INDIRECT(A96&amp;ROW())=C96),1,0))</f>
        <v>0</v>
      </c>
      <c r="K309">
        <f ca="1">DAYS360(INDIRECT(C68&amp;ROW()),TODAY())</f>
        <v>802</v>
      </c>
      <c r="L309">
        <f ca="1">DAYS360(INDIRECT(C69&amp;ROW()),TODAY())</f>
        <v>802</v>
      </c>
      <c r="M309">
        <f ca="1">HYPERLINK(CONCATENATE("https://bugzilla.houston.hp.com:1181/bugzilla/show_bug.cgi?id=",INDIRECT(C70&amp;ROW())),INDIRECT(C70&amp;ROW()))</f>
        <v>56912</v>
      </c>
      <c r="N309">
        <v>56912</v>
      </c>
      <c r="O309" t="s">
        <v>56</v>
      </c>
      <c r="P309" t="s">
        <v>623</v>
      </c>
      <c r="Q309" t="s">
        <v>16</v>
      </c>
      <c r="R309" t="s">
        <v>248</v>
      </c>
      <c r="S309" t="s">
        <v>552</v>
      </c>
      <c r="U309" s="6">
        <v>42045.710277777776</v>
      </c>
      <c r="V309" t="s">
        <v>18</v>
      </c>
      <c r="W309" t="s">
        <v>17</v>
      </c>
      <c r="X309" s="6">
        <v>42045.667037037034</v>
      </c>
      <c r="Y309" t="s">
        <v>786</v>
      </c>
      <c r="AB309" t="s">
        <v>200</v>
      </c>
      <c r="AC309" t="s">
        <v>247</v>
      </c>
      <c r="AD309" t="s">
        <v>220</v>
      </c>
      <c r="AE309" t="s">
        <v>219</v>
      </c>
      <c r="AG309" t="s">
        <v>121</v>
      </c>
      <c r="AH309" t="s">
        <v>327</v>
      </c>
      <c r="AI309" t="s">
        <v>121</v>
      </c>
      <c r="AJ309" t="s">
        <v>716</v>
      </c>
      <c r="AK309" t="s">
        <v>121</v>
      </c>
    </row>
    <row r="310" spans="9:37" x14ac:dyDescent="0.3">
      <c r="I310">
        <f ca="1">IF(OR(INDIRECT(A73&amp;ROW())=B93,INDIRECT(A73&amp;ROW())=B94),1,IF(AND(INDIRECT(A73&amp;ROW())=B95,INDIRECT(A96&amp;ROW())=C93),1,IF(AND(INDIRECT(A73&amp;ROW())=B95,INDIRECT(A96&amp;ROW())=C94),1,0)))</f>
        <v>0</v>
      </c>
      <c r="J310">
        <f ca="1">IF(AND(INDIRECT(A73&amp;ROW())=B95,INDIRECT(A96&amp;ROW())=C95),1,IF(AND(INDIRECT(A73&amp;ROW())=B95,INDIRECT(A96&amp;ROW())=C96),1,0))</f>
        <v>0</v>
      </c>
      <c r="K310">
        <f ca="1">DAYS360(INDIRECT(C68&amp;ROW()),TODAY())</f>
        <v>721</v>
      </c>
      <c r="L310">
        <f ca="1">DAYS360(INDIRECT(C69&amp;ROW()),TODAY())</f>
        <v>802</v>
      </c>
      <c r="M310">
        <f ca="1">HYPERLINK(CONCATENATE("https://bugzilla.houston.hp.com:1181/bugzilla/show_bug.cgi?id=",INDIRECT(C70&amp;ROW())),INDIRECT(C70&amp;ROW()))</f>
        <v>56913</v>
      </c>
      <c r="N310">
        <v>56913</v>
      </c>
      <c r="O310" t="s">
        <v>36</v>
      </c>
      <c r="P310" t="s">
        <v>622</v>
      </c>
      <c r="Q310" t="s">
        <v>16</v>
      </c>
      <c r="R310" t="s">
        <v>248</v>
      </c>
      <c r="S310" t="s">
        <v>552</v>
      </c>
      <c r="U310" s="6">
        <v>42125.446562500001</v>
      </c>
      <c r="V310" t="s">
        <v>18</v>
      </c>
      <c r="W310" t="s">
        <v>257</v>
      </c>
      <c r="X310" s="6">
        <v>42045.668935185182</v>
      </c>
      <c r="Y310" t="s">
        <v>122</v>
      </c>
      <c r="AB310" t="s">
        <v>200</v>
      </c>
      <c r="AC310" t="s">
        <v>121</v>
      </c>
      <c r="AD310" t="s">
        <v>227</v>
      </c>
      <c r="AE310" t="s">
        <v>226</v>
      </c>
      <c r="AG310" t="s">
        <v>121</v>
      </c>
      <c r="AH310" t="s">
        <v>64</v>
      </c>
      <c r="AI310" t="s">
        <v>121</v>
      </c>
      <c r="AJ310" t="s">
        <v>716</v>
      </c>
      <c r="AK310" t="s">
        <v>121</v>
      </c>
    </row>
    <row r="311" spans="9:37" x14ac:dyDescent="0.3">
      <c r="I311">
        <f ca="1">IF(OR(INDIRECT(A73&amp;ROW())=B93,INDIRECT(A73&amp;ROW())=B94),1,IF(AND(INDIRECT(A73&amp;ROW())=B95,INDIRECT(A96&amp;ROW())=C93),1,IF(AND(INDIRECT(A73&amp;ROW())=B95,INDIRECT(A96&amp;ROW())=C94),1,0)))</f>
        <v>0</v>
      </c>
      <c r="J311">
        <f ca="1">IF(AND(INDIRECT(A73&amp;ROW())=B95,INDIRECT(A96&amp;ROW())=C95),1,IF(AND(INDIRECT(A73&amp;ROW())=B95,INDIRECT(A96&amp;ROW())=C96),1,0))</f>
        <v>0</v>
      </c>
      <c r="K311">
        <f ca="1">DAYS360(INDIRECT(C68&amp;ROW()),TODAY())</f>
        <v>721</v>
      </c>
      <c r="L311">
        <f ca="1">DAYS360(INDIRECT(C69&amp;ROW()),TODAY())</f>
        <v>802</v>
      </c>
      <c r="M311">
        <f ca="1">HYPERLINK(CONCATENATE("https://bugzilla.houston.hp.com:1181/bugzilla/show_bug.cgi?id=",INDIRECT(C70&amp;ROW())),INDIRECT(C70&amp;ROW()))</f>
        <v>56914</v>
      </c>
      <c r="N311">
        <v>56914</v>
      </c>
      <c r="O311" t="s">
        <v>56</v>
      </c>
      <c r="P311" t="s">
        <v>628</v>
      </c>
      <c r="Q311" t="s">
        <v>16</v>
      </c>
      <c r="R311" t="s">
        <v>248</v>
      </c>
      <c r="S311" t="s">
        <v>552</v>
      </c>
      <c r="U311" s="6">
        <v>42125.448703703703</v>
      </c>
      <c r="V311" t="s">
        <v>18</v>
      </c>
      <c r="W311" t="s">
        <v>17</v>
      </c>
      <c r="X311" s="6">
        <v>42045.670347222222</v>
      </c>
      <c r="Y311" t="s">
        <v>122</v>
      </c>
      <c r="AB311" t="s">
        <v>201</v>
      </c>
      <c r="AC311" t="s">
        <v>247</v>
      </c>
      <c r="AD311" t="s">
        <v>220</v>
      </c>
      <c r="AE311" t="s">
        <v>219</v>
      </c>
      <c r="AG311" t="s">
        <v>121</v>
      </c>
      <c r="AH311" t="s">
        <v>327</v>
      </c>
      <c r="AI311" t="s">
        <v>121</v>
      </c>
      <c r="AJ311" t="s">
        <v>717</v>
      </c>
      <c r="AK311" t="s">
        <v>121</v>
      </c>
    </row>
    <row r="312" spans="9:37" x14ac:dyDescent="0.3">
      <c r="I312">
        <f ca="1">IF(OR(INDIRECT(A73&amp;ROW())=B93,INDIRECT(A73&amp;ROW())=B94),1,IF(AND(INDIRECT(A73&amp;ROW())=B95,INDIRECT(A96&amp;ROW())=C93),1,IF(AND(INDIRECT(A73&amp;ROW())=B95,INDIRECT(A96&amp;ROW())=C94),1,0)))</f>
        <v>0</v>
      </c>
      <c r="J312">
        <f ca="1">IF(AND(INDIRECT(A73&amp;ROW())=B95,INDIRECT(A96&amp;ROW())=C95),1,IF(AND(INDIRECT(A73&amp;ROW())=B95,INDIRECT(A96&amp;ROW())=C96),1,0))</f>
        <v>0</v>
      </c>
      <c r="K312">
        <f ca="1">DAYS360(INDIRECT(C68&amp;ROW()),TODAY())</f>
        <v>802</v>
      </c>
      <c r="L312">
        <f ca="1">DAYS360(INDIRECT(C69&amp;ROW()),TODAY())</f>
        <v>802</v>
      </c>
      <c r="M312">
        <f ca="1">HYPERLINK(CONCATENATE("https://bugzilla.houston.hp.com:1181/bugzilla/show_bug.cgi?id=",INDIRECT(C70&amp;ROW())),INDIRECT(C70&amp;ROW()))</f>
        <v>56916</v>
      </c>
      <c r="N312">
        <v>56916</v>
      </c>
      <c r="O312" t="s">
        <v>36</v>
      </c>
      <c r="P312" t="s">
        <v>627</v>
      </c>
      <c r="Q312" t="s">
        <v>16</v>
      </c>
      <c r="R312" t="s">
        <v>248</v>
      </c>
      <c r="S312" t="s">
        <v>552</v>
      </c>
      <c r="U312" s="6">
        <v>42045.708449074074</v>
      </c>
      <c r="V312" t="s">
        <v>18</v>
      </c>
      <c r="W312" t="s">
        <v>317</v>
      </c>
      <c r="X312" s="6">
        <v>42045.671898148146</v>
      </c>
      <c r="Y312" t="s">
        <v>119</v>
      </c>
      <c r="AB312" t="s">
        <v>201</v>
      </c>
      <c r="AC312" t="s">
        <v>247</v>
      </c>
      <c r="AD312" t="s">
        <v>222</v>
      </c>
      <c r="AE312" t="s">
        <v>240</v>
      </c>
      <c r="AG312" t="s">
        <v>121</v>
      </c>
      <c r="AH312" t="s">
        <v>327</v>
      </c>
      <c r="AI312" t="s">
        <v>121</v>
      </c>
      <c r="AJ312" t="s">
        <v>717</v>
      </c>
      <c r="AK312" t="s">
        <v>121</v>
      </c>
    </row>
    <row r="313" spans="9:37" x14ac:dyDescent="0.3">
      <c r="I313">
        <f ca="1">IF(OR(INDIRECT(A73&amp;ROW())=B93,INDIRECT(A73&amp;ROW())=B94),1,IF(AND(INDIRECT(A73&amp;ROW())=B95,INDIRECT(A96&amp;ROW())=C93),1,IF(AND(INDIRECT(A73&amp;ROW())=B95,INDIRECT(A96&amp;ROW())=C94),1,0)))</f>
        <v>0</v>
      </c>
      <c r="J313">
        <f ca="1">IF(AND(INDIRECT(A73&amp;ROW())=B95,INDIRECT(A96&amp;ROW())=C95),1,IF(AND(INDIRECT(A73&amp;ROW())=B95,INDIRECT(A96&amp;ROW())=C96),1,0))</f>
        <v>0</v>
      </c>
      <c r="K313">
        <f ca="1">DAYS360(INDIRECT(C68&amp;ROW()),TODAY())</f>
        <v>721</v>
      </c>
      <c r="L313">
        <f ca="1">DAYS360(INDIRECT(C69&amp;ROW()),TODAY())</f>
        <v>802</v>
      </c>
      <c r="M313">
        <f ca="1">HYPERLINK(CONCATENATE("https://bugzilla.houston.hp.com:1181/bugzilla/show_bug.cgi?id=",INDIRECT(C70&amp;ROW())),INDIRECT(C70&amp;ROW()))</f>
        <v>56917</v>
      </c>
      <c r="N313">
        <v>56917</v>
      </c>
      <c r="O313" t="s">
        <v>56</v>
      </c>
      <c r="P313" t="s">
        <v>629</v>
      </c>
      <c r="Q313" t="s">
        <v>16</v>
      </c>
      <c r="R313" t="s">
        <v>248</v>
      </c>
      <c r="S313" t="s">
        <v>552</v>
      </c>
      <c r="U313" s="6">
        <v>42125.446481481478</v>
      </c>
      <c r="V313" t="s">
        <v>18</v>
      </c>
      <c r="W313" t="s">
        <v>288</v>
      </c>
      <c r="X313" s="6">
        <v>42045.672708333332</v>
      </c>
      <c r="Y313" t="s">
        <v>122</v>
      </c>
      <c r="AB313" t="s">
        <v>201</v>
      </c>
      <c r="AC313" t="s">
        <v>247</v>
      </c>
      <c r="AD313" t="s">
        <v>220</v>
      </c>
      <c r="AE313" t="s">
        <v>219</v>
      </c>
      <c r="AG313" t="s">
        <v>121</v>
      </c>
      <c r="AH313" t="s">
        <v>64</v>
      </c>
      <c r="AI313" t="s">
        <v>121</v>
      </c>
      <c r="AJ313" t="s">
        <v>717</v>
      </c>
      <c r="AK313" t="s">
        <v>121</v>
      </c>
    </row>
    <row r="314" spans="9:37" x14ac:dyDescent="0.3">
      <c r="I314">
        <f ca="1">IF(OR(INDIRECT(A73&amp;ROW())=B93,INDIRECT(A73&amp;ROW())=B94),1,IF(AND(INDIRECT(A73&amp;ROW())=B95,INDIRECT(A96&amp;ROW())=C93),1,IF(AND(INDIRECT(A73&amp;ROW())=B95,INDIRECT(A96&amp;ROW())=C94),1,0)))</f>
        <v>0</v>
      </c>
      <c r="J314">
        <f ca="1">IF(AND(INDIRECT(A73&amp;ROW())=B95,INDIRECT(A96&amp;ROW())=C95),1,IF(AND(INDIRECT(A73&amp;ROW())=B95,INDIRECT(A96&amp;ROW())=C96),1,0))</f>
        <v>0</v>
      </c>
      <c r="K314">
        <f ca="1">DAYS360(INDIRECT(C68&amp;ROW()),TODAY())</f>
        <v>802</v>
      </c>
      <c r="L314">
        <f ca="1">DAYS360(INDIRECT(C69&amp;ROW()),TODAY())</f>
        <v>802</v>
      </c>
      <c r="M314">
        <f ca="1">HYPERLINK(CONCATENATE("https://bugzilla.houston.hp.com:1181/bugzilla/show_bug.cgi?id=",INDIRECT(C70&amp;ROW())),INDIRECT(C70&amp;ROW()))</f>
        <v>56918</v>
      </c>
      <c r="N314">
        <v>56918</v>
      </c>
      <c r="O314" t="s">
        <v>36</v>
      </c>
      <c r="P314" t="s">
        <v>631</v>
      </c>
      <c r="Q314" t="s">
        <v>16</v>
      </c>
      <c r="R314" t="s">
        <v>248</v>
      </c>
      <c r="S314" t="s">
        <v>552</v>
      </c>
      <c r="U314" s="6">
        <v>42045.702314814815</v>
      </c>
      <c r="V314" t="s">
        <v>18</v>
      </c>
      <c r="W314" t="s">
        <v>341</v>
      </c>
      <c r="X314" s="6">
        <v>42045.673090277778</v>
      </c>
      <c r="Y314" t="s">
        <v>118</v>
      </c>
      <c r="AB314" t="s">
        <v>201</v>
      </c>
      <c r="AC314" t="s">
        <v>121</v>
      </c>
      <c r="AD314" t="s">
        <v>222</v>
      </c>
      <c r="AE314" t="s">
        <v>240</v>
      </c>
      <c r="AG314" t="s">
        <v>121</v>
      </c>
      <c r="AH314" t="s">
        <v>327</v>
      </c>
      <c r="AI314" t="s">
        <v>121</v>
      </c>
      <c r="AJ314" t="s">
        <v>717</v>
      </c>
      <c r="AK314" t="s">
        <v>121</v>
      </c>
    </row>
    <row r="315" spans="9:37" x14ac:dyDescent="0.3">
      <c r="I315">
        <f ca="1">IF(OR(INDIRECT(A73&amp;ROW())=B93,INDIRECT(A73&amp;ROW())=B94),1,IF(AND(INDIRECT(A73&amp;ROW())=B95,INDIRECT(A96&amp;ROW())=C93),1,IF(AND(INDIRECT(A73&amp;ROW())=B95,INDIRECT(A96&amp;ROW())=C94),1,0)))</f>
        <v>0</v>
      </c>
      <c r="J315">
        <f ca="1">IF(AND(INDIRECT(A73&amp;ROW())=B95,INDIRECT(A96&amp;ROW())=C95),1,IF(AND(INDIRECT(A73&amp;ROW())=B95,INDIRECT(A96&amp;ROW())=C96),1,0))</f>
        <v>0</v>
      </c>
      <c r="K315">
        <f ca="1">DAYS360(INDIRECT(C68&amp;ROW()),TODAY())</f>
        <v>687</v>
      </c>
      <c r="L315">
        <f ca="1">DAYS360(INDIRECT(C69&amp;ROW()),TODAY())</f>
        <v>802</v>
      </c>
      <c r="M315">
        <f ca="1">HYPERLINK(CONCATENATE("https://bugzilla.houston.hp.com:1181/bugzilla/show_bug.cgi?id=",INDIRECT(C70&amp;ROW())),INDIRECT(C70&amp;ROW()))</f>
        <v>56919</v>
      </c>
      <c r="N315">
        <v>56919</v>
      </c>
      <c r="O315" t="s">
        <v>56</v>
      </c>
      <c r="P315" t="s">
        <v>624</v>
      </c>
      <c r="Q315" t="s">
        <v>16</v>
      </c>
      <c r="R315" t="s">
        <v>248</v>
      </c>
      <c r="S315" t="s">
        <v>552</v>
      </c>
      <c r="U315" s="6">
        <v>42160.521226851852</v>
      </c>
      <c r="V315" t="s">
        <v>18</v>
      </c>
      <c r="W315" t="s">
        <v>260</v>
      </c>
      <c r="X315" s="6">
        <v>42045.674270833333</v>
      </c>
      <c r="Y315" t="s">
        <v>793</v>
      </c>
      <c r="AB315" t="s">
        <v>201</v>
      </c>
      <c r="AC315" t="s">
        <v>247</v>
      </c>
      <c r="AD315" t="s">
        <v>220</v>
      </c>
      <c r="AE315" t="s">
        <v>219</v>
      </c>
      <c r="AG315" t="s">
        <v>121</v>
      </c>
      <c r="AH315" t="s">
        <v>64</v>
      </c>
      <c r="AI315" t="s">
        <v>121</v>
      </c>
      <c r="AJ315" t="s">
        <v>717</v>
      </c>
      <c r="AK315" t="s">
        <v>121</v>
      </c>
    </row>
    <row r="316" spans="9:37" x14ac:dyDescent="0.3">
      <c r="I316">
        <f ca="1">IF(OR(INDIRECT(A73&amp;ROW())=B93,INDIRECT(A73&amp;ROW())=B94),1,IF(AND(INDIRECT(A73&amp;ROW())=B95,INDIRECT(A96&amp;ROW())=C93),1,IF(AND(INDIRECT(A73&amp;ROW())=B95,INDIRECT(A96&amp;ROW())=C94),1,0)))</f>
        <v>0</v>
      </c>
      <c r="J316">
        <f ca="1">IF(AND(INDIRECT(A73&amp;ROW())=B95,INDIRECT(A96&amp;ROW())=C95),1,IF(AND(INDIRECT(A73&amp;ROW())=B95,INDIRECT(A96&amp;ROW())=C96),1,0))</f>
        <v>0</v>
      </c>
      <c r="K316">
        <f ca="1">DAYS360(INDIRECT(C68&amp;ROW()),TODAY())</f>
        <v>802</v>
      </c>
      <c r="L316">
        <f ca="1">DAYS360(INDIRECT(C69&amp;ROW()),TODAY())</f>
        <v>802</v>
      </c>
      <c r="M316">
        <f ca="1">HYPERLINK(CONCATENATE("https://bugzilla.houston.hp.com:1181/bugzilla/show_bug.cgi?id=",INDIRECT(C70&amp;ROW())),INDIRECT(C70&amp;ROW()))</f>
        <v>56920</v>
      </c>
      <c r="N316">
        <v>56920</v>
      </c>
      <c r="O316" t="s">
        <v>36</v>
      </c>
      <c r="P316" t="s">
        <v>637</v>
      </c>
      <c r="Q316" t="s">
        <v>16</v>
      </c>
      <c r="R316" t="s">
        <v>248</v>
      </c>
      <c r="S316" t="s">
        <v>552</v>
      </c>
      <c r="U316" s="6">
        <v>42045.685949074075</v>
      </c>
      <c r="V316" t="s">
        <v>18</v>
      </c>
      <c r="W316" t="s">
        <v>339</v>
      </c>
      <c r="X316" s="6">
        <v>42045.674618055556</v>
      </c>
      <c r="Y316" t="s">
        <v>342</v>
      </c>
      <c r="AB316" t="s">
        <v>201</v>
      </c>
      <c r="AC316" t="s">
        <v>217</v>
      </c>
      <c r="AD316" t="s">
        <v>222</v>
      </c>
      <c r="AE316" t="s">
        <v>225</v>
      </c>
      <c r="AG316" t="s">
        <v>121</v>
      </c>
      <c r="AH316" t="s">
        <v>327</v>
      </c>
      <c r="AI316" t="s">
        <v>121</v>
      </c>
      <c r="AJ316" t="s">
        <v>717</v>
      </c>
      <c r="AK316" t="s">
        <v>121</v>
      </c>
    </row>
    <row r="317" spans="9:37" x14ac:dyDescent="0.3">
      <c r="I317">
        <f ca="1">IF(OR(INDIRECT(A73&amp;ROW())=B93,INDIRECT(A73&amp;ROW())=B94),1,IF(AND(INDIRECT(A73&amp;ROW())=B95,INDIRECT(A96&amp;ROW())=C93),1,IF(AND(INDIRECT(A73&amp;ROW())=B95,INDIRECT(A96&amp;ROW())=C94),1,0)))</f>
        <v>0</v>
      </c>
      <c r="J317">
        <f ca="1">IF(AND(INDIRECT(A73&amp;ROW())=B95,INDIRECT(A96&amp;ROW())=C95),1,IF(AND(INDIRECT(A73&amp;ROW())=B95,INDIRECT(A96&amp;ROW())=C96),1,0))</f>
        <v>0</v>
      </c>
      <c r="K317">
        <f ca="1">DAYS360(INDIRECT(C68&amp;ROW()),TODAY())</f>
        <v>721</v>
      </c>
      <c r="L317">
        <f ca="1">DAYS360(INDIRECT(C69&amp;ROW()),TODAY())</f>
        <v>802</v>
      </c>
      <c r="M317">
        <f ca="1">HYPERLINK(CONCATENATE("https://bugzilla.houston.hp.com:1181/bugzilla/show_bug.cgi?id=",INDIRECT(C70&amp;ROW())),INDIRECT(C70&amp;ROW()))</f>
        <v>56921</v>
      </c>
      <c r="N317">
        <v>56921</v>
      </c>
      <c r="O317" t="s">
        <v>56</v>
      </c>
      <c r="P317" t="s">
        <v>647</v>
      </c>
      <c r="Q317" t="s">
        <v>16</v>
      </c>
      <c r="R317" t="s">
        <v>248</v>
      </c>
      <c r="S317" t="s">
        <v>552</v>
      </c>
      <c r="U317" s="6">
        <v>42125.443981481483</v>
      </c>
      <c r="V317" t="s">
        <v>18</v>
      </c>
      <c r="W317" t="s">
        <v>211</v>
      </c>
      <c r="X317" s="6">
        <v>42045.675682870373</v>
      </c>
      <c r="Y317" t="s">
        <v>122</v>
      </c>
      <c r="AB317" t="s">
        <v>200</v>
      </c>
      <c r="AC317" t="s">
        <v>121</v>
      </c>
      <c r="AD317" t="s">
        <v>220</v>
      </c>
      <c r="AE317" t="s">
        <v>219</v>
      </c>
      <c r="AG317" t="s">
        <v>121</v>
      </c>
      <c r="AH317" t="s">
        <v>327</v>
      </c>
      <c r="AI317" t="s">
        <v>121</v>
      </c>
      <c r="AJ317" t="s">
        <v>716</v>
      </c>
      <c r="AK317" t="s">
        <v>121</v>
      </c>
    </row>
    <row r="318" spans="9:37" x14ac:dyDescent="0.3">
      <c r="I318">
        <f ca="1">IF(OR(INDIRECT(A73&amp;ROW())=B93,INDIRECT(A73&amp;ROW())=B94),1,IF(AND(INDIRECT(A73&amp;ROW())=B95,INDIRECT(A96&amp;ROW())=C93),1,IF(AND(INDIRECT(A73&amp;ROW())=B95,INDIRECT(A96&amp;ROW())=C94),1,0)))</f>
        <v>0</v>
      </c>
      <c r="J318">
        <f ca="1">IF(AND(INDIRECT(A73&amp;ROW())=B95,INDIRECT(A96&amp;ROW())=C95),1,IF(AND(INDIRECT(A73&amp;ROW())=B95,INDIRECT(A96&amp;ROW())=C96),1,0))</f>
        <v>0</v>
      </c>
      <c r="K318">
        <f ca="1">DAYS360(INDIRECT(C68&amp;ROW()),TODAY())</f>
        <v>802</v>
      </c>
      <c r="L318">
        <f ca="1">DAYS360(INDIRECT(C69&amp;ROW()),TODAY())</f>
        <v>802</v>
      </c>
      <c r="M318">
        <f ca="1">HYPERLINK(CONCATENATE("https://bugzilla.houston.hp.com:1181/bugzilla/show_bug.cgi?id=",INDIRECT(C70&amp;ROW())),INDIRECT(C70&amp;ROW()))</f>
        <v>56922</v>
      </c>
      <c r="N318">
        <v>56922</v>
      </c>
      <c r="O318" t="s">
        <v>56</v>
      </c>
      <c r="P318" t="s">
        <v>632</v>
      </c>
      <c r="Q318" t="s">
        <v>16</v>
      </c>
      <c r="R318" t="s">
        <v>248</v>
      </c>
      <c r="S318" t="s">
        <v>552</v>
      </c>
      <c r="U318" s="6">
        <v>42045.701967592591</v>
      </c>
      <c r="V318" t="s">
        <v>18</v>
      </c>
      <c r="W318" t="s">
        <v>343</v>
      </c>
      <c r="X318" s="6">
        <v>42045.676111111112</v>
      </c>
      <c r="Y318" t="s">
        <v>124</v>
      </c>
      <c r="AB318" t="s">
        <v>201</v>
      </c>
      <c r="AC318" t="s">
        <v>247</v>
      </c>
      <c r="AD318" t="s">
        <v>220</v>
      </c>
      <c r="AE318" t="s">
        <v>219</v>
      </c>
      <c r="AG318" t="s">
        <v>121</v>
      </c>
      <c r="AH318" t="s">
        <v>327</v>
      </c>
      <c r="AI318" t="s">
        <v>121</v>
      </c>
      <c r="AJ318" t="s">
        <v>717</v>
      </c>
      <c r="AK318" t="s">
        <v>121</v>
      </c>
    </row>
    <row r="319" spans="9:37" x14ac:dyDescent="0.3">
      <c r="I319">
        <f ca="1">IF(OR(INDIRECT(A73&amp;ROW())=B93,INDIRECT(A73&amp;ROW())=B94),1,IF(AND(INDIRECT(A73&amp;ROW())=B95,INDIRECT(A96&amp;ROW())=C93),1,IF(AND(INDIRECT(A73&amp;ROW())=B95,INDIRECT(A96&amp;ROW())=C94),1,0)))</f>
        <v>0</v>
      </c>
      <c r="J319">
        <f ca="1">IF(AND(INDIRECT(A73&amp;ROW())=B95,INDIRECT(A96&amp;ROW())=C95),1,IF(AND(INDIRECT(A73&amp;ROW())=B95,INDIRECT(A96&amp;ROW())=C96),1,0))</f>
        <v>0</v>
      </c>
      <c r="K319">
        <f ca="1">DAYS360(INDIRECT(C68&amp;ROW()),TODAY())</f>
        <v>721</v>
      </c>
      <c r="L319">
        <f ca="1">DAYS360(INDIRECT(C69&amp;ROW()),TODAY())</f>
        <v>802</v>
      </c>
      <c r="M319">
        <f ca="1">HYPERLINK(CONCATENATE("https://bugzilla.houston.hp.com:1181/bugzilla/show_bug.cgi?id=",INDIRECT(C70&amp;ROW())),INDIRECT(C70&amp;ROW()))</f>
        <v>56923</v>
      </c>
      <c r="N319">
        <v>56923</v>
      </c>
      <c r="O319" t="s">
        <v>56</v>
      </c>
      <c r="P319" t="s">
        <v>646</v>
      </c>
      <c r="Q319" t="s">
        <v>16</v>
      </c>
      <c r="R319" t="s">
        <v>248</v>
      </c>
      <c r="S319" t="s">
        <v>552</v>
      </c>
      <c r="U319" s="6">
        <v>42125.446423611109</v>
      </c>
      <c r="V319" t="s">
        <v>18</v>
      </c>
      <c r="W319" t="s">
        <v>256</v>
      </c>
      <c r="X319" s="6">
        <v>42045.677118055559</v>
      </c>
      <c r="Y319" t="s">
        <v>122</v>
      </c>
      <c r="AB319" t="s">
        <v>200</v>
      </c>
      <c r="AC319" t="s">
        <v>247</v>
      </c>
      <c r="AD319" t="s">
        <v>220</v>
      </c>
      <c r="AE319" t="s">
        <v>219</v>
      </c>
      <c r="AF319" s="13">
        <v>41904</v>
      </c>
      <c r="AG319" t="s">
        <v>121</v>
      </c>
      <c r="AH319" t="s">
        <v>64</v>
      </c>
      <c r="AI319" t="s">
        <v>121</v>
      </c>
      <c r="AJ319" t="s">
        <v>716</v>
      </c>
      <c r="AK319" t="s">
        <v>121</v>
      </c>
    </row>
    <row r="320" spans="9:37" x14ac:dyDescent="0.3">
      <c r="I320">
        <f ca="1">IF(OR(INDIRECT(A73&amp;ROW())=B93,INDIRECT(A73&amp;ROW())=B94),1,IF(AND(INDIRECT(A73&amp;ROW())=B95,INDIRECT(A96&amp;ROW())=C93),1,IF(AND(INDIRECT(A73&amp;ROW())=B95,INDIRECT(A96&amp;ROW())=C94),1,0)))</f>
        <v>0</v>
      </c>
      <c r="J320">
        <f ca="1">IF(AND(INDIRECT(A73&amp;ROW())=B95,INDIRECT(A96&amp;ROW())=C95),1,IF(AND(INDIRECT(A73&amp;ROW())=B95,INDIRECT(A96&amp;ROW())=C96),1,0))</f>
        <v>0</v>
      </c>
      <c r="K320">
        <f ca="1">DAYS360(INDIRECT(C68&amp;ROW()),TODAY())</f>
        <v>721</v>
      </c>
      <c r="L320">
        <f ca="1">DAYS360(INDIRECT(C69&amp;ROW()),TODAY())</f>
        <v>802</v>
      </c>
      <c r="M320">
        <f ca="1">HYPERLINK(CONCATENATE("https://bugzilla.houston.hp.com:1181/bugzilla/show_bug.cgi?id=",INDIRECT(C70&amp;ROW())),INDIRECT(C70&amp;ROW()))</f>
        <v>56924</v>
      </c>
      <c r="N320">
        <v>56924</v>
      </c>
      <c r="O320" t="s">
        <v>56</v>
      </c>
      <c r="P320" t="s">
        <v>645</v>
      </c>
      <c r="Q320" t="s">
        <v>16</v>
      </c>
      <c r="R320" t="s">
        <v>248</v>
      </c>
      <c r="S320" t="s">
        <v>552</v>
      </c>
      <c r="U320" s="6">
        <v>42125.445127314815</v>
      </c>
      <c r="V320" t="s">
        <v>18</v>
      </c>
      <c r="W320" t="s">
        <v>260</v>
      </c>
      <c r="X320" s="6">
        <v>42045.677986111114</v>
      </c>
      <c r="Y320" t="s">
        <v>122</v>
      </c>
      <c r="AB320" t="s">
        <v>200</v>
      </c>
      <c r="AC320" t="s">
        <v>121</v>
      </c>
      <c r="AD320" t="s">
        <v>220</v>
      </c>
      <c r="AE320" t="s">
        <v>219</v>
      </c>
      <c r="AG320" t="s">
        <v>121</v>
      </c>
      <c r="AH320" t="s">
        <v>327</v>
      </c>
      <c r="AI320" t="s">
        <v>121</v>
      </c>
      <c r="AJ320" t="s">
        <v>716</v>
      </c>
      <c r="AK320" t="s">
        <v>121</v>
      </c>
    </row>
    <row r="321" spans="9:37" x14ac:dyDescent="0.3">
      <c r="I321">
        <f ca="1">IF(OR(INDIRECT(A73&amp;ROW())=B93,INDIRECT(A73&amp;ROW())=B94),1,IF(AND(INDIRECT(A73&amp;ROW())=B95,INDIRECT(A96&amp;ROW())=C93),1,IF(AND(INDIRECT(A73&amp;ROW())=B95,INDIRECT(A96&amp;ROW())=C94),1,0)))</f>
        <v>0</v>
      </c>
      <c r="J321">
        <f ca="1">IF(AND(INDIRECT(A73&amp;ROW())=B95,INDIRECT(A96&amp;ROW())=C95),1,IF(AND(INDIRECT(A73&amp;ROW())=B95,INDIRECT(A96&amp;ROW())=C96),1,0))</f>
        <v>0</v>
      </c>
      <c r="K321">
        <f ca="1">DAYS360(INDIRECT(C68&amp;ROW()),TODAY())</f>
        <v>721</v>
      </c>
      <c r="L321">
        <f ca="1">DAYS360(INDIRECT(C69&amp;ROW()),TODAY())</f>
        <v>802</v>
      </c>
      <c r="M321">
        <f ca="1">HYPERLINK(CONCATENATE("https://bugzilla.houston.hp.com:1181/bugzilla/show_bug.cgi?id=",INDIRECT(C70&amp;ROW())),INDIRECT(C70&amp;ROW()))</f>
        <v>56925</v>
      </c>
      <c r="N321">
        <v>56925</v>
      </c>
      <c r="O321" t="s">
        <v>56</v>
      </c>
      <c r="P321" t="s">
        <v>644</v>
      </c>
      <c r="Q321" t="s">
        <v>16</v>
      </c>
      <c r="R321" t="s">
        <v>248</v>
      </c>
      <c r="S321" t="s">
        <v>552</v>
      </c>
      <c r="U321" s="6">
        <v>42125.443888888891</v>
      </c>
      <c r="V321" t="s">
        <v>18</v>
      </c>
      <c r="W321" t="s">
        <v>209</v>
      </c>
      <c r="X321" s="6">
        <v>42045.678368055553</v>
      </c>
      <c r="Y321" t="s">
        <v>122</v>
      </c>
      <c r="AB321" t="s">
        <v>200</v>
      </c>
      <c r="AC321" t="s">
        <v>121</v>
      </c>
      <c r="AD321" t="s">
        <v>220</v>
      </c>
      <c r="AE321" t="s">
        <v>219</v>
      </c>
      <c r="AG321" t="s">
        <v>121</v>
      </c>
      <c r="AH321" t="s">
        <v>327</v>
      </c>
      <c r="AI321" t="s">
        <v>121</v>
      </c>
      <c r="AJ321" t="s">
        <v>716</v>
      </c>
      <c r="AK321" t="s">
        <v>121</v>
      </c>
    </row>
    <row r="322" spans="9:37" x14ac:dyDescent="0.3">
      <c r="I322">
        <f ca="1">IF(OR(INDIRECT(A73&amp;ROW())=B93,INDIRECT(A73&amp;ROW())=B94),1,IF(AND(INDIRECT(A73&amp;ROW())=B95,INDIRECT(A96&amp;ROW())=C93),1,IF(AND(INDIRECT(A73&amp;ROW())=B95,INDIRECT(A96&amp;ROW())=C94),1,0)))</f>
        <v>0</v>
      </c>
      <c r="J322">
        <f ca="1">IF(AND(INDIRECT(A73&amp;ROW())=B95,INDIRECT(A96&amp;ROW())=C95),1,IF(AND(INDIRECT(A73&amp;ROW())=B95,INDIRECT(A96&amp;ROW())=C96),1,0))</f>
        <v>0</v>
      </c>
      <c r="K322">
        <f ca="1">DAYS360(INDIRECT(C68&amp;ROW()),TODAY())</f>
        <v>721</v>
      </c>
      <c r="L322">
        <f ca="1">DAYS360(INDIRECT(C69&amp;ROW()),TODAY())</f>
        <v>802</v>
      </c>
      <c r="M322">
        <f ca="1">HYPERLINK(CONCATENATE("https://bugzilla.houston.hp.com:1181/bugzilla/show_bug.cgi?id=",INDIRECT(C70&amp;ROW())),INDIRECT(C70&amp;ROW()))</f>
        <v>56926</v>
      </c>
      <c r="N322">
        <v>56926</v>
      </c>
      <c r="O322" t="s">
        <v>56</v>
      </c>
      <c r="P322" t="s">
        <v>643</v>
      </c>
      <c r="Q322" t="s">
        <v>16</v>
      </c>
      <c r="R322" t="s">
        <v>248</v>
      </c>
      <c r="S322" t="s">
        <v>552</v>
      </c>
      <c r="U322" s="6">
        <v>42125.447511574072</v>
      </c>
      <c r="V322" t="s">
        <v>18</v>
      </c>
      <c r="W322" t="s">
        <v>343</v>
      </c>
      <c r="X322" s="6">
        <v>42045.679282407407</v>
      </c>
      <c r="Y322" t="s">
        <v>122</v>
      </c>
      <c r="AB322" t="s">
        <v>200</v>
      </c>
      <c r="AC322" t="s">
        <v>247</v>
      </c>
      <c r="AD322" t="s">
        <v>220</v>
      </c>
      <c r="AE322" t="s">
        <v>219</v>
      </c>
      <c r="AG322" t="s">
        <v>121</v>
      </c>
      <c r="AH322" t="s">
        <v>64</v>
      </c>
      <c r="AI322" t="s">
        <v>121</v>
      </c>
      <c r="AJ322" t="s">
        <v>716</v>
      </c>
      <c r="AK322" t="s">
        <v>121</v>
      </c>
    </row>
    <row r="323" spans="9:37" x14ac:dyDescent="0.3">
      <c r="I323">
        <f ca="1">IF(OR(INDIRECT(A73&amp;ROW())=B93,INDIRECT(A73&amp;ROW())=B94),1,IF(AND(INDIRECT(A73&amp;ROW())=B95,INDIRECT(A96&amp;ROW())=C93),1,IF(AND(INDIRECT(A73&amp;ROW())=B95,INDIRECT(A96&amp;ROW())=C94),1,0)))</f>
        <v>0</v>
      </c>
      <c r="J323">
        <f ca="1">IF(AND(INDIRECT(A73&amp;ROW())=B95,INDIRECT(A96&amp;ROW())=C95),1,IF(AND(INDIRECT(A73&amp;ROW())=B95,INDIRECT(A96&amp;ROW())=C96),1,0))</f>
        <v>0</v>
      </c>
      <c r="K323">
        <f ca="1">DAYS360(INDIRECT(C68&amp;ROW()),TODAY())</f>
        <v>802</v>
      </c>
      <c r="L323">
        <f ca="1">DAYS360(INDIRECT(C69&amp;ROW()),TODAY())</f>
        <v>802</v>
      </c>
      <c r="M323">
        <f ca="1">HYPERLINK(CONCATENATE("https://bugzilla.houston.hp.com:1181/bugzilla/show_bug.cgi?id=",INDIRECT(C70&amp;ROW())),INDIRECT(C70&amp;ROW()))</f>
        <v>56927</v>
      </c>
      <c r="N323">
        <v>56927</v>
      </c>
      <c r="O323" t="s">
        <v>56</v>
      </c>
      <c r="P323" t="s">
        <v>642</v>
      </c>
      <c r="Q323" t="s">
        <v>16</v>
      </c>
      <c r="R323" t="s">
        <v>248</v>
      </c>
      <c r="S323" t="s">
        <v>552</v>
      </c>
      <c r="U323" s="6">
        <v>42045.680243055554</v>
      </c>
      <c r="V323" t="s">
        <v>18</v>
      </c>
      <c r="W323" t="s">
        <v>288</v>
      </c>
      <c r="X323" s="6">
        <v>42045.679618055554</v>
      </c>
      <c r="Y323" t="s">
        <v>787</v>
      </c>
      <c r="AB323" t="s">
        <v>201</v>
      </c>
      <c r="AC323" t="s">
        <v>247</v>
      </c>
      <c r="AD323" t="s">
        <v>220</v>
      </c>
      <c r="AE323" t="s">
        <v>219</v>
      </c>
      <c r="AG323" t="s">
        <v>121</v>
      </c>
      <c r="AH323" t="s">
        <v>327</v>
      </c>
      <c r="AI323" t="s">
        <v>121</v>
      </c>
      <c r="AJ323" t="s">
        <v>717</v>
      </c>
      <c r="AK323" t="s">
        <v>121</v>
      </c>
    </row>
    <row r="324" spans="9:37" x14ac:dyDescent="0.3">
      <c r="I324">
        <f ca="1">IF(OR(INDIRECT(A73&amp;ROW())=B93,INDIRECT(A73&amp;ROW())=B94),1,IF(AND(INDIRECT(A73&amp;ROW())=B95,INDIRECT(A96&amp;ROW())=C93),1,IF(AND(INDIRECT(A73&amp;ROW())=B95,INDIRECT(A96&amp;ROW())=C94),1,0)))</f>
        <v>0</v>
      </c>
      <c r="J324">
        <f ca="1">IF(AND(INDIRECT(A73&amp;ROW())=B95,INDIRECT(A96&amp;ROW())=C95),1,IF(AND(INDIRECT(A73&amp;ROW())=B95,INDIRECT(A96&amp;ROW())=C96),1,0))</f>
        <v>0</v>
      </c>
      <c r="K324">
        <f ca="1">DAYS360(INDIRECT(C68&amp;ROW()),TODAY())</f>
        <v>721</v>
      </c>
      <c r="L324">
        <f ca="1">DAYS360(INDIRECT(C69&amp;ROW()),TODAY())</f>
        <v>802</v>
      </c>
      <c r="M324">
        <f ca="1">HYPERLINK(CONCATENATE("https://bugzilla.houston.hp.com:1181/bugzilla/show_bug.cgi?id=",INDIRECT(C70&amp;ROW())),INDIRECT(C70&amp;ROW()))</f>
        <v>56928</v>
      </c>
      <c r="N324">
        <v>56928</v>
      </c>
      <c r="O324" t="s">
        <v>56</v>
      </c>
      <c r="P324" t="s">
        <v>641</v>
      </c>
      <c r="Q324" t="s">
        <v>16</v>
      </c>
      <c r="R324" t="s">
        <v>248</v>
      </c>
      <c r="S324" t="s">
        <v>552</v>
      </c>
      <c r="U324" s="6">
        <v>42125.442418981482</v>
      </c>
      <c r="V324" t="s">
        <v>18</v>
      </c>
      <c r="W324" t="s">
        <v>89</v>
      </c>
      <c r="X324" s="6">
        <v>42045.680694444447</v>
      </c>
      <c r="Y324" t="s">
        <v>122</v>
      </c>
      <c r="AB324" t="s">
        <v>201</v>
      </c>
      <c r="AC324" t="s">
        <v>121</v>
      </c>
      <c r="AD324" t="s">
        <v>220</v>
      </c>
      <c r="AE324" t="s">
        <v>219</v>
      </c>
      <c r="AG324" t="s">
        <v>121</v>
      </c>
      <c r="AH324" t="s">
        <v>327</v>
      </c>
      <c r="AI324" t="s">
        <v>121</v>
      </c>
      <c r="AJ324" t="s">
        <v>717</v>
      </c>
      <c r="AK324" t="s">
        <v>121</v>
      </c>
    </row>
    <row r="325" spans="9:37" x14ac:dyDescent="0.3">
      <c r="I325">
        <f ca="1">IF(OR(INDIRECT(A73&amp;ROW())=B93,INDIRECT(A73&amp;ROW())=B94),1,IF(AND(INDIRECT(A73&amp;ROW())=B95,INDIRECT(A96&amp;ROW())=C93),1,IF(AND(INDIRECT(A73&amp;ROW())=B95,INDIRECT(A96&amp;ROW())=C94),1,0)))</f>
        <v>0</v>
      </c>
      <c r="J325">
        <f ca="1">IF(AND(INDIRECT(A73&amp;ROW())=B95,INDIRECT(A96&amp;ROW())=C95),1,IF(AND(INDIRECT(A73&amp;ROW())=B95,INDIRECT(A96&amp;ROW())=C96),1,0))</f>
        <v>0</v>
      </c>
      <c r="K325">
        <f ca="1">DAYS360(INDIRECT(C68&amp;ROW()),TODAY())</f>
        <v>721</v>
      </c>
      <c r="L325">
        <f ca="1">DAYS360(INDIRECT(C69&amp;ROW()),TODAY())</f>
        <v>802</v>
      </c>
      <c r="M325">
        <f ca="1">HYPERLINK(CONCATENATE("https://bugzilla.houston.hp.com:1181/bugzilla/show_bug.cgi?id=",INDIRECT(C70&amp;ROW())),INDIRECT(C70&amp;ROW()))</f>
        <v>56929</v>
      </c>
      <c r="N325">
        <v>56929</v>
      </c>
      <c r="O325" t="s">
        <v>36</v>
      </c>
      <c r="P325" t="s">
        <v>640</v>
      </c>
      <c r="Q325" t="s">
        <v>16</v>
      </c>
      <c r="R325" t="s">
        <v>248</v>
      </c>
      <c r="S325" t="s">
        <v>552</v>
      </c>
      <c r="U325" s="6">
        <v>42125.442106481481</v>
      </c>
      <c r="V325" t="s">
        <v>18</v>
      </c>
      <c r="W325" t="s">
        <v>206</v>
      </c>
      <c r="X325" s="6">
        <v>42045.681006944447</v>
      </c>
      <c r="Y325" t="s">
        <v>122</v>
      </c>
      <c r="AB325" t="s">
        <v>199</v>
      </c>
      <c r="AC325" t="s">
        <v>121</v>
      </c>
      <c r="AD325" t="s">
        <v>222</v>
      </c>
      <c r="AE325" t="s">
        <v>233</v>
      </c>
      <c r="AG325" t="s">
        <v>121</v>
      </c>
      <c r="AH325" t="s">
        <v>327</v>
      </c>
      <c r="AI325" t="s">
        <v>121</v>
      </c>
      <c r="AJ325" t="s">
        <v>716</v>
      </c>
      <c r="AK325" t="s">
        <v>121</v>
      </c>
    </row>
    <row r="326" spans="9:37" x14ac:dyDescent="0.3">
      <c r="I326">
        <f ca="1">IF(OR(INDIRECT(A73&amp;ROW())=B93,INDIRECT(A73&amp;ROW())=B94),1,IF(AND(INDIRECT(A73&amp;ROW())=B95,INDIRECT(A96&amp;ROW())=C93),1,IF(AND(INDIRECT(A73&amp;ROW())=B95,INDIRECT(A96&amp;ROW())=C94),1,0)))</f>
        <v>0</v>
      </c>
      <c r="J326">
        <f ca="1">IF(AND(INDIRECT(A73&amp;ROW())=B95,INDIRECT(A96&amp;ROW())=C95),1,IF(AND(INDIRECT(A73&amp;ROW())=B95,INDIRECT(A96&amp;ROW())=C96),1,0))</f>
        <v>0</v>
      </c>
      <c r="K326">
        <f ca="1">DAYS360(INDIRECT(C68&amp;ROW()),TODAY())</f>
        <v>802</v>
      </c>
      <c r="L326">
        <f ca="1">DAYS360(INDIRECT(C69&amp;ROW()),TODAY())</f>
        <v>802</v>
      </c>
      <c r="M326">
        <f ca="1">HYPERLINK(CONCATENATE("https://bugzilla.houston.hp.com:1181/bugzilla/show_bug.cgi?id=",INDIRECT(C70&amp;ROW())),INDIRECT(C70&amp;ROW()))</f>
        <v>56930</v>
      </c>
      <c r="N326">
        <v>56930</v>
      </c>
      <c r="O326" t="s">
        <v>56</v>
      </c>
      <c r="P326" t="s">
        <v>639</v>
      </c>
      <c r="Q326" t="s">
        <v>16</v>
      </c>
      <c r="R326" t="s">
        <v>248</v>
      </c>
      <c r="S326" t="s">
        <v>552</v>
      </c>
      <c r="U326" s="6">
        <v>42045.682615740741</v>
      </c>
      <c r="V326" t="s">
        <v>18</v>
      </c>
      <c r="W326" t="s">
        <v>205</v>
      </c>
      <c r="X326" s="6">
        <v>42045.68204861111</v>
      </c>
      <c r="Y326" t="s">
        <v>245</v>
      </c>
      <c r="AB326" t="s">
        <v>201</v>
      </c>
      <c r="AC326" t="s">
        <v>121</v>
      </c>
      <c r="AD326" t="s">
        <v>220</v>
      </c>
      <c r="AE326" t="s">
        <v>219</v>
      </c>
      <c r="AG326" t="s">
        <v>121</v>
      </c>
      <c r="AH326" t="s">
        <v>327</v>
      </c>
      <c r="AI326" t="s">
        <v>121</v>
      </c>
      <c r="AJ326" t="s">
        <v>717</v>
      </c>
      <c r="AK326" t="s">
        <v>121</v>
      </c>
    </row>
    <row r="327" spans="9:37" x14ac:dyDescent="0.3">
      <c r="I327">
        <f ca="1">IF(OR(INDIRECT(A73&amp;ROW())=B93,INDIRECT(A73&amp;ROW())=B94),1,IF(AND(INDIRECT(A73&amp;ROW())=B95,INDIRECT(A96&amp;ROW())=C93),1,IF(AND(INDIRECT(A73&amp;ROW())=B95,INDIRECT(A96&amp;ROW())=C94),1,0)))</f>
        <v>0</v>
      </c>
      <c r="J327">
        <f ca="1">IF(AND(INDIRECT(A73&amp;ROW())=B95,INDIRECT(A96&amp;ROW())=C95),1,IF(AND(INDIRECT(A73&amp;ROW())=B95,INDIRECT(A96&amp;ROW())=C96),1,0))</f>
        <v>0</v>
      </c>
      <c r="K327">
        <f ca="1">DAYS360(INDIRECT(C68&amp;ROW()),TODAY())</f>
        <v>731</v>
      </c>
      <c r="L327">
        <f ca="1">DAYS360(INDIRECT(C69&amp;ROW()),TODAY())</f>
        <v>802</v>
      </c>
      <c r="M327">
        <f ca="1">HYPERLINK(CONCATENATE("https://bugzilla.houston.hp.com:1181/bugzilla/show_bug.cgi?id=",INDIRECT(C70&amp;ROW())),INDIRECT(C70&amp;ROW()))</f>
        <v>56931</v>
      </c>
      <c r="N327">
        <v>56931</v>
      </c>
      <c r="O327" t="s">
        <v>56</v>
      </c>
      <c r="P327" t="s">
        <v>974</v>
      </c>
      <c r="Q327" t="s">
        <v>16</v>
      </c>
      <c r="R327" t="s">
        <v>783</v>
      </c>
      <c r="S327" t="s">
        <v>552</v>
      </c>
      <c r="U327" s="6">
        <v>42115.828506944446</v>
      </c>
      <c r="V327" t="s">
        <v>18</v>
      </c>
      <c r="W327" t="s">
        <v>340</v>
      </c>
      <c r="X327" s="6">
        <v>42045.684733796297</v>
      </c>
      <c r="Y327" t="s">
        <v>122</v>
      </c>
      <c r="AB327" t="s">
        <v>200</v>
      </c>
      <c r="AC327" t="s">
        <v>247</v>
      </c>
      <c r="AD327" t="s">
        <v>220</v>
      </c>
      <c r="AE327" t="s">
        <v>219</v>
      </c>
      <c r="AG327" t="s">
        <v>121</v>
      </c>
      <c r="AH327" t="s">
        <v>64</v>
      </c>
      <c r="AI327" t="s">
        <v>121</v>
      </c>
      <c r="AJ327" t="s">
        <v>716</v>
      </c>
      <c r="AK327" t="s">
        <v>121</v>
      </c>
    </row>
    <row r="328" spans="9:37" x14ac:dyDescent="0.3">
      <c r="I328">
        <f ca="1">IF(OR(INDIRECT(A73&amp;ROW())=B93,INDIRECT(A73&amp;ROW())=B94),1,IF(AND(INDIRECT(A73&amp;ROW())=B95,INDIRECT(A96&amp;ROW())=C93),1,IF(AND(INDIRECT(A73&amp;ROW())=B95,INDIRECT(A96&amp;ROW())=C94),1,0)))</f>
        <v>0</v>
      </c>
      <c r="J328">
        <f ca="1">IF(AND(INDIRECT(A73&amp;ROW())=B95,INDIRECT(A96&amp;ROW())=C95),1,IF(AND(INDIRECT(A73&amp;ROW())=B95,INDIRECT(A96&amp;ROW())=C96),1,0))</f>
        <v>0</v>
      </c>
      <c r="K328">
        <f ca="1">DAYS360(INDIRECT(C68&amp;ROW()),TODAY())</f>
        <v>802</v>
      </c>
      <c r="L328">
        <f ca="1">DAYS360(INDIRECT(C69&amp;ROW()),TODAY())</f>
        <v>802</v>
      </c>
      <c r="M328">
        <f ca="1">HYPERLINK(CONCATENATE("https://bugzilla.houston.hp.com:1181/bugzilla/show_bug.cgi?id=",INDIRECT(C70&amp;ROW())),INDIRECT(C70&amp;ROW()))</f>
        <v>56932</v>
      </c>
      <c r="N328">
        <v>56932</v>
      </c>
      <c r="O328" t="s">
        <v>36</v>
      </c>
      <c r="P328" t="s">
        <v>637</v>
      </c>
      <c r="Q328" t="s">
        <v>16</v>
      </c>
      <c r="R328" t="s">
        <v>248</v>
      </c>
      <c r="S328" t="s">
        <v>552</v>
      </c>
      <c r="U328" s="6">
        <v>42045.685949074075</v>
      </c>
      <c r="V328" t="s">
        <v>18</v>
      </c>
      <c r="W328" t="s">
        <v>339</v>
      </c>
      <c r="X328" s="6">
        <v>42045.685069444444</v>
      </c>
      <c r="Y328" t="s">
        <v>342</v>
      </c>
      <c r="AB328" t="s">
        <v>201</v>
      </c>
      <c r="AC328" t="s">
        <v>217</v>
      </c>
      <c r="AD328" t="s">
        <v>222</v>
      </c>
      <c r="AE328" t="s">
        <v>225</v>
      </c>
      <c r="AG328" t="s">
        <v>121</v>
      </c>
      <c r="AH328" t="s">
        <v>327</v>
      </c>
      <c r="AI328" t="s">
        <v>121</v>
      </c>
      <c r="AJ328" t="s">
        <v>717</v>
      </c>
      <c r="AK328" t="s">
        <v>121</v>
      </c>
    </row>
    <row r="329" spans="9:37" x14ac:dyDescent="0.3">
      <c r="I329">
        <f ca="1">IF(OR(INDIRECT(A73&amp;ROW())=B93,INDIRECT(A73&amp;ROW())=B94),1,IF(AND(INDIRECT(A73&amp;ROW())=B95,INDIRECT(A96&amp;ROW())=C93),1,IF(AND(INDIRECT(A73&amp;ROW())=B95,INDIRECT(A96&amp;ROW())=C94),1,0)))</f>
        <v>0</v>
      </c>
      <c r="J329">
        <f ca="1">IF(AND(INDIRECT(A73&amp;ROW())=B95,INDIRECT(A96&amp;ROW())=C95),1,IF(AND(INDIRECT(A73&amp;ROW())=B95,INDIRECT(A96&amp;ROW())=C96),1,0))</f>
        <v>0</v>
      </c>
      <c r="K329">
        <f ca="1">DAYS360(INDIRECT(C68&amp;ROW()),TODAY())</f>
        <v>721</v>
      </c>
      <c r="L329">
        <f ca="1">DAYS360(INDIRECT(C69&amp;ROW()),TODAY())</f>
        <v>802</v>
      </c>
      <c r="M329">
        <f ca="1">HYPERLINK(CONCATENATE("https://bugzilla.houston.hp.com:1181/bugzilla/show_bug.cgi?id=",INDIRECT(C70&amp;ROW())),INDIRECT(C70&amp;ROW()))</f>
        <v>56936</v>
      </c>
      <c r="N329">
        <v>56936</v>
      </c>
      <c r="O329" t="s">
        <v>56</v>
      </c>
      <c r="P329" t="s">
        <v>634</v>
      </c>
      <c r="Q329" t="s">
        <v>16</v>
      </c>
      <c r="R329" t="s">
        <v>248</v>
      </c>
      <c r="S329" t="s">
        <v>552</v>
      </c>
      <c r="U329" s="6">
        <v>42125.443796296298</v>
      </c>
      <c r="V329" t="s">
        <v>18</v>
      </c>
      <c r="W329" t="s">
        <v>211</v>
      </c>
      <c r="X329" s="6">
        <v>42045.687418981484</v>
      </c>
      <c r="Y329" t="s">
        <v>122</v>
      </c>
      <c r="AB329" t="s">
        <v>201</v>
      </c>
      <c r="AC329" t="s">
        <v>121</v>
      </c>
      <c r="AD329" t="s">
        <v>220</v>
      </c>
      <c r="AE329" t="s">
        <v>219</v>
      </c>
      <c r="AG329" t="s">
        <v>121</v>
      </c>
      <c r="AH329" t="s">
        <v>64</v>
      </c>
      <c r="AI329" t="s">
        <v>121</v>
      </c>
      <c r="AJ329" t="s">
        <v>717</v>
      </c>
      <c r="AK329" t="s">
        <v>121</v>
      </c>
    </row>
    <row r="330" spans="9:37" x14ac:dyDescent="0.3">
      <c r="I330">
        <f ca="1">IF(OR(INDIRECT(A73&amp;ROW())=B93,INDIRECT(A73&amp;ROW())=B94),1,IF(AND(INDIRECT(A73&amp;ROW())=B95,INDIRECT(A96&amp;ROW())=C93),1,IF(AND(INDIRECT(A73&amp;ROW())=B95,INDIRECT(A96&amp;ROW())=C94),1,0)))</f>
        <v>0</v>
      </c>
      <c r="J330">
        <f ca="1">IF(AND(INDIRECT(A73&amp;ROW())=B95,INDIRECT(A96&amp;ROW())=C95),1,IF(AND(INDIRECT(A73&amp;ROW())=B95,INDIRECT(A96&amp;ROW())=C96),1,0))</f>
        <v>0</v>
      </c>
      <c r="K330">
        <f ca="1">DAYS360(INDIRECT(C68&amp;ROW()),TODAY())</f>
        <v>721</v>
      </c>
      <c r="L330">
        <f ca="1">DAYS360(INDIRECT(C69&amp;ROW()),TODAY())</f>
        <v>802</v>
      </c>
      <c r="M330">
        <f ca="1">HYPERLINK(CONCATENATE("https://bugzilla.houston.hp.com:1181/bugzilla/show_bug.cgi?id=",INDIRECT(C70&amp;ROW())),INDIRECT(C70&amp;ROW()))</f>
        <v>56937</v>
      </c>
      <c r="N330">
        <v>56937</v>
      </c>
      <c r="O330" t="s">
        <v>36</v>
      </c>
      <c r="P330" t="s">
        <v>633</v>
      </c>
      <c r="Q330" t="s">
        <v>16</v>
      </c>
      <c r="R330" t="s">
        <v>248</v>
      </c>
      <c r="S330" t="s">
        <v>552</v>
      </c>
      <c r="U330" s="6">
        <v>42125.447685185187</v>
      </c>
      <c r="V330" t="s">
        <v>18</v>
      </c>
      <c r="W330" t="s">
        <v>17</v>
      </c>
      <c r="X330" s="6">
        <v>42045.688657407409</v>
      </c>
      <c r="Y330" t="s">
        <v>122</v>
      </c>
      <c r="AB330" t="s">
        <v>201</v>
      </c>
      <c r="AC330" t="s">
        <v>247</v>
      </c>
      <c r="AD330" t="s">
        <v>220</v>
      </c>
      <c r="AE330" t="s">
        <v>223</v>
      </c>
      <c r="AG330" t="s">
        <v>121</v>
      </c>
      <c r="AH330" t="s">
        <v>64</v>
      </c>
      <c r="AI330" t="s">
        <v>121</v>
      </c>
      <c r="AJ330" t="s">
        <v>717</v>
      </c>
      <c r="AK330" t="s">
        <v>121</v>
      </c>
    </row>
    <row r="331" spans="9:37" x14ac:dyDescent="0.3">
      <c r="I331">
        <f ca="1">IF(OR(INDIRECT(A73&amp;ROW())=B93,INDIRECT(A73&amp;ROW())=B94),1,IF(AND(INDIRECT(A73&amp;ROW())=B95,INDIRECT(A96&amp;ROW())=C93),1,IF(AND(INDIRECT(A73&amp;ROW())=B95,INDIRECT(A96&amp;ROW())=C94),1,0)))</f>
        <v>0</v>
      </c>
      <c r="J331">
        <f ca="1">IF(AND(INDIRECT(A73&amp;ROW())=B95,INDIRECT(A96&amp;ROW())=C95),1,IF(AND(INDIRECT(A73&amp;ROW())=B95,INDIRECT(A96&amp;ROW())=C96),1,0))</f>
        <v>0</v>
      </c>
      <c r="K331">
        <f ca="1">DAYS360(INDIRECT(C68&amp;ROW()),TODAY())</f>
        <v>802</v>
      </c>
      <c r="L331">
        <f ca="1">DAYS360(INDIRECT(C69&amp;ROW()),TODAY())</f>
        <v>802</v>
      </c>
      <c r="M331">
        <f ca="1">HYPERLINK(CONCATENATE("https://bugzilla.houston.hp.com:1181/bugzilla/show_bug.cgi?id=",INDIRECT(C70&amp;ROW())),INDIRECT(C70&amp;ROW()))</f>
        <v>56939</v>
      </c>
      <c r="N331">
        <v>56939</v>
      </c>
      <c r="O331" t="s">
        <v>56</v>
      </c>
      <c r="P331" t="s">
        <v>632</v>
      </c>
      <c r="Q331" t="s">
        <v>16</v>
      </c>
      <c r="R331" t="s">
        <v>248</v>
      </c>
      <c r="S331" t="s">
        <v>552</v>
      </c>
      <c r="U331" s="6">
        <v>42045.701967592591</v>
      </c>
      <c r="V331" t="s">
        <v>18</v>
      </c>
      <c r="W331" t="s">
        <v>343</v>
      </c>
      <c r="X331" s="6">
        <v>42045.701157407406</v>
      </c>
      <c r="Y331" t="s">
        <v>124</v>
      </c>
      <c r="AB331" t="s">
        <v>201</v>
      </c>
      <c r="AC331" t="s">
        <v>247</v>
      </c>
      <c r="AD331" t="s">
        <v>220</v>
      </c>
      <c r="AE331" t="s">
        <v>219</v>
      </c>
      <c r="AG331" t="s">
        <v>121</v>
      </c>
      <c r="AH331" t="s">
        <v>327</v>
      </c>
      <c r="AI331" t="s">
        <v>121</v>
      </c>
      <c r="AJ331" t="s">
        <v>717</v>
      </c>
      <c r="AK331" t="s">
        <v>121</v>
      </c>
    </row>
    <row r="332" spans="9:37" x14ac:dyDescent="0.3">
      <c r="I332">
        <f ca="1">IF(OR(INDIRECT(A73&amp;ROW())=B93,INDIRECT(A73&amp;ROW())=B94),1,IF(AND(INDIRECT(A73&amp;ROW())=B95,INDIRECT(A96&amp;ROW())=C93),1,IF(AND(INDIRECT(A73&amp;ROW())=B95,INDIRECT(A96&amp;ROW())=C94),1,0)))</f>
        <v>0</v>
      </c>
      <c r="J332">
        <f ca="1">IF(AND(INDIRECT(A73&amp;ROW())=B95,INDIRECT(A96&amp;ROW())=C95),1,IF(AND(INDIRECT(A73&amp;ROW())=B95,INDIRECT(A96&amp;ROW())=C96),1,0))</f>
        <v>0</v>
      </c>
      <c r="K332">
        <f ca="1">DAYS360(INDIRECT(C68&amp;ROW()),TODAY())</f>
        <v>802</v>
      </c>
      <c r="L332">
        <f ca="1">DAYS360(INDIRECT(C69&amp;ROW()),TODAY())</f>
        <v>802</v>
      </c>
      <c r="M332">
        <f ca="1">HYPERLINK(CONCATENATE("https://bugzilla.houston.hp.com:1181/bugzilla/show_bug.cgi?id=",INDIRECT(C70&amp;ROW())),INDIRECT(C70&amp;ROW()))</f>
        <v>56940</v>
      </c>
      <c r="N332">
        <v>56940</v>
      </c>
      <c r="O332" t="s">
        <v>36</v>
      </c>
      <c r="P332" t="s">
        <v>631</v>
      </c>
      <c r="Q332" t="s">
        <v>16</v>
      </c>
      <c r="R332" t="s">
        <v>248</v>
      </c>
      <c r="S332" t="s">
        <v>552</v>
      </c>
      <c r="U332" s="6">
        <v>42045.702314814815</v>
      </c>
      <c r="V332" t="s">
        <v>18</v>
      </c>
      <c r="W332" t="s">
        <v>339</v>
      </c>
      <c r="X332" s="6">
        <v>42045.701620370368</v>
      </c>
      <c r="Y332" t="s">
        <v>118</v>
      </c>
      <c r="AB332" t="s">
        <v>201</v>
      </c>
      <c r="AC332" t="s">
        <v>121</v>
      </c>
      <c r="AD332" t="s">
        <v>222</v>
      </c>
      <c r="AE332" t="s">
        <v>240</v>
      </c>
      <c r="AG332" t="s">
        <v>121</v>
      </c>
      <c r="AH332" t="s">
        <v>327</v>
      </c>
      <c r="AI332" t="s">
        <v>121</v>
      </c>
      <c r="AJ332" t="s">
        <v>717</v>
      </c>
      <c r="AK332" t="s">
        <v>121</v>
      </c>
    </row>
    <row r="333" spans="9:37" x14ac:dyDescent="0.3">
      <c r="I333">
        <f ca="1">IF(OR(INDIRECT(A73&amp;ROW())=B93,INDIRECT(A73&amp;ROW())=B94),1,IF(AND(INDIRECT(A73&amp;ROW())=B95,INDIRECT(A96&amp;ROW())=C93),1,IF(AND(INDIRECT(A73&amp;ROW())=B95,INDIRECT(A96&amp;ROW())=C94),1,0)))</f>
        <v>0</v>
      </c>
      <c r="J333">
        <f ca="1">IF(AND(INDIRECT(A73&amp;ROW())=B95,INDIRECT(A96&amp;ROW())=C95),1,IF(AND(INDIRECT(A73&amp;ROW())=B95,INDIRECT(A96&amp;ROW())=C96),1,0))</f>
        <v>0</v>
      </c>
      <c r="K333">
        <f ca="1">DAYS360(INDIRECT(C68&amp;ROW()),TODAY())</f>
        <v>721</v>
      </c>
      <c r="L333">
        <f ca="1">DAYS360(INDIRECT(C69&amp;ROW()),TODAY())</f>
        <v>802</v>
      </c>
      <c r="M333">
        <f ca="1">HYPERLINK(CONCATENATE("https://bugzilla.houston.hp.com:1181/bugzilla/show_bug.cgi?id=",INDIRECT(C70&amp;ROW())),INDIRECT(C70&amp;ROW()))</f>
        <v>56942</v>
      </c>
      <c r="N333">
        <v>56942</v>
      </c>
      <c r="O333" t="s">
        <v>56</v>
      </c>
      <c r="P333" t="s">
        <v>630</v>
      </c>
      <c r="Q333" t="s">
        <v>16</v>
      </c>
      <c r="R333" t="s">
        <v>248</v>
      </c>
      <c r="S333" t="s">
        <v>552</v>
      </c>
      <c r="U333" s="6">
        <v>42125.445092592592</v>
      </c>
      <c r="V333" t="s">
        <v>18</v>
      </c>
      <c r="W333" t="s">
        <v>260</v>
      </c>
      <c r="X333" s="6">
        <v>42045.702800925923</v>
      </c>
      <c r="Y333" t="s">
        <v>122</v>
      </c>
      <c r="AB333" t="s">
        <v>201</v>
      </c>
      <c r="AC333" t="s">
        <v>121</v>
      </c>
      <c r="AD333" t="s">
        <v>220</v>
      </c>
      <c r="AE333" t="s">
        <v>219</v>
      </c>
      <c r="AG333" t="s">
        <v>121</v>
      </c>
      <c r="AH333" t="s">
        <v>327</v>
      </c>
      <c r="AI333" t="s">
        <v>121</v>
      </c>
      <c r="AJ333" t="s">
        <v>717</v>
      </c>
      <c r="AK333" t="s">
        <v>121</v>
      </c>
    </row>
    <row r="334" spans="9:37" x14ac:dyDescent="0.3">
      <c r="I334">
        <f ca="1">IF(OR(INDIRECT(A73&amp;ROW())=B93,INDIRECT(A73&amp;ROW())=B94),1,IF(AND(INDIRECT(A73&amp;ROW())=B95,INDIRECT(A96&amp;ROW())=C93),1,IF(AND(INDIRECT(A73&amp;ROW())=B95,INDIRECT(A96&amp;ROW())=C94),1,0)))</f>
        <v>0</v>
      </c>
      <c r="J334">
        <f ca="1">IF(AND(INDIRECT(A73&amp;ROW())=B95,INDIRECT(A96&amp;ROW())=C95),1,IF(AND(INDIRECT(A73&amp;ROW())=B95,INDIRECT(A96&amp;ROW())=C96),1,0))</f>
        <v>0</v>
      </c>
      <c r="K334">
        <f ca="1">DAYS360(INDIRECT(C68&amp;ROW()),TODAY())</f>
        <v>721</v>
      </c>
      <c r="L334">
        <f ca="1">DAYS360(INDIRECT(C69&amp;ROW()),TODAY())</f>
        <v>802</v>
      </c>
      <c r="M334">
        <f ca="1">HYPERLINK(CONCATENATE("https://bugzilla.houston.hp.com:1181/bugzilla/show_bug.cgi?id=",INDIRECT(C70&amp;ROW())),INDIRECT(C70&amp;ROW()))</f>
        <v>56943</v>
      </c>
      <c r="N334">
        <v>56943</v>
      </c>
      <c r="O334" t="s">
        <v>56</v>
      </c>
      <c r="P334" t="s">
        <v>629</v>
      </c>
      <c r="Q334" t="s">
        <v>16</v>
      </c>
      <c r="R334" t="s">
        <v>248</v>
      </c>
      <c r="S334" t="s">
        <v>552</v>
      </c>
      <c r="U334" s="6">
        <v>42125.446377314816</v>
      </c>
      <c r="V334" t="s">
        <v>18</v>
      </c>
      <c r="W334" t="s">
        <v>288</v>
      </c>
      <c r="X334" s="6">
        <v>42045.703252314815</v>
      </c>
      <c r="Y334" t="s">
        <v>122</v>
      </c>
      <c r="AB334" t="s">
        <v>201</v>
      </c>
      <c r="AC334" t="s">
        <v>247</v>
      </c>
      <c r="AD334" t="s">
        <v>220</v>
      </c>
      <c r="AE334" t="s">
        <v>219</v>
      </c>
      <c r="AG334" t="s">
        <v>121</v>
      </c>
      <c r="AH334" t="s">
        <v>64</v>
      </c>
      <c r="AI334" t="s">
        <v>121</v>
      </c>
      <c r="AJ334" t="s">
        <v>717</v>
      </c>
      <c r="AK334" t="s">
        <v>121</v>
      </c>
    </row>
    <row r="335" spans="9:37" x14ac:dyDescent="0.3">
      <c r="I335">
        <f ca="1">IF(OR(INDIRECT(A73&amp;ROW())=B93,INDIRECT(A73&amp;ROW())=B94),1,IF(AND(INDIRECT(A73&amp;ROW())=B95,INDIRECT(A96&amp;ROW())=C93),1,IF(AND(INDIRECT(A73&amp;ROW())=B95,INDIRECT(A96&amp;ROW())=C94),1,0)))</f>
        <v>0</v>
      </c>
      <c r="J335">
        <f ca="1">IF(AND(INDIRECT(A73&amp;ROW())=B95,INDIRECT(A96&amp;ROW())=C95),1,IF(AND(INDIRECT(A73&amp;ROW())=B95,INDIRECT(A96&amp;ROW())=C96),1,0))</f>
        <v>0</v>
      </c>
      <c r="K335">
        <f ca="1">DAYS360(INDIRECT(C68&amp;ROW()),TODAY())</f>
        <v>721</v>
      </c>
      <c r="L335">
        <f ca="1">DAYS360(INDIRECT(C69&amp;ROW()),TODAY())</f>
        <v>802</v>
      </c>
      <c r="M335">
        <f ca="1">HYPERLINK(CONCATENATE("https://bugzilla.houston.hp.com:1181/bugzilla/show_bug.cgi?id=",INDIRECT(C70&amp;ROW())),INDIRECT(C70&amp;ROW()))</f>
        <v>56946</v>
      </c>
      <c r="N335">
        <v>56946</v>
      </c>
      <c r="O335" t="s">
        <v>56</v>
      </c>
      <c r="P335" t="s">
        <v>628</v>
      </c>
      <c r="Q335" t="s">
        <v>16</v>
      </c>
      <c r="R335" t="s">
        <v>248</v>
      </c>
      <c r="S335" t="s">
        <v>552</v>
      </c>
      <c r="U335" s="6">
        <v>42125.448599537034</v>
      </c>
      <c r="V335" t="s">
        <v>18</v>
      </c>
      <c r="W335" t="s">
        <v>17</v>
      </c>
      <c r="X335" s="6">
        <v>42045.706203703703</v>
      </c>
      <c r="Y335" t="s">
        <v>122</v>
      </c>
      <c r="AB335" t="s">
        <v>201</v>
      </c>
      <c r="AC335" t="s">
        <v>247</v>
      </c>
      <c r="AD335" t="s">
        <v>220</v>
      </c>
      <c r="AE335" t="s">
        <v>219</v>
      </c>
      <c r="AG335" t="s">
        <v>121</v>
      </c>
      <c r="AH335" t="s">
        <v>327</v>
      </c>
      <c r="AI335" t="s">
        <v>121</v>
      </c>
      <c r="AJ335" t="s">
        <v>717</v>
      </c>
      <c r="AK335" t="s">
        <v>121</v>
      </c>
    </row>
    <row r="336" spans="9:37" x14ac:dyDescent="0.3">
      <c r="I336">
        <f ca="1">IF(OR(INDIRECT(A73&amp;ROW())=B93,INDIRECT(A73&amp;ROW())=B94),1,IF(AND(INDIRECT(A73&amp;ROW())=B95,INDIRECT(A96&amp;ROW())=C93),1,IF(AND(INDIRECT(A73&amp;ROW())=B95,INDIRECT(A96&amp;ROW())=C94),1,0)))</f>
        <v>0</v>
      </c>
      <c r="J336">
        <f ca="1">IF(AND(INDIRECT(A73&amp;ROW())=B95,INDIRECT(A96&amp;ROW())=C95),1,IF(AND(INDIRECT(A73&amp;ROW())=B95,INDIRECT(A96&amp;ROW())=C96),1,0))</f>
        <v>0</v>
      </c>
      <c r="K336">
        <f ca="1">DAYS360(INDIRECT(C68&amp;ROW()),TODAY())</f>
        <v>802</v>
      </c>
      <c r="L336">
        <f ca="1">DAYS360(INDIRECT(C69&amp;ROW()),TODAY())</f>
        <v>802</v>
      </c>
      <c r="M336">
        <f ca="1">HYPERLINK(CONCATENATE("https://bugzilla.houston.hp.com:1181/bugzilla/show_bug.cgi?id=",INDIRECT(C70&amp;ROW())),INDIRECT(C70&amp;ROW()))</f>
        <v>56947</v>
      </c>
      <c r="N336">
        <v>56947</v>
      </c>
      <c r="O336" t="s">
        <v>36</v>
      </c>
      <c r="P336" t="s">
        <v>627</v>
      </c>
      <c r="Q336" t="s">
        <v>16</v>
      </c>
      <c r="R336" t="s">
        <v>248</v>
      </c>
      <c r="S336" t="s">
        <v>552</v>
      </c>
      <c r="U336" s="6">
        <v>42045.708449074074</v>
      </c>
      <c r="V336" t="s">
        <v>18</v>
      </c>
      <c r="W336" t="s">
        <v>317</v>
      </c>
      <c r="X336" s="6">
        <v>42045.706493055557</v>
      </c>
      <c r="Y336" t="s">
        <v>119</v>
      </c>
      <c r="AB336" t="s">
        <v>201</v>
      </c>
      <c r="AC336" t="s">
        <v>247</v>
      </c>
      <c r="AD336" t="s">
        <v>222</v>
      </c>
      <c r="AE336" t="s">
        <v>240</v>
      </c>
      <c r="AG336" t="s">
        <v>121</v>
      </c>
      <c r="AH336" t="s">
        <v>327</v>
      </c>
      <c r="AI336" t="s">
        <v>121</v>
      </c>
      <c r="AJ336" t="s">
        <v>717</v>
      </c>
      <c r="AK336" t="s">
        <v>121</v>
      </c>
    </row>
    <row r="337" spans="9:37" x14ac:dyDescent="0.3">
      <c r="I337">
        <f ca="1">IF(OR(INDIRECT(A73&amp;ROW())=B93,INDIRECT(A73&amp;ROW())=B94),1,IF(AND(INDIRECT(A73&amp;ROW())=B95,INDIRECT(A96&amp;ROW())=C93),1,IF(AND(INDIRECT(A73&amp;ROW())=B95,INDIRECT(A96&amp;ROW())=C94),1,0)))</f>
        <v>0</v>
      </c>
      <c r="J337">
        <f ca="1">IF(AND(INDIRECT(A73&amp;ROW())=B95,INDIRECT(A96&amp;ROW())=C95),1,IF(AND(INDIRECT(A73&amp;ROW())=B95,INDIRECT(A96&amp;ROW())=C96),1,0))</f>
        <v>0</v>
      </c>
      <c r="K337">
        <f ca="1">DAYS360(INDIRECT(C68&amp;ROW()),TODAY())</f>
        <v>731</v>
      </c>
      <c r="L337">
        <f ca="1">DAYS360(INDIRECT(C69&amp;ROW()),TODAY())</f>
        <v>802</v>
      </c>
      <c r="M337">
        <f ca="1">HYPERLINK(CONCATENATE("https://bugzilla.houston.hp.com:1181/bugzilla/show_bug.cgi?id=",INDIRECT(C70&amp;ROW())),INDIRECT(C70&amp;ROW()))</f>
        <v>56949</v>
      </c>
      <c r="N337">
        <v>56949</v>
      </c>
      <c r="O337" t="s">
        <v>36</v>
      </c>
      <c r="P337" t="s">
        <v>970</v>
      </c>
      <c r="Q337" t="s">
        <v>16</v>
      </c>
      <c r="R337" t="s">
        <v>783</v>
      </c>
      <c r="S337" t="s">
        <v>552</v>
      </c>
      <c r="U337" s="6">
        <v>42115.643750000003</v>
      </c>
      <c r="V337" t="s">
        <v>18</v>
      </c>
      <c r="W337" t="s">
        <v>258</v>
      </c>
      <c r="X337" s="6">
        <v>42045.707291666666</v>
      </c>
      <c r="Y337" t="s">
        <v>120</v>
      </c>
      <c r="AB337" t="s">
        <v>200</v>
      </c>
      <c r="AC337" t="s">
        <v>121</v>
      </c>
      <c r="AD337" t="s">
        <v>222</v>
      </c>
      <c r="AE337" t="s">
        <v>240</v>
      </c>
      <c r="AG337" t="s">
        <v>121</v>
      </c>
      <c r="AH337" t="s">
        <v>64</v>
      </c>
      <c r="AI337" t="s">
        <v>121</v>
      </c>
      <c r="AJ337" t="s">
        <v>716</v>
      </c>
      <c r="AK337" t="s">
        <v>121</v>
      </c>
    </row>
    <row r="338" spans="9:37" x14ac:dyDescent="0.3">
      <c r="I338">
        <f ca="1">IF(OR(INDIRECT(A73&amp;ROW())=B93,INDIRECT(A73&amp;ROW())=B94),1,IF(AND(INDIRECT(A73&amp;ROW())=B95,INDIRECT(A96&amp;ROW())=C93),1,IF(AND(INDIRECT(A73&amp;ROW())=B95,INDIRECT(A96&amp;ROW())=C94),1,0)))</f>
        <v>0</v>
      </c>
      <c r="J338">
        <f ca="1">IF(AND(INDIRECT(A73&amp;ROW())=B95,INDIRECT(A96&amp;ROW())=C95),1,IF(AND(INDIRECT(A73&amp;ROW())=B95,INDIRECT(A96&amp;ROW())=C96),1,0))</f>
        <v>0</v>
      </c>
      <c r="K338">
        <f ca="1">DAYS360(INDIRECT(C68&amp;ROW()),TODAY())</f>
        <v>688</v>
      </c>
      <c r="L338">
        <f ca="1">DAYS360(INDIRECT(C69&amp;ROW()),TODAY())</f>
        <v>802</v>
      </c>
      <c r="M338">
        <f ca="1">HYPERLINK(CONCATENATE("https://bugzilla.houston.hp.com:1181/bugzilla/show_bug.cgi?id=",INDIRECT(C70&amp;ROW())),INDIRECT(C70&amp;ROW()))</f>
        <v>56950</v>
      </c>
      <c r="N338">
        <v>56950</v>
      </c>
      <c r="O338" t="s">
        <v>56</v>
      </c>
      <c r="P338" t="s">
        <v>969</v>
      </c>
      <c r="Q338" t="s">
        <v>16</v>
      </c>
      <c r="R338" t="s">
        <v>783</v>
      </c>
      <c r="S338" t="s">
        <v>552</v>
      </c>
      <c r="U338" s="6">
        <v>42159.63140046296</v>
      </c>
      <c r="V338" t="s">
        <v>18</v>
      </c>
      <c r="W338" t="s">
        <v>260</v>
      </c>
      <c r="X338" s="6">
        <v>42045.707592592589</v>
      </c>
      <c r="Y338" t="s">
        <v>793</v>
      </c>
      <c r="AB338" t="s">
        <v>201</v>
      </c>
      <c r="AC338" t="s">
        <v>247</v>
      </c>
      <c r="AD338" t="s">
        <v>220</v>
      </c>
      <c r="AE338" t="s">
        <v>219</v>
      </c>
      <c r="AG338" t="s">
        <v>121</v>
      </c>
      <c r="AH338" t="s">
        <v>64</v>
      </c>
      <c r="AI338" t="s">
        <v>121</v>
      </c>
      <c r="AJ338" t="s">
        <v>717</v>
      </c>
      <c r="AK338" t="s">
        <v>121</v>
      </c>
    </row>
    <row r="339" spans="9:37" x14ac:dyDescent="0.3">
      <c r="I339">
        <f ca="1">IF(OR(INDIRECT(A73&amp;ROW())=B93,INDIRECT(A73&amp;ROW())=B94),1,IF(AND(INDIRECT(A73&amp;ROW())=B95,INDIRECT(A96&amp;ROW())=C93),1,IF(AND(INDIRECT(A73&amp;ROW())=B95,INDIRECT(A96&amp;ROW())=C94),1,0)))</f>
        <v>0</v>
      </c>
      <c r="J339">
        <f ca="1">IF(AND(INDIRECT(A73&amp;ROW())=B95,INDIRECT(A96&amp;ROW())=C95),1,IF(AND(INDIRECT(A73&amp;ROW())=B95,INDIRECT(A96&amp;ROW())=C96),1,0))</f>
        <v>0</v>
      </c>
      <c r="K339">
        <f ca="1">DAYS360(INDIRECT(C68&amp;ROW()),TODAY())</f>
        <v>731</v>
      </c>
      <c r="L339">
        <f ca="1">DAYS360(INDIRECT(C69&amp;ROW()),TODAY())</f>
        <v>802</v>
      </c>
      <c r="M339">
        <f ca="1">HYPERLINK(CONCATENATE("https://bugzilla.houston.hp.com:1181/bugzilla/show_bug.cgi?id=",INDIRECT(C70&amp;ROW())),INDIRECT(C70&amp;ROW()))</f>
        <v>56951</v>
      </c>
      <c r="N339">
        <v>56951</v>
      </c>
      <c r="O339" t="s">
        <v>56</v>
      </c>
      <c r="P339" t="s">
        <v>968</v>
      </c>
      <c r="Q339" t="s">
        <v>16</v>
      </c>
      <c r="R339" t="s">
        <v>783</v>
      </c>
      <c r="S339" t="s">
        <v>552</v>
      </c>
      <c r="U339" s="6">
        <v>42115.830393518518</v>
      </c>
      <c r="V339" t="s">
        <v>18</v>
      </c>
      <c r="W339" t="s">
        <v>17</v>
      </c>
      <c r="X339" s="6">
        <v>42045.707916666666</v>
      </c>
      <c r="Y339" t="s">
        <v>786</v>
      </c>
      <c r="AB339" t="s">
        <v>200</v>
      </c>
      <c r="AC339" t="s">
        <v>247</v>
      </c>
      <c r="AD339" t="s">
        <v>220</v>
      </c>
      <c r="AE339" t="s">
        <v>219</v>
      </c>
      <c r="AG339" t="s">
        <v>121</v>
      </c>
      <c r="AH339" t="s">
        <v>327</v>
      </c>
      <c r="AI339" t="s">
        <v>121</v>
      </c>
      <c r="AJ339" t="s">
        <v>716</v>
      </c>
      <c r="AK339" t="s">
        <v>121</v>
      </c>
    </row>
    <row r="340" spans="9:37" x14ac:dyDescent="0.3">
      <c r="I340">
        <f ca="1">IF(OR(INDIRECT(A73&amp;ROW())=B93,INDIRECT(A73&amp;ROW())=B94),1,IF(AND(INDIRECT(A73&amp;ROW())=B95,INDIRECT(A96&amp;ROW())=C93),1,IF(AND(INDIRECT(A73&amp;ROW())=B95,INDIRECT(A96&amp;ROW())=C94),1,0)))</f>
        <v>0</v>
      </c>
      <c r="J340">
        <f ca="1">IF(AND(INDIRECT(A73&amp;ROW())=B95,INDIRECT(A96&amp;ROW())=C95),1,IF(AND(INDIRECT(A73&amp;ROW())=B95,INDIRECT(A96&amp;ROW())=C96),1,0))</f>
        <v>0</v>
      </c>
      <c r="K340">
        <f ca="1">DAYS360(INDIRECT(C68&amp;ROW()),TODAY())</f>
        <v>731</v>
      </c>
      <c r="L340">
        <f ca="1">DAYS360(INDIRECT(C69&amp;ROW()),TODAY())</f>
        <v>802</v>
      </c>
      <c r="M340">
        <f ca="1">HYPERLINK(CONCATENATE("https://bugzilla.houston.hp.com:1181/bugzilla/show_bug.cgi?id=",INDIRECT(C70&amp;ROW())),INDIRECT(C70&amp;ROW()))</f>
        <v>56952</v>
      </c>
      <c r="N340">
        <v>56952</v>
      </c>
      <c r="O340" t="s">
        <v>36</v>
      </c>
      <c r="P340" t="s">
        <v>967</v>
      </c>
      <c r="Q340" t="s">
        <v>16</v>
      </c>
      <c r="R340" t="s">
        <v>783</v>
      </c>
      <c r="S340" t="s">
        <v>552</v>
      </c>
      <c r="U340" s="6">
        <v>42115.664293981485</v>
      </c>
      <c r="V340" t="s">
        <v>18</v>
      </c>
      <c r="W340" t="s">
        <v>257</v>
      </c>
      <c r="X340" s="6">
        <v>42045.709467592591</v>
      </c>
      <c r="Y340" t="s">
        <v>122</v>
      </c>
      <c r="AB340" t="s">
        <v>200</v>
      </c>
      <c r="AC340" t="s">
        <v>121</v>
      </c>
      <c r="AD340" t="s">
        <v>227</v>
      </c>
      <c r="AE340" t="s">
        <v>226</v>
      </c>
      <c r="AG340" t="s">
        <v>121</v>
      </c>
      <c r="AH340" t="s">
        <v>64</v>
      </c>
      <c r="AI340" t="s">
        <v>121</v>
      </c>
      <c r="AJ340" t="s">
        <v>716</v>
      </c>
      <c r="AK340" t="s">
        <v>121</v>
      </c>
    </row>
    <row r="341" spans="9:37" x14ac:dyDescent="0.3">
      <c r="I341">
        <f ca="1">IF(OR(INDIRECT(A73&amp;ROW())=B93,INDIRECT(A73&amp;ROW())=B94),1,IF(AND(INDIRECT(A73&amp;ROW())=B95,INDIRECT(A96&amp;ROW())=C93),1,IF(AND(INDIRECT(A73&amp;ROW())=B95,INDIRECT(A96&amp;ROW())=C94),1,0)))</f>
        <v>0</v>
      </c>
      <c r="J341">
        <f ca="1">IF(AND(INDIRECT(A73&amp;ROW())=B95,INDIRECT(A96&amp;ROW())=C95),1,IF(AND(INDIRECT(A73&amp;ROW())=B95,INDIRECT(A96&amp;ROW())=C96),1,0))</f>
        <v>0</v>
      </c>
      <c r="K341">
        <f ca="1">DAYS360(INDIRECT(C68&amp;ROW()),TODAY())</f>
        <v>802</v>
      </c>
      <c r="L341">
        <f ca="1">DAYS360(INDIRECT(C69&amp;ROW()),TODAY())</f>
        <v>802</v>
      </c>
      <c r="M341">
        <f ca="1">HYPERLINK(CONCATENATE("https://bugzilla.houston.hp.com:1181/bugzilla/show_bug.cgi?id=",INDIRECT(C70&amp;ROW())),INDIRECT(C70&amp;ROW()))</f>
        <v>56955</v>
      </c>
      <c r="N341">
        <v>56955</v>
      </c>
      <c r="O341" t="s">
        <v>36</v>
      </c>
      <c r="P341" t="s">
        <v>620</v>
      </c>
      <c r="Q341" t="s">
        <v>16</v>
      </c>
      <c r="R341" t="s">
        <v>248</v>
      </c>
      <c r="S341" t="s">
        <v>552</v>
      </c>
      <c r="U341" s="6">
        <v>42045.940196759257</v>
      </c>
      <c r="V341" t="s">
        <v>18</v>
      </c>
      <c r="W341" t="s">
        <v>372</v>
      </c>
      <c r="X341" s="6">
        <v>42045.89640046296</v>
      </c>
      <c r="Y341" t="s">
        <v>787</v>
      </c>
      <c r="AB341" t="s">
        <v>200</v>
      </c>
      <c r="AC341" t="s">
        <v>247</v>
      </c>
      <c r="AD341" t="s">
        <v>227</v>
      </c>
      <c r="AE341" t="s">
        <v>237</v>
      </c>
      <c r="AG341" t="s">
        <v>121</v>
      </c>
      <c r="AH341" t="s">
        <v>327</v>
      </c>
      <c r="AI341" t="s">
        <v>121</v>
      </c>
      <c r="AJ341" t="s">
        <v>716</v>
      </c>
      <c r="AK341" t="s">
        <v>121</v>
      </c>
    </row>
    <row r="342" spans="9:37" x14ac:dyDescent="0.3">
      <c r="I342">
        <f ca="1">IF(OR(INDIRECT(A73&amp;ROW())=B93,INDIRECT(A73&amp;ROW())=B94),1,IF(AND(INDIRECT(A73&amp;ROW())=B95,INDIRECT(A96&amp;ROW())=C93),1,IF(AND(INDIRECT(A73&amp;ROW())=B95,INDIRECT(A96&amp;ROW())=C94),1,0)))</f>
        <v>0</v>
      </c>
      <c r="J342">
        <f ca="1">IF(AND(INDIRECT(A73&amp;ROW())=B95,INDIRECT(A96&amp;ROW())=C95),1,IF(AND(INDIRECT(A73&amp;ROW())=B95,INDIRECT(A96&amp;ROW())=C96),1,0))</f>
        <v>0</v>
      </c>
      <c r="K342">
        <f ca="1">DAYS360(INDIRECT(C68&amp;ROW()),TODAY())</f>
        <v>802</v>
      </c>
      <c r="L342">
        <f ca="1">DAYS360(INDIRECT(C69&amp;ROW()),TODAY())</f>
        <v>802</v>
      </c>
      <c r="M342">
        <f ca="1">HYPERLINK(CONCATENATE("https://bugzilla.houston.hp.com:1181/bugzilla/show_bug.cgi?id=",INDIRECT(C70&amp;ROW())),INDIRECT(C70&amp;ROW()))</f>
        <v>56957</v>
      </c>
      <c r="N342">
        <v>56957</v>
      </c>
      <c r="O342" t="s">
        <v>56</v>
      </c>
      <c r="P342" t="s">
        <v>619</v>
      </c>
      <c r="Q342" t="s">
        <v>16</v>
      </c>
      <c r="R342" t="s">
        <v>248</v>
      </c>
      <c r="S342" t="s">
        <v>552</v>
      </c>
      <c r="U342" s="6">
        <v>42045.940879629627</v>
      </c>
      <c r="V342" t="s">
        <v>18</v>
      </c>
      <c r="W342" t="s">
        <v>248</v>
      </c>
      <c r="X342" s="6">
        <v>42045.898831018516</v>
      </c>
      <c r="Y342" t="s">
        <v>124</v>
      </c>
      <c r="AB342" t="s">
        <v>200</v>
      </c>
      <c r="AC342" t="s">
        <v>247</v>
      </c>
      <c r="AD342" t="s">
        <v>220</v>
      </c>
      <c r="AE342" t="s">
        <v>219</v>
      </c>
      <c r="AG342" t="s">
        <v>121</v>
      </c>
      <c r="AH342" t="s">
        <v>327</v>
      </c>
      <c r="AI342" t="s">
        <v>121</v>
      </c>
      <c r="AJ342" t="s">
        <v>716</v>
      </c>
      <c r="AK342" t="s">
        <v>121</v>
      </c>
    </row>
    <row r="343" spans="9:37" x14ac:dyDescent="0.3">
      <c r="I343">
        <f ca="1">IF(OR(INDIRECT(A73&amp;ROW())=B93,INDIRECT(A73&amp;ROW())=B94),1,IF(AND(INDIRECT(A73&amp;ROW())=B95,INDIRECT(A96&amp;ROW())=C93),1,IF(AND(INDIRECT(A73&amp;ROW())=B95,INDIRECT(A96&amp;ROW())=C94),1,0)))</f>
        <v>0</v>
      </c>
      <c r="J343">
        <f ca="1">IF(AND(INDIRECT(A73&amp;ROW())=B95,INDIRECT(A96&amp;ROW())=C95),1,IF(AND(INDIRECT(A73&amp;ROW())=B95,INDIRECT(A96&amp;ROW())=C96),1,0))</f>
        <v>0</v>
      </c>
      <c r="K343">
        <f ca="1">DAYS360(INDIRECT(C68&amp;ROW()),TODAY())</f>
        <v>684</v>
      </c>
      <c r="L343">
        <f ca="1">DAYS360(INDIRECT(C69&amp;ROW()),TODAY())</f>
        <v>802</v>
      </c>
      <c r="M343">
        <f ca="1">HYPERLINK(CONCATENATE("https://bugzilla.houston.hp.com:1181/bugzilla/show_bug.cgi?id=",INDIRECT(C70&amp;ROW())),INDIRECT(C70&amp;ROW()))</f>
        <v>56960</v>
      </c>
      <c r="N343">
        <v>56960</v>
      </c>
      <c r="O343" t="s">
        <v>36</v>
      </c>
      <c r="P343" t="s">
        <v>618</v>
      </c>
      <c r="Q343" t="s">
        <v>16</v>
      </c>
      <c r="R343" t="s">
        <v>248</v>
      </c>
      <c r="S343" t="s">
        <v>552</v>
      </c>
      <c r="U343" s="6">
        <v>42163.610381944447</v>
      </c>
      <c r="V343" t="s">
        <v>18</v>
      </c>
      <c r="W343" t="s">
        <v>372</v>
      </c>
      <c r="X343" s="6">
        <v>42045.904224537036</v>
      </c>
      <c r="Y343" t="s">
        <v>245</v>
      </c>
      <c r="AB343" t="s">
        <v>200</v>
      </c>
      <c r="AC343" t="s">
        <v>247</v>
      </c>
      <c r="AD343" t="s">
        <v>222</v>
      </c>
      <c r="AE343" t="s">
        <v>225</v>
      </c>
      <c r="AG343" t="s">
        <v>121</v>
      </c>
      <c r="AH343" t="s">
        <v>327</v>
      </c>
      <c r="AI343" t="s">
        <v>121</v>
      </c>
      <c r="AJ343" t="s">
        <v>716</v>
      </c>
      <c r="AK343" t="s">
        <v>121</v>
      </c>
    </row>
    <row r="344" spans="9:37" x14ac:dyDescent="0.3">
      <c r="I344">
        <f ca="1">IF(OR(INDIRECT(A73&amp;ROW())=B93,INDIRECT(A73&amp;ROW())=B94),1,IF(AND(INDIRECT(A73&amp;ROW())=B95,INDIRECT(A96&amp;ROW())=C93),1,IF(AND(INDIRECT(A73&amp;ROW())=B95,INDIRECT(A96&amp;ROW())=C94),1,0)))</f>
        <v>0</v>
      </c>
      <c r="J344">
        <f ca="1">IF(AND(INDIRECT(A73&amp;ROW())=B95,INDIRECT(A96&amp;ROW())=C95),1,IF(AND(INDIRECT(A73&amp;ROW())=B95,INDIRECT(A96&amp;ROW())=C96),1,0))</f>
        <v>0</v>
      </c>
      <c r="K344">
        <f ca="1">DAYS360(INDIRECT(C68&amp;ROW()),TODAY())</f>
        <v>681</v>
      </c>
      <c r="L344">
        <f ca="1">DAYS360(INDIRECT(C69&amp;ROW()),TODAY())</f>
        <v>802</v>
      </c>
      <c r="M344">
        <f ca="1">HYPERLINK(CONCATENATE("https://bugzilla.houston.hp.com:1181/bugzilla/show_bug.cgi?id=",INDIRECT(C70&amp;ROW())),INDIRECT(C70&amp;ROW()))</f>
        <v>56964</v>
      </c>
      <c r="N344">
        <v>56964</v>
      </c>
      <c r="O344" t="s">
        <v>250</v>
      </c>
      <c r="P344" t="s">
        <v>617</v>
      </c>
      <c r="Q344" t="s">
        <v>16</v>
      </c>
      <c r="R344" t="s">
        <v>248</v>
      </c>
      <c r="S344" t="s">
        <v>552</v>
      </c>
      <c r="U344" s="6">
        <v>42166.356516203705</v>
      </c>
      <c r="V344" t="s">
        <v>18</v>
      </c>
      <c r="W344" t="s">
        <v>17</v>
      </c>
      <c r="X344" s="6">
        <v>42045.907905092594</v>
      </c>
      <c r="Y344" t="s">
        <v>255</v>
      </c>
      <c r="AB344" t="s">
        <v>200</v>
      </c>
      <c r="AC344" t="s">
        <v>247</v>
      </c>
      <c r="AD344" t="s">
        <v>220</v>
      </c>
      <c r="AE344" t="s">
        <v>219</v>
      </c>
      <c r="AG344" t="s">
        <v>121</v>
      </c>
      <c r="AH344" t="s">
        <v>327</v>
      </c>
      <c r="AI344" t="s">
        <v>121</v>
      </c>
      <c r="AJ344" t="s">
        <v>716</v>
      </c>
      <c r="AK344" t="s">
        <v>121</v>
      </c>
    </row>
    <row r="345" spans="9:37" x14ac:dyDescent="0.3">
      <c r="I345">
        <f ca="1">IF(OR(INDIRECT(A73&amp;ROW())=B93,INDIRECT(A73&amp;ROW())=B94),1,IF(AND(INDIRECT(A73&amp;ROW())=B95,INDIRECT(A96&amp;ROW())=C93),1,IF(AND(INDIRECT(A73&amp;ROW())=B95,INDIRECT(A96&amp;ROW())=C94),1,0)))</f>
        <v>0</v>
      </c>
      <c r="J345">
        <f ca="1">IF(AND(INDIRECT(A73&amp;ROW())=B95,INDIRECT(A96&amp;ROW())=C95),1,IF(AND(INDIRECT(A73&amp;ROW())=B95,INDIRECT(A96&amp;ROW())=C96),1,0))</f>
        <v>0</v>
      </c>
      <c r="K345">
        <f ca="1">DAYS360(INDIRECT(C68&amp;ROW()),TODAY())</f>
        <v>721</v>
      </c>
      <c r="L345">
        <f ca="1">DAYS360(INDIRECT(C69&amp;ROW()),TODAY())</f>
        <v>802</v>
      </c>
      <c r="M345">
        <f ca="1">HYPERLINK(CONCATENATE("https://bugzilla.houston.hp.com:1181/bugzilla/show_bug.cgi?id=",INDIRECT(C70&amp;ROW())),INDIRECT(C70&amp;ROW()))</f>
        <v>56965</v>
      </c>
      <c r="N345">
        <v>56965</v>
      </c>
      <c r="O345" t="s">
        <v>21</v>
      </c>
      <c r="P345" t="s">
        <v>616</v>
      </c>
      <c r="Q345" t="s">
        <v>16</v>
      </c>
      <c r="R345" t="s">
        <v>248</v>
      </c>
      <c r="S345" t="s">
        <v>552</v>
      </c>
      <c r="U345" s="6">
        <v>42125.672951388886</v>
      </c>
      <c r="V345" t="s">
        <v>18</v>
      </c>
      <c r="W345" t="s">
        <v>372</v>
      </c>
      <c r="X345" s="6">
        <v>42045.909050925926</v>
      </c>
      <c r="Y345" t="s">
        <v>255</v>
      </c>
      <c r="AB345" t="s">
        <v>200</v>
      </c>
      <c r="AC345" t="s">
        <v>247</v>
      </c>
      <c r="AD345" t="s">
        <v>222</v>
      </c>
      <c r="AE345" t="s">
        <v>240</v>
      </c>
      <c r="AG345" t="s">
        <v>121</v>
      </c>
      <c r="AH345" t="s">
        <v>327</v>
      </c>
      <c r="AI345" t="s">
        <v>121</v>
      </c>
      <c r="AJ345" t="s">
        <v>716</v>
      </c>
      <c r="AK345" t="s">
        <v>121</v>
      </c>
    </row>
    <row r="346" spans="9:37" x14ac:dyDescent="0.3">
      <c r="I346">
        <f ca="1">IF(OR(INDIRECT(A73&amp;ROW())=B93,INDIRECT(A73&amp;ROW())=B94),1,IF(AND(INDIRECT(A73&amp;ROW())=B95,INDIRECT(A96&amp;ROW())=C93),1,IF(AND(INDIRECT(A73&amp;ROW())=B95,INDIRECT(A96&amp;ROW())=C94),1,0)))</f>
        <v>0</v>
      </c>
      <c r="J346">
        <f ca="1">IF(AND(INDIRECT(A73&amp;ROW())=B95,INDIRECT(A96&amp;ROW())=C95),1,IF(AND(INDIRECT(A73&amp;ROW())=B95,INDIRECT(A96&amp;ROW())=C96),1,0))</f>
        <v>0</v>
      </c>
      <c r="K346">
        <f ca="1">DAYS360(INDIRECT(C68&amp;ROW()),TODAY())</f>
        <v>721</v>
      </c>
      <c r="L346">
        <f ca="1">DAYS360(INDIRECT(C69&amp;ROW()),TODAY())</f>
        <v>802</v>
      </c>
      <c r="M346">
        <f ca="1">HYPERLINK(CONCATENATE("https://bugzilla.houston.hp.com:1181/bugzilla/show_bug.cgi?id=",INDIRECT(C70&amp;ROW())),INDIRECT(C70&amp;ROW()))</f>
        <v>56966</v>
      </c>
      <c r="N346">
        <v>56966</v>
      </c>
      <c r="O346" t="s">
        <v>59</v>
      </c>
      <c r="P346" t="s">
        <v>507</v>
      </c>
      <c r="Q346" t="s">
        <v>16</v>
      </c>
      <c r="R346" t="s">
        <v>248</v>
      </c>
      <c r="S346" t="s">
        <v>552</v>
      </c>
      <c r="U346" s="6">
        <v>42125.664664351854</v>
      </c>
      <c r="V346" t="s">
        <v>18</v>
      </c>
      <c r="W346" t="s">
        <v>258</v>
      </c>
      <c r="X346" s="6">
        <v>42045.910405092596</v>
      </c>
      <c r="Y346" t="s">
        <v>122</v>
      </c>
      <c r="AB346" t="s">
        <v>201</v>
      </c>
      <c r="AC346" t="s">
        <v>247</v>
      </c>
      <c r="AD346" t="s">
        <v>222</v>
      </c>
      <c r="AE346" t="s">
        <v>240</v>
      </c>
      <c r="AG346" t="s">
        <v>121</v>
      </c>
      <c r="AH346" t="s">
        <v>327</v>
      </c>
      <c r="AI346" t="s">
        <v>121</v>
      </c>
      <c r="AJ346" t="s">
        <v>717</v>
      </c>
      <c r="AK346" t="s">
        <v>121</v>
      </c>
    </row>
    <row r="347" spans="9:37" x14ac:dyDescent="0.3">
      <c r="I347">
        <f ca="1">IF(OR(INDIRECT(A73&amp;ROW())=B93,INDIRECT(A73&amp;ROW())=B94),1,IF(AND(INDIRECT(A73&amp;ROW())=B95,INDIRECT(A96&amp;ROW())=C93),1,IF(AND(INDIRECT(A73&amp;ROW())=B95,INDIRECT(A96&amp;ROW())=C94),1,0)))</f>
        <v>0</v>
      </c>
      <c r="J347">
        <f ca="1">IF(AND(INDIRECT(A73&amp;ROW())=B95,INDIRECT(A96&amp;ROW())=C95),1,IF(AND(INDIRECT(A73&amp;ROW())=B95,INDIRECT(A96&amp;ROW())=C96),1,0))</f>
        <v>0</v>
      </c>
      <c r="K347">
        <f ca="1">DAYS360(INDIRECT(C68&amp;ROW()),TODAY())</f>
        <v>721</v>
      </c>
      <c r="L347">
        <f ca="1">DAYS360(INDIRECT(C69&amp;ROW()),TODAY())</f>
        <v>802</v>
      </c>
      <c r="M347">
        <f ca="1">HYPERLINK(CONCATENATE("https://bugzilla.houston.hp.com:1181/bugzilla/show_bug.cgi?id=",INDIRECT(C70&amp;ROW())),INDIRECT(C70&amp;ROW()))</f>
        <v>56967</v>
      </c>
      <c r="N347">
        <v>56967</v>
      </c>
      <c r="O347" t="s">
        <v>56</v>
      </c>
      <c r="P347" t="s">
        <v>615</v>
      </c>
      <c r="Q347" t="s">
        <v>16</v>
      </c>
      <c r="R347" t="s">
        <v>248</v>
      </c>
      <c r="S347" t="s">
        <v>552</v>
      </c>
      <c r="U347" s="6">
        <v>42125.449629629627</v>
      </c>
      <c r="V347" t="s">
        <v>18</v>
      </c>
      <c r="W347" t="s">
        <v>343</v>
      </c>
      <c r="X347" s="6">
        <v>42045.912534722222</v>
      </c>
      <c r="Y347" t="s">
        <v>122</v>
      </c>
      <c r="AB347" t="s">
        <v>201</v>
      </c>
      <c r="AC347" t="s">
        <v>247</v>
      </c>
      <c r="AD347" t="s">
        <v>220</v>
      </c>
      <c r="AE347" t="s">
        <v>219</v>
      </c>
      <c r="AG347" t="s">
        <v>121</v>
      </c>
      <c r="AH347" t="s">
        <v>327</v>
      </c>
      <c r="AI347" t="s">
        <v>121</v>
      </c>
      <c r="AJ347" t="s">
        <v>717</v>
      </c>
      <c r="AK347" t="s">
        <v>121</v>
      </c>
    </row>
    <row r="348" spans="9:37" x14ac:dyDescent="0.3">
      <c r="I348">
        <f ca="1">IF(OR(INDIRECT(A73&amp;ROW())=B93,INDIRECT(A73&amp;ROW())=B94),1,IF(AND(INDIRECT(A73&amp;ROW())=B95,INDIRECT(A96&amp;ROW())=C93),1,IF(AND(INDIRECT(A73&amp;ROW())=B95,INDIRECT(A96&amp;ROW())=C94),1,0)))</f>
        <v>0</v>
      </c>
      <c r="J348">
        <f ca="1">IF(AND(INDIRECT(A73&amp;ROW())=B95,INDIRECT(A96&amp;ROW())=C95),1,IF(AND(INDIRECT(A73&amp;ROW())=B95,INDIRECT(A96&amp;ROW())=C96),1,0))</f>
        <v>0</v>
      </c>
      <c r="K348">
        <f ca="1">DAYS360(INDIRECT(C68&amp;ROW()),TODAY())</f>
        <v>681</v>
      </c>
      <c r="L348">
        <f ca="1">DAYS360(INDIRECT(C69&amp;ROW()),TODAY())</f>
        <v>802</v>
      </c>
      <c r="M348">
        <f ca="1">HYPERLINK(CONCATENATE("https://bugzilla.houston.hp.com:1181/bugzilla/show_bug.cgi?id=",INDIRECT(C70&amp;ROW())),INDIRECT(C70&amp;ROW()))</f>
        <v>56968</v>
      </c>
      <c r="N348">
        <v>56968</v>
      </c>
      <c r="O348" t="s">
        <v>56</v>
      </c>
      <c r="P348" t="s">
        <v>614</v>
      </c>
      <c r="Q348" t="s">
        <v>16</v>
      </c>
      <c r="R348" t="s">
        <v>248</v>
      </c>
      <c r="S348" t="s">
        <v>552</v>
      </c>
      <c r="U348" s="6">
        <v>42166.355405092596</v>
      </c>
      <c r="V348" t="s">
        <v>18</v>
      </c>
      <c r="W348" t="s">
        <v>341</v>
      </c>
      <c r="X348" s="6">
        <v>42045.915069444447</v>
      </c>
      <c r="Y348" t="s">
        <v>787</v>
      </c>
      <c r="AB348" t="s">
        <v>199</v>
      </c>
      <c r="AC348" t="s">
        <v>247</v>
      </c>
      <c r="AD348" t="s">
        <v>220</v>
      </c>
      <c r="AE348" t="s">
        <v>219</v>
      </c>
      <c r="AG348" t="s">
        <v>588</v>
      </c>
      <c r="AH348" t="s">
        <v>327</v>
      </c>
      <c r="AI348" t="s">
        <v>121</v>
      </c>
      <c r="AJ348" t="s">
        <v>716</v>
      </c>
      <c r="AK348" t="s">
        <v>121</v>
      </c>
    </row>
    <row r="349" spans="9:37" x14ac:dyDescent="0.3">
      <c r="I349">
        <f ca="1">IF(OR(INDIRECT(A73&amp;ROW())=B93,INDIRECT(A73&amp;ROW())=B94),1,IF(AND(INDIRECT(A73&amp;ROW())=B95,INDIRECT(A96&amp;ROW())=C93),1,IF(AND(INDIRECT(A73&amp;ROW())=B95,INDIRECT(A96&amp;ROW())=C94),1,0)))</f>
        <v>0</v>
      </c>
      <c r="J349">
        <f ca="1">IF(AND(INDIRECT(A73&amp;ROW())=B95,INDIRECT(A96&amp;ROW())=C95),1,IF(AND(INDIRECT(A73&amp;ROW())=B95,INDIRECT(A96&amp;ROW())=C96),1,0))</f>
        <v>0</v>
      </c>
      <c r="K349">
        <f ca="1">DAYS360(INDIRECT(C68&amp;ROW()),TODAY())</f>
        <v>721</v>
      </c>
      <c r="L349">
        <f ca="1">DAYS360(INDIRECT(C69&amp;ROW()),TODAY())</f>
        <v>802</v>
      </c>
      <c r="M349">
        <f ca="1">HYPERLINK(CONCATENATE("https://bugzilla.houston.hp.com:1181/bugzilla/show_bug.cgi?id=",INDIRECT(C70&amp;ROW())),INDIRECT(C70&amp;ROW()))</f>
        <v>56969</v>
      </c>
      <c r="N349">
        <v>56969</v>
      </c>
      <c r="O349" t="s">
        <v>56</v>
      </c>
      <c r="P349" t="s">
        <v>613</v>
      </c>
      <c r="Q349" t="s">
        <v>16</v>
      </c>
      <c r="R349" t="s">
        <v>248</v>
      </c>
      <c r="S349" t="s">
        <v>552</v>
      </c>
      <c r="U349" s="6">
        <v>42125.449675925927</v>
      </c>
      <c r="V349" t="s">
        <v>18</v>
      </c>
      <c r="W349" t="s">
        <v>372</v>
      </c>
      <c r="X349" s="6">
        <v>42045.918634259258</v>
      </c>
      <c r="Y349" t="s">
        <v>122</v>
      </c>
      <c r="AB349" t="s">
        <v>200</v>
      </c>
      <c r="AC349" t="s">
        <v>247</v>
      </c>
      <c r="AD349" t="s">
        <v>220</v>
      </c>
      <c r="AE349" t="s">
        <v>219</v>
      </c>
      <c r="AG349" t="s">
        <v>121</v>
      </c>
      <c r="AH349" t="s">
        <v>327</v>
      </c>
      <c r="AI349" t="s">
        <v>121</v>
      </c>
      <c r="AJ349" t="s">
        <v>716</v>
      </c>
      <c r="AK349" t="s">
        <v>121</v>
      </c>
    </row>
    <row r="350" spans="9:37" x14ac:dyDescent="0.3">
      <c r="I350">
        <f ca="1">IF(OR(INDIRECT(A73&amp;ROW())=B93,INDIRECT(A73&amp;ROW())=B94),1,IF(AND(INDIRECT(A73&amp;ROW())=B95,INDIRECT(A96&amp;ROW())=C93),1,IF(AND(INDIRECT(A73&amp;ROW())=B95,INDIRECT(A96&amp;ROW())=C94),1,0)))</f>
        <v>0</v>
      </c>
      <c r="J350">
        <f ca="1">IF(AND(INDIRECT(A73&amp;ROW())=B95,INDIRECT(A96&amp;ROW())=C95),1,IF(AND(INDIRECT(A73&amp;ROW())=B95,INDIRECT(A96&amp;ROW())=C96),1,0))</f>
        <v>0</v>
      </c>
      <c r="K350">
        <f ca="1">DAYS360(INDIRECT(C68&amp;ROW()),TODAY())</f>
        <v>681</v>
      </c>
      <c r="L350">
        <f ca="1">DAYS360(INDIRECT(C69&amp;ROW()),TODAY())</f>
        <v>802</v>
      </c>
      <c r="M350">
        <f ca="1">HYPERLINK(CONCATENATE("https://bugzilla.houston.hp.com:1181/bugzilla/show_bug.cgi?id=",INDIRECT(C70&amp;ROW())),INDIRECT(C70&amp;ROW()))</f>
        <v>56987</v>
      </c>
      <c r="N350">
        <v>56987</v>
      </c>
      <c r="O350" t="s">
        <v>56</v>
      </c>
      <c r="P350" t="s">
        <v>612</v>
      </c>
      <c r="Q350" t="s">
        <v>16</v>
      </c>
      <c r="R350" t="s">
        <v>248</v>
      </c>
      <c r="S350" t="s">
        <v>552</v>
      </c>
      <c r="U350" s="6">
        <v>42166.356261574074</v>
      </c>
      <c r="V350" t="s">
        <v>18</v>
      </c>
      <c r="W350" t="s">
        <v>372</v>
      </c>
      <c r="X350" s="6">
        <v>42045.956643518519</v>
      </c>
      <c r="Y350" t="s">
        <v>119</v>
      </c>
      <c r="AB350" t="s">
        <v>199</v>
      </c>
      <c r="AC350" t="s">
        <v>247</v>
      </c>
      <c r="AD350" t="s">
        <v>220</v>
      </c>
      <c r="AE350" t="s">
        <v>219</v>
      </c>
      <c r="AG350" t="s">
        <v>121</v>
      </c>
      <c r="AH350" t="s">
        <v>327</v>
      </c>
      <c r="AI350" t="s">
        <v>121</v>
      </c>
      <c r="AJ350" t="s">
        <v>716</v>
      </c>
      <c r="AK350" t="s">
        <v>121</v>
      </c>
    </row>
    <row r="351" spans="9:37" x14ac:dyDescent="0.3">
      <c r="I351">
        <f ca="1">IF(OR(INDIRECT(A73&amp;ROW())=B93,INDIRECT(A73&amp;ROW())=B94),1,IF(AND(INDIRECT(A73&amp;ROW())=B95,INDIRECT(A96&amp;ROW())=C93),1,IF(AND(INDIRECT(A73&amp;ROW())=B95,INDIRECT(A96&amp;ROW())=C94),1,0)))</f>
        <v>0</v>
      </c>
      <c r="J351">
        <f ca="1">IF(AND(INDIRECT(A73&amp;ROW())=B95,INDIRECT(A96&amp;ROW())=C95),1,IF(AND(INDIRECT(A73&amp;ROW())=B95,INDIRECT(A96&amp;ROW())=C96),1,0))</f>
        <v>0</v>
      </c>
      <c r="K351">
        <f ca="1">DAYS360(INDIRECT(C68&amp;ROW()),TODAY())</f>
        <v>721</v>
      </c>
      <c r="L351">
        <f ca="1">DAYS360(INDIRECT(C69&amp;ROW()),TODAY())</f>
        <v>801</v>
      </c>
      <c r="M351">
        <f ca="1">HYPERLINK(CONCATENATE("https://bugzilla.houston.hp.com:1181/bugzilla/show_bug.cgi?id=",INDIRECT(C70&amp;ROW())),INDIRECT(C70&amp;ROW()))</f>
        <v>56993</v>
      </c>
      <c r="N351">
        <v>56993</v>
      </c>
      <c r="O351" t="s">
        <v>36</v>
      </c>
      <c r="P351" t="s">
        <v>611</v>
      </c>
      <c r="Q351" t="s">
        <v>16</v>
      </c>
      <c r="R351" t="s">
        <v>248</v>
      </c>
      <c r="S351" t="s">
        <v>552</v>
      </c>
      <c r="U351" s="6">
        <v>42125.443865740737</v>
      </c>
      <c r="V351" t="s">
        <v>18</v>
      </c>
      <c r="W351" t="s">
        <v>211</v>
      </c>
      <c r="X351" s="6">
        <v>42046.006435185183</v>
      </c>
      <c r="Y351" t="s">
        <v>122</v>
      </c>
      <c r="AB351" t="s">
        <v>201</v>
      </c>
      <c r="AC351" t="s">
        <v>121</v>
      </c>
      <c r="AD351" t="s">
        <v>222</v>
      </c>
      <c r="AE351" t="s">
        <v>233</v>
      </c>
      <c r="AG351" t="s">
        <v>121</v>
      </c>
      <c r="AH351" t="s">
        <v>64</v>
      </c>
      <c r="AI351" t="s">
        <v>121</v>
      </c>
      <c r="AJ351" t="s">
        <v>717</v>
      </c>
      <c r="AK351" t="s">
        <v>121</v>
      </c>
    </row>
    <row r="352" spans="9:37" x14ac:dyDescent="0.3">
      <c r="I352">
        <f ca="1">IF(OR(INDIRECT(A73&amp;ROW())=B93,INDIRECT(A73&amp;ROW())=B94),1,IF(AND(INDIRECT(A73&amp;ROW())=B95,INDIRECT(A96&amp;ROW())=C93),1,IF(AND(INDIRECT(A73&amp;ROW())=B95,INDIRECT(A96&amp;ROW())=C94),1,0)))</f>
        <v>0</v>
      </c>
      <c r="J352">
        <f ca="1">IF(AND(INDIRECT(A73&amp;ROW())=B95,INDIRECT(A96&amp;ROW())=C95),1,IF(AND(INDIRECT(A73&amp;ROW())=B95,INDIRECT(A96&amp;ROW())=C96),1,0))</f>
        <v>0</v>
      </c>
      <c r="K352">
        <f ca="1">DAYS360(INDIRECT(C68&amp;ROW()),TODAY())</f>
        <v>729</v>
      </c>
      <c r="L352">
        <f ca="1">DAYS360(INDIRECT(C69&amp;ROW()),TODAY())</f>
        <v>801</v>
      </c>
      <c r="M352">
        <f ca="1">HYPERLINK(CONCATENATE("https://bugzilla.houston.hp.com:1181/bugzilla/show_bug.cgi?id=",INDIRECT(C70&amp;ROW())),INDIRECT(C70&amp;ROW()))</f>
        <v>57016</v>
      </c>
      <c r="N352">
        <v>57016</v>
      </c>
      <c r="O352" t="s">
        <v>241</v>
      </c>
      <c r="P352" t="s">
        <v>737</v>
      </c>
      <c r="Q352" t="s">
        <v>16</v>
      </c>
      <c r="R352" t="s">
        <v>251</v>
      </c>
      <c r="S352" t="s">
        <v>523</v>
      </c>
      <c r="U352" s="6">
        <v>42117.405578703707</v>
      </c>
      <c r="V352" t="s">
        <v>18</v>
      </c>
      <c r="W352" t="s">
        <v>17</v>
      </c>
      <c r="X352" s="6">
        <v>42046.158449074072</v>
      </c>
      <c r="Y352" t="s">
        <v>119</v>
      </c>
      <c r="AB352" t="s">
        <v>200</v>
      </c>
      <c r="AC352" t="s">
        <v>247</v>
      </c>
      <c r="AD352" t="s">
        <v>227</v>
      </c>
      <c r="AE352" t="s">
        <v>226</v>
      </c>
      <c r="AG352" t="s">
        <v>121</v>
      </c>
      <c r="AH352" t="s">
        <v>327</v>
      </c>
      <c r="AI352" t="s">
        <v>121</v>
      </c>
      <c r="AJ352" t="s">
        <v>716</v>
      </c>
      <c r="AK352" t="s">
        <v>121</v>
      </c>
    </row>
    <row r="353" spans="9:37" x14ac:dyDescent="0.3">
      <c r="I353">
        <f ca="1">IF(OR(INDIRECT(A73&amp;ROW())=B93,INDIRECT(A73&amp;ROW())=B94),1,IF(AND(INDIRECT(A73&amp;ROW())=B95,INDIRECT(A96&amp;ROW())=C93),1,IF(AND(INDIRECT(A73&amp;ROW())=B95,INDIRECT(A96&amp;ROW())=C94),1,0)))</f>
        <v>0</v>
      </c>
      <c r="J353">
        <f ca="1">IF(AND(INDIRECT(A73&amp;ROW())=B95,INDIRECT(A96&amp;ROW())=C95),1,IF(AND(INDIRECT(A73&amp;ROW())=B95,INDIRECT(A96&amp;ROW())=C96),1,0))</f>
        <v>0</v>
      </c>
      <c r="K353">
        <f ca="1">DAYS360(INDIRECT(C68&amp;ROW()),TODAY())</f>
        <v>792</v>
      </c>
      <c r="L353">
        <f ca="1">DAYS360(INDIRECT(C69&amp;ROW()),TODAY())</f>
        <v>801</v>
      </c>
      <c r="M353">
        <f ca="1">HYPERLINK(CONCATENATE("https://bugzilla.houston.hp.com:1181/bugzilla/show_bug.cgi?id=",INDIRECT(C70&amp;ROW())),INDIRECT(C70&amp;ROW()))</f>
        <v>57043</v>
      </c>
      <c r="N353">
        <v>57043</v>
      </c>
      <c r="O353" t="s">
        <v>241</v>
      </c>
      <c r="P353" t="s">
        <v>736</v>
      </c>
      <c r="Q353" t="s">
        <v>16</v>
      </c>
      <c r="R353" t="s">
        <v>248</v>
      </c>
      <c r="S353" t="s">
        <v>552</v>
      </c>
      <c r="U353" s="6">
        <v>42055.65824074074</v>
      </c>
      <c r="V353" t="s">
        <v>18</v>
      </c>
      <c r="W353" t="s">
        <v>576</v>
      </c>
      <c r="X353" s="6">
        <v>42046.50708333333</v>
      </c>
      <c r="Y353" t="s">
        <v>119</v>
      </c>
      <c r="AB353" t="s">
        <v>200</v>
      </c>
      <c r="AC353" t="s">
        <v>247</v>
      </c>
      <c r="AD353" t="s">
        <v>227</v>
      </c>
      <c r="AE353" t="s">
        <v>226</v>
      </c>
      <c r="AG353" t="s">
        <v>121</v>
      </c>
      <c r="AH353" t="s">
        <v>327</v>
      </c>
      <c r="AI353" t="s">
        <v>121</v>
      </c>
      <c r="AJ353" t="s">
        <v>716</v>
      </c>
      <c r="AK353" t="s">
        <v>121</v>
      </c>
    </row>
    <row r="354" spans="9:37" x14ac:dyDescent="0.3">
      <c r="I354">
        <f ca="1">IF(OR(INDIRECT(A73&amp;ROW())=B93,INDIRECT(A73&amp;ROW())=B94),1,IF(AND(INDIRECT(A73&amp;ROW())=B95,INDIRECT(A96&amp;ROW())=C93),1,IF(AND(INDIRECT(A73&amp;ROW())=B95,INDIRECT(A96&amp;ROW())=C94),1,0)))</f>
        <v>0</v>
      </c>
      <c r="J354">
        <f ca="1">IF(AND(INDIRECT(A73&amp;ROW())=B95,INDIRECT(A96&amp;ROW())=C95),1,IF(AND(INDIRECT(A73&amp;ROW())=B95,INDIRECT(A96&amp;ROW())=C96),1,0))</f>
        <v>0</v>
      </c>
      <c r="K354">
        <f ca="1">DAYS360(INDIRECT(C68&amp;ROW()),TODAY())</f>
        <v>801</v>
      </c>
      <c r="L354">
        <f ca="1">DAYS360(INDIRECT(C69&amp;ROW()),TODAY())</f>
        <v>801</v>
      </c>
      <c r="M354">
        <f ca="1">HYPERLINK(CONCATENATE("https://bugzilla.houston.hp.com:1181/bugzilla/show_bug.cgi?id=",INDIRECT(C70&amp;ROW())),INDIRECT(C70&amp;ROW()))</f>
        <v>57044</v>
      </c>
      <c r="N354">
        <v>57044</v>
      </c>
      <c r="O354" t="s">
        <v>56</v>
      </c>
      <c r="P354" t="s">
        <v>735</v>
      </c>
      <c r="Q354" t="s">
        <v>16</v>
      </c>
      <c r="R354" t="s">
        <v>248</v>
      </c>
      <c r="S354" t="s">
        <v>552</v>
      </c>
      <c r="U354" s="6">
        <v>42046.507962962962</v>
      </c>
      <c r="V354" t="s">
        <v>18</v>
      </c>
      <c r="W354" t="s">
        <v>173</v>
      </c>
      <c r="X354" s="6">
        <v>42046.507372685184</v>
      </c>
      <c r="Y354" t="s">
        <v>122</v>
      </c>
      <c r="AB354" t="s">
        <v>201</v>
      </c>
      <c r="AC354" t="s">
        <v>247</v>
      </c>
      <c r="AD354" t="s">
        <v>220</v>
      </c>
      <c r="AE354" t="s">
        <v>219</v>
      </c>
      <c r="AG354" t="s">
        <v>121</v>
      </c>
      <c r="AH354" t="s">
        <v>327</v>
      </c>
      <c r="AI354" t="s">
        <v>121</v>
      </c>
      <c r="AJ354" t="s">
        <v>717</v>
      </c>
      <c r="AK354" t="s">
        <v>121</v>
      </c>
    </row>
    <row r="355" spans="9:37" x14ac:dyDescent="0.3">
      <c r="I355">
        <f ca="1">IF(OR(INDIRECT(A73&amp;ROW())=B93,INDIRECT(A73&amp;ROW())=B94),1,IF(AND(INDIRECT(A73&amp;ROW())=B95,INDIRECT(A96&amp;ROW())=C93),1,IF(AND(INDIRECT(A73&amp;ROW())=B95,INDIRECT(A96&amp;ROW())=C94),1,0)))</f>
        <v>0</v>
      </c>
      <c r="J355">
        <f ca="1">IF(AND(INDIRECT(A73&amp;ROW())=B95,INDIRECT(A96&amp;ROW())=C95),1,IF(AND(INDIRECT(A73&amp;ROW())=B95,INDIRECT(A96&amp;ROW())=C96),1,0))</f>
        <v>1</v>
      </c>
      <c r="K355">
        <f ca="1">DAYS360(INDIRECT(C68&amp;ROW()),TODAY())</f>
        <v>681</v>
      </c>
      <c r="L355">
        <f ca="1">DAYS360(INDIRECT(C69&amp;ROW()),TODAY())</f>
        <v>801</v>
      </c>
      <c r="M355">
        <f ca="1">HYPERLINK(CONCATENATE("https://bugzilla.houston.hp.com:1181/bugzilla/show_bug.cgi?id=",INDIRECT(C70&amp;ROW())),INDIRECT(C70&amp;ROW()))</f>
        <v>57045</v>
      </c>
      <c r="N355">
        <v>57045</v>
      </c>
      <c r="O355" t="s">
        <v>56</v>
      </c>
      <c r="P355" t="s">
        <v>734</v>
      </c>
      <c r="Q355" t="s">
        <v>25</v>
      </c>
      <c r="R355" t="s">
        <v>248</v>
      </c>
      <c r="S355" t="s">
        <v>552</v>
      </c>
      <c r="U355" s="6">
        <v>42166.35497685185</v>
      </c>
      <c r="V355" t="s">
        <v>18</v>
      </c>
      <c r="W355" t="s">
        <v>514</v>
      </c>
      <c r="X355" s="6">
        <v>42046.528171296297</v>
      </c>
      <c r="Y355" t="s">
        <v>535</v>
      </c>
      <c r="AB355" t="s">
        <v>201</v>
      </c>
      <c r="AC355" t="s">
        <v>247</v>
      </c>
      <c r="AD355" t="s">
        <v>220</v>
      </c>
      <c r="AE355" t="s">
        <v>219</v>
      </c>
      <c r="AG355" t="s">
        <v>121</v>
      </c>
      <c r="AH355" t="s">
        <v>327</v>
      </c>
      <c r="AI355" t="s">
        <v>121</v>
      </c>
      <c r="AJ355" t="s">
        <v>716</v>
      </c>
      <c r="AK355" t="s">
        <v>121</v>
      </c>
    </row>
    <row r="356" spans="9:37" x14ac:dyDescent="0.3">
      <c r="I356">
        <f ca="1">IF(OR(INDIRECT(A73&amp;ROW())=B93,INDIRECT(A73&amp;ROW())=B94),1,IF(AND(INDIRECT(A73&amp;ROW())=B95,INDIRECT(A96&amp;ROW())=C93),1,IF(AND(INDIRECT(A73&amp;ROW())=B95,INDIRECT(A96&amp;ROW())=C94),1,0)))</f>
        <v>0</v>
      </c>
      <c r="J356">
        <f ca="1">IF(AND(INDIRECT(A73&amp;ROW())=B95,INDIRECT(A96&amp;ROW())=C95),1,IF(AND(INDIRECT(A73&amp;ROW())=B95,INDIRECT(A96&amp;ROW())=C96),1,0))</f>
        <v>1</v>
      </c>
      <c r="K356">
        <f ca="1">DAYS360(INDIRECT(C68&amp;ROW()),TODAY())</f>
        <v>681</v>
      </c>
      <c r="L356">
        <f ca="1">DAYS360(INDIRECT(C69&amp;ROW()),TODAY())</f>
        <v>801</v>
      </c>
      <c r="M356">
        <f ca="1">HYPERLINK(CONCATENATE("https://bugzilla.houston.hp.com:1181/bugzilla/show_bug.cgi?id=",INDIRECT(C70&amp;ROW())),INDIRECT(C70&amp;ROW()))</f>
        <v>57048</v>
      </c>
      <c r="N356">
        <v>57048</v>
      </c>
      <c r="O356" t="s">
        <v>56</v>
      </c>
      <c r="P356" t="s">
        <v>733</v>
      </c>
      <c r="Q356" t="s">
        <v>25</v>
      </c>
      <c r="R356" t="s">
        <v>248</v>
      </c>
      <c r="S356" t="s">
        <v>552</v>
      </c>
      <c r="U356" s="6">
        <v>42166.355069444442</v>
      </c>
      <c r="V356" t="s">
        <v>18</v>
      </c>
      <c r="W356" t="s">
        <v>525</v>
      </c>
      <c r="X356" s="6">
        <v>42046.529097222221</v>
      </c>
      <c r="Y356" t="s">
        <v>255</v>
      </c>
      <c r="AB356" t="s">
        <v>201</v>
      </c>
      <c r="AC356" t="s">
        <v>247</v>
      </c>
      <c r="AD356" t="s">
        <v>220</v>
      </c>
      <c r="AE356" t="s">
        <v>219</v>
      </c>
      <c r="AG356" t="s">
        <v>121</v>
      </c>
      <c r="AH356" t="s">
        <v>327</v>
      </c>
      <c r="AI356" t="s">
        <v>121</v>
      </c>
      <c r="AJ356" t="s">
        <v>716</v>
      </c>
      <c r="AK356" t="s">
        <v>121</v>
      </c>
    </row>
    <row r="357" spans="9:37" x14ac:dyDescent="0.3">
      <c r="I357">
        <f ca="1">IF(OR(INDIRECT(A73&amp;ROW())=B93,INDIRECT(A73&amp;ROW())=B94),1,IF(AND(INDIRECT(A73&amp;ROW())=B95,INDIRECT(A96&amp;ROW())=C93),1,IF(AND(INDIRECT(A73&amp;ROW())=B95,INDIRECT(A96&amp;ROW())=C94),1,0)))</f>
        <v>0</v>
      </c>
      <c r="J357">
        <f ca="1">IF(AND(INDIRECT(A73&amp;ROW())=B95,INDIRECT(A96&amp;ROW())=C95),1,IF(AND(INDIRECT(A73&amp;ROW())=B95,INDIRECT(A96&amp;ROW())=C96),1,0))</f>
        <v>0</v>
      </c>
      <c r="K357">
        <f ca="1">DAYS360(INDIRECT(C68&amp;ROW()),TODAY())</f>
        <v>801</v>
      </c>
      <c r="L357">
        <f ca="1">DAYS360(INDIRECT(C69&amp;ROW()),TODAY())</f>
        <v>801</v>
      </c>
      <c r="M357">
        <f ca="1">HYPERLINK(CONCATENATE("https://bugzilla.houston.hp.com:1181/bugzilla/show_bug.cgi?id=",INDIRECT(C70&amp;ROW())),INDIRECT(C70&amp;ROW()))</f>
        <v>57050</v>
      </c>
      <c r="N357">
        <v>57050</v>
      </c>
      <c r="O357" t="s">
        <v>36</v>
      </c>
      <c r="P357" t="s">
        <v>732</v>
      </c>
      <c r="Q357" t="s">
        <v>16</v>
      </c>
      <c r="R357" t="s">
        <v>248</v>
      </c>
      <c r="S357" t="s">
        <v>552</v>
      </c>
      <c r="U357" s="6">
        <v>42046.538854166669</v>
      </c>
      <c r="V357" t="s">
        <v>18</v>
      </c>
      <c r="W357" t="s">
        <v>248</v>
      </c>
      <c r="X357" s="6">
        <v>42046.529687499999</v>
      </c>
      <c r="Y357" t="s">
        <v>786</v>
      </c>
      <c r="AB357" t="s">
        <v>201</v>
      </c>
      <c r="AC357" t="s">
        <v>247</v>
      </c>
      <c r="AD357" t="s">
        <v>227</v>
      </c>
      <c r="AE357" t="s">
        <v>226</v>
      </c>
      <c r="AG357" t="s">
        <v>121</v>
      </c>
      <c r="AH357" t="s">
        <v>327</v>
      </c>
      <c r="AI357" t="s">
        <v>121</v>
      </c>
      <c r="AJ357" t="s">
        <v>717</v>
      </c>
      <c r="AK357" t="s">
        <v>121</v>
      </c>
    </row>
    <row r="358" spans="9:37" x14ac:dyDescent="0.3">
      <c r="I358">
        <f ca="1">IF(OR(INDIRECT(A73&amp;ROW())=B93,INDIRECT(A73&amp;ROW())=B94),1,IF(AND(INDIRECT(A73&amp;ROW())=B95,INDIRECT(A96&amp;ROW())=C93),1,IF(AND(INDIRECT(A73&amp;ROW())=B95,INDIRECT(A96&amp;ROW())=C94),1,0)))</f>
        <v>0</v>
      </c>
      <c r="J358">
        <f ca="1">IF(AND(INDIRECT(A73&amp;ROW())=B95,INDIRECT(A96&amp;ROW())=C95),1,IF(AND(INDIRECT(A73&amp;ROW())=B95,INDIRECT(A96&amp;ROW())=C96),1,0))</f>
        <v>0</v>
      </c>
      <c r="K358">
        <f ca="1">DAYS360(INDIRECT(C68&amp;ROW()),TODAY())</f>
        <v>769</v>
      </c>
      <c r="L358">
        <f ca="1">DAYS360(INDIRECT(C69&amp;ROW()),TODAY())</f>
        <v>801</v>
      </c>
      <c r="M358">
        <f ca="1">HYPERLINK(CONCATENATE("https://bugzilla.houston.hp.com:1181/bugzilla/show_bug.cgi?id=",INDIRECT(C70&amp;ROW())),INDIRECT(C70&amp;ROW()))</f>
        <v>57052</v>
      </c>
      <c r="N358">
        <v>57052</v>
      </c>
      <c r="O358" t="s">
        <v>56</v>
      </c>
      <c r="P358" t="s">
        <v>731</v>
      </c>
      <c r="Q358" t="s">
        <v>16</v>
      </c>
      <c r="R358" t="s">
        <v>248</v>
      </c>
      <c r="S358" t="s">
        <v>552</v>
      </c>
      <c r="U358" s="6">
        <v>42076.532280092593</v>
      </c>
      <c r="V358" t="s">
        <v>18</v>
      </c>
      <c r="W358" t="s">
        <v>248</v>
      </c>
      <c r="X358" s="6">
        <v>42046.530289351853</v>
      </c>
      <c r="Y358" t="s">
        <v>118</v>
      </c>
      <c r="AB358" t="s">
        <v>199</v>
      </c>
      <c r="AC358" t="s">
        <v>247</v>
      </c>
      <c r="AD358" t="s">
        <v>220</v>
      </c>
      <c r="AE358" t="s">
        <v>219</v>
      </c>
      <c r="AG358" t="s">
        <v>121</v>
      </c>
      <c r="AH358" t="s">
        <v>327</v>
      </c>
      <c r="AI358" t="s">
        <v>121</v>
      </c>
      <c r="AJ358" t="s">
        <v>716</v>
      </c>
      <c r="AK358" t="s">
        <v>121</v>
      </c>
    </row>
    <row r="359" spans="9:37" x14ac:dyDescent="0.3">
      <c r="I359">
        <f ca="1">IF(OR(INDIRECT(A73&amp;ROW())=B93,INDIRECT(A73&amp;ROW())=B94),1,IF(AND(INDIRECT(A73&amp;ROW())=B95,INDIRECT(A96&amp;ROW())=C93),1,IF(AND(INDIRECT(A73&amp;ROW())=B95,INDIRECT(A96&amp;ROW())=C94),1,0)))</f>
        <v>0</v>
      </c>
      <c r="J359">
        <f ca="1">IF(AND(INDIRECT(A73&amp;ROW())=B95,INDIRECT(A96&amp;ROW())=C95),1,IF(AND(INDIRECT(A73&amp;ROW())=B95,INDIRECT(A96&amp;ROW())=C96),1,0))</f>
        <v>0</v>
      </c>
      <c r="K359">
        <f ca="1">DAYS360(INDIRECT(C68&amp;ROW()),TODAY())</f>
        <v>801</v>
      </c>
      <c r="L359">
        <f ca="1">DAYS360(INDIRECT(C69&amp;ROW()),TODAY())</f>
        <v>801</v>
      </c>
      <c r="M359">
        <f ca="1">HYPERLINK(CONCATENATE("https://bugzilla.houston.hp.com:1181/bugzilla/show_bug.cgi?id=",INDIRECT(C70&amp;ROW())),INDIRECT(C70&amp;ROW()))</f>
        <v>57054</v>
      </c>
      <c r="N359">
        <v>57054</v>
      </c>
      <c r="O359" t="s">
        <v>56</v>
      </c>
      <c r="P359" t="s">
        <v>730</v>
      </c>
      <c r="Q359" t="s">
        <v>16</v>
      </c>
      <c r="R359" t="s">
        <v>248</v>
      </c>
      <c r="S359" t="s">
        <v>552</v>
      </c>
      <c r="U359" s="6">
        <v>42046.54010416667</v>
      </c>
      <c r="V359" t="s">
        <v>18</v>
      </c>
      <c r="W359" t="s">
        <v>343</v>
      </c>
      <c r="X359" s="6">
        <v>42046.532210648147</v>
      </c>
      <c r="Y359" t="s">
        <v>246</v>
      </c>
      <c r="AB359" t="s">
        <v>200</v>
      </c>
      <c r="AC359" t="s">
        <v>247</v>
      </c>
      <c r="AD359" t="s">
        <v>220</v>
      </c>
      <c r="AE359" t="s">
        <v>219</v>
      </c>
      <c r="AG359" t="s">
        <v>121</v>
      </c>
      <c r="AH359" t="s">
        <v>327</v>
      </c>
      <c r="AI359" t="s">
        <v>121</v>
      </c>
      <c r="AJ359" t="s">
        <v>716</v>
      </c>
      <c r="AK359" t="s">
        <v>121</v>
      </c>
    </row>
    <row r="360" spans="9:37" x14ac:dyDescent="0.3">
      <c r="I360">
        <f ca="1">IF(OR(INDIRECT(A73&amp;ROW())=B93,INDIRECT(A73&amp;ROW())=B94),1,IF(AND(INDIRECT(A73&amp;ROW())=B95,INDIRECT(A96&amp;ROW())=C93),1,IF(AND(INDIRECT(A73&amp;ROW())=B95,INDIRECT(A96&amp;ROW())=C94),1,0)))</f>
        <v>0</v>
      </c>
      <c r="J360">
        <f ca="1">IF(AND(INDIRECT(A73&amp;ROW())=B95,INDIRECT(A96&amp;ROW())=C95),1,IF(AND(INDIRECT(A73&amp;ROW())=B95,INDIRECT(A96&amp;ROW())=C96),1,0))</f>
        <v>1</v>
      </c>
      <c r="K360">
        <f ca="1">DAYS360(INDIRECT(C68&amp;ROW()),TODAY())</f>
        <v>801</v>
      </c>
      <c r="L360">
        <f ca="1">DAYS360(INDIRECT(C69&amp;ROW()),TODAY())</f>
        <v>801</v>
      </c>
      <c r="M360">
        <f ca="1">HYPERLINK(CONCATENATE("https://bugzilla.houston.hp.com:1181/bugzilla/show_bug.cgi?id=",INDIRECT(C70&amp;ROW())),INDIRECT(C70&amp;ROW()))</f>
        <v>57055</v>
      </c>
      <c r="N360">
        <v>57055</v>
      </c>
      <c r="O360" t="s">
        <v>56</v>
      </c>
      <c r="P360" t="s">
        <v>729</v>
      </c>
      <c r="Q360" t="s">
        <v>25</v>
      </c>
      <c r="R360" t="s">
        <v>248</v>
      </c>
      <c r="S360" t="s">
        <v>552</v>
      </c>
      <c r="U360" s="6">
        <v>42046.577997685185</v>
      </c>
      <c r="V360" t="s">
        <v>18</v>
      </c>
      <c r="W360" t="s">
        <v>288</v>
      </c>
      <c r="X360" s="6">
        <v>42046.533553240741</v>
      </c>
      <c r="Y360" t="s">
        <v>119</v>
      </c>
      <c r="AB360" t="s">
        <v>201</v>
      </c>
      <c r="AC360" t="s">
        <v>121</v>
      </c>
      <c r="AD360" t="s">
        <v>220</v>
      </c>
      <c r="AE360" t="s">
        <v>219</v>
      </c>
      <c r="AF360" s="13">
        <v>41901</v>
      </c>
      <c r="AG360" t="s">
        <v>121</v>
      </c>
      <c r="AH360" t="s">
        <v>64</v>
      </c>
      <c r="AI360" t="s">
        <v>363</v>
      </c>
      <c r="AJ360" t="s">
        <v>716</v>
      </c>
      <c r="AK360" t="s">
        <v>121</v>
      </c>
    </row>
    <row r="361" spans="9:37" x14ac:dyDescent="0.3">
      <c r="I361">
        <f ca="1">IF(OR(INDIRECT(A73&amp;ROW())=B93,INDIRECT(A73&amp;ROW())=B94),1,IF(AND(INDIRECT(A73&amp;ROW())=B95,INDIRECT(A96&amp;ROW())=C93),1,IF(AND(INDIRECT(A73&amp;ROW())=B95,INDIRECT(A96&amp;ROW())=C94),1,0)))</f>
        <v>1</v>
      </c>
      <c r="J361">
        <f ca="1">IF(AND(INDIRECT(A73&amp;ROW())=B95,INDIRECT(A96&amp;ROW())=C95),1,IF(AND(INDIRECT(A73&amp;ROW())=B95,INDIRECT(A96&amp;ROW())=C96),1,0))</f>
        <v>0</v>
      </c>
      <c r="K361">
        <f ca="1">DAYS360(INDIRECT(C68&amp;ROW()),TODAY())</f>
        <v>800</v>
      </c>
      <c r="L361">
        <f ca="1">DAYS360(INDIRECT(C69&amp;ROW()),TODAY())</f>
        <v>801</v>
      </c>
      <c r="M361">
        <f ca="1">HYPERLINK(CONCATENATE("https://bugzilla.houston.hp.com:1181/bugzilla/show_bug.cgi?id=",INDIRECT(C70&amp;ROW())),INDIRECT(C70&amp;ROW()))</f>
        <v>57057</v>
      </c>
      <c r="N361">
        <v>57057</v>
      </c>
      <c r="O361" t="s">
        <v>36</v>
      </c>
      <c r="P361" t="s">
        <v>728</v>
      </c>
      <c r="Q361" t="s">
        <v>25</v>
      </c>
      <c r="R361" t="s">
        <v>248</v>
      </c>
      <c r="S361" t="s">
        <v>552</v>
      </c>
      <c r="U361" s="6">
        <v>42047.953125</v>
      </c>
      <c r="V361" t="s">
        <v>18</v>
      </c>
      <c r="W361" t="s">
        <v>260</v>
      </c>
      <c r="X361" s="6">
        <v>42046.534212962964</v>
      </c>
      <c r="Y361" t="s">
        <v>119</v>
      </c>
      <c r="AB361" t="s">
        <v>200</v>
      </c>
      <c r="AC361" t="s">
        <v>121</v>
      </c>
      <c r="AD361" t="s">
        <v>222</v>
      </c>
      <c r="AE361" t="s">
        <v>233</v>
      </c>
      <c r="AF361" s="13">
        <v>41878</v>
      </c>
      <c r="AG361" t="s">
        <v>121</v>
      </c>
      <c r="AH361" t="s">
        <v>64</v>
      </c>
      <c r="AI361" t="s">
        <v>362</v>
      </c>
      <c r="AJ361" t="s">
        <v>715</v>
      </c>
      <c r="AK361" t="s">
        <v>121</v>
      </c>
    </row>
    <row r="362" spans="9:37" x14ac:dyDescent="0.3">
      <c r="I362">
        <f ca="1">IF(OR(INDIRECT(A73&amp;ROW())=B93,INDIRECT(A73&amp;ROW())=B94),1,IF(AND(INDIRECT(A73&amp;ROW())=B95,INDIRECT(A96&amp;ROW())=C93),1,IF(AND(INDIRECT(A73&amp;ROW())=B95,INDIRECT(A96&amp;ROW())=C94),1,0)))</f>
        <v>0</v>
      </c>
      <c r="J362">
        <f ca="1">IF(AND(INDIRECT(A73&amp;ROW())=B95,INDIRECT(A96&amp;ROW())=C95),1,IF(AND(INDIRECT(A73&amp;ROW())=B95,INDIRECT(A96&amp;ROW())=C96),1,0))</f>
        <v>0</v>
      </c>
      <c r="K362">
        <f ca="1">DAYS360(INDIRECT(C68&amp;ROW()),TODAY())</f>
        <v>721</v>
      </c>
      <c r="L362">
        <f ca="1">DAYS360(INDIRECT(C69&amp;ROW()),TODAY())</f>
        <v>801</v>
      </c>
      <c r="M362">
        <f ca="1">HYPERLINK(CONCATENATE("https://bugzilla.houston.hp.com:1181/bugzilla/show_bug.cgi?id=",INDIRECT(C70&amp;ROW())),INDIRECT(C70&amp;ROW()))</f>
        <v>57058</v>
      </c>
      <c r="N362">
        <v>57058</v>
      </c>
      <c r="O362" t="s">
        <v>56</v>
      </c>
      <c r="P362" t="s">
        <v>727</v>
      </c>
      <c r="Q362" t="s">
        <v>16</v>
      </c>
      <c r="R362" t="s">
        <v>248</v>
      </c>
      <c r="S362" t="s">
        <v>552</v>
      </c>
      <c r="U362" s="6">
        <v>42125.447685185187</v>
      </c>
      <c r="V362" t="s">
        <v>18</v>
      </c>
      <c r="W362" t="s">
        <v>343</v>
      </c>
      <c r="X362" s="6">
        <v>42046.534537037034</v>
      </c>
      <c r="Y362" t="s">
        <v>122</v>
      </c>
      <c r="AB362" t="s">
        <v>201</v>
      </c>
      <c r="AC362" t="s">
        <v>247</v>
      </c>
      <c r="AD362" t="s">
        <v>220</v>
      </c>
      <c r="AE362" t="s">
        <v>219</v>
      </c>
      <c r="AG362" t="s">
        <v>121</v>
      </c>
      <c r="AH362" t="s">
        <v>327</v>
      </c>
      <c r="AI362" t="s">
        <v>121</v>
      </c>
      <c r="AJ362" t="s">
        <v>717</v>
      </c>
      <c r="AK362" t="s">
        <v>121</v>
      </c>
    </row>
    <row r="363" spans="9:37" x14ac:dyDescent="0.3">
      <c r="I363">
        <f ca="1">IF(OR(INDIRECT(A73&amp;ROW())=B93,INDIRECT(A73&amp;ROW())=B94),1,IF(AND(INDIRECT(A73&amp;ROW())=B95,INDIRECT(A96&amp;ROW())=C93),1,IF(AND(INDIRECT(A73&amp;ROW())=B95,INDIRECT(A96&amp;ROW())=C94),1,0)))</f>
        <v>0</v>
      </c>
      <c r="J363">
        <f ca="1">IF(AND(INDIRECT(A73&amp;ROW())=B95,INDIRECT(A96&amp;ROW())=C95),1,IF(AND(INDIRECT(A73&amp;ROW())=B95,INDIRECT(A96&amp;ROW())=C96),1,0))</f>
        <v>0</v>
      </c>
      <c r="K363">
        <f ca="1">DAYS360(INDIRECT(C68&amp;ROW()),TODAY())</f>
        <v>721</v>
      </c>
      <c r="L363">
        <f ca="1">DAYS360(INDIRECT(C69&amp;ROW()),TODAY())</f>
        <v>801</v>
      </c>
      <c r="M363">
        <f ca="1">HYPERLINK(CONCATENATE("https://bugzilla.houston.hp.com:1181/bugzilla/show_bug.cgi?id=",INDIRECT(C70&amp;ROW())),INDIRECT(C70&amp;ROW()))</f>
        <v>57061</v>
      </c>
      <c r="N363">
        <v>57061</v>
      </c>
      <c r="O363" t="s">
        <v>56</v>
      </c>
      <c r="P363" t="s">
        <v>726</v>
      </c>
      <c r="Q363" t="s">
        <v>16</v>
      </c>
      <c r="R363" t="s">
        <v>248</v>
      </c>
      <c r="S363" t="s">
        <v>552</v>
      </c>
      <c r="U363" s="6">
        <v>42125.443958333337</v>
      </c>
      <c r="V363" t="s">
        <v>18</v>
      </c>
      <c r="W363" t="s">
        <v>355</v>
      </c>
      <c r="X363" s="6">
        <v>42046.535856481481</v>
      </c>
      <c r="Y363" t="s">
        <v>122</v>
      </c>
      <c r="AB363" t="s">
        <v>200</v>
      </c>
      <c r="AC363" t="s">
        <v>121</v>
      </c>
      <c r="AD363" t="s">
        <v>220</v>
      </c>
      <c r="AE363" t="s">
        <v>219</v>
      </c>
      <c r="AG363" t="s">
        <v>121</v>
      </c>
      <c r="AH363" t="s">
        <v>327</v>
      </c>
      <c r="AI363" t="s">
        <v>121</v>
      </c>
      <c r="AJ363" t="s">
        <v>716</v>
      </c>
      <c r="AK363" t="s">
        <v>121</v>
      </c>
    </row>
    <row r="364" spans="9:37" x14ac:dyDescent="0.3">
      <c r="I364">
        <f ca="1">IF(OR(INDIRECT(A73&amp;ROW())=B93,INDIRECT(A73&amp;ROW())=B94),1,IF(AND(INDIRECT(A73&amp;ROW())=B95,INDIRECT(A96&amp;ROW())=C93),1,IF(AND(INDIRECT(A73&amp;ROW())=B95,INDIRECT(A96&amp;ROW())=C94),1,0)))</f>
        <v>0</v>
      </c>
      <c r="J364">
        <f ca="1">IF(AND(INDIRECT(A73&amp;ROW())=B95,INDIRECT(A96&amp;ROW())=C95),1,IF(AND(INDIRECT(A73&amp;ROW())=B95,INDIRECT(A96&amp;ROW())=C96),1,0))</f>
        <v>0</v>
      </c>
      <c r="K364">
        <f ca="1">DAYS360(INDIRECT(C68&amp;ROW()),TODAY())</f>
        <v>721</v>
      </c>
      <c r="L364">
        <f ca="1">DAYS360(INDIRECT(C69&amp;ROW()),TODAY())</f>
        <v>801</v>
      </c>
      <c r="M364">
        <f ca="1">HYPERLINK(CONCATENATE("https://bugzilla.houston.hp.com:1181/bugzilla/show_bug.cgi?id=",INDIRECT(C70&amp;ROW())),INDIRECT(C70&amp;ROW()))</f>
        <v>57062</v>
      </c>
      <c r="N364">
        <v>57062</v>
      </c>
      <c r="O364" t="s">
        <v>56</v>
      </c>
      <c r="P364" t="s">
        <v>725</v>
      </c>
      <c r="Q364" t="s">
        <v>16</v>
      </c>
      <c r="R364" t="s">
        <v>248</v>
      </c>
      <c r="S364" t="s">
        <v>552</v>
      </c>
      <c r="U364" s="6">
        <v>42125.443865740737</v>
      </c>
      <c r="V364" t="s">
        <v>18</v>
      </c>
      <c r="W364" t="s">
        <v>215</v>
      </c>
      <c r="X364" s="6">
        <v>42046.536157407405</v>
      </c>
      <c r="Y364" t="s">
        <v>122</v>
      </c>
      <c r="AB364" t="s">
        <v>200</v>
      </c>
      <c r="AC364" t="s">
        <v>247</v>
      </c>
      <c r="AD364" t="s">
        <v>220</v>
      </c>
      <c r="AE364" t="s">
        <v>219</v>
      </c>
      <c r="AG364" t="s">
        <v>121</v>
      </c>
      <c r="AH364" t="s">
        <v>327</v>
      </c>
      <c r="AI364" t="s">
        <v>121</v>
      </c>
      <c r="AJ364" t="s">
        <v>716</v>
      </c>
      <c r="AK364" t="s">
        <v>121</v>
      </c>
    </row>
    <row r="365" spans="9:37" x14ac:dyDescent="0.3">
      <c r="I365">
        <f ca="1">IF(OR(INDIRECT(A73&amp;ROW())=B93,INDIRECT(A73&amp;ROW())=B94),1,IF(AND(INDIRECT(A73&amp;ROW())=B95,INDIRECT(A96&amp;ROW())=C93),1,IF(AND(INDIRECT(A73&amp;ROW())=B95,INDIRECT(A96&amp;ROW())=C94),1,0)))</f>
        <v>0</v>
      </c>
      <c r="J365">
        <f ca="1">IF(AND(INDIRECT(A73&amp;ROW())=B95,INDIRECT(A96&amp;ROW())=C95),1,IF(AND(INDIRECT(A73&amp;ROW())=B95,INDIRECT(A96&amp;ROW())=C96),1,0))</f>
        <v>0</v>
      </c>
      <c r="K365">
        <f ca="1">DAYS360(INDIRECT(C68&amp;ROW()),TODAY())</f>
        <v>684</v>
      </c>
      <c r="L365">
        <f ca="1">DAYS360(INDIRECT(C69&amp;ROW()),TODAY())</f>
        <v>801</v>
      </c>
      <c r="M365">
        <f ca="1">HYPERLINK(CONCATENATE("https://bugzilla.houston.hp.com:1181/bugzilla/show_bug.cgi?id=",INDIRECT(C70&amp;ROW())),INDIRECT(C70&amp;ROW()))</f>
        <v>57063</v>
      </c>
      <c r="N365">
        <v>57063</v>
      </c>
      <c r="O365" t="s">
        <v>56</v>
      </c>
      <c r="P365" t="s">
        <v>724</v>
      </c>
      <c r="Q365" t="s">
        <v>16</v>
      </c>
      <c r="R365" t="s">
        <v>248</v>
      </c>
      <c r="S365" t="s">
        <v>552</v>
      </c>
      <c r="T365" t="s">
        <v>842</v>
      </c>
      <c r="U365" s="6">
        <v>42163.610300925924</v>
      </c>
      <c r="V365" t="s">
        <v>18</v>
      </c>
      <c r="W365" t="s">
        <v>248</v>
      </c>
      <c r="X365" s="6">
        <v>42046.541284722225</v>
      </c>
      <c r="Y365" t="s">
        <v>785</v>
      </c>
      <c r="AB365" t="s">
        <v>200</v>
      </c>
      <c r="AC365" t="s">
        <v>247</v>
      </c>
      <c r="AD365" t="s">
        <v>220</v>
      </c>
      <c r="AE365" t="s">
        <v>219</v>
      </c>
      <c r="AG365" t="s">
        <v>121</v>
      </c>
      <c r="AH365" t="s">
        <v>327</v>
      </c>
      <c r="AI365" t="s">
        <v>121</v>
      </c>
      <c r="AJ365" t="s">
        <v>716</v>
      </c>
      <c r="AK365" t="s">
        <v>121</v>
      </c>
    </row>
    <row r="366" spans="9:37" x14ac:dyDescent="0.3">
      <c r="I366">
        <f ca="1">IF(OR(INDIRECT(A73&amp;ROW())=B93,INDIRECT(A73&amp;ROW())=B94),1,IF(AND(INDIRECT(A73&amp;ROW())=B95,INDIRECT(A96&amp;ROW())=C93),1,IF(AND(INDIRECT(A73&amp;ROW())=B95,INDIRECT(A96&amp;ROW())=C94),1,0)))</f>
        <v>1</v>
      </c>
      <c r="J366">
        <f ca="1">IF(AND(INDIRECT(A73&amp;ROW())=B95,INDIRECT(A96&amp;ROW())=C95),1,IF(AND(INDIRECT(A73&amp;ROW())=B95,INDIRECT(A96&amp;ROW())=C96),1,0))</f>
        <v>0</v>
      </c>
      <c r="K366">
        <f ca="1">DAYS360(INDIRECT(C68&amp;ROW()),TODAY())</f>
        <v>675</v>
      </c>
      <c r="L366">
        <f ca="1">DAYS360(INDIRECT(C69&amp;ROW()),TODAY())</f>
        <v>801</v>
      </c>
      <c r="M366">
        <f ca="1">HYPERLINK(CONCATENATE("https://bugzilla.houston.hp.com:1181/bugzilla/show_bug.cgi?id=",INDIRECT(C70&amp;ROW())),INDIRECT(C70&amp;ROW()))</f>
        <v>57072</v>
      </c>
      <c r="N366">
        <v>57072</v>
      </c>
      <c r="O366" t="s">
        <v>241</v>
      </c>
      <c r="P366" t="s">
        <v>723</v>
      </c>
      <c r="Q366" t="s">
        <v>39</v>
      </c>
      <c r="R366" t="s">
        <v>251</v>
      </c>
      <c r="S366" t="s">
        <v>24</v>
      </c>
      <c r="U366" s="6">
        <v>42172.323553240742</v>
      </c>
      <c r="V366" t="s">
        <v>18</v>
      </c>
      <c r="W366" t="s">
        <v>17</v>
      </c>
      <c r="X366" s="6">
        <v>42046.616006944445</v>
      </c>
      <c r="Y366" t="s">
        <v>535</v>
      </c>
      <c r="AB366" t="s">
        <v>201</v>
      </c>
      <c r="AC366" t="s">
        <v>247</v>
      </c>
      <c r="AD366" t="s">
        <v>222</v>
      </c>
      <c r="AE366" t="s">
        <v>221</v>
      </c>
      <c r="AG366" t="s">
        <v>121</v>
      </c>
      <c r="AH366" t="s">
        <v>327</v>
      </c>
      <c r="AI366" t="s">
        <v>121</v>
      </c>
      <c r="AJ366" t="s">
        <v>715</v>
      </c>
      <c r="AK366" t="s">
        <v>121</v>
      </c>
    </row>
    <row r="367" spans="9:37" x14ac:dyDescent="0.3">
      <c r="I367">
        <f ca="1">IF(OR(INDIRECT(A73&amp;ROW())=B93,INDIRECT(A73&amp;ROW())=B94),1,IF(AND(INDIRECT(A73&amp;ROW())=B95,INDIRECT(A96&amp;ROW())=C93),1,IF(AND(INDIRECT(A73&amp;ROW())=B95,INDIRECT(A96&amp;ROW())=C94),1,0)))</f>
        <v>1</v>
      </c>
      <c r="J367">
        <f ca="1">IF(AND(INDIRECT(A73&amp;ROW())=B95,INDIRECT(A96&amp;ROW())=C95),1,IF(AND(INDIRECT(A73&amp;ROW())=B95,INDIRECT(A96&amp;ROW())=C96),1,0))</f>
        <v>0</v>
      </c>
      <c r="K367">
        <f ca="1">DAYS360(INDIRECT(C68&amp;ROW()),TODAY())</f>
        <v>676</v>
      </c>
      <c r="L367">
        <f ca="1">DAYS360(INDIRECT(C69&amp;ROW()),TODAY())</f>
        <v>801</v>
      </c>
      <c r="M367">
        <f ca="1">HYPERLINK(CONCATENATE("https://bugzilla.houston.hp.com:1181/bugzilla/show_bug.cgi?id=",INDIRECT(C70&amp;ROW())),INDIRECT(C70&amp;ROW()))</f>
        <v>57075</v>
      </c>
      <c r="N367">
        <v>57075</v>
      </c>
      <c r="O367" t="s">
        <v>241</v>
      </c>
      <c r="P367" t="s">
        <v>722</v>
      </c>
      <c r="Q367" t="s">
        <v>39</v>
      </c>
      <c r="R367" t="s">
        <v>579</v>
      </c>
      <c r="S367" t="s">
        <v>552</v>
      </c>
      <c r="T367" t="s">
        <v>820</v>
      </c>
      <c r="U367" s="6">
        <v>42171.549432870372</v>
      </c>
      <c r="V367" t="s">
        <v>40</v>
      </c>
      <c r="W367" t="s">
        <v>576</v>
      </c>
      <c r="X367" s="6">
        <v>42046.66238425926</v>
      </c>
      <c r="Y367" t="s">
        <v>535</v>
      </c>
      <c r="AB367" t="s">
        <v>201</v>
      </c>
      <c r="AC367" t="s">
        <v>247</v>
      </c>
      <c r="AD367" t="s">
        <v>227</v>
      </c>
      <c r="AE367" t="s">
        <v>237</v>
      </c>
      <c r="AG367" t="s">
        <v>121</v>
      </c>
      <c r="AH367" t="s">
        <v>327</v>
      </c>
      <c r="AI367" t="s">
        <v>362</v>
      </c>
      <c r="AJ367" t="s">
        <v>715</v>
      </c>
      <c r="AK367" t="s">
        <v>121</v>
      </c>
    </row>
    <row r="368" spans="9:37" x14ac:dyDescent="0.3">
      <c r="I368">
        <f ca="1">IF(OR(INDIRECT(A73&amp;ROW())=B93,INDIRECT(A73&amp;ROW())=B94),1,IF(AND(INDIRECT(A73&amp;ROW())=B95,INDIRECT(A96&amp;ROW())=C93),1,IF(AND(INDIRECT(A73&amp;ROW())=B95,INDIRECT(A96&amp;ROW())=C94),1,0)))</f>
        <v>1</v>
      </c>
      <c r="J368">
        <f ca="1">IF(AND(INDIRECT(A73&amp;ROW())=B95,INDIRECT(A96&amp;ROW())=C95),1,IF(AND(INDIRECT(A73&amp;ROW())=B95,INDIRECT(A96&amp;ROW())=C96),1,0))</f>
        <v>0</v>
      </c>
      <c r="K368">
        <f ca="1">DAYS360(INDIRECT(C68&amp;ROW()),TODAY())</f>
        <v>676</v>
      </c>
      <c r="L368">
        <f ca="1">DAYS360(INDIRECT(C69&amp;ROW()),TODAY())</f>
        <v>801</v>
      </c>
      <c r="M368">
        <f ca="1">HYPERLINK(CONCATENATE("https://bugzilla.houston.hp.com:1181/bugzilla/show_bug.cgi?id=",INDIRECT(C70&amp;ROW())),INDIRECT(C70&amp;ROW()))</f>
        <v>57076</v>
      </c>
      <c r="N368">
        <v>57076</v>
      </c>
      <c r="O368" t="s">
        <v>241</v>
      </c>
      <c r="P368" t="s">
        <v>721</v>
      </c>
      <c r="Q368" t="s">
        <v>39</v>
      </c>
      <c r="R368" t="s">
        <v>248</v>
      </c>
      <c r="S368" t="s">
        <v>552</v>
      </c>
      <c r="U368" s="6">
        <v>42171.548877314817</v>
      </c>
      <c r="V368" t="s">
        <v>40</v>
      </c>
      <c r="W368" t="s">
        <v>248</v>
      </c>
      <c r="X368" s="6">
        <v>42046.666458333333</v>
      </c>
      <c r="Y368" t="s">
        <v>535</v>
      </c>
      <c r="AB368" t="s">
        <v>201</v>
      </c>
      <c r="AC368" t="s">
        <v>247</v>
      </c>
      <c r="AD368" t="s">
        <v>227</v>
      </c>
      <c r="AE368" t="s">
        <v>237</v>
      </c>
      <c r="AG368" t="s">
        <v>121</v>
      </c>
      <c r="AH368" t="s">
        <v>327</v>
      </c>
      <c r="AI368" t="s">
        <v>121</v>
      </c>
      <c r="AJ368" t="s">
        <v>715</v>
      </c>
      <c r="AK368" t="s">
        <v>121</v>
      </c>
    </row>
    <row r="369" spans="9:37" x14ac:dyDescent="0.3">
      <c r="I369">
        <f ca="1">IF(OR(INDIRECT(A73&amp;ROW())=B93,INDIRECT(A73&amp;ROW())=B94),1,IF(AND(INDIRECT(A73&amp;ROW())=B95,INDIRECT(A96&amp;ROW())=C93),1,IF(AND(INDIRECT(A73&amp;ROW())=B95,INDIRECT(A96&amp;ROW())=C94),1,0)))</f>
        <v>1</v>
      </c>
      <c r="J369">
        <f ca="1">IF(AND(INDIRECT(A73&amp;ROW())=B95,INDIRECT(A96&amp;ROW())=C95),1,IF(AND(INDIRECT(A73&amp;ROW())=B95,INDIRECT(A96&amp;ROW())=C96),1,0))</f>
        <v>0</v>
      </c>
      <c r="K369">
        <f ca="1">DAYS360(INDIRECT(C68&amp;ROW()),TODAY())</f>
        <v>681</v>
      </c>
      <c r="L369">
        <f ca="1">DAYS360(INDIRECT(C69&amp;ROW()),TODAY())</f>
        <v>800</v>
      </c>
      <c r="M369">
        <f ca="1">HYPERLINK(CONCATENATE("https://bugzilla.houston.hp.com:1181/bugzilla/show_bug.cgi?id=",INDIRECT(C70&amp;ROW())),INDIRECT(C70&amp;ROW()))</f>
        <v>57153</v>
      </c>
      <c r="N369">
        <v>57153</v>
      </c>
      <c r="O369" t="s">
        <v>53</v>
      </c>
      <c r="P369" t="s">
        <v>720</v>
      </c>
      <c r="Q369" t="s">
        <v>39</v>
      </c>
      <c r="R369" t="s">
        <v>251</v>
      </c>
      <c r="S369" t="s">
        <v>43</v>
      </c>
      <c r="U369" s="6">
        <v>42166.734016203707</v>
      </c>
      <c r="V369" t="s">
        <v>18</v>
      </c>
      <c r="W369" t="s">
        <v>17</v>
      </c>
      <c r="X369" s="6">
        <v>42047.550046296295</v>
      </c>
      <c r="Y369" t="s">
        <v>122</v>
      </c>
      <c r="Z369" t="s">
        <v>190</v>
      </c>
      <c r="AB369" t="s">
        <v>201</v>
      </c>
      <c r="AC369" t="s">
        <v>247</v>
      </c>
      <c r="AD369" t="s">
        <v>220</v>
      </c>
      <c r="AE369" t="s">
        <v>219</v>
      </c>
      <c r="AG369" t="s">
        <v>121</v>
      </c>
      <c r="AH369" t="s">
        <v>327</v>
      </c>
      <c r="AI369" t="s">
        <v>121</v>
      </c>
      <c r="AJ369" t="s">
        <v>715</v>
      </c>
      <c r="AK369" t="s">
        <v>121</v>
      </c>
    </row>
    <row r="370" spans="9:37" x14ac:dyDescent="0.3">
      <c r="I370">
        <f ca="1">IF(OR(INDIRECT(A73&amp;ROW())=B93,INDIRECT(A73&amp;ROW())=B94),1,IF(AND(INDIRECT(A73&amp;ROW())=B95,INDIRECT(A96&amp;ROW())=C93),1,IF(AND(INDIRECT(A73&amp;ROW())=B95,INDIRECT(A96&amp;ROW())=C94),1,0)))</f>
        <v>0</v>
      </c>
      <c r="J370">
        <f ca="1">IF(AND(INDIRECT(A73&amp;ROW())=B95,INDIRECT(A96&amp;ROW())=C95),1,IF(AND(INDIRECT(A73&amp;ROW())=B95,INDIRECT(A96&amp;ROW())=C96),1,0))</f>
        <v>1</v>
      </c>
      <c r="K370">
        <f ca="1">DAYS360(INDIRECT(C68&amp;ROW()),TODAY())</f>
        <v>752</v>
      </c>
      <c r="L370">
        <f ca="1">DAYS360(INDIRECT(C69&amp;ROW()),TODAY())</f>
        <v>795</v>
      </c>
      <c r="M370">
        <f ca="1">HYPERLINK(CONCATENATE("https://bugzilla.houston.hp.com:1181/bugzilla/show_bug.cgi?id=",INDIRECT(C70&amp;ROW())),INDIRECT(C70&amp;ROW()))</f>
        <v>57333</v>
      </c>
      <c r="N370">
        <v>57333</v>
      </c>
      <c r="O370" t="s">
        <v>56</v>
      </c>
      <c r="P370" t="s">
        <v>745</v>
      </c>
      <c r="Q370" t="s">
        <v>25</v>
      </c>
      <c r="R370" t="s">
        <v>579</v>
      </c>
      <c r="S370" t="s">
        <v>236</v>
      </c>
      <c r="T370" t="s">
        <v>610</v>
      </c>
      <c r="U370" s="6">
        <v>42093.363055555557</v>
      </c>
      <c r="V370" t="s">
        <v>18</v>
      </c>
      <c r="W370" t="s">
        <v>514</v>
      </c>
      <c r="X370" s="6">
        <v>42052.780381944445</v>
      </c>
      <c r="Y370" t="s">
        <v>535</v>
      </c>
      <c r="AB370" t="s">
        <v>201</v>
      </c>
      <c r="AC370" t="s">
        <v>247</v>
      </c>
      <c r="AD370" t="s">
        <v>220</v>
      </c>
      <c r="AE370" t="s">
        <v>219</v>
      </c>
      <c r="AG370" t="s">
        <v>121</v>
      </c>
      <c r="AH370" t="s">
        <v>327</v>
      </c>
      <c r="AI370" t="s">
        <v>362</v>
      </c>
      <c r="AJ370" t="s">
        <v>716</v>
      </c>
      <c r="AK370" t="s">
        <v>121</v>
      </c>
    </row>
    <row r="371" spans="9:37" x14ac:dyDescent="0.3">
      <c r="I371">
        <f ca="1">IF(OR(INDIRECT(A73&amp;ROW())=B93,INDIRECT(A73&amp;ROW())=B94),1,IF(AND(INDIRECT(A73&amp;ROW())=B95,INDIRECT(A96&amp;ROW())=C93),1,IF(AND(INDIRECT(A73&amp;ROW())=B95,INDIRECT(A96&amp;ROW())=C94),1,0)))</f>
        <v>1</v>
      </c>
      <c r="J371">
        <f ca="1">IF(AND(INDIRECT(A73&amp;ROW())=B95,INDIRECT(A96&amp;ROW())=C95),1,IF(AND(INDIRECT(A73&amp;ROW())=B95,INDIRECT(A96&amp;ROW())=C96),1,0))</f>
        <v>0</v>
      </c>
      <c r="K371">
        <f ca="1">DAYS360(INDIRECT(C68&amp;ROW()),TODAY())</f>
        <v>677</v>
      </c>
      <c r="L371">
        <f ca="1">DAYS360(INDIRECT(C69&amp;ROW()),TODAY())</f>
        <v>794</v>
      </c>
      <c r="M371">
        <f ca="1">HYPERLINK(CONCATENATE("https://bugzilla.houston.hp.com:1181/bugzilla/show_bug.cgi?id=",INDIRECT(C70&amp;ROW())),INDIRECT(C70&amp;ROW()))</f>
        <v>57398</v>
      </c>
      <c r="N371">
        <v>57398</v>
      </c>
      <c r="O371" t="s">
        <v>43</v>
      </c>
      <c r="P371" t="s">
        <v>747</v>
      </c>
      <c r="Q371" t="s">
        <v>39</v>
      </c>
      <c r="R371" t="s">
        <v>248</v>
      </c>
      <c r="S371" t="s">
        <v>552</v>
      </c>
      <c r="U371" s="6">
        <v>42170.558611111112</v>
      </c>
      <c r="V371" t="s">
        <v>18</v>
      </c>
      <c r="W371" t="s">
        <v>372</v>
      </c>
      <c r="X371" s="6">
        <v>42053.567245370374</v>
      </c>
      <c r="Y371" t="s">
        <v>122</v>
      </c>
      <c r="AB371" t="s">
        <v>201</v>
      </c>
      <c r="AC371" t="s">
        <v>247</v>
      </c>
      <c r="AD371" t="s">
        <v>220</v>
      </c>
      <c r="AE371" t="s">
        <v>219</v>
      </c>
      <c r="AG371" t="s">
        <v>121</v>
      </c>
      <c r="AH371" t="s">
        <v>327</v>
      </c>
      <c r="AI371" t="s">
        <v>121</v>
      </c>
      <c r="AJ371" t="s">
        <v>715</v>
      </c>
      <c r="AK371" t="s">
        <v>121</v>
      </c>
    </row>
    <row r="372" spans="9:37" x14ac:dyDescent="0.3">
      <c r="I372">
        <f ca="1">IF(OR(INDIRECT(A73&amp;ROW())=B93,INDIRECT(A73&amp;ROW())=B94),1,IF(AND(INDIRECT(A73&amp;ROW())=B95,INDIRECT(A96&amp;ROW())=C93),1,IF(AND(INDIRECT(A73&amp;ROW())=B95,INDIRECT(A96&amp;ROW())=C94),1,0)))</f>
        <v>0</v>
      </c>
      <c r="J372">
        <f ca="1">IF(AND(INDIRECT(A73&amp;ROW())=B95,INDIRECT(A96&amp;ROW())=C95),1,IF(AND(INDIRECT(A73&amp;ROW())=B95,INDIRECT(A96&amp;ROW())=C96),1,0))</f>
        <v>0</v>
      </c>
      <c r="K372">
        <f ca="1">DAYS360(INDIRECT(C68&amp;ROW()),TODAY())</f>
        <v>769</v>
      </c>
      <c r="L372">
        <f ca="1">DAYS360(INDIRECT(C69&amp;ROW()),TODAY())</f>
        <v>793</v>
      </c>
      <c r="M372">
        <f ca="1">HYPERLINK(CONCATENATE("https://bugzilla.houston.hp.com:1181/bugzilla/show_bug.cgi?id=",INDIRECT(C70&amp;ROW())),INDIRECT(C70&amp;ROW()))</f>
        <v>57448</v>
      </c>
      <c r="N372">
        <v>57448</v>
      </c>
      <c r="O372" t="s">
        <v>45</v>
      </c>
      <c r="P372" t="s">
        <v>759</v>
      </c>
      <c r="Q372" t="s">
        <v>16</v>
      </c>
      <c r="R372" t="s">
        <v>579</v>
      </c>
      <c r="S372" t="s">
        <v>45</v>
      </c>
      <c r="T372" t="s">
        <v>804</v>
      </c>
      <c r="U372" s="6">
        <v>42076.335775462961</v>
      </c>
      <c r="V372" t="s">
        <v>18</v>
      </c>
      <c r="W372" t="s">
        <v>17</v>
      </c>
      <c r="X372" s="6">
        <v>42054.39671296296</v>
      </c>
      <c r="Y372" t="s">
        <v>793</v>
      </c>
      <c r="AB372" t="s">
        <v>200</v>
      </c>
      <c r="AC372" t="s">
        <v>247</v>
      </c>
      <c r="AD372" t="s">
        <v>227</v>
      </c>
      <c r="AE372" t="s">
        <v>226</v>
      </c>
      <c r="AG372" t="s">
        <v>121</v>
      </c>
      <c r="AH372" t="s">
        <v>327</v>
      </c>
      <c r="AI372" t="s">
        <v>121</v>
      </c>
      <c r="AJ372" t="s">
        <v>716</v>
      </c>
      <c r="AK372" t="s">
        <v>121</v>
      </c>
    </row>
    <row r="373" spans="9:37" x14ac:dyDescent="0.3">
      <c r="I373">
        <f ca="1">IF(OR(INDIRECT(A73&amp;ROW())=B93,INDIRECT(A73&amp;ROW())=B94),1,IF(AND(INDIRECT(A73&amp;ROW())=B95,INDIRECT(A96&amp;ROW())=C93),1,IF(AND(INDIRECT(A73&amp;ROW())=B95,INDIRECT(A96&amp;ROW())=C94),1,0)))</f>
        <v>1</v>
      </c>
      <c r="J373">
        <f ca="1">IF(AND(INDIRECT(A73&amp;ROW())=B95,INDIRECT(A96&amp;ROW())=C95),1,IF(AND(INDIRECT(A73&amp;ROW())=B95,INDIRECT(A96&amp;ROW())=C96),1,0))</f>
        <v>0</v>
      </c>
      <c r="K373">
        <f ca="1">DAYS360(INDIRECT(C68&amp;ROW()),TODAY())</f>
        <v>714</v>
      </c>
      <c r="L373">
        <f ca="1">DAYS360(INDIRECT(C69&amp;ROW()),TODAY())</f>
        <v>793</v>
      </c>
      <c r="M373">
        <f ca="1">HYPERLINK(CONCATENATE("https://bugzilla.houston.hp.com:1181/bugzilla/show_bug.cgi?id=",INDIRECT(C70&amp;ROW())),INDIRECT(C70&amp;ROW()))</f>
        <v>57455</v>
      </c>
      <c r="N373">
        <v>57455</v>
      </c>
      <c r="O373" t="s">
        <v>241</v>
      </c>
      <c r="P373" t="s">
        <v>767</v>
      </c>
      <c r="Q373" t="s">
        <v>25</v>
      </c>
      <c r="R373" t="s">
        <v>251</v>
      </c>
      <c r="S373" t="s">
        <v>51</v>
      </c>
      <c r="U373" s="6">
        <v>42132.364224537036</v>
      </c>
      <c r="V373" t="s">
        <v>18</v>
      </c>
      <c r="W373" t="s">
        <v>764</v>
      </c>
      <c r="X373" s="6">
        <v>42054.467719907407</v>
      </c>
      <c r="Y373" t="s">
        <v>122</v>
      </c>
      <c r="AB373" t="s">
        <v>200</v>
      </c>
      <c r="AC373" t="s">
        <v>247</v>
      </c>
      <c r="AD373" t="s">
        <v>222</v>
      </c>
      <c r="AE373" t="s">
        <v>232</v>
      </c>
      <c r="AG373" t="s">
        <v>121</v>
      </c>
      <c r="AH373" t="s">
        <v>327</v>
      </c>
      <c r="AI373" t="s">
        <v>121</v>
      </c>
      <c r="AJ373" t="s">
        <v>715</v>
      </c>
      <c r="AK373" t="s">
        <v>121</v>
      </c>
    </row>
    <row r="374" spans="9:37" x14ac:dyDescent="0.3">
      <c r="I374">
        <f ca="1">IF(OR(INDIRECT(A73&amp;ROW())=B93,INDIRECT(A73&amp;ROW())=B94),1,IF(AND(INDIRECT(A73&amp;ROW())=B95,INDIRECT(A96&amp;ROW())=C93),1,IF(AND(INDIRECT(A73&amp;ROW())=B95,INDIRECT(A96&amp;ROW())=C94),1,0)))</f>
        <v>0</v>
      </c>
      <c r="J374">
        <f ca="1">IF(AND(INDIRECT(A73&amp;ROW())=B95,INDIRECT(A96&amp;ROW())=C95),1,IF(AND(INDIRECT(A73&amp;ROW())=B95,INDIRECT(A96&amp;ROW())=C96),1,0))</f>
        <v>0</v>
      </c>
      <c r="K374">
        <f ca="1">DAYS360(INDIRECT(C68&amp;ROW()),TODAY())</f>
        <v>721</v>
      </c>
      <c r="L374">
        <f ca="1">DAYS360(INDIRECT(C69&amp;ROW()),TODAY())</f>
        <v>793</v>
      </c>
      <c r="M374">
        <f ca="1">HYPERLINK(CONCATENATE("https://bugzilla.houston.hp.com:1181/bugzilla/show_bug.cgi?id=",INDIRECT(C70&amp;ROW())),INDIRECT(C70&amp;ROW()))</f>
        <v>57468</v>
      </c>
      <c r="N374">
        <v>57468</v>
      </c>
      <c r="O374" t="s">
        <v>56</v>
      </c>
      <c r="P374" t="s">
        <v>758</v>
      </c>
      <c r="Q374" t="s">
        <v>16</v>
      </c>
      <c r="R374" t="s">
        <v>251</v>
      </c>
      <c r="S374" t="s">
        <v>53</v>
      </c>
      <c r="U374" s="6">
        <v>42125.453761574077</v>
      </c>
      <c r="V374" t="s">
        <v>18</v>
      </c>
      <c r="W374" t="s">
        <v>17</v>
      </c>
      <c r="X374" s="6">
        <v>42054.521574074075</v>
      </c>
      <c r="Y374" t="s">
        <v>122</v>
      </c>
      <c r="AB374" t="s">
        <v>200</v>
      </c>
      <c r="AC374" t="s">
        <v>247</v>
      </c>
      <c r="AD374" t="s">
        <v>220</v>
      </c>
      <c r="AE374" t="s">
        <v>219</v>
      </c>
      <c r="AG374" t="s">
        <v>121</v>
      </c>
      <c r="AH374" t="s">
        <v>327</v>
      </c>
      <c r="AI374" t="s">
        <v>121</v>
      </c>
      <c r="AJ374" t="s">
        <v>716</v>
      </c>
      <c r="AK374" t="s">
        <v>121</v>
      </c>
    </row>
    <row r="375" spans="9:37" x14ac:dyDescent="0.3">
      <c r="I375">
        <f ca="1">IF(OR(INDIRECT(A73&amp;ROW())=B93,INDIRECT(A73&amp;ROW())=B94),1,IF(AND(INDIRECT(A73&amp;ROW())=B95,INDIRECT(A96&amp;ROW())=C93),1,IF(AND(INDIRECT(A73&amp;ROW())=B95,INDIRECT(A96&amp;ROW())=C94),1,0)))</f>
        <v>1</v>
      </c>
      <c r="J375">
        <f ca="1">IF(AND(INDIRECT(A73&amp;ROW())=B95,INDIRECT(A96&amp;ROW())=C95),1,IF(AND(INDIRECT(A73&amp;ROW())=B95,INDIRECT(A96&amp;ROW())=C96),1,0))</f>
        <v>0</v>
      </c>
      <c r="K375">
        <f ca="1">DAYS360(INDIRECT(C68&amp;ROW()),TODAY())</f>
        <v>728</v>
      </c>
      <c r="L375">
        <f ca="1">DAYS360(INDIRECT(C69&amp;ROW()),TODAY())</f>
        <v>793</v>
      </c>
      <c r="M375">
        <f ca="1">HYPERLINK(CONCATENATE("https://bugzilla.houston.hp.com:1181/bugzilla/show_bug.cgi?id=",INDIRECT(C70&amp;ROW())),INDIRECT(C70&amp;ROW()))</f>
        <v>57480</v>
      </c>
      <c r="N375">
        <v>57480</v>
      </c>
      <c r="O375" t="s">
        <v>241</v>
      </c>
      <c r="P375" t="s">
        <v>757</v>
      </c>
      <c r="Q375" t="s">
        <v>25</v>
      </c>
      <c r="R375" t="s">
        <v>579</v>
      </c>
      <c r="S375" t="s">
        <v>552</v>
      </c>
      <c r="T375" t="s">
        <v>820</v>
      </c>
      <c r="U375" s="6">
        <v>42118.292291666665</v>
      </c>
      <c r="V375" t="s">
        <v>18</v>
      </c>
      <c r="W375" t="s">
        <v>764</v>
      </c>
      <c r="X375" s="6">
        <v>42054.702291666668</v>
      </c>
      <c r="Y375" t="s">
        <v>122</v>
      </c>
      <c r="AB375" t="s">
        <v>200</v>
      </c>
      <c r="AC375" t="s">
        <v>247</v>
      </c>
      <c r="AD375" t="s">
        <v>222</v>
      </c>
      <c r="AE375" t="s">
        <v>221</v>
      </c>
      <c r="AG375" t="s">
        <v>121</v>
      </c>
      <c r="AH375" t="s">
        <v>327</v>
      </c>
      <c r="AI375" t="s">
        <v>121</v>
      </c>
      <c r="AJ375" t="s">
        <v>715</v>
      </c>
      <c r="AK375" t="s">
        <v>121</v>
      </c>
    </row>
    <row r="376" spans="9:37" x14ac:dyDescent="0.3">
      <c r="I376">
        <f ca="1">IF(OR(INDIRECT(A73&amp;ROW())=B93,INDIRECT(A73&amp;ROW())=B94),1,IF(AND(INDIRECT(A73&amp;ROW())=B95,INDIRECT(A96&amp;ROW())=C93),1,IF(AND(INDIRECT(A73&amp;ROW())=B95,INDIRECT(A96&amp;ROW())=C94),1,0)))</f>
        <v>1</v>
      </c>
      <c r="J376">
        <f ca="1">IF(AND(INDIRECT(A73&amp;ROW())=B95,INDIRECT(A96&amp;ROW())=C95),1,IF(AND(INDIRECT(A73&amp;ROW())=B95,INDIRECT(A96&amp;ROW())=C96),1,0))</f>
        <v>0</v>
      </c>
      <c r="K376">
        <f ca="1">DAYS360(INDIRECT(C68&amp;ROW()),TODAY())</f>
        <v>792</v>
      </c>
      <c r="L376">
        <f ca="1">DAYS360(INDIRECT(C69&amp;ROW()),TODAY())</f>
        <v>793</v>
      </c>
      <c r="M376">
        <f ca="1">HYPERLINK(CONCATENATE("https://bugzilla.houston.hp.com:1181/bugzilla/show_bug.cgi?id=",INDIRECT(C70&amp;ROW())),INDIRECT(C70&amp;ROW()))</f>
        <v>57481</v>
      </c>
      <c r="N376">
        <v>57481</v>
      </c>
      <c r="O376" t="s">
        <v>241</v>
      </c>
      <c r="P376" t="s">
        <v>756</v>
      </c>
      <c r="Q376" t="s">
        <v>25</v>
      </c>
      <c r="R376" t="s">
        <v>248</v>
      </c>
      <c r="S376" t="s">
        <v>552</v>
      </c>
      <c r="U376" s="6">
        <v>42055.636655092596</v>
      </c>
      <c r="V376" t="s">
        <v>18</v>
      </c>
      <c r="W376" t="s">
        <v>764</v>
      </c>
      <c r="X376" s="6">
        <v>42054.702337962961</v>
      </c>
      <c r="Y376" t="s">
        <v>122</v>
      </c>
      <c r="AB376" t="s">
        <v>200</v>
      </c>
      <c r="AC376" t="s">
        <v>247</v>
      </c>
      <c r="AD376" t="s">
        <v>222</v>
      </c>
      <c r="AE376" t="s">
        <v>221</v>
      </c>
      <c r="AG376" t="s">
        <v>121</v>
      </c>
      <c r="AH376" t="s">
        <v>327</v>
      </c>
      <c r="AI376" t="s">
        <v>121</v>
      </c>
      <c r="AJ376" t="s">
        <v>715</v>
      </c>
      <c r="AK376" t="s">
        <v>121</v>
      </c>
    </row>
    <row r="377" spans="9:37" x14ac:dyDescent="0.3">
      <c r="I377">
        <f ca="1">IF(OR(INDIRECT(A73&amp;ROW())=B93,INDIRECT(A73&amp;ROW())=B94),1,IF(AND(INDIRECT(A73&amp;ROW())=B95,INDIRECT(A96&amp;ROW())=C93),1,IF(AND(INDIRECT(A73&amp;ROW())=B95,INDIRECT(A96&amp;ROW())=C94),1,0)))</f>
        <v>0</v>
      </c>
      <c r="J377">
        <f ca="1">IF(AND(INDIRECT(A73&amp;ROW())=B95,INDIRECT(A96&amp;ROW())=C95),1,IF(AND(INDIRECT(A73&amp;ROW())=B95,INDIRECT(A96&amp;ROW())=C96),1,0))</f>
        <v>0</v>
      </c>
      <c r="K377">
        <f ca="1">DAYS360(INDIRECT(C68&amp;ROW()),TODAY())</f>
        <v>721</v>
      </c>
      <c r="L377">
        <f ca="1">DAYS360(INDIRECT(C69&amp;ROW()),TODAY())</f>
        <v>793</v>
      </c>
      <c r="M377">
        <f ca="1">HYPERLINK(CONCATENATE("https://bugzilla.houston.hp.com:1181/bugzilla/show_bug.cgi?id=",INDIRECT(C70&amp;ROW())),INDIRECT(C70&amp;ROW()))</f>
        <v>57493</v>
      </c>
      <c r="N377">
        <v>57493</v>
      </c>
      <c r="O377" t="s">
        <v>56</v>
      </c>
      <c r="P377" t="s">
        <v>755</v>
      </c>
      <c r="Q377" t="s">
        <v>16</v>
      </c>
      <c r="R377" t="s">
        <v>248</v>
      </c>
      <c r="S377" t="s">
        <v>552</v>
      </c>
      <c r="U377" s="6">
        <v>42125.453750000001</v>
      </c>
      <c r="V377" t="s">
        <v>18</v>
      </c>
      <c r="W377" t="s">
        <v>324</v>
      </c>
      <c r="X377" s="6">
        <v>42054.703506944446</v>
      </c>
      <c r="Y377" t="s">
        <v>122</v>
      </c>
      <c r="AB377" t="s">
        <v>200</v>
      </c>
      <c r="AC377" t="s">
        <v>247</v>
      </c>
      <c r="AD377" t="s">
        <v>220</v>
      </c>
      <c r="AE377" t="s">
        <v>219</v>
      </c>
      <c r="AG377" t="s">
        <v>121</v>
      </c>
      <c r="AH377" t="s">
        <v>327</v>
      </c>
      <c r="AI377" t="s">
        <v>121</v>
      </c>
      <c r="AJ377" t="s">
        <v>716</v>
      </c>
      <c r="AK377" t="s">
        <v>121</v>
      </c>
    </row>
    <row r="378" spans="9:37" x14ac:dyDescent="0.3">
      <c r="I378">
        <f ca="1">IF(OR(INDIRECT(A73&amp;ROW())=B93,INDIRECT(A73&amp;ROW())=B94),1,IF(AND(INDIRECT(A73&amp;ROW())=B95,INDIRECT(A96&amp;ROW())=C93),1,IF(AND(INDIRECT(A73&amp;ROW())=B95,INDIRECT(A96&amp;ROW())=C94),1,0)))</f>
        <v>1</v>
      </c>
      <c r="J378">
        <f ca="1">IF(AND(INDIRECT(A73&amp;ROW())=B95,INDIRECT(A96&amp;ROW())=C95),1,IF(AND(INDIRECT(A73&amp;ROW())=B95,INDIRECT(A96&amp;ROW())=C96),1,0))</f>
        <v>0</v>
      </c>
      <c r="K378">
        <f ca="1">DAYS360(INDIRECT(C68&amp;ROW()),TODAY())</f>
        <v>735</v>
      </c>
      <c r="L378">
        <f ca="1">DAYS360(INDIRECT(C69&amp;ROW()),TODAY())</f>
        <v>793</v>
      </c>
      <c r="M378">
        <f ca="1">HYPERLINK(CONCATENATE("https://bugzilla.houston.hp.com:1181/bugzilla/show_bug.cgi?id=",INDIRECT(C70&amp;ROW())),INDIRECT(C70&amp;ROW()))</f>
        <v>57494</v>
      </c>
      <c r="N378">
        <v>57494</v>
      </c>
      <c r="O378" t="s">
        <v>55</v>
      </c>
      <c r="P378" t="s">
        <v>754</v>
      </c>
      <c r="Q378" t="s">
        <v>25</v>
      </c>
      <c r="R378" t="s">
        <v>579</v>
      </c>
      <c r="S378" t="s">
        <v>59</v>
      </c>
      <c r="T378" t="s">
        <v>821</v>
      </c>
      <c r="U378" s="6">
        <v>42111.526689814818</v>
      </c>
      <c r="V378" t="s">
        <v>35</v>
      </c>
      <c r="W378" t="s">
        <v>215</v>
      </c>
      <c r="X378" s="6">
        <v>42054.733136574076</v>
      </c>
      <c r="Y378" t="s">
        <v>793</v>
      </c>
      <c r="AB378" t="s">
        <v>200</v>
      </c>
      <c r="AC378" t="s">
        <v>247</v>
      </c>
      <c r="AD378" t="s">
        <v>220</v>
      </c>
      <c r="AE378" t="s">
        <v>219</v>
      </c>
      <c r="AG378" t="s">
        <v>121</v>
      </c>
      <c r="AH378" t="s">
        <v>327</v>
      </c>
      <c r="AI378" t="s">
        <v>362</v>
      </c>
      <c r="AJ378" t="s">
        <v>715</v>
      </c>
      <c r="AK378" t="s">
        <v>121</v>
      </c>
    </row>
    <row r="379" spans="9:37" x14ac:dyDescent="0.3">
      <c r="I379">
        <f ca="1">IF(OR(INDIRECT(A73&amp;ROW())=B93,INDIRECT(A73&amp;ROW())=B94),1,IF(AND(INDIRECT(A73&amp;ROW())=B95,INDIRECT(A96&amp;ROW())=C93),1,IF(AND(INDIRECT(A73&amp;ROW())=B95,INDIRECT(A96&amp;ROW())=C94),1,0)))</f>
        <v>1</v>
      </c>
      <c r="J379">
        <f ca="1">IF(AND(INDIRECT(A73&amp;ROW())=B95,INDIRECT(A96&amp;ROW())=C95),1,IF(AND(INDIRECT(A73&amp;ROW())=B95,INDIRECT(A96&amp;ROW())=C96),1,0))</f>
        <v>0</v>
      </c>
      <c r="K379">
        <f ca="1">DAYS360(INDIRECT(C68&amp;ROW()),TODAY())</f>
        <v>776</v>
      </c>
      <c r="L379">
        <f ca="1">DAYS360(INDIRECT(C69&amp;ROW()),TODAY())</f>
        <v>793</v>
      </c>
      <c r="M379">
        <f ca="1">HYPERLINK(CONCATENATE("https://bugzilla.houston.hp.com:1181/bugzilla/show_bug.cgi?id=",INDIRECT(C70&amp;ROW())),INDIRECT(C70&amp;ROW()))</f>
        <v>57500</v>
      </c>
      <c r="N379">
        <v>57500</v>
      </c>
      <c r="O379" t="s">
        <v>43</v>
      </c>
      <c r="P379" t="s">
        <v>766</v>
      </c>
      <c r="Q379" t="s">
        <v>25</v>
      </c>
      <c r="R379" t="s">
        <v>251</v>
      </c>
      <c r="S379" t="s">
        <v>765</v>
      </c>
      <c r="U379" s="6">
        <v>42069.583437499998</v>
      </c>
      <c r="V379" t="s">
        <v>35</v>
      </c>
      <c r="W379" t="s">
        <v>764</v>
      </c>
      <c r="X379" s="6">
        <v>42054.964317129627</v>
      </c>
      <c r="Y379" t="s">
        <v>124</v>
      </c>
      <c r="AB379" t="s">
        <v>200</v>
      </c>
      <c r="AC379" t="s">
        <v>247</v>
      </c>
      <c r="AD379" t="s">
        <v>220</v>
      </c>
      <c r="AE379" t="s">
        <v>219</v>
      </c>
      <c r="AG379" t="s">
        <v>121</v>
      </c>
      <c r="AH379" t="s">
        <v>327</v>
      </c>
      <c r="AI379" t="s">
        <v>121</v>
      </c>
      <c r="AJ379" t="s">
        <v>715</v>
      </c>
      <c r="AK379" t="s">
        <v>121</v>
      </c>
    </row>
    <row r="380" spans="9:37" x14ac:dyDescent="0.3">
      <c r="I380">
        <f ca="1">IF(OR(INDIRECT(A73&amp;ROW())=B93,INDIRECT(A73&amp;ROW())=B94),1,IF(AND(INDIRECT(A73&amp;ROW())=B95,INDIRECT(A96&amp;ROW())=C93),1,IF(AND(INDIRECT(A73&amp;ROW())=B95,INDIRECT(A96&amp;ROW())=C94),1,0)))</f>
        <v>1</v>
      </c>
      <c r="J380">
        <f ca="1">IF(AND(INDIRECT(A73&amp;ROW())=B95,INDIRECT(A96&amp;ROW())=C95),1,IF(AND(INDIRECT(A73&amp;ROW())=B95,INDIRECT(A96&amp;ROW())=C96),1,0))</f>
        <v>0</v>
      </c>
      <c r="K380">
        <f ca="1">DAYS360(INDIRECT(C68&amp;ROW()),TODAY())</f>
        <v>677</v>
      </c>
      <c r="L380">
        <f ca="1">DAYS360(INDIRECT(C69&amp;ROW()),TODAY())</f>
        <v>792</v>
      </c>
      <c r="M380">
        <f ca="1">HYPERLINK(CONCATENATE("https://bugzilla.houston.hp.com:1181/bugzilla/show_bug.cgi?id=",INDIRECT(C70&amp;ROW())),INDIRECT(C70&amp;ROW()))</f>
        <v>57551</v>
      </c>
      <c r="N380">
        <v>57551</v>
      </c>
      <c r="O380" t="s">
        <v>53</v>
      </c>
      <c r="P380" t="s">
        <v>753</v>
      </c>
      <c r="Q380" t="s">
        <v>39</v>
      </c>
      <c r="R380" t="s">
        <v>248</v>
      </c>
      <c r="S380" t="s">
        <v>552</v>
      </c>
      <c r="U380" s="6">
        <v>42170.561192129629</v>
      </c>
      <c r="V380" t="s">
        <v>18</v>
      </c>
      <c r="W380" t="s">
        <v>343</v>
      </c>
      <c r="X380" s="6">
        <v>42055.264386574076</v>
      </c>
      <c r="Y380" t="s">
        <v>122</v>
      </c>
      <c r="AB380" t="s">
        <v>201</v>
      </c>
      <c r="AC380" t="s">
        <v>247</v>
      </c>
      <c r="AD380" t="s">
        <v>220</v>
      </c>
      <c r="AE380" t="s">
        <v>219</v>
      </c>
      <c r="AG380" t="s">
        <v>121</v>
      </c>
      <c r="AH380" t="s">
        <v>327</v>
      </c>
      <c r="AI380" t="s">
        <v>121</v>
      </c>
      <c r="AJ380" t="s">
        <v>715</v>
      </c>
      <c r="AK380" t="s">
        <v>121</v>
      </c>
    </row>
    <row r="381" spans="9:37" x14ac:dyDescent="0.3">
      <c r="I381">
        <f ca="1">IF(OR(INDIRECT(A73&amp;ROW())=B93,INDIRECT(A73&amp;ROW())=B94),1,IF(AND(INDIRECT(A73&amp;ROW())=B95,INDIRECT(A96&amp;ROW())=C93),1,IF(AND(INDIRECT(A73&amp;ROW())=B95,INDIRECT(A96&amp;ROW())=C94),1,0)))</f>
        <v>0</v>
      </c>
      <c r="J381">
        <f ca="1">IF(AND(INDIRECT(A73&amp;ROW())=B95,INDIRECT(A96&amp;ROW())=C95),1,IF(AND(INDIRECT(A73&amp;ROW())=B95,INDIRECT(A96&amp;ROW())=C96),1,0))</f>
        <v>0</v>
      </c>
      <c r="K381">
        <f ca="1">DAYS360(INDIRECT(C68&amp;ROW()),TODAY())</f>
        <v>721</v>
      </c>
      <c r="L381">
        <f ca="1">DAYS360(INDIRECT(C69&amp;ROW()),TODAY())</f>
        <v>792</v>
      </c>
      <c r="M381">
        <f ca="1">HYPERLINK(CONCATENATE("https://bugzilla.houston.hp.com:1181/bugzilla/show_bug.cgi?id=",INDIRECT(C70&amp;ROW())),INDIRECT(C70&amp;ROW()))</f>
        <v>57564</v>
      </c>
      <c r="N381">
        <v>57564</v>
      </c>
      <c r="O381" t="s">
        <v>36</v>
      </c>
      <c r="P381" t="s">
        <v>751</v>
      </c>
      <c r="Q381" t="s">
        <v>16</v>
      </c>
      <c r="R381" t="s">
        <v>248</v>
      </c>
      <c r="S381" t="s">
        <v>552</v>
      </c>
      <c r="U381" s="6">
        <v>42125.453009259261</v>
      </c>
      <c r="V381" t="s">
        <v>18</v>
      </c>
      <c r="W381" t="s">
        <v>372</v>
      </c>
      <c r="X381" s="6">
        <v>42055.2655787037</v>
      </c>
      <c r="Y381" t="s">
        <v>122</v>
      </c>
      <c r="AB381" t="s">
        <v>201</v>
      </c>
      <c r="AC381" t="s">
        <v>247</v>
      </c>
      <c r="AD381" t="s">
        <v>222</v>
      </c>
      <c r="AE381" t="s">
        <v>240</v>
      </c>
      <c r="AG381" t="s">
        <v>121</v>
      </c>
      <c r="AH381" t="s">
        <v>327</v>
      </c>
      <c r="AI381" t="s">
        <v>121</v>
      </c>
      <c r="AJ381" t="s">
        <v>716</v>
      </c>
      <c r="AK381" t="s">
        <v>121</v>
      </c>
    </row>
    <row r="382" spans="9:37" x14ac:dyDescent="0.3">
      <c r="I382">
        <f ca="1">IF(OR(INDIRECT(A73&amp;ROW())=B93,INDIRECT(A73&amp;ROW())=B94),1,IF(AND(INDIRECT(A73&amp;ROW())=B95,INDIRECT(A96&amp;ROW())=C93),1,IF(AND(INDIRECT(A73&amp;ROW())=B95,INDIRECT(A96&amp;ROW())=C94),1,0)))</f>
        <v>0</v>
      </c>
      <c r="J382">
        <f ca="1">IF(AND(INDIRECT(A73&amp;ROW())=B95,INDIRECT(A96&amp;ROW())=C95),1,IF(AND(INDIRECT(A73&amp;ROW())=B95,INDIRECT(A96&amp;ROW())=C96),1,0))</f>
        <v>0</v>
      </c>
      <c r="K382">
        <f ca="1">DAYS360(INDIRECT(C68&amp;ROW()),TODAY())</f>
        <v>792</v>
      </c>
      <c r="L382">
        <f ca="1">DAYS360(INDIRECT(C69&amp;ROW()),TODAY())</f>
        <v>792</v>
      </c>
      <c r="M382">
        <f ca="1">HYPERLINK(CONCATENATE("https://bugzilla.houston.hp.com:1181/bugzilla/show_bug.cgi?id=",INDIRECT(C70&amp;ROW())),INDIRECT(C70&amp;ROW()))</f>
        <v>57582</v>
      </c>
      <c r="N382">
        <v>57582</v>
      </c>
      <c r="O382" t="s">
        <v>66</v>
      </c>
      <c r="P382" t="s">
        <v>750</v>
      </c>
      <c r="Q382" t="s">
        <v>16</v>
      </c>
      <c r="R382" t="s">
        <v>248</v>
      </c>
      <c r="S382" t="s">
        <v>552</v>
      </c>
      <c r="U382" s="6">
        <v>42055.267337962963</v>
      </c>
      <c r="V382" t="s">
        <v>18</v>
      </c>
      <c r="W382" t="s">
        <v>322</v>
      </c>
      <c r="X382" s="6">
        <v>42055.267337962963</v>
      </c>
      <c r="Y382" t="s">
        <v>124</v>
      </c>
      <c r="AB382" t="s">
        <v>201</v>
      </c>
      <c r="AC382" t="s">
        <v>247</v>
      </c>
      <c r="AD382" t="s">
        <v>220</v>
      </c>
      <c r="AE382" t="s">
        <v>219</v>
      </c>
      <c r="AG382" t="s">
        <v>121</v>
      </c>
      <c r="AH382" t="s">
        <v>327</v>
      </c>
      <c r="AI382" t="s">
        <v>121</v>
      </c>
      <c r="AJ382" t="s">
        <v>717</v>
      </c>
      <c r="AK382" t="s">
        <v>121</v>
      </c>
    </row>
    <row r="383" spans="9:37" x14ac:dyDescent="0.3">
      <c r="I383">
        <f ca="1">IF(OR(INDIRECT(A73&amp;ROW())=B93,INDIRECT(A73&amp;ROW())=B94),1,IF(AND(INDIRECT(A73&amp;ROW())=B95,INDIRECT(A96&amp;ROW())=C93),1,IF(AND(INDIRECT(A73&amp;ROW())=B95,INDIRECT(A96&amp;ROW())=C94),1,0)))</f>
        <v>0</v>
      </c>
      <c r="J383">
        <f ca="1">IF(AND(INDIRECT(A73&amp;ROW())=B95,INDIRECT(A96&amp;ROW())=C95),1,IF(AND(INDIRECT(A73&amp;ROW())=B95,INDIRECT(A96&amp;ROW())=C96),1,0))</f>
        <v>1</v>
      </c>
      <c r="K383">
        <f ca="1">DAYS360(INDIRECT(C68&amp;ROW()),TODAY())</f>
        <v>721</v>
      </c>
      <c r="L383">
        <f ca="1">DAYS360(INDIRECT(C69&amp;ROW()),TODAY())</f>
        <v>792</v>
      </c>
      <c r="M383">
        <f ca="1">HYPERLINK(CONCATENATE("https://bugzilla.houston.hp.com:1181/bugzilla/show_bug.cgi?id=",INDIRECT(C70&amp;ROW())),INDIRECT(C70&amp;ROW()))</f>
        <v>57594</v>
      </c>
      <c r="N383">
        <v>57594</v>
      </c>
      <c r="O383" t="s">
        <v>66</v>
      </c>
      <c r="P383" t="s">
        <v>749</v>
      </c>
      <c r="Q383" t="s">
        <v>25</v>
      </c>
      <c r="R383" t="s">
        <v>248</v>
      </c>
      <c r="S383" t="s">
        <v>552</v>
      </c>
      <c r="U383" s="6">
        <v>42125.450868055559</v>
      </c>
      <c r="V383" t="s">
        <v>18</v>
      </c>
      <c r="W383" t="s">
        <v>372</v>
      </c>
      <c r="X383" s="6">
        <v>42055.268506944441</v>
      </c>
      <c r="Y383" t="s">
        <v>122</v>
      </c>
      <c r="AB383" t="s">
        <v>201</v>
      </c>
      <c r="AC383" t="s">
        <v>247</v>
      </c>
      <c r="AD383" t="s">
        <v>220</v>
      </c>
      <c r="AE383" t="s">
        <v>219</v>
      </c>
      <c r="AG383" t="s">
        <v>121</v>
      </c>
      <c r="AH383" t="s">
        <v>327</v>
      </c>
      <c r="AI383" t="s">
        <v>121</v>
      </c>
      <c r="AJ383" t="s">
        <v>716</v>
      </c>
      <c r="AK383" t="s">
        <v>121</v>
      </c>
    </row>
    <row r="384" spans="9:37" x14ac:dyDescent="0.3">
      <c r="I384">
        <f ca="1">IF(OR(INDIRECT(A73&amp;ROW())=B93,INDIRECT(A73&amp;ROW())=B94),1,IF(AND(INDIRECT(A73&amp;ROW())=B95,INDIRECT(A96&amp;ROW())=C93),1,IF(AND(INDIRECT(A73&amp;ROW())=B95,INDIRECT(A96&amp;ROW())=C94),1,0)))</f>
        <v>1</v>
      </c>
      <c r="J384">
        <f ca="1">IF(AND(INDIRECT(A73&amp;ROW())=B95,INDIRECT(A96&amp;ROW())=C95),1,IF(AND(INDIRECT(A73&amp;ROW())=B95,INDIRECT(A96&amp;ROW())=C96),1,0))</f>
        <v>0</v>
      </c>
      <c r="K384">
        <f ca="1">DAYS360(INDIRECT(C68&amp;ROW()),TODAY())</f>
        <v>735</v>
      </c>
      <c r="L384">
        <f ca="1">DAYS360(INDIRECT(C69&amp;ROW()),TODAY())</f>
        <v>792</v>
      </c>
      <c r="M384">
        <f ca="1">HYPERLINK(CONCATENATE("https://bugzilla.houston.hp.com:1181/bugzilla/show_bug.cgi?id=",INDIRECT(C70&amp;ROW())),INDIRECT(C70&amp;ROW()))</f>
        <v>57652</v>
      </c>
      <c r="N384">
        <v>57652</v>
      </c>
      <c r="O384" t="s">
        <v>50</v>
      </c>
      <c r="P384" t="s">
        <v>760</v>
      </c>
      <c r="Q384" t="s">
        <v>25</v>
      </c>
      <c r="R384" t="s">
        <v>579</v>
      </c>
      <c r="S384" t="s">
        <v>44</v>
      </c>
      <c r="T384" t="s">
        <v>820</v>
      </c>
      <c r="U384" s="6">
        <v>42111.527303240742</v>
      </c>
      <c r="V384" t="s">
        <v>18</v>
      </c>
      <c r="W384" t="s">
        <v>215</v>
      </c>
      <c r="X384" s="6">
        <v>42055.521377314813</v>
      </c>
      <c r="Y384" t="s">
        <v>119</v>
      </c>
      <c r="AB384" t="s">
        <v>200</v>
      </c>
      <c r="AC384" t="s">
        <v>121</v>
      </c>
      <c r="AD384" t="s">
        <v>227</v>
      </c>
      <c r="AE384" t="s">
        <v>226</v>
      </c>
      <c r="AG384" t="s">
        <v>121</v>
      </c>
      <c r="AH384" t="s">
        <v>327</v>
      </c>
      <c r="AI384" t="s">
        <v>362</v>
      </c>
      <c r="AJ384" t="s">
        <v>715</v>
      </c>
      <c r="AK384" t="s">
        <v>121</v>
      </c>
    </row>
    <row r="385" spans="9:37" x14ac:dyDescent="0.3">
      <c r="I385">
        <f ca="1">IF(OR(INDIRECT(A73&amp;ROW())=B93,INDIRECT(A73&amp;ROW())=B94),1,IF(AND(INDIRECT(A73&amp;ROW())=B95,INDIRECT(A96&amp;ROW())=C93),1,IF(AND(INDIRECT(A73&amp;ROW())=B95,INDIRECT(A96&amp;ROW())=C94),1,0)))</f>
        <v>1</v>
      </c>
      <c r="J385">
        <f ca="1">IF(AND(INDIRECT(A73&amp;ROW())=B95,INDIRECT(A96&amp;ROW())=C95),1,IF(AND(INDIRECT(A73&amp;ROW())=B95,INDIRECT(A96&amp;ROW())=C96),1,0))</f>
        <v>0</v>
      </c>
      <c r="K385">
        <f ca="1">DAYS360(INDIRECT(C68&amp;ROW()),TODAY())</f>
        <v>764</v>
      </c>
      <c r="L385">
        <f ca="1">DAYS360(INDIRECT(C69&amp;ROW()),TODAY())</f>
        <v>788</v>
      </c>
      <c r="M385">
        <f ca="1">HYPERLINK(CONCATENATE("https://bugzilla.houston.hp.com:1181/bugzilla/show_bug.cgi?id=",INDIRECT(C70&amp;ROW())),INDIRECT(C70&amp;ROW()))</f>
        <v>57749</v>
      </c>
      <c r="N385">
        <v>57749</v>
      </c>
      <c r="O385" t="s">
        <v>56</v>
      </c>
      <c r="P385" t="s">
        <v>763</v>
      </c>
      <c r="Q385" t="s">
        <v>25</v>
      </c>
      <c r="R385" t="s">
        <v>248</v>
      </c>
      <c r="S385" t="s">
        <v>552</v>
      </c>
      <c r="U385" s="6">
        <v>42081.374513888892</v>
      </c>
      <c r="V385" t="s">
        <v>18</v>
      </c>
      <c r="W385" t="s">
        <v>764</v>
      </c>
      <c r="X385" s="6">
        <v>42059.329548611109</v>
      </c>
      <c r="Y385" t="s">
        <v>124</v>
      </c>
      <c r="AB385" t="s">
        <v>200</v>
      </c>
      <c r="AC385" t="s">
        <v>247</v>
      </c>
      <c r="AD385" t="s">
        <v>220</v>
      </c>
      <c r="AE385" t="s">
        <v>219</v>
      </c>
      <c r="AG385" t="s">
        <v>121</v>
      </c>
      <c r="AH385" t="s">
        <v>327</v>
      </c>
      <c r="AI385" t="s">
        <v>121</v>
      </c>
      <c r="AJ385" t="s">
        <v>715</v>
      </c>
      <c r="AK385" t="s">
        <v>121</v>
      </c>
    </row>
    <row r="386" spans="9:37" x14ac:dyDescent="0.3">
      <c r="I386">
        <f ca="1">IF(OR(INDIRECT(A73&amp;ROW())=B93,INDIRECT(A73&amp;ROW())=B94),1,IF(AND(INDIRECT(A73&amp;ROW())=B95,INDIRECT(A96&amp;ROW())=C93),1,IF(AND(INDIRECT(A73&amp;ROW())=B95,INDIRECT(A96&amp;ROW())=C94),1,0)))</f>
        <v>1</v>
      </c>
      <c r="J386">
        <f ca="1">IF(AND(INDIRECT(A73&amp;ROW())=B95,INDIRECT(A96&amp;ROW())=C95),1,IF(AND(INDIRECT(A73&amp;ROW())=B95,INDIRECT(A96&amp;ROW())=C96),1,0))</f>
        <v>0</v>
      </c>
      <c r="K386">
        <f ca="1">DAYS360(INDIRECT(C68&amp;ROW()),TODAY())</f>
        <v>759</v>
      </c>
      <c r="L386">
        <f ca="1">DAYS360(INDIRECT(C69&amp;ROW()),TODAY())</f>
        <v>788</v>
      </c>
      <c r="M386">
        <f ca="1">HYPERLINK(CONCATENATE("https://bugzilla.houston.hp.com:1181/bugzilla/show_bug.cgi?id=",INDIRECT(C70&amp;ROW())),INDIRECT(C70&amp;ROW()))</f>
        <v>57752</v>
      </c>
      <c r="N386">
        <v>57752</v>
      </c>
      <c r="O386" t="s">
        <v>164</v>
      </c>
      <c r="P386" t="s">
        <v>762</v>
      </c>
      <c r="Q386" t="s">
        <v>25</v>
      </c>
      <c r="R386" t="s">
        <v>248</v>
      </c>
      <c r="S386" t="s">
        <v>552</v>
      </c>
      <c r="U386" s="6">
        <v>42086.241550925923</v>
      </c>
      <c r="V386" t="s">
        <v>18</v>
      </c>
      <c r="W386" t="s">
        <v>512</v>
      </c>
      <c r="X386" s="6">
        <v>42059.3596412037</v>
      </c>
      <c r="Y386" t="s">
        <v>255</v>
      </c>
      <c r="AB386" t="s">
        <v>200</v>
      </c>
      <c r="AC386" t="s">
        <v>247</v>
      </c>
      <c r="AD386" t="s">
        <v>220</v>
      </c>
      <c r="AE386" t="s">
        <v>219</v>
      </c>
      <c r="AG386" t="s">
        <v>121</v>
      </c>
      <c r="AH386" t="s">
        <v>327</v>
      </c>
      <c r="AI386" t="s">
        <v>121</v>
      </c>
      <c r="AJ386" t="s">
        <v>715</v>
      </c>
      <c r="AK386" t="s">
        <v>121</v>
      </c>
    </row>
    <row r="387" spans="9:37" x14ac:dyDescent="0.3">
      <c r="I387">
        <f ca="1">IF(OR(INDIRECT(A73&amp;ROW())=B93,INDIRECT(A73&amp;ROW())=B94),1,IF(AND(INDIRECT(A73&amp;ROW())=B95,INDIRECT(A96&amp;ROW())=C93),1,IF(AND(INDIRECT(A73&amp;ROW())=B95,INDIRECT(A96&amp;ROW())=C94),1,0)))</f>
        <v>0</v>
      </c>
      <c r="J387">
        <f ca="1">IF(AND(INDIRECT(A73&amp;ROW())=B95,INDIRECT(A96&amp;ROW())=C95),1,IF(AND(INDIRECT(A73&amp;ROW())=B95,INDIRECT(A96&amp;ROW())=C96),1,0))</f>
        <v>1</v>
      </c>
      <c r="K387">
        <f ca="1">DAYS360(INDIRECT(C68&amp;ROW()),TODAY())</f>
        <v>721</v>
      </c>
      <c r="L387">
        <f ca="1">DAYS360(INDIRECT(C69&amp;ROW()),TODAY())</f>
        <v>781</v>
      </c>
      <c r="M387">
        <f ca="1">HYPERLINK(CONCATENATE("https://bugzilla.houston.hp.com:1181/bugzilla/show_bug.cgi?id=",INDIRECT(C70&amp;ROW())),INDIRECT(C70&amp;ROW()))</f>
        <v>57963</v>
      </c>
      <c r="N387">
        <v>57963</v>
      </c>
      <c r="O387" t="s">
        <v>241</v>
      </c>
      <c r="P387" t="s">
        <v>778</v>
      </c>
      <c r="Q387" t="s">
        <v>25</v>
      </c>
      <c r="R387" t="s">
        <v>251</v>
      </c>
      <c r="S387" t="s">
        <v>236</v>
      </c>
      <c r="U387" s="6">
        <v>42125.683368055557</v>
      </c>
      <c r="V387" t="s">
        <v>18</v>
      </c>
      <c r="W387" t="s">
        <v>17</v>
      </c>
      <c r="X387" s="6">
        <v>42064.456296296295</v>
      </c>
      <c r="Y387" t="s">
        <v>255</v>
      </c>
      <c r="AB387" t="s">
        <v>201</v>
      </c>
      <c r="AC387" t="s">
        <v>247</v>
      </c>
      <c r="AD387" t="s">
        <v>227</v>
      </c>
      <c r="AE387" t="s">
        <v>237</v>
      </c>
      <c r="AG387" t="s">
        <v>121</v>
      </c>
      <c r="AH387" t="s">
        <v>327</v>
      </c>
      <c r="AI387" t="s">
        <v>121</v>
      </c>
      <c r="AJ387" t="s">
        <v>716</v>
      </c>
      <c r="AK387" t="s">
        <v>121</v>
      </c>
    </row>
    <row r="388" spans="9:37" x14ac:dyDescent="0.3">
      <c r="I388">
        <f ca="1">IF(OR(INDIRECT(A73&amp;ROW())=B93,INDIRECT(A73&amp;ROW())=B94),1,IF(AND(INDIRECT(A73&amp;ROW())=B95,INDIRECT(A96&amp;ROW())=C93),1,IF(AND(INDIRECT(A73&amp;ROW())=B95,INDIRECT(A96&amp;ROW())=C94),1,0)))</f>
        <v>0</v>
      </c>
      <c r="J388">
        <f ca="1">IF(AND(INDIRECT(A73&amp;ROW())=B95,INDIRECT(A96&amp;ROW())=C95),1,IF(AND(INDIRECT(A73&amp;ROW())=B95,INDIRECT(A96&amp;ROW())=C96),1,0))</f>
        <v>1</v>
      </c>
      <c r="K388">
        <f ca="1">DAYS360(INDIRECT(C68&amp;ROW()),TODAY())</f>
        <v>730</v>
      </c>
      <c r="L388">
        <f ca="1">DAYS360(INDIRECT(C69&amp;ROW()),TODAY())</f>
        <v>781</v>
      </c>
      <c r="M388">
        <f ca="1">HYPERLINK(CONCATENATE("https://bugzilla.houston.hp.com:1181/bugzilla/show_bug.cgi?id=",INDIRECT(C70&amp;ROW())),INDIRECT(C70&amp;ROW()))</f>
        <v>57964</v>
      </c>
      <c r="N388">
        <v>57964</v>
      </c>
      <c r="O388" t="s">
        <v>56</v>
      </c>
      <c r="P388" t="s">
        <v>777</v>
      </c>
      <c r="Q388" t="s">
        <v>25</v>
      </c>
      <c r="R388" t="s">
        <v>251</v>
      </c>
      <c r="S388" t="s">
        <v>236</v>
      </c>
      <c r="U388" s="6">
        <v>42116.736770833333</v>
      </c>
      <c r="V388" t="s">
        <v>18</v>
      </c>
      <c r="W388" t="s">
        <v>17</v>
      </c>
      <c r="X388" s="6">
        <v>42064.457870370374</v>
      </c>
      <c r="Y388" t="s">
        <v>255</v>
      </c>
      <c r="AB388" t="s">
        <v>201</v>
      </c>
      <c r="AC388" t="s">
        <v>247</v>
      </c>
      <c r="AD388" t="s">
        <v>220</v>
      </c>
      <c r="AE388" t="s">
        <v>219</v>
      </c>
      <c r="AG388" t="s">
        <v>121</v>
      </c>
      <c r="AH388" t="s">
        <v>327</v>
      </c>
      <c r="AI388" t="s">
        <v>121</v>
      </c>
      <c r="AJ388" t="s">
        <v>716</v>
      </c>
      <c r="AK388" t="s">
        <v>121</v>
      </c>
    </row>
    <row r="389" spans="9:37" x14ac:dyDescent="0.3">
      <c r="I389">
        <f ca="1">IF(OR(INDIRECT(A73&amp;ROW())=B93,INDIRECT(A73&amp;ROW())=B94),1,IF(AND(INDIRECT(A73&amp;ROW())=B95,INDIRECT(A96&amp;ROW())=C93),1,IF(AND(INDIRECT(A73&amp;ROW())=B95,INDIRECT(A96&amp;ROW())=C94),1,0)))</f>
        <v>0</v>
      </c>
      <c r="J389">
        <f ca="1">IF(AND(INDIRECT(A73&amp;ROW())=B95,INDIRECT(A96&amp;ROW())=C95),1,IF(AND(INDIRECT(A73&amp;ROW())=B95,INDIRECT(A96&amp;ROW())=C96),1,0))</f>
        <v>1</v>
      </c>
      <c r="K389">
        <f ca="1">DAYS360(INDIRECT(C68&amp;ROW()),TODAY())</f>
        <v>721</v>
      </c>
      <c r="L389">
        <f ca="1">DAYS360(INDIRECT(C69&amp;ROW()),TODAY())</f>
        <v>780</v>
      </c>
      <c r="M389">
        <f ca="1">HYPERLINK(CONCATENATE("https://bugzilla.houston.hp.com:1181/bugzilla/show_bug.cgi?id=",INDIRECT(C70&amp;ROW())),INDIRECT(C70&amp;ROW()))</f>
        <v>58013</v>
      </c>
      <c r="N389">
        <v>58013</v>
      </c>
      <c r="O389" t="s">
        <v>241</v>
      </c>
      <c r="P389" t="s">
        <v>776</v>
      </c>
      <c r="Q389" t="s">
        <v>25</v>
      </c>
      <c r="R389" t="s">
        <v>248</v>
      </c>
      <c r="S389" t="s">
        <v>552</v>
      </c>
      <c r="U389" s="6">
        <v>42125.683310185188</v>
      </c>
      <c r="V389" t="s">
        <v>18</v>
      </c>
      <c r="W389" t="s">
        <v>576</v>
      </c>
      <c r="X389" s="6">
        <v>42065.375162037039</v>
      </c>
      <c r="Y389" t="s">
        <v>255</v>
      </c>
      <c r="AB389" t="s">
        <v>201</v>
      </c>
      <c r="AC389" t="s">
        <v>247</v>
      </c>
      <c r="AD389" t="s">
        <v>227</v>
      </c>
      <c r="AE389" t="s">
        <v>237</v>
      </c>
      <c r="AG389" t="s">
        <v>121</v>
      </c>
      <c r="AH389" t="s">
        <v>327</v>
      </c>
      <c r="AI389" t="s">
        <v>121</v>
      </c>
      <c r="AJ389" t="s">
        <v>716</v>
      </c>
      <c r="AK389" t="s">
        <v>121</v>
      </c>
    </row>
    <row r="390" spans="9:37" x14ac:dyDescent="0.3">
      <c r="I390">
        <f ca="1">IF(OR(INDIRECT(A73&amp;ROW())=B93,INDIRECT(A73&amp;ROW())=B94),1,IF(AND(INDIRECT(A73&amp;ROW())=B95,INDIRECT(A96&amp;ROW())=C93),1,IF(AND(INDIRECT(A73&amp;ROW())=B95,INDIRECT(A96&amp;ROW())=C94),1,0)))</f>
        <v>0</v>
      </c>
      <c r="J390">
        <f ca="1">IF(AND(INDIRECT(A73&amp;ROW())=B95,INDIRECT(A96&amp;ROW())=C95),1,IF(AND(INDIRECT(A73&amp;ROW())=B95,INDIRECT(A96&amp;ROW())=C96),1,0))</f>
        <v>1</v>
      </c>
      <c r="K390">
        <f ca="1">DAYS360(INDIRECT(C68&amp;ROW()),TODAY())</f>
        <v>681</v>
      </c>
      <c r="L390">
        <f ca="1">DAYS360(INDIRECT(C69&amp;ROW()),TODAY())</f>
        <v>780</v>
      </c>
      <c r="M390">
        <f ca="1">HYPERLINK(CONCATENATE("https://bugzilla.houston.hp.com:1181/bugzilla/show_bug.cgi?id=",INDIRECT(C70&amp;ROW())),INDIRECT(C70&amp;ROW()))</f>
        <v>58015</v>
      </c>
      <c r="N390">
        <v>58015</v>
      </c>
      <c r="O390" t="s">
        <v>56</v>
      </c>
      <c r="P390" t="s">
        <v>775</v>
      </c>
      <c r="Q390" t="s">
        <v>25</v>
      </c>
      <c r="R390" t="s">
        <v>248</v>
      </c>
      <c r="S390" t="s">
        <v>552</v>
      </c>
      <c r="U390" s="6">
        <v>42166.355590277781</v>
      </c>
      <c r="V390" t="s">
        <v>18</v>
      </c>
      <c r="W390" t="s">
        <v>576</v>
      </c>
      <c r="X390" s="6">
        <v>42065.375462962962</v>
      </c>
      <c r="Y390" t="s">
        <v>255</v>
      </c>
      <c r="AB390" t="s">
        <v>201</v>
      </c>
      <c r="AC390" t="s">
        <v>247</v>
      </c>
      <c r="AD390" t="s">
        <v>220</v>
      </c>
      <c r="AE390" t="s">
        <v>219</v>
      </c>
      <c r="AG390" t="s">
        <v>121</v>
      </c>
      <c r="AH390" t="s">
        <v>327</v>
      </c>
      <c r="AI390" t="s">
        <v>121</v>
      </c>
      <c r="AJ390" t="s">
        <v>716</v>
      </c>
      <c r="AK390" t="s">
        <v>121</v>
      </c>
    </row>
    <row r="391" spans="9:37" x14ac:dyDescent="0.3">
      <c r="I391">
        <f ca="1">IF(OR(INDIRECT(A73&amp;ROW())=B93,INDIRECT(A73&amp;ROW())=B94),1,IF(AND(INDIRECT(A73&amp;ROW())=B95,INDIRECT(A96&amp;ROW())=C93),1,IF(AND(INDIRECT(A73&amp;ROW())=B95,INDIRECT(A96&amp;ROW())=C94),1,0)))</f>
        <v>0</v>
      </c>
      <c r="J391">
        <f ca="1">IF(AND(INDIRECT(A73&amp;ROW())=B95,INDIRECT(A96&amp;ROW())=C95),1,IF(AND(INDIRECT(A73&amp;ROW())=B95,INDIRECT(A96&amp;ROW())=C96),1,0))</f>
        <v>0</v>
      </c>
      <c r="K391">
        <f ca="1">DAYS360(INDIRECT(C68&amp;ROW()),TODAY())</f>
        <v>728</v>
      </c>
      <c r="L391">
        <f ca="1">DAYS360(INDIRECT(C69&amp;ROW()),TODAY())</f>
        <v>779</v>
      </c>
      <c r="M391">
        <f ca="1">HYPERLINK(CONCATENATE("https://bugzilla.houston.hp.com:1181/bugzilla/show_bug.cgi?id=",INDIRECT(C70&amp;ROW())),INDIRECT(C70&amp;ROW()))</f>
        <v>58074</v>
      </c>
      <c r="N391">
        <v>58074</v>
      </c>
      <c r="O391" t="s">
        <v>56</v>
      </c>
      <c r="P391" t="s">
        <v>774</v>
      </c>
      <c r="Q391" t="s">
        <v>16</v>
      </c>
      <c r="R391" t="s">
        <v>251</v>
      </c>
      <c r="S391" t="s">
        <v>292</v>
      </c>
      <c r="U391" s="6">
        <v>42118.524386574078</v>
      </c>
      <c r="V391" t="s">
        <v>18</v>
      </c>
      <c r="W391" t="s">
        <v>17</v>
      </c>
      <c r="X391" s="6">
        <v>42066.574571759258</v>
      </c>
      <c r="Y391" t="s">
        <v>785</v>
      </c>
      <c r="AB391" t="s">
        <v>201</v>
      </c>
      <c r="AC391" t="s">
        <v>247</v>
      </c>
      <c r="AD391" t="s">
        <v>220</v>
      </c>
      <c r="AE391" t="s">
        <v>219</v>
      </c>
      <c r="AG391" t="s">
        <v>121</v>
      </c>
      <c r="AH391" t="s">
        <v>768</v>
      </c>
      <c r="AI391" t="s">
        <v>121</v>
      </c>
      <c r="AJ391" t="s">
        <v>717</v>
      </c>
      <c r="AK391" t="s">
        <v>121</v>
      </c>
    </row>
    <row r="392" spans="9:37" x14ac:dyDescent="0.3">
      <c r="I392">
        <f ca="1">IF(OR(INDIRECT(A73&amp;ROW())=B93,INDIRECT(A73&amp;ROW())=B94),1,IF(AND(INDIRECT(A73&amp;ROW())=B95,INDIRECT(A96&amp;ROW())=C93),1,IF(AND(INDIRECT(A73&amp;ROW())=B95,INDIRECT(A96&amp;ROW())=C94),1,0)))</f>
        <v>1</v>
      </c>
      <c r="J392">
        <f ca="1">IF(AND(INDIRECT(A73&amp;ROW())=B95,INDIRECT(A96&amp;ROW())=C95),1,IF(AND(INDIRECT(A73&amp;ROW())=B95,INDIRECT(A96&amp;ROW())=C96),1,0))</f>
        <v>0</v>
      </c>
      <c r="K392">
        <f ca="1">DAYS360(INDIRECT(C68&amp;ROW()),TODAY())</f>
        <v>693</v>
      </c>
      <c r="L392">
        <f ca="1">DAYS360(INDIRECT(C69&amp;ROW()),TODAY())</f>
        <v>779</v>
      </c>
      <c r="M392">
        <f ca="1">HYPERLINK(CONCATENATE("https://bugzilla.houston.hp.com:1181/bugzilla/show_bug.cgi?id=",INDIRECT(C70&amp;ROW())),INDIRECT(C70&amp;ROW()))</f>
        <v>58079</v>
      </c>
      <c r="N392">
        <v>58079</v>
      </c>
      <c r="O392" t="s">
        <v>66</v>
      </c>
      <c r="P392" t="s">
        <v>772</v>
      </c>
      <c r="Q392" t="s">
        <v>39</v>
      </c>
      <c r="R392" t="s">
        <v>251</v>
      </c>
      <c r="S392" t="s">
        <v>66</v>
      </c>
      <c r="T392" t="s">
        <v>782</v>
      </c>
      <c r="U392" s="6">
        <v>42153.075069444443</v>
      </c>
      <c r="V392" t="s">
        <v>35</v>
      </c>
      <c r="W392" t="s">
        <v>17</v>
      </c>
      <c r="X392" s="6">
        <v>42066.752662037034</v>
      </c>
      <c r="Y392" t="s">
        <v>122</v>
      </c>
      <c r="AB392" t="s">
        <v>201</v>
      </c>
      <c r="AC392" t="s">
        <v>247</v>
      </c>
      <c r="AD392" t="s">
        <v>220</v>
      </c>
      <c r="AE392" t="s">
        <v>219</v>
      </c>
      <c r="AG392" t="s">
        <v>121</v>
      </c>
      <c r="AH392" t="s">
        <v>327</v>
      </c>
      <c r="AI392" t="s">
        <v>121</v>
      </c>
      <c r="AJ392" t="s">
        <v>715</v>
      </c>
      <c r="AK392" t="s">
        <v>121</v>
      </c>
    </row>
    <row r="393" spans="9:37" x14ac:dyDescent="0.3">
      <c r="I393">
        <f ca="1">IF(OR(INDIRECT(A73&amp;ROW())=B93,INDIRECT(A73&amp;ROW())=B94),1,IF(AND(INDIRECT(A73&amp;ROW())=B95,INDIRECT(A96&amp;ROW())=C93),1,IF(AND(INDIRECT(A73&amp;ROW())=B95,INDIRECT(A96&amp;ROW())=C94),1,0)))</f>
        <v>1</v>
      </c>
      <c r="J393">
        <f ca="1">IF(AND(INDIRECT(A73&amp;ROW())=B95,INDIRECT(A96&amp;ROW())=C95),1,IF(AND(INDIRECT(A73&amp;ROW())=B95,INDIRECT(A96&amp;ROW())=C96),1,0))</f>
        <v>0</v>
      </c>
      <c r="K393">
        <f ca="1">DAYS360(INDIRECT(C68&amp;ROW()),TODAY())</f>
        <v>735</v>
      </c>
      <c r="L393">
        <f ca="1">DAYS360(INDIRECT(C69&amp;ROW()),TODAY())</f>
        <v>778</v>
      </c>
      <c r="M393">
        <f ca="1">HYPERLINK(CONCATENATE("https://bugzilla.houston.hp.com:1181/bugzilla/show_bug.cgi?id=",INDIRECT(C70&amp;ROW())),INDIRECT(C70&amp;ROW()))</f>
        <v>58085</v>
      </c>
      <c r="N393">
        <v>58085</v>
      </c>
      <c r="O393" t="s">
        <v>66</v>
      </c>
      <c r="P393" t="s">
        <v>771</v>
      </c>
      <c r="Q393" t="s">
        <v>39</v>
      </c>
      <c r="R393" t="s">
        <v>579</v>
      </c>
      <c r="S393" t="s">
        <v>552</v>
      </c>
      <c r="T393" t="s">
        <v>820</v>
      </c>
      <c r="U393" s="6">
        <v>42111.527662037035</v>
      </c>
      <c r="V393" t="s">
        <v>18</v>
      </c>
      <c r="W393" t="s">
        <v>372</v>
      </c>
      <c r="X393" s="6">
        <v>42067.014606481483</v>
      </c>
      <c r="Y393" t="s">
        <v>122</v>
      </c>
      <c r="AB393" t="s">
        <v>201</v>
      </c>
      <c r="AC393" t="s">
        <v>247</v>
      </c>
      <c r="AD393" t="s">
        <v>220</v>
      </c>
      <c r="AE393" t="s">
        <v>219</v>
      </c>
      <c r="AG393" t="s">
        <v>121</v>
      </c>
      <c r="AH393" t="s">
        <v>327</v>
      </c>
      <c r="AI393" t="s">
        <v>362</v>
      </c>
      <c r="AJ393" t="s">
        <v>715</v>
      </c>
      <c r="AK393" t="s">
        <v>121</v>
      </c>
    </row>
    <row r="394" spans="9:37" x14ac:dyDescent="0.3">
      <c r="I394">
        <f ca="1">IF(OR(INDIRECT(A73&amp;ROW())=B93,INDIRECT(A73&amp;ROW())=B94),1,IF(AND(INDIRECT(A73&amp;ROW())=B95,INDIRECT(A96&amp;ROW())=C93),1,IF(AND(INDIRECT(A73&amp;ROW())=B95,INDIRECT(A96&amp;ROW())=C94),1,0)))</f>
        <v>1</v>
      </c>
      <c r="J394">
        <f ca="1">IF(AND(INDIRECT(A73&amp;ROW())=B95,INDIRECT(A96&amp;ROW())=C95),1,IF(AND(INDIRECT(A73&amp;ROW())=B95,INDIRECT(A96&amp;ROW())=C96),1,0))</f>
        <v>0</v>
      </c>
      <c r="K394">
        <f ca="1">DAYS360(INDIRECT(C68&amp;ROW()),TODAY())</f>
        <v>684</v>
      </c>
      <c r="L394">
        <f ca="1">DAYS360(INDIRECT(C69&amp;ROW()),TODAY())</f>
        <v>778</v>
      </c>
      <c r="M394">
        <f ca="1">HYPERLINK(CONCATENATE("https://bugzilla.houston.hp.com:1181/bugzilla/show_bug.cgi?id=",INDIRECT(C70&amp;ROW())),INDIRECT(C70&amp;ROW()))</f>
        <v>58086</v>
      </c>
      <c r="N394">
        <v>58086</v>
      </c>
      <c r="O394" t="s">
        <v>66</v>
      </c>
      <c r="P394" t="s">
        <v>770</v>
      </c>
      <c r="Q394" t="s">
        <v>39</v>
      </c>
      <c r="R394" t="s">
        <v>248</v>
      </c>
      <c r="S394" t="s">
        <v>552</v>
      </c>
      <c r="T394" t="s">
        <v>782</v>
      </c>
      <c r="U394" s="6">
        <v>42163.604212962964</v>
      </c>
      <c r="V394" t="s">
        <v>35</v>
      </c>
      <c r="W394" t="s">
        <v>372</v>
      </c>
      <c r="X394" s="6">
        <v>42067.014675925922</v>
      </c>
      <c r="Y394" t="s">
        <v>122</v>
      </c>
      <c r="AB394" t="s">
        <v>201</v>
      </c>
      <c r="AC394" t="s">
        <v>247</v>
      </c>
      <c r="AD394" t="s">
        <v>220</v>
      </c>
      <c r="AE394" t="s">
        <v>219</v>
      </c>
      <c r="AG394" t="s">
        <v>121</v>
      </c>
      <c r="AH394" t="s">
        <v>327</v>
      </c>
      <c r="AI394" t="s">
        <v>121</v>
      </c>
      <c r="AJ394" t="s">
        <v>715</v>
      </c>
      <c r="AK394" t="s">
        <v>121</v>
      </c>
    </row>
    <row r="395" spans="9:37" x14ac:dyDescent="0.3">
      <c r="I395">
        <f ca="1">IF(OR(INDIRECT(A73&amp;ROW())=B93,INDIRECT(A73&amp;ROW())=B94),1,IF(AND(INDIRECT(A73&amp;ROW())=B95,INDIRECT(A96&amp;ROW())=C93),1,IF(AND(INDIRECT(A73&amp;ROW())=B95,INDIRECT(A96&amp;ROW())=C94),1,0)))</f>
        <v>0</v>
      </c>
      <c r="J395">
        <f ca="1">IF(AND(INDIRECT(A73&amp;ROW())=B95,INDIRECT(A96&amp;ROW())=C95),1,IF(AND(INDIRECT(A73&amp;ROW())=B95,INDIRECT(A96&amp;ROW())=C96),1,0))</f>
        <v>0</v>
      </c>
      <c r="K395">
        <f ca="1">DAYS360(INDIRECT(C68&amp;ROW()),TODAY())</f>
        <v>681</v>
      </c>
      <c r="L395">
        <f ca="1">DAYS360(INDIRECT(C69&amp;ROW()),TODAY())</f>
        <v>778</v>
      </c>
      <c r="M395">
        <f ca="1">HYPERLINK(CONCATENATE("https://bugzilla.houston.hp.com:1181/bugzilla/show_bug.cgi?id=",INDIRECT(C70&amp;ROW())),INDIRECT(C70&amp;ROW()))</f>
        <v>58098</v>
      </c>
      <c r="N395">
        <v>58098</v>
      </c>
      <c r="O395" t="s">
        <v>56</v>
      </c>
      <c r="P395" t="s">
        <v>769</v>
      </c>
      <c r="Q395" t="s">
        <v>16</v>
      </c>
      <c r="R395" t="s">
        <v>248</v>
      </c>
      <c r="S395" t="s">
        <v>552</v>
      </c>
      <c r="U395" s="6">
        <v>42166.356099537035</v>
      </c>
      <c r="V395" t="s">
        <v>18</v>
      </c>
      <c r="W395" t="s">
        <v>372</v>
      </c>
      <c r="X395" s="6">
        <v>42067.015717592592</v>
      </c>
      <c r="Y395" t="s">
        <v>785</v>
      </c>
      <c r="AB395" t="s">
        <v>201</v>
      </c>
      <c r="AC395" t="s">
        <v>247</v>
      </c>
      <c r="AD395" t="s">
        <v>220</v>
      </c>
      <c r="AE395" t="s">
        <v>219</v>
      </c>
      <c r="AG395" t="s">
        <v>121</v>
      </c>
      <c r="AH395" t="s">
        <v>768</v>
      </c>
      <c r="AI395" t="s">
        <v>121</v>
      </c>
      <c r="AJ395" t="s">
        <v>717</v>
      </c>
      <c r="AK395" t="s">
        <v>121</v>
      </c>
    </row>
    <row r="396" spans="9:37" x14ac:dyDescent="0.3">
      <c r="I396">
        <f ca="1">IF(OR(INDIRECT(A73&amp;ROW())=B93,INDIRECT(A73&amp;ROW())=B94),1,IF(AND(INDIRECT(A73&amp;ROW())=B95,INDIRECT(A96&amp;ROW())=C93),1,IF(AND(INDIRECT(A73&amp;ROW())=B95,INDIRECT(A96&amp;ROW())=C94),1,0)))</f>
        <v>0</v>
      </c>
      <c r="J396">
        <f ca="1">IF(AND(INDIRECT(A73&amp;ROW())=B95,INDIRECT(A96&amp;ROW())=C95),1,IF(AND(INDIRECT(A73&amp;ROW())=B95,INDIRECT(A96&amp;ROW())=C96),1,0))</f>
        <v>1</v>
      </c>
      <c r="K396">
        <f ca="1">DAYS360(INDIRECT(C68&amp;ROW()),TODAY())</f>
        <v>675</v>
      </c>
      <c r="L396">
        <f ca="1">DAYS360(INDIRECT(C69&amp;ROW()),TODAY())</f>
        <v>776</v>
      </c>
      <c r="M396">
        <f ca="1">HYPERLINK(CONCATENATE("https://bugzilla.houston.hp.com:1181/bugzilla/show_bug.cgi?id=",INDIRECT(C70&amp;ROW())),INDIRECT(C70&amp;ROW()))</f>
        <v>58308</v>
      </c>
      <c r="N396">
        <v>58308</v>
      </c>
      <c r="O396" t="s">
        <v>22</v>
      </c>
      <c r="P396" t="s">
        <v>781</v>
      </c>
      <c r="Q396" t="s">
        <v>25</v>
      </c>
      <c r="R396" t="s">
        <v>251</v>
      </c>
      <c r="S396" t="s">
        <v>773</v>
      </c>
      <c r="U396" s="6">
        <v>42172.482175925928</v>
      </c>
      <c r="V396" t="s">
        <v>18</v>
      </c>
      <c r="W396" t="s">
        <v>17</v>
      </c>
      <c r="X396" s="6">
        <v>42069.514872685184</v>
      </c>
      <c r="Y396" t="s">
        <v>125</v>
      </c>
      <c r="AB396" t="s">
        <v>201</v>
      </c>
      <c r="AC396" t="s">
        <v>247</v>
      </c>
      <c r="AD396" t="s">
        <v>220</v>
      </c>
      <c r="AE396" t="s">
        <v>223</v>
      </c>
      <c r="AG396" t="s">
        <v>121</v>
      </c>
      <c r="AH396" t="s">
        <v>327</v>
      </c>
      <c r="AI396" t="s">
        <v>121</v>
      </c>
      <c r="AJ396" t="s">
        <v>716</v>
      </c>
      <c r="AK396" t="s">
        <v>121</v>
      </c>
    </row>
    <row r="397" spans="9:37" x14ac:dyDescent="0.3">
      <c r="I397">
        <f ca="1">IF(OR(INDIRECT(A73&amp;ROW())=B93,INDIRECT(A73&amp;ROW())=B94),1,IF(AND(INDIRECT(A73&amp;ROW())=B95,INDIRECT(A96&amp;ROW())=C93),1,IF(AND(INDIRECT(A73&amp;ROW())=B95,INDIRECT(A96&amp;ROW())=C94),1,0)))</f>
        <v>0</v>
      </c>
      <c r="J397">
        <f ca="1">IF(AND(INDIRECT(A73&amp;ROW())=B95,INDIRECT(A96&amp;ROW())=C95),1,IF(AND(INDIRECT(A73&amp;ROW())=B95,INDIRECT(A96&amp;ROW())=C96),1,0))</f>
        <v>1</v>
      </c>
      <c r="K397">
        <f ca="1">DAYS360(INDIRECT(C68&amp;ROW()),TODAY())</f>
        <v>690</v>
      </c>
      <c r="L397">
        <f ca="1">DAYS360(INDIRECT(C69&amp;ROW()),TODAY())</f>
        <v>776</v>
      </c>
      <c r="M397">
        <f ca="1">HYPERLINK(CONCATENATE("https://bugzilla.houston.hp.com:1181/bugzilla/show_bug.cgi?id=",INDIRECT(C70&amp;ROW())),INDIRECT(C70&amp;ROW()))</f>
        <v>58311</v>
      </c>
      <c r="N397">
        <v>58311</v>
      </c>
      <c r="O397" t="s">
        <v>22</v>
      </c>
      <c r="P397" t="s">
        <v>780</v>
      </c>
      <c r="Q397" t="s">
        <v>25</v>
      </c>
      <c r="R397" t="s">
        <v>248</v>
      </c>
      <c r="S397" t="s">
        <v>552</v>
      </c>
      <c r="U397" s="6">
        <v>42157.600729166668</v>
      </c>
      <c r="V397" t="s">
        <v>18</v>
      </c>
      <c r="W397" t="s">
        <v>576</v>
      </c>
      <c r="X397" s="6">
        <v>42069.57304398148</v>
      </c>
      <c r="Y397" t="s">
        <v>125</v>
      </c>
      <c r="AB397" t="s">
        <v>201</v>
      </c>
      <c r="AC397" t="s">
        <v>247</v>
      </c>
      <c r="AD397" t="s">
        <v>220</v>
      </c>
      <c r="AE397" t="s">
        <v>223</v>
      </c>
      <c r="AG397" t="s">
        <v>121</v>
      </c>
      <c r="AH397" t="s">
        <v>327</v>
      </c>
      <c r="AI397" t="s">
        <v>121</v>
      </c>
      <c r="AJ397" t="s">
        <v>716</v>
      </c>
      <c r="AK397" t="s">
        <v>121</v>
      </c>
    </row>
    <row r="398" spans="9:37" x14ac:dyDescent="0.3">
      <c r="I398">
        <f ca="1">IF(OR(INDIRECT(A73&amp;ROW())=B93,INDIRECT(A73&amp;ROW())=B94),1,IF(AND(INDIRECT(A73&amp;ROW())=B95,INDIRECT(A96&amp;ROW())=C93),1,IF(AND(INDIRECT(A73&amp;ROW())=B95,INDIRECT(A96&amp;ROW())=C94),1,0)))</f>
        <v>1</v>
      </c>
      <c r="J398">
        <f ca="1">IF(AND(INDIRECT(A73&amp;ROW())=B95,INDIRECT(A96&amp;ROW())=C95),1,IF(AND(INDIRECT(A73&amp;ROW())=B95,INDIRECT(A96&amp;ROW())=C96),1,0))</f>
        <v>0</v>
      </c>
      <c r="K398">
        <f ca="1">DAYS360(INDIRECT(C68&amp;ROW()),TODAY())</f>
        <v>681</v>
      </c>
      <c r="L398">
        <f ca="1">DAYS360(INDIRECT(C69&amp;ROW()),TODAY())</f>
        <v>773</v>
      </c>
      <c r="M398">
        <f ca="1">HYPERLINK(CONCATENATE("https://bugzilla.houston.hp.com:1181/bugzilla/show_bug.cgi?id=",INDIRECT(C70&amp;ROW())),INDIRECT(C70&amp;ROW()))</f>
        <v>58413</v>
      </c>
      <c r="N398">
        <v>58413</v>
      </c>
      <c r="O398" t="s">
        <v>164</v>
      </c>
      <c r="P398" t="s">
        <v>1253</v>
      </c>
      <c r="Q398" t="s">
        <v>39</v>
      </c>
      <c r="R398" t="s">
        <v>251</v>
      </c>
      <c r="S398" t="s">
        <v>66</v>
      </c>
      <c r="U398" s="6">
        <v>42166.463750000003</v>
      </c>
      <c r="V398" t="s">
        <v>40</v>
      </c>
      <c r="W398" t="s">
        <v>17</v>
      </c>
      <c r="X398" s="6">
        <v>42072.772499999999</v>
      </c>
      <c r="Y398" t="s">
        <v>793</v>
      </c>
      <c r="AB398" t="s">
        <v>201</v>
      </c>
      <c r="AC398" t="s">
        <v>247</v>
      </c>
      <c r="AD398" t="s">
        <v>220</v>
      </c>
      <c r="AE398" t="s">
        <v>219</v>
      </c>
      <c r="AG398" t="s">
        <v>121</v>
      </c>
      <c r="AH398" t="s">
        <v>327</v>
      </c>
      <c r="AI398" t="s">
        <v>121</v>
      </c>
      <c r="AJ398" t="s">
        <v>716</v>
      </c>
      <c r="AK398" t="s">
        <v>121</v>
      </c>
    </row>
    <row r="399" spans="9:37" x14ac:dyDescent="0.3">
      <c r="I399">
        <f ca="1">IF(OR(INDIRECT(A73&amp;ROW())=B93,INDIRECT(A73&amp;ROW())=B94),1,IF(AND(INDIRECT(A73&amp;ROW())=B95,INDIRECT(A96&amp;ROW())=C93),1,IF(AND(INDIRECT(A73&amp;ROW())=B95,INDIRECT(A96&amp;ROW())=C94),1,0)))</f>
        <v>1</v>
      </c>
      <c r="J399">
        <f ca="1">IF(AND(INDIRECT(A73&amp;ROW())=B95,INDIRECT(A96&amp;ROW())=C95),1,IF(AND(INDIRECT(A73&amp;ROW())=B95,INDIRECT(A96&amp;ROW())=C96),1,0))</f>
        <v>0</v>
      </c>
      <c r="K399">
        <f ca="1">DAYS360(INDIRECT(C68&amp;ROW()),TODAY())</f>
        <v>684</v>
      </c>
      <c r="L399">
        <f ca="1">DAYS360(INDIRECT(C69&amp;ROW()),TODAY())</f>
        <v>772</v>
      </c>
      <c r="M399">
        <f ca="1">HYPERLINK(CONCATENATE("https://bugzilla.houston.hp.com:1181/bugzilla/show_bug.cgi?id=",INDIRECT(C70&amp;ROW())),INDIRECT(C70&amp;ROW()))</f>
        <v>58422</v>
      </c>
      <c r="N399">
        <v>58422</v>
      </c>
      <c r="O399" t="s">
        <v>156</v>
      </c>
      <c r="P399" t="s">
        <v>1252</v>
      </c>
      <c r="Q399" t="s">
        <v>39</v>
      </c>
      <c r="R399" t="s">
        <v>579</v>
      </c>
      <c r="S399" t="s">
        <v>552</v>
      </c>
      <c r="T399" t="s">
        <v>822</v>
      </c>
      <c r="U399" s="6">
        <v>42163.40315972222</v>
      </c>
      <c r="V399" t="s">
        <v>40</v>
      </c>
      <c r="W399" t="s">
        <v>322</v>
      </c>
      <c r="X399" s="6">
        <v>42073.014756944445</v>
      </c>
      <c r="Y399" t="s">
        <v>793</v>
      </c>
      <c r="AB399" t="s">
        <v>201</v>
      </c>
      <c r="AC399" t="s">
        <v>247</v>
      </c>
      <c r="AD399" t="s">
        <v>220</v>
      </c>
      <c r="AE399" t="s">
        <v>219</v>
      </c>
      <c r="AG399" t="s">
        <v>121</v>
      </c>
      <c r="AH399" t="s">
        <v>327</v>
      </c>
      <c r="AI399" t="s">
        <v>121</v>
      </c>
      <c r="AJ399" t="s">
        <v>715</v>
      </c>
      <c r="AK399" t="s">
        <v>121</v>
      </c>
    </row>
    <row r="400" spans="9:37" x14ac:dyDescent="0.3">
      <c r="I400">
        <f ca="1">IF(OR(INDIRECT(A73&amp;ROW())=B93,INDIRECT(A73&amp;ROW())=B94),1,IF(AND(INDIRECT(A73&amp;ROW())=B95,INDIRECT(A96&amp;ROW())=C93),1,IF(AND(INDIRECT(A73&amp;ROW())=B95,INDIRECT(A96&amp;ROW())=C94),1,0)))</f>
        <v>1</v>
      </c>
      <c r="J400">
        <f ca="1">IF(AND(INDIRECT(A73&amp;ROW())=B95,INDIRECT(A96&amp;ROW())=C95),1,IF(AND(INDIRECT(A73&amp;ROW())=B95,INDIRECT(A96&amp;ROW())=C96),1,0))</f>
        <v>0</v>
      </c>
      <c r="K400">
        <f ca="1">DAYS360(INDIRECT(C68&amp;ROW()),TODAY())</f>
        <v>735</v>
      </c>
      <c r="L400">
        <f ca="1">DAYS360(INDIRECT(C69&amp;ROW()),TODAY())</f>
        <v>772</v>
      </c>
      <c r="M400">
        <f ca="1">HYPERLINK(CONCATENATE("https://bugzilla.houston.hp.com:1181/bugzilla/show_bug.cgi?id=",INDIRECT(C70&amp;ROW())),INDIRECT(C70&amp;ROW()))</f>
        <v>58468</v>
      </c>
      <c r="N400">
        <v>58468</v>
      </c>
      <c r="O400" t="s">
        <v>68</v>
      </c>
      <c r="P400" t="s">
        <v>800</v>
      </c>
      <c r="Q400" t="s">
        <v>25</v>
      </c>
      <c r="R400" t="s">
        <v>579</v>
      </c>
      <c r="S400" t="s">
        <v>784</v>
      </c>
      <c r="T400" t="s">
        <v>816</v>
      </c>
      <c r="U400" s="6">
        <v>42111.528749999998</v>
      </c>
      <c r="V400" t="s">
        <v>35</v>
      </c>
      <c r="W400" t="s">
        <v>576</v>
      </c>
      <c r="X400" s="6">
        <v>42073.574074074073</v>
      </c>
      <c r="Y400" t="s">
        <v>255</v>
      </c>
      <c r="Z400" t="s">
        <v>125</v>
      </c>
      <c r="AB400" t="s">
        <v>200</v>
      </c>
      <c r="AC400" t="s">
        <v>247</v>
      </c>
      <c r="AD400" t="s">
        <v>220</v>
      </c>
      <c r="AE400" t="s">
        <v>229</v>
      </c>
      <c r="AG400" t="s">
        <v>121</v>
      </c>
      <c r="AH400" t="s">
        <v>327</v>
      </c>
      <c r="AI400" t="s">
        <v>362</v>
      </c>
      <c r="AJ400" t="s">
        <v>715</v>
      </c>
      <c r="AK400" t="s">
        <v>121</v>
      </c>
    </row>
    <row r="401" spans="9:37" x14ac:dyDescent="0.3">
      <c r="I401">
        <f ca="1">IF(OR(INDIRECT(A73&amp;ROW())=B93,INDIRECT(A73&amp;ROW())=B94),1,IF(AND(INDIRECT(A73&amp;ROW())=B95,INDIRECT(A96&amp;ROW())=C93),1,IF(AND(INDIRECT(A73&amp;ROW())=B95,INDIRECT(A96&amp;ROW())=C94),1,0)))</f>
        <v>0</v>
      </c>
      <c r="J401">
        <f ca="1">IF(AND(INDIRECT(A73&amp;ROW())=B95,INDIRECT(A96&amp;ROW())=C95),1,IF(AND(INDIRECT(A73&amp;ROW())=B95,INDIRECT(A96&amp;ROW())=C96),1,0))</f>
        <v>1</v>
      </c>
      <c r="K401">
        <f ca="1">DAYS360(INDIRECT(C68&amp;ROW()),TODAY())</f>
        <v>684</v>
      </c>
      <c r="L401">
        <f ca="1">DAYS360(INDIRECT(C69&amp;ROW()),TODAY())</f>
        <v>770</v>
      </c>
      <c r="M401">
        <f ca="1">HYPERLINK(CONCATENATE("https://bugzilla.houston.hp.com:1181/bugzilla/show_bug.cgi?id=",INDIRECT(C70&amp;ROW())),INDIRECT(C70&amp;ROW()))</f>
        <v>58612</v>
      </c>
      <c r="N401">
        <v>58612</v>
      </c>
      <c r="O401" t="s">
        <v>45</v>
      </c>
      <c r="P401" t="s">
        <v>799</v>
      </c>
      <c r="Q401" t="s">
        <v>25</v>
      </c>
      <c r="R401" t="s">
        <v>251</v>
      </c>
      <c r="S401" t="s">
        <v>33</v>
      </c>
      <c r="T401" t="s">
        <v>798</v>
      </c>
      <c r="U401" s="6">
        <v>42163.556331018517</v>
      </c>
      <c r="V401" t="s">
        <v>18</v>
      </c>
      <c r="W401" t="s">
        <v>783</v>
      </c>
      <c r="X401" s="6">
        <v>42075.22042824074</v>
      </c>
      <c r="Y401" t="s">
        <v>119</v>
      </c>
      <c r="AB401" t="s">
        <v>201</v>
      </c>
      <c r="AC401" t="s">
        <v>247</v>
      </c>
      <c r="AD401" t="s">
        <v>227</v>
      </c>
      <c r="AE401" t="s">
        <v>370</v>
      </c>
      <c r="AG401" t="s">
        <v>121</v>
      </c>
      <c r="AH401" t="s">
        <v>327</v>
      </c>
      <c r="AI401" t="s">
        <v>121</v>
      </c>
      <c r="AJ401" t="s">
        <v>716</v>
      </c>
      <c r="AK401" t="s">
        <v>121</v>
      </c>
    </row>
    <row r="402" spans="9:37" x14ac:dyDescent="0.3">
      <c r="I402">
        <f ca="1">IF(OR(INDIRECT(A73&amp;ROW())=B93,INDIRECT(A73&amp;ROW())=B94),1,IF(AND(INDIRECT(A73&amp;ROW())=B95,INDIRECT(A96&amp;ROW())=C93),1,IF(AND(INDIRECT(A73&amp;ROW())=B95,INDIRECT(A96&amp;ROW())=C94),1,0)))</f>
        <v>0</v>
      </c>
      <c r="J402">
        <f ca="1">IF(AND(INDIRECT(A73&amp;ROW())=B95,INDIRECT(A96&amp;ROW())=C95),1,IF(AND(INDIRECT(A73&amp;ROW())=B95,INDIRECT(A96&amp;ROW())=C96),1,0))</f>
        <v>1</v>
      </c>
      <c r="K402">
        <f ca="1">DAYS360(INDIRECT(C68&amp;ROW()),TODAY())</f>
        <v>690</v>
      </c>
      <c r="L402">
        <f ca="1">DAYS360(INDIRECT(C69&amp;ROW()),TODAY())</f>
        <v>770</v>
      </c>
      <c r="M402">
        <f ca="1">HYPERLINK(CONCATENATE("https://bugzilla.houston.hp.com:1181/bugzilla/show_bug.cgi?id=",INDIRECT(C70&amp;ROW())),INDIRECT(C70&amp;ROW()))</f>
        <v>58627</v>
      </c>
      <c r="N402">
        <v>58627</v>
      </c>
      <c r="O402" t="s">
        <v>36</v>
      </c>
      <c r="P402" t="s">
        <v>797</v>
      </c>
      <c r="Q402" t="s">
        <v>25</v>
      </c>
      <c r="R402" t="s">
        <v>579</v>
      </c>
      <c r="S402" t="s">
        <v>552</v>
      </c>
      <c r="T402" t="s">
        <v>798</v>
      </c>
      <c r="U402" s="6">
        <v>42157.102453703701</v>
      </c>
      <c r="V402" t="s">
        <v>18</v>
      </c>
      <c r="W402" t="s">
        <v>783</v>
      </c>
      <c r="X402" s="6">
        <v>42075.359710648147</v>
      </c>
      <c r="Y402" t="s">
        <v>119</v>
      </c>
      <c r="AB402" t="s">
        <v>201</v>
      </c>
      <c r="AC402" t="s">
        <v>247</v>
      </c>
      <c r="AD402" t="s">
        <v>227</v>
      </c>
      <c r="AE402" t="s">
        <v>370</v>
      </c>
      <c r="AG402" t="s">
        <v>121</v>
      </c>
      <c r="AH402" t="s">
        <v>327</v>
      </c>
      <c r="AI402" t="s">
        <v>121</v>
      </c>
      <c r="AJ402" t="s">
        <v>716</v>
      </c>
      <c r="AK402" t="s">
        <v>121</v>
      </c>
    </row>
    <row r="403" spans="9:37" x14ac:dyDescent="0.3">
      <c r="I403">
        <f ca="1">IF(OR(INDIRECT(A73&amp;ROW())=B93,INDIRECT(A73&amp;ROW())=B94),1,IF(AND(INDIRECT(A73&amp;ROW())=B95,INDIRECT(A96&amp;ROW())=C93),1,IF(AND(INDIRECT(A73&amp;ROW())=B95,INDIRECT(A96&amp;ROW())=C94),1,0)))</f>
        <v>0</v>
      </c>
      <c r="J403">
        <f ca="1">IF(AND(INDIRECT(A73&amp;ROW())=B95,INDIRECT(A96&amp;ROW())=C95),1,IF(AND(INDIRECT(A73&amp;ROW())=B95,INDIRECT(A96&amp;ROW())=C96),1,0))</f>
        <v>1</v>
      </c>
      <c r="K403">
        <f ca="1">DAYS360(INDIRECT(C68&amp;ROW()),TODAY())</f>
        <v>690</v>
      </c>
      <c r="L403">
        <f ca="1">DAYS360(INDIRECT(C69&amp;ROW()),TODAY())</f>
        <v>770</v>
      </c>
      <c r="M403">
        <f ca="1">HYPERLINK(CONCATENATE("https://bugzilla.houston.hp.com:1181/bugzilla/show_bug.cgi?id=",INDIRECT(C70&amp;ROW())),INDIRECT(C70&amp;ROW()))</f>
        <v>58628</v>
      </c>
      <c r="N403">
        <v>58628</v>
      </c>
      <c r="O403" t="s">
        <v>36</v>
      </c>
      <c r="P403" t="s">
        <v>796</v>
      </c>
      <c r="Q403" t="s">
        <v>25</v>
      </c>
      <c r="R403" t="s">
        <v>248</v>
      </c>
      <c r="S403" t="s">
        <v>552</v>
      </c>
      <c r="U403" s="6">
        <v>42157.10324074074</v>
      </c>
      <c r="V403" t="s">
        <v>18</v>
      </c>
      <c r="W403" t="s">
        <v>783</v>
      </c>
      <c r="X403" s="6">
        <v>42075.360277777778</v>
      </c>
      <c r="Y403" t="s">
        <v>119</v>
      </c>
      <c r="AB403" t="s">
        <v>201</v>
      </c>
      <c r="AC403" t="s">
        <v>247</v>
      </c>
      <c r="AD403" t="s">
        <v>227</v>
      </c>
      <c r="AE403" t="s">
        <v>370</v>
      </c>
      <c r="AG403" t="s">
        <v>121</v>
      </c>
      <c r="AH403" t="s">
        <v>327</v>
      </c>
      <c r="AI403" t="s">
        <v>121</v>
      </c>
      <c r="AJ403" t="s">
        <v>716</v>
      </c>
      <c r="AK403" t="s">
        <v>121</v>
      </c>
    </row>
    <row r="404" spans="9:37" x14ac:dyDescent="0.3">
      <c r="I404">
        <f ca="1">IF(OR(INDIRECT(A73&amp;ROW())=B93,INDIRECT(A73&amp;ROW())=B94),1,IF(AND(INDIRECT(A73&amp;ROW())=B95,INDIRECT(A96&amp;ROW())=C93),1,IF(AND(INDIRECT(A73&amp;ROW())=B95,INDIRECT(A96&amp;ROW())=C94),1,0)))</f>
        <v>1</v>
      </c>
      <c r="J404">
        <f ca="1">IF(AND(INDIRECT(A73&amp;ROW())=B95,INDIRECT(A96&amp;ROW())=C95),1,IF(AND(INDIRECT(A73&amp;ROW())=B95,INDIRECT(A96&amp;ROW())=C96),1,0))</f>
        <v>0</v>
      </c>
      <c r="K404">
        <f ca="1">DAYS360(INDIRECT(C68&amp;ROW()),TODAY())</f>
        <v>696</v>
      </c>
      <c r="L404">
        <f ca="1">DAYS360(INDIRECT(C69&amp;ROW()),TODAY())</f>
        <v>769</v>
      </c>
      <c r="M404">
        <f ca="1">HYPERLINK(CONCATENATE("https://bugzilla.houston.hp.com:1181/bugzilla/show_bug.cgi?id=",INDIRECT(C70&amp;ROW())),INDIRECT(C70&amp;ROW()))</f>
        <v>58713</v>
      </c>
      <c r="N404">
        <v>58713</v>
      </c>
      <c r="O404" t="s">
        <v>21</v>
      </c>
      <c r="P404" t="s">
        <v>808</v>
      </c>
      <c r="Q404" t="s">
        <v>39</v>
      </c>
      <c r="R404" t="s">
        <v>251</v>
      </c>
      <c r="S404" t="s">
        <v>336</v>
      </c>
      <c r="U404" s="6">
        <v>42150.368900462963</v>
      </c>
      <c r="V404" t="s">
        <v>18</v>
      </c>
      <c r="W404" t="s">
        <v>17</v>
      </c>
      <c r="X404" s="6">
        <v>42076.621111111112</v>
      </c>
      <c r="Y404" t="s">
        <v>122</v>
      </c>
      <c r="Z404" t="s">
        <v>255</v>
      </c>
      <c r="AB404" t="s">
        <v>201</v>
      </c>
      <c r="AC404" t="s">
        <v>247</v>
      </c>
      <c r="AD404" t="s">
        <v>222</v>
      </c>
      <c r="AE404" t="s">
        <v>221</v>
      </c>
      <c r="AG404" t="s">
        <v>121</v>
      </c>
      <c r="AH404" t="s">
        <v>327</v>
      </c>
      <c r="AI404" t="s">
        <v>121</v>
      </c>
      <c r="AJ404" t="s">
        <v>715</v>
      </c>
      <c r="AK404" t="s">
        <v>121</v>
      </c>
    </row>
    <row r="405" spans="9:37" x14ac:dyDescent="0.3">
      <c r="I405">
        <f ca="1">IF(OR(INDIRECT(A73&amp;ROW())=B93,INDIRECT(A73&amp;ROW())=B94),1,IF(AND(INDIRECT(A73&amp;ROW())=B95,INDIRECT(A96&amp;ROW())=C93),1,IF(AND(INDIRECT(A73&amp;ROW())=B95,INDIRECT(A96&amp;ROW())=C94),1,0)))</f>
        <v>1</v>
      </c>
      <c r="J405">
        <f ca="1">IF(AND(INDIRECT(A73&amp;ROW())=B95,INDIRECT(A96&amp;ROW())=C95),1,IF(AND(INDIRECT(A73&amp;ROW())=B95,INDIRECT(A96&amp;ROW())=C96),1,0))</f>
        <v>0</v>
      </c>
      <c r="K405">
        <f ca="1">DAYS360(INDIRECT(C68&amp;ROW()),TODAY())</f>
        <v>696</v>
      </c>
      <c r="L405">
        <f ca="1">DAYS360(INDIRECT(C69&amp;ROW()),TODAY())</f>
        <v>769</v>
      </c>
      <c r="M405">
        <f ca="1">HYPERLINK(CONCATENATE("https://bugzilla.houston.hp.com:1181/bugzilla/show_bug.cgi?id=",INDIRECT(C70&amp;ROW())),INDIRECT(C70&amp;ROW()))</f>
        <v>58715</v>
      </c>
      <c r="N405">
        <v>58715</v>
      </c>
      <c r="O405" t="s">
        <v>21</v>
      </c>
      <c r="P405" t="s">
        <v>807</v>
      </c>
      <c r="Q405" t="s">
        <v>39</v>
      </c>
      <c r="R405" t="s">
        <v>579</v>
      </c>
      <c r="S405" t="s">
        <v>552</v>
      </c>
      <c r="T405" t="s">
        <v>822</v>
      </c>
      <c r="U405" s="6">
        <v>42150.36886574074</v>
      </c>
      <c r="V405" t="s">
        <v>18</v>
      </c>
      <c r="W405" t="s">
        <v>17</v>
      </c>
      <c r="X405" s="6">
        <v>42076.630497685182</v>
      </c>
      <c r="Y405" t="s">
        <v>122</v>
      </c>
      <c r="AB405" t="s">
        <v>201</v>
      </c>
      <c r="AC405" t="s">
        <v>247</v>
      </c>
      <c r="AD405" t="s">
        <v>222</v>
      </c>
      <c r="AE405" t="s">
        <v>221</v>
      </c>
      <c r="AG405" t="s">
        <v>121</v>
      </c>
      <c r="AH405" t="s">
        <v>327</v>
      </c>
      <c r="AI405" t="s">
        <v>362</v>
      </c>
      <c r="AJ405" t="s">
        <v>715</v>
      </c>
      <c r="AK405" t="s">
        <v>121</v>
      </c>
    </row>
    <row r="406" spans="9:37" x14ac:dyDescent="0.3">
      <c r="I406">
        <f ca="1">IF(OR(INDIRECT(A73&amp;ROW())=B93,INDIRECT(A73&amp;ROW())=B94),1,IF(AND(INDIRECT(A73&amp;ROW())=B95,INDIRECT(A96&amp;ROW())=C93),1,IF(AND(INDIRECT(A73&amp;ROW())=B95,INDIRECT(A96&amp;ROW())=C94),1,0)))</f>
        <v>1</v>
      </c>
      <c r="J406">
        <f ca="1">IF(AND(INDIRECT(A73&amp;ROW())=B95,INDIRECT(A96&amp;ROW())=C95),1,IF(AND(INDIRECT(A73&amp;ROW())=B95,INDIRECT(A96&amp;ROW())=C96),1,0))</f>
        <v>0</v>
      </c>
      <c r="K406">
        <f ca="1">DAYS360(INDIRECT(C68&amp;ROW()),TODAY())</f>
        <v>696</v>
      </c>
      <c r="L406">
        <f ca="1">DAYS360(INDIRECT(C69&amp;ROW()),TODAY())</f>
        <v>769</v>
      </c>
      <c r="M406">
        <f ca="1">HYPERLINK(CONCATENATE("https://bugzilla.houston.hp.com:1181/bugzilla/show_bug.cgi?id=",INDIRECT(C70&amp;ROW())),INDIRECT(C70&amp;ROW()))</f>
        <v>58716</v>
      </c>
      <c r="N406">
        <v>58716</v>
      </c>
      <c r="O406" t="s">
        <v>21</v>
      </c>
      <c r="P406" t="s">
        <v>806</v>
      </c>
      <c r="Q406" t="s">
        <v>39</v>
      </c>
      <c r="R406" t="s">
        <v>248</v>
      </c>
      <c r="S406" t="s">
        <v>552</v>
      </c>
      <c r="U406" s="6">
        <v>42150.368888888886</v>
      </c>
      <c r="V406" t="s">
        <v>18</v>
      </c>
      <c r="W406" t="s">
        <v>17</v>
      </c>
      <c r="X406" s="6">
        <v>42076.630567129629</v>
      </c>
      <c r="Y406" t="s">
        <v>122</v>
      </c>
      <c r="AB406" t="s">
        <v>201</v>
      </c>
      <c r="AC406" t="s">
        <v>247</v>
      </c>
      <c r="AD406" t="s">
        <v>222</v>
      </c>
      <c r="AE406" t="s">
        <v>221</v>
      </c>
      <c r="AG406" t="s">
        <v>121</v>
      </c>
      <c r="AH406" t="s">
        <v>327</v>
      </c>
      <c r="AI406" t="s">
        <v>121</v>
      </c>
      <c r="AJ406" t="s">
        <v>715</v>
      </c>
      <c r="AK406" t="s">
        <v>121</v>
      </c>
    </row>
    <row r="407" spans="9:37" x14ac:dyDescent="0.3">
      <c r="I407">
        <f ca="1">IF(OR(INDIRECT(A73&amp;ROW())=B93,INDIRECT(A73&amp;ROW())=B94),1,IF(AND(INDIRECT(A73&amp;ROW())=B95,INDIRECT(A96&amp;ROW())=C93),1,IF(AND(INDIRECT(A73&amp;ROW())=B95,INDIRECT(A96&amp;ROW())=C94),1,0)))</f>
        <v>1</v>
      </c>
      <c r="J407">
        <f ca="1">IF(AND(INDIRECT(A73&amp;ROW())=B95,INDIRECT(A96&amp;ROW())=C95),1,IF(AND(INDIRECT(A73&amp;ROW())=B95,INDIRECT(A96&amp;ROW())=C96),1,0))</f>
        <v>0</v>
      </c>
      <c r="K407">
        <f ca="1">DAYS360(INDIRECT(C68&amp;ROW()),TODAY())</f>
        <v>769</v>
      </c>
      <c r="L407">
        <f ca="1">DAYS360(INDIRECT(C69&amp;ROW()),TODAY())</f>
        <v>769</v>
      </c>
      <c r="M407">
        <f ca="1">HYPERLINK(CONCATENATE("https://bugzilla.houston.hp.com:1181/bugzilla/show_bug.cgi?id=",INDIRECT(C70&amp;ROW())),INDIRECT(C70&amp;ROW()))</f>
        <v>58720</v>
      </c>
      <c r="N407">
        <v>58720</v>
      </c>
      <c r="O407" t="s">
        <v>56</v>
      </c>
      <c r="P407" t="s">
        <v>805</v>
      </c>
      <c r="Q407" t="s">
        <v>25</v>
      </c>
      <c r="R407" t="s">
        <v>248</v>
      </c>
      <c r="S407" t="s">
        <v>552</v>
      </c>
      <c r="U407" s="6">
        <v>42076.652650462966</v>
      </c>
      <c r="V407" t="s">
        <v>18</v>
      </c>
      <c r="W407" t="s">
        <v>248</v>
      </c>
      <c r="X407" s="6">
        <v>42076.652650462966</v>
      </c>
      <c r="Y407" t="s">
        <v>123</v>
      </c>
      <c r="AB407" t="s">
        <v>200</v>
      </c>
      <c r="AC407" t="s">
        <v>247</v>
      </c>
      <c r="AD407" t="s">
        <v>220</v>
      </c>
      <c r="AE407" t="s">
        <v>219</v>
      </c>
      <c r="AG407" t="s">
        <v>121</v>
      </c>
      <c r="AH407" t="s">
        <v>327</v>
      </c>
      <c r="AI407" t="s">
        <v>121</v>
      </c>
      <c r="AJ407" t="s">
        <v>715</v>
      </c>
      <c r="AK407" t="s">
        <v>121</v>
      </c>
    </row>
    <row r="408" spans="9:37" x14ac:dyDescent="0.3">
      <c r="I408">
        <f ca="1">IF(OR(INDIRECT(A73&amp;ROW())=B93,INDIRECT(A73&amp;ROW())=B94),1,IF(AND(INDIRECT(A73&amp;ROW())=B95,INDIRECT(A96&amp;ROW())=C93),1,IF(AND(INDIRECT(A73&amp;ROW())=B95,INDIRECT(A96&amp;ROW())=C94),1,0)))</f>
        <v>1</v>
      </c>
      <c r="J408">
        <f ca="1">IF(AND(INDIRECT(A73&amp;ROW())=B95,INDIRECT(A96&amp;ROW())=C95),1,IF(AND(INDIRECT(A73&amp;ROW())=B95,INDIRECT(A96&amp;ROW())=C96),1,0))</f>
        <v>0</v>
      </c>
      <c r="K408">
        <f ca="1">DAYS360(INDIRECT(C68&amp;ROW()),TODAY())</f>
        <v>682</v>
      </c>
      <c r="L408">
        <f ca="1">DAYS360(INDIRECT(C69&amp;ROW()),TODAY())</f>
        <v>765</v>
      </c>
      <c r="M408">
        <f ca="1">HYPERLINK(CONCATENATE("https://bugzilla.houston.hp.com:1181/bugzilla/show_bug.cgi?id=",INDIRECT(C70&amp;ROW())),INDIRECT(C70&amp;ROW()))</f>
        <v>58905</v>
      </c>
      <c r="N408">
        <v>58905</v>
      </c>
      <c r="O408" t="s">
        <v>22</v>
      </c>
      <c r="P408" t="s">
        <v>812</v>
      </c>
      <c r="Q408" t="s">
        <v>25</v>
      </c>
      <c r="R408" t="s">
        <v>251</v>
      </c>
      <c r="S408" t="s">
        <v>24</v>
      </c>
      <c r="T408" t="s">
        <v>809</v>
      </c>
      <c r="U408" s="6">
        <v>42165.30364583333</v>
      </c>
      <c r="V408" t="s">
        <v>18</v>
      </c>
      <c r="W408" t="s">
        <v>764</v>
      </c>
      <c r="X408" s="6">
        <v>42080.415046296293</v>
      </c>
      <c r="Y408" t="s">
        <v>810</v>
      </c>
      <c r="AB408" t="s">
        <v>199</v>
      </c>
      <c r="AC408" t="s">
        <v>247</v>
      </c>
      <c r="AD408" t="s">
        <v>222</v>
      </c>
      <c r="AE408" t="s">
        <v>221</v>
      </c>
      <c r="AG408" t="s">
        <v>121</v>
      </c>
      <c r="AH408" t="s">
        <v>327</v>
      </c>
      <c r="AI408" t="s">
        <v>121</v>
      </c>
      <c r="AJ408" t="s">
        <v>715</v>
      </c>
      <c r="AK408" t="s">
        <v>121</v>
      </c>
    </row>
    <row r="409" spans="9:37" x14ac:dyDescent="0.3">
      <c r="I409">
        <f ca="1">IF(OR(INDIRECT(A73&amp;ROW())=B93,INDIRECT(A73&amp;ROW())=B94),1,IF(AND(INDIRECT(A73&amp;ROW())=B95,INDIRECT(A96&amp;ROW())=C93),1,IF(AND(INDIRECT(A73&amp;ROW())=B95,INDIRECT(A96&amp;ROW())=C94),1,0)))</f>
        <v>1</v>
      </c>
      <c r="J409">
        <f ca="1">IF(AND(INDIRECT(A73&amp;ROW())=B95,INDIRECT(A96&amp;ROW())=C95),1,IF(AND(INDIRECT(A73&amp;ROW())=B95,INDIRECT(A96&amp;ROW())=C96),1,0))</f>
        <v>0</v>
      </c>
      <c r="K409">
        <f ca="1">DAYS360(INDIRECT(C68&amp;ROW()),TODAY())</f>
        <v>677</v>
      </c>
      <c r="L409">
        <f ca="1">DAYS360(INDIRECT(C69&amp;ROW()),TODAY())</f>
        <v>765</v>
      </c>
      <c r="M409">
        <f ca="1">HYPERLINK(CONCATENATE("https://bugzilla.houston.hp.com:1181/bugzilla/show_bug.cgi?id=",INDIRECT(C70&amp;ROW())),INDIRECT(C70&amp;ROW()))</f>
        <v>58914</v>
      </c>
      <c r="N409">
        <v>58914</v>
      </c>
      <c r="O409" t="s">
        <v>36</v>
      </c>
      <c r="P409" t="s">
        <v>811</v>
      </c>
      <c r="Q409" t="s">
        <v>25</v>
      </c>
      <c r="R409" t="s">
        <v>248</v>
      </c>
      <c r="S409" t="s">
        <v>552</v>
      </c>
      <c r="T409" t="s">
        <v>809</v>
      </c>
      <c r="U409" s="6">
        <v>42170.563657407409</v>
      </c>
      <c r="V409" t="s">
        <v>18</v>
      </c>
      <c r="W409" t="s">
        <v>764</v>
      </c>
      <c r="X409" s="6">
        <v>42080.545231481483</v>
      </c>
      <c r="Y409" t="s">
        <v>810</v>
      </c>
      <c r="AB409" t="s">
        <v>199</v>
      </c>
      <c r="AC409" t="s">
        <v>247</v>
      </c>
      <c r="AD409" t="s">
        <v>222</v>
      </c>
      <c r="AE409" t="s">
        <v>221</v>
      </c>
      <c r="AG409" t="s">
        <v>121</v>
      </c>
      <c r="AH409" t="s">
        <v>327</v>
      </c>
      <c r="AI409" t="s">
        <v>121</v>
      </c>
      <c r="AJ409" t="s">
        <v>715</v>
      </c>
      <c r="AK409" t="s">
        <v>121</v>
      </c>
    </row>
    <row r="410" spans="9:37" x14ac:dyDescent="0.3">
      <c r="I410">
        <f ca="1">IF(OR(INDIRECT(A73&amp;ROW())=B93,INDIRECT(A73&amp;ROW())=B94),1,IF(AND(INDIRECT(A73&amp;ROW())=B95,INDIRECT(A96&amp;ROW())=C93),1,IF(AND(INDIRECT(A73&amp;ROW())=B95,INDIRECT(A96&amp;ROW())=C94),1,0)))</f>
        <v>1</v>
      </c>
      <c r="J410">
        <f ca="1">IF(AND(INDIRECT(A73&amp;ROW())=B95,INDIRECT(A96&amp;ROW())=C95),1,IF(AND(INDIRECT(A73&amp;ROW())=B95,INDIRECT(A96&amp;ROW())=C96),1,0))</f>
        <v>0</v>
      </c>
      <c r="K410">
        <f ca="1">DAYS360(INDIRECT(C68&amp;ROW()),TODAY())</f>
        <v>730</v>
      </c>
      <c r="L410">
        <f ca="1">DAYS360(INDIRECT(C69&amp;ROW()),TODAY())</f>
        <v>765</v>
      </c>
      <c r="M410">
        <f ca="1">HYPERLINK(CONCATENATE("https://bugzilla.houston.hp.com:1181/bugzilla/show_bug.cgi?id=",INDIRECT(C70&amp;ROW())),INDIRECT(C70&amp;ROW()))</f>
        <v>58924</v>
      </c>
      <c r="N410">
        <v>58924</v>
      </c>
      <c r="O410" t="s">
        <v>56</v>
      </c>
      <c r="P410" t="s">
        <v>813</v>
      </c>
      <c r="Q410" t="s">
        <v>39</v>
      </c>
      <c r="R410" t="s">
        <v>251</v>
      </c>
      <c r="S410" t="s">
        <v>53</v>
      </c>
      <c r="U410" s="6">
        <v>42116.737164351849</v>
      </c>
      <c r="V410" t="s">
        <v>18</v>
      </c>
      <c r="W410" t="s">
        <v>17</v>
      </c>
      <c r="X410" s="6">
        <v>42080.683611111112</v>
      </c>
      <c r="Y410" t="s">
        <v>801</v>
      </c>
      <c r="AB410" t="s">
        <v>201</v>
      </c>
      <c r="AC410" t="s">
        <v>247</v>
      </c>
      <c r="AD410" t="s">
        <v>220</v>
      </c>
      <c r="AE410" t="s">
        <v>219</v>
      </c>
      <c r="AG410" t="s">
        <v>121</v>
      </c>
      <c r="AH410" t="s">
        <v>327</v>
      </c>
      <c r="AI410" t="s">
        <v>121</v>
      </c>
      <c r="AJ410" t="s">
        <v>715</v>
      </c>
      <c r="AK410" t="s">
        <v>121</v>
      </c>
    </row>
    <row r="411" spans="9:37" x14ac:dyDescent="0.3">
      <c r="I411">
        <f ca="1">IF(OR(INDIRECT(A73&amp;ROW())=B93,INDIRECT(A73&amp;ROW())=B94),1,IF(AND(INDIRECT(A73&amp;ROW())=B95,INDIRECT(A96&amp;ROW())=C93),1,IF(AND(INDIRECT(A73&amp;ROW())=B95,INDIRECT(A96&amp;ROW())=C94),1,0)))</f>
        <v>1</v>
      </c>
      <c r="J411">
        <f ca="1">IF(AND(INDIRECT(A73&amp;ROW())=B95,INDIRECT(A96&amp;ROW())=C95),1,IF(AND(INDIRECT(A73&amp;ROW())=B95,INDIRECT(A96&amp;ROW())=C96),1,0))</f>
        <v>0</v>
      </c>
      <c r="K411">
        <f ca="1">DAYS360(INDIRECT(C68&amp;ROW()),TODAY())</f>
        <v>703</v>
      </c>
      <c r="L411">
        <f ca="1">DAYS360(INDIRECT(C69&amp;ROW()),TODAY())</f>
        <v>764</v>
      </c>
      <c r="M411">
        <f ca="1">HYPERLINK(CONCATENATE("https://bugzilla.houston.hp.com:1181/bugzilla/show_bug.cgi?id=",INDIRECT(C70&amp;ROW())),INDIRECT(C70&amp;ROW()))</f>
        <v>59002</v>
      </c>
      <c r="N411">
        <v>59002</v>
      </c>
      <c r="O411" t="s">
        <v>188</v>
      </c>
      <c r="P411" t="s">
        <v>814</v>
      </c>
      <c r="Q411" t="s">
        <v>39</v>
      </c>
      <c r="R411" t="s">
        <v>251</v>
      </c>
      <c r="S411" t="s">
        <v>43</v>
      </c>
      <c r="U411" s="6">
        <v>42143.458402777775</v>
      </c>
      <c r="V411" t="s">
        <v>18</v>
      </c>
      <c r="W411" t="s">
        <v>17</v>
      </c>
      <c r="X411" s="6">
        <v>42081.485729166663</v>
      </c>
      <c r="Y411" t="s">
        <v>793</v>
      </c>
      <c r="AB411" t="s">
        <v>201</v>
      </c>
      <c r="AC411" t="s">
        <v>247</v>
      </c>
      <c r="AD411" t="s">
        <v>220</v>
      </c>
      <c r="AE411" t="s">
        <v>229</v>
      </c>
      <c r="AG411" t="s">
        <v>121</v>
      </c>
      <c r="AH411" t="s">
        <v>327</v>
      </c>
      <c r="AI411" t="s">
        <v>121</v>
      </c>
      <c r="AJ411" t="s">
        <v>715</v>
      </c>
      <c r="AK411" t="s">
        <v>121</v>
      </c>
    </row>
    <row r="412" spans="9:37" x14ac:dyDescent="0.3">
      <c r="I412">
        <f ca="1">IF(OR(INDIRECT(A73&amp;ROW())=B93,INDIRECT(A73&amp;ROW())=B94),1,IF(AND(INDIRECT(A73&amp;ROW())=B95,INDIRECT(A96&amp;ROW())=C93),1,IF(AND(INDIRECT(A73&amp;ROW())=B95,INDIRECT(A96&amp;ROW())=C94),1,0)))</f>
        <v>0</v>
      </c>
      <c r="J412">
        <f ca="1">IF(AND(INDIRECT(A73&amp;ROW())=B95,INDIRECT(A96&amp;ROW())=C95),1,IF(AND(INDIRECT(A73&amp;ROW())=B95,INDIRECT(A96&amp;ROW())=C96),1,0))</f>
        <v>1</v>
      </c>
      <c r="K412">
        <f ca="1">DAYS360(INDIRECT(C68&amp;ROW()),TODAY())</f>
        <v>684</v>
      </c>
      <c r="L412">
        <f ca="1">DAYS360(INDIRECT(C69&amp;ROW()),TODAY())</f>
        <v>759</v>
      </c>
      <c r="M412">
        <f ca="1">HYPERLINK(CONCATENATE("https://bugzilla.houston.hp.com:1181/bugzilla/show_bug.cgi?id=",INDIRECT(C70&amp;ROW())),INDIRECT(C70&amp;ROW()))</f>
        <v>59164</v>
      </c>
      <c r="N412">
        <v>59164</v>
      </c>
      <c r="O412" t="s">
        <v>53</v>
      </c>
      <c r="P412" t="s">
        <v>1011</v>
      </c>
      <c r="Q412" t="s">
        <v>25</v>
      </c>
      <c r="R412" t="s">
        <v>251</v>
      </c>
      <c r="S412" t="s">
        <v>773</v>
      </c>
      <c r="U412" s="6">
        <v>42163.549826388888</v>
      </c>
      <c r="V412" t="s">
        <v>18</v>
      </c>
      <c r="W412" t="s">
        <v>17</v>
      </c>
      <c r="X412" s="6">
        <v>42086.240844907406</v>
      </c>
      <c r="Y412" t="s">
        <v>125</v>
      </c>
      <c r="AB412" t="s">
        <v>201</v>
      </c>
      <c r="AC412" t="s">
        <v>247</v>
      </c>
      <c r="AD412" t="s">
        <v>222</v>
      </c>
      <c r="AE412" t="s">
        <v>221</v>
      </c>
      <c r="AG412" t="s">
        <v>121</v>
      </c>
      <c r="AH412" t="s">
        <v>327</v>
      </c>
      <c r="AI412" t="s">
        <v>121</v>
      </c>
      <c r="AJ412" t="s">
        <v>716</v>
      </c>
      <c r="AK412" t="s">
        <v>121</v>
      </c>
    </row>
    <row r="413" spans="9:37" x14ac:dyDescent="0.3">
      <c r="I413">
        <f ca="1">IF(OR(INDIRECT(A73&amp;ROW())=B93,INDIRECT(A73&amp;ROW())=B94),1,IF(AND(INDIRECT(A73&amp;ROW())=B95,INDIRECT(A96&amp;ROW())=C93),1,IF(AND(INDIRECT(A73&amp;ROW())=B95,INDIRECT(A96&amp;ROW())=C94),1,0)))</f>
        <v>0</v>
      </c>
      <c r="J413">
        <f ca="1">IF(AND(INDIRECT(A73&amp;ROW())=B95,INDIRECT(A96&amp;ROW())=C95),1,IF(AND(INDIRECT(A73&amp;ROW())=B95,INDIRECT(A96&amp;ROW())=C96),1,0))</f>
        <v>1</v>
      </c>
      <c r="K413">
        <f ca="1">DAYS360(INDIRECT(C68&amp;ROW()),TODAY())</f>
        <v>710</v>
      </c>
      <c r="L413">
        <f ca="1">DAYS360(INDIRECT(C69&amp;ROW()),TODAY())</f>
        <v>758</v>
      </c>
      <c r="M413">
        <f ca="1">HYPERLINK(CONCATENATE("https://bugzilla.houston.hp.com:1181/bugzilla/show_bug.cgi?id=",INDIRECT(C70&amp;ROW())),INDIRECT(C70&amp;ROW()))</f>
        <v>59208</v>
      </c>
      <c r="N413">
        <v>59208</v>
      </c>
      <c r="O413" t="s">
        <v>53</v>
      </c>
      <c r="P413" t="s">
        <v>1048</v>
      </c>
      <c r="Q413" t="s">
        <v>25</v>
      </c>
      <c r="R413" t="s">
        <v>783</v>
      </c>
      <c r="S413" t="s">
        <v>1045</v>
      </c>
      <c r="U413" s="6">
        <v>42136.46534722222</v>
      </c>
      <c r="V413" t="s">
        <v>18</v>
      </c>
      <c r="W413" t="s">
        <v>17</v>
      </c>
      <c r="X413" s="6">
        <v>42087.026030092595</v>
      </c>
      <c r="Y413" t="s">
        <v>125</v>
      </c>
      <c r="AB413" t="s">
        <v>201</v>
      </c>
      <c r="AC413" t="s">
        <v>247</v>
      </c>
      <c r="AD413" t="s">
        <v>222</v>
      </c>
      <c r="AE413" t="s">
        <v>221</v>
      </c>
      <c r="AG413" t="s">
        <v>121</v>
      </c>
      <c r="AH413" t="s">
        <v>327</v>
      </c>
      <c r="AI413" t="s">
        <v>121</v>
      </c>
      <c r="AJ413" t="s">
        <v>716</v>
      </c>
      <c r="AK413" t="s">
        <v>121</v>
      </c>
    </row>
    <row r="414" spans="9:37" x14ac:dyDescent="0.3">
      <c r="I414">
        <f ca="1">IF(OR(INDIRECT(A73&amp;ROW())=B93,INDIRECT(A73&amp;ROW())=B94),1,IF(AND(INDIRECT(A73&amp;ROW())=B95,INDIRECT(A96&amp;ROW())=C93),1,IF(AND(INDIRECT(A73&amp;ROW())=B95,INDIRECT(A96&amp;ROW())=C94),1,0)))</f>
        <v>0</v>
      </c>
      <c r="J414">
        <f ca="1">IF(AND(INDIRECT(A73&amp;ROW())=B95,INDIRECT(A96&amp;ROW())=C95),1,IF(AND(INDIRECT(A73&amp;ROW())=B95,INDIRECT(A96&amp;ROW())=C96),1,0))</f>
        <v>1</v>
      </c>
      <c r="K414">
        <f ca="1">DAYS360(INDIRECT(C68&amp;ROW()),TODAY())</f>
        <v>710</v>
      </c>
      <c r="L414">
        <f ca="1">DAYS360(INDIRECT(C69&amp;ROW()),TODAY())</f>
        <v>758</v>
      </c>
      <c r="M414">
        <f ca="1">HYPERLINK(CONCATENATE("https://bugzilla.houston.hp.com:1181/bugzilla/show_bug.cgi?id=",INDIRECT(C70&amp;ROW())),INDIRECT(C70&amp;ROW()))</f>
        <v>59210</v>
      </c>
      <c r="N414">
        <v>59210</v>
      </c>
      <c r="O414" t="s">
        <v>53</v>
      </c>
      <c r="P414" t="s">
        <v>1046</v>
      </c>
      <c r="Q414" t="s">
        <v>25</v>
      </c>
      <c r="R414" t="s">
        <v>248</v>
      </c>
      <c r="S414" t="s">
        <v>1045</v>
      </c>
      <c r="U414" s="6">
        <v>42136.465567129628</v>
      </c>
      <c r="V414" t="s">
        <v>18</v>
      </c>
      <c r="W414" t="s">
        <v>17</v>
      </c>
      <c r="X414" s="6">
        <v>42087.026250000003</v>
      </c>
      <c r="Y414" t="s">
        <v>125</v>
      </c>
      <c r="AB414" t="s">
        <v>201</v>
      </c>
      <c r="AC414" t="s">
        <v>247</v>
      </c>
      <c r="AD414" t="s">
        <v>222</v>
      </c>
      <c r="AE414" t="s">
        <v>221</v>
      </c>
      <c r="AG414" t="s">
        <v>121</v>
      </c>
      <c r="AH414" t="s">
        <v>327</v>
      </c>
      <c r="AI414" t="s">
        <v>121</v>
      </c>
      <c r="AJ414" t="s">
        <v>716</v>
      </c>
      <c r="AK414" t="s">
        <v>121</v>
      </c>
    </row>
    <row r="415" spans="9:37" x14ac:dyDescent="0.3">
      <c r="I415">
        <f ca="1">IF(OR(INDIRECT(A73&amp;ROW())=B93,INDIRECT(A73&amp;ROW())=B94),1,IF(AND(INDIRECT(A73&amp;ROW())=B95,INDIRECT(A96&amp;ROW())=C93),1,IF(AND(INDIRECT(A73&amp;ROW())=B95,INDIRECT(A96&amp;ROW())=C94),1,0)))</f>
        <v>1</v>
      </c>
      <c r="J415">
        <f ca="1">IF(AND(INDIRECT(A73&amp;ROW())=B95,INDIRECT(A96&amp;ROW())=C95),1,IF(AND(INDIRECT(A73&amp;ROW())=B95,INDIRECT(A96&amp;ROW())=C96),1,0))</f>
        <v>0</v>
      </c>
      <c r="K415">
        <f ca="1">DAYS360(INDIRECT(C68&amp;ROW()),TODAY())</f>
        <v>675</v>
      </c>
      <c r="L415">
        <f ca="1">DAYS360(INDIRECT(C69&amp;ROW()),TODAY())</f>
        <v>758</v>
      </c>
      <c r="M415">
        <f ca="1">HYPERLINK(CONCATENATE("https://bugzilla.houston.hp.com:1181/bugzilla/show_bug.cgi?id=",INDIRECT(C70&amp;ROW())),INDIRECT(C70&amp;ROW()))</f>
        <v>59230</v>
      </c>
      <c r="N415">
        <v>59230</v>
      </c>
      <c r="O415" t="s">
        <v>33</v>
      </c>
      <c r="P415" t="s">
        <v>819</v>
      </c>
      <c r="Q415" t="s">
        <v>25</v>
      </c>
      <c r="R415" t="s">
        <v>251</v>
      </c>
      <c r="S415" t="s">
        <v>33</v>
      </c>
      <c r="U415" s="6">
        <v>42172.24355324074</v>
      </c>
      <c r="V415" t="s">
        <v>18</v>
      </c>
      <c r="W415" t="s">
        <v>783</v>
      </c>
      <c r="X415" s="6">
        <v>42087.257743055554</v>
      </c>
      <c r="Y415" t="s">
        <v>119</v>
      </c>
      <c r="AB415" t="s">
        <v>200</v>
      </c>
      <c r="AC415" t="s">
        <v>247</v>
      </c>
      <c r="AD415" t="s">
        <v>220</v>
      </c>
      <c r="AE415" t="s">
        <v>223</v>
      </c>
      <c r="AG415" t="s">
        <v>121</v>
      </c>
      <c r="AH415" t="s">
        <v>327</v>
      </c>
      <c r="AI415" t="s">
        <v>121</v>
      </c>
      <c r="AJ415" t="s">
        <v>715</v>
      </c>
      <c r="AK415" t="s">
        <v>121</v>
      </c>
    </row>
    <row r="416" spans="9:37" x14ac:dyDescent="0.3">
      <c r="I416">
        <f ca="1">IF(OR(INDIRECT(A73&amp;ROW())=B93,INDIRECT(A73&amp;ROW())=B94),1,IF(AND(INDIRECT(A73&amp;ROW())=B95,INDIRECT(A96&amp;ROW())=C93),1,IF(AND(INDIRECT(A73&amp;ROW())=B95,INDIRECT(A96&amp;ROW())=C94),1,0)))</f>
        <v>1</v>
      </c>
      <c r="J416">
        <f ca="1">IF(AND(INDIRECT(A73&amp;ROW())=B95,INDIRECT(A96&amp;ROW())=C95),1,IF(AND(INDIRECT(A73&amp;ROW())=B95,INDIRECT(A96&amp;ROW())=C96),1,0))</f>
        <v>0</v>
      </c>
      <c r="K416">
        <f ca="1">DAYS360(INDIRECT(C68&amp;ROW()),TODAY())</f>
        <v>690</v>
      </c>
      <c r="L416">
        <f ca="1">DAYS360(INDIRECT(C69&amp;ROW()),TODAY())</f>
        <v>758</v>
      </c>
      <c r="M416">
        <f ca="1">HYPERLINK(CONCATENATE("https://bugzilla.houston.hp.com:1181/bugzilla/show_bug.cgi?id=",INDIRECT(C70&amp;ROW())),INDIRECT(C70&amp;ROW()))</f>
        <v>59259</v>
      </c>
      <c r="N416">
        <v>59259</v>
      </c>
      <c r="O416" t="s">
        <v>22</v>
      </c>
      <c r="P416" t="s">
        <v>818</v>
      </c>
      <c r="Q416" t="s">
        <v>25</v>
      </c>
      <c r="R416" t="s">
        <v>579</v>
      </c>
      <c r="S416" t="s">
        <v>552</v>
      </c>
      <c r="T416" t="s">
        <v>822</v>
      </c>
      <c r="U416" s="6">
        <v>42157.090439814812</v>
      </c>
      <c r="V416" t="s">
        <v>18</v>
      </c>
      <c r="W416" t="s">
        <v>783</v>
      </c>
      <c r="X416" s="6">
        <v>42087.716736111113</v>
      </c>
      <c r="Y416" t="s">
        <v>119</v>
      </c>
      <c r="AB416" t="s">
        <v>200</v>
      </c>
      <c r="AC416" t="s">
        <v>247</v>
      </c>
      <c r="AD416" t="s">
        <v>220</v>
      </c>
      <c r="AE416" t="s">
        <v>223</v>
      </c>
      <c r="AG416" t="s">
        <v>121</v>
      </c>
      <c r="AH416" t="s">
        <v>327</v>
      </c>
      <c r="AI416" t="s">
        <v>362</v>
      </c>
      <c r="AJ416" t="s">
        <v>715</v>
      </c>
      <c r="AK416" t="s">
        <v>121</v>
      </c>
    </row>
    <row r="417" spans="9:37" x14ac:dyDescent="0.3">
      <c r="I417">
        <f ca="1">IF(OR(INDIRECT(A73&amp;ROW())=B93,INDIRECT(A73&amp;ROW())=B94),1,IF(AND(INDIRECT(A73&amp;ROW())=B95,INDIRECT(A96&amp;ROW())=C93),1,IF(AND(INDIRECT(A73&amp;ROW())=B95,INDIRECT(A96&amp;ROW())=C94),1,0)))</f>
        <v>1</v>
      </c>
      <c r="J417">
        <f ca="1">IF(AND(INDIRECT(A73&amp;ROW())=B95,INDIRECT(A96&amp;ROW())=C95),1,IF(AND(INDIRECT(A73&amp;ROW())=B95,INDIRECT(A96&amp;ROW())=C96),1,0))</f>
        <v>0</v>
      </c>
      <c r="K417">
        <f ca="1">DAYS360(INDIRECT(C68&amp;ROW()),TODAY())</f>
        <v>690</v>
      </c>
      <c r="L417">
        <f ca="1">DAYS360(INDIRECT(C69&amp;ROW()),TODAY())</f>
        <v>758</v>
      </c>
      <c r="M417">
        <f ca="1">HYPERLINK(CONCATENATE("https://bugzilla.houston.hp.com:1181/bugzilla/show_bug.cgi?id=",INDIRECT(C70&amp;ROW())),INDIRECT(C70&amp;ROW()))</f>
        <v>59260</v>
      </c>
      <c r="N417">
        <v>59260</v>
      </c>
      <c r="O417" t="s">
        <v>22</v>
      </c>
      <c r="P417" t="s">
        <v>817</v>
      </c>
      <c r="Q417" t="s">
        <v>25</v>
      </c>
      <c r="R417" t="s">
        <v>248</v>
      </c>
      <c r="S417" t="s">
        <v>552</v>
      </c>
      <c r="U417" s="6">
        <v>42157.091111111113</v>
      </c>
      <c r="V417" t="s">
        <v>18</v>
      </c>
      <c r="W417" t="s">
        <v>783</v>
      </c>
      <c r="X417" s="6">
        <v>42087.716840277775</v>
      </c>
      <c r="Y417" t="s">
        <v>119</v>
      </c>
      <c r="AB417" t="s">
        <v>200</v>
      </c>
      <c r="AC417" t="s">
        <v>247</v>
      </c>
      <c r="AD417" t="s">
        <v>220</v>
      </c>
      <c r="AE417" t="s">
        <v>223</v>
      </c>
      <c r="AG417" t="s">
        <v>121</v>
      </c>
      <c r="AH417" t="s">
        <v>327</v>
      </c>
      <c r="AI417" t="s">
        <v>121</v>
      </c>
      <c r="AJ417" t="s">
        <v>715</v>
      </c>
      <c r="AK417" t="s">
        <v>121</v>
      </c>
    </row>
    <row r="418" spans="9:37" x14ac:dyDescent="0.3">
      <c r="I418">
        <f ca="1">IF(OR(INDIRECT(A73&amp;ROW())=B93,INDIRECT(A73&amp;ROW())=B94),1,IF(AND(INDIRECT(A73&amp;ROW())=B95,INDIRECT(A96&amp;ROW())=C93),1,IF(AND(INDIRECT(A73&amp;ROW())=B95,INDIRECT(A96&amp;ROW())=C94),1,0)))</f>
        <v>0</v>
      </c>
      <c r="J418">
        <f ca="1">IF(AND(INDIRECT(A73&amp;ROW())=B95,INDIRECT(A96&amp;ROW())=C95),1,IF(AND(INDIRECT(A73&amp;ROW())=B95,INDIRECT(A96&amp;ROW())=C96),1,0))</f>
        <v>1</v>
      </c>
      <c r="K418">
        <f ca="1">DAYS360(INDIRECT(C68&amp;ROW()),TODAY())</f>
        <v>753</v>
      </c>
      <c r="L418">
        <f ca="1">DAYS360(INDIRECT(C69&amp;ROW()),TODAY())</f>
        <v>757</v>
      </c>
      <c r="M418">
        <f ca="1">HYPERLINK(CONCATENATE("https://bugzilla.houston.hp.com:1181/bugzilla/show_bug.cgi?id=",INDIRECT(C70&amp;ROW())),INDIRECT(C70&amp;ROW()))</f>
        <v>59347</v>
      </c>
      <c r="N418">
        <v>59347</v>
      </c>
      <c r="O418" t="s">
        <v>22</v>
      </c>
      <c r="P418" t="s">
        <v>830</v>
      </c>
      <c r="Q418" t="s">
        <v>25</v>
      </c>
      <c r="R418" t="s">
        <v>251</v>
      </c>
      <c r="S418" t="s">
        <v>253</v>
      </c>
      <c r="U418" s="6">
        <v>42092.969606481478</v>
      </c>
      <c r="V418" t="s">
        <v>18</v>
      </c>
      <c r="W418" t="s">
        <v>17</v>
      </c>
      <c r="X418" s="6">
        <v>42088.711562500001</v>
      </c>
      <c r="Y418" t="s">
        <v>246</v>
      </c>
      <c r="AB418" t="s">
        <v>201</v>
      </c>
      <c r="AC418" t="s">
        <v>247</v>
      </c>
      <c r="AD418" t="s">
        <v>222</v>
      </c>
      <c r="AE418" t="s">
        <v>225</v>
      </c>
      <c r="AG418" t="s">
        <v>121</v>
      </c>
      <c r="AH418" t="s">
        <v>327</v>
      </c>
      <c r="AI418" t="s">
        <v>121</v>
      </c>
      <c r="AJ418" t="s">
        <v>716</v>
      </c>
      <c r="AK418" t="s">
        <v>121</v>
      </c>
    </row>
    <row r="419" spans="9:37" x14ac:dyDescent="0.3">
      <c r="I419">
        <f ca="1">IF(OR(INDIRECT(A73&amp;ROW())=B93,INDIRECT(A73&amp;ROW())=B94),1,IF(AND(INDIRECT(A73&amp;ROW())=B95,INDIRECT(A96&amp;ROW())=C93),1,IF(AND(INDIRECT(A73&amp;ROW())=B95,INDIRECT(A96&amp;ROW())=C94),1,0)))</f>
        <v>0</v>
      </c>
      <c r="J419">
        <f ca="1">IF(AND(INDIRECT(A73&amp;ROW())=B95,INDIRECT(A96&amp;ROW())=C95),1,IF(AND(INDIRECT(A73&amp;ROW())=B95,INDIRECT(A96&amp;ROW())=C96),1,0))</f>
        <v>1</v>
      </c>
      <c r="K419">
        <f ca="1">DAYS360(INDIRECT(C68&amp;ROW()),TODAY())</f>
        <v>684</v>
      </c>
      <c r="L419">
        <f ca="1">DAYS360(INDIRECT(C69&amp;ROW()),TODAY())</f>
        <v>757</v>
      </c>
      <c r="M419">
        <f ca="1">HYPERLINK(CONCATENATE("https://bugzilla.houston.hp.com:1181/bugzilla/show_bug.cgi?id=",INDIRECT(C70&amp;ROW())),INDIRECT(C70&amp;ROW()))</f>
        <v>59348</v>
      </c>
      <c r="N419">
        <v>59348</v>
      </c>
      <c r="O419" t="s">
        <v>22</v>
      </c>
      <c r="P419" t="s">
        <v>829</v>
      </c>
      <c r="Q419" t="s">
        <v>25</v>
      </c>
      <c r="R419" t="s">
        <v>251</v>
      </c>
      <c r="S419" t="s">
        <v>253</v>
      </c>
      <c r="U419" s="6">
        <v>42163.565648148149</v>
      </c>
      <c r="V419" t="s">
        <v>18</v>
      </c>
      <c r="W419" t="s">
        <v>17</v>
      </c>
      <c r="X419" s="6">
        <v>42088.71303240741</v>
      </c>
      <c r="Y419" t="s">
        <v>246</v>
      </c>
      <c r="AB419" t="s">
        <v>201</v>
      </c>
      <c r="AC419" t="s">
        <v>247</v>
      </c>
      <c r="AD419" t="s">
        <v>222</v>
      </c>
      <c r="AE419" t="s">
        <v>232</v>
      </c>
      <c r="AG419" t="s">
        <v>121</v>
      </c>
      <c r="AH419" t="s">
        <v>327</v>
      </c>
      <c r="AI419" t="s">
        <v>121</v>
      </c>
      <c r="AJ419" t="s">
        <v>716</v>
      </c>
      <c r="AK419" t="s">
        <v>121</v>
      </c>
    </row>
    <row r="420" spans="9:37" x14ac:dyDescent="0.3">
      <c r="I420">
        <f ca="1">IF(OR(INDIRECT(A73&amp;ROW())=B93,INDIRECT(A73&amp;ROW())=B94),1,IF(AND(INDIRECT(A73&amp;ROW())=B95,INDIRECT(A96&amp;ROW())=C93),1,IF(AND(INDIRECT(A73&amp;ROW())=B95,INDIRECT(A96&amp;ROW())=C94),1,0)))</f>
        <v>0</v>
      </c>
      <c r="J420">
        <f ca="1">IF(AND(INDIRECT(A73&amp;ROW())=B95,INDIRECT(A96&amp;ROW())=C95),1,IF(AND(INDIRECT(A73&amp;ROW())=B95,INDIRECT(A96&amp;ROW())=C96),1,0))</f>
        <v>1</v>
      </c>
      <c r="K420">
        <f ca="1">DAYS360(INDIRECT(C68&amp;ROW()),TODAY())</f>
        <v>752</v>
      </c>
      <c r="L420">
        <f ca="1">DAYS360(INDIRECT(C69&amp;ROW()),TODAY())</f>
        <v>756</v>
      </c>
      <c r="M420">
        <f ca="1">HYPERLINK(CONCATENATE("https://bugzilla.houston.hp.com:1181/bugzilla/show_bug.cgi?id=",INDIRECT(C70&amp;ROW())),INDIRECT(C70&amp;ROW()))</f>
        <v>59359</v>
      </c>
      <c r="N420">
        <v>59359</v>
      </c>
      <c r="O420" t="s">
        <v>22</v>
      </c>
      <c r="P420" t="s">
        <v>828</v>
      </c>
      <c r="Q420" t="s">
        <v>25</v>
      </c>
      <c r="R420" t="s">
        <v>579</v>
      </c>
      <c r="S420" t="s">
        <v>552</v>
      </c>
      <c r="T420" t="s">
        <v>835</v>
      </c>
      <c r="U420" s="6">
        <v>42094.334027777775</v>
      </c>
      <c r="V420" t="s">
        <v>18</v>
      </c>
      <c r="W420" t="s">
        <v>17</v>
      </c>
      <c r="X420" s="6">
        <v>42089.015092592592</v>
      </c>
      <c r="Y420" t="s">
        <v>246</v>
      </c>
      <c r="AB420" t="s">
        <v>201</v>
      </c>
      <c r="AC420" t="s">
        <v>247</v>
      </c>
      <c r="AD420" t="s">
        <v>222</v>
      </c>
      <c r="AE420" t="s">
        <v>232</v>
      </c>
      <c r="AG420" t="s">
        <v>121</v>
      </c>
      <c r="AH420" t="s">
        <v>327</v>
      </c>
      <c r="AI420" t="s">
        <v>121</v>
      </c>
      <c r="AJ420" t="s">
        <v>716</v>
      </c>
      <c r="AK420" t="s">
        <v>121</v>
      </c>
    </row>
    <row r="421" spans="9:37" x14ac:dyDescent="0.3">
      <c r="I421">
        <f ca="1">IF(OR(INDIRECT(A73&amp;ROW())=B93,INDIRECT(A73&amp;ROW())=B94),1,IF(AND(INDIRECT(A73&amp;ROW())=B95,INDIRECT(A96&amp;ROW())=C93),1,IF(AND(INDIRECT(A73&amp;ROW())=B95,INDIRECT(A96&amp;ROW())=C94),1,0)))</f>
        <v>0</v>
      </c>
      <c r="J421">
        <f ca="1">IF(AND(INDIRECT(A73&amp;ROW())=B95,INDIRECT(A96&amp;ROW())=C95),1,IF(AND(INDIRECT(A73&amp;ROW())=B95,INDIRECT(A96&amp;ROW())=C96),1,0))</f>
        <v>1</v>
      </c>
      <c r="K421">
        <f ca="1">DAYS360(INDIRECT(C68&amp;ROW()),TODAY())</f>
        <v>752</v>
      </c>
      <c r="L421">
        <f ca="1">DAYS360(INDIRECT(C69&amp;ROW()),TODAY())</f>
        <v>756</v>
      </c>
      <c r="M421">
        <f ca="1">HYPERLINK(CONCATENATE("https://bugzilla.houston.hp.com:1181/bugzilla/show_bug.cgi?id=",INDIRECT(C70&amp;ROW())),INDIRECT(C70&amp;ROW()))</f>
        <v>59360</v>
      </c>
      <c r="N421">
        <v>59360</v>
      </c>
      <c r="O421" t="s">
        <v>22</v>
      </c>
      <c r="P421" t="s">
        <v>827</v>
      </c>
      <c r="Q421" t="s">
        <v>25</v>
      </c>
      <c r="R421" t="s">
        <v>248</v>
      </c>
      <c r="S421" t="s">
        <v>552</v>
      </c>
      <c r="U421" s="6">
        <v>42093.311527777776</v>
      </c>
      <c r="V421" t="s">
        <v>18</v>
      </c>
      <c r="W421" t="s">
        <v>17</v>
      </c>
      <c r="X421" s="6">
        <v>42089.015150462961</v>
      </c>
      <c r="Y421" t="s">
        <v>246</v>
      </c>
      <c r="AB421" t="s">
        <v>201</v>
      </c>
      <c r="AC421" t="s">
        <v>247</v>
      </c>
      <c r="AD421" t="s">
        <v>222</v>
      </c>
      <c r="AE421" t="s">
        <v>232</v>
      </c>
      <c r="AG421" t="s">
        <v>121</v>
      </c>
      <c r="AH421" t="s">
        <v>327</v>
      </c>
      <c r="AI421" t="s">
        <v>121</v>
      </c>
      <c r="AJ421" t="s">
        <v>716</v>
      </c>
      <c r="AK421" t="s">
        <v>121</v>
      </c>
    </row>
    <row r="422" spans="9:37" x14ac:dyDescent="0.3">
      <c r="I422">
        <f ca="1">IF(OR(INDIRECT(A73&amp;ROW())=B93,INDIRECT(A73&amp;ROW())=B94),1,IF(AND(INDIRECT(A73&amp;ROW())=B95,INDIRECT(A96&amp;ROW())=C93),1,IF(AND(INDIRECT(A73&amp;ROW())=B95,INDIRECT(A96&amp;ROW())=C94),1,0)))</f>
        <v>0</v>
      </c>
      <c r="J422">
        <f ca="1">IF(AND(INDIRECT(A73&amp;ROW())=B95,INDIRECT(A96&amp;ROW())=C95),1,IF(AND(INDIRECT(A73&amp;ROW())=B95,INDIRECT(A96&amp;ROW())=C96),1,0))</f>
        <v>1</v>
      </c>
      <c r="K422">
        <f ca="1">DAYS360(INDIRECT(C68&amp;ROW()),TODAY())</f>
        <v>731</v>
      </c>
      <c r="L422">
        <f ca="1">DAYS360(INDIRECT(C69&amp;ROW()),TODAY())</f>
        <v>756</v>
      </c>
      <c r="M422">
        <f ca="1">HYPERLINK(CONCATENATE("https://bugzilla.houston.hp.com:1181/bugzilla/show_bug.cgi?id=",INDIRECT(C70&amp;ROW())),INDIRECT(C70&amp;ROW()))</f>
        <v>59366</v>
      </c>
      <c r="N422">
        <v>59366</v>
      </c>
      <c r="O422" t="s">
        <v>66</v>
      </c>
      <c r="P422" t="s">
        <v>826</v>
      </c>
      <c r="Q422" t="s">
        <v>25</v>
      </c>
      <c r="R422" t="s">
        <v>251</v>
      </c>
      <c r="S422" t="s">
        <v>187</v>
      </c>
      <c r="U422" s="6">
        <v>42115.687002314815</v>
      </c>
      <c r="V422" t="s">
        <v>35</v>
      </c>
      <c r="W422" t="s">
        <v>17</v>
      </c>
      <c r="X422" s="6">
        <v>42089.027627314812</v>
      </c>
      <c r="Y422" t="s">
        <v>792</v>
      </c>
      <c r="AB422" t="s">
        <v>201</v>
      </c>
      <c r="AC422" t="s">
        <v>247</v>
      </c>
      <c r="AD422" t="s">
        <v>220</v>
      </c>
      <c r="AE422" t="s">
        <v>219</v>
      </c>
      <c r="AG422" t="s">
        <v>121</v>
      </c>
      <c r="AH422" t="s">
        <v>327</v>
      </c>
      <c r="AI422" t="s">
        <v>121</v>
      </c>
      <c r="AJ422" t="s">
        <v>717</v>
      </c>
      <c r="AK422" t="s">
        <v>121</v>
      </c>
    </row>
    <row r="423" spans="9:37" x14ac:dyDescent="0.3">
      <c r="I423">
        <f ca="1">IF(OR(INDIRECT(A73&amp;ROW())=B93,INDIRECT(A73&amp;ROW())=B94),1,IF(AND(INDIRECT(A73&amp;ROW())=B95,INDIRECT(A96&amp;ROW())=C93),1,IF(AND(INDIRECT(A73&amp;ROW())=B95,INDIRECT(A96&amp;ROW())=C94),1,0)))</f>
        <v>1</v>
      </c>
      <c r="J423">
        <f ca="1">IF(AND(INDIRECT(A73&amp;ROW())=B95,INDIRECT(A96&amp;ROW())=C95),1,IF(AND(INDIRECT(A73&amp;ROW())=B95,INDIRECT(A96&amp;ROW())=C96),1,0))</f>
        <v>0</v>
      </c>
      <c r="K423">
        <f ca="1">DAYS360(INDIRECT(C68&amp;ROW()),TODAY())</f>
        <v>687</v>
      </c>
      <c r="L423">
        <f ca="1">DAYS360(INDIRECT(C69&amp;ROW()),TODAY())</f>
        <v>756</v>
      </c>
      <c r="M423">
        <f ca="1">HYPERLINK(CONCATENATE("https://bugzilla.houston.hp.com:1181/bugzilla/show_bug.cgi?id=",INDIRECT(C70&amp;ROW())),INDIRECT(C70&amp;ROW()))</f>
        <v>59407</v>
      </c>
      <c r="N423">
        <v>59407</v>
      </c>
      <c r="O423" t="s">
        <v>53</v>
      </c>
      <c r="P423" t="s">
        <v>825</v>
      </c>
      <c r="Q423" t="s">
        <v>39</v>
      </c>
      <c r="R423" t="s">
        <v>579</v>
      </c>
      <c r="S423" t="s">
        <v>784</v>
      </c>
      <c r="T423" t="s">
        <v>822</v>
      </c>
      <c r="U423" s="6">
        <v>42160.50141203704</v>
      </c>
      <c r="V423" t="s">
        <v>18</v>
      </c>
      <c r="W423" t="s">
        <v>343</v>
      </c>
      <c r="X423" s="6">
        <v>42089.50372685185</v>
      </c>
      <c r="Y423" t="s">
        <v>793</v>
      </c>
      <c r="AB423" t="s">
        <v>201</v>
      </c>
      <c r="AC423" t="s">
        <v>247</v>
      </c>
      <c r="AD423" t="s">
        <v>220</v>
      </c>
      <c r="AE423" t="s">
        <v>229</v>
      </c>
      <c r="AG423" t="s">
        <v>121</v>
      </c>
      <c r="AH423" t="s">
        <v>327</v>
      </c>
      <c r="AI423" t="s">
        <v>362</v>
      </c>
      <c r="AJ423" t="s">
        <v>715</v>
      </c>
      <c r="AK423" t="s">
        <v>121</v>
      </c>
    </row>
    <row r="424" spans="9:37" x14ac:dyDescent="0.3">
      <c r="I424">
        <f ca="1">IF(OR(INDIRECT(A73&amp;ROW())=B93,INDIRECT(A73&amp;ROW())=B94),1,IF(AND(INDIRECT(A73&amp;ROW())=B95,INDIRECT(A96&amp;ROW())=C93),1,IF(AND(INDIRECT(A73&amp;ROW())=B95,INDIRECT(A96&amp;ROW())=C94),1,0)))</f>
        <v>0</v>
      </c>
      <c r="J424">
        <f ca="1">IF(AND(INDIRECT(A73&amp;ROW())=B95,INDIRECT(A96&amp;ROW())=C95),1,IF(AND(INDIRECT(A73&amp;ROW())=B95,INDIRECT(A96&amp;ROW())=C96),1,0))</f>
        <v>1</v>
      </c>
      <c r="K424">
        <f ca="1">DAYS360(INDIRECT(C68&amp;ROW()),TODAY())</f>
        <v>752</v>
      </c>
      <c r="L424">
        <f ca="1">DAYS360(INDIRECT(C69&amp;ROW()),TODAY())</f>
        <v>755</v>
      </c>
      <c r="M424">
        <f ca="1">HYPERLINK(CONCATENATE("https://bugzilla.houston.hp.com:1181/bugzilla/show_bug.cgi?id=",INDIRECT(C70&amp;ROW())),INDIRECT(C70&amp;ROW()))</f>
        <v>59450</v>
      </c>
      <c r="N424">
        <v>59450</v>
      </c>
      <c r="O424" t="s">
        <v>22</v>
      </c>
      <c r="P424" t="s">
        <v>824</v>
      </c>
      <c r="Q424" t="s">
        <v>25</v>
      </c>
      <c r="R424" t="s">
        <v>248</v>
      </c>
      <c r="S424" t="s">
        <v>552</v>
      </c>
      <c r="U424" s="6">
        <v>42093.311597222222</v>
      </c>
      <c r="V424" t="s">
        <v>18</v>
      </c>
      <c r="W424" t="s">
        <v>17</v>
      </c>
      <c r="X424" s="6">
        <v>42090.015208333331</v>
      </c>
      <c r="Y424" t="s">
        <v>246</v>
      </c>
      <c r="AB424" t="s">
        <v>201</v>
      </c>
      <c r="AC424" t="s">
        <v>247</v>
      </c>
      <c r="AD424" t="s">
        <v>222</v>
      </c>
      <c r="AE424" t="s">
        <v>232</v>
      </c>
      <c r="AG424" t="s">
        <v>121</v>
      </c>
      <c r="AH424" t="s">
        <v>327</v>
      </c>
      <c r="AI424" t="s">
        <v>121</v>
      </c>
      <c r="AJ424" t="s">
        <v>716</v>
      </c>
      <c r="AK424" t="s">
        <v>121</v>
      </c>
    </row>
    <row r="425" spans="9:37" x14ac:dyDescent="0.3">
      <c r="I425">
        <f ca="1">IF(OR(INDIRECT(A73&amp;ROW())=B93,INDIRECT(A73&amp;ROW())=B94),1,IF(AND(INDIRECT(A73&amp;ROW())=B95,INDIRECT(A96&amp;ROW())=C93),1,IF(AND(INDIRECT(A73&amp;ROW())=B95,INDIRECT(A96&amp;ROW())=C94),1,0)))</f>
        <v>0</v>
      </c>
      <c r="J425">
        <f ca="1">IF(AND(INDIRECT(A73&amp;ROW())=B95,INDIRECT(A96&amp;ROW())=C95),1,IF(AND(INDIRECT(A73&amp;ROW())=B95,INDIRECT(A96&amp;ROW())=C96),1,0))</f>
        <v>0</v>
      </c>
      <c r="K425">
        <f ca="1">DAYS360(INDIRECT(C68&amp;ROW()),TODAY())</f>
        <v>724</v>
      </c>
      <c r="L425">
        <f ca="1">DAYS360(INDIRECT(C69&amp;ROW()),TODAY())</f>
        <v>755</v>
      </c>
      <c r="M425">
        <f ca="1">HYPERLINK(CONCATENATE("https://bugzilla.houston.hp.com:1181/bugzilla/show_bug.cgi?id=",INDIRECT(C70&amp;ROW())),INDIRECT(C70&amp;ROW()))</f>
        <v>59484</v>
      </c>
      <c r="N425">
        <v>59484</v>
      </c>
      <c r="O425" t="s">
        <v>164</v>
      </c>
      <c r="P425" t="s">
        <v>845</v>
      </c>
      <c r="Q425" t="s">
        <v>16</v>
      </c>
      <c r="R425" t="s">
        <v>251</v>
      </c>
      <c r="S425" t="s">
        <v>823</v>
      </c>
      <c r="T425" t="s">
        <v>181</v>
      </c>
      <c r="U425" s="6">
        <v>42122.283194444448</v>
      </c>
      <c r="V425" t="s">
        <v>35</v>
      </c>
      <c r="W425" t="s">
        <v>17</v>
      </c>
      <c r="X425" s="6">
        <v>42090.238715277781</v>
      </c>
      <c r="Y425" t="s">
        <v>123</v>
      </c>
      <c r="AB425" t="s">
        <v>201</v>
      </c>
      <c r="AC425" t="s">
        <v>247</v>
      </c>
      <c r="AD425" t="s">
        <v>220</v>
      </c>
      <c r="AE425" t="s">
        <v>219</v>
      </c>
      <c r="AG425" t="s">
        <v>121</v>
      </c>
      <c r="AH425" t="s">
        <v>327</v>
      </c>
      <c r="AI425" t="s">
        <v>121</v>
      </c>
      <c r="AJ425" t="s">
        <v>717</v>
      </c>
      <c r="AK425" t="s">
        <v>121</v>
      </c>
    </row>
    <row r="426" spans="9:37" x14ac:dyDescent="0.3">
      <c r="I426">
        <f ca="1">IF(OR(INDIRECT(A73&amp;ROW())=B93,INDIRECT(A73&amp;ROW())=B94),1,IF(AND(INDIRECT(A73&amp;ROW())=B95,INDIRECT(A96&amp;ROW())=C93),1,IF(AND(INDIRECT(A73&amp;ROW())=B95,INDIRECT(A96&amp;ROW())=C94),1,0)))</f>
        <v>0</v>
      </c>
      <c r="J426">
        <f ca="1">IF(AND(INDIRECT(A73&amp;ROW())=B95,INDIRECT(A96&amp;ROW())=C95),1,IF(AND(INDIRECT(A73&amp;ROW())=B95,INDIRECT(A96&amp;ROW())=C96),1,0))</f>
        <v>0</v>
      </c>
      <c r="K426">
        <f ca="1">DAYS360(INDIRECT(C68&amp;ROW()),TODAY())</f>
        <v>732</v>
      </c>
      <c r="L426">
        <f ca="1">DAYS360(INDIRECT(C69&amp;ROW()),TODAY())</f>
        <v>755</v>
      </c>
      <c r="M426">
        <f ca="1">HYPERLINK(CONCATENATE("https://bugzilla.houston.hp.com:1181/bugzilla/show_bug.cgi?id=",INDIRECT(C70&amp;ROW())),INDIRECT(C70&amp;ROW()))</f>
        <v>59501</v>
      </c>
      <c r="N426">
        <v>59501</v>
      </c>
      <c r="O426" t="s">
        <v>164</v>
      </c>
      <c r="P426" t="s">
        <v>834</v>
      </c>
      <c r="Q426" t="s">
        <v>16</v>
      </c>
      <c r="R426" t="s">
        <v>248</v>
      </c>
      <c r="S426" t="s">
        <v>552</v>
      </c>
      <c r="T426" t="s">
        <v>181</v>
      </c>
      <c r="U426" s="6">
        <v>42114.053287037037</v>
      </c>
      <c r="V426" t="s">
        <v>18</v>
      </c>
      <c r="W426" t="s">
        <v>372</v>
      </c>
      <c r="X426" s="6">
        <v>42090.44153935185</v>
      </c>
      <c r="Y426" t="s">
        <v>123</v>
      </c>
      <c r="AB426" t="s">
        <v>201</v>
      </c>
      <c r="AC426" t="s">
        <v>247</v>
      </c>
      <c r="AD426" t="s">
        <v>220</v>
      </c>
      <c r="AE426" t="s">
        <v>219</v>
      </c>
      <c r="AG426" t="s">
        <v>121</v>
      </c>
      <c r="AH426" t="s">
        <v>327</v>
      </c>
      <c r="AI426" t="s">
        <v>121</v>
      </c>
      <c r="AJ426" t="s">
        <v>717</v>
      </c>
      <c r="AK426" t="s">
        <v>121</v>
      </c>
    </row>
    <row r="427" spans="9:37" x14ac:dyDescent="0.3">
      <c r="I427">
        <f ca="1">IF(OR(INDIRECT(A73&amp;ROW())=B93,INDIRECT(A73&amp;ROW())=B94),1,IF(AND(INDIRECT(A73&amp;ROW())=B95,INDIRECT(A96&amp;ROW())=C93),1,IF(AND(INDIRECT(A73&amp;ROW())=B95,INDIRECT(A96&amp;ROW())=C94),1,0)))</f>
        <v>0</v>
      </c>
      <c r="J427">
        <f ca="1">IF(AND(INDIRECT(A73&amp;ROW())=B95,INDIRECT(A96&amp;ROW())=C95),1,IF(AND(INDIRECT(A73&amp;ROW())=B95,INDIRECT(A96&amp;ROW())=C96),1,0))</f>
        <v>1</v>
      </c>
      <c r="K427">
        <f ca="1">DAYS360(INDIRECT(C68&amp;ROW()),TODAY())</f>
        <v>684</v>
      </c>
      <c r="L427">
        <f ca="1">DAYS360(INDIRECT(C69&amp;ROW()),TODAY())</f>
        <v>752</v>
      </c>
      <c r="M427">
        <f ca="1">HYPERLINK(CONCATENATE("https://bugzilla.houston.hp.com:1181/bugzilla/show_bug.cgi?id=",INDIRECT(C70&amp;ROW())),INDIRECT(C70&amp;ROW()))</f>
        <v>59637</v>
      </c>
      <c r="N427">
        <v>59637</v>
      </c>
      <c r="O427" t="s">
        <v>241</v>
      </c>
      <c r="P427" t="s">
        <v>838</v>
      </c>
      <c r="Q427" t="s">
        <v>25</v>
      </c>
      <c r="R427" t="s">
        <v>251</v>
      </c>
      <c r="S427" t="s">
        <v>52</v>
      </c>
      <c r="U427" s="6">
        <v>42163.573865740742</v>
      </c>
      <c r="V427" t="s">
        <v>18</v>
      </c>
      <c r="W427" t="s">
        <v>783</v>
      </c>
      <c r="X427" s="6">
        <v>42094.465636574074</v>
      </c>
      <c r="Y427" t="s">
        <v>255</v>
      </c>
      <c r="AB427" t="s">
        <v>201</v>
      </c>
      <c r="AC427" t="s">
        <v>247</v>
      </c>
      <c r="AD427" t="s">
        <v>222</v>
      </c>
      <c r="AE427" t="s">
        <v>232</v>
      </c>
      <c r="AG427" t="s">
        <v>121</v>
      </c>
      <c r="AH427" t="s">
        <v>327</v>
      </c>
      <c r="AI427" t="s">
        <v>121</v>
      </c>
      <c r="AJ427" t="s">
        <v>716</v>
      </c>
      <c r="AK427" t="s">
        <v>121</v>
      </c>
    </row>
    <row r="428" spans="9:37" x14ac:dyDescent="0.3">
      <c r="I428">
        <f ca="1">IF(OR(INDIRECT(A73&amp;ROW())=B93,INDIRECT(A73&amp;ROW())=B94),1,IF(AND(INDIRECT(A73&amp;ROW())=B95,INDIRECT(A96&amp;ROW())=C93),1,IF(AND(INDIRECT(A73&amp;ROW())=B95,INDIRECT(A96&amp;ROW())=C94),1,0)))</f>
        <v>0</v>
      </c>
      <c r="J428">
        <f ca="1">IF(AND(INDIRECT(A73&amp;ROW())=B95,INDIRECT(A96&amp;ROW())=C95),1,IF(AND(INDIRECT(A73&amp;ROW())=B95,INDIRECT(A96&amp;ROW())=C96),1,0))</f>
        <v>1</v>
      </c>
      <c r="K428">
        <f ca="1">DAYS360(INDIRECT(C68&amp;ROW()),TODAY())</f>
        <v>717</v>
      </c>
      <c r="L428">
        <f ca="1">DAYS360(INDIRECT(C69&amp;ROW()),TODAY())</f>
        <v>752</v>
      </c>
      <c r="M428">
        <f ca="1">HYPERLINK(CONCATENATE("https://bugzilla.houston.hp.com:1181/bugzilla/show_bug.cgi?id=",INDIRECT(C70&amp;ROW())),INDIRECT(C70&amp;ROW()))</f>
        <v>59641</v>
      </c>
      <c r="N428">
        <v>59641</v>
      </c>
      <c r="O428" t="s">
        <v>241</v>
      </c>
      <c r="P428" t="s">
        <v>837</v>
      </c>
      <c r="Q428" t="s">
        <v>25</v>
      </c>
      <c r="R428" t="s">
        <v>579</v>
      </c>
      <c r="S428" t="s">
        <v>552</v>
      </c>
      <c r="T428" t="s">
        <v>1000</v>
      </c>
      <c r="U428" s="6">
        <v>42129.653993055559</v>
      </c>
      <c r="V428" t="s">
        <v>18</v>
      </c>
      <c r="W428" t="s">
        <v>783</v>
      </c>
      <c r="X428" s="6">
        <v>42094.498935185184</v>
      </c>
      <c r="Y428" t="s">
        <v>255</v>
      </c>
      <c r="AB428" t="s">
        <v>201</v>
      </c>
      <c r="AC428" t="s">
        <v>247</v>
      </c>
      <c r="AD428" t="s">
        <v>222</v>
      </c>
      <c r="AE428" t="s">
        <v>232</v>
      </c>
      <c r="AG428" t="s">
        <v>121</v>
      </c>
      <c r="AH428" t="s">
        <v>327</v>
      </c>
      <c r="AI428" t="s">
        <v>362</v>
      </c>
      <c r="AJ428" t="s">
        <v>716</v>
      </c>
      <c r="AK428" t="s">
        <v>121</v>
      </c>
    </row>
    <row r="429" spans="9:37" x14ac:dyDescent="0.3">
      <c r="I429">
        <f ca="1">IF(OR(INDIRECT(A73&amp;ROW())=B93,INDIRECT(A73&amp;ROW())=B94),1,IF(AND(INDIRECT(A73&amp;ROW())=B95,INDIRECT(A96&amp;ROW())=C93),1,IF(AND(INDIRECT(A73&amp;ROW())=B95,INDIRECT(A96&amp;ROW())=C94),1,0)))</f>
        <v>0</v>
      </c>
      <c r="J429">
        <f ca="1">IF(AND(INDIRECT(A73&amp;ROW())=B95,INDIRECT(A96&amp;ROW())=C95),1,IF(AND(INDIRECT(A73&amp;ROW())=B95,INDIRECT(A96&amp;ROW())=C96),1,0))</f>
        <v>1</v>
      </c>
      <c r="K429">
        <f ca="1">DAYS360(INDIRECT(C68&amp;ROW()),TODAY())</f>
        <v>717</v>
      </c>
      <c r="L429">
        <f ca="1">DAYS360(INDIRECT(C69&amp;ROW()),TODAY())</f>
        <v>752</v>
      </c>
      <c r="M429">
        <f ca="1">HYPERLINK(CONCATENATE("https://bugzilla.houston.hp.com:1181/bugzilla/show_bug.cgi?id=",INDIRECT(C70&amp;ROW())),INDIRECT(C70&amp;ROW()))</f>
        <v>59642</v>
      </c>
      <c r="N429">
        <v>59642</v>
      </c>
      <c r="O429" t="s">
        <v>241</v>
      </c>
      <c r="P429" t="s">
        <v>836</v>
      </c>
      <c r="Q429" t="s">
        <v>25</v>
      </c>
      <c r="R429" t="s">
        <v>248</v>
      </c>
      <c r="S429" t="s">
        <v>552</v>
      </c>
      <c r="U429" s="6">
        <v>42129.606840277775</v>
      </c>
      <c r="V429" t="s">
        <v>18</v>
      </c>
      <c r="W429" t="s">
        <v>783</v>
      </c>
      <c r="X429" s="6">
        <v>42094.499027777776</v>
      </c>
      <c r="Y429" t="s">
        <v>255</v>
      </c>
      <c r="AB429" t="s">
        <v>201</v>
      </c>
      <c r="AC429" t="s">
        <v>247</v>
      </c>
      <c r="AD429" t="s">
        <v>222</v>
      </c>
      <c r="AE429" t="s">
        <v>232</v>
      </c>
      <c r="AG429" t="s">
        <v>121</v>
      </c>
      <c r="AH429" t="s">
        <v>327</v>
      </c>
      <c r="AI429" t="s">
        <v>121</v>
      </c>
      <c r="AJ429" t="s">
        <v>716</v>
      </c>
      <c r="AK429" t="s">
        <v>121</v>
      </c>
    </row>
    <row r="430" spans="9:37" x14ac:dyDescent="0.3">
      <c r="I430">
        <f ca="1">IF(OR(INDIRECT(A73&amp;ROW())=B93,INDIRECT(A73&amp;ROW())=B94),1,IF(AND(INDIRECT(A73&amp;ROW())=B95,INDIRECT(A96&amp;ROW())=C93),1,IF(AND(INDIRECT(A73&amp;ROW())=B95,INDIRECT(A96&amp;ROW())=C94),1,0)))</f>
        <v>0</v>
      </c>
      <c r="J430">
        <f ca="1">IF(AND(INDIRECT(A73&amp;ROW())=B95,INDIRECT(A96&amp;ROW())=C95),1,IF(AND(INDIRECT(A73&amp;ROW())=B95,INDIRECT(A96&amp;ROW())=C96),1,0))</f>
        <v>1</v>
      </c>
      <c r="K430">
        <f ca="1">DAYS360(INDIRECT(C68&amp;ROW()),TODAY())</f>
        <v>684</v>
      </c>
      <c r="L430">
        <f ca="1">DAYS360(INDIRECT(C69&amp;ROW()),TODAY())</f>
        <v>752</v>
      </c>
      <c r="M430">
        <f ca="1">HYPERLINK(CONCATENATE("https://bugzilla.houston.hp.com:1181/bugzilla/show_bug.cgi?id=",INDIRECT(C70&amp;ROW())),INDIRECT(C70&amp;ROW()))</f>
        <v>59659</v>
      </c>
      <c r="N430">
        <v>59659</v>
      </c>
      <c r="O430" t="s">
        <v>22</v>
      </c>
      <c r="P430" t="s">
        <v>844</v>
      </c>
      <c r="Q430" t="s">
        <v>25</v>
      </c>
      <c r="R430" t="s">
        <v>251</v>
      </c>
      <c r="S430" t="s">
        <v>49</v>
      </c>
      <c r="U430" s="6">
        <v>42163.575428240743</v>
      </c>
      <c r="V430" t="s">
        <v>18</v>
      </c>
      <c r="W430" t="s">
        <v>764</v>
      </c>
      <c r="X430" s="6">
        <v>42094.688078703701</v>
      </c>
      <c r="Y430" t="s">
        <v>246</v>
      </c>
      <c r="AB430" t="s">
        <v>201</v>
      </c>
      <c r="AC430" t="s">
        <v>247</v>
      </c>
      <c r="AD430" t="s">
        <v>222</v>
      </c>
      <c r="AE430" t="s">
        <v>221</v>
      </c>
      <c r="AG430" t="s">
        <v>121</v>
      </c>
      <c r="AH430" t="s">
        <v>327</v>
      </c>
      <c r="AI430" t="s">
        <v>121</v>
      </c>
      <c r="AJ430" t="s">
        <v>716</v>
      </c>
      <c r="AK430" t="s">
        <v>121</v>
      </c>
    </row>
    <row r="431" spans="9:37" x14ac:dyDescent="0.3">
      <c r="I431">
        <f ca="1">IF(OR(INDIRECT(A73&amp;ROW())=B93,INDIRECT(A73&amp;ROW())=B94),1,IF(AND(INDIRECT(A73&amp;ROW())=B95,INDIRECT(A96&amp;ROW())=C93),1,IF(AND(INDIRECT(A73&amp;ROW())=B95,INDIRECT(A96&amp;ROW())=C94),1,0)))</f>
        <v>1</v>
      </c>
      <c r="J431">
        <f ca="1">IF(AND(INDIRECT(A73&amp;ROW())=B95,INDIRECT(A96&amp;ROW())=C95),1,IF(AND(INDIRECT(A73&amp;ROW())=B95,INDIRECT(A96&amp;ROW())=C96),1,0))</f>
        <v>0</v>
      </c>
      <c r="K431">
        <f ca="1">DAYS360(INDIRECT(C68&amp;ROW()),TODAY())</f>
        <v>718</v>
      </c>
      <c r="L431">
        <f ca="1">DAYS360(INDIRECT(C69&amp;ROW()),TODAY())</f>
        <v>752</v>
      </c>
      <c r="M431">
        <f ca="1">HYPERLINK(CONCATENATE("https://bugzilla.houston.hp.com:1181/bugzilla/show_bug.cgi?id=",INDIRECT(C70&amp;ROW())),INDIRECT(C70&amp;ROW()))</f>
        <v>59661</v>
      </c>
      <c r="N431">
        <v>59661</v>
      </c>
      <c r="O431" t="s">
        <v>21</v>
      </c>
      <c r="P431" t="s">
        <v>843</v>
      </c>
      <c r="Q431" t="s">
        <v>25</v>
      </c>
      <c r="R431" t="s">
        <v>579</v>
      </c>
      <c r="S431" t="s">
        <v>236</v>
      </c>
      <c r="T431" t="s">
        <v>839</v>
      </c>
      <c r="U431" s="6">
        <v>42128.237893518519</v>
      </c>
      <c r="V431" t="s">
        <v>18</v>
      </c>
      <c r="W431" t="s">
        <v>207</v>
      </c>
      <c r="X431" s="6">
        <v>42094.697835648149</v>
      </c>
      <c r="Y431" t="s">
        <v>120</v>
      </c>
      <c r="AB431" t="s">
        <v>200</v>
      </c>
      <c r="AC431" t="s">
        <v>121</v>
      </c>
      <c r="AD431" t="s">
        <v>220</v>
      </c>
      <c r="AE431" t="s">
        <v>219</v>
      </c>
      <c r="AG431" t="s">
        <v>121</v>
      </c>
      <c r="AH431" t="s">
        <v>327</v>
      </c>
      <c r="AI431" t="s">
        <v>362</v>
      </c>
      <c r="AJ431" t="s">
        <v>715</v>
      </c>
      <c r="AK431" t="s">
        <v>121</v>
      </c>
    </row>
    <row r="432" spans="9:37" x14ac:dyDescent="0.3">
      <c r="I432">
        <f ca="1">IF(OR(INDIRECT(A73&amp;ROW())=B93,INDIRECT(A73&amp;ROW())=B94),1,IF(AND(INDIRECT(A73&amp;ROW())=B95,INDIRECT(A96&amp;ROW())=C93),1,IF(AND(INDIRECT(A73&amp;ROW())=B95,INDIRECT(A96&amp;ROW())=C94),1,0)))</f>
        <v>0</v>
      </c>
      <c r="J432">
        <f ca="1">IF(AND(INDIRECT(A73&amp;ROW())=B95,INDIRECT(A96&amp;ROW())=C95),1,IF(AND(INDIRECT(A73&amp;ROW())=B95,INDIRECT(A96&amp;ROW())=C96),1,0))</f>
        <v>1</v>
      </c>
      <c r="K432">
        <f ca="1">DAYS360(INDIRECT(C68&amp;ROW()),TODAY())</f>
        <v>746</v>
      </c>
      <c r="L432">
        <f ca="1">DAYS360(INDIRECT(C69&amp;ROW()),TODAY())</f>
        <v>751</v>
      </c>
      <c r="M432">
        <f ca="1">HYPERLINK(CONCATENATE("https://bugzilla.houston.hp.com:1181/bugzilla/show_bug.cgi?id=",INDIRECT(C70&amp;ROW())),INDIRECT(C70&amp;ROW()))</f>
        <v>59736</v>
      </c>
      <c r="N432">
        <v>59736</v>
      </c>
      <c r="O432" t="s">
        <v>22</v>
      </c>
      <c r="P432" t="s">
        <v>841</v>
      </c>
      <c r="Q432" t="s">
        <v>25</v>
      </c>
      <c r="R432" t="s">
        <v>579</v>
      </c>
      <c r="S432" t="s">
        <v>552</v>
      </c>
      <c r="T432" t="s">
        <v>851</v>
      </c>
      <c r="U432" s="6">
        <v>42100.318692129629</v>
      </c>
      <c r="V432" t="s">
        <v>18</v>
      </c>
      <c r="W432" t="s">
        <v>764</v>
      </c>
      <c r="X432" s="6">
        <v>42095.512280092589</v>
      </c>
      <c r="Y432" t="s">
        <v>246</v>
      </c>
      <c r="AB432" t="s">
        <v>201</v>
      </c>
      <c r="AC432" t="s">
        <v>247</v>
      </c>
      <c r="AD432" t="s">
        <v>222</v>
      </c>
      <c r="AE432" t="s">
        <v>221</v>
      </c>
      <c r="AG432" t="s">
        <v>121</v>
      </c>
      <c r="AH432" t="s">
        <v>327</v>
      </c>
      <c r="AI432" t="s">
        <v>121</v>
      </c>
      <c r="AJ432" t="s">
        <v>716</v>
      </c>
      <c r="AK432" t="s">
        <v>121</v>
      </c>
    </row>
    <row r="433" spans="9:37" x14ac:dyDescent="0.3">
      <c r="I433">
        <f ca="1">IF(OR(INDIRECT(A73&amp;ROW())=B93,INDIRECT(A73&amp;ROW())=B94),1,IF(AND(INDIRECT(A73&amp;ROW())=B95,INDIRECT(A96&amp;ROW())=C93),1,IF(AND(INDIRECT(A73&amp;ROW())=B95,INDIRECT(A96&amp;ROW())=C94),1,0)))</f>
        <v>0</v>
      </c>
      <c r="J433">
        <f ca="1">IF(AND(INDIRECT(A73&amp;ROW())=B95,INDIRECT(A96&amp;ROW())=C95),1,IF(AND(INDIRECT(A73&amp;ROW())=B95,INDIRECT(A96&amp;ROW())=C96),1,0))</f>
        <v>1</v>
      </c>
      <c r="K433">
        <f ca="1">DAYS360(INDIRECT(C68&amp;ROW()),TODAY())</f>
        <v>751</v>
      </c>
      <c r="L433">
        <f ca="1">DAYS360(INDIRECT(C69&amp;ROW()),TODAY())</f>
        <v>751</v>
      </c>
      <c r="M433">
        <f ca="1">HYPERLINK(CONCATENATE("https://bugzilla.houston.hp.com:1181/bugzilla/show_bug.cgi?id=",INDIRECT(C70&amp;ROW())),INDIRECT(C70&amp;ROW()))</f>
        <v>59737</v>
      </c>
      <c r="N433">
        <v>59737</v>
      </c>
      <c r="O433" t="s">
        <v>22</v>
      </c>
      <c r="P433" t="s">
        <v>840</v>
      </c>
      <c r="Q433" t="s">
        <v>25</v>
      </c>
      <c r="R433" t="s">
        <v>248</v>
      </c>
      <c r="S433" t="s">
        <v>552</v>
      </c>
      <c r="U433" s="6">
        <v>42095.512372685182</v>
      </c>
      <c r="V433" t="s">
        <v>18</v>
      </c>
      <c r="W433" t="s">
        <v>764</v>
      </c>
      <c r="X433" s="6">
        <v>42095.512372685182</v>
      </c>
      <c r="Y433" t="s">
        <v>246</v>
      </c>
      <c r="AB433" t="s">
        <v>201</v>
      </c>
      <c r="AC433" t="s">
        <v>247</v>
      </c>
      <c r="AD433" t="s">
        <v>222</v>
      </c>
      <c r="AE433" t="s">
        <v>221</v>
      </c>
      <c r="AG433" t="s">
        <v>121</v>
      </c>
      <c r="AH433" t="s">
        <v>327</v>
      </c>
      <c r="AI433" t="s">
        <v>121</v>
      </c>
      <c r="AJ433" t="s">
        <v>716</v>
      </c>
      <c r="AK433" t="s">
        <v>121</v>
      </c>
    </row>
    <row r="434" spans="9:37" x14ac:dyDescent="0.3">
      <c r="I434">
        <f ca="1">IF(OR(INDIRECT(A73&amp;ROW())=B93,INDIRECT(A73&amp;ROW())=B94),1,IF(AND(INDIRECT(A73&amp;ROW())=B95,INDIRECT(A96&amp;ROW())=C93),1,IF(AND(INDIRECT(A73&amp;ROW())=B95,INDIRECT(A96&amp;ROW())=C94),1,0)))</f>
        <v>0</v>
      </c>
      <c r="J434">
        <f ca="1">IF(AND(INDIRECT(A73&amp;ROW())=B95,INDIRECT(A96&amp;ROW())=C95),1,IF(AND(INDIRECT(A73&amp;ROW())=B95,INDIRECT(A96&amp;ROW())=C96),1,0))</f>
        <v>0</v>
      </c>
      <c r="K434">
        <f ca="1">DAYS360(INDIRECT(C68&amp;ROW()),TODAY())</f>
        <v>721</v>
      </c>
      <c r="L434">
        <f ca="1">DAYS360(INDIRECT(C69&amp;ROW()),TODAY())</f>
        <v>751</v>
      </c>
      <c r="M434">
        <f ca="1">HYPERLINK(CONCATENATE("https://bugzilla.houston.hp.com:1181/bugzilla/show_bug.cgi?id=",INDIRECT(C70&amp;ROW())),INDIRECT(C70&amp;ROW()))</f>
        <v>59756</v>
      </c>
      <c r="N434">
        <v>59756</v>
      </c>
      <c r="O434" t="s">
        <v>21</v>
      </c>
      <c r="P434" t="s">
        <v>849</v>
      </c>
      <c r="Q434" t="s">
        <v>16</v>
      </c>
      <c r="R434" t="s">
        <v>248</v>
      </c>
      <c r="S434" t="s">
        <v>552</v>
      </c>
      <c r="U434" s="6">
        <v>42125.685798611114</v>
      </c>
      <c r="V434" t="s">
        <v>18</v>
      </c>
      <c r="W434" t="s">
        <v>248</v>
      </c>
      <c r="X434" s="6">
        <v>42095.699733796297</v>
      </c>
      <c r="Y434" t="s">
        <v>846</v>
      </c>
      <c r="AB434" t="s">
        <v>200</v>
      </c>
      <c r="AC434" t="s">
        <v>247</v>
      </c>
      <c r="AD434" t="s">
        <v>222</v>
      </c>
      <c r="AE434" t="s">
        <v>240</v>
      </c>
      <c r="AG434" t="s">
        <v>121</v>
      </c>
      <c r="AH434" t="s">
        <v>327</v>
      </c>
      <c r="AI434" t="s">
        <v>121</v>
      </c>
      <c r="AJ434" t="s">
        <v>716</v>
      </c>
      <c r="AK434" t="s">
        <v>121</v>
      </c>
    </row>
    <row r="435" spans="9:37" x14ac:dyDescent="0.3">
      <c r="I435">
        <f ca="1">IF(OR(INDIRECT(A73&amp;ROW())=B93,INDIRECT(A73&amp;ROW())=B94),1,IF(AND(INDIRECT(A73&amp;ROW())=B95,INDIRECT(A96&amp;ROW())=C93),1,IF(AND(INDIRECT(A73&amp;ROW())=B95,INDIRECT(A96&amp;ROW())=C94),1,0)))</f>
        <v>0</v>
      </c>
      <c r="J435">
        <f ca="1">IF(AND(INDIRECT(A73&amp;ROW())=B95,INDIRECT(A96&amp;ROW())=C95),1,IF(AND(INDIRECT(A73&amp;ROW())=B95,INDIRECT(A96&amp;ROW())=C96),1,0))</f>
        <v>1</v>
      </c>
      <c r="K435">
        <f ca="1">DAYS360(INDIRECT(C68&amp;ROW()),TODAY())</f>
        <v>743</v>
      </c>
      <c r="L435">
        <f ca="1">DAYS360(INDIRECT(C69&amp;ROW()),TODAY())</f>
        <v>751</v>
      </c>
      <c r="M435">
        <f ca="1">HYPERLINK(CONCATENATE("https://bugzilla.houston.hp.com:1181/bugzilla/show_bug.cgi?id=",INDIRECT(C70&amp;ROW())),INDIRECT(C70&amp;ROW()))</f>
        <v>59757</v>
      </c>
      <c r="N435">
        <v>59757</v>
      </c>
      <c r="O435" t="s">
        <v>56</v>
      </c>
      <c r="P435" t="s">
        <v>848</v>
      </c>
      <c r="Q435" t="s">
        <v>25</v>
      </c>
      <c r="R435" t="s">
        <v>579</v>
      </c>
      <c r="S435" t="s">
        <v>552</v>
      </c>
      <c r="T435" t="s">
        <v>858</v>
      </c>
      <c r="U435" s="6">
        <v>42103.325578703705</v>
      </c>
      <c r="V435" t="s">
        <v>18</v>
      </c>
      <c r="W435" t="s">
        <v>764</v>
      </c>
      <c r="X435" s="6">
        <v>42095.701284722221</v>
      </c>
      <c r="Y435" t="s">
        <v>122</v>
      </c>
      <c r="AB435" t="s">
        <v>201</v>
      </c>
      <c r="AC435" t="s">
        <v>247</v>
      </c>
      <c r="AD435" t="s">
        <v>220</v>
      </c>
      <c r="AE435" t="s">
        <v>219</v>
      </c>
      <c r="AG435" t="s">
        <v>121</v>
      </c>
      <c r="AH435" t="s">
        <v>327</v>
      </c>
      <c r="AI435" t="s">
        <v>121</v>
      </c>
      <c r="AJ435" t="s">
        <v>716</v>
      </c>
      <c r="AK435" t="s">
        <v>121</v>
      </c>
    </row>
    <row r="436" spans="9:37" x14ac:dyDescent="0.3">
      <c r="I436">
        <f ca="1">IF(OR(INDIRECT(A73&amp;ROW())=B93,INDIRECT(A73&amp;ROW())=B94),1,IF(AND(INDIRECT(A73&amp;ROW())=B95,INDIRECT(A96&amp;ROW())=C93),1,IF(AND(INDIRECT(A73&amp;ROW())=B95,INDIRECT(A96&amp;ROW())=C94),1,0)))</f>
        <v>0</v>
      </c>
      <c r="J436">
        <f ca="1">IF(AND(INDIRECT(A73&amp;ROW())=B95,INDIRECT(A96&amp;ROW())=C95),1,IF(AND(INDIRECT(A73&amp;ROW())=B95,INDIRECT(A96&amp;ROW())=C96),1,0))</f>
        <v>1</v>
      </c>
      <c r="K436">
        <f ca="1">DAYS360(INDIRECT(C68&amp;ROW()),TODAY())</f>
        <v>724</v>
      </c>
      <c r="L436">
        <f ca="1">DAYS360(INDIRECT(C69&amp;ROW()),TODAY())</f>
        <v>751</v>
      </c>
      <c r="M436">
        <f ca="1">HYPERLINK(CONCATENATE("https://bugzilla.houston.hp.com:1181/bugzilla/show_bug.cgi?id=",INDIRECT(C70&amp;ROW())),INDIRECT(C70&amp;ROW()))</f>
        <v>59758</v>
      </c>
      <c r="N436">
        <v>59758</v>
      </c>
      <c r="O436" t="s">
        <v>56</v>
      </c>
      <c r="P436" t="s">
        <v>847</v>
      </c>
      <c r="Q436" t="s">
        <v>25</v>
      </c>
      <c r="R436" t="s">
        <v>248</v>
      </c>
      <c r="S436" t="s">
        <v>552</v>
      </c>
      <c r="U436" s="6">
        <v>42122.3203587963</v>
      </c>
      <c r="V436" t="s">
        <v>18</v>
      </c>
      <c r="W436" t="s">
        <v>764</v>
      </c>
      <c r="X436" s="6">
        <v>42095.701365740744</v>
      </c>
      <c r="Y436" t="s">
        <v>122</v>
      </c>
      <c r="AB436" t="s">
        <v>201</v>
      </c>
      <c r="AC436" t="s">
        <v>247</v>
      </c>
      <c r="AD436" t="s">
        <v>220</v>
      </c>
      <c r="AE436" t="s">
        <v>219</v>
      </c>
      <c r="AG436" t="s">
        <v>121</v>
      </c>
      <c r="AH436" t="s">
        <v>327</v>
      </c>
      <c r="AI436" t="s">
        <v>121</v>
      </c>
      <c r="AJ436" t="s">
        <v>716</v>
      </c>
      <c r="AK436" t="s">
        <v>121</v>
      </c>
    </row>
    <row r="437" spans="9:37" x14ac:dyDescent="0.3">
      <c r="I437">
        <f ca="1">IF(OR(INDIRECT(A73&amp;ROW())=B93,INDIRECT(A73&amp;ROW())=B94),1,IF(AND(INDIRECT(A73&amp;ROW())=B95,INDIRECT(A96&amp;ROW())=C93),1,IF(AND(INDIRECT(A73&amp;ROW())=B95,INDIRECT(A96&amp;ROW())=C94),1,0)))</f>
        <v>0</v>
      </c>
      <c r="J437">
        <f ca="1">IF(AND(INDIRECT(A73&amp;ROW())=B95,INDIRECT(A96&amp;ROW())=C95),1,IF(AND(INDIRECT(A73&amp;ROW())=B95,INDIRECT(A96&amp;ROW())=C96),1,0))</f>
        <v>1</v>
      </c>
      <c r="K437">
        <f ca="1">DAYS360(INDIRECT(C68&amp;ROW()),TODAY())</f>
        <v>705</v>
      </c>
      <c r="L437">
        <f ca="1">DAYS360(INDIRECT(C69&amp;ROW()),TODAY())</f>
        <v>744</v>
      </c>
      <c r="M437">
        <f ca="1">HYPERLINK(CONCATENATE("https://bugzilla.houston.hp.com:1181/bugzilla/show_bug.cgi?id=",INDIRECT(C70&amp;ROW())),INDIRECT(C70&amp;ROW()))</f>
        <v>60118</v>
      </c>
      <c r="N437">
        <v>60118</v>
      </c>
      <c r="O437" t="s">
        <v>56</v>
      </c>
      <c r="P437" t="s">
        <v>864</v>
      </c>
      <c r="Q437" t="s">
        <v>25</v>
      </c>
      <c r="R437" t="s">
        <v>251</v>
      </c>
      <c r="S437" t="s">
        <v>253</v>
      </c>
      <c r="U437" s="6">
        <v>42141.688692129632</v>
      </c>
      <c r="V437" t="s">
        <v>40</v>
      </c>
      <c r="W437" t="s">
        <v>764</v>
      </c>
      <c r="X437" s="6">
        <v>42102.500810185185</v>
      </c>
      <c r="Y437" t="s">
        <v>246</v>
      </c>
      <c r="AB437" t="s">
        <v>201</v>
      </c>
      <c r="AC437" t="s">
        <v>247</v>
      </c>
      <c r="AD437" t="s">
        <v>220</v>
      </c>
      <c r="AE437" t="s">
        <v>219</v>
      </c>
      <c r="AG437" t="s">
        <v>121</v>
      </c>
      <c r="AH437" t="s">
        <v>768</v>
      </c>
      <c r="AI437" t="s">
        <v>121</v>
      </c>
      <c r="AJ437" t="s">
        <v>716</v>
      </c>
      <c r="AK437" t="s">
        <v>121</v>
      </c>
    </row>
    <row r="438" spans="9:37" x14ac:dyDescent="0.3">
      <c r="I438">
        <f ca="1">IF(OR(INDIRECT(A73&amp;ROW())=B93,INDIRECT(A73&amp;ROW())=B94),1,IF(AND(INDIRECT(A73&amp;ROW())=B95,INDIRECT(A96&amp;ROW())=C93),1,IF(AND(INDIRECT(A73&amp;ROW())=B95,INDIRECT(A96&amp;ROW())=C94),1,0)))</f>
        <v>0</v>
      </c>
      <c r="J438">
        <f ca="1">IF(AND(INDIRECT(A73&amp;ROW())=B95,INDIRECT(A96&amp;ROW())=C95),1,IF(AND(INDIRECT(A73&amp;ROW())=B95,INDIRECT(A96&amp;ROW())=C96),1,0))</f>
        <v>1</v>
      </c>
      <c r="K438">
        <f ca="1">DAYS360(INDIRECT(C68&amp;ROW()),TODAY())</f>
        <v>707</v>
      </c>
      <c r="L438">
        <f ca="1">DAYS360(INDIRECT(C69&amp;ROW()),TODAY())</f>
        <v>743</v>
      </c>
      <c r="M438">
        <f ca="1">HYPERLINK(CONCATENATE("https://bugzilla.houston.hp.com:1181/bugzilla/show_bug.cgi?id=",INDIRECT(C70&amp;ROW())),INDIRECT(C70&amp;ROW()))</f>
        <v>60198</v>
      </c>
      <c r="N438">
        <v>60198</v>
      </c>
      <c r="O438" t="s">
        <v>21</v>
      </c>
      <c r="P438" t="s">
        <v>918</v>
      </c>
      <c r="Q438" t="s">
        <v>25</v>
      </c>
      <c r="R438" t="s">
        <v>251</v>
      </c>
      <c r="S438" t="s">
        <v>917</v>
      </c>
      <c r="U438" s="6">
        <v>42139.420844907407</v>
      </c>
      <c r="V438" t="s">
        <v>18</v>
      </c>
      <c r="W438" t="s">
        <v>783</v>
      </c>
      <c r="X438" s="6">
        <v>42103.399004629631</v>
      </c>
      <c r="Y438" t="s">
        <v>846</v>
      </c>
      <c r="AB438" t="s">
        <v>201</v>
      </c>
      <c r="AC438" t="s">
        <v>247</v>
      </c>
      <c r="AD438" t="s">
        <v>222</v>
      </c>
      <c r="AE438" t="s">
        <v>221</v>
      </c>
      <c r="AG438" t="s">
        <v>121</v>
      </c>
      <c r="AH438" t="s">
        <v>327</v>
      </c>
      <c r="AI438" t="s">
        <v>121</v>
      </c>
      <c r="AJ438" t="s">
        <v>716</v>
      </c>
      <c r="AK438" t="s">
        <v>121</v>
      </c>
    </row>
    <row r="439" spans="9:37" x14ac:dyDescent="0.3">
      <c r="I439">
        <f ca="1">IF(OR(INDIRECT(A73&amp;ROW())=B93,INDIRECT(A73&amp;ROW())=B94),1,IF(AND(INDIRECT(A73&amp;ROW())=B95,INDIRECT(A96&amp;ROW())=C93),1,IF(AND(INDIRECT(A73&amp;ROW())=B95,INDIRECT(A96&amp;ROW())=C94),1,0)))</f>
        <v>0</v>
      </c>
      <c r="J439">
        <f ca="1">IF(AND(INDIRECT(A73&amp;ROW())=B95,INDIRECT(A96&amp;ROW())=C95),1,IF(AND(INDIRECT(A73&amp;ROW())=B95,INDIRECT(A96&amp;ROW())=C96),1,0))</f>
        <v>0</v>
      </c>
      <c r="K439">
        <f ca="1">DAYS360(INDIRECT(C68&amp;ROW()),TODAY())</f>
        <v>737</v>
      </c>
      <c r="L439">
        <f ca="1">DAYS360(INDIRECT(C69&amp;ROW()),TODAY())</f>
        <v>742</v>
      </c>
      <c r="M439">
        <f ca="1">HYPERLINK(CONCATENATE("https://bugzilla.houston.hp.com:1181/bugzilla/show_bug.cgi?id=",INDIRECT(C70&amp;ROW())),INDIRECT(C70&amp;ROW()))</f>
        <v>60262</v>
      </c>
      <c r="N439">
        <v>60262</v>
      </c>
      <c r="O439" t="s">
        <v>56</v>
      </c>
      <c r="P439" t="s">
        <v>863</v>
      </c>
      <c r="Q439" t="s">
        <v>16</v>
      </c>
      <c r="R439" t="s">
        <v>251</v>
      </c>
      <c r="S439" t="s">
        <v>854</v>
      </c>
      <c r="U439" s="6">
        <v>42109.751527777778</v>
      </c>
      <c r="V439" t="s">
        <v>18</v>
      </c>
      <c r="W439" t="s">
        <v>764</v>
      </c>
      <c r="X439" s="6">
        <v>42104.244039351855</v>
      </c>
      <c r="Y439" t="s">
        <v>810</v>
      </c>
      <c r="AB439" t="s">
        <v>201</v>
      </c>
      <c r="AC439" t="s">
        <v>247</v>
      </c>
      <c r="AD439" t="s">
        <v>220</v>
      </c>
      <c r="AE439" t="s">
        <v>223</v>
      </c>
      <c r="AG439" t="s">
        <v>121</v>
      </c>
      <c r="AH439" t="s">
        <v>327</v>
      </c>
      <c r="AI439" t="s">
        <v>121</v>
      </c>
      <c r="AJ439" t="s">
        <v>717</v>
      </c>
      <c r="AK439" t="s">
        <v>121</v>
      </c>
    </row>
    <row r="440" spans="9:37" x14ac:dyDescent="0.3">
      <c r="I440">
        <f ca="1">IF(OR(INDIRECT(A73&amp;ROW())=B93,INDIRECT(A73&amp;ROW())=B94),1,IF(AND(INDIRECT(A73&amp;ROW())=B95,INDIRECT(A96&amp;ROW())=C93),1,IF(AND(INDIRECT(A73&amp;ROW())=B95,INDIRECT(A96&amp;ROW())=C94),1,0)))</f>
        <v>1</v>
      </c>
      <c r="J440">
        <f ca="1">IF(AND(INDIRECT(A73&amp;ROW())=B95,INDIRECT(A96&amp;ROW())=C95),1,IF(AND(INDIRECT(A73&amp;ROW())=B95,INDIRECT(A96&amp;ROW())=C96),1,0))</f>
        <v>0</v>
      </c>
      <c r="K440">
        <f ca="1">DAYS360(INDIRECT(C68&amp;ROW()),TODAY())</f>
        <v>691</v>
      </c>
      <c r="L440">
        <f ca="1">DAYS360(INDIRECT(C69&amp;ROW()),TODAY())</f>
        <v>742</v>
      </c>
      <c r="M440">
        <f ca="1">HYPERLINK(CONCATENATE("https://bugzilla.houston.hp.com:1181/bugzilla/show_bug.cgi?id=",INDIRECT(C70&amp;ROW())),INDIRECT(C70&amp;ROW()))</f>
        <v>60271</v>
      </c>
      <c r="N440">
        <v>60271</v>
      </c>
      <c r="O440" t="s">
        <v>55</v>
      </c>
      <c r="P440" t="s">
        <v>862</v>
      </c>
      <c r="Q440" t="s">
        <v>25</v>
      </c>
      <c r="R440" t="s">
        <v>579</v>
      </c>
      <c r="S440" t="s">
        <v>552</v>
      </c>
      <c r="T440" t="s">
        <v>861</v>
      </c>
      <c r="U440" s="6">
        <v>42156.077268518522</v>
      </c>
      <c r="V440" t="s">
        <v>18</v>
      </c>
      <c r="W440" t="s">
        <v>372</v>
      </c>
      <c r="X440" s="6">
        <v>42104.315185185187</v>
      </c>
      <c r="Y440" t="s">
        <v>342</v>
      </c>
      <c r="Z440" t="s">
        <v>810</v>
      </c>
      <c r="AB440" t="s">
        <v>200</v>
      </c>
      <c r="AC440" t="s">
        <v>247</v>
      </c>
      <c r="AD440" t="s">
        <v>220</v>
      </c>
      <c r="AE440" t="s">
        <v>219</v>
      </c>
      <c r="AG440" t="s">
        <v>121</v>
      </c>
      <c r="AH440" t="s">
        <v>327</v>
      </c>
      <c r="AI440" t="s">
        <v>362</v>
      </c>
      <c r="AJ440" t="s">
        <v>715</v>
      </c>
      <c r="AK440" t="s">
        <v>121</v>
      </c>
    </row>
    <row r="441" spans="9:37" x14ac:dyDescent="0.3">
      <c r="I441">
        <f ca="1">IF(OR(INDIRECT(A73&amp;ROW())=B93,INDIRECT(A73&amp;ROW())=B94),1,IF(AND(INDIRECT(A73&amp;ROW())=B95,INDIRECT(A96&amp;ROW())=C93),1,IF(AND(INDIRECT(A73&amp;ROW())=B95,INDIRECT(A96&amp;ROW())=C94),1,0)))</f>
        <v>0</v>
      </c>
      <c r="J441">
        <f ca="1">IF(AND(INDIRECT(A73&amp;ROW())=B95,INDIRECT(A96&amp;ROW())=C95),1,IF(AND(INDIRECT(A73&amp;ROW())=B95,INDIRECT(A96&amp;ROW())=C96),1,0))</f>
        <v>0</v>
      </c>
      <c r="K441">
        <f ca="1">DAYS360(INDIRECT(C68&amp;ROW()),TODAY())</f>
        <v>742</v>
      </c>
      <c r="L441">
        <f ca="1">DAYS360(INDIRECT(C69&amp;ROW()),TODAY())</f>
        <v>742</v>
      </c>
      <c r="M441">
        <f ca="1">HYPERLINK(CONCATENATE("https://bugzilla.houston.hp.com:1181/bugzilla/show_bug.cgi?id=",INDIRECT(C70&amp;ROW())),INDIRECT(C70&amp;ROW()))</f>
        <v>60274</v>
      </c>
      <c r="N441">
        <v>60274</v>
      </c>
      <c r="O441" t="s">
        <v>36</v>
      </c>
      <c r="P441" t="s">
        <v>860</v>
      </c>
      <c r="Q441" t="s">
        <v>16</v>
      </c>
      <c r="R441" t="s">
        <v>248</v>
      </c>
      <c r="S441" t="s">
        <v>552</v>
      </c>
      <c r="U441" s="6">
        <v>42104.325960648152</v>
      </c>
      <c r="V441" t="s">
        <v>18</v>
      </c>
      <c r="W441" t="s">
        <v>764</v>
      </c>
      <c r="X441" s="6">
        <v>42104.325960648152</v>
      </c>
      <c r="Y441" t="s">
        <v>810</v>
      </c>
      <c r="AB441" t="s">
        <v>201</v>
      </c>
      <c r="AC441" t="s">
        <v>247</v>
      </c>
      <c r="AD441" t="s">
        <v>220</v>
      </c>
      <c r="AE441" t="s">
        <v>223</v>
      </c>
      <c r="AG441" t="s">
        <v>121</v>
      </c>
      <c r="AH441" t="s">
        <v>327</v>
      </c>
      <c r="AI441" t="s">
        <v>121</v>
      </c>
      <c r="AJ441" t="s">
        <v>717</v>
      </c>
      <c r="AK441" t="s">
        <v>121</v>
      </c>
    </row>
    <row r="442" spans="9:37" x14ac:dyDescent="0.3">
      <c r="I442">
        <f ca="1">IF(OR(INDIRECT(A73&amp;ROW())=B93,INDIRECT(A73&amp;ROW())=B94),1,IF(AND(INDIRECT(A73&amp;ROW())=B95,INDIRECT(A96&amp;ROW())=C93),1,IF(AND(INDIRECT(A73&amp;ROW())=B95,INDIRECT(A96&amp;ROW())=C94),1,0)))</f>
        <v>1</v>
      </c>
      <c r="J442">
        <f ca="1">IF(AND(INDIRECT(A73&amp;ROW())=B95,INDIRECT(A96&amp;ROW())=C95),1,IF(AND(INDIRECT(A73&amp;ROW())=B95,INDIRECT(A96&amp;ROW())=C96),1,0))</f>
        <v>0</v>
      </c>
      <c r="K442">
        <f ca="1">DAYS360(INDIRECT(C68&amp;ROW()),TODAY())</f>
        <v>690</v>
      </c>
      <c r="L442">
        <f ca="1">DAYS360(INDIRECT(C69&amp;ROW()),TODAY())</f>
        <v>742</v>
      </c>
      <c r="M442">
        <f ca="1">HYPERLINK(CONCATENATE("https://bugzilla.houston.hp.com:1181/bugzilla/show_bug.cgi?id=",INDIRECT(C70&amp;ROW())),INDIRECT(C70&amp;ROW()))</f>
        <v>60285</v>
      </c>
      <c r="N442">
        <v>60285</v>
      </c>
      <c r="O442" t="s">
        <v>320</v>
      </c>
      <c r="P442" t="s">
        <v>916</v>
      </c>
      <c r="Q442" t="s">
        <v>39</v>
      </c>
      <c r="R442" t="s">
        <v>251</v>
      </c>
      <c r="S442" t="s">
        <v>52</v>
      </c>
      <c r="U442" s="6">
        <v>42157.342418981483</v>
      </c>
      <c r="V442" t="s">
        <v>18</v>
      </c>
      <c r="W442" t="s">
        <v>783</v>
      </c>
      <c r="X442" s="6">
        <v>42104.574594907404</v>
      </c>
      <c r="Y442" t="s">
        <v>255</v>
      </c>
      <c r="AB442" t="s">
        <v>200</v>
      </c>
      <c r="AC442" t="s">
        <v>247</v>
      </c>
      <c r="AD442" t="s">
        <v>227</v>
      </c>
      <c r="AE442" t="s">
        <v>226</v>
      </c>
      <c r="AG442" t="s">
        <v>121</v>
      </c>
      <c r="AH442" t="s">
        <v>327</v>
      </c>
      <c r="AI442" t="s">
        <v>121</v>
      </c>
      <c r="AJ442" t="s">
        <v>715</v>
      </c>
      <c r="AK442" t="s">
        <v>121</v>
      </c>
    </row>
    <row r="443" spans="9:37" x14ac:dyDescent="0.3">
      <c r="I443">
        <f ca="1">IF(OR(INDIRECT(A73&amp;ROW())=B93,INDIRECT(A73&amp;ROW())=B94),1,IF(AND(INDIRECT(A73&amp;ROW())=B95,INDIRECT(A96&amp;ROW())=C93),1,IF(AND(INDIRECT(A73&amp;ROW())=B95,INDIRECT(A96&amp;ROW())=C94),1,0)))</f>
        <v>1</v>
      </c>
      <c r="J443">
        <f ca="1">IF(AND(INDIRECT(A73&amp;ROW())=B95,INDIRECT(A96&amp;ROW())=C95),1,IF(AND(INDIRECT(A73&amp;ROW())=B95,INDIRECT(A96&amp;ROW())=C96),1,0))</f>
        <v>0</v>
      </c>
      <c r="K443">
        <f ca="1">DAYS360(INDIRECT(C68&amp;ROW()),TODAY())</f>
        <v>718</v>
      </c>
      <c r="L443">
        <f ca="1">DAYS360(INDIRECT(C69&amp;ROW()),TODAY())</f>
        <v>742</v>
      </c>
      <c r="M443">
        <f ca="1">HYPERLINK(CONCATENATE("https://bugzilla.houston.hp.com:1181/bugzilla/show_bug.cgi?id=",INDIRECT(C70&amp;ROW())),INDIRECT(C70&amp;ROW()))</f>
        <v>60287</v>
      </c>
      <c r="N443">
        <v>60287</v>
      </c>
      <c r="O443" t="s">
        <v>45</v>
      </c>
      <c r="P443" t="s">
        <v>915</v>
      </c>
      <c r="Q443" t="s">
        <v>39</v>
      </c>
      <c r="R443" t="s">
        <v>579</v>
      </c>
      <c r="S443" t="s">
        <v>552</v>
      </c>
      <c r="T443" t="s">
        <v>920</v>
      </c>
      <c r="U443" s="6">
        <v>42128.230034722219</v>
      </c>
      <c r="V443" t="s">
        <v>18</v>
      </c>
      <c r="W443" t="s">
        <v>783</v>
      </c>
      <c r="X443" s="6">
        <v>42104.609548611108</v>
      </c>
      <c r="Y443" t="s">
        <v>255</v>
      </c>
      <c r="AB443" t="s">
        <v>200</v>
      </c>
      <c r="AC443" t="s">
        <v>247</v>
      </c>
      <c r="AD443" t="s">
        <v>227</v>
      </c>
      <c r="AE443" t="s">
        <v>226</v>
      </c>
      <c r="AG443" t="s">
        <v>121</v>
      </c>
      <c r="AH443" t="s">
        <v>327</v>
      </c>
      <c r="AI443" t="s">
        <v>362</v>
      </c>
      <c r="AJ443" t="s">
        <v>715</v>
      </c>
      <c r="AK443" t="s">
        <v>121</v>
      </c>
    </row>
    <row r="444" spans="9:37" x14ac:dyDescent="0.3">
      <c r="I444">
        <f ca="1">IF(OR(INDIRECT(A73&amp;ROW())=B93,INDIRECT(A73&amp;ROW())=B94),1,IF(AND(INDIRECT(A73&amp;ROW())=B95,INDIRECT(A96&amp;ROW())=C93),1,IF(AND(INDIRECT(A73&amp;ROW())=B95,INDIRECT(A96&amp;ROW())=C94),1,0)))</f>
        <v>0</v>
      </c>
      <c r="J444">
        <f ca="1">IF(AND(INDIRECT(A73&amp;ROW())=B95,INDIRECT(A96&amp;ROW())=C95),1,IF(AND(INDIRECT(A73&amp;ROW())=B95,INDIRECT(A96&amp;ROW())=C96),1,0))</f>
        <v>1</v>
      </c>
      <c r="K444">
        <f ca="1">DAYS360(INDIRECT(C68&amp;ROW()),TODAY())</f>
        <v>683</v>
      </c>
      <c r="L444">
        <f ca="1">DAYS360(INDIRECT(C69&amp;ROW()),TODAY())</f>
        <v>739</v>
      </c>
      <c r="M444">
        <f ca="1">HYPERLINK(CONCATENATE("https://bugzilla.houston.hp.com:1181/bugzilla/show_bug.cgi?id=",INDIRECT(C70&amp;ROW())),INDIRECT(C70&amp;ROW()))</f>
        <v>60382</v>
      </c>
      <c r="N444">
        <v>60382</v>
      </c>
      <c r="O444" t="s">
        <v>68</v>
      </c>
      <c r="P444" t="s">
        <v>893</v>
      </c>
      <c r="Q444" t="s">
        <v>25</v>
      </c>
      <c r="R444" t="s">
        <v>251</v>
      </c>
      <c r="S444" t="s">
        <v>52</v>
      </c>
      <c r="U444" s="6">
        <v>42164.620312500003</v>
      </c>
      <c r="V444" t="s">
        <v>40</v>
      </c>
      <c r="W444" t="s">
        <v>764</v>
      </c>
      <c r="X444" s="6">
        <v>42107.538043981483</v>
      </c>
      <c r="Y444" t="s">
        <v>255</v>
      </c>
      <c r="AB444" t="s">
        <v>201</v>
      </c>
      <c r="AC444" t="s">
        <v>247</v>
      </c>
      <c r="AD444" t="s">
        <v>220</v>
      </c>
      <c r="AE444" t="s">
        <v>229</v>
      </c>
      <c r="AG444" t="s">
        <v>121</v>
      </c>
      <c r="AH444" t="s">
        <v>327</v>
      </c>
      <c r="AI444" t="s">
        <v>121</v>
      </c>
      <c r="AJ444" t="s">
        <v>716</v>
      </c>
      <c r="AK444" t="s">
        <v>121</v>
      </c>
    </row>
    <row r="445" spans="9:37" x14ac:dyDescent="0.3">
      <c r="I445">
        <f ca="1">IF(OR(INDIRECT(A73&amp;ROW())=B93,INDIRECT(A73&amp;ROW())=B94),1,IF(AND(INDIRECT(A73&amp;ROW())=B95,INDIRECT(A96&amp;ROW())=C93),1,IF(AND(INDIRECT(A73&amp;ROW())=B95,INDIRECT(A96&amp;ROW())=C94),1,0)))</f>
        <v>0</v>
      </c>
      <c r="J445">
        <f ca="1">IF(AND(INDIRECT(A73&amp;ROW())=B95,INDIRECT(A96&amp;ROW())=C95),1,IF(AND(INDIRECT(A73&amp;ROW())=B95,INDIRECT(A96&amp;ROW())=C96),1,0))</f>
        <v>1</v>
      </c>
      <c r="K445">
        <f ca="1">DAYS360(INDIRECT(C68&amp;ROW()),TODAY())</f>
        <v>724</v>
      </c>
      <c r="L445">
        <f ca="1">DAYS360(INDIRECT(C69&amp;ROW()),TODAY())</f>
        <v>739</v>
      </c>
      <c r="M445">
        <f ca="1">HYPERLINK(CONCATENATE("https://bugzilla.houston.hp.com:1181/bugzilla/show_bug.cgi?id=",INDIRECT(C70&amp;ROW())),INDIRECT(C70&amp;ROW()))</f>
        <v>60392</v>
      </c>
      <c r="N445">
        <v>60392</v>
      </c>
      <c r="O445" t="s">
        <v>68</v>
      </c>
      <c r="P445" t="s">
        <v>892</v>
      </c>
      <c r="Q445" t="s">
        <v>25</v>
      </c>
      <c r="R445" t="s">
        <v>579</v>
      </c>
      <c r="S445" t="s">
        <v>552</v>
      </c>
      <c r="T445" t="s">
        <v>889</v>
      </c>
      <c r="U445" s="6">
        <v>42122.591226851851</v>
      </c>
      <c r="V445" t="s">
        <v>40</v>
      </c>
      <c r="W445" t="s">
        <v>764</v>
      </c>
      <c r="X445" s="6">
        <v>42107.680706018517</v>
      </c>
      <c r="Y445" t="s">
        <v>255</v>
      </c>
      <c r="AB445" t="s">
        <v>201</v>
      </c>
      <c r="AC445" t="s">
        <v>247</v>
      </c>
      <c r="AD445" t="s">
        <v>220</v>
      </c>
      <c r="AE445" t="s">
        <v>229</v>
      </c>
      <c r="AG445" t="s">
        <v>121</v>
      </c>
      <c r="AH445" t="s">
        <v>327</v>
      </c>
      <c r="AI445" t="s">
        <v>362</v>
      </c>
      <c r="AJ445" t="s">
        <v>716</v>
      </c>
      <c r="AK445" t="s">
        <v>121</v>
      </c>
    </row>
    <row r="446" spans="9:37" x14ac:dyDescent="0.3">
      <c r="I446">
        <f ca="1">IF(OR(INDIRECT(A73&amp;ROW())=B93,INDIRECT(A73&amp;ROW())=B94),1,IF(AND(INDIRECT(A73&amp;ROW())=B95,INDIRECT(A96&amp;ROW())=C93),1,IF(AND(INDIRECT(A73&amp;ROW())=B95,INDIRECT(A96&amp;ROW())=C94),1,0)))</f>
        <v>0</v>
      </c>
      <c r="J446">
        <f ca="1">IF(AND(INDIRECT(A73&amp;ROW())=B95,INDIRECT(A96&amp;ROW())=C95),1,IF(AND(INDIRECT(A73&amp;ROW())=B95,INDIRECT(A96&amp;ROW())=C96),1,0))</f>
        <v>0</v>
      </c>
      <c r="K446">
        <f ca="1">DAYS360(INDIRECT(C68&amp;ROW()),TODAY())</f>
        <v>722</v>
      </c>
      <c r="L446">
        <f ca="1">DAYS360(INDIRECT(C69&amp;ROW()),TODAY())</f>
        <v>738</v>
      </c>
      <c r="M446">
        <f ca="1">HYPERLINK(CONCATENATE("https://bugzilla.houston.hp.com:1181/bugzilla/show_bug.cgi?id=",INDIRECT(C70&amp;ROW())),INDIRECT(C70&amp;ROW()))</f>
        <v>60424</v>
      </c>
      <c r="N446">
        <v>60424</v>
      </c>
      <c r="O446" t="s">
        <v>59</v>
      </c>
      <c r="P446" t="s">
        <v>871</v>
      </c>
      <c r="Q446" t="s">
        <v>16</v>
      </c>
      <c r="R446" t="s">
        <v>251</v>
      </c>
      <c r="S446" t="s">
        <v>870</v>
      </c>
      <c r="T446" t="s">
        <v>865</v>
      </c>
      <c r="U446" s="6">
        <v>42124.724745370368</v>
      </c>
      <c r="V446" t="s">
        <v>40</v>
      </c>
      <c r="W446" t="s">
        <v>764</v>
      </c>
      <c r="X446" s="6">
        <v>42108.167349537034</v>
      </c>
      <c r="Y446" t="s">
        <v>810</v>
      </c>
      <c r="AB446" t="s">
        <v>200</v>
      </c>
      <c r="AC446" t="s">
        <v>247</v>
      </c>
      <c r="AD446" t="s">
        <v>220</v>
      </c>
      <c r="AE446" t="s">
        <v>223</v>
      </c>
      <c r="AG446" t="s">
        <v>121</v>
      </c>
      <c r="AH446" t="s">
        <v>327</v>
      </c>
      <c r="AI446" t="s">
        <v>121</v>
      </c>
      <c r="AJ446" t="s">
        <v>716</v>
      </c>
      <c r="AK446" t="s">
        <v>121</v>
      </c>
    </row>
    <row r="447" spans="9:37" x14ac:dyDescent="0.3">
      <c r="I447">
        <f ca="1">IF(OR(INDIRECT(A73&amp;ROW())=B93,INDIRECT(A73&amp;ROW())=B94),1,IF(AND(INDIRECT(A73&amp;ROW())=B95,INDIRECT(A96&amp;ROW())=C93),1,IF(AND(INDIRECT(A73&amp;ROW())=B95,INDIRECT(A96&amp;ROW())=C94),1,0)))</f>
        <v>0</v>
      </c>
      <c r="J447">
        <f ca="1">IF(AND(INDIRECT(A73&amp;ROW())=B95,INDIRECT(A96&amp;ROW())=C95),1,IF(AND(INDIRECT(A73&amp;ROW())=B95,INDIRECT(A96&amp;ROW())=C96),1,0))</f>
        <v>0</v>
      </c>
      <c r="K447">
        <f ca="1">DAYS360(INDIRECT(C68&amp;ROW()),TODAY())</f>
        <v>717</v>
      </c>
      <c r="L447">
        <f ca="1">DAYS360(INDIRECT(C69&amp;ROW()),TODAY())</f>
        <v>738</v>
      </c>
      <c r="M447">
        <f ca="1">HYPERLINK(CONCATENATE("https://bugzilla.houston.hp.com:1181/bugzilla/show_bug.cgi?id=",INDIRECT(C70&amp;ROW())),INDIRECT(C70&amp;ROW()))</f>
        <v>60438</v>
      </c>
      <c r="N447">
        <v>60438</v>
      </c>
      <c r="O447" t="s">
        <v>59</v>
      </c>
      <c r="P447" t="s">
        <v>869</v>
      </c>
      <c r="Q447" t="s">
        <v>16</v>
      </c>
      <c r="R447" t="s">
        <v>579</v>
      </c>
      <c r="S447" t="s">
        <v>552</v>
      </c>
      <c r="U447" s="6">
        <v>42129.472060185188</v>
      </c>
      <c r="V447" t="s">
        <v>40</v>
      </c>
      <c r="W447" t="s">
        <v>764</v>
      </c>
      <c r="X447" s="6">
        <v>42108.32603009259</v>
      </c>
      <c r="Y447" t="s">
        <v>810</v>
      </c>
      <c r="AB447" t="s">
        <v>200</v>
      </c>
      <c r="AC447" t="s">
        <v>247</v>
      </c>
      <c r="AD447" t="s">
        <v>220</v>
      </c>
      <c r="AE447" t="s">
        <v>223</v>
      </c>
      <c r="AG447" t="s">
        <v>121</v>
      </c>
      <c r="AH447" t="s">
        <v>327</v>
      </c>
      <c r="AI447" t="s">
        <v>121</v>
      </c>
      <c r="AJ447" t="s">
        <v>716</v>
      </c>
      <c r="AK447" t="s">
        <v>121</v>
      </c>
    </row>
    <row r="448" spans="9:37" x14ac:dyDescent="0.3">
      <c r="I448">
        <f ca="1">IF(OR(INDIRECT(A73&amp;ROW())=B93,INDIRECT(A73&amp;ROW())=B94),1,IF(AND(INDIRECT(A73&amp;ROW())=B95,INDIRECT(A96&amp;ROW())=C93),1,IF(AND(INDIRECT(A73&amp;ROW())=B95,INDIRECT(A96&amp;ROW())=C94),1,0)))</f>
        <v>0</v>
      </c>
      <c r="J448">
        <f ca="1">IF(AND(INDIRECT(A73&amp;ROW())=B95,INDIRECT(A96&amp;ROW())=C95),1,IF(AND(INDIRECT(A73&amp;ROW())=B95,INDIRECT(A96&amp;ROW())=C96),1,0))</f>
        <v>0</v>
      </c>
      <c r="K448">
        <f ca="1">DAYS360(INDIRECT(C68&amp;ROW()),TODAY())</f>
        <v>717</v>
      </c>
      <c r="L448">
        <f ca="1">DAYS360(INDIRECT(C69&amp;ROW()),TODAY())</f>
        <v>738</v>
      </c>
      <c r="M448">
        <f ca="1">HYPERLINK(CONCATENATE("https://bugzilla.houston.hp.com:1181/bugzilla/show_bug.cgi?id=",INDIRECT(C70&amp;ROW())),INDIRECT(C70&amp;ROW()))</f>
        <v>60439</v>
      </c>
      <c r="N448">
        <v>60439</v>
      </c>
      <c r="O448" t="s">
        <v>59</v>
      </c>
      <c r="P448" t="s">
        <v>868</v>
      </c>
      <c r="Q448" t="s">
        <v>16</v>
      </c>
      <c r="R448" t="s">
        <v>248</v>
      </c>
      <c r="S448" t="s">
        <v>552</v>
      </c>
      <c r="U448" s="6">
        <v>42129.472037037034</v>
      </c>
      <c r="V448" t="s">
        <v>40</v>
      </c>
      <c r="W448" t="s">
        <v>764</v>
      </c>
      <c r="X448" s="6">
        <v>42108.326099537036</v>
      </c>
      <c r="Y448" t="s">
        <v>810</v>
      </c>
      <c r="AB448" t="s">
        <v>200</v>
      </c>
      <c r="AC448" t="s">
        <v>247</v>
      </c>
      <c r="AD448" t="s">
        <v>220</v>
      </c>
      <c r="AE448" t="s">
        <v>223</v>
      </c>
      <c r="AG448" t="s">
        <v>121</v>
      </c>
      <c r="AH448" t="s">
        <v>327</v>
      </c>
      <c r="AI448" t="s">
        <v>121</v>
      </c>
      <c r="AJ448" t="s">
        <v>716</v>
      </c>
      <c r="AK448" t="s">
        <v>121</v>
      </c>
    </row>
    <row r="449" spans="9:37" x14ac:dyDescent="0.3">
      <c r="I449">
        <f ca="1">IF(OR(INDIRECT(A73&amp;ROW())=B93,INDIRECT(A73&amp;ROW())=B94),1,IF(AND(INDIRECT(A73&amp;ROW())=B95,INDIRECT(A96&amp;ROW())=C93),1,IF(AND(INDIRECT(A73&amp;ROW())=B95,INDIRECT(A96&amp;ROW())=C94),1,0)))</f>
        <v>0</v>
      </c>
      <c r="J449">
        <f ca="1">IF(AND(INDIRECT(A73&amp;ROW())=B95,INDIRECT(A96&amp;ROW())=C95),1,IF(AND(INDIRECT(A73&amp;ROW())=B95,INDIRECT(A96&amp;ROW())=C96),1,0))</f>
        <v>1</v>
      </c>
      <c r="K449">
        <f ca="1">DAYS360(INDIRECT(C68&amp;ROW()),TODAY())</f>
        <v>696</v>
      </c>
      <c r="L449">
        <f ca="1">DAYS360(INDIRECT(C69&amp;ROW()),TODAY())</f>
        <v>738</v>
      </c>
      <c r="M449">
        <f ca="1">HYPERLINK(CONCATENATE("https://bugzilla.houston.hp.com:1181/bugzilla/show_bug.cgi?id=",INDIRECT(C70&amp;ROW())),INDIRECT(C70&amp;ROW()))</f>
        <v>60453</v>
      </c>
      <c r="N449">
        <v>60453</v>
      </c>
      <c r="O449" t="s">
        <v>45</v>
      </c>
      <c r="P449" t="s">
        <v>928</v>
      </c>
      <c r="Q449" t="s">
        <v>25</v>
      </c>
      <c r="R449" t="s">
        <v>251</v>
      </c>
      <c r="S449" t="s">
        <v>365</v>
      </c>
      <c r="T449" t="s">
        <v>48</v>
      </c>
      <c r="U449" s="6">
        <v>42150.966608796298</v>
      </c>
      <c r="V449" t="s">
        <v>35</v>
      </c>
      <c r="W449" t="s">
        <v>783</v>
      </c>
      <c r="X449" s="6">
        <v>42108.482164351852</v>
      </c>
      <c r="Y449" t="s">
        <v>246</v>
      </c>
      <c r="AB449" t="s">
        <v>201</v>
      </c>
      <c r="AC449" t="s">
        <v>247</v>
      </c>
      <c r="AD449" t="s">
        <v>227</v>
      </c>
      <c r="AE449" t="s">
        <v>226</v>
      </c>
      <c r="AG449" t="s">
        <v>121</v>
      </c>
      <c r="AH449" t="s">
        <v>327</v>
      </c>
      <c r="AI449" t="s">
        <v>121</v>
      </c>
      <c r="AJ449" t="s">
        <v>715</v>
      </c>
      <c r="AK449" t="s">
        <v>121</v>
      </c>
    </row>
    <row r="450" spans="9:37" x14ac:dyDescent="0.3">
      <c r="I450">
        <f ca="1">IF(OR(INDIRECT(A73&amp;ROW())=B93,INDIRECT(A73&amp;ROW())=B94),1,IF(AND(INDIRECT(A73&amp;ROW())=B95,INDIRECT(A96&amp;ROW())=C93),1,IF(AND(INDIRECT(A73&amp;ROW())=B95,INDIRECT(A96&amp;ROW())=C94),1,0)))</f>
        <v>0</v>
      </c>
      <c r="J450">
        <f ca="1">IF(AND(INDIRECT(A73&amp;ROW())=B95,INDIRECT(A96&amp;ROW())=C95),1,IF(AND(INDIRECT(A73&amp;ROW())=B95,INDIRECT(A96&amp;ROW())=C96),1,0))</f>
        <v>1</v>
      </c>
      <c r="K450">
        <f ca="1">DAYS360(INDIRECT(C68&amp;ROW()),TODAY())</f>
        <v>684</v>
      </c>
      <c r="L450">
        <f ca="1">DAYS360(INDIRECT(C69&amp;ROW()),TODAY())</f>
        <v>738</v>
      </c>
      <c r="M450">
        <f ca="1">HYPERLINK(CONCATENATE("https://bugzilla.houston.hp.com:1181/bugzilla/show_bug.cgi?id=",INDIRECT(C70&amp;ROW())),INDIRECT(C70&amp;ROW()))</f>
        <v>60454</v>
      </c>
      <c r="N450">
        <v>60454</v>
      </c>
      <c r="O450" t="s">
        <v>45</v>
      </c>
      <c r="P450" t="s">
        <v>891</v>
      </c>
      <c r="Q450" t="s">
        <v>25</v>
      </c>
      <c r="R450" t="s">
        <v>579</v>
      </c>
      <c r="S450" t="s">
        <v>552</v>
      </c>
      <c r="T450" t="s">
        <v>930</v>
      </c>
      <c r="U450" s="6">
        <v>42163.398865740739</v>
      </c>
      <c r="V450" t="s">
        <v>18</v>
      </c>
      <c r="W450" t="s">
        <v>783</v>
      </c>
      <c r="X450" s="6">
        <v>42108.498101851852</v>
      </c>
      <c r="Y450" t="s">
        <v>246</v>
      </c>
      <c r="AB450" t="s">
        <v>201</v>
      </c>
      <c r="AC450" t="s">
        <v>247</v>
      </c>
      <c r="AD450" t="s">
        <v>227</v>
      </c>
      <c r="AE450" t="s">
        <v>226</v>
      </c>
      <c r="AG450" t="s">
        <v>121</v>
      </c>
      <c r="AH450" t="s">
        <v>327</v>
      </c>
      <c r="AI450" t="s">
        <v>121</v>
      </c>
      <c r="AJ450" t="s">
        <v>716</v>
      </c>
      <c r="AK450" t="s">
        <v>121</v>
      </c>
    </row>
    <row r="451" spans="9:37" x14ac:dyDescent="0.3">
      <c r="I451">
        <f ca="1">IF(OR(INDIRECT(A73&amp;ROW())=B93,INDIRECT(A73&amp;ROW())=B94),1,IF(AND(INDIRECT(A73&amp;ROW())=B95,INDIRECT(A96&amp;ROW())=C93),1,IF(AND(INDIRECT(A73&amp;ROW())=B95,INDIRECT(A96&amp;ROW())=C94),1,0)))</f>
        <v>0</v>
      </c>
      <c r="J451">
        <f ca="1">IF(AND(INDIRECT(A73&amp;ROW())=B95,INDIRECT(A96&amp;ROW())=C95),1,IF(AND(INDIRECT(A73&amp;ROW())=B95,INDIRECT(A96&amp;ROW())=C96),1,0))</f>
        <v>1</v>
      </c>
      <c r="K451">
        <f ca="1">DAYS360(INDIRECT(C68&amp;ROW()),TODAY())</f>
        <v>735</v>
      </c>
      <c r="L451">
        <f ca="1">DAYS360(INDIRECT(C69&amp;ROW()),TODAY())</f>
        <v>738</v>
      </c>
      <c r="M451">
        <f ca="1">HYPERLINK(CONCATENATE("https://bugzilla.houston.hp.com:1181/bugzilla/show_bug.cgi?id=",INDIRECT(C70&amp;ROW())),INDIRECT(C70&amp;ROW()))</f>
        <v>60459</v>
      </c>
      <c r="N451">
        <v>60459</v>
      </c>
      <c r="O451" t="s">
        <v>36</v>
      </c>
      <c r="P451" t="s">
        <v>914</v>
      </c>
      <c r="Q451" t="s">
        <v>25</v>
      </c>
      <c r="R451" t="s">
        <v>579</v>
      </c>
      <c r="S451" t="s">
        <v>552</v>
      </c>
      <c r="T451" t="s">
        <v>921</v>
      </c>
      <c r="U451" s="6">
        <v>42111.313831018517</v>
      </c>
      <c r="V451" t="s">
        <v>18</v>
      </c>
      <c r="W451" t="s">
        <v>783</v>
      </c>
      <c r="X451" s="6">
        <v>42108.516365740739</v>
      </c>
      <c r="Y451" t="s">
        <v>846</v>
      </c>
      <c r="AB451" t="s">
        <v>201</v>
      </c>
      <c r="AC451" t="s">
        <v>247</v>
      </c>
      <c r="AD451" t="s">
        <v>222</v>
      </c>
      <c r="AE451" t="s">
        <v>221</v>
      </c>
      <c r="AG451" t="s">
        <v>121</v>
      </c>
      <c r="AH451" t="s">
        <v>327</v>
      </c>
      <c r="AI451" t="s">
        <v>121</v>
      </c>
      <c r="AJ451" t="s">
        <v>716</v>
      </c>
      <c r="AK451" t="s">
        <v>121</v>
      </c>
    </row>
    <row r="452" spans="9:37" x14ac:dyDescent="0.3">
      <c r="I452">
        <f ca="1">IF(OR(INDIRECT(A73&amp;ROW())=B93,INDIRECT(A73&amp;ROW())=B94),1,IF(AND(INDIRECT(A73&amp;ROW())=B95,INDIRECT(A96&amp;ROW())=C93),1,IF(AND(INDIRECT(A73&amp;ROW())=B95,INDIRECT(A96&amp;ROW())=C94),1,0)))</f>
        <v>0</v>
      </c>
      <c r="J452">
        <f ca="1">IF(AND(INDIRECT(A73&amp;ROW())=B95,INDIRECT(A96&amp;ROW())=C95),1,IF(AND(INDIRECT(A73&amp;ROW())=B95,INDIRECT(A96&amp;ROW())=C96),1,0))</f>
        <v>1</v>
      </c>
      <c r="K452">
        <f ca="1">DAYS360(INDIRECT(C68&amp;ROW()),TODAY())</f>
        <v>736</v>
      </c>
      <c r="L452">
        <f ca="1">DAYS360(INDIRECT(C69&amp;ROW()),TODAY())</f>
        <v>737</v>
      </c>
      <c r="M452">
        <f ca="1">HYPERLINK(CONCATENATE("https://bugzilla.houston.hp.com:1181/bugzilla/show_bug.cgi?id=",INDIRECT(C70&amp;ROW())),INDIRECT(C70&amp;ROW()))</f>
        <v>60556</v>
      </c>
      <c r="N452">
        <v>60556</v>
      </c>
      <c r="O452" t="s">
        <v>22</v>
      </c>
      <c r="P452" t="s">
        <v>913</v>
      </c>
      <c r="Q452" t="s">
        <v>25</v>
      </c>
      <c r="R452" t="s">
        <v>251</v>
      </c>
      <c r="S452" t="s">
        <v>253</v>
      </c>
      <c r="U452" s="6">
        <v>42110.727951388886</v>
      </c>
      <c r="V452" t="s">
        <v>18</v>
      </c>
      <c r="W452" t="s">
        <v>764</v>
      </c>
      <c r="X452" s="6">
        <v>42109.729837962965</v>
      </c>
      <c r="Y452" t="s">
        <v>246</v>
      </c>
      <c r="AB452" t="s">
        <v>201</v>
      </c>
      <c r="AC452" t="s">
        <v>247</v>
      </c>
      <c r="AD452" t="s">
        <v>222</v>
      </c>
      <c r="AE452" t="s">
        <v>232</v>
      </c>
      <c r="AG452" t="s">
        <v>121</v>
      </c>
      <c r="AH452" t="s">
        <v>327</v>
      </c>
      <c r="AI452" t="s">
        <v>121</v>
      </c>
      <c r="AJ452" t="s">
        <v>716</v>
      </c>
      <c r="AK452" t="s">
        <v>121</v>
      </c>
    </row>
    <row r="453" spans="9:37" x14ac:dyDescent="0.3">
      <c r="I453">
        <f ca="1">IF(OR(INDIRECT(A73&amp;ROW())=B93,INDIRECT(A73&amp;ROW())=B94),1,IF(AND(INDIRECT(A73&amp;ROW())=B95,INDIRECT(A96&amp;ROW())=C93),1,IF(AND(INDIRECT(A73&amp;ROW())=B95,INDIRECT(A96&amp;ROW())=C94),1,0)))</f>
        <v>1</v>
      </c>
      <c r="J453">
        <f ca="1">IF(AND(INDIRECT(A73&amp;ROW())=B95,INDIRECT(A96&amp;ROW())=C95),1,IF(AND(INDIRECT(A73&amp;ROW())=B95,INDIRECT(A96&amp;ROW())=C96),1,0))</f>
        <v>0</v>
      </c>
      <c r="K453">
        <f ca="1">DAYS360(INDIRECT(C68&amp;ROW()),TODAY())</f>
        <v>680</v>
      </c>
      <c r="L453">
        <f ca="1">DAYS360(INDIRECT(C69&amp;ROW()),TODAY())</f>
        <v>737</v>
      </c>
      <c r="M453">
        <f ca="1">HYPERLINK(CONCATENATE("https://bugzilla.houston.hp.com:1181/bugzilla/show_bug.cgi?id=",INDIRECT(C70&amp;ROW())),INDIRECT(C70&amp;ROW()))</f>
        <v>60557</v>
      </c>
      <c r="N453">
        <v>60557</v>
      </c>
      <c r="O453" t="s">
        <v>164</v>
      </c>
      <c r="P453" t="s">
        <v>912</v>
      </c>
      <c r="Q453" t="s">
        <v>25</v>
      </c>
      <c r="R453" t="s">
        <v>783</v>
      </c>
      <c r="S453" t="s">
        <v>552</v>
      </c>
      <c r="T453" t="s">
        <v>1207</v>
      </c>
      <c r="U453" s="6">
        <v>42167.381562499999</v>
      </c>
      <c r="V453" t="s">
        <v>35</v>
      </c>
      <c r="W453" t="s">
        <v>57</v>
      </c>
      <c r="X453" s="6">
        <v>42109.740752314814</v>
      </c>
      <c r="Y453" t="s">
        <v>125</v>
      </c>
      <c r="AB453" t="s">
        <v>200</v>
      </c>
      <c r="AC453" t="s">
        <v>216</v>
      </c>
      <c r="AD453" t="s">
        <v>220</v>
      </c>
      <c r="AE453" t="s">
        <v>219</v>
      </c>
      <c r="AG453" t="s">
        <v>337</v>
      </c>
      <c r="AH453" t="s">
        <v>328</v>
      </c>
      <c r="AI453" t="s">
        <v>121</v>
      </c>
      <c r="AJ453" t="s">
        <v>715</v>
      </c>
      <c r="AK453" t="s">
        <v>1206</v>
      </c>
    </row>
    <row r="454" spans="9:37" x14ac:dyDescent="0.3">
      <c r="I454">
        <f ca="1">IF(OR(INDIRECT(A73&amp;ROW())=B93,INDIRECT(A73&amp;ROW())=B94),1,IF(AND(INDIRECT(A73&amp;ROW())=B95,INDIRECT(A96&amp;ROW())=C93),1,IF(AND(INDIRECT(A73&amp;ROW())=B95,INDIRECT(A96&amp;ROW())=C94),1,0)))</f>
        <v>0</v>
      </c>
      <c r="J454">
        <f ca="1">IF(AND(INDIRECT(A73&amp;ROW())=B95,INDIRECT(A96&amp;ROW())=C95),1,IF(AND(INDIRECT(A73&amp;ROW())=B95,INDIRECT(A96&amp;ROW())=C96),1,0))</f>
        <v>0</v>
      </c>
      <c r="K454">
        <f ca="1">DAYS360(INDIRECT(C68&amp;ROW()),TODAY())</f>
        <v>721</v>
      </c>
      <c r="L454">
        <f ca="1">DAYS360(INDIRECT(C69&amp;ROW()),TODAY())</f>
        <v>737</v>
      </c>
      <c r="M454">
        <f ca="1">HYPERLINK(CONCATENATE("https://bugzilla.houston.hp.com:1181/bugzilla/show_bug.cgi?id=",INDIRECT(C70&amp;ROW())),INDIRECT(C70&amp;ROW()))</f>
        <v>60559</v>
      </c>
      <c r="N454">
        <v>60559</v>
      </c>
      <c r="O454" t="s">
        <v>45</v>
      </c>
      <c r="P454" t="s">
        <v>911</v>
      </c>
      <c r="Q454" t="s">
        <v>16</v>
      </c>
      <c r="R454" t="s">
        <v>783</v>
      </c>
      <c r="S454" t="s">
        <v>552</v>
      </c>
      <c r="U454" s="6">
        <v>42125.449733796297</v>
      </c>
      <c r="V454" t="s">
        <v>18</v>
      </c>
      <c r="W454" t="s">
        <v>17</v>
      </c>
      <c r="X454" s="6">
        <v>42109.744675925926</v>
      </c>
      <c r="Y454" t="s">
        <v>122</v>
      </c>
      <c r="AB454" t="s">
        <v>200</v>
      </c>
      <c r="AC454" t="s">
        <v>247</v>
      </c>
      <c r="AD454" t="s">
        <v>227</v>
      </c>
      <c r="AE454" t="s">
        <v>226</v>
      </c>
      <c r="AG454" t="s">
        <v>121</v>
      </c>
      <c r="AH454" t="s">
        <v>327</v>
      </c>
      <c r="AI454" t="s">
        <v>121</v>
      </c>
      <c r="AJ454" t="s">
        <v>717</v>
      </c>
      <c r="AK454" t="s">
        <v>121</v>
      </c>
    </row>
    <row r="455" spans="9:37" x14ac:dyDescent="0.3">
      <c r="I455">
        <f ca="1">IF(OR(INDIRECT(A73&amp;ROW())=B93,INDIRECT(A73&amp;ROW())=B94),1,IF(AND(INDIRECT(A73&amp;ROW())=B95,INDIRECT(A96&amp;ROW())=C93),1,IF(AND(INDIRECT(A73&amp;ROW())=B95,INDIRECT(A96&amp;ROW())=C94),1,0)))</f>
        <v>1</v>
      </c>
      <c r="J455">
        <f ca="1">IF(AND(INDIRECT(A73&amp;ROW())=B95,INDIRECT(A96&amp;ROW())=C95),1,IF(AND(INDIRECT(A73&amp;ROW())=B95,INDIRECT(A96&amp;ROW())=C96),1,0))</f>
        <v>0</v>
      </c>
      <c r="K455">
        <f ca="1">DAYS360(INDIRECT(C68&amp;ROW()),TODAY())</f>
        <v>695</v>
      </c>
      <c r="L455">
        <f ca="1">DAYS360(INDIRECT(C69&amp;ROW()),TODAY())</f>
        <v>737</v>
      </c>
      <c r="M455">
        <f ca="1">HYPERLINK(CONCATENATE("https://bugzilla.houston.hp.com:1181/bugzilla/show_bug.cgi?id=",INDIRECT(C70&amp;ROW())),INDIRECT(C70&amp;ROW()))</f>
        <v>60560</v>
      </c>
      <c r="N455">
        <v>60560</v>
      </c>
      <c r="O455" t="s">
        <v>241</v>
      </c>
      <c r="P455" t="s">
        <v>910</v>
      </c>
      <c r="Q455" t="s">
        <v>25</v>
      </c>
      <c r="R455" t="s">
        <v>783</v>
      </c>
      <c r="S455" t="s">
        <v>552</v>
      </c>
      <c r="U455" s="6">
        <v>42151.347118055557</v>
      </c>
      <c r="V455" t="s">
        <v>18</v>
      </c>
      <c r="W455" t="s">
        <v>764</v>
      </c>
      <c r="X455" s="6">
        <v>42109.74486111111</v>
      </c>
      <c r="Y455" t="s">
        <v>122</v>
      </c>
      <c r="AB455" t="s">
        <v>200</v>
      </c>
      <c r="AC455" t="s">
        <v>247</v>
      </c>
      <c r="AD455" t="s">
        <v>222</v>
      </c>
      <c r="AE455" t="s">
        <v>232</v>
      </c>
      <c r="AG455" t="s">
        <v>337</v>
      </c>
      <c r="AH455" t="s">
        <v>327</v>
      </c>
      <c r="AI455" t="s">
        <v>121</v>
      </c>
      <c r="AJ455" t="s">
        <v>715</v>
      </c>
      <c r="AK455" t="s">
        <v>121</v>
      </c>
    </row>
    <row r="456" spans="9:37" x14ac:dyDescent="0.3">
      <c r="I456">
        <f ca="1">IF(OR(INDIRECT(A73&amp;ROW())=B93,INDIRECT(A73&amp;ROW())=B94),1,IF(AND(INDIRECT(A73&amp;ROW())=B95,INDIRECT(A96&amp;ROW())=C93),1,IF(AND(INDIRECT(A73&amp;ROW())=B95,INDIRECT(A96&amp;ROW())=C94),1,0)))</f>
        <v>0</v>
      </c>
      <c r="J456">
        <f ca="1">IF(AND(INDIRECT(A73&amp;ROW())=B95,INDIRECT(A96&amp;ROW())=C95),1,IF(AND(INDIRECT(A73&amp;ROW())=B95,INDIRECT(A96&amp;ROW())=C96),1,0))</f>
        <v>1</v>
      </c>
      <c r="K456">
        <f ca="1">DAYS360(INDIRECT(C68&amp;ROW()),TODAY())</f>
        <v>690</v>
      </c>
      <c r="L456">
        <f ca="1">DAYS360(INDIRECT(C69&amp;ROW()),TODAY())</f>
        <v>737</v>
      </c>
      <c r="M456">
        <f ca="1">HYPERLINK(CONCATENATE("https://bugzilla.houston.hp.com:1181/bugzilla/show_bug.cgi?id=",INDIRECT(C70&amp;ROW())),INDIRECT(C70&amp;ROW()))</f>
        <v>60562</v>
      </c>
      <c r="N456">
        <v>60562</v>
      </c>
      <c r="O456" t="s">
        <v>45</v>
      </c>
      <c r="P456" t="s">
        <v>909</v>
      </c>
      <c r="Q456" t="s">
        <v>25</v>
      </c>
      <c r="R456" t="s">
        <v>783</v>
      </c>
      <c r="S456" t="s">
        <v>552</v>
      </c>
      <c r="T456" t="s">
        <v>798</v>
      </c>
      <c r="U456" s="6">
        <v>42157.103680555556</v>
      </c>
      <c r="V456" t="s">
        <v>18</v>
      </c>
      <c r="W456" t="s">
        <v>783</v>
      </c>
      <c r="X456" s="6">
        <v>42109.747708333336</v>
      </c>
      <c r="Y456" t="s">
        <v>119</v>
      </c>
      <c r="AB456" t="s">
        <v>201</v>
      </c>
      <c r="AC456" t="s">
        <v>247</v>
      </c>
      <c r="AD456" t="s">
        <v>227</v>
      </c>
      <c r="AE456" t="s">
        <v>370</v>
      </c>
      <c r="AG456" t="s">
        <v>121</v>
      </c>
      <c r="AH456" t="s">
        <v>327</v>
      </c>
      <c r="AI456" t="s">
        <v>121</v>
      </c>
      <c r="AJ456" t="s">
        <v>716</v>
      </c>
      <c r="AK456" t="s">
        <v>121</v>
      </c>
    </row>
    <row r="457" spans="9:37" x14ac:dyDescent="0.3">
      <c r="I457">
        <f ca="1">IF(OR(INDIRECT(A73&amp;ROW())=B93,INDIRECT(A73&amp;ROW())=B94),1,IF(AND(INDIRECT(A73&amp;ROW())=B95,INDIRECT(A96&amp;ROW())=C93),1,IF(AND(INDIRECT(A73&amp;ROW())=B95,INDIRECT(A96&amp;ROW())=C94),1,0)))</f>
        <v>1</v>
      </c>
      <c r="J457">
        <f ca="1">IF(AND(INDIRECT(A73&amp;ROW())=B95,INDIRECT(A96&amp;ROW())=C95),1,IF(AND(INDIRECT(A73&amp;ROW())=B95,INDIRECT(A96&amp;ROW())=C96),1,0))</f>
        <v>0</v>
      </c>
      <c r="K457">
        <f ca="1">DAYS360(INDIRECT(C68&amp;ROW()),TODAY())</f>
        <v>681</v>
      </c>
      <c r="L457">
        <f ca="1">DAYS360(INDIRECT(C69&amp;ROW()),TODAY())</f>
        <v>737</v>
      </c>
      <c r="M457" t="s">
        <v>547</v>
      </c>
      <c r="N457">
        <v>60563</v>
      </c>
      <c r="O457" t="s">
        <v>21</v>
      </c>
      <c r="P457" t="s">
        <v>908</v>
      </c>
      <c r="Q457" t="s">
        <v>39</v>
      </c>
      <c r="R457" t="s">
        <v>783</v>
      </c>
      <c r="S457" t="s">
        <v>552</v>
      </c>
      <c r="U457" s="6">
        <v>42166.487743055557</v>
      </c>
      <c r="V457" t="s">
        <v>18</v>
      </c>
      <c r="W457" t="s">
        <v>17</v>
      </c>
      <c r="X457" s="6">
        <v>42109.747881944444</v>
      </c>
      <c r="Y457" t="s">
        <v>122</v>
      </c>
      <c r="Z457" t="s">
        <v>255</v>
      </c>
      <c r="AB457" t="s">
        <v>201</v>
      </c>
      <c r="AC457" t="s">
        <v>247</v>
      </c>
      <c r="AD457" t="s">
        <v>222</v>
      </c>
      <c r="AE457" t="s">
        <v>221</v>
      </c>
      <c r="AG457" t="s">
        <v>337</v>
      </c>
      <c r="AH457" t="s">
        <v>327</v>
      </c>
      <c r="AI457" t="s">
        <v>121</v>
      </c>
      <c r="AJ457" t="s">
        <v>715</v>
      </c>
      <c r="AK457" t="s">
        <v>1133</v>
      </c>
    </row>
    <row r="458" spans="9:37" x14ac:dyDescent="0.3">
      <c r="I458">
        <f ca="1">IF(OR(INDIRECT(A73&amp;ROW())=B93,INDIRECT(A73&amp;ROW())=B94),1,IF(AND(INDIRECT(A73&amp;ROW())=B95,INDIRECT(A96&amp;ROW())=C93),1,IF(AND(INDIRECT(A73&amp;ROW())=B95,INDIRECT(A96&amp;ROW())=C94),1,0)))</f>
        <v>1</v>
      </c>
      <c r="J458">
        <f ca="1">IF(AND(INDIRECT(A73&amp;ROW())=B95,INDIRECT(A96&amp;ROW())=C95),1,IF(AND(INDIRECT(A73&amp;ROW())=B95,INDIRECT(A96&amp;ROW())=C96),1,0))</f>
        <v>0</v>
      </c>
      <c r="K458">
        <f ca="1">DAYS360(INDIRECT(C68&amp;ROW()),TODAY())</f>
        <v>683</v>
      </c>
      <c r="L458">
        <f ca="1">DAYS360(INDIRECT(C69&amp;ROW()),TODAY())</f>
        <v>737</v>
      </c>
      <c r="M458">
        <f ca="1">HYPERLINK(CONCATENATE("https://bugzilla.houston.hp.com:1181/bugzilla/show_bug.cgi?id=",INDIRECT(C70&amp;ROW())),INDIRECT(C70&amp;ROW()))</f>
        <v>60564</v>
      </c>
      <c r="N458">
        <v>60564</v>
      </c>
      <c r="O458" t="s">
        <v>22</v>
      </c>
      <c r="P458" t="s">
        <v>907</v>
      </c>
      <c r="Q458" t="s">
        <v>25</v>
      </c>
      <c r="R458" t="s">
        <v>783</v>
      </c>
      <c r="S458" t="s">
        <v>552</v>
      </c>
      <c r="T458" t="s">
        <v>809</v>
      </c>
      <c r="U458" s="6">
        <v>42164.638749999998</v>
      </c>
      <c r="V458" t="s">
        <v>18</v>
      </c>
      <c r="W458" t="s">
        <v>764</v>
      </c>
      <c r="X458" s="6">
        <v>42109.74800925926</v>
      </c>
      <c r="Y458" t="s">
        <v>810</v>
      </c>
      <c r="AB458" t="s">
        <v>199</v>
      </c>
      <c r="AC458" t="s">
        <v>247</v>
      </c>
      <c r="AD458" t="s">
        <v>222</v>
      </c>
      <c r="AE458" t="s">
        <v>221</v>
      </c>
      <c r="AG458" t="s">
        <v>1082</v>
      </c>
      <c r="AH458" t="s">
        <v>327</v>
      </c>
      <c r="AI458" t="s">
        <v>362</v>
      </c>
      <c r="AJ458" t="s">
        <v>715</v>
      </c>
      <c r="AK458" t="s">
        <v>1206</v>
      </c>
    </row>
    <row r="459" spans="9:37" x14ac:dyDescent="0.3">
      <c r="I459">
        <f ca="1">IF(OR(INDIRECT(A73&amp;ROW())=B93,INDIRECT(A73&amp;ROW())=B94),1,IF(AND(INDIRECT(A73&amp;ROW())=B95,INDIRECT(A96&amp;ROW())=C93),1,IF(AND(INDIRECT(A73&amp;ROW())=B95,INDIRECT(A96&amp;ROW())=C94),1,0)))</f>
        <v>1</v>
      </c>
      <c r="J459">
        <f ca="1">IF(AND(INDIRECT(A73&amp;ROW())=B95,INDIRECT(A96&amp;ROW())=C95),1,IF(AND(INDIRECT(A73&amp;ROW())=B95,INDIRECT(A96&amp;ROW())=C96),1,0))</f>
        <v>0</v>
      </c>
      <c r="K459">
        <f ca="1">DAYS360(INDIRECT(C68&amp;ROW()),TODAY())</f>
        <v>681</v>
      </c>
      <c r="L459">
        <f ca="1">DAYS360(INDIRECT(C69&amp;ROW()),TODAY())</f>
        <v>737</v>
      </c>
      <c r="M459">
        <f ca="1">HYPERLINK(CONCATENATE("https://bugzilla.houston.hp.com:1181/bugzilla/show_bug.cgi?id=",INDIRECT(C70&amp;ROW())),INDIRECT(C70&amp;ROW()))</f>
        <v>60565</v>
      </c>
      <c r="N459">
        <v>60565</v>
      </c>
      <c r="O459" t="s">
        <v>22</v>
      </c>
      <c r="P459" t="s">
        <v>906</v>
      </c>
      <c r="Q459" t="s">
        <v>25</v>
      </c>
      <c r="R459" t="s">
        <v>783</v>
      </c>
      <c r="S459" t="s">
        <v>552</v>
      </c>
      <c r="T459" t="s">
        <v>1017</v>
      </c>
      <c r="U459" s="6">
        <v>42166.487743055557</v>
      </c>
      <c r="V459" t="s">
        <v>18</v>
      </c>
      <c r="W459" t="s">
        <v>783</v>
      </c>
      <c r="X459" s="6">
        <v>42109.748171296298</v>
      </c>
      <c r="Y459" t="s">
        <v>119</v>
      </c>
      <c r="AB459" t="s">
        <v>200</v>
      </c>
      <c r="AC459" t="s">
        <v>247</v>
      </c>
      <c r="AD459" t="s">
        <v>220</v>
      </c>
      <c r="AE459" t="s">
        <v>223</v>
      </c>
      <c r="AG459" t="s">
        <v>337</v>
      </c>
      <c r="AH459" t="s">
        <v>327</v>
      </c>
      <c r="AI459" t="s">
        <v>121</v>
      </c>
      <c r="AJ459" t="s">
        <v>715</v>
      </c>
      <c r="AK459" t="s">
        <v>121</v>
      </c>
    </row>
    <row r="460" spans="9:37" x14ac:dyDescent="0.3">
      <c r="I460">
        <f ca="1">IF(OR(INDIRECT(A73&amp;ROW())=B93,INDIRECT(A73&amp;ROW())=B94),1,IF(AND(INDIRECT(A73&amp;ROW())=B95,INDIRECT(A96&amp;ROW())=C93),1,IF(AND(INDIRECT(A73&amp;ROW())=B95,INDIRECT(A96&amp;ROW())=C94),1,0)))</f>
        <v>0</v>
      </c>
      <c r="J460">
        <f ca="1">IF(AND(INDIRECT(A73&amp;ROW())=B95,INDIRECT(A96&amp;ROW())=C95),1,IF(AND(INDIRECT(A73&amp;ROW())=B95,INDIRECT(A96&amp;ROW())=C96),1,0))</f>
        <v>1</v>
      </c>
      <c r="K460">
        <f ca="1">DAYS360(INDIRECT(C68&amp;ROW()),TODAY())</f>
        <v>737</v>
      </c>
      <c r="L460">
        <f ca="1">DAYS360(INDIRECT(C69&amp;ROW()),TODAY())</f>
        <v>737</v>
      </c>
      <c r="M460">
        <f ca="1">HYPERLINK(CONCATENATE("https://bugzilla.houston.hp.com:1181/bugzilla/show_bug.cgi?id=",INDIRECT(C70&amp;ROW())),INDIRECT(C70&amp;ROW()))</f>
        <v>60566</v>
      </c>
      <c r="N460">
        <v>60566</v>
      </c>
      <c r="O460" t="s">
        <v>22</v>
      </c>
      <c r="P460" t="s">
        <v>905</v>
      </c>
      <c r="Q460" t="s">
        <v>25</v>
      </c>
      <c r="R460" t="s">
        <v>783</v>
      </c>
      <c r="S460" t="s">
        <v>552</v>
      </c>
      <c r="U460" s="6">
        <v>42109.748472222222</v>
      </c>
      <c r="V460" t="s">
        <v>18</v>
      </c>
      <c r="W460" t="s">
        <v>17</v>
      </c>
      <c r="X460" s="6">
        <v>42109.748472222222</v>
      </c>
      <c r="Y460" t="s">
        <v>246</v>
      </c>
      <c r="AB460" t="s">
        <v>201</v>
      </c>
      <c r="AC460" t="s">
        <v>247</v>
      </c>
      <c r="AD460" t="s">
        <v>222</v>
      </c>
      <c r="AE460" t="s">
        <v>232</v>
      </c>
      <c r="AG460" t="s">
        <v>121</v>
      </c>
      <c r="AH460" t="s">
        <v>327</v>
      </c>
      <c r="AI460" t="s">
        <v>121</v>
      </c>
      <c r="AJ460" t="s">
        <v>716</v>
      </c>
      <c r="AK460" t="s">
        <v>121</v>
      </c>
    </row>
    <row r="461" spans="9:37" x14ac:dyDescent="0.3">
      <c r="I461">
        <f ca="1">IF(OR(INDIRECT(A73&amp;ROW())=B93,INDIRECT(A73&amp;ROW())=B94),1,IF(AND(INDIRECT(A73&amp;ROW())=B95,INDIRECT(A96&amp;ROW())=C93),1,IF(AND(INDIRECT(A73&amp;ROW())=B95,INDIRECT(A96&amp;ROW())=C94),1,0)))</f>
        <v>0</v>
      </c>
      <c r="J461">
        <f ca="1">IF(AND(INDIRECT(A73&amp;ROW())=B95,INDIRECT(A96&amp;ROW())=C95),1,IF(AND(INDIRECT(A73&amp;ROW())=B95,INDIRECT(A96&amp;ROW())=C96),1,0))</f>
        <v>1</v>
      </c>
      <c r="K461">
        <f ca="1">DAYS360(INDIRECT(C68&amp;ROW()),TODAY())</f>
        <v>736</v>
      </c>
      <c r="L461">
        <f ca="1">DAYS360(INDIRECT(C69&amp;ROW()),TODAY())</f>
        <v>737</v>
      </c>
      <c r="M461">
        <f ca="1">HYPERLINK(CONCATENATE("https://bugzilla.houston.hp.com:1181/bugzilla/show_bug.cgi?id=",INDIRECT(C70&amp;ROW())),INDIRECT(C70&amp;ROW()))</f>
        <v>60567</v>
      </c>
      <c r="N461">
        <v>60567</v>
      </c>
      <c r="O461" t="s">
        <v>66</v>
      </c>
      <c r="P461" t="s">
        <v>904</v>
      </c>
      <c r="Q461" t="s">
        <v>25</v>
      </c>
      <c r="R461" t="s">
        <v>783</v>
      </c>
      <c r="S461" t="s">
        <v>552</v>
      </c>
      <c r="U461" s="6">
        <v>42110.603171296294</v>
      </c>
      <c r="V461" t="s">
        <v>18</v>
      </c>
      <c r="W461" t="s">
        <v>17</v>
      </c>
      <c r="X461" s="6">
        <v>42109.748726851853</v>
      </c>
      <c r="Y461" t="s">
        <v>792</v>
      </c>
      <c r="AB461" t="s">
        <v>201</v>
      </c>
      <c r="AC461" t="s">
        <v>247</v>
      </c>
      <c r="AD461" t="s">
        <v>220</v>
      </c>
      <c r="AE461" t="s">
        <v>219</v>
      </c>
      <c r="AG461" t="s">
        <v>121</v>
      </c>
      <c r="AH461" t="s">
        <v>327</v>
      </c>
      <c r="AI461" t="s">
        <v>121</v>
      </c>
      <c r="AJ461" t="s">
        <v>717</v>
      </c>
      <c r="AK461" t="s">
        <v>121</v>
      </c>
    </row>
    <row r="462" spans="9:37" x14ac:dyDescent="0.3">
      <c r="I462">
        <f ca="1">IF(OR(INDIRECT(A73&amp;ROW())=B93,INDIRECT(A73&amp;ROW())=B94),1,IF(AND(INDIRECT(A73&amp;ROW())=B95,INDIRECT(A96&amp;ROW())=C93),1,IF(AND(INDIRECT(A73&amp;ROW())=B95,INDIRECT(A96&amp;ROW())=C94),1,0)))</f>
        <v>1</v>
      </c>
      <c r="J462">
        <f ca="1">IF(AND(INDIRECT(A73&amp;ROW())=B95,INDIRECT(A96&amp;ROW())=C95),1,IF(AND(INDIRECT(A73&amp;ROW())=B95,INDIRECT(A96&amp;ROW())=C96),1,0))</f>
        <v>0</v>
      </c>
      <c r="K462">
        <f ca="1">DAYS360(INDIRECT(C68&amp;ROW()),TODAY())</f>
        <v>675</v>
      </c>
      <c r="L462">
        <f ca="1">DAYS360(INDIRECT(C69&amp;ROW()),TODAY())</f>
        <v>737</v>
      </c>
      <c r="M462">
        <f ca="1">HYPERLINK(CONCATENATE("https://bugzilla.houston.hp.com:1181/bugzilla/show_bug.cgi?id=",INDIRECT(C70&amp;ROW())),INDIRECT(C70&amp;ROW()))</f>
        <v>60568</v>
      </c>
      <c r="N462">
        <v>60568</v>
      </c>
      <c r="O462" t="s">
        <v>56</v>
      </c>
      <c r="P462" t="s">
        <v>903</v>
      </c>
      <c r="Q462" t="s">
        <v>25</v>
      </c>
      <c r="R462" t="s">
        <v>783</v>
      </c>
      <c r="S462" t="s">
        <v>552</v>
      </c>
      <c r="U462" s="6">
        <v>42172.613969907405</v>
      </c>
      <c r="V462" t="s">
        <v>40</v>
      </c>
      <c r="W462" t="s">
        <v>783</v>
      </c>
      <c r="X462" s="6">
        <v>42109.748993055553</v>
      </c>
      <c r="Y462" t="s">
        <v>119</v>
      </c>
      <c r="AB462" t="s">
        <v>200</v>
      </c>
      <c r="AC462" t="s">
        <v>247</v>
      </c>
      <c r="AD462" t="s">
        <v>220</v>
      </c>
      <c r="AE462" t="s">
        <v>219</v>
      </c>
      <c r="AG462" t="s">
        <v>121</v>
      </c>
      <c r="AH462" t="s">
        <v>327</v>
      </c>
      <c r="AI462" t="s">
        <v>121</v>
      </c>
      <c r="AJ462" t="s">
        <v>715</v>
      </c>
      <c r="AK462" t="s">
        <v>121</v>
      </c>
    </row>
    <row r="463" spans="9:37" x14ac:dyDescent="0.3">
      <c r="I463">
        <f ca="1">IF(OR(INDIRECT(A73&amp;ROW())=B93,INDIRECT(A73&amp;ROW())=B94),1,IF(AND(INDIRECT(A73&amp;ROW())=B95,INDIRECT(A96&amp;ROW())=C93),1,IF(AND(INDIRECT(A73&amp;ROW())=B95,INDIRECT(A96&amp;ROW())=C94),1,0)))</f>
        <v>0</v>
      </c>
      <c r="J463">
        <f ca="1">IF(AND(INDIRECT(A73&amp;ROW())=B95,INDIRECT(A96&amp;ROW())=C95),1,IF(AND(INDIRECT(A73&amp;ROW())=B95,INDIRECT(A96&amp;ROW())=C96),1,0))</f>
        <v>1</v>
      </c>
      <c r="K463">
        <f ca="1">DAYS360(INDIRECT(C68&amp;ROW()),TODAY())</f>
        <v>717</v>
      </c>
      <c r="L463">
        <f ca="1">DAYS360(INDIRECT(C69&amp;ROW()),TODAY())</f>
        <v>737</v>
      </c>
      <c r="M463">
        <f ca="1">HYPERLINK(CONCATENATE("https://bugzilla.houston.hp.com:1181/bugzilla/show_bug.cgi?id=",INDIRECT(C70&amp;ROW())),INDIRECT(C70&amp;ROW()))</f>
        <v>60570</v>
      </c>
      <c r="N463">
        <v>60570</v>
      </c>
      <c r="O463" t="s">
        <v>241</v>
      </c>
      <c r="P463" t="s">
        <v>902</v>
      </c>
      <c r="Q463" t="s">
        <v>25</v>
      </c>
      <c r="R463" t="s">
        <v>783</v>
      </c>
      <c r="S463" t="s">
        <v>552</v>
      </c>
      <c r="U463" s="6">
        <v>42129.606886574074</v>
      </c>
      <c r="V463" t="s">
        <v>18</v>
      </c>
      <c r="W463" t="s">
        <v>783</v>
      </c>
      <c r="X463" s="6">
        <v>42109.749328703707</v>
      </c>
      <c r="Y463" t="s">
        <v>255</v>
      </c>
      <c r="AB463" t="s">
        <v>201</v>
      </c>
      <c r="AC463" t="s">
        <v>247</v>
      </c>
      <c r="AD463" t="s">
        <v>222</v>
      </c>
      <c r="AE463" t="s">
        <v>232</v>
      </c>
      <c r="AG463" t="s">
        <v>121</v>
      </c>
      <c r="AH463" t="s">
        <v>327</v>
      </c>
      <c r="AI463" t="s">
        <v>121</v>
      </c>
      <c r="AJ463" t="s">
        <v>716</v>
      </c>
      <c r="AK463" t="s">
        <v>121</v>
      </c>
    </row>
    <row r="464" spans="9:37" x14ac:dyDescent="0.3">
      <c r="I464">
        <f ca="1">IF(OR(INDIRECT(A73&amp;ROW())=B93,INDIRECT(A73&amp;ROW())=B94),1,IF(AND(INDIRECT(A73&amp;ROW())=B95,INDIRECT(A96&amp;ROW())=C93),1,IF(AND(INDIRECT(A73&amp;ROW())=B95,INDIRECT(A96&amp;ROW())=C94),1,0)))</f>
        <v>0</v>
      </c>
      <c r="J464">
        <f ca="1">IF(AND(INDIRECT(A73&amp;ROW())=B95,INDIRECT(A96&amp;ROW())=C95),1,IF(AND(INDIRECT(A73&amp;ROW())=B95,INDIRECT(A96&amp;ROW())=C96),1,0))</f>
        <v>1</v>
      </c>
      <c r="K464">
        <f ca="1">DAYS360(INDIRECT(C68&amp;ROW()),TODAY())</f>
        <v>737</v>
      </c>
      <c r="L464">
        <f ca="1">DAYS360(INDIRECT(C69&amp;ROW()),TODAY())</f>
        <v>737</v>
      </c>
      <c r="M464">
        <f ca="1">HYPERLINK(CONCATENATE("https://bugzilla.houston.hp.com:1181/bugzilla/show_bug.cgi?id=",INDIRECT(C70&amp;ROW())),INDIRECT(C70&amp;ROW()))</f>
        <v>60571</v>
      </c>
      <c r="N464">
        <v>60571</v>
      </c>
      <c r="O464" t="s">
        <v>22</v>
      </c>
      <c r="P464" t="s">
        <v>901</v>
      </c>
      <c r="Q464" t="s">
        <v>25</v>
      </c>
      <c r="R464" t="s">
        <v>783</v>
      </c>
      <c r="S464" t="s">
        <v>552</v>
      </c>
      <c r="U464" s="6">
        <v>42109.749872685185</v>
      </c>
      <c r="V464" t="s">
        <v>18</v>
      </c>
      <c r="W464" t="s">
        <v>764</v>
      </c>
      <c r="X464" s="6">
        <v>42109.749872685185</v>
      </c>
      <c r="Y464" t="s">
        <v>246</v>
      </c>
      <c r="AB464" t="s">
        <v>201</v>
      </c>
      <c r="AC464" t="s">
        <v>247</v>
      </c>
      <c r="AD464" t="s">
        <v>222</v>
      </c>
      <c r="AE464" t="s">
        <v>221</v>
      </c>
      <c r="AG464" t="s">
        <v>121</v>
      </c>
      <c r="AH464" t="s">
        <v>327</v>
      </c>
      <c r="AI464" t="s">
        <v>121</v>
      </c>
      <c r="AJ464" t="s">
        <v>716</v>
      </c>
      <c r="AK464" t="s">
        <v>121</v>
      </c>
    </row>
    <row r="465" spans="9:37" x14ac:dyDescent="0.3">
      <c r="I465">
        <f ca="1">IF(OR(INDIRECT(A73&amp;ROW())=B93,INDIRECT(A73&amp;ROW())=B94),1,IF(AND(INDIRECT(A73&amp;ROW())=B95,INDIRECT(A96&amp;ROW())=C93),1,IF(AND(INDIRECT(A73&amp;ROW())=B95,INDIRECT(A96&amp;ROW())=C94),1,0)))</f>
        <v>0</v>
      </c>
      <c r="J465">
        <f ca="1">IF(AND(INDIRECT(A73&amp;ROW())=B95,INDIRECT(A96&amp;ROW())=C95),1,IF(AND(INDIRECT(A73&amp;ROW())=B95,INDIRECT(A96&amp;ROW())=C96),1,0))</f>
        <v>0</v>
      </c>
      <c r="K465">
        <f ca="1">DAYS360(INDIRECT(C68&amp;ROW()),TODAY())</f>
        <v>737</v>
      </c>
      <c r="L465">
        <f ca="1">DAYS360(INDIRECT(C69&amp;ROW()),TODAY())</f>
        <v>737</v>
      </c>
      <c r="M465">
        <f ca="1">HYPERLINK(CONCATENATE("https://bugzilla.houston.hp.com:1181/bugzilla/show_bug.cgi?id=",INDIRECT(C70&amp;ROW())),INDIRECT(C70&amp;ROW()))</f>
        <v>60576</v>
      </c>
      <c r="N465">
        <v>60576</v>
      </c>
      <c r="O465" t="s">
        <v>56</v>
      </c>
      <c r="P465" t="s">
        <v>898</v>
      </c>
      <c r="Q465" t="s">
        <v>16</v>
      </c>
      <c r="R465" t="s">
        <v>783</v>
      </c>
      <c r="S465" t="s">
        <v>552</v>
      </c>
      <c r="U465" s="6">
        <v>42109.751527777778</v>
      </c>
      <c r="V465" t="s">
        <v>18</v>
      </c>
      <c r="W465" t="s">
        <v>764</v>
      </c>
      <c r="X465" s="6">
        <v>42109.751527777778</v>
      </c>
      <c r="Y465" t="s">
        <v>810</v>
      </c>
      <c r="AB465" t="s">
        <v>201</v>
      </c>
      <c r="AC465" t="s">
        <v>247</v>
      </c>
      <c r="AD465" t="s">
        <v>220</v>
      </c>
      <c r="AE465" t="s">
        <v>223</v>
      </c>
      <c r="AG465" t="s">
        <v>121</v>
      </c>
      <c r="AH465" t="s">
        <v>327</v>
      </c>
      <c r="AI465" t="s">
        <v>121</v>
      </c>
      <c r="AJ465" t="s">
        <v>717</v>
      </c>
      <c r="AK465" t="s">
        <v>121</v>
      </c>
    </row>
    <row r="466" spans="9:37" x14ac:dyDescent="0.3">
      <c r="I466">
        <f ca="1">IF(OR(INDIRECT(A73&amp;ROW())=B93,INDIRECT(A73&amp;ROW())=B94),1,IF(AND(INDIRECT(A73&amp;ROW())=B95,INDIRECT(A96&amp;ROW())=C93),1,IF(AND(INDIRECT(A73&amp;ROW())=B95,INDIRECT(A96&amp;ROW())=C94),1,0)))</f>
        <v>0</v>
      </c>
      <c r="J466">
        <f ca="1">IF(AND(INDIRECT(A73&amp;ROW())=B95,INDIRECT(A96&amp;ROW())=C95),1,IF(AND(INDIRECT(A73&amp;ROW())=B95,INDIRECT(A96&amp;ROW())=C96),1,0))</f>
        <v>1</v>
      </c>
      <c r="K466">
        <f ca="1">DAYS360(INDIRECT(C68&amp;ROW()),TODAY())</f>
        <v>735</v>
      </c>
      <c r="L466">
        <f ca="1">DAYS360(INDIRECT(C69&amp;ROW()),TODAY())</f>
        <v>736</v>
      </c>
      <c r="M466">
        <f ca="1">HYPERLINK(CONCATENATE("https://bugzilla.houston.hp.com:1181/bugzilla/show_bug.cgi?id=",INDIRECT(C70&amp;ROW())),INDIRECT(C70&amp;ROW()))</f>
        <v>60594</v>
      </c>
      <c r="N466">
        <v>60594</v>
      </c>
      <c r="O466" t="s">
        <v>36</v>
      </c>
      <c r="P466" t="s">
        <v>897</v>
      </c>
      <c r="Q466" t="s">
        <v>25</v>
      </c>
      <c r="R466" t="s">
        <v>579</v>
      </c>
      <c r="S466" t="s">
        <v>552</v>
      </c>
      <c r="T466" t="s">
        <v>922</v>
      </c>
      <c r="U466" s="6">
        <v>42111.314699074072</v>
      </c>
      <c r="V466" t="s">
        <v>18</v>
      </c>
      <c r="W466" t="s">
        <v>764</v>
      </c>
      <c r="X466" s="6">
        <v>42110.0156712963</v>
      </c>
      <c r="Y466" t="s">
        <v>246</v>
      </c>
      <c r="AB466" t="s">
        <v>201</v>
      </c>
      <c r="AC466" t="s">
        <v>247</v>
      </c>
      <c r="AD466" t="s">
        <v>222</v>
      </c>
      <c r="AE466" t="s">
        <v>232</v>
      </c>
      <c r="AG466" t="s">
        <v>121</v>
      </c>
      <c r="AH466" t="s">
        <v>327</v>
      </c>
      <c r="AI466" t="s">
        <v>121</v>
      </c>
      <c r="AJ466" t="s">
        <v>716</v>
      </c>
      <c r="AK466" t="s">
        <v>121</v>
      </c>
    </row>
    <row r="467" spans="9:37" x14ac:dyDescent="0.3">
      <c r="I467">
        <f ca="1">IF(OR(INDIRECT(A73&amp;ROW())=B93,INDIRECT(A73&amp;ROW())=B94),1,IF(AND(INDIRECT(A73&amp;ROW())=B95,INDIRECT(A96&amp;ROW())=C93),1,IF(AND(INDIRECT(A73&amp;ROW())=B95,INDIRECT(A96&amp;ROW())=C94),1,0)))</f>
        <v>0</v>
      </c>
      <c r="J467">
        <f ca="1">IF(AND(INDIRECT(A73&amp;ROW())=B95,INDIRECT(A96&amp;ROW())=C95),1,IF(AND(INDIRECT(A73&amp;ROW())=B95,INDIRECT(A96&amp;ROW())=C96),1,0))</f>
        <v>1</v>
      </c>
      <c r="K467">
        <f ca="1">DAYS360(INDIRECT(C68&amp;ROW()),TODAY())</f>
        <v>684</v>
      </c>
      <c r="L467">
        <f ca="1">DAYS360(INDIRECT(C69&amp;ROW()),TODAY())</f>
        <v>736</v>
      </c>
      <c r="M467">
        <f ca="1">HYPERLINK(CONCATENATE("https://bugzilla.houston.hp.com:1181/bugzilla/show_bug.cgi?id=",INDIRECT(C70&amp;ROW())),INDIRECT(C70&amp;ROW()))</f>
        <v>60595</v>
      </c>
      <c r="N467">
        <v>60595</v>
      </c>
      <c r="O467" t="s">
        <v>36</v>
      </c>
      <c r="P467" t="s">
        <v>896</v>
      </c>
      <c r="Q467" t="s">
        <v>25</v>
      </c>
      <c r="R467" t="s">
        <v>248</v>
      </c>
      <c r="S467" t="s">
        <v>552</v>
      </c>
      <c r="U467" s="6">
        <v>42163.610335648147</v>
      </c>
      <c r="V467" t="s">
        <v>18</v>
      </c>
      <c r="W467" t="s">
        <v>764</v>
      </c>
      <c r="X467" s="6">
        <v>42110.015717592592</v>
      </c>
      <c r="Y467" t="s">
        <v>246</v>
      </c>
      <c r="AB467" t="s">
        <v>201</v>
      </c>
      <c r="AC467" t="s">
        <v>247</v>
      </c>
      <c r="AD467" t="s">
        <v>222</v>
      </c>
      <c r="AE467" t="s">
        <v>232</v>
      </c>
      <c r="AG467" t="s">
        <v>121</v>
      </c>
      <c r="AH467" t="s">
        <v>327</v>
      </c>
      <c r="AI467" t="s">
        <v>121</v>
      </c>
      <c r="AJ467" t="s">
        <v>716</v>
      </c>
      <c r="AK467" t="s">
        <v>121</v>
      </c>
    </row>
    <row r="468" spans="9:37" x14ac:dyDescent="0.3">
      <c r="I468">
        <f ca="1">IF(OR(INDIRECT(A73&amp;ROW())=B93,INDIRECT(A73&amp;ROW())=B94),1,IF(AND(INDIRECT(A73&amp;ROW())=B95,INDIRECT(A96&amp;ROW())=C93),1,IF(AND(INDIRECT(A73&amp;ROW())=B95,INDIRECT(A96&amp;ROW())=C94),1,0)))</f>
        <v>0</v>
      </c>
      <c r="J468">
        <f ca="1">IF(AND(INDIRECT(A73&amp;ROW())=B95,INDIRECT(A96&amp;ROW())=C95),1,IF(AND(INDIRECT(A73&amp;ROW())=B95,INDIRECT(A96&amp;ROW())=C96),1,0))</f>
        <v>0</v>
      </c>
      <c r="K468">
        <f ca="1">DAYS360(INDIRECT(C68&amp;ROW()),TODAY())</f>
        <v>681</v>
      </c>
      <c r="L468">
        <f ca="1">DAYS360(INDIRECT(C69&amp;ROW()),TODAY())</f>
        <v>736</v>
      </c>
      <c r="M468">
        <f ca="1">HYPERLINK(CONCATENATE("https://bugzilla.houston.hp.com:1181/bugzilla/show_bug.cgi?id=",INDIRECT(C70&amp;ROW())),INDIRECT(C70&amp;ROW()))</f>
        <v>60601</v>
      </c>
      <c r="N468">
        <v>60601</v>
      </c>
      <c r="O468" t="s">
        <v>66</v>
      </c>
      <c r="P468" t="s">
        <v>895</v>
      </c>
      <c r="Q468" t="s">
        <v>16</v>
      </c>
      <c r="R468" t="s">
        <v>251</v>
      </c>
      <c r="S468" t="s">
        <v>516</v>
      </c>
      <c r="U468" s="6">
        <v>42166.564513888887</v>
      </c>
      <c r="V468" t="s">
        <v>35</v>
      </c>
      <c r="W468" t="s">
        <v>783</v>
      </c>
      <c r="X468" s="6">
        <v>42110.021886574075</v>
      </c>
      <c r="Y468" t="s">
        <v>786</v>
      </c>
      <c r="AB468" t="s">
        <v>200</v>
      </c>
      <c r="AC468" t="s">
        <v>247</v>
      </c>
      <c r="AD468" t="s">
        <v>220</v>
      </c>
      <c r="AE468" t="s">
        <v>219</v>
      </c>
      <c r="AG468" t="s">
        <v>121</v>
      </c>
      <c r="AH468" t="s">
        <v>327</v>
      </c>
      <c r="AI468" t="s">
        <v>121</v>
      </c>
      <c r="AJ468" t="s">
        <v>716</v>
      </c>
      <c r="AK468" t="s">
        <v>121</v>
      </c>
    </row>
    <row r="469" spans="9:37" x14ac:dyDescent="0.3">
      <c r="I469">
        <f ca="1">IF(OR(INDIRECT(A73&amp;ROW())=B93,INDIRECT(A73&amp;ROW())=B94),1,IF(AND(INDIRECT(A73&amp;ROW())=B95,INDIRECT(A96&amp;ROW())=C93),1,IF(AND(INDIRECT(A73&amp;ROW())=B95,INDIRECT(A96&amp;ROW())=C94),1,0)))</f>
        <v>0</v>
      </c>
      <c r="J469">
        <f ca="1">IF(AND(INDIRECT(A73&amp;ROW())=B95,INDIRECT(A96&amp;ROW())=C95),1,IF(AND(INDIRECT(A73&amp;ROW())=B95,INDIRECT(A96&amp;ROW())=C96),1,0))</f>
        <v>0</v>
      </c>
      <c r="K469">
        <f ca="1">DAYS360(INDIRECT(C68&amp;ROW()),TODAY())</f>
        <v>717</v>
      </c>
      <c r="L469">
        <f ca="1">DAYS360(INDIRECT(C69&amp;ROW()),TODAY())</f>
        <v>736</v>
      </c>
      <c r="M469">
        <f ca="1">HYPERLINK(CONCATENATE("https://bugzilla.houston.hp.com:1181/bugzilla/show_bug.cgi?id=",INDIRECT(C70&amp;ROW())),INDIRECT(C70&amp;ROW()))</f>
        <v>60668</v>
      </c>
      <c r="N469">
        <v>60668</v>
      </c>
      <c r="O469" t="s">
        <v>56</v>
      </c>
      <c r="P469" t="s">
        <v>894</v>
      </c>
      <c r="Q469" t="s">
        <v>16</v>
      </c>
      <c r="R469" t="s">
        <v>248</v>
      </c>
      <c r="S469" t="s">
        <v>552</v>
      </c>
      <c r="U469" s="6">
        <v>42129.317453703705</v>
      </c>
      <c r="V469" t="s">
        <v>18</v>
      </c>
      <c r="W469" t="s">
        <v>783</v>
      </c>
      <c r="X469" s="6">
        <v>42110.515844907408</v>
      </c>
      <c r="Y469" t="s">
        <v>786</v>
      </c>
      <c r="AB469" t="s">
        <v>200</v>
      </c>
      <c r="AC469" t="s">
        <v>247</v>
      </c>
      <c r="AD469" t="s">
        <v>220</v>
      </c>
      <c r="AE469" t="s">
        <v>219</v>
      </c>
      <c r="AG469" t="s">
        <v>121</v>
      </c>
      <c r="AH469" t="s">
        <v>327</v>
      </c>
      <c r="AI469" t="s">
        <v>121</v>
      </c>
      <c r="AJ469" t="s">
        <v>716</v>
      </c>
      <c r="AK469" t="s">
        <v>121</v>
      </c>
    </row>
    <row r="470" spans="9:37" x14ac:dyDescent="0.3">
      <c r="I470">
        <f ca="1">IF(OR(INDIRECT(A73&amp;ROW())=B93,INDIRECT(A73&amp;ROW())=B94),1,IF(AND(INDIRECT(A73&amp;ROW())=B95,INDIRECT(A96&amp;ROW())=C93),1,IF(AND(INDIRECT(A73&amp;ROW())=B95,INDIRECT(A96&amp;ROW())=C94),1,0)))</f>
        <v>0</v>
      </c>
      <c r="J470">
        <f ca="1">IF(AND(INDIRECT(A73&amp;ROW())=B95,INDIRECT(A96&amp;ROW())=C95),1,IF(AND(INDIRECT(A73&amp;ROW())=B95,INDIRECT(A96&amp;ROW())=C96),1,0))</f>
        <v>0</v>
      </c>
      <c r="K470">
        <f ca="1">DAYS360(INDIRECT(C68&amp;ROW()),TODAY())</f>
        <v>684</v>
      </c>
      <c r="L470">
        <f ca="1">DAYS360(INDIRECT(C69&amp;ROW()),TODAY())</f>
        <v>735</v>
      </c>
      <c r="M470">
        <f ca="1">HYPERLINK(CONCATENATE("https://bugzilla.houston.hp.com:1181/bugzilla/show_bug.cgi?id=",INDIRECT(C70&amp;ROW())),INDIRECT(C70&amp;ROW()))</f>
        <v>60724</v>
      </c>
      <c r="N470">
        <v>60724</v>
      </c>
      <c r="O470" t="s">
        <v>66</v>
      </c>
      <c r="P470" t="s">
        <v>926</v>
      </c>
      <c r="Q470" t="s">
        <v>16</v>
      </c>
      <c r="R470" t="s">
        <v>251</v>
      </c>
      <c r="S470" t="s">
        <v>33</v>
      </c>
      <c r="T470" t="s">
        <v>966</v>
      </c>
      <c r="U470" s="6">
        <v>42163.581828703704</v>
      </c>
      <c r="V470" t="s">
        <v>18</v>
      </c>
      <c r="W470" t="s">
        <v>783</v>
      </c>
      <c r="X470" s="6">
        <v>42111.162210648145</v>
      </c>
      <c r="Y470" t="s">
        <v>119</v>
      </c>
      <c r="AB470" t="s">
        <v>200</v>
      </c>
      <c r="AC470" t="s">
        <v>247</v>
      </c>
      <c r="AD470" t="s">
        <v>220</v>
      </c>
      <c r="AE470" t="s">
        <v>223</v>
      </c>
      <c r="AG470" t="s">
        <v>121</v>
      </c>
      <c r="AH470" t="s">
        <v>327</v>
      </c>
      <c r="AI470" t="s">
        <v>121</v>
      </c>
      <c r="AJ470" t="s">
        <v>716</v>
      </c>
      <c r="AK470" t="s">
        <v>121</v>
      </c>
    </row>
    <row r="471" spans="9:37" x14ac:dyDescent="0.3">
      <c r="I471">
        <f ca="1">IF(OR(INDIRECT(A73&amp;ROW())=B93,INDIRECT(A73&amp;ROW())=B94),1,IF(AND(INDIRECT(A73&amp;ROW())=B95,INDIRECT(A96&amp;ROW())=C93),1,IF(AND(INDIRECT(A73&amp;ROW())=B95,INDIRECT(A96&amp;ROW())=C94),1,0)))</f>
        <v>0</v>
      </c>
      <c r="J471">
        <f ca="1">IF(AND(INDIRECT(A73&amp;ROW())=B95,INDIRECT(A96&amp;ROW())=C95),1,IF(AND(INDIRECT(A73&amp;ROW())=B95,INDIRECT(A96&amp;ROW())=C96),1,0))</f>
        <v>0</v>
      </c>
      <c r="K471">
        <f ca="1">DAYS360(INDIRECT(C68&amp;ROW()),TODAY())</f>
        <v>690</v>
      </c>
      <c r="L471">
        <f ca="1">DAYS360(INDIRECT(C69&amp;ROW()),TODAY())</f>
        <v>735</v>
      </c>
      <c r="M471">
        <f ca="1">HYPERLINK(CONCATENATE("https://bugzilla.houston.hp.com:1181/bugzilla/show_bug.cgi?id=",INDIRECT(C70&amp;ROW())),INDIRECT(C70&amp;ROW()))</f>
        <v>60736</v>
      </c>
      <c r="N471">
        <v>60736</v>
      </c>
      <c r="O471" t="s">
        <v>59</v>
      </c>
      <c r="P471" t="s">
        <v>925</v>
      </c>
      <c r="Q471" t="s">
        <v>16</v>
      </c>
      <c r="R471" t="s">
        <v>579</v>
      </c>
      <c r="S471" t="s">
        <v>552</v>
      </c>
      <c r="T471" t="s">
        <v>931</v>
      </c>
      <c r="U471" s="6">
        <v>42157.11515046296</v>
      </c>
      <c r="V471" t="s">
        <v>18</v>
      </c>
      <c r="W471" t="s">
        <v>783</v>
      </c>
      <c r="X471" s="6">
        <v>42111.305185185185</v>
      </c>
      <c r="Y471" t="s">
        <v>119</v>
      </c>
      <c r="AB471" t="s">
        <v>200</v>
      </c>
      <c r="AC471" t="s">
        <v>247</v>
      </c>
      <c r="AD471" t="s">
        <v>220</v>
      </c>
      <c r="AE471" t="s">
        <v>223</v>
      </c>
      <c r="AG471" t="s">
        <v>121</v>
      </c>
      <c r="AH471" t="s">
        <v>327</v>
      </c>
      <c r="AI471" t="s">
        <v>121</v>
      </c>
      <c r="AJ471" t="s">
        <v>716</v>
      </c>
      <c r="AK471" t="s">
        <v>121</v>
      </c>
    </row>
    <row r="472" spans="9:37" x14ac:dyDescent="0.3">
      <c r="I472">
        <f ca="1">IF(OR(INDIRECT(A73&amp;ROW())=B93,INDIRECT(A73&amp;ROW())=B94),1,IF(AND(INDIRECT(A73&amp;ROW())=B95,INDIRECT(A96&amp;ROW())=C93),1,IF(AND(INDIRECT(A73&amp;ROW())=B95,INDIRECT(A96&amp;ROW())=C94),1,0)))</f>
        <v>0</v>
      </c>
      <c r="J472">
        <f ca="1">IF(AND(INDIRECT(A73&amp;ROW())=B95,INDIRECT(A96&amp;ROW())=C95),1,IF(AND(INDIRECT(A73&amp;ROW())=B95,INDIRECT(A96&amp;ROW())=C96),1,0))</f>
        <v>0</v>
      </c>
      <c r="K472">
        <f ca="1">DAYS360(INDIRECT(C68&amp;ROW()),TODAY())</f>
        <v>690</v>
      </c>
      <c r="L472">
        <f ca="1">DAYS360(INDIRECT(C69&amp;ROW()),TODAY())</f>
        <v>735</v>
      </c>
      <c r="M472">
        <f ca="1">HYPERLINK(CONCATENATE("https://bugzilla.houston.hp.com:1181/bugzilla/show_bug.cgi?id=",INDIRECT(C70&amp;ROW())),INDIRECT(C70&amp;ROW()))</f>
        <v>60737</v>
      </c>
      <c r="N472">
        <v>60737</v>
      </c>
      <c r="O472" t="s">
        <v>36</v>
      </c>
      <c r="P472" t="s">
        <v>924</v>
      </c>
      <c r="Q472" t="s">
        <v>16</v>
      </c>
      <c r="R472" t="s">
        <v>783</v>
      </c>
      <c r="S472" t="s">
        <v>552</v>
      </c>
      <c r="U472" s="6">
        <v>42157.115648148145</v>
      </c>
      <c r="V472" t="s">
        <v>18</v>
      </c>
      <c r="W472" t="s">
        <v>783</v>
      </c>
      <c r="X472" s="6">
        <v>42111.305277777778</v>
      </c>
      <c r="Y472" t="s">
        <v>119</v>
      </c>
      <c r="AB472" t="s">
        <v>200</v>
      </c>
      <c r="AC472" t="s">
        <v>247</v>
      </c>
      <c r="AD472" t="s">
        <v>220</v>
      </c>
      <c r="AE472" t="s">
        <v>223</v>
      </c>
      <c r="AG472" t="s">
        <v>121</v>
      </c>
      <c r="AH472" t="s">
        <v>327</v>
      </c>
      <c r="AI472" t="s">
        <v>121</v>
      </c>
      <c r="AJ472" t="s">
        <v>716</v>
      </c>
      <c r="AK472" t="s">
        <v>121</v>
      </c>
    </row>
    <row r="473" spans="9:37" x14ac:dyDescent="0.3">
      <c r="I473">
        <f ca="1">IF(OR(INDIRECT(A73&amp;ROW())=B93,INDIRECT(A73&amp;ROW())=B94),1,IF(AND(INDIRECT(A73&amp;ROW())=B95,INDIRECT(A96&amp;ROW())=C93),1,IF(AND(INDIRECT(A73&amp;ROW())=B95,INDIRECT(A96&amp;ROW())=C94),1,0)))</f>
        <v>0</v>
      </c>
      <c r="J473">
        <f ca="1">IF(AND(INDIRECT(A73&amp;ROW())=B95,INDIRECT(A96&amp;ROW())=C95),1,IF(AND(INDIRECT(A73&amp;ROW())=B95,INDIRECT(A96&amp;ROW())=C96),1,0))</f>
        <v>0</v>
      </c>
      <c r="K473">
        <f ca="1">DAYS360(INDIRECT(C68&amp;ROW()),TODAY())</f>
        <v>690</v>
      </c>
      <c r="L473">
        <f ca="1">DAYS360(INDIRECT(C69&amp;ROW()),TODAY())</f>
        <v>735</v>
      </c>
      <c r="M473">
        <f ca="1">HYPERLINK(CONCATENATE("https://bugzilla.houston.hp.com:1181/bugzilla/show_bug.cgi?id=",INDIRECT(C70&amp;ROW())),INDIRECT(C70&amp;ROW()))</f>
        <v>60738</v>
      </c>
      <c r="N473">
        <v>60738</v>
      </c>
      <c r="O473" t="s">
        <v>36</v>
      </c>
      <c r="P473" t="s">
        <v>923</v>
      </c>
      <c r="Q473" t="s">
        <v>16</v>
      </c>
      <c r="R473" t="s">
        <v>248</v>
      </c>
      <c r="S473" t="s">
        <v>552</v>
      </c>
      <c r="U473" s="6">
        <v>42157.116249999999</v>
      </c>
      <c r="V473" t="s">
        <v>18</v>
      </c>
      <c r="W473" t="s">
        <v>783</v>
      </c>
      <c r="X473" s="6">
        <v>42111.305381944447</v>
      </c>
      <c r="Y473" t="s">
        <v>119</v>
      </c>
      <c r="AB473" t="s">
        <v>200</v>
      </c>
      <c r="AC473" t="s">
        <v>247</v>
      </c>
      <c r="AD473" t="s">
        <v>220</v>
      </c>
      <c r="AE473" t="s">
        <v>223</v>
      </c>
      <c r="AG473" t="s">
        <v>121</v>
      </c>
      <c r="AH473" t="s">
        <v>327</v>
      </c>
      <c r="AI473" t="s">
        <v>121</v>
      </c>
      <c r="AJ473" t="s">
        <v>716</v>
      </c>
      <c r="AK473" t="s">
        <v>121</v>
      </c>
    </row>
    <row r="474" spans="9:37" x14ac:dyDescent="0.3">
      <c r="I474">
        <f ca="1">IF(OR(INDIRECT(A73&amp;ROW())=B93,INDIRECT(A73&amp;ROW())=B94),1,IF(AND(INDIRECT(A73&amp;ROW())=B95,INDIRECT(A96&amp;ROW())=C93),1,IF(AND(INDIRECT(A73&amp;ROW())=B95,INDIRECT(A96&amp;ROW())=C94),1,0)))</f>
        <v>0</v>
      </c>
      <c r="J474">
        <f ca="1">IF(AND(INDIRECT(A73&amp;ROW())=B95,INDIRECT(A96&amp;ROW())=C95),1,IF(AND(INDIRECT(A73&amp;ROW())=B95,INDIRECT(A96&amp;ROW())=C96),1,0))</f>
        <v>1</v>
      </c>
      <c r="K474">
        <f ca="1">DAYS360(INDIRECT(C68&amp;ROW()),TODAY())</f>
        <v>731</v>
      </c>
      <c r="L474">
        <f ca="1">DAYS360(INDIRECT(C69&amp;ROW()),TODAY())</f>
        <v>731</v>
      </c>
      <c r="M474">
        <f ca="1">HYPERLINK(CONCATENATE("https://bugzilla.houston.hp.com:1181/bugzilla/show_bug.cgi?id=",INDIRECT(C70&amp;ROW())),INDIRECT(C70&amp;ROW()))</f>
        <v>60985</v>
      </c>
      <c r="N474">
        <v>60985</v>
      </c>
      <c r="O474" t="s">
        <v>56</v>
      </c>
      <c r="P474" t="s">
        <v>965</v>
      </c>
      <c r="Q474" t="s">
        <v>25</v>
      </c>
      <c r="R474" t="s">
        <v>783</v>
      </c>
      <c r="S474" t="s">
        <v>552</v>
      </c>
      <c r="U474" s="6">
        <v>42115.683530092596</v>
      </c>
      <c r="V474" t="s">
        <v>18</v>
      </c>
      <c r="W474" t="s">
        <v>173</v>
      </c>
      <c r="X474" s="6">
        <v>42115.683530092596</v>
      </c>
      <c r="Y474" t="s">
        <v>255</v>
      </c>
      <c r="AB474" t="s">
        <v>201</v>
      </c>
      <c r="AC474" t="s">
        <v>216</v>
      </c>
      <c r="AD474" t="s">
        <v>222</v>
      </c>
      <c r="AE474" t="s">
        <v>221</v>
      </c>
      <c r="AG474" t="s">
        <v>121</v>
      </c>
      <c r="AH474" t="s">
        <v>327</v>
      </c>
      <c r="AI474" t="s">
        <v>362</v>
      </c>
      <c r="AJ474" t="s">
        <v>716</v>
      </c>
      <c r="AK474" t="s">
        <v>121</v>
      </c>
    </row>
    <row r="475" spans="9:37" x14ac:dyDescent="0.3">
      <c r="I475">
        <f ca="1">IF(OR(INDIRECT(A73&amp;ROW())=B93,INDIRECT(A73&amp;ROW())=B94),1,IF(AND(INDIRECT(A73&amp;ROW())=B95,INDIRECT(A96&amp;ROW())=C93),1,IF(AND(INDIRECT(A73&amp;ROW())=B95,INDIRECT(A96&amp;ROW())=C94),1,0)))</f>
        <v>0</v>
      </c>
      <c r="J475">
        <f ca="1">IF(AND(INDIRECT(A73&amp;ROW())=B95,INDIRECT(A96&amp;ROW())=C95),1,IF(AND(INDIRECT(A73&amp;ROW())=B95,INDIRECT(A96&amp;ROW())=C96),1,0))</f>
        <v>1</v>
      </c>
      <c r="K475">
        <f ca="1">DAYS360(INDIRECT(C68&amp;ROW()),TODAY())</f>
        <v>724</v>
      </c>
      <c r="L475">
        <f ca="1">DAYS360(INDIRECT(C69&amp;ROW()),TODAY())</f>
        <v>731</v>
      </c>
      <c r="M475">
        <f ca="1">HYPERLINK(CONCATENATE("https://bugzilla.houston.hp.com:1181/bugzilla/show_bug.cgi?id=",INDIRECT(C70&amp;ROW())),INDIRECT(C70&amp;ROW()))</f>
        <v>60997</v>
      </c>
      <c r="N475">
        <v>60997</v>
      </c>
      <c r="O475" t="s">
        <v>42</v>
      </c>
      <c r="P475" t="s">
        <v>964</v>
      </c>
      <c r="Q475" t="s">
        <v>25</v>
      </c>
      <c r="R475" t="s">
        <v>783</v>
      </c>
      <c r="S475" t="s">
        <v>552</v>
      </c>
      <c r="U475" s="6">
        <v>42122.35119212963</v>
      </c>
      <c r="V475" t="s">
        <v>18</v>
      </c>
      <c r="W475" t="s">
        <v>17</v>
      </c>
      <c r="X475" s="6">
        <v>42115.90828703704</v>
      </c>
      <c r="Y475" t="s">
        <v>122</v>
      </c>
      <c r="AB475" t="s">
        <v>201</v>
      </c>
      <c r="AC475" t="s">
        <v>247</v>
      </c>
      <c r="AD475" t="s">
        <v>220</v>
      </c>
      <c r="AE475" t="s">
        <v>219</v>
      </c>
      <c r="AG475" t="s">
        <v>121</v>
      </c>
      <c r="AH475" t="s">
        <v>64</v>
      </c>
      <c r="AI475" t="s">
        <v>121</v>
      </c>
      <c r="AJ475" t="s">
        <v>716</v>
      </c>
      <c r="AK475" t="s">
        <v>121</v>
      </c>
    </row>
    <row r="476" spans="9:37" x14ac:dyDescent="0.3">
      <c r="I476">
        <f ca="1">IF(OR(INDIRECT(A73&amp;ROW())=B93,INDIRECT(A73&amp;ROW())=B94),1,IF(AND(INDIRECT(A73&amp;ROW())=B95,INDIRECT(A96&amp;ROW())=C93),1,IF(AND(INDIRECT(A73&amp;ROW())=B95,INDIRECT(A96&amp;ROW())=C94),1,0)))</f>
        <v>0</v>
      </c>
      <c r="J476">
        <f ca="1">IF(AND(INDIRECT(A73&amp;ROW())=B95,INDIRECT(A96&amp;ROW())=C95),1,IF(AND(INDIRECT(A73&amp;ROW())=B95,INDIRECT(A96&amp;ROW())=C96),1,0))</f>
        <v>1</v>
      </c>
      <c r="K476">
        <f ca="1">DAYS360(INDIRECT(C68&amp;ROW()),TODAY())</f>
        <v>731</v>
      </c>
      <c r="L476">
        <f ca="1">DAYS360(INDIRECT(C69&amp;ROW()),TODAY())</f>
        <v>731</v>
      </c>
      <c r="M476">
        <f ca="1">HYPERLINK(CONCATENATE("https://bugzilla.houston.hp.com:1181/bugzilla/show_bug.cgi?id=",INDIRECT(C70&amp;ROW())),INDIRECT(C70&amp;ROW()))</f>
        <v>61003</v>
      </c>
      <c r="N476">
        <v>61003</v>
      </c>
      <c r="O476" t="s">
        <v>50</v>
      </c>
      <c r="P476" t="s">
        <v>963</v>
      </c>
      <c r="Q476" t="s">
        <v>25</v>
      </c>
      <c r="R476" t="s">
        <v>783</v>
      </c>
      <c r="S476" t="s">
        <v>552</v>
      </c>
      <c r="U476" s="6">
        <v>42115.913449074076</v>
      </c>
      <c r="V476" t="s">
        <v>18</v>
      </c>
      <c r="W476" t="s">
        <v>17</v>
      </c>
      <c r="X476" s="6">
        <v>42115.913449074076</v>
      </c>
      <c r="Y476" t="s">
        <v>119</v>
      </c>
      <c r="AA476" t="s">
        <v>184</v>
      </c>
      <c r="AB476" t="s">
        <v>201</v>
      </c>
      <c r="AC476" t="s">
        <v>247</v>
      </c>
      <c r="AD476" t="s">
        <v>227</v>
      </c>
      <c r="AE476" t="s">
        <v>370</v>
      </c>
      <c r="AG476" t="s">
        <v>121</v>
      </c>
      <c r="AH476" t="s">
        <v>327</v>
      </c>
      <c r="AI476" t="s">
        <v>121</v>
      </c>
      <c r="AJ476" t="s">
        <v>716</v>
      </c>
      <c r="AK476" t="s">
        <v>121</v>
      </c>
    </row>
    <row r="477" spans="9:37" x14ac:dyDescent="0.3">
      <c r="I477">
        <f ca="1">IF(OR(INDIRECT(A73&amp;ROW())=B93,INDIRECT(A73&amp;ROW())=B94),1,IF(AND(INDIRECT(A73&amp;ROW())=B95,INDIRECT(A96&amp;ROW())=C93),1,IF(AND(INDIRECT(A73&amp;ROW())=B95,INDIRECT(A96&amp;ROW())=C94),1,0)))</f>
        <v>1</v>
      </c>
      <c r="J477">
        <f ca="1">IF(AND(INDIRECT(A73&amp;ROW())=B95,INDIRECT(A96&amp;ROW())=C95),1,IF(AND(INDIRECT(A73&amp;ROW())=B95,INDIRECT(A96&amp;ROW())=C96),1,0))</f>
        <v>0</v>
      </c>
      <c r="K477">
        <f ca="1">DAYS360(INDIRECT(C68&amp;ROW()),TODAY())</f>
        <v>675</v>
      </c>
      <c r="L477">
        <f ca="1">DAYS360(INDIRECT(C69&amp;ROW()),TODAY())</f>
        <v>730</v>
      </c>
      <c r="M477">
        <f ca="1">HYPERLINK(CONCATENATE("https://bugzilla.houston.hp.com:1181/bugzilla/show_bug.cgi?id=",INDIRECT(C70&amp;ROW())),INDIRECT(C70&amp;ROW()))</f>
        <v>61076</v>
      </c>
      <c r="N477">
        <v>61076</v>
      </c>
      <c r="O477" t="s">
        <v>94</v>
      </c>
      <c r="P477" t="s">
        <v>962</v>
      </c>
      <c r="Q477" t="s">
        <v>39</v>
      </c>
      <c r="R477" t="s">
        <v>783</v>
      </c>
      <c r="S477" t="s">
        <v>552</v>
      </c>
      <c r="T477" t="s">
        <v>782</v>
      </c>
      <c r="U477" s="6">
        <v>42172.674560185187</v>
      </c>
      <c r="V477" t="s">
        <v>18</v>
      </c>
      <c r="W477" t="s">
        <v>17</v>
      </c>
      <c r="X477" s="6">
        <v>42116.453148148146</v>
      </c>
      <c r="Y477" t="s">
        <v>119</v>
      </c>
      <c r="AB477" t="s">
        <v>201</v>
      </c>
      <c r="AC477" t="s">
        <v>121</v>
      </c>
      <c r="AD477" t="s">
        <v>227</v>
      </c>
      <c r="AE477" t="s">
        <v>231</v>
      </c>
      <c r="AG477" t="s">
        <v>337</v>
      </c>
      <c r="AH477" t="s">
        <v>64</v>
      </c>
      <c r="AI477" t="s">
        <v>121</v>
      </c>
      <c r="AJ477" t="s">
        <v>715</v>
      </c>
      <c r="AK477" t="s">
        <v>121</v>
      </c>
    </row>
    <row r="478" spans="9:37" x14ac:dyDescent="0.3">
      <c r="I478">
        <f ca="1">IF(OR(INDIRECT(A73&amp;ROW())=B93,INDIRECT(A73&amp;ROW())=B94),1,IF(AND(INDIRECT(A73&amp;ROW())=B95,INDIRECT(A96&amp;ROW())=C93),1,IF(AND(INDIRECT(A73&amp;ROW())=B95,INDIRECT(A96&amp;ROW())=C94),1,0)))</f>
        <v>1</v>
      </c>
      <c r="J478">
        <f ca="1">IF(AND(INDIRECT(A73&amp;ROW())=B95,INDIRECT(A96&amp;ROW())=C95),1,IF(AND(INDIRECT(A73&amp;ROW())=B95,INDIRECT(A96&amp;ROW())=C96),1,0))</f>
        <v>0</v>
      </c>
      <c r="K478">
        <f ca="1">DAYS360(INDIRECT(C68&amp;ROW()),TODAY())</f>
        <v>702</v>
      </c>
      <c r="L478">
        <f ca="1">DAYS360(INDIRECT(C69&amp;ROW()),TODAY())</f>
        <v>730</v>
      </c>
      <c r="M478">
        <f ca="1">HYPERLINK(CONCATENATE("https://bugzilla.houston.hp.com:1181/bugzilla/show_bug.cgi?id=",INDIRECT(C70&amp;ROW())),INDIRECT(C70&amp;ROW()))</f>
        <v>61077</v>
      </c>
      <c r="N478">
        <v>61077</v>
      </c>
      <c r="O478" t="s">
        <v>298</v>
      </c>
      <c r="P478" t="s">
        <v>961</v>
      </c>
      <c r="Q478" t="s">
        <v>39</v>
      </c>
      <c r="R478" t="s">
        <v>783</v>
      </c>
      <c r="S478" t="s">
        <v>552</v>
      </c>
      <c r="U478" s="6">
        <v>42144.523518518516</v>
      </c>
      <c r="V478" t="s">
        <v>18</v>
      </c>
      <c r="W478" t="s">
        <v>17</v>
      </c>
      <c r="X478" s="6">
        <v>42116.453344907408</v>
      </c>
      <c r="Y478" t="s">
        <v>119</v>
      </c>
      <c r="AB478" t="s">
        <v>201</v>
      </c>
      <c r="AC478" t="s">
        <v>247</v>
      </c>
      <c r="AD478" t="s">
        <v>227</v>
      </c>
      <c r="AE478" t="s">
        <v>231</v>
      </c>
      <c r="AG478" t="s">
        <v>337</v>
      </c>
      <c r="AH478" t="s">
        <v>327</v>
      </c>
      <c r="AI478" t="s">
        <v>121</v>
      </c>
      <c r="AJ478" t="s">
        <v>715</v>
      </c>
      <c r="AK478" t="s">
        <v>121</v>
      </c>
    </row>
    <row r="479" spans="9:37" x14ac:dyDescent="0.3">
      <c r="I479">
        <f ca="1">IF(OR(INDIRECT(A73&amp;ROW())=B93,INDIRECT(A73&amp;ROW())=B94),1,IF(AND(INDIRECT(A73&amp;ROW())=B95,INDIRECT(A96&amp;ROW())=C93),1,IF(AND(INDIRECT(A73&amp;ROW())=B95,INDIRECT(A96&amp;ROW())=C94),1,0)))</f>
        <v>1</v>
      </c>
      <c r="J479">
        <f ca="1">IF(AND(INDIRECT(A73&amp;ROW())=B95,INDIRECT(A96&amp;ROW())=C95),1,IF(AND(INDIRECT(A73&amp;ROW())=B95,INDIRECT(A96&amp;ROW())=C96),1,0))</f>
        <v>0</v>
      </c>
      <c r="K479">
        <f ca="1">DAYS360(INDIRECT(C68&amp;ROW()),TODAY())</f>
        <v>675</v>
      </c>
      <c r="L479">
        <f ca="1">DAYS360(INDIRECT(C69&amp;ROW()),TODAY())</f>
        <v>730</v>
      </c>
      <c r="M479">
        <f ca="1">HYPERLINK(CONCATENATE("https://bugzilla.houston.hp.com:1181/bugzilla/show_bug.cgi?id=",INDIRECT(C70&amp;ROW())),INDIRECT(C70&amp;ROW()))</f>
        <v>61079</v>
      </c>
      <c r="N479">
        <v>61079</v>
      </c>
      <c r="O479" t="s">
        <v>241</v>
      </c>
      <c r="P479" t="s">
        <v>960</v>
      </c>
      <c r="Q479" t="s">
        <v>39</v>
      </c>
      <c r="R479" t="s">
        <v>783</v>
      </c>
      <c r="S479" t="s">
        <v>552</v>
      </c>
      <c r="T479" t="s">
        <v>932</v>
      </c>
      <c r="U479" s="6">
        <v>42172.652199074073</v>
      </c>
      <c r="V479" t="s">
        <v>18</v>
      </c>
      <c r="W479" t="s">
        <v>17</v>
      </c>
      <c r="X479" s="6">
        <v>42116.453750000001</v>
      </c>
      <c r="Y479" t="s">
        <v>535</v>
      </c>
      <c r="AB479" t="s">
        <v>201</v>
      </c>
      <c r="AC479" t="s">
        <v>247</v>
      </c>
      <c r="AD479" t="s">
        <v>222</v>
      </c>
      <c r="AE479" t="s">
        <v>221</v>
      </c>
      <c r="AG479" t="s">
        <v>337</v>
      </c>
      <c r="AH479" t="s">
        <v>327</v>
      </c>
      <c r="AI479" t="s">
        <v>121</v>
      </c>
      <c r="AJ479" t="s">
        <v>715</v>
      </c>
      <c r="AK479" t="s">
        <v>121</v>
      </c>
    </row>
    <row r="480" spans="9:37" x14ac:dyDescent="0.3">
      <c r="I480">
        <f ca="1">IF(OR(INDIRECT(A73&amp;ROW())=B93,INDIRECT(A73&amp;ROW())=B94),1,IF(AND(INDIRECT(A73&amp;ROW())=B95,INDIRECT(A96&amp;ROW())=C93),1,IF(AND(INDIRECT(A73&amp;ROW())=B95,INDIRECT(A96&amp;ROW())=C94),1,0)))</f>
        <v>1</v>
      </c>
      <c r="J480">
        <f ca="1">IF(AND(INDIRECT(A73&amp;ROW())=B95,INDIRECT(A96&amp;ROW())=C95),1,IF(AND(INDIRECT(A73&amp;ROW())=B95,INDIRECT(A96&amp;ROW())=C96),1,0))</f>
        <v>0</v>
      </c>
      <c r="K480">
        <f ca="1">DAYS360(INDIRECT(C68&amp;ROW()),TODAY())</f>
        <v>702</v>
      </c>
      <c r="L480">
        <f ca="1">DAYS360(INDIRECT(C69&amp;ROW()),TODAY())</f>
        <v>730</v>
      </c>
      <c r="M480">
        <f ca="1">HYPERLINK(CONCATENATE("https://bugzilla.houston.hp.com:1181/bugzilla/show_bug.cgi?id=",INDIRECT(C70&amp;ROW())),INDIRECT(C70&amp;ROW()))</f>
        <v>61082</v>
      </c>
      <c r="N480">
        <v>61082</v>
      </c>
      <c r="O480" t="s">
        <v>50</v>
      </c>
      <c r="P480" t="s">
        <v>959</v>
      </c>
      <c r="Q480" t="s">
        <v>25</v>
      </c>
      <c r="R480" t="s">
        <v>783</v>
      </c>
      <c r="S480" t="s">
        <v>552</v>
      </c>
      <c r="T480" t="s">
        <v>782</v>
      </c>
      <c r="U480" s="6">
        <v>42144.538310185184</v>
      </c>
      <c r="V480" t="s">
        <v>18</v>
      </c>
      <c r="W480" t="s">
        <v>17</v>
      </c>
      <c r="X480" s="6">
        <v>42116.454432870371</v>
      </c>
      <c r="Y480" t="s">
        <v>119</v>
      </c>
      <c r="AB480" t="s">
        <v>200</v>
      </c>
      <c r="AC480" t="s">
        <v>121</v>
      </c>
      <c r="AD480" t="s">
        <v>227</v>
      </c>
      <c r="AE480" t="s">
        <v>226</v>
      </c>
      <c r="AG480" t="s">
        <v>337</v>
      </c>
      <c r="AH480" t="s">
        <v>327</v>
      </c>
      <c r="AI480" t="s">
        <v>362</v>
      </c>
      <c r="AJ480" t="s">
        <v>715</v>
      </c>
      <c r="AK480" t="s">
        <v>121</v>
      </c>
    </row>
    <row r="481" spans="9:37" x14ac:dyDescent="0.3">
      <c r="I481">
        <f ca="1">IF(OR(INDIRECT(A73&amp;ROW())=B93,INDIRECT(A73&amp;ROW())=B94),1,IF(AND(INDIRECT(A73&amp;ROW())=B95,INDIRECT(A96&amp;ROW())=C93),1,IF(AND(INDIRECT(A73&amp;ROW())=B95,INDIRECT(A96&amp;ROW())=C94),1,0)))</f>
        <v>1</v>
      </c>
      <c r="J481">
        <f ca="1">IF(AND(INDIRECT(A73&amp;ROW())=B95,INDIRECT(A96&amp;ROW())=C95),1,IF(AND(INDIRECT(A73&amp;ROW())=B95,INDIRECT(A96&amp;ROW())=C96),1,0))</f>
        <v>0</v>
      </c>
      <c r="K481">
        <f ca="1">DAYS360(INDIRECT(C68&amp;ROW()),TODAY())</f>
        <v>675</v>
      </c>
      <c r="L481">
        <f ca="1">DAYS360(INDIRECT(C69&amp;ROW()),TODAY())</f>
        <v>730</v>
      </c>
      <c r="M481">
        <f ca="1">HYPERLINK(CONCATENATE("https://bugzilla.houston.hp.com:1181/bugzilla/show_bug.cgi?id=",INDIRECT(C70&amp;ROW())),INDIRECT(C70&amp;ROW()))</f>
        <v>61083</v>
      </c>
      <c r="N481">
        <v>61083</v>
      </c>
      <c r="O481" t="s">
        <v>66</v>
      </c>
      <c r="P481" t="s">
        <v>958</v>
      </c>
      <c r="Q481" t="s">
        <v>39</v>
      </c>
      <c r="R481" t="s">
        <v>783</v>
      </c>
      <c r="S481" t="s">
        <v>552</v>
      </c>
      <c r="T481" t="s">
        <v>782</v>
      </c>
      <c r="U481" s="6">
        <v>42172.67292824074</v>
      </c>
      <c r="V481" t="s">
        <v>18</v>
      </c>
      <c r="W481" t="s">
        <v>17</v>
      </c>
      <c r="X481" s="6">
        <v>42116.454814814817</v>
      </c>
      <c r="Y481" t="s">
        <v>122</v>
      </c>
      <c r="AB481" t="s">
        <v>201</v>
      </c>
      <c r="AC481" t="s">
        <v>247</v>
      </c>
      <c r="AD481" t="s">
        <v>220</v>
      </c>
      <c r="AE481" t="s">
        <v>219</v>
      </c>
      <c r="AG481" t="s">
        <v>337</v>
      </c>
      <c r="AH481" t="s">
        <v>327</v>
      </c>
      <c r="AI481" t="s">
        <v>121</v>
      </c>
      <c r="AJ481" t="s">
        <v>715</v>
      </c>
      <c r="AK481" t="s">
        <v>121</v>
      </c>
    </row>
    <row r="482" spans="9:37" x14ac:dyDescent="0.3">
      <c r="I482">
        <f ca="1">IF(OR(INDIRECT(A73&amp;ROW())=B93,INDIRECT(A73&amp;ROW())=B94),1,IF(AND(INDIRECT(A73&amp;ROW())=B95,INDIRECT(A96&amp;ROW())=C93),1,IF(AND(INDIRECT(A73&amp;ROW())=B95,INDIRECT(A96&amp;ROW())=C94),1,0)))</f>
        <v>1</v>
      </c>
      <c r="J482">
        <f ca="1">IF(AND(INDIRECT(A73&amp;ROW())=B95,INDIRECT(A96&amp;ROW())=C95),1,IF(AND(INDIRECT(A73&amp;ROW())=B95,INDIRECT(A96&amp;ROW())=C96),1,0))</f>
        <v>0</v>
      </c>
      <c r="K482">
        <f ca="1">DAYS360(INDIRECT(C68&amp;ROW()),TODAY())</f>
        <v>688</v>
      </c>
      <c r="L482">
        <f ca="1">DAYS360(INDIRECT(C69&amp;ROW()),TODAY())</f>
        <v>730</v>
      </c>
      <c r="M482">
        <f ca="1">HYPERLINK(CONCATENATE("https://bugzilla.houston.hp.com:1181/bugzilla/show_bug.cgi?id=",INDIRECT(C70&amp;ROW())),INDIRECT(C70&amp;ROW()))</f>
        <v>61084</v>
      </c>
      <c r="N482">
        <v>61084</v>
      </c>
      <c r="O482" t="s">
        <v>156</v>
      </c>
      <c r="P482" t="s">
        <v>957</v>
      </c>
      <c r="Q482" t="s">
        <v>39</v>
      </c>
      <c r="R482" t="s">
        <v>783</v>
      </c>
      <c r="S482" t="s">
        <v>552</v>
      </c>
      <c r="T482" t="s">
        <v>1072</v>
      </c>
      <c r="U482" s="6">
        <v>42159.43204861111</v>
      </c>
      <c r="V482" t="s">
        <v>40</v>
      </c>
      <c r="W482" t="s">
        <v>17</v>
      </c>
      <c r="X482" s="6">
        <v>42116.455092592594</v>
      </c>
      <c r="Y482" t="s">
        <v>793</v>
      </c>
      <c r="AB482" t="s">
        <v>201</v>
      </c>
      <c r="AC482" t="s">
        <v>247</v>
      </c>
      <c r="AD482" t="s">
        <v>220</v>
      </c>
      <c r="AE482" t="s">
        <v>219</v>
      </c>
      <c r="AG482" t="s">
        <v>337</v>
      </c>
      <c r="AH482" t="s">
        <v>327</v>
      </c>
      <c r="AI482" t="s">
        <v>121</v>
      </c>
      <c r="AJ482" t="s">
        <v>715</v>
      </c>
      <c r="AK482" t="s">
        <v>121</v>
      </c>
    </row>
    <row r="483" spans="9:37" x14ac:dyDescent="0.3">
      <c r="I483">
        <f ca="1">IF(OR(INDIRECT(A73&amp;ROW())=B93,INDIRECT(A73&amp;ROW())=B94),1,IF(AND(INDIRECT(A73&amp;ROW())=B95,INDIRECT(A96&amp;ROW())=C93),1,IF(AND(INDIRECT(A73&amp;ROW())=B95,INDIRECT(A96&amp;ROW())=C94),1,0)))</f>
        <v>1</v>
      </c>
      <c r="J483">
        <f ca="1">IF(AND(INDIRECT(A73&amp;ROW())=B95,INDIRECT(A96&amp;ROW())=C95),1,IF(AND(INDIRECT(A73&amp;ROW())=B95,INDIRECT(A96&amp;ROW())=C96),1,0))</f>
        <v>0</v>
      </c>
      <c r="K483">
        <f ca="1">DAYS360(INDIRECT(C68&amp;ROW()),TODAY())</f>
        <v>675</v>
      </c>
      <c r="L483">
        <f ca="1">DAYS360(INDIRECT(C69&amp;ROW()),TODAY())</f>
        <v>729</v>
      </c>
      <c r="M483">
        <f ca="1">HYPERLINK(CONCATENATE("https://bugzilla.houston.hp.com:1181/bugzilla/show_bug.cgi?id=",INDIRECT(C70&amp;ROW())),INDIRECT(C70&amp;ROW()))</f>
        <v>61184</v>
      </c>
      <c r="N483">
        <v>61184</v>
      </c>
      <c r="O483" t="s">
        <v>55</v>
      </c>
      <c r="P483" t="s">
        <v>1251</v>
      </c>
      <c r="Q483" t="s">
        <v>39</v>
      </c>
      <c r="R483" t="s">
        <v>251</v>
      </c>
      <c r="S483" t="s">
        <v>177</v>
      </c>
      <c r="T483" t="s">
        <v>1058</v>
      </c>
      <c r="U483" s="6">
        <v>42172.109212962961</v>
      </c>
      <c r="V483" t="s">
        <v>35</v>
      </c>
      <c r="W483" t="s">
        <v>783</v>
      </c>
      <c r="X483" s="6">
        <v>42117.455983796295</v>
      </c>
      <c r="Y483" t="s">
        <v>245</v>
      </c>
      <c r="AB483" t="s">
        <v>201</v>
      </c>
      <c r="AC483" t="s">
        <v>247</v>
      </c>
      <c r="AD483" t="s">
        <v>222</v>
      </c>
      <c r="AE483" t="s">
        <v>240</v>
      </c>
      <c r="AG483" t="s">
        <v>121</v>
      </c>
      <c r="AH483" t="s">
        <v>327</v>
      </c>
      <c r="AI483" t="s">
        <v>121</v>
      </c>
      <c r="AJ483" t="s">
        <v>715</v>
      </c>
      <c r="AK483" t="s">
        <v>121</v>
      </c>
    </row>
    <row r="484" spans="9:37" x14ac:dyDescent="0.3">
      <c r="I484">
        <f ca="1">IF(OR(INDIRECT(A73&amp;ROW())=B93,INDIRECT(A73&amp;ROW())=B94),1,IF(AND(INDIRECT(A73&amp;ROW())=B95,INDIRECT(A96&amp;ROW())=C93),1,IF(AND(INDIRECT(A73&amp;ROW())=B95,INDIRECT(A96&amp;ROW())=C94),1,0)))</f>
        <v>0</v>
      </c>
      <c r="J484">
        <f ca="1">IF(AND(INDIRECT(A73&amp;ROW())=B95,INDIRECT(A96&amp;ROW())=C95),1,IF(AND(INDIRECT(A73&amp;ROW())=B95,INDIRECT(A96&amp;ROW())=C96),1,0))</f>
        <v>1</v>
      </c>
      <c r="K484">
        <f ca="1">DAYS360(INDIRECT(C68&amp;ROW()),TODAY())</f>
        <v>728</v>
      </c>
      <c r="L484">
        <f ca="1">DAYS360(INDIRECT(C69&amp;ROW()),TODAY())</f>
        <v>728</v>
      </c>
      <c r="M484">
        <f ca="1">HYPERLINK(CONCATENATE("https://bugzilla.houston.hp.com:1181/bugzilla/show_bug.cgi?id=",INDIRECT(C70&amp;ROW())),INDIRECT(C70&amp;ROW()))</f>
        <v>61236</v>
      </c>
      <c r="N484">
        <v>61236</v>
      </c>
      <c r="O484" t="s">
        <v>66</v>
      </c>
      <c r="P484" t="s">
        <v>956</v>
      </c>
      <c r="Q484" t="s">
        <v>25</v>
      </c>
      <c r="R484" t="s">
        <v>783</v>
      </c>
      <c r="S484" t="s">
        <v>552</v>
      </c>
      <c r="U484" s="6">
        <v>42118.33730324074</v>
      </c>
      <c r="V484" t="s">
        <v>18</v>
      </c>
      <c r="W484" t="s">
        <v>17</v>
      </c>
      <c r="X484" s="6">
        <v>42118.33730324074</v>
      </c>
      <c r="Y484" t="s">
        <v>124</v>
      </c>
      <c r="AB484" t="s">
        <v>201</v>
      </c>
      <c r="AC484" t="s">
        <v>247</v>
      </c>
      <c r="AD484" t="s">
        <v>220</v>
      </c>
      <c r="AE484" t="s">
        <v>219</v>
      </c>
      <c r="AG484" t="s">
        <v>121</v>
      </c>
      <c r="AH484" t="s">
        <v>327</v>
      </c>
      <c r="AI484" t="s">
        <v>121</v>
      </c>
      <c r="AJ484" t="s">
        <v>716</v>
      </c>
      <c r="AK484" t="s">
        <v>121</v>
      </c>
    </row>
    <row r="485" spans="9:37" x14ac:dyDescent="0.3">
      <c r="I485">
        <f ca="1">IF(OR(INDIRECT(A73&amp;ROW())=B93,INDIRECT(A73&amp;ROW())=B94),1,IF(AND(INDIRECT(A73&amp;ROW())=B95,INDIRECT(A96&amp;ROW())=C93),1,IF(AND(INDIRECT(A73&amp;ROW())=B95,INDIRECT(A96&amp;ROW())=C94),1,0)))</f>
        <v>0</v>
      </c>
      <c r="J485">
        <f ca="1">IF(AND(INDIRECT(A73&amp;ROW())=B95,INDIRECT(A96&amp;ROW())=C95),1,IF(AND(INDIRECT(A73&amp;ROW())=B95,INDIRECT(A96&amp;ROW())=C96),1,0))</f>
        <v>1</v>
      </c>
      <c r="K485">
        <f ca="1">DAYS360(INDIRECT(C68&amp;ROW()),TODAY())</f>
        <v>721</v>
      </c>
      <c r="L485">
        <f ca="1">DAYS360(INDIRECT(C69&amp;ROW()),TODAY())</f>
        <v>728</v>
      </c>
      <c r="M485">
        <f ca="1">HYPERLINK(CONCATENATE("https://bugzilla.houston.hp.com:1181/bugzilla/show_bug.cgi?id=",INDIRECT(C70&amp;ROW())),INDIRECT(C70&amp;ROW()))</f>
        <v>61237</v>
      </c>
      <c r="N485">
        <v>61237</v>
      </c>
      <c r="O485" t="s">
        <v>56</v>
      </c>
      <c r="P485" t="s">
        <v>955</v>
      </c>
      <c r="Q485" t="s">
        <v>25</v>
      </c>
      <c r="R485" t="s">
        <v>783</v>
      </c>
      <c r="S485" t="s">
        <v>552</v>
      </c>
      <c r="U485" s="6">
        <v>42125.451805555553</v>
      </c>
      <c r="V485" t="s">
        <v>18</v>
      </c>
      <c r="W485" t="s">
        <v>17</v>
      </c>
      <c r="X485" s="6">
        <v>42118.337488425925</v>
      </c>
      <c r="Y485" t="s">
        <v>122</v>
      </c>
      <c r="AB485" t="s">
        <v>201</v>
      </c>
      <c r="AC485" t="s">
        <v>247</v>
      </c>
      <c r="AD485" t="s">
        <v>220</v>
      </c>
      <c r="AE485" t="s">
        <v>219</v>
      </c>
      <c r="AG485" t="s">
        <v>121</v>
      </c>
      <c r="AH485" t="s">
        <v>327</v>
      </c>
      <c r="AI485" t="s">
        <v>121</v>
      </c>
      <c r="AJ485" t="s">
        <v>716</v>
      </c>
      <c r="AK485" t="s">
        <v>121</v>
      </c>
    </row>
    <row r="486" spans="9:37" x14ac:dyDescent="0.3">
      <c r="I486">
        <f ca="1">IF(OR(INDIRECT(A73&amp;ROW())=B93,INDIRECT(A73&amp;ROW())=B94),1,IF(AND(INDIRECT(A73&amp;ROW())=B95,INDIRECT(A96&amp;ROW())=C93),1,IF(AND(INDIRECT(A73&amp;ROW())=B95,INDIRECT(A96&amp;ROW())=C94),1,0)))</f>
        <v>0</v>
      </c>
      <c r="J486">
        <f ca="1">IF(AND(INDIRECT(A73&amp;ROW())=B95,INDIRECT(A96&amp;ROW())=C95),1,IF(AND(INDIRECT(A73&amp;ROW())=B95,INDIRECT(A96&amp;ROW())=C96),1,0))</f>
        <v>1</v>
      </c>
      <c r="K486">
        <f ca="1">DAYS360(INDIRECT(C68&amp;ROW()),TODAY())</f>
        <v>721</v>
      </c>
      <c r="L486">
        <f ca="1">DAYS360(INDIRECT(C69&amp;ROW()),TODAY())</f>
        <v>728</v>
      </c>
      <c r="M486">
        <f ca="1">HYPERLINK(CONCATENATE("https://bugzilla.houston.hp.com:1181/bugzilla/show_bug.cgi?id=",INDIRECT(C70&amp;ROW())),INDIRECT(C70&amp;ROW()))</f>
        <v>61238</v>
      </c>
      <c r="N486">
        <v>61238</v>
      </c>
      <c r="O486" t="s">
        <v>56</v>
      </c>
      <c r="P486" t="s">
        <v>954</v>
      </c>
      <c r="Q486" t="s">
        <v>25</v>
      </c>
      <c r="R486" t="s">
        <v>783</v>
      </c>
      <c r="S486" t="s">
        <v>552</v>
      </c>
      <c r="U486" s="6">
        <v>42125.451863425929</v>
      </c>
      <c r="V486" t="s">
        <v>18</v>
      </c>
      <c r="W486" t="s">
        <v>17</v>
      </c>
      <c r="X486" s="6">
        <v>42118.337650462963</v>
      </c>
      <c r="Y486" t="s">
        <v>122</v>
      </c>
      <c r="AB486" t="s">
        <v>201</v>
      </c>
      <c r="AC486" t="s">
        <v>247</v>
      </c>
      <c r="AD486" t="s">
        <v>220</v>
      </c>
      <c r="AE486" t="s">
        <v>219</v>
      </c>
      <c r="AG486" t="s">
        <v>121</v>
      </c>
      <c r="AH486" t="s">
        <v>327</v>
      </c>
      <c r="AI486" t="s">
        <v>121</v>
      </c>
      <c r="AJ486" t="s">
        <v>716</v>
      </c>
      <c r="AK486" t="s">
        <v>121</v>
      </c>
    </row>
    <row r="487" spans="9:37" x14ac:dyDescent="0.3">
      <c r="I487">
        <f ca="1">IF(OR(INDIRECT(A73&amp;ROW())=B93,INDIRECT(A73&amp;ROW())=B94),1,IF(AND(INDIRECT(A73&amp;ROW())=B95,INDIRECT(A96&amp;ROW())=C93),1,IF(AND(INDIRECT(A73&amp;ROW())=B95,INDIRECT(A96&amp;ROW())=C94),1,0)))</f>
        <v>0</v>
      </c>
      <c r="J487">
        <f ca="1">IF(AND(INDIRECT(A73&amp;ROW())=B95,INDIRECT(A96&amp;ROW())=C95),1,IF(AND(INDIRECT(A73&amp;ROW())=B95,INDIRECT(A96&amp;ROW())=C96),1,0))</f>
        <v>1</v>
      </c>
      <c r="K487">
        <f ca="1">DAYS360(INDIRECT(C68&amp;ROW()),TODAY())</f>
        <v>721</v>
      </c>
      <c r="L487">
        <f ca="1">DAYS360(INDIRECT(C69&amp;ROW()),TODAY())</f>
        <v>728</v>
      </c>
      <c r="M487">
        <f ca="1">HYPERLINK(CONCATENATE("https://bugzilla.houston.hp.com:1181/bugzilla/show_bug.cgi?id=",INDIRECT(C70&amp;ROW())),INDIRECT(C70&amp;ROW()))</f>
        <v>61239</v>
      </c>
      <c r="N487">
        <v>61239</v>
      </c>
      <c r="O487" t="s">
        <v>56</v>
      </c>
      <c r="P487" t="s">
        <v>953</v>
      </c>
      <c r="Q487" t="s">
        <v>25</v>
      </c>
      <c r="R487" t="s">
        <v>783</v>
      </c>
      <c r="S487" t="s">
        <v>552</v>
      </c>
      <c r="U487" s="6">
        <v>42125.452974537038</v>
      </c>
      <c r="V487" t="s">
        <v>18</v>
      </c>
      <c r="W487" t="s">
        <v>17</v>
      </c>
      <c r="X487" s="6">
        <v>42118.337824074071</v>
      </c>
      <c r="Y487" t="s">
        <v>122</v>
      </c>
      <c r="AB487" t="s">
        <v>201</v>
      </c>
      <c r="AC487" t="s">
        <v>247</v>
      </c>
      <c r="AD487" t="s">
        <v>220</v>
      </c>
      <c r="AE487" t="s">
        <v>219</v>
      </c>
      <c r="AG487" t="s">
        <v>121</v>
      </c>
      <c r="AH487" t="s">
        <v>327</v>
      </c>
      <c r="AI487" t="s">
        <v>121</v>
      </c>
      <c r="AJ487" t="s">
        <v>716</v>
      </c>
      <c r="AK487" t="s">
        <v>121</v>
      </c>
    </row>
    <row r="488" spans="9:37" x14ac:dyDescent="0.3">
      <c r="I488">
        <f ca="1">IF(OR(INDIRECT(A73&amp;ROW())=B93,INDIRECT(A73&amp;ROW())=B94),1,IF(AND(INDIRECT(A73&amp;ROW())=B95,INDIRECT(A96&amp;ROW())=C93),1,IF(AND(INDIRECT(A73&amp;ROW())=B95,INDIRECT(A96&amp;ROW())=C94),1,0)))</f>
        <v>0</v>
      </c>
      <c r="J488">
        <f ca="1">IF(AND(INDIRECT(A73&amp;ROW())=B95,INDIRECT(A96&amp;ROW())=C95),1,IF(AND(INDIRECT(A73&amp;ROW())=B95,INDIRECT(A96&amp;ROW())=C96),1,0))</f>
        <v>1</v>
      </c>
      <c r="K488">
        <f ca="1">DAYS360(INDIRECT(C68&amp;ROW()),TODAY())</f>
        <v>721</v>
      </c>
      <c r="L488">
        <f ca="1">DAYS360(INDIRECT(C69&amp;ROW()),TODAY())</f>
        <v>728</v>
      </c>
      <c r="M488">
        <f ca="1">HYPERLINK(CONCATENATE("https://bugzilla.houston.hp.com:1181/bugzilla/show_bug.cgi?id=",INDIRECT(C70&amp;ROW())),INDIRECT(C70&amp;ROW()))</f>
        <v>61240</v>
      </c>
      <c r="N488">
        <v>61240</v>
      </c>
      <c r="O488" t="s">
        <v>56</v>
      </c>
      <c r="P488" t="s">
        <v>952</v>
      </c>
      <c r="Q488" t="s">
        <v>25</v>
      </c>
      <c r="R488" t="s">
        <v>783</v>
      </c>
      <c r="S488" t="s">
        <v>552</v>
      </c>
      <c r="U488" s="6">
        <v>42125.452939814815</v>
      </c>
      <c r="V488" t="s">
        <v>18</v>
      </c>
      <c r="W488" t="s">
        <v>17</v>
      </c>
      <c r="X488" s="6">
        <v>42118.33797453704</v>
      </c>
      <c r="Y488" t="s">
        <v>122</v>
      </c>
      <c r="AB488" t="s">
        <v>201</v>
      </c>
      <c r="AC488" t="s">
        <v>247</v>
      </c>
      <c r="AD488" t="s">
        <v>220</v>
      </c>
      <c r="AE488" t="s">
        <v>219</v>
      </c>
      <c r="AG488" t="s">
        <v>121</v>
      </c>
      <c r="AH488" t="s">
        <v>327</v>
      </c>
      <c r="AI488" t="s">
        <v>121</v>
      </c>
      <c r="AJ488" t="s">
        <v>716</v>
      </c>
      <c r="AK488" t="s">
        <v>121</v>
      </c>
    </row>
    <row r="489" spans="9:37" x14ac:dyDescent="0.3">
      <c r="I489">
        <f ca="1">IF(OR(INDIRECT(A73&amp;ROW())=B93,INDIRECT(A73&amp;ROW())=B94),1,IF(AND(INDIRECT(A73&amp;ROW())=B95,INDIRECT(A96&amp;ROW())=C93),1,IF(AND(INDIRECT(A73&amp;ROW())=B95,INDIRECT(A96&amp;ROW())=C94),1,0)))</f>
        <v>0</v>
      </c>
      <c r="J489">
        <f ca="1">IF(AND(INDIRECT(A73&amp;ROW())=B95,INDIRECT(A96&amp;ROW())=C95),1,IF(AND(INDIRECT(A73&amp;ROW())=B95,INDIRECT(A96&amp;ROW())=C96),1,0))</f>
        <v>1</v>
      </c>
      <c r="K489">
        <f ca="1">DAYS360(INDIRECT(C68&amp;ROW()),TODAY())</f>
        <v>728</v>
      </c>
      <c r="L489">
        <f ca="1">DAYS360(INDIRECT(C69&amp;ROW()),TODAY())</f>
        <v>728</v>
      </c>
      <c r="M489">
        <f ca="1">HYPERLINK(CONCATENATE("https://bugzilla.houston.hp.com:1181/bugzilla/show_bug.cgi?id=",INDIRECT(C70&amp;ROW())),INDIRECT(C70&amp;ROW()))</f>
        <v>61241</v>
      </c>
      <c r="N489">
        <v>61241</v>
      </c>
      <c r="O489" t="s">
        <v>56</v>
      </c>
      <c r="P489" t="s">
        <v>951</v>
      </c>
      <c r="Q489" t="s">
        <v>25</v>
      </c>
      <c r="R489" t="s">
        <v>783</v>
      </c>
      <c r="S489" t="s">
        <v>552</v>
      </c>
      <c r="U489" s="6">
        <v>42118.338229166664</v>
      </c>
      <c r="V489" t="s">
        <v>18</v>
      </c>
      <c r="W489" t="s">
        <v>17</v>
      </c>
      <c r="X489" s="6">
        <v>42118.338229166664</v>
      </c>
      <c r="Y489" t="s">
        <v>788</v>
      </c>
      <c r="AB489" t="s">
        <v>201</v>
      </c>
      <c r="AC489" t="s">
        <v>247</v>
      </c>
      <c r="AD489" t="s">
        <v>220</v>
      </c>
      <c r="AE489" t="s">
        <v>219</v>
      </c>
      <c r="AG489" t="s">
        <v>121</v>
      </c>
      <c r="AH489" t="s">
        <v>327</v>
      </c>
      <c r="AI489" t="s">
        <v>121</v>
      </c>
      <c r="AJ489" t="s">
        <v>716</v>
      </c>
      <c r="AK489" t="s">
        <v>121</v>
      </c>
    </row>
    <row r="490" spans="9:37" x14ac:dyDescent="0.3">
      <c r="I490">
        <f ca="1">IF(OR(INDIRECT(A73&amp;ROW())=B93,INDIRECT(A73&amp;ROW())=B94),1,IF(AND(INDIRECT(A73&amp;ROW())=B95,INDIRECT(A96&amp;ROW())=C93),1,IF(AND(INDIRECT(A73&amp;ROW())=B95,INDIRECT(A96&amp;ROW())=C94),1,0)))</f>
        <v>0</v>
      </c>
      <c r="J490">
        <f ca="1">IF(AND(INDIRECT(A73&amp;ROW())=B95,INDIRECT(A96&amp;ROW())=C95),1,IF(AND(INDIRECT(A73&amp;ROW())=B95,INDIRECT(A96&amp;ROW())=C96),1,0))</f>
        <v>1</v>
      </c>
      <c r="K490">
        <f ca="1">DAYS360(INDIRECT(C68&amp;ROW()),TODAY())</f>
        <v>721</v>
      </c>
      <c r="L490">
        <f ca="1">DAYS360(INDIRECT(C69&amp;ROW()),TODAY())</f>
        <v>728</v>
      </c>
      <c r="M490">
        <f ca="1">HYPERLINK(CONCATENATE("https://bugzilla.houston.hp.com:1181/bugzilla/show_bug.cgi?id=",INDIRECT(C70&amp;ROW())),INDIRECT(C70&amp;ROW()))</f>
        <v>61242</v>
      </c>
      <c r="N490">
        <v>61242</v>
      </c>
      <c r="O490" t="s">
        <v>56</v>
      </c>
      <c r="P490" t="s">
        <v>950</v>
      </c>
      <c r="Q490" t="s">
        <v>25</v>
      </c>
      <c r="R490" t="s">
        <v>783</v>
      </c>
      <c r="S490" t="s">
        <v>552</v>
      </c>
      <c r="U490" s="6">
        <v>42125.45175925926</v>
      </c>
      <c r="V490" t="s">
        <v>18</v>
      </c>
      <c r="W490" t="s">
        <v>17</v>
      </c>
      <c r="X490" s="6">
        <v>42118.338460648149</v>
      </c>
      <c r="Y490" t="s">
        <v>122</v>
      </c>
      <c r="AB490" t="s">
        <v>201</v>
      </c>
      <c r="AC490" t="s">
        <v>247</v>
      </c>
      <c r="AD490" t="s">
        <v>220</v>
      </c>
      <c r="AE490" t="s">
        <v>219</v>
      </c>
      <c r="AG490" t="s">
        <v>121</v>
      </c>
      <c r="AH490" t="s">
        <v>327</v>
      </c>
      <c r="AI490" t="s">
        <v>121</v>
      </c>
      <c r="AJ490" t="s">
        <v>716</v>
      </c>
      <c r="AK490" t="s">
        <v>121</v>
      </c>
    </row>
    <row r="491" spans="9:37" x14ac:dyDescent="0.3">
      <c r="I491">
        <f ca="1">IF(OR(INDIRECT(A73&amp;ROW())=B93,INDIRECT(A73&amp;ROW())=B94),1,IF(AND(INDIRECT(A73&amp;ROW())=B95,INDIRECT(A96&amp;ROW())=C93),1,IF(AND(INDIRECT(A73&amp;ROW())=B95,INDIRECT(A96&amp;ROW())=C94),1,0)))</f>
        <v>1</v>
      </c>
      <c r="J491">
        <f ca="1">IF(AND(INDIRECT(A73&amp;ROW())=B95,INDIRECT(A96&amp;ROW())=C95),1,IF(AND(INDIRECT(A73&amp;ROW())=B95,INDIRECT(A96&amp;ROW())=C96),1,0))</f>
        <v>0</v>
      </c>
      <c r="K491">
        <f ca="1">DAYS360(INDIRECT(C68&amp;ROW()),TODAY())</f>
        <v>691</v>
      </c>
      <c r="L491">
        <f ca="1">DAYS360(INDIRECT(C69&amp;ROW()),TODAY())</f>
        <v>728</v>
      </c>
      <c r="M491">
        <f ca="1">HYPERLINK(CONCATENATE("https://bugzilla.houston.hp.com:1181/bugzilla/show_bug.cgi?id=",INDIRECT(C70&amp;ROW())),INDIRECT(C70&amp;ROW()))</f>
        <v>61246</v>
      </c>
      <c r="N491">
        <v>61246</v>
      </c>
      <c r="O491" t="s">
        <v>53</v>
      </c>
      <c r="P491" t="s">
        <v>946</v>
      </c>
      <c r="Q491" t="s">
        <v>39</v>
      </c>
      <c r="R491" t="s">
        <v>783</v>
      </c>
      <c r="S491" t="s">
        <v>552</v>
      </c>
      <c r="U491" s="6">
        <v>42156.614560185182</v>
      </c>
      <c r="V491" t="s">
        <v>18</v>
      </c>
      <c r="W491" t="s">
        <v>17</v>
      </c>
      <c r="X491" s="6">
        <v>42118.339432870373</v>
      </c>
      <c r="Y491" t="s">
        <v>119</v>
      </c>
      <c r="AB491" t="s">
        <v>201</v>
      </c>
      <c r="AC491" t="s">
        <v>247</v>
      </c>
      <c r="AD491" t="s">
        <v>220</v>
      </c>
      <c r="AE491" t="s">
        <v>219</v>
      </c>
      <c r="AG491" t="s">
        <v>337</v>
      </c>
      <c r="AH491" t="s">
        <v>64</v>
      </c>
      <c r="AI491" t="s">
        <v>121</v>
      </c>
      <c r="AJ491" t="s">
        <v>715</v>
      </c>
      <c r="AK491" t="s">
        <v>121</v>
      </c>
    </row>
    <row r="492" spans="9:37" x14ac:dyDescent="0.3">
      <c r="I492">
        <f ca="1">IF(OR(INDIRECT(A73&amp;ROW())=B93,INDIRECT(A73&amp;ROW())=B94),1,IF(AND(INDIRECT(A73&amp;ROW())=B95,INDIRECT(A96&amp;ROW())=C93),1,IF(AND(INDIRECT(A73&amp;ROW())=B95,INDIRECT(A96&amp;ROW())=C94),1,0)))</f>
        <v>0</v>
      </c>
      <c r="J492">
        <f ca="1">IF(AND(INDIRECT(A73&amp;ROW())=B95,INDIRECT(A96&amp;ROW())=C95),1,IF(AND(INDIRECT(A73&amp;ROW())=B95,INDIRECT(A96&amp;ROW())=C96),1,0))</f>
        <v>1</v>
      </c>
      <c r="K492">
        <f ca="1">DAYS360(INDIRECT(C68&amp;ROW()),TODAY())</f>
        <v>682</v>
      </c>
      <c r="L492">
        <f ca="1">DAYS360(INDIRECT(C69&amp;ROW()),TODAY())</f>
        <v>728</v>
      </c>
      <c r="M492">
        <f ca="1">HYPERLINK(CONCATENATE("https://bugzilla.houston.hp.com:1181/bugzilla/show_bug.cgi?id=",INDIRECT(C70&amp;ROW())),INDIRECT(C70&amp;ROW()))</f>
        <v>61247</v>
      </c>
      <c r="N492">
        <v>61247</v>
      </c>
      <c r="O492" t="s">
        <v>204</v>
      </c>
      <c r="P492" t="s">
        <v>945</v>
      </c>
      <c r="Q492" t="s">
        <v>25</v>
      </c>
      <c r="R492" t="s">
        <v>783</v>
      </c>
      <c r="S492" t="s">
        <v>552</v>
      </c>
      <c r="U492" s="6">
        <v>42165.64403935185</v>
      </c>
      <c r="V492" t="s">
        <v>18</v>
      </c>
      <c r="W492" t="s">
        <v>17</v>
      </c>
      <c r="X492" s="6">
        <v>42118.33965277778</v>
      </c>
      <c r="Y492" t="s">
        <v>119</v>
      </c>
      <c r="AB492" t="s">
        <v>201</v>
      </c>
      <c r="AC492" t="s">
        <v>121</v>
      </c>
      <c r="AD492" t="s">
        <v>220</v>
      </c>
      <c r="AE492" t="s">
        <v>223</v>
      </c>
      <c r="AG492" t="s">
        <v>121</v>
      </c>
      <c r="AH492" t="s">
        <v>327</v>
      </c>
      <c r="AI492" t="s">
        <v>362</v>
      </c>
      <c r="AJ492" t="s">
        <v>716</v>
      </c>
      <c r="AK492" t="s">
        <v>121</v>
      </c>
    </row>
    <row r="493" spans="9:37" x14ac:dyDescent="0.3">
      <c r="I493">
        <f ca="1">IF(OR(INDIRECT(A73&amp;ROW())=B93,INDIRECT(A73&amp;ROW())=B94),1,IF(AND(INDIRECT(A73&amp;ROW())=B95,INDIRECT(A96&amp;ROW())=C93),1,IF(AND(INDIRECT(A73&amp;ROW())=B95,INDIRECT(A96&amp;ROW())=C94),1,0)))</f>
        <v>0</v>
      </c>
      <c r="J493">
        <f ca="1">IF(AND(INDIRECT(A73&amp;ROW())=B95,INDIRECT(A96&amp;ROW())=C95),1,IF(AND(INDIRECT(A73&amp;ROW())=B95,INDIRECT(A96&amp;ROW())=C96),1,0))</f>
        <v>1</v>
      </c>
      <c r="K493">
        <f ca="1">DAYS360(INDIRECT(C68&amp;ROW()),TODAY())</f>
        <v>675</v>
      </c>
      <c r="L493">
        <f ca="1">DAYS360(INDIRECT(C69&amp;ROW()),TODAY())</f>
        <v>728</v>
      </c>
      <c r="M493">
        <f ca="1">HYPERLINK(CONCATENATE("https://bugzilla.houston.hp.com:1181/bugzilla/show_bug.cgi?id=",INDIRECT(C70&amp;ROW())),INDIRECT(C70&amp;ROW()))</f>
        <v>61253</v>
      </c>
      <c r="N493">
        <v>61253</v>
      </c>
      <c r="O493" t="s">
        <v>44</v>
      </c>
      <c r="P493" t="s">
        <v>942</v>
      </c>
      <c r="Q493" t="s">
        <v>25</v>
      </c>
      <c r="R493" t="s">
        <v>783</v>
      </c>
      <c r="S493" t="s">
        <v>552</v>
      </c>
      <c r="T493" t="s">
        <v>48</v>
      </c>
      <c r="U493" s="6">
        <v>42172.477094907408</v>
      </c>
      <c r="V493" t="s">
        <v>18</v>
      </c>
      <c r="W493" t="s">
        <v>17</v>
      </c>
      <c r="X493" s="6">
        <v>42118.341377314813</v>
      </c>
      <c r="Y493" t="s">
        <v>535</v>
      </c>
      <c r="AB493" t="s">
        <v>201</v>
      </c>
      <c r="AC493" t="s">
        <v>247</v>
      </c>
      <c r="AD493" t="s">
        <v>220</v>
      </c>
      <c r="AE493" t="s">
        <v>219</v>
      </c>
      <c r="AG493" t="s">
        <v>121</v>
      </c>
      <c r="AH493" t="s">
        <v>327</v>
      </c>
      <c r="AI493" t="s">
        <v>121</v>
      </c>
      <c r="AJ493" t="s">
        <v>716</v>
      </c>
      <c r="AK493" t="s">
        <v>121</v>
      </c>
    </row>
    <row r="494" spans="9:37" x14ac:dyDescent="0.3">
      <c r="I494">
        <f ca="1">IF(OR(INDIRECT(A73&amp;ROW())=B93,INDIRECT(A73&amp;ROW())=B94),1,IF(AND(INDIRECT(A73&amp;ROW())=B95,INDIRECT(A96&amp;ROW())=C93),1,IF(AND(INDIRECT(A73&amp;ROW())=B95,INDIRECT(A96&amp;ROW())=C94),1,0)))</f>
        <v>1</v>
      </c>
      <c r="J494">
        <f ca="1">IF(AND(INDIRECT(A73&amp;ROW())=B95,INDIRECT(A96&amp;ROW())=C95),1,IF(AND(INDIRECT(A73&amp;ROW())=B95,INDIRECT(A96&amp;ROW())=C96),1,0))</f>
        <v>0</v>
      </c>
      <c r="K494">
        <f ca="1">DAYS360(INDIRECT(C68&amp;ROW()),TODAY())</f>
        <v>675</v>
      </c>
      <c r="L494">
        <f ca="1">DAYS360(INDIRECT(C69&amp;ROW()),TODAY())</f>
        <v>728</v>
      </c>
      <c r="M494">
        <f ca="1">HYPERLINK(CONCATENATE("https://bugzilla.houston.hp.com:1181/bugzilla/show_bug.cgi?id=",INDIRECT(C70&amp;ROW())),INDIRECT(C70&amp;ROW()))</f>
        <v>61254</v>
      </c>
      <c r="N494">
        <v>61254</v>
      </c>
      <c r="O494" t="s">
        <v>53</v>
      </c>
      <c r="P494" t="s">
        <v>941</v>
      </c>
      <c r="Q494" t="s">
        <v>39</v>
      </c>
      <c r="R494" t="s">
        <v>783</v>
      </c>
      <c r="S494" t="s">
        <v>552</v>
      </c>
      <c r="U494" s="6">
        <v>42172.647418981483</v>
      </c>
      <c r="V494" t="s">
        <v>18</v>
      </c>
      <c r="W494" t="s">
        <v>17</v>
      </c>
      <c r="X494" s="6">
        <v>42118.341643518521</v>
      </c>
      <c r="Y494" t="s">
        <v>122</v>
      </c>
      <c r="AB494" t="s">
        <v>200</v>
      </c>
      <c r="AC494" t="s">
        <v>247</v>
      </c>
      <c r="AD494" t="s">
        <v>220</v>
      </c>
      <c r="AE494" t="s">
        <v>219</v>
      </c>
      <c r="AG494" t="s">
        <v>1082</v>
      </c>
      <c r="AH494" t="s">
        <v>327</v>
      </c>
      <c r="AI494" t="s">
        <v>121</v>
      </c>
      <c r="AJ494" t="s">
        <v>715</v>
      </c>
      <c r="AK494" t="s">
        <v>121</v>
      </c>
    </row>
    <row r="495" spans="9:37" x14ac:dyDescent="0.3">
      <c r="I495">
        <f ca="1">IF(OR(INDIRECT(A73&amp;ROW())=B93,INDIRECT(A73&amp;ROW())=B94),1,IF(AND(INDIRECT(A73&amp;ROW())=B95,INDIRECT(A96&amp;ROW())=C93),1,IF(AND(INDIRECT(A73&amp;ROW())=B95,INDIRECT(A96&amp;ROW())=C94),1,0)))</f>
        <v>0</v>
      </c>
      <c r="J495">
        <f ca="1">IF(AND(INDIRECT(A73&amp;ROW())=B95,INDIRECT(A96&amp;ROW())=C95),1,IF(AND(INDIRECT(A73&amp;ROW())=B95,INDIRECT(A96&amp;ROW())=C96),1,0))</f>
        <v>1</v>
      </c>
      <c r="K495">
        <f ca="1">DAYS360(INDIRECT(C68&amp;ROW()),TODAY())</f>
        <v>675</v>
      </c>
      <c r="L495">
        <f ca="1">DAYS360(INDIRECT(C69&amp;ROW()),TODAY())</f>
        <v>728</v>
      </c>
      <c r="M495">
        <f ca="1">HYPERLINK(CONCATENATE("https://bugzilla.houston.hp.com:1181/bugzilla/show_bug.cgi?id=",INDIRECT(C70&amp;ROW())),INDIRECT(C70&amp;ROW()))</f>
        <v>61256</v>
      </c>
      <c r="N495">
        <v>61256</v>
      </c>
      <c r="O495" t="s">
        <v>66</v>
      </c>
      <c r="P495" t="s">
        <v>940</v>
      </c>
      <c r="Q495" t="s">
        <v>25</v>
      </c>
      <c r="R495" t="s">
        <v>783</v>
      </c>
      <c r="S495" t="s">
        <v>552</v>
      </c>
      <c r="U495" s="6">
        <v>42172.473611111112</v>
      </c>
      <c r="V495" t="s">
        <v>18</v>
      </c>
      <c r="W495" t="s">
        <v>17</v>
      </c>
      <c r="X495" s="6">
        <v>42118.342280092591</v>
      </c>
      <c r="Y495" t="s">
        <v>122</v>
      </c>
      <c r="AB495" t="s">
        <v>201</v>
      </c>
      <c r="AC495" t="s">
        <v>247</v>
      </c>
      <c r="AD495" t="s">
        <v>220</v>
      </c>
      <c r="AE495" t="s">
        <v>219</v>
      </c>
      <c r="AG495" t="s">
        <v>121</v>
      </c>
      <c r="AH495" t="s">
        <v>327</v>
      </c>
      <c r="AI495" t="s">
        <v>121</v>
      </c>
      <c r="AJ495" t="s">
        <v>716</v>
      </c>
      <c r="AK495" t="s">
        <v>121</v>
      </c>
    </row>
    <row r="496" spans="9:37" x14ac:dyDescent="0.3">
      <c r="I496">
        <f ca="1">IF(OR(INDIRECT(A73&amp;ROW())=B93,INDIRECT(A73&amp;ROW())=B94),1,IF(AND(INDIRECT(A73&amp;ROW())=B95,INDIRECT(A96&amp;ROW())=C93),1,IF(AND(INDIRECT(A73&amp;ROW())=B95,INDIRECT(A96&amp;ROW())=C94),1,0)))</f>
        <v>0</v>
      </c>
      <c r="J496">
        <f ca="1">IF(AND(INDIRECT(A73&amp;ROW())=B95,INDIRECT(A96&amp;ROW())=C95),1,IF(AND(INDIRECT(A73&amp;ROW())=B95,INDIRECT(A96&amp;ROW())=C96),1,0))</f>
        <v>1</v>
      </c>
      <c r="K496">
        <f ca="1">DAYS360(INDIRECT(C68&amp;ROW()),TODAY())</f>
        <v>675</v>
      </c>
      <c r="L496">
        <f ca="1">DAYS360(INDIRECT(C69&amp;ROW()),TODAY())</f>
        <v>728</v>
      </c>
      <c r="M496">
        <f ca="1">HYPERLINK(CONCATENATE("https://bugzilla.houston.hp.com:1181/bugzilla/show_bug.cgi?id=",INDIRECT(C70&amp;ROW())),INDIRECT(C70&amp;ROW()))</f>
        <v>61257</v>
      </c>
      <c r="N496">
        <v>61257</v>
      </c>
      <c r="O496" t="s">
        <v>56</v>
      </c>
      <c r="P496" t="s">
        <v>939</v>
      </c>
      <c r="Q496" t="s">
        <v>25</v>
      </c>
      <c r="R496" t="s">
        <v>783</v>
      </c>
      <c r="S496" t="s">
        <v>552</v>
      </c>
      <c r="U496" s="6">
        <v>42172.472870370373</v>
      </c>
      <c r="V496" t="s">
        <v>18</v>
      </c>
      <c r="W496" t="s">
        <v>17</v>
      </c>
      <c r="X496" s="6">
        <v>42118.342569444445</v>
      </c>
      <c r="Y496" t="s">
        <v>119</v>
      </c>
      <c r="AB496" t="s">
        <v>201</v>
      </c>
      <c r="AC496" t="s">
        <v>247</v>
      </c>
      <c r="AD496" t="s">
        <v>220</v>
      </c>
      <c r="AE496" t="s">
        <v>219</v>
      </c>
      <c r="AG496" t="s">
        <v>121</v>
      </c>
      <c r="AH496" t="s">
        <v>327</v>
      </c>
      <c r="AI496" t="s">
        <v>121</v>
      </c>
      <c r="AJ496" t="s">
        <v>716</v>
      </c>
      <c r="AK496" t="s">
        <v>121</v>
      </c>
    </row>
    <row r="497" spans="9:37" x14ac:dyDescent="0.3">
      <c r="I497">
        <f ca="1">IF(OR(INDIRECT(A73&amp;ROW())=B93,INDIRECT(A73&amp;ROW())=B94),1,IF(AND(INDIRECT(A73&amp;ROW())=B95,INDIRECT(A96&amp;ROW())=C93),1,IF(AND(INDIRECT(A73&amp;ROW())=B95,INDIRECT(A96&amp;ROW())=C94),1,0)))</f>
        <v>0</v>
      </c>
      <c r="J497">
        <f ca="1">IF(AND(INDIRECT(A73&amp;ROW())=B95,INDIRECT(A96&amp;ROW())=C95),1,IF(AND(INDIRECT(A73&amp;ROW())=B95,INDIRECT(A96&amp;ROW())=C96),1,0))</f>
        <v>0</v>
      </c>
      <c r="K497">
        <f ca="1">DAYS360(INDIRECT(C68&amp;ROW()),TODAY())</f>
        <v>675</v>
      </c>
      <c r="L497">
        <f ca="1">DAYS360(INDIRECT(C69&amp;ROW()),TODAY())</f>
        <v>728</v>
      </c>
      <c r="M497">
        <f ca="1">HYPERLINK(CONCATENATE("https://bugzilla.houston.hp.com:1181/bugzilla/show_bug.cgi?id=",INDIRECT(C70&amp;ROW())),INDIRECT(C70&amp;ROW()))</f>
        <v>61258</v>
      </c>
      <c r="N497">
        <v>61258</v>
      </c>
      <c r="O497" t="s">
        <v>66</v>
      </c>
      <c r="P497" t="s">
        <v>938</v>
      </c>
      <c r="Q497" t="s">
        <v>16</v>
      </c>
      <c r="R497" t="s">
        <v>783</v>
      </c>
      <c r="S497" t="s">
        <v>552</v>
      </c>
      <c r="U497" s="6">
        <v>42172.478032407409</v>
      </c>
      <c r="V497" t="s">
        <v>18</v>
      </c>
      <c r="W497" t="s">
        <v>783</v>
      </c>
      <c r="X497" s="6">
        <v>42118.342928240738</v>
      </c>
      <c r="Y497" t="s">
        <v>786</v>
      </c>
      <c r="AB497" t="s">
        <v>200</v>
      </c>
      <c r="AC497" t="s">
        <v>247</v>
      </c>
      <c r="AD497" t="s">
        <v>220</v>
      </c>
      <c r="AE497" t="s">
        <v>219</v>
      </c>
      <c r="AG497" t="s">
        <v>121</v>
      </c>
      <c r="AH497" t="s">
        <v>327</v>
      </c>
      <c r="AI497" t="s">
        <v>121</v>
      </c>
      <c r="AJ497" t="s">
        <v>716</v>
      </c>
      <c r="AK497" t="s">
        <v>121</v>
      </c>
    </row>
    <row r="498" spans="9:37" x14ac:dyDescent="0.3">
      <c r="I498">
        <f ca="1">IF(OR(INDIRECT(A73&amp;ROW())=B93,INDIRECT(A73&amp;ROW())=B94),1,IF(AND(INDIRECT(A73&amp;ROW())=B95,INDIRECT(A96&amp;ROW())=C93),1,IF(AND(INDIRECT(A73&amp;ROW())=B95,INDIRECT(A96&amp;ROW())=C94),1,0)))</f>
        <v>1</v>
      </c>
      <c r="J498">
        <f ca="1">IF(AND(INDIRECT(A73&amp;ROW())=B95,INDIRECT(A96&amp;ROW())=C95),1,IF(AND(INDIRECT(A73&amp;ROW())=B95,INDIRECT(A96&amp;ROW())=C96),1,0))</f>
        <v>0</v>
      </c>
      <c r="K498">
        <f ca="1">DAYS360(INDIRECT(C68&amp;ROW()),TODAY())</f>
        <v>675</v>
      </c>
      <c r="L498">
        <f ca="1">DAYS360(INDIRECT(C69&amp;ROW()),TODAY())</f>
        <v>728</v>
      </c>
      <c r="M498">
        <f ca="1">HYPERLINK(CONCATENATE("https://bugzilla.houston.hp.com:1181/bugzilla/show_bug.cgi?id=",INDIRECT(C70&amp;ROW())),INDIRECT(C70&amp;ROW()))</f>
        <v>61259</v>
      </c>
      <c r="N498">
        <v>61259</v>
      </c>
      <c r="O498" t="s">
        <v>53</v>
      </c>
      <c r="P498" t="s">
        <v>937</v>
      </c>
      <c r="Q498" t="s">
        <v>39</v>
      </c>
      <c r="R498" t="s">
        <v>783</v>
      </c>
      <c r="S498" t="s">
        <v>552</v>
      </c>
      <c r="U498" s="6">
        <v>42172.647569444445</v>
      </c>
      <c r="V498" t="s">
        <v>18</v>
      </c>
      <c r="W498" t="s">
        <v>17</v>
      </c>
      <c r="X498" s="6">
        <v>42118.343217592592</v>
      </c>
      <c r="Y498" t="s">
        <v>122</v>
      </c>
      <c r="AB498" t="s">
        <v>200</v>
      </c>
      <c r="AC498" t="s">
        <v>247</v>
      </c>
      <c r="AD498" t="s">
        <v>220</v>
      </c>
      <c r="AE498" t="s">
        <v>219</v>
      </c>
      <c r="AG498" t="s">
        <v>1082</v>
      </c>
      <c r="AH498" t="s">
        <v>327</v>
      </c>
      <c r="AI498" t="s">
        <v>121</v>
      </c>
      <c r="AJ498" t="s">
        <v>715</v>
      </c>
      <c r="AK498" t="s">
        <v>121</v>
      </c>
    </row>
    <row r="499" spans="9:37" x14ac:dyDescent="0.3">
      <c r="I499">
        <f ca="1">IF(OR(INDIRECT(A73&amp;ROW())=B93,INDIRECT(A73&amp;ROW())=B94),1,IF(AND(INDIRECT(A73&amp;ROW())=B95,INDIRECT(A96&amp;ROW())=C93),1,IF(AND(INDIRECT(A73&amp;ROW())=B95,INDIRECT(A96&amp;ROW())=C94),1,0)))</f>
        <v>0</v>
      </c>
      <c r="J499">
        <f ca="1">IF(AND(INDIRECT(A73&amp;ROW())=B95,INDIRECT(A96&amp;ROW())=C95),1,IF(AND(INDIRECT(A73&amp;ROW())=B95,INDIRECT(A96&amp;ROW())=C96),1,0))</f>
        <v>0</v>
      </c>
      <c r="K499">
        <f ca="1">DAYS360(INDIRECT(C68&amp;ROW()),TODAY())</f>
        <v>721</v>
      </c>
      <c r="L499">
        <f ca="1">DAYS360(INDIRECT(C69&amp;ROW()),TODAY())</f>
        <v>728</v>
      </c>
      <c r="M499">
        <f ca="1">HYPERLINK(CONCATENATE("https://bugzilla.houston.hp.com:1181/bugzilla/show_bug.cgi?id=",INDIRECT(C70&amp;ROW())),INDIRECT(C70&amp;ROW()))</f>
        <v>61271</v>
      </c>
      <c r="N499">
        <v>61271</v>
      </c>
      <c r="O499" t="s">
        <v>241</v>
      </c>
      <c r="P499" t="s">
        <v>936</v>
      </c>
      <c r="Q499" t="s">
        <v>16</v>
      </c>
      <c r="R499" t="s">
        <v>251</v>
      </c>
      <c r="S499" t="s">
        <v>296</v>
      </c>
      <c r="U499" s="6">
        <v>42125.494571759256</v>
      </c>
      <c r="V499" t="s">
        <v>18</v>
      </c>
      <c r="W499" t="s">
        <v>17</v>
      </c>
      <c r="X499" s="6">
        <v>42118.46429398148</v>
      </c>
      <c r="Y499" t="s">
        <v>122</v>
      </c>
      <c r="AB499" t="s">
        <v>200</v>
      </c>
      <c r="AC499" t="s">
        <v>247</v>
      </c>
      <c r="AD499" t="s">
        <v>227</v>
      </c>
      <c r="AE499" t="s">
        <v>238</v>
      </c>
      <c r="AG499" t="s">
        <v>121</v>
      </c>
      <c r="AH499" t="s">
        <v>327</v>
      </c>
      <c r="AI499" t="s">
        <v>121</v>
      </c>
      <c r="AJ499" t="s">
        <v>716</v>
      </c>
      <c r="AK499" t="s">
        <v>121</v>
      </c>
    </row>
    <row r="500" spans="9:37" x14ac:dyDescent="0.3">
      <c r="I500">
        <f ca="1">IF(OR(INDIRECT(A73&amp;ROW())=B93,INDIRECT(A73&amp;ROW())=B94),1,IF(AND(INDIRECT(A73&amp;ROW())=B95,INDIRECT(A96&amp;ROW())=C93),1,IF(AND(INDIRECT(A73&amp;ROW())=B95,INDIRECT(A96&amp;ROW())=C94),1,0)))</f>
        <v>0</v>
      </c>
      <c r="J500">
        <f ca="1">IF(AND(INDIRECT(A73&amp;ROW())=B95,INDIRECT(A96&amp;ROW())=C95),1,IF(AND(INDIRECT(A73&amp;ROW())=B95,INDIRECT(A96&amp;ROW())=C96),1,0))</f>
        <v>0</v>
      </c>
      <c r="K500">
        <f ca="1">DAYS360(INDIRECT(C68&amp;ROW()),TODAY())</f>
        <v>721</v>
      </c>
      <c r="L500">
        <f ca="1">DAYS360(INDIRECT(C69&amp;ROW()),TODAY())</f>
        <v>728</v>
      </c>
      <c r="M500">
        <f ca="1">HYPERLINK(CONCATENATE("https://bugzilla.houston.hp.com:1181/bugzilla/show_bug.cgi?id=",INDIRECT(C70&amp;ROW())),INDIRECT(C70&amp;ROW()))</f>
        <v>61285</v>
      </c>
      <c r="N500">
        <v>61285</v>
      </c>
      <c r="O500" t="s">
        <v>241</v>
      </c>
      <c r="P500" t="s">
        <v>935</v>
      </c>
      <c r="Q500" t="s">
        <v>16</v>
      </c>
      <c r="R500" t="s">
        <v>579</v>
      </c>
      <c r="S500" t="s">
        <v>552</v>
      </c>
      <c r="T500" t="s">
        <v>980</v>
      </c>
      <c r="U500" s="6">
        <v>42125.494745370372</v>
      </c>
      <c r="V500" t="s">
        <v>18</v>
      </c>
      <c r="W500" t="s">
        <v>17</v>
      </c>
      <c r="X500" s="6">
        <v>42118.515902777777</v>
      </c>
      <c r="Y500" t="s">
        <v>122</v>
      </c>
      <c r="AB500" t="s">
        <v>200</v>
      </c>
      <c r="AC500" t="s">
        <v>247</v>
      </c>
      <c r="AD500" t="s">
        <v>227</v>
      </c>
      <c r="AE500" t="s">
        <v>238</v>
      </c>
      <c r="AG500" t="s">
        <v>121</v>
      </c>
      <c r="AH500" t="s">
        <v>327</v>
      </c>
      <c r="AI500" t="s">
        <v>121</v>
      </c>
      <c r="AJ500" t="s">
        <v>716</v>
      </c>
      <c r="AK500" t="s">
        <v>121</v>
      </c>
    </row>
    <row r="501" spans="9:37" x14ac:dyDescent="0.3">
      <c r="I501">
        <f ca="1">IF(OR(INDIRECT(A73&amp;ROW())=B93,INDIRECT(A73&amp;ROW())=B94),1,IF(AND(INDIRECT(A73&amp;ROW())=B95,INDIRECT(A96&amp;ROW())=C93),1,IF(AND(INDIRECT(A73&amp;ROW())=B95,INDIRECT(A96&amp;ROW())=C94),1,0)))</f>
        <v>0</v>
      </c>
      <c r="J501">
        <f ca="1">IF(AND(INDIRECT(A73&amp;ROW())=B95,INDIRECT(A96&amp;ROW())=C95),1,IF(AND(INDIRECT(A73&amp;ROW())=B95,INDIRECT(A96&amp;ROW())=C96),1,0))</f>
        <v>0</v>
      </c>
      <c r="K501">
        <f ca="1">DAYS360(INDIRECT(C68&amp;ROW()),TODAY())</f>
        <v>687</v>
      </c>
      <c r="L501">
        <f ca="1">DAYS360(INDIRECT(C69&amp;ROW()),TODAY())</f>
        <v>728</v>
      </c>
      <c r="M501">
        <f ca="1">HYPERLINK(CONCATENATE("https://bugzilla.houston.hp.com:1181/bugzilla/show_bug.cgi?id=",INDIRECT(C70&amp;ROW())),INDIRECT(C70&amp;ROW()))</f>
        <v>61286</v>
      </c>
      <c r="N501">
        <v>61286</v>
      </c>
      <c r="O501" t="s">
        <v>241</v>
      </c>
      <c r="P501" t="s">
        <v>934</v>
      </c>
      <c r="Q501" t="s">
        <v>16</v>
      </c>
      <c r="R501" t="s">
        <v>248</v>
      </c>
      <c r="S501" t="s">
        <v>552</v>
      </c>
      <c r="U501" s="6">
        <v>42160.463993055557</v>
      </c>
      <c r="V501" t="s">
        <v>18</v>
      </c>
      <c r="W501" t="s">
        <v>17</v>
      </c>
      <c r="X501" s="6">
        <v>42118.516018518516</v>
      </c>
      <c r="Y501" t="s">
        <v>122</v>
      </c>
      <c r="AB501" t="s">
        <v>200</v>
      </c>
      <c r="AC501" t="s">
        <v>247</v>
      </c>
      <c r="AD501" t="s">
        <v>227</v>
      </c>
      <c r="AE501" t="s">
        <v>238</v>
      </c>
      <c r="AG501" t="s">
        <v>121</v>
      </c>
      <c r="AH501" t="s">
        <v>327</v>
      </c>
      <c r="AI501" t="s">
        <v>121</v>
      </c>
      <c r="AJ501" t="s">
        <v>716</v>
      </c>
      <c r="AK501" t="s">
        <v>121</v>
      </c>
    </row>
    <row r="502" spans="9:37" x14ac:dyDescent="0.3">
      <c r="I502">
        <f ca="1">IF(OR(INDIRECT(A73&amp;ROW())=B93,INDIRECT(A73&amp;ROW())=B94),1,IF(AND(INDIRECT(A73&amp;ROW())=B95,INDIRECT(A96&amp;ROW())=C93),1,IF(AND(INDIRECT(A73&amp;ROW())=B95,INDIRECT(A96&amp;ROW())=C94),1,0)))</f>
        <v>0</v>
      </c>
      <c r="J502">
        <f ca="1">IF(AND(INDIRECT(A73&amp;ROW())=B95,INDIRECT(A96&amp;ROW())=C95),1,IF(AND(INDIRECT(A73&amp;ROW())=B95,INDIRECT(A96&amp;ROW())=C96),1,0))</f>
        <v>1</v>
      </c>
      <c r="K502">
        <f ca="1">DAYS360(INDIRECT(C68&amp;ROW()),TODAY())</f>
        <v>682</v>
      </c>
      <c r="L502">
        <f ca="1">DAYS360(INDIRECT(C69&amp;ROW()),TODAY())</f>
        <v>725</v>
      </c>
      <c r="M502">
        <f ca="1">HYPERLINK(CONCATENATE("https://bugzilla.houston.hp.com:1181/bugzilla/show_bug.cgi?id=",INDIRECT(C70&amp;ROW())),INDIRECT(C70&amp;ROW()))</f>
        <v>61403</v>
      </c>
      <c r="N502">
        <v>61403</v>
      </c>
      <c r="O502" t="s">
        <v>241</v>
      </c>
      <c r="P502" t="s">
        <v>978</v>
      </c>
      <c r="Q502" t="s">
        <v>25</v>
      </c>
      <c r="R502" t="s">
        <v>251</v>
      </c>
      <c r="S502" t="s">
        <v>52</v>
      </c>
      <c r="U502" s="6">
        <v>42165.575555555559</v>
      </c>
      <c r="V502" t="s">
        <v>18</v>
      </c>
      <c r="W502" t="s">
        <v>783</v>
      </c>
      <c r="X502" s="6">
        <v>42121.557916666665</v>
      </c>
      <c r="Y502" t="s">
        <v>119</v>
      </c>
      <c r="AB502" t="s">
        <v>201</v>
      </c>
      <c r="AC502" t="s">
        <v>247</v>
      </c>
      <c r="AD502" t="s">
        <v>222</v>
      </c>
      <c r="AE502" t="s">
        <v>221</v>
      </c>
      <c r="AG502" t="s">
        <v>121</v>
      </c>
      <c r="AH502" t="s">
        <v>327</v>
      </c>
      <c r="AI502" t="s">
        <v>121</v>
      </c>
      <c r="AJ502" t="s">
        <v>716</v>
      </c>
      <c r="AK502" t="s">
        <v>121</v>
      </c>
    </row>
    <row r="503" spans="9:37" x14ac:dyDescent="0.3">
      <c r="I503">
        <f ca="1">IF(OR(INDIRECT(A73&amp;ROW())=B93,INDIRECT(A73&amp;ROW())=B94),1,IF(AND(INDIRECT(A73&amp;ROW())=B95,INDIRECT(A96&amp;ROW())=C93),1,IF(AND(INDIRECT(A73&amp;ROW())=B95,INDIRECT(A96&amp;ROW())=C94),1,0)))</f>
        <v>0</v>
      </c>
      <c r="J503">
        <f ca="1">IF(AND(INDIRECT(A73&amp;ROW())=B95,INDIRECT(A96&amp;ROW())=C95),1,IF(AND(INDIRECT(A73&amp;ROW())=B95,INDIRECT(A96&amp;ROW())=C96),1,0))</f>
        <v>1</v>
      </c>
      <c r="K503">
        <f ca="1">DAYS360(INDIRECT(C68&amp;ROW()),TODAY())</f>
        <v>716</v>
      </c>
      <c r="L503">
        <f ca="1">DAYS360(INDIRECT(C69&amp;ROW()),TODAY())</f>
        <v>724</v>
      </c>
      <c r="M503">
        <f ca="1">HYPERLINK(CONCATENATE("https://bugzilla.houston.hp.com:1181/bugzilla/show_bug.cgi?id=",INDIRECT(C70&amp;ROW())),INDIRECT(C70&amp;ROW()))</f>
        <v>61422</v>
      </c>
      <c r="N503">
        <v>61422</v>
      </c>
      <c r="O503" t="s">
        <v>241</v>
      </c>
      <c r="P503" t="s">
        <v>977</v>
      </c>
      <c r="Q503" t="s">
        <v>25</v>
      </c>
      <c r="R503" t="s">
        <v>579</v>
      </c>
      <c r="S503" t="s">
        <v>552</v>
      </c>
      <c r="T503" t="s">
        <v>1007</v>
      </c>
      <c r="U503" s="6">
        <v>42130.313888888886</v>
      </c>
      <c r="V503" t="s">
        <v>18</v>
      </c>
      <c r="W503" t="s">
        <v>783</v>
      </c>
      <c r="X503" s="6">
        <v>42122.016122685185</v>
      </c>
      <c r="Y503" t="s">
        <v>119</v>
      </c>
      <c r="AB503" t="s">
        <v>201</v>
      </c>
      <c r="AC503" t="s">
        <v>247</v>
      </c>
      <c r="AD503" t="s">
        <v>222</v>
      </c>
      <c r="AE503" t="s">
        <v>221</v>
      </c>
      <c r="AG503" t="s">
        <v>121</v>
      </c>
      <c r="AH503" t="s">
        <v>327</v>
      </c>
      <c r="AI503" t="s">
        <v>121</v>
      </c>
      <c r="AJ503" t="s">
        <v>716</v>
      </c>
      <c r="AK503" t="s">
        <v>121</v>
      </c>
    </row>
    <row r="504" spans="9:37" x14ac:dyDescent="0.3">
      <c r="I504">
        <f ca="1">IF(OR(INDIRECT(A73&amp;ROW())=B93,INDIRECT(A73&amp;ROW())=B94),1,IF(AND(INDIRECT(A73&amp;ROW())=B95,INDIRECT(A96&amp;ROW())=C93),1,IF(AND(INDIRECT(A73&amp;ROW())=B95,INDIRECT(A96&amp;ROW())=C94),1,0)))</f>
        <v>0</v>
      </c>
      <c r="J504">
        <f ca="1">IF(AND(INDIRECT(A73&amp;ROW())=B95,INDIRECT(A96&amp;ROW())=C95),1,IF(AND(INDIRECT(A73&amp;ROW())=B95,INDIRECT(A96&amp;ROW())=C96),1,0))</f>
        <v>1</v>
      </c>
      <c r="K504">
        <f ca="1">DAYS360(INDIRECT(C68&amp;ROW()),TODAY())</f>
        <v>682</v>
      </c>
      <c r="L504">
        <f ca="1">DAYS360(INDIRECT(C69&amp;ROW()),TODAY())</f>
        <v>724</v>
      </c>
      <c r="M504">
        <f ca="1">HYPERLINK(CONCATENATE("https://bugzilla.houston.hp.com:1181/bugzilla/show_bug.cgi?id=",INDIRECT(C70&amp;ROW())),INDIRECT(C70&amp;ROW()))</f>
        <v>61423</v>
      </c>
      <c r="N504">
        <v>61423</v>
      </c>
      <c r="O504" t="s">
        <v>241</v>
      </c>
      <c r="P504" t="s">
        <v>976</v>
      </c>
      <c r="Q504" t="s">
        <v>25</v>
      </c>
      <c r="R504" t="s">
        <v>783</v>
      </c>
      <c r="S504" t="s">
        <v>552</v>
      </c>
      <c r="U504" s="6">
        <v>42165.645416666666</v>
      </c>
      <c r="V504" t="s">
        <v>18</v>
      </c>
      <c r="W504" t="s">
        <v>783</v>
      </c>
      <c r="X504" s="6">
        <v>42122.016192129631</v>
      </c>
      <c r="Y504" t="s">
        <v>119</v>
      </c>
      <c r="AB504" t="s">
        <v>201</v>
      </c>
      <c r="AC504" t="s">
        <v>247</v>
      </c>
      <c r="AD504" t="s">
        <v>222</v>
      </c>
      <c r="AE504" t="s">
        <v>221</v>
      </c>
      <c r="AG504" t="s">
        <v>121</v>
      </c>
      <c r="AH504" t="s">
        <v>327</v>
      </c>
      <c r="AI504" t="s">
        <v>121</v>
      </c>
      <c r="AJ504" t="s">
        <v>716</v>
      </c>
      <c r="AK504" t="s">
        <v>121</v>
      </c>
    </row>
    <row r="505" spans="9:37" x14ac:dyDescent="0.3">
      <c r="I505">
        <f ca="1">IF(OR(INDIRECT(A73&amp;ROW())=B93,INDIRECT(A73&amp;ROW())=B94),1,IF(AND(INDIRECT(A73&amp;ROW())=B95,INDIRECT(A96&amp;ROW())=C93),1,IF(AND(INDIRECT(A73&amp;ROW())=B95,INDIRECT(A96&amp;ROW())=C94),1,0)))</f>
        <v>0</v>
      </c>
      <c r="J505">
        <f ca="1">IF(AND(INDIRECT(A73&amp;ROW())=B95,INDIRECT(A96&amp;ROW())=C95),1,IF(AND(INDIRECT(A73&amp;ROW())=B95,INDIRECT(A96&amp;ROW())=C96),1,0))</f>
        <v>1</v>
      </c>
      <c r="K505">
        <f ca="1">DAYS360(INDIRECT(C68&amp;ROW()),TODAY())</f>
        <v>716</v>
      </c>
      <c r="L505">
        <f ca="1">DAYS360(INDIRECT(C69&amp;ROW()),TODAY())</f>
        <v>724</v>
      </c>
      <c r="M505">
        <f ca="1">HYPERLINK(CONCATENATE("https://bugzilla.houston.hp.com:1181/bugzilla/show_bug.cgi?id=",INDIRECT(C70&amp;ROW())),INDIRECT(C70&amp;ROW()))</f>
        <v>61424</v>
      </c>
      <c r="N505">
        <v>61424</v>
      </c>
      <c r="O505" t="s">
        <v>241</v>
      </c>
      <c r="P505" t="s">
        <v>975</v>
      </c>
      <c r="Q505" t="s">
        <v>25</v>
      </c>
      <c r="R505" t="s">
        <v>248</v>
      </c>
      <c r="S505" t="s">
        <v>552</v>
      </c>
      <c r="U505" s="6">
        <v>42130.354004629633</v>
      </c>
      <c r="V505" t="s">
        <v>18</v>
      </c>
      <c r="W505" t="s">
        <v>783</v>
      </c>
      <c r="X505" s="6">
        <v>42122.016284722224</v>
      </c>
      <c r="Y505" t="s">
        <v>119</v>
      </c>
      <c r="AB505" t="s">
        <v>201</v>
      </c>
      <c r="AC505" t="s">
        <v>247</v>
      </c>
      <c r="AD505" t="s">
        <v>222</v>
      </c>
      <c r="AE505" t="s">
        <v>221</v>
      </c>
      <c r="AG505" t="s">
        <v>121</v>
      </c>
      <c r="AH505" t="s">
        <v>327</v>
      </c>
      <c r="AI505" t="s">
        <v>121</v>
      </c>
      <c r="AJ505" t="s">
        <v>716</v>
      </c>
      <c r="AK505" t="s">
        <v>121</v>
      </c>
    </row>
    <row r="506" spans="9:37" x14ac:dyDescent="0.3">
      <c r="I506">
        <f ca="1">IF(OR(INDIRECT(A73&amp;ROW())=B93,INDIRECT(A73&amp;ROW())=B94),1,IF(AND(INDIRECT(A73&amp;ROW())=B95,INDIRECT(A96&amp;ROW())=C93),1,IF(AND(INDIRECT(A73&amp;ROW())=B95,INDIRECT(A96&amp;ROW())=C94),1,0)))</f>
        <v>0</v>
      </c>
      <c r="J506">
        <f ca="1">IF(AND(INDIRECT(A73&amp;ROW())=B95,INDIRECT(A96&amp;ROW())=C95),1,IF(AND(INDIRECT(A73&amp;ROW())=B95,INDIRECT(A96&amp;ROW())=C96),1,0))</f>
        <v>1</v>
      </c>
      <c r="K506">
        <f ca="1">DAYS360(INDIRECT(C68&amp;ROW()),TODAY())</f>
        <v>682</v>
      </c>
      <c r="L506">
        <f ca="1">DAYS360(INDIRECT(C69&amp;ROW()),TODAY())</f>
        <v>724</v>
      </c>
      <c r="M506">
        <f ca="1">HYPERLINK(CONCATENATE("https://bugzilla.houston.hp.com:1181/bugzilla/show_bug.cgi?id=",INDIRECT(C70&amp;ROW())),INDIRECT(C70&amp;ROW()))</f>
        <v>61468</v>
      </c>
      <c r="N506">
        <v>61468</v>
      </c>
      <c r="O506" t="s">
        <v>21</v>
      </c>
      <c r="P506" t="s">
        <v>988</v>
      </c>
      <c r="Q506" t="s">
        <v>25</v>
      </c>
      <c r="R506" t="s">
        <v>251</v>
      </c>
      <c r="S506" t="s">
        <v>177</v>
      </c>
      <c r="U506" s="6">
        <v>42165.65347222222</v>
      </c>
      <c r="V506" t="s">
        <v>18</v>
      </c>
      <c r="W506" t="s">
        <v>764</v>
      </c>
      <c r="X506" s="6">
        <v>42122.558807870373</v>
      </c>
      <c r="Y506" t="s">
        <v>245</v>
      </c>
      <c r="AB506" t="s">
        <v>201</v>
      </c>
      <c r="AC506" t="s">
        <v>247</v>
      </c>
      <c r="AD506" t="s">
        <v>222</v>
      </c>
      <c r="AE506" t="s">
        <v>232</v>
      </c>
      <c r="AG506" t="s">
        <v>121</v>
      </c>
      <c r="AH506" t="s">
        <v>327</v>
      </c>
      <c r="AI506" t="s">
        <v>121</v>
      </c>
      <c r="AJ506" t="s">
        <v>716</v>
      </c>
      <c r="AK506" t="s">
        <v>121</v>
      </c>
    </row>
    <row r="507" spans="9:37" x14ac:dyDescent="0.3">
      <c r="I507">
        <f ca="1">IF(OR(INDIRECT(A73&amp;ROW())=B93,INDIRECT(A73&amp;ROW())=B94),1,IF(AND(INDIRECT(A73&amp;ROW())=B95,INDIRECT(A96&amp;ROW())=C93),1,IF(AND(INDIRECT(A73&amp;ROW())=B95,INDIRECT(A96&amp;ROW())=C94),1,0)))</f>
        <v>0</v>
      </c>
      <c r="J507">
        <f ca="1">IF(AND(INDIRECT(A73&amp;ROW())=B95,INDIRECT(A96&amp;ROW())=C95),1,IF(AND(INDIRECT(A73&amp;ROW())=B95,INDIRECT(A96&amp;ROW())=C96),1,0))</f>
        <v>1</v>
      </c>
      <c r="K507">
        <f ca="1">DAYS360(INDIRECT(C68&amp;ROW()),TODAY())</f>
        <v>682</v>
      </c>
      <c r="L507">
        <f ca="1">DAYS360(INDIRECT(C69&amp;ROW()),TODAY())</f>
        <v>724</v>
      </c>
      <c r="M507">
        <f ca="1">HYPERLINK(CONCATENATE("https://bugzilla.houston.hp.com:1181/bugzilla/show_bug.cgi?id=",INDIRECT(C70&amp;ROW())),INDIRECT(C70&amp;ROW()))</f>
        <v>61474</v>
      </c>
      <c r="N507">
        <v>61474</v>
      </c>
      <c r="O507" t="s">
        <v>21</v>
      </c>
      <c r="P507" t="s">
        <v>987</v>
      </c>
      <c r="Q507" t="s">
        <v>25</v>
      </c>
      <c r="R507" t="s">
        <v>783</v>
      </c>
      <c r="S507" t="s">
        <v>552</v>
      </c>
      <c r="U507" s="6">
        <v>42165.577291666668</v>
      </c>
      <c r="V507" t="s">
        <v>18</v>
      </c>
      <c r="W507" t="s">
        <v>764</v>
      </c>
      <c r="X507" s="6">
        <v>42122.649710648147</v>
      </c>
      <c r="Y507" t="s">
        <v>245</v>
      </c>
      <c r="AB507" t="s">
        <v>201</v>
      </c>
      <c r="AC507" t="s">
        <v>247</v>
      </c>
      <c r="AD507" t="s">
        <v>222</v>
      </c>
      <c r="AE507" t="s">
        <v>232</v>
      </c>
      <c r="AG507" t="s">
        <v>121</v>
      </c>
      <c r="AH507" t="s">
        <v>327</v>
      </c>
      <c r="AI507" t="s">
        <v>121</v>
      </c>
      <c r="AJ507" t="s">
        <v>716</v>
      </c>
      <c r="AK507" t="s">
        <v>121</v>
      </c>
    </row>
    <row r="508" spans="9:37" x14ac:dyDescent="0.3">
      <c r="I508">
        <f ca="1">IF(OR(INDIRECT(A73&amp;ROW())=B93,INDIRECT(A73&amp;ROW())=B94),1,IF(AND(INDIRECT(A73&amp;ROW())=B95,INDIRECT(A96&amp;ROW())=C93),1,IF(AND(INDIRECT(A73&amp;ROW())=B95,INDIRECT(A96&amp;ROW())=C94),1,0)))</f>
        <v>0</v>
      </c>
      <c r="J508">
        <f ca="1">IF(AND(INDIRECT(A73&amp;ROW())=B95,INDIRECT(A96&amp;ROW())=C95),1,IF(AND(INDIRECT(A73&amp;ROW())=B95,INDIRECT(A96&amp;ROW())=C96),1,0))</f>
        <v>1</v>
      </c>
      <c r="K508">
        <f ca="1">DAYS360(INDIRECT(C68&amp;ROW()),TODAY())</f>
        <v>724</v>
      </c>
      <c r="L508">
        <f ca="1">DAYS360(INDIRECT(C69&amp;ROW()),TODAY())</f>
        <v>724</v>
      </c>
      <c r="M508">
        <f ca="1">HYPERLINK(CONCATENATE("https://bugzilla.houston.hp.com:1181/bugzilla/show_bug.cgi?id=",INDIRECT(C70&amp;ROW())),INDIRECT(C70&amp;ROW()))</f>
        <v>61475</v>
      </c>
      <c r="N508">
        <v>61475</v>
      </c>
      <c r="O508" t="s">
        <v>21</v>
      </c>
      <c r="P508" t="s">
        <v>986</v>
      </c>
      <c r="Q508" t="s">
        <v>25</v>
      </c>
      <c r="R508" t="s">
        <v>248</v>
      </c>
      <c r="S508" t="s">
        <v>552</v>
      </c>
      <c r="U508" s="6">
        <v>42122.649768518517</v>
      </c>
      <c r="V508" t="s">
        <v>18</v>
      </c>
      <c r="W508" t="s">
        <v>764</v>
      </c>
      <c r="X508" s="6">
        <v>42122.649768518517</v>
      </c>
      <c r="Y508" t="s">
        <v>245</v>
      </c>
      <c r="AB508" t="s">
        <v>201</v>
      </c>
      <c r="AC508" t="s">
        <v>247</v>
      </c>
      <c r="AD508" t="s">
        <v>222</v>
      </c>
      <c r="AE508" t="s">
        <v>232</v>
      </c>
      <c r="AG508" t="s">
        <v>121</v>
      </c>
      <c r="AH508" t="s">
        <v>327</v>
      </c>
      <c r="AI508" t="s">
        <v>121</v>
      </c>
      <c r="AJ508" t="s">
        <v>716</v>
      </c>
      <c r="AK508" t="s">
        <v>121</v>
      </c>
    </row>
    <row r="509" spans="9:37" x14ac:dyDescent="0.3">
      <c r="I509">
        <f ca="1">IF(OR(INDIRECT(A73&amp;ROW())=B93,INDIRECT(A73&amp;ROW())=B94),1,IF(AND(INDIRECT(A73&amp;ROW())=B95,INDIRECT(A96&amp;ROW())=C93),1,IF(AND(INDIRECT(A73&amp;ROW())=B95,INDIRECT(A96&amp;ROW())=C94),1,0)))</f>
        <v>0</v>
      </c>
      <c r="J509">
        <f ca="1">IF(AND(INDIRECT(A73&amp;ROW())=B95,INDIRECT(A96&amp;ROW())=C95),1,IF(AND(INDIRECT(A73&amp;ROW())=B95,INDIRECT(A96&amp;ROW())=C96),1,0))</f>
        <v>0</v>
      </c>
      <c r="K509">
        <f ca="1">DAYS360(INDIRECT(C68&amp;ROW()),TODAY())</f>
        <v>681</v>
      </c>
      <c r="L509">
        <f ca="1">DAYS360(INDIRECT(C69&amp;ROW()),TODAY())</f>
        <v>723</v>
      </c>
      <c r="M509">
        <f ca="1">HYPERLINK(CONCATENATE("https://bugzilla.houston.hp.com:1181/bugzilla/show_bug.cgi?id=",INDIRECT(C70&amp;ROW())),INDIRECT(C70&amp;ROW()))</f>
        <v>61487</v>
      </c>
      <c r="N509">
        <v>61487</v>
      </c>
      <c r="O509" t="s">
        <v>56</v>
      </c>
      <c r="P509" t="s">
        <v>984</v>
      </c>
      <c r="Q509" t="s">
        <v>16</v>
      </c>
      <c r="R509" t="s">
        <v>248</v>
      </c>
      <c r="S509" t="s">
        <v>552</v>
      </c>
      <c r="U509" s="6">
        <v>42166.356678240743</v>
      </c>
      <c r="V509" t="s">
        <v>18</v>
      </c>
      <c r="W509" t="s">
        <v>764</v>
      </c>
      <c r="X509" s="6">
        <v>42123.016111111108</v>
      </c>
      <c r="Y509" t="s">
        <v>124</v>
      </c>
      <c r="AB509" t="s">
        <v>200</v>
      </c>
      <c r="AC509" t="s">
        <v>247</v>
      </c>
      <c r="AD509" t="s">
        <v>220</v>
      </c>
      <c r="AE509" t="s">
        <v>219</v>
      </c>
      <c r="AG509" t="s">
        <v>121</v>
      </c>
      <c r="AH509" t="s">
        <v>327</v>
      </c>
      <c r="AI509" t="s">
        <v>121</v>
      </c>
      <c r="AJ509" t="s">
        <v>716</v>
      </c>
      <c r="AK509" t="s">
        <v>121</v>
      </c>
    </row>
    <row r="510" spans="9:37" x14ac:dyDescent="0.3">
      <c r="I510">
        <f ca="1">IF(OR(INDIRECT(A73&amp;ROW())=B93,INDIRECT(A73&amp;ROW())=B94),1,IF(AND(INDIRECT(A73&amp;ROW())=B95,INDIRECT(A96&amp;ROW())=C93),1,IF(AND(INDIRECT(A73&amp;ROW())=B95,INDIRECT(A96&amp;ROW())=C94),1,0)))</f>
        <v>1</v>
      </c>
      <c r="J510">
        <f ca="1">IF(AND(INDIRECT(A73&amp;ROW())=B95,INDIRECT(A96&amp;ROW())=C95),1,IF(AND(INDIRECT(A73&amp;ROW())=B95,INDIRECT(A96&amp;ROW())=C96),1,0))</f>
        <v>0</v>
      </c>
      <c r="K510">
        <f ca="1">DAYS360(INDIRECT(C68&amp;ROW()),TODAY())</f>
        <v>683</v>
      </c>
      <c r="L510">
        <f ca="1">DAYS360(INDIRECT(C69&amp;ROW()),TODAY())</f>
        <v>723</v>
      </c>
      <c r="M510">
        <f ca="1">HYPERLINK(CONCATENATE("https://bugzilla.houston.hp.com:1181/bugzilla/show_bug.cgi?id=",INDIRECT(C70&amp;ROW())),INDIRECT(C70&amp;ROW()))</f>
        <v>61543</v>
      </c>
      <c r="N510">
        <v>61543</v>
      </c>
      <c r="O510" t="s">
        <v>1202</v>
      </c>
      <c r="P510" t="s">
        <v>1250</v>
      </c>
      <c r="Q510" t="s">
        <v>25</v>
      </c>
      <c r="R510" t="s">
        <v>251</v>
      </c>
      <c r="S510" t="s">
        <v>296</v>
      </c>
      <c r="U510" s="6">
        <v>42164.448750000003</v>
      </c>
      <c r="V510" t="s">
        <v>35</v>
      </c>
      <c r="W510" t="s">
        <v>17</v>
      </c>
      <c r="X510" s="6">
        <v>42123.449548611112</v>
      </c>
      <c r="Y510" t="s">
        <v>125</v>
      </c>
      <c r="AB510" t="s">
        <v>200</v>
      </c>
      <c r="AC510" t="s">
        <v>247</v>
      </c>
      <c r="AD510" t="s">
        <v>220</v>
      </c>
      <c r="AE510" t="s">
        <v>224</v>
      </c>
      <c r="AG510" t="s">
        <v>121</v>
      </c>
      <c r="AH510" t="s">
        <v>327</v>
      </c>
      <c r="AI510" t="s">
        <v>121</v>
      </c>
      <c r="AJ510" t="s">
        <v>715</v>
      </c>
      <c r="AK510" t="s">
        <v>121</v>
      </c>
    </row>
    <row r="511" spans="9:37" x14ac:dyDescent="0.3">
      <c r="I511">
        <f ca="1">IF(OR(INDIRECT(A73&amp;ROW())=B93,INDIRECT(A73&amp;ROW())=B94),1,IF(AND(INDIRECT(A73&amp;ROW())=B95,INDIRECT(A96&amp;ROW())=C93),1,IF(AND(INDIRECT(A73&amp;ROW())=B95,INDIRECT(A96&amp;ROW())=C94),1,0)))</f>
        <v>1</v>
      </c>
      <c r="J511">
        <f ca="1">IF(AND(INDIRECT(A73&amp;ROW())=B95,INDIRECT(A96&amp;ROW())=C95),1,IF(AND(INDIRECT(A73&amp;ROW())=B95,INDIRECT(A96&amp;ROW())=C96),1,0))</f>
        <v>0</v>
      </c>
      <c r="K511">
        <f ca="1">DAYS360(INDIRECT(C68&amp;ROW()),TODAY())</f>
        <v>680</v>
      </c>
      <c r="L511">
        <f ca="1">DAYS360(INDIRECT(C69&amp;ROW()),TODAY())</f>
        <v>723</v>
      </c>
      <c r="M511">
        <f ca="1">HYPERLINK(CONCATENATE("https://bugzilla.houston.hp.com:1181/bugzilla/show_bug.cgi?id=",INDIRECT(C70&amp;ROW())),INDIRECT(C70&amp;ROW()))</f>
        <v>61546</v>
      </c>
      <c r="N511">
        <v>61546</v>
      </c>
      <c r="O511" t="s">
        <v>919</v>
      </c>
      <c r="P511" t="s">
        <v>1249</v>
      </c>
      <c r="Q511" t="s">
        <v>25</v>
      </c>
      <c r="R511" t="s">
        <v>783</v>
      </c>
      <c r="S511" t="s">
        <v>552</v>
      </c>
      <c r="U511" s="6">
        <v>42167.30028935185</v>
      </c>
      <c r="V511" t="s">
        <v>18</v>
      </c>
      <c r="W511" t="s">
        <v>17</v>
      </c>
      <c r="X511" s="6">
        <v>42123.465462962966</v>
      </c>
      <c r="Y511" t="s">
        <v>125</v>
      </c>
      <c r="AB511" t="s">
        <v>200</v>
      </c>
      <c r="AC511" t="s">
        <v>247</v>
      </c>
      <c r="AD511" t="s">
        <v>220</v>
      </c>
      <c r="AE511" t="s">
        <v>224</v>
      </c>
      <c r="AG511" t="s">
        <v>337</v>
      </c>
      <c r="AH511" t="s">
        <v>327</v>
      </c>
      <c r="AI511" t="s">
        <v>121</v>
      </c>
      <c r="AJ511" t="s">
        <v>715</v>
      </c>
      <c r="AK511" t="s">
        <v>1133</v>
      </c>
    </row>
    <row r="512" spans="9:37" x14ac:dyDescent="0.3">
      <c r="I512">
        <f ca="1">IF(OR(INDIRECT(A73&amp;ROW())=B93,INDIRECT(A73&amp;ROW())=B94),1,IF(AND(INDIRECT(A73&amp;ROW())=B95,INDIRECT(A96&amp;ROW())=C93),1,IF(AND(INDIRECT(A73&amp;ROW())=B95,INDIRECT(A96&amp;ROW())=C94),1,0)))</f>
        <v>1</v>
      </c>
      <c r="J512">
        <f ca="1">IF(AND(INDIRECT(A73&amp;ROW())=B95,INDIRECT(A96&amp;ROW())=C95),1,IF(AND(INDIRECT(A73&amp;ROW())=B95,INDIRECT(A96&amp;ROW())=C96),1,0))</f>
        <v>0</v>
      </c>
      <c r="K512">
        <f ca="1">DAYS360(INDIRECT(C68&amp;ROW()),TODAY())</f>
        <v>683</v>
      </c>
      <c r="L512">
        <f ca="1">DAYS360(INDIRECT(C69&amp;ROW()),TODAY())</f>
        <v>723</v>
      </c>
      <c r="M512">
        <f ca="1">HYPERLINK(CONCATENATE("https://bugzilla.houston.hp.com:1181/bugzilla/show_bug.cgi?id=",INDIRECT(C70&amp;ROW())),INDIRECT(C70&amp;ROW()))</f>
        <v>61547</v>
      </c>
      <c r="N512">
        <v>61547</v>
      </c>
      <c r="O512" t="s">
        <v>43</v>
      </c>
      <c r="P512" t="s">
        <v>1248</v>
      </c>
      <c r="Q512" t="s">
        <v>25</v>
      </c>
      <c r="R512" t="s">
        <v>248</v>
      </c>
      <c r="S512" t="s">
        <v>552</v>
      </c>
      <c r="U512" s="6">
        <v>42164.448344907411</v>
      </c>
      <c r="V512" t="s">
        <v>18</v>
      </c>
      <c r="W512" t="s">
        <v>17</v>
      </c>
      <c r="X512" s="6">
        <v>42123.465532407405</v>
      </c>
      <c r="Y512" t="s">
        <v>125</v>
      </c>
      <c r="AB512" t="s">
        <v>200</v>
      </c>
      <c r="AC512" t="s">
        <v>247</v>
      </c>
      <c r="AD512" t="s">
        <v>220</v>
      </c>
      <c r="AE512" t="s">
        <v>224</v>
      </c>
      <c r="AG512" t="s">
        <v>121</v>
      </c>
      <c r="AH512" t="s">
        <v>327</v>
      </c>
      <c r="AI512" t="s">
        <v>121</v>
      </c>
      <c r="AJ512" t="s">
        <v>715</v>
      </c>
      <c r="AK512" t="s">
        <v>121</v>
      </c>
    </row>
    <row r="513" spans="9:37" x14ac:dyDescent="0.3">
      <c r="I513">
        <f ca="1">IF(OR(INDIRECT(A73&amp;ROW())=B93,INDIRECT(A73&amp;ROW())=B94),1,IF(AND(INDIRECT(A73&amp;ROW())=B95,INDIRECT(A96&amp;ROW())=C93),1,IF(AND(INDIRECT(A73&amp;ROW())=B95,INDIRECT(A96&amp;ROW())=C94),1,0)))</f>
        <v>0</v>
      </c>
      <c r="J513">
        <f ca="1">IF(AND(INDIRECT(A73&amp;ROW())=B95,INDIRECT(A96&amp;ROW())=C95),1,IF(AND(INDIRECT(A73&amp;ROW())=B95,INDIRECT(A96&amp;ROW())=C96),1,0))</f>
        <v>1</v>
      </c>
      <c r="K513">
        <f ca="1">DAYS360(INDIRECT(C68&amp;ROW()),TODAY())</f>
        <v>681</v>
      </c>
      <c r="L513">
        <f ca="1">DAYS360(INDIRECT(C69&amp;ROW()),TODAY())</f>
        <v>723</v>
      </c>
      <c r="M513">
        <f ca="1">HYPERLINK(CONCATENATE("https://bugzilla.houston.hp.com:1181/bugzilla/show_bug.cgi?id=",INDIRECT(C70&amp;ROW())),INDIRECT(C70&amp;ROW()))</f>
        <v>61555</v>
      </c>
      <c r="N513">
        <v>61555</v>
      </c>
      <c r="O513" t="s">
        <v>21</v>
      </c>
      <c r="P513" t="s">
        <v>997</v>
      </c>
      <c r="Q513" t="s">
        <v>25</v>
      </c>
      <c r="R513" t="s">
        <v>251</v>
      </c>
      <c r="S513" t="s">
        <v>365</v>
      </c>
      <c r="U513" s="6">
        <v>42166.567048611112</v>
      </c>
      <c r="V513" t="s">
        <v>18</v>
      </c>
      <c r="W513" t="s">
        <v>783</v>
      </c>
      <c r="X513" s="6">
        <v>42123.566493055558</v>
      </c>
      <c r="Y513" t="s">
        <v>246</v>
      </c>
      <c r="AB513" t="s">
        <v>201</v>
      </c>
      <c r="AC513" t="s">
        <v>247</v>
      </c>
      <c r="AD513" t="s">
        <v>227</v>
      </c>
      <c r="AE513" t="s">
        <v>237</v>
      </c>
      <c r="AG513" t="s">
        <v>121</v>
      </c>
      <c r="AH513" t="s">
        <v>327</v>
      </c>
      <c r="AI513" t="s">
        <v>121</v>
      </c>
      <c r="AJ513" t="s">
        <v>716</v>
      </c>
      <c r="AK513" t="s">
        <v>121</v>
      </c>
    </row>
    <row r="514" spans="9:37" x14ac:dyDescent="0.3">
      <c r="I514">
        <f ca="1">IF(OR(INDIRECT(A73&amp;ROW())=B93,INDIRECT(A73&amp;ROW())=B94),1,IF(AND(INDIRECT(A73&amp;ROW())=B95,INDIRECT(A96&amp;ROW())=C93),1,IF(AND(INDIRECT(A73&amp;ROW())=B95,INDIRECT(A96&amp;ROW())=C94),1,0)))</f>
        <v>0</v>
      </c>
      <c r="J514">
        <f ca="1">IF(AND(INDIRECT(A73&amp;ROW())=B95,INDIRECT(A96&amp;ROW())=C95),1,IF(AND(INDIRECT(A73&amp;ROW())=B95,INDIRECT(A96&amp;ROW())=C96),1,0))</f>
        <v>1</v>
      </c>
      <c r="K514">
        <f ca="1">DAYS360(INDIRECT(C68&amp;ROW()),TODAY())</f>
        <v>675</v>
      </c>
      <c r="L514">
        <f ca="1">DAYS360(INDIRECT(C69&amp;ROW()),TODAY())</f>
        <v>723</v>
      </c>
      <c r="M514">
        <f ca="1">HYPERLINK(CONCATENATE("https://bugzilla.houston.hp.com:1181/bugzilla/show_bug.cgi?id=",INDIRECT(C70&amp;ROW())),INDIRECT(C70&amp;ROW()))</f>
        <v>61557</v>
      </c>
      <c r="N514">
        <v>61557</v>
      </c>
      <c r="O514" t="s">
        <v>45</v>
      </c>
      <c r="P514" t="s">
        <v>996</v>
      </c>
      <c r="Q514" t="s">
        <v>25</v>
      </c>
      <c r="R514" t="s">
        <v>783</v>
      </c>
      <c r="S514" t="s">
        <v>552</v>
      </c>
      <c r="U514" s="6">
        <v>42172.478831018518</v>
      </c>
      <c r="V514" t="s">
        <v>18</v>
      </c>
      <c r="W514" t="s">
        <v>783</v>
      </c>
      <c r="X514" s="6">
        <v>42123.621203703704</v>
      </c>
      <c r="Y514" t="s">
        <v>246</v>
      </c>
      <c r="AB514" t="s">
        <v>201</v>
      </c>
      <c r="AC514" t="s">
        <v>247</v>
      </c>
      <c r="AD514" t="s">
        <v>227</v>
      </c>
      <c r="AE514" t="s">
        <v>237</v>
      </c>
      <c r="AG514" t="s">
        <v>121</v>
      </c>
      <c r="AH514" t="s">
        <v>327</v>
      </c>
      <c r="AI514" t="s">
        <v>121</v>
      </c>
      <c r="AJ514" t="s">
        <v>716</v>
      </c>
      <c r="AK514" t="s">
        <v>121</v>
      </c>
    </row>
    <row r="515" spans="9:37" x14ac:dyDescent="0.3">
      <c r="I515">
        <f ca="1">IF(OR(INDIRECT(A73&amp;ROW())=B93,INDIRECT(A73&amp;ROW())=B94),1,IF(AND(INDIRECT(A73&amp;ROW())=B95,INDIRECT(A96&amp;ROW())=C93),1,IF(AND(INDIRECT(A73&amp;ROW())=B95,INDIRECT(A96&amp;ROW())=C94),1,0)))</f>
        <v>0</v>
      </c>
      <c r="J515">
        <f ca="1">IF(AND(INDIRECT(A73&amp;ROW())=B95,INDIRECT(A96&amp;ROW())=C95),1,IF(AND(INDIRECT(A73&amp;ROW())=B95,INDIRECT(A96&amp;ROW())=C96),1,0))</f>
        <v>1</v>
      </c>
      <c r="K515">
        <f ca="1">DAYS360(INDIRECT(C68&amp;ROW()),TODAY())</f>
        <v>723</v>
      </c>
      <c r="L515">
        <f ca="1">DAYS360(INDIRECT(C69&amp;ROW()),TODAY())</f>
        <v>723</v>
      </c>
      <c r="M515">
        <f ca="1">HYPERLINK(CONCATENATE("https://bugzilla.houston.hp.com:1181/bugzilla/show_bug.cgi?id=",INDIRECT(C70&amp;ROW())),INDIRECT(C70&amp;ROW()))</f>
        <v>61558</v>
      </c>
      <c r="N515">
        <v>61558</v>
      </c>
      <c r="O515" t="s">
        <v>45</v>
      </c>
      <c r="P515" t="s">
        <v>995</v>
      </c>
      <c r="Q515" t="s">
        <v>25</v>
      </c>
      <c r="R515" t="s">
        <v>248</v>
      </c>
      <c r="S515" t="s">
        <v>552</v>
      </c>
      <c r="U515" s="6">
        <v>42123.621261574073</v>
      </c>
      <c r="V515" t="s">
        <v>18</v>
      </c>
      <c r="W515" t="s">
        <v>783</v>
      </c>
      <c r="X515" s="6">
        <v>42123.621261574073</v>
      </c>
      <c r="Y515" t="s">
        <v>246</v>
      </c>
      <c r="AB515" t="s">
        <v>201</v>
      </c>
      <c r="AC515" t="s">
        <v>247</v>
      </c>
      <c r="AD515" t="s">
        <v>227</v>
      </c>
      <c r="AE515" t="s">
        <v>237</v>
      </c>
      <c r="AG515" t="s">
        <v>121</v>
      </c>
      <c r="AH515" t="s">
        <v>327</v>
      </c>
      <c r="AI515" t="s">
        <v>121</v>
      </c>
      <c r="AJ515" t="s">
        <v>716</v>
      </c>
      <c r="AK515" t="s">
        <v>121</v>
      </c>
    </row>
    <row r="516" spans="9:37" x14ac:dyDescent="0.3">
      <c r="I516">
        <f ca="1">IF(OR(INDIRECT(A73&amp;ROW())=B93,INDIRECT(A73&amp;ROW())=B94),1,IF(AND(INDIRECT(A73&amp;ROW())=B95,INDIRECT(A96&amp;ROW())=C93),1,IF(AND(INDIRECT(A73&amp;ROW())=B95,INDIRECT(A96&amp;ROW())=C94),1,0)))</f>
        <v>0</v>
      </c>
      <c r="J516">
        <f ca="1">IF(AND(INDIRECT(A73&amp;ROW())=B95,INDIRECT(A96&amp;ROW())=C95),1,IF(AND(INDIRECT(A73&amp;ROW())=B95,INDIRECT(A96&amp;ROW())=C96),1,0))</f>
        <v>0</v>
      </c>
      <c r="K516">
        <f ca="1">DAYS360(INDIRECT(C68&amp;ROW()),TODAY())</f>
        <v>717</v>
      </c>
      <c r="L516">
        <f ca="1">DAYS360(INDIRECT(C69&amp;ROW()),TODAY())</f>
        <v>723</v>
      </c>
      <c r="M516">
        <f ca="1">HYPERLINK(CONCATENATE("https://bugzilla.houston.hp.com:1181/bugzilla/show_bug.cgi?id=",INDIRECT(C70&amp;ROW())),INDIRECT(C70&amp;ROW()))</f>
        <v>61563</v>
      </c>
      <c r="N516">
        <v>61563</v>
      </c>
      <c r="O516" t="s">
        <v>19</v>
      </c>
      <c r="P516" t="s">
        <v>994</v>
      </c>
      <c r="Q516" t="s">
        <v>16</v>
      </c>
      <c r="R516" t="s">
        <v>251</v>
      </c>
      <c r="S516" t="s">
        <v>917</v>
      </c>
      <c r="U516" s="6">
        <v>42129.601030092592</v>
      </c>
      <c r="V516" t="s">
        <v>18</v>
      </c>
      <c r="W516" t="s">
        <v>783</v>
      </c>
      <c r="X516" s="6">
        <v>42123.659282407411</v>
      </c>
      <c r="Y516" t="s">
        <v>846</v>
      </c>
      <c r="AB516" t="s">
        <v>201</v>
      </c>
      <c r="AC516" t="s">
        <v>247</v>
      </c>
      <c r="AD516" t="s">
        <v>220</v>
      </c>
      <c r="AE516" t="s">
        <v>290</v>
      </c>
      <c r="AG516" t="s">
        <v>121</v>
      </c>
      <c r="AH516" t="s">
        <v>327</v>
      </c>
      <c r="AI516" t="s">
        <v>121</v>
      </c>
      <c r="AJ516" t="s">
        <v>717</v>
      </c>
      <c r="AK516" t="s">
        <v>121</v>
      </c>
    </row>
    <row r="517" spans="9:37" x14ac:dyDescent="0.3">
      <c r="I517">
        <f ca="1">IF(OR(INDIRECT(A73&amp;ROW())=B93,INDIRECT(A73&amp;ROW())=B94),1,IF(AND(INDIRECT(A73&amp;ROW())=B95,INDIRECT(A96&amp;ROW())=C93),1,IF(AND(INDIRECT(A73&amp;ROW())=B95,INDIRECT(A96&amp;ROW())=C94),1,0)))</f>
        <v>0</v>
      </c>
      <c r="J517">
        <f ca="1">IF(AND(INDIRECT(A73&amp;ROW())=B95,INDIRECT(A96&amp;ROW())=C95),1,IF(AND(INDIRECT(A73&amp;ROW())=B95,INDIRECT(A96&amp;ROW())=C96),1,0))</f>
        <v>0</v>
      </c>
      <c r="K517">
        <f ca="1">DAYS360(INDIRECT(C68&amp;ROW()),TODAY())</f>
        <v>722</v>
      </c>
      <c r="L517">
        <f ca="1">DAYS360(INDIRECT(C69&amp;ROW()),TODAY())</f>
        <v>722</v>
      </c>
      <c r="M517">
        <f ca="1">HYPERLINK(CONCATENATE("https://bugzilla.houston.hp.com:1181/bugzilla/show_bug.cgi?id=",INDIRECT(C70&amp;ROW())),INDIRECT(C70&amp;ROW()))</f>
        <v>61617</v>
      </c>
      <c r="N517">
        <v>61617</v>
      </c>
      <c r="O517" t="s">
        <v>19</v>
      </c>
      <c r="P517" t="s">
        <v>993</v>
      </c>
      <c r="Q517" t="s">
        <v>16</v>
      </c>
      <c r="R517" t="s">
        <v>783</v>
      </c>
      <c r="S517" t="s">
        <v>552</v>
      </c>
      <c r="U517" s="6">
        <v>42124.327418981484</v>
      </c>
      <c r="V517" t="s">
        <v>18</v>
      </c>
      <c r="W517" t="s">
        <v>783</v>
      </c>
      <c r="X517" s="6">
        <v>42124.327418981484</v>
      </c>
      <c r="Y517" t="s">
        <v>846</v>
      </c>
      <c r="AB517" t="s">
        <v>201</v>
      </c>
      <c r="AC517" t="s">
        <v>247</v>
      </c>
      <c r="AD517" t="s">
        <v>220</v>
      </c>
      <c r="AE517" t="s">
        <v>290</v>
      </c>
      <c r="AG517" t="s">
        <v>121</v>
      </c>
      <c r="AH517" t="s">
        <v>327</v>
      </c>
      <c r="AI517" t="s">
        <v>121</v>
      </c>
      <c r="AJ517" t="s">
        <v>717</v>
      </c>
      <c r="AK517" t="s">
        <v>121</v>
      </c>
    </row>
    <row r="518" spans="9:37" x14ac:dyDescent="0.3">
      <c r="I518">
        <f ca="1">IF(OR(INDIRECT(A73&amp;ROW())=B93,INDIRECT(A73&amp;ROW())=B94),1,IF(AND(INDIRECT(A73&amp;ROW())=B95,INDIRECT(A96&amp;ROW())=C93),1,IF(AND(INDIRECT(A73&amp;ROW())=B95,INDIRECT(A96&amp;ROW())=C94),1,0)))</f>
        <v>0</v>
      </c>
      <c r="J518">
        <f ca="1">IF(AND(INDIRECT(A73&amp;ROW())=B95,INDIRECT(A96&amp;ROW())=C95),1,IF(AND(INDIRECT(A73&amp;ROW())=B95,INDIRECT(A96&amp;ROW())=C96),1,0))</f>
        <v>0</v>
      </c>
      <c r="K518">
        <f ca="1">DAYS360(INDIRECT(C68&amp;ROW()),TODAY())</f>
        <v>722</v>
      </c>
      <c r="L518">
        <f ca="1">DAYS360(INDIRECT(C69&amp;ROW()),TODAY())</f>
        <v>722</v>
      </c>
      <c r="M518">
        <f ca="1">HYPERLINK(CONCATENATE("https://bugzilla.houston.hp.com:1181/bugzilla/show_bug.cgi?id=",INDIRECT(C70&amp;ROW())),INDIRECT(C70&amp;ROW()))</f>
        <v>61618</v>
      </c>
      <c r="N518">
        <v>61618</v>
      </c>
      <c r="O518" t="s">
        <v>19</v>
      </c>
      <c r="P518" t="s">
        <v>992</v>
      </c>
      <c r="Q518" t="s">
        <v>16</v>
      </c>
      <c r="R518" t="s">
        <v>248</v>
      </c>
      <c r="S518" t="s">
        <v>552</v>
      </c>
      <c r="U518" s="6">
        <v>42124.327488425923</v>
      </c>
      <c r="V518" t="s">
        <v>18</v>
      </c>
      <c r="W518" t="s">
        <v>783</v>
      </c>
      <c r="X518" s="6">
        <v>42124.327488425923</v>
      </c>
      <c r="Y518" t="s">
        <v>846</v>
      </c>
      <c r="AB518" t="s">
        <v>201</v>
      </c>
      <c r="AC518" t="s">
        <v>247</v>
      </c>
      <c r="AD518" t="s">
        <v>220</v>
      </c>
      <c r="AE518" t="s">
        <v>290</v>
      </c>
      <c r="AG518" t="s">
        <v>121</v>
      </c>
      <c r="AH518" t="s">
        <v>327</v>
      </c>
      <c r="AI518" t="s">
        <v>121</v>
      </c>
      <c r="AJ518" t="s">
        <v>717</v>
      </c>
      <c r="AK518" t="s">
        <v>121</v>
      </c>
    </row>
    <row r="519" spans="9:37" x14ac:dyDescent="0.3">
      <c r="I519">
        <f ca="1">IF(OR(INDIRECT(A73&amp;ROW())=B93,INDIRECT(A73&amp;ROW())=B94),1,IF(AND(INDIRECT(A73&amp;ROW())=B95,INDIRECT(A96&amp;ROW())=C93),1,IF(AND(INDIRECT(A73&amp;ROW())=B95,INDIRECT(A96&amp;ROW())=C94),1,0)))</f>
        <v>0</v>
      </c>
      <c r="J519">
        <f ca="1">IF(AND(INDIRECT(A73&amp;ROW())=B95,INDIRECT(A96&amp;ROW())=C95),1,IF(AND(INDIRECT(A73&amp;ROW())=B95,INDIRECT(A96&amp;ROW())=C96),1,0))</f>
        <v>0</v>
      </c>
      <c r="K519">
        <f ca="1">DAYS360(INDIRECT(C68&amp;ROW()),TODAY())</f>
        <v>681</v>
      </c>
      <c r="L519">
        <f ca="1">DAYS360(INDIRECT(C69&amp;ROW()),TODAY())</f>
        <v>722</v>
      </c>
      <c r="M519">
        <f ca="1">HYPERLINK(CONCATENATE("https://bugzilla.houston.hp.com:1181/bugzilla/show_bug.cgi?id=",INDIRECT(C70&amp;ROW())),INDIRECT(C70&amp;ROW()))</f>
        <v>61626</v>
      </c>
      <c r="N519">
        <v>61626</v>
      </c>
      <c r="O519" t="s">
        <v>241</v>
      </c>
      <c r="P519" t="s">
        <v>991</v>
      </c>
      <c r="Q519" t="s">
        <v>16</v>
      </c>
      <c r="R519" t="s">
        <v>251</v>
      </c>
      <c r="S519" t="s">
        <v>296</v>
      </c>
      <c r="T519" t="s">
        <v>794</v>
      </c>
      <c r="U519" s="6">
        <v>42166.569074074076</v>
      </c>
      <c r="V519" t="s">
        <v>18</v>
      </c>
      <c r="W519" t="s">
        <v>17</v>
      </c>
      <c r="X519" s="6">
        <v>42124.338078703702</v>
      </c>
      <c r="Y519" t="s">
        <v>122</v>
      </c>
      <c r="AB519" t="s">
        <v>200</v>
      </c>
      <c r="AC519" t="s">
        <v>933</v>
      </c>
      <c r="AD519" t="s">
        <v>222</v>
      </c>
      <c r="AE519" t="s">
        <v>221</v>
      </c>
      <c r="AG519" t="s">
        <v>121</v>
      </c>
      <c r="AH519" t="s">
        <v>327</v>
      </c>
      <c r="AI519" t="s">
        <v>121</v>
      </c>
      <c r="AJ519" t="s">
        <v>716</v>
      </c>
      <c r="AK519" t="s">
        <v>121</v>
      </c>
    </row>
    <row r="520" spans="9:37" x14ac:dyDescent="0.3">
      <c r="I520">
        <f ca="1">IF(OR(INDIRECT(A73&amp;ROW())=B93,INDIRECT(A73&amp;ROW())=B94),1,IF(AND(INDIRECT(A73&amp;ROW())=B95,INDIRECT(A96&amp;ROW())=C93),1,IF(AND(INDIRECT(A73&amp;ROW())=B95,INDIRECT(A96&amp;ROW())=C94),1,0)))</f>
        <v>0</v>
      </c>
      <c r="J520">
        <f ca="1">IF(AND(INDIRECT(A73&amp;ROW())=B95,INDIRECT(A96&amp;ROW())=C95),1,IF(AND(INDIRECT(A73&amp;ROW())=B95,INDIRECT(A96&amp;ROW())=C96),1,0))</f>
        <v>0</v>
      </c>
      <c r="K520">
        <f ca="1">DAYS360(INDIRECT(C68&amp;ROW()),TODAY())</f>
        <v>675</v>
      </c>
      <c r="L520">
        <f ca="1">DAYS360(INDIRECT(C69&amp;ROW()),TODAY())</f>
        <v>722</v>
      </c>
      <c r="M520">
        <f ca="1">HYPERLINK(CONCATENATE("https://bugzilla.houston.hp.com:1181/bugzilla/show_bug.cgi?id=",INDIRECT(C70&amp;ROW())),INDIRECT(C70&amp;ROW()))</f>
        <v>61630</v>
      </c>
      <c r="N520">
        <v>61630</v>
      </c>
      <c r="O520" t="s">
        <v>241</v>
      </c>
      <c r="P520" t="s">
        <v>990</v>
      </c>
      <c r="Q520" t="s">
        <v>16</v>
      </c>
      <c r="R520" t="s">
        <v>783</v>
      </c>
      <c r="S520" t="s">
        <v>552</v>
      </c>
      <c r="T520" t="s">
        <v>794</v>
      </c>
      <c r="U520" s="6">
        <v>42172.479513888888</v>
      </c>
      <c r="V520" t="s">
        <v>18</v>
      </c>
      <c r="W520" t="s">
        <v>17</v>
      </c>
      <c r="X520" s="6">
        <v>42124.355034722219</v>
      </c>
      <c r="Y520" t="s">
        <v>122</v>
      </c>
      <c r="AB520" t="s">
        <v>200</v>
      </c>
      <c r="AC520" t="s">
        <v>933</v>
      </c>
      <c r="AD520" t="s">
        <v>222</v>
      </c>
      <c r="AE520" t="s">
        <v>221</v>
      </c>
      <c r="AG520" t="s">
        <v>121</v>
      </c>
      <c r="AH520" t="s">
        <v>327</v>
      </c>
      <c r="AI520" t="s">
        <v>121</v>
      </c>
      <c r="AJ520" t="s">
        <v>716</v>
      </c>
      <c r="AK520" t="s">
        <v>121</v>
      </c>
    </row>
    <row r="521" spans="9:37" x14ac:dyDescent="0.3">
      <c r="I521">
        <f ca="1">IF(OR(INDIRECT(A73&amp;ROW())=B93,INDIRECT(A73&amp;ROW())=B94),1,IF(AND(INDIRECT(A73&amp;ROW())=B95,INDIRECT(A96&amp;ROW())=C93),1,IF(AND(INDIRECT(A73&amp;ROW())=B95,INDIRECT(A96&amp;ROW())=C94),1,0)))</f>
        <v>0</v>
      </c>
      <c r="J521">
        <f ca="1">IF(AND(INDIRECT(A73&amp;ROW())=B95,INDIRECT(A96&amp;ROW())=C95),1,IF(AND(INDIRECT(A73&amp;ROW())=B95,INDIRECT(A96&amp;ROW())=C96),1,0))</f>
        <v>0</v>
      </c>
      <c r="K521">
        <f ca="1">DAYS360(INDIRECT(C68&amp;ROW()),TODAY())</f>
        <v>721</v>
      </c>
      <c r="L521">
        <f ca="1">DAYS360(INDIRECT(C69&amp;ROW()),TODAY())</f>
        <v>722</v>
      </c>
      <c r="M521">
        <f ca="1">HYPERLINK(CONCATENATE("https://bugzilla.houston.hp.com:1181/bugzilla/show_bug.cgi?id=",INDIRECT(C70&amp;ROW())),INDIRECT(C70&amp;ROW()))</f>
        <v>61631</v>
      </c>
      <c r="N521">
        <v>61631</v>
      </c>
      <c r="O521" t="s">
        <v>241</v>
      </c>
      <c r="P521" t="s">
        <v>989</v>
      </c>
      <c r="Q521" t="s">
        <v>16</v>
      </c>
      <c r="R521" t="s">
        <v>248</v>
      </c>
      <c r="S521" t="s">
        <v>552</v>
      </c>
      <c r="T521" t="s">
        <v>794</v>
      </c>
      <c r="U521" s="6">
        <v>42125.283402777779</v>
      </c>
      <c r="V521" t="s">
        <v>18</v>
      </c>
      <c r="W521" t="s">
        <v>17</v>
      </c>
      <c r="X521" s="6">
        <v>42124.355138888888</v>
      </c>
      <c r="Y521" t="s">
        <v>122</v>
      </c>
      <c r="AB521" t="s">
        <v>200</v>
      </c>
      <c r="AC521" t="s">
        <v>933</v>
      </c>
      <c r="AD521" t="s">
        <v>222</v>
      </c>
      <c r="AE521" t="s">
        <v>221</v>
      </c>
      <c r="AG521" t="s">
        <v>121</v>
      </c>
      <c r="AH521" t="s">
        <v>327</v>
      </c>
      <c r="AI521" t="s">
        <v>121</v>
      </c>
      <c r="AJ521" t="s">
        <v>716</v>
      </c>
      <c r="AK521" t="s">
        <v>121</v>
      </c>
    </row>
    <row r="522" spans="9:37" x14ac:dyDescent="0.3">
      <c r="I522">
        <f ca="1">IF(OR(INDIRECT(A73&amp;ROW())=B93,INDIRECT(A73&amp;ROW())=B94),1,IF(AND(INDIRECT(A73&amp;ROW())=B95,INDIRECT(A96&amp;ROW())=C93),1,IF(AND(INDIRECT(A73&amp;ROW())=B95,INDIRECT(A96&amp;ROW())=C94),1,0)))</f>
        <v>1</v>
      </c>
      <c r="J522">
        <f ca="1">IF(AND(INDIRECT(A73&amp;ROW())=B95,INDIRECT(A96&amp;ROW())=C95),1,IF(AND(INDIRECT(A73&amp;ROW())=B95,INDIRECT(A96&amp;ROW())=C96),1,0))</f>
        <v>0</v>
      </c>
      <c r="K522">
        <f ca="1">DAYS360(INDIRECT(C68&amp;ROW()),TODAY())</f>
        <v>721</v>
      </c>
      <c r="L522">
        <f ca="1">DAYS360(INDIRECT(C69&amp;ROW()),TODAY())</f>
        <v>721</v>
      </c>
      <c r="M522">
        <f ca="1">HYPERLINK(CONCATENATE("https://bugzilla.houston.hp.com:1181/bugzilla/show_bug.cgi?id=",INDIRECT(C70&amp;ROW())),INDIRECT(C70&amp;ROW()))</f>
        <v>61690</v>
      </c>
      <c r="N522">
        <v>61690</v>
      </c>
      <c r="O522" t="s">
        <v>45</v>
      </c>
      <c r="P522" t="s">
        <v>1006</v>
      </c>
      <c r="Q522" t="s">
        <v>38</v>
      </c>
      <c r="R522" t="s">
        <v>248</v>
      </c>
      <c r="S522" t="s">
        <v>552</v>
      </c>
      <c r="U522" s="6">
        <v>42125.427094907405</v>
      </c>
      <c r="V522" t="s">
        <v>18</v>
      </c>
      <c r="W522" t="s">
        <v>248</v>
      </c>
      <c r="X522" s="6">
        <v>42125.427094907405</v>
      </c>
      <c r="Y522" t="s">
        <v>793</v>
      </c>
      <c r="AB522" t="s">
        <v>200</v>
      </c>
      <c r="AC522" t="s">
        <v>247</v>
      </c>
      <c r="AD522" t="s">
        <v>227</v>
      </c>
      <c r="AE522" t="s">
        <v>226</v>
      </c>
      <c r="AG522" t="s">
        <v>121</v>
      </c>
      <c r="AH522" t="s">
        <v>327</v>
      </c>
      <c r="AI522" t="s">
        <v>121</v>
      </c>
      <c r="AJ522" t="s">
        <v>715</v>
      </c>
      <c r="AK522" t="s">
        <v>121</v>
      </c>
    </row>
    <row r="523" spans="9:37" x14ac:dyDescent="0.3">
      <c r="I523">
        <f ca="1">IF(OR(INDIRECT(A73&amp;ROW())=B93,INDIRECT(A73&amp;ROW())=B94),1,IF(AND(INDIRECT(A73&amp;ROW())=B95,INDIRECT(A96&amp;ROW())=C93),1,IF(AND(INDIRECT(A73&amp;ROW())=B95,INDIRECT(A96&amp;ROW())=C94),1,0)))</f>
        <v>1</v>
      </c>
      <c r="J523">
        <f ca="1">IF(AND(INDIRECT(A73&amp;ROW())=B95,INDIRECT(A96&amp;ROW())=C95),1,IF(AND(INDIRECT(A73&amp;ROW())=B95,INDIRECT(A96&amp;ROW())=C96),1,0))</f>
        <v>0</v>
      </c>
      <c r="K523">
        <f ca="1">DAYS360(INDIRECT(C68&amp;ROW()),TODAY())</f>
        <v>680</v>
      </c>
      <c r="L523">
        <f ca="1">DAYS360(INDIRECT(C69&amp;ROW()),TODAY())</f>
        <v>721</v>
      </c>
      <c r="M523">
        <f ca="1">HYPERLINK(CONCATENATE("https://bugzilla.houston.hp.com:1181/bugzilla/show_bug.cgi?id=",INDIRECT(C70&amp;ROW())),INDIRECT(C70&amp;ROW()))</f>
        <v>61692</v>
      </c>
      <c r="N523">
        <v>61692</v>
      </c>
      <c r="O523" t="s">
        <v>187</v>
      </c>
      <c r="P523" t="s">
        <v>1005</v>
      </c>
      <c r="Q523" t="s">
        <v>25</v>
      </c>
      <c r="R523" t="s">
        <v>251</v>
      </c>
      <c r="S523" t="s">
        <v>296</v>
      </c>
      <c r="U523" s="6">
        <v>42167.263356481482</v>
      </c>
      <c r="V523" t="s">
        <v>35</v>
      </c>
      <c r="W523" t="s">
        <v>17</v>
      </c>
      <c r="X523" s="6">
        <v>42125.429236111115</v>
      </c>
      <c r="Y523" t="s">
        <v>122</v>
      </c>
      <c r="AB523" t="s">
        <v>200</v>
      </c>
      <c r="AC523" t="s">
        <v>247</v>
      </c>
      <c r="AD523" t="s">
        <v>220</v>
      </c>
      <c r="AE523" t="s">
        <v>223</v>
      </c>
      <c r="AG523" t="s">
        <v>121</v>
      </c>
      <c r="AH523" t="s">
        <v>327</v>
      </c>
      <c r="AI523" t="s">
        <v>121</v>
      </c>
      <c r="AJ523" t="s">
        <v>715</v>
      </c>
      <c r="AK523" t="s">
        <v>121</v>
      </c>
    </row>
    <row r="524" spans="9:37" x14ac:dyDescent="0.3">
      <c r="I524">
        <f ca="1">IF(OR(INDIRECT(A73&amp;ROW())=B93,INDIRECT(A73&amp;ROW())=B94),1,IF(AND(INDIRECT(A73&amp;ROW())=B95,INDIRECT(A96&amp;ROW())=C93),1,IF(AND(INDIRECT(A73&amp;ROW())=B95,INDIRECT(A96&amp;ROW())=C94),1,0)))</f>
        <v>1</v>
      </c>
      <c r="J524">
        <f ca="1">IF(AND(INDIRECT(A73&amp;ROW())=B95,INDIRECT(A96&amp;ROW())=C95),1,IF(AND(INDIRECT(A73&amp;ROW())=B95,INDIRECT(A96&amp;ROW())=C96),1,0))</f>
        <v>0</v>
      </c>
      <c r="K524">
        <f ca="1">DAYS360(INDIRECT(C68&amp;ROW()),TODAY())</f>
        <v>690</v>
      </c>
      <c r="L524">
        <f ca="1">DAYS360(INDIRECT(C69&amp;ROW()),TODAY())</f>
        <v>721</v>
      </c>
      <c r="M524">
        <f ca="1">HYPERLINK(CONCATENATE("https://bugzilla.houston.hp.com:1181/bugzilla/show_bug.cgi?id=",INDIRECT(C70&amp;ROW())),INDIRECT(C70&amp;ROW()))</f>
        <v>61696</v>
      </c>
      <c r="N524">
        <v>61696</v>
      </c>
      <c r="O524" t="s">
        <v>45</v>
      </c>
      <c r="P524" t="s">
        <v>1021</v>
      </c>
      <c r="Q524" t="s">
        <v>39</v>
      </c>
      <c r="R524" t="s">
        <v>251</v>
      </c>
      <c r="S524" t="s">
        <v>52</v>
      </c>
      <c r="T524" t="s">
        <v>48</v>
      </c>
      <c r="U524" s="6">
        <v>42157.342395833337</v>
      </c>
      <c r="V524" t="s">
        <v>35</v>
      </c>
      <c r="W524" t="s">
        <v>783</v>
      </c>
      <c r="X524" s="6">
        <v>42125.491550925923</v>
      </c>
      <c r="Y524" t="s">
        <v>119</v>
      </c>
      <c r="AB524" t="s">
        <v>201</v>
      </c>
      <c r="AC524" t="s">
        <v>247</v>
      </c>
      <c r="AD524" t="s">
        <v>227</v>
      </c>
      <c r="AE524" t="s">
        <v>226</v>
      </c>
      <c r="AG524" t="s">
        <v>121</v>
      </c>
      <c r="AH524" t="s">
        <v>327</v>
      </c>
      <c r="AI524" t="s">
        <v>121</v>
      </c>
      <c r="AJ524" t="s">
        <v>715</v>
      </c>
      <c r="AK524" t="s">
        <v>121</v>
      </c>
    </row>
    <row r="525" spans="9:37" x14ac:dyDescent="0.3">
      <c r="I525">
        <f ca="1">IF(OR(INDIRECT(A73&amp;ROW())=B93,INDIRECT(A73&amp;ROW())=B94),1,IF(AND(INDIRECT(A73&amp;ROW())=B95,INDIRECT(A96&amp;ROW())=C93),1,IF(AND(INDIRECT(A73&amp;ROW())=B95,INDIRECT(A96&amp;ROW())=C94),1,0)))</f>
        <v>1</v>
      </c>
      <c r="J525">
        <f ca="1">IF(AND(INDIRECT(A73&amp;ROW())=B95,INDIRECT(A96&amp;ROW())=C95),1,IF(AND(INDIRECT(A73&amp;ROW())=B95,INDIRECT(A96&amp;ROW())=C96),1,0))</f>
        <v>0</v>
      </c>
      <c r="K525">
        <f ca="1">DAYS360(INDIRECT(C68&amp;ROW()),TODAY())</f>
        <v>676</v>
      </c>
      <c r="L525">
        <f ca="1">DAYS360(INDIRECT(C69&amp;ROW()),TODAY())</f>
        <v>721</v>
      </c>
      <c r="M525">
        <f ca="1">HYPERLINK(CONCATENATE("https://bugzilla.houston.hp.com:1181/bugzilla/show_bug.cgi?id=",INDIRECT(C70&amp;ROW())),INDIRECT(C70&amp;ROW()))</f>
        <v>61705</v>
      </c>
      <c r="N525">
        <v>61705</v>
      </c>
      <c r="O525" t="s">
        <v>187</v>
      </c>
      <c r="P525" t="s">
        <v>1004</v>
      </c>
      <c r="Q525" t="s">
        <v>25</v>
      </c>
      <c r="R525" t="s">
        <v>579</v>
      </c>
      <c r="S525" t="s">
        <v>552</v>
      </c>
      <c r="U525" s="6">
        <v>42171.023113425923</v>
      </c>
      <c r="V525" t="s">
        <v>18</v>
      </c>
      <c r="W525" t="s">
        <v>17</v>
      </c>
      <c r="X525" s="6">
        <v>42125.516134259262</v>
      </c>
      <c r="Y525" t="s">
        <v>122</v>
      </c>
      <c r="AB525" t="s">
        <v>200</v>
      </c>
      <c r="AC525" t="s">
        <v>247</v>
      </c>
      <c r="AD525" t="s">
        <v>220</v>
      </c>
      <c r="AE525" t="s">
        <v>223</v>
      </c>
      <c r="AG525" t="s">
        <v>121</v>
      </c>
      <c r="AH525" t="s">
        <v>327</v>
      </c>
      <c r="AI525" t="s">
        <v>121</v>
      </c>
      <c r="AJ525" t="s">
        <v>715</v>
      </c>
      <c r="AK525" t="s">
        <v>121</v>
      </c>
    </row>
    <row r="526" spans="9:37" x14ac:dyDescent="0.3">
      <c r="I526">
        <f ca="1">IF(OR(INDIRECT(A73&amp;ROW())=B93,INDIRECT(A73&amp;ROW())=B94),1,IF(AND(INDIRECT(A73&amp;ROW())=B95,INDIRECT(A96&amp;ROW())=C93),1,IF(AND(INDIRECT(A73&amp;ROW())=B95,INDIRECT(A96&amp;ROW())=C94),1,0)))</f>
        <v>1</v>
      </c>
      <c r="J526">
        <f ca="1">IF(AND(INDIRECT(A73&amp;ROW())=B95,INDIRECT(A96&amp;ROW())=C95),1,IF(AND(INDIRECT(A73&amp;ROW())=B95,INDIRECT(A96&amp;ROW())=C96),1,0))</f>
        <v>0</v>
      </c>
      <c r="K526">
        <f ca="1">DAYS360(INDIRECT(C68&amp;ROW()),TODAY())</f>
        <v>676</v>
      </c>
      <c r="L526">
        <f ca="1">DAYS360(INDIRECT(C69&amp;ROW()),TODAY())</f>
        <v>721</v>
      </c>
      <c r="M526">
        <f ca="1">HYPERLINK(CONCATENATE("https://bugzilla.houston.hp.com:1181/bugzilla/show_bug.cgi?id=",INDIRECT(C70&amp;ROW())),INDIRECT(C70&amp;ROW()))</f>
        <v>61706</v>
      </c>
      <c r="N526">
        <v>61706</v>
      </c>
      <c r="O526" t="s">
        <v>187</v>
      </c>
      <c r="P526" t="s">
        <v>1003</v>
      </c>
      <c r="Q526" t="s">
        <v>25</v>
      </c>
      <c r="R526" t="s">
        <v>783</v>
      </c>
      <c r="S526" t="s">
        <v>552</v>
      </c>
      <c r="U526" s="6">
        <v>42171.023194444446</v>
      </c>
      <c r="V526" t="s">
        <v>18</v>
      </c>
      <c r="W526" t="s">
        <v>17</v>
      </c>
      <c r="X526" s="6">
        <v>42125.516192129631</v>
      </c>
      <c r="Y526" t="s">
        <v>122</v>
      </c>
      <c r="AB526" t="s">
        <v>200</v>
      </c>
      <c r="AC526" t="s">
        <v>247</v>
      </c>
      <c r="AD526" t="s">
        <v>220</v>
      </c>
      <c r="AE526" t="s">
        <v>223</v>
      </c>
      <c r="AG526" t="s">
        <v>337</v>
      </c>
      <c r="AH526" t="s">
        <v>327</v>
      </c>
      <c r="AI526" t="s">
        <v>362</v>
      </c>
      <c r="AJ526" t="s">
        <v>715</v>
      </c>
      <c r="AK526" t="s">
        <v>1206</v>
      </c>
    </row>
    <row r="527" spans="9:37" x14ac:dyDescent="0.3">
      <c r="I527">
        <f ca="1">IF(OR(INDIRECT(A73&amp;ROW())=B93,INDIRECT(A73&amp;ROW())=B94),1,IF(AND(INDIRECT(A73&amp;ROW())=B95,INDIRECT(A96&amp;ROW())=C93),1,IF(AND(INDIRECT(A73&amp;ROW())=B95,INDIRECT(A96&amp;ROW())=C94),1,0)))</f>
        <v>1</v>
      </c>
      <c r="J527">
        <f ca="1">IF(AND(INDIRECT(A73&amp;ROW())=B95,INDIRECT(A96&amp;ROW())=C95),1,IF(AND(INDIRECT(A73&amp;ROW())=B95,INDIRECT(A96&amp;ROW())=C96),1,0))</f>
        <v>0</v>
      </c>
      <c r="K527">
        <f ca="1">DAYS360(INDIRECT(C68&amp;ROW()),TODAY())</f>
        <v>676</v>
      </c>
      <c r="L527">
        <f ca="1">DAYS360(INDIRECT(C69&amp;ROW()),TODAY())</f>
        <v>721</v>
      </c>
      <c r="M527">
        <f ca="1">HYPERLINK(CONCATENATE("https://bugzilla.houston.hp.com:1181/bugzilla/show_bug.cgi?id=",INDIRECT(C70&amp;ROW())),INDIRECT(C70&amp;ROW()))</f>
        <v>61707</v>
      </c>
      <c r="N527">
        <v>61707</v>
      </c>
      <c r="O527" t="s">
        <v>187</v>
      </c>
      <c r="P527" t="s">
        <v>1002</v>
      </c>
      <c r="Q527" t="s">
        <v>25</v>
      </c>
      <c r="R527" t="s">
        <v>248</v>
      </c>
      <c r="S527" t="s">
        <v>552</v>
      </c>
      <c r="U527" s="6">
        <v>42171.023229166669</v>
      </c>
      <c r="V527" t="s">
        <v>18</v>
      </c>
      <c r="W527" t="s">
        <v>17</v>
      </c>
      <c r="X527" s="6">
        <v>42125.516250000001</v>
      </c>
      <c r="Y527" t="s">
        <v>122</v>
      </c>
      <c r="AB527" t="s">
        <v>200</v>
      </c>
      <c r="AC527" t="s">
        <v>247</v>
      </c>
      <c r="AD527" t="s">
        <v>220</v>
      </c>
      <c r="AE527" t="s">
        <v>223</v>
      </c>
      <c r="AG527" t="s">
        <v>121</v>
      </c>
      <c r="AH527" t="s">
        <v>327</v>
      </c>
      <c r="AI527" t="s">
        <v>121</v>
      </c>
      <c r="AJ527" t="s">
        <v>715</v>
      </c>
      <c r="AK527" t="s">
        <v>121</v>
      </c>
    </row>
    <row r="528" spans="9:37" x14ac:dyDescent="0.3">
      <c r="I528">
        <f ca="1">IF(OR(INDIRECT(A73&amp;ROW())=B93,INDIRECT(A73&amp;ROW())=B94),1,IF(AND(INDIRECT(A73&amp;ROW())=B95,INDIRECT(A96&amp;ROW())=C93),1,IF(AND(INDIRECT(A73&amp;ROW())=B95,INDIRECT(A96&amp;ROW())=C94),1,0)))</f>
        <v>1</v>
      </c>
      <c r="J528">
        <f ca="1">IF(AND(INDIRECT(A73&amp;ROW())=B95,INDIRECT(A96&amp;ROW())=C95),1,IF(AND(INDIRECT(A73&amp;ROW())=B95,INDIRECT(A96&amp;ROW())=C96),1,0))</f>
        <v>0</v>
      </c>
      <c r="K528">
        <f ca="1">DAYS360(INDIRECT(C68&amp;ROW()),TODAY())</f>
        <v>707</v>
      </c>
      <c r="L528">
        <f ca="1">DAYS360(INDIRECT(C69&amp;ROW()),TODAY())</f>
        <v>721</v>
      </c>
      <c r="M528">
        <f ca="1">HYPERLINK(CONCATENATE("https://bugzilla.houston.hp.com:1181/bugzilla/show_bug.cgi?id=",INDIRECT(C70&amp;ROW())),INDIRECT(C70&amp;ROW()))</f>
        <v>61712</v>
      </c>
      <c r="N528">
        <v>61712</v>
      </c>
      <c r="O528" t="s">
        <v>45</v>
      </c>
      <c r="P528" t="s">
        <v>1001</v>
      </c>
      <c r="Q528" t="s">
        <v>39</v>
      </c>
      <c r="R528" t="s">
        <v>579</v>
      </c>
      <c r="S528" t="s">
        <v>552</v>
      </c>
      <c r="T528" t="s">
        <v>1024</v>
      </c>
      <c r="U528" s="6">
        <v>42139.527569444443</v>
      </c>
      <c r="V528" t="s">
        <v>40</v>
      </c>
      <c r="W528" t="s">
        <v>783</v>
      </c>
      <c r="X528" s="6">
        <v>42125.516759259262</v>
      </c>
      <c r="Y528" t="s">
        <v>119</v>
      </c>
      <c r="AB528" t="s">
        <v>201</v>
      </c>
      <c r="AC528" t="s">
        <v>247</v>
      </c>
      <c r="AD528" t="s">
        <v>227</v>
      </c>
      <c r="AE528" t="s">
        <v>226</v>
      </c>
      <c r="AG528" t="s">
        <v>121</v>
      </c>
      <c r="AH528" t="s">
        <v>327</v>
      </c>
      <c r="AI528" t="s">
        <v>362</v>
      </c>
      <c r="AJ528" t="s">
        <v>715</v>
      </c>
      <c r="AK528" t="s">
        <v>121</v>
      </c>
    </row>
    <row r="529" spans="9:37" x14ac:dyDescent="0.3">
      <c r="I529">
        <f ca="1">IF(OR(INDIRECT(A73&amp;ROW())=B93,INDIRECT(A73&amp;ROW())=B94),1,IF(AND(INDIRECT(A73&amp;ROW())=B95,INDIRECT(A96&amp;ROW())=C93),1,IF(AND(INDIRECT(A73&amp;ROW())=B95,INDIRECT(A96&amp;ROW())=C94),1,0)))</f>
        <v>0</v>
      </c>
      <c r="J529">
        <f ca="1">IF(AND(INDIRECT(A73&amp;ROW())=B95,INDIRECT(A96&amp;ROW())=C95),1,IF(AND(INDIRECT(A73&amp;ROW())=B95,INDIRECT(A96&amp;ROW())=C96),1,0))</f>
        <v>0</v>
      </c>
      <c r="K529">
        <f ca="1">DAYS360(INDIRECT(C68&amp;ROW()),TODAY())</f>
        <v>710</v>
      </c>
      <c r="L529">
        <f ca="1">DAYS360(INDIRECT(C69&amp;ROW()),TODAY())</f>
        <v>716</v>
      </c>
      <c r="M529">
        <f ca="1">HYPERLINK(CONCATENATE("https://bugzilla.houston.hp.com:1181/bugzilla/show_bug.cgi?id=",INDIRECT(C70&amp;ROW())),INDIRECT(C70&amp;ROW()))</f>
        <v>61875</v>
      </c>
      <c r="N529">
        <v>61875</v>
      </c>
      <c r="O529" t="s">
        <v>59</v>
      </c>
      <c r="P529" t="s">
        <v>1010</v>
      </c>
      <c r="Q529" t="s">
        <v>16</v>
      </c>
      <c r="R529" t="s">
        <v>251</v>
      </c>
      <c r="S529" t="s">
        <v>296</v>
      </c>
      <c r="U529" s="6">
        <v>42136.418356481481</v>
      </c>
      <c r="V529" t="s">
        <v>18</v>
      </c>
      <c r="W529" t="s">
        <v>17</v>
      </c>
      <c r="X529" s="6">
        <v>42130.171030092592</v>
      </c>
      <c r="Y529" t="s">
        <v>122</v>
      </c>
      <c r="AB529" t="s">
        <v>201</v>
      </c>
      <c r="AC529" t="s">
        <v>247</v>
      </c>
      <c r="AD529" t="s">
        <v>222</v>
      </c>
      <c r="AE529" t="s">
        <v>228</v>
      </c>
      <c r="AG529" t="s">
        <v>121</v>
      </c>
      <c r="AH529" t="s">
        <v>327</v>
      </c>
      <c r="AI529" t="s">
        <v>121</v>
      </c>
      <c r="AJ529" t="s">
        <v>717</v>
      </c>
      <c r="AK529" t="s">
        <v>121</v>
      </c>
    </row>
    <row r="530" spans="9:37" x14ac:dyDescent="0.3">
      <c r="I530">
        <f ca="1">IF(OR(INDIRECT(A73&amp;ROW())=B93,INDIRECT(A73&amp;ROW())=B94),1,IF(AND(INDIRECT(A73&amp;ROW())=B95,INDIRECT(A96&amp;ROW())=C93),1,IF(AND(INDIRECT(A73&amp;ROW())=B95,INDIRECT(A96&amp;ROW())=C94),1,0)))</f>
        <v>0</v>
      </c>
      <c r="J530">
        <f ca="1">IF(AND(INDIRECT(A73&amp;ROW())=B95,INDIRECT(A96&amp;ROW())=C95),1,IF(AND(INDIRECT(A73&amp;ROW())=B95,INDIRECT(A96&amp;ROW())=C96),1,0))</f>
        <v>0</v>
      </c>
      <c r="K530">
        <f ca="1">DAYS360(INDIRECT(C68&amp;ROW()),TODAY())</f>
        <v>710</v>
      </c>
      <c r="L530">
        <f ca="1">DAYS360(INDIRECT(C69&amp;ROW()),TODAY())</f>
        <v>716</v>
      </c>
      <c r="M530">
        <f ca="1">HYPERLINK(CONCATENATE("https://bugzilla.houston.hp.com:1181/bugzilla/show_bug.cgi?id=",INDIRECT(C70&amp;ROW())),INDIRECT(C70&amp;ROW()))</f>
        <v>61891</v>
      </c>
      <c r="N530">
        <v>61891</v>
      </c>
      <c r="O530" t="s">
        <v>59</v>
      </c>
      <c r="P530" t="s">
        <v>1009</v>
      </c>
      <c r="Q530" t="s">
        <v>16</v>
      </c>
      <c r="R530" t="s">
        <v>783</v>
      </c>
      <c r="S530" t="s">
        <v>552</v>
      </c>
      <c r="U530" s="6">
        <v>42136.418379629627</v>
      </c>
      <c r="V530" t="s">
        <v>18</v>
      </c>
      <c r="W530" t="s">
        <v>17</v>
      </c>
      <c r="X530" s="6">
        <v>42130.330787037034</v>
      </c>
      <c r="Y530" t="s">
        <v>122</v>
      </c>
      <c r="AB530" t="s">
        <v>201</v>
      </c>
      <c r="AC530" t="s">
        <v>247</v>
      </c>
      <c r="AD530" t="s">
        <v>222</v>
      </c>
      <c r="AE530" t="s">
        <v>228</v>
      </c>
      <c r="AG530" t="s">
        <v>121</v>
      </c>
      <c r="AH530" t="s">
        <v>327</v>
      </c>
      <c r="AI530" t="s">
        <v>121</v>
      </c>
      <c r="AJ530" t="s">
        <v>717</v>
      </c>
      <c r="AK530" t="s">
        <v>121</v>
      </c>
    </row>
    <row r="531" spans="9:37" x14ac:dyDescent="0.3">
      <c r="I531">
        <f ca="1">IF(OR(INDIRECT(A73&amp;ROW())=B93,INDIRECT(A73&amp;ROW())=B94),1,IF(AND(INDIRECT(A73&amp;ROW())=B95,INDIRECT(A96&amp;ROW())=C93),1,IF(AND(INDIRECT(A73&amp;ROW())=B95,INDIRECT(A96&amp;ROW())=C94),1,0)))</f>
        <v>0</v>
      </c>
      <c r="J531">
        <f ca="1">IF(AND(INDIRECT(A73&amp;ROW())=B95,INDIRECT(A96&amp;ROW())=C95),1,IF(AND(INDIRECT(A73&amp;ROW())=B95,INDIRECT(A96&amp;ROW())=C96),1,0))</f>
        <v>0</v>
      </c>
      <c r="K531">
        <f ca="1">DAYS360(INDIRECT(C68&amp;ROW()),TODAY())</f>
        <v>710</v>
      </c>
      <c r="L531">
        <f ca="1">DAYS360(INDIRECT(C69&amp;ROW()),TODAY())</f>
        <v>716</v>
      </c>
      <c r="M531">
        <f ca="1">HYPERLINK(CONCATENATE("https://bugzilla.houston.hp.com:1181/bugzilla/show_bug.cgi?id=",INDIRECT(C70&amp;ROW())),INDIRECT(C70&amp;ROW()))</f>
        <v>61892</v>
      </c>
      <c r="N531">
        <v>61892</v>
      </c>
      <c r="O531" t="s">
        <v>59</v>
      </c>
      <c r="P531" t="s">
        <v>1008</v>
      </c>
      <c r="Q531" t="s">
        <v>16</v>
      </c>
      <c r="R531" t="s">
        <v>248</v>
      </c>
      <c r="S531" t="s">
        <v>552</v>
      </c>
      <c r="U531" s="6">
        <v>42136.418391203704</v>
      </c>
      <c r="V531" t="s">
        <v>18</v>
      </c>
      <c r="W531" t="s">
        <v>17</v>
      </c>
      <c r="X531" s="6">
        <v>42130.330891203703</v>
      </c>
      <c r="Y531" t="s">
        <v>122</v>
      </c>
      <c r="AB531" t="s">
        <v>201</v>
      </c>
      <c r="AC531" t="s">
        <v>247</v>
      </c>
      <c r="AD531" t="s">
        <v>222</v>
      </c>
      <c r="AE531" t="s">
        <v>228</v>
      </c>
      <c r="AG531" t="s">
        <v>121</v>
      </c>
      <c r="AH531" t="s">
        <v>327</v>
      </c>
      <c r="AI531" t="s">
        <v>121</v>
      </c>
      <c r="AJ531" t="s">
        <v>717</v>
      </c>
      <c r="AK531" t="s">
        <v>121</v>
      </c>
    </row>
    <row r="532" spans="9:37" x14ac:dyDescent="0.3">
      <c r="I532">
        <f ca="1">IF(OR(INDIRECT(A73&amp;ROW())=B93,INDIRECT(A73&amp;ROW())=B94),1,IF(AND(INDIRECT(A73&amp;ROW())=B95,INDIRECT(A96&amp;ROW())=C93),1,IF(AND(INDIRECT(A73&amp;ROW())=B95,INDIRECT(A96&amp;ROW())=C94),1,0)))</f>
        <v>1</v>
      </c>
      <c r="J532">
        <f ca="1">IF(AND(INDIRECT(A73&amp;ROW())=B95,INDIRECT(A96&amp;ROW())=C95),1,IF(AND(INDIRECT(A73&amp;ROW())=B95,INDIRECT(A96&amp;ROW())=C96),1,0))</f>
        <v>0</v>
      </c>
      <c r="K532">
        <f ca="1">DAYS360(INDIRECT(C68&amp;ROW()),TODAY())</f>
        <v>690</v>
      </c>
      <c r="L532">
        <f ca="1">DAYS360(INDIRECT(C69&amp;ROW()),TODAY())</f>
        <v>716</v>
      </c>
      <c r="M532">
        <f ca="1">HYPERLINK(CONCATENATE("https://bugzilla.houston.hp.com:1181/bugzilla/show_bug.cgi?id=",INDIRECT(C70&amp;ROW())),INDIRECT(C70&amp;ROW()))</f>
        <v>61897</v>
      </c>
      <c r="N532">
        <v>61897</v>
      </c>
      <c r="O532" t="s">
        <v>241</v>
      </c>
      <c r="P532" t="s">
        <v>1015</v>
      </c>
      <c r="Q532" t="s">
        <v>39</v>
      </c>
      <c r="R532" t="s">
        <v>251</v>
      </c>
      <c r="S532" t="s">
        <v>296</v>
      </c>
      <c r="T532" t="s">
        <v>794</v>
      </c>
      <c r="U532" s="6">
        <v>42157.92628472222</v>
      </c>
      <c r="V532" t="s">
        <v>40</v>
      </c>
      <c r="W532" t="s">
        <v>17</v>
      </c>
      <c r="X532" s="6">
        <v>42130.374155092592</v>
      </c>
      <c r="Y532" t="s">
        <v>122</v>
      </c>
      <c r="AB532" t="s">
        <v>201</v>
      </c>
      <c r="AC532" t="s">
        <v>247</v>
      </c>
      <c r="AD532" t="s">
        <v>222</v>
      </c>
      <c r="AE532" t="s">
        <v>232</v>
      </c>
      <c r="AG532" t="s">
        <v>121</v>
      </c>
      <c r="AH532" t="s">
        <v>327</v>
      </c>
      <c r="AI532" t="s">
        <v>121</v>
      </c>
      <c r="AJ532" t="s">
        <v>715</v>
      </c>
      <c r="AK532" t="s">
        <v>121</v>
      </c>
    </row>
    <row r="533" spans="9:37" x14ac:dyDescent="0.3">
      <c r="I533">
        <f ca="1">IF(OR(INDIRECT(A73&amp;ROW())=B93,INDIRECT(A73&amp;ROW())=B94),1,IF(AND(INDIRECT(A73&amp;ROW())=B95,INDIRECT(A96&amp;ROW())=C93),1,IF(AND(INDIRECT(A73&amp;ROW())=B95,INDIRECT(A96&amp;ROW())=C94),1,0)))</f>
        <v>1</v>
      </c>
      <c r="J533">
        <f ca="1">IF(AND(INDIRECT(A73&amp;ROW())=B95,INDIRECT(A96&amp;ROW())=C95),1,IF(AND(INDIRECT(A73&amp;ROW())=B95,INDIRECT(A96&amp;ROW())=C96),1,0))</f>
        <v>0</v>
      </c>
      <c r="K533">
        <f ca="1">DAYS360(INDIRECT(C68&amp;ROW()),TODAY())</f>
        <v>689</v>
      </c>
      <c r="L533">
        <f ca="1">DAYS360(INDIRECT(C69&amp;ROW()),TODAY())</f>
        <v>716</v>
      </c>
      <c r="M533">
        <f ca="1">HYPERLINK(CONCATENATE("https://bugzilla.houston.hp.com:1181/bugzilla/show_bug.cgi?id=",INDIRECT(C70&amp;ROW())),INDIRECT(C70&amp;ROW()))</f>
        <v>61913</v>
      </c>
      <c r="N533">
        <v>61913</v>
      </c>
      <c r="O533" t="s">
        <v>241</v>
      </c>
      <c r="P533" t="s">
        <v>1014</v>
      </c>
      <c r="Q533" t="s">
        <v>39</v>
      </c>
      <c r="R533" t="s">
        <v>783</v>
      </c>
      <c r="S533" t="s">
        <v>552</v>
      </c>
      <c r="U533" s="6">
        <v>42158.335717592592</v>
      </c>
      <c r="V533" t="s">
        <v>40</v>
      </c>
      <c r="W533" t="s">
        <v>17</v>
      </c>
      <c r="X533" s="6">
        <v>42130.516365740739</v>
      </c>
      <c r="Y533" t="s">
        <v>122</v>
      </c>
      <c r="AB533" t="s">
        <v>201</v>
      </c>
      <c r="AC533" t="s">
        <v>247</v>
      </c>
      <c r="AD533" t="s">
        <v>222</v>
      </c>
      <c r="AE533" t="s">
        <v>232</v>
      </c>
      <c r="AG533" t="s">
        <v>337</v>
      </c>
      <c r="AH533" t="s">
        <v>327</v>
      </c>
      <c r="AI533" t="s">
        <v>362</v>
      </c>
      <c r="AJ533" t="s">
        <v>715</v>
      </c>
      <c r="AK533" t="s">
        <v>121</v>
      </c>
    </row>
    <row r="534" spans="9:37" x14ac:dyDescent="0.3">
      <c r="I534">
        <f ca="1">IF(OR(INDIRECT(A73&amp;ROW())=B93,INDIRECT(A73&amp;ROW())=B94),1,IF(AND(INDIRECT(A73&amp;ROW())=B95,INDIRECT(A96&amp;ROW())=C93),1,IF(AND(INDIRECT(A73&amp;ROW())=B95,INDIRECT(A96&amp;ROW())=C94),1,0)))</f>
        <v>1</v>
      </c>
      <c r="J534">
        <f ca="1">IF(AND(INDIRECT(A73&amp;ROW())=B95,INDIRECT(A96&amp;ROW())=C95),1,IF(AND(INDIRECT(A73&amp;ROW())=B95,INDIRECT(A96&amp;ROW())=C96),1,0))</f>
        <v>0</v>
      </c>
      <c r="K534">
        <f ca="1">DAYS360(INDIRECT(C68&amp;ROW()),TODAY())</f>
        <v>711</v>
      </c>
      <c r="L534">
        <f ca="1">DAYS360(INDIRECT(C69&amp;ROW()),TODAY())</f>
        <v>716</v>
      </c>
      <c r="M534">
        <f ca="1">HYPERLINK(CONCATENATE("https://bugzilla.houston.hp.com:1181/bugzilla/show_bug.cgi?id=",INDIRECT(C70&amp;ROW())),INDIRECT(C70&amp;ROW()))</f>
        <v>61956</v>
      </c>
      <c r="N534">
        <v>61956</v>
      </c>
      <c r="O534" t="s">
        <v>94</v>
      </c>
      <c r="P534" t="s">
        <v>1013</v>
      </c>
      <c r="Q534" t="s">
        <v>39</v>
      </c>
      <c r="R534" t="s">
        <v>251</v>
      </c>
      <c r="S534" t="s">
        <v>65</v>
      </c>
      <c r="U534" s="6">
        <v>42135.376747685186</v>
      </c>
      <c r="V534" t="s">
        <v>40</v>
      </c>
      <c r="W534" t="s">
        <v>783</v>
      </c>
      <c r="X534" s="6">
        <v>42130.945879629631</v>
      </c>
      <c r="Y534" t="s">
        <v>793</v>
      </c>
      <c r="AB534" t="s">
        <v>201</v>
      </c>
      <c r="AC534" t="s">
        <v>247</v>
      </c>
      <c r="AD534" t="s">
        <v>220</v>
      </c>
      <c r="AE534" t="s">
        <v>219</v>
      </c>
      <c r="AG534" t="s">
        <v>121</v>
      </c>
      <c r="AH534" t="s">
        <v>327</v>
      </c>
      <c r="AI534" t="s">
        <v>121</v>
      </c>
      <c r="AJ534" t="s">
        <v>715</v>
      </c>
      <c r="AK534" t="s">
        <v>121</v>
      </c>
    </row>
    <row r="535" spans="9:37" x14ac:dyDescent="0.3">
      <c r="I535">
        <f ca="1">IF(OR(INDIRECT(A73&amp;ROW())=B93,INDIRECT(A73&amp;ROW())=B94),1,IF(AND(INDIRECT(A73&amp;ROW())=B95,INDIRECT(A96&amp;ROW())=C93),1,IF(AND(INDIRECT(A73&amp;ROW())=B95,INDIRECT(A96&amp;ROW())=C94),1,0)))</f>
        <v>1</v>
      </c>
      <c r="J535">
        <f ca="1">IF(AND(INDIRECT(A73&amp;ROW())=B95,INDIRECT(A96&amp;ROW())=C95),1,IF(AND(INDIRECT(A73&amp;ROW())=B95,INDIRECT(A96&amp;ROW())=C96),1,0))</f>
        <v>0</v>
      </c>
      <c r="K535">
        <f ca="1">DAYS360(INDIRECT(C68&amp;ROW()),TODAY())</f>
        <v>711</v>
      </c>
      <c r="L535">
        <f ca="1">DAYS360(INDIRECT(C69&amp;ROW()),TODAY())</f>
        <v>715</v>
      </c>
      <c r="M535">
        <f ca="1">HYPERLINK(CONCATENATE("https://bugzilla.houston.hp.com:1181/bugzilla/show_bug.cgi?id=",INDIRECT(C70&amp;ROW())),INDIRECT(C70&amp;ROW()))</f>
        <v>61959</v>
      </c>
      <c r="N535">
        <v>61959</v>
      </c>
      <c r="O535" t="s">
        <v>65</v>
      </c>
      <c r="P535" t="s">
        <v>1012</v>
      </c>
      <c r="Q535" t="s">
        <v>39</v>
      </c>
      <c r="R535" t="s">
        <v>579</v>
      </c>
      <c r="S535" t="s">
        <v>552</v>
      </c>
      <c r="T535" t="s">
        <v>1018</v>
      </c>
      <c r="U535" s="6">
        <v>42135.558923611112</v>
      </c>
      <c r="V535" t="s">
        <v>18</v>
      </c>
      <c r="W535" t="s">
        <v>783</v>
      </c>
      <c r="X535" s="6">
        <v>42131.016284722224</v>
      </c>
      <c r="Y535" t="s">
        <v>793</v>
      </c>
      <c r="AB535" t="s">
        <v>201</v>
      </c>
      <c r="AC535" t="s">
        <v>247</v>
      </c>
      <c r="AD535" t="s">
        <v>220</v>
      </c>
      <c r="AE535" t="s">
        <v>219</v>
      </c>
      <c r="AG535" t="s">
        <v>121</v>
      </c>
      <c r="AH535" t="s">
        <v>327</v>
      </c>
      <c r="AI535" t="s">
        <v>362</v>
      </c>
      <c r="AJ535" t="s">
        <v>715</v>
      </c>
      <c r="AK535" t="s">
        <v>121</v>
      </c>
    </row>
    <row r="536" spans="9:37" x14ac:dyDescent="0.3">
      <c r="I536">
        <f ca="1">IF(OR(INDIRECT(A73&amp;ROW())=B93,INDIRECT(A73&amp;ROW())=B94),1,IF(AND(INDIRECT(A73&amp;ROW())=B95,INDIRECT(A96&amp;ROW())=C93),1,IF(AND(INDIRECT(A73&amp;ROW())=B95,INDIRECT(A96&amp;ROW())=C94),1,0)))</f>
        <v>0</v>
      </c>
      <c r="J536">
        <f ca="1">IF(AND(INDIRECT(A73&amp;ROW())=B95,INDIRECT(A96&amp;ROW())=C95),1,IF(AND(INDIRECT(A73&amp;ROW())=B95,INDIRECT(A96&amp;ROW())=C96),1,0))</f>
        <v>1</v>
      </c>
      <c r="K536">
        <f ca="1">DAYS360(INDIRECT(C68&amp;ROW()),TODAY())</f>
        <v>711</v>
      </c>
      <c r="L536">
        <f ca="1">DAYS360(INDIRECT(C69&amp;ROW()),TODAY())</f>
        <v>714</v>
      </c>
      <c r="M536">
        <f ca="1">HYPERLINK(CONCATENATE("https://bugzilla.houston.hp.com:1181/bugzilla/show_bug.cgi?id=",INDIRECT(C70&amp;ROW())),INDIRECT(C70&amp;ROW()))</f>
        <v>62084</v>
      </c>
      <c r="N536">
        <v>62084</v>
      </c>
      <c r="O536" t="s">
        <v>204</v>
      </c>
      <c r="P536" t="s">
        <v>1020</v>
      </c>
      <c r="Q536" t="s">
        <v>25</v>
      </c>
      <c r="R536" t="s">
        <v>579</v>
      </c>
      <c r="S536" t="s">
        <v>236</v>
      </c>
      <c r="T536" t="s">
        <v>1019</v>
      </c>
      <c r="U536" s="6">
        <v>42135.319016203706</v>
      </c>
      <c r="V536" t="s">
        <v>18</v>
      </c>
      <c r="W536" t="s">
        <v>17</v>
      </c>
      <c r="X536" s="6">
        <v>42132.41542824074</v>
      </c>
      <c r="Y536" t="s">
        <v>119</v>
      </c>
      <c r="AB536" t="s">
        <v>201</v>
      </c>
      <c r="AC536" t="s">
        <v>247</v>
      </c>
      <c r="AD536" t="s">
        <v>222</v>
      </c>
      <c r="AE536" t="s">
        <v>221</v>
      </c>
      <c r="AG536" t="s">
        <v>121</v>
      </c>
      <c r="AH536" t="s">
        <v>64</v>
      </c>
      <c r="AI536" t="s">
        <v>121</v>
      </c>
      <c r="AJ536" t="s">
        <v>716</v>
      </c>
      <c r="AK536" t="s">
        <v>121</v>
      </c>
    </row>
    <row r="537" spans="9:37" x14ac:dyDescent="0.3">
      <c r="I537">
        <f ca="1">IF(OR(INDIRECT(A73&amp;ROW())=B93,INDIRECT(A73&amp;ROW())=B94),1,IF(AND(INDIRECT(A73&amp;ROW())=B95,INDIRECT(A96&amp;ROW())=C93),1,IF(AND(INDIRECT(A73&amp;ROW())=B95,INDIRECT(A96&amp;ROW())=C94),1,0)))</f>
        <v>1</v>
      </c>
      <c r="J537">
        <f ca="1">IF(AND(INDIRECT(A73&amp;ROW())=B95,INDIRECT(A96&amp;ROW())=C95),1,IF(AND(INDIRECT(A73&amp;ROW())=B95,INDIRECT(A96&amp;ROW())=C96),1,0))</f>
        <v>0</v>
      </c>
      <c r="K537">
        <f ca="1">DAYS360(INDIRECT(C68&amp;ROW()),TODAY())</f>
        <v>683</v>
      </c>
      <c r="L537">
        <f ca="1">DAYS360(INDIRECT(C69&amp;ROW()),TODAY())</f>
        <v>714</v>
      </c>
      <c r="M537">
        <f ca="1">HYPERLINK(CONCATENATE("https://bugzilla.houston.hp.com:1181/bugzilla/show_bug.cgi?id=",INDIRECT(C70&amp;ROW())),INDIRECT(C70&amp;ROW()))</f>
        <v>62099</v>
      </c>
      <c r="N537">
        <v>62099</v>
      </c>
      <c r="O537" t="s">
        <v>784</v>
      </c>
      <c r="P537" t="s">
        <v>1044</v>
      </c>
      <c r="Q537" t="s">
        <v>39</v>
      </c>
      <c r="R537" t="s">
        <v>251</v>
      </c>
      <c r="S537" t="s">
        <v>1043</v>
      </c>
      <c r="U537" s="6">
        <v>42164.415949074071</v>
      </c>
      <c r="V537" t="s">
        <v>18</v>
      </c>
      <c r="W537" t="s">
        <v>783</v>
      </c>
      <c r="X537" s="6">
        <v>42132.553414351853</v>
      </c>
      <c r="Y537" t="s">
        <v>119</v>
      </c>
      <c r="AB537" t="s">
        <v>201</v>
      </c>
      <c r="AC537" t="s">
        <v>247</v>
      </c>
      <c r="AD537" t="s">
        <v>220</v>
      </c>
      <c r="AE537" t="s">
        <v>229</v>
      </c>
      <c r="AG537" t="s">
        <v>121</v>
      </c>
      <c r="AH537" t="s">
        <v>327</v>
      </c>
      <c r="AI537" t="s">
        <v>121</v>
      </c>
      <c r="AJ537" t="s">
        <v>715</v>
      </c>
      <c r="AK537" t="s">
        <v>121</v>
      </c>
    </row>
    <row r="538" spans="9:37" x14ac:dyDescent="0.3">
      <c r="I538">
        <f ca="1">IF(OR(INDIRECT(A73&amp;ROW())=B93,INDIRECT(A73&amp;ROW())=B94),1,IF(AND(INDIRECT(A73&amp;ROW())=B95,INDIRECT(A96&amp;ROW())=C93),1,IF(AND(INDIRECT(A73&amp;ROW())=B95,INDIRECT(A96&amp;ROW())=C94),1,0)))</f>
        <v>1</v>
      </c>
      <c r="J538">
        <f ca="1">IF(AND(INDIRECT(A73&amp;ROW())=B95,INDIRECT(A96&amp;ROW())=C95),1,IF(AND(INDIRECT(A73&amp;ROW())=B95,INDIRECT(A96&amp;ROW())=C96),1,0))</f>
        <v>0</v>
      </c>
      <c r="K538">
        <f ca="1">DAYS360(INDIRECT(C68&amp;ROW()),TODAY())</f>
        <v>681</v>
      </c>
      <c r="L538">
        <f ca="1">DAYS360(INDIRECT(C69&amp;ROW()),TODAY())</f>
        <v>711</v>
      </c>
      <c r="M538">
        <f ca="1">HYPERLINK(CONCATENATE("https://bugzilla.houston.hp.com:1181/bugzilla/show_bug.cgi?id=",INDIRECT(C70&amp;ROW())),INDIRECT(C70&amp;ROW()))</f>
        <v>62177</v>
      </c>
      <c r="N538">
        <v>62177</v>
      </c>
      <c r="O538" t="s">
        <v>187</v>
      </c>
      <c r="P538" t="s">
        <v>1023</v>
      </c>
      <c r="Q538" t="s">
        <v>25</v>
      </c>
      <c r="R538" t="s">
        <v>783</v>
      </c>
      <c r="S538" t="s">
        <v>552</v>
      </c>
      <c r="U538" s="6">
        <v>42166.471770833334</v>
      </c>
      <c r="V538" t="s">
        <v>18</v>
      </c>
      <c r="W538" t="s">
        <v>248</v>
      </c>
      <c r="X538" s="6">
        <v>42135.590312499997</v>
      </c>
      <c r="Y538" t="s">
        <v>793</v>
      </c>
      <c r="AB538" t="s">
        <v>200</v>
      </c>
      <c r="AC538" t="s">
        <v>247</v>
      </c>
      <c r="AD538" t="s">
        <v>220</v>
      </c>
      <c r="AE538" t="s">
        <v>219</v>
      </c>
      <c r="AG538" t="s">
        <v>337</v>
      </c>
      <c r="AH538" t="s">
        <v>327</v>
      </c>
      <c r="AI538" t="s">
        <v>362</v>
      </c>
      <c r="AJ538" t="s">
        <v>715</v>
      </c>
      <c r="AK538" t="s">
        <v>121</v>
      </c>
    </row>
    <row r="539" spans="9:37" x14ac:dyDescent="0.3">
      <c r="I539">
        <f ca="1">IF(OR(INDIRECT(A73&amp;ROW())=B93,INDIRECT(A73&amp;ROW())=B94),1,IF(AND(INDIRECT(A73&amp;ROW())=B95,INDIRECT(A96&amp;ROW())=C93),1,IF(AND(INDIRECT(A73&amp;ROW())=B95,INDIRECT(A96&amp;ROW())=C94),1,0)))</f>
        <v>1</v>
      </c>
      <c r="J539">
        <f ca="1">IF(AND(INDIRECT(A73&amp;ROW())=B95,INDIRECT(A96&amp;ROW())=C95),1,IF(AND(INDIRECT(A73&amp;ROW())=B95,INDIRECT(A96&amp;ROW())=C96),1,0))</f>
        <v>0</v>
      </c>
      <c r="K539">
        <f ca="1">DAYS360(INDIRECT(C68&amp;ROW()),TODAY())</f>
        <v>687</v>
      </c>
      <c r="L539">
        <f ca="1">DAYS360(INDIRECT(C69&amp;ROW()),TODAY())</f>
        <v>711</v>
      </c>
      <c r="M539">
        <f ca="1">HYPERLINK(CONCATENATE("https://bugzilla.houston.hp.com:1181/bugzilla/show_bug.cgi?id=",INDIRECT(C70&amp;ROW())),INDIRECT(C70&amp;ROW()))</f>
        <v>62178</v>
      </c>
      <c r="N539">
        <v>62178</v>
      </c>
      <c r="O539" t="s">
        <v>56</v>
      </c>
      <c r="P539" t="s">
        <v>1022</v>
      </c>
      <c r="Q539" t="s">
        <v>25</v>
      </c>
      <c r="R539" t="s">
        <v>248</v>
      </c>
      <c r="S539" t="s">
        <v>552</v>
      </c>
      <c r="U539" s="6">
        <v>42160.493807870371</v>
      </c>
      <c r="V539" t="s">
        <v>18</v>
      </c>
      <c r="W539" t="s">
        <v>248</v>
      </c>
      <c r="X539" s="6">
        <v>42135.59039351852</v>
      </c>
      <c r="Y539" t="s">
        <v>793</v>
      </c>
      <c r="AB539" t="s">
        <v>200</v>
      </c>
      <c r="AC539" t="s">
        <v>247</v>
      </c>
      <c r="AD539" t="s">
        <v>220</v>
      </c>
      <c r="AE539" t="s">
        <v>219</v>
      </c>
      <c r="AG539" t="s">
        <v>121</v>
      </c>
      <c r="AH539" t="s">
        <v>327</v>
      </c>
      <c r="AI539" t="s">
        <v>121</v>
      </c>
      <c r="AJ539" t="s">
        <v>715</v>
      </c>
      <c r="AK539" t="s">
        <v>121</v>
      </c>
    </row>
    <row r="540" spans="9:37" x14ac:dyDescent="0.3">
      <c r="I540">
        <f ca="1">IF(OR(INDIRECT(A73&amp;ROW())=B93,INDIRECT(A73&amp;ROW())=B94),1,IF(AND(INDIRECT(A73&amp;ROW())=B95,INDIRECT(A96&amp;ROW())=C93),1,IF(AND(INDIRECT(A73&amp;ROW())=B95,INDIRECT(A96&amp;ROW())=C94),1,0)))</f>
        <v>1</v>
      </c>
      <c r="J540">
        <f ca="1">IF(AND(INDIRECT(A73&amp;ROW())=B95,INDIRECT(A96&amp;ROW())=C95),1,IF(AND(INDIRECT(A73&amp;ROW())=B95,INDIRECT(A96&amp;ROW())=C96),1,0))</f>
        <v>0</v>
      </c>
      <c r="K540">
        <f ca="1">DAYS360(INDIRECT(C68&amp;ROW()),TODAY())</f>
        <v>681</v>
      </c>
      <c r="L540">
        <f ca="1">DAYS360(INDIRECT(C69&amp;ROW()),TODAY())</f>
        <v>710</v>
      </c>
      <c r="M540">
        <f ca="1">HYPERLINK(CONCATENATE("https://bugzilla.houston.hp.com:1181/bugzilla/show_bug.cgi?id=",INDIRECT(C70&amp;ROW())),INDIRECT(C70&amp;ROW()))</f>
        <v>62223</v>
      </c>
      <c r="N540">
        <v>62223</v>
      </c>
      <c r="O540" t="s">
        <v>55</v>
      </c>
      <c r="P540" t="s">
        <v>1247</v>
      </c>
      <c r="Q540" t="s">
        <v>39</v>
      </c>
      <c r="R540" t="s">
        <v>579</v>
      </c>
      <c r="S540" t="s">
        <v>236</v>
      </c>
      <c r="T540" t="s">
        <v>1058</v>
      </c>
      <c r="U540" s="6">
        <v>42166.359305555554</v>
      </c>
      <c r="V540" t="s">
        <v>35</v>
      </c>
      <c r="W540" t="s">
        <v>783</v>
      </c>
      <c r="X540" s="6">
        <v>42136.32916666667</v>
      </c>
      <c r="Y540" t="s">
        <v>245</v>
      </c>
      <c r="AB540" t="s">
        <v>201</v>
      </c>
      <c r="AC540" t="s">
        <v>247</v>
      </c>
      <c r="AD540" t="s">
        <v>222</v>
      </c>
      <c r="AE540" t="s">
        <v>240</v>
      </c>
      <c r="AG540" t="s">
        <v>121</v>
      </c>
      <c r="AH540" t="s">
        <v>327</v>
      </c>
      <c r="AI540" t="s">
        <v>121</v>
      </c>
      <c r="AJ540" t="s">
        <v>715</v>
      </c>
      <c r="AK540" t="s">
        <v>121</v>
      </c>
    </row>
    <row r="541" spans="9:37" x14ac:dyDescent="0.3">
      <c r="I541">
        <f ca="1">IF(OR(INDIRECT(A73&amp;ROW())=B93,INDIRECT(A73&amp;ROW())=B94),1,IF(AND(INDIRECT(A73&amp;ROW())=B95,INDIRECT(A96&amp;ROW())=C93),1,IF(AND(INDIRECT(A73&amp;ROW())=B95,INDIRECT(A96&amp;ROW())=C94),1,0)))</f>
        <v>1</v>
      </c>
      <c r="J541">
        <f ca="1">IF(AND(INDIRECT(A73&amp;ROW())=B95,INDIRECT(A96&amp;ROW())=C95),1,IF(AND(INDIRECT(A73&amp;ROW())=B95,INDIRECT(A96&amp;ROW())=C96),1,0))</f>
        <v>0</v>
      </c>
      <c r="K541">
        <f ca="1">DAYS360(INDIRECT(C68&amp;ROW()),TODAY())</f>
        <v>675</v>
      </c>
      <c r="L541">
        <f ca="1">DAYS360(INDIRECT(C69&amp;ROW()),TODAY())</f>
        <v>710</v>
      </c>
      <c r="M541">
        <f ca="1">HYPERLINK(CONCATENATE("https://bugzilla.houston.hp.com:1181/bugzilla/show_bug.cgi?id=",INDIRECT(C70&amp;ROW())),INDIRECT(C70&amp;ROW()))</f>
        <v>62224</v>
      </c>
      <c r="N541">
        <v>62224</v>
      </c>
      <c r="O541" t="s">
        <v>55</v>
      </c>
      <c r="P541" t="s">
        <v>1246</v>
      </c>
      <c r="Q541" t="s">
        <v>39</v>
      </c>
      <c r="R541" t="s">
        <v>783</v>
      </c>
      <c r="S541" t="s">
        <v>236</v>
      </c>
      <c r="T541" t="s">
        <v>1058</v>
      </c>
      <c r="U541" s="6">
        <v>42172.64403935185</v>
      </c>
      <c r="V541" t="s">
        <v>35</v>
      </c>
      <c r="W541" t="s">
        <v>783</v>
      </c>
      <c r="X541" s="6">
        <v>42136.329282407409</v>
      </c>
      <c r="Y541" t="s">
        <v>245</v>
      </c>
      <c r="AB541" t="s">
        <v>201</v>
      </c>
      <c r="AC541" t="s">
        <v>247</v>
      </c>
      <c r="AD541" t="s">
        <v>222</v>
      </c>
      <c r="AE541" t="s">
        <v>240</v>
      </c>
      <c r="AG541" t="s">
        <v>337</v>
      </c>
      <c r="AH541" t="s">
        <v>327</v>
      </c>
      <c r="AI541" t="s">
        <v>121</v>
      </c>
      <c r="AJ541" t="s">
        <v>715</v>
      </c>
      <c r="AK541" t="s">
        <v>121</v>
      </c>
    </row>
    <row r="542" spans="9:37" x14ac:dyDescent="0.3">
      <c r="I542">
        <f ca="1">IF(OR(INDIRECT(A73&amp;ROW())=B93,INDIRECT(A73&amp;ROW())=B94),1,IF(AND(INDIRECT(A73&amp;ROW())=B95,INDIRECT(A96&amp;ROW())=C93),1,IF(AND(INDIRECT(A73&amp;ROW())=B95,INDIRECT(A96&amp;ROW())=C94),1,0)))</f>
        <v>1</v>
      </c>
      <c r="J542">
        <f ca="1">IF(AND(INDIRECT(A73&amp;ROW())=B95,INDIRECT(A96&amp;ROW())=C95),1,IF(AND(INDIRECT(A73&amp;ROW())=B95,INDIRECT(A96&amp;ROW())=C96),1,0))</f>
        <v>0</v>
      </c>
      <c r="K542">
        <f ca="1">DAYS360(INDIRECT(C68&amp;ROW()),TODAY())</f>
        <v>681</v>
      </c>
      <c r="L542">
        <f ca="1">DAYS360(INDIRECT(C69&amp;ROW()),TODAY())</f>
        <v>710</v>
      </c>
      <c r="M542">
        <f ca="1">HYPERLINK(CONCATENATE("https://bugzilla.houston.hp.com:1181/bugzilla/show_bug.cgi?id=",INDIRECT(C70&amp;ROW())),INDIRECT(C70&amp;ROW()))</f>
        <v>62225</v>
      </c>
      <c r="N542">
        <v>62225</v>
      </c>
      <c r="O542" t="s">
        <v>55</v>
      </c>
      <c r="P542" t="s">
        <v>1245</v>
      </c>
      <c r="Q542" t="s">
        <v>39</v>
      </c>
      <c r="R542" t="s">
        <v>248</v>
      </c>
      <c r="S542" t="s">
        <v>236</v>
      </c>
      <c r="T542" t="s">
        <v>1058</v>
      </c>
      <c r="U542" s="6">
        <v>42166.357604166667</v>
      </c>
      <c r="V542" t="s">
        <v>35</v>
      </c>
      <c r="W542" t="s">
        <v>783</v>
      </c>
      <c r="X542" s="6">
        <v>42136.329375000001</v>
      </c>
      <c r="Y542" t="s">
        <v>245</v>
      </c>
      <c r="AB542" t="s">
        <v>201</v>
      </c>
      <c r="AC542" t="s">
        <v>247</v>
      </c>
      <c r="AD542" t="s">
        <v>222</v>
      </c>
      <c r="AE542" t="s">
        <v>240</v>
      </c>
      <c r="AG542" t="s">
        <v>121</v>
      </c>
      <c r="AH542" t="s">
        <v>327</v>
      </c>
      <c r="AI542" t="s">
        <v>121</v>
      </c>
      <c r="AJ542" t="s">
        <v>715</v>
      </c>
      <c r="AK542" t="s">
        <v>121</v>
      </c>
    </row>
    <row r="543" spans="9:37" x14ac:dyDescent="0.3">
      <c r="I543">
        <f ca="1">IF(OR(INDIRECT(A73&amp;ROW())=B93,INDIRECT(A73&amp;ROW())=B94),1,IF(AND(INDIRECT(A73&amp;ROW())=B95,INDIRECT(A96&amp;ROW())=C93),1,IF(AND(INDIRECT(A73&amp;ROW())=B95,INDIRECT(A96&amp;ROW())=C94),1,0)))</f>
        <v>1</v>
      </c>
      <c r="J543">
        <f ca="1">IF(AND(INDIRECT(A73&amp;ROW())=B95,INDIRECT(A96&amp;ROW())=C95),1,IF(AND(INDIRECT(A73&amp;ROW())=B95,INDIRECT(A96&amp;ROW())=C96),1,0))</f>
        <v>0</v>
      </c>
      <c r="K543">
        <f ca="1">DAYS360(INDIRECT(C68&amp;ROW()),TODAY())</f>
        <v>684</v>
      </c>
      <c r="L543">
        <f ca="1">DAYS360(INDIRECT(C69&amp;ROW()),TODAY())</f>
        <v>710</v>
      </c>
      <c r="M543">
        <f ca="1">HYPERLINK(CONCATENATE("https://bugzilla.houston.hp.com:1181/bugzilla/show_bug.cgi?id=",INDIRECT(C70&amp;ROW())),INDIRECT(C70&amp;ROW()))</f>
        <v>62236</v>
      </c>
      <c r="N543">
        <v>62236</v>
      </c>
      <c r="O543" t="s">
        <v>188</v>
      </c>
      <c r="P543" t="s">
        <v>1042</v>
      </c>
      <c r="Q543" t="s">
        <v>39</v>
      </c>
      <c r="R543" t="s">
        <v>579</v>
      </c>
      <c r="S543" t="s">
        <v>552</v>
      </c>
      <c r="T543" t="s">
        <v>1054</v>
      </c>
      <c r="U543" s="6">
        <v>42163.623518518521</v>
      </c>
      <c r="V543" t="s">
        <v>18</v>
      </c>
      <c r="W543" t="s">
        <v>783</v>
      </c>
      <c r="X543" s="6">
        <v>42136.380937499998</v>
      </c>
      <c r="Y543" t="s">
        <v>119</v>
      </c>
      <c r="AB543" t="s">
        <v>201</v>
      </c>
      <c r="AC543" t="s">
        <v>247</v>
      </c>
      <c r="AD543" t="s">
        <v>220</v>
      </c>
      <c r="AE543" t="s">
        <v>229</v>
      </c>
      <c r="AG543" t="s">
        <v>121</v>
      </c>
      <c r="AH543" t="s">
        <v>327</v>
      </c>
      <c r="AI543" t="s">
        <v>121</v>
      </c>
      <c r="AJ543" t="s">
        <v>715</v>
      </c>
      <c r="AK543" t="s">
        <v>121</v>
      </c>
    </row>
    <row r="544" spans="9:37" x14ac:dyDescent="0.3">
      <c r="I544">
        <f ca="1">IF(OR(INDIRECT(A73&amp;ROW())=B93,INDIRECT(A73&amp;ROW())=B94),1,IF(AND(INDIRECT(A73&amp;ROW())=B95,INDIRECT(A96&amp;ROW())=C93),1,IF(AND(INDIRECT(A73&amp;ROW())=B95,INDIRECT(A96&amp;ROW())=C94),1,0)))</f>
        <v>1</v>
      </c>
      <c r="J544">
        <f ca="1">IF(AND(INDIRECT(A73&amp;ROW())=B95,INDIRECT(A96&amp;ROW())=C95),1,IF(AND(INDIRECT(A73&amp;ROW())=B95,INDIRECT(A96&amp;ROW())=C96),1,0))</f>
        <v>0</v>
      </c>
      <c r="K544">
        <f ca="1">DAYS360(INDIRECT(C68&amp;ROW()),TODAY())</f>
        <v>691</v>
      </c>
      <c r="L544">
        <f ca="1">DAYS360(INDIRECT(C69&amp;ROW()),TODAY())</f>
        <v>710</v>
      </c>
      <c r="M544">
        <f ca="1">HYPERLINK(CONCATENATE("https://bugzilla.houston.hp.com:1181/bugzilla/show_bug.cgi?id=",INDIRECT(C70&amp;ROW())),INDIRECT(C70&amp;ROW()))</f>
        <v>62267</v>
      </c>
      <c r="N544">
        <v>62267</v>
      </c>
      <c r="O544" t="s">
        <v>45</v>
      </c>
      <c r="P544" t="s">
        <v>1039</v>
      </c>
      <c r="Q544" t="s">
        <v>25</v>
      </c>
      <c r="R544" t="s">
        <v>579</v>
      </c>
      <c r="S544" t="s">
        <v>552</v>
      </c>
      <c r="U544" s="6">
        <v>42156.076747685183</v>
      </c>
      <c r="V544" t="s">
        <v>18</v>
      </c>
      <c r="W544" t="s">
        <v>57</v>
      </c>
      <c r="X544" s="6">
        <v>42136.578518518516</v>
      </c>
      <c r="Y544" t="s">
        <v>1026</v>
      </c>
      <c r="AB544" t="s">
        <v>200</v>
      </c>
      <c r="AC544" t="s">
        <v>247</v>
      </c>
      <c r="AD544" t="s">
        <v>220</v>
      </c>
      <c r="AE544" t="s">
        <v>290</v>
      </c>
      <c r="AG544" t="s">
        <v>121</v>
      </c>
      <c r="AH544" t="s">
        <v>327</v>
      </c>
      <c r="AI544" t="s">
        <v>121</v>
      </c>
      <c r="AJ544" t="s">
        <v>715</v>
      </c>
      <c r="AK544" t="s">
        <v>121</v>
      </c>
    </row>
    <row r="545" spans="9:37" x14ac:dyDescent="0.3">
      <c r="I545">
        <f ca="1">IF(OR(INDIRECT(A73&amp;ROW())=B93,INDIRECT(A73&amp;ROW())=B94),1,IF(AND(INDIRECT(A73&amp;ROW())=B95,INDIRECT(A96&amp;ROW())=C93),1,IF(AND(INDIRECT(A73&amp;ROW())=B95,INDIRECT(A96&amp;ROW())=C94),1,0)))</f>
        <v>1</v>
      </c>
      <c r="J545">
        <f ca="1">IF(AND(INDIRECT(A73&amp;ROW())=B95,INDIRECT(A96&amp;ROW())=C95),1,IF(AND(INDIRECT(A73&amp;ROW())=B95,INDIRECT(A96&amp;ROW())=C96),1,0))</f>
        <v>0</v>
      </c>
      <c r="K545">
        <f ca="1">DAYS360(INDIRECT(C68&amp;ROW()),TODAY())</f>
        <v>710</v>
      </c>
      <c r="L545">
        <f ca="1">DAYS360(INDIRECT(C69&amp;ROW()),TODAY())</f>
        <v>710</v>
      </c>
      <c r="M545">
        <f ca="1">HYPERLINK(CONCATENATE("https://bugzilla.houston.hp.com:1181/bugzilla/show_bug.cgi?id=",INDIRECT(C70&amp;ROW())),INDIRECT(C70&amp;ROW()))</f>
        <v>62279</v>
      </c>
      <c r="N545">
        <v>62279</v>
      </c>
      <c r="O545" t="s">
        <v>45</v>
      </c>
      <c r="P545" t="s">
        <v>1036</v>
      </c>
      <c r="Q545" t="s">
        <v>38</v>
      </c>
      <c r="R545" t="s">
        <v>248</v>
      </c>
      <c r="S545" t="s">
        <v>552</v>
      </c>
      <c r="U545" s="6">
        <v>42136.598391203705</v>
      </c>
      <c r="V545" t="s">
        <v>18</v>
      </c>
      <c r="W545" t="s">
        <v>248</v>
      </c>
      <c r="X545" s="6">
        <v>42136.598391203705</v>
      </c>
      <c r="Y545" t="s">
        <v>793</v>
      </c>
      <c r="AB545" t="s">
        <v>201</v>
      </c>
      <c r="AC545" t="s">
        <v>247</v>
      </c>
      <c r="AD545" t="s">
        <v>227</v>
      </c>
      <c r="AE545" t="s">
        <v>226</v>
      </c>
      <c r="AG545" t="s">
        <v>121</v>
      </c>
      <c r="AH545" t="s">
        <v>327</v>
      </c>
      <c r="AI545" t="s">
        <v>121</v>
      </c>
      <c r="AJ545" t="s">
        <v>715</v>
      </c>
      <c r="AK545" t="s">
        <v>121</v>
      </c>
    </row>
    <row r="546" spans="9:37" x14ac:dyDescent="0.3">
      <c r="I546">
        <f ca="1">IF(OR(INDIRECT(A73&amp;ROW())=B93,INDIRECT(A73&amp;ROW())=B94),1,IF(AND(INDIRECT(A73&amp;ROW())=B95,INDIRECT(A96&amp;ROW())=C93),1,IF(AND(INDIRECT(A73&amp;ROW())=B95,INDIRECT(A96&amp;ROW())=C94),1,0)))</f>
        <v>0</v>
      </c>
      <c r="J546">
        <f ca="1">IF(AND(INDIRECT(A73&amp;ROW())=B95,INDIRECT(A96&amp;ROW())=C95),1,IF(AND(INDIRECT(A73&amp;ROW())=B95,INDIRECT(A96&amp;ROW())=C96),1,0))</f>
        <v>1</v>
      </c>
      <c r="K546">
        <f ca="1">DAYS360(INDIRECT(C68&amp;ROW()),TODAY())</f>
        <v>710</v>
      </c>
      <c r="L546">
        <f ca="1">DAYS360(INDIRECT(C69&amp;ROW()),TODAY())</f>
        <v>710</v>
      </c>
      <c r="M546">
        <f ca="1">HYPERLINK(CONCATENATE("https://bugzilla.houston.hp.com:1181/bugzilla/show_bug.cgi?id=",INDIRECT(C70&amp;ROW())),INDIRECT(C70&amp;ROW()))</f>
        <v>62282</v>
      </c>
      <c r="N546">
        <v>62282</v>
      </c>
      <c r="O546" t="s">
        <v>53</v>
      </c>
      <c r="P546" t="s">
        <v>1035</v>
      </c>
      <c r="Q546" t="s">
        <v>25</v>
      </c>
      <c r="R546" t="s">
        <v>248</v>
      </c>
      <c r="S546" t="s">
        <v>552</v>
      </c>
      <c r="U546" s="6">
        <v>42136.615694444445</v>
      </c>
      <c r="V546" t="s">
        <v>18</v>
      </c>
      <c r="W546" t="s">
        <v>17</v>
      </c>
      <c r="X546" s="6">
        <v>42136.615694444445</v>
      </c>
      <c r="Y546" t="s">
        <v>118</v>
      </c>
      <c r="AB546" t="s">
        <v>201</v>
      </c>
      <c r="AC546" t="s">
        <v>1027</v>
      </c>
      <c r="AD546" t="s">
        <v>220</v>
      </c>
      <c r="AE546" t="s">
        <v>219</v>
      </c>
      <c r="AG546" t="s">
        <v>121</v>
      </c>
      <c r="AH546" t="s">
        <v>327</v>
      </c>
      <c r="AI546" t="s">
        <v>121</v>
      </c>
      <c r="AJ546" t="s">
        <v>716</v>
      </c>
      <c r="AK546" t="s">
        <v>121</v>
      </c>
    </row>
    <row r="547" spans="9:37" x14ac:dyDescent="0.3">
      <c r="I547">
        <f ca="1">IF(OR(INDIRECT(A73&amp;ROW())=B93,INDIRECT(A73&amp;ROW())=B94),1,IF(AND(INDIRECT(A73&amp;ROW())=B95,INDIRECT(A96&amp;ROW())=C93),1,IF(AND(INDIRECT(A73&amp;ROW())=B95,INDIRECT(A96&amp;ROW())=C94),1,0)))</f>
        <v>0</v>
      </c>
      <c r="J547">
        <f ca="1">IF(AND(INDIRECT(A73&amp;ROW())=B95,INDIRECT(A96&amp;ROW())=C95),1,IF(AND(INDIRECT(A73&amp;ROW())=B95,INDIRECT(A96&amp;ROW())=C96),1,0))</f>
        <v>1</v>
      </c>
      <c r="K547">
        <f ca="1">DAYS360(INDIRECT(C68&amp;ROW()),TODAY())</f>
        <v>690</v>
      </c>
      <c r="L547">
        <f ca="1">DAYS360(INDIRECT(C69&amp;ROW()),TODAY())</f>
        <v>710</v>
      </c>
      <c r="M547">
        <f ca="1">HYPERLINK(CONCATENATE("https://bugzilla.houston.hp.com:1181/bugzilla/show_bug.cgi?id=",INDIRECT(C70&amp;ROW())),INDIRECT(C70&amp;ROW()))</f>
        <v>62284</v>
      </c>
      <c r="N547">
        <v>62284</v>
      </c>
      <c r="O547" t="s">
        <v>66</v>
      </c>
      <c r="P547" t="s">
        <v>1034</v>
      </c>
      <c r="Q547" t="s">
        <v>25</v>
      </c>
      <c r="R547" t="s">
        <v>783</v>
      </c>
      <c r="S547" t="s">
        <v>552</v>
      </c>
      <c r="T547" t="s">
        <v>794</v>
      </c>
      <c r="U547" s="6">
        <v>42157.1171412037</v>
      </c>
      <c r="V547" t="s">
        <v>18</v>
      </c>
      <c r="W547" t="s">
        <v>17</v>
      </c>
      <c r="X547" s="6">
        <v>42136.619583333333</v>
      </c>
      <c r="Y547" t="s">
        <v>119</v>
      </c>
      <c r="AB547" t="s">
        <v>201</v>
      </c>
      <c r="AC547" t="s">
        <v>247</v>
      </c>
      <c r="AD547" t="s">
        <v>220</v>
      </c>
      <c r="AE547" t="s">
        <v>223</v>
      </c>
      <c r="AG547" t="s">
        <v>121</v>
      </c>
      <c r="AH547" t="s">
        <v>64</v>
      </c>
      <c r="AI547" t="s">
        <v>121</v>
      </c>
      <c r="AJ547" t="s">
        <v>716</v>
      </c>
      <c r="AK547" t="s">
        <v>121</v>
      </c>
    </row>
    <row r="548" spans="9:37" x14ac:dyDescent="0.3">
      <c r="I548">
        <f ca="1">IF(OR(INDIRECT(A73&amp;ROW())=B93,INDIRECT(A73&amp;ROW())=B94),1,IF(AND(INDIRECT(A73&amp;ROW())=B95,INDIRECT(A96&amp;ROW())=C93),1,IF(AND(INDIRECT(A73&amp;ROW())=B95,INDIRECT(A96&amp;ROW())=C94),1,0)))</f>
        <v>0</v>
      </c>
      <c r="J548">
        <f ca="1">IF(AND(INDIRECT(A73&amp;ROW())=B95,INDIRECT(A96&amp;ROW())=C95),1,IF(AND(INDIRECT(A73&amp;ROW())=B95,INDIRECT(A96&amp;ROW())=C96),1,0))</f>
        <v>1</v>
      </c>
      <c r="K548">
        <f ca="1">DAYS360(INDIRECT(C68&amp;ROW()),TODAY())</f>
        <v>690</v>
      </c>
      <c r="L548">
        <f ca="1">DAYS360(INDIRECT(C69&amp;ROW()),TODAY())</f>
        <v>710</v>
      </c>
      <c r="M548">
        <f ca="1">HYPERLINK(CONCATENATE("https://bugzilla.houston.hp.com:1181/bugzilla/show_bug.cgi?id=",INDIRECT(C70&amp;ROW())),INDIRECT(C70&amp;ROW()))</f>
        <v>62285</v>
      </c>
      <c r="N548">
        <v>62285</v>
      </c>
      <c r="O548" t="s">
        <v>66</v>
      </c>
      <c r="P548" t="s">
        <v>1033</v>
      </c>
      <c r="Q548" t="s">
        <v>25</v>
      </c>
      <c r="R548" t="s">
        <v>248</v>
      </c>
      <c r="S548" t="s">
        <v>552</v>
      </c>
      <c r="T548" t="s">
        <v>794</v>
      </c>
      <c r="U548" s="6">
        <v>42157.117662037039</v>
      </c>
      <c r="V548" t="s">
        <v>18</v>
      </c>
      <c r="W548" t="s">
        <v>17</v>
      </c>
      <c r="X548" s="6">
        <v>42136.619699074072</v>
      </c>
      <c r="Y548" t="s">
        <v>119</v>
      </c>
      <c r="AB548" t="s">
        <v>201</v>
      </c>
      <c r="AC548" t="s">
        <v>247</v>
      </c>
      <c r="AD548" t="s">
        <v>220</v>
      </c>
      <c r="AE548" t="s">
        <v>223</v>
      </c>
      <c r="AG548" t="s">
        <v>121</v>
      </c>
      <c r="AH548" t="s">
        <v>64</v>
      </c>
      <c r="AI548" t="s">
        <v>121</v>
      </c>
      <c r="AJ548" t="s">
        <v>716</v>
      </c>
      <c r="AK548" t="s">
        <v>121</v>
      </c>
    </row>
    <row r="549" spans="9:37" x14ac:dyDescent="0.3">
      <c r="I549">
        <f ca="1">IF(OR(INDIRECT(A73&amp;ROW())=B93,INDIRECT(A73&amp;ROW())=B94),1,IF(AND(INDIRECT(A73&amp;ROW())=B95,INDIRECT(A96&amp;ROW())=C93),1,IF(AND(INDIRECT(A73&amp;ROW())=B95,INDIRECT(A96&amp;ROW())=C94),1,0)))</f>
        <v>0</v>
      </c>
      <c r="J549">
        <f ca="1">IF(AND(INDIRECT(A73&amp;ROW())=B95,INDIRECT(A96&amp;ROW())=C95),1,IF(AND(INDIRECT(A73&amp;ROW())=B95,INDIRECT(A96&amp;ROW())=C96),1,0))</f>
        <v>0</v>
      </c>
      <c r="K549">
        <f ca="1">DAYS360(INDIRECT(C68&amp;ROW()),TODAY())</f>
        <v>710</v>
      </c>
      <c r="L549">
        <f ca="1">DAYS360(INDIRECT(C69&amp;ROW()),TODAY())</f>
        <v>710</v>
      </c>
      <c r="M549">
        <f ca="1">HYPERLINK(CONCATENATE("https://bugzilla.houston.hp.com:1181/bugzilla/show_bug.cgi?id=",INDIRECT(C70&amp;ROW())),INDIRECT(C70&amp;ROW()))</f>
        <v>62294</v>
      </c>
      <c r="N549">
        <v>62294</v>
      </c>
      <c r="O549" t="s">
        <v>66</v>
      </c>
      <c r="P549" t="s">
        <v>1032</v>
      </c>
      <c r="Q549" t="s">
        <v>16</v>
      </c>
      <c r="R549" t="s">
        <v>248</v>
      </c>
      <c r="S549" t="s">
        <v>552</v>
      </c>
      <c r="U549" s="6">
        <v>42136.635416666664</v>
      </c>
      <c r="V549" t="s">
        <v>18</v>
      </c>
      <c r="W549" t="s">
        <v>17</v>
      </c>
      <c r="X549" s="6">
        <v>42136.635416666664</v>
      </c>
      <c r="Y549" t="s">
        <v>255</v>
      </c>
      <c r="AB549" t="s">
        <v>201</v>
      </c>
      <c r="AC549" t="s">
        <v>247</v>
      </c>
      <c r="AD549" t="s">
        <v>220</v>
      </c>
      <c r="AE549" t="s">
        <v>219</v>
      </c>
      <c r="AG549" t="s">
        <v>121</v>
      </c>
      <c r="AH549" t="s">
        <v>327</v>
      </c>
      <c r="AI549" t="s">
        <v>121</v>
      </c>
      <c r="AJ549" t="s">
        <v>716</v>
      </c>
      <c r="AK549" t="s">
        <v>121</v>
      </c>
    </row>
    <row r="550" spans="9:37" x14ac:dyDescent="0.3">
      <c r="I550">
        <f ca="1">IF(OR(INDIRECT(A73&amp;ROW())=B93,INDIRECT(A73&amp;ROW())=B94),1,IF(AND(INDIRECT(A73&amp;ROW())=B95,INDIRECT(A96&amp;ROW())=C93),1,IF(AND(INDIRECT(A73&amp;ROW())=B95,INDIRECT(A96&amp;ROW())=C94),1,0)))</f>
        <v>0</v>
      </c>
      <c r="J550">
        <f ca="1">IF(AND(INDIRECT(A73&amp;ROW())=B95,INDIRECT(A96&amp;ROW())=C95),1,IF(AND(INDIRECT(A73&amp;ROW())=B95,INDIRECT(A96&amp;ROW())=C96),1,0))</f>
        <v>0</v>
      </c>
      <c r="K550">
        <f ca="1">DAYS360(INDIRECT(C68&amp;ROW()),TODAY())</f>
        <v>710</v>
      </c>
      <c r="L550">
        <f ca="1">DAYS360(INDIRECT(C69&amp;ROW()),TODAY())</f>
        <v>710</v>
      </c>
      <c r="M550">
        <f ca="1">HYPERLINK(CONCATENATE("https://bugzilla.houston.hp.com:1181/bugzilla/show_bug.cgi?id=",INDIRECT(C70&amp;ROW())),INDIRECT(C70&amp;ROW()))</f>
        <v>62296</v>
      </c>
      <c r="N550">
        <v>62296</v>
      </c>
      <c r="O550" t="s">
        <v>43</v>
      </c>
      <c r="P550" t="s">
        <v>1031</v>
      </c>
      <c r="Q550" t="s">
        <v>16</v>
      </c>
      <c r="R550" t="s">
        <v>248</v>
      </c>
      <c r="S550" t="s">
        <v>552</v>
      </c>
      <c r="T550" t="s">
        <v>794</v>
      </c>
      <c r="U550" s="6">
        <v>42136.636666666665</v>
      </c>
      <c r="V550" t="s">
        <v>18</v>
      </c>
      <c r="W550" t="s">
        <v>17</v>
      </c>
      <c r="X550" s="6">
        <v>42136.636666666665</v>
      </c>
      <c r="Y550" t="s">
        <v>124</v>
      </c>
      <c r="AB550" t="s">
        <v>201</v>
      </c>
      <c r="AC550" t="s">
        <v>247</v>
      </c>
      <c r="AD550" t="s">
        <v>220</v>
      </c>
      <c r="AE550" t="s">
        <v>219</v>
      </c>
      <c r="AG550" t="s">
        <v>121</v>
      </c>
      <c r="AH550" t="s">
        <v>327</v>
      </c>
      <c r="AI550" t="s">
        <v>121</v>
      </c>
      <c r="AJ550" t="s">
        <v>717</v>
      </c>
      <c r="AK550" t="s">
        <v>121</v>
      </c>
    </row>
    <row r="551" spans="9:37" x14ac:dyDescent="0.3">
      <c r="I551">
        <f ca="1">IF(OR(INDIRECT(A73&amp;ROW())=B93,INDIRECT(A73&amp;ROW())=B94),1,IF(AND(INDIRECT(A73&amp;ROW())=B95,INDIRECT(A96&amp;ROW())=C93),1,IF(AND(INDIRECT(A73&amp;ROW())=B95,INDIRECT(A96&amp;ROW())=C94),1,0)))</f>
        <v>0</v>
      </c>
      <c r="J551">
        <f ca="1">IF(AND(INDIRECT(A73&amp;ROW())=B95,INDIRECT(A96&amp;ROW())=C95),1,IF(AND(INDIRECT(A73&amp;ROW())=B95,INDIRECT(A96&amp;ROW())=C96),1,0))</f>
        <v>0</v>
      </c>
      <c r="K551">
        <f ca="1">DAYS360(INDIRECT(C68&amp;ROW()),TODAY())</f>
        <v>710</v>
      </c>
      <c r="L551">
        <f ca="1">DAYS360(INDIRECT(C69&amp;ROW()),TODAY())</f>
        <v>710</v>
      </c>
      <c r="M551">
        <f ca="1">HYPERLINK(CONCATENATE("https://bugzilla.houston.hp.com:1181/bugzilla/show_bug.cgi?id=",INDIRECT(C70&amp;ROW())),INDIRECT(C70&amp;ROW()))</f>
        <v>62298</v>
      </c>
      <c r="N551">
        <v>62298</v>
      </c>
      <c r="O551" t="s">
        <v>66</v>
      </c>
      <c r="P551" t="s">
        <v>1030</v>
      </c>
      <c r="Q551" t="s">
        <v>16</v>
      </c>
      <c r="R551" t="s">
        <v>248</v>
      </c>
      <c r="S551" t="s">
        <v>552</v>
      </c>
      <c r="U551" s="6">
        <v>42136.646863425929</v>
      </c>
      <c r="V551" t="s">
        <v>18</v>
      </c>
      <c r="W551" t="s">
        <v>17</v>
      </c>
      <c r="X551" s="6">
        <v>42136.646863425929</v>
      </c>
      <c r="Y551" t="s">
        <v>122</v>
      </c>
      <c r="AB551" t="s">
        <v>201</v>
      </c>
      <c r="AC551" t="s">
        <v>247</v>
      </c>
      <c r="AD551" t="s">
        <v>220</v>
      </c>
      <c r="AE551" t="s">
        <v>290</v>
      </c>
      <c r="AG551" t="s">
        <v>121</v>
      </c>
      <c r="AH551" t="s">
        <v>1029</v>
      </c>
      <c r="AI551" t="s">
        <v>121</v>
      </c>
      <c r="AJ551" t="s">
        <v>717</v>
      </c>
      <c r="AK551" t="s">
        <v>121</v>
      </c>
    </row>
    <row r="552" spans="9:37" x14ac:dyDescent="0.3">
      <c r="I552">
        <f ca="1">IF(OR(INDIRECT(A73&amp;ROW())=B93,INDIRECT(A73&amp;ROW())=B94),1,IF(AND(INDIRECT(A73&amp;ROW())=B95,INDIRECT(A96&amp;ROW())=C93),1,IF(AND(INDIRECT(A73&amp;ROW())=B95,INDIRECT(A96&amp;ROW())=C94),1,0)))</f>
        <v>1</v>
      </c>
      <c r="J552">
        <f ca="1">IF(AND(INDIRECT(A73&amp;ROW())=B95,INDIRECT(A96&amp;ROW())=C95),1,IF(AND(INDIRECT(A73&amp;ROW())=B95,INDIRECT(A96&amp;ROW())=C96),1,0))</f>
        <v>0</v>
      </c>
      <c r="K552">
        <f ca="1">DAYS360(INDIRECT(C68&amp;ROW()),TODAY())</f>
        <v>683</v>
      </c>
      <c r="L552">
        <f ca="1">DAYS360(INDIRECT(C69&amp;ROW()),TODAY())</f>
        <v>709</v>
      </c>
      <c r="M552">
        <f ca="1">HYPERLINK(CONCATENATE("https://bugzilla.houston.hp.com:1181/bugzilla/show_bug.cgi?id=",INDIRECT(C70&amp;ROW())),INDIRECT(C70&amp;ROW()))</f>
        <v>62330</v>
      </c>
      <c r="N552">
        <v>62330</v>
      </c>
      <c r="O552" t="s">
        <v>56</v>
      </c>
      <c r="P552" t="s">
        <v>1244</v>
      </c>
      <c r="Q552" t="s">
        <v>25</v>
      </c>
      <c r="R552" t="s">
        <v>579</v>
      </c>
      <c r="S552" t="s">
        <v>552</v>
      </c>
      <c r="U552" s="6">
        <v>42164.44809027778</v>
      </c>
      <c r="V552" t="s">
        <v>18</v>
      </c>
      <c r="W552" t="s">
        <v>17</v>
      </c>
      <c r="X552" s="6">
        <v>42137.214143518519</v>
      </c>
      <c r="Y552" t="s">
        <v>125</v>
      </c>
      <c r="AB552" t="s">
        <v>200</v>
      </c>
      <c r="AC552" t="s">
        <v>247</v>
      </c>
      <c r="AD552" t="s">
        <v>220</v>
      </c>
      <c r="AE552" t="s">
        <v>224</v>
      </c>
      <c r="AG552" t="s">
        <v>121</v>
      </c>
      <c r="AH552" t="s">
        <v>327</v>
      </c>
      <c r="AI552" t="s">
        <v>121</v>
      </c>
      <c r="AJ552" t="s">
        <v>715</v>
      </c>
      <c r="AK552" t="s">
        <v>121</v>
      </c>
    </row>
    <row r="553" spans="9:37" x14ac:dyDescent="0.3">
      <c r="I553">
        <f ca="1">IF(OR(INDIRECT(A73&amp;ROW())=B93,INDIRECT(A73&amp;ROW())=B94),1,IF(AND(INDIRECT(A73&amp;ROW())=B95,INDIRECT(A96&amp;ROW())=C93),1,IF(AND(INDIRECT(A73&amp;ROW())=B95,INDIRECT(A96&amp;ROW())=C94),1,0)))</f>
        <v>0</v>
      </c>
      <c r="J553">
        <f ca="1">IF(AND(INDIRECT(A73&amp;ROW())=B95,INDIRECT(A96&amp;ROW())=C95),1,IF(AND(INDIRECT(A73&amp;ROW())=B95,INDIRECT(A96&amp;ROW())=C96),1,0))</f>
        <v>1</v>
      </c>
      <c r="K553">
        <f ca="1">DAYS360(INDIRECT(C68&amp;ROW()),TODAY())</f>
        <v>709</v>
      </c>
      <c r="L553">
        <f ca="1">DAYS360(INDIRECT(C69&amp;ROW()),TODAY())</f>
        <v>709</v>
      </c>
      <c r="M553">
        <f ca="1">HYPERLINK(CONCATENATE("https://bugzilla.houston.hp.com:1181/bugzilla/show_bug.cgi?id=",INDIRECT(C70&amp;ROW())),INDIRECT(C70&amp;ROW()))</f>
        <v>62359</v>
      </c>
      <c r="N553">
        <v>62359</v>
      </c>
      <c r="O553" t="s">
        <v>22</v>
      </c>
      <c r="P553" t="s">
        <v>1057</v>
      </c>
      <c r="Q553" t="s">
        <v>25</v>
      </c>
      <c r="R553" t="s">
        <v>251</v>
      </c>
      <c r="S553" t="s">
        <v>44</v>
      </c>
      <c r="U553" s="6">
        <v>42137.510567129626</v>
      </c>
      <c r="V553" t="s">
        <v>18</v>
      </c>
      <c r="W553" t="s">
        <v>783</v>
      </c>
      <c r="X553" s="6">
        <v>42137.476770833331</v>
      </c>
      <c r="Y553" t="s">
        <v>118</v>
      </c>
      <c r="AB553" t="s">
        <v>201</v>
      </c>
      <c r="AC553" t="s">
        <v>247</v>
      </c>
      <c r="AD553" t="s">
        <v>222</v>
      </c>
      <c r="AE553" t="s">
        <v>221</v>
      </c>
      <c r="AG553" t="s">
        <v>121</v>
      </c>
      <c r="AH553" t="s">
        <v>327</v>
      </c>
      <c r="AI553" t="s">
        <v>121</v>
      </c>
      <c r="AJ553" t="s">
        <v>716</v>
      </c>
      <c r="AK553" t="s">
        <v>121</v>
      </c>
    </row>
    <row r="554" spans="9:37" x14ac:dyDescent="0.3">
      <c r="I554">
        <f ca="1">IF(OR(INDIRECT(A73&amp;ROW())=B93,INDIRECT(A73&amp;ROW())=B94),1,IF(AND(INDIRECT(A73&amp;ROW())=B95,INDIRECT(A96&amp;ROW())=C93),1,IF(AND(INDIRECT(A73&amp;ROW())=B95,INDIRECT(A96&amp;ROW())=C94),1,0)))</f>
        <v>0</v>
      </c>
      <c r="J554">
        <f ca="1">IF(AND(INDIRECT(A73&amp;ROW())=B95,INDIRECT(A96&amp;ROW())=C95),1,IF(AND(INDIRECT(A73&amp;ROW())=B95,INDIRECT(A96&amp;ROW())=C96),1,0))</f>
        <v>1</v>
      </c>
      <c r="K554">
        <f ca="1">DAYS360(INDIRECT(C68&amp;ROW()),TODAY())</f>
        <v>709</v>
      </c>
      <c r="L554">
        <f ca="1">DAYS360(INDIRECT(C69&amp;ROW()),TODAY())</f>
        <v>709</v>
      </c>
      <c r="M554">
        <f ca="1">HYPERLINK(CONCATENATE("https://bugzilla.houston.hp.com:1181/bugzilla/show_bug.cgi?id=",INDIRECT(C70&amp;ROW())),INDIRECT(C70&amp;ROW()))</f>
        <v>62363</v>
      </c>
      <c r="N554">
        <v>62363</v>
      </c>
      <c r="O554" t="s">
        <v>22</v>
      </c>
      <c r="P554" t="s">
        <v>1056</v>
      </c>
      <c r="Q554" t="s">
        <v>25</v>
      </c>
      <c r="R554" t="s">
        <v>783</v>
      </c>
      <c r="S554" t="s">
        <v>552</v>
      </c>
      <c r="U554" s="6">
        <v>42137.500509259262</v>
      </c>
      <c r="V554" t="s">
        <v>18</v>
      </c>
      <c r="W554" t="s">
        <v>783</v>
      </c>
      <c r="X554" s="6">
        <v>42137.500509259262</v>
      </c>
      <c r="Y554" t="s">
        <v>118</v>
      </c>
      <c r="AB554" t="s">
        <v>201</v>
      </c>
      <c r="AC554" t="s">
        <v>247</v>
      </c>
      <c r="AD554" t="s">
        <v>222</v>
      </c>
      <c r="AE554" t="s">
        <v>221</v>
      </c>
      <c r="AG554" t="s">
        <v>121</v>
      </c>
      <c r="AH554" t="s">
        <v>327</v>
      </c>
      <c r="AI554" t="s">
        <v>121</v>
      </c>
      <c r="AJ554" t="s">
        <v>716</v>
      </c>
      <c r="AK554" t="s">
        <v>121</v>
      </c>
    </row>
    <row r="555" spans="9:37" x14ac:dyDescent="0.3">
      <c r="I555">
        <f ca="1">IF(OR(INDIRECT(A73&amp;ROW())=B93,INDIRECT(A73&amp;ROW())=B94),1,IF(AND(INDIRECT(A73&amp;ROW())=B95,INDIRECT(A96&amp;ROW())=C93),1,IF(AND(INDIRECT(A73&amp;ROW())=B95,INDIRECT(A96&amp;ROW())=C94),1,0)))</f>
        <v>0</v>
      </c>
      <c r="J555">
        <f ca="1">IF(AND(INDIRECT(A73&amp;ROW())=B95,INDIRECT(A96&amp;ROW())=C95),1,IF(AND(INDIRECT(A73&amp;ROW())=B95,INDIRECT(A96&amp;ROW())=C96),1,0))</f>
        <v>1</v>
      </c>
      <c r="K555">
        <f ca="1">DAYS360(INDIRECT(C68&amp;ROW()),TODAY())</f>
        <v>709</v>
      </c>
      <c r="L555">
        <f ca="1">DAYS360(INDIRECT(C69&amp;ROW()),TODAY())</f>
        <v>709</v>
      </c>
      <c r="M555">
        <f ca="1">HYPERLINK(CONCATENATE("https://bugzilla.houston.hp.com:1181/bugzilla/show_bug.cgi?id=",INDIRECT(C70&amp;ROW())),INDIRECT(C70&amp;ROW()))</f>
        <v>62364</v>
      </c>
      <c r="N555">
        <v>62364</v>
      </c>
      <c r="O555" t="s">
        <v>22</v>
      </c>
      <c r="P555" t="s">
        <v>1055</v>
      </c>
      <c r="Q555" t="s">
        <v>25</v>
      </c>
      <c r="R555" t="s">
        <v>248</v>
      </c>
      <c r="S555" t="s">
        <v>552</v>
      </c>
      <c r="U555" s="6">
        <v>42137.500567129631</v>
      </c>
      <c r="V555" t="s">
        <v>18</v>
      </c>
      <c r="W555" t="s">
        <v>783</v>
      </c>
      <c r="X555" s="6">
        <v>42137.500567129631</v>
      </c>
      <c r="Y555" t="s">
        <v>118</v>
      </c>
      <c r="AB555" t="s">
        <v>201</v>
      </c>
      <c r="AC555" t="s">
        <v>247</v>
      </c>
      <c r="AD555" t="s">
        <v>222</v>
      </c>
      <c r="AE555" t="s">
        <v>221</v>
      </c>
      <c r="AG555" t="s">
        <v>121</v>
      </c>
      <c r="AH555" t="s">
        <v>327</v>
      </c>
      <c r="AI555" t="s">
        <v>121</v>
      </c>
      <c r="AJ555" t="s">
        <v>716</v>
      </c>
      <c r="AK555" t="s">
        <v>121</v>
      </c>
    </row>
    <row r="556" spans="9:37" x14ac:dyDescent="0.3">
      <c r="I556">
        <f ca="1">IF(OR(INDIRECT(A73&amp;ROW())=B93,INDIRECT(A73&amp;ROW())=B94),1,IF(AND(INDIRECT(A73&amp;ROW())=B95,INDIRECT(A96&amp;ROW())=C93),1,IF(AND(INDIRECT(A73&amp;ROW())=B95,INDIRECT(A96&amp;ROW())=C94),1,0)))</f>
        <v>1</v>
      </c>
      <c r="J556">
        <f ca="1">IF(AND(INDIRECT(A73&amp;ROW())=B95,INDIRECT(A96&amp;ROW())=C95),1,IF(AND(INDIRECT(A73&amp;ROW())=B95,INDIRECT(A96&amp;ROW())=C96),1,0))</f>
        <v>0</v>
      </c>
      <c r="K556">
        <f ca="1">DAYS360(INDIRECT(C68&amp;ROW()),TODAY())</f>
        <v>687</v>
      </c>
      <c r="L556">
        <f ca="1">DAYS360(INDIRECT(C69&amp;ROW()),TODAY())</f>
        <v>708</v>
      </c>
      <c r="M556">
        <f ca="1">HYPERLINK(CONCATENATE("https://bugzilla.houston.hp.com:1181/bugzilla/show_bug.cgi?id=",INDIRECT(C70&amp;ROW())),INDIRECT(C70&amp;ROW()))</f>
        <v>62438</v>
      </c>
      <c r="N556">
        <v>62438</v>
      </c>
      <c r="O556" t="s">
        <v>56</v>
      </c>
      <c r="P556" t="s">
        <v>1064</v>
      </c>
      <c r="Q556" t="s">
        <v>25</v>
      </c>
      <c r="R556" t="s">
        <v>248</v>
      </c>
      <c r="S556" t="s">
        <v>552</v>
      </c>
      <c r="U556" s="6">
        <v>42160.492615740739</v>
      </c>
      <c r="V556" t="s">
        <v>18</v>
      </c>
      <c r="W556" t="s">
        <v>248</v>
      </c>
      <c r="X556" s="6">
        <v>42138.516712962963</v>
      </c>
      <c r="Y556" t="s">
        <v>123</v>
      </c>
      <c r="AB556" t="s">
        <v>200</v>
      </c>
      <c r="AC556" t="s">
        <v>247</v>
      </c>
      <c r="AD556" t="s">
        <v>220</v>
      </c>
      <c r="AE556" t="s">
        <v>219</v>
      </c>
      <c r="AG556" t="s">
        <v>121</v>
      </c>
      <c r="AH556" t="s">
        <v>327</v>
      </c>
      <c r="AI556" t="s">
        <v>121</v>
      </c>
      <c r="AJ556" t="s">
        <v>715</v>
      </c>
      <c r="AK556" t="s">
        <v>121</v>
      </c>
    </row>
    <row r="557" spans="9:37" x14ac:dyDescent="0.3">
      <c r="I557">
        <f ca="1">IF(OR(INDIRECT(A73&amp;ROW())=B93,INDIRECT(A73&amp;ROW())=B94),1,IF(AND(INDIRECT(A73&amp;ROW())=B95,INDIRECT(A96&amp;ROW())=C93),1,IF(AND(INDIRECT(A73&amp;ROW())=B95,INDIRECT(A96&amp;ROW())=C94),1,0)))</f>
        <v>0</v>
      </c>
      <c r="J557">
        <f ca="1">IF(AND(INDIRECT(A73&amp;ROW())=B95,INDIRECT(A96&amp;ROW())=C95),1,IF(AND(INDIRECT(A73&amp;ROW())=B95,INDIRECT(A96&amp;ROW())=C96),1,0))</f>
        <v>1</v>
      </c>
      <c r="K557">
        <f ca="1">DAYS360(INDIRECT(C68&amp;ROW()),TODAY())</f>
        <v>705</v>
      </c>
      <c r="L557">
        <f ca="1">DAYS360(INDIRECT(C69&amp;ROW()),TODAY())</f>
        <v>705</v>
      </c>
      <c r="M557">
        <f ca="1">HYPERLINK(CONCATENATE("https://bugzilla.houston.hp.com:1181/bugzilla/show_bug.cgi?id=",INDIRECT(C70&amp;ROW())),INDIRECT(C70&amp;ROW()))</f>
        <v>62508</v>
      </c>
      <c r="N557">
        <v>62508</v>
      </c>
      <c r="O557" t="s">
        <v>56</v>
      </c>
      <c r="P557" t="s">
        <v>1063</v>
      </c>
      <c r="Q557" t="s">
        <v>25</v>
      </c>
      <c r="R557" t="s">
        <v>783</v>
      </c>
      <c r="S557" t="s">
        <v>236</v>
      </c>
      <c r="U557" s="6">
        <v>42141.688692129632</v>
      </c>
      <c r="V557" t="s">
        <v>35</v>
      </c>
      <c r="W557" t="s">
        <v>764</v>
      </c>
      <c r="X557" s="6">
        <v>42141.688692129632</v>
      </c>
      <c r="Y557" t="s">
        <v>246</v>
      </c>
      <c r="AB557" t="s">
        <v>201</v>
      </c>
      <c r="AC557" t="s">
        <v>247</v>
      </c>
      <c r="AD557" t="s">
        <v>220</v>
      </c>
      <c r="AE557" t="s">
        <v>219</v>
      </c>
      <c r="AG557" t="s">
        <v>121</v>
      </c>
      <c r="AH557" t="s">
        <v>768</v>
      </c>
      <c r="AI557" t="s">
        <v>121</v>
      </c>
      <c r="AJ557" t="s">
        <v>716</v>
      </c>
      <c r="AK557" t="s">
        <v>121</v>
      </c>
    </row>
    <row r="558" spans="9:37" x14ac:dyDescent="0.3">
      <c r="I558">
        <f ca="1">IF(OR(INDIRECT(A73&amp;ROW())=B93,INDIRECT(A73&amp;ROW())=B94),1,IF(AND(INDIRECT(A73&amp;ROW())=B95,INDIRECT(A96&amp;ROW())=C93),1,IF(AND(INDIRECT(A73&amp;ROW())=B95,INDIRECT(A96&amp;ROW())=C94),1,0)))</f>
        <v>1</v>
      </c>
      <c r="J558">
        <f ca="1">IF(AND(INDIRECT(A73&amp;ROW())=B95,INDIRECT(A96&amp;ROW())=C95),1,IF(AND(INDIRECT(A73&amp;ROW())=B95,INDIRECT(A96&amp;ROW())=C96),1,0))</f>
        <v>0</v>
      </c>
      <c r="K558">
        <f ca="1">DAYS360(INDIRECT(C68&amp;ROW()),TODAY())</f>
        <v>694</v>
      </c>
      <c r="L558">
        <f ca="1">DAYS360(INDIRECT(C69&amp;ROW()),TODAY())</f>
        <v>704</v>
      </c>
      <c r="M558">
        <f ca="1">HYPERLINK(CONCATENATE("https://bugzilla.houston.hp.com:1181/bugzilla/show_bug.cgi?id=",INDIRECT(C70&amp;ROW())),INDIRECT(C70&amp;ROW()))</f>
        <v>62559</v>
      </c>
      <c r="N558">
        <v>62559</v>
      </c>
      <c r="O558" t="s">
        <v>241</v>
      </c>
      <c r="P558" t="s">
        <v>1081</v>
      </c>
      <c r="Q558" t="s">
        <v>25</v>
      </c>
      <c r="R558" t="s">
        <v>251</v>
      </c>
      <c r="S558" t="s">
        <v>1080</v>
      </c>
      <c r="U558" s="6">
        <v>42152.503506944442</v>
      </c>
      <c r="V558" t="s">
        <v>18</v>
      </c>
      <c r="W558" t="s">
        <v>764</v>
      </c>
      <c r="X558" s="6">
        <v>42142.621620370373</v>
      </c>
      <c r="Y558" t="s">
        <v>123</v>
      </c>
      <c r="Z558" t="s">
        <v>123</v>
      </c>
      <c r="AB558" t="s">
        <v>200</v>
      </c>
      <c r="AC558" t="s">
        <v>247</v>
      </c>
      <c r="AD558" t="s">
        <v>227</v>
      </c>
      <c r="AE558" t="s">
        <v>237</v>
      </c>
      <c r="AG558" t="s">
        <v>121</v>
      </c>
      <c r="AH558" t="s">
        <v>327</v>
      </c>
      <c r="AI558" t="s">
        <v>121</v>
      </c>
      <c r="AJ558" t="s">
        <v>715</v>
      </c>
      <c r="AK558" t="s">
        <v>121</v>
      </c>
    </row>
    <row r="559" spans="9:37" x14ac:dyDescent="0.3">
      <c r="I559">
        <f ca="1">IF(OR(INDIRECT(A73&amp;ROW())=B93,INDIRECT(A73&amp;ROW())=B94),1,IF(AND(INDIRECT(A73&amp;ROW())=B95,INDIRECT(A96&amp;ROW())=C93),1,IF(AND(INDIRECT(A73&amp;ROW())=B95,INDIRECT(A96&amp;ROW())=C94),1,0)))</f>
        <v>1</v>
      </c>
      <c r="J559">
        <f ca="1">IF(AND(INDIRECT(A73&amp;ROW())=B95,INDIRECT(A96&amp;ROW())=C95),1,IF(AND(INDIRECT(A73&amp;ROW())=B95,INDIRECT(A96&amp;ROW())=C96),1,0))</f>
        <v>0</v>
      </c>
      <c r="K559">
        <f ca="1">DAYS360(INDIRECT(C68&amp;ROW()),TODAY())</f>
        <v>703</v>
      </c>
      <c r="L559">
        <f ca="1">DAYS360(INDIRECT(C69&amp;ROW()),TODAY())</f>
        <v>703</v>
      </c>
      <c r="M559">
        <f ca="1">HYPERLINK(CONCATENATE("https://bugzilla.houston.hp.com:1181/bugzilla/show_bug.cgi?id=",INDIRECT(C70&amp;ROW())),INDIRECT(C70&amp;ROW()))</f>
        <v>62575</v>
      </c>
      <c r="N559">
        <v>62575</v>
      </c>
      <c r="O559" t="s">
        <v>241</v>
      </c>
      <c r="P559" t="s">
        <v>1079</v>
      </c>
      <c r="Q559" t="s">
        <v>25</v>
      </c>
      <c r="R559" t="s">
        <v>579</v>
      </c>
      <c r="S559" t="s">
        <v>552</v>
      </c>
      <c r="U559" s="6">
        <v>42143.309745370374</v>
      </c>
      <c r="V559" t="s">
        <v>18</v>
      </c>
      <c r="W559" t="s">
        <v>764</v>
      </c>
      <c r="X559" s="6">
        <v>42143.016516203701</v>
      </c>
      <c r="Y559" t="s">
        <v>123</v>
      </c>
      <c r="Z559" t="s">
        <v>123</v>
      </c>
      <c r="AB559" t="s">
        <v>200</v>
      </c>
      <c r="AC559" t="s">
        <v>247</v>
      </c>
      <c r="AD559" t="s">
        <v>227</v>
      </c>
      <c r="AE559" t="s">
        <v>231</v>
      </c>
      <c r="AG559" t="s">
        <v>121</v>
      </c>
      <c r="AH559" t="s">
        <v>327</v>
      </c>
      <c r="AI559" t="s">
        <v>121</v>
      </c>
      <c r="AJ559" t="s">
        <v>715</v>
      </c>
      <c r="AK559" t="s">
        <v>1066</v>
      </c>
    </row>
    <row r="560" spans="9:37" x14ac:dyDescent="0.3">
      <c r="I560">
        <f ca="1">IF(OR(INDIRECT(A73&amp;ROW())=B93,INDIRECT(A73&amp;ROW())=B94),1,IF(AND(INDIRECT(A73&amp;ROW())=B95,INDIRECT(A96&amp;ROW())=C93),1,IF(AND(INDIRECT(A73&amp;ROW())=B95,INDIRECT(A96&amp;ROW())=C94),1,0)))</f>
        <v>1</v>
      </c>
      <c r="J560">
        <f ca="1">IF(AND(INDIRECT(A73&amp;ROW())=B95,INDIRECT(A96&amp;ROW())=C95),1,IF(AND(INDIRECT(A73&amp;ROW())=B95,INDIRECT(A96&amp;ROW())=C96),1,0))</f>
        <v>0</v>
      </c>
      <c r="K560">
        <f ca="1">DAYS360(INDIRECT(C68&amp;ROW()),TODAY())</f>
        <v>703</v>
      </c>
      <c r="L560">
        <f ca="1">DAYS360(INDIRECT(C69&amp;ROW()),TODAY())</f>
        <v>703</v>
      </c>
      <c r="M560">
        <f ca="1">HYPERLINK(CONCATENATE("https://bugzilla.houston.hp.com:1181/bugzilla/show_bug.cgi?id=",INDIRECT(C70&amp;ROW())),INDIRECT(C70&amp;ROW()))</f>
        <v>62576</v>
      </c>
      <c r="N560">
        <v>62576</v>
      </c>
      <c r="O560" t="s">
        <v>241</v>
      </c>
      <c r="P560" t="s">
        <v>1078</v>
      </c>
      <c r="Q560" t="s">
        <v>25</v>
      </c>
      <c r="R560" t="s">
        <v>248</v>
      </c>
      <c r="S560" t="s">
        <v>552</v>
      </c>
      <c r="U560" s="6">
        <v>42143.30976851852</v>
      </c>
      <c r="V560" t="s">
        <v>18</v>
      </c>
      <c r="W560" t="s">
        <v>764</v>
      </c>
      <c r="X560" s="6">
        <v>42143.016574074078</v>
      </c>
      <c r="Y560" t="s">
        <v>123</v>
      </c>
      <c r="Z560" t="s">
        <v>123</v>
      </c>
      <c r="AB560" t="s">
        <v>200</v>
      </c>
      <c r="AC560" t="s">
        <v>247</v>
      </c>
      <c r="AD560" t="s">
        <v>227</v>
      </c>
      <c r="AE560" t="s">
        <v>231</v>
      </c>
      <c r="AG560" t="s">
        <v>121</v>
      </c>
      <c r="AH560" t="s">
        <v>327</v>
      </c>
      <c r="AI560" t="s">
        <v>121</v>
      </c>
      <c r="AJ560" t="s">
        <v>715</v>
      </c>
      <c r="AK560" t="s">
        <v>1066</v>
      </c>
    </row>
    <row r="561" spans="9:37" x14ac:dyDescent="0.3">
      <c r="I561">
        <f ca="1">IF(OR(INDIRECT(A73&amp;ROW())=B93,INDIRECT(A73&amp;ROW())=B94),1,IF(AND(INDIRECT(A73&amp;ROW())=B95,INDIRECT(A96&amp;ROW())=C93),1,IF(AND(INDIRECT(A73&amp;ROW())=B95,INDIRECT(A96&amp;ROW())=C94),1,0)))</f>
        <v>1</v>
      </c>
      <c r="J561">
        <f ca="1">IF(AND(INDIRECT(A73&amp;ROW())=B95,INDIRECT(A96&amp;ROW())=C95),1,IF(AND(INDIRECT(A73&amp;ROW())=B95,INDIRECT(A96&amp;ROW())=C96),1,0))</f>
        <v>0</v>
      </c>
      <c r="K561">
        <f ca="1">DAYS360(INDIRECT(C68&amp;ROW()),TODAY())</f>
        <v>675</v>
      </c>
      <c r="L561">
        <f ca="1">DAYS360(INDIRECT(C69&amp;ROW()),TODAY())</f>
        <v>703</v>
      </c>
      <c r="M561">
        <f ca="1">HYPERLINK(CONCATENATE("https://bugzilla.houston.hp.com:1181/bugzilla/show_bug.cgi?id=",INDIRECT(C70&amp;ROW())),INDIRECT(C70&amp;ROW()))</f>
        <v>62607</v>
      </c>
      <c r="N561">
        <v>62607</v>
      </c>
      <c r="O561" t="s">
        <v>53</v>
      </c>
      <c r="P561" t="s">
        <v>1077</v>
      </c>
      <c r="Q561" t="s">
        <v>39</v>
      </c>
      <c r="R561" t="s">
        <v>251</v>
      </c>
      <c r="S561" t="s">
        <v>24</v>
      </c>
      <c r="U561" s="6">
        <v>42172.623923611114</v>
      </c>
      <c r="V561" t="s">
        <v>18</v>
      </c>
      <c r="W561" t="s">
        <v>764</v>
      </c>
      <c r="X561" s="6">
        <v>42143.354687500003</v>
      </c>
      <c r="Y561" t="s">
        <v>119</v>
      </c>
      <c r="AB561" t="s">
        <v>200</v>
      </c>
      <c r="AC561" t="s">
        <v>247</v>
      </c>
      <c r="AD561" t="s">
        <v>220</v>
      </c>
      <c r="AE561" t="s">
        <v>219</v>
      </c>
      <c r="AG561" t="s">
        <v>121</v>
      </c>
      <c r="AH561" t="s">
        <v>327</v>
      </c>
      <c r="AI561" t="s">
        <v>121</v>
      </c>
      <c r="AJ561" t="s">
        <v>715</v>
      </c>
      <c r="AK561" t="s">
        <v>121</v>
      </c>
    </row>
    <row r="562" spans="9:37" x14ac:dyDescent="0.3">
      <c r="I562">
        <f ca="1">IF(OR(INDIRECT(A73&amp;ROW())=B93,INDIRECT(A73&amp;ROW())=B94),1,IF(AND(INDIRECT(A73&amp;ROW())=B95,INDIRECT(A96&amp;ROW())=C93),1,IF(AND(INDIRECT(A73&amp;ROW())=B95,INDIRECT(A96&amp;ROW())=C94),1,0)))</f>
        <v>1</v>
      </c>
      <c r="J562">
        <f ca="1">IF(AND(INDIRECT(A73&amp;ROW())=B95,INDIRECT(A96&amp;ROW())=C95),1,IF(AND(INDIRECT(A73&amp;ROW())=B95,INDIRECT(A96&amp;ROW())=C96),1,0))</f>
        <v>0</v>
      </c>
      <c r="K562">
        <f ca="1">DAYS360(INDIRECT(C68&amp;ROW()),TODAY())</f>
        <v>703</v>
      </c>
      <c r="L562">
        <f ca="1">DAYS360(INDIRECT(C69&amp;ROW()),TODAY())</f>
        <v>703</v>
      </c>
      <c r="M562">
        <f ca="1">HYPERLINK(CONCATENATE("https://bugzilla.houston.hp.com:1181/bugzilla/show_bug.cgi?id=",INDIRECT(C70&amp;ROW())),INDIRECT(C70&amp;ROW()))</f>
        <v>62608</v>
      </c>
      <c r="N562">
        <v>62608</v>
      </c>
      <c r="O562" t="s">
        <v>53</v>
      </c>
      <c r="P562" t="s">
        <v>1076</v>
      </c>
      <c r="Q562" t="s">
        <v>39</v>
      </c>
      <c r="R562" t="s">
        <v>579</v>
      </c>
      <c r="S562" t="s">
        <v>552</v>
      </c>
      <c r="U562" s="6">
        <v>42143.376076388886</v>
      </c>
      <c r="V562" t="s">
        <v>18</v>
      </c>
      <c r="W562" t="s">
        <v>764</v>
      </c>
      <c r="X562" s="6">
        <v>42143.376076388886</v>
      </c>
      <c r="Y562" t="s">
        <v>119</v>
      </c>
      <c r="AB562" t="s">
        <v>201</v>
      </c>
      <c r="AC562" t="s">
        <v>247</v>
      </c>
      <c r="AD562" t="s">
        <v>220</v>
      </c>
      <c r="AE562" t="s">
        <v>219</v>
      </c>
      <c r="AG562" t="s">
        <v>121</v>
      </c>
      <c r="AH562" t="s">
        <v>327</v>
      </c>
      <c r="AI562" t="s">
        <v>121</v>
      </c>
      <c r="AJ562" t="s">
        <v>715</v>
      </c>
      <c r="AK562" t="s">
        <v>121</v>
      </c>
    </row>
    <row r="563" spans="9:37" x14ac:dyDescent="0.3">
      <c r="I563">
        <f ca="1">IF(OR(INDIRECT(A73&amp;ROW())=B93,INDIRECT(A73&amp;ROW())=B94),1,IF(AND(INDIRECT(A73&amp;ROW())=B95,INDIRECT(A96&amp;ROW())=C93),1,IF(AND(INDIRECT(A73&amp;ROW())=B95,INDIRECT(A96&amp;ROW())=C94),1,0)))</f>
        <v>1</v>
      </c>
      <c r="J563">
        <f ca="1">IF(AND(INDIRECT(A73&amp;ROW())=B95,INDIRECT(A96&amp;ROW())=C95),1,IF(AND(INDIRECT(A73&amp;ROW())=B95,INDIRECT(A96&amp;ROW())=C96),1,0))</f>
        <v>0</v>
      </c>
      <c r="K563">
        <f ca="1">DAYS360(INDIRECT(C68&amp;ROW()),TODAY())</f>
        <v>675</v>
      </c>
      <c r="L563">
        <f ca="1">DAYS360(INDIRECT(C69&amp;ROW()),TODAY())</f>
        <v>703</v>
      </c>
      <c r="M563">
        <f ca="1">HYPERLINK(CONCATENATE("https://bugzilla.houston.hp.com:1181/bugzilla/show_bug.cgi?id=",INDIRECT(C70&amp;ROW())),INDIRECT(C70&amp;ROW()))</f>
        <v>62609</v>
      </c>
      <c r="N563">
        <v>62609</v>
      </c>
      <c r="O563" t="s">
        <v>53</v>
      </c>
      <c r="P563" t="s">
        <v>1075</v>
      </c>
      <c r="Q563" t="s">
        <v>39</v>
      </c>
      <c r="R563" t="s">
        <v>783</v>
      </c>
      <c r="S563" t="s">
        <v>552</v>
      </c>
      <c r="U563" s="6">
        <v>42172.623344907406</v>
      </c>
      <c r="V563" t="s">
        <v>18</v>
      </c>
      <c r="W563" t="s">
        <v>764</v>
      </c>
      <c r="X563" s="6">
        <v>42143.376168981478</v>
      </c>
      <c r="Y563" t="s">
        <v>119</v>
      </c>
      <c r="AB563" t="s">
        <v>200</v>
      </c>
      <c r="AC563" t="s">
        <v>247</v>
      </c>
      <c r="AD563" t="s">
        <v>220</v>
      </c>
      <c r="AE563" t="s">
        <v>219</v>
      </c>
      <c r="AG563" t="s">
        <v>1082</v>
      </c>
      <c r="AH563" t="s">
        <v>327</v>
      </c>
      <c r="AI563" t="s">
        <v>121</v>
      </c>
      <c r="AJ563" t="s">
        <v>715</v>
      </c>
      <c r="AK563" t="s">
        <v>121</v>
      </c>
    </row>
    <row r="564" spans="9:37" x14ac:dyDescent="0.3">
      <c r="I564">
        <f ca="1">IF(OR(INDIRECT(A73&amp;ROW())=B93,INDIRECT(A73&amp;ROW())=B94),1,IF(AND(INDIRECT(A73&amp;ROW())=B95,INDIRECT(A96&amp;ROW())=C93),1,IF(AND(INDIRECT(A73&amp;ROW())=B95,INDIRECT(A96&amp;ROW())=C94),1,0)))</f>
        <v>1</v>
      </c>
      <c r="J564">
        <f ca="1">IF(AND(INDIRECT(A73&amp;ROW())=B95,INDIRECT(A96&amp;ROW())=C95),1,IF(AND(INDIRECT(A73&amp;ROW())=B95,INDIRECT(A96&amp;ROW())=C96),1,0))</f>
        <v>0</v>
      </c>
      <c r="K564">
        <f ca="1">DAYS360(INDIRECT(C68&amp;ROW()),TODAY())</f>
        <v>703</v>
      </c>
      <c r="L564">
        <f ca="1">DAYS360(INDIRECT(C69&amp;ROW()),TODAY())</f>
        <v>703</v>
      </c>
      <c r="M564">
        <f ca="1">HYPERLINK(CONCATENATE("https://bugzilla.houston.hp.com:1181/bugzilla/show_bug.cgi?id=",INDIRECT(C70&amp;ROW())),INDIRECT(C70&amp;ROW()))</f>
        <v>62610</v>
      </c>
      <c r="N564">
        <v>62610</v>
      </c>
      <c r="O564" t="s">
        <v>53</v>
      </c>
      <c r="P564" t="s">
        <v>1074</v>
      </c>
      <c r="Q564" t="s">
        <v>39</v>
      </c>
      <c r="R564" t="s">
        <v>248</v>
      </c>
      <c r="S564" t="s">
        <v>552</v>
      </c>
      <c r="U564" s="6">
        <v>42143.376250000001</v>
      </c>
      <c r="V564" t="s">
        <v>18</v>
      </c>
      <c r="W564" t="s">
        <v>764</v>
      </c>
      <c r="X564" s="6">
        <v>42143.376250000001</v>
      </c>
      <c r="Y564" t="s">
        <v>119</v>
      </c>
      <c r="AB564" t="s">
        <v>201</v>
      </c>
      <c r="AC564" t="s">
        <v>247</v>
      </c>
      <c r="AD564" t="s">
        <v>220</v>
      </c>
      <c r="AE564" t="s">
        <v>219</v>
      </c>
      <c r="AG564" t="s">
        <v>121</v>
      </c>
      <c r="AH564" t="s">
        <v>327</v>
      </c>
      <c r="AI564" t="s">
        <v>121</v>
      </c>
      <c r="AJ564" t="s">
        <v>715</v>
      </c>
      <c r="AK564" t="s">
        <v>121</v>
      </c>
    </row>
    <row r="565" spans="9:37" x14ac:dyDescent="0.3">
      <c r="I565">
        <f ca="1">IF(OR(INDIRECT(A73&amp;ROW())=B93,INDIRECT(A73&amp;ROW())=B94),1,IF(AND(INDIRECT(A73&amp;ROW())=B95,INDIRECT(A96&amp;ROW())=C93),1,IF(AND(INDIRECT(A73&amp;ROW())=B95,INDIRECT(A96&amp;ROW())=C94),1,0)))</f>
        <v>0</v>
      </c>
      <c r="J565">
        <f ca="1">IF(AND(INDIRECT(A73&amp;ROW())=B95,INDIRECT(A96&amp;ROW())=C95),1,IF(AND(INDIRECT(A73&amp;ROW())=B95,INDIRECT(A96&amp;ROW())=C96),1,0))</f>
        <v>1</v>
      </c>
      <c r="K565">
        <f ca="1">DAYS360(INDIRECT(C68&amp;ROW()),TODAY())</f>
        <v>677</v>
      </c>
      <c r="L565">
        <f ca="1">DAYS360(INDIRECT(C69&amp;ROW()),TODAY())</f>
        <v>703</v>
      </c>
      <c r="M565">
        <f ca="1">HYPERLINK(CONCATENATE("https://bugzilla.houston.hp.com:1181/bugzilla/show_bug.cgi?id=",INDIRECT(C70&amp;ROW())),INDIRECT(C70&amp;ROW()))</f>
        <v>62618</v>
      </c>
      <c r="N565">
        <v>62618</v>
      </c>
      <c r="O565" t="s">
        <v>188</v>
      </c>
      <c r="P565" t="s">
        <v>1132</v>
      </c>
      <c r="Q565" t="s">
        <v>25</v>
      </c>
      <c r="R565" t="s">
        <v>251</v>
      </c>
      <c r="S565" t="s">
        <v>24</v>
      </c>
      <c r="U565" s="6">
        <v>42170.552905092591</v>
      </c>
      <c r="V565" t="s">
        <v>18</v>
      </c>
      <c r="W565" t="s">
        <v>764</v>
      </c>
      <c r="X565" s="6">
        <v>42143.454618055555</v>
      </c>
      <c r="Y565" t="s">
        <v>119</v>
      </c>
      <c r="AB565" t="s">
        <v>201</v>
      </c>
      <c r="AC565" t="s">
        <v>247</v>
      </c>
      <c r="AD565" t="s">
        <v>220</v>
      </c>
      <c r="AE565" t="s">
        <v>229</v>
      </c>
      <c r="AG565" t="s">
        <v>121</v>
      </c>
      <c r="AH565" t="s">
        <v>327</v>
      </c>
      <c r="AI565" t="s">
        <v>362</v>
      </c>
      <c r="AJ565" t="s">
        <v>716</v>
      </c>
      <c r="AK565" t="s">
        <v>121</v>
      </c>
    </row>
    <row r="566" spans="9:37" x14ac:dyDescent="0.3">
      <c r="I566">
        <f ca="1">IF(OR(INDIRECT(A73&amp;ROW())=B93,INDIRECT(A73&amp;ROW())=B94),1,IF(AND(INDIRECT(A73&amp;ROW())=B95,INDIRECT(A96&amp;ROW())=C93),1,IF(AND(INDIRECT(A73&amp;ROW())=B95,INDIRECT(A96&amp;ROW())=C94),1,0)))</f>
        <v>0</v>
      </c>
      <c r="J566">
        <f ca="1">IF(AND(INDIRECT(A73&amp;ROW())=B95,INDIRECT(A96&amp;ROW())=C95),1,IF(AND(INDIRECT(A73&amp;ROW())=B95,INDIRECT(A96&amp;ROW())=C96),1,0))</f>
        <v>0</v>
      </c>
      <c r="K566">
        <f ca="1">DAYS360(INDIRECT(C68&amp;ROW()),TODAY())</f>
        <v>700</v>
      </c>
      <c r="L566">
        <f ca="1">DAYS360(INDIRECT(C69&amp;ROW()),TODAY())</f>
        <v>703</v>
      </c>
      <c r="M566">
        <f ca="1">HYPERLINK(CONCATENATE("https://bugzilla.houston.hp.com:1181/bugzilla/show_bug.cgi?id=",INDIRECT(C70&amp;ROW())),INDIRECT(C70&amp;ROW()))</f>
        <v>62620</v>
      </c>
      <c r="N566">
        <v>62620</v>
      </c>
      <c r="O566" t="s">
        <v>21</v>
      </c>
      <c r="P566" t="s">
        <v>1093</v>
      </c>
      <c r="Q566" t="s">
        <v>16</v>
      </c>
      <c r="R566" t="s">
        <v>251</v>
      </c>
      <c r="S566" t="s">
        <v>917</v>
      </c>
      <c r="U566" s="6">
        <v>42146.473414351851</v>
      </c>
      <c r="V566" t="s">
        <v>18</v>
      </c>
      <c r="W566" t="s">
        <v>783</v>
      </c>
      <c r="X566" s="6">
        <v>42143.486145833333</v>
      </c>
      <c r="Y566" t="s">
        <v>846</v>
      </c>
      <c r="AB566" t="s">
        <v>201</v>
      </c>
      <c r="AC566" t="s">
        <v>247</v>
      </c>
      <c r="AD566" t="s">
        <v>222</v>
      </c>
      <c r="AE566" t="s">
        <v>1073</v>
      </c>
      <c r="AG566" t="s">
        <v>121</v>
      </c>
      <c r="AH566" t="s">
        <v>327</v>
      </c>
      <c r="AI566" t="s">
        <v>121</v>
      </c>
      <c r="AJ566" t="s">
        <v>717</v>
      </c>
      <c r="AK566" t="s">
        <v>121</v>
      </c>
    </row>
    <row r="567" spans="9:37" x14ac:dyDescent="0.3">
      <c r="I567">
        <f ca="1">IF(OR(INDIRECT(A73&amp;ROW())=B93,INDIRECT(A73&amp;ROW())=B94),1,IF(AND(INDIRECT(A73&amp;ROW())=B95,INDIRECT(A96&amp;ROW())=C93),1,IF(AND(INDIRECT(A73&amp;ROW())=B95,INDIRECT(A96&amp;ROW())=C94),1,0)))</f>
        <v>0</v>
      </c>
      <c r="J567">
        <f ca="1">IF(AND(INDIRECT(A73&amp;ROW())=B95,INDIRECT(A96&amp;ROW())=C95),1,IF(AND(INDIRECT(A73&amp;ROW())=B95,INDIRECT(A96&amp;ROW())=C96),1,0))</f>
        <v>0</v>
      </c>
      <c r="K567">
        <f ca="1">DAYS360(INDIRECT(C68&amp;ROW()),TODAY())</f>
        <v>703</v>
      </c>
      <c r="L567">
        <f ca="1">DAYS360(INDIRECT(C69&amp;ROW()),TODAY())</f>
        <v>703</v>
      </c>
      <c r="M567">
        <f ca="1">HYPERLINK(CONCATENATE("https://bugzilla.houston.hp.com:1181/bugzilla/show_bug.cgi?id=",INDIRECT(C70&amp;ROW())),INDIRECT(C70&amp;ROW()))</f>
        <v>62623</v>
      </c>
      <c r="N567">
        <v>62623</v>
      </c>
      <c r="O567" t="s">
        <v>21</v>
      </c>
      <c r="P567" t="s">
        <v>1092</v>
      </c>
      <c r="Q567" t="s">
        <v>16</v>
      </c>
      <c r="R567" t="s">
        <v>579</v>
      </c>
      <c r="S567" t="s">
        <v>552</v>
      </c>
      <c r="U567" s="6">
        <v>42143.606388888889</v>
      </c>
      <c r="V567" t="s">
        <v>18</v>
      </c>
      <c r="W567" t="s">
        <v>783</v>
      </c>
      <c r="X567" s="6">
        <v>42143.516631944447</v>
      </c>
      <c r="Y567" t="s">
        <v>846</v>
      </c>
      <c r="AB567" t="s">
        <v>201</v>
      </c>
      <c r="AC567" t="s">
        <v>247</v>
      </c>
      <c r="AD567" t="s">
        <v>222</v>
      </c>
      <c r="AE567" t="s">
        <v>1073</v>
      </c>
      <c r="AG567" t="s">
        <v>121</v>
      </c>
      <c r="AH567" t="s">
        <v>327</v>
      </c>
      <c r="AI567" t="s">
        <v>121</v>
      </c>
      <c r="AJ567" t="s">
        <v>717</v>
      </c>
      <c r="AK567" t="s">
        <v>121</v>
      </c>
    </row>
    <row r="568" spans="9:37" x14ac:dyDescent="0.3">
      <c r="I568">
        <f ca="1">IF(OR(INDIRECT(A73&amp;ROW())=B93,INDIRECT(A73&amp;ROW())=B94),1,IF(AND(INDIRECT(A73&amp;ROW())=B95,INDIRECT(A96&amp;ROW())=C93),1,IF(AND(INDIRECT(A73&amp;ROW())=B95,INDIRECT(A96&amp;ROW())=C94),1,0)))</f>
        <v>0</v>
      </c>
      <c r="J568">
        <f ca="1">IF(AND(INDIRECT(A73&amp;ROW())=B95,INDIRECT(A96&amp;ROW())=C95),1,IF(AND(INDIRECT(A73&amp;ROW())=B95,INDIRECT(A96&amp;ROW())=C96),1,0))</f>
        <v>0</v>
      </c>
      <c r="K568">
        <f ca="1">DAYS360(INDIRECT(C68&amp;ROW()),TODAY())</f>
        <v>703</v>
      </c>
      <c r="L568">
        <f ca="1">DAYS360(INDIRECT(C69&amp;ROW()),TODAY())</f>
        <v>703</v>
      </c>
      <c r="M568">
        <f ca="1">HYPERLINK(CONCATENATE("https://bugzilla.houston.hp.com:1181/bugzilla/show_bug.cgi?id=",INDIRECT(C70&amp;ROW())),INDIRECT(C70&amp;ROW()))</f>
        <v>62624</v>
      </c>
      <c r="N568">
        <v>62624</v>
      </c>
      <c r="O568" t="s">
        <v>21</v>
      </c>
      <c r="P568" t="s">
        <v>1091</v>
      </c>
      <c r="Q568" t="s">
        <v>16</v>
      </c>
      <c r="R568" t="s">
        <v>783</v>
      </c>
      <c r="S568" t="s">
        <v>552</v>
      </c>
      <c r="U568" s="6">
        <v>42143.606377314813</v>
      </c>
      <c r="V568" t="s">
        <v>18</v>
      </c>
      <c r="W568" t="s">
        <v>783</v>
      </c>
      <c r="X568" s="6">
        <v>42143.51667824074</v>
      </c>
      <c r="Y568" t="s">
        <v>846</v>
      </c>
      <c r="AB568" t="s">
        <v>201</v>
      </c>
      <c r="AC568" t="s">
        <v>247</v>
      </c>
      <c r="AD568" t="s">
        <v>222</v>
      </c>
      <c r="AE568" t="s">
        <v>1073</v>
      </c>
      <c r="AG568" t="s">
        <v>121</v>
      </c>
      <c r="AH568" t="s">
        <v>327</v>
      </c>
      <c r="AI568" t="s">
        <v>121</v>
      </c>
      <c r="AJ568" t="s">
        <v>717</v>
      </c>
      <c r="AK568" t="s">
        <v>121</v>
      </c>
    </row>
    <row r="569" spans="9:37" x14ac:dyDescent="0.3">
      <c r="I569">
        <f ca="1">IF(OR(INDIRECT(A73&amp;ROW())=B93,INDIRECT(A73&amp;ROW())=B94),1,IF(AND(INDIRECT(A73&amp;ROW())=B95,INDIRECT(A96&amp;ROW())=C93),1,IF(AND(INDIRECT(A73&amp;ROW())=B95,INDIRECT(A96&amp;ROW())=C94),1,0)))</f>
        <v>0</v>
      </c>
      <c r="J569">
        <f ca="1">IF(AND(INDIRECT(A73&amp;ROW())=B95,INDIRECT(A96&amp;ROW())=C95),1,IF(AND(INDIRECT(A73&amp;ROW())=B95,INDIRECT(A96&amp;ROW())=C96),1,0))</f>
        <v>0</v>
      </c>
      <c r="K569">
        <f ca="1">DAYS360(INDIRECT(C68&amp;ROW()),TODAY())</f>
        <v>701</v>
      </c>
      <c r="L569">
        <f ca="1">DAYS360(INDIRECT(C69&amp;ROW()),TODAY())</f>
        <v>703</v>
      </c>
      <c r="M569">
        <f ca="1">HYPERLINK(CONCATENATE("https://bugzilla.houston.hp.com:1181/bugzilla/show_bug.cgi?id=",INDIRECT(C70&amp;ROW())),INDIRECT(C70&amp;ROW()))</f>
        <v>62625</v>
      </c>
      <c r="N569">
        <v>62625</v>
      </c>
      <c r="O569" t="s">
        <v>21</v>
      </c>
      <c r="P569" t="s">
        <v>1090</v>
      </c>
      <c r="Q569" t="s">
        <v>16</v>
      </c>
      <c r="R569" t="s">
        <v>248</v>
      </c>
      <c r="S569" t="s">
        <v>552</v>
      </c>
      <c r="U569" s="6">
        <v>42145.452256944445</v>
      </c>
      <c r="V569" t="s">
        <v>18</v>
      </c>
      <c r="W569" t="s">
        <v>783</v>
      </c>
      <c r="X569" s="6">
        <v>42143.516736111109</v>
      </c>
      <c r="Y569" t="s">
        <v>846</v>
      </c>
      <c r="AB569" t="s">
        <v>201</v>
      </c>
      <c r="AC569" t="s">
        <v>247</v>
      </c>
      <c r="AD569" t="s">
        <v>222</v>
      </c>
      <c r="AE569" t="s">
        <v>1073</v>
      </c>
      <c r="AG569" t="s">
        <v>121</v>
      </c>
      <c r="AH569" t="s">
        <v>327</v>
      </c>
      <c r="AI569" t="s">
        <v>121</v>
      </c>
      <c r="AJ569" t="s">
        <v>717</v>
      </c>
      <c r="AK569" t="s">
        <v>121</v>
      </c>
    </row>
    <row r="570" spans="9:37" x14ac:dyDescent="0.3">
      <c r="I570">
        <f ca="1">IF(OR(INDIRECT(A73&amp;ROW())=B93,INDIRECT(A73&amp;ROW())=B94),1,IF(AND(INDIRECT(A73&amp;ROW())=B95,INDIRECT(A96&amp;ROW())=C93),1,IF(AND(INDIRECT(A73&amp;ROW())=B95,INDIRECT(A96&amp;ROW())=C94),1,0)))</f>
        <v>0</v>
      </c>
      <c r="J570">
        <f ca="1">IF(AND(INDIRECT(A73&amp;ROW())=B95,INDIRECT(A96&amp;ROW())=C95),1,IF(AND(INDIRECT(A73&amp;ROW())=B95,INDIRECT(A96&amp;ROW())=C96),1,0))</f>
        <v>1</v>
      </c>
      <c r="K570">
        <f ca="1">DAYS360(INDIRECT(C68&amp;ROW()),TODAY())</f>
        <v>692</v>
      </c>
      <c r="L570">
        <f ca="1">DAYS360(INDIRECT(C69&amp;ROW()),TODAY())</f>
        <v>703</v>
      </c>
      <c r="M570">
        <f ca="1">HYPERLINK(CONCATENATE("https://bugzilla.houston.hp.com:1181/bugzilla/show_bug.cgi?id=",INDIRECT(C70&amp;ROW())),INDIRECT(C70&amp;ROW()))</f>
        <v>62632</v>
      </c>
      <c r="N570">
        <v>62632</v>
      </c>
      <c r="O570" t="s">
        <v>188</v>
      </c>
      <c r="P570" t="s">
        <v>1089</v>
      </c>
      <c r="Q570" t="s">
        <v>25</v>
      </c>
      <c r="R570" t="s">
        <v>579</v>
      </c>
      <c r="S570" t="s">
        <v>552</v>
      </c>
      <c r="U570" s="6">
        <v>42154.899027777778</v>
      </c>
      <c r="V570" t="s">
        <v>18</v>
      </c>
      <c r="W570" t="s">
        <v>764</v>
      </c>
      <c r="X570" s="6">
        <v>42143.549502314818</v>
      </c>
      <c r="Y570" t="s">
        <v>119</v>
      </c>
      <c r="AB570" t="s">
        <v>201</v>
      </c>
      <c r="AC570" t="s">
        <v>247</v>
      </c>
      <c r="AD570" t="s">
        <v>220</v>
      </c>
      <c r="AE570" t="s">
        <v>229</v>
      </c>
      <c r="AG570" t="s">
        <v>121</v>
      </c>
      <c r="AH570" t="s">
        <v>327</v>
      </c>
      <c r="AI570" t="s">
        <v>121</v>
      </c>
      <c r="AJ570" t="s">
        <v>716</v>
      </c>
      <c r="AK570" t="s">
        <v>121</v>
      </c>
    </row>
    <row r="571" spans="9:37" x14ac:dyDescent="0.3">
      <c r="I571">
        <f ca="1">IF(OR(INDIRECT(A73&amp;ROW())=B93,INDIRECT(A73&amp;ROW())=B94),1,IF(AND(INDIRECT(A73&amp;ROW())=B95,INDIRECT(A96&amp;ROW())=C93),1,IF(AND(INDIRECT(A73&amp;ROW())=B95,INDIRECT(A96&amp;ROW())=C94),1,0)))</f>
        <v>1</v>
      </c>
      <c r="J571">
        <f ca="1">IF(AND(INDIRECT(A73&amp;ROW())=B95,INDIRECT(A96&amp;ROW())=C95),1,IF(AND(INDIRECT(A73&amp;ROW())=B95,INDIRECT(A96&amp;ROW())=C96),1,0))</f>
        <v>0</v>
      </c>
      <c r="K571">
        <f ca="1">DAYS360(INDIRECT(C68&amp;ROW()),TODAY())</f>
        <v>691</v>
      </c>
      <c r="L571">
        <f ca="1">DAYS360(INDIRECT(C69&amp;ROW()),TODAY())</f>
        <v>702</v>
      </c>
      <c r="M571">
        <f ca="1">HYPERLINK(CONCATENATE("https://bugzilla.houston.hp.com:1181/bugzilla/show_bug.cgi?id=",INDIRECT(C70&amp;ROW())),INDIRECT(C70&amp;ROW()))</f>
        <v>62690</v>
      </c>
      <c r="N571">
        <v>62690</v>
      </c>
      <c r="O571" t="s">
        <v>188</v>
      </c>
      <c r="P571" t="s">
        <v>1088</v>
      </c>
      <c r="Q571" t="s">
        <v>25</v>
      </c>
      <c r="R571" t="s">
        <v>251</v>
      </c>
      <c r="S571" t="s">
        <v>24</v>
      </c>
      <c r="U571" s="6">
        <v>42156.590960648151</v>
      </c>
      <c r="V571" t="s">
        <v>18</v>
      </c>
      <c r="W571" t="s">
        <v>783</v>
      </c>
      <c r="X571" s="6">
        <v>42144.307511574072</v>
      </c>
      <c r="Y571" t="s">
        <v>119</v>
      </c>
      <c r="AB571" t="s">
        <v>200</v>
      </c>
      <c r="AC571" t="s">
        <v>247</v>
      </c>
      <c r="AD571" t="s">
        <v>220</v>
      </c>
      <c r="AE571" t="s">
        <v>229</v>
      </c>
      <c r="AG571" t="s">
        <v>121</v>
      </c>
      <c r="AH571" t="s">
        <v>327</v>
      </c>
      <c r="AI571" t="s">
        <v>121</v>
      </c>
      <c r="AJ571" t="s">
        <v>715</v>
      </c>
      <c r="AK571" t="s">
        <v>121</v>
      </c>
    </row>
    <row r="572" spans="9:37" x14ac:dyDescent="0.3">
      <c r="I572">
        <f ca="1">IF(OR(INDIRECT(A73&amp;ROW())=B93,INDIRECT(A73&amp;ROW())=B94),1,IF(AND(INDIRECT(A73&amp;ROW())=B95,INDIRECT(A96&amp;ROW())=C93),1,IF(AND(INDIRECT(A73&amp;ROW())=B95,INDIRECT(A96&amp;ROW())=C94),1,0)))</f>
        <v>1</v>
      </c>
      <c r="J572">
        <f ca="1">IF(AND(INDIRECT(A73&amp;ROW())=B95,INDIRECT(A96&amp;ROW())=C95),1,IF(AND(INDIRECT(A73&amp;ROW())=B95,INDIRECT(A96&amp;ROW())=C96),1,0))</f>
        <v>0</v>
      </c>
      <c r="K572">
        <f ca="1">DAYS360(INDIRECT(C68&amp;ROW()),TODAY())</f>
        <v>676</v>
      </c>
      <c r="L572">
        <f ca="1">DAYS360(INDIRECT(C69&amp;ROW()),TODAY())</f>
        <v>702</v>
      </c>
      <c r="M572">
        <f ca="1">HYPERLINK(CONCATENATE("https://bugzilla.houston.hp.com:1181/bugzilla/show_bug.cgi?id=",INDIRECT(C70&amp;ROW())),INDIRECT(C70&amp;ROW()))</f>
        <v>62693</v>
      </c>
      <c r="N572">
        <v>62693</v>
      </c>
      <c r="O572" t="s">
        <v>188</v>
      </c>
      <c r="P572" t="s">
        <v>1087</v>
      </c>
      <c r="Q572" t="s">
        <v>25</v>
      </c>
      <c r="R572" t="s">
        <v>579</v>
      </c>
      <c r="S572" t="s">
        <v>552</v>
      </c>
      <c r="U572" s="6">
        <v>42171.572650462964</v>
      </c>
      <c r="V572" t="s">
        <v>18</v>
      </c>
      <c r="W572" t="s">
        <v>783</v>
      </c>
      <c r="X572" s="6">
        <v>42144.365254629629</v>
      </c>
      <c r="Y572" t="s">
        <v>119</v>
      </c>
      <c r="AB572" t="s">
        <v>200</v>
      </c>
      <c r="AC572" t="s">
        <v>247</v>
      </c>
      <c r="AD572" t="s">
        <v>220</v>
      </c>
      <c r="AE572" t="s">
        <v>229</v>
      </c>
      <c r="AG572" t="s">
        <v>121</v>
      </c>
      <c r="AH572" t="s">
        <v>327</v>
      </c>
      <c r="AI572" t="s">
        <v>121</v>
      </c>
      <c r="AJ572" t="s">
        <v>715</v>
      </c>
      <c r="AK572" t="s">
        <v>121</v>
      </c>
    </row>
    <row r="573" spans="9:37" x14ac:dyDescent="0.3">
      <c r="I573">
        <f ca="1">IF(OR(INDIRECT(A73&amp;ROW())=B93,INDIRECT(A73&amp;ROW())=B94),1,IF(AND(INDIRECT(A73&amp;ROW())=B95,INDIRECT(A96&amp;ROW())=C93),1,IF(AND(INDIRECT(A73&amp;ROW())=B95,INDIRECT(A96&amp;ROW())=C94),1,0)))</f>
        <v>1</v>
      </c>
      <c r="J573">
        <f ca="1">IF(AND(INDIRECT(A73&amp;ROW())=B95,INDIRECT(A96&amp;ROW())=C95),1,IF(AND(INDIRECT(A73&amp;ROW())=B95,INDIRECT(A96&amp;ROW())=C96),1,0))</f>
        <v>0</v>
      </c>
      <c r="K573">
        <f ca="1">DAYS360(INDIRECT(C68&amp;ROW()),TODAY())</f>
        <v>677</v>
      </c>
      <c r="L573">
        <f ca="1">DAYS360(INDIRECT(C69&amp;ROW()),TODAY())</f>
        <v>702</v>
      </c>
      <c r="M573">
        <f ca="1">HYPERLINK(CONCATENATE("https://bugzilla.houston.hp.com:1181/bugzilla/show_bug.cgi?id=",INDIRECT(C70&amp;ROW())),INDIRECT(C70&amp;ROW()))</f>
        <v>62719</v>
      </c>
      <c r="N573">
        <v>62719</v>
      </c>
      <c r="O573" t="s">
        <v>55</v>
      </c>
      <c r="P573" t="s">
        <v>1086</v>
      </c>
      <c r="Q573" t="s">
        <v>25</v>
      </c>
      <c r="R573" t="s">
        <v>251</v>
      </c>
      <c r="S573" t="s">
        <v>52</v>
      </c>
      <c r="U573" s="6">
        <v>42170.714409722219</v>
      </c>
      <c r="V573" t="s">
        <v>35</v>
      </c>
      <c r="W573" t="s">
        <v>783</v>
      </c>
      <c r="X573" s="6">
        <v>42144.602094907408</v>
      </c>
      <c r="Y573" t="s">
        <v>119</v>
      </c>
      <c r="AB573" t="s">
        <v>200</v>
      </c>
      <c r="AC573" t="s">
        <v>247</v>
      </c>
      <c r="AD573" t="s">
        <v>222</v>
      </c>
      <c r="AE573" t="s">
        <v>221</v>
      </c>
      <c r="AG573" t="s">
        <v>121</v>
      </c>
      <c r="AH573" t="s">
        <v>327</v>
      </c>
      <c r="AI573" t="s">
        <v>362</v>
      </c>
      <c r="AJ573" t="s">
        <v>715</v>
      </c>
      <c r="AK573" t="s">
        <v>121</v>
      </c>
    </row>
    <row r="574" spans="9:37" x14ac:dyDescent="0.3">
      <c r="I574">
        <f ca="1">IF(OR(INDIRECT(A73&amp;ROW())=B93,INDIRECT(A73&amp;ROW())=B94),1,IF(AND(INDIRECT(A73&amp;ROW())=B95,INDIRECT(A96&amp;ROW())=C93),1,IF(AND(INDIRECT(A73&amp;ROW())=B95,INDIRECT(A96&amp;ROW())=C94),1,0)))</f>
        <v>1</v>
      </c>
      <c r="J574">
        <f ca="1">IF(AND(INDIRECT(A73&amp;ROW())=B95,INDIRECT(A96&amp;ROW())=C95),1,IF(AND(INDIRECT(A73&amp;ROW())=B95,INDIRECT(A96&amp;ROW())=C96),1,0))</f>
        <v>0</v>
      </c>
      <c r="K574">
        <f ca="1">DAYS360(INDIRECT(C68&amp;ROW()),TODAY())</f>
        <v>676</v>
      </c>
      <c r="L574">
        <f ca="1">DAYS360(INDIRECT(C69&amp;ROW()),TODAY())</f>
        <v>702</v>
      </c>
      <c r="M574">
        <f ca="1">HYPERLINK(CONCATENATE("https://bugzilla.houston.hp.com:1181/bugzilla/show_bug.cgi?id=",INDIRECT(C70&amp;ROW())),INDIRECT(C70&amp;ROW()))</f>
        <v>62721</v>
      </c>
      <c r="N574">
        <v>62721</v>
      </c>
      <c r="O574" t="s">
        <v>55</v>
      </c>
      <c r="P574" t="s">
        <v>1085</v>
      </c>
      <c r="Q574" t="s">
        <v>25</v>
      </c>
      <c r="R574" t="s">
        <v>579</v>
      </c>
      <c r="S574" t="s">
        <v>552</v>
      </c>
      <c r="U574" s="6">
        <v>42171.541331018518</v>
      </c>
      <c r="V574" t="s">
        <v>18</v>
      </c>
      <c r="W574" t="s">
        <v>783</v>
      </c>
      <c r="X574" s="6">
        <v>42144.633113425924</v>
      </c>
      <c r="Y574" t="s">
        <v>119</v>
      </c>
      <c r="AB574" t="s">
        <v>200</v>
      </c>
      <c r="AC574" t="s">
        <v>247</v>
      </c>
      <c r="AD574" t="s">
        <v>222</v>
      </c>
      <c r="AE574" t="s">
        <v>221</v>
      </c>
      <c r="AG574" t="s">
        <v>121</v>
      </c>
      <c r="AH574" t="s">
        <v>327</v>
      </c>
      <c r="AI574" t="s">
        <v>121</v>
      </c>
      <c r="AJ574" t="s">
        <v>715</v>
      </c>
      <c r="AK574" t="s">
        <v>121</v>
      </c>
    </row>
    <row r="575" spans="9:37" x14ac:dyDescent="0.3">
      <c r="I575">
        <f ca="1">IF(OR(INDIRECT(A73&amp;ROW())=B93,INDIRECT(A73&amp;ROW())=B94),1,IF(AND(INDIRECT(A73&amp;ROW())=B95,INDIRECT(A96&amp;ROW())=C93),1,IF(AND(INDIRECT(A73&amp;ROW())=B95,INDIRECT(A96&amp;ROW())=C94),1,0)))</f>
        <v>1</v>
      </c>
      <c r="J575">
        <f ca="1">IF(AND(INDIRECT(A73&amp;ROW())=B95,INDIRECT(A96&amp;ROW())=C95),1,IF(AND(INDIRECT(A73&amp;ROW())=B95,INDIRECT(A96&amp;ROW())=C96),1,0))</f>
        <v>0</v>
      </c>
      <c r="K575">
        <f ca="1">DAYS360(INDIRECT(C68&amp;ROW()),TODAY())</f>
        <v>677</v>
      </c>
      <c r="L575">
        <f ca="1">DAYS360(INDIRECT(C69&amp;ROW()),TODAY())</f>
        <v>702</v>
      </c>
      <c r="M575">
        <f ca="1">HYPERLINK(CONCATENATE("https://bugzilla.houston.hp.com:1181/bugzilla/show_bug.cgi?id=",INDIRECT(C70&amp;ROW())),INDIRECT(C70&amp;ROW()))</f>
        <v>62722</v>
      </c>
      <c r="N575">
        <v>62722</v>
      </c>
      <c r="O575" t="s">
        <v>55</v>
      </c>
      <c r="P575" t="s">
        <v>1084</v>
      </c>
      <c r="Q575" t="s">
        <v>25</v>
      </c>
      <c r="R575" t="s">
        <v>783</v>
      </c>
      <c r="S575" t="s">
        <v>552</v>
      </c>
      <c r="U575" s="6">
        <v>42170.715601851851</v>
      </c>
      <c r="V575" t="s">
        <v>18</v>
      </c>
      <c r="W575" t="s">
        <v>783</v>
      </c>
      <c r="X575" s="6">
        <v>42144.633206018516</v>
      </c>
      <c r="Y575" t="s">
        <v>119</v>
      </c>
      <c r="AB575" t="s">
        <v>200</v>
      </c>
      <c r="AC575" t="s">
        <v>247</v>
      </c>
      <c r="AD575" t="s">
        <v>222</v>
      </c>
      <c r="AE575" t="s">
        <v>221</v>
      </c>
      <c r="AG575" t="s">
        <v>337</v>
      </c>
      <c r="AH575" t="s">
        <v>327</v>
      </c>
      <c r="AI575" t="s">
        <v>121</v>
      </c>
      <c r="AJ575" t="s">
        <v>715</v>
      </c>
      <c r="AK575" t="s">
        <v>121</v>
      </c>
    </row>
    <row r="576" spans="9:37" x14ac:dyDescent="0.3">
      <c r="I576">
        <f ca="1">IF(OR(INDIRECT(A73&amp;ROW())=B93,INDIRECT(A73&amp;ROW())=B94),1,IF(AND(INDIRECT(A73&amp;ROW())=B95,INDIRECT(A96&amp;ROW())=C93),1,IF(AND(INDIRECT(A73&amp;ROW())=B95,INDIRECT(A96&amp;ROW())=C94),1,0)))</f>
        <v>1</v>
      </c>
      <c r="J576">
        <f ca="1">IF(AND(INDIRECT(A73&amp;ROW())=B95,INDIRECT(A96&amp;ROW())=C95),1,IF(AND(INDIRECT(A73&amp;ROW())=B95,INDIRECT(A96&amp;ROW())=C96),1,0))</f>
        <v>0</v>
      </c>
      <c r="K576">
        <f ca="1">DAYS360(INDIRECT(C68&amp;ROW()),TODAY())</f>
        <v>676</v>
      </c>
      <c r="L576">
        <f ca="1">DAYS360(INDIRECT(C69&amp;ROW()),TODAY())</f>
        <v>702</v>
      </c>
      <c r="M576">
        <f ca="1">HYPERLINK(CONCATENATE("https://bugzilla.houston.hp.com:1181/bugzilla/show_bug.cgi?id=",INDIRECT(C70&amp;ROW())),INDIRECT(C70&amp;ROW()))</f>
        <v>62723</v>
      </c>
      <c r="N576">
        <v>62723</v>
      </c>
      <c r="O576" t="s">
        <v>55</v>
      </c>
      <c r="P576" t="s">
        <v>1083</v>
      </c>
      <c r="Q576" t="s">
        <v>25</v>
      </c>
      <c r="R576" t="s">
        <v>248</v>
      </c>
      <c r="S576" t="s">
        <v>552</v>
      </c>
      <c r="U576" s="6">
        <v>42171.541365740741</v>
      </c>
      <c r="V576" t="s">
        <v>18</v>
      </c>
      <c r="W576" t="s">
        <v>783</v>
      </c>
      <c r="X576" s="6">
        <v>42144.633287037039</v>
      </c>
      <c r="Y576" t="s">
        <v>119</v>
      </c>
      <c r="AB576" t="s">
        <v>200</v>
      </c>
      <c r="AC576" t="s">
        <v>247</v>
      </c>
      <c r="AD576" t="s">
        <v>222</v>
      </c>
      <c r="AE576" t="s">
        <v>221</v>
      </c>
      <c r="AG576" t="s">
        <v>121</v>
      </c>
      <c r="AH576" t="s">
        <v>327</v>
      </c>
      <c r="AI576" t="s">
        <v>121</v>
      </c>
      <c r="AJ576" t="s">
        <v>715</v>
      </c>
      <c r="AK576" t="s">
        <v>121</v>
      </c>
    </row>
    <row r="577" spans="9:37" x14ac:dyDescent="0.3">
      <c r="I577">
        <f ca="1">IF(OR(INDIRECT(A73&amp;ROW())=B93,INDIRECT(A73&amp;ROW())=B94),1,IF(AND(INDIRECT(A73&amp;ROW())=B95,INDIRECT(A96&amp;ROW())=C93),1,IF(AND(INDIRECT(A73&amp;ROW())=B95,INDIRECT(A96&amp;ROW())=C94),1,0)))</f>
        <v>1</v>
      </c>
      <c r="J577">
        <f ca="1">IF(AND(INDIRECT(A73&amp;ROW())=B95,INDIRECT(A96&amp;ROW())=C95),1,IF(AND(INDIRECT(A73&amp;ROW())=B95,INDIRECT(A96&amp;ROW())=C96),1,0))</f>
        <v>0</v>
      </c>
      <c r="K577">
        <f ca="1">DAYS360(INDIRECT(C68&amp;ROW()),TODAY())</f>
        <v>675</v>
      </c>
      <c r="L577">
        <f ca="1">DAYS360(INDIRECT(C69&amp;ROW()),TODAY())</f>
        <v>702</v>
      </c>
      <c r="M577">
        <f ca="1">HYPERLINK(CONCATENATE("https://bugzilla.houston.hp.com:1181/bugzilla/show_bug.cgi?id=",INDIRECT(C70&amp;ROW())),INDIRECT(C70&amp;ROW()))</f>
        <v>62730</v>
      </c>
      <c r="N577">
        <v>62730</v>
      </c>
      <c r="O577" t="s">
        <v>94</v>
      </c>
      <c r="P577" t="s">
        <v>1097</v>
      </c>
      <c r="Q577" t="s">
        <v>25</v>
      </c>
      <c r="R577" t="s">
        <v>251</v>
      </c>
      <c r="S577" t="s">
        <v>253</v>
      </c>
      <c r="U577" s="6">
        <v>42172.38958333333</v>
      </c>
      <c r="V577" t="s">
        <v>35</v>
      </c>
      <c r="W577" t="s">
        <v>783</v>
      </c>
      <c r="X577" s="6">
        <v>42144.689155092594</v>
      </c>
      <c r="Y577" t="s">
        <v>246</v>
      </c>
      <c r="AB577" t="s">
        <v>200</v>
      </c>
      <c r="AC577" t="s">
        <v>247</v>
      </c>
      <c r="AD577" t="s">
        <v>227</v>
      </c>
      <c r="AE577" t="s">
        <v>226</v>
      </c>
      <c r="AG577" t="s">
        <v>121</v>
      </c>
      <c r="AH577" t="s">
        <v>327</v>
      </c>
      <c r="AI577" t="s">
        <v>121</v>
      </c>
      <c r="AJ577" t="s">
        <v>715</v>
      </c>
      <c r="AK577" t="s">
        <v>121</v>
      </c>
    </row>
    <row r="578" spans="9:37" x14ac:dyDescent="0.3">
      <c r="I578">
        <f ca="1">IF(OR(INDIRECT(A73&amp;ROW())=B93,INDIRECT(A73&amp;ROW())=B94),1,IF(AND(INDIRECT(A73&amp;ROW())=B95,INDIRECT(A96&amp;ROW())=C93),1,IF(AND(INDIRECT(A73&amp;ROW())=B95,INDIRECT(A96&amp;ROW())=C94),1,0)))</f>
        <v>1</v>
      </c>
      <c r="J578">
        <f ca="1">IF(AND(INDIRECT(A73&amp;ROW())=B95,INDIRECT(A96&amp;ROW())=C95),1,IF(AND(INDIRECT(A73&amp;ROW())=B95,INDIRECT(A96&amp;ROW())=C96),1,0))</f>
        <v>0</v>
      </c>
      <c r="K578">
        <f ca="1">DAYS360(INDIRECT(C68&amp;ROW()),TODAY())</f>
        <v>687</v>
      </c>
      <c r="L578">
        <f ca="1">DAYS360(INDIRECT(C69&amp;ROW()),TODAY())</f>
        <v>701</v>
      </c>
      <c r="M578">
        <f ca="1">HYPERLINK(CONCATENATE("https://bugzilla.houston.hp.com:1181/bugzilla/show_bug.cgi?id=",INDIRECT(C70&amp;ROW())),INDIRECT(C70&amp;ROW()))</f>
        <v>62748</v>
      </c>
      <c r="N578">
        <v>62748</v>
      </c>
      <c r="O578" t="s">
        <v>94</v>
      </c>
      <c r="P578" t="s">
        <v>1096</v>
      </c>
      <c r="Q578" t="s">
        <v>25</v>
      </c>
      <c r="R578" t="s">
        <v>579</v>
      </c>
      <c r="S578" t="s">
        <v>552</v>
      </c>
      <c r="U578" s="6">
        <v>42160.491157407407</v>
      </c>
      <c r="V578" t="s">
        <v>18</v>
      </c>
      <c r="W578" t="s">
        <v>783</v>
      </c>
      <c r="X578" s="6">
        <v>42145.016631944447</v>
      </c>
      <c r="Y578" t="s">
        <v>246</v>
      </c>
      <c r="AB578" t="s">
        <v>200</v>
      </c>
      <c r="AC578" t="s">
        <v>247</v>
      </c>
      <c r="AD578" t="s">
        <v>227</v>
      </c>
      <c r="AE578" t="s">
        <v>226</v>
      </c>
      <c r="AG578" t="s">
        <v>121</v>
      </c>
      <c r="AH578" t="s">
        <v>327</v>
      </c>
      <c r="AI578" t="s">
        <v>121</v>
      </c>
      <c r="AJ578" t="s">
        <v>715</v>
      </c>
      <c r="AK578" t="s">
        <v>121</v>
      </c>
    </row>
    <row r="579" spans="9:37" x14ac:dyDescent="0.3">
      <c r="I579">
        <f ca="1">IF(OR(INDIRECT(A73&amp;ROW())=B93,INDIRECT(A73&amp;ROW())=B94),1,IF(AND(INDIRECT(A73&amp;ROW())=B95,INDIRECT(A96&amp;ROW())=C93),1,IF(AND(INDIRECT(A73&amp;ROW())=B95,INDIRECT(A96&amp;ROW())=C94),1,0)))</f>
        <v>1</v>
      </c>
      <c r="J579">
        <f ca="1">IF(AND(INDIRECT(A73&amp;ROW())=B95,INDIRECT(A96&amp;ROW())=C95),1,IF(AND(INDIRECT(A73&amp;ROW())=B95,INDIRECT(A96&amp;ROW())=C96),1,0))</f>
        <v>0</v>
      </c>
      <c r="K579">
        <f ca="1">DAYS360(INDIRECT(C68&amp;ROW()),TODAY())</f>
        <v>675</v>
      </c>
      <c r="L579">
        <f ca="1">DAYS360(INDIRECT(C69&amp;ROW()),TODAY())</f>
        <v>701</v>
      </c>
      <c r="M579">
        <f ca="1">HYPERLINK(CONCATENATE("https://bugzilla.houston.hp.com:1181/bugzilla/show_bug.cgi?id=",INDIRECT(C70&amp;ROW())),INDIRECT(C70&amp;ROW()))</f>
        <v>62749</v>
      </c>
      <c r="N579">
        <v>62749</v>
      </c>
      <c r="O579" t="s">
        <v>94</v>
      </c>
      <c r="P579" t="s">
        <v>1095</v>
      </c>
      <c r="Q579" t="s">
        <v>25</v>
      </c>
      <c r="R579" t="s">
        <v>783</v>
      </c>
      <c r="S579" t="s">
        <v>552</v>
      </c>
      <c r="U579" s="6">
        <v>42172.661990740744</v>
      </c>
      <c r="V579" t="s">
        <v>18</v>
      </c>
      <c r="W579" t="s">
        <v>783</v>
      </c>
      <c r="X579" s="6">
        <v>42145.016689814816</v>
      </c>
      <c r="Y579" t="s">
        <v>246</v>
      </c>
      <c r="AB579" t="s">
        <v>200</v>
      </c>
      <c r="AC579" t="s">
        <v>247</v>
      </c>
      <c r="AD579" t="s">
        <v>227</v>
      </c>
      <c r="AE579" t="s">
        <v>226</v>
      </c>
      <c r="AG579" t="s">
        <v>1082</v>
      </c>
      <c r="AH579" t="s">
        <v>327</v>
      </c>
      <c r="AI579" t="s">
        <v>121</v>
      </c>
      <c r="AJ579" t="s">
        <v>715</v>
      </c>
      <c r="AK579" t="s">
        <v>121</v>
      </c>
    </row>
    <row r="580" spans="9:37" x14ac:dyDescent="0.3">
      <c r="I580">
        <f ca="1">IF(OR(INDIRECT(A73&amp;ROW())=B93,INDIRECT(A73&amp;ROW())=B94),1,IF(AND(INDIRECT(A73&amp;ROW())=B95,INDIRECT(A96&amp;ROW())=C93),1,IF(AND(INDIRECT(A73&amp;ROW())=B95,INDIRECT(A96&amp;ROW())=C94),1,0)))</f>
        <v>1</v>
      </c>
      <c r="J580">
        <f ca="1">IF(AND(INDIRECT(A73&amp;ROW())=B95,INDIRECT(A96&amp;ROW())=C95),1,IF(AND(INDIRECT(A73&amp;ROW())=B95,INDIRECT(A96&amp;ROW())=C96),1,0))</f>
        <v>0</v>
      </c>
      <c r="K580">
        <f ca="1">DAYS360(INDIRECT(C68&amp;ROW()),TODAY())</f>
        <v>687</v>
      </c>
      <c r="L580">
        <f ca="1">DAYS360(INDIRECT(C69&amp;ROW()),TODAY())</f>
        <v>701</v>
      </c>
      <c r="M580">
        <f ca="1">HYPERLINK(CONCATENATE("https://bugzilla.houston.hp.com:1181/bugzilla/show_bug.cgi?id=",INDIRECT(C70&amp;ROW())),INDIRECT(C70&amp;ROW()))</f>
        <v>62750</v>
      </c>
      <c r="N580">
        <v>62750</v>
      </c>
      <c r="O580" t="s">
        <v>94</v>
      </c>
      <c r="P580" t="s">
        <v>1094</v>
      </c>
      <c r="Q580" t="s">
        <v>25</v>
      </c>
      <c r="R580" t="s">
        <v>248</v>
      </c>
      <c r="S580" t="s">
        <v>552</v>
      </c>
      <c r="U580" s="6">
        <v>42160.49114583333</v>
      </c>
      <c r="V580" t="s">
        <v>18</v>
      </c>
      <c r="W580" t="s">
        <v>783</v>
      </c>
      <c r="X580" s="6">
        <v>42145.016747685186</v>
      </c>
      <c r="Y580" t="s">
        <v>246</v>
      </c>
      <c r="AB580" t="s">
        <v>200</v>
      </c>
      <c r="AC580" t="s">
        <v>247</v>
      </c>
      <c r="AD580" t="s">
        <v>227</v>
      </c>
      <c r="AE580" t="s">
        <v>226</v>
      </c>
      <c r="AG580" t="s">
        <v>121</v>
      </c>
      <c r="AH580" t="s">
        <v>327</v>
      </c>
      <c r="AI580" t="s">
        <v>121</v>
      </c>
      <c r="AJ580" t="s">
        <v>715</v>
      </c>
      <c r="AK580" t="s">
        <v>121</v>
      </c>
    </row>
    <row r="581" spans="9:37" x14ac:dyDescent="0.3">
      <c r="I581">
        <f ca="1">IF(OR(INDIRECT(A73&amp;ROW())=B93,INDIRECT(A73&amp;ROW())=B94),1,IF(AND(INDIRECT(A73&amp;ROW())=B95,INDIRECT(A96&amp;ROW())=C93),1,IF(AND(INDIRECT(A73&amp;ROW())=B95,INDIRECT(A96&amp;ROW())=C94),1,0)))</f>
        <v>1</v>
      </c>
      <c r="J581">
        <f ca="1">IF(AND(INDIRECT(A73&amp;ROW())=B95,INDIRECT(A96&amp;ROW())=C95),1,IF(AND(INDIRECT(A73&amp;ROW())=B95,INDIRECT(A96&amp;ROW())=C96),1,0))</f>
        <v>0</v>
      </c>
      <c r="K581">
        <f ca="1">DAYS360(INDIRECT(C68&amp;ROW()),TODAY())</f>
        <v>680</v>
      </c>
      <c r="L581">
        <f ca="1">DAYS360(INDIRECT(C69&amp;ROW()),TODAY())</f>
        <v>701</v>
      </c>
      <c r="M581">
        <f ca="1">HYPERLINK(CONCATENATE("https://bugzilla.houston.hp.com:1181/bugzilla/show_bug.cgi?id=",INDIRECT(C70&amp;ROW())),INDIRECT(C70&amp;ROW()))</f>
        <v>62785</v>
      </c>
      <c r="N581">
        <v>62785</v>
      </c>
      <c r="O581" t="s">
        <v>21</v>
      </c>
      <c r="P581" t="s">
        <v>1128</v>
      </c>
      <c r="Q581" t="s">
        <v>25</v>
      </c>
      <c r="R581" t="s">
        <v>251</v>
      </c>
      <c r="S581" t="s">
        <v>24</v>
      </c>
      <c r="U581" s="6">
        <v>42167.625717592593</v>
      </c>
      <c r="V581" t="s">
        <v>40</v>
      </c>
      <c r="W581" t="s">
        <v>783</v>
      </c>
      <c r="X581" s="6">
        <v>42145.392812500002</v>
      </c>
      <c r="Y581" t="s">
        <v>119</v>
      </c>
      <c r="AB581" t="s">
        <v>200</v>
      </c>
      <c r="AC581" t="s">
        <v>247</v>
      </c>
      <c r="AD581" t="s">
        <v>222</v>
      </c>
      <c r="AE581" t="s">
        <v>225</v>
      </c>
      <c r="AG581" t="s">
        <v>121</v>
      </c>
      <c r="AH581" t="s">
        <v>327</v>
      </c>
      <c r="AI581" t="s">
        <v>121</v>
      </c>
      <c r="AJ581" t="s">
        <v>715</v>
      </c>
      <c r="AK581" t="s">
        <v>121</v>
      </c>
    </row>
    <row r="582" spans="9:37" x14ac:dyDescent="0.3">
      <c r="I582">
        <f ca="1">IF(OR(INDIRECT(A73&amp;ROW())=B93,INDIRECT(A73&amp;ROW())=B94),1,IF(AND(INDIRECT(A73&amp;ROW())=B95,INDIRECT(A96&amp;ROW())=C93),1,IF(AND(INDIRECT(A73&amp;ROW())=B95,INDIRECT(A96&amp;ROW())=C94),1,0)))</f>
        <v>0</v>
      </c>
      <c r="J582">
        <f ca="1">IF(AND(INDIRECT(A73&amp;ROW())=B95,INDIRECT(A96&amp;ROW())=C95),1,IF(AND(INDIRECT(A73&amp;ROW())=B95,INDIRECT(A96&amp;ROW())=C96),1,0))</f>
        <v>0</v>
      </c>
      <c r="K582">
        <f ca="1">DAYS360(INDIRECT(C68&amp;ROW()),TODAY())</f>
        <v>681</v>
      </c>
      <c r="L582">
        <f ca="1">DAYS360(INDIRECT(C69&amp;ROW()),TODAY())</f>
        <v>701</v>
      </c>
      <c r="M582">
        <f ca="1">HYPERLINK(CONCATENATE("https://bugzilla.houston.hp.com:1181/bugzilla/show_bug.cgi?id=",INDIRECT(C70&amp;ROW())),INDIRECT(C70&amp;ROW()))</f>
        <v>62801</v>
      </c>
      <c r="N582">
        <v>62801</v>
      </c>
      <c r="O582" t="s">
        <v>323</v>
      </c>
      <c r="P582" t="s">
        <v>1103</v>
      </c>
      <c r="Q582" t="s">
        <v>16</v>
      </c>
      <c r="R582" t="s">
        <v>251</v>
      </c>
      <c r="S582" t="s">
        <v>1102</v>
      </c>
      <c r="U582" s="6">
        <v>42166.308483796296</v>
      </c>
      <c r="V582" t="s">
        <v>35</v>
      </c>
      <c r="W582" t="s">
        <v>764</v>
      </c>
      <c r="X582" s="6">
        <v>42145.5387962963</v>
      </c>
      <c r="Y582" t="s">
        <v>125</v>
      </c>
      <c r="AB582" t="s">
        <v>199</v>
      </c>
      <c r="AC582" t="s">
        <v>247</v>
      </c>
      <c r="AD582" t="s">
        <v>220</v>
      </c>
      <c r="AE582" t="s">
        <v>219</v>
      </c>
      <c r="AG582" t="s">
        <v>121</v>
      </c>
      <c r="AH582" t="s">
        <v>327</v>
      </c>
      <c r="AI582" t="s">
        <v>121</v>
      </c>
      <c r="AJ582" t="s">
        <v>716</v>
      </c>
      <c r="AK582" t="s">
        <v>121</v>
      </c>
    </row>
    <row r="583" spans="9:37" x14ac:dyDescent="0.3">
      <c r="I583">
        <f ca="1">IF(OR(INDIRECT(A73&amp;ROW())=B93,INDIRECT(A73&amp;ROW())=B94),1,IF(AND(INDIRECT(A73&amp;ROW())=B95,INDIRECT(A96&amp;ROW())=C93),1,IF(AND(INDIRECT(A73&amp;ROW())=B95,INDIRECT(A96&amp;ROW())=C94),1,0)))</f>
        <v>0</v>
      </c>
      <c r="J583">
        <f ca="1">IF(AND(INDIRECT(A73&amp;ROW())=B95,INDIRECT(A96&amp;ROW())=C95),1,IF(AND(INDIRECT(A73&amp;ROW())=B95,INDIRECT(A96&amp;ROW())=C96),1,0))</f>
        <v>0</v>
      </c>
      <c r="K583">
        <f ca="1">DAYS360(INDIRECT(C68&amp;ROW()),TODAY())</f>
        <v>681</v>
      </c>
      <c r="L583">
        <f ca="1">DAYS360(INDIRECT(C69&amp;ROW()),TODAY())</f>
        <v>701</v>
      </c>
      <c r="M583">
        <f ca="1">HYPERLINK(CONCATENATE("https://bugzilla.houston.hp.com:1181/bugzilla/show_bug.cgi?id=",INDIRECT(C70&amp;ROW())),INDIRECT(C70&amp;ROW()))</f>
        <v>62804</v>
      </c>
      <c r="N583">
        <v>62804</v>
      </c>
      <c r="O583" t="s">
        <v>19</v>
      </c>
      <c r="P583" t="s">
        <v>1101</v>
      </c>
      <c r="Q583" t="s">
        <v>16</v>
      </c>
      <c r="R583" t="s">
        <v>579</v>
      </c>
      <c r="S583" t="s">
        <v>552</v>
      </c>
      <c r="U583" s="6">
        <v>42166.308599537035</v>
      </c>
      <c r="V583" t="s">
        <v>18</v>
      </c>
      <c r="W583" t="s">
        <v>764</v>
      </c>
      <c r="X583" s="6">
        <v>42145.633622685185</v>
      </c>
      <c r="Y583" t="s">
        <v>125</v>
      </c>
      <c r="AB583" t="s">
        <v>199</v>
      </c>
      <c r="AC583" t="s">
        <v>247</v>
      </c>
      <c r="AD583" t="s">
        <v>220</v>
      </c>
      <c r="AE583" t="s">
        <v>219</v>
      </c>
      <c r="AG583" t="s">
        <v>121</v>
      </c>
      <c r="AH583" t="s">
        <v>327</v>
      </c>
      <c r="AI583" t="s">
        <v>121</v>
      </c>
      <c r="AJ583" t="s">
        <v>716</v>
      </c>
      <c r="AK583" t="s">
        <v>121</v>
      </c>
    </row>
    <row r="584" spans="9:37" x14ac:dyDescent="0.3">
      <c r="I584">
        <f ca="1">IF(OR(INDIRECT(A73&amp;ROW())=B93,INDIRECT(A73&amp;ROW())=B94),1,IF(AND(INDIRECT(A73&amp;ROW())=B95,INDIRECT(A96&amp;ROW())=C93),1,IF(AND(INDIRECT(A73&amp;ROW())=B95,INDIRECT(A96&amp;ROW())=C94),1,0)))</f>
        <v>0</v>
      </c>
      <c r="J584">
        <f ca="1">IF(AND(INDIRECT(A73&amp;ROW())=B95,INDIRECT(A96&amp;ROW())=C95),1,IF(AND(INDIRECT(A73&amp;ROW())=B95,INDIRECT(A96&amp;ROW())=C96),1,0))</f>
        <v>0</v>
      </c>
      <c r="K584">
        <f ca="1">DAYS360(INDIRECT(C68&amp;ROW()),TODAY())</f>
        <v>701</v>
      </c>
      <c r="L584">
        <f ca="1">DAYS360(INDIRECT(C69&amp;ROW()),TODAY())</f>
        <v>701</v>
      </c>
      <c r="M584">
        <f ca="1">HYPERLINK(CONCATENATE("https://bugzilla.houston.hp.com:1181/bugzilla/show_bug.cgi?id=",INDIRECT(C70&amp;ROW())),INDIRECT(C70&amp;ROW()))</f>
        <v>62806</v>
      </c>
      <c r="N584">
        <v>62806</v>
      </c>
      <c r="O584" t="s">
        <v>19</v>
      </c>
      <c r="P584" t="s">
        <v>1099</v>
      </c>
      <c r="Q584" t="s">
        <v>16</v>
      </c>
      <c r="R584" t="s">
        <v>248</v>
      </c>
      <c r="S584" t="s">
        <v>552</v>
      </c>
      <c r="U584" s="6">
        <v>42145.633726851855</v>
      </c>
      <c r="V584" t="s">
        <v>18</v>
      </c>
      <c r="W584" t="s">
        <v>764</v>
      </c>
      <c r="X584" s="6">
        <v>42145.633726851855</v>
      </c>
      <c r="Y584" t="s">
        <v>125</v>
      </c>
      <c r="AB584" t="s">
        <v>199</v>
      </c>
      <c r="AC584" t="s">
        <v>247</v>
      </c>
      <c r="AD584" t="s">
        <v>220</v>
      </c>
      <c r="AE584" t="s">
        <v>243</v>
      </c>
      <c r="AG584" t="s">
        <v>121</v>
      </c>
      <c r="AH584" t="s">
        <v>327</v>
      </c>
      <c r="AI584" t="s">
        <v>121</v>
      </c>
      <c r="AJ584" t="s">
        <v>716</v>
      </c>
      <c r="AK584" t="s">
        <v>121</v>
      </c>
    </row>
    <row r="585" spans="9:37" x14ac:dyDescent="0.3">
      <c r="I585">
        <f ca="1">IF(OR(INDIRECT(A73&amp;ROW())=B93,INDIRECT(A73&amp;ROW())=B94),1,IF(AND(INDIRECT(A73&amp;ROW())=B95,INDIRECT(A96&amp;ROW())=C93),1,IF(AND(INDIRECT(A73&amp;ROW())=B95,INDIRECT(A96&amp;ROW())=C94),1,0)))</f>
        <v>1</v>
      </c>
      <c r="J585">
        <f ca="1">IF(AND(INDIRECT(A73&amp;ROW())=B95,INDIRECT(A96&amp;ROW())=C95),1,IF(AND(INDIRECT(A73&amp;ROW())=B95,INDIRECT(A96&amp;ROW())=C96),1,0))</f>
        <v>0</v>
      </c>
      <c r="K585">
        <f ca="1">DAYS360(INDIRECT(C68&amp;ROW()),TODAY())</f>
        <v>677</v>
      </c>
      <c r="L585">
        <f ca="1">DAYS360(INDIRECT(C69&amp;ROW()),TODAY())</f>
        <v>700</v>
      </c>
      <c r="M585">
        <f ca="1">HYPERLINK(CONCATENATE("https://bugzilla.houston.hp.com:1181/bugzilla/show_bug.cgi?id=",INDIRECT(C70&amp;ROW())),INDIRECT(C70&amp;ROW()))</f>
        <v>62843</v>
      </c>
      <c r="N585">
        <v>62843</v>
      </c>
      <c r="O585" t="s">
        <v>21</v>
      </c>
      <c r="P585" t="s">
        <v>1201</v>
      </c>
      <c r="Q585" t="s">
        <v>25</v>
      </c>
      <c r="R585" t="s">
        <v>251</v>
      </c>
      <c r="S585" t="s">
        <v>917</v>
      </c>
      <c r="U585" s="6">
        <v>42170.523449074077</v>
      </c>
      <c r="V585" t="s">
        <v>18</v>
      </c>
      <c r="W585" t="s">
        <v>783</v>
      </c>
      <c r="X585" s="6">
        <v>42146.493784722225</v>
      </c>
      <c r="Y585" t="s">
        <v>846</v>
      </c>
      <c r="AB585" t="s">
        <v>200</v>
      </c>
      <c r="AC585" t="s">
        <v>247</v>
      </c>
      <c r="AD585" t="s">
        <v>222</v>
      </c>
      <c r="AE585" t="s">
        <v>1073</v>
      </c>
      <c r="AG585" t="s">
        <v>121</v>
      </c>
      <c r="AH585" t="s">
        <v>327</v>
      </c>
      <c r="AI585" t="s">
        <v>121</v>
      </c>
      <c r="AJ585" t="s">
        <v>715</v>
      </c>
      <c r="AK585" t="s">
        <v>121</v>
      </c>
    </row>
    <row r="586" spans="9:37" x14ac:dyDescent="0.3">
      <c r="I586">
        <f ca="1">IF(OR(INDIRECT(A73&amp;ROW())=B93,INDIRECT(A73&amp;ROW())=B94),1,IF(AND(INDIRECT(A73&amp;ROW())=B95,INDIRECT(A96&amp;ROW())=C93),1,IF(AND(INDIRECT(A73&amp;ROW())=B95,INDIRECT(A96&amp;ROW())=C94),1,0)))</f>
        <v>1</v>
      </c>
      <c r="J586">
        <f ca="1">IF(AND(INDIRECT(A73&amp;ROW())=B95,INDIRECT(A96&amp;ROW())=C95),1,IF(AND(INDIRECT(A73&amp;ROW())=B95,INDIRECT(A96&amp;ROW())=C96),1,0))</f>
        <v>0</v>
      </c>
      <c r="K586">
        <f ca="1">DAYS360(INDIRECT(C68&amp;ROW()),TODAY())</f>
        <v>677</v>
      </c>
      <c r="L586">
        <f ca="1">DAYS360(INDIRECT(C69&amp;ROW()),TODAY())</f>
        <v>700</v>
      </c>
      <c r="M586">
        <f ca="1">HYPERLINK(CONCATENATE("https://bugzilla.houston.hp.com:1181/bugzilla/show_bug.cgi?id=",INDIRECT(C70&amp;ROW())),INDIRECT(C70&amp;ROW()))</f>
        <v>62847</v>
      </c>
      <c r="N586">
        <v>62847</v>
      </c>
      <c r="O586" t="s">
        <v>21</v>
      </c>
      <c r="P586" t="s">
        <v>1243</v>
      </c>
      <c r="Q586" t="s">
        <v>25</v>
      </c>
      <c r="R586" t="s">
        <v>579</v>
      </c>
      <c r="S586" t="s">
        <v>552</v>
      </c>
      <c r="U586" s="6">
        <v>42170.54005787037</v>
      </c>
      <c r="V586" t="s">
        <v>18</v>
      </c>
      <c r="W586" t="s">
        <v>783</v>
      </c>
      <c r="X586" s="6">
        <v>42146.51667824074</v>
      </c>
      <c r="Y586" t="s">
        <v>846</v>
      </c>
      <c r="AB586" t="s">
        <v>200</v>
      </c>
      <c r="AC586" t="s">
        <v>247</v>
      </c>
      <c r="AD586" t="s">
        <v>222</v>
      </c>
      <c r="AE586" t="s">
        <v>1073</v>
      </c>
      <c r="AG586" t="s">
        <v>121</v>
      </c>
      <c r="AH586" t="s">
        <v>327</v>
      </c>
      <c r="AI586" t="s">
        <v>121</v>
      </c>
      <c r="AJ586" t="s">
        <v>715</v>
      </c>
      <c r="AK586" t="s">
        <v>121</v>
      </c>
    </row>
    <row r="587" spans="9:37" x14ac:dyDescent="0.3">
      <c r="I587">
        <f ca="1">IF(OR(INDIRECT(A73&amp;ROW())=B93,INDIRECT(A73&amp;ROW())=B94),1,IF(AND(INDIRECT(A73&amp;ROW())=B95,INDIRECT(A96&amp;ROW())=C93),1,IF(AND(INDIRECT(A73&amp;ROW())=B95,INDIRECT(A96&amp;ROW())=C94),1,0)))</f>
        <v>1</v>
      </c>
      <c r="J587">
        <f ca="1">IF(AND(INDIRECT(A73&amp;ROW())=B95,INDIRECT(A96&amp;ROW())=C95),1,IF(AND(INDIRECT(A73&amp;ROW())=B95,INDIRECT(A96&amp;ROW())=C96),1,0))</f>
        <v>0</v>
      </c>
      <c r="K587">
        <f ca="1">DAYS360(INDIRECT(C68&amp;ROW()),TODAY())</f>
        <v>676</v>
      </c>
      <c r="L587">
        <f ca="1">DAYS360(INDIRECT(C69&amp;ROW()),TODAY())</f>
        <v>700</v>
      </c>
      <c r="M587">
        <f ca="1">HYPERLINK(CONCATENATE("https://bugzilla.houston.hp.com:1181/bugzilla/show_bug.cgi?id=",INDIRECT(C70&amp;ROW())),INDIRECT(C70&amp;ROW()))</f>
        <v>62848</v>
      </c>
      <c r="N587">
        <v>62848</v>
      </c>
      <c r="O587" t="s">
        <v>21</v>
      </c>
      <c r="P587" t="s">
        <v>1200</v>
      </c>
      <c r="Q587" t="s">
        <v>25</v>
      </c>
      <c r="R587" t="s">
        <v>783</v>
      </c>
      <c r="S587" t="s">
        <v>552</v>
      </c>
      <c r="U587" s="6">
        <v>42171.354490740741</v>
      </c>
      <c r="V587" t="s">
        <v>18</v>
      </c>
      <c r="W587" t="s">
        <v>783</v>
      </c>
      <c r="X587" s="6">
        <v>42146.516724537039</v>
      </c>
      <c r="Y587" t="s">
        <v>846</v>
      </c>
      <c r="AB587" t="s">
        <v>200</v>
      </c>
      <c r="AC587" t="s">
        <v>247</v>
      </c>
      <c r="AD587" t="s">
        <v>222</v>
      </c>
      <c r="AE587" t="s">
        <v>1073</v>
      </c>
      <c r="AG587" t="s">
        <v>121</v>
      </c>
      <c r="AH587" t="s">
        <v>327</v>
      </c>
      <c r="AI587" t="s">
        <v>121</v>
      </c>
      <c r="AJ587" t="s">
        <v>715</v>
      </c>
      <c r="AK587" t="s">
        <v>1133</v>
      </c>
    </row>
    <row r="588" spans="9:37" x14ac:dyDescent="0.3">
      <c r="I588">
        <f ca="1">IF(OR(INDIRECT(A73&amp;ROW())=B93,INDIRECT(A73&amp;ROW())=B94),1,IF(AND(INDIRECT(A73&amp;ROW())=B95,INDIRECT(A96&amp;ROW())=C93),1,IF(AND(INDIRECT(A73&amp;ROW())=B95,INDIRECT(A96&amp;ROW())=C94),1,0)))</f>
        <v>1</v>
      </c>
      <c r="J588">
        <f ca="1">IF(AND(INDIRECT(A73&amp;ROW())=B95,INDIRECT(A96&amp;ROW())=C95),1,IF(AND(INDIRECT(A73&amp;ROW())=B95,INDIRECT(A96&amp;ROW())=C96),1,0))</f>
        <v>0</v>
      </c>
      <c r="K588">
        <f ca="1">DAYS360(INDIRECT(C68&amp;ROW()),TODAY())</f>
        <v>677</v>
      </c>
      <c r="L588">
        <f ca="1">DAYS360(INDIRECT(C69&amp;ROW()),TODAY())</f>
        <v>700</v>
      </c>
      <c r="M588">
        <f ca="1">HYPERLINK(CONCATENATE("https://bugzilla.houston.hp.com:1181/bugzilla/show_bug.cgi?id=",INDIRECT(C70&amp;ROW())),INDIRECT(C70&amp;ROW()))</f>
        <v>62849</v>
      </c>
      <c r="N588">
        <v>62849</v>
      </c>
      <c r="O588" t="s">
        <v>21</v>
      </c>
      <c r="P588" t="s">
        <v>1242</v>
      </c>
      <c r="Q588" t="s">
        <v>25</v>
      </c>
      <c r="R588" t="s">
        <v>248</v>
      </c>
      <c r="S588" t="s">
        <v>552</v>
      </c>
      <c r="U588" s="6">
        <v>42170.540069444447</v>
      </c>
      <c r="V588" t="s">
        <v>18</v>
      </c>
      <c r="W588" t="s">
        <v>783</v>
      </c>
      <c r="X588" s="6">
        <v>42146.516782407409</v>
      </c>
      <c r="Y588" t="s">
        <v>846</v>
      </c>
      <c r="AB588" t="s">
        <v>200</v>
      </c>
      <c r="AC588" t="s">
        <v>247</v>
      </c>
      <c r="AD588" t="s">
        <v>222</v>
      </c>
      <c r="AE588" t="s">
        <v>1073</v>
      </c>
      <c r="AG588" t="s">
        <v>121</v>
      </c>
      <c r="AH588" t="s">
        <v>327</v>
      </c>
      <c r="AI588" t="s">
        <v>121</v>
      </c>
      <c r="AJ588" t="s">
        <v>715</v>
      </c>
      <c r="AK588" t="s">
        <v>121</v>
      </c>
    </row>
    <row r="589" spans="9:37" x14ac:dyDescent="0.3">
      <c r="I589">
        <f ca="1">IF(OR(INDIRECT(A73&amp;ROW())=B93,INDIRECT(A73&amp;ROW())=B94),1,IF(AND(INDIRECT(A73&amp;ROW())=B95,INDIRECT(A96&amp;ROW())=C93),1,IF(AND(INDIRECT(A73&amp;ROW())=B95,INDIRECT(A96&amp;ROW())=C94),1,0)))</f>
        <v>0</v>
      </c>
      <c r="J589">
        <f ca="1">IF(AND(INDIRECT(A73&amp;ROW())=B95,INDIRECT(A96&amp;ROW())=C95),1,IF(AND(INDIRECT(A73&amp;ROW())=B95,INDIRECT(A96&amp;ROW())=C96),1,0))</f>
        <v>1</v>
      </c>
      <c r="K589">
        <f ca="1">DAYS360(INDIRECT(C68&amp;ROW()),TODAY())</f>
        <v>689</v>
      </c>
      <c r="L589">
        <f ca="1">DAYS360(INDIRECT(C69&amp;ROW()),TODAY())</f>
        <v>700</v>
      </c>
      <c r="M589">
        <f ca="1">HYPERLINK(CONCATENATE("https://bugzilla.houston.hp.com:1181/bugzilla/show_bug.cgi?id=",INDIRECT(C70&amp;ROW())),INDIRECT(C70&amp;ROW()))</f>
        <v>62876</v>
      </c>
      <c r="N589">
        <v>62876</v>
      </c>
      <c r="O589" t="s">
        <v>55</v>
      </c>
      <c r="P589" t="s">
        <v>1121</v>
      </c>
      <c r="Q589" t="s">
        <v>25</v>
      </c>
      <c r="R589" t="s">
        <v>251</v>
      </c>
      <c r="S589" t="s">
        <v>88</v>
      </c>
      <c r="U589" s="6">
        <v>42158.289733796293</v>
      </c>
      <c r="V589" t="s">
        <v>35</v>
      </c>
      <c r="W589" t="s">
        <v>783</v>
      </c>
      <c r="X589" s="6">
        <v>42146.710370370369</v>
      </c>
      <c r="Y589" t="s">
        <v>125</v>
      </c>
      <c r="AB589" t="s">
        <v>201</v>
      </c>
      <c r="AC589" t="s">
        <v>247</v>
      </c>
      <c r="AD589" t="s">
        <v>222</v>
      </c>
      <c r="AE589" t="s">
        <v>221</v>
      </c>
      <c r="AG589" t="s">
        <v>121</v>
      </c>
      <c r="AH589" t="s">
        <v>327</v>
      </c>
      <c r="AI589" t="s">
        <v>121</v>
      </c>
      <c r="AJ589" t="s">
        <v>716</v>
      </c>
      <c r="AK589" t="s">
        <v>121</v>
      </c>
    </row>
    <row r="590" spans="9:37" x14ac:dyDescent="0.3">
      <c r="I590">
        <f ca="1">IF(OR(INDIRECT(A73&amp;ROW())=B93,INDIRECT(A73&amp;ROW())=B94),1,IF(AND(INDIRECT(A73&amp;ROW())=B95,INDIRECT(A96&amp;ROW())=C93),1,IF(AND(INDIRECT(A73&amp;ROW())=B95,INDIRECT(A96&amp;ROW())=C94),1,0)))</f>
        <v>0</v>
      </c>
      <c r="J590">
        <f ca="1">IF(AND(INDIRECT(A73&amp;ROW())=B95,INDIRECT(A96&amp;ROW())=C95),1,IF(AND(INDIRECT(A73&amp;ROW())=B95,INDIRECT(A96&amp;ROW())=C96),1,0))</f>
        <v>1</v>
      </c>
      <c r="K590">
        <f ca="1">DAYS360(INDIRECT(C68&amp;ROW()),TODAY())</f>
        <v>697</v>
      </c>
      <c r="L590">
        <f ca="1">DAYS360(INDIRECT(C69&amp;ROW()),TODAY())</f>
        <v>699</v>
      </c>
      <c r="M590">
        <f ca="1">HYPERLINK(CONCATENATE("https://bugzilla.houston.hp.com:1181/bugzilla/show_bug.cgi?id=",INDIRECT(C70&amp;ROW())),INDIRECT(C70&amp;ROW()))</f>
        <v>62879</v>
      </c>
      <c r="N590">
        <v>62879</v>
      </c>
      <c r="O590" t="s">
        <v>55</v>
      </c>
      <c r="P590" t="s">
        <v>1120</v>
      </c>
      <c r="Q590" t="s">
        <v>25</v>
      </c>
      <c r="R590" t="s">
        <v>579</v>
      </c>
      <c r="S590" t="s">
        <v>552</v>
      </c>
      <c r="U590" s="6">
        <v>42149.626400462963</v>
      </c>
      <c r="V590" t="s">
        <v>18</v>
      </c>
      <c r="W590" t="s">
        <v>783</v>
      </c>
      <c r="X590" s="6">
        <v>42147.016736111109</v>
      </c>
      <c r="Y590" t="s">
        <v>125</v>
      </c>
      <c r="AB590" t="s">
        <v>201</v>
      </c>
      <c r="AC590" t="s">
        <v>247</v>
      </c>
      <c r="AD590" t="s">
        <v>222</v>
      </c>
      <c r="AE590" t="s">
        <v>221</v>
      </c>
      <c r="AG590" t="s">
        <v>121</v>
      </c>
      <c r="AH590" t="s">
        <v>327</v>
      </c>
      <c r="AI590" t="s">
        <v>121</v>
      </c>
      <c r="AJ590" t="s">
        <v>716</v>
      </c>
      <c r="AK590" t="s">
        <v>121</v>
      </c>
    </row>
    <row r="591" spans="9:37" x14ac:dyDescent="0.3">
      <c r="I591">
        <f ca="1">IF(OR(INDIRECT(A73&amp;ROW())=B93,INDIRECT(A73&amp;ROW())=B94),1,IF(AND(INDIRECT(A73&amp;ROW())=B95,INDIRECT(A96&amp;ROW())=C93),1,IF(AND(INDIRECT(A73&amp;ROW())=B95,INDIRECT(A96&amp;ROW())=C94),1,0)))</f>
        <v>0</v>
      </c>
      <c r="J591">
        <f ca="1">IF(AND(INDIRECT(A73&amp;ROW())=B95,INDIRECT(A96&amp;ROW())=C95),1,IF(AND(INDIRECT(A73&amp;ROW())=B95,INDIRECT(A96&amp;ROW())=C96),1,0))</f>
        <v>1</v>
      </c>
      <c r="K591">
        <f ca="1">DAYS360(INDIRECT(C68&amp;ROW()),TODAY())</f>
        <v>697</v>
      </c>
      <c r="L591">
        <f ca="1">DAYS360(INDIRECT(C69&amp;ROW()),TODAY())</f>
        <v>699</v>
      </c>
      <c r="M591">
        <f ca="1">HYPERLINK(CONCATENATE("https://bugzilla.houston.hp.com:1181/bugzilla/show_bug.cgi?id=",INDIRECT(C70&amp;ROW())),INDIRECT(C70&amp;ROW()))</f>
        <v>62881</v>
      </c>
      <c r="N591">
        <v>62881</v>
      </c>
      <c r="O591" t="s">
        <v>55</v>
      </c>
      <c r="P591" t="s">
        <v>1118</v>
      </c>
      <c r="Q591" t="s">
        <v>25</v>
      </c>
      <c r="R591" t="s">
        <v>248</v>
      </c>
      <c r="S591" t="s">
        <v>552</v>
      </c>
      <c r="U591" s="6">
        <v>42149.626388888886</v>
      </c>
      <c r="V591" t="s">
        <v>18</v>
      </c>
      <c r="W591" t="s">
        <v>783</v>
      </c>
      <c r="X591" s="6">
        <v>42147.016898148147</v>
      </c>
      <c r="Y591" t="s">
        <v>125</v>
      </c>
      <c r="AB591" t="s">
        <v>201</v>
      </c>
      <c r="AC591" t="s">
        <v>247</v>
      </c>
      <c r="AD591" t="s">
        <v>222</v>
      </c>
      <c r="AE591" t="s">
        <v>221</v>
      </c>
      <c r="AG591" t="s">
        <v>121</v>
      </c>
      <c r="AH591" t="s">
        <v>327</v>
      </c>
      <c r="AI591" t="s">
        <v>121</v>
      </c>
      <c r="AJ591" t="s">
        <v>716</v>
      </c>
      <c r="AK591" t="s">
        <v>121</v>
      </c>
    </row>
    <row r="592" spans="9:37" x14ac:dyDescent="0.3">
      <c r="I592">
        <f ca="1">IF(OR(INDIRECT(A73&amp;ROW())=B93,INDIRECT(A73&amp;ROW())=B94),1,IF(AND(INDIRECT(A73&amp;ROW())=B95,INDIRECT(A96&amp;ROW())=C93),1,IF(AND(INDIRECT(A73&amp;ROW())=B95,INDIRECT(A96&amp;ROW())=C94),1,0)))</f>
        <v>1</v>
      </c>
      <c r="J592">
        <f ca="1">IF(AND(INDIRECT(A73&amp;ROW())=B95,INDIRECT(A96&amp;ROW())=C95),1,IF(AND(INDIRECT(A73&amp;ROW())=B95,INDIRECT(A96&amp;ROW())=C96),1,0))</f>
        <v>0</v>
      </c>
      <c r="K592">
        <f ca="1">DAYS360(INDIRECT(C68&amp;ROW()),TODAY())</f>
        <v>690</v>
      </c>
      <c r="L592">
        <f ca="1">DAYS360(INDIRECT(C69&amp;ROW()),TODAY())</f>
        <v>697</v>
      </c>
      <c r="M592">
        <f ca="1">HYPERLINK(CONCATENATE("https://bugzilla.houston.hp.com:1181/bugzilla/show_bug.cgi?id=",INDIRECT(C70&amp;ROW())),INDIRECT(C70&amp;ROW()))</f>
        <v>62918</v>
      </c>
      <c r="N592">
        <v>62918</v>
      </c>
      <c r="O592" t="s">
        <v>62</v>
      </c>
      <c r="P592" t="s">
        <v>1117</v>
      </c>
      <c r="Q592" t="s">
        <v>25</v>
      </c>
      <c r="R592" t="s">
        <v>251</v>
      </c>
      <c r="S592" t="s">
        <v>62</v>
      </c>
      <c r="U592" s="6">
        <v>42157.007928240739</v>
      </c>
      <c r="V592" t="s">
        <v>18</v>
      </c>
      <c r="W592" t="s">
        <v>783</v>
      </c>
      <c r="X592" s="6">
        <v>42149.972442129627</v>
      </c>
      <c r="Y592" t="s">
        <v>119</v>
      </c>
      <c r="AB592" t="s">
        <v>199</v>
      </c>
      <c r="AC592" t="s">
        <v>247</v>
      </c>
      <c r="AD592" t="s">
        <v>220</v>
      </c>
      <c r="AE592" t="s">
        <v>219</v>
      </c>
      <c r="AG592" t="s">
        <v>121</v>
      </c>
      <c r="AH592" t="s">
        <v>327</v>
      </c>
      <c r="AI592" t="s">
        <v>121</v>
      </c>
      <c r="AJ592" t="s">
        <v>715</v>
      </c>
      <c r="AK592" t="s">
        <v>121</v>
      </c>
    </row>
    <row r="593" spans="9:37" x14ac:dyDescent="0.3">
      <c r="I593">
        <f ca="1">IF(OR(INDIRECT(A73&amp;ROW())=B93,INDIRECT(A73&amp;ROW())=B94),1,IF(AND(INDIRECT(A73&amp;ROW())=B95,INDIRECT(A96&amp;ROW())=C93),1,IF(AND(INDIRECT(A73&amp;ROW())=B95,INDIRECT(A96&amp;ROW())=C94),1,0)))</f>
        <v>1</v>
      </c>
      <c r="J593">
        <f ca="1">IF(AND(INDIRECT(A73&amp;ROW())=B95,INDIRECT(A96&amp;ROW())=C95),1,IF(AND(INDIRECT(A73&amp;ROW())=B95,INDIRECT(A96&amp;ROW())=C96),1,0))</f>
        <v>0</v>
      </c>
      <c r="K593">
        <f ca="1">DAYS360(INDIRECT(C68&amp;ROW()),TODAY())</f>
        <v>690</v>
      </c>
      <c r="L593">
        <f ca="1">DAYS360(INDIRECT(C69&amp;ROW()),TODAY())</f>
        <v>696</v>
      </c>
      <c r="M593">
        <f ca="1">HYPERLINK(CONCATENATE("https://bugzilla.houston.hp.com:1181/bugzilla/show_bug.cgi?id=",INDIRECT(C70&amp;ROW())),INDIRECT(C70&amp;ROW()))</f>
        <v>62923</v>
      </c>
      <c r="N593">
        <v>62923</v>
      </c>
      <c r="O593" t="s">
        <v>56</v>
      </c>
      <c r="P593" t="s">
        <v>1116</v>
      </c>
      <c r="Q593" t="s">
        <v>25</v>
      </c>
      <c r="R593" t="s">
        <v>248</v>
      </c>
      <c r="S593" t="s">
        <v>552</v>
      </c>
      <c r="U593" s="6">
        <v>42157.090798611112</v>
      </c>
      <c r="V593" t="s">
        <v>18</v>
      </c>
      <c r="W593" t="s">
        <v>783</v>
      </c>
      <c r="X593" s="6">
        <v>42150.01703703704</v>
      </c>
      <c r="Y593" t="s">
        <v>119</v>
      </c>
      <c r="AB593" t="s">
        <v>199</v>
      </c>
      <c r="AC593" t="s">
        <v>247</v>
      </c>
      <c r="AD593" t="s">
        <v>220</v>
      </c>
      <c r="AE593" t="s">
        <v>219</v>
      </c>
      <c r="AG593" t="s">
        <v>121</v>
      </c>
      <c r="AH593" t="s">
        <v>327</v>
      </c>
      <c r="AI593" t="s">
        <v>121</v>
      </c>
      <c r="AJ593" t="s">
        <v>715</v>
      </c>
      <c r="AK593" t="s">
        <v>121</v>
      </c>
    </row>
    <row r="594" spans="9:37" x14ac:dyDescent="0.3">
      <c r="I594">
        <f ca="1">IF(OR(INDIRECT(A73&amp;ROW())=B93,INDIRECT(A73&amp;ROW())=B94),1,IF(AND(INDIRECT(A73&amp;ROW())=B95,INDIRECT(A96&amp;ROW())=C93),1,IF(AND(INDIRECT(A73&amp;ROW())=B95,INDIRECT(A96&amp;ROW())=C94),1,0)))</f>
        <v>1</v>
      </c>
      <c r="J594">
        <f ca="1">IF(AND(INDIRECT(A73&amp;ROW())=B95,INDIRECT(A96&amp;ROW())=C95),1,IF(AND(INDIRECT(A73&amp;ROW())=B95,INDIRECT(A96&amp;ROW())=C96),1,0))</f>
        <v>0</v>
      </c>
      <c r="K594">
        <f ca="1">DAYS360(INDIRECT(C68&amp;ROW()),TODAY())</f>
        <v>684</v>
      </c>
      <c r="L594">
        <f ca="1">DAYS360(INDIRECT(C69&amp;ROW()),TODAY())</f>
        <v>696</v>
      </c>
      <c r="M594">
        <f ca="1">HYPERLINK(CONCATENATE("https://bugzilla.houston.hp.com:1181/bugzilla/show_bug.cgi?id=",INDIRECT(C70&amp;ROW())),INDIRECT(C70&amp;ROW()))</f>
        <v>62959</v>
      </c>
      <c r="N594">
        <v>62959</v>
      </c>
      <c r="O594" t="s">
        <v>21</v>
      </c>
      <c r="P594" t="s">
        <v>1114</v>
      </c>
      <c r="Q594" t="s">
        <v>39</v>
      </c>
      <c r="R594" t="s">
        <v>251</v>
      </c>
      <c r="S594" t="s">
        <v>24</v>
      </c>
      <c r="U594" s="6">
        <v>42163.557893518519</v>
      </c>
      <c r="V594" t="s">
        <v>18</v>
      </c>
      <c r="W594" t="s">
        <v>783</v>
      </c>
      <c r="X594" s="6">
        <v>42150.384166666663</v>
      </c>
      <c r="Y594" t="s">
        <v>119</v>
      </c>
      <c r="AB594" t="s">
        <v>200</v>
      </c>
      <c r="AC594" t="s">
        <v>247</v>
      </c>
      <c r="AD594" t="s">
        <v>222</v>
      </c>
      <c r="AE594" t="s">
        <v>221</v>
      </c>
      <c r="AG594" t="s">
        <v>121</v>
      </c>
      <c r="AH594" t="s">
        <v>327</v>
      </c>
      <c r="AI594" t="s">
        <v>121</v>
      </c>
      <c r="AJ594" t="s">
        <v>715</v>
      </c>
      <c r="AK594" t="s">
        <v>121</v>
      </c>
    </row>
    <row r="595" spans="9:37" x14ac:dyDescent="0.3">
      <c r="I595">
        <f ca="1">IF(OR(INDIRECT(A73&amp;ROW())=B93,INDIRECT(A73&amp;ROW())=B94),1,IF(AND(INDIRECT(A73&amp;ROW())=B95,INDIRECT(A96&amp;ROW())=C93),1,IF(AND(INDIRECT(A73&amp;ROW())=B95,INDIRECT(A96&amp;ROW())=C94),1,0)))</f>
        <v>1</v>
      </c>
      <c r="J595">
        <f ca="1">IF(AND(INDIRECT(A73&amp;ROW())=B95,INDIRECT(A96&amp;ROW())=C95),1,IF(AND(INDIRECT(A73&amp;ROW())=B95,INDIRECT(A96&amp;ROW())=C96),1,0))</f>
        <v>0</v>
      </c>
      <c r="K595">
        <f ca="1">DAYS360(INDIRECT(C68&amp;ROW()),TODAY())</f>
        <v>696</v>
      </c>
      <c r="L595">
        <f ca="1">DAYS360(INDIRECT(C69&amp;ROW()),TODAY())</f>
        <v>696</v>
      </c>
      <c r="M595">
        <f ca="1">HYPERLINK(CONCATENATE("https://bugzilla.houston.hp.com:1181/bugzilla/show_bug.cgi?id=",INDIRECT(C70&amp;ROW())),INDIRECT(C70&amp;ROW()))</f>
        <v>62972</v>
      </c>
      <c r="N595">
        <v>62972</v>
      </c>
      <c r="O595" t="s">
        <v>45</v>
      </c>
      <c r="P595" t="s">
        <v>1113</v>
      </c>
      <c r="Q595" t="s">
        <v>25</v>
      </c>
      <c r="R595" t="s">
        <v>248</v>
      </c>
      <c r="S595" t="s">
        <v>552</v>
      </c>
      <c r="U595" s="6">
        <v>42150.455312500002</v>
      </c>
      <c r="V595" t="s">
        <v>18</v>
      </c>
      <c r="W595" t="s">
        <v>248</v>
      </c>
      <c r="X595" s="6">
        <v>42150.455312500002</v>
      </c>
      <c r="Y595" t="s">
        <v>793</v>
      </c>
      <c r="AB595" t="s">
        <v>199</v>
      </c>
      <c r="AC595" t="s">
        <v>247</v>
      </c>
      <c r="AD595" t="s">
        <v>220</v>
      </c>
      <c r="AE595" t="s">
        <v>219</v>
      </c>
      <c r="AG595" t="s">
        <v>121</v>
      </c>
      <c r="AH595" t="s">
        <v>328</v>
      </c>
      <c r="AI595" t="s">
        <v>121</v>
      </c>
      <c r="AJ595" t="s">
        <v>715</v>
      </c>
      <c r="AK595" t="s">
        <v>121</v>
      </c>
    </row>
    <row r="596" spans="9:37" x14ac:dyDescent="0.3">
      <c r="I596">
        <f ca="1">IF(OR(INDIRECT(A73&amp;ROW())=B93,INDIRECT(A73&amp;ROW())=B94),1,IF(AND(INDIRECT(A73&amp;ROW())=B95,INDIRECT(A96&amp;ROW())=C93),1,IF(AND(INDIRECT(A73&amp;ROW())=B95,INDIRECT(A96&amp;ROW())=C94),1,0)))</f>
        <v>1</v>
      </c>
      <c r="J596">
        <f ca="1">IF(AND(INDIRECT(A73&amp;ROW())=B95,INDIRECT(A96&amp;ROW())=C95),1,IF(AND(INDIRECT(A73&amp;ROW())=B95,INDIRECT(A96&amp;ROW())=C96),1,0))</f>
        <v>0</v>
      </c>
      <c r="K596">
        <f ca="1">DAYS360(INDIRECT(C68&amp;ROW()),TODAY())</f>
        <v>694</v>
      </c>
      <c r="L596">
        <f ca="1">DAYS360(INDIRECT(C69&amp;ROW()),TODAY())</f>
        <v>696</v>
      </c>
      <c r="M596">
        <f ca="1">HYPERLINK(CONCATENATE("https://bugzilla.houston.hp.com:1181/bugzilla/show_bug.cgi?id=",INDIRECT(C70&amp;ROW())),INDIRECT(C70&amp;ROW()))</f>
        <v>62974</v>
      </c>
      <c r="N596">
        <v>62974</v>
      </c>
      <c r="O596" t="s">
        <v>94</v>
      </c>
      <c r="P596" t="s">
        <v>1111</v>
      </c>
      <c r="Q596" t="s">
        <v>25</v>
      </c>
      <c r="R596" t="s">
        <v>248</v>
      </c>
      <c r="S596" t="s">
        <v>552</v>
      </c>
      <c r="U596" s="6">
        <v>42152.66778935185</v>
      </c>
      <c r="V596" t="s">
        <v>18</v>
      </c>
      <c r="W596" t="s">
        <v>783</v>
      </c>
      <c r="X596" s="6">
        <v>42150.456342592595</v>
      </c>
      <c r="Y596" t="s">
        <v>119</v>
      </c>
      <c r="AB596" t="s">
        <v>200</v>
      </c>
      <c r="AC596" t="s">
        <v>247</v>
      </c>
      <c r="AD596" t="s">
        <v>227</v>
      </c>
      <c r="AE596" t="s">
        <v>226</v>
      </c>
      <c r="AG596" t="s">
        <v>121</v>
      </c>
      <c r="AH596" t="s">
        <v>327</v>
      </c>
      <c r="AI596" t="s">
        <v>121</v>
      </c>
      <c r="AJ596" t="s">
        <v>715</v>
      </c>
      <c r="AK596" t="s">
        <v>121</v>
      </c>
    </row>
    <row r="597" spans="9:37" x14ac:dyDescent="0.3">
      <c r="I597">
        <f ca="1">IF(OR(INDIRECT(A73&amp;ROW())=B93,INDIRECT(A73&amp;ROW())=B94),1,IF(AND(INDIRECT(A73&amp;ROW())=B95,INDIRECT(A96&amp;ROW())=C93),1,IF(AND(INDIRECT(A73&amp;ROW())=B95,INDIRECT(A96&amp;ROW())=C94),1,0)))</f>
        <v>1</v>
      </c>
      <c r="J597">
        <f ca="1">IF(AND(INDIRECT(A73&amp;ROW())=B95,INDIRECT(A96&amp;ROW())=C95),1,IF(AND(INDIRECT(A73&amp;ROW())=B95,INDIRECT(A96&amp;ROW())=C96),1,0))</f>
        <v>0</v>
      </c>
      <c r="K597">
        <f ca="1">DAYS360(INDIRECT(C68&amp;ROW()),TODAY())</f>
        <v>683</v>
      </c>
      <c r="L597">
        <f ca="1">DAYS360(INDIRECT(C69&amp;ROW()),TODAY())</f>
        <v>696</v>
      </c>
      <c r="M597">
        <f ca="1">HYPERLINK(CONCATENATE("https://bugzilla.houston.hp.com:1181/bugzilla/show_bug.cgi?id=",INDIRECT(C70&amp;ROW())),INDIRECT(C70&amp;ROW()))</f>
        <v>62976</v>
      </c>
      <c r="N597">
        <v>62976</v>
      </c>
      <c r="O597" t="s">
        <v>21</v>
      </c>
      <c r="P597" t="s">
        <v>1110</v>
      </c>
      <c r="Q597" t="s">
        <v>39</v>
      </c>
      <c r="R597" t="s">
        <v>783</v>
      </c>
      <c r="S597" t="s">
        <v>552</v>
      </c>
      <c r="U597" s="6">
        <v>42164.629421296297</v>
      </c>
      <c r="V597" t="s">
        <v>18</v>
      </c>
      <c r="W597" t="s">
        <v>783</v>
      </c>
      <c r="X597" s="6">
        <v>42150.457615740743</v>
      </c>
      <c r="Y597" t="s">
        <v>119</v>
      </c>
      <c r="AB597" t="s">
        <v>200</v>
      </c>
      <c r="AC597" t="s">
        <v>247</v>
      </c>
      <c r="AD597" t="s">
        <v>222</v>
      </c>
      <c r="AE597" t="s">
        <v>221</v>
      </c>
      <c r="AG597" t="s">
        <v>337</v>
      </c>
      <c r="AH597" t="s">
        <v>327</v>
      </c>
      <c r="AI597" t="s">
        <v>121</v>
      </c>
      <c r="AJ597" t="s">
        <v>715</v>
      </c>
      <c r="AK597" t="s">
        <v>1206</v>
      </c>
    </row>
    <row r="598" spans="9:37" x14ac:dyDescent="0.3">
      <c r="I598">
        <f ca="1">IF(OR(INDIRECT(A73&amp;ROW())=B93,INDIRECT(A73&amp;ROW())=B94),1,IF(AND(INDIRECT(A73&amp;ROW())=B95,INDIRECT(A96&amp;ROW())=C93),1,IF(AND(INDIRECT(A73&amp;ROW())=B95,INDIRECT(A96&amp;ROW())=C94),1,0)))</f>
        <v>1</v>
      </c>
      <c r="J598">
        <f ca="1">IF(AND(INDIRECT(A73&amp;ROW())=B95,INDIRECT(A96&amp;ROW())=C95),1,IF(AND(INDIRECT(A73&amp;ROW())=B95,INDIRECT(A96&amp;ROW())=C96),1,0))</f>
        <v>0</v>
      </c>
      <c r="K598">
        <f ca="1">DAYS360(INDIRECT(C68&amp;ROW()),TODAY())</f>
        <v>676</v>
      </c>
      <c r="L598">
        <f ca="1">DAYS360(INDIRECT(C69&amp;ROW()),TODAY())</f>
        <v>696</v>
      </c>
      <c r="M598">
        <f ca="1">HYPERLINK(CONCATENATE("https://bugzilla.houston.hp.com:1181/bugzilla/show_bug.cgi?id=",INDIRECT(C70&amp;ROW())),INDIRECT(C70&amp;ROW()))</f>
        <v>62977</v>
      </c>
      <c r="N598">
        <v>62977</v>
      </c>
      <c r="O598" t="s">
        <v>21</v>
      </c>
      <c r="P598" t="s">
        <v>1109</v>
      </c>
      <c r="Q598" t="s">
        <v>39</v>
      </c>
      <c r="R598" t="s">
        <v>248</v>
      </c>
      <c r="S598" t="s">
        <v>552</v>
      </c>
      <c r="U598" s="6">
        <v>42171.568831018521</v>
      </c>
      <c r="V598" t="s">
        <v>18</v>
      </c>
      <c r="W598" t="s">
        <v>783</v>
      </c>
      <c r="X598" s="6">
        <v>42150.457673611112</v>
      </c>
      <c r="Y598" t="s">
        <v>119</v>
      </c>
      <c r="AB598" t="s">
        <v>200</v>
      </c>
      <c r="AC598" t="s">
        <v>247</v>
      </c>
      <c r="AD598" t="s">
        <v>222</v>
      </c>
      <c r="AE598" t="s">
        <v>221</v>
      </c>
      <c r="AG598" t="s">
        <v>121</v>
      </c>
      <c r="AH598" t="s">
        <v>327</v>
      </c>
      <c r="AI598" t="s">
        <v>121</v>
      </c>
      <c r="AJ598" t="s">
        <v>715</v>
      </c>
      <c r="AK598" t="s">
        <v>121</v>
      </c>
    </row>
    <row r="599" spans="9:37" x14ac:dyDescent="0.3">
      <c r="I599">
        <f ca="1">IF(OR(INDIRECT(A73&amp;ROW())=B93,INDIRECT(A73&amp;ROW())=B94),1,IF(AND(INDIRECT(A73&amp;ROW())=B95,INDIRECT(A96&amp;ROW())=C93),1,IF(AND(INDIRECT(A73&amp;ROW())=B95,INDIRECT(A96&amp;ROW())=C94),1,0)))</f>
        <v>1</v>
      </c>
      <c r="J599">
        <f ca="1">IF(AND(INDIRECT(A73&amp;ROW())=B95,INDIRECT(A96&amp;ROW())=C95),1,IF(AND(INDIRECT(A73&amp;ROW())=B95,INDIRECT(A96&amp;ROW())=C96),1,0))</f>
        <v>0</v>
      </c>
      <c r="K599">
        <f ca="1">DAYS360(INDIRECT(C68&amp;ROW()),TODAY())</f>
        <v>680</v>
      </c>
      <c r="L599">
        <f ca="1">DAYS360(INDIRECT(C69&amp;ROW()),TODAY())</f>
        <v>696</v>
      </c>
      <c r="M599">
        <f ca="1">HYPERLINK(CONCATENATE("https://bugzilla.houston.hp.com:1181/bugzilla/show_bug.cgi?id=",INDIRECT(C70&amp;ROW())),INDIRECT(C70&amp;ROW()))</f>
        <v>62999</v>
      </c>
      <c r="N599">
        <v>62999</v>
      </c>
      <c r="O599" t="s">
        <v>44</v>
      </c>
      <c r="P599" t="s">
        <v>1199</v>
      </c>
      <c r="Q599" t="s">
        <v>39</v>
      </c>
      <c r="R599" t="s">
        <v>251</v>
      </c>
      <c r="S599" t="s">
        <v>587</v>
      </c>
      <c r="U599" s="6">
        <v>42167.441655092596</v>
      </c>
      <c r="V599" t="s">
        <v>18</v>
      </c>
      <c r="W599" t="s">
        <v>783</v>
      </c>
      <c r="X599" s="6">
        <v>42150.971064814818</v>
      </c>
      <c r="Y599" t="s">
        <v>119</v>
      </c>
      <c r="AB599" t="s">
        <v>199</v>
      </c>
      <c r="AC599" t="s">
        <v>247</v>
      </c>
      <c r="AD599" t="s">
        <v>220</v>
      </c>
      <c r="AE599" t="s">
        <v>219</v>
      </c>
      <c r="AG599" t="s">
        <v>121</v>
      </c>
      <c r="AH599" t="s">
        <v>327</v>
      </c>
      <c r="AI599" t="s">
        <v>121</v>
      </c>
      <c r="AJ599" t="s">
        <v>715</v>
      </c>
      <c r="AK599" t="s">
        <v>121</v>
      </c>
    </row>
    <row r="600" spans="9:37" x14ac:dyDescent="0.3">
      <c r="I600">
        <f ca="1">IF(OR(INDIRECT(A73&amp;ROW())=B93,INDIRECT(A73&amp;ROW())=B94),1,IF(AND(INDIRECT(A73&amp;ROW())=B95,INDIRECT(A96&amp;ROW())=C93),1,IF(AND(INDIRECT(A73&amp;ROW())=B95,INDIRECT(A96&amp;ROW())=C94),1,0)))</f>
        <v>1</v>
      </c>
      <c r="J600">
        <f ca="1">IF(AND(INDIRECT(A73&amp;ROW())=B95,INDIRECT(A96&amp;ROW())=C95),1,IF(AND(INDIRECT(A73&amp;ROW())=B95,INDIRECT(A96&amp;ROW())=C96),1,0))</f>
        <v>0</v>
      </c>
      <c r="K600">
        <f ca="1">DAYS360(INDIRECT(C68&amp;ROW()),TODAY())</f>
        <v>691</v>
      </c>
      <c r="L600">
        <f ca="1">DAYS360(INDIRECT(C69&amp;ROW()),TODAY())</f>
        <v>695</v>
      </c>
      <c r="M600">
        <f ca="1">HYPERLINK(CONCATENATE("https://bugzilla.houston.hp.com:1181/bugzilla/show_bug.cgi?id=",INDIRECT(C70&amp;ROW())),INDIRECT(C70&amp;ROW()))</f>
        <v>63011</v>
      </c>
      <c r="N600">
        <v>63011</v>
      </c>
      <c r="O600" t="s">
        <v>66</v>
      </c>
      <c r="P600" t="s">
        <v>1107</v>
      </c>
      <c r="Q600" t="s">
        <v>39</v>
      </c>
      <c r="R600" t="s">
        <v>579</v>
      </c>
      <c r="S600" t="s">
        <v>552</v>
      </c>
      <c r="U600" s="6">
        <v>42156.076863425929</v>
      </c>
      <c r="V600" t="s">
        <v>18</v>
      </c>
      <c r="W600" t="s">
        <v>783</v>
      </c>
      <c r="X600" s="6">
        <v>42151.016956018517</v>
      </c>
      <c r="Y600" t="s">
        <v>119</v>
      </c>
      <c r="AB600" t="s">
        <v>199</v>
      </c>
      <c r="AC600" t="s">
        <v>247</v>
      </c>
      <c r="AD600" t="s">
        <v>220</v>
      </c>
      <c r="AE600" t="s">
        <v>219</v>
      </c>
      <c r="AG600" t="s">
        <v>121</v>
      </c>
      <c r="AH600" t="s">
        <v>327</v>
      </c>
      <c r="AI600" t="s">
        <v>121</v>
      </c>
      <c r="AJ600" t="s">
        <v>715</v>
      </c>
      <c r="AK600" t="s">
        <v>121</v>
      </c>
    </row>
    <row r="601" spans="9:37" x14ac:dyDescent="0.3">
      <c r="I601">
        <f ca="1">IF(OR(INDIRECT(A73&amp;ROW())=B93,INDIRECT(A73&amp;ROW())=B94),1,IF(AND(INDIRECT(A73&amp;ROW())=B95,INDIRECT(A96&amp;ROW())=C93),1,IF(AND(INDIRECT(A73&amp;ROW())=B95,INDIRECT(A96&amp;ROW())=C94),1,0)))</f>
        <v>1</v>
      </c>
      <c r="J601">
        <f ca="1">IF(AND(INDIRECT(A73&amp;ROW())=B95,INDIRECT(A96&amp;ROW())=C95),1,IF(AND(INDIRECT(A73&amp;ROW())=B95,INDIRECT(A96&amp;ROW())=C96),1,0))</f>
        <v>0</v>
      </c>
      <c r="K601">
        <f ca="1">DAYS360(INDIRECT(C68&amp;ROW()),TODAY())</f>
        <v>680</v>
      </c>
      <c r="L601">
        <f ca="1">DAYS360(INDIRECT(C69&amp;ROW()),TODAY())</f>
        <v>695</v>
      </c>
      <c r="M601">
        <f ca="1">HYPERLINK(CONCATENATE("https://bugzilla.houston.hp.com:1181/bugzilla/show_bug.cgi?id=",INDIRECT(C70&amp;ROW())),INDIRECT(C70&amp;ROW()))</f>
        <v>63012</v>
      </c>
      <c r="N601">
        <v>63012</v>
      </c>
      <c r="O601" t="s">
        <v>66</v>
      </c>
      <c r="P601" t="s">
        <v>1198</v>
      </c>
      <c r="Q601" t="s">
        <v>39</v>
      </c>
      <c r="R601" t="s">
        <v>783</v>
      </c>
      <c r="S601" t="s">
        <v>552</v>
      </c>
      <c r="T601" t="s">
        <v>1157</v>
      </c>
      <c r="U601" s="6">
        <v>42167.305752314816</v>
      </c>
      <c r="V601" t="s">
        <v>18</v>
      </c>
      <c r="W601" t="s">
        <v>783</v>
      </c>
      <c r="X601" s="6">
        <v>42151.01703703704</v>
      </c>
      <c r="Y601" t="s">
        <v>119</v>
      </c>
      <c r="AB601" t="s">
        <v>199</v>
      </c>
      <c r="AC601" t="s">
        <v>247</v>
      </c>
      <c r="AD601" t="s">
        <v>220</v>
      </c>
      <c r="AE601" t="s">
        <v>219</v>
      </c>
      <c r="AG601" t="s">
        <v>121</v>
      </c>
      <c r="AH601" t="s">
        <v>327</v>
      </c>
      <c r="AI601" t="s">
        <v>121</v>
      </c>
      <c r="AJ601" t="s">
        <v>715</v>
      </c>
      <c r="AK601" t="s">
        <v>1206</v>
      </c>
    </row>
    <row r="602" spans="9:37" x14ac:dyDescent="0.3">
      <c r="I602">
        <f ca="1">IF(OR(INDIRECT(A73&amp;ROW())=B93,INDIRECT(A73&amp;ROW())=B94),1,IF(AND(INDIRECT(A73&amp;ROW())=B95,INDIRECT(A96&amp;ROW())=C93),1,IF(AND(INDIRECT(A73&amp;ROW())=B95,INDIRECT(A96&amp;ROW())=C94),1,0)))</f>
        <v>1</v>
      </c>
      <c r="J602">
        <f ca="1">IF(AND(INDIRECT(A73&amp;ROW())=B95,INDIRECT(A96&amp;ROW())=C95),1,IF(AND(INDIRECT(A73&amp;ROW())=B95,INDIRECT(A96&amp;ROW())=C96),1,0))</f>
        <v>0</v>
      </c>
      <c r="K602">
        <f ca="1">DAYS360(INDIRECT(C68&amp;ROW()),TODAY())</f>
        <v>695</v>
      </c>
      <c r="L602">
        <f ca="1">DAYS360(INDIRECT(C69&amp;ROW()),TODAY())</f>
        <v>695</v>
      </c>
      <c r="M602">
        <f ca="1">HYPERLINK(CONCATENATE("https://bugzilla.houston.hp.com:1181/bugzilla/show_bug.cgi?id=",INDIRECT(C70&amp;ROW())),INDIRECT(C70&amp;ROW()))</f>
        <v>63013</v>
      </c>
      <c r="N602">
        <v>63013</v>
      </c>
      <c r="O602" t="s">
        <v>56</v>
      </c>
      <c r="P602" t="s">
        <v>1105</v>
      </c>
      <c r="Q602" t="s">
        <v>39</v>
      </c>
      <c r="R602" t="s">
        <v>248</v>
      </c>
      <c r="S602" t="s">
        <v>552</v>
      </c>
      <c r="U602" s="6">
        <v>42151.356874999998</v>
      </c>
      <c r="V602" t="s">
        <v>18</v>
      </c>
      <c r="W602" t="s">
        <v>783</v>
      </c>
      <c r="X602" s="6">
        <v>42151.017129629632</v>
      </c>
      <c r="Y602" t="s">
        <v>119</v>
      </c>
      <c r="AB602" t="s">
        <v>199</v>
      </c>
      <c r="AC602" t="s">
        <v>247</v>
      </c>
      <c r="AD602" t="s">
        <v>220</v>
      </c>
      <c r="AE602" t="s">
        <v>219</v>
      </c>
      <c r="AG602" t="s">
        <v>121</v>
      </c>
      <c r="AH602" t="s">
        <v>327</v>
      </c>
      <c r="AI602" t="s">
        <v>121</v>
      </c>
      <c r="AJ602" t="s">
        <v>715</v>
      </c>
      <c r="AK602" t="s">
        <v>121</v>
      </c>
    </row>
    <row r="603" spans="9:37" x14ac:dyDescent="0.3">
      <c r="I603">
        <f ca="1">IF(OR(INDIRECT(A73&amp;ROW())=B93,INDIRECT(A73&amp;ROW())=B94),1,IF(AND(INDIRECT(A73&amp;ROW())=B95,INDIRECT(A96&amp;ROW())=C93),1,IF(AND(INDIRECT(A73&amp;ROW())=B95,INDIRECT(A96&amp;ROW())=C94),1,0)))</f>
        <v>1</v>
      </c>
      <c r="J603">
        <f ca="1">IF(AND(INDIRECT(A73&amp;ROW())=B95,INDIRECT(A96&amp;ROW())=C95),1,IF(AND(INDIRECT(A73&amp;ROW())=B95,INDIRECT(A96&amp;ROW())=C96),1,0))</f>
        <v>0</v>
      </c>
      <c r="K603">
        <f ca="1">DAYS360(INDIRECT(C68&amp;ROW()),TODAY())</f>
        <v>676</v>
      </c>
      <c r="L603">
        <f ca="1">DAYS360(INDIRECT(C69&amp;ROW()),TODAY())</f>
        <v>694</v>
      </c>
      <c r="M603">
        <f ca="1">HYPERLINK(CONCATENATE("https://bugzilla.houston.hp.com:1181/bugzilla/show_bug.cgi?id=",INDIRECT(C70&amp;ROW())),INDIRECT(C70&amp;ROW()))</f>
        <v>63097</v>
      </c>
      <c r="N603">
        <v>63097</v>
      </c>
      <c r="O603" t="s">
        <v>21</v>
      </c>
      <c r="P603" t="s">
        <v>1127</v>
      </c>
      <c r="Q603" t="s">
        <v>25</v>
      </c>
      <c r="R603" t="s">
        <v>783</v>
      </c>
      <c r="S603" t="s">
        <v>552</v>
      </c>
      <c r="T603" t="s">
        <v>1158</v>
      </c>
      <c r="U603" s="6">
        <v>42171.571064814816</v>
      </c>
      <c r="V603" t="s">
        <v>18</v>
      </c>
      <c r="W603" t="s">
        <v>783</v>
      </c>
      <c r="X603" s="6">
        <v>42152.296724537038</v>
      </c>
      <c r="Y603" t="s">
        <v>119</v>
      </c>
      <c r="AB603" t="s">
        <v>200</v>
      </c>
      <c r="AC603" t="s">
        <v>247</v>
      </c>
      <c r="AD603" t="s">
        <v>222</v>
      </c>
      <c r="AE603" t="s">
        <v>225</v>
      </c>
      <c r="AG603" t="s">
        <v>121</v>
      </c>
      <c r="AH603" t="s">
        <v>327</v>
      </c>
      <c r="AI603" t="s">
        <v>121</v>
      </c>
      <c r="AJ603" t="s">
        <v>715</v>
      </c>
      <c r="AK603" t="s">
        <v>1206</v>
      </c>
    </row>
    <row r="604" spans="9:37" x14ac:dyDescent="0.3">
      <c r="I604">
        <f ca="1">IF(OR(INDIRECT(A73&amp;ROW())=B93,INDIRECT(A73&amp;ROW())=B94),1,IF(AND(INDIRECT(A73&amp;ROW())=B95,INDIRECT(A96&amp;ROW())=C93),1,IF(AND(INDIRECT(A73&amp;ROW())=B95,INDIRECT(A96&amp;ROW())=C94),1,0)))</f>
        <v>1</v>
      </c>
      <c r="J604">
        <f ca="1">IF(AND(INDIRECT(A73&amp;ROW())=B95,INDIRECT(A96&amp;ROW())=C95),1,IF(AND(INDIRECT(A73&amp;ROW())=B95,INDIRECT(A96&amp;ROW())=C96),1,0))</f>
        <v>0</v>
      </c>
      <c r="K604">
        <f ca="1">DAYS360(INDIRECT(C68&amp;ROW()),TODAY())</f>
        <v>676</v>
      </c>
      <c r="L604">
        <f ca="1">DAYS360(INDIRECT(C69&amp;ROW()),TODAY())</f>
        <v>694</v>
      </c>
      <c r="M604">
        <f ca="1">HYPERLINK(CONCATENATE("https://bugzilla.houston.hp.com:1181/bugzilla/show_bug.cgi?id=",INDIRECT(C70&amp;ROW())),INDIRECT(C70&amp;ROW()))</f>
        <v>63098</v>
      </c>
      <c r="N604">
        <v>63098</v>
      </c>
      <c r="O604" t="s">
        <v>21</v>
      </c>
      <c r="P604" t="s">
        <v>1126</v>
      </c>
      <c r="Q604" t="s">
        <v>25</v>
      </c>
      <c r="R604" t="s">
        <v>248</v>
      </c>
      <c r="S604" t="s">
        <v>552</v>
      </c>
      <c r="U604" s="6">
        <v>42171.5705787037</v>
      </c>
      <c r="V604" t="s">
        <v>18</v>
      </c>
      <c r="W604" t="s">
        <v>783</v>
      </c>
      <c r="X604" s="6">
        <v>42152.296817129631</v>
      </c>
      <c r="Y604" t="s">
        <v>119</v>
      </c>
      <c r="AB604" t="s">
        <v>200</v>
      </c>
      <c r="AC604" t="s">
        <v>247</v>
      </c>
      <c r="AD604" t="s">
        <v>222</v>
      </c>
      <c r="AE604" t="s">
        <v>225</v>
      </c>
      <c r="AG604" t="s">
        <v>121</v>
      </c>
      <c r="AH604" t="s">
        <v>327</v>
      </c>
      <c r="AI604" t="s">
        <v>121</v>
      </c>
      <c r="AJ604" t="s">
        <v>715</v>
      </c>
      <c r="AK604" t="s">
        <v>121</v>
      </c>
    </row>
    <row r="605" spans="9:37" x14ac:dyDescent="0.3">
      <c r="I605">
        <f ca="1">IF(OR(INDIRECT(A73&amp;ROW())=B93,INDIRECT(A73&amp;ROW())=B94),1,IF(AND(INDIRECT(A73&amp;ROW())=B95,INDIRECT(A96&amp;ROW())=C93),1,IF(AND(INDIRECT(A73&amp;ROW())=B95,INDIRECT(A96&amp;ROW())=C94),1,0)))</f>
        <v>1</v>
      </c>
      <c r="J605">
        <f ca="1">IF(AND(INDIRECT(A73&amp;ROW())=B95,INDIRECT(A96&amp;ROW())=C95),1,IF(AND(INDIRECT(A73&amp;ROW())=B95,INDIRECT(A96&amp;ROW())=C96),1,0))</f>
        <v>0</v>
      </c>
      <c r="K605">
        <f ca="1">DAYS360(INDIRECT(C68&amp;ROW()),TODAY())</f>
        <v>694</v>
      </c>
      <c r="L605">
        <f ca="1">DAYS360(INDIRECT(C69&amp;ROW()),TODAY())</f>
        <v>694</v>
      </c>
      <c r="M605">
        <f ca="1">HYPERLINK(CONCATENATE("https://bugzilla.houston.hp.com:1181/bugzilla/show_bug.cgi?id=",INDIRECT(C70&amp;ROW())),INDIRECT(C70&amp;ROW()))</f>
        <v>63100</v>
      </c>
      <c r="N605">
        <v>63100</v>
      </c>
      <c r="O605" t="s">
        <v>22</v>
      </c>
      <c r="P605" t="s">
        <v>1125</v>
      </c>
      <c r="Q605" t="s">
        <v>39</v>
      </c>
      <c r="R605" t="s">
        <v>248</v>
      </c>
      <c r="S605" t="s">
        <v>552</v>
      </c>
      <c r="U605" s="6">
        <v>42152.329837962963</v>
      </c>
      <c r="V605" t="s">
        <v>18</v>
      </c>
      <c r="W605" t="s">
        <v>248</v>
      </c>
      <c r="X605" s="6">
        <v>42152.329837962963</v>
      </c>
      <c r="Y605" t="s">
        <v>793</v>
      </c>
      <c r="AB605" t="s">
        <v>199</v>
      </c>
      <c r="AC605" t="s">
        <v>1124</v>
      </c>
      <c r="AD605" t="s">
        <v>222</v>
      </c>
      <c r="AE605" t="s">
        <v>221</v>
      </c>
      <c r="AG605" t="s">
        <v>121</v>
      </c>
      <c r="AH605" t="s">
        <v>327</v>
      </c>
      <c r="AI605" t="s">
        <v>121</v>
      </c>
      <c r="AJ605" t="s">
        <v>715</v>
      </c>
      <c r="AK605" t="s">
        <v>121</v>
      </c>
    </row>
    <row r="606" spans="9:37" x14ac:dyDescent="0.3">
      <c r="I606">
        <f ca="1">IF(OR(INDIRECT(A73&amp;ROW())=B93,INDIRECT(A73&amp;ROW())=B94),1,IF(AND(INDIRECT(A73&amp;ROW())=B95,INDIRECT(A96&amp;ROW())=C93),1,IF(AND(INDIRECT(A73&amp;ROW())=B95,INDIRECT(A96&amp;ROW())=C94),1,0)))</f>
        <v>0</v>
      </c>
      <c r="J606">
        <f ca="1">IF(AND(INDIRECT(A73&amp;ROW())=B95,INDIRECT(A96&amp;ROW())=C95),1,IF(AND(INDIRECT(A73&amp;ROW())=B95,INDIRECT(A96&amp;ROW())=C96),1,0))</f>
        <v>1</v>
      </c>
      <c r="K606">
        <f ca="1">DAYS360(INDIRECT(C68&amp;ROW()),TODAY())</f>
        <v>684</v>
      </c>
      <c r="L606">
        <f ca="1">DAYS360(INDIRECT(C69&amp;ROW()),TODAY())</f>
        <v>694</v>
      </c>
      <c r="M606">
        <f ca="1">HYPERLINK(CONCATENATE("https://bugzilla.houston.hp.com:1181/bugzilla/show_bug.cgi?id=",INDIRECT(C70&amp;ROW())),INDIRECT(C70&amp;ROW()))</f>
        <v>63109</v>
      </c>
      <c r="N606">
        <v>63109</v>
      </c>
      <c r="O606" t="s">
        <v>45</v>
      </c>
      <c r="P606" t="s">
        <v>1130</v>
      </c>
      <c r="Q606" t="s">
        <v>25</v>
      </c>
      <c r="R606" t="s">
        <v>579</v>
      </c>
      <c r="S606" t="s">
        <v>552</v>
      </c>
      <c r="T606" t="s">
        <v>48</v>
      </c>
      <c r="U606" s="6">
        <v>42163.400902777779</v>
      </c>
      <c r="V606" t="s">
        <v>18</v>
      </c>
      <c r="W606" t="s">
        <v>248</v>
      </c>
      <c r="X606" s="6">
        <v>42152.419120370374</v>
      </c>
      <c r="Y606" t="s">
        <v>792</v>
      </c>
      <c r="AB606" t="s">
        <v>201</v>
      </c>
      <c r="AC606" t="s">
        <v>247</v>
      </c>
      <c r="AD606" t="s">
        <v>220</v>
      </c>
      <c r="AE606" t="s">
        <v>219</v>
      </c>
      <c r="AG606" t="s">
        <v>121</v>
      </c>
      <c r="AH606" t="s">
        <v>327</v>
      </c>
      <c r="AI606" t="s">
        <v>121</v>
      </c>
      <c r="AJ606" t="s">
        <v>716</v>
      </c>
      <c r="AK606" t="s">
        <v>121</v>
      </c>
    </row>
    <row r="607" spans="9:37" x14ac:dyDescent="0.3">
      <c r="I607">
        <f ca="1">IF(OR(INDIRECT(A73&amp;ROW())=B93,INDIRECT(A73&amp;ROW())=B94),1,IF(AND(INDIRECT(A73&amp;ROW())=B95,INDIRECT(A96&amp;ROW())=C93),1,IF(AND(INDIRECT(A73&amp;ROW())=B95,INDIRECT(A96&amp;ROW())=C94),1,0)))</f>
        <v>1</v>
      </c>
      <c r="J607">
        <f ca="1">IF(AND(INDIRECT(A73&amp;ROW())=B95,INDIRECT(A96&amp;ROW())=C95),1,IF(AND(INDIRECT(A73&amp;ROW())=B95,INDIRECT(A96&amp;ROW())=C96),1,0))</f>
        <v>0</v>
      </c>
      <c r="K607">
        <f ca="1">DAYS360(INDIRECT(C68&amp;ROW()),TODAY())</f>
        <v>677</v>
      </c>
      <c r="L607">
        <f ca="1">DAYS360(INDIRECT(C69&amp;ROW()),TODAY())</f>
        <v>693</v>
      </c>
      <c r="M607">
        <f ca="1">HYPERLINK(CONCATENATE("https://bugzilla.houston.hp.com:1181/bugzilla/show_bug.cgi?id=",INDIRECT(C70&amp;ROW())),INDIRECT(C70&amp;ROW()))</f>
        <v>63161</v>
      </c>
      <c r="N607">
        <v>63161</v>
      </c>
      <c r="O607" t="s">
        <v>22</v>
      </c>
      <c r="P607" t="s">
        <v>1148</v>
      </c>
      <c r="Q607" t="s">
        <v>39</v>
      </c>
      <c r="R607" t="s">
        <v>251</v>
      </c>
      <c r="S607" t="s">
        <v>24</v>
      </c>
      <c r="U607" s="6">
        <v>42170.644791666666</v>
      </c>
      <c r="V607" t="s">
        <v>18</v>
      </c>
      <c r="W607" t="s">
        <v>783</v>
      </c>
      <c r="X607" s="6">
        <v>42153.347361111111</v>
      </c>
      <c r="Y607" t="s">
        <v>119</v>
      </c>
      <c r="AB607" t="s">
        <v>201</v>
      </c>
      <c r="AC607" t="s">
        <v>247</v>
      </c>
      <c r="AD607" t="s">
        <v>220</v>
      </c>
      <c r="AE607" t="s">
        <v>224</v>
      </c>
      <c r="AG607" t="s">
        <v>121</v>
      </c>
      <c r="AH607" t="s">
        <v>327</v>
      </c>
      <c r="AI607" t="s">
        <v>121</v>
      </c>
      <c r="AJ607" t="s">
        <v>715</v>
      </c>
      <c r="AK607" t="s">
        <v>1104</v>
      </c>
    </row>
    <row r="608" spans="9:37" x14ac:dyDescent="0.3">
      <c r="I608">
        <f ca="1">IF(OR(INDIRECT(A73&amp;ROW())=B93,INDIRECT(A73&amp;ROW())=B94),1,IF(AND(INDIRECT(A73&amp;ROW())=B95,INDIRECT(A96&amp;ROW())=C93),1,IF(AND(INDIRECT(A73&amp;ROW())=B95,INDIRECT(A96&amp;ROW())=C94),1,0)))</f>
        <v>0</v>
      </c>
      <c r="J608">
        <f ca="1">IF(AND(INDIRECT(A73&amp;ROW())=B95,INDIRECT(A96&amp;ROW())=C95),1,IF(AND(INDIRECT(A73&amp;ROW())=B95,INDIRECT(A96&amp;ROW())=C96),1,0))</f>
        <v>1</v>
      </c>
      <c r="K608">
        <f ca="1">DAYS360(INDIRECT(C68&amp;ROW()),TODAY())</f>
        <v>691</v>
      </c>
      <c r="L608">
        <f ca="1">DAYS360(INDIRECT(C69&amp;ROW()),TODAY())</f>
        <v>693</v>
      </c>
      <c r="M608">
        <f ca="1">HYPERLINK(CONCATENATE("https://bugzilla.houston.hp.com:1181/bugzilla/show_bug.cgi?id=",INDIRECT(C70&amp;ROW())),INDIRECT(C70&amp;ROW()))</f>
        <v>63164</v>
      </c>
      <c r="N608">
        <v>63164</v>
      </c>
      <c r="O608" t="s">
        <v>36</v>
      </c>
      <c r="P608" t="s">
        <v>1147</v>
      </c>
      <c r="Q608" t="s">
        <v>25</v>
      </c>
      <c r="R608" t="s">
        <v>251</v>
      </c>
      <c r="S608" t="s">
        <v>24</v>
      </c>
      <c r="U608" s="6">
        <v>42156.589259259257</v>
      </c>
      <c r="V608" t="s">
        <v>18</v>
      </c>
      <c r="W608" t="s">
        <v>783</v>
      </c>
      <c r="X608" s="6">
        <v>42153.384872685187</v>
      </c>
      <c r="Y608" t="s">
        <v>119</v>
      </c>
      <c r="AB608" t="s">
        <v>201</v>
      </c>
      <c r="AC608" t="s">
        <v>247</v>
      </c>
      <c r="AD608" t="s">
        <v>222</v>
      </c>
      <c r="AE608" t="s">
        <v>225</v>
      </c>
      <c r="AG608" t="s">
        <v>121</v>
      </c>
      <c r="AH608" t="s">
        <v>327</v>
      </c>
      <c r="AI608" t="s">
        <v>121</v>
      </c>
      <c r="AJ608" t="s">
        <v>716</v>
      </c>
      <c r="AK608" t="s">
        <v>121</v>
      </c>
    </row>
    <row r="609" spans="9:37" x14ac:dyDescent="0.3">
      <c r="I609">
        <f ca="1">IF(OR(INDIRECT(A73&amp;ROW())=B93,INDIRECT(A73&amp;ROW())=B94),1,IF(AND(INDIRECT(A73&amp;ROW())=B95,INDIRECT(A96&amp;ROW())=C93),1,IF(AND(INDIRECT(A73&amp;ROW())=B95,INDIRECT(A96&amp;ROW())=C94),1,0)))</f>
        <v>0</v>
      </c>
      <c r="J609">
        <f ca="1">IF(AND(INDIRECT(A73&amp;ROW())=B95,INDIRECT(A96&amp;ROW())=C95),1,IF(AND(INDIRECT(A73&amp;ROW())=B95,INDIRECT(A96&amp;ROW())=C96),1,0))</f>
        <v>0</v>
      </c>
      <c r="K609">
        <f ca="1">DAYS360(INDIRECT(C68&amp;ROW()),TODAY())</f>
        <v>693</v>
      </c>
      <c r="L609">
        <f ca="1">DAYS360(INDIRECT(C69&amp;ROW()),TODAY())</f>
        <v>693</v>
      </c>
      <c r="M609">
        <f ca="1">HYPERLINK(CONCATENATE("https://bugzilla.houston.hp.com:1181/bugzilla/show_bug.cgi?id=",INDIRECT(C70&amp;ROW())),INDIRECT(C70&amp;ROW()))</f>
        <v>63165</v>
      </c>
      <c r="N609">
        <v>63165</v>
      </c>
      <c r="O609" t="s">
        <v>56</v>
      </c>
      <c r="P609" t="s">
        <v>1146</v>
      </c>
      <c r="Q609" t="s">
        <v>16</v>
      </c>
      <c r="R609" t="s">
        <v>248</v>
      </c>
      <c r="S609" t="s">
        <v>204</v>
      </c>
      <c r="U609" s="6">
        <v>42153.414699074077</v>
      </c>
      <c r="V609" t="s">
        <v>18</v>
      </c>
      <c r="W609" t="s">
        <v>248</v>
      </c>
      <c r="X609" s="6">
        <v>42153.396770833337</v>
      </c>
      <c r="Y609" t="s">
        <v>788</v>
      </c>
      <c r="AB609" t="s">
        <v>201</v>
      </c>
      <c r="AC609" t="s">
        <v>247</v>
      </c>
      <c r="AD609" t="s">
        <v>220</v>
      </c>
      <c r="AE609" t="s">
        <v>219</v>
      </c>
      <c r="AG609" t="s">
        <v>121</v>
      </c>
      <c r="AH609" t="s">
        <v>327</v>
      </c>
      <c r="AI609" t="s">
        <v>121</v>
      </c>
      <c r="AJ609" t="s">
        <v>717</v>
      </c>
      <c r="AK609" t="s">
        <v>121</v>
      </c>
    </row>
    <row r="610" spans="9:37" x14ac:dyDescent="0.3">
      <c r="I610">
        <f ca="1">IF(OR(INDIRECT(A73&amp;ROW())=B93,INDIRECT(A73&amp;ROW())=B94),1,IF(AND(INDIRECT(A73&amp;ROW())=B95,INDIRECT(A96&amp;ROW())=C93),1,IF(AND(INDIRECT(A73&amp;ROW())=B95,INDIRECT(A96&amp;ROW())=C94),1,0)))</f>
        <v>1</v>
      </c>
      <c r="J610">
        <f ca="1">IF(AND(INDIRECT(A73&amp;ROW())=B95,INDIRECT(A96&amp;ROW())=C95),1,IF(AND(INDIRECT(A73&amp;ROW())=B95,INDIRECT(A96&amp;ROW())=C96),1,0))</f>
        <v>0</v>
      </c>
      <c r="K610">
        <f ca="1">DAYS360(INDIRECT(C68&amp;ROW()),TODAY())</f>
        <v>676</v>
      </c>
      <c r="L610">
        <f ca="1">DAYS360(INDIRECT(C69&amp;ROW()),TODAY())</f>
        <v>693</v>
      </c>
      <c r="M610">
        <f ca="1">HYPERLINK(CONCATENATE("https://bugzilla.houston.hp.com:1181/bugzilla/show_bug.cgi?id=",INDIRECT(C70&amp;ROW())),INDIRECT(C70&amp;ROW()))</f>
        <v>63170</v>
      </c>
      <c r="N610">
        <v>63170</v>
      </c>
      <c r="O610" t="s">
        <v>66</v>
      </c>
      <c r="P610" t="s">
        <v>1145</v>
      </c>
      <c r="Q610" t="s">
        <v>39</v>
      </c>
      <c r="R610" t="s">
        <v>579</v>
      </c>
      <c r="S610" t="s">
        <v>552</v>
      </c>
      <c r="U610" s="6">
        <v>42171.567754629628</v>
      </c>
      <c r="V610" t="s">
        <v>18</v>
      </c>
      <c r="W610" t="s">
        <v>783</v>
      </c>
      <c r="X610" s="6">
        <v>42153.40253472222</v>
      </c>
      <c r="Y610" t="s">
        <v>119</v>
      </c>
      <c r="AB610" t="s">
        <v>201</v>
      </c>
      <c r="AC610" t="s">
        <v>247</v>
      </c>
      <c r="AD610" t="s">
        <v>220</v>
      </c>
      <c r="AE610" t="s">
        <v>224</v>
      </c>
      <c r="AG610" t="s">
        <v>121</v>
      </c>
      <c r="AH610" t="s">
        <v>327</v>
      </c>
      <c r="AI610" t="s">
        <v>121</v>
      </c>
      <c r="AJ610" t="s">
        <v>715</v>
      </c>
      <c r="AK610" t="s">
        <v>121</v>
      </c>
    </row>
    <row r="611" spans="9:37" x14ac:dyDescent="0.3">
      <c r="I611">
        <f ca="1">IF(OR(INDIRECT(A73&amp;ROW())=B93,INDIRECT(A73&amp;ROW())=B94),1,IF(AND(INDIRECT(A73&amp;ROW())=B95,INDIRECT(A96&amp;ROW())=C93),1,IF(AND(INDIRECT(A73&amp;ROW())=B95,INDIRECT(A96&amp;ROW())=C94),1,0)))</f>
        <v>1</v>
      </c>
      <c r="J611">
        <f ca="1">IF(AND(INDIRECT(A73&amp;ROW())=B95,INDIRECT(A96&amp;ROW())=C95),1,IF(AND(INDIRECT(A73&amp;ROW())=B95,INDIRECT(A96&amp;ROW())=C96),1,0))</f>
        <v>0</v>
      </c>
      <c r="K611">
        <f ca="1">DAYS360(INDIRECT(C68&amp;ROW()),TODAY())</f>
        <v>676</v>
      </c>
      <c r="L611">
        <f ca="1">DAYS360(INDIRECT(C69&amp;ROW()),TODAY())</f>
        <v>693</v>
      </c>
      <c r="M611">
        <f ca="1">HYPERLINK(CONCATENATE("https://bugzilla.houston.hp.com:1181/bugzilla/show_bug.cgi?id=",INDIRECT(C70&amp;ROW())),INDIRECT(C70&amp;ROW()))</f>
        <v>63171</v>
      </c>
      <c r="N611">
        <v>63171</v>
      </c>
      <c r="O611" t="s">
        <v>66</v>
      </c>
      <c r="P611" t="s">
        <v>1144</v>
      </c>
      <c r="Q611" t="s">
        <v>39</v>
      </c>
      <c r="R611" t="s">
        <v>783</v>
      </c>
      <c r="S611" t="s">
        <v>552</v>
      </c>
      <c r="U611" s="6">
        <v>42171.567060185182</v>
      </c>
      <c r="V611" t="s">
        <v>18</v>
      </c>
      <c r="W611" t="s">
        <v>783</v>
      </c>
      <c r="X611" s="6">
        <v>42153.402592592596</v>
      </c>
      <c r="Y611" t="s">
        <v>119</v>
      </c>
      <c r="AB611" t="s">
        <v>201</v>
      </c>
      <c r="AC611" t="s">
        <v>247</v>
      </c>
      <c r="AD611" t="s">
        <v>220</v>
      </c>
      <c r="AE611" t="s">
        <v>224</v>
      </c>
      <c r="AG611" t="s">
        <v>337</v>
      </c>
      <c r="AH611" t="s">
        <v>327</v>
      </c>
      <c r="AI611" t="s">
        <v>121</v>
      </c>
      <c r="AJ611" t="s">
        <v>715</v>
      </c>
      <c r="AK611" t="s">
        <v>1104</v>
      </c>
    </row>
    <row r="612" spans="9:37" x14ac:dyDescent="0.3">
      <c r="I612">
        <f ca="1">IF(OR(INDIRECT(A73&amp;ROW())=B93,INDIRECT(A73&amp;ROW())=B94),1,IF(AND(INDIRECT(A73&amp;ROW())=B95,INDIRECT(A96&amp;ROW())=C93),1,IF(AND(INDIRECT(A73&amp;ROW())=B95,INDIRECT(A96&amp;ROW())=C94),1,0)))</f>
        <v>1</v>
      </c>
      <c r="J612">
        <f ca="1">IF(AND(INDIRECT(A73&amp;ROW())=B95,INDIRECT(A96&amp;ROW())=C95),1,IF(AND(INDIRECT(A73&amp;ROW())=B95,INDIRECT(A96&amp;ROW())=C96),1,0))</f>
        <v>0</v>
      </c>
      <c r="K612">
        <f ca="1">DAYS360(INDIRECT(C68&amp;ROW()),TODAY())</f>
        <v>676</v>
      </c>
      <c r="L612">
        <f ca="1">DAYS360(INDIRECT(C69&amp;ROW()),TODAY())</f>
        <v>693</v>
      </c>
      <c r="M612">
        <f ca="1">HYPERLINK(CONCATENATE("https://bugzilla.houston.hp.com:1181/bugzilla/show_bug.cgi?id=",INDIRECT(C70&amp;ROW())),INDIRECT(C70&amp;ROW()))</f>
        <v>63172</v>
      </c>
      <c r="N612">
        <v>63172</v>
      </c>
      <c r="O612" t="s">
        <v>66</v>
      </c>
      <c r="P612" t="s">
        <v>1143</v>
      </c>
      <c r="Q612" t="s">
        <v>39</v>
      </c>
      <c r="R612" t="s">
        <v>248</v>
      </c>
      <c r="S612" t="s">
        <v>552</v>
      </c>
      <c r="U612" s="6">
        <v>42171.56659722222</v>
      </c>
      <c r="V612" t="s">
        <v>18</v>
      </c>
      <c r="W612" t="s">
        <v>783</v>
      </c>
      <c r="X612" s="6">
        <v>42153.402638888889</v>
      </c>
      <c r="Y612" t="s">
        <v>119</v>
      </c>
      <c r="AB612" t="s">
        <v>201</v>
      </c>
      <c r="AC612" t="s">
        <v>247</v>
      </c>
      <c r="AD612" t="s">
        <v>220</v>
      </c>
      <c r="AE612" t="s">
        <v>224</v>
      </c>
      <c r="AG612" t="s">
        <v>121</v>
      </c>
      <c r="AH612" t="s">
        <v>327</v>
      </c>
      <c r="AI612" t="s">
        <v>121</v>
      </c>
      <c r="AJ612" t="s">
        <v>715</v>
      </c>
      <c r="AK612" t="s">
        <v>121</v>
      </c>
    </row>
    <row r="613" spans="9:37" x14ac:dyDescent="0.3">
      <c r="I613">
        <f ca="1">IF(OR(INDIRECT(A73&amp;ROW())=B93,INDIRECT(A73&amp;ROW())=B94),1,IF(AND(INDIRECT(A73&amp;ROW())=B95,INDIRECT(A96&amp;ROW())=C93),1,IF(AND(INDIRECT(A73&amp;ROW())=B95,INDIRECT(A96&amp;ROW())=C94),1,0)))</f>
        <v>0</v>
      </c>
      <c r="J613">
        <f ca="1">IF(AND(INDIRECT(A73&amp;ROW())=B95,INDIRECT(A96&amp;ROW())=C95),1,IF(AND(INDIRECT(A73&amp;ROW())=B95,INDIRECT(A96&amp;ROW())=C96),1,0))</f>
        <v>1</v>
      </c>
      <c r="K613">
        <f ca="1">DAYS360(INDIRECT(C68&amp;ROW()),TODAY())</f>
        <v>676</v>
      </c>
      <c r="L613">
        <f ca="1">DAYS360(INDIRECT(C69&amp;ROW()),TODAY())</f>
        <v>693</v>
      </c>
      <c r="M613">
        <f ca="1">HYPERLINK(CONCATENATE("https://bugzilla.houston.hp.com:1181/bugzilla/show_bug.cgi?id=",INDIRECT(C70&amp;ROW())),INDIRECT(C70&amp;ROW()))</f>
        <v>63173</v>
      </c>
      <c r="N613">
        <v>63173</v>
      </c>
      <c r="O613" t="s">
        <v>66</v>
      </c>
      <c r="P613" t="s">
        <v>1142</v>
      </c>
      <c r="Q613" t="s">
        <v>25</v>
      </c>
      <c r="R613" t="s">
        <v>579</v>
      </c>
      <c r="S613" t="s">
        <v>552</v>
      </c>
      <c r="U613" s="6">
        <v>42171.565740740742</v>
      </c>
      <c r="V613" t="s">
        <v>18</v>
      </c>
      <c r="W613" t="s">
        <v>783</v>
      </c>
      <c r="X613" s="6">
        <v>42153.402858796297</v>
      </c>
      <c r="Y613" t="s">
        <v>119</v>
      </c>
      <c r="AB613" t="s">
        <v>201</v>
      </c>
      <c r="AC613" t="s">
        <v>247</v>
      </c>
      <c r="AD613" t="s">
        <v>222</v>
      </c>
      <c r="AE613" t="s">
        <v>225</v>
      </c>
      <c r="AG613" t="s">
        <v>121</v>
      </c>
      <c r="AH613" t="s">
        <v>327</v>
      </c>
      <c r="AI613" t="s">
        <v>121</v>
      </c>
      <c r="AJ613" t="s">
        <v>716</v>
      </c>
      <c r="AK613" t="s">
        <v>121</v>
      </c>
    </row>
    <row r="614" spans="9:37" x14ac:dyDescent="0.3">
      <c r="I614">
        <f ca="1">IF(OR(INDIRECT(A73&amp;ROW())=B93,INDIRECT(A73&amp;ROW())=B94),1,IF(AND(INDIRECT(A73&amp;ROW())=B95,INDIRECT(A96&amp;ROW())=C93),1,IF(AND(INDIRECT(A73&amp;ROW())=B95,INDIRECT(A96&amp;ROW())=C94),1,0)))</f>
        <v>0</v>
      </c>
      <c r="J614">
        <f ca="1">IF(AND(INDIRECT(A73&amp;ROW())=B95,INDIRECT(A96&amp;ROW())=C95),1,IF(AND(INDIRECT(A73&amp;ROW())=B95,INDIRECT(A96&amp;ROW())=C96),1,0))</f>
        <v>1</v>
      </c>
      <c r="K614">
        <f ca="1">DAYS360(INDIRECT(C68&amp;ROW()),TODAY())</f>
        <v>676</v>
      </c>
      <c r="L614">
        <f ca="1">DAYS360(INDIRECT(C69&amp;ROW()),TODAY())</f>
        <v>693</v>
      </c>
      <c r="M614">
        <f ca="1">HYPERLINK(CONCATENATE("https://bugzilla.houston.hp.com:1181/bugzilla/show_bug.cgi?id=",INDIRECT(C70&amp;ROW())),INDIRECT(C70&amp;ROW()))</f>
        <v>63174</v>
      </c>
      <c r="N614">
        <v>63174</v>
      </c>
      <c r="O614" t="s">
        <v>66</v>
      </c>
      <c r="P614" t="s">
        <v>1141</v>
      </c>
      <c r="Q614" t="s">
        <v>25</v>
      </c>
      <c r="R614" t="s">
        <v>783</v>
      </c>
      <c r="S614" t="s">
        <v>552</v>
      </c>
      <c r="U614" s="6">
        <v>42171.565034722225</v>
      </c>
      <c r="V614" t="s">
        <v>18</v>
      </c>
      <c r="W614" t="s">
        <v>783</v>
      </c>
      <c r="X614" s="6">
        <v>42153.402905092589</v>
      </c>
      <c r="Y614" t="s">
        <v>119</v>
      </c>
      <c r="AB614" t="s">
        <v>201</v>
      </c>
      <c r="AC614" t="s">
        <v>247</v>
      </c>
      <c r="AD614" t="s">
        <v>222</v>
      </c>
      <c r="AE614" t="s">
        <v>225</v>
      </c>
      <c r="AG614" t="s">
        <v>121</v>
      </c>
      <c r="AH614" t="s">
        <v>327</v>
      </c>
      <c r="AI614" t="s">
        <v>121</v>
      </c>
      <c r="AJ614" t="s">
        <v>716</v>
      </c>
      <c r="AK614" t="s">
        <v>121</v>
      </c>
    </row>
    <row r="615" spans="9:37" x14ac:dyDescent="0.3">
      <c r="I615">
        <f ca="1">IF(OR(INDIRECT(A73&amp;ROW())=B93,INDIRECT(A73&amp;ROW())=B94),1,IF(AND(INDIRECT(A73&amp;ROW())=B95,INDIRECT(A96&amp;ROW())=C93),1,IF(AND(INDIRECT(A73&amp;ROW())=B95,INDIRECT(A96&amp;ROW())=C94),1,0)))</f>
        <v>0</v>
      </c>
      <c r="J615">
        <f ca="1">IF(AND(INDIRECT(A73&amp;ROW())=B95,INDIRECT(A96&amp;ROW())=C95),1,IF(AND(INDIRECT(A73&amp;ROW())=B95,INDIRECT(A96&amp;ROW())=C96),1,0))</f>
        <v>1</v>
      </c>
      <c r="K615">
        <f ca="1">DAYS360(INDIRECT(C68&amp;ROW()),TODAY())</f>
        <v>676</v>
      </c>
      <c r="L615">
        <f ca="1">DAYS360(INDIRECT(C69&amp;ROW()),TODAY())</f>
        <v>693</v>
      </c>
      <c r="M615">
        <f ca="1">HYPERLINK(CONCATENATE("https://bugzilla.houston.hp.com:1181/bugzilla/show_bug.cgi?id=",INDIRECT(C70&amp;ROW())),INDIRECT(C70&amp;ROW()))</f>
        <v>63175</v>
      </c>
      <c r="N615">
        <v>63175</v>
      </c>
      <c r="O615" t="s">
        <v>66</v>
      </c>
      <c r="P615" t="s">
        <v>1140</v>
      </c>
      <c r="Q615" t="s">
        <v>25</v>
      </c>
      <c r="R615" t="s">
        <v>248</v>
      </c>
      <c r="S615" t="s">
        <v>552</v>
      </c>
      <c r="U615" s="6">
        <v>42171.564143518517</v>
      </c>
      <c r="V615" t="s">
        <v>18</v>
      </c>
      <c r="W615" t="s">
        <v>783</v>
      </c>
      <c r="X615" s="6">
        <v>42153.402962962966</v>
      </c>
      <c r="Y615" t="s">
        <v>119</v>
      </c>
      <c r="AB615" t="s">
        <v>201</v>
      </c>
      <c r="AC615" t="s">
        <v>247</v>
      </c>
      <c r="AD615" t="s">
        <v>222</v>
      </c>
      <c r="AE615" t="s">
        <v>225</v>
      </c>
      <c r="AG615" t="s">
        <v>121</v>
      </c>
      <c r="AH615" t="s">
        <v>327</v>
      </c>
      <c r="AI615" t="s">
        <v>121</v>
      </c>
      <c r="AJ615" t="s">
        <v>716</v>
      </c>
      <c r="AK615" t="s">
        <v>121</v>
      </c>
    </row>
    <row r="616" spans="9:37" x14ac:dyDescent="0.3">
      <c r="I616">
        <f ca="1">IF(OR(INDIRECT(A73&amp;ROW())=B93,INDIRECT(A73&amp;ROW())=B94),1,IF(AND(INDIRECT(A73&amp;ROW())=B95,INDIRECT(A96&amp;ROW())=C93),1,IF(AND(INDIRECT(A73&amp;ROW())=B95,INDIRECT(A96&amp;ROW())=C94),1,0)))</f>
        <v>1</v>
      </c>
      <c r="J616">
        <f ca="1">IF(AND(INDIRECT(A73&amp;ROW())=B95,INDIRECT(A96&amp;ROW())=C95),1,IF(AND(INDIRECT(A73&amp;ROW())=B95,INDIRECT(A96&amp;ROW())=C96),1,0))</f>
        <v>0</v>
      </c>
      <c r="K616">
        <f ca="1">DAYS360(INDIRECT(C68&amp;ROW()),TODAY())</f>
        <v>687</v>
      </c>
      <c r="L616">
        <f ca="1">DAYS360(INDIRECT(C69&amp;ROW()),TODAY())</f>
        <v>693</v>
      </c>
      <c r="M616">
        <f ca="1">HYPERLINK(CONCATENATE("https://bugzilla.houston.hp.com:1181/bugzilla/show_bug.cgi?id=",INDIRECT(C70&amp;ROW())),INDIRECT(C70&amp;ROW()))</f>
        <v>63176</v>
      </c>
      <c r="N616">
        <v>63176</v>
      </c>
      <c r="O616" t="s">
        <v>523</v>
      </c>
      <c r="P616" t="s">
        <v>1139</v>
      </c>
      <c r="Q616" t="s">
        <v>39</v>
      </c>
      <c r="R616" t="s">
        <v>248</v>
      </c>
      <c r="S616" t="s">
        <v>552</v>
      </c>
      <c r="U616" s="6">
        <v>42160.408321759256</v>
      </c>
      <c r="V616" t="s">
        <v>18</v>
      </c>
      <c r="W616" t="s">
        <v>248</v>
      </c>
      <c r="X616" s="6">
        <v>42153.413738425923</v>
      </c>
      <c r="Y616" t="s">
        <v>793</v>
      </c>
      <c r="AB616" t="s">
        <v>199</v>
      </c>
      <c r="AC616" t="s">
        <v>1124</v>
      </c>
      <c r="AD616" t="s">
        <v>222</v>
      </c>
      <c r="AE616" t="s">
        <v>221</v>
      </c>
      <c r="AG616" t="s">
        <v>121</v>
      </c>
      <c r="AH616" t="s">
        <v>327</v>
      </c>
      <c r="AI616" t="s">
        <v>121</v>
      </c>
      <c r="AJ616" t="s">
        <v>715</v>
      </c>
      <c r="AK616" t="s">
        <v>121</v>
      </c>
    </row>
    <row r="617" spans="9:37" x14ac:dyDescent="0.3">
      <c r="I617">
        <f ca="1">IF(OR(INDIRECT(A73&amp;ROW())=B93,INDIRECT(A73&amp;ROW())=B94),1,IF(AND(INDIRECT(A73&amp;ROW())=B95,INDIRECT(A96&amp;ROW())=C93),1,IF(AND(INDIRECT(A73&amp;ROW())=B95,INDIRECT(A96&amp;ROW())=C94),1,0)))</f>
        <v>1</v>
      </c>
      <c r="J617">
        <f ca="1">IF(AND(INDIRECT(A73&amp;ROW())=B95,INDIRECT(A96&amp;ROW())=C95),1,IF(AND(INDIRECT(A73&amp;ROW())=B95,INDIRECT(A96&amp;ROW())=C96),1,0))</f>
        <v>0</v>
      </c>
      <c r="K617">
        <f ca="1">DAYS360(INDIRECT(C68&amp;ROW()),TODAY())</f>
        <v>675</v>
      </c>
      <c r="L617">
        <f ca="1">DAYS360(INDIRECT(C69&amp;ROW()),TODAY())</f>
        <v>693</v>
      </c>
      <c r="M617">
        <f ca="1">HYPERLINK(CONCATENATE("https://bugzilla.houston.hp.com:1181/bugzilla/show_bug.cgi?id=",INDIRECT(C70&amp;ROW())),INDIRECT(C70&amp;ROW()))</f>
        <v>63194</v>
      </c>
      <c r="N617">
        <v>63194</v>
      </c>
      <c r="O617" t="s">
        <v>53</v>
      </c>
      <c r="P617" t="s">
        <v>1197</v>
      </c>
      <c r="Q617" t="s">
        <v>39</v>
      </c>
      <c r="R617" t="s">
        <v>251</v>
      </c>
      <c r="S617" t="s">
        <v>177</v>
      </c>
      <c r="U617" s="6">
        <v>42172.595810185187</v>
      </c>
      <c r="V617" t="s">
        <v>18</v>
      </c>
      <c r="W617" t="s">
        <v>783</v>
      </c>
      <c r="X617" s="6">
        <v>42153.744305555556</v>
      </c>
      <c r="Y617" t="s">
        <v>245</v>
      </c>
      <c r="AB617" t="s">
        <v>200</v>
      </c>
      <c r="AC617" t="s">
        <v>247</v>
      </c>
      <c r="AD617" t="s">
        <v>220</v>
      </c>
      <c r="AE617" t="s">
        <v>219</v>
      </c>
      <c r="AG617" t="s">
        <v>121</v>
      </c>
      <c r="AH617" t="s">
        <v>327</v>
      </c>
      <c r="AI617" t="s">
        <v>121</v>
      </c>
      <c r="AJ617" t="s">
        <v>715</v>
      </c>
      <c r="AK617" t="s">
        <v>121</v>
      </c>
    </row>
    <row r="618" spans="9:37" x14ac:dyDescent="0.3">
      <c r="I618">
        <f ca="1">IF(OR(INDIRECT(A73&amp;ROW())=B93,INDIRECT(A73&amp;ROW())=B94),1,IF(AND(INDIRECT(A73&amp;ROW())=B95,INDIRECT(A96&amp;ROW())=C93),1,IF(AND(INDIRECT(A73&amp;ROW())=B95,INDIRECT(A96&amp;ROW())=C94),1,0)))</f>
        <v>1</v>
      </c>
      <c r="J618">
        <f ca="1">IF(AND(INDIRECT(A73&amp;ROW())=B95,INDIRECT(A96&amp;ROW())=C95),1,IF(AND(INDIRECT(A73&amp;ROW())=B95,INDIRECT(A96&amp;ROW())=C96),1,0))</f>
        <v>0</v>
      </c>
      <c r="K618">
        <f ca="1">DAYS360(INDIRECT(C68&amp;ROW()),TODAY())</f>
        <v>675</v>
      </c>
      <c r="L618">
        <f ca="1">DAYS360(INDIRECT(C69&amp;ROW()),TODAY())</f>
        <v>693</v>
      </c>
      <c r="M618">
        <f ca="1">HYPERLINK(CONCATENATE("https://bugzilla.houston.hp.com:1181/bugzilla/show_bug.cgi?id=",INDIRECT(C70&amp;ROW())),INDIRECT(C70&amp;ROW()))</f>
        <v>63195</v>
      </c>
      <c r="N618">
        <v>63195</v>
      </c>
      <c r="O618" t="s">
        <v>53</v>
      </c>
      <c r="P618" t="s">
        <v>1136</v>
      </c>
      <c r="Q618" t="s">
        <v>39</v>
      </c>
      <c r="R618" t="s">
        <v>783</v>
      </c>
      <c r="S618" t="s">
        <v>552</v>
      </c>
      <c r="T618" t="s">
        <v>1159</v>
      </c>
      <c r="U618" s="6">
        <v>42172.656631944446</v>
      </c>
      <c r="V618" t="s">
        <v>18</v>
      </c>
      <c r="W618" t="s">
        <v>783</v>
      </c>
      <c r="X618" s="6">
        <v>42153.756840277776</v>
      </c>
      <c r="Y618" t="s">
        <v>245</v>
      </c>
      <c r="AB618" t="s">
        <v>200</v>
      </c>
      <c r="AC618" t="s">
        <v>247</v>
      </c>
      <c r="AD618" t="s">
        <v>220</v>
      </c>
      <c r="AE618" t="s">
        <v>219</v>
      </c>
      <c r="AG618" t="s">
        <v>1082</v>
      </c>
      <c r="AH618" t="s">
        <v>327</v>
      </c>
      <c r="AI618" t="s">
        <v>121</v>
      </c>
      <c r="AJ618" t="s">
        <v>715</v>
      </c>
      <c r="AK618" t="s">
        <v>121</v>
      </c>
    </row>
    <row r="619" spans="9:37" x14ac:dyDescent="0.3">
      <c r="I619">
        <f ca="1">IF(OR(INDIRECT(A73&amp;ROW())=B93,INDIRECT(A73&amp;ROW())=B94),1,IF(AND(INDIRECT(A73&amp;ROW())=B95,INDIRECT(A96&amp;ROW())=C93),1,IF(AND(INDIRECT(A73&amp;ROW())=B95,INDIRECT(A96&amp;ROW())=C94),1,0)))</f>
        <v>1</v>
      </c>
      <c r="J619">
        <f ca="1">IF(AND(INDIRECT(A73&amp;ROW())=B95,INDIRECT(A96&amp;ROW())=C95),1,IF(AND(INDIRECT(A73&amp;ROW())=B95,INDIRECT(A96&amp;ROW())=C96),1,0))</f>
        <v>0</v>
      </c>
      <c r="K619">
        <f ca="1">DAYS360(INDIRECT(C68&amp;ROW()),TODAY())</f>
        <v>693</v>
      </c>
      <c r="L619">
        <f ca="1">DAYS360(INDIRECT(C69&amp;ROW()),TODAY())</f>
        <v>693</v>
      </c>
      <c r="M619">
        <f ca="1">HYPERLINK(CONCATENATE("https://bugzilla.houston.hp.com:1181/bugzilla/show_bug.cgi?id=",INDIRECT(C70&amp;ROW())),INDIRECT(C70&amp;ROW()))</f>
        <v>63196</v>
      </c>
      <c r="N619">
        <v>63196</v>
      </c>
      <c r="O619" t="s">
        <v>53</v>
      </c>
      <c r="P619" t="s">
        <v>1135</v>
      </c>
      <c r="Q619" t="s">
        <v>39</v>
      </c>
      <c r="R619" t="s">
        <v>248</v>
      </c>
      <c r="S619" t="s">
        <v>552</v>
      </c>
      <c r="U619" s="6">
        <v>42153.776805555557</v>
      </c>
      <c r="V619" t="s">
        <v>18</v>
      </c>
      <c r="W619" t="s">
        <v>783</v>
      </c>
      <c r="X619" s="6">
        <v>42153.756909722222</v>
      </c>
      <c r="Y619" t="s">
        <v>245</v>
      </c>
      <c r="AB619" t="s">
        <v>201</v>
      </c>
      <c r="AC619" t="s">
        <v>247</v>
      </c>
      <c r="AD619" t="s">
        <v>220</v>
      </c>
      <c r="AE619" t="s">
        <v>219</v>
      </c>
      <c r="AG619" t="s">
        <v>121</v>
      </c>
      <c r="AH619" t="s">
        <v>327</v>
      </c>
      <c r="AI619" t="s">
        <v>121</v>
      </c>
      <c r="AJ619" t="s">
        <v>715</v>
      </c>
      <c r="AK619" t="s">
        <v>121</v>
      </c>
    </row>
    <row r="620" spans="9:37" x14ac:dyDescent="0.3">
      <c r="I620">
        <f ca="1">IF(OR(INDIRECT(A73&amp;ROW())=B93,INDIRECT(A73&amp;ROW())=B94),1,IF(AND(INDIRECT(A73&amp;ROW())=B95,INDIRECT(A96&amp;ROW())=C93),1,IF(AND(INDIRECT(A73&amp;ROW())=B95,INDIRECT(A96&amp;ROW())=C94),1,0)))</f>
        <v>1</v>
      </c>
      <c r="J620">
        <f ca="1">IF(AND(INDIRECT(A73&amp;ROW())=B95,INDIRECT(A96&amp;ROW())=C95),1,IF(AND(INDIRECT(A73&amp;ROW())=B95,INDIRECT(A96&amp;ROW())=C96),1,0))</f>
        <v>0</v>
      </c>
      <c r="K620">
        <f ca="1">DAYS360(INDIRECT(C68&amp;ROW()),TODAY())</f>
        <v>684</v>
      </c>
      <c r="L620">
        <f ca="1">DAYS360(INDIRECT(C69&amp;ROW()),TODAY())</f>
        <v>693</v>
      </c>
      <c r="M620">
        <f ca="1">HYPERLINK(CONCATENATE("https://bugzilla.houston.hp.com:1181/bugzilla/show_bug.cgi?id=",INDIRECT(C70&amp;ROW())),INDIRECT(C70&amp;ROW()))</f>
        <v>63197</v>
      </c>
      <c r="N620">
        <v>63197</v>
      </c>
      <c r="O620" t="s">
        <v>241</v>
      </c>
      <c r="P620" t="s">
        <v>1151</v>
      </c>
      <c r="Q620" t="s">
        <v>39</v>
      </c>
      <c r="R620" t="s">
        <v>251</v>
      </c>
      <c r="S620" t="s">
        <v>177</v>
      </c>
      <c r="U620" s="6">
        <v>42163.585625</v>
      </c>
      <c r="V620" t="s">
        <v>18</v>
      </c>
      <c r="W620" t="s">
        <v>764</v>
      </c>
      <c r="X620" s="6">
        <v>42153.768229166664</v>
      </c>
      <c r="Y620" t="s">
        <v>245</v>
      </c>
      <c r="AB620" t="s">
        <v>199</v>
      </c>
      <c r="AC620" t="s">
        <v>247</v>
      </c>
      <c r="AD620" t="s">
        <v>227</v>
      </c>
      <c r="AE620" t="s">
        <v>370</v>
      </c>
      <c r="AG620" t="s">
        <v>121</v>
      </c>
      <c r="AH620" t="s">
        <v>327</v>
      </c>
      <c r="AI620" t="s">
        <v>121</v>
      </c>
      <c r="AJ620" t="s">
        <v>715</v>
      </c>
      <c r="AK620" t="s">
        <v>121</v>
      </c>
    </row>
    <row r="621" spans="9:37" x14ac:dyDescent="0.3">
      <c r="I621">
        <f ca="1">IF(OR(INDIRECT(A73&amp;ROW())=B93,INDIRECT(A73&amp;ROW())=B94),1,IF(AND(INDIRECT(A73&amp;ROW())=B95,INDIRECT(A96&amp;ROW())=C93),1,IF(AND(INDIRECT(A73&amp;ROW())=B95,INDIRECT(A96&amp;ROW())=C94),1,0)))</f>
        <v>1</v>
      </c>
      <c r="J621">
        <f ca="1">IF(AND(INDIRECT(A73&amp;ROW())=B95,INDIRECT(A96&amp;ROW())=C95),1,IF(AND(INDIRECT(A73&amp;ROW())=B95,INDIRECT(A96&amp;ROW())=C96),1,0))</f>
        <v>0</v>
      </c>
      <c r="K621">
        <f ca="1">DAYS360(INDIRECT(C68&amp;ROW()),TODAY())</f>
        <v>692</v>
      </c>
      <c r="L621">
        <f ca="1">DAYS360(INDIRECT(C69&amp;ROW()),TODAY())</f>
        <v>692</v>
      </c>
      <c r="M621">
        <f ca="1">HYPERLINK(CONCATENATE("https://bugzilla.houston.hp.com:1181/bugzilla/show_bug.cgi?id=",INDIRECT(C70&amp;ROW())),INDIRECT(C70&amp;ROW()))</f>
        <v>63199</v>
      </c>
      <c r="N621">
        <v>63199</v>
      </c>
      <c r="O621" t="s">
        <v>241</v>
      </c>
      <c r="P621" t="s">
        <v>1150</v>
      </c>
      <c r="Q621" t="s">
        <v>39</v>
      </c>
      <c r="R621" t="s">
        <v>579</v>
      </c>
      <c r="S621" t="s">
        <v>552</v>
      </c>
      <c r="U621" s="6">
        <v>42154.914398148147</v>
      </c>
      <c r="V621" t="s">
        <v>18</v>
      </c>
      <c r="W621" t="s">
        <v>764</v>
      </c>
      <c r="X621" s="6">
        <v>42154.016817129632</v>
      </c>
      <c r="Y621" t="s">
        <v>245</v>
      </c>
      <c r="AB621" t="s">
        <v>199</v>
      </c>
      <c r="AC621" t="s">
        <v>247</v>
      </c>
      <c r="AD621" t="s">
        <v>227</v>
      </c>
      <c r="AE621" t="s">
        <v>370</v>
      </c>
      <c r="AG621" t="s">
        <v>121</v>
      </c>
      <c r="AH621" t="s">
        <v>327</v>
      </c>
      <c r="AI621" t="s">
        <v>121</v>
      </c>
      <c r="AJ621" t="s">
        <v>715</v>
      </c>
      <c r="AK621" t="s">
        <v>121</v>
      </c>
    </row>
    <row r="622" spans="9:37" x14ac:dyDescent="0.3">
      <c r="I622">
        <f ca="1">IF(OR(INDIRECT(A73&amp;ROW())=B93,INDIRECT(A73&amp;ROW())=B94),1,IF(AND(INDIRECT(A73&amp;ROW())=B95,INDIRECT(A96&amp;ROW())=C93),1,IF(AND(INDIRECT(A73&amp;ROW())=B95,INDIRECT(A96&amp;ROW())=C94),1,0)))</f>
        <v>1</v>
      </c>
      <c r="J622">
        <f ca="1">IF(AND(INDIRECT(A73&amp;ROW())=B95,INDIRECT(A96&amp;ROW())=C95),1,IF(AND(INDIRECT(A73&amp;ROW())=B95,INDIRECT(A96&amp;ROW())=C96),1,0))</f>
        <v>0</v>
      </c>
      <c r="K622">
        <f ca="1">DAYS360(INDIRECT(C68&amp;ROW()),TODAY())</f>
        <v>692</v>
      </c>
      <c r="L622">
        <f ca="1">DAYS360(INDIRECT(C69&amp;ROW()),TODAY())</f>
        <v>692</v>
      </c>
      <c r="M622">
        <f ca="1">HYPERLINK(CONCATENATE("https://bugzilla.houston.hp.com:1181/bugzilla/show_bug.cgi?id=",INDIRECT(C70&amp;ROW())),INDIRECT(C70&amp;ROW()))</f>
        <v>63200</v>
      </c>
      <c r="N622">
        <v>63200</v>
      </c>
      <c r="O622" t="s">
        <v>241</v>
      </c>
      <c r="P622" t="s">
        <v>1149</v>
      </c>
      <c r="Q622" t="s">
        <v>39</v>
      </c>
      <c r="R622" t="s">
        <v>248</v>
      </c>
      <c r="S622" t="s">
        <v>552</v>
      </c>
      <c r="U622" s="6">
        <v>42154.914386574077</v>
      </c>
      <c r="V622" t="s">
        <v>18</v>
      </c>
      <c r="W622" t="s">
        <v>764</v>
      </c>
      <c r="X622" s="6">
        <v>42154.016875000001</v>
      </c>
      <c r="Y622" t="s">
        <v>245</v>
      </c>
      <c r="AB622" t="s">
        <v>199</v>
      </c>
      <c r="AC622" t="s">
        <v>247</v>
      </c>
      <c r="AD622" t="s">
        <v>227</v>
      </c>
      <c r="AE622" t="s">
        <v>370</v>
      </c>
      <c r="AG622" t="s">
        <v>121</v>
      </c>
      <c r="AH622" t="s">
        <v>327</v>
      </c>
      <c r="AI622" t="s">
        <v>121</v>
      </c>
      <c r="AJ622" t="s">
        <v>715</v>
      </c>
      <c r="AK622" t="s">
        <v>121</v>
      </c>
    </row>
    <row r="623" spans="9:37" x14ac:dyDescent="0.3">
      <c r="I623">
        <f ca="1">IF(OR(INDIRECT(A73&amp;ROW())=B93,INDIRECT(A73&amp;ROW())=B94),1,IF(AND(INDIRECT(A73&amp;ROW())=B95,INDIRECT(A96&amp;ROW())=C93),1,IF(AND(INDIRECT(A73&amp;ROW())=B95,INDIRECT(A96&amp;ROW())=C94),1,0)))</f>
        <v>1</v>
      </c>
      <c r="J623">
        <f ca="1">IF(AND(INDIRECT(A73&amp;ROW())=B95,INDIRECT(A96&amp;ROW())=C95),1,IF(AND(INDIRECT(A73&amp;ROW())=B95,INDIRECT(A96&amp;ROW())=C96),1,0))</f>
        <v>0</v>
      </c>
      <c r="K623">
        <f ca="1">DAYS360(INDIRECT(C68&amp;ROW()),TODAY())</f>
        <v>683</v>
      </c>
      <c r="L623">
        <f ca="1">DAYS360(INDIRECT(C69&amp;ROW()),TODAY())</f>
        <v>691</v>
      </c>
      <c r="M623">
        <f ca="1">HYPERLINK(CONCATENATE("https://bugzilla.houston.hp.com:1181/bugzilla/show_bug.cgi?id=",INDIRECT(C70&amp;ROW())),INDIRECT(C70&amp;ROW()))</f>
        <v>63227</v>
      </c>
      <c r="N623">
        <v>63227</v>
      </c>
      <c r="O623" t="s">
        <v>59</v>
      </c>
      <c r="P623" t="s">
        <v>1241</v>
      </c>
      <c r="Q623" t="s">
        <v>25</v>
      </c>
      <c r="R623" t="s">
        <v>251</v>
      </c>
      <c r="S623" t="s">
        <v>62</v>
      </c>
      <c r="U623" s="6">
        <v>42164.316238425927</v>
      </c>
      <c r="V623" t="s">
        <v>35</v>
      </c>
      <c r="W623" t="s">
        <v>783</v>
      </c>
      <c r="X623" s="6">
        <v>42156.199236111112</v>
      </c>
      <c r="Y623" t="s">
        <v>119</v>
      </c>
      <c r="AB623" t="s">
        <v>199</v>
      </c>
      <c r="AC623" t="s">
        <v>247</v>
      </c>
      <c r="AD623" t="s">
        <v>220</v>
      </c>
      <c r="AE623" t="s">
        <v>219</v>
      </c>
      <c r="AG623" t="s">
        <v>121</v>
      </c>
      <c r="AH623" t="s">
        <v>327</v>
      </c>
      <c r="AI623" t="s">
        <v>121</v>
      </c>
      <c r="AJ623" t="s">
        <v>715</v>
      </c>
      <c r="AK623" t="s">
        <v>121</v>
      </c>
    </row>
    <row r="624" spans="9:37" x14ac:dyDescent="0.3">
      <c r="I624">
        <f ca="1">IF(OR(INDIRECT(A73&amp;ROW())=B93,INDIRECT(A73&amp;ROW())=B94),1,IF(AND(INDIRECT(A73&amp;ROW())=B95,INDIRECT(A96&amp;ROW())=C93),1,IF(AND(INDIRECT(A73&amp;ROW())=B95,INDIRECT(A96&amp;ROW())=C94),1,0)))</f>
        <v>0</v>
      </c>
      <c r="J624">
        <f ca="1">IF(AND(INDIRECT(A73&amp;ROW())=B95,INDIRECT(A96&amp;ROW())=C95),1,IF(AND(INDIRECT(A73&amp;ROW())=B95,INDIRECT(A96&amp;ROW())=C96),1,0))</f>
        <v>0</v>
      </c>
      <c r="K624">
        <f ca="1">DAYS360(INDIRECT(C68&amp;ROW()),TODAY())</f>
        <v>691</v>
      </c>
      <c r="L624">
        <f ca="1">DAYS360(INDIRECT(C69&amp;ROW()),TODAY())</f>
        <v>691</v>
      </c>
      <c r="M624">
        <f ca="1">HYPERLINK(CONCATENATE("https://bugzilla.houston.hp.com:1181/bugzilla/show_bug.cgi?id=",INDIRECT(C70&amp;ROW())),INDIRECT(C70&amp;ROW()))</f>
        <v>63239</v>
      </c>
      <c r="N624">
        <v>63239</v>
      </c>
      <c r="O624" t="s">
        <v>21</v>
      </c>
      <c r="P624" t="s">
        <v>1196</v>
      </c>
      <c r="Q624" t="s">
        <v>16</v>
      </c>
      <c r="R624" t="s">
        <v>251</v>
      </c>
      <c r="S624" t="s">
        <v>1195</v>
      </c>
      <c r="U624" s="6">
        <v>42156.530868055554</v>
      </c>
      <c r="V624" t="s">
        <v>18</v>
      </c>
      <c r="W624" t="s">
        <v>783</v>
      </c>
      <c r="X624" s="6">
        <v>42156.258599537039</v>
      </c>
      <c r="Y624" t="s">
        <v>793</v>
      </c>
      <c r="AB624" t="s">
        <v>201</v>
      </c>
      <c r="AC624" t="s">
        <v>247</v>
      </c>
      <c r="AD624" t="s">
        <v>222</v>
      </c>
      <c r="AE624" t="s">
        <v>221</v>
      </c>
      <c r="AG624" t="s">
        <v>121</v>
      </c>
      <c r="AH624" t="s">
        <v>327</v>
      </c>
      <c r="AI624" t="s">
        <v>121</v>
      </c>
      <c r="AJ624" t="s">
        <v>717</v>
      </c>
      <c r="AK624" t="s">
        <v>121</v>
      </c>
    </row>
    <row r="625" spans="9:37" x14ac:dyDescent="0.3">
      <c r="I625">
        <f ca="1">IF(OR(INDIRECT(A73&amp;ROW())=B93,INDIRECT(A73&amp;ROW())=B94),1,IF(AND(INDIRECT(A73&amp;ROW())=B95,INDIRECT(A96&amp;ROW())=C93),1,IF(AND(INDIRECT(A73&amp;ROW())=B95,INDIRECT(A96&amp;ROW())=C94),1,0)))</f>
        <v>1</v>
      </c>
      <c r="J625">
        <f ca="1">IF(AND(INDIRECT(A73&amp;ROW())=B95,INDIRECT(A96&amp;ROW())=C95),1,IF(AND(INDIRECT(A73&amp;ROW())=B95,INDIRECT(A96&amp;ROW())=C96),1,0))</f>
        <v>0</v>
      </c>
      <c r="K625">
        <f ca="1">DAYS360(INDIRECT(C68&amp;ROW()),TODAY())</f>
        <v>675</v>
      </c>
      <c r="L625">
        <f ca="1">DAYS360(INDIRECT(C69&amp;ROW()),TODAY())</f>
        <v>691</v>
      </c>
      <c r="M625">
        <f ca="1">HYPERLINK(CONCATENATE("https://bugzilla.houston.hp.com:1181/bugzilla/show_bug.cgi?id=",INDIRECT(C70&amp;ROW())),INDIRECT(C70&amp;ROW()))</f>
        <v>63248</v>
      </c>
      <c r="N625">
        <v>63248</v>
      </c>
      <c r="O625" t="s">
        <v>66</v>
      </c>
      <c r="P625" t="s">
        <v>1240</v>
      </c>
      <c r="Q625" t="s">
        <v>25</v>
      </c>
      <c r="R625" t="s">
        <v>783</v>
      </c>
      <c r="S625" t="s">
        <v>552</v>
      </c>
      <c r="U625" s="6">
        <v>42172.641585648147</v>
      </c>
      <c r="V625" t="s">
        <v>18</v>
      </c>
      <c r="W625" t="s">
        <v>783</v>
      </c>
      <c r="X625" s="6">
        <v>42156.306250000001</v>
      </c>
      <c r="Y625" t="s">
        <v>119</v>
      </c>
      <c r="AB625" t="s">
        <v>199</v>
      </c>
      <c r="AC625" t="s">
        <v>247</v>
      </c>
      <c r="AD625" t="s">
        <v>220</v>
      </c>
      <c r="AE625" t="s">
        <v>219</v>
      </c>
      <c r="AG625" t="s">
        <v>337</v>
      </c>
      <c r="AH625" t="s">
        <v>327</v>
      </c>
      <c r="AI625" t="s">
        <v>121</v>
      </c>
      <c r="AJ625" t="s">
        <v>715</v>
      </c>
      <c r="AK625" t="s">
        <v>121</v>
      </c>
    </row>
    <row r="626" spans="9:37" x14ac:dyDescent="0.3">
      <c r="I626">
        <f ca="1">IF(OR(INDIRECT(A73&amp;ROW())=B93,INDIRECT(A73&amp;ROW())=B94),1,IF(AND(INDIRECT(A73&amp;ROW())=B95,INDIRECT(A96&amp;ROW())=C93),1,IF(AND(INDIRECT(A73&amp;ROW())=B95,INDIRECT(A96&amp;ROW())=C94),1,0)))</f>
        <v>1</v>
      </c>
      <c r="J626">
        <f ca="1">IF(AND(INDIRECT(A73&amp;ROW())=B95,INDIRECT(A96&amp;ROW())=C95),1,IF(AND(INDIRECT(A73&amp;ROW())=B95,INDIRECT(A96&amp;ROW())=C96),1,0))</f>
        <v>0</v>
      </c>
      <c r="K626">
        <f ca="1">DAYS360(INDIRECT(C68&amp;ROW()),TODAY())</f>
        <v>684</v>
      </c>
      <c r="L626">
        <f ca="1">DAYS360(INDIRECT(C69&amp;ROW()),TODAY())</f>
        <v>691</v>
      </c>
      <c r="M626">
        <f ca="1">HYPERLINK(CONCATENATE("https://bugzilla.houston.hp.com:1181/bugzilla/show_bug.cgi?id=",INDIRECT(C70&amp;ROW())),INDIRECT(C70&amp;ROW()))</f>
        <v>63249</v>
      </c>
      <c r="N626">
        <v>63249</v>
      </c>
      <c r="O626" t="s">
        <v>66</v>
      </c>
      <c r="P626" t="s">
        <v>1239</v>
      </c>
      <c r="Q626" t="s">
        <v>25</v>
      </c>
      <c r="R626" t="s">
        <v>248</v>
      </c>
      <c r="S626" t="s">
        <v>552</v>
      </c>
      <c r="U626" s="6">
        <v>42163.680046296293</v>
      </c>
      <c r="V626" t="s">
        <v>18</v>
      </c>
      <c r="W626" t="s">
        <v>783</v>
      </c>
      <c r="X626" s="6">
        <v>42156.306354166663</v>
      </c>
      <c r="Y626" t="s">
        <v>119</v>
      </c>
      <c r="AB626" t="s">
        <v>199</v>
      </c>
      <c r="AC626" t="s">
        <v>247</v>
      </c>
      <c r="AD626" t="s">
        <v>220</v>
      </c>
      <c r="AE626" t="s">
        <v>219</v>
      </c>
      <c r="AG626" t="s">
        <v>121</v>
      </c>
      <c r="AH626" t="s">
        <v>327</v>
      </c>
      <c r="AI626" t="s">
        <v>121</v>
      </c>
      <c r="AJ626" t="s">
        <v>715</v>
      </c>
      <c r="AK626" t="s">
        <v>121</v>
      </c>
    </row>
    <row r="627" spans="9:37" x14ac:dyDescent="0.3">
      <c r="I627">
        <f ca="1">IF(OR(INDIRECT(A73&amp;ROW())=B93,INDIRECT(A73&amp;ROW())=B94),1,IF(AND(INDIRECT(A73&amp;ROW())=B95,INDIRECT(A96&amp;ROW())=C93),1,IF(AND(INDIRECT(A73&amp;ROW())=B95,INDIRECT(A96&amp;ROW())=C94),1,0)))</f>
        <v>0</v>
      </c>
      <c r="J627">
        <f ca="1">IF(AND(INDIRECT(A73&amp;ROW())=B95,INDIRECT(A96&amp;ROW())=C95),1,IF(AND(INDIRECT(A73&amp;ROW())=B95,INDIRECT(A96&amp;ROW())=C96),1,0))</f>
        <v>0</v>
      </c>
      <c r="K627">
        <f ca="1">DAYS360(INDIRECT(C68&amp;ROW()),TODAY())</f>
        <v>691</v>
      </c>
      <c r="L627">
        <f ca="1">DAYS360(INDIRECT(C69&amp;ROW()),TODAY())</f>
        <v>691</v>
      </c>
      <c r="M627">
        <f ca="1">HYPERLINK(CONCATENATE("https://bugzilla.houston.hp.com:1181/bugzilla/show_bug.cgi?id=",INDIRECT(C70&amp;ROW())),INDIRECT(C70&amp;ROW()))</f>
        <v>63272</v>
      </c>
      <c r="N627">
        <v>63272</v>
      </c>
      <c r="O627" t="s">
        <v>21</v>
      </c>
      <c r="P627" t="s">
        <v>1194</v>
      </c>
      <c r="Q627" t="s">
        <v>16</v>
      </c>
      <c r="R627" t="s">
        <v>579</v>
      </c>
      <c r="S627" t="s">
        <v>552</v>
      </c>
      <c r="U627" s="6">
        <v>42156.534791666665</v>
      </c>
      <c r="V627" t="s">
        <v>18</v>
      </c>
      <c r="W627" t="s">
        <v>783</v>
      </c>
      <c r="X627" s="6">
        <v>42156.516979166663</v>
      </c>
      <c r="Y627" t="s">
        <v>793</v>
      </c>
      <c r="AB627" t="s">
        <v>201</v>
      </c>
      <c r="AC627" t="s">
        <v>247</v>
      </c>
      <c r="AD627" t="s">
        <v>222</v>
      </c>
      <c r="AE627" t="s">
        <v>221</v>
      </c>
      <c r="AG627" t="s">
        <v>121</v>
      </c>
      <c r="AH627" t="s">
        <v>327</v>
      </c>
      <c r="AI627" t="s">
        <v>121</v>
      </c>
      <c r="AJ627" t="s">
        <v>716</v>
      </c>
      <c r="AK627" t="s">
        <v>121</v>
      </c>
    </row>
    <row r="628" spans="9:37" x14ac:dyDescent="0.3">
      <c r="I628">
        <f ca="1">IF(OR(INDIRECT(A73&amp;ROW())=B93,INDIRECT(A73&amp;ROW())=B94),1,IF(AND(INDIRECT(A73&amp;ROW())=B95,INDIRECT(A96&amp;ROW())=C93),1,IF(AND(INDIRECT(A73&amp;ROW())=B95,INDIRECT(A96&amp;ROW())=C94),1,0)))</f>
        <v>0</v>
      </c>
      <c r="J628">
        <f ca="1">IF(AND(INDIRECT(A73&amp;ROW())=B95,INDIRECT(A96&amp;ROW())=C95),1,IF(AND(INDIRECT(A73&amp;ROW())=B95,INDIRECT(A96&amp;ROW())=C96),1,0))</f>
        <v>0</v>
      </c>
      <c r="K628">
        <f ca="1">DAYS360(INDIRECT(C68&amp;ROW()),TODAY())</f>
        <v>691</v>
      </c>
      <c r="L628">
        <f ca="1">DAYS360(INDIRECT(C69&amp;ROW()),TODAY())</f>
        <v>691</v>
      </c>
      <c r="M628">
        <f ca="1">HYPERLINK(CONCATENATE("https://bugzilla.houston.hp.com:1181/bugzilla/show_bug.cgi?id=",INDIRECT(C70&amp;ROW())),INDIRECT(C70&amp;ROW()))</f>
        <v>63273</v>
      </c>
      <c r="N628">
        <v>63273</v>
      </c>
      <c r="O628" t="s">
        <v>21</v>
      </c>
      <c r="P628" t="s">
        <v>1193</v>
      </c>
      <c r="Q628" t="s">
        <v>16</v>
      </c>
      <c r="R628" t="s">
        <v>783</v>
      </c>
      <c r="S628" t="s">
        <v>552</v>
      </c>
      <c r="U628" s="6">
        <v>42156.534768518519</v>
      </c>
      <c r="V628" t="s">
        <v>18</v>
      </c>
      <c r="W628" t="s">
        <v>783</v>
      </c>
      <c r="X628" s="6">
        <v>42156.51703703704</v>
      </c>
      <c r="Y628" t="s">
        <v>793</v>
      </c>
      <c r="AB628" t="s">
        <v>201</v>
      </c>
      <c r="AC628" t="s">
        <v>247</v>
      </c>
      <c r="AD628" t="s">
        <v>222</v>
      </c>
      <c r="AE628" t="s">
        <v>221</v>
      </c>
      <c r="AG628" t="s">
        <v>121</v>
      </c>
      <c r="AH628" t="s">
        <v>327</v>
      </c>
      <c r="AI628" t="s">
        <v>121</v>
      </c>
      <c r="AJ628" t="s">
        <v>716</v>
      </c>
      <c r="AK628" t="s">
        <v>121</v>
      </c>
    </row>
    <row r="629" spans="9:37" x14ac:dyDescent="0.3">
      <c r="I629">
        <f ca="1">IF(OR(INDIRECT(A73&amp;ROW())=B93,INDIRECT(A73&amp;ROW())=B94),1,IF(AND(INDIRECT(A73&amp;ROW())=B95,INDIRECT(A96&amp;ROW())=C93),1,IF(AND(INDIRECT(A73&amp;ROW())=B95,INDIRECT(A96&amp;ROW())=C94),1,0)))</f>
        <v>0</v>
      </c>
      <c r="J629">
        <f ca="1">IF(AND(INDIRECT(A73&amp;ROW())=B95,INDIRECT(A96&amp;ROW())=C95),1,IF(AND(INDIRECT(A73&amp;ROW())=B95,INDIRECT(A96&amp;ROW())=C96),1,0))</f>
        <v>0</v>
      </c>
      <c r="K629">
        <f ca="1">DAYS360(INDIRECT(C68&amp;ROW()),TODAY())</f>
        <v>691</v>
      </c>
      <c r="L629">
        <f ca="1">DAYS360(INDIRECT(C69&amp;ROW()),TODAY())</f>
        <v>691</v>
      </c>
      <c r="M629">
        <f ca="1">HYPERLINK(CONCATENATE("https://bugzilla.houston.hp.com:1181/bugzilla/show_bug.cgi?id=",INDIRECT(C70&amp;ROW())),INDIRECT(C70&amp;ROW()))</f>
        <v>63274</v>
      </c>
      <c r="N629">
        <v>63274</v>
      </c>
      <c r="O629" t="s">
        <v>21</v>
      </c>
      <c r="P629" t="s">
        <v>1192</v>
      </c>
      <c r="Q629" t="s">
        <v>16</v>
      </c>
      <c r="R629" t="s">
        <v>248</v>
      </c>
      <c r="S629" t="s">
        <v>552</v>
      </c>
      <c r="U629" s="6">
        <v>42156.534803240742</v>
      </c>
      <c r="V629" t="s">
        <v>18</v>
      </c>
      <c r="W629" t="s">
        <v>783</v>
      </c>
      <c r="X629" s="6">
        <v>42156.517106481479</v>
      </c>
      <c r="Y629" t="s">
        <v>793</v>
      </c>
      <c r="AB629" t="s">
        <v>201</v>
      </c>
      <c r="AC629" t="s">
        <v>247</v>
      </c>
      <c r="AD629" t="s">
        <v>222</v>
      </c>
      <c r="AE629" t="s">
        <v>221</v>
      </c>
      <c r="AG629" t="s">
        <v>121</v>
      </c>
      <c r="AH629" t="s">
        <v>327</v>
      </c>
      <c r="AI629" t="s">
        <v>121</v>
      </c>
      <c r="AJ629" t="s">
        <v>716</v>
      </c>
      <c r="AK629" t="s">
        <v>121</v>
      </c>
    </row>
    <row r="630" spans="9:37" x14ac:dyDescent="0.3">
      <c r="I630">
        <f ca="1">IF(OR(INDIRECT(A73&amp;ROW())=B93,INDIRECT(A73&amp;ROW())=B94),1,IF(AND(INDIRECT(A73&amp;ROW())=B95,INDIRECT(A96&amp;ROW())=C93),1,IF(AND(INDIRECT(A73&amp;ROW())=B95,INDIRECT(A96&amp;ROW())=C94),1,0)))</f>
        <v>1</v>
      </c>
      <c r="J630">
        <f ca="1">IF(AND(INDIRECT(A73&amp;ROW())=B95,INDIRECT(A96&amp;ROW())=C95),1,IF(AND(INDIRECT(A73&amp;ROW())=B95,INDIRECT(A96&amp;ROW())=C96),1,0))</f>
        <v>0</v>
      </c>
      <c r="K630">
        <f ca="1">DAYS360(INDIRECT(C68&amp;ROW()),TODAY())</f>
        <v>676</v>
      </c>
      <c r="L630">
        <f ca="1">DAYS360(INDIRECT(C69&amp;ROW()),TODAY())</f>
        <v>691</v>
      </c>
      <c r="M630">
        <f ca="1">HYPERLINK(CONCATENATE("https://bugzilla.houston.hp.com:1181/bugzilla/show_bug.cgi?id=",INDIRECT(C70&amp;ROW())),INDIRECT(C70&amp;ROW()))</f>
        <v>63278</v>
      </c>
      <c r="N630">
        <v>63278</v>
      </c>
      <c r="O630" t="s">
        <v>66</v>
      </c>
      <c r="P630" t="s">
        <v>1191</v>
      </c>
      <c r="Q630" t="s">
        <v>39</v>
      </c>
      <c r="R630" t="s">
        <v>251</v>
      </c>
      <c r="S630" t="s">
        <v>1102</v>
      </c>
      <c r="U630" s="6">
        <v>42171.374155092592</v>
      </c>
      <c r="V630" t="s">
        <v>18</v>
      </c>
      <c r="W630" t="s">
        <v>17</v>
      </c>
      <c r="X630" s="6">
        <v>42156.525219907409</v>
      </c>
      <c r="Y630" t="s">
        <v>125</v>
      </c>
      <c r="AB630" t="s">
        <v>200</v>
      </c>
      <c r="AC630" t="s">
        <v>247</v>
      </c>
      <c r="AD630" t="s">
        <v>220</v>
      </c>
      <c r="AE630" t="s">
        <v>219</v>
      </c>
      <c r="AG630" t="s">
        <v>121</v>
      </c>
      <c r="AH630" t="s">
        <v>327</v>
      </c>
      <c r="AI630" t="s">
        <v>121</v>
      </c>
      <c r="AJ630" t="s">
        <v>715</v>
      </c>
      <c r="AK630" t="s">
        <v>121</v>
      </c>
    </row>
    <row r="631" spans="9:37" x14ac:dyDescent="0.3">
      <c r="I631">
        <f ca="1">IF(OR(INDIRECT(A73&amp;ROW())=B93,INDIRECT(A73&amp;ROW())=B94),1,IF(AND(INDIRECT(A73&amp;ROW())=B95,INDIRECT(A96&amp;ROW())=C93),1,IF(AND(INDIRECT(A73&amp;ROW())=B95,INDIRECT(A96&amp;ROW())=C94),1,0)))</f>
        <v>1</v>
      </c>
      <c r="J631">
        <f ca="1">IF(AND(INDIRECT(A73&amp;ROW())=B95,INDIRECT(A96&amp;ROW())=C95),1,IF(AND(INDIRECT(A73&amp;ROW())=B95,INDIRECT(A96&amp;ROW())=C96),1,0))</f>
        <v>0</v>
      </c>
      <c r="K631">
        <f ca="1">DAYS360(INDIRECT(C68&amp;ROW()),TODAY())</f>
        <v>691</v>
      </c>
      <c r="L631">
        <f ca="1">DAYS360(INDIRECT(C69&amp;ROW()),TODAY())</f>
        <v>691</v>
      </c>
      <c r="M631">
        <f ca="1">HYPERLINK(CONCATENATE("https://bugzilla.houston.hp.com:1181/bugzilla/show_bug.cgi?id=",INDIRECT(C70&amp;ROW())),INDIRECT(C70&amp;ROW()))</f>
        <v>63279</v>
      </c>
      <c r="N631">
        <v>63279</v>
      </c>
      <c r="O631" t="s">
        <v>66</v>
      </c>
      <c r="P631" t="s">
        <v>1190</v>
      </c>
      <c r="Q631" t="s">
        <v>39</v>
      </c>
      <c r="R631" t="s">
        <v>579</v>
      </c>
      <c r="S631" t="s">
        <v>552</v>
      </c>
      <c r="U631" s="6">
        <v>42156.547210648147</v>
      </c>
      <c r="V631" t="s">
        <v>18</v>
      </c>
      <c r="W631" t="s">
        <v>17</v>
      </c>
      <c r="X631" s="6">
        <v>42156.537048611113</v>
      </c>
      <c r="Y631" t="s">
        <v>125</v>
      </c>
      <c r="AB631" t="s">
        <v>200</v>
      </c>
      <c r="AC631" t="s">
        <v>247</v>
      </c>
      <c r="AD631" t="s">
        <v>220</v>
      </c>
      <c r="AE631" t="s">
        <v>219</v>
      </c>
      <c r="AG631" t="s">
        <v>121</v>
      </c>
      <c r="AH631" t="s">
        <v>327</v>
      </c>
      <c r="AI631" t="s">
        <v>121</v>
      </c>
      <c r="AJ631" t="s">
        <v>715</v>
      </c>
      <c r="AK631" t="s">
        <v>121</v>
      </c>
    </row>
    <row r="632" spans="9:37" x14ac:dyDescent="0.3">
      <c r="I632">
        <f ca="1">IF(OR(INDIRECT(A73&amp;ROW())=B93,INDIRECT(A73&amp;ROW())=B94),1,IF(AND(INDIRECT(A73&amp;ROW())=B95,INDIRECT(A96&amp;ROW())=C93),1,IF(AND(INDIRECT(A73&amp;ROW())=B95,INDIRECT(A96&amp;ROW())=C94),1,0)))</f>
        <v>1</v>
      </c>
      <c r="J632">
        <f ca="1">IF(AND(INDIRECT(A73&amp;ROW())=B95,INDIRECT(A96&amp;ROW())=C95),1,IF(AND(INDIRECT(A73&amp;ROW())=B95,INDIRECT(A96&amp;ROW())=C96),1,0))</f>
        <v>0</v>
      </c>
      <c r="K632">
        <f ca="1">DAYS360(INDIRECT(C68&amp;ROW()),TODAY())</f>
        <v>675</v>
      </c>
      <c r="L632">
        <f ca="1">DAYS360(INDIRECT(C69&amp;ROW()),TODAY())</f>
        <v>691</v>
      </c>
      <c r="M632">
        <f ca="1">HYPERLINK(CONCATENATE("https://bugzilla.houston.hp.com:1181/bugzilla/show_bug.cgi?id=",INDIRECT(C70&amp;ROW())),INDIRECT(C70&amp;ROW()))</f>
        <v>63280</v>
      </c>
      <c r="N632">
        <v>63280</v>
      </c>
      <c r="O632" t="s">
        <v>66</v>
      </c>
      <c r="P632" t="s">
        <v>1189</v>
      </c>
      <c r="Q632" t="s">
        <v>39</v>
      </c>
      <c r="R632" t="s">
        <v>783</v>
      </c>
      <c r="S632" t="s">
        <v>552</v>
      </c>
      <c r="U632" s="6">
        <v>42172.635000000002</v>
      </c>
      <c r="V632" t="s">
        <v>18</v>
      </c>
      <c r="W632" t="s">
        <v>17</v>
      </c>
      <c r="X632" s="6">
        <v>42156.537164351852</v>
      </c>
      <c r="Y632" t="s">
        <v>125</v>
      </c>
      <c r="AB632" t="s">
        <v>200</v>
      </c>
      <c r="AC632" t="s">
        <v>247</v>
      </c>
      <c r="AD632" t="s">
        <v>220</v>
      </c>
      <c r="AE632" t="s">
        <v>219</v>
      </c>
      <c r="AG632" t="s">
        <v>337</v>
      </c>
      <c r="AH632" t="s">
        <v>327</v>
      </c>
      <c r="AI632" t="s">
        <v>121</v>
      </c>
      <c r="AJ632" t="s">
        <v>715</v>
      </c>
      <c r="AK632" t="s">
        <v>121</v>
      </c>
    </row>
    <row r="633" spans="9:37" x14ac:dyDescent="0.3">
      <c r="I633">
        <f ca="1">IF(OR(INDIRECT(A73&amp;ROW())=B93,INDIRECT(A73&amp;ROW())=B94),1,IF(AND(INDIRECT(A73&amp;ROW())=B95,INDIRECT(A96&amp;ROW())=C93),1,IF(AND(INDIRECT(A73&amp;ROW())=B95,INDIRECT(A96&amp;ROW())=C94),1,0)))</f>
        <v>1</v>
      </c>
      <c r="J633">
        <f ca="1">IF(AND(INDIRECT(A73&amp;ROW())=B95,INDIRECT(A96&amp;ROW())=C95),1,IF(AND(INDIRECT(A73&amp;ROW())=B95,INDIRECT(A96&amp;ROW())=C96),1,0))</f>
        <v>0</v>
      </c>
      <c r="K633">
        <f ca="1">DAYS360(INDIRECT(C68&amp;ROW()),TODAY())</f>
        <v>691</v>
      </c>
      <c r="L633">
        <f ca="1">DAYS360(INDIRECT(C69&amp;ROW()),TODAY())</f>
        <v>691</v>
      </c>
      <c r="M633">
        <f ca="1">HYPERLINK(CONCATENATE("https://bugzilla.houston.hp.com:1181/bugzilla/show_bug.cgi?id=",INDIRECT(C70&amp;ROW())),INDIRECT(C70&amp;ROW()))</f>
        <v>63281</v>
      </c>
      <c r="N633">
        <v>63281</v>
      </c>
      <c r="O633" t="s">
        <v>66</v>
      </c>
      <c r="P633" t="s">
        <v>1188</v>
      </c>
      <c r="Q633" t="s">
        <v>39</v>
      </c>
      <c r="R633" t="s">
        <v>248</v>
      </c>
      <c r="S633" t="s">
        <v>552</v>
      </c>
      <c r="U633" s="6">
        <v>42156.548090277778</v>
      </c>
      <c r="V633" t="s">
        <v>18</v>
      </c>
      <c r="W633" t="s">
        <v>17</v>
      </c>
      <c r="X633" s="6">
        <v>42156.537291666667</v>
      </c>
      <c r="Y633" t="s">
        <v>125</v>
      </c>
      <c r="AB633" t="s">
        <v>200</v>
      </c>
      <c r="AC633" t="s">
        <v>247</v>
      </c>
      <c r="AD633" t="s">
        <v>220</v>
      </c>
      <c r="AE633" t="s">
        <v>219</v>
      </c>
      <c r="AG633" t="s">
        <v>121</v>
      </c>
      <c r="AH633" t="s">
        <v>327</v>
      </c>
      <c r="AI633" t="s">
        <v>121</v>
      </c>
      <c r="AJ633" t="s">
        <v>715</v>
      </c>
      <c r="AK633" t="s">
        <v>121</v>
      </c>
    </row>
    <row r="634" spans="9:37" x14ac:dyDescent="0.3">
      <c r="I634">
        <f ca="1">IF(OR(INDIRECT(A73&amp;ROW())=B93,INDIRECT(A73&amp;ROW())=B94),1,IF(AND(INDIRECT(A73&amp;ROW())=B95,INDIRECT(A96&amp;ROW())=C93),1,IF(AND(INDIRECT(A73&amp;ROW())=B95,INDIRECT(A96&amp;ROW())=C94),1,0)))</f>
        <v>0</v>
      </c>
      <c r="J634">
        <f ca="1">IF(AND(INDIRECT(A73&amp;ROW())=B95,INDIRECT(A96&amp;ROW())=C95),1,IF(AND(INDIRECT(A73&amp;ROW())=B95,INDIRECT(A96&amp;ROW())=C96),1,0))</f>
        <v>1</v>
      </c>
      <c r="K634">
        <f ca="1">DAYS360(INDIRECT(C68&amp;ROW()),TODAY())</f>
        <v>681</v>
      </c>
      <c r="L634">
        <f ca="1">DAYS360(INDIRECT(C69&amp;ROW()),TODAY())</f>
        <v>690</v>
      </c>
      <c r="M634">
        <f ca="1">HYPERLINK(CONCATENATE("https://bugzilla.houston.hp.com:1181/bugzilla/show_bug.cgi?id=",INDIRECT(C70&amp;ROW())),INDIRECT(C70&amp;ROW()))</f>
        <v>63336</v>
      </c>
      <c r="N634">
        <v>63336</v>
      </c>
      <c r="O634" t="s">
        <v>22</v>
      </c>
      <c r="P634" t="s">
        <v>1187</v>
      </c>
      <c r="Q634" t="s">
        <v>25</v>
      </c>
      <c r="R634" t="s">
        <v>783</v>
      </c>
      <c r="S634" t="s">
        <v>44</v>
      </c>
      <c r="T634" t="s">
        <v>794</v>
      </c>
      <c r="U634" s="6">
        <v>42166.582071759258</v>
      </c>
      <c r="V634" t="s">
        <v>18</v>
      </c>
      <c r="W634" t="s">
        <v>17</v>
      </c>
      <c r="X634" s="6">
        <v>42157.599398148152</v>
      </c>
      <c r="Y634" t="s">
        <v>125</v>
      </c>
      <c r="AB634" t="s">
        <v>201</v>
      </c>
      <c r="AC634" t="s">
        <v>247</v>
      </c>
      <c r="AD634" t="s">
        <v>220</v>
      </c>
      <c r="AE634" t="s">
        <v>223</v>
      </c>
      <c r="AG634" t="s">
        <v>121</v>
      </c>
      <c r="AH634" t="s">
        <v>327</v>
      </c>
      <c r="AI634" t="s">
        <v>363</v>
      </c>
      <c r="AJ634" t="s">
        <v>716</v>
      </c>
      <c r="AK634" t="s">
        <v>121</v>
      </c>
    </row>
    <row r="635" spans="9:37" x14ac:dyDescent="0.3">
      <c r="I635">
        <f ca="1">IF(OR(INDIRECT(A73&amp;ROW())=B93,INDIRECT(A73&amp;ROW())=B94),1,IF(AND(INDIRECT(A73&amp;ROW())=B95,INDIRECT(A96&amp;ROW())=C93),1,IF(AND(INDIRECT(A73&amp;ROW())=B95,INDIRECT(A96&amp;ROW())=C94),1,0)))</f>
        <v>1</v>
      </c>
      <c r="J635">
        <f ca="1">IF(AND(INDIRECT(A73&amp;ROW())=B95,INDIRECT(A96&amp;ROW())=C95),1,IF(AND(INDIRECT(A73&amp;ROW())=B95,INDIRECT(A96&amp;ROW())=C96),1,0))</f>
        <v>0</v>
      </c>
      <c r="K635">
        <f ca="1">DAYS360(INDIRECT(C68&amp;ROW()),TODAY())</f>
        <v>689</v>
      </c>
      <c r="L635">
        <f ca="1">DAYS360(INDIRECT(C69&amp;ROW()),TODAY())</f>
        <v>689</v>
      </c>
      <c r="M635">
        <f ca="1">HYPERLINK(CONCATENATE("https://bugzilla.houston.hp.com:1181/bugzilla/show_bug.cgi?id=",INDIRECT(C70&amp;ROW())),INDIRECT(C70&amp;ROW()))</f>
        <v>63359</v>
      </c>
      <c r="N635">
        <v>63359</v>
      </c>
      <c r="O635" t="s">
        <v>53</v>
      </c>
      <c r="P635" t="s">
        <v>1186</v>
      </c>
      <c r="Q635" t="s">
        <v>39</v>
      </c>
      <c r="R635" t="s">
        <v>579</v>
      </c>
      <c r="S635" t="s">
        <v>552</v>
      </c>
      <c r="U635" s="6">
        <v>42158.33488425926</v>
      </c>
      <c r="V635" t="s">
        <v>18</v>
      </c>
      <c r="W635" t="s">
        <v>63</v>
      </c>
      <c r="X635" s="6">
        <v>42158.017002314817</v>
      </c>
      <c r="Y635" t="s">
        <v>1026</v>
      </c>
      <c r="AB635" t="s">
        <v>201</v>
      </c>
      <c r="AC635" t="s">
        <v>247</v>
      </c>
      <c r="AD635" t="s">
        <v>220</v>
      </c>
      <c r="AE635" t="s">
        <v>243</v>
      </c>
      <c r="AG635" t="s">
        <v>121</v>
      </c>
      <c r="AH635" t="s">
        <v>327</v>
      </c>
      <c r="AI635" t="s">
        <v>121</v>
      </c>
      <c r="AJ635" t="s">
        <v>715</v>
      </c>
      <c r="AK635" t="s">
        <v>121</v>
      </c>
    </row>
    <row r="636" spans="9:37" x14ac:dyDescent="0.3">
      <c r="I636">
        <f ca="1">IF(OR(INDIRECT(A73&amp;ROW())=B93,INDIRECT(A73&amp;ROW())=B94),1,IF(AND(INDIRECT(A73&amp;ROW())=B95,INDIRECT(A96&amp;ROW())=C93),1,IF(AND(INDIRECT(A73&amp;ROW())=B95,INDIRECT(A96&amp;ROW())=C94),1,0)))</f>
        <v>1</v>
      </c>
      <c r="J636">
        <f ca="1">IF(AND(INDIRECT(A73&amp;ROW())=B95,INDIRECT(A96&amp;ROW())=C95),1,IF(AND(INDIRECT(A73&amp;ROW())=B95,INDIRECT(A96&amp;ROW())=C96),1,0))</f>
        <v>0</v>
      </c>
      <c r="K636">
        <f ca="1">DAYS360(INDIRECT(C68&amp;ROW()),TODAY())</f>
        <v>675</v>
      </c>
      <c r="L636">
        <f ca="1">DAYS360(INDIRECT(C69&amp;ROW()),TODAY())</f>
        <v>689</v>
      </c>
      <c r="M636">
        <f ca="1">HYPERLINK(CONCATENATE("https://bugzilla.houston.hp.com:1181/bugzilla/show_bug.cgi?id=",INDIRECT(C70&amp;ROW())),INDIRECT(C70&amp;ROW()))</f>
        <v>63360</v>
      </c>
      <c r="N636">
        <v>63360</v>
      </c>
      <c r="O636" t="s">
        <v>53</v>
      </c>
      <c r="P636" t="s">
        <v>1185</v>
      </c>
      <c r="Q636" t="s">
        <v>39</v>
      </c>
      <c r="R636" t="s">
        <v>783</v>
      </c>
      <c r="S636" t="s">
        <v>552</v>
      </c>
      <c r="U636" s="6">
        <v>42172.628981481481</v>
      </c>
      <c r="V636" t="s">
        <v>18</v>
      </c>
      <c r="W636" t="s">
        <v>63</v>
      </c>
      <c r="X636" s="6">
        <v>42158.017060185186</v>
      </c>
      <c r="Y636" t="s">
        <v>1026</v>
      </c>
      <c r="AB636" t="s">
        <v>201</v>
      </c>
      <c r="AC636" t="s">
        <v>247</v>
      </c>
      <c r="AD636" t="s">
        <v>220</v>
      </c>
      <c r="AE636" t="s">
        <v>219</v>
      </c>
      <c r="AG636" t="s">
        <v>337</v>
      </c>
      <c r="AH636" t="s">
        <v>327</v>
      </c>
      <c r="AI636" t="s">
        <v>121</v>
      </c>
      <c r="AJ636" t="s">
        <v>715</v>
      </c>
      <c r="AK636" t="s">
        <v>121</v>
      </c>
    </row>
    <row r="637" spans="9:37" x14ac:dyDescent="0.3">
      <c r="I637">
        <f ca="1">IF(OR(INDIRECT(A73&amp;ROW())=B93,INDIRECT(A73&amp;ROW())=B94),1,IF(AND(INDIRECT(A73&amp;ROW())=B95,INDIRECT(A96&amp;ROW())=C93),1,IF(AND(INDIRECT(A73&amp;ROW())=B95,INDIRECT(A96&amp;ROW())=C94),1,0)))</f>
        <v>1</v>
      </c>
      <c r="J637">
        <f ca="1">IF(AND(INDIRECT(A73&amp;ROW())=B95,INDIRECT(A96&amp;ROW())=C95),1,IF(AND(INDIRECT(A73&amp;ROW())=B95,INDIRECT(A96&amp;ROW())=C96),1,0))</f>
        <v>0</v>
      </c>
      <c r="K637">
        <f ca="1">DAYS360(INDIRECT(C68&amp;ROW()),TODAY())</f>
        <v>689</v>
      </c>
      <c r="L637">
        <f ca="1">DAYS360(INDIRECT(C69&amp;ROW()),TODAY())</f>
        <v>689</v>
      </c>
      <c r="M637">
        <f ca="1">HYPERLINK(CONCATENATE("https://bugzilla.houston.hp.com:1181/bugzilla/show_bug.cgi?id=",INDIRECT(C70&amp;ROW())),INDIRECT(C70&amp;ROW()))</f>
        <v>63361</v>
      </c>
      <c r="N637">
        <v>63361</v>
      </c>
      <c r="O637" t="s">
        <v>53</v>
      </c>
      <c r="P637" t="s">
        <v>1184</v>
      </c>
      <c r="Q637" t="s">
        <v>39</v>
      </c>
      <c r="R637" t="s">
        <v>248</v>
      </c>
      <c r="S637" t="s">
        <v>552</v>
      </c>
      <c r="U637" s="6">
        <v>42158.33488425926</v>
      </c>
      <c r="V637" t="s">
        <v>18</v>
      </c>
      <c r="W637" t="s">
        <v>63</v>
      </c>
      <c r="X637" s="6">
        <v>42158.017129629632</v>
      </c>
      <c r="Y637" t="s">
        <v>1026</v>
      </c>
      <c r="AB637" t="s">
        <v>201</v>
      </c>
      <c r="AC637" t="s">
        <v>247</v>
      </c>
      <c r="AD637" t="s">
        <v>220</v>
      </c>
      <c r="AE637" t="s">
        <v>243</v>
      </c>
      <c r="AG637" t="s">
        <v>121</v>
      </c>
      <c r="AH637" t="s">
        <v>327</v>
      </c>
      <c r="AI637" t="s">
        <v>121</v>
      </c>
      <c r="AJ637" t="s">
        <v>715</v>
      </c>
      <c r="AK637" t="s">
        <v>121</v>
      </c>
    </row>
    <row r="638" spans="9:37" x14ac:dyDescent="0.3">
      <c r="I638">
        <f ca="1">IF(OR(INDIRECT(A73&amp;ROW())=B93,INDIRECT(A73&amp;ROW())=B94),1,IF(AND(INDIRECT(A73&amp;ROW())=B95,INDIRECT(A96&amp;ROW())=C93),1,IF(AND(INDIRECT(A73&amp;ROW())=B95,INDIRECT(A96&amp;ROW())=C94),1,0)))</f>
        <v>1</v>
      </c>
      <c r="J638">
        <f ca="1">IF(AND(INDIRECT(A73&amp;ROW())=B95,INDIRECT(A96&amp;ROW())=C95),1,IF(AND(INDIRECT(A73&amp;ROW())=B95,INDIRECT(A96&amp;ROW())=C96),1,0))</f>
        <v>0</v>
      </c>
      <c r="K638">
        <f ca="1">DAYS360(INDIRECT(C68&amp;ROW()),TODAY())</f>
        <v>687</v>
      </c>
      <c r="L638">
        <f ca="1">DAYS360(INDIRECT(C69&amp;ROW()),TODAY())</f>
        <v>689</v>
      </c>
      <c r="M638">
        <f ca="1">HYPERLINK(CONCATENATE("https://bugzilla.houston.hp.com:1181/bugzilla/show_bug.cgi?id=",INDIRECT(C70&amp;ROW())),INDIRECT(C70&amp;ROW()))</f>
        <v>63423</v>
      </c>
      <c r="N638">
        <v>63423</v>
      </c>
      <c r="O638" t="s">
        <v>45</v>
      </c>
      <c r="P638" t="s">
        <v>1183</v>
      </c>
      <c r="Q638" t="s">
        <v>39</v>
      </c>
      <c r="R638" t="s">
        <v>251</v>
      </c>
      <c r="S638" t="s">
        <v>236</v>
      </c>
      <c r="U638" s="6">
        <v>42160.309386574074</v>
      </c>
      <c r="V638" t="s">
        <v>35</v>
      </c>
      <c r="W638" t="s">
        <v>17</v>
      </c>
      <c r="X638" s="6">
        <v>42158.957037037035</v>
      </c>
      <c r="Y638" t="s">
        <v>801</v>
      </c>
      <c r="AB638" t="s">
        <v>201</v>
      </c>
      <c r="AC638" t="s">
        <v>247</v>
      </c>
      <c r="AD638" t="s">
        <v>227</v>
      </c>
      <c r="AE638" t="s">
        <v>226</v>
      </c>
      <c r="AG638" t="s">
        <v>121</v>
      </c>
      <c r="AH638" t="s">
        <v>327</v>
      </c>
      <c r="AI638" t="s">
        <v>121</v>
      </c>
      <c r="AJ638" t="s">
        <v>715</v>
      </c>
      <c r="AK638" t="s">
        <v>121</v>
      </c>
    </row>
    <row r="639" spans="9:37" x14ac:dyDescent="0.3">
      <c r="I639">
        <f ca="1">IF(OR(INDIRECT(A73&amp;ROW())=B93,INDIRECT(A73&amp;ROW())=B94),1,IF(AND(INDIRECT(A73&amp;ROW())=B95,INDIRECT(A96&amp;ROW())=C93),1,IF(AND(INDIRECT(A73&amp;ROW())=B95,INDIRECT(A96&amp;ROW())=C94),1,0)))</f>
        <v>1</v>
      </c>
      <c r="J639">
        <f ca="1">IF(AND(INDIRECT(A73&amp;ROW())=B95,INDIRECT(A96&amp;ROW())=C95),1,IF(AND(INDIRECT(A73&amp;ROW())=B95,INDIRECT(A96&amp;ROW())=C96),1,0))</f>
        <v>0</v>
      </c>
      <c r="K639">
        <f ca="1">DAYS360(INDIRECT(C68&amp;ROW()),TODAY())</f>
        <v>687</v>
      </c>
      <c r="L639">
        <f ca="1">DAYS360(INDIRECT(C69&amp;ROW()),TODAY())</f>
        <v>688</v>
      </c>
      <c r="M639">
        <f ca="1">HYPERLINK(CONCATENATE("https://bugzilla.houston.hp.com:1181/bugzilla/show_bug.cgi?id=",INDIRECT(C70&amp;ROW())),INDIRECT(C70&amp;ROW()))</f>
        <v>63435</v>
      </c>
      <c r="N639">
        <v>63435</v>
      </c>
      <c r="O639" t="s">
        <v>56</v>
      </c>
      <c r="P639" t="s">
        <v>1182</v>
      </c>
      <c r="Q639" t="s">
        <v>39</v>
      </c>
      <c r="R639" t="s">
        <v>248</v>
      </c>
      <c r="S639" t="s">
        <v>552</v>
      </c>
      <c r="U639" s="6">
        <v>42160.398842592593</v>
      </c>
      <c r="V639" t="s">
        <v>18</v>
      </c>
      <c r="W639" t="s">
        <v>248</v>
      </c>
      <c r="X639" s="6">
        <v>42159.017280092594</v>
      </c>
      <c r="Y639" t="s">
        <v>793</v>
      </c>
      <c r="AB639" t="s">
        <v>201</v>
      </c>
      <c r="AC639" t="s">
        <v>247</v>
      </c>
      <c r="AD639" t="s">
        <v>220</v>
      </c>
      <c r="AE639" t="s">
        <v>219</v>
      </c>
      <c r="AG639" t="s">
        <v>121</v>
      </c>
      <c r="AH639" t="s">
        <v>327</v>
      </c>
      <c r="AI639" t="s">
        <v>121</v>
      </c>
      <c r="AJ639" t="s">
        <v>715</v>
      </c>
      <c r="AK639" t="s">
        <v>121</v>
      </c>
    </row>
    <row r="640" spans="9:37" x14ac:dyDescent="0.3">
      <c r="I640">
        <f ca="1">IF(OR(INDIRECT(A73&amp;ROW())=B93,INDIRECT(A73&amp;ROW())=B94),1,IF(AND(INDIRECT(A73&amp;ROW())=B95,INDIRECT(A96&amp;ROW())=C93),1,IF(AND(INDIRECT(A73&amp;ROW())=B95,INDIRECT(A96&amp;ROW())=C94),1,0)))</f>
        <v>1</v>
      </c>
      <c r="J640">
        <f ca="1">IF(AND(INDIRECT(A73&amp;ROW())=B95,INDIRECT(A96&amp;ROW())=C95),1,IF(AND(INDIRECT(A73&amp;ROW())=B95,INDIRECT(A96&amp;ROW())=C96),1,0))</f>
        <v>0</v>
      </c>
      <c r="K640">
        <f ca="1">DAYS360(INDIRECT(C68&amp;ROW()),TODAY())</f>
        <v>687</v>
      </c>
      <c r="L640">
        <f ca="1">DAYS360(INDIRECT(C69&amp;ROW()),TODAY())</f>
        <v>688</v>
      </c>
      <c r="M640">
        <f ca="1">HYPERLINK(CONCATENATE("https://bugzilla.houston.hp.com:1181/bugzilla/show_bug.cgi?id=",INDIRECT(C70&amp;ROW())),INDIRECT(C70&amp;ROW()))</f>
        <v>63460</v>
      </c>
      <c r="N640">
        <v>63460</v>
      </c>
      <c r="O640" t="s">
        <v>45</v>
      </c>
      <c r="P640" t="s">
        <v>1181</v>
      </c>
      <c r="Q640" t="s">
        <v>39</v>
      </c>
      <c r="R640" t="s">
        <v>248</v>
      </c>
      <c r="S640" t="s">
        <v>784</v>
      </c>
      <c r="U640" s="6">
        <v>42160.456469907411</v>
      </c>
      <c r="V640" t="s">
        <v>18</v>
      </c>
      <c r="W640" t="s">
        <v>17</v>
      </c>
      <c r="X640" s="6">
        <v>42159.356446759259</v>
      </c>
      <c r="Y640" t="s">
        <v>801</v>
      </c>
      <c r="AB640" t="s">
        <v>201</v>
      </c>
      <c r="AC640" t="s">
        <v>247</v>
      </c>
      <c r="AD640" t="s">
        <v>227</v>
      </c>
      <c r="AE640" t="s">
        <v>226</v>
      </c>
      <c r="AG640" t="s">
        <v>121</v>
      </c>
      <c r="AH640" t="s">
        <v>327</v>
      </c>
      <c r="AI640" t="s">
        <v>121</v>
      </c>
      <c r="AJ640" t="s">
        <v>715</v>
      </c>
      <c r="AK640" t="s">
        <v>121</v>
      </c>
    </row>
    <row r="641" spans="9:37" x14ac:dyDescent="0.3">
      <c r="I641">
        <f ca="1">IF(OR(INDIRECT(A73&amp;ROW())=B93,INDIRECT(A73&amp;ROW())=B94),1,IF(AND(INDIRECT(A73&amp;ROW())=B95,INDIRECT(A96&amp;ROW())=C93),1,IF(AND(INDIRECT(A73&amp;ROW())=B95,INDIRECT(A96&amp;ROW())=C94),1,0)))</f>
        <v>0</v>
      </c>
      <c r="J641">
        <f ca="1">IF(AND(INDIRECT(A73&amp;ROW())=B95,INDIRECT(A96&amp;ROW())=C95),1,IF(AND(INDIRECT(A73&amp;ROW())=B95,INDIRECT(A96&amp;ROW())=C96),1,0))</f>
        <v>1</v>
      </c>
      <c r="K641">
        <f ca="1">DAYS360(INDIRECT(C68&amp;ROW()),TODAY())</f>
        <v>675</v>
      </c>
      <c r="L641">
        <f ca="1">DAYS360(INDIRECT(C69&amp;ROW()),TODAY())</f>
        <v>688</v>
      </c>
      <c r="M641">
        <f ca="1">HYPERLINK(CONCATENATE("https://bugzilla.houston.hp.com:1181/bugzilla/show_bug.cgi?id=",INDIRECT(C70&amp;ROW())),INDIRECT(C70&amp;ROW()))</f>
        <v>63480</v>
      </c>
      <c r="N641">
        <v>63480</v>
      </c>
      <c r="O641" t="s">
        <v>164</v>
      </c>
      <c r="P641" t="s">
        <v>1174</v>
      </c>
      <c r="Q641" t="s">
        <v>25</v>
      </c>
      <c r="R641" t="s">
        <v>251</v>
      </c>
      <c r="S641" t="s">
        <v>1102</v>
      </c>
      <c r="U641" s="6">
        <v>42172.623206018521</v>
      </c>
      <c r="V641" t="s">
        <v>35</v>
      </c>
      <c r="W641" t="s">
        <v>17</v>
      </c>
      <c r="X641" s="6">
        <v>42159.568333333336</v>
      </c>
      <c r="Y641" t="s">
        <v>125</v>
      </c>
      <c r="AB641" t="s">
        <v>201</v>
      </c>
      <c r="AC641" t="s">
        <v>247</v>
      </c>
      <c r="AD641" t="s">
        <v>220</v>
      </c>
      <c r="AE641" t="s">
        <v>219</v>
      </c>
      <c r="AG641" t="s">
        <v>121</v>
      </c>
      <c r="AH641" t="s">
        <v>327</v>
      </c>
      <c r="AI641" t="s">
        <v>121</v>
      </c>
      <c r="AJ641" t="s">
        <v>716</v>
      </c>
      <c r="AK641" t="s">
        <v>121</v>
      </c>
    </row>
    <row r="642" spans="9:37" x14ac:dyDescent="0.3">
      <c r="I642">
        <f ca="1">IF(OR(INDIRECT(A73&amp;ROW())=B93,INDIRECT(A73&amp;ROW())=B94),1,IF(AND(INDIRECT(A73&amp;ROW())=B95,INDIRECT(A96&amp;ROW())=C93),1,IF(AND(INDIRECT(A73&amp;ROW())=B95,INDIRECT(A96&amp;ROW())=C94),1,0)))</f>
        <v>0</v>
      </c>
      <c r="J642">
        <f ca="1">IF(AND(INDIRECT(A73&amp;ROW())=B95,INDIRECT(A96&amp;ROW())=C95),1,IF(AND(INDIRECT(A73&amp;ROW())=B95,INDIRECT(A96&amp;ROW())=C96),1,0))</f>
        <v>0</v>
      </c>
      <c r="K642">
        <f ca="1">DAYS360(INDIRECT(C68&amp;ROW()),TODAY())</f>
        <v>687</v>
      </c>
      <c r="L642">
        <f ca="1">DAYS360(INDIRECT(C69&amp;ROW()),TODAY())</f>
        <v>688</v>
      </c>
      <c r="M642">
        <f ca="1">HYPERLINK(CONCATENATE("https://bugzilla.houston.hp.com:1181/bugzilla/show_bug.cgi?id=",INDIRECT(C70&amp;ROW())),INDIRECT(C70&amp;ROW()))</f>
        <v>63486</v>
      </c>
      <c r="N642">
        <v>63486</v>
      </c>
      <c r="O642" t="s">
        <v>22</v>
      </c>
      <c r="P642" t="s">
        <v>1173</v>
      </c>
      <c r="Q642" t="s">
        <v>16</v>
      </c>
      <c r="R642" t="s">
        <v>251</v>
      </c>
      <c r="S642" t="s">
        <v>1172</v>
      </c>
      <c r="U642" s="6">
        <v>42160.420474537037</v>
      </c>
      <c r="V642" t="s">
        <v>18</v>
      </c>
      <c r="W642" t="s">
        <v>783</v>
      </c>
      <c r="X642" s="6">
        <v>42159.706087962964</v>
      </c>
      <c r="Y642" t="s">
        <v>244</v>
      </c>
      <c r="AB642" t="s">
        <v>201</v>
      </c>
      <c r="AC642" t="s">
        <v>247</v>
      </c>
      <c r="AD642" t="s">
        <v>222</v>
      </c>
      <c r="AE642" t="s">
        <v>240</v>
      </c>
      <c r="AG642" t="s">
        <v>121</v>
      </c>
      <c r="AH642" t="s">
        <v>327</v>
      </c>
      <c r="AI642" t="s">
        <v>121</v>
      </c>
      <c r="AJ642" t="s">
        <v>717</v>
      </c>
      <c r="AK642" t="s">
        <v>121</v>
      </c>
    </row>
    <row r="643" spans="9:37" x14ac:dyDescent="0.3">
      <c r="I643">
        <f ca="1">IF(OR(INDIRECT(A73&amp;ROW())=B93,INDIRECT(A73&amp;ROW())=B94),1,IF(AND(INDIRECT(A73&amp;ROW())=B95,INDIRECT(A96&amp;ROW())=C93),1,IF(AND(INDIRECT(A73&amp;ROW())=B95,INDIRECT(A96&amp;ROW())=C94),1,0)))</f>
        <v>0</v>
      </c>
      <c r="J643">
        <f ca="1">IF(AND(INDIRECT(A73&amp;ROW())=B95,INDIRECT(A96&amp;ROW())=C95),1,IF(AND(INDIRECT(A73&amp;ROW())=B95,INDIRECT(A96&amp;ROW())=C96),1,0))</f>
        <v>0</v>
      </c>
      <c r="K643">
        <f ca="1">DAYS360(INDIRECT(C68&amp;ROW()),TODAY())</f>
        <v>687</v>
      </c>
      <c r="L643">
        <f ca="1">DAYS360(INDIRECT(C69&amp;ROW()),TODAY())</f>
        <v>687</v>
      </c>
      <c r="M643">
        <f ca="1">HYPERLINK(CONCATENATE("https://bugzilla.houston.hp.com:1181/bugzilla/show_bug.cgi?id=",INDIRECT(C70&amp;ROW())),INDIRECT(C70&amp;ROW()))</f>
        <v>63494</v>
      </c>
      <c r="N643">
        <v>63494</v>
      </c>
      <c r="O643" t="s">
        <v>22</v>
      </c>
      <c r="P643" t="s">
        <v>1171</v>
      </c>
      <c r="Q643" t="s">
        <v>16</v>
      </c>
      <c r="R643" t="s">
        <v>579</v>
      </c>
      <c r="S643" t="s">
        <v>552</v>
      </c>
      <c r="U643" s="6">
        <v>42160.458101851851</v>
      </c>
      <c r="V643" t="s">
        <v>18</v>
      </c>
      <c r="W643" t="s">
        <v>783</v>
      </c>
      <c r="X643" s="6">
        <v>42160.017094907409</v>
      </c>
      <c r="Y643" t="s">
        <v>244</v>
      </c>
      <c r="AB643" t="s">
        <v>201</v>
      </c>
      <c r="AC643" t="s">
        <v>247</v>
      </c>
      <c r="AD643" t="s">
        <v>222</v>
      </c>
      <c r="AE643" t="s">
        <v>240</v>
      </c>
      <c r="AG643" t="s">
        <v>121</v>
      </c>
      <c r="AH643" t="s">
        <v>327</v>
      </c>
      <c r="AI643" t="s">
        <v>121</v>
      </c>
      <c r="AJ643" t="s">
        <v>717</v>
      </c>
      <c r="AK643" t="s">
        <v>121</v>
      </c>
    </row>
    <row r="644" spans="9:37" x14ac:dyDescent="0.3">
      <c r="I644">
        <f ca="1">IF(OR(INDIRECT(A73&amp;ROW())=B93,INDIRECT(A73&amp;ROW())=B94),1,IF(AND(INDIRECT(A73&amp;ROW())=B95,INDIRECT(A96&amp;ROW())=C93),1,IF(AND(INDIRECT(A73&amp;ROW())=B95,INDIRECT(A96&amp;ROW())=C94),1,0)))</f>
        <v>0</v>
      </c>
      <c r="J644">
        <f ca="1">IF(AND(INDIRECT(A73&amp;ROW())=B95,INDIRECT(A96&amp;ROW())=C95),1,IF(AND(INDIRECT(A73&amp;ROW())=B95,INDIRECT(A96&amp;ROW())=C96),1,0))</f>
        <v>0</v>
      </c>
      <c r="K644">
        <f ca="1">DAYS360(INDIRECT(C68&amp;ROW()),TODAY())</f>
        <v>687</v>
      </c>
      <c r="L644">
        <f ca="1">DAYS360(INDIRECT(C69&amp;ROW()),TODAY())</f>
        <v>687</v>
      </c>
      <c r="M644">
        <f ca="1">HYPERLINK(CONCATENATE("https://bugzilla.houston.hp.com:1181/bugzilla/show_bug.cgi?id=",INDIRECT(C70&amp;ROW())),INDIRECT(C70&amp;ROW()))</f>
        <v>63495</v>
      </c>
      <c r="N644">
        <v>63495</v>
      </c>
      <c r="O644" t="s">
        <v>22</v>
      </c>
      <c r="P644" t="s">
        <v>1170</v>
      </c>
      <c r="Q644" t="s">
        <v>16</v>
      </c>
      <c r="R644" t="s">
        <v>783</v>
      </c>
      <c r="S644" t="s">
        <v>552</v>
      </c>
      <c r="U644" s="6">
        <v>42160.458090277774</v>
      </c>
      <c r="V644" t="s">
        <v>18</v>
      </c>
      <c r="W644" t="s">
        <v>783</v>
      </c>
      <c r="X644" s="6">
        <v>42160.017152777778</v>
      </c>
      <c r="Y644" t="s">
        <v>244</v>
      </c>
      <c r="AB644" t="s">
        <v>201</v>
      </c>
      <c r="AC644" t="s">
        <v>247</v>
      </c>
      <c r="AD644" t="s">
        <v>222</v>
      </c>
      <c r="AE644" t="s">
        <v>240</v>
      </c>
      <c r="AG644" t="s">
        <v>121</v>
      </c>
      <c r="AH644" t="s">
        <v>327</v>
      </c>
      <c r="AI644" t="s">
        <v>121</v>
      </c>
      <c r="AJ644" t="s">
        <v>717</v>
      </c>
      <c r="AK644" t="s">
        <v>121</v>
      </c>
    </row>
    <row r="645" spans="9:37" x14ac:dyDescent="0.3">
      <c r="I645">
        <f ca="1">IF(OR(INDIRECT(A73&amp;ROW())=B93,INDIRECT(A73&amp;ROW())=B94),1,IF(AND(INDIRECT(A73&amp;ROW())=B95,INDIRECT(A96&amp;ROW())=C93),1,IF(AND(INDIRECT(A73&amp;ROW())=B95,INDIRECT(A96&amp;ROW())=C94),1,0)))</f>
        <v>0</v>
      </c>
      <c r="J645">
        <f ca="1">IF(AND(INDIRECT(A73&amp;ROW())=B95,INDIRECT(A96&amp;ROW())=C95),1,IF(AND(INDIRECT(A73&amp;ROW())=B95,INDIRECT(A96&amp;ROW())=C96),1,0))</f>
        <v>0</v>
      </c>
      <c r="K645">
        <f ca="1">DAYS360(INDIRECT(C68&amp;ROW()),TODAY())</f>
        <v>687</v>
      </c>
      <c r="L645">
        <f ca="1">DAYS360(INDIRECT(C69&amp;ROW()),TODAY())</f>
        <v>687</v>
      </c>
      <c r="M645">
        <f ca="1">HYPERLINK(CONCATENATE("https://bugzilla.houston.hp.com:1181/bugzilla/show_bug.cgi?id=",INDIRECT(C70&amp;ROW())),INDIRECT(C70&amp;ROW()))</f>
        <v>63496</v>
      </c>
      <c r="N645">
        <v>63496</v>
      </c>
      <c r="O645" t="s">
        <v>22</v>
      </c>
      <c r="P645" t="s">
        <v>1169</v>
      </c>
      <c r="Q645" t="s">
        <v>16</v>
      </c>
      <c r="R645" t="s">
        <v>248</v>
      </c>
      <c r="S645" t="s">
        <v>552</v>
      </c>
      <c r="U645" s="6">
        <v>42160.458078703705</v>
      </c>
      <c r="V645" t="s">
        <v>18</v>
      </c>
      <c r="W645" t="s">
        <v>783</v>
      </c>
      <c r="X645" s="6">
        <v>42160.017199074071</v>
      </c>
      <c r="Y645" t="s">
        <v>244</v>
      </c>
      <c r="AB645" t="s">
        <v>201</v>
      </c>
      <c r="AC645" t="s">
        <v>247</v>
      </c>
      <c r="AD645" t="s">
        <v>222</v>
      </c>
      <c r="AE645" t="s">
        <v>240</v>
      </c>
      <c r="AG645" t="s">
        <v>121</v>
      </c>
      <c r="AH645" t="s">
        <v>327</v>
      </c>
      <c r="AI645" t="s">
        <v>121</v>
      </c>
      <c r="AJ645" t="s">
        <v>717</v>
      </c>
      <c r="AK645" t="s">
        <v>121</v>
      </c>
    </row>
    <row r="646" spans="9:37" x14ac:dyDescent="0.3">
      <c r="I646">
        <f ca="1">IF(OR(INDIRECT(A73&amp;ROW())=B93,INDIRECT(A73&amp;ROW())=B94),1,IF(AND(INDIRECT(A73&amp;ROW())=B95,INDIRECT(A96&amp;ROW())=C93),1,IF(AND(INDIRECT(A73&amp;ROW())=B95,INDIRECT(A96&amp;ROW())=C94),1,0)))</f>
        <v>0</v>
      </c>
      <c r="J646">
        <f ca="1">IF(AND(INDIRECT(A73&amp;ROW())=B95,INDIRECT(A96&amp;ROW())=C95),1,IF(AND(INDIRECT(A73&amp;ROW())=B95,INDIRECT(A96&amp;ROW())=C96),1,0))</f>
        <v>1</v>
      </c>
      <c r="K646">
        <f ca="1">DAYS360(INDIRECT(C68&amp;ROW()),TODAY())</f>
        <v>676</v>
      </c>
      <c r="L646">
        <f ca="1">DAYS360(INDIRECT(C69&amp;ROW()),TODAY())</f>
        <v>687</v>
      </c>
      <c r="M646">
        <f ca="1">HYPERLINK(CONCATENATE("https://bugzilla.houston.hp.com:1181/bugzilla/show_bug.cgi?id=",INDIRECT(C70&amp;ROW())),INDIRECT(C70&amp;ROW()))</f>
        <v>63527</v>
      </c>
      <c r="N646">
        <v>63527</v>
      </c>
      <c r="O646" t="s">
        <v>56</v>
      </c>
      <c r="P646" t="s">
        <v>1168</v>
      </c>
      <c r="Q646" t="s">
        <v>25</v>
      </c>
      <c r="R646" t="s">
        <v>579</v>
      </c>
      <c r="S646" t="s">
        <v>552</v>
      </c>
      <c r="U646" s="6">
        <v>42171.544583333336</v>
      </c>
      <c r="V646" t="s">
        <v>18</v>
      </c>
      <c r="W646" t="s">
        <v>17</v>
      </c>
      <c r="X646" s="6">
        <v>42160.408715277779</v>
      </c>
      <c r="Y646" t="s">
        <v>125</v>
      </c>
      <c r="AB646" t="s">
        <v>201</v>
      </c>
      <c r="AC646" t="s">
        <v>247</v>
      </c>
      <c r="AD646" t="s">
        <v>220</v>
      </c>
      <c r="AE646" t="s">
        <v>219</v>
      </c>
      <c r="AG646" t="s">
        <v>121</v>
      </c>
      <c r="AH646" t="s">
        <v>327</v>
      </c>
      <c r="AI646" t="s">
        <v>121</v>
      </c>
      <c r="AJ646" t="s">
        <v>716</v>
      </c>
      <c r="AK646" t="s">
        <v>121</v>
      </c>
    </row>
    <row r="647" spans="9:37" x14ac:dyDescent="0.3">
      <c r="I647">
        <f ca="1">IF(OR(INDIRECT(A73&amp;ROW())=B93,INDIRECT(A73&amp;ROW())=B94),1,IF(AND(INDIRECT(A73&amp;ROW())=B95,INDIRECT(A96&amp;ROW())=C93),1,IF(AND(INDIRECT(A73&amp;ROW())=B95,INDIRECT(A96&amp;ROW())=C94),1,0)))</f>
        <v>1</v>
      </c>
      <c r="J647">
        <f ca="1">IF(AND(INDIRECT(A73&amp;ROW())=B95,INDIRECT(A96&amp;ROW())=C95),1,IF(AND(INDIRECT(A73&amp;ROW())=B95,INDIRECT(A96&amp;ROW())=C96),1,0))</f>
        <v>0</v>
      </c>
      <c r="K647">
        <f ca="1">DAYS360(INDIRECT(C68&amp;ROW()),TODAY())</f>
        <v>675</v>
      </c>
      <c r="L647">
        <f ca="1">DAYS360(INDIRECT(C69&amp;ROW()),TODAY())</f>
        <v>687</v>
      </c>
      <c r="M647">
        <f ca="1">HYPERLINK(CONCATENATE("https://bugzilla.houston.hp.com:1181/bugzilla/show_bug.cgi?id=",INDIRECT(C70&amp;ROW())),INDIRECT(C70&amp;ROW()))</f>
        <v>63528</v>
      </c>
      <c r="N647">
        <v>63528</v>
      </c>
      <c r="O647" t="s">
        <v>56</v>
      </c>
      <c r="P647" t="s">
        <v>1167</v>
      </c>
      <c r="Q647" t="s">
        <v>25</v>
      </c>
      <c r="R647" t="s">
        <v>783</v>
      </c>
      <c r="S647" t="s">
        <v>552</v>
      </c>
      <c r="U647" s="6">
        <v>42172.631435185183</v>
      </c>
      <c r="V647" t="s">
        <v>18</v>
      </c>
      <c r="W647" t="s">
        <v>17</v>
      </c>
      <c r="X647" s="6">
        <v>42160.408842592595</v>
      </c>
      <c r="Y647" t="s">
        <v>125</v>
      </c>
      <c r="AB647" t="s">
        <v>200</v>
      </c>
      <c r="AC647" t="s">
        <v>247</v>
      </c>
      <c r="AD647" t="s">
        <v>220</v>
      </c>
      <c r="AE647" t="s">
        <v>219</v>
      </c>
      <c r="AG647" t="s">
        <v>1082</v>
      </c>
      <c r="AH647" t="s">
        <v>327</v>
      </c>
      <c r="AI647" t="s">
        <v>121</v>
      </c>
      <c r="AJ647" t="s">
        <v>715</v>
      </c>
      <c r="AK647" t="s">
        <v>121</v>
      </c>
    </row>
    <row r="648" spans="9:37" x14ac:dyDescent="0.3">
      <c r="I648">
        <f ca="1">IF(OR(INDIRECT(A73&amp;ROW())=B93,INDIRECT(A73&amp;ROW())=B94),1,IF(AND(INDIRECT(A73&amp;ROW())=B95,INDIRECT(A96&amp;ROW())=C93),1,IF(AND(INDIRECT(A73&amp;ROW())=B95,INDIRECT(A96&amp;ROW())=C94),1,0)))</f>
        <v>0</v>
      </c>
      <c r="J648">
        <f ca="1">IF(AND(INDIRECT(A73&amp;ROW())=B95,INDIRECT(A96&amp;ROW())=C95),1,IF(AND(INDIRECT(A73&amp;ROW())=B95,INDIRECT(A96&amp;ROW())=C96),1,0))</f>
        <v>1</v>
      </c>
      <c r="K648">
        <f ca="1">DAYS360(INDIRECT(C68&amp;ROW()),TODAY())</f>
        <v>676</v>
      </c>
      <c r="L648">
        <f ca="1">DAYS360(INDIRECT(C69&amp;ROW()),TODAY())</f>
        <v>687</v>
      </c>
      <c r="M648">
        <f ca="1">HYPERLINK(CONCATENATE("https://bugzilla.houston.hp.com:1181/bugzilla/show_bug.cgi?id=",INDIRECT(C70&amp;ROW())),INDIRECT(C70&amp;ROW()))</f>
        <v>63529</v>
      </c>
      <c r="N648">
        <v>63529</v>
      </c>
      <c r="O648" t="s">
        <v>56</v>
      </c>
      <c r="P648" t="s">
        <v>1166</v>
      </c>
      <c r="Q648" t="s">
        <v>25</v>
      </c>
      <c r="R648" t="s">
        <v>248</v>
      </c>
      <c r="S648" t="s">
        <v>552</v>
      </c>
      <c r="U648" s="6">
        <v>42171.544548611113</v>
      </c>
      <c r="V648" t="s">
        <v>18</v>
      </c>
      <c r="W648" t="s">
        <v>17</v>
      </c>
      <c r="X648" s="6">
        <v>42160.40896990741</v>
      </c>
      <c r="Y648" t="s">
        <v>125</v>
      </c>
      <c r="AB648" t="s">
        <v>201</v>
      </c>
      <c r="AC648" t="s">
        <v>247</v>
      </c>
      <c r="AD648" t="s">
        <v>220</v>
      </c>
      <c r="AE648" t="s">
        <v>219</v>
      </c>
      <c r="AG648" t="s">
        <v>121</v>
      </c>
      <c r="AH648" t="s">
        <v>327</v>
      </c>
      <c r="AI648" t="s">
        <v>121</v>
      </c>
      <c r="AJ648" t="s">
        <v>716</v>
      </c>
      <c r="AK648" t="s">
        <v>121</v>
      </c>
    </row>
    <row r="649" spans="9:37" x14ac:dyDescent="0.3">
      <c r="I649">
        <f ca="1">IF(OR(INDIRECT(A73&amp;ROW())=B93,INDIRECT(A73&amp;ROW())=B94),1,IF(AND(INDIRECT(A73&amp;ROW())=B95,INDIRECT(A96&amp;ROW())=C93),1,IF(AND(INDIRECT(A73&amp;ROW())=B95,INDIRECT(A96&amp;ROW())=C94),1,0)))</f>
        <v>0</v>
      </c>
      <c r="J649">
        <f ca="1">IF(AND(INDIRECT(A73&amp;ROW())=B95,INDIRECT(A96&amp;ROW())=C95),1,IF(AND(INDIRECT(A73&amp;ROW())=B95,INDIRECT(A96&amp;ROW())=C96),1,0))</f>
        <v>0</v>
      </c>
      <c r="K649">
        <f ca="1">DAYS360(INDIRECT(C68&amp;ROW()),TODAY())</f>
        <v>687</v>
      </c>
      <c r="L649">
        <f ca="1">DAYS360(INDIRECT(C69&amp;ROW()),TODAY())</f>
        <v>687</v>
      </c>
      <c r="M649">
        <f ca="1">HYPERLINK(CONCATENATE("https://bugzilla.houston.hp.com:1181/bugzilla/show_bug.cgi?id=",INDIRECT(C70&amp;ROW())),INDIRECT(C70&amp;ROW()))</f>
        <v>63582</v>
      </c>
      <c r="N649">
        <v>63582</v>
      </c>
      <c r="O649" t="s">
        <v>292</v>
      </c>
      <c r="P649" t="s">
        <v>1161</v>
      </c>
      <c r="Q649" t="s">
        <v>16</v>
      </c>
      <c r="R649" t="s">
        <v>251</v>
      </c>
      <c r="S649" t="s">
        <v>292</v>
      </c>
      <c r="U649" s="6">
        <v>42160.545601851853</v>
      </c>
      <c r="V649" t="s">
        <v>18</v>
      </c>
      <c r="W649" t="s">
        <v>783</v>
      </c>
      <c r="X649" s="6">
        <v>42160.536643518521</v>
      </c>
      <c r="Y649" t="s">
        <v>122</v>
      </c>
      <c r="AB649" t="s">
        <v>201</v>
      </c>
      <c r="AC649" t="s">
        <v>247</v>
      </c>
      <c r="AD649" t="s">
        <v>220</v>
      </c>
      <c r="AE649" t="s">
        <v>219</v>
      </c>
      <c r="AG649" t="s">
        <v>121</v>
      </c>
      <c r="AH649" t="s">
        <v>327</v>
      </c>
      <c r="AI649" t="s">
        <v>121</v>
      </c>
      <c r="AJ649" t="s">
        <v>717</v>
      </c>
      <c r="AK649" t="s">
        <v>121</v>
      </c>
    </row>
    <row r="650" spans="9:37" x14ac:dyDescent="0.3">
      <c r="I650">
        <f ca="1">IF(OR(INDIRECT(A73&amp;ROW())=B93,INDIRECT(A73&amp;ROW())=B94),1,IF(AND(INDIRECT(A73&amp;ROW())=B95,INDIRECT(A96&amp;ROW())=C93),1,IF(AND(INDIRECT(A73&amp;ROW())=B95,INDIRECT(A96&amp;ROW())=C94),1,0)))</f>
        <v>0</v>
      </c>
      <c r="J650">
        <f ca="1">IF(AND(INDIRECT(A73&amp;ROW())=B95,INDIRECT(A96&amp;ROW())=C95),1,IF(AND(INDIRECT(A73&amp;ROW())=B95,INDIRECT(A96&amp;ROW())=C96),1,0))</f>
        <v>0</v>
      </c>
      <c r="K650">
        <f ca="1">DAYS360(INDIRECT(C68&amp;ROW()),TODAY())</f>
        <v>687</v>
      </c>
      <c r="L650">
        <f ca="1">DAYS360(INDIRECT(C69&amp;ROW()),TODAY())</f>
        <v>687</v>
      </c>
      <c r="M650">
        <f ca="1">HYPERLINK(CONCATENATE("https://bugzilla.houston.hp.com:1181/bugzilla/show_bug.cgi?id=",INDIRECT(C70&amp;ROW())),INDIRECT(C70&amp;ROW()))</f>
        <v>63584</v>
      </c>
      <c r="N650">
        <v>63584</v>
      </c>
      <c r="O650" t="s">
        <v>292</v>
      </c>
      <c r="P650" t="s">
        <v>1160</v>
      </c>
      <c r="Q650" t="s">
        <v>16</v>
      </c>
      <c r="R650" t="s">
        <v>248</v>
      </c>
      <c r="S650" t="s">
        <v>552</v>
      </c>
      <c r="U650" s="6">
        <v>42160.545601851853</v>
      </c>
      <c r="V650" t="s">
        <v>18</v>
      </c>
      <c r="W650" t="s">
        <v>783</v>
      </c>
      <c r="X650" s="6">
        <v>42160.545601851853</v>
      </c>
      <c r="Y650" t="s">
        <v>122</v>
      </c>
      <c r="AB650" t="s">
        <v>201</v>
      </c>
      <c r="AC650" t="s">
        <v>247</v>
      </c>
      <c r="AD650" t="s">
        <v>220</v>
      </c>
      <c r="AE650" t="s">
        <v>219</v>
      </c>
      <c r="AG650" t="s">
        <v>121</v>
      </c>
      <c r="AH650" t="s">
        <v>327</v>
      </c>
      <c r="AI650" t="s">
        <v>121</v>
      </c>
      <c r="AJ650" t="s">
        <v>717</v>
      </c>
      <c r="AK650" t="s">
        <v>121</v>
      </c>
    </row>
    <row r="651" spans="9:37" x14ac:dyDescent="0.3">
      <c r="I651">
        <f ca="1">IF(OR(INDIRECT(A73&amp;ROW())=B93,INDIRECT(A73&amp;ROW())=B94),1,IF(AND(INDIRECT(A73&amp;ROW())=B95,INDIRECT(A96&amp;ROW())=C93),1,IF(AND(INDIRECT(A73&amp;ROW())=B95,INDIRECT(A96&amp;ROW())=C94),1,0)))</f>
        <v>0</v>
      </c>
      <c r="J651">
        <f ca="1">IF(AND(INDIRECT(A73&amp;ROW())=B95,INDIRECT(A96&amp;ROW())=C95),1,IF(AND(INDIRECT(A73&amp;ROW())=B95,INDIRECT(A96&amp;ROW())=C96),1,0))</f>
        <v>0</v>
      </c>
      <c r="K651">
        <f ca="1">DAYS360(INDIRECT(C68&amp;ROW()),TODAY())</f>
        <v>684</v>
      </c>
      <c r="L651">
        <f ca="1">DAYS360(INDIRECT(C69&amp;ROW()),TODAY())</f>
        <v>684</v>
      </c>
      <c r="M651">
        <f ca="1">HYPERLINK(CONCATENATE("https://bugzilla.houston.hp.com:1181/bugzilla/show_bug.cgi?id=",INDIRECT(C70&amp;ROW())),INDIRECT(C70&amp;ROW()))</f>
        <v>63655</v>
      </c>
      <c r="N651">
        <v>63655</v>
      </c>
      <c r="O651" t="s">
        <v>856</v>
      </c>
      <c r="P651" t="s">
        <v>1238</v>
      </c>
      <c r="Q651" t="s">
        <v>16</v>
      </c>
      <c r="R651" t="s">
        <v>248</v>
      </c>
      <c r="S651" t="s">
        <v>856</v>
      </c>
      <c r="U651" s="6">
        <v>42163.22283564815</v>
      </c>
      <c r="V651" t="s">
        <v>35</v>
      </c>
      <c r="W651" t="s">
        <v>248</v>
      </c>
      <c r="X651" s="6">
        <v>42163.215277777781</v>
      </c>
      <c r="Y651" t="s">
        <v>788</v>
      </c>
      <c r="AB651" t="s">
        <v>201</v>
      </c>
      <c r="AC651" t="s">
        <v>247</v>
      </c>
      <c r="AD651" t="s">
        <v>220</v>
      </c>
      <c r="AE651" t="s">
        <v>219</v>
      </c>
      <c r="AG651" t="s">
        <v>121</v>
      </c>
      <c r="AH651" t="s">
        <v>64</v>
      </c>
      <c r="AI651" t="s">
        <v>121</v>
      </c>
      <c r="AJ651" t="s">
        <v>717</v>
      </c>
      <c r="AK651" t="s">
        <v>121</v>
      </c>
    </row>
    <row r="652" spans="9:37" x14ac:dyDescent="0.3">
      <c r="I652">
        <f ca="1">IF(OR(INDIRECT(A73&amp;ROW())=B93,INDIRECT(A73&amp;ROW())=B94),1,IF(AND(INDIRECT(A73&amp;ROW())=B95,INDIRECT(A96&amp;ROW())=C93),1,IF(AND(INDIRECT(A73&amp;ROW())=B95,INDIRECT(A96&amp;ROW())=C94),1,0)))</f>
        <v>0</v>
      </c>
      <c r="J652">
        <f ca="1">IF(AND(INDIRECT(A73&amp;ROW())=B95,INDIRECT(A96&amp;ROW())=C95),1,IF(AND(INDIRECT(A73&amp;ROW())=B95,INDIRECT(A96&amp;ROW())=C96),1,0))</f>
        <v>0</v>
      </c>
      <c r="K652">
        <f ca="1">DAYS360(INDIRECT(C68&amp;ROW()),TODAY())</f>
        <v>684</v>
      </c>
      <c r="L652">
        <f ca="1">DAYS360(INDIRECT(C69&amp;ROW()),TODAY())</f>
        <v>684</v>
      </c>
      <c r="M652">
        <f ca="1">HYPERLINK(CONCATENATE("https://bugzilla.houston.hp.com:1181/bugzilla/show_bug.cgi?id=",INDIRECT(C70&amp;ROW())),INDIRECT(C70&amp;ROW()))</f>
        <v>63657</v>
      </c>
      <c r="N652">
        <v>63657</v>
      </c>
      <c r="O652" t="s">
        <v>856</v>
      </c>
      <c r="P652" t="s">
        <v>1237</v>
      </c>
      <c r="Q652" t="s">
        <v>16</v>
      </c>
      <c r="R652" t="s">
        <v>248</v>
      </c>
      <c r="S652" t="s">
        <v>856</v>
      </c>
      <c r="U652" s="6">
        <v>42163.227430555555</v>
      </c>
      <c r="V652" t="s">
        <v>18</v>
      </c>
      <c r="W652" t="s">
        <v>248</v>
      </c>
      <c r="X652" s="6">
        <v>42163.227430555555</v>
      </c>
      <c r="Y652" t="s">
        <v>788</v>
      </c>
      <c r="AB652" t="s">
        <v>201</v>
      </c>
      <c r="AC652" t="s">
        <v>247</v>
      </c>
      <c r="AD652" t="s">
        <v>220</v>
      </c>
      <c r="AE652" t="s">
        <v>219</v>
      </c>
      <c r="AG652" t="s">
        <v>121</v>
      </c>
      <c r="AH652" t="s">
        <v>64</v>
      </c>
      <c r="AI652" t="s">
        <v>121</v>
      </c>
      <c r="AJ652" t="s">
        <v>717</v>
      </c>
      <c r="AK652" t="s">
        <v>121</v>
      </c>
    </row>
    <row r="653" spans="9:37" x14ac:dyDescent="0.3">
      <c r="I653">
        <f ca="1">IF(OR(INDIRECT(A73&amp;ROW())=B93,INDIRECT(A73&amp;ROW())=B94),1,IF(AND(INDIRECT(A73&amp;ROW())=B95,INDIRECT(A96&amp;ROW())=C93),1,IF(AND(INDIRECT(A73&amp;ROW())=B95,INDIRECT(A96&amp;ROW())=C94),1,0)))</f>
        <v>1</v>
      </c>
      <c r="J653">
        <f ca="1">IF(AND(INDIRECT(A73&amp;ROW())=B95,INDIRECT(A96&amp;ROW())=C95),1,IF(AND(INDIRECT(A73&amp;ROW())=B95,INDIRECT(A96&amp;ROW())=C96),1,0))</f>
        <v>0</v>
      </c>
      <c r="K653">
        <f ca="1">DAYS360(INDIRECT(C68&amp;ROW()),TODAY())</f>
        <v>682</v>
      </c>
      <c r="L653">
        <f ca="1">DAYS360(INDIRECT(C69&amp;ROW()),TODAY())</f>
        <v>684</v>
      </c>
      <c r="M653">
        <f ca="1">HYPERLINK(CONCATENATE("https://bugzilla.houston.hp.com:1181/bugzilla/show_bug.cgi?id=",INDIRECT(C70&amp;ROW())),INDIRECT(C70&amp;ROW()))</f>
        <v>63709</v>
      </c>
      <c r="N653">
        <v>63709</v>
      </c>
      <c r="O653" t="s">
        <v>53</v>
      </c>
      <c r="P653" t="s">
        <v>1236</v>
      </c>
      <c r="Q653" t="s">
        <v>39</v>
      </c>
      <c r="R653" t="s">
        <v>251</v>
      </c>
      <c r="S653" t="s">
        <v>177</v>
      </c>
      <c r="U653" s="6">
        <v>42165.970775462964</v>
      </c>
      <c r="V653" t="s">
        <v>18</v>
      </c>
      <c r="W653" t="s">
        <v>783</v>
      </c>
      <c r="X653" s="6">
        <v>42163.646435185183</v>
      </c>
      <c r="Y653" t="s">
        <v>245</v>
      </c>
      <c r="AB653" t="s">
        <v>201</v>
      </c>
      <c r="AC653" t="s">
        <v>247</v>
      </c>
      <c r="AD653" t="s">
        <v>227</v>
      </c>
      <c r="AE653" t="s">
        <v>237</v>
      </c>
      <c r="AG653" t="s">
        <v>121</v>
      </c>
      <c r="AH653" t="s">
        <v>327</v>
      </c>
      <c r="AI653" t="s">
        <v>121</v>
      </c>
      <c r="AJ653" t="s">
        <v>715</v>
      </c>
      <c r="AK653" t="s">
        <v>121</v>
      </c>
    </row>
    <row r="654" spans="9:37" x14ac:dyDescent="0.3">
      <c r="I654">
        <f ca="1">IF(OR(INDIRECT(A73&amp;ROW())=B93,INDIRECT(A73&amp;ROW())=B94),1,IF(AND(INDIRECT(A73&amp;ROW())=B95,INDIRECT(A96&amp;ROW())=C93),1,IF(AND(INDIRECT(A73&amp;ROW())=B95,INDIRECT(A96&amp;ROW())=C94),1,0)))</f>
        <v>1</v>
      </c>
      <c r="J654">
        <f ca="1">IF(AND(INDIRECT(A73&amp;ROW())=B95,INDIRECT(A96&amp;ROW())=C95),1,IF(AND(INDIRECT(A73&amp;ROW())=B95,INDIRECT(A96&amp;ROW())=C96),1,0))</f>
        <v>0</v>
      </c>
      <c r="K654">
        <f ca="1">DAYS360(INDIRECT(C68&amp;ROW()),TODAY())</f>
        <v>682</v>
      </c>
      <c r="L654">
        <f ca="1">DAYS360(INDIRECT(C69&amp;ROW()),TODAY())</f>
        <v>683</v>
      </c>
      <c r="M654">
        <f ca="1">HYPERLINK(CONCATENATE("https://bugzilla.houston.hp.com:1181/bugzilla/show_bug.cgi?id=",INDIRECT(C70&amp;ROW())),INDIRECT(C70&amp;ROW()))</f>
        <v>63742</v>
      </c>
      <c r="N654">
        <v>63742</v>
      </c>
      <c r="O654" t="s">
        <v>53</v>
      </c>
      <c r="P654" t="s">
        <v>1235</v>
      </c>
      <c r="Q654" t="s">
        <v>39</v>
      </c>
      <c r="R654" t="s">
        <v>579</v>
      </c>
      <c r="S654" t="s">
        <v>552</v>
      </c>
      <c r="U654" s="6">
        <v>42165.970821759256</v>
      </c>
      <c r="V654" t="s">
        <v>18</v>
      </c>
      <c r="W654" t="s">
        <v>783</v>
      </c>
      <c r="X654" s="6">
        <v>42164.017245370371</v>
      </c>
      <c r="Y654" t="s">
        <v>245</v>
      </c>
      <c r="AB654" t="s">
        <v>201</v>
      </c>
      <c r="AC654" t="s">
        <v>247</v>
      </c>
      <c r="AD654" t="s">
        <v>227</v>
      </c>
      <c r="AE654" t="s">
        <v>237</v>
      </c>
      <c r="AG654" t="s">
        <v>121</v>
      </c>
      <c r="AH654" t="s">
        <v>327</v>
      </c>
      <c r="AI654" t="s">
        <v>121</v>
      </c>
      <c r="AJ654" t="s">
        <v>715</v>
      </c>
      <c r="AK654" t="s">
        <v>121</v>
      </c>
    </row>
    <row r="655" spans="9:37" x14ac:dyDescent="0.3">
      <c r="I655">
        <f ca="1">IF(OR(INDIRECT(A73&amp;ROW())=B93,INDIRECT(A73&amp;ROW())=B94),1,IF(AND(INDIRECT(A73&amp;ROW())=B95,INDIRECT(A96&amp;ROW())=C93),1,IF(AND(INDIRECT(A73&amp;ROW())=B95,INDIRECT(A96&amp;ROW())=C94),1,0)))</f>
        <v>1</v>
      </c>
      <c r="J655">
        <f ca="1">IF(AND(INDIRECT(A73&amp;ROW())=B95,INDIRECT(A96&amp;ROW())=C95),1,IF(AND(INDIRECT(A73&amp;ROW())=B95,INDIRECT(A96&amp;ROW())=C96),1,0))</f>
        <v>0</v>
      </c>
      <c r="K655">
        <f ca="1">DAYS360(INDIRECT(C68&amp;ROW()),TODAY())</f>
        <v>682</v>
      </c>
      <c r="L655">
        <f ca="1">DAYS360(INDIRECT(C69&amp;ROW()),TODAY())</f>
        <v>683</v>
      </c>
      <c r="M655">
        <f ca="1">HYPERLINK(CONCATENATE("https://bugzilla.houston.hp.com:1181/bugzilla/show_bug.cgi?id=",INDIRECT(C70&amp;ROW())),INDIRECT(C70&amp;ROW()))</f>
        <v>63743</v>
      </c>
      <c r="N655">
        <v>63743</v>
      </c>
      <c r="O655" t="s">
        <v>53</v>
      </c>
      <c r="P655" t="s">
        <v>1234</v>
      </c>
      <c r="Q655" t="s">
        <v>39</v>
      </c>
      <c r="R655" t="s">
        <v>248</v>
      </c>
      <c r="S655" t="s">
        <v>552</v>
      </c>
      <c r="U655" s="6">
        <v>42165.970821759256</v>
      </c>
      <c r="V655" t="s">
        <v>18</v>
      </c>
      <c r="W655" t="s">
        <v>783</v>
      </c>
      <c r="X655" s="6">
        <v>42164.017314814817</v>
      </c>
      <c r="Y655" t="s">
        <v>245</v>
      </c>
      <c r="AB655" t="s">
        <v>201</v>
      </c>
      <c r="AC655" t="s">
        <v>247</v>
      </c>
      <c r="AD655" t="s">
        <v>227</v>
      </c>
      <c r="AE655" t="s">
        <v>237</v>
      </c>
      <c r="AG655" t="s">
        <v>121</v>
      </c>
      <c r="AH655" t="s">
        <v>327</v>
      </c>
      <c r="AI655" t="s">
        <v>121</v>
      </c>
      <c r="AJ655" t="s">
        <v>715</v>
      </c>
      <c r="AK655" t="s">
        <v>121</v>
      </c>
    </row>
    <row r="656" spans="9:37" x14ac:dyDescent="0.3">
      <c r="I656">
        <f ca="1">IF(OR(INDIRECT(A73&amp;ROW())=B93,INDIRECT(A73&amp;ROW())=B94),1,IF(AND(INDIRECT(A73&amp;ROW())=B95,INDIRECT(A96&amp;ROW())=C93),1,IF(AND(INDIRECT(A73&amp;ROW())=B95,INDIRECT(A96&amp;ROW())=C94),1,0)))</f>
        <v>1</v>
      </c>
      <c r="J656">
        <f ca="1">IF(AND(INDIRECT(A73&amp;ROW())=B95,INDIRECT(A96&amp;ROW())=C95),1,IF(AND(INDIRECT(A73&amp;ROW())=B95,INDIRECT(A96&amp;ROW())=C96),1,0))</f>
        <v>0</v>
      </c>
      <c r="K656">
        <f ca="1">DAYS360(INDIRECT(C68&amp;ROW()),TODAY())</f>
        <v>683</v>
      </c>
      <c r="L656">
        <f ca="1">DAYS360(INDIRECT(C69&amp;ROW()),TODAY())</f>
        <v>683</v>
      </c>
      <c r="M656">
        <f ca="1">HYPERLINK(CONCATENATE("https://bugzilla.houston.hp.com:1181/bugzilla/show_bug.cgi?id=",INDIRECT(C70&amp;ROW())),INDIRECT(C70&amp;ROW()))</f>
        <v>63782</v>
      </c>
      <c r="N656">
        <v>63782</v>
      </c>
      <c r="O656" t="s">
        <v>1233</v>
      </c>
      <c r="P656" t="s">
        <v>1232</v>
      </c>
      <c r="Q656" t="s">
        <v>39</v>
      </c>
      <c r="R656" t="s">
        <v>248</v>
      </c>
      <c r="S656" t="s">
        <v>552</v>
      </c>
      <c r="U656" s="6">
        <v>42164.441678240742</v>
      </c>
      <c r="V656" t="s">
        <v>18</v>
      </c>
      <c r="W656" t="s">
        <v>248</v>
      </c>
      <c r="X656" s="6">
        <v>42164.441678240742</v>
      </c>
      <c r="Y656" t="s">
        <v>255</v>
      </c>
      <c r="AB656" t="s">
        <v>201</v>
      </c>
      <c r="AC656" t="s">
        <v>247</v>
      </c>
      <c r="AD656" t="s">
        <v>220</v>
      </c>
      <c r="AE656" t="s">
        <v>229</v>
      </c>
      <c r="AG656" t="s">
        <v>121</v>
      </c>
      <c r="AH656" t="s">
        <v>328</v>
      </c>
      <c r="AI656" t="s">
        <v>121</v>
      </c>
      <c r="AJ656" t="s">
        <v>715</v>
      </c>
      <c r="AK656" t="s">
        <v>121</v>
      </c>
    </row>
    <row r="657" spans="9:37" x14ac:dyDescent="0.3">
      <c r="I657">
        <f ca="1">IF(OR(INDIRECT(A73&amp;ROW())=B93,INDIRECT(A73&amp;ROW())=B94),1,IF(AND(INDIRECT(A73&amp;ROW())=B95,INDIRECT(A96&amp;ROW())=C93),1,IF(AND(INDIRECT(A73&amp;ROW())=B95,INDIRECT(A96&amp;ROW())=C94),1,0)))</f>
        <v>0</v>
      </c>
      <c r="J657">
        <f ca="1">IF(AND(INDIRECT(A73&amp;ROW())=B95,INDIRECT(A96&amp;ROW())=C95),1,IF(AND(INDIRECT(A73&amp;ROW())=B95,INDIRECT(A96&amp;ROW())=C96),1,0))</f>
        <v>1</v>
      </c>
      <c r="K657">
        <f ca="1">DAYS360(INDIRECT(C68&amp;ROW()),TODAY())</f>
        <v>683</v>
      </c>
      <c r="L657">
        <f ca="1">DAYS360(INDIRECT(C69&amp;ROW()),TODAY())</f>
        <v>683</v>
      </c>
      <c r="M657">
        <f ca="1">HYPERLINK(CONCATENATE("https://bugzilla.houston.hp.com:1181/bugzilla/show_bug.cgi?id=",INDIRECT(C70&amp;ROW())),INDIRECT(C70&amp;ROW()))</f>
        <v>63783</v>
      </c>
      <c r="N657">
        <v>63783</v>
      </c>
      <c r="O657" t="s">
        <v>56</v>
      </c>
      <c r="P657" t="s">
        <v>1231</v>
      </c>
      <c r="Q657" t="s">
        <v>25</v>
      </c>
      <c r="R657" t="s">
        <v>248</v>
      </c>
      <c r="S657" t="s">
        <v>552</v>
      </c>
      <c r="U657" s="6">
        <v>42164.444201388891</v>
      </c>
      <c r="V657" t="s">
        <v>18</v>
      </c>
      <c r="W657" t="s">
        <v>248</v>
      </c>
      <c r="X657" s="6">
        <v>42164.444201388891</v>
      </c>
      <c r="Y657" t="s">
        <v>124</v>
      </c>
      <c r="AB657" t="s">
        <v>201</v>
      </c>
      <c r="AC657" t="s">
        <v>247</v>
      </c>
      <c r="AD657" t="s">
        <v>220</v>
      </c>
      <c r="AE657" t="s">
        <v>219</v>
      </c>
      <c r="AG657" t="s">
        <v>121</v>
      </c>
      <c r="AH657" t="s">
        <v>327</v>
      </c>
      <c r="AI657" t="s">
        <v>121</v>
      </c>
      <c r="AJ657" t="s">
        <v>716</v>
      </c>
      <c r="AK657" t="s">
        <v>121</v>
      </c>
    </row>
    <row r="658" spans="9:37" x14ac:dyDescent="0.3">
      <c r="I658">
        <f ca="1">IF(OR(INDIRECT(A73&amp;ROW())=B93,INDIRECT(A73&amp;ROW())=B94),1,IF(AND(INDIRECT(A73&amp;ROW())=B95,INDIRECT(A96&amp;ROW())=C93),1,IF(AND(INDIRECT(A73&amp;ROW())=B95,INDIRECT(A96&amp;ROW())=C94),1,0)))</f>
        <v>1</v>
      </c>
      <c r="J658">
        <f ca="1">IF(AND(INDIRECT(A73&amp;ROW())=B95,INDIRECT(A96&amp;ROW())=C95),1,IF(AND(INDIRECT(A73&amp;ROW())=B95,INDIRECT(A96&amp;ROW())=C96),1,0))</f>
        <v>0</v>
      </c>
      <c r="K658">
        <f ca="1">DAYS360(INDIRECT(C68&amp;ROW()),TODAY())</f>
        <v>675</v>
      </c>
      <c r="L658">
        <f ca="1">DAYS360(INDIRECT(C69&amp;ROW()),TODAY())</f>
        <v>683</v>
      </c>
      <c r="M658">
        <f ca="1">HYPERLINK(CONCATENATE("https://bugzilla.houston.hp.com:1181/bugzilla/show_bug.cgi?id=",INDIRECT(C70&amp;ROW())),INDIRECT(C70&amp;ROW()))</f>
        <v>63791</v>
      </c>
      <c r="N658">
        <v>63791</v>
      </c>
      <c r="O658" t="s">
        <v>66</v>
      </c>
      <c r="P658" t="s">
        <v>1230</v>
      </c>
      <c r="Q658" t="s">
        <v>25</v>
      </c>
      <c r="R658" t="s">
        <v>251</v>
      </c>
      <c r="S658" t="s">
        <v>24</v>
      </c>
      <c r="U658" s="6">
        <v>42172.486215277779</v>
      </c>
      <c r="V658" t="s">
        <v>40</v>
      </c>
      <c r="W658" t="s">
        <v>783</v>
      </c>
      <c r="X658" s="6">
        <v>42164.610868055555</v>
      </c>
      <c r="Y658" t="s">
        <v>119</v>
      </c>
      <c r="AB658" t="s">
        <v>199</v>
      </c>
      <c r="AC658" t="s">
        <v>247</v>
      </c>
      <c r="AD658" t="s">
        <v>220</v>
      </c>
      <c r="AE658" t="s">
        <v>219</v>
      </c>
      <c r="AG658" t="s">
        <v>121</v>
      </c>
      <c r="AH658" t="s">
        <v>327</v>
      </c>
      <c r="AI658" t="s">
        <v>121</v>
      </c>
      <c r="AJ658" t="s">
        <v>715</v>
      </c>
      <c r="AK658" t="s">
        <v>121</v>
      </c>
    </row>
    <row r="659" spans="9:37" x14ac:dyDescent="0.3">
      <c r="I659">
        <f ca="1">IF(OR(INDIRECT(A73&amp;ROW())=B93,INDIRECT(A73&amp;ROW())=B94),1,IF(AND(INDIRECT(A73&amp;ROW())=B95,INDIRECT(A96&amp;ROW())=C93),1,IF(AND(INDIRECT(A73&amp;ROW())=B95,INDIRECT(A96&amp;ROW())=C94),1,0)))</f>
        <v>0</v>
      </c>
      <c r="J659">
        <f ca="1">IF(AND(INDIRECT(A73&amp;ROW())=B95,INDIRECT(A96&amp;ROW())=C95),1,IF(AND(INDIRECT(A73&amp;ROW())=B95,INDIRECT(A96&amp;ROW())=C96),1,0))</f>
        <v>1</v>
      </c>
      <c r="K659">
        <f ca="1">DAYS360(INDIRECT(C68&amp;ROW()),TODAY())</f>
        <v>682</v>
      </c>
      <c r="L659">
        <f ca="1">DAYS360(INDIRECT(C69&amp;ROW()),TODAY())</f>
        <v>682</v>
      </c>
      <c r="M659">
        <f ca="1">HYPERLINK(CONCATENATE("https://bugzilla.houston.hp.com:1181/bugzilla/show_bug.cgi?id=",INDIRECT(C70&amp;ROW())),INDIRECT(C70&amp;ROW()))</f>
        <v>63807</v>
      </c>
      <c r="N659">
        <v>63807</v>
      </c>
      <c r="O659" t="s">
        <v>56</v>
      </c>
      <c r="P659" t="s">
        <v>1229</v>
      </c>
      <c r="Q659" t="s">
        <v>25</v>
      </c>
      <c r="R659" t="s">
        <v>248</v>
      </c>
      <c r="S659" t="s">
        <v>552</v>
      </c>
      <c r="U659" s="6">
        <v>42165.060370370367</v>
      </c>
      <c r="V659" t="s">
        <v>18</v>
      </c>
      <c r="W659" t="s">
        <v>248</v>
      </c>
      <c r="X659" s="6">
        <v>42165.017500000002</v>
      </c>
      <c r="Y659" t="s">
        <v>124</v>
      </c>
      <c r="AB659" t="s">
        <v>201</v>
      </c>
      <c r="AC659" t="s">
        <v>247</v>
      </c>
      <c r="AD659" t="s">
        <v>220</v>
      </c>
      <c r="AE659" t="s">
        <v>219</v>
      </c>
      <c r="AG659" t="s">
        <v>121</v>
      </c>
      <c r="AH659" t="s">
        <v>327</v>
      </c>
      <c r="AI659" t="s">
        <v>121</v>
      </c>
      <c r="AJ659" t="s">
        <v>716</v>
      </c>
      <c r="AK659" t="s">
        <v>121</v>
      </c>
    </row>
    <row r="660" spans="9:37" x14ac:dyDescent="0.3">
      <c r="I660">
        <f ca="1">IF(OR(INDIRECT(A73&amp;ROW())=B93,INDIRECT(A73&amp;ROW())=B94),1,IF(AND(INDIRECT(A73&amp;ROW())=B95,INDIRECT(A96&amp;ROW())=C93),1,IF(AND(INDIRECT(A73&amp;ROW())=B95,INDIRECT(A96&amp;ROW())=C94),1,0)))</f>
        <v>1</v>
      </c>
      <c r="J660">
        <f ca="1">IF(AND(INDIRECT(A73&amp;ROW())=B95,INDIRECT(A96&amp;ROW())=C95),1,IF(AND(INDIRECT(A73&amp;ROW())=B95,INDIRECT(A96&amp;ROW())=C96),1,0))</f>
        <v>0</v>
      </c>
      <c r="K660">
        <f ca="1">DAYS360(INDIRECT(C68&amp;ROW()),TODAY())</f>
        <v>675</v>
      </c>
      <c r="L660">
        <f ca="1">DAYS360(INDIRECT(C69&amp;ROW()),TODAY())</f>
        <v>682</v>
      </c>
      <c r="M660">
        <f ca="1">HYPERLINK(CONCATENATE("https://bugzilla.houston.hp.com:1181/bugzilla/show_bug.cgi?id=",INDIRECT(C70&amp;ROW())),INDIRECT(C70&amp;ROW()))</f>
        <v>63824</v>
      </c>
      <c r="N660">
        <v>63824</v>
      </c>
      <c r="O660" t="s">
        <v>187</v>
      </c>
      <c r="P660" t="s">
        <v>1228</v>
      </c>
      <c r="Q660" t="s">
        <v>25</v>
      </c>
      <c r="R660" t="s">
        <v>251</v>
      </c>
      <c r="S660" t="s">
        <v>24</v>
      </c>
      <c r="T660" t="s">
        <v>54</v>
      </c>
      <c r="U660" s="6">
        <v>42172.530821759261</v>
      </c>
      <c r="V660" t="s">
        <v>35</v>
      </c>
      <c r="W660" t="s">
        <v>783</v>
      </c>
      <c r="X660" s="6">
        <v>42165.309444444443</v>
      </c>
      <c r="Y660" t="s">
        <v>119</v>
      </c>
      <c r="AB660" t="s">
        <v>200</v>
      </c>
      <c r="AC660" t="s">
        <v>247</v>
      </c>
      <c r="AD660" t="s">
        <v>220</v>
      </c>
      <c r="AE660" t="s">
        <v>219</v>
      </c>
      <c r="AG660" t="s">
        <v>121</v>
      </c>
      <c r="AH660" t="s">
        <v>327</v>
      </c>
      <c r="AI660" t="s">
        <v>121</v>
      </c>
      <c r="AJ660" t="s">
        <v>715</v>
      </c>
      <c r="AK660" t="s">
        <v>121</v>
      </c>
    </row>
    <row r="661" spans="9:37" x14ac:dyDescent="0.3">
      <c r="I661">
        <f ca="1">IF(OR(INDIRECT(A73&amp;ROW())=B93,INDIRECT(A73&amp;ROW())=B94),1,IF(AND(INDIRECT(A73&amp;ROW())=B95,INDIRECT(A96&amp;ROW())=C93),1,IF(AND(INDIRECT(A73&amp;ROW())=B95,INDIRECT(A96&amp;ROW())=C94),1,0)))</f>
        <v>1</v>
      </c>
      <c r="J661">
        <f ca="1">IF(AND(INDIRECT(A73&amp;ROW())=B95,INDIRECT(A96&amp;ROW())=C95),1,IF(AND(INDIRECT(A73&amp;ROW())=B95,INDIRECT(A96&amp;ROW())=C96),1,0))</f>
        <v>0</v>
      </c>
      <c r="K661">
        <f ca="1">DAYS360(INDIRECT(C68&amp;ROW()),TODAY())</f>
        <v>675</v>
      </c>
      <c r="L661">
        <f ca="1">DAYS360(INDIRECT(C69&amp;ROW()),TODAY())</f>
        <v>682</v>
      </c>
      <c r="M661">
        <f ca="1">HYPERLINK(CONCATENATE("https://bugzilla.houston.hp.com:1181/bugzilla/show_bug.cgi?id=",INDIRECT(C70&amp;ROW())),INDIRECT(C70&amp;ROW()))</f>
        <v>63843</v>
      </c>
      <c r="N661">
        <v>63843</v>
      </c>
      <c r="O661" t="s">
        <v>187</v>
      </c>
      <c r="P661" t="s">
        <v>1227</v>
      </c>
      <c r="Q661" t="s">
        <v>25</v>
      </c>
      <c r="R661" t="s">
        <v>579</v>
      </c>
      <c r="S661" t="s">
        <v>552</v>
      </c>
      <c r="U661" s="6">
        <v>42172.606874999998</v>
      </c>
      <c r="V661" t="s">
        <v>18</v>
      </c>
      <c r="W661" t="s">
        <v>783</v>
      </c>
      <c r="X661" s="6">
        <v>42165.51840277778</v>
      </c>
      <c r="Y661" t="s">
        <v>119</v>
      </c>
      <c r="AB661" t="s">
        <v>200</v>
      </c>
      <c r="AC661" t="s">
        <v>247</v>
      </c>
      <c r="AD661" t="s">
        <v>220</v>
      </c>
      <c r="AE661" t="s">
        <v>219</v>
      </c>
      <c r="AG661" t="s">
        <v>121</v>
      </c>
      <c r="AH661" t="s">
        <v>327</v>
      </c>
      <c r="AI661" t="s">
        <v>121</v>
      </c>
      <c r="AJ661" t="s">
        <v>715</v>
      </c>
      <c r="AK661" t="s">
        <v>121</v>
      </c>
    </row>
    <row r="662" spans="9:37" x14ac:dyDescent="0.3">
      <c r="I662">
        <f ca="1">IF(OR(INDIRECT(A73&amp;ROW())=B93,INDIRECT(A73&amp;ROW())=B94),1,IF(AND(INDIRECT(A73&amp;ROW())=B95,INDIRECT(A96&amp;ROW())=C93),1,IF(AND(INDIRECT(A73&amp;ROW())=B95,INDIRECT(A96&amp;ROW())=C94),1,0)))</f>
        <v>1</v>
      </c>
      <c r="J662">
        <f ca="1">IF(AND(INDIRECT(A73&amp;ROW())=B95,INDIRECT(A96&amp;ROW())=C95),1,IF(AND(INDIRECT(A73&amp;ROW())=B95,INDIRECT(A96&amp;ROW())=C96),1,0))</f>
        <v>0</v>
      </c>
      <c r="K662">
        <f ca="1">DAYS360(INDIRECT(C68&amp;ROW()),TODAY())</f>
        <v>675</v>
      </c>
      <c r="L662">
        <f ca="1">DAYS360(INDIRECT(C69&amp;ROW()),TODAY())</f>
        <v>682</v>
      </c>
      <c r="M662">
        <f ca="1">HYPERLINK(CONCATENATE("https://bugzilla.houston.hp.com:1181/bugzilla/show_bug.cgi?id=",INDIRECT(C70&amp;ROW())),INDIRECT(C70&amp;ROW()))</f>
        <v>63844</v>
      </c>
      <c r="N662">
        <v>63844</v>
      </c>
      <c r="O662" t="s">
        <v>187</v>
      </c>
      <c r="P662" t="s">
        <v>1226</v>
      </c>
      <c r="Q662" t="s">
        <v>25</v>
      </c>
      <c r="R662" t="s">
        <v>783</v>
      </c>
      <c r="S662" t="s">
        <v>552</v>
      </c>
      <c r="U662" s="6">
        <v>42172.548888888887</v>
      </c>
      <c r="V662" t="s">
        <v>18</v>
      </c>
      <c r="W662" t="s">
        <v>783</v>
      </c>
      <c r="X662" s="6">
        <v>42165.519456018519</v>
      </c>
      <c r="Y662" t="s">
        <v>119</v>
      </c>
      <c r="AB662" t="s">
        <v>200</v>
      </c>
      <c r="AC662" t="s">
        <v>247</v>
      </c>
      <c r="AD662" t="s">
        <v>220</v>
      </c>
      <c r="AE662" t="s">
        <v>219</v>
      </c>
      <c r="AG662" t="s">
        <v>121</v>
      </c>
      <c r="AH662" t="s">
        <v>327</v>
      </c>
      <c r="AI662" t="s">
        <v>121</v>
      </c>
      <c r="AJ662" t="s">
        <v>715</v>
      </c>
      <c r="AK662" t="s">
        <v>121</v>
      </c>
    </row>
    <row r="663" spans="9:37" x14ac:dyDescent="0.3">
      <c r="I663">
        <f ca="1">IF(OR(INDIRECT(A73&amp;ROW())=B93,INDIRECT(A73&amp;ROW())=B94),1,IF(AND(INDIRECT(A73&amp;ROW())=B95,INDIRECT(A96&amp;ROW())=C93),1,IF(AND(INDIRECT(A73&amp;ROW())=B95,INDIRECT(A96&amp;ROW())=C94),1,0)))</f>
        <v>1</v>
      </c>
      <c r="J663">
        <f ca="1">IF(AND(INDIRECT(A73&amp;ROW())=B95,INDIRECT(A96&amp;ROW())=C95),1,IF(AND(INDIRECT(A73&amp;ROW())=B95,INDIRECT(A96&amp;ROW())=C96),1,0))</f>
        <v>0</v>
      </c>
      <c r="K663">
        <f ca="1">DAYS360(INDIRECT(C68&amp;ROW()),TODAY())</f>
        <v>675</v>
      </c>
      <c r="L663">
        <f ca="1">DAYS360(INDIRECT(C69&amp;ROW()),TODAY())</f>
        <v>682</v>
      </c>
      <c r="M663">
        <f ca="1">HYPERLINK(CONCATENATE("https://bugzilla.houston.hp.com:1181/bugzilla/show_bug.cgi?id=",INDIRECT(C70&amp;ROW())),INDIRECT(C70&amp;ROW()))</f>
        <v>63845</v>
      </c>
      <c r="N663">
        <v>63845</v>
      </c>
      <c r="O663" t="s">
        <v>187</v>
      </c>
      <c r="P663" t="s">
        <v>1225</v>
      </c>
      <c r="Q663" t="s">
        <v>25</v>
      </c>
      <c r="R663" t="s">
        <v>248</v>
      </c>
      <c r="S663" t="s">
        <v>552</v>
      </c>
      <c r="U663" s="6">
        <v>42172.606886574074</v>
      </c>
      <c r="V663" t="s">
        <v>18</v>
      </c>
      <c r="W663" t="s">
        <v>783</v>
      </c>
      <c r="X663" s="6">
        <v>42165.520300925928</v>
      </c>
      <c r="Y663" t="s">
        <v>119</v>
      </c>
      <c r="AB663" t="s">
        <v>200</v>
      </c>
      <c r="AC663" t="s">
        <v>247</v>
      </c>
      <c r="AD663" t="s">
        <v>220</v>
      </c>
      <c r="AE663" t="s">
        <v>219</v>
      </c>
      <c r="AG663" t="s">
        <v>121</v>
      </c>
      <c r="AH663" t="s">
        <v>327</v>
      </c>
      <c r="AI663" t="s">
        <v>121</v>
      </c>
      <c r="AJ663" t="s">
        <v>715</v>
      </c>
      <c r="AK663" t="s">
        <v>121</v>
      </c>
    </row>
    <row r="664" spans="9:37" x14ac:dyDescent="0.3">
      <c r="I664">
        <f ca="1">IF(OR(INDIRECT(A73&amp;ROW())=B93,INDIRECT(A73&amp;ROW())=B94),1,IF(AND(INDIRECT(A73&amp;ROW())=B95,INDIRECT(A96&amp;ROW())=C93),1,IF(AND(INDIRECT(A73&amp;ROW())=B95,INDIRECT(A96&amp;ROW())=C94),1,0)))</f>
        <v>1</v>
      </c>
      <c r="J664">
        <f ca="1">IF(AND(INDIRECT(A73&amp;ROW())=B95,INDIRECT(A96&amp;ROW())=C95),1,IF(AND(INDIRECT(A73&amp;ROW())=B95,INDIRECT(A96&amp;ROW())=C96),1,0))</f>
        <v>0</v>
      </c>
      <c r="K664">
        <f ca="1">DAYS360(INDIRECT(C68&amp;ROW()),TODAY())</f>
        <v>681</v>
      </c>
      <c r="L664">
        <f ca="1">DAYS360(INDIRECT(C69&amp;ROW()),TODAY())</f>
        <v>681</v>
      </c>
      <c r="M664">
        <f ca="1">HYPERLINK(CONCATENATE("https://bugzilla.houston.hp.com:1181/bugzilla/show_bug.cgi?id=",INDIRECT(C70&amp;ROW())),INDIRECT(C70&amp;ROW()))</f>
        <v>63890</v>
      </c>
      <c r="N664">
        <v>63890</v>
      </c>
      <c r="O664" t="s">
        <v>856</v>
      </c>
      <c r="P664" t="s">
        <v>1224</v>
      </c>
      <c r="Q664" t="s">
        <v>25</v>
      </c>
      <c r="R664" t="s">
        <v>579</v>
      </c>
      <c r="S664" t="s">
        <v>552</v>
      </c>
      <c r="T664" t="s">
        <v>48</v>
      </c>
      <c r="U664" s="6">
        <v>42166.259965277779</v>
      </c>
      <c r="V664" t="s">
        <v>18</v>
      </c>
      <c r="W664" t="s">
        <v>17</v>
      </c>
      <c r="X664" s="6">
        <v>42166.259965277779</v>
      </c>
      <c r="Y664" t="s">
        <v>122</v>
      </c>
      <c r="AB664" t="s">
        <v>200</v>
      </c>
      <c r="AC664" t="s">
        <v>247</v>
      </c>
      <c r="AD664" t="s">
        <v>220</v>
      </c>
      <c r="AE664" t="s">
        <v>219</v>
      </c>
      <c r="AG664" t="s">
        <v>121</v>
      </c>
      <c r="AH664" t="s">
        <v>327</v>
      </c>
      <c r="AI664" t="s">
        <v>121</v>
      </c>
      <c r="AJ664" t="s">
        <v>715</v>
      </c>
      <c r="AK664" t="s">
        <v>121</v>
      </c>
    </row>
    <row r="665" spans="9:37" x14ac:dyDescent="0.3">
      <c r="I665">
        <f ca="1">IF(OR(INDIRECT(A73&amp;ROW())=B93,INDIRECT(A73&amp;ROW())=B94),1,IF(AND(INDIRECT(A73&amp;ROW())=B95,INDIRECT(A96&amp;ROW())=C93),1,IF(AND(INDIRECT(A73&amp;ROW())=B95,INDIRECT(A96&amp;ROW())=C94),1,0)))</f>
        <v>1</v>
      </c>
      <c r="J665">
        <f ca="1">IF(AND(INDIRECT(A73&amp;ROW())=B95,INDIRECT(A96&amp;ROW())=C95),1,IF(AND(INDIRECT(A73&amp;ROW())=B95,INDIRECT(A96&amp;ROW())=C96),1,0))</f>
        <v>0</v>
      </c>
      <c r="K665">
        <f ca="1">DAYS360(INDIRECT(C68&amp;ROW()),TODAY())</f>
        <v>675</v>
      </c>
      <c r="L665">
        <f ca="1">DAYS360(INDIRECT(C69&amp;ROW()),TODAY())</f>
        <v>681</v>
      </c>
      <c r="M665">
        <f ca="1">HYPERLINK(CONCATENATE("https://bugzilla.houston.hp.com:1181/bugzilla/show_bug.cgi?id=",INDIRECT(C70&amp;ROW())),INDIRECT(C70&amp;ROW()))</f>
        <v>63891</v>
      </c>
      <c r="N665">
        <v>63891</v>
      </c>
      <c r="O665" t="s">
        <v>856</v>
      </c>
      <c r="P665" t="s">
        <v>1223</v>
      </c>
      <c r="Q665" t="s">
        <v>25</v>
      </c>
      <c r="R665" t="s">
        <v>783</v>
      </c>
      <c r="S665" t="s">
        <v>552</v>
      </c>
      <c r="T665" t="s">
        <v>48</v>
      </c>
      <c r="U665" s="6">
        <v>42172.331238425926</v>
      </c>
      <c r="V665" t="s">
        <v>35</v>
      </c>
      <c r="W665" t="s">
        <v>17</v>
      </c>
      <c r="X665" s="6">
        <v>42166.260069444441</v>
      </c>
      <c r="Y665" t="s">
        <v>122</v>
      </c>
      <c r="AB665" t="s">
        <v>200</v>
      </c>
      <c r="AC665" t="s">
        <v>247</v>
      </c>
      <c r="AD665" t="s">
        <v>220</v>
      </c>
      <c r="AE665" t="s">
        <v>219</v>
      </c>
      <c r="AG665" t="s">
        <v>121</v>
      </c>
      <c r="AH665" t="s">
        <v>327</v>
      </c>
      <c r="AI665" t="s">
        <v>121</v>
      </c>
      <c r="AJ665" t="s">
        <v>715</v>
      </c>
      <c r="AK665" t="s">
        <v>1206</v>
      </c>
    </row>
    <row r="666" spans="9:37" x14ac:dyDescent="0.3">
      <c r="I666">
        <f ca="1">IF(OR(INDIRECT(A73&amp;ROW())=B93,INDIRECT(A73&amp;ROW())=B94),1,IF(AND(INDIRECT(A73&amp;ROW())=B95,INDIRECT(A96&amp;ROW())=C93),1,IF(AND(INDIRECT(A73&amp;ROW())=B95,INDIRECT(A96&amp;ROW())=C94),1,0)))</f>
        <v>1</v>
      </c>
      <c r="J666">
        <f ca="1">IF(AND(INDIRECT(A73&amp;ROW())=B95,INDIRECT(A96&amp;ROW())=C95),1,IF(AND(INDIRECT(A73&amp;ROW())=B95,INDIRECT(A96&amp;ROW())=C96),1,0))</f>
        <v>0</v>
      </c>
      <c r="K666">
        <f ca="1">DAYS360(INDIRECT(C68&amp;ROW()),TODAY())</f>
        <v>676</v>
      </c>
      <c r="L666">
        <f ca="1">DAYS360(INDIRECT(C69&amp;ROW()),TODAY())</f>
        <v>681</v>
      </c>
      <c r="M666">
        <f ca="1">HYPERLINK(CONCATENATE("https://bugzilla.houston.hp.com:1181/bugzilla/show_bug.cgi?id=",INDIRECT(C70&amp;ROW())),INDIRECT(C70&amp;ROW()))</f>
        <v>63894</v>
      </c>
      <c r="N666">
        <v>63894</v>
      </c>
      <c r="O666" t="s">
        <v>66</v>
      </c>
      <c r="P666" t="s">
        <v>1222</v>
      </c>
      <c r="Q666" t="s">
        <v>25</v>
      </c>
      <c r="R666" t="s">
        <v>579</v>
      </c>
      <c r="S666" t="s">
        <v>552</v>
      </c>
      <c r="U666" s="6">
        <v>42171.55300925926</v>
      </c>
      <c r="V666" t="s">
        <v>18</v>
      </c>
      <c r="W666" t="s">
        <v>783</v>
      </c>
      <c r="X666" s="6">
        <v>42166.29755787037</v>
      </c>
      <c r="Y666" t="s">
        <v>119</v>
      </c>
      <c r="AB666" t="s">
        <v>199</v>
      </c>
      <c r="AC666" t="s">
        <v>247</v>
      </c>
      <c r="AD666" t="s">
        <v>220</v>
      </c>
      <c r="AE666" t="s">
        <v>219</v>
      </c>
      <c r="AG666" t="s">
        <v>121</v>
      </c>
      <c r="AH666" t="s">
        <v>327</v>
      </c>
      <c r="AI666" t="s">
        <v>121</v>
      </c>
      <c r="AJ666" t="s">
        <v>715</v>
      </c>
      <c r="AK666" t="s">
        <v>121</v>
      </c>
    </row>
    <row r="667" spans="9:37" x14ac:dyDescent="0.3">
      <c r="I667">
        <f ca="1">IF(OR(INDIRECT(A73&amp;ROW())=B93,INDIRECT(A73&amp;ROW())=B94),1,IF(AND(INDIRECT(A73&amp;ROW())=B95,INDIRECT(A96&amp;ROW())=C93),1,IF(AND(INDIRECT(A73&amp;ROW())=B95,INDIRECT(A96&amp;ROW())=C94),1,0)))</f>
        <v>1</v>
      </c>
      <c r="J667">
        <f ca="1">IF(AND(INDIRECT(A73&amp;ROW())=B95,INDIRECT(A96&amp;ROW())=C95),1,IF(AND(INDIRECT(A73&amp;ROW())=B95,INDIRECT(A96&amp;ROW())=C96),1,0))</f>
        <v>0</v>
      </c>
      <c r="K667">
        <f ca="1">DAYS360(INDIRECT(C68&amp;ROW()),TODAY())</f>
        <v>675</v>
      </c>
      <c r="L667">
        <f ca="1">DAYS360(INDIRECT(C69&amp;ROW()),TODAY())</f>
        <v>681</v>
      </c>
      <c r="M667">
        <f ca="1">HYPERLINK(CONCATENATE("https://bugzilla.houston.hp.com:1181/bugzilla/show_bug.cgi?id=",INDIRECT(C70&amp;ROW())),INDIRECT(C70&amp;ROW()))</f>
        <v>63895</v>
      </c>
      <c r="N667">
        <v>63895</v>
      </c>
      <c r="O667" t="s">
        <v>66</v>
      </c>
      <c r="P667" t="s">
        <v>1221</v>
      </c>
      <c r="Q667" t="s">
        <v>25</v>
      </c>
      <c r="R667" t="s">
        <v>783</v>
      </c>
      <c r="S667" t="s">
        <v>552</v>
      </c>
      <c r="U667" s="6">
        <v>42172.640081018515</v>
      </c>
      <c r="V667" t="s">
        <v>18</v>
      </c>
      <c r="W667" t="s">
        <v>783</v>
      </c>
      <c r="X667" s="6">
        <v>42166.297685185185</v>
      </c>
      <c r="Y667" t="s">
        <v>119</v>
      </c>
      <c r="AB667" t="s">
        <v>199</v>
      </c>
      <c r="AC667" t="s">
        <v>247</v>
      </c>
      <c r="AD667" t="s">
        <v>220</v>
      </c>
      <c r="AE667" t="s">
        <v>219</v>
      </c>
      <c r="AG667" t="s">
        <v>588</v>
      </c>
      <c r="AH667" t="s">
        <v>327</v>
      </c>
      <c r="AI667" t="s">
        <v>121</v>
      </c>
      <c r="AJ667" t="s">
        <v>715</v>
      </c>
      <c r="AK667" t="s">
        <v>121</v>
      </c>
    </row>
    <row r="668" spans="9:37" x14ac:dyDescent="0.3">
      <c r="I668">
        <f ca="1">IF(OR(INDIRECT(A73&amp;ROW())=B93,INDIRECT(A73&amp;ROW())=B94),1,IF(AND(INDIRECT(A73&amp;ROW())=B95,INDIRECT(A96&amp;ROW())=C93),1,IF(AND(INDIRECT(A73&amp;ROW())=B95,INDIRECT(A96&amp;ROW())=C94),1,0)))</f>
        <v>1</v>
      </c>
      <c r="J668">
        <f ca="1">IF(AND(INDIRECT(A73&amp;ROW())=B95,INDIRECT(A96&amp;ROW())=C95),1,IF(AND(INDIRECT(A73&amp;ROW())=B95,INDIRECT(A96&amp;ROW())=C96),1,0))</f>
        <v>0</v>
      </c>
      <c r="K668">
        <f ca="1">DAYS360(INDIRECT(C68&amp;ROW()),TODAY())</f>
        <v>681</v>
      </c>
      <c r="L668">
        <f ca="1">DAYS360(INDIRECT(C69&amp;ROW()),TODAY())</f>
        <v>681</v>
      </c>
      <c r="M668">
        <f ca="1">HYPERLINK(CONCATENATE("https://bugzilla.houston.hp.com:1181/bugzilla/show_bug.cgi?id=",INDIRECT(C70&amp;ROW())),INDIRECT(C70&amp;ROW()))</f>
        <v>63896</v>
      </c>
      <c r="N668">
        <v>63896</v>
      </c>
      <c r="O668" t="s">
        <v>66</v>
      </c>
      <c r="P668" t="s">
        <v>1220</v>
      </c>
      <c r="Q668" t="s">
        <v>25</v>
      </c>
      <c r="R668" t="s">
        <v>248</v>
      </c>
      <c r="S668" t="s">
        <v>552</v>
      </c>
      <c r="U668" s="6">
        <v>42166.375520833331</v>
      </c>
      <c r="V668" t="s">
        <v>18</v>
      </c>
      <c r="W668" t="s">
        <v>783</v>
      </c>
      <c r="X668" s="6">
        <v>42166.297835648147</v>
      </c>
      <c r="Y668" t="s">
        <v>119</v>
      </c>
      <c r="AB668" t="s">
        <v>199</v>
      </c>
      <c r="AC668" t="s">
        <v>247</v>
      </c>
      <c r="AD668" t="s">
        <v>220</v>
      </c>
      <c r="AE668" t="s">
        <v>219</v>
      </c>
      <c r="AG668" t="s">
        <v>121</v>
      </c>
      <c r="AH668" t="s">
        <v>327</v>
      </c>
      <c r="AI668" t="s">
        <v>121</v>
      </c>
      <c r="AJ668" t="s">
        <v>715</v>
      </c>
      <c r="AK668" t="s">
        <v>121</v>
      </c>
    </row>
    <row r="669" spans="9:37" x14ac:dyDescent="0.3">
      <c r="I669">
        <f ca="1">IF(OR(INDIRECT(A73&amp;ROW())=B93,INDIRECT(A73&amp;ROW())=B94),1,IF(AND(INDIRECT(A73&amp;ROW())=B95,INDIRECT(A96&amp;ROW())=C93),1,IF(AND(INDIRECT(A73&amp;ROW())=B95,INDIRECT(A96&amp;ROW())=C94),1,0)))</f>
        <v>1</v>
      </c>
      <c r="J669">
        <f ca="1">IF(AND(INDIRECT(A73&amp;ROW())=B95,INDIRECT(A96&amp;ROW())=C95),1,IF(AND(INDIRECT(A73&amp;ROW())=B95,INDIRECT(A96&amp;ROW())=C96),1,0))</f>
        <v>0</v>
      </c>
      <c r="K669">
        <f ca="1">DAYS360(INDIRECT(C68&amp;ROW()),TODAY())</f>
        <v>680</v>
      </c>
      <c r="L669">
        <f ca="1">DAYS360(INDIRECT(C69&amp;ROW()),TODAY())</f>
        <v>681</v>
      </c>
      <c r="M669">
        <f ca="1">HYPERLINK(CONCATENATE("https://bugzilla.houston.hp.com:1181/bugzilla/show_bug.cgi?id=",INDIRECT(C70&amp;ROW())),INDIRECT(C70&amp;ROW()))</f>
        <v>63901</v>
      </c>
      <c r="N669">
        <v>63901</v>
      </c>
      <c r="O669" t="s">
        <v>919</v>
      </c>
      <c r="P669" t="s">
        <v>1219</v>
      </c>
      <c r="Q669" t="s">
        <v>25</v>
      </c>
      <c r="R669" t="s">
        <v>783</v>
      </c>
      <c r="S669" t="s">
        <v>552</v>
      </c>
      <c r="U669" s="6">
        <v>42167.350277777776</v>
      </c>
      <c r="V669" t="s">
        <v>18</v>
      </c>
      <c r="W669" t="s">
        <v>17</v>
      </c>
      <c r="X669" s="6">
        <v>42166.337025462963</v>
      </c>
      <c r="Y669" t="s">
        <v>535</v>
      </c>
      <c r="Z669" t="s">
        <v>125</v>
      </c>
      <c r="AB669" t="s">
        <v>200</v>
      </c>
      <c r="AC669" t="s">
        <v>247</v>
      </c>
      <c r="AD669" t="s">
        <v>220</v>
      </c>
      <c r="AE669" t="s">
        <v>224</v>
      </c>
      <c r="AG669" t="s">
        <v>337</v>
      </c>
      <c r="AH669" t="s">
        <v>327</v>
      </c>
      <c r="AI669" t="s">
        <v>362</v>
      </c>
      <c r="AJ669" t="s">
        <v>715</v>
      </c>
      <c r="AK669" t="s">
        <v>1133</v>
      </c>
    </row>
    <row r="670" spans="9:37" x14ac:dyDescent="0.3">
      <c r="I670">
        <f ca="1">IF(OR(INDIRECT(A73&amp;ROW())=B93,INDIRECT(A73&amp;ROW())=B94),1,IF(AND(INDIRECT(A73&amp;ROW())=B95,INDIRECT(A96&amp;ROW())=C93),1,IF(AND(INDIRECT(A73&amp;ROW())=B95,INDIRECT(A96&amp;ROW())=C94),1,0)))</f>
        <v>1</v>
      </c>
      <c r="J670">
        <f ca="1">IF(AND(INDIRECT(A73&amp;ROW())=B95,INDIRECT(A96&amp;ROW())=C95),1,IF(AND(INDIRECT(A73&amp;ROW())=B95,INDIRECT(A96&amp;ROW())=C96),1,0))</f>
        <v>0</v>
      </c>
      <c r="K670">
        <f ca="1">DAYS360(INDIRECT(C68&amp;ROW()),TODAY())</f>
        <v>677</v>
      </c>
      <c r="L670">
        <f ca="1">DAYS360(INDIRECT(C69&amp;ROW()),TODAY())</f>
        <v>677</v>
      </c>
      <c r="M670">
        <f ca="1">HYPERLINK(CONCATENATE("https://bugzilla.houston.hp.com:1181/bugzilla/show_bug.cgi?id=",INDIRECT(C70&amp;ROW())),INDIRECT(C70&amp;ROW()))</f>
        <v>64054</v>
      </c>
      <c r="N670">
        <v>64054</v>
      </c>
      <c r="O670" t="s">
        <v>188</v>
      </c>
      <c r="P670" t="s">
        <v>1218</v>
      </c>
      <c r="Q670" t="s">
        <v>25</v>
      </c>
      <c r="R670" t="s">
        <v>248</v>
      </c>
      <c r="S670" t="s">
        <v>552</v>
      </c>
      <c r="U670" s="6">
        <v>42170.345486111109</v>
      </c>
      <c r="V670" t="s">
        <v>18</v>
      </c>
      <c r="W670" t="s">
        <v>783</v>
      </c>
      <c r="X670" s="6">
        <v>42170.325023148151</v>
      </c>
      <c r="Y670" t="s">
        <v>244</v>
      </c>
      <c r="AB670" t="s">
        <v>200</v>
      </c>
      <c r="AC670" t="s">
        <v>247</v>
      </c>
      <c r="AD670" t="s">
        <v>220</v>
      </c>
      <c r="AE670" t="s">
        <v>229</v>
      </c>
      <c r="AG670" t="s">
        <v>121</v>
      </c>
      <c r="AH670" t="s">
        <v>327</v>
      </c>
      <c r="AI670" t="s">
        <v>121</v>
      </c>
      <c r="AJ670" t="s">
        <v>715</v>
      </c>
      <c r="AK670" t="s">
        <v>121</v>
      </c>
    </row>
    <row r="671" spans="9:37" x14ac:dyDescent="0.3">
      <c r="I671">
        <f ca="1">IF(OR(INDIRECT(A73&amp;ROW())=B93,INDIRECT(A73&amp;ROW())=B94),1,IF(AND(INDIRECT(A73&amp;ROW())=B95,INDIRECT(A96&amp;ROW())=C93),1,IF(AND(INDIRECT(A73&amp;ROW())=B95,INDIRECT(A96&amp;ROW())=C94),1,0)))</f>
        <v>1</v>
      </c>
      <c r="J671">
        <f ca="1">IF(AND(INDIRECT(A73&amp;ROW())=B95,INDIRECT(A96&amp;ROW())=C95),1,IF(AND(INDIRECT(A73&amp;ROW())=B95,INDIRECT(A96&amp;ROW())=C96),1,0))</f>
        <v>0</v>
      </c>
      <c r="K671">
        <f ca="1">DAYS360(INDIRECT(C68&amp;ROW()),TODAY())</f>
        <v>677</v>
      </c>
      <c r="L671">
        <f ca="1">DAYS360(INDIRECT(C69&amp;ROW()),TODAY())</f>
        <v>677</v>
      </c>
      <c r="M671">
        <f ca="1">HYPERLINK(CONCATENATE("https://bugzilla.houston.hp.com:1181/bugzilla/show_bug.cgi?id=",INDIRECT(C70&amp;ROW())),INDIRECT(C70&amp;ROW()))</f>
        <v>64075</v>
      </c>
      <c r="N671">
        <v>64075</v>
      </c>
      <c r="O671" t="s">
        <v>204</v>
      </c>
      <c r="P671" t="s">
        <v>1217</v>
      </c>
      <c r="Q671" t="s">
        <v>25</v>
      </c>
      <c r="R671" t="s">
        <v>579</v>
      </c>
      <c r="S671" t="s">
        <v>552</v>
      </c>
      <c r="T671" t="s">
        <v>54</v>
      </c>
      <c r="U671" s="6">
        <v>42170.554965277777</v>
      </c>
      <c r="V671" t="s">
        <v>18</v>
      </c>
      <c r="W671" t="s">
        <v>17</v>
      </c>
      <c r="X671" s="6">
        <v>42170.554965277777</v>
      </c>
      <c r="Y671" t="s">
        <v>119</v>
      </c>
      <c r="AB671" t="s">
        <v>200</v>
      </c>
      <c r="AC671" t="s">
        <v>121</v>
      </c>
      <c r="AD671" t="s">
        <v>222</v>
      </c>
      <c r="AE671" t="s">
        <v>225</v>
      </c>
      <c r="AG671" t="s">
        <v>121</v>
      </c>
      <c r="AH671" t="s">
        <v>327</v>
      </c>
      <c r="AI671" t="s">
        <v>121</v>
      </c>
      <c r="AJ671" t="s">
        <v>715</v>
      </c>
      <c r="AK671" t="s">
        <v>121</v>
      </c>
    </row>
    <row r="672" spans="9:37" x14ac:dyDescent="0.3">
      <c r="I672">
        <f ca="1">IF(OR(INDIRECT(A73&amp;ROW())=B93,INDIRECT(A73&amp;ROW())=B94),1,IF(AND(INDIRECT(A73&amp;ROW())=B95,INDIRECT(A96&amp;ROW())=C93),1,IF(AND(INDIRECT(A73&amp;ROW())=B95,INDIRECT(A96&amp;ROW())=C94),1,0)))</f>
        <v>1</v>
      </c>
      <c r="J672">
        <f ca="1">IF(AND(INDIRECT(A73&amp;ROW())=B95,INDIRECT(A96&amp;ROW())=C95),1,IF(AND(INDIRECT(A73&amp;ROW())=B95,INDIRECT(A96&amp;ROW())=C96),1,0))</f>
        <v>0</v>
      </c>
      <c r="K672">
        <f ca="1">DAYS360(INDIRECT(C68&amp;ROW()),TODAY())</f>
        <v>675</v>
      </c>
      <c r="L672">
        <f ca="1">DAYS360(INDIRECT(C69&amp;ROW()),TODAY())</f>
        <v>677</v>
      </c>
      <c r="M672">
        <f ca="1">HYPERLINK(CONCATENATE("https://bugzilla.houston.hp.com:1181/bugzilla/show_bug.cgi?id=",INDIRECT(C70&amp;ROW())),INDIRECT(C70&amp;ROW()))</f>
        <v>64077</v>
      </c>
      <c r="N672">
        <v>64077</v>
      </c>
      <c r="O672" t="s">
        <v>177</v>
      </c>
      <c r="P672" t="s">
        <v>1216</v>
      </c>
      <c r="Q672" t="s">
        <v>39</v>
      </c>
      <c r="R672" t="s">
        <v>251</v>
      </c>
      <c r="S672" t="s">
        <v>177</v>
      </c>
      <c r="T672" t="s">
        <v>1215</v>
      </c>
      <c r="U672" s="6">
        <v>42172.583715277775</v>
      </c>
      <c r="V672" t="s">
        <v>35</v>
      </c>
      <c r="W672" t="s">
        <v>783</v>
      </c>
      <c r="X672" s="6">
        <v>42170.574050925927</v>
      </c>
      <c r="Y672" t="s">
        <v>245</v>
      </c>
      <c r="AB672" t="s">
        <v>199</v>
      </c>
      <c r="AC672" t="s">
        <v>247</v>
      </c>
      <c r="AD672" t="s">
        <v>222</v>
      </c>
      <c r="AE672" t="s">
        <v>221</v>
      </c>
      <c r="AG672" t="s">
        <v>121</v>
      </c>
      <c r="AH672" t="s">
        <v>327</v>
      </c>
      <c r="AI672" t="s">
        <v>121</v>
      </c>
      <c r="AJ672" t="s">
        <v>715</v>
      </c>
      <c r="AK672" t="s">
        <v>121</v>
      </c>
    </row>
    <row r="673" spans="9:37" x14ac:dyDescent="0.3">
      <c r="I673">
        <f ca="1">IF(OR(INDIRECT(A73&amp;ROW())=B93,INDIRECT(A73&amp;ROW())=B94),1,IF(AND(INDIRECT(A73&amp;ROW())=B95,INDIRECT(A96&amp;ROW())=C93),1,IF(AND(INDIRECT(A73&amp;ROW())=B95,INDIRECT(A96&amp;ROW())=C94),1,0)))</f>
        <v>1</v>
      </c>
      <c r="J673">
        <f ca="1">IF(AND(INDIRECT(A73&amp;ROW())=B95,INDIRECT(A96&amp;ROW())=C95),1,IF(AND(INDIRECT(A73&amp;ROW())=B95,INDIRECT(A96&amp;ROW())=C96),1,0))</f>
        <v>0</v>
      </c>
      <c r="K673">
        <f ca="1">DAYS360(INDIRECT(C68&amp;ROW()),TODAY())</f>
        <v>677</v>
      </c>
      <c r="L673">
        <f ca="1">DAYS360(INDIRECT(C69&amp;ROW()),TODAY())</f>
        <v>677</v>
      </c>
      <c r="M673">
        <f ca="1">HYPERLINK(CONCATENATE("https://bugzilla.houston.hp.com:1181/bugzilla/show_bug.cgi?id=",INDIRECT(C70&amp;ROW())),INDIRECT(C70&amp;ROW()))</f>
        <v>64078</v>
      </c>
      <c r="N673">
        <v>64078</v>
      </c>
      <c r="O673" t="s">
        <v>55</v>
      </c>
      <c r="P673" t="s">
        <v>1214</v>
      </c>
      <c r="Q673" t="s">
        <v>39</v>
      </c>
      <c r="R673" t="s">
        <v>579</v>
      </c>
      <c r="S673" t="s">
        <v>552</v>
      </c>
      <c r="U673" s="6">
        <v>42170.586562500001</v>
      </c>
      <c r="V673" t="s">
        <v>18</v>
      </c>
      <c r="W673" t="s">
        <v>783</v>
      </c>
      <c r="X673" s="6">
        <v>42170.586562500001</v>
      </c>
      <c r="Y673" t="s">
        <v>245</v>
      </c>
      <c r="AB673" t="s">
        <v>199</v>
      </c>
      <c r="AC673" t="s">
        <v>247</v>
      </c>
      <c r="AD673" t="s">
        <v>222</v>
      </c>
      <c r="AE673" t="s">
        <v>221</v>
      </c>
      <c r="AG673" t="s">
        <v>121</v>
      </c>
      <c r="AH673" t="s">
        <v>327</v>
      </c>
      <c r="AI673" t="s">
        <v>121</v>
      </c>
      <c r="AJ673" t="s">
        <v>715</v>
      </c>
      <c r="AK673" t="s">
        <v>121</v>
      </c>
    </row>
    <row r="674" spans="9:37" x14ac:dyDescent="0.3">
      <c r="I674">
        <f ca="1">IF(OR(INDIRECT(A73&amp;ROW())=B93,INDIRECT(A73&amp;ROW())=B94),1,IF(AND(INDIRECT(A73&amp;ROW())=B95,INDIRECT(A96&amp;ROW())=C93),1,IF(AND(INDIRECT(A73&amp;ROW())=B95,INDIRECT(A96&amp;ROW())=C94),1,0)))</f>
        <v>1</v>
      </c>
      <c r="J674">
        <f ca="1">IF(AND(INDIRECT(A73&amp;ROW())=B95,INDIRECT(A96&amp;ROW())=C95),1,IF(AND(INDIRECT(A73&amp;ROW())=B95,INDIRECT(A96&amp;ROW())=C96),1,0))</f>
        <v>0</v>
      </c>
      <c r="K674">
        <f ca="1">DAYS360(INDIRECT(C68&amp;ROW()),TODAY())</f>
        <v>677</v>
      </c>
      <c r="L674">
        <f ca="1">DAYS360(INDIRECT(C69&amp;ROW()),TODAY())</f>
        <v>677</v>
      </c>
      <c r="M674">
        <f ca="1">HYPERLINK(CONCATENATE("https://bugzilla.houston.hp.com:1181/bugzilla/show_bug.cgi?id=",INDIRECT(C70&amp;ROW())),INDIRECT(C70&amp;ROW()))</f>
        <v>64079</v>
      </c>
      <c r="N674">
        <v>64079</v>
      </c>
      <c r="O674" t="s">
        <v>55</v>
      </c>
      <c r="P674" t="s">
        <v>1213</v>
      </c>
      <c r="Q674" t="s">
        <v>39</v>
      </c>
      <c r="R674" t="s">
        <v>783</v>
      </c>
      <c r="S674" t="s">
        <v>552</v>
      </c>
      <c r="U674" s="6">
        <v>42170.586701388886</v>
      </c>
      <c r="V674" t="s">
        <v>18</v>
      </c>
      <c r="W674" t="s">
        <v>783</v>
      </c>
      <c r="X674" s="6">
        <v>42170.586701388886</v>
      </c>
      <c r="Y674" t="s">
        <v>245</v>
      </c>
      <c r="AB674" t="s">
        <v>199</v>
      </c>
      <c r="AC674" t="s">
        <v>247</v>
      </c>
      <c r="AD674" t="s">
        <v>222</v>
      </c>
      <c r="AE674" t="s">
        <v>221</v>
      </c>
      <c r="AG674" t="s">
        <v>121</v>
      </c>
      <c r="AH674" t="s">
        <v>327</v>
      </c>
      <c r="AI674" t="s">
        <v>121</v>
      </c>
      <c r="AJ674" t="s">
        <v>715</v>
      </c>
      <c r="AK674" t="s">
        <v>121</v>
      </c>
    </row>
    <row r="675" spans="9:37" x14ac:dyDescent="0.3">
      <c r="I675">
        <f ca="1">IF(OR(INDIRECT(A73&amp;ROW())=B93,INDIRECT(A73&amp;ROW())=B94),1,IF(AND(INDIRECT(A73&amp;ROW())=B95,INDIRECT(A96&amp;ROW())=C93),1,IF(AND(INDIRECT(A73&amp;ROW())=B95,INDIRECT(A96&amp;ROW())=C94),1,0)))</f>
        <v>1</v>
      </c>
      <c r="J675">
        <f ca="1">IF(AND(INDIRECT(A73&amp;ROW())=B95,INDIRECT(A96&amp;ROW())=C95),1,IF(AND(INDIRECT(A73&amp;ROW())=B95,INDIRECT(A96&amp;ROW())=C96),1,0))</f>
        <v>0</v>
      </c>
      <c r="K675">
        <f ca="1">DAYS360(INDIRECT(C68&amp;ROW()),TODAY())</f>
        <v>677</v>
      </c>
      <c r="L675">
        <f ca="1">DAYS360(INDIRECT(C69&amp;ROW()),TODAY())</f>
        <v>677</v>
      </c>
      <c r="M675">
        <f ca="1">HYPERLINK(CONCATENATE("https://bugzilla.houston.hp.com:1181/bugzilla/show_bug.cgi?id=",INDIRECT(C70&amp;ROW())),INDIRECT(C70&amp;ROW()))</f>
        <v>64080</v>
      </c>
      <c r="N675">
        <v>64080</v>
      </c>
      <c r="O675" t="s">
        <v>55</v>
      </c>
      <c r="P675" t="s">
        <v>1212</v>
      </c>
      <c r="Q675" t="s">
        <v>39</v>
      </c>
      <c r="R675" t="s">
        <v>248</v>
      </c>
      <c r="S675" t="s">
        <v>552</v>
      </c>
      <c r="U675" s="6">
        <v>42170.586747685185</v>
      </c>
      <c r="V675" t="s">
        <v>18</v>
      </c>
      <c r="W675" t="s">
        <v>783</v>
      </c>
      <c r="X675" s="6">
        <v>42170.586747685185</v>
      </c>
      <c r="Y675" t="s">
        <v>245</v>
      </c>
      <c r="AB675" t="s">
        <v>199</v>
      </c>
      <c r="AC675" t="s">
        <v>247</v>
      </c>
      <c r="AD675" t="s">
        <v>222</v>
      </c>
      <c r="AE675" t="s">
        <v>221</v>
      </c>
      <c r="AG675" t="s">
        <v>121</v>
      </c>
      <c r="AH675" t="s">
        <v>327</v>
      </c>
      <c r="AI675" t="s">
        <v>121</v>
      </c>
      <c r="AJ675" t="s">
        <v>715</v>
      </c>
      <c r="AK675" t="s">
        <v>121</v>
      </c>
    </row>
    <row r="676" spans="9:37" x14ac:dyDescent="0.3">
      <c r="I676">
        <f ca="1">IF(OR(INDIRECT(A73&amp;ROW())=B93,INDIRECT(A73&amp;ROW())=B94),1,IF(AND(INDIRECT(A73&amp;ROW())=B95,INDIRECT(A96&amp;ROW())=C93),1,IF(AND(INDIRECT(A73&amp;ROW())=B95,INDIRECT(A96&amp;ROW())=C94),1,0)))</f>
        <v>1</v>
      </c>
      <c r="J676">
        <f ca="1">IF(AND(INDIRECT(A73&amp;ROW())=B95,INDIRECT(A96&amp;ROW())=C95),1,IF(AND(INDIRECT(A73&amp;ROW())=B95,INDIRECT(A96&amp;ROW())=C96),1,0))</f>
        <v>0</v>
      </c>
      <c r="K676">
        <f ca="1">DAYS360(INDIRECT(C68&amp;ROW()),TODAY())</f>
        <v>677</v>
      </c>
      <c r="L676">
        <f ca="1">DAYS360(INDIRECT(C69&amp;ROW()),TODAY())</f>
        <v>677</v>
      </c>
      <c r="M676">
        <f ca="1">HYPERLINK(CONCATENATE("https://bugzilla.houston.hp.com:1181/bugzilla/show_bug.cgi?id=",INDIRECT(C70&amp;ROW())),INDIRECT(C70&amp;ROW()))</f>
        <v>64082</v>
      </c>
      <c r="N676">
        <v>64082</v>
      </c>
      <c r="O676" t="s">
        <v>19</v>
      </c>
      <c r="P676" t="s">
        <v>1210</v>
      </c>
      <c r="Q676" t="s">
        <v>39</v>
      </c>
      <c r="R676" t="s">
        <v>579</v>
      </c>
      <c r="S676" t="s">
        <v>552</v>
      </c>
      <c r="U676" s="6">
        <v>42170.619826388887</v>
      </c>
      <c r="V676" t="s">
        <v>18</v>
      </c>
      <c r="W676" t="s">
        <v>764</v>
      </c>
      <c r="X676" s="6">
        <v>42170.616249999999</v>
      </c>
      <c r="Y676" t="s">
        <v>125</v>
      </c>
      <c r="AB676" t="s">
        <v>200</v>
      </c>
      <c r="AC676" t="s">
        <v>247</v>
      </c>
      <c r="AD676" t="s">
        <v>220</v>
      </c>
      <c r="AE676" t="s">
        <v>219</v>
      </c>
      <c r="AG676" t="s">
        <v>121</v>
      </c>
      <c r="AH676" t="s">
        <v>327</v>
      </c>
      <c r="AI676" t="s">
        <v>121</v>
      </c>
      <c r="AJ676" t="s">
        <v>715</v>
      </c>
      <c r="AK676" t="s">
        <v>121</v>
      </c>
    </row>
    <row r="677" spans="9:37" x14ac:dyDescent="0.3">
      <c r="I677">
        <f ca="1">IF(OR(INDIRECT(A73&amp;ROW())=B93,INDIRECT(A73&amp;ROW())=B94),1,IF(AND(INDIRECT(A73&amp;ROW())=B95,INDIRECT(A96&amp;ROW())=C93),1,IF(AND(INDIRECT(A73&amp;ROW())=B95,INDIRECT(A96&amp;ROW())=C94),1,0)))</f>
        <v>1</v>
      </c>
      <c r="J677">
        <f ca="1">IF(AND(INDIRECT(A73&amp;ROW())=B95,INDIRECT(A96&amp;ROW())=C95),1,IF(AND(INDIRECT(A73&amp;ROW())=B95,INDIRECT(A96&amp;ROW())=C96),1,0))</f>
        <v>0</v>
      </c>
      <c r="K677">
        <f ca="1">DAYS360(INDIRECT(C68&amp;ROW()),TODAY())</f>
        <v>677</v>
      </c>
      <c r="L677">
        <f ca="1">DAYS360(INDIRECT(C69&amp;ROW()),TODAY())</f>
        <v>677</v>
      </c>
      <c r="M677">
        <f ca="1">HYPERLINK(CONCATENATE("https://bugzilla.houston.hp.com:1181/bugzilla/show_bug.cgi?id=",INDIRECT(C70&amp;ROW())),INDIRECT(C70&amp;ROW()))</f>
        <v>64084</v>
      </c>
      <c r="N677">
        <v>64084</v>
      </c>
      <c r="O677" t="s">
        <v>19</v>
      </c>
      <c r="P677" t="s">
        <v>1208</v>
      </c>
      <c r="Q677" t="s">
        <v>39</v>
      </c>
      <c r="R677" t="s">
        <v>248</v>
      </c>
      <c r="S677" t="s">
        <v>552</v>
      </c>
      <c r="U677" s="6">
        <v>42170.619814814818</v>
      </c>
      <c r="V677" t="s">
        <v>18</v>
      </c>
      <c r="W677" t="s">
        <v>764</v>
      </c>
      <c r="X677" s="6">
        <v>42170.616481481484</v>
      </c>
      <c r="Y677" t="s">
        <v>125</v>
      </c>
      <c r="AB677" t="s">
        <v>200</v>
      </c>
      <c r="AC677" t="s">
        <v>247</v>
      </c>
      <c r="AD677" t="s">
        <v>220</v>
      </c>
      <c r="AE677" t="s">
        <v>219</v>
      </c>
      <c r="AG677" t="s">
        <v>121</v>
      </c>
      <c r="AH677" t="s">
        <v>327</v>
      </c>
      <c r="AI677" t="s">
        <v>121</v>
      </c>
      <c r="AJ677" t="s">
        <v>715</v>
      </c>
      <c r="AK677" t="s">
        <v>121</v>
      </c>
    </row>
    <row r="678" spans="9:37" x14ac:dyDescent="0.3">
      <c r="I678">
        <f ca="1">IF(OR(INDIRECT(A73&amp;ROW())=B93,INDIRECT(A73&amp;ROW())=B94),1,IF(AND(INDIRECT(A73&amp;ROW())=B95,INDIRECT(A96&amp;ROW())=C93),1,IF(AND(INDIRECT(A73&amp;ROW())=B95,INDIRECT(A96&amp;ROW())=C94),1,0)))</f>
        <v>0</v>
      </c>
      <c r="J678">
        <f ca="1">IF(AND(INDIRECT(A73&amp;ROW())=B95,INDIRECT(A96&amp;ROW())=C95),1,IF(AND(INDIRECT(A73&amp;ROW())=B95,INDIRECT(A96&amp;ROW())=C96),1,0))</f>
        <v>0</v>
      </c>
      <c r="K678">
        <f ca="1">DAYS360(INDIRECT(C68&amp;ROW()),TODAY())</f>
        <v>675</v>
      </c>
      <c r="L678">
        <f ca="1">DAYS360(INDIRECT(C69&amp;ROW()),TODAY())</f>
        <v>676</v>
      </c>
      <c r="M678">
        <f ca="1">HYPERLINK(CONCATENATE("https://bugzilla.houston.hp.com:1181/bugzilla/show_bug.cgi?id=",INDIRECT(C70&amp;ROW())),INDIRECT(C70&amp;ROW()))</f>
        <v>64142</v>
      </c>
      <c r="N678">
        <v>64142</v>
      </c>
      <c r="O678" t="s">
        <v>56</v>
      </c>
      <c r="P678" t="s">
        <v>1275</v>
      </c>
      <c r="Q678" t="s">
        <v>16</v>
      </c>
      <c r="R678" t="s">
        <v>579</v>
      </c>
      <c r="S678" t="s">
        <v>552</v>
      </c>
      <c r="U678" s="6">
        <v>42172.064120370371</v>
      </c>
      <c r="V678" t="s">
        <v>18</v>
      </c>
      <c r="W678" t="s">
        <v>63</v>
      </c>
      <c r="X678" s="6">
        <v>42171.419652777775</v>
      </c>
      <c r="Y678" t="s">
        <v>792</v>
      </c>
      <c r="AB678" t="s">
        <v>201</v>
      </c>
      <c r="AC678" t="s">
        <v>247</v>
      </c>
      <c r="AD678" t="s">
        <v>220</v>
      </c>
      <c r="AE678" t="s">
        <v>219</v>
      </c>
      <c r="AG678" t="s">
        <v>121</v>
      </c>
      <c r="AH678" t="s">
        <v>327</v>
      </c>
      <c r="AI678" t="s">
        <v>121</v>
      </c>
      <c r="AJ678" t="s">
        <v>717</v>
      </c>
      <c r="AK678" t="s">
        <v>121</v>
      </c>
    </row>
    <row r="679" spans="9:37" x14ac:dyDescent="0.3">
      <c r="I679">
        <f ca="1">IF(OR(INDIRECT(A73&amp;ROW())=B93,INDIRECT(A73&amp;ROW())=B94),1,IF(AND(INDIRECT(A73&amp;ROW())=B95,INDIRECT(A96&amp;ROW())=C93),1,IF(AND(INDIRECT(A73&amp;ROW())=B95,INDIRECT(A96&amp;ROW())=C94),1,0)))</f>
        <v>0</v>
      </c>
      <c r="J679">
        <f ca="1">IF(AND(INDIRECT(A73&amp;ROW())=B95,INDIRECT(A96&amp;ROW())=C95),1,IF(AND(INDIRECT(A73&amp;ROW())=B95,INDIRECT(A96&amp;ROW())=C96),1,0))</f>
        <v>0</v>
      </c>
      <c r="K679">
        <f ca="1">DAYS360(INDIRECT(C68&amp;ROW()),TODAY())</f>
        <v>675</v>
      </c>
      <c r="L679">
        <f ca="1">DAYS360(INDIRECT(C69&amp;ROW()),TODAY())</f>
        <v>676</v>
      </c>
      <c r="M679">
        <f ca="1">HYPERLINK(CONCATENATE("https://bugzilla.houston.hp.com:1181/bugzilla/show_bug.cgi?id=",INDIRECT(C70&amp;ROW())),INDIRECT(C70&amp;ROW()))</f>
        <v>64143</v>
      </c>
      <c r="N679">
        <v>64143</v>
      </c>
      <c r="O679" t="s">
        <v>56</v>
      </c>
      <c r="P679" t="s">
        <v>1274</v>
      </c>
      <c r="Q679" t="s">
        <v>16</v>
      </c>
      <c r="R679" t="s">
        <v>783</v>
      </c>
      <c r="S679" t="s">
        <v>552</v>
      </c>
      <c r="U679" s="6">
        <v>42172.064236111109</v>
      </c>
      <c r="V679" t="s">
        <v>18</v>
      </c>
      <c r="W679" t="s">
        <v>63</v>
      </c>
      <c r="X679" s="6">
        <v>42171.419722222221</v>
      </c>
      <c r="Y679" t="s">
        <v>792</v>
      </c>
      <c r="AB679" t="s">
        <v>201</v>
      </c>
      <c r="AC679" t="s">
        <v>247</v>
      </c>
      <c r="AD679" t="s">
        <v>220</v>
      </c>
      <c r="AE679" t="s">
        <v>219</v>
      </c>
      <c r="AG679" t="s">
        <v>121</v>
      </c>
      <c r="AH679" t="s">
        <v>327</v>
      </c>
      <c r="AI679" t="s">
        <v>121</v>
      </c>
      <c r="AJ679" t="s">
        <v>717</v>
      </c>
      <c r="AK679" t="s">
        <v>121</v>
      </c>
    </row>
    <row r="680" spans="9:37" x14ac:dyDescent="0.3">
      <c r="I680">
        <f ca="1">IF(OR(INDIRECT(A73&amp;ROW())=B93,INDIRECT(A73&amp;ROW())=B94),1,IF(AND(INDIRECT(A73&amp;ROW())=B95,INDIRECT(A96&amp;ROW())=C93),1,IF(AND(INDIRECT(A73&amp;ROW())=B95,INDIRECT(A96&amp;ROW())=C94),1,0)))</f>
        <v>0</v>
      </c>
      <c r="J680">
        <f ca="1">IF(AND(INDIRECT(A73&amp;ROW())=B95,INDIRECT(A96&amp;ROW())=C95),1,IF(AND(INDIRECT(A73&amp;ROW())=B95,INDIRECT(A96&amp;ROW())=C96),1,0))</f>
        <v>0</v>
      </c>
      <c r="K680">
        <f ca="1">DAYS360(INDIRECT(C68&amp;ROW()),TODAY())</f>
        <v>675</v>
      </c>
      <c r="L680">
        <f ca="1">DAYS360(INDIRECT(C69&amp;ROW()),TODAY())</f>
        <v>676</v>
      </c>
      <c r="M680">
        <f ca="1">HYPERLINK(CONCATENATE("https://bugzilla.houston.hp.com:1181/bugzilla/show_bug.cgi?id=",INDIRECT(C70&amp;ROW())),INDIRECT(C70&amp;ROW()))</f>
        <v>64144</v>
      </c>
      <c r="N680">
        <v>64144</v>
      </c>
      <c r="O680" t="s">
        <v>56</v>
      </c>
      <c r="P680" t="s">
        <v>1273</v>
      </c>
      <c r="Q680" t="s">
        <v>16</v>
      </c>
      <c r="R680" t="s">
        <v>248</v>
      </c>
      <c r="S680" t="s">
        <v>552</v>
      </c>
      <c r="U680" s="6">
        <v>42172.06449074074</v>
      </c>
      <c r="V680" t="s">
        <v>18</v>
      </c>
      <c r="W680" t="s">
        <v>63</v>
      </c>
      <c r="X680" s="6">
        <v>42171.419791666667</v>
      </c>
      <c r="Y680" t="s">
        <v>792</v>
      </c>
      <c r="AB680" t="s">
        <v>201</v>
      </c>
      <c r="AC680" t="s">
        <v>247</v>
      </c>
      <c r="AD680" t="s">
        <v>220</v>
      </c>
      <c r="AE680" t="s">
        <v>219</v>
      </c>
      <c r="AG680" t="s">
        <v>121</v>
      </c>
      <c r="AH680" t="s">
        <v>327</v>
      </c>
      <c r="AI680" t="s">
        <v>121</v>
      </c>
      <c r="AJ680" t="s">
        <v>717</v>
      </c>
      <c r="AK680" t="s">
        <v>121</v>
      </c>
    </row>
    <row r="681" spans="9:37" x14ac:dyDescent="0.3">
      <c r="I681">
        <f ca="1">IF(OR(INDIRECT(A73&amp;ROW())=B93,INDIRECT(A73&amp;ROW())=B94),1,IF(AND(INDIRECT(A73&amp;ROW())=B95,INDIRECT(A96&amp;ROW())=C93),1,IF(AND(INDIRECT(A73&amp;ROW())=B95,INDIRECT(A96&amp;ROW())=C94),1,0)))</f>
        <v>0</v>
      </c>
      <c r="J681">
        <f ca="1">IF(AND(INDIRECT(A73&amp;ROW())=B95,INDIRECT(A96&amp;ROW())=C95),1,IF(AND(INDIRECT(A73&amp;ROW())=B95,INDIRECT(A96&amp;ROW())=C96),1,0))</f>
        <v>0</v>
      </c>
      <c r="K681">
        <f ca="1">DAYS360(INDIRECT(C68&amp;ROW()),TODAY())</f>
        <v>675</v>
      </c>
      <c r="L681">
        <f ca="1">DAYS360(INDIRECT(C69&amp;ROW()),TODAY())</f>
        <v>676</v>
      </c>
      <c r="M681">
        <f ca="1">HYPERLINK(CONCATENATE("https://bugzilla.houston.hp.com:1181/bugzilla/show_bug.cgi?id=",INDIRECT(C70&amp;ROW())),INDIRECT(C70&amp;ROW()))</f>
        <v>64164</v>
      </c>
      <c r="N681">
        <v>64164</v>
      </c>
      <c r="O681" t="s">
        <v>56</v>
      </c>
      <c r="P681" t="s">
        <v>1272</v>
      </c>
      <c r="Q681" t="s">
        <v>16</v>
      </c>
      <c r="R681" t="s">
        <v>251</v>
      </c>
      <c r="S681" t="s">
        <v>1271</v>
      </c>
      <c r="U681" s="6">
        <v>42172.56994212963</v>
      </c>
      <c r="V681" t="s">
        <v>18</v>
      </c>
      <c r="W681" t="s">
        <v>64</v>
      </c>
      <c r="X681" s="6">
        <v>42171.680752314816</v>
      </c>
      <c r="Y681" t="s">
        <v>124</v>
      </c>
      <c r="AB681" t="s">
        <v>200</v>
      </c>
      <c r="AC681" t="s">
        <v>247</v>
      </c>
      <c r="AD681" t="s">
        <v>220</v>
      </c>
      <c r="AE681" t="s">
        <v>219</v>
      </c>
      <c r="AG681" t="s">
        <v>121</v>
      </c>
      <c r="AH681" t="s">
        <v>1267</v>
      </c>
      <c r="AI681" t="s">
        <v>121</v>
      </c>
      <c r="AJ681" t="s">
        <v>716</v>
      </c>
      <c r="AK681" t="s">
        <v>121</v>
      </c>
    </row>
    <row r="682" spans="9:37" x14ac:dyDescent="0.3">
      <c r="I682">
        <f ca="1">IF(OR(INDIRECT(A73&amp;ROW())=B93,INDIRECT(A73&amp;ROW())=B94),1,IF(AND(INDIRECT(A73&amp;ROW())=B95,INDIRECT(A96&amp;ROW())=C93),1,IF(AND(INDIRECT(A73&amp;ROW())=B95,INDIRECT(A96&amp;ROW())=C94),1,0)))</f>
        <v>0</v>
      </c>
      <c r="J682">
        <f ca="1">IF(AND(INDIRECT(A73&amp;ROW())=B95,INDIRECT(A96&amp;ROW())=C95),1,IF(AND(INDIRECT(A73&amp;ROW())=B95,INDIRECT(A96&amp;ROW())=C96),1,0))</f>
        <v>0</v>
      </c>
      <c r="K682">
        <f ca="1">DAYS360(INDIRECT(C68&amp;ROW()),TODAY())</f>
        <v>675</v>
      </c>
      <c r="L682">
        <f ca="1">DAYS360(INDIRECT(C69&amp;ROW()),TODAY())</f>
        <v>675</v>
      </c>
      <c r="M682">
        <f ca="1">HYPERLINK(CONCATENATE("https://bugzilla.houston.hp.com:1181/bugzilla/show_bug.cgi?id=",INDIRECT(C70&amp;ROW())),INDIRECT(C70&amp;ROW()))</f>
        <v>64174</v>
      </c>
      <c r="N682">
        <v>64174</v>
      </c>
      <c r="O682" t="s">
        <v>56</v>
      </c>
      <c r="P682" t="s">
        <v>1270</v>
      </c>
      <c r="Q682" t="s">
        <v>16</v>
      </c>
      <c r="R682" t="s">
        <v>579</v>
      </c>
      <c r="S682" t="s">
        <v>552</v>
      </c>
      <c r="U682" s="6">
        <v>42172.300520833334</v>
      </c>
      <c r="V682" t="s">
        <v>18</v>
      </c>
      <c r="W682" t="s">
        <v>64</v>
      </c>
      <c r="X682" s="6">
        <v>42172.017511574071</v>
      </c>
      <c r="Y682" t="s">
        <v>124</v>
      </c>
      <c r="AB682" t="s">
        <v>200</v>
      </c>
      <c r="AC682" t="s">
        <v>247</v>
      </c>
      <c r="AD682" t="s">
        <v>220</v>
      </c>
      <c r="AE682" t="s">
        <v>219</v>
      </c>
      <c r="AG682" t="s">
        <v>121</v>
      </c>
      <c r="AH682" t="s">
        <v>1267</v>
      </c>
      <c r="AI682" t="s">
        <v>121</v>
      </c>
      <c r="AJ682" t="s">
        <v>716</v>
      </c>
      <c r="AK682" t="s">
        <v>121</v>
      </c>
    </row>
    <row r="683" spans="9:37" x14ac:dyDescent="0.3">
      <c r="I683">
        <f ca="1">IF(OR(INDIRECT(A73&amp;ROW())=B93,INDIRECT(A73&amp;ROW())=B94),1,IF(AND(INDIRECT(A73&amp;ROW())=B95,INDIRECT(A96&amp;ROW())=C93),1,IF(AND(INDIRECT(A73&amp;ROW())=B95,INDIRECT(A96&amp;ROW())=C94),1,0)))</f>
        <v>0</v>
      </c>
      <c r="J683">
        <f ca="1">IF(AND(INDIRECT(A73&amp;ROW())=B95,INDIRECT(A96&amp;ROW())=C95),1,IF(AND(INDIRECT(A73&amp;ROW())=B95,INDIRECT(A96&amp;ROW())=C96),1,0))</f>
        <v>0</v>
      </c>
      <c r="K683">
        <f ca="1">DAYS360(INDIRECT(C68&amp;ROW()),TODAY())</f>
        <v>675</v>
      </c>
      <c r="L683">
        <f ca="1">DAYS360(INDIRECT(C69&amp;ROW()),TODAY())</f>
        <v>675</v>
      </c>
      <c r="M683">
        <f ca="1">HYPERLINK(CONCATENATE("https://bugzilla.houston.hp.com:1181/bugzilla/show_bug.cgi?id=",INDIRECT(C70&amp;ROW())),INDIRECT(C70&amp;ROW()))</f>
        <v>64175</v>
      </c>
      <c r="N683">
        <v>64175</v>
      </c>
      <c r="O683" t="s">
        <v>56</v>
      </c>
      <c r="P683" t="s">
        <v>1269</v>
      </c>
      <c r="Q683" t="s">
        <v>16</v>
      </c>
      <c r="R683" t="s">
        <v>783</v>
      </c>
      <c r="S683" t="s">
        <v>552</v>
      </c>
      <c r="U683" s="6">
        <v>42172.300520833334</v>
      </c>
      <c r="V683" t="s">
        <v>18</v>
      </c>
      <c r="W683" t="s">
        <v>64</v>
      </c>
      <c r="X683" s="6">
        <v>42172.017592592594</v>
      </c>
      <c r="Y683" t="s">
        <v>124</v>
      </c>
      <c r="AB683" t="s">
        <v>200</v>
      </c>
      <c r="AC683" t="s">
        <v>247</v>
      </c>
      <c r="AD683" t="s">
        <v>220</v>
      </c>
      <c r="AE683" t="s">
        <v>219</v>
      </c>
      <c r="AG683" t="s">
        <v>121</v>
      </c>
      <c r="AH683" t="s">
        <v>1267</v>
      </c>
      <c r="AI683" t="s">
        <v>121</v>
      </c>
      <c r="AJ683" t="s">
        <v>716</v>
      </c>
      <c r="AK683" t="s">
        <v>121</v>
      </c>
    </row>
    <row r="684" spans="9:37" x14ac:dyDescent="0.3">
      <c r="I684">
        <f ca="1">IF(OR(INDIRECT(A73&amp;ROW())=B93,INDIRECT(A73&amp;ROW())=B94),1,IF(AND(INDIRECT(A73&amp;ROW())=B95,INDIRECT(A96&amp;ROW())=C93),1,IF(AND(INDIRECT(A73&amp;ROW())=B95,INDIRECT(A96&amp;ROW())=C94),1,0)))</f>
        <v>0</v>
      </c>
      <c r="J684">
        <f ca="1">IF(AND(INDIRECT(A73&amp;ROW())=B95,INDIRECT(A96&amp;ROW())=C95),1,IF(AND(INDIRECT(A73&amp;ROW())=B95,INDIRECT(A96&amp;ROW())=C96),1,0))</f>
        <v>0</v>
      </c>
      <c r="K684">
        <f ca="1">DAYS360(INDIRECT(C68&amp;ROW()),TODAY())</f>
        <v>675</v>
      </c>
      <c r="L684">
        <f ca="1">DAYS360(INDIRECT(C69&amp;ROW()),TODAY())</f>
        <v>675</v>
      </c>
      <c r="M684">
        <f ca="1">HYPERLINK(CONCATENATE("https://bugzilla.houston.hp.com:1181/bugzilla/show_bug.cgi?id=",INDIRECT(C70&amp;ROW())),INDIRECT(C70&amp;ROW()))</f>
        <v>64176</v>
      </c>
      <c r="N684">
        <v>64176</v>
      </c>
      <c r="O684" t="s">
        <v>56</v>
      </c>
      <c r="P684" t="s">
        <v>1268</v>
      </c>
      <c r="Q684" t="s">
        <v>16</v>
      </c>
      <c r="R684" t="s">
        <v>248</v>
      </c>
      <c r="S684" t="s">
        <v>552</v>
      </c>
      <c r="U684" s="6">
        <v>42172.300543981481</v>
      </c>
      <c r="V684" t="s">
        <v>18</v>
      </c>
      <c r="W684" t="s">
        <v>64</v>
      </c>
      <c r="X684" s="6">
        <v>42172.017685185187</v>
      </c>
      <c r="Y684" t="s">
        <v>124</v>
      </c>
      <c r="AB684" t="s">
        <v>200</v>
      </c>
      <c r="AC684" t="s">
        <v>247</v>
      </c>
      <c r="AD684" t="s">
        <v>220</v>
      </c>
      <c r="AE684" t="s">
        <v>219</v>
      </c>
      <c r="AG684" t="s">
        <v>121</v>
      </c>
      <c r="AH684" t="s">
        <v>1267</v>
      </c>
      <c r="AI684" t="s">
        <v>121</v>
      </c>
      <c r="AJ684" t="s">
        <v>716</v>
      </c>
      <c r="AK684" t="s">
        <v>121</v>
      </c>
    </row>
    <row r="685" spans="9:37" x14ac:dyDescent="0.3">
      <c r="I685">
        <f ca="1">IF(OR(INDIRECT(A73&amp;ROW())=B93,INDIRECT(A73&amp;ROW())=B94),1,IF(AND(INDIRECT(A73&amp;ROW())=B95,INDIRECT(A96&amp;ROW())=C93),1,IF(AND(INDIRECT(A73&amp;ROW())=B95,INDIRECT(A96&amp;ROW())=C94),1,0)))</f>
        <v>1</v>
      </c>
      <c r="J685">
        <f ca="1">IF(AND(INDIRECT(A73&amp;ROW())=B95,INDIRECT(A96&amp;ROW())=C95),1,IF(AND(INDIRECT(A73&amp;ROW())=B95,INDIRECT(A96&amp;ROW())=C96),1,0))</f>
        <v>0</v>
      </c>
      <c r="K685">
        <f ca="1">DAYS360(INDIRECT(C68&amp;ROW()),TODAY())</f>
        <v>675</v>
      </c>
      <c r="L685">
        <f ca="1">DAYS360(INDIRECT(C69&amp;ROW()),TODAY())</f>
        <v>675</v>
      </c>
      <c r="M685">
        <f ca="1">HYPERLINK(CONCATENATE("https://bugzilla.houston.hp.com:1181/bugzilla/show_bug.cgi?id=",INDIRECT(C70&amp;ROW())),INDIRECT(C70&amp;ROW()))</f>
        <v>64205</v>
      </c>
      <c r="N685">
        <v>64205</v>
      </c>
      <c r="O685" t="s">
        <v>56</v>
      </c>
      <c r="P685" t="s">
        <v>1266</v>
      </c>
      <c r="Q685" t="s">
        <v>25</v>
      </c>
      <c r="R685" t="s">
        <v>579</v>
      </c>
      <c r="S685" t="s">
        <v>552</v>
      </c>
      <c r="U685" s="6">
        <v>42172.340856481482</v>
      </c>
      <c r="V685" t="s">
        <v>18</v>
      </c>
      <c r="W685" t="s">
        <v>63</v>
      </c>
      <c r="X685" s="6">
        <v>42172.340856481482</v>
      </c>
      <c r="Y685" t="s">
        <v>801</v>
      </c>
      <c r="AB685" t="s">
        <v>199</v>
      </c>
      <c r="AC685" t="s">
        <v>247</v>
      </c>
      <c r="AD685" t="s">
        <v>220</v>
      </c>
      <c r="AE685" t="s">
        <v>219</v>
      </c>
      <c r="AG685" t="s">
        <v>121</v>
      </c>
      <c r="AH685" t="s">
        <v>327</v>
      </c>
      <c r="AI685" t="s">
        <v>121</v>
      </c>
      <c r="AJ685" t="s">
        <v>715</v>
      </c>
      <c r="AK685" t="s">
        <v>121</v>
      </c>
    </row>
    <row r="686" spans="9:37" x14ac:dyDescent="0.3">
      <c r="I686">
        <f ca="1">IF(OR(INDIRECT(A73&amp;ROW())=B93,INDIRECT(A73&amp;ROW())=B94),1,IF(AND(INDIRECT(A73&amp;ROW())=B95,INDIRECT(A96&amp;ROW())=C93),1,IF(AND(INDIRECT(A73&amp;ROW())=B95,INDIRECT(A96&amp;ROW())=C94),1,0)))</f>
        <v>1</v>
      </c>
      <c r="J686">
        <f ca="1">IF(AND(INDIRECT(A73&amp;ROW())=B95,INDIRECT(A96&amp;ROW())=C95),1,IF(AND(INDIRECT(A73&amp;ROW())=B95,INDIRECT(A96&amp;ROW())=C96),1,0))</f>
        <v>0</v>
      </c>
      <c r="K686">
        <f ca="1">DAYS360(INDIRECT(C68&amp;ROW()),TODAY())</f>
        <v>675</v>
      </c>
      <c r="L686">
        <f ca="1">DAYS360(INDIRECT(C69&amp;ROW()),TODAY())</f>
        <v>675</v>
      </c>
      <c r="M686">
        <f ca="1">HYPERLINK(CONCATENATE("https://bugzilla.houston.hp.com:1181/bugzilla/show_bug.cgi?id=",INDIRECT(C70&amp;ROW())),INDIRECT(C70&amp;ROW()))</f>
        <v>64206</v>
      </c>
      <c r="N686">
        <v>64206</v>
      </c>
      <c r="O686" t="s">
        <v>59</v>
      </c>
      <c r="P686" t="s">
        <v>1265</v>
      </c>
      <c r="Q686" t="s">
        <v>25</v>
      </c>
      <c r="R686" t="s">
        <v>783</v>
      </c>
      <c r="S686" t="s">
        <v>552</v>
      </c>
      <c r="U686" s="6">
        <v>42172.375092592592</v>
      </c>
      <c r="V686" t="s">
        <v>18</v>
      </c>
      <c r="W686" t="s">
        <v>63</v>
      </c>
      <c r="X686" s="6">
        <v>42172.340914351851</v>
      </c>
      <c r="Y686" t="s">
        <v>801</v>
      </c>
      <c r="AB686" t="s">
        <v>199</v>
      </c>
      <c r="AC686" t="s">
        <v>247</v>
      </c>
      <c r="AD686" t="s">
        <v>220</v>
      </c>
      <c r="AE686" t="s">
        <v>219</v>
      </c>
      <c r="AG686" t="s">
        <v>121</v>
      </c>
      <c r="AH686" t="s">
        <v>327</v>
      </c>
      <c r="AI686" t="s">
        <v>121</v>
      </c>
      <c r="AJ686" t="s">
        <v>715</v>
      </c>
      <c r="AK686" t="s">
        <v>121</v>
      </c>
    </row>
    <row r="687" spans="9:37" x14ac:dyDescent="0.3">
      <c r="I687">
        <f ca="1">IF(OR(INDIRECT(A73&amp;ROW())=B93,INDIRECT(A73&amp;ROW())=B94),1,IF(AND(INDIRECT(A73&amp;ROW())=B95,INDIRECT(A96&amp;ROW())=C93),1,IF(AND(INDIRECT(A73&amp;ROW())=B95,INDIRECT(A96&amp;ROW())=C94),1,0)))</f>
        <v>1</v>
      </c>
      <c r="J687">
        <f ca="1">IF(AND(INDIRECT(A73&amp;ROW())=B95,INDIRECT(A96&amp;ROW())=C95),1,IF(AND(INDIRECT(A73&amp;ROW())=B95,INDIRECT(A96&amp;ROW())=C96),1,0))</f>
        <v>0</v>
      </c>
      <c r="K687">
        <f ca="1">DAYS360(INDIRECT(C68&amp;ROW()),TODAY())</f>
        <v>675</v>
      </c>
      <c r="L687">
        <f ca="1">DAYS360(INDIRECT(C69&amp;ROW()),TODAY())</f>
        <v>675</v>
      </c>
      <c r="M687">
        <f ca="1">HYPERLINK(CONCATENATE("https://bugzilla.houston.hp.com:1181/bugzilla/show_bug.cgi?id=",INDIRECT(C70&amp;ROW())),INDIRECT(C70&amp;ROW()))</f>
        <v>64207</v>
      </c>
      <c r="N687">
        <v>64207</v>
      </c>
      <c r="O687" t="s">
        <v>56</v>
      </c>
      <c r="P687" t="s">
        <v>1264</v>
      </c>
      <c r="Q687" t="s">
        <v>25</v>
      </c>
      <c r="R687" t="s">
        <v>248</v>
      </c>
      <c r="S687" t="s">
        <v>552</v>
      </c>
      <c r="U687" s="6">
        <v>42172.340995370374</v>
      </c>
      <c r="V687" t="s">
        <v>18</v>
      </c>
      <c r="W687" t="s">
        <v>63</v>
      </c>
      <c r="X687" s="6">
        <v>42172.340995370374</v>
      </c>
      <c r="Y687" t="s">
        <v>801</v>
      </c>
      <c r="AB687" t="s">
        <v>199</v>
      </c>
      <c r="AC687" t="s">
        <v>247</v>
      </c>
      <c r="AD687" t="s">
        <v>220</v>
      </c>
      <c r="AE687" t="s">
        <v>219</v>
      </c>
      <c r="AG687" t="s">
        <v>121</v>
      </c>
      <c r="AH687" t="s">
        <v>327</v>
      </c>
      <c r="AI687" t="s">
        <v>121</v>
      </c>
      <c r="AJ687" t="s">
        <v>715</v>
      </c>
      <c r="AK687" t="s">
        <v>121</v>
      </c>
    </row>
    <row r="688" spans="9:37" x14ac:dyDescent="0.3">
      <c r="I688">
        <f ca="1">IF(OR(INDIRECT(A73&amp;ROW())=B93,INDIRECT(A73&amp;ROW())=B94),1,IF(AND(INDIRECT(A73&amp;ROW())=B95,INDIRECT(A96&amp;ROW())=C93),1,IF(AND(INDIRECT(A73&amp;ROW())=B95,INDIRECT(A96&amp;ROW())=C94),1,0)))</f>
        <v>1</v>
      </c>
      <c r="J688">
        <f ca="1">IF(AND(INDIRECT(A73&amp;ROW())=B95,INDIRECT(A96&amp;ROW())=C95),1,IF(AND(INDIRECT(A73&amp;ROW())=B95,INDIRECT(A96&amp;ROW())=C96),1,0))</f>
        <v>0</v>
      </c>
      <c r="K688">
        <f ca="1">DAYS360(INDIRECT(C68&amp;ROW()),TODAY())</f>
        <v>675</v>
      </c>
      <c r="L688">
        <f ca="1">DAYS360(INDIRECT(C69&amp;ROW()),TODAY())</f>
        <v>675</v>
      </c>
      <c r="M688">
        <f ca="1">HYPERLINK(CONCATENATE("https://bugzilla.houston.hp.com:1181/bugzilla/show_bug.cgi?id=",INDIRECT(C70&amp;ROW())),INDIRECT(C70&amp;ROW()))</f>
        <v>64221</v>
      </c>
      <c r="N688">
        <v>64221</v>
      </c>
      <c r="O688" t="s">
        <v>56</v>
      </c>
      <c r="P688" t="s">
        <v>1263</v>
      </c>
      <c r="Q688" t="s">
        <v>39</v>
      </c>
      <c r="R688" t="s">
        <v>251</v>
      </c>
      <c r="S688" t="s">
        <v>177</v>
      </c>
      <c r="U688" s="6">
        <v>42172.46398148148</v>
      </c>
      <c r="V688" t="s">
        <v>18</v>
      </c>
      <c r="W688" t="s">
        <v>783</v>
      </c>
      <c r="X688" s="6">
        <v>42172.434386574074</v>
      </c>
      <c r="Y688" t="s">
        <v>245</v>
      </c>
      <c r="AB688" t="s">
        <v>201</v>
      </c>
      <c r="AC688" t="s">
        <v>247</v>
      </c>
      <c r="AD688" t="s">
        <v>220</v>
      </c>
      <c r="AE688" t="s">
        <v>219</v>
      </c>
      <c r="AG688" t="s">
        <v>121</v>
      </c>
      <c r="AH688" t="s">
        <v>327</v>
      </c>
      <c r="AI688" t="s">
        <v>121</v>
      </c>
      <c r="AJ688" t="s">
        <v>715</v>
      </c>
      <c r="AK688" t="s">
        <v>121</v>
      </c>
    </row>
    <row r="689" spans="9:37" x14ac:dyDescent="0.3">
      <c r="I689">
        <f ca="1">IF(OR(INDIRECT(A73&amp;ROW())=B93,INDIRECT(A73&amp;ROW())=B94),1,IF(AND(INDIRECT(A73&amp;ROW())=B95,INDIRECT(A96&amp;ROW())=C93),1,IF(AND(INDIRECT(A73&amp;ROW())=B95,INDIRECT(A96&amp;ROW())=C94),1,0)))</f>
        <v>1</v>
      </c>
      <c r="J689">
        <f ca="1">IF(AND(INDIRECT(A73&amp;ROW())=B95,INDIRECT(A96&amp;ROW())=C95),1,IF(AND(INDIRECT(A73&amp;ROW())=B95,INDIRECT(A96&amp;ROW())=C96),1,0))</f>
        <v>0</v>
      </c>
      <c r="K689">
        <f ca="1">DAYS360(INDIRECT(C68&amp;ROW()),TODAY())</f>
        <v>675</v>
      </c>
      <c r="L689">
        <f ca="1">DAYS360(INDIRECT(C69&amp;ROW()),TODAY())</f>
        <v>675</v>
      </c>
      <c r="M689">
        <f ca="1">HYPERLINK(CONCATENATE("https://bugzilla.houston.hp.com:1181/bugzilla/show_bug.cgi?id=",INDIRECT(C70&amp;ROW())),INDIRECT(C70&amp;ROW()))</f>
        <v>64222</v>
      </c>
      <c r="N689">
        <v>64222</v>
      </c>
      <c r="O689" t="s">
        <v>56</v>
      </c>
      <c r="P689" t="s">
        <v>1262</v>
      </c>
      <c r="Q689" t="s">
        <v>39</v>
      </c>
      <c r="R689" t="s">
        <v>579</v>
      </c>
      <c r="S689" t="s">
        <v>552</v>
      </c>
      <c r="U689" s="6">
        <v>42172.465092592596</v>
      </c>
      <c r="V689" t="s">
        <v>18</v>
      </c>
      <c r="W689" t="s">
        <v>783</v>
      </c>
      <c r="X689" s="6">
        <v>42172.453055555554</v>
      </c>
      <c r="Y689" t="s">
        <v>245</v>
      </c>
      <c r="AB689" t="s">
        <v>201</v>
      </c>
      <c r="AC689" t="s">
        <v>247</v>
      </c>
      <c r="AD689" t="s">
        <v>220</v>
      </c>
      <c r="AE689" t="s">
        <v>219</v>
      </c>
      <c r="AG689" t="s">
        <v>121</v>
      </c>
      <c r="AH689" t="s">
        <v>327</v>
      </c>
      <c r="AI689" t="s">
        <v>121</v>
      </c>
      <c r="AJ689" t="s">
        <v>715</v>
      </c>
      <c r="AK689" t="s">
        <v>121</v>
      </c>
    </row>
    <row r="690" spans="9:37" x14ac:dyDescent="0.3">
      <c r="I690">
        <f ca="1">IF(OR(INDIRECT(A73&amp;ROW())=B93,INDIRECT(A73&amp;ROW())=B94),1,IF(AND(INDIRECT(A73&amp;ROW())=B95,INDIRECT(A96&amp;ROW())=C93),1,IF(AND(INDIRECT(A73&amp;ROW())=B95,INDIRECT(A96&amp;ROW())=C94),1,0)))</f>
        <v>1</v>
      </c>
      <c r="J690">
        <f ca="1">IF(AND(INDIRECT(A73&amp;ROW())=B95,INDIRECT(A96&amp;ROW())=C95),1,IF(AND(INDIRECT(A73&amp;ROW())=B95,INDIRECT(A96&amp;ROW())=C96),1,0))</f>
        <v>0</v>
      </c>
      <c r="K690">
        <f ca="1">DAYS360(INDIRECT(C68&amp;ROW()),TODAY())</f>
        <v>675</v>
      </c>
      <c r="L690">
        <f ca="1">DAYS360(INDIRECT(C69&amp;ROW()),TODAY())</f>
        <v>675</v>
      </c>
      <c r="M690">
        <f ca="1">HYPERLINK(CONCATENATE("https://bugzilla.houston.hp.com:1181/bugzilla/show_bug.cgi?id=",INDIRECT(C70&amp;ROW())),INDIRECT(C70&amp;ROW()))</f>
        <v>64223</v>
      </c>
      <c r="N690">
        <v>64223</v>
      </c>
      <c r="O690" t="s">
        <v>56</v>
      </c>
      <c r="P690" t="s">
        <v>1261</v>
      </c>
      <c r="Q690" t="s">
        <v>39</v>
      </c>
      <c r="R690" t="s">
        <v>783</v>
      </c>
      <c r="S690" t="s">
        <v>552</v>
      </c>
      <c r="U690" s="6">
        <v>42172.465069444443</v>
      </c>
      <c r="V690" t="s">
        <v>18</v>
      </c>
      <c r="W690" t="s">
        <v>783</v>
      </c>
      <c r="X690" s="6">
        <v>42172.453125</v>
      </c>
      <c r="Y690" t="s">
        <v>245</v>
      </c>
      <c r="AB690" t="s">
        <v>201</v>
      </c>
      <c r="AC690" t="s">
        <v>247</v>
      </c>
      <c r="AD690" t="s">
        <v>220</v>
      </c>
      <c r="AE690" t="s">
        <v>219</v>
      </c>
      <c r="AG690" t="s">
        <v>121</v>
      </c>
      <c r="AH690" t="s">
        <v>327</v>
      </c>
      <c r="AI690" t="s">
        <v>121</v>
      </c>
      <c r="AJ690" t="s">
        <v>715</v>
      </c>
      <c r="AK690" t="s">
        <v>121</v>
      </c>
    </row>
    <row r="691" spans="9:37" x14ac:dyDescent="0.3">
      <c r="I691">
        <f ca="1">IF(OR(INDIRECT(A73&amp;ROW())=B93,INDIRECT(A73&amp;ROW())=B94),1,IF(AND(INDIRECT(A73&amp;ROW())=B95,INDIRECT(A96&amp;ROW())=C93),1,IF(AND(INDIRECT(A73&amp;ROW())=B95,INDIRECT(A96&amp;ROW())=C94),1,0)))</f>
        <v>1</v>
      </c>
      <c r="J691">
        <f ca="1">IF(AND(INDIRECT(A73&amp;ROW())=B95,INDIRECT(A96&amp;ROW())=C95),1,IF(AND(INDIRECT(A73&amp;ROW())=B95,INDIRECT(A96&amp;ROW())=C96),1,0))</f>
        <v>0</v>
      </c>
      <c r="K691">
        <f ca="1">DAYS360(INDIRECT(C68&amp;ROW()),TODAY())</f>
        <v>675</v>
      </c>
      <c r="L691">
        <f ca="1">DAYS360(INDIRECT(C69&amp;ROW()),TODAY())</f>
        <v>675</v>
      </c>
      <c r="M691">
        <f ca="1">HYPERLINK(CONCATENATE("https://bugzilla.houston.hp.com:1181/bugzilla/show_bug.cgi?id=",INDIRECT(C70&amp;ROW())),INDIRECT(C70&amp;ROW()))</f>
        <v>64224</v>
      </c>
      <c r="N691">
        <v>64224</v>
      </c>
      <c r="O691" t="s">
        <v>56</v>
      </c>
      <c r="P691" t="s">
        <v>1260</v>
      </c>
      <c r="Q691" t="s">
        <v>39</v>
      </c>
      <c r="R691" t="s">
        <v>248</v>
      </c>
      <c r="S691" t="s">
        <v>552</v>
      </c>
      <c r="U691" s="6">
        <v>42172.465081018519</v>
      </c>
      <c r="V691" t="s">
        <v>18</v>
      </c>
      <c r="W691" t="s">
        <v>783</v>
      </c>
      <c r="X691" s="6">
        <v>42172.453182870369</v>
      </c>
      <c r="Y691" t="s">
        <v>245</v>
      </c>
      <c r="AB691" t="s">
        <v>201</v>
      </c>
      <c r="AC691" t="s">
        <v>247</v>
      </c>
      <c r="AD691" t="s">
        <v>220</v>
      </c>
      <c r="AE691" t="s">
        <v>219</v>
      </c>
      <c r="AG691" t="s">
        <v>121</v>
      </c>
      <c r="AH691" t="s">
        <v>327</v>
      </c>
      <c r="AI691" t="s">
        <v>121</v>
      </c>
      <c r="AJ691" t="s">
        <v>715</v>
      </c>
      <c r="AK691" t="s">
        <v>121</v>
      </c>
    </row>
    <row r="692" spans="9:37" x14ac:dyDescent="0.3">
      <c r="I692">
        <f ca="1">IF(OR(INDIRECT(A73&amp;ROW())=B93,INDIRECT(A73&amp;ROW())=B94),1,IF(AND(INDIRECT(A73&amp;ROW())=B95,INDIRECT(A96&amp;ROW())=C93),1,IF(AND(INDIRECT(A73&amp;ROW())=B95,INDIRECT(A96&amp;ROW())=C94),1,0)))</f>
        <v>0</v>
      </c>
      <c r="J692">
        <f ca="1">IF(AND(INDIRECT(A73&amp;ROW())=B95,INDIRECT(A96&amp;ROW())=C95),1,IF(AND(INDIRECT(A73&amp;ROW())=B95,INDIRECT(A96&amp;ROW())=C96),1,0))</f>
        <v>1</v>
      </c>
      <c r="K692">
        <f ca="1">DAYS360(INDIRECT(C68&amp;ROW()),TODAY())</f>
        <v>675</v>
      </c>
      <c r="L692">
        <f ca="1">DAYS360(INDIRECT(C69&amp;ROW()),TODAY())</f>
        <v>675</v>
      </c>
      <c r="M692">
        <f ca="1">HYPERLINK(CONCATENATE("https://bugzilla.houston.hp.com:1181/bugzilla/show_bug.cgi?id=",INDIRECT(C70&amp;ROW())),INDIRECT(C70&amp;ROW()))</f>
        <v>64245</v>
      </c>
      <c r="N692">
        <v>64245</v>
      </c>
      <c r="O692" t="s">
        <v>22</v>
      </c>
      <c r="P692" t="s">
        <v>1259</v>
      </c>
      <c r="Q692" t="s">
        <v>25</v>
      </c>
      <c r="R692" t="s">
        <v>251</v>
      </c>
      <c r="S692" t="s">
        <v>49</v>
      </c>
      <c r="U692" s="6">
        <v>42172.671354166669</v>
      </c>
      <c r="V692" t="s">
        <v>18</v>
      </c>
      <c r="W692" t="s">
        <v>783</v>
      </c>
      <c r="X692" s="6">
        <v>42172.644525462965</v>
      </c>
      <c r="Y692" t="s">
        <v>244</v>
      </c>
      <c r="AB692" t="s">
        <v>201</v>
      </c>
      <c r="AC692" t="s">
        <v>247</v>
      </c>
      <c r="AD692" t="s">
        <v>222</v>
      </c>
      <c r="AE692" t="s">
        <v>225</v>
      </c>
      <c r="AG692" t="s">
        <v>121</v>
      </c>
      <c r="AH692" t="s">
        <v>327</v>
      </c>
      <c r="AI692" t="s">
        <v>121</v>
      </c>
      <c r="AJ692" t="s">
        <v>716</v>
      </c>
      <c r="AK692" t="s">
        <v>121</v>
      </c>
    </row>
    <row r="693" spans="9:37" x14ac:dyDescent="0.3">
      <c r="I693">
        <f ca="1">IF(OR(INDIRECT(A73&amp;ROW())=B93,INDIRECT(A73&amp;ROW())=B94),1,IF(AND(INDIRECT(A73&amp;ROW())=B95,INDIRECT(A96&amp;ROW())=C93),1,IF(AND(INDIRECT(A73&amp;ROW())=B95,INDIRECT(A96&amp;ROW())=C94),1,0)))</f>
        <v>0</v>
      </c>
      <c r="J693">
        <f ca="1">IF(AND(INDIRECT(A73&amp;ROW())=B95,INDIRECT(A96&amp;ROW())=C95),1,IF(AND(INDIRECT(A73&amp;ROW())=B95,INDIRECT(A96&amp;ROW())=C96),1,0))</f>
        <v>1</v>
      </c>
      <c r="K693">
        <f ca="1">DAYS360(INDIRECT(C68&amp;ROW()),TODAY())</f>
        <v>675</v>
      </c>
      <c r="L693">
        <f ca="1">DAYS360(INDIRECT(C69&amp;ROW()),TODAY())</f>
        <v>675</v>
      </c>
      <c r="M693">
        <f ca="1">HYPERLINK(CONCATENATE("https://bugzilla.houston.hp.com:1181/bugzilla/show_bug.cgi?id=",INDIRECT(C70&amp;ROW())),INDIRECT(C70&amp;ROW()))</f>
        <v>64246</v>
      </c>
      <c r="N693">
        <v>64246</v>
      </c>
      <c r="O693" t="s">
        <v>22</v>
      </c>
      <c r="P693" t="s">
        <v>1258</v>
      </c>
      <c r="Q693" t="s">
        <v>25</v>
      </c>
      <c r="R693" t="s">
        <v>579</v>
      </c>
      <c r="S693" t="s">
        <v>552</v>
      </c>
      <c r="U693" s="6">
        <v>42172.671203703707</v>
      </c>
      <c r="V693" t="s">
        <v>18</v>
      </c>
      <c r="W693" t="s">
        <v>783</v>
      </c>
      <c r="X693" s="6">
        <v>42172.671203703707</v>
      </c>
      <c r="Y693" t="s">
        <v>244</v>
      </c>
      <c r="AB693" t="s">
        <v>201</v>
      </c>
      <c r="AC693" t="s">
        <v>247</v>
      </c>
      <c r="AD693" t="s">
        <v>222</v>
      </c>
      <c r="AE693" t="s">
        <v>225</v>
      </c>
      <c r="AG693" t="s">
        <v>121</v>
      </c>
      <c r="AH693" t="s">
        <v>327</v>
      </c>
      <c r="AI693" t="s">
        <v>121</v>
      </c>
      <c r="AJ693" t="s">
        <v>716</v>
      </c>
      <c r="AK693" t="s">
        <v>121</v>
      </c>
    </row>
    <row r="694" spans="9:37" x14ac:dyDescent="0.3">
      <c r="I694">
        <f ca="1">IF(OR(INDIRECT(A73&amp;ROW())=B93,INDIRECT(A73&amp;ROW())=B94),1,IF(AND(INDIRECT(A73&amp;ROW())=B95,INDIRECT(A96&amp;ROW())=C93),1,IF(AND(INDIRECT(A73&amp;ROW())=B95,INDIRECT(A96&amp;ROW())=C94),1,0)))</f>
        <v>0</v>
      </c>
      <c r="J694">
        <f ca="1">IF(AND(INDIRECT(A73&amp;ROW())=B95,INDIRECT(A96&amp;ROW())=C95),1,IF(AND(INDIRECT(A73&amp;ROW())=B95,INDIRECT(A96&amp;ROW())=C96),1,0))</f>
        <v>1</v>
      </c>
      <c r="K694">
        <f ca="1">DAYS360(INDIRECT(C68&amp;ROW()),TODAY())</f>
        <v>675</v>
      </c>
      <c r="L694">
        <f ca="1">DAYS360(INDIRECT(C69&amp;ROW()),TODAY())</f>
        <v>675</v>
      </c>
      <c r="M694">
        <f ca="1">HYPERLINK(CONCATENATE("https://bugzilla.houston.hp.com:1181/bugzilla/show_bug.cgi?id=",INDIRECT(C70&amp;ROW())),INDIRECT(C70&amp;ROW()))</f>
        <v>64247</v>
      </c>
      <c r="N694">
        <v>64247</v>
      </c>
      <c r="O694" t="s">
        <v>22</v>
      </c>
      <c r="P694" t="s">
        <v>1257</v>
      </c>
      <c r="Q694" t="s">
        <v>25</v>
      </c>
      <c r="R694" t="s">
        <v>783</v>
      </c>
      <c r="S694" t="s">
        <v>552</v>
      </c>
      <c r="U694" s="6">
        <v>42172.671284722222</v>
      </c>
      <c r="V694" t="s">
        <v>18</v>
      </c>
      <c r="W694" t="s">
        <v>783</v>
      </c>
      <c r="X694" s="6">
        <v>42172.671284722222</v>
      </c>
      <c r="Y694" t="s">
        <v>244</v>
      </c>
      <c r="AB694" t="s">
        <v>201</v>
      </c>
      <c r="AC694" t="s">
        <v>247</v>
      </c>
      <c r="AD694" t="s">
        <v>222</v>
      </c>
      <c r="AE694" t="s">
        <v>225</v>
      </c>
      <c r="AG694" t="s">
        <v>121</v>
      </c>
      <c r="AH694" t="s">
        <v>327</v>
      </c>
      <c r="AI694" t="s">
        <v>121</v>
      </c>
      <c r="AJ694" t="s">
        <v>716</v>
      </c>
      <c r="AK694" t="s">
        <v>121</v>
      </c>
    </row>
    <row r="695" spans="9:37" x14ac:dyDescent="0.3">
      <c r="I695">
        <f ca="1">IF(OR(INDIRECT(A73&amp;ROW())=B93,INDIRECT(A73&amp;ROW())=B94),1,IF(AND(INDIRECT(A73&amp;ROW())=B95,INDIRECT(A96&amp;ROW())=C93),1,IF(AND(INDIRECT(A73&amp;ROW())=B95,INDIRECT(A96&amp;ROW())=C94),1,0)))</f>
        <v>0</v>
      </c>
      <c r="J695">
        <f ca="1">IF(AND(INDIRECT(A73&amp;ROW())=B95,INDIRECT(A96&amp;ROW())=C95),1,IF(AND(INDIRECT(A73&amp;ROW())=B95,INDIRECT(A96&amp;ROW())=C96),1,0))</f>
        <v>1</v>
      </c>
      <c r="K695">
        <f ca="1">DAYS360(INDIRECT(C68&amp;ROW()),TODAY())</f>
        <v>675</v>
      </c>
      <c r="L695">
        <f ca="1">DAYS360(INDIRECT(C69&amp;ROW()),TODAY())</f>
        <v>675</v>
      </c>
      <c r="M695">
        <f ca="1">HYPERLINK(CONCATENATE("https://bugzilla.houston.hp.com:1181/bugzilla/show_bug.cgi?id=",INDIRECT(C70&amp;ROW())),INDIRECT(C70&amp;ROW()))</f>
        <v>64248</v>
      </c>
      <c r="N695">
        <v>64248</v>
      </c>
      <c r="O695" t="s">
        <v>22</v>
      </c>
      <c r="P695" t="s">
        <v>1256</v>
      </c>
      <c r="Q695" t="s">
        <v>25</v>
      </c>
      <c r="R695" t="s">
        <v>248</v>
      </c>
      <c r="S695" t="s">
        <v>552</v>
      </c>
      <c r="U695" s="6">
        <v>42172.671354166669</v>
      </c>
      <c r="V695" t="s">
        <v>18</v>
      </c>
      <c r="W695" t="s">
        <v>783</v>
      </c>
      <c r="X695" s="6">
        <v>42172.671354166669</v>
      </c>
      <c r="Y695" t="s">
        <v>244</v>
      </c>
      <c r="AB695" t="s">
        <v>201</v>
      </c>
      <c r="AC695" t="s">
        <v>247</v>
      </c>
      <c r="AD695" t="s">
        <v>222</v>
      </c>
      <c r="AE695" t="s">
        <v>225</v>
      </c>
      <c r="AG695" t="s">
        <v>121</v>
      </c>
      <c r="AH695" t="s">
        <v>327</v>
      </c>
      <c r="AI695" t="s">
        <v>121</v>
      </c>
      <c r="AJ695" t="s">
        <v>716</v>
      </c>
      <c r="AK695" t="s">
        <v>121</v>
      </c>
    </row>
  </sheetData>
  <autoFilter ref="I1:AK800"/>
  <hyperlinks>
    <hyperlink ref="B64" location="Assignees!A1" display="Assignees"/>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Assigned to">
          <x14:formula1>
            <xm:f>[4]Assignees!#REF!</xm:f>
          </x14:formula1>
          <xm:sqref>B39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K690"/>
  <sheetViews>
    <sheetView workbookViewId="0">
      <selection activeCell="H31" sqref="H31"/>
    </sheetView>
  </sheetViews>
  <sheetFormatPr defaultRowHeight="14.4" x14ac:dyDescent="0.3"/>
  <cols>
    <col min="2" max="2" width="25.6640625" bestFit="1" customWidth="1"/>
    <col min="4" max="4" width="18.77734375" customWidth="1"/>
    <col min="9" max="10" width="0" hidden="1" customWidth="1"/>
    <col min="11" max="12" width="4.77734375" customWidth="1"/>
    <col min="13" max="13" width="8" bestFit="1" customWidth="1"/>
    <col min="14" max="14" width="0" hidden="1" customWidth="1"/>
    <col min="15" max="15" width="18.77734375" customWidth="1"/>
    <col min="16" max="16" width="117.21875" customWidth="1"/>
    <col min="17" max="17" width="9.6640625" bestFit="1" customWidth="1"/>
    <col min="18" max="18" width="17.109375" bestFit="1" customWidth="1"/>
    <col min="19" max="19" width="31.21875" bestFit="1" customWidth="1"/>
    <col min="20" max="20" width="59.33203125" bestFit="1" customWidth="1"/>
    <col min="21" max="21" width="15.6640625" bestFit="1" customWidth="1"/>
    <col min="22" max="22" width="10" bestFit="1" customWidth="1"/>
    <col min="23" max="23" width="25.6640625" bestFit="1" customWidth="1"/>
    <col min="24" max="24" width="15.6640625" bestFit="1" customWidth="1"/>
  </cols>
  <sheetData>
    <row r="1" spans="1:37" x14ac:dyDescent="0.3">
      <c r="A1" s="1" t="s">
        <v>0</v>
      </c>
      <c r="B1" s="1" t="s">
        <v>1</v>
      </c>
      <c r="C1" s="1" t="s">
        <v>0</v>
      </c>
      <c r="D1" s="1" t="s">
        <v>2</v>
      </c>
      <c r="E1" s="1" t="s">
        <v>165</v>
      </c>
      <c r="F1" s="1" t="s">
        <v>3</v>
      </c>
      <c r="G1" s="1" t="s">
        <v>4</v>
      </c>
      <c r="H1" s="1" t="s">
        <v>373</v>
      </c>
      <c r="I1" t="s">
        <v>267</v>
      </c>
      <c r="J1" t="s">
        <v>346</v>
      </c>
      <c r="K1" t="s">
        <v>86</v>
      </c>
      <c r="L1" t="s">
        <v>87</v>
      </c>
      <c r="M1" t="s">
        <v>1123</v>
      </c>
      <c r="N1" t="s">
        <v>5</v>
      </c>
      <c r="O1" t="s">
        <v>6</v>
      </c>
      <c r="P1" t="s">
        <v>7</v>
      </c>
      <c r="Q1" t="s">
        <v>8</v>
      </c>
      <c r="R1" t="s">
        <v>9</v>
      </c>
      <c r="S1" t="s">
        <v>10</v>
      </c>
      <c r="T1" t="s">
        <v>11</v>
      </c>
      <c r="U1" t="s">
        <v>12</v>
      </c>
      <c r="V1" t="s">
        <v>13</v>
      </c>
      <c r="W1" t="s">
        <v>14</v>
      </c>
      <c r="X1" t="s">
        <v>90</v>
      </c>
      <c r="Y1" t="s">
        <v>116</v>
      </c>
      <c r="Z1" t="s">
        <v>117</v>
      </c>
      <c r="AA1" t="s">
        <v>185</v>
      </c>
      <c r="AB1" t="s">
        <v>202</v>
      </c>
      <c r="AC1" t="s">
        <v>218</v>
      </c>
      <c r="AD1" t="s">
        <v>235</v>
      </c>
      <c r="AE1" t="s">
        <v>234</v>
      </c>
      <c r="AF1" t="s">
        <v>259</v>
      </c>
      <c r="AG1" t="s">
        <v>325</v>
      </c>
      <c r="AH1" t="s">
        <v>329</v>
      </c>
      <c r="AI1" t="s">
        <v>361</v>
      </c>
      <c r="AJ1" t="s">
        <v>714</v>
      </c>
      <c r="AK1" t="s">
        <v>761</v>
      </c>
    </row>
    <row r="2" spans="1:37" x14ac:dyDescent="0.3">
      <c r="A2" s="2">
        <f ca="1">COUNTIF(INDIRECT(A68&amp;A67):INDIRECT(A69&amp;A66),INDIRECT("b"&amp;ROW()))</f>
        <v>293</v>
      </c>
      <c r="B2" s="2" t="str">
        <f>Assignees!C1</f>
        <v>Astra</v>
      </c>
      <c r="C2" s="3">
        <f ca="1">COUNTIF(INDIRECT(A71&amp;A67):INDIRECT(A71&amp;A66),INDIRECT("d"&amp;ROW()))</f>
        <v>12</v>
      </c>
      <c r="D2" s="3" t="str">
        <f>Assignees!D1</f>
        <v>Astra</v>
      </c>
      <c r="E2" s="16">
        <f ca="1">COUNTIFS(INDIRECT(A71&amp;A67):INDIRECT(A71&amp;A66),INDIRECT("d"&amp;ROW()),INDIRECT(A73&amp;A67):INDIRECT(A73&amp;A66),E1)</f>
        <v>0</v>
      </c>
      <c r="F2" s="4">
        <f ca="1">COUNTIFS(INDIRECT(A71&amp;A67):INDIRECT(A71&amp;A66),INDIRECT("d"&amp;ROW()),INDIRECT(A73&amp;A67):INDIRECT(A73&amp;A66),F1)</f>
        <v>0</v>
      </c>
      <c r="G2" s="3">
        <f ca="1">COUNTIFS(INDIRECT(A71&amp;A67):INDIRECT(A71&amp;A66),INDIRECT("d"&amp;ROW()),INDIRECT(A73&amp;A67):INDIRECT(A73&amp;A66),G1)</f>
        <v>6</v>
      </c>
      <c r="H2" s="5">
        <f ca="1">COUNTIFS(INDIRECT(A71&amp;A67):INDIRECT(A71&amp;A66),INDIRECT("d"&amp;ROW()),INDIRECT(A73&amp;A67):INDIRECT(A73&amp;A66),H1)</f>
        <v>6</v>
      </c>
      <c r="I2">
        <f ca="1">IF(OR(INDIRECT(A73&amp;ROW())=B93,INDIRECT(A73&amp;ROW())=B94),1,IF(AND(INDIRECT(A73&amp;ROW())=B95,INDIRECT(A96&amp;ROW())=C93),1,IF(AND(INDIRECT(A73&amp;ROW())=B95,INDIRECT(A96&amp;ROW())=C94),1,0)))</f>
        <v>0</v>
      </c>
      <c r="J2">
        <f ca="1">IF(AND(INDIRECT(A73&amp;ROW())=B95,INDIRECT(A96&amp;ROW())=C95),1,IF(AND(INDIRECT(A73&amp;ROW())=B95,INDIRECT(A96&amp;ROW())=C96),1,0))</f>
        <v>0</v>
      </c>
      <c r="K2">
        <f ca="1">DAYS360(INDIRECT(C68&amp;ROW()),TODAY())</f>
        <v>721</v>
      </c>
      <c r="L2">
        <f ca="1">DAYS360(INDIRECT(C69&amp;ROW()),TODAY())</f>
        <v>1221</v>
      </c>
      <c r="M2" s="11">
        <f ca="1">HYPERLINK(CONCATENATE("https://bugzilla.houston.hp.com:1181/bugzilla/show_bug.cgi?id=",INDIRECT(C70&amp;ROW())),INDIRECT(C70&amp;ROW()))</f>
        <v>37654</v>
      </c>
      <c r="N2">
        <v>37654</v>
      </c>
      <c r="O2" t="s">
        <v>55</v>
      </c>
      <c r="P2" t="s">
        <v>389</v>
      </c>
      <c r="Q2" t="s">
        <v>16</v>
      </c>
      <c r="R2" t="s">
        <v>251</v>
      </c>
      <c r="S2" t="s">
        <v>55</v>
      </c>
      <c r="U2" s="6">
        <v>42125.439826388887</v>
      </c>
      <c r="V2" t="s">
        <v>18</v>
      </c>
      <c r="W2" t="s">
        <v>17</v>
      </c>
      <c r="X2" s="6">
        <v>41619.560983796298</v>
      </c>
      <c r="Y2" t="s">
        <v>122</v>
      </c>
      <c r="AB2" t="s">
        <v>200</v>
      </c>
      <c r="AC2" t="s">
        <v>121</v>
      </c>
      <c r="AD2" t="s">
        <v>220</v>
      </c>
      <c r="AE2" t="s">
        <v>219</v>
      </c>
      <c r="AG2" t="s">
        <v>121</v>
      </c>
      <c r="AH2" t="s">
        <v>327</v>
      </c>
      <c r="AI2" t="s">
        <v>121</v>
      </c>
      <c r="AJ2" t="s">
        <v>716</v>
      </c>
      <c r="AK2" t="s">
        <v>121</v>
      </c>
    </row>
    <row r="3" spans="1:37" x14ac:dyDescent="0.3">
      <c r="A3" s="2">
        <f ca="1">COUNTIF(INDIRECT(A68&amp;A67):INDIRECT(A69&amp;A66),INDIRECT("b"&amp;ROW()))</f>
        <v>2</v>
      </c>
      <c r="B3" s="2" t="str">
        <f>Assignees!C2</f>
        <v>Astra-IR7</v>
      </c>
      <c r="C3" s="3">
        <f ca="1">COUNTIF(INDIRECT(A71&amp;A67):INDIRECT(A71&amp;A66),INDIRECT("d"&amp;ROW()))</f>
        <v>261</v>
      </c>
      <c r="D3" s="3" t="str">
        <f>Assignees!D2</f>
        <v>Atlas</v>
      </c>
      <c r="E3" s="16">
        <f ca="1">COUNTIFS(INDIRECT(A71&amp;A67):INDIRECT(A71&amp;A66),INDIRECT("d"&amp;ROW()),INDIRECT(A73&amp;A67):INDIRECT(A73&amp;A66),E1)</f>
        <v>2</v>
      </c>
      <c r="F3" s="4">
        <f ca="1">COUNTIFS(INDIRECT(A71&amp;A67):INDIRECT(A71&amp;A66),INDIRECT("d"&amp;ROW()),INDIRECT(A73&amp;A67):INDIRECT(A73&amp;A66),F1)</f>
        <v>28</v>
      </c>
      <c r="G3" s="3">
        <f ca="1">COUNTIFS(INDIRECT(A71&amp;A67):INDIRECT(A71&amp;A66),INDIRECT("d"&amp;ROW()),INDIRECT(A73&amp;A67):INDIRECT(A73&amp;A66),G1)</f>
        <v>102</v>
      </c>
      <c r="H3" s="5">
        <f ca="1">COUNTIFS(INDIRECT(A71&amp;A67):INDIRECT(A71&amp;A66),INDIRECT("d"&amp;ROW()),INDIRECT(A73&amp;A67):INDIRECT(A73&amp;A66),H1)</f>
        <v>129</v>
      </c>
      <c r="I3">
        <f ca="1">IF(OR(INDIRECT(A73&amp;ROW())=B93,INDIRECT(A73&amp;ROW())=B94),1,IF(AND(INDIRECT(A73&amp;ROW())=B95,INDIRECT(A96&amp;ROW())=C93),1,IF(AND(INDIRECT(A73&amp;ROW())=B95,INDIRECT(A96&amp;ROW())=C94),1,0)))</f>
        <v>0</v>
      </c>
      <c r="J3">
        <f ca="1">IF(AND(INDIRECT(A73&amp;ROW())=B95,INDIRECT(A96&amp;ROW())=C95),1,IF(AND(INDIRECT(A73&amp;ROW())=B95,INDIRECT(A96&amp;ROW())=C96),1,0))</f>
        <v>0</v>
      </c>
      <c r="K3">
        <f ca="1">DAYS360(INDIRECT(C68&amp;ROW()),TODAY())</f>
        <v>721</v>
      </c>
      <c r="L3">
        <f ca="1">DAYS360(INDIRECT(C69&amp;ROW()),TODAY())</f>
        <v>1214</v>
      </c>
      <c r="M3" s="11">
        <f ca="1">HYPERLINK(CONCATENATE("https://bugzilla.houston.hp.com:1181/bugzilla/show_bug.cgi?id=",INDIRECT(C70&amp;ROW())),INDIRECT(C70&amp;ROW()))</f>
        <v>37855</v>
      </c>
      <c r="N3">
        <v>37855</v>
      </c>
      <c r="O3" t="s">
        <v>56</v>
      </c>
      <c r="P3" t="s">
        <v>388</v>
      </c>
      <c r="Q3" t="s">
        <v>16</v>
      </c>
      <c r="R3" t="s">
        <v>251</v>
      </c>
      <c r="S3" t="s">
        <v>43</v>
      </c>
      <c r="U3" s="6">
        <v>42125.439976851849</v>
      </c>
      <c r="V3" t="s">
        <v>35</v>
      </c>
      <c r="W3" t="s">
        <v>17</v>
      </c>
      <c r="X3" s="6">
        <v>41626.51222222222</v>
      </c>
      <c r="Y3" t="s">
        <v>122</v>
      </c>
      <c r="AB3" t="s">
        <v>201</v>
      </c>
      <c r="AC3" t="s">
        <v>121</v>
      </c>
      <c r="AD3" t="s">
        <v>220</v>
      </c>
      <c r="AE3" t="s">
        <v>219</v>
      </c>
      <c r="AG3" t="s">
        <v>121</v>
      </c>
      <c r="AH3" t="s">
        <v>327</v>
      </c>
      <c r="AI3" t="s">
        <v>121</v>
      </c>
      <c r="AJ3" t="s">
        <v>717</v>
      </c>
      <c r="AK3" t="s">
        <v>121</v>
      </c>
    </row>
    <row r="4" spans="1:37" x14ac:dyDescent="0.3">
      <c r="A4" s="2">
        <f ca="1">COUNTIF(INDIRECT(A68&amp;A67):INDIRECT(A69&amp;A66),INDIRECT("b"&amp;ROW()))</f>
        <v>2</v>
      </c>
      <c r="B4" s="2" t="str">
        <f>Assignees!C3</f>
        <v>Astra-IR8</v>
      </c>
      <c r="C4" s="3">
        <f ca="1">COUNTIF(INDIRECT(A71&amp;A67):INDIRECT(A71&amp;A66),INDIRECT("d"&amp;ROW()))</f>
        <v>0</v>
      </c>
      <c r="D4" s="3" t="str">
        <f>Assignees!D3</f>
        <v>Bellatrix</v>
      </c>
      <c r="E4" s="16">
        <f ca="1">COUNTIFS(INDIRECT(A71&amp;A67):INDIRECT(A71&amp;A66),INDIRECT("d"&amp;ROW()),INDIRECT(A73&amp;A67):INDIRECT(A73&amp;A66),E1)</f>
        <v>0</v>
      </c>
      <c r="F4" s="4">
        <f ca="1">COUNTIFS(INDIRECT(A71&amp;A67):INDIRECT(A71&amp;A66),INDIRECT("d"&amp;ROW()),INDIRECT(A73&amp;A67):INDIRECT(A73&amp;A66),F1)</f>
        <v>0</v>
      </c>
      <c r="G4" s="3">
        <f ca="1">COUNTIFS(INDIRECT(A71&amp;A67):INDIRECT(A71&amp;A66),INDIRECT("d"&amp;ROW()),INDIRECT(A73&amp;A67):INDIRECT(A73&amp;A66),G1)</f>
        <v>0</v>
      </c>
      <c r="H4" s="5">
        <f ca="1">COUNTIFS(INDIRECT(A71&amp;A67):INDIRECT(A71&amp;A66),INDIRECT("d"&amp;ROW()),INDIRECT(A73&amp;A67):INDIRECT(A73&amp;A66),H1)</f>
        <v>0</v>
      </c>
      <c r="I4">
        <f ca="1">IF(OR(INDIRECT(A73&amp;ROW())=B93,INDIRECT(A73&amp;ROW())=B94),1,IF(AND(INDIRECT(A73&amp;ROW())=B95,INDIRECT(A96&amp;ROW())=C93),1,IF(AND(INDIRECT(A73&amp;ROW())=B95,INDIRECT(A96&amp;ROW())=C94),1,0)))</f>
        <v>0</v>
      </c>
      <c r="J4">
        <f ca="1">IF(AND(INDIRECT(A73&amp;ROW())=B95,INDIRECT(A96&amp;ROW())=C95),1,IF(AND(INDIRECT(A73&amp;ROW())=B95,INDIRECT(A96&amp;ROW())=C96),1,0))</f>
        <v>1</v>
      </c>
      <c r="K4">
        <f ca="1">DAYS360(INDIRECT(C68&amp;ROW()),TODAY())</f>
        <v>710</v>
      </c>
      <c r="L4">
        <f ca="1">DAYS360(INDIRECT(C69&amp;ROW()),TODAY())</f>
        <v>1159</v>
      </c>
      <c r="M4" s="11">
        <f ca="1">HYPERLINK(CONCATENATE("https://bugzilla.houston.hp.com:1181/bugzilla/show_bug.cgi?id=",INDIRECT(C70&amp;ROW())),INDIRECT(C70&amp;ROW()))</f>
        <v>39099</v>
      </c>
      <c r="N4">
        <v>39099</v>
      </c>
      <c r="O4" t="s">
        <v>53</v>
      </c>
      <c r="P4" t="s">
        <v>1053</v>
      </c>
      <c r="Q4" t="s">
        <v>25</v>
      </c>
      <c r="R4" t="s">
        <v>251</v>
      </c>
      <c r="S4" t="s">
        <v>53</v>
      </c>
      <c r="U4" s="6">
        <v>42136.61577546296</v>
      </c>
      <c r="V4" t="s">
        <v>18</v>
      </c>
      <c r="W4" t="s">
        <v>17</v>
      </c>
      <c r="X4" s="6">
        <v>41683.468611111108</v>
      </c>
      <c r="Y4" t="s">
        <v>118</v>
      </c>
      <c r="AB4" t="s">
        <v>201</v>
      </c>
      <c r="AC4" t="s">
        <v>1027</v>
      </c>
      <c r="AD4" t="s">
        <v>220</v>
      </c>
      <c r="AE4" t="s">
        <v>219</v>
      </c>
      <c r="AG4" t="s">
        <v>121</v>
      </c>
      <c r="AH4" t="s">
        <v>327</v>
      </c>
      <c r="AI4" t="s">
        <v>121</v>
      </c>
      <c r="AJ4" t="s">
        <v>716</v>
      </c>
      <c r="AK4" t="s">
        <v>121</v>
      </c>
    </row>
    <row r="5" spans="1:37" x14ac:dyDescent="0.3">
      <c r="A5" s="2">
        <f ca="1">COUNTIF(INDIRECT(A68&amp;A67):INDIRECT(A69&amp;A66),INDIRECT("b"&amp;ROW()))</f>
        <v>2</v>
      </c>
      <c r="B5" s="2" t="str">
        <f>Assignees!C4</f>
        <v>Astra-IR9</v>
      </c>
      <c r="C5" s="3">
        <f ca="1">COUNTIF(INDIRECT(A71&amp;A67):INDIRECT(A71&amp;A66),INDIRECT("d"&amp;ROW()))</f>
        <v>249</v>
      </c>
      <c r="D5" s="3" t="str">
        <f>Assignees!D4</f>
        <v>Master</v>
      </c>
      <c r="E5" s="16">
        <f ca="1">COUNTIFS(INDIRECT(A71&amp;A67):INDIRECT(A71&amp;A66),INDIRECT("d"&amp;ROW()),INDIRECT(A73&amp;A67):INDIRECT(A73&amp;A66),E1)</f>
        <v>0</v>
      </c>
      <c r="F5" s="4">
        <f ca="1">COUNTIFS(INDIRECT(A71&amp;A67):INDIRECT(A71&amp;A66),INDIRECT("d"&amp;ROW()),INDIRECT(A73&amp;A67):INDIRECT(A73&amp;A66),F1)</f>
        <v>32</v>
      </c>
      <c r="G5" s="3">
        <f ca="1">COUNTIFS(INDIRECT(A71&amp;A67):INDIRECT(A71&amp;A66),INDIRECT("d"&amp;ROW()),INDIRECT(A73&amp;A67):INDIRECT(A73&amp;A66),G1)</f>
        <v>107</v>
      </c>
      <c r="H5" s="5">
        <f ca="1">COUNTIFS(INDIRECT(A71&amp;A67):INDIRECT(A71&amp;A66),INDIRECT("d"&amp;ROW()),INDIRECT(A73&amp;A67):INDIRECT(A73&amp;A66),H1)</f>
        <v>110</v>
      </c>
      <c r="I5">
        <f ca="1">IF(OR(INDIRECT(A73&amp;ROW())=B93,INDIRECT(A73&amp;ROW())=B94),1,IF(AND(INDIRECT(A73&amp;ROW())=B95,INDIRECT(A96&amp;ROW())=C93),1,IF(AND(INDIRECT(A73&amp;ROW())=B95,INDIRECT(A96&amp;ROW())=C94),1,0)))</f>
        <v>0</v>
      </c>
      <c r="J5">
        <f ca="1">IF(AND(INDIRECT(A73&amp;ROW())=B95,INDIRECT(A96&amp;ROW())=C95),1,IF(AND(INDIRECT(A73&amp;ROW())=B95,INDIRECT(A96&amp;ROW())=C96),1,0))</f>
        <v>0</v>
      </c>
      <c r="K5">
        <f ca="1">DAYS360(INDIRECT(C68&amp;ROW()),TODAY())</f>
        <v>728</v>
      </c>
      <c r="L5">
        <f ca="1">DAYS360(INDIRECT(C69&amp;ROW()),TODAY())</f>
        <v>1145</v>
      </c>
      <c r="M5" s="11">
        <f ca="1">HYPERLINK(CONCATENATE("https://bugzilla.houston.hp.com:1181/bugzilla/show_bug.cgi?id=",INDIRECT(C70&amp;ROW())),INDIRECT(C70&amp;ROW()))</f>
        <v>39639</v>
      </c>
      <c r="N5">
        <v>39639</v>
      </c>
      <c r="O5" t="s">
        <v>66</v>
      </c>
      <c r="P5" t="s">
        <v>208</v>
      </c>
      <c r="Q5" t="s">
        <v>16</v>
      </c>
      <c r="R5" t="s">
        <v>251</v>
      </c>
      <c r="S5" t="s">
        <v>37</v>
      </c>
      <c r="T5" t="s">
        <v>794</v>
      </c>
      <c r="U5" s="6">
        <v>42118.519513888888</v>
      </c>
      <c r="V5" t="s">
        <v>35</v>
      </c>
      <c r="W5" t="s">
        <v>17</v>
      </c>
      <c r="X5" s="6">
        <v>41697.087245370371</v>
      </c>
      <c r="Y5" t="s">
        <v>119</v>
      </c>
      <c r="AB5" t="s">
        <v>201</v>
      </c>
      <c r="AC5" t="s">
        <v>121</v>
      </c>
      <c r="AD5" t="s">
        <v>220</v>
      </c>
      <c r="AE5" t="s">
        <v>219</v>
      </c>
      <c r="AG5" t="s">
        <v>121</v>
      </c>
      <c r="AH5" t="s">
        <v>327</v>
      </c>
      <c r="AI5" t="s">
        <v>121</v>
      </c>
      <c r="AJ5" t="s">
        <v>717</v>
      </c>
      <c r="AK5" t="s">
        <v>121</v>
      </c>
    </row>
    <row r="6" spans="1:37" x14ac:dyDescent="0.3">
      <c r="A6" s="2">
        <f ca="1">COUNTIF(INDIRECT(A68&amp;A67):INDIRECT(A69&amp;A66),INDIRECT("b"&amp;ROW()))</f>
        <v>2</v>
      </c>
      <c r="B6" s="2" t="str">
        <f>Assignees!C5</f>
        <v>Astra-IR10</v>
      </c>
      <c r="C6" s="3">
        <f ca="1">COUNTIF(INDIRECT(A71&amp;A67):INDIRECT(A71&amp;A66),INDIRECT("d"&amp;ROW()))</f>
        <v>1</v>
      </c>
      <c r="D6" s="3" t="str">
        <f>Assignees!D5</f>
        <v>Astra-Waiver</v>
      </c>
      <c r="E6" s="16">
        <f ca="1">COUNTIFS(INDIRECT(A71&amp;A67):INDIRECT(A71&amp;A66),INDIRECT("d"&amp;ROW()),INDIRECT(A73&amp;A67):INDIRECT(A73&amp;A66),E1)</f>
        <v>0</v>
      </c>
      <c r="F6" s="4">
        <f ca="1">COUNTIFS(INDIRECT(A71&amp;A67):INDIRECT(A71&amp;A66),INDIRECT("d"&amp;ROW()),INDIRECT(A73&amp;A67):INDIRECT(A73&amp;A66),F1)</f>
        <v>0</v>
      </c>
      <c r="G6" s="3">
        <f ca="1">COUNTIFS(INDIRECT(A71&amp;A67):INDIRECT(A71&amp;A66),INDIRECT("d"&amp;ROW()),INDIRECT(A73&amp;A67):INDIRECT(A73&amp;A66),G1)</f>
        <v>1</v>
      </c>
      <c r="H6" s="5">
        <f ca="1">COUNTIFS(INDIRECT(A71&amp;A67):INDIRECT(A71&amp;A66),INDIRECT("d"&amp;ROW()),INDIRECT(A73&amp;A67):INDIRECT(A73&amp;A66),H1)</f>
        <v>0</v>
      </c>
      <c r="I6">
        <f ca="1">IF(OR(INDIRECT(A73&amp;ROW())=B93,INDIRECT(A73&amp;ROW())=B94),1,IF(AND(INDIRECT(A73&amp;ROW())=B95,INDIRECT(A96&amp;ROW())=C93),1,IF(AND(INDIRECT(A73&amp;ROW())=B95,INDIRECT(A96&amp;ROW())=C94),1,0)))</f>
        <v>0</v>
      </c>
      <c r="J6">
        <f ca="1">IF(AND(INDIRECT(A73&amp;ROW())=B95,INDIRECT(A96&amp;ROW())=C95),1,IF(AND(INDIRECT(A73&amp;ROW())=B95,INDIRECT(A96&amp;ROW())=C96),1,0))</f>
        <v>1</v>
      </c>
      <c r="K6">
        <f ca="1">DAYS360(INDIRECT(C68&amp;ROW()),TODAY())</f>
        <v>729</v>
      </c>
      <c r="L6">
        <f ca="1">DAYS360(INDIRECT(C69&amp;ROW()),TODAY())</f>
        <v>1145</v>
      </c>
      <c r="M6" s="11">
        <f ca="1">HYPERLINK(CONCATENATE("https://bugzilla.houston.hp.com:1181/bugzilla/show_bug.cgi?id=",INDIRECT(C70&amp;ROW())),INDIRECT(C70&amp;ROW()))</f>
        <v>39670</v>
      </c>
      <c r="N6">
        <v>39670</v>
      </c>
      <c r="O6" t="s">
        <v>31</v>
      </c>
      <c r="P6" t="s">
        <v>540</v>
      </c>
      <c r="Q6" t="s">
        <v>25</v>
      </c>
      <c r="R6" t="s">
        <v>251</v>
      </c>
      <c r="S6" t="s">
        <v>31</v>
      </c>
      <c r="U6" s="6">
        <v>42117.402280092596</v>
      </c>
      <c r="V6" t="s">
        <v>40</v>
      </c>
      <c r="W6" t="s">
        <v>17</v>
      </c>
      <c r="X6" s="6">
        <v>41697.697731481479</v>
      </c>
      <c r="Y6" t="s">
        <v>119</v>
      </c>
      <c r="AB6" t="s">
        <v>201</v>
      </c>
      <c r="AC6" t="s">
        <v>121</v>
      </c>
      <c r="AD6" t="s">
        <v>220</v>
      </c>
      <c r="AE6" t="s">
        <v>219</v>
      </c>
      <c r="AG6" t="s">
        <v>121</v>
      </c>
      <c r="AH6" t="s">
        <v>327</v>
      </c>
      <c r="AI6" t="s">
        <v>121</v>
      </c>
      <c r="AJ6" t="s">
        <v>716</v>
      </c>
      <c r="AK6" t="s">
        <v>121</v>
      </c>
    </row>
    <row r="7" spans="1:37" x14ac:dyDescent="0.3">
      <c r="A7" s="2">
        <f ca="1">COUNTIF(INDIRECT(A68&amp;A67):INDIRECT(A69&amp;A66),INDIRECT("b"&amp;ROW()))</f>
        <v>2</v>
      </c>
      <c r="B7" s="2" t="str">
        <f>Assignees!C6</f>
        <v>Astra-IR11</v>
      </c>
      <c r="C7" s="3">
        <f ca="1">COUNTIF(INDIRECT(A71&amp;A67):INDIRECT(A71&amp;A66),INDIRECT("d"&amp;ROW()))</f>
        <v>78</v>
      </c>
      <c r="D7" s="3" t="str">
        <f>Assignees!D6</f>
        <v>Astra-Maint</v>
      </c>
      <c r="E7" s="16">
        <f ca="1">COUNTIFS(INDIRECT(A71&amp;A67):INDIRECT(A71&amp;A66),INDIRECT("d"&amp;ROW()),INDIRECT(A73&amp;A67):INDIRECT(A73&amp;A66),E1)</f>
        <v>0</v>
      </c>
      <c r="F7" s="4">
        <f ca="1">COUNTIFS(INDIRECT(A71&amp;A67):INDIRECT(A71&amp;A66),INDIRECT("d"&amp;ROW()),INDIRECT(A73&amp;A67):INDIRECT(A73&amp;A66),F1)</f>
        <v>25</v>
      </c>
      <c r="G7" s="3">
        <f ca="1">COUNTIFS(INDIRECT(A71&amp;A67):INDIRECT(A71&amp;A66),INDIRECT("d"&amp;ROW()),INDIRECT(A73&amp;A67):INDIRECT(A73&amp;A66),G1)</f>
        <v>44</v>
      </c>
      <c r="H7" s="5">
        <f ca="1">COUNTIFS(INDIRECT(A71&amp;A67):INDIRECT(A71&amp;A66),INDIRECT("d"&amp;ROW()),INDIRECT(A73&amp;A67):INDIRECT(A73&amp;A66),H1)</f>
        <v>9</v>
      </c>
      <c r="I7">
        <f ca="1">IF(OR(INDIRECT(A73&amp;ROW())=B93,INDIRECT(A73&amp;ROW())=B94),1,IF(AND(INDIRECT(A73&amp;ROW())=B95,INDIRECT(A96&amp;ROW())=C93),1,IF(AND(INDIRECT(A73&amp;ROW())=B95,INDIRECT(A96&amp;ROW())=C94),1,0)))</f>
        <v>0</v>
      </c>
      <c r="J7">
        <f ca="1">IF(AND(INDIRECT(A73&amp;ROW())=B95,INDIRECT(A96&amp;ROW())=C95),1,IF(AND(INDIRECT(A73&amp;ROW())=B95,INDIRECT(A96&amp;ROW())=C96),1,0))</f>
        <v>0</v>
      </c>
      <c r="K7">
        <f ca="1">DAYS360(INDIRECT(C68&amp;ROW()),TODAY())</f>
        <v>718</v>
      </c>
      <c r="L7">
        <f ca="1">DAYS360(INDIRECT(C69&amp;ROW()),TODAY())</f>
        <v>1130</v>
      </c>
      <c r="M7" s="11">
        <f ca="1">HYPERLINK(CONCATENATE("https://bugzilla.houston.hp.com:1181/bugzilla/show_bug.cgi?id=",INDIRECT(C70&amp;ROW())),INDIRECT(C70&amp;ROW()))</f>
        <v>40103</v>
      </c>
      <c r="N7">
        <v>40103</v>
      </c>
      <c r="O7" t="s">
        <v>21</v>
      </c>
      <c r="P7" t="s">
        <v>387</v>
      </c>
      <c r="Q7" t="s">
        <v>16</v>
      </c>
      <c r="R7" t="s">
        <v>251</v>
      </c>
      <c r="S7" t="s">
        <v>49</v>
      </c>
      <c r="T7" t="s">
        <v>794</v>
      </c>
      <c r="U7" s="6">
        <v>42128.643333333333</v>
      </c>
      <c r="V7" t="s">
        <v>18</v>
      </c>
      <c r="W7" t="s">
        <v>17</v>
      </c>
      <c r="X7" s="6">
        <v>41710.731678240743</v>
      </c>
      <c r="Y7" t="s">
        <v>244</v>
      </c>
      <c r="AB7" t="s">
        <v>201</v>
      </c>
      <c r="AC7" t="s">
        <v>121</v>
      </c>
      <c r="AD7" t="s">
        <v>227</v>
      </c>
      <c r="AE7" t="s">
        <v>238</v>
      </c>
      <c r="AG7" t="s">
        <v>121</v>
      </c>
      <c r="AH7" t="s">
        <v>327</v>
      </c>
      <c r="AI7" t="s">
        <v>121</v>
      </c>
      <c r="AJ7" t="s">
        <v>717</v>
      </c>
      <c r="AK7" t="s">
        <v>121</v>
      </c>
    </row>
    <row r="8" spans="1:37" x14ac:dyDescent="0.3">
      <c r="A8" s="2">
        <f ca="1">COUNTIF(INDIRECT(A68&amp;A67):INDIRECT(A69&amp;A66),INDIRECT("b"&amp;ROW()))</f>
        <v>3</v>
      </c>
      <c r="B8" s="2" t="str">
        <f>Assignees!C7</f>
        <v>Astra-IR12</v>
      </c>
      <c r="C8" s="3">
        <f ca="1">COUNTIF(INDIRECT(A71&amp;A67):INDIRECT(A71&amp;A66),INDIRECT("d"&amp;ROW()))</f>
        <v>83</v>
      </c>
      <c r="D8" s="3" t="str">
        <f>Assignees!D7</f>
        <v>Astra-1.1.0</v>
      </c>
      <c r="E8" s="16">
        <f ca="1">COUNTIFS(INDIRECT(A71&amp;A67):INDIRECT(A71&amp;A66),INDIRECT("d"&amp;ROW()),INDIRECT(A73&amp;A67):INDIRECT(A73&amp;A66),E1)</f>
        <v>0</v>
      </c>
      <c r="F8" s="4">
        <f ca="1">COUNTIFS(INDIRECT(A71&amp;A67):INDIRECT(A71&amp;A66),INDIRECT("d"&amp;ROW()),INDIRECT(A73&amp;A67):INDIRECT(A73&amp;A66),F1)</f>
        <v>20</v>
      </c>
      <c r="G8" s="3">
        <f ca="1">COUNTIFS(INDIRECT(A71&amp;A67):INDIRECT(A71&amp;A66),INDIRECT("d"&amp;ROW()),INDIRECT(A73&amp;A67):INDIRECT(A73&amp;A66),G1)</f>
        <v>47</v>
      </c>
      <c r="H8" s="5">
        <f ca="1">COUNTIFS(INDIRECT(A71&amp;A67):INDIRECT(A71&amp;A66),INDIRECT("d"&amp;ROW()),INDIRECT(A73&amp;A67):INDIRECT(A73&amp;A66),H1)</f>
        <v>16</v>
      </c>
      <c r="I8">
        <f ca="1">IF(OR(INDIRECT(A73&amp;ROW())=B93,INDIRECT(A73&amp;ROW())=B94),1,IF(AND(INDIRECT(A73&amp;ROW())=B95,INDIRECT(A96&amp;ROW())=C93),1,IF(AND(INDIRECT(A73&amp;ROW())=B95,INDIRECT(A96&amp;ROW())=C94),1,0)))</f>
        <v>0</v>
      </c>
      <c r="J8">
        <f ca="1">IF(AND(INDIRECT(A73&amp;ROW())=B95,INDIRECT(A96&amp;ROW())=C95),1,IF(AND(INDIRECT(A73&amp;ROW())=B95,INDIRECT(A96&amp;ROW())=C96),1,0))</f>
        <v>0</v>
      </c>
      <c r="K8">
        <f ca="1">DAYS360(INDIRECT(C68&amp;ROW()),TODAY())</f>
        <v>724</v>
      </c>
      <c r="L8">
        <f ca="1">DAYS360(INDIRECT(C69&amp;ROW()),TODAY())</f>
        <v>1129</v>
      </c>
      <c r="M8" s="11">
        <f ca="1">HYPERLINK(CONCATENATE("https://bugzilla.houston.hp.com:1181/bugzilla/show_bug.cgi?id=",INDIRECT(C70&amp;ROW())),INDIRECT(C70&amp;ROW()))</f>
        <v>40147</v>
      </c>
      <c r="N8">
        <v>40147</v>
      </c>
      <c r="O8" t="s">
        <v>203</v>
      </c>
      <c r="P8" t="s">
        <v>386</v>
      </c>
      <c r="Q8" t="s">
        <v>16</v>
      </c>
      <c r="R8" t="s">
        <v>251</v>
      </c>
      <c r="S8" t="s">
        <v>43</v>
      </c>
      <c r="U8" s="6">
        <v>42122.542349537034</v>
      </c>
      <c r="V8" t="s">
        <v>35</v>
      </c>
      <c r="W8" t="s">
        <v>17</v>
      </c>
      <c r="X8" s="6">
        <v>41711.557384259257</v>
      </c>
      <c r="Y8" t="s">
        <v>118</v>
      </c>
      <c r="AB8" t="s">
        <v>201</v>
      </c>
      <c r="AC8" t="s">
        <v>121</v>
      </c>
      <c r="AD8" t="s">
        <v>220</v>
      </c>
      <c r="AE8" t="s">
        <v>223</v>
      </c>
      <c r="AG8" t="s">
        <v>121</v>
      </c>
      <c r="AH8" t="s">
        <v>327</v>
      </c>
      <c r="AI8" t="s">
        <v>121</v>
      </c>
      <c r="AJ8" t="s">
        <v>717</v>
      </c>
      <c r="AK8" t="s">
        <v>121</v>
      </c>
    </row>
    <row r="9" spans="1:37" x14ac:dyDescent="0.3">
      <c r="A9" s="2">
        <f ca="1">COUNTIF(INDIRECT(A68&amp;A67):INDIRECT(A69&amp;A66),INDIRECT("b"&amp;ROW()))</f>
        <v>4</v>
      </c>
      <c r="B9" s="2" t="str">
        <f>Assignees!C8</f>
        <v>Astra-IR13</v>
      </c>
      <c r="C9" s="3">
        <f ca="1">COUNTIF(INDIRECT(A71&amp;A67):INDIRECT(A71&amp;A66),INDIRECT("d"&amp;ROW()))</f>
        <v>0</v>
      </c>
      <c r="D9" s="3">
        <f>Assignees!D8</f>
        <v>0</v>
      </c>
      <c r="E9" s="16">
        <f ca="1">COUNTIFS(INDIRECT(A71&amp;A67):INDIRECT(A71&amp;A66),INDIRECT("d"&amp;ROW()),INDIRECT(A73&amp;A67):INDIRECT(A73&amp;A66),E1)</f>
        <v>0</v>
      </c>
      <c r="F9" s="4">
        <f ca="1">COUNTIFS(INDIRECT(A71&amp;A67):INDIRECT(A71&amp;A66),INDIRECT("d"&amp;ROW()),INDIRECT(A73&amp;A67):INDIRECT(A73&amp;A66),F1)</f>
        <v>0</v>
      </c>
      <c r="G9" s="3">
        <f ca="1">COUNTIFS(INDIRECT(A71&amp;A67):INDIRECT(A71&amp;A66),INDIRECT("d"&amp;ROW()),INDIRECT(A73&amp;A67):INDIRECT(A73&amp;A66),G1)</f>
        <v>0</v>
      </c>
      <c r="H9" s="5">
        <f ca="1">COUNTIFS(INDIRECT(A71&amp;A67):INDIRECT(A71&amp;A66),INDIRECT("d"&amp;ROW()),INDIRECT(A73&amp;A67):INDIRECT(A73&amp;A66),H1)</f>
        <v>0</v>
      </c>
      <c r="I9">
        <f ca="1">IF(OR(INDIRECT(A73&amp;ROW())=B93,INDIRECT(A73&amp;ROW())=B94),1,IF(AND(INDIRECT(A73&amp;ROW())=B95,INDIRECT(A96&amp;ROW())=C93),1,IF(AND(INDIRECT(A73&amp;ROW())=B95,INDIRECT(A96&amp;ROW())=C94),1,0)))</f>
        <v>0</v>
      </c>
      <c r="J9">
        <f ca="1">IF(AND(INDIRECT(A73&amp;ROW())=B95,INDIRECT(A96&amp;ROW())=C95),1,IF(AND(INDIRECT(A73&amp;ROW())=B95,INDIRECT(A96&amp;ROW())=C96),1,0))</f>
        <v>1</v>
      </c>
      <c r="K9">
        <f ca="1">DAYS360(INDIRECT(C68&amp;ROW()),TODAY())</f>
        <v>721</v>
      </c>
      <c r="L9">
        <f ca="1">DAYS360(INDIRECT(C69&amp;ROW()),TODAY())</f>
        <v>1117</v>
      </c>
      <c r="M9" s="11">
        <f ca="1">HYPERLINK(CONCATENATE("https://bugzilla.houston.hp.com:1181/bugzilla/show_bug.cgi?id=",INDIRECT(C70&amp;ROW())),INDIRECT(C70&amp;ROW()))</f>
        <v>41238</v>
      </c>
      <c r="N9">
        <v>41238</v>
      </c>
      <c r="O9" t="s">
        <v>56</v>
      </c>
      <c r="P9" t="s">
        <v>385</v>
      </c>
      <c r="Q9" t="s">
        <v>25</v>
      </c>
      <c r="R9" t="s">
        <v>251</v>
      </c>
      <c r="S9" t="s">
        <v>43</v>
      </c>
      <c r="U9" s="6">
        <v>42125.442164351851</v>
      </c>
      <c r="V9" t="s">
        <v>18</v>
      </c>
      <c r="W9" t="s">
        <v>17</v>
      </c>
      <c r="X9" s="6">
        <v>41723.653414351851</v>
      </c>
      <c r="Y9" t="s">
        <v>122</v>
      </c>
      <c r="AB9" t="s">
        <v>201</v>
      </c>
      <c r="AC9" t="s">
        <v>121</v>
      </c>
      <c r="AD9" t="s">
        <v>220</v>
      </c>
      <c r="AE9" t="s">
        <v>219</v>
      </c>
      <c r="AG9" t="s">
        <v>121</v>
      </c>
      <c r="AH9" t="s">
        <v>327</v>
      </c>
      <c r="AI9" t="s">
        <v>121</v>
      </c>
      <c r="AJ9" t="s">
        <v>716</v>
      </c>
      <c r="AK9" t="s">
        <v>121</v>
      </c>
    </row>
    <row r="10" spans="1:37" x14ac:dyDescent="0.3">
      <c r="A10" s="2">
        <f ca="1">COUNTIF(INDIRECT(A68&amp;A67):INDIRECT(A69&amp;A66),INDIRECT("b"&amp;ROW()))</f>
        <v>1</v>
      </c>
      <c r="B10" s="2" t="str">
        <f>Assignees!C9</f>
        <v>Astra-Post IR13 06-20</v>
      </c>
      <c r="C10" s="3">
        <f ca="1">COUNTIF(INDIRECT(A71&amp;A67):INDIRECT(A71&amp;A66),INDIRECT("d"&amp;ROW()))</f>
        <v>0</v>
      </c>
      <c r="D10" s="3">
        <f>Assignees!D9</f>
        <v>0</v>
      </c>
      <c r="E10" s="16">
        <f ca="1">COUNTIFS(INDIRECT(A71&amp;A67):INDIRECT(A71&amp;A66),INDIRECT("d"&amp;ROW()),INDIRECT(A73&amp;A67):INDIRECT(A73&amp;A66),E1)</f>
        <v>0</v>
      </c>
      <c r="F10" s="4">
        <f ca="1">COUNTIFS(INDIRECT(A71&amp;A67):INDIRECT(A71&amp;A66),INDIRECT("d"&amp;ROW()),INDIRECT(A73&amp;A67):INDIRECT(A73&amp;A66),F1)</f>
        <v>0</v>
      </c>
      <c r="G10" s="3">
        <f ca="1">COUNTIFS(INDIRECT(A71&amp;A67):INDIRECT(A71&amp;A66),INDIRECT("d"&amp;ROW()),INDIRECT(A73&amp;A67):INDIRECT(A73&amp;A66),G1)</f>
        <v>0</v>
      </c>
      <c r="H10" s="5">
        <f ca="1">COUNTIFS(INDIRECT(A71&amp;A67):INDIRECT(A71&amp;A66),INDIRECT("d"&amp;ROW()),INDIRECT(A73&amp;A67):INDIRECT(A73&amp;A66),H1)</f>
        <v>0</v>
      </c>
      <c r="I10">
        <f ca="1">IF(OR(INDIRECT(A73&amp;ROW())=B93,INDIRECT(A73&amp;ROW())=B94),1,IF(AND(INDIRECT(A73&amp;ROW())=B95,INDIRECT(A96&amp;ROW())=C93),1,IF(AND(INDIRECT(A73&amp;ROW())=B95,INDIRECT(A96&amp;ROW())=C94),1,0)))</f>
        <v>0</v>
      </c>
      <c r="J10">
        <f ca="1">IF(AND(INDIRECT(A73&amp;ROW())=B95,INDIRECT(A96&amp;ROW())=C95),1,IF(AND(INDIRECT(A73&amp;ROW())=B95,INDIRECT(A96&amp;ROW())=C96),1,0))</f>
        <v>1</v>
      </c>
      <c r="K10">
        <f ca="1">DAYS360(INDIRECT(C68&amp;ROW()),TODAY())</f>
        <v>724</v>
      </c>
      <c r="L10">
        <f ca="1">DAYS360(INDIRECT(C69&amp;ROW()),TODAY())</f>
        <v>1115</v>
      </c>
      <c r="M10" s="11">
        <f ca="1">HYPERLINK(CONCATENATE("https://bugzilla.houston.hp.com:1181/bugzilla/show_bug.cgi?id=",INDIRECT(C70&amp;ROW())),INDIRECT(C70&amp;ROW()))</f>
        <v>41344</v>
      </c>
      <c r="N10">
        <v>41344</v>
      </c>
      <c r="O10" t="s">
        <v>43</v>
      </c>
      <c r="P10" t="s">
        <v>384</v>
      </c>
      <c r="Q10" t="s">
        <v>25</v>
      </c>
      <c r="R10" t="s">
        <v>251</v>
      </c>
      <c r="S10" t="s">
        <v>43</v>
      </c>
      <c r="U10" s="6">
        <v>42122.353217592594</v>
      </c>
      <c r="V10" t="s">
        <v>18</v>
      </c>
      <c r="W10" t="s">
        <v>17</v>
      </c>
      <c r="X10" s="6">
        <v>41725.638310185182</v>
      </c>
      <c r="Y10" t="s">
        <v>122</v>
      </c>
      <c r="AB10" t="s">
        <v>201</v>
      </c>
      <c r="AC10" t="s">
        <v>121</v>
      </c>
      <c r="AD10" t="s">
        <v>220</v>
      </c>
      <c r="AE10" t="s">
        <v>219</v>
      </c>
      <c r="AG10" t="s">
        <v>121</v>
      </c>
      <c r="AH10" t="s">
        <v>327</v>
      </c>
      <c r="AI10" t="s">
        <v>121</v>
      </c>
      <c r="AJ10" t="s">
        <v>716</v>
      </c>
      <c r="AK10" t="s">
        <v>121</v>
      </c>
    </row>
    <row r="11" spans="1:37" x14ac:dyDescent="0.3">
      <c r="A11" s="2">
        <f ca="1">COUNTIF(INDIRECT(A68&amp;A67):INDIRECT(A69&amp;A66),INDIRECT("b"&amp;ROW()))</f>
        <v>3</v>
      </c>
      <c r="B11" s="2" t="str">
        <f>Assignees!C10</f>
        <v>Astra-Post IR13 06-27-RTI</v>
      </c>
      <c r="C11" s="3">
        <f ca="1">COUNTIF(INDIRECT(A71&amp;A67):INDIRECT(A71&amp;A66),INDIRECT("d"&amp;ROW()))</f>
        <v>0</v>
      </c>
      <c r="D11" s="3">
        <f>Assignees!D10</f>
        <v>0</v>
      </c>
      <c r="E11" s="16">
        <f ca="1">COUNTIFS(INDIRECT(A71&amp;A67):INDIRECT(A71&amp;A66),INDIRECT("d"&amp;ROW()),INDIRECT(A73&amp;A67):INDIRECT(A73&amp;A66),E1)</f>
        <v>0</v>
      </c>
      <c r="F11" s="4">
        <f ca="1">COUNTIFS(INDIRECT(A71&amp;A67):INDIRECT(A71&amp;A66),INDIRECT("d"&amp;ROW()),INDIRECT(A73&amp;A67):INDIRECT(A73&amp;A66),F1)</f>
        <v>0</v>
      </c>
      <c r="G11" s="3">
        <f ca="1">COUNTIFS(INDIRECT(A71&amp;A67):INDIRECT(A71&amp;A66),INDIRECT("d"&amp;ROW()),INDIRECT(A73&amp;A67):INDIRECT(A73&amp;A66),G1)</f>
        <v>0</v>
      </c>
      <c r="H11" s="5">
        <f ca="1">COUNTIFS(INDIRECT(A71&amp;A67):INDIRECT(A71&amp;A66),INDIRECT("d"&amp;ROW()),INDIRECT(A73&amp;A67):INDIRECT(A73&amp;A66),H1)</f>
        <v>0</v>
      </c>
      <c r="I11">
        <f ca="1">IF(OR(INDIRECT(A73&amp;ROW())=B93,INDIRECT(A73&amp;ROW())=B94),1,IF(AND(INDIRECT(A73&amp;ROW())=B95,INDIRECT(A96&amp;ROW())=C93),1,IF(AND(INDIRECT(A73&amp;ROW())=B95,INDIRECT(A96&amp;ROW())=C94),1,0)))</f>
        <v>0</v>
      </c>
      <c r="J11">
        <f ca="1">IF(AND(INDIRECT(A73&amp;ROW())=B95,INDIRECT(A96&amp;ROW())=C95),1,IF(AND(INDIRECT(A73&amp;ROW())=B95,INDIRECT(A96&amp;ROW())=C96),1,0))</f>
        <v>0</v>
      </c>
      <c r="K11">
        <f ca="1">DAYS360(INDIRECT(C68&amp;ROW()),TODAY())</f>
        <v>728</v>
      </c>
      <c r="L11">
        <f ca="1">DAYS360(INDIRECT(C69&amp;ROW()),TODAY())</f>
        <v>1098</v>
      </c>
      <c r="M11" s="11">
        <f ca="1">HYPERLINK(CONCATENATE("https://bugzilla.houston.hp.com:1181/bugzilla/show_bug.cgi?id=",INDIRECT(C70&amp;ROW())),INDIRECT(C70&amp;ROW()))</f>
        <v>41906</v>
      </c>
      <c r="N11">
        <v>41906</v>
      </c>
      <c r="O11" t="s">
        <v>88</v>
      </c>
      <c r="P11" t="s">
        <v>456</v>
      </c>
      <c r="Q11" t="s">
        <v>16</v>
      </c>
      <c r="R11" t="s">
        <v>251</v>
      </c>
      <c r="S11" t="s">
        <v>31</v>
      </c>
      <c r="U11" s="6">
        <v>42118.519907407404</v>
      </c>
      <c r="V11" t="s">
        <v>40</v>
      </c>
      <c r="W11" t="s">
        <v>17</v>
      </c>
      <c r="X11" s="6">
        <v>41743.650300925925</v>
      </c>
      <c r="Y11" t="s">
        <v>119</v>
      </c>
      <c r="AB11" t="s">
        <v>201</v>
      </c>
      <c r="AC11" t="s">
        <v>121</v>
      </c>
      <c r="AD11" t="s">
        <v>222</v>
      </c>
      <c r="AE11" t="s">
        <v>225</v>
      </c>
      <c r="AG11" t="s">
        <v>121</v>
      </c>
      <c r="AH11" t="s">
        <v>327</v>
      </c>
      <c r="AI11" t="s">
        <v>121</v>
      </c>
      <c r="AJ11" t="s">
        <v>717</v>
      </c>
      <c r="AK11" t="s">
        <v>121</v>
      </c>
    </row>
    <row r="12" spans="1:37" x14ac:dyDescent="0.3">
      <c r="A12" s="2">
        <f ca="1">COUNTIF(INDIRECT(A68&amp;A67):INDIRECT(A69&amp;A66),INDIRECT("b"&amp;ROW()))</f>
        <v>4</v>
      </c>
      <c r="B12" s="2" t="str">
        <f>Assignees!C11</f>
        <v>Astra-Post IR13 07-11-RTI</v>
      </c>
      <c r="C12" s="3">
        <f ca="1">COUNTIF(INDIRECT(A71&amp;A67):INDIRECT(A71&amp;A66),INDIRECT("d"&amp;ROW()))</f>
        <v>0</v>
      </c>
      <c r="D12" s="3">
        <f>Assignees!D11</f>
        <v>0</v>
      </c>
      <c r="E12" s="16">
        <f ca="1">COUNTIFS(INDIRECT(A71&amp;A67):INDIRECT(A71&amp;A66),INDIRECT("d"&amp;ROW()),INDIRECT(A73&amp;A67):INDIRECT(A73&amp;A66),E1)</f>
        <v>0</v>
      </c>
      <c r="F12" s="4">
        <f ca="1">COUNTIFS(INDIRECT(A71&amp;A67):INDIRECT(A71&amp;A66),INDIRECT("d"&amp;ROW()),INDIRECT(A73&amp;A67):INDIRECT(A73&amp;A66),F1)</f>
        <v>0</v>
      </c>
      <c r="G12" s="3">
        <f ca="1">COUNTIFS(INDIRECT(A71&amp;A67):INDIRECT(A71&amp;A66),INDIRECT("d"&amp;ROW()),INDIRECT(A73&amp;A67):INDIRECT(A73&amp;A66),G1)</f>
        <v>0</v>
      </c>
      <c r="H12" s="5">
        <f ca="1">COUNTIFS(INDIRECT(A71&amp;A67):INDIRECT(A71&amp;A66),INDIRECT("d"&amp;ROW()),INDIRECT(A73&amp;A67):INDIRECT(A73&amp;A66),H1)</f>
        <v>0</v>
      </c>
      <c r="I12">
        <f ca="1">IF(OR(INDIRECT(A73&amp;ROW())=B93,INDIRECT(A73&amp;ROW())=B94),1,IF(AND(INDIRECT(A73&amp;ROW())=B95,INDIRECT(A96&amp;ROW())=C93),1,IF(AND(INDIRECT(A73&amp;ROW())=B95,INDIRECT(A96&amp;ROW())=C94),1,0)))</f>
        <v>0</v>
      </c>
      <c r="J12">
        <f ca="1">IF(AND(INDIRECT(A73&amp;ROW())=B95,INDIRECT(A96&amp;ROW())=C95),1,IF(AND(INDIRECT(A73&amp;ROW())=B95,INDIRECT(A96&amp;ROW())=C96),1,0))</f>
        <v>1</v>
      </c>
      <c r="K12">
        <f ca="1">DAYS360(INDIRECT(C68&amp;ROW()),TODAY())</f>
        <v>724</v>
      </c>
      <c r="L12">
        <f ca="1">DAYS360(INDIRECT(C69&amp;ROW()),TODAY())</f>
        <v>1088</v>
      </c>
      <c r="M12" s="11">
        <f ca="1">HYPERLINK(CONCATENATE("https://bugzilla.houston.hp.com:1181/bugzilla/show_bug.cgi?id=",INDIRECT(C70&amp;ROW())),INDIRECT(C70&amp;ROW()))</f>
        <v>42234</v>
      </c>
      <c r="N12">
        <v>42234</v>
      </c>
      <c r="O12" t="s">
        <v>187</v>
      </c>
      <c r="P12" t="s">
        <v>455</v>
      </c>
      <c r="Q12" t="s">
        <v>25</v>
      </c>
      <c r="R12" t="s">
        <v>251</v>
      </c>
      <c r="S12" t="s">
        <v>22</v>
      </c>
      <c r="U12" s="6">
        <v>42122.355613425927</v>
      </c>
      <c r="V12" t="s">
        <v>18</v>
      </c>
      <c r="W12" t="s">
        <v>17</v>
      </c>
      <c r="X12" s="6">
        <v>41753.652465277781</v>
      </c>
      <c r="Y12" t="s">
        <v>786</v>
      </c>
      <c r="AB12" t="s">
        <v>201</v>
      </c>
      <c r="AC12" t="s">
        <v>121</v>
      </c>
      <c r="AD12" t="s">
        <v>220</v>
      </c>
      <c r="AE12" t="s">
        <v>219</v>
      </c>
      <c r="AG12" t="s">
        <v>121</v>
      </c>
      <c r="AH12" t="s">
        <v>327</v>
      </c>
      <c r="AI12" t="s">
        <v>121</v>
      </c>
      <c r="AJ12" t="s">
        <v>716</v>
      </c>
      <c r="AK12" t="s">
        <v>121</v>
      </c>
    </row>
    <row r="13" spans="1:37" x14ac:dyDescent="0.3">
      <c r="A13" s="2">
        <f ca="1">COUNTIF(INDIRECT(A68&amp;A67):INDIRECT(A69&amp;A66),INDIRECT("b"&amp;ROW()))</f>
        <v>6</v>
      </c>
      <c r="B13" s="2" t="str">
        <f>Assignees!C12</f>
        <v>Astra-Post IR13 07-18</v>
      </c>
      <c r="I13">
        <f ca="1">IF(OR(INDIRECT(A73&amp;ROW())=B93,INDIRECT(A73&amp;ROW())=B94),1,IF(AND(INDIRECT(A73&amp;ROW())=B95,INDIRECT(A96&amp;ROW())=C93),1,IF(AND(INDIRECT(A73&amp;ROW())=B95,INDIRECT(A96&amp;ROW())=C94),1,0)))</f>
        <v>0</v>
      </c>
      <c r="J13">
        <f ca="1">IF(AND(INDIRECT(A73&amp;ROW())=B95,INDIRECT(A96&amp;ROW())=C95),1,IF(AND(INDIRECT(A73&amp;ROW())=B95,INDIRECT(A96&amp;ROW())=C96),1,0))</f>
        <v>0</v>
      </c>
      <c r="K13">
        <f ca="1">DAYS360(INDIRECT(C68&amp;ROW()),TODAY())</f>
        <v>728</v>
      </c>
      <c r="L13">
        <f ca="1">DAYS360(INDIRECT(C69&amp;ROW()),TODAY())</f>
        <v>1084</v>
      </c>
      <c r="M13" s="11">
        <f ca="1">HYPERLINK(CONCATENATE("https://bugzilla.houston.hp.com:1181/bugzilla/show_bug.cgi?id=",INDIRECT(C70&amp;ROW())),INDIRECT(C70&amp;ROW()))</f>
        <v>42317</v>
      </c>
      <c r="N13">
        <v>42317</v>
      </c>
      <c r="O13" t="s">
        <v>88</v>
      </c>
      <c r="P13" t="s">
        <v>454</v>
      </c>
      <c r="Q13" t="s">
        <v>16</v>
      </c>
      <c r="R13" t="s">
        <v>251</v>
      </c>
      <c r="S13" t="s">
        <v>31</v>
      </c>
      <c r="U13" s="6">
        <v>42118.52002314815</v>
      </c>
      <c r="V13" t="s">
        <v>35</v>
      </c>
      <c r="W13" t="s">
        <v>17</v>
      </c>
      <c r="X13" s="6">
        <v>41757.419675925928</v>
      </c>
      <c r="Y13" t="s">
        <v>119</v>
      </c>
      <c r="AB13" t="s">
        <v>201</v>
      </c>
      <c r="AC13" t="s">
        <v>121</v>
      </c>
      <c r="AD13" t="s">
        <v>222</v>
      </c>
      <c r="AE13" t="s">
        <v>240</v>
      </c>
      <c r="AG13" t="s">
        <v>121</v>
      </c>
      <c r="AH13" t="s">
        <v>327</v>
      </c>
      <c r="AI13" t="s">
        <v>121</v>
      </c>
      <c r="AJ13" t="s">
        <v>717</v>
      </c>
      <c r="AK13" t="s">
        <v>121</v>
      </c>
    </row>
    <row r="14" spans="1:37" x14ac:dyDescent="0.3">
      <c r="A14" s="2">
        <f ca="1">COUNTIF(INDIRECT(A68&amp;A67):INDIRECT(A69&amp;A66),INDIRECT("b"&amp;ROW()))</f>
        <v>4</v>
      </c>
      <c r="B14" s="2" t="str">
        <f>Assignees!C13</f>
        <v>Astra-Post IR13 07-25-RTI</v>
      </c>
      <c r="I14">
        <f ca="1">IF(OR(INDIRECT(A73&amp;ROW())=B93,INDIRECT(A73&amp;ROW())=B94),1,IF(AND(INDIRECT(A73&amp;ROW())=B95,INDIRECT(A96&amp;ROW())=C93),1,IF(AND(INDIRECT(A73&amp;ROW())=B95,INDIRECT(A96&amp;ROW())=C94),1,0)))</f>
        <v>0</v>
      </c>
      <c r="J14">
        <f ca="1">IF(AND(INDIRECT(A73&amp;ROW())=B95,INDIRECT(A96&amp;ROW())=C95),1,IF(AND(INDIRECT(A73&amp;ROW())=B95,INDIRECT(A96&amp;ROW())=C96),1,0))</f>
        <v>0</v>
      </c>
      <c r="K14">
        <f ca="1">DAYS360(INDIRECT(C68&amp;ROW()),TODAY())</f>
        <v>677</v>
      </c>
      <c r="L14">
        <f ca="1">DAYS360(INDIRECT(C69&amp;ROW()),TODAY())</f>
        <v>1084</v>
      </c>
      <c r="M14" s="11">
        <f ca="1">HYPERLINK(CONCATENATE("https://bugzilla.houston.hp.com:1181/bugzilla/show_bug.cgi?id=",INDIRECT(C70&amp;ROW())),INDIRECT(C70&amp;ROW()))</f>
        <v>42322</v>
      </c>
      <c r="N14">
        <v>42322</v>
      </c>
      <c r="O14" t="s">
        <v>56</v>
      </c>
      <c r="P14" t="s">
        <v>453</v>
      </c>
      <c r="Q14" t="s">
        <v>16</v>
      </c>
      <c r="R14" t="s">
        <v>251</v>
      </c>
      <c r="S14" t="s">
        <v>24</v>
      </c>
      <c r="U14" s="6">
        <v>42170.525046296294</v>
      </c>
      <c r="V14" t="s">
        <v>35</v>
      </c>
      <c r="W14" t="s">
        <v>17</v>
      </c>
      <c r="X14" s="6">
        <v>41757.499259259261</v>
      </c>
      <c r="Y14" t="s">
        <v>119</v>
      </c>
      <c r="AB14" t="s">
        <v>201</v>
      </c>
      <c r="AC14" t="s">
        <v>121</v>
      </c>
      <c r="AD14" t="s">
        <v>220</v>
      </c>
      <c r="AE14" t="s">
        <v>219</v>
      </c>
      <c r="AG14" t="s">
        <v>121</v>
      </c>
      <c r="AH14" t="s">
        <v>327</v>
      </c>
      <c r="AI14" t="s">
        <v>121</v>
      </c>
      <c r="AJ14" t="s">
        <v>717</v>
      </c>
      <c r="AK14" t="s">
        <v>121</v>
      </c>
    </row>
    <row r="15" spans="1:37" x14ac:dyDescent="0.3">
      <c r="A15" s="2">
        <f ca="1">COUNTIF(INDIRECT(A68&amp;A67):INDIRECT(A69&amp;A66),INDIRECT("b"&amp;ROW()))</f>
        <v>8</v>
      </c>
      <c r="B15" s="2" t="str">
        <f>Assignees!C14</f>
        <v>Astra-Post IR13 08-08-RTI</v>
      </c>
      <c r="I15">
        <f ca="1">IF(OR(INDIRECT(A73&amp;ROW())=B93,INDIRECT(A73&amp;ROW())=B94),1,IF(AND(INDIRECT(A73&amp;ROW())=B95,INDIRECT(A96&amp;ROW())=C93),1,IF(AND(INDIRECT(A73&amp;ROW())=B95,INDIRECT(A96&amp;ROW())=C94),1,0)))</f>
        <v>0</v>
      </c>
      <c r="J15">
        <f ca="1">IF(AND(INDIRECT(A73&amp;ROW())=B95,INDIRECT(A96&amp;ROW())=C95),1,IF(AND(INDIRECT(A73&amp;ROW())=B95,INDIRECT(A96&amp;ROW())=C96),1,0))</f>
        <v>0</v>
      </c>
      <c r="K15">
        <f ca="1">DAYS360(INDIRECT(C68&amp;ROW()),TODAY())</f>
        <v>724</v>
      </c>
      <c r="L15">
        <f ca="1">DAYS360(INDIRECT(C69&amp;ROW()),TODAY())</f>
        <v>1082</v>
      </c>
      <c r="M15" s="11">
        <f ca="1">HYPERLINK(CONCATENATE("https://bugzilla.houston.hp.com:1181/bugzilla/show_bug.cgi?id=",INDIRECT(C70&amp;ROW())),INDIRECT(C70&amp;ROW()))</f>
        <v>42414</v>
      </c>
      <c r="N15">
        <v>42414</v>
      </c>
      <c r="O15" t="s">
        <v>53</v>
      </c>
      <c r="P15" t="s">
        <v>713</v>
      </c>
      <c r="Q15" t="s">
        <v>16</v>
      </c>
      <c r="R15" t="s">
        <v>251</v>
      </c>
      <c r="S15" t="s">
        <v>53</v>
      </c>
      <c r="U15" s="6">
        <v>42122.542314814818</v>
      </c>
      <c r="V15" t="s">
        <v>18</v>
      </c>
      <c r="W15" t="s">
        <v>17</v>
      </c>
      <c r="X15" s="6">
        <v>41759.650740740741</v>
      </c>
      <c r="Y15" t="s">
        <v>118</v>
      </c>
      <c r="AB15" t="s">
        <v>201</v>
      </c>
      <c r="AC15" t="s">
        <v>121</v>
      </c>
      <c r="AD15" t="s">
        <v>220</v>
      </c>
      <c r="AE15" t="s">
        <v>219</v>
      </c>
      <c r="AG15" t="s">
        <v>121</v>
      </c>
      <c r="AH15" t="s">
        <v>327</v>
      </c>
      <c r="AI15" t="s">
        <v>121</v>
      </c>
      <c r="AJ15" t="s">
        <v>717</v>
      </c>
      <c r="AK15" t="s">
        <v>121</v>
      </c>
    </row>
    <row r="16" spans="1:37" x14ac:dyDescent="0.3">
      <c r="A16" s="2">
        <f ca="1">COUNTIF(INDIRECT(A68&amp;A67):INDIRECT(A69&amp;A66),INDIRECT("b"&amp;ROW()))</f>
        <v>12</v>
      </c>
      <c r="B16" s="2" t="str">
        <f>Assignees!C15</f>
        <v>Astra-Post IR13 08-15</v>
      </c>
      <c r="C16" s="7">
        <f ca="1">SUM(C2:C12)</f>
        <v>684</v>
      </c>
      <c r="D16" s="7" t="s">
        <v>23</v>
      </c>
      <c r="E16" s="1">
        <f ca="1">SUM(E2:E9)</f>
        <v>2</v>
      </c>
      <c r="F16" s="1">
        <f ca="1">SUM(F2:F9)</f>
        <v>105</v>
      </c>
      <c r="G16" s="7">
        <f ca="1">SUM(G2:G9)</f>
        <v>307</v>
      </c>
      <c r="H16" s="7">
        <f ca="1">SUM(H2:H12)</f>
        <v>270</v>
      </c>
      <c r="I16">
        <f ca="1">IF(OR(INDIRECT(A73&amp;ROW())=B93,INDIRECT(A73&amp;ROW())=B94),1,IF(AND(INDIRECT(A73&amp;ROW())=B95,INDIRECT(A96&amp;ROW())=C93),1,IF(AND(INDIRECT(A73&amp;ROW())=B95,INDIRECT(A96&amp;ROW())=C94),1,0)))</f>
        <v>0</v>
      </c>
      <c r="J16">
        <f ca="1">IF(AND(INDIRECT(A73&amp;ROW())=B95,INDIRECT(A96&amp;ROW())=C95),1,IF(AND(INDIRECT(A73&amp;ROW())=B95,INDIRECT(A96&amp;ROW())=C96),1,0))</f>
        <v>0</v>
      </c>
      <c r="K16">
        <f ca="1">DAYS360(INDIRECT(C68&amp;ROW()),TODAY())</f>
        <v>800</v>
      </c>
      <c r="L16">
        <f ca="1">DAYS360(INDIRECT(C69&amp;ROW()),TODAY())</f>
        <v>1067</v>
      </c>
      <c r="M16" s="11">
        <f ca="1">HYPERLINK(CONCATENATE("https://bugzilla.houston.hp.com:1181/bugzilla/show_bug.cgi?id=",INDIRECT(C70&amp;ROW())),INDIRECT(C70&amp;ROW()))</f>
        <v>42914</v>
      </c>
      <c r="N16">
        <v>42914</v>
      </c>
      <c r="O16" t="s">
        <v>66</v>
      </c>
      <c r="P16" t="s">
        <v>331</v>
      </c>
      <c r="Q16" t="s">
        <v>16</v>
      </c>
      <c r="R16" t="s">
        <v>17</v>
      </c>
      <c r="S16" t="s">
        <v>33</v>
      </c>
      <c r="U16" s="6">
        <v>42047.981203703705</v>
      </c>
      <c r="V16" t="s">
        <v>35</v>
      </c>
      <c r="W16" t="s">
        <v>172</v>
      </c>
      <c r="X16" s="6">
        <v>41774.400381944448</v>
      </c>
      <c r="Y16" t="s">
        <v>119</v>
      </c>
      <c r="AB16" t="s">
        <v>201</v>
      </c>
      <c r="AC16" t="s">
        <v>121</v>
      </c>
      <c r="AD16" t="s">
        <v>222</v>
      </c>
      <c r="AE16" t="s">
        <v>228</v>
      </c>
      <c r="AG16" t="s">
        <v>121</v>
      </c>
      <c r="AH16" t="s">
        <v>327</v>
      </c>
      <c r="AI16" t="s">
        <v>121</v>
      </c>
      <c r="AJ16" t="s">
        <v>717</v>
      </c>
      <c r="AK16" t="s">
        <v>121</v>
      </c>
    </row>
    <row r="17" spans="1:37" x14ac:dyDescent="0.3">
      <c r="A17" s="2">
        <f ca="1">COUNTIF(INDIRECT(A68&amp;A67):INDIRECT(A69&amp;A66),INDIRECT("b"&amp;ROW()))</f>
        <v>11</v>
      </c>
      <c r="B17" s="2" t="str">
        <f>Assignees!C16</f>
        <v>Astra-Post IR13 08-22</v>
      </c>
      <c r="C17">
        <f ca="1">C16-H16</f>
        <v>414</v>
      </c>
      <c r="D17" s="8" t="s">
        <v>26</v>
      </c>
      <c r="I17">
        <f ca="1">IF(OR(INDIRECT(A73&amp;ROW())=B93,INDIRECT(A73&amp;ROW())=B94),1,IF(AND(INDIRECT(A73&amp;ROW())=B95,INDIRECT(A96&amp;ROW())=C93),1,IF(AND(INDIRECT(A73&amp;ROW())=B95,INDIRECT(A96&amp;ROW())=C94),1,0)))</f>
        <v>1</v>
      </c>
      <c r="J17">
        <f ca="1">IF(AND(INDIRECT(A73&amp;ROW())=B95,INDIRECT(A96&amp;ROW())=C95),1,IF(AND(INDIRECT(A73&amp;ROW())=B95,INDIRECT(A96&amp;ROW())=C96),1,0))</f>
        <v>0</v>
      </c>
      <c r="K17">
        <f ca="1">DAYS360(INDIRECT(C68&amp;ROW()),TODAY())</f>
        <v>677</v>
      </c>
      <c r="L17">
        <f ca="1">DAYS360(INDIRECT(C69&amp;ROW()),TODAY())</f>
        <v>1066</v>
      </c>
      <c r="M17" s="11">
        <f ca="1">HYPERLINK(CONCATENATE("https://bugzilla.houston.hp.com:1181/bugzilla/show_bug.cgi?id=",INDIRECT(C70&amp;ROW())),INDIRECT(C70&amp;ROW()))</f>
        <v>42962</v>
      </c>
      <c r="N17">
        <v>42962</v>
      </c>
      <c r="O17" t="s">
        <v>204</v>
      </c>
      <c r="P17" t="s">
        <v>712</v>
      </c>
      <c r="Q17" t="s">
        <v>25</v>
      </c>
      <c r="R17" t="s">
        <v>251</v>
      </c>
      <c r="S17" t="s">
        <v>31</v>
      </c>
      <c r="T17" t="s">
        <v>54</v>
      </c>
      <c r="U17" s="6">
        <v>42170.554965277777</v>
      </c>
      <c r="V17" t="s">
        <v>40</v>
      </c>
      <c r="W17" t="s">
        <v>17</v>
      </c>
      <c r="X17" s="6">
        <v>41775.516168981485</v>
      </c>
      <c r="Y17" t="s">
        <v>119</v>
      </c>
      <c r="AB17" t="s">
        <v>200</v>
      </c>
      <c r="AC17" t="s">
        <v>121</v>
      </c>
      <c r="AD17" t="s">
        <v>222</v>
      </c>
      <c r="AE17" t="s">
        <v>225</v>
      </c>
      <c r="AG17" t="s">
        <v>121</v>
      </c>
      <c r="AH17" t="s">
        <v>327</v>
      </c>
      <c r="AI17" t="s">
        <v>121</v>
      </c>
      <c r="AJ17" t="s">
        <v>715</v>
      </c>
      <c r="AK17" t="s">
        <v>121</v>
      </c>
    </row>
    <row r="18" spans="1:37" x14ac:dyDescent="0.3">
      <c r="A18" s="2">
        <f ca="1">COUNTIF(INDIRECT(A68&amp;A67):INDIRECT(A69&amp;A66),INDIRECT("b"&amp;ROW()))</f>
        <v>5</v>
      </c>
      <c r="B18" s="2" t="str">
        <f>Assignees!C17</f>
        <v>Astra-Post IR13 08-29</v>
      </c>
      <c r="C18">
        <f ca="1">C16-H16-C21-C50-C32</f>
        <v>262</v>
      </c>
      <c r="D18" t="s">
        <v>29</v>
      </c>
      <c r="I18">
        <f ca="1">IF(OR(INDIRECT(A73&amp;ROW())=B93,INDIRECT(A73&amp;ROW())=B94),1,IF(AND(INDIRECT(A73&amp;ROW())=B95,INDIRECT(A96&amp;ROW())=C93),1,IF(AND(INDIRECT(A73&amp;ROW())=B95,INDIRECT(A96&amp;ROW())=C94),1,0)))</f>
        <v>1</v>
      </c>
      <c r="J18">
        <f ca="1">IF(AND(INDIRECT(A73&amp;ROW())=B95,INDIRECT(A96&amp;ROW())=C95),1,IF(AND(INDIRECT(A73&amp;ROW())=B95,INDIRECT(A96&amp;ROW())=C96),1,0))</f>
        <v>0</v>
      </c>
      <c r="K18">
        <f ca="1">DAYS360(INDIRECT(C68&amp;ROW()),TODAY())</f>
        <v>724</v>
      </c>
      <c r="L18">
        <f ca="1">DAYS360(INDIRECT(C69&amp;ROW()),TODAY())</f>
        <v>1048</v>
      </c>
      <c r="M18" s="11">
        <f ca="1">HYPERLINK(CONCATENATE("https://bugzilla.houston.hp.com:1181/bugzilla/show_bug.cgi?id=",INDIRECT(C70&amp;ROW())),INDIRECT(C70&amp;ROW()))</f>
        <v>43571</v>
      </c>
      <c r="N18">
        <v>43571</v>
      </c>
      <c r="O18" t="s">
        <v>180</v>
      </c>
      <c r="P18" t="s">
        <v>452</v>
      </c>
      <c r="Q18" t="s">
        <v>25</v>
      </c>
      <c r="R18" t="s">
        <v>251</v>
      </c>
      <c r="S18" t="s">
        <v>46</v>
      </c>
      <c r="T18" t="s">
        <v>794</v>
      </c>
      <c r="U18" s="6">
        <v>42122.35528935185</v>
      </c>
      <c r="V18" t="s">
        <v>18</v>
      </c>
      <c r="W18" t="s">
        <v>17</v>
      </c>
      <c r="X18" s="6">
        <v>41794.596504629626</v>
      </c>
      <c r="Y18" t="s">
        <v>119</v>
      </c>
      <c r="AB18" t="s">
        <v>200</v>
      </c>
      <c r="AC18" t="s">
        <v>121</v>
      </c>
      <c r="AD18" t="s">
        <v>222</v>
      </c>
      <c r="AE18" t="s">
        <v>221</v>
      </c>
      <c r="AG18" t="s">
        <v>121</v>
      </c>
      <c r="AH18" t="s">
        <v>327</v>
      </c>
      <c r="AI18" t="s">
        <v>121</v>
      </c>
      <c r="AJ18" t="s">
        <v>715</v>
      </c>
      <c r="AK18" t="s">
        <v>121</v>
      </c>
    </row>
    <row r="19" spans="1:37" x14ac:dyDescent="0.3">
      <c r="A19" s="2">
        <f ca="1">COUNTIF(INDIRECT(A68&amp;A67):INDIRECT(A69&amp;A66),INDIRECT("b"&amp;ROW()))</f>
        <v>9</v>
      </c>
      <c r="B19" s="2" t="str">
        <f>Assignees!C18</f>
        <v>Astra-Post IR13 09-05</v>
      </c>
      <c r="C19" s="9">
        <f ca="1">(COUNTIFS(INDIRECT(A80&amp;A67):INDIRECT(A80&amp;A66),A93))</f>
        <v>576</v>
      </c>
      <c r="D19" s="9" t="str">
        <f>A93</f>
        <v>NEW</v>
      </c>
      <c r="E19" s="16">
        <f ca="1">(COUNTIFS(INDIRECT(A80&amp;A67):INDIRECT(A80&amp;A66),INDIRECT("d"&amp;ROW()),INDIRECT(A73&amp;A67):INDIRECT(A73&amp;A66),E1))</f>
        <v>2</v>
      </c>
      <c r="F19" s="4">
        <f ca="1">(COUNTIFS(INDIRECT(A80&amp;A67):INDIRECT(A80&amp;A66),INDIRECT("d"&amp;ROW()),INDIRECT(A73&amp;A67):INDIRECT(A73&amp;A66),F1))</f>
        <v>82</v>
      </c>
      <c r="G19" s="3">
        <f ca="1">(COUNTIFS(INDIRECT(A80&amp;A67):INDIRECT(A80&amp;A66),INDIRECT("d"&amp;ROW()),INDIRECT(A73&amp;A67):INDIRECT(A73&amp;A66),G1))</f>
        <v>260</v>
      </c>
      <c r="H19" s="5">
        <f ca="1">(COUNTIFS(INDIRECT(A80&amp;A67):INDIRECT(A80&amp;A66),INDIRECT("d"&amp;ROW()),INDIRECT(A73&amp;A67):INDIRECT(A73&amp;A66),H1))</f>
        <v>232</v>
      </c>
      <c r="I19">
        <f ca="1">IF(OR(INDIRECT(A73&amp;ROW())=B93,INDIRECT(A73&amp;ROW())=B94),1,IF(AND(INDIRECT(A73&amp;ROW())=B95,INDIRECT(A96&amp;ROW())=C93),1,IF(AND(INDIRECT(A73&amp;ROW())=B95,INDIRECT(A96&amp;ROW())=C94),1,0)))</f>
        <v>0</v>
      </c>
      <c r="J19">
        <f ca="1">IF(AND(INDIRECT(A73&amp;ROW())=B95,INDIRECT(A96&amp;ROW())=C95),1,IF(AND(INDIRECT(A73&amp;ROW())=B95,INDIRECT(A96&amp;ROW())=C96),1,0))</f>
        <v>1</v>
      </c>
      <c r="K19">
        <f ca="1">DAYS360(INDIRECT(C68&amp;ROW()),TODAY())</f>
        <v>682</v>
      </c>
      <c r="L19">
        <f ca="1">DAYS360(INDIRECT(C69&amp;ROW()),TODAY())</f>
        <v>1047</v>
      </c>
      <c r="M19" s="11">
        <f ca="1">HYPERLINK(CONCATENATE("https://bugzilla.houston.hp.com:1181/bugzilla/show_bug.cgi?id=",INDIRECT(C70&amp;ROW())),INDIRECT(C70&amp;ROW()))</f>
        <v>43596</v>
      </c>
      <c r="N19">
        <v>43596</v>
      </c>
      <c r="O19" t="s">
        <v>204</v>
      </c>
      <c r="P19" t="s">
        <v>711</v>
      </c>
      <c r="Q19" t="s">
        <v>25</v>
      </c>
      <c r="R19" t="s">
        <v>251</v>
      </c>
      <c r="S19" t="s">
        <v>33</v>
      </c>
      <c r="U19" s="6">
        <v>42165.558819444443</v>
      </c>
      <c r="V19" t="s">
        <v>40</v>
      </c>
      <c r="W19" t="s">
        <v>17</v>
      </c>
      <c r="X19" s="6">
        <v>41795.209398148145</v>
      </c>
      <c r="Y19" t="s">
        <v>119</v>
      </c>
      <c r="AB19" t="s">
        <v>201</v>
      </c>
      <c r="AC19" t="s">
        <v>121</v>
      </c>
      <c r="AD19" t="s">
        <v>220</v>
      </c>
      <c r="AE19" t="s">
        <v>223</v>
      </c>
      <c r="AG19" t="s">
        <v>121</v>
      </c>
      <c r="AH19" t="s">
        <v>327</v>
      </c>
      <c r="AI19" t="s">
        <v>121</v>
      </c>
      <c r="AJ19" t="s">
        <v>716</v>
      </c>
      <c r="AK19" t="s">
        <v>121</v>
      </c>
    </row>
    <row r="20" spans="1:37" x14ac:dyDescent="0.3">
      <c r="A20" s="2">
        <f ca="1">COUNTIF(INDIRECT(A68&amp;A67):INDIRECT(A69&amp;A66),INDIRECT("b"&amp;ROW()))</f>
        <v>2</v>
      </c>
      <c r="B20" s="2" t="str">
        <f>Assignees!C19</f>
        <v>Astra-Post IR13 09-12</v>
      </c>
      <c r="C20" s="9">
        <f ca="1">(COUNTIFS(INDIRECT(A80&amp;A67):INDIRECT(A80&amp;A66),A94))</f>
        <v>66</v>
      </c>
      <c r="D20" s="9" t="str">
        <f>A94</f>
        <v>ASSIGNED</v>
      </c>
      <c r="E20" s="16">
        <f ca="1">(COUNTIFS(INDIRECT(A80&amp;A67):INDIRECT(A80&amp;A66),INDIRECT("d"&amp;ROW()),INDIRECT(A73&amp;A67):INDIRECT(A73&amp;A66),E1))</f>
        <v>0</v>
      </c>
      <c r="F20" s="4">
        <f ca="1">(COUNTIFS(INDIRECT(A80&amp;A67):INDIRECT(A80&amp;A66),INDIRECT("d"&amp;ROW()),INDIRECT(A73&amp;A67):INDIRECT(A73&amp;A66),F1))</f>
        <v>10</v>
      </c>
      <c r="G20" s="3">
        <f ca="1">(COUNTIFS(INDIRECT(A80&amp;A67):INDIRECT(A80&amp;A66),INDIRECT("d"&amp;ROW()),INDIRECT(A73&amp;A67):INDIRECT(A73&amp;A66),G1))</f>
        <v>28</v>
      </c>
      <c r="H20" s="5">
        <f ca="1">(COUNTIFS(INDIRECT(A80&amp;A67):INDIRECT(A80&amp;A66),INDIRECT("d"&amp;ROW()),INDIRECT(A73&amp;A67):INDIRECT(A73&amp;A66),H1))</f>
        <v>28</v>
      </c>
      <c r="I20">
        <f ca="1">IF(OR(INDIRECT(A73&amp;ROW())=B93,INDIRECT(A73&amp;ROW())=B94),1,IF(AND(INDIRECT(A73&amp;ROW())=B95,INDIRECT(A96&amp;ROW())=C93),1,IF(AND(INDIRECT(A73&amp;ROW())=B95,INDIRECT(A96&amp;ROW())=C94),1,0)))</f>
        <v>0</v>
      </c>
      <c r="J20">
        <f ca="1">IF(AND(INDIRECT(A73&amp;ROW())=B95,INDIRECT(A96&amp;ROW())=C95),1,IF(AND(INDIRECT(A73&amp;ROW())=B95,INDIRECT(A96&amp;ROW())=C96),1,0))</f>
        <v>0</v>
      </c>
      <c r="K20">
        <f ca="1">DAYS360(INDIRECT(C68&amp;ROW()),TODAY())</f>
        <v>728</v>
      </c>
      <c r="L20">
        <f ca="1">DAYS360(INDIRECT(C69&amp;ROW()),TODAY())</f>
        <v>1040</v>
      </c>
      <c r="M20" s="11">
        <f ca="1">HYPERLINK(CONCATENATE("https://bugzilla.houston.hp.com:1181/bugzilla/show_bug.cgi?id=",INDIRECT(C70&amp;ROW())),INDIRECT(C70&amp;ROW()))</f>
        <v>43856</v>
      </c>
      <c r="N20">
        <v>43856</v>
      </c>
      <c r="O20" t="s">
        <v>59</v>
      </c>
      <c r="P20" t="s">
        <v>254</v>
      </c>
      <c r="Q20" t="s">
        <v>16</v>
      </c>
      <c r="R20" t="s">
        <v>251</v>
      </c>
      <c r="S20" t="s">
        <v>68</v>
      </c>
      <c r="U20" s="6">
        <v>42118.52034722222</v>
      </c>
      <c r="V20" t="s">
        <v>35</v>
      </c>
      <c r="W20" t="s">
        <v>17</v>
      </c>
      <c r="X20" s="6">
        <v>41802.251354166663</v>
      </c>
      <c r="Y20" t="s">
        <v>124</v>
      </c>
      <c r="AB20" t="s">
        <v>201</v>
      </c>
      <c r="AC20" t="s">
        <v>121</v>
      </c>
      <c r="AD20" t="s">
        <v>220</v>
      </c>
      <c r="AE20" t="s">
        <v>219</v>
      </c>
      <c r="AG20" t="s">
        <v>121</v>
      </c>
      <c r="AH20" t="s">
        <v>327</v>
      </c>
      <c r="AI20" t="s">
        <v>121</v>
      </c>
      <c r="AJ20" t="s">
        <v>717</v>
      </c>
      <c r="AK20" t="s">
        <v>121</v>
      </c>
    </row>
    <row r="21" spans="1:37" x14ac:dyDescent="0.3">
      <c r="A21" s="2">
        <f ca="1">COUNTIF(INDIRECT(A68&amp;A67):INDIRECT(A69&amp;A66),INDIRECT("b"&amp;ROW()))</f>
        <v>3</v>
      </c>
      <c r="B21" s="2" t="str">
        <f>Assignees!C20</f>
        <v>Astra-Post IR13 09-19</v>
      </c>
      <c r="C21" s="9">
        <f ca="1">(COUNTIFS(INDIRECT(A80&amp;A67):INDIRECT(A80&amp;A66),A95))</f>
        <v>42</v>
      </c>
      <c r="D21" s="9" t="str">
        <f>A95</f>
        <v>REOPENED</v>
      </c>
      <c r="E21" s="16">
        <f ca="1">(COUNTIFS(INDIRECT(A80&amp;A67):INDIRECT(A80&amp;A66),INDIRECT("d"&amp;ROW()),INDIRECT(A73&amp;A67):INDIRECT(A73&amp;A66),E1))</f>
        <v>0</v>
      </c>
      <c r="F21" s="4">
        <f ca="1">(COUNTIFS(INDIRECT(A80&amp;A67):INDIRECT(A80&amp;A66),INDIRECT("d"&amp;ROW()),INDIRECT(A73&amp;A67):INDIRECT(A73&amp;A66),F1))</f>
        <v>13</v>
      </c>
      <c r="G21" s="3">
        <f ca="1">(COUNTIFS(INDIRECT(A80&amp;A67):INDIRECT(A80&amp;A66),INDIRECT("d"&amp;ROW()),INDIRECT(A73&amp;A67):INDIRECT(A73&amp;A66),G1))</f>
        <v>19</v>
      </c>
      <c r="H21" s="5">
        <f ca="1">(COUNTIFS(INDIRECT(A80&amp;A67):INDIRECT(A80&amp;A66),INDIRECT("d"&amp;ROW()),INDIRECT(A73&amp;A67):INDIRECT(A73&amp;A66),H1))</f>
        <v>10</v>
      </c>
      <c r="I21">
        <f ca="1">IF(OR(INDIRECT(A73&amp;ROW())=B93,INDIRECT(A73&amp;ROW())=B94),1,IF(AND(INDIRECT(A73&amp;ROW())=B95,INDIRECT(A96&amp;ROW())=C93),1,IF(AND(INDIRECT(A73&amp;ROW())=B95,INDIRECT(A96&amp;ROW())=C94),1,0)))</f>
        <v>0</v>
      </c>
      <c r="J21">
        <f ca="1">IF(AND(INDIRECT(A73&amp;ROW())=B95,INDIRECT(A96&amp;ROW())=C95),1,IF(AND(INDIRECT(A73&amp;ROW())=B95,INDIRECT(A96&amp;ROW())=C96),1,0))</f>
        <v>0</v>
      </c>
      <c r="K21">
        <f ca="1">DAYS360(INDIRECT(C68&amp;ROW()),TODAY())</f>
        <v>721</v>
      </c>
      <c r="L21">
        <f ca="1">DAYS360(INDIRECT(C69&amp;ROW()),TODAY())</f>
        <v>1040</v>
      </c>
      <c r="M21" s="11">
        <f ca="1">HYPERLINK(CONCATENATE("https://bugzilla.houston.hp.com:1181/bugzilla/show_bug.cgi?id=",INDIRECT(C70&amp;ROW())),INDIRECT(C70&amp;ROW()))</f>
        <v>43867</v>
      </c>
      <c r="N21">
        <v>43867</v>
      </c>
      <c r="O21" t="s">
        <v>21</v>
      </c>
      <c r="P21" t="s">
        <v>451</v>
      </c>
      <c r="Q21" t="s">
        <v>16</v>
      </c>
      <c r="R21" t="s">
        <v>251</v>
      </c>
      <c r="S21" t="s">
        <v>21</v>
      </c>
      <c r="U21" s="6">
        <v>42125.442002314812</v>
      </c>
      <c r="V21" t="s">
        <v>18</v>
      </c>
      <c r="W21" t="s">
        <v>17</v>
      </c>
      <c r="X21" s="6">
        <v>41802.479467592595</v>
      </c>
      <c r="Y21" t="s">
        <v>122</v>
      </c>
      <c r="AB21" t="s">
        <v>201</v>
      </c>
      <c r="AC21" t="s">
        <v>121</v>
      </c>
      <c r="AD21" t="s">
        <v>222</v>
      </c>
      <c r="AE21" t="s">
        <v>225</v>
      </c>
      <c r="AG21" t="s">
        <v>121</v>
      </c>
      <c r="AH21" t="s">
        <v>327</v>
      </c>
      <c r="AI21" t="s">
        <v>121</v>
      </c>
      <c r="AJ21" t="s">
        <v>717</v>
      </c>
      <c r="AK21" t="s">
        <v>121</v>
      </c>
    </row>
    <row r="22" spans="1:37" x14ac:dyDescent="0.3">
      <c r="A22" s="2">
        <f ca="1">COUNTIF(INDIRECT(A68&amp;A67):INDIRECT(A69&amp;A66),INDIRECT("b"&amp;ROW()))</f>
        <v>5</v>
      </c>
      <c r="B22" s="2" t="str">
        <f>Assignees!C21</f>
        <v>Astra-Post IR13 09-26</v>
      </c>
      <c r="C22" s="21">
        <f ca="1">COUNTIFS(INDIRECT(A79&amp;A67):INDIRECT(A79&amp;A66),"*"&amp;B92&amp;"*")</f>
        <v>31</v>
      </c>
      <c r="D22" s="21" t="str">
        <f>CONCATENATE(B79," ",B92)</f>
        <v>Component Documentation</v>
      </c>
      <c r="E22" s="16">
        <f ca="1">COUNTIFS(INDIRECT(A69&amp;A67):INDIRECT(A69&amp;A66),"*"&amp;A92&amp;"*",INDIRECT(A73&amp;A67):INDIRECT(A73&amp;A66),E1)</f>
        <v>0</v>
      </c>
      <c r="F22" s="4">
        <f ca="1">COUNTIFS(INDIRECT(A69&amp;A67):INDIRECT(A69&amp;A66),"*"&amp;A92&amp;"*",INDIRECT(A73&amp;A67):INDIRECT(A73&amp;A66),F1)</f>
        <v>0</v>
      </c>
      <c r="G22" s="3">
        <f ca="1">COUNTIFS(INDIRECT(A69&amp;A67):INDIRECT(A69&amp;A66),"*"&amp;A92&amp;"*",INDIRECT(A73&amp;A67):INDIRECT(A73&amp;A66),G1)</f>
        <v>0</v>
      </c>
      <c r="H22" s="5">
        <f ca="1">(COUNTIFS(INDIRECT(A80&amp;A67):INDIRECT(A80&amp;A66),INDIRECT("d"&amp;ROW()),INDIRECT(A73&amp;A67):INDIRECT(A73&amp;A66),H1))</f>
        <v>0</v>
      </c>
      <c r="I22">
        <f ca="1">IF(OR(INDIRECT(A73&amp;ROW())=B93,INDIRECT(A73&amp;ROW())=B94),1,IF(AND(INDIRECT(A73&amp;ROW())=B95,INDIRECT(A96&amp;ROW())=C93),1,IF(AND(INDIRECT(A73&amp;ROW())=B95,INDIRECT(A96&amp;ROW())=C94),1,0)))</f>
        <v>0</v>
      </c>
      <c r="J22">
        <f ca="1">IF(AND(INDIRECT(A73&amp;ROW())=B95,INDIRECT(A96&amp;ROW())=C95),1,IF(AND(INDIRECT(A73&amp;ROW())=B95,INDIRECT(A96&amp;ROW())=C96),1,0))</f>
        <v>0</v>
      </c>
      <c r="K22">
        <f ca="1">DAYS360(INDIRECT(C68&amp;ROW()),TODAY())</f>
        <v>721</v>
      </c>
      <c r="L22">
        <f ca="1">DAYS360(INDIRECT(C69&amp;ROW()),TODAY())</f>
        <v>1035</v>
      </c>
      <c r="M22" s="11">
        <f ca="1">HYPERLINK(CONCATENATE("https://bugzilla.houston.hp.com:1181/bugzilla/show_bug.cgi?id=",INDIRECT(C70&amp;ROW())),INDIRECT(C70&amp;ROW()))</f>
        <v>44024</v>
      </c>
      <c r="N22">
        <v>44024</v>
      </c>
      <c r="O22" t="s">
        <v>180</v>
      </c>
      <c r="P22" t="s">
        <v>450</v>
      </c>
      <c r="Q22" t="s">
        <v>16</v>
      </c>
      <c r="R22" t="s">
        <v>251</v>
      </c>
      <c r="S22" t="s">
        <v>59</v>
      </c>
      <c r="U22" s="6">
        <v>42125.442199074074</v>
      </c>
      <c r="V22" t="s">
        <v>18</v>
      </c>
      <c r="W22" t="s">
        <v>17</v>
      </c>
      <c r="X22" s="6">
        <v>41807.146840277775</v>
      </c>
      <c r="Y22" t="s">
        <v>122</v>
      </c>
      <c r="AB22" t="s">
        <v>200</v>
      </c>
      <c r="AC22" t="s">
        <v>121</v>
      </c>
      <c r="AD22" t="s">
        <v>222</v>
      </c>
      <c r="AE22" t="s">
        <v>225</v>
      </c>
      <c r="AG22" t="s">
        <v>121</v>
      </c>
      <c r="AH22" t="s">
        <v>327</v>
      </c>
      <c r="AI22" t="s">
        <v>121</v>
      </c>
      <c r="AJ22" t="s">
        <v>716</v>
      </c>
      <c r="AK22" t="s">
        <v>121</v>
      </c>
    </row>
    <row r="23" spans="1:37" x14ac:dyDescent="0.3">
      <c r="A23" s="2">
        <f ca="1">COUNTIF(INDIRECT(A68&amp;A67):INDIRECT(A69&amp;A66),INDIRECT("b"&amp;ROW()))</f>
        <v>2</v>
      </c>
      <c r="B23" s="2" t="str">
        <f>Assignees!C22</f>
        <v>Astra-Post IR13 10-03</v>
      </c>
      <c r="I23">
        <f ca="1">IF(OR(INDIRECT(A73&amp;ROW())=B93,INDIRECT(A73&amp;ROW())=B94),1,IF(AND(INDIRECT(A73&amp;ROW())=B95,INDIRECT(A96&amp;ROW())=C93),1,IF(AND(INDIRECT(A73&amp;ROW())=B95,INDIRECT(A96&amp;ROW())=C94),1,0)))</f>
        <v>0</v>
      </c>
      <c r="J23">
        <f ca="1">IF(AND(INDIRECT(A73&amp;ROW())=B95,INDIRECT(A96&amp;ROW())=C95),1,IF(AND(INDIRECT(A73&amp;ROW())=B95,INDIRECT(A96&amp;ROW())=C96),1,0))</f>
        <v>0</v>
      </c>
      <c r="K23">
        <f ca="1">DAYS360(INDIRECT(C68&amp;ROW()),TODAY())</f>
        <v>728</v>
      </c>
      <c r="L23">
        <f ca="1">DAYS360(INDIRECT(C69&amp;ROW()),TODAY())</f>
        <v>1025</v>
      </c>
      <c r="M23" s="11">
        <f ca="1">HYPERLINK(CONCATENATE("https://bugzilla.houston.hp.com:1181/bugzilla/show_bug.cgi?id=",INDIRECT(C70&amp;ROW())),INDIRECT(C70&amp;ROW()))</f>
        <v>44771</v>
      </c>
      <c r="N23">
        <v>44771</v>
      </c>
      <c r="O23" t="s">
        <v>56</v>
      </c>
      <c r="P23" t="s">
        <v>710</v>
      </c>
      <c r="Q23" t="s">
        <v>16</v>
      </c>
      <c r="R23" t="s">
        <v>251</v>
      </c>
      <c r="S23" t="s">
        <v>61</v>
      </c>
      <c r="U23" s="6">
        <v>42118.520520833335</v>
      </c>
      <c r="V23" t="s">
        <v>18</v>
      </c>
      <c r="W23" t="s">
        <v>17</v>
      </c>
      <c r="X23" s="6">
        <v>41817.356145833335</v>
      </c>
      <c r="Y23" t="s">
        <v>118</v>
      </c>
      <c r="AB23" t="s">
        <v>201</v>
      </c>
      <c r="AC23" t="s">
        <v>121</v>
      </c>
      <c r="AD23" t="s">
        <v>220</v>
      </c>
      <c r="AE23" t="s">
        <v>219</v>
      </c>
      <c r="AG23" t="s">
        <v>121</v>
      </c>
      <c r="AH23" t="s">
        <v>327</v>
      </c>
      <c r="AI23" t="s">
        <v>121</v>
      </c>
      <c r="AJ23" t="s">
        <v>717</v>
      </c>
      <c r="AK23" t="s">
        <v>121</v>
      </c>
    </row>
    <row r="24" spans="1:37" x14ac:dyDescent="0.3">
      <c r="A24" s="2">
        <f ca="1">COUNTIF(INDIRECT(A68&amp;A67):INDIRECT(A69&amp;A66),INDIRECT("b"&amp;ROW()))</f>
        <v>11</v>
      </c>
      <c r="B24" s="2" t="str">
        <f>Assignees!C23</f>
        <v>Astra-Post IR13 10-10</v>
      </c>
      <c r="C24" s="10">
        <f ca="1">COUNTIFS(INDIRECT(A78&amp;A67):INDIRECT(A78&amp;A66),INDIRECT("d"&amp;ROW()))</f>
        <v>204</v>
      </c>
      <c r="D24" s="10" t="str">
        <f>CONCATENATE("Protocols-",A88)</f>
        <v>Protocols-AAUM</v>
      </c>
      <c r="E24" s="16">
        <f ca="1">COUNTIFS(INDIRECT(A78&amp;A67):INDIRECT(A78&amp;A66),INDIRECT("d"&amp;ROW()),INDIRECT(A73&amp;A67):INDIRECT(A73&amp;A66),E1)</f>
        <v>0</v>
      </c>
      <c r="F24" s="4">
        <f ca="1">COUNTIFS(INDIRECT(A78&amp;A67):INDIRECT(A78&amp;A66),INDIRECT("d"&amp;ROW()),INDIRECT(A73&amp;A67):INDIRECT(A73&amp;A66),F1)</f>
        <v>23</v>
      </c>
      <c r="G24" s="3">
        <f ca="1">COUNTIFS(INDIRECT(A78&amp;A67):INDIRECT(A78&amp;A66),INDIRECT("d"&amp;ROW()),INDIRECT(A73&amp;A67):INDIRECT(A73&amp;A66),G1)</f>
        <v>104</v>
      </c>
      <c r="H24" s="5">
        <f ca="1">COUNTIFS(INDIRECT(A78&amp;A67):INDIRECT(A78&amp;A66),INDIRECT("d"&amp;ROW()),INDIRECT(A73&amp;A67):INDIRECT(A73&amp;A66),H1)</f>
        <v>77</v>
      </c>
      <c r="I24">
        <f ca="1">IF(OR(INDIRECT(A73&amp;ROW())=B93,INDIRECT(A73&amp;ROW())=B94),1,IF(AND(INDIRECT(A73&amp;ROW())=B95,INDIRECT(A96&amp;ROW())=C93),1,IF(AND(INDIRECT(A73&amp;ROW())=B95,INDIRECT(A96&amp;ROW())=C94),1,0)))</f>
        <v>0</v>
      </c>
      <c r="J24">
        <f ca="1">IF(AND(INDIRECT(A73&amp;ROW())=B95,INDIRECT(A96&amp;ROW())=C95),1,IF(AND(INDIRECT(A73&amp;ROW())=B95,INDIRECT(A96&amp;ROW())=C96),1,0))</f>
        <v>0</v>
      </c>
      <c r="K24">
        <f ca="1">DAYS360(INDIRECT(C68&amp;ROW()),TODAY())</f>
        <v>721</v>
      </c>
      <c r="L24">
        <f ca="1">DAYS360(INDIRECT(C69&amp;ROW()),TODAY())</f>
        <v>1021</v>
      </c>
      <c r="M24" s="11">
        <f ca="1">HYPERLINK(CONCATENATE("https://bugzilla.houston.hp.com:1181/bugzilla/show_bug.cgi?id=",INDIRECT(C70&amp;ROW())),INDIRECT(C70&amp;ROW()))</f>
        <v>46238</v>
      </c>
      <c r="N24">
        <v>46238</v>
      </c>
      <c r="O24" t="s">
        <v>174</v>
      </c>
      <c r="P24" t="s">
        <v>709</v>
      </c>
      <c r="Q24" t="s">
        <v>16</v>
      </c>
      <c r="R24" t="s">
        <v>251</v>
      </c>
      <c r="S24" t="s">
        <v>174</v>
      </c>
      <c r="U24" s="6">
        <v>42125.442280092589</v>
      </c>
      <c r="V24" t="s">
        <v>18</v>
      </c>
      <c r="W24" t="s">
        <v>17</v>
      </c>
      <c r="X24" s="6">
        <v>41821.631064814814</v>
      </c>
      <c r="Y24" t="s">
        <v>122</v>
      </c>
      <c r="AB24" t="s">
        <v>199</v>
      </c>
      <c r="AC24" t="s">
        <v>121</v>
      </c>
      <c r="AD24" t="s">
        <v>222</v>
      </c>
      <c r="AE24" t="s">
        <v>233</v>
      </c>
      <c r="AG24" t="s">
        <v>121</v>
      </c>
      <c r="AH24" t="s">
        <v>327</v>
      </c>
      <c r="AI24" t="s">
        <v>121</v>
      </c>
      <c r="AJ24" t="s">
        <v>716</v>
      </c>
      <c r="AK24" t="s">
        <v>121</v>
      </c>
    </row>
    <row r="25" spans="1:37" x14ac:dyDescent="0.3">
      <c r="A25" s="2">
        <f ca="1">COUNTIF(INDIRECT(A68&amp;A67):INDIRECT(A69&amp;A66),INDIRECT("b"&amp;ROW()))</f>
        <v>2</v>
      </c>
      <c r="B25" s="2" t="str">
        <f>Assignees!C24</f>
        <v>Astra-Post IR13 10-17</v>
      </c>
      <c r="C25" s="10">
        <f ca="1">COUNTIFS(INDIRECT(A78&amp;A67):INDIRECT(A78&amp;A66),INDIRECT("d"&amp;ROW()))</f>
        <v>102</v>
      </c>
      <c r="D25" s="10" t="str">
        <f>CONCATENATE("Protocols-",A89)</f>
        <v>Protocols-NFS</v>
      </c>
      <c r="E25" s="16">
        <f ca="1">COUNTIFS(INDIRECT(A78&amp;A67):INDIRECT(A78&amp;A66),INDIRECT("d"&amp;ROW()),INDIRECT(A73&amp;A67):INDIRECT(A73&amp;A66),E1)</f>
        <v>2</v>
      </c>
      <c r="F25" s="4">
        <f ca="1">COUNTIFS(INDIRECT(A78&amp;A67):INDIRECT(A78&amp;A66),INDIRECT("d"&amp;ROW()),INDIRECT(A73&amp;A67):INDIRECT(A73&amp;A66),F1)</f>
        <v>22</v>
      </c>
      <c r="G25" s="3">
        <f ca="1">COUNTIFS(INDIRECT(A78&amp;A67):INDIRECT(A78&amp;A66),INDIRECT("d"&amp;ROW()),INDIRECT(A73&amp;A67):INDIRECT(A73&amp;A66),G1)</f>
        <v>42</v>
      </c>
      <c r="H25" s="5">
        <f ca="1">COUNTIFS(INDIRECT(A78&amp;A67):INDIRECT(A78&amp;A66),INDIRECT("d"&amp;ROW()),INDIRECT(A73&amp;A67):INDIRECT(A73&amp;A66),H1)</f>
        <v>36</v>
      </c>
      <c r="I25">
        <f ca="1">IF(OR(INDIRECT(A73&amp;ROW())=B93,INDIRECT(A73&amp;ROW())=B94),1,IF(AND(INDIRECT(A73&amp;ROW())=B95,INDIRECT(A96&amp;ROW())=C93),1,IF(AND(INDIRECT(A73&amp;ROW())=B95,INDIRECT(A96&amp;ROW())=C94),1,0)))</f>
        <v>0</v>
      </c>
      <c r="J25">
        <f ca="1">IF(AND(INDIRECT(A73&amp;ROW())=B95,INDIRECT(A96&amp;ROW())=C95),1,IF(AND(INDIRECT(A73&amp;ROW())=B95,INDIRECT(A96&amp;ROW())=C96),1,0))</f>
        <v>1</v>
      </c>
      <c r="K25">
        <f ca="1">DAYS360(INDIRECT(C68&amp;ROW()),TODAY())</f>
        <v>728</v>
      </c>
      <c r="L25">
        <f ca="1">DAYS360(INDIRECT(C69&amp;ROW()),TODAY())</f>
        <v>1020</v>
      </c>
      <c r="M25" s="11">
        <f ca="1">HYPERLINK(CONCATENATE("https://bugzilla.houston.hp.com:1181/bugzilla/show_bug.cgi?id=",INDIRECT(C70&amp;ROW())),INDIRECT(C70&amp;ROW()))</f>
        <v>46293</v>
      </c>
      <c r="N25">
        <v>46293</v>
      </c>
      <c r="O25" t="s">
        <v>53</v>
      </c>
      <c r="P25" t="s">
        <v>708</v>
      </c>
      <c r="Q25" t="s">
        <v>25</v>
      </c>
      <c r="R25" t="s">
        <v>251</v>
      </c>
      <c r="S25" t="s">
        <v>31</v>
      </c>
      <c r="U25" s="6">
        <v>42118.33866898148</v>
      </c>
      <c r="V25" t="s">
        <v>40</v>
      </c>
      <c r="W25" t="s">
        <v>17</v>
      </c>
      <c r="X25" s="6">
        <v>41822.446030092593</v>
      </c>
      <c r="Y25" t="s">
        <v>119</v>
      </c>
      <c r="AB25" t="s">
        <v>201</v>
      </c>
      <c r="AC25" t="s">
        <v>121</v>
      </c>
      <c r="AD25" t="s">
        <v>220</v>
      </c>
      <c r="AE25" t="s">
        <v>219</v>
      </c>
      <c r="AG25" t="s">
        <v>121</v>
      </c>
      <c r="AH25" t="s">
        <v>327</v>
      </c>
      <c r="AI25" t="s">
        <v>121</v>
      </c>
      <c r="AJ25" t="s">
        <v>716</v>
      </c>
      <c r="AK25" t="s">
        <v>121</v>
      </c>
    </row>
    <row r="26" spans="1:37" x14ac:dyDescent="0.3">
      <c r="A26" s="2">
        <f ca="1">COUNTIF(INDIRECT(A68&amp;A67):INDIRECT(A69&amp;A66),INDIRECT("b"&amp;ROW()))</f>
        <v>20</v>
      </c>
      <c r="B26" s="2" t="str">
        <f>Assignees!C25</f>
        <v>Astra-Post IR13 10-24</v>
      </c>
      <c r="C26" s="10">
        <f ca="1">COUNTIFS(INDIRECT(A78&amp;A67):INDIRECT(A78&amp;A66),INDIRECT("d"&amp;ROW()))</f>
        <v>378</v>
      </c>
      <c r="D26" s="10" t="str">
        <f>CONCATENATE("Protocols-",A90)</f>
        <v>Protocols-SMB</v>
      </c>
      <c r="E26" s="16">
        <f ca="1">COUNTIFS(INDIRECT(A78&amp;A67):INDIRECT(A78&amp;A66),INDIRECT("d"&amp;ROW()),INDIRECT(A73&amp;A67):INDIRECT(A73&amp;A66),E1)</f>
        <v>0</v>
      </c>
      <c r="F26" s="4">
        <f ca="1">COUNTIFS(INDIRECT(A78&amp;A67):INDIRECT(A78&amp;A66),INDIRECT("d"&amp;ROW()),INDIRECT(A73&amp;A67):INDIRECT(A73&amp;A66),F1)</f>
        <v>60</v>
      </c>
      <c r="G26" s="3">
        <f ca="1">COUNTIFS(INDIRECT(A78&amp;A67):INDIRECT(A78&amp;A66),INDIRECT("d"&amp;ROW()),INDIRECT(A73&amp;A67):INDIRECT(A73&amp;A66),G1)</f>
        <v>161</v>
      </c>
      <c r="H26" s="5">
        <f ca="1">COUNTIFS(INDIRECT(A78&amp;A67):INDIRECT(A78&amp;A66),INDIRECT("d"&amp;ROW()),INDIRECT(A73&amp;A67):INDIRECT(A73&amp;A66),H1)</f>
        <v>157</v>
      </c>
      <c r="I26">
        <f ca="1">IF(OR(INDIRECT(A73&amp;ROW())=B93,INDIRECT(A73&amp;ROW())=B94),1,IF(AND(INDIRECT(A73&amp;ROW())=B95,INDIRECT(A96&amp;ROW())=C93),1,IF(AND(INDIRECT(A73&amp;ROW())=B95,INDIRECT(A96&amp;ROW())=C94),1,0)))</f>
        <v>0</v>
      </c>
      <c r="J26">
        <f ca="1">IF(AND(INDIRECT(A73&amp;ROW())=B95,INDIRECT(A96&amp;ROW())=C95),1,IF(AND(INDIRECT(A73&amp;ROW())=B95,INDIRECT(A96&amp;ROW())=C96),1,0))</f>
        <v>0</v>
      </c>
      <c r="K26">
        <f ca="1">DAYS360(INDIRECT(C68&amp;ROW()),TODAY())</f>
        <v>728</v>
      </c>
      <c r="L26">
        <f ca="1">DAYS360(INDIRECT(C69&amp;ROW()),TODAY())</f>
        <v>1020</v>
      </c>
      <c r="M26" s="11">
        <f ca="1">HYPERLINK(CONCATENATE("https://bugzilla.houston.hp.com:1181/bugzilla/show_bug.cgi?id=",INDIRECT(C70&amp;ROW())),INDIRECT(C70&amp;ROW()))</f>
        <v>46326</v>
      </c>
      <c r="N26">
        <v>46326</v>
      </c>
      <c r="O26" t="s">
        <v>88</v>
      </c>
      <c r="P26" t="s">
        <v>707</v>
      </c>
      <c r="Q26" t="s">
        <v>16</v>
      </c>
      <c r="R26" t="s">
        <v>251</v>
      </c>
      <c r="S26" t="s">
        <v>177</v>
      </c>
      <c r="U26" s="6">
        <v>42118.520601851851</v>
      </c>
      <c r="V26" t="s">
        <v>40</v>
      </c>
      <c r="W26" t="s">
        <v>17</v>
      </c>
      <c r="X26" s="6">
        <v>41822.770127314812</v>
      </c>
      <c r="Y26" t="s">
        <v>245</v>
      </c>
      <c r="Z26" t="s">
        <v>190</v>
      </c>
      <c r="AB26" t="s">
        <v>201</v>
      </c>
      <c r="AC26" t="s">
        <v>121</v>
      </c>
      <c r="AD26" t="s">
        <v>220</v>
      </c>
      <c r="AE26" t="s">
        <v>219</v>
      </c>
      <c r="AG26" t="s">
        <v>121</v>
      </c>
      <c r="AH26" t="s">
        <v>327</v>
      </c>
      <c r="AI26" t="s">
        <v>121</v>
      </c>
      <c r="AJ26" t="s">
        <v>717</v>
      </c>
      <c r="AK26" t="s">
        <v>121</v>
      </c>
    </row>
    <row r="27" spans="1:37" x14ac:dyDescent="0.3">
      <c r="A27" s="2">
        <f ca="1">COUNTIF(INDIRECT(A68&amp;A67):INDIRECT(A69&amp;A66),INDIRECT("b"&amp;ROW()))</f>
        <v>6</v>
      </c>
      <c r="B27" s="2" t="str">
        <f>Assignees!C26</f>
        <v>Astra-Post IR13 10-31</v>
      </c>
      <c r="C27" s="21">
        <f ca="1">COUNTIFS(INDIRECT(A69&amp;A67):INDIRECT(A69&amp;A66),"*"&amp;A92&amp;"*",INDIRECT(A80&amp;A67):INDIRECT(A80&amp;A66),A93)</f>
        <v>0</v>
      </c>
      <c r="D27" s="21" t="str">
        <f>CONCATENATE(A92," ",A93)</f>
        <v>BUC1 NEW</v>
      </c>
      <c r="E27" s="16">
        <f ca="1">COUNTIFS(INDIRECT(A69&amp;A67):INDIRECT(A69&amp;A66),"*"&amp;A92&amp;"*",INDIRECT(A80&amp;A67):INDIRECT(A80&amp;A66),A93,INDIRECT(A73&amp;A67):INDIRECT(A73&amp;A66),E1)</f>
        <v>0</v>
      </c>
      <c r="F27" s="4">
        <f ca="1">COUNTIFS(INDIRECT(A69&amp;A67):INDIRECT(A69&amp;A66),"*"&amp;A92&amp;"*",INDIRECT(A80&amp;A67):INDIRECT(A80&amp;A66),A93,INDIRECT(A73&amp;A67):INDIRECT(A73&amp;A66),F1)</f>
        <v>0</v>
      </c>
      <c r="G27" s="3">
        <f ca="1">COUNTIFS(INDIRECT(A69&amp;A67):INDIRECT(A69&amp;A66),"*"&amp;A92&amp;"*",INDIRECT(A80&amp;A67):INDIRECT(A80&amp;A66),A93,INDIRECT(A73&amp;A67):INDIRECT(A73&amp;A66),G1)</f>
        <v>0</v>
      </c>
      <c r="I27">
        <f ca="1">IF(OR(INDIRECT(A73&amp;ROW())=B93,INDIRECT(A73&amp;ROW())=B94),1,IF(AND(INDIRECT(A73&amp;ROW())=B95,INDIRECT(A96&amp;ROW())=C93),1,IF(AND(INDIRECT(A73&amp;ROW())=B95,INDIRECT(A96&amp;ROW())=C94),1,0)))</f>
        <v>0</v>
      </c>
      <c r="J27">
        <f ca="1">IF(AND(INDIRECT(A73&amp;ROW())=B95,INDIRECT(A96&amp;ROW())=C95),1,IF(AND(INDIRECT(A73&amp;ROW())=B95,INDIRECT(A96&amp;ROW())=C96),1,0))</f>
        <v>0</v>
      </c>
      <c r="K27">
        <f ca="1">DAYS360(INDIRECT(C68&amp;ROW()),TODAY())</f>
        <v>728</v>
      </c>
      <c r="L27">
        <f ca="1">DAYS360(INDIRECT(C69&amp;ROW()),TODAY())</f>
        <v>1013</v>
      </c>
      <c r="M27" s="11">
        <f ca="1">HYPERLINK(CONCATENATE("https://bugzilla.houston.hp.com:1181/bugzilla/show_bug.cgi?id=",INDIRECT(C70&amp;ROW())),INDIRECT(C70&amp;ROW()))</f>
        <v>46659</v>
      </c>
      <c r="N27">
        <v>46659</v>
      </c>
      <c r="O27" t="s">
        <v>22</v>
      </c>
      <c r="P27" t="s">
        <v>706</v>
      </c>
      <c r="Q27" t="s">
        <v>16</v>
      </c>
      <c r="R27" t="s">
        <v>251</v>
      </c>
      <c r="S27" t="s">
        <v>49</v>
      </c>
      <c r="U27" s="6">
        <v>42118.52071759259</v>
      </c>
      <c r="V27" t="s">
        <v>18</v>
      </c>
      <c r="W27" t="s">
        <v>17</v>
      </c>
      <c r="X27" s="6">
        <v>41829.631932870368</v>
      </c>
      <c r="Y27" t="s">
        <v>244</v>
      </c>
      <c r="AB27" t="s">
        <v>201</v>
      </c>
      <c r="AC27" t="s">
        <v>121</v>
      </c>
      <c r="AD27" t="s">
        <v>222</v>
      </c>
      <c r="AE27" t="s">
        <v>225</v>
      </c>
      <c r="AG27" t="s">
        <v>121</v>
      </c>
      <c r="AH27" t="s">
        <v>327</v>
      </c>
      <c r="AI27" t="s">
        <v>121</v>
      </c>
      <c r="AJ27" t="s">
        <v>717</v>
      </c>
      <c r="AK27" t="s">
        <v>121</v>
      </c>
    </row>
    <row r="28" spans="1:37" x14ac:dyDescent="0.3">
      <c r="A28" s="2">
        <f ca="1">COUNTIF(INDIRECT(A68&amp;A67):INDIRECT(A69&amp;A66),INDIRECT("b"&amp;ROW()))</f>
        <v>0</v>
      </c>
      <c r="B28" s="2" t="e">
        <f>Assignees!#REF!</f>
        <v>#REF!</v>
      </c>
      <c r="C28" s="21">
        <f ca="1">COUNTIFS(INDIRECT(A69&amp;A67):INDIRECT(A69&amp;A66),"*"&amp;A92&amp;"*",INDIRECT(A80&amp;A67):INDIRECT(A80&amp;A66),A94)</f>
        <v>0</v>
      </c>
      <c r="D28" s="21" t="str">
        <f>CONCATENATE(A92," ",A94)</f>
        <v>BUC1 ASSIGNED</v>
      </c>
      <c r="E28" s="16">
        <f ca="1">COUNTIFS(INDIRECT(A69&amp;A67):INDIRECT(A69&amp;A66),"*"&amp;A92&amp;"*",INDIRECT(A80&amp;A67):INDIRECT(A80&amp;A66),A94,INDIRECT(A73&amp;A67):INDIRECT(A73&amp;A66),E1)</f>
        <v>0</v>
      </c>
      <c r="F28" s="4">
        <f ca="1">COUNTIFS(INDIRECT(A69&amp;A67):INDIRECT(A69&amp;A66),"*"&amp;A92&amp;"*",INDIRECT(A80&amp;A67):INDIRECT(A80&amp;A66),A94,INDIRECT(A73&amp;A67):INDIRECT(A73&amp;A66),F1)</f>
        <v>0</v>
      </c>
      <c r="G28" s="3">
        <f ca="1">COUNTIFS(INDIRECT(A69&amp;A67):INDIRECT(A69&amp;A66),"*"&amp;A92&amp;"*",INDIRECT(A80&amp;A67):INDIRECT(A80&amp;A66),A94,INDIRECT(A73&amp;A67):INDIRECT(A73&amp;A66),G1)</f>
        <v>0</v>
      </c>
      <c r="I28">
        <f ca="1">IF(OR(INDIRECT(A73&amp;ROW())=B93,INDIRECT(A73&amp;ROW())=B94),1,IF(AND(INDIRECT(A73&amp;ROW())=B95,INDIRECT(A96&amp;ROW())=C93),1,IF(AND(INDIRECT(A73&amp;ROW())=B95,INDIRECT(A96&amp;ROW())=C94),1,0)))</f>
        <v>0</v>
      </c>
      <c r="J28">
        <f ca="1">IF(AND(INDIRECT(A73&amp;ROW())=B95,INDIRECT(A96&amp;ROW())=C95),1,IF(AND(INDIRECT(A73&amp;ROW())=B95,INDIRECT(A96&amp;ROW())=C96),1,0))</f>
        <v>0</v>
      </c>
      <c r="K28">
        <f ca="1">DAYS360(INDIRECT(C68&amp;ROW()),TODAY())</f>
        <v>721</v>
      </c>
      <c r="L28">
        <f ca="1">DAYS360(INDIRECT(C69&amp;ROW()),TODAY())</f>
        <v>1011</v>
      </c>
      <c r="M28" s="11">
        <f ca="1">HYPERLINK(CONCATENATE("https://bugzilla.houston.hp.com:1181/bugzilla/show_bug.cgi?id=",INDIRECT(C70&amp;ROW())),INDIRECT(C70&amp;ROW()))</f>
        <v>46771</v>
      </c>
      <c r="N28">
        <v>46771</v>
      </c>
      <c r="O28" t="s">
        <v>45</v>
      </c>
      <c r="P28" t="s">
        <v>478</v>
      </c>
      <c r="Q28" t="s">
        <v>16</v>
      </c>
      <c r="R28" t="s">
        <v>251</v>
      </c>
      <c r="S28" t="s">
        <v>168</v>
      </c>
      <c r="U28" s="6">
        <v>42125.643969907411</v>
      </c>
      <c r="V28" t="s">
        <v>40</v>
      </c>
      <c r="W28" t="s">
        <v>17</v>
      </c>
      <c r="X28" s="6">
        <v>41831.196400462963</v>
      </c>
      <c r="Y28" t="s">
        <v>123</v>
      </c>
      <c r="AB28" t="s">
        <v>199</v>
      </c>
      <c r="AC28" t="s">
        <v>121</v>
      </c>
      <c r="AD28" t="s">
        <v>227</v>
      </c>
      <c r="AE28" t="s">
        <v>231</v>
      </c>
      <c r="AG28" t="s">
        <v>121</v>
      </c>
      <c r="AH28" t="s">
        <v>327</v>
      </c>
      <c r="AI28" t="s">
        <v>121</v>
      </c>
      <c r="AJ28" t="s">
        <v>716</v>
      </c>
      <c r="AK28" t="s">
        <v>121</v>
      </c>
    </row>
    <row r="29" spans="1:37" x14ac:dyDescent="0.3">
      <c r="A29" s="2">
        <f ca="1">COUNTIF(INDIRECT(A68&amp;A67):INDIRECT(A69&amp;A66),INDIRECT("b"&amp;ROW()))</f>
        <v>1</v>
      </c>
      <c r="B29" s="2" t="str">
        <f>Assignees!C27</f>
        <v>StoreOnce Xanadu(SMB 5.6.x)</v>
      </c>
      <c r="C29" s="21">
        <f ca="1">COUNTIFS(INDIRECT(A69&amp;A67):INDIRECT(A69&amp;A66),"*"&amp;A92&amp;"*",INDIRECT(A80&amp;A67):INDIRECT(A80&amp;A66),A95)</f>
        <v>0</v>
      </c>
      <c r="D29" s="21" t="str">
        <f>CONCATENATE(A92," ",A95)</f>
        <v>BUC1 REOPENED</v>
      </c>
      <c r="E29" s="16">
        <f ca="1">COUNTIFS(INDIRECT(A69&amp;A67):INDIRECT(A69&amp;A66),"*"&amp;A92&amp;"*",INDIRECT(A80&amp;A67):INDIRECT(A80&amp;A66),A95,INDIRECT(A73&amp;A67):INDIRECT(A73&amp;A66),E1)</f>
        <v>0</v>
      </c>
      <c r="F29" s="4">
        <f ca="1">COUNTIFS(INDIRECT(A69&amp;A67):INDIRECT(A69&amp;A66),"*"&amp;A92&amp;"*",INDIRECT(A80&amp;A67):INDIRECT(A80&amp;A66),A95,INDIRECT(A73&amp;A67):INDIRECT(A73&amp;A66),F1)</f>
        <v>0</v>
      </c>
      <c r="G29" s="3">
        <f ca="1">COUNTIFS(INDIRECT(A69&amp;A67):INDIRECT(A69&amp;A66),"*"&amp;A92&amp;"*",INDIRECT(A80&amp;A67):INDIRECT(A80&amp;A66),A95,INDIRECT(A73&amp;A67):INDIRECT(A73&amp;A66),G1)</f>
        <v>0</v>
      </c>
      <c r="I29">
        <f ca="1">IF(OR(INDIRECT(A73&amp;ROW())=B93,INDIRECT(A73&amp;ROW())=B94),1,IF(AND(INDIRECT(A73&amp;ROW())=B95,INDIRECT(A96&amp;ROW())=C93),1,IF(AND(INDIRECT(A73&amp;ROW())=B95,INDIRECT(A96&amp;ROW())=C94),1,0)))</f>
        <v>0</v>
      </c>
      <c r="J29">
        <f ca="1">IF(AND(INDIRECT(A73&amp;ROW())=B95,INDIRECT(A96&amp;ROW())=C95),1,IF(AND(INDIRECT(A73&amp;ROW())=B95,INDIRECT(A96&amp;ROW())=C96),1,0))</f>
        <v>0</v>
      </c>
      <c r="K29">
        <f ca="1">DAYS360(INDIRECT(C68&amp;ROW()),TODAY())</f>
        <v>721</v>
      </c>
      <c r="L29">
        <f ca="1">DAYS360(INDIRECT(C69&amp;ROW()),TODAY())</f>
        <v>1004</v>
      </c>
      <c r="M29" s="11">
        <f ca="1">HYPERLINK(CONCATENATE("https://bugzilla.houston.hp.com:1181/bugzilla/show_bug.cgi?id=",INDIRECT(C70&amp;ROW())),INDIRECT(C70&amp;ROW()))</f>
        <v>47187</v>
      </c>
      <c r="N29">
        <v>47187</v>
      </c>
      <c r="O29" t="s">
        <v>213</v>
      </c>
      <c r="P29" t="s">
        <v>449</v>
      </c>
      <c r="Q29" t="s">
        <v>16</v>
      </c>
      <c r="R29" t="s">
        <v>251</v>
      </c>
      <c r="S29" t="s">
        <v>213</v>
      </c>
      <c r="U29" s="6">
        <v>42125.442048611112</v>
      </c>
      <c r="V29" t="s">
        <v>18</v>
      </c>
      <c r="W29" t="s">
        <v>17</v>
      </c>
      <c r="X29" s="6">
        <v>41838.292291666665</v>
      </c>
      <c r="Y29" t="s">
        <v>122</v>
      </c>
      <c r="AB29" t="s">
        <v>201</v>
      </c>
      <c r="AC29" t="s">
        <v>121</v>
      </c>
      <c r="AD29" t="s">
        <v>220</v>
      </c>
      <c r="AE29" t="s">
        <v>219</v>
      </c>
      <c r="AG29" t="s">
        <v>121</v>
      </c>
      <c r="AH29" t="s">
        <v>327</v>
      </c>
      <c r="AI29" t="s">
        <v>121</v>
      </c>
      <c r="AJ29" t="s">
        <v>717</v>
      </c>
      <c r="AK29" t="s">
        <v>121</v>
      </c>
    </row>
    <row r="30" spans="1:37" x14ac:dyDescent="0.3">
      <c r="A30" s="2">
        <f ca="1">COUNTIF(INDIRECT(A68&amp;A67):INDIRECT(A69&amp;A66),INDIRECT("b"&amp;ROW()))</f>
        <v>0</v>
      </c>
      <c r="B30" s="2" t="str">
        <f>Assignees!C28</f>
        <v>6.1 (Ensenada)</v>
      </c>
      <c r="C30" s="22">
        <f ca="1">COUNTIFS(INDIRECT(A97&amp;A67):INDIRECT(A97&amp;A66),1,INDIRECT(A71&amp;A67):INDIRECT(A71&amp;A66),D2&amp;"*")-COUNTIFS(INDIRECT(A97&amp;A67):INDIRECT(A97&amp;A66),1,INDIRECT(A71&amp;A67):INDIRECT(A71&amp;A66),D2&amp;"*",INDIRECT(A98&amp;A67):INDIRECT(A98&amp;A66),C98)</f>
        <v>83</v>
      </c>
      <c r="D30" s="22" t="str">
        <f>CONCATENATE("RedZone ",D2,"*")</f>
        <v>RedZone Astra*</v>
      </c>
      <c r="E30" s="8"/>
      <c r="I30">
        <f ca="1">IF(OR(INDIRECT(A73&amp;ROW())=B93,INDIRECT(A73&amp;ROW())=B94),1,IF(AND(INDIRECT(A73&amp;ROW())=B95,INDIRECT(A96&amp;ROW())=C93),1,IF(AND(INDIRECT(A73&amp;ROW())=B95,INDIRECT(A96&amp;ROW())=C94),1,0)))</f>
        <v>0</v>
      </c>
      <c r="J30">
        <f ca="1">IF(AND(INDIRECT(A73&amp;ROW())=B95,INDIRECT(A96&amp;ROW())=C95),1,IF(AND(INDIRECT(A73&amp;ROW())=B95,INDIRECT(A96&amp;ROW())=C96),1,0))</f>
        <v>1</v>
      </c>
      <c r="K30">
        <f ca="1">DAYS360(INDIRECT(C68&amp;ROW()),TODAY())</f>
        <v>724</v>
      </c>
      <c r="L30">
        <f ca="1">DAYS360(INDIRECT(C69&amp;ROW()),TODAY())</f>
        <v>1001</v>
      </c>
      <c r="M30" s="11">
        <f ca="1">HYPERLINK(CONCATENATE("https://bugzilla.houston.hp.com:1181/bugzilla/show_bug.cgi?id=",INDIRECT(C70&amp;ROW())),INDIRECT(C70&amp;ROW()))</f>
        <v>47269</v>
      </c>
      <c r="N30">
        <v>47269</v>
      </c>
      <c r="O30" t="s">
        <v>56</v>
      </c>
      <c r="P30" t="s">
        <v>448</v>
      </c>
      <c r="Q30" t="s">
        <v>25</v>
      </c>
      <c r="R30" t="s">
        <v>251</v>
      </c>
      <c r="S30" t="s">
        <v>183</v>
      </c>
      <c r="U30" s="6">
        <v>42122.349108796298</v>
      </c>
      <c r="V30" t="s">
        <v>40</v>
      </c>
      <c r="W30" t="s">
        <v>17</v>
      </c>
      <c r="X30" s="6">
        <v>41841.625428240739</v>
      </c>
      <c r="Y30" t="s">
        <v>244</v>
      </c>
      <c r="AB30" t="s">
        <v>201</v>
      </c>
      <c r="AC30" t="s">
        <v>121</v>
      </c>
      <c r="AD30" t="s">
        <v>220</v>
      </c>
      <c r="AE30" t="s">
        <v>219</v>
      </c>
      <c r="AG30" t="s">
        <v>121</v>
      </c>
      <c r="AH30" t="s">
        <v>327</v>
      </c>
      <c r="AI30" t="s">
        <v>121</v>
      </c>
      <c r="AJ30" t="s">
        <v>716</v>
      </c>
      <c r="AK30" t="s">
        <v>121</v>
      </c>
    </row>
    <row r="31" spans="1:37" x14ac:dyDescent="0.3">
      <c r="A31" s="2">
        <f ca="1">COUNTIF(INDIRECT(A68&amp;A67):INDIRECT(A69&amp;A66),INDIRECT("b"&amp;ROW()))</f>
        <v>0</v>
      </c>
      <c r="B31" s="2" t="str">
        <f>Assignees!C29</f>
        <v>6.2 (Fiji)</v>
      </c>
      <c r="C31" s="25">
        <f ca="1">COUNTIFS(INDIRECT(A99&amp;A67):INDIRECT(A99&amp;A66),1,INDIRECT(A71&amp;A67):INDIRECT(A71&amp;A66),D2&amp;"*")-COUNTIFS(INDIRECT(A99&amp;A67):INDIRECT(A99&amp;A66),1,INDIRECT(A71&amp;A67):INDIRECT(A71&amp;A66),D2&amp;"*",INDIRECT(A98&amp;A67):INDIRECT(A98&amp;A66),C98)</f>
        <v>60</v>
      </c>
      <c r="D31" s="25" t="str">
        <f>CONCATENATE("YellowZone ",D2,"*")</f>
        <v>YellowZone Astra*</v>
      </c>
      <c r="I31">
        <f ca="1">IF(OR(INDIRECT(A73&amp;ROW())=B93,INDIRECT(A73&amp;ROW())=B94),1,IF(AND(INDIRECT(A73&amp;ROW())=B95,INDIRECT(A96&amp;ROW())=C93),1,IF(AND(INDIRECT(A73&amp;ROW())=B95,INDIRECT(A96&amp;ROW())=C94),1,0)))</f>
        <v>1</v>
      </c>
      <c r="J31">
        <f ca="1">IF(AND(INDIRECT(A73&amp;ROW())=B95,INDIRECT(A96&amp;ROW())=C95),1,IF(AND(INDIRECT(A73&amp;ROW())=B95,INDIRECT(A96&amp;ROW())=C96),1,0))</f>
        <v>0</v>
      </c>
      <c r="K31">
        <f ca="1">DAYS360(INDIRECT(C68&amp;ROW()),TODAY())</f>
        <v>730</v>
      </c>
      <c r="L31">
        <f ca="1">DAYS360(INDIRECT(C69&amp;ROW()),TODAY())</f>
        <v>1000</v>
      </c>
      <c r="M31" s="11">
        <f ca="1">HYPERLINK(CONCATENATE("https://bugzilla.houston.hp.com:1181/bugzilla/show_bug.cgi?id=",INDIRECT(C70&amp;ROW())),INDIRECT(C70&amp;ROW()))</f>
        <v>47337</v>
      </c>
      <c r="N31">
        <v>47337</v>
      </c>
      <c r="O31" t="s">
        <v>21</v>
      </c>
      <c r="P31" t="s">
        <v>475</v>
      </c>
      <c r="Q31" t="s">
        <v>25</v>
      </c>
      <c r="R31" t="s">
        <v>251</v>
      </c>
      <c r="S31" t="s">
        <v>253</v>
      </c>
      <c r="U31" s="6">
        <v>42116.455277777779</v>
      </c>
      <c r="V31" t="s">
        <v>40</v>
      </c>
      <c r="W31" t="s">
        <v>17</v>
      </c>
      <c r="X31" s="6">
        <v>41842.501296296294</v>
      </c>
      <c r="Y31" t="s">
        <v>120</v>
      </c>
      <c r="AB31" t="s">
        <v>200</v>
      </c>
      <c r="AC31" t="s">
        <v>121</v>
      </c>
      <c r="AD31" t="s">
        <v>220</v>
      </c>
      <c r="AE31" t="s">
        <v>219</v>
      </c>
      <c r="AG31" t="s">
        <v>121</v>
      </c>
      <c r="AH31" t="s">
        <v>327</v>
      </c>
      <c r="AI31" t="s">
        <v>121</v>
      </c>
      <c r="AJ31" t="s">
        <v>715</v>
      </c>
      <c r="AK31" t="s">
        <v>121</v>
      </c>
    </row>
    <row r="32" spans="1:37" x14ac:dyDescent="0.3">
      <c r="A32" s="2">
        <f ca="1">COUNTIF(INDIRECT(A68&amp;A67):INDIRECT(A69&amp;A66),INDIRECT("b"&amp;ROW()))</f>
        <v>3</v>
      </c>
      <c r="B32" s="2" t="str">
        <f>Assignees!C30</f>
        <v>6.3 (FlyingSaucer)</v>
      </c>
      <c r="C32" s="1">
        <f ca="1">(COUNTIFS(INDIRECT(A72&amp;A67):INDIRECT(A72&amp;A66),"*"&amp;A87&amp;"*"))</f>
        <v>1</v>
      </c>
      <c r="D32" t="s">
        <v>34</v>
      </c>
      <c r="I32">
        <f ca="1">IF(OR(INDIRECT(A73&amp;ROW())=B93,INDIRECT(A73&amp;ROW())=B94),1,IF(AND(INDIRECT(A73&amp;ROW())=B95,INDIRECT(A96&amp;ROW())=C93),1,IF(AND(INDIRECT(A73&amp;ROW())=B95,INDIRECT(A96&amp;ROW())=C94),1,0)))</f>
        <v>0</v>
      </c>
      <c r="J32">
        <f ca="1">IF(AND(INDIRECT(A73&amp;ROW())=B95,INDIRECT(A96&amp;ROW())=C95),1,IF(AND(INDIRECT(A73&amp;ROW())=B95,INDIRECT(A96&amp;ROW())=C96),1,0))</f>
        <v>0</v>
      </c>
      <c r="K32">
        <f ca="1">DAYS360(INDIRECT(C68&amp;ROW()),TODAY())</f>
        <v>728</v>
      </c>
      <c r="L32">
        <f ca="1">DAYS360(INDIRECT(C69&amp;ROW()),TODAY())</f>
        <v>999</v>
      </c>
      <c r="M32" s="11">
        <f ca="1">HYPERLINK(CONCATENATE("https://bugzilla.houston.hp.com:1181/bugzilla/show_bug.cgi?id=",INDIRECT(C70&amp;ROW())),INDIRECT(C70&amp;ROW()))</f>
        <v>47415</v>
      </c>
      <c r="N32">
        <v>47415</v>
      </c>
      <c r="O32" t="s">
        <v>22</v>
      </c>
      <c r="P32" t="s">
        <v>705</v>
      </c>
      <c r="Q32" t="s">
        <v>16</v>
      </c>
      <c r="R32" t="s">
        <v>251</v>
      </c>
      <c r="S32" t="s">
        <v>36</v>
      </c>
      <c r="U32" s="6">
        <v>42118.55841435185</v>
      </c>
      <c r="V32" t="s">
        <v>18</v>
      </c>
      <c r="W32" t="s">
        <v>17</v>
      </c>
      <c r="X32" s="6">
        <v>41843.549317129633</v>
      </c>
      <c r="Y32" t="s">
        <v>122</v>
      </c>
      <c r="AB32" t="s">
        <v>201</v>
      </c>
      <c r="AC32" t="s">
        <v>121</v>
      </c>
      <c r="AD32" t="s">
        <v>220</v>
      </c>
      <c r="AE32" t="s">
        <v>219</v>
      </c>
      <c r="AG32" t="s">
        <v>121</v>
      </c>
      <c r="AH32" t="s">
        <v>327</v>
      </c>
      <c r="AI32" t="s">
        <v>121</v>
      </c>
      <c r="AJ32" t="s">
        <v>717</v>
      </c>
      <c r="AK32" t="s">
        <v>121</v>
      </c>
    </row>
    <row r="33" spans="1:37" x14ac:dyDescent="0.3">
      <c r="A33" s="2">
        <f ca="1">COUNTIF(INDIRECT(A68&amp;A67):INDIRECT(A69&amp;A66),INDIRECT("b"&amp;ROW()))</f>
        <v>2</v>
      </c>
      <c r="B33" s="2" t="str">
        <f>Assignees!C31</f>
        <v>6.5 (Ghost)</v>
      </c>
      <c r="C33">
        <f ca="1">COUNTIFS(INDIRECT(A71&amp;A67):INDIRECT(A71&amp;A66),A85&amp;"*")</f>
        <v>249</v>
      </c>
      <c r="D33" s="8" t="s">
        <v>98</v>
      </c>
      <c r="I33">
        <f ca="1">IF(OR(INDIRECT(A73&amp;ROW())=B93,INDIRECT(A73&amp;ROW())=B94),1,IF(AND(INDIRECT(A73&amp;ROW())=B95,INDIRECT(A96&amp;ROW())=C93),1,IF(AND(INDIRECT(A73&amp;ROW())=B95,INDIRECT(A96&amp;ROW())=C94),1,0)))</f>
        <v>0</v>
      </c>
      <c r="J33">
        <f ca="1">IF(AND(INDIRECT(A73&amp;ROW())=B95,INDIRECT(A96&amp;ROW())=C95),1,IF(AND(INDIRECT(A73&amp;ROW())=B95,INDIRECT(A96&amp;ROW())=C96),1,0))</f>
        <v>0</v>
      </c>
      <c r="K33">
        <f ca="1">DAYS360(INDIRECT(C68&amp;ROW()),TODAY())</f>
        <v>683</v>
      </c>
      <c r="L33">
        <f ca="1">DAYS360(INDIRECT(C69&amp;ROW()),TODAY())</f>
        <v>998</v>
      </c>
      <c r="M33" s="11">
        <f ca="1">HYPERLINK(CONCATENATE("https://bugzilla.houston.hp.com:1181/bugzilla/show_bug.cgi?id=",INDIRECT(C70&amp;ROW())),INDIRECT(C70&amp;ROW()))</f>
        <v>47515</v>
      </c>
      <c r="N33">
        <v>47515</v>
      </c>
      <c r="O33" t="s">
        <v>88</v>
      </c>
      <c r="P33" t="s">
        <v>447</v>
      </c>
      <c r="Q33" t="s">
        <v>16</v>
      </c>
      <c r="R33" t="s">
        <v>251</v>
      </c>
      <c r="S33" t="s">
        <v>52</v>
      </c>
      <c r="U33" s="6">
        <v>42164.611527777779</v>
      </c>
      <c r="V33" t="s">
        <v>18</v>
      </c>
      <c r="W33" t="s">
        <v>17</v>
      </c>
      <c r="X33" s="6">
        <v>41844.425266203703</v>
      </c>
      <c r="Y33" t="s">
        <v>119</v>
      </c>
      <c r="AB33" t="s">
        <v>201</v>
      </c>
      <c r="AC33" t="s">
        <v>121</v>
      </c>
      <c r="AD33" t="s">
        <v>222</v>
      </c>
      <c r="AE33" t="s">
        <v>240</v>
      </c>
      <c r="AG33" t="s">
        <v>121</v>
      </c>
      <c r="AH33" t="s">
        <v>327</v>
      </c>
      <c r="AI33" t="s">
        <v>121</v>
      </c>
      <c r="AJ33" t="s">
        <v>717</v>
      </c>
      <c r="AK33" t="s">
        <v>121</v>
      </c>
    </row>
    <row r="34" spans="1:37" x14ac:dyDescent="0.3">
      <c r="A34" s="2">
        <f ca="1">COUNTIF(INDIRECT(A68&amp;A67):INDIRECT(A69&amp;A66),INDIRECT("b"&amp;ROW()))</f>
        <v>0</v>
      </c>
      <c r="B34" s="2" t="str">
        <f>Assignees!C32</f>
        <v>6.5.x (Ghost patch)</v>
      </c>
      <c r="C34"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5</v>
      </c>
      <c r="D34" s="9" t="str">
        <f>CONCATENATE(A83," ",A84)</f>
        <v>NFS [PML]</v>
      </c>
      <c r="E34" s="8" t="str">
        <f t="shared" ref="E34:E40" si="0">D2</f>
        <v>Astra</v>
      </c>
      <c r="I34">
        <f ca="1">IF(OR(INDIRECT(A73&amp;ROW())=B93,INDIRECT(A73&amp;ROW())=B94),1,IF(AND(INDIRECT(A73&amp;ROW())=B95,INDIRECT(A96&amp;ROW())=C93),1,IF(AND(INDIRECT(A73&amp;ROW())=B95,INDIRECT(A96&amp;ROW())=C94),1,0)))</f>
        <v>0</v>
      </c>
      <c r="J34">
        <f ca="1">IF(AND(INDIRECT(A73&amp;ROW())=B95,INDIRECT(A96&amp;ROW())=C95),1,IF(AND(INDIRECT(A73&amp;ROW())=B95,INDIRECT(A96&amp;ROW())=C96),1,0))</f>
        <v>0</v>
      </c>
      <c r="K34">
        <f ca="1">DAYS360(INDIRECT(C68&amp;ROW()),TODAY())</f>
        <v>721</v>
      </c>
      <c r="L34">
        <f ca="1">DAYS360(INDIRECT(C69&amp;ROW()),TODAY())</f>
        <v>994</v>
      </c>
      <c r="M34" s="11">
        <f ca="1">HYPERLINK(CONCATENATE("https://bugzilla.houston.hp.com:1181/bugzilla/show_bug.cgi?id=",INDIRECT(C70&amp;ROW())),INDIRECT(C70&amp;ROW()))</f>
        <v>47697</v>
      </c>
      <c r="N34">
        <v>47697</v>
      </c>
      <c r="O34" t="s">
        <v>56</v>
      </c>
      <c r="P34" t="s">
        <v>704</v>
      </c>
      <c r="Q34" t="s">
        <v>16</v>
      </c>
      <c r="R34" t="s">
        <v>251</v>
      </c>
      <c r="S34" t="s">
        <v>188</v>
      </c>
      <c r="U34" s="6">
        <v>42125.44390046296</v>
      </c>
      <c r="V34" t="s">
        <v>18</v>
      </c>
      <c r="W34" t="s">
        <v>17</v>
      </c>
      <c r="X34" s="6">
        <v>41848.552175925928</v>
      </c>
      <c r="Y34" t="s">
        <v>122</v>
      </c>
      <c r="AB34" t="s">
        <v>200</v>
      </c>
      <c r="AC34" t="s">
        <v>121</v>
      </c>
      <c r="AD34" t="s">
        <v>220</v>
      </c>
      <c r="AE34" t="s">
        <v>219</v>
      </c>
      <c r="AG34" t="s">
        <v>121</v>
      </c>
      <c r="AH34" t="s">
        <v>327</v>
      </c>
      <c r="AI34" t="s">
        <v>121</v>
      </c>
      <c r="AJ34" t="s">
        <v>716</v>
      </c>
      <c r="AK34" t="s">
        <v>121</v>
      </c>
    </row>
    <row r="35" spans="1:37" x14ac:dyDescent="0.3">
      <c r="A35" s="2">
        <f ca="1">COUNTIF(INDIRECT(A68&amp;A67):INDIRECT(A69&amp;A66),INDIRECT("b"&amp;ROW()))</f>
        <v>3</v>
      </c>
      <c r="B35" s="2" t="str">
        <f>Assignees!C33</f>
        <v>Halo</v>
      </c>
      <c r="C35"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38</v>
      </c>
      <c r="D35" s="9" t="str">
        <f>CONCATENATE(A83," ",A84)</f>
        <v>NFS [PML]</v>
      </c>
      <c r="E35" s="8" t="str">
        <f t="shared" si="0"/>
        <v>Atlas</v>
      </c>
      <c r="I35">
        <f ca="1">IF(OR(INDIRECT(A73&amp;ROW())=B93,INDIRECT(A73&amp;ROW())=B94),1,IF(AND(INDIRECT(A73&amp;ROW())=B95,INDIRECT(A96&amp;ROW())=C93),1,IF(AND(INDIRECT(A73&amp;ROW())=B95,INDIRECT(A96&amp;ROW())=C94),1,0)))</f>
        <v>0</v>
      </c>
      <c r="J35">
        <f ca="1">IF(AND(INDIRECT(A73&amp;ROW())=B95,INDIRECT(A96&amp;ROW())=C95),1,IF(AND(INDIRECT(A73&amp;ROW())=B95,INDIRECT(A96&amp;ROW())=C96),1,0))</f>
        <v>0</v>
      </c>
      <c r="K35">
        <f ca="1">DAYS360(INDIRECT(C68&amp;ROW()),TODAY())</f>
        <v>721</v>
      </c>
      <c r="L35">
        <f ca="1">DAYS360(INDIRECT(C69&amp;ROW()),TODAY())</f>
        <v>992</v>
      </c>
      <c r="M35" s="11">
        <f ca="1">HYPERLINK(CONCATENATE("https://bugzilla.houston.hp.com:1181/bugzilla/show_bug.cgi?id=",INDIRECT(C70&amp;ROW())),INDIRECT(C70&amp;ROW()))</f>
        <v>47791</v>
      </c>
      <c r="N35">
        <v>47791</v>
      </c>
      <c r="O35" t="s">
        <v>19</v>
      </c>
      <c r="P35" t="s">
        <v>744</v>
      </c>
      <c r="Q35" t="s">
        <v>16</v>
      </c>
      <c r="R35" t="s">
        <v>251</v>
      </c>
      <c r="S35" t="s">
        <v>43</v>
      </c>
      <c r="U35" s="6">
        <v>42125.443761574075</v>
      </c>
      <c r="V35" t="s">
        <v>18</v>
      </c>
      <c r="W35" t="s">
        <v>17</v>
      </c>
      <c r="X35" s="6">
        <v>41850.351284722223</v>
      </c>
      <c r="Y35" t="s">
        <v>122</v>
      </c>
      <c r="AB35" t="s">
        <v>200</v>
      </c>
      <c r="AC35" t="s">
        <v>247</v>
      </c>
      <c r="AD35" t="s">
        <v>220</v>
      </c>
      <c r="AE35" t="s">
        <v>219</v>
      </c>
      <c r="AG35" t="s">
        <v>121</v>
      </c>
      <c r="AH35" t="s">
        <v>327</v>
      </c>
      <c r="AI35" t="s">
        <v>121</v>
      </c>
      <c r="AJ35" t="s">
        <v>716</v>
      </c>
      <c r="AK35" t="s">
        <v>121</v>
      </c>
    </row>
    <row r="36" spans="1:37" x14ac:dyDescent="0.3">
      <c r="A36" s="2">
        <f ca="1">COUNTIF(INDIRECT(A68&amp;A67):INDIRECT(A69&amp;A66),INDIRECT("b"&amp;ROW()))</f>
        <v>24</v>
      </c>
      <c r="B36" s="2" t="str">
        <f>Assignees!C34</f>
        <v>Atlas</v>
      </c>
      <c r="C36"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0</v>
      </c>
      <c r="D36" s="9" t="str">
        <f>CONCATENATE(A83," ",A84)</f>
        <v>NFS [PML]</v>
      </c>
      <c r="E36" s="8" t="str">
        <f t="shared" si="0"/>
        <v>Bellatrix</v>
      </c>
      <c r="I36">
        <f ca="1">IF(OR(INDIRECT(A73&amp;ROW())=B93,INDIRECT(A73&amp;ROW())=B94),1,IF(AND(INDIRECT(A73&amp;ROW())=B95,INDIRECT(A96&amp;ROW())=C93),1,IF(AND(INDIRECT(A73&amp;ROW())=B95,INDIRECT(A96&amp;ROW())=C94),1,0)))</f>
        <v>0</v>
      </c>
      <c r="J36">
        <f ca="1">IF(AND(INDIRECT(A73&amp;ROW())=B95,INDIRECT(A96&amp;ROW())=C95),1,IF(AND(INDIRECT(A73&amp;ROW())=B95,INDIRECT(A96&amp;ROW())=C96),1,0))</f>
        <v>0</v>
      </c>
      <c r="K36">
        <f ca="1">DAYS360(INDIRECT(C68&amp;ROW()),TODAY())</f>
        <v>729</v>
      </c>
      <c r="L36">
        <f ca="1">DAYS360(INDIRECT(C69&amp;ROW()),TODAY())</f>
        <v>992</v>
      </c>
      <c r="M36" s="11">
        <f ca="1">HYPERLINK(CONCATENATE("https://bugzilla.houston.hp.com:1181/bugzilla/show_bug.cgi?id=",INDIRECT(C70&amp;ROW())),INDIRECT(C70&amp;ROW()))</f>
        <v>47877</v>
      </c>
      <c r="N36">
        <v>47877</v>
      </c>
      <c r="O36" t="s">
        <v>56</v>
      </c>
      <c r="P36" t="s">
        <v>703</v>
      </c>
      <c r="Q36" t="s">
        <v>16</v>
      </c>
      <c r="R36" t="s">
        <v>251</v>
      </c>
      <c r="S36" t="s">
        <v>15</v>
      </c>
      <c r="U36" s="6">
        <v>42117.403090277781</v>
      </c>
      <c r="V36" t="s">
        <v>35</v>
      </c>
      <c r="W36" t="s">
        <v>17</v>
      </c>
      <c r="X36" s="6">
        <v>41851.903414351851</v>
      </c>
      <c r="Y36" t="s">
        <v>119</v>
      </c>
      <c r="AB36" t="s">
        <v>200</v>
      </c>
      <c r="AC36" t="s">
        <v>121</v>
      </c>
      <c r="AD36" t="s">
        <v>220</v>
      </c>
      <c r="AE36" t="s">
        <v>219</v>
      </c>
      <c r="AG36" t="s">
        <v>121</v>
      </c>
      <c r="AH36" t="s">
        <v>327</v>
      </c>
      <c r="AI36" t="s">
        <v>121</v>
      </c>
      <c r="AJ36" t="s">
        <v>716</v>
      </c>
      <c r="AK36" t="s">
        <v>121</v>
      </c>
    </row>
    <row r="37" spans="1:37" x14ac:dyDescent="0.3">
      <c r="A37" s="2">
        <f ca="1">COUNTIF(INDIRECT(A68&amp;A67):INDIRECT(A69&amp;A66),INDIRECT("b"&amp;ROW()))</f>
        <v>0</v>
      </c>
      <c r="B37" s="2">
        <f>Assignees!C36</f>
        <v>0</v>
      </c>
      <c r="C37"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37</v>
      </c>
      <c r="D37" s="9" t="str">
        <f>CONCATENATE(A83," ",A84)</f>
        <v>NFS [PML]</v>
      </c>
      <c r="E37" s="8" t="str">
        <f t="shared" si="0"/>
        <v>Master</v>
      </c>
      <c r="I37">
        <f ca="1">IF(OR(INDIRECT(A73&amp;ROW())=B93,INDIRECT(A73&amp;ROW())=B94),1,IF(AND(INDIRECT(A73&amp;ROW())=B95,INDIRECT(A96&amp;ROW())=C93),1,IF(AND(INDIRECT(A73&amp;ROW())=B95,INDIRECT(A96&amp;ROW())=C94),1,0)))</f>
        <v>0</v>
      </c>
      <c r="J37">
        <f ca="1">IF(AND(INDIRECT(A73&amp;ROW())=B95,INDIRECT(A96&amp;ROW())=C95),1,IF(AND(INDIRECT(A73&amp;ROW())=B95,INDIRECT(A96&amp;ROW())=C96),1,0))</f>
        <v>0</v>
      </c>
      <c r="K37">
        <f ca="1">DAYS360(INDIRECT(C68&amp;ROW()),TODAY())</f>
        <v>728</v>
      </c>
      <c r="L37">
        <f ca="1">DAYS360(INDIRECT(C69&amp;ROW()),TODAY())</f>
        <v>981</v>
      </c>
      <c r="M37" s="11">
        <f ca="1">HYPERLINK(CONCATENATE("https://bugzilla.houston.hp.com:1181/bugzilla/show_bug.cgi?id=",INDIRECT(C70&amp;ROW())),INDIRECT(C70&amp;ROW()))</f>
        <v>48400</v>
      </c>
      <c r="N37">
        <v>48400</v>
      </c>
      <c r="O37" t="s">
        <v>56</v>
      </c>
      <c r="P37" t="s">
        <v>702</v>
      </c>
      <c r="Q37" t="s">
        <v>16</v>
      </c>
      <c r="R37" t="s">
        <v>251</v>
      </c>
      <c r="S37" t="s">
        <v>42</v>
      </c>
      <c r="U37" s="6">
        <v>42118.560972222222</v>
      </c>
      <c r="V37" t="s">
        <v>18</v>
      </c>
      <c r="W37" t="s">
        <v>17</v>
      </c>
      <c r="X37" s="6">
        <v>41862.660682870373</v>
      </c>
      <c r="Y37" t="s">
        <v>122</v>
      </c>
      <c r="AB37" t="s">
        <v>201</v>
      </c>
      <c r="AC37" t="s">
        <v>121</v>
      </c>
      <c r="AD37" t="s">
        <v>220</v>
      </c>
      <c r="AE37" t="s">
        <v>219</v>
      </c>
      <c r="AG37" t="s">
        <v>121</v>
      </c>
      <c r="AH37" t="s">
        <v>64</v>
      </c>
      <c r="AI37" t="s">
        <v>121</v>
      </c>
      <c r="AJ37" t="s">
        <v>717</v>
      </c>
      <c r="AK37" t="s">
        <v>121</v>
      </c>
    </row>
    <row r="38" spans="1:37" x14ac:dyDescent="0.3">
      <c r="A38" s="2">
        <f ca="1">COUNTIF(INDIRECT(A68&amp;A67):INDIRECT(A69&amp;A66),INDIRECT("b"&amp;ROW()))</f>
        <v>0</v>
      </c>
      <c r="B38" s="2">
        <f>Assignees!C37</f>
        <v>0</v>
      </c>
      <c r="C38"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0</v>
      </c>
      <c r="D38" s="9" t="str">
        <f>CONCATENATE(A83," ",A84)</f>
        <v>NFS [PML]</v>
      </c>
      <c r="E38" s="8" t="str">
        <f t="shared" si="0"/>
        <v>Astra-Waiver</v>
      </c>
      <c r="I38">
        <f ca="1">IF(OR(INDIRECT(A73&amp;ROW())=B93,INDIRECT(A73&amp;ROW())=B94),1,IF(AND(INDIRECT(A73&amp;ROW())=B95,INDIRECT(A96&amp;ROW())=C93),1,IF(AND(INDIRECT(A73&amp;ROW())=B95,INDIRECT(A96&amp;ROW())=C94),1,0)))</f>
        <v>0</v>
      </c>
      <c r="J38">
        <f ca="1">IF(AND(INDIRECT(A73&amp;ROW())=B95,INDIRECT(A96&amp;ROW())=C95),1,IF(AND(INDIRECT(A73&amp;ROW())=B95,INDIRECT(A96&amp;ROW())=C96),1,0))</f>
        <v>0</v>
      </c>
      <c r="K38">
        <f ca="1">DAYS360(INDIRECT(C68&amp;ROW()),TODAY())</f>
        <v>721</v>
      </c>
      <c r="L38">
        <f ca="1">DAYS360(INDIRECT(C69&amp;ROW()),TODAY())</f>
        <v>980</v>
      </c>
      <c r="M38" s="11">
        <f ca="1">HYPERLINK(CONCATENATE("https://bugzilla.houston.hp.com:1181/bugzilla/show_bug.cgi?id=",INDIRECT(C70&amp;ROW())),INDIRECT(C70&amp;ROW()))</f>
        <v>48464</v>
      </c>
      <c r="N38">
        <v>48464</v>
      </c>
      <c r="O38" t="s">
        <v>55</v>
      </c>
      <c r="P38" t="s">
        <v>701</v>
      </c>
      <c r="Q38" t="s">
        <v>16</v>
      </c>
      <c r="R38" t="s">
        <v>251</v>
      </c>
      <c r="S38" t="s">
        <v>42</v>
      </c>
      <c r="U38" s="6">
        <v>42125.443819444445</v>
      </c>
      <c r="V38" t="s">
        <v>35</v>
      </c>
      <c r="W38" t="s">
        <v>17</v>
      </c>
      <c r="X38" s="6">
        <v>41863.624351851853</v>
      </c>
      <c r="Y38" t="s">
        <v>122</v>
      </c>
      <c r="AB38" t="s">
        <v>200</v>
      </c>
      <c r="AC38" t="s">
        <v>121</v>
      </c>
      <c r="AD38" t="s">
        <v>220</v>
      </c>
      <c r="AE38" t="s">
        <v>219</v>
      </c>
      <c r="AG38" t="s">
        <v>121</v>
      </c>
      <c r="AH38" t="s">
        <v>327</v>
      </c>
      <c r="AI38" t="s">
        <v>121</v>
      </c>
      <c r="AJ38" t="s">
        <v>716</v>
      </c>
      <c r="AK38" t="s">
        <v>121</v>
      </c>
    </row>
    <row r="39" spans="1:37" x14ac:dyDescent="0.3">
      <c r="A39" s="7">
        <f ca="1">SUM(A2:A38)</f>
        <v>457</v>
      </c>
      <c r="B39" s="7" t="s">
        <v>23</v>
      </c>
      <c r="C39"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13</v>
      </c>
      <c r="D39" s="9" t="str">
        <f>CONCATENATE(A83," ",A84)</f>
        <v>NFS [PML]</v>
      </c>
      <c r="E39" s="8" t="str">
        <f t="shared" si="0"/>
        <v>Astra-Maint</v>
      </c>
      <c r="I39">
        <f ca="1">IF(OR(INDIRECT(A73&amp;ROW())=B93,INDIRECT(A73&amp;ROW())=B94),1,IF(AND(INDIRECT(A73&amp;ROW())=B95,INDIRECT(A96&amp;ROW())=C93),1,IF(AND(INDIRECT(A73&amp;ROW())=B95,INDIRECT(A96&amp;ROW())=C94),1,0)))</f>
        <v>0</v>
      </c>
      <c r="J39">
        <f ca="1">IF(AND(INDIRECT(A73&amp;ROW())=B95,INDIRECT(A96&amp;ROW())=C95),1,IF(AND(INDIRECT(A73&amp;ROW())=B95,INDIRECT(A96&amp;ROW())=C96),1,0))</f>
        <v>1</v>
      </c>
      <c r="K39">
        <f ca="1">DAYS360(INDIRECT(C68&amp;ROW()),TODAY())</f>
        <v>683</v>
      </c>
      <c r="L39">
        <f ca="1">DAYS360(INDIRECT(C69&amp;ROW()),TODAY())</f>
        <v>979</v>
      </c>
      <c r="M39" s="11">
        <f ca="1">HYPERLINK(CONCATENATE("https://bugzilla.houston.hp.com:1181/bugzilla/show_bug.cgi?id=",INDIRECT(C70&amp;ROW())),INDIRECT(C70&amp;ROW()))</f>
        <v>48484</v>
      </c>
      <c r="N39">
        <v>48484</v>
      </c>
      <c r="O39" t="s">
        <v>49</v>
      </c>
      <c r="P39" t="s">
        <v>700</v>
      </c>
      <c r="Q39" t="s">
        <v>25</v>
      </c>
      <c r="R39" t="s">
        <v>251</v>
      </c>
      <c r="S39" t="s">
        <v>52</v>
      </c>
      <c r="U39" s="6">
        <v>42164.619247685187</v>
      </c>
      <c r="V39" t="s">
        <v>35</v>
      </c>
      <c r="W39" t="s">
        <v>17</v>
      </c>
      <c r="X39" s="6">
        <v>41864.074270833335</v>
      </c>
      <c r="Y39" t="s">
        <v>119</v>
      </c>
      <c r="AB39" t="s">
        <v>201</v>
      </c>
      <c r="AC39" t="s">
        <v>121</v>
      </c>
      <c r="AD39" t="s">
        <v>222</v>
      </c>
      <c r="AE39" t="s">
        <v>240</v>
      </c>
      <c r="AG39" t="s">
        <v>121</v>
      </c>
      <c r="AH39" t="s">
        <v>64</v>
      </c>
      <c r="AI39" t="s">
        <v>121</v>
      </c>
      <c r="AJ39" t="s">
        <v>716</v>
      </c>
      <c r="AK39" t="s">
        <v>121</v>
      </c>
    </row>
    <row r="40" spans="1:37" x14ac:dyDescent="0.3">
      <c r="A40">
        <f ca="1">COUNTIF(INDIRECT(A76&amp;A67):INDIRECT(A76&amp;A66),B40&amp;"*")</f>
        <v>146</v>
      </c>
      <c r="B40" t="s">
        <v>126</v>
      </c>
      <c r="C40"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16</v>
      </c>
      <c r="D40" s="9" t="str">
        <f>CONCATENATE(A83," ",A84)</f>
        <v>NFS [PML]</v>
      </c>
      <c r="E40" s="8" t="str">
        <f t="shared" si="0"/>
        <v>Astra-1.1.0</v>
      </c>
      <c r="I40">
        <f ca="1">IF(OR(INDIRECT(A73&amp;ROW())=B93,INDIRECT(A73&amp;ROW())=B94),1,IF(AND(INDIRECT(A73&amp;ROW())=B95,INDIRECT(A96&amp;ROW())=C93),1,IF(AND(INDIRECT(A73&amp;ROW())=B95,INDIRECT(A96&amp;ROW())=C94),1,0)))</f>
        <v>0</v>
      </c>
      <c r="J40">
        <f ca="1">IF(AND(INDIRECT(A73&amp;ROW())=B95,INDIRECT(A96&amp;ROW())=C95),1,IF(AND(INDIRECT(A73&amp;ROW())=B95,INDIRECT(A96&amp;ROW())=C96),1,0))</f>
        <v>0</v>
      </c>
      <c r="K40">
        <f ca="1">DAYS360(INDIRECT(C68&amp;ROW()),TODAY())</f>
        <v>770</v>
      </c>
      <c r="L40">
        <f ca="1">DAYS360(INDIRECT(C69&amp;ROW()),TODAY())</f>
        <v>977</v>
      </c>
      <c r="M40" s="11">
        <f ca="1">HYPERLINK(CONCATENATE("https://bugzilla.houston.hp.com:1181/bugzilla/show_bug.cgi?id=",INDIRECT(C70&amp;ROW())),INDIRECT(C70&amp;ROW()))</f>
        <v>48691</v>
      </c>
      <c r="N40">
        <v>48691</v>
      </c>
      <c r="O40" t="s">
        <v>56</v>
      </c>
      <c r="P40" t="s">
        <v>279</v>
      </c>
      <c r="Q40" t="s">
        <v>16</v>
      </c>
      <c r="R40" t="s">
        <v>251</v>
      </c>
      <c r="S40" t="s">
        <v>65</v>
      </c>
      <c r="U40" s="6">
        <v>42075.349849537037</v>
      </c>
      <c r="V40" t="s">
        <v>18</v>
      </c>
      <c r="W40" t="s">
        <v>17</v>
      </c>
      <c r="X40" s="6">
        <v>41866.418425925927</v>
      </c>
      <c r="Y40" t="s">
        <v>118</v>
      </c>
      <c r="AB40" t="s">
        <v>201</v>
      </c>
      <c r="AC40" t="s">
        <v>121</v>
      </c>
      <c r="AD40" t="s">
        <v>220</v>
      </c>
      <c r="AE40" t="s">
        <v>219</v>
      </c>
      <c r="AG40" t="s">
        <v>121</v>
      </c>
      <c r="AH40" t="s">
        <v>327</v>
      </c>
      <c r="AI40" t="s">
        <v>121</v>
      </c>
      <c r="AJ40" t="s">
        <v>717</v>
      </c>
      <c r="AK40" t="s">
        <v>121</v>
      </c>
    </row>
    <row r="41" spans="1:37" x14ac:dyDescent="0.3">
      <c r="A41">
        <f ca="1">COUNTIF(INDIRECT(A76&amp;A67):INDIRECT(A76&amp;A66),B41&amp;"*")</f>
        <v>13</v>
      </c>
      <c r="B41" t="s">
        <v>127</v>
      </c>
      <c r="C41">
        <f ca="1">SUM(C34:C40)</f>
        <v>109</v>
      </c>
      <c r="I41">
        <f ca="1">IF(OR(INDIRECT(A73&amp;ROW())=B93,INDIRECT(A73&amp;ROW())=B94),1,IF(AND(INDIRECT(A73&amp;ROW())=B95,INDIRECT(A96&amp;ROW())=C93),1,IF(AND(INDIRECT(A73&amp;ROW())=B95,INDIRECT(A96&amp;ROW())=C94),1,0)))</f>
        <v>0</v>
      </c>
      <c r="J41">
        <f ca="1">IF(AND(INDIRECT(A73&amp;ROW())=B95,INDIRECT(A96&amp;ROW())=C95),1,IF(AND(INDIRECT(A73&amp;ROW())=B95,INDIRECT(A96&amp;ROW())=C96),1,0))</f>
        <v>0</v>
      </c>
      <c r="K41">
        <f ca="1">DAYS360(INDIRECT(C68&amp;ROW()),TODAY())</f>
        <v>770</v>
      </c>
      <c r="L41">
        <f ca="1">DAYS360(INDIRECT(C69&amp;ROW()),TODAY())</f>
        <v>977</v>
      </c>
      <c r="M41" s="11">
        <f ca="1">HYPERLINK(CONCATENATE("https://bugzilla.houston.hp.com:1181/bugzilla/show_bug.cgi?id=",INDIRECT(C70&amp;ROW())),INDIRECT(C70&amp;ROW()))</f>
        <v>48692</v>
      </c>
      <c r="N41">
        <v>48692</v>
      </c>
      <c r="O41" t="s">
        <v>56</v>
      </c>
      <c r="P41" t="s">
        <v>278</v>
      </c>
      <c r="Q41" t="s">
        <v>16</v>
      </c>
      <c r="R41" t="s">
        <v>251</v>
      </c>
      <c r="S41" t="s">
        <v>65</v>
      </c>
      <c r="T41" t="s">
        <v>803</v>
      </c>
      <c r="U41" s="6">
        <v>42075.350902777776</v>
      </c>
      <c r="V41" t="s">
        <v>35</v>
      </c>
      <c r="W41" t="s">
        <v>17</v>
      </c>
      <c r="X41" s="6">
        <v>41866.420034722221</v>
      </c>
      <c r="Y41" t="s">
        <v>793</v>
      </c>
      <c r="AB41" t="s">
        <v>201</v>
      </c>
      <c r="AC41" t="s">
        <v>121</v>
      </c>
      <c r="AD41" t="s">
        <v>220</v>
      </c>
      <c r="AE41" t="s">
        <v>219</v>
      </c>
      <c r="AG41" t="s">
        <v>121</v>
      </c>
      <c r="AH41" t="s">
        <v>64</v>
      </c>
      <c r="AI41" t="s">
        <v>121</v>
      </c>
      <c r="AJ41" t="s">
        <v>717</v>
      </c>
      <c r="AK41" t="s">
        <v>121</v>
      </c>
    </row>
    <row r="42" spans="1:37" x14ac:dyDescent="0.3">
      <c r="A42" s="1">
        <f ca="1">SUM(A40:A41)</f>
        <v>159</v>
      </c>
      <c r="B42" s="1" t="s">
        <v>128</v>
      </c>
      <c r="C42" s="12">
        <f ca="1">COUNTIFS(INDIRECT(A72&amp;A67):INDIRECT(A72&amp;A66),"*"&amp;A83&amp;"*",INDIRECT(A71&amp;A67):INDIRECT(A71&amp;A66),INDIRECT("e"&amp;ROW()),INDIRECT(A70&amp;A67):INDIRECT(A70&amp;A66),A82&amp;"*")</f>
        <v>0</v>
      </c>
      <c r="D42" s="12" t="str">
        <f>CONCATENATE(A83,"  core")</f>
        <v>NFS  core</v>
      </c>
      <c r="E42" s="8" t="str">
        <f t="shared" ref="E42:E48" si="1">D2</f>
        <v>Astra</v>
      </c>
      <c r="I42">
        <f ca="1">IF(OR(INDIRECT(A73&amp;ROW())=B93,INDIRECT(A73&amp;ROW())=B94),1,IF(AND(INDIRECT(A73&amp;ROW())=B95,INDIRECT(A96&amp;ROW())=C93),1,IF(AND(INDIRECT(A73&amp;ROW())=B95,INDIRECT(A96&amp;ROW())=C94),1,0)))</f>
        <v>1</v>
      </c>
      <c r="J42">
        <f ca="1">IF(AND(INDIRECT(A73&amp;ROW())=B95,INDIRECT(A96&amp;ROW())=C95),1,IF(AND(INDIRECT(A73&amp;ROW())=B95,INDIRECT(A96&amp;ROW())=C96),1,0))</f>
        <v>0</v>
      </c>
      <c r="K42">
        <f ca="1">DAYS360(INDIRECT(C68&amp;ROW()),TODAY())</f>
        <v>691</v>
      </c>
      <c r="L42">
        <f ca="1">DAYS360(INDIRECT(C69&amp;ROW()),TODAY())</f>
        <v>977</v>
      </c>
      <c r="M42" s="11">
        <f ca="1">HYPERLINK(CONCATENATE("https://bugzilla.houston.hp.com:1181/bugzilla/show_bug.cgi?id=",INDIRECT(C70&amp;ROW())),INDIRECT(C70&amp;ROW()))</f>
        <v>48696</v>
      </c>
      <c r="N42">
        <v>48696</v>
      </c>
      <c r="O42" t="s">
        <v>94</v>
      </c>
      <c r="P42" t="s">
        <v>446</v>
      </c>
      <c r="Q42" t="s">
        <v>39</v>
      </c>
      <c r="R42" t="s">
        <v>251</v>
      </c>
      <c r="S42" t="s">
        <v>24</v>
      </c>
      <c r="T42" t="s">
        <v>782</v>
      </c>
      <c r="U42" s="6">
        <v>42156.600081018521</v>
      </c>
      <c r="V42" t="s">
        <v>35</v>
      </c>
      <c r="W42" t="s">
        <v>17</v>
      </c>
      <c r="X42" s="6">
        <v>41866.469768518517</v>
      </c>
      <c r="Y42" t="s">
        <v>119</v>
      </c>
      <c r="AB42" t="s">
        <v>201</v>
      </c>
      <c r="AC42" t="s">
        <v>121</v>
      </c>
      <c r="AD42" t="s">
        <v>227</v>
      </c>
      <c r="AE42" t="s">
        <v>231</v>
      </c>
      <c r="AG42" t="s">
        <v>121</v>
      </c>
      <c r="AH42" t="s">
        <v>64</v>
      </c>
      <c r="AI42" t="s">
        <v>121</v>
      </c>
      <c r="AJ42" t="s">
        <v>715</v>
      </c>
      <c r="AK42" t="s">
        <v>121</v>
      </c>
    </row>
    <row r="43" spans="1:37" x14ac:dyDescent="0.3">
      <c r="C43" s="12">
        <f ca="1">COUNTIFS(INDIRECT(A72&amp;A67):INDIRECT(A72&amp;A66),"*"&amp;A83&amp;"*",INDIRECT(A71&amp;A67):INDIRECT(A71&amp;A66),INDIRECT("e"&amp;ROW()),INDIRECT(A70&amp;A67):INDIRECT(A70&amp;A66),A82&amp;"*")</f>
        <v>0</v>
      </c>
      <c r="D43" s="12" t="str">
        <f>CONCATENATE(A83,"  core")</f>
        <v>NFS  core</v>
      </c>
      <c r="E43" s="8" t="str">
        <f t="shared" si="1"/>
        <v>Atlas</v>
      </c>
      <c r="I43">
        <f ca="1">IF(OR(INDIRECT(A73&amp;ROW())=B93,INDIRECT(A73&amp;ROW())=B94),1,IF(AND(INDIRECT(A73&amp;ROW())=B95,INDIRECT(A96&amp;ROW())=C93),1,IF(AND(INDIRECT(A73&amp;ROW())=B95,INDIRECT(A96&amp;ROW())=C94),1,0)))</f>
        <v>0</v>
      </c>
      <c r="J43">
        <f ca="1">IF(AND(INDIRECT(A73&amp;ROW())=B95,INDIRECT(A96&amp;ROW())=C95),1,IF(AND(INDIRECT(A73&amp;ROW())=B95,INDIRECT(A96&amp;ROW())=C96),1,0))</f>
        <v>0</v>
      </c>
      <c r="K43">
        <f ca="1">DAYS360(INDIRECT(C68&amp;ROW()),TODAY())</f>
        <v>728</v>
      </c>
      <c r="L43">
        <f ca="1">DAYS360(INDIRECT(C69&amp;ROW()),TODAY())</f>
        <v>977</v>
      </c>
      <c r="M43" s="11">
        <f ca="1">HYPERLINK(CONCATENATE("https://bugzilla.houston.hp.com:1181/bugzilla/show_bug.cgi?id=",INDIRECT(C70&amp;ROW())),INDIRECT(C70&amp;ROW()))</f>
        <v>48703</v>
      </c>
      <c r="N43">
        <v>48703</v>
      </c>
      <c r="O43" t="s">
        <v>66</v>
      </c>
      <c r="P43" t="s">
        <v>291</v>
      </c>
      <c r="Q43" t="s">
        <v>16</v>
      </c>
      <c r="R43" t="s">
        <v>251</v>
      </c>
      <c r="S43" t="s">
        <v>65</v>
      </c>
      <c r="U43" s="6">
        <v>42118.561168981483</v>
      </c>
      <c r="V43" t="s">
        <v>18</v>
      </c>
      <c r="W43" t="s">
        <v>17</v>
      </c>
      <c r="X43" s="6">
        <v>41866.624490740738</v>
      </c>
      <c r="Y43" t="s">
        <v>122</v>
      </c>
      <c r="AB43" t="s">
        <v>201</v>
      </c>
      <c r="AC43" t="s">
        <v>121</v>
      </c>
      <c r="AD43" t="s">
        <v>222</v>
      </c>
      <c r="AE43" t="s">
        <v>233</v>
      </c>
      <c r="AG43" t="s">
        <v>121</v>
      </c>
      <c r="AH43" t="s">
        <v>64</v>
      </c>
      <c r="AI43" t="s">
        <v>121</v>
      </c>
      <c r="AJ43" t="s">
        <v>717</v>
      </c>
      <c r="AK43" t="s">
        <v>121</v>
      </c>
    </row>
    <row r="44" spans="1:37" x14ac:dyDescent="0.3">
      <c r="C44" s="12">
        <f ca="1">COUNTIFS(INDIRECT(A72&amp;A67):INDIRECT(A72&amp;A66),"*"&amp;A83&amp;"*",INDIRECT(A71&amp;A67):INDIRECT(A71&amp;A66),INDIRECT("e"&amp;ROW()),INDIRECT(A70&amp;A67):INDIRECT(A70&amp;A66),A82&amp;"*")</f>
        <v>0</v>
      </c>
      <c r="D44" s="12" t="str">
        <f>CONCATENATE(A83,"  core")</f>
        <v>NFS  core</v>
      </c>
      <c r="E44" s="8" t="str">
        <f t="shared" si="1"/>
        <v>Bellatrix</v>
      </c>
      <c r="I44">
        <f ca="1">IF(OR(INDIRECT(A73&amp;ROW())=B93,INDIRECT(A73&amp;ROW())=B94),1,IF(AND(INDIRECT(A73&amp;ROW())=B95,INDIRECT(A96&amp;ROW())=C93),1,IF(AND(INDIRECT(A73&amp;ROW())=B95,INDIRECT(A96&amp;ROW())=C94),1,0)))</f>
        <v>0</v>
      </c>
      <c r="J44">
        <f ca="1">IF(AND(INDIRECT(A73&amp;ROW())=B95,INDIRECT(A96&amp;ROW())=C95),1,IF(AND(INDIRECT(A73&amp;ROW())=B95,INDIRECT(A96&amp;ROW())=C96),1,0))</f>
        <v>0</v>
      </c>
      <c r="K44">
        <f ca="1">DAYS360(INDIRECT(C68&amp;ROW()),TODAY())</f>
        <v>729</v>
      </c>
      <c r="L44">
        <f ca="1">DAYS360(INDIRECT(C69&amp;ROW()),TODAY())</f>
        <v>972</v>
      </c>
      <c r="M44" s="11">
        <f ca="1">HYPERLINK(CONCATENATE("https://bugzilla.houston.hp.com:1181/bugzilla/show_bug.cgi?id=",INDIRECT(C70&amp;ROW())),INDIRECT(C70&amp;ROW()))</f>
        <v>48872</v>
      </c>
      <c r="N44">
        <v>48872</v>
      </c>
      <c r="O44" t="s">
        <v>56</v>
      </c>
      <c r="P44" t="s">
        <v>699</v>
      </c>
      <c r="Q44" t="s">
        <v>16</v>
      </c>
      <c r="R44" t="s">
        <v>251</v>
      </c>
      <c r="S44" t="s">
        <v>239</v>
      </c>
      <c r="T44" t="s">
        <v>48</v>
      </c>
      <c r="U44" s="6">
        <v>42117.403298611112</v>
      </c>
      <c r="V44" t="s">
        <v>35</v>
      </c>
      <c r="W44" t="s">
        <v>17</v>
      </c>
      <c r="X44" s="6">
        <v>41871.14303240741</v>
      </c>
      <c r="Y44" t="s">
        <v>124</v>
      </c>
      <c r="AB44" t="s">
        <v>200</v>
      </c>
      <c r="AC44" t="s">
        <v>121</v>
      </c>
      <c r="AD44" t="s">
        <v>220</v>
      </c>
      <c r="AE44" t="s">
        <v>219</v>
      </c>
      <c r="AG44" t="s">
        <v>121</v>
      </c>
      <c r="AH44" t="s">
        <v>64</v>
      </c>
      <c r="AI44" t="s">
        <v>121</v>
      </c>
      <c r="AJ44" t="s">
        <v>716</v>
      </c>
      <c r="AK44" t="s">
        <v>121</v>
      </c>
    </row>
    <row r="45" spans="1:37" x14ac:dyDescent="0.3">
      <c r="C45" s="12">
        <f ca="1">COUNTIFS(INDIRECT(A72&amp;A67):INDIRECT(A72&amp;A66),"*"&amp;A83&amp;"*",INDIRECT(A71&amp;A67):INDIRECT(A71&amp;A66),INDIRECT("e"&amp;ROW()),INDIRECT(A70&amp;A67):INDIRECT(A70&amp;A66),A82&amp;"*")</f>
        <v>0</v>
      </c>
      <c r="D45" s="12" t="str">
        <f>CONCATENATE(A83,"  core")</f>
        <v>NFS  core</v>
      </c>
      <c r="E45" s="8" t="str">
        <f t="shared" si="1"/>
        <v>Master</v>
      </c>
      <c r="I45">
        <f ca="1">IF(OR(INDIRECT(A73&amp;ROW())=B93,INDIRECT(A73&amp;ROW())=B94),1,IF(AND(INDIRECT(A73&amp;ROW())=B95,INDIRECT(A96&amp;ROW())=C93),1,IF(AND(INDIRECT(A73&amp;ROW())=B95,INDIRECT(A96&amp;ROW())=C94),1,0)))</f>
        <v>0</v>
      </c>
      <c r="J45">
        <f ca="1">IF(AND(INDIRECT(A73&amp;ROW())=B95,INDIRECT(A96&amp;ROW())=C95),1,IF(AND(INDIRECT(A73&amp;ROW())=B95,INDIRECT(A96&amp;ROW())=C96),1,0))</f>
        <v>0</v>
      </c>
      <c r="K45">
        <f ca="1">DAYS360(INDIRECT(C68&amp;ROW()),TODAY())</f>
        <v>721</v>
      </c>
      <c r="L45">
        <f ca="1">DAYS360(INDIRECT(C69&amp;ROW()),TODAY())</f>
        <v>971</v>
      </c>
      <c r="M45" s="11">
        <f ca="1">HYPERLINK(CONCATENATE("https://bugzilla.houston.hp.com:1181/bugzilla/show_bug.cgi?id=",INDIRECT(C70&amp;ROW())),INDIRECT(C70&amp;ROW()))</f>
        <v>48965</v>
      </c>
      <c r="N45">
        <v>48965</v>
      </c>
      <c r="O45" t="s">
        <v>22</v>
      </c>
      <c r="P45" t="s">
        <v>445</v>
      </c>
      <c r="Q45" t="s">
        <v>16</v>
      </c>
      <c r="R45" t="s">
        <v>251</v>
      </c>
      <c r="S45" t="s">
        <v>22</v>
      </c>
      <c r="U45" s="6">
        <v>42125.443831018521</v>
      </c>
      <c r="V45" t="s">
        <v>18</v>
      </c>
      <c r="W45" t="s">
        <v>17</v>
      </c>
      <c r="X45" s="6">
        <v>41872.448865740742</v>
      </c>
      <c r="Y45" t="s">
        <v>122</v>
      </c>
      <c r="Z45" t="s">
        <v>255</v>
      </c>
      <c r="AB45" t="s">
        <v>201</v>
      </c>
      <c r="AC45" t="s">
        <v>121</v>
      </c>
      <c r="AD45" t="s">
        <v>220</v>
      </c>
      <c r="AE45" t="s">
        <v>219</v>
      </c>
      <c r="AG45" t="s">
        <v>121</v>
      </c>
      <c r="AH45" t="s">
        <v>64</v>
      </c>
      <c r="AI45" t="s">
        <v>121</v>
      </c>
      <c r="AJ45" t="s">
        <v>717</v>
      </c>
      <c r="AK45" t="s">
        <v>121</v>
      </c>
    </row>
    <row r="46" spans="1:37" x14ac:dyDescent="0.3">
      <c r="C46" s="12">
        <f ca="1">COUNTIFS(INDIRECT(A72&amp;A67):INDIRECT(A72&amp;A66),"*"&amp;A83&amp;"*",INDIRECT(A71&amp;A67):INDIRECT(A71&amp;A66),INDIRECT("e"&amp;ROW()),INDIRECT(A70&amp;A67):INDIRECT(A70&amp;A66),A82&amp;"*")</f>
        <v>0</v>
      </c>
      <c r="D46" s="12" t="str">
        <f>CONCATENATE(A83,"  core")</f>
        <v>NFS  core</v>
      </c>
      <c r="E46" s="8" t="str">
        <f t="shared" si="1"/>
        <v>Astra-Waiver</v>
      </c>
      <c r="I46">
        <f ca="1">IF(OR(INDIRECT(A73&amp;ROW())=B93,INDIRECT(A73&amp;ROW())=B94),1,IF(AND(INDIRECT(A73&amp;ROW())=B95,INDIRECT(A96&amp;ROW())=C93),1,IF(AND(INDIRECT(A73&amp;ROW())=B95,INDIRECT(A96&amp;ROW())=C94),1,0)))</f>
        <v>0</v>
      </c>
      <c r="J46">
        <f ca="1">IF(AND(INDIRECT(A73&amp;ROW())=B95,INDIRECT(A96&amp;ROW())=C95),1,IF(AND(INDIRECT(A73&amp;ROW())=B95,INDIRECT(A96&amp;ROW())=C96),1,0))</f>
        <v>0</v>
      </c>
      <c r="K46">
        <f ca="1">DAYS360(INDIRECT(C68&amp;ROW()),TODAY())</f>
        <v>690</v>
      </c>
      <c r="L46">
        <f ca="1">DAYS360(INDIRECT(C69&amp;ROW()),TODAY())</f>
        <v>970</v>
      </c>
      <c r="M46" s="11">
        <f ca="1">HYPERLINK(CONCATENATE("https://bugzilla.houston.hp.com:1181/bugzilla/show_bug.cgi?id=",INDIRECT(C70&amp;ROW())),INDIRECT(C70&amp;ROW()))</f>
        <v>49007</v>
      </c>
      <c r="N46">
        <v>49007</v>
      </c>
      <c r="O46" t="s">
        <v>856</v>
      </c>
      <c r="P46" t="s">
        <v>423</v>
      </c>
      <c r="Q46" t="s">
        <v>16</v>
      </c>
      <c r="R46" t="s">
        <v>251</v>
      </c>
      <c r="S46" t="s">
        <v>24</v>
      </c>
      <c r="T46" t="s">
        <v>48</v>
      </c>
      <c r="U46" s="6">
        <v>42157.285729166666</v>
      </c>
      <c r="V46" t="s">
        <v>35</v>
      </c>
      <c r="W46" t="s">
        <v>17</v>
      </c>
      <c r="X46" s="6">
        <v>41873.282511574071</v>
      </c>
      <c r="Y46" t="s">
        <v>119</v>
      </c>
      <c r="AB46" t="s">
        <v>201</v>
      </c>
      <c r="AC46" t="s">
        <v>121</v>
      </c>
      <c r="AD46" t="s">
        <v>222</v>
      </c>
      <c r="AE46" t="s">
        <v>221</v>
      </c>
      <c r="AG46" t="s">
        <v>121</v>
      </c>
      <c r="AH46" t="s">
        <v>327</v>
      </c>
      <c r="AI46" t="s">
        <v>121</v>
      </c>
      <c r="AJ46" t="s">
        <v>717</v>
      </c>
      <c r="AK46" t="s">
        <v>121</v>
      </c>
    </row>
    <row r="47" spans="1:37" x14ac:dyDescent="0.3">
      <c r="C47" s="12">
        <f ca="1">COUNTIFS(INDIRECT(A72&amp;A67):INDIRECT(A72&amp;A66),"*"&amp;A83&amp;"*",INDIRECT(A71&amp;A67):INDIRECT(A71&amp;A66),INDIRECT("e"&amp;ROW()),INDIRECT(A70&amp;A67):INDIRECT(A70&amp;A66),A82&amp;"*")</f>
        <v>0</v>
      </c>
      <c r="D47" s="12" t="str">
        <f>CONCATENATE(A83,"  core")</f>
        <v>NFS  core</v>
      </c>
      <c r="E47" s="8" t="str">
        <f t="shared" si="1"/>
        <v>Astra-Maint</v>
      </c>
      <c r="I47">
        <f ca="1">IF(OR(INDIRECT(A73&amp;ROW())=B93,INDIRECT(A73&amp;ROW())=B94),1,IF(AND(INDIRECT(A73&amp;ROW())=B95,INDIRECT(A96&amp;ROW())=C93),1,IF(AND(INDIRECT(A73&amp;ROW())=B95,INDIRECT(A96&amp;ROW())=C94),1,0)))</f>
        <v>0</v>
      </c>
      <c r="J47">
        <f ca="1">IF(AND(INDIRECT(A73&amp;ROW())=B95,INDIRECT(A96&amp;ROW())=C95),1,IF(AND(INDIRECT(A73&amp;ROW())=B95,INDIRECT(A96&amp;ROW())=C96),1,0))</f>
        <v>0</v>
      </c>
      <c r="K47">
        <f ca="1">DAYS360(INDIRECT(C68&amp;ROW()),TODAY())</f>
        <v>729</v>
      </c>
      <c r="L47">
        <f ca="1">DAYS360(INDIRECT(C69&amp;ROW()),TODAY())</f>
        <v>967</v>
      </c>
      <c r="M47" s="11">
        <f ca="1">HYPERLINK(CONCATENATE("https://bugzilla.houston.hp.com:1181/bugzilla/show_bug.cgi?id=",INDIRECT(C70&amp;ROW())),INDIRECT(C70&amp;ROW()))</f>
        <v>49096</v>
      </c>
      <c r="N47">
        <v>49096</v>
      </c>
      <c r="O47" t="s">
        <v>88</v>
      </c>
      <c r="P47" t="s">
        <v>444</v>
      </c>
      <c r="Q47" t="s">
        <v>16</v>
      </c>
      <c r="R47" t="s">
        <v>251</v>
      </c>
      <c r="S47" t="s">
        <v>174</v>
      </c>
      <c r="U47" s="6">
        <v>42117.403402777774</v>
      </c>
      <c r="V47" t="s">
        <v>40</v>
      </c>
      <c r="W47" t="s">
        <v>17</v>
      </c>
      <c r="X47" s="6">
        <v>41876.589675925927</v>
      </c>
      <c r="Y47" t="s">
        <v>119</v>
      </c>
      <c r="AB47" t="s">
        <v>199</v>
      </c>
      <c r="AC47" t="s">
        <v>121</v>
      </c>
      <c r="AD47" t="s">
        <v>220</v>
      </c>
      <c r="AE47" t="s">
        <v>290</v>
      </c>
      <c r="AG47" t="s">
        <v>121</v>
      </c>
      <c r="AH47" t="s">
        <v>64</v>
      </c>
      <c r="AI47" t="s">
        <v>121</v>
      </c>
      <c r="AJ47" t="s">
        <v>716</v>
      </c>
      <c r="AK47" t="s">
        <v>121</v>
      </c>
    </row>
    <row r="48" spans="1:37" x14ac:dyDescent="0.3">
      <c r="C48" s="12">
        <f ca="1">COUNTIFS(INDIRECT(A72&amp;A67):INDIRECT(A72&amp;A66),"*"&amp;A83&amp;"*",INDIRECT(A71&amp;A67):INDIRECT(A71&amp;A66),INDIRECT("e"&amp;ROW()),INDIRECT(A70&amp;A67):INDIRECT(A70&amp;A66),A82&amp;"*")</f>
        <v>0</v>
      </c>
      <c r="D48" s="12" t="str">
        <f>CONCATENATE(A83,"  core")</f>
        <v>NFS  core</v>
      </c>
      <c r="E48" s="8" t="str">
        <f t="shared" si="1"/>
        <v>Astra-1.1.0</v>
      </c>
      <c r="I48">
        <f ca="1">IF(OR(INDIRECT(A73&amp;ROW())=B93,INDIRECT(A73&amp;ROW())=B94),1,IF(AND(INDIRECT(A73&amp;ROW())=B95,INDIRECT(A96&amp;ROW())=C93),1,IF(AND(INDIRECT(A73&amp;ROW())=B95,INDIRECT(A96&amp;ROW())=C94),1,0)))</f>
        <v>0</v>
      </c>
      <c r="J48">
        <f ca="1">IF(AND(INDIRECT(A73&amp;ROW())=B95,INDIRECT(A96&amp;ROW())=C95),1,IF(AND(INDIRECT(A73&amp;ROW())=B95,INDIRECT(A96&amp;ROW())=C96),1,0))</f>
        <v>1</v>
      </c>
      <c r="K48">
        <f ca="1">DAYS360(INDIRECT(C68&amp;ROW()),TODAY())</f>
        <v>688</v>
      </c>
      <c r="L48">
        <f ca="1">DAYS360(INDIRECT(C69&amp;ROW()),TODAY())</f>
        <v>966</v>
      </c>
      <c r="M48" s="11">
        <f ca="1">HYPERLINK(CONCATENATE("https://bugzilla.houston.hp.com:1181/bugzilla/show_bug.cgi?id=",INDIRECT(C70&amp;ROW())),INDIRECT(C70&amp;ROW()))</f>
        <v>49164</v>
      </c>
      <c r="N48">
        <v>49164</v>
      </c>
      <c r="O48" t="s">
        <v>88</v>
      </c>
      <c r="P48" t="s">
        <v>698</v>
      </c>
      <c r="Q48" t="s">
        <v>25</v>
      </c>
      <c r="R48" t="s">
        <v>251</v>
      </c>
      <c r="S48" t="s">
        <v>253</v>
      </c>
      <c r="U48" s="6">
        <v>42159.568888888891</v>
      </c>
      <c r="V48" t="s">
        <v>18</v>
      </c>
      <c r="W48" t="s">
        <v>17</v>
      </c>
      <c r="X48" s="6">
        <v>41877.634756944448</v>
      </c>
      <c r="Y48" t="s">
        <v>120</v>
      </c>
      <c r="AB48" t="s">
        <v>201</v>
      </c>
      <c r="AC48" t="s">
        <v>121</v>
      </c>
      <c r="AD48" t="s">
        <v>222</v>
      </c>
      <c r="AE48" t="s">
        <v>240</v>
      </c>
      <c r="AG48" t="s">
        <v>121</v>
      </c>
      <c r="AH48" t="s">
        <v>64</v>
      </c>
      <c r="AI48" t="s">
        <v>121</v>
      </c>
      <c r="AJ48" t="s">
        <v>716</v>
      </c>
      <c r="AK48" t="s">
        <v>121</v>
      </c>
    </row>
    <row r="49" spans="2:37" x14ac:dyDescent="0.3">
      <c r="C49">
        <f ca="1">SUM(C42:C48)</f>
        <v>0</v>
      </c>
      <c r="I49">
        <f ca="1">IF(OR(INDIRECT(A73&amp;ROW())=B93,INDIRECT(A73&amp;ROW())=B94),1,IF(AND(INDIRECT(A73&amp;ROW())=B95,INDIRECT(A96&amp;ROW())=C93),1,IF(AND(INDIRECT(A73&amp;ROW())=B95,INDIRECT(A96&amp;ROW())=C94),1,0)))</f>
        <v>1</v>
      </c>
      <c r="J49">
        <f ca="1">IF(AND(INDIRECT(A73&amp;ROW())=B95,INDIRECT(A96&amp;ROW())=C95),1,IF(AND(INDIRECT(A73&amp;ROW())=B95,INDIRECT(A96&amp;ROW())=C96),1,0))</f>
        <v>0</v>
      </c>
      <c r="K49">
        <f ca="1">DAYS360(INDIRECT(C68&amp;ROW()),TODAY())</f>
        <v>689</v>
      </c>
      <c r="L49">
        <f ca="1">DAYS360(INDIRECT(C69&amp;ROW()),TODAY())</f>
        <v>966</v>
      </c>
      <c r="M49" s="11">
        <f ca="1">HYPERLINK(CONCATENATE("https://bugzilla.houston.hp.com:1181/bugzilla/show_bug.cgi?id=",INDIRECT(C70&amp;ROW())),INDIRECT(C70&amp;ROW()))</f>
        <v>49170</v>
      </c>
      <c r="N49">
        <v>49170</v>
      </c>
      <c r="O49" t="s">
        <v>53</v>
      </c>
      <c r="P49" t="s">
        <v>697</v>
      </c>
      <c r="Q49" t="s">
        <v>39</v>
      </c>
      <c r="R49" t="s">
        <v>251</v>
      </c>
      <c r="S49" t="s">
        <v>53</v>
      </c>
      <c r="U49" s="6">
        <v>42158.118113425924</v>
      </c>
      <c r="V49" t="s">
        <v>18</v>
      </c>
      <c r="W49" t="s">
        <v>17</v>
      </c>
      <c r="X49" s="6">
        <v>41877.706018518518</v>
      </c>
      <c r="Y49" t="s">
        <v>793</v>
      </c>
      <c r="AB49" t="s">
        <v>201</v>
      </c>
      <c r="AC49" t="s">
        <v>121</v>
      </c>
      <c r="AD49" t="s">
        <v>220</v>
      </c>
      <c r="AE49" t="s">
        <v>219</v>
      </c>
      <c r="AG49" t="s">
        <v>121</v>
      </c>
      <c r="AH49" t="s">
        <v>327</v>
      </c>
      <c r="AI49" t="s">
        <v>121</v>
      </c>
      <c r="AJ49" t="s">
        <v>715</v>
      </c>
      <c r="AK49" t="s">
        <v>121</v>
      </c>
    </row>
    <row r="50" spans="2:37" x14ac:dyDescent="0.3">
      <c r="C50" s="1">
        <f ca="1">SUM(C49,C41)</f>
        <v>109</v>
      </c>
      <c r="I50">
        <f ca="1">IF(OR(INDIRECT(A73&amp;ROW())=B93,INDIRECT(A73&amp;ROW())=B94),1,IF(AND(INDIRECT(A73&amp;ROW())=B95,INDIRECT(A96&amp;ROW())=C93),1,IF(AND(INDIRECT(A73&amp;ROW())=B95,INDIRECT(A96&amp;ROW())=C94),1,0)))</f>
        <v>0</v>
      </c>
      <c r="J50">
        <f ca="1">IF(AND(INDIRECT(A73&amp;ROW())=B95,INDIRECT(A96&amp;ROW())=C95),1,IF(AND(INDIRECT(A73&amp;ROW())=B95,INDIRECT(A96&amp;ROW())=C96),1,0))</f>
        <v>0</v>
      </c>
      <c r="K50">
        <f ca="1">DAYS360(INDIRECT(C68&amp;ROW()),TODAY())</f>
        <v>728</v>
      </c>
      <c r="L50">
        <f ca="1">DAYS360(INDIRECT(C69&amp;ROW()),TODAY())</f>
        <v>965</v>
      </c>
      <c r="M50" s="11">
        <f ca="1">HYPERLINK(CONCATENATE("https://bugzilla.houston.hp.com:1181/bugzilla/show_bug.cgi?id=",INDIRECT(C70&amp;ROW())),INDIRECT(C70&amp;ROW()))</f>
        <v>49234</v>
      </c>
      <c r="N50">
        <v>49234</v>
      </c>
      <c r="O50" t="s">
        <v>56</v>
      </c>
      <c r="P50" t="s">
        <v>696</v>
      </c>
      <c r="Q50" t="s">
        <v>16</v>
      </c>
      <c r="R50" t="s">
        <v>251</v>
      </c>
      <c r="S50" t="s">
        <v>68</v>
      </c>
      <c r="U50" s="6">
        <v>42118.559942129628</v>
      </c>
      <c r="V50" t="s">
        <v>18</v>
      </c>
      <c r="W50" t="s">
        <v>17</v>
      </c>
      <c r="X50" s="6">
        <v>41878.6874537037</v>
      </c>
      <c r="Y50" t="s">
        <v>122</v>
      </c>
      <c r="AB50" t="s">
        <v>201</v>
      </c>
      <c r="AC50" t="s">
        <v>121</v>
      </c>
      <c r="AD50" t="s">
        <v>220</v>
      </c>
      <c r="AE50" t="s">
        <v>219</v>
      </c>
      <c r="AG50" t="s">
        <v>121</v>
      </c>
      <c r="AH50" t="s">
        <v>327</v>
      </c>
      <c r="AI50" t="s">
        <v>121</v>
      </c>
      <c r="AJ50" t="s">
        <v>717</v>
      </c>
      <c r="AK50" t="s">
        <v>121</v>
      </c>
    </row>
    <row r="51" spans="2:37" x14ac:dyDescent="0.3">
      <c r="I51">
        <f ca="1">IF(OR(INDIRECT(A73&amp;ROW())=B93,INDIRECT(A73&amp;ROW())=B94),1,IF(AND(INDIRECT(A73&amp;ROW())=B95,INDIRECT(A96&amp;ROW())=C93),1,IF(AND(INDIRECT(A73&amp;ROW())=B95,INDIRECT(A96&amp;ROW())=C94),1,0)))</f>
        <v>0</v>
      </c>
      <c r="J51">
        <f ca="1">IF(AND(INDIRECT(A73&amp;ROW())=B95,INDIRECT(A96&amp;ROW())=C95),1,IF(AND(INDIRECT(A73&amp;ROW())=B95,INDIRECT(A96&amp;ROW())=C96),1,0))</f>
        <v>0</v>
      </c>
      <c r="K51">
        <f ca="1">DAYS360(INDIRECT(C68&amp;ROW()),TODAY())</f>
        <v>721</v>
      </c>
      <c r="L51">
        <f ca="1">DAYS360(INDIRECT(C69&amp;ROW()),TODAY())</f>
        <v>964</v>
      </c>
      <c r="M51" s="11">
        <f ca="1">HYPERLINK(CONCATENATE("https://bugzilla.houston.hp.com:1181/bugzilla/show_bug.cgi?id=",INDIRECT(C70&amp;ROW())),INDIRECT(C70&amp;ROW()))</f>
        <v>49291</v>
      </c>
      <c r="N51">
        <v>49291</v>
      </c>
      <c r="O51" t="s">
        <v>88</v>
      </c>
      <c r="P51" t="s">
        <v>443</v>
      </c>
      <c r="Q51" t="s">
        <v>16</v>
      </c>
      <c r="R51" t="s">
        <v>251</v>
      </c>
      <c r="S51" t="s">
        <v>294</v>
      </c>
      <c r="U51" s="6">
        <v>42125.445208333331</v>
      </c>
      <c r="V51" t="s">
        <v>18</v>
      </c>
      <c r="W51" t="s">
        <v>17</v>
      </c>
      <c r="X51" s="6">
        <v>41879.510150462964</v>
      </c>
      <c r="Y51" t="s">
        <v>122</v>
      </c>
      <c r="AB51" t="s">
        <v>200</v>
      </c>
      <c r="AC51" t="s">
        <v>121</v>
      </c>
      <c r="AD51" t="s">
        <v>222</v>
      </c>
      <c r="AE51" t="s">
        <v>221</v>
      </c>
      <c r="AG51" t="s">
        <v>121</v>
      </c>
      <c r="AH51" t="s">
        <v>64</v>
      </c>
      <c r="AI51" t="s">
        <v>121</v>
      </c>
      <c r="AJ51" t="s">
        <v>716</v>
      </c>
      <c r="AK51" t="s">
        <v>121</v>
      </c>
    </row>
    <row r="52" spans="2:37" x14ac:dyDescent="0.3">
      <c r="B52" t="s">
        <v>93</v>
      </c>
      <c r="E52" t="s">
        <v>92</v>
      </c>
      <c r="I52">
        <f ca="1">IF(OR(INDIRECT(A73&amp;ROW())=B93,INDIRECT(A73&amp;ROW())=B94),1,IF(AND(INDIRECT(A73&amp;ROW())=B95,INDIRECT(A96&amp;ROW())=C93),1,IF(AND(INDIRECT(A73&amp;ROW())=B95,INDIRECT(A96&amp;ROW())=C94),1,0)))</f>
        <v>0</v>
      </c>
      <c r="J52">
        <f ca="1">IF(AND(INDIRECT(A73&amp;ROW())=B95,INDIRECT(A96&amp;ROW())=C95),1,IF(AND(INDIRECT(A73&amp;ROW())=B95,INDIRECT(A96&amp;ROW())=C96),1,0))</f>
        <v>0</v>
      </c>
      <c r="K52">
        <f ca="1">DAYS360(INDIRECT(C68&amp;ROW()),TODAY())</f>
        <v>721</v>
      </c>
      <c r="L52">
        <f ca="1">DAYS360(INDIRECT(C69&amp;ROW()),TODAY())</f>
        <v>964</v>
      </c>
      <c r="M52" s="11">
        <f ca="1">HYPERLINK(CONCATENATE("https://bugzilla.houston.hp.com:1181/bugzilla/show_bug.cgi?id=",INDIRECT(C70&amp;ROW())),INDIRECT(C70&amp;ROW()))</f>
        <v>49317</v>
      </c>
      <c r="N52">
        <v>49317</v>
      </c>
      <c r="O52" t="s">
        <v>22</v>
      </c>
      <c r="P52" t="s">
        <v>442</v>
      </c>
      <c r="Q52" t="s">
        <v>16</v>
      </c>
      <c r="R52" t="s">
        <v>251</v>
      </c>
      <c r="S52" t="s">
        <v>65</v>
      </c>
      <c r="U52" s="6">
        <v>42125.4452662037</v>
      </c>
      <c r="V52" t="s">
        <v>18</v>
      </c>
      <c r="W52" t="s">
        <v>17</v>
      </c>
      <c r="X52" s="6">
        <v>41879.637557870374</v>
      </c>
      <c r="Y52" t="s">
        <v>122</v>
      </c>
      <c r="AB52" t="s">
        <v>200</v>
      </c>
      <c r="AC52" t="s">
        <v>121</v>
      </c>
      <c r="AD52" t="s">
        <v>220</v>
      </c>
      <c r="AE52" t="s">
        <v>223</v>
      </c>
      <c r="AG52" t="s">
        <v>121</v>
      </c>
      <c r="AH52" t="s">
        <v>64</v>
      </c>
      <c r="AI52" t="s">
        <v>121</v>
      </c>
      <c r="AJ52" t="s">
        <v>716</v>
      </c>
      <c r="AK52" t="s">
        <v>121</v>
      </c>
    </row>
    <row r="53" spans="2:37" x14ac:dyDescent="0.3">
      <c r="B53">
        <f ca="1">COUNTIFS(INDIRECT(A74&amp;A67):INDIRECT(A74&amp;A66),  "&lt;30")</f>
        <v>0</v>
      </c>
      <c r="C53" t="s">
        <v>80</v>
      </c>
      <c r="E53">
        <f ca="1">COUNTIFS(INDIRECT(A75&amp;A67):INDIRECT(A75&amp;A66),  "&lt;30")</f>
        <v>0</v>
      </c>
      <c r="I53">
        <f ca="1">IF(OR(INDIRECT(A73&amp;ROW())=B93,INDIRECT(A73&amp;ROW())=B94),1,IF(AND(INDIRECT(A73&amp;ROW())=B95,INDIRECT(A96&amp;ROW())=C93),1,IF(AND(INDIRECT(A73&amp;ROW())=B95,INDIRECT(A96&amp;ROW())=C94),1,0)))</f>
        <v>0</v>
      </c>
      <c r="J53">
        <f ca="1">IF(AND(INDIRECT(A73&amp;ROW())=B95,INDIRECT(A96&amp;ROW())=C95),1,IF(AND(INDIRECT(A73&amp;ROW())=B95,INDIRECT(A96&amp;ROW())=C96),1,0))</f>
        <v>0</v>
      </c>
      <c r="K53">
        <f ca="1">DAYS360(INDIRECT(C68&amp;ROW()),TODAY())</f>
        <v>721</v>
      </c>
      <c r="L53">
        <f ca="1">DAYS360(INDIRECT(C69&amp;ROW()),TODAY())</f>
        <v>964</v>
      </c>
      <c r="M53" s="11">
        <f ca="1">HYPERLINK(CONCATENATE("https://bugzilla.houston.hp.com:1181/bugzilla/show_bug.cgi?id=",INDIRECT(C70&amp;ROW())),INDIRECT(C70&amp;ROW()))</f>
        <v>49327</v>
      </c>
      <c r="N53">
        <v>49327</v>
      </c>
      <c r="O53" t="s">
        <v>49</v>
      </c>
      <c r="P53" t="s">
        <v>441</v>
      </c>
      <c r="Q53" t="s">
        <v>16</v>
      </c>
      <c r="R53" t="s">
        <v>251</v>
      </c>
      <c r="S53" t="s">
        <v>294</v>
      </c>
      <c r="U53" s="6">
        <v>42125.445185185185</v>
      </c>
      <c r="V53" t="s">
        <v>18</v>
      </c>
      <c r="W53" t="s">
        <v>17</v>
      </c>
      <c r="X53" s="6">
        <v>41879.789236111108</v>
      </c>
      <c r="Y53" t="s">
        <v>122</v>
      </c>
      <c r="AB53" t="s">
        <v>200</v>
      </c>
      <c r="AC53" t="s">
        <v>121</v>
      </c>
      <c r="AD53" t="s">
        <v>222</v>
      </c>
      <c r="AE53" t="s">
        <v>221</v>
      </c>
      <c r="AG53" t="s">
        <v>121</v>
      </c>
      <c r="AH53" t="s">
        <v>64</v>
      </c>
      <c r="AI53" t="s">
        <v>121</v>
      </c>
      <c r="AJ53" t="s">
        <v>716</v>
      </c>
      <c r="AK53" t="s">
        <v>121</v>
      </c>
    </row>
    <row r="54" spans="2:37" x14ac:dyDescent="0.3">
      <c r="B54">
        <f ca="1">COUNTIFS(INDIRECT(A74&amp;A67):INDIRECT(A74&amp;A66),  "&gt;=30", INDIRECT(A74&amp;A67):INDIRECT(A74&amp;A66),"&lt;60")</f>
        <v>0</v>
      </c>
      <c r="C54" t="s">
        <v>81</v>
      </c>
      <c r="E54">
        <f ca="1">COUNTIFS(INDIRECT(A75&amp;A67):INDIRECT(A75&amp;A66),  "&gt;=30", INDIRECT(A75&amp;A67):INDIRECT(A75&amp;A66),"&lt;60")</f>
        <v>0</v>
      </c>
      <c r="I54">
        <f ca="1">IF(OR(INDIRECT(A73&amp;ROW())=B93,INDIRECT(A73&amp;ROW())=B94),1,IF(AND(INDIRECT(A73&amp;ROW())=B95,INDIRECT(A96&amp;ROW())=C93),1,IF(AND(INDIRECT(A73&amp;ROW())=B95,INDIRECT(A96&amp;ROW())=C94),1,0)))</f>
        <v>0</v>
      </c>
      <c r="J54">
        <f ca="1">IF(AND(INDIRECT(A73&amp;ROW())=B95,INDIRECT(A96&amp;ROW())=C95),1,IF(AND(INDIRECT(A73&amp;ROW())=B95,INDIRECT(A96&amp;ROW())=C96),1,0))</f>
        <v>0</v>
      </c>
      <c r="K54">
        <f ca="1">DAYS360(INDIRECT(C68&amp;ROW()),TODAY())</f>
        <v>721</v>
      </c>
      <c r="L54">
        <f ca="1">DAYS360(INDIRECT(C69&amp;ROW()),TODAY())</f>
        <v>964</v>
      </c>
      <c r="M54" s="11">
        <f ca="1">HYPERLINK(CONCATENATE("https://bugzilla.houston.hp.com:1181/bugzilla/show_bug.cgi?id=",INDIRECT(C70&amp;ROW())),INDIRECT(C70&amp;ROW()))</f>
        <v>49328</v>
      </c>
      <c r="N54">
        <v>49328</v>
      </c>
      <c r="O54" t="s">
        <v>49</v>
      </c>
      <c r="P54" t="s">
        <v>440</v>
      </c>
      <c r="Q54" t="s">
        <v>16</v>
      </c>
      <c r="R54" t="s">
        <v>251</v>
      </c>
      <c r="S54" t="s">
        <v>294</v>
      </c>
      <c r="U54" s="6">
        <v>42125.445104166669</v>
      </c>
      <c r="V54" t="s">
        <v>35</v>
      </c>
      <c r="W54" t="s">
        <v>17</v>
      </c>
      <c r="X54" s="6">
        <v>41879.801539351851</v>
      </c>
      <c r="Y54" t="s">
        <v>122</v>
      </c>
      <c r="AB54" t="s">
        <v>200</v>
      </c>
      <c r="AC54" t="s">
        <v>121</v>
      </c>
      <c r="AD54" t="s">
        <v>222</v>
      </c>
      <c r="AE54" t="s">
        <v>221</v>
      </c>
      <c r="AG54" t="s">
        <v>121</v>
      </c>
      <c r="AH54" t="s">
        <v>64</v>
      </c>
      <c r="AI54" t="s">
        <v>121</v>
      </c>
      <c r="AJ54" t="s">
        <v>716</v>
      </c>
      <c r="AK54" t="s">
        <v>121</v>
      </c>
    </row>
    <row r="55" spans="2:37" x14ac:dyDescent="0.3">
      <c r="B55">
        <f ca="1">COUNTIFS(INDIRECT(A74&amp;A67):INDIRECT(A74&amp;A66),  "&gt;=60", INDIRECT(A74&amp;A67):INDIRECT(A74&amp;A66),"&lt;90")</f>
        <v>0</v>
      </c>
      <c r="C55" t="s">
        <v>82</v>
      </c>
      <c r="E55">
        <f ca="1">COUNTIFS(INDIRECT(A75&amp;A67):INDIRECT(A75&amp;A66),  "&gt;=60", INDIRECT(A75&amp;A67):INDIRECT(A75&amp;A66),"&lt;90")</f>
        <v>0</v>
      </c>
      <c r="I55">
        <f ca="1">IF(OR(INDIRECT(A73&amp;ROW())=B93,INDIRECT(A73&amp;ROW())=B94),1,IF(AND(INDIRECT(A73&amp;ROW())=B95,INDIRECT(A96&amp;ROW())=C93),1,IF(AND(INDIRECT(A73&amp;ROW())=B95,INDIRECT(A96&amp;ROW())=C94),1,0)))</f>
        <v>0</v>
      </c>
      <c r="J55">
        <f ca="1">IF(AND(INDIRECT(A73&amp;ROW())=B95,INDIRECT(A96&amp;ROW())=C95),1,IF(AND(INDIRECT(A73&amp;ROW())=B95,INDIRECT(A96&amp;ROW())=C96),1,0))</f>
        <v>0</v>
      </c>
      <c r="K55">
        <f ca="1">DAYS360(INDIRECT(C68&amp;ROW()),TODAY())</f>
        <v>721</v>
      </c>
      <c r="L55">
        <f ca="1">DAYS360(INDIRECT(C69&amp;ROW()),TODAY())</f>
        <v>964</v>
      </c>
      <c r="M55" s="11">
        <f ca="1">HYPERLINK(CONCATENATE("https://bugzilla.houston.hp.com:1181/bugzilla/show_bug.cgi?id=",INDIRECT(C70&amp;ROW())),INDIRECT(C70&amp;ROW()))</f>
        <v>49329</v>
      </c>
      <c r="N55">
        <v>49329</v>
      </c>
      <c r="O55" t="s">
        <v>49</v>
      </c>
      <c r="P55" t="s">
        <v>439</v>
      </c>
      <c r="Q55" t="s">
        <v>16</v>
      </c>
      <c r="R55" t="s">
        <v>251</v>
      </c>
      <c r="S55" t="s">
        <v>294</v>
      </c>
      <c r="U55" s="6">
        <v>42125.445243055554</v>
      </c>
      <c r="V55" t="s">
        <v>40</v>
      </c>
      <c r="W55" t="s">
        <v>17</v>
      </c>
      <c r="X55" s="6">
        <v>41879.824189814812</v>
      </c>
      <c r="Y55" t="s">
        <v>122</v>
      </c>
      <c r="AB55" t="s">
        <v>200</v>
      </c>
      <c r="AC55" t="s">
        <v>121</v>
      </c>
      <c r="AD55" t="s">
        <v>222</v>
      </c>
      <c r="AE55" t="s">
        <v>221</v>
      </c>
      <c r="AG55" t="s">
        <v>121</v>
      </c>
      <c r="AH55" t="s">
        <v>327</v>
      </c>
      <c r="AI55" t="s">
        <v>121</v>
      </c>
      <c r="AJ55" t="s">
        <v>716</v>
      </c>
      <c r="AK55" t="s">
        <v>121</v>
      </c>
    </row>
    <row r="56" spans="2:37" x14ac:dyDescent="0.3">
      <c r="B56">
        <f ca="1">COUNTIFS(INDIRECT(A74&amp;A67):INDIRECT(A74&amp;A66),  "&gt;=90", INDIRECT(A74&amp;A67):INDIRECT(A74&amp;A66),"&lt;120")</f>
        <v>0</v>
      </c>
      <c r="C56" t="s">
        <v>83</v>
      </c>
      <c r="E56">
        <f ca="1">COUNTIFS(INDIRECT(A75&amp;A67):INDIRECT(A75&amp;A66),  "&gt;=90", INDIRECT(A75&amp;A67):INDIRECT(A75&amp;A66),"&lt;120")</f>
        <v>0</v>
      </c>
      <c r="I56">
        <f ca="1">IF(OR(INDIRECT(A73&amp;ROW())=B93,INDIRECT(A73&amp;ROW())=B94),1,IF(AND(INDIRECT(A73&amp;ROW())=B95,INDIRECT(A96&amp;ROW())=C93),1,IF(AND(INDIRECT(A73&amp;ROW())=B95,INDIRECT(A96&amp;ROW())=C94),1,0)))</f>
        <v>0</v>
      </c>
      <c r="J56">
        <f ca="1">IF(AND(INDIRECT(A73&amp;ROW())=B95,INDIRECT(A96&amp;ROW())=C95),1,IF(AND(INDIRECT(A73&amp;ROW())=B95,INDIRECT(A96&amp;ROW())=C96),1,0))</f>
        <v>0</v>
      </c>
      <c r="K56">
        <f ca="1">DAYS360(INDIRECT(C68&amp;ROW()),TODAY())</f>
        <v>721</v>
      </c>
      <c r="L56">
        <f ca="1">DAYS360(INDIRECT(C69&amp;ROW()),TODAY())</f>
        <v>964</v>
      </c>
      <c r="M56" s="11">
        <f ca="1">HYPERLINK(CONCATENATE("https://bugzilla.houston.hp.com:1181/bugzilla/show_bug.cgi?id=",INDIRECT(C70&amp;ROW())),INDIRECT(C70&amp;ROW()))</f>
        <v>49330</v>
      </c>
      <c r="N56">
        <v>49330</v>
      </c>
      <c r="O56" t="s">
        <v>49</v>
      </c>
      <c r="P56" t="s">
        <v>438</v>
      </c>
      <c r="Q56" t="s">
        <v>16</v>
      </c>
      <c r="R56" t="s">
        <v>251</v>
      </c>
      <c r="S56" t="s">
        <v>294</v>
      </c>
      <c r="U56" s="6">
        <v>42125.445231481484</v>
      </c>
      <c r="V56" t="s">
        <v>18</v>
      </c>
      <c r="W56" t="s">
        <v>17</v>
      </c>
      <c r="X56" s="6">
        <v>41879.830439814818</v>
      </c>
      <c r="Y56" t="s">
        <v>122</v>
      </c>
      <c r="AB56" t="s">
        <v>200</v>
      </c>
      <c r="AC56" t="s">
        <v>121</v>
      </c>
      <c r="AD56" t="s">
        <v>222</v>
      </c>
      <c r="AE56" t="s">
        <v>221</v>
      </c>
      <c r="AG56" t="s">
        <v>121</v>
      </c>
      <c r="AH56" t="s">
        <v>327</v>
      </c>
      <c r="AI56" t="s">
        <v>121</v>
      </c>
      <c r="AJ56" t="s">
        <v>716</v>
      </c>
      <c r="AK56" t="s">
        <v>121</v>
      </c>
    </row>
    <row r="57" spans="2:37" x14ac:dyDescent="0.3">
      <c r="B57">
        <f ca="1">COUNTIFS(INDIRECT(A74&amp;A67):INDIRECT(A74&amp;A66),  "&gt;=120", INDIRECT(A74&amp;A67):INDIRECT(A74&amp;A66),"&lt;150")</f>
        <v>0</v>
      </c>
      <c r="C57" t="s">
        <v>84</v>
      </c>
      <c r="E57">
        <f ca="1">COUNTIFS(INDIRECT(A75&amp;A67):INDIRECT(A75&amp;A66),  "&gt;=120", INDIRECT(A75&amp;A67):INDIRECT(A75&amp;A66),"&lt;150")</f>
        <v>0</v>
      </c>
      <c r="I57">
        <f ca="1">IF(OR(INDIRECT(A73&amp;ROW())=B93,INDIRECT(A73&amp;ROW())=B94),1,IF(AND(INDIRECT(A73&amp;ROW())=B95,INDIRECT(A96&amp;ROW())=C93),1,IF(AND(INDIRECT(A73&amp;ROW())=B95,INDIRECT(A96&amp;ROW())=C94),1,0)))</f>
        <v>0</v>
      </c>
      <c r="J57">
        <f ca="1">IF(AND(INDIRECT(A73&amp;ROW())=B95,INDIRECT(A96&amp;ROW())=C95),1,IF(AND(INDIRECT(A73&amp;ROW())=B95,INDIRECT(A96&amp;ROW())=C96),1,0))</f>
        <v>0</v>
      </c>
      <c r="K57">
        <f ca="1">DAYS360(INDIRECT(C68&amp;ROW()),TODAY())</f>
        <v>721</v>
      </c>
      <c r="L57">
        <f ca="1">DAYS360(INDIRECT(C69&amp;ROW()),TODAY())</f>
        <v>964</v>
      </c>
      <c r="M57" s="11">
        <f ca="1">HYPERLINK(CONCATENATE("https://bugzilla.houston.hp.com:1181/bugzilla/show_bug.cgi?id=",INDIRECT(C70&amp;ROW())),INDIRECT(C70&amp;ROW()))</f>
        <v>49332</v>
      </c>
      <c r="N57">
        <v>49332</v>
      </c>
      <c r="O57" t="s">
        <v>49</v>
      </c>
      <c r="P57" t="s">
        <v>437</v>
      </c>
      <c r="Q57" t="s">
        <v>16</v>
      </c>
      <c r="R57" t="s">
        <v>251</v>
      </c>
      <c r="S57" t="s">
        <v>294</v>
      </c>
      <c r="U57" s="6">
        <v>42125.445173611108</v>
      </c>
      <c r="V57" t="s">
        <v>18</v>
      </c>
      <c r="W57" t="s">
        <v>17</v>
      </c>
      <c r="X57" s="6">
        <v>41879.843773148146</v>
      </c>
      <c r="Y57" t="s">
        <v>122</v>
      </c>
      <c r="AB57" t="s">
        <v>200</v>
      </c>
      <c r="AC57" t="s">
        <v>121</v>
      </c>
      <c r="AD57" t="s">
        <v>222</v>
      </c>
      <c r="AE57" t="s">
        <v>221</v>
      </c>
      <c r="AG57" t="s">
        <v>121</v>
      </c>
      <c r="AH57" t="s">
        <v>327</v>
      </c>
      <c r="AI57" t="s">
        <v>121</v>
      </c>
      <c r="AJ57" t="s">
        <v>716</v>
      </c>
      <c r="AK57" t="s">
        <v>121</v>
      </c>
    </row>
    <row r="58" spans="2:37" x14ac:dyDescent="0.3">
      <c r="B58">
        <f ca="1">COUNTIFS(INDIRECT(A74&amp;A67):INDIRECT(A74&amp;A66),  "&gt;=150")</f>
        <v>684</v>
      </c>
      <c r="C58" t="s">
        <v>85</v>
      </c>
      <c r="E58">
        <f ca="1">COUNTIFS(INDIRECT(A75&amp;A67):INDIRECT(A75&amp;A66),  "&gt;=150")</f>
        <v>684</v>
      </c>
      <c r="I58">
        <f ca="1">IF(OR(INDIRECT(A73&amp;ROW())=B93,INDIRECT(A73&amp;ROW())=B94),1,IF(AND(INDIRECT(A73&amp;ROW())=B95,INDIRECT(A96&amp;ROW())=C93),1,IF(AND(INDIRECT(A73&amp;ROW())=B95,INDIRECT(A96&amp;ROW())=C94),1,0)))</f>
        <v>0</v>
      </c>
      <c r="J58">
        <f ca="1">IF(AND(INDIRECT(A73&amp;ROW())=B95,INDIRECT(A96&amp;ROW())=C95),1,IF(AND(INDIRECT(A73&amp;ROW())=B95,INDIRECT(A96&amp;ROW())=C96),1,0))</f>
        <v>0</v>
      </c>
      <c r="K58">
        <f ca="1">DAYS360(INDIRECT(C68&amp;ROW()),TODAY())</f>
        <v>721</v>
      </c>
      <c r="L58">
        <f ca="1">DAYS360(INDIRECT(C69&amp;ROW()),TODAY())</f>
        <v>961</v>
      </c>
      <c r="M58" s="11">
        <f ca="1">HYPERLINK(CONCATENATE("https://bugzilla.houston.hp.com:1181/bugzilla/show_bug.cgi?id=",INDIRECT(C70&amp;ROW())),INDIRECT(C70&amp;ROW()))</f>
        <v>49412</v>
      </c>
      <c r="N58">
        <v>49412</v>
      </c>
      <c r="O58" t="s">
        <v>53</v>
      </c>
      <c r="P58" t="s">
        <v>695</v>
      </c>
      <c r="Q58" t="s">
        <v>16</v>
      </c>
      <c r="R58" t="s">
        <v>251</v>
      </c>
      <c r="S58" t="s">
        <v>43</v>
      </c>
      <c r="U58" s="6">
        <v>42125.445277777777</v>
      </c>
      <c r="V58" t="s">
        <v>18</v>
      </c>
      <c r="W58" t="s">
        <v>17</v>
      </c>
      <c r="X58" s="6">
        <v>41883.474710648145</v>
      </c>
      <c r="Y58" t="s">
        <v>122</v>
      </c>
      <c r="AB58" t="s">
        <v>200</v>
      </c>
      <c r="AC58" t="s">
        <v>121</v>
      </c>
      <c r="AD58" t="s">
        <v>220</v>
      </c>
      <c r="AE58" t="s">
        <v>219</v>
      </c>
      <c r="AG58" t="s">
        <v>121</v>
      </c>
      <c r="AH58" t="s">
        <v>327</v>
      </c>
      <c r="AI58" t="s">
        <v>121</v>
      </c>
      <c r="AJ58" t="s">
        <v>716</v>
      </c>
      <c r="AK58" t="s">
        <v>121</v>
      </c>
    </row>
    <row r="59" spans="2:37" x14ac:dyDescent="0.3">
      <c r="B59">
        <f ca="1">SUM(B53:B58)</f>
        <v>684</v>
      </c>
      <c r="E59">
        <f ca="1">SUM(E53:E58)</f>
        <v>684</v>
      </c>
      <c r="I59">
        <f ca="1">IF(OR(INDIRECT(A73&amp;ROW())=B93,INDIRECT(A73&amp;ROW())=B94),1,IF(AND(INDIRECT(A73&amp;ROW())=B95,INDIRECT(A96&amp;ROW())=C93),1,IF(AND(INDIRECT(A73&amp;ROW())=B95,INDIRECT(A96&amp;ROW())=C94),1,0)))</f>
        <v>0</v>
      </c>
      <c r="J59">
        <f ca="1">IF(AND(INDIRECT(A73&amp;ROW())=B95,INDIRECT(A96&amp;ROW())=C95),1,IF(AND(INDIRECT(A73&amp;ROW())=B95,INDIRECT(A96&amp;ROW())=C96),1,0))</f>
        <v>0</v>
      </c>
      <c r="K59">
        <f ca="1">DAYS360(INDIRECT(C68&amp;ROW()),TODAY())</f>
        <v>721</v>
      </c>
      <c r="L59">
        <f ca="1">DAYS360(INDIRECT(C69&amp;ROW()),TODAY())</f>
        <v>959</v>
      </c>
      <c r="M59" s="11">
        <f ca="1">HYPERLINK(CONCATENATE("https://bugzilla.houston.hp.com:1181/bugzilla/show_bug.cgi?id=",INDIRECT(C70&amp;ROW())),INDIRECT(C70&amp;ROW()))</f>
        <v>49537</v>
      </c>
      <c r="N59">
        <v>49537</v>
      </c>
      <c r="O59" t="s">
        <v>22</v>
      </c>
      <c r="P59" t="s">
        <v>694</v>
      </c>
      <c r="Q59" t="s">
        <v>16</v>
      </c>
      <c r="R59" t="s">
        <v>251</v>
      </c>
      <c r="S59" t="s">
        <v>21</v>
      </c>
      <c r="U59" s="6">
        <v>42125.445138888892</v>
      </c>
      <c r="V59" t="s">
        <v>18</v>
      </c>
      <c r="W59" t="s">
        <v>17</v>
      </c>
      <c r="X59" s="6">
        <v>41885.440613425926</v>
      </c>
      <c r="Y59" t="s">
        <v>122</v>
      </c>
      <c r="AB59" t="s">
        <v>200</v>
      </c>
      <c r="AC59" t="s">
        <v>121</v>
      </c>
      <c r="AD59" t="s">
        <v>227</v>
      </c>
      <c r="AE59" t="s">
        <v>226</v>
      </c>
      <c r="AG59" t="s">
        <v>121</v>
      </c>
      <c r="AH59" t="s">
        <v>64</v>
      </c>
      <c r="AI59" t="s">
        <v>121</v>
      </c>
      <c r="AJ59" t="s">
        <v>716</v>
      </c>
      <c r="AK59" t="s">
        <v>121</v>
      </c>
    </row>
    <row r="60" spans="2:37" x14ac:dyDescent="0.3">
      <c r="I60">
        <f ca="1">IF(OR(INDIRECT(A73&amp;ROW())=B93,INDIRECT(A73&amp;ROW())=B94),1,IF(AND(INDIRECT(A73&amp;ROW())=B95,INDIRECT(A96&amp;ROW())=C93),1,IF(AND(INDIRECT(A73&amp;ROW())=B95,INDIRECT(A96&amp;ROW())=C94),1,0)))</f>
        <v>0</v>
      </c>
      <c r="J60">
        <f ca="1">IF(AND(INDIRECT(A73&amp;ROW())=B95,INDIRECT(A96&amp;ROW())=C95),1,IF(AND(INDIRECT(A73&amp;ROW())=B95,INDIRECT(A96&amp;ROW())=C96),1,0))</f>
        <v>0</v>
      </c>
      <c r="K60">
        <f ca="1">DAYS360(INDIRECT(C68&amp;ROW()),TODAY())</f>
        <v>721</v>
      </c>
      <c r="L60">
        <f ca="1">DAYS360(INDIRECT(C69&amp;ROW()),TODAY())</f>
        <v>954</v>
      </c>
      <c r="M60" s="11">
        <f ca="1">HYPERLINK(CONCATENATE("https://bugzilla.houston.hp.com:1181/bugzilla/show_bug.cgi?id=",INDIRECT(C70&amp;ROW())),INDIRECT(C70&amp;ROW()))</f>
        <v>49712</v>
      </c>
      <c r="N60">
        <v>49712</v>
      </c>
      <c r="O60" t="s">
        <v>88</v>
      </c>
      <c r="P60" t="s">
        <v>693</v>
      </c>
      <c r="Q60" t="s">
        <v>16</v>
      </c>
      <c r="R60" t="s">
        <v>251</v>
      </c>
      <c r="S60" t="s">
        <v>315</v>
      </c>
      <c r="U60" s="6">
        <v>42125.446435185186</v>
      </c>
      <c r="V60" t="s">
        <v>18</v>
      </c>
      <c r="W60" t="s">
        <v>17</v>
      </c>
      <c r="X60" s="6">
        <v>41890.225023148145</v>
      </c>
      <c r="Y60" t="s">
        <v>122</v>
      </c>
      <c r="AA60" t="s">
        <v>184</v>
      </c>
      <c r="AB60" t="s">
        <v>200</v>
      </c>
      <c r="AC60" t="s">
        <v>121</v>
      </c>
      <c r="AD60" t="s">
        <v>220</v>
      </c>
      <c r="AE60" t="s">
        <v>219</v>
      </c>
      <c r="AG60" t="s">
        <v>121</v>
      </c>
      <c r="AH60" t="s">
        <v>64</v>
      </c>
      <c r="AI60" t="s">
        <v>121</v>
      </c>
      <c r="AJ60" t="s">
        <v>716</v>
      </c>
      <c r="AK60" t="s">
        <v>121</v>
      </c>
    </row>
    <row r="61" spans="2:37" x14ac:dyDescent="0.3">
      <c r="B61" s="14">
        <f ca="1">AVERAGE(INDIRECT(A74&amp;A67):INDIRECT(A74&amp;A66))</f>
        <v>716.80847953216369</v>
      </c>
      <c r="C61" t="s">
        <v>91</v>
      </c>
      <c r="E61" s="14">
        <f ca="1">AVERAGE(INDIRECT(A75&amp;A67):INDIRECT(A75&amp;A66))</f>
        <v>805.8260233918129</v>
      </c>
      <c r="I61">
        <f ca="1">IF(OR(INDIRECT(A73&amp;ROW())=B93,INDIRECT(A73&amp;ROW())=B94),1,IF(AND(INDIRECT(A73&amp;ROW())=B95,INDIRECT(A96&amp;ROW())=C93),1,IF(AND(INDIRECT(A73&amp;ROW())=B95,INDIRECT(A96&amp;ROW())=C94),1,0)))</f>
        <v>0</v>
      </c>
      <c r="J61">
        <f ca="1">IF(AND(INDIRECT(A73&amp;ROW())=B95,INDIRECT(A96&amp;ROW())=C95),1,IF(AND(INDIRECT(A73&amp;ROW())=B95,INDIRECT(A96&amp;ROW())=C96),1,0))</f>
        <v>0</v>
      </c>
      <c r="K61">
        <f ca="1">DAYS360(INDIRECT(C68&amp;ROW()),TODAY())</f>
        <v>721</v>
      </c>
      <c r="L61">
        <f ca="1">DAYS360(INDIRECT(C69&amp;ROW()),TODAY())</f>
        <v>954</v>
      </c>
      <c r="M61" s="11">
        <f ca="1">HYPERLINK(CONCATENATE("https://bugzilla.houston.hp.com:1181/bugzilla/show_bug.cgi?id=",INDIRECT(C70&amp;ROW())),INDIRECT(C70&amp;ROW()))</f>
        <v>49732</v>
      </c>
      <c r="N61">
        <v>49732</v>
      </c>
      <c r="O61" t="s">
        <v>45</v>
      </c>
      <c r="P61" t="s">
        <v>474</v>
      </c>
      <c r="Q61" t="s">
        <v>16</v>
      </c>
      <c r="R61" t="s">
        <v>251</v>
      </c>
      <c r="S61" t="s">
        <v>191</v>
      </c>
      <c r="U61" s="6">
        <v>42125.649328703701</v>
      </c>
      <c r="V61" t="s">
        <v>35</v>
      </c>
      <c r="W61" t="s">
        <v>17</v>
      </c>
      <c r="X61" s="6">
        <v>41890.332835648151</v>
      </c>
      <c r="Y61" t="s">
        <v>245</v>
      </c>
      <c r="Z61" t="s">
        <v>245</v>
      </c>
      <c r="AB61" t="s">
        <v>201</v>
      </c>
      <c r="AC61" t="s">
        <v>121</v>
      </c>
      <c r="AD61" t="s">
        <v>227</v>
      </c>
      <c r="AE61" t="s">
        <v>231</v>
      </c>
      <c r="AG61" t="s">
        <v>121</v>
      </c>
      <c r="AH61" t="s">
        <v>327</v>
      </c>
      <c r="AI61" t="s">
        <v>121</v>
      </c>
      <c r="AJ61" t="s">
        <v>717</v>
      </c>
      <c r="AK61" t="s">
        <v>121</v>
      </c>
    </row>
    <row r="62" spans="2:37" x14ac:dyDescent="0.3">
      <c r="I62">
        <f ca="1">IF(OR(INDIRECT(A73&amp;ROW())=B93,INDIRECT(A73&amp;ROW())=B94),1,IF(AND(INDIRECT(A73&amp;ROW())=B95,INDIRECT(A96&amp;ROW())=C93),1,IF(AND(INDIRECT(A73&amp;ROW())=B95,INDIRECT(A96&amp;ROW())=C94),1,0)))</f>
        <v>0</v>
      </c>
      <c r="J62">
        <f ca="1">IF(AND(INDIRECT(A73&amp;ROW())=B95,INDIRECT(A96&amp;ROW())=C95),1,IF(AND(INDIRECT(A73&amp;ROW())=B95,INDIRECT(A96&amp;ROW())=C96),1,0))</f>
        <v>1</v>
      </c>
      <c r="K62">
        <f ca="1">DAYS360(INDIRECT(C68&amp;ROW()),TODAY())</f>
        <v>730</v>
      </c>
      <c r="L62">
        <f ca="1">DAYS360(INDIRECT(C69&amp;ROW()),TODAY())</f>
        <v>954</v>
      </c>
      <c r="M62" s="11">
        <f ca="1">HYPERLINK(CONCATENATE("https://bugzilla.houston.hp.com:1181/bugzilla/show_bug.cgi?id=",INDIRECT(C70&amp;ROW())),INDIRECT(C70&amp;ROW()))</f>
        <v>49740</v>
      </c>
      <c r="N62">
        <v>49740</v>
      </c>
      <c r="O62" t="s">
        <v>56</v>
      </c>
      <c r="P62" t="s">
        <v>473</v>
      </c>
      <c r="Q62" t="s">
        <v>25</v>
      </c>
      <c r="R62" t="s">
        <v>251</v>
      </c>
      <c r="S62" t="s">
        <v>41</v>
      </c>
      <c r="U62" s="6">
        <v>42116.540243055555</v>
      </c>
      <c r="V62" t="s">
        <v>35</v>
      </c>
      <c r="W62" t="s">
        <v>17</v>
      </c>
      <c r="X62" s="6">
        <v>41890.400462962964</v>
      </c>
      <c r="Y62" t="s">
        <v>119</v>
      </c>
      <c r="AB62" t="s">
        <v>201</v>
      </c>
      <c r="AC62" t="s">
        <v>121</v>
      </c>
      <c r="AD62" t="s">
        <v>220</v>
      </c>
      <c r="AE62" t="s">
        <v>219</v>
      </c>
      <c r="AF62" s="13">
        <v>41901</v>
      </c>
      <c r="AG62" t="s">
        <v>121</v>
      </c>
      <c r="AH62" t="s">
        <v>64</v>
      </c>
      <c r="AI62" t="s">
        <v>121</v>
      </c>
      <c r="AJ62" t="s">
        <v>717</v>
      </c>
      <c r="AK62" t="s">
        <v>121</v>
      </c>
    </row>
    <row r="63" spans="2:37" x14ac:dyDescent="0.3">
      <c r="I63">
        <f ca="1">IF(OR(INDIRECT(A73&amp;ROW())=B93,INDIRECT(A73&amp;ROW())=B94),1,IF(AND(INDIRECT(A73&amp;ROW())=B95,INDIRECT(A96&amp;ROW())=C93),1,IF(AND(INDIRECT(A73&amp;ROW())=B95,INDIRECT(A96&amp;ROW())=C94),1,0)))</f>
        <v>0</v>
      </c>
      <c r="J63">
        <f ca="1">IF(AND(INDIRECT(A73&amp;ROW())=B95,INDIRECT(A96&amp;ROW())=C95),1,IF(AND(INDIRECT(A73&amp;ROW())=B95,INDIRECT(A96&amp;ROW())=C96),1,0))</f>
        <v>1</v>
      </c>
      <c r="K63">
        <f ca="1">DAYS360(INDIRECT(C68&amp;ROW()),TODAY())</f>
        <v>682</v>
      </c>
      <c r="L63">
        <f ca="1">DAYS360(INDIRECT(C69&amp;ROW()),TODAY())</f>
        <v>954</v>
      </c>
      <c r="M63" s="11">
        <f ca="1">HYPERLINK(CONCATENATE("https://bugzilla.houston.hp.com:1181/bugzilla/show_bug.cgi?id=",INDIRECT(C70&amp;ROW())),INDIRECT(C70&amp;ROW()))</f>
        <v>49746</v>
      </c>
      <c r="N63">
        <v>49746</v>
      </c>
      <c r="O63" t="s">
        <v>66</v>
      </c>
      <c r="P63" t="s">
        <v>692</v>
      </c>
      <c r="Q63" t="s">
        <v>25</v>
      </c>
      <c r="R63" t="s">
        <v>251</v>
      </c>
      <c r="S63" t="s">
        <v>41</v>
      </c>
      <c r="U63" s="6">
        <v>42165.555185185185</v>
      </c>
      <c r="V63" t="s">
        <v>35</v>
      </c>
      <c r="W63" t="s">
        <v>17</v>
      </c>
      <c r="X63" s="6">
        <v>41890.412164351852</v>
      </c>
      <c r="Y63" t="s">
        <v>119</v>
      </c>
      <c r="AB63" t="s">
        <v>201</v>
      </c>
      <c r="AC63" t="s">
        <v>121</v>
      </c>
      <c r="AD63" t="s">
        <v>220</v>
      </c>
      <c r="AE63" t="s">
        <v>219</v>
      </c>
      <c r="AF63" s="13">
        <v>41901</v>
      </c>
      <c r="AG63" t="s">
        <v>121</v>
      </c>
      <c r="AH63" t="s">
        <v>327</v>
      </c>
      <c r="AI63" t="s">
        <v>121</v>
      </c>
      <c r="AJ63" t="s">
        <v>716</v>
      </c>
      <c r="AK63" t="s">
        <v>121</v>
      </c>
    </row>
    <row r="64" spans="2:37" x14ac:dyDescent="0.3">
      <c r="B64" s="11" t="s">
        <v>175</v>
      </c>
      <c r="I64">
        <f ca="1">IF(OR(INDIRECT(A73&amp;ROW())=B93,INDIRECT(A73&amp;ROW())=B94),1,IF(AND(INDIRECT(A73&amp;ROW())=B95,INDIRECT(A96&amp;ROW())=C93),1,IF(AND(INDIRECT(A73&amp;ROW())=B95,INDIRECT(A96&amp;ROW())=C94),1,0)))</f>
        <v>0</v>
      </c>
      <c r="J64">
        <f ca="1">IF(AND(INDIRECT(A73&amp;ROW())=B95,INDIRECT(A96&amp;ROW())=C95),1,IF(AND(INDIRECT(A73&amp;ROW())=B95,INDIRECT(A96&amp;ROW())=C96),1,0))</f>
        <v>0</v>
      </c>
      <c r="K64">
        <f ca="1">DAYS360(INDIRECT(C68&amp;ROW()),TODAY())</f>
        <v>728</v>
      </c>
      <c r="L64">
        <f ca="1">DAYS360(INDIRECT(C69&amp;ROW()),TODAY())</f>
        <v>951</v>
      </c>
      <c r="M64" s="11">
        <f ca="1">HYPERLINK(CONCATENATE("https://bugzilla.houston.hp.com:1181/bugzilla/show_bug.cgi?id=",INDIRECT(C70&amp;ROW())),INDIRECT(C70&amp;ROW()))</f>
        <v>49957</v>
      </c>
      <c r="N64">
        <v>49957</v>
      </c>
      <c r="O64" t="s">
        <v>56</v>
      </c>
      <c r="P64" t="s">
        <v>436</v>
      </c>
      <c r="Q64" t="s">
        <v>16</v>
      </c>
      <c r="R64" t="s">
        <v>251</v>
      </c>
      <c r="S64" t="s">
        <v>43</v>
      </c>
      <c r="U64" s="6">
        <v>42118.560312499998</v>
      </c>
      <c r="V64" t="s">
        <v>18</v>
      </c>
      <c r="W64" t="s">
        <v>17</v>
      </c>
      <c r="X64" s="6">
        <v>41893.406828703701</v>
      </c>
      <c r="Y64" t="s">
        <v>122</v>
      </c>
      <c r="AB64" t="s">
        <v>201</v>
      </c>
      <c r="AC64" t="s">
        <v>247</v>
      </c>
      <c r="AD64" t="s">
        <v>220</v>
      </c>
      <c r="AE64" t="s">
        <v>219</v>
      </c>
      <c r="AG64" t="s">
        <v>121</v>
      </c>
      <c r="AH64" t="s">
        <v>64</v>
      </c>
      <c r="AI64" t="s">
        <v>121</v>
      </c>
      <c r="AJ64" t="s">
        <v>717</v>
      </c>
      <c r="AK64" t="s">
        <v>121</v>
      </c>
    </row>
    <row r="65" spans="1:37" x14ac:dyDescent="0.3">
      <c r="I65">
        <f ca="1">IF(OR(INDIRECT(A73&amp;ROW())=B93,INDIRECT(A73&amp;ROW())=B94),1,IF(AND(INDIRECT(A73&amp;ROW())=B95,INDIRECT(A96&amp;ROW())=C93),1,IF(AND(INDIRECT(A73&amp;ROW())=B95,INDIRECT(A96&amp;ROW())=C94),1,0)))</f>
        <v>0</v>
      </c>
      <c r="J65">
        <f ca="1">IF(AND(INDIRECT(A73&amp;ROW())=B95,INDIRECT(A96&amp;ROW())=C95),1,IF(AND(INDIRECT(A73&amp;ROW())=B95,INDIRECT(A96&amp;ROW())=C96),1,0))</f>
        <v>0</v>
      </c>
      <c r="K65">
        <f ca="1">DAYS360(INDIRECT(C68&amp;ROW()),TODAY())</f>
        <v>728</v>
      </c>
      <c r="L65">
        <f ca="1">DAYS360(INDIRECT(C69&amp;ROW()),TODAY())</f>
        <v>951</v>
      </c>
      <c r="M65" s="11">
        <f ca="1">HYPERLINK(CONCATENATE("https://bugzilla.houston.hp.com:1181/bugzilla/show_bug.cgi?id=",INDIRECT(C70&amp;ROW())),INDIRECT(C70&amp;ROW()))</f>
        <v>49964</v>
      </c>
      <c r="N65">
        <v>49964</v>
      </c>
      <c r="O65" t="s">
        <v>56</v>
      </c>
      <c r="P65" t="s">
        <v>435</v>
      </c>
      <c r="Q65" t="s">
        <v>16</v>
      </c>
      <c r="R65" t="s">
        <v>251</v>
      </c>
      <c r="S65" t="s">
        <v>43</v>
      </c>
      <c r="U65" s="6">
        <v>42118.559756944444</v>
      </c>
      <c r="V65" t="s">
        <v>18</v>
      </c>
      <c r="W65" t="s">
        <v>17</v>
      </c>
      <c r="X65" s="6">
        <v>41893.488923611112</v>
      </c>
      <c r="Y65" t="s">
        <v>122</v>
      </c>
      <c r="AB65" t="s">
        <v>201</v>
      </c>
      <c r="AC65" t="s">
        <v>247</v>
      </c>
      <c r="AD65" t="s">
        <v>220</v>
      </c>
      <c r="AE65" t="s">
        <v>219</v>
      </c>
      <c r="AG65" t="s">
        <v>121</v>
      </c>
      <c r="AH65" t="s">
        <v>327</v>
      </c>
      <c r="AI65" t="s">
        <v>121</v>
      </c>
      <c r="AJ65" t="s">
        <v>717</v>
      </c>
      <c r="AK65" t="s">
        <v>121</v>
      </c>
    </row>
    <row r="66" spans="1:37" x14ac:dyDescent="0.3">
      <c r="A66">
        <f>COUNTA(P1:P800)</f>
        <v>685</v>
      </c>
      <c r="B66" t="s">
        <v>110</v>
      </c>
      <c r="I66">
        <f ca="1">IF(OR(INDIRECT(A73&amp;ROW())=B93,INDIRECT(A73&amp;ROW())=B94),1,IF(AND(INDIRECT(A73&amp;ROW())=B95,INDIRECT(A96&amp;ROW())=C93),1,IF(AND(INDIRECT(A73&amp;ROW())=B95,INDIRECT(A96&amp;ROW())=C94),1,0)))</f>
        <v>0</v>
      </c>
      <c r="J66">
        <f ca="1">IF(AND(INDIRECT(A73&amp;ROW())=B95,INDIRECT(A96&amp;ROW())=C95),1,IF(AND(INDIRECT(A73&amp;ROW())=B95,INDIRECT(A96&amp;ROW())=C96),1,0))</f>
        <v>0</v>
      </c>
      <c r="K66">
        <f ca="1">DAYS360(INDIRECT(C68&amp;ROW()),TODAY())</f>
        <v>721</v>
      </c>
      <c r="L66">
        <f ca="1">DAYS360(INDIRECT(C69&amp;ROW()),TODAY())</f>
        <v>950</v>
      </c>
      <c r="M66" s="11">
        <f ca="1">HYPERLINK(CONCATENATE("https://bugzilla.houston.hp.com:1181/bugzilla/show_bug.cgi?id=",INDIRECT(C70&amp;ROW())),INDIRECT(C70&amp;ROW()))</f>
        <v>50012</v>
      </c>
      <c r="N66">
        <v>50012</v>
      </c>
      <c r="O66" t="s">
        <v>42</v>
      </c>
      <c r="P66" t="s">
        <v>691</v>
      </c>
      <c r="Q66" t="s">
        <v>16</v>
      </c>
      <c r="R66" t="s">
        <v>251</v>
      </c>
      <c r="S66" t="s">
        <v>68</v>
      </c>
      <c r="U66" s="6">
        <v>42125.446493055555</v>
      </c>
      <c r="V66" t="s">
        <v>35</v>
      </c>
      <c r="W66" t="s">
        <v>17</v>
      </c>
      <c r="X66" s="6">
        <v>41894.224282407406</v>
      </c>
      <c r="Y66" t="s">
        <v>122</v>
      </c>
      <c r="AB66" t="s">
        <v>200</v>
      </c>
      <c r="AC66" t="s">
        <v>247</v>
      </c>
      <c r="AD66" t="s">
        <v>220</v>
      </c>
      <c r="AE66" t="s">
        <v>219</v>
      </c>
      <c r="AF66" s="13">
        <v>41904</v>
      </c>
      <c r="AG66" t="s">
        <v>121</v>
      </c>
      <c r="AH66" t="s">
        <v>64</v>
      </c>
      <c r="AI66" t="s">
        <v>121</v>
      </c>
      <c r="AJ66" t="s">
        <v>716</v>
      </c>
      <c r="AK66" t="s">
        <v>121</v>
      </c>
    </row>
    <row r="67" spans="1:37" x14ac:dyDescent="0.3">
      <c r="A67">
        <v>2</v>
      </c>
      <c r="B67" t="s">
        <v>111</v>
      </c>
      <c r="I67">
        <f ca="1">IF(OR(INDIRECT(A73&amp;ROW())=B93,INDIRECT(A73&amp;ROW())=B94),1,IF(AND(INDIRECT(A73&amp;ROW())=B95,INDIRECT(A96&amp;ROW())=C93),1,IF(AND(INDIRECT(A73&amp;ROW())=B95,INDIRECT(A96&amp;ROW())=C94),1,0)))</f>
        <v>0</v>
      </c>
      <c r="J67">
        <f ca="1">IF(AND(INDIRECT(A73&amp;ROW())=B95,INDIRECT(A96&amp;ROW())=C95),1,IF(AND(INDIRECT(A73&amp;ROW())=B95,INDIRECT(A96&amp;ROW())=C96),1,0))</f>
        <v>0</v>
      </c>
      <c r="K67">
        <f ca="1">DAYS360(INDIRECT(C68&amp;ROW()),TODAY())</f>
        <v>710</v>
      </c>
      <c r="L67">
        <f ca="1">DAYS360(INDIRECT(C69&amp;ROW()),TODAY())</f>
        <v>947</v>
      </c>
      <c r="M67" s="11">
        <f ca="1">HYPERLINK(CONCATENATE("https://bugzilla.houston.hp.com:1181/bugzilla/show_bug.cgi?id=",INDIRECT(C70&amp;ROW())),INDIRECT(C70&amp;ROW()))</f>
        <v>50105</v>
      </c>
      <c r="N67">
        <v>50105</v>
      </c>
      <c r="O67" t="s">
        <v>66</v>
      </c>
      <c r="P67" t="s">
        <v>1052</v>
      </c>
      <c r="Q67" t="s">
        <v>16</v>
      </c>
      <c r="R67" t="s">
        <v>251</v>
      </c>
      <c r="S67" t="s">
        <v>66</v>
      </c>
      <c r="U67" s="6">
        <v>42136.646921296298</v>
      </c>
      <c r="V67" t="s">
        <v>18</v>
      </c>
      <c r="W67" t="s">
        <v>17</v>
      </c>
      <c r="X67" s="6">
        <v>41897.447847222225</v>
      </c>
      <c r="Y67" t="s">
        <v>122</v>
      </c>
      <c r="AB67" t="s">
        <v>201</v>
      </c>
      <c r="AC67" t="s">
        <v>247</v>
      </c>
      <c r="AD67" t="s">
        <v>220</v>
      </c>
      <c r="AE67" t="s">
        <v>290</v>
      </c>
      <c r="AG67" t="s">
        <v>121</v>
      </c>
      <c r="AH67" t="s">
        <v>1029</v>
      </c>
      <c r="AI67" t="s">
        <v>121</v>
      </c>
      <c r="AJ67" t="s">
        <v>717</v>
      </c>
      <c r="AK67" t="s">
        <v>121</v>
      </c>
    </row>
    <row r="68" spans="1:37" x14ac:dyDescent="0.3">
      <c r="A68" t="s">
        <v>112</v>
      </c>
      <c r="B68" t="s">
        <v>103</v>
      </c>
      <c r="C68" t="s">
        <v>97</v>
      </c>
      <c r="D68" t="s">
        <v>276</v>
      </c>
      <c r="I68">
        <f ca="1">IF(OR(INDIRECT(A73&amp;ROW())=B93,INDIRECT(A73&amp;ROW())=B94),1,IF(AND(INDIRECT(A73&amp;ROW())=B95,INDIRECT(A96&amp;ROW())=C93),1,IF(AND(INDIRECT(A73&amp;ROW())=B95,INDIRECT(A96&amp;ROW())=C94),1,0)))</f>
        <v>0</v>
      </c>
      <c r="J68">
        <f ca="1">IF(AND(INDIRECT(A73&amp;ROW())=B95,INDIRECT(A96&amp;ROW())=C95),1,IF(AND(INDIRECT(A73&amp;ROW())=B95,INDIRECT(A96&amp;ROW())=C96),1,0))</f>
        <v>0</v>
      </c>
      <c r="K68">
        <f ca="1">DAYS360(INDIRECT(C68&amp;ROW()),TODAY())</f>
        <v>688</v>
      </c>
      <c r="L68">
        <f ca="1">DAYS360(INDIRECT(C69&amp;ROW()),TODAY())</f>
        <v>946</v>
      </c>
      <c r="M68" s="11">
        <f ca="1">HYPERLINK(CONCATENATE("https://bugzilla.houston.hp.com:1181/bugzilla/show_bug.cgi?id=",INDIRECT(C70&amp;ROW())),INDIRECT(C70&amp;ROW()))</f>
        <v>50187</v>
      </c>
      <c r="N68">
        <v>50187</v>
      </c>
      <c r="O68" t="s">
        <v>56</v>
      </c>
      <c r="P68" t="s">
        <v>690</v>
      </c>
      <c r="Q68" t="s">
        <v>16</v>
      </c>
      <c r="R68" t="s">
        <v>251</v>
      </c>
      <c r="S68" t="s">
        <v>53</v>
      </c>
      <c r="U68" s="6">
        <v>42159.577060185184</v>
      </c>
      <c r="V68" t="s">
        <v>18</v>
      </c>
      <c r="W68" t="s">
        <v>17</v>
      </c>
      <c r="X68" s="6">
        <v>41898.725266203706</v>
      </c>
      <c r="Y68" t="s">
        <v>793</v>
      </c>
      <c r="AB68" t="s">
        <v>201</v>
      </c>
      <c r="AC68" t="s">
        <v>247</v>
      </c>
      <c r="AD68" t="s">
        <v>220</v>
      </c>
      <c r="AE68" t="s">
        <v>219</v>
      </c>
      <c r="AG68" t="s">
        <v>121</v>
      </c>
      <c r="AH68" t="s">
        <v>64</v>
      </c>
      <c r="AI68" t="s">
        <v>121</v>
      </c>
      <c r="AJ68" t="s">
        <v>717</v>
      </c>
      <c r="AK68" t="s">
        <v>121</v>
      </c>
    </row>
    <row r="69" spans="1:37" x14ac:dyDescent="0.3">
      <c r="A69" t="s">
        <v>264</v>
      </c>
      <c r="B69" t="s">
        <v>104</v>
      </c>
      <c r="C69" t="s">
        <v>113</v>
      </c>
      <c r="D69" t="s">
        <v>277</v>
      </c>
      <c r="I69">
        <f ca="1">IF(OR(INDIRECT(A73&amp;ROW())=B93,INDIRECT(A73&amp;ROW())=B94),1,IF(AND(INDIRECT(A73&amp;ROW())=B95,INDIRECT(A96&amp;ROW())=C93),1,IF(AND(INDIRECT(A73&amp;ROW())=B95,INDIRECT(A96&amp;ROW())=C94),1,0)))</f>
        <v>0</v>
      </c>
      <c r="J69">
        <f ca="1">IF(AND(INDIRECT(A73&amp;ROW())=B95,INDIRECT(A96&amp;ROW())=C95),1,IF(AND(INDIRECT(A73&amp;ROW())=B95,INDIRECT(A96&amp;ROW())=C96),1,0))</f>
        <v>0</v>
      </c>
      <c r="K69">
        <f ca="1">DAYS360(INDIRECT(C68&amp;ROW()),TODAY())</f>
        <v>728</v>
      </c>
      <c r="L69">
        <f ca="1">DAYS360(INDIRECT(C69&amp;ROW()),TODAY())</f>
        <v>945</v>
      </c>
      <c r="M69" s="11">
        <f ca="1">HYPERLINK(CONCATENATE("https://bugzilla.houston.hp.com:1181/bugzilla/show_bug.cgi?id=",INDIRECT(C70&amp;ROW())),INDIRECT(C70&amp;ROW()))</f>
        <v>50237</v>
      </c>
      <c r="N69">
        <v>50237</v>
      </c>
      <c r="O69" t="s">
        <v>55</v>
      </c>
      <c r="P69" t="s">
        <v>689</v>
      </c>
      <c r="Q69" t="s">
        <v>16</v>
      </c>
      <c r="R69" t="s">
        <v>251</v>
      </c>
      <c r="S69" t="s">
        <v>55</v>
      </c>
      <c r="U69" s="6">
        <v>42118.560115740744</v>
      </c>
      <c r="V69" t="s">
        <v>18</v>
      </c>
      <c r="W69" t="s">
        <v>17</v>
      </c>
      <c r="X69" s="6">
        <v>41899.478541666664</v>
      </c>
      <c r="Y69" t="s">
        <v>122</v>
      </c>
      <c r="AB69" t="s">
        <v>201</v>
      </c>
      <c r="AC69" t="s">
        <v>247</v>
      </c>
      <c r="AD69" t="s">
        <v>220</v>
      </c>
      <c r="AE69" t="s">
        <v>219</v>
      </c>
      <c r="AG69" t="s">
        <v>121</v>
      </c>
      <c r="AH69" t="s">
        <v>64</v>
      </c>
      <c r="AI69" t="s">
        <v>121</v>
      </c>
      <c r="AJ69" t="s">
        <v>717</v>
      </c>
      <c r="AK69" t="s">
        <v>121</v>
      </c>
    </row>
    <row r="70" spans="1:37" x14ac:dyDescent="0.3">
      <c r="A70" t="s">
        <v>102</v>
      </c>
      <c r="B70" t="s">
        <v>78</v>
      </c>
      <c r="C70" t="s">
        <v>101</v>
      </c>
      <c r="D70" t="s">
        <v>356</v>
      </c>
      <c r="I70">
        <f ca="1">IF(OR(INDIRECT(A73&amp;ROW())=B93,INDIRECT(A73&amp;ROW())=B94),1,IF(AND(INDIRECT(A73&amp;ROW())=B95,INDIRECT(A96&amp;ROW())=C93),1,IF(AND(INDIRECT(A73&amp;ROW())=B95,INDIRECT(A96&amp;ROW())=C94),1,0)))</f>
        <v>0</v>
      </c>
      <c r="J70">
        <f ca="1">IF(AND(INDIRECT(A73&amp;ROW())=B95,INDIRECT(A96&amp;ROW())=C95),1,IF(AND(INDIRECT(A73&amp;ROW())=B95,INDIRECT(A96&amp;ROW())=C96),1,0))</f>
        <v>1</v>
      </c>
      <c r="K70">
        <f ca="1">DAYS360(INDIRECT(C68&amp;ROW()),TODAY())</f>
        <v>714</v>
      </c>
      <c r="L70">
        <f ca="1">DAYS360(INDIRECT(C69&amp;ROW()),TODAY())</f>
        <v>945</v>
      </c>
      <c r="M70" s="11">
        <f ca="1">HYPERLINK(CONCATENATE("https://bugzilla.houston.hp.com:1181/bugzilla/show_bug.cgi?id=",INDIRECT(C70&amp;ROW())),INDIRECT(C70&amp;ROW()))</f>
        <v>50242</v>
      </c>
      <c r="N70">
        <v>50242</v>
      </c>
      <c r="O70" t="s">
        <v>204</v>
      </c>
      <c r="P70" t="s">
        <v>472</v>
      </c>
      <c r="Q70" t="s">
        <v>25</v>
      </c>
      <c r="R70" t="s">
        <v>251</v>
      </c>
      <c r="S70" t="s">
        <v>31</v>
      </c>
      <c r="T70" t="s">
        <v>979</v>
      </c>
      <c r="U70" s="6">
        <v>42132.550069444442</v>
      </c>
      <c r="V70" t="s">
        <v>40</v>
      </c>
      <c r="W70" t="s">
        <v>17</v>
      </c>
      <c r="X70" s="6">
        <v>41899.569421296299</v>
      </c>
      <c r="Y70" t="s">
        <v>119</v>
      </c>
      <c r="AB70" t="s">
        <v>201</v>
      </c>
      <c r="AC70" t="s">
        <v>247</v>
      </c>
      <c r="AD70" t="s">
        <v>222</v>
      </c>
      <c r="AE70" t="s">
        <v>221</v>
      </c>
      <c r="AG70" t="s">
        <v>121</v>
      </c>
      <c r="AH70" t="s">
        <v>64</v>
      </c>
      <c r="AI70" t="s">
        <v>121</v>
      </c>
      <c r="AJ70" t="s">
        <v>716</v>
      </c>
      <c r="AK70" t="s">
        <v>121</v>
      </c>
    </row>
    <row r="71" spans="1:37" x14ac:dyDescent="0.3">
      <c r="A71" t="s">
        <v>348</v>
      </c>
      <c r="B71" t="s">
        <v>105</v>
      </c>
      <c r="I71">
        <f ca="1">IF(OR(INDIRECT(A73&amp;ROW())=B93,INDIRECT(A73&amp;ROW())=B94),1,IF(AND(INDIRECT(A73&amp;ROW())=B95,INDIRECT(A96&amp;ROW())=C93),1,IF(AND(INDIRECT(A73&amp;ROW())=B95,INDIRECT(A96&amp;ROW())=C94),1,0)))</f>
        <v>0</v>
      </c>
      <c r="J71">
        <f ca="1">IF(AND(INDIRECT(A73&amp;ROW())=B95,INDIRECT(A96&amp;ROW())=C95),1,IF(AND(INDIRECT(A73&amp;ROW())=B95,INDIRECT(A96&amp;ROW())=C96),1,0))</f>
        <v>0</v>
      </c>
      <c r="K71">
        <f ca="1">DAYS360(INDIRECT(C68&amp;ROW()),TODAY())</f>
        <v>728</v>
      </c>
      <c r="L71">
        <f ca="1">DAYS360(INDIRECT(C69&amp;ROW()),TODAY())</f>
        <v>940</v>
      </c>
      <c r="M71" s="11">
        <f ca="1">HYPERLINK(CONCATENATE("https://bugzilla.houston.hp.com:1181/bugzilla/show_bug.cgi?id=",INDIRECT(C70&amp;ROW())),INDIRECT(C70&amp;ROW()))</f>
        <v>50432</v>
      </c>
      <c r="N71">
        <v>50432</v>
      </c>
      <c r="O71" t="s">
        <v>56</v>
      </c>
      <c r="P71" t="s">
        <v>688</v>
      </c>
      <c r="Q71" t="s">
        <v>16</v>
      </c>
      <c r="R71" t="s">
        <v>251</v>
      </c>
      <c r="S71" t="s">
        <v>330</v>
      </c>
      <c r="U71" s="6">
        <v>42118.521851851852</v>
      </c>
      <c r="V71" t="s">
        <v>18</v>
      </c>
      <c r="W71" t="s">
        <v>17</v>
      </c>
      <c r="X71" s="6">
        <v>41904.840578703705</v>
      </c>
      <c r="Y71" t="s">
        <v>787</v>
      </c>
      <c r="AB71" t="s">
        <v>201</v>
      </c>
      <c r="AC71" t="s">
        <v>247</v>
      </c>
      <c r="AD71" t="s">
        <v>220</v>
      </c>
      <c r="AE71" t="s">
        <v>219</v>
      </c>
      <c r="AG71" t="s">
        <v>121</v>
      </c>
      <c r="AH71" t="s">
        <v>327</v>
      </c>
      <c r="AI71" t="s">
        <v>121</v>
      </c>
      <c r="AJ71" t="s">
        <v>717</v>
      </c>
      <c r="AK71" t="s">
        <v>121</v>
      </c>
    </row>
    <row r="72" spans="1:37" x14ac:dyDescent="0.3">
      <c r="A72" t="s">
        <v>100</v>
      </c>
      <c r="B72" t="s">
        <v>106</v>
      </c>
      <c r="I72">
        <f ca="1">IF(OR(INDIRECT(A73&amp;ROW())=B93,INDIRECT(A73&amp;ROW())=B94),1,IF(AND(INDIRECT(A73&amp;ROW())=B95,INDIRECT(A96&amp;ROW())=C93),1,IF(AND(INDIRECT(A73&amp;ROW())=B95,INDIRECT(A96&amp;ROW())=C94),1,0)))</f>
        <v>1</v>
      </c>
      <c r="J72">
        <f ca="1">IF(AND(INDIRECT(A73&amp;ROW())=B95,INDIRECT(A96&amp;ROW())=C95),1,IF(AND(INDIRECT(A73&amp;ROW())=B95,INDIRECT(A96&amp;ROW())=C96),1,0))</f>
        <v>0</v>
      </c>
      <c r="K72">
        <f ca="1">DAYS360(INDIRECT(C68&amp;ROW()),TODAY())</f>
        <v>694</v>
      </c>
      <c r="L72">
        <f ca="1">DAYS360(INDIRECT(C69&amp;ROW()),TODAY())</f>
        <v>939</v>
      </c>
      <c r="M72" s="11">
        <f ca="1">HYPERLINK(CONCATENATE("https://bugzilla.houston.hp.com:1181/bugzilla/show_bug.cgi?id=",INDIRECT(C70&amp;ROW())),INDIRECT(C70&amp;ROW()))</f>
        <v>50470</v>
      </c>
      <c r="N72">
        <v>50470</v>
      </c>
      <c r="O72" t="s">
        <v>53</v>
      </c>
      <c r="P72" t="s">
        <v>687</v>
      </c>
      <c r="Q72" t="s">
        <v>39</v>
      </c>
      <c r="R72" t="s">
        <v>251</v>
      </c>
      <c r="S72" t="s">
        <v>47</v>
      </c>
      <c r="U72" s="6">
        <v>42152.316331018519</v>
      </c>
      <c r="V72" t="s">
        <v>18</v>
      </c>
      <c r="W72" t="s">
        <v>17</v>
      </c>
      <c r="X72" s="6">
        <v>41905.402071759258</v>
      </c>
      <c r="Y72" t="s">
        <v>119</v>
      </c>
      <c r="AB72" t="s">
        <v>201</v>
      </c>
      <c r="AC72" t="s">
        <v>247</v>
      </c>
      <c r="AD72" t="s">
        <v>220</v>
      </c>
      <c r="AE72" t="s">
        <v>219</v>
      </c>
      <c r="AG72" t="s">
        <v>121</v>
      </c>
      <c r="AH72" t="s">
        <v>64</v>
      </c>
      <c r="AI72" t="s">
        <v>121</v>
      </c>
      <c r="AJ72" t="s">
        <v>715</v>
      </c>
      <c r="AK72" t="s">
        <v>121</v>
      </c>
    </row>
    <row r="73" spans="1:37" x14ac:dyDescent="0.3">
      <c r="A73" t="s">
        <v>273</v>
      </c>
      <c r="B73" t="s">
        <v>107</v>
      </c>
      <c r="I73">
        <f ca="1">IF(OR(INDIRECT(A73&amp;ROW())=B93,INDIRECT(A73&amp;ROW())=B94),1,IF(AND(INDIRECT(A73&amp;ROW())=B95,INDIRECT(A96&amp;ROW())=C93),1,IF(AND(INDIRECT(A73&amp;ROW())=B95,INDIRECT(A96&amp;ROW())=C94),1,0)))</f>
        <v>0</v>
      </c>
      <c r="J73">
        <f ca="1">IF(AND(INDIRECT(A73&amp;ROW())=B95,INDIRECT(A96&amp;ROW())=C95),1,IF(AND(INDIRECT(A73&amp;ROW())=B95,INDIRECT(A96&amp;ROW())=C96),1,0))</f>
        <v>0</v>
      </c>
      <c r="K73">
        <f ca="1">DAYS360(INDIRECT(C68&amp;ROW()),TODAY())</f>
        <v>724</v>
      </c>
      <c r="L73">
        <f ca="1">DAYS360(INDIRECT(C69&amp;ROW()),TODAY())</f>
        <v>939</v>
      </c>
      <c r="M73" s="11">
        <f ca="1">HYPERLINK(CONCATENATE("https://bugzilla.houston.hp.com:1181/bugzilla/show_bug.cgi?id=",INDIRECT(C70&amp;ROW())),INDIRECT(C70&amp;ROW()))</f>
        <v>50489</v>
      </c>
      <c r="N73">
        <v>50489</v>
      </c>
      <c r="O73" t="s">
        <v>334</v>
      </c>
      <c r="P73" t="s">
        <v>434</v>
      </c>
      <c r="Q73" t="s">
        <v>16</v>
      </c>
      <c r="R73" t="s">
        <v>251</v>
      </c>
      <c r="S73" t="s">
        <v>182</v>
      </c>
      <c r="U73" s="6">
        <v>42122.400648148148</v>
      </c>
      <c r="V73" t="s">
        <v>35</v>
      </c>
      <c r="W73" t="s">
        <v>17</v>
      </c>
      <c r="X73" s="6">
        <v>41905.60564814815</v>
      </c>
      <c r="Y73" t="s">
        <v>245</v>
      </c>
      <c r="AB73" t="s">
        <v>200</v>
      </c>
      <c r="AC73" t="s">
        <v>247</v>
      </c>
      <c r="AD73" t="s">
        <v>227</v>
      </c>
      <c r="AE73" t="s">
        <v>230</v>
      </c>
      <c r="AG73" t="s">
        <v>121</v>
      </c>
      <c r="AH73" t="s">
        <v>327</v>
      </c>
      <c r="AI73" t="s">
        <v>121</v>
      </c>
      <c r="AJ73" t="s">
        <v>716</v>
      </c>
      <c r="AK73" t="s">
        <v>121</v>
      </c>
    </row>
    <row r="74" spans="1:37" x14ac:dyDescent="0.3">
      <c r="A74" t="s">
        <v>271</v>
      </c>
      <c r="B74" t="s">
        <v>108</v>
      </c>
      <c r="I74">
        <f ca="1">IF(OR(INDIRECT(A73&amp;ROW())=B93,INDIRECT(A73&amp;ROW())=B94),1,IF(AND(INDIRECT(A73&amp;ROW())=B95,INDIRECT(A96&amp;ROW())=C93),1,IF(AND(INDIRECT(A73&amp;ROW())=B95,INDIRECT(A96&amp;ROW())=C94),1,0)))</f>
        <v>1</v>
      </c>
      <c r="J74">
        <f ca="1">IF(AND(INDIRECT(A73&amp;ROW())=B95,INDIRECT(A96&amp;ROW())=C95),1,IF(AND(INDIRECT(A73&amp;ROW())=B95,INDIRECT(A96&amp;ROW())=C96),1,0))</f>
        <v>0</v>
      </c>
      <c r="K74">
        <f ca="1">DAYS360(INDIRECT(C68&amp;ROW()),TODAY())</f>
        <v>730</v>
      </c>
      <c r="L74">
        <f ca="1">DAYS360(INDIRECT(C69&amp;ROW()),TODAY())</f>
        <v>939</v>
      </c>
      <c r="M74" s="11">
        <f ca="1">HYPERLINK(CONCATENATE("https://bugzilla.houston.hp.com:1181/bugzilla/show_bug.cgi?id=",INDIRECT(C70&amp;ROW())),INDIRECT(C70&amp;ROW()))</f>
        <v>50493</v>
      </c>
      <c r="N74">
        <v>50493</v>
      </c>
      <c r="O74" t="s">
        <v>45</v>
      </c>
      <c r="P74" t="s">
        <v>333</v>
      </c>
      <c r="Q74" t="s">
        <v>25</v>
      </c>
      <c r="R74" t="s">
        <v>251</v>
      </c>
      <c r="S74" t="s">
        <v>59</v>
      </c>
      <c r="U74" s="6">
        <v>42116.54115740741</v>
      </c>
      <c r="V74" t="s">
        <v>18</v>
      </c>
      <c r="W74" t="s">
        <v>17</v>
      </c>
      <c r="X74" s="6">
        <v>41905.630509259259</v>
      </c>
      <c r="Y74" t="s">
        <v>119</v>
      </c>
      <c r="AB74" t="s">
        <v>200</v>
      </c>
      <c r="AC74" t="s">
        <v>247</v>
      </c>
      <c r="AD74" t="s">
        <v>222</v>
      </c>
      <c r="AE74" t="s">
        <v>232</v>
      </c>
      <c r="AG74" t="s">
        <v>121</v>
      </c>
      <c r="AH74" t="s">
        <v>327</v>
      </c>
      <c r="AI74" t="s">
        <v>121</v>
      </c>
      <c r="AJ74" t="s">
        <v>715</v>
      </c>
      <c r="AK74" t="s">
        <v>121</v>
      </c>
    </row>
    <row r="75" spans="1:37" x14ac:dyDescent="0.3">
      <c r="A75" t="s">
        <v>349</v>
      </c>
      <c r="B75" t="s">
        <v>109</v>
      </c>
      <c r="I75">
        <f ca="1">IF(OR(INDIRECT(A73&amp;ROW())=B93,INDIRECT(A73&amp;ROW())=B94),1,IF(AND(INDIRECT(A73&amp;ROW())=B95,INDIRECT(A96&amp;ROW())=C93),1,IF(AND(INDIRECT(A73&amp;ROW())=B95,INDIRECT(A96&amp;ROW())=C94),1,0)))</f>
        <v>1</v>
      </c>
      <c r="J75">
        <f ca="1">IF(AND(INDIRECT(A73&amp;ROW())=B95,INDIRECT(A96&amp;ROW())=C95),1,IF(AND(INDIRECT(A73&amp;ROW())=B95,INDIRECT(A96&amp;ROW())=C96),1,0))</f>
        <v>0</v>
      </c>
      <c r="K75">
        <f ca="1">DAYS360(INDIRECT(C68&amp;ROW()),TODAY())</f>
        <v>684</v>
      </c>
      <c r="L75">
        <f ca="1">DAYS360(INDIRECT(C69&amp;ROW()),TODAY())</f>
        <v>939</v>
      </c>
      <c r="M75" s="11">
        <f ca="1">HYPERLINK(CONCATENATE("https://bugzilla.houston.hp.com:1181/bugzilla/show_bug.cgi?id=",INDIRECT(C70&amp;ROW())),INDIRECT(C70&amp;ROW()))</f>
        <v>50495</v>
      </c>
      <c r="N75">
        <v>50495</v>
      </c>
      <c r="O75" t="s">
        <v>56</v>
      </c>
      <c r="P75" t="s">
        <v>332</v>
      </c>
      <c r="Q75" t="s">
        <v>25</v>
      </c>
      <c r="R75" t="s">
        <v>248</v>
      </c>
      <c r="S75" t="s">
        <v>59</v>
      </c>
      <c r="U75" s="6">
        <v>42163.604224537034</v>
      </c>
      <c r="V75" t="s">
        <v>18</v>
      </c>
      <c r="W75" t="s">
        <v>257</v>
      </c>
      <c r="X75" s="6">
        <v>41905.634016203701</v>
      </c>
      <c r="Y75" t="s">
        <v>119</v>
      </c>
      <c r="AB75" t="s">
        <v>200</v>
      </c>
      <c r="AC75" t="s">
        <v>247</v>
      </c>
      <c r="AD75" t="s">
        <v>222</v>
      </c>
      <c r="AE75" t="s">
        <v>221</v>
      </c>
      <c r="AG75" t="s">
        <v>121</v>
      </c>
      <c r="AH75" t="s">
        <v>327</v>
      </c>
      <c r="AI75" t="s">
        <v>121</v>
      </c>
      <c r="AJ75" t="s">
        <v>715</v>
      </c>
      <c r="AK75" t="s">
        <v>121</v>
      </c>
    </row>
    <row r="76" spans="1:37" x14ac:dyDescent="0.3">
      <c r="A76" t="s">
        <v>274</v>
      </c>
      <c r="B76" t="s">
        <v>114</v>
      </c>
      <c r="I76">
        <f ca="1">IF(OR(INDIRECT(A73&amp;ROW())=B93,INDIRECT(A73&amp;ROW())=B94),1,IF(AND(INDIRECT(A73&amp;ROW())=B95,INDIRECT(A96&amp;ROW())=C93),1,IF(AND(INDIRECT(A73&amp;ROW())=B95,INDIRECT(A96&amp;ROW())=C94),1,0)))</f>
        <v>0</v>
      </c>
      <c r="J76">
        <f ca="1">IF(AND(INDIRECT(A73&amp;ROW())=B95,INDIRECT(A96&amp;ROW())=C95),1,IF(AND(INDIRECT(A73&amp;ROW())=B95,INDIRECT(A96&amp;ROW())=C96),1,0))</f>
        <v>0</v>
      </c>
      <c r="K76">
        <f ca="1">DAYS360(INDIRECT(C68&amp;ROW()),TODAY())</f>
        <v>728</v>
      </c>
      <c r="L76">
        <f ca="1">DAYS360(INDIRECT(C69&amp;ROW()),TODAY())</f>
        <v>939</v>
      </c>
      <c r="M76" s="11">
        <f ca="1">HYPERLINK(CONCATENATE("https://bugzilla.houston.hp.com:1181/bugzilla/show_bug.cgi?id=",INDIRECT(C70&amp;ROW())),INDIRECT(C70&amp;ROW()))</f>
        <v>50497</v>
      </c>
      <c r="N76">
        <v>50497</v>
      </c>
      <c r="O76" t="s">
        <v>88</v>
      </c>
      <c r="P76" t="s">
        <v>686</v>
      </c>
      <c r="Q76" t="s">
        <v>16</v>
      </c>
      <c r="R76" t="s">
        <v>251</v>
      </c>
      <c r="S76" t="s">
        <v>31</v>
      </c>
      <c r="U76" s="6">
        <v>42118.521944444445</v>
      </c>
      <c r="V76" t="s">
        <v>18</v>
      </c>
      <c r="W76" t="s">
        <v>17</v>
      </c>
      <c r="X76" s="6">
        <v>41905.694814814815</v>
      </c>
      <c r="Y76" t="s">
        <v>119</v>
      </c>
      <c r="AB76" t="s">
        <v>201</v>
      </c>
      <c r="AC76" t="s">
        <v>247</v>
      </c>
      <c r="AD76" t="s">
        <v>222</v>
      </c>
      <c r="AE76" t="s">
        <v>240</v>
      </c>
      <c r="AG76" t="s">
        <v>121</v>
      </c>
      <c r="AH76" t="s">
        <v>327</v>
      </c>
      <c r="AI76" t="s">
        <v>121</v>
      </c>
      <c r="AJ76" t="s">
        <v>717</v>
      </c>
      <c r="AK76" t="s">
        <v>121</v>
      </c>
    </row>
    <row r="77" spans="1:37" x14ac:dyDescent="0.3">
      <c r="A77" t="s">
        <v>350</v>
      </c>
      <c r="B77" t="s">
        <v>115</v>
      </c>
      <c r="I77">
        <f ca="1">IF(OR(INDIRECT(A73&amp;ROW())=B93,INDIRECT(A73&amp;ROW())=B94),1,IF(AND(INDIRECT(A73&amp;ROW())=B95,INDIRECT(A96&amp;ROW())=C93),1,IF(AND(INDIRECT(A73&amp;ROW())=B95,INDIRECT(A96&amp;ROW())=C94),1,0)))</f>
        <v>1</v>
      </c>
      <c r="J77">
        <f ca="1">IF(AND(INDIRECT(A73&amp;ROW())=B95,INDIRECT(A96&amp;ROW())=C95),1,IF(AND(INDIRECT(A73&amp;ROW())=B95,INDIRECT(A96&amp;ROW())=C96),1,0))</f>
        <v>0</v>
      </c>
      <c r="K77">
        <f ca="1">DAYS360(INDIRECT(C68&amp;ROW()),TODAY())</f>
        <v>849</v>
      </c>
      <c r="L77">
        <f ca="1">DAYS360(INDIRECT(C69&amp;ROW()),TODAY())</f>
        <v>938</v>
      </c>
      <c r="M77" s="11">
        <f ca="1">HYPERLINK(CONCATENATE("https://bugzilla.houston.hp.com:1181/bugzilla/show_bug.cgi?id=",INDIRECT(C70&amp;ROW())),INDIRECT(C70&amp;ROW()))</f>
        <v>50561</v>
      </c>
      <c r="N77">
        <v>50561</v>
      </c>
      <c r="O77" t="s">
        <v>326</v>
      </c>
      <c r="P77" t="s">
        <v>338</v>
      </c>
      <c r="Q77" t="s">
        <v>25</v>
      </c>
      <c r="R77" t="s">
        <v>17</v>
      </c>
      <c r="S77" t="s">
        <v>24</v>
      </c>
      <c r="U77" s="6">
        <v>41996.488333333335</v>
      </c>
      <c r="V77" t="s">
        <v>40</v>
      </c>
      <c r="W77" t="s">
        <v>317</v>
      </c>
      <c r="X77" s="6">
        <v>41906.604884259257</v>
      </c>
      <c r="Y77" t="s">
        <v>119</v>
      </c>
      <c r="Z77" t="s">
        <v>255</v>
      </c>
      <c r="AB77" t="s">
        <v>200</v>
      </c>
      <c r="AC77" t="s">
        <v>247</v>
      </c>
      <c r="AD77" t="s">
        <v>222</v>
      </c>
      <c r="AE77" t="s">
        <v>228</v>
      </c>
      <c r="AG77" t="s">
        <v>121</v>
      </c>
      <c r="AH77" t="s">
        <v>64</v>
      </c>
      <c r="AI77" t="s">
        <v>363</v>
      </c>
      <c r="AJ77" t="s">
        <v>715</v>
      </c>
      <c r="AK77" t="s">
        <v>121</v>
      </c>
    </row>
    <row r="78" spans="1:37" x14ac:dyDescent="0.3">
      <c r="A78" t="s">
        <v>275</v>
      </c>
      <c r="B78" t="s">
        <v>235</v>
      </c>
      <c r="I78">
        <f ca="1">IF(OR(INDIRECT(A73&amp;ROW())=B93,INDIRECT(A73&amp;ROW())=B94),1,IF(AND(INDIRECT(A73&amp;ROW())=B95,INDIRECT(A96&amp;ROW())=C93),1,IF(AND(INDIRECT(A73&amp;ROW())=B95,INDIRECT(A96&amp;ROW())=C94),1,0)))</f>
        <v>0</v>
      </c>
      <c r="J78">
        <f ca="1">IF(AND(INDIRECT(A73&amp;ROW())=B95,INDIRECT(A96&amp;ROW())=C95),1,IF(AND(INDIRECT(A73&amp;ROW())=B95,INDIRECT(A96&amp;ROW())=C96),1,0))</f>
        <v>1</v>
      </c>
      <c r="K78">
        <f ca="1">DAYS360(INDIRECT(C68&amp;ROW()),TODAY())</f>
        <v>684</v>
      </c>
      <c r="L78">
        <f ca="1">DAYS360(INDIRECT(C69&amp;ROW()),TODAY())</f>
        <v>937</v>
      </c>
      <c r="M78" s="11">
        <f ca="1">HYPERLINK(CONCATENATE("https://bugzilla.houston.hp.com:1181/bugzilla/show_bug.cgi?id=",INDIRECT(C70&amp;ROW())),INDIRECT(C70&amp;ROW()))</f>
        <v>50644</v>
      </c>
      <c r="N78">
        <v>50644</v>
      </c>
      <c r="O78" t="s">
        <v>42</v>
      </c>
      <c r="P78" t="s">
        <v>433</v>
      </c>
      <c r="Q78" t="s">
        <v>25</v>
      </c>
      <c r="R78" t="s">
        <v>251</v>
      </c>
      <c r="S78" t="s">
        <v>42</v>
      </c>
      <c r="U78" s="6">
        <v>42163.587870370371</v>
      </c>
      <c r="V78" t="s">
        <v>35</v>
      </c>
      <c r="W78" t="s">
        <v>17</v>
      </c>
      <c r="X78" s="6">
        <v>41907.666851851849</v>
      </c>
      <c r="Y78" t="s">
        <v>122</v>
      </c>
      <c r="AB78" t="s">
        <v>201</v>
      </c>
      <c r="AC78" t="s">
        <v>247</v>
      </c>
      <c r="AD78" t="s">
        <v>220</v>
      </c>
      <c r="AE78" t="s">
        <v>219</v>
      </c>
      <c r="AG78" t="s">
        <v>121</v>
      </c>
      <c r="AH78" t="s">
        <v>64</v>
      </c>
      <c r="AI78" t="s">
        <v>121</v>
      </c>
      <c r="AJ78" t="s">
        <v>716</v>
      </c>
      <c r="AK78" t="s">
        <v>121</v>
      </c>
    </row>
    <row r="79" spans="1:37" x14ac:dyDescent="0.3">
      <c r="A79" t="s">
        <v>351</v>
      </c>
      <c r="B79" t="s">
        <v>234</v>
      </c>
      <c r="I79">
        <f ca="1">IF(OR(INDIRECT(A73&amp;ROW())=B93,INDIRECT(A73&amp;ROW())=B94),1,IF(AND(INDIRECT(A73&amp;ROW())=B95,INDIRECT(A96&amp;ROW())=C93),1,IF(AND(INDIRECT(A73&amp;ROW())=B95,INDIRECT(A96&amp;ROW())=C94),1,0)))</f>
        <v>0</v>
      </c>
      <c r="J79">
        <f ca="1">IF(AND(INDIRECT(A73&amp;ROW())=B95,INDIRECT(A96&amp;ROW())=C95),1,IF(AND(INDIRECT(A73&amp;ROW())=B95,INDIRECT(A96&amp;ROW())=C96),1,0))</f>
        <v>0</v>
      </c>
      <c r="K79">
        <f ca="1">DAYS360(INDIRECT(C68&amp;ROW()),TODAY())</f>
        <v>721</v>
      </c>
      <c r="L79">
        <f ca="1">DAYS360(INDIRECT(C69&amp;ROW()),TODAY())</f>
        <v>936</v>
      </c>
      <c r="M79" s="11">
        <f ca="1">HYPERLINK(CONCATENATE("https://bugzilla.houston.hp.com:1181/bugzilla/show_bug.cgi?id=",INDIRECT(C70&amp;ROW())),INDIRECT(C70&amp;ROW()))</f>
        <v>50667</v>
      </c>
      <c r="N79">
        <v>50667</v>
      </c>
      <c r="O79" t="s">
        <v>50</v>
      </c>
      <c r="P79" t="s">
        <v>432</v>
      </c>
      <c r="Q79" t="s">
        <v>16</v>
      </c>
      <c r="R79" t="s">
        <v>251</v>
      </c>
      <c r="S79" t="s">
        <v>335</v>
      </c>
      <c r="U79" s="6">
        <v>42125.446539351855</v>
      </c>
      <c r="V79" t="s">
        <v>18</v>
      </c>
      <c r="W79" t="s">
        <v>17</v>
      </c>
      <c r="X79" s="6">
        <v>41908.131435185183</v>
      </c>
      <c r="Y79" t="s">
        <v>122</v>
      </c>
      <c r="AB79" t="s">
        <v>200</v>
      </c>
      <c r="AC79" t="s">
        <v>247</v>
      </c>
      <c r="AD79" t="s">
        <v>227</v>
      </c>
      <c r="AE79" t="s">
        <v>231</v>
      </c>
      <c r="AG79" t="s">
        <v>121</v>
      </c>
      <c r="AH79" t="s">
        <v>327</v>
      </c>
      <c r="AI79" t="s">
        <v>121</v>
      </c>
      <c r="AJ79" t="s">
        <v>716</v>
      </c>
      <c r="AK79" t="s">
        <v>121</v>
      </c>
    </row>
    <row r="80" spans="1:37" x14ac:dyDescent="0.3">
      <c r="A80" t="s">
        <v>272</v>
      </c>
      <c r="B80" t="s">
        <v>265</v>
      </c>
      <c r="I80">
        <f ca="1">IF(OR(INDIRECT(A73&amp;ROW())=B93,INDIRECT(A73&amp;ROW())=B94),1,IF(AND(INDIRECT(A73&amp;ROW())=B95,INDIRECT(A96&amp;ROW())=C93),1,IF(AND(INDIRECT(A73&amp;ROW())=B95,INDIRECT(A96&amp;ROW())=C94),1,0)))</f>
        <v>0</v>
      </c>
      <c r="J80">
        <f ca="1">IF(AND(INDIRECT(A73&amp;ROW())=B95,INDIRECT(A96&amp;ROW())=C95),1,IF(AND(INDIRECT(A73&amp;ROW())=B95,INDIRECT(A96&amp;ROW())=C96),1,0))</f>
        <v>0</v>
      </c>
      <c r="K80">
        <f ca="1">DAYS360(INDIRECT(C68&amp;ROW()),TODAY())</f>
        <v>802</v>
      </c>
      <c r="L80">
        <f ca="1">DAYS360(INDIRECT(C69&amp;ROW()),TODAY())</f>
        <v>933</v>
      </c>
      <c r="M80" s="11">
        <f ca="1">HYPERLINK(CONCATENATE("https://bugzilla.houston.hp.com:1181/bugzilla/show_bug.cgi?id=",INDIRECT(C70&amp;ROW())),INDIRECT(C70&amp;ROW()))</f>
        <v>50880</v>
      </c>
      <c r="N80">
        <v>50880</v>
      </c>
      <c r="O80" t="s">
        <v>66</v>
      </c>
      <c r="P80" t="s">
        <v>685</v>
      </c>
      <c r="Q80" t="s">
        <v>16</v>
      </c>
      <c r="R80" t="s">
        <v>251</v>
      </c>
      <c r="S80" t="s">
        <v>66</v>
      </c>
      <c r="U80" s="6">
        <v>42045.710277777776</v>
      </c>
      <c r="V80" t="s">
        <v>35</v>
      </c>
      <c r="W80" t="s">
        <v>17</v>
      </c>
      <c r="X80" s="6">
        <v>41911.766562500001</v>
      </c>
      <c r="Y80" t="s">
        <v>786</v>
      </c>
      <c r="AB80" t="s">
        <v>200</v>
      </c>
      <c r="AC80" t="s">
        <v>247</v>
      </c>
      <c r="AD80" t="s">
        <v>220</v>
      </c>
      <c r="AE80" t="s">
        <v>219</v>
      </c>
      <c r="AG80" t="s">
        <v>121</v>
      </c>
      <c r="AH80" t="s">
        <v>327</v>
      </c>
      <c r="AI80" t="s">
        <v>121</v>
      </c>
      <c r="AJ80" t="s">
        <v>716</v>
      </c>
      <c r="AK80" t="s">
        <v>121</v>
      </c>
    </row>
    <row r="81" spans="1:37" x14ac:dyDescent="0.3">
      <c r="A81" t="s">
        <v>154</v>
      </c>
      <c r="B81" t="s">
        <v>30</v>
      </c>
      <c r="C81" t="s">
        <v>160</v>
      </c>
      <c r="I81">
        <f ca="1">IF(OR(INDIRECT(A73&amp;ROW())=B93,INDIRECT(A73&amp;ROW())=B94),1,IF(AND(INDIRECT(A73&amp;ROW())=B95,INDIRECT(A96&amp;ROW())=C93),1,IF(AND(INDIRECT(A73&amp;ROW())=B95,INDIRECT(A96&amp;ROW())=C94),1,0)))</f>
        <v>1</v>
      </c>
      <c r="J81">
        <f ca="1">IF(AND(INDIRECT(A73&amp;ROW())=B95,INDIRECT(A96&amp;ROW())=C95),1,IF(AND(INDIRECT(A73&amp;ROW())=B95,INDIRECT(A96&amp;ROW())=C96),1,0))</f>
        <v>0</v>
      </c>
      <c r="K81">
        <f ca="1">DAYS360(INDIRECT(C68&amp;ROW()),TODAY())</f>
        <v>687</v>
      </c>
      <c r="L81">
        <f ca="1">DAYS360(INDIRECT(C69&amp;ROW()),TODAY())</f>
        <v>932</v>
      </c>
      <c r="M81" s="11">
        <f ca="1">HYPERLINK(CONCATENATE("https://bugzilla.houston.hp.com:1181/bugzilla/show_bug.cgi?id=",INDIRECT(C70&amp;ROW())),INDIRECT(C70&amp;ROW()))</f>
        <v>50953</v>
      </c>
      <c r="N81">
        <v>50953</v>
      </c>
      <c r="O81" t="s">
        <v>45</v>
      </c>
      <c r="P81" t="s">
        <v>684</v>
      </c>
      <c r="Q81" t="s">
        <v>25</v>
      </c>
      <c r="R81" t="s">
        <v>251</v>
      </c>
      <c r="S81" t="s">
        <v>21</v>
      </c>
      <c r="U81" s="6">
        <v>42160.512187499997</v>
      </c>
      <c r="V81" t="s">
        <v>18</v>
      </c>
      <c r="W81" t="s">
        <v>17</v>
      </c>
      <c r="X81" s="6">
        <v>41912.61074074074</v>
      </c>
      <c r="Y81" t="s">
        <v>123</v>
      </c>
      <c r="AB81" t="s">
        <v>200</v>
      </c>
      <c r="AC81" t="s">
        <v>247</v>
      </c>
      <c r="AD81" t="s">
        <v>227</v>
      </c>
      <c r="AE81" t="s">
        <v>226</v>
      </c>
      <c r="AG81" t="s">
        <v>121</v>
      </c>
      <c r="AH81" t="s">
        <v>64</v>
      </c>
      <c r="AI81" t="s">
        <v>121</v>
      </c>
      <c r="AJ81" t="s">
        <v>715</v>
      </c>
      <c r="AK81" t="s">
        <v>121</v>
      </c>
    </row>
    <row r="82" spans="1:37" x14ac:dyDescent="0.3">
      <c r="A82" t="s">
        <v>157</v>
      </c>
      <c r="B82" t="s">
        <v>161</v>
      </c>
      <c r="I82">
        <f ca="1">IF(OR(INDIRECT(A73&amp;ROW())=B93,INDIRECT(A73&amp;ROW())=B94),1,IF(AND(INDIRECT(A73&amp;ROW())=B95,INDIRECT(A96&amp;ROW())=C93),1,IF(AND(INDIRECT(A73&amp;ROW())=B95,INDIRECT(A96&amp;ROW())=C94),1,0)))</f>
        <v>0</v>
      </c>
      <c r="J82">
        <f ca="1">IF(AND(INDIRECT(A73&amp;ROW())=B95,INDIRECT(A96&amp;ROW())=C95),1,IF(AND(INDIRECT(A73&amp;ROW())=B95,INDIRECT(A96&amp;ROW())=C96),1,0))</f>
        <v>1</v>
      </c>
      <c r="K82">
        <f ca="1">DAYS360(INDIRECT(C68&amp;ROW()),TODAY())</f>
        <v>724</v>
      </c>
      <c r="L82">
        <f ca="1">DAYS360(INDIRECT(C69&amp;ROW()),TODAY())</f>
        <v>929</v>
      </c>
      <c r="M82" s="11">
        <f ca="1">HYPERLINK(CONCATENATE("https://bugzilla.houston.hp.com:1181/bugzilla/show_bug.cgi?id=",INDIRECT(C70&amp;ROW())),INDIRECT(C70&amp;ROW()))</f>
        <v>51087</v>
      </c>
      <c r="N82">
        <v>51087</v>
      </c>
      <c r="O82" t="s">
        <v>56</v>
      </c>
      <c r="P82" t="s">
        <v>431</v>
      </c>
      <c r="Q82" t="s">
        <v>25</v>
      </c>
      <c r="R82" t="s">
        <v>251</v>
      </c>
      <c r="S82" t="s">
        <v>53</v>
      </c>
      <c r="U82" s="6">
        <v>42122.352916666663</v>
      </c>
      <c r="V82" t="s">
        <v>18</v>
      </c>
      <c r="W82" t="s">
        <v>17</v>
      </c>
      <c r="X82" s="6">
        <v>41915.6015162037</v>
      </c>
      <c r="Y82" t="s">
        <v>122</v>
      </c>
      <c r="AB82" t="s">
        <v>201</v>
      </c>
      <c r="AC82" t="s">
        <v>247</v>
      </c>
      <c r="AD82" t="s">
        <v>220</v>
      </c>
      <c r="AE82" t="s">
        <v>219</v>
      </c>
      <c r="AG82" t="s">
        <v>121</v>
      </c>
      <c r="AH82" t="s">
        <v>327</v>
      </c>
      <c r="AI82" t="s">
        <v>121</v>
      </c>
      <c r="AJ82" t="s">
        <v>716</v>
      </c>
      <c r="AK82" t="s">
        <v>121</v>
      </c>
    </row>
    <row r="83" spans="1:37" x14ac:dyDescent="0.3">
      <c r="A83" t="s">
        <v>158</v>
      </c>
      <c r="B83" t="s">
        <v>162</v>
      </c>
      <c r="I83">
        <f ca="1">IF(OR(INDIRECT(A73&amp;ROW())=B93,INDIRECT(A73&amp;ROW())=B94),1,IF(AND(INDIRECT(A73&amp;ROW())=B95,INDIRECT(A96&amp;ROW())=C93),1,IF(AND(INDIRECT(A73&amp;ROW())=B95,INDIRECT(A96&amp;ROW())=C94),1,0)))</f>
        <v>0</v>
      </c>
      <c r="J83">
        <f ca="1">IF(AND(INDIRECT(A73&amp;ROW())=B95,INDIRECT(A96&amp;ROW())=C95),1,IF(AND(INDIRECT(A73&amp;ROW())=B95,INDIRECT(A96&amp;ROW())=C96),1,0))</f>
        <v>1</v>
      </c>
      <c r="K83">
        <f ca="1">DAYS360(INDIRECT(C68&amp;ROW()),TODAY())</f>
        <v>691</v>
      </c>
      <c r="L83">
        <f ca="1">DAYS360(INDIRECT(C69&amp;ROW()),TODAY())</f>
        <v>929</v>
      </c>
      <c r="M83" s="11">
        <f ca="1">HYPERLINK(CONCATENATE("https://bugzilla.houston.hp.com:1181/bugzilla/show_bug.cgi?id=",INDIRECT(C70&amp;ROW())),INDIRECT(C70&amp;ROW()))</f>
        <v>51092</v>
      </c>
      <c r="N83">
        <v>51092</v>
      </c>
      <c r="O83" t="s">
        <v>22</v>
      </c>
      <c r="P83" t="s">
        <v>430</v>
      </c>
      <c r="Q83" t="s">
        <v>25</v>
      </c>
      <c r="R83" t="s">
        <v>251</v>
      </c>
      <c r="S83" t="s">
        <v>22</v>
      </c>
      <c r="T83" t="s">
        <v>794</v>
      </c>
      <c r="U83" s="6">
        <v>42156.258032407408</v>
      </c>
      <c r="V83" t="s">
        <v>40</v>
      </c>
      <c r="W83" t="s">
        <v>17</v>
      </c>
      <c r="X83" s="6">
        <v>41915.671134259261</v>
      </c>
      <c r="Y83" t="s">
        <v>122</v>
      </c>
      <c r="AB83" t="s">
        <v>201</v>
      </c>
      <c r="AC83" t="s">
        <v>247</v>
      </c>
      <c r="AD83" t="s">
        <v>220</v>
      </c>
      <c r="AE83" t="s">
        <v>219</v>
      </c>
      <c r="AG83" t="s">
        <v>337</v>
      </c>
      <c r="AH83" t="s">
        <v>327</v>
      </c>
      <c r="AI83" t="s">
        <v>121</v>
      </c>
      <c r="AJ83" t="s">
        <v>716</v>
      </c>
      <c r="AK83" t="s">
        <v>121</v>
      </c>
    </row>
    <row r="84" spans="1:37" x14ac:dyDescent="0.3">
      <c r="A84" t="s">
        <v>159</v>
      </c>
      <c r="B84" t="s">
        <v>163</v>
      </c>
      <c r="I84">
        <f ca="1">IF(OR(INDIRECT(A73&amp;ROW())=B93,INDIRECT(A73&amp;ROW())=B94),1,IF(AND(INDIRECT(A73&amp;ROW())=B95,INDIRECT(A96&amp;ROW())=C93),1,IF(AND(INDIRECT(A73&amp;ROW())=B95,INDIRECT(A96&amp;ROW())=C94),1,0)))</f>
        <v>0</v>
      </c>
      <c r="J84">
        <f ca="1">IF(AND(INDIRECT(A73&amp;ROW())=B95,INDIRECT(A96&amp;ROW())=C95),1,IF(AND(INDIRECT(A73&amp;ROW())=B95,INDIRECT(A96&amp;ROW())=C96),1,0))</f>
        <v>1</v>
      </c>
      <c r="K84">
        <f ca="1">DAYS360(INDIRECT(C68&amp;ROW()),TODAY())</f>
        <v>690</v>
      </c>
      <c r="L84">
        <f ca="1">DAYS360(INDIRECT(C69&amp;ROW()),TODAY())</f>
        <v>925</v>
      </c>
      <c r="M84" s="11">
        <f ca="1">HYPERLINK(CONCATENATE("https://bugzilla.houston.hp.com:1181/bugzilla/show_bug.cgi?id=",INDIRECT(C70&amp;ROW())),INDIRECT(C70&amp;ROW()))</f>
        <v>51177</v>
      </c>
      <c r="N84">
        <v>51177</v>
      </c>
      <c r="O84" t="s">
        <v>66</v>
      </c>
      <c r="P84" t="s">
        <v>1051</v>
      </c>
      <c r="Q84" t="s">
        <v>25</v>
      </c>
      <c r="R84" t="s">
        <v>251</v>
      </c>
      <c r="S84" t="s">
        <v>33</v>
      </c>
      <c r="T84" t="s">
        <v>794</v>
      </c>
      <c r="U84" s="6">
        <v>42157.088888888888</v>
      </c>
      <c r="V84" t="s">
        <v>35</v>
      </c>
      <c r="W84" t="s">
        <v>17</v>
      </c>
      <c r="X84" s="6">
        <v>41919.239328703705</v>
      </c>
      <c r="Y84" t="s">
        <v>119</v>
      </c>
      <c r="AB84" t="s">
        <v>201</v>
      </c>
      <c r="AC84" t="s">
        <v>247</v>
      </c>
      <c r="AD84" t="s">
        <v>220</v>
      </c>
      <c r="AE84" t="s">
        <v>223</v>
      </c>
      <c r="AG84" t="s">
        <v>121</v>
      </c>
      <c r="AH84" t="s">
        <v>64</v>
      </c>
      <c r="AI84" t="s">
        <v>121</v>
      </c>
      <c r="AJ84" t="s">
        <v>716</v>
      </c>
      <c r="AK84" t="s">
        <v>121</v>
      </c>
    </row>
    <row r="85" spans="1:37" x14ac:dyDescent="0.3">
      <c r="A85" t="s">
        <v>251</v>
      </c>
      <c r="B85" t="s">
        <v>163</v>
      </c>
      <c r="I85">
        <f ca="1">IF(OR(INDIRECT(A73&amp;ROW())=B93,INDIRECT(A73&amp;ROW())=B94),1,IF(AND(INDIRECT(A73&amp;ROW())=B95,INDIRECT(A96&amp;ROW())=C93),1,IF(AND(INDIRECT(A73&amp;ROW())=B95,INDIRECT(A96&amp;ROW())=C94),1,0)))</f>
        <v>0</v>
      </c>
      <c r="J85">
        <f ca="1">IF(AND(INDIRECT(A73&amp;ROW())=B95,INDIRECT(A96&amp;ROW())=C95),1,IF(AND(INDIRECT(A73&amp;ROW())=B95,INDIRECT(A96&amp;ROW())=C96),1,0))</f>
        <v>1</v>
      </c>
      <c r="K85">
        <f ca="1">DAYS360(INDIRECT(C68&amp;ROW()),TODAY())</f>
        <v>724</v>
      </c>
      <c r="L85">
        <f ca="1">DAYS360(INDIRECT(C69&amp;ROW()),TODAY())</f>
        <v>925</v>
      </c>
      <c r="M85" s="11">
        <f ca="1">HYPERLINK(CONCATENATE("https://bugzilla.houston.hp.com:1181/bugzilla/show_bug.cgi?id=",INDIRECT(C70&amp;ROW())),INDIRECT(C70&amp;ROW()))</f>
        <v>51197</v>
      </c>
      <c r="N85">
        <v>51197</v>
      </c>
      <c r="O85" t="s">
        <v>45</v>
      </c>
      <c r="P85" t="s">
        <v>429</v>
      </c>
      <c r="Q85" t="s">
        <v>25</v>
      </c>
      <c r="R85" t="s">
        <v>251</v>
      </c>
      <c r="S85" t="s">
        <v>45</v>
      </c>
      <c r="T85" t="s">
        <v>287</v>
      </c>
      <c r="U85" s="6">
        <v>42122.350775462961</v>
      </c>
      <c r="V85" t="s">
        <v>35</v>
      </c>
      <c r="W85" t="s">
        <v>17</v>
      </c>
      <c r="X85" s="6">
        <v>41919.538078703707</v>
      </c>
      <c r="Y85" t="s">
        <v>122</v>
      </c>
      <c r="AB85" t="s">
        <v>201</v>
      </c>
      <c r="AC85" t="s">
        <v>247</v>
      </c>
      <c r="AD85" t="s">
        <v>227</v>
      </c>
      <c r="AE85" t="s">
        <v>226</v>
      </c>
      <c r="AG85" t="s">
        <v>121</v>
      </c>
      <c r="AH85" t="s">
        <v>327</v>
      </c>
      <c r="AI85" t="s">
        <v>121</v>
      </c>
      <c r="AJ85" t="s">
        <v>716</v>
      </c>
      <c r="AK85" t="s">
        <v>121</v>
      </c>
    </row>
    <row r="86" spans="1:37" x14ac:dyDescent="0.3">
      <c r="A86" t="s">
        <v>166</v>
      </c>
      <c r="I86">
        <f ca="1">IF(OR(INDIRECT(A73&amp;ROW())=B93,INDIRECT(A73&amp;ROW())=B94),1,IF(AND(INDIRECT(A73&amp;ROW())=B95,INDIRECT(A96&amp;ROW())=C93),1,IF(AND(INDIRECT(A73&amp;ROW())=B95,INDIRECT(A96&amp;ROW())=C94),1,0)))</f>
        <v>0</v>
      </c>
      <c r="J86">
        <f ca="1">IF(AND(INDIRECT(A73&amp;ROW())=B95,INDIRECT(A96&amp;ROW())=C95),1,IF(AND(INDIRECT(A73&amp;ROW())=B95,INDIRECT(A96&amp;ROW())=C96),1,0))</f>
        <v>0</v>
      </c>
      <c r="K86">
        <f ca="1">DAYS360(INDIRECT(C68&amp;ROW()),TODAY())</f>
        <v>721</v>
      </c>
      <c r="L86">
        <f ca="1">DAYS360(INDIRECT(C69&amp;ROW()),TODAY())</f>
        <v>924</v>
      </c>
      <c r="M86" s="11">
        <f ca="1">HYPERLINK(CONCATENATE("https://bugzilla.houston.hp.com:1181/bugzilla/show_bug.cgi?id=",INDIRECT(C70&amp;ROW())),INDIRECT(C70&amp;ROW()))</f>
        <v>51276</v>
      </c>
      <c r="N86">
        <v>51276</v>
      </c>
      <c r="O86" t="s">
        <v>88</v>
      </c>
      <c r="P86" t="s">
        <v>428</v>
      </c>
      <c r="Q86" t="s">
        <v>16</v>
      </c>
      <c r="R86" t="s">
        <v>251</v>
      </c>
      <c r="S86" t="s">
        <v>294</v>
      </c>
      <c r="U86" s="6">
        <v>42125.446319444447</v>
      </c>
      <c r="V86" t="s">
        <v>18</v>
      </c>
      <c r="W86" t="s">
        <v>17</v>
      </c>
      <c r="X86" s="6">
        <v>41920.661064814813</v>
      </c>
      <c r="Y86" t="s">
        <v>122</v>
      </c>
      <c r="AB86" t="s">
        <v>201</v>
      </c>
      <c r="AC86" t="s">
        <v>247</v>
      </c>
      <c r="AD86" t="s">
        <v>222</v>
      </c>
      <c r="AE86" t="s">
        <v>225</v>
      </c>
      <c r="AG86" t="s">
        <v>121</v>
      </c>
      <c r="AH86" t="s">
        <v>327</v>
      </c>
      <c r="AI86" t="s">
        <v>121</v>
      </c>
      <c r="AJ86" t="s">
        <v>717</v>
      </c>
      <c r="AK86" t="s">
        <v>121</v>
      </c>
    </row>
    <row r="87" spans="1:37" x14ac:dyDescent="0.3">
      <c r="A87" t="s">
        <v>169</v>
      </c>
      <c r="B87" t="s">
        <v>163</v>
      </c>
      <c r="C87" t="s">
        <v>170</v>
      </c>
      <c r="I87">
        <f ca="1">IF(OR(INDIRECT(A73&amp;ROW())=B93,INDIRECT(A73&amp;ROW())=B94),1,IF(AND(INDIRECT(A73&amp;ROW())=B95,INDIRECT(A96&amp;ROW())=C93),1,IF(AND(INDIRECT(A73&amp;ROW())=B95,INDIRECT(A96&amp;ROW())=C94),1,0)))</f>
        <v>0</v>
      </c>
      <c r="J87">
        <f ca="1">IF(AND(INDIRECT(A73&amp;ROW())=B95,INDIRECT(A96&amp;ROW())=C95),1,IF(AND(INDIRECT(A73&amp;ROW())=B95,INDIRECT(A96&amp;ROW())=C96),1,0))</f>
        <v>0</v>
      </c>
      <c r="K87">
        <f ca="1">DAYS360(INDIRECT(C68&amp;ROW()),TODAY())</f>
        <v>721</v>
      </c>
      <c r="L87">
        <f ca="1">DAYS360(INDIRECT(C69&amp;ROW()),TODAY())</f>
        <v>919</v>
      </c>
      <c r="M87" s="11">
        <f ca="1">HYPERLINK(CONCATENATE("https://bugzilla.houston.hp.com:1181/bugzilla/show_bug.cgi?id=",INDIRECT(C70&amp;ROW())),INDIRECT(C70&amp;ROW()))</f>
        <v>51523</v>
      </c>
      <c r="N87">
        <v>51523</v>
      </c>
      <c r="O87" t="s">
        <v>21</v>
      </c>
      <c r="P87" t="s">
        <v>427</v>
      </c>
      <c r="Q87" t="s">
        <v>16</v>
      </c>
      <c r="R87" t="s">
        <v>251</v>
      </c>
      <c r="S87" t="s">
        <v>22</v>
      </c>
      <c r="U87" s="6">
        <v>42125.447500000002</v>
      </c>
      <c r="V87" t="s">
        <v>18</v>
      </c>
      <c r="W87" t="s">
        <v>17</v>
      </c>
      <c r="X87" s="6">
        <v>41925.70585648148</v>
      </c>
      <c r="Y87" t="s">
        <v>122</v>
      </c>
      <c r="AB87" t="s">
        <v>201</v>
      </c>
      <c r="AC87" t="s">
        <v>247</v>
      </c>
      <c r="AD87" t="s">
        <v>222</v>
      </c>
      <c r="AE87" t="s">
        <v>225</v>
      </c>
      <c r="AG87" t="s">
        <v>121</v>
      </c>
      <c r="AH87" t="s">
        <v>327</v>
      </c>
      <c r="AI87" t="s">
        <v>121</v>
      </c>
      <c r="AJ87" t="s">
        <v>717</v>
      </c>
      <c r="AK87" t="s">
        <v>121</v>
      </c>
    </row>
    <row r="88" spans="1:37" x14ac:dyDescent="0.3">
      <c r="A88" t="s">
        <v>261</v>
      </c>
      <c r="I88">
        <f ca="1">IF(OR(INDIRECT(A73&amp;ROW())=B93,INDIRECT(A73&amp;ROW())=B94),1,IF(AND(INDIRECT(A73&amp;ROW())=B95,INDIRECT(A96&amp;ROW())=C93),1,IF(AND(INDIRECT(A73&amp;ROW())=B95,INDIRECT(A96&amp;ROW())=C94),1,0)))</f>
        <v>0</v>
      </c>
      <c r="J88">
        <f ca="1">IF(AND(INDIRECT(A73&amp;ROW())=B95,INDIRECT(A96&amp;ROW())=C95),1,IF(AND(INDIRECT(A73&amp;ROW())=B95,INDIRECT(A96&amp;ROW())=C96),1,0))</f>
        <v>0</v>
      </c>
      <c r="K88">
        <f ca="1">DAYS360(INDIRECT(C68&amp;ROW()),TODAY())</f>
        <v>710</v>
      </c>
      <c r="L88">
        <f ca="1">DAYS360(INDIRECT(C69&amp;ROW()),TODAY())</f>
        <v>918</v>
      </c>
      <c r="M88" s="11">
        <f ca="1">HYPERLINK(CONCATENATE("https://bugzilla.houston.hp.com:1181/bugzilla/show_bug.cgi?id=",INDIRECT(C70&amp;ROW())),INDIRECT(C70&amp;ROW()))</f>
        <v>51589</v>
      </c>
      <c r="N88">
        <v>51589</v>
      </c>
      <c r="O88" t="s">
        <v>66</v>
      </c>
      <c r="P88" t="s">
        <v>1050</v>
      </c>
      <c r="Q88" t="s">
        <v>16</v>
      </c>
      <c r="R88" t="s">
        <v>251</v>
      </c>
      <c r="S88" t="s">
        <v>66</v>
      </c>
      <c r="U88" s="6">
        <v>42136.635497685187</v>
      </c>
      <c r="V88" t="s">
        <v>18</v>
      </c>
      <c r="W88" t="s">
        <v>17</v>
      </c>
      <c r="X88" s="6">
        <v>41926.76421296296</v>
      </c>
      <c r="Y88" t="s">
        <v>255</v>
      </c>
      <c r="AB88" t="s">
        <v>201</v>
      </c>
      <c r="AC88" t="s">
        <v>247</v>
      </c>
      <c r="AD88" t="s">
        <v>220</v>
      </c>
      <c r="AE88" t="s">
        <v>219</v>
      </c>
      <c r="AG88" t="s">
        <v>121</v>
      </c>
      <c r="AH88" t="s">
        <v>327</v>
      </c>
      <c r="AI88" t="s">
        <v>121</v>
      </c>
      <c r="AJ88" t="s">
        <v>716</v>
      </c>
      <c r="AK88" t="s">
        <v>121</v>
      </c>
    </row>
    <row r="89" spans="1:37" x14ac:dyDescent="0.3">
      <c r="A89" t="s">
        <v>158</v>
      </c>
      <c r="I89">
        <f ca="1">IF(OR(INDIRECT(A73&amp;ROW())=B93,INDIRECT(A73&amp;ROW())=B94),1,IF(AND(INDIRECT(A73&amp;ROW())=B95,INDIRECT(A96&amp;ROW())=C93),1,IF(AND(INDIRECT(A73&amp;ROW())=B95,INDIRECT(A96&amp;ROW())=C94),1,0)))</f>
        <v>0</v>
      </c>
      <c r="J89">
        <f ca="1">IF(AND(INDIRECT(A73&amp;ROW())=B95,INDIRECT(A96&amp;ROW())=C95),1,IF(AND(INDIRECT(A73&amp;ROW())=B95,INDIRECT(A96&amp;ROW())=C96),1,0))</f>
        <v>0</v>
      </c>
      <c r="K89">
        <f ca="1">DAYS360(INDIRECT(C68&amp;ROW()),TODAY())</f>
        <v>688</v>
      </c>
      <c r="L89">
        <f ca="1">DAYS360(INDIRECT(C69&amp;ROW()),TODAY())</f>
        <v>912</v>
      </c>
      <c r="M89" s="11">
        <f ca="1">HYPERLINK(CONCATENATE("https://bugzilla.houston.hp.com:1181/bugzilla/show_bug.cgi?id=",INDIRECT(C70&amp;ROW())),INDIRECT(C70&amp;ROW()))</f>
        <v>51898</v>
      </c>
      <c r="N89">
        <v>51898</v>
      </c>
      <c r="O89" t="s">
        <v>56</v>
      </c>
      <c r="P89" t="s">
        <v>683</v>
      </c>
      <c r="Q89" t="s">
        <v>16</v>
      </c>
      <c r="R89" t="s">
        <v>251</v>
      </c>
      <c r="S89" t="s">
        <v>323</v>
      </c>
      <c r="U89" s="6">
        <v>42159.550162037034</v>
      </c>
      <c r="V89" t="s">
        <v>18</v>
      </c>
      <c r="W89" t="s">
        <v>17</v>
      </c>
      <c r="X89" s="6">
        <v>41932.742824074077</v>
      </c>
      <c r="Y89" t="s">
        <v>122</v>
      </c>
      <c r="AB89" t="s">
        <v>200</v>
      </c>
      <c r="AC89" t="s">
        <v>247</v>
      </c>
      <c r="AD89" t="s">
        <v>220</v>
      </c>
      <c r="AE89" t="s">
        <v>219</v>
      </c>
      <c r="AG89" t="s">
        <v>121</v>
      </c>
      <c r="AH89" t="s">
        <v>64</v>
      </c>
      <c r="AI89" t="s">
        <v>121</v>
      </c>
      <c r="AJ89" t="s">
        <v>716</v>
      </c>
      <c r="AK89" t="s">
        <v>121</v>
      </c>
    </row>
    <row r="90" spans="1:37" x14ac:dyDescent="0.3">
      <c r="A90" t="s">
        <v>262</v>
      </c>
      <c r="I90">
        <f ca="1">IF(OR(INDIRECT(A73&amp;ROW())=B93,INDIRECT(A73&amp;ROW())=B94),1,IF(AND(INDIRECT(A73&amp;ROW())=B95,INDIRECT(A96&amp;ROW())=C93),1,IF(AND(INDIRECT(A73&amp;ROW())=B95,INDIRECT(A96&amp;ROW())=C94),1,0)))</f>
        <v>0</v>
      </c>
      <c r="J90">
        <f ca="1">IF(AND(INDIRECT(A73&amp;ROW())=B95,INDIRECT(A96&amp;ROW())=C95),1,IF(AND(INDIRECT(A73&amp;ROW())=B95,INDIRECT(A96&amp;ROW())=C96),1,0))</f>
        <v>0</v>
      </c>
      <c r="K90">
        <f ca="1">DAYS360(INDIRECT(C68&amp;ROW()),TODAY())</f>
        <v>721</v>
      </c>
      <c r="L90">
        <f ca="1">DAYS360(INDIRECT(C69&amp;ROW()),TODAY())</f>
        <v>908</v>
      </c>
      <c r="M90" s="11">
        <f ca="1">HYPERLINK(CONCATENATE("https://bugzilla.houston.hp.com:1181/bugzilla/show_bug.cgi?id=",INDIRECT(C70&amp;ROW())),INDIRECT(C70&amp;ROW()))</f>
        <v>52136</v>
      </c>
      <c r="N90">
        <v>52136</v>
      </c>
      <c r="O90" t="s">
        <v>65</v>
      </c>
      <c r="P90" t="s">
        <v>426</v>
      </c>
      <c r="Q90" t="s">
        <v>16</v>
      </c>
      <c r="R90" t="s">
        <v>251</v>
      </c>
      <c r="S90" t="s">
        <v>43</v>
      </c>
      <c r="U90" s="6">
        <v>42125.447581018518</v>
      </c>
      <c r="V90" t="s">
        <v>18</v>
      </c>
      <c r="W90" t="s">
        <v>17</v>
      </c>
      <c r="X90" s="6">
        <v>41936.676226851851</v>
      </c>
      <c r="Y90" t="s">
        <v>122</v>
      </c>
      <c r="AB90" t="s">
        <v>201</v>
      </c>
      <c r="AC90" t="s">
        <v>247</v>
      </c>
      <c r="AD90" t="s">
        <v>220</v>
      </c>
      <c r="AE90" t="s">
        <v>219</v>
      </c>
      <c r="AG90" t="s">
        <v>121</v>
      </c>
      <c r="AH90" t="s">
        <v>64</v>
      </c>
      <c r="AI90" t="s">
        <v>121</v>
      </c>
      <c r="AJ90" t="s">
        <v>717</v>
      </c>
      <c r="AK90" t="s">
        <v>121</v>
      </c>
    </row>
    <row r="91" spans="1:37" x14ac:dyDescent="0.3">
      <c r="A91" t="s">
        <v>229</v>
      </c>
      <c r="I91">
        <f ca="1">IF(OR(INDIRECT(A73&amp;ROW())=B93,INDIRECT(A73&amp;ROW())=B94),1,IF(AND(INDIRECT(A73&amp;ROW())=B95,INDIRECT(A96&amp;ROW())=C93),1,IF(AND(INDIRECT(A73&amp;ROW())=B95,INDIRECT(A96&amp;ROW())=C94),1,0)))</f>
        <v>0</v>
      </c>
      <c r="J91">
        <f ca="1">IF(AND(INDIRECT(A73&amp;ROW())=B95,INDIRECT(A96&amp;ROW())=C95),1,IF(AND(INDIRECT(A73&amp;ROW())=B95,INDIRECT(A96&amp;ROW())=C96),1,0))</f>
        <v>0</v>
      </c>
      <c r="K91">
        <f ca="1">DAYS360(INDIRECT(C68&amp;ROW()),TODAY())</f>
        <v>721</v>
      </c>
      <c r="L91">
        <f ca="1">DAYS360(INDIRECT(C69&amp;ROW()),TODAY())</f>
        <v>904</v>
      </c>
      <c r="M91" s="11">
        <f ca="1">HYPERLINK(CONCATENATE("https://bugzilla.houston.hp.com:1181/bugzilla/show_bug.cgi?id=",INDIRECT(C70&amp;ROW())),INDIRECT(C70&amp;ROW()))</f>
        <v>52294</v>
      </c>
      <c r="N91">
        <v>52294</v>
      </c>
      <c r="O91" t="s">
        <v>56</v>
      </c>
      <c r="P91" t="s">
        <v>682</v>
      </c>
      <c r="Q91" t="s">
        <v>16</v>
      </c>
      <c r="R91" t="s">
        <v>251</v>
      </c>
      <c r="S91" t="s">
        <v>323</v>
      </c>
      <c r="T91" t="s">
        <v>353</v>
      </c>
      <c r="U91" s="6">
        <v>42125.447696759256</v>
      </c>
      <c r="V91" t="s">
        <v>18</v>
      </c>
      <c r="W91" t="s">
        <v>17</v>
      </c>
      <c r="X91" s="6">
        <v>41940.594814814816</v>
      </c>
      <c r="Y91" t="s">
        <v>122</v>
      </c>
      <c r="AB91" t="s">
        <v>200</v>
      </c>
      <c r="AC91" t="s">
        <v>247</v>
      </c>
      <c r="AD91" t="s">
        <v>220</v>
      </c>
      <c r="AE91" t="s">
        <v>219</v>
      </c>
      <c r="AG91" t="s">
        <v>121</v>
      </c>
      <c r="AH91" t="s">
        <v>64</v>
      </c>
      <c r="AI91" t="s">
        <v>121</v>
      </c>
      <c r="AJ91" t="s">
        <v>716</v>
      </c>
      <c r="AK91" t="s">
        <v>121</v>
      </c>
    </row>
    <row r="92" spans="1:37" x14ac:dyDescent="0.3">
      <c r="A92" t="s">
        <v>242</v>
      </c>
      <c r="B92" t="s">
        <v>375</v>
      </c>
      <c r="I92">
        <f ca="1">IF(OR(INDIRECT(A73&amp;ROW())=B93,INDIRECT(A73&amp;ROW())=B94),1,IF(AND(INDIRECT(A73&amp;ROW())=B95,INDIRECT(A96&amp;ROW())=C93),1,IF(AND(INDIRECT(A73&amp;ROW())=B95,INDIRECT(A96&amp;ROW())=C94),1,0)))</f>
        <v>0</v>
      </c>
      <c r="J92">
        <f ca="1">IF(AND(INDIRECT(A73&amp;ROW())=B95,INDIRECT(A96&amp;ROW())=C95),1,IF(AND(INDIRECT(A73&amp;ROW())=B95,INDIRECT(A96&amp;ROW())=C96),1,0))</f>
        <v>1</v>
      </c>
      <c r="K92">
        <f ca="1">DAYS360(INDIRECT(C68&amp;ROW()),TODAY())</f>
        <v>730</v>
      </c>
      <c r="L92">
        <f ca="1">DAYS360(INDIRECT(C69&amp;ROW()),TODAY())</f>
        <v>903</v>
      </c>
      <c r="M92" s="11">
        <f ca="1">HYPERLINK(CONCATENATE("https://bugzilla.houston.hp.com:1181/bugzilla/show_bug.cgi?id=",INDIRECT(C70&amp;ROW())),INDIRECT(C70&amp;ROW()))</f>
        <v>52318</v>
      </c>
      <c r="N92">
        <v>52318</v>
      </c>
      <c r="O92" t="s">
        <v>19</v>
      </c>
      <c r="P92" t="s">
        <v>492</v>
      </c>
      <c r="Q92" t="s">
        <v>25</v>
      </c>
      <c r="R92" t="s">
        <v>251</v>
      </c>
      <c r="S92" t="s">
        <v>354</v>
      </c>
      <c r="U92" s="6">
        <v>42116.542094907411</v>
      </c>
      <c r="V92" t="s">
        <v>18</v>
      </c>
      <c r="W92" t="s">
        <v>17</v>
      </c>
      <c r="X92" s="6">
        <v>41941.160590277781</v>
      </c>
      <c r="Y92" t="s">
        <v>255</v>
      </c>
      <c r="AB92" t="s">
        <v>201</v>
      </c>
      <c r="AC92" t="s">
        <v>247</v>
      </c>
      <c r="AD92" t="s">
        <v>220</v>
      </c>
      <c r="AE92" t="s">
        <v>219</v>
      </c>
      <c r="AG92" t="s">
        <v>121</v>
      </c>
      <c r="AH92" t="s">
        <v>64</v>
      </c>
      <c r="AI92" t="s">
        <v>121</v>
      </c>
      <c r="AJ92" t="s">
        <v>716</v>
      </c>
      <c r="AK92" t="s">
        <v>121</v>
      </c>
    </row>
    <row r="93" spans="1:37" x14ac:dyDescent="0.3">
      <c r="A93" t="s">
        <v>18</v>
      </c>
      <c r="B93" t="s">
        <v>38</v>
      </c>
      <c r="C93" t="s">
        <v>199</v>
      </c>
      <c r="I93">
        <f ca="1">IF(OR(INDIRECT(A73&amp;ROW())=B93,INDIRECT(A73&amp;ROW())=B94),1,IF(AND(INDIRECT(A73&amp;ROW())=B95,INDIRECT(A96&amp;ROW())=C93),1,IF(AND(INDIRECT(A73&amp;ROW())=B95,INDIRECT(A96&amp;ROW())=C94),1,0)))</f>
        <v>0</v>
      </c>
      <c r="J93">
        <f ca="1">IF(AND(INDIRECT(A73&amp;ROW())=B95,INDIRECT(A96&amp;ROW())=C95),1,IF(AND(INDIRECT(A73&amp;ROW())=B95,INDIRECT(A96&amp;ROW())=C96),1,0))</f>
        <v>0</v>
      </c>
      <c r="K93">
        <f ca="1">DAYS360(INDIRECT(C68&amp;ROW()),TODAY())</f>
        <v>721</v>
      </c>
      <c r="L93">
        <f ca="1">DAYS360(INDIRECT(C69&amp;ROW()),TODAY())</f>
        <v>902</v>
      </c>
      <c r="M93" s="11">
        <f ca="1">HYPERLINK(CONCATENATE("https://bugzilla.houston.hp.com:1181/bugzilla/show_bug.cgi?id=",INDIRECT(C70&amp;ROW())),INDIRECT(C70&amp;ROW()))</f>
        <v>52390</v>
      </c>
      <c r="N93">
        <v>52390</v>
      </c>
      <c r="O93" t="s">
        <v>249</v>
      </c>
      <c r="P93" t="s">
        <v>681</v>
      </c>
      <c r="Q93" t="s">
        <v>16</v>
      </c>
      <c r="R93" t="s">
        <v>251</v>
      </c>
      <c r="S93" t="s">
        <v>36</v>
      </c>
      <c r="U93" s="6">
        <v>42125.447604166664</v>
      </c>
      <c r="V93" t="s">
        <v>18</v>
      </c>
      <c r="W93" t="s">
        <v>17</v>
      </c>
      <c r="X93" s="6">
        <v>41942.304166666669</v>
      </c>
      <c r="Y93" t="s">
        <v>122</v>
      </c>
      <c r="AB93" t="s">
        <v>201</v>
      </c>
      <c r="AC93" t="s">
        <v>247</v>
      </c>
      <c r="AD93" t="s">
        <v>220</v>
      </c>
      <c r="AE93" t="s">
        <v>223</v>
      </c>
      <c r="AG93" t="s">
        <v>121</v>
      </c>
      <c r="AH93" t="s">
        <v>64</v>
      </c>
      <c r="AI93" t="s">
        <v>121</v>
      </c>
      <c r="AJ93" t="s">
        <v>717</v>
      </c>
      <c r="AK93" t="s">
        <v>121</v>
      </c>
    </row>
    <row r="94" spans="1:37" x14ac:dyDescent="0.3">
      <c r="A94" t="s">
        <v>35</v>
      </c>
      <c r="B94" t="s">
        <v>39</v>
      </c>
      <c r="C94" t="s">
        <v>200</v>
      </c>
      <c r="I94">
        <f ca="1">IF(OR(INDIRECT(A73&amp;ROW())=B93,INDIRECT(A73&amp;ROW())=B94),1,IF(AND(INDIRECT(A73&amp;ROW())=B95,INDIRECT(A96&amp;ROW())=C93),1,IF(AND(INDIRECT(A73&amp;ROW())=B95,INDIRECT(A96&amp;ROW())=C94),1,0)))</f>
        <v>0</v>
      </c>
      <c r="J94">
        <f ca="1">IF(AND(INDIRECT(A73&amp;ROW())=B95,INDIRECT(A96&amp;ROW())=C95),1,IF(AND(INDIRECT(A73&amp;ROW())=B95,INDIRECT(A96&amp;ROW())=C96),1,0))</f>
        <v>0</v>
      </c>
      <c r="K94">
        <f ca="1">DAYS360(INDIRECT(C68&amp;ROW()),TODAY())</f>
        <v>721</v>
      </c>
      <c r="L94">
        <f ca="1">DAYS360(INDIRECT(C69&amp;ROW()),TODAY())</f>
        <v>902</v>
      </c>
      <c r="M94" s="11">
        <f ca="1">HYPERLINK(CONCATENATE("https://bugzilla.houston.hp.com:1181/bugzilla/show_bug.cgi?id=",INDIRECT(C70&amp;ROW())),INDIRECT(C70&amp;ROW()))</f>
        <v>52482</v>
      </c>
      <c r="N94">
        <v>52482</v>
      </c>
      <c r="O94" t="s">
        <v>66</v>
      </c>
      <c r="P94" t="s">
        <v>743</v>
      </c>
      <c r="Q94" t="s">
        <v>16</v>
      </c>
      <c r="R94" t="s">
        <v>251</v>
      </c>
      <c r="S94" t="s">
        <v>323</v>
      </c>
      <c r="U94" s="6">
        <v>42125.447534722225</v>
      </c>
      <c r="V94" t="s">
        <v>18</v>
      </c>
      <c r="W94" t="s">
        <v>17</v>
      </c>
      <c r="X94" s="6">
        <v>41943.450358796297</v>
      </c>
      <c r="Y94" t="s">
        <v>122</v>
      </c>
      <c r="AB94" t="s">
        <v>201</v>
      </c>
      <c r="AC94" t="s">
        <v>247</v>
      </c>
      <c r="AD94" t="s">
        <v>220</v>
      </c>
      <c r="AE94" t="s">
        <v>219</v>
      </c>
      <c r="AG94" t="s">
        <v>121</v>
      </c>
      <c r="AH94" t="s">
        <v>327</v>
      </c>
      <c r="AI94" t="s">
        <v>121</v>
      </c>
      <c r="AJ94" t="s">
        <v>717</v>
      </c>
      <c r="AK94" t="s">
        <v>121</v>
      </c>
    </row>
    <row r="95" spans="1:37" x14ac:dyDescent="0.3">
      <c r="A95" t="s">
        <v>40</v>
      </c>
      <c r="B95" t="s">
        <v>25</v>
      </c>
      <c r="C95" t="s">
        <v>201</v>
      </c>
      <c r="I95">
        <f ca="1">IF(OR(INDIRECT(A73&amp;ROW())=B93,INDIRECT(A73&amp;ROW())=B94),1,IF(AND(INDIRECT(A73&amp;ROW())=B95,INDIRECT(A96&amp;ROW())=C93),1,IF(AND(INDIRECT(A73&amp;ROW())=B95,INDIRECT(A96&amp;ROW())=C94),1,0)))</f>
        <v>1</v>
      </c>
      <c r="J95">
        <f ca="1">IF(AND(INDIRECT(A73&amp;ROW())=B95,INDIRECT(A96&amp;ROW())=C95),1,IF(AND(INDIRECT(A73&amp;ROW())=B95,INDIRECT(A96&amp;ROW())=C96),1,0))</f>
        <v>0</v>
      </c>
      <c r="K95">
        <f ca="1">DAYS360(INDIRECT(C68&amp;ROW()),TODAY())</f>
        <v>724</v>
      </c>
      <c r="L95">
        <f ca="1">DAYS360(INDIRECT(C69&amp;ROW()),TODAY())</f>
        <v>899</v>
      </c>
      <c r="M95" s="11">
        <f ca="1">HYPERLINK(CONCATENATE("https://bugzilla.houston.hp.com:1181/bugzilla/show_bug.cgi?id=",INDIRECT(C70&amp;ROW())),INDIRECT(C70&amp;ROW()))</f>
        <v>52549</v>
      </c>
      <c r="N95">
        <v>52549</v>
      </c>
      <c r="O95" t="s">
        <v>188</v>
      </c>
      <c r="P95" t="s">
        <v>742</v>
      </c>
      <c r="Q95" t="s">
        <v>25</v>
      </c>
      <c r="R95" t="s">
        <v>251</v>
      </c>
      <c r="S95" t="s">
        <v>44</v>
      </c>
      <c r="U95" s="6">
        <v>42122.35260416667</v>
      </c>
      <c r="V95" t="s">
        <v>18</v>
      </c>
      <c r="W95" t="s">
        <v>17</v>
      </c>
      <c r="X95" s="6">
        <v>41946.398634259262</v>
      </c>
      <c r="Y95" t="s">
        <v>119</v>
      </c>
      <c r="AB95" t="s">
        <v>200</v>
      </c>
      <c r="AC95" t="s">
        <v>121</v>
      </c>
      <c r="AD95" t="s">
        <v>222</v>
      </c>
      <c r="AE95" t="s">
        <v>233</v>
      </c>
      <c r="AF95" s="13">
        <v>41878</v>
      </c>
      <c r="AG95" t="s">
        <v>121</v>
      </c>
      <c r="AH95" t="s">
        <v>64</v>
      </c>
      <c r="AI95" t="s">
        <v>362</v>
      </c>
      <c r="AJ95" t="s">
        <v>715</v>
      </c>
      <c r="AK95" t="s">
        <v>121</v>
      </c>
    </row>
    <row r="96" spans="1:37" x14ac:dyDescent="0.3">
      <c r="A96" t="s">
        <v>352</v>
      </c>
      <c r="B96" t="s">
        <v>266</v>
      </c>
      <c r="C96" t="s">
        <v>318</v>
      </c>
      <c r="I96">
        <f ca="1">IF(OR(INDIRECT(A73&amp;ROW())=B93,INDIRECT(A73&amp;ROW())=B94),1,IF(AND(INDIRECT(A73&amp;ROW())=B95,INDIRECT(A96&amp;ROW())=C93),1,IF(AND(INDIRECT(A73&amp;ROW())=B95,INDIRECT(A96&amp;ROW())=C94),1,0)))</f>
        <v>1</v>
      </c>
      <c r="J96">
        <f ca="1">IF(AND(INDIRECT(A73&amp;ROW())=B95,INDIRECT(A96&amp;ROW())=C95),1,IF(AND(INDIRECT(A73&amp;ROW())=B95,INDIRECT(A96&amp;ROW())=C96),1,0))</f>
        <v>0</v>
      </c>
      <c r="K96">
        <f ca="1">DAYS360(INDIRECT(C68&amp;ROW()),TODAY())</f>
        <v>730</v>
      </c>
      <c r="L96">
        <f ca="1">DAYS360(INDIRECT(C69&amp;ROW()),TODAY())</f>
        <v>899</v>
      </c>
      <c r="M96" s="11">
        <f ca="1">HYPERLINK(CONCATENATE("https://bugzilla.houston.hp.com:1181/bugzilla/show_bug.cgi?id=",INDIRECT(C70&amp;ROW())),INDIRECT(C70&amp;ROW()))</f>
        <v>52552</v>
      </c>
      <c r="N96">
        <v>52552</v>
      </c>
      <c r="O96" t="s">
        <v>50</v>
      </c>
      <c r="P96" t="s">
        <v>425</v>
      </c>
      <c r="Q96" t="s">
        <v>25</v>
      </c>
      <c r="R96" t="s">
        <v>251</v>
      </c>
      <c r="S96" t="s">
        <v>44</v>
      </c>
      <c r="T96" t="s">
        <v>782</v>
      </c>
      <c r="U96" s="6">
        <v>42116.454432870371</v>
      </c>
      <c r="V96" t="s">
        <v>18</v>
      </c>
      <c r="W96" t="s">
        <v>17</v>
      </c>
      <c r="X96" s="6">
        <v>41946.424259259256</v>
      </c>
      <c r="Y96" t="s">
        <v>119</v>
      </c>
      <c r="AB96" t="s">
        <v>200</v>
      </c>
      <c r="AC96" t="s">
        <v>121</v>
      </c>
      <c r="AD96" t="s">
        <v>227</v>
      </c>
      <c r="AE96" t="s">
        <v>226</v>
      </c>
      <c r="AG96" t="s">
        <v>121</v>
      </c>
      <c r="AH96" t="s">
        <v>327</v>
      </c>
      <c r="AI96" t="s">
        <v>362</v>
      </c>
      <c r="AJ96" t="s">
        <v>715</v>
      </c>
      <c r="AK96" t="s">
        <v>121</v>
      </c>
    </row>
    <row r="97" spans="1:37" x14ac:dyDescent="0.3">
      <c r="A97" t="s">
        <v>96</v>
      </c>
      <c r="B97" t="s">
        <v>268</v>
      </c>
      <c r="I97">
        <f ca="1">IF(OR(INDIRECT(A73&amp;ROW())=B93,INDIRECT(A73&amp;ROW())=B94),1,IF(AND(INDIRECT(A73&amp;ROW())=B95,INDIRECT(A96&amp;ROW())=C93),1,IF(AND(INDIRECT(A73&amp;ROW())=B95,INDIRECT(A96&amp;ROW())=C94),1,0)))</f>
        <v>1</v>
      </c>
      <c r="J97">
        <f ca="1">IF(AND(INDIRECT(A73&amp;ROW())=B95,INDIRECT(A96&amp;ROW())=C95),1,IF(AND(INDIRECT(A73&amp;ROW())=B95,INDIRECT(A96&amp;ROW())=C96),1,0))</f>
        <v>0</v>
      </c>
      <c r="K97">
        <f ca="1">DAYS360(INDIRECT(C68&amp;ROW()),TODAY())</f>
        <v>730</v>
      </c>
      <c r="L97">
        <f ca="1">DAYS360(INDIRECT(C69&amp;ROW()),TODAY())</f>
        <v>899</v>
      </c>
      <c r="M97" s="11">
        <f ca="1">HYPERLINK(CONCATENATE("https://bugzilla.houston.hp.com:1181/bugzilla/show_bug.cgi?id=",INDIRECT(C70&amp;ROW())),INDIRECT(C70&amp;ROW()))</f>
        <v>52554</v>
      </c>
      <c r="N97">
        <v>52554</v>
      </c>
      <c r="O97" t="s">
        <v>56</v>
      </c>
      <c r="P97" t="s">
        <v>424</v>
      </c>
      <c r="Q97" t="s">
        <v>39</v>
      </c>
      <c r="R97" t="s">
        <v>251</v>
      </c>
      <c r="S97" t="s">
        <v>44</v>
      </c>
      <c r="U97" s="6">
        <v>42116.731180555558</v>
      </c>
      <c r="V97" t="s">
        <v>18</v>
      </c>
      <c r="W97" t="s">
        <v>17</v>
      </c>
      <c r="X97" s="6">
        <v>41946.468263888892</v>
      </c>
      <c r="Y97" t="s">
        <v>245</v>
      </c>
      <c r="AB97" t="s">
        <v>200</v>
      </c>
      <c r="AC97" t="s">
        <v>121</v>
      </c>
      <c r="AD97" t="s">
        <v>220</v>
      </c>
      <c r="AE97" t="s">
        <v>219</v>
      </c>
      <c r="AG97" t="s">
        <v>121</v>
      </c>
      <c r="AH97" t="s">
        <v>327</v>
      </c>
      <c r="AI97" t="s">
        <v>362</v>
      </c>
      <c r="AJ97" t="s">
        <v>715</v>
      </c>
      <c r="AK97" t="s">
        <v>121</v>
      </c>
    </row>
    <row r="98" spans="1:37" x14ac:dyDescent="0.3">
      <c r="A98" t="s">
        <v>263</v>
      </c>
      <c r="B98" t="s">
        <v>269</v>
      </c>
      <c r="C98" t="s">
        <v>270</v>
      </c>
      <c r="I98">
        <f ca="1">IF(OR(INDIRECT(A73&amp;ROW())=B93,INDIRECT(A73&amp;ROW())=B94),1,IF(AND(INDIRECT(A73&amp;ROW())=B95,INDIRECT(A96&amp;ROW())=C93),1,IF(AND(INDIRECT(A73&amp;ROW())=B95,INDIRECT(A96&amp;ROW())=C94),1,0)))</f>
        <v>1</v>
      </c>
      <c r="J98">
        <f ca="1">IF(AND(INDIRECT(A73&amp;ROW())=B95,INDIRECT(A96&amp;ROW())=C95),1,IF(AND(INDIRECT(A73&amp;ROW())=B95,INDIRECT(A96&amp;ROW())=C96),1,0))</f>
        <v>0</v>
      </c>
      <c r="K98">
        <f ca="1">DAYS360(INDIRECT(C68&amp;ROW()),TODAY())</f>
        <v>730</v>
      </c>
      <c r="L98">
        <f ca="1">DAYS360(INDIRECT(C69&amp;ROW()),TODAY())</f>
        <v>899</v>
      </c>
      <c r="M98" s="11">
        <f ca="1">HYPERLINK(CONCATENATE("https://bugzilla.houston.hp.com:1181/bugzilla/show_bug.cgi?id=",INDIRECT(C70&amp;ROW())),INDIRECT(C70&amp;ROW()))</f>
        <v>52555</v>
      </c>
      <c r="N98">
        <v>52555</v>
      </c>
      <c r="O98" t="s">
        <v>55</v>
      </c>
      <c r="P98" t="s">
        <v>471</v>
      </c>
      <c r="Q98" t="s">
        <v>25</v>
      </c>
      <c r="R98" t="s">
        <v>251</v>
      </c>
      <c r="S98" t="s">
        <v>44</v>
      </c>
      <c r="U98" s="6">
        <v>42116.454155092593</v>
      </c>
      <c r="V98" t="s">
        <v>18</v>
      </c>
      <c r="W98" t="s">
        <v>17</v>
      </c>
      <c r="X98" s="6">
        <v>41946.474421296298</v>
      </c>
      <c r="Y98" t="s">
        <v>793</v>
      </c>
      <c r="AB98" t="s">
        <v>200</v>
      </c>
      <c r="AC98" t="s">
        <v>121</v>
      </c>
      <c r="AD98" t="s">
        <v>220</v>
      </c>
      <c r="AE98" t="s">
        <v>219</v>
      </c>
      <c r="AG98" t="s">
        <v>121</v>
      </c>
      <c r="AH98" t="s">
        <v>327</v>
      </c>
      <c r="AI98" t="s">
        <v>121</v>
      </c>
      <c r="AJ98" t="s">
        <v>715</v>
      </c>
      <c r="AK98" t="s">
        <v>121</v>
      </c>
    </row>
    <row r="99" spans="1:37" x14ac:dyDescent="0.3">
      <c r="A99" t="s">
        <v>95</v>
      </c>
      <c r="B99" t="s">
        <v>347</v>
      </c>
      <c r="I99">
        <f ca="1">IF(OR(INDIRECT(A73&amp;ROW())=B93,INDIRECT(A73&amp;ROW())=B94),1,IF(AND(INDIRECT(A73&amp;ROW())=B95,INDIRECT(A96&amp;ROW())=C93),1,IF(AND(INDIRECT(A73&amp;ROW())=B95,INDIRECT(A96&amp;ROW())=C94),1,0)))</f>
        <v>0</v>
      </c>
      <c r="J99">
        <f ca="1">IF(AND(INDIRECT(A73&amp;ROW())=B95,INDIRECT(A96&amp;ROW())=C95),1,IF(AND(INDIRECT(A73&amp;ROW())=B95,INDIRECT(A96&amp;ROW())=C96),1,0))</f>
        <v>1</v>
      </c>
      <c r="K99">
        <f ca="1">DAYS360(INDIRECT(C68&amp;ROW()),TODAY())</f>
        <v>730</v>
      </c>
      <c r="L99">
        <f ca="1">DAYS360(INDIRECT(C69&amp;ROW()),TODAY())</f>
        <v>899</v>
      </c>
      <c r="M99" s="11">
        <f ca="1">HYPERLINK(CONCATENATE("https://bugzilla.houston.hp.com:1181/bugzilla/show_bug.cgi?id=",INDIRECT(C70&amp;ROW())),INDIRECT(C70&amp;ROW()))</f>
        <v>52558</v>
      </c>
      <c r="N99">
        <v>52558</v>
      </c>
      <c r="O99" t="s">
        <v>66</v>
      </c>
      <c r="P99" t="s">
        <v>473</v>
      </c>
      <c r="Q99" t="s">
        <v>25</v>
      </c>
      <c r="R99" t="s">
        <v>251</v>
      </c>
      <c r="S99" t="s">
        <v>44</v>
      </c>
      <c r="U99" s="6">
        <v>42116.542615740742</v>
      </c>
      <c r="V99" t="s">
        <v>18</v>
      </c>
      <c r="W99" t="s">
        <v>17</v>
      </c>
      <c r="X99" s="6">
        <v>41946.490312499998</v>
      </c>
      <c r="Y99" t="s">
        <v>119</v>
      </c>
      <c r="AB99" t="s">
        <v>201</v>
      </c>
      <c r="AC99" t="s">
        <v>121</v>
      </c>
      <c r="AD99" t="s">
        <v>220</v>
      </c>
      <c r="AE99" t="s">
        <v>219</v>
      </c>
      <c r="AF99" s="13">
        <v>41901</v>
      </c>
      <c r="AG99" t="s">
        <v>121</v>
      </c>
      <c r="AH99" t="s">
        <v>64</v>
      </c>
      <c r="AI99" t="s">
        <v>363</v>
      </c>
      <c r="AJ99" t="s">
        <v>716</v>
      </c>
      <c r="AK99" t="s">
        <v>121</v>
      </c>
    </row>
    <row r="100" spans="1:37" x14ac:dyDescent="0.3">
      <c r="I100">
        <f ca="1">IF(OR(INDIRECT(A73&amp;ROW())=B93,INDIRECT(A73&amp;ROW())=B94),1,IF(AND(INDIRECT(A73&amp;ROW())=B95,INDIRECT(A96&amp;ROW())=C93),1,IF(AND(INDIRECT(A73&amp;ROW())=B95,INDIRECT(A96&amp;ROW())=C94),1,0)))</f>
        <v>0</v>
      </c>
      <c r="J100">
        <f ca="1">IF(AND(INDIRECT(A73&amp;ROW())=B95,INDIRECT(A96&amp;ROW())=C95),1,IF(AND(INDIRECT(A73&amp;ROW())=B95,INDIRECT(A96&amp;ROW())=C96),1,0))</f>
        <v>0</v>
      </c>
      <c r="K100">
        <f ca="1">DAYS360(INDIRECT(C68&amp;ROW()),TODAY())</f>
        <v>730</v>
      </c>
      <c r="L100">
        <f ca="1">DAYS360(INDIRECT(C69&amp;ROW()),TODAY())</f>
        <v>898</v>
      </c>
      <c r="M100" s="11">
        <f ca="1">HYPERLINK(CONCATENATE("https://bugzilla.houston.hp.com:1181/bugzilla/show_bug.cgi?id=",INDIRECT(C70&amp;ROW())),INDIRECT(C70&amp;ROW()))</f>
        <v>52603</v>
      </c>
      <c r="N100">
        <v>52603</v>
      </c>
      <c r="O100" t="s">
        <v>56</v>
      </c>
      <c r="P100" t="s">
        <v>491</v>
      </c>
      <c r="Q100" t="s">
        <v>16</v>
      </c>
      <c r="R100" t="s">
        <v>251</v>
      </c>
      <c r="S100" t="s">
        <v>155</v>
      </c>
      <c r="U100" s="6">
        <v>42116.542743055557</v>
      </c>
      <c r="V100" t="s">
        <v>40</v>
      </c>
      <c r="W100" t="s">
        <v>17</v>
      </c>
      <c r="X100" s="6">
        <v>41947.299305555556</v>
      </c>
      <c r="Y100" t="s">
        <v>255</v>
      </c>
      <c r="AB100" t="s">
        <v>199</v>
      </c>
      <c r="AC100" t="s">
        <v>247</v>
      </c>
      <c r="AD100" t="s">
        <v>220</v>
      </c>
      <c r="AE100" t="s">
        <v>219</v>
      </c>
      <c r="AG100" t="s">
        <v>121</v>
      </c>
      <c r="AH100" t="s">
        <v>327</v>
      </c>
      <c r="AI100" t="s">
        <v>121</v>
      </c>
      <c r="AJ100" t="s">
        <v>716</v>
      </c>
      <c r="AK100" t="s">
        <v>121</v>
      </c>
    </row>
    <row r="101" spans="1:37" x14ac:dyDescent="0.3">
      <c r="I101">
        <f ca="1">IF(OR(INDIRECT(A73&amp;ROW())=B93,INDIRECT(A73&amp;ROW())=B94),1,IF(AND(INDIRECT(A73&amp;ROW())=B95,INDIRECT(A96&amp;ROW())=C93),1,IF(AND(INDIRECT(A73&amp;ROW())=B95,INDIRECT(A96&amp;ROW())=C94),1,0)))</f>
        <v>0</v>
      </c>
      <c r="J101">
        <f ca="1">IF(AND(INDIRECT(A73&amp;ROW())=B95,INDIRECT(A96&amp;ROW())=C95),1,IF(AND(INDIRECT(A73&amp;ROW())=B95,INDIRECT(A96&amp;ROW())=C96),1,0))</f>
        <v>0</v>
      </c>
      <c r="K101">
        <f ca="1">DAYS360(INDIRECT(C68&amp;ROW()),TODAY())</f>
        <v>730</v>
      </c>
      <c r="L101">
        <f ca="1">DAYS360(INDIRECT(C69&amp;ROW()),TODAY())</f>
        <v>898</v>
      </c>
      <c r="M101" s="11">
        <f ca="1">HYPERLINK(CONCATENATE("https://bugzilla.houston.hp.com:1181/bugzilla/show_bug.cgi?id=",INDIRECT(C70&amp;ROW())),INDIRECT(C70&amp;ROW()))</f>
        <v>52633</v>
      </c>
      <c r="N101">
        <v>52633</v>
      </c>
      <c r="O101" t="s">
        <v>55</v>
      </c>
      <c r="P101" t="s">
        <v>741</v>
      </c>
      <c r="Q101" t="s">
        <v>16</v>
      </c>
      <c r="R101" t="s">
        <v>251</v>
      </c>
      <c r="S101" t="s">
        <v>365</v>
      </c>
      <c r="U101" s="6">
        <v>42116.542916666665</v>
      </c>
      <c r="V101" t="s">
        <v>35</v>
      </c>
      <c r="W101" t="s">
        <v>17</v>
      </c>
      <c r="X101" s="6">
        <v>41947.458136574074</v>
      </c>
      <c r="Y101" t="s">
        <v>246</v>
      </c>
      <c r="AB101" t="s">
        <v>200</v>
      </c>
      <c r="AC101" t="s">
        <v>247</v>
      </c>
      <c r="AD101" t="s">
        <v>220</v>
      </c>
      <c r="AE101" t="s">
        <v>219</v>
      </c>
      <c r="AG101" t="s">
        <v>121</v>
      </c>
      <c r="AH101" t="s">
        <v>327</v>
      </c>
      <c r="AI101" t="s">
        <v>121</v>
      </c>
      <c r="AJ101" t="s">
        <v>716</v>
      </c>
      <c r="AK101" t="s">
        <v>121</v>
      </c>
    </row>
    <row r="102" spans="1:37" x14ac:dyDescent="0.3">
      <c r="I102">
        <f ca="1">IF(OR(INDIRECT(A73&amp;ROW())=B93,INDIRECT(A73&amp;ROW())=B94),1,IF(AND(INDIRECT(A73&amp;ROW())=B95,INDIRECT(A96&amp;ROW())=C93),1,IF(AND(INDIRECT(A73&amp;ROW())=B95,INDIRECT(A96&amp;ROW())=C94),1,0)))</f>
        <v>0</v>
      </c>
      <c r="J102">
        <f ca="1">IF(AND(INDIRECT(A73&amp;ROW())=B95,INDIRECT(A96&amp;ROW())=C95),1,IF(AND(INDIRECT(A73&amp;ROW())=B95,INDIRECT(A96&amp;ROW())=C96),1,0))</f>
        <v>0</v>
      </c>
      <c r="K102">
        <f ca="1">DAYS360(INDIRECT(C68&amp;ROW()),TODAY())</f>
        <v>714</v>
      </c>
      <c r="L102">
        <f ca="1">DAYS360(INDIRECT(C69&amp;ROW()),TODAY())</f>
        <v>898</v>
      </c>
      <c r="M102" s="11">
        <f ca="1">HYPERLINK(CONCATENATE("https://bugzilla.houston.hp.com:1181/bugzilla/show_bug.cgi?id=",INDIRECT(C70&amp;ROW())),INDIRECT(C70&amp;ROW()))</f>
        <v>52651</v>
      </c>
      <c r="N102">
        <v>52651</v>
      </c>
      <c r="O102" t="s">
        <v>56</v>
      </c>
      <c r="P102" t="s">
        <v>929</v>
      </c>
      <c r="Q102" t="s">
        <v>16</v>
      </c>
      <c r="R102" t="s">
        <v>251</v>
      </c>
      <c r="S102" t="s">
        <v>292</v>
      </c>
      <c r="T102" t="s">
        <v>842</v>
      </c>
      <c r="U102" s="6">
        <v>42132.358182870368</v>
      </c>
      <c r="V102" t="s">
        <v>18</v>
      </c>
      <c r="W102" t="s">
        <v>17</v>
      </c>
      <c r="X102" s="6">
        <v>41947.710601851853</v>
      </c>
      <c r="Y102" t="s">
        <v>785</v>
      </c>
      <c r="AB102" t="s">
        <v>200</v>
      </c>
      <c r="AC102" t="s">
        <v>247</v>
      </c>
      <c r="AD102" t="s">
        <v>220</v>
      </c>
      <c r="AE102" t="s">
        <v>219</v>
      </c>
      <c r="AG102" t="s">
        <v>121</v>
      </c>
      <c r="AH102" t="s">
        <v>327</v>
      </c>
      <c r="AI102" t="s">
        <v>121</v>
      </c>
      <c r="AJ102" t="s">
        <v>716</v>
      </c>
      <c r="AK102" t="s">
        <v>121</v>
      </c>
    </row>
    <row r="103" spans="1:37" x14ac:dyDescent="0.3">
      <c r="I103">
        <f ca="1">IF(OR(INDIRECT(A73&amp;ROW())=B93,INDIRECT(A73&amp;ROW())=B94),1,IF(AND(INDIRECT(A73&amp;ROW())=B95,INDIRECT(A96&amp;ROW())=C93),1,IF(AND(INDIRECT(A73&amp;ROW())=B95,INDIRECT(A96&amp;ROW())=C94),1,0)))</f>
        <v>1</v>
      </c>
      <c r="J103">
        <f ca="1">IF(AND(INDIRECT(A73&amp;ROW())=B95,INDIRECT(A96&amp;ROW())=C95),1,IF(AND(INDIRECT(A73&amp;ROW())=B95,INDIRECT(A96&amp;ROW())=C96),1,0))</f>
        <v>0</v>
      </c>
      <c r="K103">
        <f ca="1">DAYS360(INDIRECT(C68&amp;ROW()),TODAY())</f>
        <v>730</v>
      </c>
      <c r="L103">
        <f ca="1">DAYS360(INDIRECT(C69&amp;ROW()),TODAY())</f>
        <v>897</v>
      </c>
      <c r="M103" s="11">
        <f ca="1">HYPERLINK(CONCATENATE("https://bugzilla.houston.hp.com:1181/bugzilla/show_bug.cgi?id=",INDIRECT(C70&amp;ROW())),INDIRECT(C70&amp;ROW()))</f>
        <v>52678</v>
      </c>
      <c r="N103">
        <v>52678</v>
      </c>
      <c r="O103" t="s">
        <v>298</v>
      </c>
      <c r="P103" t="s">
        <v>470</v>
      </c>
      <c r="Q103" t="s">
        <v>39</v>
      </c>
      <c r="R103" t="s">
        <v>251</v>
      </c>
      <c r="S103" t="s">
        <v>321</v>
      </c>
      <c r="U103" s="6">
        <v>42116.453344907408</v>
      </c>
      <c r="V103" t="s">
        <v>18</v>
      </c>
      <c r="W103" t="s">
        <v>17</v>
      </c>
      <c r="X103" s="6">
        <v>41948.176805555559</v>
      </c>
      <c r="Y103" t="s">
        <v>119</v>
      </c>
      <c r="AB103" t="s">
        <v>201</v>
      </c>
      <c r="AC103" t="s">
        <v>247</v>
      </c>
      <c r="AD103" t="s">
        <v>227</v>
      </c>
      <c r="AE103" t="s">
        <v>231</v>
      </c>
      <c r="AG103" t="s">
        <v>121</v>
      </c>
      <c r="AH103" t="s">
        <v>327</v>
      </c>
      <c r="AI103" t="s">
        <v>121</v>
      </c>
      <c r="AJ103" t="s">
        <v>715</v>
      </c>
      <c r="AK103" t="s">
        <v>121</v>
      </c>
    </row>
    <row r="104" spans="1:37" x14ac:dyDescent="0.3">
      <c r="I104">
        <f ca="1">IF(OR(INDIRECT(A73&amp;ROW())=B93,INDIRECT(A73&amp;ROW())=B94),1,IF(AND(INDIRECT(A73&amp;ROW())=B95,INDIRECT(A96&amp;ROW())=C93),1,IF(AND(INDIRECT(A73&amp;ROW())=B95,INDIRECT(A96&amp;ROW())=C94),1,0)))</f>
        <v>0</v>
      </c>
      <c r="J104">
        <f ca="1">IF(AND(INDIRECT(A73&amp;ROW())=B95,INDIRECT(A96&amp;ROW())=C95),1,IF(AND(INDIRECT(A73&amp;ROW())=B95,INDIRECT(A96&amp;ROW())=C96),1,0))</f>
        <v>0</v>
      </c>
      <c r="K104">
        <f ca="1">DAYS360(INDIRECT(C68&amp;ROW()),TODAY())</f>
        <v>721</v>
      </c>
      <c r="L104">
        <f ca="1">DAYS360(INDIRECT(C69&amp;ROW()),TODAY())</f>
        <v>897</v>
      </c>
      <c r="M104" s="11">
        <f ca="1">HYPERLINK(CONCATENATE("https://bugzilla.houston.hp.com:1181/bugzilla/show_bug.cgi?id=",INDIRECT(C70&amp;ROW())),INDIRECT(C70&amp;ROW()))</f>
        <v>52707</v>
      </c>
      <c r="N104">
        <v>52707</v>
      </c>
      <c r="O104" t="s">
        <v>241</v>
      </c>
      <c r="P104" t="s">
        <v>490</v>
      </c>
      <c r="Q104" t="s">
        <v>16</v>
      </c>
      <c r="R104" t="s">
        <v>251</v>
      </c>
      <c r="S104" t="s">
        <v>367</v>
      </c>
      <c r="T104" t="s">
        <v>782</v>
      </c>
      <c r="U104" s="6">
        <v>42125.653182870374</v>
      </c>
      <c r="V104" t="s">
        <v>40</v>
      </c>
      <c r="W104" t="s">
        <v>17</v>
      </c>
      <c r="X104" s="6">
        <v>41948.442997685182</v>
      </c>
      <c r="Y104" t="s">
        <v>245</v>
      </c>
      <c r="AB104" t="s">
        <v>201</v>
      </c>
      <c r="AC104" t="s">
        <v>247</v>
      </c>
      <c r="AD104" t="s">
        <v>227</v>
      </c>
      <c r="AE104" t="s">
        <v>237</v>
      </c>
      <c r="AG104" t="s">
        <v>121</v>
      </c>
      <c r="AH104" t="s">
        <v>327</v>
      </c>
      <c r="AI104" t="s">
        <v>121</v>
      </c>
      <c r="AJ104" t="s">
        <v>717</v>
      </c>
      <c r="AK104" t="s">
        <v>121</v>
      </c>
    </row>
    <row r="105" spans="1:37" x14ac:dyDescent="0.3">
      <c r="I105">
        <f ca="1">IF(OR(INDIRECT(A73&amp;ROW())=B93,INDIRECT(A73&amp;ROW())=B94),1,IF(AND(INDIRECT(A73&amp;ROW())=B95,INDIRECT(A96&amp;ROW())=C93),1,IF(AND(INDIRECT(A73&amp;ROW())=B95,INDIRECT(A96&amp;ROW())=C94),1,0)))</f>
        <v>1</v>
      </c>
      <c r="J105">
        <f ca="1">IF(AND(INDIRECT(A73&amp;ROW())=B95,INDIRECT(A96&amp;ROW())=C95),1,IF(AND(INDIRECT(A73&amp;ROW())=B95,INDIRECT(A96&amp;ROW())=C96),1,0))</f>
        <v>0</v>
      </c>
      <c r="K105">
        <f ca="1">DAYS360(INDIRECT(C68&amp;ROW()),TODAY())</f>
        <v>710</v>
      </c>
      <c r="L105">
        <f ca="1">DAYS360(INDIRECT(C69&amp;ROW()),TODAY())</f>
        <v>897</v>
      </c>
      <c r="M105" s="11">
        <f ca="1">HYPERLINK(CONCATENATE("https://bugzilla.houston.hp.com:1181/bugzilla/show_bug.cgi?id=",INDIRECT(C70&amp;ROW())),INDIRECT(C70&amp;ROW()))</f>
        <v>52720</v>
      </c>
      <c r="N105">
        <v>52720</v>
      </c>
      <c r="O105" t="s">
        <v>22</v>
      </c>
      <c r="P105" t="s">
        <v>857</v>
      </c>
      <c r="Q105" t="s">
        <v>39</v>
      </c>
      <c r="R105" t="s">
        <v>251</v>
      </c>
      <c r="S105" t="s">
        <v>369</v>
      </c>
      <c r="U105" s="6">
        <v>42136.734016203707</v>
      </c>
      <c r="V105" t="s">
        <v>18</v>
      </c>
      <c r="W105" t="s">
        <v>17</v>
      </c>
      <c r="X105" s="6">
        <v>41948.632592592592</v>
      </c>
      <c r="Y105" t="s">
        <v>245</v>
      </c>
      <c r="AB105" t="s">
        <v>201</v>
      </c>
      <c r="AC105" t="s">
        <v>247</v>
      </c>
      <c r="AD105" t="s">
        <v>222</v>
      </c>
      <c r="AE105" t="s">
        <v>221</v>
      </c>
      <c r="AG105" t="s">
        <v>121</v>
      </c>
      <c r="AH105" t="s">
        <v>327</v>
      </c>
      <c r="AI105" t="s">
        <v>121</v>
      </c>
      <c r="AJ105" t="s">
        <v>715</v>
      </c>
      <c r="AK105" t="s">
        <v>121</v>
      </c>
    </row>
    <row r="106" spans="1:37" x14ac:dyDescent="0.3">
      <c r="I106">
        <f ca="1">IF(OR(INDIRECT(A73&amp;ROW())=B93,INDIRECT(A73&amp;ROW())=B94),1,IF(AND(INDIRECT(A73&amp;ROW())=B95,INDIRECT(A96&amp;ROW())=C93),1,IF(AND(INDIRECT(A73&amp;ROW())=B95,INDIRECT(A96&amp;ROW())=C94),1,0)))</f>
        <v>0</v>
      </c>
      <c r="J106">
        <f ca="1">IF(AND(INDIRECT(A73&amp;ROW())=B95,INDIRECT(A96&amp;ROW())=C95),1,IF(AND(INDIRECT(A73&amp;ROW())=B95,INDIRECT(A96&amp;ROW())=C96),1,0))</f>
        <v>1</v>
      </c>
      <c r="K106">
        <f ca="1">DAYS360(INDIRECT(C68&amp;ROW()),TODAY())</f>
        <v>730</v>
      </c>
      <c r="L106">
        <f ca="1">DAYS360(INDIRECT(C69&amp;ROW()),TODAY())</f>
        <v>896</v>
      </c>
      <c r="M106" s="11">
        <f ca="1">HYPERLINK(CONCATENATE("https://bugzilla.houston.hp.com:1181/bugzilla/show_bug.cgi?id=",INDIRECT(C70&amp;ROW())),INDIRECT(C70&amp;ROW()))</f>
        <v>52807</v>
      </c>
      <c r="N106">
        <v>52807</v>
      </c>
      <c r="O106" t="s">
        <v>88</v>
      </c>
      <c r="P106" t="s">
        <v>680</v>
      </c>
      <c r="Q106" t="s">
        <v>25</v>
      </c>
      <c r="R106" t="s">
        <v>251</v>
      </c>
      <c r="S106" t="s">
        <v>28</v>
      </c>
      <c r="U106" s="6">
        <v>42116.543541666666</v>
      </c>
      <c r="V106" t="s">
        <v>18</v>
      </c>
      <c r="W106" t="s">
        <v>17</v>
      </c>
      <c r="X106" s="6">
        <v>41949.735173611109</v>
      </c>
      <c r="Y106" t="s">
        <v>246</v>
      </c>
      <c r="AB106" t="s">
        <v>201</v>
      </c>
      <c r="AC106" t="s">
        <v>247</v>
      </c>
      <c r="AD106" t="s">
        <v>222</v>
      </c>
      <c r="AE106" t="s">
        <v>221</v>
      </c>
      <c r="AG106" t="s">
        <v>121</v>
      </c>
      <c r="AH106" t="s">
        <v>327</v>
      </c>
      <c r="AI106" t="s">
        <v>121</v>
      </c>
      <c r="AJ106" t="s">
        <v>716</v>
      </c>
      <c r="AK106" t="s">
        <v>121</v>
      </c>
    </row>
    <row r="107" spans="1:37" x14ac:dyDescent="0.3">
      <c r="I107">
        <f ca="1">IF(OR(INDIRECT(A73&amp;ROW())=B93,INDIRECT(A73&amp;ROW())=B94),1,IF(AND(INDIRECT(A73&amp;ROW())=B95,INDIRECT(A96&amp;ROW())=C93),1,IF(AND(INDIRECT(A73&amp;ROW())=B95,INDIRECT(A96&amp;ROW())=C94),1,0)))</f>
        <v>0</v>
      </c>
      <c r="J107">
        <f ca="1">IF(AND(INDIRECT(A73&amp;ROW())=B95,INDIRECT(A96&amp;ROW())=C95),1,IF(AND(INDIRECT(A73&amp;ROW())=B95,INDIRECT(A96&amp;ROW())=C96),1,0))</f>
        <v>1</v>
      </c>
      <c r="K107">
        <f ca="1">DAYS360(INDIRECT(C68&amp;ROW()),TODAY())</f>
        <v>730</v>
      </c>
      <c r="L107">
        <f ca="1">DAYS360(INDIRECT(C69&amp;ROW()),TODAY())</f>
        <v>896</v>
      </c>
      <c r="M107" s="11">
        <f ca="1">HYPERLINK(CONCATENATE("https://bugzilla.houston.hp.com:1181/bugzilla/show_bug.cgi?id=",INDIRECT(C70&amp;ROW())),INDIRECT(C70&amp;ROW()))</f>
        <v>52811</v>
      </c>
      <c r="N107">
        <v>52811</v>
      </c>
      <c r="O107" t="s">
        <v>88</v>
      </c>
      <c r="P107" t="s">
        <v>679</v>
      </c>
      <c r="Q107" t="s">
        <v>25</v>
      </c>
      <c r="R107" t="s">
        <v>251</v>
      </c>
      <c r="S107" t="s">
        <v>49</v>
      </c>
      <c r="U107" s="6">
        <v>42116.543622685182</v>
      </c>
      <c r="V107" t="s">
        <v>18</v>
      </c>
      <c r="W107" t="s">
        <v>17</v>
      </c>
      <c r="X107" s="6">
        <v>41949.822881944441</v>
      </c>
      <c r="Y107" t="s">
        <v>246</v>
      </c>
      <c r="AB107" t="s">
        <v>201</v>
      </c>
      <c r="AC107" t="s">
        <v>247</v>
      </c>
      <c r="AD107" t="s">
        <v>222</v>
      </c>
      <c r="AE107" t="s">
        <v>221</v>
      </c>
      <c r="AG107" t="s">
        <v>121</v>
      </c>
      <c r="AH107" t="s">
        <v>327</v>
      </c>
      <c r="AI107" t="s">
        <v>121</v>
      </c>
      <c r="AJ107" t="s">
        <v>716</v>
      </c>
      <c r="AK107" t="s">
        <v>121</v>
      </c>
    </row>
    <row r="108" spans="1:37" x14ac:dyDescent="0.3">
      <c r="I108">
        <f ca="1">IF(OR(INDIRECT(A73&amp;ROW())=B93,INDIRECT(A73&amp;ROW())=B94),1,IF(AND(INDIRECT(A73&amp;ROW())=B95,INDIRECT(A96&amp;ROW())=C93),1,IF(AND(INDIRECT(A73&amp;ROW())=B95,INDIRECT(A96&amp;ROW())=C94),1,0)))</f>
        <v>0</v>
      </c>
      <c r="J108">
        <f ca="1">IF(AND(INDIRECT(A73&amp;ROW())=B95,INDIRECT(A96&amp;ROW())=C95),1,IF(AND(INDIRECT(A73&amp;ROW())=B95,INDIRECT(A96&amp;ROW())=C96),1,0))</f>
        <v>0</v>
      </c>
      <c r="K108">
        <f ca="1">DAYS360(INDIRECT(C68&amp;ROW()),TODAY())</f>
        <v>721</v>
      </c>
      <c r="L108">
        <f ca="1">DAYS360(INDIRECT(C69&amp;ROW()),TODAY())</f>
        <v>895</v>
      </c>
      <c r="M108" s="11">
        <f ca="1">HYPERLINK(CONCATENATE("https://bugzilla.houston.hp.com:1181/bugzilla/show_bug.cgi?id=",INDIRECT(C70&amp;ROW())),INDIRECT(C70&amp;ROW()))</f>
        <v>52820</v>
      </c>
      <c r="N108">
        <v>52820</v>
      </c>
      <c r="O108" t="s">
        <v>88</v>
      </c>
      <c r="P108" t="s">
        <v>678</v>
      </c>
      <c r="Q108" t="s">
        <v>16</v>
      </c>
      <c r="R108" t="s">
        <v>251</v>
      </c>
      <c r="S108" t="s">
        <v>344</v>
      </c>
      <c r="U108" s="6">
        <v>42125.447638888887</v>
      </c>
      <c r="V108" t="s">
        <v>18</v>
      </c>
      <c r="W108" t="s">
        <v>17</v>
      </c>
      <c r="X108" s="6">
        <v>41950.132824074077</v>
      </c>
      <c r="Y108" t="s">
        <v>122</v>
      </c>
      <c r="AB108" t="s">
        <v>201</v>
      </c>
      <c r="AC108" t="s">
        <v>247</v>
      </c>
      <c r="AD108" t="s">
        <v>222</v>
      </c>
      <c r="AE108" t="s">
        <v>221</v>
      </c>
      <c r="AG108" t="s">
        <v>121</v>
      </c>
      <c r="AH108" t="s">
        <v>327</v>
      </c>
      <c r="AI108" t="s">
        <v>121</v>
      </c>
      <c r="AJ108" t="s">
        <v>717</v>
      </c>
      <c r="AK108" t="s">
        <v>121</v>
      </c>
    </row>
    <row r="109" spans="1:37" x14ac:dyDescent="0.3">
      <c r="I109">
        <f ca="1">IF(OR(INDIRECT(A73&amp;ROW())=B93,INDIRECT(A73&amp;ROW())=B94),1,IF(AND(INDIRECT(A73&amp;ROW())=B95,INDIRECT(A96&amp;ROW())=C93),1,IF(AND(INDIRECT(A73&amp;ROW())=B95,INDIRECT(A96&amp;ROW())=C94),1,0)))</f>
        <v>0</v>
      </c>
      <c r="J109">
        <f ca="1">IF(AND(INDIRECT(A73&amp;ROW())=B95,INDIRECT(A96&amp;ROW())=C95),1,IF(AND(INDIRECT(A73&amp;ROW())=B95,INDIRECT(A96&amp;ROW())=C96),1,0))</f>
        <v>0</v>
      </c>
      <c r="K109">
        <f ca="1">DAYS360(INDIRECT(C68&amp;ROW()),TODAY())</f>
        <v>728</v>
      </c>
      <c r="L109">
        <f ca="1">DAYS360(INDIRECT(C69&amp;ROW()),TODAY())</f>
        <v>895</v>
      </c>
      <c r="M109" s="11">
        <f ca="1">HYPERLINK(CONCATENATE("https://bugzilla.houston.hp.com:1181/bugzilla/show_bug.cgi?id=",INDIRECT(C70&amp;ROW())),INDIRECT(C70&amp;ROW()))</f>
        <v>52830</v>
      </c>
      <c r="N109">
        <v>52830</v>
      </c>
      <c r="O109" t="s">
        <v>66</v>
      </c>
      <c r="P109" t="s">
        <v>677</v>
      </c>
      <c r="Q109" t="s">
        <v>16</v>
      </c>
      <c r="R109" t="s">
        <v>251</v>
      </c>
      <c r="S109" t="s">
        <v>366</v>
      </c>
      <c r="U109" s="6">
        <v>42118.522511574076</v>
      </c>
      <c r="V109" t="s">
        <v>18</v>
      </c>
      <c r="W109" t="s">
        <v>17</v>
      </c>
      <c r="X109" s="6">
        <v>41950.29074074074</v>
      </c>
      <c r="Y109" t="s">
        <v>124</v>
      </c>
      <c r="AB109" t="s">
        <v>201</v>
      </c>
      <c r="AC109" t="s">
        <v>247</v>
      </c>
      <c r="AD109" t="s">
        <v>220</v>
      </c>
      <c r="AE109" t="s">
        <v>219</v>
      </c>
      <c r="AG109" t="s">
        <v>121</v>
      </c>
      <c r="AH109" t="s">
        <v>327</v>
      </c>
      <c r="AI109" t="s">
        <v>121</v>
      </c>
      <c r="AJ109" t="s">
        <v>717</v>
      </c>
      <c r="AK109" t="s">
        <v>121</v>
      </c>
    </row>
    <row r="110" spans="1:37" x14ac:dyDescent="0.3">
      <c r="I110">
        <f ca="1">IF(OR(INDIRECT(A73&amp;ROW())=B93,INDIRECT(A73&amp;ROW())=B94),1,IF(AND(INDIRECT(A73&amp;ROW())=B95,INDIRECT(A96&amp;ROW())=C93),1,IF(AND(INDIRECT(A73&amp;ROW())=B95,INDIRECT(A96&amp;ROW())=C94),1,0)))</f>
        <v>0</v>
      </c>
      <c r="J110">
        <f ca="1">IF(AND(INDIRECT(A73&amp;ROW())=B95,INDIRECT(A96&amp;ROW())=C95),1,IF(AND(INDIRECT(A73&amp;ROW())=B95,INDIRECT(A96&amp;ROW())=C96),1,0))</f>
        <v>0</v>
      </c>
      <c r="K110">
        <f ca="1">DAYS360(INDIRECT(C68&amp;ROW()),TODAY())</f>
        <v>728</v>
      </c>
      <c r="L110">
        <f ca="1">DAYS360(INDIRECT(C69&amp;ROW()),TODAY())</f>
        <v>892</v>
      </c>
      <c r="M110" s="11">
        <f ca="1">HYPERLINK(CONCATENATE("https://bugzilla.houston.hp.com:1181/bugzilla/show_bug.cgi?id=",INDIRECT(C70&amp;ROW())),INDIRECT(C70&amp;ROW()))</f>
        <v>52912</v>
      </c>
      <c r="N110">
        <v>52912</v>
      </c>
      <c r="O110" t="s">
        <v>180</v>
      </c>
      <c r="P110" t="s">
        <v>676</v>
      </c>
      <c r="Q110" t="s">
        <v>16</v>
      </c>
      <c r="R110" t="s">
        <v>251</v>
      </c>
      <c r="S110" t="s">
        <v>368</v>
      </c>
      <c r="U110" s="6">
        <v>42118.522604166668</v>
      </c>
      <c r="V110" t="s">
        <v>18</v>
      </c>
      <c r="W110" t="s">
        <v>17</v>
      </c>
      <c r="X110" s="6">
        <v>41953.282175925924</v>
      </c>
      <c r="Y110" t="s">
        <v>342</v>
      </c>
      <c r="AB110" t="s">
        <v>201</v>
      </c>
      <c r="AC110" t="s">
        <v>217</v>
      </c>
      <c r="AD110" t="s">
        <v>222</v>
      </c>
      <c r="AE110" t="s">
        <v>225</v>
      </c>
      <c r="AG110" t="s">
        <v>121</v>
      </c>
      <c r="AH110" t="s">
        <v>327</v>
      </c>
      <c r="AI110" t="s">
        <v>121</v>
      </c>
      <c r="AJ110" t="s">
        <v>717</v>
      </c>
      <c r="AK110" t="s">
        <v>121</v>
      </c>
    </row>
    <row r="111" spans="1:37" x14ac:dyDescent="0.3">
      <c r="I111">
        <f ca="1">IF(OR(INDIRECT(A73&amp;ROW())=B93,INDIRECT(A73&amp;ROW())=B94),1,IF(AND(INDIRECT(A73&amp;ROW())=B95,INDIRECT(A96&amp;ROW())=C93),1,IF(AND(INDIRECT(A73&amp;ROW())=B95,INDIRECT(A96&amp;ROW())=C94),1,0)))</f>
        <v>0</v>
      </c>
      <c r="J111">
        <f ca="1">IF(AND(INDIRECT(A73&amp;ROW())=B95,INDIRECT(A96&amp;ROW())=C95),1,IF(AND(INDIRECT(A73&amp;ROW())=B95,INDIRECT(A96&amp;ROW())=C96),1,0))</f>
        <v>0</v>
      </c>
      <c r="K111">
        <f ca="1">DAYS360(INDIRECT(C68&amp;ROW()),TODAY())</f>
        <v>721</v>
      </c>
      <c r="L111">
        <f ca="1">DAYS360(INDIRECT(C69&amp;ROW()),TODAY())</f>
        <v>892</v>
      </c>
      <c r="M111" s="11">
        <f ca="1">HYPERLINK(CONCATENATE("https://bugzilla.houston.hp.com:1181/bugzilla/show_bug.cgi?id=",INDIRECT(C70&amp;ROW())),INDIRECT(C70&amp;ROW()))</f>
        <v>52923</v>
      </c>
      <c r="N111">
        <v>52923</v>
      </c>
      <c r="O111" t="s">
        <v>56</v>
      </c>
      <c r="P111" t="s">
        <v>546</v>
      </c>
      <c r="Q111" t="s">
        <v>16</v>
      </c>
      <c r="R111" t="s">
        <v>251</v>
      </c>
      <c r="S111" t="s">
        <v>53</v>
      </c>
      <c r="U111" s="6">
        <v>42125.448680555557</v>
      </c>
      <c r="V111" t="s">
        <v>18</v>
      </c>
      <c r="W111" t="s">
        <v>17</v>
      </c>
      <c r="X111" s="6">
        <v>41953.569768518515</v>
      </c>
      <c r="Y111" t="s">
        <v>122</v>
      </c>
      <c r="AB111" t="s">
        <v>201</v>
      </c>
      <c r="AC111" t="s">
        <v>247</v>
      </c>
      <c r="AD111" t="s">
        <v>220</v>
      </c>
      <c r="AE111" t="s">
        <v>219</v>
      </c>
      <c r="AG111" t="s">
        <v>121</v>
      </c>
      <c r="AH111" t="s">
        <v>327</v>
      </c>
      <c r="AI111" t="s">
        <v>121</v>
      </c>
      <c r="AJ111" t="s">
        <v>717</v>
      </c>
      <c r="AK111" t="s">
        <v>121</v>
      </c>
    </row>
    <row r="112" spans="1:37" x14ac:dyDescent="0.3">
      <c r="I112">
        <f ca="1">IF(OR(INDIRECT(A73&amp;ROW())=B93,INDIRECT(A73&amp;ROW())=B94),1,IF(AND(INDIRECT(A73&amp;ROW())=B95,INDIRECT(A96&amp;ROW())=C93),1,IF(AND(INDIRECT(A73&amp;ROW())=B95,INDIRECT(A96&amp;ROW())=C94),1,0)))</f>
        <v>0</v>
      </c>
      <c r="J112">
        <f ca="1">IF(AND(INDIRECT(A73&amp;ROW())=B95,INDIRECT(A96&amp;ROW())=C95),1,IF(AND(INDIRECT(A73&amp;ROW())=B95,INDIRECT(A96&amp;ROW())=C96),1,0))</f>
        <v>1</v>
      </c>
      <c r="K112">
        <f ca="1">DAYS360(INDIRECT(C68&amp;ROW()),TODAY())</f>
        <v>721</v>
      </c>
      <c r="L112">
        <f ca="1">DAYS360(INDIRECT(C69&amp;ROW()),TODAY())</f>
        <v>892</v>
      </c>
      <c r="M112" s="11">
        <f ca="1">HYPERLINK(CONCATENATE("https://bugzilla.houston.hp.com:1181/bugzilla/show_bug.cgi?id=",INDIRECT(C70&amp;ROW())),INDIRECT(C70&amp;ROW()))</f>
        <v>52933</v>
      </c>
      <c r="N112">
        <v>52933</v>
      </c>
      <c r="O112" t="s">
        <v>241</v>
      </c>
      <c r="P112" t="s">
        <v>489</v>
      </c>
      <c r="Q112" t="s">
        <v>25</v>
      </c>
      <c r="R112" t="s">
        <v>251</v>
      </c>
      <c r="S112" t="s">
        <v>177</v>
      </c>
      <c r="U112" s="6">
        <v>42125.655624999999</v>
      </c>
      <c r="V112" t="s">
        <v>18</v>
      </c>
      <c r="W112" t="s">
        <v>17</v>
      </c>
      <c r="X112" s="6">
        <v>41953.77202546296</v>
      </c>
      <c r="Y112" t="s">
        <v>245</v>
      </c>
      <c r="AB112" t="s">
        <v>201</v>
      </c>
      <c r="AC112" t="s">
        <v>247</v>
      </c>
      <c r="AD112" t="s">
        <v>227</v>
      </c>
      <c r="AE112" t="s">
        <v>237</v>
      </c>
      <c r="AG112" t="s">
        <v>121</v>
      </c>
      <c r="AH112" t="s">
        <v>327</v>
      </c>
      <c r="AI112" t="s">
        <v>121</v>
      </c>
      <c r="AJ112" t="s">
        <v>716</v>
      </c>
      <c r="AK112" t="s">
        <v>121</v>
      </c>
    </row>
    <row r="113" spans="9:37" x14ac:dyDescent="0.3">
      <c r="I113">
        <f ca="1">IF(OR(INDIRECT(A73&amp;ROW())=B93,INDIRECT(A73&amp;ROW())=B94),1,IF(AND(INDIRECT(A73&amp;ROW())=B95,INDIRECT(A96&amp;ROW())=C93),1,IF(AND(INDIRECT(A73&amp;ROW())=B95,INDIRECT(A96&amp;ROW())=C94),1,0)))</f>
        <v>0</v>
      </c>
      <c r="J113">
        <f ca="1">IF(AND(INDIRECT(A73&amp;ROW())=B95,INDIRECT(A96&amp;ROW())=C95),1,IF(AND(INDIRECT(A73&amp;ROW())=B95,INDIRECT(A96&amp;ROW())=C96),1,0))</f>
        <v>1</v>
      </c>
      <c r="K113">
        <f ca="1">DAYS360(INDIRECT(C68&amp;ROW()),TODAY())</f>
        <v>684</v>
      </c>
      <c r="L113">
        <f ca="1">DAYS360(INDIRECT(C69&amp;ROW()),TODAY())</f>
        <v>890</v>
      </c>
      <c r="M113" s="11">
        <f ca="1">HYPERLINK(CONCATENATE("https://bugzilla.houston.hp.com:1181/bugzilla/show_bug.cgi?id=",INDIRECT(C70&amp;ROW())),INDIRECT(C70&amp;ROW()))</f>
        <v>53006</v>
      </c>
      <c r="N113">
        <v>53006</v>
      </c>
      <c r="O113" t="s">
        <v>50</v>
      </c>
      <c r="P113" t="s">
        <v>469</v>
      </c>
      <c r="Q113" t="s">
        <v>25</v>
      </c>
      <c r="R113" t="s">
        <v>251</v>
      </c>
      <c r="S113" t="s">
        <v>315</v>
      </c>
      <c r="U113" s="6">
        <v>42163.593229166669</v>
      </c>
      <c r="V113" t="s">
        <v>18</v>
      </c>
      <c r="W113" t="s">
        <v>17</v>
      </c>
      <c r="X113" s="6">
        <v>41955.206990740742</v>
      </c>
      <c r="Y113" t="s">
        <v>119</v>
      </c>
      <c r="AA113" t="s">
        <v>184</v>
      </c>
      <c r="AB113" t="s">
        <v>201</v>
      </c>
      <c r="AC113" t="s">
        <v>247</v>
      </c>
      <c r="AD113" t="s">
        <v>227</v>
      </c>
      <c r="AE113" t="s">
        <v>370</v>
      </c>
      <c r="AG113" t="s">
        <v>121</v>
      </c>
      <c r="AH113" t="s">
        <v>327</v>
      </c>
      <c r="AI113" t="s">
        <v>121</v>
      </c>
      <c r="AJ113" t="s">
        <v>716</v>
      </c>
      <c r="AK113" t="s">
        <v>121</v>
      </c>
    </row>
    <row r="114" spans="9:37" x14ac:dyDescent="0.3">
      <c r="I114">
        <f ca="1">IF(OR(INDIRECT(A73&amp;ROW())=B93,INDIRECT(A73&amp;ROW())=B94),1,IF(AND(INDIRECT(A73&amp;ROW())=B95,INDIRECT(A96&amp;ROW())=C93),1,IF(AND(INDIRECT(A73&amp;ROW())=B95,INDIRECT(A96&amp;ROW())=C94),1,0)))</f>
        <v>0</v>
      </c>
      <c r="J114">
        <f ca="1">IF(AND(INDIRECT(A73&amp;ROW())=B95,INDIRECT(A96&amp;ROW())=C95),1,IF(AND(INDIRECT(A73&amp;ROW())=B95,INDIRECT(A96&amp;ROW())=C96),1,0))</f>
        <v>0</v>
      </c>
      <c r="K114">
        <f ca="1">DAYS360(INDIRECT(C68&amp;ROW()),TODAY())</f>
        <v>721</v>
      </c>
      <c r="L114">
        <f ca="1">DAYS360(INDIRECT(C69&amp;ROW()),TODAY())</f>
        <v>889</v>
      </c>
      <c r="M114" s="11">
        <f ca="1">HYPERLINK(CONCATENATE("https://bugzilla.houston.hp.com:1181/bugzilla/show_bug.cgi?id=",INDIRECT(C70&amp;ROW())),INDIRECT(C70&amp;ROW()))</f>
        <v>53105</v>
      </c>
      <c r="N114">
        <v>53105</v>
      </c>
      <c r="O114" t="s">
        <v>56</v>
      </c>
      <c r="P114" t="s">
        <v>468</v>
      </c>
      <c r="Q114" t="s">
        <v>16</v>
      </c>
      <c r="R114" t="s">
        <v>251</v>
      </c>
      <c r="S114" t="s">
        <v>374</v>
      </c>
      <c r="U114" s="6">
        <v>42125.448692129627</v>
      </c>
      <c r="V114" t="s">
        <v>18</v>
      </c>
      <c r="W114" t="s">
        <v>17</v>
      </c>
      <c r="X114" s="6">
        <v>41956.951111111113</v>
      </c>
      <c r="Y114" t="s">
        <v>122</v>
      </c>
      <c r="AB114" t="s">
        <v>200</v>
      </c>
      <c r="AC114" t="s">
        <v>247</v>
      </c>
      <c r="AD114" t="s">
        <v>220</v>
      </c>
      <c r="AE114" t="s">
        <v>219</v>
      </c>
      <c r="AG114" t="s">
        <v>121</v>
      </c>
      <c r="AH114" t="s">
        <v>327</v>
      </c>
      <c r="AI114" t="s">
        <v>121</v>
      </c>
      <c r="AJ114" t="s">
        <v>716</v>
      </c>
      <c r="AK114" t="s">
        <v>121</v>
      </c>
    </row>
    <row r="115" spans="9:37" x14ac:dyDescent="0.3">
      <c r="I115">
        <f ca="1">IF(OR(INDIRECT(A73&amp;ROW())=B93,INDIRECT(A73&amp;ROW())=B94),1,IF(AND(INDIRECT(A73&amp;ROW())=B95,INDIRECT(A96&amp;ROW())=C93),1,IF(AND(INDIRECT(A73&amp;ROW())=B95,INDIRECT(A96&amp;ROW())=C94),1,0)))</f>
        <v>0</v>
      </c>
      <c r="J115">
        <f ca="1">IF(AND(INDIRECT(A73&amp;ROW())=B95,INDIRECT(A96&amp;ROW())=C95),1,IF(AND(INDIRECT(A73&amp;ROW())=B95,INDIRECT(A96&amp;ROW())=C96),1,0))</f>
        <v>0</v>
      </c>
      <c r="K115">
        <f ca="1">DAYS360(INDIRECT(C68&amp;ROW()),TODAY())</f>
        <v>710</v>
      </c>
      <c r="L115">
        <f ca="1">DAYS360(INDIRECT(C69&amp;ROW()),TODAY())</f>
        <v>885</v>
      </c>
      <c r="M115" s="11">
        <f ca="1">HYPERLINK(CONCATENATE("https://bugzilla.houston.hp.com:1181/bugzilla/show_bug.cgi?id=",INDIRECT(C70&amp;ROW())),INDIRECT(C70&amp;ROW()))</f>
        <v>53213</v>
      </c>
      <c r="N115">
        <v>53213</v>
      </c>
      <c r="O115" t="s">
        <v>43</v>
      </c>
      <c r="P115" t="s">
        <v>1049</v>
      </c>
      <c r="Q115" t="s">
        <v>16</v>
      </c>
      <c r="R115" t="s">
        <v>251</v>
      </c>
      <c r="S115" t="s">
        <v>68</v>
      </c>
      <c r="T115" t="s">
        <v>794</v>
      </c>
      <c r="U115" s="6">
        <v>42136.636747685188</v>
      </c>
      <c r="V115" t="s">
        <v>18</v>
      </c>
      <c r="W115" t="s">
        <v>17</v>
      </c>
      <c r="X115" s="6">
        <v>41960.464930555558</v>
      </c>
      <c r="Y115" t="s">
        <v>124</v>
      </c>
      <c r="AB115" t="s">
        <v>201</v>
      </c>
      <c r="AC115" t="s">
        <v>247</v>
      </c>
      <c r="AD115" t="s">
        <v>220</v>
      </c>
      <c r="AE115" t="s">
        <v>219</v>
      </c>
      <c r="AG115" t="s">
        <v>121</v>
      </c>
      <c r="AH115" t="s">
        <v>327</v>
      </c>
      <c r="AI115" t="s">
        <v>121</v>
      </c>
      <c r="AJ115" t="s">
        <v>717</v>
      </c>
      <c r="AK115" t="s">
        <v>121</v>
      </c>
    </row>
    <row r="116" spans="9:37" x14ac:dyDescent="0.3">
      <c r="I116">
        <f ca="1">IF(OR(INDIRECT(A73&amp;ROW())=B93,INDIRECT(A73&amp;ROW())=B94),1,IF(AND(INDIRECT(A73&amp;ROW())=B95,INDIRECT(A96&amp;ROW())=C93),1,IF(AND(INDIRECT(A73&amp;ROW())=B95,INDIRECT(A96&amp;ROW())=C94),1,0)))</f>
        <v>0</v>
      </c>
      <c r="J116">
        <f ca="1">IF(AND(INDIRECT(A73&amp;ROW())=B95,INDIRECT(A96&amp;ROW())=C95),1,IF(AND(INDIRECT(A73&amp;ROW())=B95,INDIRECT(A96&amp;ROW())=C96),1,0))</f>
        <v>0</v>
      </c>
      <c r="K116">
        <f ca="1">DAYS360(INDIRECT(C68&amp;ROW()),TODAY())</f>
        <v>721</v>
      </c>
      <c r="L116">
        <f ca="1">DAYS360(INDIRECT(C69&amp;ROW()),TODAY())</f>
        <v>885</v>
      </c>
      <c r="M116" s="11">
        <f ca="1">HYPERLINK(CONCATENATE("https://bugzilla.houston.hp.com:1181/bugzilla/show_bug.cgi?id=",INDIRECT(C70&amp;ROW())),INDIRECT(C70&amp;ROW()))</f>
        <v>53225</v>
      </c>
      <c r="N116">
        <v>53225</v>
      </c>
      <c r="O116" t="s">
        <v>56</v>
      </c>
      <c r="P116" t="s">
        <v>377</v>
      </c>
      <c r="Q116" t="s">
        <v>16</v>
      </c>
      <c r="R116" t="s">
        <v>248</v>
      </c>
      <c r="S116" t="s">
        <v>36</v>
      </c>
      <c r="U116" s="6">
        <v>42125.443796296298</v>
      </c>
      <c r="V116" t="s">
        <v>18</v>
      </c>
      <c r="W116" t="s">
        <v>17</v>
      </c>
      <c r="X116" s="6">
        <v>41960.705925925926</v>
      </c>
      <c r="Y116" t="s">
        <v>122</v>
      </c>
      <c r="AB116" t="s">
        <v>201</v>
      </c>
      <c r="AC116" t="s">
        <v>121</v>
      </c>
      <c r="AD116" t="s">
        <v>220</v>
      </c>
      <c r="AE116" t="s">
        <v>219</v>
      </c>
      <c r="AG116" t="s">
        <v>121</v>
      </c>
      <c r="AH116" t="s">
        <v>327</v>
      </c>
      <c r="AI116" t="s">
        <v>121</v>
      </c>
      <c r="AJ116" t="s">
        <v>717</v>
      </c>
      <c r="AK116" t="s">
        <v>121</v>
      </c>
    </row>
    <row r="117" spans="9:37" x14ac:dyDescent="0.3">
      <c r="I117">
        <f ca="1">IF(OR(INDIRECT(A73&amp;ROW())=B93,INDIRECT(A73&amp;ROW())=B94),1,IF(AND(INDIRECT(A73&amp;ROW())=B95,INDIRECT(A96&amp;ROW())=C93),1,IF(AND(INDIRECT(A73&amp;ROW())=B95,INDIRECT(A96&amp;ROW())=C94),1,0)))</f>
        <v>0</v>
      </c>
      <c r="J117">
        <f ca="1">IF(AND(INDIRECT(A73&amp;ROW())=B95,INDIRECT(A96&amp;ROW())=C95),1,IF(AND(INDIRECT(A73&amp;ROW())=B95,INDIRECT(A96&amp;ROW())=C96),1,0))</f>
        <v>0</v>
      </c>
      <c r="K117">
        <f ca="1">DAYS360(INDIRECT(C68&amp;ROW()),TODAY())</f>
        <v>721</v>
      </c>
      <c r="L117">
        <f ca="1">DAYS360(INDIRECT(C69&amp;ROW()),TODAY())</f>
        <v>885</v>
      </c>
      <c r="M117" s="11">
        <f ca="1">HYPERLINK(CONCATENATE("https://bugzilla.houston.hp.com:1181/bugzilla/show_bug.cgi?id=",INDIRECT(C70&amp;ROW())),INDIRECT(C70&amp;ROW()))</f>
        <v>53231</v>
      </c>
      <c r="N117">
        <v>53231</v>
      </c>
      <c r="O117" t="s">
        <v>56</v>
      </c>
      <c r="P117" t="s">
        <v>376</v>
      </c>
      <c r="Q117" t="s">
        <v>16</v>
      </c>
      <c r="R117" t="s">
        <v>248</v>
      </c>
      <c r="S117" t="s">
        <v>36</v>
      </c>
      <c r="U117" s="6">
        <v>42125.443854166668</v>
      </c>
      <c r="V117" t="s">
        <v>18</v>
      </c>
      <c r="W117" t="s">
        <v>17</v>
      </c>
      <c r="X117" s="6">
        <v>41960.706388888888</v>
      </c>
      <c r="Y117" t="s">
        <v>122</v>
      </c>
      <c r="AB117" t="s">
        <v>201</v>
      </c>
      <c r="AC117" t="s">
        <v>121</v>
      </c>
      <c r="AD117" t="s">
        <v>220</v>
      </c>
      <c r="AE117" t="s">
        <v>219</v>
      </c>
      <c r="AG117" t="s">
        <v>121</v>
      </c>
      <c r="AH117" t="s">
        <v>64</v>
      </c>
      <c r="AI117" t="s">
        <v>121</v>
      </c>
      <c r="AJ117" t="s">
        <v>717</v>
      </c>
      <c r="AK117" t="s">
        <v>121</v>
      </c>
    </row>
    <row r="118" spans="9:37" x14ac:dyDescent="0.3">
      <c r="I118">
        <f ca="1">IF(OR(INDIRECT(A73&amp;ROW())=B93,INDIRECT(A73&amp;ROW())=B94),1,IF(AND(INDIRECT(A73&amp;ROW())=B95,INDIRECT(A96&amp;ROW())=C93),1,IF(AND(INDIRECT(A73&amp;ROW())=B95,INDIRECT(A96&amp;ROW())=C94),1,0)))</f>
        <v>0</v>
      </c>
      <c r="J118">
        <f ca="1">IF(AND(INDIRECT(A73&amp;ROW())=B95,INDIRECT(A96&amp;ROW())=C95),1,IF(AND(INDIRECT(A73&amp;ROW())=B95,INDIRECT(A96&amp;ROW())=C96),1,0))</f>
        <v>0</v>
      </c>
      <c r="K118">
        <f ca="1">DAYS360(INDIRECT(C68&amp;ROW()),TODAY())</f>
        <v>721</v>
      </c>
      <c r="L118">
        <f ca="1">DAYS360(INDIRECT(C69&amp;ROW()),TODAY())</f>
        <v>884</v>
      </c>
      <c r="M118" s="11">
        <f ca="1">HYPERLINK(CONCATENATE("https://bugzilla.houston.hp.com:1181/bugzilla/show_bug.cgi?id=",INDIRECT(C70&amp;ROW())),INDIRECT(C70&amp;ROW()))</f>
        <v>53298</v>
      </c>
      <c r="N118">
        <v>53298</v>
      </c>
      <c r="O118" t="s">
        <v>55</v>
      </c>
      <c r="P118" t="s">
        <v>383</v>
      </c>
      <c r="Q118" t="s">
        <v>16</v>
      </c>
      <c r="R118" t="s">
        <v>248</v>
      </c>
      <c r="S118" t="s">
        <v>36</v>
      </c>
      <c r="U118" s="6">
        <v>42125.439930555556</v>
      </c>
      <c r="V118" t="s">
        <v>18</v>
      </c>
      <c r="W118" t="s">
        <v>17</v>
      </c>
      <c r="X118" s="6">
        <v>41961.535937499997</v>
      </c>
      <c r="Y118" t="s">
        <v>122</v>
      </c>
      <c r="AB118" t="s">
        <v>200</v>
      </c>
      <c r="AC118" t="s">
        <v>121</v>
      </c>
      <c r="AD118" t="s">
        <v>220</v>
      </c>
      <c r="AE118" t="s">
        <v>219</v>
      </c>
      <c r="AG118" t="s">
        <v>121</v>
      </c>
      <c r="AH118" t="s">
        <v>327</v>
      </c>
      <c r="AI118" t="s">
        <v>121</v>
      </c>
      <c r="AJ118" t="s">
        <v>716</v>
      </c>
      <c r="AK118" t="s">
        <v>121</v>
      </c>
    </row>
    <row r="119" spans="9:37" x14ac:dyDescent="0.3">
      <c r="I119">
        <f ca="1">IF(OR(INDIRECT(A73&amp;ROW())=B93,INDIRECT(A73&amp;ROW())=B94),1,IF(AND(INDIRECT(A73&amp;ROW())=B95,INDIRECT(A96&amp;ROW())=C93),1,IF(AND(INDIRECT(A73&amp;ROW())=B95,INDIRECT(A96&amp;ROW())=C94),1,0)))</f>
        <v>0</v>
      </c>
      <c r="J119">
        <f ca="1">IF(AND(INDIRECT(A73&amp;ROW())=B95,INDIRECT(A96&amp;ROW())=C95),1,IF(AND(INDIRECT(A73&amp;ROW())=B95,INDIRECT(A96&amp;ROW())=C96),1,0))</f>
        <v>0</v>
      </c>
      <c r="K119">
        <f ca="1">DAYS360(INDIRECT(C68&amp;ROW()),TODAY())</f>
        <v>721</v>
      </c>
      <c r="L119">
        <f ca="1">DAYS360(INDIRECT(C69&amp;ROW()),TODAY())</f>
        <v>884</v>
      </c>
      <c r="M119" s="11">
        <f ca="1">HYPERLINK(CONCATENATE("https://bugzilla.houston.hp.com:1181/bugzilla/show_bug.cgi?id=",INDIRECT(C70&amp;ROW())),INDIRECT(C70&amp;ROW()))</f>
        <v>53303</v>
      </c>
      <c r="N119">
        <v>53303</v>
      </c>
      <c r="O119" t="s">
        <v>56</v>
      </c>
      <c r="P119" t="s">
        <v>382</v>
      </c>
      <c r="Q119" t="s">
        <v>16</v>
      </c>
      <c r="R119" t="s">
        <v>248</v>
      </c>
      <c r="S119" t="s">
        <v>36</v>
      </c>
      <c r="U119" s="6">
        <v>42125.440000000002</v>
      </c>
      <c r="V119" t="s">
        <v>18</v>
      </c>
      <c r="W119" t="s">
        <v>17</v>
      </c>
      <c r="X119" s="6">
        <v>41961.5468287037</v>
      </c>
      <c r="Y119" t="s">
        <v>122</v>
      </c>
      <c r="AB119" t="s">
        <v>201</v>
      </c>
      <c r="AC119" t="s">
        <v>121</v>
      </c>
      <c r="AD119" t="s">
        <v>220</v>
      </c>
      <c r="AE119" t="s">
        <v>219</v>
      </c>
      <c r="AG119" t="s">
        <v>121</v>
      </c>
      <c r="AH119" t="s">
        <v>327</v>
      </c>
      <c r="AI119" t="s">
        <v>121</v>
      </c>
      <c r="AJ119" t="s">
        <v>717</v>
      </c>
      <c r="AK119" t="s">
        <v>121</v>
      </c>
    </row>
    <row r="120" spans="9:37" x14ac:dyDescent="0.3">
      <c r="I120">
        <f ca="1">IF(OR(INDIRECT(A73&amp;ROW())=B93,INDIRECT(A73&amp;ROW())=B94),1,IF(AND(INDIRECT(A73&amp;ROW())=B95,INDIRECT(A96&amp;ROW())=C93),1,IF(AND(INDIRECT(A73&amp;ROW())=B95,INDIRECT(A96&amp;ROW())=C94),1,0)))</f>
        <v>0</v>
      </c>
      <c r="J120">
        <f ca="1">IF(AND(INDIRECT(A73&amp;ROW())=B95,INDIRECT(A96&amp;ROW())=C95),1,IF(AND(INDIRECT(A73&amp;ROW())=B95,INDIRECT(A96&amp;ROW())=C96),1,0))</f>
        <v>1</v>
      </c>
      <c r="K120">
        <f ca="1">DAYS360(INDIRECT(C68&amp;ROW()),TODAY())</f>
        <v>681</v>
      </c>
      <c r="L120">
        <f ca="1">DAYS360(INDIRECT(C69&amp;ROW()),TODAY())</f>
        <v>884</v>
      </c>
      <c r="M120" s="11">
        <f ca="1">HYPERLINK(CONCATENATE("https://bugzilla.houston.hp.com:1181/bugzilla/show_bug.cgi?id=",INDIRECT(C70&amp;ROW())),INDIRECT(C70&amp;ROW()))</f>
        <v>53313</v>
      </c>
      <c r="N120">
        <v>53313</v>
      </c>
      <c r="O120" t="s">
        <v>56</v>
      </c>
      <c r="P120" t="s">
        <v>867</v>
      </c>
      <c r="Q120" t="s">
        <v>25</v>
      </c>
      <c r="R120" t="s">
        <v>251</v>
      </c>
      <c r="S120" t="s">
        <v>43</v>
      </c>
      <c r="U120" s="6">
        <v>42166.562164351853</v>
      </c>
      <c r="V120" t="s">
        <v>18</v>
      </c>
      <c r="W120" t="s">
        <v>17</v>
      </c>
      <c r="X120" s="6">
        <v>41961.575497685182</v>
      </c>
      <c r="Y120" t="s">
        <v>119</v>
      </c>
      <c r="AB120" t="s">
        <v>201</v>
      </c>
      <c r="AC120" t="s">
        <v>247</v>
      </c>
      <c r="AD120" t="s">
        <v>220</v>
      </c>
      <c r="AE120" t="s">
        <v>219</v>
      </c>
      <c r="AG120" t="s">
        <v>121</v>
      </c>
      <c r="AH120" t="s">
        <v>327</v>
      </c>
      <c r="AI120" t="s">
        <v>121</v>
      </c>
      <c r="AJ120" t="s">
        <v>716</v>
      </c>
      <c r="AK120" t="s">
        <v>121</v>
      </c>
    </row>
    <row r="121" spans="9:37" x14ac:dyDescent="0.3">
      <c r="I121">
        <f ca="1">IF(OR(INDIRECT(A73&amp;ROW())=B93,INDIRECT(A73&amp;ROW())=B94),1,IF(AND(INDIRECT(A73&amp;ROW())=B95,INDIRECT(A96&amp;ROW())=C93),1,IF(AND(INDIRECT(A73&amp;ROW())=B95,INDIRECT(A96&amp;ROW())=C94),1,0)))</f>
        <v>0</v>
      </c>
      <c r="J121">
        <f ca="1">IF(AND(INDIRECT(A73&amp;ROW())=B95,INDIRECT(A96&amp;ROW())=C95),1,IF(AND(INDIRECT(A73&amp;ROW())=B95,INDIRECT(A96&amp;ROW())=C96),1,0))</f>
        <v>0</v>
      </c>
      <c r="K121">
        <f ca="1">DAYS360(INDIRECT(C68&amp;ROW()),TODAY())</f>
        <v>733</v>
      </c>
      <c r="L121">
        <f ca="1">DAYS360(INDIRECT(C69&amp;ROW()),TODAY())</f>
        <v>884</v>
      </c>
      <c r="M121" s="11">
        <f ca="1">HYPERLINK(CONCATENATE("https://bugzilla.houston.hp.com:1181/bugzilla/show_bug.cgi?id=",INDIRECT(C70&amp;ROW())),INDIRECT(C70&amp;ROW()))</f>
        <v>53324</v>
      </c>
      <c r="N121">
        <v>53324</v>
      </c>
      <c r="O121" t="s">
        <v>66</v>
      </c>
      <c r="P121" t="s">
        <v>381</v>
      </c>
      <c r="Q121" t="s">
        <v>16</v>
      </c>
      <c r="R121" t="s">
        <v>248</v>
      </c>
      <c r="S121" t="s">
        <v>36</v>
      </c>
      <c r="U121" s="6">
        <v>42113.702372685184</v>
      </c>
      <c r="V121" t="s">
        <v>18</v>
      </c>
      <c r="W121" t="s">
        <v>32</v>
      </c>
      <c r="X121" s="6">
        <v>41961.64980324074</v>
      </c>
      <c r="Y121" t="s">
        <v>119</v>
      </c>
      <c r="AB121" t="s">
        <v>201</v>
      </c>
      <c r="AC121" t="s">
        <v>121</v>
      </c>
      <c r="AD121" t="s">
        <v>220</v>
      </c>
      <c r="AE121" t="s">
        <v>219</v>
      </c>
      <c r="AG121" t="s">
        <v>121</v>
      </c>
      <c r="AH121" t="s">
        <v>327</v>
      </c>
      <c r="AI121" t="s">
        <v>121</v>
      </c>
      <c r="AJ121" t="s">
        <v>716</v>
      </c>
      <c r="AK121" t="s">
        <v>121</v>
      </c>
    </row>
    <row r="122" spans="9:37" x14ac:dyDescent="0.3">
      <c r="I122">
        <f ca="1">IF(OR(INDIRECT(A73&amp;ROW())=B93,INDIRECT(A73&amp;ROW())=B94),1,IF(AND(INDIRECT(A73&amp;ROW())=B95,INDIRECT(A96&amp;ROW())=C93),1,IF(AND(INDIRECT(A73&amp;ROW())=B95,INDIRECT(A96&amp;ROW())=C94),1,0)))</f>
        <v>0</v>
      </c>
      <c r="J122">
        <f ca="1">IF(AND(INDIRECT(A73&amp;ROW())=B95,INDIRECT(A96&amp;ROW())=C95),1,IF(AND(INDIRECT(A73&amp;ROW())=B95,INDIRECT(A96&amp;ROW())=C96),1,0))</f>
        <v>0</v>
      </c>
      <c r="K122">
        <f ca="1">DAYS360(INDIRECT(C68&amp;ROW()),TODAY())</f>
        <v>721</v>
      </c>
      <c r="L122">
        <f ca="1">DAYS360(INDIRECT(C69&amp;ROW()),TODAY())</f>
        <v>884</v>
      </c>
      <c r="M122" s="11">
        <f ca="1">HYPERLINK(CONCATENATE("https://bugzilla.houston.hp.com:1181/bugzilla/show_bug.cgi?id=",INDIRECT(C70&amp;ROW())),INDIRECT(C70&amp;ROW()))</f>
        <v>53329</v>
      </c>
      <c r="N122">
        <v>53329</v>
      </c>
      <c r="O122" t="s">
        <v>203</v>
      </c>
      <c r="P122" t="s">
        <v>380</v>
      </c>
      <c r="Q122" t="s">
        <v>16</v>
      </c>
      <c r="R122" t="s">
        <v>248</v>
      </c>
      <c r="S122" t="s">
        <v>36</v>
      </c>
      <c r="U122" s="6">
        <v>42125.439722222225</v>
      </c>
      <c r="V122" t="s">
        <v>18</v>
      </c>
      <c r="W122" t="s">
        <v>20</v>
      </c>
      <c r="X122" s="6">
        <v>41961.660949074074</v>
      </c>
      <c r="Y122" t="s">
        <v>122</v>
      </c>
      <c r="AB122" t="s">
        <v>201</v>
      </c>
      <c r="AC122" t="s">
        <v>121</v>
      </c>
      <c r="AD122" t="s">
        <v>220</v>
      </c>
      <c r="AE122" t="s">
        <v>223</v>
      </c>
      <c r="AG122" t="s">
        <v>121</v>
      </c>
      <c r="AH122" t="s">
        <v>327</v>
      </c>
      <c r="AI122" t="s">
        <v>121</v>
      </c>
      <c r="AJ122" t="s">
        <v>717</v>
      </c>
      <c r="AK122" t="s">
        <v>121</v>
      </c>
    </row>
    <row r="123" spans="9:37" x14ac:dyDescent="0.3">
      <c r="I123">
        <f ca="1">IF(OR(INDIRECT(A73&amp;ROW())=B93,INDIRECT(A73&amp;ROW())=B94),1,IF(AND(INDIRECT(A73&amp;ROW())=B95,INDIRECT(A96&amp;ROW())=C93),1,IF(AND(INDIRECT(A73&amp;ROW())=B95,INDIRECT(A96&amp;ROW())=C94),1,0)))</f>
        <v>0</v>
      </c>
      <c r="J123">
        <f ca="1">IF(AND(INDIRECT(A73&amp;ROW())=B95,INDIRECT(A96&amp;ROW())=C95),1,IF(AND(INDIRECT(A73&amp;ROW())=B95,INDIRECT(A96&amp;ROW())=C96),1,0))</f>
        <v>1</v>
      </c>
      <c r="K123">
        <f ca="1">DAYS360(INDIRECT(C68&amp;ROW()),TODAY())</f>
        <v>687</v>
      </c>
      <c r="L123">
        <f ca="1">DAYS360(INDIRECT(C69&amp;ROW()),TODAY())</f>
        <v>884</v>
      </c>
      <c r="M123" s="11">
        <f ca="1">HYPERLINK(CONCATENATE("https://bugzilla.houston.hp.com:1181/bugzilla/show_bug.cgi?id=",INDIRECT(C70&amp;ROW())),INDIRECT(C70&amp;ROW()))</f>
        <v>53336</v>
      </c>
      <c r="N123">
        <v>53336</v>
      </c>
      <c r="O123" t="s">
        <v>56</v>
      </c>
      <c r="P123" t="s">
        <v>379</v>
      </c>
      <c r="Q123" t="s">
        <v>25</v>
      </c>
      <c r="R123" t="s">
        <v>248</v>
      </c>
      <c r="S123" t="s">
        <v>36</v>
      </c>
      <c r="U123" s="6">
        <v>42160.524062500001</v>
      </c>
      <c r="V123" t="s">
        <v>18</v>
      </c>
      <c r="W123" t="s">
        <v>17</v>
      </c>
      <c r="X123" s="6">
        <v>41961.667453703703</v>
      </c>
      <c r="Y123" t="s">
        <v>122</v>
      </c>
      <c r="AB123" t="s">
        <v>201</v>
      </c>
      <c r="AC123" t="s">
        <v>121</v>
      </c>
      <c r="AD123" t="s">
        <v>220</v>
      </c>
      <c r="AE123" t="s">
        <v>219</v>
      </c>
      <c r="AG123" t="s">
        <v>121</v>
      </c>
      <c r="AH123" t="s">
        <v>327</v>
      </c>
      <c r="AI123" t="s">
        <v>121</v>
      </c>
      <c r="AJ123" t="s">
        <v>716</v>
      </c>
      <c r="AK123" t="s">
        <v>121</v>
      </c>
    </row>
    <row r="124" spans="9:37" x14ac:dyDescent="0.3">
      <c r="I124">
        <f ca="1">IF(OR(INDIRECT(A73&amp;ROW())=B93,INDIRECT(A73&amp;ROW())=B94),1,IF(AND(INDIRECT(A73&amp;ROW())=B95,INDIRECT(A96&amp;ROW())=C93),1,IF(AND(INDIRECT(A73&amp;ROW())=B95,INDIRECT(A96&amp;ROW())=C94),1,0)))</f>
        <v>0</v>
      </c>
      <c r="J124">
        <f ca="1">IF(AND(INDIRECT(A73&amp;ROW())=B95,INDIRECT(A96&amp;ROW())=C95),1,IF(AND(INDIRECT(A73&amp;ROW())=B95,INDIRECT(A96&amp;ROW())=C96),1,0))</f>
        <v>1</v>
      </c>
      <c r="K124">
        <f ca="1">DAYS360(INDIRECT(C68&amp;ROW()),TODAY())</f>
        <v>721</v>
      </c>
      <c r="L124">
        <f ca="1">DAYS360(INDIRECT(C69&amp;ROW()),TODAY())</f>
        <v>884</v>
      </c>
      <c r="M124" s="11">
        <f ca="1">HYPERLINK(CONCATENATE("https://bugzilla.houston.hp.com:1181/bugzilla/show_bug.cgi?id=",INDIRECT(C70&amp;ROW())),INDIRECT(C70&amp;ROW()))</f>
        <v>53342</v>
      </c>
      <c r="N124">
        <v>53342</v>
      </c>
      <c r="O124" t="s">
        <v>43</v>
      </c>
      <c r="P124" t="s">
        <v>378</v>
      </c>
      <c r="Q124" t="s">
        <v>25</v>
      </c>
      <c r="R124" t="s">
        <v>248</v>
      </c>
      <c r="S124" t="s">
        <v>36</v>
      </c>
      <c r="U124" s="6">
        <v>42125.442384259259</v>
      </c>
      <c r="V124" t="s">
        <v>18</v>
      </c>
      <c r="W124" t="s">
        <v>20</v>
      </c>
      <c r="X124" s="6">
        <v>41961.691874999997</v>
      </c>
      <c r="Y124" t="s">
        <v>122</v>
      </c>
      <c r="AB124" t="s">
        <v>201</v>
      </c>
      <c r="AC124" t="s">
        <v>121</v>
      </c>
      <c r="AD124" t="s">
        <v>220</v>
      </c>
      <c r="AE124" t="s">
        <v>219</v>
      </c>
      <c r="AG124" t="s">
        <v>121</v>
      </c>
      <c r="AH124" t="s">
        <v>327</v>
      </c>
      <c r="AI124" t="s">
        <v>121</v>
      </c>
      <c r="AJ124" t="s">
        <v>716</v>
      </c>
      <c r="AK124" t="s">
        <v>121</v>
      </c>
    </row>
    <row r="125" spans="9:37" x14ac:dyDescent="0.3">
      <c r="I125">
        <f ca="1">IF(OR(INDIRECT(A73&amp;ROW())=B93,INDIRECT(A73&amp;ROW())=B94),1,IF(AND(INDIRECT(A73&amp;ROW())=B95,INDIRECT(A96&amp;ROW())=C93),1,IF(AND(INDIRECT(A73&amp;ROW())=B95,INDIRECT(A96&amp;ROW())=C94),1,0)))</f>
        <v>0</v>
      </c>
      <c r="J125">
        <f ca="1">IF(AND(INDIRECT(A73&amp;ROW())=B95,INDIRECT(A96&amp;ROW())=C95),1,IF(AND(INDIRECT(A73&amp;ROW())=B95,INDIRECT(A96&amp;ROW())=C96),1,0))</f>
        <v>0</v>
      </c>
      <c r="K125">
        <f ca="1">DAYS360(INDIRECT(C68&amp;ROW()),TODAY())</f>
        <v>730</v>
      </c>
      <c r="L125">
        <f ca="1">DAYS360(INDIRECT(C69&amp;ROW()),TODAY())</f>
        <v>883</v>
      </c>
      <c r="M125" s="11">
        <f ca="1">HYPERLINK(CONCATENATE("https://bugzilla.houston.hp.com:1181/bugzilla/show_bug.cgi?id=",INDIRECT(C70&amp;ROW())),INDIRECT(C70&amp;ROW()))</f>
        <v>53355</v>
      </c>
      <c r="N125">
        <v>53355</v>
      </c>
      <c r="O125" t="s">
        <v>66</v>
      </c>
      <c r="P125" t="s">
        <v>488</v>
      </c>
      <c r="Q125" t="s">
        <v>16</v>
      </c>
      <c r="R125" t="s">
        <v>251</v>
      </c>
      <c r="S125" t="s">
        <v>374</v>
      </c>
      <c r="U125" s="6">
        <v>42116.543923611112</v>
      </c>
      <c r="V125" t="s">
        <v>35</v>
      </c>
      <c r="W125" t="s">
        <v>17</v>
      </c>
      <c r="X125" s="6">
        <v>41962.112662037034</v>
      </c>
      <c r="Y125" t="s">
        <v>787</v>
      </c>
      <c r="AB125" t="s">
        <v>199</v>
      </c>
      <c r="AC125" t="s">
        <v>247</v>
      </c>
      <c r="AD125" t="s">
        <v>220</v>
      </c>
      <c r="AE125" t="s">
        <v>219</v>
      </c>
      <c r="AG125" t="s">
        <v>588</v>
      </c>
      <c r="AH125" t="s">
        <v>327</v>
      </c>
      <c r="AI125" t="s">
        <v>121</v>
      </c>
      <c r="AJ125" t="s">
        <v>716</v>
      </c>
      <c r="AK125" t="s">
        <v>121</v>
      </c>
    </row>
    <row r="126" spans="9:37" x14ac:dyDescent="0.3">
      <c r="I126">
        <f ca="1">IF(OR(INDIRECT(A73&amp;ROW())=B93,INDIRECT(A73&amp;ROW())=B94),1,IF(AND(INDIRECT(A73&amp;ROW())=B95,INDIRECT(A96&amp;ROW())=C93),1,IF(AND(INDIRECT(A73&amp;ROW())=B95,INDIRECT(A96&amp;ROW())=C94),1,0)))</f>
        <v>0</v>
      </c>
      <c r="J126">
        <f ca="1">IF(AND(INDIRECT(A73&amp;ROW())=B95,INDIRECT(A96&amp;ROW())=C95),1,IF(AND(INDIRECT(A73&amp;ROW())=B95,INDIRECT(A96&amp;ROW())=C96),1,0))</f>
        <v>0</v>
      </c>
      <c r="K126">
        <f ca="1">DAYS360(INDIRECT(C68&amp;ROW()),TODAY())</f>
        <v>800</v>
      </c>
      <c r="L126">
        <f ca="1">DAYS360(INDIRECT(C69&amp;ROW()),TODAY())</f>
        <v>883</v>
      </c>
      <c r="M126" s="11">
        <f ca="1">HYPERLINK(CONCATENATE("https://bugzilla.houston.hp.com:1181/bugzilla/show_bug.cgi?id=",INDIRECT(C70&amp;ROW())),INDIRECT(C70&amp;ROW()))</f>
        <v>53402</v>
      </c>
      <c r="N126">
        <v>53402</v>
      </c>
      <c r="O126" t="s">
        <v>88</v>
      </c>
      <c r="P126" t="s">
        <v>422</v>
      </c>
      <c r="Q126" t="s">
        <v>16</v>
      </c>
      <c r="R126" t="s">
        <v>248</v>
      </c>
      <c r="S126" t="s">
        <v>36</v>
      </c>
      <c r="U126" s="6">
        <v>42047.9452662037</v>
      </c>
      <c r="V126" t="s">
        <v>18</v>
      </c>
      <c r="W126" t="s">
        <v>27</v>
      </c>
      <c r="X126" s="6">
        <v>41962.478715277779</v>
      </c>
      <c r="Y126" t="s">
        <v>119</v>
      </c>
      <c r="AB126" t="s">
        <v>201</v>
      </c>
      <c r="AC126" t="s">
        <v>121</v>
      </c>
      <c r="AD126" t="s">
        <v>222</v>
      </c>
      <c r="AE126" t="s">
        <v>225</v>
      </c>
      <c r="AG126" t="s">
        <v>121</v>
      </c>
      <c r="AH126" t="s">
        <v>327</v>
      </c>
      <c r="AI126" t="s">
        <v>121</v>
      </c>
      <c r="AJ126" t="s">
        <v>717</v>
      </c>
      <c r="AK126" t="s">
        <v>121</v>
      </c>
    </row>
    <row r="127" spans="9:37" x14ac:dyDescent="0.3">
      <c r="I127">
        <f ca="1">IF(OR(INDIRECT(A73&amp;ROW())=B93,INDIRECT(A73&amp;ROW())=B94),1,IF(AND(INDIRECT(A73&amp;ROW())=B95,INDIRECT(A96&amp;ROW())=C93),1,IF(AND(INDIRECT(A73&amp;ROW())=B95,INDIRECT(A96&amp;ROW())=C94),1,0)))</f>
        <v>0</v>
      </c>
      <c r="J127">
        <f ca="1">IF(AND(INDIRECT(A73&amp;ROW())=B95,INDIRECT(A96&amp;ROW())=C95),1,IF(AND(INDIRECT(A73&amp;ROW())=B95,INDIRECT(A96&amp;ROW())=C96),1,0))</f>
        <v>1</v>
      </c>
      <c r="K127">
        <f ca="1">DAYS360(INDIRECT(C68&amp;ROW()),TODAY())</f>
        <v>800</v>
      </c>
      <c r="L127">
        <f ca="1">DAYS360(INDIRECT(C69&amp;ROW()),TODAY())</f>
        <v>883</v>
      </c>
      <c r="M127" s="11">
        <f ca="1">HYPERLINK(CONCATENATE("https://bugzilla.houston.hp.com:1181/bugzilla/show_bug.cgi?id=",INDIRECT(C70&amp;ROW())),INDIRECT(C70&amp;ROW()))</f>
        <v>53415</v>
      </c>
      <c r="N127">
        <v>53415</v>
      </c>
      <c r="O127" t="s">
        <v>56</v>
      </c>
      <c r="P127" t="s">
        <v>421</v>
      </c>
      <c r="Q127" t="s">
        <v>25</v>
      </c>
      <c r="R127" t="s">
        <v>248</v>
      </c>
      <c r="S127" t="s">
        <v>36</v>
      </c>
      <c r="U127" s="6">
        <v>42047.945960648147</v>
      </c>
      <c r="V127" t="s">
        <v>18</v>
      </c>
      <c r="W127" t="s">
        <v>89</v>
      </c>
      <c r="X127" s="6">
        <v>41962.515706018516</v>
      </c>
      <c r="Y127" t="s">
        <v>786</v>
      </c>
      <c r="AB127" t="s">
        <v>201</v>
      </c>
      <c r="AC127" t="s">
        <v>121</v>
      </c>
      <c r="AD127" t="s">
        <v>220</v>
      </c>
      <c r="AE127" t="s">
        <v>219</v>
      </c>
      <c r="AG127" t="s">
        <v>121</v>
      </c>
      <c r="AH127" t="s">
        <v>327</v>
      </c>
      <c r="AI127" t="s">
        <v>121</v>
      </c>
      <c r="AJ127" t="s">
        <v>716</v>
      </c>
      <c r="AK127" t="s">
        <v>121</v>
      </c>
    </row>
    <row r="128" spans="9:37" x14ac:dyDescent="0.3">
      <c r="I128">
        <f ca="1">IF(OR(INDIRECT(A73&amp;ROW())=B93,INDIRECT(A73&amp;ROW())=B94),1,IF(AND(INDIRECT(A73&amp;ROW())=B95,INDIRECT(A96&amp;ROW())=C93),1,IF(AND(INDIRECT(A73&amp;ROW())=B95,INDIRECT(A96&amp;ROW())=C94),1,0)))</f>
        <v>0</v>
      </c>
      <c r="J128">
        <f ca="1">IF(AND(INDIRECT(A73&amp;ROW())=B95,INDIRECT(A96&amp;ROW())=C95),1,IF(AND(INDIRECT(A73&amp;ROW())=B95,INDIRECT(A96&amp;ROW())=C96),1,0))</f>
        <v>0</v>
      </c>
      <c r="K128">
        <f ca="1">DAYS360(INDIRECT(C68&amp;ROW()),TODAY())</f>
        <v>800</v>
      </c>
      <c r="L128">
        <f ca="1">DAYS360(INDIRECT(C69&amp;ROW()),TODAY())</f>
        <v>883</v>
      </c>
      <c r="M128" s="11">
        <f ca="1">HYPERLINK(CONCATENATE("https://bugzilla.houston.hp.com:1181/bugzilla/show_bug.cgi?id=",INDIRECT(C70&amp;ROW())),INDIRECT(C70&amp;ROW()))</f>
        <v>53420</v>
      </c>
      <c r="N128">
        <v>53420</v>
      </c>
      <c r="O128" t="s">
        <v>88</v>
      </c>
      <c r="P128" t="s">
        <v>420</v>
      </c>
      <c r="Q128" t="s">
        <v>16</v>
      </c>
      <c r="R128" t="s">
        <v>248</v>
      </c>
      <c r="S128" t="s">
        <v>36</v>
      </c>
      <c r="U128" s="6">
        <v>42047.944016203706</v>
      </c>
      <c r="V128" t="s">
        <v>18</v>
      </c>
      <c r="W128" t="s">
        <v>79</v>
      </c>
      <c r="X128" s="6">
        <v>41962.525289351855</v>
      </c>
      <c r="Y128" t="s">
        <v>119</v>
      </c>
      <c r="AB128" t="s">
        <v>201</v>
      </c>
      <c r="AC128" t="s">
        <v>121</v>
      </c>
      <c r="AD128" t="s">
        <v>222</v>
      </c>
      <c r="AE128" t="s">
        <v>240</v>
      </c>
      <c r="AG128" t="s">
        <v>121</v>
      </c>
      <c r="AH128" t="s">
        <v>327</v>
      </c>
      <c r="AI128" t="s">
        <v>121</v>
      </c>
      <c r="AJ128" t="s">
        <v>717</v>
      </c>
      <c r="AK128" t="s">
        <v>121</v>
      </c>
    </row>
    <row r="129" spans="9:37" x14ac:dyDescent="0.3">
      <c r="I129">
        <f ca="1">IF(OR(INDIRECT(A73&amp;ROW())=B93,INDIRECT(A73&amp;ROW())=B94),1,IF(AND(INDIRECT(A73&amp;ROW())=B95,INDIRECT(A96&amp;ROW())=C93),1,IF(AND(INDIRECT(A73&amp;ROW())=B95,INDIRECT(A96&amp;ROW())=C94),1,0)))</f>
        <v>0</v>
      </c>
      <c r="J129">
        <f ca="1">IF(AND(INDIRECT(A73&amp;ROW())=B95,INDIRECT(A96&amp;ROW())=C95),1,IF(AND(INDIRECT(A73&amp;ROW())=B95,INDIRECT(A96&amp;ROW())=C96),1,0))</f>
        <v>0</v>
      </c>
      <c r="K129">
        <f ca="1">DAYS360(INDIRECT(C68&amp;ROW()),TODAY())</f>
        <v>681</v>
      </c>
      <c r="L129">
        <f ca="1">DAYS360(INDIRECT(C69&amp;ROW()),TODAY())</f>
        <v>883</v>
      </c>
      <c r="M129" s="11">
        <f ca="1">HYPERLINK(CONCATENATE("https://bugzilla.houston.hp.com:1181/bugzilla/show_bug.cgi?id=",INDIRECT(C70&amp;ROW())),INDIRECT(C70&amp;ROW()))</f>
        <v>53425</v>
      </c>
      <c r="N129">
        <v>53425</v>
      </c>
      <c r="O129" t="s">
        <v>56</v>
      </c>
      <c r="P129" t="s">
        <v>419</v>
      </c>
      <c r="Q129" t="s">
        <v>16</v>
      </c>
      <c r="R129" t="s">
        <v>248</v>
      </c>
      <c r="S129" t="s">
        <v>36</v>
      </c>
      <c r="U129" s="6">
        <v>42166.355740740742</v>
      </c>
      <c r="V129" t="s">
        <v>18</v>
      </c>
      <c r="W129" t="s">
        <v>27</v>
      </c>
      <c r="X129" s="6">
        <v>41962.529432870368</v>
      </c>
      <c r="Y129" t="s">
        <v>119</v>
      </c>
      <c r="AB129" t="s">
        <v>201</v>
      </c>
      <c r="AC129" t="s">
        <v>121</v>
      </c>
      <c r="AD129" t="s">
        <v>220</v>
      </c>
      <c r="AE129" t="s">
        <v>219</v>
      </c>
      <c r="AG129" t="s">
        <v>121</v>
      </c>
      <c r="AH129" t="s">
        <v>327</v>
      </c>
      <c r="AI129" t="s">
        <v>121</v>
      </c>
      <c r="AJ129" t="s">
        <v>717</v>
      </c>
      <c r="AK129" t="s">
        <v>121</v>
      </c>
    </row>
    <row r="130" spans="9:37" x14ac:dyDescent="0.3">
      <c r="I130">
        <f ca="1">IF(OR(INDIRECT(A73&amp;ROW())=B93,INDIRECT(A73&amp;ROW())=B94),1,IF(AND(INDIRECT(A73&amp;ROW())=B95,INDIRECT(A96&amp;ROW())=C93),1,IF(AND(INDIRECT(A73&amp;ROW())=B95,INDIRECT(A96&amp;ROW())=C94),1,0)))</f>
        <v>0</v>
      </c>
      <c r="J130">
        <f ca="1">IF(AND(INDIRECT(A73&amp;ROW())=B95,INDIRECT(A96&amp;ROW())=C95),1,IF(AND(INDIRECT(A73&amp;ROW())=B95,INDIRECT(A96&amp;ROW())=C96),1,0))</f>
        <v>0</v>
      </c>
      <c r="K130">
        <f ca="1">DAYS360(INDIRECT(C68&amp;ROW()),TODAY())</f>
        <v>721</v>
      </c>
      <c r="L130">
        <f ca="1">DAYS360(INDIRECT(C69&amp;ROW()),TODAY())</f>
        <v>883</v>
      </c>
      <c r="M130" s="11">
        <f ca="1">HYPERLINK(CONCATENATE("https://bugzilla.houston.hp.com:1181/bugzilla/show_bug.cgi?id=",INDIRECT(C70&amp;ROW())),INDIRECT(C70&amp;ROW()))</f>
        <v>53446</v>
      </c>
      <c r="N130">
        <v>53446</v>
      </c>
      <c r="O130" t="s">
        <v>56</v>
      </c>
      <c r="P130" t="s">
        <v>674</v>
      </c>
      <c r="Q130" t="s">
        <v>16</v>
      </c>
      <c r="R130" t="s">
        <v>251</v>
      </c>
      <c r="S130" t="s">
        <v>55</v>
      </c>
      <c r="U130" s="6">
        <v>42125.448657407411</v>
      </c>
      <c r="V130" t="s">
        <v>18</v>
      </c>
      <c r="W130" t="s">
        <v>17</v>
      </c>
      <c r="X130" s="6">
        <v>41962.642233796294</v>
      </c>
      <c r="Y130" t="s">
        <v>122</v>
      </c>
      <c r="AB130" t="s">
        <v>201</v>
      </c>
      <c r="AC130" t="s">
        <v>247</v>
      </c>
      <c r="AD130" t="s">
        <v>220</v>
      </c>
      <c r="AE130" t="s">
        <v>219</v>
      </c>
      <c r="AG130" t="s">
        <v>121</v>
      </c>
      <c r="AH130" t="s">
        <v>327</v>
      </c>
      <c r="AI130" t="s">
        <v>121</v>
      </c>
      <c r="AJ130" t="s">
        <v>717</v>
      </c>
      <c r="AK130" t="s">
        <v>121</v>
      </c>
    </row>
    <row r="131" spans="9:37" x14ac:dyDescent="0.3">
      <c r="I131">
        <f ca="1">IF(OR(INDIRECT(A73&amp;ROW())=B93,INDIRECT(A73&amp;ROW())=B94),1,IF(AND(INDIRECT(A73&amp;ROW())=B95,INDIRECT(A96&amp;ROW())=C93),1,IF(AND(INDIRECT(A73&amp;ROW())=B95,INDIRECT(A96&amp;ROW())=C94),1,0)))</f>
        <v>1</v>
      </c>
      <c r="J131">
        <f ca="1">IF(AND(INDIRECT(A73&amp;ROW())=B95,INDIRECT(A96&amp;ROW())=C95),1,IF(AND(INDIRECT(A73&amp;ROW())=B95,INDIRECT(A96&amp;ROW())=C96),1,0))</f>
        <v>0</v>
      </c>
      <c r="K131">
        <f ca="1">DAYS360(INDIRECT(C68&amp;ROW()),TODAY())</f>
        <v>800</v>
      </c>
      <c r="L131">
        <f ca="1">DAYS360(INDIRECT(C69&amp;ROW()),TODAY())</f>
        <v>882</v>
      </c>
      <c r="M131" s="11">
        <f ca="1">HYPERLINK(CONCATENATE("https://bugzilla.houston.hp.com:1181/bugzilla/show_bug.cgi?id=",INDIRECT(C70&amp;ROW())),INDIRECT(C70&amp;ROW()))</f>
        <v>53480</v>
      </c>
      <c r="N131">
        <v>53480</v>
      </c>
      <c r="O131" t="s">
        <v>180</v>
      </c>
      <c r="P131" t="s">
        <v>418</v>
      </c>
      <c r="Q131" t="s">
        <v>25</v>
      </c>
      <c r="R131" t="s">
        <v>248</v>
      </c>
      <c r="S131" t="s">
        <v>36</v>
      </c>
      <c r="U131" s="6">
        <v>42047.955960648149</v>
      </c>
      <c r="V131" t="s">
        <v>18</v>
      </c>
      <c r="W131" t="s">
        <v>171</v>
      </c>
      <c r="X131" s="6">
        <v>41963.306967592594</v>
      </c>
      <c r="Y131" t="s">
        <v>119</v>
      </c>
      <c r="AB131" t="s">
        <v>200</v>
      </c>
      <c r="AC131" t="s">
        <v>121</v>
      </c>
      <c r="AD131" t="s">
        <v>222</v>
      </c>
      <c r="AE131" t="s">
        <v>221</v>
      </c>
      <c r="AG131" t="s">
        <v>121</v>
      </c>
      <c r="AH131" t="s">
        <v>327</v>
      </c>
      <c r="AI131" t="s">
        <v>121</v>
      </c>
      <c r="AJ131" t="s">
        <v>715</v>
      </c>
      <c r="AK131" t="s">
        <v>121</v>
      </c>
    </row>
    <row r="132" spans="9:37" x14ac:dyDescent="0.3">
      <c r="I132">
        <f ca="1">IF(OR(INDIRECT(A73&amp;ROW())=B93,INDIRECT(A73&amp;ROW())=B94),1,IF(AND(INDIRECT(A73&amp;ROW())=B95,INDIRECT(A96&amp;ROW())=C93),1,IF(AND(INDIRECT(A73&amp;ROW())=B95,INDIRECT(A96&amp;ROW())=C94),1,0)))</f>
        <v>0</v>
      </c>
      <c r="J132">
        <f ca="1">IF(AND(INDIRECT(A73&amp;ROW())=B95,INDIRECT(A96&amp;ROW())=C95),1,IF(AND(INDIRECT(A73&amp;ROW())=B95,INDIRECT(A96&amp;ROW())=C96),1,0))</f>
        <v>0</v>
      </c>
      <c r="K132">
        <f ca="1">DAYS360(INDIRECT(C68&amp;ROW()),TODAY())</f>
        <v>721</v>
      </c>
      <c r="L132">
        <f ca="1">DAYS360(INDIRECT(C69&amp;ROW()),TODAY())</f>
        <v>882</v>
      </c>
      <c r="M132" s="11">
        <f ca="1">HYPERLINK(CONCATENATE("https://bugzilla.houston.hp.com:1181/bugzilla/show_bug.cgi?id=",INDIRECT(C70&amp;ROW())),INDIRECT(C70&amp;ROW()))</f>
        <v>53489</v>
      </c>
      <c r="N132">
        <v>53489</v>
      </c>
      <c r="O132" t="s">
        <v>21</v>
      </c>
      <c r="P132" t="s">
        <v>417</v>
      </c>
      <c r="Q132" t="s">
        <v>16</v>
      </c>
      <c r="R132" t="s">
        <v>248</v>
      </c>
      <c r="S132" t="s">
        <v>36</v>
      </c>
      <c r="U132" s="6">
        <v>42125.442152777781</v>
      </c>
      <c r="V132" t="s">
        <v>18</v>
      </c>
      <c r="W132" t="s">
        <v>171</v>
      </c>
      <c r="X132" s="6">
        <v>41963.308657407404</v>
      </c>
      <c r="Y132" t="s">
        <v>122</v>
      </c>
      <c r="AB132" t="s">
        <v>201</v>
      </c>
      <c r="AC132" t="s">
        <v>121</v>
      </c>
      <c r="AD132" t="s">
        <v>222</v>
      </c>
      <c r="AE132" t="s">
        <v>225</v>
      </c>
      <c r="AG132" t="s">
        <v>121</v>
      </c>
      <c r="AH132" t="s">
        <v>327</v>
      </c>
      <c r="AI132" t="s">
        <v>121</v>
      </c>
      <c r="AJ132" t="s">
        <v>717</v>
      </c>
      <c r="AK132" t="s">
        <v>121</v>
      </c>
    </row>
    <row r="133" spans="9:37" x14ac:dyDescent="0.3">
      <c r="I133">
        <f ca="1">IF(OR(INDIRECT(A73&amp;ROW())=B93,INDIRECT(A73&amp;ROW())=B94),1,IF(AND(INDIRECT(A73&amp;ROW())=B95,INDIRECT(A96&amp;ROW())=C93),1,IF(AND(INDIRECT(A73&amp;ROW())=B95,INDIRECT(A96&amp;ROW())=C94),1,0)))</f>
        <v>0</v>
      </c>
      <c r="J133">
        <f ca="1">IF(AND(INDIRECT(A73&amp;ROW())=B95,INDIRECT(A96&amp;ROW())=C95),1,IF(AND(INDIRECT(A73&amp;ROW())=B95,INDIRECT(A96&amp;ROW())=C96),1,0))</f>
        <v>0</v>
      </c>
      <c r="K133">
        <f ca="1">DAYS360(INDIRECT(C68&amp;ROW()),TODAY())</f>
        <v>721</v>
      </c>
      <c r="L133">
        <f ca="1">DAYS360(INDIRECT(C69&amp;ROW()),TODAY())</f>
        <v>882</v>
      </c>
      <c r="M133" s="11">
        <f ca="1">HYPERLINK(CONCATENATE("https://bugzilla.houston.hp.com:1181/bugzilla/show_bug.cgi?id=",INDIRECT(C70&amp;ROW())),INDIRECT(C70&amp;ROW()))</f>
        <v>53492</v>
      </c>
      <c r="N133">
        <v>53492</v>
      </c>
      <c r="O133" t="s">
        <v>180</v>
      </c>
      <c r="P133" t="s">
        <v>416</v>
      </c>
      <c r="Q133" t="s">
        <v>16</v>
      </c>
      <c r="R133" t="s">
        <v>248</v>
      </c>
      <c r="S133" t="s">
        <v>36</v>
      </c>
      <c r="U133" s="6">
        <v>42125.442372685182</v>
      </c>
      <c r="V133" t="s">
        <v>18</v>
      </c>
      <c r="W133" t="s">
        <v>172</v>
      </c>
      <c r="X133" s="6">
        <v>41963.308993055558</v>
      </c>
      <c r="Y133" t="s">
        <v>122</v>
      </c>
      <c r="AB133" t="s">
        <v>200</v>
      </c>
      <c r="AC133" t="s">
        <v>121</v>
      </c>
      <c r="AD133" t="s">
        <v>222</v>
      </c>
      <c r="AE133" t="s">
        <v>225</v>
      </c>
      <c r="AG133" t="s">
        <v>121</v>
      </c>
      <c r="AH133" t="s">
        <v>327</v>
      </c>
      <c r="AI133" t="s">
        <v>121</v>
      </c>
      <c r="AJ133" t="s">
        <v>716</v>
      </c>
      <c r="AK133" t="s">
        <v>121</v>
      </c>
    </row>
    <row r="134" spans="9:37" x14ac:dyDescent="0.3">
      <c r="I134">
        <f ca="1">IF(OR(INDIRECT(A73&amp;ROW())=B93,INDIRECT(A73&amp;ROW())=B94),1,IF(AND(INDIRECT(A73&amp;ROW())=B95,INDIRECT(A96&amp;ROW())=C93),1,IF(AND(INDIRECT(A73&amp;ROW())=B95,INDIRECT(A96&amp;ROW())=C94),1,0)))</f>
        <v>0</v>
      </c>
      <c r="J134">
        <f ca="1">IF(AND(INDIRECT(A73&amp;ROW())=B95,INDIRECT(A96&amp;ROW())=C95),1,IF(AND(INDIRECT(A73&amp;ROW())=B95,INDIRECT(A96&amp;ROW())=C96),1,0))</f>
        <v>0</v>
      </c>
      <c r="K134">
        <f ca="1">DAYS360(INDIRECT(C68&amp;ROW()),TODAY())</f>
        <v>721</v>
      </c>
      <c r="L134">
        <f ca="1">DAYS360(INDIRECT(C69&amp;ROW()),TODAY())</f>
        <v>882</v>
      </c>
      <c r="M134" s="11">
        <f ca="1">HYPERLINK(CONCATENATE("https://bugzilla.houston.hp.com:1181/bugzilla/show_bug.cgi?id=",INDIRECT(C70&amp;ROW())),INDIRECT(C70&amp;ROW()))</f>
        <v>53504</v>
      </c>
      <c r="N134">
        <v>53504</v>
      </c>
      <c r="O134" t="s">
        <v>213</v>
      </c>
      <c r="P134" t="s">
        <v>415</v>
      </c>
      <c r="Q134" t="s">
        <v>16</v>
      </c>
      <c r="R134" t="s">
        <v>248</v>
      </c>
      <c r="S134" t="s">
        <v>36</v>
      </c>
      <c r="U134" s="6">
        <v>42125.443923611114</v>
      </c>
      <c r="V134" t="s">
        <v>18</v>
      </c>
      <c r="W134" t="s">
        <v>172</v>
      </c>
      <c r="X134" s="6">
        <v>41963.310601851852</v>
      </c>
      <c r="Y134" t="s">
        <v>122</v>
      </c>
      <c r="AB134" t="s">
        <v>201</v>
      </c>
      <c r="AC134" t="s">
        <v>121</v>
      </c>
      <c r="AD134" t="s">
        <v>220</v>
      </c>
      <c r="AE134" t="s">
        <v>219</v>
      </c>
      <c r="AG134" t="s">
        <v>121</v>
      </c>
      <c r="AH134" t="s">
        <v>327</v>
      </c>
      <c r="AI134" t="s">
        <v>121</v>
      </c>
      <c r="AJ134" t="s">
        <v>717</v>
      </c>
      <c r="AK134" t="s">
        <v>121</v>
      </c>
    </row>
    <row r="135" spans="9:37" x14ac:dyDescent="0.3">
      <c r="I135">
        <f ca="1">IF(OR(INDIRECT(A73&amp;ROW())=B93,INDIRECT(A73&amp;ROW())=B94),1,IF(AND(INDIRECT(A73&amp;ROW())=B95,INDIRECT(A96&amp;ROW())=C93),1,IF(AND(INDIRECT(A73&amp;ROW())=B95,INDIRECT(A96&amp;ROW())=C94),1,0)))</f>
        <v>0</v>
      </c>
      <c r="J135">
        <f ca="1">IF(AND(INDIRECT(A73&amp;ROW())=B95,INDIRECT(A96&amp;ROW())=C95),1,IF(AND(INDIRECT(A73&amp;ROW())=B95,INDIRECT(A96&amp;ROW())=C96),1,0))</f>
        <v>1</v>
      </c>
      <c r="K135">
        <f ca="1">DAYS360(INDIRECT(C68&amp;ROW()),TODAY())</f>
        <v>800</v>
      </c>
      <c r="L135">
        <f ca="1">DAYS360(INDIRECT(C69&amp;ROW()),TODAY())</f>
        <v>882</v>
      </c>
      <c r="M135" s="11">
        <f ca="1">HYPERLINK(CONCATENATE("https://bugzilla.houston.hp.com:1181/bugzilla/show_bug.cgi?id=",INDIRECT(C70&amp;ROW())),INDIRECT(C70&amp;ROW()))</f>
        <v>53507</v>
      </c>
      <c r="N135">
        <v>53507</v>
      </c>
      <c r="O135" t="s">
        <v>56</v>
      </c>
      <c r="P135" t="s">
        <v>414</v>
      </c>
      <c r="Q135" t="s">
        <v>25</v>
      </c>
      <c r="R135" t="s">
        <v>248</v>
      </c>
      <c r="S135" t="s">
        <v>36</v>
      </c>
      <c r="U135" s="6">
        <v>42047.945706018516</v>
      </c>
      <c r="V135" t="s">
        <v>18</v>
      </c>
      <c r="W135" t="s">
        <v>215</v>
      </c>
      <c r="X135" s="6">
        <v>41963.311215277776</v>
      </c>
      <c r="Y135" t="s">
        <v>244</v>
      </c>
      <c r="AB135" t="s">
        <v>201</v>
      </c>
      <c r="AC135" t="s">
        <v>121</v>
      </c>
      <c r="AD135" t="s">
        <v>220</v>
      </c>
      <c r="AE135" t="s">
        <v>219</v>
      </c>
      <c r="AG135" t="s">
        <v>121</v>
      </c>
      <c r="AH135" t="s">
        <v>327</v>
      </c>
      <c r="AI135" t="s">
        <v>121</v>
      </c>
      <c r="AJ135" t="s">
        <v>716</v>
      </c>
      <c r="AK135" t="s">
        <v>121</v>
      </c>
    </row>
    <row r="136" spans="9:37" x14ac:dyDescent="0.3">
      <c r="I136">
        <f ca="1">IF(OR(INDIRECT(A73&amp;ROW())=B93,INDIRECT(A73&amp;ROW())=B94),1,IF(AND(INDIRECT(A73&amp;ROW())=B95,INDIRECT(A96&amp;ROW())=C93),1,IF(AND(INDIRECT(A73&amp;ROW())=B95,INDIRECT(A96&amp;ROW())=C94),1,0)))</f>
        <v>0</v>
      </c>
      <c r="J136">
        <f ca="1">IF(AND(INDIRECT(A73&amp;ROW())=B95,INDIRECT(A96&amp;ROW())=C95),1,IF(AND(INDIRECT(A73&amp;ROW())=B95,INDIRECT(A96&amp;ROW())=C96),1,0))</f>
        <v>0</v>
      </c>
      <c r="K136">
        <f ca="1">DAYS360(INDIRECT(C68&amp;ROW()),TODAY())</f>
        <v>800</v>
      </c>
      <c r="L136">
        <f ca="1">DAYS360(INDIRECT(C69&amp;ROW()),TODAY())</f>
        <v>882</v>
      </c>
      <c r="M136" s="11">
        <f ca="1">HYPERLINK(CONCATENATE("https://bugzilla.houston.hp.com:1181/bugzilla/show_bug.cgi?id=",INDIRECT(C70&amp;ROW())),INDIRECT(C70&amp;ROW()))</f>
        <v>53510</v>
      </c>
      <c r="N136">
        <v>53510</v>
      </c>
      <c r="O136" t="s">
        <v>88</v>
      </c>
      <c r="P136" t="s">
        <v>413</v>
      </c>
      <c r="Q136" t="s">
        <v>16</v>
      </c>
      <c r="R136" t="s">
        <v>248</v>
      </c>
      <c r="S136" t="s">
        <v>36</v>
      </c>
      <c r="U136" s="6">
        <v>42047.943113425928</v>
      </c>
      <c r="V136" t="s">
        <v>18</v>
      </c>
      <c r="W136" t="s">
        <v>215</v>
      </c>
      <c r="X136" s="6">
        <v>41963.311759259261</v>
      </c>
      <c r="Y136" t="s">
        <v>119</v>
      </c>
      <c r="AB136" t="s">
        <v>201</v>
      </c>
      <c r="AC136" t="s">
        <v>121</v>
      </c>
      <c r="AD136" t="s">
        <v>222</v>
      </c>
      <c r="AE136" t="s">
        <v>240</v>
      </c>
      <c r="AG136" t="s">
        <v>121</v>
      </c>
      <c r="AH136" t="s">
        <v>327</v>
      </c>
      <c r="AI136" t="s">
        <v>121</v>
      </c>
      <c r="AJ136" t="s">
        <v>717</v>
      </c>
      <c r="AK136" t="s">
        <v>121</v>
      </c>
    </row>
    <row r="137" spans="9:37" x14ac:dyDescent="0.3">
      <c r="I137">
        <f ca="1">IF(OR(INDIRECT(A73&amp;ROW())=B93,INDIRECT(A73&amp;ROW())=B94),1,IF(AND(INDIRECT(A73&amp;ROW())=B95,INDIRECT(A96&amp;ROW())=C93),1,IF(AND(INDIRECT(A73&amp;ROW())=B95,INDIRECT(A96&amp;ROW())=C94),1,0)))</f>
        <v>1</v>
      </c>
      <c r="J137">
        <f ca="1">IF(AND(INDIRECT(A73&amp;ROW())=B95,INDIRECT(A96&amp;ROW())=C95),1,IF(AND(INDIRECT(A73&amp;ROW())=B95,INDIRECT(A96&amp;ROW())=C96),1,0))</f>
        <v>0</v>
      </c>
      <c r="K137">
        <f ca="1">DAYS360(INDIRECT(C68&amp;ROW()),TODAY())</f>
        <v>803</v>
      </c>
      <c r="L137">
        <f ca="1">DAYS360(INDIRECT(C69&amp;ROW()),TODAY())</f>
        <v>882</v>
      </c>
      <c r="M137" s="11">
        <f ca="1">HYPERLINK(CONCATENATE("https://bugzilla.houston.hp.com:1181/bugzilla/show_bug.cgi?id=",INDIRECT(C70&amp;ROW())),INDIRECT(C70&amp;ROW()))</f>
        <v>53513</v>
      </c>
      <c r="N137">
        <v>53513</v>
      </c>
      <c r="O137" t="s">
        <v>94</v>
      </c>
      <c r="P137" t="s">
        <v>412</v>
      </c>
      <c r="Q137" t="s">
        <v>39</v>
      </c>
      <c r="R137" t="s">
        <v>248</v>
      </c>
      <c r="S137" t="s">
        <v>36</v>
      </c>
      <c r="U137" s="6">
        <v>42044.504583333335</v>
      </c>
      <c r="V137" t="s">
        <v>18</v>
      </c>
      <c r="W137" t="s">
        <v>211</v>
      </c>
      <c r="X137" s="6">
        <v>41963.312141203707</v>
      </c>
      <c r="Y137" t="s">
        <v>119</v>
      </c>
      <c r="AB137" t="s">
        <v>201</v>
      </c>
      <c r="AC137" t="s">
        <v>121</v>
      </c>
      <c r="AD137" t="s">
        <v>227</v>
      </c>
      <c r="AE137" t="s">
        <v>231</v>
      </c>
      <c r="AG137" t="s">
        <v>121</v>
      </c>
      <c r="AH137" t="s">
        <v>64</v>
      </c>
      <c r="AI137" t="s">
        <v>121</v>
      </c>
      <c r="AJ137" t="s">
        <v>715</v>
      </c>
      <c r="AK137" t="s">
        <v>121</v>
      </c>
    </row>
    <row r="138" spans="9:37" x14ac:dyDescent="0.3">
      <c r="I138">
        <f ca="1">IF(OR(INDIRECT(A73&amp;ROW())=B93,INDIRECT(A73&amp;ROW())=B94),1,IF(AND(INDIRECT(A73&amp;ROW())=B95,INDIRECT(A96&amp;ROW())=C93),1,IF(AND(INDIRECT(A73&amp;ROW())=B95,INDIRECT(A96&amp;ROW())=C94),1,0)))</f>
        <v>0</v>
      </c>
      <c r="J138">
        <f ca="1">IF(AND(INDIRECT(A73&amp;ROW())=B95,INDIRECT(A96&amp;ROW())=C95),1,IF(AND(INDIRECT(A73&amp;ROW())=B95,INDIRECT(A96&amp;ROW())=C96),1,0))</f>
        <v>0</v>
      </c>
      <c r="K138">
        <f ca="1">DAYS360(INDIRECT(C68&amp;ROW()),TODAY())</f>
        <v>721</v>
      </c>
      <c r="L138">
        <f ca="1">DAYS360(INDIRECT(C69&amp;ROW()),TODAY())</f>
        <v>882</v>
      </c>
      <c r="M138" s="11">
        <f ca="1">HYPERLINK(CONCATENATE("https://bugzilla.houston.hp.com:1181/bugzilla/show_bug.cgi?id=",INDIRECT(C70&amp;ROW())),INDIRECT(C70&amp;ROW()))</f>
        <v>53516</v>
      </c>
      <c r="N138">
        <v>53516</v>
      </c>
      <c r="O138" t="s">
        <v>22</v>
      </c>
      <c r="P138" t="s">
        <v>411</v>
      </c>
      <c r="Q138" t="s">
        <v>16</v>
      </c>
      <c r="R138" t="s">
        <v>248</v>
      </c>
      <c r="S138" t="s">
        <v>36</v>
      </c>
      <c r="U138" s="6">
        <v>42125.443807870368</v>
      </c>
      <c r="V138" t="s">
        <v>18</v>
      </c>
      <c r="W138" t="s">
        <v>17</v>
      </c>
      <c r="X138" s="6">
        <v>41963.312673611108</v>
      </c>
      <c r="Y138" t="s">
        <v>122</v>
      </c>
      <c r="Z138" t="s">
        <v>255</v>
      </c>
      <c r="AB138" t="s">
        <v>201</v>
      </c>
      <c r="AC138" t="s">
        <v>121</v>
      </c>
      <c r="AD138" t="s">
        <v>220</v>
      </c>
      <c r="AE138" t="s">
        <v>219</v>
      </c>
      <c r="AG138" t="s">
        <v>121</v>
      </c>
      <c r="AH138" t="s">
        <v>64</v>
      </c>
      <c r="AI138" t="s">
        <v>121</v>
      </c>
      <c r="AJ138" t="s">
        <v>717</v>
      </c>
      <c r="AK138" t="s">
        <v>121</v>
      </c>
    </row>
    <row r="139" spans="9:37" x14ac:dyDescent="0.3">
      <c r="I139">
        <f ca="1">IF(OR(INDIRECT(A73&amp;ROW())=B93,INDIRECT(A73&amp;ROW())=B94),1,IF(AND(INDIRECT(A73&amp;ROW())=B95,INDIRECT(A96&amp;ROW())=C93),1,IF(AND(INDIRECT(A73&amp;ROW())=B95,INDIRECT(A96&amp;ROW())=C94),1,0)))</f>
        <v>0</v>
      </c>
      <c r="J139">
        <f ca="1">IF(AND(INDIRECT(A73&amp;ROW())=B95,INDIRECT(A96&amp;ROW())=C95),1,IF(AND(INDIRECT(A73&amp;ROW())=B95,INDIRECT(A96&amp;ROW())=C96),1,0))</f>
        <v>0</v>
      </c>
      <c r="K139">
        <f ca="1">DAYS360(INDIRECT(C68&amp;ROW()),TODAY())</f>
        <v>800</v>
      </c>
      <c r="L139">
        <f ca="1">DAYS360(INDIRECT(C69&amp;ROW()),TODAY())</f>
        <v>882</v>
      </c>
      <c r="M139" s="11">
        <f ca="1">HYPERLINK(CONCATENATE("https://bugzilla.houston.hp.com:1181/bugzilla/show_bug.cgi?id=",INDIRECT(C70&amp;ROW())),INDIRECT(C70&amp;ROW()))</f>
        <v>53525</v>
      </c>
      <c r="N139">
        <v>53525</v>
      </c>
      <c r="O139" t="s">
        <v>88</v>
      </c>
      <c r="P139" t="s">
        <v>410</v>
      </c>
      <c r="Q139" t="s">
        <v>16</v>
      </c>
      <c r="R139" t="s">
        <v>248</v>
      </c>
      <c r="S139" t="s">
        <v>36</v>
      </c>
      <c r="U139" s="6">
        <v>42047.958749999998</v>
      </c>
      <c r="V139" t="s">
        <v>18</v>
      </c>
      <c r="W139" t="s">
        <v>260</v>
      </c>
      <c r="X139" s="6">
        <v>41963.313935185186</v>
      </c>
      <c r="Y139" t="s">
        <v>119</v>
      </c>
      <c r="AB139" t="s">
        <v>199</v>
      </c>
      <c r="AC139" t="s">
        <v>121</v>
      </c>
      <c r="AD139" t="s">
        <v>220</v>
      </c>
      <c r="AE139" t="s">
        <v>290</v>
      </c>
      <c r="AG139" t="s">
        <v>121</v>
      </c>
      <c r="AH139" t="s">
        <v>64</v>
      </c>
      <c r="AI139" t="s">
        <v>121</v>
      </c>
      <c r="AJ139" t="s">
        <v>716</v>
      </c>
      <c r="AK139" t="s">
        <v>121</v>
      </c>
    </row>
    <row r="140" spans="9:37" x14ac:dyDescent="0.3">
      <c r="I140">
        <f ca="1">IF(OR(INDIRECT(A73&amp;ROW())=B93,INDIRECT(A73&amp;ROW())=B94),1,IF(AND(INDIRECT(A73&amp;ROW())=B95,INDIRECT(A96&amp;ROW())=C93),1,IF(AND(INDIRECT(A73&amp;ROW())=B95,INDIRECT(A96&amp;ROW())=C94),1,0)))</f>
        <v>0</v>
      </c>
      <c r="J140">
        <f ca="1">IF(AND(INDIRECT(A73&amp;ROW())=B95,INDIRECT(A96&amp;ROW())=C95),1,IF(AND(INDIRECT(A73&amp;ROW())=B95,INDIRECT(A96&amp;ROW())=C96),1,0))</f>
        <v>0</v>
      </c>
      <c r="K140">
        <f ca="1">DAYS360(INDIRECT(C68&amp;ROW()),TODAY())</f>
        <v>721</v>
      </c>
      <c r="L140">
        <f ca="1">DAYS360(INDIRECT(C69&amp;ROW()),TODAY())</f>
        <v>882</v>
      </c>
      <c r="M140" s="11">
        <f ca="1">HYPERLINK(CONCATENATE("https://bugzilla.houston.hp.com:1181/bugzilla/show_bug.cgi?id=",INDIRECT(C70&amp;ROW())),INDIRECT(C70&amp;ROW()))</f>
        <v>53531</v>
      </c>
      <c r="N140">
        <v>53531</v>
      </c>
      <c r="O140" t="s">
        <v>88</v>
      </c>
      <c r="P140" t="s">
        <v>409</v>
      </c>
      <c r="Q140" t="s">
        <v>16</v>
      </c>
      <c r="R140" t="s">
        <v>248</v>
      </c>
      <c r="S140" t="s">
        <v>36</v>
      </c>
      <c r="U140" s="6">
        <v>42125.445243055554</v>
      </c>
      <c r="V140" t="s">
        <v>18</v>
      </c>
      <c r="W140" t="s">
        <v>258</v>
      </c>
      <c r="X140" s="6">
        <v>41963.314837962964</v>
      </c>
      <c r="Y140" t="s">
        <v>122</v>
      </c>
      <c r="AB140" t="s">
        <v>200</v>
      </c>
      <c r="AC140" t="s">
        <v>121</v>
      </c>
      <c r="AD140" t="s">
        <v>222</v>
      </c>
      <c r="AE140" t="s">
        <v>221</v>
      </c>
      <c r="AG140" t="s">
        <v>121</v>
      </c>
      <c r="AH140" t="s">
        <v>64</v>
      </c>
      <c r="AI140" t="s">
        <v>121</v>
      </c>
      <c r="AJ140" t="s">
        <v>716</v>
      </c>
      <c r="AK140" t="s">
        <v>121</v>
      </c>
    </row>
    <row r="141" spans="9:37" x14ac:dyDescent="0.3">
      <c r="I141">
        <f ca="1">IF(OR(INDIRECT(A73&amp;ROW())=B93,INDIRECT(A73&amp;ROW())=B94),1,IF(AND(INDIRECT(A73&amp;ROW())=B95,INDIRECT(A96&amp;ROW())=C93),1,IF(AND(INDIRECT(A73&amp;ROW())=B95,INDIRECT(A96&amp;ROW())=C94),1,0)))</f>
        <v>0</v>
      </c>
      <c r="J141">
        <f ca="1">IF(AND(INDIRECT(A73&amp;ROW())=B95,INDIRECT(A96&amp;ROW())=C95),1,IF(AND(INDIRECT(A73&amp;ROW())=B95,INDIRECT(A96&amp;ROW())=C96),1,0))</f>
        <v>0</v>
      </c>
      <c r="K141">
        <f ca="1">DAYS360(INDIRECT(C68&amp;ROW()),TODAY())</f>
        <v>721</v>
      </c>
      <c r="L141">
        <f ca="1">DAYS360(INDIRECT(C69&amp;ROW()),TODAY())</f>
        <v>882</v>
      </c>
      <c r="M141" s="11">
        <f ca="1">HYPERLINK(CONCATENATE("https://bugzilla.houston.hp.com:1181/bugzilla/show_bug.cgi?id=",INDIRECT(C70&amp;ROW())),INDIRECT(C70&amp;ROW()))</f>
        <v>53534</v>
      </c>
      <c r="N141">
        <v>53534</v>
      </c>
      <c r="O141" t="s">
        <v>22</v>
      </c>
      <c r="P141" t="s">
        <v>408</v>
      </c>
      <c r="Q141" t="s">
        <v>16</v>
      </c>
      <c r="R141" t="s">
        <v>248</v>
      </c>
      <c r="S141" t="s">
        <v>36</v>
      </c>
      <c r="U141" s="6">
        <v>42125.445324074077</v>
      </c>
      <c r="V141" t="s">
        <v>18</v>
      </c>
      <c r="W141" t="s">
        <v>17</v>
      </c>
      <c r="X141" s="6">
        <v>41963.315185185187</v>
      </c>
      <c r="Y141" t="s">
        <v>122</v>
      </c>
      <c r="AB141" t="s">
        <v>200</v>
      </c>
      <c r="AC141" t="s">
        <v>121</v>
      </c>
      <c r="AD141" t="s">
        <v>220</v>
      </c>
      <c r="AE141" t="s">
        <v>223</v>
      </c>
      <c r="AG141" t="s">
        <v>121</v>
      </c>
      <c r="AH141" t="s">
        <v>64</v>
      </c>
      <c r="AI141" t="s">
        <v>121</v>
      </c>
      <c r="AJ141" t="s">
        <v>716</v>
      </c>
      <c r="AK141" t="s">
        <v>121</v>
      </c>
    </row>
    <row r="142" spans="9:37" x14ac:dyDescent="0.3">
      <c r="I142">
        <f ca="1">IF(OR(INDIRECT(A73&amp;ROW())=B93,INDIRECT(A73&amp;ROW())=B94),1,IF(AND(INDIRECT(A73&amp;ROW())=B95,INDIRECT(A96&amp;ROW())=C93),1,IF(AND(INDIRECT(A73&amp;ROW())=B95,INDIRECT(A96&amp;ROW())=C94),1,0)))</f>
        <v>0</v>
      </c>
      <c r="J142">
        <f ca="1">IF(AND(INDIRECT(A73&amp;ROW())=B95,INDIRECT(A96&amp;ROW())=C95),1,IF(AND(INDIRECT(A73&amp;ROW())=B95,INDIRECT(A96&amp;ROW())=C96),1,0))</f>
        <v>0</v>
      </c>
      <c r="K142">
        <f ca="1">DAYS360(INDIRECT(C68&amp;ROW()),TODAY())</f>
        <v>721</v>
      </c>
      <c r="L142">
        <f ca="1">DAYS360(INDIRECT(C69&amp;ROW()),TODAY())</f>
        <v>882</v>
      </c>
      <c r="M142" s="11">
        <f ca="1">HYPERLINK(CONCATENATE("https://bugzilla.houston.hp.com:1181/bugzilla/show_bug.cgi?id=",INDIRECT(C70&amp;ROW())),INDIRECT(C70&amp;ROW()))</f>
        <v>53537</v>
      </c>
      <c r="N142">
        <v>53537</v>
      </c>
      <c r="O142" t="s">
        <v>49</v>
      </c>
      <c r="P142" t="s">
        <v>407</v>
      </c>
      <c r="Q142" t="s">
        <v>16</v>
      </c>
      <c r="R142" t="s">
        <v>248</v>
      </c>
      <c r="S142" t="s">
        <v>36</v>
      </c>
      <c r="U142" s="6">
        <v>42125.445162037038</v>
      </c>
      <c r="V142" t="s">
        <v>18</v>
      </c>
      <c r="W142" t="s">
        <v>258</v>
      </c>
      <c r="X142" s="6">
        <v>41963.315509259257</v>
      </c>
      <c r="Y142" t="s">
        <v>122</v>
      </c>
      <c r="AB142" t="s">
        <v>200</v>
      </c>
      <c r="AC142" t="s">
        <v>121</v>
      </c>
      <c r="AD142" t="s">
        <v>222</v>
      </c>
      <c r="AE142" t="s">
        <v>221</v>
      </c>
      <c r="AG142" t="s">
        <v>121</v>
      </c>
      <c r="AH142" t="s">
        <v>64</v>
      </c>
      <c r="AI142" t="s">
        <v>121</v>
      </c>
      <c r="AJ142" t="s">
        <v>716</v>
      </c>
      <c r="AK142" t="s">
        <v>121</v>
      </c>
    </row>
    <row r="143" spans="9:37" x14ac:dyDescent="0.3">
      <c r="I143">
        <f ca="1">IF(OR(INDIRECT(A73&amp;ROW())=B93,INDIRECT(A73&amp;ROW())=B94),1,IF(AND(INDIRECT(A73&amp;ROW())=B95,INDIRECT(A96&amp;ROW())=C93),1,IF(AND(INDIRECT(A73&amp;ROW())=B95,INDIRECT(A96&amp;ROW())=C94),1,0)))</f>
        <v>0</v>
      </c>
      <c r="J143">
        <f ca="1">IF(AND(INDIRECT(A73&amp;ROW())=B95,INDIRECT(A96&amp;ROW())=C95),1,IF(AND(INDIRECT(A73&amp;ROW())=B95,INDIRECT(A96&amp;ROW())=C96),1,0))</f>
        <v>0</v>
      </c>
      <c r="K143">
        <f ca="1">DAYS360(INDIRECT(C68&amp;ROW()),TODAY())</f>
        <v>721</v>
      </c>
      <c r="L143">
        <f ca="1">DAYS360(INDIRECT(C69&amp;ROW()),TODAY())</f>
        <v>882</v>
      </c>
      <c r="M143" s="11">
        <f ca="1">HYPERLINK(CONCATENATE("https://bugzilla.houston.hp.com:1181/bugzilla/show_bug.cgi?id=",INDIRECT(C70&amp;ROW())),INDIRECT(C70&amp;ROW()))</f>
        <v>53540</v>
      </c>
      <c r="N143">
        <v>53540</v>
      </c>
      <c r="O143" t="s">
        <v>49</v>
      </c>
      <c r="P143" t="s">
        <v>406</v>
      </c>
      <c r="Q143" t="s">
        <v>16</v>
      </c>
      <c r="R143" t="s">
        <v>248</v>
      </c>
      <c r="S143" t="s">
        <v>36</v>
      </c>
      <c r="U143" s="6">
        <v>42125.445208333331</v>
      </c>
      <c r="V143" t="s">
        <v>18</v>
      </c>
      <c r="W143" t="s">
        <v>258</v>
      </c>
      <c r="X143" s="6">
        <v>41963.315798611111</v>
      </c>
      <c r="Y143" t="s">
        <v>122</v>
      </c>
      <c r="AB143" t="s">
        <v>200</v>
      </c>
      <c r="AC143" t="s">
        <v>121</v>
      </c>
      <c r="AD143" t="s">
        <v>222</v>
      </c>
      <c r="AE143" t="s">
        <v>221</v>
      </c>
      <c r="AG143" t="s">
        <v>121</v>
      </c>
      <c r="AH143" t="s">
        <v>64</v>
      </c>
      <c r="AI143" t="s">
        <v>121</v>
      </c>
      <c r="AJ143" t="s">
        <v>716</v>
      </c>
      <c r="AK143" t="s">
        <v>121</v>
      </c>
    </row>
    <row r="144" spans="9:37" x14ac:dyDescent="0.3">
      <c r="I144">
        <f ca="1">IF(OR(INDIRECT(A73&amp;ROW())=B93,INDIRECT(A73&amp;ROW())=B94),1,IF(AND(INDIRECT(A73&amp;ROW())=B95,INDIRECT(A96&amp;ROW())=C93),1,IF(AND(INDIRECT(A73&amp;ROW())=B95,INDIRECT(A96&amp;ROW())=C94),1,0)))</f>
        <v>0</v>
      </c>
      <c r="J144">
        <f ca="1">IF(AND(INDIRECT(A73&amp;ROW())=B95,INDIRECT(A96&amp;ROW())=C95),1,IF(AND(INDIRECT(A73&amp;ROW())=B95,INDIRECT(A96&amp;ROW())=C96),1,0))</f>
        <v>0</v>
      </c>
      <c r="K144">
        <f ca="1">DAYS360(INDIRECT(C68&amp;ROW()),TODAY())</f>
        <v>721</v>
      </c>
      <c r="L144">
        <f ca="1">DAYS360(INDIRECT(C69&amp;ROW()),TODAY())</f>
        <v>882</v>
      </c>
      <c r="M144" s="11">
        <f ca="1">HYPERLINK(CONCATENATE("https://bugzilla.houston.hp.com:1181/bugzilla/show_bug.cgi?id=",INDIRECT(C70&amp;ROW())),INDIRECT(C70&amp;ROW()))</f>
        <v>53543</v>
      </c>
      <c r="N144">
        <v>53543</v>
      </c>
      <c r="O144" t="s">
        <v>49</v>
      </c>
      <c r="P144" t="s">
        <v>405</v>
      </c>
      <c r="Q144" t="s">
        <v>16</v>
      </c>
      <c r="R144" t="s">
        <v>248</v>
      </c>
      <c r="S144" t="s">
        <v>36</v>
      </c>
      <c r="U144" s="6">
        <v>42125.4452662037</v>
      </c>
      <c r="V144" t="s">
        <v>18</v>
      </c>
      <c r="W144" t="s">
        <v>258</v>
      </c>
      <c r="X144" s="6">
        <v>41963.316087962965</v>
      </c>
      <c r="Y144" t="s">
        <v>122</v>
      </c>
      <c r="AB144" t="s">
        <v>200</v>
      </c>
      <c r="AC144" t="s">
        <v>121</v>
      </c>
      <c r="AD144" t="s">
        <v>222</v>
      </c>
      <c r="AE144" t="s">
        <v>221</v>
      </c>
      <c r="AG144" t="s">
        <v>121</v>
      </c>
      <c r="AH144" t="s">
        <v>327</v>
      </c>
      <c r="AI144" t="s">
        <v>121</v>
      </c>
      <c r="AJ144" t="s">
        <v>716</v>
      </c>
      <c r="AK144" t="s">
        <v>121</v>
      </c>
    </row>
    <row r="145" spans="9:37" x14ac:dyDescent="0.3">
      <c r="I145">
        <f ca="1">IF(OR(INDIRECT(A73&amp;ROW())=B93,INDIRECT(A73&amp;ROW())=B94),1,IF(AND(INDIRECT(A73&amp;ROW())=B95,INDIRECT(A96&amp;ROW())=C93),1,IF(AND(INDIRECT(A73&amp;ROW())=B95,INDIRECT(A96&amp;ROW())=C94),1,0)))</f>
        <v>0</v>
      </c>
      <c r="J145">
        <f ca="1">IF(AND(INDIRECT(A73&amp;ROW())=B95,INDIRECT(A96&amp;ROW())=C95),1,IF(AND(INDIRECT(A73&amp;ROW())=B95,INDIRECT(A96&amp;ROW())=C96),1,0))</f>
        <v>0</v>
      </c>
      <c r="K145">
        <f ca="1">DAYS360(INDIRECT(C68&amp;ROW()),TODAY())</f>
        <v>721</v>
      </c>
      <c r="L145">
        <f ca="1">DAYS360(INDIRECT(C69&amp;ROW()),TODAY())</f>
        <v>882</v>
      </c>
      <c r="M145" s="11">
        <f ca="1">HYPERLINK(CONCATENATE("https://bugzilla.houston.hp.com:1181/bugzilla/show_bug.cgi?id=",INDIRECT(C70&amp;ROW())),INDIRECT(C70&amp;ROW()))</f>
        <v>53546</v>
      </c>
      <c r="N145">
        <v>53546</v>
      </c>
      <c r="O145" t="s">
        <v>49</v>
      </c>
      <c r="P145" t="s">
        <v>404</v>
      </c>
      <c r="Q145" t="s">
        <v>16</v>
      </c>
      <c r="R145" t="s">
        <v>248</v>
      </c>
      <c r="S145" t="s">
        <v>36</v>
      </c>
      <c r="U145" s="6">
        <v>42125.4453125</v>
      </c>
      <c r="V145" t="s">
        <v>18</v>
      </c>
      <c r="W145" t="s">
        <v>258</v>
      </c>
      <c r="X145" s="6">
        <v>41963.316354166665</v>
      </c>
      <c r="Y145" t="s">
        <v>122</v>
      </c>
      <c r="AB145" t="s">
        <v>200</v>
      </c>
      <c r="AC145" t="s">
        <v>121</v>
      </c>
      <c r="AD145" t="s">
        <v>222</v>
      </c>
      <c r="AE145" t="s">
        <v>221</v>
      </c>
      <c r="AG145" t="s">
        <v>121</v>
      </c>
      <c r="AH145" t="s">
        <v>327</v>
      </c>
      <c r="AI145" t="s">
        <v>121</v>
      </c>
      <c r="AJ145" t="s">
        <v>716</v>
      </c>
      <c r="AK145" t="s">
        <v>121</v>
      </c>
    </row>
    <row r="146" spans="9:37" x14ac:dyDescent="0.3">
      <c r="I146">
        <f ca="1">IF(OR(INDIRECT(A73&amp;ROW())=B93,INDIRECT(A73&amp;ROW())=B94),1,IF(AND(INDIRECT(A73&amp;ROW())=B95,INDIRECT(A96&amp;ROW())=C93),1,IF(AND(INDIRECT(A73&amp;ROW())=B95,INDIRECT(A96&amp;ROW())=C94),1,0)))</f>
        <v>0</v>
      </c>
      <c r="J146">
        <f ca="1">IF(AND(INDIRECT(A73&amp;ROW())=B95,INDIRECT(A96&amp;ROW())=C95),1,IF(AND(INDIRECT(A73&amp;ROW())=B95,INDIRECT(A96&amp;ROW())=C96),1,0))</f>
        <v>0</v>
      </c>
      <c r="K146">
        <f ca="1">DAYS360(INDIRECT(C68&amp;ROW()),TODAY())</f>
        <v>721</v>
      </c>
      <c r="L146">
        <f ca="1">DAYS360(INDIRECT(C69&amp;ROW()),TODAY())</f>
        <v>882</v>
      </c>
      <c r="M146" s="11">
        <f ca="1">HYPERLINK(CONCATENATE("https://bugzilla.houston.hp.com:1181/bugzilla/show_bug.cgi?id=",INDIRECT(C70&amp;ROW())),INDIRECT(C70&amp;ROW()))</f>
        <v>53549</v>
      </c>
      <c r="N146">
        <v>53549</v>
      </c>
      <c r="O146" t="s">
        <v>49</v>
      </c>
      <c r="P146" t="s">
        <v>403</v>
      </c>
      <c r="Q146" t="s">
        <v>16</v>
      </c>
      <c r="R146" t="s">
        <v>248</v>
      </c>
      <c r="S146" t="s">
        <v>36</v>
      </c>
      <c r="U146" s="6">
        <v>42125.445150462961</v>
      </c>
      <c r="V146" t="s">
        <v>18</v>
      </c>
      <c r="W146" t="s">
        <v>258</v>
      </c>
      <c r="X146" s="6">
        <v>41963.316643518519</v>
      </c>
      <c r="Y146" t="s">
        <v>122</v>
      </c>
      <c r="AB146" t="s">
        <v>200</v>
      </c>
      <c r="AC146" t="s">
        <v>121</v>
      </c>
      <c r="AD146" t="s">
        <v>222</v>
      </c>
      <c r="AE146" t="s">
        <v>221</v>
      </c>
      <c r="AG146" t="s">
        <v>121</v>
      </c>
      <c r="AH146" t="s">
        <v>327</v>
      </c>
      <c r="AI146" t="s">
        <v>121</v>
      </c>
      <c r="AJ146" t="s">
        <v>716</v>
      </c>
      <c r="AK146" t="s">
        <v>121</v>
      </c>
    </row>
    <row r="147" spans="9:37" x14ac:dyDescent="0.3">
      <c r="I147">
        <f ca="1">IF(OR(INDIRECT(A73&amp;ROW())=B93,INDIRECT(A73&amp;ROW())=B94),1,IF(AND(INDIRECT(A73&amp;ROW())=B95,INDIRECT(A96&amp;ROW())=C93),1,IF(AND(INDIRECT(A73&amp;ROW())=B95,INDIRECT(A96&amp;ROW())=C94),1,0)))</f>
        <v>0</v>
      </c>
      <c r="J147">
        <f ca="1">IF(AND(INDIRECT(A73&amp;ROW())=B95,INDIRECT(A96&amp;ROW())=C95),1,IF(AND(INDIRECT(A73&amp;ROW())=B95,INDIRECT(A96&amp;ROW())=C96),1,0))</f>
        <v>0</v>
      </c>
      <c r="K147">
        <f ca="1">DAYS360(INDIRECT(C68&amp;ROW()),TODAY())</f>
        <v>721</v>
      </c>
      <c r="L147">
        <f ca="1">DAYS360(INDIRECT(C69&amp;ROW()),TODAY())</f>
        <v>882</v>
      </c>
      <c r="M147" s="11">
        <f ca="1">HYPERLINK(CONCATENATE("https://bugzilla.houston.hp.com:1181/bugzilla/show_bug.cgi?id=",INDIRECT(C70&amp;ROW())),INDIRECT(C70&amp;ROW()))</f>
        <v>53561</v>
      </c>
      <c r="N147">
        <v>53561</v>
      </c>
      <c r="O147" t="s">
        <v>56</v>
      </c>
      <c r="P147" t="s">
        <v>402</v>
      </c>
      <c r="Q147" t="s">
        <v>16</v>
      </c>
      <c r="R147" t="s">
        <v>248</v>
      </c>
      <c r="S147" t="s">
        <v>36</v>
      </c>
      <c r="U147" s="6">
        <v>42125.446539351855</v>
      </c>
      <c r="V147" t="s">
        <v>18</v>
      </c>
      <c r="W147" t="s">
        <v>257</v>
      </c>
      <c r="X147" s="6">
        <v>41963.318425925929</v>
      </c>
      <c r="Y147" t="s">
        <v>122</v>
      </c>
      <c r="AB147" t="s">
        <v>201</v>
      </c>
      <c r="AC147" t="s">
        <v>247</v>
      </c>
      <c r="AD147" t="s">
        <v>220</v>
      </c>
      <c r="AE147" t="s">
        <v>219</v>
      </c>
      <c r="AG147" t="s">
        <v>121</v>
      </c>
      <c r="AH147" t="s">
        <v>64</v>
      </c>
      <c r="AI147" t="s">
        <v>121</v>
      </c>
      <c r="AJ147" t="s">
        <v>717</v>
      </c>
      <c r="AK147" t="s">
        <v>121</v>
      </c>
    </row>
    <row r="148" spans="9:37" x14ac:dyDescent="0.3">
      <c r="I148">
        <f ca="1">IF(OR(INDIRECT(A73&amp;ROW())=B93,INDIRECT(A73&amp;ROW())=B94),1,IF(AND(INDIRECT(A73&amp;ROW())=B95,INDIRECT(A96&amp;ROW())=C93),1,IF(AND(INDIRECT(A73&amp;ROW())=B95,INDIRECT(A96&amp;ROW())=C94),1,0)))</f>
        <v>0</v>
      </c>
      <c r="J148">
        <f ca="1">IF(AND(INDIRECT(A73&amp;ROW())=B95,INDIRECT(A96&amp;ROW())=C95),1,IF(AND(INDIRECT(A73&amp;ROW())=B95,INDIRECT(A96&amp;ROW())=C96),1,0))</f>
        <v>0</v>
      </c>
      <c r="K148">
        <f ca="1">DAYS360(INDIRECT(C68&amp;ROW()),TODAY())</f>
        <v>721</v>
      </c>
      <c r="L148">
        <f ca="1">DAYS360(INDIRECT(C69&amp;ROW()),TODAY())</f>
        <v>882</v>
      </c>
      <c r="M148" s="11">
        <f ca="1">HYPERLINK(CONCATENATE("https://bugzilla.houston.hp.com:1181/bugzilla/show_bug.cgi?id=",INDIRECT(C70&amp;ROW())),INDIRECT(C70&amp;ROW()))</f>
        <v>53564</v>
      </c>
      <c r="N148">
        <v>53564</v>
      </c>
      <c r="O148" t="s">
        <v>56</v>
      </c>
      <c r="P148" t="s">
        <v>401</v>
      </c>
      <c r="Q148" t="s">
        <v>16</v>
      </c>
      <c r="R148" t="s">
        <v>248</v>
      </c>
      <c r="S148" t="s">
        <v>36</v>
      </c>
      <c r="U148" s="6">
        <v>42125.446331018517</v>
      </c>
      <c r="V148" t="s">
        <v>18</v>
      </c>
      <c r="W148" t="s">
        <v>257</v>
      </c>
      <c r="X148" s="6">
        <v>41963.318773148145</v>
      </c>
      <c r="Y148" t="s">
        <v>122</v>
      </c>
      <c r="AB148" t="s">
        <v>201</v>
      </c>
      <c r="AC148" t="s">
        <v>247</v>
      </c>
      <c r="AD148" t="s">
        <v>220</v>
      </c>
      <c r="AE148" t="s">
        <v>219</v>
      </c>
      <c r="AG148" t="s">
        <v>121</v>
      </c>
      <c r="AH148" t="s">
        <v>327</v>
      </c>
      <c r="AI148" t="s">
        <v>121</v>
      </c>
      <c r="AJ148" t="s">
        <v>717</v>
      </c>
      <c r="AK148" t="s">
        <v>121</v>
      </c>
    </row>
    <row r="149" spans="9:37" x14ac:dyDescent="0.3">
      <c r="I149">
        <f ca="1">IF(OR(INDIRECT(A73&amp;ROW())=B93,INDIRECT(A73&amp;ROW())=B94),1,IF(AND(INDIRECT(A73&amp;ROW())=B95,INDIRECT(A96&amp;ROW())=C93),1,IF(AND(INDIRECT(A73&amp;ROW())=B95,INDIRECT(A96&amp;ROW())=C94),1,0)))</f>
        <v>0</v>
      </c>
      <c r="J149">
        <f ca="1">IF(AND(INDIRECT(A73&amp;ROW())=B95,INDIRECT(A96&amp;ROW())=C95),1,IF(AND(INDIRECT(A73&amp;ROW())=B95,INDIRECT(A96&amp;ROW())=C96),1,0))</f>
        <v>0</v>
      </c>
      <c r="K149">
        <f ca="1">DAYS360(INDIRECT(C68&amp;ROW()),TODAY())</f>
        <v>800</v>
      </c>
      <c r="L149">
        <f ca="1">DAYS360(INDIRECT(C69&amp;ROW()),TODAY())</f>
        <v>882</v>
      </c>
      <c r="M149" s="11">
        <f ca="1">HYPERLINK(CONCATENATE("https://bugzilla.houston.hp.com:1181/bugzilla/show_bug.cgi?id=",INDIRECT(C70&amp;ROW())),INDIRECT(C70&amp;ROW()))</f>
        <v>53573</v>
      </c>
      <c r="N149">
        <v>53573</v>
      </c>
      <c r="O149" t="s">
        <v>334</v>
      </c>
      <c r="P149" t="s">
        <v>400</v>
      </c>
      <c r="Q149" t="s">
        <v>16</v>
      </c>
      <c r="R149" t="s">
        <v>248</v>
      </c>
      <c r="S149" t="s">
        <v>36</v>
      </c>
      <c r="U149" s="6">
        <v>42047.980590277781</v>
      </c>
      <c r="V149" t="s">
        <v>18</v>
      </c>
      <c r="W149" t="s">
        <v>260</v>
      </c>
      <c r="X149" s="6">
        <v>41963.319826388892</v>
      </c>
      <c r="Y149" t="s">
        <v>245</v>
      </c>
      <c r="AB149" t="s">
        <v>200</v>
      </c>
      <c r="AC149" t="s">
        <v>247</v>
      </c>
      <c r="AD149" t="s">
        <v>227</v>
      </c>
      <c r="AE149" t="s">
        <v>230</v>
      </c>
      <c r="AG149" t="s">
        <v>121</v>
      </c>
      <c r="AH149" t="s">
        <v>327</v>
      </c>
      <c r="AI149" t="s">
        <v>121</v>
      </c>
      <c r="AJ149" t="s">
        <v>716</v>
      </c>
      <c r="AK149" t="s">
        <v>121</v>
      </c>
    </row>
    <row r="150" spans="9:37" x14ac:dyDescent="0.3">
      <c r="I150">
        <f ca="1">IF(OR(INDIRECT(A73&amp;ROW())=B93,INDIRECT(A73&amp;ROW())=B94),1,IF(AND(INDIRECT(A73&amp;ROW())=B95,INDIRECT(A96&amp;ROW())=C93),1,IF(AND(INDIRECT(A73&amp;ROW())=B95,INDIRECT(A96&amp;ROW())=C94),1,0)))</f>
        <v>0</v>
      </c>
      <c r="J150">
        <f ca="1">IF(AND(INDIRECT(A73&amp;ROW())=B95,INDIRECT(A96&amp;ROW())=C95),1,IF(AND(INDIRECT(A73&amp;ROW())=B95,INDIRECT(A96&amp;ROW())=C96),1,0))</f>
        <v>1</v>
      </c>
      <c r="K150">
        <f ca="1">DAYS360(INDIRECT(C68&amp;ROW()),TODAY())</f>
        <v>721</v>
      </c>
      <c r="L150">
        <f ca="1">DAYS360(INDIRECT(C69&amp;ROW()),TODAY())</f>
        <v>882</v>
      </c>
      <c r="M150" s="11">
        <f ca="1">HYPERLINK(CONCATENATE("https://bugzilla.houston.hp.com:1181/bugzilla/show_bug.cgi?id=",INDIRECT(C70&amp;ROW())),INDIRECT(C70&amp;ROW()))</f>
        <v>53585</v>
      </c>
      <c r="N150">
        <v>53585</v>
      </c>
      <c r="O150" t="s">
        <v>42</v>
      </c>
      <c r="P150" t="s">
        <v>399</v>
      </c>
      <c r="Q150" t="s">
        <v>25</v>
      </c>
      <c r="R150" t="s">
        <v>248</v>
      </c>
      <c r="S150" t="s">
        <v>36</v>
      </c>
      <c r="U150" s="6">
        <v>42125.446412037039</v>
      </c>
      <c r="V150" t="s">
        <v>18</v>
      </c>
      <c r="W150" t="s">
        <v>17</v>
      </c>
      <c r="X150" s="6">
        <v>41963.321562500001</v>
      </c>
      <c r="Y150" t="s">
        <v>122</v>
      </c>
      <c r="AB150" t="s">
        <v>201</v>
      </c>
      <c r="AC150" t="s">
        <v>247</v>
      </c>
      <c r="AD150" t="s">
        <v>220</v>
      </c>
      <c r="AE150" t="s">
        <v>219</v>
      </c>
      <c r="AG150" t="s">
        <v>121</v>
      </c>
      <c r="AH150" t="s">
        <v>64</v>
      </c>
      <c r="AI150" t="s">
        <v>121</v>
      </c>
      <c r="AJ150" t="s">
        <v>716</v>
      </c>
      <c r="AK150" t="s">
        <v>121</v>
      </c>
    </row>
    <row r="151" spans="9:37" x14ac:dyDescent="0.3">
      <c r="I151">
        <f ca="1">IF(OR(INDIRECT(A73&amp;ROW())=B93,INDIRECT(A73&amp;ROW())=B94),1,IF(AND(INDIRECT(A73&amp;ROW())=B95,INDIRECT(A96&amp;ROW())=C93),1,IF(AND(INDIRECT(A73&amp;ROW())=B95,INDIRECT(A96&amp;ROW())=C94),1,0)))</f>
        <v>0</v>
      </c>
      <c r="J151">
        <f ca="1">IF(AND(INDIRECT(A73&amp;ROW())=B95,INDIRECT(A96&amp;ROW())=C95),1,IF(AND(INDIRECT(A73&amp;ROW())=B95,INDIRECT(A96&amp;ROW())=C96),1,0))</f>
        <v>0</v>
      </c>
      <c r="K151">
        <f ca="1">DAYS360(INDIRECT(C68&amp;ROW()),TODAY())</f>
        <v>721</v>
      </c>
      <c r="L151">
        <f ca="1">DAYS360(INDIRECT(C69&amp;ROW()),TODAY())</f>
        <v>882</v>
      </c>
      <c r="M151" s="11">
        <f ca="1">HYPERLINK(CONCATENATE("https://bugzilla.houston.hp.com:1181/bugzilla/show_bug.cgi?id=",INDIRECT(C70&amp;ROW())),INDIRECT(C70&amp;ROW()))</f>
        <v>53588</v>
      </c>
      <c r="N151">
        <v>53588</v>
      </c>
      <c r="O151" t="s">
        <v>50</v>
      </c>
      <c r="P151" t="s">
        <v>398</v>
      </c>
      <c r="Q151" t="s">
        <v>16</v>
      </c>
      <c r="R151" t="s">
        <v>248</v>
      </c>
      <c r="S151" t="s">
        <v>36</v>
      </c>
      <c r="U151" s="6">
        <v>42125.446469907409</v>
      </c>
      <c r="V151" t="s">
        <v>18</v>
      </c>
      <c r="W151" t="s">
        <v>288</v>
      </c>
      <c r="X151" s="6">
        <v>41963.321979166663</v>
      </c>
      <c r="Y151" t="s">
        <v>122</v>
      </c>
      <c r="AB151" t="s">
        <v>200</v>
      </c>
      <c r="AC151" t="s">
        <v>247</v>
      </c>
      <c r="AD151" t="s">
        <v>227</v>
      </c>
      <c r="AE151" t="s">
        <v>231</v>
      </c>
      <c r="AG151" t="s">
        <v>121</v>
      </c>
      <c r="AH151" t="s">
        <v>327</v>
      </c>
      <c r="AI151" t="s">
        <v>121</v>
      </c>
      <c r="AJ151" t="s">
        <v>716</v>
      </c>
      <c r="AK151" t="s">
        <v>121</v>
      </c>
    </row>
    <row r="152" spans="9:37" x14ac:dyDescent="0.3">
      <c r="I152">
        <f ca="1">IF(OR(INDIRECT(A73&amp;ROW())=B93,INDIRECT(A73&amp;ROW())=B94),1,IF(AND(INDIRECT(A73&amp;ROW())=B95,INDIRECT(A96&amp;ROW())=C93),1,IF(AND(INDIRECT(A73&amp;ROW())=B95,INDIRECT(A96&amp;ROW())=C94),1,0)))</f>
        <v>0</v>
      </c>
      <c r="J152">
        <f ca="1">IF(AND(INDIRECT(A73&amp;ROW())=B95,INDIRECT(A96&amp;ROW())=C95),1,IF(AND(INDIRECT(A73&amp;ROW())=B95,INDIRECT(A96&amp;ROW())=C96),1,0))</f>
        <v>1</v>
      </c>
      <c r="K152">
        <f ca="1">DAYS360(INDIRECT(C68&amp;ROW()),TODAY())</f>
        <v>721</v>
      </c>
      <c r="L152">
        <f ca="1">DAYS360(INDIRECT(C69&amp;ROW()),TODAY())</f>
        <v>882</v>
      </c>
      <c r="M152" s="11">
        <f ca="1">HYPERLINK(CONCATENATE("https://bugzilla.houston.hp.com:1181/bugzilla/show_bug.cgi?id=",INDIRECT(C70&amp;ROW())),INDIRECT(C70&amp;ROW()))</f>
        <v>53594</v>
      </c>
      <c r="N152">
        <v>53594</v>
      </c>
      <c r="O152" t="s">
        <v>56</v>
      </c>
      <c r="P152" t="s">
        <v>397</v>
      </c>
      <c r="Q152" t="s">
        <v>25</v>
      </c>
      <c r="R152" t="s">
        <v>248</v>
      </c>
      <c r="S152" t="s">
        <v>36</v>
      </c>
      <c r="U152" s="6">
        <v>42125.44630787037</v>
      </c>
      <c r="V152" t="s">
        <v>18</v>
      </c>
      <c r="W152" t="s">
        <v>324</v>
      </c>
      <c r="X152" s="6">
        <v>41963.322870370372</v>
      </c>
      <c r="Y152" t="s">
        <v>122</v>
      </c>
      <c r="AB152" t="s">
        <v>201</v>
      </c>
      <c r="AC152" t="s">
        <v>247</v>
      </c>
      <c r="AD152" t="s">
        <v>220</v>
      </c>
      <c r="AE152" t="s">
        <v>219</v>
      </c>
      <c r="AG152" t="s">
        <v>121</v>
      </c>
      <c r="AH152" t="s">
        <v>327</v>
      </c>
      <c r="AI152" t="s">
        <v>121</v>
      </c>
      <c r="AJ152" t="s">
        <v>716</v>
      </c>
      <c r="AK152" t="s">
        <v>121</v>
      </c>
    </row>
    <row r="153" spans="9:37" x14ac:dyDescent="0.3">
      <c r="I153">
        <f ca="1">IF(OR(INDIRECT(A73&amp;ROW())=B93,INDIRECT(A73&amp;ROW())=B94),1,IF(AND(INDIRECT(A73&amp;ROW())=B95,INDIRECT(A96&amp;ROW())=C93),1,IF(AND(INDIRECT(A73&amp;ROW())=B95,INDIRECT(A96&amp;ROW())=C94),1,0)))</f>
        <v>0</v>
      </c>
      <c r="J153">
        <f ca="1">IF(AND(INDIRECT(A73&amp;ROW())=B95,INDIRECT(A96&amp;ROW())=C95),1,IF(AND(INDIRECT(A73&amp;ROW())=B95,INDIRECT(A96&amp;ROW())=C96),1,0))</f>
        <v>1</v>
      </c>
      <c r="K153">
        <f ca="1">DAYS360(INDIRECT(C68&amp;ROW()),TODAY())</f>
        <v>721</v>
      </c>
      <c r="L153">
        <f ca="1">DAYS360(INDIRECT(C69&amp;ROW()),TODAY())</f>
        <v>882</v>
      </c>
      <c r="M153" s="11">
        <f ca="1">HYPERLINK(CONCATENATE("https://bugzilla.houston.hp.com:1181/bugzilla/show_bug.cgi?id=",INDIRECT(C70&amp;ROW())),INDIRECT(C70&amp;ROW()))</f>
        <v>53597</v>
      </c>
      <c r="N153">
        <v>53597</v>
      </c>
      <c r="O153" t="s">
        <v>22</v>
      </c>
      <c r="P153" t="s">
        <v>396</v>
      </c>
      <c r="Q153" t="s">
        <v>25</v>
      </c>
      <c r="R153" t="s">
        <v>248</v>
      </c>
      <c r="S153" t="s">
        <v>36</v>
      </c>
      <c r="U153" s="6">
        <v>42125.446574074071</v>
      </c>
      <c r="V153" t="s">
        <v>18</v>
      </c>
      <c r="W153" t="s">
        <v>324</v>
      </c>
      <c r="X153" s="6">
        <v>41963.323252314818</v>
      </c>
      <c r="Y153" t="s">
        <v>122</v>
      </c>
      <c r="AB153" t="s">
        <v>201</v>
      </c>
      <c r="AC153" t="s">
        <v>247</v>
      </c>
      <c r="AD153" t="s">
        <v>220</v>
      </c>
      <c r="AE153" t="s">
        <v>219</v>
      </c>
      <c r="AG153" t="s">
        <v>337</v>
      </c>
      <c r="AH153" t="s">
        <v>327</v>
      </c>
      <c r="AI153" t="s">
        <v>121</v>
      </c>
      <c r="AJ153" t="s">
        <v>716</v>
      </c>
      <c r="AK153" t="s">
        <v>121</v>
      </c>
    </row>
    <row r="154" spans="9:37" x14ac:dyDescent="0.3">
      <c r="I154">
        <f ca="1">IF(OR(INDIRECT(A73&amp;ROW())=B93,INDIRECT(A73&amp;ROW())=B94),1,IF(AND(INDIRECT(A73&amp;ROW())=B95,INDIRECT(A96&amp;ROW())=C93),1,IF(AND(INDIRECT(A73&amp;ROW())=B95,INDIRECT(A96&amp;ROW())=C94),1,0)))</f>
        <v>0</v>
      </c>
      <c r="J154">
        <f ca="1">IF(AND(INDIRECT(A73&amp;ROW())=B95,INDIRECT(A96&amp;ROW())=C95),1,IF(AND(INDIRECT(A73&amp;ROW())=B95,INDIRECT(A96&amp;ROW())=C96),1,0))</f>
        <v>1</v>
      </c>
      <c r="K154">
        <f ca="1">DAYS360(INDIRECT(C68&amp;ROW()),TODAY())</f>
        <v>721</v>
      </c>
      <c r="L154">
        <f ca="1">DAYS360(INDIRECT(C69&amp;ROW()),TODAY())</f>
        <v>882</v>
      </c>
      <c r="M154" s="11">
        <f ca="1">HYPERLINK(CONCATENATE("https://bugzilla.houston.hp.com:1181/bugzilla/show_bug.cgi?id=",INDIRECT(C70&amp;ROW())),INDIRECT(C70&amp;ROW()))</f>
        <v>53600</v>
      </c>
      <c r="N154">
        <v>53600</v>
      </c>
      <c r="O154" t="s">
        <v>45</v>
      </c>
      <c r="P154" t="s">
        <v>395</v>
      </c>
      <c r="Q154" t="s">
        <v>25</v>
      </c>
      <c r="R154" t="s">
        <v>248</v>
      </c>
      <c r="S154" t="s">
        <v>36</v>
      </c>
      <c r="T154" t="s">
        <v>287</v>
      </c>
      <c r="U154" s="6">
        <v>42125.446342592593</v>
      </c>
      <c r="V154" t="s">
        <v>18</v>
      </c>
      <c r="W154" t="s">
        <v>295</v>
      </c>
      <c r="X154" s="6">
        <v>41963.323969907404</v>
      </c>
      <c r="Y154" t="s">
        <v>122</v>
      </c>
      <c r="AB154" t="s">
        <v>201</v>
      </c>
      <c r="AC154" t="s">
        <v>247</v>
      </c>
      <c r="AD154" t="s">
        <v>227</v>
      </c>
      <c r="AE154" t="s">
        <v>226</v>
      </c>
      <c r="AG154" t="s">
        <v>121</v>
      </c>
      <c r="AH154" t="s">
        <v>327</v>
      </c>
      <c r="AI154" t="s">
        <v>121</v>
      </c>
      <c r="AJ154" t="s">
        <v>716</v>
      </c>
      <c r="AK154" t="s">
        <v>121</v>
      </c>
    </row>
    <row r="155" spans="9:37" x14ac:dyDescent="0.3">
      <c r="I155">
        <f ca="1">IF(OR(INDIRECT(A73&amp;ROW())=B93,INDIRECT(A73&amp;ROW())=B94),1,IF(AND(INDIRECT(A73&amp;ROW())=B95,INDIRECT(A96&amp;ROW())=C93),1,IF(AND(INDIRECT(A73&amp;ROW())=B95,INDIRECT(A96&amp;ROW())=C94),1,0)))</f>
        <v>0</v>
      </c>
      <c r="J155">
        <f ca="1">IF(AND(INDIRECT(A73&amp;ROW())=B95,INDIRECT(A96&amp;ROW())=C95),1,IF(AND(INDIRECT(A73&amp;ROW())=B95,INDIRECT(A96&amp;ROW())=C96),1,0))</f>
        <v>0</v>
      </c>
      <c r="K155">
        <f ca="1">DAYS360(INDIRECT(C68&amp;ROW()),TODAY())</f>
        <v>721</v>
      </c>
      <c r="L155">
        <f ca="1">DAYS360(INDIRECT(C69&amp;ROW()),TODAY())</f>
        <v>882</v>
      </c>
      <c r="M155" s="11">
        <f ca="1">HYPERLINK(CONCATENATE("https://bugzilla.houston.hp.com:1181/bugzilla/show_bug.cgi?id=",INDIRECT(C70&amp;ROW())),INDIRECT(C70&amp;ROW()))</f>
        <v>53603</v>
      </c>
      <c r="N155">
        <v>53603</v>
      </c>
      <c r="O155" t="s">
        <v>88</v>
      </c>
      <c r="P155" t="s">
        <v>394</v>
      </c>
      <c r="Q155" t="s">
        <v>16</v>
      </c>
      <c r="R155" t="s">
        <v>248</v>
      </c>
      <c r="S155" t="s">
        <v>36</v>
      </c>
      <c r="U155" s="6">
        <v>42125.447662037041</v>
      </c>
      <c r="V155" t="s">
        <v>18</v>
      </c>
      <c r="W155" t="s">
        <v>295</v>
      </c>
      <c r="X155" s="6">
        <v>41963.324328703704</v>
      </c>
      <c r="Y155" t="s">
        <v>122</v>
      </c>
      <c r="AB155" t="s">
        <v>201</v>
      </c>
      <c r="AC155" t="s">
        <v>247</v>
      </c>
      <c r="AD155" t="s">
        <v>222</v>
      </c>
      <c r="AE155" t="s">
        <v>225</v>
      </c>
      <c r="AG155" t="s">
        <v>121</v>
      </c>
      <c r="AH155" t="s">
        <v>327</v>
      </c>
      <c r="AI155" t="s">
        <v>121</v>
      </c>
      <c r="AJ155" t="s">
        <v>717</v>
      </c>
      <c r="AK155" t="s">
        <v>121</v>
      </c>
    </row>
    <row r="156" spans="9:37" x14ac:dyDescent="0.3">
      <c r="I156">
        <f ca="1">IF(OR(INDIRECT(A73&amp;ROW())=B93,INDIRECT(A73&amp;ROW())=B94),1,IF(AND(INDIRECT(A73&amp;ROW())=B95,INDIRECT(A96&amp;ROW())=C93),1,IF(AND(INDIRECT(A73&amp;ROW())=B95,INDIRECT(A96&amp;ROW())=C94),1,0)))</f>
        <v>0</v>
      </c>
      <c r="J156">
        <f ca="1">IF(AND(INDIRECT(A73&amp;ROW())=B95,INDIRECT(A96&amp;ROW())=C95),1,IF(AND(INDIRECT(A73&amp;ROW())=B95,INDIRECT(A96&amp;ROW())=C96),1,0))</f>
        <v>0</v>
      </c>
      <c r="K156">
        <f ca="1">DAYS360(INDIRECT(C68&amp;ROW()),TODAY())</f>
        <v>721</v>
      </c>
      <c r="L156">
        <f ca="1">DAYS360(INDIRECT(C69&amp;ROW()),TODAY())</f>
        <v>882</v>
      </c>
      <c r="M156">
        <f ca="1">HYPERLINK(CONCATENATE("https://bugzilla.houston.hp.com:1181/bugzilla/show_bug.cgi?id=",INDIRECT(C70&amp;ROW())),INDIRECT(C70&amp;ROW()))</f>
        <v>53606</v>
      </c>
      <c r="N156">
        <v>53606</v>
      </c>
      <c r="O156" t="s">
        <v>21</v>
      </c>
      <c r="P156" t="s">
        <v>393</v>
      </c>
      <c r="Q156" t="s">
        <v>16</v>
      </c>
      <c r="R156" t="s">
        <v>248</v>
      </c>
      <c r="S156" t="s">
        <v>36</v>
      </c>
      <c r="U156" s="6">
        <v>42125.447615740741</v>
      </c>
      <c r="V156" t="s">
        <v>18</v>
      </c>
      <c r="W156" t="s">
        <v>322</v>
      </c>
      <c r="X156" s="6">
        <v>41963.324618055558</v>
      </c>
      <c r="Y156" t="s">
        <v>122</v>
      </c>
      <c r="AB156" t="s">
        <v>201</v>
      </c>
      <c r="AC156" t="s">
        <v>247</v>
      </c>
      <c r="AD156" t="s">
        <v>222</v>
      </c>
      <c r="AE156" t="s">
        <v>225</v>
      </c>
      <c r="AG156" t="s">
        <v>121</v>
      </c>
      <c r="AH156" t="s">
        <v>327</v>
      </c>
      <c r="AI156" t="s">
        <v>121</v>
      </c>
      <c r="AJ156" t="s">
        <v>717</v>
      </c>
      <c r="AK156" t="s">
        <v>121</v>
      </c>
    </row>
    <row r="157" spans="9:37" x14ac:dyDescent="0.3">
      <c r="I157">
        <f ca="1">IF(OR(INDIRECT(A73&amp;ROW())=B93,INDIRECT(A73&amp;ROW())=B94),1,IF(AND(INDIRECT(A73&amp;ROW())=B95,INDIRECT(A96&amp;ROW())=C93),1,IF(AND(INDIRECT(A73&amp;ROW())=B95,INDIRECT(A96&amp;ROW())=C94),1,0)))</f>
        <v>0</v>
      </c>
      <c r="J157">
        <f ca="1">IF(AND(INDIRECT(A73&amp;ROW())=B95,INDIRECT(A96&amp;ROW())=C95),1,IF(AND(INDIRECT(A73&amp;ROW())=B95,INDIRECT(A96&amp;ROW())=C96),1,0))</f>
        <v>0</v>
      </c>
      <c r="K157">
        <f ca="1">DAYS360(INDIRECT(C68&amp;ROW()),TODAY())</f>
        <v>721</v>
      </c>
      <c r="L157">
        <f ca="1">DAYS360(INDIRECT(C69&amp;ROW()),TODAY())</f>
        <v>882</v>
      </c>
      <c r="M157">
        <f ca="1">HYPERLINK(CONCATENATE("https://bugzilla.houston.hp.com:1181/bugzilla/show_bug.cgi?id=",INDIRECT(C70&amp;ROW())),INDIRECT(C70&amp;ROW()))</f>
        <v>53625</v>
      </c>
      <c r="N157">
        <v>53625</v>
      </c>
      <c r="O157" t="s">
        <v>65</v>
      </c>
      <c r="P157" t="s">
        <v>392</v>
      </c>
      <c r="Q157" t="s">
        <v>16</v>
      </c>
      <c r="R157" t="s">
        <v>248</v>
      </c>
      <c r="S157" t="s">
        <v>36</v>
      </c>
      <c r="U157" s="6">
        <v>42125.447592592594</v>
      </c>
      <c r="V157" t="s">
        <v>18</v>
      </c>
      <c r="W157" t="s">
        <v>322</v>
      </c>
      <c r="X157" s="6">
        <v>41963.326724537037</v>
      </c>
      <c r="Y157" t="s">
        <v>122</v>
      </c>
      <c r="AB157" t="s">
        <v>201</v>
      </c>
      <c r="AC157" t="s">
        <v>247</v>
      </c>
      <c r="AD157" t="s">
        <v>220</v>
      </c>
      <c r="AE157" t="s">
        <v>219</v>
      </c>
      <c r="AG157" t="s">
        <v>121</v>
      </c>
      <c r="AH157" t="s">
        <v>64</v>
      </c>
      <c r="AI157" t="s">
        <v>121</v>
      </c>
      <c r="AJ157" t="s">
        <v>717</v>
      </c>
      <c r="AK157" t="s">
        <v>121</v>
      </c>
    </row>
    <row r="158" spans="9:37" x14ac:dyDescent="0.3">
      <c r="I158">
        <f ca="1">IF(OR(INDIRECT(A73&amp;ROW())=B93,INDIRECT(A73&amp;ROW())=B94),1,IF(AND(INDIRECT(A73&amp;ROW())=B95,INDIRECT(A96&amp;ROW())=C93),1,IF(AND(INDIRECT(A73&amp;ROW())=B95,INDIRECT(A96&amp;ROW())=C94),1,0)))</f>
        <v>1</v>
      </c>
      <c r="J158">
        <f ca="1">IF(AND(INDIRECT(A73&amp;ROW())=B95,INDIRECT(A96&amp;ROW())=C95),1,IF(AND(INDIRECT(A73&amp;ROW())=B95,INDIRECT(A96&amp;ROW())=C96),1,0))</f>
        <v>0</v>
      </c>
      <c r="K158">
        <f ca="1">DAYS360(INDIRECT(C68&amp;ROW()),TODAY())</f>
        <v>792</v>
      </c>
      <c r="L158">
        <f ca="1">DAYS360(INDIRECT(C69&amp;ROW()),TODAY())</f>
        <v>882</v>
      </c>
      <c r="M158">
        <f ca="1">HYPERLINK(CONCATENATE("https://bugzilla.houston.hp.com:1181/bugzilla/show_bug.cgi?id=",INDIRECT(C70&amp;ROW())),INDIRECT(C70&amp;ROW()))</f>
        <v>53634</v>
      </c>
      <c r="N158">
        <v>53634</v>
      </c>
      <c r="O158" t="s">
        <v>50</v>
      </c>
      <c r="P158" t="s">
        <v>391</v>
      </c>
      <c r="Q158" t="s">
        <v>25</v>
      </c>
      <c r="R158" t="s">
        <v>248</v>
      </c>
      <c r="S158" t="s">
        <v>36</v>
      </c>
      <c r="U158" s="6">
        <v>42055.522488425922</v>
      </c>
      <c r="V158" t="s">
        <v>18</v>
      </c>
      <c r="W158" t="s">
        <v>215</v>
      </c>
      <c r="X158" s="6">
        <v>41963.32912037037</v>
      </c>
      <c r="Y158" t="s">
        <v>119</v>
      </c>
      <c r="AB158" t="s">
        <v>200</v>
      </c>
      <c r="AC158" t="s">
        <v>121</v>
      </c>
      <c r="AD158" t="s">
        <v>227</v>
      </c>
      <c r="AE158" t="s">
        <v>226</v>
      </c>
      <c r="AG158" t="s">
        <v>121</v>
      </c>
      <c r="AH158" t="s">
        <v>327</v>
      </c>
      <c r="AI158" t="s">
        <v>362</v>
      </c>
      <c r="AJ158" t="s">
        <v>715</v>
      </c>
      <c r="AK158" t="s">
        <v>121</v>
      </c>
    </row>
    <row r="159" spans="9:37" x14ac:dyDescent="0.3">
      <c r="I159">
        <f ca="1">IF(OR(INDIRECT(A73&amp;ROW())=B93,INDIRECT(A73&amp;ROW())=B94),1,IF(AND(INDIRECT(A73&amp;ROW())=B95,INDIRECT(A96&amp;ROW())=C93),1,IF(AND(INDIRECT(A73&amp;ROW())=B95,INDIRECT(A96&amp;ROW())=C94),1,0)))</f>
        <v>1</v>
      </c>
      <c r="J159">
        <f ca="1">IF(AND(INDIRECT(A73&amp;ROW())=B95,INDIRECT(A96&amp;ROW())=C95),1,IF(AND(INDIRECT(A73&amp;ROW())=B95,INDIRECT(A96&amp;ROW())=C96),1,0))</f>
        <v>0</v>
      </c>
      <c r="K159">
        <f ca="1">DAYS360(INDIRECT(C68&amp;ROW()),TODAY())</f>
        <v>731</v>
      </c>
      <c r="L159">
        <f ca="1">DAYS360(INDIRECT(C69&amp;ROW()),TODAY())</f>
        <v>882</v>
      </c>
      <c r="M159">
        <f ca="1">HYPERLINK(CONCATENATE("https://bugzilla.houston.hp.com:1181/bugzilla/show_bug.cgi?id=",INDIRECT(C70&amp;ROW())),INDIRECT(C70&amp;ROW()))</f>
        <v>53637</v>
      </c>
      <c r="N159">
        <v>53637</v>
      </c>
      <c r="O159" t="s">
        <v>56</v>
      </c>
      <c r="P159" t="s">
        <v>390</v>
      </c>
      <c r="Q159" t="s">
        <v>39</v>
      </c>
      <c r="R159" t="s">
        <v>248</v>
      </c>
      <c r="S159" t="s">
        <v>36</v>
      </c>
      <c r="U159" s="6">
        <v>42115.349305555559</v>
      </c>
      <c r="V159" t="s">
        <v>18</v>
      </c>
      <c r="W159" t="s">
        <v>260</v>
      </c>
      <c r="X159" s="6">
        <v>41963.329664351855</v>
      </c>
      <c r="Y159" t="s">
        <v>245</v>
      </c>
      <c r="AB159" t="s">
        <v>200</v>
      </c>
      <c r="AC159" t="s">
        <v>121</v>
      </c>
      <c r="AD159" t="s">
        <v>220</v>
      </c>
      <c r="AE159" t="s">
        <v>219</v>
      </c>
      <c r="AG159" t="s">
        <v>121</v>
      </c>
      <c r="AH159" t="s">
        <v>327</v>
      </c>
      <c r="AI159" t="s">
        <v>362</v>
      </c>
      <c r="AJ159" t="s">
        <v>715</v>
      </c>
      <c r="AK159" t="s">
        <v>121</v>
      </c>
    </row>
    <row r="160" spans="9:37" x14ac:dyDescent="0.3">
      <c r="I160">
        <f ca="1">IF(OR(INDIRECT(A73&amp;ROW())=B93,INDIRECT(A73&amp;ROW())=B94),1,IF(AND(INDIRECT(A73&amp;ROW())=B95,INDIRECT(A96&amp;ROW())=C93),1,IF(AND(INDIRECT(A73&amp;ROW())=B95,INDIRECT(A96&amp;ROW())=C94),1,0)))</f>
        <v>1</v>
      </c>
      <c r="J160">
        <f ca="1">IF(AND(INDIRECT(A73&amp;ROW())=B95,INDIRECT(A96&amp;ROW())=C95),1,IF(AND(INDIRECT(A73&amp;ROW())=B95,INDIRECT(A96&amp;ROW())=C96),1,0))</f>
        <v>0</v>
      </c>
      <c r="K160">
        <f ca="1">DAYS360(INDIRECT(C68&amp;ROW()),TODAY())</f>
        <v>769</v>
      </c>
      <c r="L160">
        <f ca="1">DAYS360(INDIRECT(C69&amp;ROW()),TODAY())</f>
        <v>882</v>
      </c>
      <c r="M160">
        <f ca="1">HYPERLINK(CONCATENATE("https://bugzilla.houston.hp.com:1181/bugzilla/show_bug.cgi?id=",INDIRECT(C70&amp;ROW())),INDIRECT(C70&amp;ROW()))</f>
        <v>53649</v>
      </c>
      <c r="N160">
        <v>53649</v>
      </c>
      <c r="O160" t="s">
        <v>298</v>
      </c>
      <c r="P160" t="s">
        <v>467</v>
      </c>
      <c r="Q160" t="s">
        <v>39</v>
      </c>
      <c r="R160" t="s">
        <v>248</v>
      </c>
      <c r="S160" t="s">
        <v>36</v>
      </c>
      <c r="U160" s="6">
        <v>42076.509421296294</v>
      </c>
      <c r="V160" t="s">
        <v>18</v>
      </c>
      <c r="W160" t="s">
        <v>343</v>
      </c>
      <c r="X160" s="6">
        <v>41963.331307870372</v>
      </c>
      <c r="Y160" t="s">
        <v>119</v>
      </c>
      <c r="AB160" t="s">
        <v>201</v>
      </c>
      <c r="AC160" t="s">
        <v>247</v>
      </c>
      <c r="AD160" t="s">
        <v>227</v>
      </c>
      <c r="AE160" t="s">
        <v>231</v>
      </c>
      <c r="AG160" t="s">
        <v>121</v>
      </c>
      <c r="AH160" t="s">
        <v>327</v>
      </c>
      <c r="AI160" t="s">
        <v>121</v>
      </c>
      <c r="AJ160" t="s">
        <v>715</v>
      </c>
      <c r="AK160" t="s">
        <v>121</v>
      </c>
    </row>
    <row r="161" spans="9:37" x14ac:dyDescent="0.3">
      <c r="I161">
        <f ca="1">IF(OR(INDIRECT(A73&amp;ROW())=B93,INDIRECT(A73&amp;ROW())=B94),1,IF(AND(INDIRECT(A73&amp;ROW())=B95,INDIRECT(A96&amp;ROW())=C93),1,IF(AND(INDIRECT(A73&amp;ROW())=B95,INDIRECT(A96&amp;ROW())=C94),1,0)))</f>
        <v>0</v>
      </c>
      <c r="J161">
        <f ca="1">IF(AND(INDIRECT(A73&amp;ROW())=B95,INDIRECT(A96&amp;ROW())=C95),1,IF(AND(INDIRECT(A73&amp;ROW())=B95,INDIRECT(A96&amp;ROW())=C96),1,0))</f>
        <v>1</v>
      </c>
      <c r="K161">
        <f ca="1">DAYS360(INDIRECT(C68&amp;ROW()),TODAY())</f>
        <v>749</v>
      </c>
      <c r="L161">
        <f ca="1">DAYS360(INDIRECT(C69&amp;ROW()),TODAY())</f>
        <v>882</v>
      </c>
      <c r="M161">
        <f ca="1">HYPERLINK(CONCATENATE("https://bugzilla.houston.hp.com:1181/bugzilla/show_bug.cgi?id=",INDIRECT(C70&amp;ROW())),INDIRECT(C70&amp;ROW()))</f>
        <v>53666</v>
      </c>
      <c r="N161">
        <v>53666</v>
      </c>
      <c r="O161" t="s">
        <v>326</v>
      </c>
      <c r="P161" t="s">
        <v>466</v>
      </c>
      <c r="Q161" t="s">
        <v>25</v>
      </c>
      <c r="R161" t="s">
        <v>17</v>
      </c>
      <c r="S161" t="s">
        <v>36</v>
      </c>
      <c r="U161" s="6">
        <v>42097.476076388892</v>
      </c>
      <c r="V161" t="s">
        <v>18</v>
      </c>
      <c r="W161" t="s">
        <v>17</v>
      </c>
      <c r="X161" s="6">
        <v>41963.37358796296</v>
      </c>
      <c r="Y161" t="s">
        <v>119</v>
      </c>
      <c r="AA161" t="s">
        <v>184</v>
      </c>
      <c r="AB161" t="s">
        <v>201</v>
      </c>
      <c r="AC161" t="s">
        <v>247</v>
      </c>
      <c r="AD161" t="s">
        <v>227</v>
      </c>
      <c r="AE161" t="s">
        <v>230</v>
      </c>
      <c r="AG161" t="s">
        <v>121</v>
      </c>
      <c r="AH161" t="s">
        <v>327</v>
      </c>
      <c r="AI161" t="s">
        <v>362</v>
      </c>
      <c r="AJ161" t="s">
        <v>716</v>
      </c>
      <c r="AK161" t="s">
        <v>121</v>
      </c>
    </row>
    <row r="162" spans="9:37" x14ac:dyDescent="0.3">
      <c r="I162">
        <f ca="1">IF(OR(INDIRECT(A73&amp;ROW())=B93,INDIRECT(A73&amp;ROW())=B94),1,IF(AND(INDIRECT(A73&amp;ROW())=B95,INDIRECT(A96&amp;ROW())=C93),1,IF(AND(INDIRECT(A73&amp;ROW())=B95,INDIRECT(A96&amp;ROW())=C94),1,0)))</f>
        <v>0</v>
      </c>
      <c r="J162">
        <f ca="1">IF(AND(INDIRECT(A73&amp;ROW())=B95,INDIRECT(A96&amp;ROW())=C95),1,IF(AND(INDIRECT(A73&amp;ROW())=B95,INDIRECT(A96&amp;ROW())=C96),1,0))</f>
        <v>1</v>
      </c>
      <c r="K162">
        <f ca="1">DAYS360(INDIRECT(C68&amp;ROW()),TODAY())</f>
        <v>853</v>
      </c>
      <c r="L162">
        <f ca="1">DAYS360(INDIRECT(C69&amp;ROW()),TODAY())</f>
        <v>882</v>
      </c>
      <c r="M162">
        <f ca="1">HYPERLINK(CONCATENATE("https://bugzilla.houston.hp.com:1181/bugzilla/show_bug.cgi?id=",INDIRECT(C70&amp;ROW())),INDIRECT(C70&amp;ROW()))</f>
        <v>53667</v>
      </c>
      <c r="N162">
        <v>53667</v>
      </c>
      <c r="O162" t="s">
        <v>45</v>
      </c>
      <c r="P162" t="s">
        <v>465</v>
      </c>
      <c r="Q162" t="s">
        <v>25</v>
      </c>
      <c r="R162" t="s">
        <v>248</v>
      </c>
      <c r="S162" t="s">
        <v>36</v>
      </c>
      <c r="U162" s="6">
        <v>41992.591354166667</v>
      </c>
      <c r="V162" t="s">
        <v>18</v>
      </c>
      <c r="W162" t="s">
        <v>17</v>
      </c>
      <c r="X162" s="6">
        <v>41963.373645833337</v>
      </c>
      <c r="Y162" t="s">
        <v>119</v>
      </c>
      <c r="AA162" t="s">
        <v>184</v>
      </c>
      <c r="AB162" t="s">
        <v>201</v>
      </c>
      <c r="AC162" t="s">
        <v>247</v>
      </c>
      <c r="AD162" t="s">
        <v>227</v>
      </c>
      <c r="AE162" t="s">
        <v>370</v>
      </c>
      <c r="AG162" t="s">
        <v>121</v>
      </c>
      <c r="AH162" t="s">
        <v>327</v>
      </c>
      <c r="AI162" t="s">
        <v>121</v>
      </c>
      <c r="AJ162" t="s">
        <v>716</v>
      </c>
      <c r="AK162" t="s">
        <v>121</v>
      </c>
    </row>
    <row r="163" spans="9:37" x14ac:dyDescent="0.3">
      <c r="I163">
        <f ca="1">IF(OR(INDIRECT(A73&amp;ROW())=B93,INDIRECT(A73&amp;ROW())=B94),1,IF(AND(INDIRECT(A73&amp;ROW())=B95,INDIRECT(A96&amp;ROW())=C93),1,IF(AND(INDIRECT(A73&amp;ROW())=B95,INDIRECT(A96&amp;ROW())=C94),1,0)))</f>
        <v>0</v>
      </c>
      <c r="J163">
        <f ca="1">IF(AND(INDIRECT(A73&amp;ROW())=B95,INDIRECT(A96&amp;ROW())=C95),1,IF(AND(INDIRECT(A73&amp;ROW())=B95,INDIRECT(A96&amp;ROW())=C96),1,0))</f>
        <v>0</v>
      </c>
      <c r="K163">
        <f ca="1">DAYS360(INDIRECT(C68&amp;ROW()),TODAY())</f>
        <v>721</v>
      </c>
      <c r="L163">
        <f ca="1">DAYS360(INDIRECT(C69&amp;ROW()),TODAY())</f>
        <v>882</v>
      </c>
      <c r="M163">
        <f ca="1">HYPERLINK(CONCATENATE("https://bugzilla.houston.hp.com:1181/bugzilla/show_bug.cgi?id=",INDIRECT(C70&amp;ROW())),INDIRECT(C70&amp;ROW()))</f>
        <v>53677</v>
      </c>
      <c r="N163">
        <v>53677</v>
      </c>
      <c r="O163" t="s">
        <v>56</v>
      </c>
      <c r="P163" t="s">
        <v>464</v>
      </c>
      <c r="Q163" t="s">
        <v>16</v>
      </c>
      <c r="R163" t="s">
        <v>248</v>
      </c>
      <c r="S163" t="s">
        <v>36</v>
      </c>
      <c r="U163" s="6">
        <v>42125.448738425926</v>
      </c>
      <c r="V163" t="s">
        <v>18</v>
      </c>
      <c r="W163" t="s">
        <v>341</v>
      </c>
      <c r="X163" s="6">
        <v>41963.376620370371</v>
      </c>
      <c r="Y163" t="s">
        <v>122</v>
      </c>
      <c r="AB163" t="s">
        <v>200</v>
      </c>
      <c r="AC163" t="s">
        <v>247</v>
      </c>
      <c r="AD163" t="s">
        <v>220</v>
      </c>
      <c r="AE163" t="s">
        <v>219</v>
      </c>
      <c r="AG163" t="s">
        <v>121</v>
      </c>
      <c r="AH163" t="s">
        <v>327</v>
      </c>
      <c r="AI163" t="s">
        <v>121</v>
      </c>
      <c r="AJ163" t="s">
        <v>716</v>
      </c>
      <c r="AK163" t="s">
        <v>121</v>
      </c>
    </row>
    <row r="164" spans="9:37" x14ac:dyDescent="0.3">
      <c r="I164">
        <f ca="1">IF(OR(INDIRECT(A73&amp;ROW())=B93,INDIRECT(A73&amp;ROW())=B94),1,IF(AND(INDIRECT(A73&amp;ROW())=B95,INDIRECT(A96&amp;ROW())=C93),1,IF(AND(INDIRECT(A73&amp;ROW())=B95,INDIRECT(A96&amp;ROW())=C94),1,0)))</f>
        <v>0</v>
      </c>
      <c r="J164">
        <f ca="1">IF(AND(INDIRECT(A73&amp;ROW())=B95,INDIRECT(A96&amp;ROW())=C95),1,IF(AND(INDIRECT(A73&amp;ROW())=B95,INDIRECT(A96&amp;ROW())=C96),1,0))</f>
        <v>0</v>
      </c>
      <c r="K164">
        <f ca="1">DAYS360(INDIRECT(C68&amp;ROW()),TODAY())</f>
        <v>800</v>
      </c>
      <c r="L164">
        <f ca="1">DAYS360(INDIRECT(C69&amp;ROW()),TODAY())</f>
        <v>882</v>
      </c>
      <c r="M164">
        <f ca="1">HYPERLINK(CONCATENATE("https://bugzilla.houston.hp.com:1181/bugzilla/show_bug.cgi?id=",INDIRECT(C70&amp;ROW())),INDIRECT(C70&amp;ROW()))</f>
        <v>53683</v>
      </c>
      <c r="N164">
        <v>53683</v>
      </c>
      <c r="O164" t="s">
        <v>326</v>
      </c>
      <c r="P164" t="s">
        <v>463</v>
      </c>
      <c r="Q164" t="s">
        <v>16</v>
      </c>
      <c r="R164" t="s">
        <v>17</v>
      </c>
      <c r="S164" t="s">
        <v>36</v>
      </c>
      <c r="U164" s="6">
        <v>42047.980717592596</v>
      </c>
      <c r="V164" t="s">
        <v>18</v>
      </c>
      <c r="W164" t="s">
        <v>207</v>
      </c>
      <c r="X164" s="6">
        <v>41963.399247685185</v>
      </c>
      <c r="Y164" t="s">
        <v>123</v>
      </c>
      <c r="AB164" t="s">
        <v>199</v>
      </c>
      <c r="AC164" t="s">
        <v>121</v>
      </c>
      <c r="AD164" t="s">
        <v>227</v>
      </c>
      <c r="AE164" t="s">
        <v>230</v>
      </c>
      <c r="AG164" t="s">
        <v>121</v>
      </c>
      <c r="AH164" t="s">
        <v>327</v>
      </c>
      <c r="AI164" t="s">
        <v>362</v>
      </c>
      <c r="AJ164" t="s">
        <v>716</v>
      </c>
      <c r="AK164" t="s">
        <v>121</v>
      </c>
    </row>
    <row r="165" spans="9:37" x14ac:dyDescent="0.3">
      <c r="I165">
        <f ca="1">IF(OR(INDIRECT(A73&amp;ROW())=B93,INDIRECT(A73&amp;ROW())=B94),1,IF(AND(INDIRECT(A73&amp;ROW())=B95,INDIRECT(A96&amp;ROW())=C93),1,IF(AND(INDIRECT(A73&amp;ROW())=B95,INDIRECT(A96&amp;ROW())=C94),1,0)))</f>
        <v>0</v>
      </c>
      <c r="J165">
        <f ca="1">IF(AND(INDIRECT(A73&amp;ROW())=B95,INDIRECT(A96&amp;ROW())=C95),1,IF(AND(INDIRECT(A73&amp;ROW())=B95,INDIRECT(A96&amp;ROW())=C96),1,0))</f>
        <v>0</v>
      </c>
      <c r="K165">
        <f ca="1">DAYS360(INDIRECT(C68&amp;ROW()),TODAY())</f>
        <v>721</v>
      </c>
      <c r="L165">
        <f ca="1">DAYS360(INDIRECT(C69&amp;ROW()),TODAY())</f>
        <v>882</v>
      </c>
      <c r="M165">
        <f ca="1">HYPERLINK(CONCATENATE("https://bugzilla.houston.hp.com:1181/bugzilla/show_bug.cgi?id=",INDIRECT(C70&amp;ROW())),INDIRECT(C70&amp;ROW()))</f>
        <v>53684</v>
      </c>
      <c r="N165">
        <v>53684</v>
      </c>
      <c r="O165" t="s">
        <v>45</v>
      </c>
      <c r="P165" t="s">
        <v>476</v>
      </c>
      <c r="Q165" t="s">
        <v>16</v>
      </c>
      <c r="R165" t="s">
        <v>248</v>
      </c>
      <c r="S165" t="s">
        <v>36</v>
      </c>
      <c r="U165" s="6">
        <v>42125.644004629627</v>
      </c>
      <c r="V165" t="s">
        <v>18</v>
      </c>
      <c r="W165" t="s">
        <v>207</v>
      </c>
      <c r="X165" s="6">
        <v>41963.405358796299</v>
      </c>
      <c r="Y165" t="s">
        <v>123</v>
      </c>
      <c r="AB165" t="s">
        <v>199</v>
      </c>
      <c r="AC165" t="s">
        <v>121</v>
      </c>
      <c r="AD165" t="s">
        <v>227</v>
      </c>
      <c r="AE165" t="s">
        <v>231</v>
      </c>
      <c r="AG165" t="s">
        <v>121</v>
      </c>
      <c r="AH165" t="s">
        <v>327</v>
      </c>
      <c r="AI165" t="s">
        <v>121</v>
      </c>
      <c r="AJ165" t="s">
        <v>716</v>
      </c>
      <c r="AK165" t="s">
        <v>121</v>
      </c>
    </row>
    <row r="166" spans="9:37" x14ac:dyDescent="0.3">
      <c r="I166">
        <f ca="1">IF(OR(INDIRECT(A73&amp;ROW())=B93,INDIRECT(A73&amp;ROW())=B94),1,IF(AND(INDIRECT(A73&amp;ROW())=B95,INDIRECT(A96&amp;ROW())=C93),1,IF(AND(INDIRECT(A73&amp;ROW())=B95,INDIRECT(A96&amp;ROW())=C94),1,0)))</f>
        <v>1</v>
      </c>
      <c r="J166">
        <f ca="1">IF(AND(INDIRECT(A73&amp;ROW())=B95,INDIRECT(A96&amp;ROW())=C95),1,IF(AND(INDIRECT(A73&amp;ROW())=B95,INDIRECT(A96&amp;ROW())=C96),1,0))</f>
        <v>0</v>
      </c>
      <c r="K166">
        <f ca="1">DAYS360(INDIRECT(C68&amp;ROW()),TODAY())</f>
        <v>882</v>
      </c>
      <c r="L166">
        <f ca="1">DAYS360(INDIRECT(C69&amp;ROW()),TODAY())</f>
        <v>882</v>
      </c>
      <c r="M166">
        <f ca="1">HYPERLINK(CONCATENATE("https://bugzilla.houston.hp.com:1181/bugzilla/show_bug.cgi?id=",INDIRECT(C70&amp;ROW())),INDIRECT(C70&amp;ROW()))</f>
        <v>53689</v>
      </c>
      <c r="N166">
        <v>53689</v>
      </c>
      <c r="O166" t="s">
        <v>36</v>
      </c>
      <c r="P166" t="s">
        <v>462</v>
      </c>
      <c r="Q166" t="s">
        <v>25</v>
      </c>
      <c r="R166" t="s">
        <v>248</v>
      </c>
      <c r="S166" t="s">
        <v>36</v>
      </c>
      <c r="U166" s="6">
        <v>41963.415879629632</v>
      </c>
      <c r="V166" t="s">
        <v>18</v>
      </c>
      <c r="W166" t="s">
        <v>207</v>
      </c>
      <c r="X166" s="6">
        <v>41963.415879629632</v>
      </c>
      <c r="Y166" t="s">
        <v>120</v>
      </c>
      <c r="AB166" t="s">
        <v>200</v>
      </c>
      <c r="AC166" t="s">
        <v>121</v>
      </c>
      <c r="AD166" t="s">
        <v>220</v>
      </c>
      <c r="AE166" t="s">
        <v>219</v>
      </c>
      <c r="AG166" t="s">
        <v>121</v>
      </c>
      <c r="AH166" t="s">
        <v>327</v>
      </c>
      <c r="AI166" t="s">
        <v>121</v>
      </c>
      <c r="AJ166" t="s">
        <v>715</v>
      </c>
      <c r="AK166" t="s">
        <v>121</v>
      </c>
    </row>
    <row r="167" spans="9:37" x14ac:dyDescent="0.3">
      <c r="I167">
        <f ca="1">IF(OR(INDIRECT(A73&amp;ROW())=B93,INDIRECT(A73&amp;ROW())=B94),1,IF(AND(INDIRECT(A73&amp;ROW())=B95,INDIRECT(A96&amp;ROW())=C93),1,IF(AND(INDIRECT(A73&amp;ROW())=B95,INDIRECT(A96&amp;ROW())=C94),1,0)))</f>
        <v>1</v>
      </c>
      <c r="J167">
        <f ca="1">IF(AND(INDIRECT(A73&amp;ROW())=B95,INDIRECT(A96&amp;ROW())=C95),1,IF(AND(INDIRECT(A73&amp;ROW())=B95,INDIRECT(A96&amp;ROW())=C96),1,0))</f>
        <v>0</v>
      </c>
      <c r="K167">
        <f ca="1">DAYS360(INDIRECT(C68&amp;ROW()),TODAY())</f>
        <v>757</v>
      </c>
      <c r="L167">
        <f ca="1">DAYS360(INDIRECT(C69&amp;ROW()),TODAY())</f>
        <v>882</v>
      </c>
      <c r="M167">
        <f ca="1">HYPERLINK(CONCATENATE("https://bugzilla.houston.hp.com:1181/bugzilla/show_bug.cgi?id=",INDIRECT(C70&amp;ROW())),INDIRECT(C70&amp;ROW()))</f>
        <v>53713</v>
      </c>
      <c r="N167">
        <v>53713</v>
      </c>
      <c r="O167" t="s">
        <v>43</v>
      </c>
      <c r="P167" t="s">
        <v>480</v>
      </c>
      <c r="Q167" t="s">
        <v>25</v>
      </c>
      <c r="R167" t="s">
        <v>251</v>
      </c>
      <c r="S167" t="s">
        <v>336</v>
      </c>
      <c r="U167" s="6">
        <v>42088.084247685183</v>
      </c>
      <c r="V167" t="s">
        <v>40</v>
      </c>
      <c r="W167" t="s">
        <v>17</v>
      </c>
      <c r="X167" s="6">
        <v>41963.720011574071</v>
      </c>
      <c r="Y167" t="s">
        <v>342</v>
      </c>
      <c r="AB167" t="s">
        <v>200</v>
      </c>
      <c r="AC167" t="s">
        <v>247</v>
      </c>
      <c r="AD167" t="s">
        <v>220</v>
      </c>
      <c r="AE167" t="s">
        <v>219</v>
      </c>
      <c r="AG167" t="s">
        <v>121</v>
      </c>
      <c r="AH167" t="s">
        <v>327</v>
      </c>
      <c r="AI167" t="s">
        <v>121</v>
      </c>
      <c r="AJ167" t="s">
        <v>715</v>
      </c>
      <c r="AK167" t="s">
        <v>121</v>
      </c>
    </row>
    <row r="168" spans="9:37" x14ac:dyDescent="0.3">
      <c r="I168">
        <f ca="1">IF(OR(INDIRECT(A73&amp;ROW())=B93,INDIRECT(A73&amp;ROW())=B94),1,IF(AND(INDIRECT(A73&amp;ROW())=B95,INDIRECT(A96&amp;ROW())=C93),1,IF(AND(INDIRECT(A73&amp;ROW())=B95,INDIRECT(A96&amp;ROW())=C94),1,0)))</f>
        <v>0</v>
      </c>
      <c r="J168">
        <f ca="1">IF(AND(INDIRECT(A73&amp;ROW())=B95,INDIRECT(A96&amp;ROW())=C95),1,IF(AND(INDIRECT(A73&amp;ROW())=B95,INDIRECT(A96&amp;ROW())=C96),1,0))</f>
        <v>0</v>
      </c>
      <c r="K168">
        <f ca="1">DAYS360(INDIRECT(C68&amp;ROW()),TODAY())</f>
        <v>730</v>
      </c>
      <c r="L168">
        <f ca="1">DAYS360(INDIRECT(C69&amp;ROW()),TODAY())</f>
        <v>882</v>
      </c>
      <c r="M168">
        <f ca="1">HYPERLINK(CONCATENATE("https://bugzilla.houston.hp.com:1181/bugzilla/show_bug.cgi?id=",INDIRECT(C70&amp;ROW())),INDIRECT(C70&amp;ROW()))</f>
        <v>53719</v>
      </c>
      <c r="N168">
        <v>53719</v>
      </c>
      <c r="O168" t="s">
        <v>856</v>
      </c>
      <c r="P168" t="s">
        <v>461</v>
      </c>
      <c r="Q168" t="s">
        <v>16</v>
      </c>
      <c r="R168" t="s">
        <v>248</v>
      </c>
      <c r="S168" t="s">
        <v>36</v>
      </c>
      <c r="U168" s="6">
        <v>42116.923831018517</v>
      </c>
      <c r="V168" t="s">
        <v>35</v>
      </c>
      <c r="W168" t="s">
        <v>258</v>
      </c>
      <c r="X168" s="6">
        <v>41963.788032407407</v>
      </c>
      <c r="Y168" t="s">
        <v>119</v>
      </c>
      <c r="AB168" t="s">
        <v>201</v>
      </c>
      <c r="AC168" t="s">
        <v>121</v>
      </c>
      <c r="AD168" t="s">
        <v>222</v>
      </c>
      <c r="AE168" t="s">
        <v>221</v>
      </c>
      <c r="AG168" t="s">
        <v>121</v>
      </c>
      <c r="AH168" t="s">
        <v>327</v>
      </c>
      <c r="AI168" t="s">
        <v>121</v>
      </c>
      <c r="AJ168" t="s">
        <v>717</v>
      </c>
      <c r="AK168" t="s">
        <v>121</v>
      </c>
    </row>
    <row r="169" spans="9:37" x14ac:dyDescent="0.3">
      <c r="I169">
        <f ca="1">IF(OR(INDIRECT(A73&amp;ROW())=B93,INDIRECT(A73&amp;ROW())=B94),1,IF(AND(INDIRECT(A73&amp;ROW())=B95,INDIRECT(A96&amp;ROW())=C93),1,IF(AND(INDIRECT(A73&amp;ROW())=B95,INDIRECT(A96&amp;ROW())=C94),1,0)))</f>
        <v>0</v>
      </c>
      <c r="J169">
        <f ca="1">IF(AND(INDIRECT(A73&amp;ROW())=B95,INDIRECT(A96&amp;ROW())=C95),1,IF(AND(INDIRECT(A73&amp;ROW())=B95,INDIRECT(A96&amp;ROW())=C96),1,0))</f>
        <v>0</v>
      </c>
      <c r="K169">
        <f ca="1">DAYS360(INDIRECT(C68&amp;ROW()),TODAY())</f>
        <v>721</v>
      </c>
      <c r="L169">
        <f ca="1">DAYS360(INDIRECT(C69&amp;ROW()),TODAY())</f>
        <v>882</v>
      </c>
      <c r="M169">
        <f ca="1">HYPERLINK(CONCATENATE("https://bugzilla.houston.hp.com:1181/bugzilla/show_bug.cgi?id=",INDIRECT(C70&amp;ROW())),INDIRECT(C70&amp;ROW()))</f>
        <v>53725</v>
      </c>
      <c r="N169">
        <v>53725</v>
      </c>
      <c r="O169" t="s">
        <v>45</v>
      </c>
      <c r="P169" t="s">
        <v>460</v>
      </c>
      <c r="Q169" t="s">
        <v>16</v>
      </c>
      <c r="R169" t="s">
        <v>248</v>
      </c>
      <c r="S169" t="s">
        <v>36</v>
      </c>
      <c r="U169" s="6">
        <v>42125.649328703701</v>
      </c>
      <c r="V169" t="s">
        <v>18</v>
      </c>
      <c r="W169" t="s">
        <v>260</v>
      </c>
      <c r="X169" s="6">
        <v>41963.826539351852</v>
      </c>
      <c r="Y169" t="s">
        <v>245</v>
      </c>
      <c r="Z169" t="s">
        <v>245</v>
      </c>
      <c r="AB169" t="s">
        <v>201</v>
      </c>
      <c r="AC169" t="s">
        <v>121</v>
      </c>
      <c r="AD169" t="s">
        <v>227</v>
      </c>
      <c r="AE169" t="s">
        <v>231</v>
      </c>
      <c r="AG169" t="s">
        <v>121</v>
      </c>
      <c r="AH169" t="s">
        <v>327</v>
      </c>
      <c r="AI169" t="s">
        <v>121</v>
      </c>
      <c r="AJ169" t="s">
        <v>717</v>
      </c>
      <c r="AK169" t="s">
        <v>121</v>
      </c>
    </row>
    <row r="170" spans="9:37" x14ac:dyDescent="0.3">
      <c r="I170">
        <f ca="1">IF(OR(INDIRECT(A73&amp;ROW())=B93,INDIRECT(A73&amp;ROW())=B94),1,IF(AND(INDIRECT(A73&amp;ROW())=B95,INDIRECT(A96&amp;ROW())=C93),1,IF(AND(INDIRECT(A73&amp;ROW())=B95,INDIRECT(A96&amp;ROW())=C94),1,0)))</f>
        <v>0</v>
      </c>
      <c r="J170">
        <f ca="1">IF(AND(INDIRECT(A73&amp;ROW())=B95,INDIRECT(A96&amp;ROW())=C95),1,IF(AND(INDIRECT(A73&amp;ROW())=B95,INDIRECT(A96&amp;ROW())=C96),1,0))</f>
        <v>1</v>
      </c>
      <c r="K170">
        <f ca="1">DAYS360(INDIRECT(C68&amp;ROW()),TODAY())</f>
        <v>835</v>
      </c>
      <c r="L170">
        <f ca="1">DAYS360(INDIRECT(C69&amp;ROW()),TODAY())</f>
        <v>882</v>
      </c>
      <c r="M170">
        <f ca="1">HYPERLINK(CONCATENATE("https://bugzilla.houston.hp.com:1181/bugzilla/show_bug.cgi?id=",INDIRECT(C70&amp;ROW())),INDIRECT(C70&amp;ROW()))</f>
        <v>53727</v>
      </c>
      <c r="N170">
        <v>53727</v>
      </c>
      <c r="O170" t="s">
        <v>326</v>
      </c>
      <c r="P170" t="s">
        <v>459</v>
      </c>
      <c r="Q170" t="s">
        <v>25</v>
      </c>
      <c r="R170" t="s">
        <v>17</v>
      </c>
      <c r="S170" t="s">
        <v>36</v>
      </c>
      <c r="U170" s="6">
        <v>42011.647777777776</v>
      </c>
      <c r="V170" t="s">
        <v>18</v>
      </c>
      <c r="W170" t="s">
        <v>288</v>
      </c>
      <c r="X170" s="6">
        <v>41963.828958333332</v>
      </c>
      <c r="Y170" t="s">
        <v>119</v>
      </c>
      <c r="AB170" t="s">
        <v>201</v>
      </c>
      <c r="AC170" t="s">
        <v>121</v>
      </c>
      <c r="AD170" t="s">
        <v>220</v>
      </c>
      <c r="AE170" t="s">
        <v>224</v>
      </c>
      <c r="AF170" s="13">
        <v>41901</v>
      </c>
      <c r="AG170" t="s">
        <v>121</v>
      </c>
      <c r="AH170" t="s">
        <v>64</v>
      </c>
      <c r="AI170" t="s">
        <v>363</v>
      </c>
      <c r="AJ170" t="s">
        <v>716</v>
      </c>
      <c r="AK170" t="s">
        <v>121</v>
      </c>
    </row>
    <row r="171" spans="9:37" x14ac:dyDescent="0.3">
      <c r="I171">
        <f ca="1">IF(OR(INDIRECT(A73&amp;ROW())=B93,INDIRECT(A73&amp;ROW())=B94),1,IF(AND(INDIRECT(A73&amp;ROW())=B95,INDIRECT(A96&amp;ROW())=C93),1,IF(AND(INDIRECT(A73&amp;ROW())=B95,INDIRECT(A96&amp;ROW())=C94),1,0)))</f>
        <v>0</v>
      </c>
      <c r="J171">
        <f ca="1">IF(AND(INDIRECT(A73&amp;ROW())=B95,INDIRECT(A96&amp;ROW())=C95),1,IF(AND(INDIRECT(A73&amp;ROW())=B95,INDIRECT(A96&amp;ROW())=C96),1,0))</f>
        <v>1</v>
      </c>
      <c r="K171">
        <f ca="1">DAYS360(INDIRECT(C68&amp;ROW()),TODAY())</f>
        <v>800</v>
      </c>
      <c r="L171">
        <f ca="1">DAYS360(INDIRECT(C69&amp;ROW()),TODAY())</f>
        <v>882</v>
      </c>
      <c r="M171">
        <f ca="1">HYPERLINK(CONCATENATE("https://bugzilla.houston.hp.com:1181/bugzilla/show_bug.cgi?id=",INDIRECT(C70&amp;ROW())),INDIRECT(C70&amp;ROW()))</f>
        <v>53728</v>
      </c>
      <c r="N171">
        <v>53728</v>
      </c>
      <c r="O171" t="s">
        <v>56</v>
      </c>
      <c r="P171" t="s">
        <v>458</v>
      </c>
      <c r="Q171" t="s">
        <v>25</v>
      </c>
      <c r="R171" t="s">
        <v>248</v>
      </c>
      <c r="S171" t="s">
        <v>36</v>
      </c>
      <c r="U171" s="6">
        <v>42047.974247685182</v>
      </c>
      <c r="V171" t="s">
        <v>18</v>
      </c>
      <c r="W171" t="s">
        <v>288</v>
      </c>
      <c r="X171" s="6">
        <v>41963.831631944442</v>
      </c>
      <c r="Y171" t="s">
        <v>119</v>
      </c>
      <c r="AB171" t="s">
        <v>201</v>
      </c>
      <c r="AC171" t="s">
        <v>121</v>
      </c>
      <c r="AD171" t="s">
        <v>220</v>
      </c>
      <c r="AE171" t="s">
        <v>219</v>
      </c>
      <c r="AF171" s="13">
        <v>41901</v>
      </c>
      <c r="AG171" t="s">
        <v>121</v>
      </c>
      <c r="AH171" t="s">
        <v>64</v>
      </c>
      <c r="AI171" t="s">
        <v>121</v>
      </c>
      <c r="AJ171" t="s">
        <v>716</v>
      </c>
      <c r="AK171" t="s">
        <v>121</v>
      </c>
    </row>
    <row r="172" spans="9:37" x14ac:dyDescent="0.3">
      <c r="I172">
        <f ca="1">IF(OR(INDIRECT(A73&amp;ROW())=B93,INDIRECT(A73&amp;ROW())=B94),1,IF(AND(INDIRECT(A73&amp;ROW())=B95,INDIRECT(A96&amp;ROW())=C93),1,IF(AND(INDIRECT(A73&amp;ROW())=B95,INDIRECT(A96&amp;ROW())=C94),1,0)))</f>
        <v>0</v>
      </c>
      <c r="J172">
        <f ca="1">IF(AND(INDIRECT(A73&amp;ROW())=B95,INDIRECT(A96&amp;ROW())=C95),1,IF(AND(INDIRECT(A73&amp;ROW())=B95,INDIRECT(A96&amp;ROW())=C96),1,0))</f>
        <v>1</v>
      </c>
      <c r="K172">
        <f ca="1">DAYS360(INDIRECT(C68&amp;ROW()),TODAY())</f>
        <v>714</v>
      </c>
      <c r="L172">
        <f ca="1">DAYS360(INDIRECT(C69&amp;ROW()),TODAY())</f>
        <v>882</v>
      </c>
      <c r="M172" s="11">
        <f ca="1">HYPERLINK(CONCATENATE("https://bugzilla.houston.hp.com:1181/bugzilla/show_bug.cgi?id=",INDIRECT(C70&amp;ROW())),INDIRECT(C70&amp;ROW()))</f>
        <v>53733</v>
      </c>
      <c r="N172">
        <v>53733</v>
      </c>
      <c r="O172" t="s">
        <v>204</v>
      </c>
      <c r="P172" t="s">
        <v>457</v>
      </c>
      <c r="Q172" t="s">
        <v>25</v>
      </c>
      <c r="R172" t="s">
        <v>17</v>
      </c>
      <c r="S172" t="s">
        <v>36</v>
      </c>
      <c r="T172" t="s">
        <v>54</v>
      </c>
      <c r="U172" s="6">
        <v>42132.550150462965</v>
      </c>
      <c r="V172" t="s">
        <v>35</v>
      </c>
      <c r="W172" t="s">
        <v>17</v>
      </c>
      <c r="X172" s="6">
        <v>41963.87427083333</v>
      </c>
      <c r="Y172" t="s">
        <v>119</v>
      </c>
      <c r="AB172" t="s">
        <v>201</v>
      </c>
      <c r="AC172" t="s">
        <v>247</v>
      </c>
      <c r="AD172" t="s">
        <v>222</v>
      </c>
      <c r="AE172" t="s">
        <v>228</v>
      </c>
      <c r="AG172" t="s">
        <v>337</v>
      </c>
      <c r="AH172" t="s">
        <v>64</v>
      </c>
      <c r="AI172" t="s">
        <v>362</v>
      </c>
      <c r="AJ172" t="s">
        <v>716</v>
      </c>
      <c r="AK172" t="s">
        <v>121</v>
      </c>
    </row>
    <row r="173" spans="9:37" x14ac:dyDescent="0.3">
      <c r="I173">
        <f ca="1">IF(OR(INDIRECT(A73&amp;ROW())=B93,INDIRECT(A73&amp;ROW())=B94),1,IF(AND(INDIRECT(A73&amp;ROW())=B95,INDIRECT(A96&amp;ROW())=C93),1,IF(AND(INDIRECT(A73&amp;ROW())=B95,INDIRECT(A96&amp;ROW())=C94),1,0)))</f>
        <v>1</v>
      </c>
      <c r="J173">
        <f ca="1">IF(AND(INDIRECT(A73&amp;ROW())=B95,INDIRECT(A96&amp;ROW())=C95),1,IF(AND(INDIRECT(A73&amp;ROW())=B95,INDIRECT(A96&amp;ROW())=C96),1,0))</f>
        <v>0</v>
      </c>
      <c r="K173">
        <f ca="1">DAYS360(INDIRECT(C68&amp;ROW()),TODAY())</f>
        <v>870</v>
      </c>
      <c r="L173">
        <f ca="1">DAYS360(INDIRECT(C69&amp;ROW()),TODAY())</f>
        <v>871</v>
      </c>
      <c r="M173">
        <f ca="1">HYPERLINK(CONCATENATE("https://bugzilla.houston.hp.com:1181/bugzilla/show_bug.cgi?id=",INDIRECT(C70&amp;ROW())),INDIRECT(C70&amp;ROW()))</f>
        <v>54144</v>
      </c>
      <c r="N173">
        <v>54144</v>
      </c>
      <c r="O173" t="s">
        <v>43</v>
      </c>
      <c r="P173" t="s">
        <v>479</v>
      </c>
      <c r="Q173" t="s">
        <v>25</v>
      </c>
      <c r="R173" t="s">
        <v>248</v>
      </c>
      <c r="S173" t="s">
        <v>36</v>
      </c>
      <c r="U173" s="6">
        <v>41975.575798611113</v>
      </c>
      <c r="V173" t="s">
        <v>18</v>
      </c>
      <c r="W173" t="s">
        <v>17</v>
      </c>
      <c r="X173" s="6">
        <v>41974.702986111108</v>
      </c>
      <c r="Y173" t="s">
        <v>342</v>
      </c>
      <c r="AB173" t="s">
        <v>200</v>
      </c>
      <c r="AC173" t="s">
        <v>247</v>
      </c>
      <c r="AD173" t="s">
        <v>220</v>
      </c>
      <c r="AE173" t="s">
        <v>219</v>
      </c>
      <c r="AG173" t="s">
        <v>121</v>
      </c>
      <c r="AH173" t="s">
        <v>327</v>
      </c>
      <c r="AI173" t="s">
        <v>121</v>
      </c>
      <c r="AJ173" t="s">
        <v>715</v>
      </c>
      <c r="AK173" t="s">
        <v>121</v>
      </c>
    </row>
    <row r="174" spans="9:37" x14ac:dyDescent="0.3">
      <c r="I174">
        <f ca="1">IF(OR(INDIRECT(A73&amp;ROW())=B93,INDIRECT(A73&amp;ROW())=B94),1,IF(AND(INDIRECT(A73&amp;ROW())=B95,INDIRECT(A96&amp;ROW())=C93),1,IF(AND(INDIRECT(A73&amp;ROW())=B95,INDIRECT(A96&amp;ROW())=C94),1,0)))</f>
        <v>0</v>
      </c>
      <c r="J174">
        <f ca="1">IF(AND(INDIRECT(A73&amp;ROW())=B95,INDIRECT(A96&amp;ROW())=C95),1,IF(AND(INDIRECT(A73&amp;ROW())=B95,INDIRECT(A96&amp;ROW())=C96),1,0))</f>
        <v>1</v>
      </c>
      <c r="K174">
        <f ca="1">DAYS360(INDIRECT(C68&amp;ROW()),TODAY())</f>
        <v>721</v>
      </c>
      <c r="L174">
        <f ca="1">DAYS360(INDIRECT(C69&amp;ROW()),TODAY())</f>
        <v>870</v>
      </c>
      <c r="M174">
        <f ca="1">HYPERLINK(CONCATENATE("https://bugzilla.houston.hp.com:1181/bugzilla/show_bug.cgi?id=",INDIRECT(C70&amp;ROW())),INDIRECT(C70&amp;ROW()))</f>
        <v>54180</v>
      </c>
      <c r="N174">
        <v>54180</v>
      </c>
      <c r="O174" t="s">
        <v>326</v>
      </c>
      <c r="P174" t="s">
        <v>487</v>
      </c>
      <c r="Q174" t="s">
        <v>25</v>
      </c>
      <c r="R174" t="s">
        <v>17</v>
      </c>
      <c r="S174" t="s">
        <v>36</v>
      </c>
      <c r="U174" s="6">
        <v>42125.447627314818</v>
      </c>
      <c r="V174" t="s">
        <v>18</v>
      </c>
      <c r="W174" t="s">
        <v>343</v>
      </c>
      <c r="X174" s="6">
        <v>41975.376284722224</v>
      </c>
      <c r="Y174" t="s">
        <v>122</v>
      </c>
      <c r="AB174" t="s">
        <v>201</v>
      </c>
      <c r="AC174" t="s">
        <v>247</v>
      </c>
      <c r="AD174" t="s">
        <v>220</v>
      </c>
      <c r="AE174" t="s">
        <v>224</v>
      </c>
      <c r="AG174" t="s">
        <v>121</v>
      </c>
      <c r="AH174" t="s">
        <v>64</v>
      </c>
      <c r="AI174" t="s">
        <v>363</v>
      </c>
      <c r="AJ174" t="s">
        <v>716</v>
      </c>
      <c r="AK174" t="s">
        <v>121</v>
      </c>
    </row>
    <row r="175" spans="9:37" x14ac:dyDescent="0.3">
      <c r="I175">
        <f ca="1">IF(OR(INDIRECT(A73&amp;ROW())=B93,INDIRECT(A73&amp;ROW())=B94),1,IF(AND(INDIRECT(A73&amp;ROW())=B95,INDIRECT(A96&amp;ROW())=C93),1,IF(AND(INDIRECT(A73&amp;ROW())=B95,INDIRECT(A96&amp;ROW())=C94),1,0)))</f>
        <v>0</v>
      </c>
      <c r="J175">
        <f ca="1">IF(AND(INDIRECT(A73&amp;ROW())=B95,INDIRECT(A96&amp;ROW())=C95),1,IF(AND(INDIRECT(A73&amp;ROW())=B95,INDIRECT(A96&amp;ROW())=C96),1,0))</f>
        <v>1</v>
      </c>
      <c r="K175">
        <f ca="1">DAYS360(INDIRECT(C68&amp;ROW()),TODAY())</f>
        <v>721</v>
      </c>
      <c r="L175">
        <f ca="1">DAYS360(INDIRECT(C69&amp;ROW()),TODAY())</f>
        <v>870</v>
      </c>
      <c r="M175">
        <f ca="1">HYPERLINK(CONCATENATE("https://bugzilla.houston.hp.com:1181/bugzilla/show_bug.cgi?id=",INDIRECT(C70&amp;ROW())),INDIRECT(C70&amp;ROW()))</f>
        <v>54181</v>
      </c>
      <c r="N175">
        <v>54181</v>
      </c>
      <c r="O175" t="s">
        <v>56</v>
      </c>
      <c r="P175" t="s">
        <v>486</v>
      </c>
      <c r="Q175" t="s">
        <v>25</v>
      </c>
      <c r="R175" t="s">
        <v>248</v>
      </c>
      <c r="S175" t="s">
        <v>36</v>
      </c>
      <c r="U175" s="6">
        <v>42125.447581018518</v>
      </c>
      <c r="V175" t="s">
        <v>18</v>
      </c>
      <c r="W175" t="s">
        <v>343</v>
      </c>
      <c r="X175" s="6">
        <v>41975.38009259259</v>
      </c>
      <c r="Y175" t="s">
        <v>122</v>
      </c>
      <c r="AB175" t="s">
        <v>201</v>
      </c>
      <c r="AC175" t="s">
        <v>247</v>
      </c>
      <c r="AD175" t="s">
        <v>220</v>
      </c>
      <c r="AE175" t="s">
        <v>219</v>
      </c>
      <c r="AG175" t="s">
        <v>121</v>
      </c>
      <c r="AH175" t="s">
        <v>64</v>
      </c>
      <c r="AI175" t="s">
        <v>121</v>
      </c>
      <c r="AJ175" t="s">
        <v>716</v>
      </c>
      <c r="AK175" t="s">
        <v>121</v>
      </c>
    </row>
    <row r="176" spans="9:37" x14ac:dyDescent="0.3">
      <c r="I176">
        <f ca="1">IF(OR(INDIRECT(A73&amp;ROW())=B93,INDIRECT(A73&amp;ROW())=B94),1,IF(AND(INDIRECT(A73&amp;ROW())=B95,INDIRECT(A96&amp;ROW())=C93),1,IF(AND(INDIRECT(A73&amp;ROW())=B95,INDIRECT(A96&amp;ROW())=C94),1,0)))</f>
        <v>0</v>
      </c>
      <c r="J176">
        <f ca="1">IF(AND(INDIRECT(A73&amp;ROW())=B95,INDIRECT(A96&amp;ROW())=C95),1,IF(AND(INDIRECT(A73&amp;ROW())=B95,INDIRECT(A96&amp;ROW())=C96),1,0))</f>
        <v>0</v>
      </c>
      <c r="K176">
        <f ca="1">DAYS360(INDIRECT(C68&amp;ROW()),TODAY())</f>
        <v>721</v>
      </c>
      <c r="L176">
        <f ca="1">DAYS360(INDIRECT(C69&amp;ROW()),TODAY())</f>
        <v>870</v>
      </c>
      <c r="M176">
        <f ca="1">HYPERLINK(CONCATENATE("https://bugzilla.houston.hp.com:1181/bugzilla/show_bug.cgi?id=",INDIRECT(C70&amp;ROW())),INDIRECT(C70&amp;ROW()))</f>
        <v>54184</v>
      </c>
      <c r="N176">
        <v>54184</v>
      </c>
      <c r="O176" t="s">
        <v>241</v>
      </c>
      <c r="P176" t="s">
        <v>485</v>
      </c>
      <c r="Q176" t="s">
        <v>16</v>
      </c>
      <c r="R176" t="s">
        <v>248</v>
      </c>
      <c r="S176" t="s">
        <v>36</v>
      </c>
      <c r="U176" s="6">
        <v>42125.65320601852</v>
      </c>
      <c r="V176" t="s">
        <v>18</v>
      </c>
      <c r="W176" t="s">
        <v>339</v>
      </c>
      <c r="X176" s="6">
        <v>41975.38925925926</v>
      </c>
      <c r="Y176" t="s">
        <v>245</v>
      </c>
      <c r="AB176" t="s">
        <v>201</v>
      </c>
      <c r="AC176" t="s">
        <v>247</v>
      </c>
      <c r="AD176" t="s">
        <v>227</v>
      </c>
      <c r="AE176" t="s">
        <v>237</v>
      </c>
      <c r="AG176" t="s">
        <v>121</v>
      </c>
      <c r="AH176" t="s">
        <v>327</v>
      </c>
      <c r="AI176" t="s">
        <v>121</v>
      </c>
      <c r="AJ176" t="s">
        <v>717</v>
      </c>
      <c r="AK176" t="s">
        <v>121</v>
      </c>
    </row>
    <row r="177" spans="9:37" x14ac:dyDescent="0.3">
      <c r="I177">
        <f ca="1">IF(OR(INDIRECT(A73&amp;ROW())=B93,INDIRECT(A73&amp;ROW())=B94),1,IF(AND(INDIRECT(A73&amp;ROW())=B95,INDIRECT(A96&amp;ROW())=C93),1,IF(AND(INDIRECT(A73&amp;ROW())=B95,INDIRECT(A96&amp;ROW())=C94),1,0)))</f>
        <v>0</v>
      </c>
      <c r="J177">
        <f ca="1">IF(AND(INDIRECT(A73&amp;ROW())=B95,INDIRECT(A96&amp;ROW())=C95),1,IF(AND(INDIRECT(A73&amp;ROW())=B95,INDIRECT(A96&amp;ROW())=C96),1,0))</f>
        <v>1</v>
      </c>
      <c r="K177">
        <f ca="1">DAYS360(INDIRECT(C68&amp;ROW()),TODAY())</f>
        <v>869</v>
      </c>
      <c r="L177">
        <f ca="1">DAYS360(INDIRECT(C69&amp;ROW()),TODAY())</f>
        <v>870</v>
      </c>
      <c r="M177">
        <f ca="1">HYPERLINK(CONCATENATE("https://bugzilla.houston.hp.com:1181/bugzilla/show_bug.cgi?id=",INDIRECT(C70&amp;ROW())),INDIRECT(C70&amp;ROW()))</f>
        <v>54186</v>
      </c>
      <c r="N177">
        <v>54186</v>
      </c>
      <c r="O177" t="s">
        <v>326</v>
      </c>
      <c r="P177" t="s">
        <v>484</v>
      </c>
      <c r="Q177" t="s">
        <v>25</v>
      </c>
      <c r="R177" t="s">
        <v>17</v>
      </c>
      <c r="S177" t="s">
        <v>36</v>
      </c>
      <c r="U177" s="6">
        <v>41976.523692129631</v>
      </c>
      <c r="V177" t="s">
        <v>18</v>
      </c>
      <c r="W177" t="s">
        <v>343</v>
      </c>
      <c r="X177" s="6">
        <v>41975.390381944446</v>
      </c>
      <c r="Y177" t="s">
        <v>245</v>
      </c>
      <c r="AB177" t="s">
        <v>201</v>
      </c>
      <c r="AC177" t="s">
        <v>247</v>
      </c>
      <c r="AD177" t="s">
        <v>227</v>
      </c>
      <c r="AE177" t="s">
        <v>230</v>
      </c>
      <c r="AG177" t="s">
        <v>121</v>
      </c>
      <c r="AH177" t="s">
        <v>327</v>
      </c>
      <c r="AI177" t="s">
        <v>362</v>
      </c>
      <c r="AJ177" t="s">
        <v>716</v>
      </c>
      <c r="AK177" t="s">
        <v>121</v>
      </c>
    </row>
    <row r="178" spans="9:37" x14ac:dyDescent="0.3">
      <c r="I178">
        <f ca="1">IF(OR(INDIRECT(A73&amp;ROW())=B93,INDIRECT(A73&amp;ROW())=B94),1,IF(AND(INDIRECT(A73&amp;ROW())=B95,INDIRECT(A96&amp;ROW())=C93),1,IF(AND(INDIRECT(A73&amp;ROW())=B95,INDIRECT(A96&amp;ROW())=C94),1,0)))</f>
        <v>0</v>
      </c>
      <c r="J178">
        <f ca="1">IF(AND(INDIRECT(A73&amp;ROW())=B95,INDIRECT(A96&amp;ROW())=C95),1,IF(AND(INDIRECT(A73&amp;ROW())=B95,INDIRECT(A96&amp;ROW())=C96),1,0))</f>
        <v>1</v>
      </c>
      <c r="K178">
        <f ca="1">DAYS360(INDIRECT(C68&amp;ROW()),TODAY())</f>
        <v>721</v>
      </c>
      <c r="L178">
        <f ca="1">DAYS360(INDIRECT(C69&amp;ROW()),TODAY())</f>
        <v>870</v>
      </c>
      <c r="M178">
        <f ca="1">HYPERLINK(CONCATENATE("https://bugzilla.houston.hp.com:1181/bugzilla/show_bug.cgi?id=",INDIRECT(C70&amp;ROW())),INDIRECT(C70&amp;ROW()))</f>
        <v>54187</v>
      </c>
      <c r="N178">
        <v>54187</v>
      </c>
      <c r="O178" t="s">
        <v>241</v>
      </c>
      <c r="P178" t="s">
        <v>483</v>
      </c>
      <c r="Q178" t="s">
        <v>25</v>
      </c>
      <c r="R178" t="s">
        <v>248</v>
      </c>
      <c r="S178" t="s">
        <v>36</v>
      </c>
      <c r="U178" s="6">
        <v>42125.655613425923</v>
      </c>
      <c r="V178" t="s">
        <v>18</v>
      </c>
      <c r="W178" t="s">
        <v>343</v>
      </c>
      <c r="X178" s="6">
        <v>41975.393379629626</v>
      </c>
      <c r="Y178" t="s">
        <v>245</v>
      </c>
      <c r="AB178" t="s">
        <v>201</v>
      </c>
      <c r="AC178" t="s">
        <v>247</v>
      </c>
      <c r="AD178" t="s">
        <v>227</v>
      </c>
      <c r="AE178" t="s">
        <v>237</v>
      </c>
      <c r="AG178" t="s">
        <v>121</v>
      </c>
      <c r="AH178" t="s">
        <v>327</v>
      </c>
      <c r="AI178" t="s">
        <v>121</v>
      </c>
      <c r="AJ178" t="s">
        <v>716</v>
      </c>
      <c r="AK178" t="s">
        <v>121</v>
      </c>
    </row>
    <row r="179" spans="9:37" x14ac:dyDescent="0.3">
      <c r="I179">
        <f ca="1">IF(OR(INDIRECT(A73&amp;ROW())=B93,INDIRECT(A73&amp;ROW())=B94),1,IF(AND(INDIRECT(A73&amp;ROW())=B95,INDIRECT(A96&amp;ROW())=C93),1,IF(AND(INDIRECT(A73&amp;ROW())=B95,INDIRECT(A96&amp;ROW())=C94),1,0)))</f>
        <v>0</v>
      </c>
      <c r="J179">
        <f ca="1">IF(AND(INDIRECT(A73&amp;ROW())=B95,INDIRECT(A96&amp;ROW())=C95),1,IF(AND(INDIRECT(A73&amp;ROW())=B95,INDIRECT(A96&amp;ROW())=C96),1,0))</f>
        <v>0</v>
      </c>
      <c r="K179">
        <f ca="1">DAYS360(INDIRECT(C68&amp;ROW()),TODAY())</f>
        <v>835</v>
      </c>
      <c r="L179">
        <f ca="1">DAYS360(INDIRECT(C69&amp;ROW()),TODAY())</f>
        <v>870</v>
      </c>
      <c r="M179">
        <f ca="1">HYPERLINK(CONCATENATE("https://bugzilla.houston.hp.com:1181/bugzilla/show_bug.cgi?id=",INDIRECT(C70&amp;ROW())),INDIRECT(C70&amp;ROW()))</f>
        <v>54198</v>
      </c>
      <c r="N179">
        <v>54198</v>
      </c>
      <c r="O179" t="s">
        <v>326</v>
      </c>
      <c r="P179" t="s">
        <v>506</v>
      </c>
      <c r="Q179" t="s">
        <v>16</v>
      </c>
      <c r="R179" t="s">
        <v>17</v>
      </c>
      <c r="S179" t="s">
        <v>36</v>
      </c>
      <c r="U179" s="6">
        <v>42011.308912037035</v>
      </c>
      <c r="V179" t="s">
        <v>35</v>
      </c>
      <c r="W179" t="s">
        <v>343</v>
      </c>
      <c r="X179" s="6">
        <v>41975.427766203706</v>
      </c>
      <c r="Y179" t="s">
        <v>255</v>
      </c>
      <c r="AB179" t="s">
        <v>199</v>
      </c>
      <c r="AC179" t="s">
        <v>247</v>
      </c>
      <c r="AD179" t="s">
        <v>220</v>
      </c>
      <c r="AE179" t="s">
        <v>224</v>
      </c>
      <c r="AG179" t="s">
        <v>121</v>
      </c>
      <c r="AH179" t="s">
        <v>327</v>
      </c>
      <c r="AI179" t="s">
        <v>362</v>
      </c>
      <c r="AJ179" t="s">
        <v>716</v>
      </c>
      <c r="AK179" t="s">
        <v>121</v>
      </c>
    </row>
    <row r="180" spans="9:37" x14ac:dyDescent="0.3">
      <c r="I180">
        <f ca="1">IF(OR(INDIRECT(A73&amp;ROW())=B93,INDIRECT(A73&amp;ROW())=B94),1,IF(AND(INDIRECT(A73&amp;ROW())=B95,INDIRECT(A96&amp;ROW())=C93),1,IF(AND(INDIRECT(A73&amp;ROW())=B95,INDIRECT(A96&amp;ROW())=C94),1,0)))</f>
        <v>0</v>
      </c>
      <c r="J180">
        <f ca="1">IF(AND(INDIRECT(A73&amp;ROW())=B95,INDIRECT(A96&amp;ROW())=C95),1,IF(AND(INDIRECT(A73&amp;ROW())=B95,INDIRECT(A96&amp;ROW())=C96),1,0))</f>
        <v>0</v>
      </c>
      <c r="K180">
        <f ca="1">DAYS360(INDIRECT(C68&amp;ROW()),TODAY())</f>
        <v>733</v>
      </c>
      <c r="L180">
        <f ca="1">DAYS360(INDIRECT(C69&amp;ROW()),TODAY())</f>
        <v>870</v>
      </c>
      <c r="M180">
        <f ca="1">HYPERLINK(CONCATENATE("https://bugzilla.houston.hp.com:1181/bugzilla/show_bug.cgi?id=",INDIRECT(C70&amp;ROW())),INDIRECT(C70&amp;ROW()))</f>
        <v>54199</v>
      </c>
      <c r="N180">
        <v>54199</v>
      </c>
      <c r="O180" t="s">
        <v>56</v>
      </c>
      <c r="P180" t="s">
        <v>482</v>
      </c>
      <c r="Q180" t="s">
        <v>16</v>
      </c>
      <c r="R180" t="s">
        <v>248</v>
      </c>
      <c r="S180" t="s">
        <v>36</v>
      </c>
      <c r="U180" s="6">
        <v>42113.598020833335</v>
      </c>
      <c r="V180" t="s">
        <v>18</v>
      </c>
      <c r="W180" t="s">
        <v>343</v>
      </c>
      <c r="X180" s="6">
        <v>41975.430879629632</v>
      </c>
      <c r="Y180" t="s">
        <v>255</v>
      </c>
      <c r="AB180" t="s">
        <v>199</v>
      </c>
      <c r="AC180" t="s">
        <v>247</v>
      </c>
      <c r="AD180" t="s">
        <v>220</v>
      </c>
      <c r="AE180" t="s">
        <v>219</v>
      </c>
      <c r="AG180" t="s">
        <v>121</v>
      </c>
      <c r="AH180" t="s">
        <v>327</v>
      </c>
      <c r="AI180" t="s">
        <v>121</v>
      </c>
      <c r="AJ180" t="s">
        <v>716</v>
      </c>
      <c r="AK180" t="s">
        <v>121</v>
      </c>
    </row>
    <row r="181" spans="9:37" x14ac:dyDescent="0.3">
      <c r="I181">
        <f ca="1">IF(OR(INDIRECT(A73&amp;ROW())=B93,INDIRECT(A73&amp;ROW())=B94),1,IF(AND(INDIRECT(A73&amp;ROW())=B95,INDIRECT(A96&amp;ROW())=C93),1,IF(AND(INDIRECT(A73&amp;ROW())=B95,INDIRECT(A96&amp;ROW())=C94),1,0)))</f>
        <v>0</v>
      </c>
      <c r="J181">
        <f ca="1">IF(AND(INDIRECT(A73&amp;ROW())=B95,INDIRECT(A96&amp;ROW())=C95),1,IF(AND(INDIRECT(A73&amp;ROW())=B95,INDIRECT(A96&amp;ROW())=C96),1,0))</f>
        <v>0</v>
      </c>
      <c r="K181">
        <f ca="1">DAYS360(INDIRECT(C68&amp;ROW()),TODAY())</f>
        <v>690</v>
      </c>
      <c r="L181">
        <f ca="1">DAYS360(INDIRECT(C69&amp;ROW()),TODAY())</f>
        <v>870</v>
      </c>
      <c r="M181">
        <f ca="1">HYPERLINK(CONCATENATE("https://bugzilla.houston.hp.com:1181/bugzilla/show_bug.cgi?id=",INDIRECT(C70&amp;ROW())),INDIRECT(C70&amp;ROW()))</f>
        <v>54214</v>
      </c>
      <c r="N181">
        <v>54214</v>
      </c>
      <c r="O181" t="s">
        <v>45</v>
      </c>
      <c r="P181" t="s">
        <v>501</v>
      </c>
      <c r="Q181" t="s">
        <v>16</v>
      </c>
      <c r="R181" t="s">
        <v>251</v>
      </c>
      <c r="S181" t="s">
        <v>52</v>
      </c>
      <c r="U181" s="6">
        <v>42157.34238425926</v>
      </c>
      <c r="V181" t="s">
        <v>18</v>
      </c>
      <c r="W181" t="s">
        <v>17</v>
      </c>
      <c r="X181" s="6">
        <v>41975.603159722225</v>
      </c>
      <c r="Y181" t="s">
        <v>255</v>
      </c>
      <c r="AB181" t="s">
        <v>201</v>
      </c>
      <c r="AC181" t="s">
        <v>247</v>
      </c>
      <c r="AD181" t="s">
        <v>227</v>
      </c>
      <c r="AE181" t="s">
        <v>237</v>
      </c>
      <c r="AG181" t="s">
        <v>121</v>
      </c>
      <c r="AH181" t="s">
        <v>327</v>
      </c>
      <c r="AI181" t="s">
        <v>121</v>
      </c>
      <c r="AJ181" t="s">
        <v>717</v>
      </c>
      <c r="AK181" t="s">
        <v>121</v>
      </c>
    </row>
    <row r="182" spans="9:37" x14ac:dyDescent="0.3">
      <c r="I182">
        <f ca="1">IF(OR(INDIRECT(A73&amp;ROW())=B93,INDIRECT(A73&amp;ROW())=B94),1,IF(AND(INDIRECT(A73&amp;ROW())=B95,INDIRECT(A96&amp;ROW())=C93),1,IF(AND(INDIRECT(A73&amp;ROW())=B95,INDIRECT(A96&amp;ROW())=C94),1,0)))</f>
        <v>0</v>
      </c>
      <c r="J182">
        <f ca="1">IF(AND(INDIRECT(A73&amp;ROW())=B95,INDIRECT(A96&amp;ROW())=C95),1,IF(AND(INDIRECT(A73&amp;ROW())=B95,INDIRECT(A96&amp;ROW())=C96),1,0))</f>
        <v>0</v>
      </c>
      <c r="K182">
        <f ca="1">DAYS360(INDIRECT(C68&amp;ROW()),TODAY())</f>
        <v>729</v>
      </c>
      <c r="L182">
        <f ca="1">DAYS360(INDIRECT(C69&amp;ROW()),TODAY())</f>
        <v>870</v>
      </c>
      <c r="M182">
        <f ca="1">HYPERLINK(CONCATENATE("https://bugzilla.houston.hp.com:1181/bugzilla/show_bug.cgi?id=",INDIRECT(C70&amp;ROW())),INDIRECT(C70&amp;ROW()))</f>
        <v>54215</v>
      </c>
      <c r="N182">
        <v>54215</v>
      </c>
      <c r="O182" t="s">
        <v>45</v>
      </c>
      <c r="P182" t="s">
        <v>500</v>
      </c>
      <c r="Q182" t="s">
        <v>16</v>
      </c>
      <c r="R182" t="s">
        <v>251</v>
      </c>
      <c r="S182" t="s">
        <v>367</v>
      </c>
      <c r="U182" s="6">
        <v>42117.404652777775</v>
      </c>
      <c r="V182" t="s">
        <v>18</v>
      </c>
      <c r="W182" t="s">
        <v>17</v>
      </c>
      <c r="X182" s="6">
        <v>41975.612685185188</v>
      </c>
      <c r="Y182" t="s">
        <v>245</v>
      </c>
      <c r="AB182" t="s">
        <v>200</v>
      </c>
      <c r="AC182" t="s">
        <v>247</v>
      </c>
      <c r="AD182" t="s">
        <v>227</v>
      </c>
      <c r="AE182" t="s">
        <v>230</v>
      </c>
      <c r="AG182" t="s">
        <v>121</v>
      </c>
      <c r="AH182" t="s">
        <v>327</v>
      </c>
      <c r="AI182" t="s">
        <v>121</v>
      </c>
      <c r="AJ182" t="s">
        <v>716</v>
      </c>
      <c r="AK182" t="s">
        <v>121</v>
      </c>
    </row>
    <row r="183" spans="9:37" x14ac:dyDescent="0.3">
      <c r="I183">
        <f ca="1">IF(OR(INDIRECT(A73&amp;ROW())=B93,INDIRECT(A73&amp;ROW())=B94),1,IF(AND(INDIRECT(A73&amp;ROW())=B95,INDIRECT(A96&amp;ROW())=C93),1,IF(AND(INDIRECT(A73&amp;ROW())=B95,INDIRECT(A96&amp;ROW())=C94),1,0)))</f>
        <v>0</v>
      </c>
      <c r="J183">
        <f ca="1">IF(AND(INDIRECT(A73&amp;ROW())=B95,INDIRECT(A96&amp;ROW())=C95),1,IF(AND(INDIRECT(A73&amp;ROW())=B95,INDIRECT(A96&amp;ROW())=C96),1,0))</f>
        <v>0</v>
      </c>
      <c r="K183">
        <f ca="1">DAYS360(INDIRECT(C68&amp;ROW()),TODAY())</f>
        <v>736</v>
      </c>
      <c r="L183">
        <f ca="1">DAYS360(INDIRECT(C69&amp;ROW()),TODAY())</f>
        <v>870</v>
      </c>
      <c r="M183">
        <f ca="1">HYPERLINK(CONCATENATE("https://bugzilla.houston.hp.com:1181/bugzilla/show_bug.cgi?id=",INDIRECT(C70&amp;ROW())),INDIRECT(C70&amp;ROW()))</f>
        <v>54218</v>
      </c>
      <c r="N183">
        <v>54218</v>
      </c>
      <c r="O183" t="s">
        <v>919</v>
      </c>
      <c r="P183" t="s">
        <v>499</v>
      </c>
      <c r="Q183" t="s">
        <v>16</v>
      </c>
      <c r="R183" t="s">
        <v>17</v>
      </c>
      <c r="S183" t="s">
        <v>477</v>
      </c>
      <c r="U183" s="6">
        <v>42110.702280092592</v>
      </c>
      <c r="V183" t="s">
        <v>18</v>
      </c>
      <c r="W183" t="s">
        <v>339</v>
      </c>
      <c r="X183" s="6">
        <v>41975.714236111111</v>
      </c>
      <c r="Y183" t="s">
        <v>245</v>
      </c>
      <c r="AB183" t="s">
        <v>201</v>
      </c>
      <c r="AC183" t="s">
        <v>247</v>
      </c>
      <c r="AD183" t="s">
        <v>227</v>
      </c>
      <c r="AE183" t="s">
        <v>230</v>
      </c>
      <c r="AG183" t="s">
        <v>121</v>
      </c>
      <c r="AH183" t="s">
        <v>327</v>
      </c>
      <c r="AI183" t="s">
        <v>362</v>
      </c>
      <c r="AJ183" t="s">
        <v>717</v>
      </c>
      <c r="AK183" t="s">
        <v>121</v>
      </c>
    </row>
    <row r="184" spans="9:37" x14ac:dyDescent="0.3">
      <c r="I184">
        <f ca="1">IF(OR(INDIRECT(A73&amp;ROW())=B93,INDIRECT(A73&amp;ROW())=B94),1,IF(AND(INDIRECT(A73&amp;ROW())=B95,INDIRECT(A96&amp;ROW())=C93),1,IF(AND(INDIRECT(A73&amp;ROW())=B95,INDIRECT(A96&amp;ROW())=C94),1,0)))</f>
        <v>0</v>
      </c>
      <c r="J184">
        <f ca="1">IF(AND(INDIRECT(A73&amp;ROW())=B95,INDIRECT(A96&amp;ROW())=C95),1,IF(AND(INDIRECT(A73&amp;ROW())=B95,INDIRECT(A96&amp;ROW())=C96),1,0))</f>
        <v>1</v>
      </c>
      <c r="K184">
        <f ca="1">DAYS360(INDIRECT(C68&amp;ROW()),TODAY())</f>
        <v>730</v>
      </c>
      <c r="L184">
        <f ca="1">DAYS360(INDIRECT(C69&amp;ROW()),TODAY())</f>
        <v>870</v>
      </c>
      <c r="M184">
        <f ca="1">HYPERLINK(CONCATENATE("https://bugzilla.houston.hp.com:1181/bugzilla/show_bug.cgi?id=",INDIRECT(C70&amp;ROW())),INDIRECT(C70&amp;ROW()))</f>
        <v>54221</v>
      </c>
      <c r="N184">
        <v>54221</v>
      </c>
      <c r="O184" t="s">
        <v>56</v>
      </c>
      <c r="P184" t="s">
        <v>481</v>
      </c>
      <c r="Q184" t="s">
        <v>25</v>
      </c>
      <c r="R184" t="s">
        <v>251</v>
      </c>
      <c r="S184" t="s">
        <v>43</v>
      </c>
      <c r="U184" s="6">
        <v>42116.732118055559</v>
      </c>
      <c r="V184" t="s">
        <v>18</v>
      </c>
      <c r="W184" t="s">
        <v>17</v>
      </c>
      <c r="X184" s="6">
        <v>41975.804108796299</v>
      </c>
      <c r="Y184" t="s">
        <v>793</v>
      </c>
      <c r="AB184" t="s">
        <v>201</v>
      </c>
      <c r="AC184" t="s">
        <v>247</v>
      </c>
      <c r="AD184" t="s">
        <v>220</v>
      </c>
      <c r="AE184" t="s">
        <v>219</v>
      </c>
      <c r="AG184" t="s">
        <v>121</v>
      </c>
      <c r="AH184" t="s">
        <v>327</v>
      </c>
      <c r="AI184" t="s">
        <v>121</v>
      </c>
      <c r="AJ184" t="s">
        <v>716</v>
      </c>
      <c r="AK184" t="s">
        <v>121</v>
      </c>
    </row>
    <row r="185" spans="9:37" x14ac:dyDescent="0.3">
      <c r="I185">
        <f ca="1">IF(OR(INDIRECT(A73&amp;ROW())=B93,INDIRECT(A73&amp;ROW())=B94),1,IF(AND(INDIRECT(A73&amp;ROW())=B95,INDIRECT(A96&amp;ROW())=C93),1,IF(AND(INDIRECT(A73&amp;ROW())=B95,INDIRECT(A96&amp;ROW())=C94),1,0)))</f>
        <v>1</v>
      </c>
      <c r="J185">
        <f ca="1">IF(AND(INDIRECT(A73&amp;ROW())=B95,INDIRECT(A96&amp;ROW())=C95),1,IF(AND(INDIRECT(A73&amp;ROW())=B95,INDIRECT(A96&amp;ROW())=C96),1,0))</f>
        <v>0</v>
      </c>
      <c r="K185">
        <f ca="1">DAYS360(INDIRECT(C68&amp;ROW()),TODAY())</f>
        <v>691</v>
      </c>
      <c r="L185">
        <f ca="1">DAYS360(INDIRECT(C69&amp;ROW()),TODAY())</f>
        <v>869</v>
      </c>
      <c r="M185">
        <f ca="1">HYPERLINK(CONCATENATE("https://bugzilla.houston.hp.com:1181/bugzilla/show_bug.cgi?id=",INDIRECT(C70&amp;ROW())),INDIRECT(C70&amp;ROW()))</f>
        <v>54268</v>
      </c>
      <c r="N185">
        <v>54268</v>
      </c>
      <c r="O185" t="s">
        <v>164</v>
      </c>
      <c r="P185" t="s">
        <v>503</v>
      </c>
      <c r="Q185" t="s">
        <v>25</v>
      </c>
      <c r="R185" t="s">
        <v>251</v>
      </c>
      <c r="S185" t="s">
        <v>24</v>
      </c>
      <c r="U185" s="6">
        <v>42156.598819444444</v>
      </c>
      <c r="V185" t="s">
        <v>40</v>
      </c>
      <c r="W185" t="s">
        <v>17</v>
      </c>
      <c r="X185" s="6">
        <v>41976.612835648149</v>
      </c>
      <c r="Y185" t="s">
        <v>255</v>
      </c>
      <c r="AB185" t="s">
        <v>200</v>
      </c>
      <c r="AC185" t="s">
        <v>247</v>
      </c>
      <c r="AD185" t="s">
        <v>220</v>
      </c>
      <c r="AE185" t="s">
        <v>219</v>
      </c>
      <c r="AG185" t="s">
        <v>121</v>
      </c>
      <c r="AH185" t="s">
        <v>327</v>
      </c>
      <c r="AI185" t="s">
        <v>121</v>
      </c>
      <c r="AJ185" t="s">
        <v>715</v>
      </c>
      <c r="AK185" t="s">
        <v>121</v>
      </c>
    </row>
    <row r="186" spans="9:37" x14ac:dyDescent="0.3">
      <c r="I186">
        <f ca="1">IF(OR(INDIRECT(A73&amp;ROW())=B93,INDIRECT(A73&amp;ROW())=B94),1,IF(AND(INDIRECT(A73&amp;ROW())=B95,INDIRECT(A96&amp;ROW())=C93),1,IF(AND(INDIRECT(A73&amp;ROW())=B95,INDIRECT(A96&amp;ROW())=C94),1,0)))</f>
        <v>0</v>
      </c>
      <c r="J186">
        <f ca="1">IF(AND(INDIRECT(A73&amp;ROW())=B95,INDIRECT(A96&amp;ROW())=C95),1,IF(AND(INDIRECT(A73&amp;ROW())=B95,INDIRECT(A96&amp;ROW())=C96),1,0))</f>
        <v>1</v>
      </c>
      <c r="K186">
        <f ca="1">DAYS360(INDIRECT(C68&amp;ROW()),TODAY())</f>
        <v>721</v>
      </c>
      <c r="L186">
        <f ca="1">DAYS360(INDIRECT(C69&amp;ROW()),TODAY())</f>
        <v>869</v>
      </c>
      <c r="M186">
        <f ca="1">HYPERLINK(CONCATENATE("https://bugzilla.houston.hp.com:1181/bugzilla/show_bug.cgi?id=",INDIRECT(C70&amp;ROW())),INDIRECT(C70&amp;ROW()))</f>
        <v>54272</v>
      </c>
      <c r="N186">
        <v>54272</v>
      </c>
      <c r="O186" t="s">
        <v>56</v>
      </c>
      <c r="P186" t="s">
        <v>498</v>
      </c>
      <c r="Q186" t="s">
        <v>25</v>
      </c>
      <c r="R186" t="s">
        <v>248</v>
      </c>
      <c r="S186" t="s">
        <v>36</v>
      </c>
      <c r="U186" s="6">
        <v>42125.448750000003</v>
      </c>
      <c r="V186" t="s">
        <v>18</v>
      </c>
      <c r="W186" t="s">
        <v>360</v>
      </c>
      <c r="X186" s="6">
        <v>41976.671122685184</v>
      </c>
      <c r="Y186" t="s">
        <v>122</v>
      </c>
      <c r="AB186" t="s">
        <v>201</v>
      </c>
      <c r="AC186" t="s">
        <v>247</v>
      </c>
      <c r="AD186" t="s">
        <v>220</v>
      </c>
      <c r="AE186" t="s">
        <v>219</v>
      </c>
      <c r="AG186" t="s">
        <v>121</v>
      </c>
      <c r="AH186" t="s">
        <v>327</v>
      </c>
      <c r="AI186" t="s">
        <v>121</v>
      </c>
      <c r="AJ186" t="s">
        <v>716</v>
      </c>
      <c r="AK186" t="s">
        <v>121</v>
      </c>
    </row>
    <row r="187" spans="9:37" x14ac:dyDescent="0.3">
      <c r="I187">
        <f ca="1">IF(OR(INDIRECT(A73&amp;ROW())=B93,INDIRECT(A73&amp;ROW())=B94),1,IF(AND(INDIRECT(A73&amp;ROW())=B95,INDIRECT(A96&amp;ROW())=C93),1,IF(AND(INDIRECT(A73&amp;ROW())=B95,INDIRECT(A96&amp;ROW())=C94),1,0)))</f>
        <v>0</v>
      </c>
      <c r="J187">
        <f ca="1">IF(AND(INDIRECT(A73&amp;ROW())=B95,INDIRECT(A96&amp;ROW())=C95),1,IF(AND(INDIRECT(A73&amp;ROW())=B95,INDIRECT(A96&amp;ROW())=C96),1,0))</f>
        <v>0</v>
      </c>
      <c r="K187">
        <f ca="1">DAYS360(INDIRECT(C68&amp;ROW()),TODAY())</f>
        <v>721</v>
      </c>
      <c r="L187">
        <f ca="1">DAYS360(INDIRECT(C69&amp;ROW()),TODAY())</f>
        <v>869</v>
      </c>
      <c r="M187">
        <f ca="1">HYPERLINK(CONCATENATE("https://bugzilla.houston.hp.com:1181/bugzilla/show_bug.cgi?id=",INDIRECT(C70&amp;ROW())),INDIRECT(C70&amp;ROW()))</f>
        <v>54278</v>
      </c>
      <c r="N187">
        <v>54278</v>
      </c>
      <c r="O187" t="s">
        <v>45</v>
      </c>
      <c r="P187" t="s">
        <v>497</v>
      </c>
      <c r="Q187" t="s">
        <v>16</v>
      </c>
      <c r="R187" t="s">
        <v>248</v>
      </c>
      <c r="S187" t="s">
        <v>36</v>
      </c>
      <c r="U187" s="6">
        <v>42125.661678240744</v>
      </c>
      <c r="V187" t="s">
        <v>18</v>
      </c>
      <c r="W187" t="s">
        <v>339</v>
      </c>
      <c r="X187" s="6">
        <v>41976.674849537034</v>
      </c>
      <c r="Y187" t="s">
        <v>255</v>
      </c>
      <c r="AB187" t="s">
        <v>201</v>
      </c>
      <c r="AC187" t="s">
        <v>247</v>
      </c>
      <c r="AD187" t="s">
        <v>227</v>
      </c>
      <c r="AE187" t="s">
        <v>237</v>
      </c>
      <c r="AG187" t="s">
        <v>121</v>
      </c>
      <c r="AH187" t="s">
        <v>327</v>
      </c>
      <c r="AI187" t="s">
        <v>121</v>
      </c>
      <c r="AJ187" t="s">
        <v>717</v>
      </c>
      <c r="AK187" t="s">
        <v>121</v>
      </c>
    </row>
    <row r="188" spans="9:37" x14ac:dyDescent="0.3">
      <c r="I188">
        <f ca="1">IF(OR(INDIRECT(A73&amp;ROW())=B93,INDIRECT(A73&amp;ROW())=B94),1,IF(AND(INDIRECT(A73&amp;ROW())=B95,INDIRECT(A96&amp;ROW())=C93),1,IF(AND(INDIRECT(A73&amp;ROW())=B95,INDIRECT(A96&amp;ROW())=C94),1,0)))</f>
        <v>0</v>
      </c>
      <c r="J188">
        <f ca="1">IF(AND(INDIRECT(A73&amp;ROW())=B95,INDIRECT(A96&amp;ROW())=C95),1,IF(AND(INDIRECT(A73&amp;ROW())=B95,INDIRECT(A96&amp;ROW())=C96),1,0))</f>
        <v>0</v>
      </c>
      <c r="K188">
        <f ca="1">DAYS360(INDIRECT(C68&amp;ROW()),TODAY())</f>
        <v>731</v>
      </c>
      <c r="L188">
        <f ca="1">DAYS360(INDIRECT(C69&amp;ROW()),TODAY())</f>
        <v>869</v>
      </c>
      <c r="M188">
        <f ca="1">HYPERLINK(CONCATENATE("https://bugzilla.houston.hp.com:1181/bugzilla/show_bug.cgi?id=",INDIRECT(C70&amp;ROW())),INDIRECT(C70&amp;ROW()))</f>
        <v>54280</v>
      </c>
      <c r="N188">
        <v>54280</v>
      </c>
      <c r="O188" t="s">
        <v>919</v>
      </c>
      <c r="P188" t="s">
        <v>496</v>
      </c>
      <c r="Q188" t="s">
        <v>16</v>
      </c>
      <c r="R188" t="s">
        <v>17</v>
      </c>
      <c r="S188" t="s">
        <v>36</v>
      </c>
      <c r="U188" s="6">
        <v>42115.892118055555</v>
      </c>
      <c r="V188" t="s">
        <v>18</v>
      </c>
      <c r="W188" t="s">
        <v>372</v>
      </c>
      <c r="X188" s="6">
        <v>41976.675324074073</v>
      </c>
      <c r="Y188" t="s">
        <v>245</v>
      </c>
      <c r="AB188" t="s">
        <v>200</v>
      </c>
      <c r="AC188" t="s">
        <v>247</v>
      </c>
      <c r="AD188" t="s">
        <v>227</v>
      </c>
      <c r="AE188" t="s">
        <v>230</v>
      </c>
      <c r="AG188" t="s">
        <v>121</v>
      </c>
      <c r="AH188" t="s">
        <v>327</v>
      </c>
      <c r="AI188" t="s">
        <v>363</v>
      </c>
      <c r="AJ188" t="s">
        <v>716</v>
      </c>
      <c r="AK188" t="s">
        <v>121</v>
      </c>
    </row>
    <row r="189" spans="9:37" x14ac:dyDescent="0.3">
      <c r="I189">
        <f ca="1">IF(OR(INDIRECT(A73&amp;ROW())=B93,INDIRECT(A73&amp;ROW())=B94),1,IF(AND(INDIRECT(A73&amp;ROW())=B95,INDIRECT(A96&amp;ROW())=C93),1,IF(AND(INDIRECT(A73&amp;ROW())=B95,INDIRECT(A96&amp;ROW())=C94),1,0)))</f>
        <v>0</v>
      </c>
      <c r="J189">
        <f ca="1">IF(AND(INDIRECT(A73&amp;ROW())=B95,INDIRECT(A96&amp;ROW())=C95),1,IF(AND(INDIRECT(A73&amp;ROW())=B95,INDIRECT(A96&amp;ROW())=C96),1,0))</f>
        <v>0</v>
      </c>
      <c r="K189">
        <f ca="1">DAYS360(INDIRECT(C68&amp;ROW()),TODAY())</f>
        <v>731</v>
      </c>
      <c r="L189">
        <f ca="1">DAYS360(INDIRECT(C69&amp;ROW()),TODAY())</f>
        <v>869</v>
      </c>
      <c r="M189">
        <f ca="1">HYPERLINK(CONCATENATE("https://bugzilla.houston.hp.com:1181/bugzilla/show_bug.cgi?id=",INDIRECT(C70&amp;ROW())),INDIRECT(C70&amp;ROW()))</f>
        <v>54281</v>
      </c>
      <c r="N189">
        <v>54281</v>
      </c>
      <c r="O189" t="s">
        <v>36</v>
      </c>
      <c r="P189" t="s">
        <v>495</v>
      </c>
      <c r="Q189" t="s">
        <v>16</v>
      </c>
      <c r="R189" t="s">
        <v>248</v>
      </c>
      <c r="S189" t="s">
        <v>36</v>
      </c>
      <c r="U189" s="6">
        <v>42115.893796296295</v>
      </c>
      <c r="V189" t="s">
        <v>18</v>
      </c>
      <c r="W189" t="s">
        <v>372</v>
      </c>
      <c r="X189" s="6">
        <v>41976.675428240742</v>
      </c>
      <c r="Y189" t="s">
        <v>245</v>
      </c>
      <c r="AB189" t="s">
        <v>200</v>
      </c>
      <c r="AC189" t="s">
        <v>247</v>
      </c>
      <c r="AD189" t="s">
        <v>227</v>
      </c>
      <c r="AE189" t="s">
        <v>230</v>
      </c>
      <c r="AG189" t="s">
        <v>121</v>
      </c>
      <c r="AH189" t="s">
        <v>327</v>
      </c>
      <c r="AI189" t="s">
        <v>121</v>
      </c>
      <c r="AJ189" t="s">
        <v>716</v>
      </c>
      <c r="AK189" t="s">
        <v>121</v>
      </c>
    </row>
    <row r="190" spans="9:37" x14ac:dyDescent="0.3">
      <c r="I190">
        <f ca="1">IF(OR(INDIRECT(A73&amp;ROW())=B93,INDIRECT(A73&amp;ROW())=B94),1,IF(AND(INDIRECT(A73&amp;ROW())=B95,INDIRECT(A96&amp;ROW())=C93),1,IF(AND(INDIRECT(A73&amp;ROW())=B95,INDIRECT(A96&amp;ROW())=C94),1,0)))</f>
        <v>0</v>
      </c>
      <c r="J190">
        <f ca="1">IF(AND(INDIRECT(A73&amp;ROW())=B95,INDIRECT(A96&amp;ROW())=C95),1,IF(AND(INDIRECT(A73&amp;ROW())=B95,INDIRECT(A96&amp;ROW())=C96),1,0))</f>
        <v>0</v>
      </c>
      <c r="K190">
        <f ca="1">DAYS360(INDIRECT(C68&amp;ROW()),TODAY())</f>
        <v>724</v>
      </c>
      <c r="L190">
        <f ca="1">DAYS360(INDIRECT(C69&amp;ROW()),TODAY())</f>
        <v>869</v>
      </c>
      <c r="M190">
        <f ca="1">HYPERLINK(CONCATENATE("https://bugzilla.houston.hp.com:1181/bugzilla/show_bug.cgi?id=",INDIRECT(C70&amp;ROW())),INDIRECT(C70&amp;ROW()))</f>
        <v>54283</v>
      </c>
      <c r="N190">
        <v>54283</v>
      </c>
      <c r="O190" t="s">
        <v>241</v>
      </c>
      <c r="P190" t="s">
        <v>494</v>
      </c>
      <c r="Q190" t="s">
        <v>16</v>
      </c>
      <c r="R190" t="s">
        <v>251</v>
      </c>
      <c r="S190" t="s">
        <v>36</v>
      </c>
      <c r="U190" s="6">
        <v>42122.319062499999</v>
      </c>
      <c r="V190" t="s">
        <v>18</v>
      </c>
      <c r="W190" t="s">
        <v>17</v>
      </c>
      <c r="X190" s="6">
        <v>41976.684965277775</v>
      </c>
      <c r="Y190" t="s">
        <v>122</v>
      </c>
      <c r="AB190" t="s">
        <v>201</v>
      </c>
      <c r="AC190" t="s">
        <v>247</v>
      </c>
      <c r="AD190" t="s">
        <v>227</v>
      </c>
      <c r="AE190" t="s">
        <v>237</v>
      </c>
      <c r="AG190" t="s">
        <v>121</v>
      </c>
      <c r="AH190" t="s">
        <v>327</v>
      </c>
      <c r="AI190" t="s">
        <v>121</v>
      </c>
      <c r="AJ190" t="s">
        <v>717</v>
      </c>
      <c r="AK190" t="s">
        <v>121</v>
      </c>
    </row>
    <row r="191" spans="9:37" x14ac:dyDescent="0.3">
      <c r="I191">
        <f ca="1">IF(OR(INDIRECT(A73&amp;ROW())=B93,INDIRECT(A73&amp;ROW())=B94),1,IF(AND(INDIRECT(A73&amp;ROW())=B95,INDIRECT(A96&amp;ROW())=C93),1,IF(AND(INDIRECT(A73&amp;ROW())=B95,INDIRECT(A96&amp;ROW())=C94),1,0)))</f>
        <v>0</v>
      </c>
      <c r="J191">
        <f ca="1">IF(AND(INDIRECT(A73&amp;ROW())=B95,INDIRECT(A96&amp;ROW())=C95),1,IF(AND(INDIRECT(A73&amp;ROW())=B95,INDIRECT(A96&amp;ROW())=C96),1,0))</f>
        <v>0</v>
      </c>
      <c r="K191">
        <f ca="1">DAYS360(INDIRECT(C68&amp;ROW()),TODAY())</f>
        <v>721</v>
      </c>
      <c r="L191">
        <f ca="1">DAYS360(INDIRECT(C69&amp;ROW()),TODAY())</f>
        <v>869</v>
      </c>
      <c r="M191">
        <f ca="1">HYPERLINK(CONCATENATE("https://bugzilla.houston.hp.com:1181/bugzilla/show_bug.cgi?id=",INDIRECT(C70&amp;ROW())),INDIRECT(C70&amp;ROW()))</f>
        <v>54284</v>
      </c>
      <c r="N191">
        <v>54284</v>
      </c>
      <c r="O191" t="s">
        <v>36</v>
      </c>
      <c r="P191" t="s">
        <v>493</v>
      </c>
      <c r="Q191" t="s">
        <v>16</v>
      </c>
      <c r="R191" t="s">
        <v>248</v>
      </c>
      <c r="S191" t="s">
        <v>36</v>
      </c>
      <c r="U191" s="6">
        <v>42125.44866898148</v>
      </c>
      <c r="V191" t="s">
        <v>18</v>
      </c>
      <c r="W191" t="s">
        <v>339</v>
      </c>
      <c r="X191" s="6">
        <v>41976.687175925923</v>
      </c>
      <c r="Y191" t="s">
        <v>122</v>
      </c>
      <c r="AB191" t="s">
        <v>201</v>
      </c>
      <c r="AC191" t="s">
        <v>247</v>
      </c>
      <c r="AD191" t="s">
        <v>227</v>
      </c>
      <c r="AE191" t="s">
        <v>237</v>
      </c>
      <c r="AG191" t="s">
        <v>121</v>
      </c>
      <c r="AH191" t="s">
        <v>327</v>
      </c>
      <c r="AI191" t="s">
        <v>121</v>
      </c>
      <c r="AJ191" t="s">
        <v>716</v>
      </c>
      <c r="AK191" t="s">
        <v>121</v>
      </c>
    </row>
    <row r="192" spans="9:37" x14ac:dyDescent="0.3">
      <c r="I192">
        <f ca="1">IF(OR(INDIRECT(A73&amp;ROW())=B93,INDIRECT(A73&amp;ROW())=B94),1,IF(AND(INDIRECT(A73&amp;ROW())=B95,INDIRECT(A96&amp;ROW())=C93),1,IF(AND(INDIRECT(A73&amp;ROW())=B95,INDIRECT(A96&amp;ROW())=C94),1,0)))</f>
        <v>0</v>
      </c>
      <c r="J192">
        <f ca="1">IF(AND(INDIRECT(A73&amp;ROW())=B95,INDIRECT(A96&amp;ROW())=C95),1,IF(AND(INDIRECT(A73&amp;ROW())=B95,INDIRECT(A96&amp;ROW())=C96),1,0))</f>
        <v>0</v>
      </c>
      <c r="K192">
        <f ca="1">DAYS360(INDIRECT(C68&amp;ROW()),TODAY())</f>
        <v>721</v>
      </c>
      <c r="L192">
        <f ca="1">DAYS360(INDIRECT(C69&amp;ROW()),TODAY())</f>
        <v>869</v>
      </c>
      <c r="M192">
        <f ca="1">HYPERLINK(CONCATENATE("https://bugzilla.houston.hp.com:1181/bugzilla/show_bug.cgi?id=",INDIRECT(C70&amp;ROW())),INDIRECT(C70&amp;ROW()))</f>
        <v>54292</v>
      </c>
      <c r="N192">
        <v>54292</v>
      </c>
      <c r="O192" t="s">
        <v>65</v>
      </c>
      <c r="P192" t="s">
        <v>502</v>
      </c>
      <c r="Q192" t="s">
        <v>16</v>
      </c>
      <c r="R192" t="s">
        <v>251</v>
      </c>
      <c r="S192" t="s">
        <v>43</v>
      </c>
      <c r="U192" s="6">
        <v>42125.44871527778</v>
      </c>
      <c r="V192" t="s">
        <v>18</v>
      </c>
      <c r="W192" t="s">
        <v>17</v>
      </c>
      <c r="X192" s="6">
        <v>41976.750104166669</v>
      </c>
      <c r="Y192" t="s">
        <v>122</v>
      </c>
      <c r="AB192" t="s">
        <v>201</v>
      </c>
      <c r="AC192" t="s">
        <v>247</v>
      </c>
      <c r="AD192" t="s">
        <v>220</v>
      </c>
      <c r="AE192" t="s">
        <v>219</v>
      </c>
      <c r="AG192" t="s">
        <v>121</v>
      </c>
      <c r="AH192" t="s">
        <v>327</v>
      </c>
      <c r="AI192" t="s">
        <v>121</v>
      </c>
      <c r="AJ192" t="s">
        <v>717</v>
      </c>
      <c r="AK192" t="s">
        <v>121</v>
      </c>
    </row>
    <row r="193" spans="9:37" x14ac:dyDescent="0.3">
      <c r="I193">
        <f ca="1">IF(OR(INDIRECT(A73&amp;ROW())=B93,INDIRECT(A73&amp;ROW())=B94),1,IF(AND(INDIRECT(A73&amp;ROW())=B95,INDIRECT(A96&amp;ROW())=C93),1,IF(AND(INDIRECT(A73&amp;ROW())=B95,INDIRECT(A96&amp;ROW())=C94),1,0)))</f>
        <v>0</v>
      </c>
      <c r="J193">
        <f ca="1">IF(AND(INDIRECT(A73&amp;ROW())=B95,INDIRECT(A96&amp;ROW())=C95),1,IF(AND(INDIRECT(A73&amp;ROW())=B95,INDIRECT(A96&amp;ROW())=C96),1,0))</f>
        <v>1</v>
      </c>
      <c r="K193">
        <f ca="1">DAYS360(INDIRECT(C68&amp;ROW()),TODAY())</f>
        <v>721</v>
      </c>
      <c r="L193">
        <f ca="1">DAYS360(INDIRECT(C69&amp;ROW()),TODAY())</f>
        <v>867</v>
      </c>
      <c r="M193">
        <f ca="1">HYPERLINK(CONCATENATE("https://bugzilla.houston.hp.com:1181/bugzilla/show_bug.cgi?id=",INDIRECT(C70&amp;ROW())),INDIRECT(C70&amp;ROW()))</f>
        <v>54393</v>
      </c>
      <c r="N193">
        <v>54393</v>
      </c>
      <c r="O193" t="s">
        <v>22</v>
      </c>
      <c r="P193" t="s">
        <v>505</v>
      </c>
      <c r="Q193" t="s">
        <v>25</v>
      </c>
      <c r="R193" t="s">
        <v>251</v>
      </c>
      <c r="S193" t="s">
        <v>36</v>
      </c>
      <c r="U193" s="6">
        <v>42125.663171296299</v>
      </c>
      <c r="V193" t="s">
        <v>18</v>
      </c>
      <c r="W193" t="s">
        <v>17</v>
      </c>
      <c r="X193" s="6">
        <v>41978.416562500002</v>
      </c>
      <c r="Y193" t="s">
        <v>793</v>
      </c>
      <c r="AB193" t="s">
        <v>201</v>
      </c>
      <c r="AC193" t="s">
        <v>247</v>
      </c>
      <c r="AD193" t="s">
        <v>222</v>
      </c>
      <c r="AE193" t="s">
        <v>225</v>
      </c>
      <c r="AG193" t="s">
        <v>121</v>
      </c>
      <c r="AH193" t="s">
        <v>327</v>
      </c>
      <c r="AI193" t="s">
        <v>121</v>
      </c>
      <c r="AJ193" t="s">
        <v>716</v>
      </c>
      <c r="AK193" t="s">
        <v>121</v>
      </c>
    </row>
    <row r="194" spans="9:37" x14ac:dyDescent="0.3">
      <c r="I194">
        <f ca="1">IF(OR(INDIRECT(A73&amp;ROW())=B93,INDIRECT(A73&amp;ROW())=B94),1,IF(AND(INDIRECT(A73&amp;ROW())=B95,INDIRECT(A96&amp;ROW())=C93),1,IF(AND(INDIRECT(A73&amp;ROW())=B95,INDIRECT(A96&amp;ROW())=C94),1,0)))</f>
        <v>0</v>
      </c>
      <c r="J194">
        <f ca="1">IF(AND(INDIRECT(A73&amp;ROW())=B95,INDIRECT(A96&amp;ROW())=C95),1,IF(AND(INDIRECT(A73&amp;ROW())=B95,INDIRECT(A96&amp;ROW())=C96),1,0))</f>
        <v>1</v>
      </c>
      <c r="K194">
        <f ca="1">DAYS360(INDIRECT(C68&amp;ROW()),TODAY())</f>
        <v>721</v>
      </c>
      <c r="L194">
        <f ca="1">DAYS360(INDIRECT(C69&amp;ROW()),TODAY())</f>
        <v>867</v>
      </c>
      <c r="M194">
        <f ca="1">HYPERLINK(CONCATENATE("https://bugzilla.houston.hp.com:1181/bugzilla/show_bug.cgi?id=",INDIRECT(C70&amp;ROW())),INDIRECT(C70&amp;ROW()))</f>
        <v>54394</v>
      </c>
      <c r="N194">
        <v>54394</v>
      </c>
      <c r="O194" t="s">
        <v>22</v>
      </c>
      <c r="P194" t="s">
        <v>504</v>
      </c>
      <c r="Q194" t="s">
        <v>25</v>
      </c>
      <c r="R194" t="s">
        <v>248</v>
      </c>
      <c r="S194" t="s">
        <v>36</v>
      </c>
      <c r="U194" s="6">
        <v>42125.663148148145</v>
      </c>
      <c r="V194" t="s">
        <v>18</v>
      </c>
      <c r="W194" t="s">
        <v>341</v>
      </c>
      <c r="X194" s="6">
        <v>41978.42869212963</v>
      </c>
      <c r="Y194" t="s">
        <v>793</v>
      </c>
      <c r="AB194" t="s">
        <v>201</v>
      </c>
      <c r="AC194" t="s">
        <v>247</v>
      </c>
      <c r="AD194" t="s">
        <v>222</v>
      </c>
      <c r="AE194" t="s">
        <v>225</v>
      </c>
      <c r="AG194" t="s">
        <v>121</v>
      </c>
      <c r="AH194" t="s">
        <v>327</v>
      </c>
      <c r="AI194" t="s">
        <v>121</v>
      </c>
      <c r="AJ194" t="s">
        <v>716</v>
      </c>
      <c r="AK194" t="s">
        <v>121</v>
      </c>
    </row>
    <row r="195" spans="9:37" x14ac:dyDescent="0.3">
      <c r="I195">
        <f ca="1">IF(OR(INDIRECT(A73&amp;ROW())=B93,INDIRECT(A73&amp;ROW())=B94),1,IF(AND(INDIRECT(A73&amp;ROW())=B95,INDIRECT(A96&amp;ROW())=C93),1,IF(AND(INDIRECT(A73&amp;ROW())=B95,INDIRECT(A96&amp;ROW())=C94),1,0)))</f>
        <v>1</v>
      </c>
      <c r="J195">
        <f ca="1">IF(AND(INDIRECT(A73&amp;ROW())=B95,INDIRECT(A96&amp;ROW())=C95),1,IF(AND(INDIRECT(A73&amp;ROW())=B95,INDIRECT(A96&amp;ROW())=C96),1,0))</f>
        <v>0</v>
      </c>
      <c r="K195">
        <f ca="1">DAYS360(INDIRECT(C68&amp;ROW()),TODAY())</f>
        <v>729</v>
      </c>
      <c r="L195">
        <f ca="1">DAYS360(INDIRECT(C69&amp;ROW()),TODAY())</f>
        <v>860</v>
      </c>
      <c r="M195">
        <f ca="1">HYPERLINK(CONCATENATE("https://bugzilla.houston.hp.com:1181/bugzilla/show_bug.cgi?id=",INDIRECT(C70&amp;ROW())),INDIRECT(C70&amp;ROW()))</f>
        <v>54717</v>
      </c>
      <c r="N195">
        <v>54717</v>
      </c>
      <c r="O195" t="s">
        <v>36</v>
      </c>
      <c r="P195" t="s">
        <v>511</v>
      </c>
      <c r="Q195" t="s">
        <v>25</v>
      </c>
      <c r="R195" t="s">
        <v>248</v>
      </c>
      <c r="S195" t="s">
        <v>44</v>
      </c>
      <c r="U195" s="6">
        <v>42117.266597222224</v>
      </c>
      <c r="V195" t="s">
        <v>18</v>
      </c>
      <c r="W195" t="s">
        <v>508</v>
      </c>
      <c r="X195" s="6">
        <v>41985.331608796296</v>
      </c>
      <c r="Y195" t="s">
        <v>255</v>
      </c>
      <c r="AB195" t="s">
        <v>200</v>
      </c>
      <c r="AC195" t="s">
        <v>247</v>
      </c>
      <c r="AD195" t="s">
        <v>222</v>
      </c>
      <c r="AE195" t="s">
        <v>233</v>
      </c>
      <c r="AG195" t="s">
        <v>121</v>
      </c>
      <c r="AH195" t="s">
        <v>327</v>
      </c>
      <c r="AI195" t="s">
        <v>121</v>
      </c>
      <c r="AJ195" t="s">
        <v>715</v>
      </c>
      <c r="AK195" t="s">
        <v>121</v>
      </c>
    </row>
    <row r="196" spans="9:37" x14ac:dyDescent="0.3">
      <c r="I196">
        <f ca="1">IF(OR(INDIRECT(A73&amp;ROW())=B93,INDIRECT(A73&amp;ROW())=B94),1,IF(AND(INDIRECT(A73&amp;ROW())=B95,INDIRECT(A96&amp;ROW())=C93),1,IF(AND(INDIRECT(A73&amp;ROW())=B95,INDIRECT(A96&amp;ROW())=C94),1,0)))</f>
        <v>0</v>
      </c>
      <c r="J196">
        <f ca="1">IF(AND(INDIRECT(A73&amp;ROW())=B95,INDIRECT(A96&amp;ROW())=C95),1,IF(AND(INDIRECT(A73&amp;ROW())=B95,INDIRECT(A96&amp;ROW())=C96),1,0))</f>
        <v>0</v>
      </c>
      <c r="K196">
        <f ca="1">DAYS360(INDIRECT(C68&amp;ROW()),TODAY())</f>
        <v>734</v>
      </c>
      <c r="L196">
        <f ca="1">DAYS360(INDIRECT(C69&amp;ROW()),TODAY())</f>
        <v>860</v>
      </c>
      <c r="M196">
        <f ca="1">HYPERLINK(CONCATENATE("https://bugzilla.houston.hp.com:1181/bugzilla/show_bug.cgi?id=",INDIRECT(C70&amp;ROW())),INDIRECT(C70&amp;ROW()))</f>
        <v>54734</v>
      </c>
      <c r="N196">
        <v>54734</v>
      </c>
      <c r="O196" t="s">
        <v>66</v>
      </c>
      <c r="P196" t="s">
        <v>510</v>
      </c>
      <c r="Q196" t="s">
        <v>16</v>
      </c>
      <c r="R196" t="s">
        <v>251</v>
      </c>
      <c r="S196" t="s">
        <v>36</v>
      </c>
      <c r="T196" t="s">
        <v>794</v>
      </c>
      <c r="U196" s="6">
        <v>42112.773888888885</v>
      </c>
      <c r="V196" t="s">
        <v>18</v>
      </c>
      <c r="W196" t="s">
        <v>17</v>
      </c>
      <c r="X196" s="6">
        <v>41985.403136574074</v>
      </c>
      <c r="Y196" t="s">
        <v>122</v>
      </c>
      <c r="AB196" t="s">
        <v>201</v>
      </c>
      <c r="AC196" t="s">
        <v>247</v>
      </c>
      <c r="AD196" t="s">
        <v>220</v>
      </c>
      <c r="AE196" t="s">
        <v>223</v>
      </c>
      <c r="AG196" t="s">
        <v>121</v>
      </c>
      <c r="AH196" t="s">
        <v>327</v>
      </c>
      <c r="AI196" t="s">
        <v>121</v>
      </c>
      <c r="AJ196" t="s">
        <v>717</v>
      </c>
      <c r="AK196" t="s">
        <v>121</v>
      </c>
    </row>
    <row r="197" spans="9:37" x14ac:dyDescent="0.3">
      <c r="I197">
        <f ca="1">IF(OR(INDIRECT(A73&amp;ROW())=B93,INDIRECT(A73&amp;ROW())=B94),1,IF(AND(INDIRECT(A73&amp;ROW())=B95,INDIRECT(A96&amp;ROW())=C93),1,IF(AND(INDIRECT(A73&amp;ROW())=B95,INDIRECT(A96&amp;ROW())=C94),1,0)))</f>
        <v>0</v>
      </c>
      <c r="J197">
        <f ca="1">IF(AND(INDIRECT(A73&amp;ROW())=B95,INDIRECT(A96&amp;ROW())=C95),1,IF(AND(INDIRECT(A73&amp;ROW())=B95,INDIRECT(A96&amp;ROW())=C96),1,0))</f>
        <v>0</v>
      </c>
      <c r="K197">
        <f ca="1">DAYS360(INDIRECT(C68&amp;ROW()),TODAY())</f>
        <v>734</v>
      </c>
      <c r="L197">
        <f ca="1">DAYS360(INDIRECT(C69&amp;ROW()),TODAY())</f>
        <v>860</v>
      </c>
      <c r="M197">
        <f ca="1">HYPERLINK(CONCATENATE("https://bugzilla.houston.hp.com:1181/bugzilla/show_bug.cgi?id=",INDIRECT(C70&amp;ROW())),INDIRECT(C70&amp;ROW()))</f>
        <v>54736</v>
      </c>
      <c r="N197">
        <v>54736</v>
      </c>
      <c r="O197" t="s">
        <v>66</v>
      </c>
      <c r="P197" t="s">
        <v>509</v>
      </c>
      <c r="Q197" t="s">
        <v>16</v>
      </c>
      <c r="R197" t="s">
        <v>248</v>
      </c>
      <c r="S197" t="s">
        <v>36</v>
      </c>
      <c r="T197" t="s">
        <v>794</v>
      </c>
      <c r="U197" s="6">
        <v>42112.773912037039</v>
      </c>
      <c r="V197" t="s">
        <v>18</v>
      </c>
      <c r="W197" t="s">
        <v>17</v>
      </c>
      <c r="X197" s="6">
        <v>41985.403819444444</v>
      </c>
      <c r="Y197" t="s">
        <v>122</v>
      </c>
      <c r="AB197" t="s">
        <v>201</v>
      </c>
      <c r="AC197" t="s">
        <v>247</v>
      </c>
      <c r="AD197" t="s">
        <v>220</v>
      </c>
      <c r="AE197" t="s">
        <v>223</v>
      </c>
      <c r="AG197" t="s">
        <v>121</v>
      </c>
      <c r="AH197" t="s">
        <v>327</v>
      </c>
      <c r="AI197" t="s">
        <v>121</v>
      </c>
      <c r="AJ197" t="s">
        <v>716</v>
      </c>
      <c r="AK197" t="s">
        <v>121</v>
      </c>
    </row>
    <row r="198" spans="9:37" x14ac:dyDescent="0.3">
      <c r="I198">
        <f ca="1">IF(OR(INDIRECT(A73&amp;ROW())=B93,INDIRECT(A73&amp;ROW())=B94),1,IF(AND(INDIRECT(A73&amp;ROW())=B95,INDIRECT(A96&amp;ROW())=C93),1,IF(AND(INDIRECT(A73&amp;ROW())=B95,INDIRECT(A96&amp;ROW())=C94),1,0)))</f>
        <v>1</v>
      </c>
      <c r="J198">
        <f ca="1">IF(AND(INDIRECT(A73&amp;ROW())=B95,INDIRECT(A96&amp;ROW())=C95),1,IF(AND(INDIRECT(A73&amp;ROW())=B95,INDIRECT(A96&amp;ROW())=C96),1,0))</f>
        <v>0</v>
      </c>
      <c r="K198">
        <f ca="1">DAYS360(INDIRECT(C68&amp;ROW()),TODAY())</f>
        <v>721</v>
      </c>
      <c r="L198">
        <f ca="1">DAYS360(INDIRECT(C69&amp;ROW()),TODAY())</f>
        <v>857</v>
      </c>
      <c r="M198">
        <f ca="1">HYPERLINK(CONCATENATE("https://bugzilla.houston.hp.com:1181/bugzilla/show_bug.cgi?id=",INDIRECT(C70&amp;ROW())),INDIRECT(C70&amp;ROW()))</f>
        <v>54823</v>
      </c>
      <c r="N198">
        <v>54823</v>
      </c>
      <c r="O198" t="s">
        <v>45</v>
      </c>
      <c r="P198" t="s">
        <v>524</v>
      </c>
      <c r="Q198" t="s">
        <v>25</v>
      </c>
      <c r="R198" t="s">
        <v>251</v>
      </c>
      <c r="S198" t="s">
        <v>345</v>
      </c>
      <c r="U198" s="6">
        <v>42125.67114583333</v>
      </c>
      <c r="V198" t="s">
        <v>18</v>
      </c>
      <c r="W198" t="s">
        <v>17</v>
      </c>
      <c r="X198" s="6">
        <v>41988.671932870369</v>
      </c>
      <c r="Y198" t="s">
        <v>244</v>
      </c>
      <c r="AB198" t="s">
        <v>200</v>
      </c>
      <c r="AC198" t="s">
        <v>247</v>
      </c>
      <c r="AD198" t="s">
        <v>227</v>
      </c>
      <c r="AE198" t="s">
        <v>226</v>
      </c>
      <c r="AG198" t="s">
        <v>121</v>
      </c>
      <c r="AH198" t="s">
        <v>327</v>
      </c>
      <c r="AI198" t="s">
        <v>121</v>
      </c>
      <c r="AJ198" t="s">
        <v>715</v>
      </c>
      <c r="AK198" t="s">
        <v>121</v>
      </c>
    </row>
    <row r="199" spans="9:37" x14ac:dyDescent="0.3">
      <c r="I199">
        <f ca="1">IF(OR(INDIRECT(A73&amp;ROW())=B93,INDIRECT(A73&amp;ROW())=B94),1,IF(AND(INDIRECT(A73&amp;ROW())=B95,INDIRECT(A96&amp;ROW())=C93),1,IF(AND(INDIRECT(A73&amp;ROW())=B95,INDIRECT(A96&amp;ROW())=C94),1,0)))</f>
        <v>1</v>
      </c>
      <c r="J199">
        <f ca="1">IF(AND(INDIRECT(A73&amp;ROW())=B95,INDIRECT(A96&amp;ROW())=C95),1,IF(AND(INDIRECT(A73&amp;ROW())=B95,INDIRECT(A96&amp;ROW())=C96),1,0))</f>
        <v>0</v>
      </c>
      <c r="K199">
        <f ca="1">DAYS360(INDIRECT(C68&amp;ROW()),TODAY())</f>
        <v>769</v>
      </c>
      <c r="L199">
        <f ca="1">DAYS360(INDIRECT(C69&amp;ROW()),TODAY())</f>
        <v>856</v>
      </c>
      <c r="M199">
        <f ca="1">HYPERLINK(CONCATENATE("https://bugzilla.houston.hp.com:1181/bugzilla/show_bug.cgi?id=",INDIRECT(C70&amp;ROW())),INDIRECT(C70&amp;ROW()))</f>
        <v>54867</v>
      </c>
      <c r="N199">
        <v>54867</v>
      </c>
      <c r="O199" t="s">
        <v>740</v>
      </c>
      <c r="P199" t="s">
        <v>513</v>
      </c>
      <c r="Q199" t="s">
        <v>25</v>
      </c>
      <c r="R199" t="s">
        <v>289</v>
      </c>
      <c r="S199" t="s">
        <v>36</v>
      </c>
      <c r="U199" s="6">
        <v>42076.53800925926</v>
      </c>
      <c r="V199" t="s">
        <v>18</v>
      </c>
      <c r="W199" t="s">
        <v>17</v>
      </c>
      <c r="X199" s="6">
        <v>41989.384004629632</v>
      </c>
      <c r="Y199" t="s">
        <v>244</v>
      </c>
      <c r="AB199" t="s">
        <v>200</v>
      </c>
      <c r="AC199" t="s">
        <v>247</v>
      </c>
      <c r="AD199" t="s">
        <v>227</v>
      </c>
      <c r="AE199" t="s">
        <v>230</v>
      </c>
      <c r="AG199" t="s">
        <v>121</v>
      </c>
      <c r="AH199" t="s">
        <v>327</v>
      </c>
      <c r="AI199" t="s">
        <v>362</v>
      </c>
      <c r="AJ199" t="s">
        <v>715</v>
      </c>
      <c r="AK199" t="s">
        <v>121</v>
      </c>
    </row>
    <row r="200" spans="9:37" x14ac:dyDescent="0.3">
      <c r="I200">
        <f ca="1">IF(OR(INDIRECT(A73&amp;ROW())=B93,INDIRECT(A73&amp;ROW())=B94),1,IF(AND(INDIRECT(A73&amp;ROW())=B95,INDIRECT(A96&amp;ROW())=C93),1,IF(AND(INDIRECT(A73&amp;ROW())=B95,INDIRECT(A96&amp;ROW())=C94),1,0)))</f>
        <v>1</v>
      </c>
      <c r="J200">
        <f ca="1">IF(AND(INDIRECT(A73&amp;ROW())=B95,INDIRECT(A96&amp;ROW())=C95),1,IF(AND(INDIRECT(A73&amp;ROW())=B95,INDIRECT(A96&amp;ROW())=C96),1,0))</f>
        <v>0</v>
      </c>
      <c r="K200">
        <f ca="1">DAYS360(INDIRECT(C68&amp;ROW()),TODAY())</f>
        <v>721</v>
      </c>
      <c r="L200">
        <f ca="1">DAYS360(INDIRECT(C69&amp;ROW()),TODAY())</f>
        <v>856</v>
      </c>
      <c r="M200">
        <f ca="1">HYPERLINK(CONCATENATE("https://bugzilla.houston.hp.com:1181/bugzilla/show_bug.cgi?id=",INDIRECT(C70&amp;ROW())),INDIRECT(C70&amp;ROW()))</f>
        <v>54868</v>
      </c>
      <c r="N200">
        <v>54868</v>
      </c>
      <c r="O200" t="s">
        <v>45</v>
      </c>
      <c r="P200" t="s">
        <v>522</v>
      </c>
      <c r="Q200" t="s">
        <v>25</v>
      </c>
      <c r="R200" t="s">
        <v>248</v>
      </c>
      <c r="S200" t="s">
        <v>36</v>
      </c>
      <c r="U200" s="6">
        <v>42125.671122685184</v>
      </c>
      <c r="V200" t="s">
        <v>18</v>
      </c>
      <c r="W200" t="s">
        <v>17</v>
      </c>
      <c r="X200" s="6">
        <v>41989.384074074071</v>
      </c>
      <c r="Y200" t="s">
        <v>244</v>
      </c>
      <c r="AB200" t="s">
        <v>200</v>
      </c>
      <c r="AC200" t="s">
        <v>247</v>
      </c>
      <c r="AD200" t="s">
        <v>227</v>
      </c>
      <c r="AE200" t="s">
        <v>226</v>
      </c>
      <c r="AG200" t="s">
        <v>121</v>
      </c>
      <c r="AH200" t="s">
        <v>327</v>
      </c>
      <c r="AI200" t="s">
        <v>121</v>
      </c>
      <c r="AJ200" t="s">
        <v>715</v>
      </c>
      <c r="AK200" t="s">
        <v>121</v>
      </c>
    </row>
    <row r="201" spans="9:37" x14ac:dyDescent="0.3">
      <c r="I201">
        <f ca="1">IF(OR(INDIRECT(A73&amp;ROW())=B93,INDIRECT(A73&amp;ROW())=B94),1,IF(AND(INDIRECT(A73&amp;ROW())=B95,INDIRECT(A96&amp;ROW())=C93),1,IF(AND(INDIRECT(A73&amp;ROW())=B95,INDIRECT(A96&amp;ROW())=C94),1,0)))</f>
        <v>0</v>
      </c>
      <c r="J201">
        <f ca="1">IF(AND(INDIRECT(A73&amp;ROW())=B95,INDIRECT(A96&amp;ROW())=C95),1,IF(AND(INDIRECT(A73&amp;ROW())=B95,INDIRECT(A96&amp;ROW())=C96),1,0))</f>
        <v>0</v>
      </c>
      <c r="K201">
        <f ca="1">DAYS360(INDIRECT(C68&amp;ROW()),TODAY())</f>
        <v>718</v>
      </c>
      <c r="L201">
        <f ca="1">DAYS360(INDIRECT(C69&amp;ROW()),TODAY())</f>
        <v>856</v>
      </c>
      <c r="M201">
        <f ca="1">HYPERLINK(CONCATENATE("https://bugzilla.houston.hp.com:1181/bugzilla/show_bug.cgi?id=",INDIRECT(C70&amp;ROW())),INDIRECT(C70&amp;ROW()))</f>
        <v>54893</v>
      </c>
      <c r="N201">
        <v>54893</v>
      </c>
      <c r="O201" t="s">
        <v>21</v>
      </c>
      <c r="P201" t="s">
        <v>521</v>
      </c>
      <c r="Q201" t="s">
        <v>16</v>
      </c>
      <c r="R201" t="s">
        <v>251</v>
      </c>
      <c r="S201" t="s">
        <v>31</v>
      </c>
      <c r="U201" s="6">
        <v>42128.473263888889</v>
      </c>
      <c r="V201" t="s">
        <v>18</v>
      </c>
      <c r="W201" t="s">
        <v>17</v>
      </c>
      <c r="X201" s="6">
        <v>41989.673946759256</v>
      </c>
      <c r="Y201" t="s">
        <v>255</v>
      </c>
      <c r="AB201" t="s">
        <v>200</v>
      </c>
      <c r="AC201" t="s">
        <v>247</v>
      </c>
      <c r="AD201" t="s">
        <v>222</v>
      </c>
      <c r="AE201" t="s">
        <v>240</v>
      </c>
      <c r="AG201" t="s">
        <v>121</v>
      </c>
      <c r="AH201" t="s">
        <v>327</v>
      </c>
      <c r="AI201" t="s">
        <v>121</v>
      </c>
      <c r="AJ201" t="s">
        <v>716</v>
      </c>
      <c r="AK201" t="s">
        <v>121</v>
      </c>
    </row>
    <row r="202" spans="9:37" x14ac:dyDescent="0.3">
      <c r="I202">
        <f ca="1">IF(OR(INDIRECT(A73&amp;ROW())=B93,INDIRECT(A73&amp;ROW())=B94),1,IF(AND(INDIRECT(A73&amp;ROW())=B95,INDIRECT(A96&amp;ROW())=C93),1,IF(AND(INDIRECT(A73&amp;ROW())=B95,INDIRECT(A96&amp;ROW())=C94),1,0)))</f>
        <v>1</v>
      </c>
      <c r="J202">
        <f ca="1">IF(AND(INDIRECT(A73&amp;ROW())=B95,INDIRECT(A96&amp;ROW())=C95),1,IF(AND(INDIRECT(A73&amp;ROW())=B95,INDIRECT(A96&amp;ROW())=C96),1,0))</f>
        <v>0</v>
      </c>
      <c r="K202">
        <f ca="1">DAYS360(INDIRECT(C68&amp;ROW()),TODAY())</f>
        <v>710</v>
      </c>
      <c r="L202">
        <f ca="1">DAYS360(INDIRECT(C69&amp;ROW()),TODAY())</f>
        <v>855</v>
      </c>
      <c r="M202">
        <f ca="1">HYPERLINK(CONCATENATE("https://bugzilla.houston.hp.com:1181/bugzilla/show_bug.cgi?id=",INDIRECT(C70&amp;ROW())),INDIRECT(C70&amp;ROW()))</f>
        <v>54914</v>
      </c>
      <c r="N202">
        <v>54914</v>
      </c>
      <c r="O202" t="s">
        <v>156</v>
      </c>
      <c r="P202" t="s">
        <v>520</v>
      </c>
      <c r="Q202" t="s">
        <v>25</v>
      </c>
      <c r="R202" t="s">
        <v>251</v>
      </c>
      <c r="S202" t="s">
        <v>296</v>
      </c>
      <c r="U202" s="6">
        <v>42136.018703703703</v>
      </c>
      <c r="V202" t="s">
        <v>35</v>
      </c>
      <c r="W202" t="s">
        <v>17</v>
      </c>
      <c r="X202" s="6">
        <v>41990.217222222222</v>
      </c>
      <c r="Y202" t="s">
        <v>342</v>
      </c>
      <c r="AB202" t="s">
        <v>200</v>
      </c>
      <c r="AC202" t="s">
        <v>247</v>
      </c>
      <c r="AD202" t="s">
        <v>220</v>
      </c>
      <c r="AE202" t="s">
        <v>219</v>
      </c>
      <c r="AG202" t="s">
        <v>121</v>
      </c>
      <c r="AH202" t="s">
        <v>327</v>
      </c>
      <c r="AI202" t="s">
        <v>121</v>
      </c>
      <c r="AJ202" t="s">
        <v>715</v>
      </c>
      <c r="AK202" t="s">
        <v>121</v>
      </c>
    </row>
    <row r="203" spans="9:37" x14ac:dyDescent="0.3">
      <c r="I203">
        <f ca="1">IF(OR(INDIRECT(A73&amp;ROW())=B93,INDIRECT(A73&amp;ROW())=B94),1,IF(AND(INDIRECT(A73&amp;ROW())=B95,INDIRECT(A96&amp;ROW())=C93),1,IF(AND(INDIRECT(A73&amp;ROW())=B95,INDIRECT(A96&amp;ROW())=C94),1,0)))</f>
        <v>0</v>
      </c>
      <c r="J203">
        <f ca="1">IF(AND(INDIRECT(A73&amp;ROW())=B95,INDIRECT(A96&amp;ROW())=C95),1,IF(AND(INDIRECT(A73&amp;ROW())=B95,INDIRECT(A96&amp;ROW())=C96),1,0))</f>
        <v>1</v>
      </c>
      <c r="K203">
        <f ca="1">DAYS360(INDIRECT(C68&amp;ROW()),TODAY())</f>
        <v>771</v>
      </c>
      <c r="L203">
        <f ca="1">DAYS360(INDIRECT(C69&amp;ROW()),TODAY())</f>
        <v>854</v>
      </c>
      <c r="M203">
        <f ca="1">HYPERLINK(CONCATENATE("https://bugzilla.houston.hp.com:1181/bugzilla/show_bug.cgi?id=",INDIRECT(C70&amp;ROW())),INDIRECT(C70&amp;ROW()))</f>
        <v>54986</v>
      </c>
      <c r="N203">
        <v>54986</v>
      </c>
      <c r="O203" t="s">
        <v>94</v>
      </c>
      <c r="P203" t="s">
        <v>519</v>
      </c>
      <c r="Q203" t="s">
        <v>25</v>
      </c>
      <c r="R203" t="s">
        <v>251</v>
      </c>
      <c r="S203" t="s">
        <v>94</v>
      </c>
      <c r="U203" s="6">
        <v>42074.558310185188</v>
      </c>
      <c r="V203" t="s">
        <v>35</v>
      </c>
      <c r="W203" t="s">
        <v>17</v>
      </c>
      <c r="X203" s="6">
        <v>41991.504074074073</v>
      </c>
      <c r="Y203" t="s">
        <v>118</v>
      </c>
      <c r="AB203" t="s">
        <v>201</v>
      </c>
      <c r="AC203" t="s">
        <v>247</v>
      </c>
      <c r="AD203" t="s">
        <v>227</v>
      </c>
      <c r="AE203" t="s">
        <v>226</v>
      </c>
      <c r="AG203" t="s">
        <v>121</v>
      </c>
      <c r="AH203" t="s">
        <v>327</v>
      </c>
      <c r="AI203" t="s">
        <v>121</v>
      </c>
      <c r="AJ203" t="s">
        <v>716</v>
      </c>
      <c r="AK203" t="s">
        <v>121</v>
      </c>
    </row>
    <row r="204" spans="9:37" x14ac:dyDescent="0.3">
      <c r="I204">
        <f ca="1">IF(OR(INDIRECT(A73&amp;ROW())=B93,INDIRECT(A73&amp;ROW())=B94),1,IF(AND(INDIRECT(A73&amp;ROW())=B95,INDIRECT(A96&amp;ROW())=C93),1,IF(AND(INDIRECT(A73&amp;ROW())=B95,INDIRECT(A96&amp;ROW())=C94),1,0)))</f>
        <v>0</v>
      </c>
      <c r="J204">
        <f ca="1">IF(AND(INDIRECT(A73&amp;ROW())=B95,INDIRECT(A96&amp;ROW())=C95),1,IF(AND(INDIRECT(A73&amp;ROW())=B95,INDIRECT(A96&amp;ROW())=C96),1,0))</f>
        <v>1</v>
      </c>
      <c r="K204">
        <f ca="1">DAYS360(INDIRECT(C68&amp;ROW()),TODAY())</f>
        <v>769</v>
      </c>
      <c r="L204">
        <f ca="1">DAYS360(INDIRECT(C69&amp;ROW()),TODAY())</f>
        <v>854</v>
      </c>
      <c r="M204">
        <f ca="1">HYPERLINK(CONCATENATE("https://bugzilla.houston.hp.com:1181/bugzilla/show_bug.cgi?id=",INDIRECT(C70&amp;ROW())),INDIRECT(C70&amp;ROW()))</f>
        <v>54988</v>
      </c>
      <c r="N204">
        <v>54988</v>
      </c>
      <c r="O204" t="s">
        <v>94</v>
      </c>
      <c r="P204" t="s">
        <v>518</v>
      </c>
      <c r="Q204" t="s">
        <v>25</v>
      </c>
      <c r="R204" t="s">
        <v>248</v>
      </c>
      <c r="S204" t="s">
        <v>44</v>
      </c>
      <c r="U204" s="6">
        <v>42076.528506944444</v>
      </c>
      <c r="V204" t="s">
        <v>18</v>
      </c>
      <c r="W204" t="s">
        <v>17</v>
      </c>
      <c r="X204" s="6">
        <v>41991.541261574072</v>
      </c>
      <c r="Y204" t="s">
        <v>118</v>
      </c>
      <c r="AB204" t="s">
        <v>201</v>
      </c>
      <c r="AC204" t="s">
        <v>247</v>
      </c>
      <c r="AD204" t="s">
        <v>227</v>
      </c>
      <c r="AE204" t="s">
        <v>226</v>
      </c>
      <c r="AG204" t="s">
        <v>121</v>
      </c>
      <c r="AH204" t="s">
        <v>327</v>
      </c>
      <c r="AI204" t="s">
        <v>121</v>
      </c>
      <c r="AJ204" t="s">
        <v>716</v>
      </c>
      <c r="AK204" t="s">
        <v>121</v>
      </c>
    </row>
    <row r="205" spans="9:37" x14ac:dyDescent="0.3">
      <c r="I205">
        <f ca="1">IF(OR(INDIRECT(A73&amp;ROW())=B93,INDIRECT(A73&amp;ROW())=B94),1,IF(AND(INDIRECT(A73&amp;ROW())=B95,INDIRECT(A96&amp;ROW())=C93),1,IF(AND(INDIRECT(A73&amp;ROW())=B95,INDIRECT(A96&amp;ROW())=C94),1,0)))</f>
        <v>0</v>
      </c>
      <c r="J205">
        <f ca="1">IF(AND(INDIRECT(A73&amp;ROW())=B95,INDIRECT(A96&amp;ROW())=C95),1,IF(AND(INDIRECT(A73&amp;ROW())=B95,INDIRECT(A96&amp;ROW())=C96),1,0))</f>
        <v>0</v>
      </c>
      <c r="K205">
        <f ca="1">DAYS360(INDIRECT(C68&amp;ROW()),TODAY())</f>
        <v>691</v>
      </c>
      <c r="L205">
        <f ca="1">DAYS360(INDIRECT(C69&amp;ROW()),TODAY())</f>
        <v>854</v>
      </c>
      <c r="M205">
        <f ca="1">HYPERLINK(CONCATENATE("https://bugzilla.houston.hp.com:1181/bugzilla/show_bug.cgi?id=",INDIRECT(C70&amp;ROW())),INDIRECT(C70&amp;ROW()))</f>
        <v>54992</v>
      </c>
      <c r="N205">
        <v>54992</v>
      </c>
      <c r="O205" t="s">
        <v>250</v>
      </c>
      <c r="P205" t="s">
        <v>517</v>
      </c>
      <c r="Q205" t="s">
        <v>16</v>
      </c>
      <c r="R205" t="s">
        <v>251</v>
      </c>
      <c r="S205" t="s">
        <v>24</v>
      </c>
      <c r="U205" s="6">
        <v>42156.491030092591</v>
      </c>
      <c r="V205" t="s">
        <v>18</v>
      </c>
      <c r="W205" t="s">
        <v>17</v>
      </c>
      <c r="X205" s="6">
        <v>41991.587407407409</v>
      </c>
      <c r="Y205" t="s">
        <v>255</v>
      </c>
      <c r="AB205" t="s">
        <v>200</v>
      </c>
      <c r="AC205" t="s">
        <v>247</v>
      </c>
      <c r="AD205" t="s">
        <v>222</v>
      </c>
      <c r="AE205" t="s">
        <v>221</v>
      </c>
      <c r="AG205" t="s">
        <v>121</v>
      </c>
      <c r="AH205" t="s">
        <v>327</v>
      </c>
      <c r="AI205" t="s">
        <v>121</v>
      </c>
      <c r="AJ205" t="s">
        <v>716</v>
      </c>
      <c r="AK205" t="s">
        <v>121</v>
      </c>
    </row>
    <row r="206" spans="9:37" x14ac:dyDescent="0.3">
      <c r="I206">
        <f ca="1">IF(OR(INDIRECT(A73&amp;ROW())=B93,INDIRECT(A73&amp;ROW())=B94),1,IF(AND(INDIRECT(A73&amp;ROW())=B95,INDIRECT(A96&amp;ROW())=C93),1,IF(AND(INDIRECT(A73&amp;ROW())=B95,INDIRECT(A96&amp;ROW())=C94),1,0)))</f>
        <v>1</v>
      </c>
      <c r="J206">
        <f ca="1">IF(AND(INDIRECT(A73&amp;ROW())=B95,INDIRECT(A96&amp;ROW())=C95),1,IF(AND(INDIRECT(A73&amp;ROW())=B95,INDIRECT(A96&amp;ROW())=C96),1,0))</f>
        <v>0</v>
      </c>
      <c r="K206">
        <f ca="1">DAYS360(INDIRECT(C68&amp;ROW()),TODAY())</f>
        <v>701</v>
      </c>
      <c r="L206">
        <f ca="1">DAYS360(INDIRECT(C69&amp;ROW()),TODAY())</f>
        <v>853</v>
      </c>
      <c r="M206">
        <f ca="1">HYPERLINK(CONCATENATE("https://bugzilla.houston.hp.com:1181/bugzilla/show_bug.cgi?id=",INDIRECT(C70&amp;ROW())),INDIRECT(C70&amp;ROW()))</f>
        <v>55017</v>
      </c>
      <c r="N206">
        <v>55017</v>
      </c>
      <c r="O206" t="s">
        <v>55</v>
      </c>
      <c r="P206" t="s">
        <v>539</v>
      </c>
      <c r="Q206" t="s">
        <v>25</v>
      </c>
      <c r="R206" t="s">
        <v>251</v>
      </c>
      <c r="S206" t="s">
        <v>516</v>
      </c>
      <c r="U206" s="6">
        <v>42145.412430555552</v>
      </c>
      <c r="V206" t="s">
        <v>40</v>
      </c>
      <c r="W206" t="s">
        <v>17</v>
      </c>
      <c r="X206" s="6">
        <v>41992.048368055555</v>
      </c>
      <c r="Y206" t="s">
        <v>342</v>
      </c>
      <c r="Z206" t="s">
        <v>810</v>
      </c>
      <c r="AB206" t="s">
        <v>200</v>
      </c>
      <c r="AC206" t="s">
        <v>247</v>
      </c>
      <c r="AD206" t="s">
        <v>220</v>
      </c>
      <c r="AE206" t="s">
        <v>219</v>
      </c>
      <c r="AG206" t="s">
        <v>121</v>
      </c>
      <c r="AH206" t="s">
        <v>327</v>
      </c>
      <c r="AI206" t="s">
        <v>121</v>
      </c>
      <c r="AJ206" t="s">
        <v>715</v>
      </c>
      <c r="AK206" t="s">
        <v>121</v>
      </c>
    </row>
    <row r="207" spans="9:37" x14ac:dyDescent="0.3">
      <c r="I207">
        <f ca="1">IF(OR(INDIRECT(A73&amp;ROW())=B93,INDIRECT(A73&amp;ROW())=B94),1,IF(AND(INDIRECT(A73&amp;ROW())=B95,INDIRECT(A96&amp;ROW())=C93),1,IF(AND(INDIRECT(A73&amp;ROW())=B95,INDIRECT(A96&amp;ROW())=C94),1,0)))</f>
        <v>1</v>
      </c>
      <c r="J207">
        <f ca="1">IF(AND(INDIRECT(A73&amp;ROW())=B95,INDIRECT(A96&amp;ROW())=C95),1,IF(AND(INDIRECT(A73&amp;ROW())=B95,INDIRECT(A96&amp;ROW())=C96),1,0))</f>
        <v>0</v>
      </c>
      <c r="K207">
        <f ca="1">DAYS360(INDIRECT(C68&amp;ROW()),TODAY())</f>
        <v>769</v>
      </c>
      <c r="L207">
        <f ca="1">DAYS360(INDIRECT(C69&amp;ROW()),TODAY())</f>
        <v>853</v>
      </c>
      <c r="M207">
        <f ca="1">HYPERLINK(CONCATENATE("https://bugzilla.houston.hp.com:1181/bugzilla/show_bug.cgi?id=",INDIRECT(C70&amp;ROW())),INDIRECT(C70&amp;ROW()))</f>
        <v>55057</v>
      </c>
      <c r="N207">
        <v>55057</v>
      </c>
      <c r="O207" t="s">
        <v>94</v>
      </c>
      <c r="P207" t="s">
        <v>515</v>
      </c>
      <c r="Q207" t="s">
        <v>25</v>
      </c>
      <c r="R207" t="s">
        <v>248</v>
      </c>
      <c r="S207" t="s">
        <v>36</v>
      </c>
      <c r="U207" s="6">
        <v>42076.539953703701</v>
      </c>
      <c r="V207" t="s">
        <v>18</v>
      </c>
      <c r="W207" t="s">
        <v>248</v>
      </c>
      <c r="X207" s="6">
        <v>41992.583391203705</v>
      </c>
      <c r="Y207" t="s">
        <v>119</v>
      </c>
      <c r="AB207" t="s">
        <v>200</v>
      </c>
      <c r="AC207" t="s">
        <v>247</v>
      </c>
      <c r="AD207" t="s">
        <v>227</v>
      </c>
      <c r="AE207" t="s">
        <v>226</v>
      </c>
      <c r="AG207" t="s">
        <v>121</v>
      </c>
      <c r="AH207" t="s">
        <v>327</v>
      </c>
      <c r="AI207" t="s">
        <v>121</v>
      </c>
      <c r="AJ207" t="s">
        <v>715</v>
      </c>
      <c r="AK207" t="s">
        <v>121</v>
      </c>
    </row>
    <row r="208" spans="9:37" x14ac:dyDescent="0.3">
      <c r="I208">
        <f ca="1">IF(OR(INDIRECT(A73&amp;ROW())=B93,INDIRECT(A73&amp;ROW())=B94),1,IF(AND(INDIRECT(A73&amp;ROW())=B95,INDIRECT(A96&amp;ROW())=C93),1,IF(AND(INDIRECT(A73&amp;ROW())=B95,INDIRECT(A96&amp;ROW())=C94),1,0)))</f>
        <v>0</v>
      </c>
      <c r="J208">
        <f ca="1">IF(AND(INDIRECT(A73&amp;ROW())=B95,INDIRECT(A96&amp;ROW())=C95),1,IF(AND(INDIRECT(A73&amp;ROW())=B95,INDIRECT(A96&amp;ROW())=C96),1,0))</f>
        <v>1</v>
      </c>
      <c r="K208">
        <f ca="1">DAYS360(INDIRECT(C68&amp;ROW()),TODAY())</f>
        <v>730</v>
      </c>
      <c r="L208">
        <f ca="1">DAYS360(INDIRECT(C69&amp;ROW()),TODAY())</f>
        <v>850</v>
      </c>
      <c r="M208">
        <f ca="1">HYPERLINK(CONCATENATE("https://bugzilla.houston.hp.com:1181/bugzilla/show_bug.cgi?id=",INDIRECT(C70&amp;ROW())),INDIRECT(C70&amp;ROW()))</f>
        <v>55094</v>
      </c>
      <c r="N208">
        <v>55094</v>
      </c>
      <c r="O208" t="s">
        <v>545</v>
      </c>
      <c r="P208" t="s">
        <v>530</v>
      </c>
      <c r="Q208" t="s">
        <v>25</v>
      </c>
      <c r="R208" t="s">
        <v>251</v>
      </c>
      <c r="S208" t="s">
        <v>316</v>
      </c>
      <c r="U208" s="6">
        <v>42116.73296296296</v>
      </c>
      <c r="V208" t="s">
        <v>40</v>
      </c>
      <c r="W208" t="s">
        <v>17</v>
      </c>
      <c r="X208" s="6">
        <v>41995.420844907407</v>
      </c>
      <c r="Y208" t="s">
        <v>255</v>
      </c>
      <c r="AB208" t="s">
        <v>201</v>
      </c>
      <c r="AC208" t="s">
        <v>247</v>
      </c>
      <c r="AD208" t="s">
        <v>222</v>
      </c>
      <c r="AE208" t="s">
        <v>221</v>
      </c>
      <c r="AG208" t="s">
        <v>121</v>
      </c>
      <c r="AH208" t="s">
        <v>327</v>
      </c>
      <c r="AI208" t="s">
        <v>121</v>
      </c>
      <c r="AJ208" t="s">
        <v>716</v>
      </c>
      <c r="AK208" t="s">
        <v>121</v>
      </c>
    </row>
    <row r="209" spans="1:37" x14ac:dyDescent="0.3">
      <c r="I209">
        <f ca="1">IF(OR(INDIRECT(A73&amp;ROW())=B93,INDIRECT(A73&amp;ROW())=B94),1,IF(AND(INDIRECT(A73&amp;ROW())=B95,INDIRECT(A96&amp;ROW())=C93),1,IF(AND(INDIRECT(A73&amp;ROW())=B95,INDIRECT(A96&amp;ROW())=C94),1,0)))</f>
        <v>0</v>
      </c>
      <c r="J209">
        <f ca="1">IF(AND(INDIRECT(A73&amp;ROW())=B95,INDIRECT(A96&amp;ROW())=C95),1,IF(AND(INDIRECT(A73&amp;ROW())=B95,INDIRECT(A96&amp;ROW())=C96),1,0))</f>
        <v>0</v>
      </c>
      <c r="K209">
        <f ca="1">DAYS360(INDIRECT(C68&amp;ROW()),TODAY())</f>
        <v>721</v>
      </c>
      <c r="L209">
        <f ca="1">DAYS360(INDIRECT(C69&amp;ROW()),TODAY())</f>
        <v>849</v>
      </c>
      <c r="M209">
        <f ca="1">HYPERLINK(CONCATENATE("https://bugzilla.houston.hp.com:1181/bugzilla/show_bug.cgi?id=",INDIRECT(C70&amp;ROW())),INDIRECT(C70&amp;ROW()))</f>
        <v>55128</v>
      </c>
      <c r="N209">
        <v>55128</v>
      </c>
      <c r="O209" t="s">
        <v>45</v>
      </c>
      <c r="P209" t="s">
        <v>529</v>
      </c>
      <c r="Q209" t="s">
        <v>16</v>
      </c>
      <c r="R209" t="s">
        <v>251</v>
      </c>
      <c r="S209" t="s">
        <v>45</v>
      </c>
      <c r="U209" s="6">
        <v>42125.44976851852</v>
      </c>
      <c r="V209" t="s">
        <v>18</v>
      </c>
      <c r="W209" t="s">
        <v>17</v>
      </c>
      <c r="X209" s="6">
        <v>41996.529907407406</v>
      </c>
      <c r="Y209" t="s">
        <v>122</v>
      </c>
      <c r="AB209" t="s">
        <v>200</v>
      </c>
      <c r="AC209" t="s">
        <v>247</v>
      </c>
      <c r="AD209" t="s">
        <v>227</v>
      </c>
      <c r="AE209" t="s">
        <v>226</v>
      </c>
      <c r="AG209" t="s">
        <v>121</v>
      </c>
      <c r="AH209" t="s">
        <v>327</v>
      </c>
      <c r="AI209" t="s">
        <v>121</v>
      </c>
      <c r="AJ209" t="s">
        <v>717</v>
      </c>
      <c r="AK209" t="s">
        <v>121</v>
      </c>
    </row>
    <row r="210" spans="1:37" x14ac:dyDescent="0.3">
      <c r="I210">
        <f ca="1">IF(OR(INDIRECT(A73&amp;ROW())=B93,INDIRECT(A73&amp;ROW())=B94),1,IF(AND(INDIRECT(A73&amp;ROW())=B95,INDIRECT(A96&amp;ROW())=C93),1,IF(AND(INDIRECT(A73&amp;ROW())=B95,INDIRECT(A96&amp;ROW())=C94),1,0)))</f>
        <v>0</v>
      </c>
      <c r="J210">
        <f ca="1">IF(AND(INDIRECT(A73&amp;ROW())=B95,INDIRECT(A96&amp;ROW())=C95),1,IF(AND(INDIRECT(A73&amp;ROW())=B95,INDIRECT(A96&amp;ROW())=C96),1,0))</f>
        <v>0</v>
      </c>
      <c r="K210">
        <f ca="1">DAYS360(INDIRECT(C68&amp;ROW()),TODAY())</f>
        <v>721</v>
      </c>
      <c r="L210">
        <f ca="1">DAYS360(INDIRECT(C69&amp;ROW()),TODAY())</f>
        <v>849</v>
      </c>
      <c r="M210">
        <f ca="1">HYPERLINK(CONCATENATE("https://bugzilla.houston.hp.com:1181/bugzilla/show_bug.cgi?id=",INDIRECT(C70&amp;ROW())),INDIRECT(C70&amp;ROW()))</f>
        <v>55129</v>
      </c>
      <c r="N210">
        <v>55129</v>
      </c>
      <c r="O210" t="s">
        <v>326</v>
      </c>
      <c r="P210" t="s">
        <v>534</v>
      </c>
      <c r="Q210" t="s">
        <v>16</v>
      </c>
      <c r="R210" t="s">
        <v>17</v>
      </c>
      <c r="S210" t="s">
        <v>45</v>
      </c>
      <c r="U210" s="6">
        <v>42125.449791666666</v>
      </c>
      <c r="V210" t="s">
        <v>18</v>
      </c>
      <c r="W210" t="s">
        <v>17</v>
      </c>
      <c r="X210" s="6">
        <v>41996.532210648147</v>
      </c>
      <c r="Y210" t="s">
        <v>122</v>
      </c>
      <c r="AB210" t="s">
        <v>200</v>
      </c>
      <c r="AC210" t="s">
        <v>247</v>
      </c>
      <c r="AD210" t="s">
        <v>227</v>
      </c>
      <c r="AE210" t="s">
        <v>230</v>
      </c>
      <c r="AG210" t="s">
        <v>121</v>
      </c>
      <c r="AH210" t="s">
        <v>327</v>
      </c>
      <c r="AI210" t="s">
        <v>362</v>
      </c>
      <c r="AJ210" t="s">
        <v>717</v>
      </c>
      <c r="AK210" t="s">
        <v>121</v>
      </c>
    </row>
    <row r="211" spans="1:37" x14ac:dyDescent="0.3">
      <c r="I211">
        <f ca="1">IF(OR(INDIRECT(A73&amp;ROW())=B93,INDIRECT(A73&amp;ROW())=B94),1,IF(AND(INDIRECT(A73&amp;ROW())=B95,INDIRECT(A96&amp;ROW())=C93),1,IF(AND(INDIRECT(A73&amp;ROW())=B95,INDIRECT(A96&amp;ROW())=C94),1,0)))</f>
        <v>0</v>
      </c>
      <c r="J211">
        <f ca="1">IF(AND(INDIRECT(A73&amp;ROW())=B95,INDIRECT(A96&amp;ROW())=C95),1,IF(AND(INDIRECT(A73&amp;ROW())=B95,INDIRECT(A96&amp;ROW())=C96),1,0))</f>
        <v>0</v>
      </c>
      <c r="K211">
        <f ca="1">DAYS360(INDIRECT(C68&amp;ROW()),TODAY())</f>
        <v>684</v>
      </c>
      <c r="L211">
        <f ca="1">DAYS360(INDIRECT(C69&amp;ROW()),TODAY())</f>
        <v>849</v>
      </c>
      <c r="M211">
        <f ca="1">HYPERLINK(CONCATENATE("https://bugzilla.houston.hp.com:1181/bugzilla/show_bug.cgi?id=",INDIRECT(C70&amp;ROW())),INDIRECT(C70&amp;ROW()))</f>
        <v>55130</v>
      </c>
      <c r="N211">
        <v>55130</v>
      </c>
      <c r="O211" t="s">
        <v>45</v>
      </c>
      <c r="P211" t="s">
        <v>533</v>
      </c>
      <c r="Q211" t="s">
        <v>16</v>
      </c>
      <c r="R211" t="s">
        <v>248</v>
      </c>
      <c r="S211" t="s">
        <v>45</v>
      </c>
      <c r="U211" s="6">
        <v>42163.610335648147</v>
      </c>
      <c r="V211" t="s">
        <v>18</v>
      </c>
      <c r="W211" t="s">
        <v>17</v>
      </c>
      <c r="X211" s="6">
        <v>41996.533703703702</v>
      </c>
      <c r="Y211" t="s">
        <v>122</v>
      </c>
      <c r="AB211" t="s">
        <v>200</v>
      </c>
      <c r="AC211" t="s">
        <v>247</v>
      </c>
      <c r="AD211" t="s">
        <v>227</v>
      </c>
      <c r="AE211" t="s">
        <v>226</v>
      </c>
      <c r="AG211" t="s">
        <v>121</v>
      </c>
      <c r="AH211" t="s">
        <v>327</v>
      </c>
      <c r="AI211" t="s">
        <v>121</v>
      </c>
      <c r="AJ211" t="s">
        <v>716</v>
      </c>
      <c r="AK211" t="s">
        <v>121</v>
      </c>
    </row>
    <row r="212" spans="1:37" x14ac:dyDescent="0.3">
      <c r="I212">
        <f ca="1">IF(OR(INDIRECT(A73&amp;ROW())=B93,INDIRECT(A73&amp;ROW())=B94),1,IF(AND(INDIRECT(A73&amp;ROW())=B95,INDIRECT(A96&amp;ROW())=C93),1,IF(AND(INDIRECT(A73&amp;ROW())=B95,INDIRECT(A96&amp;ROW())=C94),1,0)))</f>
        <v>0</v>
      </c>
      <c r="J212">
        <f ca="1">IF(AND(INDIRECT(A73&amp;ROW())=B95,INDIRECT(A96&amp;ROW())=C95),1,IF(AND(INDIRECT(A73&amp;ROW())=B95,INDIRECT(A96&amp;ROW())=C96),1,0))</f>
        <v>0</v>
      </c>
      <c r="K212">
        <f ca="1">DAYS360(INDIRECT(C68&amp;ROW()),TODAY())</f>
        <v>729</v>
      </c>
      <c r="L212">
        <f ca="1">DAYS360(INDIRECT(C69&amp;ROW()),TODAY())</f>
        <v>848</v>
      </c>
      <c r="M212">
        <f ca="1">HYPERLINK(CONCATENATE("https://bugzilla.houston.hp.com:1181/bugzilla/show_bug.cgi?id=",INDIRECT(C70&amp;ROW())),INDIRECT(C70&amp;ROW()))</f>
        <v>55135</v>
      </c>
      <c r="N212">
        <v>55135</v>
      </c>
      <c r="O212" t="s">
        <v>53</v>
      </c>
      <c r="P212" t="s">
        <v>532</v>
      </c>
      <c r="Q212" t="s">
        <v>16</v>
      </c>
      <c r="R212" t="s">
        <v>251</v>
      </c>
      <c r="S212" t="s">
        <v>528</v>
      </c>
      <c r="U212" s="6">
        <v>42117.404918981483</v>
      </c>
      <c r="V212" t="s">
        <v>35</v>
      </c>
      <c r="W212" t="s">
        <v>17</v>
      </c>
      <c r="X212" s="6">
        <v>41997.038680555554</v>
      </c>
      <c r="Y212" t="s">
        <v>123</v>
      </c>
      <c r="AB212" t="s">
        <v>200</v>
      </c>
      <c r="AC212" t="s">
        <v>247</v>
      </c>
      <c r="AD212" t="s">
        <v>220</v>
      </c>
      <c r="AE212" t="s">
        <v>219</v>
      </c>
      <c r="AG212" t="s">
        <v>121</v>
      </c>
      <c r="AH212" t="s">
        <v>327</v>
      </c>
      <c r="AI212" t="s">
        <v>121</v>
      </c>
      <c r="AJ212" t="s">
        <v>716</v>
      </c>
      <c r="AK212" t="s">
        <v>121</v>
      </c>
    </row>
    <row r="213" spans="1:37" x14ac:dyDescent="0.3">
      <c r="I213">
        <f ca="1">IF(OR(INDIRECT(A73&amp;ROW())=B93,INDIRECT(A73&amp;ROW())=B94),1,IF(AND(INDIRECT(A73&amp;ROW())=B95,INDIRECT(A96&amp;ROW())=C93),1,IF(AND(INDIRECT(A73&amp;ROW())=B95,INDIRECT(A96&amp;ROW())=C94),1,0)))</f>
        <v>0</v>
      </c>
      <c r="J213">
        <f ca="1">IF(AND(INDIRECT(A73&amp;ROW())=B95,INDIRECT(A96&amp;ROW())=C95),1,IF(AND(INDIRECT(A73&amp;ROW())=B95,INDIRECT(A96&amp;ROW())=C96),1,0))</f>
        <v>1</v>
      </c>
      <c r="K213">
        <f ca="1">DAYS360(INDIRECT(C68&amp;ROW()),TODAY())</f>
        <v>684</v>
      </c>
      <c r="L213">
        <f ca="1">DAYS360(INDIRECT(C69&amp;ROW()),TODAY())</f>
        <v>845</v>
      </c>
      <c r="M213">
        <f ca="1">HYPERLINK(CONCATENATE("https://bugzilla.houston.hp.com:1181/bugzilla/show_bug.cgi?id=",INDIRECT(C70&amp;ROW())),INDIRECT(C70&amp;ROW()))</f>
        <v>55139</v>
      </c>
      <c r="N213">
        <v>55139</v>
      </c>
      <c r="O213" t="s">
        <v>36</v>
      </c>
      <c r="P213" t="s">
        <v>527</v>
      </c>
      <c r="Q213" t="s">
        <v>25</v>
      </c>
      <c r="R213" t="s">
        <v>248</v>
      </c>
      <c r="S213" t="s">
        <v>526</v>
      </c>
      <c r="U213" s="6">
        <v>42163.610335648147</v>
      </c>
      <c r="V213" t="s">
        <v>18</v>
      </c>
      <c r="W213" t="s">
        <v>525</v>
      </c>
      <c r="X213" s="6">
        <v>42000.001817129632</v>
      </c>
      <c r="Y213" t="s">
        <v>255</v>
      </c>
      <c r="AB213" t="s">
        <v>201</v>
      </c>
      <c r="AC213" t="s">
        <v>247</v>
      </c>
      <c r="AD213" t="s">
        <v>222</v>
      </c>
      <c r="AE213" t="s">
        <v>221</v>
      </c>
      <c r="AG213" t="s">
        <v>121</v>
      </c>
      <c r="AH213" t="s">
        <v>327</v>
      </c>
      <c r="AI213" t="s">
        <v>121</v>
      </c>
      <c r="AJ213" t="s">
        <v>716</v>
      </c>
      <c r="AK213" t="s">
        <v>121</v>
      </c>
    </row>
    <row r="214" spans="1:37" x14ac:dyDescent="0.3">
      <c r="I214">
        <f ca="1">IF(OR(INDIRECT(A73&amp;ROW())=B93,INDIRECT(A73&amp;ROW())=B94),1,IF(AND(INDIRECT(A73&amp;ROW())=B95,INDIRECT(A96&amp;ROW())=C93),1,IF(AND(INDIRECT(A73&amp;ROW())=B95,INDIRECT(A96&amp;ROW())=C94),1,0)))</f>
        <v>0</v>
      </c>
      <c r="J214">
        <f ca="1">IF(AND(INDIRECT(A73&amp;ROW())=B95,INDIRECT(A96&amp;ROW())=C95),1,IF(AND(INDIRECT(A73&amp;ROW())=B95,INDIRECT(A96&amp;ROW())=C96),1,0))</f>
        <v>1</v>
      </c>
      <c r="K214">
        <f ca="1">DAYS360(INDIRECT(C68&amp;ROW()),TODAY())</f>
        <v>730</v>
      </c>
      <c r="L214">
        <f ca="1">DAYS360(INDIRECT(C69&amp;ROW()),TODAY())</f>
        <v>839</v>
      </c>
      <c r="M214">
        <f ca="1">HYPERLINK(CONCATENATE("https://bugzilla.houston.hp.com:1181/bugzilla/show_bug.cgi?id=",INDIRECT(C70&amp;ROW())),INDIRECT(C70&amp;ROW()))</f>
        <v>55159</v>
      </c>
      <c r="N214">
        <v>55159</v>
      </c>
      <c r="O214" t="s">
        <v>56</v>
      </c>
      <c r="P214" t="s">
        <v>739</v>
      </c>
      <c r="Q214" t="s">
        <v>25</v>
      </c>
      <c r="R214" t="s">
        <v>251</v>
      </c>
      <c r="S214" t="s">
        <v>587</v>
      </c>
      <c r="U214" s="6">
        <v>42116.733067129629</v>
      </c>
      <c r="V214" t="s">
        <v>18</v>
      </c>
      <c r="W214" t="s">
        <v>17</v>
      </c>
      <c r="X214" s="6">
        <v>42007.195254629631</v>
      </c>
      <c r="Y214" t="s">
        <v>255</v>
      </c>
      <c r="AB214" t="s">
        <v>201</v>
      </c>
      <c r="AC214" t="s">
        <v>247</v>
      </c>
      <c r="AD214" t="s">
        <v>220</v>
      </c>
      <c r="AE214" t="s">
        <v>219</v>
      </c>
      <c r="AG214" t="s">
        <v>121</v>
      </c>
      <c r="AH214" t="s">
        <v>327</v>
      </c>
      <c r="AI214" t="s">
        <v>121</v>
      </c>
      <c r="AJ214" t="s">
        <v>716</v>
      </c>
      <c r="AK214" t="s">
        <v>121</v>
      </c>
    </row>
    <row r="215" spans="1:37" x14ac:dyDescent="0.3">
      <c r="I215">
        <f ca="1">IF(OR(INDIRECT(A73&amp;ROW())=B93,INDIRECT(A73&amp;ROW())=B94),1,IF(AND(INDIRECT(A73&amp;ROW())=B95,INDIRECT(A96&amp;ROW())=C93),1,IF(AND(INDIRECT(A73&amp;ROW())=B95,INDIRECT(A96&amp;ROW())=C94),1,0)))</f>
        <v>0</v>
      </c>
      <c r="J215">
        <f ca="1">IF(AND(INDIRECT(A73&amp;ROW())=B95,INDIRECT(A96&amp;ROW())=C95),1,IF(AND(INDIRECT(A73&amp;ROW())=B95,INDIRECT(A96&amp;ROW())=C96),1,0))</f>
        <v>0</v>
      </c>
      <c r="K215">
        <f ca="1">DAYS360(INDIRECT(C68&amp;ROW()),TODAY())</f>
        <v>729</v>
      </c>
      <c r="L215">
        <f ca="1">DAYS360(INDIRECT(C69&amp;ROW()),TODAY())</f>
        <v>837</v>
      </c>
      <c r="M215">
        <f ca="1">HYPERLINK(CONCATENATE("https://bugzilla.houston.hp.com:1181/bugzilla/show_bug.cgi?id=",INDIRECT(C70&amp;ROW())),INDIRECT(C70&amp;ROW()))</f>
        <v>55198</v>
      </c>
      <c r="N215">
        <v>55198</v>
      </c>
      <c r="O215" t="s">
        <v>550</v>
      </c>
      <c r="P215" t="s">
        <v>538</v>
      </c>
      <c r="Q215" t="s">
        <v>16</v>
      </c>
      <c r="R215" t="s">
        <v>251</v>
      </c>
      <c r="S215" t="s">
        <v>345</v>
      </c>
      <c r="U215" s="6">
        <v>42117.405011574076</v>
      </c>
      <c r="V215" t="s">
        <v>35</v>
      </c>
      <c r="W215" t="s">
        <v>17</v>
      </c>
      <c r="X215" s="6">
        <v>42009.658854166664</v>
      </c>
      <c r="Y215" t="s">
        <v>246</v>
      </c>
      <c r="AB215" t="s">
        <v>200</v>
      </c>
      <c r="AC215" t="s">
        <v>247</v>
      </c>
      <c r="AD215" t="s">
        <v>222</v>
      </c>
      <c r="AE215" t="s">
        <v>221</v>
      </c>
      <c r="AG215" t="s">
        <v>121</v>
      </c>
      <c r="AH215" t="s">
        <v>327</v>
      </c>
      <c r="AI215" t="s">
        <v>121</v>
      </c>
      <c r="AJ215" t="s">
        <v>716</v>
      </c>
      <c r="AK215" t="s">
        <v>121</v>
      </c>
    </row>
    <row r="216" spans="1:37" x14ac:dyDescent="0.3">
      <c r="I216">
        <f ca="1">IF(OR(INDIRECT(A73&amp;ROW())=B93,INDIRECT(A73&amp;ROW())=B94),1,IF(AND(INDIRECT(A73&amp;ROW())=B95,INDIRECT(A96&amp;ROW())=C93),1,IF(AND(INDIRECT(A73&amp;ROW())=B95,INDIRECT(A96&amp;ROW())=C94),1,0)))</f>
        <v>0</v>
      </c>
      <c r="J216">
        <f ca="1">IF(AND(INDIRECT(A73&amp;ROW())=B95,INDIRECT(A96&amp;ROW())=C95),1,IF(AND(INDIRECT(A73&amp;ROW())=B95,INDIRECT(A96&amp;ROW())=C96),1,0))</f>
        <v>0</v>
      </c>
      <c r="K216">
        <f ca="1">DAYS360(INDIRECT(C68&amp;ROW()),TODAY())</f>
        <v>681</v>
      </c>
      <c r="L216">
        <f ca="1">DAYS360(INDIRECT(C69&amp;ROW()),TODAY())</f>
        <v>836</v>
      </c>
      <c r="M216">
        <f ca="1">HYPERLINK(CONCATENATE("https://bugzilla.houston.hp.com:1181/bugzilla/show_bug.cgi?id=",INDIRECT(C70&amp;ROW())),INDIRECT(C70&amp;ROW()))</f>
        <v>55222</v>
      </c>
      <c r="N216">
        <v>55222</v>
      </c>
      <c r="O216" t="s">
        <v>56</v>
      </c>
      <c r="P216" t="s">
        <v>586</v>
      </c>
      <c r="Q216" t="s">
        <v>16</v>
      </c>
      <c r="R216" t="s">
        <v>248</v>
      </c>
      <c r="S216" t="s">
        <v>44</v>
      </c>
      <c r="U216" s="6">
        <v>42166.355844907404</v>
      </c>
      <c r="V216" t="s">
        <v>18</v>
      </c>
      <c r="W216" t="s">
        <v>525</v>
      </c>
      <c r="X216" s="6">
        <v>42010.32135416667</v>
      </c>
      <c r="Y216" t="s">
        <v>246</v>
      </c>
      <c r="AB216" t="s">
        <v>200</v>
      </c>
      <c r="AC216" t="s">
        <v>247</v>
      </c>
      <c r="AD216" t="s">
        <v>220</v>
      </c>
      <c r="AE216" t="s">
        <v>219</v>
      </c>
      <c r="AG216" t="s">
        <v>121</v>
      </c>
      <c r="AH216" t="s">
        <v>327</v>
      </c>
      <c r="AI216" t="s">
        <v>121</v>
      </c>
      <c r="AJ216" t="s">
        <v>716</v>
      </c>
      <c r="AK216" t="s">
        <v>121</v>
      </c>
    </row>
    <row r="217" spans="1:37" x14ac:dyDescent="0.3">
      <c r="I217">
        <f ca="1">IF(OR(INDIRECT(A73&amp;ROW())=B93,INDIRECT(A73&amp;ROW())=B94),1,IF(AND(INDIRECT(A73&amp;ROW())=B95,INDIRECT(A96&amp;ROW())=C93),1,IF(AND(INDIRECT(A73&amp;ROW())=B95,INDIRECT(A96&amp;ROW())=C94),1,0)))</f>
        <v>0</v>
      </c>
      <c r="J217">
        <f ca="1">IF(AND(INDIRECT(A73&amp;ROW())=B95,INDIRECT(A96&amp;ROW())=C95),1,IF(AND(INDIRECT(A73&amp;ROW())=B95,INDIRECT(A96&amp;ROW())=C96),1,0))</f>
        <v>0</v>
      </c>
      <c r="K217">
        <f ca="1">DAYS360(INDIRECT(C68&amp;ROW()),TODAY())</f>
        <v>729</v>
      </c>
      <c r="L217">
        <f ca="1">DAYS360(INDIRECT(C69&amp;ROW()),TODAY())</f>
        <v>836</v>
      </c>
      <c r="M217">
        <f ca="1">HYPERLINK(CONCATENATE("https://bugzilla.houston.hp.com:1181/bugzilla/show_bug.cgi?id=",INDIRECT(C70&amp;ROW())),INDIRECT(C70&amp;ROW()))</f>
        <v>55269</v>
      </c>
      <c r="N217">
        <v>55269</v>
      </c>
      <c r="O217" t="s">
        <v>55</v>
      </c>
      <c r="P217" t="s">
        <v>537</v>
      </c>
      <c r="Q217" t="s">
        <v>16</v>
      </c>
      <c r="R217" t="s">
        <v>251</v>
      </c>
      <c r="S217" t="s">
        <v>49</v>
      </c>
      <c r="U217" s="6">
        <v>42117.405115740738</v>
      </c>
      <c r="V217" t="s">
        <v>18</v>
      </c>
      <c r="W217" t="s">
        <v>17</v>
      </c>
      <c r="X217" s="6">
        <v>42010.692233796297</v>
      </c>
      <c r="Y217" t="s">
        <v>245</v>
      </c>
      <c r="AB217" t="s">
        <v>200</v>
      </c>
      <c r="AC217" t="s">
        <v>247</v>
      </c>
      <c r="AD217" t="s">
        <v>222</v>
      </c>
      <c r="AE217" t="s">
        <v>225</v>
      </c>
      <c r="AG217" t="s">
        <v>121</v>
      </c>
      <c r="AH217" t="s">
        <v>327</v>
      </c>
      <c r="AI217" t="s">
        <v>121</v>
      </c>
      <c r="AJ217" t="s">
        <v>717</v>
      </c>
      <c r="AK217" t="s">
        <v>121</v>
      </c>
    </row>
    <row r="218" spans="1:37" x14ac:dyDescent="0.3">
      <c r="I218">
        <f ca="1">IF(OR(INDIRECT(A73&amp;ROW())=B93,INDIRECT(A73&amp;ROW())=B94),1,IF(AND(INDIRECT(A73&amp;ROW())=B95,INDIRECT(A96&amp;ROW())=C93),1,IF(AND(INDIRECT(A73&amp;ROW())=B95,INDIRECT(A96&amp;ROW())=C94),1,0)))</f>
        <v>0</v>
      </c>
      <c r="J218">
        <f ca="1">IF(AND(INDIRECT(A73&amp;ROW())=B95,INDIRECT(A96&amp;ROW())=C95),1,IF(AND(INDIRECT(A73&amp;ROW())=B95,INDIRECT(A96&amp;ROW())=C96),1,0))</f>
        <v>0</v>
      </c>
      <c r="K218">
        <f ca="1">DAYS360(INDIRECT(C68&amp;ROW()),TODAY())</f>
        <v>835</v>
      </c>
      <c r="L218">
        <f ca="1">DAYS360(INDIRECT(C69&amp;ROW()),TODAY())</f>
        <v>835</v>
      </c>
      <c r="M218">
        <f ca="1">HYPERLINK(CONCATENATE("https://bugzilla.houston.hp.com:1181/bugzilla/show_bug.cgi?id=",INDIRECT(C70&amp;ROW())),INDIRECT(C70&amp;ROW()))</f>
        <v>55302</v>
      </c>
      <c r="N218">
        <v>55302</v>
      </c>
      <c r="O218" t="s">
        <v>31</v>
      </c>
      <c r="P218" t="s">
        <v>536</v>
      </c>
      <c r="Q218" t="s">
        <v>16</v>
      </c>
      <c r="R218" t="s">
        <v>248</v>
      </c>
      <c r="S218" t="s">
        <v>36</v>
      </c>
      <c r="U218" s="6">
        <v>42011.331990740742</v>
      </c>
      <c r="V218" t="s">
        <v>18</v>
      </c>
      <c r="W218" t="s">
        <v>32</v>
      </c>
      <c r="X218" s="6">
        <v>42011.331990740742</v>
      </c>
      <c r="Y218" t="s">
        <v>119</v>
      </c>
      <c r="AB218" t="s">
        <v>200</v>
      </c>
      <c r="AC218" t="s">
        <v>121</v>
      </c>
      <c r="AD218" t="s">
        <v>220</v>
      </c>
      <c r="AE218" t="s">
        <v>219</v>
      </c>
      <c r="AG218" t="s">
        <v>121</v>
      </c>
      <c r="AH218" t="s">
        <v>327</v>
      </c>
      <c r="AI218" t="s">
        <v>121</v>
      </c>
      <c r="AJ218" t="s">
        <v>716</v>
      </c>
      <c r="AK218" t="s">
        <v>121</v>
      </c>
    </row>
    <row r="219" spans="1:37" x14ac:dyDescent="0.3">
      <c r="I219">
        <f ca="1">IF(OR(INDIRECT(A73&amp;ROW())=B93,INDIRECT(A73&amp;ROW())=B94),1,IF(AND(INDIRECT(A73&amp;ROW())=B95,INDIRECT(A96&amp;ROW())=C93),1,IF(AND(INDIRECT(A73&amp;ROW())=B95,INDIRECT(A96&amp;ROW())=C94),1,0)))</f>
        <v>0</v>
      </c>
      <c r="J219">
        <f ca="1">IF(AND(INDIRECT(A73&amp;ROW())=B95,INDIRECT(A96&amp;ROW())=C95),1,IF(AND(INDIRECT(A73&amp;ROW())=B95,INDIRECT(A96&amp;ROW())=C96),1,0))</f>
        <v>1</v>
      </c>
      <c r="K219">
        <f ca="1">DAYS360(INDIRECT(C68&amp;ROW()),TODAY())</f>
        <v>721</v>
      </c>
      <c r="L219">
        <f ca="1">DAYS360(INDIRECT(C69&amp;ROW()),TODAY())</f>
        <v>835</v>
      </c>
      <c r="M219">
        <f ca="1">HYPERLINK(CONCATENATE("https://bugzilla.houston.hp.com:1181/bugzilla/show_bug.cgi?id=",INDIRECT(C70&amp;ROW())),INDIRECT(C70&amp;ROW()))</f>
        <v>55314</v>
      </c>
      <c r="N219">
        <v>55314</v>
      </c>
      <c r="O219" t="s">
        <v>55</v>
      </c>
      <c r="P219" t="s">
        <v>542</v>
      </c>
      <c r="Q219" t="s">
        <v>25</v>
      </c>
      <c r="R219" t="s">
        <v>251</v>
      </c>
      <c r="S219" t="s">
        <v>43</v>
      </c>
      <c r="U219" s="6">
        <v>42125.44972222222</v>
      </c>
      <c r="V219" t="s">
        <v>18</v>
      </c>
      <c r="W219" t="s">
        <v>17</v>
      </c>
      <c r="X219" s="6">
        <v>42011.547847222224</v>
      </c>
      <c r="Y219" t="s">
        <v>122</v>
      </c>
      <c r="AB219" t="s">
        <v>201</v>
      </c>
      <c r="AC219" t="s">
        <v>247</v>
      </c>
      <c r="AD219" t="s">
        <v>220</v>
      </c>
      <c r="AE219" t="s">
        <v>219</v>
      </c>
      <c r="AG219" t="s">
        <v>121</v>
      </c>
      <c r="AH219" t="s">
        <v>327</v>
      </c>
      <c r="AI219" t="s">
        <v>121</v>
      </c>
      <c r="AJ219" t="s">
        <v>716</v>
      </c>
      <c r="AK219" t="s">
        <v>121</v>
      </c>
    </row>
    <row r="220" spans="1:37" x14ac:dyDescent="0.3">
      <c r="A220" s="11"/>
      <c r="I220">
        <f ca="1">IF(OR(INDIRECT(A73&amp;ROW())=B93,INDIRECT(A73&amp;ROW())=B94),1,IF(AND(INDIRECT(A73&amp;ROW())=B95,INDIRECT(A96&amp;ROW())=C93),1,IF(AND(INDIRECT(A73&amp;ROW())=B95,INDIRECT(A96&amp;ROW())=C94),1,0)))</f>
        <v>0</v>
      </c>
      <c r="J220">
        <f ca="1">IF(AND(INDIRECT(A73&amp;ROW())=B95,INDIRECT(A96&amp;ROW())=C95),1,IF(AND(INDIRECT(A73&amp;ROW())=B95,INDIRECT(A96&amp;ROW())=C96),1,0))</f>
        <v>1</v>
      </c>
      <c r="K220">
        <f ca="1">DAYS360(INDIRECT(C68&amp;ROW()),TODAY())</f>
        <v>721</v>
      </c>
      <c r="L220">
        <f ca="1">DAYS360(INDIRECT(C69&amp;ROW()),TODAY())</f>
        <v>835</v>
      </c>
      <c r="M220">
        <f ca="1">HYPERLINK(CONCATENATE("https://bugzilla.houston.hp.com:1181/bugzilla/show_bug.cgi?id=",INDIRECT(C70&amp;ROW())),INDIRECT(C70&amp;ROW()))</f>
        <v>55316</v>
      </c>
      <c r="N220">
        <v>55316</v>
      </c>
      <c r="O220" t="s">
        <v>56</v>
      </c>
      <c r="P220" t="s">
        <v>541</v>
      </c>
      <c r="Q220" t="s">
        <v>25</v>
      </c>
      <c r="R220" t="s">
        <v>248</v>
      </c>
      <c r="S220" t="s">
        <v>43</v>
      </c>
      <c r="U220" s="6">
        <v>42125.449699074074</v>
      </c>
      <c r="V220" t="s">
        <v>18</v>
      </c>
      <c r="W220" t="s">
        <v>372</v>
      </c>
      <c r="X220" s="6">
        <v>42011.550023148149</v>
      </c>
      <c r="Y220" t="s">
        <v>122</v>
      </c>
      <c r="AB220" t="s">
        <v>201</v>
      </c>
      <c r="AC220" t="s">
        <v>247</v>
      </c>
      <c r="AD220" t="s">
        <v>220</v>
      </c>
      <c r="AE220" t="s">
        <v>219</v>
      </c>
      <c r="AG220" t="s">
        <v>121</v>
      </c>
      <c r="AH220" t="s">
        <v>327</v>
      </c>
      <c r="AI220" t="s">
        <v>121</v>
      </c>
      <c r="AJ220" t="s">
        <v>716</v>
      </c>
      <c r="AK220" t="s">
        <v>121</v>
      </c>
    </row>
    <row r="221" spans="1:37" x14ac:dyDescent="0.3">
      <c r="I221">
        <f ca="1">IF(OR(INDIRECT(A73&amp;ROW())=B93,INDIRECT(A73&amp;ROW())=B94),1,IF(AND(INDIRECT(A73&amp;ROW())=B95,INDIRECT(A96&amp;ROW())=C93),1,IF(AND(INDIRECT(A73&amp;ROW())=B95,INDIRECT(A96&amp;ROW())=C94),1,0)))</f>
        <v>0</v>
      </c>
      <c r="J221">
        <f ca="1">IF(AND(INDIRECT(A73&amp;ROW())=B95,INDIRECT(A96&amp;ROW())=C95),1,IF(AND(INDIRECT(A73&amp;ROW())=B95,INDIRECT(A96&amp;ROW())=C96),1,0))</f>
        <v>1</v>
      </c>
      <c r="K221">
        <f ca="1">DAYS360(INDIRECT(C68&amp;ROW()),TODAY())</f>
        <v>684</v>
      </c>
      <c r="L221">
        <f ca="1">DAYS360(INDIRECT(C69&amp;ROW()),TODAY())</f>
        <v>833</v>
      </c>
      <c r="M221">
        <f ca="1">HYPERLINK(CONCATENATE("https://bugzilla.houston.hp.com:1181/bugzilla/show_bug.cgi?id=",INDIRECT(C70&amp;ROW())),INDIRECT(C70&amp;ROW()))</f>
        <v>55416</v>
      </c>
      <c r="N221">
        <v>55416</v>
      </c>
      <c r="O221" t="s">
        <v>56</v>
      </c>
      <c r="P221" t="s">
        <v>544</v>
      </c>
      <c r="Q221" t="s">
        <v>25</v>
      </c>
      <c r="R221" t="s">
        <v>248</v>
      </c>
      <c r="S221" t="s">
        <v>36</v>
      </c>
      <c r="U221" s="6">
        <v>42163.61037037037</v>
      </c>
      <c r="V221" t="s">
        <v>18</v>
      </c>
      <c r="W221" t="s">
        <v>343</v>
      </c>
      <c r="X221" s="6">
        <v>42013.560266203705</v>
      </c>
      <c r="Y221" t="s">
        <v>122</v>
      </c>
      <c r="AB221" t="s">
        <v>201</v>
      </c>
      <c r="AC221" t="s">
        <v>247</v>
      </c>
      <c r="AD221" t="s">
        <v>220</v>
      </c>
      <c r="AE221" t="s">
        <v>219</v>
      </c>
      <c r="AG221" t="s">
        <v>121</v>
      </c>
      <c r="AH221" t="s">
        <v>327</v>
      </c>
      <c r="AI221" t="s">
        <v>121</v>
      </c>
      <c r="AJ221" t="s">
        <v>716</v>
      </c>
      <c r="AK221" t="s">
        <v>121</v>
      </c>
    </row>
    <row r="222" spans="1:37" x14ac:dyDescent="0.3">
      <c r="I222">
        <f ca="1">IF(OR(INDIRECT(A73&amp;ROW())=B93,INDIRECT(A73&amp;ROW())=B94),1,IF(AND(INDIRECT(A73&amp;ROW())=B95,INDIRECT(A96&amp;ROW())=C93),1,IF(AND(INDIRECT(A73&amp;ROW())=B95,INDIRECT(A96&amp;ROW())=C94),1,0)))</f>
        <v>0</v>
      </c>
      <c r="J222">
        <f ca="1">IF(AND(INDIRECT(A73&amp;ROW())=B95,INDIRECT(A96&amp;ROW())=C95),1,IF(AND(INDIRECT(A73&amp;ROW())=B95,INDIRECT(A96&amp;ROW())=C96),1,0))</f>
        <v>0</v>
      </c>
      <c r="K222">
        <f ca="1">DAYS360(INDIRECT(C68&amp;ROW()),TODAY())</f>
        <v>721</v>
      </c>
      <c r="L222">
        <f ca="1">DAYS360(INDIRECT(C69&amp;ROW()),TODAY())</f>
        <v>833</v>
      </c>
      <c r="M222">
        <f ca="1">HYPERLINK(CONCATENATE("https://bugzilla.houston.hp.com:1181/bugzilla/show_bug.cgi?id=",INDIRECT(C70&amp;ROW())),INDIRECT(C70&amp;ROW()))</f>
        <v>55430</v>
      </c>
      <c r="N222">
        <v>55430</v>
      </c>
      <c r="O222" t="s">
        <v>56</v>
      </c>
      <c r="P222" t="s">
        <v>543</v>
      </c>
      <c r="Q222" t="s">
        <v>16</v>
      </c>
      <c r="R222" t="s">
        <v>248</v>
      </c>
      <c r="S222" t="s">
        <v>36</v>
      </c>
      <c r="U222" s="6">
        <v>42125.448541666665</v>
      </c>
      <c r="V222" t="s">
        <v>18</v>
      </c>
      <c r="W222" t="s">
        <v>324</v>
      </c>
      <c r="X222" s="6">
        <v>42013.620613425926</v>
      </c>
      <c r="Y222" t="s">
        <v>122</v>
      </c>
      <c r="AB222" t="s">
        <v>201</v>
      </c>
      <c r="AC222" t="s">
        <v>247</v>
      </c>
      <c r="AD222" t="s">
        <v>220</v>
      </c>
      <c r="AE222" t="s">
        <v>219</v>
      </c>
      <c r="AG222" t="s">
        <v>121</v>
      </c>
      <c r="AH222" t="s">
        <v>327</v>
      </c>
      <c r="AI222" t="s">
        <v>121</v>
      </c>
      <c r="AJ222" t="s">
        <v>717</v>
      </c>
      <c r="AK222" t="s">
        <v>121</v>
      </c>
    </row>
    <row r="223" spans="1:37" x14ac:dyDescent="0.3">
      <c r="H223" s="24"/>
      <c r="I223">
        <f ca="1">IF(OR(INDIRECT(A73&amp;ROW())=B93,INDIRECT(A73&amp;ROW())=B94),1,IF(AND(INDIRECT(A73&amp;ROW())=B95,INDIRECT(A96&amp;ROW())=C93),1,IF(AND(INDIRECT(A73&amp;ROW())=B95,INDIRECT(A96&amp;ROW())=C94),1,0)))</f>
        <v>0</v>
      </c>
      <c r="J223">
        <f ca="1">IF(AND(INDIRECT(A73&amp;ROW())=B95,INDIRECT(A96&amp;ROW())=C95),1,IF(AND(INDIRECT(A73&amp;ROW())=B95,INDIRECT(A96&amp;ROW())=C96),1,0))</f>
        <v>0</v>
      </c>
      <c r="K223">
        <f ca="1">DAYS360(INDIRECT(C68&amp;ROW()),TODAY())</f>
        <v>729</v>
      </c>
      <c r="L223">
        <f ca="1">DAYS360(INDIRECT(C69&amp;ROW()),TODAY())</f>
        <v>830</v>
      </c>
      <c r="M223">
        <f ca="1">HYPERLINK(CONCATENATE("https://bugzilla.houston.hp.com:1181/bugzilla/show_bug.cgi?id=",INDIRECT(C70&amp;ROW())),INDIRECT(C70&amp;ROW()))</f>
        <v>55490</v>
      </c>
      <c r="N223">
        <v>55490</v>
      </c>
      <c r="O223" t="s">
        <v>53</v>
      </c>
      <c r="P223" t="s">
        <v>549</v>
      </c>
      <c r="Q223" t="s">
        <v>16</v>
      </c>
      <c r="R223" t="s">
        <v>251</v>
      </c>
      <c r="S223" t="s">
        <v>47</v>
      </c>
      <c r="U223" s="6">
        <v>42117.405312499999</v>
      </c>
      <c r="V223" t="s">
        <v>18</v>
      </c>
      <c r="W223" t="s">
        <v>17</v>
      </c>
      <c r="X223" s="6">
        <v>42016.581944444442</v>
      </c>
      <c r="Y223" t="s">
        <v>119</v>
      </c>
      <c r="AB223" t="s">
        <v>199</v>
      </c>
      <c r="AC223" t="s">
        <v>247</v>
      </c>
      <c r="AD223" t="s">
        <v>220</v>
      </c>
      <c r="AE223" t="s">
        <v>219</v>
      </c>
      <c r="AG223" t="s">
        <v>121</v>
      </c>
      <c r="AH223" t="s">
        <v>327</v>
      </c>
      <c r="AI223" t="s">
        <v>121</v>
      </c>
      <c r="AJ223" t="s">
        <v>716</v>
      </c>
      <c r="AK223" t="s">
        <v>121</v>
      </c>
    </row>
    <row r="224" spans="1:37" x14ac:dyDescent="0.3">
      <c r="I224">
        <f ca="1">IF(OR(INDIRECT(A73&amp;ROW())=B93,INDIRECT(A73&amp;ROW())=B94),1,IF(AND(INDIRECT(A73&amp;ROW())=B95,INDIRECT(A96&amp;ROW())=C93),1,IF(AND(INDIRECT(A73&amp;ROW())=B95,INDIRECT(A96&amp;ROW())=C94),1,0)))</f>
        <v>0</v>
      </c>
      <c r="J224">
        <f ca="1">IF(AND(INDIRECT(A73&amp;ROW())=B95,INDIRECT(A96&amp;ROW())=C95),1,IF(AND(INDIRECT(A73&amp;ROW())=B95,INDIRECT(A96&amp;ROW())=C96),1,0))</f>
        <v>1</v>
      </c>
      <c r="K224">
        <f ca="1">DAYS360(INDIRECT(C68&amp;ROW()),TODAY())</f>
        <v>682</v>
      </c>
      <c r="L224">
        <f ca="1">DAYS360(INDIRECT(C69&amp;ROW()),TODAY())</f>
        <v>829</v>
      </c>
      <c r="M224">
        <f ca="1">HYPERLINK(CONCATENATE("https://bugzilla.houston.hp.com:1181/bugzilla/show_bug.cgi?id=",INDIRECT(C70&amp;ROW())),INDIRECT(C70&amp;ROW()))</f>
        <v>55549</v>
      </c>
      <c r="N224">
        <v>55549</v>
      </c>
      <c r="O224" t="s">
        <v>66</v>
      </c>
      <c r="P224" t="s">
        <v>548</v>
      </c>
      <c r="Q224" t="s">
        <v>25</v>
      </c>
      <c r="R224" t="s">
        <v>251</v>
      </c>
      <c r="S224" t="s">
        <v>66</v>
      </c>
      <c r="U224" s="6">
        <v>42165.564432870371</v>
      </c>
      <c r="V224" t="s">
        <v>35</v>
      </c>
      <c r="W224" t="s">
        <v>17</v>
      </c>
      <c r="X224" s="6">
        <v>42017.588472222225</v>
      </c>
      <c r="Y224" t="s">
        <v>122</v>
      </c>
      <c r="AB224" t="s">
        <v>201</v>
      </c>
      <c r="AC224" t="s">
        <v>247</v>
      </c>
      <c r="AD224" t="s">
        <v>220</v>
      </c>
      <c r="AE224" t="s">
        <v>219</v>
      </c>
      <c r="AG224" t="s">
        <v>121</v>
      </c>
      <c r="AH224" t="s">
        <v>327</v>
      </c>
      <c r="AI224" t="s">
        <v>121</v>
      </c>
      <c r="AJ224" t="s">
        <v>716</v>
      </c>
      <c r="AK224" t="s">
        <v>121</v>
      </c>
    </row>
    <row r="225" spans="9:37" x14ac:dyDescent="0.3">
      <c r="I225">
        <f ca="1">IF(OR(INDIRECT(A73&amp;ROW())=B93,INDIRECT(A73&amp;ROW())=B94),1,IF(AND(INDIRECT(A73&amp;ROW())=B95,INDIRECT(A96&amp;ROW())=C93),1,IF(AND(INDIRECT(A73&amp;ROW())=B95,INDIRECT(A96&amp;ROW())=C94),1,0)))</f>
        <v>0</v>
      </c>
      <c r="J225">
        <f ca="1">IF(AND(INDIRECT(A73&amp;ROW())=B95,INDIRECT(A96&amp;ROW())=C95),1,IF(AND(INDIRECT(A73&amp;ROW())=B95,INDIRECT(A96&amp;ROW())=C96),1,0))</f>
        <v>1</v>
      </c>
      <c r="K225">
        <f ca="1">DAYS360(INDIRECT(C68&amp;ROW()),TODAY())</f>
        <v>681</v>
      </c>
      <c r="L225">
        <f ca="1">DAYS360(INDIRECT(C69&amp;ROW()),TODAY())</f>
        <v>828</v>
      </c>
      <c r="M225">
        <f ca="1">HYPERLINK(CONCATENATE("https://bugzilla.houston.hp.com:1181/bugzilla/show_bug.cgi?id=",INDIRECT(C70&amp;ROW())),INDIRECT(C70&amp;ROW()))</f>
        <v>55619</v>
      </c>
      <c r="N225">
        <v>55619</v>
      </c>
      <c r="O225" t="s">
        <v>66</v>
      </c>
      <c r="P225" t="s">
        <v>548</v>
      </c>
      <c r="Q225" t="s">
        <v>25</v>
      </c>
      <c r="R225" t="s">
        <v>251</v>
      </c>
      <c r="S225" t="s">
        <v>66</v>
      </c>
      <c r="U225" s="6">
        <v>42166.560358796298</v>
      </c>
      <c r="V225" t="s">
        <v>35</v>
      </c>
      <c r="W225" t="s">
        <v>17</v>
      </c>
      <c r="X225" s="6">
        <v>42018.617395833331</v>
      </c>
      <c r="Y225" t="s">
        <v>122</v>
      </c>
      <c r="AB225" t="s">
        <v>201</v>
      </c>
      <c r="AC225" t="s">
        <v>247</v>
      </c>
      <c r="AD225" t="s">
        <v>220</v>
      </c>
      <c r="AE225" t="s">
        <v>219</v>
      </c>
      <c r="AG225" t="s">
        <v>121</v>
      </c>
      <c r="AH225" t="s">
        <v>327</v>
      </c>
      <c r="AI225" t="s">
        <v>121</v>
      </c>
      <c r="AJ225" t="s">
        <v>716</v>
      </c>
      <c r="AK225" t="s">
        <v>121</v>
      </c>
    </row>
    <row r="226" spans="9:37" x14ac:dyDescent="0.3">
      <c r="I226">
        <f ca="1">IF(OR(INDIRECT(A73&amp;ROW())=B93,INDIRECT(A73&amp;ROW())=B94),1,IF(AND(INDIRECT(A73&amp;ROW())=B95,INDIRECT(A96&amp;ROW())=C93),1,IF(AND(INDIRECT(A73&amp;ROW())=B95,INDIRECT(A96&amp;ROW())=C94),1,0)))</f>
        <v>1</v>
      </c>
      <c r="J226">
        <f ca="1">IF(AND(INDIRECT(A73&amp;ROW())=B95,INDIRECT(A96&amp;ROW())=C95),1,IF(AND(INDIRECT(A73&amp;ROW())=B95,INDIRECT(A96&amp;ROW())=C96),1,0))</f>
        <v>0</v>
      </c>
      <c r="K226">
        <f ca="1">DAYS360(INDIRECT(C68&amp;ROW()),TODAY())</f>
        <v>677</v>
      </c>
      <c r="L226">
        <f ca="1">DAYS360(INDIRECT(C69&amp;ROW()),TODAY())</f>
        <v>828</v>
      </c>
      <c r="M226">
        <f ca="1">HYPERLINK(CONCATENATE("https://bugzilla.houston.hp.com:1181/bugzilla/show_bug.cgi?id=",INDIRECT(C70&amp;ROW())),INDIRECT(C70&amp;ROW()))</f>
        <v>55626</v>
      </c>
      <c r="N226">
        <v>55626</v>
      </c>
      <c r="O226" t="s">
        <v>53</v>
      </c>
      <c r="P226" t="s">
        <v>748</v>
      </c>
      <c r="Q226" t="s">
        <v>39</v>
      </c>
      <c r="R226" t="s">
        <v>251</v>
      </c>
      <c r="S226" t="s">
        <v>53</v>
      </c>
      <c r="U226" s="6">
        <v>42170.692187499997</v>
      </c>
      <c r="V226" t="s">
        <v>18</v>
      </c>
      <c r="W226" t="s">
        <v>17</v>
      </c>
      <c r="X226" s="6">
        <v>42018.702581018515</v>
      </c>
      <c r="Y226" t="s">
        <v>122</v>
      </c>
      <c r="AB226" t="s">
        <v>201</v>
      </c>
      <c r="AC226" t="s">
        <v>247</v>
      </c>
      <c r="AD226" t="s">
        <v>220</v>
      </c>
      <c r="AE226" t="s">
        <v>219</v>
      </c>
      <c r="AG226" t="s">
        <v>121</v>
      </c>
      <c r="AH226" t="s">
        <v>327</v>
      </c>
      <c r="AI226" t="s">
        <v>121</v>
      </c>
      <c r="AJ226" t="s">
        <v>715</v>
      </c>
      <c r="AK226" t="s">
        <v>121</v>
      </c>
    </row>
    <row r="227" spans="9:37" x14ac:dyDescent="0.3">
      <c r="I227">
        <f ca="1">IF(OR(INDIRECT(A73&amp;ROW())=B93,INDIRECT(A73&amp;ROW())=B94),1,IF(AND(INDIRECT(A73&amp;ROW())=B95,INDIRECT(A96&amp;ROW())=C93),1,IF(AND(INDIRECT(A73&amp;ROW())=B95,INDIRECT(A96&amp;ROW())=C94),1,0)))</f>
        <v>1</v>
      </c>
      <c r="J227">
        <f ca="1">IF(AND(INDIRECT(A73&amp;ROW())=B95,INDIRECT(A96&amp;ROW())=C95),1,IF(AND(INDIRECT(A73&amp;ROW())=B95,INDIRECT(A96&amp;ROW())=C96),1,0))</f>
        <v>0</v>
      </c>
      <c r="K227">
        <f ca="1">DAYS360(INDIRECT(C68&amp;ROW()),TODAY())</f>
        <v>682</v>
      </c>
      <c r="L227">
        <f ca="1">DAYS360(INDIRECT(C69&amp;ROW()),TODAY())</f>
        <v>828</v>
      </c>
      <c r="M227">
        <f ca="1">HYPERLINK(CONCATENATE("https://bugzilla.houston.hp.com:1181/bugzilla/show_bug.cgi?id=",INDIRECT(C70&amp;ROW())),INDIRECT(C70&amp;ROW()))</f>
        <v>55627</v>
      </c>
      <c r="N227">
        <v>55627</v>
      </c>
      <c r="O227" t="s">
        <v>53</v>
      </c>
      <c r="P227" t="s">
        <v>551</v>
      </c>
      <c r="Q227" t="s">
        <v>39</v>
      </c>
      <c r="R227" t="s">
        <v>251</v>
      </c>
      <c r="S227" t="s">
        <v>53</v>
      </c>
      <c r="U227" s="6">
        <v>42165.551458333335</v>
      </c>
      <c r="V227" t="s">
        <v>18</v>
      </c>
      <c r="W227" t="s">
        <v>17</v>
      </c>
      <c r="X227" s="6">
        <v>42018.719236111108</v>
      </c>
      <c r="Y227" t="s">
        <v>122</v>
      </c>
      <c r="AB227" t="s">
        <v>201</v>
      </c>
      <c r="AC227" t="s">
        <v>247</v>
      </c>
      <c r="AD227" t="s">
        <v>220</v>
      </c>
      <c r="AE227" t="s">
        <v>219</v>
      </c>
      <c r="AG227" t="s">
        <v>121</v>
      </c>
      <c r="AH227" t="s">
        <v>327</v>
      </c>
      <c r="AI227" t="s">
        <v>121</v>
      </c>
      <c r="AJ227" t="s">
        <v>715</v>
      </c>
      <c r="AK227" t="s">
        <v>121</v>
      </c>
    </row>
    <row r="228" spans="9:37" x14ac:dyDescent="0.3">
      <c r="I228">
        <f ca="1">IF(OR(INDIRECT(A73&amp;ROW())=B93,INDIRECT(A73&amp;ROW())=B94),1,IF(AND(INDIRECT(A73&amp;ROW())=B95,INDIRECT(A96&amp;ROW())=C93),1,IF(AND(INDIRECT(A73&amp;ROW())=B95,INDIRECT(A96&amp;ROW())=C94),1,0)))</f>
        <v>0</v>
      </c>
      <c r="J228">
        <f ca="1">IF(AND(INDIRECT(A73&amp;ROW())=B95,INDIRECT(A96&amp;ROW())=C95),1,IF(AND(INDIRECT(A73&amp;ROW())=B95,INDIRECT(A96&amp;ROW())=C96),1,0))</f>
        <v>0</v>
      </c>
      <c r="K228">
        <f ca="1">DAYS360(INDIRECT(C68&amp;ROW()),TODAY())</f>
        <v>721</v>
      </c>
      <c r="L228">
        <f ca="1">DAYS360(INDIRECT(C69&amp;ROW()),TODAY())</f>
        <v>827</v>
      </c>
      <c r="M228">
        <f ca="1">HYPERLINK(CONCATENATE("https://bugzilla.houston.hp.com:1181/bugzilla/show_bug.cgi?id=",INDIRECT(C70&amp;ROW())),INDIRECT(C70&amp;ROW()))</f>
        <v>55690</v>
      </c>
      <c r="N228">
        <v>55690</v>
      </c>
      <c r="O228" t="s">
        <v>22</v>
      </c>
      <c r="P228" t="s">
        <v>557</v>
      </c>
      <c r="Q228" t="s">
        <v>16</v>
      </c>
      <c r="R228" t="s">
        <v>251</v>
      </c>
      <c r="S228" t="s">
        <v>22</v>
      </c>
      <c r="U228" s="6">
        <v>42125.450775462959</v>
      </c>
      <c r="V228" t="s">
        <v>18</v>
      </c>
      <c r="W228" t="s">
        <v>17</v>
      </c>
      <c r="X228" s="6">
        <v>42019.371122685188</v>
      </c>
      <c r="Y228" t="s">
        <v>122</v>
      </c>
      <c r="AB228" t="s">
        <v>201</v>
      </c>
      <c r="AC228" t="s">
        <v>247</v>
      </c>
      <c r="AD228" t="s">
        <v>222</v>
      </c>
      <c r="AE228" t="s">
        <v>225</v>
      </c>
      <c r="AG228" t="s">
        <v>121</v>
      </c>
      <c r="AH228" t="s">
        <v>327</v>
      </c>
      <c r="AI228" t="s">
        <v>121</v>
      </c>
      <c r="AJ228" t="s">
        <v>717</v>
      </c>
      <c r="AK228" t="s">
        <v>121</v>
      </c>
    </row>
    <row r="229" spans="9:37" x14ac:dyDescent="0.3">
      <c r="I229">
        <f ca="1">IF(OR(INDIRECT(A73&amp;ROW())=B93,INDIRECT(A73&amp;ROW())=B94),1,IF(AND(INDIRECT(A73&amp;ROW())=B95,INDIRECT(A96&amp;ROW())=C93),1,IF(AND(INDIRECT(A73&amp;ROW())=B95,INDIRECT(A96&amp;ROW())=C94),1,0)))</f>
        <v>0</v>
      </c>
      <c r="J229">
        <f ca="1">IF(AND(INDIRECT(A73&amp;ROW())=B95,INDIRECT(A96&amp;ROW())=C95),1,IF(AND(INDIRECT(A73&amp;ROW())=B95,INDIRECT(A96&amp;ROW())=C96),1,0))</f>
        <v>0</v>
      </c>
      <c r="K229">
        <f ca="1">DAYS360(INDIRECT(C68&amp;ROW()),TODAY())</f>
        <v>721</v>
      </c>
      <c r="L229">
        <f ca="1">DAYS360(INDIRECT(C69&amp;ROW()),TODAY())</f>
        <v>827</v>
      </c>
      <c r="M229">
        <f ca="1">HYPERLINK(CONCATENATE("https://bugzilla.houston.hp.com:1181/bugzilla/show_bug.cgi?id=",INDIRECT(C70&amp;ROW())),INDIRECT(C70&amp;ROW()))</f>
        <v>55692</v>
      </c>
      <c r="N229">
        <v>55692</v>
      </c>
      <c r="O229" t="s">
        <v>36</v>
      </c>
      <c r="P229" t="s">
        <v>556</v>
      </c>
      <c r="Q229" t="s">
        <v>16</v>
      </c>
      <c r="R229" t="s">
        <v>248</v>
      </c>
      <c r="S229" t="s">
        <v>552</v>
      </c>
      <c r="U229" s="6">
        <v>42125.450833333336</v>
      </c>
      <c r="V229" t="s">
        <v>18</v>
      </c>
      <c r="W229" t="s">
        <v>17</v>
      </c>
      <c r="X229" s="6">
        <v>42019.375428240739</v>
      </c>
      <c r="Y229" t="s">
        <v>122</v>
      </c>
      <c r="AB229" t="s">
        <v>201</v>
      </c>
      <c r="AC229" t="s">
        <v>247</v>
      </c>
      <c r="AD229" t="s">
        <v>222</v>
      </c>
      <c r="AE229" t="s">
        <v>225</v>
      </c>
      <c r="AG229" t="s">
        <v>121</v>
      </c>
      <c r="AH229" t="s">
        <v>327</v>
      </c>
      <c r="AI229" t="s">
        <v>121</v>
      </c>
      <c r="AJ229" t="s">
        <v>717</v>
      </c>
      <c r="AK229" t="s">
        <v>121</v>
      </c>
    </row>
    <row r="230" spans="9:37" x14ac:dyDescent="0.3">
      <c r="I230">
        <f ca="1">IF(OR(INDIRECT(A73&amp;ROW())=B93,INDIRECT(A73&amp;ROW())=B94),1,IF(AND(INDIRECT(A73&amp;ROW())=B95,INDIRECT(A96&amp;ROW())=C93),1,IF(AND(INDIRECT(A73&amp;ROW())=B95,INDIRECT(A96&amp;ROW())=C94),1,0)))</f>
        <v>0</v>
      </c>
      <c r="J230">
        <f ca="1">IF(AND(INDIRECT(A73&amp;ROW())=B95,INDIRECT(A96&amp;ROW())=C95),1,IF(AND(INDIRECT(A73&amp;ROW())=B95,INDIRECT(A96&amp;ROW())=C96),1,0))</f>
        <v>0</v>
      </c>
      <c r="K230">
        <f ca="1">DAYS360(INDIRECT(C68&amp;ROW()),TODAY())</f>
        <v>729</v>
      </c>
      <c r="L230">
        <f ca="1">DAYS360(INDIRECT(C69&amp;ROW()),TODAY())</f>
        <v>827</v>
      </c>
      <c r="M230">
        <f ca="1">HYPERLINK(CONCATENATE("https://bugzilla.houston.hp.com:1181/bugzilla/show_bug.cgi?id=",INDIRECT(C70&amp;ROW())),INDIRECT(C70&amp;ROW()))</f>
        <v>55707</v>
      </c>
      <c r="N230">
        <v>55707</v>
      </c>
      <c r="O230" t="s">
        <v>374</v>
      </c>
      <c r="P230" t="s">
        <v>555</v>
      </c>
      <c r="Q230" t="s">
        <v>16</v>
      </c>
      <c r="R230" t="s">
        <v>251</v>
      </c>
      <c r="S230" t="s">
        <v>374</v>
      </c>
      <c r="U230" s="6">
        <v>42117.405405092592</v>
      </c>
      <c r="V230" t="s">
        <v>18</v>
      </c>
      <c r="W230" t="s">
        <v>17</v>
      </c>
      <c r="X230" s="6">
        <v>42019.951620370368</v>
      </c>
      <c r="Y230" t="s">
        <v>787</v>
      </c>
      <c r="AB230" t="s">
        <v>200</v>
      </c>
      <c r="AC230" t="s">
        <v>247</v>
      </c>
      <c r="AD230" t="s">
        <v>227</v>
      </c>
      <c r="AE230" t="s">
        <v>237</v>
      </c>
      <c r="AG230" t="s">
        <v>121</v>
      </c>
      <c r="AH230" t="s">
        <v>327</v>
      </c>
      <c r="AI230" t="s">
        <v>121</v>
      </c>
      <c r="AJ230" t="s">
        <v>716</v>
      </c>
      <c r="AK230" t="s">
        <v>121</v>
      </c>
    </row>
    <row r="231" spans="9:37" x14ac:dyDescent="0.3">
      <c r="I231">
        <f ca="1">IF(OR(INDIRECT(A73&amp;ROW())=B93,INDIRECT(A73&amp;ROW())=B94),1,IF(AND(INDIRECT(A73&amp;ROW())=B95,INDIRECT(A96&amp;ROW())=C93),1,IF(AND(INDIRECT(A73&amp;ROW())=B95,INDIRECT(A96&amp;ROW())=C94),1,0)))</f>
        <v>0</v>
      </c>
      <c r="J231">
        <f ca="1">IF(AND(INDIRECT(A73&amp;ROW())=B95,INDIRECT(A96&amp;ROW())=C95),1,IF(AND(INDIRECT(A73&amp;ROW())=B95,INDIRECT(A96&amp;ROW())=C96),1,0))</f>
        <v>1</v>
      </c>
      <c r="K231">
        <f ca="1">DAYS360(INDIRECT(C68&amp;ROW()),TODAY())</f>
        <v>730</v>
      </c>
      <c r="L231">
        <f ca="1">DAYS360(INDIRECT(C69&amp;ROW()),TODAY())</f>
        <v>826</v>
      </c>
      <c r="M231" s="11">
        <f ca="1">HYPERLINK(CONCATENATE("https://bugzilla.houston.hp.com:1181/bugzilla/show_bug.cgi?id=",INDIRECT(C70&amp;ROW())),INDIRECT(C70&amp;ROW()))</f>
        <v>55719</v>
      </c>
      <c r="N231">
        <v>55719</v>
      </c>
      <c r="O231" t="s">
        <v>21</v>
      </c>
      <c r="P231" t="s">
        <v>554</v>
      </c>
      <c r="Q231" t="s">
        <v>25</v>
      </c>
      <c r="R231" t="s">
        <v>251</v>
      </c>
      <c r="S231" t="s">
        <v>553</v>
      </c>
      <c r="U231" s="6">
        <v>42116.734351851854</v>
      </c>
      <c r="V231" t="s">
        <v>35</v>
      </c>
      <c r="W231" t="s">
        <v>17</v>
      </c>
      <c r="X231" s="6">
        <v>42020.166122685187</v>
      </c>
      <c r="Y231" t="s">
        <v>124</v>
      </c>
      <c r="AB231" t="s">
        <v>201</v>
      </c>
      <c r="AC231" t="s">
        <v>247</v>
      </c>
      <c r="AD231" t="s">
        <v>222</v>
      </c>
      <c r="AE231" t="s">
        <v>221</v>
      </c>
      <c r="AG231" t="s">
        <v>121</v>
      </c>
      <c r="AH231" t="s">
        <v>327</v>
      </c>
      <c r="AI231" t="s">
        <v>121</v>
      </c>
      <c r="AJ231" t="s">
        <v>716</v>
      </c>
      <c r="AK231" t="s">
        <v>121</v>
      </c>
    </row>
    <row r="232" spans="9:37" x14ac:dyDescent="0.3">
      <c r="I232">
        <f ca="1">IF(OR(INDIRECT(A73&amp;ROW())=B93,INDIRECT(A73&amp;ROW())=B94),1,IF(AND(INDIRECT(A73&amp;ROW())=B95,INDIRECT(A96&amp;ROW())=C93),1,IF(AND(INDIRECT(A73&amp;ROW())=B95,INDIRECT(A96&amp;ROW())=C94),1,0)))</f>
        <v>1</v>
      </c>
      <c r="J232">
        <f ca="1">IF(AND(INDIRECT(A73&amp;ROW())=B95,INDIRECT(A96&amp;ROW())=C95),1,IF(AND(INDIRECT(A73&amp;ROW())=B95,INDIRECT(A96&amp;ROW())=C96),1,0))</f>
        <v>0</v>
      </c>
      <c r="K232">
        <f ca="1">DAYS360(INDIRECT(C68&amp;ROW()),TODAY())</f>
        <v>680</v>
      </c>
      <c r="L232">
        <f ca="1">DAYS360(INDIRECT(C69&amp;ROW()),TODAY())</f>
        <v>826</v>
      </c>
      <c r="M232" s="11">
        <f ca="1">HYPERLINK(CONCATENATE("https://bugzilla.houston.hp.com:1181/bugzilla/show_bug.cgi?id=",INDIRECT(C70&amp;ROW())),INDIRECT(C70&amp;ROW()))</f>
        <v>55766</v>
      </c>
      <c r="N232">
        <v>55766</v>
      </c>
      <c r="O232" t="s">
        <v>856</v>
      </c>
      <c r="P232" t="s">
        <v>558</v>
      </c>
      <c r="Q232" t="s">
        <v>25</v>
      </c>
      <c r="R232" t="s">
        <v>251</v>
      </c>
      <c r="S232" t="s">
        <v>43</v>
      </c>
      <c r="T232" t="s">
        <v>48</v>
      </c>
      <c r="U232" s="6">
        <v>42167.261631944442</v>
      </c>
      <c r="V232" t="s">
        <v>35</v>
      </c>
      <c r="W232" t="s">
        <v>17</v>
      </c>
      <c r="X232" s="6">
        <v>42020.673159722224</v>
      </c>
      <c r="Y232" t="s">
        <v>122</v>
      </c>
      <c r="AB232" t="s">
        <v>200</v>
      </c>
      <c r="AC232" t="s">
        <v>247</v>
      </c>
      <c r="AD232" t="s">
        <v>220</v>
      </c>
      <c r="AE232" t="s">
        <v>219</v>
      </c>
      <c r="AG232" t="s">
        <v>121</v>
      </c>
      <c r="AH232" t="s">
        <v>327</v>
      </c>
      <c r="AI232" t="s">
        <v>121</v>
      </c>
      <c r="AJ232" t="s">
        <v>715</v>
      </c>
      <c r="AK232" t="s">
        <v>121</v>
      </c>
    </row>
    <row r="233" spans="9:37" x14ac:dyDescent="0.3">
      <c r="I233">
        <f ca="1">IF(OR(INDIRECT(A73&amp;ROW())=B93,INDIRECT(A73&amp;ROW())=B94),1,IF(AND(INDIRECT(A73&amp;ROW())=B95,INDIRECT(A96&amp;ROW())=C93),1,IF(AND(INDIRECT(A73&amp;ROW())=B95,INDIRECT(A96&amp;ROW())=C94),1,0)))</f>
        <v>0</v>
      </c>
      <c r="J233">
        <f ca="1">IF(AND(INDIRECT(A73&amp;ROW())=B95,INDIRECT(A96&amp;ROW())=C95),1,IF(AND(INDIRECT(A73&amp;ROW())=B95,INDIRECT(A96&amp;ROW())=C96),1,0))</f>
        <v>0</v>
      </c>
      <c r="K233">
        <f ca="1">DAYS360(INDIRECT(C68&amp;ROW()),TODAY())</f>
        <v>728</v>
      </c>
      <c r="L233">
        <f ca="1">DAYS360(INDIRECT(C69&amp;ROW()),TODAY())</f>
        <v>821</v>
      </c>
      <c r="M233">
        <f ca="1">HYPERLINK(CONCATENATE("https://bugzilla.houston.hp.com:1181/bugzilla/show_bug.cgi?id=",INDIRECT(C70&amp;ROW())),INDIRECT(C70&amp;ROW()))</f>
        <v>55900</v>
      </c>
      <c r="N233">
        <v>55900</v>
      </c>
      <c r="O233" t="s">
        <v>56</v>
      </c>
      <c r="P233" t="s">
        <v>566</v>
      </c>
      <c r="Q233" t="s">
        <v>16</v>
      </c>
      <c r="R233" t="s">
        <v>251</v>
      </c>
      <c r="S233" t="s">
        <v>59</v>
      </c>
      <c r="U233" s="6">
        <v>42118.523414351854</v>
      </c>
      <c r="V233" t="s">
        <v>18</v>
      </c>
      <c r="W233" t="s">
        <v>17</v>
      </c>
      <c r="X233" s="6">
        <v>42025.187048611115</v>
      </c>
      <c r="Y233" t="s">
        <v>788</v>
      </c>
      <c r="AB233" t="s">
        <v>201</v>
      </c>
      <c r="AC233" t="s">
        <v>247</v>
      </c>
      <c r="AD233" t="s">
        <v>220</v>
      </c>
      <c r="AE233" t="s">
        <v>219</v>
      </c>
      <c r="AG233" t="s">
        <v>121</v>
      </c>
      <c r="AH233" t="s">
        <v>327</v>
      </c>
      <c r="AI233" t="s">
        <v>121</v>
      </c>
      <c r="AJ233" t="s">
        <v>717</v>
      </c>
      <c r="AK233" t="s">
        <v>121</v>
      </c>
    </row>
    <row r="234" spans="9:37" x14ac:dyDescent="0.3">
      <c r="I234">
        <f ca="1">IF(OR(INDIRECT(A73&amp;ROW())=B93,INDIRECT(A73&amp;ROW())=B94),1,IF(AND(INDIRECT(A73&amp;ROW())=B95,INDIRECT(A96&amp;ROW())=C93),1,IF(AND(INDIRECT(A73&amp;ROW())=B95,INDIRECT(A96&amp;ROW())=C94),1,0)))</f>
        <v>0</v>
      </c>
      <c r="J234">
        <f ca="1">IF(AND(INDIRECT(A73&amp;ROW())=B95,INDIRECT(A96&amp;ROW())=C95),1,IF(AND(INDIRECT(A73&amp;ROW())=B95,INDIRECT(A96&amp;ROW())=C96),1,0))</f>
        <v>0</v>
      </c>
      <c r="K234">
        <f ca="1">DAYS360(INDIRECT(C68&amp;ROW()),TODAY())</f>
        <v>728</v>
      </c>
      <c r="L234">
        <f ca="1">DAYS360(INDIRECT(C69&amp;ROW()),TODAY())</f>
        <v>821</v>
      </c>
      <c r="M234">
        <f ca="1">HYPERLINK(CONCATENATE("https://bugzilla.houston.hp.com:1181/bugzilla/show_bug.cgi?id=",INDIRECT(C70&amp;ROW())),INDIRECT(C70&amp;ROW()))</f>
        <v>55915</v>
      </c>
      <c r="N234">
        <v>55915</v>
      </c>
      <c r="O234" t="s">
        <v>66</v>
      </c>
      <c r="P234" t="s">
        <v>565</v>
      </c>
      <c r="Q234" t="s">
        <v>16</v>
      </c>
      <c r="R234" t="s">
        <v>251</v>
      </c>
      <c r="S234" t="s">
        <v>66</v>
      </c>
      <c r="U234" s="6">
        <v>42118.523506944446</v>
      </c>
      <c r="V234" t="s">
        <v>18</v>
      </c>
      <c r="W234" t="s">
        <v>17</v>
      </c>
      <c r="X234" s="6">
        <v>42025.416770833333</v>
      </c>
      <c r="Y234" t="s">
        <v>124</v>
      </c>
      <c r="AB234" t="s">
        <v>201</v>
      </c>
      <c r="AC234" t="s">
        <v>247</v>
      </c>
      <c r="AD234" t="s">
        <v>220</v>
      </c>
      <c r="AE234" t="s">
        <v>219</v>
      </c>
      <c r="AG234" t="s">
        <v>121</v>
      </c>
      <c r="AH234" t="s">
        <v>327</v>
      </c>
      <c r="AI234" t="s">
        <v>121</v>
      </c>
      <c r="AJ234" t="s">
        <v>717</v>
      </c>
      <c r="AK234" t="s">
        <v>121</v>
      </c>
    </row>
    <row r="235" spans="9:37" x14ac:dyDescent="0.3">
      <c r="I235">
        <f ca="1">IF(OR(INDIRECT(A73&amp;ROW())=B93,INDIRECT(A73&amp;ROW())=B94),1,IF(AND(INDIRECT(A73&amp;ROW())=B95,INDIRECT(A96&amp;ROW())=C93),1,IF(AND(INDIRECT(A73&amp;ROW())=B95,INDIRECT(A96&amp;ROW())=C94),1,0)))</f>
        <v>0</v>
      </c>
      <c r="J235">
        <f ca="1">IF(AND(INDIRECT(A73&amp;ROW())=B95,INDIRECT(A96&amp;ROW())=C95),1,IF(AND(INDIRECT(A73&amp;ROW())=B95,INDIRECT(A96&amp;ROW())=C96),1,0))</f>
        <v>1</v>
      </c>
      <c r="K235">
        <f ca="1">DAYS360(INDIRECT(C68&amp;ROW()),TODAY())</f>
        <v>684</v>
      </c>
      <c r="L235">
        <f ca="1">DAYS360(INDIRECT(C69&amp;ROW()),TODAY())</f>
        <v>821</v>
      </c>
      <c r="M235">
        <f ca="1">HYPERLINK(CONCATENATE("https://bugzilla.houston.hp.com:1181/bugzilla/show_bug.cgi?id=",INDIRECT(C70&amp;ROW())),INDIRECT(C70&amp;ROW()))</f>
        <v>55920</v>
      </c>
      <c r="N235">
        <v>55920</v>
      </c>
      <c r="O235" t="s">
        <v>66</v>
      </c>
      <c r="P235" t="s">
        <v>564</v>
      </c>
      <c r="Q235" t="s">
        <v>25</v>
      </c>
      <c r="R235" t="s">
        <v>251</v>
      </c>
      <c r="S235" t="s">
        <v>66</v>
      </c>
      <c r="U235" s="6">
        <v>42163.59784722222</v>
      </c>
      <c r="V235" t="s">
        <v>18</v>
      </c>
      <c r="W235" t="s">
        <v>17</v>
      </c>
      <c r="X235" s="6">
        <v>42025.463854166665</v>
      </c>
      <c r="Y235" t="s">
        <v>124</v>
      </c>
      <c r="AB235" t="s">
        <v>201</v>
      </c>
      <c r="AC235" t="s">
        <v>247</v>
      </c>
      <c r="AD235" t="s">
        <v>220</v>
      </c>
      <c r="AE235" t="s">
        <v>219</v>
      </c>
      <c r="AG235" t="s">
        <v>121</v>
      </c>
      <c r="AH235" t="s">
        <v>327</v>
      </c>
      <c r="AI235" t="s">
        <v>121</v>
      </c>
      <c r="AJ235" t="s">
        <v>716</v>
      </c>
      <c r="AK235" t="s">
        <v>121</v>
      </c>
    </row>
    <row r="236" spans="9:37" x14ac:dyDescent="0.3">
      <c r="I236">
        <f ca="1">IF(OR(INDIRECT(A73&amp;ROW())=B93,INDIRECT(A73&amp;ROW())=B94),1,IF(AND(INDIRECT(A73&amp;ROW())=B95,INDIRECT(A96&amp;ROW())=C93),1,IF(AND(INDIRECT(A73&amp;ROW())=B95,INDIRECT(A96&amp;ROW())=C94),1,0)))</f>
        <v>0</v>
      </c>
      <c r="J236">
        <f ca="1">IF(AND(INDIRECT(A73&amp;ROW())=B95,INDIRECT(A96&amp;ROW())=C95),1,IF(AND(INDIRECT(A73&amp;ROW())=B95,INDIRECT(A96&amp;ROW())=C96),1,0))</f>
        <v>1</v>
      </c>
      <c r="K236">
        <f ca="1">DAYS360(INDIRECT(C68&amp;ROW()),TODAY())</f>
        <v>800</v>
      </c>
      <c r="L236">
        <f ca="1">DAYS360(INDIRECT(C69&amp;ROW()),TODAY())</f>
        <v>821</v>
      </c>
      <c r="M236">
        <f ca="1">HYPERLINK(CONCATENATE("https://bugzilla.houston.hp.com:1181/bugzilla/show_bug.cgi?id=",INDIRECT(C70&amp;ROW())),INDIRECT(C70&amp;ROW()))</f>
        <v>55923</v>
      </c>
      <c r="N236">
        <v>55923</v>
      </c>
      <c r="O236" t="s">
        <v>56</v>
      </c>
      <c r="P236" t="s">
        <v>563</v>
      </c>
      <c r="Q236" t="s">
        <v>25</v>
      </c>
      <c r="R236" t="s">
        <v>248</v>
      </c>
      <c r="S236" t="s">
        <v>552</v>
      </c>
      <c r="U236" s="6">
        <v>42047.512106481481</v>
      </c>
      <c r="V236" t="s">
        <v>18</v>
      </c>
      <c r="W236" t="s">
        <v>322</v>
      </c>
      <c r="X236" s="6">
        <v>42025.479351851849</v>
      </c>
      <c r="Y236" t="s">
        <v>124</v>
      </c>
      <c r="AB236" t="s">
        <v>201</v>
      </c>
      <c r="AC236" t="s">
        <v>247</v>
      </c>
      <c r="AD236" t="s">
        <v>220</v>
      </c>
      <c r="AE236" t="s">
        <v>219</v>
      </c>
      <c r="AG236" t="s">
        <v>121</v>
      </c>
      <c r="AH236" t="s">
        <v>327</v>
      </c>
      <c r="AI236" t="s">
        <v>121</v>
      </c>
      <c r="AJ236" t="s">
        <v>716</v>
      </c>
      <c r="AK236" t="s">
        <v>121</v>
      </c>
    </row>
    <row r="237" spans="9:37" x14ac:dyDescent="0.3">
      <c r="I237">
        <f ca="1">IF(OR(INDIRECT(A73&amp;ROW())=B93,INDIRECT(A73&amp;ROW())=B94),1,IF(AND(INDIRECT(A73&amp;ROW())=B95,INDIRECT(A96&amp;ROW())=C93),1,IF(AND(INDIRECT(A73&amp;ROW())=B95,INDIRECT(A96&amp;ROW())=C94),1,0)))</f>
        <v>0</v>
      </c>
      <c r="J237">
        <f ca="1">IF(AND(INDIRECT(A73&amp;ROW())=B95,INDIRECT(A96&amp;ROW())=C95),1,IF(AND(INDIRECT(A73&amp;ROW())=B95,INDIRECT(A96&amp;ROW())=C96),1,0))</f>
        <v>1</v>
      </c>
      <c r="K237">
        <f ca="1">DAYS360(INDIRECT(C68&amp;ROW()),TODAY())</f>
        <v>684</v>
      </c>
      <c r="L237">
        <f ca="1">DAYS360(INDIRECT(C69&amp;ROW()),TODAY())</f>
        <v>821</v>
      </c>
      <c r="M237">
        <f ca="1">HYPERLINK(CONCATENATE("https://bugzilla.houston.hp.com:1181/bugzilla/show_bug.cgi?id=",INDIRECT(C70&amp;ROW())),INDIRECT(C70&amp;ROW()))</f>
        <v>55928</v>
      </c>
      <c r="N237">
        <v>55928</v>
      </c>
      <c r="O237" t="s">
        <v>56</v>
      </c>
      <c r="P237" t="s">
        <v>562</v>
      </c>
      <c r="Q237" t="s">
        <v>25</v>
      </c>
      <c r="R237" t="s">
        <v>251</v>
      </c>
      <c r="S237" t="s">
        <v>66</v>
      </c>
      <c r="U237" s="6">
        <v>42163.599583333336</v>
      </c>
      <c r="V237" t="s">
        <v>18</v>
      </c>
      <c r="W237" t="s">
        <v>17</v>
      </c>
      <c r="X237" s="6">
        <v>42025.595729166664</v>
      </c>
      <c r="Y237" t="s">
        <v>122</v>
      </c>
      <c r="AB237" t="s">
        <v>201</v>
      </c>
      <c r="AC237" t="s">
        <v>247</v>
      </c>
      <c r="AD237" t="s">
        <v>220</v>
      </c>
      <c r="AE237" t="s">
        <v>219</v>
      </c>
      <c r="AG237" t="s">
        <v>121</v>
      </c>
      <c r="AH237" t="s">
        <v>327</v>
      </c>
      <c r="AI237" t="s">
        <v>121</v>
      </c>
      <c r="AJ237" t="s">
        <v>716</v>
      </c>
      <c r="AK237" t="s">
        <v>121</v>
      </c>
    </row>
    <row r="238" spans="9:37" x14ac:dyDescent="0.3">
      <c r="I238">
        <f ca="1">IF(OR(INDIRECT(A73&amp;ROW())=B93,INDIRECT(A73&amp;ROW())=B94),1,IF(AND(INDIRECT(A73&amp;ROW())=B95,INDIRECT(A96&amp;ROW())=C93),1,IF(AND(INDIRECT(A73&amp;ROW())=B95,INDIRECT(A96&amp;ROW())=C94),1,0)))</f>
        <v>0</v>
      </c>
      <c r="J238">
        <f ca="1">IF(AND(INDIRECT(A73&amp;ROW())=B95,INDIRECT(A96&amp;ROW())=C95),1,IF(AND(INDIRECT(A73&amp;ROW())=B95,INDIRECT(A96&amp;ROW())=C96),1,0))</f>
        <v>1</v>
      </c>
      <c r="K238">
        <f ca="1">DAYS360(INDIRECT(C68&amp;ROW()),TODAY())</f>
        <v>721</v>
      </c>
      <c r="L238">
        <f ca="1">DAYS360(INDIRECT(C69&amp;ROW()),TODAY())</f>
        <v>821</v>
      </c>
      <c r="M238">
        <f ca="1">HYPERLINK(CONCATENATE("https://bugzilla.houston.hp.com:1181/bugzilla/show_bug.cgi?id=",INDIRECT(C70&amp;ROW())),INDIRECT(C70&amp;ROW()))</f>
        <v>55929</v>
      </c>
      <c r="N238">
        <v>55929</v>
      </c>
      <c r="O238" t="s">
        <v>66</v>
      </c>
      <c r="P238" t="s">
        <v>561</v>
      </c>
      <c r="Q238" t="s">
        <v>25</v>
      </c>
      <c r="R238" t="s">
        <v>251</v>
      </c>
      <c r="S238" t="s">
        <v>66</v>
      </c>
      <c r="U238" s="6">
        <v>42125.451828703706</v>
      </c>
      <c r="V238" t="s">
        <v>18</v>
      </c>
      <c r="W238" t="s">
        <v>17</v>
      </c>
      <c r="X238" s="6">
        <v>42025.615925925929</v>
      </c>
      <c r="Y238" t="s">
        <v>122</v>
      </c>
      <c r="AB238" t="s">
        <v>201</v>
      </c>
      <c r="AC238" t="s">
        <v>247</v>
      </c>
      <c r="AD238" t="s">
        <v>220</v>
      </c>
      <c r="AE238" t="s">
        <v>219</v>
      </c>
      <c r="AG238" t="s">
        <v>121</v>
      </c>
      <c r="AH238" t="s">
        <v>327</v>
      </c>
      <c r="AI238" t="s">
        <v>121</v>
      </c>
      <c r="AJ238" t="s">
        <v>716</v>
      </c>
      <c r="AK238" t="s">
        <v>121</v>
      </c>
    </row>
    <row r="239" spans="9:37" x14ac:dyDescent="0.3">
      <c r="I239">
        <f ca="1">IF(OR(INDIRECT(A73&amp;ROW())=B93,INDIRECT(A73&amp;ROW())=B94),1,IF(AND(INDIRECT(A73&amp;ROW())=B95,INDIRECT(A96&amp;ROW())=C93),1,IF(AND(INDIRECT(A73&amp;ROW())=B95,INDIRECT(A96&amp;ROW())=C94),1,0)))</f>
        <v>0</v>
      </c>
      <c r="J239">
        <f ca="1">IF(AND(INDIRECT(A73&amp;ROW())=B95,INDIRECT(A96&amp;ROW())=C95),1,IF(AND(INDIRECT(A73&amp;ROW())=B95,INDIRECT(A96&amp;ROW())=C96),1,0))</f>
        <v>1</v>
      </c>
      <c r="K239">
        <f ca="1">DAYS360(INDIRECT(C68&amp;ROW()),TODAY())</f>
        <v>721</v>
      </c>
      <c r="L239">
        <f ca="1">DAYS360(INDIRECT(C69&amp;ROW()),TODAY())</f>
        <v>821</v>
      </c>
      <c r="M239">
        <f ca="1">HYPERLINK(CONCATENATE("https://bugzilla.houston.hp.com:1181/bugzilla/show_bug.cgi?id=",INDIRECT(C70&amp;ROW())),INDIRECT(C70&amp;ROW()))</f>
        <v>55934</v>
      </c>
      <c r="N239">
        <v>55934</v>
      </c>
      <c r="O239" t="s">
        <v>56</v>
      </c>
      <c r="P239" t="s">
        <v>560</v>
      </c>
      <c r="Q239" t="s">
        <v>25</v>
      </c>
      <c r="R239" t="s">
        <v>248</v>
      </c>
      <c r="S239" t="s">
        <v>552</v>
      </c>
      <c r="U239" s="6">
        <v>42125.451736111114</v>
      </c>
      <c r="V239" t="s">
        <v>18</v>
      </c>
      <c r="W239" t="s">
        <v>322</v>
      </c>
      <c r="X239" s="6">
        <v>42025.632627314815</v>
      </c>
      <c r="Y239" t="s">
        <v>122</v>
      </c>
      <c r="AB239" t="s">
        <v>201</v>
      </c>
      <c r="AC239" t="s">
        <v>247</v>
      </c>
      <c r="AD239" t="s">
        <v>220</v>
      </c>
      <c r="AE239" t="s">
        <v>219</v>
      </c>
      <c r="AG239" t="s">
        <v>121</v>
      </c>
      <c r="AH239" t="s">
        <v>327</v>
      </c>
      <c r="AI239" t="s">
        <v>121</v>
      </c>
      <c r="AJ239" t="s">
        <v>716</v>
      </c>
      <c r="AK239" t="s">
        <v>121</v>
      </c>
    </row>
    <row r="240" spans="9:37" x14ac:dyDescent="0.3">
      <c r="I240">
        <f ca="1">IF(OR(INDIRECT(A73&amp;ROW())=B93,INDIRECT(A73&amp;ROW())=B94),1,IF(AND(INDIRECT(A73&amp;ROW())=B95,INDIRECT(A96&amp;ROW())=C93),1,IF(AND(INDIRECT(A73&amp;ROW())=B95,INDIRECT(A96&amp;ROW())=C94),1,0)))</f>
        <v>0</v>
      </c>
      <c r="J240">
        <f ca="1">IF(AND(INDIRECT(A73&amp;ROW())=B95,INDIRECT(A96&amp;ROW())=C95),1,IF(AND(INDIRECT(A73&amp;ROW())=B95,INDIRECT(A96&amp;ROW())=C96),1,0))</f>
        <v>1</v>
      </c>
      <c r="K240">
        <f ca="1">DAYS360(INDIRECT(C68&amp;ROW()),TODAY())</f>
        <v>721</v>
      </c>
      <c r="L240">
        <f ca="1">DAYS360(INDIRECT(C69&amp;ROW()),TODAY())</f>
        <v>821</v>
      </c>
      <c r="M240">
        <f ca="1">HYPERLINK(CONCATENATE("https://bugzilla.houston.hp.com:1181/bugzilla/show_bug.cgi?id=",INDIRECT(C70&amp;ROW())),INDIRECT(C70&amp;ROW()))</f>
        <v>55935</v>
      </c>
      <c r="N240">
        <v>55935</v>
      </c>
      <c r="O240" t="s">
        <v>56</v>
      </c>
      <c r="P240" t="s">
        <v>559</v>
      </c>
      <c r="Q240" t="s">
        <v>25</v>
      </c>
      <c r="R240" t="s">
        <v>248</v>
      </c>
      <c r="S240" t="s">
        <v>552</v>
      </c>
      <c r="U240" s="6">
        <v>42125.450902777775</v>
      </c>
      <c r="V240" t="s">
        <v>18</v>
      </c>
      <c r="W240" t="s">
        <v>322</v>
      </c>
      <c r="X240" s="6">
        <v>42025.634236111109</v>
      </c>
      <c r="Y240" t="s">
        <v>122</v>
      </c>
      <c r="AB240" t="s">
        <v>201</v>
      </c>
      <c r="AC240" t="s">
        <v>247</v>
      </c>
      <c r="AD240" t="s">
        <v>220</v>
      </c>
      <c r="AE240" t="s">
        <v>219</v>
      </c>
      <c r="AG240" t="s">
        <v>121</v>
      </c>
      <c r="AH240" t="s">
        <v>327</v>
      </c>
      <c r="AI240" t="s">
        <v>121</v>
      </c>
      <c r="AJ240" t="s">
        <v>716</v>
      </c>
      <c r="AK240" t="s">
        <v>121</v>
      </c>
    </row>
    <row r="241" spans="9:37" x14ac:dyDescent="0.3">
      <c r="I241">
        <f ca="1">IF(OR(INDIRECT(A73&amp;ROW())=B93,INDIRECT(A73&amp;ROW())=B94),1,IF(AND(INDIRECT(A73&amp;ROW())=B95,INDIRECT(A96&amp;ROW())=C93),1,IF(AND(INDIRECT(A73&amp;ROW())=B95,INDIRECT(A96&amp;ROW())=C94),1,0)))</f>
        <v>0</v>
      </c>
      <c r="J241">
        <f ca="1">IF(AND(INDIRECT(A73&amp;ROW())=B95,INDIRECT(A96&amp;ROW())=C95),1,IF(AND(INDIRECT(A73&amp;ROW())=B95,INDIRECT(A96&amp;ROW())=C96),1,0))</f>
        <v>1</v>
      </c>
      <c r="K241">
        <f ca="1">DAYS360(INDIRECT(C68&amp;ROW()),TODAY())</f>
        <v>721</v>
      </c>
      <c r="L241">
        <f ca="1">DAYS360(INDIRECT(C69&amp;ROW()),TODAY())</f>
        <v>820</v>
      </c>
      <c r="M241">
        <f ca="1">HYPERLINK(CONCATENATE("https://bugzilla.houston.hp.com:1181/bugzilla/show_bug.cgi?id=",INDIRECT(C70&amp;ROW())),INDIRECT(C70&amp;ROW()))</f>
        <v>55967</v>
      </c>
      <c r="N241">
        <v>55967</v>
      </c>
      <c r="O241" t="s">
        <v>21</v>
      </c>
      <c r="P241" t="s">
        <v>575</v>
      </c>
      <c r="Q241" t="s">
        <v>25</v>
      </c>
      <c r="R241" t="s">
        <v>251</v>
      </c>
      <c r="S241" t="s">
        <v>316</v>
      </c>
      <c r="U241" s="6">
        <v>42125.676608796297</v>
      </c>
      <c r="V241" t="s">
        <v>18</v>
      </c>
      <c r="W241" t="s">
        <v>17</v>
      </c>
      <c r="X241" s="6">
        <v>42026.318402777775</v>
      </c>
      <c r="Y241" t="s">
        <v>255</v>
      </c>
      <c r="AB241" t="s">
        <v>201</v>
      </c>
      <c r="AC241" t="s">
        <v>247</v>
      </c>
      <c r="AD241" t="s">
        <v>222</v>
      </c>
      <c r="AE241" t="s">
        <v>225</v>
      </c>
      <c r="AG241" t="s">
        <v>121</v>
      </c>
      <c r="AH241" t="s">
        <v>327</v>
      </c>
      <c r="AI241" t="s">
        <v>362</v>
      </c>
      <c r="AJ241" t="s">
        <v>716</v>
      </c>
      <c r="AK241" t="s">
        <v>121</v>
      </c>
    </row>
    <row r="242" spans="9:37" x14ac:dyDescent="0.3">
      <c r="I242">
        <f ca="1">IF(OR(INDIRECT(A73&amp;ROW())=B93,INDIRECT(A73&amp;ROW())=B94),1,IF(AND(INDIRECT(A73&amp;ROW())=B95,INDIRECT(A96&amp;ROW())=C93),1,IF(AND(INDIRECT(A73&amp;ROW())=B95,INDIRECT(A96&amp;ROW())=C94),1,0)))</f>
        <v>0</v>
      </c>
      <c r="J242">
        <f ca="1">IF(AND(INDIRECT(A73&amp;ROW())=B95,INDIRECT(A96&amp;ROW())=C95),1,IF(AND(INDIRECT(A73&amp;ROW())=B95,INDIRECT(A96&amp;ROW())=C96),1,0))</f>
        <v>1</v>
      </c>
      <c r="K242">
        <f ca="1">DAYS360(INDIRECT(C68&amp;ROW()),TODAY())</f>
        <v>721</v>
      </c>
      <c r="L242">
        <f ca="1">DAYS360(INDIRECT(C69&amp;ROW()),TODAY())</f>
        <v>820</v>
      </c>
      <c r="M242">
        <f ca="1">HYPERLINK(CONCATENATE("https://bugzilla.houston.hp.com:1181/bugzilla/show_bug.cgi?id=",INDIRECT(C70&amp;ROW())),INDIRECT(C70&amp;ROW()))</f>
        <v>55968</v>
      </c>
      <c r="N242">
        <v>55968</v>
      </c>
      <c r="O242" t="s">
        <v>21</v>
      </c>
      <c r="P242" t="s">
        <v>574</v>
      </c>
      <c r="Q242" t="s">
        <v>25</v>
      </c>
      <c r="R242" t="s">
        <v>251</v>
      </c>
      <c r="S242" t="s">
        <v>316</v>
      </c>
      <c r="U242" s="6">
        <v>42125.677905092591</v>
      </c>
      <c r="V242" t="s">
        <v>18</v>
      </c>
      <c r="W242" t="s">
        <v>17</v>
      </c>
      <c r="X242" s="6">
        <v>42026.333229166667</v>
      </c>
      <c r="Y242" t="s">
        <v>255</v>
      </c>
      <c r="AB242" t="s">
        <v>201</v>
      </c>
      <c r="AC242" t="s">
        <v>247</v>
      </c>
      <c r="AD242" t="s">
        <v>222</v>
      </c>
      <c r="AE242" t="s">
        <v>240</v>
      </c>
      <c r="AG242" t="s">
        <v>121</v>
      </c>
      <c r="AH242" t="s">
        <v>327</v>
      </c>
      <c r="AI242" t="s">
        <v>121</v>
      </c>
      <c r="AJ242" t="s">
        <v>716</v>
      </c>
      <c r="AK242" t="s">
        <v>121</v>
      </c>
    </row>
    <row r="243" spans="9:37" x14ac:dyDescent="0.3">
      <c r="I243">
        <f ca="1">IF(OR(INDIRECT(A73&amp;ROW())=B93,INDIRECT(A73&amp;ROW())=B94),1,IF(AND(INDIRECT(A73&amp;ROW())=B95,INDIRECT(A96&amp;ROW())=C93),1,IF(AND(INDIRECT(A73&amp;ROW())=B95,INDIRECT(A96&amp;ROW())=C94),1,0)))</f>
        <v>0</v>
      </c>
      <c r="J243">
        <f ca="1">IF(AND(INDIRECT(A73&amp;ROW())=B95,INDIRECT(A96&amp;ROW())=C95),1,IF(AND(INDIRECT(A73&amp;ROW())=B95,INDIRECT(A96&amp;ROW())=C96),1,0))</f>
        <v>1</v>
      </c>
      <c r="K243">
        <f ca="1">DAYS360(INDIRECT(C68&amp;ROW()),TODAY())</f>
        <v>721</v>
      </c>
      <c r="L243">
        <f ca="1">DAYS360(INDIRECT(C69&amp;ROW()),TODAY())</f>
        <v>820</v>
      </c>
      <c r="M243">
        <f ca="1">HYPERLINK(CONCATENATE("https://bugzilla.houston.hp.com:1181/bugzilla/show_bug.cgi?id=",INDIRECT(C70&amp;ROW())),INDIRECT(C70&amp;ROW()))</f>
        <v>55971</v>
      </c>
      <c r="N243">
        <v>55971</v>
      </c>
      <c r="O243" t="s">
        <v>56</v>
      </c>
      <c r="P243" t="s">
        <v>570</v>
      </c>
      <c r="Q243" t="s">
        <v>25</v>
      </c>
      <c r="R243" t="s">
        <v>251</v>
      </c>
      <c r="S243" t="s">
        <v>66</v>
      </c>
      <c r="U243" s="6">
        <v>42125.45171296296</v>
      </c>
      <c r="V243" t="s">
        <v>18</v>
      </c>
      <c r="W243" t="s">
        <v>17</v>
      </c>
      <c r="X243" s="6">
        <v>42026.434212962966</v>
      </c>
      <c r="Y243" t="s">
        <v>122</v>
      </c>
      <c r="AB243" t="s">
        <v>201</v>
      </c>
      <c r="AC243" t="s">
        <v>247</v>
      </c>
      <c r="AD243" t="s">
        <v>220</v>
      </c>
      <c r="AE243" t="s">
        <v>219</v>
      </c>
      <c r="AG243" t="s">
        <v>121</v>
      </c>
      <c r="AH243" t="s">
        <v>327</v>
      </c>
      <c r="AI243" t="s">
        <v>121</v>
      </c>
      <c r="AJ243" t="s">
        <v>716</v>
      </c>
      <c r="AK243" t="s">
        <v>121</v>
      </c>
    </row>
    <row r="244" spans="9:37" x14ac:dyDescent="0.3">
      <c r="I244">
        <f ca="1">IF(OR(INDIRECT(A73&amp;ROW())=B93,INDIRECT(A73&amp;ROW())=B94),1,IF(AND(INDIRECT(A73&amp;ROW())=B95,INDIRECT(A96&amp;ROW())=C93),1,IF(AND(INDIRECT(A73&amp;ROW())=B95,INDIRECT(A96&amp;ROW())=C94),1,0)))</f>
        <v>0</v>
      </c>
      <c r="J244">
        <f ca="1">IF(AND(INDIRECT(A73&amp;ROW())=B95,INDIRECT(A96&amp;ROW())=C95),1,IF(AND(INDIRECT(A73&amp;ROW())=B95,INDIRECT(A96&amp;ROW())=C96),1,0))</f>
        <v>1</v>
      </c>
      <c r="K244">
        <f ca="1">DAYS360(INDIRECT(C68&amp;ROW()),TODAY())</f>
        <v>684</v>
      </c>
      <c r="L244">
        <f ca="1">DAYS360(INDIRECT(C69&amp;ROW()),TODAY())</f>
        <v>820</v>
      </c>
      <c r="M244">
        <f ca="1">HYPERLINK(CONCATENATE("https://bugzilla.houston.hp.com:1181/bugzilla/show_bug.cgi?id=",INDIRECT(C70&amp;ROW())),INDIRECT(C70&amp;ROW()))</f>
        <v>55972</v>
      </c>
      <c r="N244">
        <v>55972</v>
      </c>
      <c r="O244" t="s">
        <v>56</v>
      </c>
      <c r="P244" t="s">
        <v>609</v>
      </c>
      <c r="Q244" t="s">
        <v>25</v>
      </c>
      <c r="R244" t="s">
        <v>251</v>
      </c>
      <c r="S244" t="s">
        <v>66</v>
      </c>
      <c r="U244" s="6">
        <v>42163.606608796297</v>
      </c>
      <c r="V244" t="s">
        <v>18</v>
      </c>
      <c r="W244" t="s">
        <v>17</v>
      </c>
      <c r="X244" s="6">
        <v>42026.457569444443</v>
      </c>
      <c r="Y244" t="s">
        <v>122</v>
      </c>
      <c r="AB244" t="s">
        <v>201</v>
      </c>
      <c r="AC244" t="s">
        <v>247</v>
      </c>
      <c r="AD244" t="s">
        <v>220</v>
      </c>
      <c r="AE244" t="s">
        <v>219</v>
      </c>
      <c r="AG244" t="s">
        <v>121</v>
      </c>
      <c r="AH244" t="s">
        <v>327</v>
      </c>
      <c r="AI244" t="s">
        <v>121</v>
      </c>
      <c r="AJ244" t="s">
        <v>716</v>
      </c>
      <c r="AK244" t="s">
        <v>121</v>
      </c>
    </row>
    <row r="245" spans="9:37" x14ac:dyDescent="0.3">
      <c r="I245">
        <f ca="1">IF(OR(INDIRECT(A73&amp;ROW())=B93,INDIRECT(A73&amp;ROW())=B94),1,IF(AND(INDIRECT(A73&amp;ROW())=B95,INDIRECT(A96&amp;ROW())=C93),1,IF(AND(INDIRECT(A73&amp;ROW())=B95,INDIRECT(A96&amp;ROW())=C94),1,0)))</f>
        <v>0</v>
      </c>
      <c r="J245">
        <f ca="1">IF(AND(INDIRECT(A73&amp;ROW())=B95,INDIRECT(A96&amp;ROW())=C95),1,IF(AND(INDIRECT(A73&amp;ROW())=B95,INDIRECT(A96&amp;ROW())=C96),1,0))</f>
        <v>1</v>
      </c>
      <c r="K245">
        <f ca="1">DAYS360(INDIRECT(C68&amp;ROW()),TODAY())</f>
        <v>721</v>
      </c>
      <c r="L245">
        <f ca="1">DAYS360(INDIRECT(C69&amp;ROW()),TODAY())</f>
        <v>820</v>
      </c>
      <c r="M245">
        <f ca="1">HYPERLINK(CONCATENATE("https://bugzilla.houston.hp.com:1181/bugzilla/show_bug.cgi?id=",INDIRECT(C70&amp;ROW())),INDIRECT(C70&amp;ROW()))</f>
        <v>55976</v>
      </c>
      <c r="N245">
        <v>55976</v>
      </c>
      <c r="O245" t="s">
        <v>56</v>
      </c>
      <c r="P245" t="s">
        <v>569</v>
      </c>
      <c r="Q245" t="s">
        <v>25</v>
      </c>
      <c r="R245" t="s">
        <v>248</v>
      </c>
      <c r="S245" t="s">
        <v>552</v>
      </c>
      <c r="U245" s="6">
        <v>42125.451678240737</v>
      </c>
      <c r="V245" t="s">
        <v>18</v>
      </c>
      <c r="W245" t="s">
        <v>322</v>
      </c>
      <c r="X245" s="6">
        <v>42026.495092592595</v>
      </c>
      <c r="Y245" t="s">
        <v>122</v>
      </c>
      <c r="AB245" t="s">
        <v>201</v>
      </c>
      <c r="AC245" t="s">
        <v>247</v>
      </c>
      <c r="AD245" t="s">
        <v>220</v>
      </c>
      <c r="AE245" t="s">
        <v>219</v>
      </c>
      <c r="AG245" t="s">
        <v>121</v>
      </c>
      <c r="AH245" t="s">
        <v>327</v>
      </c>
      <c r="AI245" t="s">
        <v>121</v>
      </c>
      <c r="AJ245" t="s">
        <v>716</v>
      </c>
      <c r="AK245" t="s">
        <v>121</v>
      </c>
    </row>
    <row r="246" spans="9:37" x14ac:dyDescent="0.3">
      <c r="I246">
        <f ca="1">IF(OR(INDIRECT(A73&amp;ROW())=B93,INDIRECT(A73&amp;ROW())=B94),1,IF(AND(INDIRECT(A73&amp;ROW())=B95,INDIRECT(A96&amp;ROW())=C93),1,IF(AND(INDIRECT(A73&amp;ROW())=B95,INDIRECT(A96&amp;ROW())=C94),1,0)))</f>
        <v>0</v>
      </c>
      <c r="J246">
        <f ca="1">IF(AND(INDIRECT(A73&amp;ROW())=B95,INDIRECT(A96&amp;ROW())=C95),1,IF(AND(INDIRECT(A73&amp;ROW())=B95,INDIRECT(A96&amp;ROW())=C96),1,0))</f>
        <v>1</v>
      </c>
      <c r="K246">
        <f ca="1">DAYS360(INDIRECT(C68&amp;ROW()),TODAY())</f>
        <v>721</v>
      </c>
      <c r="L246">
        <f ca="1">DAYS360(INDIRECT(C69&amp;ROW()),TODAY())</f>
        <v>820</v>
      </c>
      <c r="M246">
        <f ca="1">HYPERLINK(CONCATENATE("https://bugzilla.houston.hp.com:1181/bugzilla/show_bug.cgi?id=",INDIRECT(C70&amp;ROW())),INDIRECT(C70&amp;ROW()))</f>
        <v>55978</v>
      </c>
      <c r="N246">
        <v>55978</v>
      </c>
      <c r="O246" t="s">
        <v>56</v>
      </c>
      <c r="P246" t="s">
        <v>568</v>
      </c>
      <c r="Q246" t="s">
        <v>25</v>
      </c>
      <c r="R246" t="s">
        <v>251</v>
      </c>
      <c r="S246" t="s">
        <v>66</v>
      </c>
      <c r="U246" s="6">
        <v>42125.451793981483</v>
      </c>
      <c r="V246" t="s">
        <v>18</v>
      </c>
      <c r="W246" t="s">
        <v>17</v>
      </c>
      <c r="X246" s="6">
        <v>42026.602916666663</v>
      </c>
      <c r="Y246" t="s">
        <v>122</v>
      </c>
      <c r="AB246" t="s">
        <v>201</v>
      </c>
      <c r="AC246" t="s">
        <v>247</v>
      </c>
      <c r="AD246" t="s">
        <v>220</v>
      </c>
      <c r="AE246" t="s">
        <v>219</v>
      </c>
      <c r="AG246" t="s">
        <v>121</v>
      </c>
      <c r="AH246" t="s">
        <v>327</v>
      </c>
      <c r="AI246" t="s">
        <v>121</v>
      </c>
      <c r="AJ246" t="s">
        <v>716</v>
      </c>
      <c r="AK246" t="s">
        <v>121</v>
      </c>
    </row>
    <row r="247" spans="9:37" x14ac:dyDescent="0.3">
      <c r="I247">
        <f ca="1">IF(OR(INDIRECT(A73&amp;ROW())=B93,INDIRECT(A73&amp;ROW())=B94),1,IF(AND(INDIRECT(A73&amp;ROW())=B95,INDIRECT(A96&amp;ROW())=C93),1,IF(AND(INDIRECT(A73&amp;ROW())=B95,INDIRECT(A96&amp;ROW())=C94),1,0)))</f>
        <v>0</v>
      </c>
      <c r="J247">
        <f ca="1">IF(AND(INDIRECT(A73&amp;ROW())=B95,INDIRECT(A96&amp;ROW())=C95),1,IF(AND(INDIRECT(A73&amp;ROW())=B95,INDIRECT(A96&amp;ROW())=C96),1,0))</f>
        <v>1</v>
      </c>
      <c r="K247">
        <f ca="1">DAYS360(INDIRECT(C68&amp;ROW()),TODAY())</f>
        <v>721</v>
      </c>
      <c r="L247">
        <f ca="1">DAYS360(INDIRECT(C69&amp;ROW()),TODAY())</f>
        <v>819</v>
      </c>
      <c r="M247">
        <f ca="1">HYPERLINK(CONCATENATE("https://bugzilla.houston.hp.com:1181/bugzilla/show_bug.cgi?id=",INDIRECT(C70&amp;ROW())),INDIRECT(C70&amp;ROW()))</f>
        <v>56013</v>
      </c>
      <c r="N247">
        <v>56013</v>
      </c>
      <c r="O247" t="s">
        <v>56</v>
      </c>
      <c r="P247" t="s">
        <v>567</v>
      </c>
      <c r="Q247" t="s">
        <v>25</v>
      </c>
      <c r="R247" t="s">
        <v>248</v>
      </c>
      <c r="S247" t="s">
        <v>552</v>
      </c>
      <c r="U247" s="6">
        <v>42125.451886574076</v>
      </c>
      <c r="V247" t="s">
        <v>18</v>
      </c>
      <c r="W247" t="s">
        <v>322</v>
      </c>
      <c r="X247" s="6">
        <v>42027.410879629628</v>
      </c>
      <c r="Y247" t="s">
        <v>122</v>
      </c>
      <c r="AB247" t="s">
        <v>201</v>
      </c>
      <c r="AC247" t="s">
        <v>247</v>
      </c>
      <c r="AD247" t="s">
        <v>220</v>
      </c>
      <c r="AE247" t="s">
        <v>219</v>
      </c>
      <c r="AG247" t="s">
        <v>121</v>
      </c>
      <c r="AH247" t="s">
        <v>327</v>
      </c>
      <c r="AI247" t="s">
        <v>121</v>
      </c>
      <c r="AJ247" t="s">
        <v>716</v>
      </c>
      <c r="AK247" t="s">
        <v>121</v>
      </c>
    </row>
    <row r="248" spans="9:37" x14ac:dyDescent="0.3">
      <c r="I248">
        <f ca="1">IF(OR(INDIRECT(A73&amp;ROW())=B93,INDIRECT(A73&amp;ROW())=B94),1,IF(AND(INDIRECT(A73&amp;ROW())=B95,INDIRECT(A96&amp;ROW())=C93),1,IF(AND(INDIRECT(A73&amp;ROW())=B95,INDIRECT(A96&amp;ROW())=C94),1,0)))</f>
        <v>0</v>
      </c>
      <c r="J248">
        <f ca="1">IF(AND(INDIRECT(A73&amp;ROW())=B95,INDIRECT(A96&amp;ROW())=C95),1,IF(AND(INDIRECT(A73&amp;ROW())=B95,INDIRECT(A96&amp;ROW())=C96),1,0))</f>
        <v>1</v>
      </c>
      <c r="K248">
        <f ca="1">DAYS360(INDIRECT(C68&amp;ROW()),TODAY())</f>
        <v>721</v>
      </c>
      <c r="L248">
        <f ca="1">DAYS360(INDIRECT(C69&amp;ROW()),TODAY())</f>
        <v>819</v>
      </c>
      <c r="M248">
        <f ca="1">HYPERLINK(CONCATENATE("https://bugzilla.houston.hp.com:1181/bugzilla/show_bug.cgi?id=",INDIRECT(C70&amp;ROW())),INDIRECT(C70&amp;ROW()))</f>
        <v>56028</v>
      </c>
      <c r="N248">
        <v>56028</v>
      </c>
      <c r="O248" t="s">
        <v>21</v>
      </c>
      <c r="P248" t="s">
        <v>573</v>
      </c>
      <c r="Q248" t="s">
        <v>25</v>
      </c>
      <c r="R248" t="s">
        <v>248</v>
      </c>
      <c r="S248" t="s">
        <v>552</v>
      </c>
      <c r="U248" s="6">
        <v>42125.676585648151</v>
      </c>
      <c r="V248" t="s">
        <v>18</v>
      </c>
      <c r="W248" t="s">
        <v>531</v>
      </c>
      <c r="X248" s="6">
        <v>42027.631597222222</v>
      </c>
      <c r="Y248" t="s">
        <v>255</v>
      </c>
      <c r="AB248" t="s">
        <v>201</v>
      </c>
      <c r="AC248" t="s">
        <v>247</v>
      </c>
      <c r="AD248" t="s">
        <v>222</v>
      </c>
      <c r="AE248" t="s">
        <v>225</v>
      </c>
      <c r="AG248" t="s">
        <v>121</v>
      </c>
      <c r="AH248" t="s">
        <v>327</v>
      </c>
      <c r="AI248" t="s">
        <v>362</v>
      </c>
      <c r="AJ248" t="s">
        <v>716</v>
      </c>
      <c r="AK248" t="s">
        <v>121</v>
      </c>
    </row>
    <row r="249" spans="9:37" x14ac:dyDescent="0.3">
      <c r="I249">
        <f ca="1">IF(OR(INDIRECT(A73&amp;ROW())=B93,INDIRECT(A73&amp;ROW())=B94),1,IF(AND(INDIRECT(A73&amp;ROW())=B95,INDIRECT(A96&amp;ROW())=C93),1,IF(AND(INDIRECT(A73&amp;ROW())=B95,INDIRECT(A96&amp;ROW())=C94),1,0)))</f>
        <v>0</v>
      </c>
      <c r="J249">
        <f ca="1">IF(AND(INDIRECT(A73&amp;ROW())=B95,INDIRECT(A96&amp;ROW())=C95),1,IF(AND(INDIRECT(A73&amp;ROW())=B95,INDIRECT(A96&amp;ROW())=C96),1,0))</f>
        <v>1</v>
      </c>
      <c r="K249">
        <f ca="1">DAYS360(INDIRECT(C68&amp;ROW()),TODAY())</f>
        <v>721</v>
      </c>
      <c r="L249">
        <f ca="1">DAYS360(INDIRECT(C69&amp;ROW()),TODAY())</f>
        <v>819</v>
      </c>
      <c r="M249">
        <f ca="1">HYPERLINK(CONCATENATE("https://bugzilla.houston.hp.com:1181/bugzilla/show_bug.cgi?id=",INDIRECT(C70&amp;ROW())),INDIRECT(C70&amp;ROW()))</f>
        <v>56029</v>
      </c>
      <c r="N249">
        <v>56029</v>
      </c>
      <c r="O249" t="s">
        <v>21</v>
      </c>
      <c r="P249" t="s">
        <v>572</v>
      </c>
      <c r="Q249" t="s">
        <v>25</v>
      </c>
      <c r="R249" t="s">
        <v>248</v>
      </c>
      <c r="S249" t="s">
        <v>552</v>
      </c>
      <c r="U249" s="6">
        <v>42125.677881944444</v>
      </c>
      <c r="V249" t="s">
        <v>18</v>
      </c>
      <c r="W249" t="s">
        <v>531</v>
      </c>
      <c r="X249" s="6">
        <v>42027.633900462963</v>
      </c>
      <c r="Y249" t="s">
        <v>255</v>
      </c>
      <c r="AB249" t="s">
        <v>201</v>
      </c>
      <c r="AC249" t="s">
        <v>247</v>
      </c>
      <c r="AD249" t="s">
        <v>222</v>
      </c>
      <c r="AE249" t="s">
        <v>240</v>
      </c>
      <c r="AG249" t="s">
        <v>121</v>
      </c>
      <c r="AH249" t="s">
        <v>327</v>
      </c>
      <c r="AI249" t="s">
        <v>121</v>
      </c>
      <c r="AJ249" t="s">
        <v>716</v>
      </c>
      <c r="AK249" t="s">
        <v>121</v>
      </c>
    </row>
    <row r="250" spans="9:37" x14ac:dyDescent="0.3">
      <c r="I250">
        <f ca="1">IF(OR(INDIRECT(A73&amp;ROW())=B93,INDIRECT(A73&amp;ROW())=B94),1,IF(AND(INDIRECT(A73&amp;ROW())=B95,INDIRECT(A96&amp;ROW())=C93),1,IF(AND(INDIRECT(A73&amp;ROW())=B95,INDIRECT(A96&amp;ROW())=C94),1,0)))</f>
        <v>0</v>
      </c>
      <c r="J250">
        <f ca="1">IF(AND(INDIRECT(A73&amp;ROW())=B95,INDIRECT(A96&amp;ROW())=C95),1,IF(AND(INDIRECT(A73&amp;ROW())=B95,INDIRECT(A96&amp;ROW())=C96),1,0))</f>
        <v>1</v>
      </c>
      <c r="K250">
        <f ca="1">DAYS360(INDIRECT(C68&amp;ROW()),TODAY())</f>
        <v>730</v>
      </c>
      <c r="L250">
        <f ca="1">DAYS360(INDIRECT(C69&amp;ROW()),TODAY())</f>
        <v>819</v>
      </c>
      <c r="M250">
        <f ca="1">HYPERLINK(CONCATENATE("https://bugzilla.houston.hp.com:1181/bugzilla/show_bug.cgi?id=",INDIRECT(C70&amp;ROW())),INDIRECT(C70&amp;ROW()))</f>
        <v>56033</v>
      </c>
      <c r="N250">
        <v>56033</v>
      </c>
      <c r="O250" t="s">
        <v>56</v>
      </c>
      <c r="P250" t="s">
        <v>585</v>
      </c>
      <c r="Q250" t="s">
        <v>25</v>
      </c>
      <c r="R250" t="s">
        <v>251</v>
      </c>
      <c r="S250" t="s">
        <v>66</v>
      </c>
      <c r="U250" s="6">
        <v>42116.735208333332</v>
      </c>
      <c r="V250" t="s">
        <v>18</v>
      </c>
      <c r="W250" t="s">
        <v>17</v>
      </c>
      <c r="X250" s="6">
        <v>42027.722395833334</v>
      </c>
      <c r="Y250" t="s">
        <v>124</v>
      </c>
      <c r="AB250" t="s">
        <v>201</v>
      </c>
      <c r="AC250" t="s">
        <v>247</v>
      </c>
      <c r="AD250" t="s">
        <v>220</v>
      </c>
      <c r="AE250" t="s">
        <v>219</v>
      </c>
      <c r="AG250" t="s">
        <v>121</v>
      </c>
      <c r="AH250" t="s">
        <v>327</v>
      </c>
      <c r="AI250" t="s">
        <v>121</v>
      </c>
      <c r="AJ250" t="s">
        <v>716</v>
      </c>
      <c r="AK250" t="s">
        <v>121</v>
      </c>
    </row>
    <row r="251" spans="9:37" x14ac:dyDescent="0.3">
      <c r="I251">
        <f ca="1">IF(OR(INDIRECT(A73&amp;ROW())=B93,INDIRECT(A73&amp;ROW())=B94),1,IF(AND(INDIRECT(A73&amp;ROW())=B95,INDIRECT(A96&amp;ROW())=C93),1,IF(AND(INDIRECT(A73&amp;ROW())=B95,INDIRECT(A96&amp;ROW())=C94),1,0)))</f>
        <v>0</v>
      </c>
      <c r="J251">
        <f ca="1">IF(AND(INDIRECT(A73&amp;ROW())=B95,INDIRECT(A96&amp;ROW())=C95),1,IF(AND(INDIRECT(A73&amp;ROW())=B95,INDIRECT(A96&amp;ROW())=C96),1,0))</f>
        <v>1</v>
      </c>
      <c r="K251">
        <f ca="1">DAYS360(INDIRECT(C68&amp;ROW()),TODAY())</f>
        <v>816</v>
      </c>
      <c r="L251">
        <f ca="1">DAYS360(INDIRECT(C69&amp;ROW()),TODAY())</f>
        <v>816</v>
      </c>
      <c r="M251">
        <f ca="1">HYPERLINK(CONCATENATE("https://bugzilla.houston.hp.com:1181/bugzilla/show_bug.cgi?id=",INDIRECT(C70&amp;ROW())),INDIRECT(C70&amp;ROW()))</f>
        <v>56045</v>
      </c>
      <c r="N251">
        <v>56045</v>
      </c>
      <c r="O251" t="s">
        <v>56</v>
      </c>
      <c r="P251" t="s">
        <v>571</v>
      </c>
      <c r="Q251" t="s">
        <v>25</v>
      </c>
      <c r="R251" t="s">
        <v>248</v>
      </c>
      <c r="S251" t="s">
        <v>552</v>
      </c>
      <c r="U251" s="6">
        <v>42030.326377314814</v>
      </c>
      <c r="V251" t="s">
        <v>18</v>
      </c>
      <c r="W251" t="s">
        <v>205</v>
      </c>
      <c r="X251" s="6">
        <v>42030.325902777775</v>
      </c>
      <c r="Y251" t="s">
        <v>124</v>
      </c>
      <c r="AB251" t="s">
        <v>201</v>
      </c>
      <c r="AC251" t="s">
        <v>247</v>
      </c>
      <c r="AD251" t="s">
        <v>220</v>
      </c>
      <c r="AE251" t="s">
        <v>219</v>
      </c>
      <c r="AG251" t="s">
        <v>121</v>
      </c>
      <c r="AH251" t="s">
        <v>327</v>
      </c>
      <c r="AI251" t="s">
        <v>121</v>
      </c>
      <c r="AJ251" t="s">
        <v>716</v>
      </c>
      <c r="AK251" t="s">
        <v>121</v>
      </c>
    </row>
    <row r="252" spans="9:37" x14ac:dyDescent="0.3">
      <c r="I252">
        <f ca="1">IF(OR(INDIRECT(A73&amp;ROW())=B93,INDIRECT(A73&amp;ROW())=B94),1,IF(AND(INDIRECT(A73&amp;ROW())=B95,INDIRECT(A96&amp;ROW())=C93),1,IF(AND(INDIRECT(A73&amp;ROW())=B95,INDIRECT(A96&amp;ROW())=C94),1,0)))</f>
        <v>0</v>
      </c>
      <c r="J252">
        <f ca="1">IF(AND(INDIRECT(A73&amp;ROW())=B95,INDIRECT(A96&amp;ROW())=C95),1,IF(AND(INDIRECT(A73&amp;ROW())=B95,INDIRECT(A96&amp;ROW())=C96),1,0))</f>
        <v>1</v>
      </c>
      <c r="K252">
        <f ca="1">DAYS360(INDIRECT(C68&amp;ROW()),TODAY())</f>
        <v>684</v>
      </c>
      <c r="L252">
        <f ca="1">DAYS360(INDIRECT(C69&amp;ROW()),TODAY())</f>
        <v>816</v>
      </c>
      <c r="M252">
        <f ca="1">HYPERLINK(CONCATENATE("https://bugzilla.houston.hp.com:1181/bugzilla/show_bug.cgi?id=",INDIRECT(C70&amp;ROW())),INDIRECT(C70&amp;ROW()))</f>
        <v>56053</v>
      </c>
      <c r="N252">
        <v>56053</v>
      </c>
      <c r="O252" t="s">
        <v>56</v>
      </c>
      <c r="P252" t="s">
        <v>584</v>
      </c>
      <c r="Q252" t="s">
        <v>25</v>
      </c>
      <c r="R252" t="s">
        <v>251</v>
      </c>
      <c r="S252" t="s">
        <v>66</v>
      </c>
      <c r="U252" s="6">
        <v>42163.602731481478</v>
      </c>
      <c r="V252" t="s">
        <v>18</v>
      </c>
      <c r="W252" t="s">
        <v>17</v>
      </c>
      <c r="X252" s="6">
        <v>42030.454444444447</v>
      </c>
      <c r="Y252" t="s">
        <v>122</v>
      </c>
      <c r="AB252" t="s">
        <v>201</v>
      </c>
      <c r="AC252" t="s">
        <v>247</v>
      </c>
      <c r="AD252" t="s">
        <v>220</v>
      </c>
      <c r="AE252" t="s">
        <v>219</v>
      </c>
      <c r="AG252" t="s">
        <v>121</v>
      </c>
      <c r="AH252" t="s">
        <v>327</v>
      </c>
      <c r="AI252" t="s">
        <v>121</v>
      </c>
      <c r="AJ252" t="s">
        <v>716</v>
      </c>
      <c r="AK252" t="s">
        <v>121</v>
      </c>
    </row>
    <row r="253" spans="9:37" x14ac:dyDescent="0.3">
      <c r="I253">
        <f ca="1">IF(OR(INDIRECT(A73&amp;ROW())=B93,INDIRECT(A73&amp;ROW())=B94),1,IF(AND(INDIRECT(A73&amp;ROW())=B95,INDIRECT(A96&amp;ROW())=C93),1,IF(AND(INDIRECT(A73&amp;ROW())=B95,INDIRECT(A96&amp;ROW())=C94),1,0)))</f>
        <v>0</v>
      </c>
      <c r="J253">
        <f ca="1">IF(AND(INDIRECT(A73&amp;ROW())=B95,INDIRECT(A96&amp;ROW())=C95),1,IF(AND(INDIRECT(A73&amp;ROW())=B95,INDIRECT(A96&amp;ROW())=C96),1,0))</f>
        <v>1</v>
      </c>
      <c r="K253">
        <f ca="1">DAYS360(INDIRECT(C68&amp;ROW()),TODAY())</f>
        <v>721</v>
      </c>
      <c r="L253">
        <f ca="1">DAYS360(INDIRECT(C69&amp;ROW()),TODAY())</f>
        <v>816</v>
      </c>
      <c r="M253">
        <f ca="1">HYPERLINK(CONCATENATE("https://bugzilla.houston.hp.com:1181/bugzilla/show_bug.cgi?id=",INDIRECT(C70&amp;ROW())),INDIRECT(C70&amp;ROW()))</f>
        <v>56057</v>
      </c>
      <c r="N253">
        <v>56057</v>
      </c>
      <c r="O253" t="s">
        <v>56</v>
      </c>
      <c r="P253" t="s">
        <v>583</v>
      </c>
      <c r="Q253" t="s">
        <v>25</v>
      </c>
      <c r="R253" t="s">
        <v>248</v>
      </c>
      <c r="S253" t="s">
        <v>552</v>
      </c>
      <c r="U253" s="6">
        <v>42125.452974537038</v>
      </c>
      <c r="V253" t="s">
        <v>18</v>
      </c>
      <c r="W253" t="s">
        <v>322</v>
      </c>
      <c r="X253" s="6">
        <v>42030.48777777778</v>
      </c>
      <c r="Y253" t="s">
        <v>122</v>
      </c>
      <c r="AB253" t="s">
        <v>201</v>
      </c>
      <c r="AC253" t="s">
        <v>247</v>
      </c>
      <c r="AD253" t="s">
        <v>220</v>
      </c>
      <c r="AE253" t="s">
        <v>219</v>
      </c>
      <c r="AG253" t="s">
        <v>121</v>
      </c>
      <c r="AH253" t="s">
        <v>327</v>
      </c>
      <c r="AI253" t="s">
        <v>121</v>
      </c>
      <c r="AJ253" t="s">
        <v>716</v>
      </c>
      <c r="AK253" t="s">
        <v>121</v>
      </c>
    </row>
    <row r="254" spans="9:37" x14ac:dyDescent="0.3">
      <c r="I254">
        <f ca="1">IF(OR(INDIRECT(A73&amp;ROW())=B93,INDIRECT(A73&amp;ROW())=B94),1,IF(AND(INDIRECT(A73&amp;ROW())=B95,INDIRECT(A96&amp;ROW())=C93),1,IF(AND(INDIRECT(A73&amp;ROW())=B95,INDIRECT(A96&amp;ROW())=C94),1,0)))</f>
        <v>0</v>
      </c>
      <c r="J254">
        <f ca="1">IF(AND(INDIRECT(A73&amp;ROW())=B95,INDIRECT(A96&amp;ROW())=C95),1,IF(AND(INDIRECT(A73&amp;ROW())=B95,INDIRECT(A96&amp;ROW())=C96),1,0))</f>
        <v>1</v>
      </c>
      <c r="K254">
        <f ca="1">DAYS360(INDIRECT(C68&amp;ROW()),TODAY())</f>
        <v>684</v>
      </c>
      <c r="L254">
        <f ca="1">DAYS360(INDIRECT(C69&amp;ROW()),TODAY())</f>
        <v>816</v>
      </c>
      <c r="M254">
        <f ca="1">HYPERLINK(CONCATENATE("https://bugzilla.houston.hp.com:1181/bugzilla/show_bug.cgi?id=",INDIRECT(C70&amp;ROW())),INDIRECT(C70&amp;ROW()))</f>
        <v>56067</v>
      </c>
      <c r="N254">
        <v>56067</v>
      </c>
      <c r="O254" t="s">
        <v>56</v>
      </c>
      <c r="P254" t="s">
        <v>582</v>
      </c>
      <c r="Q254" t="s">
        <v>25</v>
      </c>
      <c r="R254" t="s">
        <v>251</v>
      </c>
      <c r="S254" t="s">
        <v>66</v>
      </c>
      <c r="U254" s="6">
        <v>42163.605011574073</v>
      </c>
      <c r="V254" t="s">
        <v>18</v>
      </c>
      <c r="W254" t="s">
        <v>17</v>
      </c>
      <c r="X254" s="6">
        <v>42030.65353009259</v>
      </c>
      <c r="Y254" t="s">
        <v>122</v>
      </c>
      <c r="AB254" t="s">
        <v>201</v>
      </c>
      <c r="AC254" t="s">
        <v>247</v>
      </c>
      <c r="AD254" t="s">
        <v>220</v>
      </c>
      <c r="AE254" t="s">
        <v>219</v>
      </c>
      <c r="AG254" t="s">
        <v>121</v>
      </c>
      <c r="AH254" t="s">
        <v>327</v>
      </c>
      <c r="AI254" t="s">
        <v>121</v>
      </c>
      <c r="AJ254" t="s">
        <v>716</v>
      </c>
      <c r="AK254" t="s">
        <v>121</v>
      </c>
    </row>
    <row r="255" spans="9:37" x14ac:dyDescent="0.3">
      <c r="I255">
        <f ca="1">IF(OR(INDIRECT(A73&amp;ROW())=B93,INDIRECT(A73&amp;ROW())=B94),1,IF(AND(INDIRECT(A73&amp;ROW())=B95,INDIRECT(A96&amp;ROW())=C93),1,IF(AND(INDIRECT(A73&amp;ROW())=B95,INDIRECT(A96&amp;ROW())=C94),1,0)))</f>
        <v>0</v>
      </c>
      <c r="J255">
        <f ca="1">IF(AND(INDIRECT(A73&amp;ROW())=B95,INDIRECT(A96&amp;ROW())=C95),1,IF(AND(INDIRECT(A73&amp;ROW())=B95,INDIRECT(A96&amp;ROW())=C96),1,0))</f>
        <v>1</v>
      </c>
      <c r="K255">
        <f ca="1">DAYS360(INDIRECT(C68&amp;ROW()),TODAY())</f>
        <v>721</v>
      </c>
      <c r="L255">
        <f ca="1">DAYS360(INDIRECT(C69&amp;ROW()),TODAY())</f>
        <v>816</v>
      </c>
      <c r="M255">
        <f ca="1">HYPERLINK(CONCATENATE("https://bugzilla.houston.hp.com:1181/bugzilla/show_bug.cgi?id=",INDIRECT(C70&amp;ROW())),INDIRECT(C70&amp;ROW()))</f>
        <v>56070</v>
      </c>
      <c r="N255">
        <v>56070</v>
      </c>
      <c r="O255" t="s">
        <v>56</v>
      </c>
      <c r="P255" t="s">
        <v>581</v>
      </c>
      <c r="Q255" t="s">
        <v>25</v>
      </c>
      <c r="R255" t="s">
        <v>248</v>
      </c>
      <c r="S255" t="s">
        <v>552</v>
      </c>
      <c r="U255" s="6">
        <v>42125.452928240738</v>
      </c>
      <c r="V255" t="s">
        <v>18</v>
      </c>
      <c r="W255" t="s">
        <v>322</v>
      </c>
      <c r="X255" s="6">
        <v>42030.662905092591</v>
      </c>
      <c r="Y255" t="s">
        <v>122</v>
      </c>
      <c r="AB255" t="s">
        <v>201</v>
      </c>
      <c r="AC255" t="s">
        <v>247</v>
      </c>
      <c r="AD255" t="s">
        <v>220</v>
      </c>
      <c r="AE255" t="s">
        <v>219</v>
      </c>
      <c r="AG255" t="s">
        <v>121</v>
      </c>
      <c r="AH255" t="s">
        <v>327</v>
      </c>
      <c r="AI255" t="s">
        <v>121</v>
      </c>
      <c r="AJ255" t="s">
        <v>716</v>
      </c>
      <c r="AK255" t="s">
        <v>121</v>
      </c>
    </row>
    <row r="256" spans="9:37" x14ac:dyDescent="0.3">
      <c r="I256">
        <f ca="1">IF(OR(INDIRECT(A73&amp;ROW())=B93,INDIRECT(A73&amp;ROW())=B94),1,IF(AND(INDIRECT(A73&amp;ROW())=B95,INDIRECT(A96&amp;ROW())=C93),1,IF(AND(INDIRECT(A73&amp;ROW())=B95,INDIRECT(A96&amp;ROW())=C94),1,0)))</f>
        <v>1</v>
      </c>
      <c r="J256">
        <f ca="1">IF(AND(INDIRECT(A73&amp;ROW())=B95,INDIRECT(A96&amp;ROW())=C95),1,IF(AND(INDIRECT(A73&amp;ROW())=B95,INDIRECT(A96&amp;ROW())=C96),1,0))</f>
        <v>0</v>
      </c>
      <c r="K256">
        <f ca="1">DAYS360(INDIRECT(C68&amp;ROW()),TODAY())</f>
        <v>681</v>
      </c>
      <c r="L256">
        <f ca="1">DAYS360(INDIRECT(C69&amp;ROW()),TODAY())</f>
        <v>815</v>
      </c>
      <c r="M256">
        <f ca="1">HYPERLINK(CONCATENATE("https://bugzilla.houston.hp.com:1181/bugzilla/show_bug.cgi?id=",INDIRECT(C70&amp;ROW())),INDIRECT(C70&amp;ROW()))</f>
        <v>56087</v>
      </c>
      <c r="N256">
        <v>56087</v>
      </c>
      <c r="O256" t="s">
        <v>241</v>
      </c>
      <c r="P256" t="s">
        <v>791</v>
      </c>
      <c r="Q256" t="s">
        <v>25</v>
      </c>
      <c r="R256" t="s">
        <v>251</v>
      </c>
      <c r="S256" t="s">
        <v>33</v>
      </c>
      <c r="U256" s="6">
        <v>42166.337025462963</v>
      </c>
      <c r="V256" t="s">
        <v>18</v>
      </c>
      <c r="W256" t="s">
        <v>17</v>
      </c>
      <c r="X256" s="6">
        <v>42031.244432870371</v>
      </c>
      <c r="Y256" t="s">
        <v>535</v>
      </c>
      <c r="Z256" t="s">
        <v>125</v>
      </c>
      <c r="AB256" t="s">
        <v>200</v>
      </c>
      <c r="AC256" t="s">
        <v>247</v>
      </c>
      <c r="AD256" t="s">
        <v>220</v>
      </c>
      <c r="AE256" t="s">
        <v>224</v>
      </c>
      <c r="AG256" t="s">
        <v>121</v>
      </c>
      <c r="AH256" t="s">
        <v>327</v>
      </c>
      <c r="AI256" t="s">
        <v>362</v>
      </c>
      <c r="AJ256" t="s">
        <v>715</v>
      </c>
      <c r="AK256" t="s">
        <v>121</v>
      </c>
    </row>
    <row r="257" spans="9:37" x14ac:dyDescent="0.3">
      <c r="I257">
        <f ca="1">IF(OR(INDIRECT(A73&amp;ROW())=B93,INDIRECT(A73&amp;ROW())=B94),1,IF(AND(INDIRECT(A73&amp;ROW())=B95,INDIRECT(A96&amp;ROW())=C93),1,IF(AND(INDIRECT(A73&amp;ROW())=B95,INDIRECT(A96&amp;ROW())=C94),1,0)))</f>
        <v>1</v>
      </c>
      <c r="J257">
        <f ca="1">IF(AND(INDIRECT(A73&amp;ROW())=B95,INDIRECT(A96&amp;ROW())=C95),1,IF(AND(INDIRECT(A73&amp;ROW())=B95,INDIRECT(A96&amp;ROW())=C96),1,0))</f>
        <v>0</v>
      </c>
      <c r="K257">
        <f ca="1">DAYS360(INDIRECT(C68&amp;ROW()),TODAY())</f>
        <v>690</v>
      </c>
      <c r="L257">
        <f ca="1">DAYS360(INDIRECT(C69&amp;ROW()),TODAY())</f>
        <v>815</v>
      </c>
      <c r="M257">
        <f ca="1">HYPERLINK(CONCATENATE("https://bugzilla.houston.hp.com:1181/bugzilla/show_bug.cgi?id=",INDIRECT(C70&amp;ROW())),INDIRECT(C70&amp;ROW()))</f>
        <v>56102</v>
      </c>
      <c r="N257">
        <v>56102</v>
      </c>
      <c r="O257" t="s">
        <v>56</v>
      </c>
      <c r="P257" t="s">
        <v>789</v>
      </c>
      <c r="Q257" t="s">
        <v>25</v>
      </c>
      <c r="R257" t="s">
        <v>248</v>
      </c>
      <c r="S257" t="s">
        <v>552</v>
      </c>
      <c r="U257" s="6">
        <v>42157.112395833334</v>
      </c>
      <c r="V257" t="s">
        <v>18</v>
      </c>
      <c r="W257" t="s">
        <v>17</v>
      </c>
      <c r="X257" s="6">
        <v>42031.428599537037</v>
      </c>
      <c r="Y257" t="s">
        <v>119</v>
      </c>
      <c r="Z257" t="s">
        <v>125</v>
      </c>
      <c r="AB257" t="s">
        <v>200</v>
      </c>
      <c r="AC257" t="s">
        <v>247</v>
      </c>
      <c r="AD257" t="s">
        <v>220</v>
      </c>
      <c r="AE257" t="s">
        <v>219</v>
      </c>
      <c r="AG257" t="s">
        <v>121</v>
      </c>
      <c r="AH257" t="s">
        <v>327</v>
      </c>
      <c r="AI257" t="s">
        <v>121</v>
      </c>
      <c r="AJ257" t="s">
        <v>715</v>
      </c>
      <c r="AK257" t="s">
        <v>121</v>
      </c>
    </row>
    <row r="258" spans="9:37" x14ac:dyDescent="0.3">
      <c r="I258">
        <f ca="1">IF(OR(INDIRECT(A73&amp;ROW())=B93,INDIRECT(A73&amp;ROW())=B94),1,IF(AND(INDIRECT(A73&amp;ROW())=B95,INDIRECT(A96&amp;ROW())=C93),1,IF(AND(INDIRECT(A73&amp;ROW())=B95,INDIRECT(A96&amp;ROW())=C94),1,0)))</f>
        <v>0</v>
      </c>
      <c r="J258">
        <f ca="1">IF(AND(INDIRECT(A73&amp;ROW())=B95,INDIRECT(A96&amp;ROW())=C95),1,IF(AND(INDIRECT(A73&amp;ROW())=B95,INDIRECT(A96&amp;ROW())=C96),1,0))</f>
        <v>0</v>
      </c>
      <c r="K258">
        <f ca="1">DAYS360(INDIRECT(C68&amp;ROW()),TODAY())</f>
        <v>721</v>
      </c>
      <c r="L258">
        <f ca="1">DAYS360(INDIRECT(C69&amp;ROW()),TODAY())</f>
        <v>810</v>
      </c>
      <c r="M258">
        <f ca="1">HYPERLINK(CONCATENATE("https://bugzilla.houston.hp.com:1181/bugzilla/show_bug.cgi?id=",INDIRECT(C70&amp;ROW())),INDIRECT(C70&amp;ROW()))</f>
        <v>56385</v>
      </c>
      <c r="N258">
        <v>56385</v>
      </c>
      <c r="O258" t="s">
        <v>22</v>
      </c>
      <c r="P258" t="s">
        <v>578</v>
      </c>
      <c r="Q258" t="s">
        <v>16</v>
      </c>
      <c r="R258" t="s">
        <v>251</v>
      </c>
      <c r="S258" t="s">
        <v>43</v>
      </c>
      <c r="U258" s="6">
        <v>42125.452986111108</v>
      </c>
      <c r="V258" t="s">
        <v>18</v>
      </c>
      <c r="W258" t="s">
        <v>17</v>
      </c>
      <c r="X258" s="6">
        <v>42037.399351851855</v>
      </c>
      <c r="Y258" t="s">
        <v>122</v>
      </c>
      <c r="AB258" t="s">
        <v>201</v>
      </c>
      <c r="AC258" t="s">
        <v>247</v>
      </c>
      <c r="AD258" t="s">
        <v>222</v>
      </c>
      <c r="AE258" t="s">
        <v>240</v>
      </c>
      <c r="AG258" t="s">
        <v>121</v>
      </c>
      <c r="AH258" t="s">
        <v>327</v>
      </c>
      <c r="AI258" t="s">
        <v>121</v>
      </c>
      <c r="AJ258" t="s">
        <v>717</v>
      </c>
      <c r="AK258" t="s">
        <v>121</v>
      </c>
    </row>
    <row r="259" spans="9:37" x14ac:dyDescent="0.3">
      <c r="I259">
        <f ca="1">IF(OR(INDIRECT(A73&amp;ROW())=B93,INDIRECT(A73&amp;ROW())=B94),1,IF(AND(INDIRECT(A73&amp;ROW())=B95,INDIRECT(A96&amp;ROW())=C93),1,IF(AND(INDIRECT(A73&amp;ROW())=B95,INDIRECT(A96&amp;ROW())=C94),1,0)))</f>
        <v>0</v>
      </c>
      <c r="J259">
        <f ca="1">IF(AND(INDIRECT(A73&amp;ROW())=B95,INDIRECT(A96&amp;ROW())=C95),1,IF(AND(INDIRECT(A73&amp;ROW())=B95,INDIRECT(A96&amp;ROW())=C96),1,0))</f>
        <v>1</v>
      </c>
      <c r="K259">
        <f ca="1">DAYS360(INDIRECT(C68&amp;ROW()),TODAY())</f>
        <v>730</v>
      </c>
      <c r="L259">
        <f ca="1">DAYS360(INDIRECT(C69&amp;ROW()),TODAY())</f>
        <v>810</v>
      </c>
      <c r="M259">
        <f ca="1">HYPERLINK(CONCATENATE("https://bugzilla.houston.hp.com:1181/bugzilla/show_bug.cgi?id=",INDIRECT(C70&amp;ROW())),INDIRECT(C70&amp;ROW()))</f>
        <v>56388</v>
      </c>
      <c r="N259">
        <v>56388</v>
      </c>
      <c r="O259" t="s">
        <v>56</v>
      </c>
      <c r="P259" t="s">
        <v>596</v>
      </c>
      <c r="Q259" t="s">
        <v>25</v>
      </c>
      <c r="R259" t="s">
        <v>251</v>
      </c>
      <c r="S259" t="s">
        <v>66</v>
      </c>
      <c r="U259" s="6">
        <v>42116.735567129632</v>
      </c>
      <c r="V259" t="s">
        <v>18</v>
      </c>
      <c r="W259" t="s">
        <v>17</v>
      </c>
      <c r="X259" s="6">
        <v>42037.476793981485</v>
      </c>
      <c r="Y259" t="s">
        <v>788</v>
      </c>
      <c r="AB259" t="s">
        <v>201</v>
      </c>
      <c r="AC259" t="s">
        <v>247</v>
      </c>
      <c r="AD259" t="s">
        <v>220</v>
      </c>
      <c r="AE259" t="s">
        <v>219</v>
      </c>
      <c r="AG259" t="s">
        <v>121</v>
      </c>
      <c r="AH259" t="s">
        <v>327</v>
      </c>
      <c r="AI259" t="s">
        <v>121</v>
      </c>
      <c r="AJ259" t="s">
        <v>716</v>
      </c>
      <c r="AK259" t="s">
        <v>121</v>
      </c>
    </row>
    <row r="260" spans="9:37" x14ac:dyDescent="0.3">
      <c r="I260">
        <f ca="1">IF(OR(INDIRECT(A73&amp;ROW())=B93,INDIRECT(A73&amp;ROW())=B94),1,IF(AND(INDIRECT(A73&amp;ROW())=B95,INDIRECT(A96&amp;ROW())=C93),1,IF(AND(INDIRECT(A73&amp;ROW())=B95,INDIRECT(A96&amp;ROW())=C94),1,0)))</f>
        <v>1</v>
      </c>
      <c r="J260">
        <f ca="1">IF(AND(INDIRECT(A73&amp;ROW())=B95,INDIRECT(A96&amp;ROW())=C95),1,IF(AND(INDIRECT(A73&amp;ROW())=B95,INDIRECT(A96&amp;ROW())=C96),1,0))</f>
        <v>0</v>
      </c>
      <c r="K260">
        <f ca="1">DAYS360(INDIRECT(C68&amp;ROW()),TODAY())</f>
        <v>730</v>
      </c>
      <c r="L260">
        <f ca="1">DAYS360(INDIRECT(C69&amp;ROW()),TODAY())</f>
        <v>810</v>
      </c>
      <c r="M260">
        <f ca="1">HYPERLINK(CONCATENATE("https://bugzilla.houston.hp.com:1181/bugzilla/show_bug.cgi?id=",INDIRECT(C70&amp;ROW())),INDIRECT(C70&amp;ROW()))</f>
        <v>56399</v>
      </c>
      <c r="N260">
        <v>56399</v>
      </c>
      <c r="O260" t="s">
        <v>68</v>
      </c>
      <c r="P260" t="s">
        <v>802</v>
      </c>
      <c r="Q260" t="s">
        <v>25</v>
      </c>
      <c r="R260" t="s">
        <v>251</v>
      </c>
      <c r="S260" t="s">
        <v>577</v>
      </c>
      <c r="U260" s="6">
        <v>42116.735636574071</v>
      </c>
      <c r="V260" t="s">
        <v>40</v>
      </c>
      <c r="W260" t="s">
        <v>17</v>
      </c>
      <c r="X260" s="6">
        <v>42037.707766203705</v>
      </c>
      <c r="Y260" t="s">
        <v>255</v>
      </c>
      <c r="Z260" t="s">
        <v>125</v>
      </c>
      <c r="AB260" t="s">
        <v>200</v>
      </c>
      <c r="AC260" t="s">
        <v>247</v>
      </c>
      <c r="AD260" t="s">
        <v>220</v>
      </c>
      <c r="AE260" t="s">
        <v>229</v>
      </c>
      <c r="AG260" t="s">
        <v>121</v>
      </c>
      <c r="AH260" t="s">
        <v>327</v>
      </c>
      <c r="AI260" t="s">
        <v>121</v>
      </c>
      <c r="AJ260" t="s">
        <v>715</v>
      </c>
      <c r="AK260" t="s">
        <v>121</v>
      </c>
    </row>
    <row r="261" spans="9:37" x14ac:dyDescent="0.3">
      <c r="I261">
        <f ca="1">IF(OR(INDIRECT(A73&amp;ROW())=B93,INDIRECT(A73&amp;ROW())=B94),1,IF(AND(INDIRECT(A73&amp;ROW())=B95,INDIRECT(A96&amp;ROW())=C93),1,IF(AND(INDIRECT(A73&amp;ROW())=B95,INDIRECT(A96&amp;ROW())=C94),1,0)))</f>
        <v>0</v>
      </c>
      <c r="J261">
        <f ca="1">IF(AND(INDIRECT(A73&amp;ROW())=B95,INDIRECT(A96&amp;ROW())=C95),1,IF(AND(INDIRECT(A73&amp;ROW())=B95,INDIRECT(A96&amp;ROW())=C96),1,0))</f>
        <v>1</v>
      </c>
      <c r="K261">
        <f ca="1">DAYS360(INDIRECT(C68&amp;ROW()),TODAY())</f>
        <v>679</v>
      </c>
      <c r="L261">
        <f ca="1">DAYS360(INDIRECT(C69&amp;ROW()),TODAY())</f>
        <v>809</v>
      </c>
      <c r="M261">
        <f ca="1">HYPERLINK(CONCATENATE("https://bugzilla.houston.hp.com:1181/bugzilla/show_bug.cgi?id=",INDIRECT(C70&amp;ROW())),INDIRECT(C70&amp;ROW()))</f>
        <v>56425</v>
      </c>
      <c r="N261">
        <v>56425</v>
      </c>
      <c r="O261" t="s">
        <v>56</v>
      </c>
      <c r="P261" t="s">
        <v>595</v>
      </c>
      <c r="Q261" t="s">
        <v>25</v>
      </c>
      <c r="R261" t="s">
        <v>251</v>
      </c>
      <c r="S261" t="s">
        <v>66</v>
      </c>
      <c r="U261" s="6">
        <v>42168.422650462962</v>
      </c>
      <c r="V261" t="s">
        <v>18</v>
      </c>
      <c r="W261" t="s">
        <v>17</v>
      </c>
      <c r="X261" s="6">
        <v>42038.452962962961</v>
      </c>
      <c r="Y261" t="s">
        <v>788</v>
      </c>
      <c r="AB261" t="s">
        <v>201</v>
      </c>
      <c r="AC261" t="s">
        <v>247</v>
      </c>
      <c r="AD261" t="s">
        <v>220</v>
      </c>
      <c r="AE261" t="s">
        <v>219</v>
      </c>
      <c r="AG261" t="s">
        <v>121</v>
      </c>
      <c r="AH261" t="s">
        <v>327</v>
      </c>
      <c r="AI261" t="s">
        <v>121</v>
      </c>
      <c r="AJ261" t="s">
        <v>716</v>
      </c>
      <c r="AK261" t="s">
        <v>121</v>
      </c>
    </row>
    <row r="262" spans="9:37" x14ac:dyDescent="0.3">
      <c r="I262">
        <f ca="1">IF(OR(INDIRECT(A73&amp;ROW())=B93,INDIRECT(A73&amp;ROW())=B94),1,IF(AND(INDIRECT(A73&amp;ROW())=B95,INDIRECT(A96&amp;ROW())=C93),1,IF(AND(INDIRECT(A73&amp;ROW())=B95,INDIRECT(A96&amp;ROW())=C94),1,0)))</f>
        <v>0</v>
      </c>
      <c r="J262">
        <f ca="1">IF(AND(INDIRECT(A73&amp;ROW())=B95,INDIRECT(A96&amp;ROW())=C95),1,IF(AND(INDIRECT(A73&amp;ROW())=B95,INDIRECT(A96&amp;ROW())=C96),1,0))</f>
        <v>1</v>
      </c>
      <c r="K262">
        <f ca="1">DAYS360(INDIRECT(C68&amp;ROW()),TODAY())</f>
        <v>799</v>
      </c>
      <c r="L262">
        <f ca="1">DAYS360(INDIRECT(C69&amp;ROW()),TODAY())</f>
        <v>809</v>
      </c>
      <c r="M262">
        <f ca="1">HYPERLINK(CONCATENATE("https://bugzilla.houston.hp.com:1181/bugzilla/show_bug.cgi?id=",INDIRECT(C70&amp;ROW())),INDIRECT(C70&amp;ROW()))</f>
        <v>56440</v>
      </c>
      <c r="N262">
        <v>56440</v>
      </c>
      <c r="O262" t="s">
        <v>36</v>
      </c>
      <c r="P262" t="s">
        <v>594</v>
      </c>
      <c r="Q262" t="s">
        <v>25</v>
      </c>
      <c r="R262" t="s">
        <v>579</v>
      </c>
      <c r="S262" t="s">
        <v>552</v>
      </c>
      <c r="T262" t="s">
        <v>610</v>
      </c>
      <c r="U262" s="6">
        <v>42048.014004629629</v>
      </c>
      <c r="V262" t="s">
        <v>18</v>
      </c>
      <c r="W262" t="s">
        <v>17</v>
      </c>
      <c r="X262" s="6">
        <v>42038.495104166665</v>
      </c>
      <c r="Y262" t="s">
        <v>788</v>
      </c>
      <c r="AB262" t="s">
        <v>201</v>
      </c>
      <c r="AC262" t="s">
        <v>247</v>
      </c>
      <c r="AD262" t="s">
        <v>222</v>
      </c>
      <c r="AE262" t="s">
        <v>240</v>
      </c>
      <c r="AG262" t="s">
        <v>121</v>
      </c>
      <c r="AH262" t="s">
        <v>327</v>
      </c>
      <c r="AI262" t="s">
        <v>121</v>
      </c>
      <c r="AJ262" t="s">
        <v>716</v>
      </c>
      <c r="AK262" t="s">
        <v>121</v>
      </c>
    </row>
    <row r="263" spans="9:37" x14ac:dyDescent="0.3">
      <c r="I263">
        <f ca="1">IF(OR(INDIRECT(A73&amp;ROW())=B93,INDIRECT(A73&amp;ROW())=B94),1,IF(AND(INDIRECT(A73&amp;ROW())=B95,INDIRECT(A96&amp;ROW())=C93),1,IF(AND(INDIRECT(A73&amp;ROW())=B95,INDIRECT(A96&amp;ROW())=C94),1,0)))</f>
        <v>0</v>
      </c>
      <c r="J263">
        <f ca="1">IF(AND(INDIRECT(A73&amp;ROW())=B95,INDIRECT(A96&amp;ROW())=C95),1,IF(AND(INDIRECT(A73&amp;ROW())=B95,INDIRECT(A96&amp;ROW())=C96),1,0))</f>
        <v>1</v>
      </c>
      <c r="K263">
        <f ca="1">DAYS360(INDIRECT(C68&amp;ROW()),TODAY())</f>
        <v>800</v>
      </c>
      <c r="L263">
        <f ca="1">DAYS360(INDIRECT(C69&amp;ROW()),TODAY())</f>
        <v>809</v>
      </c>
      <c r="M263">
        <f ca="1">HYPERLINK(CONCATENATE("https://bugzilla.houston.hp.com:1181/bugzilla/show_bug.cgi?id=",INDIRECT(C70&amp;ROW())),INDIRECT(C70&amp;ROW()))</f>
        <v>56441</v>
      </c>
      <c r="N263">
        <v>56441</v>
      </c>
      <c r="O263" t="s">
        <v>36</v>
      </c>
      <c r="P263" t="s">
        <v>593</v>
      </c>
      <c r="Q263" t="s">
        <v>25</v>
      </c>
      <c r="R263" t="s">
        <v>579</v>
      </c>
      <c r="S263" t="s">
        <v>552</v>
      </c>
      <c r="T263" t="s">
        <v>610</v>
      </c>
      <c r="U263" s="6">
        <v>42047.994803240741</v>
      </c>
      <c r="V263" t="s">
        <v>18</v>
      </c>
      <c r="W263" t="s">
        <v>17</v>
      </c>
      <c r="X263" s="6">
        <v>42038.496180555558</v>
      </c>
      <c r="Y263" t="s">
        <v>788</v>
      </c>
      <c r="AB263" t="s">
        <v>201</v>
      </c>
      <c r="AC263" t="s">
        <v>247</v>
      </c>
      <c r="AD263" t="s">
        <v>222</v>
      </c>
      <c r="AE263" t="s">
        <v>240</v>
      </c>
      <c r="AG263" t="s">
        <v>121</v>
      </c>
      <c r="AH263" t="s">
        <v>327</v>
      </c>
      <c r="AI263" t="s">
        <v>121</v>
      </c>
      <c r="AJ263" t="s">
        <v>716</v>
      </c>
      <c r="AK263" t="s">
        <v>121</v>
      </c>
    </row>
    <row r="264" spans="9:37" x14ac:dyDescent="0.3">
      <c r="I264">
        <f ca="1">IF(OR(INDIRECT(A73&amp;ROW())=B93,INDIRECT(A73&amp;ROW())=B94),1,IF(AND(INDIRECT(A73&amp;ROW())=B95,INDIRECT(A96&amp;ROW())=C93),1,IF(AND(INDIRECT(A73&amp;ROW())=B95,INDIRECT(A96&amp;ROW())=C94),1,0)))</f>
        <v>0</v>
      </c>
      <c r="J264">
        <f ca="1">IF(AND(INDIRECT(A73&amp;ROW())=B95,INDIRECT(A96&amp;ROW())=C95),1,IF(AND(INDIRECT(A73&amp;ROW())=B95,INDIRECT(A96&amp;ROW())=C96),1,0))</f>
        <v>1</v>
      </c>
      <c r="K264">
        <f ca="1">DAYS360(INDIRECT(C68&amp;ROW()),TODAY())</f>
        <v>809</v>
      </c>
      <c r="L264">
        <f ca="1">DAYS360(INDIRECT(C69&amp;ROW()),TODAY())</f>
        <v>809</v>
      </c>
      <c r="M264">
        <f ca="1">HYPERLINK(CONCATENATE("https://bugzilla.houston.hp.com:1181/bugzilla/show_bug.cgi?id=",INDIRECT(C70&amp;ROW())),INDIRECT(C70&amp;ROW()))</f>
        <v>56442</v>
      </c>
      <c r="N264">
        <v>56442</v>
      </c>
      <c r="O264" t="s">
        <v>36</v>
      </c>
      <c r="P264" t="s">
        <v>592</v>
      </c>
      <c r="Q264" t="s">
        <v>25</v>
      </c>
      <c r="R264" t="s">
        <v>248</v>
      </c>
      <c r="S264" t="s">
        <v>552</v>
      </c>
      <c r="U264" s="6">
        <v>42038.497789351852</v>
      </c>
      <c r="V264" t="s">
        <v>18</v>
      </c>
      <c r="W264" t="s">
        <v>17</v>
      </c>
      <c r="X264" s="6">
        <v>42038.497395833336</v>
      </c>
      <c r="Y264" t="s">
        <v>788</v>
      </c>
      <c r="AB264" t="s">
        <v>201</v>
      </c>
      <c r="AC264" t="s">
        <v>247</v>
      </c>
      <c r="AD264" t="s">
        <v>222</v>
      </c>
      <c r="AE264" t="s">
        <v>240</v>
      </c>
      <c r="AG264" t="s">
        <v>121</v>
      </c>
      <c r="AH264" t="s">
        <v>327</v>
      </c>
      <c r="AI264" t="s">
        <v>121</v>
      </c>
      <c r="AJ264" t="s">
        <v>716</v>
      </c>
      <c r="AK264" t="s">
        <v>121</v>
      </c>
    </row>
    <row r="265" spans="9:37" x14ac:dyDescent="0.3">
      <c r="I265">
        <f ca="1">IF(OR(INDIRECT(A73&amp;ROW())=B93,INDIRECT(A73&amp;ROW())=B94),1,IF(AND(INDIRECT(A73&amp;ROW())=B95,INDIRECT(A96&amp;ROW())=C93),1,IF(AND(INDIRECT(A73&amp;ROW())=B95,INDIRECT(A96&amp;ROW())=C94),1,0)))</f>
        <v>0</v>
      </c>
      <c r="J265">
        <f ca="1">IF(AND(INDIRECT(A73&amp;ROW())=B95,INDIRECT(A96&amp;ROW())=C95),1,IF(AND(INDIRECT(A73&amp;ROW())=B95,INDIRECT(A96&amp;ROW())=C96),1,0))</f>
        <v>1</v>
      </c>
      <c r="K265">
        <f ca="1">DAYS360(INDIRECT(C68&amp;ROW()),TODAY())</f>
        <v>809</v>
      </c>
      <c r="L265">
        <f ca="1">DAYS360(INDIRECT(C69&amp;ROW()),TODAY())</f>
        <v>809</v>
      </c>
      <c r="M265">
        <f ca="1">HYPERLINK(CONCATENATE("https://bugzilla.houston.hp.com:1181/bugzilla/show_bug.cgi?id=",INDIRECT(C70&amp;ROW())),INDIRECT(C70&amp;ROW()))</f>
        <v>56445</v>
      </c>
      <c r="N265">
        <v>56445</v>
      </c>
      <c r="O265" t="s">
        <v>36</v>
      </c>
      <c r="P265" t="s">
        <v>591</v>
      </c>
      <c r="Q265" t="s">
        <v>25</v>
      </c>
      <c r="R265" t="s">
        <v>248</v>
      </c>
      <c r="S265" t="s">
        <v>552</v>
      </c>
      <c r="U265" s="6">
        <v>42038.501550925925</v>
      </c>
      <c r="V265" t="s">
        <v>18</v>
      </c>
      <c r="W265" t="s">
        <v>17</v>
      </c>
      <c r="X265" s="6">
        <v>42038.501111111109</v>
      </c>
      <c r="Y265" t="s">
        <v>788</v>
      </c>
      <c r="AB265" t="s">
        <v>201</v>
      </c>
      <c r="AC265" t="s">
        <v>247</v>
      </c>
      <c r="AD265" t="s">
        <v>222</v>
      </c>
      <c r="AE265" t="s">
        <v>240</v>
      </c>
      <c r="AG265" t="s">
        <v>121</v>
      </c>
      <c r="AH265" t="s">
        <v>327</v>
      </c>
      <c r="AI265" t="s">
        <v>121</v>
      </c>
      <c r="AJ265" t="s">
        <v>716</v>
      </c>
      <c r="AK265" t="s">
        <v>121</v>
      </c>
    </row>
    <row r="266" spans="9:37" x14ac:dyDescent="0.3">
      <c r="I266">
        <f ca="1">IF(OR(INDIRECT(A73&amp;ROW())=B93,INDIRECT(A73&amp;ROW())=B94),1,IF(AND(INDIRECT(A73&amp;ROW())=B95,INDIRECT(A96&amp;ROW())=C93),1,IF(AND(INDIRECT(A73&amp;ROW())=B95,INDIRECT(A96&amp;ROW())=C94),1,0)))</f>
        <v>0</v>
      </c>
      <c r="J266">
        <f ca="1">IF(AND(INDIRECT(A73&amp;ROW())=B95,INDIRECT(A96&amp;ROW())=C95),1,IF(AND(INDIRECT(A73&amp;ROW())=B95,INDIRECT(A96&amp;ROW())=C96),1,0))</f>
        <v>1</v>
      </c>
      <c r="K266">
        <f ca="1">DAYS360(INDIRECT(C68&amp;ROW()),TODAY())</f>
        <v>684</v>
      </c>
      <c r="L266">
        <f ca="1">DAYS360(INDIRECT(C69&amp;ROW()),TODAY())</f>
        <v>809</v>
      </c>
      <c r="M266">
        <f ca="1">HYPERLINK(CONCATENATE("https://bugzilla.houston.hp.com:1181/bugzilla/show_bug.cgi?id=",INDIRECT(C70&amp;ROW())),INDIRECT(C70&amp;ROW()))</f>
        <v>56450</v>
      </c>
      <c r="N266">
        <v>56450</v>
      </c>
      <c r="O266" t="s">
        <v>56</v>
      </c>
      <c r="P266" t="s">
        <v>590</v>
      </c>
      <c r="Q266" t="s">
        <v>25</v>
      </c>
      <c r="R266" t="s">
        <v>251</v>
      </c>
      <c r="S266" t="s">
        <v>66</v>
      </c>
      <c r="U266" s="6">
        <v>42163.60596064815</v>
      </c>
      <c r="V266" t="s">
        <v>18</v>
      </c>
      <c r="W266" t="s">
        <v>17</v>
      </c>
      <c r="X266" s="6">
        <v>42038.576805555553</v>
      </c>
      <c r="Y266" t="s">
        <v>788</v>
      </c>
      <c r="AB266" t="s">
        <v>201</v>
      </c>
      <c r="AC266" t="s">
        <v>247</v>
      </c>
      <c r="AD266" t="s">
        <v>220</v>
      </c>
      <c r="AE266" t="s">
        <v>219</v>
      </c>
      <c r="AG266" t="s">
        <v>121</v>
      </c>
      <c r="AH266" t="s">
        <v>327</v>
      </c>
      <c r="AI266" t="s">
        <v>121</v>
      </c>
      <c r="AJ266" t="s">
        <v>716</v>
      </c>
      <c r="AK266" t="s">
        <v>121</v>
      </c>
    </row>
    <row r="267" spans="9:37" x14ac:dyDescent="0.3">
      <c r="I267">
        <f ca="1">IF(OR(INDIRECT(A73&amp;ROW())=B93,INDIRECT(A73&amp;ROW())=B94),1,IF(AND(INDIRECT(A73&amp;ROW())=B95,INDIRECT(A96&amp;ROW())=C93),1,IF(AND(INDIRECT(A73&amp;ROW())=B95,INDIRECT(A96&amp;ROW())=C94),1,0)))</f>
        <v>0</v>
      </c>
      <c r="J267">
        <f ca="1">IF(AND(INDIRECT(A73&amp;ROW())=B95,INDIRECT(A96&amp;ROW())=C95),1,IF(AND(INDIRECT(A73&amp;ROW())=B95,INDIRECT(A96&amp;ROW())=C96),1,0))</f>
        <v>1</v>
      </c>
      <c r="K267">
        <f ca="1">DAYS360(INDIRECT(C68&amp;ROW()),TODAY())</f>
        <v>809</v>
      </c>
      <c r="L267">
        <f ca="1">DAYS360(INDIRECT(C69&amp;ROW()),TODAY())</f>
        <v>809</v>
      </c>
      <c r="M267">
        <f ca="1">HYPERLINK(CONCATENATE("https://bugzilla.houston.hp.com:1181/bugzilla/show_bug.cgi?id=",INDIRECT(C70&amp;ROW())),INDIRECT(C70&amp;ROW()))</f>
        <v>56458</v>
      </c>
      <c r="N267">
        <v>56458</v>
      </c>
      <c r="O267" t="s">
        <v>56</v>
      </c>
      <c r="P267" t="s">
        <v>589</v>
      </c>
      <c r="Q267" t="s">
        <v>25</v>
      </c>
      <c r="R267" t="s">
        <v>248</v>
      </c>
      <c r="S267" t="s">
        <v>552</v>
      </c>
      <c r="U267" s="6">
        <v>42038.643333333333</v>
      </c>
      <c r="V267" t="s">
        <v>18</v>
      </c>
      <c r="W267" t="s">
        <v>576</v>
      </c>
      <c r="X267" s="6">
        <v>42038.640115740738</v>
      </c>
      <c r="Y267" t="s">
        <v>788</v>
      </c>
      <c r="AB267" t="s">
        <v>201</v>
      </c>
      <c r="AC267" t="s">
        <v>247</v>
      </c>
      <c r="AD267" t="s">
        <v>220</v>
      </c>
      <c r="AE267" t="s">
        <v>219</v>
      </c>
      <c r="AG267" t="s">
        <v>121</v>
      </c>
      <c r="AH267" t="s">
        <v>327</v>
      </c>
      <c r="AI267" t="s">
        <v>121</v>
      </c>
      <c r="AJ267" t="s">
        <v>716</v>
      </c>
      <c r="AK267" t="s">
        <v>121</v>
      </c>
    </row>
    <row r="268" spans="9:37" x14ac:dyDescent="0.3">
      <c r="I268">
        <f ca="1">IF(OR(INDIRECT(A73&amp;ROW())=B93,INDIRECT(A73&amp;ROW())=B94),1,IF(AND(INDIRECT(A73&amp;ROW())=B95,INDIRECT(A96&amp;ROW())=C93),1,IF(AND(INDIRECT(A73&amp;ROW())=B95,INDIRECT(A96&amp;ROW())=C94),1,0)))</f>
        <v>0</v>
      </c>
      <c r="J268">
        <f ca="1">IF(AND(INDIRECT(A73&amp;ROW())=B95,INDIRECT(A96&amp;ROW())=C95),1,IF(AND(INDIRECT(A73&amp;ROW())=B95,INDIRECT(A96&amp;ROW())=C96),1,0))</f>
        <v>1</v>
      </c>
      <c r="K268">
        <f ca="1">DAYS360(INDIRECT(C68&amp;ROW()),TODAY())</f>
        <v>691</v>
      </c>
      <c r="L268">
        <f ca="1">DAYS360(INDIRECT(C69&amp;ROW()),TODAY())</f>
        <v>808</v>
      </c>
      <c r="M268">
        <f ca="1">HYPERLINK(CONCATENATE("https://bugzilla.houston.hp.com:1181/bugzilla/show_bug.cgi?id=",INDIRECT(C70&amp;ROW())),INDIRECT(C70&amp;ROW()))</f>
        <v>56502</v>
      </c>
      <c r="N268">
        <v>56502</v>
      </c>
      <c r="O268" t="s">
        <v>22</v>
      </c>
      <c r="P268" t="s">
        <v>599</v>
      </c>
      <c r="Q268" t="s">
        <v>25</v>
      </c>
      <c r="R268" t="s">
        <v>251</v>
      </c>
      <c r="S268" t="s">
        <v>24</v>
      </c>
      <c r="U268" s="6">
        <v>42156.595127314817</v>
      </c>
      <c r="V268" t="s">
        <v>18</v>
      </c>
      <c r="W268" t="s">
        <v>17</v>
      </c>
      <c r="X268" s="6">
        <v>42039.558599537035</v>
      </c>
      <c r="Y268" t="s">
        <v>535</v>
      </c>
      <c r="AB268" t="s">
        <v>201</v>
      </c>
      <c r="AC268" t="s">
        <v>247</v>
      </c>
      <c r="AD268" t="s">
        <v>222</v>
      </c>
      <c r="AE268" t="s">
        <v>221</v>
      </c>
      <c r="AG268" t="s">
        <v>121</v>
      </c>
      <c r="AH268" t="s">
        <v>327</v>
      </c>
      <c r="AI268" t="s">
        <v>121</v>
      </c>
      <c r="AJ268" t="s">
        <v>715</v>
      </c>
      <c r="AK268" t="s">
        <v>121</v>
      </c>
    </row>
    <row r="269" spans="9:37" x14ac:dyDescent="0.3">
      <c r="I269">
        <f ca="1">IF(OR(INDIRECT(A73&amp;ROW())=B93,INDIRECT(A73&amp;ROW())=B94),1,IF(AND(INDIRECT(A73&amp;ROW())=B95,INDIRECT(A96&amp;ROW())=C93),1,IF(AND(INDIRECT(A73&amp;ROW())=B95,INDIRECT(A96&amp;ROW())=C94),1,0)))</f>
        <v>0</v>
      </c>
      <c r="J269">
        <f ca="1">IF(AND(INDIRECT(A73&amp;ROW())=B95,INDIRECT(A96&amp;ROW())=C95),1,IF(AND(INDIRECT(A73&amp;ROW())=B95,INDIRECT(A96&amp;ROW())=C96),1,0))</f>
        <v>1</v>
      </c>
      <c r="K269">
        <f ca="1">DAYS360(INDIRECT(C68&amp;ROW()),TODAY())</f>
        <v>795</v>
      </c>
      <c r="L269">
        <f ca="1">DAYS360(INDIRECT(C69&amp;ROW()),TODAY())</f>
        <v>808</v>
      </c>
      <c r="M269">
        <f ca="1">HYPERLINK(CONCATENATE("https://bugzilla.houston.hp.com:1181/bugzilla/show_bug.cgi?id=",INDIRECT(C70&amp;ROW())),INDIRECT(C70&amp;ROW()))</f>
        <v>56512</v>
      </c>
      <c r="N269">
        <v>56512</v>
      </c>
      <c r="O269" t="s">
        <v>22</v>
      </c>
      <c r="P269" t="s">
        <v>598</v>
      </c>
      <c r="Q269" t="s">
        <v>25</v>
      </c>
      <c r="R269" t="s">
        <v>579</v>
      </c>
      <c r="S269" t="s">
        <v>552</v>
      </c>
      <c r="U269" s="6">
        <v>42052.332604166666</v>
      </c>
      <c r="V269" t="s">
        <v>18</v>
      </c>
      <c r="W269" t="s">
        <v>576</v>
      </c>
      <c r="X269" s="6">
        <v>42039.647303240738</v>
      </c>
      <c r="Y269" t="s">
        <v>535</v>
      </c>
      <c r="AB269" t="s">
        <v>201</v>
      </c>
      <c r="AC269" t="s">
        <v>247</v>
      </c>
      <c r="AD269" t="s">
        <v>222</v>
      </c>
      <c r="AE269" t="s">
        <v>221</v>
      </c>
      <c r="AG269" t="s">
        <v>121</v>
      </c>
      <c r="AH269" t="s">
        <v>327</v>
      </c>
      <c r="AI269" t="s">
        <v>121</v>
      </c>
      <c r="AJ269" t="s">
        <v>716</v>
      </c>
      <c r="AK269" t="s">
        <v>121</v>
      </c>
    </row>
    <row r="270" spans="9:37" x14ac:dyDescent="0.3">
      <c r="I270">
        <f ca="1">IF(OR(INDIRECT(A73&amp;ROW())=B93,INDIRECT(A73&amp;ROW())=B94),1,IF(AND(INDIRECT(A73&amp;ROW())=B95,INDIRECT(A96&amp;ROW())=C93),1,IF(AND(INDIRECT(A73&amp;ROW())=B95,INDIRECT(A96&amp;ROW())=C94),1,0)))</f>
        <v>0</v>
      </c>
      <c r="J270">
        <f ca="1">IF(AND(INDIRECT(A73&amp;ROW())=B95,INDIRECT(A96&amp;ROW())=C95),1,IF(AND(INDIRECT(A73&amp;ROW())=B95,INDIRECT(A96&amp;ROW())=C96),1,0))</f>
        <v>1</v>
      </c>
      <c r="K270">
        <f ca="1">DAYS360(INDIRECT(C68&amp;ROW()),TODAY())</f>
        <v>684</v>
      </c>
      <c r="L270">
        <f ca="1">DAYS360(INDIRECT(C69&amp;ROW()),TODAY())</f>
        <v>808</v>
      </c>
      <c r="M270">
        <f ca="1">HYPERLINK(CONCATENATE("https://bugzilla.houston.hp.com:1181/bugzilla/show_bug.cgi?id=",INDIRECT(C70&amp;ROW())),INDIRECT(C70&amp;ROW()))</f>
        <v>56513</v>
      </c>
      <c r="N270">
        <v>56513</v>
      </c>
      <c r="O270" t="s">
        <v>36</v>
      </c>
      <c r="P270" t="s">
        <v>597</v>
      </c>
      <c r="Q270" t="s">
        <v>25</v>
      </c>
      <c r="R270" t="s">
        <v>248</v>
      </c>
      <c r="S270" t="s">
        <v>552</v>
      </c>
      <c r="U270" s="6">
        <v>42163.610312500001</v>
      </c>
      <c r="V270" t="s">
        <v>18</v>
      </c>
      <c r="W270" t="s">
        <v>576</v>
      </c>
      <c r="X270" s="6">
        <v>42039.648113425923</v>
      </c>
      <c r="Y270" t="s">
        <v>535</v>
      </c>
      <c r="AB270" t="s">
        <v>201</v>
      </c>
      <c r="AC270" t="s">
        <v>247</v>
      </c>
      <c r="AD270" t="s">
        <v>222</v>
      </c>
      <c r="AE270" t="s">
        <v>221</v>
      </c>
      <c r="AG270" t="s">
        <v>121</v>
      </c>
      <c r="AH270" t="s">
        <v>327</v>
      </c>
      <c r="AI270" t="s">
        <v>121</v>
      </c>
      <c r="AJ270" t="s">
        <v>716</v>
      </c>
      <c r="AK270" t="s">
        <v>121</v>
      </c>
    </row>
    <row r="271" spans="9:37" x14ac:dyDescent="0.3">
      <c r="I271">
        <f ca="1">IF(OR(INDIRECT(A73&amp;ROW())=B93,INDIRECT(A73&amp;ROW())=B94),1,IF(AND(INDIRECT(A73&amp;ROW())=B95,INDIRECT(A96&amp;ROW())=C93),1,IF(AND(INDIRECT(A73&amp;ROW())=B95,INDIRECT(A96&amp;ROW())=C94),1,0)))</f>
        <v>0</v>
      </c>
      <c r="J271">
        <f ca="1">IF(AND(INDIRECT(A73&amp;ROW())=B95,INDIRECT(A96&amp;ROW())=C95),1,IF(AND(INDIRECT(A73&amp;ROW())=B95,INDIRECT(A96&amp;ROW())=C96),1,0))</f>
        <v>1</v>
      </c>
      <c r="K271">
        <f ca="1">DAYS360(INDIRECT(C68&amp;ROW()),TODAY())</f>
        <v>721</v>
      </c>
      <c r="L271">
        <f ca="1">DAYS360(INDIRECT(C69&amp;ROW()),TODAY())</f>
        <v>807</v>
      </c>
      <c r="M271">
        <f ca="1">HYPERLINK(CONCATENATE("https://bugzilla.houston.hp.com:1181/bugzilla/show_bug.cgi?id=",INDIRECT(C70&amp;ROW())),INDIRECT(C70&amp;ROW()))</f>
        <v>56586</v>
      </c>
      <c r="N271">
        <v>56586</v>
      </c>
      <c r="O271" t="s">
        <v>56</v>
      </c>
      <c r="P271" t="s">
        <v>601</v>
      </c>
      <c r="Q271" t="s">
        <v>25</v>
      </c>
      <c r="R271" t="s">
        <v>251</v>
      </c>
      <c r="S271" t="s">
        <v>22</v>
      </c>
      <c r="U271" s="6">
        <v>42125.452800925923</v>
      </c>
      <c r="V271" t="s">
        <v>18</v>
      </c>
      <c r="W271" t="s">
        <v>17</v>
      </c>
      <c r="X271" s="6">
        <v>42040.483576388891</v>
      </c>
      <c r="Y271" t="s">
        <v>122</v>
      </c>
      <c r="AB271" t="s">
        <v>201</v>
      </c>
      <c r="AC271" t="s">
        <v>247</v>
      </c>
      <c r="AD271" t="s">
        <v>220</v>
      </c>
      <c r="AE271" t="s">
        <v>219</v>
      </c>
      <c r="AG271" t="s">
        <v>121</v>
      </c>
      <c r="AH271" t="s">
        <v>327</v>
      </c>
      <c r="AI271" t="s">
        <v>121</v>
      </c>
      <c r="AJ271" t="s">
        <v>716</v>
      </c>
      <c r="AK271" t="s">
        <v>121</v>
      </c>
    </row>
    <row r="272" spans="9:37" x14ac:dyDescent="0.3">
      <c r="I272">
        <f ca="1">IF(OR(INDIRECT(A73&amp;ROW())=B93,INDIRECT(A73&amp;ROW())=B94),1,IF(AND(INDIRECT(A73&amp;ROW())=B95,INDIRECT(A96&amp;ROW())=C93),1,IF(AND(INDIRECT(A73&amp;ROW())=B95,INDIRECT(A96&amp;ROW())=C94),1,0)))</f>
        <v>0</v>
      </c>
      <c r="J272">
        <f ca="1">IF(AND(INDIRECT(A73&amp;ROW())=B95,INDIRECT(A96&amp;ROW())=C95),1,IF(AND(INDIRECT(A73&amp;ROW())=B95,INDIRECT(A96&amp;ROW())=C96),1,0))</f>
        <v>1</v>
      </c>
      <c r="K272">
        <f ca="1">DAYS360(INDIRECT(C68&amp;ROW()),TODAY())</f>
        <v>721</v>
      </c>
      <c r="L272">
        <f ca="1">DAYS360(INDIRECT(C69&amp;ROW()),TODAY())</f>
        <v>807</v>
      </c>
      <c r="M272">
        <f ca="1">HYPERLINK(CONCATENATE("https://bugzilla.houston.hp.com:1181/bugzilla/show_bug.cgi?id=",INDIRECT(C70&amp;ROW())),INDIRECT(C70&amp;ROW()))</f>
        <v>56589</v>
      </c>
      <c r="N272">
        <v>56589</v>
      </c>
      <c r="O272" t="s">
        <v>56</v>
      </c>
      <c r="P272" t="s">
        <v>600</v>
      </c>
      <c r="Q272" t="s">
        <v>25</v>
      </c>
      <c r="R272" t="s">
        <v>248</v>
      </c>
      <c r="S272" t="s">
        <v>552</v>
      </c>
      <c r="U272" s="6">
        <v>42125.452916666669</v>
      </c>
      <c r="V272" t="s">
        <v>18</v>
      </c>
      <c r="W272" t="s">
        <v>576</v>
      </c>
      <c r="X272" s="6">
        <v>42040.484780092593</v>
      </c>
      <c r="Y272" t="s">
        <v>122</v>
      </c>
      <c r="AB272" t="s">
        <v>201</v>
      </c>
      <c r="AC272" t="s">
        <v>247</v>
      </c>
      <c r="AD272" t="s">
        <v>220</v>
      </c>
      <c r="AE272" t="s">
        <v>219</v>
      </c>
      <c r="AG272" t="s">
        <v>121</v>
      </c>
      <c r="AH272" t="s">
        <v>327</v>
      </c>
      <c r="AI272" t="s">
        <v>121</v>
      </c>
      <c r="AJ272" t="s">
        <v>716</v>
      </c>
      <c r="AK272" t="s">
        <v>121</v>
      </c>
    </row>
    <row r="273" spans="9:37" x14ac:dyDescent="0.3">
      <c r="I273">
        <f ca="1">IF(OR(INDIRECT(A73&amp;ROW())=B93,INDIRECT(A73&amp;ROW())=B94),1,IF(AND(INDIRECT(A73&amp;ROW())=B95,INDIRECT(A96&amp;ROW())=C93),1,IF(AND(INDIRECT(A73&amp;ROW())=B95,INDIRECT(A96&amp;ROW())=C94),1,0)))</f>
        <v>1</v>
      </c>
      <c r="J273">
        <f ca="1">IF(AND(INDIRECT(A73&amp;ROW())=B95,INDIRECT(A96&amp;ROW())=C95),1,IF(AND(INDIRECT(A73&amp;ROW())=B95,INDIRECT(A96&amp;ROW())=C96),1,0))</f>
        <v>0</v>
      </c>
      <c r="K273">
        <f ca="1">DAYS360(INDIRECT(C68&amp;ROW()),TODAY())</f>
        <v>691</v>
      </c>
      <c r="L273">
        <f ca="1">DAYS360(INDIRECT(C69&amp;ROW()),TODAY())</f>
        <v>806</v>
      </c>
      <c r="M273">
        <f ca="1">HYPERLINK(CONCATENATE("https://bugzilla.houston.hp.com:1181/bugzilla/show_bug.cgi?id=",INDIRECT(C70&amp;ROW())),INDIRECT(C70&amp;ROW()))</f>
        <v>56687</v>
      </c>
      <c r="N273">
        <v>56687</v>
      </c>
      <c r="O273" t="s">
        <v>164</v>
      </c>
      <c r="P273" t="s">
        <v>602</v>
      </c>
      <c r="Q273" t="s">
        <v>25</v>
      </c>
      <c r="R273" t="s">
        <v>579</v>
      </c>
      <c r="S273" t="s">
        <v>236</v>
      </c>
      <c r="T273" t="s">
        <v>820</v>
      </c>
      <c r="U273" s="6">
        <v>42156.078865740739</v>
      </c>
      <c r="V273" t="s">
        <v>18</v>
      </c>
      <c r="W273" t="s">
        <v>57</v>
      </c>
      <c r="X273" s="6">
        <v>42041.700462962966</v>
      </c>
      <c r="Y273" t="s">
        <v>125</v>
      </c>
      <c r="AB273" t="s">
        <v>200</v>
      </c>
      <c r="AC273" t="s">
        <v>216</v>
      </c>
      <c r="AD273" t="s">
        <v>220</v>
      </c>
      <c r="AE273" t="s">
        <v>219</v>
      </c>
      <c r="AG273" t="s">
        <v>121</v>
      </c>
      <c r="AH273" t="s">
        <v>328</v>
      </c>
      <c r="AI273" t="s">
        <v>362</v>
      </c>
      <c r="AJ273" t="s">
        <v>715</v>
      </c>
      <c r="AK273" t="s">
        <v>121</v>
      </c>
    </row>
    <row r="274" spans="9:37" x14ac:dyDescent="0.3">
      <c r="I274">
        <f ca="1">IF(OR(INDIRECT(A73&amp;ROW())=B93,INDIRECT(A73&amp;ROW())=B94),1,IF(AND(INDIRECT(A73&amp;ROW())=B95,INDIRECT(A96&amp;ROW())=C93),1,IF(AND(INDIRECT(A73&amp;ROW())=B95,INDIRECT(A96&amp;ROW())=C94),1,0)))</f>
        <v>1</v>
      </c>
      <c r="J274">
        <f ca="1">IF(AND(INDIRECT(A73&amp;ROW())=B95,INDIRECT(A96&amp;ROW())=C95),1,IF(AND(INDIRECT(A73&amp;ROW())=B95,INDIRECT(A96&amp;ROW())=C96),1,0))</f>
        <v>0</v>
      </c>
      <c r="K274">
        <f ca="1">DAYS360(INDIRECT(C68&amp;ROW()),TODAY())</f>
        <v>723</v>
      </c>
      <c r="L274">
        <f ca="1">DAYS360(INDIRECT(C69&amp;ROW()),TODAY())</f>
        <v>803</v>
      </c>
      <c r="M274">
        <f ca="1">HYPERLINK(CONCATENATE("https://bugzilla.houston.hp.com:1181/bugzilla/show_bug.cgi?id=",INDIRECT(C70&amp;ROW())),INDIRECT(C70&amp;ROW()))</f>
        <v>56731</v>
      </c>
      <c r="N274">
        <v>56731</v>
      </c>
      <c r="O274" t="s">
        <v>94</v>
      </c>
      <c r="P274" t="s">
        <v>608</v>
      </c>
      <c r="Q274" t="s">
        <v>39</v>
      </c>
      <c r="R274" t="s">
        <v>579</v>
      </c>
      <c r="S274" t="s">
        <v>552</v>
      </c>
      <c r="T274" t="s">
        <v>820</v>
      </c>
      <c r="U274" s="6">
        <v>42123.396423611113</v>
      </c>
      <c r="V274" t="s">
        <v>40</v>
      </c>
      <c r="W274" t="s">
        <v>211</v>
      </c>
      <c r="X274" s="6">
        <v>42044.500763888886</v>
      </c>
      <c r="Y274" t="s">
        <v>119</v>
      </c>
      <c r="AB274" t="s">
        <v>201</v>
      </c>
      <c r="AC274" t="s">
        <v>121</v>
      </c>
      <c r="AD274" t="s">
        <v>227</v>
      </c>
      <c r="AE274" t="s">
        <v>231</v>
      </c>
      <c r="AG274" t="s">
        <v>121</v>
      </c>
      <c r="AH274" t="s">
        <v>64</v>
      </c>
      <c r="AI274" t="s">
        <v>362</v>
      </c>
      <c r="AJ274" t="s">
        <v>715</v>
      </c>
      <c r="AK274" t="s">
        <v>121</v>
      </c>
    </row>
    <row r="275" spans="9:37" x14ac:dyDescent="0.3">
      <c r="I275">
        <f ca="1">IF(OR(INDIRECT(A73&amp;ROW())=B93,INDIRECT(A73&amp;ROW())=B94),1,IF(AND(INDIRECT(A73&amp;ROW())=B95,INDIRECT(A96&amp;ROW())=C93),1,IF(AND(INDIRECT(A73&amp;ROW())=B95,INDIRECT(A96&amp;ROW())=C94),1,0)))</f>
        <v>1</v>
      </c>
      <c r="J275">
        <f ca="1">IF(AND(INDIRECT(A73&amp;ROW())=B95,INDIRECT(A96&amp;ROW())=C95),1,IF(AND(INDIRECT(A73&amp;ROW())=B95,INDIRECT(A96&amp;ROW())=C96),1,0))</f>
        <v>0</v>
      </c>
      <c r="K275">
        <f ca="1">DAYS360(INDIRECT(C68&amp;ROW()),TODAY())</f>
        <v>752</v>
      </c>
      <c r="L275">
        <f ca="1">DAYS360(INDIRECT(C69&amp;ROW()),TODAY())</f>
        <v>803</v>
      </c>
      <c r="M275">
        <f ca="1">HYPERLINK(CONCATENATE("https://bugzilla.houston.hp.com:1181/bugzilla/show_bug.cgi?id=",INDIRECT(C70&amp;ROW())),INDIRECT(C70&amp;ROW()))</f>
        <v>56735</v>
      </c>
      <c r="N275">
        <v>56735</v>
      </c>
      <c r="O275" t="s">
        <v>298</v>
      </c>
      <c r="P275" t="s">
        <v>606</v>
      </c>
      <c r="Q275" t="s">
        <v>39</v>
      </c>
      <c r="R275" t="s">
        <v>579</v>
      </c>
      <c r="S275" t="s">
        <v>552</v>
      </c>
      <c r="T275" t="s">
        <v>820</v>
      </c>
      <c r="U275" s="6">
        <v>42093.074259259258</v>
      </c>
      <c r="V275" t="s">
        <v>40</v>
      </c>
      <c r="W275" t="s">
        <v>343</v>
      </c>
      <c r="X275" s="6">
        <v>42044.506412037037</v>
      </c>
      <c r="Y275" t="s">
        <v>785</v>
      </c>
      <c r="AB275" t="s">
        <v>201</v>
      </c>
      <c r="AC275" t="s">
        <v>247</v>
      </c>
      <c r="AD275" t="s">
        <v>227</v>
      </c>
      <c r="AE275" t="s">
        <v>231</v>
      </c>
      <c r="AG275" t="s">
        <v>121</v>
      </c>
      <c r="AH275" t="s">
        <v>327</v>
      </c>
      <c r="AI275" t="s">
        <v>121</v>
      </c>
      <c r="AJ275" t="s">
        <v>715</v>
      </c>
      <c r="AK275" t="s">
        <v>121</v>
      </c>
    </row>
    <row r="276" spans="9:37" x14ac:dyDescent="0.3">
      <c r="I276">
        <f ca="1">IF(OR(INDIRECT(A73&amp;ROW())=B93,INDIRECT(A73&amp;ROW())=B94),1,IF(AND(INDIRECT(A73&amp;ROW())=B95,INDIRECT(A96&amp;ROW())=C93),1,IF(AND(INDIRECT(A73&amp;ROW())=B95,INDIRECT(A96&amp;ROW())=C94),1,0)))</f>
        <v>1</v>
      </c>
      <c r="J276">
        <f ca="1">IF(AND(INDIRECT(A73&amp;ROW())=B95,INDIRECT(A96&amp;ROW())=C95),1,IF(AND(INDIRECT(A73&amp;ROW())=B95,INDIRECT(A96&amp;ROW())=C96),1,0))</f>
        <v>0</v>
      </c>
      <c r="K276">
        <f ca="1">DAYS360(INDIRECT(C68&amp;ROW()),TODAY())</f>
        <v>728</v>
      </c>
      <c r="L276">
        <f ca="1">DAYS360(INDIRECT(C69&amp;ROW()),TODAY())</f>
        <v>803</v>
      </c>
      <c r="M276">
        <f ca="1">HYPERLINK(CONCATENATE("https://bugzilla.houston.hp.com:1181/bugzilla/show_bug.cgi?id=",INDIRECT(C70&amp;ROW())),INDIRECT(C70&amp;ROW()))</f>
        <v>56736</v>
      </c>
      <c r="N276">
        <v>56736</v>
      </c>
      <c r="O276" t="s">
        <v>156</v>
      </c>
      <c r="P276" t="s">
        <v>605</v>
      </c>
      <c r="Q276" t="s">
        <v>25</v>
      </c>
      <c r="R276" t="s">
        <v>579</v>
      </c>
      <c r="S276" t="s">
        <v>552</v>
      </c>
      <c r="T276" t="s">
        <v>816</v>
      </c>
      <c r="U276" s="6">
        <v>42118.270856481482</v>
      </c>
      <c r="V276" t="s">
        <v>18</v>
      </c>
      <c r="W276" t="s">
        <v>17</v>
      </c>
      <c r="X276" s="6">
        <v>42044.507962962962</v>
      </c>
      <c r="Y276" t="s">
        <v>342</v>
      </c>
      <c r="AB276" t="s">
        <v>200</v>
      </c>
      <c r="AC276" t="s">
        <v>247</v>
      </c>
      <c r="AD276" t="s">
        <v>220</v>
      </c>
      <c r="AE276" t="s">
        <v>219</v>
      </c>
      <c r="AG276" t="s">
        <v>121</v>
      </c>
      <c r="AH276" t="s">
        <v>327</v>
      </c>
      <c r="AI276" t="s">
        <v>362</v>
      </c>
      <c r="AJ276" t="s">
        <v>715</v>
      </c>
      <c r="AK276" t="s">
        <v>121</v>
      </c>
    </row>
    <row r="277" spans="9:37" x14ac:dyDescent="0.3">
      <c r="I277">
        <f ca="1">IF(OR(INDIRECT(A73&amp;ROW())=B93,INDIRECT(A73&amp;ROW())=B94),1,IF(AND(INDIRECT(A73&amp;ROW())=B95,INDIRECT(A96&amp;ROW())=C93),1,IF(AND(INDIRECT(A73&amp;ROW())=B95,INDIRECT(A96&amp;ROW())=C94),1,0)))</f>
        <v>1</v>
      </c>
      <c r="J277">
        <f ca="1">IF(AND(INDIRECT(A73&amp;ROW())=B95,INDIRECT(A96&amp;ROW())=C95),1,IF(AND(INDIRECT(A73&amp;ROW())=B95,INDIRECT(A96&amp;ROW())=C96),1,0))</f>
        <v>0</v>
      </c>
      <c r="K277">
        <f ca="1">DAYS360(INDIRECT(C68&amp;ROW()),TODAY())</f>
        <v>732</v>
      </c>
      <c r="L277">
        <f ca="1">DAYS360(INDIRECT(C69&amp;ROW()),TODAY())</f>
        <v>803</v>
      </c>
      <c r="M277">
        <f ca="1">HYPERLINK(CONCATENATE("https://bugzilla.houston.hp.com:1181/bugzilla/show_bug.cgi?id=",INDIRECT(C70&amp;ROW())),INDIRECT(C70&amp;ROW()))</f>
        <v>56737</v>
      </c>
      <c r="N277">
        <v>56737</v>
      </c>
      <c r="O277" t="s">
        <v>22</v>
      </c>
      <c r="P277" t="s">
        <v>604</v>
      </c>
      <c r="Q277" t="s">
        <v>39</v>
      </c>
      <c r="R277" t="s">
        <v>579</v>
      </c>
      <c r="S277" t="s">
        <v>552</v>
      </c>
      <c r="T277" t="s">
        <v>820</v>
      </c>
      <c r="U277" s="6">
        <v>42114.896689814814</v>
      </c>
      <c r="V277" t="s">
        <v>18</v>
      </c>
      <c r="W277" t="s">
        <v>343</v>
      </c>
      <c r="X277" s="6">
        <v>42044.510810185187</v>
      </c>
      <c r="Y277" t="s">
        <v>245</v>
      </c>
      <c r="AB277" t="s">
        <v>201</v>
      </c>
      <c r="AC277" t="s">
        <v>247</v>
      </c>
      <c r="AD277" t="s">
        <v>222</v>
      </c>
      <c r="AE277" t="s">
        <v>221</v>
      </c>
      <c r="AG277" t="s">
        <v>121</v>
      </c>
      <c r="AH277" t="s">
        <v>327</v>
      </c>
      <c r="AI277" t="s">
        <v>362</v>
      </c>
      <c r="AJ277" t="s">
        <v>715</v>
      </c>
      <c r="AK277" t="s">
        <v>121</v>
      </c>
    </row>
    <row r="278" spans="9:37" x14ac:dyDescent="0.3">
      <c r="I278">
        <f ca="1">IF(OR(INDIRECT(A73&amp;ROW())=B93,INDIRECT(A73&amp;ROW())=B94),1,IF(AND(INDIRECT(A73&amp;ROW())=B95,INDIRECT(A96&amp;ROW())=C93),1,IF(AND(INDIRECT(A73&amp;ROW())=B95,INDIRECT(A96&amp;ROW())=C94),1,0)))</f>
        <v>0</v>
      </c>
      <c r="J278">
        <f ca="1">IF(AND(INDIRECT(A73&amp;ROW())=B95,INDIRECT(A96&amp;ROW())=C95),1,IF(AND(INDIRECT(A73&amp;ROW())=B95,INDIRECT(A96&amp;ROW())=C96),1,0))</f>
        <v>1</v>
      </c>
      <c r="K278">
        <f ca="1">DAYS360(INDIRECT(C68&amp;ROW()),TODAY())</f>
        <v>721</v>
      </c>
      <c r="L278">
        <f ca="1">DAYS360(INDIRECT(C69&amp;ROW()),TODAY())</f>
        <v>803</v>
      </c>
      <c r="M278">
        <f ca="1">HYPERLINK(CONCATENATE("https://bugzilla.houston.hp.com:1181/bugzilla/show_bug.cgi?id=",INDIRECT(C70&amp;ROW())),INDIRECT(C70&amp;ROW()))</f>
        <v>56784</v>
      </c>
      <c r="N278">
        <v>56784</v>
      </c>
      <c r="O278" t="s">
        <v>56</v>
      </c>
      <c r="P278" t="s">
        <v>603</v>
      </c>
      <c r="Q278" t="s">
        <v>25</v>
      </c>
      <c r="R278" t="s">
        <v>248</v>
      </c>
      <c r="S278" t="s">
        <v>552</v>
      </c>
      <c r="U278" s="6">
        <v>42125.451770833337</v>
      </c>
      <c r="V278" t="s">
        <v>18</v>
      </c>
      <c r="W278" t="s">
        <v>512</v>
      </c>
      <c r="X278" s="6">
        <v>42044.682280092595</v>
      </c>
      <c r="Y278" t="s">
        <v>122</v>
      </c>
      <c r="AB278" t="s">
        <v>201</v>
      </c>
      <c r="AC278" t="s">
        <v>247</v>
      </c>
      <c r="AD278" t="s">
        <v>220</v>
      </c>
      <c r="AE278" t="s">
        <v>219</v>
      </c>
      <c r="AG278" t="s">
        <v>121</v>
      </c>
      <c r="AH278" t="s">
        <v>327</v>
      </c>
      <c r="AI278" t="s">
        <v>121</v>
      </c>
      <c r="AJ278" t="s">
        <v>716</v>
      </c>
      <c r="AK278" t="s">
        <v>121</v>
      </c>
    </row>
    <row r="279" spans="9:37" x14ac:dyDescent="0.3">
      <c r="I279">
        <f ca="1">IF(OR(INDIRECT(A73&amp;ROW())=B93,INDIRECT(A73&amp;ROW())=B94),1,IF(AND(INDIRECT(A73&amp;ROW())=B95,INDIRECT(A96&amp;ROW())=C93),1,IF(AND(INDIRECT(A73&amp;ROW())=B95,INDIRECT(A96&amp;ROW())=C94),1,0)))</f>
        <v>0</v>
      </c>
      <c r="J279">
        <f ca="1">IF(AND(INDIRECT(A73&amp;ROW())=B95,INDIRECT(A96&amp;ROW())=C95),1,IF(AND(INDIRECT(A73&amp;ROW())=B95,INDIRECT(A96&amp;ROW())=C96),1,0))</f>
        <v>1</v>
      </c>
      <c r="K279">
        <f ca="1">DAYS360(INDIRECT(C68&amp;ROW()),TODAY())</f>
        <v>732</v>
      </c>
      <c r="L279">
        <f ca="1">DAYS360(INDIRECT(C69&amp;ROW()),TODAY())</f>
        <v>802</v>
      </c>
      <c r="M279">
        <f ca="1">HYPERLINK(CONCATENATE("https://bugzilla.houston.hp.com:1181/bugzilla/show_bug.cgi?id=",INDIRECT(C70&amp;ROW())),INDIRECT(C70&amp;ROW()))</f>
        <v>56829</v>
      </c>
      <c r="N279">
        <v>56829</v>
      </c>
      <c r="O279" t="s">
        <v>36</v>
      </c>
      <c r="P279" t="s">
        <v>672</v>
      </c>
      <c r="Q279" t="s">
        <v>25</v>
      </c>
      <c r="R279" t="s">
        <v>579</v>
      </c>
      <c r="S279" t="s">
        <v>552</v>
      </c>
      <c r="T279" t="s">
        <v>718</v>
      </c>
      <c r="U279" s="6">
        <v>42114.8983912037</v>
      </c>
      <c r="V279" t="s">
        <v>18</v>
      </c>
      <c r="W279" t="s">
        <v>576</v>
      </c>
      <c r="X279" s="6">
        <v>42045.437962962962</v>
      </c>
      <c r="Y279" t="s">
        <v>124</v>
      </c>
      <c r="AB279" t="s">
        <v>201</v>
      </c>
      <c r="AC279" t="s">
        <v>247</v>
      </c>
      <c r="AD279" t="s">
        <v>222</v>
      </c>
      <c r="AE279" t="s">
        <v>228</v>
      </c>
      <c r="AG279" t="s">
        <v>121</v>
      </c>
      <c r="AH279" t="s">
        <v>327</v>
      </c>
      <c r="AI279" t="s">
        <v>362</v>
      </c>
      <c r="AJ279" t="s">
        <v>716</v>
      </c>
      <c r="AK279" t="s">
        <v>121</v>
      </c>
    </row>
    <row r="280" spans="9:37" x14ac:dyDescent="0.3">
      <c r="I280">
        <f ca="1">IF(OR(INDIRECT(A73&amp;ROW())=B93,INDIRECT(A73&amp;ROW())=B94),1,IF(AND(INDIRECT(A73&amp;ROW())=B95,INDIRECT(A96&amp;ROW())=C93),1,IF(AND(INDIRECT(A73&amp;ROW())=B95,INDIRECT(A96&amp;ROW())=C94),1,0)))</f>
        <v>0</v>
      </c>
      <c r="J280">
        <f ca="1">IF(AND(INDIRECT(A73&amp;ROW())=B95,INDIRECT(A96&amp;ROW())=C95),1,IF(AND(INDIRECT(A73&amp;ROW())=B95,INDIRECT(A96&amp;ROW())=C96),1,0))</f>
        <v>1</v>
      </c>
      <c r="K280">
        <f ca="1">DAYS360(INDIRECT(C68&amp;ROW()),TODAY())</f>
        <v>799</v>
      </c>
      <c r="L280">
        <f ca="1">DAYS360(INDIRECT(C69&amp;ROW()),TODAY())</f>
        <v>802</v>
      </c>
      <c r="M280">
        <f ca="1">HYPERLINK(CONCATENATE("https://bugzilla.houston.hp.com:1181/bugzilla/show_bug.cgi?id=",INDIRECT(C70&amp;ROW())),INDIRECT(C70&amp;ROW()))</f>
        <v>56833</v>
      </c>
      <c r="N280">
        <v>56833</v>
      </c>
      <c r="O280" t="s">
        <v>36</v>
      </c>
      <c r="P280" t="s">
        <v>671</v>
      </c>
      <c r="Q280" t="s">
        <v>25</v>
      </c>
      <c r="R280" t="s">
        <v>579</v>
      </c>
      <c r="S280" t="s">
        <v>552</v>
      </c>
      <c r="T280" t="s">
        <v>719</v>
      </c>
      <c r="U280" s="6">
        <v>42048.010648148149</v>
      </c>
      <c r="V280" t="s">
        <v>18</v>
      </c>
      <c r="W280" t="s">
        <v>343</v>
      </c>
      <c r="X280" s="6">
        <v>42045.439618055556</v>
      </c>
      <c r="Y280" t="s">
        <v>246</v>
      </c>
      <c r="AB280" t="s">
        <v>201</v>
      </c>
      <c r="AC280" t="s">
        <v>247</v>
      </c>
      <c r="AD280" t="s">
        <v>222</v>
      </c>
      <c r="AE280" t="s">
        <v>221</v>
      </c>
      <c r="AG280" t="s">
        <v>121</v>
      </c>
      <c r="AH280" t="s">
        <v>327</v>
      </c>
      <c r="AI280" t="s">
        <v>121</v>
      </c>
      <c r="AJ280" t="s">
        <v>716</v>
      </c>
      <c r="AK280" t="s">
        <v>121</v>
      </c>
    </row>
    <row r="281" spans="9:37" x14ac:dyDescent="0.3">
      <c r="I281">
        <f ca="1">IF(OR(INDIRECT(A73&amp;ROW())=B93,INDIRECT(A73&amp;ROW())=B94),1,IF(AND(INDIRECT(A73&amp;ROW())=B95,INDIRECT(A96&amp;ROW())=C93),1,IF(AND(INDIRECT(A73&amp;ROW())=B95,INDIRECT(A96&amp;ROW())=C94),1,0)))</f>
        <v>1</v>
      </c>
      <c r="J281">
        <f ca="1">IF(AND(INDIRECT(A73&amp;ROW())=B95,INDIRECT(A96&amp;ROW())=C95),1,IF(AND(INDIRECT(A73&amp;ROW())=B95,INDIRECT(A96&amp;ROW())=C96),1,0))</f>
        <v>0</v>
      </c>
      <c r="K281">
        <f ca="1">DAYS360(INDIRECT(C68&amp;ROW()),TODAY())</f>
        <v>692</v>
      </c>
      <c r="L281">
        <f ca="1">DAYS360(INDIRECT(C69&amp;ROW()),TODAY())</f>
        <v>802</v>
      </c>
      <c r="M281">
        <f ca="1">HYPERLINK(CONCATENATE("https://bugzilla.houston.hp.com:1181/bugzilla/show_bug.cgi?id=",INDIRECT(C70&amp;ROW())),INDIRECT(C70&amp;ROW()))</f>
        <v>56836</v>
      </c>
      <c r="N281">
        <v>56836</v>
      </c>
      <c r="O281" t="s">
        <v>53</v>
      </c>
      <c r="P281" t="s">
        <v>670</v>
      </c>
      <c r="Q281" t="s">
        <v>39</v>
      </c>
      <c r="R281" t="s">
        <v>579</v>
      </c>
      <c r="S281" t="s">
        <v>552</v>
      </c>
      <c r="T281" t="s">
        <v>998</v>
      </c>
      <c r="U281" s="6">
        <v>42155.949664351851</v>
      </c>
      <c r="V281" t="s">
        <v>40</v>
      </c>
      <c r="W281" t="s">
        <v>258</v>
      </c>
      <c r="X281" s="6">
        <v>42045.447187500002</v>
      </c>
      <c r="Y281" t="s">
        <v>119</v>
      </c>
      <c r="AB281" t="s">
        <v>201</v>
      </c>
      <c r="AC281" t="s">
        <v>247</v>
      </c>
      <c r="AD281" t="s">
        <v>220</v>
      </c>
      <c r="AE281" t="s">
        <v>219</v>
      </c>
      <c r="AG281" t="s">
        <v>121</v>
      </c>
      <c r="AH281" t="s">
        <v>64</v>
      </c>
      <c r="AI281" t="s">
        <v>121</v>
      </c>
      <c r="AJ281" t="s">
        <v>715</v>
      </c>
      <c r="AK281" t="s">
        <v>121</v>
      </c>
    </row>
    <row r="282" spans="9:37" x14ac:dyDescent="0.3">
      <c r="I282">
        <f ca="1">IF(OR(INDIRECT(A73&amp;ROW())=B93,INDIRECT(A73&amp;ROW())=B94),1,IF(AND(INDIRECT(A73&amp;ROW())=B95,INDIRECT(A96&amp;ROW())=C93),1,IF(AND(INDIRECT(A73&amp;ROW())=B95,INDIRECT(A96&amp;ROW())=C94),1,0)))</f>
        <v>0</v>
      </c>
      <c r="J282">
        <f ca="1">IF(AND(INDIRECT(A73&amp;ROW())=B95,INDIRECT(A96&amp;ROW())=C95),1,IF(AND(INDIRECT(A73&amp;ROW())=B95,INDIRECT(A96&amp;ROW())=C96),1,0))</f>
        <v>1</v>
      </c>
      <c r="K282">
        <f ca="1">DAYS360(INDIRECT(C68&amp;ROW()),TODAY())</f>
        <v>752</v>
      </c>
      <c r="L282">
        <f ca="1">DAYS360(INDIRECT(C69&amp;ROW()),TODAY())</f>
        <v>802</v>
      </c>
      <c r="M282">
        <f ca="1">HYPERLINK(CONCATENATE("https://bugzilla.houston.hp.com:1181/bugzilla/show_bug.cgi?id=",INDIRECT(C70&amp;ROW())),INDIRECT(C70&amp;ROW()))</f>
        <v>56838</v>
      </c>
      <c r="N282">
        <v>56838</v>
      </c>
      <c r="O282" t="s">
        <v>36</v>
      </c>
      <c r="P282" t="s">
        <v>669</v>
      </c>
      <c r="Q282" t="s">
        <v>25</v>
      </c>
      <c r="R282" t="s">
        <v>579</v>
      </c>
      <c r="S282" t="s">
        <v>552</v>
      </c>
      <c r="T282" t="s">
        <v>610</v>
      </c>
      <c r="U282" s="6">
        <v>42093.996180555558</v>
      </c>
      <c r="V282" t="s">
        <v>18</v>
      </c>
      <c r="W282" t="s">
        <v>211</v>
      </c>
      <c r="X282" s="6">
        <v>42045.447858796295</v>
      </c>
      <c r="Y282" t="s">
        <v>119</v>
      </c>
      <c r="AB282" t="s">
        <v>201</v>
      </c>
      <c r="AC282" t="s">
        <v>121</v>
      </c>
      <c r="AD282" t="s">
        <v>222</v>
      </c>
      <c r="AE282" t="s">
        <v>240</v>
      </c>
      <c r="AG282" t="s">
        <v>121</v>
      </c>
      <c r="AH282" t="s">
        <v>64</v>
      </c>
      <c r="AI282" t="s">
        <v>121</v>
      </c>
      <c r="AJ282" t="s">
        <v>716</v>
      </c>
      <c r="AK282" t="s">
        <v>121</v>
      </c>
    </row>
    <row r="283" spans="9:37" x14ac:dyDescent="0.3">
      <c r="I283">
        <f ca="1">IF(OR(INDIRECT(A73&amp;ROW())=B93,INDIRECT(A73&amp;ROW())=B94),1,IF(AND(INDIRECT(A73&amp;ROW())=B95,INDIRECT(A96&amp;ROW())=C93),1,IF(AND(INDIRECT(A73&amp;ROW())=B95,INDIRECT(A96&amp;ROW())=C94),1,0)))</f>
        <v>0</v>
      </c>
      <c r="J283">
        <f ca="1">IF(AND(INDIRECT(A73&amp;ROW())=B95,INDIRECT(A96&amp;ROW())=C95),1,IF(AND(INDIRECT(A73&amp;ROW())=B95,INDIRECT(A96&amp;ROW())=C96),1,0))</f>
        <v>1</v>
      </c>
      <c r="K283">
        <f ca="1">DAYS360(INDIRECT(C68&amp;ROW()),TODAY())</f>
        <v>799</v>
      </c>
      <c r="L283">
        <f ca="1">DAYS360(INDIRECT(C69&amp;ROW()),TODAY())</f>
        <v>802</v>
      </c>
      <c r="M283">
        <f ca="1">HYPERLINK(CONCATENATE("https://bugzilla.houston.hp.com:1181/bugzilla/show_bug.cgi?id=",INDIRECT(C70&amp;ROW())),INDIRECT(C70&amp;ROW()))</f>
        <v>56839</v>
      </c>
      <c r="N283">
        <v>56839</v>
      </c>
      <c r="O283" t="s">
        <v>36</v>
      </c>
      <c r="P283" t="s">
        <v>668</v>
      </c>
      <c r="Q283" t="s">
        <v>25</v>
      </c>
      <c r="R283" t="s">
        <v>579</v>
      </c>
      <c r="S283" t="s">
        <v>552</v>
      </c>
      <c r="T283" t="s">
        <v>719</v>
      </c>
      <c r="U283" s="6">
        <v>42048.007557870369</v>
      </c>
      <c r="V283" t="s">
        <v>18</v>
      </c>
      <c r="W283" t="s">
        <v>341</v>
      </c>
      <c r="X283" s="6">
        <v>42045.448148148149</v>
      </c>
      <c r="Y283" t="s">
        <v>246</v>
      </c>
      <c r="AB283" t="s">
        <v>201</v>
      </c>
      <c r="AC283" t="s">
        <v>247</v>
      </c>
      <c r="AD283" t="s">
        <v>222</v>
      </c>
      <c r="AE283" t="s">
        <v>221</v>
      </c>
      <c r="AG283" t="s">
        <v>121</v>
      </c>
      <c r="AH283" t="s">
        <v>327</v>
      </c>
      <c r="AI283" t="s">
        <v>121</v>
      </c>
      <c r="AJ283" t="s">
        <v>716</v>
      </c>
      <c r="AK283" t="s">
        <v>121</v>
      </c>
    </row>
    <row r="284" spans="9:37" x14ac:dyDescent="0.3">
      <c r="I284">
        <f ca="1">IF(OR(INDIRECT(A73&amp;ROW())=B93,INDIRECT(A73&amp;ROW())=B94),1,IF(AND(INDIRECT(A73&amp;ROW())=B95,INDIRECT(A96&amp;ROW())=C93),1,IF(AND(INDIRECT(A73&amp;ROW())=B95,INDIRECT(A96&amp;ROW())=C94),1,0)))</f>
        <v>1</v>
      </c>
      <c r="J284">
        <f ca="1">IF(AND(INDIRECT(A73&amp;ROW())=B95,INDIRECT(A96&amp;ROW())=C95),1,IF(AND(INDIRECT(A73&amp;ROW())=B95,INDIRECT(A96&amp;ROW())=C96),1,0))</f>
        <v>0</v>
      </c>
      <c r="K284">
        <f ca="1">DAYS360(INDIRECT(C68&amp;ROW()),TODAY())</f>
        <v>692</v>
      </c>
      <c r="L284">
        <f ca="1">DAYS360(INDIRECT(C69&amp;ROW()),TODAY())</f>
        <v>802</v>
      </c>
      <c r="M284">
        <f ca="1">HYPERLINK(CONCATENATE("https://bugzilla.houston.hp.com:1181/bugzilla/show_bug.cgi?id=",INDIRECT(C70&amp;ROW())),INDIRECT(C70&amp;ROW()))</f>
        <v>56842</v>
      </c>
      <c r="N284">
        <v>56842</v>
      </c>
      <c r="O284" t="s">
        <v>53</v>
      </c>
      <c r="P284" t="s">
        <v>667</v>
      </c>
      <c r="Q284" t="s">
        <v>39</v>
      </c>
      <c r="R284" t="s">
        <v>579</v>
      </c>
      <c r="S284" t="s">
        <v>552</v>
      </c>
      <c r="T284" t="s">
        <v>999</v>
      </c>
      <c r="U284" s="6">
        <v>42155.948958333334</v>
      </c>
      <c r="V284" t="s">
        <v>40</v>
      </c>
      <c r="W284" t="s">
        <v>260</v>
      </c>
      <c r="X284" s="6">
        <v>42045.449675925927</v>
      </c>
      <c r="Y284" t="s">
        <v>793</v>
      </c>
      <c r="AB284" t="s">
        <v>201</v>
      </c>
      <c r="AC284" t="s">
        <v>121</v>
      </c>
      <c r="AD284" t="s">
        <v>220</v>
      </c>
      <c r="AE284" t="s">
        <v>219</v>
      </c>
      <c r="AG284" t="s">
        <v>121</v>
      </c>
      <c r="AH284" t="s">
        <v>327</v>
      </c>
      <c r="AI284" t="s">
        <v>121</v>
      </c>
      <c r="AJ284" t="s">
        <v>715</v>
      </c>
      <c r="AK284" t="s">
        <v>121</v>
      </c>
    </row>
    <row r="285" spans="9:37" x14ac:dyDescent="0.3">
      <c r="I285">
        <f ca="1">IF(OR(INDIRECT(A73&amp;ROW())=B93,INDIRECT(A73&amp;ROW())=B94),1,IF(AND(INDIRECT(A73&amp;ROW())=B95,INDIRECT(A96&amp;ROW())=C93),1,IF(AND(INDIRECT(A73&amp;ROW())=B95,INDIRECT(A96&amp;ROW())=C94),1,0)))</f>
        <v>0</v>
      </c>
      <c r="J285">
        <f ca="1">IF(AND(INDIRECT(A73&amp;ROW())=B95,INDIRECT(A96&amp;ROW())=C95),1,IF(AND(INDIRECT(A73&amp;ROW())=B95,INDIRECT(A96&amp;ROW())=C96),1,0))</f>
        <v>1</v>
      </c>
      <c r="K285">
        <f ca="1">DAYS360(INDIRECT(C68&amp;ROW()),TODAY())</f>
        <v>802</v>
      </c>
      <c r="L285">
        <f ca="1">DAYS360(INDIRECT(C69&amp;ROW()),TODAY())</f>
        <v>802</v>
      </c>
      <c r="M285">
        <f ca="1">HYPERLINK(CONCATENATE("https://bugzilla.houston.hp.com:1181/bugzilla/show_bug.cgi?id=",INDIRECT(C70&amp;ROW())),INDIRECT(C70&amp;ROW()))</f>
        <v>56848</v>
      </c>
      <c r="N285">
        <v>56848</v>
      </c>
      <c r="O285" t="s">
        <v>36</v>
      </c>
      <c r="P285" t="s">
        <v>665</v>
      </c>
      <c r="Q285" t="s">
        <v>25</v>
      </c>
      <c r="R285" t="s">
        <v>248</v>
      </c>
      <c r="S285" t="s">
        <v>552</v>
      </c>
      <c r="U285" s="6">
        <v>42045.500856481478</v>
      </c>
      <c r="V285" t="s">
        <v>18</v>
      </c>
      <c r="W285" t="s">
        <v>576</v>
      </c>
      <c r="X285" s="6">
        <v>42045.465833333335</v>
      </c>
      <c r="Y285" t="s">
        <v>124</v>
      </c>
      <c r="AB285" t="s">
        <v>201</v>
      </c>
      <c r="AC285" t="s">
        <v>247</v>
      </c>
      <c r="AD285" t="s">
        <v>222</v>
      </c>
      <c r="AE285" t="s">
        <v>221</v>
      </c>
      <c r="AG285" t="s">
        <v>121</v>
      </c>
      <c r="AH285" t="s">
        <v>327</v>
      </c>
      <c r="AI285" t="s">
        <v>121</v>
      </c>
      <c r="AJ285" t="s">
        <v>716</v>
      </c>
      <c r="AK285" t="s">
        <v>121</v>
      </c>
    </row>
    <row r="286" spans="9:37" x14ac:dyDescent="0.3">
      <c r="I286">
        <f ca="1">IF(OR(INDIRECT(A73&amp;ROW())=B93,INDIRECT(A73&amp;ROW())=B94),1,IF(AND(INDIRECT(A73&amp;ROW())=B95,INDIRECT(A96&amp;ROW())=C93),1,IF(AND(INDIRECT(A73&amp;ROW())=B95,INDIRECT(A96&amp;ROW())=C94),1,0)))</f>
        <v>1</v>
      </c>
      <c r="J286">
        <f ca="1">IF(AND(INDIRECT(A73&amp;ROW())=B95,INDIRECT(A96&amp;ROW())=C95),1,IF(AND(INDIRECT(A73&amp;ROW())=B95,INDIRECT(A96&amp;ROW())=C96),1,0))</f>
        <v>0</v>
      </c>
      <c r="K286">
        <f ca="1">DAYS360(INDIRECT(C68&amp;ROW()),TODAY())</f>
        <v>677</v>
      </c>
      <c r="L286">
        <f ca="1">DAYS360(INDIRECT(C69&amp;ROW()),TODAY())</f>
        <v>802</v>
      </c>
      <c r="M286">
        <f ca="1">HYPERLINK(CONCATENATE("https://bugzilla.houston.hp.com:1181/bugzilla/show_bug.cgi?id=",INDIRECT(C70&amp;ROW())),INDIRECT(C70&amp;ROW()))</f>
        <v>56849</v>
      </c>
      <c r="N286">
        <v>56849</v>
      </c>
      <c r="O286" t="s">
        <v>56</v>
      </c>
      <c r="P286" t="s">
        <v>664</v>
      </c>
      <c r="Q286" t="s">
        <v>39</v>
      </c>
      <c r="R286" t="s">
        <v>248</v>
      </c>
      <c r="S286" t="s">
        <v>552</v>
      </c>
      <c r="U286" s="6">
        <v>42170.560057870367</v>
      </c>
      <c r="V286" t="s">
        <v>18</v>
      </c>
      <c r="W286" t="s">
        <v>324</v>
      </c>
      <c r="X286" s="6">
        <v>42045.466180555559</v>
      </c>
      <c r="Y286" t="s">
        <v>122</v>
      </c>
      <c r="AB286" t="s">
        <v>201</v>
      </c>
      <c r="AC286" t="s">
        <v>247</v>
      </c>
      <c r="AD286" t="s">
        <v>220</v>
      </c>
      <c r="AE286" t="s">
        <v>219</v>
      </c>
      <c r="AG286" t="s">
        <v>121</v>
      </c>
      <c r="AH286" t="s">
        <v>327</v>
      </c>
      <c r="AI286" t="s">
        <v>121</v>
      </c>
      <c r="AJ286" t="s">
        <v>715</v>
      </c>
      <c r="AK286" t="s">
        <v>121</v>
      </c>
    </row>
    <row r="287" spans="9:37" x14ac:dyDescent="0.3">
      <c r="I287">
        <f ca="1">IF(OR(INDIRECT(A73&amp;ROW())=B93,INDIRECT(A73&amp;ROW())=B94),1,IF(AND(INDIRECT(A73&amp;ROW())=B95,INDIRECT(A96&amp;ROW())=C93),1,IF(AND(INDIRECT(A73&amp;ROW())=B95,INDIRECT(A96&amp;ROW())=C94),1,0)))</f>
        <v>0</v>
      </c>
      <c r="J287">
        <f ca="1">IF(AND(INDIRECT(A73&amp;ROW())=B95,INDIRECT(A96&amp;ROW())=C95),1,IF(AND(INDIRECT(A73&amp;ROW())=B95,INDIRECT(A96&amp;ROW())=C96),1,0))</f>
        <v>1</v>
      </c>
      <c r="K287">
        <f ca="1">DAYS360(INDIRECT(C68&amp;ROW()),TODAY())</f>
        <v>690</v>
      </c>
      <c r="L287">
        <f ca="1">DAYS360(INDIRECT(C69&amp;ROW()),TODAY())</f>
        <v>802</v>
      </c>
      <c r="M287">
        <f ca="1">HYPERLINK(CONCATENATE("https://bugzilla.houston.hp.com:1181/bugzilla/show_bug.cgi?id=",INDIRECT(C70&amp;ROW())),INDIRECT(C70&amp;ROW()))</f>
        <v>56850</v>
      </c>
      <c r="N287">
        <v>56850</v>
      </c>
      <c r="O287" t="s">
        <v>36</v>
      </c>
      <c r="P287" t="s">
        <v>663</v>
      </c>
      <c r="Q287" t="s">
        <v>25</v>
      </c>
      <c r="R287" t="s">
        <v>248</v>
      </c>
      <c r="S287" t="s">
        <v>552</v>
      </c>
      <c r="U287" s="6">
        <v>42157.094629629632</v>
      </c>
      <c r="V287" t="s">
        <v>18</v>
      </c>
      <c r="W287" t="s">
        <v>171</v>
      </c>
      <c r="X287" s="6">
        <v>42045.466585648152</v>
      </c>
      <c r="Y287" t="s">
        <v>119</v>
      </c>
      <c r="AB287" t="s">
        <v>201</v>
      </c>
      <c r="AC287" t="s">
        <v>121</v>
      </c>
      <c r="AD287" t="s">
        <v>220</v>
      </c>
      <c r="AE287" t="s">
        <v>223</v>
      </c>
      <c r="AG287" t="s">
        <v>121</v>
      </c>
      <c r="AH287" t="s">
        <v>327</v>
      </c>
      <c r="AI287" t="s">
        <v>121</v>
      </c>
      <c r="AJ287" t="s">
        <v>716</v>
      </c>
      <c r="AK287" t="s">
        <v>121</v>
      </c>
    </row>
    <row r="288" spans="9:37" x14ac:dyDescent="0.3">
      <c r="I288">
        <f ca="1">IF(OR(INDIRECT(A73&amp;ROW())=B93,INDIRECT(A73&amp;ROW())=B94),1,IF(AND(INDIRECT(A73&amp;ROW())=B95,INDIRECT(A96&amp;ROW())=C93),1,IF(AND(INDIRECT(A73&amp;ROW())=B95,INDIRECT(A96&amp;ROW())=C94),1,0)))</f>
        <v>1</v>
      </c>
      <c r="J288">
        <f ca="1">IF(AND(INDIRECT(A73&amp;ROW())=B95,INDIRECT(A96&amp;ROW())=C95),1,IF(AND(INDIRECT(A73&amp;ROW())=B95,INDIRECT(A96&amp;ROW())=C96),1,0))</f>
        <v>0</v>
      </c>
      <c r="K288">
        <f ca="1">DAYS360(INDIRECT(C68&amp;ROW()),TODAY())</f>
        <v>684</v>
      </c>
      <c r="L288">
        <f ca="1">DAYS360(INDIRECT(C69&amp;ROW()),TODAY())</f>
        <v>802</v>
      </c>
      <c r="M288">
        <f ca="1">HYPERLINK(CONCATENATE("https://bugzilla.houston.hp.com:1181/bugzilla/show_bug.cgi?id=",INDIRECT(C70&amp;ROW())),INDIRECT(C70&amp;ROW()))</f>
        <v>56851</v>
      </c>
      <c r="N288">
        <v>56851</v>
      </c>
      <c r="O288" t="s">
        <v>53</v>
      </c>
      <c r="P288" t="s">
        <v>662</v>
      </c>
      <c r="Q288" t="s">
        <v>39</v>
      </c>
      <c r="R288" t="s">
        <v>248</v>
      </c>
      <c r="S288" t="s">
        <v>552</v>
      </c>
      <c r="U288" s="6">
        <v>42163.604212962964</v>
      </c>
      <c r="V288" t="s">
        <v>18</v>
      </c>
      <c r="W288" t="s">
        <v>258</v>
      </c>
      <c r="X288" s="6">
        <v>42045.466851851852</v>
      </c>
      <c r="Y288" t="s">
        <v>119</v>
      </c>
      <c r="AB288" t="s">
        <v>201</v>
      </c>
      <c r="AC288" t="s">
        <v>247</v>
      </c>
      <c r="AD288" t="s">
        <v>220</v>
      </c>
      <c r="AE288" t="s">
        <v>219</v>
      </c>
      <c r="AG288" t="s">
        <v>121</v>
      </c>
      <c r="AH288" t="s">
        <v>64</v>
      </c>
      <c r="AI288" t="s">
        <v>121</v>
      </c>
      <c r="AJ288" t="s">
        <v>715</v>
      </c>
      <c r="AK288" t="s">
        <v>121</v>
      </c>
    </row>
    <row r="289" spans="9:37" x14ac:dyDescent="0.3">
      <c r="I289">
        <f ca="1">IF(OR(INDIRECT(A73&amp;ROW())=B93,INDIRECT(A73&amp;ROW())=B94),1,IF(AND(INDIRECT(A73&amp;ROW())=B95,INDIRECT(A96&amp;ROW())=C93),1,IF(AND(INDIRECT(A73&amp;ROW())=B95,INDIRECT(A96&amp;ROW())=C94),1,0)))</f>
        <v>0</v>
      </c>
      <c r="J289">
        <f ca="1">IF(AND(INDIRECT(A73&amp;ROW())=B95,INDIRECT(A96&amp;ROW())=C95),1,IF(AND(INDIRECT(A73&amp;ROW())=B95,INDIRECT(A96&amp;ROW())=C96),1,0))</f>
        <v>1</v>
      </c>
      <c r="K289">
        <f ca="1">DAYS360(INDIRECT(C68&amp;ROW()),TODAY())</f>
        <v>802</v>
      </c>
      <c r="L289">
        <f ca="1">DAYS360(INDIRECT(C69&amp;ROW()),TODAY())</f>
        <v>802</v>
      </c>
      <c r="M289">
        <f ca="1">HYPERLINK(CONCATENATE("https://bugzilla.houston.hp.com:1181/bugzilla/show_bug.cgi?id=",INDIRECT(C70&amp;ROW())),INDIRECT(C70&amp;ROW()))</f>
        <v>56854</v>
      </c>
      <c r="N289">
        <v>56854</v>
      </c>
      <c r="O289" t="s">
        <v>56</v>
      </c>
      <c r="P289" t="s">
        <v>661</v>
      </c>
      <c r="Q289" t="s">
        <v>25</v>
      </c>
      <c r="R289" t="s">
        <v>248</v>
      </c>
      <c r="S289" t="s">
        <v>552</v>
      </c>
      <c r="U289" s="6">
        <v>42045.50408564815</v>
      </c>
      <c r="V289" t="s">
        <v>18</v>
      </c>
      <c r="W289" t="s">
        <v>288</v>
      </c>
      <c r="X289" s="6">
        <v>42045.467939814815</v>
      </c>
      <c r="Y289" t="s">
        <v>119</v>
      </c>
      <c r="AB289" t="s">
        <v>201</v>
      </c>
      <c r="AC289" t="s">
        <v>121</v>
      </c>
      <c r="AD289" t="s">
        <v>220</v>
      </c>
      <c r="AE289" t="s">
        <v>219</v>
      </c>
      <c r="AF289" s="13">
        <v>41901</v>
      </c>
      <c r="AG289" t="s">
        <v>121</v>
      </c>
      <c r="AH289" t="s">
        <v>327</v>
      </c>
      <c r="AI289" t="s">
        <v>121</v>
      </c>
      <c r="AJ289" t="s">
        <v>716</v>
      </c>
      <c r="AK289" t="s">
        <v>121</v>
      </c>
    </row>
    <row r="290" spans="9:37" x14ac:dyDescent="0.3">
      <c r="I290">
        <f ca="1">IF(OR(INDIRECT(A73&amp;ROW())=B93,INDIRECT(A73&amp;ROW())=B94),1,IF(AND(INDIRECT(A73&amp;ROW())=B95,INDIRECT(A96&amp;ROW())=C93),1,IF(AND(INDIRECT(A73&amp;ROW())=B95,INDIRECT(A96&amp;ROW())=C94),1,0)))</f>
        <v>0</v>
      </c>
      <c r="J290">
        <f ca="1">IF(AND(INDIRECT(A73&amp;ROW())=B95,INDIRECT(A96&amp;ROW())=C95),1,IF(AND(INDIRECT(A73&amp;ROW())=B95,INDIRECT(A96&amp;ROW())=C96),1,0))</f>
        <v>1</v>
      </c>
      <c r="K290">
        <f ca="1">DAYS360(INDIRECT(C68&amp;ROW()),TODAY())</f>
        <v>802</v>
      </c>
      <c r="L290">
        <f ca="1">DAYS360(INDIRECT(C69&amp;ROW()),TODAY())</f>
        <v>802</v>
      </c>
      <c r="M290">
        <f ca="1">HYPERLINK(CONCATENATE("https://bugzilla.houston.hp.com:1181/bugzilla/show_bug.cgi?id=",INDIRECT(C70&amp;ROW())),INDIRECT(C70&amp;ROW()))</f>
        <v>56857</v>
      </c>
      <c r="N290">
        <v>56857</v>
      </c>
      <c r="O290" t="s">
        <v>36</v>
      </c>
      <c r="P290" t="s">
        <v>659</v>
      </c>
      <c r="Q290" t="s">
        <v>25</v>
      </c>
      <c r="R290" t="s">
        <v>248</v>
      </c>
      <c r="S290" t="s">
        <v>552</v>
      </c>
      <c r="U290" s="6">
        <v>42045.499108796299</v>
      </c>
      <c r="V290" t="s">
        <v>18</v>
      </c>
      <c r="W290" t="s">
        <v>341</v>
      </c>
      <c r="X290" s="6">
        <v>42045.468923611108</v>
      </c>
      <c r="Y290" t="s">
        <v>246</v>
      </c>
      <c r="AB290" t="s">
        <v>201</v>
      </c>
      <c r="AC290" t="s">
        <v>247</v>
      </c>
      <c r="AD290" t="s">
        <v>222</v>
      </c>
      <c r="AE290" t="s">
        <v>221</v>
      </c>
      <c r="AG290" t="s">
        <v>121</v>
      </c>
      <c r="AH290" t="s">
        <v>327</v>
      </c>
      <c r="AI290" t="s">
        <v>121</v>
      </c>
      <c r="AJ290" t="s">
        <v>716</v>
      </c>
      <c r="AK290" t="s">
        <v>121</v>
      </c>
    </row>
    <row r="291" spans="9:37" x14ac:dyDescent="0.3">
      <c r="I291">
        <f ca="1">IF(OR(INDIRECT(A73&amp;ROW())=B93,INDIRECT(A73&amp;ROW())=B94),1,IF(AND(INDIRECT(A73&amp;ROW())=B95,INDIRECT(A96&amp;ROW())=C93),1,IF(AND(INDIRECT(A73&amp;ROW())=B95,INDIRECT(A96&amp;ROW())=C94),1,0)))</f>
        <v>0</v>
      </c>
      <c r="J291">
        <f ca="1">IF(AND(INDIRECT(A73&amp;ROW())=B95,INDIRECT(A96&amp;ROW())=C95),1,IF(AND(INDIRECT(A73&amp;ROW())=B95,INDIRECT(A96&amp;ROW())=C96),1,0))</f>
        <v>1</v>
      </c>
      <c r="K291">
        <f ca="1">DAYS360(INDIRECT(C68&amp;ROW()),TODAY())</f>
        <v>802</v>
      </c>
      <c r="L291">
        <f ca="1">DAYS360(INDIRECT(C69&amp;ROW()),TODAY())</f>
        <v>802</v>
      </c>
      <c r="M291">
        <f ca="1">HYPERLINK(CONCATENATE("https://bugzilla.houston.hp.com:1181/bugzilla/show_bug.cgi?id=",INDIRECT(C70&amp;ROW())),INDIRECT(C70&amp;ROW()))</f>
        <v>56860</v>
      </c>
      <c r="N291">
        <v>56860</v>
      </c>
      <c r="O291" t="s">
        <v>36</v>
      </c>
      <c r="P291" t="s">
        <v>658</v>
      </c>
      <c r="Q291" t="s">
        <v>25</v>
      </c>
      <c r="R291" t="s">
        <v>248</v>
      </c>
      <c r="S291" t="s">
        <v>552</v>
      </c>
      <c r="U291" s="6">
        <v>42045.504421296297</v>
      </c>
      <c r="V291" t="s">
        <v>18</v>
      </c>
      <c r="W291" t="s">
        <v>343</v>
      </c>
      <c r="X291" s="6">
        <v>42045.469652777778</v>
      </c>
      <c r="Y291" t="s">
        <v>246</v>
      </c>
      <c r="AB291" t="s">
        <v>201</v>
      </c>
      <c r="AC291" t="s">
        <v>247</v>
      </c>
      <c r="AD291" t="s">
        <v>222</v>
      </c>
      <c r="AE291" t="s">
        <v>221</v>
      </c>
      <c r="AG291" t="s">
        <v>121</v>
      </c>
      <c r="AH291" t="s">
        <v>327</v>
      </c>
      <c r="AI291" t="s">
        <v>121</v>
      </c>
      <c r="AJ291" t="s">
        <v>716</v>
      </c>
      <c r="AK291" t="s">
        <v>121</v>
      </c>
    </row>
    <row r="292" spans="9:37" x14ac:dyDescent="0.3">
      <c r="I292">
        <f ca="1">IF(OR(INDIRECT(A73&amp;ROW())=B93,INDIRECT(A73&amp;ROW())=B94),1,IF(AND(INDIRECT(A73&amp;ROW())=B95,INDIRECT(A96&amp;ROW())=C93),1,IF(AND(INDIRECT(A73&amp;ROW())=B95,INDIRECT(A96&amp;ROW())=C94),1,0)))</f>
        <v>0</v>
      </c>
      <c r="J292">
        <f ca="1">IF(AND(INDIRECT(A73&amp;ROW())=B95,INDIRECT(A96&amp;ROW())=C95),1,IF(AND(INDIRECT(A73&amp;ROW())=B95,INDIRECT(A96&amp;ROW())=C96),1,0))</f>
        <v>1</v>
      </c>
      <c r="K292">
        <f ca="1">DAYS360(INDIRECT(C68&amp;ROW()),TODAY())</f>
        <v>802</v>
      </c>
      <c r="L292">
        <f ca="1">DAYS360(INDIRECT(C69&amp;ROW()),TODAY())</f>
        <v>802</v>
      </c>
      <c r="M292">
        <f ca="1">HYPERLINK(CONCATENATE("https://bugzilla.houston.hp.com:1181/bugzilla/show_bug.cgi?id=",INDIRECT(C70&amp;ROW())),INDIRECT(C70&amp;ROW()))</f>
        <v>56861</v>
      </c>
      <c r="N292">
        <v>56861</v>
      </c>
      <c r="O292" t="s">
        <v>36</v>
      </c>
      <c r="P292" t="s">
        <v>657</v>
      </c>
      <c r="Q292" t="s">
        <v>25</v>
      </c>
      <c r="R292" t="s">
        <v>248</v>
      </c>
      <c r="S292" t="s">
        <v>552</v>
      </c>
      <c r="U292" s="6">
        <v>42045.500555555554</v>
      </c>
      <c r="V292" t="s">
        <v>18</v>
      </c>
      <c r="W292" t="s">
        <v>211</v>
      </c>
      <c r="X292" s="6">
        <v>42045.47</v>
      </c>
      <c r="Y292" t="s">
        <v>119</v>
      </c>
      <c r="AB292" t="s">
        <v>201</v>
      </c>
      <c r="AC292" t="s">
        <v>121</v>
      </c>
      <c r="AD292" t="s">
        <v>222</v>
      </c>
      <c r="AE292" t="s">
        <v>240</v>
      </c>
      <c r="AG292" t="s">
        <v>121</v>
      </c>
      <c r="AH292" t="s">
        <v>64</v>
      </c>
      <c r="AI292" t="s">
        <v>121</v>
      </c>
      <c r="AJ292" t="s">
        <v>716</v>
      </c>
      <c r="AK292" t="s">
        <v>121</v>
      </c>
    </row>
    <row r="293" spans="9:37" x14ac:dyDescent="0.3">
      <c r="I293">
        <f ca="1">IF(OR(INDIRECT(A73&amp;ROW())=B93,INDIRECT(A73&amp;ROW())=B94),1,IF(AND(INDIRECT(A73&amp;ROW())=B95,INDIRECT(A96&amp;ROW())=C93),1,IF(AND(INDIRECT(A73&amp;ROW())=B95,INDIRECT(A96&amp;ROW())=C94),1,0)))</f>
        <v>0</v>
      </c>
      <c r="J293">
        <f ca="1">IF(AND(INDIRECT(A73&amp;ROW())=B95,INDIRECT(A96&amp;ROW())=C95),1,IF(AND(INDIRECT(A73&amp;ROW())=B95,INDIRECT(A96&amp;ROW())=C96),1,0))</f>
        <v>1</v>
      </c>
      <c r="K293">
        <f ca="1">DAYS360(INDIRECT(C68&amp;ROW()),TODAY())</f>
        <v>802</v>
      </c>
      <c r="L293">
        <f ca="1">DAYS360(INDIRECT(C69&amp;ROW()),TODAY())</f>
        <v>802</v>
      </c>
      <c r="M293">
        <f ca="1">HYPERLINK(CONCATENATE("https://bugzilla.houston.hp.com:1181/bugzilla/show_bug.cgi?id=",INDIRECT(C70&amp;ROW())),INDIRECT(C70&amp;ROW()))</f>
        <v>56864</v>
      </c>
      <c r="N293">
        <v>56864</v>
      </c>
      <c r="O293" t="s">
        <v>56</v>
      </c>
      <c r="P293" t="s">
        <v>655</v>
      </c>
      <c r="Q293" t="s">
        <v>25</v>
      </c>
      <c r="R293" t="s">
        <v>248</v>
      </c>
      <c r="S293" t="s">
        <v>552</v>
      </c>
      <c r="U293" s="6">
        <v>42045.499976851854</v>
      </c>
      <c r="V293" t="s">
        <v>18</v>
      </c>
      <c r="W293" t="s">
        <v>172</v>
      </c>
      <c r="X293" s="6">
        <v>42045.471018518518</v>
      </c>
      <c r="Y293" t="s">
        <v>119</v>
      </c>
      <c r="AB293" t="s">
        <v>201</v>
      </c>
      <c r="AC293" t="s">
        <v>121</v>
      </c>
      <c r="AD293" t="s">
        <v>220</v>
      </c>
      <c r="AE293" t="s">
        <v>219</v>
      </c>
      <c r="AG293" t="s">
        <v>121</v>
      </c>
      <c r="AH293" t="s">
        <v>327</v>
      </c>
      <c r="AI293" t="s">
        <v>121</v>
      </c>
      <c r="AJ293" t="s">
        <v>716</v>
      </c>
      <c r="AK293" t="s">
        <v>121</v>
      </c>
    </row>
    <row r="294" spans="9:37" x14ac:dyDescent="0.3">
      <c r="I294">
        <f ca="1">IF(OR(INDIRECT(A73&amp;ROW())=B93,INDIRECT(A73&amp;ROW())=B94),1,IF(AND(INDIRECT(A73&amp;ROW())=B95,INDIRECT(A96&amp;ROW())=C93),1,IF(AND(INDIRECT(A73&amp;ROW())=B95,INDIRECT(A96&amp;ROW())=C94),1,0)))</f>
        <v>0</v>
      </c>
      <c r="J294">
        <f ca="1">IF(AND(INDIRECT(A73&amp;ROW())=B95,INDIRECT(A96&amp;ROW())=C95),1,IF(AND(INDIRECT(A73&amp;ROW())=B95,INDIRECT(A96&amp;ROW())=C96),1,0))</f>
        <v>1</v>
      </c>
      <c r="K294">
        <f ca="1">DAYS360(INDIRECT(C68&amp;ROW()),TODAY())</f>
        <v>721</v>
      </c>
      <c r="L294">
        <f ca="1">DAYS360(INDIRECT(C69&amp;ROW()),TODAY())</f>
        <v>802</v>
      </c>
      <c r="M294">
        <f ca="1">HYPERLINK(CONCATENATE("https://bugzilla.houston.hp.com:1181/bugzilla/show_bug.cgi?id=",INDIRECT(C70&amp;ROW())),INDIRECT(C70&amp;ROW()))</f>
        <v>56866</v>
      </c>
      <c r="N294">
        <v>56866</v>
      </c>
      <c r="O294" t="s">
        <v>56</v>
      </c>
      <c r="P294" t="s">
        <v>654</v>
      </c>
      <c r="Q294" t="s">
        <v>25</v>
      </c>
      <c r="R294" t="s">
        <v>248</v>
      </c>
      <c r="S294" t="s">
        <v>552</v>
      </c>
      <c r="U294" s="6">
        <v>42125.449675925927</v>
      </c>
      <c r="V294" t="s">
        <v>18</v>
      </c>
      <c r="W294" t="s">
        <v>372</v>
      </c>
      <c r="X294" s="6">
        <v>42045.471747685187</v>
      </c>
      <c r="Y294" t="s">
        <v>122</v>
      </c>
      <c r="AB294" t="s">
        <v>201</v>
      </c>
      <c r="AC294" t="s">
        <v>247</v>
      </c>
      <c r="AD294" t="s">
        <v>220</v>
      </c>
      <c r="AE294" t="s">
        <v>219</v>
      </c>
      <c r="AG294" t="s">
        <v>121</v>
      </c>
      <c r="AH294" t="s">
        <v>327</v>
      </c>
      <c r="AI294" t="s">
        <v>121</v>
      </c>
      <c r="AJ294" t="s">
        <v>716</v>
      </c>
      <c r="AK294" t="s">
        <v>121</v>
      </c>
    </row>
    <row r="295" spans="9:37" x14ac:dyDescent="0.3">
      <c r="I295">
        <f ca="1">IF(OR(INDIRECT(A73&amp;ROW())=B93,INDIRECT(A73&amp;ROW())=B94),1,IF(AND(INDIRECT(A73&amp;ROW())=B95,INDIRECT(A96&amp;ROW())=C93),1,IF(AND(INDIRECT(A73&amp;ROW())=B95,INDIRECT(A96&amp;ROW())=C94),1,0)))</f>
        <v>0</v>
      </c>
      <c r="J295">
        <f ca="1">IF(AND(INDIRECT(A73&amp;ROW())=B95,INDIRECT(A96&amp;ROW())=C95),1,IF(AND(INDIRECT(A73&amp;ROW())=B95,INDIRECT(A96&amp;ROW())=C96),1,0))</f>
        <v>1</v>
      </c>
      <c r="K295">
        <f ca="1">DAYS360(INDIRECT(C68&amp;ROW()),TODAY())</f>
        <v>680</v>
      </c>
      <c r="L295">
        <f ca="1">DAYS360(INDIRECT(C69&amp;ROW()),TODAY())</f>
        <v>802</v>
      </c>
      <c r="M295">
        <f ca="1">HYPERLINK(CONCATENATE("https://bugzilla.houston.hp.com:1181/bugzilla/show_bug.cgi?id=",INDIRECT(C70&amp;ROW())),INDIRECT(C70&amp;ROW()))</f>
        <v>56895</v>
      </c>
      <c r="N295">
        <v>56895</v>
      </c>
      <c r="O295" t="s">
        <v>44</v>
      </c>
      <c r="P295" t="s">
        <v>738</v>
      </c>
      <c r="Q295" t="s">
        <v>25</v>
      </c>
      <c r="R295" t="s">
        <v>251</v>
      </c>
      <c r="S295" t="s">
        <v>52</v>
      </c>
      <c r="T295" t="s">
        <v>48</v>
      </c>
      <c r="U295" s="6">
        <v>42167.467592592591</v>
      </c>
      <c r="V295" t="s">
        <v>35</v>
      </c>
      <c r="W295" t="s">
        <v>17</v>
      </c>
      <c r="X295" s="6">
        <v>42045.609618055554</v>
      </c>
      <c r="Y295" t="s">
        <v>535</v>
      </c>
      <c r="AB295" t="s">
        <v>201</v>
      </c>
      <c r="AC295" t="s">
        <v>247</v>
      </c>
      <c r="AD295" t="s">
        <v>220</v>
      </c>
      <c r="AE295" t="s">
        <v>219</v>
      </c>
      <c r="AG295" t="s">
        <v>121</v>
      </c>
      <c r="AH295" t="s">
        <v>327</v>
      </c>
      <c r="AI295" t="s">
        <v>121</v>
      </c>
      <c r="AJ295" t="s">
        <v>716</v>
      </c>
      <c r="AK295" t="s">
        <v>121</v>
      </c>
    </row>
    <row r="296" spans="9:37" x14ac:dyDescent="0.3">
      <c r="I296">
        <f ca="1">IF(OR(INDIRECT(A73&amp;ROW())=B93,INDIRECT(A73&amp;ROW())=B94),1,IF(AND(INDIRECT(A73&amp;ROW())=B95,INDIRECT(A96&amp;ROW())=C93),1,IF(AND(INDIRECT(A73&amp;ROW())=B95,INDIRECT(A96&amp;ROW())=C94),1,0)))</f>
        <v>0</v>
      </c>
      <c r="J296">
        <f ca="1">IF(AND(INDIRECT(A73&amp;ROW())=B95,INDIRECT(A96&amp;ROW())=C95),1,IF(AND(INDIRECT(A73&amp;ROW())=B95,INDIRECT(A96&amp;ROW())=C96),1,0))</f>
        <v>0</v>
      </c>
      <c r="K296">
        <f ca="1">DAYS360(INDIRECT(C68&amp;ROW()),TODAY())</f>
        <v>802</v>
      </c>
      <c r="L296">
        <f ca="1">DAYS360(INDIRECT(C69&amp;ROW()),TODAY())</f>
        <v>802</v>
      </c>
      <c r="M296">
        <f ca="1">HYPERLINK(CONCATENATE("https://bugzilla.houston.hp.com:1181/bugzilla/show_bug.cgi?id=",INDIRECT(C70&amp;ROW())),INDIRECT(C70&amp;ROW()))</f>
        <v>56896</v>
      </c>
      <c r="N296">
        <v>56896</v>
      </c>
      <c r="O296" t="s">
        <v>56</v>
      </c>
      <c r="P296" t="s">
        <v>653</v>
      </c>
      <c r="Q296" t="s">
        <v>16</v>
      </c>
      <c r="R296" t="s">
        <v>248</v>
      </c>
      <c r="S296" t="s">
        <v>552</v>
      </c>
      <c r="U296" s="6">
        <v>42045.648831018516</v>
      </c>
      <c r="V296" t="s">
        <v>18</v>
      </c>
      <c r="W296" t="s">
        <v>209</v>
      </c>
      <c r="X296" s="6">
        <v>42045.648240740738</v>
      </c>
      <c r="Y296" t="s">
        <v>119</v>
      </c>
      <c r="AB296" t="s">
        <v>200</v>
      </c>
      <c r="AC296" t="s">
        <v>121</v>
      </c>
      <c r="AD296" t="s">
        <v>220</v>
      </c>
      <c r="AE296" t="s">
        <v>219</v>
      </c>
      <c r="AG296" t="s">
        <v>121</v>
      </c>
      <c r="AH296" t="s">
        <v>327</v>
      </c>
      <c r="AI296" t="s">
        <v>121</v>
      </c>
      <c r="AJ296" t="s">
        <v>716</v>
      </c>
      <c r="AK296" t="s">
        <v>121</v>
      </c>
    </row>
    <row r="297" spans="9:37" x14ac:dyDescent="0.3">
      <c r="I297">
        <f ca="1">IF(OR(INDIRECT(A73&amp;ROW())=B93,INDIRECT(A73&amp;ROW())=B94),1,IF(AND(INDIRECT(A73&amp;ROW())=B95,INDIRECT(A96&amp;ROW())=C93),1,IF(AND(INDIRECT(A73&amp;ROW())=B95,INDIRECT(A96&amp;ROW())=C94),1,0)))</f>
        <v>0</v>
      </c>
      <c r="J297">
        <f ca="1">IF(AND(INDIRECT(A73&amp;ROW())=B95,INDIRECT(A96&amp;ROW())=C95),1,IF(AND(INDIRECT(A73&amp;ROW())=B95,INDIRECT(A96&amp;ROW())=C96),1,0))</f>
        <v>0</v>
      </c>
      <c r="K297">
        <f ca="1">DAYS360(INDIRECT(C68&amp;ROW()),TODAY())</f>
        <v>721</v>
      </c>
      <c r="L297">
        <f ca="1">DAYS360(INDIRECT(C69&amp;ROW()),TODAY())</f>
        <v>802</v>
      </c>
      <c r="M297">
        <f ca="1">HYPERLINK(CONCATENATE("https://bugzilla.houston.hp.com:1181/bugzilla/show_bug.cgi?id=",INDIRECT(C70&amp;ROW())),INDIRECT(C70&amp;ROW()))</f>
        <v>56897</v>
      </c>
      <c r="N297">
        <v>56897</v>
      </c>
      <c r="O297" t="s">
        <v>56</v>
      </c>
      <c r="P297" t="s">
        <v>652</v>
      </c>
      <c r="Q297" t="s">
        <v>16</v>
      </c>
      <c r="R297" t="s">
        <v>248</v>
      </c>
      <c r="S297" t="s">
        <v>552</v>
      </c>
      <c r="U297" s="6">
        <v>42125.44394675926</v>
      </c>
      <c r="V297" t="s">
        <v>18</v>
      </c>
      <c r="W297" t="s">
        <v>209</v>
      </c>
      <c r="X297" s="6">
        <v>42045.652754629627</v>
      </c>
      <c r="Y297" t="s">
        <v>122</v>
      </c>
      <c r="AB297" t="s">
        <v>200</v>
      </c>
      <c r="AC297" t="s">
        <v>121</v>
      </c>
      <c r="AD297" t="s">
        <v>220</v>
      </c>
      <c r="AE297" t="s">
        <v>219</v>
      </c>
      <c r="AG297" t="s">
        <v>121</v>
      </c>
      <c r="AH297" t="s">
        <v>64</v>
      </c>
      <c r="AI297" t="s">
        <v>121</v>
      </c>
      <c r="AJ297" t="s">
        <v>716</v>
      </c>
      <c r="AK297" t="s">
        <v>121</v>
      </c>
    </row>
    <row r="298" spans="9:37" x14ac:dyDescent="0.3">
      <c r="I298">
        <f ca="1">IF(OR(INDIRECT(A73&amp;ROW())=B93,INDIRECT(A73&amp;ROW())=B94),1,IF(AND(INDIRECT(A73&amp;ROW())=B95,INDIRECT(A96&amp;ROW())=C93),1,IF(AND(INDIRECT(A73&amp;ROW())=B95,INDIRECT(A96&amp;ROW())=C94),1,0)))</f>
        <v>0</v>
      </c>
      <c r="J298">
        <f ca="1">IF(AND(INDIRECT(A73&amp;ROW())=B95,INDIRECT(A96&amp;ROW())=C95),1,IF(AND(INDIRECT(A73&amp;ROW())=B95,INDIRECT(A96&amp;ROW())=C96),1,0))</f>
        <v>0</v>
      </c>
      <c r="K298">
        <f ca="1">DAYS360(INDIRECT(C68&amp;ROW()),TODAY())</f>
        <v>802</v>
      </c>
      <c r="L298">
        <f ca="1">DAYS360(INDIRECT(C69&amp;ROW()),TODAY())</f>
        <v>802</v>
      </c>
      <c r="M298">
        <f ca="1">HYPERLINK(CONCATENATE("https://bugzilla.houston.hp.com:1181/bugzilla/show_bug.cgi?id=",INDIRECT(C70&amp;ROW())),INDIRECT(C70&amp;ROW()))</f>
        <v>56898</v>
      </c>
      <c r="N298">
        <v>56898</v>
      </c>
      <c r="O298" t="s">
        <v>36</v>
      </c>
      <c r="P298" t="s">
        <v>651</v>
      </c>
      <c r="Q298" t="s">
        <v>16</v>
      </c>
      <c r="R298" t="s">
        <v>248</v>
      </c>
      <c r="S298" t="s">
        <v>552</v>
      </c>
      <c r="U298" s="6">
        <v>42045.654224537036</v>
      </c>
      <c r="V298" t="s">
        <v>18</v>
      </c>
      <c r="W298" t="s">
        <v>205</v>
      </c>
      <c r="X298" s="6">
        <v>42045.653796296298</v>
      </c>
      <c r="Y298" t="s">
        <v>244</v>
      </c>
      <c r="AB298" t="s">
        <v>201</v>
      </c>
      <c r="AC298" t="s">
        <v>121</v>
      </c>
      <c r="AD298" t="s">
        <v>222</v>
      </c>
      <c r="AE298" t="s">
        <v>225</v>
      </c>
      <c r="AG298" t="s">
        <v>121</v>
      </c>
      <c r="AH298" t="s">
        <v>327</v>
      </c>
      <c r="AI298" t="s">
        <v>121</v>
      </c>
      <c r="AJ298" t="s">
        <v>717</v>
      </c>
      <c r="AK298" t="s">
        <v>121</v>
      </c>
    </row>
    <row r="299" spans="9:37" x14ac:dyDescent="0.3">
      <c r="I299">
        <f ca="1">IF(OR(INDIRECT(A73&amp;ROW())=B93,INDIRECT(A73&amp;ROW())=B94),1,IF(AND(INDIRECT(A73&amp;ROW())=B95,INDIRECT(A96&amp;ROW())=C93),1,IF(AND(INDIRECT(A73&amp;ROW())=B95,INDIRECT(A96&amp;ROW())=C94),1,0)))</f>
        <v>0</v>
      </c>
      <c r="J299">
        <f ca="1">IF(AND(INDIRECT(A73&amp;ROW())=B95,INDIRECT(A96&amp;ROW())=C95),1,IF(AND(INDIRECT(A73&amp;ROW())=B95,INDIRECT(A96&amp;ROW())=C96),1,0))</f>
        <v>0</v>
      </c>
      <c r="K299">
        <f ca="1">DAYS360(INDIRECT(C68&amp;ROW()),TODAY())</f>
        <v>721</v>
      </c>
      <c r="L299">
        <f ca="1">DAYS360(INDIRECT(C69&amp;ROW()),TODAY())</f>
        <v>802</v>
      </c>
      <c r="M299">
        <f ca="1">HYPERLINK(CONCATENATE("https://bugzilla.houston.hp.com:1181/bugzilla/show_bug.cgi?id=",INDIRECT(C70&amp;ROW())),INDIRECT(C70&amp;ROW()))</f>
        <v>56899</v>
      </c>
      <c r="N299">
        <v>56899</v>
      </c>
      <c r="O299" t="s">
        <v>56</v>
      </c>
      <c r="P299" t="s">
        <v>650</v>
      </c>
      <c r="Q299" t="s">
        <v>16</v>
      </c>
      <c r="R299" t="s">
        <v>248</v>
      </c>
      <c r="S299" t="s">
        <v>552</v>
      </c>
      <c r="U299" s="6">
        <v>42125.446446759262</v>
      </c>
      <c r="V299" t="s">
        <v>18</v>
      </c>
      <c r="W299" t="s">
        <v>288</v>
      </c>
      <c r="X299" s="6">
        <v>42045.654699074075</v>
      </c>
      <c r="Y299" t="s">
        <v>122</v>
      </c>
      <c r="AA299" t="s">
        <v>184</v>
      </c>
      <c r="AB299" t="s">
        <v>200</v>
      </c>
      <c r="AC299" t="s">
        <v>121</v>
      </c>
      <c r="AD299" t="s">
        <v>220</v>
      </c>
      <c r="AE299" t="s">
        <v>219</v>
      </c>
      <c r="AG299" t="s">
        <v>121</v>
      </c>
      <c r="AH299" t="s">
        <v>64</v>
      </c>
      <c r="AI299" t="s">
        <v>121</v>
      </c>
      <c r="AJ299" t="s">
        <v>716</v>
      </c>
      <c r="AK299" t="s">
        <v>121</v>
      </c>
    </row>
    <row r="300" spans="9:37" x14ac:dyDescent="0.3">
      <c r="I300">
        <f ca="1">IF(OR(INDIRECT(A73&amp;ROW())=B93,INDIRECT(A73&amp;ROW())=B94),1,IF(AND(INDIRECT(A73&amp;ROW())=B95,INDIRECT(A96&amp;ROW())=C93),1,IF(AND(INDIRECT(A73&amp;ROW())=B95,INDIRECT(A96&amp;ROW())=C94),1,0)))</f>
        <v>0</v>
      </c>
      <c r="J300">
        <f ca="1">IF(AND(INDIRECT(A73&amp;ROW())=B95,INDIRECT(A96&amp;ROW())=C95),1,IF(AND(INDIRECT(A73&amp;ROW())=B95,INDIRECT(A96&amp;ROW())=C96),1,0))</f>
        <v>0</v>
      </c>
      <c r="K300">
        <f ca="1">DAYS360(INDIRECT(C68&amp;ROW()),TODAY())</f>
        <v>802</v>
      </c>
      <c r="L300">
        <f ca="1">DAYS360(INDIRECT(C69&amp;ROW()),TODAY())</f>
        <v>802</v>
      </c>
      <c r="M300">
        <f ca="1">HYPERLINK(CONCATENATE("https://bugzilla.houston.hp.com:1181/bugzilla/show_bug.cgi?id=",INDIRECT(C70&amp;ROW())),INDIRECT(C70&amp;ROW()))</f>
        <v>56900</v>
      </c>
      <c r="N300">
        <v>56900</v>
      </c>
      <c r="O300" t="s">
        <v>56</v>
      </c>
      <c r="P300" t="s">
        <v>649</v>
      </c>
      <c r="Q300" t="s">
        <v>16</v>
      </c>
      <c r="R300" t="s">
        <v>248</v>
      </c>
      <c r="S300" t="s">
        <v>552</v>
      </c>
      <c r="U300" s="6">
        <v>42045.655752314815</v>
      </c>
      <c r="V300" t="s">
        <v>18</v>
      </c>
      <c r="W300" t="s">
        <v>209</v>
      </c>
      <c r="X300" s="6">
        <v>42045.655081018522</v>
      </c>
      <c r="Y300" t="s">
        <v>122</v>
      </c>
      <c r="AB300" t="s">
        <v>201</v>
      </c>
      <c r="AC300" t="s">
        <v>121</v>
      </c>
      <c r="AD300" t="s">
        <v>220</v>
      </c>
      <c r="AE300" t="s">
        <v>219</v>
      </c>
      <c r="AG300" t="s">
        <v>121</v>
      </c>
      <c r="AH300" t="s">
        <v>327</v>
      </c>
      <c r="AI300" t="s">
        <v>121</v>
      </c>
      <c r="AJ300" t="s">
        <v>717</v>
      </c>
      <c r="AK300" t="s">
        <v>121</v>
      </c>
    </row>
    <row r="301" spans="9:37" x14ac:dyDescent="0.3">
      <c r="I301">
        <f ca="1">IF(OR(INDIRECT(A73&amp;ROW())=B93,INDIRECT(A73&amp;ROW())=B94),1,IF(AND(INDIRECT(A73&amp;ROW())=B95,INDIRECT(A96&amp;ROW())=C93),1,IF(AND(INDIRECT(A73&amp;ROW())=B95,INDIRECT(A96&amp;ROW())=C94),1,0)))</f>
        <v>1</v>
      </c>
      <c r="J301">
        <f ca="1">IF(AND(INDIRECT(A73&amp;ROW())=B95,INDIRECT(A96&amp;ROW())=C95),1,IF(AND(INDIRECT(A73&amp;ROW())=B95,INDIRECT(A96&amp;ROW())=C96),1,0))</f>
        <v>0</v>
      </c>
      <c r="K301">
        <f ca="1">DAYS360(INDIRECT(C68&amp;ROW()),TODAY())</f>
        <v>677</v>
      </c>
      <c r="L301">
        <f ca="1">DAYS360(INDIRECT(C69&amp;ROW()),TODAY())</f>
        <v>802</v>
      </c>
      <c r="M301">
        <f ca="1">HYPERLINK(CONCATENATE("https://bugzilla.houston.hp.com:1181/bugzilla/show_bug.cgi?id=",INDIRECT(C70&amp;ROW())),INDIRECT(C70&amp;ROW()))</f>
        <v>56902</v>
      </c>
      <c r="N301">
        <v>56902</v>
      </c>
      <c r="O301" t="s">
        <v>204</v>
      </c>
      <c r="P301" t="s">
        <v>626</v>
      </c>
      <c r="Q301" t="s">
        <v>25</v>
      </c>
      <c r="R301" t="s">
        <v>248</v>
      </c>
      <c r="S301" t="s">
        <v>552</v>
      </c>
      <c r="U301" s="6">
        <v>42170.549976851849</v>
      </c>
      <c r="V301" t="s">
        <v>18</v>
      </c>
      <c r="W301" t="s">
        <v>79</v>
      </c>
      <c r="X301" s="6">
        <v>42045.658090277779</v>
      </c>
      <c r="Y301" t="s">
        <v>119</v>
      </c>
      <c r="AB301" t="s">
        <v>200</v>
      </c>
      <c r="AC301" t="s">
        <v>121</v>
      </c>
      <c r="AD301" t="s">
        <v>222</v>
      </c>
      <c r="AE301" t="s">
        <v>225</v>
      </c>
      <c r="AG301" t="s">
        <v>121</v>
      </c>
      <c r="AH301" t="s">
        <v>327</v>
      </c>
      <c r="AI301" t="s">
        <v>121</v>
      </c>
      <c r="AJ301" t="s">
        <v>715</v>
      </c>
      <c r="AK301" t="s">
        <v>121</v>
      </c>
    </row>
    <row r="302" spans="9:37" x14ac:dyDescent="0.3">
      <c r="I302">
        <f ca="1">IF(OR(INDIRECT(A73&amp;ROW())=B93,INDIRECT(A73&amp;ROW())=B94),1,IF(AND(INDIRECT(A73&amp;ROW())=B95,INDIRECT(A96&amp;ROW())=C93),1,IF(AND(INDIRECT(A73&amp;ROW())=B95,INDIRECT(A96&amp;ROW())=C94),1,0)))</f>
        <v>0</v>
      </c>
      <c r="J302">
        <f ca="1">IF(AND(INDIRECT(A73&amp;ROW())=B95,INDIRECT(A96&amp;ROW())=C95),1,IF(AND(INDIRECT(A73&amp;ROW())=B95,INDIRECT(A96&amp;ROW())=C96),1,0))</f>
        <v>0</v>
      </c>
      <c r="K302">
        <f ca="1">DAYS360(INDIRECT(C68&amp;ROW()),TODAY())</f>
        <v>721</v>
      </c>
      <c r="L302">
        <f ca="1">DAYS360(INDIRECT(C69&amp;ROW()),TODAY())</f>
        <v>802</v>
      </c>
      <c r="M302">
        <f ca="1">HYPERLINK(CONCATENATE("https://bugzilla.houston.hp.com:1181/bugzilla/show_bug.cgi?id=",INDIRECT(C70&amp;ROW())),INDIRECT(C70&amp;ROW()))</f>
        <v>56903</v>
      </c>
      <c r="N302">
        <v>56903</v>
      </c>
      <c r="O302" t="s">
        <v>36</v>
      </c>
      <c r="P302" t="s">
        <v>648</v>
      </c>
      <c r="Q302" t="s">
        <v>16</v>
      </c>
      <c r="R302" t="s">
        <v>248</v>
      </c>
      <c r="S302" t="s">
        <v>552</v>
      </c>
      <c r="U302" s="6">
        <v>42125.448611111111</v>
      </c>
      <c r="V302" t="s">
        <v>18</v>
      </c>
      <c r="W302" t="s">
        <v>17</v>
      </c>
      <c r="X302" s="6">
        <v>42045.659398148149</v>
      </c>
      <c r="Y302" t="s">
        <v>122</v>
      </c>
      <c r="AB302" t="s">
        <v>201</v>
      </c>
      <c r="AC302" t="s">
        <v>247</v>
      </c>
      <c r="AD302" t="s">
        <v>222</v>
      </c>
      <c r="AE302" t="s">
        <v>221</v>
      </c>
      <c r="AG302" t="s">
        <v>121</v>
      </c>
      <c r="AH302" t="s">
        <v>327</v>
      </c>
      <c r="AI302" t="s">
        <v>121</v>
      </c>
      <c r="AJ302" t="s">
        <v>717</v>
      </c>
      <c r="AK302" t="s">
        <v>121</v>
      </c>
    </row>
    <row r="303" spans="9:37" x14ac:dyDescent="0.3">
      <c r="I303">
        <f ca="1">IF(OR(INDIRECT(A73&amp;ROW())=B93,INDIRECT(A73&amp;ROW())=B94),1,IF(AND(INDIRECT(A73&amp;ROW())=B95,INDIRECT(A96&amp;ROW())=C93),1,IF(AND(INDIRECT(A73&amp;ROW())=B95,INDIRECT(A96&amp;ROW())=C94),1,0)))</f>
        <v>0</v>
      </c>
      <c r="J303">
        <f ca="1">IF(AND(INDIRECT(A73&amp;ROW())=B95,INDIRECT(A96&amp;ROW())=C95),1,IF(AND(INDIRECT(A73&amp;ROW())=B95,INDIRECT(A96&amp;ROW())=C96),1,0))</f>
        <v>0</v>
      </c>
      <c r="K303">
        <f ca="1">DAYS360(INDIRECT(C68&amp;ROW()),TODAY())</f>
        <v>721</v>
      </c>
      <c r="L303">
        <f ca="1">DAYS360(INDIRECT(C69&amp;ROW()),TODAY())</f>
        <v>802</v>
      </c>
      <c r="M303">
        <f ca="1">HYPERLINK(CONCATENATE("https://bugzilla.houston.hp.com:1181/bugzilla/show_bug.cgi?id=",INDIRECT(C70&amp;ROW())),INDIRECT(C70&amp;ROW()))</f>
        <v>56904</v>
      </c>
      <c r="N303">
        <v>56904</v>
      </c>
      <c r="O303" t="s">
        <v>36</v>
      </c>
      <c r="P303" t="s">
        <v>633</v>
      </c>
      <c r="Q303" t="s">
        <v>16</v>
      </c>
      <c r="R303" t="s">
        <v>248</v>
      </c>
      <c r="S303" t="s">
        <v>552</v>
      </c>
      <c r="U303" s="6">
        <v>42125.447546296295</v>
      </c>
      <c r="V303" t="s">
        <v>18</v>
      </c>
      <c r="W303" t="s">
        <v>17</v>
      </c>
      <c r="X303" s="6">
        <v>42045.660127314812</v>
      </c>
      <c r="Y303" t="s">
        <v>122</v>
      </c>
      <c r="AB303" t="s">
        <v>201</v>
      </c>
      <c r="AC303" t="s">
        <v>247</v>
      </c>
      <c r="AD303" t="s">
        <v>220</v>
      </c>
      <c r="AE303" t="s">
        <v>223</v>
      </c>
      <c r="AG303" t="s">
        <v>121</v>
      </c>
      <c r="AH303" t="s">
        <v>64</v>
      </c>
      <c r="AI303" t="s">
        <v>121</v>
      </c>
      <c r="AJ303" t="s">
        <v>717</v>
      </c>
      <c r="AK303" t="s">
        <v>121</v>
      </c>
    </row>
    <row r="304" spans="9:37" x14ac:dyDescent="0.3">
      <c r="I304">
        <f ca="1">IF(OR(INDIRECT(A73&amp;ROW())=B93,INDIRECT(A73&amp;ROW())=B94),1,IF(AND(INDIRECT(A73&amp;ROW())=B95,INDIRECT(A96&amp;ROW())=C93),1,IF(AND(INDIRECT(A73&amp;ROW())=B95,INDIRECT(A96&amp;ROW())=C94),1,0)))</f>
        <v>0</v>
      </c>
      <c r="J304">
        <f ca="1">IF(AND(INDIRECT(A73&amp;ROW())=B95,INDIRECT(A96&amp;ROW())=C95),1,IF(AND(INDIRECT(A73&amp;ROW())=B95,INDIRECT(A96&amp;ROW())=C96),1,0))</f>
        <v>0</v>
      </c>
      <c r="K304">
        <f ca="1">DAYS360(INDIRECT(C68&amp;ROW()),TODAY())</f>
        <v>721</v>
      </c>
      <c r="L304">
        <f ca="1">DAYS360(INDIRECT(C69&amp;ROW()),TODAY())</f>
        <v>802</v>
      </c>
      <c r="M304">
        <f ca="1">HYPERLINK(CONCATENATE("https://bugzilla.houston.hp.com:1181/bugzilla/show_bug.cgi?id=",INDIRECT(C70&amp;ROW())),INDIRECT(C70&amp;ROW()))</f>
        <v>56905</v>
      </c>
      <c r="N304">
        <v>56905</v>
      </c>
      <c r="O304" t="s">
        <v>56</v>
      </c>
      <c r="P304" t="s">
        <v>634</v>
      </c>
      <c r="Q304" t="s">
        <v>16</v>
      </c>
      <c r="R304" t="s">
        <v>248</v>
      </c>
      <c r="S304" t="s">
        <v>552</v>
      </c>
      <c r="U304" s="6">
        <v>42125.443784722222</v>
      </c>
      <c r="V304" t="s">
        <v>18</v>
      </c>
      <c r="W304" t="s">
        <v>211</v>
      </c>
      <c r="X304" s="6">
        <v>42045.660474537035</v>
      </c>
      <c r="Y304" t="s">
        <v>122</v>
      </c>
      <c r="AB304" t="s">
        <v>201</v>
      </c>
      <c r="AC304" t="s">
        <v>121</v>
      </c>
      <c r="AD304" t="s">
        <v>220</v>
      </c>
      <c r="AE304" t="s">
        <v>219</v>
      </c>
      <c r="AG304" t="s">
        <v>121</v>
      </c>
      <c r="AH304" t="s">
        <v>64</v>
      </c>
      <c r="AI304" t="s">
        <v>121</v>
      </c>
      <c r="AJ304" t="s">
        <v>717</v>
      </c>
      <c r="AK304" t="s">
        <v>121</v>
      </c>
    </row>
    <row r="305" spans="9:37" x14ac:dyDescent="0.3">
      <c r="I305">
        <f ca="1">IF(OR(INDIRECT(A73&amp;ROW())=B93,INDIRECT(A73&amp;ROW())=B94),1,IF(AND(INDIRECT(A73&amp;ROW())=B95,INDIRECT(A96&amp;ROW())=C93),1,IF(AND(INDIRECT(A73&amp;ROW())=B95,INDIRECT(A96&amp;ROW())=C94),1,0)))</f>
        <v>0</v>
      </c>
      <c r="J305">
        <f ca="1">IF(AND(INDIRECT(A73&amp;ROW())=B95,INDIRECT(A96&amp;ROW())=C95),1,IF(AND(INDIRECT(A73&amp;ROW())=B95,INDIRECT(A96&amp;ROW())=C96),1,0))</f>
        <v>0</v>
      </c>
      <c r="K305">
        <f ca="1">DAYS360(INDIRECT(C68&amp;ROW()),TODAY())</f>
        <v>721</v>
      </c>
      <c r="L305">
        <f ca="1">DAYS360(INDIRECT(C69&amp;ROW()),TODAY())</f>
        <v>802</v>
      </c>
      <c r="M305">
        <f ca="1">HYPERLINK(CONCATENATE("https://bugzilla.houston.hp.com:1181/bugzilla/show_bug.cgi?id=",INDIRECT(C70&amp;ROW())),INDIRECT(C70&amp;ROW()))</f>
        <v>56906</v>
      </c>
      <c r="N305">
        <v>56906</v>
      </c>
      <c r="O305" t="s">
        <v>56</v>
      </c>
      <c r="P305" t="s">
        <v>630</v>
      </c>
      <c r="Q305" t="s">
        <v>16</v>
      </c>
      <c r="R305" t="s">
        <v>248</v>
      </c>
      <c r="S305" t="s">
        <v>552</v>
      </c>
      <c r="U305" s="6">
        <v>42125.445300925923</v>
      </c>
      <c r="V305" t="s">
        <v>18</v>
      </c>
      <c r="W305" t="s">
        <v>260</v>
      </c>
      <c r="X305" s="6">
        <v>42045.661574074074</v>
      </c>
      <c r="Y305" t="s">
        <v>122</v>
      </c>
      <c r="AB305" t="s">
        <v>201</v>
      </c>
      <c r="AC305" t="s">
        <v>121</v>
      </c>
      <c r="AD305" t="s">
        <v>220</v>
      </c>
      <c r="AE305" t="s">
        <v>219</v>
      </c>
      <c r="AG305" t="s">
        <v>121</v>
      </c>
      <c r="AH305" t="s">
        <v>327</v>
      </c>
      <c r="AI305" t="s">
        <v>121</v>
      </c>
      <c r="AJ305" t="s">
        <v>717</v>
      </c>
      <c r="AK305" t="s">
        <v>121</v>
      </c>
    </row>
    <row r="306" spans="9:37" x14ac:dyDescent="0.3">
      <c r="I306">
        <f ca="1">IF(OR(INDIRECT(A73&amp;ROW())=B93,INDIRECT(A73&amp;ROW())=B94),1,IF(AND(INDIRECT(A73&amp;ROW())=B95,INDIRECT(A96&amp;ROW())=C93),1,IF(AND(INDIRECT(A73&amp;ROW())=B95,INDIRECT(A96&amp;ROW())=C94),1,0)))</f>
        <v>1</v>
      </c>
      <c r="J306">
        <f ca="1">IF(AND(INDIRECT(A73&amp;ROW())=B95,INDIRECT(A96&amp;ROW())=C95),1,IF(AND(INDIRECT(A73&amp;ROW())=B95,INDIRECT(A96&amp;ROW())=C96),1,0))</f>
        <v>0</v>
      </c>
      <c r="K306">
        <f ca="1">DAYS360(INDIRECT(C68&amp;ROW()),TODAY())</f>
        <v>687</v>
      </c>
      <c r="L306">
        <f ca="1">DAYS360(INDIRECT(C69&amp;ROW()),TODAY())</f>
        <v>802</v>
      </c>
      <c r="M306">
        <f ca="1">HYPERLINK(CONCATENATE("https://bugzilla.houston.hp.com:1181/bugzilla/show_bug.cgi?id=",INDIRECT(C70&amp;ROW())),INDIRECT(C70&amp;ROW()))</f>
        <v>56908</v>
      </c>
      <c r="N306">
        <v>56908</v>
      </c>
      <c r="O306" t="s">
        <v>45</v>
      </c>
      <c r="P306" t="s">
        <v>636</v>
      </c>
      <c r="Q306" t="s">
        <v>25</v>
      </c>
      <c r="R306" t="s">
        <v>248</v>
      </c>
      <c r="S306" t="s">
        <v>552</v>
      </c>
      <c r="U306" s="6">
        <v>42160.512152777781</v>
      </c>
      <c r="V306" t="s">
        <v>18</v>
      </c>
      <c r="W306" t="s">
        <v>256</v>
      </c>
      <c r="X306" s="6">
        <v>42045.663506944446</v>
      </c>
      <c r="Y306" t="s">
        <v>123</v>
      </c>
      <c r="AB306" t="s">
        <v>200</v>
      </c>
      <c r="AC306" t="s">
        <v>247</v>
      </c>
      <c r="AD306" t="s">
        <v>227</v>
      </c>
      <c r="AE306" t="s">
        <v>226</v>
      </c>
      <c r="AG306" t="s">
        <v>121</v>
      </c>
      <c r="AH306" t="s">
        <v>64</v>
      </c>
      <c r="AI306" t="s">
        <v>121</v>
      </c>
      <c r="AJ306" t="s">
        <v>715</v>
      </c>
      <c r="AK306" t="s">
        <v>121</v>
      </c>
    </row>
    <row r="307" spans="9:37" x14ac:dyDescent="0.3">
      <c r="I307">
        <f ca="1">IF(OR(INDIRECT(A73&amp;ROW())=B93,INDIRECT(A73&amp;ROW())=B94),1,IF(AND(INDIRECT(A73&amp;ROW())=B95,INDIRECT(A96&amp;ROW())=C93),1,IF(AND(INDIRECT(A73&amp;ROW())=B95,INDIRECT(A96&amp;ROW())=C94),1,0)))</f>
        <v>0</v>
      </c>
      <c r="J307">
        <f ca="1">IF(AND(INDIRECT(A73&amp;ROW())=B95,INDIRECT(A96&amp;ROW())=C95),1,IF(AND(INDIRECT(A73&amp;ROW())=B95,INDIRECT(A96&amp;ROW())=C96),1,0))</f>
        <v>0</v>
      </c>
      <c r="K307">
        <f ca="1">DAYS360(INDIRECT(C68&amp;ROW()),TODAY())</f>
        <v>721</v>
      </c>
      <c r="L307">
        <f ca="1">DAYS360(INDIRECT(C69&amp;ROW()),TODAY())</f>
        <v>802</v>
      </c>
      <c r="M307">
        <f ca="1">HYPERLINK(CONCATENATE("https://bugzilla.houston.hp.com:1181/bugzilla/show_bug.cgi?id=",INDIRECT(C70&amp;ROW())),INDIRECT(C70&amp;ROW()))</f>
        <v>56910</v>
      </c>
      <c r="N307">
        <v>56910</v>
      </c>
      <c r="O307" t="s">
        <v>56</v>
      </c>
      <c r="P307" t="s">
        <v>638</v>
      </c>
      <c r="Q307" t="s">
        <v>16</v>
      </c>
      <c r="R307" t="s">
        <v>248</v>
      </c>
      <c r="S307" t="s">
        <v>552</v>
      </c>
      <c r="U307" s="6">
        <v>42125.44767361111</v>
      </c>
      <c r="V307" t="s">
        <v>18</v>
      </c>
      <c r="W307" t="s">
        <v>340</v>
      </c>
      <c r="X307" s="6">
        <v>42045.665069444447</v>
      </c>
      <c r="Y307" t="s">
        <v>122</v>
      </c>
      <c r="AB307" t="s">
        <v>200</v>
      </c>
      <c r="AC307" t="s">
        <v>247</v>
      </c>
      <c r="AD307" t="s">
        <v>220</v>
      </c>
      <c r="AE307" t="s">
        <v>219</v>
      </c>
      <c r="AG307" t="s">
        <v>121</v>
      </c>
      <c r="AH307" t="s">
        <v>64</v>
      </c>
      <c r="AI307" t="s">
        <v>121</v>
      </c>
      <c r="AJ307" t="s">
        <v>716</v>
      </c>
      <c r="AK307" t="s">
        <v>121</v>
      </c>
    </row>
    <row r="308" spans="9:37" x14ac:dyDescent="0.3">
      <c r="I308">
        <f ca="1">IF(OR(INDIRECT(A73&amp;ROW())=B93,INDIRECT(A73&amp;ROW())=B94),1,IF(AND(INDIRECT(A73&amp;ROW())=B95,INDIRECT(A96&amp;ROW())=C93),1,IF(AND(INDIRECT(A73&amp;ROW())=B95,INDIRECT(A96&amp;ROW())=C94),1,0)))</f>
        <v>0</v>
      </c>
      <c r="J308">
        <f ca="1">IF(AND(INDIRECT(A73&amp;ROW())=B95,INDIRECT(A96&amp;ROW())=C95),1,IF(AND(INDIRECT(A73&amp;ROW())=B95,INDIRECT(A96&amp;ROW())=C96),1,0))</f>
        <v>0</v>
      </c>
      <c r="K308">
        <f ca="1">DAYS360(INDIRECT(C68&amp;ROW()),TODAY())</f>
        <v>802</v>
      </c>
      <c r="L308">
        <f ca="1">DAYS360(INDIRECT(C69&amp;ROW()),TODAY())</f>
        <v>802</v>
      </c>
      <c r="M308">
        <f ca="1">HYPERLINK(CONCATENATE("https://bugzilla.houston.hp.com:1181/bugzilla/show_bug.cgi?id=",INDIRECT(C70&amp;ROW())),INDIRECT(C70&amp;ROW()))</f>
        <v>56911</v>
      </c>
      <c r="N308">
        <v>56911</v>
      </c>
      <c r="O308" t="s">
        <v>36</v>
      </c>
      <c r="P308" t="s">
        <v>625</v>
      </c>
      <c r="Q308" t="s">
        <v>16</v>
      </c>
      <c r="R308" t="s">
        <v>248</v>
      </c>
      <c r="S308" t="s">
        <v>552</v>
      </c>
      <c r="U308" s="6">
        <v>42045.70890046296</v>
      </c>
      <c r="V308" t="s">
        <v>18</v>
      </c>
      <c r="W308" t="s">
        <v>258</v>
      </c>
      <c r="X308" s="6">
        <v>42045.66615740741</v>
      </c>
      <c r="Y308" t="s">
        <v>120</v>
      </c>
      <c r="AB308" t="s">
        <v>200</v>
      </c>
      <c r="AC308" t="s">
        <v>121</v>
      </c>
      <c r="AD308" t="s">
        <v>222</v>
      </c>
      <c r="AE308" t="s">
        <v>240</v>
      </c>
      <c r="AG308" t="s">
        <v>121</v>
      </c>
      <c r="AH308" t="s">
        <v>64</v>
      </c>
      <c r="AI308" t="s">
        <v>121</v>
      </c>
      <c r="AJ308" t="s">
        <v>716</v>
      </c>
      <c r="AK308" t="s">
        <v>121</v>
      </c>
    </row>
    <row r="309" spans="9:37" x14ac:dyDescent="0.3">
      <c r="I309">
        <f ca="1">IF(OR(INDIRECT(A73&amp;ROW())=B93,INDIRECT(A73&amp;ROW())=B94),1,IF(AND(INDIRECT(A73&amp;ROW())=B95,INDIRECT(A96&amp;ROW())=C93),1,IF(AND(INDIRECT(A73&amp;ROW())=B95,INDIRECT(A96&amp;ROW())=C94),1,0)))</f>
        <v>0</v>
      </c>
      <c r="J309">
        <f ca="1">IF(AND(INDIRECT(A73&amp;ROW())=B95,INDIRECT(A96&amp;ROW())=C95),1,IF(AND(INDIRECT(A73&amp;ROW())=B95,INDIRECT(A96&amp;ROW())=C96),1,0))</f>
        <v>0</v>
      </c>
      <c r="K309">
        <f ca="1">DAYS360(INDIRECT(C68&amp;ROW()),TODAY())</f>
        <v>802</v>
      </c>
      <c r="L309">
        <f ca="1">DAYS360(INDIRECT(C69&amp;ROW()),TODAY())</f>
        <v>802</v>
      </c>
      <c r="M309">
        <f ca="1">HYPERLINK(CONCATENATE("https://bugzilla.houston.hp.com:1181/bugzilla/show_bug.cgi?id=",INDIRECT(C70&amp;ROW())),INDIRECT(C70&amp;ROW()))</f>
        <v>56912</v>
      </c>
      <c r="N309">
        <v>56912</v>
      </c>
      <c r="O309" t="s">
        <v>56</v>
      </c>
      <c r="P309" t="s">
        <v>623</v>
      </c>
      <c r="Q309" t="s">
        <v>16</v>
      </c>
      <c r="R309" t="s">
        <v>248</v>
      </c>
      <c r="S309" t="s">
        <v>552</v>
      </c>
      <c r="U309" s="6">
        <v>42045.710277777776</v>
      </c>
      <c r="V309" t="s">
        <v>18</v>
      </c>
      <c r="W309" t="s">
        <v>17</v>
      </c>
      <c r="X309" s="6">
        <v>42045.667037037034</v>
      </c>
      <c r="Y309" t="s">
        <v>786</v>
      </c>
      <c r="AB309" t="s">
        <v>200</v>
      </c>
      <c r="AC309" t="s">
        <v>247</v>
      </c>
      <c r="AD309" t="s">
        <v>220</v>
      </c>
      <c r="AE309" t="s">
        <v>219</v>
      </c>
      <c r="AG309" t="s">
        <v>121</v>
      </c>
      <c r="AH309" t="s">
        <v>327</v>
      </c>
      <c r="AI309" t="s">
        <v>121</v>
      </c>
      <c r="AJ309" t="s">
        <v>716</v>
      </c>
      <c r="AK309" t="s">
        <v>121</v>
      </c>
    </row>
    <row r="310" spans="9:37" x14ac:dyDescent="0.3">
      <c r="I310">
        <f ca="1">IF(OR(INDIRECT(A73&amp;ROW())=B93,INDIRECT(A73&amp;ROW())=B94),1,IF(AND(INDIRECT(A73&amp;ROW())=B95,INDIRECT(A96&amp;ROW())=C93),1,IF(AND(INDIRECT(A73&amp;ROW())=B95,INDIRECT(A96&amp;ROW())=C94),1,0)))</f>
        <v>0</v>
      </c>
      <c r="J310">
        <f ca="1">IF(AND(INDIRECT(A73&amp;ROW())=B95,INDIRECT(A96&amp;ROW())=C95),1,IF(AND(INDIRECT(A73&amp;ROW())=B95,INDIRECT(A96&amp;ROW())=C96),1,0))</f>
        <v>0</v>
      </c>
      <c r="K310">
        <f ca="1">DAYS360(INDIRECT(C68&amp;ROW()),TODAY())</f>
        <v>721</v>
      </c>
      <c r="L310">
        <f ca="1">DAYS360(INDIRECT(C69&amp;ROW()),TODAY())</f>
        <v>802</v>
      </c>
      <c r="M310">
        <f ca="1">HYPERLINK(CONCATENATE("https://bugzilla.houston.hp.com:1181/bugzilla/show_bug.cgi?id=",INDIRECT(C70&amp;ROW())),INDIRECT(C70&amp;ROW()))</f>
        <v>56913</v>
      </c>
      <c r="N310">
        <v>56913</v>
      </c>
      <c r="O310" t="s">
        <v>36</v>
      </c>
      <c r="P310" t="s">
        <v>622</v>
      </c>
      <c r="Q310" t="s">
        <v>16</v>
      </c>
      <c r="R310" t="s">
        <v>248</v>
      </c>
      <c r="S310" t="s">
        <v>552</v>
      </c>
      <c r="U310" s="6">
        <v>42125.446562500001</v>
      </c>
      <c r="V310" t="s">
        <v>18</v>
      </c>
      <c r="W310" t="s">
        <v>257</v>
      </c>
      <c r="X310" s="6">
        <v>42045.668935185182</v>
      </c>
      <c r="Y310" t="s">
        <v>122</v>
      </c>
      <c r="AB310" t="s">
        <v>200</v>
      </c>
      <c r="AC310" t="s">
        <v>121</v>
      </c>
      <c r="AD310" t="s">
        <v>227</v>
      </c>
      <c r="AE310" t="s">
        <v>226</v>
      </c>
      <c r="AG310" t="s">
        <v>121</v>
      </c>
      <c r="AH310" t="s">
        <v>64</v>
      </c>
      <c r="AI310" t="s">
        <v>121</v>
      </c>
      <c r="AJ310" t="s">
        <v>716</v>
      </c>
      <c r="AK310" t="s">
        <v>121</v>
      </c>
    </row>
    <row r="311" spans="9:37" x14ac:dyDescent="0.3">
      <c r="I311">
        <f ca="1">IF(OR(INDIRECT(A73&amp;ROW())=B93,INDIRECT(A73&amp;ROW())=B94),1,IF(AND(INDIRECT(A73&amp;ROW())=B95,INDIRECT(A96&amp;ROW())=C93),1,IF(AND(INDIRECT(A73&amp;ROW())=B95,INDIRECT(A96&amp;ROW())=C94),1,0)))</f>
        <v>0</v>
      </c>
      <c r="J311">
        <f ca="1">IF(AND(INDIRECT(A73&amp;ROW())=B95,INDIRECT(A96&amp;ROW())=C95),1,IF(AND(INDIRECT(A73&amp;ROW())=B95,INDIRECT(A96&amp;ROW())=C96),1,0))</f>
        <v>0</v>
      </c>
      <c r="K311">
        <f ca="1">DAYS360(INDIRECT(C68&amp;ROW()),TODAY())</f>
        <v>721</v>
      </c>
      <c r="L311">
        <f ca="1">DAYS360(INDIRECT(C69&amp;ROW()),TODAY())</f>
        <v>802</v>
      </c>
      <c r="M311">
        <f ca="1">HYPERLINK(CONCATENATE("https://bugzilla.houston.hp.com:1181/bugzilla/show_bug.cgi?id=",INDIRECT(C70&amp;ROW())),INDIRECT(C70&amp;ROW()))</f>
        <v>56914</v>
      </c>
      <c r="N311">
        <v>56914</v>
      </c>
      <c r="O311" t="s">
        <v>56</v>
      </c>
      <c r="P311" t="s">
        <v>628</v>
      </c>
      <c r="Q311" t="s">
        <v>16</v>
      </c>
      <c r="R311" t="s">
        <v>248</v>
      </c>
      <c r="S311" t="s">
        <v>552</v>
      </c>
      <c r="U311" s="6">
        <v>42125.448703703703</v>
      </c>
      <c r="V311" t="s">
        <v>18</v>
      </c>
      <c r="W311" t="s">
        <v>17</v>
      </c>
      <c r="X311" s="6">
        <v>42045.670347222222</v>
      </c>
      <c r="Y311" t="s">
        <v>122</v>
      </c>
      <c r="AB311" t="s">
        <v>201</v>
      </c>
      <c r="AC311" t="s">
        <v>247</v>
      </c>
      <c r="AD311" t="s">
        <v>220</v>
      </c>
      <c r="AE311" t="s">
        <v>219</v>
      </c>
      <c r="AG311" t="s">
        <v>121</v>
      </c>
      <c r="AH311" t="s">
        <v>327</v>
      </c>
      <c r="AI311" t="s">
        <v>121</v>
      </c>
      <c r="AJ311" t="s">
        <v>717</v>
      </c>
      <c r="AK311" t="s">
        <v>121</v>
      </c>
    </row>
    <row r="312" spans="9:37" x14ac:dyDescent="0.3">
      <c r="I312">
        <f ca="1">IF(OR(INDIRECT(A73&amp;ROW())=B93,INDIRECT(A73&amp;ROW())=B94),1,IF(AND(INDIRECT(A73&amp;ROW())=B95,INDIRECT(A96&amp;ROW())=C93),1,IF(AND(INDIRECT(A73&amp;ROW())=B95,INDIRECT(A96&amp;ROW())=C94),1,0)))</f>
        <v>0</v>
      </c>
      <c r="J312">
        <f ca="1">IF(AND(INDIRECT(A73&amp;ROW())=B95,INDIRECT(A96&amp;ROW())=C95),1,IF(AND(INDIRECT(A73&amp;ROW())=B95,INDIRECT(A96&amp;ROW())=C96),1,0))</f>
        <v>0</v>
      </c>
      <c r="K312">
        <f ca="1">DAYS360(INDIRECT(C68&amp;ROW()),TODAY())</f>
        <v>802</v>
      </c>
      <c r="L312">
        <f ca="1">DAYS360(INDIRECT(C69&amp;ROW()),TODAY())</f>
        <v>802</v>
      </c>
      <c r="M312">
        <f ca="1">HYPERLINK(CONCATENATE("https://bugzilla.houston.hp.com:1181/bugzilla/show_bug.cgi?id=",INDIRECT(C70&amp;ROW())),INDIRECT(C70&amp;ROW()))</f>
        <v>56916</v>
      </c>
      <c r="N312">
        <v>56916</v>
      </c>
      <c r="O312" t="s">
        <v>36</v>
      </c>
      <c r="P312" t="s">
        <v>627</v>
      </c>
      <c r="Q312" t="s">
        <v>16</v>
      </c>
      <c r="R312" t="s">
        <v>248</v>
      </c>
      <c r="S312" t="s">
        <v>552</v>
      </c>
      <c r="U312" s="6">
        <v>42045.708449074074</v>
      </c>
      <c r="V312" t="s">
        <v>18</v>
      </c>
      <c r="W312" t="s">
        <v>317</v>
      </c>
      <c r="X312" s="6">
        <v>42045.671898148146</v>
      </c>
      <c r="Y312" t="s">
        <v>119</v>
      </c>
      <c r="AB312" t="s">
        <v>201</v>
      </c>
      <c r="AC312" t="s">
        <v>247</v>
      </c>
      <c r="AD312" t="s">
        <v>222</v>
      </c>
      <c r="AE312" t="s">
        <v>240</v>
      </c>
      <c r="AG312" t="s">
        <v>121</v>
      </c>
      <c r="AH312" t="s">
        <v>327</v>
      </c>
      <c r="AI312" t="s">
        <v>121</v>
      </c>
      <c r="AJ312" t="s">
        <v>717</v>
      </c>
      <c r="AK312" t="s">
        <v>121</v>
      </c>
    </row>
    <row r="313" spans="9:37" x14ac:dyDescent="0.3">
      <c r="I313">
        <f ca="1">IF(OR(INDIRECT(A73&amp;ROW())=B93,INDIRECT(A73&amp;ROW())=B94),1,IF(AND(INDIRECT(A73&amp;ROW())=B95,INDIRECT(A96&amp;ROW())=C93),1,IF(AND(INDIRECT(A73&amp;ROW())=B95,INDIRECT(A96&amp;ROW())=C94),1,0)))</f>
        <v>0</v>
      </c>
      <c r="J313">
        <f ca="1">IF(AND(INDIRECT(A73&amp;ROW())=B95,INDIRECT(A96&amp;ROW())=C95),1,IF(AND(INDIRECT(A73&amp;ROW())=B95,INDIRECT(A96&amp;ROW())=C96),1,0))</f>
        <v>0</v>
      </c>
      <c r="K313">
        <f ca="1">DAYS360(INDIRECT(C68&amp;ROW()),TODAY())</f>
        <v>721</v>
      </c>
      <c r="L313">
        <f ca="1">DAYS360(INDIRECT(C69&amp;ROW()),TODAY())</f>
        <v>802</v>
      </c>
      <c r="M313">
        <f ca="1">HYPERLINK(CONCATENATE("https://bugzilla.houston.hp.com:1181/bugzilla/show_bug.cgi?id=",INDIRECT(C70&amp;ROW())),INDIRECT(C70&amp;ROW()))</f>
        <v>56917</v>
      </c>
      <c r="N313">
        <v>56917</v>
      </c>
      <c r="O313" t="s">
        <v>56</v>
      </c>
      <c r="P313" t="s">
        <v>629</v>
      </c>
      <c r="Q313" t="s">
        <v>16</v>
      </c>
      <c r="R313" t="s">
        <v>248</v>
      </c>
      <c r="S313" t="s">
        <v>552</v>
      </c>
      <c r="U313" s="6">
        <v>42125.446481481478</v>
      </c>
      <c r="V313" t="s">
        <v>18</v>
      </c>
      <c r="W313" t="s">
        <v>288</v>
      </c>
      <c r="X313" s="6">
        <v>42045.672708333332</v>
      </c>
      <c r="Y313" t="s">
        <v>122</v>
      </c>
      <c r="AB313" t="s">
        <v>201</v>
      </c>
      <c r="AC313" t="s">
        <v>247</v>
      </c>
      <c r="AD313" t="s">
        <v>220</v>
      </c>
      <c r="AE313" t="s">
        <v>219</v>
      </c>
      <c r="AG313" t="s">
        <v>121</v>
      </c>
      <c r="AH313" t="s">
        <v>64</v>
      </c>
      <c r="AI313" t="s">
        <v>121</v>
      </c>
      <c r="AJ313" t="s">
        <v>717</v>
      </c>
      <c r="AK313" t="s">
        <v>121</v>
      </c>
    </row>
    <row r="314" spans="9:37" x14ac:dyDescent="0.3">
      <c r="I314">
        <f ca="1">IF(OR(INDIRECT(A73&amp;ROW())=B93,INDIRECT(A73&amp;ROW())=B94),1,IF(AND(INDIRECT(A73&amp;ROW())=B95,INDIRECT(A96&amp;ROW())=C93),1,IF(AND(INDIRECT(A73&amp;ROW())=B95,INDIRECT(A96&amp;ROW())=C94),1,0)))</f>
        <v>0</v>
      </c>
      <c r="J314">
        <f ca="1">IF(AND(INDIRECT(A73&amp;ROW())=B95,INDIRECT(A96&amp;ROW())=C95),1,IF(AND(INDIRECT(A73&amp;ROW())=B95,INDIRECT(A96&amp;ROW())=C96),1,0))</f>
        <v>0</v>
      </c>
      <c r="K314">
        <f ca="1">DAYS360(INDIRECT(C68&amp;ROW()),TODAY())</f>
        <v>802</v>
      </c>
      <c r="L314">
        <f ca="1">DAYS360(INDIRECT(C69&amp;ROW()),TODAY())</f>
        <v>802</v>
      </c>
      <c r="M314">
        <f ca="1">HYPERLINK(CONCATENATE("https://bugzilla.houston.hp.com:1181/bugzilla/show_bug.cgi?id=",INDIRECT(C70&amp;ROW())),INDIRECT(C70&amp;ROW()))</f>
        <v>56918</v>
      </c>
      <c r="N314">
        <v>56918</v>
      </c>
      <c r="O314" t="s">
        <v>36</v>
      </c>
      <c r="P314" t="s">
        <v>631</v>
      </c>
      <c r="Q314" t="s">
        <v>16</v>
      </c>
      <c r="R314" t="s">
        <v>248</v>
      </c>
      <c r="S314" t="s">
        <v>552</v>
      </c>
      <c r="U314" s="6">
        <v>42045.702314814815</v>
      </c>
      <c r="V314" t="s">
        <v>18</v>
      </c>
      <c r="W314" t="s">
        <v>341</v>
      </c>
      <c r="X314" s="6">
        <v>42045.673090277778</v>
      </c>
      <c r="Y314" t="s">
        <v>118</v>
      </c>
      <c r="AB314" t="s">
        <v>201</v>
      </c>
      <c r="AC314" t="s">
        <v>121</v>
      </c>
      <c r="AD314" t="s">
        <v>222</v>
      </c>
      <c r="AE314" t="s">
        <v>240</v>
      </c>
      <c r="AG314" t="s">
        <v>121</v>
      </c>
      <c r="AH314" t="s">
        <v>327</v>
      </c>
      <c r="AI314" t="s">
        <v>121</v>
      </c>
      <c r="AJ314" t="s">
        <v>717</v>
      </c>
      <c r="AK314" t="s">
        <v>121</v>
      </c>
    </row>
    <row r="315" spans="9:37" x14ac:dyDescent="0.3">
      <c r="I315">
        <f ca="1">IF(OR(INDIRECT(A73&amp;ROW())=B93,INDIRECT(A73&amp;ROW())=B94),1,IF(AND(INDIRECT(A73&amp;ROW())=B95,INDIRECT(A96&amp;ROW())=C93),1,IF(AND(INDIRECT(A73&amp;ROW())=B95,INDIRECT(A96&amp;ROW())=C94),1,0)))</f>
        <v>0</v>
      </c>
      <c r="J315">
        <f ca="1">IF(AND(INDIRECT(A73&amp;ROW())=B95,INDIRECT(A96&amp;ROW())=C95),1,IF(AND(INDIRECT(A73&amp;ROW())=B95,INDIRECT(A96&amp;ROW())=C96),1,0))</f>
        <v>0</v>
      </c>
      <c r="K315">
        <f ca="1">DAYS360(INDIRECT(C68&amp;ROW()),TODAY())</f>
        <v>687</v>
      </c>
      <c r="L315">
        <f ca="1">DAYS360(INDIRECT(C69&amp;ROW()),TODAY())</f>
        <v>802</v>
      </c>
      <c r="M315">
        <f ca="1">HYPERLINK(CONCATENATE("https://bugzilla.houston.hp.com:1181/bugzilla/show_bug.cgi?id=",INDIRECT(C70&amp;ROW())),INDIRECT(C70&amp;ROW()))</f>
        <v>56919</v>
      </c>
      <c r="N315">
        <v>56919</v>
      </c>
      <c r="O315" t="s">
        <v>56</v>
      </c>
      <c r="P315" t="s">
        <v>624</v>
      </c>
      <c r="Q315" t="s">
        <v>16</v>
      </c>
      <c r="R315" t="s">
        <v>248</v>
      </c>
      <c r="S315" t="s">
        <v>552</v>
      </c>
      <c r="U315" s="6">
        <v>42160.521226851852</v>
      </c>
      <c r="V315" t="s">
        <v>18</v>
      </c>
      <c r="W315" t="s">
        <v>260</v>
      </c>
      <c r="X315" s="6">
        <v>42045.674270833333</v>
      </c>
      <c r="Y315" t="s">
        <v>793</v>
      </c>
      <c r="AB315" t="s">
        <v>201</v>
      </c>
      <c r="AC315" t="s">
        <v>247</v>
      </c>
      <c r="AD315" t="s">
        <v>220</v>
      </c>
      <c r="AE315" t="s">
        <v>219</v>
      </c>
      <c r="AG315" t="s">
        <v>121</v>
      </c>
      <c r="AH315" t="s">
        <v>64</v>
      </c>
      <c r="AI315" t="s">
        <v>121</v>
      </c>
      <c r="AJ315" t="s">
        <v>717</v>
      </c>
      <c r="AK315" t="s">
        <v>121</v>
      </c>
    </row>
    <row r="316" spans="9:37" x14ac:dyDescent="0.3">
      <c r="I316">
        <f ca="1">IF(OR(INDIRECT(A73&amp;ROW())=B93,INDIRECT(A73&amp;ROW())=B94),1,IF(AND(INDIRECT(A73&amp;ROW())=B95,INDIRECT(A96&amp;ROW())=C93),1,IF(AND(INDIRECT(A73&amp;ROW())=B95,INDIRECT(A96&amp;ROW())=C94),1,0)))</f>
        <v>0</v>
      </c>
      <c r="J316">
        <f ca="1">IF(AND(INDIRECT(A73&amp;ROW())=B95,INDIRECT(A96&amp;ROW())=C95),1,IF(AND(INDIRECT(A73&amp;ROW())=B95,INDIRECT(A96&amp;ROW())=C96),1,0))</f>
        <v>0</v>
      </c>
      <c r="K316">
        <f ca="1">DAYS360(INDIRECT(C68&amp;ROW()),TODAY())</f>
        <v>802</v>
      </c>
      <c r="L316">
        <f ca="1">DAYS360(INDIRECT(C69&amp;ROW()),TODAY())</f>
        <v>802</v>
      </c>
      <c r="M316">
        <f ca="1">HYPERLINK(CONCATENATE("https://bugzilla.houston.hp.com:1181/bugzilla/show_bug.cgi?id=",INDIRECT(C70&amp;ROW())),INDIRECT(C70&amp;ROW()))</f>
        <v>56920</v>
      </c>
      <c r="N316">
        <v>56920</v>
      </c>
      <c r="O316" t="s">
        <v>36</v>
      </c>
      <c r="P316" t="s">
        <v>637</v>
      </c>
      <c r="Q316" t="s">
        <v>16</v>
      </c>
      <c r="R316" t="s">
        <v>248</v>
      </c>
      <c r="S316" t="s">
        <v>552</v>
      </c>
      <c r="U316" s="6">
        <v>42045.685949074075</v>
      </c>
      <c r="V316" t="s">
        <v>18</v>
      </c>
      <c r="W316" t="s">
        <v>339</v>
      </c>
      <c r="X316" s="6">
        <v>42045.674618055556</v>
      </c>
      <c r="Y316" t="s">
        <v>342</v>
      </c>
      <c r="AB316" t="s">
        <v>201</v>
      </c>
      <c r="AC316" t="s">
        <v>217</v>
      </c>
      <c r="AD316" t="s">
        <v>222</v>
      </c>
      <c r="AE316" t="s">
        <v>225</v>
      </c>
      <c r="AG316" t="s">
        <v>121</v>
      </c>
      <c r="AH316" t="s">
        <v>327</v>
      </c>
      <c r="AI316" t="s">
        <v>121</v>
      </c>
      <c r="AJ316" t="s">
        <v>717</v>
      </c>
      <c r="AK316" t="s">
        <v>121</v>
      </c>
    </row>
    <row r="317" spans="9:37" x14ac:dyDescent="0.3">
      <c r="I317">
        <f ca="1">IF(OR(INDIRECT(A73&amp;ROW())=B93,INDIRECT(A73&amp;ROW())=B94),1,IF(AND(INDIRECT(A73&amp;ROW())=B95,INDIRECT(A96&amp;ROW())=C93),1,IF(AND(INDIRECT(A73&amp;ROW())=B95,INDIRECT(A96&amp;ROW())=C94),1,0)))</f>
        <v>0</v>
      </c>
      <c r="J317">
        <f ca="1">IF(AND(INDIRECT(A73&amp;ROW())=B95,INDIRECT(A96&amp;ROW())=C95),1,IF(AND(INDIRECT(A73&amp;ROW())=B95,INDIRECT(A96&amp;ROW())=C96),1,0))</f>
        <v>0</v>
      </c>
      <c r="K317">
        <f ca="1">DAYS360(INDIRECT(C68&amp;ROW()),TODAY())</f>
        <v>721</v>
      </c>
      <c r="L317">
        <f ca="1">DAYS360(INDIRECT(C69&amp;ROW()),TODAY())</f>
        <v>802</v>
      </c>
      <c r="M317">
        <f ca="1">HYPERLINK(CONCATENATE("https://bugzilla.houston.hp.com:1181/bugzilla/show_bug.cgi?id=",INDIRECT(C70&amp;ROW())),INDIRECT(C70&amp;ROW()))</f>
        <v>56921</v>
      </c>
      <c r="N317">
        <v>56921</v>
      </c>
      <c r="O317" t="s">
        <v>56</v>
      </c>
      <c r="P317" t="s">
        <v>647</v>
      </c>
      <c r="Q317" t="s">
        <v>16</v>
      </c>
      <c r="R317" t="s">
        <v>248</v>
      </c>
      <c r="S317" t="s">
        <v>552</v>
      </c>
      <c r="U317" s="6">
        <v>42125.443981481483</v>
      </c>
      <c r="V317" t="s">
        <v>18</v>
      </c>
      <c r="W317" t="s">
        <v>211</v>
      </c>
      <c r="X317" s="6">
        <v>42045.675682870373</v>
      </c>
      <c r="Y317" t="s">
        <v>122</v>
      </c>
      <c r="AB317" t="s">
        <v>200</v>
      </c>
      <c r="AC317" t="s">
        <v>121</v>
      </c>
      <c r="AD317" t="s">
        <v>220</v>
      </c>
      <c r="AE317" t="s">
        <v>219</v>
      </c>
      <c r="AG317" t="s">
        <v>121</v>
      </c>
      <c r="AH317" t="s">
        <v>327</v>
      </c>
      <c r="AI317" t="s">
        <v>121</v>
      </c>
      <c r="AJ317" t="s">
        <v>716</v>
      </c>
      <c r="AK317" t="s">
        <v>121</v>
      </c>
    </row>
    <row r="318" spans="9:37" x14ac:dyDescent="0.3">
      <c r="I318">
        <f ca="1">IF(OR(INDIRECT(A73&amp;ROW())=B93,INDIRECT(A73&amp;ROW())=B94),1,IF(AND(INDIRECT(A73&amp;ROW())=B95,INDIRECT(A96&amp;ROW())=C93),1,IF(AND(INDIRECT(A73&amp;ROW())=B95,INDIRECT(A96&amp;ROW())=C94),1,0)))</f>
        <v>0</v>
      </c>
      <c r="J318">
        <f ca="1">IF(AND(INDIRECT(A73&amp;ROW())=B95,INDIRECT(A96&amp;ROW())=C95),1,IF(AND(INDIRECT(A73&amp;ROW())=B95,INDIRECT(A96&amp;ROW())=C96),1,0))</f>
        <v>0</v>
      </c>
      <c r="K318">
        <f ca="1">DAYS360(INDIRECT(C68&amp;ROW()),TODAY())</f>
        <v>802</v>
      </c>
      <c r="L318">
        <f ca="1">DAYS360(INDIRECT(C69&amp;ROW()),TODAY())</f>
        <v>802</v>
      </c>
      <c r="M318">
        <f ca="1">HYPERLINK(CONCATENATE("https://bugzilla.houston.hp.com:1181/bugzilla/show_bug.cgi?id=",INDIRECT(C70&amp;ROW())),INDIRECT(C70&amp;ROW()))</f>
        <v>56922</v>
      </c>
      <c r="N318">
        <v>56922</v>
      </c>
      <c r="O318" t="s">
        <v>56</v>
      </c>
      <c r="P318" t="s">
        <v>632</v>
      </c>
      <c r="Q318" t="s">
        <v>16</v>
      </c>
      <c r="R318" t="s">
        <v>248</v>
      </c>
      <c r="S318" t="s">
        <v>552</v>
      </c>
      <c r="U318" s="6">
        <v>42045.701967592591</v>
      </c>
      <c r="V318" t="s">
        <v>18</v>
      </c>
      <c r="W318" t="s">
        <v>343</v>
      </c>
      <c r="X318" s="6">
        <v>42045.676111111112</v>
      </c>
      <c r="Y318" t="s">
        <v>124</v>
      </c>
      <c r="AB318" t="s">
        <v>201</v>
      </c>
      <c r="AC318" t="s">
        <v>247</v>
      </c>
      <c r="AD318" t="s">
        <v>220</v>
      </c>
      <c r="AE318" t="s">
        <v>219</v>
      </c>
      <c r="AG318" t="s">
        <v>121</v>
      </c>
      <c r="AH318" t="s">
        <v>327</v>
      </c>
      <c r="AI318" t="s">
        <v>121</v>
      </c>
      <c r="AJ318" t="s">
        <v>717</v>
      </c>
      <c r="AK318" t="s">
        <v>121</v>
      </c>
    </row>
    <row r="319" spans="9:37" x14ac:dyDescent="0.3">
      <c r="I319">
        <f ca="1">IF(OR(INDIRECT(A73&amp;ROW())=B93,INDIRECT(A73&amp;ROW())=B94),1,IF(AND(INDIRECT(A73&amp;ROW())=B95,INDIRECT(A96&amp;ROW())=C93),1,IF(AND(INDIRECT(A73&amp;ROW())=B95,INDIRECT(A96&amp;ROW())=C94),1,0)))</f>
        <v>0</v>
      </c>
      <c r="J319">
        <f ca="1">IF(AND(INDIRECT(A73&amp;ROW())=B95,INDIRECT(A96&amp;ROW())=C95),1,IF(AND(INDIRECT(A73&amp;ROW())=B95,INDIRECT(A96&amp;ROW())=C96),1,0))</f>
        <v>0</v>
      </c>
      <c r="K319">
        <f ca="1">DAYS360(INDIRECT(C68&amp;ROW()),TODAY())</f>
        <v>721</v>
      </c>
      <c r="L319">
        <f ca="1">DAYS360(INDIRECT(C69&amp;ROW()),TODAY())</f>
        <v>802</v>
      </c>
      <c r="M319">
        <f ca="1">HYPERLINK(CONCATENATE("https://bugzilla.houston.hp.com:1181/bugzilla/show_bug.cgi?id=",INDIRECT(C70&amp;ROW())),INDIRECT(C70&amp;ROW()))</f>
        <v>56923</v>
      </c>
      <c r="N319">
        <v>56923</v>
      </c>
      <c r="O319" t="s">
        <v>56</v>
      </c>
      <c r="P319" t="s">
        <v>646</v>
      </c>
      <c r="Q319" t="s">
        <v>16</v>
      </c>
      <c r="R319" t="s">
        <v>248</v>
      </c>
      <c r="S319" t="s">
        <v>552</v>
      </c>
      <c r="U319" s="6">
        <v>42125.446423611109</v>
      </c>
      <c r="V319" t="s">
        <v>18</v>
      </c>
      <c r="W319" t="s">
        <v>256</v>
      </c>
      <c r="X319" s="6">
        <v>42045.677118055559</v>
      </c>
      <c r="Y319" t="s">
        <v>122</v>
      </c>
      <c r="AB319" t="s">
        <v>200</v>
      </c>
      <c r="AC319" t="s">
        <v>247</v>
      </c>
      <c r="AD319" t="s">
        <v>220</v>
      </c>
      <c r="AE319" t="s">
        <v>219</v>
      </c>
      <c r="AF319" s="13">
        <v>41904</v>
      </c>
      <c r="AG319" t="s">
        <v>121</v>
      </c>
      <c r="AH319" t="s">
        <v>64</v>
      </c>
      <c r="AI319" t="s">
        <v>121</v>
      </c>
      <c r="AJ319" t="s">
        <v>716</v>
      </c>
      <c r="AK319" t="s">
        <v>121</v>
      </c>
    </row>
    <row r="320" spans="9:37" x14ac:dyDescent="0.3">
      <c r="I320">
        <f ca="1">IF(OR(INDIRECT(A73&amp;ROW())=B93,INDIRECT(A73&amp;ROW())=B94),1,IF(AND(INDIRECT(A73&amp;ROW())=B95,INDIRECT(A96&amp;ROW())=C93),1,IF(AND(INDIRECT(A73&amp;ROW())=B95,INDIRECT(A96&amp;ROW())=C94),1,0)))</f>
        <v>0</v>
      </c>
      <c r="J320">
        <f ca="1">IF(AND(INDIRECT(A73&amp;ROW())=B95,INDIRECT(A96&amp;ROW())=C95),1,IF(AND(INDIRECT(A73&amp;ROW())=B95,INDIRECT(A96&amp;ROW())=C96),1,0))</f>
        <v>0</v>
      </c>
      <c r="K320">
        <f ca="1">DAYS360(INDIRECT(C68&amp;ROW()),TODAY())</f>
        <v>721</v>
      </c>
      <c r="L320">
        <f ca="1">DAYS360(INDIRECT(C69&amp;ROW()),TODAY())</f>
        <v>802</v>
      </c>
      <c r="M320">
        <f ca="1">HYPERLINK(CONCATENATE("https://bugzilla.houston.hp.com:1181/bugzilla/show_bug.cgi?id=",INDIRECT(C70&amp;ROW())),INDIRECT(C70&amp;ROW()))</f>
        <v>56924</v>
      </c>
      <c r="N320">
        <v>56924</v>
      </c>
      <c r="O320" t="s">
        <v>56</v>
      </c>
      <c r="P320" t="s">
        <v>645</v>
      </c>
      <c r="Q320" t="s">
        <v>16</v>
      </c>
      <c r="R320" t="s">
        <v>248</v>
      </c>
      <c r="S320" t="s">
        <v>552</v>
      </c>
      <c r="U320" s="6">
        <v>42125.445127314815</v>
      </c>
      <c r="V320" t="s">
        <v>18</v>
      </c>
      <c r="W320" t="s">
        <v>260</v>
      </c>
      <c r="X320" s="6">
        <v>42045.677986111114</v>
      </c>
      <c r="Y320" t="s">
        <v>122</v>
      </c>
      <c r="AB320" t="s">
        <v>200</v>
      </c>
      <c r="AC320" t="s">
        <v>121</v>
      </c>
      <c r="AD320" t="s">
        <v>220</v>
      </c>
      <c r="AE320" t="s">
        <v>219</v>
      </c>
      <c r="AG320" t="s">
        <v>121</v>
      </c>
      <c r="AH320" t="s">
        <v>327</v>
      </c>
      <c r="AI320" t="s">
        <v>121</v>
      </c>
      <c r="AJ320" t="s">
        <v>716</v>
      </c>
      <c r="AK320" t="s">
        <v>121</v>
      </c>
    </row>
    <row r="321" spans="9:37" x14ac:dyDescent="0.3">
      <c r="I321">
        <f ca="1">IF(OR(INDIRECT(A73&amp;ROW())=B93,INDIRECT(A73&amp;ROW())=B94),1,IF(AND(INDIRECT(A73&amp;ROW())=B95,INDIRECT(A96&amp;ROW())=C93),1,IF(AND(INDIRECT(A73&amp;ROW())=B95,INDIRECT(A96&amp;ROW())=C94),1,0)))</f>
        <v>0</v>
      </c>
      <c r="J321">
        <f ca="1">IF(AND(INDIRECT(A73&amp;ROW())=B95,INDIRECT(A96&amp;ROW())=C95),1,IF(AND(INDIRECT(A73&amp;ROW())=B95,INDIRECT(A96&amp;ROW())=C96),1,0))</f>
        <v>0</v>
      </c>
      <c r="K321">
        <f ca="1">DAYS360(INDIRECT(C68&amp;ROW()),TODAY())</f>
        <v>721</v>
      </c>
      <c r="L321">
        <f ca="1">DAYS360(INDIRECT(C69&amp;ROW()),TODAY())</f>
        <v>802</v>
      </c>
      <c r="M321">
        <f ca="1">HYPERLINK(CONCATENATE("https://bugzilla.houston.hp.com:1181/bugzilla/show_bug.cgi?id=",INDIRECT(C70&amp;ROW())),INDIRECT(C70&amp;ROW()))</f>
        <v>56925</v>
      </c>
      <c r="N321">
        <v>56925</v>
      </c>
      <c r="O321" t="s">
        <v>56</v>
      </c>
      <c r="P321" t="s">
        <v>644</v>
      </c>
      <c r="Q321" t="s">
        <v>16</v>
      </c>
      <c r="R321" t="s">
        <v>248</v>
      </c>
      <c r="S321" t="s">
        <v>552</v>
      </c>
      <c r="U321" s="6">
        <v>42125.443888888891</v>
      </c>
      <c r="V321" t="s">
        <v>18</v>
      </c>
      <c r="W321" t="s">
        <v>209</v>
      </c>
      <c r="X321" s="6">
        <v>42045.678368055553</v>
      </c>
      <c r="Y321" t="s">
        <v>122</v>
      </c>
      <c r="AB321" t="s">
        <v>200</v>
      </c>
      <c r="AC321" t="s">
        <v>121</v>
      </c>
      <c r="AD321" t="s">
        <v>220</v>
      </c>
      <c r="AE321" t="s">
        <v>219</v>
      </c>
      <c r="AG321" t="s">
        <v>121</v>
      </c>
      <c r="AH321" t="s">
        <v>327</v>
      </c>
      <c r="AI321" t="s">
        <v>121</v>
      </c>
      <c r="AJ321" t="s">
        <v>716</v>
      </c>
      <c r="AK321" t="s">
        <v>121</v>
      </c>
    </row>
    <row r="322" spans="9:37" x14ac:dyDescent="0.3">
      <c r="I322">
        <f ca="1">IF(OR(INDIRECT(A73&amp;ROW())=B93,INDIRECT(A73&amp;ROW())=B94),1,IF(AND(INDIRECT(A73&amp;ROW())=B95,INDIRECT(A96&amp;ROW())=C93),1,IF(AND(INDIRECT(A73&amp;ROW())=B95,INDIRECT(A96&amp;ROW())=C94),1,0)))</f>
        <v>0</v>
      </c>
      <c r="J322">
        <f ca="1">IF(AND(INDIRECT(A73&amp;ROW())=B95,INDIRECT(A96&amp;ROW())=C95),1,IF(AND(INDIRECT(A73&amp;ROW())=B95,INDIRECT(A96&amp;ROW())=C96),1,0))</f>
        <v>0</v>
      </c>
      <c r="K322">
        <f ca="1">DAYS360(INDIRECT(C68&amp;ROW()),TODAY())</f>
        <v>721</v>
      </c>
      <c r="L322">
        <f ca="1">DAYS360(INDIRECT(C69&amp;ROW()),TODAY())</f>
        <v>802</v>
      </c>
      <c r="M322">
        <f ca="1">HYPERLINK(CONCATENATE("https://bugzilla.houston.hp.com:1181/bugzilla/show_bug.cgi?id=",INDIRECT(C70&amp;ROW())),INDIRECT(C70&amp;ROW()))</f>
        <v>56926</v>
      </c>
      <c r="N322">
        <v>56926</v>
      </c>
      <c r="O322" t="s">
        <v>56</v>
      </c>
      <c r="P322" t="s">
        <v>643</v>
      </c>
      <c r="Q322" t="s">
        <v>16</v>
      </c>
      <c r="R322" t="s">
        <v>248</v>
      </c>
      <c r="S322" t="s">
        <v>552</v>
      </c>
      <c r="U322" s="6">
        <v>42125.447511574072</v>
      </c>
      <c r="V322" t="s">
        <v>18</v>
      </c>
      <c r="W322" t="s">
        <v>343</v>
      </c>
      <c r="X322" s="6">
        <v>42045.679282407407</v>
      </c>
      <c r="Y322" t="s">
        <v>122</v>
      </c>
      <c r="AB322" t="s">
        <v>200</v>
      </c>
      <c r="AC322" t="s">
        <v>247</v>
      </c>
      <c r="AD322" t="s">
        <v>220</v>
      </c>
      <c r="AE322" t="s">
        <v>219</v>
      </c>
      <c r="AG322" t="s">
        <v>121</v>
      </c>
      <c r="AH322" t="s">
        <v>64</v>
      </c>
      <c r="AI322" t="s">
        <v>121</v>
      </c>
      <c r="AJ322" t="s">
        <v>716</v>
      </c>
      <c r="AK322" t="s">
        <v>121</v>
      </c>
    </row>
    <row r="323" spans="9:37" x14ac:dyDescent="0.3">
      <c r="I323">
        <f ca="1">IF(OR(INDIRECT(A73&amp;ROW())=B93,INDIRECT(A73&amp;ROW())=B94),1,IF(AND(INDIRECT(A73&amp;ROW())=B95,INDIRECT(A96&amp;ROW())=C93),1,IF(AND(INDIRECT(A73&amp;ROW())=B95,INDIRECT(A96&amp;ROW())=C94),1,0)))</f>
        <v>0</v>
      </c>
      <c r="J323">
        <f ca="1">IF(AND(INDIRECT(A73&amp;ROW())=B95,INDIRECT(A96&amp;ROW())=C95),1,IF(AND(INDIRECT(A73&amp;ROW())=B95,INDIRECT(A96&amp;ROW())=C96),1,0))</f>
        <v>0</v>
      </c>
      <c r="K323">
        <f ca="1">DAYS360(INDIRECT(C68&amp;ROW()),TODAY())</f>
        <v>802</v>
      </c>
      <c r="L323">
        <f ca="1">DAYS360(INDIRECT(C69&amp;ROW()),TODAY())</f>
        <v>802</v>
      </c>
      <c r="M323">
        <f ca="1">HYPERLINK(CONCATENATE("https://bugzilla.houston.hp.com:1181/bugzilla/show_bug.cgi?id=",INDIRECT(C70&amp;ROW())),INDIRECT(C70&amp;ROW()))</f>
        <v>56927</v>
      </c>
      <c r="N323">
        <v>56927</v>
      </c>
      <c r="O323" t="s">
        <v>56</v>
      </c>
      <c r="P323" t="s">
        <v>642</v>
      </c>
      <c r="Q323" t="s">
        <v>16</v>
      </c>
      <c r="R323" t="s">
        <v>248</v>
      </c>
      <c r="S323" t="s">
        <v>552</v>
      </c>
      <c r="U323" s="6">
        <v>42045.680243055554</v>
      </c>
      <c r="V323" t="s">
        <v>18</v>
      </c>
      <c r="W323" t="s">
        <v>288</v>
      </c>
      <c r="X323" s="6">
        <v>42045.679618055554</v>
      </c>
      <c r="Y323" t="s">
        <v>787</v>
      </c>
      <c r="AB323" t="s">
        <v>201</v>
      </c>
      <c r="AC323" t="s">
        <v>247</v>
      </c>
      <c r="AD323" t="s">
        <v>220</v>
      </c>
      <c r="AE323" t="s">
        <v>219</v>
      </c>
      <c r="AG323" t="s">
        <v>121</v>
      </c>
      <c r="AH323" t="s">
        <v>327</v>
      </c>
      <c r="AI323" t="s">
        <v>121</v>
      </c>
      <c r="AJ323" t="s">
        <v>717</v>
      </c>
      <c r="AK323" t="s">
        <v>121</v>
      </c>
    </row>
    <row r="324" spans="9:37" x14ac:dyDescent="0.3">
      <c r="I324">
        <f ca="1">IF(OR(INDIRECT(A73&amp;ROW())=B93,INDIRECT(A73&amp;ROW())=B94),1,IF(AND(INDIRECT(A73&amp;ROW())=B95,INDIRECT(A96&amp;ROW())=C93),1,IF(AND(INDIRECT(A73&amp;ROW())=B95,INDIRECT(A96&amp;ROW())=C94),1,0)))</f>
        <v>0</v>
      </c>
      <c r="J324">
        <f ca="1">IF(AND(INDIRECT(A73&amp;ROW())=B95,INDIRECT(A96&amp;ROW())=C95),1,IF(AND(INDIRECT(A73&amp;ROW())=B95,INDIRECT(A96&amp;ROW())=C96),1,0))</f>
        <v>0</v>
      </c>
      <c r="K324">
        <f ca="1">DAYS360(INDIRECT(C68&amp;ROW()),TODAY())</f>
        <v>721</v>
      </c>
      <c r="L324">
        <f ca="1">DAYS360(INDIRECT(C69&amp;ROW()),TODAY())</f>
        <v>802</v>
      </c>
      <c r="M324">
        <f ca="1">HYPERLINK(CONCATENATE("https://bugzilla.houston.hp.com:1181/bugzilla/show_bug.cgi?id=",INDIRECT(C70&amp;ROW())),INDIRECT(C70&amp;ROW()))</f>
        <v>56928</v>
      </c>
      <c r="N324">
        <v>56928</v>
      </c>
      <c r="O324" t="s">
        <v>56</v>
      </c>
      <c r="P324" t="s">
        <v>641</v>
      </c>
      <c r="Q324" t="s">
        <v>16</v>
      </c>
      <c r="R324" t="s">
        <v>248</v>
      </c>
      <c r="S324" t="s">
        <v>552</v>
      </c>
      <c r="U324" s="6">
        <v>42125.442418981482</v>
      </c>
      <c r="V324" t="s">
        <v>18</v>
      </c>
      <c r="W324" t="s">
        <v>89</v>
      </c>
      <c r="X324" s="6">
        <v>42045.680694444447</v>
      </c>
      <c r="Y324" t="s">
        <v>122</v>
      </c>
      <c r="AB324" t="s">
        <v>201</v>
      </c>
      <c r="AC324" t="s">
        <v>121</v>
      </c>
      <c r="AD324" t="s">
        <v>220</v>
      </c>
      <c r="AE324" t="s">
        <v>219</v>
      </c>
      <c r="AG324" t="s">
        <v>121</v>
      </c>
      <c r="AH324" t="s">
        <v>327</v>
      </c>
      <c r="AI324" t="s">
        <v>121</v>
      </c>
      <c r="AJ324" t="s">
        <v>717</v>
      </c>
      <c r="AK324" t="s">
        <v>121</v>
      </c>
    </row>
    <row r="325" spans="9:37" x14ac:dyDescent="0.3">
      <c r="I325">
        <f ca="1">IF(OR(INDIRECT(A73&amp;ROW())=B93,INDIRECT(A73&amp;ROW())=B94),1,IF(AND(INDIRECT(A73&amp;ROW())=B95,INDIRECT(A96&amp;ROW())=C93),1,IF(AND(INDIRECT(A73&amp;ROW())=B95,INDIRECT(A96&amp;ROW())=C94),1,0)))</f>
        <v>0</v>
      </c>
      <c r="J325">
        <f ca="1">IF(AND(INDIRECT(A73&amp;ROW())=B95,INDIRECT(A96&amp;ROW())=C95),1,IF(AND(INDIRECT(A73&amp;ROW())=B95,INDIRECT(A96&amp;ROW())=C96),1,0))</f>
        <v>0</v>
      </c>
      <c r="K325">
        <f ca="1">DAYS360(INDIRECT(C68&amp;ROW()),TODAY())</f>
        <v>721</v>
      </c>
      <c r="L325">
        <f ca="1">DAYS360(INDIRECT(C69&amp;ROW()),TODAY())</f>
        <v>802</v>
      </c>
      <c r="M325">
        <f ca="1">HYPERLINK(CONCATENATE("https://bugzilla.houston.hp.com:1181/bugzilla/show_bug.cgi?id=",INDIRECT(C70&amp;ROW())),INDIRECT(C70&amp;ROW()))</f>
        <v>56929</v>
      </c>
      <c r="N325">
        <v>56929</v>
      </c>
      <c r="O325" t="s">
        <v>36</v>
      </c>
      <c r="P325" t="s">
        <v>640</v>
      </c>
      <c r="Q325" t="s">
        <v>16</v>
      </c>
      <c r="R325" t="s">
        <v>248</v>
      </c>
      <c r="S325" t="s">
        <v>552</v>
      </c>
      <c r="U325" s="6">
        <v>42125.442106481481</v>
      </c>
      <c r="V325" t="s">
        <v>18</v>
      </c>
      <c r="W325" t="s">
        <v>206</v>
      </c>
      <c r="X325" s="6">
        <v>42045.681006944447</v>
      </c>
      <c r="Y325" t="s">
        <v>122</v>
      </c>
      <c r="AB325" t="s">
        <v>199</v>
      </c>
      <c r="AC325" t="s">
        <v>121</v>
      </c>
      <c r="AD325" t="s">
        <v>222</v>
      </c>
      <c r="AE325" t="s">
        <v>233</v>
      </c>
      <c r="AG325" t="s">
        <v>121</v>
      </c>
      <c r="AH325" t="s">
        <v>327</v>
      </c>
      <c r="AI325" t="s">
        <v>121</v>
      </c>
      <c r="AJ325" t="s">
        <v>716</v>
      </c>
      <c r="AK325" t="s">
        <v>121</v>
      </c>
    </row>
    <row r="326" spans="9:37" x14ac:dyDescent="0.3">
      <c r="I326">
        <f ca="1">IF(OR(INDIRECT(A73&amp;ROW())=B93,INDIRECT(A73&amp;ROW())=B94),1,IF(AND(INDIRECT(A73&amp;ROW())=B95,INDIRECT(A96&amp;ROW())=C93),1,IF(AND(INDIRECT(A73&amp;ROW())=B95,INDIRECT(A96&amp;ROW())=C94),1,0)))</f>
        <v>0</v>
      </c>
      <c r="J326">
        <f ca="1">IF(AND(INDIRECT(A73&amp;ROW())=B95,INDIRECT(A96&amp;ROW())=C95),1,IF(AND(INDIRECT(A73&amp;ROW())=B95,INDIRECT(A96&amp;ROW())=C96),1,0))</f>
        <v>0</v>
      </c>
      <c r="K326">
        <f ca="1">DAYS360(INDIRECT(C68&amp;ROW()),TODAY())</f>
        <v>802</v>
      </c>
      <c r="L326">
        <f ca="1">DAYS360(INDIRECT(C69&amp;ROW()),TODAY())</f>
        <v>802</v>
      </c>
      <c r="M326">
        <f ca="1">HYPERLINK(CONCATENATE("https://bugzilla.houston.hp.com:1181/bugzilla/show_bug.cgi?id=",INDIRECT(C70&amp;ROW())),INDIRECT(C70&amp;ROW()))</f>
        <v>56930</v>
      </c>
      <c r="N326">
        <v>56930</v>
      </c>
      <c r="O326" t="s">
        <v>56</v>
      </c>
      <c r="P326" t="s">
        <v>639</v>
      </c>
      <c r="Q326" t="s">
        <v>16</v>
      </c>
      <c r="R326" t="s">
        <v>248</v>
      </c>
      <c r="S326" t="s">
        <v>552</v>
      </c>
      <c r="U326" s="6">
        <v>42045.682615740741</v>
      </c>
      <c r="V326" t="s">
        <v>18</v>
      </c>
      <c r="W326" t="s">
        <v>205</v>
      </c>
      <c r="X326" s="6">
        <v>42045.68204861111</v>
      </c>
      <c r="Y326" t="s">
        <v>245</v>
      </c>
      <c r="AB326" t="s">
        <v>201</v>
      </c>
      <c r="AC326" t="s">
        <v>121</v>
      </c>
      <c r="AD326" t="s">
        <v>220</v>
      </c>
      <c r="AE326" t="s">
        <v>219</v>
      </c>
      <c r="AG326" t="s">
        <v>121</v>
      </c>
      <c r="AH326" t="s">
        <v>327</v>
      </c>
      <c r="AI326" t="s">
        <v>121</v>
      </c>
      <c r="AJ326" t="s">
        <v>717</v>
      </c>
      <c r="AK326" t="s">
        <v>121</v>
      </c>
    </row>
    <row r="327" spans="9:37" x14ac:dyDescent="0.3">
      <c r="I327">
        <f ca="1">IF(OR(INDIRECT(A73&amp;ROW())=B93,INDIRECT(A73&amp;ROW())=B94),1,IF(AND(INDIRECT(A73&amp;ROW())=B95,INDIRECT(A96&amp;ROW())=C93),1,IF(AND(INDIRECT(A73&amp;ROW())=B95,INDIRECT(A96&amp;ROW())=C94),1,0)))</f>
        <v>0</v>
      </c>
      <c r="J327">
        <f ca="1">IF(AND(INDIRECT(A73&amp;ROW())=B95,INDIRECT(A96&amp;ROW())=C95),1,IF(AND(INDIRECT(A73&amp;ROW())=B95,INDIRECT(A96&amp;ROW())=C96),1,0))</f>
        <v>0</v>
      </c>
      <c r="K327">
        <f ca="1">DAYS360(INDIRECT(C68&amp;ROW()),TODAY())</f>
        <v>731</v>
      </c>
      <c r="L327">
        <f ca="1">DAYS360(INDIRECT(C69&amp;ROW()),TODAY())</f>
        <v>802</v>
      </c>
      <c r="M327">
        <f ca="1">HYPERLINK(CONCATENATE("https://bugzilla.houston.hp.com:1181/bugzilla/show_bug.cgi?id=",INDIRECT(C70&amp;ROW())),INDIRECT(C70&amp;ROW()))</f>
        <v>56931</v>
      </c>
      <c r="N327">
        <v>56931</v>
      </c>
      <c r="O327" t="s">
        <v>56</v>
      </c>
      <c r="P327" t="s">
        <v>974</v>
      </c>
      <c r="Q327" t="s">
        <v>16</v>
      </c>
      <c r="R327" t="s">
        <v>783</v>
      </c>
      <c r="S327" t="s">
        <v>552</v>
      </c>
      <c r="U327" s="6">
        <v>42115.828506944446</v>
      </c>
      <c r="V327" t="s">
        <v>18</v>
      </c>
      <c r="W327" t="s">
        <v>340</v>
      </c>
      <c r="X327" s="6">
        <v>42045.684733796297</v>
      </c>
      <c r="Y327" t="s">
        <v>122</v>
      </c>
      <c r="AB327" t="s">
        <v>200</v>
      </c>
      <c r="AC327" t="s">
        <v>247</v>
      </c>
      <c r="AD327" t="s">
        <v>220</v>
      </c>
      <c r="AE327" t="s">
        <v>219</v>
      </c>
      <c r="AG327" t="s">
        <v>121</v>
      </c>
      <c r="AH327" t="s">
        <v>64</v>
      </c>
      <c r="AI327" t="s">
        <v>121</v>
      </c>
      <c r="AJ327" t="s">
        <v>716</v>
      </c>
      <c r="AK327" t="s">
        <v>121</v>
      </c>
    </row>
    <row r="328" spans="9:37" x14ac:dyDescent="0.3">
      <c r="I328">
        <f ca="1">IF(OR(INDIRECT(A73&amp;ROW())=B93,INDIRECT(A73&amp;ROW())=B94),1,IF(AND(INDIRECT(A73&amp;ROW())=B95,INDIRECT(A96&amp;ROW())=C93),1,IF(AND(INDIRECT(A73&amp;ROW())=B95,INDIRECT(A96&amp;ROW())=C94),1,0)))</f>
        <v>0</v>
      </c>
      <c r="J328">
        <f ca="1">IF(AND(INDIRECT(A73&amp;ROW())=B95,INDIRECT(A96&amp;ROW())=C95),1,IF(AND(INDIRECT(A73&amp;ROW())=B95,INDIRECT(A96&amp;ROW())=C96),1,0))</f>
        <v>0</v>
      </c>
      <c r="K328">
        <f ca="1">DAYS360(INDIRECT(C68&amp;ROW()),TODAY())</f>
        <v>802</v>
      </c>
      <c r="L328">
        <f ca="1">DAYS360(INDIRECT(C69&amp;ROW()),TODAY())</f>
        <v>802</v>
      </c>
      <c r="M328">
        <f ca="1">HYPERLINK(CONCATENATE("https://bugzilla.houston.hp.com:1181/bugzilla/show_bug.cgi?id=",INDIRECT(C70&amp;ROW())),INDIRECT(C70&amp;ROW()))</f>
        <v>56932</v>
      </c>
      <c r="N328">
        <v>56932</v>
      </c>
      <c r="O328" t="s">
        <v>36</v>
      </c>
      <c r="P328" t="s">
        <v>637</v>
      </c>
      <c r="Q328" t="s">
        <v>16</v>
      </c>
      <c r="R328" t="s">
        <v>248</v>
      </c>
      <c r="S328" t="s">
        <v>552</v>
      </c>
      <c r="U328" s="6">
        <v>42045.685949074075</v>
      </c>
      <c r="V328" t="s">
        <v>18</v>
      </c>
      <c r="W328" t="s">
        <v>339</v>
      </c>
      <c r="X328" s="6">
        <v>42045.685069444444</v>
      </c>
      <c r="Y328" t="s">
        <v>342</v>
      </c>
      <c r="AB328" t="s">
        <v>201</v>
      </c>
      <c r="AC328" t="s">
        <v>217</v>
      </c>
      <c r="AD328" t="s">
        <v>222</v>
      </c>
      <c r="AE328" t="s">
        <v>225</v>
      </c>
      <c r="AG328" t="s">
        <v>121</v>
      </c>
      <c r="AH328" t="s">
        <v>327</v>
      </c>
      <c r="AI328" t="s">
        <v>121</v>
      </c>
      <c r="AJ328" t="s">
        <v>717</v>
      </c>
      <c r="AK328" t="s">
        <v>121</v>
      </c>
    </row>
    <row r="329" spans="9:37" x14ac:dyDescent="0.3">
      <c r="I329">
        <f ca="1">IF(OR(INDIRECT(A73&amp;ROW())=B93,INDIRECT(A73&amp;ROW())=B94),1,IF(AND(INDIRECT(A73&amp;ROW())=B95,INDIRECT(A96&amp;ROW())=C93),1,IF(AND(INDIRECT(A73&amp;ROW())=B95,INDIRECT(A96&amp;ROW())=C94),1,0)))</f>
        <v>0</v>
      </c>
      <c r="J329">
        <f ca="1">IF(AND(INDIRECT(A73&amp;ROW())=B95,INDIRECT(A96&amp;ROW())=C95),1,IF(AND(INDIRECT(A73&amp;ROW())=B95,INDIRECT(A96&amp;ROW())=C96),1,0))</f>
        <v>0</v>
      </c>
      <c r="K329">
        <f ca="1">DAYS360(INDIRECT(C68&amp;ROW()),TODAY())</f>
        <v>721</v>
      </c>
      <c r="L329">
        <f ca="1">DAYS360(INDIRECT(C69&amp;ROW()),TODAY())</f>
        <v>802</v>
      </c>
      <c r="M329">
        <f ca="1">HYPERLINK(CONCATENATE("https://bugzilla.houston.hp.com:1181/bugzilla/show_bug.cgi?id=",INDIRECT(C70&amp;ROW())),INDIRECT(C70&amp;ROW()))</f>
        <v>56936</v>
      </c>
      <c r="N329">
        <v>56936</v>
      </c>
      <c r="O329" t="s">
        <v>56</v>
      </c>
      <c r="P329" t="s">
        <v>634</v>
      </c>
      <c r="Q329" t="s">
        <v>16</v>
      </c>
      <c r="R329" t="s">
        <v>248</v>
      </c>
      <c r="S329" t="s">
        <v>552</v>
      </c>
      <c r="U329" s="6">
        <v>42125.443796296298</v>
      </c>
      <c r="V329" t="s">
        <v>18</v>
      </c>
      <c r="W329" t="s">
        <v>211</v>
      </c>
      <c r="X329" s="6">
        <v>42045.687418981484</v>
      </c>
      <c r="Y329" t="s">
        <v>122</v>
      </c>
      <c r="AB329" t="s">
        <v>201</v>
      </c>
      <c r="AC329" t="s">
        <v>121</v>
      </c>
      <c r="AD329" t="s">
        <v>220</v>
      </c>
      <c r="AE329" t="s">
        <v>219</v>
      </c>
      <c r="AG329" t="s">
        <v>121</v>
      </c>
      <c r="AH329" t="s">
        <v>64</v>
      </c>
      <c r="AI329" t="s">
        <v>121</v>
      </c>
      <c r="AJ329" t="s">
        <v>717</v>
      </c>
      <c r="AK329" t="s">
        <v>121</v>
      </c>
    </row>
    <row r="330" spans="9:37" x14ac:dyDescent="0.3">
      <c r="I330">
        <f ca="1">IF(OR(INDIRECT(A73&amp;ROW())=B93,INDIRECT(A73&amp;ROW())=B94),1,IF(AND(INDIRECT(A73&amp;ROW())=B95,INDIRECT(A96&amp;ROW())=C93),1,IF(AND(INDIRECT(A73&amp;ROW())=B95,INDIRECT(A96&amp;ROW())=C94),1,0)))</f>
        <v>0</v>
      </c>
      <c r="J330">
        <f ca="1">IF(AND(INDIRECT(A73&amp;ROW())=B95,INDIRECT(A96&amp;ROW())=C95),1,IF(AND(INDIRECT(A73&amp;ROW())=B95,INDIRECT(A96&amp;ROW())=C96),1,0))</f>
        <v>0</v>
      </c>
      <c r="K330">
        <f ca="1">DAYS360(INDIRECT(C68&amp;ROW()),TODAY())</f>
        <v>721</v>
      </c>
      <c r="L330">
        <f ca="1">DAYS360(INDIRECT(C69&amp;ROW()),TODAY())</f>
        <v>802</v>
      </c>
      <c r="M330">
        <f ca="1">HYPERLINK(CONCATENATE("https://bugzilla.houston.hp.com:1181/bugzilla/show_bug.cgi?id=",INDIRECT(C70&amp;ROW())),INDIRECT(C70&amp;ROW()))</f>
        <v>56937</v>
      </c>
      <c r="N330">
        <v>56937</v>
      </c>
      <c r="O330" t="s">
        <v>36</v>
      </c>
      <c r="P330" t="s">
        <v>633</v>
      </c>
      <c r="Q330" t="s">
        <v>16</v>
      </c>
      <c r="R330" t="s">
        <v>248</v>
      </c>
      <c r="S330" t="s">
        <v>552</v>
      </c>
      <c r="U330" s="6">
        <v>42125.447685185187</v>
      </c>
      <c r="V330" t="s">
        <v>18</v>
      </c>
      <c r="W330" t="s">
        <v>17</v>
      </c>
      <c r="X330" s="6">
        <v>42045.688657407409</v>
      </c>
      <c r="Y330" t="s">
        <v>122</v>
      </c>
      <c r="AB330" t="s">
        <v>201</v>
      </c>
      <c r="AC330" t="s">
        <v>247</v>
      </c>
      <c r="AD330" t="s">
        <v>220</v>
      </c>
      <c r="AE330" t="s">
        <v>223</v>
      </c>
      <c r="AG330" t="s">
        <v>121</v>
      </c>
      <c r="AH330" t="s">
        <v>64</v>
      </c>
      <c r="AI330" t="s">
        <v>121</v>
      </c>
      <c r="AJ330" t="s">
        <v>717</v>
      </c>
      <c r="AK330" t="s">
        <v>121</v>
      </c>
    </row>
    <row r="331" spans="9:37" x14ac:dyDescent="0.3">
      <c r="I331">
        <f ca="1">IF(OR(INDIRECT(A73&amp;ROW())=B93,INDIRECT(A73&amp;ROW())=B94),1,IF(AND(INDIRECT(A73&amp;ROW())=B95,INDIRECT(A96&amp;ROW())=C93),1,IF(AND(INDIRECT(A73&amp;ROW())=B95,INDIRECT(A96&amp;ROW())=C94),1,0)))</f>
        <v>0</v>
      </c>
      <c r="J331">
        <f ca="1">IF(AND(INDIRECT(A73&amp;ROW())=B95,INDIRECT(A96&amp;ROW())=C95),1,IF(AND(INDIRECT(A73&amp;ROW())=B95,INDIRECT(A96&amp;ROW())=C96),1,0))</f>
        <v>0</v>
      </c>
      <c r="K331">
        <f ca="1">DAYS360(INDIRECT(C68&amp;ROW()),TODAY())</f>
        <v>802</v>
      </c>
      <c r="L331">
        <f ca="1">DAYS360(INDIRECT(C69&amp;ROW()),TODAY())</f>
        <v>802</v>
      </c>
      <c r="M331">
        <f ca="1">HYPERLINK(CONCATENATE("https://bugzilla.houston.hp.com:1181/bugzilla/show_bug.cgi?id=",INDIRECT(C70&amp;ROW())),INDIRECT(C70&amp;ROW()))</f>
        <v>56939</v>
      </c>
      <c r="N331">
        <v>56939</v>
      </c>
      <c r="O331" t="s">
        <v>56</v>
      </c>
      <c r="P331" t="s">
        <v>632</v>
      </c>
      <c r="Q331" t="s">
        <v>16</v>
      </c>
      <c r="R331" t="s">
        <v>248</v>
      </c>
      <c r="S331" t="s">
        <v>552</v>
      </c>
      <c r="U331" s="6">
        <v>42045.701967592591</v>
      </c>
      <c r="V331" t="s">
        <v>18</v>
      </c>
      <c r="W331" t="s">
        <v>343</v>
      </c>
      <c r="X331" s="6">
        <v>42045.701157407406</v>
      </c>
      <c r="Y331" t="s">
        <v>124</v>
      </c>
      <c r="AB331" t="s">
        <v>201</v>
      </c>
      <c r="AC331" t="s">
        <v>247</v>
      </c>
      <c r="AD331" t="s">
        <v>220</v>
      </c>
      <c r="AE331" t="s">
        <v>219</v>
      </c>
      <c r="AG331" t="s">
        <v>121</v>
      </c>
      <c r="AH331" t="s">
        <v>327</v>
      </c>
      <c r="AI331" t="s">
        <v>121</v>
      </c>
      <c r="AJ331" t="s">
        <v>717</v>
      </c>
      <c r="AK331" t="s">
        <v>121</v>
      </c>
    </row>
    <row r="332" spans="9:37" x14ac:dyDescent="0.3">
      <c r="I332">
        <f ca="1">IF(OR(INDIRECT(A73&amp;ROW())=B93,INDIRECT(A73&amp;ROW())=B94),1,IF(AND(INDIRECT(A73&amp;ROW())=B95,INDIRECT(A96&amp;ROW())=C93),1,IF(AND(INDIRECT(A73&amp;ROW())=B95,INDIRECT(A96&amp;ROW())=C94),1,0)))</f>
        <v>0</v>
      </c>
      <c r="J332">
        <f ca="1">IF(AND(INDIRECT(A73&amp;ROW())=B95,INDIRECT(A96&amp;ROW())=C95),1,IF(AND(INDIRECT(A73&amp;ROW())=B95,INDIRECT(A96&amp;ROW())=C96),1,0))</f>
        <v>0</v>
      </c>
      <c r="K332">
        <f ca="1">DAYS360(INDIRECT(C68&amp;ROW()),TODAY())</f>
        <v>802</v>
      </c>
      <c r="L332">
        <f ca="1">DAYS360(INDIRECT(C69&amp;ROW()),TODAY())</f>
        <v>802</v>
      </c>
      <c r="M332">
        <f ca="1">HYPERLINK(CONCATENATE("https://bugzilla.houston.hp.com:1181/bugzilla/show_bug.cgi?id=",INDIRECT(C70&amp;ROW())),INDIRECT(C70&amp;ROW()))</f>
        <v>56940</v>
      </c>
      <c r="N332">
        <v>56940</v>
      </c>
      <c r="O332" t="s">
        <v>36</v>
      </c>
      <c r="P332" t="s">
        <v>631</v>
      </c>
      <c r="Q332" t="s">
        <v>16</v>
      </c>
      <c r="R332" t="s">
        <v>248</v>
      </c>
      <c r="S332" t="s">
        <v>552</v>
      </c>
      <c r="U332" s="6">
        <v>42045.702314814815</v>
      </c>
      <c r="V332" t="s">
        <v>18</v>
      </c>
      <c r="W332" t="s">
        <v>339</v>
      </c>
      <c r="X332" s="6">
        <v>42045.701620370368</v>
      </c>
      <c r="Y332" t="s">
        <v>118</v>
      </c>
      <c r="AB332" t="s">
        <v>201</v>
      </c>
      <c r="AC332" t="s">
        <v>121</v>
      </c>
      <c r="AD332" t="s">
        <v>222</v>
      </c>
      <c r="AE332" t="s">
        <v>240</v>
      </c>
      <c r="AG332" t="s">
        <v>121</v>
      </c>
      <c r="AH332" t="s">
        <v>327</v>
      </c>
      <c r="AI332" t="s">
        <v>121</v>
      </c>
      <c r="AJ332" t="s">
        <v>717</v>
      </c>
      <c r="AK332" t="s">
        <v>121</v>
      </c>
    </row>
    <row r="333" spans="9:37" x14ac:dyDescent="0.3">
      <c r="I333">
        <f ca="1">IF(OR(INDIRECT(A73&amp;ROW())=B93,INDIRECT(A73&amp;ROW())=B94),1,IF(AND(INDIRECT(A73&amp;ROW())=B95,INDIRECT(A96&amp;ROW())=C93),1,IF(AND(INDIRECT(A73&amp;ROW())=B95,INDIRECT(A96&amp;ROW())=C94),1,0)))</f>
        <v>0</v>
      </c>
      <c r="J333">
        <f ca="1">IF(AND(INDIRECT(A73&amp;ROW())=B95,INDIRECT(A96&amp;ROW())=C95),1,IF(AND(INDIRECT(A73&amp;ROW())=B95,INDIRECT(A96&amp;ROW())=C96),1,0))</f>
        <v>0</v>
      </c>
      <c r="K333">
        <f ca="1">DAYS360(INDIRECT(C68&amp;ROW()),TODAY())</f>
        <v>721</v>
      </c>
      <c r="L333">
        <f ca="1">DAYS360(INDIRECT(C69&amp;ROW()),TODAY())</f>
        <v>802</v>
      </c>
      <c r="M333">
        <f ca="1">HYPERLINK(CONCATENATE("https://bugzilla.houston.hp.com:1181/bugzilla/show_bug.cgi?id=",INDIRECT(C70&amp;ROW())),INDIRECT(C70&amp;ROW()))</f>
        <v>56942</v>
      </c>
      <c r="N333">
        <v>56942</v>
      </c>
      <c r="O333" t="s">
        <v>56</v>
      </c>
      <c r="P333" t="s">
        <v>630</v>
      </c>
      <c r="Q333" t="s">
        <v>16</v>
      </c>
      <c r="R333" t="s">
        <v>248</v>
      </c>
      <c r="S333" t="s">
        <v>552</v>
      </c>
      <c r="U333" s="6">
        <v>42125.445092592592</v>
      </c>
      <c r="V333" t="s">
        <v>18</v>
      </c>
      <c r="W333" t="s">
        <v>260</v>
      </c>
      <c r="X333" s="6">
        <v>42045.702800925923</v>
      </c>
      <c r="Y333" t="s">
        <v>122</v>
      </c>
      <c r="AB333" t="s">
        <v>201</v>
      </c>
      <c r="AC333" t="s">
        <v>121</v>
      </c>
      <c r="AD333" t="s">
        <v>220</v>
      </c>
      <c r="AE333" t="s">
        <v>219</v>
      </c>
      <c r="AG333" t="s">
        <v>121</v>
      </c>
      <c r="AH333" t="s">
        <v>327</v>
      </c>
      <c r="AI333" t="s">
        <v>121</v>
      </c>
      <c r="AJ333" t="s">
        <v>717</v>
      </c>
      <c r="AK333" t="s">
        <v>121</v>
      </c>
    </row>
    <row r="334" spans="9:37" x14ac:dyDescent="0.3">
      <c r="I334">
        <f ca="1">IF(OR(INDIRECT(A73&amp;ROW())=B93,INDIRECT(A73&amp;ROW())=B94),1,IF(AND(INDIRECT(A73&amp;ROW())=B95,INDIRECT(A96&amp;ROW())=C93),1,IF(AND(INDIRECT(A73&amp;ROW())=B95,INDIRECT(A96&amp;ROW())=C94),1,0)))</f>
        <v>0</v>
      </c>
      <c r="J334">
        <f ca="1">IF(AND(INDIRECT(A73&amp;ROW())=B95,INDIRECT(A96&amp;ROW())=C95),1,IF(AND(INDIRECT(A73&amp;ROW())=B95,INDIRECT(A96&amp;ROW())=C96),1,0))</f>
        <v>0</v>
      </c>
      <c r="K334">
        <f ca="1">DAYS360(INDIRECT(C68&amp;ROW()),TODAY())</f>
        <v>721</v>
      </c>
      <c r="L334">
        <f ca="1">DAYS360(INDIRECT(C69&amp;ROW()),TODAY())</f>
        <v>802</v>
      </c>
      <c r="M334">
        <f ca="1">HYPERLINK(CONCATENATE("https://bugzilla.houston.hp.com:1181/bugzilla/show_bug.cgi?id=",INDIRECT(C70&amp;ROW())),INDIRECT(C70&amp;ROW()))</f>
        <v>56943</v>
      </c>
      <c r="N334">
        <v>56943</v>
      </c>
      <c r="O334" t="s">
        <v>56</v>
      </c>
      <c r="P334" t="s">
        <v>629</v>
      </c>
      <c r="Q334" t="s">
        <v>16</v>
      </c>
      <c r="R334" t="s">
        <v>248</v>
      </c>
      <c r="S334" t="s">
        <v>552</v>
      </c>
      <c r="U334" s="6">
        <v>42125.446377314816</v>
      </c>
      <c r="V334" t="s">
        <v>18</v>
      </c>
      <c r="W334" t="s">
        <v>288</v>
      </c>
      <c r="X334" s="6">
        <v>42045.703252314815</v>
      </c>
      <c r="Y334" t="s">
        <v>122</v>
      </c>
      <c r="AB334" t="s">
        <v>201</v>
      </c>
      <c r="AC334" t="s">
        <v>247</v>
      </c>
      <c r="AD334" t="s">
        <v>220</v>
      </c>
      <c r="AE334" t="s">
        <v>219</v>
      </c>
      <c r="AG334" t="s">
        <v>121</v>
      </c>
      <c r="AH334" t="s">
        <v>64</v>
      </c>
      <c r="AI334" t="s">
        <v>121</v>
      </c>
      <c r="AJ334" t="s">
        <v>717</v>
      </c>
      <c r="AK334" t="s">
        <v>121</v>
      </c>
    </row>
    <row r="335" spans="9:37" x14ac:dyDescent="0.3">
      <c r="I335">
        <f ca="1">IF(OR(INDIRECT(A73&amp;ROW())=B93,INDIRECT(A73&amp;ROW())=B94),1,IF(AND(INDIRECT(A73&amp;ROW())=B95,INDIRECT(A96&amp;ROW())=C93),1,IF(AND(INDIRECT(A73&amp;ROW())=B95,INDIRECT(A96&amp;ROW())=C94),1,0)))</f>
        <v>0</v>
      </c>
      <c r="J335">
        <f ca="1">IF(AND(INDIRECT(A73&amp;ROW())=B95,INDIRECT(A96&amp;ROW())=C95),1,IF(AND(INDIRECT(A73&amp;ROW())=B95,INDIRECT(A96&amp;ROW())=C96),1,0))</f>
        <v>0</v>
      </c>
      <c r="K335">
        <f ca="1">DAYS360(INDIRECT(C68&amp;ROW()),TODAY())</f>
        <v>721</v>
      </c>
      <c r="L335">
        <f ca="1">DAYS360(INDIRECT(C69&amp;ROW()),TODAY())</f>
        <v>802</v>
      </c>
      <c r="M335">
        <f ca="1">HYPERLINK(CONCATENATE("https://bugzilla.houston.hp.com:1181/bugzilla/show_bug.cgi?id=",INDIRECT(C70&amp;ROW())),INDIRECT(C70&amp;ROW()))</f>
        <v>56946</v>
      </c>
      <c r="N335">
        <v>56946</v>
      </c>
      <c r="O335" t="s">
        <v>56</v>
      </c>
      <c r="P335" t="s">
        <v>628</v>
      </c>
      <c r="Q335" t="s">
        <v>16</v>
      </c>
      <c r="R335" t="s">
        <v>248</v>
      </c>
      <c r="S335" t="s">
        <v>552</v>
      </c>
      <c r="U335" s="6">
        <v>42125.448599537034</v>
      </c>
      <c r="V335" t="s">
        <v>18</v>
      </c>
      <c r="W335" t="s">
        <v>17</v>
      </c>
      <c r="X335" s="6">
        <v>42045.706203703703</v>
      </c>
      <c r="Y335" t="s">
        <v>122</v>
      </c>
      <c r="AB335" t="s">
        <v>201</v>
      </c>
      <c r="AC335" t="s">
        <v>247</v>
      </c>
      <c r="AD335" t="s">
        <v>220</v>
      </c>
      <c r="AE335" t="s">
        <v>219</v>
      </c>
      <c r="AG335" t="s">
        <v>121</v>
      </c>
      <c r="AH335" t="s">
        <v>327</v>
      </c>
      <c r="AI335" t="s">
        <v>121</v>
      </c>
      <c r="AJ335" t="s">
        <v>717</v>
      </c>
      <c r="AK335" t="s">
        <v>121</v>
      </c>
    </row>
    <row r="336" spans="9:37" x14ac:dyDescent="0.3">
      <c r="I336">
        <f ca="1">IF(OR(INDIRECT(A73&amp;ROW())=B93,INDIRECT(A73&amp;ROW())=B94),1,IF(AND(INDIRECT(A73&amp;ROW())=B95,INDIRECT(A96&amp;ROW())=C93),1,IF(AND(INDIRECT(A73&amp;ROW())=B95,INDIRECT(A96&amp;ROW())=C94),1,0)))</f>
        <v>0</v>
      </c>
      <c r="J336">
        <f ca="1">IF(AND(INDIRECT(A73&amp;ROW())=B95,INDIRECT(A96&amp;ROW())=C95),1,IF(AND(INDIRECT(A73&amp;ROW())=B95,INDIRECT(A96&amp;ROW())=C96),1,0))</f>
        <v>0</v>
      </c>
      <c r="K336">
        <f ca="1">DAYS360(INDIRECT(C68&amp;ROW()),TODAY())</f>
        <v>802</v>
      </c>
      <c r="L336">
        <f ca="1">DAYS360(INDIRECT(C69&amp;ROW()),TODAY())</f>
        <v>802</v>
      </c>
      <c r="M336">
        <f ca="1">HYPERLINK(CONCATENATE("https://bugzilla.houston.hp.com:1181/bugzilla/show_bug.cgi?id=",INDIRECT(C70&amp;ROW())),INDIRECT(C70&amp;ROW()))</f>
        <v>56947</v>
      </c>
      <c r="N336">
        <v>56947</v>
      </c>
      <c r="O336" t="s">
        <v>36</v>
      </c>
      <c r="P336" t="s">
        <v>627</v>
      </c>
      <c r="Q336" t="s">
        <v>16</v>
      </c>
      <c r="R336" t="s">
        <v>248</v>
      </c>
      <c r="S336" t="s">
        <v>552</v>
      </c>
      <c r="U336" s="6">
        <v>42045.708449074074</v>
      </c>
      <c r="V336" t="s">
        <v>18</v>
      </c>
      <c r="W336" t="s">
        <v>317</v>
      </c>
      <c r="X336" s="6">
        <v>42045.706493055557</v>
      </c>
      <c r="Y336" t="s">
        <v>119</v>
      </c>
      <c r="AB336" t="s">
        <v>201</v>
      </c>
      <c r="AC336" t="s">
        <v>247</v>
      </c>
      <c r="AD336" t="s">
        <v>222</v>
      </c>
      <c r="AE336" t="s">
        <v>240</v>
      </c>
      <c r="AG336" t="s">
        <v>121</v>
      </c>
      <c r="AH336" t="s">
        <v>327</v>
      </c>
      <c r="AI336" t="s">
        <v>121</v>
      </c>
      <c r="AJ336" t="s">
        <v>717</v>
      </c>
      <c r="AK336" t="s">
        <v>121</v>
      </c>
    </row>
    <row r="337" spans="9:37" x14ac:dyDescent="0.3">
      <c r="I337">
        <f ca="1">IF(OR(INDIRECT(A73&amp;ROW())=B93,INDIRECT(A73&amp;ROW())=B94),1,IF(AND(INDIRECT(A73&amp;ROW())=B95,INDIRECT(A96&amp;ROW())=C93),1,IF(AND(INDIRECT(A73&amp;ROW())=B95,INDIRECT(A96&amp;ROW())=C94),1,0)))</f>
        <v>0</v>
      </c>
      <c r="J337">
        <f ca="1">IF(AND(INDIRECT(A73&amp;ROW())=B95,INDIRECT(A96&amp;ROW())=C95),1,IF(AND(INDIRECT(A73&amp;ROW())=B95,INDIRECT(A96&amp;ROW())=C96),1,0))</f>
        <v>0</v>
      </c>
      <c r="K337">
        <f ca="1">DAYS360(INDIRECT(C68&amp;ROW()),TODAY())</f>
        <v>731</v>
      </c>
      <c r="L337">
        <f ca="1">DAYS360(INDIRECT(C69&amp;ROW()),TODAY())</f>
        <v>802</v>
      </c>
      <c r="M337">
        <f ca="1">HYPERLINK(CONCATENATE("https://bugzilla.houston.hp.com:1181/bugzilla/show_bug.cgi?id=",INDIRECT(C70&amp;ROW())),INDIRECT(C70&amp;ROW()))</f>
        <v>56949</v>
      </c>
      <c r="N337">
        <v>56949</v>
      </c>
      <c r="O337" t="s">
        <v>36</v>
      </c>
      <c r="P337" t="s">
        <v>970</v>
      </c>
      <c r="Q337" t="s">
        <v>16</v>
      </c>
      <c r="R337" t="s">
        <v>783</v>
      </c>
      <c r="S337" t="s">
        <v>552</v>
      </c>
      <c r="U337" s="6">
        <v>42115.643750000003</v>
      </c>
      <c r="V337" t="s">
        <v>18</v>
      </c>
      <c r="W337" t="s">
        <v>258</v>
      </c>
      <c r="X337" s="6">
        <v>42045.707291666666</v>
      </c>
      <c r="Y337" t="s">
        <v>120</v>
      </c>
      <c r="AB337" t="s">
        <v>200</v>
      </c>
      <c r="AC337" t="s">
        <v>121</v>
      </c>
      <c r="AD337" t="s">
        <v>222</v>
      </c>
      <c r="AE337" t="s">
        <v>240</v>
      </c>
      <c r="AG337" t="s">
        <v>121</v>
      </c>
      <c r="AH337" t="s">
        <v>64</v>
      </c>
      <c r="AI337" t="s">
        <v>121</v>
      </c>
      <c r="AJ337" t="s">
        <v>716</v>
      </c>
      <c r="AK337" t="s">
        <v>121</v>
      </c>
    </row>
    <row r="338" spans="9:37" x14ac:dyDescent="0.3">
      <c r="I338">
        <f ca="1">IF(OR(INDIRECT(A73&amp;ROW())=B93,INDIRECT(A73&amp;ROW())=B94),1,IF(AND(INDIRECT(A73&amp;ROW())=B95,INDIRECT(A96&amp;ROW())=C93),1,IF(AND(INDIRECT(A73&amp;ROW())=B95,INDIRECT(A96&amp;ROW())=C94),1,0)))</f>
        <v>0</v>
      </c>
      <c r="J338">
        <f ca="1">IF(AND(INDIRECT(A73&amp;ROW())=B95,INDIRECT(A96&amp;ROW())=C95),1,IF(AND(INDIRECT(A73&amp;ROW())=B95,INDIRECT(A96&amp;ROW())=C96),1,0))</f>
        <v>0</v>
      </c>
      <c r="K338">
        <f ca="1">DAYS360(INDIRECT(C68&amp;ROW()),TODAY())</f>
        <v>688</v>
      </c>
      <c r="L338">
        <f ca="1">DAYS360(INDIRECT(C69&amp;ROW()),TODAY())</f>
        <v>802</v>
      </c>
      <c r="M338">
        <f ca="1">HYPERLINK(CONCATENATE("https://bugzilla.houston.hp.com:1181/bugzilla/show_bug.cgi?id=",INDIRECT(C70&amp;ROW())),INDIRECT(C70&amp;ROW()))</f>
        <v>56950</v>
      </c>
      <c r="N338">
        <v>56950</v>
      </c>
      <c r="O338" t="s">
        <v>56</v>
      </c>
      <c r="P338" t="s">
        <v>969</v>
      </c>
      <c r="Q338" t="s">
        <v>16</v>
      </c>
      <c r="R338" t="s">
        <v>783</v>
      </c>
      <c r="S338" t="s">
        <v>552</v>
      </c>
      <c r="U338" s="6">
        <v>42159.63140046296</v>
      </c>
      <c r="V338" t="s">
        <v>18</v>
      </c>
      <c r="W338" t="s">
        <v>260</v>
      </c>
      <c r="X338" s="6">
        <v>42045.707592592589</v>
      </c>
      <c r="Y338" t="s">
        <v>793</v>
      </c>
      <c r="AB338" t="s">
        <v>201</v>
      </c>
      <c r="AC338" t="s">
        <v>247</v>
      </c>
      <c r="AD338" t="s">
        <v>220</v>
      </c>
      <c r="AE338" t="s">
        <v>219</v>
      </c>
      <c r="AG338" t="s">
        <v>121</v>
      </c>
      <c r="AH338" t="s">
        <v>64</v>
      </c>
      <c r="AI338" t="s">
        <v>121</v>
      </c>
      <c r="AJ338" t="s">
        <v>717</v>
      </c>
      <c r="AK338" t="s">
        <v>121</v>
      </c>
    </row>
    <row r="339" spans="9:37" x14ac:dyDescent="0.3">
      <c r="I339">
        <f ca="1">IF(OR(INDIRECT(A73&amp;ROW())=B93,INDIRECT(A73&amp;ROW())=B94),1,IF(AND(INDIRECT(A73&amp;ROW())=B95,INDIRECT(A96&amp;ROW())=C93),1,IF(AND(INDIRECT(A73&amp;ROW())=B95,INDIRECT(A96&amp;ROW())=C94),1,0)))</f>
        <v>0</v>
      </c>
      <c r="J339">
        <f ca="1">IF(AND(INDIRECT(A73&amp;ROW())=B95,INDIRECT(A96&amp;ROW())=C95),1,IF(AND(INDIRECT(A73&amp;ROW())=B95,INDIRECT(A96&amp;ROW())=C96),1,0))</f>
        <v>0</v>
      </c>
      <c r="K339">
        <f ca="1">DAYS360(INDIRECT(C68&amp;ROW()),TODAY())</f>
        <v>731</v>
      </c>
      <c r="L339">
        <f ca="1">DAYS360(INDIRECT(C69&amp;ROW()),TODAY())</f>
        <v>802</v>
      </c>
      <c r="M339">
        <f ca="1">HYPERLINK(CONCATENATE("https://bugzilla.houston.hp.com:1181/bugzilla/show_bug.cgi?id=",INDIRECT(C70&amp;ROW())),INDIRECT(C70&amp;ROW()))</f>
        <v>56951</v>
      </c>
      <c r="N339">
        <v>56951</v>
      </c>
      <c r="O339" t="s">
        <v>56</v>
      </c>
      <c r="P339" t="s">
        <v>968</v>
      </c>
      <c r="Q339" t="s">
        <v>16</v>
      </c>
      <c r="R339" t="s">
        <v>783</v>
      </c>
      <c r="S339" t="s">
        <v>552</v>
      </c>
      <c r="U339" s="6">
        <v>42115.830393518518</v>
      </c>
      <c r="V339" t="s">
        <v>18</v>
      </c>
      <c r="W339" t="s">
        <v>17</v>
      </c>
      <c r="X339" s="6">
        <v>42045.707916666666</v>
      </c>
      <c r="Y339" t="s">
        <v>786</v>
      </c>
      <c r="AB339" t="s">
        <v>200</v>
      </c>
      <c r="AC339" t="s">
        <v>247</v>
      </c>
      <c r="AD339" t="s">
        <v>220</v>
      </c>
      <c r="AE339" t="s">
        <v>219</v>
      </c>
      <c r="AG339" t="s">
        <v>121</v>
      </c>
      <c r="AH339" t="s">
        <v>327</v>
      </c>
      <c r="AI339" t="s">
        <v>121</v>
      </c>
      <c r="AJ339" t="s">
        <v>716</v>
      </c>
      <c r="AK339" t="s">
        <v>121</v>
      </c>
    </row>
    <row r="340" spans="9:37" x14ac:dyDescent="0.3">
      <c r="I340">
        <f ca="1">IF(OR(INDIRECT(A73&amp;ROW())=B93,INDIRECT(A73&amp;ROW())=B94),1,IF(AND(INDIRECT(A73&amp;ROW())=B95,INDIRECT(A96&amp;ROW())=C93),1,IF(AND(INDIRECT(A73&amp;ROW())=B95,INDIRECT(A96&amp;ROW())=C94),1,0)))</f>
        <v>0</v>
      </c>
      <c r="J340">
        <f ca="1">IF(AND(INDIRECT(A73&amp;ROW())=B95,INDIRECT(A96&amp;ROW())=C95),1,IF(AND(INDIRECT(A73&amp;ROW())=B95,INDIRECT(A96&amp;ROW())=C96),1,0))</f>
        <v>0</v>
      </c>
      <c r="K340">
        <f ca="1">DAYS360(INDIRECT(C68&amp;ROW()),TODAY())</f>
        <v>731</v>
      </c>
      <c r="L340">
        <f ca="1">DAYS360(INDIRECT(C69&amp;ROW()),TODAY())</f>
        <v>802</v>
      </c>
      <c r="M340">
        <f ca="1">HYPERLINK(CONCATENATE("https://bugzilla.houston.hp.com:1181/bugzilla/show_bug.cgi?id=",INDIRECT(C70&amp;ROW())),INDIRECT(C70&amp;ROW()))</f>
        <v>56952</v>
      </c>
      <c r="N340">
        <v>56952</v>
      </c>
      <c r="O340" t="s">
        <v>36</v>
      </c>
      <c r="P340" t="s">
        <v>967</v>
      </c>
      <c r="Q340" t="s">
        <v>16</v>
      </c>
      <c r="R340" t="s">
        <v>783</v>
      </c>
      <c r="S340" t="s">
        <v>552</v>
      </c>
      <c r="U340" s="6">
        <v>42115.664293981485</v>
      </c>
      <c r="V340" t="s">
        <v>18</v>
      </c>
      <c r="W340" t="s">
        <v>257</v>
      </c>
      <c r="X340" s="6">
        <v>42045.709467592591</v>
      </c>
      <c r="Y340" t="s">
        <v>122</v>
      </c>
      <c r="AB340" t="s">
        <v>200</v>
      </c>
      <c r="AC340" t="s">
        <v>121</v>
      </c>
      <c r="AD340" t="s">
        <v>227</v>
      </c>
      <c r="AE340" t="s">
        <v>226</v>
      </c>
      <c r="AG340" t="s">
        <v>121</v>
      </c>
      <c r="AH340" t="s">
        <v>64</v>
      </c>
      <c r="AI340" t="s">
        <v>121</v>
      </c>
      <c r="AJ340" t="s">
        <v>716</v>
      </c>
      <c r="AK340" t="s">
        <v>121</v>
      </c>
    </row>
    <row r="341" spans="9:37" x14ac:dyDescent="0.3">
      <c r="I341">
        <f ca="1">IF(OR(INDIRECT(A73&amp;ROW())=B93,INDIRECT(A73&amp;ROW())=B94),1,IF(AND(INDIRECT(A73&amp;ROW())=B95,INDIRECT(A96&amp;ROW())=C93),1,IF(AND(INDIRECT(A73&amp;ROW())=B95,INDIRECT(A96&amp;ROW())=C94),1,0)))</f>
        <v>1</v>
      </c>
      <c r="J341">
        <f ca="1">IF(AND(INDIRECT(A73&amp;ROW())=B95,INDIRECT(A96&amp;ROW())=C95),1,IF(AND(INDIRECT(A73&amp;ROW())=B95,INDIRECT(A96&amp;ROW())=C96),1,0))</f>
        <v>0</v>
      </c>
      <c r="K341">
        <f ca="1">DAYS360(INDIRECT(C68&amp;ROW()),TODAY())</f>
        <v>681</v>
      </c>
      <c r="L341">
        <f ca="1">DAYS360(INDIRECT(C69&amp;ROW()),TODAY())</f>
        <v>802</v>
      </c>
      <c r="M341">
        <f ca="1">HYPERLINK(CONCATENATE("https://bugzilla.houston.hp.com:1181/bugzilla/show_bug.cgi?id=",INDIRECT(C70&amp;ROW())),INDIRECT(C70&amp;ROW()))</f>
        <v>56954</v>
      </c>
      <c r="N341">
        <v>56954</v>
      </c>
      <c r="O341" t="s">
        <v>56</v>
      </c>
      <c r="P341" t="s">
        <v>621</v>
      </c>
      <c r="Q341" t="s">
        <v>25</v>
      </c>
      <c r="R341" t="s">
        <v>248</v>
      </c>
      <c r="S341" t="s">
        <v>552</v>
      </c>
      <c r="U341" s="6">
        <v>42166.257395833331</v>
      </c>
      <c r="V341" t="s">
        <v>18</v>
      </c>
      <c r="W341" t="s">
        <v>372</v>
      </c>
      <c r="X341" s="6">
        <v>42045.895844907405</v>
      </c>
      <c r="Y341" t="s">
        <v>122</v>
      </c>
      <c r="AB341" t="s">
        <v>200</v>
      </c>
      <c r="AC341" t="s">
        <v>247</v>
      </c>
      <c r="AD341" t="s">
        <v>220</v>
      </c>
      <c r="AE341" t="s">
        <v>219</v>
      </c>
      <c r="AG341" t="s">
        <v>121</v>
      </c>
      <c r="AH341" t="s">
        <v>327</v>
      </c>
      <c r="AI341" t="s">
        <v>121</v>
      </c>
      <c r="AJ341" t="s">
        <v>715</v>
      </c>
      <c r="AK341" t="s">
        <v>121</v>
      </c>
    </row>
    <row r="342" spans="9:37" x14ac:dyDescent="0.3">
      <c r="I342">
        <f ca="1">IF(OR(INDIRECT(A73&amp;ROW())=B93,INDIRECT(A73&amp;ROW())=B94),1,IF(AND(INDIRECT(A73&amp;ROW())=B95,INDIRECT(A96&amp;ROW())=C93),1,IF(AND(INDIRECT(A73&amp;ROW())=B95,INDIRECT(A96&amp;ROW())=C94),1,0)))</f>
        <v>0</v>
      </c>
      <c r="J342">
        <f ca="1">IF(AND(INDIRECT(A73&amp;ROW())=B95,INDIRECT(A96&amp;ROW())=C95),1,IF(AND(INDIRECT(A73&amp;ROW())=B95,INDIRECT(A96&amp;ROW())=C96),1,0))</f>
        <v>0</v>
      </c>
      <c r="K342">
        <f ca="1">DAYS360(INDIRECT(C68&amp;ROW()),TODAY())</f>
        <v>802</v>
      </c>
      <c r="L342">
        <f ca="1">DAYS360(INDIRECT(C69&amp;ROW()),TODAY())</f>
        <v>802</v>
      </c>
      <c r="M342">
        <f ca="1">HYPERLINK(CONCATENATE("https://bugzilla.houston.hp.com:1181/bugzilla/show_bug.cgi?id=",INDIRECT(C70&amp;ROW())),INDIRECT(C70&amp;ROW()))</f>
        <v>56955</v>
      </c>
      <c r="N342">
        <v>56955</v>
      </c>
      <c r="O342" t="s">
        <v>36</v>
      </c>
      <c r="P342" t="s">
        <v>620</v>
      </c>
      <c r="Q342" t="s">
        <v>16</v>
      </c>
      <c r="R342" t="s">
        <v>248</v>
      </c>
      <c r="S342" t="s">
        <v>552</v>
      </c>
      <c r="U342" s="6">
        <v>42045.940196759257</v>
      </c>
      <c r="V342" t="s">
        <v>18</v>
      </c>
      <c r="W342" t="s">
        <v>372</v>
      </c>
      <c r="X342" s="6">
        <v>42045.89640046296</v>
      </c>
      <c r="Y342" t="s">
        <v>787</v>
      </c>
      <c r="AB342" t="s">
        <v>200</v>
      </c>
      <c r="AC342" t="s">
        <v>247</v>
      </c>
      <c r="AD342" t="s">
        <v>227</v>
      </c>
      <c r="AE342" t="s">
        <v>237</v>
      </c>
      <c r="AG342" t="s">
        <v>121</v>
      </c>
      <c r="AH342" t="s">
        <v>327</v>
      </c>
      <c r="AI342" t="s">
        <v>121</v>
      </c>
      <c r="AJ342" t="s">
        <v>716</v>
      </c>
      <c r="AK342" t="s">
        <v>121</v>
      </c>
    </row>
    <row r="343" spans="9:37" x14ac:dyDescent="0.3">
      <c r="I343">
        <f ca="1">IF(OR(INDIRECT(A73&amp;ROW())=B93,INDIRECT(A73&amp;ROW())=B94),1,IF(AND(INDIRECT(A73&amp;ROW())=B95,INDIRECT(A96&amp;ROW())=C93),1,IF(AND(INDIRECT(A73&amp;ROW())=B95,INDIRECT(A96&amp;ROW())=C94),1,0)))</f>
        <v>0</v>
      </c>
      <c r="J343">
        <f ca="1">IF(AND(INDIRECT(A73&amp;ROW())=B95,INDIRECT(A96&amp;ROW())=C95),1,IF(AND(INDIRECT(A73&amp;ROW())=B95,INDIRECT(A96&amp;ROW())=C96),1,0))</f>
        <v>0</v>
      </c>
      <c r="K343">
        <f ca="1">DAYS360(INDIRECT(C68&amp;ROW()),TODAY())</f>
        <v>802</v>
      </c>
      <c r="L343">
        <f ca="1">DAYS360(INDIRECT(C69&amp;ROW()),TODAY())</f>
        <v>802</v>
      </c>
      <c r="M343">
        <f ca="1">HYPERLINK(CONCATENATE("https://bugzilla.houston.hp.com:1181/bugzilla/show_bug.cgi?id=",INDIRECT(C70&amp;ROW())),INDIRECT(C70&amp;ROW()))</f>
        <v>56957</v>
      </c>
      <c r="N343">
        <v>56957</v>
      </c>
      <c r="O343" t="s">
        <v>56</v>
      </c>
      <c r="P343" t="s">
        <v>619</v>
      </c>
      <c r="Q343" t="s">
        <v>16</v>
      </c>
      <c r="R343" t="s">
        <v>248</v>
      </c>
      <c r="S343" t="s">
        <v>552</v>
      </c>
      <c r="U343" s="6">
        <v>42045.940879629627</v>
      </c>
      <c r="V343" t="s">
        <v>18</v>
      </c>
      <c r="W343" t="s">
        <v>248</v>
      </c>
      <c r="X343" s="6">
        <v>42045.898831018516</v>
      </c>
      <c r="Y343" t="s">
        <v>124</v>
      </c>
      <c r="AB343" t="s">
        <v>200</v>
      </c>
      <c r="AC343" t="s">
        <v>247</v>
      </c>
      <c r="AD343" t="s">
        <v>220</v>
      </c>
      <c r="AE343" t="s">
        <v>219</v>
      </c>
      <c r="AG343" t="s">
        <v>121</v>
      </c>
      <c r="AH343" t="s">
        <v>327</v>
      </c>
      <c r="AI343" t="s">
        <v>121</v>
      </c>
      <c r="AJ343" t="s">
        <v>716</v>
      </c>
      <c r="AK343" t="s">
        <v>121</v>
      </c>
    </row>
    <row r="344" spans="9:37" x14ac:dyDescent="0.3">
      <c r="I344">
        <f ca="1">IF(OR(INDIRECT(A73&amp;ROW())=B93,INDIRECT(A73&amp;ROW())=B94),1,IF(AND(INDIRECT(A73&amp;ROW())=B95,INDIRECT(A96&amp;ROW())=C93),1,IF(AND(INDIRECT(A73&amp;ROW())=B95,INDIRECT(A96&amp;ROW())=C94),1,0)))</f>
        <v>0</v>
      </c>
      <c r="J344">
        <f ca="1">IF(AND(INDIRECT(A73&amp;ROW())=B95,INDIRECT(A96&amp;ROW())=C95),1,IF(AND(INDIRECT(A73&amp;ROW())=B95,INDIRECT(A96&amp;ROW())=C96),1,0))</f>
        <v>0</v>
      </c>
      <c r="K344">
        <f ca="1">DAYS360(INDIRECT(C68&amp;ROW()),TODAY())</f>
        <v>684</v>
      </c>
      <c r="L344">
        <f ca="1">DAYS360(INDIRECT(C69&amp;ROW()),TODAY())</f>
        <v>802</v>
      </c>
      <c r="M344">
        <f ca="1">HYPERLINK(CONCATENATE("https://bugzilla.houston.hp.com:1181/bugzilla/show_bug.cgi?id=",INDIRECT(C70&amp;ROW())),INDIRECT(C70&amp;ROW()))</f>
        <v>56960</v>
      </c>
      <c r="N344">
        <v>56960</v>
      </c>
      <c r="O344" t="s">
        <v>36</v>
      </c>
      <c r="P344" t="s">
        <v>618</v>
      </c>
      <c r="Q344" t="s">
        <v>16</v>
      </c>
      <c r="R344" t="s">
        <v>248</v>
      </c>
      <c r="S344" t="s">
        <v>552</v>
      </c>
      <c r="U344" s="6">
        <v>42163.610381944447</v>
      </c>
      <c r="V344" t="s">
        <v>18</v>
      </c>
      <c r="W344" t="s">
        <v>372</v>
      </c>
      <c r="X344" s="6">
        <v>42045.904224537036</v>
      </c>
      <c r="Y344" t="s">
        <v>245</v>
      </c>
      <c r="AB344" t="s">
        <v>200</v>
      </c>
      <c r="AC344" t="s">
        <v>247</v>
      </c>
      <c r="AD344" t="s">
        <v>222</v>
      </c>
      <c r="AE344" t="s">
        <v>225</v>
      </c>
      <c r="AG344" t="s">
        <v>121</v>
      </c>
      <c r="AH344" t="s">
        <v>327</v>
      </c>
      <c r="AI344" t="s">
        <v>121</v>
      </c>
      <c r="AJ344" t="s">
        <v>716</v>
      </c>
      <c r="AK344" t="s">
        <v>121</v>
      </c>
    </row>
    <row r="345" spans="9:37" x14ac:dyDescent="0.3">
      <c r="I345">
        <f ca="1">IF(OR(INDIRECT(A73&amp;ROW())=B93,INDIRECT(A73&amp;ROW())=B94),1,IF(AND(INDIRECT(A73&amp;ROW())=B95,INDIRECT(A96&amp;ROW())=C93),1,IF(AND(INDIRECT(A73&amp;ROW())=B95,INDIRECT(A96&amp;ROW())=C94),1,0)))</f>
        <v>0</v>
      </c>
      <c r="J345">
        <f ca="1">IF(AND(INDIRECT(A73&amp;ROW())=B95,INDIRECT(A96&amp;ROW())=C95),1,IF(AND(INDIRECT(A73&amp;ROW())=B95,INDIRECT(A96&amp;ROW())=C96),1,0))</f>
        <v>0</v>
      </c>
      <c r="K345">
        <f ca="1">DAYS360(INDIRECT(C68&amp;ROW()),TODAY())</f>
        <v>681</v>
      </c>
      <c r="L345">
        <f ca="1">DAYS360(INDIRECT(C69&amp;ROW()),TODAY())</f>
        <v>802</v>
      </c>
      <c r="M345">
        <f ca="1">HYPERLINK(CONCATENATE("https://bugzilla.houston.hp.com:1181/bugzilla/show_bug.cgi?id=",INDIRECT(C70&amp;ROW())),INDIRECT(C70&amp;ROW()))</f>
        <v>56964</v>
      </c>
      <c r="N345">
        <v>56964</v>
      </c>
      <c r="O345" t="s">
        <v>250</v>
      </c>
      <c r="P345" t="s">
        <v>617</v>
      </c>
      <c r="Q345" t="s">
        <v>16</v>
      </c>
      <c r="R345" t="s">
        <v>248</v>
      </c>
      <c r="S345" t="s">
        <v>552</v>
      </c>
      <c r="U345" s="6">
        <v>42166.356516203705</v>
      </c>
      <c r="V345" t="s">
        <v>18</v>
      </c>
      <c r="W345" t="s">
        <v>17</v>
      </c>
      <c r="X345" s="6">
        <v>42045.907905092594</v>
      </c>
      <c r="Y345" t="s">
        <v>255</v>
      </c>
      <c r="AB345" t="s">
        <v>200</v>
      </c>
      <c r="AC345" t="s">
        <v>247</v>
      </c>
      <c r="AD345" t="s">
        <v>220</v>
      </c>
      <c r="AE345" t="s">
        <v>219</v>
      </c>
      <c r="AG345" t="s">
        <v>121</v>
      </c>
      <c r="AH345" t="s">
        <v>327</v>
      </c>
      <c r="AI345" t="s">
        <v>121</v>
      </c>
      <c r="AJ345" t="s">
        <v>716</v>
      </c>
      <c r="AK345" t="s">
        <v>121</v>
      </c>
    </row>
    <row r="346" spans="9:37" x14ac:dyDescent="0.3">
      <c r="I346">
        <f ca="1">IF(OR(INDIRECT(A73&amp;ROW())=B93,INDIRECT(A73&amp;ROW())=B94),1,IF(AND(INDIRECT(A73&amp;ROW())=B95,INDIRECT(A96&amp;ROW())=C93),1,IF(AND(INDIRECT(A73&amp;ROW())=B95,INDIRECT(A96&amp;ROW())=C94),1,0)))</f>
        <v>0</v>
      </c>
      <c r="J346">
        <f ca="1">IF(AND(INDIRECT(A73&amp;ROW())=B95,INDIRECT(A96&amp;ROW())=C95),1,IF(AND(INDIRECT(A73&amp;ROW())=B95,INDIRECT(A96&amp;ROW())=C96),1,0))</f>
        <v>0</v>
      </c>
      <c r="K346">
        <f ca="1">DAYS360(INDIRECT(C68&amp;ROW()),TODAY())</f>
        <v>721</v>
      </c>
      <c r="L346">
        <f ca="1">DAYS360(INDIRECT(C69&amp;ROW()),TODAY())</f>
        <v>802</v>
      </c>
      <c r="M346">
        <f ca="1">HYPERLINK(CONCATENATE("https://bugzilla.houston.hp.com:1181/bugzilla/show_bug.cgi?id=",INDIRECT(C70&amp;ROW())),INDIRECT(C70&amp;ROW()))</f>
        <v>56965</v>
      </c>
      <c r="N346">
        <v>56965</v>
      </c>
      <c r="O346" t="s">
        <v>21</v>
      </c>
      <c r="P346" t="s">
        <v>616</v>
      </c>
      <c r="Q346" t="s">
        <v>16</v>
      </c>
      <c r="R346" t="s">
        <v>248</v>
      </c>
      <c r="S346" t="s">
        <v>552</v>
      </c>
      <c r="U346" s="6">
        <v>42125.672951388886</v>
      </c>
      <c r="V346" t="s">
        <v>18</v>
      </c>
      <c r="W346" t="s">
        <v>372</v>
      </c>
      <c r="X346" s="6">
        <v>42045.909050925926</v>
      </c>
      <c r="Y346" t="s">
        <v>255</v>
      </c>
      <c r="AB346" t="s">
        <v>200</v>
      </c>
      <c r="AC346" t="s">
        <v>247</v>
      </c>
      <c r="AD346" t="s">
        <v>222</v>
      </c>
      <c r="AE346" t="s">
        <v>240</v>
      </c>
      <c r="AG346" t="s">
        <v>121</v>
      </c>
      <c r="AH346" t="s">
        <v>327</v>
      </c>
      <c r="AI346" t="s">
        <v>121</v>
      </c>
      <c r="AJ346" t="s">
        <v>716</v>
      </c>
      <c r="AK346" t="s">
        <v>121</v>
      </c>
    </row>
    <row r="347" spans="9:37" x14ac:dyDescent="0.3">
      <c r="I347">
        <f ca="1">IF(OR(INDIRECT(A73&amp;ROW())=B93,INDIRECT(A73&amp;ROW())=B94),1,IF(AND(INDIRECT(A73&amp;ROW())=B95,INDIRECT(A96&amp;ROW())=C93),1,IF(AND(INDIRECT(A73&amp;ROW())=B95,INDIRECT(A96&amp;ROW())=C94),1,0)))</f>
        <v>0</v>
      </c>
      <c r="J347">
        <f ca="1">IF(AND(INDIRECT(A73&amp;ROW())=B95,INDIRECT(A96&amp;ROW())=C95),1,IF(AND(INDIRECT(A73&amp;ROW())=B95,INDIRECT(A96&amp;ROW())=C96),1,0))</f>
        <v>0</v>
      </c>
      <c r="K347">
        <f ca="1">DAYS360(INDIRECT(C68&amp;ROW()),TODAY())</f>
        <v>721</v>
      </c>
      <c r="L347">
        <f ca="1">DAYS360(INDIRECT(C69&amp;ROW()),TODAY())</f>
        <v>802</v>
      </c>
      <c r="M347">
        <f ca="1">HYPERLINK(CONCATENATE("https://bugzilla.houston.hp.com:1181/bugzilla/show_bug.cgi?id=",INDIRECT(C70&amp;ROW())),INDIRECT(C70&amp;ROW()))</f>
        <v>56966</v>
      </c>
      <c r="N347">
        <v>56966</v>
      </c>
      <c r="O347" t="s">
        <v>59</v>
      </c>
      <c r="P347" t="s">
        <v>507</v>
      </c>
      <c r="Q347" t="s">
        <v>16</v>
      </c>
      <c r="R347" t="s">
        <v>248</v>
      </c>
      <c r="S347" t="s">
        <v>552</v>
      </c>
      <c r="U347" s="6">
        <v>42125.664664351854</v>
      </c>
      <c r="V347" t="s">
        <v>18</v>
      </c>
      <c r="W347" t="s">
        <v>258</v>
      </c>
      <c r="X347" s="6">
        <v>42045.910405092596</v>
      </c>
      <c r="Y347" t="s">
        <v>122</v>
      </c>
      <c r="AB347" t="s">
        <v>201</v>
      </c>
      <c r="AC347" t="s">
        <v>247</v>
      </c>
      <c r="AD347" t="s">
        <v>222</v>
      </c>
      <c r="AE347" t="s">
        <v>240</v>
      </c>
      <c r="AG347" t="s">
        <v>121</v>
      </c>
      <c r="AH347" t="s">
        <v>327</v>
      </c>
      <c r="AI347" t="s">
        <v>121</v>
      </c>
      <c r="AJ347" t="s">
        <v>717</v>
      </c>
      <c r="AK347" t="s">
        <v>121</v>
      </c>
    </row>
    <row r="348" spans="9:37" x14ac:dyDescent="0.3">
      <c r="I348">
        <f ca="1">IF(OR(INDIRECT(A73&amp;ROW())=B93,INDIRECT(A73&amp;ROW())=B94),1,IF(AND(INDIRECT(A73&amp;ROW())=B95,INDIRECT(A96&amp;ROW())=C93),1,IF(AND(INDIRECT(A73&amp;ROW())=B95,INDIRECT(A96&amp;ROW())=C94),1,0)))</f>
        <v>0</v>
      </c>
      <c r="J348">
        <f ca="1">IF(AND(INDIRECT(A73&amp;ROW())=B95,INDIRECT(A96&amp;ROW())=C95),1,IF(AND(INDIRECT(A73&amp;ROW())=B95,INDIRECT(A96&amp;ROW())=C96),1,0))</f>
        <v>0</v>
      </c>
      <c r="K348">
        <f ca="1">DAYS360(INDIRECT(C68&amp;ROW()),TODAY())</f>
        <v>721</v>
      </c>
      <c r="L348">
        <f ca="1">DAYS360(INDIRECT(C69&amp;ROW()),TODAY())</f>
        <v>802</v>
      </c>
      <c r="M348">
        <f ca="1">HYPERLINK(CONCATENATE("https://bugzilla.houston.hp.com:1181/bugzilla/show_bug.cgi?id=",INDIRECT(C70&amp;ROW())),INDIRECT(C70&amp;ROW()))</f>
        <v>56967</v>
      </c>
      <c r="N348">
        <v>56967</v>
      </c>
      <c r="O348" t="s">
        <v>56</v>
      </c>
      <c r="P348" t="s">
        <v>615</v>
      </c>
      <c r="Q348" t="s">
        <v>16</v>
      </c>
      <c r="R348" t="s">
        <v>248</v>
      </c>
      <c r="S348" t="s">
        <v>552</v>
      </c>
      <c r="U348" s="6">
        <v>42125.449629629627</v>
      </c>
      <c r="V348" t="s">
        <v>18</v>
      </c>
      <c r="W348" t="s">
        <v>343</v>
      </c>
      <c r="X348" s="6">
        <v>42045.912534722222</v>
      </c>
      <c r="Y348" t="s">
        <v>122</v>
      </c>
      <c r="AB348" t="s">
        <v>201</v>
      </c>
      <c r="AC348" t="s">
        <v>247</v>
      </c>
      <c r="AD348" t="s">
        <v>220</v>
      </c>
      <c r="AE348" t="s">
        <v>219</v>
      </c>
      <c r="AG348" t="s">
        <v>121</v>
      </c>
      <c r="AH348" t="s">
        <v>327</v>
      </c>
      <c r="AI348" t="s">
        <v>121</v>
      </c>
      <c r="AJ348" t="s">
        <v>717</v>
      </c>
      <c r="AK348" t="s">
        <v>121</v>
      </c>
    </row>
    <row r="349" spans="9:37" x14ac:dyDescent="0.3">
      <c r="I349">
        <f ca="1">IF(OR(INDIRECT(A73&amp;ROW())=B93,INDIRECT(A73&amp;ROW())=B94),1,IF(AND(INDIRECT(A73&amp;ROW())=B95,INDIRECT(A96&amp;ROW())=C93),1,IF(AND(INDIRECT(A73&amp;ROW())=B95,INDIRECT(A96&amp;ROW())=C94),1,0)))</f>
        <v>0</v>
      </c>
      <c r="J349">
        <f ca="1">IF(AND(INDIRECT(A73&amp;ROW())=B95,INDIRECT(A96&amp;ROW())=C95),1,IF(AND(INDIRECT(A73&amp;ROW())=B95,INDIRECT(A96&amp;ROW())=C96),1,0))</f>
        <v>0</v>
      </c>
      <c r="K349">
        <f ca="1">DAYS360(INDIRECT(C68&amp;ROW()),TODAY())</f>
        <v>681</v>
      </c>
      <c r="L349">
        <f ca="1">DAYS360(INDIRECT(C69&amp;ROW()),TODAY())</f>
        <v>802</v>
      </c>
      <c r="M349">
        <f ca="1">HYPERLINK(CONCATENATE("https://bugzilla.houston.hp.com:1181/bugzilla/show_bug.cgi?id=",INDIRECT(C70&amp;ROW())),INDIRECT(C70&amp;ROW()))</f>
        <v>56968</v>
      </c>
      <c r="N349">
        <v>56968</v>
      </c>
      <c r="O349" t="s">
        <v>56</v>
      </c>
      <c r="P349" t="s">
        <v>614</v>
      </c>
      <c r="Q349" t="s">
        <v>16</v>
      </c>
      <c r="R349" t="s">
        <v>248</v>
      </c>
      <c r="S349" t="s">
        <v>552</v>
      </c>
      <c r="U349" s="6">
        <v>42166.355405092596</v>
      </c>
      <c r="V349" t="s">
        <v>18</v>
      </c>
      <c r="W349" t="s">
        <v>341</v>
      </c>
      <c r="X349" s="6">
        <v>42045.915069444447</v>
      </c>
      <c r="Y349" t="s">
        <v>787</v>
      </c>
      <c r="AB349" t="s">
        <v>199</v>
      </c>
      <c r="AC349" t="s">
        <v>247</v>
      </c>
      <c r="AD349" t="s">
        <v>220</v>
      </c>
      <c r="AE349" t="s">
        <v>219</v>
      </c>
      <c r="AG349" t="s">
        <v>588</v>
      </c>
      <c r="AH349" t="s">
        <v>327</v>
      </c>
      <c r="AI349" t="s">
        <v>121</v>
      </c>
      <c r="AJ349" t="s">
        <v>716</v>
      </c>
      <c r="AK349" t="s">
        <v>121</v>
      </c>
    </row>
    <row r="350" spans="9:37" x14ac:dyDescent="0.3">
      <c r="I350">
        <f ca="1">IF(OR(INDIRECT(A73&amp;ROW())=B93,INDIRECT(A73&amp;ROW())=B94),1,IF(AND(INDIRECT(A73&amp;ROW())=B95,INDIRECT(A96&amp;ROW())=C93),1,IF(AND(INDIRECT(A73&amp;ROW())=B95,INDIRECT(A96&amp;ROW())=C94),1,0)))</f>
        <v>0</v>
      </c>
      <c r="J350">
        <f ca="1">IF(AND(INDIRECT(A73&amp;ROW())=B95,INDIRECT(A96&amp;ROW())=C95),1,IF(AND(INDIRECT(A73&amp;ROW())=B95,INDIRECT(A96&amp;ROW())=C96),1,0))</f>
        <v>0</v>
      </c>
      <c r="K350">
        <f ca="1">DAYS360(INDIRECT(C68&amp;ROW()),TODAY())</f>
        <v>721</v>
      </c>
      <c r="L350">
        <f ca="1">DAYS360(INDIRECT(C69&amp;ROW()),TODAY())</f>
        <v>802</v>
      </c>
      <c r="M350">
        <f ca="1">HYPERLINK(CONCATENATE("https://bugzilla.houston.hp.com:1181/bugzilla/show_bug.cgi?id=",INDIRECT(C70&amp;ROW())),INDIRECT(C70&amp;ROW()))</f>
        <v>56969</v>
      </c>
      <c r="N350">
        <v>56969</v>
      </c>
      <c r="O350" t="s">
        <v>56</v>
      </c>
      <c r="P350" t="s">
        <v>613</v>
      </c>
      <c r="Q350" t="s">
        <v>16</v>
      </c>
      <c r="R350" t="s">
        <v>248</v>
      </c>
      <c r="S350" t="s">
        <v>552</v>
      </c>
      <c r="U350" s="6">
        <v>42125.449675925927</v>
      </c>
      <c r="V350" t="s">
        <v>18</v>
      </c>
      <c r="W350" t="s">
        <v>372</v>
      </c>
      <c r="X350" s="6">
        <v>42045.918634259258</v>
      </c>
      <c r="Y350" t="s">
        <v>122</v>
      </c>
      <c r="AB350" t="s">
        <v>200</v>
      </c>
      <c r="AC350" t="s">
        <v>247</v>
      </c>
      <c r="AD350" t="s">
        <v>220</v>
      </c>
      <c r="AE350" t="s">
        <v>219</v>
      </c>
      <c r="AG350" t="s">
        <v>121</v>
      </c>
      <c r="AH350" t="s">
        <v>327</v>
      </c>
      <c r="AI350" t="s">
        <v>121</v>
      </c>
      <c r="AJ350" t="s">
        <v>716</v>
      </c>
      <c r="AK350" t="s">
        <v>121</v>
      </c>
    </row>
    <row r="351" spans="9:37" x14ac:dyDescent="0.3">
      <c r="I351">
        <f ca="1">IF(OR(INDIRECT(A73&amp;ROW())=B93,INDIRECT(A73&amp;ROW())=B94),1,IF(AND(INDIRECT(A73&amp;ROW())=B95,INDIRECT(A96&amp;ROW())=C93),1,IF(AND(INDIRECT(A73&amp;ROW())=B95,INDIRECT(A96&amp;ROW())=C94),1,0)))</f>
        <v>0</v>
      </c>
      <c r="J351">
        <f ca="1">IF(AND(INDIRECT(A73&amp;ROW())=B95,INDIRECT(A96&amp;ROW())=C95),1,IF(AND(INDIRECT(A73&amp;ROW())=B95,INDIRECT(A96&amp;ROW())=C96),1,0))</f>
        <v>0</v>
      </c>
      <c r="K351">
        <f ca="1">DAYS360(INDIRECT(C68&amp;ROW()),TODAY())</f>
        <v>681</v>
      </c>
      <c r="L351">
        <f ca="1">DAYS360(INDIRECT(C69&amp;ROW()),TODAY())</f>
        <v>802</v>
      </c>
      <c r="M351">
        <f ca="1">HYPERLINK(CONCATENATE("https://bugzilla.houston.hp.com:1181/bugzilla/show_bug.cgi?id=",INDIRECT(C70&amp;ROW())),INDIRECT(C70&amp;ROW()))</f>
        <v>56987</v>
      </c>
      <c r="N351">
        <v>56987</v>
      </c>
      <c r="O351" t="s">
        <v>56</v>
      </c>
      <c r="P351" t="s">
        <v>612</v>
      </c>
      <c r="Q351" t="s">
        <v>16</v>
      </c>
      <c r="R351" t="s">
        <v>248</v>
      </c>
      <c r="S351" t="s">
        <v>552</v>
      </c>
      <c r="U351" s="6">
        <v>42166.356261574074</v>
      </c>
      <c r="V351" t="s">
        <v>18</v>
      </c>
      <c r="W351" t="s">
        <v>372</v>
      </c>
      <c r="X351" s="6">
        <v>42045.956643518519</v>
      </c>
      <c r="Y351" t="s">
        <v>119</v>
      </c>
      <c r="AB351" t="s">
        <v>199</v>
      </c>
      <c r="AC351" t="s">
        <v>247</v>
      </c>
      <c r="AD351" t="s">
        <v>220</v>
      </c>
      <c r="AE351" t="s">
        <v>219</v>
      </c>
      <c r="AG351" t="s">
        <v>121</v>
      </c>
      <c r="AH351" t="s">
        <v>327</v>
      </c>
      <c r="AI351" t="s">
        <v>121</v>
      </c>
      <c r="AJ351" t="s">
        <v>716</v>
      </c>
      <c r="AK351" t="s">
        <v>121</v>
      </c>
    </row>
    <row r="352" spans="9:37" x14ac:dyDescent="0.3">
      <c r="I352">
        <f ca="1">IF(OR(INDIRECT(A73&amp;ROW())=B93,INDIRECT(A73&amp;ROW())=B94),1,IF(AND(INDIRECT(A73&amp;ROW())=B95,INDIRECT(A96&amp;ROW())=C93),1,IF(AND(INDIRECT(A73&amp;ROW())=B95,INDIRECT(A96&amp;ROW())=C94),1,0)))</f>
        <v>0</v>
      </c>
      <c r="J352">
        <f ca="1">IF(AND(INDIRECT(A73&amp;ROW())=B95,INDIRECT(A96&amp;ROW())=C95),1,IF(AND(INDIRECT(A73&amp;ROW())=B95,INDIRECT(A96&amp;ROW())=C96),1,0))</f>
        <v>0</v>
      </c>
      <c r="K352">
        <f ca="1">DAYS360(INDIRECT(C68&amp;ROW()),TODAY())</f>
        <v>721</v>
      </c>
      <c r="L352">
        <f ca="1">DAYS360(INDIRECT(C69&amp;ROW()),TODAY())</f>
        <v>801</v>
      </c>
      <c r="M352">
        <f ca="1">HYPERLINK(CONCATENATE("https://bugzilla.houston.hp.com:1181/bugzilla/show_bug.cgi?id=",INDIRECT(C70&amp;ROW())),INDIRECT(C70&amp;ROW()))</f>
        <v>56993</v>
      </c>
      <c r="N352">
        <v>56993</v>
      </c>
      <c r="O352" t="s">
        <v>36</v>
      </c>
      <c r="P352" t="s">
        <v>611</v>
      </c>
      <c r="Q352" t="s">
        <v>16</v>
      </c>
      <c r="R352" t="s">
        <v>248</v>
      </c>
      <c r="S352" t="s">
        <v>552</v>
      </c>
      <c r="U352" s="6">
        <v>42125.443865740737</v>
      </c>
      <c r="V352" t="s">
        <v>18</v>
      </c>
      <c r="W352" t="s">
        <v>211</v>
      </c>
      <c r="X352" s="6">
        <v>42046.006435185183</v>
      </c>
      <c r="Y352" t="s">
        <v>122</v>
      </c>
      <c r="AB352" t="s">
        <v>201</v>
      </c>
      <c r="AC352" t="s">
        <v>121</v>
      </c>
      <c r="AD352" t="s">
        <v>222</v>
      </c>
      <c r="AE352" t="s">
        <v>233</v>
      </c>
      <c r="AG352" t="s">
        <v>121</v>
      </c>
      <c r="AH352" t="s">
        <v>64</v>
      </c>
      <c r="AI352" t="s">
        <v>121</v>
      </c>
      <c r="AJ352" t="s">
        <v>717</v>
      </c>
      <c r="AK352" t="s">
        <v>121</v>
      </c>
    </row>
    <row r="353" spans="9:37" x14ac:dyDescent="0.3">
      <c r="I353">
        <f ca="1">IF(OR(INDIRECT(A73&amp;ROW())=B93,INDIRECT(A73&amp;ROW())=B94),1,IF(AND(INDIRECT(A73&amp;ROW())=B95,INDIRECT(A96&amp;ROW())=C93),1,IF(AND(INDIRECT(A73&amp;ROW())=B95,INDIRECT(A96&amp;ROW())=C94),1,0)))</f>
        <v>0</v>
      </c>
      <c r="J353">
        <f ca="1">IF(AND(INDIRECT(A73&amp;ROW())=B95,INDIRECT(A96&amp;ROW())=C95),1,IF(AND(INDIRECT(A73&amp;ROW())=B95,INDIRECT(A96&amp;ROW())=C96),1,0))</f>
        <v>0</v>
      </c>
      <c r="K353">
        <f ca="1">DAYS360(INDIRECT(C68&amp;ROW()),TODAY())</f>
        <v>729</v>
      </c>
      <c r="L353">
        <f ca="1">DAYS360(INDIRECT(C69&amp;ROW()),TODAY())</f>
        <v>801</v>
      </c>
      <c r="M353">
        <f ca="1">HYPERLINK(CONCATENATE("https://bugzilla.houston.hp.com:1181/bugzilla/show_bug.cgi?id=",INDIRECT(C70&amp;ROW())),INDIRECT(C70&amp;ROW()))</f>
        <v>57016</v>
      </c>
      <c r="N353">
        <v>57016</v>
      </c>
      <c r="O353" t="s">
        <v>241</v>
      </c>
      <c r="P353" t="s">
        <v>737</v>
      </c>
      <c r="Q353" t="s">
        <v>16</v>
      </c>
      <c r="R353" t="s">
        <v>251</v>
      </c>
      <c r="S353" t="s">
        <v>523</v>
      </c>
      <c r="U353" s="6">
        <v>42117.405578703707</v>
      </c>
      <c r="V353" t="s">
        <v>18</v>
      </c>
      <c r="W353" t="s">
        <v>17</v>
      </c>
      <c r="X353" s="6">
        <v>42046.158449074072</v>
      </c>
      <c r="Y353" t="s">
        <v>119</v>
      </c>
      <c r="AB353" t="s">
        <v>200</v>
      </c>
      <c r="AC353" t="s">
        <v>247</v>
      </c>
      <c r="AD353" t="s">
        <v>227</v>
      </c>
      <c r="AE353" t="s">
        <v>226</v>
      </c>
      <c r="AG353" t="s">
        <v>121</v>
      </c>
      <c r="AH353" t="s">
        <v>327</v>
      </c>
      <c r="AI353" t="s">
        <v>121</v>
      </c>
      <c r="AJ353" t="s">
        <v>716</v>
      </c>
      <c r="AK353" t="s">
        <v>121</v>
      </c>
    </row>
    <row r="354" spans="9:37" x14ac:dyDescent="0.3">
      <c r="I354">
        <f ca="1">IF(OR(INDIRECT(A73&amp;ROW())=B93,INDIRECT(A73&amp;ROW())=B94),1,IF(AND(INDIRECT(A73&amp;ROW())=B95,INDIRECT(A96&amp;ROW())=C93),1,IF(AND(INDIRECT(A73&amp;ROW())=B95,INDIRECT(A96&amp;ROW())=C94),1,0)))</f>
        <v>0</v>
      </c>
      <c r="J354">
        <f ca="1">IF(AND(INDIRECT(A73&amp;ROW())=B95,INDIRECT(A96&amp;ROW())=C95),1,IF(AND(INDIRECT(A73&amp;ROW())=B95,INDIRECT(A96&amp;ROW())=C96),1,0))</f>
        <v>0</v>
      </c>
      <c r="K354">
        <f ca="1">DAYS360(INDIRECT(C68&amp;ROW()),TODAY())</f>
        <v>792</v>
      </c>
      <c r="L354">
        <f ca="1">DAYS360(INDIRECT(C69&amp;ROW()),TODAY())</f>
        <v>801</v>
      </c>
      <c r="M354">
        <f ca="1">HYPERLINK(CONCATENATE("https://bugzilla.houston.hp.com:1181/bugzilla/show_bug.cgi?id=",INDIRECT(C70&amp;ROW())),INDIRECT(C70&amp;ROW()))</f>
        <v>57043</v>
      </c>
      <c r="N354">
        <v>57043</v>
      </c>
      <c r="O354" t="s">
        <v>241</v>
      </c>
      <c r="P354" t="s">
        <v>736</v>
      </c>
      <c r="Q354" t="s">
        <v>16</v>
      </c>
      <c r="R354" t="s">
        <v>248</v>
      </c>
      <c r="S354" t="s">
        <v>552</v>
      </c>
      <c r="U354" s="6">
        <v>42055.65824074074</v>
      </c>
      <c r="V354" t="s">
        <v>18</v>
      </c>
      <c r="W354" t="s">
        <v>576</v>
      </c>
      <c r="X354" s="6">
        <v>42046.50708333333</v>
      </c>
      <c r="Y354" t="s">
        <v>119</v>
      </c>
      <c r="AB354" t="s">
        <v>200</v>
      </c>
      <c r="AC354" t="s">
        <v>247</v>
      </c>
      <c r="AD354" t="s">
        <v>227</v>
      </c>
      <c r="AE354" t="s">
        <v>226</v>
      </c>
      <c r="AG354" t="s">
        <v>121</v>
      </c>
      <c r="AH354" t="s">
        <v>327</v>
      </c>
      <c r="AI354" t="s">
        <v>121</v>
      </c>
      <c r="AJ354" t="s">
        <v>716</v>
      </c>
      <c r="AK354" t="s">
        <v>121</v>
      </c>
    </row>
    <row r="355" spans="9:37" x14ac:dyDescent="0.3">
      <c r="I355">
        <f ca="1">IF(OR(INDIRECT(A73&amp;ROW())=B93,INDIRECT(A73&amp;ROW())=B94),1,IF(AND(INDIRECT(A73&amp;ROW())=B95,INDIRECT(A96&amp;ROW())=C93),1,IF(AND(INDIRECT(A73&amp;ROW())=B95,INDIRECT(A96&amp;ROW())=C94),1,0)))</f>
        <v>0</v>
      </c>
      <c r="J355">
        <f ca="1">IF(AND(INDIRECT(A73&amp;ROW())=B95,INDIRECT(A96&amp;ROW())=C95),1,IF(AND(INDIRECT(A73&amp;ROW())=B95,INDIRECT(A96&amp;ROW())=C96),1,0))</f>
        <v>0</v>
      </c>
      <c r="K355">
        <f ca="1">DAYS360(INDIRECT(C68&amp;ROW()),TODAY())</f>
        <v>801</v>
      </c>
      <c r="L355">
        <f ca="1">DAYS360(INDIRECT(C69&amp;ROW()),TODAY())</f>
        <v>801</v>
      </c>
      <c r="M355">
        <f ca="1">HYPERLINK(CONCATENATE("https://bugzilla.houston.hp.com:1181/bugzilla/show_bug.cgi?id=",INDIRECT(C70&amp;ROW())),INDIRECT(C70&amp;ROW()))</f>
        <v>57044</v>
      </c>
      <c r="N355">
        <v>57044</v>
      </c>
      <c r="O355" t="s">
        <v>56</v>
      </c>
      <c r="P355" t="s">
        <v>735</v>
      </c>
      <c r="Q355" t="s">
        <v>16</v>
      </c>
      <c r="R355" t="s">
        <v>248</v>
      </c>
      <c r="S355" t="s">
        <v>552</v>
      </c>
      <c r="U355" s="6">
        <v>42046.507962962962</v>
      </c>
      <c r="V355" t="s">
        <v>18</v>
      </c>
      <c r="W355" t="s">
        <v>173</v>
      </c>
      <c r="X355" s="6">
        <v>42046.507372685184</v>
      </c>
      <c r="Y355" t="s">
        <v>122</v>
      </c>
      <c r="AB355" t="s">
        <v>201</v>
      </c>
      <c r="AC355" t="s">
        <v>247</v>
      </c>
      <c r="AD355" t="s">
        <v>220</v>
      </c>
      <c r="AE355" t="s">
        <v>219</v>
      </c>
      <c r="AG355" t="s">
        <v>121</v>
      </c>
      <c r="AH355" t="s">
        <v>327</v>
      </c>
      <c r="AI355" t="s">
        <v>121</v>
      </c>
      <c r="AJ355" t="s">
        <v>717</v>
      </c>
      <c r="AK355" t="s">
        <v>121</v>
      </c>
    </row>
    <row r="356" spans="9:37" x14ac:dyDescent="0.3">
      <c r="I356">
        <f ca="1">IF(OR(INDIRECT(A73&amp;ROW())=B93,INDIRECT(A73&amp;ROW())=B94),1,IF(AND(INDIRECT(A73&amp;ROW())=B95,INDIRECT(A96&amp;ROW())=C93),1,IF(AND(INDIRECT(A73&amp;ROW())=B95,INDIRECT(A96&amp;ROW())=C94),1,0)))</f>
        <v>0</v>
      </c>
      <c r="J356">
        <f ca="1">IF(AND(INDIRECT(A73&amp;ROW())=B95,INDIRECT(A96&amp;ROW())=C95),1,IF(AND(INDIRECT(A73&amp;ROW())=B95,INDIRECT(A96&amp;ROW())=C96),1,0))</f>
        <v>1</v>
      </c>
      <c r="K356">
        <f ca="1">DAYS360(INDIRECT(C68&amp;ROW()),TODAY())</f>
        <v>681</v>
      </c>
      <c r="L356">
        <f ca="1">DAYS360(INDIRECT(C69&amp;ROW()),TODAY())</f>
        <v>801</v>
      </c>
      <c r="M356">
        <f ca="1">HYPERLINK(CONCATENATE("https://bugzilla.houston.hp.com:1181/bugzilla/show_bug.cgi?id=",INDIRECT(C70&amp;ROW())),INDIRECT(C70&amp;ROW()))</f>
        <v>57045</v>
      </c>
      <c r="N356">
        <v>57045</v>
      </c>
      <c r="O356" t="s">
        <v>56</v>
      </c>
      <c r="P356" t="s">
        <v>734</v>
      </c>
      <c r="Q356" t="s">
        <v>25</v>
      </c>
      <c r="R356" t="s">
        <v>248</v>
      </c>
      <c r="S356" t="s">
        <v>552</v>
      </c>
      <c r="U356" s="6">
        <v>42166.35497685185</v>
      </c>
      <c r="V356" t="s">
        <v>18</v>
      </c>
      <c r="W356" t="s">
        <v>514</v>
      </c>
      <c r="X356" s="6">
        <v>42046.528171296297</v>
      </c>
      <c r="Y356" t="s">
        <v>535</v>
      </c>
      <c r="AB356" t="s">
        <v>201</v>
      </c>
      <c r="AC356" t="s">
        <v>247</v>
      </c>
      <c r="AD356" t="s">
        <v>220</v>
      </c>
      <c r="AE356" t="s">
        <v>219</v>
      </c>
      <c r="AG356" t="s">
        <v>121</v>
      </c>
      <c r="AH356" t="s">
        <v>327</v>
      </c>
      <c r="AI356" t="s">
        <v>121</v>
      </c>
      <c r="AJ356" t="s">
        <v>716</v>
      </c>
      <c r="AK356" t="s">
        <v>121</v>
      </c>
    </row>
    <row r="357" spans="9:37" x14ac:dyDescent="0.3">
      <c r="I357">
        <f ca="1">IF(OR(INDIRECT(A73&amp;ROW())=B93,INDIRECT(A73&amp;ROW())=B94),1,IF(AND(INDIRECT(A73&amp;ROW())=B95,INDIRECT(A96&amp;ROW())=C93),1,IF(AND(INDIRECT(A73&amp;ROW())=B95,INDIRECT(A96&amp;ROW())=C94),1,0)))</f>
        <v>0</v>
      </c>
      <c r="J357">
        <f ca="1">IF(AND(INDIRECT(A73&amp;ROW())=B95,INDIRECT(A96&amp;ROW())=C95),1,IF(AND(INDIRECT(A73&amp;ROW())=B95,INDIRECT(A96&amp;ROW())=C96),1,0))</f>
        <v>1</v>
      </c>
      <c r="K357">
        <f ca="1">DAYS360(INDIRECT(C68&amp;ROW()),TODAY())</f>
        <v>681</v>
      </c>
      <c r="L357">
        <f ca="1">DAYS360(INDIRECT(C69&amp;ROW()),TODAY())</f>
        <v>801</v>
      </c>
      <c r="M357">
        <f ca="1">HYPERLINK(CONCATENATE("https://bugzilla.houston.hp.com:1181/bugzilla/show_bug.cgi?id=",INDIRECT(C70&amp;ROW())),INDIRECT(C70&amp;ROW()))</f>
        <v>57048</v>
      </c>
      <c r="N357">
        <v>57048</v>
      </c>
      <c r="O357" t="s">
        <v>56</v>
      </c>
      <c r="P357" t="s">
        <v>733</v>
      </c>
      <c r="Q357" t="s">
        <v>25</v>
      </c>
      <c r="R357" t="s">
        <v>248</v>
      </c>
      <c r="S357" t="s">
        <v>552</v>
      </c>
      <c r="U357" s="6">
        <v>42166.355069444442</v>
      </c>
      <c r="V357" t="s">
        <v>18</v>
      </c>
      <c r="W357" t="s">
        <v>525</v>
      </c>
      <c r="X357" s="6">
        <v>42046.529097222221</v>
      </c>
      <c r="Y357" t="s">
        <v>255</v>
      </c>
      <c r="AB357" t="s">
        <v>201</v>
      </c>
      <c r="AC357" t="s">
        <v>247</v>
      </c>
      <c r="AD357" t="s">
        <v>220</v>
      </c>
      <c r="AE357" t="s">
        <v>219</v>
      </c>
      <c r="AG357" t="s">
        <v>121</v>
      </c>
      <c r="AH357" t="s">
        <v>327</v>
      </c>
      <c r="AI357" t="s">
        <v>121</v>
      </c>
      <c r="AJ357" t="s">
        <v>716</v>
      </c>
      <c r="AK357" t="s">
        <v>121</v>
      </c>
    </row>
    <row r="358" spans="9:37" x14ac:dyDescent="0.3">
      <c r="I358">
        <f ca="1">IF(OR(INDIRECT(A73&amp;ROW())=B93,INDIRECT(A73&amp;ROW())=B94),1,IF(AND(INDIRECT(A73&amp;ROW())=B95,INDIRECT(A96&amp;ROW())=C93),1,IF(AND(INDIRECT(A73&amp;ROW())=B95,INDIRECT(A96&amp;ROW())=C94),1,0)))</f>
        <v>0</v>
      </c>
      <c r="J358">
        <f ca="1">IF(AND(INDIRECT(A73&amp;ROW())=B95,INDIRECT(A96&amp;ROW())=C95),1,IF(AND(INDIRECT(A73&amp;ROW())=B95,INDIRECT(A96&amp;ROW())=C96),1,0))</f>
        <v>0</v>
      </c>
      <c r="K358">
        <f ca="1">DAYS360(INDIRECT(C68&amp;ROW()),TODAY())</f>
        <v>801</v>
      </c>
      <c r="L358">
        <f ca="1">DAYS360(INDIRECT(C69&amp;ROW()),TODAY())</f>
        <v>801</v>
      </c>
      <c r="M358">
        <f ca="1">HYPERLINK(CONCATENATE("https://bugzilla.houston.hp.com:1181/bugzilla/show_bug.cgi?id=",INDIRECT(C70&amp;ROW())),INDIRECT(C70&amp;ROW()))</f>
        <v>57050</v>
      </c>
      <c r="N358">
        <v>57050</v>
      </c>
      <c r="O358" t="s">
        <v>36</v>
      </c>
      <c r="P358" t="s">
        <v>732</v>
      </c>
      <c r="Q358" t="s">
        <v>16</v>
      </c>
      <c r="R358" t="s">
        <v>248</v>
      </c>
      <c r="S358" t="s">
        <v>552</v>
      </c>
      <c r="U358" s="6">
        <v>42046.538854166669</v>
      </c>
      <c r="V358" t="s">
        <v>18</v>
      </c>
      <c r="W358" t="s">
        <v>248</v>
      </c>
      <c r="X358" s="6">
        <v>42046.529687499999</v>
      </c>
      <c r="Y358" t="s">
        <v>786</v>
      </c>
      <c r="AB358" t="s">
        <v>201</v>
      </c>
      <c r="AC358" t="s">
        <v>247</v>
      </c>
      <c r="AD358" t="s">
        <v>227</v>
      </c>
      <c r="AE358" t="s">
        <v>226</v>
      </c>
      <c r="AG358" t="s">
        <v>121</v>
      </c>
      <c r="AH358" t="s">
        <v>327</v>
      </c>
      <c r="AI358" t="s">
        <v>121</v>
      </c>
      <c r="AJ358" t="s">
        <v>717</v>
      </c>
      <c r="AK358" t="s">
        <v>121</v>
      </c>
    </row>
    <row r="359" spans="9:37" x14ac:dyDescent="0.3">
      <c r="I359">
        <f ca="1">IF(OR(INDIRECT(A73&amp;ROW())=B93,INDIRECT(A73&amp;ROW())=B94),1,IF(AND(INDIRECT(A73&amp;ROW())=B95,INDIRECT(A96&amp;ROW())=C93),1,IF(AND(INDIRECT(A73&amp;ROW())=B95,INDIRECT(A96&amp;ROW())=C94),1,0)))</f>
        <v>0</v>
      </c>
      <c r="J359">
        <f ca="1">IF(AND(INDIRECT(A73&amp;ROW())=B95,INDIRECT(A96&amp;ROW())=C95),1,IF(AND(INDIRECT(A73&amp;ROW())=B95,INDIRECT(A96&amp;ROW())=C96),1,0))</f>
        <v>0</v>
      </c>
      <c r="K359">
        <f ca="1">DAYS360(INDIRECT(C68&amp;ROW()),TODAY())</f>
        <v>769</v>
      </c>
      <c r="L359">
        <f ca="1">DAYS360(INDIRECT(C69&amp;ROW()),TODAY())</f>
        <v>801</v>
      </c>
      <c r="M359">
        <f ca="1">HYPERLINK(CONCATENATE("https://bugzilla.houston.hp.com:1181/bugzilla/show_bug.cgi?id=",INDIRECT(C70&amp;ROW())),INDIRECT(C70&amp;ROW()))</f>
        <v>57052</v>
      </c>
      <c r="N359">
        <v>57052</v>
      </c>
      <c r="O359" t="s">
        <v>56</v>
      </c>
      <c r="P359" t="s">
        <v>731</v>
      </c>
      <c r="Q359" t="s">
        <v>16</v>
      </c>
      <c r="R359" t="s">
        <v>248</v>
      </c>
      <c r="S359" t="s">
        <v>552</v>
      </c>
      <c r="U359" s="6">
        <v>42076.532280092593</v>
      </c>
      <c r="V359" t="s">
        <v>18</v>
      </c>
      <c r="W359" t="s">
        <v>248</v>
      </c>
      <c r="X359" s="6">
        <v>42046.530289351853</v>
      </c>
      <c r="Y359" t="s">
        <v>118</v>
      </c>
      <c r="AB359" t="s">
        <v>199</v>
      </c>
      <c r="AC359" t="s">
        <v>247</v>
      </c>
      <c r="AD359" t="s">
        <v>220</v>
      </c>
      <c r="AE359" t="s">
        <v>219</v>
      </c>
      <c r="AG359" t="s">
        <v>121</v>
      </c>
      <c r="AH359" t="s">
        <v>327</v>
      </c>
      <c r="AI359" t="s">
        <v>121</v>
      </c>
      <c r="AJ359" t="s">
        <v>716</v>
      </c>
      <c r="AK359" t="s">
        <v>121</v>
      </c>
    </row>
    <row r="360" spans="9:37" x14ac:dyDescent="0.3">
      <c r="I360">
        <f ca="1">IF(OR(INDIRECT(A73&amp;ROW())=B93,INDIRECT(A73&amp;ROW())=B94),1,IF(AND(INDIRECT(A73&amp;ROW())=B95,INDIRECT(A96&amp;ROW())=C93),1,IF(AND(INDIRECT(A73&amp;ROW())=B95,INDIRECT(A96&amp;ROW())=C94),1,0)))</f>
        <v>0</v>
      </c>
      <c r="J360">
        <f ca="1">IF(AND(INDIRECT(A73&amp;ROW())=B95,INDIRECT(A96&amp;ROW())=C95),1,IF(AND(INDIRECT(A73&amp;ROW())=B95,INDIRECT(A96&amp;ROW())=C96),1,0))</f>
        <v>0</v>
      </c>
      <c r="K360">
        <f ca="1">DAYS360(INDIRECT(C68&amp;ROW()),TODAY())</f>
        <v>801</v>
      </c>
      <c r="L360">
        <f ca="1">DAYS360(INDIRECT(C69&amp;ROW()),TODAY())</f>
        <v>801</v>
      </c>
      <c r="M360">
        <f ca="1">HYPERLINK(CONCATENATE("https://bugzilla.houston.hp.com:1181/bugzilla/show_bug.cgi?id=",INDIRECT(C70&amp;ROW())),INDIRECT(C70&amp;ROW()))</f>
        <v>57054</v>
      </c>
      <c r="N360">
        <v>57054</v>
      </c>
      <c r="O360" t="s">
        <v>56</v>
      </c>
      <c r="P360" t="s">
        <v>730</v>
      </c>
      <c r="Q360" t="s">
        <v>16</v>
      </c>
      <c r="R360" t="s">
        <v>248</v>
      </c>
      <c r="S360" t="s">
        <v>552</v>
      </c>
      <c r="U360" s="6">
        <v>42046.54010416667</v>
      </c>
      <c r="V360" t="s">
        <v>18</v>
      </c>
      <c r="W360" t="s">
        <v>343</v>
      </c>
      <c r="X360" s="6">
        <v>42046.532210648147</v>
      </c>
      <c r="Y360" t="s">
        <v>246</v>
      </c>
      <c r="AB360" t="s">
        <v>200</v>
      </c>
      <c r="AC360" t="s">
        <v>247</v>
      </c>
      <c r="AD360" t="s">
        <v>220</v>
      </c>
      <c r="AE360" t="s">
        <v>219</v>
      </c>
      <c r="AG360" t="s">
        <v>121</v>
      </c>
      <c r="AH360" t="s">
        <v>327</v>
      </c>
      <c r="AI360" t="s">
        <v>121</v>
      </c>
      <c r="AJ360" t="s">
        <v>716</v>
      </c>
      <c r="AK360" t="s">
        <v>121</v>
      </c>
    </row>
    <row r="361" spans="9:37" x14ac:dyDescent="0.3">
      <c r="I361">
        <f ca="1">IF(OR(INDIRECT(A73&amp;ROW())=B93,INDIRECT(A73&amp;ROW())=B94),1,IF(AND(INDIRECT(A73&amp;ROW())=B95,INDIRECT(A96&amp;ROW())=C93),1,IF(AND(INDIRECT(A73&amp;ROW())=B95,INDIRECT(A96&amp;ROW())=C94),1,0)))</f>
        <v>0</v>
      </c>
      <c r="J361">
        <f ca="1">IF(AND(INDIRECT(A73&amp;ROW())=B95,INDIRECT(A96&amp;ROW())=C95),1,IF(AND(INDIRECT(A73&amp;ROW())=B95,INDIRECT(A96&amp;ROW())=C96),1,0))</f>
        <v>1</v>
      </c>
      <c r="K361">
        <f ca="1">DAYS360(INDIRECT(C68&amp;ROW()),TODAY())</f>
        <v>801</v>
      </c>
      <c r="L361">
        <f ca="1">DAYS360(INDIRECT(C69&amp;ROW()),TODAY())</f>
        <v>801</v>
      </c>
      <c r="M361">
        <f ca="1">HYPERLINK(CONCATENATE("https://bugzilla.houston.hp.com:1181/bugzilla/show_bug.cgi?id=",INDIRECT(C70&amp;ROW())),INDIRECT(C70&amp;ROW()))</f>
        <v>57055</v>
      </c>
      <c r="N361">
        <v>57055</v>
      </c>
      <c r="O361" t="s">
        <v>56</v>
      </c>
      <c r="P361" t="s">
        <v>729</v>
      </c>
      <c r="Q361" t="s">
        <v>25</v>
      </c>
      <c r="R361" t="s">
        <v>248</v>
      </c>
      <c r="S361" t="s">
        <v>552</v>
      </c>
      <c r="U361" s="6">
        <v>42046.577997685185</v>
      </c>
      <c r="V361" t="s">
        <v>18</v>
      </c>
      <c r="W361" t="s">
        <v>288</v>
      </c>
      <c r="X361" s="6">
        <v>42046.533553240741</v>
      </c>
      <c r="Y361" t="s">
        <v>119</v>
      </c>
      <c r="AB361" t="s">
        <v>201</v>
      </c>
      <c r="AC361" t="s">
        <v>121</v>
      </c>
      <c r="AD361" t="s">
        <v>220</v>
      </c>
      <c r="AE361" t="s">
        <v>219</v>
      </c>
      <c r="AF361" s="13">
        <v>41901</v>
      </c>
      <c r="AG361" t="s">
        <v>121</v>
      </c>
      <c r="AH361" t="s">
        <v>64</v>
      </c>
      <c r="AI361" t="s">
        <v>363</v>
      </c>
      <c r="AJ361" t="s">
        <v>716</v>
      </c>
      <c r="AK361" t="s">
        <v>121</v>
      </c>
    </row>
    <row r="362" spans="9:37" x14ac:dyDescent="0.3">
      <c r="I362">
        <f ca="1">IF(OR(INDIRECT(A73&amp;ROW())=B93,INDIRECT(A73&amp;ROW())=B94),1,IF(AND(INDIRECT(A73&amp;ROW())=B95,INDIRECT(A96&amp;ROW())=C93),1,IF(AND(INDIRECT(A73&amp;ROW())=B95,INDIRECT(A96&amp;ROW())=C94),1,0)))</f>
        <v>1</v>
      </c>
      <c r="J362">
        <f ca="1">IF(AND(INDIRECT(A73&amp;ROW())=B95,INDIRECT(A96&amp;ROW())=C95),1,IF(AND(INDIRECT(A73&amp;ROW())=B95,INDIRECT(A96&amp;ROW())=C96),1,0))</f>
        <v>0</v>
      </c>
      <c r="K362">
        <f ca="1">DAYS360(INDIRECT(C68&amp;ROW()),TODAY())</f>
        <v>800</v>
      </c>
      <c r="L362">
        <f ca="1">DAYS360(INDIRECT(C69&amp;ROW()),TODAY())</f>
        <v>801</v>
      </c>
      <c r="M362">
        <f ca="1">HYPERLINK(CONCATENATE("https://bugzilla.houston.hp.com:1181/bugzilla/show_bug.cgi?id=",INDIRECT(C70&amp;ROW())),INDIRECT(C70&amp;ROW()))</f>
        <v>57057</v>
      </c>
      <c r="N362">
        <v>57057</v>
      </c>
      <c r="O362" t="s">
        <v>36</v>
      </c>
      <c r="P362" t="s">
        <v>728</v>
      </c>
      <c r="Q362" t="s">
        <v>25</v>
      </c>
      <c r="R362" t="s">
        <v>248</v>
      </c>
      <c r="S362" t="s">
        <v>552</v>
      </c>
      <c r="U362" s="6">
        <v>42047.953125</v>
      </c>
      <c r="V362" t="s">
        <v>18</v>
      </c>
      <c r="W362" t="s">
        <v>260</v>
      </c>
      <c r="X362" s="6">
        <v>42046.534212962964</v>
      </c>
      <c r="Y362" t="s">
        <v>119</v>
      </c>
      <c r="AB362" t="s">
        <v>200</v>
      </c>
      <c r="AC362" t="s">
        <v>121</v>
      </c>
      <c r="AD362" t="s">
        <v>222</v>
      </c>
      <c r="AE362" t="s">
        <v>233</v>
      </c>
      <c r="AF362" s="13">
        <v>41878</v>
      </c>
      <c r="AG362" t="s">
        <v>121</v>
      </c>
      <c r="AH362" t="s">
        <v>64</v>
      </c>
      <c r="AI362" t="s">
        <v>362</v>
      </c>
      <c r="AJ362" t="s">
        <v>715</v>
      </c>
      <c r="AK362" t="s">
        <v>121</v>
      </c>
    </row>
    <row r="363" spans="9:37" x14ac:dyDescent="0.3">
      <c r="I363">
        <f ca="1">IF(OR(INDIRECT(A73&amp;ROW())=B93,INDIRECT(A73&amp;ROW())=B94),1,IF(AND(INDIRECT(A73&amp;ROW())=B95,INDIRECT(A96&amp;ROW())=C93),1,IF(AND(INDIRECT(A73&amp;ROW())=B95,INDIRECT(A96&amp;ROW())=C94),1,0)))</f>
        <v>0</v>
      </c>
      <c r="J363">
        <f ca="1">IF(AND(INDIRECT(A73&amp;ROW())=B95,INDIRECT(A96&amp;ROW())=C95),1,IF(AND(INDIRECT(A73&amp;ROW())=B95,INDIRECT(A96&amp;ROW())=C96),1,0))</f>
        <v>0</v>
      </c>
      <c r="K363">
        <f ca="1">DAYS360(INDIRECT(C68&amp;ROW()),TODAY())</f>
        <v>721</v>
      </c>
      <c r="L363">
        <f ca="1">DAYS360(INDIRECT(C69&amp;ROW()),TODAY())</f>
        <v>801</v>
      </c>
      <c r="M363">
        <f ca="1">HYPERLINK(CONCATENATE("https://bugzilla.houston.hp.com:1181/bugzilla/show_bug.cgi?id=",INDIRECT(C70&amp;ROW())),INDIRECT(C70&amp;ROW()))</f>
        <v>57058</v>
      </c>
      <c r="N363">
        <v>57058</v>
      </c>
      <c r="O363" t="s">
        <v>56</v>
      </c>
      <c r="P363" t="s">
        <v>727</v>
      </c>
      <c r="Q363" t="s">
        <v>16</v>
      </c>
      <c r="R363" t="s">
        <v>248</v>
      </c>
      <c r="S363" t="s">
        <v>552</v>
      </c>
      <c r="U363" s="6">
        <v>42125.447685185187</v>
      </c>
      <c r="V363" t="s">
        <v>18</v>
      </c>
      <c r="W363" t="s">
        <v>343</v>
      </c>
      <c r="X363" s="6">
        <v>42046.534537037034</v>
      </c>
      <c r="Y363" t="s">
        <v>122</v>
      </c>
      <c r="AB363" t="s">
        <v>201</v>
      </c>
      <c r="AC363" t="s">
        <v>247</v>
      </c>
      <c r="AD363" t="s">
        <v>220</v>
      </c>
      <c r="AE363" t="s">
        <v>219</v>
      </c>
      <c r="AG363" t="s">
        <v>121</v>
      </c>
      <c r="AH363" t="s">
        <v>327</v>
      </c>
      <c r="AI363" t="s">
        <v>121</v>
      </c>
      <c r="AJ363" t="s">
        <v>717</v>
      </c>
      <c r="AK363" t="s">
        <v>121</v>
      </c>
    </row>
    <row r="364" spans="9:37" x14ac:dyDescent="0.3">
      <c r="I364">
        <f ca="1">IF(OR(INDIRECT(A73&amp;ROW())=B93,INDIRECT(A73&amp;ROW())=B94),1,IF(AND(INDIRECT(A73&amp;ROW())=B95,INDIRECT(A96&amp;ROW())=C93),1,IF(AND(INDIRECT(A73&amp;ROW())=B95,INDIRECT(A96&amp;ROW())=C94),1,0)))</f>
        <v>0</v>
      </c>
      <c r="J364">
        <f ca="1">IF(AND(INDIRECT(A73&amp;ROW())=B95,INDIRECT(A96&amp;ROW())=C95),1,IF(AND(INDIRECT(A73&amp;ROW())=B95,INDIRECT(A96&amp;ROW())=C96),1,0))</f>
        <v>0</v>
      </c>
      <c r="K364">
        <f ca="1">DAYS360(INDIRECT(C68&amp;ROW()),TODAY())</f>
        <v>721</v>
      </c>
      <c r="L364">
        <f ca="1">DAYS360(INDIRECT(C69&amp;ROW()),TODAY())</f>
        <v>801</v>
      </c>
      <c r="M364">
        <f ca="1">HYPERLINK(CONCATENATE("https://bugzilla.houston.hp.com:1181/bugzilla/show_bug.cgi?id=",INDIRECT(C70&amp;ROW())),INDIRECT(C70&amp;ROW()))</f>
        <v>57061</v>
      </c>
      <c r="N364">
        <v>57061</v>
      </c>
      <c r="O364" t="s">
        <v>56</v>
      </c>
      <c r="P364" t="s">
        <v>726</v>
      </c>
      <c r="Q364" t="s">
        <v>16</v>
      </c>
      <c r="R364" t="s">
        <v>248</v>
      </c>
      <c r="S364" t="s">
        <v>552</v>
      </c>
      <c r="U364" s="6">
        <v>42125.443958333337</v>
      </c>
      <c r="V364" t="s">
        <v>18</v>
      </c>
      <c r="W364" t="s">
        <v>355</v>
      </c>
      <c r="X364" s="6">
        <v>42046.535856481481</v>
      </c>
      <c r="Y364" t="s">
        <v>122</v>
      </c>
      <c r="AB364" t="s">
        <v>200</v>
      </c>
      <c r="AC364" t="s">
        <v>121</v>
      </c>
      <c r="AD364" t="s">
        <v>220</v>
      </c>
      <c r="AE364" t="s">
        <v>219</v>
      </c>
      <c r="AG364" t="s">
        <v>121</v>
      </c>
      <c r="AH364" t="s">
        <v>327</v>
      </c>
      <c r="AI364" t="s">
        <v>121</v>
      </c>
      <c r="AJ364" t="s">
        <v>716</v>
      </c>
      <c r="AK364" t="s">
        <v>121</v>
      </c>
    </row>
    <row r="365" spans="9:37" x14ac:dyDescent="0.3">
      <c r="I365">
        <f ca="1">IF(OR(INDIRECT(A73&amp;ROW())=B93,INDIRECT(A73&amp;ROW())=B94),1,IF(AND(INDIRECT(A73&amp;ROW())=B95,INDIRECT(A96&amp;ROW())=C93),1,IF(AND(INDIRECT(A73&amp;ROW())=B95,INDIRECT(A96&amp;ROW())=C94),1,0)))</f>
        <v>0</v>
      </c>
      <c r="J365">
        <f ca="1">IF(AND(INDIRECT(A73&amp;ROW())=B95,INDIRECT(A96&amp;ROW())=C95),1,IF(AND(INDIRECT(A73&amp;ROW())=B95,INDIRECT(A96&amp;ROW())=C96),1,0))</f>
        <v>0</v>
      </c>
      <c r="K365">
        <f ca="1">DAYS360(INDIRECT(C68&amp;ROW()),TODAY())</f>
        <v>721</v>
      </c>
      <c r="L365">
        <f ca="1">DAYS360(INDIRECT(C69&amp;ROW()),TODAY())</f>
        <v>801</v>
      </c>
      <c r="M365">
        <f ca="1">HYPERLINK(CONCATENATE("https://bugzilla.houston.hp.com:1181/bugzilla/show_bug.cgi?id=",INDIRECT(C70&amp;ROW())),INDIRECT(C70&amp;ROW()))</f>
        <v>57062</v>
      </c>
      <c r="N365">
        <v>57062</v>
      </c>
      <c r="O365" t="s">
        <v>56</v>
      </c>
      <c r="P365" t="s">
        <v>725</v>
      </c>
      <c r="Q365" t="s">
        <v>16</v>
      </c>
      <c r="R365" t="s">
        <v>248</v>
      </c>
      <c r="S365" t="s">
        <v>552</v>
      </c>
      <c r="U365" s="6">
        <v>42125.443865740737</v>
      </c>
      <c r="V365" t="s">
        <v>18</v>
      </c>
      <c r="W365" t="s">
        <v>215</v>
      </c>
      <c r="X365" s="6">
        <v>42046.536157407405</v>
      </c>
      <c r="Y365" t="s">
        <v>122</v>
      </c>
      <c r="AB365" t="s">
        <v>200</v>
      </c>
      <c r="AC365" t="s">
        <v>247</v>
      </c>
      <c r="AD365" t="s">
        <v>220</v>
      </c>
      <c r="AE365" t="s">
        <v>219</v>
      </c>
      <c r="AG365" t="s">
        <v>121</v>
      </c>
      <c r="AH365" t="s">
        <v>327</v>
      </c>
      <c r="AI365" t="s">
        <v>121</v>
      </c>
      <c r="AJ365" t="s">
        <v>716</v>
      </c>
      <c r="AK365" t="s">
        <v>121</v>
      </c>
    </row>
    <row r="366" spans="9:37" x14ac:dyDescent="0.3">
      <c r="I366">
        <f ca="1">IF(OR(INDIRECT(A73&amp;ROW())=B93,INDIRECT(A73&amp;ROW())=B94),1,IF(AND(INDIRECT(A73&amp;ROW())=B95,INDIRECT(A96&amp;ROW())=C93),1,IF(AND(INDIRECT(A73&amp;ROW())=B95,INDIRECT(A96&amp;ROW())=C94),1,0)))</f>
        <v>0</v>
      </c>
      <c r="J366">
        <f ca="1">IF(AND(INDIRECT(A73&amp;ROW())=B95,INDIRECT(A96&amp;ROW())=C95),1,IF(AND(INDIRECT(A73&amp;ROW())=B95,INDIRECT(A96&amp;ROW())=C96),1,0))</f>
        <v>0</v>
      </c>
      <c r="K366">
        <f ca="1">DAYS360(INDIRECT(C68&amp;ROW()),TODAY())</f>
        <v>684</v>
      </c>
      <c r="L366">
        <f ca="1">DAYS360(INDIRECT(C69&amp;ROW()),TODAY())</f>
        <v>801</v>
      </c>
      <c r="M366">
        <f ca="1">HYPERLINK(CONCATENATE("https://bugzilla.houston.hp.com:1181/bugzilla/show_bug.cgi?id=",INDIRECT(C70&amp;ROW())),INDIRECT(C70&amp;ROW()))</f>
        <v>57063</v>
      </c>
      <c r="N366">
        <v>57063</v>
      </c>
      <c r="O366" t="s">
        <v>56</v>
      </c>
      <c r="P366" t="s">
        <v>724</v>
      </c>
      <c r="Q366" t="s">
        <v>16</v>
      </c>
      <c r="R366" t="s">
        <v>248</v>
      </c>
      <c r="S366" t="s">
        <v>552</v>
      </c>
      <c r="T366" t="s">
        <v>842</v>
      </c>
      <c r="U366" s="6">
        <v>42163.610300925924</v>
      </c>
      <c r="V366" t="s">
        <v>18</v>
      </c>
      <c r="W366" t="s">
        <v>248</v>
      </c>
      <c r="X366" s="6">
        <v>42046.541284722225</v>
      </c>
      <c r="Y366" t="s">
        <v>785</v>
      </c>
      <c r="AB366" t="s">
        <v>200</v>
      </c>
      <c r="AC366" t="s">
        <v>247</v>
      </c>
      <c r="AD366" t="s">
        <v>220</v>
      </c>
      <c r="AE366" t="s">
        <v>219</v>
      </c>
      <c r="AG366" t="s">
        <v>121</v>
      </c>
      <c r="AH366" t="s">
        <v>327</v>
      </c>
      <c r="AI366" t="s">
        <v>121</v>
      </c>
      <c r="AJ366" t="s">
        <v>716</v>
      </c>
      <c r="AK366" t="s">
        <v>121</v>
      </c>
    </row>
    <row r="367" spans="9:37" x14ac:dyDescent="0.3">
      <c r="I367">
        <f ca="1">IF(OR(INDIRECT(A73&amp;ROW())=B93,INDIRECT(A73&amp;ROW())=B94),1,IF(AND(INDIRECT(A73&amp;ROW())=B95,INDIRECT(A96&amp;ROW())=C93),1,IF(AND(INDIRECT(A73&amp;ROW())=B95,INDIRECT(A96&amp;ROW())=C94),1,0)))</f>
        <v>1</v>
      </c>
      <c r="J367">
        <f ca="1">IF(AND(INDIRECT(A73&amp;ROW())=B95,INDIRECT(A96&amp;ROW())=C95),1,IF(AND(INDIRECT(A73&amp;ROW())=B95,INDIRECT(A96&amp;ROW())=C96),1,0))</f>
        <v>0</v>
      </c>
      <c r="K367">
        <f ca="1">DAYS360(INDIRECT(C68&amp;ROW()),TODAY())</f>
        <v>682</v>
      </c>
      <c r="L367">
        <f ca="1">DAYS360(INDIRECT(C69&amp;ROW()),TODAY())</f>
        <v>801</v>
      </c>
      <c r="M367">
        <f ca="1">HYPERLINK(CONCATENATE("https://bugzilla.houston.hp.com:1181/bugzilla/show_bug.cgi?id=",INDIRECT(C70&amp;ROW())),INDIRECT(C70&amp;ROW()))</f>
        <v>57072</v>
      </c>
      <c r="N367">
        <v>57072</v>
      </c>
      <c r="O367" t="s">
        <v>241</v>
      </c>
      <c r="P367" t="s">
        <v>723</v>
      </c>
      <c r="Q367" t="s">
        <v>39</v>
      </c>
      <c r="R367" t="s">
        <v>251</v>
      </c>
      <c r="S367" t="s">
        <v>24</v>
      </c>
      <c r="U367" s="6">
        <v>42165.359467592592</v>
      </c>
      <c r="V367" t="s">
        <v>18</v>
      </c>
      <c r="W367" t="s">
        <v>17</v>
      </c>
      <c r="X367" s="6">
        <v>42046.616006944445</v>
      </c>
      <c r="Y367" t="s">
        <v>535</v>
      </c>
      <c r="AB367" t="s">
        <v>201</v>
      </c>
      <c r="AC367" t="s">
        <v>247</v>
      </c>
      <c r="AD367" t="s">
        <v>222</v>
      </c>
      <c r="AE367" t="s">
        <v>221</v>
      </c>
      <c r="AG367" t="s">
        <v>121</v>
      </c>
      <c r="AH367" t="s">
        <v>327</v>
      </c>
      <c r="AI367" t="s">
        <v>121</v>
      </c>
      <c r="AJ367" t="s">
        <v>715</v>
      </c>
      <c r="AK367" t="s">
        <v>121</v>
      </c>
    </row>
    <row r="368" spans="9:37" x14ac:dyDescent="0.3">
      <c r="I368">
        <f ca="1">IF(OR(INDIRECT(A73&amp;ROW())=B93,INDIRECT(A73&amp;ROW())=B94),1,IF(AND(INDIRECT(A73&amp;ROW())=B95,INDIRECT(A96&amp;ROW())=C93),1,IF(AND(INDIRECT(A73&amp;ROW())=B95,INDIRECT(A96&amp;ROW())=C94),1,0)))</f>
        <v>1</v>
      </c>
      <c r="J368">
        <f ca="1">IF(AND(INDIRECT(A73&amp;ROW())=B95,INDIRECT(A96&amp;ROW())=C95),1,IF(AND(INDIRECT(A73&amp;ROW())=B95,INDIRECT(A96&amp;ROW())=C96),1,0))</f>
        <v>0</v>
      </c>
      <c r="K368">
        <f ca="1">DAYS360(INDIRECT(C68&amp;ROW()),TODAY())</f>
        <v>735</v>
      </c>
      <c r="L368">
        <f ca="1">DAYS360(INDIRECT(C69&amp;ROW()),TODAY())</f>
        <v>801</v>
      </c>
      <c r="M368">
        <f ca="1">HYPERLINK(CONCATENATE("https://bugzilla.houston.hp.com:1181/bugzilla/show_bug.cgi?id=",INDIRECT(C70&amp;ROW())),INDIRECT(C70&amp;ROW()))</f>
        <v>57075</v>
      </c>
      <c r="N368">
        <v>57075</v>
      </c>
      <c r="O368" t="s">
        <v>241</v>
      </c>
      <c r="P368" t="s">
        <v>722</v>
      </c>
      <c r="Q368" t="s">
        <v>39</v>
      </c>
      <c r="R368" t="s">
        <v>579</v>
      </c>
      <c r="S368" t="s">
        <v>552</v>
      </c>
      <c r="T368" t="s">
        <v>820</v>
      </c>
      <c r="U368" s="6">
        <v>42111.525648148148</v>
      </c>
      <c r="V368" t="s">
        <v>40</v>
      </c>
      <c r="W368" t="s">
        <v>576</v>
      </c>
      <c r="X368" s="6">
        <v>42046.66238425926</v>
      </c>
      <c r="Y368" t="s">
        <v>535</v>
      </c>
      <c r="AB368" t="s">
        <v>201</v>
      </c>
      <c r="AC368" t="s">
        <v>247</v>
      </c>
      <c r="AD368" t="s">
        <v>227</v>
      </c>
      <c r="AE368" t="s">
        <v>237</v>
      </c>
      <c r="AG368" t="s">
        <v>121</v>
      </c>
      <c r="AH368" t="s">
        <v>327</v>
      </c>
      <c r="AI368" t="s">
        <v>362</v>
      </c>
      <c r="AJ368" t="s">
        <v>715</v>
      </c>
      <c r="AK368" t="s">
        <v>121</v>
      </c>
    </row>
    <row r="369" spans="9:37" x14ac:dyDescent="0.3">
      <c r="I369">
        <f ca="1">IF(OR(INDIRECT(A73&amp;ROW())=B93,INDIRECT(A73&amp;ROW())=B94),1,IF(AND(INDIRECT(A73&amp;ROW())=B95,INDIRECT(A96&amp;ROW())=C93),1,IF(AND(INDIRECT(A73&amp;ROW())=B95,INDIRECT(A96&amp;ROW())=C94),1,0)))</f>
        <v>1</v>
      </c>
      <c r="J369">
        <f ca="1">IF(AND(INDIRECT(A73&amp;ROW())=B95,INDIRECT(A96&amp;ROW())=C95),1,IF(AND(INDIRECT(A73&amp;ROW())=B95,INDIRECT(A96&amp;ROW())=C96),1,0))</f>
        <v>0</v>
      </c>
      <c r="K369">
        <f ca="1">DAYS360(INDIRECT(C68&amp;ROW()),TODAY())</f>
        <v>764</v>
      </c>
      <c r="L369">
        <f ca="1">DAYS360(INDIRECT(C69&amp;ROW()),TODAY())</f>
        <v>801</v>
      </c>
      <c r="M369">
        <f ca="1">HYPERLINK(CONCATENATE("https://bugzilla.houston.hp.com:1181/bugzilla/show_bug.cgi?id=",INDIRECT(C70&amp;ROW())),INDIRECT(C70&amp;ROW()))</f>
        <v>57076</v>
      </c>
      <c r="N369">
        <v>57076</v>
      </c>
      <c r="O369" t="s">
        <v>241</v>
      </c>
      <c r="P369" t="s">
        <v>721</v>
      </c>
      <c r="Q369" t="s">
        <v>39</v>
      </c>
      <c r="R369" t="s">
        <v>248</v>
      </c>
      <c r="S369" t="s">
        <v>552</v>
      </c>
      <c r="U369" s="6">
        <v>42081.529675925929</v>
      </c>
      <c r="V369" t="s">
        <v>40</v>
      </c>
      <c r="W369" t="s">
        <v>248</v>
      </c>
      <c r="X369" s="6">
        <v>42046.666458333333</v>
      </c>
      <c r="Y369" t="s">
        <v>535</v>
      </c>
      <c r="AB369" t="s">
        <v>201</v>
      </c>
      <c r="AC369" t="s">
        <v>247</v>
      </c>
      <c r="AD369" t="s">
        <v>227</v>
      </c>
      <c r="AE369" t="s">
        <v>237</v>
      </c>
      <c r="AG369" t="s">
        <v>121</v>
      </c>
      <c r="AH369" t="s">
        <v>327</v>
      </c>
      <c r="AI369" t="s">
        <v>121</v>
      </c>
      <c r="AJ369" t="s">
        <v>715</v>
      </c>
      <c r="AK369" t="s">
        <v>121</v>
      </c>
    </row>
    <row r="370" spans="9:37" x14ac:dyDescent="0.3">
      <c r="I370">
        <f ca="1">IF(OR(INDIRECT(A73&amp;ROW())=B93,INDIRECT(A73&amp;ROW())=B94),1,IF(AND(INDIRECT(A73&amp;ROW())=B95,INDIRECT(A96&amp;ROW())=C93),1,IF(AND(INDIRECT(A73&amp;ROW())=B95,INDIRECT(A96&amp;ROW())=C94),1,0)))</f>
        <v>1</v>
      </c>
      <c r="J370">
        <f ca="1">IF(AND(INDIRECT(A73&amp;ROW())=B95,INDIRECT(A96&amp;ROW())=C95),1,IF(AND(INDIRECT(A73&amp;ROW())=B95,INDIRECT(A96&amp;ROW())=C96),1,0))</f>
        <v>0</v>
      </c>
      <c r="K370">
        <f ca="1">DAYS360(INDIRECT(C68&amp;ROW()),TODAY())</f>
        <v>681</v>
      </c>
      <c r="L370">
        <f ca="1">DAYS360(INDIRECT(C69&amp;ROW()),TODAY())</f>
        <v>800</v>
      </c>
      <c r="M370">
        <f ca="1">HYPERLINK(CONCATENATE("https://bugzilla.houston.hp.com:1181/bugzilla/show_bug.cgi?id=",INDIRECT(C70&amp;ROW())),INDIRECT(C70&amp;ROW()))</f>
        <v>57153</v>
      </c>
      <c r="N370">
        <v>57153</v>
      </c>
      <c r="O370" t="s">
        <v>53</v>
      </c>
      <c r="P370" t="s">
        <v>720</v>
      </c>
      <c r="Q370" t="s">
        <v>39</v>
      </c>
      <c r="R370" t="s">
        <v>251</v>
      </c>
      <c r="S370" t="s">
        <v>43</v>
      </c>
      <c r="U370" s="6">
        <v>42166.734016203707</v>
      </c>
      <c r="V370" t="s">
        <v>18</v>
      </c>
      <c r="W370" t="s">
        <v>17</v>
      </c>
      <c r="X370" s="6">
        <v>42047.550046296295</v>
      </c>
      <c r="Y370" t="s">
        <v>122</v>
      </c>
      <c r="Z370" t="s">
        <v>190</v>
      </c>
      <c r="AB370" t="s">
        <v>201</v>
      </c>
      <c r="AC370" t="s">
        <v>247</v>
      </c>
      <c r="AD370" t="s">
        <v>220</v>
      </c>
      <c r="AE370" t="s">
        <v>219</v>
      </c>
      <c r="AG370" t="s">
        <v>121</v>
      </c>
      <c r="AH370" t="s">
        <v>327</v>
      </c>
      <c r="AI370" t="s">
        <v>121</v>
      </c>
      <c r="AJ370" t="s">
        <v>715</v>
      </c>
      <c r="AK370" t="s">
        <v>121</v>
      </c>
    </row>
    <row r="371" spans="9:37" x14ac:dyDescent="0.3">
      <c r="I371">
        <f ca="1">IF(OR(INDIRECT(A73&amp;ROW())=B93,INDIRECT(A73&amp;ROW())=B94),1,IF(AND(INDIRECT(A73&amp;ROW())=B95,INDIRECT(A96&amp;ROW())=C93),1,IF(AND(INDIRECT(A73&amp;ROW())=B95,INDIRECT(A96&amp;ROW())=C94),1,0)))</f>
        <v>0</v>
      </c>
      <c r="J371">
        <f ca="1">IF(AND(INDIRECT(A73&amp;ROW())=B95,INDIRECT(A96&amp;ROW())=C95),1,IF(AND(INDIRECT(A73&amp;ROW())=B95,INDIRECT(A96&amp;ROW())=C96),1,0))</f>
        <v>1</v>
      </c>
      <c r="K371">
        <f ca="1">DAYS360(INDIRECT(C68&amp;ROW()),TODAY())</f>
        <v>752</v>
      </c>
      <c r="L371">
        <f ca="1">DAYS360(INDIRECT(C69&amp;ROW()),TODAY())</f>
        <v>795</v>
      </c>
      <c r="M371">
        <f ca="1">HYPERLINK(CONCATENATE("https://bugzilla.houston.hp.com:1181/bugzilla/show_bug.cgi?id=",INDIRECT(C70&amp;ROW())),INDIRECT(C70&amp;ROW()))</f>
        <v>57333</v>
      </c>
      <c r="N371">
        <v>57333</v>
      </c>
      <c r="O371" t="s">
        <v>56</v>
      </c>
      <c r="P371" t="s">
        <v>745</v>
      </c>
      <c r="Q371" t="s">
        <v>25</v>
      </c>
      <c r="R371" t="s">
        <v>579</v>
      </c>
      <c r="S371" t="s">
        <v>236</v>
      </c>
      <c r="T371" t="s">
        <v>610</v>
      </c>
      <c r="U371" s="6">
        <v>42093.363055555557</v>
      </c>
      <c r="V371" t="s">
        <v>18</v>
      </c>
      <c r="W371" t="s">
        <v>514</v>
      </c>
      <c r="X371" s="6">
        <v>42052.780381944445</v>
      </c>
      <c r="Y371" t="s">
        <v>535</v>
      </c>
      <c r="AB371" t="s">
        <v>201</v>
      </c>
      <c r="AC371" t="s">
        <v>247</v>
      </c>
      <c r="AD371" t="s">
        <v>220</v>
      </c>
      <c r="AE371" t="s">
        <v>219</v>
      </c>
      <c r="AG371" t="s">
        <v>121</v>
      </c>
      <c r="AH371" t="s">
        <v>327</v>
      </c>
      <c r="AI371" t="s">
        <v>362</v>
      </c>
      <c r="AJ371" t="s">
        <v>716</v>
      </c>
      <c r="AK371" t="s">
        <v>121</v>
      </c>
    </row>
    <row r="372" spans="9:37" x14ac:dyDescent="0.3">
      <c r="I372">
        <f ca="1">IF(OR(INDIRECT(A73&amp;ROW())=B93,INDIRECT(A73&amp;ROW())=B94),1,IF(AND(INDIRECT(A73&amp;ROW())=B95,INDIRECT(A96&amp;ROW())=C93),1,IF(AND(INDIRECT(A73&amp;ROW())=B95,INDIRECT(A96&amp;ROW())=C94),1,0)))</f>
        <v>1</v>
      </c>
      <c r="J372">
        <f ca="1">IF(AND(INDIRECT(A73&amp;ROW())=B95,INDIRECT(A96&amp;ROW())=C95),1,IF(AND(INDIRECT(A73&amp;ROW())=B95,INDIRECT(A96&amp;ROW())=C96),1,0))</f>
        <v>0</v>
      </c>
      <c r="K372">
        <f ca="1">DAYS360(INDIRECT(C68&amp;ROW()),TODAY())</f>
        <v>677</v>
      </c>
      <c r="L372">
        <f ca="1">DAYS360(INDIRECT(C69&amp;ROW()),TODAY())</f>
        <v>794</v>
      </c>
      <c r="M372">
        <f ca="1">HYPERLINK(CONCATENATE("https://bugzilla.houston.hp.com:1181/bugzilla/show_bug.cgi?id=",INDIRECT(C70&amp;ROW())),INDIRECT(C70&amp;ROW()))</f>
        <v>57398</v>
      </c>
      <c r="N372">
        <v>57398</v>
      </c>
      <c r="O372" t="s">
        <v>43</v>
      </c>
      <c r="P372" t="s">
        <v>747</v>
      </c>
      <c r="Q372" t="s">
        <v>39</v>
      </c>
      <c r="R372" t="s">
        <v>248</v>
      </c>
      <c r="S372" t="s">
        <v>552</v>
      </c>
      <c r="U372" s="6">
        <v>42170.558611111112</v>
      </c>
      <c r="V372" t="s">
        <v>18</v>
      </c>
      <c r="W372" t="s">
        <v>372</v>
      </c>
      <c r="X372" s="6">
        <v>42053.567245370374</v>
      </c>
      <c r="Y372" t="s">
        <v>122</v>
      </c>
      <c r="AB372" t="s">
        <v>201</v>
      </c>
      <c r="AC372" t="s">
        <v>247</v>
      </c>
      <c r="AD372" t="s">
        <v>220</v>
      </c>
      <c r="AE372" t="s">
        <v>219</v>
      </c>
      <c r="AG372" t="s">
        <v>121</v>
      </c>
      <c r="AH372" t="s">
        <v>327</v>
      </c>
      <c r="AI372" t="s">
        <v>121</v>
      </c>
      <c r="AJ372" t="s">
        <v>715</v>
      </c>
      <c r="AK372" t="s">
        <v>121</v>
      </c>
    </row>
    <row r="373" spans="9:37" x14ac:dyDescent="0.3">
      <c r="I373">
        <f ca="1">IF(OR(INDIRECT(A73&amp;ROW())=B93,INDIRECT(A73&amp;ROW())=B94),1,IF(AND(INDIRECT(A73&amp;ROW())=B95,INDIRECT(A96&amp;ROW())=C93),1,IF(AND(INDIRECT(A73&amp;ROW())=B95,INDIRECT(A96&amp;ROW())=C94),1,0)))</f>
        <v>0</v>
      </c>
      <c r="J373">
        <f ca="1">IF(AND(INDIRECT(A73&amp;ROW())=B95,INDIRECT(A96&amp;ROW())=C95),1,IF(AND(INDIRECT(A73&amp;ROW())=B95,INDIRECT(A96&amp;ROW())=C96),1,0))</f>
        <v>0</v>
      </c>
      <c r="K373">
        <f ca="1">DAYS360(INDIRECT(C68&amp;ROW()),TODAY())</f>
        <v>769</v>
      </c>
      <c r="L373">
        <f ca="1">DAYS360(INDIRECT(C69&amp;ROW()),TODAY())</f>
        <v>793</v>
      </c>
      <c r="M373">
        <f ca="1">HYPERLINK(CONCATENATE("https://bugzilla.houston.hp.com:1181/bugzilla/show_bug.cgi?id=",INDIRECT(C70&amp;ROW())),INDIRECT(C70&amp;ROW()))</f>
        <v>57448</v>
      </c>
      <c r="N373">
        <v>57448</v>
      </c>
      <c r="O373" t="s">
        <v>45</v>
      </c>
      <c r="P373" t="s">
        <v>759</v>
      </c>
      <c r="Q373" t="s">
        <v>16</v>
      </c>
      <c r="R373" t="s">
        <v>579</v>
      </c>
      <c r="S373" t="s">
        <v>45</v>
      </c>
      <c r="T373" t="s">
        <v>804</v>
      </c>
      <c r="U373" s="6">
        <v>42076.335775462961</v>
      </c>
      <c r="V373" t="s">
        <v>18</v>
      </c>
      <c r="W373" t="s">
        <v>17</v>
      </c>
      <c r="X373" s="6">
        <v>42054.39671296296</v>
      </c>
      <c r="Y373" t="s">
        <v>793</v>
      </c>
      <c r="AB373" t="s">
        <v>200</v>
      </c>
      <c r="AC373" t="s">
        <v>247</v>
      </c>
      <c r="AD373" t="s">
        <v>227</v>
      </c>
      <c r="AE373" t="s">
        <v>226</v>
      </c>
      <c r="AG373" t="s">
        <v>121</v>
      </c>
      <c r="AH373" t="s">
        <v>327</v>
      </c>
      <c r="AI373" t="s">
        <v>121</v>
      </c>
      <c r="AJ373" t="s">
        <v>716</v>
      </c>
      <c r="AK373" t="s">
        <v>121</v>
      </c>
    </row>
    <row r="374" spans="9:37" x14ac:dyDescent="0.3">
      <c r="I374">
        <f ca="1">IF(OR(INDIRECT(A73&amp;ROW())=B93,INDIRECT(A73&amp;ROW())=B94),1,IF(AND(INDIRECT(A73&amp;ROW())=B95,INDIRECT(A96&amp;ROW())=C93),1,IF(AND(INDIRECT(A73&amp;ROW())=B95,INDIRECT(A96&amp;ROW())=C94),1,0)))</f>
        <v>1</v>
      </c>
      <c r="J374">
        <f ca="1">IF(AND(INDIRECT(A73&amp;ROW())=B95,INDIRECT(A96&amp;ROW())=C95),1,IF(AND(INDIRECT(A73&amp;ROW())=B95,INDIRECT(A96&amp;ROW())=C96),1,0))</f>
        <v>0</v>
      </c>
      <c r="K374">
        <f ca="1">DAYS360(INDIRECT(C68&amp;ROW()),TODAY())</f>
        <v>714</v>
      </c>
      <c r="L374">
        <f ca="1">DAYS360(INDIRECT(C69&amp;ROW()),TODAY())</f>
        <v>793</v>
      </c>
      <c r="M374">
        <f ca="1">HYPERLINK(CONCATENATE("https://bugzilla.houston.hp.com:1181/bugzilla/show_bug.cgi?id=",INDIRECT(C70&amp;ROW())),INDIRECT(C70&amp;ROW()))</f>
        <v>57455</v>
      </c>
      <c r="N374">
        <v>57455</v>
      </c>
      <c r="O374" t="s">
        <v>241</v>
      </c>
      <c r="P374" t="s">
        <v>767</v>
      </c>
      <c r="Q374" t="s">
        <v>25</v>
      </c>
      <c r="R374" t="s">
        <v>251</v>
      </c>
      <c r="S374" t="s">
        <v>51</v>
      </c>
      <c r="U374" s="6">
        <v>42132.364224537036</v>
      </c>
      <c r="V374" t="s">
        <v>18</v>
      </c>
      <c r="W374" t="s">
        <v>764</v>
      </c>
      <c r="X374" s="6">
        <v>42054.467719907407</v>
      </c>
      <c r="Y374" t="s">
        <v>122</v>
      </c>
      <c r="AB374" t="s">
        <v>200</v>
      </c>
      <c r="AC374" t="s">
        <v>247</v>
      </c>
      <c r="AD374" t="s">
        <v>222</v>
      </c>
      <c r="AE374" t="s">
        <v>232</v>
      </c>
      <c r="AG374" t="s">
        <v>121</v>
      </c>
      <c r="AH374" t="s">
        <v>327</v>
      </c>
      <c r="AI374" t="s">
        <v>121</v>
      </c>
      <c r="AJ374" t="s">
        <v>715</v>
      </c>
      <c r="AK374" t="s">
        <v>121</v>
      </c>
    </row>
    <row r="375" spans="9:37" x14ac:dyDescent="0.3">
      <c r="I375">
        <f ca="1">IF(OR(INDIRECT(A73&amp;ROW())=B93,INDIRECT(A73&amp;ROW())=B94),1,IF(AND(INDIRECT(A73&amp;ROW())=B95,INDIRECT(A96&amp;ROW())=C93),1,IF(AND(INDIRECT(A73&amp;ROW())=B95,INDIRECT(A96&amp;ROW())=C94),1,0)))</f>
        <v>0</v>
      </c>
      <c r="J375">
        <f ca="1">IF(AND(INDIRECT(A73&amp;ROW())=B95,INDIRECT(A96&amp;ROW())=C95),1,IF(AND(INDIRECT(A73&amp;ROW())=B95,INDIRECT(A96&amp;ROW())=C96),1,0))</f>
        <v>0</v>
      </c>
      <c r="K375">
        <f ca="1">DAYS360(INDIRECT(C68&amp;ROW()),TODAY())</f>
        <v>721</v>
      </c>
      <c r="L375">
        <f ca="1">DAYS360(INDIRECT(C69&amp;ROW()),TODAY())</f>
        <v>793</v>
      </c>
      <c r="M375">
        <f ca="1">HYPERLINK(CONCATENATE("https://bugzilla.houston.hp.com:1181/bugzilla/show_bug.cgi?id=",INDIRECT(C70&amp;ROW())),INDIRECT(C70&amp;ROW()))</f>
        <v>57468</v>
      </c>
      <c r="N375">
        <v>57468</v>
      </c>
      <c r="O375" t="s">
        <v>56</v>
      </c>
      <c r="P375" t="s">
        <v>758</v>
      </c>
      <c r="Q375" t="s">
        <v>16</v>
      </c>
      <c r="R375" t="s">
        <v>251</v>
      </c>
      <c r="S375" t="s">
        <v>53</v>
      </c>
      <c r="U375" s="6">
        <v>42125.453761574077</v>
      </c>
      <c r="V375" t="s">
        <v>18</v>
      </c>
      <c r="W375" t="s">
        <v>17</v>
      </c>
      <c r="X375" s="6">
        <v>42054.521574074075</v>
      </c>
      <c r="Y375" t="s">
        <v>122</v>
      </c>
      <c r="AB375" t="s">
        <v>200</v>
      </c>
      <c r="AC375" t="s">
        <v>247</v>
      </c>
      <c r="AD375" t="s">
        <v>220</v>
      </c>
      <c r="AE375" t="s">
        <v>219</v>
      </c>
      <c r="AG375" t="s">
        <v>121</v>
      </c>
      <c r="AH375" t="s">
        <v>327</v>
      </c>
      <c r="AI375" t="s">
        <v>121</v>
      </c>
      <c r="AJ375" t="s">
        <v>716</v>
      </c>
      <c r="AK375" t="s">
        <v>121</v>
      </c>
    </row>
    <row r="376" spans="9:37" x14ac:dyDescent="0.3">
      <c r="I376">
        <f ca="1">IF(OR(INDIRECT(A73&amp;ROW())=B93,INDIRECT(A73&amp;ROW())=B94),1,IF(AND(INDIRECT(A73&amp;ROW())=B95,INDIRECT(A96&amp;ROW())=C93),1,IF(AND(INDIRECT(A73&amp;ROW())=B95,INDIRECT(A96&amp;ROW())=C94),1,0)))</f>
        <v>1</v>
      </c>
      <c r="J376">
        <f ca="1">IF(AND(INDIRECT(A73&amp;ROW())=B95,INDIRECT(A96&amp;ROW())=C95),1,IF(AND(INDIRECT(A73&amp;ROW())=B95,INDIRECT(A96&amp;ROW())=C96),1,0))</f>
        <v>0</v>
      </c>
      <c r="K376">
        <f ca="1">DAYS360(INDIRECT(C68&amp;ROW()),TODAY())</f>
        <v>728</v>
      </c>
      <c r="L376">
        <f ca="1">DAYS360(INDIRECT(C69&amp;ROW()),TODAY())</f>
        <v>793</v>
      </c>
      <c r="M376">
        <f ca="1">HYPERLINK(CONCATENATE("https://bugzilla.houston.hp.com:1181/bugzilla/show_bug.cgi?id=",INDIRECT(C70&amp;ROW())),INDIRECT(C70&amp;ROW()))</f>
        <v>57480</v>
      </c>
      <c r="N376">
        <v>57480</v>
      </c>
      <c r="O376" t="s">
        <v>241</v>
      </c>
      <c r="P376" t="s">
        <v>757</v>
      </c>
      <c r="Q376" t="s">
        <v>25</v>
      </c>
      <c r="R376" t="s">
        <v>579</v>
      </c>
      <c r="S376" t="s">
        <v>552</v>
      </c>
      <c r="T376" t="s">
        <v>820</v>
      </c>
      <c r="U376" s="6">
        <v>42118.292291666665</v>
      </c>
      <c r="V376" t="s">
        <v>18</v>
      </c>
      <c r="W376" t="s">
        <v>764</v>
      </c>
      <c r="X376" s="6">
        <v>42054.702291666668</v>
      </c>
      <c r="Y376" t="s">
        <v>122</v>
      </c>
      <c r="AB376" t="s">
        <v>200</v>
      </c>
      <c r="AC376" t="s">
        <v>247</v>
      </c>
      <c r="AD376" t="s">
        <v>222</v>
      </c>
      <c r="AE376" t="s">
        <v>221</v>
      </c>
      <c r="AG376" t="s">
        <v>121</v>
      </c>
      <c r="AH376" t="s">
        <v>327</v>
      </c>
      <c r="AI376" t="s">
        <v>121</v>
      </c>
      <c r="AJ376" t="s">
        <v>715</v>
      </c>
      <c r="AK376" t="s">
        <v>121</v>
      </c>
    </row>
    <row r="377" spans="9:37" x14ac:dyDescent="0.3">
      <c r="I377">
        <f ca="1">IF(OR(INDIRECT(A73&amp;ROW())=B93,INDIRECT(A73&amp;ROW())=B94),1,IF(AND(INDIRECT(A73&amp;ROW())=B95,INDIRECT(A96&amp;ROW())=C93),1,IF(AND(INDIRECT(A73&amp;ROW())=B95,INDIRECT(A96&amp;ROW())=C94),1,0)))</f>
        <v>1</v>
      </c>
      <c r="J377">
        <f ca="1">IF(AND(INDIRECT(A73&amp;ROW())=B95,INDIRECT(A96&amp;ROW())=C95),1,IF(AND(INDIRECT(A73&amp;ROW())=B95,INDIRECT(A96&amp;ROW())=C96),1,0))</f>
        <v>0</v>
      </c>
      <c r="K377">
        <f ca="1">DAYS360(INDIRECT(C68&amp;ROW()),TODAY())</f>
        <v>792</v>
      </c>
      <c r="L377">
        <f ca="1">DAYS360(INDIRECT(C69&amp;ROW()),TODAY())</f>
        <v>793</v>
      </c>
      <c r="M377">
        <f ca="1">HYPERLINK(CONCATENATE("https://bugzilla.houston.hp.com:1181/bugzilla/show_bug.cgi?id=",INDIRECT(C70&amp;ROW())),INDIRECT(C70&amp;ROW()))</f>
        <v>57481</v>
      </c>
      <c r="N377">
        <v>57481</v>
      </c>
      <c r="O377" t="s">
        <v>241</v>
      </c>
      <c r="P377" t="s">
        <v>756</v>
      </c>
      <c r="Q377" t="s">
        <v>25</v>
      </c>
      <c r="R377" t="s">
        <v>248</v>
      </c>
      <c r="S377" t="s">
        <v>552</v>
      </c>
      <c r="U377" s="6">
        <v>42055.636655092596</v>
      </c>
      <c r="V377" t="s">
        <v>18</v>
      </c>
      <c r="W377" t="s">
        <v>764</v>
      </c>
      <c r="X377" s="6">
        <v>42054.702337962961</v>
      </c>
      <c r="Y377" t="s">
        <v>122</v>
      </c>
      <c r="AB377" t="s">
        <v>200</v>
      </c>
      <c r="AC377" t="s">
        <v>247</v>
      </c>
      <c r="AD377" t="s">
        <v>222</v>
      </c>
      <c r="AE377" t="s">
        <v>221</v>
      </c>
      <c r="AG377" t="s">
        <v>121</v>
      </c>
      <c r="AH377" t="s">
        <v>327</v>
      </c>
      <c r="AI377" t="s">
        <v>121</v>
      </c>
      <c r="AJ377" t="s">
        <v>715</v>
      </c>
      <c r="AK377" t="s">
        <v>121</v>
      </c>
    </row>
    <row r="378" spans="9:37" x14ac:dyDescent="0.3">
      <c r="I378">
        <f ca="1">IF(OR(INDIRECT(A73&amp;ROW())=B93,INDIRECT(A73&amp;ROW())=B94),1,IF(AND(INDIRECT(A73&amp;ROW())=B95,INDIRECT(A96&amp;ROW())=C93),1,IF(AND(INDIRECT(A73&amp;ROW())=B95,INDIRECT(A96&amp;ROW())=C94),1,0)))</f>
        <v>0</v>
      </c>
      <c r="J378">
        <f ca="1">IF(AND(INDIRECT(A73&amp;ROW())=B95,INDIRECT(A96&amp;ROW())=C95),1,IF(AND(INDIRECT(A73&amp;ROW())=B95,INDIRECT(A96&amp;ROW())=C96),1,0))</f>
        <v>0</v>
      </c>
      <c r="K378">
        <f ca="1">DAYS360(INDIRECT(C68&amp;ROW()),TODAY())</f>
        <v>721</v>
      </c>
      <c r="L378">
        <f ca="1">DAYS360(INDIRECT(C69&amp;ROW()),TODAY())</f>
        <v>793</v>
      </c>
      <c r="M378">
        <f ca="1">HYPERLINK(CONCATENATE("https://bugzilla.houston.hp.com:1181/bugzilla/show_bug.cgi?id=",INDIRECT(C70&amp;ROW())),INDIRECT(C70&amp;ROW()))</f>
        <v>57493</v>
      </c>
      <c r="N378">
        <v>57493</v>
      </c>
      <c r="O378" t="s">
        <v>56</v>
      </c>
      <c r="P378" t="s">
        <v>755</v>
      </c>
      <c r="Q378" t="s">
        <v>16</v>
      </c>
      <c r="R378" t="s">
        <v>248</v>
      </c>
      <c r="S378" t="s">
        <v>552</v>
      </c>
      <c r="U378" s="6">
        <v>42125.453750000001</v>
      </c>
      <c r="V378" t="s">
        <v>18</v>
      </c>
      <c r="W378" t="s">
        <v>324</v>
      </c>
      <c r="X378" s="6">
        <v>42054.703506944446</v>
      </c>
      <c r="Y378" t="s">
        <v>122</v>
      </c>
      <c r="AB378" t="s">
        <v>200</v>
      </c>
      <c r="AC378" t="s">
        <v>247</v>
      </c>
      <c r="AD378" t="s">
        <v>220</v>
      </c>
      <c r="AE378" t="s">
        <v>219</v>
      </c>
      <c r="AG378" t="s">
        <v>121</v>
      </c>
      <c r="AH378" t="s">
        <v>327</v>
      </c>
      <c r="AI378" t="s">
        <v>121</v>
      </c>
      <c r="AJ378" t="s">
        <v>716</v>
      </c>
      <c r="AK378" t="s">
        <v>121</v>
      </c>
    </row>
    <row r="379" spans="9:37" x14ac:dyDescent="0.3">
      <c r="I379">
        <f ca="1">IF(OR(INDIRECT(A73&amp;ROW())=B93,INDIRECT(A73&amp;ROW())=B94),1,IF(AND(INDIRECT(A73&amp;ROW())=B95,INDIRECT(A96&amp;ROW())=C93),1,IF(AND(INDIRECT(A73&amp;ROW())=B95,INDIRECT(A96&amp;ROW())=C94),1,0)))</f>
        <v>1</v>
      </c>
      <c r="J379">
        <f ca="1">IF(AND(INDIRECT(A73&amp;ROW())=B95,INDIRECT(A96&amp;ROW())=C95),1,IF(AND(INDIRECT(A73&amp;ROW())=B95,INDIRECT(A96&amp;ROW())=C96),1,0))</f>
        <v>0</v>
      </c>
      <c r="K379">
        <f ca="1">DAYS360(INDIRECT(C68&amp;ROW()),TODAY())</f>
        <v>735</v>
      </c>
      <c r="L379">
        <f ca="1">DAYS360(INDIRECT(C69&amp;ROW()),TODAY())</f>
        <v>793</v>
      </c>
      <c r="M379">
        <f ca="1">HYPERLINK(CONCATENATE("https://bugzilla.houston.hp.com:1181/bugzilla/show_bug.cgi?id=",INDIRECT(C70&amp;ROW())),INDIRECT(C70&amp;ROW()))</f>
        <v>57494</v>
      </c>
      <c r="N379">
        <v>57494</v>
      </c>
      <c r="O379" t="s">
        <v>55</v>
      </c>
      <c r="P379" t="s">
        <v>754</v>
      </c>
      <c r="Q379" t="s">
        <v>25</v>
      </c>
      <c r="R379" t="s">
        <v>579</v>
      </c>
      <c r="S379" t="s">
        <v>59</v>
      </c>
      <c r="T379" t="s">
        <v>821</v>
      </c>
      <c r="U379" s="6">
        <v>42111.526689814818</v>
      </c>
      <c r="V379" t="s">
        <v>35</v>
      </c>
      <c r="W379" t="s">
        <v>215</v>
      </c>
      <c r="X379" s="6">
        <v>42054.733136574076</v>
      </c>
      <c r="Y379" t="s">
        <v>793</v>
      </c>
      <c r="AB379" t="s">
        <v>200</v>
      </c>
      <c r="AC379" t="s">
        <v>247</v>
      </c>
      <c r="AD379" t="s">
        <v>220</v>
      </c>
      <c r="AE379" t="s">
        <v>219</v>
      </c>
      <c r="AG379" t="s">
        <v>121</v>
      </c>
      <c r="AH379" t="s">
        <v>327</v>
      </c>
      <c r="AI379" t="s">
        <v>362</v>
      </c>
      <c r="AJ379" t="s">
        <v>715</v>
      </c>
      <c r="AK379" t="s">
        <v>121</v>
      </c>
    </row>
    <row r="380" spans="9:37" x14ac:dyDescent="0.3">
      <c r="I380">
        <f ca="1">IF(OR(INDIRECT(A73&amp;ROW())=B93,INDIRECT(A73&amp;ROW())=B94),1,IF(AND(INDIRECT(A73&amp;ROW())=B95,INDIRECT(A96&amp;ROW())=C93),1,IF(AND(INDIRECT(A73&amp;ROW())=B95,INDIRECT(A96&amp;ROW())=C94),1,0)))</f>
        <v>1</v>
      </c>
      <c r="J380">
        <f ca="1">IF(AND(INDIRECT(A73&amp;ROW())=B95,INDIRECT(A96&amp;ROW())=C95),1,IF(AND(INDIRECT(A73&amp;ROW())=B95,INDIRECT(A96&amp;ROW())=C96),1,0))</f>
        <v>0</v>
      </c>
      <c r="K380">
        <f ca="1">DAYS360(INDIRECT(C68&amp;ROW()),TODAY())</f>
        <v>776</v>
      </c>
      <c r="L380">
        <f ca="1">DAYS360(INDIRECT(C69&amp;ROW()),TODAY())</f>
        <v>793</v>
      </c>
      <c r="M380">
        <f ca="1">HYPERLINK(CONCATENATE("https://bugzilla.houston.hp.com:1181/bugzilla/show_bug.cgi?id=",INDIRECT(C70&amp;ROW())),INDIRECT(C70&amp;ROW()))</f>
        <v>57500</v>
      </c>
      <c r="N380">
        <v>57500</v>
      </c>
      <c r="O380" t="s">
        <v>43</v>
      </c>
      <c r="P380" t="s">
        <v>766</v>
      </c>
      <c r="Q380" t="s">
        <v>25</v>
      </c>
      <c r="R380" t="s">
        <v>251</v>
      </c>
      <c r="S380" t="s">
        <v>765</v>
      </c>
      <c r="U380" s="6">
        <v>42069.583437499998</v>
      </c>
      <c r="V380" t="s">
        <v>35</v>
      </c>
      <c r="W380" t="s">
        <v>764</v>
      </c>
      <c r="X380" s="6">
        <v>42054.964317129627</v>
      </c>
      <c r="Y380" t="s">
        <v>124</v>
      </c>
      <c r="AB380" t="s">
        <v>200</v>
      </c>
      <c r="AC380" t="s">
        <v>247</v>
      </c>
      <c r="AD380" t="s">
        <v>220</v>
      </c>
      <c r="AE380" t="s">
        <v>219</v>
      </c>
      <c r="AG380" t="s">
        <v>121</v>
      </c>
      <c r="AH380" t="s">
        <v>327</v>
      </c>
      <c r="AI380" t="s">
        <v>121</v>
      </c>
      <c r="AJ380" t="s">
        <v>715</v>
      </c>
      <c r="AK380" t="s">
        <v>121</v>
      </c>
    </row>
    <row r="381" spans="9:37" x14ac:dyDescent="0.3">
      <c r="I381">
        <f ca="1">IF(OR(INDIRECT(A73&amp;ROW())=B93,INDIRECT(A73&amp;ROW())=B94),1,IF(AND(INDIRECT(A73&amp;ROW())=B95,INDIRECT(A96&amp;ROW())=C93),1,IF(AND(INDIRECT(A73&amp;ROW())=B95,INDIRECT(A96&amp;ROW())=C94),1,0)))</f>
        <v>1</v>
      </c>
      <c r="J381">
        <f ca="1">IF(AND(INDIRECT(A73&amp;ROW())=B95,INDIRECT(A96&amp;ROW())=C95),1,IF(AND(INDIRECT(A73&amp;ROW())=B95,INDIRECT(A96&amp;ROW())=C96),1,0))</f>
        <v>0</v>
      </c>
      <c r="K381">
        <f ca="1">DAYS360(INDIRECT(C68&amp;ROW()),TODAY())</f>
        <v>677</v>
      </c>
      <c r="L381">
        <f ca="1">DAYS360(INDIRECT(C69&amp;ROW()),TODAY())</f>
        <v>792</v>
      </c>
      <c r="M381">
        <f ca="1">HYPERLINK(CONCATENATE("https://bugzilla.houston.hp.com:1181/bugzilla/show_bug.cgi?id=",INDIRECT(C70&amp;ROW())),INDIRECT(C70&amp;ROW()))</f>
        <v>57551</v>
      </c>
      <c r="N381">
        <v>57551</v>
      </c>
      <c r="O381" t="s">
        <v>53</v>
      </c>
      <c r="P381" t="s">
        <v>753</v>
      </c>
      <c r="Q381" t="s">
        <v>39</v>
      </c>
      <c r="R381" t="s">
        <v>248</v>
      </c>
      <c r="S381" t="s">
        <v>552</v>
      </c>
      <c r="U381" s="6">
        <v>42170.561192129629</v>
      </c>
      <c r="V381" t="s">
        <v>18</v>
      </c>
      <c r="W381" t="s">
        <v>343</v>
      </c>
      <c r="X381" s="6">
        <v>42055.264386574076</v>
      </c>
      <c r="Y381" t="s">
        <v>122</v>
      </c>
      <c r="AB381" t="s">
        <v>201</v>
      </c>
      <c r="AC381" t="s">
        <v>247</v>
      </c>
      <c r="AD381" t="s">
        <v>220</v>
      </c>
      <c r="AE381" t="s">
        <v>219</v>
      </c>
      <c r="AG381" t="s">
        <v>121</v>
      </c>
      <c r="AH381" t="s">
        <v>327</v>
      </c>
      <c r="AI381" t="s">
        <v>121</v>
      </c>
      <c r="AJ381" t="s">
        <v>715</v>
      </c>
      <c r="AK381" t="s">
        <v>121</v>
      </c>
    </row>
    <row r="382" spans="9:37" x14ac:dyDescent="0.3">
      <c r="I382">
        <f ca="1">IF(OR(INDIRECT(A73&amp;ROW())=B93,INDIRECT(A73&amp;ROW())=B94),1,IF(AND(INDIRECT(A73&amp;ROW())=B95,INDIRECT(A96&amp;ROW())=C93),1,IF(AND(INDIRECT(A73&amp;ROW())=B95,INDIRECT(A96&amp;ROW())=C94),1,0)))</f>
        <v>0</v>
      </c>
      <c r="J382">
        <f ca="1">IF(AND(INDIRECT(A73&amp;ROW())=B95,INDIRECT(A96&amp;ROW())=C95),1,IF(AND(INDIRECT(A73&amp;ROW())=B95,INDIRECT(A96&amp;ROW())=C96),1,0))</f>
        <v>0</v>
      </c>
      <c r="K382">
        <f ca="1">DAYS360(INDIRECT(C68&amp;ROW()),TODAY())</f>
        <v>721</v>
      </c>
      <c r="L382">
        <f ca="1">DAYS360(INDIRECT(C69&amp;ROW()),TODAY())</f>
        <v>792</v>
      </c>
      <c r="M382">
        <f ca="1">HYPERLINK(CONCATENATE("https://bugzilla.houston.hp.com:1181/bugzilla/show_bug.cgi?id=",INDIRECT(C70&amp;ROW())),INDIRECT(C70&amp;ROW()))</f>
        <v>57564</v>
      </c>
      <c r="N382">
        <v>57564</v>
      </c>
      <c r="O382" t="s">
        <v>36</v>
      </c>
      <c r="P382" t="s">
        <v>751</v>
      </c>
      <c r="Q382" t="s">
        <v>16</v>
      </c>
      <c r="R382" t="s">
        <v>248</v>
      </c>
      <c r="S382" t="s">
        <v>552</v>
      </c>
      <c r="U382" s="6">
        <v>42125.453009259261</v>
      </c>
      <c r="V382" t="s">
        <v>18</v>
      </c>
      <c r="W382" t="s">
        <v>372</v>
      </c>
      <c r="X382" s="6">
        <v>42055.2655787037</v>
      </c>
      <c r="Y382" t="s">
        <v>122</v>
      </c>
      <c r="AB382" t="s">
        <v>201</v>
      </c>
      <c r="AC382" t="s">
        <v>247</v>
      </c>
      <c r="AD382" t="s">
        <v>222</v>
      </c>
      <c r="AE382" t="s">
        <v>240</v>
      </c>
      <c r="AG382" t="s">
        <v>121</v>
      </c>
      <c r="AH382" t="s">
        <v>327</v>
      </c>
      <c r="AI382" t="s">
        <v>121</v>
      </c>
      <c r="AJ382" t="s">
        <v>716</v>
      </c>
      <c r="AK382" t="s">
        <v>121</v>
      </c>
    </row>
    <row r="383" spans="9:37" x14ac:dyDescent="0.3">
      <c r="I383">
        <f ca="1">IF(OR(INDIRECT(A73&amp;ROW())=B93,INDIRECT(A73&amp;ROW())=B94),1,IF(AND(INDIRECT(A73&amp;ROW())=B95,INDIRECT(A96&amp;ROW())=C93),1,IF(AND(INDIRECT(A73&amp;ROW())=B95,INDIRECT(A96&amp;ROW())=C94),1,0)))</f>
        <v>0</v>
      </c>
      <c r="J383">
        <f ca="1">IF(AND(INDIRECT(A73&amp;ROW())=B95,INDIRECT(A96&amp;ROW())=C95),1,IF(AND(INDIRECT(A73&amp;ROW())=B95,INDIRECT(A96&amp;ROW())=C96),1,0))</f>
        <v>0</v>
      </c>
      <c r="K383">
        <f ca="1">DAYS360(INDIRECT(C68&amp;ROW()),TODAY())</f>
        <v>792</v>
      </c>
      <c r="L383">
        <f ca="1">DAYS360(INDIRECT(C69&amp;ROW()),TODAY())</f>
        <v>792</v>
      </c>
      <c r="M383">
        <f ca="1">HYPERLINK(CONCATENATE("https://bugzilla.houston.hp.com:1181/bugzilla/show_bug.cgi?id=",INDIRECT(C70&amp;ROW())),INDIRECT(C70&amp;ROW()))</f>
        <v>57582</v>
      </c>
      <c r="N383">
        <v>57582</v>
      </c>
      <c r="O383" t="s">
        <v>66</v>
      </c>
      <c r="P383" t="s">
        <v>750</v>
      </c>
      <c r="Q383" t="s">
        <v>16</v>
      </c>
      <c r="R383" t="s">
        <v>248</v>
      </c>
      <c r="S383" t="s">
        <v>552</v>
      </c>
      <c r="U383" s="6">
        <v>42055.267337962963</v>
      </c>
      <c r="V383" t="s">
        <v>18</v>
      </c>
      <c r="W383" t="s">
        <v>322</v>
      </c>
      <c r="X383" s="6">
        <v>42055.267337962963</v>
      </c>
      <c r="Y383" t="s">
        <v>124</v>
      </c>
      <c r="AB383" t="s">
        <v>201</v>
      </c>
      <c r="AC383" t="s">
        <v>247</v>
      </c>
      <c r="AD383" t="s">
        <v>220</v>
      </c>
      <c r="AE383" t="s">
        <v>219</v>
      </c>
      <c r="AG383" t="s">
        <v>121</v>
      </c>
      <c r="AH383" t="s">
        <v>327</v>
      </c>
      <c r="AI383" t="s">
        <v>121</v>
      </c>
      <c r="AJ383" t="s">
        <v>717</v>
      </c>
      <c r="AK383" t="s">
        <v>121</v>
      </c>
    </row>
    <row r="384" spans="9:37" x14ac:dyDescent="0.3">
      <c r="I384">
        <f ca="1">IF(OR(INDIRECT(A73&amp;ROW())=B93,INDIRECT(A73&amp;ROW())=B94),1,IF(AND(INDIRECT(A73&amp;ROW())=B95,INDIRECT(A96&amp;ROW())=C93),1,IF(AND(INDIRECT(A73&amp;ROW())=B95,INDIRECT(A96&amp;ROW())=C94),1,0)))</f>
        <v>0</v>
      </c>
      <c r="J384">
        <f ca="1">IF(AND(INDIRECT(A73&amp;ROW())=B95,INDIRECT(A96&amp;ROW())=C95),1,IF(AND(INDIRECT(A73&amp;ROW())=B95,INDIRECT(A96&amp;ROW())=C96),1,0))</f>
        <v>1</v>
      </c>
      <c r="K384">
        <f ca="1">DAYS360(INDIRECT(C68&amp;ROW()),TODAY())</f>
        <v>721</v>
      </c>
      <c r="L384">
        <f ca="1">DAYS360(INDIRECT(C69&amp;ROW()),TODAY())</f>
        <v>792</v>
      </c>
      <c r="M384">
        <f ca="1">HYPERLINK(CONCATENATE("https://bugzilla.houston.hp.com:1181/bugzilla/show_bug.cgi?id=",INDIRECT(C70&amp;ROW())),INDIRECT(C70&amp;ROW()))</f>
        <v>57594</v>
      </c>
      <c r="N384">
        <v>57594</v>
      </c>
      <c r="O384" t="s">
        <v>66</v>
      </c>
      <c r="P384" t="s">
        <v>749</v>
      </c>
      <c r="Q384" t="s">
        <v>25</v>
      </c>
      <c r="R384" t="s">
        <v>248</v>
      </c>
      <c r="S384" t="s">
        <v>552</v>
      </c>
      <c r="U384" s="6">
        <v>42125.450868055559</v>
      </c>
      <c r="V384" t="s">
        <v>18</v>
      </c>
      <c r="W384" t="s">
        <v>372</v>
      </c>
      <c r="X384" s="6">
        <v>42055.268506944441</v>
      </c>
      <c r="Y384" t="s">
        <v>122</v>
      </c>
      <c r="AB384" t="s">
        <v>201</v>
      </c>
      <c r="AC384" t="s">
        <v>247</v>
      </c>
      <c r="AD384" t="s">
        <v>220</v>
      </c>
      <c r="AE384" t="s">
        <v>219</v>
      </c>
      <c r="AG384" t="s">
        <v>121</v>
      </c>
      <c r="AH384" t="s">
        <v>327</v>
      </c>
      <c r="AI384" t="s">
        <v>121</v>
      </c>
      <c r="AJ384" t="s">
        <v>716</v>
      </c>
      <c r="AK384" t="s">
        <v>121</v>
      </c>
    </row>
    <row r="385" spans="9:37" x14ac:dyDescent="0.3">
      <c r="I385">
        <f ca="1">IF(OR(INDIRECT(A73&amp;ROW())=B93,INDIRECT(A73&amp;ROW())=B94),1,IF(AND(INDIRECT(A73&amp;ROW())=B95,INDIRECT(A96&amp;ROW())=C93),1,IF(AND(INDIRECT(A73&amp;ROW())=B95,INDIRECT(A96&amp;ROW())=C94),1,0)))</f>
        <v>1</v>
      </c>
      <c r="J385">
        <f ca="1">IF(AND(INDIRECT(A73&amp;ROW())=B95,INDIRECT(A96&amp;ROW())=C95),1,IF(AND(INDIRECT(A73&amp;ROW())=B95,INDIRECT(A96&amp;ROW())=C96),1,0))</f>
        <v>0</v>
      </c>
      <c r="K385">
        <f ca="1">DAYS360(INDIRECT(C68&amp;ROW()),TODAY())</f>
        <v>735</v>
      </c>
      <c r="L385">
        <f ca="1">DAYS360(INDIRECT(C69&amp;ROW()),TODAY())</f>
        <v>792</v>
      </c>
      <c r="M385">
        <f ca="1">HYPERLINK(CONCATENATE("https://bugzilla.houston.hp.com:1181/bugzilla/show_bug.cgi?id=",INDIRECT(C70&amp;ROW())),INDIRECT(C70&amp;ROW()))</f>
        <v>57652</v>
      </c>
      <c r="N385">
        <v>57652</v>
      </c>
      <c r="O385" t="s">
        <v>50</v>
      </c>
      <c r="P385" t="s">
        <v>760</v>
      </c>
      <c r="Q385" t="s">
        <v>25</v>
      </c>
      <c r="R385" t="s">
        <v>579</v>
      </c>
      <c r="S385" t="s">
        <v>44</v>
      </c>
      <c r="T385" t="s">
        <v>820</v>
      </c>
      <c r="U385" s="6">
        <v>42111.527303240742</v>
      </c>
      <c r="V385" t="s">
        <v>18</v>
      </c>
      <c r="W385" t="s">
        <v>215</v>
      </c>
      <c r="X385" s="6">
        <v>42055.521377314813</v>
      </c>
      <c r="Y385" t="s">
        <v>119</v>
      </c>
      <c r="AB385" t="s">
        <v>200</v>
      </c>
      <c r="AC385" t="s">
        <v>121</v>
      </c>
      <c r="AD385" t="s">
        <v>227</v>
      </c>
      <c r="AE385" t="s">
        <v>226</v>
      </c>
      <c r="AG385" t="s">
        <v>121</v>
      </c>
      <c r="AH385" t="s">
        <v>327</v>
      </c>
      <c r="AI385" t="s">
        <v>362</v>
      </c>
      <c r="AJ385" t="s">
        <v>715</v>
      </c>
      <c r="AK385" t="s">
        <v>121</v>
      </c>
    </row>
    <row r="386" spans="9:37" x14ac:dyDescent="0.3">
      <c r="I386">
        <f ca="1">IF(OR(INDIRECT(A73&amp;ROW())=B93,INDIRECT(A73&amp;ROW())=B94),1,IF(AND(INDIRECT(A73&amp;ROW())=B95,INDIRECT(A96&amp;ROW())=C93),1,IF(AND(INDIRECT(A73&amp;ROW())=B95,INDIRECT(A96&amp;ROW())=C94),1,0)))</f>
        <v>1</v>
      </c>
      <c r="J386">
        <f ca="1">IF(AND(INDIRECT(A73&amp;ROW())=B95,INDIRECT(A96&amp;ROW())=C95),1,IF(AND(INDIRECT(A73&amp;ROW())=B95,INDIRECT(A96&amp;ROW())=C96),1,0))</f>
        <v>0</v>
      </c>
      <c r="K386">
        <f ca="1">DAYS360(INDIRECT(C68&amp;ROW()),TODAY())</f>
        <v>764</v>
      </c>
      <c r="L386">
        <f ca="1">DAYS360(INDIRECT(C69&amp;ROW()),TODAY())</f>
        <v>788</v>
      </c>
      <c r="M386">
        <f ca="1">HYPERLINK(CONCATENATE("https://bugzilla.houston.hp.com:1181/bugzilla/show_bug.cgi?id=",INDIRECT(C70&amp;ROW())),INDIRECT(C70&amp;ROW()))</f>
        <v>57749</v>
      </c>
      <c r="N386">
        <v>57749</v>
      </c>
      <c r="O386" t="s">
        <v>56</v>
      </c>
      <c r="P386" t="s">
        <v>763</v>
      </c>
      <c r="Q386" t="s">
        <v>25</v>
      </c>
      <c r="R386" t="s">
        <v>248</v>
      </c>
      <c r="S386" t="s">
        <v>552</v>
      </c>
      <c r="U386" s="6">
        <v>42081.374513888892</v>
      </c>
      <c r="V386" t="s">
        <v>18</v>
      </c>
      <c r="W386" t="s">
        <v>764</v>
      </c>
      <c r="X386" s="6">
        <v>42059.329548611109</v>
      </c>
      <c r="Y386" t="s">
        <v>124</v>
      </c>
      <c r="AB386" t="s">
        <v>200</v>
      </c>
      <c r="AC386" t="s">
        <v>247</v>
      </c>
      <c r="AD386" t="s">
        <v>220</v>
      </c>
      <c r="AE386" t="s">
        <v>219</v>
      </c>
      <c r="AG386" t="s">
        <v>121</v>
      </c>
      <c r="AH386" t="s">
        <v>327</v>
      </c>
      <c r="AI386" t="s">
        <v>121</v>
      </c>
      <c r="AJ386" t="s">
        <v>715</v>
      </c>
      <c r="AK386" t="s">
        <v>121</v>
      </c>
    </row>
    <row r="387" spans="9:37" x14ac:dyDescent="0.3">
      <c r="I387">
        <f ca="1">IF(OR(INDIRECT(A73&amp;ROW())=B93,INDIRECT(A73&amp;ROW())=B94),1,IF(AND(INDIRECT(A73&amp;ROW())=B95,INDIRECT(A96&amp;ROW())=C93),1,IF(AND(INDIRECT(A73&amp;ROW())=B95,INDIRECT(A96&amp;ROW())=C94),1,0)))</f>
        <v>1</v>
      </c>
      <c r="J387">
        <f ca="1">IF(AND(INDIRECT(A73&amp;ROW())=B95,INDIRECT(A96&amp;ROW())=C95),1,IF(AND(INDIRECT(A73&amp;ROW())=B95,INDIRECT(A96&amp;ROW())=C96),1,0))</f>
        <v>0</v>
      </c>
      <c r="K387">
        <f ca="1">DAYS360(INDIRECT(C68&amp;ROW()),TODAY())</f>
        <v>759</v>
      </c>
      <c r="L387">
        <f ca="1">DAYS360(INDIRECT(C69&amp;ROW()),TODAY())</f>
        <v>788</v>
      </c>
      <c r="M387">
        <f ca="1">HYPERLINK(CONCATENATE("https://bugzilla.houston.hp.com:1181/bugzilla/show_bug.cgi?id=",INDIRECT(C70&amp;ROW())),INDIRECT(C70&amp;ROW()))</f>
        <v>57752</v>
      </c>
      <c r="N387">
        <v>57752</v>
      </c>
      <c r="O387" t="s">
        <v>164</v>
      </c>
      <c r="P387" t="s">
        <v>762</v>
      </c>
      <c r="Q387" t="s">
        <v>25</v>
      </c>
      <c r="R387" t="s">
        <v>248</v>
      </c>
      <c r="S387" t="s">
        <v>552</v>
      </c>
      <c r="U387" s="6">
        <v>42086.241550925923</v>
      </c>
      <c r="V387" t="s">
        <v>18</v>
      </c>
      <c r="W387" t="s">
        <v>512</v>
      </c>
      <c r="X387" s="6">
        <v>42059.3596412037</v>
      </c>
      <c r="Y387" t="s">
        <v>255</v>
      </c>
      <c r="AB387" t="s">
        <v>200</v>
      </c>
      <c r="AC387" t="s">
        <v>247</v>
      </c>
      <c r="AD387" t="s">
        <v>220</v>
      </c>
      <c r="AE387" t="s">
        <v>219</v>
      </c>
      <c r="AG387" t="s">
        <v>121</v>
      </c>
      <c r="AH387" t="s">
        <v>327</v>
      </c>
      <c r="AI387" t="s">
        <v>121</v>
      </c>
      <c r="AJ387" t="s">
        <v>715</v>
      </c>
      <c r="AK387" t="s">
        <v>121</v>
      </c>
    </row>
    <row r="388" spans="9:37" x14ac:dyDescent="0.3">
      <c r="I388">
        <f ca="1">IF(OR(INDIRECT(A73&amp;ROW())=B93,INDIRECT(A73&amp;ROW())=B94),1,IF(AND(INDIRECT(A73&amp;ROW())=B95,INDIRECT(A96&amp;ROW())=C93),1,IF(AND(INDIRECT(A73&amp;ROW())=B95,INDIRECT(A96&amp;ROW())=C94),1,0)))</f>
        <v>0</v>
      </c>
      <c r="J388">
        <f ca="1">IF(AND(INDIRECT(A73&amp;ROW())=B95,INDIRECT(A96&amp;ROW())=C95),1,IF(AND(INDIRECT(A73&amp;ROW())=B95,INDIRECT(A96&amp;ROW())=C96),1,0))</f>
        <v>1</v>
      </c>
      <c r="K388">
        <f ca="1">DAYS360(INDIRECT(C68&amp;ROW()),TODAY())</f>
        <v>721</v>
      </c>
      <c r="L388">
        <f ca="1">DAYS360(INDIRECT(C69&amp;ROW()),TODAY())</f>
        <v>781</v>
      </c>
      <c r="M388">
        <f ca="1">HYPERLINK(CONCATENATE("https://bugzilla.houston.hp.com:1181/bugzilla/show_bug.cgi?id=",INDIRECT(C70&amp;ROW())),INDIRECT(C70&amp;ROW()))</f>
        <v>57963</v>
      </c>
      <c r="N388">
        <v>57963</v>
      </c>
      <c r="O388" t="s">
        <v>241</v>
      </c>
      <c r="P388" t="s">
        <v>778</v>
      </c>
      <c r="Q388" t="s">
        <v>25</v>
      </c>
      <c r="R388" t="s">
        <v>251</v>
      </c>
      <c r="S388" t="s">
        <v>236</v>
      </c>
      <c r="U388" s="6">
        <v>42125.683368055557</v>
      </c>
      <c r="V388" t="s">
        <v>18</v>
      </c>
      <c r="W388" t="s">
        <v>17</v>
      </c>
      <c r="X388" s="6">
        <v>42064.456296296295</v>
      </c>
      <c r="Y388" t="s">
        <v>255</v>
      </c>
      <c r="AB388" t="s">
        <v>201</v>
      </c>
      <c r="AC388" t="s">
        <v>247</v>
      </c>
      <c r="AD388" t="s">
        <v>227</v>
      </c>
      <c r="AE388" t="s">
        <v>237</v>
      </c>
      <c r="AG388" t="s">
        <v>121</v>
      </c>
      <c r="AH388" t="s">
        <v>327</v>
      </c>
      <c r="AI388" t="s">
        <v>121</v>
      </c>
      <c r="AJ388" t="s">
        <v>716</v>
      </c>
      <c r="AK388" t="s">
        <v>121</v>
      </c>
    </row>
    <row r="389" spans="9:37" x14ac:dyDescent="0.3">
      <c r="I389">
        <f ca="1">IF(OR(INDIRECT(A73&amp;ROW())=B93,INDIRECT(A73&amp;ROW())=B94),1,IF(AND(INDIRECT(A73&amp;ROW())=B95,INDIRECT(A96&amp;ROW())=C93),1,IF(AND(INDIRECT(A73&amp;ROW())=B95,INDIRECT(A96&amp;ROW())=C94),1,0)))</f>
        <v>0</v>
      </c>
      <c r="J389">
        <f ca="1">IF(AND(INDIRECT(A73&amp;ROW())=B95,INDIRECT(A96&amp;ROW())=C95),1,IF(AND(INDIRECT(A73&amp;ROW())=B95,INDIRECT(A96&amp;ROW())=C96),1,0))</f>
        <v>1</v>
      </c>
      <c r="K389">
        <f ca="1">DAYS360(INDIRECT(C68&amp;ROW()),TODAY())</f>
        <v>730</v>
      </c>
      <c r="L389">
        <f ca="1">DAYS360(INDIRECT(C69&amp;ROW()),TODAY())</f>
        <v>781</v>
      </c>
      <c r="M389">
        <f ca="1">HYPERLINK(CONCATENATE("https://bugzilla.houston.hp.com:1181/bugzilla/show_bug.cgi?id=",INDIRECT(C70&amp;ROW())),INDIRECT(C70&amp;ROW()))</f>
        <v>57964</v>
      </c>
      <c r="N389">
        <v>57964</v>
      </c>
      <c r="O389" t="s">
        <v>56</v>
      </c>
      <c r="P389" t="s">
        <v>777</v>
      </c>
      <c r="Q389" t="s">
        <v>25</v>
      </c>
      <c r="R389" t="s">
        <v>251</v>
      </c>
      <c r="S389" t="s">
        <v>236</v>
      </c>
      <c r="U389" s="6">
        <v>42116.736770833333</v>
      </c>
      <c r="V389" t="s">
        <v>18</v>
      </c>
      <c r="W389" t="s">
        <v>17</v>
      </c>
      <c r="X389" s="6">
        <v>42064.457870370374</v>
      </c>
      <c r="Y389" t="s">
        <v>255</v>
      </c>
      <c r="AB389" t="s">
        <v>201</v>
      </c>
      <c r="AC389" t="s">
        <v>247</v>
      </c>
      <c r="AD389" t="s">
        <v>220</v>
      </c>
      <c r="AE389" t="s">
        <v>219</v>
      </c>
      <c r="AG389" t="s">
        <v>121</v>
      </c>
      <c r="AH389" t="s">
        <v>327</v>
      </c>
      <c r="AI389" t="s">
        <v>121</v>
      </c>
      <c r="AJ389" t="s">
        <v>716</v>
      </c>
      <c r="AK389" t="s">
        <v>121</v>
      </c>
    </row>
    <row r="390" spans="9:37" x14ac:dyDescent="0.3">
      <c r="I390">
        <f ca="1">IF(OR(INDIRECT(A73&amp;ROW())=B93,INDIRECT(A73&amp;ROW())=B94),1,IF(AND(INDIRECT(A73&amp;ROW())=B95,INDIRECT(A96&amp;ROW())=C93),1,IF(AND(INDIRECT(A73&amp;ROW())=B95,INDIRECT(A96&amp;ROW())=C94),1,0)))</f>
        <v>0</v>
      </c>
      <c r="J390">
        <f ca="1">IF(AND(INDIRECT(A73&amp;ROW())=B95,INDIRECT(A96&amp;ROW())=C95),1,IF(AND(INDIRECT(A73&amp;ROW())=B95,INDIRECT(A96&amp;ROW())=C96),1,0))</f>
        <v>1</v>
      </c>
      <c r="K390">
        <f ca="1">DAYS360(INDIRECT(C68&amp;ROW()),TODAY())</f>
        <v>721</v>
      </c>
      <c r="L390">
        <f ca="1">DAYS360(INDIRECT(C69&amp;ROW()),TODAY())</f>
        <v>780</v>
      </c>
      <c r="M390">
        <f ca="1">HYPERLINK(CONCATENATE("https://bugzilla.houston.hp.com:1181/bugzilla/show_bug.cgi?id=",INDIRECT(C70&amp;ROW())),INDIRECT(C70&amp;ROW()))</f>
        <v>58013</v>
      </c>
      <c r="N390">
        <v>58013</v>
      </c>
      <c r="O390" t="s">
        <v>241</v>
      </c>
      <c r="P390" t="s">
        <v>776</v>
      </c>
      <c r="Q390" t="s">
        <v>25</v>
      </c>
      <c r="R390" t="s">
        <v>248</v>
      </c>
      <c r="S390" t="s">
        <v>552</v>
      </c>
      <c r="U390" s="6">
        <v>42125.683310185188</v>
      </c>
      <c r="V390" t="s">
        <v>18</v>
      </c>
      <c r="W390" t="s">
        <v>576</v>
      </c>
      <c r="X390" s="6">
        <v>42065.375162037039</v>
      </c>
      <c r="Y390" t="s">
        <v>255</v>
      </c>
      <c r="AB390" t="s">
        <v>201</v>
      </c>
      <c r="AC390" t="s">
        <v>247</v>
      </c>
      <c r="AD390" t="s">
        <v>227</v>
      </c>
      <c r="AE390" t="s">
        <v>237</v>
      </c>
      <c r="AG390" t="s">
        <v>121</v>
      </c>
      <c r="AH390" t="s">
        <v>327</v>
      </c>
      <c r="AI390" t="s">
        <v>121</v>
      </c>
      <c r="AJ390" t="s">
        <v>716</v>
      </c>
      <c r="AK390" t="s">
        <v>121</v>
      </c>
    </row>
    <row r="391" spans="9:37" x14ac:dyDescent="0.3">
      <c r="I391">
        <f ca="1">IF(OR(INDIRECT(A73&amp;ROW())=B93,INDIRECT(A73&amp;ROW())=B94),1,IF(AND(INDIRECT(A73&amp;ROW())=B95,INDIRECT(A96&amp;ROW())=C93),1,IF(AND(INDIRECT(A73&amp;ROW())=B95,INDIRECT(A96&amp;ROW())=C94),1,0)))</f>
        <v>0</v>
      </c>
      <c r="J391">
        <f ca="1">IF(AND(INDIRECT(A73&amp;ROW())=B95,INDIRECT(A96&amp;ROW())=C95),1,IF(AND(INDIRECT(A73&amp;ROW())=B95,INDIRECT(A96&amp;ROW())=C96),1,0))</f>
        <v>1</v>
      </c>
      <c r="K391">
        <f ca="1">DAYS360(INDIRECT(C68&amp;ROW()),TODAY())</f>
        <v>681</v>
      </c>
      <c r="L391">
        <f ca="1">DAYS360(INDIRECT(C69&amp;ROW()),TODAY())</f>
        <v>780</v>
      </c>
      <c r="M391">
        <f ca="1">HYPERLINK(CONCATENATE("https://bugzilla.houston.hp.com:1181/bugzilla/show_bug.cgi?id=",INDIRECT(C70&amp;ROW())),INDIRECT(C70&amp;ROW()))</f>
        <v>58015</v>
      </c>
      <c r="N391">
        <v>58015</v>
      </c>
      <c r="O391" t="s">
        <v>56</v>
      </c>
      <c r="P391" t="s">
        <v>775</v>
      </c>
      <c r="Q391" t="s">
        <v>25</v>
      </c>
      <c r="R391" t="s">
        <v>248</v>
      </c>
      <c r="S391" t="s">
        <v>552</v>
      </c>
      <c r="U391" s="6">
        <v>42166.355590277781</v>
      </c>
      <c r="V391" t="s">
        <v>18</v>
      </c>
      <c r="W391" t="s">
        <v>576</v>
      </c>
      <c r="X391" s="6">
        <v>42065.375462962962</v>
      </c>
      <c r="Y391" t="s">
        <v>255</v>
      </c>
      <c r="AB391" t="s">
        <v>201</v>
      </c>
      <c r="AC391" t="s">
        <v>247</v>
      </c>
      <c r="AD391" t="s">
        <v>220</v>
      </c>
      <c r="AE391" t="s">
        <v>219</v>
      </c>
      <c r="AG391" t="s">
        <v>121</v>
      </c>
      <c r="AH391" t="s">
        <v>327</v>
      </c>
      <c r="AI391" t="s">
        <v>121</v>
      </c>
      <c r="AJ391" t="s">
        <v>716</v>
      </c>
      <c r="AK391" t="s">
        <v>121</v>
      </c>
    </row>
    <row r="392" spans="9:37" x14ac:dyDescent="0.3">
      <c r="I392">
        <f ca="1">IF(OR(INDIRECT(A73&amp;ROW())=B93,INDIRECT(A73&amp;ROW())=B94),1,IF(AND(INDIRECT(A73&amp;ROW())=B95,INDIRECT(A96&amp;ROW())=C93),1,IF(AND(INDIRECT(A73&amp;ROW())=B95,INDIRECT(A96&amp;ROW())=C94),1,0)))</f>
        <v>0</v>
      </c>
      <c r="J392">
        <f ca="1">IF(AND(INDIRECT(A73&amp;ROW())=B95,INDIRECT(A96&amp;ROW())=C95),1,IF(AND(INDIRECT(A73&amp;ROW())=B95,INDIRECT(A96&amp;ROW())=C96),1,0))</f>
        <v>0</v>
      </c>
      <c r="K392">
        <f ca="1">DAYS360(INDIRECT(C68&amp;ROW()),TODAY())</f>
        <v>728</v>
      </c>
      <c r="L392">
        <f ca="1">DAYS360(INDIRECT(C69&amp;ROW()),TODAY())</f>
        <v>779</v>
      </c>
      <c r="M392">
        <f ca="1">HYPERLINK(CONCATENATE("https://bugzilla.houston.hp.com:1181/bugzilla/show_bug.cgi?id=",INDIRECT(C70&amp;ROW())),INDIRECT(C70&amp;ROW()))</f>
        <v>58074</v>
      </c>
      <c r="N392">
        <v>58074</v>
      </c>
      <c r="O392" t="s">
        <v>56</v>
      </c>
      <c r="P392" t="s">
        <v>774</v>
      </c>
      <c r="Q392" t="s">
        <v>16</v>
      </c>
      <c r="R392" t="s">
        <v>251</v>
      </c>
      <c r="S392" t="s">
        <v>292</v>
      </c>
      <c r="U392" s="6">
        <v>42118.524386574078</v>
      </c>
      <c r="V392" t="s">
        <v>18</v>
      </c>
      <c r="W392" t="s">
        <v>17</v>
      </c>
      <c r="X392" s="6">
        <v>42066.574571759258</v>
      </c>
      <c r="Y392" t="s">
        <v>785</v>
      </c>
      <c r="AB392" t="s">
        <v>201</v>
      </c>
      <c r="AC392" t="s">
        <v>247</v>
      </c>
      <c r="AD392" t="s">
        <v>220</v>
      </c>
      <c r="AE392" t="s">
        <v>219</v>
      </c>
      <c r="AG392" t="s">
        <v>121</v>
      </c>
      <c r="AH392" t="s">
        <v>768</v>
      </c>
      <c r="AI392" t="s">
        <v>121</v>
      </c>
      <c r="AJ392" t="s">
        <v>717</v>
      </c>
      <c r="AK392" t="s">
        <v>121</v>
      </c>
    </row>
    <row r="393" spans="9:37" x14ac:dyDescent="0.3">
      <c r="I393">
        <f ca="1">IF(OR(INDIRECT(A73&amp;ROW())=B93,INDIRECT(A73&amp;ROW())=B94),1,IF(AND(INDIRECT(A73&amp;ROW())=B95,INDIRECT(A96&amp;ROW())=C93),1,IF(AND(INDIRECT(A73&amp;ROW())=B95,INDIRECT(A96&amp;ROW())=C94),1,0)))</f>
        <v>1</v>
      </c>
      <c r="J393">
        <f ca="1">IF(AND(INDIRECT(A73&amp;ROW())=B95,INDIRECT(A96&amp;ROW())=C95),1,IF(AND(INDIRECT(A73&amp;ROW())=B95,INDIRECT(A96&amp;ROW())=C96),1,0))</f>
        <v>0</v>
      </c>
      <c r="K393">
        <f ca="1">DAYS360(INDIRECT(C68&amp;ROW()),TODAY())</f>
        <v>693</v>
      </c>
      <c r="L393">
        <f ca="1">DAYS360(INDIRECT(C69&amp;ROW()),TODAY())</f>
        <v>779</v>
      </c>
      <c r="M393">
        <f ca="1">HYPERLINK(CONCATENATE("https://bugzilla.houston.hp.com:1181/bugzilla/show_bug.cgi?id=",INDIRECT(C70&amp;ROW())),INDIRECT(C70&amp;ROW()))</f>
        <v>58079</v>
      </c>
      <c r="N393">
        <v>58079</v>
      </c>
      <c r="O393" t="s">
        <v>66</v>
      </c>
      <c r="P393" t="s">
        <v>772</v>
      </c>
      <c r="Q393" t="s">
        <v>39</v>
      </c>
      <c r="R393" t="s">
        <v>251</v>
      </c>
      <c r="S393" t="s">
        <v>66</v>
      </c>
      <c r="T393" t="s">
        <v>782</v>
      </c>
      <c r="U393" s="6">
        <v>42153.075069444443</v>
      </c>
      <c r="V393" t="s">
        <v>35</v>
      </c>
      <c r="W393" t="s">
        <v>17</v>
      </c>
      <c r="X393" s="6">
        <v>42066.752662037034</v>
      </c>
      <c r="Y393" t="s">
        <v>122</v>
      </c>
      <c r="AB393" t="s">
        <v>201</v>
      </c>
      <c r="AC393" t="s">
        <v>247</v>
      </c>
      <c r="AD393" t="s">
        <v>220</v>
      </c>
      <c r="AE393" t="s">
        <v>219</v>
      </c>
      <c r="AG393" t="s">
        <v>121</v>
      </c>
      <c r="AH393" t="s">
        <v>327</v>
      </c>
      <c r="AI393" t="s">
        <v>121</v>
      </c>
      <c r="AJ393" t="s">
        <v>715</v>
      </c>
      <c r="AK393" t="s">
        <v>121</v>
      </c>
    </row>
    <row r="394" spans="9:37" x14ac:dyDescent="0.3">
      <c r="I394">
        <f ca="1">IF(OR(INDIRECT(A73&amp;ROW())=B93,INDIRECT(A73&amp;ROW())=B94),1,IF(AND(INDIRECT(A73&amp;ROW())=B95,INDIRECT(A96&amp;ROW())=C93),1,IF(AND(INDIRECT(A73&amp;ROW())=B95,INDIRECT(A96&amp;ROW())=C94),1,0)))</f>
        <v>1</v>
      </c>
      <c r="J394">
        <f ca="1">IF(AND(INDIRECT(A73&amp;ROW())=B95,INDIRECT(A96&amp;ROW())=C95),1,IF(AND(INDIRECT(A73&amp;ROW())=B95,INDIRECT(A96&amp;ROW())=C96),1,0))</f>
        <v>0</v>
      </c>
      <c r="K394">
        <f ca="1">DAYS360(INDIRECT(C68&amp;ROW()),TODAY())</f>
        <v>735</v>
      </c>
      <c r="L394">
        <f ca="1">DAYS360(INDIRECT(C69&amp;ROW()),TODAY())</f>
        <v>778</v>
      </c>
      <c r="M394">
        <f ca="1">HYPERLINK(CONCATENATE("https://bugzilla.houston.hp.com:1181/bugzilla/show_bug.cgi?id=",INDIRECT(C70&amp;ROW())),INDIRECT(C70&amp;ROW()))</f>
        <v>58085</v>
      </c>
      <c r="N394">
        <v>58085</v>
      </c>
      <c r="O394" t="s">
        <v>66</v>
      </c>
      <c r="P394" t="s">
        <v>771</v>
      </c>
      <c r="Q394" t="s">
        <v>39</v>
      </c>
      <c r="R394" t="s">
        <v>579</v>
      </c>
      <c r="S394" t="s">
        <v>552</v>
      </c>
      <c r="T394" t="s">
        <v>820</v>
      </c>
      <c r="U394" s="6">
        <v>42111.527662037035</v>
      </c>
      <c r="V394" t="s">
        <v>18</v>
      </c>
      <c r="W394" t="s">
        <v>372</v>
      </c>
      <c r="X394" s="6">
        <v>42067.014606481483</v>
      </c>
      <c r="Y394" t="s">
        <v>122</v>
      </c>
      <c r="AB394" t="s">
        <v>201</v>
      </c>
      <c r="AC394" t="s">
        <v>247</v>
      </c>
      <c r="AD394" t="s">
        <v>220</v>
      </c>
      <c r="AE394" t="s">
        <v>219</v>
      </c>
      <c r="AG394" t="s">
        <v>121</v>
      </c>
      <c r="AH394" t="s">
        <v>327</v>
      </c>
      <c r="AI394" t="s">
        <v>362</v>
      </c>
      <c r="AJ394" t="s">
        <v>715</v>
      </c>
      <c r="AK394" t="s">
        <v>121</v>
      </c>
    </row>
    <row r="395" spans="9:37" x14ac:dyDescent="0.3">
      <c r="I395">
        <f ca="1">IF(OR(INDIRECT(A73&amp;ROW())=B93,INDIRECT(A73&amp;ROW())=B94),1,IF(AND(INDIRECT(A73&amp;ROW())=B95,INDIRECT(A96&amp;ROW())=C93),1,IF(AND(INDIRECT(A73&amp;ROW())=B95,INDIRECT(A96&amp;ROW())=C94),1,0)))</f>
        <v>1</v>
      </c>
      <c r="J395">
        <f ca="1">IF(AND(INDIRECT(A73&amp;ROW())=B95,INDIRECT(A96&amp;ROW())=C95),1,IF(AND(INDIRECT(A73&amp;ROW())=B95,INDIRECT(A96&amp;ROW())=C96),1,0))</f>
        <v>0</v>
      </c>
      <c r="K395">
        <f ca="1">DAYS360(INDIRECT(C68&amp;ROW()),TODAY())</f>
        <v>684</v>
      </c>
      <c r="L395">
        <f ca="1">DAYS360(INDIRECT(C69&amp;ROW()),TODAY())</f>
        <v>778</v>
      </c>
      <c r="M395">
        <f ca="1">HYPERLINK(CONCATENATE("https://bugzilla.houston.hp.com:1181/bugzilla/show_bug.cgi?id=",INDIRECT(C70&amp;ROW())),INDIRECT(C70&amp;ROW()))</f>
        <v>58086</v>
      </c>
      <c r="N395">
        <v>58086</v>
      </c>
      <c r="O395" t="s">
        <v>66</v>
      </c>
      <c r="P395" t="s">
        <v>770</v>
      </c>
      <c r="Q395" t="s">
        <v>39</v>
      </c>
      <c r="R395" t="s">
        <v>248</v>
      </c>
      <c r="S395" t="s">
        <v>552</v>
      </c>
      <c r="T395" t="s">
        <v>782</v>
      </c>
      <c r="U395" s="6">
        <v>42163.604212962964</v>
      </c>
      <c r="V395" t="s">
        <v>35</v>
      </c>
      <c r="W395" t="s">
        <v>372</v>
      </c>
      <c r="X395" s="6">
        <v>42067.014675925922</v>
      </c>
      <c r="Y395" t="s">
        <v>122</v>
      </c>
      <c r="AB395" t="s">
        <v>201</v>
      </c>
      <c r="AC395" t="s">
        <v>247</v>
      </c>
      <c r="AD395" t="s">
        <v>220</v>
      </c>
      <c r="AE395" t="s">
        <v>219</v>
      </c>
      <c r="AG395" t="s">
        <v>121</v>
      </c>
      <c r="AH395" t="s">
        <v>327</v>
      </c>
      <c r="AI395" t="s">
        <v>121</v>
      </c>
      <c r="AJ395" t="s">
        <v>715</v>
      </c>
      <c r="AK395" t="s">
        <v>121</v>
      </c>
    </row>
    <row r="396" spans="9:37" x14ac:dyDescent="0.3">
      <c r="I396">
        <f ca="1">IF(OR(INDIRECT(A73&amp;ROW())=B93,INDIRECT(A73&amp;ROW())=B94),1,IF(AND(INDIRECT(A73&amp;ROW())=B95,INDIRECT(A96&amp;ROW())=C93),1,IF(AND(INDIRECT(A73&amp;ROW())=B95,INDIRECT(A96&amp;ROW())=C94),1,0)))</f>
        <v>0</v>
      </c>
      <c r="J396">
        <f ca="1">IF(AND(INDIRECT(A73&amp;ROW())=B95,INDIRECT(A96&amp;ROW())=C95),1,IF(AND(INDIRECT(A73&amp;ROW())=B95,INDIRECT(A96&amp;ROW())=C96),1,0))</f>
        <v>0</v>
      </c>
      <c r="K396">
        <f ca="1">DAYS360(INDIRECT(C68&amp;ROW()),TODAY())</f>
        <v>681</v>
      </c>
      <c r="L396">
        <f ca="1">DAYS360(INDIRECT(C69&amp;ROW()),TODAY())</f>
        <v>778</v>
      </c>
      <c r="M396">
        <f ca="1">HYPERLINK(CONCATENATE("https://bugzilla.houston.hp.com:1181/bugzilla/show_bug.cgi?id=",INDIRECT(C70&amp;ROW())),INDIRECT(C70&amp;ROW()))</f>
        <v>58098</v>
      </c>
      <c r="N396">
        <v>58098</v>
      </c>
      <c r="O396" t="s">
        <v>56</v>
      </c>
      <c r="P396" t="s">
        <v>769</v>
      </c>
      <c r="Q396" t="s">
        <v>16</v>
      </c>
      <c r="R396" t="s">
        <v>248</v>
      </c>
      <c r="S396" t="s">
        <v>552</v>
      </c>
      <c r="U396" s="6">
        <v>42166.356099537035</v>
      </c>
      <c r="V396" t="s">
        <v>18</v>
      </c>
      <c r="W396" t="s">
        <v>372</v>
      </c>
      <c r="X396" s="6">
        <v>42067.015717592592</v>
      </c>
      <c r="Y396" t="s">
        <v>785</v>
      </c>
      <c r="AB396" t="s">
        <v>201</v>
      </c>
      <c r="AC396" t="s">
        <v>247</v>
      </c>
      <c r="AD396" t="s">
        <v>220</v>
      </c>
      <c r="AE396" t="s">
        <v>219</v>
      </c>
      <c r="AG396" t="s">
        <v>121</v>
      </c>
      <c r="AH396" t="s">
        <v>768</v>
      </c>
      <c r="AI396" t="s">
        <v>121</v>
      </c>
      <c r="AJ396" t="s">
        <v>717</v>
      </c>
      <c r="AK396" t="s">
        <v>121</v>
      </c>
    </row>
    <row r="397" spans="9:37" x14ac:dyDescent="0.3">
      <c r="I397">
        <f ca="1">IF(OR(INDIRECT(A73&amp;ROW())=B93,INDIRECT(A73&amp;ROW())=B94),1,IF(AND(INDIRECT(A73&amp;ROW())=B95,INDIRECT(A96&amp;ROW())=C93),1,IF(AND(INDIRECT(A73&amp;ROW())=B95,INDIRECT(A96&amp;ROW())=C94),1,0)))</f>
        <v>0</v>
      </c>
      <c r="J397">
        <f ca="1">IF(AND(INDIRECT(A73&amp;ROW())=B95,INDIRECT(A96&amp;ROW())=C95),1,IF(AND(INDIRECT(A73&amp;ROW())=B95,INDIRECT(A96&amp;ROW())=C96),1,0))</f>
        <v>1</v>
      </c>
      <c r="K397">
        <f ca="1">DAYS360(INDIRECT(C68&amp;ROW()),TODAY())</f>
        <v>690</v>
      </c>
      <c r="L397">
        <f ca="1">DAYS360(INDIRECT(C69&amp;ROW()),TODAY())</f>
        <v>776</v>
      </c>
      <c r="M397">
        <f ca="1">HYPERLINK(CONCATENATE("https://bugzilla.houston.hp.com:1181/bugzilla/show_bug.cgi?id=",INDIRECT(C70&amp;ROW())),INDIRECT(C70&amp;ROW()))</f>
        <v>58308</v>
      </c>
      <c r="N397">
        <v>58308</v>
      </c>
      <c r="O397" t="s">
        <v>22</v>
      </c>
      <c r="P397" t="s">
        <v>781</v>
      </c>
      <c r="Q397" t="s">
        <v>25</v>
      </c>
      <c r="R397" t="s">
        <v>251</v>
      </c>
      <c r="S397" t="s">
        <v>773</v>
      </c>
      <c r="U397" s="6">
        <v>42157.600729166668</v>
      </c>
      <c r="V397" t="s">
        <v>18</v>
      </c>
      <c r="W397" t="s">
        <v>17</v>
      </c>
      <c r="X397" s="6">
        <v>42069.514872685184</v>
      </c>
      <c r="Y397" t="s">
        <v>125</v>
      </c>
      <c r="AB397" t="s">
        <v>201</v>
      </c>
      <c r="AC397" t="s">
        <v>247</v>
      </c>
      <c r="AD397" t="s">
        <v>220</v>
      </c>
      <c r="AE397" t="s">
        <v>223</v>
      </c>
      <c r="AG397" t="s">
        <v>121</v>
      </c>
      <c r="AH397" t="s">
        <v>327</v>
      </c>
      <c r="AI397" t="s">
        <v>121</v>
      </c>
      <c r="AJ397" t="s">
        <v>716</v>
      </c>
      <c r="AK397" t="s">
        <v>121</v>
      </c>
    </row>
    <row r="398" spans="9:37" x14ac:dyDescent="0.3">
      <c r="I398">
        <f ca="1">IF(OR(INDIRECT(A73&amp;ROW())=B93,INDIRECT(A73&amp;ROW())=B94),1,IF(AND(INDIRECT(A73&amp;ROW())=B95,INDIRECT(A96&amp;ROW())=C93),1,IF(AND(INDIRECT(A73&amp;ROW())=B95,INDIRECT(A96&amp;ROW())=C94),1,0)))</f>
        <v>0</v>
      </c>
      <c r="J398">
        <f ca="1">IF(AND(INDIRECT(A73&amp;ROW())=B95,INDIRECT(A96&amp;ROW())=C95),1,IF(AND(INDIRECT(A73&amp;ROW())=B95,INDIRECT(A96&amp;ROW())=C96),1,0))</f>
        <v>1</v>
      </c>
      <c r="K398">
        <f ca="1">DAYS360(INDIRECT(C68&amp;ROW()),TODAY())</f>
        <v>690</v>
      </c>
      <c r="L398">
        <f ca="1">DAYS360(INDIRECT(C69&amp;ROW()),TODAY())</f>
        <v>776</v>
      </c>
      <c r="M398">
        <f ca="1">HYPERLINK(CONCATENATE("https://bugzilla.houston.hp.com:1181/bugzilla/show_bug.cgi?id=",INDIRECT(C70&amp;ROW())),INDIRECT(C70&amp;ROW()))</f>
        <v>58311</v>
      </c>
      <c r="N398">
        <v>58311</v>
      </c>
      <c r="O398" t="s">
        <v>22</v>
      </c>
      <c r="P398" t="s">
        <v>780</v>
      </c>
      <c r="Q398" t="s">
        <v>25</v>
      </c>
      <c r="R398" t="s">
        <v>248</v>
      </c>
      <c r="S398" t="s">
        <v>552</v>
      </c>
      <c r="U398" s="6">
        <v>42157.600729166668</v>
      </c>
      <c r="V398" t="s">
        <v>18</v>
      </c>
      <c r="W398" t="s">
        <v>576</v>
      </c>
      <c r="X398" s="6">
        <v>42069.57304398148</v>
      </c>
      <c r="Y398" t="s">
        <v>125</v>
      </c>
      <c r="AB398" t="s">
        <v>201</v>
      </c>
      <c r="AC398" t="s">
        <v>247</v>
      </c>
      <c r="AD398" t="s">
        <v>220</v>
      </c>
      <c r="AE398" t="s">
        <v>223</v>
      </c>
      <c r="AG398" t="s">
        <v>121</v>
      </c>
      <c r="AH398" t="s">
        <v>327</v>
      </c>
      <c r="AI398" t="s">
        <v>121</v>
      </c>
      <c r="AJ398" t="s">
        <v>716</v>
      </c>
      <c r="AK398" t="s">
        <v>121</v>
      </c>
    </row>
    <row r="399" spans="9:37" x14ac:dyDescent="0.3">
      <c r="I399">
        <f ca="1">IF(OR(INDIRECT(A73&amp;ROW())=B93,INDIRECT(A73&amp;ROW())=B94),1,IF(AND(INDIRECT(A73&amp;ROW())=B95,INDIRECT(A96&amp;ROW())=C93),1,IF(AND(INDIRECT(A73&amp;ROW())=B95,INDIRECT(A96&amp;ROW())=C94),1,0)))</f>
        <v>1</v>
      </c>
      <c r="J399">
        <f ca="1">IF(AND(INDIRECT(A73&amp;ROW())=B95,INDIRECT(A96&amp;ROW())=C95),1,IF(AND(INDIRECT(A73&amp;ROW())=B95,INDIRECT(A96&amp;ROW())=C96),1,0))</f>
        <v>0</v>
      </c>
      <c r="K399">
        <f ca="1">DAYS360(INDIRECT(C68&amp;ROW()),TODAY())</f>
        <v>681</v>
      </c>
      <c r="L399">
        <f ca="1">DAYS360(INDIRECT(C69&amp;ROW()),TODAY())</f>
        <v>773</v>
      </c>
      <c r="M399">
        <f ca="1">HYPERLINK(CONCATENATE("https://bugzilla.houston.hp.com:1181/bugzilla/show_bug.cgi?id=",INDIRECT(C70&amp;ROW())),INDIRECT(C70&amp;ROW()))</f>
        <v>58413</v>
      </c>
      <c r="N399">
        <v>58413</v>
      </c>
      <c r="O399" t="s">
        <v>164</v>
      </c>
      <c r="P399" t="s">
        <v>1253</v>
      </c>
      <c r="Q399" t="s">
        <v>39</v>
      </c>
      <c r="R399" t="s">
        <v>251</v>
      </c>
      <c r="S399" t="s">
        <v>66</v>
      </c>
      <c r="U399" s="6">
        <v>42166.463750000003</v>
      </c>
      <c r="V399" t="s">
        <v>40</v>
      </c>
      <c r="W399" t="s">
        <v>17</v>
      </c>
      <c r="X399" s="6">
        <v>42072.772499999999</v>
      </c>
      <c r="Y399" t="s">
        <v>793</v>
      </c>
      <c r="AB399" t="s">
        <v>201</v>
      </c>
      <c r="AC399" t="s">
        <v>247</v>
      </c>
      <c r="AD399" t="s">
        <v>220</v>
      </c>
      <c r="AE399" t="s">
        <v>219</v>
      </c>
      <c r="AG399" t="s">
        <v>121</v>
      </c>
      <c r="AH399" t="s">
        <v>327</v>
      </c>
      <c r="AI399" t="s">
        <v>121</v>
      </c>
      <c r="AJ399" t="s">
        <v>716</v>
      </c>
      <c r="AK399" t="s">
        <v>121</v>
      </c>
    </row>
    <row r="400" spans="9:37" x14ac:dyDescent="0.3">
      <c r="I400">
        <f ca="1">IF(OR(INDIRECT(A73&amp;ROW())=B93,INDIRECT(A73&amp;ROW())=B94),1,IF(AND(INDIRECT(A73&amp;ROW())=B95,INDIRECT(A96&amp;ROW())=C93),1,IF(AND(INDIRECT(A73&amp;ROW())=B95,INDIRECT(A96&amp;ROW())=C94),1,0)))</f>
        <v>1</v>
      </c>
      <c r="J400">
        <f ca="1">IF(AND(INDIRECT(A73&amp;ROW())=B95,INDIRECT(A96&amp;ROW())=C95),1,IF(AND(INDIRECT(A73&amp;ROW())=B95,INDIRECT(A96&amp;ROW())=C96),1,0))</f>
        <v>0</v>
      </c>
      <c r="K400">
        <f ca="1">DAYS360(INDIRECT(C68&amp;ROW()),TODAY())</f>
        <v>684</v>
      </c>
      <c r="L400">
        <f ca="1">DAYS360(INDIRECT(C69&amp;ROW()),TODAY())</f>
        <v>772</v>
      </c>
      <c r="M400">
        <f ca="1">HYPERLINK(CONCATENATE("https://bugzilla.houston.hp.com:1181/bugzilla/show_bug.cgi?id=",INDIRECT(C70&amp;ROW())),INDIRECT(C70&amp;ROW()))</f>
        <v>58422</v>
      </c>
      <c r="N400">
        <v>58422</v>
      </c>
      <c r="O400" t="s">
        <v>156</v>
      </c>
      <c r="P400" t="s">
        <v>1252</v>
      </c>
      <c r="Q400" t="s">
        <v>39</v>
      </c>
      <c r="R400" t="s">
        <v>579</v>
      </c>
      <c r="S400" t="s">
        <v>552</v>
      </c>
      <c r="T400" t="s">
        <v>822</v>
      </c>
      <c r="U400" s="6">
        <v>42163.40315972222</v>
      </c>
      <c r="V400" t="s">
        <v>40</v>
      </c>
      <c r="W400" t="s">
        <v>322</v>
      </c>
      <c r="X400" s="6">
        <v>42073.014756944445</v>
      </c>
      <c r="Y400" t="s">
        <v>793</v>
      </c>
      <c r="AB400" t="s">
        <v>201</v>
      </c>
      <c r="AC400" t="s">
        <v>247</v>
      </c>
      <c r="AD400" t="s">
        <v>220</v>
      </c>
      <c r="AE400" t="s">
        <v>219</v>
      </c>
      <c r="AG400" t="s">
        <v>121</v>
      </c>
      <c r="AH400" t="s">
        <v>327</v>
      </c>
      <c r="AI400" t="s">
        <v>121</v>
      </c>
      <c r="AJ400" t="s">
        <v>715</v>
      </c>
      <c r="AK400" t="s">
        <v>121</v>
      </c>
    </row>
    <row r="401" spans="9:37" x14ac:dyDescent="0.3">
      <c r="I401">
        <f ca="1">IF(OR(INDIRECT(A73&amp;ROW())=B93,INDIRECT(A73&amp;ROW())=B94),1,IF(AND(INDIRECT(A73&amp;ROW())=B95,INDIRECT(A96&amp;ROW())=C93),1,IF(AND(INDIRECT(A73&amp;ROW())=B95,INDIRECT(A96&amp;ROW())=C94),1,0)))</f>
        <v>1</v>
      </c>
      <c r="J401">
        <f ca="1">IF(AND(INDIRECT(A73&amp;ROW())=B95,INDIRECT(A96&amp;ROW())=C95),1,IF(AND(INDIRECT(A73&amp;ROW())=B95,INDIRECT(A96&amp;ROW())=C96),1,0))</f>
        <v>0</v>
      </c>
      <c r="K401">
        <f ca="1">DAYS360(INDIRECT(C68&amp;ROW()),TODAY())</f>
        <v>735</v>
      </c>
      <c r="L401">
        <f ca="1">DAYS360(INDIRECT(C69&amp;ROW()),TODAY())</f>
        <v>772</v>
      </c>
      <c r="M401">
        <f ca="1">HYPERLINK(CONCATENATE("https://bugzilla.houston.hp.com:1181/bugzilla/show_bug.cgi?id=",INDIRECT(C70&amp;ROW())),INDIRECT(C70&amp;ROW()))</f>
        <v>58468</v>
      </c>
      <c r="N401">
        <v>58468</v>
      </c>
      <c r="O401" t="s">
        <v>68</v>
      </c>
      <c r="P401" t="s">
        <v>800</v>
      </c>
      <c r="Q401" t="s">
        <v>25</v>
      </c>
      <c r="R401" t="s">
        <v>579</v>
      </c>
      <c r="S401" t="s">
        <v>784</v>
      </c>
      <c r="T401" t="s">
        <v>816</v>
      </c>
      <c r="U401" s="6">
        <v>42111.528749999998</v>
      </c>
      <c r="V401" t="s">
        <v>35</v>
      </c>
      <c r="W401" t="s">
        <v>576</v>
      </c>
      <c r="X401" s="6">
        <v>42073.574074074073</v>
      </c>
      <c r="Y401" t="s">
        <v>255</v>
      </c>
      <c r="Z401" t="s">
        <v>125</v>
      </c>
      <c r="AB401" t="s">
        <v>200</v>
      </c>
      <c r="AC401" t="s">
        <v>247</v>
      </c>
      <c r="AD401" t="s">
        <v>220</v>
      </c>
      <c r="AE401" t="s">
        <v>229</v>
      </c>
      <c r="AG401" t="s">
        <v>121</v>
      </c>
      <c r="AH401" t="s">
        <v>327</v>
      </c>
      <c r="AI401" t="s">
        <v>362</v>
      </c>
      <c r="AJ401" t="s">
        <v>715</v>
      </c>
      <c r="AK401" t="s">
        <v>121</v>
      </c>
    </row>
    <row r="402" spans="9:37" x14ac:dyDescent="0.3">
      <c r="I402">
        <f ca="1">IF(OR(INDIRECT(A73&amp;ROW())=B93,INDIRECT(A73&amp;ROW())=B94),1,IF(AND(INDIRECT(A73&amp;ROW())=B95,INDIRECT(A96&amp;ROW())=C93),1,IF(AND(INDIRECT(A73&amp;ROW())=B95,INDIRECT(A96&amp;ROW())=C94),1,0)))</f>
        <v>0</v>
      </c>
      <c r="J402">
        <f ca="1">IF(AND(INDIRECT(A73&amp;ROW())=B95,INDIRECT(A96&amp;ROW())=C95),1,IF(AND(INDIRECT(A73&amp;ROW())=B95,INDIRECT(A96&amp;ROW())=C96),1,0))</f>
        <v>1</v>
      </c>
      <c r="K402">
        <f ca="1">DAYS360(INDIRECT(C68&amp;ROW()),TODAY())</f>
        <v>684</v>
      </c>
      <c r="L402">
        <f ca="1">DAYS360(INDIRECT(C69&amp;ROW()),TODAY())</f>
        <v>770</v>
      </c>
      <c r="M402">
        <f ca="1">HYPERLINK(CONCATENATE("https://bugzilla.houston.hp.com:1181/bugzilla/show_bug.cgi?id=",INDIRECT(C70&amp;ROW())),INDIRECT(C70&amp;ROW()))</f>
        <v>58612</v>
      </c>
      <c r="N402">
        <v>58612</v>
      </c>
      <c r="O402" t="s">
        <v>45</v>
      </c>
      <c r="P402" t="s">
        <v>799</v>
      </c>
      <c r="Q402" t="s">
        <v>25</v>
      </c>
      <c r="R402" t="s">
        <v>251</v>
      </c>
      <c r="S402" t="s">
        <v>33</v>
      </c>
      <c r="T402" t="s">
        <v>798</v>
      </c>
      <c r="U402" s="6">
        <v>42163.556331018517</v>
      </c>
      <c r="V402" t="s">
        <v>18</v>
      </c>
      <c r="W402" t="s">
        <v>783</v>
      </c>
      <c r="X402" s="6">
        <v>42075.22042824074</v>
      </c>
      <c r="Y402" t="s">
        <v>119</v>
      </c>
      <c r="AB402" t="s">
        <v>201</v>
      </c>
      <c r="AC402" t="s">
        <v>247</v>
      </c>
      <c r="AD402" t="s">
        <v>227</v>
      </c>
      <c r="AE402" t="s">
        <v>370</v>
      </c>
      <c r="AG402" t="s">
        <v>121</v>
      </c>
      <c r="AH402" t="s">
        <v>327</v>
      </c>
      <c r="AI402" t="s">
        <v>121</v>
      </c>
      <c r="AJ402" t="s">
        <v>716</v>
      </c>
      <c r="AK402" t="s">
        <v>121</v>
      </c>
    </row>
    <row r="403" spans="9:37" x14ac:dyDescent="0.3">
      <c r="I403">
        <f ca="1">IF(OR(INDIRECT(A73&amp;ROW())=B93,INDIRECT(A73&amp;ROW())=B94),1,IF(AND(INDIRECT(A73&amp;ROW())=B95,INDIRECT(A96&amp;ROW())=C93),1,IF(AND(INDIRECT(A73&amp;ROW())=B95,INDIRECT(A96&amp;ROW())=C94),1,0)))</f>
        <v>0</v>
      </c>
      <c r="J403">
        <f ca="1">IF(AND(INDIRECT(A73&amp;ROW())=B95,INDIRECT(A96&amp;ROW())=C95),1,IF(AND(INDIRECT(A73&amp;ROW())=B95,INDIRECT(A96&amp;ROW())=C96),1,0))</f>
        <v>1</v>
      </c>
      <c r="K403">
        <f ca="1">DAYS360(INDIRECT(C68&amp;ROW()),TODAY())</f>
        <v>690</v>
      </c>
      <c r="L403">
        <f ca="1">DAYS360(INDIRECT(C69&amp;ROW()),TODAY())</f>
        <v>770</v>
      </c>
      <c r="M403">
        <f ca="1">HYPERLINK(CONCATENATE("https://bugzilla.houston.hp.com:1181/bugzilla/show_bug.cgi?id=",INDIRECT(C70&amp;ROW())),INDIRECT(C70&amp;ROW()))</f>
        <v>58627</v>
      </c>
      <c r="N403">
        <v>58627</v>
      </c>
      <c r="O403" t="s">
        <v>36</v>
      </c>
      <c r="P403" t="s">
        <v>797</v>
      </c>
      <c r="Q403" t="s">
        <v>25</v>
      </c>
      <c r="R403" t="s">
        <v>579</v>
      </c>
      <c r="S403" t="s">
        <v>552</v>
      </c>
      <c r="T403" t="s">
        <v>798</v>
      </c>
      <c r="U403" s="6">
        <v>42157.102453703701</v>
      </c>
      <c r="V403" t="s">
        <v>18</v>
      </c>
      <c r="W403" t="s">
        <v>783</v>
      </c>
      <c r="X403" s="6">
        <v>42075.359710648147</v>
      </c>
      <c r="Y403" t="s">
        <v>119</v>
      </c>
      <c r="AB403" t="s">
        <v>201</v>
      </c>
      <c r="AC403" t="s">
        <v>247</v>
      </c>
      <c r="AD403" t="s">
        <v>227</v>
      </c>
      <c r="AE403" t="s">
        <v>370</v>
      </c>
      <c r="AG403" t="s">
        <v>121</v>
      </c>
      <c r="AH403" t="s">
        <v>327</v>
      </c>
      <c r="AI403" t="s">
        <v>121</v>
      </c>
      <c r="AJ403" t="s">
        <v>716</v>
      </c>
      <c r="AK403" t="s">
        <v>121</v>
      </c>
    </row>
    <row r="404" spans="9:37" x14ac:dyDescent="0.3">
      <c r="I404">
        <f ca="1">IF(OR(INDIRECT(A73&amp;ROW())=B93,INDIRECT(A73&amp;ROW())=B94),1,IF(AND(INDIRECT(A73&amp;ROW())=B95,INDIRECT(A96&amp;ROW())=C93),1,IF(AND(INDIRECT(A73&amp;ROW())=B95,INDIRECT(A96&amp;ROW())=C94),1,0)))</f>
        <v>0</v>
      </c>
      <c r="J404">
        <f ca="1">IF(AND(INDIRECT(A73&amp;ROW())=B95,INDIRECT(A96&amp;ROW())=C95),1,IF(AND(INDIRECT(A73&amp;ROW())=B95,INDIRECT(A96&amp;ROW())=C96),1,0))</f>
        <v>1</v>
      </c>
      <c r="K404">
        <f ca="1">DAYS360(INDIRECT(C68&amp;ROW()),TODAY())</f>
        <v>690</v>
      </c>
      <c r="L404">
        <f ca="1">DAYS360(INDIRECT(C69&amp;ROW()),TODAY())</f>
        <v>770</v>
      </c>
      <c r="M404">
        <f ca="1">HYPERLINK(CONCATENATE("https://bugzilla.houston.hp.com:1181/bugzilla/show_bug.cgi?id=",INDIRECT(C70&amp;ROW())),INDIRECT(C70&amp;ROW()))</f>
        <v>58628</v>
      </c>
      <c r="N404">
        <v>58628</v>
      </c>
      <c r="O404" t="s">
        <v>36</v>
      </c>
      <c r="P404" t="s">
        <v>796</v>
      </c>
      <c r="Q404" t="s">
        <v>25</v>
      </c>
      <c r="R404" t="s">
        <v>248</v>
      </c>
      <c r="S404" t="s">
        <v>552</v>
      </c>
      <c r="U404" s="6">
        <v>42157.10324074074</v>
      </c>
      <c r="V404" t="s">
        <v>18</v>
      </c>
      <c r="W404" t="s">
        <v>783</v>
      </c>
      <c r="X404" s="6">
        <v>42075.360277777778</v>
      </c>
      <c r="Y404" t="s">
        <v>119</v>
      </c>
      <c r="AB404" t="s">
        <v>201</v>
      </c>
      <c r="AC404" t="s">
        <v>247</v>
      </c>
      <c r="AD404" t="s">
        <v>227</v>
      </c>
      <c r="AE404" t="s">
        <v>370</v>
      </c>
      <c r="AG404" t="s">
        <v>121</v>
      </c>
      <c r="AH404" t="s">
        <v>327</v>
      </c>
      <c r="AI404" t="s">
        <v>121</v>
      </c>
      <c r="AJ404" t="s">
        <v>716</v>
      </c>
      <c r="AK404" t="s">
        <v>121</v>
      </c>
    </row>
    <row r="405" spans="9:37" x14ac:dyDescent="0.3">
      <c r="I405">
        <f ca="1">IF(OR(INDIRECT(A73&amp;ROW())=B93,INDIRECT(A73&amp;ROW())=B94),1,IF(AND(INDIRECT(A73&amp;ROW())=B95,INDIRECT(A96&amp;ROW())=C93),1,IF(AND(INDIRECT(A73&amp;ROW())=B95,INDIRECT(A96&amp;ROW())=C94),1,0)))</f>
        <v>1</v>
      </c>
      <c r="J405">
        <f ca="1">IF(AND(INDIRECT(A73&amp;ROW())=B95,INDIRECT(A96&amp;ROW())=C95),1,IF(AND(INDIRECT(A73&amp;ROW())=B95,INDIRECT(A96&amp;ROW())=C96),1,0))</f>
        <v>0</v>
      </c>
      <c r="K405">
        <f ca="1">DAYS360(INDIRECT(C68&amp;ROW()),TODAY())</f>
        <v>696</v>
      </c>
      <c r="L405">
        <f ca="1">DAYS360(INDIRECT(C69&amp;ROW()),TODAY())</f>
        <v>769</v>
      </c>
      <c r="M405">
        <f ca="1">HYPERLINK(CONCATENATE("https://bugzilla.houston.hp.com:1181/bugzilla/show_bug.cgi?id=",INDIRECT(C70&amp;ROW())),INDIRECT(C70&amp;ROW()))</f>
        <v>58713</v>
      </c>
      <c r="N405">
        <v>58713</v>
      </c>
      <c r="O405" t="s">
        <v>21</v>
      </c>
      <c r="P405" t="s">
        <v>808</v>
      </c>
      <c r="Q405" t="s">
        <v>39</v>
      </c>
      <c r="R405" t="s">
        <v>251</v>
      </c>
      <c r="S405" t="s">
        <v>336</v>
      </c>
      <c r="U405" s="6">
        <v>42150.368900462963</v>
      </c>
      <c r="V405" t="s">
        <v>18</v>
      </c>
      <c r="W405" t="s">
        <v>17</v>
      </c>
      <c r="X405" s="6">
        <v>42076.621111111112</v>
      </c>
      <c r="Y405" t="s">
        <v>122</v>
      </c>
      <c r="Z405" t="s">
        <v>255</v>
      </c>
      <c r="AB405" t="s">
        <v>201</v>
      </c>
      <c r="AC405" t="s">
        <v>247</v>
      </c>
      <c r="AD405" t="s">
        <v>222</v>
      </c>
      <c r="AE405" t="s">
        <v>221</v>
      </c>
      <c r="AG405" t="s">
        <v>121</v>
      </c>
      <c r="AH405" t="s">
        <v>327</v>
      </c>
      <c r="AI405" t="s">
        <v>121</v>
      </c>
      <c r="AJ405" t="s">
        <v>715</v>
      </c>
      <c r="AK405" t="s">
        <v>121</v>
      </c>
    </row>
    <row r="406" spans="9:37" x14ac:dyDescent="0.3">
      <c r="I406">
        <f ca="1">IF(OR(INDIRECT(A73&amp;ROW())=B93,INDIRECT(A73&amp;ROW())=B94),1,IF(AND(INDIRECT(A73&amp;ROW())=B95,INDIRECT(A96&amp;ROW())=C93),1,IF(AND(INDIRECT(A73&amp;ROW())=B95,INDIRECT(A96&amp;ROW())=C94),1,0)))</f>
        <v>1</v>
      </c>
      <c r="J406">
        <f ca="1">IF(AND(INDIRECT(A73&amp;ROW())=B95,INDIRECT(A96&amp;ROW())=C95),1,IF(AND(INDIRECT(A73&amp;ROW())=B95,INDIRECT(A96&amp;ROW())=C96),1,0))</f>
        <v>0</v>
      </c>
      <c r="K406">
        <f ca="1">DAYS360(INDIRECT(C68&amp;ROW()),TODAY())</f>
        <v>696</v>
      </c>
      <c r="L406">
        <f ca="1">DAYS360(INDIRECT(C69&amp;ROW()),TODAY())</f>
        <v>769</v>
      </c>
      <c r="M406">
        <f ca="1">HYPERLINK(CONCATENATE("https://bugzilla.houston.hp.com:1181/bugzilla/show_bug.cgi?id=",INDIRECT(C70&amp;ROW())),INDIRECT(C70&amp;ROW()))</f>
        <v>58715</v>
      </c>
      <c r="N406">
        <v>58715</v>
      </c>
      <c r="O406" t="s">
        <v>21</v>
      </c>
      <c r="P406" t="s">
        <v>807</v>
      </c>
      <c r="Q406" t="s">
        <v>39</v>
      </c>
      <c r="R406" t="s">
        <v>579</v>
      </c>
      <c r="S406" t="s">
        <v>552</v>
      </c>
      <c r="T406" t="s">
        <v>822</v>
      </c>
      <c r="U406" s="6">
        <v>42150.36886574074</v>
      </c>
      <c r="V406" t="s">
        <v>18</v>
      </c>
      <c r="W406" t="s">
        <v>17</v>
      </c>
      <c r="X406" s="6">
        <v>42076.630497685182</v>
      </c>
      <c r="Y406" t="s">
        <v>122</v>
      </c>
      <c r="AB406" t="s">
        <v>201</v>
      </c>
      <c r="AC406" t="s">
        <v>247</v>
      </c>
      <c r="AD406" t="s">
        <v>222</v>
      </c>
      <c r="AE406" t="s">
        <v>221</v>
      </c>
      <c r="AG406" t="s">
        <v>121</v>
      </c>
      <c r="AH406" t="s">
        <v>327</v>
      </c>
      <c r="AI406" t="s">
        <v>362</v>
      </c>
      <c r="AJ406" t="s">
        <v>715</v>
      </c>
      <c r="AK406" t="s">
        <v>121</v>
      </c>
    </row>
    <row r="407" spans="9:37" x14ac:dyDescent="0.3">
      <c r="I407">
        <f ca="1">IF(OR(INDIRECT(A73&amp;ROW())=B93,INDIRECT(A73&amp;ROW())=B94),1,IF(AND(INDIRECT(A73&amp;ROW())=B95,INDIRECT(A96&amp;ROW())=C93),1,IF(AND(INDIRECT(A73&amp;ROW())=B95,INDIRECT(A96&amp;ROW())=C94),1,0)))</f>
        <v>1</v>
      </c>
      <c r="J407">
        <f ca="1">IF(AND(INDIRECT(A73&amp;ROW())=B95,INDIRECT(A96&amp;ROW())=C95),1,IF(AND(INDIRECT(A73&amp;ROW())=B95,INDIRECT(A96&amp;ROW())=C96),1,0))</f>
        <v>0</v>
      </c>
      <c r="K407">
        <f ca="1">DAYS360(INDIRECT(C68&amp;ROW()),TODAY())</f>
        <v>696</v>
      </c>
      <c r="L407">
        <f ca="1">DAYS360(INDIRECT(C69&amp;ROW()),TODAY())</f>
        <v>769</v>
      </c>
      <c r="M407">
        <f ca="1">HYPERLINK(CONCATENATE("https://bugzilla.houston.hp.com:1181/bugzilla/show_bug.cgi?id=",INDIRECT(C70&amp;ROW())),INDIRECT(C70&amp;ROW()))</f>
        <v>58716</v>
      </c>
      <c r="N407">
        <v>58716</v>
      </c>
      <c r="O407" t="s">
        <v>21</v>
      </c>
      <c r="P407" t="s">
        <v>806</v>
      </c>
      <c r="Q407" t="s">
        <v>39</v>
      </c>
      <c r="R407" t="s">
        <v>248</v>
      </c>
      <c r="S407" t="s">
        <v>552</v>
      </c>
      <c r="U407" s="6">
        <v>42150.368888888886</v>
      </c>
      <c r="V407" t="s">
        <v>18</v>
      </c>
      <c r="W407" t="s">
        <v>17</v>
      </c>
      <c r="X407" s="6">
        <v>42076.630567129629</v>
      </c>
      <c r="Y407" t="s">
        <v>122</v>
      </c>
      <c r="AB407" t="s">
        <v>201</v>
      </c>
      <c r="AC407" t="s">
        <v>247</v>
      </c>
      <c r="AD407" t="s">
        <v>222</v>
      </c>
      <c r="AE407" t="s">
        <v>221</v>
      </c>
      <c r="AG407" t="s">
        <v>121</v>
      </c>
      <c r="AH407" t="s">
        <v>327</v>
      </c>
      <c r="AI407" t="s">
        <v>121</v>
      </c>
      <c r="AJ407" t="s">
        <v>715</v>
      </c>
      <c r="AK407" t="s">
        <v>121</v>
      </c>
    </row>
    <row r="408" spans="9:37" x14ac:dyDescent="0.3">
      <c r="I408">
        <f ca="1">IF(OR(INDIRECT(A73&amp;ROW())=B93,INDIRECT(A73&amp;ROW())=B94),1,IF(AND(INDIRECT(A73&amp;ROW())=B95,INDIRECT(A96&amp;ROW())=C93),1,IF(AND(INDIRECT(A73&amp;ROW())=B95,INDIRECT(A96&amp;ROW())=C94),1,0)))</f>
        <v>1</v>
      </c>
      <c r="J408">
        <f ca="1">IF(AND(INDIRECT(A73&amp;ROW())=B95,INDIRECT(A96&amp;ROW())=C95),1,IF(AND(INDIRECT(A73&amp;ROW())=B95,INDIRECT(A96&amp;ROW())=C96),1,0))</f>
        <v>0</v>
      </c>
      <c r="K408">
        <f ca="1">DAYS360(INDIRECT(C68&amp;ROW()),TODAY())</f>
        <v>769</v>
      </c>
      <c r="L408">
        <f ca="1">DAYS360(INDIRECT(C69&amp;ROW()),TODAY())</f>
        <v>769</v>
      </c>
      <c r="M408">
        <f ca="1">HYPERLINK(CONCATENATE("https://bugzilla.houston.hp.com:1181/bugzilla/show_bug.cgi?id=",INDIRECT(C70&amp;ROW())),INDIRECT(C70&amp;ROW()))</f>
        <v>58720</v>
      </c>
      <c r="N408">
        <v>58720</v>
      </c>
      <c r="O408" t="s">
        <v>56</v>
      </c>
      <c r="P408" t="s">
        <v>805</v>
      </c>
      <c r="Q408" t="s">
        <v>25</v>
      </c>
      <c r="R408" t="s">
        <v>248</v>
      </c>
      <c r="S408" t="s">
        <v>552</v>
      </c>
      <c r="U408" s="6">
        <v>42076.652650462966</v>
      </c>
      <c r="V408" t="s">
        <v>18</v>
      </c>
      <c r="W408" t="s">
        <v>248</v>
      </c>
      <c r="X408" s="6">
        <v>42076.652650462966</v>
      </c>
      <c r="Y408" t="s">
        <v>123</v>
      </c>
      <c r="AB408" t="s">
        <v>200</v>
      </c>
      <c r="AC408" t="s">
        <v>247</v>
      </c>
      <c r="AD408" t="s">
        <v>220</v>
      </c>
      <c r="AE408" t="s">
        <v>219</v>
      </c>
      <c r="AG408" t="s">
        <v>121</v>
      </c>
      <c r="AH408" t="s">
        <v>327</v>
      </c>
      <c r="AI408" t="s">
        <v>121</v>
      </c>
      <c r="AJ408" t="s">
        <v>715</v>
      </c>
      <c r="AK408" t="s">
        <v>121</v>
      </c>
    </row>
    <row r="409" spans="9:37" x14ac:dyDescent="0.3">
      <c r="I409">
        <f ca="1">IF(OR(INDIRECT(A73&amp;ROW())=B93,INDIRECT(A73&amp;ROW())=B94),1,IF(AND(INDIRECT(A73&amp;ROW())=B95,INDIRECT(A96&amp;ROW())=C93),1,IF(AND(INDIRECT(A73&amp;ROW())=B95,INDIRECT(A96&amp;ROW())=C94),1,0)))</f>
        <v>1</v>
      </c>
      <c r="J409">
        <f ca="1">IF(AND(INDIRECT(A73&amp;ROW())=B95,INDIRECT(A96&amp;ROW())=C95),1,IF(AND(INDIRECT(A73&amp;ROW())=B95,INDIRECT(A96&amp;ROW())=C96),1,0))</f>
        <v>0</v>
      </c>
      <c r="K409">
        <f ca="1">DAYS360(INDIRECT(C68&amp;ROW()),TODAY())</f>
        <v>682</v>
      </c>
      <c r="L409">
        <f ca="1">DAYS360(INDIRECT(C69&amp;ROW()),TODAY())</f>
        <v>765</v>
      </c>
      <c r="M409">
        <f ca="1">HYPERLINK(CONCATENATE("https://bugzilla.houston.hp.com:1181/bugzilla/show_bug.cgi?id=",INDIRECT(C70&amp;ROW())),INDIRECT(C70&amp;ROW()))</f>
        <v>58905</v>
      </c>
      <c r="N409">
        <v>58905</v>
      </c>
      <c r="O409" t="s">
        <v>22</v>
      </c>
      <c r="P409" t="s">
        <v>812</v>
      </c>
      <c r="Q409" t="s">
        <v>25</v>
      </c>
      <c r="R409" t="s">
        <v>251</v>
      </c>
      <c r="S409" t="s">
        <v>24</v>
      </c>
      <c r="T409" t="s">
        <v>809</v>
      </c>
      <c r="U409" s="6">
        <v>42165.30364583333</v>
      </c>
      <c r="V409" t="s">
        <v>18</v>
      </c>
      <c r="W409" t="s">
        <v>764</v>
      </c>
      <c r="X409" s="6">
        <v>42080.415046296293</v>
      </c>
      <c r="Y409" t="s">
        <v>810</v>
      </c>
      <c r="AB409" t="s">
        <v>199</v>
      </c>
      <c r="AC409" t="s">
        <v>247</v>
      </c>
      <c r="AD409" t="s">
        <v>222</v>
      </c>
      <c r="AE409" t="s">
        <v>221</v>
      </c>
      <c r="AG409" t="s">
        <v>121</v>
      </c>
      <c r="AH409" t="s">
        <v>327</v>
      </c>
      <c r="AI409" t="s">
        <v>121</v>
      </c>
      <c r="AJ409" t="s">
        <v>715</v>
      </c>
      <c r="AK409" t="s">
        <v>121</v>
      </c>
    </row>
    <row r="410" spans="9:37" x14ac:dyDescent="0.3">
      <c r="I410">
        <f ca="1">IF(OR(INDIRECT(A73&amp;ROW())=B93,INDIRECT(A73&amp;ROW())=B94),1,IF(AND(INDIRECT(A73&amp;ROW())=B95,INDIRECT(A96&amp;ROW())=C93),1,IF(AND(INDIRECT(A73&amp;ROW())=B95,INDIRECT(A96&amp;ROW())=C94),1,0)))</f>
        <v>1</v>
      </c>
      <c r="J410">
        <f ca="1">IF(AND(INDIRECT(A73&amp;ROW())=B95,INDIRECT(A96&amp;ROW())=C95),1,IF(AND(INDIRECT(A73&amp;ROW())=B95,INDIRECT(A96&amp;ROW())=C96),1,0))</f>
        <v>0</v>
      </c>
      <c r="K410">
        <f ca="1">DAYS360(INDIRECT(C68&amp;ROW()),TODAY())</f>
        <v>677</v>
      </c>
      <c r="L410">
        <f ca="1">DAYS360(INDIRECT(C69&amp;ROW()),TODAY())</f>
        <v>765</v>
      </c>
      <c r="M410">
        <f ca="1">HYPERLINK(CONCATENATE("https://bugzilla.houston.hp.com:1181/bugzilla/show_bug.cgi?id=",INDIRECT(C70&amp;ROW())),INDIRECT(C70&amp;ROW()))</f>
        <v>58914</v>
      </c>
      <c r="N410">
        <v>58914</v>
      </c>
      <c r="O410" t="s">
        <v>36</v>
      </c>
      <c r="P410" t="s">
        <v>811</v>
      </c>
      <c r="Q410" t="s">
        <v>25</v>
      </c>
      <c r="R410" t="s">
        <v>248</v>
      </c>
      <c r="S410" t="s">
        <v>552</v>
      </c>
      <c r="T410" t="s">
        <v>809</v>
      </c>
      <c r="U410" s="6">
        <v>42170.563657407409</v>
      </c>
      <c r="V410" t="s">
        <v>18</v>
      </c>
      <c r="W410" t="s">
        <v>764</v>
      </c>
      <c r="X410" s="6">
        <v>42080.545231481483</v>
      </c>
      <c r="Y410" t="s">
        <v>810</v>
      </c>
      <c r="AB410" t="s">
        <v>199</v>
      </c>
      <c r="AC410" t="s">
        <v>247</v>
      </c>
      <c r="AD410" t="s">
        <v>222</v>
      </c>
      <c r="AE410" t="s">
        <v>221</v>
      </c>
      <c r="AG410" t="s">
        <v>121</v>
      </c>
      <c r="AH410" t="s">
        <v>327</v>
      </c>
      <c r="AI410" t="s">
        <v>121</v>
      </c>
      <c r="AJ410" t="s">
        <v>715</v>
      </c>
      <c r="AK410" t="s">
        <v>121</v>
      </c>
    </row>
    <row r="411" spans="9:37" x14ac:dyDescent="0.3">
      <c r="I411">
        <f ca="1">IF(OR(INDIRECT(A73&amp;ROW())=B93,INDIRECT(A73&amp;ROW())=B94),1,IF(AND(INDIRECT(A73&amp;ROW())=B95,INDIRECT(A96&amp;ROW())=C93),1,IF(AND(INDIRECT(A73&amp;ROW())=B95,INDIRECT(A96&amp;ROW())=C94),1,0)))</f>
        <v>1</v>
      </c>
      <c r="J411">
        <f ca="1">IF(AND(INDIRECT(A73&amp;ROW())=B95,INDIRECT(A96&amp;ROW())=C95),1,IF(AND(INDIRECT(A73&amp;ROW())=B95,INDIRECT(A96&amp;ROW())=C96),1,0))</f>
        <v>0</v>
      </c>
      <c r="K411">
        <f ca="1">DAYS360(INDIRECT(C68&amp;ROW()),TODAY())</f>
        <v>730</v>
      </c>
      <c r="L411">
        <f ca="1">DAYS360(INDIRECT(C69&amp;ROW()),TODAY())</f>
        <v>765</v>
      </c>
      <c r="M411">
        <f ca="1">HYPERLINK(CONCATENATE("https://bugzilla.houston.hp.com:1181/bugzilla/show_bug.cgi?id=",INDIRECT(C70&amp;ROW())),INDIRECT(C70&amp;ROW()))</f>
        <v>58924</v>
      </c>
      <c r="N411">
        <v>58924</v>
      </c>
      <c r="O411" t="s">
        <v>56</v>
      </c>
      <c r="P411" t="s">
        <v>813</v>
      </c>
      <c r="Q411" t="s">
        <v>39</v>
      </c>
      <c r="R411" t="s">
        <v>251</v>
      </c>
      <c r="S411" t="s">
        <v>53</v>
      </c>
      <c r="U411" s="6">
        <v>42116.737164351849</v>
      </c>
      <c r="V411" t="s">
        <v>18</v>
      </c>
      <c r="W411" t="s">
        <v>17</v>
      </c>
      <c r="X411" s="6">
        <v>42080.683611111112</v>
      </c>
      <c r="Y411" t="s">
        <v>801</v>
      </c>
      <c r="AB411" t="s">
        <v>201</v>
      </c>
      <c r="AC411" t="s">
        <v>247</v>
      </c>
      <c r="AD411" t="s">
        <v>220</v>
      </c>
      <c r="AE411" t="s">
        <v>219</v>
      </c>
      <c r="AG411" t="s">
        <v>121</v>
      </c>
      <c r="AH411" t="s">
        <v>327</v>
      </c>
      <c r="AI411" t="s">
        <v>121</v>
      </c>
      <c r="AJ411" t="s">
        <v>715</v>
      </c>
      <c r="AK411" t="s">
        <v>121</v>
      </c>
    </row>
    <row r="412" spans="9:37" x14ac:dyDescent="0.3">
      <c r="I412">
        <f ca="1">IF(OR(INDIRECT(A73&amp;ROW())=B93,INDIRECT(A73&amp;ROW())=B94),1,IF(AND(INDIRECT(A73&amp;ROW())=B95,INDIRECT(A96&amp;ROW())=C93),1,IF(AND(INDIRECT(A73&amp;ROW())=B95,INDIRECT(A96&amp;ROW())=C94),1,0)))</f>
        <v>1</v>
      </c>
      <c r="J412">
        <f ca="1">IF(AND(INDIRECT(A73&amp;ROW())=B95,INDIRECT(A96&amp;ROW())=C95),1,IF(AND(INDIRECT(A73&amp;ROW())=B95,INDIRECT(A96&amp;ROW())=C96),1,0))</f>
        <v>0</v>
      </c>
      <c r="K412">
        <f ca="1">DAYS360(INDIRECT(C68&amp;ROW()),TODAY())</f>
        <v>703</v>
      </c>
      <c r="L412">
        <f ca="1">DAYS360(INDIRECT(C69&amp;ROW()),TODAY())</f>
        <v>764</v>
      </c>
      <c r="M412">
        <f ca="1">HYPERLINK(CONCATENATE("https://bugzilla.houston.hp.com:1181/bugzilla/show_bug.cgi?id=",INDIRECT(C70&amp;ROW())),INDIRECT(C70&amp;ROW()))</f>
        <v>59002</v>
      </c>
      <c r="N412">
        <v>59002</v>
      </c>
      <c r="O412" t="s">
        <v>188</v>
      </c>
      <c r="P412" t="s">
        <v>814</v>
      </c>
      <c r="Q412" t="s">
        <v>39</v>
      </c>
      <c r="R412" t="s">
        <v>251</v>
      </c>
      <c r="S412" t="s">
        <v>43</v>
      </c>
      <c r="U412" s="6">
        <v>42143.458402777775</v>
      </c>
      <c r="V412" t="s">
        <v>18</v>
      </c>
      <c r="W412" t="s">
        <v>17</v>
      </c>
      <c r="X412" s="6">
        <v>42081.485729166663</v>
      </c>
      <c r="Y412" t="s">
        <v>793</v>
      </c>
      <c r="AB412" t="s">
        <v>201</v>
      </c>
      <c r="AC412" t="s">
        <v>247</v>
      </c>
      <c r="AD412" t="s">
        <v>220</v>
      </c>
      <c r="AE412" t="s">
        <v>229</v>
      </c>
      <c r="AG412" t="s">
        <v>121</v>
      </c>
      <c r="AH412" t="s">
        <v>327</v>
      </c>
      <c r="AI412" t="s">
        <v>121</v>
      </c>
      <c r="AJ412" t="s">
        <v>715</v>
      </c>
      <c r="AK412" t="s">
        <v>121</v>
      </c>
    </row>
    <row r="413" spans="9:37" x14ac:dyDescent="0.3">
      <c r="I413">
        <f ca="1">IF(OR(INDIRECT(A73&amp;ROW())=B93,INDIRECT(A73&amp;ROW())=B94),1,IF(AND(INDIRECT(A73&amp;ROW())=B95,INDIRECT(A96&amp;ROW())=C93),1,IF(AND(INDIRECT(A73&amp;ROW())=B95,INDIRECT(A96&amp;ROW())=C94),1,0)))</f>
        <v>0</v>
      </c>
      <c r="J413">
        <f ca="1">IF(AND(INDIRECT(A73&amp;ROW())=B95,INDIRECT(A96&amp;ROW())=C95),1,IF(AND(INDIRECT(A73&amp;ROW())=B95,INDIRECT(A96&amp;ROW())=C96),1,0))</f>
        <v>1</v>
      </c>
      <c r="K413">
        <f ca="1">DAYS360(INDIRECT(C68&amp;ROW()),TODAY())</f>
        <v>684</v>
      </c>
      <c r="L413">
        <f ca="1">DAYS360(INDIRECT(C69&amp;ROW()),TODAY())</f>
        <v>759</v>
      </c>
      <c r="M413">
        <f ca="1">HYPERLINK(CONCATENATE("https://bugzilla.houston.hp.com:1181/bugzilla/show_bug.cgi?id=",INDIRECT(C70&amp;ROW())),INDIRECT(C70&amp;ROW()))</f>
        <v>59164</v>
      </c>
      <c r="N413">
        <v>59164</v>
      </c>
      <c r="O413" t="s">
        <v>53</v>
      </c>
      <c r="P413" t="s">
        <v>1011</v>
      </c>
      <c r="Q413" t="s">
        <v>25</v>
      </c>
      <c r="R413" t="s">
        <v>251</v>
      </c>
      <c r="S413" t="s">
        <v>773</v>
      </c>
      <c r="U413" s="6">
        <v>42163.549826388888</v>
      </c>
      <c r="V413" t="s">
        <v>18</v>
      </c>
      <c r="W413" t="s">
        <v>17</v>
      </c>
      <c r="X413" s="6">
        <v>42086.240844907406</v>
      </c>
      <c r="Y413" t="s">
        <v>125</v>
      </c>
      <c r="AB413" t="s">
        <v>201</v>
      </c>
      <c r="AC413" t="s">
        <v>247</v>
      </c>
      <c r="AD413" t="s">
        <v>222</v>
      </c>
      <c r="AE413" t="s">
        <v>221</v>
      </c>
      <c r="AG413" t="s">
        <v>121</v>
      </c>
      <c r="AH413" t="s">
        <v>327</v>
      </c>
      <c r="AI413" t="s">
        <v>121</v>
      </c>
      <c r="AJ413" t="s">
        <v>716</v>
      </c>
      <c r="AK413" t="s">
        <v>121</v>
      </c>
    </row>
    <row r="414" spans="9:37" x14ac:dyDescent="0.3">
      <c r="I414">
        <f ca="1">IF(OR(INDIRECT(A73&amp;ROW())=B93,INDIRECT(A73&amp;ROW())=B94),1,IF(AND(INDIRECT(A73&amp;ROW())=B95,INDIRECT(A96&amp;ROW())=C93),1,IF(AND(INDIRECT(A73&amp;ROW())=B95,INDIRECT(A96&amp;ROW())=C94),1,0)))</f>
        <v>0</v>
      </c>
      <c r="J414">
        <f ca="1">IF(AND(INDIRECT(A73&amp;ROW())=B95,INDIRECT(A96&amp;ROW())=C95),1,IF(AND(INDIRECT(A73&amp;ROW())=B95,INDIRECT(A96&amp;ROW())=C96),1,0))</f>
        <v>1</v>
      </c>
      <c r="K414">
        <f ca="1">DAYS360(INDIRECT(C68&amp;ROW()),TODAY())</f>
        <v>710</v>
      </c>
      <c r="L414">
        <f ca="1">DAYS360(INDIRECT(C69&amp;ROW()),TODAY())</f>
        <v>758</v>
      </c>
      <c r="M414">
        <f ca="1">HYPERLINK(CONCATENATE("https://bugzilla.houston.hp.com:1181/bugzilla/show_bug.cgi?id=",INDIRECT(C70&amp;ROW())),INDIRECT(C70&amp;ROW()))</f>
        <v>59208</v>
      </c>
      <c r="N414">
        <v>59208</v>
      </c>
      <c r="O414" t="s">
        <v>53</v>
      </c>
      <c r="P414" t="s">
        <v>1048</v>
      </c>
      <c r="Q414" t="s">
        <v>25</v>
      </c>
      <c r="R414" t="s">
        <v>783</v>
      </c>
      <c r="S414" t="s">
        <v>1045</v>
      </c>
      <c r="U414" s="6">
        <v>42136.46534722222</v>
      </c>
      <c r="V414" t="s">
        <v>18</v>
      </c>
      <c r="W414" t="s">
        <v>17</v>
      </c>
      <c r="X414" s="6">
        <v>42087.026030092595</v>
      </c>
      <c r="Y414" t="s">
        <v>125</v>
      </c>
      <c r="AB414" t="s">
        <v>201</v>
      </c>
      <c r="AC414" t="s">
        <v>247</v>
      </c>
      <c r="AD414" t="s">
        <v>222</v>
      </c>
      <c r="AE414" t="s">
        <v>221</v>
      </c>
      <c r="AG414" t="s">
        <v>121</v>
      </c>
      <c r="AH414" t="s">
        <v>327</v>
      </c>
      <c r="AI414" t="s">
        <v>121</v>
      </c>
      <c r="AJ414" t="s">
        <v>716</v>
      </c>
      <c r="AK414" t="s">
        <v>121</v>
      </c>
    </row>
    <row r="415" spans="9:37" x14ac:dyDescent="0.3">
      <c r="I415">
        <f ca="1">IF(OR(INDIRECT(A73&amp;ROW())=B93,INDIRECT(A73&amp;ROW())=B94),1,IF(AND(INDIRECT(A73&amp;ROW())=B95,INDIRECT(A96&amp;ROW())=C93),1,IF(AND(INDIRECT(A73&amp;ROW())=B95,INDIRECT(A96&amp;ROW())=C94),1,0)))</f>
        <v>0</v>
      </c>
      <c r="J415">
        <f ca="1">IF(AND(INDIRECT(A73&amp;ROW())=B95,INDIRECT(A96&amp;ROW())=C95),1,IF(AND(INDIRECT(A73&amp;ROW())=B95,INDIRECT(A96&amp;ROW())=C96),1,0))</f>
        <v>1</v>
      </c>
      <c r="K415">
        <f ca="1">DAYS360(INDIRECT(C68&amp;ROW()),TODAY())</f>
        <v>710</v>
      </c>
      <c r="L415">
        <f ca="1">DAYS360(INDIRECT(C69&amp;ROW()),TODAY())</f>
        <v>758</v>
      </c>
      <c r="M415">
        <f ca="1">HYPERLINK(CONCATENATE("https://bugzilla.houston.hp.com:1181/bugzilla/show_bug.cgi?id=",INDIRECT(C70&amp;ROW())),INDIRECT(C70&amp;ROW()))</f>
        <v>59210</v>
      </c>
      <c r="N415">
        <v>59210</v>
      </c>
      <c r="O415" t="s">
        <v>53</v>
      </c>
      <c r="P415" t="s">
        <v>1046</v>
      </c>
      <c r="Q415" t="s">
        <v>25</v>
      </c>
      <c r="R415" t="s">
        <v>248</v>
      </c>
      <c r="S415" t="s">
        <v>1045</v>
      </c>
      <c r="U415" s="6">
        <v>42136.465567129628</v>
      </c>
      <c r="V415" t="s">
        <v>18</v>
      </c>
      <c r="W415" t="s">
        <v>17</v>
      </c>
      <c r="X415" s="6">
        <v>42087.026250000003</v>
      </c>
      <c r="Y415" t="s">
        <v>125</v>
      </c>
      <c r="AB415" t="s">
        <v>201</v>
      </c>
      <c r="AC415" t="s">
        <v>247</v>
      </c>
      <c r="AD415" t="s">
        <v>222</v>
      </c>
      <c r="AE415" t="s">
        <v>221</v>
      </c>
      <c r="AG415" t="s">
        <v>121</v>
      </c>
      <c r="AH415" t="s">
        <v>327</v>
      </c>
      <c r="AI415" t="s">
        <v>121</v>
      </c>
      <c r="AJ415" t="s">
        <v>716</v>
      </c>
      <c r="AK415" t="s">
        <v>121</v>
      </c>
    </row>
    <row r="416" spans="9:37" x14ac:dyDescent="0.3">
      <c r="I416">
        <f ca="1">IF(OR(INDIRECT(A73&amp;ROW())=B93,INDIRECT(A73&amp;ROW())=B94),1,IF(AND(INDIRECT(A73&amp;ROW())=B95,INDIRECT(A96&amp;ROW())=C93),1,IF(AND(INDIRECT(A73&amp;ROW())=B95,INDIRECT(A96&amp;ROW())=C94),1,0)))</f>
        <v>1</v>
      </c>
      <c r="J416">
        <f ca="1">IF(AND(INDIRECT(A73&amp;ROW())=B95,INDIRECT(A96&amp;ROW())=C95),1,IF(AND(INDIRECT(A73&amp;ROW())=B95,INDIRECT(A96&amp;ROW())=C96),1,0))</f>
        <v>0</v>
      </c>
      <c r="K416">
        <f ca="1">DAYS360(INDIRECT(C68&amp;ROW()),TODAY())</f>
        <v>690</v>
      </c>
      <c r="L416">
        <f ca="1">DAYS360(INDIRECT(C69&amp;ROW()),TODAY())</f>
        <v>758</v>
      </c>
      <c r="M416">
        <f ca="1">HYPERLINK(CONCATENATE("https://bugzilla.houston.hp.com:1181/bugzilla/show_bug.cgi?id=",INDIRECT(C70&amp;ROW())),INDIRECT(C70&amp;ROW()))</f>
        <v>59230</v>
      </c>
      <c r="N416">
        <v>59230</v>
      </c>
      <c r="O416" t="s">
        <v>33</v>
      </c>
      <c r="P416" t="s">
        <v>819</v>
      </c>
      <c r="Q416" t="s">
        <v>25</v>
      </c>
      <c r="R416" t="s">
        <v>251</v>
      </c>
      <c r="S416" t="s">
        <v>33</v>
      </c>
      <c r="U416" s="6">
        <v>42157.074942129628</v>
      </c>
      <c r="V416" t="s">
        <v>18</v>
      </c>
      <c r="W416" t="s">
        <v>783</v>
      </c>
      <c r="X416" s="6">
        <v>42087.257743055554</v>
      </c>
      <c r="Y416" t="s">
        <v>119</v>
      </c>
      <c r="AB416" t="s">
        <v>200</v>
      </c>
      <c r="AC416" t="s">
        <v>247</v>
      </c>
      <c r="AD416" t="s">
        <v>220</v>
      </c>
      <c r="AE416" t="s">
        <v>223</v>
      </c>
      <c r="AG416" t="s">
        <v>121</v>
      </c>
      <c r="AH416" t="s">
        <v>327</v>
      </c>
      <c r="AI416" t="s">
        <v>121</v>
      </c>
      <c r="AJ416" t="s">
        <v>715</v>
      </c>
      <c r="AK416" t="s">
        <v>121</v>
      </c>
    </row>
    <row r="417" spans="9:37" x14ac:dyDescent="0.3">
      <c r="I417">
        <f ca="1">IF(OR(INDIRECT(A73&amp;ROW())=B93,INDIRECT(A73&amp;ROW())=B94),1,IF(AND(INDIRECT(A73&amp;ROW())=B95,INDIRECT(A96&amp;ROW())=C93),1,IF(AND(INDIRECT(A73&amp;ROW())=B95,INDIRECT(A96&amp;ROW())=C94),1,0)))</f>
        <v>1</v>
      </c>
      <c r="J417">
        <f ca="1">IF(AND(INDIRECT(A73&amp;ROW())=B95,INDIRECT(A96&amp;ROW())=C95),1,IF(AND(INDIRECT(A73&amp;ROW())=B95,INDIRECT(A96&amp;ROW())=C96),1,0))</f>
        <v>0</v>
      </c>
      <c r="K417">
        <f ca="1">DAYS360(INDIRECT(C68&amp;ROW()),TODAY())</f>
        <v>690</v>
      </c>
      <c r="L417">
        <f ca="1">DAYS360(INDIRECT(C69&amp;ROW()),TODAY())</f>
        <v>758</v>
      </c>
      <c r="M417">
        <f ca="1">HYPERLINK(CONCATENATE("https://bugzilla.houston.hp.com:1181/bugzilla/show_bug.cgi?id=",INDIRECT(C70&amp;ROW())),INDIRECT(C70&amp;ROW()))</f>
        <v>59259</v>
      </c>
      <c r="N417">
        <v>59259</v>
      </c>
      <c r="O417" t="s">
        <v>22</v>
      </c>
      <c r="P417" t="s">
        <v>818</v>
      </c>
      <c r="Q417" t="s">
        <v>25</v>
      </c>
      <c r="R417" t="s">
        <v>579</v>
      </c>
      <c r="S417" t="s">
        <v>552</v>
      </c>
      <c r="T417" t="s">
        <v>822</v>
      </c>
      <c r="U417" s="6">
        <v>42157.090439814812</v>
      </c>
      <c r="V417" t="s">
        <v>18</v>
      </c>
      <c r="W417" t="s">
        <v>783</v>
      </c>
      <c r="X417" s="6">
        <v>42087.716736111113</v>
      </c>
      <c r="Y417" t="s">
        <v>119</v>
      </c>
      <c r="AB417" t="s">
        <v>200</v>
      </c>
      <c r="AC417" t="s">
        <v>247</v>
      </c>
      <c r="AD417" t="s">
        <v>220</v>
      </c>
      <c r="AE417" t="s">
        <v>223</v>
      </c>
      <c r="AG417" t="s">
        <v>121</v>
      </c>
      <c r="AH417" t="s">
        <v>327</v>
      </c>
      <c r="AI417" t="s">
        <v>362</v>
      </c>
      <c r="AJ417" t="s">
        <v>715</v>
      </c>
      <c r="AK417" t="s">
        <v>121</v>
      </c>
    </row>
    <row r="418" spans="9:37" x14ac:dyDescent="0.3">
      <c r="I418">
        <f ca="1">IF(OR(INDIRECT(A73&amp;ROW())=B93,INDIRECT(A73&amp;ROW())=B94),1,IF(AND(INDIRECT(A73&amp;ROW())=B95,INDIRECT(A96&amp;ROW())=C93),1,IF(AND(INDIRECT(A73&amp;ROW())=B95,INDIRECT(A96&amp;ROW())=C94),1,0)))</f>
        <v>1</v>
      </c>
      <c r="J418">
        <f ca="1">IF(AND(INDIRECT(A73&amp;ROW())=B95,INDIRECT(A96&amp;ROW())=C95),1,IF(AND(INDIRECT(A73&amp;ROW())=B95,INDIRECT(A96&amp;ROW())=C96),1,0))</f>
        <v>0</v>
      </c>
      <c r="K418">
        <f ca="1">DAYS360(INDIRECT(C68&amp;ROW()),TODAY())</f>
        <v>690</v>
      </c>
      <c r="L418">
        <f ca="1">DAYS360(INDIRECT(C69&amp;ROW()),TODAY())</f>
        <v>758</v>
      </c>
      <c r="M418">
        <f ca="1">HYPERLINK(CONCATENATE("https://bugzilla.houston.hp.com:1181/bugzilla/show_bug.cgi?id=",INDIRECT(C70&amp;ROW())),INDIRECT(C70&amp;ROW()))</f>
        <v>59260</v>
      </c>
      <c r="N418">
        <v>59260</v>
      </c>
      <c r="O418" t="s">
        <v>22</v>
      </c>
      <c r="P418" t="s">
        <v>817</v>
      </c>
      <c r="Q418" t="s">
        <v>25</v>
      </c>
      <c r="R418" t="s">
        <v>248</v>
      </c>
      <c r="S418" t="s">
        <v>552</v>
      </c>
      <c r="U418" s="6">
        <v>42157.091111111113</v>
      </c>
      <c r="V418" t="s">
        <v>18</v>
      </c>
      <c r="W418" t="s">
        <v>783</v>
      </c>
      <c r="X418" s="6">
        <v>42087.716840277775</v>
      </c>
      <c r="Y418" t="s">
        <v>119</v>
      </c>
      <c r="AB418" t="s">
        <v>200</v>
      </c>
      <c r="AC418" t="s">
        <v>247</v>
      </c>
      <c r="AD418" t="s">
        <v>220</v>
      </c>
      <c r="AE418" t="s">
        <v>223</v>
      </c>
      <c r="AG418" t="s">
        <v>121</v>
      </c>
      <c r="AH418" t="s">
        <v>327</v>
      </c>
      <c r="AI418" t="s">
        <v>121</v>
      </c>
      <c r="AJ418" t="s">
        <v>715</v>
      </c>
      <c r="AK418" t="s">
        <v>121</v>
      </c>
    </row>
    <row r="419" spans="9:37" x14ac:dyDescent="0.3">
      <c r="I419">
        <f ca="1">IF(OR(INDIRECT(A73&amp;ROW())=B93,INDIRECT(A73&amp;ROW())=B94),1,IF(AND(INDIRECT(A73&amp;ROW())=B95,INDIRECT(A96&amp;ROW())=C93),1,IF(AND(INDIRECT(A73&amp;ROW())=B95,INDIRECT(A96&amp;ROW())=C94),1,0)))</f>
        <v>0</v>
      </c>
      <c r="J419">
        <f ca="1">IF(AND(INDIRECT(A73&amp;ROW())=B95,INDIRECT(A96&amp;ROW())=C95),1,IF(AND(INDIRECT(A73&amp;ROW())=B95,INDIRECT(A96&amp;ROW())=C96),1,0))</f>
        <v>1</v>
      </c>
      <c r="K419">
        <f ca="1">DAYS360(INDIRECT(C68&amp;ROW()),TODAY())</f>
        <v>753</v>
      </c>
      <c r="L419">
        <f ca="1">DAYS360(INDIRECT(C69&amp;ROW()),TODAY())</f>
        <v>757</v>
      </c>
      <c r="M419">
        <f ca="1">HYPERLINK(CONCATENATE("https://bugzilla.houston.hp.com:1181/bugzilla/show_bug.cgi?id=",INDIRECT(C70&amp;ROW())),INDIRECT(C70&amp;ROW()))</f>
        <v>59347</v>
      </c>
      <c r="N419">
        <v>59347</v>
      </c>
      <c r="O419" t="s">
        <v>22</v>
      </c>
      <c r="P419" t="s">
        <v>830</v>
      </c>
      <c r="Q419" t="s">
        <v>25</v>
      </c>
      <c r="R419" t="s">
        <v>251</v>
      </c>
      <c r="S419" t="s">
        <v>253</v>
      </c>
      <c r="U419" s="6">
        <v>42092.969606481478</v>
      </c>
      <c r="V419" t="s">
        <v>18</v>
      </c>
      <c r="W419" t="s">
        <v>17</v>
      </c>
      <c r="X419" s="6">
        <v>42088.711562500001</v>
      </c>
      <c r="Y419" t="s">
        <v>246</v>
      </c>
      <c r="AB419" t="s">
        <v>201</v>
      </c>
      <c r="AC419" t="s">
        <v>247</v>
      </c>
      <c r="AD419" t="s">
        <v>222</v>
      </c>
      <c r="AE419" t="s">
        <v>225</v>
      </c>
      <c r="AG419" t="s">
        <v>121</v>
      </c>
      <c r="AH419" t="s">
        <v>327</v>
      </c>
      <c r="AI419" t="s">
        <v>121</v>
      </c>
      <c r="AJ419" t="s">
        <v>716</v>
      </c>
      <c r="AK419" t="s">
        <v>121</v>
      </c>
    </row>
    <row r="420" spans="9:37" x14ac:dyDescent="0.3">
      <c r="I420">
        <f ca="1">IF(OR(INDIRECT(A73&amp;ROW())=B93,INDIRECT(A73&amp;ROW())=B94),1,IF(AND(INDIRECT(A73&amp;ROW())=B95,INDIRECT(A96&amp;ROW())=C93),1,IF(AND(INDIRECT(A73&amp;ROW())=B95,INDIRECT(A96&amp;ROW())=C94),1,0)))</f>
        <v>0</v>
      </c>
      <c r="J420">
        <f ca="1">IF(AND(INDIRECT(A73&amp;ROW())=B95,INDIRECT(A96&amp;ROW())=C95),1,IF(AND(INDIRECT(A73&amp;ROW())=B95,INDIRECT(A96&amp;ROW())=C96),1,0))</f>
        <v>1</v>
      </c>
      <c r="K420">
        <f ca="1">DAYS360(INDIRECT(C68&amp;ROW()),TODAY())</f>
        <v>684</v>
      </c>
      <c r="L420">
        <f ca="1">DAYS360(INDIRECT(C69&amp;ROW()),TODAY())</f>
        <v>757</v>
      </c>
      <c r="M420">
        <f ca="1">HYPERLINK(CONCATENATE("https://bugzilla.houston.hp.com:1181/bugzilla/show_bug.cgi?id=",INDIRECT(C70&amp;ROW())),INDIRECT(C70&amp;ROW()))</f>
        <v>59348</v>
      </c>
      <c r="N420">
        <v>59348</v>
      </c>
      <c r="O420" t="s">
        <v>22</v>
      </c>
      <c r="P420" t="s">
        <v>829</v>
      </c>
      <c r="Q420" t="s">
        <v>25</v>
      </c>
      <c r="R420" t="s">
        <v>251</v>
      </c>
      <c r="S420" t="s">
        <v>253</v>
      </c>
      <c r="U420" s="6">
        <v>42163.565648148149</v>
      </c>
      <c r="V420" t="s">
        <v>18</v>
      </c>
      <c r="W420" t="s">
        <v>17</v>
      </c>
      <c r="X420" s="6">
        <v>42088.71303240741</v>
      </c>
      <c r="Y420" t="s">
        <v>246</v>
      </c>
      <c r="AB420" t="s">
        <v>201</v>
      </c>
      <c r="AC420" t="s">
        <v>247</v>
      </c>
      <c r="AD420" t="s">
        <v>222</v>
      </c>
      <c r="AE420" t="s">
        <v>232</v>
      </c>
      <c r="AG420" t="s">
        <v>121</v>
      </c>
      <c r="AH420" t="s">
        <v>327</v>
      </c>
      <c r="AI420" t="s">
        <v>121</v>
      </c>
      <c r="AJ420" t="s">
        <v>716</v>
      </c>
      <c r="AK420" t="s">
        <v>121</v>
      </c>
    </row>
    <row r="421" spans="9:37" x14ac:dyDescent="0.3">
      <c r="I421">
        <f ca="1">IF(OR(INDIRECT(A73&amp;ROW())=B93,INDIRECT(A73&amp;ROW())=B94),1,IF(AND(INDIRECT(A73&amp;ROW())=B95,INDIRECT(A96&amp;ROW())=C93),1,IF(AND(INDIRECT(A73&amp;ROW())=B95,INDIRECT(A96&amp;ROW())=C94),1,0)))</f>
        <v>0</v>
      </c>
      <c r="J421">
        <f ca="1">IF(AND(INDIRECT(A73&amp;ROW())=B95,INDIRECT(A96&amp;ROW())=C95),1,IF(AND(INDIRECT(A73&amp;ROW())=B95,INDIRECT(A96&amp;ROW())=C96),1,0))</f>
        <v>1</v>
      </c>
      <c r="K421">
        <f ca="1">DAYS360(INDIRECT(C68&amp;ROW()),TODAY())</f>
        <v>752</v>
      </c>
      <c r="L421">
        <f ca="1">DAYS360(INDIRECT(C69&amp;ROW()),TODAY())</f>
        <v>756</v>
      </c>
      <c r="M421">
        <f ca="1">HYPERLINK(CONCATENATE("https://bugzilla.houston.hp.com:1181/bugzilla/show_bug.cgi?id=",INDIRECT(C70&amp;ROW())),INDIRECT(C70&amp;ROW()))</f>
        <v>59359</v>
      </c>
      <c r="N421">
        <v>59359</v>
      </c>
      <c r="O421" t="s">
        <v>22</v>
      </c>
      <c r="P421" t="s">
        <v>828</v>
      </c>
      <c r="Q421" t="s">
        <v>25</v>
      </c>
      <c r="R421" t="s">
        <v>579</v>
      </c>
      <c r="S421" t="s">
        <v>552</v>
      </c>
      <c r="T421" t="s">
        <v>835</v>
      </c>
      <c r="U421" s="6">
        <v>42094.334027777775</v>
      </c>
      <c r="V421" t="s">
        <v>18</v>
      </c>
      <c r="W421" t="s">
        <v>17</v>
      </c>
      <c r="X421" s="6">
        <v>42089.015092592592</v>
      </c>
      <c r="Y421" t="s">
        <v>246</v>
      </c>
      <c r="AB421" t="s">
        <v>201</v>
      </c>
      <c r="AC421" t="s">
        <v>247</v>
      </c>
      <c r="AD421" t="s">
        <v>222</v>
      </c>
      <c r="AE421" t="s">
        <v>232</v>
      </c>
      <c r="AG421" t="s">
        <v>121</v>
      </c>
      <c r="AH421" t="s">
        <v>327</v>
      </c>
      <c r="AI421" t="s">
        <v>121</v>
      </c>
      <c r="AJ421" t="s">
        <v>716</v>
      </c>
      <c r="AK421" t="s">
        <v>121</v>
      </c>
    </row>
    <row r="422" spans="9:37" x14ac:dyDescent="0.3">
      <c r="I422">
        <f ca="1">IF(OR(INDIRECT(A73&amp;ROW())=B93,INDIRECT(A73&amp;ROW())=B94),1,IF(AND(INDIRECT(A73&amp;ROW())=B95,INDIRECT(A96&amp;ROW())=C93),1,IF(AND(INDIRECT(A73&amp;ROW())=B95,INDIRECT(A96&amp;ROW())=C94),1,0)))</f>
        <v>0</v>
      </c>
      <c r="J422">
        <f ca="1">IF(AND(INDIRECT(A73&amp;ROW())=B95,INDIRECT(A96&amp;ROW())=C95),1,IF(AND(INDIRECT(A73&amp;ROW())=B95,INDIRECT(A96&amp;ROW())=C96),1,0))</f>
        <v>1</v>
      </c>
      <c r="K422">
        <f ca="1">DAYS360(INDIRECT(C68&amp;ROW()),TODAY())</f>
        <v>752</v>
      </c>
      <c r="L422">
        <f ca="1">DAYS360(INDIRECT(C69&amp;ROW()),TODAY())</f>
        <v>756</v>
      </c>
      <c r="M422">
        <f ca="1">HYPERLINK(CONCATENATE("https://bugzilla.houston.hp.com:1181/bugzilla/show_bug.cgi?id=",INDIRECT(C70&amp;ROW())),INDIRECT(C70&amp;ROW()))</f>
        <v>59360</v>
      </c>
      <c r="N422">
        <v>59360</v>
      </c>
      <c r="O422" t="s">
        <v>22</v>
      </c>
      <c r="P422" t="s">
        <v>827</v>
      </c>
      <c r="Q422" t="s">
        <v>25</v>
      </c>
      <c r="R422" t="s">
        <v>248</v>
      </c>
      <c r="S422" t="s">
        <v>552</v>
      </c>
      <c r="U422" s="6">
        <v>42093.311527777776</v>
      </c>
      <c r="V422" t="s">
        <v>18</v>
      </c>
      <c r="W422" t="s">
        <v>17</v>
      </c>
      <c r="X422" s="6">
        <v>42089.015150462961</v>
      </c>
      <c r="Y422" t="s">
        <v>246</v>
      </c>
      <c r="AB422" t="s">
        <v>201</v>
      </c>
      <c r="AC422" t="s">
        <v>247</v>
      </c>
      <c r="AD422" t="s">
        <v>222</v>
      </c>
      <c r="AE422" t="s">
        <v>232</v>
      </c>
      <c r="AG422" t="s">
        <v>121</v>
      </c>
      <c r="AH422" t="s">
        <v>327</v>
      </c>
      <c r="AI422" t="s">
        <v>121</v>
      </c>
      <c r="AJ422" t="s">
        <v>716</v>
      </c>
      <c r="AK422" t="s">
        <v>121</v>
      </c>
    </row>
    <row r="423" spans="9:37" x14ac:dyDescent="0.3">
      <c r="I423">
        <f ca="1">IF(OR(INDIRECT(A73&amp;ROW())=B93,INDIRECT(A73&amp;ROW())=B94),1,IF(AND(INDIRECT(A73&amp;ROW())=B95,INDIRECT(A96&amp;ROW())=C93),1,IF(AND(INDIRECT(A73&amp;ROW())=B95,INDIRECT(A96&amp;ROW())=C94),1,0)))</f>
        <v>0</v>
      </c>
      <c r="J423">
        <f ca="1">IF(AND(INDIRECT(A73&amp;ROW())=B95,INDIRECT(A96&amp;ROW())=C95),1,IF(AND(INDIRECT(A73&amp;ROW())=B95,INDIRECT(A96&amp;ROW())=C96),1,0))</f>
        <v>1</v>
      </c>
      <c r="K423">
        <f ca="1">DAYS360(INDIRECT(C68&amp;ROW()),TODAY())</f>
        <v>731</v>
      </c>
      <c r="L423">
        <f ca="1">DAYS360(INDIRECT(C69&amp;ROW()),TODAY())</f>
        <v>756</v>
      </c>
      <c r="M423">
        <f ca="1">HYPERLINK(CONCATENATE("https://bugzilla.houston.hp.com:1181/bugzilla/show_bug.cgi?id=",INDIRECT(C70&amp;ROW())),INDIRECT(C70&amp;ROW()))</f>
        <v>59366</v>
      </c>
      <c r="N423">
        <v>59366</v>
      </c>
      <c r="O423" t="s">
        <v>66</v>
      </c>
      <c r="P423" t="s">
        <v>826</v>
      </c>
      <c r="Q423" t="s">
        <v>25</v>
      </c>
      <c r="R423" t="s">
        <v>251</v>
      </c>
      <c r="S423" t="s">
        <v>187</v>
      </c>
      <c r="U423" s="6">
        <v>42115.687002314815</v>
      </c>
      <c r="V423" t="s">
        <v>35</v>
      </c>
      <c r="W423" t="s">
        <v>17</v>
      </c>
      <c r="X423" s="6">
        <v>42089.027627314812</v>
      </c>
      <c r="Y423" t="s">
        <v>792</v>
      </c>
      <c r="AB423" t="s">
        <v>201</v>
      </c>
      <c r="AC423" t="s">
        <v>247</v>
      </c>
      <c r="AD423" t="s">
        <v>220</v>
      </c>
      <c r="AE423" t="s">
        <v>219</v>
      </c>
      <c r="AG423" t="s">
        <v>121</v>
      </c>
      <c r="AH423" t="s">
        <v>327</v>
      </c>
      <c r="AI423" t="s">
        <v>121</v>
      </c>
      <c r="AJ423" t="s">
        <v>717</v>
      </c>
      <c r="AK423" t="s">
        <v>121</v>
      </c>
    </row>
    <row r="424" spans="9:37" x14ac:dyDescent="0.3">
      <c r="I424">
        <f ca="1">IF(OR(INDIRECT(A73&amp;ROW())=B93,INDIRECT(A73&amp;ROW())=B94),1,IF(AND(INDIRECT(A73&amp;ROW())=B95,INDIRECT(A96&amp;ROW())=C93),1,IF(AND(INDIRECT(A73&amp;ROW())=B95,INDIRECT(A96&amp;ROW())=C94),1,0)))</f>
        <v>1</v>
      </c>
      <c r="J424">
        <f ca="1">IF(AND(INDIRECT(A73&amp;ROW())=B95,INDIRECT(A96&amp;ROW())=C95),1,IF(AND(INDIRECT(A73&amp;ROW())=B95,INDIRECT(A96&amp;ROW())=C96),1,0))</f>
        <v>0</v>
      </c>
      <c r="K424">
        <f ca="1">DAYS360(INDIRECT(C68&amp;ROW()),TODAY())</f>
        <v>687</v>
      </c>
      <c r="L424">
        <f ca="1">DAYS360(INDIRECT(C69&amp;ROW()),TODAY())</f>
        <v>756</v>
      </c>
      <c r="M424">
        <f ca="1">HYPERLINK(CONCATENATE("https://bugzilla.houston.hp.com:1181/bugzilla/show_bug.cgi?id=",INDIRECT(C70&amp;ROW())),INDIRECT(C70&amp;ROW()))</f>
        <v>59407</v>
      </c>
      <c r="N424">
        <v>59407</v>
      </c>
      <c r="O424" t="s">
        <v>53</v>
      </c>
      <c r="P424" t="s">
        <v>825</v>
      </c>
      <c r="Q424" t="s">
        <v>39</v>
      </c>
      <c r="R424" t="s">
        <v>579</v>
      </c>
      <c r="S424" t="s">
        <v>784</v>
      </c>
      <c r="T424" t="s">
        <v>822</v>
      </c>
      <c r="U424" s="6">
        <v>42160.50141203704</v>
      </c>
      <c r="V424" t="s">
        <v>18</v>
      </c>
      <c r="W424" t="s">
        <v>343</v>
      </c>
      <c r="X424" s="6">
        <v>42089.50372685185</v>
      </c>
      <c r="Y424" t="s">
        <v>793</v>
      </c>
      <c r="AB424" t="s">
        <v>201</v>
      </c>
      <c r="AC424" t="s">
        <v>247</v>
      </c>
      <c r="AD424" t="s">
        <v>220</v>
      </c>
      <c r="AE424" t="s">
        <v>229</v>
      </c>
      <c r="AG424" t="s">
        <v>121</v>
      </c>
      <c r="AH424" t="s">
        <v>327</v>
      </c>
      <c r="AI424" t="s">
        <v>362</v>
      </c>
      <c r="AJ424" t="s">
        <v>715</v>
      </c>
      <c r="AK424" t="s">
        <v>121</v>
      </c>
    </row>
    <row r="425" spans="9:37" x14ac:dyDescent="0.3">
      <c r="I425">
        <f ca="1">IF(OR(INDIRECT(A73&amp;ROW())=B93,INDIRECT(A73&amp;ROW())=B94),1,IF(AND(INDIRECT(A73&amp;ROW())=B95,INDIRECT(A96&amp;ROW())=C93),1,IF(AND(INDIRECT(A73&amp;ROW())=B95,INDIRECT(A96&amp;ROW())=C94),1,0)))</f>
        <v>0</v>
      </c>
      <c r="J425">
        <f ca="1">IF(AND(INDIRECT(A73&amp;ROW())=B95,INDIRECT(A96&amp;ROW())=C95),1,IF(AND(INDIRECT(A73&amp;ROW())=B95,INDIRECT(A96&amp;ROW())=C96),1,0))</f>
        <v>1</v>
      </c>
      <c r="K425">
        <f ca="1">DAYS360(INDIRECT(C68&amp;ROW()),TODAY())</f>
        <v>752</v>
      </c>
      <c r="L425">
        <f ca="1">DAYS360(INDIRECT(C69&amp;ROW()),TODAY())</f>
        <v>755</v>
      </c>
      <c r="M425">
        <f ca="1">HYPERLINK(CONCATENATE("https://bugzilla.houston.hp.com:1181/bugzilla/show_bug.cgi?id=",INDIRECT(C70&amp;ROW())),INDIRECT(C70&amp;ROW()))</f>
        <v>59450</v>
      </c>
      <c r="N425">
        <v>59450</v>
      </c>
      <c r="O425" t="s">
        <v>22</v>
      </c>
      <c r="P425" t="s">
        <v>824</v>
      </c>
      <c r="Q425" t="s">
        <v>25</v>
      </c>
      <c r="R425" t="s">
        <v>248</v>
      </c>
      <c r="S425" t="s">
        <v>552</v>
      </c>
      <c r="U425" s="6">
        <v>42093.311597222222</v>
      </c>
      <c r="V425" t="s">
        <v>18</v>
      </c>
      <c r="W425" t="s">
        <v>17</v>
      </c>
      <c r="X425" s="6">
        <v>42090.015208333331</v>
      </c>
      <c r="Y425" t="s">
        <v>246</v>
      </c>
      <c r="AB425" t="s">
        <v>201</v>
      </c>
      <c r="AC425" t="s">
        <v>247</v>
      </c>
      <c r="AD425" t="s">
        <v>222</v>
      </c>
      <c r="AE425" t="s">
        <v>232</v>
      </c>
      <c r="AG425" t="s">
        <v>121</v>
      </c>
      <c r="AH425" t="s">
        <v>327</v>
      </c>
      <c r="AI425" t="s">
        <v>121</v>
      </c>
      <c r="AJ425" t="s">
        <v>716</v>
      </c>
      <c r="AK425" t="s">
        <v>121</v>
      </c>
    </row>
    <row r="426" spans="9:37" x14ac:dyDescent="0.3">
      <c r="I426">
        <f ca="1">IF(OR(INDIRECT(A73&amp;ROW())=B93,INDIRECT(A73&amp;ROW())=B94),1,IF(AND(INDIRECT(A73&amp;ROW())=B95,INDIRECT(A96&amp;ROW())=C93),1,IF(AND(INDIRECT(A73&amp;ROW())=B95,INDIRECT(A96&amp;ROW())=C94),1,0)))</f>
        <v>0</v>
      </c>
      <c r="J426">
        <f ca="1">IF(AND(INDIRECT(A73&amp;ROW())=B95,INDIRECT(A96&amp;ROW())=C95),1,IF(AND(INDIRECT(A73&amp;ROW())=B95,INDIRECT(A96&amp;ROW())=C96),1,0))</f>
        <v>0</v>
      </c>
      <c r="K426">
        <f ca="1">DAYS360(INDIRECT(C68&amp;ROW()),TODAY())</f>
        <v>724</v>
      </c>
      <c r="L426">
        <f ca="1">DAYS360(INDIRECT(C69&amp;ROW()),TODAY())</f>
        <v>755</v>
      </c>
      <c r="M426">
        <f ca="1">HYPERLINK(CONCATENATE("https://bugzilla.houston.hp.com:1181/bugzilla/show_bug.cgi?id=",INDIRECT(C70&amp;ROW())),INDIRECT(C70&amp;ROW()))</f>
        <v>59484</v>
      </c>
      <c r="N426">
        <v>59484</v>
      </c>
      <c r="O426" t="s">
        <v>164</v>
      </c>
      <c r="P426" t="s">
        <v>845</v>
      </c>
      <c r="Q426" t="s">
        <v>16</v>
      </c>
      <c r="R426" t="s">
        <v>251</v>
      </c>
      <c r="S426" t="s">
        <v>823</v>
      </c>
      <c r="T426" t="s">
        <v>181</v>
      </c>
      <c r="U426" s="6">
        <v>42122.283194444448</v>
      </c>
      <c r="V426" t="s">
        <v>35</v>
      </c>
      <c r="W426" t="s">
        <v>17</v>
      </c>
      <c r="X426" s="6">
        <v>42090.238715277781</v>
      </c>
      <c r="Y426" t="s">
        <v>123</v>
      </c>
      <c r="AB426" t="s">
        <v>201</v>
      </c>
      <c r="AC426" t="s">
        <v>247</v>
      </c>
      <c r="AD426" t="s">
        <v>220</v>
      </c>
      <c r="AE426" t="s">
        <v>219</v>
      </c>
      <c r="AG426" t="s">
        <v>121</v>
      </c>
      <c r="AH426" t="s">
        <v>327</v>
      </c>
      <c r="AI426" t="s">
        <v>121</v>
      </c>
      <c r="AJ426" t="s">
        <v>717</v>
      </c>
      <c r="AK426" t="s">
        <v>121</v>
      </c>
    </row>
    <row r="427" spans="9:37" x14ac:dyDescent="0.3">
      <c r="I427">
        <f ca="1">IF(OR(INDIRECT(A73&amp;ROW())=B93,INDIRECT(A73&amp;ROW())=B94),1,IF(AND(INDIRECT(A73&amp;ROW())=B95,INDIRECT(A96&amp;ROW())=C93),1,IF(AND(INDIRECT(A73&amp;ROW())=B95,INDIRECT(A96&amp;ROW())=C94),1,0)))</f>
        <v>0</v>
      </c>
      <c r="J427">
        <f ca="1">IF(AND(INDIRECT(A73&amp;ROW())=B95,INDIRECT(A96&amp;ROW())=C95),1,IF(AND(INDIRECT(A73&amp;ROW())=B95,INDIRECT(A96&amp;ROW())=C96),1,0))</f>
        <v>0</v>
      </c>
      <c r="K427">
        <f ca="1">DAYS360(INDIRECT(C68&amp;ROW()),TODAY())</f>
        <v>732</v>
      </c>
      <c r="L427">
        <f ca="1">DAYS360(INDIRECT(C69&amp;ROW()),TODAY())</f>
        <v>755</v>
      </c>
      <c r="M427">
        <f ca="1">HYPERLINK(CONCATENATE("https://bugzilla.houston.hp.com:1181/bugzilla/show_bug.cgi?id=",INDIRECT(C70&amp;ROW())),INDIRECT(C70&amp;ROW()))</f>
        <v>59501</v>
      </c>
      <c r="N427">
        <v>59501</v>
      </c>
      <c r="O427" t="s">
        <v>164</v>
      </c>
      <c r="P427" t="s">
        <v>834</v>
      </c>
      <c r="Q427" t="s">
        <v>16</v>
      </c>
      <c r="R427" t="s">
        <v>248</v>
      </c>
      <c r="S427" t="s">
        <v>552</v>
      </c>
      <c r="T427" t="s">
        <v>181</v>
      </c>
      <c r="U427" s="6">
        <v>42114.053287037037</v>
      </c>
      <c r="V427" t="s">
        <v>18</v>
      </c>
      <c r="W427" t="s">
        <v>372</v>
      </c>
      <c r="X427" s="6">
        <v>42090.44153935185</v>
      </c>
      <c r="Y427" t="s">
        <v>123</v>
      </c>
      <c r="AB427" t="s">
        <v>201</v>
      </c>
      <c r="AC427" t="s">
        <v>247</v>
      </c>
      <c r="AD427" t="s">
        <v>220</v>
      </c>
      <c r="AE427" t="s">
        <v>219</v>
      </c>
      <c r="AG427" t="s">
        <v>121</v>
      </c>
      <c r="AH427" t="s">
        <v>327</v>
      </c>
      <c r="AI427" t="s">
        <v>121</v>
      </c>
      <c r="AJ427" t="s">
        <v>717</v>
      </c>
      <c r="AK427" t="s">
        <v>121</v>
      </c>
    </row>
    <row r="428" spans="9:37" x14ac:dyDescent="0.3">
      <c r="I428">
        <f ca="1">IF(OR(INDIRECT(A73&amp;ROW())=B93,INDIRECT(A73&amp;ROW())=B94),1,IF(AND(INDIRECT(A73&amp;ROW())=B95,INDIRECT(A96&amp;ROW())=C93),1,IF(AND(INDIRECT(A73&amp;ROW())=B95,INDIRECT(A96&amp;ROW())=C94),1,0)))</f>
        <v>0</v>
      </c>
      <c r="J428">
        <f ca="1">IF(AND(INDIRECT(A73&amp;ROW())=B95,INDIRECT(A96&amp;ROW())=C95),1,IF(AND(INDIRECT(A73&amp;ROW())=B95,INDIRECT(A96&amp;ROW())=C96),1,0))</f>
        <v>1</v>
      </c>
      <c r="K428">
        <f ca="1">DAYS360(INDIRECT(C68&amp;ROW()),TODAY())</f>
        <v>684</v>
      </c>
      <c r="L428">
        <f ca="1">DAYS360(INDIRECT(C69&amp;ROW()),TODAY())</f>
        <v>752</v>
      </c>
      <c r="M428">
        <f ca="1">HYPERLINK(CONCATENATE("https://bugzilla.houston.hp.com:1181/bugzilla/show_bug.cgi?id=",INDIRECT(C70&amp;ROW())),INDIRECT(C70&amp;ROW()))</f>
        <v>59637</v>
      </c>
      <c r="N428">
        <v>59637</v>
      </c>
      <c r="O428" t="s">
        <v>241</v>
      </c>
      <c r="P428" t="s">
        <v>838</v>
      </c>
      <c r="Q428" t="s">
        <v>25</v>
      </c>
      <c r="R428" t="s">
        <v>251</v>
      </c>
      <c r="S428" t="s">
        <v>52</v>
      </c>
      <c r="U428" s="6">
        <v>42163.573865740742</v>
      </c>
      <c r="V428" t="s">
        <v>18</v>
      </c>
      <c r="W428" t="s">
        <v>783</v>
      </c>
      <c r="X428" s="6">
        <v>42094.465636574074</v>
      </c>
      <c r="Y428" t="s">
        <v>255</v>
      </c>
      <c r="AB428" t="s">
        <v>201</v>
      </c>
      <c r="AC428" t="s">
        <v>247</v>
      </c>
      <c r="AD428" t="s">
        <v>222</v>
      </c>
      <c r="AE428" t="s">
        <v>232</v>
      </c>
      <c r="AG428" t="s">
        <v>121</v>
      </c>
      <c r="AH428" t="s">
        <v>327</v>
      </c>
      <c r="AI428" t="s">
        <v>121</v>
      </c>
      <c r="AJ428" t="s">
        <v>716</v>
      </c>
      <c r="AK428" t="s">
        <v>121</v>
      </c>
    </row>
    <row r="429" spans="9:37" x14ac:dyDescent="0.3">
      <c r="I429">
        <f ca="1">IF(OR(INDIRECT(A73&amp;ROW())=B93,INDIRECT(A73&amp;ROW())=B94),1,IF(AND(INDIRECT(A73&amp;ROW())=B95,INDIRECT(A96&amp;ROW())=C93),1,IF(AND(INDIRECT(A73&amp;ROW())=B95,INDIRECT(A96&amp;ROW())=C94),1,0)))</f>
        <v>0</v>
      </c>
      <c r="J429">
        <f ca="1">IF(AND(INDIRECT(A73&amp;ROW())=B95,INDIRECT(A96&amp;ROW())=C95),1,IF(AND(INDIRECT(A73&amp;ROW())=B95,INDIRECT(A96&amp;ROW())=C96),1,0))</f>
        <v>1</v>
      </c>
      <c r="K429">
        <f ca="1">DAYS360(INDIRECT(C68&amp;ROW()),TODAY())</f>
        <v>717</v>
      </c>
      <c r="L429">
        <f ca="1">DAYS360(INDIRECT(C69&amp;ROW()),TODAY())</f>
        <v>752</v>
      </c>
      <c r="M429">
        <f ca="1">HYPERLINK(CONCATENATE("https://bugzilla.houston.hp.com:1181/bugzilla/show_bug.cgi?id=",INDIRECT(C70&amp;ROW())),INDIRECT(C70&amp;ROW()))</f>
        <v>59641</v>
      </c>
      <c r="N429">
        <v>59641</v>
      </c>
      <c r="O429" t="s">
        <v>241</v>
      </c>
      <c r="P429" t="s">
        <v>837</v>
      </c>
      <c r="Q429" t="s">
        <v>25</v>
      </c>
      <c r="R429" t="s">
        <v>579</v>
      </c>
      <c r="S429" t="s">
        <v>552</v>
      </c>
      <c r="T429" t="s">
        <v>1000</v>
      </c>
      <c r="U429" s="6">
        <v>42129.653993055559</v>
      </c>
      <c r="V429" t="s">
        <v>18</v>
      </c>
      <c r="W429" t="s">
        <v>783</v>
      </c>
      <c r="X429" s="6">
        <v>42094.498935185184</v>
      </c>
      <c r="Y429" t="s">
        <v>255</v>
      </c>
      <c r="AB429" t="s">
        <v>201</v>
      </c>
      <c r="AC429" t="s">
        <v>247</v>
      </c>
      <c r="AD429" t="s">
        <v>222</v>
      </c>
      <c r="AE429" t="s">
        <v>232</v>
      </c>
      <c r="AG429" t="s">
        <v>121</v>
      </c>
      <c r="AH429" t="s">
        <v>327</v>
      </c>
      <c r="AI429" t="s">
        <v>362</v>
      </c>
      <c r="AJ429" t="s">
        <v>716</v>
      </c>
      <c r="AK429" t="s">
        <v>121</v>
      </c>
    </row>
    <row r="430" spans="9:37" x14ac:dyDescent="0.3">
      <c r="I430">
        <f ca="1">IF(OR(INDIRECT(A73&amp;ROW())=B93,INDIRECT(A73&amp;ROW())=B94),1,IF(AND(INDIRECT(A73&amp;ROW())=B95,INDIRECT(A96&amp;ROW())=C93),1,IF(AND(INDIRECT(A73&amp;ROW())=B95,INDIRECT(A96&amp;ROW())=C94),1,0)))</f>
        <v>0</v>
      </c>
      <c r="J430">
        <f ca="1">IF(AND(INDIRECT(A73&amp;ROW())=B95,INDIRECT(A96&amp;ROW())=C95),1,IF(AND(INDIRECT(A73&amp;ROW())=B95,INDIRECT(A96&amp;ROW())=C96),1,0))</f>
        <v>1</v>
      </c>
      <c r="K430">
        <f ca="1">DAYS360(INDIRECT(C68&amp;ROW()),TODAY())</f>
        <v>717</v>
      </c>
      <c r="L430">
        <f ca="1">DAYS360(INDIRECT(C69&amp;ROW()),TODAY())</f>
        <v>752</v>
      </c>
      <c r="M430">
        <f ca="1">HYPERLINK(CONCATENATE("https://bugzilla.houston.hp.com:1181/bugzilla/show_bug.cgi?id=",INDIRECT(C70&amp;ROW())),INDIRECT(C70&amp;ROW()))</f>
        <v>59642</v>
      </c>
      <c r="N430">
        <v>59642</v>
      </c>
      <c r="O430" t="s">
        <v>241</v>
      </c>
      <c r="P430" t="s">
        <v>836</v>
      </c>
      <c r="Q430" t="s">
        <v>25</v>
      </c>
      <c r="R430" t="s">
        <v>248</v>
      </c>
      <c r="S430" t="s">
        <v>552</v>
      </c>
      <c r="U430" s="6">
        <v>42129.606840277775</v>
      </c>
      <c r="V430" t="s">
        <v>18</v>
      </c>
      <c r="W430" t="s">
        <v>783</v>
      </c>
      <c r="X430" s="6">
        <v>42094.499027777776</v>
      </c>
      <c r="Y430" t="s">
        <v>255</v>
      </c>
      <c r="AB430" t="s">
        <v>201</v>
      </c>
      <c r="AC430" t="s">
        <v>247</v>
      </c>
      <c r="AD430" t="s">
        <v>222</v>
      </c>
      <c r="AE430" t="s">
        <v>232</v>
      </c>
      <c r="AG430" t="s">
        <v>121</v>
      </c>
      <c r="AH430" t="s">
        <v>327</v>
      </c>
      <c r="AI430" t="s">
        <v>121</v>
      </c>
      <c r="AJ430" t="s">
        <v>716</v>
      </c>
      <c r="AK430" t="s">
        <v>121</v>
      </c>
    </row>
    <row r="431" spans="9:37" x14ac:dyDescent="0.3">
      <c r="I431">
        <f ca="1">IF(OR(INDIRECT(A73&amp;ROW())=B93,INDIRECT(A73&amp;ROW())=B94),1,IF(AND(INDIRECT(A73&amp;ROW())=B95,INDIRECT(A96&amp;ROW())=C93),1,IF(AND(INDIRECT(A73&amp;ROW())=B95,INDIRECT(A96&amp;ROW())=C94),1,0)))</f>
        <v>0</v>
      </c>
      <c r="J431">
        <f ca="1">IF(AND(INDIRECT(A73&amp;ROW())=B95,INDIRECT(A96&amp;ROW())=C95),1,IF(AND(INDIRECT(A73&amp;ROW())=B95,INDIRECT(A96&amp;ROW())=C96),1,0))</f>
        <v>1</v>
      </c>
      <c r="K431">
        <f ca="1">DAYS360(INDIRECT(C68&amp;ROW()),TODAY())</f>
        <v>684</v>
      </c>
      <c r="L431">
        <f ca="1">DAYS360(INDIRECT(C69&amp;ROW()),TODAY())</f>
        <v>752</v>
      </c>
      <c r="M431">
        <f ca="1">HYPERLINK(CONCATENATE("https://bugzilla.houston.hp.com:1181/bugzilla/show_bug.cgi?id=",INDIRECT(C70&amp;ROW())),INDIRECT(C70&amp;ROW()))</f>
        <v>59659</v>
      </c>
      <c r="N431">
        <v>59659</v>
      </c>
      <c r="O431" t="s">
        <v>22</v>
      </c>
      <c r="P431" t="s">
        <v>844</v>
      </c>
      <c r="Q431" t="s">
        <v>25</v>
      </c>
      <c r="R431" t="s">
        <v>251</v>
      </c>
      <c r="S431" t="s">
        <v>49</v>
      </c>
      <c r="U431" s="6">
        <v>42163.575428240743</v>
      </c>
      <c r="V431" t="s">
        <v>18</v>
      </c>
      <c r="W431" t="s">
        <v>764</v>
      </c>
      <c r="X431" s="6">
        <v>42094.688078703701</v>
      </c>
      <c r="Y431" t="s">
        <v>246</v>
      </c>
      <c r="AB431" t="s">
        <v>201</v>
      </c>
      <c r="AC431" t="s">
        <v>247</v>
      </c>
      <c r="AD431" t="s">
        <v>222</v>
      </c>
      <c r="AE431" t="s">
        <v>221</v>
      </c>
      <c r="AG431" t="s">
        <v>121</v>
      </c>
      <c r="AH431" t="s">
        <v>327</v>
      </c>
      <c r="AI431" t="s">
        <v>121</v>
      </c>
      <c r="AJ431" t="s">
        <v>716</v>
      </c>
      <c r="AK431" t="s">
        <v>121</v>
      </c>
    </row>
    <row r="432" spans="9:37" x14ac:dyDescent="0.3">
      <c r="I432">
        <f ca="1">IF(OR(INDIRECT(A73&amp;ROW())=B93,INDIRECT(A73&amp;ROW())=B94),1,IF(AND(INDIRECT(A73&amp;ROW())=B95,INDIRECT(A96&amp;ROW())=C93),1,IF(AND(INDIRECT(A73&amp;ROW())=B95,INDIRECT(A96&amp;ROW())=C94),1,0)))</f>
        <v>1</v>
      </c>
      <c r="J432">
        <f ca="1">IF(AND(INDIRECT(A73&amp;ROW())=B95,INDIRECT(A96&amp;ROW())=C95),1,IF(AND(INDIRECT(A73&amp;ROW())=B95,INDIRECT(A96&amp;ROW())=C96),1,0))</f>
        <v>0</v>
      </c>
      <c r="K432">
        <f ca="1">DAYS360(INDIRECT(C68&amp;ROW()),TODAY())</f>
        <v>718</v>
      </c>
      <c r="L432">
        <f ca="1">DAYS360(INDIRECT(C69&amp;ROW()),TODAY())</f>
        <v>752</v>
      </c>
      <c r="M432">
        <f ca="1">HYPERLINK(CONCATENATE("https://bugzilla.houston.hp.com:1181/bugzilla/show_bug.cgi?id=",INDIRECT(C70&amp;ROW())),INDIRECT(C70&amp;ROW()))</f>
        <v>59661</v>
      </c>
      <c r="N432">
        <v>59661</v>
      </c>
      <c r="O432" t="s">
        <v>21</v>
      </c>
      <c r="P432" t="s">
        <v>843</v>
      </c>
      <c r="Q432" t="s">
        <v>25</v>
      </c>
      <c r="R432" t="s">
        <v>579</v>
      </c>
      <c r="S432" t="s">
        <v>236</v>
      </c>
      <c r="T432" t="s">
        <v>839</v>
      </c>
      <c r="U432" s="6">
        <v>42128.237893518519</v>
      </c>
      <c r="V432" t="s">
        <v>18</v>
      </c>
      <c r="W432" t="s">
        <v>207</v>
      </c>
      <c r="X432" s="6">
        <v>42094.697835648149</v>
      </c>
      <c r="Y432" t="s">
        <v>120</v>
      </c>
      <c r="AB432" t="s">
        <v>200</v>
      </c>
      <c r="AC432" t="s">
        <v>121</v>
      </c>
      <c r="AD432" t="s">
        <v>220</v>
      </c>
      <c r="AE432" t="s">
        <v>219</v>
      </c>
      <c r="AG432" t="s">
        <v>121</v>
      </c>
      <c r="AH432" t="s">
        <v>327</v>
      </c>
      <c r="AI432" t="s">
        <v>362</v>
      </c>
      <c r="AJ432" t="s">
        <v>715</v>
      </c>
      <c r="AK432" t="s">
        <v>121</v>
      </c>
    </row>
    <row r="433" spans="9:37" x14ac:dyDescent="0.3">
      <c r="I433">
        <f ca="1">IF(OR(INDIRECT(A73&amp;ROW())=B93,INDIRECT(A73&amp;ROW())=B94),1,IF(AND(INDIRECT(A73&amp;ROW())=B95,INDIRECT(A96&amp;ROW())=C93),1,IF(AND(INDIRECT(A73&amp;ROW())=B95,INDIRECT(A96&amp;ROW())=C94),1,0)))</f>
        <v>0</v>
      </c>
      <c r="J433">
        <f ca="1">IF(AND(INDIRECT(A73&amp;ROW())=B95,INDIRECT(A96&amp;ROW())=C95),1,IF(AND(INDIRECT(A73&amp;ROW())=B95,INDIRECT(A96&amp;ROW())=C96),1,0))</f>
        <v>1</v>
      </c>
      <c r="K433">
        <f ca="1">DAYS360(INDIRECT(C68&amp;ROW()),TODAY())</f>
        <v>746</v>
      </c>
      <c r="L433">
        <f ca="1">DAYS360(INDIRECT(C69&amp;ROW()),TODAY())</f>
        <v>751</v>
      </c>
      <c r="M433">
        <f ca="1">HYPERLINK(CONCATENATE("https://bugzilla.houston.hp.com:1181/bugzilla/show_bug.cgi?id=",INDIRECT(C70&amp;ROW())),INDIRECT(C70&amp;ROW()))</f>
        <v>59736</v>
      </c>
      <c r="N433">
        <v>59736</v>
      </c>
      <c r="O433" t="s">
        <v>22</v>
      </c>
      <c r="P433" t="s">
        <v>841</v>
      </c>
      <c r="Q433" t="s">
        <v>25</v>
      </c>
      <c r="R433" t="s">
        <v>579</v>
      </c>
      <c r="S433" t="s">
        <v>552</v>
      </c>
      <c r="T433" t="s">
        <v>851</v>
      </c>
      <c r="U433" s="6">
        <v>42100.318692129629</v>
      </c>
      <c r="V433" t="s">
        <v>18</v>
      </c>
      <c r="W433" t="s">
        <v>764</v>
      </c>
      <c r="X433" s="6">
        <v>42095.512280092589</v>
      </c>
      <c r="Y433" t="s">
        <v>246</v>
      </c>
      <c r="AB433" t="s">
        <v>201</v>
      </c>
      <c r="AC433" t="s">
        <v>247</v>
      </c>
      <c r="AD433" t="s">
        <v>222</v>
      </c>
      <c r="AE433" t="s">
        <v>221</v>
      </c>
      <c r="AG433" t="s">
        <v>121</v>
      </c>
      <c r="AH433" t="s">
        <v>327</v>
      </c>
      <c r="AI433" t="s">
        <v>121</v>
      </c>
      <c r="AJ433" t="s">
        <v>716</v>
      </c>
      <c r="AK433" t="s">
        <v>121</v>
      </c>
    </row>
    <row r="434" spans="9:37" x14ac:dyDescent="0.3">
      <c r="I434">
        <f ca="1">IF(OR(INDIRECT(A73&amp;ROW())=B93,INDIRECT(A73&amp;ROW())=B94),1,IF(AND(INDIRECT(A73&amp;ROW())=B95,INDIRECT(A96&amp;ROW())=C93),1,IF(AND(INDIRECT(A73&amp;ROW())=B95,INDIRECT(A96&amp;ROW())=C94),1,0)))</f>
        <v>0</v>
      </c>
      <c r="J434">
        <f ca="1">IF(AND(INDIRECT(A73&amp;ROW())=B95,INDIRECT(A96&amp;ROW())=C95),1,IF(AND(INDIRECT(A73&amp;ROW())=B95,INDIRECT(A96&amp;ROW())=C96),1,0))</f>
        <v>1</v>
      </c>
      <c r="K434">
        <f ca="1">DAYS360(INDIRECT(C68&amp;ROW()),TODAY())</f>
        <v>751</v>
      </c>
      <c r="L434">
        <f ca="1">DAYS360(INDIRECT(C69&amp;ROW()),TODAY())</f>
        <v>751</v>
      </c>
      <c r="M434">
        <f ca="1">HYPERLINK(CONCATENATE("https://bugzilla.houston.hp.com:1181/bugzilla/show_bug.cgi?id=",INDIRECT(C70&amp;ROW())),INDIRECT(C70&amp;ROW()))</f>
        <v>59737</v>
      </c>
      <c r="N434">
        <v>59737</v>
      </c>
      <c r="O434" t="s">
        <v>22</v>
      </c>
      <c r="P434" t="s">
        <v>840</v>
      </c>
      <c r="Q434" t="s">
        <v>25</v>
      </c>
      <c r="R434" t="s">
        <v>248</v>
      </c>
      <c r="S434" t="s">
        <v>552</v>
      </c>
      <c r="U434" s="6">
        <v>42095.512372685182</v>
      </c>
      <c r="V434" t="s">
        <v>18</v>
      </c>
      <c r="W434" t="s">
        <v>764</v>
      </c>
      <c r="X434" s="6">
        <v>42095.512372685182</v>
      </c>
      <c r="Y434" t="s">
        <v>246</v>
      </c>
      <c r="AB434" t="s">
        <v>201</v>
      </c>
      <c r="AC434" t="s">
        <v>247</v>
      </c>
      <c r="AD434" t="s">
        <v>222</v>
      </c>
      <c r="AE434" t="s">
        <v>221</v>
      </c>
      <c r="AG434" t="s">
        <v>121</v>
      </c>
      <c r="AH434" t="s">
        <v>327</v>
      </c>
      <c r="AI434" t="s">
        <v>121</v>
      </c>
      <c r="AJ434" t="s">
        <v>716</v>
      </c>
      <c r="AK434" t="s">
        <v>121</v>
      </c>
    </row>
    <row r="435" spans="9:37" x14ac:dyDescent="0.3">
      <c r="I435">
        <f ca="1">IF(OR(INDIRECT(A73&amp;ROW())=B93,INDIRECT(A73&amp;ROW())=B94),1,IF(AND(INDIRECT(A73&amp;ROW())=B95,INDIRECT(A96&amp;ROW())=C93),1,IF(AND(INDIRECT(A73&amp;ROW())=B95,INDIRECT(A96&amp;ROW())=C94),1,0)))</f>
        <v>0</v>
      </c>
      <c r="J435">
        <f ca="1">IF(AND(INDIRECT(A73&amp;ROW())=B95,INDIRECT(A96&amp;ROW())=C95),1,IF(AND(INDIRECT(A73&amp;ROW())=B95,INDIRECT(A96&amp;ROW())=C96),1,0))</f>
        <v>0</v>
      </c>
      <c r="K435">
        <f ca="1">DAYS360(INDIRECT(C68&amp;ROW()),TODAY())</f>
        <v>721</v>
      </c>
      <c r="L435">
        <f ca="1">DAYS360(INDIRECT(C69&amp;ROW()),TODAY())</f>
        <v>751</v>
      </c>
      <c r="M435">
        <f ca="1">HYPERLINK(CONCATENATE("https://bugzilla.houston.hp.com:1181/bugzilla/show_bug.cgi?id=",INDIRECT(C70&amp;ROW())),INDIRECT(C70&amp;ROW()))</f>
        <v>59756</v>
      </c>
      <c r="N435">
        <v>59756</v>
      </c>
      <c r="O435" t="s">
        <v>21</v>
      </c>
      <c r="P435" t="s">
        <v>849</v>
      </c>
      <c r="Q435" t="s">
        <v>16</v>
      </c>
      <c r="R435" t="s">
        <v>248</v>
      </c>
      <c r="S435" t="s">
        <v>552</v>
      </c>
      <c r="U435" s="6">
        <v>42125.685798611114</v>
      </c>
      <c r="V435" t="s">
        <v>18</v>
      </c>
      <c r="W435" t="s">
        <v>248</v>
      </c>
      <c r="X435" s="6">
        <v>42095.699733796297</v>
      </c>
      <c r="Y435" t="s">
        <v>846</v>
      </c>
      <c r="AB435" t="s">
        <v>200</v>
      </c>
      <c r="AC435" t="s">
        <v>247</v>
      </c>
      <c r="AD435" t="s">
        <v>222</v>
      </c>
      <c r="AE435" t="s">
        <v>240</v>
      </c>
      <c r="AG435" t="s">
        <v>121</v>
      </c>
      <c r="AH435" t="s">
        <v>327</v>
      </c>
      <c r="AI435" t="s">
        <v>121</v>
      </c>
      <c r="AJ435" t="s">
        <v>716</v>
      </c>
      <c r="AK435" t="s">
        <v>121</v>
      </c>
    </row>
    <row r="436" spans="9:37" x14ac:dyDescent="0.3">
      <c r="I436">
        <f ca="1">IF(OR(INDIRECT(A73&amp;ROW())=B93,INDIRECT(A73&amp;ROW())=B94),1,IF(AND(INDIRECT(A73&amp;ROW())=B95,INDIRECT(A96&amp;ROW())=C93),1,IF(AND(INDIRECT(A73&amp;ROW())=B95,INDIRECT(A96&amp;ROW())=C94),1,0)))</f>
        <v>0</v>
      </c>
      <c r="J436">
        <f ca="1">IF(AND(INDIRECT(A73&amp;ROW())=B95,INDIRECT(A96&amp;ROW())=C95),1,IF(AND(INDIRECT(A73&amp;ROW())=B95,INDIRECT(A96&amp;ROW())=C96),1,0))</f>
        <v>1</v>
      </c>
      <c r="K436">
        <f ca="1">DAYS360(INDIRECT(C68&amp;ROW()),TODAY())</f>
        <v>743</v>
      </c>
      <c r="L436">
        <f ca="1">DAYS360(INDIRECT(C69&amp;ROW()),TODAY())</f>
        <v>751</v>
      </c>
      <c r="M436">
        <f ca="1">HYPERLINK(CONCATENATE("https://bugzilla.houston.hp.com:1181/bugzilla/show_bug.cgi?id=",INDIRECT(C70&amp;ROW())),INDIRECT(C70&amp;ROW()))</f>
        <v>59757</v>
      </c>
      <c r="N436">
        <v>59757</v>
      </c>
      <c r="O436" t="s">
        <v>56</v>
      </c>
      <c r="P436" t="s">
        <v>848</v>
      </c>
      <c r="Q436" t="s">
        <v>25</v>
      </c>
      <c r="R436" t="s">
        <v>579</v>
      </c>
      <c r="S436" t="s">
        <v>552</v>
      </c>
      <c r="T436" t="s">
        <v>858</v>
      </c>
      <c r="U436" s="6">
        <v>42103.325578703705</v>
      </c>
      <c r="V436" t="s">
        <v>18</v>
      </c>
      <c r="W436" t="s">
        <v>764</v>
      </c>
      <c r="X436" s="6">
        <v>42095.701284722221</v>
      </c>
      <c r="Y436" t="s">
        <v>122</v>
      </c>
      <c r="AB436" t="s">
        <v>201</v>
      </c>
      <c r="AC436" t="s">
        <v>247</v>
      </c>
      <c r="AD436" t="s">
        <v>220</v>
      </c>
      <c r="AE436" t="s">
        <v>219</v>
      </c>
      <c r="AG436" t="s">
        <v>121</v>
      </c>
      <c r="AH436" t="s">
        <v>327</v>
      </c>
      <c r="AI436" t="s">
        <v>121</v>
      </c>
      <c r="AJ436" t="s">
        <v>716</v>
      </c>
      <c r="AK436" t="s">
        <v>121</v>
      </c>
    </row>
    <row r="437" spans="9:37" x14ac:dyDescent="0.3">
      <c r="I437">
        <f ca="1">IF(OR(INDIRECT(A73&amp;ROW())=B93,INDIRECT(A73&amp;ROW())=B94),1,IF(AND(INDIRECT(A73&amp;ROW())=B95,INDIRECT(A96&amp;ROW())=C93),1,IF(AND(INDIRECT(A73&amp;ROW())=B95,INDIRECT(A96&amp;ROW())=C94),1,0)))</f>
        <v>0</v>
      </c>
      <c r="J437">
        <f ca="1">IF(AND(INDIRECT(A73&amp;ROW())=B95,INDIRECT(A96&amp;ROW())=C95),1,IF(AND(INDIRECT(A73&amp;ROW())=B95,INDIRECT(A96&amp;ROW())=C96),1,0))</f>
        <v>1</v>
      </c>
      <c r="K437">
        <f ca="1">DAYS360(INDIRECT(C68&amp;ROW()),TODAY())</f>
        <v>724</v>
      </c>
      <c r="L437">
        <f ca="1">DAYS360(INDIRECT(C69&amp;ROW()),TODAY())</f>
        <v>751</v>
      </c>
      <c r="M437">
        <f ca="1">HYPERLINK(CONCATENATE("https://bugzilla.houston.hp.com:1181/bugzilla/show_bug.cgi?id=",INDIRECT(C70&amp;ROW())),INDIRECT(C70&amp;ROW()))</f>
        <v>59758</v>
      </c>
      <c r="N437">
        <v>59758</v>
      </c>
      <c r="O437" t="s">
        <v>56</v>
      </c>
      <c r="P437" t="s">
        <v>847</v>
      </c>
      <c r="Q437" t="s">
        <v>25</v>
      </c>
      <c r="R437" t="s">
        <v>248</v>
      </c>
      <c r="S437" t="s">
        <v>552</v>
      </c>
      <c r="U437" s="6">
        <v>42122.3203587963</v>
      </c>
      <c r="V437" t="s">
        <v>18</v>
      </c>
      <c r="W437" t="s">
        <v>764</v>
      </c>
      <c r="X437" s="6">
        <v>42095.701365740744</v>
      </c>
      <c r="Y437" t="s">
        <v>122</v>
      </c>
      <c r="AB437" t="s">
        <v>201</v>
      </c>
      <c r="AC437" t="s">
        <v>247</v>
      </c>
      <c r="AD437" t="s">
        <v>220</v>
      </c>
      <c r="AE437" t="s">
        <v>219</v>
      </c>
      <c r="AG437" t="s">
        <v>121</v>
      </c>
      <c r="AH437" t="s">
        <v>327</v>
      </c>
      <c r="AI437" t="s">
        <v>121</v>
      </c>
      <c r="AJ437" t="s">
        <v>716</v>
      </c>
      <c r="AK437" t="s">
        <v>121</v>
      </c>
    </row>
    <row r="438" spans="9:37" x14ac:dyDescent="0.3">
      <c r="I438">
        <f ca="1">IF(OR(INDIRECT(A73&amp;ROW())=B93,INDIRECT(A73&amp;ROW())=B94),1,IF(AND(INDIRECT(A73&amp;ROW())=B95,INDIRECT(A96&amp;ROW())=C93),1,IF(AND(INDIRECT(A73&amp;ROW())=B95,INDIRECT(A96&amp;ROW())=C94),1,0)))</f>
        <v>0</v>
      </c>
      <c r="J438">
        <f ca="1">IF(AND(INDIRECT(A73&amp;ROW())=B95,INDIRECT(A96&amp;ROW())=C95),1,IF(AND(INDIRECT(A73&amp;ROW())=B95,INDIRECT(A96&amp;ROW())=C96),1,0))</f>
        <v>1</v>
      </c>
      <c r="K438">
        <f ca="1">DAYS360(INDIRECT(C68&amp;ROW()),TODAY())</f>
        <v>677</v>
      </c>
      <c r="L438">
        <f ca="1">DAYS360(INDIRECT(C69&amp;ROW()),TODAY())</f>
        <v>748</v>
      </c>
      <c r="M438">
        <f ca="1">HYPERLINK(CONCATENATE("https://bugzilla.houston.hp.com:1181/bugzilla/show_bug.cgi?id=",INDIRECT(C70&amp;ROW())),INDIRECT(C70&amp;ROW()))</f>
        <v>59909</v>
      </c>
      <c r="N438">
        <v>59909</v>
      </c>
      <c r="O438" t="s">
        <v>22</v>
      </c>
      <c r="P438" t="s">
        <v>855</v>
      </c>
      <c r="Q438" t="s">
        <v>25</v>
      </c>
      <c r="R438" t="s">
        <v>251</v>
      </c>
      <c r="S438" t="s">
        <v>854</v>
      </c>
      <c r="U438" s="6">
        <v>42170.992673611108</v>
      </c>
      <c r="V438" t="s">
        <v>18</v>
      </c>
      <c r="W438" t="s">
        <v>764</v>
      </c>
      <c r="X438" s="6">
        <v>42098.086689814816</v>
      </c>
      <c r="Y438" t="s">
        <v>810</v>
      </c>
      <c r="AB438" t="s">
        <v>201</v>
      </c>
      <c r="AC438" t="s">
        <v>247</v>
      </c>
      <c r="AD438" t="s">
        <v>222</v>
      </c>
      <c r="AE438" t="s">
        <v>232</v>
      </c>
      <c r="AG438" t="s">
        <v>121</v>
      </c>
      <c r="AH438" t="s">
        <v>327</v>
      </c>
      <c r="AI438" t="s">
        <v>121</v>
      </c>
      <c r="AJ438" t="s">
        <v>716</v>
      </c>
      <c r="AK438" t="s">
        <v>121</v>
      </c>
    </row>
    <row r="439" spans="9:37" x14ac:dyDescent="0.3">
      <c r="I439">
        <f ca="1">IF(OR(INDIRECT(A73&amp;ROW())=B93,INDIRECT(A73&amp;ROW())=B94),1,IF(AND(INDIRECT(A73&amp;ROW())=B95,INDIRECT(A96&amp;ROW())=C93),1,IF(AND(INDIRECT(A73&amp;ROW())=B95,INDIRECT(A96&amp;ROW())=C94),1,0)))</f>
        <v>0</v>
      </c>
      <c r="J439">
        <f ca="1">IF(AND(INDIRECT(A73&amp;ROW())=B95,INDIRECT(A96&amp;ROW())=C95),1,IF(AND(INDIRECT(A73&amp;ROW())=B95,INDIRECT(A96&amp;ROW())=C96),1,0))</f>
        <v>1</v>
      </c>
      <c r="K439">
        <f ca="1">DAYS360(INDIRECT(C68&amp;ROW()),TODAY())</f>
        <v>742</v>
      </c>
      <c r="L439">
        <f ca="1">DAYS360(INDIRECT(C69&amp;ROW()),TODAY())</f>
        <v>748</v>
      </c>
      <c r="M439">
        <f ca="1">HYPERLINK(CONCATENATE("https://bugzilla.houston.hp.com:1181/bugzilla/show_bug.cgi?id=",INDIRECT(C70&amp;ROW())),INDIRECT(C70&amp;ROW()))</f>
        <v>59915</v>
      </c>
      <c r="N439">
        <v>59915</v>
      </c>
      <c r="O439" t="s">
        <v>22</v>
      </c>
      <c r="P439" t="s">
        <v>853</v>
      </c>
      <c r="Q439" t="s">
        <v>25</v>
      </c>
      <c r="R439" t="s">
        <v>579</v>
      </c>
      <c r="S439" t="s">
        <v>552</v>
      </c>
      <c r="T439" t="s">
        <v>859</v>
      </c>
      <c r="U439" s="6">
        <v>42104.311307870368</v>
      </c>
      <c r="V439" t="s">
        <v>18</v>
      </c>
      <c r="W439" t="s">
        <v>764</v>
      </c>
      <c r="X439" s="6">
        <v>42098.515439814815</v>
      </c>
      <c r="Y439" t="s">
        <v>810</v>
      </c>
      <c r="AB439" t="s">
        <v>201</v>
      </c>
      <c r="AC439" t="s">
        <v>247</v>
      </c>
      <c r="AD439" t="s">
        <v>222</v>
      </c>
      <c r="AE439" t="s">
        <v>232</v>
      </c>
      <c r="AG439" t="s">
        <v>121</v>
      </c>
      <c r="AH439" t="s">
        <v>327</v>
      </c>
      <c r="AI439" t="s">
        <v>121</v>
      </c>
      <c r="AJ439" t="s">
        <v>716</v>
      </c>
      <c r="AK439" t="s">
        <v>121</v>
      </c>
    </row>
    <row r="440" spans="9:37" x14ac:dyDescent="0.3">
      <c r="I440">
        <f ca="1">IF(OR(INDIRECT(A73&amp;ROW())=B93,INDIRECT(A73&amp;ROW())=B94),1,IF(AND(INDIRECT(A73&amp;ROW())=B95,INDIRECT(A96&amp;ROW())=C93),1,IF(AND(INDIRECT(A73&amp;ROW())=B95,INDIRECT(A96&amp;ROW())=C94),1,0)))</f>
        <v>0</v>
      </c>
      <c r="J440">
        <f ca="1">IF(AND(INDIRECT(A73&amp;ROW())=B95,INDIRECT(A96&amp;ROW())=C95),1,IF(AND(INDIRECT(A73&amp;ROW())=B95,INDIRECT(A96&amp;ROW())=C96),1,0))</f>
        <v>1</v>
      </c>
      <c r="K440">
        <f ca="1">DAYS360(INDIRECT(C68&amp;ROW()),TODAY())</f>
        <v>724</v>
      </c>
      <c r="L440">
        <f ca="1">DAYS360(INDIRECT(C69&amp;ROW()),TODAY())</f>
        <v>748</v>
      </c>
      <c r="M440">
        <f ca="1">HYPERLINK(CONCATENATE("https://bugzilla.houston.hp.com:1181/bugzilla/show_bug.cgi?id=",INDIRECT(C70&amp;ROW())),INDIRECT(C70&amp;ROW()))</f>
        <v>59916</v>
      </c>
      <c r="N440">
        <v>59916</v>
      </c>
      <c r="O440" t="s">
        <v>22</v>
      </c>
      <c r="P440" t="s">
        <v>852</v>
      </c>
      <c r="Q440" t="s">
        <v>25</v>
      </c>
      <c r="R440" t="s">
        <v>248</v>
      </c>
      <c r="S440" t="s">
        <v>552</v>
      </c>
      <c r="U440" s="6">
        <v>42122.321238425924</v>
      </c>
      <c r="V440" t="s">
        <v>18</v>
      </c>
      <c r="W440" t="s">
        <v>764</v>
      </c>
      <c r="X440" s="6">
        <v>42098.515509259261</v>
      </c>
      <c r="Y440" t="s">
        <v>810</v>
      </c>
      <c r="AB440" t="s">
        <v>201</v>
      </c>
      <c r="AC440" t="s">
        <v>247</v>
      </c>
      <c r="AD440" t="s">
        <v>222</v>
      </c>
      <c r="AE440" t="s">
        <v>232</v>
      </c>
      <c r="AG440" t="s">
        <v>121</v>
      </c>
      <c r="AH440" t="s">
        <v>327</v>
      </c>
      <c r="AI440" t="s">
        <v>121</v>
      </c>
      <c r="AJ440" t="s">
        <v>716</v>
      </c>
      <c r="AK440" t="s">
        <v>121</v>
      </c>
    </row>
    <row r="441" spans="9:37" x14ac:dyDescent="0.3">
      <c r="I441">
        <f ca="1">IF(OR(INDIRECT(A73&amp;ROW())=B93,INDIRECT(A73&amp;ROW())=B94),1,IF(AND(INDIRECT(A73&amp;ROW())=B95,INDIRECT(A96&amp;ROW())=C93),1,IF(AND(INDIRECT(A73&amp;ROW())=B95,INDIRECT(A96&amp;ROW())=C94),1,0)))</f>
        <v>0</v>
      </c>
      <c r="J441">
        <f ca="1">IF(AND(INDIRECT(A73&amp;ROW())=B95,INDIRECT(A96&amp;ROW())=C95),1,IF(AND(INDIRECT(A73&amp;ROW())=B95,INDIRECT(A96&amp;ROW())=C96),1,0))</f>
        <v>1</v>
      </c>
      <c r="K441">
        <f ca="1">DAYS360(INDIRECT(C68&amp;ROW()),TODAY())</f>
        <v>705</v>
      </c>
      <c r="L441">
        <f ca="1">DAYS360(INDIRECT(C69&amp;ROW()),TODAY())</f>
        <v>744</v>
      </c>
      <c r="M441">
        <f ca="1">HYPERLINK(CONCATENATE("https://bugzilla.houston.hp.com:1181/bugzilla/show_bug.cgi?id=",INDIRECT(C70&amp;ROW())),INDIRECT(C70&amp;ROW()))</f>
        <v>60118</v>
      </c>
      <c r="N441">
        <v>60118</v>
      </c>
      <c r="O441" t="s">
        <v>56</v>
      </c>
      <c r="P441" t="s">
        <v>864</v>
      </c>
      <c r="Q441" t="s">
        <v>25</v>
      </c>
      <c r="R441" t="s">
        <v>251</v>
      </c>
      <c r="S441" t="s">
        <v>253</v>
      </c>
      <c r="U441" s="6">
        <v>42141.688692129632</v>
      </c>
      <c r="V441" t="s">
        <v>40</v>
      </c>
      <c r="W441" t="s">
        <v>764</v>
      </c>
      <c r="X441" s="6">
        <v>42102.500810185185</v>
      </c>
      <c r="Y441" t="s">
        <v>246</v>
      </c>
      <c r="AB441" t="s">
        <v>201</v>
      </c>
      <c r="AC441" t="s">
        <v>247</v>
      </c>
      <c r="AD441" t="s">
        <v>220</v>
      </c>
      <c r="AE441" t="s">
        <v>219</v>
      </c>
      <c r="AG441" t="s">
        <v>121</v>
      </c>
      <c r="AH441" t="s">
        <v>768</v>
      </c>
      <c r="AI441" t="s">
        <v>121</v>
      </c>
      <c r="AJ441" t="s">
        <v>716</v>
      </c>
      <c r="AK441" t="s">
        <v>121</v>
      </c>
    </row>
    <row r="442" spans="9:37" x14ac:dyDescent="0.3">
      <c r="I442">
        <f ca="1">IF(OR(INDIRECT(A73&amp;ROW())=B93,INDIRECT(A73&amp;ROW())=B94),1,IF(AND(INDIRECT(A73&amp;ROW())=B95,INDIRECT(A96&amp;ROW())=C93),1,IF(AND(INDIRECT(A73&amp;ROW())=B95,INDIRECT(A96&amp;ROW())=C94),1,0)))</f>
        <v>0</v>
      </c>
      <c r="J442">
        <f ca="1">IF(AND(INDIRECT(A73&amp;ROW())=B95,INDIRECT(A96&amp;ROW())=C95),1,IF(AND(INDIRECT(A73&amp;ROW())=B95,INDIRECT(A96&amp;ROW())=C96),1,0))</f>
        <v>1</v>
      </c>
      <c r="K442">
        <f ca="1">DAYS360(INDIRECT(C68&amp;ROW()),TODAY())</f>
        <v>707</v>
      </c>
      <c r="L442">
        <f ca="1">DAYS360(INDIRECT(C69&amp;ROW()),TODAY())</f>
        <v>743</v>
      </c>
      <c r="M442">
        <f ca="1">HYPERLINK(CONCATENATE("https://bugzilla.houston.hp.com:1181/bugzilla/show_bug.cgi?id=",INDIRECT(C70&amp;ROW())),INDIRECT(C70&amp;ROW()))</f>
        <v>60198</v>
      </c>
      <c r="N442">
        <v>60198</v>
      </c>
      <c r="O442" t="s">
        <v>21</v>
      </c>
      <c r="P442" t="s">
        <v>918</v>
      </c>
      <c r="Q442" t="s">
        <v>25</v>
      </c>
      <c r="R442" t="s">
        <v>251</v>
      </c>
      <c r="S442" t="s">
        <v>917</v>
      </c>
      <c r="U442" s="6">
        <v>42139.420844907407</v>
      </c>
      <c r="V442" t="s">
        <v>18</v>
      </c>
      <c r="W442" t="s">
        <v>783</v>
      </c>
      <c r="X442" s="6">
        <v>42103.399004629631</v>
      </c>
      <c r="Y442" t="s">
        <v>846</v>
      </c>
      <c r="AB442" t="s">
        <v>201</v>
      </c>
      <c r="AC442" t="s">
        <v>247</v>
      </c>
      <c r="AD442" t="s">
        <v>222</v>
      </c>
      <c r="AE442" t="s">
        <v>221</v>
      </c>
      <c r="AG442" t="s">
        <v>121</v>
      </c>
      <c r="AH442" t="s">
        <v>327</v>
      </c>
      <c r="AI442" t="s">
        <v>121</v>
      </c>
      <c r="AJ442" t="s">
        <v>716</v>
      </c>
      <c r="AK442" t="s">
        <v>121</v>
      </c>
    </row>
    <row r="443" spans="9:37" x14ac:dyDescent="0.3">
      <c r="I443">
        <f ca="1">IF(OR(INDIRECT(A73&amp;ROW())=B93,INDIRECT(A73&amp;ROW())=B94),1,IF(AND(INDIRECT(A73&amp;ROW())=B95,INDIRECT(A96&amp;ROW())=C93),1,IF(AND(INDIRECT(A73&amp;ROW())=B95,INDIRECT(A96&amp;ROW())=C94),1,0)))</f>
        <v>0</v>
      </c>
      <c r="J443">
        <f ca="1">IF(AND(INDIRECT(A73&amp;ROW())=B95,INDIRECT(A96&amp;ROW())=C95),1,IF(AND(INDIRECT(A73&amp;ROW())=B95,INDIRECT(A96&amp;ROW())=C96),1,0))</f>
        <v>0</v>
      </c>
      <c r="K443">
        <f ca="1">DAYS360(INDIRECT(C68&amp;ROW()),TODAY())</f>
        <v>737</v>
      </c>
      <c r="L443">
        <f ca="1">DAYS360(INDIRECT(C69&amp;ROW()),TODAY())</f>
        <v>742</v>
      </c>
      <c r="M443">
        <f ca="1">HYPERLINK(CONCATENATE("https://bugzilla.houston.hp.com:1181/bugzilla/show_bug.cgi?id=",INDIRECT(C70&amp;ROW())),INDIRECT(C70&amp;ROW()))</f>
        <v>60262</v>
      </c>
      <c r="N443">
        <v>60262</v>
      </c>
      <c r="O443" t="s">
        <v>56</v>
      </c>
      <c r="P443" t="s">
        <v>863</v>
      </c>
      <c r="Q443" t="s">
        <v>16</v>
      </c>
      <c r="R443" t="s">
        <v>251</v>
      </c>
      <c r="S443" t="s">
        <v>854</v>
      </c>
      <c r="U443" s="6">
        <v>42109.751527777778</v>
      </c>
      <c r="V443" t="s">
        <v>18</v>
      </c>
      <c r="W443" t="s">
        <v>764</v>
      </c>
      <c r="X443" s="6">
        <v>42104.244039351855</v>
      </c>
      <c r="Y443" t="s">
        <v>810</v>
      </c>
      <c r="AB443" t="s">
        <v>201</v>
      </c>
      <c r="AC443" t="s">
        <v>247</v>
      </c>
      <c r="AD443" t="s">
        <v>220</v>
      </c>
      <c r="AE443" t="s">
        <v>223</v>
      </c>
      <c r="AG443" t="s">
        <v>121</v>
      </c>
      <c r="AH443" t="s">
        <v>327</v>
      </c>
      <c r="AI443" t="s">
        <v>121</v>
      </c>
      <c r="AJ443" t="s">
        <v>717</v>
      </c>
      <c r="AK443" t="s">
        <v>121</v>
      </c>
    </row>
    <row r="444" spans="9:37" x14ac:dyDescent="0.3">
      <c r="I444">
        <f ca="1">IF(OR(INDIRECT(A73&amp;ROW())=B93,INDIRECT(A73&amp;ROW())=B94),1,IF(AND(INDIRECT(A73&amp;ROW())=B95,INDIRECT(A96&amp;ROW())=C93),1,IF(AND(INDIRECT(A73&amp;ROW())=B95,INDIRECT(A96&amp;ROW())=C94),1,0)))</f>
        <v>1</v>
      </c>
      <c r="J444">
        <f ca="1">IF(AND(INDIRECT(A73&amp;ROW())=B95,INDIRECT(A96&amp;ROW())=C95),1,IF(AND(INDIRECT(A73&amp;ROW())=B95,INDIRECT(A96&amp;ROW())=C96),1,0))</f>
        <v>0</v>
      </c>
      <c r="K444">
        <f ca="1">DAYS360(INDIRECT(C68&amp;ROW()),TODAY())</f>
        <v>691</v>
      </c>
      <c r="L444">
        <f ca="1">DAYS360(INDIRECT(C69&amp;ROW()),TODAY())</f>
        <v>742</v>
      </c>
      <c r="M444">
        <f ca="1">HYPERLINK(CONCATENATE("https://bugzilla.houston.hp.com:1181/bugzilla/show_bug.cgi?id=",INDIRECT(C70&amp;ROW())),INDIRECT(C70&amp;ROW()))</f>
        <v>60271</v>
      </c>
      <c r="N444">
        <v>60271</v>
      </c>
      <c r="O444" t="s">
        <v>55</v>
      </c>
      <c r="P444" t="s">
        <v>862</v>
      </c>
      <c r="Q444" t="s">
        <v>25</v>
      </c>
      <c r="R444" t="s">
        <v>579</v>
      </c>
      <c r="S444" t="s">
        <v>552</v>
      </c>
      <c r="T444" t="s">
        <v>861</v>
      </c>
      <c r="U444" s="6">
        <v>42156.077268518522</v>
      </c>
      <c r="V444" t="s">
        <v>18</v>
      </c>
      <c r="W444" t="s">
        <v>372</v>
      </c>
      <c r="X444" s="6">
        <v>42104.315185185187</v>
      </c>
      <c r="Y444" t="s">
        <v>342</v>
      </c>
      <c r="Z444" t="s">
        <v>810</v>
      </c>
      <c r="AB444" t="s">
        <v>200</v>
      </c>
      <c r="AC444" t="s">
        <v>247</v>
      </c>
      <c r="AD444" t="s">
        <v>220</v>
      </c>
      <c r="AE444" t="s">
        <v>219</v>
      </c>
      <c r="AG444" t="s">
        <v>121</v>
      </c>
      <c r="AH444" t="s">
        <v>327</v>
      </c>
      <c r="AI444" t="s">
        <v>362</v>
      </c>
      <c r="AJ444" t="s">
        <v>715</v>
      </c>
      <c r="AK444" t="s">
        <v>121</v>
      </c>
    </row>
    <row r="445" spans="9:37" x14ac:dyDescent="0.3">
      <c r="I445">
        <f ca="1">IF(OR(INDIRECT(A73&amp;ROW())=B93,INDIRECT(A73&amp;ROW())=B94),1,IF(AND(INDIRECT(A73&amp;ROW())=B95,INDIRECT(A96&amp;ROW())=C93),1,IF(AND(INDIRECT(A73&amp;ROW())=B95,INDIRECT(A96&amp;ROW())=C94),1,0)))</f>
        <v>0</v>
      </c>
      <c r="J445">
        <f ca="1">IF(AND(INDIRECT(A73&amp;ROW())=B95,INDIRECT(A96&amp;ROW())=C95),1,IF(AND(INDIRECT(A73&amp;ROW())=B95,INDIRECT(A96&amp;ROW())=C96),1,0))</f>
        <v>0</v>
      </c>
      <c r="K445">
        <f ca="1">DAYS360(INDIRECT(C68&amp;ROW()),TODAY())</f>
        <v>742</v>
      </c>
      <c r="L445">
        <f ca="1">DAYS360(INDIRECT(C69&amp;ROW()),TODAY())</f>
        <v>742</v>
      </c>
      <c r="M445">
        <f ca="1">HYPERLINK(CONCATENATE("https://bugzilla.houston.hp.com:1181/bugzilla/show_bug.cgi?id=",INDIRECT(C70&amp;ROW())),INDIRECT(C70&amp;ROW()))</f>
        <v>60274</v>
      </c>
      <c r="N445">
        <v>60274</v>
      </c>
      <c r="O445" t="s">
        <v>36</v>
      </c>
      <c r="P445" t="s">
        <v>860</v>
      </c>
      <c r="Q445" t="s">
        <v>16</v>
      </c>
      <c r="R445" t="s">
        <v>248</v>
      </c>
      <c r="S445" t="s">
        <v>552</v>
      </c>
      <c r="U445" s="6">
        <v>42104.325960648152</v>
      </c>
      <c r="V445" t="s">
        <v>18</v>
      </c>
      <c r="W445" t="s">
        <v>764</v>
      </c>
      <c r="X445" s="6">
        <v>42104.325960648152</v>
      </c>
      <c r="Y445" t="s">
        <v>810</v>
      </c>
      <c r="AB445" t="s">
        <v>201</v>
      </c>
      <c r="AC445" t="s">
        <v>247</v>
      </c>
      <c r="AD445" t="s">
        <v>220</v>
      </c>
      <c r="AE445" t="s">
        <v>223</v>
      </c>
      <c r="AG445" t="s">
        <v>121</v>
      </c>
      <c r="AH445" t="s">
        <v>327</v>
      </c>
      <c r="AI445" t="s">
        <v>121</v>
      </c>
      <c r="AJ445" t="s">
        <v>717</v>
      </c>
      <c r="AK445" t="s">
        <v>121</v>
      </c>
    </row>
    <row r="446" spans="9:37" x14ac:dyDescent="0.3">
      <c r="I446">
        <f ca="1">IF(OR(INDIRECT(A73&amp;ROW())=B93,INDIRECT(A73&amp;ROW())=B94),1,IF(AND(INDIRECT(A73&amp;ROW())=B95,INDIRECT(A96&amp;ROW())=C93),1,IF(AND(INDIRECT(A73&amp;ROW())=B95,INDIRECT(A96&amp;ROW())=C94),1,0)))</f>
        <v>1</v>
      </c>
      <c r="J446">
        <f ca="1">IF(AND(INDIRECT(A73&amp;ROW())=B95,INDIRECT(A96&amp;ROW())=C95),1,IF(AND(INDIRECT(A73&amp;ROW())=B95,INDIRECT(A96&amp;ROW())=C96),1,0))</f>
        <v>0</v>
      </c>
      <c r="K446">
        <f ca="1">DAYS360(INDIRECT(C68&amp;ROW()),TODAY())</f>
        <v>690</v>
      </c>
      <c r="L446">
        <f ca="1">DAYS360(INDIRECT(C69&amp;ROW()),TODAY())</f>
        <v>742</v>
      </c>
      <c r="M446">
        <f ca="1">HYPERLINK(CONCATENATE("https://bugzilla.houston.hp.com:1181/bugzilla/show_bug.cgi?id=",INDIRECT(C70&amp;ROW())),INDIRECT(C70&amp;ROW()))</f>
        <v>60285</v>
      </c>
      <c r="N446">
        <v>60285</v>
      </c>
      <c r="O446" t="s">
        <v>320</v>
      </c>
      <c r="P446" t="s">
        <v>916</v>
      </c>
      <c r="Q446" t="s">
        <v>39</v>
      </c>
      <c r="R446" t="s">
        <v>251</v>
      </c>
      <c r="S446" t="s">
        <v>52</v>
      </c>
      <c r="U446" s="6">
        <v>42157.342418981483</v>
      </c>
      <c r="V446" t="s">
        <v>18</v>
      </c>
      <c r="W446" t="s">
        <v>783</v>
      </c>
      <c r="X446" s="6">
        <v>42104.574594907404</v>
      </c>
      <c r="Y446" t="s">
        <v>255</v>
      </c>
      <c r="AB446" t="s">
        <v>200</v>
      </c>
      <c r="AC446" t="s">
        <v>247</v>
      </c>
      <c r="AD446" t="s">
        <v>227</v>
      </c>
      <c r="AE446" t="s">
        <v>226</v>
      </c>
      <c r="AG446" t="s">
        <v>121</v>
      </c>
      <c r="AH446" t="s">
        <v>327</v>
      </c>
      <c r="AI446" t="s">
        <v>121</v>
      </c>
      <c r="AJ446" t="s">
        <v>715</v>
      </c>
      <c r="AK446" t="s">
        <v>121</v>
      </c>
    </row>
    <row r="447" spans="9:37" x14ac:dyDescent="0.3">
      <c r="I447">
        <f ca="1">IF(OR(INDIRECT(A73&amp;ROW())=B93,INDIRECT(A73&amp;ROW())=B94),1,IF(AND(INDIRECT(A73&amp;ROW())=B95,INDIRECT(A96&amp;ROW())=C93),1,IF(AND(INDIRECT(A73&amp;ROW())=B95,INDIRECT(A96&amp;ROW())=C94),1,0)))</f>
        <v>1</v>
      </c>
      <c r="J447">
        <f ca="1">IF(AND(INDIRECT(A73&amp;ROW())=B95,INDIRECT(A96&amp;ROW())=C95),1,IF(AND(INDIRECT(A73&amp;ROW())=B95,INDIRECT(A96&amp;ROW())=C96),1,0))</f>
        <v>0</v>
      </c>
      <c r="K447">
        <f ca="1">DAYS360(INDIRECT(C68&amp;ROW()),TODAY())</f>
        <v>718</v>
      </c>
      <c r="L447">
        <f ca="1">DAYS360(INDIRECT(C69&amp;ROW()),TODAY())</f>
        <v>742</v>
      </c>
      <c r="M447">
        <f ca="1">HYPERLINK(CONCATENATE("https://bugzilla.houston.hp.com:1181/bugzilla/show_bug.cgi?id=",INDIRECT(C70&amp;ROW())),INDIRECT(C70&amp;ROW()))</f>
        <v>60287</v>
      </c>
      <c r="N447">
        <v>60287</v>
      </c>
      <c r="O447" t="s">
        <v>45</v>
      </c>
      <c r="P447" t="s">
        <v>915</v>
      </c>
      <c r="Q447" t="s">
        <v>39</v>
      </c>
      <c r="R447" t="s">
        <v>579</v>
      </c>
      <c r="S447" t="s">
        <v>552</v>
      </c>
      <c r="T447" t="s">
        <v>920</v>
      </c>
      <c r="U447" s="6">
        <v>42128.230034722219</v>
      </c>
      <c r="V447" t="s">
        <v>18</v>
      </c>
      <c r="W447" t="s">
        <v>783</v>
      </c>
      <c r="X447" s="6">
        <v>42104.609548611108</v>
      </c>
      <c r="Y447" t="s">
        <v>255</v>
      </c>
      <c r="AB447" t="s">
        <v>200</v>
      </c>
      <c r="AC447" t="s">
        <v>247</v>
      </c>
      <c r="AD447" t="s">
        <v>227</v>
      </c>
      <c r="AE447" t="s">
        <v>226</v>
      </c>
      <c r="AG447" t="s">
        <v>121</v>
      </c>
      <c r="AH447" t="s">
        <v>327</v>
      </c>
      <c r="AI447" t="s">
        <v>362</v>
      </c>
      <c r="AJ447" t="s">
        <v>715</v>
      </c>
      <c r="AK447" t="s">
        <v>121</v>
      </c>
    </row>
    <row r="448" spans="9:37" x14ac:dyDescent="0.3">
      <c r="I448">
        <f ca="1">IF(OR(INDIRECT(A73&amp;ROW())=B93,INDIRECT(A73&amp;ROW())=B94),1,IF(AND(INDIRECT(A73&amp;ROW())=B95,INDIRECT(A96&amp;ROW())=C93),1,IF(AND(INDIRECT(A73&amp;ROW())=B95,INDIRECT(A96&amp;ROW())=C94),1,0)))</f>
        <v>0</v>
      </c>
      <c r="J448">
        <f ca="1">IF(AND(INDIRECT(A73&amp;ROW())=B95,INDIRECT(A96&amp;ROW())=C95),1,IF(AND(INDIRECT(A73&amp;ROW())=B95,INDIRECT(A96&amp;ROW())=C96),1,0))</f>
        <v>1</v>
      </c>
      <c r="K448">
        <f ca="1">DAYS360(INDIRECT(C68&amp;ROW()),TODAY())</f>
        <v>683</v>
      </c>
      <c r="L448">
        <f ca="1">DAYS360(INDIRECT(C69&amp;ROW()),TODAY())</f>
        <v>739</v>
      </c>
      <c r="M448">
        <f ca="1">HYPERLINK(CONCATENATE("https://bugzilla.houston.hp.com:1181/bugzilla/show_bug.cgi?id=",INDIRECT(C70&amp;ROW())),INDIRECT(C70&amp;ROW()))</f>
        <v>60382</v>
      </c>
      <c r="N448">
        <v>60382</v>
      </c>
      <c r="O448" t="s">
        <v>68</v>
      </c>
      <c r="P448" t="s">
        <v>893</v>
      </c>
      <c r="Q448" t="s">
        <v>25</v>
      </c>
      <c r="R448" t="s">
        <v>251</v>
      </c>
      <c r="S448" t="s">
        <v>52</v>
      </c>
      <c r="U448" s="6">
        <v>42164.620312500003</v>
      </c>
      <c r="V448" t="s">
        <v>40</v>
      </c>
      <c r="W448" t="s">
        <v>764</v>
      </c>
      <c r="X448" s="6">
        <v>42107.538043981483</v>
      </c>
      <c r="Y448" t="s">
        <v>255</v>
      </c>
      <c r="AB448" t="s">
        <v>201</v>
      </c>
      <c r="AC448" t="s">
        <v>247</v>
      </c>
      <c r="AD448" t="s">
        <v>220</v>
      </c>
      <c r="AE448" t="s">
        <v>229</v>
      </c>
      <c r="AG448" t="s">
        <v>121</v>
      </c>
      <c r="AH448" t="s">
        <v>327</v>
      </c>
      <c r="AI448" t="s">
        <v>121</v>
      </c>
      <c r="AJ448" t="s">
        <v>716</v>
      </c>
      <c r="AK448" t="s">
        <v>121</v>
      </c>
    </row>
    <row r="449" spans="9:37" x14ac:dyDescent="0.3">
      <c r="I449">
        <f ca="1">IF(OR(INDIRECT(A73&amp;ROW())=B93,INDIRECT(A73&amp;ROW())=B94),1,IF(AND(INDIRECT(A73&amp;ROW())=B95,INDIRECT(A96&amp;ROW())=C93),1,IF(AND(INDIRECT(A73&amp;ROW())=B95,INDIRECT(A96&amp;ROW())=C94),1,0)))</f>
        <v>0</v>
      </c>
      <c r="J449">
        <f ca="1">IF(AND(INDIRECT(A73&amp;ROW())=B95,INDIRECT(A96&amp;ROW())=C95),1,IF(AND(INDIRECT(A73&amp;ROW())=B95,INDIRECT(A96&amp;ROW())=C96),1,0))</f>
        <v>1</v>
      </c>
      <c r="K449">
        <f ca="1">DAYS360(INDIRECT(C68&amp;ROW()),TODAY())</f>
        <v>724</v>
      </c>
      <c r="L449">
        <f ca="1">DAYS360(INDIRECT(C69&amp;ROW()),TODAY())</f>
        <v>739</v>
      </c>
      <c r="M449">
        <f ca="1">HYPERLINK(CONCATENATE("https://bugzilla.houston.hp.com:1181/bugzilla/show_bug.cgi?id=",INDIRECT(C70&amp;ROW())),INDIRECT(C70&amp;ROW()))</f>
        <v>60392</v>
      </c>
      <c r="N449">
        <v>60392</v>
      </c>
      <c r="O449" t="s">
        <v>68</v>
      </c>
      <c r="P449" t="s">
        <v>892</v>
      </c>
      <c r="Q449" t="s">
        <v>25</v>
      </c>
      <c r="R449" t="s">
        <v>579</v>
      </c>
      <c r="S449" t="s">
        <v>552</v>
      </c>
      <c r="T449" t="s">
        <v>889</v>
      </c>
      <c r="U449" s="6">
        <v>42122.591226851851</v>
      </c>
      <c r="V449" t="s">
        <v>40</v>
      </c>
      <c r="W449" t="s">
        <v>764</v>
      </c>
      <c r="X449" s="6">
        <v>42107.680706018517</v>
      </c>
      <c r="Y449" t="s">
        <v>255</v>
      </c>
      <c r="AB449" t="s">
        <v>201</v>
      </c>
      <c r="AC449" t="s">
        <v>247</v>
      </c>
      <c r="AD449" t="s">
        <v>220</v>
      </c>
      <c r="AE449" t="s">
        <v>229</v>
      </c>
      <c r="AG449" t="s">
        <v>121</v>
      </c>
      <c r="AH449" t="s">
        <v>327</v>
      </c>
      <c r="AI449" t="s">
        <v>362</v>
      </c>
      <c r="AJ449" t="s">
        <v>716</v>
      </c>
      <c r="AK449" t="s">
        <v>121</v>
      </c>
    </row>
    <row r="450" spans="9:37" x14ac:dyDescent="0.3">
      <c r="I450">
        <f ca="1">IF(OR(INDIRECT(A73&amp;ROW())=B93,INDIRECT(A73&amp;ROW())=B94),1,IF(AND(INDIRECT(A73&amp;ROW())=B95,INDIRECT(A96&amp;ROW())=C93),1,IF(AND(INDIRECT(A73&amp;ROW())=B95,INDIRECT(A96&amp;ROW())=C94),1,0)))</f>
        <v>0</v>
      </c>
      <c r="J450">
        <f ca="1">IF(AND(INDIRECT(A73&amp;ROW())=B95,INDIRECT(A96&amp;ROW())=C95),1,IF(AND(INDIRECT(A73&amp;ROW())=B95,INDIRECT(A96&amp;ROW())=C96),1,0))</f>
        <v>0</v>
      </c>
      <c r="K450">
        <f ca="1">DAYS360(INDIRECT(C68&amp;ROW()),TODAY())</f>
        <v>722</v>
      </c>
      <c r="L450">
        <f ca="1">DAYS360(INDIRECT(C69&amp;ROW()),TODAY())</f>
        <v>738</v>
      </c>
      <c r="M450">
        <f ca="1">HYPERLINK(CONCATENATE("https://bugzilla.houston.hp.com:1181/bugzilla/show_bug.cgi?id=",INDIRECT(C70&amp;ROW())),INDIRECT(C70&amp;ROW()))</f>
        <v>60424</v>
      </c>
      <c r="N450">
        <v>60424</v>
      </c>
      <c r="O450" t="s">
        <v>59</v>
      </c>
      <c r="P450" t="s">
        <v>871</v>
      </c>
      <c r="Q450" t="s">
        <v>16</v>
      </c>
      <c r="R450" t="s">
        <v>251</v>
      </c>
      <c r="S450" t="s">
        <v>870</v>
      </c>
      <c r="T450" t="s">
        <v>865</v>
      </c>
      <c r="U450" s="6">
        <v>42124.724745370368</v>
      </c>
      <c r="V450" t="s">
        <v>40</v>
      </c>
      <c r="W450" t="s">
        <v>764</v>
      </c>
      <c r="X450" s="6">
        <v>42108.167349537034</v>
      </c>
      <c r="Y450" t="s">
        <v>810</v>
      </c>
      <c r="AB450" t="s">
        <v>200</v>
      </c>
      <c r="AC450" t="s">
        <v>247</v>
      </c>
      <c r="AD450" t="s">
        <v>220</v>
      </c>
      <c r="AE450" t="s">
        <v>223</v>
      </c>
      <c r="AG450" t="s">
        <v>121</v>
      </c>
      <c r="AH450" t="s">
        <v>327</v>
      </c>
      <c r="AI450" t="s">
        <v>121</v>
      </c>
      <c r="AJ450" t="s">
        <v>716</v>
      </c>
      <c r="AK450" t="s">
        <v>121</v>
      </c>
    </row>
    <row r="451" spans="9:37" x14ac:dyDescent="0.3">
      <c r="I451">
        <f ca="1">IF(OR(INDIRECT(A73&amp;ROW())=B93,INDIRECT(A73&amp;ROW())=B94),1,IF(AND(INDIRECT(A73&amp;ROW())=B95,INDIRECT(A96&amp;ROW())=C93),1,IF(AND(INDIRECT(A73&amp;ROW())=B95,INDIRECT(A96&amp;ROW())=C94),1,0)))</f>
        <v>0</v>
      </c>
      <c r="J451">
        <f ca="1">IF(AND(INDIRECT(A73&amp;ROW())=B95,INDIRECT(A96&amp;ROW())=C95),1,IF(AND(INDIRECT(A73&amp;ROW())=B95,INDIRECT(A96&amp;ROW())=C96),1,0))</f>
        <v>0</v>
      </c>
      <c r="K451">
        <f ca="1">DAYS360(INDIRECT(C68&amp;ROW()),TODAY())</f>
        <v>717</v>
      </c>
      <c r="L451">
        <f ca="1">DAYS360(INDIRECT(C69&amp;ROW()),TODAY())</f>
        <v>738</v>
      </c>
      <c r="M451">
        <f ca="1">HYPERLINK(CONCATENATE("https://bugzilla.houston.hp.com:1181/bugzilla/show_bug.cgi?id=",INDIRECT(C70&amp;ROW())),INDIRECT(C70&amp;ROW()))</f>
        <v>60438</v>
      </c>
      <c r="N451">
        <v>60438</v>
      </c>
      <c r="O451" t="s">
        <v>59</v>
      </c>
      <c r="P451" t="s">
        <v>869</v>
      </c>
      <c r="Q451" t="s">
        <v>16</v>
      </c>
      <c r="R451" t="s">
        <v>579</v>
      </c>
      <c r="S451" t="s">
        <v>552</v>
      </c>
      <c r="U451" s="6">
        <v>42129.472060185188</v>
      </c>
      <c r="V451" t="s">
        <v>40</v>
      </c>
      <c r="W451" t="s">
        <v>764</v>
      </c>
      <c r="X451" s="6">
        <v>42108.32603009259</v>
      </c>
      <c r="Y451" t="s">
        <v>810</v>
      </c>
      <c r="AB451" t="s">
        <v>200</v>
      </c>
      <c r="AC451" t="s">
        <v>247</v>
      </c>
      <c r="AD451" t="s">
        <v>220</v>
      </c>
      <c r="AE451" t="s">
        <v>223</v>
      </c>
      <c r="AG451" t="s">
        <v>121</v>
      </c>
      <c r="AH451" t="s">
        <v>327</v>
      </c>
      <c r="AI451" t="s">
        <v>121</v>
      </c>
      <c r="AJ451" t="s">
        <v>716</v>
      </c>
      <c r="AK451" t="s">
        <v>121</v>
      </c>
    </row>
    <row r="452" spans="9:37" x14ac:dyDescent="0.3">
      <c r="I452">
        <f ca="1">IF(OR(INDIRECT(A73&amp;ROW())=B93,INDIRECT(A73&amp;ROW())=B94),1,IF(AND(INDIRECT(A73&amp;ROW())=B95,INDIRECT(A96&amp;ROW())=C93),1,IF(AND(INDIRECT(A73&amp;ROW())=B95,INDIRECT(A96&amp;ROW())=C94),1,0)))</f>
        <v>0</v>
      </c>
      <c r="J452">
        <f ca="1">IF(AND(INDIRECT(A73&amp;ROW())=B95,INDIRECT(A96&amp;ROW())=C95),1,IF(AND(INDIRECT(A73&amp;ROW())=B95,INDIRECT(A96&amp;ROW())=C96),1,0))</f>
        <v>0</v>
      </c>
      <c r="K452">
        <f ca="1">DAYS360(INDIRECT(C68&amp;ROW()),TODAY())</f>
        <v>717</v>
      </c>
      <c r="L452">
        <f ca="1">DAYS360(INDIRECT(C69&amp;ROW()),TODAY())</f>
        <v>738</v>
      </c>
      <c r="M452">
        <f ca="1">HYPERLINK(CONCATENATE("https://bugzilla.houston.hp.com:1181/bugzilla/show_bug.cgi?id=",INDIRECT(C70&amp;ROW())),INDIRECT(C70&amp;ROW()))</f>
        <v>60439</v>
      </c>
      <c r="N452">
        <v>60439</v>
      </c>
      <c r="O452" t="s">
        <v>59</v>
      </c>
      <c r="P452" t="s">
        <v>868</v>
      </c>
      <c r="Q452" t="s">
        <v>16</v>
      </c>
      <c r="R452" t="s">
        <v>248</v>
      </c>
      <c r="S452" t="s">
        <v>552</v>
      </c>
      <c r="U452" s="6">
        <v>42129.472037037034</v>
      </c>
      <c r="V452" t="s">
        <v>40</v>
      </c>
      <c r="W452" t="s">
        <v>764</v>
      </c>
      <c r="X452" s="6">
        <v>42108.326099537036</v>
      </c>
      <c r="Y452" t="s">
        <v>810</v>
      </c>
      <c r="AB452" t="s">
        <v>200</v>
      </c>
      <c r="AC452" t="s">
        <v>247</v>
      </c>
      <c r="AD452" t="s">
        <v>220</v>
      </c>
      <c r="AE452" t="s">
        <v>223</v>
      </c>
      <c r="AG452" t="s">
        <v>121</v>
      </c>
      <c r="AH452" t="s">
        <v>327</v>
      </c>
      <c r="AI452" t="s">
        <v>121</v>
      </c>
      <c r="AJ452" t="s">
        <v>716</v>
      </c>
      <c r="AK452" t="s">
        <v>121</v>
      </c>
    </row>
    <row r="453" spans="9:37" x14ac:dyDescent="0.3">
      <c r="I453">
        <f ca="1">IF(OR(INDIRECT(A73&amp;ROW())=B93,INDIRECT(A73&amp;ROW())=B94),1,IF(AND(INDIRECT(A73&amp;ROW())=B95,INDIRECT(A96&amp;ROW())=C93),1,IF(AND(INDIRECT(A73&amp;ROW())=B95,INDIRECT(A96&amp;ROW())=C94),1,0)))</f>
        <v>0</v>
      </c>
      <c r="J453">
        <f ca="1">IF(AND(INDIRECT(A73&amp;ROW())=B95,INDIRECT(A96&amp;ROW())=C95),1,IF(AND(INDIRECT(A73&amp;ROW())=B95,INDIRECT(A96&amp;ROW())=C96),1,0))</f>
        <v>1</v>
      </c>
      <c r="K453">
        <f ca="1">DAYS360(INDIRECT(C68&amp;ROW()),TODAY())</f>
        <v>696</v>
      </c>
      <c r="L453">
        <f ca="1">DAYS360(INDIRECT(C69&amp;ROW()),TODAY())</f>
        <v>738</v>
      </c>
      <c r="M453">
        <f ca="1">HYPERLINK(CONCATENATE("https://bugzilla.houston.hp.com:1181/bugzilla/show_bug.cgi?id=",INDIRECT(C70&amp;ROW())),INDIRECT(C70&amp;ROW()))</f>
        <v>60453</v>
      </c>
      <c r="N453">
        <v>60453</v>
      </c>
      <c r="O453" t="s">
        <v>45</v>
      </c>
      <c r="P453" t="s">
        <v>928</v>
      </c>
      <c r="Q453" t="s">
        <v>25</v>
      </c>
      <c r="R453" t="s">
        <v>251</v>
      </c>
      <c r="S453" t="s">
        <v>365</v>
      </c>
      <c r="T453" t="s">
        <v>48</v>
      </c>
      <c r="U453" s="6">
        <v>42150.966608796298</v>
      </c>
      <c r="V453" t="s">
        <v>35</v>
      </c>
      <c r="W453" t="s">
        <v>783</v>
      </c>
      <c r="X453" s="6">
        <v>42108.482164351852</v>
      </c>
      <c r="Y453" t="s">
        <v>246</v>
      </c>
      <c r="AB453" t="s">
        <v>201</v>
      </c>
      <c r="AC453" t="s">
        <v>247</v>
      </c>
      <c r="AD453" t="s">
        <v>227</v>
      </c>
      <c r="AE453" t="s">
        <v>226</v>
      </c>
      <c r="AG453" t="s">
        <v>121</v>
      </c>
      <c r="AH453" t="s">
        <v>327</v>
      </c>
      <c r="AI453" t="s">
        <v>121</v>
      </c>
      <c r="AJ453" t="s">
        <v>715</v>
      </c>
      <c r="AK453" t="s">
        <v>121</v>
      </c>
    </row>
    <row r="454" spans="9:37" x14ac:dyDescent="0.3">
      <c r="I454">
        <f ca="1">IF(OR(INDIRECT(A73&amp;ROW())=B93,INDIRECT(A73&amp;ROW())=B94),1,IF(AND(INDIRECT(A73&amp;ROW())=B95,INDIRECT(A96&amp;ROW())=C93),1,IF(AND(INDIRECT(A73&amp;ROW())=B95,INDIRECT(A96&amp;ROW())=C94),1,0)))</f>
        <v>0</v>
      </c>
      <c r="J454">
        <f ca="1">IF(AND(INDIRECT(A73&amp;ROW())=B95,INDIRECT(A96&amp;ROW())=C95),1,IF(AND(INDIRECT(A73&amp;ROW())=B95,INDIRECT(A96&amp;ROW())=C96),1,0))</f>
        <v>1</v>
      </c>
      <c r="K454">
        <f ca="1">DAYS360(INDIRECT(C68&amp;ROW()),TODAY())</f>
        <v>684</v>
      </c>
      <c r="L454">
        <f ca="1">DAYS360(INDIRECT(C69&amp;ROW()),TODAY())</f>
        <v>738</v>
      </c>
      <c r="M454">
        <f ca="1">HYPERLINK(CONCATENATE("https://bugzilla.houston.hp.com:1181/bugzilla/show_bug.cgi?id=",INDIRECT(C70&amp;ROW())),INDIRECT(C70&amp;ROW()))</f>
        <v>60454</v>
      </c>
      <c r="N454">
        <v>60454</v>
      </c>
      <c r="O454" t="s">
        <v>45</v>
      </c>
      <c r="P454" t="s">
        <v>891</v>
      </c>
      <c r="Q454" t="s">
        <v>25</v>
      </c>
      <c r="R454" t="s">
        <v>579</v>
      </c>
      <c r="S454" t="s">
        <v>552</v>
      </c>
      <c r="T454" t="s">
        <v>930</v>
      </c>
      <c r="U454" s="6">
        <v>42163.398865740739</v>
      </c>
      <c r="V454" t="s">
        <v>18</v>
      </c>
      <c r="W454" t="s">
        <v>783</v>
      </c>
      <c r="X454" s="6">
        <v>42108.498101851852</v>
      </c>
      <c r="Y454" t="s">
        <v>246</v>
      </c>
      <c r="AB454" t="s">
        <v>201</v>
      </c>
      <c r="AC454" t="s">
        <v>247</v>
      </c>
      <c r="AD454" t="s">
        <v>227</v>
      </c>
      <c r="AE454" t="s">
        <v>226</v>
      </c>
      <c r="AG454" t="s">
        <v>121</v>
      </c>
      <c r="AH454" t="s">
        <v>327</v>
      </c>
      <c r="AI454" t="s">
        <v>121</v>
      </c>
      <c r="AJ454" t="s">
        <v>716</v>
      </c>
      <c r="AK454" t="s">
        <v>121</v>
      </c>
    </row>
    <row r="455" spans="9:37" x14ac:dyDescent="0.3">
      <c r="I455">
        <f ca="1">IF(OR(INDIRECT(A73&amp;ROW())=B93,INDIRECT(A73&amp;ROW())=B94),1,IF(AND(INDIRECT(A73&amp;ROW())=B95,INDIRECT(A96&amp;ROW())=C93),1,IF(AND(INDIRECT(A73&amp;ROW())=B95,INDIRECT(A96&amp;ROW())=C94),1,0)))</f>
        <v>0</v>
      </c>
      <c r="J455">
        <f ca="1">IF(AND(INDIRECT(A73&amp;ROW())=B95,INDIRECT(A96&amp;ROW())=C95),1,IF(AND(INDIRECT(A73&amp;ROW())=B95,INDIRECT(A96&amp;ROW())=C96),1,0))</f>
        <v>1</v>
      </c>
      <c r="K455">
        <f ca="1">DAYS360(INDIRECT(C68&amp;ROW()),TODAY())</f>
        <v>735</v>
      </c>
      <c r="L455">
        <f ca="1">DAYS360(INDIRECT(C69&amp;ROW()),TODAY())</f>
        <v>738</v>
      </c>
      <c r="M455">
        <f ca="1">HYPERLINK(CONCATENATE("https://bugzilla.houston.hp.com:1181/bugzilla/show_bug.cgi?id=",INDIRECT(C70&amp;ROW())),INDIRECT(C70&amp;ROW()))</f>
        <v>60459</v>
      </c>
      <c r="N455">
        <v>60459</v>
      </c>
      <c r="O455" t="s">
        <v>36</v>
      </c>
      <c r="P455" t="s">
        <v>914</v>
      </c>
      <c r="Q455" t="s">
        <v>25</v>
      </c>
      <c r="R455" t="s">
        <v>579</v>
      </c>
      <c r="S455" t="s">
        <v>552</v>
      </c>
      <c r="T455" t="s">
        <v>921</v>
      </c>
      <c r="U455" s="6">
        <v>42111.313831018517</v>
      </c>
      <c r="V455" t="s">
        <v>18</v>
      </c>
      <c r="W455" t="s">
        <v>783</v>
      </c>
      <c r="X455" s="6">
        <v>42108.516365740739</v>
      </c>
      <c r="Y455" t="s">
        <v>846</v>
      </c>
      <c r="AB455" t="s">
        <v>201</v>
      </c>
      <c r="AC455" t="s">
        <v>247</v>
      </c>
      <c r="AD455" t="s">
        <v>222</v>
      </c>
      <c r="AE455" t="s">
        <v>221</v>
      </c>
      <c r="AG455" t="s">
        <v>121</v>
      </c>
      <c r="AH455" t="s">
        <v>327</v>
      </c>
      <c r="AI455" t="s">
        <v>121</v>
      </c>
      <c r="AJ455" t="s">
        <v>716</v>
      </c>
      <c r="AK455" t="s">
        <v>121</v>
      </c>
    </row>
    <row r="456" spans="9:37" x14ac:dyDescent="0.3">
      <c r="I456">
        <f ca="1">IF(OR(INDIRECT(A73&amp;ROW())=B93,INDIRECT(A73&amp;ROW())=B94),1,IF(AND(INDIRECT(A73&amp;ROW())=B95,INDIRECT(A96&amp;ROW())=C93),1,IF(AND(INDIRECT(A73&amp;ROW())=B95,INDIRECT(A96&amp;ROW())=C94),1,0)))</f>
        <v>0</v>
      </c>
      <c r="J456">
        <f ca="1">IF(AND(INDIRECT(A73&amp;ROW())=B95,INDIRECT(A96&amp;ROW())=C95),1,IF(AND(INDIRECT(A73&amp;ROW())=B95,INDIRECT(A96&amp;ROW())=C96),1,0))</f>
        <v>1</v>
      </c>
      <c r="K456">
        <f ca="1">DAYS360(INDIRECT(C68&amp;ROW()),TODAY())</f>
        <v>736</v>
      </c>
      <c r="L456">
        <f ca="1">DAYS360(INDIRECT(C69&amp;ROW()),TODAY())</f>
        <v>737</v>
      </c>
      <c r="M456">
        <f ca="1">HYPERLINK(CONCATENATE("https://bugzilla.houston.hp.com:1181/bugzilla/show_bug.cgi?id=",INDIRECT(C70&amp;ROW())),INDIRECT(C70&amp;ROW()))</f>
        <v>60556</v>
      </c>
      <c r="N456">
        <v>60556</v>
      </c>
      <c r="O456" t="s">
        <v>22</v>
      </c>
      <c r="P456" t="s">
        <v>913</v>
      </c>
      <c r="Q456" t="s">
        <v>25</v>
      </c>
      <c r="R456" t="s">
        <v>251</v>
      </c>
      <c r="S456" t="s">
        <v>253</v>
      </c>
      <c r="U456" s="6">
        <v>42110.727951388886</v>
      </c>
      <c r="V456" t="s">
        <v>18</v>
      </c>
      <c r="W456" t="s">
        <v>764</v>
      </c>
      <c r="X456" s="6">
        <v>42109.729837962965</v>
      </c>
      <c r="Y456" t="s">
        <v>246</v>
      </c>
      <c r="AB456" t="s">
        <v>201</v>
      </c>
      <c r="AC456" t="s">
        <v>247</v>
      </c>
      <c r="AD456" t="s">
        <v>222</v>
      </c>
      <c r="AE456" t="s">
        <v>232</v>
      </c>
      <c r="AG456" t="s">
        <v>121</v>
      </c>
      <c r="AH456" t="s">
        <v>327</v>
      </c>
      <c r="AI456" t="s">
        <v>121</v>
      </c>
      <c r="AJ456" t="s">
        <v>716</v>
      </c>
      <c r="AK456" t="s">
        <v>121</v>
      </c>
    </row>
    <row r="457" spans="9:37" x14ac:dyDescent="0.3">
      <c r="I457">
        <f ca="1">IF(OR(INDIRECT(A73&amp;ROW())=B93,INDIRECT(A73&amp;ROW())=B94),1,IF(AND(INDIRECT(A73&amp;ROW())=B95,INDIRECT(A96&amp;ROW())=C93),1,IF(AND(INDIRECT(A73&amp;ROW())=B95,INDIRECT(A96&amp;ROW())=C94),1,0)))</f>
        <v>1</v>
      </c>
      <c r="J457">
        <f ca="1">IF(AND(INDIRECT(A73&amp;ROW())=B95,INDIRECT(A96&amp;ROW())=C95),1,IF(AND(INDIRECT(A73&amp;ROW())=B95,INDIRECT(A96&amp;ROW())=C96),1,0))</f>
        <v>0</v>
      </c>
      <c r="K457">
        <f ca="1">DAYS360(INDIRECT(C68&amp;ROW()),TODAY())</f>
        <v>680</v>
      </c>
      <c r="L457">
        <f ca="1">DAYS360(INDIRECT(C69&amp;ROW()),TODAY())</f>
        <v>737</v>
      </c>
      <c r="M457" t="s">
        <v>547</v>
      </c>
      <c r="N457">
        <v>60557</v>
      </c>
      <c r="O457" t="s">
        <v>164</v>
      </c>
      <c r="P457" t="s">
        <v>912</v>
      </c>
      <c r="Q457" t="s">
        <v>25</v>
      </c>
      <c r="R457" t="s">
        <v>783</v>
      </c>
      <c r="S457" t="s">
        <v>552</v>
      </c>
      <c r="T457" t="s">
        <v>1207</v>
      </c>
      <c r="U457" s="6">
        <v>42167.381562499999</v>
      </c>
      <c r="V457" t="s">
        <v>35</v>
      </c>
      <c r="W457" t="s">
        <v>57</v>
      </c>
      <c r="X457" s="6">
        <v>42109.740752314814</v>
      </c>
      <c r="Y457" t="s">
        <v>125</v>
      </c>
      <c r="AB457" t="s">
        <v>200</v>
      </c>
      <c r="AC457" t="s">
        <v>216</v>
      </c>
      <c r="AD457" t="s">
        <v>220</v>
      </c>
      <c r="AE457" t="s">
        <v>219</v>
      </c>
      <c r="AG457" t="s">
        <v>337</v>
      </c>
      <c r="AH457" t="s">
        <v>328</v>
      </c>
      <c r="AI457" t="s">
        <v>121</v>
      </c>
      <c r="AJ457" t="s">
        <v>715</v>
      </c>
      <c r="AK457" t="s">
        <v>1206</v>
      </c>
    </row>
    <row r="458" spans="9:37" x14ac:dyDescent="0.3">
      <c r="I458">
        <f ca="1">IF(OR(INDIRECT(A73&amp;ROW())=B93,INDIRECT(A73&amp;ROW())=B94),1,IF(AND(INDIRECT(A73&amp;ROW())=B95,INDIRECT(A96&amp;ROW())=C93),1,IF(AND(INDIRECT(A73&amp;ROW())=B95,INDIRECT(A96&amp;ROW())=C94),1,0)))</f>
        <v>0</v>
      </c>
      <c r="J458">
        <f ca="1">IF(AND(INDIRECT(A73&amp;ROW())=B95,INDIRECT(A96&amp;ROW())=C95),1,IF(AND(INDIRECT(A73&amp;ROW())=B95,INDIRECT(A96&amp;ROW())=C96),1,0))</f>
        <v>0</v>
      </c>
      <c r="K458">
        <f ca="1">DAYS360(INDIRECT(C68&amp;ROW()),TODAY())</f>
        <v>721</v>
      </c>
      <c r="L458">
        <f ca="1">DAYS360(INDIRECT(C69&amp;ROW()),TODAY())</f>
        <v>737</v>
      </c>
      <c r="M458">
        <f ca="1">HYPERLINK(CONCATENATE("https://bugzilla.houston.hp.com:1181/bugzilla/show_bug.cgi?id=",INDIRECT(C70&amp;ROW())),INDIRECT(C70&amp;ROW()))</f>
        <v>60559</v>
      </c>
      <c r="N458">
        <v>60559</v>
      </c>
      <c r="O458" t="s">
        <v>45</v>
      </c>
      <c r="P458" t="s">
        <v>911</v>
      </c>
      <c r="Q458" t="s">
        <v>16</v>
      </c>
      <c r="R458" t="s">
        <v>783</v>
      </c>
      <c r="S458" t="s">
        <v>552</v>
      </c>
      <c r="U458" s="6">
        <v>42125.449733796297</v>
      </c>
      <c r="V458" t="s">
        <v>18</v>
      </c>
      <c r="W458" t="s">
        <v>17</v>
      </c>
      <c r="X458" s="6">
        <v>42109.744675925926</v>
      </c>
      <c r="Y458" t="s">
        <v>122</v>
      </c>
      <c r="AB458" t="s">
        <v>200</v>
      </c>
      <c r="AC458" t="s">
        <v>247</v>
      </c>
      <c r="AD458" t="s">
        <v>227</v>
      </c>
      <c r="AE458" t="s">
        <v>226</v>
      </c>
      <c r="AG458" t="s">
        <v>121</v>
      </c>
      <c r="AH458" t="s">
        <v>327</v>
      </c>
      <c r="AI458" t="s">
        <v>121</v>
      </c>
      <c r="AJ458" t="s">
        <v>717</v>
      </c>
      <c r="AK458" t="s">
        <v>121</v>
      </c>
    </row>
    <row r="459" spans="9:37" x14ac:dyDescent="0.3">
      <c r="I459">
        <f ca="1">IF(OR(INDIRECT(A73&amp;ROW())=B93,INDIRECT(A73&amp;ROW())=B94),1,IF(AND(INDIRECT(A73&amp;ROW())=B95,INDIRECT(A96&amp;ROW())=C93),1,IF(AND(INDIRECT(A73&amp;ROW())=B95,INDIRECT(A96&amp;ROW())=C94),1,0)))</f>
        <v>1</v>
      </c>
      <c r="J459">
        <f ca="1">IF(AND(INDIRECT(A73&amp;ROW())=B95,INDIRECT(A96&amp;ROW())=C95),1,IF(AND(INDIRECT(A73&amp;ROW())=B95,INDIRECT(A96&amp;ROW())=C96),1,0))</f>
        <v>0</v>
      </c>
      <c r="K459">
        <f ca="1">DAYS360(INDIRECT(C68&amp;ROW()),TODAY())</f>
        <v>695</v>
      </c>
      <c r="L459">
        <f ca="1">DAYS360(INDIRECT(C69&amp;ROW()),TODAY())</f>
        <v>737</v>
      </c>
      <c r="M459">
        <f ca="1">HYPERLINK(CONCATENATE("https://bugzilla.houston.hp.com:1181/bugzilla/show_bug.cgi?id=",INDIRECT(C70&amp;ROW())),INDIRECT(C70&amp;ROW()))</f>
        <v>60560</v>
      </c>
      <c r="N459">
        <v>60560</v>
      </c>
      <c r="O459" t="s">
        <v>241</v>
      </c>
      <c r="P459" t="s">
        <v>910</v>
      </c>
      <c r="Q459" t="s">
        <v>25</v>
      </c>
      <c r="R459" t="s">
        <v>783</v>
      </c>
      <c r="S459" t="s">
        <v>552</v>
      </c>
      <c r="U459" s="6">
        <v>42151.347118055557</v>
      </c>
      <c r="V459" t="s">
        <v>18</v>
      </c>
      <c r="W459" t="s">
        <v>764</v>
      </c>
      <c r="X459" s="6">
        <v>42109.74486111111</v>
      </c>
      <c r="Y459" t="s">
        <v>122</v>
      </c>
      <c r="AB459" t="s">
        <v>200</v>
      </c>
      <c r="AC459" t="s">
        <v>247</v>
      </c>
      <c r="AD459" t="s">
        <v>222</v>
      </c>
      <c r="AE459" t="s">
        <v>232</v>
      </c>
      <c r="AG459" t="s">
        <v>337</v>
      </c>
      <c r="AH459" t="s">
        <v>327</v>
      </c>
      <c r="AI459" t="s">
        <v>121</v>
      </c>
      <c r="AJ459" t="s">
        <v>715</v>
      </c>
      <c r="AK459" t="s">
        <v>121</v>
      </c>
    </row>
    <row r="460" spans="9:37" x14ac:dyDescent="0.3">
      <c r="I460">
        <f ca="1">IF(OR(INDIRECT(A73&amp;ROW())=B93,INDIRECT(A73&amp;ROW())=B94),1,IF(AND(INDIRECT(A73&amp;ROW())=B95,INDIRECT(A96&amp;ROW())=C93),1,IF(AND(INDIRECT(A73&amp;ROW())=B95,INDIRECT(A96&amp;ROW())=C94),1,0)))</f>
        <v>0</v>
      </c>
      <c r="J460">
        <f ca="1">IF(AND(INDIRECT(A73&amp;ROW())=B95,INDIRECT(A96&amp;ROW())=C95),1,IF(AND(INDIRECT(A73&amp;ROW())=B95,INDIRECT(A96&amp;ROW())=C96),1,0))</f>
        <v>1</v>
      </c>
      <c r="K460">
        <f ca="1">DAYS360(INDIRECT(C68&amp;ROW()),TODAY())</f>
        <v>690</v>
      </c>
      <c r="L460">
        <f ca="1">DAYS360(INDIRECT(C69&amp;ROW()),TODAY())</f>
        <v>737</v>
      </c>
      <c r="M460">
        <f ca="1">HYPERLINK(CONCATENATE("https://bugzilla.houston.hp.com:1181/bugzilla/show_bug.cgi?id=",INDIRECT(C70&amp;ROW())),INDIRECT(C70&amp;ROW()))</f>
        <v>60562</v>
      </c>
      <c r="N460">
        <v>60562</v>
      </c>
      <c r="O460" t="s">
        <v>45</v>
      </c>
      <c r="P460" t="s">
        <v>909</v>
      </c>
      <c r="Q460" t="s">
        <v>25</v>
      </c>
      <c r="R460" t="s">
        <v>783</v>
      </c>
      <c r="S460" t="s">
        <v>552</v>
      </c>
      <c r="T460" t="s">
        <v>798</v>
      </c>
      <c r="U460" s="6">
        <v>42157.103680555556</v>
      </c>
      <c r="V460" t="s">
        <v>18</v>
      </c>
      <c r="W460" t="s">
        <v>783</v>
      </c>
      <c r="X460" s="6">
        <v>42109.747708333336</v>
      </c>
      <c r="Y460" t="s">
        <v>119</v>
      </c>
      <c r="AB460" t="s">
        <v>201</v>
      </c>
      <c r="AC460" t="s">
        <v>247</v>
      </c>
      <c r="AD460" t="s">
        <v>227</v>
      </c>
      <c r="AE460" t="s">
        <v>370</v>
      </c>
      <c r="AG460" t="s">
        <v>121</v>
      </c>
      <c r="AH460" t="s">
        <v>327</v>
      </c>
      <c r="AI460" t="s">
        <v>121</v>
      </c>
      <c r="AJ460" t="s">
        <v>716</v>
      </c>
      <c r="AK460" t="s">
        <v>121</v>
      </c>
    </row>
    <row r="461" spans="9:37" x14ac:dyDescent="0.3">
      <c r="I461">
        <f ca="1">IF(OR(INDIRECT(A73&amp;ROW())=B93,INDIRECT(A73&amp;ROW())=B94),1,IF(AND(INDIRECT(A73&amp;ROW())=B95,INDIRECT(A96&amp;ROW())=C93),1,IF(AND(INDIRECT(A73&amp;ROW())=B95,INDIRECT(A96&amp;ROW())=C94),1,0)))</f>
        <v>1</v>
      </c>
      <c r="J461">
        <f ca="1">IF(AND(INDIRECT(A73&amp;ROW())=B95,INDIRECT(A96&amp;ROW())=C95),1,IF(AND(INDIRECT(A73&amp;ROW())=B95,INDIRECT(A96&amp;ROW())=C96),1,0))</f>
        <v>0</v>
      </c>
      <c r="K461">
        <f ca="1">DAYS360(INDIRECT(C68&amp;ROW()),TODAY())</f>
        <v>681</v>
      </c>
      <c r="L461">
        <f ca="1">DAYS360(INDIRECT(C69&amp;ROW()),TODAY())</f>
        <v>737</v>
      </c>
      <c r="M461">
        <f ca="1">HYPERLINK(CONCATENATE("https://bugzilla.houston.hp.com:1181/bugzilla/show_bug.cgi?id=",INDIRECT(C70&amp;ROW())),INDIRECT(C70&amp;ROW()))</f>
        <v>60563</v>
      </c>
      <c r="N461">
        <v>60563</v>
      </c>
      <c r="O461" t="s">
        <v>21</v>
      </c>
      <c r="P461" t="s">
        <v>908</v>
      </c>
      <c r="Q461" t="s">
        <v>39</v>
      </c>
      <c r="R461" t="s">
        <v>783</v>
      </c>
      <c r="S461" t="s">
        <v>552</v>
      </c>
      <c r="U461" s="6">
        <v>42166.487743055557</v>
      </c>
      <c r="V461" t="s">
        <v>18</v>
      </c>
      <c r="W461" t="s">
        <v>17</v>
      </c>
      <c r="X461" s="6">
        <v>42109.747881944444</v>
      </c>
      <c r="Y461" t="s">
        <v>122</v>
      </c>
      <c r="Z461" t="s">
        <v>255</v>
      </c>
      <c r="AB461" t="s">
        <v>201</v>
      </c>
      <c r="AC461" t="s">
        <v>247</v>
      </c>
      <c r="AD461" t="s">
        <v>222</v>
      </c>
      <c r="AE461" t="s">
        <v>221</v>
      </c>
      <c r="AG461" t="s">
        <v>337</v>
      </c>
      <c r="AH461" t="s">
        <v>327</v>
      </c>
      <c r="AI461" t="s">
        <v>121</v>
      </c>
      <c r="AJ461" t="s">
        <v>715</v>
      </c>
      <c r="AK461" t="s">
        <v>1133</v>
      </c>
    </row>
    <row r="462" spans="9:37" x14ac:dyDescent="0.3">
      <c r="I462">
        <f ca="1">IF(OR(INDIRECT(A73&amp;ROW())=B93,INDIRECT(A73&amp;ROW())=B94),1,IF(AND(INDIRECT(A73&amp;ROW())=B95,INDIRECT(A96&amp;ROW())=C93),1,IF(AND(INDIRECT(A73&amp;ROW())=B95,INDIRECT(A96&amp;ROW())=C94),1,0)))</f>
        <v>1</v>
      </c>
      <c r="J462">
        <f ca="1">IF(AND(INDIRECT(A73&amp;ROW())=B95,INDIRECT(A96&amp;ROW())=C95),1,IF(AND(INDIRECT(A73&amp;ROW())=B95,INDIRECT(A96&amp;ROW())=C96),1,0))</f>
        <v>0</v>
      </c>
      <c r="K462">
        <f ca="1">DAYS360(INDIRECT(C68&amp;ROW()),TODAY())</f>
        <v>683</v>
      </c>
      <c r="L462">
        <f ca="1">DAYS360(INDIRECT(C69&amp;ROW()),TODAY())</f>
        <v>737</v>
      </c>
      <c r="M462">
        <f ca="1">HYPERLINK(CONCATENATE("https://bugzilla.houston.hp.com:1181/bugzilla/show_bug.cgi?id=",INDIRECT(C70&amp;ROW())),INDIRECT(C70&amp;ROW()))</f>
        <v>60564</v>
      </c>
      <c r="N462">
        <v>60564</v>
      </c>
      <c r="O462" t="s">
        <v>22</v>
      </c>
      <c r="P462" t="s">
        <v>907</v>
      </c>
      <c r="Q462" t="s">
        <v>25</v>
      </c>
      <c r="R462" t="s">
        <v>783</v>
      </c>
      <c r="S462" t="s">
        <v>552</v>
      </c>
      <c r="T462" t="s">
        <v>809</v>
      </c>
      <c r="U462" s="6">
        <v>42164.638749999998</v>
      </c>
      <c r="V462" t="s">
        <v>18</v>
      </c>
      <c r="W462" t="s">
        <v>764</v>
      </c>
      <c r="X462" s="6">
        <v>42109.74800925926</v>
      </c>
      <c r="Y462" t="s">
        <v>810</v>
      </c>
      <c r="AB462" t="s">
        <v>199</v>
      </c>
      <c r="AC462" t="s">
        <v>247</v>
      </c>
      <c r="AD462" t="s">
        <v>222</v>
      </c>
      <c r="AE462" t="s">
        <v>221</v>
      </c>
      <c r="AG462" t="s">
        <v>1082</v>
      </c>
      <c r="AH462" t="s">
        <v>327</v>
      </c>
      <c r="AI462" t="s">
        <v>362</v>
      </c>
      <c r="AJ462" t="s">
        <v>715</v>
      </c>
      <c r="AK462" t="s">
        <v>1206</v>
      </c>
    </row>
    <row r="463" spans="9:37" x14ac:dyDescent="0.3">
      <c r="I463">
        <f ca="1">IF(OR(INDIRECT(A73&amp;ROW())=B93,INDIRECT(A73&amp;ROW())=B94),1,IF(AND(INDIRECT(A73&amp;ROW())=B95,INDIRECT(A96&amp;ROW())=C93),1,IF(AND(INDIRECT(A73&amp;ROW())=B95,INDIRECT(A96&amp;ROW())=C94),1,0)))</f>
        <v>1</v>
      </c>
      <c r="J463">
        <f ca="1">IF(AND(INDIRECT(A73&amp;ROW())=B95,INDIRECT(A96&amp;ROW())=C95),1,IF(AND(INDIRECT(A73&amp;ROW())=B95,INDIRECT(A96&amp;ROW())=C96),1,0))</f>
        <v>0</v>
      </c>
      <c r="K463">
        <f ca="1">DAYS360(INDIRECT(C68&amp;ROW()),TODAY())</f>
        <v>681</v>
      </c>
      <c r="L463">
        <f ca="1">DAYS360(INDIRECT(C69&amp;ROW()),TODAY())</f>
        <v>737</v>
      </c>
      <c r="M463">
        <f ca="1">HYPERLINK(CONCATENATE("https://bugzilla.houston.hp.com:1181/bugzilla/show_bug.cgi?id=",INDIRECT(C70&amp;ROW())),INDIRECT(C70&amp;ROW()))</f>
        <v>60565</v>
      </c>
      <c r="N463">
        <v>60565</v>
      </c>
      <c r="O463" t="s">
        <v>22</v>
      </c>
      <c r="P463" t="s">
        <v>906</v>
      </c>
      <c r="Q463" t="s">
        <v>25</v>
      </c>
      <c r="R463" t="s">
        <v>783</v>
      </c>
      <c r="S463" t="s">
        <v>552</v>
      </c>
      <c r="T463" t="s">
        <v>1017</v>
      </c>
      <c r="U463" s="6">
        <v>42166.487743055557</v>
      </c>
      <c r="V463" t="s">
        <v>18</v>
      </c>
      <c r="W463" t="s">
        <v>783</v>
      </c>
      <c r="X463" s="6">
        <v>42109.748171296298</v>
      </c>
      <c r="Y463" t="s">
        <v>119</v>
      </c>
      <c r="AB463" t="s">
        <v>200</v>
      </c>
      <c r="AC463" t="s">
        <v>247</v>
      </c>
      <c r="AD463" t="s">
        <v>220</v>
      </c>
      <c r="AE463" t="s">
        <v>223</v>
      </c>
      <c r="AG463" t="s">
        <v>337</v>
      </c>
      <c r="AH463" t="s">
        <v>327</v>
      </c>
      <c r="AI463" t="s">
        <v>121</v>
      </c>
      <c r="AJ463" t="s">
        <v>715</v>
      </c>
      <c r="AK463" t="s">
        <v>121</v>
      </c>
    </row>
    <row r="464" spans="9:37" x14ac:dyDescent="0.3">
      <c r="I464">
        <f ca="1">IF(OR(INDIRECT(A73&amp;ROW())=B93,INDIRECT(A73&amp;ROW())=B94),1,IF(AND(INDIRECT(A73&amp;ROW())=B95,INDIRECT(A96&amp;ROW())=C93),1,IF(AND(INDIRECT(A73&amp;ROW())=B95,INDIRECT(A96&amp;ROW())=C94),1,0)))</f>
        <v>0</v>
      </c>
      <c r="J464">
        <f ca="1">IF(AND(INDIRECT(A73&amp;ROW())=B95,INDIRECT(A96&amp;ROW())=C95),1,IF(AND(INDIRECT(A73&amp;ROW())=B95,INDIRECT(A96&amp;ROW())=C96),1,0))</f>
        <v>1</v>
      </c>
      <c r="K464">
        <f ca="1">DAYS360(INDIRECT(C68&amp;ROW()),TODAY())</f>
        <v>737</v>
      </c>
      <c r="L464">
        <f ca="1">DAYS360(INDIRECT(C69&amp;ROW()),TODAY())</f>
        <v>737</v>
      </c>
      <c r="M464">
        <f ca="1">HYPERLINK(CONCATENATE("https://bugzilla.houston.hp.com:1181/bugzilla/show_bug.cgi?id=",INDIRECT(C70&amp;ROW())),INDIRECT(C70&amp;ROW()))</f>
        <v>60566</v>
      </c>
      <c r="N464">
        <v>60566</v>
      </c>
      <c r="O464" t="s">
        <v>22</v>
      </c>
      <c r="P464" t="s">
        <v>905</v>
      </c>
      <c r="Q464" t="s">
        <v>25</v>
      </c>
      <c r="R464" t="s">
        <v>783</v>
      </c>
      <c r="S464" t="s">
        <v>552</v>
      </c>
      <c r="U464" s="6">
        <v>42109.748472222222</v>
      </c>
      <c r="V464" t="s">
        <v>18</v>
      </c>
      <c r="W464" t="s">
        <v>17</v>
      </c>
      <c r="X464" s="6">
        <v>42109.748472222222</v>
      </c>
      <c r="Y464" t="s">
        <v>246</v>
      </c>
      <c r="AB464" t="s">
        <v>201</v>
      </c>
      <c r="AC464" t="s">
        <v>247</v>
      </c>
      <c r="AD464" t="s">
        <v>222</v>
      </c>
      <c r="AE464" t="s">
        <v>232</v>
      </c>
      <c r="AG464" t="s">
        <v>121</v>
      </c>
      <c r="AH464" t="s">
        <v>327</v>
      </c>
      <c r="AI464" t="s">
        <v>121</v>
      </c>
      <c r="AJ464" t="s">
        <v>716</v>
      </c>
      <c r="AK464" t="s">
        <v>121</v>
      </c>
    </row>
    <row r="465" spans="9:37" x14ac:dyDescent="0.3">
      <c r="I465">
        <f ca="1">IF(OR(INDIRECT(A73&amp;ROW())=B93,INDIRECT(A73&amp;ROW())=B94),1,IF(AND(INDIRECT(A73&amp;ROW())=B95,INDIRECT(A96&amp;ROW())=C93),1,IF(AND(INDIRECT(A73&amp;ROW())=B95,INDIRECT(A96&amp;ROW())=C94),1,0)))</f>
        <v>0</v>
      </c>
      <c r="J465">
        <f ca="1">IF(AND(INDIRECT(A73&amp;ROW())=B95,INDIRECT(A96&amp;ROW())=C95),1,IF(AND(INDIRECT(A73&amp;ROW())=B95,INDIRECT(A96&amp;ROW())=C96),1,0))</f>
        <v>1</v>
      </c>
      <c r="K465">
        <f ca="1">DAYS360(INDIRECT(C68&amp;ROW()),TODAY())</f>
        <v>736</v>
      </c>
      <c r="L465">
        <f ca="1">DAYS360(INDIRECT(C69&amp;ROW()),TODAY())</f>
        <v>737</v>
      </c>
      <c r="M465">
        <f ca="1">HYPERLINK(CONCATENATE("https://bugzilla.houston.hp.com:1181/bugzilla/show_bug.cgi?id=",INDIRECT(C70&amp;ROW())),INDIRECT(C70&amp;ROW()))</f>
        <v>60567</v>
      </c>
      <c r="N465">
        <v>60567</v>
      </c>
      <c r="O465" t="s">
        <v>66</v>
      </c>
      <c r="P465" t="s">
        <v>904</v>
      </c>
      <c r="Q465" t="s">
        <v>25</v>
      </c>
      <c r="R465" t="s">
        <v>783</v>
      </c>
      <c r="S465" t="s">
        <v>552</v>
      </c>
      <c r="U465" s="6">
        <v>42110.603171296294</v>
      </c>
      <c r="V465" t="s">
        <v>18</v>
      </c>
      <c r="W465" t="s">
        <v>17</v>
      </c>
      <c r="X465" s="6">
        <v>42109.748726851853</v>
      </c>
      <c r="Y465" t="s">
        <v>792</v>
      </c>
      <c r="AB465" t="s">
        <v>201</v>
      </c>
      <c r="AC465" t="s">
        <v>247</v>
      </c>
      <c r="AD465" t="s">
        <v>220</v>
      </c>
      <c r="AE465" t="s">
        <v>219</v>
      </c>
      <c r="AG465" t="s">
        <v>121</v>
      </c>
      <c r="AH465" t="s">
        <v>327</v>
      </c>
      <c r="AI465" t="s">
        <v>121</v>
      </c>
      <c r="AJ465" t="s">
        <v>717</v>
      </c>
      <c r="AK465" t="s">
        <v>121</v>
      </c>
    </row>
    <row r="466" spans="9:37" x14ac:dyDescent="0.3">
      <c r="I466">
        <f ca="1">IF(OR(INDIRECT(A73&amp;ROW())=B93,INDIRECT(A73&amp;ROW())=B94),1,IF(AND(INDIRECT(A73&amp;ROW())=B95,INDIRECT(A96&amp;ROW())=C93),1,IF(AND(INDIRECT(A73&amp;ROW())=B95,INDIRECT(A96&amp;ROW())=C94),1,0)))</f>
        <v>0</v>
      </c>
      <c r="J466">
        <f ca="1">IF(AND(INDIRECT(A73&amp;ROW())=B95,INDIRECT(A96&amp;ROW())=C95),1,IF(AND(INDIRECT(A73&amp;ROW())=B95,INDIRECT(A96&amp;ROW())=C96),1,0))</f>
        <v>1</v>
      </c>
      <c r="K466">
        <f ca="1">DAYS360(INDIRECT(C68&amp;ROW()),TODAY())</f>
        <v>717</v>
      </c>
      <c r="L466">
        <f ca="1">DAYS360(INDIRECT(C69&amp;ROW()),TODAY())</f>
        <v>737</v>
      </c>
      <c r="M466">
        <f ca="1">HYPERLINK(CONCATENATE("https://bugzilla.houston.hp.com:1181/bugzilla/show_bug.cgi?id=",INDIRECT(C70&amp;ROW())),INDIRECT(C70&amp;ROW()))</f>
        <v>60570</v>
      </c>
      <c r="N466">
        <v>60570</v>
      </c>
      <c r="O466" t="s">
        <v>241</v>
      </c>
      <c r="P466" t="s">
        <v>902</v>
      </c>
      <c r="Q466" t="s">
        <v>25</v>
      </c>
      <c r="R466" t="s">
        <v>783</v>
      </c>
      <c r="S466" t="s">
        <v>552</v>
      </c>
      <c r="U466" s="6">
        <v>42129.606886574074</v>
      </c>
      <c r="V466" t="s">
        <v>18</v>
      </c>
      <c r="W466" t="s">
        <v>783</v>
      </c>
      <c r="X466" s="6">
        <v>42109.749328703707</v>
      </c>
      <c r="Y466" t="s">
        <v>255</v>
      </c>
      <c r="AB466" t="s">
        <v>201</v>
      </c>
      <c r="AC466" t="s">
        <v>247</v>
      </c>
      <c r="AD466" t="s">
        <v>222</v>
      </c>
      <c r="AE466" t="s">
        <v>232</v>
      </c>
      <c r="AG466" t="s">
        <v>121</v>
      </c>
      <c r="AH466" t="s">
        <v>327</v>
      </c>
      <c r="AI466" t="s">
        <v>121</v>
      </c>
      <c r="AJ466" t="s">
        <v>716</v>
      </c>
      <c r="AK466" t="s">
        <v>121</v>
      </c>
    </row>
    <row r="467" spans="9:37" x14ac:dyDescent="0.3">
      <c r="I467">
        <f ca="1">IF(OR(INDIRECT(A73&amp;ROW())=B93,INDIRECT(A73&amp;ROW())=B94),1,IF(AND(INDIRECT(A73&amp;ROW())=B95,INDIRECT(A96&amp;ROW())=C93),1,IF(AND(INDIRECT(A73&amp;ROW())=B95,INDIRECT(A96&amp;ROW())=C94),1,0)))</f>
        <v>0</v>
      </c>
      <c r="J467">
        <f ca="1">IF(AND(INDIRECT(A73&amp;ROW())=B95,INDIRECT(A96&amp;ROW())=C95),1,IF(AND(INDIRECT(A73&amp;ROW())=B95,INDIRECT(A96&amp;ROW())=C96),1,0))</f>
        <v>1</v>
      </c>
      <c r="K467">
        <f ca="1">DAYS360(INDIRECT(C68&amp;ROW()),TODAY())</f>
        <v>737</v>
      </c>
      <c r="L467">
        <f ca="1">DAYS360(INDIRECT(C69&amp;ROW()),TODAY())</f>
        <v>737</v>
      </c>
      <c r="M467">
        <f ca="1">HYPERLINK(CONCATENATE("https://bugzilla.houston.hp.com:1181/bugzilla/show_bug.cgi?id=",INDIRECT(C70&amp;ROW())),INDIRECT(C70&amp;ROW()))</f>
        <v>60571</v>
      </c>
      <c r="N467">
        <v>60571</v>
      </c>
      <c r="O467" t="s">
        <v>22</v>
      </c>
      <c r="P467" t="s">
        <v>901</v>
      </c>
      <c r="Q467" t="s">
        <v>25</v>
      </c>
      <c r="R467" t="s">
        <v>783</v>
      </c>
      <c r="S467" t="s">
        <v>552</v>
      </c>
      <c r="U467" s="6">
        <v>42109.749872685185</v>
      </c>
      <c r="V467" t="s">
        <v>18</v>
      </c>
      <c r="W467" t="s">
        <v>764</v>
      </c>
      <c r="X467" s="6">
        <v>42109.749872685185</v>
      </c>
      <c r="Y467" t="s">
        <v>246</v>
      </c>
      <c r="AB467" t="s">
        <v>201</v>
      </c>
      <c r="AC467" t="s">
        <v>247</v>
      </c>
      <c r="AD467" t="s">
        <v>222</v>
      </c>
      <c r="AE467" t="s">
        <v>221</v>
      </c>
      <c r="AG467" t="s">
        <v>121</v>
      </c>
      <c r="AH467" t="s">
        <v>327</v>
      </c>
      <c r="AI467" t="s">
        <v>121</v>
      </c>
      <c r="AJ467" t="s">
        <v>716</v>
      </c>
      <c r="AK467" t="s">
        <v>121</v>
      </c>
    </row>
    <row r="468" spans="9:37" x14ac:dyDescent="0.3">
      <c r="I468">
        <f ca="1">IF(OR(INDIRECT(A73&amp;ROW())=B93,INDIRECT(A73&amp;ROW())=B94),1,IF(AND(INDIRECT(A73&amp;ROW())=B95,INDIRECT(A96&amp;ROW())=C93),1,IF(AND(INDIRECT(A73&amp;ROW())=B95,INDIRECT(A96&amp;ROW())=C94),1,0)))</f>
        <v>0</v>
      </c>
      <c r="J468">
        <f ca="1">IF(AND(INDIRECT(A73&amp;ROW())=B95,INDIRECT(A96&amp;ROW())=C95),1,IF(AND(INDIRECT(A73&amp;ROW())=B95,INDIRECT(A96&amp;ROW())=C96),1,0))</f>
        <v>1</v>
      </c>
      <c r="K468">
        <f ca="1">DAYS360(INDIRECT(C68&amp;ROW()),TODAY())</f>
        <v>733</v>
      </c>
      <c r="L468">
        <f ca="1">DAYS360(INDIRECT(C69&amp;ROW()),TODAY())</f>
        <v>737</v>
      </c>
      <c r="M468">
        <f ca="1">HYPERLINK(CONCATENATE("https://bugzilla.houston.hp.com:1181/bugzilla/show_bug.cgi?id=",INDIRECT(C70&amp;ROW())),INDIRECT(C70&amp;ROW()))</f>
        <v>60574</v>
      </c>
      <c r="N468">
        <v>60574</v>
      </c>
      <c r="O468" t="s">
        <v>22</v>
      </c>
      <c r="P468" t="s">
        <v>899</v>
      </c>
      <c r="Q468" t="s">
        <v>25</v>
      </c>
      <c r="R468" t="s">
        <v>783</v>
      </c>
      <c r="S468" t="s">
        <v>552</v>
      </c>
      <c r="U468" s="6">
        <v>42113.690659722219</v>
      </c>
      <c r="V468" t="s">
        <v>18</v>
      </c>
      <c r="W468" t="s">
        <v>764</v>
      </c>
      <c r="X468" s="6">
        <v>42109.750763888886</v>
      </c>
      <c r="Y468" t="s">
        <v>810</v>
      </c>
      <c r="AB468" t="s">
        <v>201</v>
      </c>
      <c r="AC468" t="s">
        <v>247</v>
      </c>
      <c r="AD468" t="s">
        <v>222</v>
      </c>
      <c r="AE468" t="s">
        <v>232</v>
      </c>
      <c r="AG468" t="s">
        <v>121</v>
      </c>
      <c r="AH468" t="s">
        <v>327</v>
      </c>
      <c r="AI468" t="s">
        <v>121</v>
      </c>
      <c r="AJ468" t="s">
        <v>717</v>
      </c>
      <c r="AK468" t="s">
        <v>121</v>
      </c>
    </row>
    <row r="469" spans="9:37" x14ac:dyDescent="0.3">
      <c r="I469">
        <f ca="1">IF(OR(INDIRECT(A73&amp;ROW())=B93,INDIRECT(A73&amp;ROW())=B94),1,IF(AND(INDIRECT(A73&amp;ROW())=B95,INDIRECT(A96&amp;ROW())=C93),1,IF(AND(INDIRECT(A73&amp;ROW())=B95,INDIRECT(A96&amp;ROW())=C94),1,0)))</f>
        <v>0</v>
      </c>
      <c r="J469">
        <f ca="1">IF(AND(INDIRECT(A73&amp;ROW())=B95,INDIRECT(A96&amp;ROW())=C95),1,IF(AND(INDIRECT(A73&amp;ROW())=B95,INDIRECT(A96&amp;ROW())=C96),1,0))</f>
        <v>0</v>
      </c>
      <c r="K469">
        <f ca="1">DAYS360(INDIRECT(C68&amp;ROW()),TODAY())</f>
        <v>737</v>
      </c>
      <c r="L469">
        <f ca="1">DAYS360(INDIRECT(C69&amp;ROW()),TODAY())</f>
        <v>737</v>
      </c>
      <c r="M469">
        <f ca="1">HYPERLINK(CONCATENATE("https://bugzilla.houston.hp.com:1181/bugzilla/show_bug.cgi?id=",INDIRECT(C70&amp;ROW())),INDIRECT(C70&amp;ROW()))</f>
        <v>60576</v>
      </c>
      <c r="N469">
        <v>60576</v>
      </c>
      <c r="O469" t="s">
        <v>56</v>
      </c>
      <c r="P469" t="s">
        <v>898</v>
      </c>
      <c r="Q469" t="s">
        <v>16</v>
      </c>
      <c r="R469" t="s">
        <v>783</v>
      </c>
      <c r="S469" t="s">
        <v>552</v>
      </c>
      <c r="U469" s="6">
        <v>42109.751527777778</v>
      </c>
      <c r="V469" t="s">
        <v>18</v>
      </c>
      <c r="W469" t="s">
        <v>764</v>
      </c>
      <c r="X469" s="6">
        <v>42109.751527777778</v>
      </c>
      <c r="Y469" t="s">
        <v>810</v>
      </c>
      <c r="AB469" t="s">
        <v>201</v>
      </c>
      <c r="AC469" t="s">
        <v>247</v>
      </c>
      <c r="AD469" t="s">
        <v>220</v>
      </c>
      <c r="AE469" t="s">
        <v>223</v>
      </c>
      <c r="AG469" t="s">
        <v>121</v>
      </c>
      <c r="AH469" t="s">
        <v>327</v>
      </c>
      <c r="AI469" t="s">
        <v>121</v>
      </c>
      <c r="AJ469" t="s">
        <v>717</v>
      </c>
      <c r="AK469" t="s">
        <v>121</v>
      </c>
    </row>
    <row r="470" spans="9:37" x14ac:dyDescent="0.3">
      <c r="I470">
        <f ca="1">IF(OR(INDIRECT(A73&amp;ROW())=B93,INDIRECT(A73&amp;ROW())=B94),1,IF(AND(INDIRECT(A73&amp;ROW())=B95,INDIRECT(A96&amp;ROW())=C93),1,IF(AND(INDIRECT(A73&amp;ROW())=B95,INDIRECT(A96&amp;ROW())=C94),1,0)))</f>
        <v>0</v>
      </c>
      <c r="J470">
        <f ca="1">IF(AND(INDIRECT(A73&amp;ROW())=B95,INDIRECT(A96&amp;ROW())=C95),1,IF(AND(INDIRECT(A73&amp;ROW())=B95,INDIRECT(A96&amp;ROW())=C96),1,0))</f>
        <v>1</v>
      </c>
      <c r="K470">
        <f ca="1">DAYS360(INDIRECT(C68&amp;ROW()),TODAY())</f>
        <v>735</v>
      </c>
      <c r="L470">
        <f ca="1">DAYS360(INDIRECT(C69&amp;ROW()),TODAY())</f>
        <v>736</v>
      </c>
      <c r="M470">
        <f ca="1">HYPERLINK(CONCATENATE("https://bugzilla.houston.hp.com:1181/bugzilla/show_bug.cgi?id=",INDIRECT(C70&amp;ROW())),INDIRECT(C70&amp;ROW()))</f>
        <v>60594</v>
      </c>
      <c r="N470">
        <v>60594</v>
      </c>
      <c r="O470" t="s">
        <v>36</v>
      </c>
      <c r="P470" t="s">
        <v>897</v>
      </c>
      <c r="Q470" t="s">
        <v>25</v>
      </c>
      <c r="R470" t="s">
        <v>579</v>
      </c>
      <c r="S470" t="s">
        <v>552</v>
      </c>
      <c r="T470" t="s">
        <v>922</v>
      </c>
      <c r="U470" s="6">
        <v>42111.314699074072</v>
      </c>
      <c r="V470" t="s">
        <v>18</v>
      </c>
      <c r="W470" t="s">
        <v>764</v>
      </c>
      <c r="X470" s="6">
        <v>42110.0156712963</v>
      </c>
      <c r="Y470" t="s">
        <v>246</v>
      </c>
      <c r="AB470" t="s">
        <v>201</v>
      </c>
      <c r="AC470" t="s">
        <v>247</v>
      </c>
      <c r="AD470" t="s">
        <v>222</v>
      </c>
      <c r="AE470" t="s">
        <v>232</v>
      </c>
      <c r="AG470" t="s">
        <v>121</v>
      </c>
      <c r="AH470" t="s">
        <v>327</v>
      </c>
      <c r="AI470" t="s">
        <v>121</v>
      </c>
      <c r="AJ470" t="s">
        <v>716</v>
      </c>
      <c r="AK470" t="s">
        <v>121</v>
      </c>
    </row>
    <row r="471" spans="9:37" x14ac:dyDescent="0.3">
      <c r="I471">
        <f ca="1">IF(OR(INDIRECT(A73&amp;ROW())=B93,INDIRECT(A73&amp;ROW())=B94),1,IF(AND(INDIRECT(A73&amp;ROW())=B95,INDIRECT(A96&amp;ROW())=C93),1,IF(AND(INDIRECT(A73&amp;ROW())=B95,INDIRECT(A96&amp;ROW())=C94),1,0)))</f>
        <v>0</v>
      </c>
      <c r="J471">
        <f ca="1">IF(AND(INDIRECT(A73&amp;ROW())=B95,INDIRECT(A96&amp;ROW())=C95),1,IF(AND(INDIRECT(A73&amp;ROW())=B95,INDIRECT(A96&amp;ROW())=C96),1,0))</f>
        <v>1</v>
      </c>
      <c r="K471">
        <f ca="1">DAYS360(INDIRECT(C68&amp;ROW()),TODAY())</f>
        <v>684</v>
      </c>
      <c r="L471">
        <f ca="1">DAYS360(INDIRECT(C69&amp;ROW()),TODAY())</f>
        <v>736</v>
      </c>
      <c r="M471">
        <f ca="1">HYPERLINK(CONCATENATE("https://bugzilla.houston.hp.com:1181/bugzilla/show_bug.cgi?id=",INDIRECT(C70&amp;ROW())),INDIRECT(C70&amp;ROW()))</f>
        <v>60595</v>
      </c>
      <c r="N471">
        <v>60595</v>
      </c>
      <c r="O471" t="s">
        <v>36</v>
      </c>
      <c r="P471" t="s">
        <v>896</v>
      </c>
      <c r="Q471" t="s">
        <v>25</v>
      </c>
      <c r="R471" t="s">
        <v>248</v>
      </c>
      <c r="S471" t="s">
        <v>552</v>
      </c>
      <c r="U471" s="6">
        <v>42163.610335648147</v>
      </c>
      <c r="V471" t="s">
        <v>18</v>
      </c>
      <c r="W471" t="s">
        <v>764</v>
      </c>
      <c r="X471" s="6">
        <v>42110.015717592592</v>
      </c>
      <c r="Y471" t="s">
        <v>246</v>
      </c>
      <c r="AB471" t="s">
        <v>201</v>
      </c>
      <c r="AC471" t="s">
        <v>247</v>
      </c>
      <c r="AD471" t="s">
        <v>222</v>
      </c>
      <c r="AE471" t="s">
        <v>232</v>
      </c>
      <c r="AG471" t="s">
        <v>121</v>
      </c>
      <c r="AH471" t="s">
        <v>327</v>
      </c>
      <c r="AI471" t="s">
        <v>121</v>
      </c>
      <c r="AJ471" t="s">
        <v>716</v>
      </c>
      <c r="AK471" t="s">
        <v>121</v>
      </c>
    </row>
    <row r="472" spans="9:37" x14ac:dyDescent="0.3">
      <c r="I472">
        <f ca="1">IF(OR(INDIRECT(A73&amp;ROW())=B93,INDIRECT(A73&amp;ROW())=B94),1,IF(AND(INDIRECT(A73&amp;ROW())=B95,INDIRECT(A96&amp;ROW())=C93),1,IF(AND(INDIRECT(A73&amp;ROW())=B95,INDIRECT(A96&amp;ROW())=C94),1,0)))</f>
        <v>0</v>
      </c>
      <c r="J472">
        <f ca="1">IF(AND(INDIRECT(A73&amp;ROW())=B95,INDIRECT(A96&amp;ROW())=C95),1,IF(AND(INDIRECT(A73&amp;ROW())=B95,INDIRECT(A96&amp;ROW())=C96),1,0))</f>
        <v>0</v>
      </c>
      <c r="K472">
        <f ca="1">DAYS360(INDIRECT(C68&amp;ROW()),TODAY())</f>
        <v>681</v>
      </c>
      <c r="L472">
        <f ca="1">DAYS360(INDIRECT(C69&amp;ROW()),TODAY())</f>
        <v>736</v>
      </c>
      <c r="M472">
        <f ca="1">HYPERLINK(CONCATENATE("https://bugzilla.houston.hp.com:1181/bugzilla/show_bug.cgi?id=",INDIRECT(C70&amp;ROW())),INDIRECT(C70&amp;ROW()))</f>
        <v>60601</v>
      </c>
      <c r="N472">
        <v>60601</v>
      </c>
      <c r="O472" t="s">
        <v>66</v>
      </c>
      <c r="P472" t="s">
        <v>895</v>
      </c>
      <c r="Q472" t="s">
        <v>16</v>
      </c>
      <c r="R472" t="s">
        <v>251</v>
      </c>
      <c r="S472" t="s">
        <v>516</v>
      </c>
      <c r="U472" s="6">
        <v>42166.564513888887</v>
      </c>
      <c r="V472" t="s">
        <v>35</v>
      </c>
      <c r="W472" t="s">
        <v>783</v>
      </c>
      <c r="X472" s="6">
        <v>42110.021886574075</v>
      </c>
      <c r="Y472" t="s">
        <v>786</v>
      </c>
      <c r="AB472" t="s">
        <v>200</v>
      </c>
      <c r="AC472" t="s">
        <v>247</v>
      </c>
      <c r="AD472" t="s">
        <v>220</v>
      </c>
      <c r="AE472" t="s">
        <v>219</v>
      </c>
      <c r="AG472" t="s">
        <v>121</v>
      </c>
      <c r="AH472" t="s">
        <v>327</v>
      </c>
      <c r="AI472" t="s">
        <v>121</v>
      </c>
      <c r="AJ472" t="s">
        <v>716</v>
      </c>
      <c r="AK472" t="s">
        <v>121</v>
      </c>
    </row>
    <row r="473" spans="9:37" x14ac:dyDescent="0.3">
      <c r="I473">
        <f ca="1">IF(OR(INDIRECT(A73&amp;ROW())=B93,INDIRECT(A73&amp;ROW())=B94),1,IF(AND(INDIRECT(A73&amp;ROW())=B95,INDIRECT(A96&amp;ROW())=C93),1,IF(AND(INDIRECT(A73&amp;ROW())=B95,INDIRECT(A96&amp;ROW())=C94),1,0)))</f>
        <v>0</v>
      </c>
      <c r="J473">
        <f ca="1">IF(AND(INDIRECT(A73&amp;ROW())=B95,INDIRECT(A96&amp;ROW())=C95),1,IF(AND(INDIRECT(A73&amp;ROW())=B95,INDIRECT(A96&amp;ROW())=C96),1,0))</f>
        <v>0</v>
      </c>
      <c r="K473">
        <f ca="1">DAYS360(INDIRECT(C68&amp;ROW()),TODAY())</f>
        <v>717</v>
      </c>
      <c r="L473">
        <f ca="1">DAYS360(INDIRECT(C69&amp;ROW()),TODAY())</f>
        <v>736</v>
      </c>
      <c r="M473">
        <f ca="1">HYPERLINK(CONCATENATE("https://bugzilla.houston.hp.com:1181/bugzilla/show_bug.cgi?id=",INDIRECT(C70&amp;ROW())),INDIRECT(C70&amp;ROW()))</f>
        <v>60668</v>
      </c>
      <c r="N473">
        <v>60668</v>
      </c>
      <c r="O473" t="s">
        <v>56</v>
      </c>
      <c r="P473" t="s">
        <v>894</v>
      </c>
      <c r="Q473" t="s">
        <v>16</v>
      </c>
      <c r="R473" t="s">
        <v>248</v>
      </c>
      <c r="S473" t="s">
        <v>552</v>
      </c>
      <c r="U473" s="6">
        <v>42129.317453703705</v>
      </c>
      <c r="V473" t="s">
        <v>18</v>
      </c>
      <c r="W473" t="s">
        <v>783</v>
      </c>
      <c r="X473" s="6">
        <v>42110.515844907408</v>
      </c>
      <c r="Y473" t="s">
        <v>786</v>
      </c>
      <c r="AB473" t="s">
        <v>200</v>
      </c>
      <c r="AC473" t="s">
        <v>247</v>
      </c>
      <c r="AD473" t="s">
        <v>220</v>
      </c>
      <c r="AE473" t="s">
        <v>219</v>
      </c>
      <c r="AG473" t="s">
        <v>121</v>
      </c>
      <c r="AH473" t="s">
        <v>327</v>
      </c>
      <c r="AI473" t="s">
        <v>121</v>
      </c>
      <c r="AJ473" t="s">
        <v>716</v>
      </c>
      <c r="AK473" t="s">
        <v>121</v>
      </c>
    </row>
    <row r="474" spans="9:37" x14ac:dyDescent="0.3">
      <c r="I474">
        <f ca="1">IF(OR(INDIRECT(A73&amp;ROW())=B93,INDIRECT(A73&amp;ROW())=B94),1,IF(AND(INDIRECT(A73&amp;ROW())=B95,INDIRECT(A96&amp;ROW())=C93),1,IF(AND(INDIRECT(A73&amp;ROW())=B95,INDIRECT(A96&amp;ROW())=C94),1,0)))</f>
        <v>0</v>
      </c>
      <c r="J474">
        <f ca="1">IF(AND(INDIRECT(A73&amp;ROW())=B95,INDIRECT(A96&amp;ROW())=C95),1,IF(AND(INDIRECT(A73&amp;ROW())=B95,INDIRECT(A96&amp;ROW())=C96),1,0))</f>
        <v>0</v>
      </c>
      <c r="K474">
        <f ca="1">DAYS360(INDIRECT(C68&amp;ROW()),TODAY())</f>
        <v>684</v>
      </c>
      <c r="L474">
        <f ca="1">DAYS360(INDIRECT(C69&amp;ROW()),TODAY())</f>
        <v>735</v>
      </c>
      <c r="M474">
        <f ca="1">HYPERLINK(CONCATENATE("https://bugzilla.houston.hp.com:1181/bugzilla/show_bug.cgi?id=",INDIRECT(C70&amp;ROW())),INDIRECT(C70&amp;ROW()))</f>
        <v>60724</v>
      </c>
      <c r="N474">
        <v>60724</v>
      </c>
      <c r="O474" t="s">
        <v>66</v>
      </c>
      <c r="P474" t="s">
        <v>926</v>
      </c>
      <c r="Q474" t="s">
        <v>16</v>
      </c>
      <c r="R474" t="s">
        <v>251</v>
      </c>
      <c r="S474" t="s">
        <v>33</v>
      </c>
      <c r="T474" t="s">
        <v>966</v>
      </c>
      <c r="U474" s="6">
        <v>42163.581828703704</v>
      </c>
      <c r="V474" t="s">
        <v>18</v>
      </c>
      <c r="W474" t="s">
        <v>783</v>
      </c>
      <c r="X474" s="6">
        <v>42111.162210648145</v>
      </c>
      <c r="Y474" t="s">
        <v>119</v>
      </c>
      <c r="AB474" t="s">
        <v>200</v>
      </c>
      <c r="AC474" t="s">
        <v>247</v>
      </c>
      <c r="AD474" t="s">
        <v>220</v>
      </c>
      <c r="AE474" t="s">
        <v>223</v>
      </c>
      <c r="AG474" t="s">
        <v>121</v>
      </c>
      <c r="AH474" t="s">
        <v>327</v>
      </c>
      <c r="AI474" t="s">
        <v>121</v>
      </c>
      <c r="AJ474" t="s">
        <v>716</v>
      </c>
      <c r="AK474" t="s">
        <v>121</v>
      </c>
    </row>
    <row r="475" spans="9:37" x14ac:dyDescent="0.3">
      <c r="I475">
        <f ca="1">IF(OR(INDIRECT(A73&amp;ROW())=B93,INDIRECT(A73&amp;ROW())=B94),1,IF(AND(INDIRECT(A73&amp;ROW())=B95,INDIRECT(A96&amp;ROW())=C93),1,IF(AND(INDIRECT(A73&amp;ROW())=B95,INDIRECT(A96&amp;ROW())=C94),1,0)))</f>
        <v>0</v>
      </c>
      <c r="J475">
        <f ca="1">IF(AND(INDIRECT(A73&amp;ROW())=B95,INDIRECT(A96&amp;ROW())=C95),1,IF(AND(INDIRECT(A73&amp;ROW())=B95,INDIRECT(A96&amp;ROW())=C96),1,0))</f>
        <v>0</v>
      </c>
      <c r="K475">
        <f ca="1">DAYS360(INDIRECT(C68&amp;ROW()),TODAY())</f>
        <v>690</v>
      </c>
      <c r="L475">
        <f ca="1">DAYS360(INDIRECT(C69&amp;ROW()),TODAY())</f>
        <v>735</v>
      </c>
      <c r="M475">
        <f ca="1">HYPERLINK(CONCATENATE("https://bugzilla.houston.hp.com:1181/bugzilla/show_bug.cgi?id=",INDIRECT(C70&amp;ROW())),INDIRECT(C70&amp;ROW()))</f>
        <v>60736</v>
      </c>
      <c r="N475">
        <v>60736</v>
      </c>
      <c r="O475" t="s">
        <v>59</v>
      </c>
      <c r="P475" t="s">
        <v>925</v>
      </c>
      <c r="Q475" t="s">
        <v>16</v>
      </c>
      <c r="R475" t="s">
        <v>579</v>
      </c>
      <c r="S475" t="s">
        <v>552</v>
      </c>
      <c r="T475" t="s">
        <v>931</v>
      </c>
      <c r="U475" s="6">
        <v>42157.11515046296</v>
      </c>
      <c r="V475" t="s">
        <v>18</v>
      </c>
      <c r="W475" t="s">
        <v>783</v>
      </c>
      <c r="X475" s="6">
        <v>42111.305185185185</v>
      </c>
      <c r="Y475" t="s">
        <v>119</v>
      </c>
      <c r="AB475" t="s">
        <v>200</v>
      </c>
      <c r="AC475" t="s">
        <v>247</v>
      </c>
      <c r="AD475" t="s">
        <v>220</v>
      </c>
      <c r="AE475" t="s">
        <v>223</v>
      </c>
      <c r="AG475" t="s">
        <v>121</v>
      </c>
      <c r="AH475" t="s">
        <v>327</v>
      </c>
      <c r="AI475" t="s">
        <v>121</v>
      </c>
      <c r="AJ475" t="s">
        <v>716</v>
      </c>
      <c r="AK475" t="s">
        <v>121</v>
      </c>
    </row>
    <row r="476" spans="9:37" x14ac:dyDescent="0.3">
      <c r="I476">
        <f ca="1">IF(OR(INDIRECT(A73&amp;ROW())=B93,INDIRECT(A73&amp;ROW())=B94),1,IF(AND(INDIRECT(A73&amp;ROW())=B95,INDIRECT(A96&amp;ROW())=C93),1,IF(AND(INDIRECT(A73&amp;ROW())=B95,INDIRECT(A96&amp;ROW())=C94),1,0)))</f>
        <v>0</v>
      </c>
      <c r="J476">
        <f ca="1">IF(AND(INDIRECT(A73&amp;ROW())=B95,INDIRECT(A96&amp;ROW())=C95),1,IF(AND(INDIRECT(A73&amp;ROW())=B95,INDIRECT(A96&amp;ROW())=C96),1,0))</f>
        <v>0</v>
      </c>
      <c r="K476">
        <f ca="1">DAYS360(INDIRECT(C68&amp;ROW()),TODAY())</f>
        <v>690</v>
      </c>
      <c r="L476">
        <f ca="1">DAYS360(INDIRECT(C69&amp;ROW()),TODAY())</f>
        <v>735</v>
      </c>
      <c r="M476">
        <f ca="1">HYPERLINK(CONCATENATE("https://bugzilla.houston.hp.com:1181/bugzilla/show_bug.cgi?id=",INDIRECT(C70&amp;ROW())),INDIRECT(C70&amp;ROW()))</f>
        <v>60737</v>
      </c>
      <c r="N476">
        <v>60737</v>
      </c>
      <c r="O476" t="s">
        <v>36</v>
      </c>
      <c r="P476" t="s">
        <v>924</v>
      </c>
      <c r="Q476" t="s">
        <v>16</v>
      </c>
      <c r="R476" t="s">
        <v>783</v>
      </c>
      <c r="S476" t="s">
        <v>552</v>
      </c>
      <c r="U476" s="6">
        <v>42157.115648148145</v>
      </c>
      <c r="V476" t="s">
        <v>18</v>
      </c>
      <c r="W476" t="s">
        <v>783</v>
      </c>
      <c r="X476" s="6">
        <v>42111.305277777778</v>
      </c>
      <c r="Y476" t="s">
        <v>119</v>
      </c>
      <c r="AB476" t="s">
        <v>200</v>
      </c>
      <c r="AC476" t="s">
        <v>247</v>
      </c>
      <c r="AD476" t="s">
        <v>220</v>
      </c>
      <c r="AE476" t="s">
        <v>223</v>
      </c>
      <c r="AG476" t="s">
        <v>121</v>
      </c>
      <c r="AH476" t="s">
        <v>327</v>
      </c>
      <c r="AI476" t="s">
        <v>121</v>
      </c>
      <c r="AJ476" t="s">
        <v>716</v>
      </c>
      <c r="AK476" t="s">
        <v>121</v>
      </c>
    </row>
    <row r="477" spans="9:37" x14ac:dyDescent="0.3">
      <c r="I477">
        <f ca="1">IF(OR(INDIRECT(A73&amp;ROW())=B93,INDIRECT(A73&amp;ROW())=B94),1,IF(AND(INDIRECT(A73&amp;ROW())=B95,INDIRECT(A96&amp;ROW())=C93),1,IF(AND(INDIRECT(A73&amp;ROW())=B95,INDIRECT(A96&amp;ROW())=C94),1,0)))</f>
        <v>0</v>
      </c>
      <c r="J477">
        <f ca="1">IF(AND(INDIRECT(A73&amp;ROW())=B95,INDIRECT(A96&amp;ROW())=C95),1,IF(AND(INDIRECT(A73&amp;ROW())=B95,INDIRECT(A96&amp;ROW())=C96),1,0))</f>
        <v>0</v>
      </c>
      <c r="K477">
        <f ca="1">DAYS360(INDIRECT(C68&amp;ROW()),TODAY())</f>
        <v>690</v>
      </c>
      <c r="L477">
        <f ca="1">DAYS360(INDIRECT(C69&amp;ROW()),TODAY())</f>
        <v>735</v>
      </c>
      <c r="M477">
        <f ca="1">HYPERLINK(CONCATENATE("https://bugzilla.houston.hp.com:1181/bugzilla/show_bug.cgi?id=",INDIRECT(C70&amp;ROW())),INDIRECT(C70&amp;ROW()))</f>
        <v>60738</v>
      </c>
      <c r="N477">
        <v>60738</v>
      </c>
      <c r="O477" t="s">
        <v>36</v>
      </c>
      <c r="P477" t="s">
        <v>923</v>
      </c>
      <c r="Q477" t="s">
        <v>16</v>
      </c>
      <c r="R477" t="s">
        <v>248</v>
      </c>
      <c r="S477" t="s">
        <v>552</v>
      </c>
      <c r="U477" s="6">
        <v>42157.116249999999</v>
      </c>
      <c r="V477" t="s">
        <v>18</v>
      </c>
      <c r="W477" t="s">
        <v>783</v>
      </c>
      <c r="X477" s="6">
        <v>42111.305381944447</v>
      </c>
      <c r="Y477" t="s">
        <v>119</v>
      </c>
      <c r="AB477" t="s">
        <v>200</v>
      </c>
      <c r="AC477" t="s">
        <v>247</v>
      </c>
      <c r="AD477" t="s">
        <v>220</v>
      </c>
      <c r="AE477" t="s">
        <v>223</v>
      </c>
      <c r="AG477" t="s">
        <v>121</v>
      </c>
      <c r="AH477" t="s">
        <v>327</v>
      </c>
      <c r="AI477" t="s">
        <v>121</v>
      </c>
      <c r="AJ477" t="s">
        <v>716</v>
      </c>
      <c r="AK477" t="s">
        <v>121</v>
      </c>
    </row>
    <row r="478" spans="9:37" x14ac:dyDescent="0.3">
      <c r="I478">
        <f ca="1">IF(OR(INDIRECT(A73&amp;ROW())=B93,INDIRECT(A73&amp;ROW())=B94),1,IF(AND(INDIRECT(A73&amp;ROW())=B95,INDIRECT(A96&amp;ROW())=C93),1,IF(AND(INDIRECT(A73&amp;ROW())=B95,INDIRECT(A96&amp;ROW())=C94),1,0)))</f>
        <v>0</v>
      </c>
      <c r="J478">
        <f ca="1">IF(AND(INDIRECT(A73&amp;ROW())=B95,INDIRECT(A96&amp;ROW())=C95),1,IF(AND(INDIRECT(A73&amp;ROW())=B95,INDIRECT(A96&amp;ROW())=C96),1,0))</f>
        <v>1</v>
      </c>
      <c r="K478">
        <f ca="1">DAYS360(INDIRECT(C68&amp;ROW()),TODAY())</f>
        <v>731</v>
      </c>
      <c r="L478">
        <f ca="1">DAYS360(INDIRECT(C69&amp;ROW()),TODAY())</f>
        <v>731</v>
      </c>
      <c r="M478">
        <f ca="1">HYPERLINK(CONCATENATE("https://bugzilla.houston.hp.com:1181/bugzilla/show_bug.cgi?id=",INDIRECT(C70&amp;ROW())),INDIRECT(C70&amp;ROW()))</f>
        <v>60985</v>
      </c>
      <c r="N478">
        <v>60985</v>
      </c>
      <c r="O478" t="s">
        <v>56</v>
      </c>
      <c r="P478" t="s">
        <v>965</v>
      </c>
      <c r="Q478" t="s">
        <v>25</v>
      </c>
      <c r="R478" t="s">
        <v>783</v>
      </c>
      <c r="S478" t="s">
        <v>552</v>
      </c>
      <c r="U478" s="6">
        <v>42115.683530092596</v>
      </c>
      <c r="V478" t="s">
        <v>18</v>
      </c>
      <c r="W478" t="s">
        <v>173</v>
      </c>
      <c r="X478" s="6">
        <v>42115.683530092596</v>
      </c>
      <c r="Y478" t="s">
        <v>255</v>
      </c>
      <c r="AB478" t="s">
        <v>201</v>
      </c>
      <c r="AC478" t="s">
        <v>216</v>
      </c>
      <c r="AD478" t="s">
        <v>222</v>
      </c>
      <c r="AE478" t="s">
        <v>221</v>
      </c>
      <c r="AG478" t="s">
        <v>121</v>
      </c>
      <c r="AH478" t="s">
        <v>327</v>
      </c>
      <c r="AI478" t="s">
        <v>362</v>
      </c>
      <c r="AJ478" t="s">
        <v>716</v>
      </c>
      <c r="AK478" t="s">
        <v>121</v>
      </c>
    </row>
    <row r="479" spans="9:37" x14ac:dyDescent="0.3">
      <c r="I479">
        <f ca="1">IF(OR(INDIRECT(A73&amp;ROW())=B93,INDIRECT(A73&amp;ROW())=B94),1,IF(AND(INDIRECT(A73&amp;ROW())=B95,INDIRECT(A96&amp;ROW())=C93),1,IF(AND(INDIRECT(A73&amp;ROW())=B95,INDIRECT(A96&amp;ROW())=C94),1,0)))</f>
        <v>0</v>
      </c>
      <c r="J479">
        <f ca="1">IF(AND(INDIRECT(A73&amp;ROW())=B95,INDIRECT(A96&amp;ROW())=C95),1,IF(AND(INDIRECT(A73&amp;ROW())=B95,INDIRECT(A96&amp;ROW())=C96),1,0))</f>
        <v>1</v>
      </c>
      <c r="K479">
        <f ca="1">DAYS360(INDIRECT(C68&amp;ROW()),TODAY())</f>
        <v>724</v>
      </c>
      <c r="L479">
        <f ca="1">DAYS360(INDIRECT(C69&amp;ROW()),TODAY())</f>
        <v>731</v>
      </c>
      <c r="M479">
        <f ca="1">HYPERLINK(CONCATENATE("https://bugzilla.houston.hp.com:1181/bugzilla/show_bug.cgi?id=",INDIRECT(C70&amp;ROW())),INDIRECT(C70&amp;ROW()))</f>
        <v>60997</v>
      </c>
      <c r="N479">
        <v>60997</v>
      </c>
      <c r="O479" t="s">
        <v>42</v>
      </c>
      <c r="P479" t="s">
        <v>964</v>
      </c>
      <c r="Q479" t="s">
        <v>25</v>
      </c>
      <c r="R479" t="s">
        <v>783</v>
      </c>
      <c r="S479" t="s">
        <v>552</v>
      </c>
      <c r="U479" s="6">
        <v>42122.35119212963</v>
      </c>
      <c r="V479" t="s">
        <v>18</v>
      </c>
      <c r="W479" t="s">
        <v>17</v>
      </c>
      <c r="X479" s="6">
        <v>42115.90828703704</v>
      </c>
      <c r="Y479" t="s">
        <v>122</v>
      </c>
      <c r="AB479" t="s">
        <v>201</v>
      </c>
      <c r="AC479" t="s">
        <v>247</v>
      </c>
      <c r="AD479" t="s">
        <v>220</v>
      </c>
      <c r="AE479" t="s">
        <v>219</v>
      </c>
      <c r="AG479" t="s">
        <v>121</v>
      </c>
      <c r="AH479" t="s">
        <v>64</v>
      </c>
      <c r="AI479" t="s">
        <v>121</v>
      </c>
      <c r="AJ479" t="s">
        <v>716</v>
      </c>
      <c r="AK479" t="s">
        <v>121</v>
      </c>
    </row>
    <row r="480" spans="9:37" x14ac:dyDescent="0.3">
      <c r="I480">
        <f ca="1">IF(OR(INDIRECT(A73&amp;ROW())=B93,INDIRECT(A73&amp;ROW())=B94),1,IF(AND(INDIRECT(A73&amp;ROW())=B95,INDIRECT(A96&amp;ROW())=C93),1,IF(AND(INDIRECT(A73&amp;ROW())=B95,INDIRECT(A96&amp;ROW())=C94),1,0)))</f>
        <v>0</v>
      </c>
      <c r="J480">
        <f ca="1">IF(AND(INDIRECT(A73&amp;ROW())=B95,INDIRECT(A96&amp;ROW())=C95),1,IF(AND(INDIRECT(A73&amp;ROW())=B95,INDIRECT(A96&amp;ROW())=C96),1,0))</f>
        <v>1</v>
      </c>
      <c r="K480">
        <f ca="1">DAYS360(INDIRECT(C68&amp;ROW()),TODAY())</f>
        <v>731</v>
      </c>
      <c r="L480">
        <f ca="1">DAYS360(INDIRECT(C69&amp;ROW()),TODAY())</f>
        <v>731</v>
      </c>
      <c r="M480">
        <f ca="1">HYPERLINK(CONCATENATE("https://bugzilla.houston.hp.com:1181/bugzilla/show_bug.cgi?id=",INDIRECT(C70&amp;ROW())),INDIRECT(C70&amp;ROW()))</f>
        <v>61003</v>
      </c>
      <c r="N480">
        <v>61003</v>
      </c>
      <c r="O480" t="s">
        <v>50</v>
      </c>
      <c r="P480" t="s">
        <v>963</v>
      </c>
      <c r="Q480" t="s">
        <v>25</v>
      </c>
      <c r="R480" t="s">
        <v>783</v>
      </c>
      <c r="S480" t="s">
        <v>552</v>
      </c>
      <c r="U480" s="6">
        <v>42115.913449074076</v>
      </c>
      <c r="V480" t="s">
        <v>18</v>
      </c>
      <c r="W480" t="s">
        <v>17</v>
      </c>
      <c r="X480" s="6">
        <v>42115.913449074076</v>
      </c>
      <c r="Y480" t="s">
        <v>119</v>
      </c>
      <c r="AA480" t="s">
        <v>184</v>
      </c>
      <c r="AB480" t="s">
        <v>201</v>
      </c>
      <c r="AC480" t="s">
        <v>247</v>
      </c>
      <c r="AD480" t="s">
        <v>227</v>
      </c>
      <c r="AE480" t="s">
        <v>370</v>
      </c>
      <c r="AG480" t="s">
        <v>121</v>
      </c>
      <c r="AH480" t="s">
        <v>327</v>
      </c>
      <c r="AI480" t="s">
        <v>121</v>
      </c>
      <c r="AJ480" t="s">
        <v>716</v>
      </c>
      <c r="AK480" t="s">
        <v>121</v>
      </c>
    </row>
    <row r="481" spans="9:37" x14ac:dyDescent="0.3">
      <c r="I481">
        <f ca="1">IF(OR(INDIRECT(A73&amp;ROW())=B93,INDIRECT(A73&amp;ROW())=B94),1,IF(AND(INDIRECT(A73&amp;ROW())=B95,INDIRECT(A96&amp;ROW())=C93),1,IF(AND(INDIRECT(A73&amp;ROW())=B95,INDIRECT(A96&amp;ROW())=C94),1,0)))</f>
        <v>1</v>
      </c>
      <c r="J481">
        <f ca="1">IF(AND(INDIRECT(A73&amp;ROW())=B95,INDIRECT(A96&amp;ROW())=C95),1,IF(AND(INDIRECT(A73&amp;ROW())=B95,INDIRECT(A96&amp;ROW())=C96),1,0))</f>
        <v>0</v>
      </c>
      <c r="K481">
        <f ca="1">DAYS360(INDIRECT(C68&amp;ROW()),TODAY())</f>
        <v>702</v>
      </c>
      <c r="L481">
        <f ca="1">DAYS360(INDIRECT(C69&amp;ROW()),TODAY())</f>
        <v>730</v>
      </c>
      <c r="M481">
        <f ca="1">HYPERLINK(CONCATENATE("https://bugzilla.houston.hp.com:1181/bugzilla/show_bug.cgi?id=",INDIRECT(C70&amp;ROW())),INDIRECT(C70&amp;ROW()))</f>
        <v>61076</v>
      </c>
      <c r="N481">
        <v>61076</v>
      </c>
      <c r="O481" t="s">
        <v>94</v>
      </c>
      <c r="P481" t="s">
        <v>962</v>
      </c>
      <c r="Q481" t="s">
        <v>39</v>
      </c>
      <c r="R481" t="s">
        <v>783</v>
      </c>
      <c r="S481" t="s">
        <v>552</v>
      </c>
      <c r="T481" t="s">
        <v>782</v>
      </c>
      <c r="U481" s="6">
        <v>42144.539004629631</v>
      </c>
      <c r="V481" t="s">
        <v>18</v>
      </c>
      <c r="W481" t="s">
        <v>17</v>
      </c>
      <c r="X481" s="6">
        <v>42116.453148148146</v>
      </c>
      <c r="Y481" t="s">
        <v>119</v>
      </c>
      <c r="AB481" t="s">
        <v>201</v>
      </c>
      <c r="AC481" t="s">
        <v>121</v>
      </c>
      <c r="AD481" t="s">
        <v>227</v>
      </c>
      <c r="AE481" t="s">
        <v>231</v>
      </c>
      <c r="AG481" t="s">
        <v>337</v>
      </c>
      <c r="AH481" t="s">
        <v>64</v>
      </c>
      <c r="AI481" t="s">
        <v>121</v>
      </c>
      <c r="AJ481" t="s">
        <v>715</v>
      </c>
      <c r="AK481" t="s">
        <v>121</v>
      </c>
    </row>
    <row r="482" spans="9:37" x14ac:dyDescent="0.3">
      <c r="I482">
        <f ca="1">IF(OR(INDIRECT(A73&amp;ROW())=B93,INDIRECT(A73&amp;ROW())=B94),1,IF(AND(INDIRECT(A73&amp;ROW())=B95,INDIRECT(A96&amp;ROW())=C93),1,IF(AND(INDIRECT(A73&amp;ROW())=B95,INDIRECT(A96&amp;ROW())=C94),1,0)))</f>
        <v>1</v>
      </c>
      <c r="J482">
        <f ca="1">IF(AND(INDIRECT(A73&amp;ROW())=B95,INDIRECT(A96&amp;ROW())=C95),1,IF(AND(INDIRECT(A73&amp;ROW())=B95,INDIRECT(A96&amp;ROW())=C96),1,0))</f>
        <v>0</v>
      </c>
      <c r="K482">
        <f ca="1">DAYS360(INDIRECT(C68&amp;ROW()),TODAY())</f>
        <v>702</v>
      </c>
      <c r="L482">
        <f ca="1">DAYS360(INDIRECT(C69&amp;ROW()),TODAY())</f>
        <v>730</v>
      </c>
      <c r="M482">
        <f ca="1">HYPERLINK(CONCATENATE("https://bugzilla.houston.hp.com:1181/bugzilla/show_bug.cgi?id=",INDIRECT(C70&amp;ROW())),INDIRECT(C70&amp;ROW()))</f>
        <v>61077</v>
      </c>
      <c r="N482">
        <v>61077</v>
      </c>
      <c r="O482" t="s">
        <v>298</v>
      </c>
      <c r="P482" t="s">
        <v>961</v>
      </c>
      <c r="Q482" t="s">
        <v>39</v>
      </c>
      <c r="R482" t="s">
        <v>783</v>
      </c>
      <c r="S482" t="s">
        <v>552</v>
      </c>
      <c r="U482" s="6">
        <v>42144.523518518516</v>
      </c>
      <c r="V482" t="s">
        <v>18</v>
      </c>
      <c r="W482" t="s">
        <v>17</v>
      </c>
      <c r="X482" s="6">
        <v>42116.453344907408</v>
      </c>
      <c r="Y482" t="s">
        <v>119</v>
      </c>
      <c r="AB482" t="s">
        <v>201</v>
      </c>
      <c r="AC482" t="s">
        <v>247</v>
      </c>
      <c r="AD482" t="s">
        <v>227</v>
      </c>
      <c r="AE482" t="s">
        <v>231</v>
      </c>
      <c r="AG482" t="s">
        <v>337</v>
      </c>
      <c r="AH482" t="s">
        <v>327</v>
      </c>
      <c r="AI482" t="s">
        <v>121</v>
      </c>
      <c r="AJ482" t="s">
        <v>715</v>
      </c>
      <c r="AK482" t="s">
        <v>121</v>
      </c>
    </row>
    <row r="483" spans="9:37" x14ac:dyDescent="0.3">
      <c r="I483">
        <f ca="1">IF(OR(INDIRECT(A73&amp;ROW())=B93,INDIRECT(A73&amp;ROW())=B94),1,IF(AND(INDIRECT(A73&amp;ROW())=B95,INDIRECT(A96&amp;ROW())=C93),1,IF(AND(INDIRECT(A73&amp;ROW())=B95,INDIRECT(A96&amp;ROW())=C94),1,0)))</f>
        <v>1</v>
      </c>
      <c r="J483">
        <f ca="1">IF(AND(INDIRECT(A73&amp;ROW())=B95,INDIRECT(A96&amp;ROW())=C95),1,IF(AND(INDIRECT(A73&amp;ROW())=B95,INDIRECT(A96&amp;ROW())=C96),1,0))</f>
        <v>0</v>
      </c>
      <c r="K483">
        <f ca="1">DAYS360(INDIRECT(C68&amp;ROW()),TODAY())</f>
        <v>681</v>
      </c>
      <c r="L483">
        <f ca="1">DAYS360(INDIRECT(C69&amp;ROW()),TODAY())</f>
        <v>730</v>
      </c>
      <c r="M483">
        <f ca="1">HYPERLINK(CONCATENATE("https://bugzilla.houston.hp.com:1181/bugzilla/show_bug.cgi?id=",INDIRECT(C70&amp;ROW())),INDIRECT(C70&amp;ROW()))</f>
        <v>61079</v>
      </c>
      <c r="N483">
        <v>61079</v>
      </c>
      <c r="O483" t="s">
        <v>241</v>
      </c>
      <c r="P483" t="s">
        <v>960</v>
      </c>
      <c r="Q483" t="s">
        <v>39</v>
      </c>
      <c r="R483" t="s">
        <v>783</v>
      </c>
      <c r="S483" t="s">
        <v>552</v>
      </c>
      <c r="T483" t="s">
        <v>932</v>
      </c>
      <c r="U483" s="6">
        <v>42166.272569444445</v>
      </c>
      <c r="V483" t="s">
        <v>18</v>
      </c>
      <c r="W483" t="s">
        <v>17</v>
      </c>
      <c r="X483" s="6">
        <v>42116.453750000001</v>
      </c>
      <c r="Y483" t="s">
        <v>535</v>
      </c>
      <c r="AB483" t="s">
        <v>201</v>
      </c>
      <c r="AC483" t="s">
        <v>247</v>
      </c>
      <c r="AD483" t="s">
        <v>222</v>
      </c>
      <c r="AE483" t="s">
        <v>221</v>
      </c>
      <c r="AG483" t="s">
        <v>1082</v>
      </c>
      <c r="AH483" t="s">
        <v>327</v>
      </c>
      <c r="AI483" t="s">
        <v>121</v>
      </c>
      <c r="AJ483" t="s">
        <v>715</v>
      </c>
      <c r="AK483" t="s">
        <v>121</v>
      </c>
    </row>
    <row r="484" spans="9:37" x14ac:dyDescent="0.3">
      <c r="I484">
        <f ca="1">IF(OR(INDIRECT(A73&amp;ROW())=B93,INDIRECT(A73&amp;ROW())=B94),1,IF(AND(INDIRECT(A73&amp;ROW())=B95,INDIRECT(A96&amp;ROW())=C93),1,IF(AND(INDIRECT(A73&amp;ROW())=B95,INDIRECT(A96&amp;ROW())=C94),1,0)))</f>
        <v>1</v>
      </c>
      <c r="J484">
        <f ca="1">IF(AND(INDIRECT(A73&amp;ROW())=B95,INDIRECT(A96&amp;ROW())=C95),1,IF(AND(INDIRECT(A73&amp;ROW())=B95,INDIRECT(A96&amp;ROW())=C96),1,0))</f>
        <v>0</v>
      </c>
      <c r="K484">
        <f ca="1">DAYS360(INDIRECT(C68&amp;ROW()),TODAY())</f>
        <v>702</v>
      </c>
      <c r="L484">
        <f ca="1">DAYS360(INDIRECT(C69&amp;ROW()),TODAY())</f>
        <v>730</v>
      </c>
      <c r="M484">
        <f ca="1">HYPERLINK(CONCATENATE("https://bugzilla.houston.hp.com:1181/bugzilla/show_bug.cgi?id=",INDIRECT(C70&amp;ROW())),INDIRECT(C70&amp;ROW()))</f>
        <v>61082</v>
      </c>
      <c r="N484">
        <v>61082</v>
      </c>
      <c r="O484" t="s">
        <v>50</v>
      </c>
      <c r="P484" t="s">
        <v>959</v>
      </c>
      <c r="Q484" t="s">
        <v>25</v>
      </c>
      <c r="R484" t="s">
        <v>783</v>
      </c>
      <c r="S484" t="s">
        <v>552</v>
      </c>
      <c r="T484" t="s">
        <v>782</v>
      </c>
      <c r="U484" s="6">
        <v>42144.538310185184</v>
      </c>
      <c r="V484" t="s">
        <v>18</v>
      </c>
      <c r="W484" t="s">
        <v>17</v>
      </c>
      <c r="X484" s="6">
        <v>42116.454432870371</v>
      </c>
      <c r="Y484" t="s">
        <v>119</v>
      </c>
      <c r="AB484" t="s">
        <v>200</v>
      </c>
      <c r="AC484" t="s">
        <v>121</v>
      </c>
      <c r="AD484" t="s">
        <v>227</v>
      </c>
      <c r="AE484" t="s">
        <v>226</v>
      </c>
      <c r="AG484" t="s">
        <v>337</v>
      </c>
      <c r="AH484" t="s">
        <v>327</v>
      </c>
      <c r="AI484" t="s">
        <v>362</v>
      </c>
      <c r="AJ484" t="s">
        <v>715</v>
      </c>
      <c r="AK484" t="s">
        <v>121</v>
      </c>
    </row>
    <row r="485" spans="9:37" x14ac:dyDescent="0.3">
      <c r="I485">
        <f ca="1">IF(OR(INDIRECT(A73&amp;ROW())=B93,INDIRECT(A73&amp;ROW())=B94),1,IF(AND(INDIRECT(A73&amp;ROW())=B95,INDIRECT(A96&amp;ROW())=C93),1,IF(AND(INDIRECT(A73&amp;ROW())=B95,INDIRECT(A96&amp;ROW())=C94),1,0)))</f>
        <v>1</v>
      </c>
      <c r="J485">
        <f ca="1">IF(AND(INDIRECT(A73&amp;ROW())=B95,INDIRECT(A96&amp;ROW())=C95),1,IF(AND(INDIRECT(A73&amp;ROW())=B95,INDIRECT(A96&amp;ROW())=C96),1,0))</f>
        <v>0</v>
      </c>
      <c r="K485">
        <f ca="1">DAYS360(INDIRECT(C68&amp;ROW()),TODAY())</f>
        <v>688</v>
      </c>
      <c r="L485">
        <f ca="1">DAYS360(INDIRECT(C69&amp;ROW()),TODAY())</f>
        <v>730</v>
      </c>
      <c r="M485">
        <f ca="1">HYPERLINK(CONCATENATE("https://bugzilla.houston.hp.com:1181/bugzilla/show_bug.cgi?id=",INDIRECT(C70&amp;ROW())),INDIRECT(C70&amp;ROW()))</f>
        <v>61083</v>
      </c>
      <c r="N485">
        <v>61083</v>
      </c>
      <c r="O485" t="s">
        <v>66</v>
      </c>
      <c r="P485" t="s">
        <v>958</v>
      </c>
      <c r="Q485" t="s">
        <v>39</v>
      </c>
      <c r="R485" t="s">
        <v>783</v>
      </c>
      <c r="S485" t="s">
        <v>552</v>
      </c>
      <c r="T485" t="s">
        <v>782</v>
      </c>
      <c r="U485" s="6">
        <v>42159.432881944442</v>
      </c>
      <c r="V485" t="s">
        <v>18</v>
      </c>
      <c r="W485" t="s">
        <v>17</v>
      </c>
      <c r="X485" s="6">
        <v>42116.454814814817</v>
      </c>
      <c r="Y485" t="s">
        <v>122</v>
      </c>
      <c r="AB485" t="s">
        <v>201</v>
      </c>
      <c r="AC485" t="s">
        <v>247</v>
      </c>
      <c r="AD485" t="s">
        <v>220</v>
      </c>
      <c r="AE485" t="s">
        <v>219</v>
      </c>
      <c r="AG485" t="s">
        <v>337</v>
      </c>
      <c r="AH485" t="s">
        <v>327</v>
      </c>
      <c r="AI485" t="s">
        <v>121</v>
      </c>
      <c r="AJ485" t="s">
        <v>715</v>
      </c>
      <c r="AK485" t="s">
        <v>121</v>
      </c>
    </row>
    <row r="486" spans="9:37" x14ac:dyDescent="0.3">
      <c r="I486">
        <f ca="1">IF(OR(INDIRECT(A73&amp;ROW())=B93,INDIRECT(A73&amp;ROW())=B94),1,IF(AND(INDIRECT(A73&amp;ROW())=B95,INDIRECT(A96&amp;ROW())=C93),1,IF(AND(INDIRECT(A73&amp;ROW())=B95,INDIRECT(A96&amp;ROW())=C94),1,0)))</f>
        <v>1</v>
      </c>
      <c r="J486">
        <f ca="1">IF(AND(INDIRECT(A73&amp;ROW())=B95,INDIRECT(A96&amp;ROW())=C95),1,IF(AND(INDIRECT(A73&amp;ROW())=B95,INDIRECT(A96&amp;ROW())=C96),1,0))</f>
        <v>0</v>
      </c>
      <c r="K486">
        <f ca="1">DAYS360(INDIRECT(C68&amp;ROW()),TODAY())</f>
        <v>688</v>
      </c>
      <c r="L486">
        <f ca="1">DAYS360(INDIRECT(C69&amp;ROW()),TODAY())</f>
        <v>730</v>
      </c>
      <c r="M486">
        <f ca="1">HYPERLINK(CONCATENATE("https://bugzilla.houston.hp.com:1181/bugzilla/show_bug.cgi?id=",INDIRECT(C70&amp;ROW())),INDIRECT(C70&amp;ROW()))</f>
        <v>61084</v>
      </c>
      <c r="N486">
        <v>61084</v>
      </c>
      <c r="O486" t="s">
        <v>156</v>
      </c>
      <c r="P486" t="s">
        <v>957</v>
      </c>
      <c r="Q486" t="s">
        <v>39</v>
      </c>
      <c r="R486" t="s">
        <v>783</v>
      </c>
      <c r="S486" t="s">
        <v>552</v>
      </c>
      <c r="T486" t="s">
        <v>1072</v>
      </c>
      <c r="U486" s="6">
        <v>42159.43204861111</v>
      </c>
      <c r="V486" t="s">
        <v>40</v>
      </c>
      <c r="W486" t="s">
        <v>17</v>
      </c>
      <c r="X486" s="6">
        <v>42116.455092592594</v>
      </c>
      <c r="Y486" t="s">
        <v>793</v>
      </c>
      <c r="AB486" t="s">
        <v>201</v>
      </c>
      <c r="AC486" t="s">
        <v>247</v>
      </c>
      <c r="AD486" t="s">
        <v>220</v>
      </c>
      <c r="AE486" t="s">
        <v>219</v>
      </c>
      <c r="AG486" t="s">
        <v>337</v>
      </c>
      <c r="AH486" t="s">
        <v>327</v>
      </c>
      <c r="AI486" t="s">
        <v>121</v>
      </c>
      <c r="AJ486" t="s">
        <v>715</v>
      </c>
      <c r="AK486" t="s">
        <v>121</v>
      </c>
    </row>
    <row r="487" spans="9:37" x14ac:dyDescent="0.3">
      <c r="I487">
        <f ca="1">IF(OR(INDIRECT(A73&amp;ROW())=B93,INDIRECT(A73&amp;ROW())=B94),1,IF(AND(INDIRECT(A73&amp;ROW())=B95,INDIRECT(A96&amp;ROW())=C93),1,IF(AND(INDIRECT(A73&amp;ROW())=B95,INDIRECT(A96&amp;ROW())=C94),1,0)))</f>
        <v>1</v>
      </c>
      <c r="J487">
        <f ca="1">IF(AND(INDIRECT(A73&amp;ROW())=B95,INDIRECT(A96&amp;ROW())=C95),1,IF(AND(INDIRECT(A73&amp;ROW())=B95,INDIRECT(A96&amp;ROW())=C96),1,0))</f>
        <v>0</v>
      </c>
      <c r="K487">
        <f ca="1">DAYS360(INDIRECT(C68&amp;ROW()),TODAY())</f>
        <v>676</v>
      </c>
      <c r="L487">
        <f ca="1">DAYS360(INDIRECT(C69&amp;ROW()),TODAY())</f>
        <v>729</v>
      </c>
      <c r="M487">
        <f ca="1">HYPERLINK(CONCATENATE("https://bugzilla.houston.hp.com:1181/bugzilla/show_bug.cgi?id=",INDIRECT(C70&amp;ROW())),INDIRECT(C70&amp;ROW()))</f>
        <v>61184</v>
      </c>
      <c r="N487">
        <v>61184</v>
      </c>
      <c r="O487" t="s">
        <v>55</v>
      </c>
      <c r="P487" t="s">
        <v>1251</v>
      </c>
      <c r="Q487" t="s">
        <v>39</v>
      </c>
      <c r="R487" t="s">
        <v>251</v>
      </c>
      <c r="S487" t="s">
        <v>177</v>
      </c>
      <c r="T487" t="s">
        <v>1058</v>
      </c>
      <c r="U487" s="6">
        <v>42171.172164351854</v>
      </c>
      <c r="V487" t="s">
        <v>35</v>
      </c>
      <c r="W487" t="s">
        <v>783</v>
      </c>
      <c r="X487" s="6">
        <v>42117.455983796295</v>
      </c>
      <c r="Y487" t="s">
        <v>245</v>
      </c>
      <c r="AB487" t="s">
        <v>201</v>
      </c>
      <c r="AC487" t="s">
        <v>247</v>
      </c>
      <c r="AD487" t="s">
        <v>222</v>
      </c>
      <c r="AE487" t="s">
        <v>240</v>
      </c>
      <c r="AG487" t="s">
        <v>121</v>
      </c>
      <c r="AH487" t="s">
        <v>327</v>
      </c>
      <c r="AI487" t="s">
        <v>121</v>
      </c>
      <c r="AJ487" t="s">
        <v>715</v>
      </c>
      <c r="AK487" t="s">
        <v>121</v>
      </c>
    </row>
    <row r="488" spans="9:37" x14ac:dyDescent="0.3">
      <c r="I488">
        <f ca="1">IF(OR(INDIRECT(A73&amp;ROW())=B93,INDIRECT(A73&amp;ROW())=B94),1,IF(AND(INDIRECT(A73&amp;ROW())=B95,INDIRECT(A96&amp;ROW())=C93),1,IF(AND(INDIRECT(A73&amp;ROW())=B95,INDIRECT(A96&amp;ROW())=C94),1,0)))</f>
        <v>0</v>
      </c>
      <c r="J488">
        <f ca="1">IF(AND(INDIRECT(A73&amp;ROW())=B95,INDIRECT(A96&amp;ROW())=C95),1,IF(AND(INDIRECT(A73&amp;ROW())=B95,INDIRECT(A96&amp;ROW())=C96),1,0))</f>
        <v>1</v>
      </c>
      <c r="K488">
        <f ca="1">DAYS360(INDIRECT(C68&amp;ROW()),TODAY())</f>
        <v>728</v>
      </c>
      <c r="L488">
        <f ca="1">DAYS360(INDIRECT(C69&amp;ROW()),TODAY())</f>
        <v>728</v>
      </c>
      <c r="M488">
        <f ca="1">HYPERLINK(CONCATENATE("https://bugzilla.houston.hp.com:1181/bugzilla/show_bug.cgi?id=",INDIRECT(C70&amp;ROW())),INDIRECT(C70&amp;ROW()))</f>
        <v>61236</v>
      </c>
      <c r="N488">
        <v>61236</v>
      </c>
      <c r="O488" t="s">
        <v>66</v>
      </c>
      <c r="P488" t="s">
        <v>956</v>
      </c>
      <c r="Q488" t="s">
        <v>25</v>
      </c>
      <c r="R488" t="s">
        <v>783</v>
      </c>
      <c r="S488" t="s">
        <v>552</v>
      </c>
      <c r="U488" s="6">
        <v>42118.33730324074</v>
      </c>
      <c r="V488" t="s">
        <v>18</v>
      </c>
      <c r="W488" t="s">
        <v>17</v>
      </c>
      <c r="X488" s="6">
        <v>42118.33730324074</v>
      </c>
      <c r="Y488" t="s">
        <v>124</v>
      </c>
      <c r="AB488" t="s">
        <v>201</v>
      </c>
      <c r="AC488" t="s">
        <v>247</v>
      </c>
      <c r="AD488" t="s">
        <v>220</v>
      </c>
      <c r="AE488" t="s">
        <v>219</v>
      </c>
      <c r="AG488" t="s">
        <v>121</v>
      </c>
      <c r="AH488" t="s">
        <v>327</v>
      </c>
      <c r="AI488" t="s">
        <v>121</v>
      </c>
      <c r="AJ488" t="s">
        <v>716</v>
      </c>
      <c r="AK488" t="s">
        <v>121</v>
      </c>
    </row>
    <row r="489" spans="9:37" x14ac:dyDescent="0.3">
      <c r="I489">
        <f ca="1">IF(OR(INDIRECT(A73&amp;ROW())=B93,INDIRECT(A73&amp;ROW())=B94),1,IF(AND(INDIRECT(A73&amp;ROW())=B95,INDIRECT(A96&amp;ROW())=C93),1,IF(AND(INDIRECT(A73&amp;ROW())=B95,INDIRECT(A96&amp;ROW())=C94),1,0)))</f>
        <v>0</v>
      </c>
      <c r="J489">
        <f ca="1">IF(AND(INDIRECT(A73&amp;ROW())=B95,INDIRECT(A96&amp;ROW())=C95),1,IF(AND(INDIRECT(A73&amp;ROW())=B95,INDIRECT(A96&amp;ROW())=C96),1,0))</f>
        <v>1</v>
      </c>
      <c r="K489">
        <f ca="1">DAYS360(INDIRECT(C68&amp;ROW()),TODAY())</f>
        <v>721</v>
      </c>
      <c r="L489">
        <f ca="1">DAYS360(INDIRECT(C69&amp;ROW()),TODAY())</f>
        <v>728</v>
      </c>
      <c r="M489">
        <f ca="1">HYPERLINK(CONCATENATE("https://bugzilla.houston.hp.com:1181/bugzilla/show_bug.cgi?id=",INDIRECT(C70&amp;ROW())),INDIRECT(C70&amp;ROW()))</f>
        <v>61237</v>
      </c>
      <c r="N489">
        <v>61237</v>
      </c>
      <c r="O489" t="s">
        <v>56</v>
      </c>
      <c r="P489" t="s">
        <v>955</v>
      </c>
      <c r="Q489" t="s">
        <v>25</v>
      </c>
      <c r="R489" t="s">
        <v>783</v>
      </c>
      <c r="S489" t="s">
        <v>552</v>
      </c>
      <c r="U489" s="6">
        <v>42125.451805555553</v>
      </c>
      <c r="V489" t="s">
        <v>18</v>
      </c>
      <c r="W489" t="s">
        <v>17</v>
      </c>
      <c r="X489" s="6">
        <v>42118.337488425925</v>
      </c>
      <c r="Y489" t="s">
        <v>122</v>
      </c>
      <c r="AB489" t="s">
        <v>201</v>
      </c>
      <c r="AC489" t="s">
        <v>247</v>
      </c>
      <c r="AD489" t="s">
        <v>220</v>
      </c>
      <c r="AE489" t="s">
        <v>219</v>
      </c>
      <c r="AG489" t="s">
        <v>121</v>
      </c>
      <c r="AH489" t="s">
        <v>327</v>
      </c>
      <c r="AI489" t="s">
        <v>121</v>
      </c>
      <c r="AJ489" t="s">
        <v>716</v>
      </c>
      <c r="AK489" t="s">
        <v>121</v>
      </c>
    </row>
    <row r="490" spans="9:37" x14ac:dyDescent="0.3">
      <c r="I490">
        <f ca="1">IF(OR(INDIRECT(A73&amp;ROW())=B93,INDIRECT(A73&amp;ROW())=B94),1,IF(AND(INDIRECT(A73&amp;ROW())=B95,INDIRECT(A96&amp;ROW())=C93),1,IF(AND(INDIRECT(A73&amp;ROW())=B95,INDIRECT(A96&amp;ROW())=C94),1,0)))</f>
        <v>0</v>
      </c>
      <c r="J490">
        <f ca="1">IF(AND(INDIRECT(A73&amp;ROW())=B95,INDIRECT(A96&amp;ROW())=C95),1,IF(AND(INDIRECT(A73&amp;ROW())=B95,INDIRECT(A96&amp;ROW())=C96),1,0))</f>
        <v>1</v>
      </c>
      <c r="K490">
        <f ca="1">DAYS360(INDIRECT(C68&amp;ROW()),TODAY())</f>
        <v>721</v>
      </c>
      <c r="L490">
        <f ca="1">DAYS360(INDIRECT(C69&amp;ROW()),TODAY())</f>
        <v>728</v>
      </c>
      <c r="M490">
        <f ca="1">HYPERLINK(CONCATENATE("https://bugzilla.houston.hp.com:1181/bugzilla/show_bug.cgi?id=",INDIRECT(C70&amp;ROW())),INDIRECT(C70&amp;ROW()))</f>
        <v>61238</v>
      </c>
      <c r="N490">
        <v>61238</v>
      </c>
      <c r="O490" t="s">
        <v>56</v>
      </c>
      <c r="P490" t="s">
        <v>954</v>
      </c>
      <c r="Q490" t="s">
        <v>25</v>
      </c>
      <c r="R490" t="s">
        <v>783</v>
      </c>
      <c r="S490" t="s">
        <v>552</v>
      </c>
      <c r="U490" s="6">
        <v>42125.451863425929</v>
      </c>
      <c r="V490" t="s">
        <v>18</v>
      </c>
      <c r="W490" t="s">
        <v>17</v>
      </c>
      <c r="X490" s="6">
        <v>42118.337650462963</v>
      </c>
      <c r="Y490" t="s">
        <v>122</v>
      </c>
      <c r="AB490" t="s">
        <v>201</v>
      </c>
      <c r="AC490" t="s">
        <v>247</v>
      </c>
      <c r="AD490" t="s">
        <v>220</v>
      </c>
      <c r="AE490" t="s">
        <v>219</v>
      </c>
      <c r="AG490" t="s">
        <v>121</v>
      </c>
      <c r="AH490" t="s">
        <v>327</v>
      </c>
      <c r="AI490" t="s">
        <v>121</v>
      </c>
      <c r="AJ490" t="s">
        <v>716</v>
      </c>
      <c r="AK490" t="s">
        <v>121</v>
      </c>
    </row>
    <row r="491" spans="9:37" x14ac:dyDescent="0.3">
      <c r="I491">
        <f ca="1">IF(OR(INDIRECT(A73&amp;ROW())=B93,INDIRECT(A73&amp;ROW())=B94),1,IF(AND(INDIRECT(A73&amp;ROW())=B95,INDIRECT(A96&amp;ROW())=C93),1,IF(AND(INDIRECT(A73&amp;ROW())=B95,INDIRECT(A96&amp;ROW())=C94),1,0)))</f>
        <v>0</v>
      </c>
      <c r="J491">
        <f ca="1">IF(AND(INDIRECT(A73&amp;ROW())=B95,INDIRECT(A96&amp;ROW())=C95),1,IF(AND(INDIRECT(A73&amp;ROW())=B95,INDIRECT(A96&amp;ROW())=C96),1,0))</f>
        <v>1</v>
      </c>
      <c r="K491">
        <f ca="1">DAYS360(INDIRECT(C68&amp;ROW()),TODAY())</f>
        <v>721</v>
      </c>
      <c r="L491">
        <f ca="1">DAYS360(INDIRECT(C69&amp;ROW()),TODAY())</f>
        <v>728</v>
      </c>
      <c r="M491">
        <f ca="1">HYPERLINK(CONCATENATE("https://bugzilla.houston.hp.com:1181/bugzilla/show_bug.cgi?id=",INDIRECT(C70&amp;ROW())),INDIRECT(C70&amp;ROW()))</f>
        <v>61239</v>
      </c>
      <c r="N491">
        <v>61239</v>
      </c>
      <c r="O491" t="s">
        <v>56</v>
      </c>
      <c r="P491" t="s">
        <v>953</v>
      </c>
      <c r="Q491" t="s">
        <v>25</v>
      </c>
      <c r="R491" t="s">
        <v>783</v>
      </c>
      <c r="S491" t="s">
        <v>552</v>
      </c>
      <c r="U491" s="6">
        <v>42125.452974537038</v>
      </c>
      <c r="V491" t="s">
        <v>18</v>
      </c>
      <c r="W491" t="s">
        <v>17</v>
      </c>
      <c r="X491" s="6">
        <v>42118.337824074071</v>
      </c>
      <c r="Y491" t="s">
        <v>122</v>
      </c>
      <c r="AB491" t="s">
        <v>201</v>
      </c>
      <c r="AC491" t="s">
        <v>247</v>
      </c>
      <c r="AD491" t="s">
        <v>220</v>
      </c>
      <c r="AE491" t="s">
        <v>219</v>
      </c>
      <c r="AG491" t="s">
        <v>121</v>
      </c>
      <c r="AH491" t="s">
        <v>327</v>
      </c>
      <c r="AI491" t="s">
        <v>121</v>
      </c>
      <c r="AJ491" t="s">
        <v>716</v>
      </c>
      <c r="AK491" t="s">
        <v>121</v>
      </c>
    </row>
    <row r="492" spans="9:37" x14ac:dyDescent="0.3">
      <c r="I492">
        <f ca="1">IF(OR(INDIRECT(A73&amp;ROW())=B93,INDIRECT(A73&amp;ROW())=B94),1,IF(AND(INDIRECT(A73&amp;ROW())=B95,INDIRECT(A96&amp;ROW())=C93),1,IF(AND(INDIRECT(A73&amp;ROW())=B95,INDIRECT(A96&amp;ROW())=C94),1,0)))</f>
        <v>0</v>
      </c>
      <c r="J492">
        <f ca="1">IF(AND(INDIRECT(A73&amp;ROW())=B95,INDIRECT(A96&amp;ROW())=C95),1,IF(AND(INDIRECT(A73&amp;ROW())=B95,INDIRECT(A96&amp;ROW())=C96),1,0))</f>
        <v>1</v>
      </c>
      <c r="K492">
        <f ca="1">DAYS360(INDIRECT(C68&amp;ROW()),TODAY())</f>
        <v>721</v>
      </c>
      <c r="L492">
        <f ca="1">DAYS360(INDIRECT(C69&amp;ROW()),TODAY())</f>
        <v>728</v>
      </c>
      <c r="M492">
        <f ca="1">HYPERLINK(CONCATENATE("https://bugzilla.houston.hp.com:1181/bugzilla/show_bug.cgi?id=",INDIRECT(C70&amp;ROW())),INDIRECT(C70&amp;ROW()))</f>
        <v>61240</v>
      </c>
      <c r="N492">
        <v>61240</v>
      </c>
      <c r="O492" t="s">
        <v>56</v>
      </c>
      <c r="P492" t="s">
        <v>952</v>
      </c>
      <c r="Q492" t="s">
        <v>25</v>
      </c>
      <c r="R492" t="s">
        <v>783</v>
      </c>
      <c r="S492" t="s">
        <v>552</v>
      </c>
      <c r="U492" s="6">
        <v>42125.452939814815</v>
      </c>
      <c r="V492" t="s">
        <v>18</v>
      </c>
      <c r="W492" t="s">
        <v>17</v>
      </c>
      <c r="X492" s="6">
        <v>42118.33797453704</v>
      </c>
      <c r="Y492" t="s">
        <v>122</v>
      </c>
      <c r="AB492" t="s">
        <v>201</v>
      </c>
      <c r="AC492" t="s">
        <v>247</v>
      </c>
      <c r="AD492" t="s">
        <v>220</v>
      </c>
      <c r="AE492" t="s">
        <v>219</v>
      </c>
      <c r="AG492" t="s">
        <v>121</v>
      </c>
      <c r="AH492" t="s">
        <v>327</v>
      </c>
      <c r="AI492" t="s">
        <v>121</v>
      </c>
      <c r="AJ492" t="s">
        <v>716</v>
      </c>
      <c r="AK492" t="s">
        <v>121</v>
      </c>
    </row>
    <row r="493" spans="9:37" x14ac:dyDescent="0.3">
      <c r="I493">
        <f ca="1">IF(OR(INDIRECT(A73&amp;ROW())=B93,INDIRECT(A73&amp;ROW())=B94),1,IF(AND(INDIRECT(A73&amp;ROW())=B95,INDIRECT(A96&amp;ROW())=C93),1,IF(AND(INDIRECT(A73&amp;ROW())=B95,INDIRECT(A96&amp;ROW())=C94),1,0)))</f>
        <v>0</v>
      </c>
      <c r="J493">
        <f ca="1">IF(AND(INDIRECT(A73&amp;ROW())=B95,INDIRECT(A96&amp;ROW())=C95),1,IF(AND(INDIRECT(A73&amp;ROW())=B95,INDIRECT(A96&amp;ROW())=C96),1,0))</f>
        <v>1</v>
      </c>
      <c r="K493">
        <f ca="1">DAYS360(INDIRECT(C68&amp;ROW()),TODAY())</f>
        <v>728</v>
      </c>
      <c r="L493">
        <f ca="1">DAYS360(INDIRECT(C69&amp;ROW()),TODAY())</f>
        <v>728</v>
      </c>
      <c r="M493">
        <f ca="1">HYPERLINK(CONCATENATE("https://bugzilla.houston.hp.com:1181/bugzilla/show_bug.cgi?id=",INDIRECT(C70&amp;ROW())),INDIRECT(C70&amp;ROW()))</f>
        <v>61241</v>
      </c>
      <c r="N493">
        <v>61241</v>
      </c>
      <c r="O493" t="s">
        <v>56</v>
      </c>
      <c r="P493" t="s">
        <v>951</v>
      </c>
      <c r="Q493" t="s">
        <v>25</v>
      </c>
      <c r="R493" t="s">
        <v>783</v>
      </c>
      <c r="S493" t="s">
        <v>552</v>
      </c>
      <c r="U493" s="6">
        <v>42118.338229166664</v>
      </c>
      <c r="V493" t="s">
        <v>18</v>
      </c>
      <c r="W493" t="s">
        <v>17</v>
      </c>
      <c r="X493" s="6">
        <v>42118.338229166664</v>
      </c>
      <c r="Y493" t="s">
        <v>788</v>
      </c>
      <c r="AB493" t="s">
        <v>201</v>
      </c>
      <c r="AC493" t="s">
        <v>247</v>
      </c>
      <c r="AD493" t="s">
        <v>220</v>
      </c>
      <c r="AE493" t="s">
        <v>219</v>
      </c>
      <c r="AG493" t="s">
        <v>121</v>
      </c>
      <c r="AH493" t="s">
        <v>327</v>
      </c>
      <c r="AI493" t="s">
        <v>121</v>
      </c>
      <c r="AJ493" t="s">
        <v>716</v>
      </c>
      <c r="AK493" t="s">
        <v>121</v>
      </c>
    </row>
    <row r="494" spans="9:37" x14ac:dyDescent="0.3">
      <c r="I494">
        <f ca="1">IF(OR(INDIRECT(A73&amp;ROW())=B93,INDIRECT(A73&amp;ROW())=B94),1,IF(AND(INDIRECT(A73&amp;ROW())=B95,INDIRECT(A96&amp;ROW())=C93),1,IF(AND(INDIRECT(A73&amp;ROW())=B95,INDIRECT(A96&amp;ROW())=C94),1,0)))</f>
        <v>0</v>
      </c>
      <c r="J494">
        <f ca="1">IF(AND(INDIRECT(A73&amp;ROW())=B95,INDIRECT(A96&amp;ROW())=C95),1,IF(AND(INDIRECT(A73&amp;ROW())=B95,INDIRECT(A96&amp;ROW())=C96),1,0))</f>
        <v>1</v>
      </c>
      <c r="K494">
        <f ca="1">DAYS360(INDIRECT(C68&amp;ROW()),TODAY())</f>
        <v>721</v>
      </c>
      <c r="L494">
        <f ca="1">DAYS360(INDIRECT(C69&amp;ROW()),TODAY())</f>
        <v>728</v>
      </c>
      <c r="M494">
        <f ca="1">HYPERLINK(CONCATENATE("https://bugzilla.houston.hp.com:1181/bugzilla/show_bug.cgi?id=",INDIRECT(C70&amp;ROW())),INDIRECT(C70&amp;ROW()))</f>
        <v>61242</v>
      </c>
      <c r="N494">
        <v>61242</v>
      </c>
      <c r="O494" t="s">
        <v>56</v>
      </c>
      <c r="P494" t="s">
        <v>950</v>
      </c>
      <c r="Q494" t="s">
        <v>25</v>
      </c>
      <c r="R494" t="s">
        <v>783</v>
      </c>
      <c r="S494" t="s">
        <v>552</v>
      </c>
      <c r="U494" s="6">
        <v>42125.45175925926</v>
      </c>
      <c r="V494" t="s">
        <v>18</v>
      </c>
      <c r="W494" t="s">
        <v>17</v>
      </c>
      <c r="X494" s="6">
        <v>42118.338460648149</v>
      </c>
      <c r="Y494" t="s">
        <v>122</v>
      </c>
      <c r="AB494" t="s">
        <v>201</v>
      </c>
      <c r="AC494" t="s">
        <v>247</v>
      </c>
      <c r="AD494" t="s">
        <v>220</v>
      </c>
      <c r="AE494" t="s">
        <v>219</v>
      </c>
      <c r="AG494" t="s">
        <v>121</v>
      </c>
      <c r="AH494" t="s">
        <v>327</v>
      </c>
      <c r="AI494" t="s">
        <v>121</v>
      </c>
      <c r="AJ494" t="s">
        <v>716</v>
      </c>
      <c r="AK494" t="s">
        <v>121</v>
      </c>
    </row>
    <row r="495" spans="9:37" x14ac:dyDescent="0.3">
      <c r="I495">
        <f ca="1">IF(OR(INDIRECT(A73&amp;ROW())=B93,INDIRECT(A73&amp;ROW())=B94),1,IF(AND(INDIRECT(A73&amp;ROW())=B95,INDIRECT(A96&amp;ROW())=C93),1,IF(AND(INDIRECT(A73&amp;ROW())=B95,INDIRECT(A96&amp;ROW())=C94),1,0)))</f>
        <v>1</v>
      </c>
      <c r="J495">
        <f ca="1">IF(AND(INDIRECT(A73&amp;ROW())=B95,INDIRECT(A96&amp;ROW())=C95),1,IF(AND(INDIRECT(A73&amp;ROW())=B95,INDIRECT(A96&amp;ROW())=C96),1,0))</f>
        <v>0</v>
      </c>
      <c r="K495">
        <f ca="1">DAYS360(INDIRECT(C68&amp;ROW()),TODAY())</f>
        <v>691</v>
      </c>
      <c r="L495">
        <f ca="1">DAYS360(INDIRECT(C69&amp;ROW()),TODAY())</f>
        <v>728</v>
      </c>
      <c r="M495">
        <f ca="1">HYPERLINK(CONCATENATE("https://bugzilla.houston.hp.com:1181/bugzilla/show_bug.cgi?id=",INDIRECT(C70&amp;ROW())),INDIRECT(C70&amp;ROW()))</f>
        <v>61246</v>
      </c>
      <c r="N495">
        <v>61246</v>
      </c>
      <c r="O495" t="s">
        <v>53</v>
      </c>
      <c r="P495" t="s">
        <v>946</v>
      </c>
      <c r="Q495" t="s">
        <v>39</v>
      </c>
      <c r="R495" t="s">
        <v>783</v>
      </c>
      <c r="S495" t="s">
        <v>552</v>
      </c>
      <c r="U495" s="6">
        <v>42156.614560185182</v>
      </c>
      <c r="V495" t="s">
        <v>18</v>
      </c>
      <c r="W495" t="s">
        <v>17</v>
      </c>
      <c r="X495" s="6">
        <v>42118.339432870373</v>
      </c>
      <c r="Y495" t="s">
        <v>119</v>
      </c>
      <c r="AB495" t="s">
        <v>201</v>
      </c>
      <c r="AC495" t="s">
        <v>247</v>
      </c>
      <c r="AD495" t="s">
        <v>220</v>
      </c>
      <c r="AE495" t="s">
        <v>219</v>
      </c>
      <c r="AG495" t="s">
        <v>337</v>
      </c>
      <c r="AH495" t="s">
        <v>64</v>
      </c>
      <c r="AI495" t="s">
        <v>121</v>
      </c>
      <c r="AJ495" t="s">
        <v>715</v>
      </c>
      <c r="AK495" t="s">
        <v>121</v>
      </c>
    </row>
    <row r="496" spans="9:37" x14ac:dyDescent="0.3">
      <c r="I496">
        <f ca="1">IF(OR(INDIRECT(A73&amp;ROW())=B93,INDIRECT(A73&amp;ROW())=B94),1,IF(AND(INDIRECT(A73&amp;ROW())=B95,INDIRECT(A96&amp;ROW())=C93),1,IF(AND(INDIRECT(A73&amp;ROW())=B95,INDIRECT(A96&amp;ROW())=C94),1,0)))</f>
        <v>0</v>
      </c>
      <c r="J496">
        <f ca="1">IF(AND(INDIRECT(A73&amp;ROW())=B95,INDIRECT(A96&amp;ROW())=C95),1,IF(AND(INDIRECT(A73&amp;ROW())=B95,INDIRECT(A96&amp;ROW())=C96),1,0))</f>
        <v>1</v>
      </c>
      <c r="K496">
        <f ca="1">DAYS360(INDIRECT(C68&amp;ROW()),TODAY())</f>
        <v>682</v>
      </c>
      <c r="L496">
        <f ca="1">DAYS360(INDIRECT(C69&amp;ROW()),TODAY())</f>
        <v>728</v>
      </c>
      <c r="M496">
        <f ca="1">HYPERLINK(CONCATENATE("https://bugzilla.houston.hp.com:1181/bugzilla/show_bug.cgi?id=",INDIRECT(C70&amp;ROW())),INDIRECT(C70&amp;ROW()))</f>
        <v>61247</v>
      </c>
      <c r="N496">
        <v>61247</v>
      </c>
      <c r="O496" t="s">
        <v>204</v>
      </c>
      <c r="P496" t="s">
        <v>945</v>
      </c>
      <c r="Q496" t="s">
        <v>25</v>
      </c>
      <c r="R496" t="s">
        <v>783</v>
      </c>
      <c r="S496" t="s">
        <v>552</v>
      </c>
      <c r="U496" s="6">
        <v>42165.64403935185</v>
      </c>
      <c r="V496" t="s">
        <v>18</v>
      </c>
      <c r="W496" t="s">
        <v>17</v>
      </c>
      <c r="X496" s="6">
        <v>42118.33965277778</v>
      </c>
      <c r="Y496" t="s">
        <v>119</v>
      </c>
      <c r="AB496" t="s">
        <v>201</v>
      </c>
      <c r="AC496" t="s">
        <v>121</v>
      </c>
      <c r="AD496" t="s">
        <v>220</v>
      </c>
      <c r="AE496" t="s">
        <v>223</v>
      </c>
      <c r="AG496" t="s">
        <v>121</v>
      </c>
      <c r="AH496" t="s">
        <v>327</v>
      </c>
      <c r="AI496" t="s">
        <v>362</v>
      </c>
      <c r="AJ496" t="s">
        <v>716</v>
      </c>
      <c r="AK496" t="s">
        <v>121</v>
      </c>
    </row>
    <row r="497" spans="9:37" x14ac:dyDescent="0.3">
      <c r="I497">
        <f ca="1">IF(OR(INDIRECT(A73&amp;ROW())=B93,INDIRECT(A73&amp;ROW())=B94),1,IF(AND(INDIRECT(A73&amp;ROW())=B95,INDIRECT(A96&amp;ROW())=C93),1,IF(AND(INDIRECT(A73&amp;ROW())=B95,INDIRECT(A96&amp;ROW())=C94),1,0)))</f>
        <v>0</v>
      </c>
      <c r="J497">
        <f ca="1">IF(AND(INDIRECT(A73&amp;ROW())=B95,INDIRECT(A96&amp;ROW())=C95),1,IF(AND(INDIRECT(A73&amp;ROW())=B95,INDIRECT(A96&amp;ROW())=C96),1,0))</f>
        <v>1</v>
      </c>
      <c r="K497">
        <f ca="1">DAYS360(INDIRECT(C68&amp;ROW()),TODAY())</f>
        <v>680</v>
      </c>
      <c r="L497">
        <f ca="1">DAYS360(INDIRECT(C69&amp;ROW()),TODAY())</f>
        <v>728</v>
      </c>
      <c r="M497">
        <f ca="1">HYPERLINK(CONCATENATE("https://bugzilla.houston.hp.com:1181/bugzilla/show_bug.cgi?id=",INDIRECT(C70&amp;ROW())),INDIRECT(C70&amp;ROW()))</f>
        <v>61253</v>
      </c>
      <c r="N497">
        <v>61253</v>
      </c>
      <c r="O497" t="s">
        <v>44</v>
      </c>
      <c r="P497" t="s">
        <v>942</v>
      </c>
      <c r="Q497" t="s">
        <v>25</v>
      </c>
      <c r="R497" t="s">
        <v>783</v>
      </c>
      <c r="S497" t="s">
        <v>552</v>
      </c>
      <c r="T497" t="s">
        <v>48</v>
      </c>
      <c r="U497" s="6">
        <v>42167.469247685185</v>
      </c>
      <c r="V497" t="s">
        <v>18</v>
      </c>
      <c r="W497" t="s">
        <v>17</v>
      </c>
      <c r="X497" s="6">
        <v>42118.341377314813</v>
      </c>
      <c r="Y497" t="s">
        <v>535</v>
      </c>
      <c r="AB497" t="s">
        <v>201</v>
      </c>
      <c r="AC497" t="s">
        <v>247</v>
      </c>
      <c r="AD497" t="s">
        <v>220</v>
      </c>
      <c r="AE497" t="s">
        <v>219</v>
      </c>
      <c r="AG497" t="s">
        <v>121</v>
      </c>
      <c r="AH497" t="s">
        <v>327</v>
      </c>
      <c r="AI497" t="s">
        <v>121</v>
      </c>
      <c r="AJ497" t="s">
        <v>716</v>
      </c>
      <c r="AK497" t="s">
        <v>121</v>
      </c>
    </row>
    <row r="498" spans="9:37" x14ac:dyDescent="0.3">
      <c r="I498">
        <f ca="1">IF(OR(INDIRECT(A73&amp;ROW())=B93,INDIRECT(A73&amp;ROW())=B94),1,IF(AND(INDIRECT(A73&amp;ROW())=B95,INDIRECT(A96&amp;ROW())=C93),1,IF(AND(INDIRECT(A73&amp;ROW())=B95,INDIRECT(A96&amp;ROW())=C94),1,0)))</f>
        <v>1</v>
      </c>
      <c r="J498">
        <f ca="1">IF(AND(INDIRECT(A73&amp;ROW())=B95,INDIRECT(A96&amp;ROW())=C95),1,IF(AND(INDIRECT(A73&amp;ROW())=B95,INDIRECT(A96&amp;ROW())=C96),1,0))</f>
        <v>0</v>
      </c>
      <c r="K498">
        <f ca="1">DAYS360(INDIRECT(C68&amp;ROW()),TODAY())</f>
        <v>677</v>
      </c>
      <c r="L498">
        <f ca="1">DAYS360(INDIRECT(C69&amp;ROW()),TODAY())</f>
        <v>728</v>
      </c>
      <c r="M498">
        <f ca="1">HYPERLINK(CONCATENATE("https://bugzilla.houston.hp.com:1181/bugzilla/show_bug.cgi?id=",INDIRECT(C70&amp;ROW())),INDIRECT(C70&amp;ROW()))</f>
        <v>61254</v>
      </c>
      <c r="N498">
        <v>61254</v>
      </c>
      <c r="O498" t="s">
        <v>53</v>
      </c>
      <c r="P498" t="s">
        <v>941</v>
      </c>
      <c r="Q498" t="s">
        <v>39</v>
      </c>
      <c r="R498" t="s">
        <v>783</v>
      </c>
      <c r="S498" t="s">
        <v>552</v>
      </c>
      <c r="U498" s="6">
        <v>42170.69153935185</v>
      </c>
      <c r="V498" t="s">
        <v>18</v>
      </c>
      <c r="W498" t="s">
        <v>17</v>
      </c>
      <c r="X498" s="6">
        <v>42118.341643518521</v>
      </c>
      <c r="Y498" t="s">
        <v>122</v>
      </c>
      <c r="AB498" t="s">
        <v>201</v>
      </c>
      <c r="AC498" t="s">
        <v>247</v>
      </c>
      <c r="AD498" t="s">
        <v>220</v>
      </c>
      <c r="AE498" t="s">
        <v>219</v>
      </c>
      <c r="AG498" t="s">
        <v>588</v>
      </c>
      <c r="AH498" t="s">
        <v>327</v>
      </c>
      <c r="AI498" t="s">
        <v>121</v>
      </c>
      <c r="AJ498" t="s">
        <v>715</v>
      </c>
      <c r="AK498" t="s">
        <v>121</v>
      </c>
    </row>
    <row r="499" spans="9:37" x14ac:dyDescent="0.3">
      <c r="I499">
        <f ca="1">IF(OR(INDIRECT(A73&amp;ROW())=B93,INDIRECT(A73&amp;ROW())=B94),1,IF(AND(INDIRECT(A73&amp;ROW())=B95,INDIRECT(A96&amp;ROW())=C93),1,IF(AND(INDIRECT(A73&amp;ROW())=B95,INDIRECT(A96&amp;ROW())=C94),1,0)))</f>
        <v>0</v>
      </c>
      <c r="J499">
        <f ca="1">IF(AND(INDIRECT(A73&amp;ROW())=B95,INDIRECT(A96&amp;ROW())=C95),1,IF(AND(INDIRECT(A73&amp;ROW())=B95,INDIRECT(A96&amp;ROW())=C96),1,0))</f>
        <v>1</v>
      </c>
      <c r="K499">
        <f ca="1">DAYS360(INDIRECT(C68&amp;ROW()),TODAY())</f>
        <v>721</v>
      </c>
      <c r="L499">
        <f ca="1">DAYS360(INDIRECT(C69&amp;ROW()),TODAY())</f>
        <v>728</v>
      </c>
      <c r="M499">
        <f ca="1">HYPERLINK(CONCATENATE("https://bugzilla.houston.hp.com:1181/bugzilla/show_bug.cgi?id=",INDIRECT(C70&amp;ROW())),INDIRECT(C70&amp;ROW()))</f>
        <v>61256</v>
      </c>
      <c r="N499">
        <v>61256</v>
      </c>
      <c r="O499" t="s">
        <v>66</v>
      </c>
      <c r="P499" t="s">
        <v>940</v>
      </c>
      <c r="Q499" t="s">
        <v>25</v>
      </c>
      <c r="R499" t="s">
        <v>783</v>
      </c>
      <c r="S499" t="s">
        <v>552</v>
      </c>
      <c r="U499" s="6">
        <v>42125.45076388889</v>
      </c>
      <c r="V499" t="s">
        <v>18</v>
      </c>
      <c r="W499" t="s">
        <v>17</v>
      </c>
      <c r="X499" s="6">
        <v>42118.342280092591</v>
      </c>
      <c r="Y499" t="s">
        <v>122</v>
      </c>
      <c r="AB499" t="s">
        <v>201</v>
      </c>
      <c r="AC499" t="s">
        <v>247</v>
      </c>
      <c r="AD499" t="s">
        <v>220</v>
      </c>
      <c r="AE499" t="s">
        <v>219</v>
      </c>
      <c r="AG499" t="s">
        <v>121</v>
      </c>
      <c r="AH499" t="s">
        <v>327</v>
      </c>
      <c r="AI499" t="s">
        <v>121</v>
      </c>
      <c r="AJ499" t="s">
        <v>716</v>
      </c>
      <c r="AK499" t="s">
        <v>121</v>
      </c>
    </row>
    <row r="500" spans="9:37" x14ac:dyDescent="0.3">
      <c r="I500">
        <f ca="1">IF(OR(INDIRECT(A73&amp;ROW())=B93,INDIRECT(A73&amp;ROW())=B94),1,IF(AND(INDIRECT(A73&amp;ROW())=B95,INDIRECT(A96&amp;ROW())=C93),1,IF(AND(INDIRECT(A73&amp;ROW())=B95,INDIRECT(A96&amp;ROW())=C94),1,0)))</f>
        <v>0</v>
      </c>
      <c r="J500">
        <f ca="1">IF(AND(INDIRECT(A73&amp;ROW())=B95,INDIRECT(A96&amp;ROW())=C95),1,IF(AND(INDIRECT(A73&amp;ROW())=B95,INDIRECT(A96&amp;ROW())=C96),1,0))</f>
        <v>1</v>
      </c>
      <c r="K500">
        <f ca="1">DAYS360(INDIRECT(C68&amp;ROW()),TODAY())</f>
        <v>728</v>
      </c>
      <c r="L500">
        <f ca="1">DAYS360(INDIRECT(C69&amp;ROW()),TODAY())</f>
        <v>728</v>
      </c>
      <c r="M500">
        <f ca="1">HYPERLINK(CONCATENATE("https://bugzilla.houston.hp.com:1181/bugzilla/show_bug.cgi?id=",INDIRECT(C70&amp;ROW())),INDIRECT(C70&amp;ROW()))</f>
        <v>61257</v>
      </c>
      <c r="N500">
        <v>61257</v>
      </c>
      <c r="O500" t="s">
        <v>56</v>
      </c>
      <c r="P500" t="s">
        <v>939</v>
      </c>
      <c r="Q500" t="s">
        <v>25</v>
      </c>
      <c r="R500" t="s">
        <v>783</v>
      </c>
      <c r="S500" t="s">
        <v>552</v>
      </c>
      <c r="U500" s="6">
        <v>42118.342569444445</v>
      </c>
      <c r="V500" t="s">
        <v>18</v>
      </c>
      <c r="W500" t="s">
        <v>17</v>
      </c>
      <c r="X500" s="6">
        <v>42118.342569444445</v>
      </c>
      <c r="Y500" t="s">
        <v>119</v>
      </c>
      <c r="AB500" t="s">
        <v>201</v>
      </c>
      <c r="AC500" t="s">
        <v>247</v>
      </c>
      <c r="AD500" t="s">
        <v>220</v>
      </c>
      <c r="AE500" t="s">
        <v>219</v>
      </c>
      <c r="AG500" t="s">
        <v>121</v>
      </c>
      <c r="AH500" t="s">
        <v>327</v>
      </c>
      <c r="AI500" t="s">
        <v>121</v>
      </c>
      <c r="AJ500" t="s">
        <v>716</v>
      </c>
      <c r="AK500" t="s">
        <v>121</v>
      </c>
    </row>
    <row r="501" spans="9:37" x14ac:dyDescent="0.3">
      <c r="I501">
        <f ca="1">IF(OR(INDIRECT(A73&amp;ROW())=B93,INDIRECT(A73&amp;ROW())=B94),1,IF(AND(INDIRECT(A73&amp;ROW())=B95,INDIRECT(A96&amp;ROW())=C93),1,IF(AND(INDIRECT(A73&amp;ROW())=B95,INDIRECT(A96&amp;ROW())=C94),1,0)))</f>
        <v>0</v>
      </c>
      <c r="J501">
        <f ca="1">IF(AND(INDIRECT(A73&amp;ROW())=B95,INDIRECT(A96&amp;ROW())=C95),1,IF(AND(INDIRECT(A73&amp;ROW())=B95,INDIRECT(A96&amp;ROW())=C96),1,0))</f>
        <v>0</v>
      </c>
      <c r="K501">
        <f ca="1">DAYS360(INDIRECT(C68&amp;ROW()),TODAY())</f>
        <v>717</v>
      </c>
      <c r="L501">
        <f ca="1">DAYS360(INDIRECT(C69&amp;ROW()),TODAY())</f>
        <v>728</v>
      </c>
      <c r="M501">
        <f ca="1">HYPERLINK(CONCATENATE("https://bugzilla.houston.hp.com:1181/bugzilla/show_bug.cgi?id=",INDIRECT(C70&amp;ROW())),INDIRECT(C70&amp;ROW()))</f>
        <v>61258</v>
      </c>
      <c r="N501">
        <v>61258</v>
      </c>
      <c r="O501" t="s">
        <v>66</v>
      </c>
      <c r="P501" t="s">
        <v>938</v>
      </c>
      <c r="Q501" t="s">
        <v>16</v>
      </c>
      <c r="R501" t="s">
        <v>783</v>
      </c>
      <c r="S501" t="s">
        <v>552</v>
      </c>
      <c r="U501" s="6">
        <v>42129.317418981482</v>
      </c>
      <c r="V501" t="s">
        <v>18</v>
      </c>
      <c r="W501" t="s">
        <v>783</v>
      </c>
      <c r="X501" s="6">
        <v>42118.342928240738</v>
      </c>
      <c r="Y501" t="s">
        <v>786</v>
      </c>
      <c r="AB501" t="s">
        <v>200</v>
      </c>
      <c r="AC501" t="s">
        <v>247</v>
      </c>
      <c r="AD501" t="s">
        <v>220</v>
      </c>
      <c r="AE501" t="s">
        <v>219</v>
      </c>
      <c r="AG501" t="s">
        <v>121</v>
      </c>
      <c r="AH501" t="s">
        <v>327</v>
      </c>
      <c r="AI501" t="s">
        <v>121</v>
      </c>
      <c r="AJ501" t="s">
        <v>716</v>
      </c>
      <c r="AK501" t="s">
        <v>121</v>
      </c>
    </row>
    <row r="502" spans="9:37" x14ac:dyDescent="0.3">
      <c r="I502">
        <f ca="1">IF(OR(INDIRECT(A73&amp;ROW())=B93,INDIRECT(A73&amp;ROW())=B94),1,IF(AND(INDIRECT(A73&amp;ROW())=B95,INDIRECT(A96&amp;ROW())=C93),1,IF(AND(INDIRECT(A73&amp;ROW())=B95,INDIRECT(A96&amp;ROW())=C94),1,0)))</f>
        <v>1</v>
      </c>
      <c r="J502">
        <f ca="1">IF(AND(INDIRECT(A73&amp;ROW())=B95,INDIRECT(A96&amp;ROW())=C95),1,IF(AND(INDIRECT(A73&amp;ROW())=B95,INDIRECT(A96&amp;ROW())=C96),1,0))</f>
        <v>0</v>
      </c>
      <c r="K502">
        <f ca="1">DAYS360(INDIRECT(C68&amp;ROW()),TODAY())</f>
        <v>677</v>
      </c>
      <c r="L502">
        <f ca="1">DAYS360(INDIRECT(C69&amp;ROW()),TODAY())</f>
        <v>728</v>
      </c>
      <c r="M502">
        <f ca="1">HYPERLINK(CONCATENATE("https://bugzilla.houston.hp.com:1181/bugzilla/show_bug.cgi?id=",INDIRECT(C70&amp;ROW())),INDIRECT(C70&amp;ROW()))</f>
        <v>61259</v>
      </c>
      <c r="N502">
        <v>61259</v>
      </c>
      <c r="O502" t="s">
        <v>53</v>
      </c>
      <c r="P502" t="s">
        <v>937</v>
      </c>
      <c r="Q502" t="s">
        <v>39</v>
      </c>
      <c r="R502" t="s">
        <v>783</v>
      </c>
      <c r="S502" t="s">
        <v>552</v>
      </c>
      <c r="U502" s="6">
        <v>42170.707256944443</v>
      </c>
      <c r="V502" t="s">
        <v>18</v>
      </c>
      <c r="W502" t="s">
        <v>17</v>
      </c>
      <c r="X502" s="6">
        <v>42118.343217592592</v>
      </c>
      <c r="Y502" t="s">
        <v>122</v>
      </c>
      <c r="AB502" t="s">
        <v>201</v>
      </c>
      <c r="AC502" t="s">
        <v>247</v>
      </c>
      <c r="AD502" t="s">
        <v>220</v>
      </c>
      <c r="AE502" t="s">
        <v>219</v>
      </c>
      <c r="AG502" t="s">
        <v>588</v>
      </c>
      <c r="AH502" t="s">
        <v>327</v>
      </c>
      <c r="AI502" t="s">
        <v>121</v>
      </c>
      <c r="AJ502" t="s">
        <v>715</v>
      </c>
      <c r="AK502" t="s">
        <v>121</v>
      </c>
    </row>
    <row r="503" spans="9:37" x14ac:dyDescent="0.3">
      <c r="I503">
        <f ca="1">IF(OR(INDIRECT(A73&amp;ROW())=B93,INDIRECT(A73&amp;ROW())=B94),1,IF(AND(INDIRECT(A73&amp;ROW())=B95,INDIRECT(A96&amp;ROW())=C93),1,IF(AND(INDIRECT(A73&amp;ROW())=B95,INDIRECT(A96&amp;ROW())=C94),1,0)))</f>
        <v>0</v>
      </c>
      <c r="J503">
        <f ca="1">IF(AND(INDIRECT(A73&amp;ROW())=B95,INDIRECT(A96&amp;ROW())=C95),1,IF(AND(INDIRECT(A73&amp;ROW())=B95,INDIRECT(A96&amp;ROW())=C96),1,0))</f>
        <v>0</v>
      </c>
      <c r="K503">
        <f ca="1">DAYS360(INDIRECT(C68&amp;ROW()),TODAY())</f>
        <v>721</v>
      </c>
      <c r="L503">
        <f ca="1">DAYS360(INDIRECT(C69&amp;ROW()),TODAY())</f>
        <v>728</v>
      </c>
      <c r="M503">
        <f ca="1">HYPERLINK(CONCATENATE("https://bugzilla.houston.hp.com:1181/bugzilla/show_bug.cgi?id=",INDIRECT(C70&amp;ROW())),INDIRECT(C70&amp;ROW()))</f>
        <v>61271</v>
      </c>
      <c r="N503">
        <v>61271</v>
      </c>
      <c r="O503" t="s">
        <v>241</v>
      </c>
      <c r="P503" t="s">
        <v>936</v>
      </c>
      <c r="Q503" t="s">
        <v>16</v>
      </c>
      <c r="R503" t="s">
        <v>251</v>
      </c>
      <c r="S503" t="s">
        <v>296</v>
      </c>
      <c r="U503" s="6">
        <v>42125.494571759256</v>
      </c>
      <c r="V503" t="s">
        <v>18</v>
      </c>
      <c r="W503" t="s">
        <v>17</v>
      </c>
      <c r="X503" s="6">
        <v>42118.46429398148</v>
      </c>
      <c r="Y503" t="s">
        <v>122</v>
      </c>
      <c r="AB503" t="s">
        <v>200</v>
      </c>
      <c r="AC503" t="s">
        <v>247</v>
      </c>
      <c r="AD503" t="s">
        <v>227</v>
      </c>
      <c r="AE503" t="s">
        <v>238</v>
      </c>
      <c r="AG503" t="s">
        <v>121</v>
      </c>
      <c r="AH503" t="s">
        <v>327</v>
      </c>
      <c r="AI503" t="s">
        <v>121</v>
      </c>
      <c r="AJ503" t="s">
        <v>716</v>
      </c>
      <c r="AK503" t="s">
        <v>121</v>
      </c>
    </row>
    <row r="504" spans="9:37" x14ac:dyDescent="0.3">
      <c r="I504">
        <f ca="1">IF(OR(INDIRECT(A73&amp;ROW())=B93,INDIRECT(A73&amp;ROW())=B94),1,IF(AND(INDIRECT(A73&amp;ROW())=B95,INDIRECT(A96&amp;ROW())=C93),1,IF(AND(INDIRECT(A73&amp;ROW())=B95,INDIRECT(A96&amp;ROW())=C94),1,0)))</f>
        <v>0</v>
      </c>
      <c r="J504">
        <f ca="1">IF(AND(INDIRECT(A73&amp;ROW())=B95,INDIRECT(A96&amp;ROW())=C95),1,IF(AND(INDIRECT(A73&amp;ROW())=B95,INDIRECT(A96&amp;ROW())=C96),1,0))</f>
        <v>0</v>
      </c>
      <c r="K504">
        <f ca="1">DAYS360(INDIRECT(C68&amp;ROW()),TODAY())</f>
        <v>721</v>
      </c>
      <c r="L504">
        <f ca="1">DAYS360(INDIRECT(C69&amp;ROW()),TODAY())</f>
        <v>728</v>
      </c>
      <c r="M504">
        <f ca="1">HYPERLINK(CONCATENATE("https://bugzilla.houston.hp.com:1181/bugzilla/show_bug.cgi?id=",INDIRECT(C70&amp;ROW())),INDIRECT(C70&amp;ROW()))</f>
        <v>61285</v>
      </c>
      <c r="N504">
        <v>61285</v>
      </c>
      <c r="O504" t="s">
        <v>241</v>
      </c>
      <c r="P504" t="s">
        <v>935</v>
      </c>
      <c r="Q504" t="s">
        <v>16</v>
      </c>
      <c r="R504" t="s">
        <v>579</v>
      </c>
      <c r="S504" t="s">
        <v>552</v>
      </c>
      <c r="T504" t="s">
        <v>980</v>
      </c>
      <c r="U504" s="6">
        <v>42125.494745370372</v>
      </c>
      <c r="V504" t="s">
        <v>18</v>
      </c>
      <c r="W504" t="s">
        <v>17</v>
      </c>
      <c r="X504" s="6">
        <v>42118.515902777777</v>
      </c>
      <c r="Y504" t="s">
        <v>122</v>
      </c>
      <c r="AB504" t="s">
        <v>200</v>
      </c>
      <c r="AC504" t="s">
        <v>247</v>
      </c>
      <c r="AD504" t="s">
        <v>227</v>
      </c>
      <c r="AE504" t="s">
        <v>238</v>
      </c>
      <c r="AG504" t="s">
        <v>121</v>
      </c>
      <c r="AH504" t="s">
        <v>327</v>
      </c>
      <c r="AI504" t="s">
        <v>121</v>
      </c>
      <c r="AJ504" t="s">
        <v>716</v>
      </c>
      <c r="AK504" t="s">
        <v>121</v>
      </c>
    </row>
    <row r="505" spans="9:37" x14ac:dyDescent="0.3">
      <c r="I505">
        <f ca="1">IF(OR(INDIRECT(A73&amp;ROW())=B93,INDIRECT(A73&amp;ROW())=B94),1,IF(AND(INDIRECT(A73&amp;ROW())=B95,INDIRECT(A96&amp;ROW())=C93),1,IF(AND(INDIRECT(A73&amp;ROW())=B95,INDIRECT(A96&amp;ROW())=C94),1,0)))</f>
        <v>0</v>
      </c>
      <c r="J505">
        <f ca="1">IF(AND(INDIRECT(A73&amp;ROW())=B95,INDIRECT(A96&amp;ROW())=C95),1,IF(AND(INDIRECT(A73&amp;ROW())=B95,INDIRECT(A96&amp;ROW())=C96),1,0))</f>
        <v>0</v>
      </c>
      <c r="K505">
        <f ca="1">DAYS360(INDIRECT(C68&amp;ROW()),TODAY())</f>
        <v>687</v>
      </c>
      <c r="L505">
        <f ca="1">DAYS360(INDIRECT(C69&amp;ROW()),TODAY())</f>
        <v>728</v>
      </c>
      <c r="M505">
        <f ca="1">HYPERLINK(CONCATENATE("https://bugzilla.houston.hp.com:1181/bugzilla/show_bug.cgi?id=",INDIRECT(C70&amp;ROW())),INDIRECT(C70&amp;ROW()))</f>
        <v>61286</v>
      </c>
      <c r="N505">
        <v>61286</v>
      </c>
      <c r="O505" t="s">
        <v>241</v>
      </c>
      <c r="P505" t="s">
        <v>934</v>
      </c>
      <c r="Q505" t="s">
        <v>16</v>
      </c>
      <c r="R505" t="s">
        <v>248</v>
      </c>
      <c r="S505" t="s">
        <v>552</v>
      </c>
      <c r="U505" s="6">
        <v>42160.463993055557</v>
      </c>
      <c r="V505" t="s">
        <v>18</v>
      </c>
      <c r="W505" t="s">
        <v>17</v>
      </c>
      <c r="X505" s="6">
        <v>42118.516018518516</v>
      </c>
      <c r="Y505" t="s">
        <v>122</v>
      </c>
      <c r="AB505" t="s">
        <v>200</v>
      </c>
      <c r="AC505" t="s">
        <v>247</v>
      </c>
      <c r="AD505" t="s">
        <v>227</v>
      </c>
      <c r="AE505" t="s">
        <v>238</v>
      </c>
      <c r="AG505" t="s">
        <v>121</v>
      </c>
      <c r="AH505" t="s">
        <v>327</v>
      </c>
      <c r="AI505" t="s">
        <v>121</v>
      </c>
      <c r="AJ505" t="s">
        <v>716</v>
      </c>
      <c r="AK505" t="s">
        <v>121</v>
      </c>
    </row>
    <row r="506" spans="9:37" x14ac:dyDescent="0.3">
      <c r="I506">
        <f ca="1">IF(OR(INDIRECT(A73&amp;ROW())=B93,INDIRECT(A73&amp;ROW())=B94),1,IF(AND(INDIRECT(A73&amp;ROW())=B95,INDIRECT(A96&amp;ROW())=C93),1,IF(AND(INDIRECT(A73&amp;ROW())=B95,INDIRECT(A96&amp;ROW())=C94),1,0)))</f>
        <v>0</v>
      </c>
      <c r="J506">
        <f ca="1">IF(AND(INDIRECT(A73&amp;ROW())=B95,INDIRECT(A96&amp;ROW())=C95),1,IF(AND(INDIRECT(A73&amp;ROW())=B95,INDIRECT(A96&amp;ROW())=C96),1,0))</f>
        <v>1</v>
      </c>
      <c r="K506">
        <f ca="1">DAYS360(INDIRECT(C68&amp;ROW()),TODAY())</f>
        <v>682</v>
      </c>
      <c r="L506">
        <f ca="1">DAYS360(INDIRECT(C69&amp;ROW()),TODAY())</f>
        <v>725</v>
      </c>
      <c r="M506">
        <f ca="1">HYPERLINK(CONCATENATE("https://bugzilla.houston.hp.com:1181/bugzilla/show_bug.cgi?id=",INDIRECT(C70&amp;ROW())),INDIRECT(C70&amp;ROW()))</f>
        <v>61403</v>
      </c>
      <c r="N506">
        <v>61403</v>
      </c>
      <c r="O506" t="s">
        <v>241</v>
      </c>
      <c r="P506" t="s">
        <v>978</v>
      </c>
      <c r="Q506" t="s">
        <v>25</v>
      </c>
      <c r="R506" t="s">
        <v>251</v>
      </c>
      <c r="S506" t="s">
        <v>52</v>
      </c>
      <c r="U506" s="6">
        <v>42165.575555555559</v>
      </c>
      <c r="V506" t="s">
        <v>18</v>
      </c>
      <c r="W506" t="s">
        <v>783</v>
      </c>
      <c r="X506" s="6">
        <v>42121.557916666665</v>
      </c>
      <c r="Y506" t="s">
        <v>119</v>
      </c>
      <c r="AB506" t="s">
        <v>201</v>
      </c>
      <c r="AC506" t="s">
        <v>247</v>
      </c>
      <c r="AD506" t="s">
        <v>222</v>
      </c>
      <c r="AE506" t="s">
        <v>221</v>
      </c>
      <c r="AG506" t="s">
        <v>121</v>
      </c>
      <c r="AH506" t="s">
        <v>327</v>
      </c>
      <c r="AI506" t="s">
        <v>121</v>
      </c>
      <c r="AJ506" t="s">
        <v>716</v>
      </c>
      <c r="AK506" t="s">
        <v>121</v>
      </c>
    </row>
    <row r="507" spans="9:37" x14ac:dyDescent="0.3">
      <c r="I507">
        <f ca="1">IF(OR(INDIRECT(A73&amp;ROW())=B93,INDIRECT(A73&amp;ROW())=B94),1,IF(AND(INDIRECT(A73&amp;ROW())=B95,INDIRECT(A96&amp;ROW())=C93),1,IF(AND(INDIRECT(A73&amp;ROW())=B95,INDIRECT(A96&amp;ROW())=C94),1,0)))</f>
        <v>0</v>
      </c>
      <c r="J507">
        <f ca="1">IF(AND(INDIRECT(A73&amp;ROW())=B95,INDIRECT(A96&amp;ROW())=C95),1,IF(AND(INDIRECT(A73&amp;ROW())=B95,INDIRECT(A96&amp;ROW())=C96),1,0))</f>
        <v>1</v>
      </c>
      <c r="K507">
        <f ca="1">DAYS360(INDIRECT(C68&amp;ROW()),TODAY())</f>
        <v>716</v>
      </c>
      <c r="L507">
        <f ca="1">DAYS360(INDIRECT(C69&amp;ROW()),TODAY())</f>
        <v>724</v>
      </c>
      <c r="M507">
        <f ca="1">HYPERLINK(CONCATENATE("https://bugzilla.houston.hp.com:1181/bugzilla/show_bug.cgi?id=",INDIRECT(C70&amp;ROW())),INDIRECT(C70&amp;ROW()))</f>
        <v>61422</v>
      </c>
      <c r="N507">
        <v>61422</v>
      </c>
      <c r="O507" t="s">
        <v>241</v>
      </c>
      <c r="P507" t="s">
        <v>977</v>
      </c>
      <c r="Q507" t="s">
        <v>25</v>
      </c>
      <c r="R507" t="s">
        <v>579</v>
      </c>
      <c r="S507" t="s">
        <v>552</v>
      </c>
      <c r="T507" t="s">
        <v>1007</v>
      </c>
      <c r="U507" s="6">
        <v>42130.313888888886</v>
      </c>
      <c r="V507" t="s">
        <v>18</v>
      </c>
      <c r="W507" t="s">
        <v>783</v>
      </c>
      <c r="X507" s="6">
        <v>42122.016122685185</v>
      </c>
      <c r="Y507" t="s">
        <v>119</v>
      </c>
      <c r="AB507" t="s">
        <v>201</v>
      </c>
      <c r="AC507" t="s">
        <v>247</v>
      </c>
      <c r="AD507" t="s">
        <v>222</v>
      </c>
      <c r="AE507" t="s">
        <v>221</v>
      </c>
      <c r="AG507" t="s">
        <v>121</v>
      </c>
      <c r="AH507" t="s">
        <v>327</v>
      </c>
      <c r="AI507" t="s">
        <v>121</v>
      </c>
      <c r="AJ507" t="s">
        <v>716</v>
      </c>
      <c r="AK507" t="s">
        <v>121</v>
      </c>
    </row>
    <row r="508" spans="9:37" x14ac:dyDescent="0.3">
      <c r="I508">
        <f ca="1">IF(OR(INDIRECT(A73&amp;ROW())=B93,INDIRECT(A73&amp;ROW())=B94),1,IF(AND(INDIRECT(A73&amp;ROW())=B95,INDIRECT(A96&amp;ROW())=C93),1,IF(AND(INDIRECT(A73&amp;ROW())=B95,INDIRECT(A96&amp;ROW())=C94),1,0)))</f>
        <v>0</v>
      </c>
      <c r="J508">
        <f ca="1">IF(AND(INDIRECT(A73&amp;ROW())=B95,INDIRECT(A96&amp;ROW())=C95),1,IF(AND(INDIRECT(A73&amp;ROW())=B95,INDIRECT(A96&amp;ROW())=C96),1,0))</f>
        <v>1</v>
      </c>
      <c r="K508">
        <f ca="1">DAYS360(INDIRECT(C68&amp;ROW()),TODAY())</f>
        <v>682</v>
      </c>
      <c r="L508">
        <f ca="1">DAYS360(INDIRECT(C69&amp;ROW()),TODAY())</f>
        <v>724</v>
      </c>
      <c r="M508">
        <f ca="1">HYPERLINK(CONCATENATE("https://bugzilla.houston.hp.com:1181/bugzilla/show_bug.cgi?id=",INDIRECT(C70&amp;ROW())),INDIRECT(C70&amp;ROW()))</f>
        <v>61423</v>
      </c>
      <c r="N508">
        <v>61423</v>
      </c>
      <c r="O508" t="s">
        <v>241</v>
      </c>
      <c r="P508" t="s">
        <v>976</v>
      </c>
      <c r="Q508" t="s">
        <v>25</v>
      </c>
      <c r="R508" t="s">
        <v>783</v>
      </c>
      <c r="S508" t="s">
        <v>552</v>
      </c>
      <c r="U508" s="6">
        <v>42165.645416666666</v>
      </c>
      <c r="V508" t="s">
        <v>18</v>
      </c>
      <c r="W508" t="s">
        <v>783</v>
      </c>
      <c r="X508" s="6">
        <v>42122.016192129631</v>
      </c>
      <c r="Y508" t="s">
        <v>119</v>
      </c>
      <c r="AB508" t="s">
        <v>201</v>
      </c>
      <c r="AC508" t="s">
        <v>247</v>
      </c>
      <c r="AD508" t="s">
        <v>222</v>
      </c>
      <c r="AE508" t="s">
        <v>221</v>
      </c>
      <c r="AG508" t="s">
        <v>121</v>
      </c>
      <c r="AH508" t="s">
        <v>327</v>
      </c>
      <c r="AI508" t="s">
        <v>121</v>
      </c>
      <c r="AJ508" t="s">
        <v>716</v>
      </c>
      <c r="AK508" t="s">
        <v>121</v>
      </c>
    </row>
    <row r="509" spans="9:37" x14ac:dyDescent="0.3">
      <c r="I509">
        <f ca="1">IF(OR(INDIRECT(A73&amp;ROW())=B93,INDIRECT(A73&amp;ROW())=B94),1,IF(AND(INDIRECT(A73&amp;ROW())=B95,INDIRECT(A96&amp;ROW())=C93),1,IF(AND(INDIRECT(A73&amp;ROW())=B95,INDIRECT(A96&amp;ROW())=C94),1,0)))</f>
        <v>0</v>
      </c>
      <c r="J509">
        <f ca="1">IF(AND(INDIRECT(A73&amp;ROW())=B95,INDIRECT(A96&amp;ROW())=C95),1,IF(AND(INDIRECT(A73&amp;ROW())=B95,INDIRECT(A96&amp;ROW())=C96),1,0))</f>
        <v>1</v>
      </c>
      <c r="K509">
        <f ca="1">DAYS360(INDIRECT(C68&amp;ROW()),TODAY())</f>
        <v>716</v>
      </c>
      <c r="L509">
        <f ca="1">DAYS360(INDIRECT(C69&amp;ROW()),TODAY())</f>
        <v>724</v>
      </c>
      <c r="M509">
        <f ca="1">HYPERLINK(CONCATENATE("https://bugzilla.houston.hp.com:1181/bugzilla/show_bug.cgi?id=",INDIRECT(C70&amp;ROW())),INDIRECT(C70&amp;ROW()))</f>
        <v>61424</v>
      </c>
      <c r="N509">
        <v>61424</v>
      </c>
      <c r="O509" t="s">
        <v>241</v>
      </c>
      <c r="P509" t="s">
        <v>975</v>
      </c>
      <c r="Q509" t="s">
        <v>25</v>
      </c>
      <c r="R509" t="s">
        <v>248</v>
      </c>
      <c r="S509" t="s">
        <v>552</v>
      </c>
      <c r="U509" s="6">
        <v>42130.354004629633</v>
      </c>
      <c r="V509" t="s">
        <v>18</v>
      </c>
      <c r="W509" t="s">
        <v>783</v>
      </c>
      <c r="X509" s="6">
        <v>42122.016284722224</v>
      </c>
      <c r="Y509" t="s">
        <v>119</v>
      </c>
      <c r="AB509" t="s">
        <v>201</v>
      </c>
      <c r="AC509" t="s">
        <v>247</v>
      </c>
      <c r="AD509" t="s">
        <v>222</v>
      </c>
      <c r="AE509" t="s">
        <v>221</v>
      </c>
      <c r="AG509" t="s">
        <v>121</v>
      </c>
      <c r="AH509" t="s">
        <v>327</v>
      </c>
      <c r="AI509" t="s">
        <v>121</v>
      </c>
      <c r="AJ509" t="s">
        <v>716</v>
      </c>
      <c r="AK509" t="s">
        <v>121</v>
      </c>
    </row>
    <row r="510" spans="9:37" x14ac:dyDescent="0.3">
      <c r="I510">
        <f ca="1">IF(OR(INDIRECT(A73&amp;ROW())=B93,INDIRECT(A73&amp;ROW())=B94),1,IF(AND(INDIRECT(A73&amp;ROW())=B95,INDIRECT(A96&amp;ROW())=C93),1,IF(AND(INDIRECT(A73&amp;ROW())=B95,INDIRECT(A96&amp;ROW())=C94),1,0)))</f>
        <v>0</v>
      </c>
      <c r="J510">
        <f ca="1">IF(AND(INDIRECT(A73&amp;ROW())=B95,INDIRECT(A96&amp;ROW())=C95),1,IF(AND(INDIRECT(A73&amp;ROW())=B95,INDIRECT(A96&amp;ROW())=C96),1,0))</f>
        <v>1</v>
      </c>
      <c r="K510">
        <f ca="1">DAYS360(INDIRECT(C68&amp;ROW()),TODAY())</f>
        <v>682</v>
      </c>
      <c r="L510">
        <f ca="1">DAYS360(INDIRECT(C69&amp;ROW()),TODAY())</f>
        <v>724</v>
      </c>
      <c r="M510">
        <f ca="1">HYPERLINK(CONCATENATE("https://bugzilla.houston.hp.com:1181/bugzilla/show_bug.cgi?id=",INDIRECT(C70&amp;ROW())),INDIRECT(C70&amp;ROW()))</f>
        <v>61468</v>
      </c>
      <c r="N510">
        <v>61468</v>
      </c>
      <c r="O510" t="s">
        <v>21</v>
      </c>
      <c r="P510" t="s">
        <v>988</v>
      </c>
      <c r="Q510" t="s">
        <v>25</v>
      </c>
      <c r="R510" t="s">
        <v>251</v>
      </c>
      <c r="S510" t="s">
        <v>177</v>
      </c>
      <c r="U510" s="6">
        <v>42165.65347222222</v>
      </c>
      <c r="V510" t="s">
        <v>18</v>
      </c>
      <c r="W510" t="s">
        <v>764</v>
      </c>
      <c r="X510" s="6">
        <v>42122.558807870373</v>
      </c>
      <c r="Y510" t="s">
        <v>245</v>
      </c>
      <c r="AB510" t="s">
        <v>201</v>
      </c>
      <c r="AC510" t="s">
        <v>247</v>
      </c>
      <c r="AD510" t="s">
        <v>222</v>
      </c>
      <c r="AE510" t="s">
        <v>232</v>
      </c>
      <c r="AG510" t="s">
        <v>121</v>
      </c>
      <c r="AH510" t="s">
        <v>327</v>
      </c>
      <c r="AI510" t="s">
        <v>121</v>
      </c>
      <c r="AJ510" t="s">
        <v>716</v>
      </c>
      <c r="AK510" t="s">
        <v>121</v>
      </c>
    </row>
    <row r="511" spans="9:37" x14ac:dyDescent="0.3">
      <c r="I511">
        <f ca="1">IF(OR(INDIRECT(A73&amp;ROW())=B93,INDIRECT(A73&amp;ROW())=B94),1,IF(AND(INDIRECT(A73&amp;ROW())=B95,INDIRECT(A96&amp;ROW())=C93),1,IF(AND(INDIRECT(A73&amp;ROW())=B95,INDIRECT(A96&amp;ROW())=C94),1,0)))</f>
        <v>0</v>
      </c>
      <c r="J511">
        <f ca="1">IF(AND(INDIRECT(A73&amp;ROW())=B95,INDIRECT(A96&amp;ROW())=C95),1,IF(AND(INDIRECT(A73&amp;ROW())=B95,INDIRECT(A96&amp;ROW())=C96),1,0))</f>
        <v>1</v>
      </c>
      <c r="K511">
        <f ca="1">DAYS360(INDIRECT(C68&amp;ROW()),TODAY())</f>
        <v>682</v>
      </c>
      <c r="L511">
        <f ca="1">DAYS360(INDIRECT(C69&amp;ROW()),TODAY())</f>
        <v>724</v>
      </c>
      <c r="M511">
        <f ca="1">HYPERLINK(CONCATENATE("https://bugzilla.houston.hp.com:1181/bugzilla/show_bug.cgi?id=",INDIRECT(C70&amp;ROW())),INDIRECT(C70&amp;ROW()))</f>
        <v>61474</v>
      </c>
      <c r="N511">
        <v>61474</v>
      </c>
      <c r="O511" t="s">
        <v>21</v>
      </c>
      <c r="P511" t="s">
        <v>987</v>
      </c>
      <c r="Q511" t="s">
        <v>25</v>
      </c>
      <c r="R511" t="s">
        <v>783</v>
      </c>
      <c r="S511" t="s">
        <v>552</v>
      </c>
      <c r="U511" s="6">
        <v>42165.577291666668</v>
      </c>
      <c r="V511" t="s">
        <v>18</v>
      </c>
      <c r="W511" t="s">
        <v>764</v>
      </c>
      <c r="X511" s="6">
        <v>42122.649710648147</v>
      </c>
      <c r="Y511" t="s">
        <v>245</v>
      </c>
      <c r="AB511" t="s">
        <v>201</v>
      </c>
      <c r="AC511" t="s">
        <v>247</v>
      </c>
      <c r="AD511" t="s">
        <v>222</v>
      </c>
      <c r="AE511" t="s">
        <v>232</v>
      </c>
      <c r="AG511" t="s">
        <v>121</v>
      </c>
      <c r="AH511" t="s">
        <v>327</v>
      </c>
      <c r="AI511" t="s">
        <v>121</v>
      </c>
      <c r="AJ511" t="s">
        <v>716</v>
      </c>
      <c r="AK511" t="s">
        <v>121</v>
      </c>
    </row>
    <row r="512" spans="9:37" x14ac:dyDescent="0.3">
      <c r="I512">
        <f ca="1">IF(OR(INDIRECT(A73&amp;ROW())=B93,INDIRECT(A73&amp;ROW())=B94),1,IF(AND(INDIRECT(A73&amp;ROW())=B95,INDIRECT(A96&amp;ROW())=C93),1,IF(AND(INDIRECT(A73&amp;ROW())=B95,INDIRECT(A96&amp;ROW())=C94),1,0)))</f>
        <v>0</v>
      </c>
      <c r="J512">
        <f ca="1">IF(AND(INDIRECT(A73&amp;ROW())=B95,INDIRECT(A96&amp;ROW())=C95),1,IF(AND(INDIRECT(A73&amp;ROW())=B95,INDIRECT(A96&amp;ROW())=C96),1,0))</f>
        <v>1</v>
      </c>
      <c r="K512">
        <f ca="1">DAYS360(INDIRECT(C68&amp;ROW()),TODAY())</f>
        <v>724</v>
      </c>
      <c r="L512">
        <f ca="1">DAYS360(INDIRECT(C69&amp;ROW()),TODAY())</f>
        <v>724</v>
      </c>
      <c r="M512">
        <f ca="1">HYPERLINK(CONCATENATE("https://bugzilla.houston.hp.com:1181/bugzilla/show_bug.cgi?id=",INDIRECT(C70&amp;ROW())),INDIRECT(C70&amp;ROW()))</f>
        <v>61475</v>
      </c>
      <c r="N512">
        <v>61475</v>
      </c>
      <c r="O512" t="s">
        <v>21</v>
      </c>
      <c r="P512" t="s">
        <v>986</v>
      </c>
      <c r="Q512" t="s">
        <v>25</v>
      </c>
      <c r="R512" t="s">
        <v>248</v>
      </c>
      <c r="S512" t="s">
        <v>552</v>
      </c>
      <c r="U512" s="6">
        <v>42122.649768518517</v>
      </c>
      <c r="V512" t="s">
        <v>18</v>
      </c>
      <c r="W512" t="s">
        <v>764</v>
      </c>
      <c r="X512" s="6">
        <v>42122.649768518517</v>
      </c>
      <c r="Y512" t="s">
        <v>245</v>
      </c>
      <c r="AB512" t="s">
        <v>201</v>
      </c>
      <c r="AC512" t="s">
        <v>247</v>
      </c>
      <c r="AD512" t="s">
        <v>222</v>
      </c>
      <c r="AE512" t="s">
        <v>232</v>
      </c>
      <c r="AG512" t="s">
        <v>121</v>
      </c>
      <c r="AH512" t="s">
        <v>327</v>
      </c>
      <c r="AI512" t="s">
        <v>121</v>
      </c>
      <c r="AJ512" t="s">
        <v>716</v>
      </c>
      <c r="AK512" t="s">
        <v>121</v>
      </c>
    </row>
    <row r="513" spans="9:37" x14ac:dyDescent="0.3">
      <c r="I513">
        <f ca="1">IF(OR(INDIRECT(A73&amp;ROW())=B93,INDIRECT(A73&amp;ROW())=B94),1,IF(AND(INDIRECT(A73&amp;ROW())=B95,INDIRECT(A96&amp;ROW())=C93),1,IF(AND(INDIRECT(A73&amp;ROW())=B95,INDIRECT(A96&amp;ROW())=C94),1,0)))</f>
        <v>0</v>
      </c>
      <c r="J513">
        <f ca="1">IF(AND(INDIRECT(A73&amp;ROW())=B95,INDIRECT(A96&amp;ROW())=C95),1,IF(AND(INDIRECT(A73&amp;ROW())=B95,INDIRECT(A96&amp;ROW())=C96),1,0))</f>
        <v>0</v>
      </c>
      <c r="K513">
        <f ca="1">DAYS360(INDIRECT(C68&amp;ROW()),TODAY())</f>
        <v>681</v>
      </c>
      <c r="L513">
        <f ca="1">DAYS360(INDIRECT(C69&amp;ROW()),TODAY())</f>
        <v>723</v>
      </c>
      <c r="M513">
        <f ca="1">HYPERLINK(CONCATENATE("https://bugzilla.houston.hp.com:1181/bugzilla/show_bug.cgi?id=",INDIRECT(C70&amp;ROW())),INDIRECT(C70&amp;ROW()))</f>
        <v>61487</v>
      </c>
      <c r="N513">
        <v>61487</v>
      </c>
      <c r="O513" t="s">
        <v>56</v>
      </c>
      <c r="P513" t="s">
        <v>984</v>
      </c>
      <c r="Q513" t="s">
        <v>16</v>
      </c>
      <c r="R513" t="s">
        <v>248</v>
      </c>
      <c r="S513" t="s">
        <v>552</v>
      </c>
      <c r="U513" s="6">
        <v>42166.356678240743</v>
      </c>
      <c r="V513" t="s">
        <v>18</v>
      </c>
      <c r="W513" t="s">
        <v>764</v>
      </c>
      <c r="X513" s="6">
        <v>42123.016111111108</v>
      </c>
      <c r="Y513" t="s">
        <v>124</v>
      </c>
      <c r="AB513" t="s">
        <v>200</v>
      </c>
      <c r="AC513" t="s">
        <v>247</v>
      </c>
      <c r="AD513" t="s">
        <v>220</v>
      </c>
      <c r="AE513" t="s">
        <v>219</v>
      </c>
      <c r="AG513" t="s">
        <v>121</v>
      </c>
      <c r="AH513" t="s">
        <v>327</v>
      </c>
      <c r="AI513" t="s">
        <v>121</v>
      </c>
      <c r="AJ513" t="s">
        <v>716</v>
      </c>
      <c r="AK513" t="s">
        <v>121</v>
      </c>
    </row>
    <row r="514" spans="9:37" x14ac:dyDescent="0.3">
      <c r="I514">
        <f ca="1">IF(OR(INDIRECT(A73&amp;ROW())=B93,INDIRECT(A73&amp;ROW())=B94),1,IF(AND(INDIRECT(A73&amp;ROW())=B95,INDIRECT(A96&amp;ROW())=C93),1,IF(AND(INDIRECT(A73&amp;ROW())=B95,INDIRECT(A96&amp;ROW())=C94),1,0)))</f>
        <v>1</v>
      </c>
      <c r="J514">
        <f ca="1">IF(AND(INDIRECT(A73&amp;ROW())=B95,INDIRECT(A96&amp;ROW())=C95),1,IF(AND(INDIRECT(A73&amp;ROW())=B95,INDIRECT(A96&amp;ROW())=C96),1,0))</f>
        <v>0</v>
      </c>
      <c r="K514">
        <f ca="1">DAYS360(INDIRECT(C68&amp;ROW()),TODAY())</f>
        <v>683</v>
      </c>
      <c r="L514">
        <f ca="1">DAYS360(INDIRECT(C69&amp;ROW()),TODAY())</f>
        <v>723</v>
      </c>
      <c r="M514">
        <f ca="1">HYPERLINK(CONCATENATE("https://bugzilla.houston.hp.com:1181/bugzilla/show_bug.cgi?id=",INDIRECT(C70&amp;ROW())),INDIRECT(C70&amp;ROW()))</f>
        <v>61543</v>
      </c>
      <c r="N514">
        <v>61543</v>
      </c>
      <c r="O514" t="s">
        <v>1202</v>
      </c>
      <c r="P514" t="s">
        <v>1250</v>
      </c>
      <c r="Q514" t="s">
        <v>25</v>
      </c>
      <c r="R514" t="s">
        <v>251</v>
      </c>
      <c r="S514" t="s">
        <v>296</v>
      </c>
      <c r="U514" s="6">
        <v>42164.448750000003</v>
      </c>
      <c r="V514" t="s">
        <v>35</v>
      </c>
      <c r="W514" t="s">
        <v>17</v>
      </c>
      <c r="X514" s="6">
        <v>42123.449548611112</v>
      </c>
      <c r="Y514" t="s">
        <v>125</v>
      </c>
      <c r="AB514" t="s">
        <v>200</v>
      </c>
      <c r="AC514" t="s">
        <v>247</v>
      </c>
      <c r="AD514" t="s">
        <v>220</v>
      </c>
      <c r="AE514" t="s">
        <v>224</v>
      </c>
      <c r="AG514" t="s">
        <v>121</v>
      </c>
      <c r="AH514" t="s">
        <v>327</v>
      </c>
      <c r="AI514" t="s">
        <v>121</v>
      </c>
      <c r="AJ514" t="s">
        <v>715</v>
      </c>
      <c r="AK514" t="s">
        <v>121</v>
      </c>
    </row>
    <row r="515" spans="9:37" x14ac:dyDescent="0.3">
      <c r="I515">
        <f ca="1">IF(OR(INDIRECT(A73&amp;ROW())=B93,INDIRECT(A73&amp;ROW())=B94),1,IF(AND(INDIRECT(A73&amp;ROW())=B95,INDIRECT(A96&amp;ROW())=C93),1,IF(AND(INDIRECT(A73&amp;ROW())=B95,INDIRECT(A96&amp;ROW())=C94),1,0)))</f>
        <v>1</v>
      </c>
      <c r="J515">
        <f ca="1">IF(AND(INDIRECT(A73&amp;ROW())=B95,INDIRECT(A96&amp;ROW())=C95),1,IF(AND(INDIRECT(A73&amp;ROW())=B95,INDIRECT(A96&amp;ROW())=C96),1,0))</f>
        <v>0</v>
      </c>
      <c r="K515">
        <f ca="1">DAYS360(INDIRECT(C68&amp;ROW()),TODAY())</f>
        <v>680</v>
      </c>
      <c r="L515">
        <f ca="1">DAYS360(INDIRECT(C69&amp;ROW()),TODAY())</f>
        <v>723</v>
      </c>
      <c r="M515">
        <f ca="1">HYPERLINK(CONCATENATE("https://bugzilla.houston.hp.com:1181/bugzilla/show_bug.cgi?id=",INDIRECT(C70&amp;ROW())),INDIRECT(C70&amp;ROW()))</f>
        <v>61546</v>
      </c>
      <c r="N515">
        <v>61546</v>
      </c>
      <c r="O515" t="s">
        <v>919</v>
      </c>
      <c r="P515" t="s">
        <v>1249</v>
      </c>
      <c r="Q515" t="s">
        <v>25</v>
      </c>
      <c r="R515" t="s">
        <v>783</v>
      </c>
      <c r="S515" t="s">
        <v>552</v>
      </c>
      <c r="U515" s="6">
        <v>42167.30028935185</v>
      </c>
      <c r="V515" t="s">
        <v>18</v>
      </c>
      <c r="W515" t="s">
        <v>17</v>
      </c>
      <c r="X515" s="6">
        <v>42123.465462962966</v>
      </c>
      <c r="Y515" t="s">
        <v>125</v>
      </c>
      <c r="AB515" t="s">
        <v>200</v>
      </c>
      <c r="AC515" t="s">
        <v>247</v>
      </c>
      <c r="AD515" t="s">
        <v>220</v>
      </c>
      <c r="AE515" t="s">
        <v>224</v>
      </c>
      <c r="AG515" t="s">
        <v>337</v>
      </c>
      <c r="AH515" t="s">
        <v>327</v>
      </c>
      <c r="AI515" t="s">
        <v>121</v>
      </c>
      <c r="AJ515" t="s">
        <v>715</v>
      </c>
      <c r="AK515" t="s">
        <v>1133</v>
      </c>
    </row>
    <row r="516" spans="9:37" x14ac:dyDescent="0.3">
      <c r="I516">
        <f ca="1">IF(OR(INDIRECT(A73&amp;ROW())=B93,INDIRECT(A73&amp;ROW())=B94),1,IF(AND(INDIRECT(A73&amp;ROW())=B95,INDIRECT(A96&amp;ROW())=C93),1,IF(AND(INDIRECT(A73&amp;ROW())=B95,INDIRECT(A96&amp;ROW())=C94),1,0)))</f>
        <v>1</v>
      </c>
      <c r="J516">
        <f ca="1">IF(AND(INDIRECT(A73&amp;ROW())=B95,INDIRECT(A96&amp;ROW())=C95),1,IF(AND(INDIRECT(A73&amp;ROW())=B95,INDIRECT(A96&amp;ROW())=C96),1,0))</f>
        <v>0</v>
      </c>
      <c r="K516">
        <f ca="1">DAYS360(INDIRECT(C68&amp;ROW()),TODAY())</f>
        <v>683</v>
      </c>
      <c r="L516">
        <f ca="1">DAYS360(INDIRECT(C69&amp;ROW()),TODAY())</f>
        <v>723</v>
      </c>
      <c r="M516">
        <f ca="1">HYPERLINK(CONCATENATE("https://bugzilla.houston.hp.com:1181/bugzilla/show_bug.cgi?id=",INDIRECT(C70&amp;ROW())),INDIRECT(C70&amp;ROW()))</f>
        <v>61547</v>
      </c>
      <c r="N516">
        <v>61547</v>
      </c>
      <c r="O516" t="s">
        <v>43</v>
      </c>
      <c r="P516" t="s">
        <v>1248</v>
      </c>
      <c r="Q516" t="s">
        <v>25</v>
      </c>
      <c r="R516" t="s">
        <v>248</v>
      </c>
      <c r="S516" t="s">
        <v>552</v>
      </c>
      <c r="U516" s="6">
        <v>42164.448344907411</v>
      </c>
      <c r="V516" t="s">
        <v>18</v>
      </c>
      <c r="W516" t="s">
        <v>17</v>
      </c>
      <c r="X516" s="6">
        <v>42123.465532407405</v>
      </c>
      <c r="Y516" t="s">
        <v>125</v>
      </c>
      <c r="AB516" t="s">
        <v>200</v>
      </c>
      <c r="AC516" t="s">
        <v>247</v>
      </c>
      <c r="AD516" t="s">
        <v>220</v>
      </c>
      <c r="AE516" t="s">
        <v>224</v>
      </c>
      <c r="AG516" t="s">
        <v>121</v>
      </c>
      <c r="AH516" t="s">
        <v>327</v>
      </c>
      <c r="AI516" t="s">
        <v>121</v>
      </c>
      <c r="AJ516" t="s">
        <v>715</v>
      </c>
      <c r="AK516" t="s">
        <v>121</v>
      </c>
    </row>
    <row r="517" spans="9:37" x14ac:dyDescent="0.3">
      <c r="I517">
        <f ca="1">IF(OR(INDIRECT(A73&amp;ROW())=B93,INDIRECT(A73&amp;ROW())=B94),1,IF(AND(INDIRECT(A73&amp;ROW())=B95,INDIRECT(A96&amp;ROW())=C93),1,IF(AND(INDIRECT(A73&amp;ROW())=B95,INDIRECT(A96&amp;ROW())=C94),1,0)))</f>
        <v>0</v>
      </c>
      <c r="J517">
        <f ca="1">IF(AND(INDIRECT(A73&amp;ROW())=B95,INDIRECT(A96&amp;ROW())=C95),1,IF(AND(INDIRECT(A73&amp;ROW())=B95,INDIRECT(A96&amp;ROW())=C96),1,0))</f>
        <v>1</v>
      </c>
      <c r="K517">
        <f ca="1">DAYS360(INDIRECT(C68&amp;ROW()),TODAY())</f>
        <v>681</v>
      </c>
      <c r="L517">
        <f ca="1">DAYS360(INDIRECT(C69&amp;ROW()),TODAY())</f>
        <v>723</v>
      </c>
      <c r="M517">
        <f ca="1">HYPERLINK(CONCATENATE("https://bugzilla.houston.hp.com:1181/bugzilla/show_bug.cgi?id=",INDIRECT(C70&amp;ROW())),INDIRECT(C70&amp;ROW()))</f>
        <v>61555</v>
      </c>
      <c r="N517">
        <v>61555</v>
      </c>
      <c r="O517" t="s">
        <v>21</v>
      </c>
      <c r="P517" t="s">
        <v>997</v>
      </c>
      <c r="Q517" t="s">
        <v>25</v>
      </c>
      <c r="R517" t="s">
        <v>251</v>
      </c>
      <c r="S517" t="s">
        <v>365</v>
      </c>
      <c r="U517" s="6">
        <v>42166.567048611112</v>
      </c>
      <c r="V517" t="s">
        <v>18</v>
      </c>
      <c r="W517" t="s">
        <v>783</v>
      </c>
      <c r="X517" s="6">
        <v>42123.566493055558</v>
      </c>
      <c r="Y517" t="s">
        <v>246</v>
      </c>
      <c r="AB517" t="s">
        <v>201</v>
      </c>
      <c r="AC517" t="s">
        <v>247</v>
      </c>
      <c r="AD517" t="s">
        <v>227</v>
      </c>
      <c r="AE517" t="s">
        <v>237</v>
      </c>
      <c r="AG517" t="s">
        <v>121</v>
      </c>
      <c r="AH517" t="s">
        <v>327</v>
      </c>
      <c r="AI517" t="s">
        <v>121</v>
      </c>
      <c r="AJ517" t="s">
        <v>716</v>
      </c>
      <c r="AK517" t="s">
        <v>121</v>
      </c>
    </row>
    <row r="518" spans="9:37" x14ac:dyDescent="0.3">
      <c r="I518">
        <f ca="1">IF(OR(INDIRECT(A73&amp;ROW())=B93,INDIRECT(A73&amp;ROW())=B94),1,IF(AND(INDIRECT(A73&amp;ROW())=B95,INDIRECT(A96&amp;ROW())=C93),1,IF(AND(INDIRECT(A73&amp;ROW())=B95,INDIRECT(A96&amp;ROW())=C94),1,0)))</f>
        <v>0</v>
      </c>
      <c r="J518">
        <f ca="1">IF(AND(INDIRECT(A73&amp;ROW())=B95,INDIRECT(A96&amp;ROW())=C95),1,IF(AND(INDIRECT(A73&amp;ROW())=B95,INDIRECT(A96&amp;ROW())=C96),1,0))</f>
        <v>1</v>
      </c>
      <c r="K518">
        <f ca="1">DAYS360(INDIRECT(C68&amp;ROW()),TODAY())</f>
        <v>723</v>
      </c>
      <c r="L518">
        <f ca="1">DAYS360(INDIRECT(C69&amp;ROW()),TODAY())</f>
        <v>723</v>
      </c>
      <c r="M518">
        <f ca="1">HYPERLINK(CONCATENATE("https://bugzilla.houston.hp.com:1181/bugzilla/show_bug.cgi?id=",INDIRECT(C70&amp;ROW())),INDIRECT(C70&amp;ROW()))</f>
        <v>61557</v>
      </c>
      <c r="N518">
        <v>61557</v>
      </c>
      <c r="O518" t="s">
        <v>45</v>
      </c>
      <c r="P518" t="s">
        <v>996</v>
      </c>
      <c r="Q518" t="s">
        <v>25</v>
      </c>
      <c r="R518" t="s">
        <v>783</v>
      </c>
      <c r="S518" t="s">
        <v>552</v>
      </c>
      <c r="U518" s="6">
        <v>42123.621203703704</v>
      </c>
      <c r="V518" t="s">
        <v>18</v>
      </c>
      <c r="W518" t="s">
        <v>783</v>
      </c>
      <c r="X518" s="6">
        <v>42123.621203703704</v>
      </c>
      <c r="Y518" t="s">
        <v>246</v>
      </c>
      <c r="AB518" t="s">
        <v>201</v>
      </c>
      <c r="AC518" t="s">
        <v>247</v>
      </c>
      <c r="AD518" t="s">
        <v>227</v>
      </c>
      <c r="AE518" t="s">
        <v>237</v>
      </c>
      <c r="AG518" t="s">
        <v>121</v>
      </c>
      <c r="AH518" t="s">
        <v>327</v>
      </c>
      <c r="AI518" t="s">
        <v>121</v>
      </c>
      <c r="AJ518" t="s">
        <v>716</v>
      </c>
      <c r="AK518" t="s">
        <v>121</v>
      </c>
    </row>
    <row r="519" spans="9:37" x14ac:dyDescent="0.3">
      <c r="I519">
        <f ca="1">IF(OR(INDIRECT(A73&amp;ROW())=B93,INDIRECT(A73&amp;ROW())=B94),1,IF(AND(INDIRECT(A73&amp;ROW())=B95,INDIRECT(A96&amp;ROW())=C93),1,IF(AND(INDIRECT(A73&amp;ROW())=B95,INDIRECT(A96&amp;ROW())=C94),1,0)))</f>
        <v>0</v>
      </c>
      <c r="J519">
        <f ca="1">IF(AND(INDIRECT(A73&amp;ROW())=B95,INDIRECT(A96&amp;ROW())=C95),1,IF(AND(INDIRECT(A73&amp;ROW())=B95,INDIRECT(A96&amp;ROW())=C96),1,0))</f>
        <v>1</v>
      </c>
      <c r="K519">
        <f ca="1">DAYS360(INDIRECT(C68&amp;ROW()),TODAY())</f>
        <v>723</v>
      </c>
      <c r="L519">
        <f ca="1">DAYS360(INDIRECT(C69&amp;ROW()),TODAY())</f>
        <v>723</v>
      </c>
      <c r="M519">
        <f ca="1">HYPERLINK(CONCATENATE("https://bugzilla.houston.hp.com:1181/bugzilla/show_bug.cgi?id=",INDIRECT(C70&amp;ROW())),INDIRECT(C70&amp;ROW()))</f>
        <v>61558</v>
      </c>
      <c r="N519">
        <v>61558</v>
      </c>
      <c r="O519" t="s">
        <v>45</v>
      </c>
      <c r="P519" t="s">
        <v>995</v>
      </c>
      <c r="Q519" t="s">
        <v>25</v>
      </c>
      <c r="R519" t="s">
        <v>248</v>
      </c>
      <c r="S519" t="s">
        <v>552</v>
      </c>
      <c r="U519" s="6">
        <v>42123.621261574073</v>
      </c>
      <c r="V519" t="s">
        <v>18</v>
      </c>
      <c r="W519" t="s">
        <v>783</v>
      </c>
      <c r="X519" s="6">
        <v>42123.621261574073</v>
      </c>
      <c r="Y519" t="s">
        <v>246</v>
      </c>
      <c r="AB519" t="s">
        <v>201</v>
      </c>
      <c r="AC519" t="s">
        <v>247</v>
      </c>
      <c r="AD519" t="s">
        <v>227</v>
      </c>
      <c r="AE519" t="s">
        <v>237</v>
      </c>
      <c r="AG519" t="s">
        <v>121</v>
      </c>
      <c r="AH519" t="s">
        <v>327</v>
      </c>
      <c r="AI519" t="s">
        <v>121</v>
      </c>
      <c r="AJ519" t="s">
        <v>716</v>
      </c>
      <c r="AK519" t="s">
        <v>121</v>
      </c>
    </row>
    <row r="520" spans="9:37" x14ac:dyDescent="0.3">
      <c r="I520">
        <f ca="1">IF(OR(INDIRECT(A73&amp;ROW())=B93,INDIRECT(A73&amp;ROW())=B94),1,IF(AND(INDIRECT(A73&amp;ROW())=B95,INDIRECT(A96&amp;ROW())=C93),1,IF(AND(INDIRECT(A73&amp;ROW())=B95,INDIRECT(A96&amp;ROW())=C94),1,0)))</f>
        <v>0</v>
      </c>
      <c r="J520">
        <f ca="1">IF(AND(INDIRECT(A73&amp;ROW())=B95,INDIRECT(A96&amp;ROW())=C95),1,IF(AND(INDIRECT(A73&amp;ROW())=B95,INDIRECT(A96&amp;ROW())=C96),1,0))</f>
        <v>0</v>
      </c>
      <c r="K520">
        <f ca="1">DAYS360(INDIRECT(C68&amp;ROW()),TODAY())</f>
        <v>717</v>
      </c>
      <c r="L520">
        <f ca="1">DAYS360(INDIRECT(C69&amp;ROW()),TODAY())</f>
        <v>723</v>
      </c>
      <c r="M520">
        <f ca="1">HYPERLINK(CONCATENATE("https://bugzilla.houston.hp.com:1181/bugzilla/show_bug.cgi?id=",INDIRECT(C70&amp;ROW())),INDIRECT(C70&amp;ROW()))</f>
        <v>61563</v>
      </c>
      <c r="N520">
        <v>61563</v>
      </c>
      <c r="O520" t="s">
        <v>19</v>
      </c>
      <c r="P520" t="s">
        <v>994</v>
      </c>
      <c r="Q520" t="s">
        <v>16</v>
      </c>
      <c r="R520" t="s">
        <v>251</v>
      </c>
      <c r="S520" t="s">
        <v>917</v>
      </c>
      <c r="U520" s="6">
        <v>42129.601030092592</v>
      </c>
      <c r="V520" t="s">
        <v>18</v>
      </c>
      <c r="W520" t="s">
        <v>783</v>
      </c>
      <c r="X520" s="6">
        <v>42123.659282407411</v>
      </c>
      <c r="Y520" t="s">
        <v>846</v>
      </c>
      <c r="AB520" t="s">
        <v>201</v>
      </c>
      <c r="AC520" t="s">
        <v>247</v>
      </c>
      <c r="AD520" t="s">
        <v>220</v>
      </c>
      <c r="AE520" t="s">
        <v>290</v>
      </c>
      <c r="AG520" t="s">
        <v>121</v>
      </c>
      <c r="AH520" t="s">
        <v>327</v>
      </c>
      <c r="AI520" t="s">
        <v>121</v>
      </c>
      <c r="AJ520" t="s">
        <v>717</v>
      </c>
      <c r="AK520" t="s">
        <v>121</v>
      </c>
    </row>
    <row r="521" spans="9:37" x14ac:dyDescent="0.3">
      <c r="I521">
        <f ca="1">IF(OR(INDIRECT(A73&amp;ROW())=B93,INDIRECT(A73&amp;ROW())=B94),1,IF(AND(INDIRECT(A73&amp;ROW())=B95,INDIRECT(A96&amp;ROW())=C93),1,IF(AND(INDIRECT(A73&amp;ROW())=B95,INDIRECT(A96&amp;ROW())=C94),1,0)))</f>
        <v>0</v>
      </c>
      <c r="J521">
        <f ca="1">IF(AND(INDIRECT(A73&amp;ROW())=B95,INDIRECT(A96&amp;ROW())=C95),1,IF(AND(INDIRECT(A73&amp;ROW())=B95,INDIRECT(A96&amp;ROW())=C96),1,0))</f>
        <v>0</v>
      </c>
      <c r="K521">
        <f ca="1">DAYS360(INDIRECT(C68&amp;ROW()),TODAY())</f>
        <v>722</v>
      </c>
      <c r="L521">
        <f ca="1">DAYS360(INDIRECT(C69&amp;ROW()),TODAY())</f>
        <v>722</v>
      </c>
      <c r="M521">
        <f ca="1">HYPERLINK(CONCATENATE("https://bugzilla.houston.hp.com:1181/bugzilla/show_bug.cgi?id=",INDIRECT(C70&amp;ROW())),INDIRECT(C70&amp;ROW()))</f>
        <v>61617</v>
      </c>
      <c r="N521">
        <v>61617</v>
      </c>
      <c r="O521" t="s">
        <v>19</v>
      </c>
      <c r="P521" t="s">
        <v>993</v>
      </c>
      <c r="Q521" t="s">
        <v>16</v>
      </c>
      <c r="R521" t="s">
        <v>783</v>
      </c>
      <c r="S521" t="s">
        <v>552</v>
      </c>
      <c r="U521" s="6">
        <v>42124.327418981484</v>
      </c>
      <c r="V521" t="s">
        <v>18</v>
      </c>
      <c r="W521" t="s">
        <v>783</v>
      </c>
      <c r="X521" s="6">
        <v>42124.327418981484</v>
      </c>
      <c r="Y521" t="s">
        <v>846</v>
      </c>
      <c r="AB521" t="s">
        <v>201</v>
      </c>
      <c r="AC521" t="s">
        <v>247</v>
      </c>
      <c r="AD521" t="s">
        <v>220</v>
      </c>
      <c r="AE521" t="s">
        <v>290</v>
      </c>
      <c r="AG521" t="s">
        <v>121</v>
      </c>
      <c r="AH521" t="s">
        <v>327</v>
      </c>
      <c r="AI521" t="s">
        <v>121</v>
      </c>
      <c r="AJ521" t="s">
        <v>717</v>
      </c>
      <c r="AK521" t="s">
        <v>121</v>
      </c>
    </row>
    <row r="522" spans="9:37" x14ac:dyDescent="0.3">
      <c r="I522">
        <f ca="1">IF(OR(INDIRECT(A73&amp;ROW())=B93,INDIRECT(A73&amp;ROW())=B94),1,IF(AND(INDIRECT(A73&amp;ROW())=B95,INDIRECT(A96&amp;ROW())=C93),1,IF(AND(INDIRECT(A73&amp;ROW())=B95,INDIRECT(A96&amp;ROW())=C94),1,0)))</f>
        <v>0</v>
      </c>
      <c r="J522">
        <f ca="1">IF(AND(INDIRECT(A73&amp;ROW())=B95,INDIRECT(A96&amp;ROW())=C95),1,IF(AND(INDIRECT(A73&amp;ROW())=B95,INDIRECT(A96&amp;ROW())=C96),1,0))</f>
        <v>0</v>
      </c>
      <c r="K522">
        <f ca="1">DAYS360(INDIRECT(C68&amp;ROW()),TODAY())</f>
        <v>722</v>
      </c>
      <c r="L522">
        <f ca="1">DAYS360(INDIRECT(C69&amp;ROW()),TODAY())</f>
        <v>722</v>
      </c>
      <c r="M522">
        <f ca="1">HYPERLINK(CONCATENATE("https://bugzilla.houston.hp.com:1181/bugzilla/show_bug.cgi?id=",INDIRECT(C70&amp;ROW())),INDIRECT(C70&amp;ROW()))</f>
        <v>61618</v>
      </c>
      <c r="N522">
        <v>61618</v>
      </c>
      <c r="O522" t="s">
        <v>19</v>
      </c>
      <c r="P522" t="s">
        <v>992</v>
      </c>
      <c r="Q522" t="s">
        <v>16</v>
      </c>
      <c r="R522" t="s">
        <v>248</v>
      </c>
      <c r="S522" t="s">
        <v>552</v>
      </c>
      <c r="U522" s="6">
        <v>42124.327488425923</v>
      </c>
      <c r="V522" t="s">
        <v>18</v>
      </c>
      <c r="W522" t="s">
        <v>783</v>
      </c>
      <c r="X522" s="6">
        <v>42124.327488425923</v>
      </c>
      <c r="Y522" t="s">
        <v>846</v>
      </c>
      <c r="AB522" t="s">
        <v>201</v>
      </c>
      <c r="AC522" t="s">
        <v>247</v>
      </c>
      <c r="AD522" t="s">
        <v>220</v>
      </c>
      <c r="AE522" t="s">
        <v>290</v>
      </c>
      <c r="AG522" t="s">
        <v>121</v>
      </c>
      <c r="AH522" t="s">
        <v>327</v>
      </c>
      <c r="AI522" t="s">
        <v>121</v>
      </c>
      <c r="AJ522" t="s">
        <v>717</v>
      </c>
      <c r="AK522" t="s">
        <v>121</v>
      </c>
    </row>
    <row r="523" spans="9:37" x14ac:dyDescent="0.3">
      <c r="I523">
        <f ca="1">IF(OR(INDIRECT(A73&amp;ROW())=B93,INDIRECT(A73&amp;ROW())=B94),1,IF(AND(INDIRECT(A73&amp;ROW())=B95,INDIRECT(A96&amp;ROW())=C93),1,IF(AND(INDIRECT(A73&amp;ROW())=B95,INDIRECT(A96&amp;ROW())=C94),1,0)))</f>
        <v>0</v>
      </c>
      <c r="J523">
        <f ca="1">IF(AND(INDIRECT(A73&amp;ROW())=B95,INDIRECT(A96&amp;ROW())=C95),1,IF(AND(INDIRECT(A73&amp;ROW())=B95,INDIRECT(A96&amp;ROW())=C96),1,0))</f>
        <v>0</v>
      </c>
      <c r="K523">
        <f ca="1">DAYS360(INDIRECT(C68&amp;ROW()),TODAY())</f>
        <v>681</v>
      </c>
      <c r="L523">
        <f ca="1">DAYS360(INDIRECT(C69&amp;ROW()),TODAY())</f>
        <v>722</v>
      </c>
      <c r="M523">
        <f ca="1">HYPERLINK(CONCATENATE("https://bugzilla.houston.hp.com:1181/bugzilla/show_bug.cgi?id=",INDIRECT(C70&amp;ROW())),INDIRECT(C70&amp;ROW()))</f>
        <v>61626</v>
      </c>
      <c r="N523">
        <v>61626</v>
      </c>
      <c r="O523" t="s">
        <v>241</v>
      </c>
      <c r="P523" t="s">
        <v>991</v>
      </c>
      <c r="Q523" t="s">
        <v>16</v>
      </c>
      <c r="R523" t="s">
        <v>251</v>
      </c>
      <c r="S523" t="s">
        <v>296</v>
      </c>
      <c r="T523" t="s">
        <v>794</v>
      </c>
      <c r="U523" s="6">
        <v>42166.569074074076</v>
      </c>
      <c r="V523" t="s">
        <v>18</v>
      </c>
      <c r="W523" t="s">
        <v>17</v>
      </c>
      <c r="X523" s="6">
        <v>42124.338078703702</v>
      </c>
      <c r="Y523" t="s">
        <v>122</v>
      </c>
      <c r="AB523" t="s">
        <v>200</v>
      </c>
      <c r="AC523" t="s">
        <v>933</v>
      </c>
      <c r="AD523" t="s">
        <v>222</v>
      </c>
      <c r="AE523" t="s">
        <v>221</v>
      </c>
      <c r="AG523" t="s">
        <v>121</v>
      </c>
      <c r="AH523" t="s">
        <v>327</v>
      </c>
      <c r="AI523" t="s">
        <v>121</v>
      </c>
      <c r="AJ523" t="s">
        <v>716</v>
      </c>
      <c r="AK523" t="s">
        <v>121</v>
      </c>
    </row>
    <row r="524" spans="9:37" x14ac:dyDescent="0.3">
      <c r="I524">
        <f ca="1">IF(OR(INDIRECT(A73&amp;ROW())=B93,INDIRECT(A73&amp;ROW())=B94),1,IF(AND(INDIRECT(A73&amp;ROW())=B95,INDIRECT(A96&amp;ROW())=C93),1,IF(AND(INDIRECT(A73&amp;ROW())=B95,INDIRECT(A96&amp;ROW())=C94),1,0)))</f>
        <v>0</v>
      </c>
      <c r="J524">
        <f ca="1">IF(AND(INDIRECT(A73&amp;ROW())=B95,INDIRECT(A96&amp;ROW())=C95),1,IF(AND(INDIRECT(A73&amp;ROW())=B95,INDIRECT(A96&amp;ROW())=C96),1,0))</f>
        <v>0</v>
      </c>
      <c r="K524">
        <f ca="1">DAYS360(INDIRECT(C68&amp;ROW()),TODAY())</f>
        <v>721</v>
      </c>
      <c r="L524">
        <f ca="1">DAYS360(INDIRECT(C69&amp;ROW()),TODAY())</f>
        <v>722</v>
      </c>
      <c r="M524">
        <f ca="1">HYPERLINK(CONCATENATE("https://bugzilla.houston.hp.com:1181/bugzilla/show_bug.cgi?id=",INDIRECT(C70&amp;ROW())),INDIRECT(C70&amp;ROW()))</f>
        <v>61630</v>
      </c>
      <c r="N524">
        <v>61630</v>
      </c>
      <c r="O524" t="s">
        <v>241</v>
      </c>
      <c r="P524" t="s">
        <v>990</v>
      </c>
      <c r="Q524" t="s">
        <v>16</v>
      </c>
      <c r="R524" t="s">
        <v>783</v>
      </c>
      <c r="S524" t="s">
        <v>552</v>
      </c>
      <c r="T524" t="s">
        <v>794</v>
      </c>
      <c r="U524" s="6">
        <v>42125.283414351848</v>
      </c>
      <c r="V524" t="s">
        <v>18</v>
      </c>
      <c r="W524" t="s">
        <v>17</v>
      </c>
      <c r="X524" s="6">
        <v>42124.355034722219</v>
      </c>
      <c r="Y524" t="s">
        <v>122</v>
      </c>
      <c r="AB524" t="s">
        <v>200</v>
      </c>
      <c r="AC524" t="s">
        <v>933</v>
      </c>
      <c r="AD524" t="s">
        <v>222</v>
      </c>
      <c r="AE524" t="s">
        <v>221</v>
      </c>
      <c r="AG524" t="s">
        <v>121</v>
      </c>
      <c r="AH524" t="s">
        <v>327</v>
      </c>
      <c r="AI524" t="s">
        <v>121</v>
      </c>
      <c r="AJ524" t="s">
        <v>716</v>
      </c>
      <c r="AK524" t="s">
        <v>121</v>
      </c>
    </row>
    <row r="525" spans="9:37" x14ac:dyDescent="0.3">
      <c r="I525">
        <f ca="1">IF(OR(INDIRECT(A73&amp;ROW())=B93,INDIRECT(A73&amp;ROW())=B94),1,IF(AND(INDIRECT(A73&amp;ROW())=B95,INDIRECT(A96&amp;ROW())=C93),1,IF(AND(INDIRECT(A73&amp;ROW())=B95,INDIRECT(A96&amp;ROW())=C94),1,0)))</f>
        <v>0</v>
      </c>
      <c r="J525">
        <f ca="1">IF(AND(INDIRECT(A73&amp;ROW())=B95,INDIRECT(A96&amp;ROW())=C95),1,IF(AND(INDIRECT(A73&amp;ROW())=B95,INDIRECT(A96&amp;ROW())=C96),1,0))</f>
        <v>0</v>
      </c>
      <c r="K525">
        <f ca="1">DAYS360(INDIRECT(C68&amp;ROW()),TODAY())</f>
        <v>721</v>
      </c>
      <c r="L525">
        <f ca="1">DAYS360(INDIRECT(C69&amp;ROW()),TODAY())</f>
        <v>722</v>
      </c>
      <c r="M525">
        <f ca="1">HYPERLINK(CONCATENATE("https://bugzilla.houston.hp.com:1181/bugzilla/show_bug.cgi?id=",INDIRECT(C70&amp;ROW())),INDIRECT(C70&amp;ROW()))</f>
        <v>61631</v>
      </c>
      <c r="N525">
        <v>61631</v>
      </c>
      <c r="O525" t="s">
        <v>241</v>
      </c>
      <c r="P525" t="s">
        <v>989</v>
      </c>
      <c r="Q525" t="s">
        <v>16</v>
      </c>
      <c r="R525" t="s">
        <v>248</v>
      </c>
      <c r="S525" t="s">
        <v>552</v>
      </c>
      <c r="T525" t="s">
        <v>794</v>
      </c>
      <c r="U525" s="6">
        <v>42125.283402777779</v>
      </c>
      <c r="V525" t="s">
        <v>18</v>
      </c>
      <c r="W525" t="s">
        <v>17</v>
      </c>
      <c r="X525" s="6">
        <v>42124.355138888888</v>
      </c>
      <c r="Y525" t="s">
        <v>122</v>
      </c>
      <c r="AB525" t="s">
        <v>200</v>
      </c>
      <c r="AC525" t="s">
        <v>933</v>
      </c>
      <c r="AD525" t="s">
        <v>222</v>
      </c>
      <c r="AE525" t="s">
        <v>221</v>
      </c>
      <c r="AG525" t="s">
        <v>121</v>
      </c>
      <c r="AH525" t="s">
        <v>327</v>
      </c>
      <c r="AI525" t="s">
        <v>121</v>
      </c>
      <c r="AJ525" t="s">
        <v>716</v>
      </c>
      <c r="AK525" t="s">
        <v>121</v>
      </c>
    </row>
    <row r="526" spans="9:37" x14ac:dyDescent="0.3">
      <c r="I526">
        <f ca="1">IF(OR(INDIRECT(A73&amp;ROW())=B93,INDIRECT(A73&amp;ROW())=B94),1,IF(AND(INDIRECT(A73&amp;ROW())=B95,INDIRECT(A96&amp;ROW())=C93),1,IF(AND(INDIRECT(A73&amp;ROW())=B95,INDIRECT(A96&amp;ROW())=C94),1,0)))</f>
        <v>1</v>
      </c>
      <c r="J526">
        <f ca="1">IF(AND(INDIRECT(A73&amp;ROW())=B95,INDIRECT(A96&amp;ROW())=C95),1,IF(AND(INDIRECT(A73&amp;ROW())=B95,INDIRECT(A96&amp;ROW())=C96),1,0))</f>
        <v>0</v>
      </c>
      <c r="K526">
        <f ca="1">DAYS360(INDIRECT(C68&amp;ROW()),TODAY())</f>
        <v>721</v>
      </c>
      <c r="L526">
        <f ca="1">DAYS360(INDIRECT(C69&amp;ROW()),TODAY())</f>
        <v>721</v>
      </c>
      <c r="M526">
        <f ca="1">HYPERLINK(CONCATENATE("https://bugzilla.houston.hp.com:1181/bugzilla/show_bug.cgi?id=",INDIRECT(C70&amp;ROW())),INDIRECT(C70&amp;ROW()))</f>
        <v>61690</v>
      </c>
      <c r="N526">
        <v>61690</v>
      </c>
      <c r="O526" t="s">
        <v>45</v>
      </c>
      <c r="P526" t="s">
        <v>1006</v>
      </c>
      <c r="Q526" t="s">
        <v>38</v>
      </c>
      <c r="R526" t="s">
        <v>248</v>
      </c>
      <c r="S526" t="s">
        <v>552</v>
      </c>
      <c r="U526" s="6">
        <v>42125.427094907405</v>
      </c>
      <c r="V526" t="s">
        <v>18</v>
      </c>
      <c r="W526" t="s">
        <v>248</v>
      </c>
      <c r="X526" s="6">
        <v>42125.427094907405</v>
      </c>
      <c r="Y526" t="s">
        <v>793</v>
      </c>
      <c r="AB526" t="s">
        <v>200</v>
      </c>
      <c r="AC526" t="s">
        <v>247</v>
      </c>
      <c r="AD526" t="s">
        <v>227</v>
      </c>
      <c r="AE526" t="s">
        <v>226</v>
      </c>
      <c r="AG526" t="s">
        <v>121</v>
      </c>
      <c r="AH526" t="s">
        <v>327</v>
      </c>
      <c r="AI526" t="s">
        <v>121</v>
      </c>
      <c r="AJ526" t="s">
        <v>715</v>
      </c>
      <c r="AK526" t="s">
        <v>121</v>
      </c>
    </row>
    <row r="527" spans="9:37" x14ac:dyDescent="0.3">
      <c r="I527">
        <f ca="1">IF(OR(INDIRECT(A73&amp;ROW())=B93,INDIRECT(A73&amp;ROW())=B94),1,IF(AND(INDIRECT(A73&amp;ROW())=B95,INDIRECT(A96&amp;ROW())=C93),1,IF(AND(INDIRECT(A73&amp;ROW())=B95,INDIRECT(A96&amp;ROW())=C94),1,0)))</f>
        <v>1</v>
      </c>
      <c r="J527">
        <f ca="1">IF(AND(INDIRECT(A73&amp;ROW())=B95,INDIRECT(A96&amp;ROW())=C95),1,IF(AND(INDIRECT(A73&amp;ROW())=B95,INDIRECT(A96&amp;ROW())=C96),1,0))</f>
        <v>0</v>
      </c>
      <c r="K527">
        <f ca="1">DAYS360(INDIRECT(C68&amp;ROW()),TODAY())</f>
        <v>680</v>
      </c>
      <c r="L527">
        <f ca="1">DAYS360(INDIRECT(C69&amp;ROW()),TODAY())</f>
        <v>721</v>
      </c>
      <c r="M527">
        <f ca="1">HYPERLINK(CONCATENATE("https://bugzilla.houston.hp.com:1181/bugzilla/show_bug.cgi?id=",INDIRECT(C70&amp;ROW())),INDIRECT(C70&amp;ROW()))</f>
        <v>61692</v>
      </c>
      <c r="N527">
        <v>61692</v>
      </c>
      <c r="O527" t="s">
        <v>187</v>
      </c>
      <c r="P527" t="s">
        <v>1005</v>
      </c>
      <c r="Q527" t="s">
        <v>25</v>
      </c>
      <c r="R527" t="s">
        <v>251</v>
      </c>
      <c r="S527" t="s">
        <v>296</v>
      </c>
      <c r="U527" s="6">
        <v>42167.263356481482</v>
      </c>
      <c r="V527" t="s">
        <v>35</v>
      </c>
      <c r="W527" t="s">
        <v>17</v>
      </c>
      <c r="X527" s="6">
        <v>42125.429236111115</v>
      </c>
      <c r="Y527" t="s">
        <v>122</v>
      </c>
      <c r="AB527" t="s">
        <v>200</v>
      </c>
      <c r="AC527" t="s">
        <v>247</v>
      </c>
      <c r="AD527" t="s">
        <v>220</v>
      </c>
      <c r="AE527" t="s">
        <v>223</v>
      </c>
      <c r="AG527" t="s">
        <v>121</v>
      </c>
      <c r="AH527" t="s">
        <v>327</v>
      </c>
      <c r="AI527" t="s">
        <v>121</v>
      </c>
      <c r="AJ527" t="s">
        <v>715</v>
      </c>
      <c r="AK527" t="s">
        <v>121</v>
      </c>
    </row>
    <row r="528" spans="9:37" x14ac:dyDescent="0.3">
      <c r="I528">
        <f ca="1">IF(OR(INDIRECT(A73&amp;ROW())=B93,INDIRECT(A73&amp;ROW())=B94),1,IF(AND(INDIRECT(A73&amp;ROW())=B95,INDIRECT(A96&amp;ROW())=C93),1,IF(AND(INDIRECT(A73&amp;ROW())=B95,INDIRECT(A96&amp;ROW())=C94),1,0)))</f>
        <v>1</v>
      </c>
      <c r="J528">
        <f ca="1">IF(AND(INDIRECT(A73&amp;ROW())=B95,INDIRECT(A96&amp;ROW())=C95),1,IF(AND(INDIRECT(A73&amp;ROW())=B95,INDIRECT(A96&amp;ROW())=C96),1,0))</f>
        <v>0</v>
      </c>
      <c r="K528">
        <f ca="1">DAYS360(INDIRECT(C68&amp;ROW()),TODAY())</f>
        <v>690</v>
      </c>
      <c r="L528">
        <f ca="1">DAYS360(INDIRECT(C69&amp;ROW()),TODAY())</f>
        <v>721</v>
      </c>
      <c r="M528">
        <f ca="1">HYPERLINK(CONCATENATE("https://bugzilla.houston.hp.com:1181/bugzilla/show_bug.cgi?id=",INDIRECT(C70&amp;ROW())),INDIRECT(C70&amp;ROW()))</f>
        <v>61696</v>
      </c>
      <c r="N528">
        <v>61696</v>
      </c>
      <c r="O528" t="s">
        <v>45</v>
      </c>
      <c r="P528" t="s">
        <v>1021</v>
      </c>
      <c r="Q528" t="s">
        <v>39</v>
      </c>
      <c r="R528" t="s">
        <v>251</v>
      </c>
      <c r="S528" t="s">
        <v>52</v>
      </c>
      <c r="T528" t="s">
        <v>48</v>
      </c>
      <c r="U528" s="6">
        <v>42157.342395833337</v>
      </c>
      <c r="V528" t="s">
        <v>35</v>
      </c>
      <c r="W528" t="s">
        <v>783</v>
      </c>
      <c r="X528" s="6">
        <v>42125.491550925923</v>
      </c>
      <c r="Y528" t="s">
        <v>119</v>
      </c>
      <c r="AB528" t="s">
        <v>201</v>
      </c>
      <c r="AC528" t="s">
        <v>247</v>
      </c>
      <c r="AD528" t="s">
        <v>227</v>
      </c>
      <c r="AE528" t="s">
        <v>226</v>
      </c>
      <c r="AG528" t="s">
        <v>121</v>
      </c>
      <c r="AH528" t="s">
        <v>327</v>
      </c>
      <c r="AI528" t="s">
        <v>121</v>
      </c>
      <c r="AJ528" t="s">
        <v>715</v>
      </c>
      <c r="AK528" t="s">
        <v>121</v>
      </c>
    </row>
    <row r="529" spans="9:37" x14ac:dyDescent="0.3">
      <c r="I529">
        <f ca="1">IF(OR(INDIRECT(A73&amp;ROW())=B93,INDIRECT(A73&amp;ROW())=B94),1,IF(AND(INDIRECT(A73&amp;ROW())=B95,INDIRECT(A96&amp;ROW())=C93),1,IF(AND(INDIRECT(A73&amp;ROW())=B95,INDIRECT(A96&amp;ROW())=C94),1,0)))</f>
        <v>1</v>
      </c>
      <c r="J529">
        <f ca="1">IF(AND(INDIRECT(A73&amp;ROW())=B95,INDIRECT(A96&amp;ROW())=C95),1,IF(AND(INDIRECT(A73&amp;ROW())=B95,INDIRECT(A96&amp;ROW())=C96),1,0))</f>
        <v>0</v>
      </c>
      <c r="K529">
        <f ca="1">DAYS360(INDIRECT(C68&amp;ROW()),TODAY())</f>
        <v>676</v>
      </c>
      <c r="L529">
        <f ca="1">DAYS360(INDIRECT(C69&amp;ROW()),TODAY())</f>
        <v>721</v>
      </c>
      <c r="M529">
        <f ca="1">HYPERLINK(CONCATENATE("https://bugzilla.houston.hp.com:1181/bugzilla/show_bug.cgi?id=",INDIRECT(C70&amp;ROW())),INDIRECT(C70&amp;ROW()))</f>
        <v>61705</v>
      </c>
      <c r="N529">
        <v>61705</v>
      </c>
      <c r="O529" t="s">
        <v>187</v>
      </c>
      <c r="P529" t="s">
        <v>1004</v>
      </c>
      <c r="Q529" t="s">
        <v>25</v>
      </c>
      <c r="R529" t="s">
        <v>579</v>
      </c>
      <c r="S529" t="s">
        <v>552</v>
      </c>
      <c r="U529" s="6">
        <v>42171.023113425923</v>
      </c>
      <c r="V529" t="s">
        <v>18</v>
      </c>
      <c r="W529" t="s">
        <v>17</v>
      </c>
      <c r="X529" s="6">
        <v>42125.516134259262</v>
      </c>
      <c r="Y529" t="s">
        <v>122</v>
      </c>
      <c r="AB529" t="s">
        <v>200</v>
      </c>
      <c r="AC529" t="s">
        <v>247</v>
      </c>
      <c r="AD529" t="s">
        <v>220</v>
      </c>
      <c r="AE529" t="s">
        <v>223</v>
      </c>
      <c r="AG529" t="s">
        <v>121</v>
      </c>
      <c r="AH529" t="s">
        <v>327</v>
      </c>
      <c r="AI529" t="s">
        <v>121</v>
      </c>
      <c r="AJ529" t="s">
        <v>715</v>
      </c>
      <c r="AK529" t="s">
        <v>121</v>
      </c>
    </row>
    <row r="530" spans="9:37" x14ac:dyDescent="0.3">
      <c r="I530">
        <f ca="1">IF(OR(INDIRECT(A73&amp;ROW())=B93,INDIRECT(A73&amp;ROW())=B94),1,IF(AND(INDIRECT(A73&amp;ROW())=B95,INDIRECT(A96&amp;ROW())=C93),1,IF(AND(INDIRECT(A73&amp;ROW())=B95,INDIRECT(A96&amp;ROW())=C94),1,0)))</f>
        <v>1</v>
      </c>
      <c r="J530">
        <f ca="1">IF(AND(INDIRECT(A73&amp;ROW())=B95,INDIRECT(A96&amp;ROW())=C95),1,IF(AND(INDIRECT(A73&amp;ROW())=B95,INDIRECT(A96&amp;ROW())=C96),1,0))</f>
        <v>0</v>
      </c>
      <c r="K530">
        <f ca="1">DAYS360(INDIRECT(C68&amp;ROW()),TODAY())</f>
        <v>676</v>
      </c>
      <c r="L530">
        <f ca="1">DAYS360(INDIRECT(C69&amp;ROW()),TODAY())</f>
        <v>721</v>
      </c>
      <c r="M530">
        <f ca="1">HYPERLINK(CONCATENATE("https://bugzilla.houston.hp.com:1181/bugzilla/show_bug.cgi?id=",INDIRECT(C70&amp;ROW())),INDIRECT(C70&amp;ROW()))</f>
        <v>61706</v>
      </c>
      <c r="N530">
        <v>61706</v>
      </c>
      <c r="O530" t="s">
        <v>187</v>
      </c>
      <c r="P530" t="s">
        <v>1003</v>
      </c>
      <c r="Q530" t="s">
        <v>25</v>
      </c>
      <c r="R530" t="s">
        <v>783</v>
      </c>
      <c r="S530" t="s">
        <v>552</v>
      </c>
      <c r="U530" s="6">
        <v>42171.023194444446</v>
      </c>
      <c r="V530" t="s">
        <v>18</v>
      </c>
      <c r="W530" t="s">
        <v>17</v>
      </c>
      <c r="X530" s="6">
        <v>42125.516192129631</v>
      </c>
      <c r="Y530" t="s">
        <v>122</v>
      </c>
      <c r="AB530" t="s">
        <v>200</v>
      </c>
      <c r="AC530" t="s">
        <v>247</v>
      </c>
      <c r="AD530" t="s">
        <v>220</v>
      </c>
      <c r="AE530" t="s">
        <v>223</v>
      </c>
      <c r="AG530" t="s">
        <v>337</v>
      </c>
      <c r="AH530" t="s">
        <v>327</v>
      </c>
      <c r="AI530" t="s">
        <v>362</v>
      </c>
      <c r="AJ530" t="s">
        <v>715</v>
      </c>
      <c r="AK530" t="s">
        <v>1206</v>
      </c>
    </row>
    <row r="531" spans="9:37" x14ac:dyDescent="0.3">
      <c r="I531">
        <f ca="1">IF(OR(INDIRECT(A73&amp;ROW())=B93,INDIRECT(A73&amp;ROW())=B94),1,IF(AND(INDIRECT(A73&amp;ROW())=B95,INDIRECT(A96&amp;ROW())=C93),1,IF(AND(INDIRECT(A73&amp;ROW())=B95,INDIRECT(A96&amp;ROW())=C94),1,0)))</f>
        <v>1</v>
      </c>
      <c r="J531">
        <f ca="1">IF(AND(INDIRECT(A73&amp;ROW())=B95,INDIRECT(A96&amp;ROW())=C95),1,IF(AND(INDIRECT(A73&amp;ROW())=B95,INDIRECT(A96&amp;ROW())=C96),1,0))</f>
        <v>0</v>
      </c>
      <c r="K531">
        <f ca="1">DAYS360(INDIRECT(C68&amp;ROW()),TODAY())</f>
        <v>676</v>
      </c>
      <c r="L531">
        <f ca="1">DAYS360(INDIRECT(C69&amp;ROW()),TODAY())</f>
        <v>721</v>
      </c>
      <c r="M531">
        <f ca="1">HYPERLINK(CONCATENATE("https://bugzilla.houston.hp.com:1181/bugzilla/show_bug.cgi?id=",INDIRECT(C70&amp;ROW())),INDIRECT(C70&amp;ROW()))</f>
        <v>61707</v>
      </c>
      <c r="N531">
        <v>61707</v>
      </c>
      <c r="O531" t="s">
        <v>187</v>
      </c>
      <c r="P531" t="s">
        <v>1002</v>
      </c>
      <c r="Q531" t="s">
        <v>25</v>
      </c>
      <c r="R531" t="s">
        <v>248</v>
      </c>
      <c r="S531" t="s">
        <v>552</v>
      </c>
      <c r="U531" s="6">
        <v>42171.023229166669</v>
      </c>
      <c r="V531" t="s">
        <v>18</v>
      </c>
      <c r="W531" t="s">
        <v>17</v>
      </c>
      <c r="X531" s="6">
        <v>42125.516250000001</v>
      </c>
      <c r="Y531" t="s">
        <v>122</v>
      </c>
      <c r="AB531" t="s">
        <v>200</v>
      </c>
      <c r="AC531" t="s">
        <v>247</v>
      </c>
      <c r="AD531" t="s">
        <v>220</v>
      </c>
      <c r="AE531" t="s">
        <v>223</v>
      </c>
      <c r="AG531" t="s">
        <v>121</v>
      </c>
      <c r="AH531" t="s">
        <v>327</v>
      </c>
      <c r="AI531" t="s">
        <v>121</v>
      </c>
      <c r="AJ531" t="s">
        <v>715</v>
      </c>
      <c r="AK531" t="s">
        <v>121</v>
      </c>
    </row>
    <row r="532" spans="9:37" x14ac:dyDescent="0.3">
      <c r="I532">
        <f ca="1">IF(OR(INDIRECT(A73&amp;ROW())=B93,INDIRECT(A73&amp;ROW())=B94),1,IF(AND(INDIRECT(A73&amp;ROW())=B95,INDIRECT(A96&amp;ROW())=C93),1,IF(AND(INDIRECT(A73&amp;ROW())=B95,INDIRECT(A96&amp;ROW())=C94),1,0)))</f>
        <v>1</v>
      </c>
      <c r="J532">
        <f ca="1">IF(AND(INDIRECT(A73&amp;ROW())=B95,INDIRECT(A96&amp;ROW())=C95),1,IF(AND(INDIRECT(A73&amp;ROW())=B95,INDIRECT(A96&amp;ROW())=C96),1,0))</f>
        <v>0</v>
      </c>
      <c r="K532">
        <f ca="1">DAYS360(INDIRECT(C68&amp;ROW()),TODAY())</f>
        <v>707</v>
      </c>
      <c r="L532">
        <f ca="1">DAYS360(INDIRECT(C69&amp;ROW()),TODAY())</f>
        <v>721</v>
      </c>
      <c r="M532">
        <f ca="1">HYPERLINK(CONCATENATE("https://bugzilla.houston.hp.com:1181/bugzilla/show_bug.cgi?id=",INDIRECT(C70&amp;ROW())),INDIRECT(C70&amp;ROW()))</f>
        <v>61712</v>
      </c>
      <c r="N532">
        <v>61712</v>
      </c>
      <c r="O532" t="s">
        <v>45</v>
      </c>
      <c r="P532" t="s">
        <v>1001</v>
      </c>
      <c r="Q532" t="s">
        <v>39</v>
      </c>
      <c r="R532" t="s">
        <v>579</v>
      </c>
      <c r="S532" t="s">
        <v>552</v>
      </c>
      <c r="T532" t="s">
        <v>1024</v>
      </c>
      <c r="U532" s="6">
        <v>42139.527569444443</v>
      </c>
      <c r="V532" t="s">
        <v>40</v>
      </c>
      <c r="W532" t="s">
        <v>783</v>
      </c>
      <c r="X532" s="6">
        <v>42125.516759259262</v>
      </c>
      <c r="Y532" t="s">
        <v>119</v>
      </c>
      <c r="AB532" t="s">
        <v>201</v>
      </c>
      <c r="AC532" t="s">
        <v>247</v>
      </c>
      <c r="AD532" t="s">
        <v>227</v>
      </c>
      <c r="AE532" t="s">
        <v>226</v>
      </c>
      <c r="AG532" t="s">
        <v>121</v>
      </c>
      <c r="AH532" t="s">
        <v>327</v>
      </c>
      <c r="AI532" t="s">
        <v>362</v>
      </c>
      <c r="AJ532" t="s">
        <v>715</v>
      </c>
      <c r="AK532" t="s">
        <v>121</v>
      </c>
    </row>
    <row r="533" spans="9:37" x14ac:dyDescent="0.3">
      <c r="I533">
        <f ca="1">IF(OR(INDIRECT(A73&amp;ROW())=B93,INDIRECT(A73&amp;ROW())=B94),1,IF(AND(INDIRECT(A73&amp;ROW())=B95,INDIRECT(A96&amp;ROW())=C93),1,IF(AND(INDIRECT(A73&amp;ROW())=B95,INDIRECT(A96&amp;ROW())=C94),1,0)))</f>
        <v>0</v>
      </c>
      <c r="J533">
        <f ca="1">IF(AND(INDIRECT(A73&amp;ROW())=B95,INDIRECT(A96&amp;ROW())=C95),1,IF(AND(INDIRECT(A73&amp;ROW())=B95,INDIRECT(A96&amp;ROW())=C96),1,0))</f>
        <v>0</v>
      </c>
      <c r="K533">
        <f ca="1">DAYS360(INDIRECT(C68&amp;ROW()),TODAY())</f>
        <v>710</v>
      </c>
      <c r="L533">
        <f ca="1">DAYS360(INDIRECT(C69&amp;ROW()),TODAY())</f>
        <v>716</v>
      </c>
      <c r="M533">
        <f ca="1">HYPERLINK(CONCATENATE("https://bugzilla.houston.hp.com:1181/bugzilla/show_bug.cgi?id=",INDIRECT(C70&amp;ROW())),INDIRECT(C70&amp;ROW()))</f>
        <v>61875</v>
      </c>
      <c r="N533">
        <v>61875</v>
      </c>
      <c r="O533" t="s">
        <v>59</v>
      </c>
      <c r="P533" t="s">
        <v>1010</v>
      </c>
      <c r="Q533" t="s">
        <v>16</v>
      </c>
      <c r="R533" t="s">
        <v>251</v>
      </c>
      <c r="S533" t="s">
        <v>296</v>
      </c>
      <c r="U533" s="6">
        <v>42136.418356481481</v>
      </c>
      <c r="V533" t="s">
        <v>18</v>
      </c>
      <c r="W533" t="s">
        <v>17</v>
      </c>
      <c r="X533" s="6">
        <v>42130.171030092592</v>
      </c>
      <c r="Y533" t="s">
        <v>122</v>
      </c>
      <c r="AB533" t="s">
        <v>201</v>
      </c>
      <c r="AC533" t="s">
        <v>247</v>
      </c>
      <c r="AD533" t="s">
        <v>222</v>
      </c>
      <c r="AE533" t="s">
        <v>228</v>
      </c>
      <c r="AG533" t="s">
        <v>121</v>
      </c>
      <c r="AH533" t="s">
        <v>327</v>
      </c>
      <c r="AI533" t="s">
        <v>121</v>
      </c>
      <c r="AJ533" t="s">
        <v>717</v>
      </c>
      <c r="AK533" t="s">
        <v>121</v>
      </c>
    </row>
    <row r="534" spans="9:37" x14ac:dyDescent="0.3">
      <c r="I534">
        <f ca="1">IF(OR(INDIRECT(A73&amp;ROW())=B93,INDIRECT(A73&amp;ROW())=B94),1,IF(AND(INDIRECT(A73&amp;ROW())=B95,INDIRECT(A96&amp;ROW())=C93),1,IF(AND(INDIRECT(A73&amp;ROW())=B95,INDIRECT(A96&amp;ROW())=C94),1,0)))</f>
        <v>0</v>
      </c>
      <c r="J534">
        <f ca="1">IF(AND(INDIRECT(A73&amp;ROW())=B95,INDIRECT(A96&amp;ROW())=C95),1,IF(AND(INDIRECT(A73&amp;ROW())=B95,INDIRECT(A96&amp;ROW())=C96),1,0))</f>
        <v>0</v>
      </c>
      <c r="K534">
        <f ca="1">DAYS360(INDIRECT(C68&amp;ROW()),TODAY())</f>
        <v>710</v>
      </c>
      <c r="L534">
        <f ca="1">DAYS360(INDIRECT(C69&amp;ROW()),TODAY())</f>
        <v>716</v>
      </c>
      <c r="M534">
        <f ca="1">HYPERLINK(CONCATENATE("https://bugzilla.houston.hp.com:1181/bugzilla/show_bug.cgi?id=",INDIRECT(C70&amp;ROW())),INDIRECT(C70&amp;ROW()))</f>
        <v>61891</v>
      </c>
      <c r="N534">
        <v>61891</v>
      </c>
      <c r="O534" t="s">
        <v>59</v>
      </c>
      <c r="P534" t="s">
        <v>1009</v>
      </c>
      <c r="Q534" t="s">
        <v>16</v>
      </c>
      <c r="R534" t="s">
        <v>783</v>
      </c>
      <c r="S534" t="s">
        <v>552</v>
      </c>
      <c r="U534" s="6">
        <v>42136.418379629627</v>
      </c>
      <c r="V534" t="s">
        <v>18</v>
      </c>
      <c r="W534" t="s">
        <v>17</v>
      </c>
      <c r="X534" s="6">
        <v>42130.330787037034</v>
      </c>
      <c r="Y534" t="s">
        <v>122</v>
      </c>
      <c r="AB534" t="s">
        <v>201</v>
      </c>
      <c r="AC534" t="s">
        <v>247</v>
      </c>
      <c r="AD534" t="s">
        <v>222</v>
      </c>
      <c r="AE534" t="s">
        <v>228</v>
      </c>
      <c r="AG534" t="s">
        <v>121</v>
      </c>
      <c r="AH534" t="s">
        <v>327</v>
      </c>
      <c r="AI534" t="s">
        <v>121</v>
      </c>
      <c r="AJ534" t="s">
        <v>717</v>
      </c>
      <c r="AK534" t="s">
        <v>121</v>
      </c>
    </row>
    <row r="535" spans="9:37" x14ac:dyDescent="0.3">
      <c r="I535">
        <f ca="1">IF(OR(INDIRECT(A73&amp;ROW())=B93,INDIRECT(A73&amp;ROW())=B94),1,IF(AND(INDIRECT(A73&amp;ROW())=B95,INDIRECT(A96&amp;ROW())=C93),1,IF(AND(INDIRECT(A73&amp;ROW())=B95,INDIRECT(A96&amp;ROW())=C94),1,0)))</f>
        <v>0</v>
      </c>
      <c r="J535">
        <f ca="1">IF(AND(INDIRECT(A73&amp;ROW())=B95,INDIRECT(A96&amp;ROW())=C95),1,IF(AND(INDIRECT(A73&amp;ROW())=B95,INDIRECT(A96&amp;ROW())=C96),1,0))</f>
        <v>0</v>
      </c>
      <c r="K535">
        <f ca="1">DAYS360(INDIRECT(C68&amp;ROW()),TODAY())</f>
        <v>710</v>
      </c>
      <c r="L535">
        <f ca="1">DAYS360(INDIRECT(C69&amp;ROW()),TODAY())</f>
        <v>716</v>
      </c>
      <c r="M535">
        <f ca="1">HYPERLINK(CONCATENATE("https://bugzilla.houston.hp.com:1181/bugzilla/show_bug.cgi?id=",INDIRECT(C70&amp;ROW())),INDIRECT(C70&amp;ROW()))</f>
        <v>61892</v>
      </c>
      <c r="N535">
        <v>61892</v>
      </c>
      <c r="O535" t="s">
        <v>59</v>
      </c>
      <c r="P535" t="s">
        <v>1008</v>
      </c>
      <c r="Q535" t="s">
        <v>16</v>
      </c>
      <c r="R535" t="s">
        <v>248</v>
      </c>
      <c r="S535" t="s">
        <v>552</v>
      </c>
      <c r="U535" s="6">
        <v>42136.418391203704</v>
      </c>
      <c r="V535" t="s">
        <v>18</v>
      </c>
      <c r="W535" t="s">
        <v>17</v>
      </c>
      <c r="X535" s="6">
        <v>42130.330891203703</v>
      </c>
      <c r="Y535" t="s">
        <v>122</v>
      </c>
      <c r="AB535" t="s">
        <v>201</v>
      </c>
      <c r="AC535" t="s">
        <v>247</v>
      </c>
      <c r="AD535" t="s">
        <v>222</v>
      </c>
      <c r="AE535" t="s">
        <v>228</v>
      </c>
      <c r="AG535" t="s">
        <v>121</v>
      </c>
      <c r="AH535" t="s">
        <v>327</v>
      </c>
      <c r="AI535" t="s">
        <v>121</v>
      </c>
      <c r="AJ535" t="s">
        <v>717</v>
      </c>
      <c r="AK535" t="s">
        <v>121</v>
      </c>
    </row>
    <row r="536" spans="9:37" x14ac:dyDescent="0.3">
      <c r="I536">
        <f ca="1">IF(OR(INDIRECT(A73&amp;ROW())=B93,INDIRECT(A73&amp;ROW())=B94),1,IF(AND(INDIRECT(A73&amp;ROW())=B95,INDIRECT(A96&amp;ROW())=C93),1,IF(AND(INDIRECT(A73&amp;ROW())=B95,INDIRECT(A96&amp;ROW())=C94),1,0)))</f>
        <v>1</v>
      </c>
      <c r="J536">
        <f ca="1">IF(AND(INDIRECT(A73&amp;ROW())=B95,INDIRECT(A96&amp;ROW())=C95),1,IF(AND(INDIRECT(A73&amp;ROW())=B95,INDIRECT(A96&amp;ROW())=C96),1,0))</f>
        <v>0</v>
      </c>
      <c r="K536">
        <f ca="1">DAYS360(INDIRECT(C68&amp;ROW()),TODAY())</f>
        <v>690</v>
      </c>
      <c r="L536">
        <f ca="1">DAYS360(INDIRECT(C69&amp;ROW()),TODAY())</f>
        <v>716</v>
      </c>
      <c r="M536">
        <f ca="1">HYPERLINK(CONCATENATE("https://bugzilla.houston.hp.com:1181/bugzilla/show_bug.cgi?id=",INDIRECT(C70&amp;ROW())),INDIRECT(C70&amp;ROW()))</f>
        <v>61897</v>
      </c>
      <c r="N536">
        <v>61897</v>
      </c>
      <c r="O536" t="s">
        <v>241</v>
      </c>
      <c r="P536" t="s">
        <v>1015</v>
      </c>
      <c r="Q536" t="s">
        <v>39</v>
      </c>
      <c r="R536" t="s">
        <v>251</v>
      </c>
      <c r="S536" t="s">
        <v>296</v>
      </c>
      <c r="T536" t="s">
        <v>794</v>
      </c>
      <c r="U536" s="6">
        <v>42157.92628472222</v>
      </c>
      <c r="V536" t="s">
        <v>40</v>
      </c>
      <c r="W536" t="s">
        <v>17</v>
      </c>
      <c r="X536" s="6">
        <v>42130.374155092592</v>
      </c>
      <c r="Y536" t="s">
        <v>122</v>
      </c>
      <c r="AB536" t="s">
        <v>201</v>
      </c>
      <c r="AC536" t="s">
        <v>247</v>
      </c>
      <c r="AD536" t="s">
        <v>222</v>
      </c>
      <c r="AE536" t="s">
        <v>232</v>
      </c>
      <c r="AG536" t="s">
        <v>121</v>
      </c>
      <c r="AH536" t="s">
        <v>327</v>
      </c>
      <c r="AI536" t="s">
        <v>121</v>
      </c>
      <c r="AJ536" t="s">
        <v>715</v>
      </c>
      <c r="AK536" t="s">
        <v>121</v>
      </c>
    </row>
    <row r="537" spans="9:37" x14ac:dyDescent="0.3">
      <c r="I537">
        <f ca="1">IF(OR(INDIRECT(A73&amp;ROW())=B93,INDIRECT(A73&amp;ROW())=B94),1,IF(AND(INDIRECT(A73&amp;ROW())=B95,INDIRECT(A96&amp;ROW())=C93),1,IF(AND(INDIRECT(A73&amp;ROW())=B95,INDIRECT(A96&amp;ROW())=C94),1,0)))</f>
        <v>1</v>
      </c>
      <c r="J537">
        <f ca="1">IF(AND(INDIRECT(A73&amp;ROW())=B95,INDIRECT(A96&amp;ROW())=C95),1,IF(AND(INDIRECT(A73&amp;ROW())=B95,INDIRECT(A96&amp;ROW())=C96),1,0))</f>
        <v>0</v>
      </c>
      <c r="K537">
        <f ca="1">DAYS360(INDIRECT(C68&amp;ROW()),TODAY())</f>
        <v>689</v>
      </c>
      <c r="L537">
        <f ca="1">DAYS360(INDIRECT(C69&amp;ROW()),TODAY())</f>
        <v>716</v>
      </c>
      <c r="M537">
        <f ca="1">HYPERLINK(CONCATENATE("https://bugzilla.houston.hp.com:1181/bugzilla/show_bug.cgi?id=",INDIRECT(C70&amp;ROW())),INDIRECT(C70&amp;ROW()))</f>
        <v>61913</v>
      </c>
      <c r="N537">
        <v>61913</v>
      </c>
      <c r="O537" t="s">
        <v>241</v>
      </c>
      <c r="P537" t="s">
        <v>1014</v>
      </c>
      <c r="Q537" t="s">
        <v>39</v>
      </c>
      <c r="R537" t="s">
        <v>783</v>
      </c>
      <c r="S537" t="s">
        <v>552</v>
      </c>
      <c r="U537" s="6">
        <v>42158.335717592592</v>
      </c>
      <c r="V537" t="s">
        <v>40</v>
      </c>
      <c r="W537" t="s">
        <v>17</v>
      </c>
      <c r="X537" s="6">
        <v>42130.516365740739</v>
      </c>
      <c r="Y537" t="s">
        <v>122</v>
      </c>
      <c r="AB537" t="s">
        <v>201</v>
      </c>
      <c r="AC537" t="s">
        <v>247</v>
      </c>
      <c r="AD537" t="s">
        <v>222</v>
      </c>
      <c r="AE537" t="s">
        <v>232</v>
      </c>
      <c r="AG537" t="s">
        <v>337</v>
      </c>
      <c r="AH537" t="s">
        <v>327</v>
      </c>
      <c r="AI537" t="s">
        <v>362</v>
      </c>
      <c r="AJ537" t="s">
        <v>715</v>
      </c>
      <c r="AK537" t="s">
        <v>121</v>
      </c>
    </row>
    <row r="538" spans="9:37" x14ac:dyDescent="0.3">
      <c r="I538">
        <f ca="1">IF(OR(INDIRECT(A73&amp;ROW())=B93,INDIRECT(A73&amp;ROW())=B94),1,IF(AND(INDIRECT(A73&amp;ROW())=B95,INDIRECT(A96&amp;ROW())=C93),1,IF(AND(INDIRECT(A73&amp;ROW())=B95,INDIRECT(A96&amp;ROW())=C94),1,0)))</f>
        <v>1</v>
      </c>
      <c r="J538">
        <f ca="1">IF(AND(INDIRECT(A73&amp;ROW())=B95,INDIRECT(A96&amp;ROW())=C95),1,IF(AND(INDIRECT(A73&amp;ROW())=B95,INDIRECT(A96&amp;ROW())=C96),1,0))</f>
        <v>0</v>
      </c>
      <c r="K538">
        <f ca="1">DAYS360(INDIRECT(C68&amp;ROW()),TODAY())</f>
        <v>711</v>
      </c>
      <c r="L538">
        <f ca="1">DAYS360(INDIRECT(C69&amp;ROW()),TODAY())</f>
        <v>716</v>
      </c>
      <c r="M538">
        <f ca="1">HYPERLINK(CONCATENATE("https://bugzilla.houston.hp.com:1181/bugzilla/show_bug.cgi?id=",INDIRECT(C70&amp;ROW())),INDIRECT(C70&amp;ROW()))</f>
        <v>61956</v>
      </c>
      <c r="N538">
        <v>61956</v>
      </c>
      <c r="O538" t="s">
        <v>94</v>
      </c>
      <c r="P538" t="s">
        <v>1013</v>
      </c>
      <c r="Q538" t="s">
        <v>39</v>
      </c>
      <c r="R538" t="s">
        <v>251</v>
      </c>
      <c r="S538" t="s">
        <v>65</v>
      </c>
      <c r="U538" s="6">
        <v>42135.376747685186</v>
      </c>
      <c r="V538" t="s">
        <v>40</v>
      </c>
      <c r="W538" t="s">
        <v>783</v>
      </c>
      <c r="X538" s="6">
        <v>42130.945879629631</v>
      </c>
      <c r="Y538" t="s">
        <v>793</v>
      </c>
      <c r="AB538" t="s">
        <v>201</v>
      </c>
      <c r="AC538" t="s">
        <v>247</v>
      </c>
      <c r="AD538" t="s">
        <v>220</v>
      </c>
      <c r="AE538" t="s">
        <v>219</v>
      </c>
      <c r="AG538" t="s">
        <v>121</v>
      </c>
      <c r="AH538" t="s">
        <v>327</v>
      </c>
      <c r="AI538" t="s">
        <v>121</v>
      </c>
      <c r="AJ538" t="s">
        <v>715</v>
      </c>
      <c r="AK538" t="s">
        <v>121</v>
      </c>
    </row>
    <row r="539" spans="9:37" x14ac:dyDescent="0.3">
      <c r="I539">
        <f ca="1">IF(OR(INDIRECT(A73&amp;ROW())=B93,INDIRECT(A73&amp;ROW())=B94),1,IF(AND(INDIRECT(A73&amp;ROW())=B95,INDIRECT(A96&amp;ROW())=C93),1,IF(AND(INDIRECT(A73&amp;ROW())=B95,INDIRECT(A96&amp;ROW())=C94),1,0)))</f>
        <v>1</v>
      </c>
      <c r="J539">
        <f ca="1">IF(AND(INDIRECT(A73&amp;ROW())=B95,INDIRECT(A96&amp;ROW())=C95),1,IF(AND(INDIRECT(A73&amp;ROW())=B95,INDIRECT(A96&amp;ROW())=C96),1,0))</f>
        <v>0</v>
      </c>
      <c r="K539">
        <f ca="1">DAYS360(INDIRECT(C68&amp;ROW()),TODAY())</f>
        <v>711</v>
      </c>
      <c r="L539">
        <f ca="1">DAYS360(INDIRECT(C69&amp;ROW()),TODAY())</f>
        <v>715</v>
      </c>
      <c r="M539">
        <f ca="1">HYPERLINK(CONCATENATE("https://bugzilla.houston.hp.com:1181/bugzilla/show_bug.cgi?id=",INDIRECT(C70&amp;ROW())),INDIRECT(C70&amp;ROW()))</f>
        <v>61959</v>
      </c>
      <c r="N539">
        <v>61959</v>
      </c>
      <c r="O539" t="s">
        <v>65</v>
      </c>
      <c r="P539" t="s">
        <v>1012</v>
      </c>
      <c r="Q539" t="s">
        <v>39</v>
      </c>
      <c r="R539" t="s">
        <v>579</v>
      </c>
      <c r="S539" t="s">
        <v>552</v>
      </c>
      <c r="T539" t="s">
        <v>1018</v>
      </c>
      <c r="U539" s="6">
        <v>42135.558923611112</v>
      </c>
      <c r="V539" t="s">
        <v>18</v>
      </c>
      <c r="W539" t="s">
        <v>783</v>
      </c>
      <c r="X539" s="6">
        <v>42131.016284722224</v>
      </c>
      <c r="Y539" t="s">
        <v>793</v>
      </c>
      <c r="AB539" t="s">
        <v>201</v>
      </c>
      <c r="AC539" t="s">
        <v>247</v>
      </c>
      <c r="AD539" t="s">
        <v>220</v>
      </c>
      <c r="AE539" t="s">
        <v>219</v>
      </c>
      <c r="AG539" t="s">
        <v>121</v>
      </c>
      <c r="AH539" t="s">
        <v>327</v>
      </c>
      <c r="AI539" t="s">
        <v>362</v>
      </c>
      <c r="AJ539" t="s">
        <v>715</v>
      </c>
      <c r="AK539" t="s">
        <v>121</v>
      </c>
    </row>
    <row r="540" spans="9:37" x14ac:dyDescent="0.3">
      <c r="I540">
        <f ca="1">IF(OR(INDIRECT(A73&amp;ROW())=B93,INDIRECT(A73&amp;ROW())=B94),1,IF(AND(INDIRECT(A73&amp;ROW())=B95,INDIRECT(A96&amp;ROW())=C93),1,IF(AND(INDIRECT(A73&amp;ROW())=B95,INDIRECT(A96&amp;ROW())=C94),1,0)))</f>
        <v>0</v>
      </c>
      <c r="J540">
        <f ca="1">IF(AND(INDIRECT(A73&amp;ROW())=B95,INDIRECT(A96&amp;ROW())=C95),1,IF(AND(INDIRECT(A73&amp;ROW())=B95,INDIRECT(A96&amp;ROW())=C96),1,0))</f>
        <v>1</v>
      </c>
      <c r="K540">
        <f ca="1">DAYS360(INDIRECT(C68&amp;ROW()),TODAY())</f>
        <v>711</v>
      </c>
      <c r="L540">
        <f ca="1">DAYS360(INDIRECT(C69&amp;ROW()),TODAY())</f>
        <v>714</v>
      </c>
      <c r="M540">
        <f ca="1">HYPERLINK(CONCATENATE("https://bugzilla.houston.hp.com:1181/bugzilla/show_bug.cgi?id=",INDIRECT(C70&amp;ROW())),INDIRECT(C70&amp;ROW()))</f>
        <v>62084</v>
      </c>
      <c r="N540">
        <v>62084</v>
      </c>
      <c r="O540" t="s">
        <v>204</v>
      </c>
      <c r="P540" t="s">
        <v>1020</v>
      </c>
      <c r="Q540" t="s">
        <v>25</v>
      </c>
      <c r="R540" t="s">
        <v>579</v>
      </c>
      <c r="S540" t="s">
        <v>236</v>
      </c>
      <c r="T540" t="s">
        <v>1019</v>
      </c>
      <c r="U540" s="6">
        <v>42135.319016203706</v>
      </c>
      <c r="V540" t="s">
        <v>18</v>
      </c>
      <c r="W540" t="s">
        <v>17</v>
      </c>
      <c r="X540" s="6">
        <v>42132.41542824074</v>
      </c>
      <c r="Y540" t="s">
        <v>119</v>
      </c>
      <c r="AB540" t="s">
        <v>201</v>
      </c>
      <c r="AC540" t="s">
        <v>247</v>
      </c>
      <c r="AD540" t="s">
        <v>222</v>
      </c>
      <c r="AE540" t="s">
        <v>221</v>
      </c>
      <c r="AG540" t="s">
        <v>121</v>
      </c>
      <c r="AH540" t="s">
        <v>64</v>
      </c>
      <c r="AI540" t="s">
        <v>121</v>
      </c>
      <c r="AJ540" t="s">
        <v>716</v>
      </c>
      <c r="AK540" t="s">
        <v>121</v>
      </c>
    </row>
    <row r="541" spans="9:37" x14ac:dyDescent="0.3">
      <c r="I541">
        <f ca="1">IF(OR(INDIRECT(A73&amp;ROW())=B93,INDIRECT(A73&amp;ROW())=B94),1,IF(AND(INDIRECT(A73&amp;ROW())=B95,INDIRECT(A96&amp;ROW())=C93),1,IF(AND(INDIRECT(A73&amp;ROW())=B95,INDIRECT(A96&amp;ROW())=C94),1,0)))</f>
        <v>1</v>
      </c>
      <c r="J541">
        <f ca="1">IF(AND(INDIRECT(A73&amp;ROW())=B95,INDIRECT(A96&amp;ROW())=C95),1,IF(AND(INDIRECT(A73&amp;ROW())=B95,INDIRECT(A96&amp;ROW())=C96),1,0))</f>
        <v>0</v>
      </c>
      <c r="K541">
        <f ca="1">DAYS360(INDIRECT(C68&amp;ROW()),TODAY())</f>
        <v>683</v>
      </c>
      <c r="L541">
        <f ca="1">DAYS360(INDIRECT(C69&amp;ROW()),TODAY())</f>
        <v>714</v>
      </c>
      <c r="M541">
        <f ca="1">HYPERLINK(CONCATENATE("https://bugzilla.houston.hp.com:1181/bugzilla/show_bug.cgi?id=",INDIRECT(C70&amp;ROW())),INDIRECT(C70&amp;ROW()))</f>
        <v>62099</v>
      </c>
      <c r="N541">
        <v>62099</v>
      </c>
      <c r="O541" t="s">
        <v>784</v>
      </c>
      <c r="P541" t="s">
        <v>1044</v>
      </c>
      <c r="Q541" t="s">
        <v>39</v>
      </c>
      <c r="R541" t="s">
        <v>251</v>
      </c>
      <c r="S541" t="s">
        <v>1043</v>
      </c>
      <c r="U541" s="6">
        <v>42164.415949074071</v>
      </c>
      <c r="V541" t="s">
        <v>18</v>
      </c>
      <c r="W541" t="s">
        <v>783</v>
      </c>
      <c r="X541" s="6">
        <v>42132.553414351853</v>
      </c>
      <c r="Y541" t="s">
        <v>119</v>
      </c>
      <c r="AB541" t="s">
        <v>201</v>
      </c>
      <c r="AC541" t="s">
        <v>247</v>
      </c>
      <c r="AD541" t="s">
        <v>220</v>
      </c>
      <c r="AE541" t="s">
        <v>229</v>
      </c>
      <c r="AG541" t="s">
        <v>121</v>
      </c>
      <c r="AH541" t="s">
        <v>327</v>
      </c>
      <c r="AI541" t="s">
        <v>121</v>
      </c>
      <c r="AJ541" t="s">
        <v>715</v>
      </c>
      <c r="AK541" t="s">
        <v>121</v>
      </c>
    </row>
    <row r="542" spans="9:37" x14ac:dyDescent="0.3">
      <c r="I542">
        <f ca="1">IF(OR(INDIRECT(A73&amp;ROW())=B93,INDIRECT(A73&amp;ROW())=B94),1,IF(AND(INDIRECT(A73&amp;ROW())=B95,INDIRECT(A96&amp;ROW())=C93),1,IF(AND(INDIRECT(A73&amp;ROW())=B95,INDIRECT(A96&amp;ROW())=C94),1,0)))</f>
        <v>1</v>
      </c>
      <c r="J542">
        <f ca="1">IF(AND(INDIRECT(A73&amp;ROW())=B95,INDIRECT(A96&amp;ROW())=C95),1,IF(AND(INDIRECT(A73&amp;ROW())=B95,INDIRECT(A96&amp;ROW())=C96),1,0))</f>
        <v>0</v>
      </c>
      <c r="K542">
        <f ca="1">DAYS360(INDIRECT(C68&amp;ROW()),TODAY())</f>
        <v>681</v>
      </c>
      <c r="L542">
        <f ca="1">DAYS360(INDIRECT(C69&amp;ROW()),TODAY())</f>
        <v>711</v>
      </c>
      <c r="M542">
        <f ca="1">HYPERLINK(CONCATENATE("https://bugzilla.houston.hp.com:1181/bugzilla/show_bug.cgi?id=",INDIRECT(C70&amp;ROW())),INDIRECT(C70&amp;ROW()))</f>
        <v>62177</v>
      </c>
      <c r="N542">
        <v>62177</v>
      </c>
      <c r="O542" t="s">
        <v>187</v>
      </c>
      <c r="P542" t="s">
        <v>1023</v>
      </c>
      <c r="Q542" t="s">
        <v>25</v>
      </c>
      <c r="R542" t="s">
        <v>783</v>
      </c>
      <c r="S542" t="s">
        <v>552</v>
      </c>
      <c r="U542" s="6">
        <v>42166.471770833334</v>
      </c>
      <c r="V542" t="s">
        <v>18</v>
      </c>
      <c r="W542" t="s">
        <v>248</v>
      </c>
      <c r="X542" s="6">
        <v>42135.590312499997</v>
      </c>
      <c r="Y542" t="s">
        <v>793</v>
      </c>
      <c r="AB542" t="s">
        <v>200</v>
      </c>
      <c r="AC542" t="s">
        <v>247</v>
      </c>
      <c r="AD542" t="s">
        <v>220</v>
      </c>
      <c r="AE542" t="s">
        <v>219</v>
      </c>
      <c r="AG542" t="s">
        <v>337</v>
      </c>
      <c r="AH542" t="s">
        <v>327</v>
      </c>
      <c r="AI542" t="s">
        <v>362</v>
      </c>
      <c r="AJ542" t="s">
        <v>715</v>
      </c>
      <c r="AK542" t="s">
        <v>121</v>
      </c>
    </row>
    <row r="543" spans="9:37" x14ac:dyDescent="0.3">
      <c r="I543">
        <f ca="1">IF(OR(INDIRECT(A73&amp;ROW())=B93,INDIRECT(A73&amp;ROW())=B94),1,IF(AND(INDIRECT(A73&amp;ROW())=B95,INDIRECT(A96&amp;ROW())=C93),1,IF(AND(INDIRECT(A73&amp;ROW())=B95,INDIRECT(A96&amp;ROW())=C94),1,0)))</f>
        <v>1</v>
      </c>
      <c r="J543">
        <f ca="1">IF(AND(INDIRECT(A73&amp;ROW())=B95,INDIRECT(A96&amp;ROW())=C95),1,IF(AND(INDIRECT(A73&amp;ROW())=B95,INDIRECT(A96&amp;ROW())=C96),1,0))</f>
        <v>0</v>
      </c>
      <c r="K543">
        <f ca="1">DAYS360(INDIRECT(C68&amp;ROW()),TODAY())</f>
        <v>687</v>
      </c>
      <c r="L543">
        <f ca="1">DAYS360(INDIRECT(C69&amp;ROW()),TODAY())</f>
        <v>711</v>
      </c>
      <c r="M543">
        <f ca="1">HYPERLINK(CONCATENATE("https://bugzilla.houston.hp.com:1181/bugzilla/show_bug.cgi?id=",INDIRECT(C70&amp;ROW())),INDIRECT(C70&amp;ROW()))</f>
        <v>62178</v>
      </c>
      <c r="N543">
        <v>62178</v>
      </c>
      <c r="O543" t="s">
        <v>56</v>
      </c>
      <c r="P543" t="s">
        <v>1022</v>
      </c>
      <c r="Q543" t="s">
        <v>25</v>
      </c>
      <c r="R543" t="s">
        <v>248</v>
      </c>
      <c r="S543" t="s">
        <v>552</v>
      </c>
      <c r="U543" s="6">
        <v>42160.493807870371</v>
      </c>
      <c r="V543" t="s">
        <v>18</v>
      </c>
      <c r="W543" t="s">
        <v>248</v>
      </c>
      <c r="X543" s="6">
        <v>42135.59039351852</v>
      </c>
      <c r="Y543" t="s">
        <v>793</v>
      </c>
      <c r="AB543" t="s">
        <v>200</v>
      </c>
      <c r="AC543" t="s">
        <v>247</v>
      </c>
      <c r="AD543" t="s">
        <v>220</v>
      </c>
      <c r="AE543" t="s">
        <v>219</v>
      </c>
      <c r="AG543" t="s">
        <v>121</v>
      </c>
      <c r="AH543" t="s">
        <v>327</v>
      </c>
      <c r="AI543" t="s">
        <v>121</v>
      </c>
      <c r="AJ543" t="s">
        <v>715</v>
      </c>
      <c r="AK543" t="s">
        <v>121</v>
      </c>
    </row>
    <row r="544" spans="9:37" x14ac:dyDescent="0.3">
      <c r="I544">
        <f ca="1">IF(OR(INDIRECT(A73&amp;ROW())=B93,INDIRECT(A73&amp;ROW())=B94),1,IF(AND(INDIRECT(A73&amp;ROW())=B95,INDIRECT(A96&amp;ROW())=C93),1,IF(AND(INDIRECT(A73&amp;ROW())=B95,INDIRECT(A96&amp;ROW())=C94),1,0)))</f>
        <v>1</v>
      </c>
      <c r="J544">
        <f ca="1">IF(AND(INDIRECT(A73&amp;ROW())=B95,INDIRECT(A96&amp;ROW())=C95),1,IF(AND(INDIRECT(A73&amp;ROW())=B95,INDIRECT(A96&amp;ROW())=C96),1,0))</f>
        <v>0</v>
      </c>
      <c r="K544">
        <f ca="1">DAYS360(INDIRECT(C68&amp;ROW()),TODAY())</f>
        <v>681</v>
      </c>
      <c r="L544">
        <f ca="1">DAYS360(INDIRECT(C69&amp;ROW()),TODAY())</f>
        <v>710</v>
      </c>
      <c r="M544">
        <f ca="1">HYPERLINK(CONCATENATE("https://bugzilla.houston.hp.com:1181/bugzilla/show_bug.cgi?id=",INDIRECT(C70&amp;ROW())),INDIRECT(C70&amp;ROW()))</f>
        <v>62223</v>
      </c>
      <c r="N544">
        <v>62223</v>
      </c>
      <c r="O544" t="s">
        <v>55</v>
      </c>
      <c r="P544" t="s">
        <v>1247</v>
      </c>
      <c r="Q544" t="s">
        <v>39</v>
      </c>
      <c r="R544" t="s">
        <v>579</v>
      </c>
      <c r="S544" t="s">
        <v>236</v>
      </c>
      <c r="T544" t="s">
        <v>1058</v>
      </c>
      <c r="U544" s="6">
        <v>42166.359305555554</v>
      </c>
      <c r="V544" t="s">
        <v>35</v>
      </c>
      <c r="W544" t="s">
        <v>783</v>
      </c>
      <c r="X544" s="6">
        <v>42136.32916666667</v>
      </c>
      <c r="Y544" t="s">
        <v>245</v>
      </c>
      <c r="AB544" t="s">
        <v>201</v>
      </c>
      <c r="AC544" t="s">
        <v>247</v>
      </c>
      <c r="AD544" t="s">
        <v>222</v>
      </c>
      <c r="AE544" t="s">
        <v>240</v>
      </c>
      <c r="AG544" t="s">
        <v>121</v>
      </c>
      <c r="AH544" t="s">
        <v>327</v>
      </c>
      <c r="AI544" t="s">
        <v>121</v>
      </c>
      <c r="AJ544" t="s">
        <v>715</v>
      </c>
      <c r="AK544" t="s">
        <v>121</v>
      </c>
    </row>
    <row r="545" spans="9:37" x14ac:dyDescent="0.3">
      <c r="I545">
        <f ca="1">IF(OR(INDIRECT(A73&amp;ROW())=B93,INDIRECT(A73&amp;ROW())=B94),1,IF(AND(INDIRECT(A73&amp;ROW())=B95,INDIRECT(A96&amp;ROW())=C93),1,IF(AND(INDIRECT(A73&amp;ROW())=B95,INDIRECT(A96&amp;ROW())=C94),1,0)))</f>
        <v>1</v>
      </c>
      <c r="J545">
        <f ca="1">IF(AND(INDIRECT(A73&amp;ROW())=B95,INDIRECT(A96&amp;ROW())=C95),1,IF(AND(INDIRECT(A73&amp;ROW())=B95,INDIRECT(A96&amp;ROW())=C96),1,0))</f>
        <v>0</v>
      </c>
      <c r="K545">
        <f ca="1">DAYS360(INDIRECT(C68&amp;ROW()),TODAY())</f>
        <v>681</v>
      </c>
      <c r="L545">
        <f ca="1">DAYS360(INDIRECT(C69&amp;ROW()),TODAY())</f>
        <v>710</v>
      </c>
      <c r="M545">
        <f ca="1">HYPERLINK(CONCATENATE("https://bugzilla.houston.hp.com:1181/bugzilla/show_bug.cgi?id=",INDIRECT(C70&amp;ROW())),INDIRECT(C70&amp;ROW()))</f>
        <v>62224</v>
      </c>
      <c r="N545">
        <v>62224</v>
      </c>
      <c r="O545" t="s">
        <v>55</v>
      </c>
      <c r="P545" t="s">
        <v>1246</v>
      </c>
      <c r="Q545" t="s">
        <v>39</v>
      </c>
      <c r="R545" t="s">
        <v>783</v>
      </c>
      <c r="S545" t="s">
        <v>236</v>
      </c>
      <c r="T545" t="s">
        <v>1058</v>
      </c>
      <c r="U545" s="6">
        <v>42166.359710648147</v>
      </c>
      <c r="V545" t="s">
        <v>35</v>
      </c>
      <c r="W545" t="s">
        <v>783</v>
      </c>
      <c r="X545" s="6">
        <v>42136.329282407409</v>
      </c>
      <c r="Y545" t="s">
        <v>245</v>
      </c>
      <c r="AB545" t="s">
        <v>201</v>
      </c>
      <c r="AC545" t="s">
        <v>247</v>
      </c>
      <c r="AD545" t="s">
        <v>222</v>
      </c>
      <c r="AE545" t="s">
        <v>240</v>
      </c>
      <c r="AG545" t="s">
        <v>1082</v>
      </c>
      <c r="AH545" t="s">
        <v>327</v>
      </c>
      <c r="AI545" t="s">
        <v>121</v>
      </c>
      <c r="AJ545" t="s">
        <v>715</v>
      </c>
      <c r="AK545" t="s">
        <v>121</v>
      </c>
    </row>
    <row r="546" spans="9:37" x14ac:dyDescent="0.3">
      <c r="I546">
        <f ca="1">IF(OR(INDIRECT(A73&amp;ROW())=B93,INDIRECT(A73&amp;ROW())=B94),1,IF(AND(INDIRECT(A73&amp;ROW())=B95,INDIRECT(A96&amp;ROW())=C93),1,IF(AND(INDIRECT(A73&amp;ROW())=B95,INDIRECT(A96&amp;ROW())=C94),1,0)))</f>
        <v>1</v>
      </c>
      <c r="J546">
        <f ca="1">IF(AND(INDIRECT(A73&amp;ROW())=B95,INDIRECT(A96&amp;ROW())=C95),1,IF(AND(INDIRECT(A73&amp;ROW())=B95,INDIRECT(A96&amp;ROW())=C96),1,0))</f>
        <v>0</v>
      </c>
      <c r="K546">
        <f ca="1">DAYS360(INDIRECT(C68&amp;ROW()),TODAY())</f>
        <v>681</v>
      </c>
      <c r="L546">
        <f ca="1">DAYS360(INDIRECT(C69&amp;ROW()),TODAY())</f>
        <v>710</v>
      </c>
      <c r="M546">
        <f ca="1">HYPERLINK(CONCATENATE("https://bugzilla.houston.hp.com:1181/bugzilla/show_bug.cgi?id=",INDIRECT(C70&amp;ROW())),INDIRECT(C70&amp;ROW()))</f>
        <v>62225</v>
      </c>
      <c r="N546">
        <v>62225</v>
      </c>
      <c r="O546" t="s">
        <v>55</v>
      </c>
      <c r="P546" t="s">
        <v>1245</v>
      </c>
      <c r="Q546" t="s">
        <v>39</v>
      </c>
      <c r="R546" t="s">
        <v>248</v>
      </c>
      <c r="S546" t="s">
        <v>236</v>
      </c>
      <c r="T546" t="s">
        <v>1058</v>
      </c>
      <c r="U546" s="6">
        <v>42166.357604166667</v>
      </c>
      <c r="V546" t="s">
        <v>35</v>
      </c>
      <c r="W546" t="s">
        <v>783</v>
      </c>
      <c r="X546" s="6">
        <v>42136.329375000001</v>
      </c>
      <c r="Y546" t="s">
        <v>245</v>
      </c>
      <c r="AB546" t="s">
        <v>201</v>
      </c>
      <c r="AC546" t="s">
        <v>247</v>
      </c>
      <c r="AD546" t="s">
        <v>222</v>
      </c>
      <c r="AE546" t="s">
        <v>240</v>
      </c>
      <c r="AG546" t="s">
        <v>121</v>
      </c>
      <c r="AH546" t="s">
        <v>327</v>
      </c>
      <c r="AI546" t="s">
        <v>121</v>
      </c>
      <c r="AJ546" t="s">
        <v>715</v>
      </c>
      <c r="AK546" t="s">
        <v>121</v>
      </c>
    </row>
    <row r="547" spans="9:37" x14ac:dyDescent="0.3">
      <c r="I547">
        <f ca="1">IF(OR(INDIRECT(A73&amp;ROW())=B93,INDIRECT(A73&amp;ROW())=B94),1,IF(AND(INDIRECT(A73&amp;ROW())=B95,INDIRECT(A96&amp;ROW())=C93),1,IF(AND(INDIRECT(A73&amp;ROW())=B95,INDIRECT(A96&amp;ROW())=C94),1,0)))</f>
        <v>1</v>
      </c>
      <c r="J547">
        <f ca="1">IF(AND(INDIRECT(A73&amp;ROW())=B95,INDIRECT(A96&amp;ROW())=C95),1,IF(AND(INDIRECT(A73&amp;ROW())=B95,INDIRECT(A96&amp;ROW())=C96),1,0))</f>
        <v>0</v>
      </c>
      <c r="K547">
        <f ca="1">DAYS360(INDIRECT(C68&amp;ROW()),TODAY())</f>
        <v>684</v>
      </c>
      <c r="L547">
        <f ca="1">DAYS360(INDIRECT(C69&amp;ROW()),TODAY())</f>
        <v>710</v>
      </c>
      <c r="M547">
        <f ca="1">HYPERLINK(CONCATENATE("https://bugzilla.houston.hp.com:1181/bugzilla/show_bug.cgi?id=",INDIRECT(C70&amp;ROW())),INDIRECT(C70&amp;ROW()))</f>
        <v>62236</v>
      </c>
      <c r="N547">
        <v>62236</v>
      </c>
      <c r="O547" t="s">
        <v>188</v>
      </c>
      <c r="P547" t="s">
        <v>1042</v>
      </c>
      <c r="Q547" t="s">
        <v>39</v>
      </c>
      <c r="R547" t="s">
        <v>579</v>
      </c>
      <c r="S547" t="s">
        <v>552</v>
      </c>
      <c r="T547" t="s">
        <v>1054</v>
      </c>
      <c r="U547" s="6">
        <v>42163.623518518521</v>
      </c>
      <c r="V547" t="s">
        <v>18</v>
      </c>
      <c r="W547" t="s">
        <v>783</v>
      </c>
      <c r="X547" s="6">
        <v>42136.380937499998</v>
      </c>
      <c r="Y547" t="s">
        <v>119</v>
      </c>
      <c r="AB547" t="s">
        <v>201</v>
      </c>
      <c r="AC547" t="s">
        <v>247</v>
      </c>
      <c r="AD547" t="s">
        <v>220</v>
      </c>
      <c r="AE547" t="s">
        <v>229</v>
      </c>
      <c r="AG547" t="s">
        <v>121</v>
      </c>
      <c r="AH547" t="s">
        <v>327</v>
      </c>
      <c r="AI547" t="s">
        <v>121</v>
      </c>
      <c r="AJ547" t="s">
        <v>715</v>
      </c>
      <c r="AK547" t="s">
        <v>121</v>
      </c>
    </row>
    <row r="548" spans="9:37" x14ac:dyDescent="0.3">
      <c r="I548">
        <f ca="1">IF(OR(INDIRECT(A73&amp;ROW())=B93,INDIRECT(A73&amp;ROW())=B94),1,IF(AND(INDIRECT(A73&amp;ROW())=B95,INDIRECT(A96&amp;ROW())=C93),1,IF(AND(INDIRECT(A73&amp;ROW())=B95,INDIRECT(A96&amp;ROW())=C94),1,0)))</f>
        <v>1</v>
      </c>
      <c r="J548">
        <f ca="1">IF(AND(INDIRECT(A73&amp;ROW())=B95,INDIRECT(A96&amp;ROW())=C95),1,IF(AND(INDIRECT(A73&amp;ROW())=B95,INDIRECT(A96&amp;ROW())=C96),1,0))</f>
        <v>0</v>
      </c>
      <c r="K548">
        <f ca="1">DAYS360(INDIRECT(C68&amp;ROW()),TODAY())</f>
        <v>691</v>
      </c>
      <c r="L548">
        <f ca="1">DAYS360(INDIRECT(C69&amp;ROW()),TODAY())</f>
        <v>710</v>
      </c>
      <c r="M548">
        <f ca="1">HYPERLINK(CONCATENATE("https://bugzilla.houston.hp.com:1181/bugzilla/show_bug.cgi?id=",INDIRECT(C70&amp;ROW())),INDIRECT(C70&amp;ROW()))</f>
        <v>62267</v>
      </c>
      <c r="N548">
        <v>62267</v>
      </c>
      <c r="O548" t="s">
        <v>45</v>
      </c>
      <c r="P548" t="s">
        <v>1039</v>
      </c>
      <c r="Q548" t="s">
        <v>25</v>
      </c>
      <c r="R548" t="s">
        <v>579</v>
      </c>
      <c r="S548" t="s">
        <v>552</v>
      </c>
      <c r="U548" s="6">
        <v>42156.076747685183</v>
      </c>
      <c r="V548" t="s">
        <v>18</v>
      </c>
      <c r="W548" t="s">
        <v>57</v>
      </c>
      <c r="X548" s="6">
        <v>42136.578518518516</v>
      </c>
      <c r="Y548" t="s">
        <v>1026</v>
      </c>
      <c r="AB548" t="s">
        <v>200</v>
      </c>
      <c r="AC548" t="s">
        <v>247</v>
      </c>
      <c r="AD548" t="s">
        <v>220</v>
      </c>
      <c r="AE548" t="s">
        <v>290</v>
      </c>
      <c r="AG548" t="s">
        <v>121</v>
      </c>
      <c r="AH548" t="s">
        <v>327</v>
      </c>
      <c r="AI548" t="s">
        <v>121</v>
      </c>
      <c r="AJ548" t="s">
        <v>715</v>
      </c>
      <c r="AK548" t="s">
        <v>121</v>
      </c>
    </row>
    <row r="549" spans="9:37" x14ac:dyDescent="0.3">
      <c r="I549">
        <f ca="1">IF(OR(INDIRECT(A73&amp;ROW())=B93,INDIRECT(A73&amp;ROW())=B94),1,IF(AND(INDIRECT(A73&amp;ROW())=B95,INDIRECT(A96&amp;ROW())=C93),1,IF(AND(INDIRECT(A73&amp;ROW())=B95,INDIRECT(A96&amp;ROW())=C94),1,0)))</f>
        <v>1</v>
      </c>
      <c r="J549">
        <f ca="1">IF(AND(INDIRECT(A73&amp;ROW())=B95,INDIRECT(A96&amp;ROW())=C95),1,IF(AND(INDIRECT(A73&amp;ROW())=B95,INDIRECT(A96&amp;ROW())=C96),1,0))</f>
        <v>0</v>
      </c>
      <c r="K549">
        <f ca="1">DAYS360(INDIRECT(C68&amp;ROW()),TODAY())</f>
        <v>710</v>
      </c>
      <c r="L549">
        <f ca="1">DAYS360(INDIRECT(C69&amp;ROW()),TODAY())</f>
        <v>710</v>
      </c>
      <c r="M549">
        <f ca="1">HYPERLINK(CONCATENATE("https://bugzilla.houston.hp.com:1181/bugzilla/show_bug.cgi?id=",INDIRECT(C70&amp;ROW())),INDIRECT(C70&amp;ROW()))</f>
        <v>62279</v>
      </c>
      <c r="N549">
        <v>62279</v>
      </c>
      <c r="O549" t="s">
        <v>45</v>
      </c>
      <c r="P549" t="s">
        <v>1036</v>
      </c>
      <c r="Q549" t="s">
        <v>38</v>
      </c>
      <c r="R549" t="s">
        <v>248</v>
      </c>
      <c r="S549" t="s">
        <v>552</v>
      </c>
      <c r="U549" s="6">
        <v>42136.598391203705</v>
      </c>
      <c r="V549" t="s">
        <v>18</v>
      </c>
      <c r="W549" t="s">
        <v>248</v>
      </c>
      <c r="X549" s="6">
        <v>42136.598391203705</v>
      </c>
      <c r="Y549" t="s">
        <v>793</v>
      </c>
      <c r="AB549" t="s">
        <v>201</v>
      </c>
      <c r="AC549" t="s">
        <v>247</v>
      </c>
      <c r="AD549" t="s">
        <v>227</v>
      </c>
      <c r="AE549" t="s">
        <v>226</v>
      </c>
      <c r="AG549" t="s">
        <v>121</v>
      </c>
      <c r="AH549" t="s">
        <v>327</v>
      </c>
      <c r="AI549" t="s">
        <v>121</v>
      </c>
      <c r="AJ549" t="s">
        <v>715</v>
      </c>
      <c r="AK549" t="s">
        <v>121</v>
      </c>
    </row>
    <row r="550" spans="9:37" x14ac:dyDescent="0.3">
      <c r="I550">
        <f ca="1">IF(OR(INDIRECT(A73&amp;ROW())=B93,INDIRECT(A73&amp;ROW())=B94),1,IF(AND(INDIRECT(A73&amp;ROW())=B95,INDIRECT(A96&amp;ROW())=C93),1,IF(AND(INDIRECT(A73&amp;ROW())=B95,INDIRECT(A96&amp;ROW())=C94),1,0)))</f>
        <v>0</v>
      </c>
      <c r="J550">
        <f ca="1">IF(AND(INDIRECT(A73&amp;ROW())=B95,INDIRECT(A96&amp;ROW())=C95),1,IF(AND(INDIRECT(A73&amp;ROW())=B95,INDIRECT(A96&amp;ROW())=C96),1,0))</f>
        <v>1</v>
      </c>
      <c r="K550">
        <f ca="1">DAYS360(INDIRECT(C68&amp;ROW()),TODAY())</f>
        <v>710</v>
      </c>
      <c r="L550">
        <f ca="1">DAYS360(INDIRECT(C69&amp;ROW()),TODAY())</f>
        <v>710</v>
      </c>
      <c r="M550">
        <f ca="1">HYPERLINK(CONCATENATE("https://bugzilla.houston.hp.com:1181/bugzilla/show_bug.cgi?id=",INDIRECT(C70&amp;ROW())),INDIRECT(C70&amp;ROW()))</f>
        <v>62282</v>
      </c>
      <c r="N550">
        <v>62282</v>
      </c>
      <c r="O550" t="s">
        <v>53</v>
      </c>
      <c r="P550" t="s">
        <v>1035</v>
      </c>
      <c r="Q550" t="s">
        <v>25</v>
      </c>
      <c r="R550" t="s">
        <v>248</v>
      </c>
      <c r="S550" t="s">
        <v>552</v>
      </c>
      <c r="U550" s="6">
        <v>42136.615694444445</v>
      </c>
      <c r="V550" t="s">
        <v>18</v>
      </c>
      <c r="W550" t="s">
        <v>17</v>
      </c>
      <c r="X550" s="6">
        <v>42136.615694444445</v>
      </c>
      <c r="Y550" t="s">
        <v>118</v>
      </c>
      <c r="AB550" t="s">
        <v>201</v>
      </c>
      <c r="AC550" t="s">
        <v>1027</v>
      </c>
      <c r="AD550" t="s">
        <v>220</v>
      </c>
      <c r="AE550" t="s">
        <v>219</v>
      </c>
      <c r="AG550" t="s">
        <v>121</v>
      </c>
      <c r="AH550" t="s">
        <v>327</v>
      </c>
      <c r="AI550" t="s">
        <v>121</v>
      </c>
      <c r="AJ550" t="s">
        <v>716</v>
      </c>
      <c r="AK550" t="s">
        <v>121</v>
      </c>
    </row>
    <row r="551" spans="9:37" x14ac:dyDescent="0.3">
      <c r="I551">
        <f ca="1">IF(OR(INDIRECT(A73&amp;ROW())=B93,INDIRECT(A73&amp;ROW())=B94),1,IF(AND(INDIRECT(A73&amp;ROW())=B95,INDIRECT(A96&amp;ROW())=C93),1,IF(AND(INDIRECT(A73&amp;ROW())=B95,INDIRECT(A96&amp;ROW())=C94),1,0)))</f>
        <v>0</v>
      </c>
      <c r="J551">
        <f ca="1">IF(AND(INDIRECT(A73&amp;ROW())=B95,INDIRECT(A96&amp;ROW())=C95),1,IF(AND(INDIRECT(A73&amp;ROW())=B95,INDIRECT(A96&amp;ROW())=C96),1,0))</f>
        <v>1</v>
      </c>
      <c r="K551">
        <f ca="1">DAYS360(INDIRECT(C68&amp;ROW()),TODAY())</f>
        <v>690</v>
      </c>
      <c r="L551">
        <f ca="1">DAYS360(INDIRECT(C69&amp;ROW()),TODAY())</f>
        <v>710</v>
      </c>
      <c r="M551">
        <f ca="1">HYPERLINK(CONCATENATE("https://bugzilla.houston.hp.com:1181/bugzilla/show_bug.cgi?id=",INDIRECT(C70&amp;ROW())),INDIRECT(C70&amp;ROW()))</f>
        <v>62284</v>
      </c>
      <c r="N551">
        <v>62284</v>
      </c>
      <c r="O551" t="s">
        <v>66</v>
      </c>
      <c r="P551" t="s">
        <v>1034</v>
      </c>
      <c r="Q551" t="s">
        <v>25</v>
      </c>
      <c r="R551" t="s">
        <v>783</v>
      </c>
      <c r="S551" t="s">
        <v>552</v>
      </c>
      <c r="T551" t="s">
        <v>794</v>
      </c>
      <c r="U551" s="6">
        <v>42157.1171412037</v>
      </c>
      <c r="V551" t="s">
        <v>18</v>
      </c>
      <c r="W551" t="s">
        <v>17</v>
      </c>
      <c r="X551" s="6">
        <v>42136.619583333333</v>
      </c>
      <c r="Y551" t="s">
        <v>119</v>
      </c>
      <c r="AB551" t="s">
        <v>201</v>
      </c>
      <c r="AC551" t="s">
        <v>247</v>
      </c>
      <c r="AD551" t="s">
        <v>220</v>
      </c>
      <c r="AE551" t="s">
        <v>223</v>
      </c>
      <c r="AG551" t="s">
        <v>121</v>
      </c>
      <c r="AH551" t="s">
        <v>64</v>
      </c>
      <c r="AI551" t="s">
        <v>121</v>
      </c>
      <c r="AJ551" t="s">
        <v>716</v>
      </c>
      <c r="AK551" t="s">
        <v>121</v>
      </c>
    </row>
    <row r="552" spans="9:37" x14ac:dyDescent="0.3">
      <c r="I552">
        <f ca="1">IF(OR(INDIRECT(A73&amp;ROW())=B93,INDIRECT(A73&amp;ROW())=B94),1,IF(AND(INDIRECT(A73&amp;ROW())=B95,INDIRECT(A96&amp;ROW())=C93),1,IF(AND(INDIRECT(A73&amp;ROW())=B95,INDIRECT(A96&amp;ROW())=C94),1,0)))</f>
        <v>0</v>
      </c>
      <c r="J552">
        <f ca="1">IF(AND(INDIRECT(A73&amp;ROW())=B95,INDIRECT(A96&amp;ROW())=C95),1,IF(AND(INDIRECT(A73&amp;ROW())=B95,INDIRECT(A96&amp;ROW())=C96),1,0))</f>
        <v>1</v>
      </c>
      <c r="K552">
        <f ca="1">DAYS360(INDIRECT(C68&amp;ROW()),TODAY())</f>
        <v>690</v>
      </c>
      <c r="L552">
        <f ca="1">DAYS360(INDIRECT(C69&amp;ROW()),TODAY())</f>
        <v>710</v>
      </c>
      <c r="M552">
        <f ca="1">HYPERLINK(CONCATENATE("https://bugzilla.houston.hp.com:1181/bugzilla/show_bug.cgi?id=",INDIRECT(C70&amp;ROW())),INDIRECT(C70&amp;ROW()))</f>
        <v>62285</v>
      </c>
      <c r="N552">
        <v>62285</v>
      </c>
      <c r="O552" t="s">
        <v>66</v>
      </c>
      <c r="P552" t="s">
        <v>1033</v>
      </c>
      <c r="Q552" t="s">
        <v>25</v>
      </c>
      <c r="R552" t="s">
        <v>248</v>
      </c>
      <c r="S552" t="s">
        <v>552</v>
      </c>
      <c r="T552" t="s">
        <v>794</v>
      </c>
      <c r="U552" s="6">
        <v>42157.117662037039</v>
      </c>
      <c r="V552" t="s">
        <v>18</v>
      </c>
      <c r="W552" t="s">
        <v>17</v>
      </c>
      <c r="X552" s="6">
        <v>42136.619699074072</v>
      </c>
      <c r="Y552" t="s">
        <v>119</v>
      </c>
      <c r="AB552" t="s">
        <v>201</v>
      </c>
      <c r="AC552" t="s">
        <v>247</v>
      </c>
      <c r="AD552" t="s">
        <v>220</v>
      </c>
      <c r="AE552" t="s">
        <v>223</v>
      </c>
      <c r="AG552" t="s">
        <v>121</v>
      </c>
      <c r="AH552" t="s">
        <v>64</v>
      </c>
      <c r="AI552" t="s">
        <v>121</v>
      </c>
      <c r="AJ552" t="s">
        <v>716</v>
      </c>
      <c r="AK552" t="s">
        <v>121</v>
      </c>
    </row>
    <row r="553" spans="9:37" x14ac:dyDescent="0.3">
      <c r="I553">
        <f ca="1">IF(OR(INDIRECT(A73&amp;ROW())=B93,INDIRECT(A73&amp;ROW())=B94),1,IF(AND(INDIRECT(A73&amp;ROW())=B95,INDIRECT(A96&amp;ROW())=C93),1,IF(AND(INDIRECT(A73&amp;ROW())=B95,INDIRECT(A96&amp;ROW())=C94),1,0)))</f>
        <v>0</v>
      </c>
      <c r="J553">
        <f ca="1">IF(AND(INDIRECT(A73&amp;ROW())=B95,INDIRECT(A96&amp;ROW())=C95),1,IF(AND(INDIRECT(A73&amp;ROW())=B95,INDIRECT(A96&amp;ROW())=C96),1,0))</f>
        <v>0</v>
      </c>
      <c r="K553">
        <f ca="1">DAYS360(INDIRECT(C68&amp;ROW()),TODAY())</f>
        <v>710</v>
      </c>
      <c r="L553">
        <f ca="1">DAYS360(INDIRECT(C69&amp;ROW()),TODAY())</f>
        <v>710</v>
      </c>
      <c r="M553">
        <f ca="1">HYPERLINK(CONCATENATE("https://bugzilla.houston.hp.com:1181/bugzilla/show_bug.cgi?id=",INDIRECT(C70&amp;ROW())),INDIRECT(C70&amp;ROW()))</f>
        <v>62294</v>
      </c>
      <c r="N553">
        <v>62294</v>
      </c>
      <c r="O553" t="s">
        <v>66</v>
      </c>
      <c r="P553" t="s">
        <v>1032</v>
      </c>
      <c r="Q553" t="s">
        <v>16</v>
      </c>
      <c r="R553" t="s">
        <v>248</v>
      </c>
      <c r="S553" t="s">
        <v>552</v>
      </c>
      <c r="U553" s="6">
        <v>42136.635416666664</v>
      </c>
      <c r="V553" t="s">
        <v>18</v>
      </c>
      <c r="W553" t="s">
        <v>17</v>
      </c>
      <c r="X553" s="6">
        <v>42136.635416666664</v>
      </c>
      <c r="Y553" t="s">
        <v>255</v>
      </c>
      <c r="AB553" t="s">
        <v>201</v>
      </c>
      <c r="AC553" t="s">
        <v>247</v>
      </c>
      <c r="AD553" t="s">
        <v>220</v>
      </c>
      <c r="AE553" t="s">
        <v>219</v>
      </c>
      <c r="AG553" t="s">
        <v>121</v>
      </c>
      <c r="AH553" t="s">
        <v>327</v>
      </c>
      <c r="AI553" t="s">
        <v>121</v>
      </c>
      <c r="AJ553" t="s">
        <v>716</v>
      </c>
      <c r="AK553" t="s">
        <v>121</v>
      </c>
    </row>
    <row r="554" spans="9:37" x14ac:dyDescent="0.3">
      <c r="I554">
        <f ca="1">IF(OR(INDIRECT(A73&amp;ROW())=B93,INDIRECT(A73&amp;ROW())=B94),1,IF(AND(INDIRECT(A73&amp;ROW())=B95,INDIRECT(A96&amp;ROW())=C93),1,IF(AND(INDIRECT(A73&amp;ROW())=B95,INDIRECT(A96&amp;ROW())=C94),1,0)))</f>
        <v>0</v>
      </c>
      <c r="J554">
        <f ca="1">IF(AND(INDIRECT(A73&amp;ROW())=B95,INDIRECT(A96&amp;ROW())=C95),1,IF(AND(INDIRECT(A73&amp;ROW())=B95,INDIRECT(A96&amp;ROW())=C96),1,0))</f>
        <v>0</v>
      </c>
      <c r="K554">
        <f ca="1">DAYS360(INDIRECT(C68&amp;ROW()),TODAY())</f>
        <v>710</v>
      </c>
      <c r="L554">
        <f ca="1">DAYS360(INDIRECT(C69&amp;ROW()),TODAY())</f>
        <v>710</v>
      </c>
      <c r="M554">
        <f ca="1">HYPERLINK(CONCATENATE("https://bugzilla.houston.hp.com:1181/bugzilla/show_bug.cgi?id=",INDIRECT(C70&amp;ROW())),INDIRECT(C70&amp;ROW()))</f>
        <v>62296</v>
      </c>
      <c r="N554">
        <v>62296</v>
      </c>
      <c r="O554" t="s">
        <v>43</v>
      </c>
      <c r="P554" t="s">
        <v>1031</v>
      </c>
      <c r="Q554" t="s">
        <v>16</v>
      </c>
      <c r="R554" t="s">
        <v>248</v>
      </c>
      <c r="S554" t="s">
        <v>552</v>
      </c>
      <c r="T554" t="s">
        <v>794</v>
      </c>
      <c r="U554" s="6">
        <v>42136.636666666665</v>
      </c>
      <c r="V554" t="s">
        <v>18</v>
      </c>
      <c r="W554" t="s">
        <v>17</v>
      </c>
      <c r="X554" s="6">
        <v>42136.636666666665</v>
      </c>
      <c r="Y554" t="s">
        <v>124</v>
      </c>
      <c r="AB554" t="s">
        <v>201</v>
      </c>
      <c r="AC554" t="s">
        <v>247</v>
      </c>
      <c r="AD554" t="s">
        <v>220</v>
      </c>
      <c r="AE554" t="s">
        <v>219</v>
      </c>
      <c r="AG554" t="s">
        <v>121</v>
      </c>
      <c r="AH554" t="s">
        <v>327</v>
      </c>
      <c r="AI554" t="s">
        <v>121</v>
      </c>
      <c r="AJ554" t="s">
        <v>717</v>
      </c>
      <c r="AK554" t="s">
        <v>121</v>
      </c>
    </row>
    <row r="555" spans="9:37" x14ac:dyDescent="0.3">
      <c r="I555">
        <f ca="1">IF(OR(INDIRECT(A73&amp;ROW())=B93,INDIRECT(A73&amp;ROW())=B94),1,IF(AND(INDIRECT(A73&amp;ROW())=B95,INDIRECT(A96&amp;ROW())=C93),1,IF(AND(INDIRECT(A73&amp;ROW())=B95,INDIRECT(A96&amp;ROW())=C94),1,0)))</f>
        <v>0</v>
      </c>
      <c r="J555">
        <f ca="1">IF(AND(INDIRECT(A73&amp;ROW())=B95,INDIRECT(A96&amp;ROW())=C95),1,IF(AND(INDIRECT(A73&amp;ROW())=B95,INDIRECT(A96&amp;ROW())=C96),1,0))</f>
        <v>0</v>
      </c>
      <c r="K555">
        <f ca="1">DAYS360(INDIRECT(C68&amp;ROW()),TODAY())</f>
        <v>710</v>
      </c>
      <c r="L555">
        <f ca="1">DAYS360(INDIRECT(C69&amp;ROW()),TODAY())</f>
        <v>710</v>
      </c>
      <c r="M555">
        <f ca="1">HYPERLINK(CONCATENATE("https://bugzilla.houston.hp.com:1181/bugzilla/show_bug.cgi?id=",INDIRECT(C70&amp;ROW())),INDIRECT(C70&amp;ROW()))</f>
        <v>62298</v>
      </c>
      <c r="N555">
        <v>62298</v>
      </c>
      <c r="O555" t="s">
        <v>66</v>
      </c>
      <c r="P555" t="s">
        <v>1030</v>
      </c>
      <c r="Q555" t="s">
        <v>16</v>
      </c>
      <c r="R555" t="s">
        <v>248</v>
      </c>
      <c r="S555" t="s">
        <v>552</v>
      </c>
      <c r="U555" s="6">
        <v>42136.646863425929</v>
      </c>
      <c r="V555" t="s">
        <v>18</v>
      </c>
      <c r="W555" t="s">
        <v>17</v>
      </c>
      <c r="X555" s="6">
        <v>42136.646863425929</v>
      </c>
      <c r="Y555" t="s">
        <v>122</v>
      </c>
      <c r="AB555" t="s">
        <v>201</v>
      </c>
      <c r="AC555" t="s">
        <v>247</v>
      </c>
      <c r="AD555" t="s">
        <v>220</v>
      </c>
      <c r="AE555" t="s">
        <v>290</v>
      </c>
      <c r="AG555" t="s">
        <v>121</v>
      </c>
      <c r="AH555" t="s">
        <v>1029</v>
      </c>
      <c r="AI555" t="s">
        <v>121</v>
      </c>
      <c r="AJ555" t="s">
        <v>717</v>
      </c>
      <c r="AK555" t="s">
        <v>121</v>
      </c>
    </row>
    <row r="556" spans="9:37" x14ac:dyDescent="0.3">
      <c r="I556">
        <f ca="1">IF(OR(INDIRECT(A73&amp;ROW())=B93,INDIRECT(A73&amp;ROW())=B94),1,IF(AND(INDIRECT(A73&amp;ROW())=B95,INDIRECT(A96&amp;ROW())=C93),1,IF(AND(INDIRECT(A73&amp;ROW())=B95,INDIRECT(A96&amp;ROW())=C94),1,0)))</f>
        <v>1</v>
      </c>
      <c r="J556">
        <f ca="1">IF(AND(INDIRECT(A73&amp;ROW())=B95,INDIRECT(A96&amp;ROW())=C95),1,IF(AND(INDIRECT(A73&amp;ROW())=B95,INDIRECT(A96&amp;ROW())=C96),1,0))</f>
        <v>0</v>
      </c>
      <c r="K556">
        <f ca="1">DAYS360(INDIRECT(C68&amp;ROW()),TODAY())</f>
        <v>683</v>
      </c>
      <c r="L556">
        <f ca="1">DAYS360(INDIRECT(C69&amp;ROW()),TODAY())</f>
        <v>709</v>
      </c>
      <c r="M556">
        <f ca="1">HYPERLINK(CONCATENATE("https://bugzilla.houston.hp.com:1181/bugzilla/show_bug.cgi?id=",INDIRECT(C70&amp;ROW())),INDIRECT(C70&amp;ROW()))</f>
        <v>62330</v>
      </c>
      <c r="N556">
        <v>62330</v>
      </c>
      <c r="O556" t="s">
        <v>56</v>
      </c>
      <c r="P556" t="s">
        <v>1244</v>
      </c>
      <c r="Q556" t="s">
        <v>25</v>
      </c>
      <c r="R556" t="s">
        <v>579</v>
      </c>
      <c r="S556" t="s">
        <v>552</v>
      </c>
      <c r="U556" s="6">
        <v>42164.44809027778</v>
      </c>
      <c r="V556" t="s">
        <v>18</v>
      </c>
      <c r="W556" t="s">
        <v>17</v>
      </c>
      <c r="X556" s="6">
        <v>42137.214143518519</v>
      </c>
      <c r="Y556" t="s">
        <v>125</v>
      </c>
      <c r="AB556" t="s">
        <v>200</v>
      </c>
      <c r="AC556" t="s">
        <v>247</v>
      </c>
      <c r="AD556" t="s">
        <v>220</v>
      </c>
      <c r="AE556" t="s">
        <v>224</v>
      </c>
      <c r="AG556" t="s">
        <v>121</v>
      </c>
      <c r="AH556" t="s">
        <v>327</v>
      </c>
      <c r="AI556" t="s">
        <v>121</v>
      </c>
      <c r="AJ556" t="s">
        <v>715</v>
      </c>
      <c r="AK556" t="s">
        <v>121</v>
      </c>
    </row>
    <row r="557" spans="9:37" x14ac:dyDescent="0.3">
      <c r="I557">
        <f ca="1">IF(OR(INDIRECT(A73&amp;ROW())=B93,INDIRECT(A73&amp;ROW())=B94),1,IF(AND(INDIRECT(A73&amp;ROW())=B95,INDIRECT(A96&amp;ROW())=C93),1,IF(AND(INDIRECT(A73&amp;ROW())=B95,INDIRECT(A96&amp;ROW())=C94),1,0)))</f>
        <v>0</v>
      </c>
      <c r="J557">
        <f ca="1">IF(AND(INDIRECT(A73&amp;ROW())=B95,INDIRECT(A96&amp;ROW())=C95),1,IF(AND(INDIRECT(A73&amp;ROW())=B95,INDIRECT(A96&amp;ROW())=C96),1,0))</f>
        <v>1</v>
      </c>
      <c r="K557">
        <f ca="1">DAYS360(INDIRECT(C68&amp;ROW()),TODAY())</f>
        <v>709</v>
      </c>
      <c r="L557">
        <f ca="1">DAYS360(INDIRECT(C69&amp;ROW()),TODAY())</f>
        <v>709</v>
      </c>
      <c r="M557">
        <f ca="1">HYPERLINK(CONCATENATE("https://bugzilla.houston.hp.com:1181/bugzilla/show_bug.cgi?id=",INDIRECT(C70&amp;ROW())),INDIRECT(C70&amp;ROW()))</f>
        <v>62359</v>
      </c>
      <c r="N557">
        <v>62359</v>
      </c>
      <c r="O557" t="s">
        <v>22</v>
      </c>
      <c r="P557" t="s">
        <v>1057</v>
      </c>
      <c r="Q557" t="s">
        <v>25</v>
      </c>
      <c r="R557" t="s">
        <v>251</v>
      </c>
      <c r="S557" t="s">
        <v>44</v>
      </c>
      <c r="U557" s="6">
        <v>42137.510567129626</v>
      </c>
      <c r="V557" t="s">
        <v>18</v>
      </c>
      <c r="W557" t="s">
        <v>783</v>
      </c>
      <c r="X557" s="6">
        <v>42137.476770833331</v>
      </c>
      <c r="Y557" t="s">
        <v>118</v>
      </c>
      <c r="AB557" t="s">
        <v>201</v>
      </c>
      <c r="AC557" t="s">
        <v>247</v>
      </c>
      <c r="AD557" t="s">
        <v>222</v>
      </c>
      <c r="AE557" t="s">
        <v>221</v>
      </c>
      <c r="AG557" t="s">
        <v>121</v>
      </c>
      <c r="AH557" t="s">
        <v>327</v>
      </c>
      <c r="AI557" t="s">
        <v>121</v>
      </c>
      <c r="AJ557" t="s">
        <v>716</v>
      </c>
      <c r="AK557" t="s">
        <v>121</v>
      </c>
    </row>
    <row r="558" spans="9:37" x14ac:dyDescent="0.3">
      <c r="I558">
        <f ca="1">IF(OR(INDIRECT(A73&amp;ROW())=B93,INDIRECT(A73&amp;ROW())=B94),1,IF(AND(INDIRECT(A73&amp;ROW())=B95,INDIRECT(A96&amp;ROW())=C93),1,IF(AND(INDIRECT(A73&amp;ROW())=B95,INDIRECT(A96&amp;ROW())=C94),1,0)))</f>
        <v>0</v>
      </c>
      <c r="J558">
        <f ca="1">IF(AND(INDIRECT(A73&amp;ROW())=B95,INDIRECT(A96&amp;ROW())=C95),1,IF(AND(INDIRECT(A73&amp;ROW())=B95,INDIRECT(A96&amp;ROW())=C96),1,0))</f>
        <v>1</v>
      </c>
      <c r="K558">
        <f ca="1">DAYS360(INDIRECT(C68&amp;ROW()),TODAY())</f>
        <v>709</v>
      </c>
      <c r="L558">
        <f ca="1">DAYS360(INDIRECT(C69&amp;ROW()),TODAY())</f>
        <v>709</v>
      </c>
      <c r="M558">
        <f ca="1">HYPERLINK(CONCATENATE("https://bugzilla.houston.hp.com:1181/bugzilla/show_bug.cgi?id=",INDIRECT(C70&amp;ROW())),INDIRECT(C70&amp;ROW()))</f>
        <v>62363</v>
      </c>
      <c r="N558">
        <v>62363</v>
      </c>
      <c r="O558" t="s">
        <v>22</v>
      </c>
      <c r="P558" t="s">
        <v>1056</v>
      </c>
      <c r="Q558" t="s">
        <v>25</v>
      </c>
      <c r="R558" t="s">
        <v>783</v>
      </c>
      <c r="S558" t="s">
        <v>552</v>
      </c>
      <c r="U558" s="6">
        <v>42137.500509259262</v>
      </c>
      <c r="V558" t="s">
        <v>18</v>
      </c>
      <c r="W558" t="s">
        <v>783</v>
      </c>
      <c r="X558" s="6">
        <v>42137.500509259262</v>
      </c>
      <c r="Y558" t="s">
        <v>118</v>
      </c>
      <c r="AB558" t="s">
        <v>201</v>
      </c>
      <c r="AC558" t="s">
        <v>247</v>
      </c>
      <c r="AD558" t="s">
        <v>222</v>
      </c>
      <c r="AE558" t="s">
        <v>221</v>
      </c>
      <c r="AG558" t="s">
        <v>121</v>
      </c>
      <c r="AH558" t="s">
        <v>327</v>
      </c>
      <c r="AI558" t="s">
        <v>121</v>
      </c>
      <c r="AJ558" t="s">
        <v>716</v>
      </c>
      <c r="AK558" t="s">
        <v>121</v>
      </c>
    </row>
    <row r="559" spans="9:37" x14ac:dyDescent="0.3">
      <c r="I559">
        <f ca="1">IF(OR(INDIRECT(A73&amp;ROW())=B93,INDIRECT(A73&amp;ROW())=B94),1,IF(AND(INDIRECT(A73&amp;ROW())=B95,INDIRECT(A96&amp;ROW())=C93),1,IF(AND(INDIRECT(A73&amp;ROW())=B95,INDIRECT(A96&amp;ROW())=C94),1,0)))</f>
        <v>0</v>
      </c>
      <c r="J559">
        <f ca="1">IF(AND(INDIRECT(A73&amp;ROW())=B95,INDIRECT(A96&amp;ROW())=C95),1,IF(AND(INDIRECT(A73&amp;ROW())=B95,INDIRECT(A96&amp;ROW())=C96),1,0))</f>
        <v>1</v>
      </c>
      <c r="K559">
        <f ca="1">DAYS360(INDIRECT(C68&amp;ROW()),TODAY())</f>
        <v>709</v>
      </c>
      <c r="L559">
        <f ca="1">DAYS360(INDIRECT(C69&amp;ROW()),TODAY())</f>
        <v>709</v>
      </c>
      <c r="M559">
        <f ca="1">HYPERLINK(CONCATENATE("https://bugzilla.houston.hp.com:1181/bugzilla/show_bug.cgi?id=",INDIRECT(C70&amp;ROW())),INDIRECT(C70&amp;ROW()))</f>
        <v>62364</v>
      </c>
      <c r="N559">
        <v>62364</v>
      </c>
      <c r="O559" t="s">
        <v>22</v>
      </c>
      <c r="P559" t="s">
        <v>1055</v>
      </c>
      <c r="Q559" t="s">
        <v>25</v>
      </c>
      <c r="R559" t="s">
        <v>248</v>
      </c>
      <c r="S559" t="s">
        <v>552</v>
      </c>
      <c r="U559" s="6">
        <v>42137.500567129631</v>
      </c>
      <c r="V559" t="s">
        <v>18</v>
      </c>
      <c r="W559" t="s">
        <v>783</v>
      </c>
      <c r="X559" s="6">
        <v>42137.500567129631</v>
      </c>
      <c r="Y559" t="s">
        <v>118</v>
      </c>
      <c r="AB559" t="s">
        <v>201</v>
      </c>
      <c r="AC559" t="s">
        <v>247</v>
      </c>
      <c r="AD559" t="s">
        <v>222</v>
      </c>
      <c r="AE559" t="s">
        <v>221</v>
      </c>
      <c r="AG559" t="s">
        <v>121</v>
      </c>
      <c r="AH559" t="s">
        <v>327</v>
      </c>
      <c r="AI559" t="s">
        <v>121</v>
      </c>
      <c r="AJ559" t="s">
        <v>716</v>
      </c>
      <c r="AK559" t="s">
        <v>121</v>
      </c>
    </row>
    <row r="560" spans="9:37" x14ac:dyDescent="0.3">
      <c r="I560">
        <f ca="1">IF(OR(INDIRECT(A73&amp;ROW())=B93,INDIRECT(A73&amp;ROW())=B94),1,IF(AND(INDIRECT(A73&amp;ROW())=B95,INDIRECT(A96&amp;ROW())=C93),1,IF(AND(INDIRECT(A73&amp;ROW())=B95,INDIRECT(A96&amp;ROW())=C94),1,0)))</f>
        <v>1</v>
      </c>
      <c r="J560">
        <f ca="1">IF(AND(INDIRECT(A73&amp;ROW())=B95,INDIRECT(A96&amp;ROW())=C95),1,IF(AND(INDIRECT(A73&amp;ROW())=B95,INDIRECT(A96&amp;ROW())=C96),1,0))</f>
        <v>0</v>
      </c>
      <c r="K560">
        <f ca="1">DAYS360(INDIRECT(C68&amp;ROW()),TODAY())</f>
        <v>687</v>
      </c>
      <c r="L560">
        <f ca="1">DAYS360(INDIRECT(C69&amp;ROW()),TODAY())</f>
        <v>708</v>
      </c>
      <c r="M560">
        <f ca="1">HYPERLINK(CONCATENATE("https://bugzilla.houston.hp.com:1181/bugzilla/show_bug.cgi?id=",INDIRECT(C70&amp;ROW())),INDIRECT(C70&amp;ROW()))</f>
        <v>62438</v>
      </c>
      <c r="N560">
        <v>62438</v>
      </c>
      <c r="O560" t="s">
        <v>56</v>
      </c>
      <c r="P560" t="s">
        <v>1064</v>
      </c>
      <c r="Q560" t="s">
        <v>25</v>
      </c>
      <c r="R560" t="s">
        <v>248</v>
      </c>
      <c r="S560" t="s">
        <v>552</v>
      </c>
      <c r="U560" s="6">
        <v>42160.492615740739</v>
      </c>
      <c r="V560" t="s">
        <v>18</v>
      </c>
      <c r="W560" t="s">
        <v>248</v>
      </c>
      <c r="X560" s="6">
        <v>42138.516712962963</v>
      </c>
      <c r="Y560" t="s">
        <v>123</v>
      </c>
      <c r="AB560" t="s">
        <v>200</v>
      </c>
      <c r="AC560" t="s">
        <v>247</v>
      </c>
      <c r="AD560" t="s">
        <v>220</v>
      </c>
      <c r="AE560" t="s">
        <v>219</v>
      </c>
      <c r="AG560" t="s">
        <v>121</v>
      </c>
      <c r="AH560" t="s">
        <v>327</v>
      </c>
      <c r="AI560" t="s">
        <v>121</v>
      </c>
      <c r="AJ560" t="s">
        <v>715</v>
      </c>
      <c r="AK560" t="s">
        <v>121</v>
      </c>
    </row>
    <row r="561" spans="9:37" x14ac:dyDescent="0.3">
      <c r="I561">
        <f ca="1">IF(OR(INDIRECT(A73&amp;ROW())=B93,INDIRECT(A73&amp;ROW())=B94),1,IF(AND(INDIRECT(A73&amp;ROW())=B95,INDIRECT(A96&amp;ROW())=C93),1,IF(AND(INDIRECT(A73&amp;ROW())=B95,INDIRECT(A96&amp;ROW())=C94),1,0)))</f>
        <v>0</v>
      </c>
      <c r="J561">
        <f ca="1">IF(AND(INDIRECT(A73&amp;ROW())=B95,INDIRECT(A96&amp;ROW())=C95),1,IF(AND(INDIRECT(A73&amp;ROW())=B95,INDIRECT(A96&amp;ROW())=C96),1,0))</f>
        <v>1</v>
      </c>
      <c r="K561">
        <f ca="1">DAYS360(INDIRECT(C68&amp;ROW()),TODAY())</f>
        <v>705</v>
      </c>
      <c r="L561">
        <f ca="1">DAYS360(INDIRECT(C69&amp;ROW()),TODAY())</f>
        <v>705</v>
      </c>
      <c r="M561">
        <f ca="1">HYPERLINK(CONCATENATE("https://bugzilla.houston.hp.com:1181/bugzilla/show_bug.cgi?id=",INDIRECT(C70&amp;ROW())),INDIRECT(C70&amp;ROW()))</f>
        <v>62508</v>
      </c>
      <c r="N561">
        <v>62508</v>
      </c>
      <c r="O561" t="s">
        <v>56</v>
      </c>
      <c r="P561" t="s">
        <v>1063</v>
      </c>
      <c r="Q561" t="s">
        <v>25</v>
      </c>
      <c r="R561" t="s">
        <v>783</v>
      </c>
      <c r="S561" t="s">
        <v>236</v>
      </c>
      <c r="U561" s="6">
        <v>42141.688692129632</v>
      </c>
      <c r="V561" t="s">
        <v>35</v>
      </c>
      <c r="W561" t="s">
        <v>764</v>
      </c>
      <c r="X561" s="6">
        <v>42141.688692129632</v>
      </c>
      <c r="Y561" t="s">
        <v>246</v>
      </c>
      <c r="AB561" t="s">
        <v>201</v>
      </c>
      <c r="AC561" t="s">
        <v>247</v>
      </c>
      <c r="AD561" t="s">
        <v>220</v>
      </c>
      <c r="AE561" t="s">
        <v>219</v>
      </c>
      <c r="AG561" t="s">
        <v>121</v>
      </c>
      <c r="AH561" t="s">
        <v>768</v>
      </c>
      <c r="AI561" t="s">
        <v>121</v>
      </c>
      <c r="AJ561" t="s">
        <v>716</v>
      </c>
      <c r="AK561" t="s">
        <v>121</v>
      </c>
    </row>
    <row r="562" spans="9:37" x14ac:dyDescent="0.3">
      <c r="I562">
        <f ca="1">IF(OR(INDIRECT(A73&amp;ROW())=B93,INDIRECT(A73&amp;ROW())=B94),1,IF(AND(INDIRECT(A73&amp;ROW())=B95,INDIRECT(A96&amp;ROW())=C93),1,IF(AND(INDIRECT(A73&amp;ROW())=B95,INDIRECT(A96&amp;ROW())=C94),1,0)))</f>
        <v>1</v>
      </c>
      <c r="J562">
        <f ca="1">IF(AND(INDIRECT(A73&amp;ROW())=B95,INDIRECT(A96&amp;ROW())=C95),1,IF(AND(INDIRECT(A73&amp;ROW())=B95,INDIRECT(A96&amp;ROW())=C96),1,0))</f>
        <v>0</v>
      </c>
      <c r="K562">
        <f ca="1">DAYS360(INDIRECT(C68&amp;ROW()),TODAY())</f>
        <v>694</v>
      </c>
      <c r="L562">
        <f ca="1">DAYS360(INDIRECT(C69&amp;ROW()),TODAY())</f>
        <v>704</v>
      </c>
      <c r="M562">
        <f ca="1">HYPERLINK(CONCATENATE("https://bugzilla.houston.hp.com:1181/bugzilla/show_bug.cgi?id=",INDIRECT(C70&amp;ROW())),INDIRECT(C70&amp;ROW()))</f>
        <v>62559</v>
      </c>
      <c r="N562">
        <v>62559</v>
      </c>
      <c r="O562" t="s">
        <v>241</v>
      </c>
      <c r="P562" t="s">
        <v>1081</v>
      </c>
      <c r="Q562" t="s">
        <v>25</v>
      </c>
      <c r="R562" t="s">
        <v>251</v>
      </c>
      <c r="S562" t="s">
        <v>1080</v>
      </c>
      <c r="U562" s="6">
        <v>42152.503506944442</v>
      </c>
      <c r="V562" t="s">
        <v>18</v>
      </c>
      <c r="W562" t="s">
        <v>764</v>
      </c>
      <c r="X562" s="6">
        <v>42142.621620370373</v>
      </c>
      <c r="Y562" t="s">
        <v>123</v>
      </c>
      <c r="Z562" t="s">
        <v>123</v>
      </c>
      <c r="AB562" t="s">
        <v>200</v>
      </c>
      <c r="AC562" t="s">
        <v>247</v>
      </c>
      <c r="AD562" t="s">
        <v>227</v>
      </c>
      <c r="AE562" t="s">
        <v>237</v>
      </c>
      <c r="AG562" t="s">
        <v>121</v>
      </c>
      <c r="AH562" t="s">
        <v>327</v>
      </c>
      <c r="AI562" t="s">
        <v>121</v>
      </c>
      <c r="AJ562" t="s">
        <v>715</v>
      </c>
      <c r="AK562" t="s">
        <v>121</v>
      </c>
    </row>
    <row r="563" spans="9:37" x14ac:dyDescent="0.3">
      <c r="I563">
        <f ca="1">IF(OR(INDIRECT(A73&amp;ROW())=B93,INDIRECT(A73&amp;ROW())=B94),1,IF(AND(INDIRECT(A73&amp;ROW())=B95,INDIRECT(A96&amp;ROW())=C93),1,IF(AND(INDIRECT(A73&amp;ROW())=B95,INDIRECT(A96&amp;ROW())=C94),1,0)))</f>
        <v>1</v>
      </c>
      <c r="J563">
        <f ca="1">IF(AND(INDIRECT(A73&amp;ROW())=B95,INDIRECT(A96&amp;ROW())=C95),1,IF(AND(INDIRECT(A73&amp;ROW())=B95,INDIRECT(A96&amp;ROW())=C96),1,0))</f>
        <v>0</v>
      </c>
      <c r="K563">
        <f ca="1">DAYS360(INDIRECT(C68&amp;ROW()),TODAY())</f>
        <v>703</v>
      </c>
      <c r="L563">
        <f ca="1">DAYS360(INDIRECT(C69&amp;ROW()),TODAY())</f>
        <v>703</v>
      </c>
      <c r="M563">
        <f ca="1">HYPERLINK(CONCATENATE("https://bugzilla.houston.hp.com:1181/bugzilla/show_bug.cgi?id=",INDIRECT(C70&amp;ROW())),INDIRECT(C70&amp;ROW()))</f>
        <v>62575</v>
      </c>
      <c r="N563">
        <v>62575</v>
      </c>
      <c r="O563" t="s">
        <v>241</v>
      </c>
      <c r="P563" t="s">
        <v>1079</v>
      </c>
      <c r="Q563" t="s">
        <v>25</v>
      </c>
      <c r="R563" t="s">
        <v>579</v>
      </c>
      <c r="S563" t="s">
        <v>552</v>
      </c>
      <c r="U563" s="6">
        <v>42143.309745370374</v>
      </c>
      <c r="V563" t="s">
        <v>18</v>
      </c>
      <c r="W563" t="s">
        <v>764</v>
      </c>
      <c r="X563" s="6">
        <v>42143.016516203701</v>
      </c>
      <c r="Y563" t="s">
        <v>123</v>
      </c>
      <c r="Z563" t="s">
        <v>123</v>
      </c>
      <c r="AB563" t="s">
        <v>200</v>
      </c>
      <c r="AC563" t="s">
        <v>247</v>
      </c>
      <c r="AD563" t="s">
        <v>227</v>
      </c>
      <c r="AE563" t="s">
        <v>231</v>
      </c>
      <c r="AG563" t="s">
        <v>121</v>
      </c>
      <c r="AH563" t="s">
        <v>327</v>
      </c>
      <c r="AI563" t="s">
        <v>121</v>
      </c>
      <c r="AJ563" t="s">
        <v>715</v>
      </c>
      <c r="AK563" t="s">
        <v>1066</v>
      </c>
    </row>
    <row r="564" spans="9:37" x14ac:dyDescent="0.3">
      <c r="I564">
        <f ca="1">IF(OR(INDIRECT(A73&amp;ROW())=B93,INDIRECT(A73&amp;ROW())=B94),1,IF(AND(INDIRECT(A73&amp;ROW())=B95,INDIRECT(A96&amp;ROW())=C93),1,IF(AND(INDIRECT(A73&amp;ROW())=B95,INDIRECT(A96&amp;ROW())=C94),1,0)))</f>
        <v>1</v>
      </c>
      <c r="J564">
        <f ca="1">IF(AND(INDIRECT(A73&amp;ROW())=B95,INDIRECT(A96&amp;ROW())=C95),1,IF(AND(INDIRECT(A73&amp;ROW())=B95,INDIRECT(A96&amp;ROW())=C96),1,0))</f>
        <v>0</v>
      </c>
      <c r="K564">
        <f ca="1">DAYS360(INDIRECT(C68&amp;ROW()),TODAY())</f>
        <v>703</v>
      </c>
      <c r="L564">
        <f ca="1">DAYS360(INDIRECT(C69&amp;ROW()),TODAY())</f>
        <v>703</v>
      </c>
      <c r="M564">
        <f ca="1">HYPERLINK(CONCATENATE("https://bugzilla.houston.hp.com:1181/bugzilla/show_bug.cgi?id=",INDIRECT(C70&amp;ROW())),INDIRECT(C70&amp;ROW()))</f>
        <v>62576</v>
      </c>
      <c r="N564">
        <v>62576</v>
      </c>
      <c r="O564" t="s">
        <v>241</v>
      </c>
      <c r="P564" t="s">
        <v>1078</v>
      </c>
      <c r="Q564" t="s">
        <v>25</v>
      </c>
      <c r="R564" t="s">
        <v>248</v>
      </c>
      <c r="S564" t="s">
        <v>552</v>
      </c>
      <c r="U564" s="6">
        <v>42143.30976851852</v>
      </c>
      <c r="V564" t="s">
        <v>18</v>
      </c>
      <c r="W564" t="s">
        <v>764</v>
      </c>
      <c r="X564" s="6">
        <v>42143.016574074078</v>
      </c>
      <c r="Y564" t="s">
        <v>123</v>
      </c>
      <c r="Z564" t="s">
        <v>123</v>
      </c>
      <c r="AB564" t="s">
        <v>200</v>
      </c>
      <c r="AC564" t="s">
        <v>247</v>
      </c>
      <c r="AD564" t="s">
        <v>227</v>
      </c>
      <c r="AE564" t="s">
        <v>231</v>
      </c>
      <c r="AG564" t="s">
        <v>121</v>
      </c>
      <c r="AH564" t="s">
        <v>327</v>
      </c>
      <c r="AI564" t="s">
        <v>121</v>
      </c>
      <c r="AJ564" t="s">
        <v>715</v>
      </c>
      <c r="AK564" t="s">
        <v>1066</v>
      </c>
    </row>
    <row r="565" spans="9:37" x14ac:dyDescent="0.3">
      <c r="I565">
        <f ca="1">IF(OR(INDIRECT(A73&amp;ROW())=B93,INDIRECT(A73&amp;ROW())=B94),1,IF(AND(INDIRECT(A73&amp;ROW())=B95,INDIRECT(A96&amp;ROW())=C93),1,IF(AND(INDIRECT(A73&amp;ROW())=B95,INDIRECT(A96&amp;ROW())=C94),1,0)))</f>
        <v>1</v>
      </c>
      <c r="J565">
        <f ca="1">IF(AND(INDIRECT(A73&amp;ROW())=B95,INDIRECT(A96&amp;ROW())=C95),1,IF(AND(INDIRECT(A73&amp;ROW())=B95,INDIRECT(A96&amp;ROW())=C96),1,0))</f>
        <v>0</v>
      </c>
      <c r="K565">
        <f ca="1">DAYS360(INDIRECT(C68&amp;ROW()),TODAY())</f>
        <v>677</v>
      </c>
      <c r="L565">
        <f ca="1">DAYS360(INDIRECT(C69&amp;ROW()),TODAY())</f>
        <v>703</v>
      </c>
      <c r="M565">
        <f ca="1">HYPERLINK(CONCATENATE("https://bugzilla.houston.hp.com:1181/bugzilla/show_bug.cgi?id=",INDIRECT(C70&amp;ROW())),INDIRECT(C70&amp;ROW()))</f>
        <v>62607</v>
      </c>
      <c r="N565">
        <v>62607</v>
      </c>
      <c r="O565" t="s">
        <v>53</v>
      </c>
      <c r="P565" t="s">
        <v>1077</v>
      </c>
      <c r="Q565" t="s">
        <v>39</v>
      </c>
      <c r="R565" t="s">
        <v>251</v>
      </c>
      <c r="S565" t="s">
        <v>24</v>
      </c>
      <c r="U565" s="6">
        <v>42170.69153935185</v>
      </c>
      <c r="V565" t="s">
        <v>18</v>
      </c>
      <c r="W565" t="s">
        <v>764</v>
      </c>
      <c r="X565" s="6">
        <v>42143.354687500003</v>
      </c>
      <c r="Y565" t="s">
        <v>119</v>
      </c>
      <c r="AB565" t="s">
        <v>201</v>
      </c>
      <c r="AC565" t="s">
        <v>247</v>
      </c>
      <c r="AD565" t="s">
        <v>220</v>
      </c>
      <c r="AE565" t="s">
        <v>219</v>
      </c>
      <c r="AG565" t="s">
        <v>121</v>
      </c>
      <c r="AH565" t="s">
        <v>327</v>
      </c>
      <c r="AI565" t="s">
        <v>121</v>
      </c>
      <c r="AJ565" t="s">
        <v>715</v>
      </c>
      <c r="AK565" t="s">
        <v>121</v>
      </c>
    </row>
    <row r="566" spans="9:37" x14ac:dyDescent="0.3">
      <c r="I566">
        <f ca="1">IF(OR(INDIRECT(A73&amp;ROW())=B93,INDIRECT(A73&amp;ROW())=B94),1,IF(AND(INDIRECT(A73&amp;ROW())=B95,INDIRECT(A96&amp;ROW())=C93),1,IF(AND(INDIRECT(A73&amp;ROW())=B95,INDIRECT(A96&amp;ROW())=C94),1,0)))</f>
        <v>1</v>
      </c>
      <c r="J566">
        <f ca="1">IF(AND(INDIRECT(A73&amp;ROW())=B95,INDIRECT(A96&amp;ROW())=C95),1,IF(AND(INDIRECT(A73&amp;ROW())=B95,INDIRECT(A96&amp;ROW())=C96),1,0))</f>
        <v>0</v>
      </c>
      <c r="K566">
        <f ca="1">DAYS360(INDIRECT(C68&amp;ROW()),TODAY())</f>
        <v>703</v>
      </c>
      <c r="L566">
        <f ca="1">DAYS360(INDIRECT(C69&amp;ROW()),TODAY())</f>
        <v>703</v>
      </c>
      <c r="M566">
        <f ca="1">HYPERLINK(CONCATENATE("https://bugzilla.houston.hp.com:1181/bugzilla/show_bug.cgi?id=",INDIRECT(C70&amp;ROW())),INDIRECT(C70&amp;ROW()))</f>
        <v>62608</v>
      </c>
      <c r="N566">
        <v>62608</v>
      </c>
      <c r="O566" t="s">
        <v>53</v>
      </c>
      <c r="P566" t="s">
        <v>1076</v>
      </c>
      <c r="Q566" t="s">
        <v>39</v>
      </c>
      <c r="R566" t="s">
        <v>579</v>
      </c>
      <c r="S566" t="s">
        <v>552</v>
      </c>
      <c r="U566" s="6">
        <v>42143.376076388886</v>
      </c>
      <c r="V566" t="s">
        <v>18</v>
      </c>
      <c r="W566" t="s">
        <v>764</v>
      </c>
      <c r="X566" s="6">
        <v>42143.376076388886</v>
      </c>
      <c r="Y566" t="s">
        <v>119</v>
      </c>
      <c r="AB566" t="s">
        <v>201</v>
      </c>
      <c r="AC566" t="s">
        <v>247</v>
      </c>
      <c r="AD566" t="s">
        <v>220</v>
      </c>
      <c r="AE566" t="s">
        <v>219</v>
      </c>
      <c r="AG566" t="s">
        <v>121</v>
      </c>
      <c r="AH566" t="s">
        <v>327</v>
      </c>
      <c r="AI566" t="s">
        <v>121</v>
      </c>
      <c r="AJ566" t="s">
        <v>715</v>
      </c>
      <c r="AK566" t="s">
        <v>121</v>
      </c>
    </row>
    <row r="567" spans="9:37" x14ac:dyDescent="0.3">
      <c r="I567">
        <f ca="1">IF(OR(INDIRECT(A73&amp;ROW())=B93,INDIRECT(A73&amp;ROW())=B94),1,IF(AND(INDIRECT(A73&amp;ROW())=B95,INDIRECT(A96&amp;ROW())=C93),1,IF(AND(INDIRECT(A73&amp;ROW())=B95,INDIRECT(A96&amp;ROW())=C94),1,0)))</f>
        <v>1</v>
      </c>
      <c r="J567">
        <f ca="1">IF(AND(INDIRECT(A73&amp;ROW())=B95,INDIRECT(A96&amp;ROW())=C95),1,IF(AND(INDIRECT(A73&amp;ROW())=B95,INDIRECT(A96&amp;ROW())=C96),1,0))</f>
        <v>0</v>
      </c>
      <c r="K567">
        <f ca="1">DAYS360(INDIRECT(C68&amp;ROW()),TODAY())</f>
        <v>677</v>
      </c>
      <c r="L567">
        <f ca="1">DAYS360(INDIRECT(C69&amp;ROW()),TODAY())</f>
        <v>703</v>
      </c>
      <c r="M567">
        <f ca="1">HYPERLINK(CONCATENATE("https://bugzilla.houston.hp.com:1181/bugzilla/show_bug.cgi?id=",INDIRECT(C70&amp;ROW())),INDIRECT(C70&amp;ROW()))</f>
        <v>62609</v>
      </c>
      <c r="N567">
        <v>62609</v>
      </c>
      <c r="O567" t="s">
        <v>53</v>
      </c>
      <c r="P567" t="s">
        <v>1075</v>
      </c>
      <c r="Q567" t="s">
        <v>39</v>
      </c>
      <c r="R567" t="s">
        <v>783</v>
      </c>
      <c r="S567" t="s">
        <v>552</v>
      </c>
      <c r="U567" s="6">
        <v>42170.709641203706</v>
      </c>
      <c r="V567" t="s">
        <v>18</v>
      </c>
      <c r="W567" t="s">
        <v>764</v>
      </c>
      <c r="X567" s="6">
        <v>42143.376168981478</v>
      </c>
      <c r="Y567" t="s">
        <v>119</v>
      </c>
      <c r="AB567" t="s">
        <v>201</v>
      </c>
      <c r="AC567" t="s">
        <v>247</v>
      </c>
      <c r="AD567" t="s">
        <v>220</v>
      </c>
      <c r="AE567" t="s">
        <v>219</v>
      </c>
      <c r="AG567" t="s">
        <v>588</v>
      </c>
      <c r="AH567" t="s">
        <v>327</v>
      </c>
      <c r="AI567" t="s">
        <v>121</v>
      </c>
      <c r="AJ567" t="s">
        <v>715</v>
      </c>
      <c r="AK567" t="s">
        <v>121</v>
      </c>
    </row>
    <row r="568" spans="9:37" x14ac:dyDescent="0.3">
      <c r="I568">
        <f ca="1">IF(OR(INDIRECT(A73&amp;ROW())=B93,INDIRECT(A73&amp;ROW())=B94),1,IF(AND(INDIRECT(A73&amp;ROW())=B95,INDIRECT(A96&amp;ROW())=C93),1,IF(AND(INDIRECT(A73&amp;ROW())=B95,INDIRECT(A96&amp;ROW())=C94),1,0)))</f>
        <v>1</v>
      </c>
      <c r="J568">
        <f ca="1">IF(AND(INDIRECT(A73&amp;ROW())=B95,INDIRECT(A96&amp;ROW())=C95),1,IF(AND(INDIRECT(A73&amp;ROW())=B95,INDIRECT(A96&amp;ROW())=C96),1,0))</f>
        <v>0</v>
      </c>
      <c r="K568">
        <f ca="1">DAYS360(INDIRECT(C68&amp;ROW()),TODAY())</f>
        <v>703</v>
      </c>
      <c r="L568">
        <f ca="1">DAYS360(INDIRECT(C69&amp;ROW()),TODAY())</f>
        <v>703</v>
      </c>
      <c r="M568">
        <f ca="1">HYPERLINK(CONCATENATE("https://bugzilla.houston.hp.com:1181/bugzilla/show_bug.cgi?id=",INDIRECT(C70&amp;ROW())),INDIRECT(C70&amp;ROW()))</f>
        <v>62610</v>
      </c>
      <c r="N568">
        <v>62610</v>
      </c>
      <c r="O568" t="s">
        <v>53</v>
      </c>
      <c r="P568" t="s">
        <v>1074</v>
      </c>
      <c r="Q568" t="s">
        <v>39</v>
      </c>
      <c r="R568" t="s">
        <v>248</v>
      </c>
      <c r="S568" t="s">
        <v>552</v>
      </c>
      <c r="U568" s="6">
        <v>42143.376250000001</v>
      </c>
      <c r="V568" t="s">
        <v>18</v>
      </c>
      <c r="W568" t="s">
        <v>764</v>
      </c>
      <c r="X568" s="6">
        <v>42143.376250000001</v>
      </c>
      <c r="Y568" t="s">
        <v>119</v>
      </c>
      <c r="AB568" t="s">
        <v>201</v>
      </c>
      <c r="AC568" t="s">
        <v>247</v>
      </c>
      <c r="AD568" t="s">
        <v>220</v>
      </c>
      <c r="AE568" t="s">
        <v>219</v>
      </c>
      <c r="AG568" t="s">
        <v>121</v>
      </c>
      <c r="AH568" t="s">
        <v>327</v>
      </c>
      <c r="AI568" t="s">
        <v>121</v>
      </c>
      <c r="AJ568" t="s">
        <v>715</v>
      </c>
      <c r="AK568" t="s">
        <v>121</v>
      </c>
    </row>
    <row r="569" spans="9:37" x14ac:dyDescent="0.3">
      <c r="I569">
        <f ca="1">IF(OR(INDIRECT(A73&amp;ROW())=B93,INDIRECT(A73&amp;ROW())=B94),1,IF(AND(INDIRECT(A73&amp;ROW())=B95,INDIRECT(A96&amp;ROW())=C93),1,IF(AND(INDIRECT(A73&amp;ROW())=B95,INDIRECT(A96&amp;ROW())=C94),1,0)))</f>
        <v>0</v>
      </c>
      <c r="J569">
        <f ca="1">IF(AND(INDIRECT(A73&amp;ROW())=B95,INDIRECT(A96&amp;ROW())=C95),1,IF(AND(INDIRECT(A73&amp;ROW())=B95,INDIRECT(A96&amp;ROW())=C96),1,0))</f>
        <v>1</v>
      </c>
      <c r="K569">
        <f ca="1">DAYS360(INDIRECT(C68&amp;ROW()),TODAY())</f>
        <v>677</v>
      </c>
      <c r="L569">
        <f ca="1">DAYS360(INDIRECT(C69&amp;ROW()),TODAY())</f>
        <v>703</v>
      </c>
      <c r="M569">
        <f ca="1">HYPERLINK(CONCATENATE("https://bugzilla.houston.hp.com:1181/bugzilla/show_bug.cgi?id=",INDIRECT(C70&amp;ROW())),INDIRECT(C70&amp;ROW()))</f>
        <v>62618</v>
      </c>
      <c r="N569">
        <v>62618</v>
      </c>
      <c r="O569" t="s">
        <v>188</v>
      </c>
      <c r="P569" t="s">
        <v>1132</v>
      </c>
      <c r="Q569" t="s">
        <v>25</v>
      </c>
      <c r="R569" t="s">
        <v>251</v>
      </c>
      <c r="S569" t="s">
        <v>24</v>
      </c>
      <c r="U569" s="6">
        <v>42170.552905092591</v>
      </c>
      <c r="V569" t="s">
        <v>18</v>
      </c>
      <c r="W569" t="s">
        <v>764</v>
      </c>
      <c r="X569" s="6">
        <v>42143.454618055555</v>
      </c>
      <c r="Y569" t="s">
        <v>119</v>
      </c>
      <c r="AB569" t="s">
        <v>201</v>
      </c>
      <c r="AC569" t="s">
        <v>247</v>
      </c>
      <c r="AD569" t="s">
        <v>220</v>
      </c>
      <c r="AE569" t="s">
        <v>229</v>
      </c>
      <c r="AG569" t="s">
        <v>121</v>
      </c>
      <c r="AH569" t="s">
        <v>327</v>
      </c>
      <c r="AI569" t="s">
        <v>362</v>
      </c>
      <c r="AJ569" t="s">
        <v>716</v>
      </c>
      <c r="AK569" t="s">
        <v>121</v>
      </c>
    </row>
    <row r="570" spans="9:37" x14ac:dyDescent="0.3">
      <c r="I570">
        <f ca="1">IF(OR(INDIRECT(A73&amp;ROW())=B93,INDIRECT(A73&amp;ROW())=B94),1,IF(AND(INDIRECT(A73&amp;ROW())=B95,INDIRECT(A96&amp;ROW())=C93),1,IF(AND(INDIRECT(A73&amp;ROW())=B95,INDIRECT(A96&amp;ROW())=C94),1,0)))</f>
        <v>0</v>
      </c>
      <c r="J570">
        <f ca="1">IF(AND(INDIRECT(A73&amp;ROW())=B95,INDIRECT(A96&amp;ROW())=C95),1,IF(AND(INDIRECT(A73&amp;ROW())=B95,INDIRECT(A96&amp;ROW())=C96),1,0))</f>
        <v>0</v>
      </c>
      <c r="K570">
        <f ca="1">DAYS360(INDIRECT(C68&amp;ROW()),TODAY())</f>
        <v>700</v>
      </c>
      <c r="L570">
        <f ca="1">DAYS360(INDIRECT(C69&amp;ROW()),TODAY())</f>
        <v>703</v>
      </c>
      <c r="M570">
        <f ca="1">HYPERLINK(CONCATENATE("https://bugzilla.houston.hp.com:1181/bugzilla/show_bug.cgi?id=",INDIRECT(C70&amp;ROW())),INDIRECT(C70&amp;ROW()))</f>
        <v>62620</v>
      </c>
      <c r="N570">
        <v>62620</v>
      </c>
      <c r="O570" t="s">
        <v>21</v>
      </c>
      <c r="P570" t="s">
        <v>1093</v>
      </c>
      <c r="Q570" t="s">
        <v>16</v>
      </c>
      <c r="R570" t="s">
        <v>251</v>
      </c>
      <c r="S570" t="s">
        <v>917</v>
      </c>
      <c r="U570" s="6">
        <v>42146.473414351851</v>
      </c>
      <c r="V570" t="s">
        <v>18</v>
      </c>
      <c r="W570" t="s">
        <v>783</v>
      </c>
      <c r="X570" s="6">
        <v>42143.486145833333</v>
      </c>
      <c r="Y570" t="s">
        <v>846</v>
      </c>
      <c r="AB570" t="s">
        <v>201</v>
      </c>
      <c r="AC570" t="s">
        <v>247</v>
      </c>
      <c r="AD570" t="s">
        <v>222</v>
      </c>
      <c r="AE570" t="s">
        <v>1073</v>
      </c>
      <c r="AG570" t="s">
        <v>121</v>
      </c>
      <c r="AH570" t="s">
        <v>327</v>
      </c>
      <c r="AI570" t="s">
        <v>121</v>
      </c>
      <c r="AJ570" t="s">
        <v>717</v>
      </c>
      <c r="AK570" t="s">
        <v>121</v>
      </c>
    </row>
    <row r="571" spans="9:37" x14ac:dyDescent="0.3">
      <c r="I571">
        <f ca="1">IF(OR(INDIRECT(A73&amp;ROW())=B93,INDIRECT(A73&amp;ROW())=B94),1,IF(AND(INDIRECT(A73&amp;ROW())=B95,INDIRECT(A96&amp;ROW())=C93),1,IF(AND(INDIRECT(A73&amp;ROW())=B95,INDIRECT(A96&amp;ROW())=C94),1,0)))</f>
        <v>0</v>
      </c>
      <c r="J571">
        <f ca="1">IF(AND(INDIRECT(A73&amp;ROW())=B95,INDIRECT(A96&amp;ROW())=C95),1,IF(AND(INDIRECT(A73&amp;ROW())=B95,INDIRECT(A96&amp;ROW())=C96),1,0))</f>
        <v>0</v>
      </c>
      <c r="K571">
        <f ca="1">DAYS360(INDIRECT(C68&amp;ROW()),TODAY())</f>
        <v>703</v>
      </c>
      <c r="L571">
        <f ca="1">DAYS360(INDIRECT(C69&amp;ROW()),TODAY())</f>
        <v>703</v>
      </c>
      <c r="M571">
        <f ca="1">HYPERLINK(CONCATENATE("https://bugzilla.houston.hp.com:1181/bugzilla/show_bug.cgi?id=",INDIRECT(C70&amp;ROW())),INDIRECT(C70&amp;ROW()))</f>
        <v>62623</v>
      </c>
      <c r="N571">
        <v>62623</v>
      </c>
      <c r="O571" t="s">
        <v>21</v>
      </c>
      <c r="P571" t="s">
        <v>1092</v>
      </c>
      <c r="Q571" t="s">
        <v>16</v>
      </c>
      <c r="R571" t="s">
        <v>579</v>
      </c>
      <c r="S571" t="s">
        <v>552</v>
      </c>
      <c r="U571" s="6">
        <v>42143.606388888889</v>
      </c>
      <c r="V571" t="s">
        <v>18</v>
      </c>
      <c r="W571" t="s">
        <v>783</v>
      </c>
      <c r="X571" s="6">
        <v>42143.516631944447</v>
      </c>
      <c r="Y571" t="s">
        <v>846</v>
      </c>
      <c r="AB571" t="s">
        <v>201</v>
      </c>
      <c r="AC571" t="s">
        <v>247</v>
      </c>
      <c r="AD571" t="s">
        <v>222</v>
      </c>
      <c r="AE571" t="s">
        <v>1073</v>
      </c>
      <c r="AG571" t="s">
        <v>121</v>
      </c>
      <c r="AH571" t="s">
        <v>327</v>
      </c>
      <c r="AI571" t="s">
        <v>121</v>
      </c>
      <c r="AJ571" t="s">
        <v>717</v>
      </c>
      <c r="AK571" t="s">
        <v>121</v>
      </c>
    </row>
    <row r="572" spans="9:37" x14ac:dyDescent="0.3">
      <c r="I572">
        <f ca="1">IF(OR(INDIRECT(A73&amp;ROW())=B93,INDIRECT(A73&amp;ROW())=B94),1,IF(AND(INDIRECT(A73&amp;ROW())=B95,INDIRECT(A96&amp;ROW())=C93),1,IF(AND(INDIRECT(A73&amp;ROW())=B95,INDIRECT(A96&amp;ROW())=C94),1,0)))</f>
        <v>0</v>
      </c>
      <c r="J572">
        <f ca="1">IF(AND(INDIRECT(A73&amp;ROW())=B95,INDIRECT(A96&amp;ROW())=C95),1,IF(AND(INDIRECT(A73&amp;ROW())=B95,INDIRECT(A96&amp;ROW())=C96),1,0))</f>
        <v>0</v>
      </c>
      <c r="K572">
        <f ca="1">DAYS360(INDIRECT(C68&amp;ROW()),TODAY())</f>
        <v>703</v>
      </c>
      <c r="L572">
        <f ca="1">DAYS360(INDIRECT(C69&amp;ROW()),TODAY())</f>
        <v>703</v>
      </c>
      <c r="M572">
        <f ca="1">HYPERLINK(CONCATENATE("https://bugzilla.houston.hp.com:1181/bugzilla/show_bug.cgi?id=",INDIRECT(C70&amp;ROW())),INDIRECT(C70&amp;ROW()))</f>
        <v>62624</v>
      </c>
      <c r="N572">
        <v>62624</v>
      </c>
      <c r="O572" t="s">
        <v>21</v>
      </c>
      <c r="P572" t="s">
        <v>1091</v>
      </c>
      <c r="Q572" t="s">
        <v>16</v>
      </c>
      <c r="R572" t="s">
        <v>783</v>
      </c>
      <c r="S572" t="s">
        <v>552</v>
      </c>
      <c r="U572" s="6">
        <v>42143.606377314813</v>
      </c>
      <c r="V572" t="s">
        <v>18</v>
      </c>
      <c r="W572" t="s">
        <v>783</v>
      </c>
      <c r="X572" s="6">
        <v>42143.51667824074</v>
      </c>
      <c r="Y572" t="s">
        <v>846</v>
      </c>
      <c r="AB572" t="s">
        <v>201</v>
      </c>
      <c r="AC572" t="s">
        <v>247</v>
      </c>
      <c r="AD572" t="s">
        <v>222</v>
      </c>
      <c r="AE572" t="s">
        <v>1073</v>
      </c>
      <c r="AG572" t="s">
        <v>121</v>
      </c>
      <c r="AH572" t="s">
        <v>327</v>
      </c>
      <c r="AI572" t="s">
        <v>121</v>
      </c>
      <c r="AJ572" t="s">
        <v>717</v>
      </c>
      <c r="AK572" t="s">
        <v>121</v>
      </c>
    </row>
    <row r="573" spans="9:37" x14ac:dyDescent="0.3">
      <c r="I573">
        <f ca="1">IF(OR(INDIRECT(A73&amp;ROW())=B93,INDIRECT(A73&amp;ROW())=B94),1,IF(AND(INDIRECT(A73&amp;ROW())=B95,INDIRECT(A96&amp;ROW())=C93),1,IF(AND(INDIRECT(A73&amp;ROW())=B95,INDIRECT(A96&amp;ROW())=C94),1,0)))</f>
        <v>0</v>
      </c>
      <c r="J573">
        <f ca="1">IF(AND(INDIRECT(A73&amp;ROW())=B95,INDIRECT(A96&amp;ROW())=C95),1,IF(AND(INDIRECT(A73&amp;ROW())=B95,INDIRECT(A96&amp;ROW())=C96),1,0))</f>
        <v>0</v>
      </c>
      <c r="K573">
        <f ca="1">DAYS360(INDIRECT(C68&amp;ROW()),TODAY())</f>
        <v>701</v>
      </c>
      <c r="L573">
        <f ca="1">DAYS360(INDIRECT(C69&amp;ROW()),TODAY())</f>
        <v>703</v>
      </c>
      <c r="M573">
        <f ca="1">HYPERLINK(CONCATENATE("https://bugzilla.houston.hp.com:1181/bugzilla/show_bug.cgi?id=",INDIRECT(C70&amp;ROW())),INDIRECT(C70&amp;ROW()))</f>
        <v>62625</v>
      </c>
      <c r="N573">
        <v>62625</v>
      </c>
      <c r="O573" t="s">
        <v>21</v>
      </c>
      <c r="P573" t="s">
        <v>1090</v>
      </c>
      <c r="Q573" t="s">
        <v>16</v>
      </c>
      <c r="R573" t="s">
        <v>248</v>
      </c>
      <c r="S573" t="s">
        <v>552</v>
      </c>
      <c r="U573" s="6">
        <v>42145.452256944445</v>
      </c>
      <c r="V573" t="s">
        <v>18</v>
      </c>
      <c r="W573" t="s">
        <v>783</v>
      </c>
      <c r="X573" s="6">
        <v>42143.516736111109</v>
      </c>
      <c r="Y573" t="s">
        <v>846</v>
      </c>
      <c r="AB573" t="s">
        <v>201</v>
      </c>
      <c r="AC573" t="s">
        <v>247</v>
      </c>
      <c r="AD573" t="s">
        <v>222</v>
      </c>
      <c r="AE573" t="s">
        <v>1073</v>
      </c>
      <c r="AG573" t="s">
        <v>121</v>
      </c>
      <c r="AH573" t="s">
        <v>327</v>
      </c>
      <c r="AI573" t="s">
        <v>121</v>
      </c>
      <c r="AJ573" t="s">
        <v>717</v>
      </c>
      <c r="AK573" t="s">
        <v>121</v>
      </c>
    </row>
    <row r="574" spans="9:37" x14ac:dyDescent="0.3">
      <c r="I574">
        <f ca="1">IF(OR(INDIRECT(A73&amp;ROW())=B93,INDIRECT(A73&amp;ROW())=B94),1,IF(AND(INDIRECT(A73&amp;ROW())=B95,INDIRECT(A96&amp;ROW())=C93),1,IF(AND(INDIRECT(A73&amp;ROW())=B95,INDIRECT(A96&amp;ROW())=C94),1,0)))</f>
        <v>0</v>
      </c>
      <c r="J574">
        <f ca="1">IF(AND(INDIRECT(A73&amp;ROW())=B95,INDIRECT(A96&amp;ROW())=C95),1,IF(AND(INDIRECT(A73&amp;ROW())=B95,INDIRECT(A96&amp;ROW())=C96),1,0))</f>
        <v>1</v>
      </c>
      <c r="K574">
        <f ca="1">DAYS360(INDIRECT(C68&amp;ROW()),TODAY())</f>
        <v>692</v>
      </c>
      <c r="L574">
        <f ca="1">DAYS360(INDIRECT(C69&amp;ROW()),TODAY())</f>
        <v>703</v>
      </c>
      <c r="M574">
        <f ca="1">HYPERLINK(CONCATENATE("https://bugzilla.houston.hp.com:1181/bugzilla/show_bug.cgi?id=",INDIRECT(C70&amp;ROW())),INDIRECT(C70&amp;ROW()))</f>
        <v>62632</v>
      </c>
      <c r="N574">
        <v>62632</v>
      </c>
      <c r="O574" t="s">
        <v>188</v>
      </c>
      <c r="P574" t="s">
        <v>1089</v>
      </c>
      <c r="Q574" t="s">
        <v>25</v>
      </c>
      <c r="R574" t="s">
        <v>579</v>
      </c>
      <c r="S574" t="s">
        <v>552</v>
      </c>
      <c r="U574" s="6">
        <v>42154.899027777778</v>
      </c>
      <c r="V574" t="s">
        <v>18</v>
      </c>
      <c r="W574" t="s">
        <v>764</v>
      </c>
      <c r="X574" s="6">
        <v>42143.549502314818</v>
      </c>
      <c r="Y574" t="s">
        <v>119</v>
      </c>
      <c r="AB574" t="s">
        <v>201</v>
      </c>
      <c r="AC574" t="s">
        <v>247</v>
      </c>
      <c r="AD574" t="s">
        <v>220</v>
      </c>
      <c r="AE574" t="s">
        <v>229</v>
      </c>
      <c r="AG574" t="s">
        <v>121</v>
      </c>
      <c r="AH574" t="s">
        <v>327</v>
      </c>
      <c r="AI574" t="s">
        <v>121</v>
      </c>
      <c r="AJ574" t="s">
        <v>716</v>
      </c>
      <c r="AK574" t="s">
        <v>121</v>
      </c>
    </row>
    <row r="575" spans="9:37" x14ac:dyDescent="0.3">
      <c r="I575">
        <f ca="1">IF(OR(INDIRECT(A73&amp;ROW())=B93,INDIRECT(A73&amp;ROW())=B94),1,IF(AND(INDIRECT(A73&amp;ROW())=B95,INDIRECT(A96&amp;ROW())=C93),1,IF(AND(INDIRECT(A73&amp;ROW())=B95,INDIRECT(A96&amp;ROW())=C94),1,0)))</f>
        <v>1</v>
      </c>
      <c r="J575">
        <f ca="1">IF(AND(INDIRECT(A73&amp;ROW())=B95,INDIRECT(A96&amp;ROW())=C95),1,IF(AND(INDIRECT(A73&amp;ROW())=B95,INDIRECT(A96&amp;ROW())=C96),1,0))</f>
        <v>0</v>
      </c>
      <c r="K575">
        <f ca="1">DAYS360(INDIRECT(C68&amp;ROW()),TODAY())</f>
        <v>691</v>
      </c>
      <c r="L575">
        <f ca="1">DAYS360(INDIRECT(C69&amp;ROW()),TODAY())</f>
        <v>702</v>
      </c>
      <c r="M575">
        <f ca="1">HYPERLINK(CONCATENATE("https://bugzilla.houston.hp.com:1181/bugzilla/show_bug.cgi?id=",INDIRECT(C70&amp;ROW())),INDIRECT(C70&amp;ROW()))</f>
        <v>62690</v>
      </c>
      <c r="N575">
        <v>62690</v>
      </c>
      <c r="O575" t="s">
        <v>188</v>
      </c>
      <c r="P575" t="s">
        <v>1088</v>
      </c>
      <c r="Q575" t="s">
        <v>25</v>
      </c>
      <c r="R575" t="s">
        <v>251</v>
      </c>
      <c r="S575" t="s">
        <v>24</v>
      </c>
      <c r="U575" s="6">
        <v>42156.590960648151</v>
      </c>
      <c r="V575" t="s">
        <v>18</v>
      </c>
      <c r="W575" t="s">
        <v>783</v>
      </c>
      <c r="X575" s="6">
        <v>42144.307511574072</v>
      </c>
      <c r="Y575" t="s">
        <v>119</v>
      </c>
      <c r="AB575" t="s">
        <v>200</v>
      </c>
      <c r="AC575" t="s">
        <v>247</v>
      </c>
      <c r="AD575" t="s">
        <v>220</v>
      </c>
      <c r="AE575" t="s">
        <v>229</v>
      </c>
      <c r="AG575" t="s">
        <v>121</v>
      </c>
      <c r="AH575" t="s">
        <v>327</v>
      </c>
      <c r="AI575" t="s">
        <v>121</v>
      </c>
      <c r="AJ575" t="s">
        <v>715</v>
      </c>
      <c r="AK575" t="s">
        <v>121</v>
      </c>
    </row>
    <row r="576" spans="9:37" x14ac:dyDescent="0.3">
      <c r="I576">
        <f ca="1">IF(OR(INDIRECT(A73&amp;ROW())=B93,INDIRECT(A73&amp;ROW())=B94),1,IF(AND(INDIRECT(A73&amp;ROW())=B95,INDIRECT(A96&amp;ROW())=C93),1,IF(AND(INDIRECT(A73&amp;ROW())=B95,INDIRECT(A96&amp;ROW())=C94),1,0)))</f>
        <v>1</v>
      </c>
      <c r="J576">
        <f ca="1">IF(AND(INDIRECT(A73&amp;ROW())=B95,INDIRECT(A96&amp;ROW())=C95),1,IF(AND(INDIRECT(A73&amp;ROW())=B95,INDIRECT(A96&amp;ROW())=C96),1,0))</f>
        <v>0</v>
      </c>
      <c r="K576">
        <f ca="1">DAYS360(INDIRECT(C68&amp;ROW()),TODAY())</f>
        <v>677</v>
      </c>
      <c r="L576">
        <f ca="1">DAYS360(INDIRECT(C69&amp;ROW()),TODAY())</f>
        <v>702</v>
      </c>
      <c r="M576">
        <f ca="1">HYPERLINK(CONCATENATE("https://bugzilla.houston.hp.com:1181/bugzilla/show_bug.cgi?id=",INDIRECT(C70&amp;ROW())),INDIRECT(C70&amp;ROW()))</f>
        <v>62693</v>
      </c>
      <c r="N576">
        <v>62693</v>
      </c>
      <c r="O576" t="s">
        <v>188</v>
      </c>
      <c r="P576" t="s">
        <v>1087</v>
      </c>
      <c r="Q576" t="s">
        <v>25</v>
      </c>
      <c r="R576" t="s">
        <v>579</v>
      </c>
      <c r="S576" t="s">
        <v>552</v>
      </c>
      <c r="U576" s="6">
        <v>42170.527268518519</v>
      </c>
      <c r="V576" t="s">
        <v>18</v>
      </c>
      <c r="W576" t="s">
        <v>783</v>
      </c>
      <c r="X576" s="6">
        <v>42144.365254629629</v>
      </c>
      <c r="Y576" t="s">
        <v>119</v>
      </c>
      <c r="AB576" t="s">
        <v>200</v>
      </c>
      <c r="AC576" t="s">
        <v>247</v>
      </c>
      <c r="AD576" t="s">
        <v>220</v>
      </c>
      <c r="AE576" t="s">
        <v>229</v>
      </c>
      <c r="AG576" t="s">
        <v>121</v>
      </c>
      <c r="AH576" t="s">
        <v>327</v>
      </c>
      <c r="AI576" t="s">
        <v>121</v>
      </c>
      <c r="AJ576" t="s">
        <v>715</v>
      </c>
      <c r="AK576" t="s">
        <v>121</v>
      </c>
    </row>
    <row r="577" spans="9:37" x14ac:dyDescent="0.3">
      <c r="I577">
        <f ca="1">IF(OR(INDIRECT(A73&amp;ROW())=B93,INDIRECT(A73&amp;ROW())=B94),1,IF(AND(INDIRECT(A73&amp;ROW())=B95,INDIRECT(A96&amp;ROW())=C93),1,IF(AND(INDIRECT(A73&amp;ROW())=B95,INDIRECT(A96&amp;ROW())=C94),1,0)))</f>
        <v>1</v>
      </c>
      <c r="J577">
        <f ca="1">IF(AND(INDIRECT(A73&amp;ROW())=B95,INDIRECT(A96&amp;ROW())=C95),1,IF(AND(INDIRECT(A73&amp;ROW())=B95,INDIRECT(A96&amp;ROW())=C96),1,0))</f>
        <v>0</v>
      </c>
      <c r="K577">
        <f ca="1">DAYS360(INDIRECT(C68&amp;ROW()),TODAY())</f>
        <v>677</v>
      </c>
      <c r="L577">
        <f ca="1">DAYS360(INDIRECT(C69&amp;ROW()),TODAY())</f>
        <v>702</v>
      </c>
      <c r="M577">
        <f ca="1">HYPERLINK(CONCATENATE("https://bugzilla.houston.hp.com:1181/bugzilla/show_bug.cgi?id=",INDIRECT(C70&amp;ROW())),INDIRECT(C70&amp;ROW()))</f>
        <v>62719</v>
      </c>
      <c r="N577">
        <v>62719</v>
      </c>
      <c r="O577" t="s">
        <v>55</v>
      </c>
      <c r="P577" t="s">
        <v>1086</v>
      </c>
      <c r="Q577" t="s">
        <v>25</v>
      </c>
      <c r="R577" t="s">
        <v>251</v>
      </c>
      <c r="S577" t="s">
        <v>52</v>
      </c>
      <c r="U577" s="6">
        <v>42170.714409722219</v>
      </c>
      <c r="V577" t="s">
        <v>35</v>
      </c>
      <c r="W577" t="s">
        <v>783</v>
      </c>
      <c r="X577" s="6">
        <v>42144.602094907408</v>
      </c>
      <c r="Y577" t="s">
        <v>119</v>
      </c>
      <c r="AB577" t="s">
        <v>200</v>
      </c>
      <c r="AC577" t="s">
        <v>247</v>
      </c>
      <c r="AD577" t="s">
        <v>222</v>
      </c>
      <c r="AE577" t="s">
        <v>221</v>
      </c>
      <c r="AG577" t="s">
        <v>121</v>
      </c>
      <c r="AH577" t="s">
        <v>327</v>
      </c>
      <c r="AI577" t="s">
        <v>362</v>
      </c>
      <c r="AJ577" t="s">
        <v>715</v>
      </c>
      <c r="AK577" t="s">
        <v>121</v>
      </c>
    </row>
    <row r="578" spans="9:37" x14ac:dyDescent="0.3">
      <c r="I578">
        <f ca="1">IF(OR(INDIRECT(A73&amp;ROW())=B93,INDIRECT(A73&amp;ROW())=B94),1,IF(AND(INDIRECT(A73&amp;ROW())=B95,INDIRECT(A96&amp;ROW())=C93),1,IF(AND(INDIRECT(A73&amp;ROW())=B95,INDIRECT(A96&amp;ROW())=C94),1,0)))</f>
        <v>0</v>
      </c>
      <c r="J578">
        <f ca="1">IF(AND(INDIRECT(A73&amp;ROW())=B95,INDIRECT(A96&amp;ROW())=C95),1,IF(AND(INDIRECT(A73&amp;ROW())=B95,INDIRECT(A96&amp;ROW())=C96),1,0))</f>
        <v>1</v>
      </c>
      <c r="K578">
        <f ca="1">DAYS360(INDIRECT(C68&amp;ROW()),TODAY())</f>
        <v>677</v>
      </c>
      <c r="L578">
        <f ca="1">DAYS360(INDIRECT(C69&amp;ROW()),TODAY())</f>
        <v>702</v>
      </c>
      <c r="M578">
        <f ca="1">HYPERLINK(CONCATENATE("https://bugzilla.houston.hp.com:1181/bugzilla/show_bug.cgi?id=",INDIRECT(C70&amp;ROW())),INDIRECT(C70&amp;ROW()))</f>
        <v>62721</v>
      </c>
      <c r="N578">
        <v>62721</v>
      </c>
      <c r="O578" t="s">
        <v>55</v>
      </c>
      <c r="P578" t="s">
        <v>1085</v>
      </c>
      <c r="Q578" t="s">
        <v>25</v>
      </c>
      <c r="R578" t="s">
        <v>579</v>
      </c>
      <c r="S578" t="s">
        <v>552</v>
      </c>
      <c r="U578" s="6">
        <v>42170.567199074074</v>
      </c>
      <c r="V578" t="s">
        <v>18</v>
      </c>
      <c r="W578" t="s">
        <v>783</v>
      </c>
      <c r="X578" s="6">
        <v>42144.633113425924</v>
      </c>
      <c r="Y578" t="s">
        <v>119</v>
      </c>
      <c r="AB578" t="s">
        <v>201</v>
      </c>
      <c r="AC578" t="s">
        <v>247</v>
      </c>
      <c r="AD578" t="s">
        <v>222</v>
      </c>
      <c r="AE578" t="s">
        <v>221</v>
      </c>
      <c r="AG578" t="s">
        <v>121</v>
      </c>
      <c r="AH578" t="s">
        <v>327</v>
      </c>
      <c r="AI578" t="s">
        <v>121</v>
      </c>
      <c r="AJ578" t="s">
        <v>716</v>
      </c>
      <c r="AK578" t="s">
        <v>121</v>
      </c>
    </row>
    <row r="579" spans="9:37" x14ac:dyDescent="0.3">
      <c r="I579">
        <f ca="1">IF(OR(INDIRECT(A73&amp;ROW())=B93,INDIRECT(A73&amp;ROW())=B94),1,IF(AND(INDIRECT(A73&amp;ROW())=B95,INDIRECT(A96&amp;ROW())=C93),1,IF(AND(INDIRECT(A73&amp;ROW())=B95,INDIRECT(A96&amp;ROW())=C94),1,0)))</f>
        <v>1</v>
      </c>
      <c r="J579">
        <f ca="1">IF(AND(INDIRECT(A73&amp;ROW())=B95,INDIRECT(A96&amp;ROW())=C95),1,IF(AND(INDIRECT(A73&amp;ROW())=B95,INDIRECT(A96&amp;ROW())=C96),1,0))</f>
        <v>0</v>
      </c>
      <c r="K579">
        <f ca="1">DAYS360(INDIRECT(C68&amp;ROW()),TODAY())</f>
        <v>677</v>
      </c>
      <c r="L579">
        <f ca="1">DAYS360(INDIRECT(C69&amp;ROW()),TODAY())</f>
        <v>702</v>
      </c>
      <c r="M579">
        <f ca="1">HYPERLINK(CONCATENATE("https://bugzilla.houston.hp.com:1181/bugzilla/show_bug.cgi?id=",INDIRECT(C70&amp;ROW())),INDIRECT(C70&amp;ROW()))</f>
        <v>62722</v>
      </c>
      <c r="N579">
        <v>62722</v>
      </c>
      <c r="O579" t="s">
        <v>55</v>
      </c>
      <c r="P579" t="s">
        <v>1084</v>
      </c>
      <c r="Q579" t="s">
        <v>25</v>
      </c>
      <c r="R579" t="s">
        <v>783</v>
      </c>
      <c r="S579" t="s">
        <v>552</v>
      </c>
      <c r="U579" s="6">
        <v>42170.715601851851</v>
      </c>
      <c r="V579" t="s">
        <v>18</v>
      </c>
      <c r="W579" t="s">
        <v>783</v>
      </c>
      <c r="X579" s="6">
        <v>42144.633206018516</v>
      </c>
      <c r="Y579" t="s">
        <v>119</v>
      </c>
      <c r="AB579" t="s">
        <v>200</v>
      </c>
      <c r="AC579" t="s">
        <v>247</v>
      </c>
      <c r="AD579" t="s">
        <v>222</v>
      </c>
      <c r="AE579" t="s">
        <v>221</v>
      </c>
      <c r="AG579" t="s">
        <v>337</v>
      </c>
      <c r="AH579" t="s">
        <v>327</v>
      </c>
      <c r="AI579" t="s">
        <v>121</v>
      </c>
      <c r="AJ579" t="s">
        <v>715</v>
      </c>
      <c r="AK579" t="s">
        <v>121</v>
      </c>
    </row>
    <row r="580" spans="9:37" x14ac:dyDescent="0.3">
      <c r="I580">
        <f ca="1">IF(OR(INDIRECT(A73&amp;ROW())=B93,INDIRECT(A73&amp;ROW())=B94),1,IF(AND(INDIRECT(A73&amp;ROW())=B95,INDIRECT(A96&amp;ROW())=C93),1,IF(AND(INDIRECT(A73&amp;ROW())=B95,INDIRECT(A96&amp;ROW())=C94),1,0)))</f>
        <v>0</v>
      </c>
      <c r="J580">
        <f ca="1">IF(AND(INDIRECT(A73&amp;ROW())=B95,INDIRECT(A96&amp;ROW())=C95),1,IF(AND(INDIRECT(A73&amp;ROW())=B95,INDIRECT(A96&amp;ROW())=C96),1,0))</f>
        <v>1</v>
      </c>
      <c r="K580">
        <f ca="1">DAYS360(INDIRECT(C68&amp;ROW()),TODAY())</f>
        <v>677</v>
      </c>
      <c r="L580">
        <f ca="1">DAYS360(INDIRECT(C69&amp;ROW()),TODAY())</f>
        <v>702</v>
      </c>
      <c r="M580">
        <f ca="1">HYPERLINK(CONCATENATE("https://bugzilla.houston.hp.com:1181/bugzilla/show_bug.cgi?id=",INDIRECT(C70&amp;ROW())),INDIRECT(C70&amp;ROW()))</f>
        <v>62723</v>
      </c>
      <c r="N580">
        <v>62723</v>
      </c>
      <c r="O580" t="s">
        <v>55</v>
      </c>
      <c r="P580" t="s">
        <v>1083</v>
      </c>
      <c r="Q580" t="s">
        <v>25</v>
      </c>
      <c r="R580" t="s">
        <v>248</v>
      </c>
      <c r="S580" t="s">
        <v>552</v>
      </c>
      <c r="U580" s="6">
        <v>42170.567210648151</v>
      </c>
      <c r="V580" t="s">
        <v>18</v>
      </c>
      <c r="W580" t="s">
        <v>783</v>
      </c>
      <c r="X580" s="6">
        <v>42144.633287037039</v>
      </c>
      <c r="Y580" t="s">
        <v>119</v>
      </c>
      <c r="AB580" t="s">
        <v>201</v>
      </c>
      <c r="AC580" t="s">
        <v>247</v>
      </c>
      <c r="AD580" t="s">
        <v>222</v>
      </c>
      <c r="AE580" t="s">
        <v>221</v>
      </c>
      <c r="AG580" t="s">
        <v>121</v>
      </c>
      <c r="AH580" t="s">
        <v>327</v>
      </c>
      <c r="AI580" t="s">
        <v>121</v>
      </c>
      <c r="AJ580" t="s">
        <v>716</v>
      </c>
      <c r="AK580" t="s">
        <v>121</v>
      </c>
    </row>
    <row r="581" spans="9:37" x14ac:dyDescent="0.3">
      <c r="I581">
        <f ca="1">IF(OR(INDIRECT(A73&amp;ROW())=B93,INDIRECT(A73&amp;ROW())=B94),1,IF(AND(INDIRECT(A73&amp;ROW())=B95,INDIRECT(A96&amp;ROW())=C93),1,IF(AND(INDIRECT(A73&amp;ROW())=B95,INDIRECT(A96&amp;ROW())=C94),1,0)))</f>
        <v>1</v>
      </c>
      <c r="J581">
        <f ca="1">IF(AND(INDIRECT(A73&amp;ROW())=B95,INDIRECT(A96&amp;ROW())=C95),1,IF(AND(INDIRECT(A73&amp;ROW())=B95,INDIRECT(A96&amp;ROW())=C96),1,0))</f>
        <v>0</v>
      </c>
      <c r="K581">
        <f ca="1">DAYS360(INDIRECT(C68&amp;ROW()),TODAY())</f>
        <v>677</v>
      </c>
      <c r="L581">
        <f ca="1">DAYS360(INDIRECT(C69&amp;ROW()),TODAY())</f>
        <v>702</v>
      </c>
      <c r="M581">
        <f ca="1">HYPERLINK(CONCATENATE("https://bugzilla.houston.hp.com:1181/bugzilla/show_bug.cgi?id=",INDIRECT(C70&amp;ROW())),INDIRECT(C70&amp;ROW()))</f>
        <v>62730</v>
      </c>
      <c r="N581">
        <v>62730</v>
      </c>
      <c r="O581" t="s">
        <v>94</v>
      </c>
      <c r="P581" t="s">
        <v>1097</v>
      </c>
      <c r="Q581" t="s">
        <v>25</v>
      </c>
      <c r="R581" t="s">
        <v>251</v>
      </c>
      <c r="S581" t="s">
        <v>253</v>
      </c>
      <c r="U581" s="6">
        <v>42170.658680555556</v>
      </c>
      <c r="V581" t="s">
        <v>35</v>
      </c>
      <c r="W581" t="s">
        <v>783</v>
      </c>
      <c r="X581" s="6">
        <v>42144.689155092594</v>
      </c>
      <c r="Y581" t="s">
        <v>246</v>
      </c>
      <c r="AB581" t="s">
        <v>200</v>
      </c>
      <c r="AC581" t="s">
        <v>247</v>
      </c>
      <c r="AD581" t="s">
        <v>227</v>
      </c>
      <c r="AE581" t="s">
        <v>226</v>
      </c>
      <c r="AG581" t="s">
        <v>121</v>
      </c>
      <c r="AH581" t="s">
        <v>327</v>
      </c>
      <c r="AI581" t="s">
        <v>121</v>
      </c>
      <c r="AJ581" t="s">
        <v>715</v>
      </c>
      <c r="AK581" t="s">
        <v>121</v>
      </c>
    </row>
    <row r="582" spans="9:37" x14ac:dyDescent="0.3">
      <c r="I582">
        <f ca="1">IF(OR(INDIRECT(A73&amp;ROW())=B93,INDIRECT(A73&amp;ROW())=B94),1,IF(AND(INDIRECT(A73&amp;ROW())=B95,INDIRECT(A96&amp;ROW())=C93),1,IF(AND(INDIRECT(A73&amp;ROW())=B95,INDIRECT(A96&amp;ROW())=C94),1,0)))</f>
        <v>1</v>
      </c>
      <c r="J582">
        <f ca="1">IF(AND(INDIRECT(A73&amp;ROW())=B95,INDIRECT(A96&amp;ROW())=C95),1,IF(AND(INDIRECT(A73&amp;ROW())=B95,INDIRECT(A96&amp;ROW())=C96),1,0))</f>
        <v>0</v>
      </c>
      <c r="K582">
        <f ca="1">DAYS360(INDIRECT(C68&amp;ROW()),TODAY())</f>
        <v>687</v>
      </c>
      <c r="L582">
        <f ca="1">DAYS360(INDIRECT(C69&amp;ROW()),TODAY())</f>
        <v>701</v>
      </c>
      <c r="M582">
        <f ca="1">HYPERLINK(CONCATENATE("https://bugzilla.houston.hp.com:1181/bugzilla/show_bug.cgi?id=",INDIRECT(C70&amp;ROW())),INDIRECT(C70&amp;ROW()))</f>
        <v>62748</v>
      </c>
      <c r="N582">
        <v>62748</v>
      </c>
      <c r="O582" t="s">
        <v>94</v>
      </c>
      <c r="P582" t="s">
        <v>1096</v>
      </c>
      <c r="Q582" t="s">
        <v>25</v>
      </c>
      <c r="R582" t="s">
        <v>579</v>
      </c>
      <c r="S582" t="s">
        <v>552</v>
      </c>
      <c r="U582" s="6">
        <v>42160.491157407407</v>
      </c>
      <c r="V582" t="s">
        <v>18</v>
      </c>
      <c r="W582" t="s">
        <v>783</v>
      </c>
      <c r="X582" s="6">
        <v>42145.016631944447</v>
      </c>
      <c r="Y582" t="s">
        <v>246</v>
      </c>
      <c r="AB582" t="s">
        <v>200</v>
      </c>
      <c r="AC582" t="s">
        <v>247</v>
      </c>
      <c r="AD582" t="s">
        <v>227</v>
      </c>
      <c r="AE582" t="s">
        <v>226</v>
      </c>
      <c r="AG582" t="s">
        <v>121</v>
      </c>
      <c r="AH582" t="s">
        <v>327</v>
      </c>
      <c r="AI582" t="s">
        <v>121</v>
      </c>
      <c r="AJ582" t="s">
        <v>715</v>
      </c>
      <c r="AK582" t="s">
        <v>121</v>
      </c>
    </row>
    <row r="583" spans="9:37" x14ac:dyDescent="0.3">
      <c r="I583">
        <f ca="1">IF(OR(INDIRECT(A73&amp;ROW())=B93,INDIRECT(A73&amp;ROW())=B94),1,IF(AND(INDIRECT(A73&amp;ROW())=B95,INDIRECT(A96&amp;ROW())=C93),1,IF(AND(INDIRECT(A73&amp;ROW())=B95,INDIRECT(A96&amp;ROW())=C94),1,0)))</f>
        <v>1</v>
      </c>
      <c r="J583">
        <f ca="1">IF(AND(INDIRECT(A73&amp;ROW())=B95,INDIRECT(A96&amp;ROW())=C95),1,IF(AND(INDIRECT(A73&amp;ROW())=B95,INDIRECT(A96&amp;ROW())=C96),1,0))</f>
        <v>0</v>
      </c>
      <c r="K583">
        <f ca="1">DAYS360(INDIRECT(C68&amp;ROW()),TODAY())</f>
        <v>680</v>
      </c>
      <c r="L583">
        <f ca="1">DAYS360(INDIRECT(C69&amp;ROW()),TODAY())</f>
        <v>701</v>
      </c>
      <c r="M583">
        <f ca="1">HYPERLINK(CONCATENATE("https://bugzilla.houston.hp.com:1181/bugzilla/show_bug.cgi?id=",INDIRECT(C70&amp;ROW())),INDIRECT(C70&amp;ROW()))</f>
        <v>62749</v>
      </c>
      <c r="N583">
        <v>62749</v>
      </c>
      <c r="O583" t="s">
        <v>94</v>
      </c>
      <c r="P583" t="s">
        <v>1095</v>
      </c>
      <c r="Q583" t="s">
        <v>25</v>
      </c>
      <c r="R583" t="s">
        <v>783</v>
      </c>
      <c r="S583" t="s">
        <v>552</v>
      </c>
      <c r="U583" s="6">
        <v>42167.329918981479</v>
      </c>
      <c r="V583" t="s">
        <v>18</v>
      </c>
      <c r="W583" t="s">
        <v>783</v>
      </c>
      <c r="X583" s="6">
        <v>42145.016689814816</v>
      </c>
      <c r="Y583" t="s">
        <v>246</v>
      </c>
      <c r="AB583" t="s">
        <v>200</v>
      </c>
      <c r="AC583" t="s">
        <v>247</v>
      </c>
      <c r="AD583" t="s">
        <v>227</v>
      </c>
      <c r="AE583" t="s">
        <v>226</v>
      </c>
      <c r="AG583" t="s">
        <v>337</v>
      </c>
      <c r="AH583" t="s">
        <v>327</v>
      </c>
      <c r="AI583" t="s">
        <v>121</v>
      </c>
      <c r="AJ583" t="s">
        <v>715</v>
      </c>
      <c r="AK583" t="s">
        <v>121</v>
      </c>
    </row>
    <row r="584" spans="9:37" x14ac:dyDescent="0.3">
      <c r="I584">
        <f ca="1">IF(OR(INDIRECT(A73&amp;ROW())=B93,INDIRECT(A73&amp;ROW())=B94),1,IF(AND(INDIRECT(A73&amp;ROW())=B95,INDIRECT(A96&amp;ROW())=C93),1,IF(AND(INDIRECT(A73&amp;ROW())=B95,INDIRECT(A96&amp;ROW())=C94),1,0)))</f>
        <v>1</v>
      </c>
      <c r="J584">
        <f ca="1">IF(AND(INDIRECT(A73&amp;ROW())=B95,INDIRECT(A96&amp;ROW())=C95),1,IF(AND(INDIRECT(A73&amp;ROW())=B95,INDIRECT(A96&amp;ROW())=C96),1,0))</f>
        <v>0</v>
      </c>
      <c r="K584">
        <f ca="1">DAYS360(INDIRECT(C68&amp;ROW()),TODAY())</f>
        <v>687</v>
      </c>
      <c r="L584">
        <f ca="1">DAYS360(INDIRECT(C69&amp;ROW()),TODAY())</f>
        <v>701</v>
      </c>
      <c r="M584">
        <f ca="1">HYPERLINK(CONCATENATE("https://bugzilla.houston.hp.com:1181/bugzilla/show_bug.cgi?id=",INDIRECT(C70&amp;ROW())),INDIRECT(C70&amp;ROW()))</f>
        <v>62750</v>
      </c>
      <c r="N584">
        <v>62750</v>
      </c>
      <c r="O584" t="s">
        <v>94</v>
      </c>
      <c r="P584" t="s">
        <v>1094</v>
      </c>
      <c r="Q584" t="s">
        <v>25</v>
      </c>
      <c r="R584" t="s">
        <v>248</v>
      </c>
      <c r="S584" t="s">
        <v>552</v>
      </c>
      <c r="U584" s="6">
        <v>42160.49114583333</v>
      </c>
      <c r="V584" t="s">
        <v>18</v>
      </c>
      <c r="W584" t="s">
        <v>783</v>
      </c>
      <c r="X584" s="6">
        <v>42145.016747685186</v>
      </c>
      <c r="Y584" t="s">
        <v>246</v>
      </c>
      <c r="AB584" t="s">
        <v>200</v>
      </c>
      <c r="AC584" t="s">
        <v>247</v>
      </c>
      <c r="AD584" t="s">
        <v>227</v>
      </c>
      <c r="AE584" t="s">
        <v>226</v>
      </c>
      <c r="AG584" t="s">
        <v>121</v>
      </c>
      <c r="AH584" t="s">
        <v>327</v>
      </c>
      <c r="AI584" t="s">
        <v>121</v>
      </c>
      <c r="AJ584" t="s">
        <v>715</v>
      </c>
      <c r="AK584" t="s">
        <v>121</v>
      </c>
    </row>
    <row r="585" spans="9:37" x14ac:dyDescent="0.3">
      <c r="I585">
        <f ca="1">IF(OR(INDIRECT(A73&amp;ROW())=B93,INDIRECT(A73&amp;ROW())=B94),1,IF(AND(INDIRECT(A73&amp;ROW())=B95,INDIRECT(A96&amp;ROW())=C93),1,IF(AND(INDIRECT(A73&amp;ROW())=B95,INDIRECT(A96&amp;ROW())=C94),1,0)))</f>
        <v>1</v>
      </c>
      <c r="J585">
        <f ca="1">IF(AND(INDIRECT(A73&amp;ROW())=B95,INDIRECT(A96&amp;ROW())=C95),1,IF(AND(INDIRECT(A73&amp;ROW())=B95,INDIRECT(A96&amp;ROW())=C96),1,0))</f>
        <v>0</v>
      </c>
      <c r="K585">
        <f ca="1">DAYS360(INDIRECT(C68&amp;ROW()),TODAY())</f>
        <v>680</v>
      </c>
      <c r="L585">
        <f ca="1">DAYS360(INDIRECT(C69&amp;ROW()),TODAY())</f>
        <v>701</v>
      </c>
      <c r="M585">
        <f ca="1">HYPERLINK(CONCATENATE("https://bugzilla.houston.hp.com:1181/bugzilla/show_bug.cgi?id=",INDIRECT(C70&amp;ROW())),INDIRECT(C70&amp;ROW()))</f>
        <v>62785</v>
      </c>
      <c r="N585">
        <v>62785</v>
      </c>
      <c r="O585" t="s">
        <v>21</v>
      </c>
      <c r="P585" t="s">
        <v>1128</v>
      </c>
      <c r="Q585" t="s">
        <v>25</v>
      </c>
      <c r="R585" t="s">
        <v>251</v>
      </c>
      <c r="S585" t="s">
        <v>24</v>
      </c>
      <c r="U585" s="6">
        <v>42167.625717592593</v>
      </c>
      <c r="V585" t="s">
        <v>40</v>
      </c>
      <c r="W585" t="s">
        <v>783</v>
      </c>
      <c r="X585" s="6">
        <v>42145.392812500002</v>
      </c>
      <c r="Y585" t="s">
        <v>119</v>
      </c>
      <c r="AB585" t="s">
        <v>200</v>
      </c>
      <c r="AC585" t="s">
        <v>247</v>
      </c>
      <c r="AD585" t="s">
        <v>222</v>
      </c>
      <c r="AE585" t="s">
        <v>225</v>
      </c>
      <c r="AG585" t="s">
        <v>121</v>
      </c>
      <c r="AH585" t="s">
        <v>327</v>
      </c>
      <c r="AI585" t="s">
        <v>121</v>
      </c>
      <c r="AJ585" t="s">
        <v>715</v>
      </c>
      <c r="AK585" t="s">
        <v>121</v>
      </c>
    </row>
    <row r="586" spans="9:37" x14ac:dyDescent="0.3">
      <c r="I586">
        <f ca="1">IF(OR(INDIRECT(A73&amp;ROW())=B93,INDIRECT(A73&amp;ROW())=B94),1,IF(AND(INDIRECT(A73&amp;ROW())=B95,INDIRECT(A96&amp;ROW())=C93),1,IF(AND(INDIRECT(A73&amp;ROW())=B95,INDIRECT(A96&amp;ROW())=C94),1,0)))</f>
        <v>0</v>
      </c>
      <c r="J586">
        <f ca="1">IF(AND(INDIRECT(A73&amp;ROW())=B95,INDIRECT(A96&amp;ROW())=C95),1,IF(AND(INDIRECT(A73&amp;ROW())=B95,INDIRECT(A96&amp;ROW())=C96),1,0))</f>
        <v>0</v>
      </c>
      <c r="K586">
        <f ca="1">DAYS360(INDIRECT(C68&amp;ROW()),TODAY())</f>
        <v>681</v>
      </c>
      <c r="L586">
        <f ca="1">DAYS360(INDIRECT(C69&amp;ROW()),TODAY())</f>
        <v>701</v>
      </c>
      <c r="M586">
        <f ca="1">HYPERLINK(CONCATENATE("https://bugzilla.houston.hp.com:1181/bugzilla/show_bug.cgi?id=",INDIRECT(C70&amp;ROW())),INDIRECT(C70&amp;ROW()))</f>
        <v>62801</v>
      </c>
      <c r="N586">
        <v>62801</v>
      </c>
      <c r="O586" t="s">
        <v>323</v>
      </c>
      <c r="P586" t="s">
        <v>1103</v>
      </c>
      <c r="Q586" t="s">
        <v>16</v>
      </c>
      <c r="R586" t="s">
        <v>251</v>
      </c>
      <c r="S586" t="s">
        <v>1102</v>
      </c>
      <c r="U586" s="6">
        <v>42166.308483796296</v>
      </c>
      <c r="V586" t="s">
        <v>35</v>
      </c>
      <c r="W586" t="s">
        <v>764</v>
      </c>
      <c r="X586" s="6">
        <v>42145.5387962963</v>
      </c>
      <c r="Y586" t="s">
        <v>125</v>
      </c>
      <c r="AB586" t="s">
        <v>199</v>
      </c>
      <c r="AC586" t="s">
        <v>247</v>
      </c>
      <c r="AD586" t="s">
        <v>220</v>
      </c>
      <c r="AE586" t="s">
        <v>219</v>
      </c>
      <c r="AG586" t="s">
        <v>121</v>
      </c>
      <c r="AH586" t="s">
        <v>327</v>
      </c>
      <c r="AI586" t="s">
        <v>121</v>
      </c>
      <c r="AJ586" t="s">
        <v>716</v>
      </c>
      <c r="AK586" t="s">
        <v>121</v>
      </c>
    </row>
    <row r="587" spans="9:37" x14ac:dyDescent="0.3">
      <c r="I587">
        <f ca="1">IF(OR(INDIRECT(A73&amp;ROW())=B93,INDIRECT(A73&amp;ROW())=B94),1,IF(AND(INDIRECT(A73&amp;ROW())=B95,INDIRECT(A96&amp;ROW())=C93),1,IF(AND(INDIRECT(A73&amp;ROW())=B95,INDIRECT(A96&amp;ROW())=C94),1,0)))</f>
        <v>0</v>
      </c>
      <c r="J587">
        <f ca="1">IF(AND(INDIRECT(A73&amp;ROW())=B95,INDIRECT(A96&amp;ROW())=C95),1,IF(AND(INDIRECT(A73&amp;ROW())=B95,INDIRECT(A96&amp;ROW())=C96),1,0))</f>
        <v>0</v>
      </c>
      <c r="K587">
        <f ca="1">DAYS360(INDIRECT(C68&amp;ROW()),TODAY())</f>
        <v>681</v>
      </c>
      <c r="L587">
        <f ca="1">DAYS360(INDIRECT(C69&amp;ROW()),TODAY())</f>
        <v>701</v>
      </c>
      <c r="M587">
        <f ca="1">HYPERLINK(CONCATENATE("https://bugzilla.houston.hp.com:1181/bugzilla/show_bug.cgi?id=",INDIRECT(C70&amp;ROW())),INDIRECT(C70&amp;ROW()))</f>
        <v>62804</v>
      </c>
      <c r="N587">
        <v>62804</v>
      </c>
      <c r="O587" t="s">
        <v>19</v>
      </c>
      <c r="P587" t="s">
        <v>1101</v>
      </c>
      <c r="Q587" t="s">
        <v>16</v>
      </c>
      <c r="R587" t="s">
        <v>579</v>
      </c>
      <c r="S587" t="s">
        <v>552</v>
      </c>
      <c r="U587" s="6">
        <v>42166.308599537035</v>
      </c>
      <c r="V587" t="s">
        <v>18</v>
      </c>
      <c r="W587" t="s">
        <v>764</v>
      </c>
      <c r="X587" s="6">
        <v>42145.633622685185</v>
      </c>
      <c r="Y587" t="s">
        <v>125</v>
      </c>
      <c r="AB587" t="s">
        <v>199</v>
      </c>
      <c r="AC587" t="s">
        <v>247</v>
      </c>
      <c r="AD587" t="s">
        <v>220</v>
      </c>
      <c r="AE587" t="s">
        <v>219</v>
      </c>
      <c r="AG587" t="s">
        <v>121</v>
      </c>
      <c r="AH587" t="s">
        <v>327</v>
      </c>
      <c r="AI587" t="s">
        <v>121</v>
      </c>
      <c r="AJ587" t="s">
        <v>716</v>
      </c>
      <c r="AK587" t="s">
        <v>121</v>
      </c>
    </row>
    <row r="588" spans="9:37" x14ac:dyDescent="0.3">
      <c r="I588">
        <f ca="1">IF(OR(INDIRECT(A73&amp;ROW())=B93,INDIRECT(A73&amp;ROW())=B94),1,IF(AND(INDIRECT(A73&amp;ROW())=B95,INDIRECT(A96&amp;ROW())=C93),1,IF(AND(INDIRECT(A73&amp;ROW())=B95,INDIRECT(A96&amp;ROW())=C94),1,0)))</f>
        <v>0</v>
      </c>
      <c r="J588">
        <f ca="1">IF(AND(INDIRECT(A73&amp;ROW())=B95,INDIRECT(A96&amp;ROW())=C95),1,IF(AND(INDIRECT(A73&amp;ROW())=B95,INDIRECT(A96&amp;ROW())=C96),1,0))</f>
        <v>0</v>
      </c>
      <c r="K588">
        <f ca="1">DAYS360(INDIRECT(C68&amp;ROW()),TODAY())</f>
        <v>701</v>
      </c>
      <c r="L588">
        <f ca="1">DAYS360(INDIRECT(C69&amp;ROW()),TODAY())</f>
        <v>701</v>
      </c>
      <c r="M588">
        <f ca="1">HYPERLINK(CONCATENATE("https://bugzilla.houston.hp.com:1181/bugzilla/show_bug.cgi?id=",INDIRECT(C70&amp;ROW())),INDIRECT(C70&amp;ROW()))</f>
        <v>62806</v>
      </c>
      <c r="N588">
        <v>62806</v>
      </c>
      <c r="O588" t="s">
        <v>19</v>
      </c>
      <c r="P588" t="s">
        <v>1099</v>
      </c>
      <c r="Q588" t="s">
        <v>16</v>
      </c>
      <c r="R588" t="s">
        <v>248</v>
      </c>
      <c r="S588" t="s">
        <v>552</v>
      </c>
      <c r="U588" s="6">
        <v>42145.633726851855</v>
      </c>
      <c r="V588" t="s">
        <v>18</v>
      </c>
      <c r="W588" t="s">
        <v>764</v>
      </c>
      <c r="X588" s="6">
        <v>42145.633726851855</v>
      </c>
      <c r="Y588" t="s">
        <v>125</v>
      </c>
      <c r="AB588" t="s">
        <v>199</v>
      </c>
      <c r="AC588" t="s">
        <v>247</v>
      </c>
      <c r="AD588" t="s">
        <v>220</v>
      </c>
      <c r="AE588" t="s">
        <v>243</v>
      </c>
      <c r="AG588" t="s">
        <v>121</v>
      </c>
      <c r="AH588" t="s">
        <v>327</v>
      </c>
      <c r="AI588" t="s">
        <v>121</v>
      </c>
      <c r="AJ588" t="s">
        <v>716</v>
      </c>
      <c r="AK588" t="s">
        <v>121</v>
      </c>
    </row>
    <row r="589" spans="9:37" x14ac:dyDescent="0.3">
      <c r="I589">
        <f ca="1">IF(OR(INDIRECT(A73&amp;ROW())=B93,INDIRECT(A73&amp;ROW())=B94),1,IF(AND(INDIRECT(A73&amp;ROW())=B95,INDIRECT(A96&amp;ROW())=C93),1,IF(AND(INDIRECT(A73&amp;ROW())=B95,INDIRECT(A96&amp;ROW())=C94),1,0)))</f>
        <v>1</v>
      </c>
      <c r="J589">
        <f ca="1">IF(AND(INDIRECT(A73&amp;ROW())=B95,INDIRECT(A96&amp;ROW())=C95),1,IF(AND(INDIRECT(A73&amp;ROW())=B95,INDIRECT(A96&amp;ROW())=C96),1,0))</f>
        <v>0</v>
      </c>
      <c r="K589">
        <f ca="1">DAYS360(INDIRECT(C68&amp;ROW()),TODAY())</f>
        <v>677</v>
      </c>
      <c r="L589">
        <f ca="1">DAYS360(INDIRECT(C69&amp;ROW()),TODAY())</f>
        <v>700</v>
      </c>
      <c r="M589">
        <f ca="1">HYPERLINK(CONCATENATE("https://bugzilla.houston.hp.com:1181/bugzilla/show_bug.cgi?id=",INDIRECT(C70&amp;ROW())),INDIRECT(C70&amp;ROW()))</f>
        <v>62843</v>
      </c>
      <c r="N589">
        <v>62843</v>
      </c>
      <c r="O589" t="s">
        <v>21</v>
      </c>
      <c r="P589" t="s">
        <v>1201</v>
      </c>
      <c r="Q589" t="s">
        <v>25</v>
      </c>
      <c r="R589" t="s">
        <v>251</v>
      </c>
      <c r="S589" t="s">
        <v>917</v>
      </c>
      <c r="U589" s="6">
        <v>42170.523449074077</v>
      </c>
      <c r="V589" t="s">
        <v>18</v>
      </c>
      <c r="W589" t="s">
        <v>783</v>
      </c>
      <c r="X589" s="6">
        <v>42146.493784722225</v>
      </c>
      <c r="Y589" t="s">
        <v>846</v>
      </c>
      <c r="AB589" t="s">
        <v>200</v>
      </c>
      <c r="AC589" t="s">
        <v>247</v>
      </c>
      <c r="AD589" t="s">
        <v>222</v>
      </c>
      <c r="AE589" t="s">
        <v>1073</v>
      </c>
      <c r="AG589" t="s">
        <v>121</v>
      </c>
      <c r="AH589" t="s">
        <v>327</v>
      </c>
      <c r="AI589" t="s">
        <v>121</v>
      </c>
      <c r="AJ589" t="s">
        <v>715</v>
      </c>
      <c r="AK589" t="s">
        <v>121</v>
      </c>
    </row>
    <row r="590" spans="9:37" x14ac:dyDescent="0.3">
      <c r="I590">
        <f ca="1">IF(OR(INDIRECT(A73&amp;ROW())=B93,INDIRECT(A73&amp;ROW())=B94),1,IF(AND(INDIRECT(A73&amp;ROW())=B95,INDIRECT(A96&amp;ROW())=C93),1,IF(AND(INDIRECT(A73&amp;ROW())=B95,INDIRECT(A96&amp;ROW())=C94),1,0)))</f>
        <v>1</v>
      </c>
      <c r="J590">
        <f ca="1">IF(AND(INDIRECT(A73&amp;ROW())=B95,INDIRECT(A96&amp;ROW())=C95),1,IF(AND(INDIRECT(A73&amp;ROW())=B95,INDIRECT(A96&amp;ROW())=C96),1,0))</f>
        <v>0</v>
      </c>
      <c r="K590">
        <f ca="1">DAYS360(INDIRECT(C68&amp;ROW()),TODAY())</f>
        <v>677</v>
      </c>
      <c r="L590">
        <f ca="1">DAYS360(INDIRECT(C69&amp;ROW()),TODAY())</f>
        <v>700</v>
      </c>
      <c r="M590">
        <f ca="1">HYPERLINK(CONCATENATE("https://bugzilla.houston.hp.com:1181/bugzilla/show_bug.cgi?id=",INDIRECT(C70&amp;ROW())),INDIRECT(C70&amp;ROW()))</f>
        <v>62847</v>
      </c>
      <c r="N590">
        <v>62847</v>
      </c>
      <c r="O590" t="s">
        <v>21</v>
      </c>
      <c r="P590" t="s">
        <v>1243</v>
      </c>
      <c r="Q590" t="s">
        <v>25</v>
      </c>
      <c r="R590" t="s">
        <v>579</v>
      </c>
      <c r="S590" t="s">
        <v>552</v>
      </c>
      <c r="U590" s="6">
        <v>42170.54005787037</v>
      </c>
      <c r="V590" t="s">
        <v>18</v>
      </c>
      <c r="W590" t="s">
        <v>783</v>
      </c>
      <c r="X590" s="6">
        <v>42146.51667824074</v>
      </c>
      <c r="Y590" t="s">
        <v>846</v>
      </c>
      <c r="AB590" t="s">
        <v>200</v>
      </c>
      <c r="AC590" t="s">
        <v>247</v>
      </c>
      <c r="AD590" t="s">
        <v>222</v>
      </c>
      <c r="AE590" t="s">
        <v>1073</v>
      </c>
      <c r="AG590" t="s">
        <v>121</v>
      </c>
      <c r="AH590" t="s">
        <v>327</v>
      </c>
      <c r="AI590" t="s">
        <v>121</v>
      </c>
      <c r="AJ590" t="s">
        <v>715</v>
      </c>
      <c r="AK590" t="s">
        <v>121</v>
      </c>
    </row>
    <row r="591" spans="9:37" x14ac:dyDescent="0.3">
      <c r="I591">
        <f ca="1">IF(OR(INDIRECT(A73&amp;ROW())=B93,INDIRECT(A73&amp;ROW())=B94),1,IF(AND(INDIRECT(A73&amp;ROW())=B95,INDIRECT(A96&amp;ROW())=C93),1,IF(AND(INDIRECT(A73&amp;ROW())=B95,INDIRECT(A96&amp;ROW())=C94),1,0)))</f>
        <v>1</v>
      </c>
      <c r="J591">
        <f ca="1">IF(AND(INDIRECT(A73&amp;ROW())=B95,INDIRECT(A96&amp;ROW())=C95),1,IF(AND(INDIRECT(A73&amp;ROW())=B95,INDIRECT(A96&amp;ROW())=C96),1,0))</f>
        <v>0</v>
      </c>
      <c r="K591">
        <f ca="1">DAYS360(INDIRECT(C68&amp;ROW()),TODAY())</f>
        <v>676</v>
      </c>
      <c r="L591">
        <f ca="1">DAYS360(INDIRECT(C69&amp;ROW()),TODAY())</f>
        <v>700</v>
      </c>
      <c r="M591">
        <f ca="1">HYPERLINK(CONCATENATE("https://bugzilla.houston.hp.com:1181/bugzilla/show_bug.cgi?id=",INDIRECT(C70&amp;ROW())),INDIRECT(C70&amp;ROW()))</f>
        <v>62848</v>
      </c>
      <c r="N591">
        <v>62848</v>
      </c>
      <c r="O591" t="s">
        <v>21</v>
      </c>
      <c r="P591" t="s">
        <v>1200</v>
      </c>
      <c r="Q591" t="s">
        <v>25</v>
      </c>
      <c r="R591" t="s">
        <v>783</v>
      </c>
      <c r="S591" t="s">
        <v>552</v>
      </c>
      <c r="U591" s="6">
        <v>42171.354490740741</v>
      </c>
      <c r="V591" t="s">
        <v>18</v>
      </c>
      <c r="W591" t="s">
        <v>783</v>
      </c>
      <c r="X591" s="6">
        <v>42146.516724537039</v>
      </c>
      <c r="Y591" t="s">
        <v>846</v>
      </c>
      <c r="AB591" t="s">
        <v>200</v>
      </c>
      <c r="AC591" t="s">
        <v>247</v>
      </c>
      <c r="AD591" t="s">
        <v>222</v>
      </c>
      <c r="AE591" t="s">
        <v>1073</v>
      </c>
      <c r="AG591" t="s">
        <v>121</v>
      </c>
      <c r="AH591" t="s">
        <v>327</v>
      </c>
      <c r="AI591" t="s">
        <v>121</v>
      </c>
      <c r="AJ591" t="s">
        <v>715</v>
      </c>
      <c r="AK591" t="s">
        <v>1133</v>
      </c>
    </row>
    <row r="592" spans="9:37" x14ac:dyDescent="0.3">
      <c r="I592">
        <f ca="1">IF(OR(INDIRECT(A73&amp;ROW())=B93,INDIRECT(A73&amp;ROW())=B94),1,IF(AND(INDIRECT(A73&amp;ROW())=B95,INDIRECT(A96&amp;ROW())=C93),1,IF(AND(INDIRECT(A73&amp;ROW())=B95,INDIRECT(A96&amp;ROW())=C94),1,0)))</f>
        <v>1</v>
      </c>
      <c r="J592">
        <f ca="1">IF(AND(INDIRECT(A73&amp;ROW())=B95,INDIRECT(A96&amp;ROW())=C95),1,IF(AND(INDIRECT(A73&amp;ROW())=B95,INDIRECT(A96&amp;ROW())=C96),1,0))</f>
        <v>0</v>
      </c>
      <c r="K592">
        <f ca="1">DAYS360(INDIRECT(C68&amp;ROW()),TODAY())</f>
        <v>677</v>
      </c>
      <c r="L592">
        <f ca="1">DAYS360(INDIRECT(C69&amp;ROW()),TODAY())</f>
        <v>700</v>
      </c>
      <c r="M592">
        <f ca="1">HYPERLINK(CONCATENATE("https://bugzilla.houston.hp.com:1181/bugzilla/show_bug.cgi?id=",INDIRECT(C70&amp;ROW())),INDIRECT(C70&amp;ROW()))</f>
        <v>62849</v>
      </c>
      <c r="N592">
        <v>62849</v>
      </c>
      <c r="O592" t="s">
        <v>21</v>
      </c>
      <c r="P592" t="s">
        <v>1242</v>
      </c>
      <c r="Q592" t="s">
        <v>25</v>
      </c>
      <c r="R592" t="s">
        <v>248</v>
      </c>
      <c r="S592" t="s">
        <v>552</v>
      </c>
      <c r="U592" s="6">
        <v>42170.540069444447</v>
      </c>
      <c r="V592" t="s">
        <v>18</v>
      </c>
      <c r="W592" t="s">
        <v>783</v>
      </c>
      <c r="X592" s="6">
        <v>42146.516782407409</v>
      </c>
      <c r="Y592" t="s">
        <v>846</v>
      </c>
      <c r="AB592" t="s">
        <v>200</v>
      </c>
      <c r="AC592" t="s">
        <v>247</v>
      </c>
      <c r="AD592" t="s">
        <v>222</v>
      </c>
      <c r="AE592" t="s">
        <v>1073</v>
      </c>
      <c r="AG592" t="s">
        <v>121</v>
      </c>
      <c r="AH592" t="s">
        <v>327</v>
      </c>
      <c r="AI592" t="s">
        <v>121</v>
      </c>
      <c r="AJ592" t="s">
        <v>715</v>
      </c>
      <c r="AK592" t="s">
        <v>121</v>
      </c>
    </row>
    <row r="593" spans="9:37" x14ac:dyDescent="0.3">
      <c r="I593">
        <f ca="1">IF(OR(INDIRECT(A73&amp;ROW())=B93,INDIRECT(A73&amp;ROW())=B94),1,IF(AND(INDIRECT(A73&amp;ROW())=B95,INDIRECT(A96&amp;ROW())=C93),1,IF(AND(INDIRECT(A73&amp;ROW())=B95,INDIRECT(A96&amp;ROW())=C94),1,0)))</f>
        <v>0</v>
      </c>
      <c r="J593">
        <f ca="1">IF(AND(INDIRECT(A73&amp;ROW())=B95,INDIRECT(A96&amp;ROW())=C95),1,IF(AND(INDIRECT(A73&amp;ROW())=B95,INDIRECT(A96&amp;ROW())=C96),1,0))</f>
        <v>1</v>
      </c>
      <c r="K593">
        <f ca="1">DAYS360(INDIRECT(C68&amp;ROW()),TODAY())</f>
        <v>689</v>
      </c>
      <c r="L593">
        <f ca="1">DAYS360(INDIRECT(C69&amp;ROW()),TODAY())</f>
        <v>700</v>
      </c>
      <c r="M593">
        <f ca="1">HYPERLINK(CONCATENATE("https://bugzilla.houston.hp.com:1181/bugzilla/show_bug.cgi?id=",INDIRECT(C70&amp;ROW())),INDIRECT(C70&amp;ROW()))</f>
        <v>62876</v>
      </c>
      <c r="N593">
        <v>62876</v>
      </c>
      <c r="O593" t="s">
        <v>55</v>
      </c>
      <c r="P593" t="s">
        <v>1121</v>
      </c>
      <c r="Q593" t="s">
        <v>25</v>
      </c>
      <c r="R593" t="s">
        <v>251</v>
      </c>
      <c r="S593" t="s">
        <v>88</v>
      </c>
      <c r="U593" s="6">
        <v>42158.289733796293</v>
      </c>
      <c r="V593" t="s">
        <v>35</v>
      </c>
      <c r="W593" t="s">
        <v>783</v>
      </c>
      <c r="X593" s="6">
        <v>42146.710370370369</v>
      </c>
      <c r="Y593" t="s">
        <v>125</v>
      </c>
      <c r="AB593" t="s">
        <v>201</v>
      </c>
      <c r="AC593" t="s">
        <v>247</v>
      </c>
      <c r="AD593" t="s">
        <v>222</v>
      </c>
      <c r="AE593" t="s">
        <v>221</v>
      </c>
      <c r="AG593" t="s">
        <v>121</v>
      </c>
      <c r="AH593" t="s">
        <v>327</v>
      </c>
      <c r="AI593" t="s">
        <v>121</v>
      </c>
      <c r="AJ593" t="s">
        <v>716</v>
      </c>
      <c r="AK593" t="s">
        <v>121</v>
      </c>
    </row>
    <row r="594" spans="9:37" x14ac:dyDescent="0.3">
      <c r="I594">
        <f ca="1">IF(OR(INDIRECT(A73&amp;ROW())=B93,INDIRECT(A73&amp;ROW())=B94),1,IF(AND(INDIRECT(A73&amp;ROW())=B95,INDIRECT(A96&amp;ROW())=C93),1,IF(AND(INDIRECT(A73&amp;ROW())=B95,INDIRECT(A96&amp;ROW())=C94),1,0)))</f>
        <v>0</v>
      </c>
      <c r="J594">
        <f ca="1">IF(AND(INDIRECT(A73&amp;ROW())=B95,INDIRECT(A96&amp;ROW())=C95),1,IF(AND(INDIRECT(A73&amp;ROW())=B95,INDIRECT(A96&amp;ROW())=C96),1,0))</f>
        <v>1</v>
      </c>
      <c r="K594">
        <f ca="1">DAYS360(INDIRECT(C68&amp;ROW()),TODAY())</f>
        <v>697</v>
      </c>
      <c r="L594">
        <f ca="1">DAYS360(INDIRECT(C69&amp;ROW()),TODAY())</f>
        <v>699</v>
      </c>
      <c r="M594">
        <f ca="1">HYPERLINK(CONCATENATE("https://bugzilla.houston.hp.com:1181/bugzilla/show_bug.cgi?id=",INDIRECT(C70&amp;ROW())),INDIRECT(C70&amp;ROW()))</f>
        <v>62879</v>
      </c>
      <c r="N594">
        <v>62879</v>
      </c>
      <c r="O594" t="s">
        <v>55</v>
      </c>
      <c r="P594" t="s">
        <v>1120</v>
      </c>
      <c r="Q594" t="s">
        <v>25</v>
      </c>
      <c r="R594" t="s">
        <v>579</v>
      </c>
      <c r="S594" t="s">
        <v>552</v>
      </c>
      <c r="U594" s="6">
        <v>42149.626400462963</v>
      </c>
      <c r="V594" t="s">
        <v>18</v>
      </c>
      <c r="W594" t="s">
        <v>783</v>
      </c>
      <c r="X594" s="6">
        <v>42147.016736111109</v>
      </c>
      <c r="Y594" t="s">
        <v>125</v>
      </c>
      <c r="AB594" t="s">
        <v>201</v>
      </c>
      <c r="AC594" t="s">
        <v>247</v>
      </c>
      <c r="AD594" t="s">
        <v>222</v>
      </c>
      <c r="AE594" t="s">
        <v>221</v>
      </c>
      <c r="AG594" t="s">
        <v>121</v>
      </c>
      <c r="AH594" t="s">
        <v>327</v>
      </c>
      <c r="AI594" t="s">
        <v>121</v>
      </c>
      <c r="AJ594" t="s">
        <v>716</v>
      </c>
      <c r="AK594" t="s">
        <v>121</v>
      </c>
    </row>
    <row r="595" spans="9:37" x14ac:dyDescent="0.3">
      <c r="I595">
        <f ca="1">IF(OR(INDIRECT(A73&amp;ROW())=B93,INDIRECT(A73&amp;ROW())=B94),1,IF(AND(INDIRECT(A73&amp;ROW())=B95,INDIRECT(A96&amp;ROW())=C93),1,IF(AND(INDIRECT(A73&amp;ROW())=B95,INDIRECT(A96&amp;ROW())=C94),1,0)))</f>
        <v>0</v>
      </c>
      <c r="J595">
        <f ca="1">IF(AND(INDIRECT(A73&amp;ROW())=B95,INDIRECT(A96&amp;ROW())=C95),1,IF(AND(INDIRECT(A73&amp;ROW())=B95,INDIRECT(A96&amp;ROW())=C96),1,0))</f>
        <v>1</v>
      </c>
      <c r="K595">
        <f ca="1">DAYS360(INDIRECT(C68&amp;ROW()),TODAY())</f>
        <v>697</v>
      </c>
      <c r="L595">
        <f ca="1">DAYS360(INDIRECT(C69&amp;ROW()),TODAY())</f>
        <v>699</v>
      </c>
      <c r="M595">
        <f ca="1">HYPERLINK(CONCATENATE("https://bugzilla.houston.hp.com:1181/bugzilla/show_bug.cgi?id=",INDIRECT(C70&amp;ROW())),INDIRECT(C70&amp;ROW()))</f>
        <v>62881</v>
      </c>
      <c r="N595">
        <v>62881</v>
      </c>
      <c r="O595" t="s">
        <v>55</v>
      </c>
      <c r="P595" t="s">
        <v>1118</v>
      </c>
      <c r="Q595" t="s">
        <v>25</v>
      </c>
      <c r="R595" t="s">
        <v>248</v>
      </c>
      <c r="S595" t="s">
        <v>552</v>
      </c>
      <c r="U595" s="6">
        <v>42149.626388888886</v>
      </c>
      <c r="V595" t="s">
        <v>18</v>
      </c>
      <c r="W595" t="s">
        <v>783</v>
      </c>
      <c r="X595" s="6">
        <v>42147.016898148147</v>
      </c>
      <c r="Y595" t="s">
        <v>125</v>
      </c>
      <c r="AB595" t="s">
        <v>201</v>
      </c>
      <c r="AC595" t="s">
        <v>247</v>
      </c>
      <c r="AD595" t="s">
        <v>222</v>
      </c>
      <c r="AE595" t="s">
        <v>221</v>
      </c>
      <c r="AG595" t="s">
        <v>121</v>
      </c>
      <c r="AH595" t="s">
        <v>327</v>
      </c>
      <c r="AI595" t="s">
        <v>121</v>
      </c>
      <c r="AJ595" t="s">
        <v>716</v>
      </c>
      <c r="AK595" t="s">
        <v>121</v>
      </c>
    </row>
    <row r="596" spans="9:37" x14ac:dyDescent="0.3">
      <c r="I596">
        <f ca="1">IF(OR(INDIRECT(A73&amp;ROW())=B93,INDIRECT(A73&amp;ROW())=B94),1,IF(AND(INDIRECT(A73&amp;ROW())=B95,INDIRECT(A96&amp;ROW())=C93),1,IF(AND(INDIRECT(A73&amp;ROW())=B95,INDIRECT(A96&amp;ROW())=C94),1,0)))</f>
        <v>1</v>
      </c>
      <c r="J596">
        <f ca="1">IF(AND(INDIRECT(A73&amp;ROW())=B95,INDIRECT(A96&amp;ROW())=C95),1,IF(AND(INDIRECT(A73&amp;ROW())=B95,INDIRECT(A96&amp;ROW())=C96),1,0))</f>
        <v>0</v>
      </c>
      <c r="K596">
        <f ca="1">DAYS360(INDIRECT(C68&amp;ROW()),TODAY())</f>
        <v>690</v>
      </c>
      <c r="L596">
        <f ca="1">DAYS360(INDIRECT(C69&amp;ROW()),TODAY())</f>
        <v>697</v>
      </c>
      <c r="M596">
        <f ca="1">HYPERLINK(CONCATENATE("https://bugzilla.houston.hp.com:1181/bugzilla/show_bug.cgi?id=",INDIRECT(C70&amp;ROW())),INDIRECT(C70&amp;ROW()))</f>
        <v>62918</v>
      </c>
      <c r="N596">
        <v>62918</v>
      </c>
      <c r="O596" t="s">
        <v>62</v>
      </c>
      <c r="P596" t="s">
        <v>1117</v>
      </c>
      <c r="Q596" t="s">
        <v>25</v>
      </c>
      <c r="R596" t="s">
        <v>251</v>
      </c>
      <c r="S596" t="s">
        <v>62</v>
      </c>
      <c r="U596" s="6">
        <v>42157.007928240739</v>
      </c>
      <c r="V596" t="s">
        <v>18</v>
      </c>
      <c r="W596" t="s">
        <v>783</v>
      </c>
      <c r="X596" s="6">
        <v>42149.972442129627</v>
      </c>
      <c r="Y596" t="s">
        <v>119</v>
      </c>
      <c r="AB596" t="s">
        <v>199</v>
      </c>
      <c r="AC596" t="s">
        <v>247</v>
      </c>
      <c r="AD596" t="s">
        <v>220</v>
      </c>
      <c r="AE596" t="s">
        <v>219</v>
      </c>
      <c r="AG596" t="s">
        <v>121</v>
      </c>
      <c r="AH596" t="s">
        <v>327</v>
      </c>
      <c r="AI596" t="s">
        <v>121</v>
      </c>
      <c r="AJ596" t="s">
        <v>715</v>
      </c>
      <c r="AK596" t="s">
        <v>121</v>
      </c>
    </row>
    <row r="597" spans="9:37" x14ac:dyDescent="0.3">
      <c r="I597">
        <f ca="1">IF(OR(INDIRECT(A73&amp;ROW())=B93,INDIRECT(A73&amp;ROW())=B94),1,IF(AND(INDIRECT(A73&amp;ROW())=B95,INDIRECT(A96&amp;ROW())=C93),1,IF(AND(INDIRECT(A73&amp;ROW())=B95,INDIRECT(A96&amp;ROW())=C94),1,0)))</f>
        <v>1</v>
      </c>
      <c r="J597">
        <f ca="1">IF(AND(INDIRECT(A73&amp;ROW())=B95,INDIRECT(A96&amp;ROW())=C95),1,IF(AND(INDIRECT(A73&amp;ROW())=B95,INDIRECT(A96&amp;ROW())=C96),1,0))</f>
        <v>0</v>
      </c>
      <c r="K597">
        <f ca="1">DAYS360(INDIRECT(C68&amp;ROW()),TODAY())</f>
        <v>690</v>
      </c>
      <c r="L597">
        <f ca="1">DAYS360(INDIRECT(C69&amp;ROW()),TODAY())</f>
        <v>696</v>
      </c>
      <c r="M597">
        <f ca="1">HYPERLINK(CONCATENATE("https://bugzilla.houston.hp.com:1181/bugzilla/show_bug.cgi?id=",INDIRECT(C70&amp;ROW())),INDIRECT(C70&amp;ROW()))</f>
        <v>62923</v>
      </c>
      <c r="N597">
        <v>62923</v>
      </c>
      <c r="O597" t="s">
        <v>56</v>
      </c>
      <c r="P597" t="s">
        <v>1116</v>
      </c>
      <c r="Q597" t="s">
        <v>25</v>
      </c>
      <c r="R597" t="s">
        <v>248</v>
      </c>
      <c r="S597" t="s">
        <v>552</v>
      </c>
      <c r="U597" s="6">
        <v>42157.090798611112</v>
      </c>
      <c r="V597" t="s">
        <v>18</v>
      </c>
      <c r="W597" t="s">
        <v>783</v>
      </c>
      <c r="X597" s="6">
        <v>42150.01703703704</v>
      </c>
      <c r="Y597" t="s">
        <v>119</v>
      </c>
      <c r="AB597" t="s">
        <v>199</v>
      </c>
      <c r="AC597" t="s">
        <v>247</v>
      </c>
      <c r="AD597" t="s">
        <v>220</v>
      </c>
      <c r="AE597" t="s">
        <v>219</v>
      </c>
      <c r="AG597" t="s">
        <v>121</v>
      </c>
      <c r="AH597" t="s">
        <v>327</v>
      </c>
      <c r="AI597" t="s">
        <v>121</v>
      </c>
      <c r="AJ597" t="s">
        <v>715</v>
      </c>
      <c r="AK597" t="s">
        <v>121</v>
      </c>
    </row>
    <row r="598" spans="9:37" x14ac:dyDescent="0.3">
      <c r="I598">
        <f ca="1">IF(OR(INDIRECT(A73&amp;ROW())=B93,INDIRECT(A73&amp;ROW())=B94),1,IF(AND(INDIRECT(A73&amp;ROW())=B95,INDIRECT(A96&amp;ROW())=C93),1,IF(AND(INDIRECT(A73&amp;ROW())=B95,INDIRECT(A96&amp;ROW())=C94),1,0)))</f>
        <v>1</v>
      </c>
      <c r="J598">
        <f ca="1">IF(AND(INDIRECT(A73&amp;ROW())=B95,INDIRECT(A96&amp;ROW())=C95),1,IF(AND(INDIRECT(A73&amp;ROW())=B95,INDIRECT(A96&amp;ROW())=C96),1,0))</f>
        <v>0</v>
      </c>
      <c r="K598">
        <f ca="1">DAYS360(INDIRECT(C68&amp;ROW()),TODAY())</f>
        <v>677</v>
      </c>
      <c r="L598">
        <f ca="1">DAYS360(INDIRECT(C69&amp;ROW()),TODAY())</f>
        <v>696</v>
      </c>
      <c r="M598">
        <f ca="1">HYPERLINK(CONCATENATE("https://bugzilla.houston.hp.com:1181/bugzilla/show_bug.cgi?id=",INDIRECT(C70&amp;ROW())),INDIRECT(C70&amp;ROW()))</f>
        <v>62950</v>
      </c>
      <c r="N598">
        <v>62950</v>
      </c>
      <c r="O598" t="s">
        <v>94</v>
      </c>
      <c r="P598" t="s">
        <v>1115</v>
      </c>
      <c r="Q598" t="s">
        <v>25</v>
      </c>
      <c r="R598" t="s">
        <v>251</v>
      </c>
      <c r="S598" t="s">
        <v>52</v>
      </c>
      <c r="T598" t="s">
        <v>1122</v>
      </c>
      <c r="U598" s="6">
        <v>42170.740648148145</v>
      </c>
      <c r="V598" t="s">
        <v>35</v>
      </c>
      <c r="W598" t="s">
        <v>783</v>
      </c>
      <c r="X598" s="6">
        <v>42150.291273148148</v>
      </c>
      <c r="Y598" t="s">
        <v>119</v>
      </c>
      <c r="AB598" t="s">
        <v>200</v>
      </c>
      <c r="AC598" t="s">
        <v>247</v>
      </c>
      <c r="AD598" t="s">
        <v>227</v>
      </c>
      <c r="AE598" t="s">
        <v>226</v>
      </c>
      <c r="AG598" t="s">
        <v>121</v>
      </c>
      <c r="AH598" t="s">
        <v>327</v>
      </c>
      <c r="AI598" t="s">
        <v>121</v>
      </c>
      <c r="AJ598" t="s">
        <v>715</v>
      </c>
      <c r="AK598" t="s">
        <v>121</v>
      </c>
    </row>
    <row r="599" spans="9:37" x14ac:dyDescent="0.3">
      <c r="I599">
        <f ca="1">IF(OR(INDIRECT(A73&amp;ROW())=B93,INDIRECT(A73&amp;ROW())=B94),1,IF(AND(INDIRECT(A73&amp;ROW())=B95,INDIRECT(A96&amp;ROW())=C93),1,IF(AND(INDIRECT(A73&amp;ROW())=B95,INDIRECT(A96&amp;ROW())=C94),1,0)))</f>
        <v>1</v>
      </c>
      <c r="J599">
        <f ca="1">IF(AND(INDIRECT(A73&amp;ROW())=B95,INDIRECT(A96&amp;ROW())=C95),1,IF(AND(INDIRECT(A73&amp;ROW())=B95,INDIRECT(A96&amp;ROW())=C96),1,0))</f>
        <v>0</v>
      </c>
      <c r="K599">
        <f ca="1">DAYS360(INDIRECT(C68&amp;ROW()),TODAY())</f>
        <v>684</v>
      </c>
      <c r="L599">
        <f ca="1">DAYS360(INDIRECT(C69&amp;ROW()),TODAY())</f>
        <v>696</v>
      </c>
      <c r="M599">
        <f ca="1">HYPERLINK(CONCATENATE("https://bugzilla.houston.hp.com:1181/bugzilla/show_bug.cgi?id=",INDIRECT(C70&amp;ROW())),INDIRECT(C70&amp;ROW()))</f>
        <v>62959</v>
      </c>
      <c r="N599">
        <v>62959</v>
      </c>
      <c r="O599" t="s">
        <v>21</v>
      </c>
      <c r="P599" t="s">
        <v>1114</v>
      </c>
      <c r="Q599" t="s">
        <v>39</v>
      </c>
      <c r="R599" t="s">
        <v>251</v>
      </c>
      <c r="S599" t="s">
        <v>24</v>
      </c>
      <c r="U599" s="6">
        <v>42163.557893518519</v>
      </c>
      <c r="V599" t="s">
        <v>18</v>
      </c>
      <c r="W599" t="s">
        <v>783</v>
      </c>
      <c r="X599" s="6">
        <v>42150.384166666663</v>
      </c>
      <c r="Y599" t="s">
        <v>119</v>
      </c>
      <c r="AB599" t="s">
        <v>200</v>
      </c>
      <c r="AC599" t="s">
        <v>247</v>
      </c>
      <c r="AD599" t="s">
        <v>222</v>
      </c>
      <c r="AE599" t="s">
        <v>221</v>
      </c>
      <c r="AG599" t="s">
        <v>121</v>
      </c>
      <c r="AH599" t="s">
        <v>327</v>
      </c>
      <c r="AI599" t="s">
        <v>121</v>
      </c>
      <c r="AJ599" t="s">
        <v>715</v>
      </c>
      <c r="AK599" t="s">
        <v>121</v>
      </c>
    </row>
    <row r="600" spans="9:37" x14ac:dyDescent="0.3">
      <c r="I600">
        <f ca="1">IF(OR(INDIRECT(A73&amp;ROW())=B93,INDIRECT(A73&amp;ROW())=B94),1,IF(AND(INDIRECT(A73&amp;ROW())=B95,INDIRECT(A96&amp;ROW())=C93),1,IF(AND(INDIRECT(A73&amp;ROW())=B95,INDIRECT(A96&amp;ROW())=C94),1,0)))</f>
        <v>1</v>
      </c>
      <c r="J600">
        <f ca="1">IF(AND(INDIRECT(A73&amp;ROW())=B95,INDIRECT(A96&amp;ROW())=C95),1,IF(AND(INDIRECT(A73&amp;ROW())=B95,INDIRECT(A96&amp;ROW())=C96),1,0))</f>
        <v>0</v>
      </c>
      <c r="K600">
        <f ca="1">DAYS360(INDIRECT(C68&amp;ROW()),TODAY())</f>
        <v>696</v>
      </c>
      <c r="L600">
        <f ca="1">DAYS360(INDIRECT(C69&amp;ROW()),TODAY())</f>
        <v>696</v>
      </c>
      <c r="M600">
        <f ca="1">HYPERLINK(CONCATENATE("https://bugzilla.houston.hp.com:1181/bugzilla/show_bug.cgi?id=",INDIRECT(C70&amp;ROW())),INDIRECT(C70&amp;ROW()))</f>
        <v>62972</v>
      </c>
      <c r="N600">
        <v>62972</v>
      </c>
      <c r="O600" t="s">
        <v>45</v>
      </c>
      <c r="P600" t="s">
        <v>1113</v>
      </c>
      <c r="Q600" t="s">
        <v>25</v>
      </c>
      <c r="R600" t="s">
        <v>248</v>
      </c>
      <c r="S600" t="s">
        <v>552</v>
      </c>
      <c r="U600" s="6">
        <v>42150.455312500002</v>
      </c>
      <c r="V600" t="s">
        <v>18</v>
      </c>
      <c r="W600" t="s">
        <v>248</v>
      </c>
      <c r="X600" s="6">
        <v>42150.455312500002</v>
      </c>
      <c r="Y600" t="s">
        <v>793</v>
      </c>
      <c r="AB600" t="s">
        <v>199</v>
      </c>
      <c r="AC600" t="s">
        <v>247</v>
      </c>
      <c r="AD600" t="s">
        <v>220</v>
      </c>
      <c r="AE600" t="s">
        <v>219</v>
      </c>
      <c r="AG600" t="s">
        <v>121</v>
      </c>
      <c r="AH600" t="s">
        <v>328</v>
      </c>
      <c r="AI600" t="s">
        <v>121</v>
      </c>
      <c r="AJ600" t="s">
        <v>715</v>
      </c>
      <c r="AK600" t="s">
        <v>121</v>
      </c>
    </row>
    <row r="601" spans="9:37" x14ac:dyDescent="0.3">
      <c r="I601">
        <f ca="1">IF(OR(INDIRECT(A73&amp;ROW())=B93,INDIRECT(A73&amp;ROW())=B94),1,IF(AND(INDIRECT(A73&amp;ROW())=B95,INDIRECT(A96&amp;ROW())=C93),1,IF(AND(INDIRECT(A73&amp;ROW())=B95,INDIRECT(A96&amp;ROW())=C94),1,0)))</f>
        <v>1</v>
      </c>
      <c r="J601">
        <f ca="1">IF(AND(INDIRECT(A73&amp;ROW())=B95,INDIRECT(A96&amp;ROW())=C95),1,IF(AND(INDIRECT(A73&amp;ROW())=B95,INDIRECT(A96&amp;ROW())=C96),1,0))</f>
        <v>0</v>
      </c>
      <c r="K601">
        <f ca="1">DAYS360(INDIRECT(C68&amp;ROW()),TODAY())</f>
        <v>680</v>
      </c>
      <c r="L601">
        <f ca="1">DAYS360(INDIRECT(C69&amp;ROW()),TODAY())</f>
        <v>696</v>
      </c>
      <c r="M601">
        <f ca="1">HYPERLINK(CONCATENATE("https://bugzilla.houston.hp.com:1181/bugzilla/show_bug.cgi?id=",INDIRECT(C70&amp;ROW())),INDIRECT(C70&amp;ROW()))</f>
        <v>62973</v>
      </c>
      <c r="N601">
        <v>62973</v>
      </c>
      <c r="O601" t="s">
        <v>94</v>
      </c>
      <c r="P601" t="s">
        <v>1112</v>
      </c>
      <c r="Q601" t="s">
        <v>25</v>
      </c>
      <c r="R601" t="s">
        <v>783</v>
      </c>
      <c r="S601" t="s">
        <v>552</v>
      </c>
      <c r="T601" t="s">
        <v>1156</v>
      </c>
      <c r="U601" s="6">
        <v>42167.337222222224</v>
      </c>
      <c r="V601" t="s">
        <v>18</v>
      </c>
      <c r="W601" t="s">
        <v>783</v>
      </c>
      <c r="X601" s="6">
        <v>42150.456238425926</v>
      </c>
      <c r="Y601" t="s">
        <v>119</v>
      </c>
      <c r="AB601" t="s">
        <v>200</v>
      </c>
      <c r="AC601" t="s">
        <v>247</v>
      </c>
      <c r="AD601" t="s">
        <v>227</v>
      </c>
      <c r="AE601" t="s">
        <v>226</v>
      </c>
      <c r="AG601" t="s">
        <v>121</v>
      </c>
      <c r="AH601" t="s">
        <v>327</v>
      </c>
      <c r="AI601" t="s">
        <v>121</v>
      </c>
      <c r="AJ601" t="s">
        <v>715</v>
      </c>
      <c r="AK601" t="s">
        <v>1206</v>
      </c>
    </row>
    <row r="602" spans="9:37" x14ac:dyDescent="0.3">
      <c r="I602">
        <f ca="1">IF(OR(INDIRECT(A73&amp;ROW())=B93,INDIRECT(A73&amp;ROW())=B94),1,IF(AND(INDIRECT(A73&amp;ROW())=B95,INDIRECT(A96&amp;ROW())=C93),1,IF(AND(INDIRECT(A73&amp;ROW())=B95,INDIRECT(A96&amp;ROW())=C94),1,0)))</f>
        <v>1</v>
      </c>
      <c r="J602">
        <f ca="1">IF(AND(INDIRECT(A73&amp;ROW())=B95,INDIRECT(A96&amp;ROW())=C95),1,IF(AND(INDIRECT(A73&amp;ROW())=B95,INDIRECT(A96&amp;ROW())=C96),1,0))</f>
        <v>0</v>
      </c>
      <c r="K602">
        <f ca="1">DAYS360(INDIRECT(C68&amp;ROW()),TODAY())</f>
        <v>694</v>
      </c>
      <c r="L602">
        <f ca="1">DAYS360(INDIRECT(C69&amp;ROW()),TODAY())</f>
        <v>696</v>
      </c>
      <c r="M602">
        <f ca="1">HYPERLINK(CONCATENATE("https://bugzilla.houston.hp.com:1181/bugzilla/show_bug.cgi?id=",INDIRECT(C70&amp;ROW())),INDIRECT(C70&amp;ROW()))</f>
        <v>62974</v>
      </c>
      <c r="N602">
        <v>62974</v>
      </c>
      <c r="O602" t="s">
        <v>94</v>
      </c>
      <c r="P602" t="s">
        <v>1111</v>
      </c>
      <c r="Q602" t="s">
        <v>25</v>
      </c>
      <c r="R602" t="s">
        <v>248</v>
      </c>
      <c r="S602" t="s">
        <v>552</v>
      </c>
      <c r="U602" s="6">
        <v>42152.66778935185</v>
      </c>
      <c r="V602" t="s">
        <v>18</v>
      </c>
      <c r="W602" t="s">
        <v>783</v>
      </c>
      <c r="X602" s="6">
        <v>42150.456342592595</v>
      </c>
      <c r="Y602" t="s">
        <v>119</v>
      </c>
      <c r="AB602" t="s">
        <v>200</v>
      </c>
      <c r="AC602" t="s">
        <v>247</v>
      </c>
      <c r="AD602" t="s">
        <v>227</v>
      </c>
      <c r="AE602" t="s">
        <v>226</v>
      </c>
      <c r="AG602" t="s">
        <v>121</v>
      </c>
      <c r="AH602" t="s">
        <v>327</v>
      </c>
      <c r="AI602" t="s">
        <v>121</v>
      </c>
      <c r="AJ602" t="s">
        <v>715</v>
      </c>
      <c r="AK602" t="s">
        <v>121</v>
      </c>
    </row>
    <row r="603" spans="9:37" x14ac:dyDescent="0.3">
      <c r="I603">
        <f ca="1">IF(OR(INDIRECT(A73&amp;ROW())=B93,INDIRECT(A73&amp;ROW())=B94),1,IF(AND(INDIRECT(A73&amp;ROW())=B95,INDIRECT(A96&amp;ROW())=C93),1,IF(AND(INDIRECT(A73&amp;ROW())=B95,INDIRECT(A96&amp;ROW())=C94),1,0)))</f>
        <v>1</v>
      </c>
      <c r="J603">
        <f ca="1">IF(AND(INDIRECT(A73&amp;ROW())=B95,INDIRECT(A96&amp;ROW())=C95),1,IF(AND(INDIRECT(A73&amp;ROW())=B95,INDIRECT(A96&amp;ROW())=C96),1,0))</f>
        <v>0</v>
      </c>
      <c r="K603">
        <f ca="1">DAYS360(INDIRECT(C68&amp;ROW()),TODAY())</f>
        <v>683</v>
      </c>
      <c r="L603">
        <f ca="1">DAYS360(INDIRECT(C69&amp;ROW()),TODAY())</f>
        <v>696</v>
      </c>
      <c r="M603">
        <f ca="1">HYPERLINK(CONCATENATE("https://bugzilla.houston.hp.com:1181/bugzilla/show_bug.cgi?id=",INDIRECT(C70&amp;ROW())),INDIRECT(C70&amp;ROW()))</f>
        <v>62976</v>
      </c>
      <c r="N603">
        <v>62976</v>
      </c>
      <c r="O603" t="s">
        <v>21</v>
      </c>
      <c r="P603" t="s">
        <v>1110</v>
      </c>
      <c r="Q603" t="s">
        <v>39</v>
      </c>
      <c r="R603" t="s">
        <v>783</v>
      </c>
      <c r="S603" t="s">
        <v>552</v>
      </c>
      <c r="U603" s="6">
        <v>42164.629421296297</v>
      </c>
      <c r="V603" t="s">
        <v>18</v>
      </c>
      <c r="W603" t="s">
        <v>783</v>
      </c>
      <c r="X603" s="6">
        <v>42150.457615740743</v>
      </c>
      <c r="Y603" t="s">
        <v>119</v>
      </c>
      <c r="AB603" t="s">
        <v>200</v>
      </c>
      <c r="AC603" t="s">
        <v>247</v>
      </c>
      <c r="AD603" t="s">
        <v>222</v>
      </c>
      <c r="AE603" t="s">
        <v>221</v>
      </c>
      <c r="AG603" t="s">
        <v>337</v>
      </c>
      <c r="AH603" t="s">
        <v>327</v>
      </c>
      <c r="AI603" t="s">
        <v>121</v>
      </c>
      <c r="AJ603" t="s">
        <v>715</v>
      </c>
      <c r="AK603" t="s">
        <v>1206</v>
      </c>
    </row>
    <row r="604" spans="9:37" x14ac:dyDescent="0.3">
      <c r="I604">
        <f ca="1">IF(OR(INDIRECT(A73&amp;ROW())=B93,INDIRECT(A73&amp;ROW())=B94),1,IF(AND(INDIRECT(A73&amp;ROW())=B95,INDIRECT(A96&amp;ROW())=C93),1,IF(AND(INDIRECT(A73&amp;ROW())=B95,INDIRECT(A96&amp;ROW())=C94),1,0)))</f>
        <v>1</v>
      </c>
      <c r="J604">
        <f ca="1">IF(AND(INDIRECT(A73&amp;ROW())=B95,INDIRECT(A96&amp;ROW())=C95),1,IF(AND(INDIRECT(A73&amp;ROW())=B95,INDIRECT(A96&amp;ROW())=C96),1,0))</f>
        <v>0</v>
      </c>
      <c r="K604">
        <f ca="1">DAYS360(INDIRECT(C68&amp;ROW()),TODAY())</f>
        <v>687</v>
      </c>
      <c r="L604">
        <f ca="1">DAYS360(INDIRECT(C69&amp;ROW()),TODAY())</f>
        <v>696</v>
      </c>
      <c r="M604">
        <f ca="1">HYPERLINK(CONCATENATE("https://bugzilla.houston.hp.com:1181/bugzilla/show_bug.cgi?id=",INDIRECT(C70&amp;ROW())),INDIRECT(C70&amp;ROW()))</f>
        <v>62977</v>
      </c>
      <c r="N604">
        <v>62977</v>
      </c>
      <c r="O604" t="s">
        <v>21</v>
      </c>
      <c r="P604" t="s">
        <v>1109</v>
      </c>
      <c r="Q604" t="s">
        <v>39</v>
      </c>
      <c r="R604" t="s">
        <v>248</v>
      </c>
      <c r="S604" t="s">
        <v>552</v>
      </c>
      <c r="U604" s="6">
        <v>42160.489837962959</v>
      </c>
      <c r="V604" t="s">
        <v>18</v>
      </c>
      <c r="W604" t="s">
        <v>783</v>
      </c>
      <c r="X604" s="6">
        <v>42150.457673611112</v>
      </c>
      <c r="Y604" t="s">
        <v>119</v>
      </c>
      <c r="AB604" t="s">
        <v>200</v>
      </c>
      <c r="AC604" t="s">
        <v>247</v>
      </c>
      <c r="AD604" t="s">
        <v>222</v>
      </c>
      <c r="AE604" t="s">
        <v>221</v>
      </c>
      <c r="AG604" t="s">
        <v>121</v>
      </c>
      <c r="AH604" t="s">
        <v>327</v>
      </c>
      <c r="AI604" t="s">
        <v>121</v>
      </c>
      <c r="AJ604" t="s">
        <v>715</v>
      </c>
      <c r="AK604" t="s">
        <v>121</v>
      </c>
    </row>
    <row r="605" spans="9:37" x14ac:dyDescent="0.3">
      <c r="I605">
        <f ca="1">IF(OR(INDIRECT(A73&amp;ROW())=B93,INDIRECT(A73&amp;ROW())=B94),1,IF(AND(INDIRECT(A73&amp;ROW())=B95,INDIRECT(A96&amp;ROW())=C93),1,IF(AND(INDIRECT(A73&amp;ROW())=B95,INDIRECT(A96&amp;ROW())=C94),1,0)))</f>
        <v>1</v>
      </c>
      <c r="J605">
        <f ca="1">IF(AND(INDIRECT(A73&amp;ROW())=B95,INDIRECT(A96&amp;ROW())=C95),1,IF(AND(INDIRECT(A73&amp;ROW())=B95,INDIRECT(A96&amp;ROW())=C96),1,0))</f>
        <v>0</v>
      </c>
      <c r="K605">
        <f ca="1">DAYS360(INDIRECT(C68&amp;ROW()),TODAY())</f>
        <v>680</v>
      </c>
      <c r="L605">
        <f ca="1">DAYS360(INDIRECT(C69&amp;ROW()),TODAY())</f>
        <v>696</v>
      </c>
      <c r="M605">
        <f ca="1">HYPERLINK(CONCATENATE("https://bugzilla.houston.hp.com:1181/bugzilla/show_bug.cgi?id=",INDIRECT(C70&amp;ROW())),INDIRECT(C70&amp;ROW()))</f>
        <v>62999</v>
      </c>
      <c r="N605">
        <v>62999</v>
      </c>
      <c r="O605" t="s">
        <v>44</v>
      </c>
      <c r="P605" t="s">
        <v>1199</v>
      </c>
      <c r="Q605" t="s">
        <v>39</v>
      </c>
      <c r="R605" t="s">
        <v>251</v>
      </c>
      <c r="S605" t="s">
        <v>587</v>
      </c>
      <c r="U605" s="6">
        <v>42167.441655092596</v>
      </c>
      <c r="V605" t="s">
        <v>18</v>
      </c>
      <c r="W605" t="s">
        <v>783</v>
      </c>
      <c r="X605" s="6">
        <v>42150.971064814818</v>
      </c>
      <c r="Y605" t="s">
        <v>119</v>
      </c>
      <c r="AB605" t="s">
        <v>199</v>
      </c>
      <c r="AC605" t="s">
        <v>247</v>
      </c>
      <c r="AD605" t="s">
        <v>220</v>
      </c>
      <c r="AE605" t="s">
        <v>219</v>
      </c>
      <c r="AG605" t="s">
        <v>121</v>
      </c>
      <c r="AH605" t="s">
        <v>327</v>
      </c>
      <c r="AI605" t="s">
        <v>121</v>
      </c>
      <c r="AJ605" t="s">
        <v>715</v>
      </c>
      <c r="AK605" t="s">
        <v>121</v>
      </c>
    </row>
    <row r="606" spans="9:37" x14ac:dyDescent="0.3">
      <c r="I606">
        <f ca="1">IF(OR(INDIRECT(A73&amp;ROW())=B93,INDIRECT(A73&amp;ROW())=B94),1,IF(AND(INDIRECT(A73&amp;ROW())=B95,INDIRECT(A96&amp;ROW())=C93),1,IF(AND(INDIRECT(A73&amp;ROW())=B95,INDIRECT(A96&amp;ROW())=C94),1,0)))</f>
        <v>1</v>
      </c>
      <c r="J606">
        <f ca="1">IF(AND(INDIRECT(A73&amp;ROW())=B95,INDIRECT(A96&amp;ROW())=C95),1,IF(AND(INDIRECT(A73&amp;ROW())=B95,INDIRECT(A96&amp;ROW())=C96),1,0))</f>
        <v>0</v>
      </c>
      <c r="K606">
        <f ca="1">DAYS360(INDIRECT(C68&amp;ROW()),TODAY())</f>
        <v>691</v>
      </c>
      <c r="L606">
        <f ca="1">DAYS360(INDIRECT(C69&amp;ROW()),TODAY())</f>
        <v>695</v>
      </c>
      <c r="M606">
        <f ca="1">HYPERLINK(CONCATENATE("https://bugzilla.houston.hp.com:1181/bugzilla/show_bug.cgi?id=",INDIRECT(C70&amp;ROW())),INDIRECT(C70&amp;ROW()))</f>
        <v>63011</v>
      </c>
      <c r="N606">
        <v>63011</v>
      </c>
      <c r="O606" t="s">
        <v>66</v>
      </c>
      <c r="P606" t="s">
        <v>1107</v>
      </c>
      <c r="Q606" t="s">
        <v>39</v>
      </c>
      <c r="R606" t="s">
        <v>579</v>
      </c>
      <c r="S606" t="s">
        <v>552</v>
      </c>
      <c r="U606" s="6">
        <v>42156.076863425929</v>
      </c>
      <c r="V606" t="s">
        <v>18</v>
      </c>
      <c r="W606" t="s">
        <v>783</v>
      </c>
      <c r="X606" s="6">
        <v>42151.016956018517</v>
      </c>
      <c r="Y606" t="s">
        <v>119</v>
      </c>
      <c r="AB606" t="s">
        <v>199</v>
      </c>
      <c r="AC606" t="s">
        <v>247</v>
      </c>
      <c r="AD606" t="s">
        <v>220</v>
      </c>
      <c r="AE606" t="s">
        <v>219</v>
      </c>
      <c r="AG606" t="s">
        <v>121</v>
      </c>
      <c r="AH606" t="s">
        <v>327</v>
      </c>
      <c r="AI606" t="s">
        <v>121</v>
      </c>
      <c r="AJ606" t="s">
        <v>715</v>
      </c>
      <c r="AK606" t="s">
        <v>121</v>
      </c>
    </row>
    <row r="607" spans="9:37" x14ac:dyDescent="0.3">
      <c r="I607">
        <f ca="1">IF(OR(INDIRECT(A73&amp;ROW())=B93,INDIRECT(A73&amp;ROW())=B94),1,IF(AND(INDIRECT(A73&amp;ROW())=B95,INDIRECT(A96&amp;ROW())=C93),1,IF(AND(INDIRECT(A73&amp;ROW())=B95,INDIRECT(A96&amp;ROW())=C94),1,0)))</f>
        <v>1</v>
      </c>
      <c r="J607">
        <f ca="1">IF(AND(INDIRECT(A73&amp;ROW())=B95,INDIRECT(A96&amp;ROW())=C95),1,IF(AND(INDIRECT(A73&amp;ROW())=B95,INDIRECT(A96&amp;ROW())=C96),1,0))</f>
        <v>0</v>
      </c>
      <c r="K607">
        <f ca="1">DAYS360(INDIRECT(C68&amp;ROW()),TODAY())</f>
        <v>680</v>
      </c>
      <c r="L607">
        <f ca="1">DAYS360(INDIRECT(C69&amp;ROW()),TODAY())</f>
        <v>695</v>
      </c>
      <c r="M607">
        <f ca="1">HYPERLINK(CONCATENATE("https://bugzilla.houston.hp.com:1181/bugzilla/show_bug.cgi?id=",INDIRECT(C70&amp;ROW())),INDIRECT(C70&amp;ROW()))</f>
        <v>63012</v>
      </c>
      <c r="N607">
        <v>63012</v>
      </c>
      <c r="O607" t="s">
        <v>66</v>
      </c>
      <c r="P607" t="s">
        <v>1198</v>
      </c>
      <c r="Q607" t="s">
        <v>39</v>
      </c>
      <c r="R607" t="s">
        <v>783</v>
      </c>
      <c r="S607" t="s">
        <v>552</v>
      </c>
      <c r="T607" t="s">
        <v>1157</v>
      </c>
      <c r="U607" s="6">
        <v>42167.305752314816</v>
      </c>
      <c r="V607" t="s">
        <v>18</v>
      </c>
      <c r="W607" t="s">
        <v>783</v>
      </c>
      <c r="X607" s="6">
        <v>42151.01703703704</v>
      </c>
      <c r="Y607" t="s">
        <v>119</v>
      </c>
      <c r="AB607" t="s">
        <v>199</v>
      </c>
      <c r="AC607" t="s">
        <v>247</v>
      </c>
      <c r="AD607" t="s">
        <v>220</v>
      </c>
      <c r="AE607" t="s">
        <v>219</v>
      </c>
      <c r="AG607" t="s">
        <v>121</v>
      </c>
      <c r="AH607" t="s">
        <v>327</v>
      </c>
      <c r="AI607" t="s">
        <v>121</v>
      </c>
      <c r="AJ607" t="s">
        <v>715</v>
      </c>
      <c r="AK607" t="s">
        <v>1206</v>
      </c>
    </row>
    <row r="608" spans="9:37" x14ac:dyDescent="0.3">
      <c r="I608">
        <f ca="1">IF(OR(INDIRECT(A73&amp;ROW())=B93,INDIRECT(A73&amp;ROW())=B94),1,IF(AND(INDIRECT(A73&amp;ROW())=B95,INDIRECT(A96&amp;ROW())=C93),1,IF(AND(INDIRECT(A73&amp;ROW())=B95,INDIRECT(A96&amp;ROW())=C94),1,0)))</f>
        <v>1</v>
      </c>
      <c r="J608">
        <f ca="1">IF(AND(INDIRECT(A73&amp;ROW())=B95,INDIRECT(A96&amp;ROW())=C95),1,IF(AND(INDIRECT(A73&amp;ROW())=B95,INDIRECT(A96&amp;ROW())=C96),1,0))</f>
        <v>0</v>
      </c>
      <c r="K608">
        <f ca="1">DAYS360(INDIRECT(C68&amp;ROW()),TODAY())</f>
        <v>695</v>
      </c>
      <c r="L608">
        <f ca="1">DAYS360(INDIRECT(C69&amp;ROW()),TODAY())</f>
        <v>695</v>
      </c>
      <c r="M608">
        <f ca="1">HYPERLINK(CONCATENATE("https://bugzilla.houston.hp.com:1181/bugzilla/show_bug.cgi?id=",INDIRECT(C70&amp;ROW())),INDIRECT(C70&amp;ROW()))</f>
        <v>63013</v>
      </c>
      <c r="N608">
        <v>63013</v>
      </c>
      <c r="O608" t="s">
        <v>56</v>
      </c>
      <c r="P608" t="s">
        <v>1105</v>
      </c>
      <c r="Q608" t="s">
        <v>39</v>
      </c>
      <c r="R608" t="s">
        <v>248</v>
      </c>
      <c r="S608" t="s">
        <v>552</v>
      </c>
      <c r="U608" s="6">
        <v>42151.356874999998</v>
      </c>
      <c r="V608" t="s">
        <v>18</v>
      </c>
      <c r="W608" t="s">
        <v>783</v>
      </c>
      <c r="X608" s="6">
        <v>42151.017129629632</v>
      </c>
      <c r="Y608" t="s">
        <v>119</v>
      </c>
      <c r="AB608" t="s">
        <v>199</v>
      </c>
      <c r="AC608" t="s">
        <v>247</v>
      </c>
      <c r="AD608" t="s">
        <v>220</v>
      </c>
      <c r="AE608" t="s">
        <v>219</v>
      </c>
      <c r="AG608" t="s">
        <v>121</v>
      </c>
      <c r="AH608" t="s">
        <v>327</v>
      </c>
      <c r="AI608" t="s">
        <v>121</v>
      </c>
      <c r="AJ608" t="s">
        <v>715</v>
      </c>
      <c r="AK608" t="s">
        <v>121</v>
      </c>
    </row>
    <row r="609" spans="9:37" x14ac:dyDescent="0.3">
      <c r="I609">
        <f ca="1">IF(OR(INDIRECT(A73&amp;ROW())=B93,INDIRECT(A73&amp;ROW())=B94),1,IF(AND(INDIRECT(A73&amp;ROW())=B95,INDIRECT(A96&amp;ROW())=C93),1,IF(AND(INDIRECT(A73&amp;ROW())=B95,INDIRECT(A96&amp;ROW())=C94),1,0)))</f>
        <v>1</v>
      </c>
      <c r="J609">
        <f ca="1">IF(AND(INDIRECT(A73&amp;ROW())=B95,INDIRECT(A96&amp;ROW())=C95),1,IF(AND(INDIRECT(A73&amp;ROW())=B95,INDIRECT(A96&amp;ROW())=C96),1,0))</f>
        <v>0</v>
      </c>
      <c r="K609">
        <f ca="1">DAYS360(INDIRECT(C68&amp;ROW()),TODAY())</f>
        <v>680</v>
      </c>
      <c r="L609">
        <f ca="1">DAYS360(INDIRECT(C69&amp;ROW()),TODAY())</f>
        <v>694</v>
      </c>
      <c r="M609">
        <f ca="1">HYPERLINK(CONCATENATE("https://bugzilla.houston.hp.com:1181/bugzilla/show_bug.cgi?id=",INDIRECT(C70&amp;ROW())),INDIRECT(C70&amp;ROW()))</f>
        <v>63097</v>
      </c>
      <c r="N609">
        <v>63097</v>
      </c>
      <c r="O609" t="s">
        <v>21</v>
      </c>
      <c r="P609" t="s">
        <v>1127</v>
      </c>
      <c r="Q609" t="s">
        <v>25</v>
      </c>
      <c r="R609" t="s">
        <v>783</v>
      </c>
      <c r="S609" t="s">
        <v>552</v>
      </c>
      <c r="T609" t="s">
        <v>1158</v>
      </c>
      <c r="U609" s="6">
        <v>42167.669895833336</v>
      </c>
      <c r="V609" t="s">
        <v>18</v>
      </c>
      <c r="W609" t="s">
        <v>783</v>
      </c>
      <c r="X609" s="6">
        <v>42152.296724537038</v>
      </c>
      <c r="Y609" t="s">
        <v>119</v>
      </c>
      <c r="AB609" t="s">
        <v>200</v>
      </c>
      <c r="AC609" t="s">
        <v>247</v>
      </c>
      <c r="AD609" t="s">
        <v>222</v>
      </c>
      <c r="AE609" t="s">
        <v>225</v>
      </c>
      <c r="AG609" t="s">
        <v>121</v>
      </c>
      <c r="AH609" t="s">
        <v>327</v>
      </c>
      <c r="AI609" t="s">
        <v>121</v>
      </c>
      <c r="AJ609" t="s">
        <v>715</v>
      </c>
      <c r="AK609" t="s">
        <v>1206</v>
      </c>
    </row>
    <row r="610" spans="9:37" x14ac:dyDescent="0.3">
      <c r="I610">
        <f ca="1">IF(OR(INDIRECT(A73&amp;ROW())=B93,INDIRECT(A73&amp;ROW())=B94),1,IF(AND(INDIRECT(A73&amp;ROW())=B95,INDIRECT(A96&amp;ROW())=C93),1,IF(AND(INDIRECT(A73&amp;ROW())=B95,INDIRECT(A96&amp;ROW())=C94),1,0)))</f>
        <v>1</v>
      </c>
      <c r="J610">
        <f ca="1">IF(AND(INDIRECT(A73&amp;ROW())=B95,INDIRECT(A96&amp;ROW())=C95),1,IF(AND(INDIRECT(A73&amp;ROW())=B95,INDIRECT(A96&amp;ROW())=C96),1,0))</f>
        <v>0</v>
      </c>
      <c r="K610">
        <f ca="1">DAYS360(INDIRECT(C68&amp;ROW()),TODAY())</f>
        <v>694</v>
      </c>
      <c r="L610">
        <f ca="1">DAYS360(INDIRECT(C69&amp;ROW()),TODAY())</f>
        <v>694</v>
      </c>
      <c r="M610">
        <f ca="1">HYPERLINK(CONCATENATE("https://bugzilla.houston.hp.com:1181/bugzilla/show_bug.cgi?id=",INDIRECT(C70&amp;ROW())),INDIRECT(C70&amp;ROW()))</f>
        <v>63098</v>
      </c>
      <c r="N610">
        <v>63098</v>
      </c>
      <c r="O610" t="s">
        <v>21</v>
      </c>
      <c r="P610" t="s">
        <v>1126</v>
      </c>
      <c r="Q610" t="s">
        <v>25</v>
      </c>
      <c r="R610" t="s">
        <v>248</v>
      </c>
      <c r="S610" t="s">
        <v>552</v>
      </c>
      <c r="U610" s="6">
        <v>42152.296817129631</v>
      </c>
      <c r="V610" t="s">
        <v>18</v>
      </c>
      <c r="W610" t="s">
        <v>783</v>
      </c>
      <c r="X610" s="6">
        <v>42152.296817129631</v>
      </c>
      <c r="Y610" t="s">
        <v>119</v>
      </c>
      <c r="AB610" t="s">
        <v>200</v>
      </c>
      <c r="AC610" t="s">
        <v>247</v>
      </c>
      <c r="AD610" t="s">
        <v>222</v>
      </c>
      <c r="AE610" t="s">
        <v>225</v>
      </c>
      <c r="AG610" t="s">
        <v>121</v>
      </c>
      <c r="AH610" t="s">
        <v>327</v>
      </c>
      <c r="AI610" t="s">
        <v>121</v>
      </c>
      <c r="AJ610" t="s">
        <v>715</v>
      </c>
      <c r="AK610" t="s">
        <v>121</v>
      </c>
    </row>
    <row r="611" spans="9:37" x14ac:dyDescent="0.3">
      <c r="I611">
        <f ca="1">IF(OR(INDIRECT(A73&amp;ROW())=B93,INDIRECT(A73&amp;ROW())=B94),1,IF(AND(INDIRECT(A73&amp;ROW())=B95,INDIRECT(A96&amp;ROW())=C93),1,IF(AND(INDIRECT(A73&amp;ROW())=B95,INDIRECT(A96&amp;ROW())=C94),1,0)))</f>
        <v>1</v>
      </c>
      <c r="J611">
        <f ca="1">IF(AND(INDIRECT(A73&amp;ROW())=B95,INDIRECT(A96&amp;ROW())=C95),1,IF(AND(INDIRECT(A73&amp;ROW())=B95,INDIRECT(A96&amp;ROW())=C96),1,0))</f>
        <v>0</v>
      </c>
      <c r="K611">
        <f ca="1">DAYS360(INDIRECT(C68&amp;ROW()),TODAY())</f>
        <v>694</v>
      </c>
      <c r="L611">
        <f ca="1">DAYS360(INDIRECT(C69&amp;ROW()),TODAY())</f>
        <v>694</v>
      </c>
      <c r="M611">
        <f ca="1">HYPERLINK(CONCATENATE("https://bugzilla.houston.hp.com:1181/bugzilla/show_bug.cgi?id=",INDIRECT(C70&amp;ROW())),INDIRECT(C70&amp;ROW()))</f>
        <v>63100</v>
      </c>
      <c r="N611">
        <v>63100</v>
      </c>
      <c r="O611" t="s">
        <v>22</v>
      </c>
      <c r="P611" t="s">
        <v>1125</v>
      </c>
      <c r="Q611" t="s">
        <v>39</v>
      </c>
      <c r="R611" t="s">
        <v>248</v>
      </c>
      <c r="S611" t="s">
        <v>552</v>
      </c>
      <c r="U611" s="6">
        <v>42152.329837962963</v>
      </c>
      <c r="V611" t="s">
        <v>18</v>
      </c>
      <c r="W611" t="s">
        <v>248</v>
      </c>
      <c r="X611" s="6">
        <v>42152.329837962963</v>
      </c>
      <c r="Y611" t="s">
        <v>793</v>
      </c>
      <c r="AB611" t="s">
        <v>199</v>
      </c>
      <c r="AC611" t="s">
        <v>1124</v>
      </c>
      <c r="AD611" t="s">
        <v>222</v>
      </c>
      <c r="AE611" t="s">
        <v>221</v>
      </c>
      <c r="AG611" t="s">
        <v>121</v>
      </c>
      <c r="AH611" t="s">
        <v>327</v>
      </c>
      <c r="AI611" t="s">
        <v>121</v>
      </c>
      <c r="AJ611" t="s">
        <v>715</v>
      </c>
      <c r="AK611" t="s">
        <v>121</v>
      </c>
    </row>
    <row r="612" spans="9:37" x14ac:dyDescent="0.3">
      <c r="I612">
        <f ca="1">IF(OR(INDIRECT(A73&amp;ROW())=B93,INDIRECT(A73&amp;ROW())=B94),1,IF(AND(INDIRECT(A73&amp;ROW())=B95,INDIRECT(A96&amp;ROW())=C93),1,IF(AND(INDIRECT(A73&amp;ROW())=B95,INDIRECT(A96&amp;ROW())=C94),1,0)))</f>
        <v>0</v>
      </c>
      <c r="J612">
        <f ca="1">IF(AND(INDIRECT(A73&amp;ROW())=B95,INDIRECT(A96&amp;ROW())=C95),1,IF(AND(INDIRECT(A73&amp;ROW())=B95,INDIRECT(A96&amp;ROW())=C96),1,0))</f>
        <v>1</v>
      </c>
      <c r="K612">
        <f ca="1">DAYS360(INDIRECT(C68&amp;ROW()),TODAY())</f>
        <v>684</v>
      </c>
      <c r="L612">
        <f ca="1">DAYS360(INDIRECT(C69&amp;ROW()),TODAY())</f>
        <v>694</v>
      </c>
      <c r="M612">
        <f ca="1">HYPERLINK(CONCATENATE("https://bugzilla.houston.hp.com:1181/bugzilla/show_bug.cgi?id=",INDIRECT(C70&amp;ROW())),INDIRECT(C70&amp;ROW()))</f>
        <v>63109</v>
      </c>
      <c r="N612">
        <v>63109</v>
      </c>
      <c r="O612" t="s">
        <v>45</v>
      </c>
      <c r="P612" t="s">
        <v>1130</v>
      </c>
      <c r="Q612" t="s">
        <v>25</v>
      </c>
      <c r="R612" t="s">
        <v>579</v>
      </c>
      <c r="S612" t="s">
        <v>552</v>
      </c>
      <c r="T612" t="s">
        <v>48</v>
      </c>
      <c r="U612" s="6">
        <v>42163.400902777779</v>
      </c>
      <c r="V612" t="s">
        <v>18</v>
      </c>
      <c r="W612" t="s">
        <v>248</v>
      </c>
      <c r="X612" s="6">
        <v>42152.419120370374</v>
      </c>
      <c r="Y612" t="s">
        <v>792</v>
      </c>
      <c r="AB612" t="s">
        <v>201</v>
      </c>
      <c r="AC612" t="s">
        <v>247</v>
      </c>
      <c r="AD612" t="s">
        <v>220</v>
      </c>
      <c r="AE612" t="s">
        <v>219</v>
      </c>
      <c r="AG612" t="s">
        <v>121</v>
      </c>
      <c r="AH612" t="s">
        <v>327</v>
      </c>
      <c r="AI612" t="s">
        <v>121</v>
      </c>
      <c r="AJ612" t="s">
        <v>716</v>
      </c>
      <c r="AK612" t="s">
        <v>121</v>
      </c>
    </row>
    <row r="613" spans="9:37" x14ac:dyDescent="0.3">
      <c r="I613">
        <f ca="1">IF(OR(INDIRECT(A73&amp;ROW())=B93,INDIRECT(A73&amp;ROW())=B94),1,IF(AND(INDIRECT(A73&amp;ROW())=B95,INDIRECT(A96&amp;ROW())=C93),1,IF(AND(INDIRECT(A73&amp;ROW())=B95,INDIRECT(A96&amp;ROW())=C94),1,0)))</f>
        <v>1</v>
      </c>
      <c r="J613">
        <f ca="1">IF(AND(INDIRECT(A73&amp;ROW())=B95,INDIRECT(A96&amp;ROW())=C95),1,IF(AND(INDIRECT(A73&amp;ROW())=B95,INDIRECT(A96&amp;ROW())=C96),1,0))</f>
        <v>0</v>
      </c>
      <c r="K613">
        <f ca="1">DAYS360(INDIRECT(C68&amp;ROW()),TODAY())</f>
        <v>677</v>
      </c>
      <c r="L613">
        <f ca="1">DAYS360(INDIRECT(C69&amp;ROW()),TODAY())</f>
        <v>693</v>
      </c>
      <c r="M613">
        <f ca="1">HYPERLINK(CONCATENATE("https://bugzilla.houston.hp.com:1181/bugzilla/show_bug.cgi?id=",INDIRECT(C70&amp;ROW())),INDIRECT(C70&amp;ROW()))</f>
        <v>63161</v>
      </c>
      <c r="N613">
        <v>63161</v>
      </c>
      <c r="O613" t="s">
        <v>22</v>
      </c>
      <c r="P613" t="s">
        <v>1148</v>
      </c>
      <c r="Q613" t="s">
        <v>39</v>
      </c>
      <c r="R613" t="s">
        <v>251</v>
      </c>
      <c r="S613" t="s">
        <v>24</v>
      </c>
      <c r="U613" s="6">
        <v>42170.644791666666</v>
      </c>
      <c r="V613" t="s">
        <v>18</v>
      </c>
      <c r="W613" t="s">
        <v>783</v>
      </c>
      <c r="X613" s="6">
        <v>42153.347361111111</v>
      </c>
      <c r="Y613" t="s">
        <v>119</v>
      </c>
      <c r="AB613" t="s">
        <v>201</v>
      </c>
      <c r="AC613" t="s">
        <v>247</v>
      </c>
      <c r="AD613" t="s">
        <v>220</v>
      </c>
      <c r="AE613" t="s">
        <v>224</v>
      </c>
      <c r="AG613" t="s">
        <v>121</v>
      </c>
      <c r="AH613" t="s">
        <v>327</v>
      </c>
      <c r="AI613" t="s">
        <v>121</v>
      </c>
      <c r="AJ613" t="s">
        <v>715</v>
      </c>
      <c r="AK613" t="s">
        <v>1104</v>
      </c>
    </row>
    <row r="614" spans="9:37" x14ac:dyDescent="0.3">
      <c r="I614">
        <f ca="1">IF(OR(INDIRECT(A73&amp;ROW())=B93,INDIRECT(A73&amp;ROW())=B94),1,IF(AND(INDIRECT(A73&amp;ROW())=B95,INDIRECT(A96&amp;ROW())=C93),1,IF(AND(INDIRECT(A73&amp;ROW())=B95,INDIRECT(A96&amp;ROW())=C94),1,0)))</f>
        <v>0</v>
      </c>
      <c r="J614">
        <f ca="1">IF(AND(INDIRECT(A73&amp;ROW())=B95,INDIRECT(A96&amp;ROW())=C95),1,IF(AND(INDIRECT(A73&amp;ROW())=B95,INDIRECT(A96&amp;ROW())=C96),1,0))</f>
        <v>1</v>
      </c>
      <c r="K614">
        <f ca="1">DAYS360(INDIRECT(C68&amp;ROW()),TODAY())</f>
        <v>691</v>
      </c>
      <c r="L614">
        <f ca="1">DAYS360(INDIRECT(C69&amp;ROW()),TODAY())</f>
        <v>693</v>
      </c>
      <c r="M614">
        <f ca="1">HYPERLINK(CONCATENATE("https://bugzilla.houston.hp.com:1181/bugzilla/show_bug.cgi?id=",INDIRECT(C70&amp;ROW())),INDIRECT(C70&amp;ROW()))</f>
        <v>63164</v>
      </c>
      <c r="N614">
        <v>63164</v>
      </c>
      <c r="O614" t="s">
        <v>36</v>
      </c>
      <c r="P614" t="s">
        <v>1147</v>
      </c>
      <c r="Q614" t="s">
        <v>25</v>
      </c>
      <c r="R614" t="s">
        <v>251</v>
      </c>
      <c r="S614" t="s">
        <v>24</v>
      </c>
      <c r="U614" s="6">
        <v>42156.589259259257</v>
      </c>
      <c r="V614" t="s">
        <v>18</v>
      </c>
      <c r="W614" t="s">
        <v>783</v>
      </c>
      <c r="X614" s="6">
        <v>42153.384872685187</v>
      </c>
      <c r="Y614" t="s">
        <v>119</v>
      </c>
      <c r="AB614" t="s">
        <v>201</v>
      </c>
      <c r="AC614" t="s">
        <v>247</v>
      </c>
      <c r="AD614" t="s">
        <v>222</v>
      </c>
      <c r="AE614" t="s">
        <v>225</v>
      </c>
      <c r="AG614" t="s">
        <v>121</v>
      </c>
      <c r="AH614" t="s">
        <v>327</v>
      </c>
      <c r="AI614" t="s">
        <v>121</v>
      </c>
      <c r="AJ614" t="s">
        <v>716</v>
      </c>
      <c r="AK614" t="s">
        <v>121</v>
      </c>
    </row>
    <row r="615" spans="9:37" x14ac:dyDescent="0.3">
      <c r="I615">
        <f ca="1">IF(OR(INDIRECT(A73&amp;ROW())=B93,INDIRECT(A73&amp;ROW())=B94),1,IF(AND(INDIRECT(A73&amp;ROW())=B95,INDIRECT(A96&amp;ROW())=C93),1,IF(AND(INDIRECT(A73&amp;ROW())=B95,INDIRECT(A96&amp;ROW())=C94),1,0)))</f>
        <v>0</v>
      </c>
      <c r="J615">
        <f ca="1">IF(AND(INDIRECT(A73&amp;ROW())=B95,INDIRECT(A96&amp;ROW())=C95),1,IF(AND(INDIRECT(A73&amp;ROW())=B95,INDIRECT(A96&amp;ROW())=C96),1,0))</f>
        <v>0</v>
      </c>
      <c r="K615">
        <f ca="1">DAYS360(INDIRECT(C68&amp;ROW()),TODAY())</f>
        <v>693</v>
      </c>
      <c r="L615">
        <f ca="1">DAYS360(INDIRECT(C69&amp;ROW()),TODAY())</f>
        <v>693</v>
      </c>
      <c r="M615">
        <f ca="1">HYPERLINK(CONCATENATE("https://bugzilla.houston.hp.com:1181/bugzilla/show_bug.cgi?id=",INDIRECT(C70&amp;ROW())),INDIRECT(C70&amp;ROW()))</f>
        <v>63165</v>
      </c>
      <c r="N615">
        <v>63165</v>
      </c>
      <c r="O615" t="s">
        <v>56</v>
      </c>
      <c r="P615" t="s">
        <v>1146</v>
      </c>
      <c r="Q615" t="s">
        <v>16</v>
      </c>
      <c r="R615" t="s">
        <v>248</v>
      </c>
      <c r="S615" t="s">
        <v>204</v>
      </c>
      <c r="U615" s="6">
        <v>42153.414699074077</v>
      </c>
      <c r="V615" t="s">
        <v>18</v>
      </c>
      <c r="W615" t="s">
        <v>248</v>
      </c>
      <c r="X615" s="6">
        <v>42153.396770833337</v>
      </c>
      <c r="Y615" t="s">
        <v>788</v>
      </c>
      <c r="AB615" t="s">
        <v>201</v>
      </c>
      <c r="AC615" t="s">
        <v>247</v>
      </c>
      <c r="AD615" t="s">
        <v>220</v>
      </c>
      <c r="AE615" t="s">
        <v>219</v>
      </c>
      <c r="AG615" t="s">
        <v>121</v>
      </c>
      <c r="AH615" t="s">
        <v>327</v>
      </c>
      <c r="AI615" t="s">
        <v>121</v>
      </c>
      <c r="AJ615" t="s">
        <v>717</v>
      </c>
      <c r="AK615" t="s">
        <v>121</v>
      </c>
    </row>
    <row r="616" spans="9:37" x14ac:dyDescent="0.3">
      <c r="I616">
        <f ca="1">IF(OR(INDIRECT(A73&amp;ROW())=B93,INDIRECT(A73&amp;ROW())=B94),1,IF(AND(INDIRECT(A73&amp;ROW())=B95,INDIRECT(A96&amp;ROW())=C93),1,IF(AND(INDIRECT(A73&amp;ROW())=B95,INDIRECT(A96&amp;ROW())=C94),1,0)))</f>
        <v>1</v>
      </c>
      <c r="J616">
        <f ca="1">IF(AND(INDIRECT(A73&amp;ROW())=B95,INDIRECT(A96&amp;ROW())=C95),1,IF(AND(INDIRECT(A73&amp;ROW())=B95,INDIRECT(A96&amp;ROW())=C96),1,0))</f>
        <v>0</v>
      </c>
      <c r="K616">
        <f ca="1">DAYS360(INDIRECT(C68&amp;ROW()),TODAY())</f>
        <v>693</v>
      </c>
      <c r="L616">
        <f ca="1">DAYS360(INDIRECT(C69&amp;ROW()),TODAY())</f>
        <v>693</v>
      </c>
      <c r="M616">
        <f ca="1">HYPERLINK(CONCATENATE("https://bugzilla.houston.hp.com:1181/bugzilla/show_bug.cgi?id=",INDIRECT(C70&amp;ROW())),INDIRECT(C70&amp;ROW()))</f>
        <v>63170</v>
      </c>
      <c r="N616">
        <v>63170</v>
      </c>
      <c r="O616" t="s">
        <v>66</v>
      </c>
      <c r="P616" t="s">
        <v>1145</v>
      </c>
      <c r="Q616" t="s">
        <v>39</v>
      </c>
      <c r="R616" t="s">
        <v>579</v>
      </c>
      <c r="S616" t="s">
        <v>552</v>
      </c>
      <c r="U616" s="6">
        <v>42153.420277777775</v>
      </c>
      <c r="V616" t="s">
        <v>18</v>
      </c>
      <c r="W616" t="s">
        <v>783</v>
      </c>
      <c r="X616" s="6">
        <v>42153.40253472222</v>
      </c>
      <c r="Y616" t="s">
        <v>119</v>
      </c>
      <c r="AB616" t="s">
        <v>201</v>
      </c>
      <c r="AC616" t="s">
        <v>247</v>
      </c>
      <c r="AD616" t="s">
        <v>220</v>
      </c>
      <c r="AE616" t="s">
        <v>224</v>
      </c>
      <c r="AG616" t="s">
        <v>121</v>
      </c>
      <c r="AH616" t="s">
        <v>327</v>
      </c>
      <c r="AI616" t="s">
        <v>121</v>
      </c>
      <c r="AJ616" t="s">
        <v>715</v>
      </c>
      <c r="AK616" t="s">
        <v>121</v>
      </c>
    </row>
    <row r="617" spans="9:37" x14ac:dyDescent="0.3">
      <c r="I617">
        <f ca="1">IF(OR(INDIRECT(A73&amp;ROW())=B93,INDIRECT(A73&amp;ROW())=B94),1,IF(AND(INDIRECT(A73&amp;ROW())=B95,INDIRECT(A96&amp;ROW())=C93),1,IF(AND(INDIRECT(A73&amp;ROW())=B95,INDIRECT(A96&amp;ROW())=C94),1,0)))</f>
        <v>1</v>
      </c>
      <c r="J617">
        <f ca="1">IF(AND(INDIRECT(A73&amp;ROW())=B95,INDIRECT(A96&amp;ROW())=C95),1,IF(AND(INDIRECT(A73&amp;ROW())=B95,INDIRECT(A96&amp;ROW())=C96),1,0))</f>
        <v>0</v>
      </c>
      <c r="K617">
        <f ca="1">DAYS360(INDIRECT(C68&amp;ROW()),TODAY())</f>
        <v>677</v>
      </c>
      <c r="L617">
        <f ca="1">DAYS360(INDIRECT(C69&amp;ROW()),TODAY())</f>
        <v>693</v>
      </c>
      <c r="M617">
        <f ca="1">HYPERLINK(CONCATENATE("https://bugzilla.houston.hp.com:1181/bugzilla/show_bug.cgi?id=",INDIRECT(C70&amp;ROW())),INDIRECT(C70&amp;ROW()))</f>
        <v>63171</v>
      </c>
      <c r="N617">
        <v>63171</v>
      </c>
      <c r="O617" t="s">
        <v>66</v>
      </c>
      <c r="P617" t="s">
        <v>1144</v>
      </c>
      <c r="Q617" t="s">
        <v>39</v>
      </c>
      <c r="R617" t="s">
        <v>783</v>
      </c>
      <c r="S617" t="s">
        <v>552</v>
      </c>
      <c r="U617" s="6">
        <v>42170.642905092594</v>
      </c>
      <c r="V617" t="s">
        <v>18</v>
      </c>
      <c r="W617" t="s">
        <v>783</v>
      </c>
      <c r="X617" s="6">
        <v>42153.402592592596</v>
      </c>
      <c r="Y617" t="s">
        <v>119</v>
      </c>
      <c r="AB617" t="s">
        <v>201</v>
      </c>
      <c r="AC617" t="s">
        <v>247</v>
      </c>
      <c r="AD617" t="s">
        <v>220</v>
      </c>
      <c r="AE617" t="s">
        <v>224</v>
      </c>
      <c r="AG617" t="s">
        <v>337</v>
      </c>
      <c r="AH617" t="s">
        <v>327</v>
      </c>
      <c r="AI617" t="s">
        <v>121</v>
      </c>
      <c r="AJ617" t="s">
        <v>715</v>
      </c>
      <c r="AK617" t="s">
        <v>1104</v>
      </c>
    </row>
    <row r="618" spans="9:37" x14ac:dyDescent="0.3">
      <c r="I618">
        <f ca="1">IF(OR(INDIRECT(A73&amp;ROW())=B93,INDIRECT(A73&amp;ROW())=B94),1,IF(AND(INDIRECT(A73&amp;ROW())=B95,INDIRECT(A96&amp;ROW())=C93),1,IF(AND(INDIRECT(A73&amp;ROW())=B95,INDIRECT(A96&amp;ROW())=C94),1,0)))</f>
        <v>1</v>
      </c>
      <c r="J618">
        <f ca="1">IF(AND(INDIRECT(A73&amp;ROW())=B95,INDIRECT(A96&amp;ROW())=C95),1,IF(AND(INDIRECT(A73&amp;ROW())=B95,INDIRECT(A96&amp;ROW())=C96),1,0))</f>
        <v>0</v>
      </c>
      <c r="K618">
        <f ca="1">DAYS360(INDIRECT(C68&amp;ROW()),TODAY())</f>
        <v>693</v>
      </c>
      <c r="L618">
        <f ca="1">DAYS360(INDIRECT(C69&amp;ROW()),TODAY())</f>
        <v>693</v>
      </c>
      <c r="M618">
        <f ca="1">HYPERLINK(CONCATENATE("https://bugzilla.houston.hp.com:1181/bugzilla/show_bug.cgi?id=",INDIRECT(C70&amp;ROW())),INDIRECT(C70&amp;ROW()))</f>
        <v>63172</v>
      </c>
      <c r="N618">
        <v>63172</v>
      </c>
      <c r="O618" t="s">
        <v>66</v>
      </c>
      <c r="P618" t="s">
        <v>1143</v>
      </c>
      <c r="Q618" t="s">
        <v>39</v>
      </c>
      <c r="R618" t="s">
        <v>248</v>
      </c>
      <c r="S618" t="s">
        <v>552</v>
      </c>
      <c r="U618" s="6">
        <v>42153.420254629629</v>
      </c>
      <c r="V618" t="s">
        <v>18</v>
      </c>
      <c r="W618" t="s">
        <v>783</v>
      </c>
      <c r="X618" s="6">
        <v>42153.402638888889</v>
      </c>
      <c r="Y618" t="s">
        <v>119</v>
      </c>
      <c r="AB618" t="s">
        <v>201</v>
      </c>
      <c r="AC618" t="s">
        <v>247</v>
      </c>
      <c r="AD618" t="s">
        <v>220</v>
      </c>
      <c r="AE618" t="s">
        <v>224</v>
      </c>
      <c r="AG618" t="s">
        <v>121</v>
      </c>
      <c r="AH618" t="s">
        <v>327</v>
      </c>
      <c r="AI618" t="s">
        <v>121</v>
      </c>
      <c r="AJ618" t="s">
        <v>715</v>
      </c>
      <c r="AK618" t="s">
        <v>121</v>
      </c>
    </row>
    <row r="619" spans="9:37" x14ac:dyDescent="0.3">
      <c r="I619">
        <f ca="1">IF(OR(INDIRECT(A73&amp;ROW())=B93,INDIRECT(A73&amp;ROW())=B94),1,IF(AND(INDIRECT(A73&amp;ROW())=B95,INDIRECT(A96&amp;ROW())=C93),1,IF(AND(INDIRECT(A73&amp;ROW())=B95,INDIRECT(A96&amp;ROW())=C94),1,0)))</f>
        <v>0</v>
      </c>
      <c r="J619">
        <f ca="1">IF(AND(INDIRECT(A73&amp;ROW())=B95,INDIRECT(A96&amp;ROW())=C95),1,IF(AND(INDIRECT(A73&amp;ROW())=B95,INDIRECT(A96&amp;ROW())=C96),1,0))</f>
        <v>1</v>
      </c>
      <c r="K619">
        <f ca="1">DAYS360(INDIRECT(C68&amp;ROW()),TODAY())</f>
        <v>693</v>
      </c>
      <c r="L619">
        <f ca="1">DAYS360(INDIRECT(C69&amp;ROW()),TODAY())</f>
        <v>693</v>
      </c>
      <c r="M619">
        <f ca="1">HYPERLINK(CONCATENATE("https://bugzilla.houston.hp.com:1181/bugzilla/show_bug.cgi?id=",INDIRECT(C70&amp;ROW())),INDIRECT(C70&amp;ROW()))</f>
        <v>63173</v>
      </c>
      <c r="N619">
        <v>63173</v>
      </c>
      <c r="O619" t="s">
        <v>66</v>
      </c>
      <c r="P619" t="s">
        <v>1142</v>
      </c>
      <c r="Q619" t="s">
        <v>25</v>
      </c>
      <c r="R619" t="s">
        <v>579</v>
      </c>
      <c r="S619" t="s">
        <v>552</v>
      </c>
      <c r="U619" s="6">
        <v>42153.420266203706</v>
      </c>
      <c r="V619" t="s">
        <v>18</v>
      </c>
      <c r="W619" t="s">
        <v>783</v>
      </c>
      <c r="X619" s="6">
        <v>42153.402858796297</v>
      </c>
      <c r="Y619" t="s">
        <v>119</v>
      </c>
      <c r="AB619" t="s">
        <v>201</v>
      </c>
      <c r="AC619" t="s">
        <v>247</v>
      </c>
      <c r="AD619" t="s">
        <v>222</v>
      </c>
      <c r="AE619" t="s">
        <v>225</v>
      </c>
      <c r="AG619" t="s">
        <v>121</v>
      </c>
      <c r="AH619" t="s">
        <v>327</v>
      </c>
      <c r="AI619" t="s">
        <v>121</v>
      </c>
      <c r="AJ619" t="s">
        <v>716</v>
      </c>
      <c r="AK619" t="s">
        <v>121</v>
      </c>
    </row>
    <row r="620" spans="9:37" x14ac:dyDescent="0.3">
      <c r="I620">
        <f ca="1">IF(OR(INDIRECT(A73&amp;ROW())=B93,INDIRECT(A73&amp;ROW())=B94),1,IF(AND(INDIRECT(A73&amp;ROW())=B95,INDIRECT(A96&amp;ROW())=C93),1,IF(AND(INDIRECT(A73&amp;ROW())=B95,INDIRECT(A96&amp;ROW())=C94),1,0)))</f>
        <v>0</v>
      </c>
      <c r="J620">
        <f ca="1">IF(AND(INDIRECT(A73&amp;ROW())=B95,INDIRECT(A96&amp;ROW())=C95),1,IF(AND(INDIRECT(A73&amp;ROW())=B95,INDIRECT(A96&amp;ROW())=C96),1,0))</f>
        <v>1</v>
      </c>
      <c r="K620">
        <f ca="1">DAYS360(INDIRECT(C68&amp;ROW()),TODAY())</f>
        <v>693</v>
      </c>
      <c r="L620">
        <f ca="1">DAYS360(INDIRECT(C69&amp;ROW()),TODAY())</f>
        <v>693</v>
      </c>
      <c r="M620">
        <f ca="1">HYPERLINK(CONCATENATE("https://bugzilla.houston.hp.com:1181/bugzilla/show_bug.cgi?id=",INDIRECT(C70&amp;ROW())),INDIRECT(C70&amp;ROW()))</f>
        <v>63174</v>
      </c>
      <c r="N620">
        <v>63174</v>
      </c>
      <c r="O620" t="s">
        <v>66</v>
      </c>
      <c r="P620" t="s">
        <v>1141</v>
      </c>
      <c r="Q620" t="s">
        <v>25</v>
      </c>
      <c r="R620" t="s">
        <v>783</v>
      </c>
      <c r="S620" t="s">
        <v>552</v>
      </c>
      <c r="U620" s="6">
        <v>42153.420266203706</v>
      </c>
      <c r="V620" t="s">
        <v>18</v>
      </c>
      <c r="W620" t="s">
        <v>783</v>
      </c>
      <c r="X620" s="6">
        <v>42153.402905092589</v>
      </c>
      <c r="Y620" t="s">
        <v>119</v>
      </c>
      <c r="AB620" t="s">
        <v>201</v>
      </c>
      <c r="AC620" t="s">
        <v>247</v>
      </c>
      <c r="AD620" t="s">
        <v>222</v>
      </c>
      <c r="AE620" t="s">
        <v>225</v>
      </c>
      <c r="AG620" t="s">
        <v>121</v>
      </c>
      <c r="AH620" t="s">
        <v>327</v>
      </c>
      <c r="AI620" t="s">
        <v>121</v>
      </c>
      <c r="AJ620" t="s">
        <v>716</v>
      </c>
      <c r="AK620" t="s">
        <v>121</v>
      </c>
    </row>
    <row r="621" spans="9:37" x14ac:dyDescent="0.3">
      <c r="I621">
        <f ca="1">IF(OR(INDIRECT(A73&amp;ROW())=B93,INDIRECT(A73&amp;ROW())=B94),1,IF(AND(INDIRECT(A73&amp;ROW())=B95,INDIRECT(A96&amp;ROW())=C93),1,IF(AND(INDIRECT(A73&amp;ROW())=B95,INDIRECT(A96&amp;ROW())=C94),1,0)))</f>
        <v>0</v>
      </c>
      <c r="J621">
        <f ca="1">IF(AND(INDIRECT(A73&amp;ROW())=B95,INDIRECT(A96&amp;ROW())=C95),1,IF(AND(INDIRECT(A73&amp;ROW())=B95,INDIRECT(A96&amp;ROW())=C96),1,0))</f>
        <v>1</v>
      </c>
      <c r="K621">
        <f ca="1">DAYS360(INDIRECT(C68&amp;ROW()),TODAY())</f>
        <v>693</v>
      </c>
      <c r="L621">
        <f ca="1">DAYS360(INDIRECT(C69&amp;ROW()),TODAY())</f>
        <v>693</v>
      </c>
      <c r="M621">
        <f ca="1">HYPERLINK(CONCATENATE("https://bugzilla.houston.hp.com:1181/bugzilla/show_bug.cgi?id=",INDIRECT(C70&amp;ROW())),INDIRECT(C70&amp;ROW()))</f>
        <v>63175</v>
      </c>
      <c r="N621">
        <v>63175</v>
      </c>
      <c r="O621" t="s">
        <v>66</v>
      </c>
      <c r="P621" t="s">
        <v>1140</v>
      </c>
      <c r="Q621" t="s">
        <v>25</v>
      </c>
      <c r="R621" t="s">
        <v>248</v>
      </c>
      <c r="S621" t="s">
        <v>552</v>
      </c>
      <c r="U621" s="6">
        <v>42153.420266203706</v>
      </c>
      <c r="V621" t="s">
        <v>18</v>
      </c>
      <c r="W621" t="s">
        <v>783</v>
      </c>
      <c r="X621" s="6">
        <v>42153.402962962966</v>
      </c>
      <c r="Y621" t="s">
        <v>119</v>
      </c>
      <c r="AB621" t="s">
        <v>201</v>
      </c>
      <c r="AC621" t="s">
        <v>247</v>
      </c>
      <c r="AD621" t="s">
        <v>222</v>
      </c>
      <c r="AE621" t="s">
        <v>225</v>
      </c>
      <c r="AG621" t="s">
        <v>121</v>
      </c>
      <c r="AH621" t="s">
        <v>327</v>
      </c>
      <c r="AI621" t="s">
        <v>121</v>
      </c>
      <c r="AJ621" t="s">
        <v>716</v>
      </c>
      <c r="AK621" t="s">
        <v>121</v>
      </c>
    </row>
    <row r="622" spans="9:37" x14ac:dyDescent="0.3">
      <c r="I622">
        <f ca="1">IF(OR(INDIRECT(A73&amp;ROW())=B93,INDIRECT(A73&amp;ROW())=B94),1,IF(AND(INDIRECT(A73&amp;ROW())=B95,INDIRECT(A96&amp;ROW())=C93),1,IF(AND(INDIRECT(A73&amp;ROW())=B95,INDIRECT(A96&amp;ROW())=C94),1,0)))</f>
        <v>1</v>
      </c>
      <c r="J622">
        <f ca="1">IF(AND(INDIRECT(A73&amp;ROW())=B95,INDIRECT(A96&amp;ROW())=C95),1,IF(AND(INDIRECT(A73&amp;ROW())=B95,INDIRECT(A96&amp;ROW())=C96),1,0))</f>
        <v>0</v>
      </c>
      <c r="K622">
        <f ca="1">DAYS360(INDIRECT(C68&amp;ROW()),TODAY())</f>
        <v>687</v>
      </c>
      <c r="L622">
        <f ca="1">DAYS360(INDIRECT(C69&amp;ROW()),TODAY())</f>
        <v>693</v>
      </c>
      <c r="M622">
        <f ca="1">HYPERLINK(CONCATENATE("https://bugzilla.houston.hp.com:1181/bugzilla/show_bug.cgi?id=",INDIRECT(C70&amp;ROW())),INDIRECT(C70&amp;ROW()))</f>
        <v>63176</v>
      </c>
      <c r="N622">
        <v>63176</v>
      </c>
      <c r="O622" t="s">
        <v>523</v>
      </c>
      <c r="P622" t="s">
        <v>1139</v>
      </c>
      <c r="Q622" t="s">
        <v>39</v>
      </c>
      <c r="R622" t="s">
        <v>248</v>
      </c>
      <c r="S622" t="s">
        <v>552</v>
      </c>
      <c r="U622" s="6">
        <v>42160.408321759256</v>
      </c>
      <c r="V622" t="s">
        <v>18</v>
      </c>
      <c r="W622" t="s">
        <v>248</v>
      </c>
      <c r="X622" s="6">
        <v>42153.413738425923</v>
      </c>
      <c r="Y622" t="s">
        <v>793</v>
      </c>
      <c r="AB622" t="s">
        <v>199</v>
      </c>
      <c r="AC622" t="s">
        <v>1124</v>
      </c>
      <c r="AD622" t="s">
        <v>222</v>
      </c>
      <c r="AE622" t="s">
        <v>221</v>
      </c>
      <c r="AG622" t="s">
        <v>121</v>
      </c>
      <c r="AH622" t="s">
        <v>327</v>
      </c>
      <c r="AI622" t="s">
        <v>121</v>
      </c>
      <c r="AJ622" t="s">
        <v>715</v>
      </c>
      <c r="AK622" t="s">
        <v>121</v>
      </c>
    </row>
    <row r="623" spans="9:37" x14ac:dyDescent="0.3">
      <c r="I623">
        <f ca="1">IF(OR(INDIRECT(A73&amp;ROW())=B93,INDIRECT(A73&amp;ROW())=B94),1,IF(AND(INDIRECT(A73&amp;ROW())=B95,INDIRECT(A96&amp;ROW())=C93),1,IF(AND(INDIRECT(A73&amp;ROW())=B95,INDIRECT(A96&amp;ROW())=C94),1,0)))</f>
        <v>1</v>
      </c>
      <c r="J623">
        <f ca="1">IF(AND(INDIRECT(A73&amp;ROW())=B95,INDIRECT(A96&amp;ROW())=C95),1,IF(AND(INDIRECT(A73&amp;ROW())=B95,INDIRECT(A96&amp;ROW())=C96),1,0))</f>
        <v>0</v>
      </c>
      <c r="K623">
        <f ca="1">DAYS360(INDIRECT(C68&amp;ROW()),TODAY())</f>
        <v>682</v>
      </c>
      <c r="L623">
        <f ca="1">DAYS360(INDIRECT(C69&amp;ROW()),TODAY())</f>
        <v>693</v>
      </c>
      <c r="M623">
        <f ca="1">HYPERLINK(CONCATENATE("https://bugzilla.houston.hp.com:1181/bugzilla/show_bug.cgi?id=",INDIRECT(C70&amp;ROW())),INDIRECT(C70&amp;ROW()))</f>
        <v>63194</v>
      </c>
      <c r="N623">
        <v>63194</v>
      </c>
      <c r="O623" t="s">
        <v>59</v>
      </c>
      <c r="P623" t="s">
        <v>1197</v>
      </c>
      <c r="Q623" t="s">
        <v>39</v>
      </c>
      <c r="R623" t="s">
        <v>251</v>
      </c>
      <c r="S623" t="s">
        <v>177</v>
      </c>
      <c r="U623" s="6">
        <v>42165.488530092596</v>
      </c>
      <c r="V623" t="s">
        <v>18</v>
      </c>
      <c r="W623" t="s">
        <v>783</v>
      </c>
      <c r="X623" s="6">
        <v>42153.744305555556</v>
      </c>
      <c r="Y623" t="s">
        <v>245</v>
      </c>
      <c r="AB623" t="s">
        <v>201</v>
      </c>
      <c r="AC623" t="s">
        <v>247</v>
      </c>
      <c r="AD623" t="s">
        <v>220</v>
      </c>
      <c r="AE623" t="s">
        <v>219</v>
      </c>
      <c r="AG623" t="s">
        <v>121</v>
      </c>
      <c r="AH623" t="s">
        <v>327</v>
      </c>
      <c r="AI623" t="s">
        <v>121</v>
      </c>
      <c r="AJ623" t="s">
        <v>715</v>
      </c>
      <c r="AK623" t="s">
        <v>121</v>
      </c>
    </row>
    <row r="624" spans="9:37" x14ac:dyDescent="0.3">
      <c r="I624">
        <f ca="1">IF(OR(INDIRECT(A73&amp;ROW())=B93,INDIRECT(A73&amp;ROW())=B94),1,IF(AND(INDIRECT(A73&amp;ROW())=B95,INDIRECT(A96&amp;ROW())=C93),1,IF(AND(INDIRECT(A73&amp;ROW())=B95,INDIRECT(A96&amp;ROW())=C94),1,0)))</f>
        <v>1</v>
      </c>
      <c r="J624">
        <f ca="1">IF(AND(INDIRECT(A73&amp;ROW())=B95,INDIRECT(A96&amp;ROW())=C95),1,IF(AND(INDIRECT(A73&amp;ROW())=B95,INDIRECT(A96&amp;ROW())=C96),1,0))</f>
        <v>0</v>
      </c>
      <c r="K624">
        <f ca="1">DAYS360(INDIRECT(C68&amp;ROW()),TODAY())</f>
        <v>682</v>
      </c>
      <c r="L624">
        <f ca="1">DAYS360(INDIRECT(C69&amp;ROW()),TODAY())</f>
        <v>693</v>
      </c>
      <c r="M624">
        <f ca="1">HYPERLINK(CONCATENATE("https://bugzilla.houston.hp.com:1181/bugzilla/show_bug.cgi?id=",INDIRECT(C70&amp;ROW())),INDIRECT(C70&amp;ROW()))</f>
        <v>63195</v>
      </c>
      <c r="N624">
        <v>63195</v>
      </c>
      <c r="O624" t="s">
        <v>53</v>
      </c>
      <c r="P624" t="s">
        <v>1136</v>
      </c>
      <c r="Q624" t="s">
        <v>39</v>
      </c>
      <c r="R624" t="s">
        <v>783</v>
      </c>
      <c r="S624" t="s">
        <v>552</v>
      </c>
      <c r="T624" t="s">
        <v>1159</v>
      </c>
      <c r="U624" s="6">
        <v>42165.041412037041</v>
      </c>
      <c r="V624" t="s">
        <v>18</v>
      </c>
      <c r="W624" t="s">
        <v>783</v>
      </c>
      <c r="X624" s="6">
        <v>42153.756840277776</v>
      </c>
      <c r="Y624" t="s">
        <v>245</v>
      </c>
      <c r="AB624" t="s">
        <v>201</v>
      </c>
      <c r="AC624" t="s">
        <v>247</v>
      </c>
      <c r="AD624" t="s">
        <v>220</v>
      </c>
      <c r="AE624" t="s">
        <v>219</v>
      </c>
      <c r="AG624" t="s">
        <v>588</v>
      </c>
      <c r="AH624" t="s">
        <v>327</v>
      </c>
      <c r="AI624" t="s">
        <v>121</v>
      </c>
      <c r="AJ624" t="s">
        <v>715</v>
      </c>
      <c r="AK624" t="s">
        <v>121</v>
      </c>
    </row>
    <row r="625" spans="9:37" x14ac:dyDescent="0.3">
      <c r="I625">
        <f ca="1">IF(OR(INDIRECT(A73&amp;ROW())=B93,INDIRECT(A73&amp;ROW())=B94),1,IF(AND(INDIRECT(A73&amp;ROW())=B95,INDIRECT(A96&amp;ROW())=C93),1,IF(AND(INDIRECT(A73&amp;ROW())=B95,INDIRECT(A96&amp;ROW())=C94),1,0)))</f>
        <v>1</v>
      </c>
      <c r="J625">
        <f ca="1">IF(AND(INDIRECT(A73&amp;ROW())=B95,INDIRECT(A96&amp;ROW())=C95),1,IF(AND(INDIRECT(A73&amp;ROW())=B95,INDIRECT(A96&amp;ROW())=C96),1,0))</f>
        <v>0</v>
      </c>
      <c r="K625">
        <f ca="1">DAYS360(INDIRECT(C68&amp;ROW()),TODAY())</f>
        <v>693</v>
      </c>
      <c r="L625">
        <f ca="1">DAYS360(INDIRECT(C69&amp;ROW()),TODAY())</f>
        <v>693</v>
      </c>
      <c r="M625">
        <f ca="1">HYPERLINK(CONCATENATE("https://bugzilla.houston.hp.com:1181/bugzilla/show_bug.cgi?id=",INDIRECT(C70&amp;ROW())),INDIRECT(C70&amp;ROW()))</f>
        <v>63196</v>
      </c>
      <c r="N625">
        <v>63196</v>
      </c>
      <c r="O625" t="s">
        <v>53</v>
      </c>
      <c r="P625" t="s">
        <v>1135</v>
      </c>
      <c r="Q625" t="s">
        <v>39</v>
      </c>
      <c r="R625" t="s">
        <v>248</v>
      </c>
      <c r="S625" t="s">
        <v>552</v>
      </c>
      <c r="U625" s="6">
        <v>42153.776805555557</v>
      </c>
      <c r="V625" t="s">
        <v>18</v>
      </c>
      <c r="W625" t="s">
        <v>783</v>
      </c>
      <c r="X625" s="6">
        <v>42153.756909722222</v>
      </c>
      <c r="Y625" t="s">
        <v>245</v>
      </c>
      <c r="AB625" t="s">
        <v>201</v>
      </c>
      <c r="AC625" t="s">
        <v>247</v>
      </c>
      <c r="AD625" t="s">
        <v>220</v>
      </c>
      <c r="AE625" t="s">
        <v>219</v>
      </c>
      <c r="AG625" t="s">
        <v>121</v>
      </c>
      <c r="AH625" t="s">
        <v>327</v>
      </c>
      <c r="AI625" t="s">
        <v>121</v>
      </c>
      <c r="AJ625" t="s">
        <v>715</v>
      </c>
      <c r="AK625" t="s">
        <v>121</v>
      </c>
    </row>
    <row r="626" spans="9:37" x14ac:dyDescent="0.3">
      <c r="I626">
        <f ca="1">IF(OR(INDIRECT(A73&amp;ROW())=B93,INDIRECT(A73&amp;ROW())=B94),1,IF(AND(INDIRECT(A73&amp;ROW())=B95,INDIRECT(A96&amp;ROW())=C93),1,IF(AND(INDIRECT(A73&amp;ROW())=B95,INDIRECT(A96&amp;ROW())=C94),1,0)))</f>
        <v>1</v>
      </c>
      <c r="J626">
        <f ca="1">IF(AND(INDIRECT(A73&amp;ROW())=B95,INDIRECT(A96&amp;ROW())=C95),1,IF(AND(INDIRECT(A73&amp;ROW())=B95,INDIRECT(A96&amp;ROW())=C96),1,0))</f>
        <v>0</v>
      </c>
      <c r="K626">
        <f ca="1">DAYS360(INDIRECT(C68&amp;ROW()),TODAY())</f>
        <v>684</v>
      </c>
      <c r="L626">
        <f ca="1">DAYS360(INDIRECT(C69&amp;ROW()),TODAY())</f>
        <v>693</v>
      </c>
      <c r="M626">
        <f ca="1">HYPERLINK(CONCATENATE("https://bugzilla.houston.hp.com:1181/bugzilla/show_bug.cgi?id=",INDIRECT(C70&amp;ROW())),INDIRECT(C70&amp;ROW()))</f>
        <v>63197</v>
      </c>
      <c r="N626">
        <v>63197</v>
      </c>
      <c r="O626" t="s">
        <v>241</v>
      </c>
      <c r="P626" t="s">
        <v>1151</v>
      </c>
      <c r="Q626" t="s">
        <v>39</v>
      </c>
      <c r="R626" t="s">
        <v>251</v>
      </c>
      <c r="S626" t="s">
        <v>177</v>
      </c>
      <c r="U626" s="6">
        <v>42163.585625</v>
      </c>
      <c r="V626" t="s">
        <v>18</v>
      </c>
      <c r="W626" t="s">
        <v>764</v>
      </c>
      <c r="X626" s="6">
        <v>42153.768229166664</v>
      </c>
      <c r="Y626" t="s">
        <v>245</v>
      </c>
      <c r="AB626" t="s">
        <v>199</v>
      </c>
      <c r="AC626" t="s">
        <v>247</v>
      </c>
      <c r="AD626" t="s">
        <v>227</v>
      </c>
      <c r="AE626" t="s">
        <v>370</v>
      </c>
      <c r="AG626" t="s">
        <v>121</v>
      </c>
      <c r="AH626" t="s">
        <v>327</v>
      </c>
      <c r="AI626" t="s">
        <v>121</v>
      </c>
      <c r="AJ626" t="s">
        <v>715</v>
      </c>
      <c r="AK626" t="s">
        <v>121</v>
      </c>
    </row>
    <row r="627" spans="9:37" x14ac:dyDescent="0.3">
      <c r="I627">
        <f ca="1">IF(OR(INDIRECT(A73&amp;ROW())=B93,INDIRECT(A73&amp;ROW())=B94),1,IF(AND(INDIRECT(A73&amp;ROW())=B95,INDIRECT(A96&amp;ROW())=C93),1,IF(AND(INDIRECT(A73&amp;ROW())=B95,INDIRECT(A96&amp;ROW())=C94),1,0)))</f>
        <v>1</v>
      </c>
      <c r="J627">
        <f ca="1">IF(AND(INDIRECT(A73&amp;ROW())=B95,INDIRECT(A96&amp;ROW())=C95),1,IF(AND(INDIRECT(A73&amp;ROW())=B95,INDIRECT(A96&amp;ROW())=C96),1,0))</f>
        <v>0</v>
      </c>
      <c r="K627">
        <f ca="1">DAYS360(INDIRECT(C68&amp;ROW()),TODAY())</f>
        <v>692</v>
      </c>
      <c r="L627">
        <f ca="1">DAYS360(INDIRECT(C69&amp;ROW()),TODAY())</f>
        <v>692</v>
      </c>
      <c r="M627">
        <f ca="1">HYPERLINK(CONCATENATE("https://bugzilla.houston.hp.com:1181/bugzilla/show_bug.cgi?id=",INDIRECT(C70&amp;ROW())),INDIRECT(C70&amp;ROW()))</f>
        <v>63199</v>
      </c>
      <c r="N627">
        <v>63199</v>
      </c>
      <c r="O627" t="s">
        <v>241</v>
      </c>
      <c r="P627" t="s">
        <v>1150</v>
      </c>
      <c r="Q627" t="s">
        <v>39</v>
      </c>
      <c r="R627" t="s">
        <v>579</v>
      </c>
      <c r="S627" t="s">
        <v>552</v>
      </c>
      <c r="U627" s="6">
        <v>42154.914398148147</v>
      </c>
      <c r="V627" t="s">
        <v>18</v>
      </c>
      <c r="W627" t="s">
        <v>764</v>
      </c>
      <c r="X627" s="6">
        <v>42154.016817129632</v>
      </c>
      <c r="Y627" t="s">
        <v>245</v>
      </c>
      <c r="AB627" t="s">
        <v>199</v>
      </c>
      <c r="AC627" t="s">
        <v>247</v>
      </c>
      <c r="AD627" t="s">
        <v>227</v>
      </c>
      <c r="AE627" t="s">
        <v>370</v>
      </c>
      <c r="AG627" t="s">
        <v>121</v>
      </c>
      <c r="AH627" t="s">
        <v>327</v>
      </c>
      <c r="AI627" t="s">
        <v>121</v>
      </c>
      <c r="AJ627" t="s">
        <v>715</v>
      </c>
      <c r="AK627" t="s">
        <v>121</v>
      </c>
    </row>
    <row r="628" spans="9:37" x14ac:dyDescent="0.3">
      <c r="I628">
        <f ca="1">IF(OR(INDIRECT(A73&amp;ROW())=B93,INDIRECT(A73&amp;ROW())=B94),1,IF(AND(INDIRECT(A73&amp;ROW())=B95,INDIRECT(A96&amp;ROW())=C93),1,IF(AND(INDIRECT(A73&amp;ROW())=B95,INDIRECT(A96&amp;ROW())=C94),1,0)))</f>
        <v>1</v>
      </c>
      <c r="J628">
        <f ca="1">IF(AND(INDIRECT(A73&amp;ROW())=B95,INDIRECT(A96&amp;ROW())=C95),1,IF(AND(INDIRECT(A73&amp;ROW())=B95,INDIRECT(A96&amp;ROW())=C96),1,0))</f>
        <v>0</v>
      </c>
      <c r="K628">
        <f ca="1">DAYS360(INDIRECT(C68&amp;ROW()),TODAY())</f>
        <v>692</v>
      </c>
      <c r="L628">
        <f ca="1">DAYS360(INDIRECT(C69&amp;ROW()),TODAY())</f>
        <v>692</v>
      </c>
      <c r="M628">
        <f ca="1">HYPERLINK(CONCATENATE("https://bugzilla.houston.hp.com:1181/bugzilla/show_bug.cgi?id=",INDIRECT(C70&amp;ROW())),INDIRECT(C70&amp;ROW()))</f>
        <v>63200</v>
      </c>
      <c r="N628">
        <v>63200</v>
      </c>
      <c r="O628" t="s">
        <v>241</v>
      </c>
      <c r="P628" t="s">
        <v>1149</v>
      </c>
      <c r="Q628" t="s">
        <v>39</v>
      </c>
      <c r="R628" t="s">
        <v>248</v>
      </c>
      <c r="S628" t="s">
        <v>552</v>
      </c>
      <c r="U628" s="6">
        <v>42154.914386574077</v>
      </c>
      <c r="V628" t="s">
        <v>18</v>
      </c>
      <c r="W628" t="s">
        <v>764</v>
      </c>
      <c r="X628" s="6">
        <v>42154.016875000001</v>
      </c>
      <c r="Y628" t="s">
        <v>245</v>
      </c>
      <c r="AB628" t="s">
        <v>199</v>
      </c>
      <c r="AC628" t="s">
        <v>247</v>
      </c>
      <c r="AD628" t="s">
        <v>227</v>
      </c>
      <c r="AE628" t="s">
        <v>370</v>
      </c>
      <c r="AG628" t="s">
        <v>121</v>
      </c>
      <c r="AH628" t="s">
        <v>327</v>
      </c>
      <c r="AI628" t="s">
        <v>121</v>
      </c>
      <c r="AJ628" t="s">
        <v>715</v>
      </c>
      <c r="AK628" t="s">
        <v>121</v>
      </c>
    </row>
    <row r="629" spans="9:37" x14ac:dyDescent="0.3">
      <c r="I629">
        <f ca="1">IF(OR(INDIRECT(A73&amp;ROW())=B93,INDIRECT(A73&amp;ROW())=B94),1,IF(AND(INDIRECT(A73&amp;ROW())=B95,INDIRECT(A96&amp;ROW())=C93),1,IF(AND(INDIRECT(A73&amp;ROW())=B95,INDIRECT(A96&amp;ROW())=C94),1,0)))</f>
        <v>1</v>
      </c>
      <c r="J629">
        <f ca="1">IF(AND(INDIRECT(A73&amp;ROW())=B95,INDIRECT(A96&amp;ROW())=C95),1,IF(AND(INDIRECT(A73&amp;ROW())=B95,INDIRECT(A96&amp;ROW())=C96),1,0))</f>
        <v>0</v>
      </c>
      <c r="K629">
        <f ca="1">DAYS360(INDIRECT(C68&amp;ROW()),TODAY())</f>
        <v>683</v>
      </c>
      <c r="L629">
        <f ca="1">DAYS360(INDIRECT(C69&amp;ROW()),TODAY())</f>
        <v>691</v>
      </c>
      <c r="M629">
        <f ca="1">HYPERLINK(CONCATENATE("https://bugzilla.houston.hp.com:1181/bugzilla/show_bug.cgi?id=",INDIRECT(C70&amp;ROW())),INDIRECT(C70&amp;ROW()))</f>
        <v>63227</v>
      </c>
      <c r="N629">
        <v>63227</v>
      </c>
      <c r="O629" t="s">
        <v>59</v>
      </c>
      <c r="P629" t="s">
        <v>1241</v>
      </c>
      <c r="Q629" t="s">
        <v>25</v>
      </c>
      <c r="R629" t="s">
        <v>251</v>
      </c>
      <c r="S629" t="s">
        <v>62</v>
      </c>
      <c r="U629" s="6">
        <v>42164.316238425927</v>
      </c>
      <c r="V629" t="s">
        <v>35</v>
      </c>
      <c r="W629" t="s">
        <v>783</v>
      </c>
      <c r="X629" s="6">
        <v>42156.199236111112</v>
      </c>
      <c r="Y629" t="s">
        <v>119</v>
      </c>
      <c r="AB629" t="s">
        <v>199</v>
      </c>
      <c r="AC629" t="s">
        <v>247</v>
      </c>
      <c r="AD629" t="s">
        <v>220</v>
      </c>
      <c r="AE629" t="s">
        <v>219</v>
      </c>
      <c r="AG629" t="s">
        <v>121</v>
      </c>
      <c r="AH629" t="s">
        <v>327</v>
      </c>
      <c r="AI629" t="s">
        <v>121</v>
      </c>
      <c r="AJ629" t="s">
        <v>715</v>
      </c>
      <c r="AK629" t="s">
        <v>121</v>
      </c>
    </row>
    <row r="630" spans="9:37" x14ac:dyDescent="0.3">
      <c r="I630">
        <f ca="1">IF(OR(INDIRECT(A73&amp;ROW())=B93,INDIRECT(A73&amp;ROW())=B94),1,IF(AND(INDIRECT(A73&amp;ROW())=B95,INDIRECT(A96&amp;ROW())=C93),1,IF(AND(INDIRECT(A73&amp;ROW())=B95,INDIRECT(A96&amp;ROW())=C94),1,0)))</f>
        <v>0</v>
      </c>
      <c r="J630">
        <f ca="1">IF(AND(INDIRECT(A73&amp;ROW())=B95,INDIRECT(A96&amp;ROW())=C95),1,IF(AND(INDIRECT(A73&amp;ROW())=B95,INDIRECT(A96&amp;ROW())=C96),1,0))</f>
        <v>0</v>
      </c>
      <c r="K630">
        <f ca="1">DAYS360(INDIRECT(C68&amp;ROW()),TODAY())</f>
        <v>691</v>
      </c>
      <c r="L630">
        <f ca="1">DAYS360(INDIRECT(C69&amp;ROW()),TODAY())</f>
        <v>691</v>
      </c>
      <c r="M630">
        <f ca="1">HYPERLINK(CONCATENATE("https://bugzilla.houston.hp.com:1181/bugzilla/show_bug.cgi?id=",INDIRECT(C70&amp;ROW())),INDIRECT(C70&amp;ROW()))</f>
        <v>63239</v>
      </c>
      <c r="N630">
        <v>63239</v>
      </c>
      <c r="O630" t="s">
        <v>21</v>
      </c>
      <c r="P630" t="s">
        <v>1196</v>
      </c>
      <c r="Q630" t="s">
        <v>16</v>
      </c>
      <c r="R630" t="s">
        <v>251</v>
      </c>
      <c r="S630" t="s">
        <v>1195</v>
      </c>
      <c r="U630" s="6">
        <v>42156.530868055554</v>
      </c>
      <c r="V630" t="s">
        <v>18</v>
      </c>
      <c r="W630" t="s">
        <v>783</v>
      </c>
      <c r="X630" s="6">
        <v>42156.258599537039</v>
      </c>
      <c r="Y630" t="s">
        <v>793</v>
      </c>
      <c r="AB630" t="s">
        <v>201</v>
      </c>
      <c r="AC630" t="s">
        <v>247</v>
      </c>
      <c r="AD630" t="s">
        <v>222</v>
      </c>
      <c r="AE630" t="s">
        <v>221</v>
      </c>
      <c r="AG630" t="s">
        <v>121</v>
      </c>
      <c r="AH630" t="s">
        <v>327</v>
      </c>
      <c r="AI630" t="s">
        <v>121</v>
      </c>
      <c r="AJ630" t="s">
        <v>717</v>
      </c>
      <c r="AK630" t="s">
        <v>121</v>
      </c>
    </row>
    <row r="631" spans="9:37" x14ac:dyDescent="0.3">
      <c r="I631">
        <f ca="1">IF(OR(INDIRECT(A73&amp;ROW())=B93,INDIRECT(A73&amp;ROW())=B94),1,IF(AND(INDIRECT(A73&amp;ROW())=B95,INDIRECT(A96&amp;ROW())=C93),1,IF(AND(INDIRECT(A73&amp;ROW())=B95,INDIRECT(A96&amp;ROW())=C94),1,0)))</f>
        <v>1</v>
      </c>
      <c r="J631">
        <f ca="1">IF(AND(INDIRECT(A73&amp;ROW())=B95,INDIRECT(A96&amp;ROW())=C95),1,IF(AND(INDIRECT(A73&amp;ROW())=B95,INDIRECT(A96&amp;ROW())=C96),1,0))</f>
        <v>0</v>
      </c>
      <c r="K631">
        <f ca="1">DAYS360(INDIRECT(C68&amp;ROW()),TODAY())</f>
        <v>677</v>
      </c>
      <c r="L631">
        <f ca="1">DAYS360(INDIRECT(C69&amp;ROW()),TODAY())</f>
        <v>691</v>
      </c>
      <c r="M631">
        <f ca="1">HYPERLINK(CONCATENATE("https://bugzilla.houston.hp.com:1181/bugzilla/show_bug.cgi?id=",INDIRECT(C70&amp;ROW())),INDIRECT(C70&amp;ROW()))</f>
        <v>63248</v>
      </c>
      <c r="N631">
        <v>63248</v>
      </c>
      <c r="O631" t="s">
        <v>66</v>
      </c>
      <c r="P631" t="s">
        <v>1240</v>
      </c>
      <c r="Q631" t="s">
        <v>25</v>
      </c>
      <c r="R631" t="s">
        <v>783</v>
      </c>
      <c r="S631" t="s">
        <v>552</v>
      </c>
      <c r="U631" s="6">
        <v>42170.637129629627</v>
      </c>
      <c r="V631" t="s">
        <v>18</v>
      </c>
      <c r="W631" t="s">
        <v>783</v>
      </c>
      <c r="X631" s="6">
        <v>42156.306250000001</v>
      </c>
      <c r="Y631" t="s">
        <v>119</v>
      </c>
      <c r="AB631" t="s">
        <v>199</v>
      </c>
      <c r="AC631" t="s">
        <v>247</v>
      </c>
      <c r="AD631" t="s">
        <v>220</v>
      </c>
      <c r="AE631" t="s">
        <v>219</v>
      </c>
      <c r="AG631" t="s">
        <v>588</v>
      </c>
      <c r="AH631" t="s">
        <v>327</v>
      </c>
      <c r="AI631" t="s">
        <v>121</v>
      </c>
      <c r="AJ631" t="s">
        <v>715</v>
      </c>
      <c r="AK631" t="s">
        <v>121</v>
      </c>
    </row>
    <row r="632" spans="9:37" x14ac:dyDescent="0.3">
      <c r="I632">
        <f ca="1">IF(OR(INDIRECT(A73&amp;ROW())=B93,INDIRECT(A73&amp;ROW())=B94),1,IF(AND(INDIRECT(A73&amp;ROW())=B95,INDIRECT(A96&amp;ROW())=C93),1,IF(AND(INDIRECT(A73&amp;ROW())=B95,INDIRECT(A96&amp;ROW())=C94),1,0)))</f>
        <v>1</v>
      </c>
      <c r="J632">
        <f ca="1">IF(AND(INDIRECT(A73&amp;ROW())=B95,INDIRECT(A96&amp;ROW())=C95),1,IF(AND(INDIRECT(A73&amp;ROW())=B95,INDIRECT(A96&amp;ROW())=C96),1,0))</f>
        <v>0</v>
      </c>
      <c r="K632">
        <f ca="1">DAYS360(INDIRECT(C68&amp;ROW()),TODAY())</f>
        <v>684</v>
      </c>
      <c r="L632">
        <f ca="1">DAYS360(INDIRECT(C69&amp;ROW()),TODAY())</f>
        <v>691</v>
      </c>
      <c r="M632">
        <f ca="1">HYPERLINK(CONCATENATE("https://bugzilla.houston.hp.com:1181/bugzilla/show_bug.cgi?id=",INDIRECT(C70&amp;ROW())),INDIRECT(C70&amp;ROW()))</f>
        <v>63249</v>
      </c>
      <c r="N632">
        <v>63249</v>
      </c>
      <c r="O632" t="s">
        <v>66</v>
      </c>
      <c r="P632" t="s">
        <v>1239</v>
      </c>
      <c r="Q632" t="s">
        <v>25</v>
      </c>
      <c r="R632" t="s">
        <v>248</v>
      </c>
      <c r="S632" t="s">
        <v>552</v>
      </c>
      <c r="U632" s="6">
        <v>42163.680046296293</v>
      </c>
      <c r="V632" t="s">
        <v>18</v>
      </c>
      <c r="W632" t="s">
        <v>783</v>
      </c>
      <c r="X632" s="6">
        <v>42156.306354166663</v>
      </c>
      <c r="Y632" t="s">
        <v>119</v>
      </c>
      <c r="AB632" t="s">
        <v>199</v>
      </c>
      <c r="AC632" t="s">
        <v>247</v>
      </c>
      <c r="AD632" t="s">
        <v>220</v>
      </c>
      <c r="AE632" t="s">
        <v>219</v>
      </c>
      <c r="AG632" t="s">
        <v>121</v>
      </c>
      <c r="AH632" t="s">
        <v>327</v>
      </c>
      <c r="AI632" t="s">
        <v>121</v>
      </c>
      <c r="AJ632" t="s">
        <v>715</v>
      </c>
      <c r="AK632" t="s">
        <v>121</v>
      </c>
    </row>
    <row r="633" spans="9:37" x14ac:dyDescent="0.3">
      <c r="I633">
        <f ca="1">IF(OR(INDIRECT(A73&amp;ROW())=B93,INDIRECT(A73&amp;ROW())=B94),1,IF(AND(INDIRECT(A73&amp;ROW())=B95,INDIRECT(A96&amp;ROW())=C93),1,IF(AND(INDIRECT(A73&amp;ROW())=B95,INDIRECT(A96&amp;ROW())=C94),1,0)))</f>
        <v>0</v>
      </c>
      <c r="J633">
        <f ca="1">IF(AND(INDIRECT(A73&amp;ROW())=B95,INDIRECT(A96&amp;ROW())=C95),1,IF(AND(INDIRECT(A73&amp;ROW())=B95,INDIRECT(A96&amp;ROW())=C96),1,0))</f>
        <v>0</v>
      </c>
      <c r="K633">
        <f ca="1">DAYS360(INDIRECT(C68&amp;ROW()),TODAY())</f>
        <v>691</v>
      </c>
      <c r="L633">
        <f ca="1">DAYS360(INDIRECT(C69&amp;ROW()),TODAY())</f>
        <v>691</v>
      </c>
      <c r="M633">
        <f ca="1">HYPERLINK(CONCATENATE("https://bugzilla.houston.hp.com:1181/bugzilla/show_bug.cgi?id=",INDIRECT(C70&amp;ROW())),INDIRECT(C70&amp;ROW()))</f>
        <v>63272</v>
      </c>
      <c r="N633">
        <v>63272</v>
      </c>
      <c r="O633" t="s">
        <v>21</v>
      </c>
      <c r="P633" t="s">
        <v>1194</v>
      </c>
      <c r="Q633" t="s">
        <v>16</v>
      </c>
      <c r="R633" t="s">
        <v>579</v>
      </c>
      <c r="S633" t="s">
        <v>552</v>
      </c>
      <c r="U633" s="6">
        <v>42156.534791666665</v>
      </c>
      <c r="V633" t="s">
        <v>18</v>
      </c>
      <c r="W633" t="s">
        <v>783</v>
      </c>
      <c r="X633" s="6">
        <v>42156.516979166663</v>
      </c>
      <c r="Y633" t="s">
        <v>793</v>
      </c>
      <c r="AB633" t="s">
        <v>201</v>
      </c>
      <c r="AC633" t="s">
        <v>247</v>
      </c>
      <c r="AD633" t="s">
        <v>222</v>
      </c>
      <c r="AE633" t="s">
        <v>221</v>
      </c>
      <c r="AG633" t="s">
        <v>121</v>
      </c>
      <c r="AH633" t="s">
        <v>327</v>
      </c>
      <c r="AI633" t="s">
        <v>121</v>
      </c>
      <c r="AJ633" t="s">
        <v>716</v>
      </c>
      <c r="AK633" t="s">
        <v>121</v>
      </c>
    </row>
    <row r="634" spans="9:37" x14ac:dyDescent="0.3">
      <c r="I634">
        <f ca="1">IF(OR(INDIRECT(A73&amp;ROW())=B93,INDIRECT(A73&amp;ROW())=B94),1,IF(AND(INDIRECT(A73&amp;ROW())=B95,INDIRECT(A96&amp;ROW())=C93),1,IF(AND(INDIRECT(A73&amp;ROW())=B95,INDIRECT(A96&amp;ROW())=C94),1,0)))</f>
        <v>0</v>
      </c>
      <c r="J634">
        <f ca="1">IF(AND(INDIRECT(A73&amp;ROW())=B95,INDIRECT(A96&amp;ROW())=C95),1,IF(AND(INDIRECT(A73&amp;ROW())=B95,INDIRECT(A96&amp;ROW())=C96),1,0))</f>
        <v>0</v>
      </c>
      <c r="K634">
        <f ca="1">DAYS360(INDIRECT(C68&amp;ROW()),TODAY())</f>
        <v>691</v>
      </c>
      <c r="L634">
        <f ca="1">DAYS360(INDIRECT(C69&amp;ROW()),TODAY())</f>
        <v>691</v>
      </c>
      <c r="M634">
        <f ca="1">HYPERLINK(CONCATENATE("https://bugzilla.houston.hp.com:1181/bugzilla/show_bug.cgi?id=",INDIRECT(C70&amp;ROW())),INDIRECT(C70&amp;ROW()))</f>
        <v>63273</v>
      </c>
      <c r="N634">
        <v>63273</v>
      </c>
      <c r="O634" t="s">
        <v>21</v>
      </c>
      <c r="P634" t="s">
        <v>1193</v>
      </c>
      <c r="Q634" t="s">
        <v>16</v>
      </c>
      <c r="R634" t="s">
        <v>783</v>
      </c>
      <c r="S634" t="s">
        <v>552</v>
      </c>
      <c r="U634" s="6">
        <v>42156.534768518519</v>
      </c>
      <c r="V634" t="s">
        <v>18</v>
      </c>
      <c r="W634" t="s">
        <v>783</v>
      </c>
      <c r="X634" s="6">
        <v>42156.51703703704</v>
      </c>
      <c r="Y634" t="s">
        <v>793</v>
      </c>
      <c r="AB634" t="s">
        <v>201</v>
      </c>
      <c r="AC634" t="s">
        <v>247</v>
      </c>
      <c r="AD634" t="s">
        <v>222</v>
      </c>
      <c r="AE634" t="s">
        <v>221</v>
      </c>
      <c r="AG634" t="s">
        <v>121</v>
      </c>
      <c r="AH634" t="s">
        <v>327</v>
      </c>
      <c r="AI634" t="s">
        <v>121</v>
      </c>
      <c r="AJ634" t="s">
        <v>716</v>
      </c>
      <c r="AK634" t="s">
        <v>121</v>
      </c>
    </row>
    <row r="635" spans="9:37" x14ac:dyDescent="0.3">
      <c r="I635">
        <f ca="1">IF(OR(INDIRECT(A73&amp;ROW())=B93,INDIRECT(A73&amp;ROW())=B94),1,IF(AND(INDIRECT(A73&amp;ROW())=B95,INDIRECT(A96&amp;ROW())=C93),1,IF(AND(INDIRECT(A73&amp;ROW())=B95,INDIRECT(A96&amp;ROW())=C94),1,0)))</f>
        <v>0</v>
      </c>
      <c r="J635">
        <f ca="1">IF(AND(INDIRECT(A73&amp;ROW())=B95,INDIRECT(A96&amp;ROW())=C95),1,IF(AND(INDIRECT(A73&amp;ROW())=B95,INDIRECT(A96&amp;ROW())=C96),1,0))</f>
        <v>0</v>
      </c>
      <c r="K635">
        <f ca="1">DAYS360(INDIRECT(C68&amp;ROW()),TODAY())</f>
        <v>691</v>
      </c>
      <c r="L635">
        <f ca="1">DAYS360(INDIRECT(C69&amp;ROW()),TODAY())</f>
        <v>691</v>
      </c>
      <c r="M635">
        <f ca="1">HYPERLINK(CONCATENATE("https://bugzilla.houston.hp.com:1181/bugzilla/show_bug.cgi?id=",INDIRECT(C70&amp;ROW())),INDIRECT(C70&amp;ROW()))</f>
        <v>63274</v>
      </c>
      <c r="N635">
        <v>63274</v>
      </c>
      <c r="O635" t="s">
        <v>21</v>
      </c>
      <c r="P635" t="s">
        <v>1192</v>
      </c>
      <c r="Q635" t="s">
        <v>16</v>
      </c>
      <c r="R635" t="s">
        <v>248</v>
      </c>
      <c r="S635" t="s">
        <v>552</v>
      </c>
      <c r="U635" s="6">
        <v>42156.534803240742</v>
      </c>
      <c r="V635" t="s">
        <v>18</v>
      </c>
      <c r="W635" t="s">
        <v>783</v>
      </c>
      <c r="X635" s="6">
        <v>42156.517106481479</v>
      </c>
      <c r="Y635" t="s">
        <v>793</v>
      </c>
      <c r="AB635" t="s">
        <v>201</v>
      </c>
      <c r="AC635" t="s">
        <v>247</v>
      </c>
      <c r="AD635" t="s">
        <v>222</v>
      </c>
      <c r="AE635" t="s">
        <v>221</v>
      </c>
      <c r="AG635" t="s">
        <v>121</v>
      </c>
      <c r="AH635" t="s">
        <v>327</v>
      </c>
      <c r="AI635" t="s">
        <v>121</v>
      </c>
      <c r="AJ635" t="s">
        <v>716</v>
      </c>
      <c r="AK635" t="s">
        <v>121</v>
      </c>
    </row>
    <row r="636" spans="9:37" x14ac:dyDescent="0.3">
      <c r="I636">
        <f ca="1">IF(OR(INDIRECT(A73&amp;ROW())=B93,INDIRECT(A73&amp;ROW())=B94),1,IF(AND(INDIRECT(A73&amp;ROW())=B95,INDIRECT(A96&amp;ROW())=C93),1,IF(AND(INDIRECT(A73&amp;ROW())=B95,INDIRECT(A96&amp;ROW())=C94),1,0)))</f>
        <v>1</v>
      </c>
      <c r="J636">
        <f ca="1">IF(AND(INDIRECT(A73&amp;ROW())=B95,INDIRECT(A96&amp;ROW())=C95),1,IF(AND(INDIRECT(A73&amp;ROW())=B95,INDIRECT(A96&amp;ROW())=C96),1,0))</f>
        <v>0</v>
      </c>
      <c r="K636">
        <f ca="1">DAYS360(INDIRECT(C68&amp;ROW()),TODAY())</f>
        <v>676</v>
      </c>
      <c r="L636">
        <f ca="1">DAYS360(INDIRECT(C69&amp;ROW()),TODAY())</f>
        <v>691</v>
      </c>
      <c r="M636">
        <f ca="1">HYPERLINK(CONCATENATE("https://bugzilla.houston.hp.com:1181/bugzilla/show_bug.cgi?id=",INDIRECT(C70&amp;ROW())),INDIRECT(C70&amp;ROW()))</f>
        <v>63278</v>
      </c>
      <c r="N636">
        <v>63278</v>
      </c>
      <c r="O636" t="s">
        <v>66</v>
      </c>
      <c r="P636" t="s">
        <v>1191</v>
      </c>
      <c r="Q636" t="s">
        <v>39</v>
      </c>
      <c r="R636" t="s">
        <v>251</v>
      </c>
      <c r="S636" t="s">
        <v>1102</v>
      </c>
      <c r="U636" s="6">
        <v>42171.374155092592</v>
      </c>
      <c r="V636" t="s">
        <v>18</v>
      </c>
      <c r="W636" t="s">
        <v>17</v>
      </c>
      <c r="X636" s="6">
        <v>42156.525219907409</v>
      </c>
      <c r="Y636" t="s">
        <v>125</v>
      </c>
      <c r="AB636" t="s">
        <v>200</v>
      </c>
      <c r="AC636" t="s">
        <v>247</v>
      </c>
      <c r="AD636" t="s">
        <v>220</v>
      </c>
      <c r="AE636" t="s">
        <v>219</v>
      </c>
      <c r="AG636" t="s">
        <v>121</v>
      </c>
      <c r="AH636" t="s">
        <v>327</v>
      </c>
      <c r="AI636" t="s">
        <v>121</v>
      </c>
      <c r="AJ636" t="s">
        <v>715</v>
      </c>
      <c r="AK636" t="s">
        <v>121</v>
      </c>
    </row>
    <row r="637" spans="9:37" x14ac:dyDescent="0.3">
      <c r="I637">
        <f ca="1">IF(OR(INDIRECT(A73&amp;ROW())=B93,INDIRECT(A73&amp;ROW())=B94),1,IF(AND(INDIRECT(A73&amp;ROW())=B95,INDIRECT(A96&amp;ROW())=C93),1,IF(AND(INDIRECT(A73&amp;ROW())=B95,INDIRECT(A96&amp;ROW())=C94),1,0)))</f>
        <v>1</v>
      </c>
      <c r="J637">
        <f ca="1">IF(AND(INDIRECT(A73&amp;ROW())=B95,INDIRECT(A96&amp;ROW())=C95),1,IF(AND(INDIRECT(A73&amp;ROW())=B95,INDIRECT(A96&amp;ROW())=C96),1,0))</f>
        <v>0</v>
      </c>
      <c r="K637">
        <f ca="1">DAYS360(INDIRECT(C68&amp;ROW()),TODAY())</f>
        <v>691</v>
      </c>
      <c r="L637">
        <f ca="1">DAYS360(INDIRECT(C69&amp;ROW()),TODAY())</f>
        <v>691</v>
      </c>
      <c r="M637">
        <f ca="1">HYPERLINK(CONCATENATE("https://bugzilla.houston.hp.com:1181/bugzilla/show_bug.cgi?id=",INDIRECT(C70&amp;ROW())),INDIRECT(C70&amp;ROW()))</f>
        <v>63279</v>
      </c>
      <c r="N637">
        <v>63279</v>
      </c>
      <c r="O637" t="s">
        <v>66</v>
      </c>
      <c r="P637" t="s">
        <v>1190</v>
      </c>
      <c r="Q637" t="s">
        <v>39</v>
      </c>
      <c r="R637" t="s">
        <v>579</v>
      </c>
      <c r="S637" t="s">
        <v>552</v>
      </c>
      <c r="U637" s="6">
        <v>42156.547210648147</v>
      </c>
      <c r="V637" t="s">
        <v>18</v>
      </c>
      <c r="W637" t="s">
        <v>17</v>
      </c>
      <c r="X637" s="6">
        <v>42156.537048611113</v>
      </c>
      <c r="Y637" t="s">
        <v>125</v>
      </c>
      <c r="AB637" t="s">
        <v>200</v>
      </c>
      <c r="AC637" t="s">
        <v>247</v>
      </c>
      <c r="AD637" t="s">
        <v>220</v>
      </c>
      <c r="AE637" t="s">
        <v>219</v>
      </c>
      <c r="AG637" t="s">
        <v>121</v>
      </c>
      <c r="AH637" t="s">
        <v>327</v>
      </c>
      <c r="AI637" t="s">
        <v>121</v>
      </c>
      <c r="AJ637" t="s">
        <v>715</v>
      </c>
      <c r="AK637" t="s">
        <v>121</v>
      </c>
    </row>
    <row r="638" spans="9:37" x14ac:dyDescent="0.3">
      <c r="I638">
        <f ca="1">IF(OR(INDIRECT(A73&amp;ROW())=B93,INDIRECT(A73&amp;ROW())=B94),1,IF(AND(INDIRECT(A73&amp;ROW())=B95,INDIRECT(A96&amp;ROW())=C93),1,IF(AND(INDIRECT(A73&amp;ROW())=B95,INDIRECT(A96&amp;ROW())=C94),1,0)))</f>
        <v>1</v>
      </c>
      <c r="J638">
        <f ca="1">IF(AND(INDIRECT(A73&amp;ROW())=B95,INDIRECT(A96&amp;ROW())=C95),1,IF(AND(INDIRECT(A73&amp;ROW())=B95,INDIRECT(A96&amp;ROW())=C96),1,0))</f>
        <v>0</v>
      </c>
      <c r="K638">
        <f ca="1">DAYS360(INDIRECT(C68&amp;ROW()),TODAY())</f>
        <v>676</v>
      </c>
      <c r="L638">
        <f ca="1">DAYS360(INDIRECT(C69&amp;ROW()),TODAY())</f>
        <v>691</v>
      </c>
      <c r="M638">
        <f ca="1">HYPERLINK(CONCATENATE("https://bugzilla.houston.hp.com:1181/bugzilla/show_bug.cgi?id=",INDIRECT(C70&amp;ROW())),INDIRECT(C70&amp;ROW()))</f>
        <v>63280</v>
      </c>
      <c r="N638">
        <v>63280</v>
      </c>
      <c r="O638" t="s">
        <v>66</v>
      </c>
      <c r="P638" t="s">
        <v>1189</v>
      </c>
      <c r="Q638" t="s">
        <v>39</v>
      </c>
      <c r="R638" t="s">
        <v>783</v>
      </c>
      <c r="S638" t="s">
        <v>552</v>
      </c>
      <c r="U638" s="6">
        <v>42171.375960648147</v>
      </c>
      <c r="V638" t="s">
        <v>18</v>
      </c>
      <c r="W638" t="s">
        <v>17</v>
      </c>
      <c r="X638" s="6">
        <v>42156.537164351852</v>
      </c>
      <c r="Y638" t="s">
        <v>125</v>
      </c>
      <c r="AB638" t="s">
        <v>200</v>
      </c>
      <c r="AC638" t="s">
        <v>247</v>
      </c>
      <c r="AD638" t="s">
        <v>220</v>
      </c>
      <c r="AE638" t="s">
        <v>219</v>
      </c>
      <c r="AG638" t="s">
        <v>337</v>
      </c>
      <c r="AH638" t="s">
        <v>327</v>
      </c>
      <c r="AI638" t="s">
        <v>121</v>
      </c>
      <c r="AJ638" t="s">
        <v>715</v>
      </c>
      <c r="AK638" t="s">
        <v>121</v>
      </c>
    </row>
    <row r="639" spans="9:37" x14ac:dyDescent="0.3">
      <c r="I639">
        <f ca="1">IF(OR(INDIRECT(A73&amp;ROW())=B93,INDIRECT(A73&amp;ROW())=B94),1,IF(AND(INDIRECT(A73&amp;ROW())=B95,INDIRECT(A96&amp;ROW())=C93),1,IF(AND(INDIRECT(A73&amp;ROW())=B95,INDIRECT(A96&amp;ROW())=C94),1,0)))</f>
        <v>1</v>
      </c>
      <c r="J639">
        <f ca="1">IF(AND(INDIRECT(A73&amp;ROW())=B95,INDIRECT(A96&amp;ROW())=C95),1,IF(AND(INDIRECT(A73&amp;ROW())=B95,INDIRECT(A96&amp;ROW())=C96),1,0))</f>
        <v>0</v>
      </c>
      <c r="K639">
        <f ca="1">DAYS360(INDIRECT(C68&amp;ROW()),TODAY())</f>
        <v>691</v>
      </c>
      <c r="L639">
        <f ca="1">DAYS360(INDIRECT(C69&amp;ROW()),TODAY())</f>
        <v>691</v>
      </c>
      <c r="M639">
        <f ca="1">HYPERLINK(CONCATENATE("https://bugzilla.houston.hp.com:1181/bugzilla/show_bug.cgi?id=",INDIRECT(C70&amp;ROW())),INDIRECT(C70&amp;ROW()))</f>
        <v>63281</v>
      </c>
      <c r="N639">
        <v>63281</v>
      </c>
      <c r="O639" t="s">
        <v>66</v>
      </c>
      <c r="P639" t="s">
        <v>1188</v>
      </c>
      <c r="Q639" t="s">
        <v>39</v>
      </c>
      <c r="R639" t="s">
        <v>248</v>
      </c>
      <c r="S639" t="s">
        <v>552</v>
      </c>
      <c r="U639" s="6">
        <v>42156.548090277778</v>
      </c>
      <c r="V639" t="s">
        <v>18</v>
      </c>
      <c r="W639" t="s">
        <v>17</v>
      </c>
      <c r="X639" s="6">
        <v>42156.537291666667</v>
      </c>
      <c r="Y639" t="s">
        <v>125</v>
      </c>
      <c r="AB639" t="s">
        <v>200</v>
      </c>
      <c r="AC639" t="s">
        <v>247</v>
      </c>
      <c r="AD639" t="s">
        <v>220</v>
      </c>
      <c r="AE639" t="s">
        <v>219</v>
      </c>
      <c r="AG639" t="s">
        <v>121</v>
      </c>
      <c r="AH639" t="s">
        <v>327</v>
      </c>
      <c r="AI639" t="s">
        <v>121</v>
      </c>
      <c r="AJ639" t="s">
        <v>715</v>
      </c>
      <c r="AK639" t="s">
        <v>121</v>
      </c>
    </row>
    <row r="640" spans="9:37" x14ac:dyDescent="0.3">
      <c r="I640">
        <f ca="1">IF(OR(INDIRECT(A73&amp;ROW())=B93,INDIRECT(A73&amp;ROW())=B94),1,IF(AND(INDIRECT(A73&amp;ROW())=B95,INDIRECT(A96&amp;ROW())=C93),1,IF(AND(INDIRECT(A73&amp;ROW())=B95,INDIRECT(A96&amp;ROW())=C94),1,0)))</f>
        <v>0</v>
      </c>
      <c r="J640">
        <f ca="1">IF(AND(INDIRECT(A73&amp;ROW())=B95,INDIRECT(A96&amp;ROW())=C95),1,IF(AND(INDIRECT(A73&amp;ROW())=B95,INDIRECT(A96&amp;ROW())=C96),1,0))</f>
        <v>1</v>
      </c>
      <c r="K640">
        <f ca="1">DAYS360(INDIRECT(C68&amp;ROW()),TODAY())</f>
        <v>681</v>
      </c>
      <c r="L640">
        <f ca="1">DAYS360(INDIRECT(C69&amp;ROW()),TODAY())</f>
        <v>690</v>
      </c>
      <c r="M640">
        <f ca="1">HYPERLINK(CONCATENATE("https://bugzilla.houston.hp.com:1181/bugzilla/show_bug.cgi?id=",INDIRECT(C70&amp;ROW())),INDIRECT(C70&amp;ROW()))</f>
        <v>63336</v>
      </c>
      <c r="N640">
        <v>63336</v>
      </c>
      <c r="O640" t="s">
        <v>22</v>
      </c>
      <c r="P640" t="s">
        <v>1187</v>
      </c>
      <c r="Q640" t="s">
        <v>25</v>
      </c>
      <c r="R640" t="s">
        <v>783</v>
      </c>
      <c r="S640" t="s">
        <v>44</v>
      </c>
      <c r="T640" t="s">
        <v>794</v>
      </c>
      <c r="U640" s="6">
        <v>42166.582071759258</v>
      </c>
      <c r="V640" t="s">
        <v>18</v>
      </c>
      <c r="W640" t="s">
        <v>17</v>
      </c>
      <c r="X640" s="6">
        <v>42157.599398148152</v>
      </c>
      <c r="Y640" t="s">
        <v>125</v>
      </c>
      <c r="AB640" t="s">
        <v>201</v>
      </c>
      <c r="AC640" t="s">
        <v>247</v>
      </c>
      <c r="AD640" t="s">
        <v>220</v>
      </c>
      <c r="AE640" t="s">
        <v>223</v>
      </c>
      <c r="AG640" t="s">
        <v>121</v>
      </c>
      <c r="AH640" t="s">
        <v>327</v>
      </c>
      <c r="AI640" t="s">
        <v>363</v>
      </c>
      <c r="AJ640" t="s">
        <v>716</v>
      </c>
      <c r="AK640" t="s">
        <v>121</v>
      </c>
    </row>
    <row r="641" spans="9:37" x14ac:dyDescent="0.3">
      <c r="I641">
        <f ca="1">IF(OR(INDIRECT(A73&amp;ROW())=B93,INDIRECT(A73&amp;ROW())=B94),1,IF(AND(INDIRECT(A73&amp;ROW())=B95,INDIRECT(A96&amp;ROW())=C93),1,IF(AND(INDIRECT(A73&amp;ROW())=B95,INDIRECT(A96&amp;ROW())=C94),1,0)))</f>
        <v>1</v>
      </c>
      <c r="J641">
        <f ca="1">IF(AND(INDIRECT(A73&amp;ROW())=B95,INDIRECT(A96&amp;ROW())=C95),1,IF(AND(INDIRECT(A73&amp;ROW())=B95,INDIRECT(A96&amp;ROW())=C96),1,0))</f>
        <v>0</v>
      </c>
      <c r="K641">
        <f ca="1">DAYS360(INDIRECT(C68&amp;ROW()),TODAY())</f>
        <v>689</v>
      </c>
      <c r="L641">
        <f ca="1">DAYS360(INDIRECT(C69&amp;ROW()),TODAY())</f>
        <v>689</v>
      </c>
      <c r="M641">
        <f ca="1">HYPERLINK(CONCATENATE("https://bugzilla.houston.hp.com:1181/bugzilla/show_bug.cgi?id=",INDIRECT(C70&amp;ROW())),INDIRECT(C70&amp;ROW()))</f>
        <v>63359</v>
      </c>
      <c r="N641">
        <v>63359</v>
      </c>
      <c r="O641" t="s">
        <v>53</v>
      </c>
      <c r="P641" t="s">
        <v>1186</v>
      </c>
      <c r="Q641" t="s">
        <v>39</v>
      </c>
      <c r="R641" t="s">
        <v>579</v>
      </c>
      <c r="S641" t="s">
        <v>552</v>
      </c>
      <c r="U641" s="6">
        <v>42158.33488425926</v>
      </c>
      <c r="V641" t="s">
        <v>18</v>
      </c>
      <c r="W641" t="s">
        <v>63</v>
      </c>
      <c r="X641" s="6">
        <v>42158.017002314817</v>
      </c>
      <c r="Y641" t="s">
        <v>1026</v>
      </c>
      <c r="AB641" t="s">
        <v>201</v>
      </c>
      <c r="AC641" t="s">
        <v>247</v>
      </c>
      <c r="AD641" t="s">
        <v>220</v>
      </c>
      <c r="AE641" t="s">
        <v>243</v>
      </c>
      <c r="AG641" t="s">
        <v>121</v>
      </c>
      <c r="AH641" t="s">
        <v>327</v>
      </c>
      <c r="AI641" t="s">
        <v>121</v>
      </c>
      <c r="AJ641" t="s">
        <v>715</v>
      </c>
      <c r="AK641" t="s">
        <v>121</v>
      </c>
    </row>
    <row r="642" spans="9:37" x14ac:dyDescent="0.3">
      <c r="I642">
        <f ca="1">IF(OR(INDIRECT(A73&amp;ROW())=B93,INDIRECT(A73&amp;ROW())=B94),1,IF(AND(INDIRECT(A73&amp;ROW())=B95,INDIRECT(A96&amp;ROW())=C93),1,IF(AND(INDIRECT(A73&amp;ROW())=B95,INDIRECT(A96&amp;ROW())=C94),1,0)))</f>
        <v>1</v>
      </c>
      <c r="J642">
        <f ca="1">IF(AND(INDIRECT(A73&amp;ROW())=B95,INDIRECT(A96&amp;ROW())=C95),1,IF(AND(INDIRECT(A73&amp;ROW())=B95,INDIRECT(A96&amp;ROW())=C96),1,0))</f>
        <v>0</v>
      </c>
      <c r="K642">
        <f ca="1">DAYS360(INDIRECT(C68&amp;ROW()),TODAY())</f>
        <v>683</v>
      </c>
      <c r="L642">
        <f ca="1">DAYS360(INDIRECT(C69&amp;ROW()),TODAY())</f>
        <v>689</v>
      </c>
      <c r="M642">
        <f ca="1">HYPERLINK(CONCATENATE("https://bugzilla.houston.hp.com:1181/bugzilla/show_bug.cgi?id=",INDIRECT(C70&amp;ROW())),INDIRECT(C70&amp;ROW()))</f>
        <v>63360</v>
      </c>
      <c r="N642">
        <v>63360</v>
      </c>
      <c r="O642" t="s">
        <v>53</v>
      </c>
      <c r="P642" t="s">
        <v>1185</v>
      </c>
      <c r="Q642" t="s">
        <v>39</v>
      </c>
      <c r="R642" t="s">
        <v>783</v>
      </c>
      <c r="S642" t="s">
        <v>552</v>
      </c>
      <c r="U642" s="6">
        <v>42164.626284722224</v>
      </c>
      <c r="V642" t="s">
        <v>18</v>
      </c>
      <c r="W642" t="s">
        <v>63</v>
      </c>
      <c r="X642" s="6">
        <v>42158.017060185186</v>
      </c>
      <c r="Y642" t="s">
        <v>1026</v>
      </c>
      <c r="AB642" t="s">
        <v>201</v>
      </c>
      <c r="AC642" t="s">
        <v>247</v>
      </c>
      <c r="AD642" t="s">
        <v>220</v>
      </c>
      <c r="AE642" t="s">
        <v>219</v>
      </c>
      <c r="AG642" t="s">
        <v>337</v>
      </c>
      <c r="AH642" t="s">
        <v>327</v>
      </c>
      <c r="AI642" t="s">
        <v>121</v>
      </c>
      <c r="AJ642" t="s">
        <v>715</v>
      </c>
      <c r="AK642" t="s">
        <v>121</v>
      </c>
    </row>
    <row r="643" spans="9:37" x14ac:dyDescent="0.3">
      <c r="I643">
        <f ca="1">IF(OR(INDIRECT(A73&amp;ROW())=B93,INDIRECT(A73&amp;ROW())=B94),1,IF(AND(INDIRECT(A73&amp;ROW())=B95,INDIRECT(A96&amp;ROW())=C93),1,IF(AND(INDIRECT(A73&amp;ROW())=B95,INDIRECT(A96&amp;ROW())=C94),1,0)))</f>
        <v>1</v>
      </c>
      <c r="J643">
        <f ca="1">IF(AND(INDIRECT(A73&amp;ROW())=B95,INDIRECT(A96&amp;ROW())=C95),1,IF(AND(INDIRECT(A73&amp;ROW())=B95,INDIRECT(A96&amp;ROW())=C96),1,0))</f>
        <v>0</v>
      </c>
      <c r="K643">
        <f ca="1">DAYS360(INDIRECT(C68&amp;ROW()),TODAY())</f>
        <v>689</v>
      </c>
      <c r="L643">
        <f ca="1">DAYS360(INDIRECT(C69&amp;ROW()),TODAY())</f>
        <v>689</v>
      </c>
      <c r="M643">
        <f ca="1">HYPERLINK(CONCATENATE("https://bugzilla.houston.hp.com:1181/bugzilla/show_bug.cgi?id=",INDIRECT(C70&amp;ROW())),INDIRECT(C70&amp;ROW()))</f>
        <v>63361</v>
      </c>
      <c r="N643">
        <v>63361</v>
      </c>
      <c r="O643" t="s">
        <v>53</v>
      </c>
      <c r="P643" t="s">
        <v>1184</v>
      </c>
      <c r="Q643" t="s">
        <v>39</v>
      </c>
      <c r="R643" t="s">
        <v>248</v>
      </c>
      <c r="S643" t="s">
        <v>552</v>
      </c>
      <c r="U643" s="6">
        <v>42158.33488425926</v>
      </c>
      <c r="V643" t="s">
        <v>18</v>
      </c>
      <c r="W643" t="s">
        <v>63</v>
      </c>
      <c r="X643" s="6">
        <v>42158.017129629632</v>
      </c>
      <c r="Y643" t="s">
        <v>1026</v>
      </c>
      <c r="AB643" t="s">
        <v>201</v>
      </c>
      <c r="AC643" t="s">
        <v>247</v>
      </c>
      <c r="AD643" t="s">
        <v>220</v>
      </c>
      <c r="AE643" t="s">
        <v>243</v>
      </c>
      <c r="AG643" t="s">
        <v>121</v>
      </c>
      <c r="AH643" t="s">
        <v>327</v>
      </c>
      <c r="AI643" t="s">
        <v>121</v>
      </c>
      <c r="AJ643" t="s">
        <v>715</v>
      </c>
      <c r="AK643" t="s">
        <v>121</v>
      </c>
    </row>
    <row r="644" spans="9:37" x14ac:dyDescent="0.3">
      <c r="I644">
        <f ca="1">IF(OR(INDIRECT(A73&amp;ROW())=B93,INDIRECT(A73&amp;ROW())=B94),1,IF(AND(INDIRECT(A73&amp;ROW())=B95,INDIRECT(A96&amp;ROW())=C93),1,IF(AND(INDIRECT(A73&amp;ROW())=B95,INDIRECT(A96&amp;ROW())=C94),1,0)))</f>
        <v>1</v>
      </c>
      <c r="J644">
        <f ca="1">IF(AND(INDIRECT(A73&amp;ROW())=B95,INDIRECT(A96&amp;ROW())=C95),1,IF(AND(INDIRECT(A73&amp;ROW())=B95,INDIRECT(A96&amp;ROW())=C96),1,0))</f>
        <v>0</v>
      </c>
      <c r="K644">
        <f ca="1">DAYS360(INDIRECT(C68&amp;ROW()),TODAY())</f>
        <v>687</v>
      </c>
      <c r="L644">
        <f ca="1">DAYS360(INDIRECT(C69&amp;ROW()),TODAY())</f>
        <v>689</v>
      </c>
      <c r="M644">
        <f ca="1">HYPERLINK(CONCATENATE("https://bugzilla.houston.hp.com:1181/bugzilla/show_bug.cgi?id=",INDIRECT(C70&amp;ROW())),INDIRECT(C70&amp;ROW()))</f>
        <v>63423</v>
      </c>
      <c r="N644">
        <v>63423</v>
      </c>
      <c r="O644" t="s">
        <v>45</v>
      </c>
      <c r="P644" t="s">
        <v>1183</v>
      </c>
      <c r="Q644" t="s">
        <v>39</v>
      </c>
      <c r="R644" t="s">
        <v>251</v>
      </c>
      <c r="S644" t="s">
        <v>236</v>
      </c>
      <c r="U644" s="6">
        <v>42160.309386574074</v>
      </c>
      <c r="V644" t="s">
        <v>35</v>
      </c>
      <c r="W644" t="s">
        <v>17</v>
      </c>
      <c r="X644" s="6">
        <v>42158.957037037035</v>
      </c>
      <c r="Y644" t="s">
        <v>801</v>
      </c>
      <c r="AB644" t="s">
        <v>201</v>
      </c>
      <c r="AC644" t="s">
        <v>247</v>
      </c>
      <c r="AD644" t="s">
        <v>227</v>
      </c>
      <c r="AE644" t="s">
        <v>226</v>
      </c>
      <c r="AG644" t="s">
        <v>121</v>
      </c>
      <c r="AH644" t="s">
        <v>327</v>
      </c>
      <c r="AI644" t="s">
        <v>121</v>
      </c>
      <c r="AJ644" t="s">
        <v>715</v>
      </c>
      <c r="AK644" t="s">
        <v>121</v>
      </c>
    </row>
    <row r="645" spans="9:37" x14ac:dyDescent="0.3">
      <c r="I645">
        <f ca="1">IF(OR(INDIRECT(A73&amp;ROW())=B93,INDIRECT(A73&amp;ROW())=B94),1,IF(AND(INDIRECT(A73&amp;ROW())=B95,INDIRECT(A96&amp;ROW())=C93),1,IF(AND(INDIRECT(A73&amp;ROW())=B95,INDIRECT(A96&amp;ROW())=C94),1,0)))</f>
        <v>1</v>
      </c>
      <c r="J645">
        <f ca="1">IF(AND(INDIRECT(A73&amp;ROW())=B95,INDIRECT(A96&amp;ROW())=C95),1,IF(AND(INDIRECT(A73&amp;ROW())=B95,INDIRECT(A96&amp;ROW())=C96),1,0))</f>
        <v>0</v>
      </c>
      <c r="K645">
        <f ca="1">DAYS360(INDIRECT(C68&amp;ROW()),TODAY())</f>
        <v>687</v>
      </c>
      <c r="L645">
        <f ca="1">DAYS360(INDIRECT(C69&amp;ROW()),TODAY())</f>
        <v>688</v>
      </c>
      <c r="M645">
        <f ca="1">HYPERLINK(CONCATENATE("https://bugzilla.houston.hp.com:1181/bugzilla/show_bug.cgi?id=",INDIRECT(C70&amp;ROW())),INDIRECT(C70&amp;ROW()))</f>
        <v>63435</v>
      </c>
      <c r="N645">
        <v>63435</v>
      </c>
      <c r="O645" t="s">
        <v>56</v>
      </c>
      <c r="P645" t="s">
        <v>1182</v>
      </c>
      <c r="Q645" t="s">
        <v>39</v>
      </c>
      <c r="R645" t="s">
        <v>248</v>
      </c>
      <c r="S645" t="s">
        <v>552</v>
      </c>
      <c r="U645" s="6">
        <v>42160.398842592593</v>
      </c>
      <c r="V645" t="s">
        <v>18</v>
      </c>
      <c r="W645" t="s">
        <v>248</v>
      </c>
      <c r="X645" s="6">
        <v>42159.017280092594</v>
      </c>
      <c r="Y645" t="s">
        <v>793</v>
      </c>
      <c r="AB645" t="s">
        <v>201</v>
      </c>
      <c r="AC645" t="s">
        <v>247</v>
      </c>
      <c r="AD645" t="s">
        <v>220</v>
      </c>
      <c r="AE645" t="s">
        <v>219</v>
      </c>
      <c r="AG645" t="s">
        <v>121</v>
      </c>
      <c r="AH645" t="s">
        <v>327</v>
      </c>
      <c r="AI645" t="s">
        <v>121</v>
      </c>
      <c r="AJ645" t="s">
        <v>715</v>
      </c>
      <c r="AK645" t="s">
        <v>121</v>
      </c>
    </row>
    <row r="646" spans="9:37" x14ac:dyDescent="0.3">
      <c r="I646">
        <f ca="1">IF(OR(INDIRECT(A73&amp;ROW())=B93,INDIRECT(A73&amp;ROW())=B94),1,IF(AND(INDIRECT(A73&amp;ROW())=B95,INDIRECT(A96&amp;ROW())=C93),1,IF(AND(INDIRECT(A73&amp;ROW())=B95,INDIRECT(A96&amp;ROW())=C94),1,0)))</f>
        <v>1</v>
      </c>
      <c r="J646">
        <f ca="1">IF(AND(INDIRECT(A73&amp;ROW())=B95,INDIRECT(A96&amp;ROW())=C95),1,IF(AND(INDIRECT(A73&amp;ROW())=B95,INDIRECT(A96&amp;ROW())=C96),1,0))</f>
        <v>0</v>
      </c>
      <c r="K646">
        <f ca="1">DAYS360(INDIRECT(C68&amp;ROW()),TODAY())</f>
        <v>687</v>
      </c>
      <c r="L646">
        <f ca="1">DAYS360(INDIRECT(C69&amp;ROW()),TODAY())</f>
        <v>688</v>
      </c>
      <c r="M646">
        <f ca="1">HYPERLINK(CONCATENATE("https://bugzilla.houston.hp.com:1181/bugzilla/show_bug.cgi?id=",INDIRECT(C70&amp;ROW())),INDIRECT(C70&amp;ROW()))</f>
        <v>63460</v>
      </c>
      <c r="N646">
        <v>63460</v>
      </c>
      <c r="O646" t="s">
        <v>45</v>
      </c>
      <c r="P646" t="s">
        <v>1181</v>
      </c>
      <c r="Q646" t="s">
        <v>39</v>
      </c>
      <c r="R646" t="s">
        <v>248</v>
      </c>
      <c r="S646" t="s">
        <v>784</v>
      </c>
      <c r="U646" s="6">
        <v>42160.456469907411</v>
      </c>
      <c r="V646" t="s">
        <v>18</v>
      </c>
      <c r="W646" t="s">
        <v>17</v>
      </c>
      <c r="X646" s="6">
        <v>42159.356446759259</v>
      </c>
      <c r="Y646" t="s">
        <v>801</v>
      </c>
      <c r="AB646" t="s">
        <v>201</v>
      </c>
      <c r="AC646" t="s">
        <v>247</v>
      </c>
      <c r="AD646" t="s">
        <v>227</v>
      </c>
      <c r="AE646" t="s">
        <v>226</v>
      </c>
      <c r="AG646" t="s">
        <v>121</v>
      </c>
      <c r="AH646" t="s">
        <v>327</v>
      </c>
      <c r="AI646" t="s">
        <v>121</v>
      </c>
      <c r="AJ646" t="s">
        <v>715</v>
      </c>
      <c r="AK646" t="s">
        <v>121</v>
      </c>
    </row>
    <row r="647" spans="9:37" x14ac:dyDescent="0.3">
      <c r="I647">
        <f ca="1">IF(OR(INDIRECT(A73&amp;ROW())=B93,INDIRECT(A73&amp;ROW())=B94),1,IF(AND(INDIRECT(A73&amp;ROW())=B95,INDIRECT(A96&amp;ROW())=C93),1,IF(AND(INDIRECT(A73&amp;ROW())=B95,INDIRECT(A96&amp;ROW())=C94),1,0)))</f>
        <v>0</v>
      </c>
      <c r="J647">
        <f ca="1">IF(AND(INDIRECT(A73&amp;ROW())=B95,INDIRECT(A96&amp;ROW())=C95),1,IF(AND(INDIRECT(A73&amp;ROW())=B95,INDIRECT(A96&amp;ROW())=C96),1,0))</f>
        <v>1</v>
      </c>
      <c r="K647">
        <f ca="1">DAYS360(INDIRECT(C68&amp;ROW()),TODAY())</f>
        <v>677</v>
      </c>
      <c r="L647">
        <f ca="1">DAYS360(INDIRECT(C69&amp;ROW()),TODAY())</f>
        <v>688</v>
      </c>
      <c r="M647">
        <f ca="1">HYPERLINK(CONCATENATE("https://bugzilla.houston.hp.com:1181/bugzilla/show_bug.cgi?id=",INDIRECT(C70&amp;ROW())),INDIRECT(C70&amp;ROW()))</f>
        <v>63480</v>
      </c>
      <c r="N647">
        <v>63480</v>
      </c>
      <c r="O647" t="s">
        <v>164</v>
      </c>
      <c r="P647" t="s">
        <v>1174</v>
      </c>
      <c r="Q647" t="s">
        <v>25</v>
      </c>
      <c r="R647" t="s">
        <v>251</v>
      </c>
      <c r="S647" t="s">
        <v>1102</v>
      </c>
      <c r="U647" s="6">
        <v>42170.458807870367</v>
      </c>
      <c r="V647" t="s">
        <v>18</v>
      </c>
      <c r="W647" t="s">
        <v>17</v>
      </c>
      <c r="X647" s="6">
        <v>42159.568333333336</v>
      </c>
      <c r="Y647" t="s">
        <v>125</v>
      </c>
      <c r="AB647" t="s">
        <v>201</v>
      </c>
      <c r="AC647" t="s">
        <v>247</v>
      </c>
      <c r="AD647" t="s">
        <v>220</v>
      </c>
      <c r="AE647" t="s">
        <v>219</v>
      </c>
      <c r="AG647" t="s">
        <v>121</v>
      </c>
      <c r="AH647" t="s">
        <v>327</v>
      </c>
      <c r="AI647" t="s">
        <v>121</v>
      </c>
      <c r="AJ647" t="s">
        <v>716</v>
      </c>
      <c r="AK647" t="s">
        <v>121</v>
      </c>
    </row>
    <row r="648" spans="9:37" x14ac:dyDescent="0.3">
      <c r="I648">
        <f ca="1">IF(OR(INDIRECT(A73&amp;ROW())=B93,INDIRECT(A73&amp;ROW())=B94),1,IF(AND(INDIRECT(A73&amp;ROW())=B95,INDIRECT(A96&amp;ROW())=C93),1,IF(AND(INDIRECT(A73&amp;ROW())=B95,INDIRECT(A96&amp;ROW())=C94),1,0)))</f>
        <v>0</v>
      </c>
      <c r="J648">
        <f ca="1">IF(AND(INDIRECT(A73&amp;ROW())=B95,INDIRECT(A96&amp;ROW())=C95),1,IF(AND(INDIRECT(A73&amp;ROW())=B95,INDIRECT(A96&amp;ROW())=C96),1,0))</f>
        <v>0</v>
      </c>
      <c r="K648">
        <f ca="1">DAYS360(INDIRECT(C68&amp;ROW()),TODAY())</f>
        <v>687</v>
      </c>
      <c r="L648">
        <f ca="1">DAYS360(INDIRECT(C69&amp;ROW()),TODAY())</f>
        <v>688</v>
      </c>
      <c r="M648">
        <f ca="1">HYPERLINK(CONCATENATE("https://bugzilla.houston.hp.com:1181/bugzilla/show_bug.cgi?id=",INDIRECT(C70&amp;ROW())),INDIRECT(C70&amp;ROW()))</f>
        <v>63486</v>
      </c>
      <c r="N648">
        <v>63486</v>
      </c>
      <c r="O648" t="s">
        <v>22</v>
      </c>
      <c r="P648" t="s">
        <v>1173</v>
      </c>
      <c r="Q648" t="s">
        <v>16</v>
      </c>
      <c r="R648" t="s">
        <v>251</v>
      </c>
      <c r="S648" t="s">
        <v>1172</v>
      </c>
      <c r="U648" s="6">
        <v>42160.420474537037</v>
      </c>
      <c r="V648" t="s">
        <v>18</v>
      </c>
      <c r="W648" t="s">
        <v>783</v>
      </c>
      <c r="X648" s="6">
        <v>42159.706087962964</v>
      </c>
      <c r="Y648" t="s">
        <v>244</v>
      </c>
      <c r="AB648" t="s">
        <v>201</v>
      </c>
      <c r="AC648" t="s">
        <v>247</v>
      </c>
      <c r="AD648" t="s">
        <v>222</v>
      </c>
      <c r="AE648" t="s">
        <v>240</v>
      </c>
      <c r="AG648" t="s">
        <v>121</v>
      </c>
      <c r="AH648" t="s">
        <v>327</v>
      </c>
      <c r="AI648" t="s">
        <v>121</v>
      </c>
      <c r="AJ648" t="s">
        <v>717</v>
      </c>
      <c r="AK648" t="s">
        <v>121</v>
      </c>
    </row>
    <row r="649" spans="9:37" x14ac:dyDescent="0.3">
      <c r="I649">
        <f ca="1">IF(OR(INDIRECT(A73&amp;ROW())=B93,INDIRECT(A73&amp;ROW())=B94),1,IF(AND(INDIRECT(A73&amp;ROW())=B95,INDIRECT(A96&amp;ROW())=C93),1,IF(AND(INDIRECT(A73&amp;ROW())=B95,INDIRECT(A96&amp;ROW())=C94),1,0)))</f>
        <v>0</v>
      </c>
      <c r="J649">
        <f ca="1">IF(AND(INDIRECT(A73&amp;ROW())=B95,INDIRECT(A96&amp;ROW())=C95),1,IF(AND(INDIRECT(A73&amp;ROW())=B95,INDIRECT(A96&amp;ROW())=C96),1,0))</f>
        <v>0</v>
      </c>
      <c r="K649">
        <f ca="1">DAYS360(INDIRECT(C68&amp;ROW()),TODAY())</f>
        <v>687</v>
      </c>
      <c r="L649">
        <f ca="1">DAYS360(INDIRECT(C69&amp;ROW()),TODAY())</f>
        <v>687</v>
      </c>
      <c r="M649">
        <f ca="1">HYPERLINK(CONCATENATE("https://bugzilla.houston.hp.com:1181/bugzilla/show_bug.cgi?id=",INDIRECT(C70&amp;ROW())),INDIRECT(C70&amp;ROW()))</f>
        <v>63494</v>
      </c>
      <c r="N649">
        <v>63494</v>
      </c>
      <c r="O649" t="s">
        <v>22</v>
      </c>
      <c r="P649" t="s">
        <v>1171</v>
      </c>
      <c r="Q649" t="s">
        <v>16</v>
      </c>
      <c r="R649" t="s">
        <v>579</v>
      </c>
      <c r="S649" t="s">
        <v>552</v>
      </c>
      <c r="U649" s="6">
        <v>42160.458101851851</v>
      </c>
      <c r="V649" t="s">
        <v>18</v>
      </c>
      <c r="W649" t="s">
        <v>783</v>
      </c>
      <c r="X649" s="6">
        <v>42160.017094907409</v>
      </c>
      <c r="Y649" t="s">
        <v>244</v>
      </c>
      <c r="AB649" t="s">
        <v>201</v>
      </c>
      <c r="AC649" t="s">
        <v>247</v>
      </c>
      <c r="AD649" t="s">
        <v>222</v>
      </c>
      <c r="AE649" t="s">
        <v>240</v>
      </c>
      <c r="AG649" t="s">
        <v>121</v>
      </c>
      <c r="AH649" t="s">
        <v>327</v>
      </c>
      <c r="AI649" t="s">
        <v>121</v>
      </c>
      <c r="AJ649" t="s">
        <v>717</v>
      </c>
      <c r="AK649" t="s">
        <v>121</v>
      </c>
    </row>
    <row r="650" spans="9:37" x14ac:dyDescent="0.3">
      <c r="I650">
        <f ca="1">IF(OR(INDIRECT(A73&amp;ROW())=B93,INDIRECT(A73&amp;ROW())=B94),1,IF(AND(INDIRECT(A73&amp;ROW())=B95,INDIRECT(A96&amp;ROW())=C93),1,IF(AND(INDIRECT(A73&amp;ROW())=B95,INDIRECT(A96&amp;ROW())=C94),1,0)))</f>
        <v>0</v>
      </c>
      <c r="J650">
        <f ca="1">IF(AND(INDIRECT(A73&amp;ROW())=B95,INDIRECT(A96&amp;ROW())=C95),1,IF(AND(INDIRECT(A73&amp;ROW())=B95,INDIRECT(A96&amp;ROW())=C96),1,0))</f>
        <v>0</v>
      </c>
      <c r="K650">
        <f ca="1">DAYS360(INDIRECT(C68&amp;ROW()),TODAY())</f>
        <v>687</v>
      </c>
      <c r="L650">
        <f ca="1">DAYS360(INDIRECT(C69&amp;ROW()),TODAY())</f>
        <v>687</v>
      </c>
      <c r="M650">
        <f ca="1">HYPERLINK(CONCATENATE("https://bugzilla.houston.hp.com:1181/bugzilla/show_bug.cgi?id=",INDIRECT(C70&amp;ROW())),INDIRECT(C70&amp;ROW()))</f>
        <v>63495</v>
      </c>
      <c r="N650">
        <v>63495</v>
      </c>
      <c r="O650" t="s">
        <v>22</v>
      </c>
      <c r="P650" t="s">
        <v>1170</v>
      </c>
      <c r="Q650" t="s">
        <v>16</v>
      </c>
      <c r="R650" t="s">
        <v>783</v>
      </c>
      <c r="S650" t="s">
        <v>552</v>
      </c>
      <c r="U650" s="6">
        <v>42160.458090277774</v>
      </c>
      <c r="V650" t="s">
        <v>18</v>
      </c>
      <c r="W650" t="s">
        <v>783</v>
      </c>
      <c r="X650" s="6">
        <v>42160.017152777778</v>
      </c>
      <c r="Y650" t="s">
        <v>244</v>
      </c>
      <c r="AB650" t="s">
        <v>201</v>
      </c>
      <c r="AC650" t="s">
        <v>247</v>
      </c>
      <c r="AD650" t="s">
        <v>222</v>
      </c>
      <c r="AE650" t="s">
        <v>240</v>
      </c>
      <c r="AG650" t="s">
        <v>121</v>
      </c>
      <c r="AH650" t="s">
        <v>327</v>
      </c>
      <c r="AI650" t="s">
        <v>121</v>
      </c>
      <c r="AJ650" t="s">
        <v>717</v>
      </c>
      <c r="AK650" t="s">
        <v>121</v>
      </c>
    </row>
    <row r="651" spans="9:37" x14ac:dyDescent="0.3">
      <c r="I651">
        <f ca="1">IF(OR(INDIRECT(A73&amp;ROW())=B93,INDIRECT(A73&amp;ROW())=B94),1,IF(AND(INDIRECT(A73&amp;ROW())=B95,INDIRECT(A96&amp;ROW())=C93),1,IF(AND(INDIRECT(A73&amp;ROW())=B95,INDIRECT(A96&amp;ROW())=C94),1,0)))</f>
        <v>0</v>
      </c>
      <c r="J651">
        <f ca="1">IF(AND(INDIRECT(A73&amp;ROW())=B95,INDIRECT(A96&amp;ROW())=C95),1,IF(AND(INDIRECT(A73&amp;ROW())=B95,INDIRECT(A96&amp;ROW())=C96),1,0))</f>
        <v>0</v>
      </c>
      <c r="K651">
        <f ca="1">DAYS360(INDIRECT(C68&amp;ROW()),TODAY())</f>
        <v>687</v>
      </c>
      <c r="L651">
        <f ca="1">DAYS360(INDIRECT(C69&amp;ROW()),TODAY())</f>
        <v>687</v>
      </c>
      <c r="M651">
        <f ca="1">HYPERLINK(CONCATENATE("https://bugzilla.houston.hp.com:1181/bugzilla/show_bug.cgi?id=",INDIRECT(C70&amp;ROW())),INDIRECT(C70&amp;ROW()))</f>
        <v>63496</v>
      </c>
      <c r="N651">
        <v>63496</v>
      </c>
      <c r="O651" t="s">
        <v>22</v>
      </c>
      <c r="P651" t="s">
        <v>1169</v>
      </c>
      <c r="Q651" t="s">
        <v>16</v>
      </c>
      <c r="R651" t="s">
        <v>248</v>
      </c>
      <c r="S651" t="s">
        <v>552</v>
      </c>
      <c r="U651" s="6">
        <v>42160.458078703705</v>
      </c>
      <c r="V651" t="s">
        <v>18</v>
      </c>
      <c r="W651" t="s">
        <v>783</v>
      </c>
      <c r="X651" s="6">
        <v>42160.017199074071</v>
      </c>
      <c r="Y651" t="s">
        <v>244</v>
      </c>
      <c r="AB651" t="s">
        <v>201</v>
      </c>
      <c r="AC651" t="s">
        <v>247</v>
      </c>
      <c r="AD651" t="s">
        <v>222</v>
      </c>
      <c r="AE651" t="s">
        <v>240</v>
      </c>
      <c r="AG651" t="s">
        <v>121</v>
      </c>
      <c r="AH651" t="s">
        <v>327</v>
      </c>
      <c r="AI651" t="s">
        <v>121</v>
      </c>
      <c r="AJ651" t="s">
        <v>717</v>
      </c>
      <c r="AK651" t="s">
        <v>121</v>
      </c>
    </row>
    <row r="652" spans="9:37" x14ac:dyDescent="0.3">
      <c r="I652">
        <f ca="1">IF(OR(INDIRECT(A73&amp;ROW())=B93,INDIRECT(A73&amp;ROW())=B94),1,IF(AND(INDIRECT(A73&amp;ROW())=B95,INDIRECT(A96&amp;ROW())=C93),1,IF(AND(INDIRECT(A73&amp;ROW())=B95,INDIRECT(A96&amp;ROW())=C94),1,0)))</f>
        <v>1</v>
      </c>
      <c r="J652">
        <f ca="1">IF(AND(INDIRECT(A73&amp;ROW())=B95,INDIRECT(A96&amp;ROW())=C95),1,IF(AND(INDIRECT(A73&amp;ROW())=B95,INDIRECT(A96&amp;ROW())=C96),1,0))</f>
        <v>0</v>
      </c>
      <c r="K652">
        <f ca="1">DAYS360(INDIRECT(C68&amp;ROW()),TODAY())</f>
        <v>680</v>
      </c>
      <c r="L652">
        <f ca="1">DAYS360(INDIRECT(C69&amp;ROW()),TODAY())</f>
        <v>687</v>
      </c>
      <c r="M652">
        <f ca="1">HYPERLINK(CONCATENATE("https://bugzilla.houston.hp.com:1181/bugzilla/show_bug.cgi?id=",INDIRECT(C70&amp;ROW())),INDIRECT(C70&amp;ROW()))</f>
        <v>63527</v>
      </c>
      <c r="N652">
        <v>63527</v>
      </c>
      <c r="O652" t="s">
        <v>56</v>
      </c>
      <c r="P652" t="s">
        <v>1168</v>
      </c>
      <c r="Q652" t="s">
        <v>39</v>
      </c>
      <c r="R652" t="s">
        <v>579</v>
      </c>
      <c r="S652" t="s">
        <v>552</v>
      </c>
      <c r="U652" s="6">
        <v>42167.499826388892</v>
      </c>
      <c r="V652" t="s">
        <v>18</v>
      </c>
      <c r="W652" t="s">
        <v>17</v>
      </c>
      <c r="X652" s="6">
        <v>42160.408715277779</v>
      </c>
      <c r="Y652" t="s">
        <v>125</v>
      </c>
      <c r="AB652" t="s">
        <v>201</v>
      </c>
      <c r="AC652" t="s">
        <v>247</v>
      </c>
      <c r="AD652" t="s">
        <v>220</v>
      </c>
      <c r="AE652" t="s">
        <v>219</v>
      </c>
      <c r="AG652" t="s">
        <v>121</v>
      </c>
      <c r="AH652" t="s">
        <v>327</v>
      </c>
      <c r="AI652" t="s">
        <v>121</v>
      </c>
      <c r="AJ652" t="s">
        <v>715</v>
      </c>
      <c r="AK652" t="s">
        <v>121</v>
      </c>
    </row>
    <row r="653" spans="9:37" x14ac:dyDescent="0.3">
      <c r="I653">
        <f ca="1">IF(OR(INDIRECT(A73&amp;ROW())=B93,INDIRECT(A73&amp;ROW())=B94),1,IF(AND(INDIRECT(A73&amp;ROW())=B95,INDIRECT(A96&amp;ROW())=C93),1,IF(AND(INDIRECT(A73&amp;ROW())=B95,INDIRECT(A96&amp;ROW())=C94),1,0)))</f>
        <v>0</v>
      </c>
      <c r="J653">
        <f ca="1">IF(AND(INDIRECT(A73&amp;ROW())=B95,INDIRECT(A96&amp;ROW())=C95),1,IF(AND(INDIRECT(A73&amp;ROW())=B95,INDIRECT(A96&amp;ROW())=C96),1,0))</f>
        <v>1</v>
      </c>
      <c r="K653">
        <f ca="1">DAYS360(INDIRECT(C68&amp;ROW()),TODAY())</f>
        <v>676</v>
      </c>
      <c r="L653">
        <f ca="1">DAYS360(INDIRECT(C69&amp;ROW()),TODAY())</f>
        <v>687</v>
      </c>
      <c r="M653">
        <f ca="1">HYPERLINK(CONCATENATE("https://bugzilla.houston.hp.com:1181/bugzilla/show_bug.cgi?id=",INDIRECT(C70&amp;ROW())),INDIRECT(C70&amp;ROW()))</f>
        <v>63528</v>
      </c>
      <c r="N653">
        <v>63528</v>
      </c>
      <c r="O653" t="s">
        <v>56</v>
      </c>
      <c r="P653" t="s">
        <v>1167</v>
      </c>
      <c r="Q653" t="s">
        <v>25</v>
      </c>
      <c r="R653" t="s">
        <v>783</v>
      </c>
      <c r="S653" t="s">
        <v>552</v>
      </c>
      <c r="U653" s="6">
        <v>42171.327488425923</v>
      </c>
      <c r="V653" t="s">
        <v>18</v>
      </c>
      <c r="W653" t="s">
        <v>17</v>
      </c>
      <c r="X653" s="6">
        <v>42160.408842592595</v>
      </c>
      <c r="Y653" t="s">
        <v>125</v>
      </c>
      <c r="AB653" t="s">
        <v>201</v>
      </c>
      <c r="AC653" t="s">
        <v>247</v>
      </c>
      <c r="AD653" t="s">
        <v>220</v>
      </c>
      <c r="AE653" t="s">
        <v>219</v>
      </c>
      <c r="AG653" t="s">
        <v>588</v>
      </c>
      <c r="AH653" t="s">
        <v>327</v>
      </c>
      <c r="AI653" t="s">
        <v>121</v>
      </c>
      <c r="AJ653" t="s">
        <v>716</v>
      </c>
      <c r="AK653" t="s">
        <v>121</v>
      </c>
    </row>
    <row r="654" spans="9:37" x14ac:dyDescent="0.3">
      <c r="I654">
        <f ca="1">IF(OR(INDIRECT(A73&amp;ROW())=B93,INDIRECT(A73&amp;ROW())=B94),1,IF(AND(INDIRECT(A73&amp;ROW())=B95,INDIRECT(A96&amp;ROW())=C93),1,IF(AND(INDIRECT(A73&amp;ROW())=B95,INDIRECT(A96&amp;ROW())=C94),1,0)))</f>
        <v>1</v>
      </c>
      <c r="J654">
        <f ca="1">IF(AND(INDIRECT(A73&amp;ROW())=B95,INDIRECT(A96&amp;ROW())=C95),1,IF(AND(INDIRECT(A73&amp;ROW())=B95,INDIRECT(A96&amp;ROW())=C96),1,0))</f>
        <v>0</v>
      </c>
      <c r="K654">
        <f ca="1">DAYS360(INDIRECT(C68&amp;ROW()),TODAY())</f>
        <v>680</v>
      </c>
      <c r="L654">
        <f ca="1">DAYS360(INDIRECT(C69&amp;ROW()),TODAY())</f>
        <v>687</v>
      </c>
      <c r="M654">
        <f ca="1">HYPERLINK(CONCATENATE("https://bugzilla.houston.hp.com:1181/bugzilla/show_bug.cgi?id=",INDIRECT(C70&amp;ROW())),INDIRECT(C70&amp;ROW()))</f>
        <v>63529</v>
      </c>
      <c r="N654">
        <v>63529</v>
      </c>
      <c r="O654" t="s">
        <v>56</v>
      </c>
      <c r="P654" t="s">
        <v>1166</v>
      </c>
      <c r="Q654" t="s">
        <v>39</v>
      </c>
      <c r="R654" t="s">
        <v>248</v>
      </c>
      <c r="S654" t="s">
        <v>552</v>
      </c>
      <c r="U654" s="6">
        <v>42167.500034722223</v>
      </c>
      <c r="V654" t="s">
        <v>18</v>
      </c>
      <c r="W654" t="s">
        <v>17</v>
      </c>
      <c r="X654" s="6">
        <v>42160.40896990741</v>
      </c>
      <c r="Y654" t="s">
        <v>125</v>
      </c>
      <c r="AB654" t="s">
        <v>201</v>
      </c>
      <c r="AC654" t="s">
        <v>247</v>
      </c>
      <c r="AD654" t="s">
        <v>220</v>
      </c>
      <c r="AE654" t="s">
        <v>219</v>
      </c>
      <c r="AG654" t="s">
        <v>121</v>
      </c>
      <c r="AH654" t="s">
        <v>327</v>
      </c>
      <c r="AI654" t="s">
        <v>121</v>
      </c>
      <c r="AJ654" t="s">
        <v>715</v>
      </c>
      <c r="AK654" t="s">
        <v>121</v>
      </c>
    </row>
    <row r="655" spans="9:37" x14ac:dyDescent="0.3">
      <c r="I655">
        <f ca="1">IF(OR(INDIRECT(A73&amp;ROW())=B93,INDIRECT(A73&amp;ROW())=B94),1,IF(AND(INDIRECT(A73&amp;ROW())=B95,INDIRECT(A96&amp;ROW())=C93),1,IF(AND(INDIRECT(A73&amp;ROW())=B95,INDIRECT(A96&amp;ROW())=C94),1,0)))</f>
        <v>0</v>
      </c>
      <c r="J655">
        <f ca="1">IF(AND(INDIRECT(A73&amp;ROW())=B95,INDIRECT(A96&amp;ROW())=C95),1,IF(AND(INDIRECT(A73&amp;ROW())=B95,INDIRECT(A96&amp;ROW())=C96),1,0))</f>
        <v>0</v>
      </c>
      <c r="K655">
        <f ca="1">DAYS360(INDIRECT(C68&amp;ROW()),TODAY())</f>
        <v>687</v>
      </c>
      <c r="L655">
        <f ca="1">DAYS360(INDIRECT(C69&amp;ROW()),TODAY())</f>
        <v>687</v>
      </c>
      <c r="M655">
        <f ca="1">HYPERLINK(CONCATENATE("https://bugzilla.houston.hp.com:1181/bugzilla/show_bug.cgi?id=",INDIRECT(C70&amp;ROW())),INDIRECT(C70&amp;ROW()))</f>
        <v>63582</v>
      </c>
      <c r="N655">
        <v>63582</v>
      </c>
      <c r="O655" t="s">
        <v>292</v>
      </c>
      <c r="P655" t="s">
        <v>1161</v>
      </c>
      <c r="Q655" t="s">
        <v>16</v>
      </c>
      <c r="R655" t="s">
        <v>251</v>
      </c>
      <c r="S655" t="s">
        <v>292</v>
      </c>
      <c r="U655" s="6">
        <v>42160.545601851853</v>
      </c>
      <c r="V655" t="s">
        <v>18</v>
      </c>
      <c r="W655" t="s">
        <v>783</v>
      </c>
      <c r="X655" s="6">
        <v>42160.536643518521</v>
      </c>
      <c r="Y655" t="s">
        <v>122</v>
      </c>
      <c r="AB655" t="s">
        <v>201</v>
      </c>
      <c r="AC655" t="s">
        <v>247</v>
      </c>
      <c r="AD655" t="s">
        <v>220</v>
      </c>
      <c r="AE655" t="s">
        <v>219</v>
      </c>
      <c r="AG655" t="s">
        <v>121</v>
      </c>
      <c r="AH655" t="s">
        <v>327</v>
      </c>
      <c r="AI655" t="s">
        <v>121</v>
      </c>
      <c r="AJ655" t="s">
        <v>717</v>
      </c>
      <c r="AK655" t="s">
        <v>121</v>
      </c>
    </row>
    <row r="656" spans="9:37" x14ac:dyDescent="0.3">
      <c r="I656">
        <f ca="1">IF(OR(INDIRECT(A73&amp;ROW())=B93,INDIRECT(A73&amp;ROW())=B94),1,IF(AND(INDIRECT(A73&amp;ROW())=B95,INDIRECT(A96&amp;ROW())=C93),1,IF(AND(INDIRECT(A73&amp;ROW())=B95,INDIRECT(A96&amp;ROW())=C94),1,0)))</f>
        <v>0</v>
      </c>
      <c r="J656">
        <f ca="1">IF(AND(INDIRECT(A73&amp;ROW())=B95,INDIRECT(A96&amp;ROW())=C95),1,IF(AND(INDIRECT(A73&amp;ROW())=B95,INDIRECT(A96&amp;ROW())=C96),1,0))</f>
        <v>0</v>
      </c>
      <c r="K656">
        <f ca="1">DAYS360(INDIRECT(C68&amp;ROW()),TODAY())</f>
        <v>687</v>
      </c>
      <c r="L656">
        <f ca="1">DAYS360(INDIRECT(C69&amp;ROW()),TODAY())</f>
        <v>687</v>
      </c>
      <c r="M656">
        <f ca="1">HYPERLINK(CONCATENATE("https://bugzilla.houston.hp.com:1181/bugzilla/show_bug.cgi?id=",INDIRECT(C70&amp;ROW())),INDIRECT(C70&amp;ROW()))</f>
        <v>63584</v>
      </c>
      <c r="N656">
        <v>63584</v>
      </c>
      <c r="O656" t="s">
        <v>292</v>
      </c>
      <c r="P656" t="s">
        <v>1160</v>
      </c>
      <c r="Q656" t="s">
        <v>16</v>
      </c>
      <c r="R656" t="s">
        <v>248</v>
      </c>
      <c r="S656" t="s">
        <v>552</v>
      </c>
      <c r="U656" s="6">
        <v>42160.545601851853</v>
      </c>
      <c r="V656" t="s">
        <v>18</v>
      </c>
      <c r="W656" t="s">
        <v>783</v>
      </c>
      <c r="X656" s="6">
        <v>42160.545601851853</v>
      </c>
      <c r="Y656" t="s">
        <v>122</v>
      </c>
      <c r="AB656" t="s">
        <v>201</v>
      </c>
      <c r="AC656" t="s">
        <v>247</v>
      </c>
      <c r="AD656" t="s">
        <v>220</v>
      </c>
      <c r="AE656" t="s">
        <v>219</v>
      </c>
      <c r="AG656" t="s">
        <v>121</v>
      </c>
      <c r="AH656" t="s">
        <v>327</v>
      </c>
      <c r="AI656" t="s">
        <v>121</v>
      </c>
      <c r="AJ656" t="s">
        <v>717</v>
      </c>
      <c r="AK656" t="s">
        <v>121</v>
      </c>
    </row>
    <row r="657" spans="9:37" x14ac:dyDescent="0.3">
      <c r="I657">
        <f ca="1">IF(OR(INDIRECT(A73&amp;ROW())=B93,INDIRECT(A73&amp;ROW())=B94),1,IF(AND(INDIRECT(A73&amp;ROW())=B95,INDIRECT(A96&amp;ROW())=C93),1,IF(AND(INDIRECT(A73&amp;ROW())=B95,INDIRECT(A96&amp;ROW())=C94),1,0)))</f>
        <v>0</v>
      </c>
      <c r="J657">
        <f ca="1">IF(AND(INDIRECT(A73&amp;ROW())=B95,INDIRECT(A96&amp;ROW())=C95),1,IF(AND(INDIRECT(A73&amp;ROW())=B95,INDIRECT(A96&amp;ROW())=C96),1,0))</f>
        <v>0</v>
      </c>
      <c r="K657">
        <f ca="1">DAYS360(INDIRECT(C68&amp;ROW()),TODAY())</f>
        <v>684</v>
      </c>
      <c r="L657">
        <f ca="1">DAYS360(INDIRECT(C69&amp;ROW()),TODAY())</f>
        <v>684</v>
      </c>
      <c r="M657">
        <f ca="1">HYPERLINK(CONCATENATE("https://bugzilla.houston.hp.com:1181/bugzilla/show_bug.cgi?id=",INDIRECT(C70&amp;ROW())),INDIRECT(C70&amp;ROW()))</f>
        <v>63655</v>
      </c>
      <c r="N657">
        <v>63655</v>
      </c>
      <c r="O657" t="s">
        <v>856</v>
      </c>
      <c r="P657" t="s">
        <v>1238</v>
      </c>
      <c r="Q657" t="s">
        <v>16</v>
      </c>
      <c r="R657" t="s">
        <v>248</v>
      </c>
      <c r="S657" t="s">
        <v>856</v>
      </c>
      <c r="U657" s="6">
        <v>42163.22283564815</v>
      </c>
      <c r="V657" t="s">
        <v>35</v>
      </c>
      <c r="W657" t="s">
        <v>248</v>
      </c>
      <c r="X657" s="6">
        <v>42163.215277777781</v>
      </c>
      <c r="Y657" t="s">
        <v>788</v>
      </c>
      <c r="AB657" t="s">
        <v>201</v>
      </c>
      <c r="AC657" t="s">
        <v>247</v>
      </c>
      <c r="AD657" t="s">
        <v>220</v>
      </c>
      <c r="AE657" t="s">
        <v>219</v>
      </c>
      <c r="AG657" t="s">
        <v>121</v>
      </c>
      <c r="AH657" t="s">
        <v>64</v>
      </c>
      <c r="AI657" t="s">
        <v>121</v>
      </c>
      <c r="AJ657" t="s">
        <v>717</v>
      </c>
      <c r="AK657" t="s">
        <v>121</v>
      </c>
    </row>
    <row r="658" spans="9:37" x14ac:dyDescent="0.3">
      <c r="I658">
        <f ca="1">IF(OR(INDIRECT(A73&amp;ROW())=B93,INDIRECT(A73&amp;ROW())=B94),1,IF(AND(INDIRECT(A73&amp;ROW())=B95,INDIRECT(A96&amp;ROW())=C93),1,IF(AND(INDIRECT(A73&amp;ROW())=B95,INDIRECT(A96&amp;ROW())=C94),1,0)))</f>
        <v>0</v>
      </c>
      <c r="J658">
        <f ca="1">IF(AND(INDIRECT(A73&amp;ROW())=B95,INDIRECT(A96&amp;ROW())=C95),1,IF(AND(INDIRECT(A73&amp;ROW())=B95,INDIRECT(A96&amp;ROW())=C96),1,0))</f>
        <v>0</v>
      </c>
      <c r="K658">
        <f ca="1">DAYS360(INDIRECT(C68&amp;ROW()),TODAY())</f>
        <v>684</v>
      </c>
      <c r="L658">
        <f ca="1">DAYS360(INDIRECT(C69&amp;ROW()),TODAY())</f>
        <v>684</v>
      </c>
      <c r="M658">
        <f ca="1">HYPERLINK(CONCATENATE("https://bugzilla.houston.hp.com:1181/bugzilla/show_bug.cgi?id=",INDIRECT(C70&amp;ROW())),INDIRECT(C70&amp;ROW()))</f>
        <v>63657</v>
      </c>
      <c r="N658">
        <v>63657</v>
      </c>
      <c r="O658" t="s">
        <v>856</v>
      </c>
      <c r="P658" t="s">
        <v>1237</v>
      </c>
      <c r="Q658" t="s">
        <v>16</v>
      </c>
      <c r="R658" t="s">
        <v>248</v>
      </c>
      <c r="S658" t="s">
        <v>856</v>
      </c>
      <c r="U658" s="6">
        <v>42163.227430555555</v>
      </c>
      <c r="V658" t="s">
        <v>18</v>
      </c>
      <c r="W658" t="s">
        <v>248</v>
      </c>
      <c r="X658" s="6">
        <v>42163.227430555555</v>
      </c>
      <c r="Y658" t="s">
        <v>788</v>
      </c>
      <c r="AB658" t="s">
        <v>201</v>
      </c>
      <c r="AC658" t="s">
        <v>247</v>
      </c>
      <c r="AD658" t="s">
        <v>220</v>
      </c>
      <c r="AE658" t="s">
        <v>219</v>
      </c>
      <c r="AG658" t="s">
        <v>121</v>
      </c>
      <c r="AH658" t="s">
        <v>64</v>
      </c>
      <c r="AI658" t="s">
        <v>121</v>
      </c>
      <c r="AJ658" t="s">
        <v>717</v>
      </c>
      <c r="AK658" t="s">
        <v>121</v>
      </c>
    </row>
    <row r="659" spans="9:37" x14ac:dyDescent="0.3">
      <c r="I659">
        <f ca="1">IF(OR(INDIRECT(A73&amp;ROW())=B93,INDIRECT(A73&amp;ROW())=B94),1,IF(AND(INDIRECT(A73&amp;ROW())=B95,INDIRECT(A96&amp;ROW())=C93),1,IF(AND(INDIRECT(A73&amp;ROW())=B95,INDIRECT(A96&amp;ROW())=C94),1,0)))</f>
        <v>1</v>
      </c>
      <c r="J659">
        <f ca="1">IF(AND(INDIRECT(A73&amp;ROW())=B95,INDIRECT(A96&amp;ROW())=C95),1,IF(AND(INDIRECT(A73&amp;ROW())=B95,INDIRECT(A96&amp;ROW())=C96),1,0))</f>
        <v>0</v>
      </c>
      <c r="K659">
        <f ca="1">DAYS360(INDIRECT(C68&amp;ROW()),TODAY())</f>
        <v>682</v>
      </c>
      <c r="L659">
        <f ca="1">DAYS360(INDIRECT(C69&amp;ROW()),TODAY())</f>
        <v>684</v>
      </c>
      <c r="M659">
        <f ca="1">HYPERLINK(CONCATENATE("https://bugzilla.houston.hp.com:1181/bugzilla/show_bug.cgi?id=",INDIRECT(C70&amp;ROW())),INDIRECT(C70&amp;ROW()))</f>
        <v>63709</v>
      </c>
      <c r="N659">
        <v>63709</v>
      </c>
      <c r="O659" t="s">
        <v>53</v>
      </c>
      <c r="P659" t="s">
        <v>1236</v>
      </c>
      <c r="Q659" t="s">
        <v>39</v>
      </c>
      <c r="R659" t="s">
        <v>251</v>
      </c>
      <c r="S659" t="s">
        <v>177</v>
      </c>
      <c r="U659" s="6">
        <v>42165.970775462964</v>
      </c>
      <c r="V659" t="s">
        <v>18</v>
      </c>
      <c r="W659" t="s">
        <v>783</v>
      </c>
      <c r="X659" s="6">
        <v>42163.646435185183</v>
      </c>
      <c r="Y659" t="s">
        <v>245</v>
      </c>
      <c r="AB659" t="s">
        <v>201</v>
      </c>
      <c r="AC659" t="s">
        <v>247</v>
      </c>
      <c r="AD659" t="s">
        <v>227</v>
      </c>
      <c r="AE659" t="s">
        <v>237</v>
      </c>
      <c r="AG659" t="s">
        <v>121</v>
      </c>
      <c r="AH659" t="s">
        <v>327</v>
      </c>
      <c r="AI659" t="s">
        <v>121</v>
      </c>
      <c r="AJ659" t="s">
        <v>715</v>
      </c>
      <c r="AK659" t="s">
        <v>121</v>
      </c>
    </row>
    <row r="660" spans="9:37" x14ac:dyDescent="0.3">
      <c r="I660">
        <f ca="1">IF(OR(INDIRECT(A73&amp;ROW())=B93,INDIRECT(A73&amp;ROW())=B94),1,IF(AND(INDIRECT(A73&amp;ROW())=B95,INDIRECT(A96&amp;ROW())=C93),1,IF(AND(INDIRECT(A73&amp;ROW())=B95,INDIRECT(A96&amp;ROW())=C94),1,0)))</f>
        <v>1</v>
      </c>
      <c r="J660">
        <f ca="1">IF(AND(INDIRECT(A73&amp;ROW())=B95,INDIRECT(A96&amp;ROW())=C95),1,IF(AND(INDIRECT(A73&amp;ROW())=B95,INDIRECT(A96&amp;ROW())=C96),1,0))</f>
        <v>0</v>
      </c>
      <c r="K660">
        <f ca="1">DAYS360(INDIRECT(C68&amp;ROW()),TODAY())</f>
        <v>682</v>
      </c>
      <c r="L660">
        <f ca="1">DAYS360(INDIRECT(C69&amp;ROW()),TODAY())</f>
        <v>683</v>
      </c>
      <c r="M660">
        <f ca="1">HYPERLINK(CONCATENATE("https://bugzilla.houston.hp.com:1181/bugzilla/show_bug.cgi?id=",INDIRECT(C70&amp;ROW())),INDIRECT(C70&amp;ROW()))</f>
        <v>63742</v>
      </c>
      <c r="N660">
        <v>63742</v>
      </c>
      <c r="O660" t="s">
        <v>53</v>
      </c>
      <c r="P660" t="s">
        <v>1235</v>
      </c>
      <c r="Q660" t="s">
        <v>39</v>
      </c>
      <c r="R660" t="s">
        <v>579</v>
      </c>
      <c r="S660" t="s">
        <v>552</v>
      </c>
      <c r="U660" s="6">
        <v>42165.970821759256</v>
      </c>
      <c r="V660" t="s">
        <v>18</v>
      </c>
      <c r="W660" t="s">
        <v>783</v>
      </c>
      <c r="X660" s="6">
        <v>42164.017245370371</v>
      </c>
      <c r="Y660" t="s">
        <v>245</v>
      </c>
      <c r="AB660" t="s">
        <v>201</v>
      </c>
      <c r="AC660" t="s">
        <v>247</v>
      </c>
      <c r="AD660" t="s">
        <v>227</v>
      </c>
      <c r="AE660" t="s">
        <v>237</v>
      </c>
      <c r="AG660" t="s">
        <v>121</v>
      </c>
      <c r="AH660" t="s">
        <v>327</v>
      </c>
      <c r="AI660" t="s">
        <v>121</v>
      </c>
      <c r="AJ660" t="s">
        <v>715</v>
      </c>
      <c r="AK660" t="s">
        <v>121</v>
      </c>
    </row>
    <row r="661" spans="9:37" x14ac:dyDescent="0.3">
      <c r="I661">
        <f ca="1">IF(OR(INDIRECT(A73&amp;ROW())=B93,INDIRECT(A73&amp;ROW())=B94),1,IF(AND(INDIRECT(A73&amp;ROW())=B95,INDIRECT(A96&amp;ROW())=C93),1,IF(AND(INDIRECT(A73&amp;ROW())=B95,INDIRECT(A96&amp;ROW())=C94),1,0)))</f>
        <v>1</v>
      </c>
      <c r="J661">
        <f ca="1">IF(AND(INDIRECT(A73&amp;ROW())=B95,INDIRECT(A96&amp;ROW())=C95),1,IF(AND(INDIRECT(A73&amp;ROW())=B95,INDIRECT(A96&amp;ROW())=C96),1,0))</f>
        <v>0</v>
      </c>
      <c r="K661">
        <f ca="1">DAYS360(INDIRECT(C68&amp;ROW()),TODAY())</f>
        <v>682</v>
      </c>
      <c r="L661">
        <f ca="1">DAYS360(INDIRECT(C69&amp;ROW()),TODAY())</f>
        <v>683</v>
      </c>
      <c r="M661">
        <f ca="1">HYPERLINK(CONCATENATE("https://bugzilla.houston.hp.com:1181/bugzilla/show_bug.cgi?id=",INDIRECT(C70&amp;ROW())),INDIRECT(C70&amp;ROW()))</f>
        <v>63743</v>
      </c>
      <c r="N661">
        <v>63743</v>
      </c>
      <c r="O661" t="s">
        <v>53</v>
      </c>
      <c r="P661" t="s">
        <v>1234</v>
      </c>
      <c r="Q661" t="s">
        <v>39</v>
      </c>
      <c r="R661" t="s">
        <v>248</v>
      </c>
      <c r="S661" t="s">
        <v>552</v>
      </c>
      <c r="U661" s="6">
        <v>42165.970821759256</v>
      </c>
      <c r="V661" t="s">
        <v>18</v>
      </c>
      <c r="W661" t="s">
        <v>783</v>
      </c>
      <c r="X661" s="6">
        <v>42164.017314814817</v>
      </c>
      <c r="Y661" t="s">
        <v>245</v>
      </c>
      <c r="AB661" t="s">
        <v>201</v>
      </c>
      <c r="AC661" t="s">
        <v>247</v>
      </c>
      <c r="AD661" t="s">
        <v>227</v>
      </c>
      <c r="AE661" t="s">
        <v>237</v>
      </c>
      <c r="AG661" t="s">
        <v>121</v>
      </c>
      <c r="AH661" t="s">
        <v>327</v>
      </c>
      <c r="AI661" t="s">
        <v>121</v>
      </c>
      <c r="AJ661" t="s">
        <v>715</v>
      </c>
      <c r="AK661" t="s">
        <v>121</v>
      </c>
    </row>
    <row r="662" spans="9:37" x14ac:dyDescent="0.3">
      <c r="I662">
        <f ca="1">IF(OR(INDIRECT(A73&amp;ROW())=B93,INDIRECT(A73&amp;ROW())=B94),1,IF(AND(INDIRECT(A73&amp;ROW())=B95,INDIRECT(A96&amp;ROW())=C93),1,IF(AND(INDIRECT(A73&amp;ROW())=B95,INDIRECT(A96&amp;ROW())=C94),1,0)))</f>
        <v>1</v>
      </c>
      <c r="J662">
        <f ca="1">IF(AND(INDIRECT(A73&amp;ROW())=B95,INDIRECT(A96&amp;ROW())=C95),1,IF(AND(INDIRECT(A73&amp;ROW())=B95,INDIRECT(A96&amp;ROW())=C96),1,0))</f>
        <v>0</v>
      </c>
      <c r="K662">
        <f ca="1">DAYS360(INDIRECT(C68&amp;ROW()),TODAY())</f>
        <v>683</v>
      </c>
      <c r="L662">
        <f ca="1">DAYS360(INDIRECT(C69&amp;ROW()),TODAY())</f>
        <v>683</v>
      </c>
      <c r="M662">
        <f ca="1">HYPERLINK(CONCATENATE("https://bugzilla.houston.hp.com:1181/bugzilla/show_bug.cgi?id=",INDIRECT(C70&amp;ROW())),INDIRECT(C70&amp;ROW()))</f>
        <v>63782</v>
      </c>
      <c r="N662">
        <v>63782</v>
      </c>
      <c r="O662" t="s">
        <v>1233</v>
      </c>
      <c r="P662" t="s">
        <v>1232</v>
      </c>
      <c r="Q662" t="s">
        <v>39</v>
      </c>
      <c r="R662" t="s">
        <v>248</v>
      </c>
      <c r="S662" t="s">
        <v>552</v>
      </c>
      <c r="U662" s="6">
        <v>42164.441678240742</v>
      </c>
      <c r="V662" t="s">
        <v>18</v>
      </c>
      <c r="W662" t="s">
        <v>248</v>
      </c>
      <c r="X662" s="6">
        <v>42164.441678240742</v>
      </c>
      <c r="Y662" t="s">
        <v>255</v>
      </c>
      <c r="AB662" t="s">
        <v>201</v>
      </c>
      <c r="AC662" t="s">
        <v>247</v>
      </c>
      <c r="AD662" t="s">
        <v>220</v>
      </c>
      <c r="AE662" t="s">
        <v>229</v>
      </c>
      <c r="AG662" t="s">
        <v>121</v>
      </c>
      <c r="AH662" t="s">
        <v>328</v>
      </c>
      <c r="AI662" t="s">
        <v>121</v>
      </c>
      <c r="AJ662" t="s">
        <v>715</v>
      </c>
      <c r="AK662" t="s">
        <v>121</v>
      </c>
    </row>
    <row r="663" spans="9:37" x14ac:dyDescent="0.3">
      <c r="I663">
        <f ca="1">IF(OR(INDIRECT(A73&amp;ROW())=B93,INDIRECT(A73&amp;ROW())=B94),1,IF(AND(INDIRECT(A73&amp;ROW())=B95,INDIRECT(A96&amp;ROW())=C93),1,IF(AND(INDIRECT(A73&amp;ROW())=B95,INDIRECT(A96&amp;ROW())=C94),1,0)))</f>
        <v>0</v>
      </c>
      <c r="J663">
        <f ca="1">IF(AND(INDIRECT(A73&amp;ROW())=B95,INDIRECT(A96&amp;ROW())=C95),1,IF(AND(INDIRECT(A73&amp;ROW())=B95,INDIRECT(A96&amp;ROW())=C96),1,0))</f>
        <v>1</v>
      </c>
      <c r="K663">
        <f ca="1">DAYS360(INDIRECT(C68&amp;ROW()),TODAY())</f>
        <v>683</v>
      </c>
      <c r="L663">
        <f ca="1">DAYS360(INDIRECT(C69&amp;ROW()),TODAY())</f>
        <v>683</v>
      </c>
      <c r="M663">
        <f ca="1">HYPERLINK(CONCATENATE("https://bugzilla.houston.hp.com:1181/bugzilla/show_bug.cgi?id=",INDIRECT(C70&amp;ROW())),INDIRECT(C70&amp;ROW()))</f>
        <v>63783</v>
      </c>
      <c r="N663">
        <v>63783</v>
      </c>
      <c r="O663" t="s">
        <v>56</v>
      </c>
      <c r="P663" t="s">
        <v>1231</v>
      </c>
      <c r="Q663" t="s">
        <v>25</v>
      </c>
      <c r="R663" t="s">
        <v>248</v>
      </c>
      <c r="S663" t="s">
        <v>552</v>
      </c>
      <c r="U663" s="6">
        <v>42164.444201388891</v>
      </c>
      <c r="V663" t="s">
        <v>18</v>
      </c>
      <c r="W663" t="s">
        <v>248</v>
      </c>
      <c r="X663" s="6">
        <v>42164.444201388891</v>
      </c>
      <c r="Y663" t="s">
        <v>124</v>
      </c>
      <c r="AB663" t="s">
        <v>201</v>
      </c>
      <c r="AC663" t="s">
        <v>247</v>
      </c>
      <c r="AD663" t="s">
        <v>220</v>
      </c>
      <c r="AE663" t="s">
        <v>219</v>
      </c>
      <c r="AG663" t="s">
        <v>121</v>
      </c>
      <c r="AH663" t="s">
        <v>327</v>
      </c>
      <c r="AI663" t="s">
        <v>121</v>
      </c>
      <c r="AJ663" t="s">
        <v>716</v>
      </c>
      <c r="AK663" t="s">
        <v>121</v>
      </c>
    </row>
    <row r="664" spans="9:37" x14ac:dyDescent="0.3">
      <c r="I664">
        <f ca="1">IF(OR(INDIRECT(A73&amp;ROW())=B93,INDIRECT(A73&amp;ROW())=B94),1,IF(AND(INDIRECT(A73&amp;ROW())=B95,INDIRECT(A96&amp;ROW())=C93),1,IF(AND(INDIRECT(A73&amp;ROW())=B95,INDIRECT(A96&amp;ROW())=C94),1,0)))</f>
        <v>1</v>
      </c>
      <c r="J664">
        <f ca="1">IF(AND(INDIRECT(A73&amp;ROW())=B95,INDIRECT(A96&amp;ROW())=C95),1,IF(AND(INDIRECT(A73&amp;ROW())=B95,INDIRECT(A96&amp;ROW())=C96),1,0))</f>
        <v>0</v>
      </c>
      <c r="K664">
        <f ca="1">DAYS360(INDIRECT(C68&amp;ROW()),TODAY())</f>
        <v>676</v>
      </c>
      <c r="L664">
        <f ca="1">DAYS360(INDIRECT(C69&amp;ROW()),TODAY())</f>
        <v>683</v>
      </c>
      <c r="M664">
        <f ca="1">HYPERLINK(CONCATENATE("https://bugzilla.houston.hp.com:1181/bugzilla/show_bug.cgi?id=",INDIRECT(C70&amp;ROW())),INDIRECT(C70&amp;ROW()))</f>
        <v>63791</v>
      </c>
      <c r="N664">
        <v>63791</v>
      </c>
      <c r="O664" t="s">
        <v>66</v>
      </c>
      <c r="P664" t="s">
        <v>1230</v>
      </c>
      <c r="Q664" t="s">
        <v>25</v>
      </c>
      <c r="R664" t="s">
        <v>251</v>
      </c>
      <c r="S664" t="s">
        <v>24</v>
      </c>
      <c r="U664" s="6">
        <v>42171.249942129631</v>
      </c>
      <c r="V664" t="s">
        <v>40</v>
      </c>
      <c r="W664" t="s">
        <v>783</v>
      </c>
      <c r="X664" s="6">
        <v>42164.610868055555</v>
      </c>
      <c r="Y664" t="s">
        <v>119</v>
      </c>
      <c r="AB664" t="s">
        <v>199</v>
      </c>
      <c r="AC664" t="s">
        <v>247</v>
      </c>
      <c r="AD664" t="s">
        <v>220</v>
      </c>
      <c r="AE664" t="s">
        <v>219</v>
      </c>
      <c r="AG664" t="s">
        <v>121</v>
      </c>
      <c r="AH664" t="s">
        <v>327</v>
      </c>
      <c r="AI664" t="s">
        <v>121</v>
      </c>
      <c r="AJ664" t="s">
        <v>715</v>
      </c>
      <c r="AK664" t="s">
        <v>121</v>
      </c>
    </row>
    <row r="665" spans="9:37" x14ac:dyDescent="0.3">
      <c r="I665">
        <f ca="1">IF(OR(INDIRECT(A73&amp;ROW())=B93,INDIRECT(A73&amp;ROW())=B94),1,IF(AND(INDIRECT(A73&amp;ROW())=B95,INDIRECT(A96&amp;ROW())=C93),1,IF(AND(INDIRECT(A73&amp;ROW())=B95,INDIRECT(A96&amp;ROW())=C94),1,0)))</f>
        <v>0</v>
      </c>
      <c r="J665">
        <f ca="1">IF(AND(INDIRECT(A73&amp;ROW())=B95,INDIRECT(A96&amp;ROW())=C95),1,IF(AND(INDIRECT(A73&amp;ROW())=B95,INDIRECT(A96&amp;ROW())=C96),1,0))</f>
        <v>1</v>
      </c>
      <c r="K665">
        <f ca="1">DAYS360(INDIRECT(C68&amp;ROW()),TODAY())</f>
        <v>682</v>
      </c>
      <c r="L665">
        <f ca="1">DAYS360(INDIRECT(C69&amp;ROW()),TODAY())</f>
        <v>682</v>
      </c>
      <c r="M665">
        <f ca="1">HYPERLINK(CONCATENATE("https://bugzilla.houston.hp.com:1181/bugzilla/show_bug.cgi?id=",INDIRECT(C70&amp;ROW())),INDIRECT(C70&amp;ROW()))</f>
        <v>63807</v>
      </c>
      <c r="N665">
        <v>63807</v>
      </c>
      <c r="O665" t="s">
        <v>56</v>
      </c>
      <c r="P665" t="s">
        <v>1229</v>
      </c>
      <c r="Q665" t="s">
        <v>25</v>
      </c>
      <c r="R665" t="s">
        <v>248</v>
      </c>
      <c r="S665" t="s">
        <v>552</v>
      </c>
      <c r="U665" s="6">
        <v>42165.060370370367</v>
      </c>
      <c r="V665" t="s">
        <v>18</v>
      </c>
      <c r="W665" t="s">
        <v>248</v>
      </c>
      <c r="X665" s="6">
        <v>42165.017500000002</v>
      </c>
      <c r="Y665" t="s">
        <v>124</v>
      </c>
      <c r="AB665" t="s">
        <v>201</v>
      </c>
      <c r="AC665" t="s">
        <v>247</v>
      </c>
      <c r="AD665" t="s">
        <v>220</v>
      </c>
      <c r="AE665" t="s">
        <v>219</v>
      </c>
      <c r="AG665" t="s">
        <v>121</v>
      </c>
      <c r="AH665" t="s">
        <v>327</v>
      </c>
      <c r="AI665" t="s">
        <v>121</v>
      </c>
      <c r="AJ665" t="s">
        <v>716</v>
      </c>
      <c r="AK665" t="s">
        <v>121</v>
      </c>
    </row>
    <row r="666" spans="9:37" x14ac:dyDescent="0.3">
      <c r="I666">
        <f ca="1">IF(OR(INDIRECT(A73&amp;ROW())=B93,INDIRECT(A73&amp;ROW())=B94),1,IF(AND(INDIRECT(A73&amp;ROW())=B95,INDIRECT(A96&amp;ROW())=C93),1,IF(AND(INDIRECT(A73&amp;ROW())=B95,INDIRECT(A96&amp;ROW())=C94),1,0)))</f>
        <v>0</v>
      </c>
      <c r="J666">
        <f ca="1">IF(AND(INDIRECT(A73&amp;ROW())=B95,INDIRECT(A96&amp;ROW())=C95),1,IF(AND(INDIRECT(A73&amp;ROW())=B95,INDIRECT(A96&amp;ROW())=C96),1,0))</f>
        <v>0</v>
      </c>
      <c r="K666">
        <f ca="1">DAYS360(INDIRECT(C68&amp;ROW()),TODAY())</f>
        <v>677</v>
      </c>
      <c r="L666">
        <f ca="1">DAYS360(INDIRECT(C69&amp;ROW()),TODAY())</f>
        <v>682</v>
      </c>
      <c r="M666">
        <f ca="1">HYPERLINK(CONCATENATE("https://bugzilla.houston.hp.com:1181/bugzilla/show_bug.cgi?id=",INDIRECT(C70&amp;ROW())),INDIRECT(C70&amp;ROW()))</f>
        <v>63824</v>
      </c>
      <c r="N666">
        <v>63824</v>
      </c>
      <c r="O666" t="s">
        <v>187</v>
      </c>
      <c r="P666" t="s">
        <v>1228</v>
      </c>
      <c r="Q666" t="s">
        <v>16</v>
      </c>
      <c r="R666" t="s">
        <v>251</v>
      </c>
      <c r="S666" t="s">
        <v>24</v>
      </c>
      <c r="T666" t="s">
        <v>54</v>
      </c>
      <c r="U666" s="6">
        <v>42170.574062500003</v>
      </c>
      <c r="V666" t="s">
        <v>35</v>
      </c>
      <c r="W666" t="s">
        <v>783</v>
      </c>
      <c r="X666" s="6">
        <v>42165.309444444443</v>
      </c>
      <c r="Y666" t="s">
        <v>119</v>
      </c>
      <c r="AB666" t="s">
        <v>200</v>
      </c>
      <c r="AC666" t="s">
        <v>247</v>
      </c>
      <c r="AD666" t="s">
        <v>220</v>
      </c>
      <c r="AE666" t="s">
        <v>219</v>
      </c>
      <c r="AG666" t="s">
        <v>121</v>
      </c>
      <c r="AH666" t="s">
        <v>327</v>
      </c>
      <c r="AI666" t="s">
        <v>121</v>
      </c>
      <c r="AJ666" t="s">
        <v>716</v>
      </c>
      <c r="AK666" t="s">
        <v>121</v>
      </c>
    </row>
    <row r="667" spans="9:37" x14ac:dyDescent="0.3">
      <c r="I667">
        <f ca="1">IF(OR(INDIRECT(A73&amp;ROW())=B93,INDIRECT(A73&amp;ROW())=B94),1,IF(AND(INDIRECT(A73&amp;ROW())=B95,INDIRECT(A96&amp;ROW())=C93),1,IF(AND(INDIRECT(A73&amp;ROW())=B95,INDIRECT(A96&amp;ROW())=C94),1,0)))</f>
        <v>0</v>
      </c>
      <c r="J667">
        <f ca="1">IF(AND(INDIRECT(A73&amp;ROW())=B95,INDIRECT(A96&amp;ROW())=C95),1,IF(AND(INDIRECT(A73&amp;ROW())=B95,INDIRECT(A96&amp;ROW())=C96),1,0))</f>
        <v>0</v>
      </c>
      <c r="K667">
        <f ca="1">DAYS360(INDIRECT(C68&amp;ROW()),TODAY())</f>
        <v>676</v>
      </c>
      <c r="L667">
        <f ca="1">DAYS360(INDIRECT(C69&amp;ROW()),TODAY())</f>
        <v>682</v>
      </c>
      <c r="M667">
        <f ca="1">HYPERLINK(CONCATENATE("https://bugzilla.houston.hp.com:1181/bugzilla/show_bug.cgi?id=",INDIRECT(C70&amp;ROW())),INDIRECT(C70&amp;ROW()))</f>
        <v>63843</v>
      </c>
      <c r="N667">
        <v>63843</v>
      </c>
      <c r="O667" t="s">
        <v>187</v>
      </c>
      <c r="P667" t="s">
        <v>1227</v>
      </c>
      <c r="Q667" t="s">
        <v>16</v>
      </c>
      <c r="R667" t="s">
        <v>579</v>
      </c>
      <c r="S667" t="s">
        <v>552</v>
      </c>
      <c r="U667" s="6">
        <v>42171.163634259261</v>
      </c>
      <c r="V667" t="s">
        <v>18</v>
      </c>
      <c r="W667" t="s">
        <v>783</v>
      </c>
      <c r="X667" s="6">
        <v>42165.51840277778</v>
      </c>
      <c r="Y667" t="s">
        <v>119</v>
      </c>
      <c r="AB667" t="s">
        <v>200</v>
      </c>
      <c r="AC667" t="s">
        <v>247</v>
      </c>
      <c r="AD667" t="s">
        <v>220</v>
      </c>
      <c r="AE667" t="s">
        <v>219</v>
      </c>
      <c r="AG667" t="s">
        <v>121</v>
      </c>
      <c r="AH667" t="s">
        <v>327</v>
      </c>
      <c r="AI667" t="s">
        <v>121</v>
      </c>
      <c r="AJ667" t="s">
        <v>716</v>
      </c>
      <c r="AK667" t="s">
        <v>121</v>
      </c>
    </row>
    <row r="668" spans="9:37" x14ac:dyDescent="0.3">
      <c r="I668">
        <f ca="1">IF(OR(INDIRECT(A73&amp;ROW())=B93,INDIRECT(A73&amp;ROW())=B94),1,IF(AND(INDIRECT(A73&amp;ROW())=B95,INDIRECT(A96&amp;ROW())=C93),1,IF(AND(INDIRECT(A73&amp;ROW())=B95,INDIRECT(A96&amp;ROW())=C94),1,0)))</f>
        <v>0</v>
      </c>
      <c r="J668">
        <f ca="1">IF(AND(INDIRECT(A73&amp;ROW())=B95,INDIRECT(A96&amp;ROW())=C95),1,IF(AND(INDIRECT(A73&amp;ROW())=B95,INDIRECT(A96&amp;ROW())=C96),1,0))</f>
        <v>0</v>
      </c>
      <c r="K668">
        <f ca="1">DAYS360(INDIRECT(C68&amp;ROW()),TODAY())</f>
        <v>676</v>
      </c>
      <c r="L668">
        <f ca="1">DAYS360(INDIRECT(C69&amp;ROW()),TODAY())</f>
        <v>682</v>
      </c>
      <c r="M668">
        <f ca="1">HYPERLINK(CONCATENATE("https://bugzilla.houston.hp.com:1181/bugzilla/show_bug.cgi?id=",INDIRECT(C70&amp;ROW())),INDIRECT(C70&amp;ROW()))</f>
        <v>63844</v>
      </c>
      <c r="N668">
        <v>63844</v>
      </c>
      <c r="O668" t="s">
        <v>187</v>
      </c>
      <c r="P668" t="s">
        <v>1226</v>
      </c>
      <c r="Q668" t="s">
        <v>16</v>
      </c>
      <c r="R668" t="s">
        <v>783</v>
      </c>
      <c r="S668" t="s">
        <v>552</v>
      </c>
      <c r="U668" s="6">
        <v>42171.163587962961</v>
      </c>
      <c r="V668" t="s">
        <v>18</v>
      </c>
      <c r="W668" t="s">
        <v>783</v>
      </c>
      <c r="X668" s="6">
        <v>42165.519456018519</v>
      </c>
      <c r="Y668" t="s">
        <v>119</v>
      </c>
      <c r="AB668" t="s">
        <v>200</v>
      </c>
      <c r="AC668" t="s">
        <v>247</v>
      </c>
      <c r="AD668" t="s">
        <v>220</v>
      </c>
      <c r="AE668" t="s">
        <v>219</v>
      </c>
      <c r="AG668" t="s">
        <v>121</v>
      </c>
      <c r="AH668" t="s">
        <v>327</v>
      </c>
      <c r="AI668" t="s">
        <v>121</v>
      </c>
      <c r="AJ668" t="s">
        <v>716</v>
      </c>
      <c r="AK668" t="s">
        <v>121</v>
      </c>
    </row>
    <row r="669" spans="9:37" x14ac:dyDescent="0.3">
      <c r="I669">
        <f ca="1">IF(OR(INDIRECT(A73&amp;ROW())=B93,INDIRECT(A73&amp;ROW())=B94),1,IF(AND(INDIRECT(A73&amp;ROW())=B95,INDIRECT(A96&amp;ROW())=C93),1,IF(AND(INDIRECT(A73&amp;ROW())=B95,INDIRECT(A96&amp;ROW())=C94),1,0)))</f>
        <v>0</v>
      </c>
      <c r="J669">
        <f ca="1">IF(AND(INDIRECT(A73&amp;ROW())=B95,INDIRECT(A96&amp;ROW())=C95),1,IF(AND(INDIRECT(A73&amp;ROW())=B95,INDIRECT(A96&amp;ROW())=C96),1,0))</f>
        <v>0</v>
      </c>
      <c r="K669">
        <f ca="1">DAYS360(INDIRECT(C68&amp;ROW()),TODAY())</f>
        <v>676</v>
      </c>
      <c r="L669">
        <f ca="1">DAYS360(INDIRECT(C69&amp;ROW()),TODAY())</f>
        <v>682</v>
      </c>
      <c r="M669">
        <f ca="1">HYPERLINK(CONCATENATE("https://bugzilla.houston.hp.com:1181/bugzilla/show_bug.cgi?id=",INDIRECT(C70&amp;ROW())),INDIRECT(C70&amp;ROW()))</f>
        <v>63845</v>
      </c>
      <c r="N669">
        <v>63845</v>
      </c>
      <c r="O669" t="s">
        <v>187</v>
      </c>
      <c r="P669" t="s">
        <v>1225</v>
      </c>
      <c r="Q669" t="s">
        <v>16</v>
      </c>
      <c r="R669" t="s">
        <v>248</v>
      </c>
      <c r="S669" t="s">
        <v>552</v>
      </c>
      <c r="U669" s="6">
        <v>42171.163553240738</v>
      </c>
      <c r="V669" t="s">
        <v>18</v>
      </c>
      <c r="W669" t="s">
        <v>783</v>
      </c>
      <c r="X669" s="6">
        <v>42165.520300925928</v>
      </c>
      <c r="Y669" t="s">
        <v>119</v>
      </c>
      <c r="AB669" t="s">
        <v>200</v>
      </c>
      <c r="AC669" t="s">
        <v>247</v>
      </c>
      <c r="AD669" t="s">
        <v>220</v>
      </c>
      <c r="AE669" t="s">
        <v>219</v>
      </c>
      <c r="AG669" t="s">
        <v>121</v>
      </c>
      <c r="AH669" t="s">
        <v>327</v>
      </c>
      <c r="AI669" t="s">
        <v>121</v>
      </c>
      <c r="AJ669" t="s">
        <v>716</v>
      </c>
      <c r="AK669" t="s">
        <v>121</v>
      </c>
    </row>
    <row r="670" spans="9:37" x14ac:dyDescent="0.3">
      <c r="I670">
        <f ca="1">IF(OR(INDIRECT(A73&amp;ROW())=B93,INDIRECT(A73&amp;ROW())=B94),1,IF(AND(INDIRECT(A73&amp;ROW())=B95,INDIRECT(A96&amp;ROW())=C93),1,IF(AND(INDIRECT(A73&amp;ROW())=B95,INDIRECT(A96&amp;ROW())=C94),1,0)))</f>
        <v>1</v>
      </c>
      <c r="J670">
        <f ca="1">IF(AND(INDIRECT(A73&amp;ROW())=B95,INDIRECT(A96&amp;ROW())=C95),1,IF(AND(INDIRECT(A73&amp;ROW())=B95,INDIRECT(A96&amp;ROW())=C96),1,0))</f>
        <v>0</v>
      </c>
      <c r="K670">
        <f ca="1">DAYS360(INDIRECT(C68&amp;ROW()),TODAY())</f>
        <v>681</v>
      </c>
      <c r="L670">
        <f ca="1">DAYS360(INDIRECT(C69&amp;ROW()),TODAY())</f>
        <v>681</v>
      </c>
      <c r="M670">
        <f ca="1">HYPERLINK(CONCATENATE("https://bugzilla.houston.hp.com:1181/bugzilla/show_bug.cgi?id=",INDIRECT(C70&amp;ROW())),INDIRECT(C70&amp;ROW()))</f>
        <v>63890</v>
      </c>
      <c r="N670">
        <v>63890</v>
      </c>
      <c r="O670" t="s">
        <v>856</v>
      </c>
      <c r="P670" t="s">
        <v>1224</v>
      </c>
      <c r="Q670" t="s">
        <v>25</v>
      </c>
      <c r="R670" t="s">
        <v>579</v>
      </c>
      <c r="S670" t="s">
        <v>552</v>
      </c>
      <c r="T670" t="s">
        <v>48</v>
      </c>
      <c r="U670" s="6">
        <v>42166.259965277779</v>
      </c>
      <c r="V670" t="s">
        <v>18</v>
      </c>
      <c r="W670" t="s">
        <v>17</v>
      </c>
      <c r="X670" s="6">
        <v>42166.259965277779</v>
      </c>
      <c r="Y670" t="s">
        <v>122</v>
      </c>
      <c r="AB670" t="s">
        <v>200</v>
      </c>
      <c r="AC670" t="s">
        <v>247</v>
      </c>
      <c r="AD670" t="s">
        <v>220</v>
      </c>
      <c r="AE670" t="s">
        <v>219</v>
      </c>
      <c r="AG670" t="s">
        <v>121</v>
      </c>
      <c r="AH670" t="s">
        <v>327</v>
      </c>
      <c r="AI670" t="s">
        <v>121</v>
      </c>
      <c r="AJ670" t="s">
        <v>715</v>
      </c>
      <c r="AK670" t="s">
        <v>121</v>
      </c>
    </row>
    <row r="671" spans="9:37" x14ac:dyDescent="0.3">
      <c r="I671">
        <f ca="1">IF(OR(INDIRECT(A73&amp;ROW())=B93,INDIRECT(A73&amp;ROW())=B94),1,IF(AND(INDIRECT(A73&amp;ROW())=B95,INDIRECT(A96&amp;ROW())=C93),1,IF(AND(INDIRECT(A73&amp;ROW())=B95,INDIRECT(A96&amp;ROW())=C94),1,0)))</f>
        <v>1</v>
      </c>
      <c r="J671">
        <f ca="1">IF(AND(INDIRECT(A73&amp;ROW())=B95,INDIRECT(A96&amp;ROW())=C95),1,IF(AND(INDIRECT(A73&amp;ROW())=B95,INDIRECT(A96&amp;ROW())=C96),1,0))</f>
        <v>0</v>
      </c>
      <c r="K671">
        <f ca="1">DAYS360(INDIRECT(C68&amp;ROW()),TODAY())</f>
        <v>681</v>
      </c>
      <c r="L671">
        <f ca="1">DAYS360(INDIRECT(C69&amp;ROW()),TODAY())</f>
        <v>681</v>
      </c>
      <c r="M671">
        <f ca="1">HYPERLINK(CONCATENATE("https://bugzilla.houston.hp.com:1181/bugzilla/show_bug.cgi?id=",INDIRECT(C70&amp;ROW())),INDIRECT(C70&amp;ROW()))</f>
        <v>63891</v>
      </c>
      <c r="N671">
        <v>63891</v>
      </c>
      <c r="O671" t="s">
        <v>856</v>
      </c>
      <c r="P671" t="s">
        <v>1223</v>
      </c>
      <c r="Q671" t="s">
        <v>25</v>
      </c>
      <c r="R671" t="s">
        <v>783</v>
      </c>
      <c r="S671" t="s">
        <v>552</v>
      </c>
      <c r="T671" t="s">
        <v>48</v>
      </c>
      <c r="U671" s="6">
        <v>42166.319594907407</v>
      </c>
      <c r="V671" t="s">
        <v>18</v>
      </c>
      <c r="W671" t="s">
        <v>17</v>
      </c>
      <c r="X671" s="6">
        <v>42166.260069444441</v>
      </c>
      <c r="Y671" t="s">
        <v>122</v>
      </c>
      <c r="AB671" t="s">
        <v>200</v>
      </c>
      <c r="AC671" t="s">
        <v>247</v>
      </c>
      <c r="AD671" t="s">
        <v>220</v>
      </c>
      <c r="AE671" t="s">
        <v>219</v>
      </c>
      <c r="AG671" t="s">
        <v>121</v>
      </c>
      <c r="AH671" t="s">
        <v>327</v>
      </c>
      <c r="AI671" t="s">
        <v>121</v>
      </c>
      <c r="AJ671" t="s">
        <v>715</v>
      </c>
      <c r="AK671" t="s">
        <v>1206</v>
      </c>
    </row>
    <row r="672" spans="9:37" x14ac:dyDescent="0.3">
      <c r="I672">
        <f ca="1">IF(OR(INDIRECT(A73&amp;ROW())=B93,INDIRECT(A73&amp;ROW())=B94),1,IF(AND(INDIRECT(A73&amp;ROW())=B95,INDIRECT(A96&amp;ROW())=C93),1,IF(AND(INDIRECT(A73&amp;ROW())=B95,INDIRECT(A96&amp;ROW())=C94),1,0)))</f>
        <v>1</v>
      </c>
      <c r="J672">
        <f ca="1">IF(AND(INDIRECT(A73&amp;ROW())=B95,INDIRECT(A96&amp;ROW())=C95),1,IF(AND(INDIRECT(A73&amp;ROW())=B95,INDIRECT(A96&amp;ROW())=C96),1,0))</f>
        <v>0</v>
      </c>
      <c r="K672">
        <f ca="1">DAYS360(INDIRECT(C68&amp;ROW()),TODAY())</f>
        <v>681</v>
      </c>
      <c r="L672">
        <f ca="1">DAYS360(INDIRECT(C69&amp;ROW()),TODAY())</f>
        <v>681</v>
      </c>
      <c r="M672">
        <f ca="1">HYPERLINK(CONCATENATE("https://bugzilla.houston.hp.com:1181/bugzilla/show_bug.cgi?id=",INDIRECT(C70&amp;ROW())),INDIRECT(C70&amp;ROW()))</f>
        <v>63894</v>
      </c>
      <c r="N672">
        <v>63894</v>
      </c>
      <c r="O672" t="s">
        <v>66</v>
      </c>
      <c r="P672" t="s">
        <v>1222</v>
      </c>
      <c r="Q672" t="s">
        <v>25</v>
      </c>
      <c r="R672" t="s">
        <v>579</v>
      </c>
      <c r="S672" t="s">
        <v>552</v>
      </c>
      <c r="U672" s="6">
        <v>42166.375532407408</v>
      </c>
      <c r="V672" t="s">
        <v>18</v>
      </c>
      <c r="W672" t="s">
        <v>783</v>
      </c>
      <c r="X672" s="6">
        <v>42166.29755787037</v>
      </c>
      <c r="Y672" t="s">
        <v>119</v>
      </c>
      <c r="AB672" t="s">
        <v>199</v>
      </c>
      <c r="AC672" t="s">
        <v>247</v>
      </c>
      <c r="AD672" t="s">
        <v>220</v>
      </c>
      <c r="AE672" t="s">
        <v>219</v>
      </c>
      <c r="AG672" t="s">
        <v>121</v>
      </c>
      <c r="AH672" t="s">
        <v>327</v>
      </c>
      <c r="AI672" t="s">
        <v>121</v>
      </c>
      <c r="AJ672" t="s">
        <v>715</v>
      </c>
      <c r="AK672" t="s">
        <v>121</v>
      </c>
    </row>
    <row r="673" spans="9:37" x14ac:dyDescent="0.3">
      <c r="I673">
        <f ca="1">IF(OR(INDIRECT(A73&amp;ROW())=B93,INDIRECT(A73&amp;ROW())=B94),1,IF(AND(INDIRECT(A73&amp;ROW())=B95,INDIRECT(A96&amp;ROW())=C93),1,IF(AND(INDIRECT(A73&amp;ROW())=B95,INDIRECT(A96&amp;ROW())=C94),1,0)))</f>
        <v>1</v>
      </c>
      <c r="J673">
        <f ca="1">IF(AND(INDIRECT(A73&amp;ROW())=B95,INDIRECT(A96&amp;ROW())=C95),1,IF(AND(INDIRECT(A73&amp;ROW())=B95,INDIRECT(A96&amp;ROW())=C96),1,0))</f>
        <v>0</v>
      </c>
      <c r="K673">
        <f ca="1">DAYS360(INDIRECT(C68&amp;ROW()),TODAY())</f>
        <v>677</v>
      </c>
      <c r="L673">
        <f ca="1">DAYS360(INDIRECT(C69&amp;ROW()),TODAY())</f>
        <v>681</v>
      </c>
      <c r="M673">
        <f ca="1">HYPERLINK(CONCATENATE("https://bugzilla.houston.hp.com:1181/bugzilla/show_bug.cgi?id=",INDIRECT(C70&amp;ROW())),INDIRECT(C70&amp;ROW()))</f>
        <v>63895</v>
      </c>
      <c r="N673">
        <v>63895</v>
      </c>
      <c r="O673" t="s">
        <v>66</v>
      </c>
      <c r="P673" t="s">
        <v>1221</v>
      </c>
      <c r="Q673" t="s">
        <v>25</v>
      </c>
      <c r="R673" t="s">
        <v>783</v>
      </c>
      <c r="S673" t="s">
        <v>552</v>
      </c>
      <c r="U673" s="6">
        <v>42170.739293981482</v>
      </c>
      <c r="V673" t="s">
        <v>18</v>
      </c>
      <c r="W673" t="s">
        <v>783</v>
      </c>
      <c r="X673" s="6">
        <v>42166.297685185185</v>
      </c>
      <c r="Y673" t="s">
        <v>119</v>
      </c>
      <c r="AB673" t="s">
        <v>199</v>
      </c>
      <c r="AC673" t="s">
        <v>247</v>
      </c>
      <c r="AD673" t="s">
        <v>220</v>
      </c>
      <c r="AE673" t="s">
        <v>219</v>
      </c>
      <c r="AG673" t="s">
        <v>588</v>
      </c>
      <c r="AH673" t="s">
        <v>327</v>
      </c>
      <c r="AI673" t="s">
        <v>121</v>
      </c>
      <c r="AJ673" t="s">
        <v>715</v>
      </c>
      <c r="AK673" t="s">
        <v>121</v>
      </c>
    </row>
    <row r="674" spans="9:37" x14ac:dyDescent="0.3">
      <c r="I674">
        <f ca="1">IF(OR(INDIRECT(A73&amp;ROW())=B93,INDIRECT(A73&amp;ROW())=B94),1,IF(AND(INDIRECT(A73&amp;ROW())=B95,INDIRECT(A96&amp;ROW())=C93),1,IF(AND(INDIRECT(A73&amp;ROW())=B95,INDIRECT(A96&amp;ROW())=C94),1,0)))</f>
        <v>1</v>
      </c>
      <c r="J674">
        <f ca="1">IF(AND(INDIRECT(A73&amp;ROW())=B95,INDIRECT(A96&amp;ROW())=C95),1,IF(AND(INDIRECT(A73&amp;ROW())=B95,INDIRECT(A96&amp;ROW())=C96),1,0))</f>
        <v>0</v>
      </c>
      <c r="K674">
        <f ca="1">DAYS360(INDIRECT(C68&amp;ROW()),TODAY())</f>
        <v>681</v>
      </c>
      <c r="L674">
        <f ca="1">DAYS360(INDIRECT(C69&amp;ROW()),TODAY())</f>
        <v>681</v>
      </c>
      <c r="M674">
        <f ca="1">HYPERLINK(CONCATENATE("https://bugzilla.houston.hp.com:1181/bugzilla/show_bug.cgi?id=",INDIRECT(C70&amp;ROW())),INDIRECT(C70&amp;ROW()))</f>
        <v>63896</v>
      </c>
      <c r="N674">
        <v>63896</v>
      </c>
      <c r="O674" t="s">
        <v>66</v>
      </c>
      <c r="P674" t="s">
        <v>1220</v>
      </c>
      <c r="Q674" t="s">
        <v>25</v>
      </c>
      <c r="R674" t="s">
        <v>248</v>
      </c>
      <c r="S674" t="s">
        <v>552</v>
      </c>
      <c r="U674" s="6">
        <v>42166.375520833331</v>
      </c>
      <c r="V674" t="s">
        <v>18</v>
      </c>
      <c r="W674" t="s">
        <v>783</v>
      </c>
      <c r="X674" s="6">
        <v>42166.297835648147</v>
      </c>
      <c r="Y674" t="s">
        <v>119</v>
      </c>
      <c r="AB674" t="s">
        <v>199</v>
      </c>
      <c r="AC674" t="s">
        <v>247</v>
      </c>
      <c r="AD674" t="s">
        <v>220</v>
      </c>
      <c r="AE674" t="s">
        <v>219</v>
      </c>
      <c r="AG674" t="s">
        <v>121</v>
      </c>
      <c r="AH674" t="s">
        <v>327</v>
      </c>
      <c r="AI674" t="s">
        <v>121</v>
      </c>
      <c r="AJ674" t="s">
        <v>715</v>
      </c>
      <c r="AK674" t="s">
        <v>121</v>
      </c>
    </row>
    <row r="675" spans="9:37" x14ac:dyDescent="0.3">
      <c r="I675">
        <f ca="1">IF(OR(INDIRECT(A73&amp;ROW())=B93,INDIRECT(A73&amp;ROW())=B94),1,IF(AND(INDIRECT(A73&amp;ROW())=B95,INDIRECT(A96&amp;ROW())=C93),1,IF(AND(INDIRECT(A73&amp;ROW())=B95,INDIRECT(A96&amp;ROW())=C94),1,0)))</f>
        <v>1</v>
      </c>
      <c r="J675">
        <f ca="1">IF(AND(INDIRECT(A73&amp;ROW())=B95,INDIRECT(A96&amp;ROW())=C95),1,IF(AND(INDIRECT(A73&amp;ROW())=B95,INDIRECT(A96&amp;ROW())=C96),1,0))</f>
        <v>0</v>
      </c>
      <c r="K675">
        <f ca="1">DAYS360(INDIRECT(C68&amp;ROW()),TODAY())</f>
        <v>680</v>
      </c>
      <c r="L675">
        <f ca="1">DAYS360(INDIRECT(C69&amp;ROW()),TODAY())</f>
        <v>681</v>
      </c>
      <c r="M675">
        <f ca="1">HYPERLINK(CONCATENATE("https://bugzilla.houston.hp.com:1181/bugzilla/show_bug.cgi?id=",INDIRECT(C70&amp;ROW())),INDIRECT(C70&amp;ROW()))</f>
        <v>63901</v>
      </c>
      <c r="N675">
        <v>63901</v>
      </c>
      <c r="O675" t="s">
        <v>919</v>
      </c>
      <c r="P675" t="s">
        <v>1219</v>
      </c>
      <c r="Q675" t="s">
        <v>25</v>
      </c>
      <c r="R675" t="s">
        <v>783</v>
      </c>
      <c r="S675" t="s">
        <v>552</v>
      </c>
      <c r="U675" s="6">
        <v>42167.350277777776</v>
      </c>
      <c r="V675" t="s">
        <v>18</v>
      </c>
      <c r="W675" t="s">
        <v>17</v>
      </c>
      <c r="X675" s="6">
        <v>42166.337025462963</v>
      </c>
      <c r="Y675" t="s">
        <v>535</v>
      </c>
      <c r="Z675" t="s">
        <v>125</v>
      </c>
      <c r="AB675" t="s">
        <v>200</v>
      </c>
      <c r="AC675" t="s">
        <v>247</v>
      </c>
      <c r="AD675" t="s">
        <v>220</v>
      </c>
      <c r="AE675" t="s">
        <v>224</v>
      </c>
      <c r="AG675" t="s">
        <v>337</v>
      </c>
      <c r="AH675" t="s">
        <v>327</v>
      </c>
      <c r="AI675" t="s">
        <v>362</v>
      </c>
      <c r="AJ675" t="s">
        <v>715</v>
      </c>
      <c r="AK675" t="s">
        <v>1133</v>
      </c>
    </row>
    <row r="676" spans="9:37" x14ac:dyDescent="0.3">
      <c r="I676">
        <f ca="1">IF(OR(INDIRECT(A73&amp;ROW())=B93,INDIRECT(A73&amp;ROW())=B94),1,IF(AND(INDIRECT(A73&amp;ROW())=B95,INDIRECT(A96&amp;ROW())=C93),1,IF(AND(INDIRECT(A73&amp;ROW())=B95,INDIRECT(A96&amp;ROW())=C94),1,0)))</f>
        <v>1</v>
      </c>
      <c r="J676">
        <f ca="1">IF(AND(INDIRECT(A73&amp;ROW())=B95,INDIRECT(A96&amp;ROW())=C95),1,IF(AND(INDIRECT(A73&amp;ROW())=B95,INDIRECT(A96&amp;ROW())=C96),1,0))</f>
        <v>0</v>
      </c>
      <c r="K676">
        <f ca="1">DAYS360(INDIRECT(C68&amp;ROW()),TODAY())</f>
        <v>677</v>
      </c>
      <c r="L676">
        <f ca="1">DAYS360(INDIRECT(C69&amp;ROW()),TODAY())</f>
        <v>677</v>
      </c>
      <c r="M676">
        <f ca="1">HYPERLINK(CONCATENATE("https://bugzilla.houston.hp.com:1181/bugzilla/show_bug.cgi?id=",INDIRECT(C70&amp;ROW())),INDIRECT(C70&amp;ROW()))</f>
        <v>64054</v>
      </c>
      <c r="N676">
        <v>64054</v>
      </c>
      <c r="O676" t="s">
        <v>188</v>
      </c>
      <c r="P676" t="s">
        <v>1218</v>
      </c>
      <c r="Q676" t="s">
        <v>25</v>
      </c>
      <c r="R676" t="s">
        <v>248</v>
      </c>
      <c r="S676" t="s">
        <v>552</v>
      </c>
      <c r="U676" s="6">
        <v>42170.345486111109</v>
      </c>
      <c r="V676" t="s">
        <v>18</v>
      </c>
      <c r="W676" t="s">
        <v>783</v>
      </c>
      <c r="X676" s="6">
        <v>42170.325023148151</v>
      </c>
      <c r="Y676" t="s">
        <v>244</v>
      </c>
      <c r="AB676" t="s">
        <v>200</v>
      </c>
      <c r="AC676" t="s">
        <v>247</v>
      </c>
      <c r="AD676" t="s">
        <v>220</v>
      </c>
      <c r="AE676" t="s">
        <v>229</v>
      </c>
      <c r="AG676" t="s">
        <v>121</v>
      </c>
      <c r="AH676" t="s">
        <v>327</v>
      </c>
      <c r="AI676" t="s">
        <v>121</v>
      </c>
      <c r="AJ676" t="s">
        <v>715</v>
      </c>
      <c r="AK676" t="s">
        <v>121</v>
      </c>
    </row>
    <row r="677" spans="9:37" x14ac:dyDescent="0.3">
      <c r="I677">
        <f ca="1">IF(OR(INDIRECT(A73&amp;ROW())=B93,INDIRECT(A73&amp;ROW())=B94),1,IF(AND(INDIRECT(A73&amp;ROW())=B95,INDIRECT(A96&amp;ROW())=C93),1,IF(AND(INDIRECT(A73&amp;ROW())=B95,INDIRECT(A96&amp;ROW())=C94),1,0)))</f>
        <v>1</v>
      </c>
      <c r="J677">
        <f ca="1">IF(AND(INDIRECT(A73&amp;ROW())=B95,INDIRECT(A96&amp;ROW())=C95),1,IF(AND(INDIRECT(A73&amp;ROW())=B95,INDIRECT(A96&amp;ROW())=C96),1,0))</f>
        <v>0</v>
      </c>
      <c r="K677">
        <f ca="1">DAYS360(INDIRECT(C68&amp;ROW()),TODAY())</f>
        <v>677</v>
      </c>
      <c r="L677">
        <f ca="1">DAYS360(INDIRECT(C69&amp;ROW()),TODAY())</f>
        <v>677</v>
      </c>
      <c r="M677">
        <f ca="1">HYPERLINK(CONCATENATE("https://bugzilla.houston.hp.com:1181/bugzilla/show_bug.cgi?id=",INDIRECT(C70&amp;ROW())),INDIRECT(C70&amp;ROW()))</f>
        <v>64075</v>
      </c>
      <c r="N677">
        <v>64075</v>
      </c>
      <c r="O677" t="s">
        <v>204</v>
      </c>
      <c r="P677" t="s">
        <v>1217</v>
      </c>
      <c r="Q677" t="s">
        <v>25</v>
      </c>
      <c r="R677" t="s">
        <v>579</v>
      </c>
      <c r="S677" t="s">
        <v>552</v>
      </c>
      <c r="T677" t="s">
        <v>54</v>
      </c>
      <c r="U677" s="6">
        <v>42170.554965277777</v>
      </c>
      <c r="V677" t="s">
        <v>18</v>
      </c>
      <c r="W677" t="s">
        <v>17</v>
      </c>
      <c r="X677" s="6">
        <v>42170.554965277777</v>
      </c>
      <c r="Y677" t="s">
        <v>119</v>
      </c>
      <c r="AB677" t="s">
        <v>200</v>
      </c>
      <c r="AC677" t="s">
        <v>121</v>
      </c>
      <c r="AD677" t="s">
        <v>222</v>
      </c>
      <c r="AE677" t="s">
        <v>225</v>
      </c>
      <c r="AG677" t="s">
        <v>121</v>
      </c>
      <c r="AH677" t="s">
        <v>327</v>
      </c>
      <c r="AI677" t="s">
        <v>121</v>
      </c>
      <c r="AJ677" t="s">
        <v>715</v>
      </c>
      <c r="AK677" t="s">
        <v>121</v>
      </c>
    </row>
    <row r="678" spans="9:37" x14ac:dyDescent="0.3">
      <c r="I678">
        <f ca="1">IF(OR(INDIRECT(A73&amp;ROW())=B93,INDIRECT(A73&amp;ROW())=B94),1,IF(AND(INDIRECT(A73&amp;ROW())=B95,INDIRECT(A96&amp;ROW())=C93),1,IF(AND(INDIRECT(A73&amp;ROW())=B95,INDIRECT(A96&amp;ROW())=C94),1,0)))</f>
        <v>1</v>
      </c>
      <c r="J678">
        <f ca="1">IF(AND(INDIRECT(A73&amp;ROW())=B95,INDIRECT(A96&amp;ROW())=C95),1,IF(AND(INDIRECT(A73&amp;ROW())=B95,INDIRECT(A96&amp;ROW())=C96),1,0))</f>
        <v>0</v>
      </c>
      <c r="K678">
        <f ca="1">DAYS360(INDIRECT(C68&amp;ROW()),TODAY())</f>
        <v>677</v>
      </c>
      <c r="L678">
        <f ca="1">DAYS360(INDIRECT(C69&amp;ROW()),TODAY())</f>
        <v>677</v>
      </c>
      <c r="M678">
        <f ca="1">HYPERLINK(CONCATENATE("https://bugzilla.houston.hp.com:1181/bugzilla/show_bug.cgi?id=",INDIRECT(C70&amp;ROW())),INDIRECT(C70&amp;ROW()))</f>
        <v>64077</v>
      </c>
      <c r="N678">
        <v>64077</v>
      </c>
      <c r="O678" t="s">
        <v>177</v>
      </c>
      <c r="P678" t="s">
        <v>1216</v>
      </c>
      <c r="Q678" t="s">
        <v>39</v>
      </c>
      <c r="R678" t="s">
        <v>251</v>
      </c>
      <c r="S678" t="s">
        <v>177</v>
      </c>
      <c r="T678" t="s">
        <v>1215</v>
      </c>
      <c r="U678" s="6">
        <v>42170.604479166665</v>
      </c>
      <c r="V678" t="s">
        <v>35</v>
      </c>
      <c r="W678" t="s">
        <v>783</v>
      </c>
      <c r="X678" s="6">
        <v>42170.574050925927</v>
      </c>
      <c r="Y678" t="s">
        <v>245</v>
      </c>
      <c r="AB678" t="s">
        <v>199</v>
      </c>
      <c r="AC678" t="s">
        <v>247</v>
      </c>
      <c r="AD678" t="s">
        <v>222</v>
      </c>
      <c r="AE678" t="s">
        <v>221</v>
      </c>
      <c r="AG678" t="s">
        <v>121</v>
      </c>
      <c r="AH678" t="s">
        <v>327</v>
      </c>
      <c r="AI678" t="s">
        <v>121</v>
      </c>
      <c r="AJ678" t="s">
        <v>715</v>
      </c>
      <c r="AK678" t="s">
        <v>121</v>
      </c>
    </row>
    <row r="679" spans="9:37" x14ac:dyDescent="0.3">
      <c r="I679">
        <f ca="1">IF(OR(INDIRECT(A73&amp;ROW())=B93,INDIRECT(A73&amp;ROW())=B94),1,IF(AND(INDIRECT(A73&amp;ROW())=B95,INDIRECT(A96&amp;ROW())=C93),1,IF(AND(INDIRECT(A73&amp;ROW())=B95,INDIRECT(A96&amp;ROW())=C94),1,0)))</f>
        <v>1</v>
      </c>
      <c r="J679">
        <f ca="1">IF(AND(INDIRECT(A73&amp;ROW())=B95,INDIRECT(A96&amp;ROW())=C95),1,IF(AND(INDIRECT(A73&amp;ROW())=B95,INDIRECT(A96&amp;ROW())=C96),1,0))</f>
        <v>0</v>
      </c>
      <c r="K679">
        <f ca="1">DAYS360(INDIRECT(C68&amp;ROW()),TODAY())</f>
        <v>677</v>
      </c>
      <c r="L679">
        <f ca="1">DAYS360(INDIRECT(C69&amp;ROW()),TODAY())</f>
        <v>677</v>
      </c>
      <c r="M679">
        <f ca="1">HYPERLINK(CONCATENATE("https://bugzilla.houston.hp.com:1181/bugzilla/show_bug.cgi?id=",INDIRECT(C70&amp;ROW())),INDIRECT(C70&amp;ROW()))</f>
        <v>64078</v>
      </c>
      <c r="N679">
        <v>64078</v>
      </c>
      <c r="O679" t="s">
        <v>55</v>
      </c>
      <c r="P679" t="s">
        <v>1214</v>
      </c>
      <c r="Q679" t="s">
        <v>39</v>
      </c>
      <c r="R679" t="s">
        <v>579</v>
      </c>
      <c r="S679" t="s">
        <v>552</v>
      </c>
      <c r="U679" s="6">
        <v>42170.586562500001</v>
      </c>
      <c r="V679" t="s">
        <v>18</v>
      </c>
      <c r="W679" t="s">
        <v>783</v>
      </c>
      <c r="X679" s="6">
        <v>42170.586562500001</v>
      </c>
      <c r="Y679" t="s">
        <v>245</v>
      </c>
      <c r="AB679" t="s">
        <v>199</v>
      </c>
      <c r="AC679" t="s">
        <v>247</v>
      </c>
      <c r="AD679" t="s">
        <v>222</v>
      </c>
      <c r="AE679" t="s">
        <v>221</v>
      </c>
      <c r="AG679" t="s">
        <v>121</v>
      </c>
      <c r="AH679" t="s">
        <v>327</v>
      </c>
      <c r="AI679" t="s">
        <v>121</v>
      </c>
      <c r="AJ679" t="s">
        <v>715</v>
      </c>
      <c r="AK679" t="s">
        <v>121</v>
      </c>
    </row>
    <row r="680" spans="9:37" x14ac:dyDescent="0.3">
      <c r="I680">
        <f ca="1">IF(OR(INDIRECT(A73&amp;ROW())=B93,INDIRECT(A73&amp;ROW())=B94),1,IF(AND(INDIRECT(A73&amp;ROW())=B95,INDIRECT(A96&amp;ROW())=C93),1,IF(AND(INDIRECT(A73&amp;ROW())=B95,INDIRECT(A96&amp;ROW())=C94),1,0)))</f>
        <v>1</v>
      </c>
      <c r="J680">
        <f ca="1">IF(AND(INDIRECT(A73&amp;ROW())=B95,INDIRECT(A96&amp;ROW())=C95),1,IF(AND(INDIRECT(A73&amp;ROW())=B95,INDIRECT(A96&amp;ROW())=C96),1,0))</f>
        <v>0</v>
      </c>
      <c r="K680">
        <f ca="1">DAYS360(INDIRECT(C68&amp;ROW()),TODAY())</f>
        <v>677</v>
      </c>
      <c r="L680">
        <f ca="1">DAYS360(INDIRECT(C69&amp;ROW()),TODAY())</f>
        <v>677</v>
      </c>
      <c r="M680">
        <f ca="1">HYPERLINK(CONCATENATE("https://bugzilla.houston.hp.com:1181/bugzilla/show_bug.cgi?id=",INDIRECT(C70&amp;ROW())),INDIRECT(C70&amp;ROW()))</f>
        <v>64079</v>
      </c>
      <c r="N680">
        <v>64079</v>
      </c>
      <c r="O680" t="s">
        <v>55</v>
      </c>
      <c r="P680" t="s">
        <v>1213</v>
      </c>
      <c r="Q680" t="s">
        <v>39</v>
      </c>
      <c r="R680" t="s">
        <v>783</v>
      </c>
      <c r="S680" t="s">
        <v>552</v>
      </c>
      <c r="U680" s="6">
        <v>42170.586701388886</v>
      </c>
      <c r="V680" t="s">
        <v>18</v>
      </c>
      <c r="W680" t="s">
        <v>783</v>
      </c>
      <c r="X680" s="6">
        <v>42170.586701388886</v>
      </c>
      <c r="Y680" t="s">
        <v>245</v>
      </c>
      <c r="AB680" t="s">
        <v>199</v>
      </c>
      <c r="AC680" t="s">
        <v>247</v>
      </c>
      <c r="AD680" t="s">
        <v>222</v>
      </c>
      <c r="AE680" t="s">
        <v>221</v>
      </c>
      <c r="AG680" t="s">
        <v>121</v>
      </c>
      <c r="AH680" t="s">
        <v>327</v>
      </c>
      <c r="AI680" t="s">
        <v>121</v>
      </c>
      <c r="AJ680" t="s">
        <v>715</v>
      </c>
      <c r="AK680" t="s">
        <v>121</v>
      </c>
    </row>
    <row r="681" spans="9:37" x14ac:dyDescent="0.3">
      <c r="I681">
        <f ca="1">IF(OR(INDIRECT(A73&amp;ROW())=B93,INDIRECT(A73&amp;ROW())=B94),1,IF(AND(INDIRECT(A73&amp;ROW())=B95,INDIRECT(A96&amp;ROW())=C93),1,IF(AND(INDIRECT(A73&amp;ROW())=B95,INDIRECT(A96&amp;ROW())=C94),1,0)))</f>
        <v>1</v>
      </c>
      <c r="J681">
        <f ca="1">IF(AND(INDIRECT(A73&amp;ROW())=B95,INDIRECT(A96&amp;ROW())=C95),1,IF(AND(INDIRECT(A73&amp;ROW())=B95,INDIRECT(A96&amp;ROW())=C96),1,0))</f>
        <v>0</v>
      </c>
      <c r="K681">
        <f ca="1">DAYS360(INDIRECT(C68&amp;ROW()),TODAY())</f>
        <v>677</v>
      </c>
      <c r="L681">
        <f ca="1">DAYS360(INDIRECT(C69&amp;ROW()),TODAY())</f>
        <v>677</v>
      </c>
      <c r="M681">
        <f ca="1">HYPERLINK(CONCATENATE("https://bugzilla.houston.hp.com:1181/bugzilla/show_bug.cgi?id=",INDIRECT(C70&amp;ROW())),INDIRECT(C70&amp;ROW()))</f>
        <v>64080</v>
      </c>
      <c r="N681">
        <v>64080</v>
      </c>
      <c r="O681" t="s">
        <v>55</v>
      </c>
      <c r="P681" t="s">
        <v>1212</v>
      </c>
      <c r="Q681" t="s">
        <v>39</v>
      </c>
      <c r="R681" t="s">
        <v>248</v>
      </c>
      <c r="S681" t="s">
        <v>552</v>
      </c>
      <c r="U681" s="6">
        <v>42170.586747685185</v>
      </c>
      <c r="V681" t="s">
        <v>18</v>
      </c>
      <c r="W681" t="s">
        <v>783</v>
      </c>
      <c r="X681" s="6">
        <v>42170.586747685185</v>
      </c>
      <c r="Y681" t="s">
        <v>245</v>
      </c>
      <c r="AB681" t="s">
        <v>199</v>
      </c>
      <c r="AC681" t="s">
        <v>247</v>
      </c>
      <c r="AD681" t="s">
        <v>222</v>
      </c>
      <c r="AE681" t="s">
        <v>221</v>
      </c>
      <c r="AG681" t="s">
        <v>121</v>
      </c>
      <c r="AH681" t="s">
        <v>327</v>
      </c>
      <c r="AI681" t="s">
        <v>121</v>
      </c>
      <c r="AJ681" t="s">
        <v>715</v>
      </c>
      <c r="AK681" t="s">
        <v>121</v>
      </c>
    </row>
    <row r="682" spans="9:37" x14ac:dyDescent="0.3">
      <c r="I682">
        <f ca="1">IF(OR(INDIRECT(A73&amp;ROW())=B93,INDIRECT(A73&amp;ROW())=B94),1,IF(AND(INDIRECT(A73&amp;ROW())=B95,INDIRECT(A96&amp;ROW())=C93),1,IF(AND(INDIRECT(A73&amp;ROW())=B95,INDIRECT(A96&amp;ROW())=C94),1,0)))</f>
        <v>1</v>
      </c>
      <c r="J682">
        <f ca="1">IF(AND(INDIRECT(A73&amp;ROW())=B95,INDIRECT(A96&amp;ROW())=C95),1,IF(AND(INDIRECT(A73&amp;ROW())=B95,INDIRECT(A96&amp;ROW())=C96),1,0))</f>
        <v>0</v>
      </c>
      <c r="K682">
        <f ca="1">DAYS360(INDIRECT(C68&amp;ROW()),TODAY())</f>
        <v>677</v>
      </c>
      <c r="L682">
        <f ca="1">DAYS360(INDIRECT(C69&amp;ROW()),TODAY())</f>
        <v>677</v>
      </c>
      <c r="M682">
        <f ca="1">HYPERLINK(CONCATENATE("https://bugzilla.houston.hp.com:1181/bugzilla/show_bug.cgi?id=",INDIRECT(C70&amp;ROW())),INDIRECT(C70&amp;ROW()))</f>
        <v>64081</v>
      </c>
      <c r="N682">
        <v>64081</v>
      </c>
      <c r="O682" t="s">
        <v>19</v>
      </c>
      <c r="P682" t="s">
        <v>1211</v>
      </c>
      <c r="Q682" t="s">
        <v>39</v>
      </c>
      <c r="R682" t="s">
        <v>251</v>
      </c>
      <c r="S682" t="s">
        <v>1102</v>
      </c>
      <c r="U682" s="6">
        <v>42170.619814814818</v>
      </c>
      <c r="V682" t="s">
        <v>18</v>
      </c>
      <c r="W682" t="s">
        <v>764</v>
      </c>
      <c r="X682" s="6">
        <v>42170.604629629626</v>
      </c>
      <c r="Y682" t="s">
        <v>125</v>
      </c>
      <c r="AB682" t="s">
        <v>200</v>
      </c>
      <c r="AC682" t="s">
        <v>247</v>
      </c>
      <c r="AD682" t="s">
        <v>220</v>
      </c>
      <c r="AE682" t="s">
        <v>219</v>
      </c>
      <c r="AG682" t="s">
        <v>121</v>
      </c>
      <c r="AH682" t="s">
        <v>327</v>
      </c>
      <c r="AI682" t="s">
        <v>121</v>
      </c>
      <c r="AJ682" t="s">
        <v>715</v>
      </c>
      <c r="AK682" t="s">
        <v>121</v>
      </c>
    </row>
    <row r="683" spans="9:37" x14ac:dyDescent="0.3">
      <c r="I683">
        <f ca="1">IF(OR(INDIRECT(A73&amp;ROW())=B93,INDIRECT(A73&amp;ROW())=B94),1,IF(AND(INDIRECT(A73&amp;ROW())=B95,INDIRECT(A96&amp;ROW())=C93),1,IF(AND(INDIRECT(A73&amp;ROW())=B95,INDIRECT(A96&amp;ROW())=C94),1,0)))</f>
        <v>1</v>
      </c>
      <c r="J683">
        <f ca="1">IF(AND(INDIRECT(A73&amp;ROW())=B95,INDIRECT(A96&amp;ROW())=C95),1,IF(AND(INDIRECT(A73&amp;ROW())=B95,INDIRECT(A96&amp;ROW())=C96),1,0))</f>
        <v>0</v>
      </c>
      <c r="K683">
        <f ca="1">DAYS360(INDIRECT(C68&amp;ROW()),TODAY())</f>
        <v>677</v>
      </c>
      <c r="L683">
        <f ca="1">DAYS360(INDIRECT(C69&amp;ROW()),TODAY())</f>
        <v>677</v>
      </c>
      <c r="M683">
        <f ca="1">HYPERLINK(CONCATENATE("https://bugzilla.houston.hp.com:1181/bugzilla/show_bug.cgi?id=",INDIRECT(C70&amp;ROW())),INDIRECT(C70&amp;ROW()))</f>
        <v>64082</v>
      </c>
      <c r="N683">
        <v>64082</v>
      </c>
      <c r="O683" t="s">
        <v>19</v>
      </c>
      <c r="P683" t="s">
        <v>1210</v>
      </c>
      <c r="Q683" t="s">
        <v>39</v>
      </c>
      <c r="R683" t="s">
        <v>579</v>
      </c>
      <c r="S683" t="s">
        <v>552</v>
      </c>
      <c r="U683" s="6">
        <v>42170.619826388887</v>
      </c>
      <c r="V683" t="s">
        <v>18</v>
      </c>
      <c r="W683" t="s">
        <v>764</v>
      </c>
      <c r="X683" s="6">
        <v>42170.616249999999</v>
      </c>
      <c r="Y683" t="s">
        <v>125</v>
      </c>
      <c r="AB683" t="s">
        <v>200</v>
      </c>
      <c r="AC683" t="s">
        <v>247</v>
      </c>
      <c r="AD683" t="s">
        <v>220</v>
      </c>
      <c r="AE683" t="s">
        <v>219</v>
      </c>
      <c r="AG683" t="s">
        <v>121</v>
      </c>
      <c r="AH683" t="s">
        <v>327</v>
      </c>
      <c r="AI683" t="s">
        <v>121</v>
      </c>
      <c r="AJ683" t="s">
        <v>715</v>
      </c>
      <c r="AK683" t="s">
        <v>121</v>
      </c>
    </row>
    <row r="684" spans="9:37" x14ac:dyDescent="0.3">
      <c r="I684">
        <f ca="1">IF(OR(INDIRECT(A73&amp;ROW())=B93,INDIRECT(A73&amp;ROW())=B94),1,IF(AND(INDIRECT(A73&amp;ROW())=B95,INDIRECT(A96&amp;ROW())=C93),1,IF(AND(INDIRECT(A73&amp;ROW())=B95,INDIRECT(A96&amp;ROW())=C94),1,0)))</f>
        <v>1</v>
      </c>
      <c r="J684">
        <f ca="1">IF(AND(INDIRECT(A73&amp;ROW())=B95,INDIRECT(A96&amp;ROW())=C95),1,IF(AND(INDIRECT(A73&amp;ROW())=B95,INDIRECT(A96&amp;ROW())=C96),1,0))</f>
        <v>0</v>
      </c>
      <c r="K684">
        <f ca="1">DAYS360(INDIRECT(C68&amp;ROW()),TODAY())</f>
        <v>677</v>
      </c>
      <c r="L684">
        <f ca="1">DAYS360(INDIRECT(C69&amp;ROW()),TODAY())</f>
        <v>677</v>
      </c>
      <c r="M684">
        <f ca="1">HYPERLINK(CONCATENATE("https://bugzilla.houston.hp.com:1181/bugzilla/show_bug.cgi?id=",INDIRECT(C70&amp;ROW())),INDIRECT(C70&amp;ROW()))</f>
        <v>64083</v>
      </c>
      <c r="N684">
        <v>64083</v>
      </c>
      <c r="O684" t="s">
        <v>19</v>
      </c>
      <c r="P684" t="s">
        <v>1209</v>
      </c>
      <c r="Q684" t="s">
        <v>39</v>
      </c>
      <c r="R684" t="s">
        <v>783</v>
      </c>
      <c r="S684" t="s">
        <v>552</v>
      </c>
      <c r="U684" s="6">
        <v>42170.619791666664</v>
      </c>
      <c r="V684" t="s">
        <v>18</v>
      </c>
      <c r="W684" t="s">
        <v>764</v>
      </c>
      <c r="X684" s="6">
        <v>42170.616354166668</v>
      </c>
      <c r="Y684" t="s">
        <v>125</v>
      </c>
      <c r="AB684" t="s">
        <v>200</v>
      </c>
      <c r="AC684" t="s">
        <v>247</v>
      </c>
      <c r="AD684" t="s">
        <v>220</v>
      </c>
      <c r="AE684" t="s">
        <v>219</v>
      </c>
      <c r="AG684" t="s">
        <v>121</v>
      </c>
      <c r="AH684" t="s">
        <v>327</v>
      </c>
      <c r="AI684" t="s">
        <v>121</v>
      </c>
      <c r="AJ684" t="s">
        <v>715</v>
      </c>
      <c r="AK684" t="s">
        <v>121</v>
      </c>
    </row>
    <row r="685" spans="9:37" x14ac:dyDescent="0.3">
      <c r="I685">
        <f ca="1">IF(OR(INDIRECT(A73&amp;ROW())=B93,INDIRECT(A73&amp;ROW())=B94),1,IF(AND(INDIRECT(A73&amp;ROW())=B95,INDIRECT(A96&amp;ROW())=C93),1,IF(AND(INDIRECT(A73&amp;ROW())=B95,INDIRECT(A96&amp;ROW())=C94),1,0)))</f>
        <v>1</v>
      </c>
      <c r="J685">
        <f ca="1">IF(AND(INDIRECT(A73&amp;ROW())=B95,INDIRECT(A96&amp;ROW())=C95),1,IF(AND(INDIRECT(A73&amp;ROW())=B95,INDIRECT(A96&amp;ROW())=C96),1,0))</f>
        <v>0</v>
      </c>
      <c r="K685">
        <f ca="1">DAYS360(INDIRECT(C68&amp;ROW()),TODAY())</f>
        <v>677</v>
      </c>
      <c r="L685">
        <f ca="1">DAYS360(INDIRECT(C69&amp;ROW()),TODAY())</f>
        <v>677</v>
      </c>
      <c r="M685">
        <f ca="1">HYPERLINK(CONCATENATE("https://bugzilla.houston.hp.com:1181/bugzilla/show_bug.cgi?id=",INDIRECT(C70&amp;ROW())),INDIRECT(C70&amp;ROW()))</f>
        <v>64084</v>
      </c>
      <c r="N685">
        <v>64084</v>
      </c>
      <c r="O685" t="s">
        <v>19</v>
      </c>
      <c r="P685" t="s">
        <v>1208</v>
      </c>
      <c r="Q685" t="s">
        <v>39</v>
      </c>
      <c r="R685" t="s">
        <v>248</v>
      </c>
      <c r="S685" t="s">
        <v>552</v>
      </c>
      <c r="U685" s="6">
        <v>42170.619814814818</v>
      </c>
      <c r="V685" t="s">
        <v>18</v>
      </c>
      <c r="W685" t="s">
        <v>764</v>
      </c>
      <c r="X685" s="6">
        <v>42170.616481481484</v>
      </c>
      <c r="Y685" t="s">
        <v>125</v>
      </c>
      <c r="AB685" t="s">
        <v>200</v>
      </c>
      <c r="AC685" t="s">
        <v>247</v>
      </c>
      <c r="AD685" t="s">
        <v>220</v>
      </c>
      <c r="AE685" t="s">
        <v>219</v>
      </c>
      <c r="AG685" t="s">
        <v>121</v>
      </c>
      <c r="AH685" t="s">
        <v>327</v>
      </c>
      <c r="AI685" t="s">
        <v>121</v>
      </c>
      <c r="AJ685" t="s">
        <v>715</v>
      </c>
      <c r="AK685" t="s">
        <v>121</v>
      </c>
    </row>
    <row r="686" spans="9:37" x14ac:dyDescent="0.3">
      <c r="I686">
        <f ca="1">IF(OR(INDIRECT(A73&amp;ROW())=B93,INDIRECT(A73&amp;ROW())=B94),1,IF(AND(INDIRECT(A73&amp;ROW())=B95,INDIRECT(A96&amp;ROW())=C93),1,IF(AND(INDIRECT(A73&amp;ROW())=B95,INDIRECT(A96&amp;ROW())=C94),1,0)))</f>
        <v>0</v>
      </c>
      <c r="J686">
        <f ca="1">IF(AND(INDIRECT(A73&amp;ROW())=B95,INDIRECT(A96&amp;ROW())=C95),1,IF(AND(INDIRECT(A73&amp;ROW())=B95,INDIRECT(A96&amp;ROW())=C96),1,0))</f>
        <v>0</v>
      </c>
      <c r="K686">
        <f ca="1">DAYS360(INDIRECT(C68&amp;ROW()),TODAY())</f>
        <v>42242</v>
      </c>
      <c r="L686">
        <f ca="1">DAYS360(INDIRECT(C69&amp;ROW()),TODAY())</f>
        <v>42242</v>
      </c>
      <c r="M686">
        <f ca="1">HYPERLINK(CONCATENATE("https://bugzilla.houston.hp.com:1181/bugzilla/show_bug.cgi?id=",INDIRECT(C70&amp;ROW())),INDIRECT(C70&amp;ROW()))</f>
        <v>0</v>
      </c>
    </row>
    <row r="687" spans="9:37" x14ac:dyDescent="0.3">
      <c r="I687">
        <f ca="1">IF(OR(INDIRECT(A73&amp;ROW())=B93,INDIRECT(A73&amp;ROW())=B94),1,IF(AND(INDIRECT(A73&amp;ROW())=B95,INDIRECT(A96&amp;ROW())=C93),1,IF(AND(INDIRECT(A73&amp;ROW())=B95,INDIRECT(A96&amp;ROW())=C94),1,0)))</f>
        <v>0</v>
      </c>
      <c r="J687">
        <f ca="1">IF(AND(INDIRECT(A73&amp;ROW())=B95,INDIRECT(A96&amp;ROW())=C95),1,IF(AND(INDIRECT(A73&amp;ROW())=B95,INDIRECT(A96&amp;ROW())=C96),1,0))</f>
        <v>0</v>
      </c>
      <c r="K687">
        <f ca="1">DAYS360(INDIRECT(C68&amp;ROW()),TODAY())</f>
        <v>42242</v>
      </c>
      <c r="L687">
        <f ca="1">DAYS360(INDIRECT(C69&amp;ROW()),TODAY())</f>
        <v>42242</v>
      </c>
      <c r="M687">
        <f ca="1">HYPERLINK(CONCATENATE("https://bugzilla.houston.hp.com:1181/bugzilla/show_bug.cgi?id=",INDIRECT(C70&amp;ROW())),INDIRECT(C70&amp;ROW()))</f>
        <v>0</v>
      </c>
    </row>
    <row r="688" spans="9:37" x14ac:dyDescent="0.3">
      <c r="I688">
        <f ca="1">IF(OR(INDIRECT(A73&amp;ROW())=B93,INDIRECT(A73&amp;ROW())=B94),1,IF(AND(INDIRECT(A73&amp;ROW())=B95,INDIRECT(A96&amp;ROW())=C93),1,IF(AND(INDIRECT(A73&amp;ROW())=B95,INDIRECT(A96&amp;ROW())=C94),1,0)))</f>
        <v>0</v>
      </c>
      <c r="J688">
        <f ca="1">IF(AND(INDIRECT(A73&amp;ROW())=B95,INDIRECT(A96&amp;ROW())=C95),1,IF(AND(INDIRECT(A73&amp;ROW())=B95,INDIRECT(A96&amp;ROW())=C96),1,0))</f>
        <v>0</v>
      </c>
      <c r="K688">
        <f ca="1">DAYS360(INDIRECT(C68&amp;ROW()),TODAY())</f>
        <v>42242</v>
      </c>
      <c r="L688">
        <f ca="1">DAYS360(INDIRECT(C69&amp;ROW()),TODAY())</f>
        <v>42242</v>
      </c>
      <c r="M688">
        <f ca="1">HYPERLINK(CONCATENATE("https://bugzilla.houston.hp.com:1181/bugzilla/show_bug.cgi?id=",INDIRECT(C70&amp;ROW())),INDIRECT(C70&amp;ROW()))</f>
        <v>0</v>
      </c>
    </row>
    <row r="689" spans="9:13" x14ac:dyDescent="0.3">
      <c r="I689">
        <f ca="1">IF(OR(INDIRECT(A73&amp;ROW())=B93,INDIRECT(A73&amp;ROW())=B94),1,IF(AND(INDIRECT(A73&amp;ROW())=B95,INDIRECT(A96&amp;ROW())=C93),1,IF(AND(INDIRECT(A73&amp;ROW())=B95,INDIRECT(A96&amp;ROW())=C94),1,0)))</f>
        <v>0</v>
      </c>
      <c r="J689">
        <f ca="1">IF(AND(INDIRECT(A73&amp;ROW())=B95,INDIRECT(A96&amp;ROW())=C95),1,IF(AND(INDIRECT(A73&amp;ROW())=B95,INDIRECT(A96&amp;ROW())=C96),1,0))</f>
        <v>0</v>
      </c>
      <c r="K689">
        <f ca="1">DAYS360(INDIRECT(C68&amp;ROW()),TODAY())</f>
        <v>42242</v>
      </c>
      <c r="L689">
        <f ca="1">DAYS360(INDIRECT(C69&amp;ROW()),TODAY())</f>
        <v>42242</v>
      </c>
      <c r="M689">
        <f ca="1">HYPERLINK(CONCATENATE("https://bugzilla.houston.hp.com:1181/bugzilla/show_bug.cgi?id=",INDIRECT(C70&amp;ROW())),INDIRECT(C70&amp;ROW()))</f>
        <v>0</v>
      </c>
    </row>
    <row r="690" spans="9:13" x14ac:dyDescent="0.3">
      <c r="I690">
        <f ca="1">IF(OR(INDIRECT(A73&amp;ROW())=B93,INDIRECT(A73&amp;ROW())=B94),1,IF(AND(INDIRECT(A73&amp;ROW())=B95,INDIRECT(A96&amp;ROW())=C93),1,IF(AND(INDIRECT(A73&amp;ROW())=B95,INDIRECT(A96&amp;ROW())=C94),1,0)))</f>
        <v>0</v>
      </c>
      <c r="J690">
        <f ca="1">IF(AND(INDIRECT(A73&amp;ROW())=B95,INDIRECT(A96&amp;ROW())=C95),1,IF(AND(INDIRECT(A73&amp;ROW())=B95,INDIRECT(A96&amp;ROW())=C96),1,0))</f>
        <v>0</v>
      </c>
      <c r="K690">
        <f ca="1">DAYS360(INDIRECT(C68&amp;ROW()),TODAY())</f>
        <v>42242</v>
      </c>
      <c r="L690">
        <f ca="1">DAYS360(INDIRECT(C69&amp;ROW()),TODAY())</f>
        <v>42242</v>
      </c>
      <c r="M690">
        <f ca="1">HYPERLINK(CONCATENATE("https://bugzilla.houston.hp.com:1181/bugzilla/show_bug.cgi?id=",INDIRECT(C70&amp;ROW())),INDIRECT(C70&amp;ROW()))</f>
        <v>0</v>
      </c>
    </row>
  </sheetData>
  <autoFilter ref="I1:AK800"/>
  <hyperlinks>
    <hyperlink ref="B64" location="Assignees!A1" display="Assignees"/>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Assigned to">
          <x14:formula1>
            <xm:f>[4]Assignees!#REF!</xm:f>
          </x14:formula1>
          <xm:sqref>B39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K690"/>
  <sheetViews>
    <sheetView workbookViewId="0">
      <selection activeCell="F30" sqref="F30"/>
    </sheetView>
  </sheetViews>
  <sheetFormatPr defaultRowHeight="14.4" x14ac:dyDescent="0.3"/>
  <cols>
    <col min="2" max="2" width="25.6640625" bestFit="1" customWidth="1"/>
    <col min="4" max="4" width="18.77734375" customWidth="1"/>
    <col min="9" max="10" width="0" hidden="1" customWidth="1"/>
    <col min="11" max="12" width="4.77734375" customWidth="1"/>
    <col min="13" max="13" width="8" bestFit="1" customWidth="1"/>
    <col min="14" max="14" width="0" hidden="1" customWidth="1"/>
    <col min="15" max="15" width="18.77734375" customWidth="1"/>
    <col min="16" max="16" width="117.21875" customWidth="1"/>
    <col min="17" max="17" width="9.6640625" bestFit="1" customWidth="1"/>
    <col min="18" max="18" width="17.109375" bestFit="1" customWidth="1"/>
    <col min="19" max="19" width="31.21875" bestFit="1" customWidth="1"/>
    <col min="20" max="20" width="59.33203125" bestFit="1" customWidth="1"/>
    <col min="21" max="21" width="15.6640625" bestFit="1" customWidth="1"/>
    <col min="22" max="22" width="10" bestFit="1" customWidth="1"/>
    <col min="23" max="23" width="25.6640625" bestFit="1" customWidth="1"/>
    <col min="24" max="24" width="15.6640625" bestFit="1" customWidth="1"/>
  </cols>
  <sheetData>
    <row r="1" spans="1:37" x14ac:dyDescent="0.3">
      <c r="A1" s="1" t="s">
        <v>0</v>
      </c>
      <c r="B1" s="1" t="s">
        <v>1</v>
      </c>
      <c r="C1" s="1" t="s">
        <v>0</v>
      </c>
      <c r="D1" s="1" t="s">
        <v>2</v>
      </c>
      <c r="E1" s="1" t="s">
        <v>165</v>
      </c>
      <c r="F1" s="1" t="s">
        <v>3</v>
      </c>
      <c r="G1" s="1" t="s">
        <v>4</v>
      </c>
      <c r="H1" s="1" t="s">
        <v>373</v>
      </c>
      <c r="I1" t="s">
        <v>267</v>
      </c>
      <c r="J1" t="s">
        <v>346</v>
      </c>
      <c r="K1" t="s">
        <v>86</v>
      </c>
      <c r="L1" t="s">
        <v>87</v>
      </c>
      <c r="M1" t="s">
        <v>1123</v>
      </c>
      <c r="N1" t="s">
        <v>5</v>
      </c>
      <c r="O1" t="s">
        <v>6</v>
      </c>
      <c r="P1" t="s">
        <v>7</v>
      </c>
      <c r="Q1" t="s">
        <v>8</v>
      </c>
      <c r="R1" t="s">
        <v>9</v>
      </c>
      <c r="S1" t="s">
        <v>10</v>
      </c>
      <c r="T1" t="s">
        <v>11</v>
      </c>
      <c r="U1" t="s">
        <v>12</v>
      </c>
      <c r="V1" t="s">
        <v>13</v>
      </c>
      <c r="W1" t="s">
        <v>14</v>
      </c>
      <c r="X1" t="s">
        <v>90</v>
      </c>
      <c r="Y1" t="s">
        <v>116</v>
      </c>
      <c r="Z1" t="s">
        <v>117</v>
      </c>
      <c r="AA1" t="s">
        <v>185</v>
      </c>
      <c r="AB1" t="s">
        <v>202</v>
      </c>
      <c r="AC1" t="s">
        <v>218</v>
      </c>
      <c r="AD1" t="s">
        <v>235</v>
      </c>
      <c r="AE1" t="s">
        <v>234</v>
      </c>
      <c r="AF1" t="s">
        <v>259</v>
      </c>
      <c r="AG1" t="s">
        <v>325</v>
      </c>
      <c r="AH1" t="s">
        <v>329</v>
      </c>
      <c r="AI1" t="s">
        <v>361</v>
      </c>
      <c r="AJ1" t="s">
        <v>714</v>
      </c>
      <c r="AK1" t="s">
        <v>761</v>
      </c>
    </row>
    <row r="2" spans="1:37" x14ac:dyDescent="0.3">
      <c r="A2" s="2">
        <f ca="1">COUNTIF(INDIRECT(A68&amp;A67):INDIRECT(A69&amp;A66),INDIRECT("b"&amp;ROW()))</f>
        <v>302</v>
      </c>
      <c r="B2" s="2" t="str">
        <f>Assignees!C1</f>
        <v>Astra</v>
      </c>
      <c r="C2" s="3">
        <f ca="1">COUNTIF(INDIRECT(A71&amp;A67):INDIRECT(A71&amp;A66),INDIRECT("d"&amp;ROW()))</f>
        <v>12</v>
      </c>
      <c r="D2" s="3" t="str">
        <f>Assignees!D1</f>
        <v>Astra</v>
      </c>
      <c r="E2" s="16">
        <f ca="1">COUNTIFS(INDIRECT(A71&amp;A67):INDIRECT(A71&amp;A66),INDIRECT("d"&amp;ROW()),INDIRECT(A73&amp;A67):INDIRECT(A73&amp;A66),E1)</f>
        <v>0</v>
      </c>
      <c r="F2" s="4">
        <f ca="1">COUNTIFS(INDIRECT(A71&amp;A67):INDIRECT(A71&amp;A66),INDIRECT("d"&amp;ROW()),INDIRECT(A73&amp;A67):INDIRECT(A73&amp;A66),F1)</f>
        <v>0</v>
      </c>
      <c r="G2" s="3">
        <f ca="1">COUNTIFS(INDIRECT(A71&amp;A67):INDIRECT(A71&amp;A66),INDIRECT("d"&amp;ROW()),INDIRECT(A73&amp;A67):INDIRECT(A73&amp;A66),G1)</f>
        <v>6</v>
      </c>
      <c r="H2" s="5">
        <f ca="1">COUNTIFS(INDIRECT(A71&amp;A67):INDIRECT(A71&amp;A66),INDIRECT("d"&amp;ROW()),INDIRECT(A73&amp;A67):INDIRECT(A73&amp;A66),H1)</f>
        <v>6</v>
      </c>
      <c r="I2">
        <f ca="1">IF(OR(INDIRECT(A73&amp;ROW())=B93,INDIRECT(A73&amp;ROW())=B94),1,IF(AND(INDIRECT(A73&amp;ROW())=B95,INDIRECT(A96&amp;ROW())=C93),1,IF(AND(INDIRECT(A73&amp;ROW())=B95,INDIRECT(A96&amp;ROW())=C94),1,0)))</f>
        <v>0</v>
      </c>
      <c r="J2">
        <f ca="1">IF(AND(INDIRECT(A73&amp;ROW())=B95,INDIRECT(A96&amp;ROW())=C95),1,IF(AND(INDIRECT(A73&amp;ROW())=B95,INDIRECT(A96&amp;ROW())=C96),1,0))</f>
        <v>0</v>
      </c>
      <c r="K2">
        <f ca="1">DAYS360(INDIRECT(C68&amp;ROW()),TODAY())</f>
        <v>721</v>
      </c>
      <c r="L2">
        <f ca="1">DAYS360(INDIRECT(C69&amp;ROW()),TODAY())</f>
        <v>1221</v>
      </c>
      <c r="M2" s="11">
        <f ca="1">HYPERLINK(CONCATENATE("https://bugzilla.houston.hp.com:1181/bugzilla/show_bug.cgi?id=",INDIRECT(C70&amp;ROW())),INDIRECT(C70&amp;ROW()))</f>
        <v>37654</v>
      </c>
      <c r="N2">
        <v>37654</v>
      </c>
      <c r="O2" t="s">
        <v>55</v>
      </c>
      <c r="P2" t="s">
        <v>389</v>
      </c>
      <c r="Q2" t="s">
        <v>16</v>
      </c>
      <c r="R2" t="s">
        <v>251</v>
      </c>
      <c r="S2" t="s">
        <v>55</v>
      </c>
      <c r="U2" s="6">
        <v>42125.439826388887</v>
      </c>
      <c r="V2" t="s">
        <v>18</v>
      </c>
      <c r="W2" t="s">
        <v>17</v>
      </c>
      <c r="X2" s="6">
        <v>41619.560983796298</v>
      </c>
      <c r="Y2" t="s">
        <v>122</v>
      </c>
      <c r="AB2" t="s">
        <v>200</v>
      </c>
      <c r="AC2" t="s">
        <v>121</v>
      </c>
      <c r="AD2" t="s">
        <v>220</v>
      </c>
      <c r="AE2" t="s">
        <v>219</v>
      </c>
      <c r="AG2" t="s">
        <v>121</v>
      </c>
      <c r="AH2" t="s">
        <v>327</v>
      </c>
      <c r="AI2" t="s">
        <v>121</v>
      </c>
      <c r="AJ2" t="s">
        <v>716</v>
      </c>
      <c r="AK2" t="s">
        <v>121</v>
      </c>
    </row>
    <row r="3" spans="1:37" x14ac:dyDescent="0.3">
      <c r="A3" s="2">
        <f ca="1">COUNTIF(INDIRECT(A68&amp;A67):INDIRECT(A69&amp;A66),INDIRECT("b"&amp;ROW()))</f>
        <v>2</v>
      </c>
      <c r="B3" s="2" t="str">
        <f>Assignees!C2</f>
        <v>Astra-IR7</v>
      </c>
      <c r="C3" s="3">
        <f ca="1">COUNTIF(INDIRECT(A71&amp;A67):INDIRECT(A71&amp;A66),INDIRECT("d"&amp;ROW()))</f>
        <v>257</v>
      </c>
      <c r="D3" s="3" t="str">
        <f>Assignees!D2</f>
        <v>Atlas</v>
      </c>
      <c r="E3" s="16">
        <f ca="1">COUNTIFS(INDIRECT(A71&amp;A67):INDIRECT(A71&amp;A66),INDIRECT("d"&amp;ROW()),INDIRECT(A73&amp;A67):INDIRECT(A73&amp;A66),E1)</f>
        <v>2</v>
      </c>
      <c r="F3" s="4">
        <f ca="1">COUNTIFS(INDIRECT(A71&amp;A67):INDIRECT(A71&amp;A66),INDIRECT("d"&amp;ROW()),INDIRECT(A73&amp;A67):INDIRECT(A73&amp;A66),F1)</f>
        <v>24</v>
      </c>
      <c r="G3" s="3">
        <f ca="1">COUNTIFS(INDIRECT(A71&amp;A67):INDIRECT(A71&amp;A66),INDIRECT("d"&amp;ROW()),INDIRECT(A73&amp;A67):INDIRECT(A73&amp;A66),G1)</f>
        <v>100</v>
      </c>
      <c r="H3" s="5">
        <f ca="1">COUNTIFS(INDIRECT(A71&amp;A67):INDIRECT(A71&amp;A66),INDIRECT("d"&amp;ROW()),INDIRECT(A73&amp;A67):INDIRECT(A73&amp;A66),H1)</f>
        <v>131</v>
      </c>
      <c r="I3">
        <f ca="1">IF(OR(INDIRECT(A73&amp;ROW())=B93,INDIRECT(A73&amp;ROW())=B94),1,IF(AND(INDIRECT(A73&amp;ROW())=B95,INDIRECT(A96&amp;ROW())=C93),1,IF(AND(INDIRECT(A73&amp;ROW())=B95,INDIRECT(A96&amp;ROW())=C94),1,0)))</f>
        <v>0</v>
      </c>
      <c r="J3">
        <f ca="1">IF(AND(INDIRECT(A73&amp;ROW())=B95,INDIRECT(A96&amp;ROW())=C95),1,IF(AND(INDIRECT(A73&amp;ROW())=B95,INDIRECT(A96&amp;ROW())=C96),1,0))</f>
        <v>0</v>
      </c>
      <c r="K3">
        <f ca="1">DAYS360(INDIRECT(C68&amp;ROW()),TODAY())</f>
        <v>721</v>
      </c>
      <c r="L3">
        <f ca="1">DAYS360(INDIRECT(C69&amp;ROW()),TODAY())</f>
        <v>1214</v>
      </c>
      <c r="M3" s="11">
        <f ca="1">HYPERLINK(CONCATENATE("https://bugzilla.houston.hp.com:1181/bugzilla/show_bug.cgi?id=",INDIRECT(C70&amp;ROW())),INDIRECT(C70&amp;ROW()))</f>
        <v>37855</v>
      </c>
      <c r="N3">
        <v>37855</v>
      </c>
      <c r="O3" t="s">
        <v>56</v>
      </c>
      <c r="P3" t="s">
        <v>388</v>
      </c>
      <c r="Q3" t="s">
        <v>16</v>
      </c>
      <c r="R3" t="s">
        <v>251</v>
      </c>
      <c r="S3" t="s">
        <v>43</v>
      </c>
      <c r="U3" s="6">
        <v>42125.439976851849</v>
      </c>
      <c r="V3" t="s">
        <v>35</v>
      </c>
      <c r="W3" t="s">
        <v>17</v>
      </c>
      <c r="X3" s="6">
        <v>41626.51222222222</v>
      </c>
      <c r="Y3" t="s">
        <v>122</v>
      </c>
      <c r="AB3" t="s">
        <v>201</v>
      </c>
      <c r="AC3" t="s">
        <v>121</v>
      </c>
      <c r="AD3" t="s">
        <v>220</v>
      </c>
      <c r="AE3" t="s">
        <v>219</v>
      </c>
      <c r="AG3" t="s">
        <v>121</v>
      </c>
      <c r="AH3" t="s">
        <v>327</v>
      </c>
      <c r="AI3" t="s">
        <v>121</v>
      </c>
      <c r="AJ3" t="s">
        <v>717</v>
      </c>
      <c r="AK3" t="s">
        <v>121</v>
      </c>
    </row>
    <row r="4" spans="1:37" x14ac:dyDescent="0.3">
      <c r="A4" s="2">
        <f ca="1">COUNTIF(INDIRECT(A68&amp;A67):INDIRECT(A69&amp;A66),INDIRECT("b"&amp;ROW()))</f>
        <v>2</v>
      </c>
      <c r="B4" s="2" t="str">
        <f>Assignees!C3</f>
        <v>Astra-IR8</v>
      </c>
      <c r="C4" s="3">
        <f ca="1">COUNTIF(INDIRECT(A71&amp;A67):INDIRECT(A71&amp;A66),INDIRECT("d"&amp;ROW()))</f>
        <v>0</v>
      </c>
      <c r="D4" s="3" t="str">
        <f>Assignees!D3</f>
        <v>Bellatrix</v>
      </c>
      <c r="E4" s="16">
        <f ca="1">COUNTIFS(INDIRECT(A71&amp;A67):INDIRECT(A71&amp;A66),INDIRECT("d"&amp;ROW()),INDIRECT(A73&amp;A67):INDIRECT(A73&amp;A66),E1)</f>
        <v>0</v>
      </c>
      <c r="F4" s="4">
        <f ca="1">COUNTIFS(INDIRECT(A71&amp;A67):INDIRECT(A71&amp;A66),INDIRECT("d"&amp;ROW()),INDIRECT(A73&amp;A67):INDIRECT(A73&amp;A66),F1)</f>
        <v>0</v>
      </c>
      <c r="G4" s="3">
        <f ca="1">COUNTIFS(INDIRECT(A71&amp;A67):INDIRECT(A71&amp;A66),INDIRECT("d"&amp;ROW()),INDIRECT(A73&amp;A67):INDIRECT(A73&amp;A66),G1)</f>
        <v>0</v>
      </c>
      <c r="H4" s="5">
        <f ca="1">COUNTIFS(INDIRECT(A71&amp;A67):INDIRECT(A71&amp;A66),INDIRECT("d"&amp;ROW()),INDIRECT(A73&amp;A67):INDIRECT(A73&amp;A66),H1)</f>
        <v>0</v>
      </c>
      <c r="I4">
        <f ca="1">IF(OR(INDIRECT(A73&amp;ROW())=B93,INDIRECT(A73&amp;ROW())=B94),1,IF(AND(INDIRECT(A73&amp;ROW())=B95,INDIRECT(A96&amp;ROW())=C93),1,IF(AND(INDIRECT(A73&amp;ROW())=B95,INDIRECT(A96&amp;ROW())=C94),1,0)))</f>
        <v>0</v>
      </c>
      <c r="J4">
        <f ca="1">IF(AND(INDIRECT(A73&amp;ROW())=B95,INDIRECT(A96&amp;ROW())=C95),1,IF(AND(INDIRECT(A73&amp;ROW())=B95,INDIRECT(A96&amp;ROW())=C96),1,0))</f>
        <v>1</v>
      </c>
      <c r="K4">
        <f ca="1">DAYS360(INDIRECT(C68&amp;ROW()),TODAY())</f>
        <v>710</v>
      </c>
      <c r="L4">
        <f ca="1">DAYS360(INDIRECT(C69&amp;ROW()),TODAY())</f>
        <v>1159</v>
      </c>
      <c r="M4" s="11">
        <f ca="1">HYPERLINK(CONCATENATE("https://bugzilla.houston.hp.com:1181/bugzilla/show_bug.cgi?id=",INDIRECT(C70&amp;ROW())),INDIRECT(C70&amp;ROW()))</f>
        <v>39099</v>
      </c>
      <c r="N4">
        <v>39099</v>
      </c>
      <c r="O4" t="s">
        <v>53</v>
      </c>
      <c r="P4" t="s">
        <v>1053</v>
      </c>
      <c r="Q4" t="s">
        <v>25</v>
      </c>
      <c r="R4" t="s">
        <v>251</v>
      </c>
      <c r="S4" t="s">
        <v>53</v>
      </c>
      <c r="U4" s="6">
        <v>42136.61577546296</v>
      </c>
      <c r="V4" t="s">
        <v>18</v>
      </c>
      <c r="W4" t="s">
        <v>17</v>
      </c>
      <c r="X4" s="6">
        <v>41683.468611111108</v>
      </c>
      <c r="Y4" t="s">
        <v>118</v>
      </c>
      <c r="AB4" t="s">
        <v>201</v>
      </c>
      <c r="AC4" t="s">
        <v>1027</v>
      </c>
      <c r="AD4" t="s">
        <v>220</v>
      </c>
      <c r="AE4" t="s">
        <v>219</v>
      </c>
      <c r="AG4" t="s">
        <v>121</v>
      </c>
      <c r="AH4" t="s">
        <v>327</v>
      </c>
      <c r="AI4" t="s">
        <v>121</v>
      </c>
      <c r="AJ4" t="s">
        <v>716</v>
      </c>
      <c r="AK4" t="s">
        <v>121</v>
      </c>
    </row>
    <row r="5" spans="1:37" x14ac:dyDescent="0.3">
      <c r="A5" s="2">
        <f ca="1">COUNTIF(INDIRECT(A68&amp;A67):INDIRECT(A69&amp;A66),INDIRECT("b"&amp;ROW()))</f>
        <v>2</v>
      </c>
      <c r="B5" s="2" t="str">
        <f>Assignees!C4</f>
        <v>Astra-IR9</v>
      </c>
      <c r="C5" s="3">
        <f ca="1">COUNTIF(INDIRECT(A71&amp;A67):INDIRECT(A71&amp;A66),INDIRECT("d"&amp;ROW()))</f>
        <v>251</v>
      </c>
      <c r="D5" s="3" t="str">
        <f>Assignees!D4</f>
        <v>Master</v>
      </c>
      <c r="E5" s="16">
        <f ca="1">COUNTIFS(INDIRECT(A71&amp;A67):INDIRECT(A71&amp;A66),INDIRECT("d"&amp;ROW()),INDIRECT(A73&amp;A67):INDIRECT(A73&amp;A66),E1)</f>
        <v>0</v>
      </c>
      <c r="F5" s="4">
        <f ca="1">COUNTIFS(INDIRECT(A71&amp;A67):INDIRECT(A71&amp;A66),INDIRECT("d"&amp;ROW()),INDIRECT(A73&amp;A67):INDIRECT(A73&amp;A66),F1)</f>
        <v>27</v>
      </c>
      <c r="G5" s="3">
        <f ca="1">COUNTIFS(INDIRECT(A71&amp;A67):INDIRECT(A71&amp;A66),INDIRECT("d"&amp;ROW()),INDIRECT(A73&amp;A67):INDIRECT(A73&amp;A66),G1)</f>
        <v>111</v>
      </c>
      <c r="H5" s="5">
        <f ca="1">COUNTIFS(INDIRECT(A71&amp;A67):INDIRECT(A71&amp;A66),INDIRECT("d"&amp;ROW()),INDIRECT(A73&amp;A67):INDIRECT(A73&amp;A66),H1)</f>
        <v>113</v>
      </c>
      <c r="I5">
        <f ca="1">IF(OR(INDIRECT(A73&amp;ROW())=B93,INDIRECT(A73&amp;ROW())=B94),1,IF(AND(INDIRECT(A73&amp;ROW())=B95,INDIRECT(A96&amp;ROW())=C93),1,IF(AND(INDIRECT(A73&amp;ROW())=B95,INDIRECT(A96&amp;ROW())=C94),1,0)))</f>
        <v>0</v>
      </c>
      <c r="J5">
        <f ca="1">IF(AND(INDIRECT(A73&amp;ROW())=B95,INDIRECT(A96&amp;ROW())=C95),1,IF(AND(INDIRECT(A73&amp;ROW())=B95,INDIRECT(A96&amp;ROW())=C96),1,0))</f>
        <v>0</v>
      </c>
      <c r="K5">
        <f ca="1">DAYS360(INDIRECT(C68&amp;ROW()),TODAY())</f>
        <v>728</v>
      </c>
      <c r="L5">
        <f ca="1">DAYS360(INDIRECT(C69&amp;ROW()),TODAY())</f>
        <v>1145</v>
      </c>
      <c r="M5" s="11">
        <f ca="1">HYPERLINK(CONCATENATE("https://bugzilla.houston.hp.com:1181/bugzilla/show_bug.cgi?id=",INDIRECT(C70&amp;ROW())),INDIRECT(C70&amp;ROW()))</f>
        <v>39639</v>
      </c>
      <c r="N5">
        <v>39639</v>
      </c>
      <c r="O5" t="s">
        <v>66</v>
      </c>
      <c r="P5" t="s">
        <v>208</v>
      </c>
      <c r="Q5" t="s">
        <v>16</v>
      </c>
      <c r="R5" t="s">
        <v>251</v>
      </c>
      <c r="S5" t="s">
        <v>37</v>
      </c>
      <c r="T5" t="s">
        <v>794</v>
      </c>
      <c r="U5" s="6">
        <v>42118.519513888888</v>
      </c>
      <c r="V5" t="s">
        <v>35</v>
      </c>
      <c r="W5" t="s">
        <v>17</v>
      </c>
      <c r="X5" s="6">
        <v>41697.087245370371</v>
      </c>
      <c r="Y5" t="s">
        <v>119</v>
      </c>
      <c r="AB5" t="s">
        <v>201</v>
      </c>
      <c r="AC5" t="s">
        <v>121</v>
      </c>
      <c r="AD5" t="s">
        <v>220</v>
      </c>
      <c r="AE5" t="s">
        <v>219</v>
      </c>
      <c r="AG5" t="s">
        <v>121</v>
      </c>
      <c r="AH5" t="s">
        <v>327</v>
      </c>
      <c r="AI5" t="s">
        <v>121</v>
      </c>
      <c r="AJ5" t="s">
        <v>717</v>
      </c>
      <c r="AK5" t="s">
        <v>121</v>
      </c>
    </row>
    <row r="6" spans="1:37" x14ac:dyDescent="0.3">
      <c r="A6" s="2">
        <f ca="1">COUNTIF(INDIRECT(A68&amp;A67):INDIRECT(A69&amp;A66),INDIRECT("b"&amp;ROW()))</f>
        <v>2</v>
      </c>
      <c r="B6" s="2" t="str">
        <f>Assignees!C5</f>
        <v>Astra-IR10</v>
      </c>
      <c r="C6" s="3">
        <f ca="1">COUNTIF(INDIRECT(A71&amp;A67):INDIRECT(A71&amp;A66),INDIRECT("d"&amp;ROW()))</f>
        <v>1</v>
      </c>
      <c r="D6" s="3" t="str">
        <f>Assignees!D5</f>
        <v>Astra-Waiver</v>
      </c>
      <c r="E6" s="16">
        <f ca="1">COUNTIFS(INDIRECT(A71&amp;A67):INDIRECT(A71&amp;A66),INDIRECT("d"&amp;ROW()),INDIRECT(A73&amp;A67):INDIRECT(A73&amp;A66),E1)</f>
        <v>0</v>
      </c>
      <c r="F6" s="4">
        <f ca="1">COUNTIFS(INDIRECT(A71&amp;A67):INDIRECT(A71&amp;A66),INDIRECT("d"&amp;ROW()),INDIRECT(A73&amp;A67):INDIRECT(A73&amp;A66),F1)</f>
        <v>0</v>
      </c>
      <c r="G6" s="3">
        <f ca="1">COUNTIFS(INDIRECT(A71&amp;A67):INDIRECT(A71&amp;A66),INDIRECT("d"&amp;ROW()),INDIRECT(A73&amp;A67):INDIRECT(A73&amp;A66),G1)</f>
        <v>1</v>
      </c>
      <c r="H6" s="5">
        <f ca="1">COUNTIFS(INDIRECT(A71&amp;A67):INDIRECT(A71&amp;A66),INDIRECT("d"&amp;ROW()),INDIRECT(A73&amp;A67):INDIRECT(A73&amp;A66),H1)</f>
        <v>0</v>
      </c>
      <c r="I6">
        <f ca="1">IF(OR(INDIRECT(A73&amp;ROW())=B93,INDIRECT(A73&amp;ROW())=B94),1,IF(AND(INDIRECT(A73&amp;ROW())=B95,INDIRECT(A96&amp;ROW())=C93),1,IF(AND(INDIRECT(A73&amp;ROW())=B95,INDIRECT(A96&amp;ROW())=C94),1,0)))</f>
        <v>0</v>
      </c>
      <c r="J6">
        <f ca="1">IF(AND(INDIRECT(A73&amp;ROW())=B95,INDIRECT(A96&amp;ROW())=C95),1,IF(AND(INDIRECT(A73&amp;ROW())=B95,INDIRECT(A96&amp;ROW())=C96),1,0))</f>
        <v>1</v>
      </c>
      <c r="K6">
        <f ca="1">DAYS360(INDIRECT(C68&amp;ROW()),TODAY())</f>
        <v>729</v>
      </c>
      <c r="L6">
        <f ca="1">DAYS360(INDIRECT(C69&amp;ROW()),TODAY())</f>
        <v>1145</v>
      </c>
      <c r="M6" s="11">
        <f ca="1">HYPERLINK(CONCATENATE("https://bugzilla.houston.hp.com:1181/bugzilla/show_bug.cgi?id=",INDIRECT(C70&amp;ROW())),INDIRECT(C70&amp;ROW()))</f>
        <v>39670</v>
      </c>
      <c r="N6">
        <v>39670</v>
      </c>
      <c r="O6" t="s">
        <v>31</v>
      </c>
      <c r="P6" t="s">
        <v>540</v>
      </c>
      <c r="Q6" t="s">
        <v>25</v>
      </c>
      <c r="R6" t="s">
        <v>251</v>
      </c>
      <c r="S6" t="s">
        <v>31</v>
      </c>
      <c r="U6" s="6">
        <v>42117.402280092596</v>
      </c>
      <c r="V6" t="s">
        <v>40</v>
      </c>
      <c r="W6" t="s">
        <v>17</v>
      </c>
      <c r="X6" s="6">
        <v>41697.697731481479</v>
      </c>
      <c r="Y6" t="s">
        <v>119</v>
      </c>
      <c r="AB6" t="s">
        <v>201</v>
      </c>
      <c r="AC6" t="s">
        <v>121</v>
      </c>
      <c r="AD6" t="s">
        <v>220</v>
      </c>
      <c r="AE6" t="s">
        <v>219</v>
      </c>
      <c r="AG6" t="s">
        <v>121</v>
      </c>
      <c r="AH6" t="s">
        <v>327</v>
      </c>
      <c r="AI6" t="s">
        <v>121</v>
      </c>
      <c r="AJ6" t="s">
        <v>716</v>
      </c>
      <c r="AK6" t="s">
        <v>121</v>
      </c>
    </row>
    <row r="7" spans="1:37" x14ac:dyDescent="0.3">
      <c r="A7" s="2">
        <f ca="1">COUNTIF(INDIRECT(A68&amp;A67):INDIRECT(A69&amp;A66),INDIRECT("b"&amp;ROW()))</f>
        <v>3</v>
      </c>
      <c r="B7" s="2" t="str">
        <f>Assignees!C6</f>
        <v>Astra-IR11</v>
      </c>
      <c r="C7" s="3">
        <f ca="1">COUNTIF(INDIRECT(A71&amp;A67):INDIRECT(A71&amp;A66),INDIRECT("d"&amp;ROW()))</f>
        <v>75</v>
      </c>
      <c r="D7" s="3" t="str">
        <f>Assignees!D6</f>
        <v>Astra-Maint</v>
      </c>
      <c r="E7" s="16">
        <f ca="1">COUNTIFS(INDIRECT(A71&amp;A67):INDIRECT(A71&amp;A66),INDIRECT("d"&amp;ROW()),INDIRECT(A73&amp;A67):INDIRECT(A73&amp;A66),E1)</f>
        <v>0</v>
      </c>
      <c r="F7" s="4">
        <f ca="1">COUNTIFS(INDIRECT(A71&amp;A67):INDIRECT(A71&amp;A66),INDIRECT("d"&amp;ROW()),INDIRECT(A73&amp;A67):INDIRECT(A73&amp;A66),F1)</f>
        <v>21</v>
      </c>
      <c r="G7" s="3">
        <f ca="1">COUNTIFS(INDIRECT(A71&amp;A67):INDIRECT(A71&amp;A66),INDIRECT("d"&amp;ROW()),INDIRECT(A73&amp;A67):INDIRECT(A73&amp;A66),G1)</f>
        <v>44</v>
      </c>
      <c r="H7" s="5">
        <f ca="1">COUNTIFS(INDIRECT(A71&amp;A67):INDIRECT(A71&amp;A66),INDIRECT("d"&amp;ROW()),INDIRECT(A73&amp;A67):INDIRECT(A73&amp;A66),H1)</f>
        <v>10</v>
      </c>
      <c r="I7">
        <f ca="1">IF(OR(INDIRECT(A73&amp;ROW())=B93,INDIRECT(A73&amp;ROW())=B94),1,IF(AND(INDIRECT(A73&amp;ROW())=B95,INDIRECT(A96&amp;ROW())=C93),1,IF(AND(INDIRECT(A73&amp;ROW())=B95,INDIRECT(A96&amp;ROW())=C94),1,0)))</f>
        <v>0</v>
      </c>
      <c r="J7">
        <f ca="1">IF(AND(INDIRECT(A73&amp;ROW())=B95,INDIRECT(A96&amp;ROW())=C95),1,IF(AND(INDIRECT(A73&amp;ROW())=B95,INDIRECT(A96&amp;ROW())=C96),1,0))</f>
        <v>0</v>
      </c>
      <c r="K7">
        <f ca="1">DAYS360(INDIRECT(C68&amp;ROW()),TODAY())</f>
        <v>718</v>
      </c>
      <c r="L7">
        <f ca="1">DAYS360(INDIRECT(C69&amp;ROW()),TODAY())</f>
        <v>1130</v>
      </c>
      <c r="M7" s="11">
        <f ca="1">HYPERLINK(CONCATENATE("https://bugzilla.houston.hp.com:1181/bugzilla/show_bug.cgi?id=",INDIRECT(C70&amp;ROW())),INDIRECT(C70&amp;ROW()))</f>
        <v>40103</v>
      </c>
      <c r="N7">
        <v>40103</v>
      </c>
      <c r="O7" t="s">
        <v>21</v>
      </c>
      <c r="P7" t="s">
        <v>387</v>
      </c>
      <c r="Q7" t="s">
        <v>16</v>
      </c>
      <c r="R7" t="s">
        <v>251</v>
      </c>
      <c r="S7" t="s">
        <v>49</v>
      </c>
      <c r="T7" t="s">
        <v>794</v>
      </c>
      <c r="U7" s="6">
        <v>42128.643333333333</v>
      </c>
      <c r="V7" t="s">
        <v>18</v>
      </c>
      <c r="W7" t="s">
        <v>17</v>
      </c>
      <c r="X7" s="6">
        <v>41710.731678240743</v>
      </c>
      <c r="Y7" t="s">
        <v>244</v>
      </c>
      <c r="AB7" t="s">
        <v>201</v>
      </c>
      <c r="AC7" t="s">
        <v>121</v>
      </c>
      <c r="AD7" t="s">
        <v>227</v>
      </c>
      <c r="AE7" t="s">
        <v>238</v>
      </c>
      <c r="AG7" t="s">
        <v>121</v>
      </c>
      <c r="AH7" t="s">
        <v>327</v>
      </c>
      <c r="AI7" t="s">
        <v>121</v>
      </c>
      <c r="AJ7" t="s">
        <v>717</v>
      </c>
      <c r="AK7" t="s">
        <v>121</v>
      </c>
    </row>
    <row r="8" spans="1:37" x14ac:dyDescent="0.3">
      <c r="A8" s="2">
        <f ca="1">COUNTIF(INDIRECT(A68&amp;A67):INDIRECT(A69&amp;A66),INDIRECT("b"&amp;ROW()))</f>
        <v>3</v>
      </c>
      <c r="B8" s="2" t="str">
        <f>Assignees!C7</f>
        <v>Astra-IR12</v>
      </c>
      <c r="C8" s="3">
        <f ca="1">COUNTIF(INDIRECT(A71&amp;A67):INDIRECT(A71&amp;A66),INDIRECT("d"&amp;ROW()))</f>
        <v>93</v>
      </c>
      <c r="D8" s="3" t="str">
        <f>Assignees!D7</f>
        <v>Astra-1.1.0</v>
      </c>
      <c r="E8" s="16">
        <f ca="1">COUNTIFS(INDIRECT(A71&amp;A67):INDIRECT(A71&amp;A66),INDIRECT("d"&amp;ROW()),INDIRECT(A73&amp;A67):INDIRECT(A73&amp;A66),E1)</f>
        <v>0</v>
      </c>
      <c r="F8" s="4">
        <f ca="1">COUNTIFS(INDIRECT(A71&amp;A67):INDIRECT(A71&amp;A66),INDIRECT("d"&amp;ROW()),INDIRECT(A73&amp;A67):INDIRECT(A73&amp;A66),F1)</f>
        <v>21</v>
      </c>
      <c r="G8" s="3">
        <f ca="1">COUNTIFS(INDIRECT(A71&amp;A67):INDIRECT(A71&amp;A66),INDIRECT("d"&amp;ROW()),INDIRECT(A73&amp;A67):INDIRECT(A73&amp;A66),G1)</f>
        <v>53</v>
      </c>
      <c r="H8" s="5">
        <f ca="1">COUNTIFS(INDIRECT(A71&amp;A67):INDIRECT(A71&amp;A66),INDIRECT("d"&amp;ROW()),INDIRECT(A73&amp;A67):INDIRECT(A73&amp;A66),H1)</f>
        <v>19</v>
      </c>
      <c r="I8">
        <f ca="1">IF(OR(INDIRECT(A73&amp;ROW())=B93,INDIRECT(A73&amp;ROW())=B94),1,IF(AND(INDIRECT(A73&amp;ROW())=B95,INDIRECT(A96&amp;ROW())=C93),1,IF(AND(INDIRECT(A73&amp;ROW())=B95,INDIRECT(A96&amp;ROW())=C94),1,0)))</f>
        <v>0</v>
      </c>
      <c r="J8">
        <f ca="1">IF(AND(INDIRECT(A73&amp;ROW())=B95,INDIRECT(A96&amp;ROW())=C95),1,IF(AND(INDIRECT(A73&amp;ROW())=B95,INDIRECT(A96&amp;ROW())=C96),1,0))</f>
        <v>0</v>
      </c>
      <c r="K8">
        <f ca="1">DAYS360(INDIRECT(C68&amp;ROW()),TODAY())</f>
        <v>724</v>
      </c>
      <c r="L8">
        <f ca="1">DAYS360(INDIRECT(C69&amp;ROW()),TODAY())</f>
        <v>1129</v>
      </c>
      <c r="M8" s="11">
        <f ca="1">HYPERLINK(CONCATENATE("https://bugzilla.houston.hp.com:1181/bugzilla/show_bug.cgi?id=",INDIRECT(C70&amp;ROW())),INDIRECT(C70&amp;ROW()))</f>
        <v>40147</v>
      </c>
      <c r="N8">
        <v>40147</v>
      </c>
      <c r="O8" t="s">
        <v>203</v>
      </c>
      <c r="P8" t="s">
        <v>386</v>
      </c>
      <c r="Q8" t="s">
        <v>16</v>
      </c>
      <c r="R8" t="s">
        <v>251</v>
      </c>
      <c r="S8" t="s">
        <v>43</v>
      </c>
      <c r="U8" s="6">
        <v>42122.542349537034</v>
      </c>
      <c r="V8" t="s">
        <v>35</v>
      </c>
      <c r="W8" t="s">
        <v>17</v>
      </c>
      <c r="X8" s="6">
        <v>41711.557384259257</v>
      </c>
      <c r="Y8" t="s">
        <v>118</v>
      </c>
      <c r="AB8" t="s">
        <v>201</v>
      </c>
      <c r="AC8" t="s">
        <v>121</v>
      </c>
      <c r="AD8" t="s">
        <v>220</v>
      </c>
      <c r="AE8" t="s">
        <v>223</v>
      </c>
      <c r="AG8" t="s">
        <v>121</v>
      </c>
      <c r="AH8" t="s">
        <v>327</v>
      </c>
      <c r="AI8" t="s">
        <v>121</v>
      </c>
      <c r="AJ8" t="s">
        <v>717</v>
      </c>
      <c r="AK8" t="s">
        <v>121</v>
      </c>
    </row>
    <row r="9" spans="1:37" x14ac:dyDescent="0.3">
      <c r="A9" s="2">
        <f ca="1">COUNTIF(INDIRECT(A68&amp;A67):INDIRECT(A69&amp;A66),INDIRECT("b"&amp;ROW()))</f>
        <v>4</v>
      </c>
      <c r="B9" s="2" t="str">
        <f>Assignees!C8</f>
        <v>Astra-IR13</v>
      </c>
      <c r="C9" s="3">
        <f ca="1">COUNTIF(INDIRECT(A71&amp;A67):INDIRECT(A71&amp;A66),INDIRECT("d"&amp;ROW()))</f>
        <v>0</v>
      </c>
      <c r="D9" s="3">
        <f>Assignees!D8</f>
        <v>0</v>
      </c>
      <c r="E9" s="16">
        <f ca="1">COUNTIFS(INDIRECT(A71&amp;A67):INDIRECT(A71&amp;A66),INDIRECT("d"&amp;ROW()),INDIRECT(A73&amp;A67):INDIRECT(A73&amp;A66),E1)</f>
        <v>0</v>
      </c>
      <c r="F9" s="4">
        <f ca="1">COUNTIFS(INDIRECT(A71&amp;A67):INDIRECT(A71&amp;A66),INDIRECT("d"&amp;ROW()),INDIRECT(A73&amp;A67):INDIRECT(A73&amp;A66),F1)</f>
        <v>0</v>
      </c>
      <c r="G9" s="3">
        <f ca="1">COUNTIFS(INDIRECT(A71&amp;A67):INDIRECT(A71&amp;A66),INDIRECT("d"&amp;ROW()),INDIRECT(A73&amp;A67):INDIRECT(A73&amp;A66),G1)</f>
        <v>0</v>
      </c>
      <c r="H9" s="5">
        <f ca="1">COUNTIFS(INDIRECT(A71&amp;A67):INDIRECT(A71&amp;A66),INDIRECT("d"&amp;ROW()),INDIRECT(A73&amp;A67):INDIRECT(A73&amp;A66),H1)</f>
        <v>0</v>
      </c>
      <c r="I9">
        <f ca="1">IF(OR(INDIRECT(A73&amp;ROW())=B93,INDIRECT(A73&amp;ROW())=B94),1,IF(AND(INDIRECT(A73&amp;ROW())=B95,INDIRECT(A96&amp;ROW())=C93),1,IF(AND(INDIRECT(A73&amp;ROW())=B95,INDIRECT(A96&amp;ROW())=C94),1,0)))</f>
        <v>0</v>
      </c>
      <c r="J9">
        <f ca="1">IF(AND(INDIRECT(A73&amp;ROW())=B95,INDIRECT(A96&amp;ROW())=C95),1,IF(AND(INDIRECT(A73&amp;ROW())=B95,INDIRECT(A96&amp;ROW())=C96),1,0))</f>
        <v>1</v>
      </c>
      <c r="K9">
        <f ca="1">DAYS360(INDIRECT(C68&amp;ROW()),TODAY())</f>
        <v>721</v>
      </c>
      <c r="L9">
        <f ca="1">DAYS360(INDIRECT(C69&amp;ROW()),TODAY())</f>
        <v>1117</v>
      </c>
      <c r="M9" s="11">
        <f ca="1">HYPERLINK(CONCATENATE("https://bugzilla.houston.hp.com:1181/bugzilla/show_bug.cgi?id=",INDIRECT(C70&amp;ROW())),INDIRECT(C70&amp;ROW()))</f>
        <v>41238</v>
      </c>
      <c r="N9">
        <v>41238</v>
      </c>
      <c r="O9" t="s">
        <v>56</v>
      </c>
      <c r="P9" t="s">
        <v>385</v>
      </c>
      <c r="Q9" t="s">
        <v>25</v>
      </c>
      <c r="R9" t="s">
        <v>251</v>
      </c>
      <c r="S9" t="s">
        <v>43</v>
      </c>
      <c r="U9" s="6">
        <v>42125.442164351851</v>
      </c>
      <c r="V9" t="s">
        <v>18</v>
      </c>
      <c r="W9" t="s">
        <v>17</v>
      </c>
      <c r="X9" s="6">
        <v>41723.653414351851</v>
      </c>
      <c r="Y9" t="s">
        <v>122</v>
      </c>
      <c r="AB9" t="s">
        <v>201</v>
      </c>
      <c r="AC9" t="s">
        <v>121</v>
      </c>
      <c r="AD9" t="s">
        <v>220</v>
      </c>
      <c r="AE9" t="s">
        <v>219</v>
      </c>
      <c r="AG9" t="s">
        <v>121</v>
      </c>
      <c r="AH9" t="s">
        <v>327</v>
      </c>
      <c r="AI9" t="s">
        <v>121</v>
      </c>
      <c r="AJ9" t="s">
        <v>716</v>
      </c>
      <c r="AK9" t="s">
        <v>121</v>
      </c>
    </row>
    <row r="10" spans="1:37" x14ac:dyDescent="0.3">
      <c r="A10" s="2">
        <f ca="1">COUNTIF(INDIRECT(A68&amp;A67):INDIRECT(A69&amp;A66),INDIRECT("b"&amp;ROW()))</f>
        <v>1</v>
      </c>
      <c r="B10" s="2" t="str">
        <f>Assignees!C9</f>
        <v>Astra-Post IR13 06-20</v>
      </c>
      <c r="C10" s="3">
        <f ca="1">COUNTIF(INDIRECT(A71&amp;A67):INDIRECT(A71&amp;A66),INDIRECT("d"&amp;ROW()))</f>
        <v>0</v>
      </c>
      <c r="D10" s="3">
        <f>Assignees!D9</f>
        <v>0</v>
      </c>
      <c r="E10" s="16">
        <f ca="1">COUNTIFS(INDIRECT(A71&amp;A67):INDIRECT(A71&amp;A66),INDIRECT("d"&amp;ROW()),INDIRECT(A73&amp;A67):INDIRECT(A73&amp;A66),E1)</f>
        <v>0</v>
      </c>
      <c r="F10" s="4">
        <f ca="1">COUNTIFS(INDIRECT(A71&amp;A67):INDIRECT(A71&amp;A66),INDIRECT("d"&amp;ROW()),INDIRECT(A73&amp;A67):INDIRECT(A73&amp;A66),F1)</f>
        <v>0</v>
      </c>
      <c r="G10" s="3">
        <f ca="1">COUNTIFS(INDIRECT(A71&amp;A67):INDIRECT(A71&amp;A66),INDIRECT("d"&amp;ROW()),INDIRECT(A73&amp;A67):INDIRECT(A73&amp;A66),G1)</f>
        <v>0</v>
      </c>
      <c r="H10" s="5">
        <f ca="1">COUNTIFS(INDIRECT(A71&amp;A67):INDIRECT(A71&amp;A66),INDIRECT("d"&amp;ROW()),INDIRECT(A73&amp;A67):INDIRECT(A73&amp;A66),H1)</f>
        <v>0</v>
      </c>
      <c r="I10">
        <f ca="1">IF(OR(INDIRECT(A73&amp;ROW())=B93,INDIRECT(A73&amp;ROW())=B94),1,IF(AND(INDIRECT(A73&amp;ROW())=B95,INDIRECT(A96&amp;ROW())=C93),1,IF(AND(INDIRECT(A73&amp;ROW())=B95,INDIRECT(A96&amp;ROW())=C94),1,0)))</f>
        <v>0</v>
      </c>
      <c r="J10">
        <f ca="1">IF(AND(INDIRECT(A73&amp;ROW())=B95,INDIRECT(A96&amp;ROW())=C95),1,IF(AND(INDIRECT(A73&amp;ROW())=B95,INDIRECT(A96&amp;ROW())=C96),1,0))</f>
        <v>1</v>
      </c>
      <c r="K10">
        <f ca="1">DAYS360(INDIRECT(C68&amp;ROW()),TODAY())</f>
        <v>724</v>
      </c>
      <c r="L10">
        <f ca="1">DAYS360(INDIRECT(C69&amp;ROW()),TODAY())</f>
        <v>1115</v>
      </c>
      <c r="M10" s="11">
        <f ca="1">HYPERLINK(CONCATENATE("https://bugzilla.houston.hp.com:1181/bugzilla/show_bug.cgi?id=",INDIRECT(C70&amp;ROW())),INDIRECT(C70&amp;ROW()))</f>
        <v>41344</v>
      </c>
      <c r="N10">
        <v>41344</v>
      </c>
      <c r="O10" t="s">
        <v>43</v>
      </c>
      <c r="P10" t="s">
        <v>384</v>
      </c>
      <c r="Q10" t="s">
        <v>25</v>
      </c>
      <c r="R10" t="s">
        <v>251</v>
      </c>
      <c r="S10" t="s">
        <v>43</v>
      </c>
      <c r="U10" s="6">
        <v>42122.353217592594</v>
      </c>
      <c r="V10" t="s">
        <v>18</v>
      </c>
      <c r="W10" t="s">
        <v>17</v>
      </c>
      <c r="X10" s="6">
        <v>41725.638310185182</v>
      </c>
      <c r="Y10" t="s">
        <v>122</v>
      </c>
      <c r="AB10" t="s">
        <v>201</v>
      </c>
      <c r="AC10" t="s">
        <v>121</v>
      </c>
      <c r="AD10" t="s">
        <v>220</v>
      </c>
      <c r="AE10" t="s">
        <v>219</v>
      </c>
      <c r="AG10" t="s">
        <v>121</v>
      </c>
      <c r="AH10" t="s">
        <v>327</v>
      </c>
      <c r="AI10" t="s">
        <v>121</v>
      </c>
      <c r="AJ10" t="s">
        <v>716</v>
      </c>
      <c r="AK10" t="s">
        <v>121</v>
      </c>
    </row>
    <row r="11" spans="1:37" x14ac:dyDescent="0.3">
      <c r="A11" s="2">
        <f ca="1">COUNTIF(INDIRECT(A68&amp;A67):INDIRECT(A69&amp;A66),INDIRECT("b"&amp;ROW()))</f>
        <v>3</v>
      </c>
      <c r="B11" s="2" t="str">
        <f>Assignees!C10</f>
        <v>Astra-Post IR13 06-27-RTI</v>
      </c>
      <c r="C11" s="3">
        <f ca="1">COUNTIF(INDIRECT(A71&amp;A67):INDIRECT(A71&amp;A66),INDIRECT("d"&amp;ROW()))</f>
        <v>0</v>
      </c>
      <c r="D11" s="3">
        <f>Assignees!D10</f>
        <v>0</v>
      </c>
      <c r="E11" s="16">
        <f ca="1">COUNTIFS(INDIRECT(A71&amp;A67):INDIRECT(A71&amp;A66),INDIRECT("d"&amp;ROW()),INDIRECT(A73&amp;A67):INDIRECT(A73&amp;A66),E1)</f>
        <v>0</v>
      </c>
      <c r="F11" s="4">
        <f ca="1">COUNTIFS(INDIRECT(A71&amp;A67):INDIRECT(A71&amp;A66),INDIRECT("d"&amp;ROW()),INDIRECT(A73&amp;A67):INDIRECT(A73&amp;A66),F1)</f>
        <v>0</v>
      </c>
      <c r="G11" s="3">
        <f ca="1">COUNTIFS(INDIRECT(A71&amp;A67):INDIRECT(A71&amp;A66),INDIRECT("d"&amp;ROW()),INDIRECT(A73&amp;A67):INDIRECT(A73&amp;A66),G1)</f>
        <v>0</v>
      </c>
      <c r="H11" s="5">
        <f ca="1">COUNTIFS(INDIRECT(A71&amp;A67):INDIRECT(A71&amp;A66),INDIRECT("d"&amp;ROW()),INDIRECT(A73&amp;A67):INDIRECT(A73&amp;A66),H1)</f>
        <v>0</v>
      </c>
      <c r="I11">
        <f ca="1">IF(OR(INDIRECT(A73&amp;ROW())=B93,INDIRECT(A73&amp;ROW())=B94),1,IF(AND(INDIRECT(A73&amp;ROW())=B95,INDIRECT(A96&amp;ROW())=C93),1,IF(AND(INDIRECT(A73&amp;ROW())=B95,INDIRECT(A96&amp;ROW())=C94),1,0)))</f>
        <v>0</v>
      </c>
      <c r="J11">
        <f ca="1">IF(AND(INDIRECT(A73&amp;ROW())=B95,INDIRECT(A96&amp;ROW())=C95),1,IF(AND(INDIRECT(A73&amp;ROW())=B95,INDIRECT(A96&amp;ROW())=C96),1,0))</f>
        <v>0</v>
      </c>
      <c r="K11">
        <f ca="1">DAYS360(INDIRECT(C68&amp;ROW()),TODAY())</f>
        <v>728</v>
      </c>
      <c r="L11">
        <f ca="1">DAYS360(INDIRECT(C69&amp;ROW()),TODAY())</f>
        <v>1098</v>
      </c>
      <c r="M11" s="11">
        <f ca="1">HYPERLINK(CONCATENATE("https://bugzilla.houston.hp.com:1181/bugzilla/show_bug.cgi?id=",INDIRECT(C70&amp;ROW())),INDIRECT(C70&amp;ROW()))</f>
        <v>41906</v>
      </c>
      <c r="N11">
        <v>41906</v>
      </c>
      <c r="O11" t="s">
        <v>88</v>
      </c>
      <c r="P11" t="s">
        <v>456</v>
      </c>
      <c r="Q11" t="s">
        <v>16</v>
      </c>
      <c r="R11" t="s">
        <v>251</v>
      </c>
      <c r="S11" t="s">
        <v>31</v>
      </c>
      <c r="U11" s="6">
        <v>42118.519907407404</v>
      </c>
      <c r="V11" t="s">
        <v>40</v>
      </c>
      <c r="W11" t="s">
        <v>17</v>
      </c>
      <c r="X11" s="6">
        <v>41743.650300925925</v>
      </c>
      <c r="Y11" t="s">
        <v>119</v>
      </c>
      <c r="AB11" t="s">
        <v>201</v>
      </c>
      <c r="AC11" t="s">
        <v>121</v>
      </c>
      <c r="AD11" t="s">
        <v>222</v>
      </c>
      <c r="AE11" t="s">
        <v>225</v>
      </c>
      <c r="AG11" t="s">
        <v>121</v>
      </c>
      <c r="AH11" t="s">
        <v>327</v>
      </c>
      <c r="AI11" t="s">
        <v>121</v>
      </c>
      <c r="AJ11" t="s">
        <v>717</v>
      </c>
      <c r="AK11" t="s">
        <v>121</v>
      </c>
    </row>
    <row r="12" spans="1:37" x14ac:dyDescent="0.3">
      <c r="A12" s="2">
        <f ca="1">COUNTIF(INDIRECT(A68&amp;A67):INDIRECT(A69&amp;A66),INDIRECT("b"&amp;ROW()))</f>
        <v>4</v>
      </c>
      <c r="B12" s="2" t="str">
        <f>Assignees!C11</f>
        <v>Astra-Post IR13 07-11-RTI</v>
      </c>
      <c r="C12" s="3">
        <f ca="1">COUNTIF(INDIRECT(A71&amp;A67):INDIRECT(A71&amp;A66),INDIRECT("d"&amp;ROW()))</f>
        <v>0</v>
      </c>
      <c r="D12" s="3">
        <f>Assignees!D11</f>
        <v>0</v>
      </c>
      <c r="E12" s="16">
        <f ca="1">COUNTIFS(INDIRECT(A71&amp;A67):INDIRECT(A71&amp;A66),INDIRECT("d"&amp;ROW()),INDIRECT(A73&amp;A67):INDIRECT(A73&amp;A66),E1)</f>
        <v>0</v>
      </c>
      <c r="F12" s="4">
        <f ca="1">COUNTIFS(INDIRECT(A71&amp;A67):INDIRECT(A71&amp;A66),INDIRECT("d"&amp;ROW()),INDIRECT(A73&amp;A67):INDIRECT(A73&amp;A66),F1)</f>
        <v>0</v>
      </c>
      <c r="G12" s="3">
        <f ca="1">COUNTIFS(INDIRECT(A71&amp;A67):INDIRECT(A71&amp;A66),INDIRECT("d"&amp;ROW()),INDIRECT(A73&amp;A67):INDIRECT(A73&amp;A66),G1)</f>
        <v>0</v>
      </c>
      <c r="H12" s="5">
        <f ca="1">COUNTIFS(INDIRECT(A71&amp;A67):INDIRECT(A71&amp;A66),INDIRECT("d"&amp;ROW()),INDIRECT(A73&amp;A67):INDIRECT(A73&amp;A66),H1)</f>
        <v>0</v>
      </c>
      <c r="I12">
        <f ca="1">IF(OR(INDIRECT(A73&amp;ROW())=B93,INDIRECT(A73&amp;ROW())=B94),1,IF(AND(INDIRECT(A73&amp;ROW())=B95,INDIRECT(A96&amp;ROW())=C93),1,IF(AND(INDIRECT(A73&amp;ROW())=B95,INDIRECT(A96&amp;ROW())=C94),1,0)))</f>
        <v>0</v>
      </c>
      <c r="J12">
        <f ca="1">IF(AND(INDIRECT(A73&amp;ROW())=B95,INDIRECT(A96&amp;ROW())=C95),1,IF(AND(INDIRECT(A73&amp;ROW())=B95,INDIRECT(A96&amp;ROW())=C96),1,0))</f>
        <v>1</v>
      </c>
      <c r="K12">
        <f ca="1">DAYS360(INDIRECT(C68&amp;ROW()),TODAY())</f>
        <v>724</v>
      </c>
      <c r="L12">
        <f ca="1">DAYS360(INDIRECT(C69&amp;ROW()),TODAY())</f>
        <v>1088</v>
      </c>
      <c r="M12" s="11">
        <f ca="1">HYPERLINK(CONCATENATE("https://bugzilla.houston.hp.com:1181/bugzilla/show_bug.cgi?id=",INDIRECT(C70&amp;ROW())),INDIRECT(C70&amp;ROW()))</f>
        <v>42234</v>
      </c>
      <c r="N12">
        <v>42234</v>
      </c>
      <c r="O12" t="s">
        <v>187</v>
      </c>
      <c r="P12" t="s">
        <v>455</v>
      </c>
      <c r="Q12" t="s">
        <v>25</v>
      </c>
      <c r="R12" t="s">
        <v>251</v>
      </c>
      <c r="S12" t="s">
        <v>22</v>
      </c>
      <c r="U12" s="6">
        <v>42122.355613425927</v>
      </c>
      <c r="V12" t="s">
        <v>18</v>
      </c>
      <c r="W12" t="s">
        <v>17</v>
      </c>
      <c r="X12" s="6">
        <v>41753.652465277781</v>
      </c>
      <c r="Y12" t="s">
        <v>786</v>
      </c>
      <c r="AB12" t="s">
        <v>201</v>
      </c>
      <c r="AC12" t="s">
        <v>121</v>
      </c>
      <c r="AD12" t="s">
        <v>220</v>
      </c>
      <c r="AE12" t="s">
        <v>219</v>
      </c>
      <c r="AG12" t="s">
        <v>121</v>
      </c>
      <c r="AH12" t="s">
        <v>327</v>
      </c>
      <c r="AI12" t="s">
        <v>121</v>
      </c>
      <c r="AJ12" t="s">
        <v>716</v>
      </c>
      <c r="AK12" t="s">
        <v>121</v>
      </c>
    </row>
    <row r="13" spans="1:37" x14ac:dyDescent="0.3">
      <c r="A13" s="2">
        <f ca="1">COUNTIF(INDIRECT(A68&amp;A67):INDIRECT(A69&amp;A66),INDIRECT("b"&amp;ROW()))</f>
        <v>6</v>
      </c>
      <c r="B13" s="2" t="str">
        <f>Assignees!C12</f>
        <v>Astra-Post IR13 07-18</v>
      </c>
      <c r="I13">
        <f ca="1">IF(OR(INDIRECT(A73&amp;ROW())=B93,INDIRECT(A73&amp;ROW())=B94),1,IF(AND(INDIRECT(A73&amp;ROW())=B95,INDIRECT(A96&amp;ROW())=C93),1,IF(AND(INDIRECT(A73&amp;ROW())=B95,INDIRECT(A96&amp;ROW())=C94),1,0)))</f>
        <v>0</v>
      </c>
      <c r="J13">
        <f ca="1">IF(AND(INDIRECT(A73&amp;ROW())=B95,INDIRECT(A96&amp;ROW())=C95),1,IF(AND(INDIRECT(A73&amp;ROW())=B95,INDIRECT(A96&amp;ROW())=C96),1,0))</f>
        <v>0</v>
      </c>
      <c r="K13">
        <f ca="1">DAYS360(INDIRECT(C68&amp;ROW()),TODAY())</f>
        <v>728</v>
      </c>
      <c r="L13">
        <f ca="1">DAYS360(INDIRECT(C69&amp;ROW()),TODAY())</f>
        <v>1084</v>
      </c>
      <c r="M13" s="11">
        <f ca="1">HYPERLINK(CONCATENATE("https://bugzilla.houston.hp.com:1181/bugzilla/show_bug.cgi?id=",INDIRECT(C70&amp;ROW())),INDIRECT(C70&amp;ROW()))</f>
        <v>42317</v>
      </c>
      <c r="N13">
        <v>42317</v>
      </c>
      <c r="O13" t="s">
        <v>88</v>
      </c>
      <c r="P13" t="s">
        <v>454</v>
      </c>
      <c r="Q13" t="s">
        <v>16</v>
      </c>
      <c r="R13" t="s">
        <v>251</v>
      </c>
      <c r="S13" t="s">
        <v>31</v>
      </c>
      <c r="U13" s="6">
        <v>42118.52002314815</v>
      </c>
      <c r="V13" t="s">
        <v>35</v>
      </c>
      <c r="W13" t="s">
        <v>17</v>
      </c>
      <c r="X13" s="6">
        <v>41757.419675925928</v>
      </c>
      <c r="Y13" t="s">
        <v>119</v>
      </c>
      <c r="AB13" t="s">
        <v>201</v>
      </c>
      <c r="AC13" t="s">
        <v>121</v>
      </c>
      <c r="AD13" t="s">
        <v>222</v>
      </c>
      <c r="AE13" t="s">
        <v>240</v>
      </c>
      <c r="AG13" t="s">
        <v>121</v>
      </c>
      <c r="AH13" t="s">
        <v>327</v>
      </c>
      <c r="AI13" t="s">
        <v>121</v>
      </c>
      <c r="AJ13" t="s">
        <v>717</v>
      </c>
      <c r="AK13" t="s">
        <v>121</v>
      </c>
    </row>
    <row r="14" spans="1:37" x14ac:dyDescent="0.3">
      <c r="A14" s="2">
        <f ca="1">COUNTIF(INDIRECT(A68&amp;A67):INDIRECT(A69&amp;A66),INDIRECT("b"&amp;ROW()))</f>
        <v>4</v>
      </c>
      <c r="B14" s="2" t="str">
        <f>Assignees!C13</f>
        <v>Astra-Post IR13 07-25-RTI</v>
      </c>
      <c r="I14">
        <f ca="1">IF(OR(INDIRECT(A73&amp;ROW())=B93,INDIRECT(A73&amp;ROW())=B94),1,IF(AND(INDIRECT(A73&amp;ROW())=B95,INDIRECT(A96&amp;ROW())=C93),1,IF(AND(INDIRECT(A73&amp;ROW())=B95,INDIRECT(A96&amp;ROW())=C94),1,0)))</f>
        <v>0</v>
      </c>
      <c r="J14">
        <f ca="1">IF(AND(INDIRECT(A73&amp;ROW())=B95,INDIRECT(A96&amp;ROW())=C95),1,IF(AND(INDIRECT(A73&amp;ROW())=B95,INDIRECT(A96&amp;ROW())=C96),1,0))</f>
        <v>0</v>
      </c>
      <c r="K14">
        <f ca="1">DAYS360(INDIRECT(C68&amp;ROW()),TODAY())</f>
        <v>690</v>
      </c>
      <c r="L14">
        <f ca="1">DAYS360(INDIRECT(C69&amp;ROW()),TODAY())</f>
        <v>1084</v>
      </c>
      <c r="M14" s="11">
        <f ca="1">HYPERLINK(CONCATENATE("https://bugzilla.houston.hp.com:1181/bugzilla/show_bug.cgi?id=",INDIRECT(C70&amp;ROW())),INDIRECT(C70&amp;ROW()))</f>
        <v>42322</v>
      </c>
      <c r="N14">
        <v>42322</v>
      </c>
      <c r="O14" t="s">
        <v>56</v>
      </c>
      <c r="P14" t="s">
        <v>453</v>
      </c>
      <c r="Q14" t="s">
        <v>16</v>
      </c>
      <c r="R14" t="s">
        <v>251</v>
      </c>
      <c r="S14" t="s">
        <v>24</v>
      </c>
      <c r="U14" s="6">
        <v>42157.318749999999</v>
      </c>
      <c r="V14" t="s">
        <v>35</v>
      </c>
      <c r="W14" t="s">
        <v>17</v>
      </c>
      <c r="X14" s="6">
        <v>41757.499259259261</v>
      </c>
      <c r="Y14" t="s">
        <v>119</v>
      </c>
      <c r="AB14" t="s">
        <v>201</v>
      </c>
      <c r="AC14" t="s">
        <v>121</v>
      </c>
      <c r="AD14" t="s">
        <v>220</v>
      </c>
      <c r="AE14" t="s">
        <v>219</v>
      </c>
      <c r="AG14" t="s">
        <v>121</v>
      </c>
      <c r="AH14" t="s">
        <v>327</v>
      </c>
      <c r="AI14" t="s">
        <v>121</v>
      </c>
      <c r="AJ14" t="s">
        <v>717</v>
      </c>
      <c r="AK14" t="s">
        <v>121</v>
      </c>
    </row>
    <row r="15" spans="1:37" x14ac:dyDescent="0.3">
      <c r="A15" s="2">
        <f ca="1">COUNTIF(INDIRECT(A68&amp;A67):INDIRECT(A69&amp;A66),INDIRECT("b"&amp;ROW()))</f>
        <v>8</v>
      </c>
      <c r="B15" s="2" t="str">
        <f>Assignees!C14</f>
        <v>Astra-Post IR13 08-08-RTI</v>
      </c>
      <c r="I15">
        <f ca="1">IF(OR(INDIRECT(A73&amp;ROW())=B93,INDIRECT(A73&amp;ROW())=B94),1,IF(AND(INDIRECT(A73&amp;ROW())=B95,INDIRECT(A96&amp;ROW())=C93),1,IF(AND(INDIRECT(A73&amp;ROW())=B95,INDIRECT(A96&amp;ROW())=C94),1,0)))</f>
        <v>0</v>
      </c>
      <c r="J15">
        <f ca="1">IF(AND(INDIRECT(A73&amp;ROW())=B95,INDIRECT(A96&amp;ROW())=C95),1,IF(AND(INDIRECT(A73&amp;ROW())=B95,INDIRECT(A96&amp;ROW())=C96),1,0))</f>
        <v>0</v>
      </c>
      <c r="K15">
        <f ca="1">DAYS360(INDIRECT(C68&amp;ROW()),TODAY())</f>
        <v>724</v>
      </c>
      <c r="L15">
        <f ca="1">DAYS360(INDIRECT(C69&amp;ROW()),TODAY())</f>
        <v>1082</v>
      </c>
      <c r="M15" s="11">
        <f ca="1">HYPERLINK(CONCATENATE("https://bugzilla.houston.hp.com:1181/bugzilla/show_bug.cgi?id=",INDIRECT(C70&amp;ROW())),INDIRECT(C70&amp;ROW()))</f>
        <v>42414</v>
      </c>
      <c r="N15">
        <v>42414</v>
      </c>
      <c r="O15" t="s">
        <v>53</v>
      </c>
      <c r="P15" t="s">
        <v>713</v>
      </c>
      <c r="Q15" t="s">
        <v>16</v>
      </c>
      <c r="R15" t="s">
        <v>251</v>
      </c>
      <c r="S15" t="s">
        <v>53</v>
      </c>
      <c r="U15" s="6">
        <v>42122.542314814818</v>
      </c>
      <c r="V15" t="s">
        <v>18</v>
      </c>
      <c r="W15" t="s">
        <v>17</v>
      </c>
      <c r="X15" s="6">
        <v>41759.650740740741</v>
      </c>
      <c r="Y15" t="s">
        <v>118</v>
      </c>
      <c r="AB15" t="s">
        <v>201</v>
      </c>
      <c r="AC15" t="s">
        <v>121</v>
      </c>
      <c r="AD15" t="s">
        <v>220</v>
      </c>
      <c r="AE15" t="s">
        <v>219</v>
      </c>
      <c r="AG15" t="s">
        <v>121</v>
      </c>
      <c r="AH15" t="s">
        <v>327</v>
      </c>
      <c r="AI15" t="s">
        <v>121</v>
      </c>
      <c r="AJ15" t="s">
        <v>717</v>
      </c>
      <c r="AK15" t="s">
        <v>121</v>
      </c>
    </row>
    <row r="16" spans="1:37" x14ac:dyDescent="0.3">
      <c r="A16" s="2">
        <f ca="1">COUNTIF(INDIRECT(A68&amp;A67):INDIRECT(A69&amp;A66),INDIRECT("b"&amp;ROW()))</f>
        <v>12</v>
      </c>
      <c r="B16" s="2" t="str">
        <f>Assignees!C15</f>
        <v>Astra-Post IR13 08-15</v>
      </c>
      <c r="C16" s="7">
        <f ca="1">SUM(C2:C12)</f>
        <v>689</v>
      </c>
      <c r="D16" s="7" t="s">
        <v>23</v>
      </c>
      <c r="E16" s="1">
        <f ca="1">SUM(E2:E9)</f>
        <v>2</v>
      </c>
      <c r="F16" s="1">
        <f ca="1">SUM(F2:F9)</f>
        <v>93</v>
      </c>
      <c r="G16" s="7">
        <f ca="1">SUM(G2:G9)</f>
        <v>315</v>
      </c>
      <c r="H16" s="7">
        <f ca="1">SUM(H2:H12)</f>
        <v>279</v>
      </c>
      <c r="I16">
        <f ca="1">IF(OR(INDIRECT(A73&amp;ROW())=B93,INDIRECT(A73&amp;ROW())=B94),1,IF(AND(INDIRECT(A73&amp;ROW())=B95,INDIRECT(A96&amp;ROW())=C93),1,IF(AND(INDIRECT(A73&amp;ROW())=B95,INDIRECT(A96&amp;ROW())=C94),1,0)))</f>
        <v>0</v>
      </c>
      <c r="J16">
        <f ca="1">IF(AND(INDIRECT(A73&amp;ROW())=B95,INDIRECT(A96&amp;ROW())=C95),1,IF(AND(INDIRECT(A73&amp;ROW())=B95,INDIRECT(A96&amp;ROW())=C96),1,0))</f>
        <v>0</v>
      </c>
      <c r="K16">
        <f ca="1">DAYS360(INDIRECT(C68&amp;ROW()),TODAY())</f>
        <v>800</v>
      </c>
      <c r="L16">
        <f ca="1">DAYS360(INDIRECT(C69&amp;ROW()),TODAY())</f>
        <v>1067</v>
      </c>
      <c r="M16" s="11">
        <f ca="1">HYPERLINK(CONCATENATE("https://bugzilla.houston.hp.com:1181/bugzilla/show_bug.cgi?id=",INDIRECT(C70&amp;ROW())),INDIRECT(C70&amp;ROW()))</f>
        <v>42914</v>
      </c>
      <c r="N16">
        <v>42914</v>
      </c>
      <c r="O16" t="s">
        <v>66</v>
      </c>
      <c r="P16" t="s">
        <v>331</v>
      </c>
      <c r="Q16" t="s">
        <v>16</v>
      </c>
      <c r="R16" t="s">
        <v>17</v>
      </c>
      <c r="S16" t="s">
        <v>33</v>
      </c>
      <c r="U16" s="6">
        <v>42047.981203703705</v>
      </c>
      <c r="V16" t="s">
        <v>35</v>
      </c>
      <c r="W16" t="s">
        <v>172</v>
      </c>
      <c r="X16" s="6">
        <v>41774.400381944448</v>
      </c>
      <c r="Y16" t="s">
        <v>119</v>
      </c>
      <c r="AB16" t="s">
        <v>201</v>
      </c>
      <c r="AC16" t="s">
        <v>121</v>
      </c>
      <c r="AD16" t="s">
        <v>222</v>
      </c>
      <c r="AE16" t="s">
        <v>228</v>
      </c>
      <c r="AG16" t="s">
        <v>121</v>
      </c>
      <c r="AH16" t="s">
        <v>327</v>
      </c>
      <c r="AI16" t="s">
        <v>121</v>
      </c>
      <c r="AJ16" t="s">
        <v>717</v>
      </c>
      <c r="AK16" t="s">
        <v>121</v>
      </c>
    </row>
    <row r="17" spans="1:37" x14ac:dyDescent="0.3">
      <c r="A17" s="2">
        <f ca="1">COUNTIF(INDIRECT(A68&amp;A67):INDIRECT(A69&amp;A66),INDIRECT("b"&amp;ROW()))</f>
        <v>12</v>
      </c>
      <c r="B17" s="2" t="str">
        <f>Assignees!C16</f>
        <v>Astra-Post IR13 08-22</v>
      </c>
      <c r="C17">
        <f ca="1">C16-H16</f>
        <v>410</v>
      </c>
      <c r="D17" s="8" t="s">
        <v>26</v>
      </c>
      <c r="I17">
        <f ca="1">IF(OR(INDIRECT(A73&amp;ROW())=B93,INDIRECT(A73&amp;ROW())=B94),1,IF(AND(INDIRECT(A73&amp;ROW())=B95,INDIRECT(A96&amp;ROW())=C93),1,IF(AND(INDIRECT(A73&amp;ROW())=B95,INDIRECT(A96&amp;ROW())=C94),1,0)))</f>
        <v>1</v>
      </c>
      <c r="J17">
        <f ca="1">IF(AND(INDIRECT(A73&amp;ROW())=B95,INDIRECT(A96&amp;ROW())=C95),1,IF(AND(INDIRECT(A73&amp;ROW())=B95,INDIRECT(A96&amp;ROW())=C96),1,0))</f>
        <v>0</v>
      </c>
      <c r="K17">
        <f ca="1">DAYS360(INDIRECT(C68&amp;ROW()),TODAY())</f>
        <v>687</v>
      </c>
      <c r="L17">
        <f ca="1">DAYS360(INDIRECT(C69&amp;ROW()),TODAY())</f>
        <v>1066</v>
      </c>
      <c r="M17" s="11">
        <f ca="1">HYPERLINK(CONCATENATE("https://bugzilla.houston.hp.com:1181/bugzilla/show_bug.cgi?id=",INDIRECT(C70&amp;ROW())),INDIRECT(C70&amp;ROW()))</f>
        <v>42962</v>
      </c>
      <c r="N17">
        <v>42962</v>
      </c>
      <c r="O17" t="s">
        <v>204</v>
      </c>
      <c r="P17" t="s">
        <v>712</v>
      </c>
      <c r="Q17" t="s">
        <v>25</v>
      </c>
      <c r="R17" t="s">
        <v>251</v>
      </c>
      <c r="S17" t="s">
        <v>31</v>
      </c>
      <c r="U17" s="6">
        <v>42160.31181712963</v>
      </c>
      <c r="V17" t="s">
        <v>40</v>
      </c>
      <c r="W17" t="s">
        <v>17</v>
      </c>
      <c r="X17" s="6">
        <v>41775.516168981485</v>
      </c>
      <c r="Y17" t="s">
        <v>119</v>
      </c>
      <c r="AB17" t="s">
        <v>200</v>
      </c>
      <c r="AC17" t="s">
        <v>121</v>
      </c>
      <c r="AD17" t="s">
        <v>222</v>
      </c>
      <c r="AE17" t="s">
        <v>225</v>
      </c>
      <c r="AG17" t="s">
        <v>121</v>
      </c>
      <c r="AH17" t="s">
        <v>327</v>
      </c>
      <c r="AI17" t="s">
        <v>121</v>
      </c>
      <c r="AJ17" t="s">
        <v>715</v>
      </c>
      <c r="AK17" t="s">
        <v>121</v>
      </c>
    </row>
    <row r="18" spans="1:37" x14ac:dyDescent="0.3">
      <c r="A18" s="2">
        <f ca="1">COUNTIF(INDIRECT(A68&amp;A67):INDIRECT(A69&amp;A66),INDIRECT("b"&amp;ROW()))</f>
        <v>5</v>
      </c>
      <c r="B18" s="2" t="str">
        <f>Assignees!C17</f>
        <v>Astra-Post IR13 08-29</v>
      </c>
      <c r="C18">
        <f ca="1">C16-H16-C21-C50-C32</f>
        <v>259</v>
      </c>
      <c r="D18" t="s">
        <v>29</v>
      </c>
      <c r="I18">
        <f ca="1">IF(OR(INDIRECT(A73&amp;ROW())=B93,INDIRECT(A73&amp;ROW())=B94),1,IF(AND(INDIRECT(A73&amp;ROW())=B95,INDIRECT(A96&amp;ROW())=C93),1,IF(AND(INDIRECT(A73&amp;ROW())=B95,INDIRECT(A96&amp;ROW())=C94),1,0)))</f>
        <v>1</v>
      </c>
      <c r="J18">
        <f ca="1">IF(AND(INDIRECT(A73&amp;ROW())=B95,INDIRECT(A96&amp;ROW())=C95),1,IF(AND(INDIRECT(A73&amp;ROW())=B95,INDIRECT(A96&amp;ROW())=C96),1,0))</f>
        <v>0</v>
      </c>
      <c r="K18">
        <f ca="1">DAYS360(INDIRECT(C68&amp;ROW()),TODAY())</f>
        <v>724</v>
      </c>
      <c r="L18">
        <f ca="1">DAYS360(INDIRECT(C69&amp;ROW()),TODAY())</f>
        <v>1048</v>
      </c>
      <c r="M18" s="11">
        <f ca="1">HYPERLINK(CONCATENATE("https://bugzilla.houston.hp.com:1181/bugzilla/show_bug.cgi?id=",INDIRECT(C70&amp;ROW())),INDIRECT(C70&amp;ROW()))</f>
        <v>43571</v>
      </c>
      <c r="N18">
        <v>43571</v>
      </c>
      <c r="O18" t="s">
        <v>180</v>
      </c>
      <c r="P18" t="s">
        <v>452</v>
      </c>
      <c r="Q18" t="s">
        <v>25</v>
      </c>
      <c r="R18" t="s">
        <v>251</v>
      </c>
      <c r="S18" t="s">
        <v>46</v>
      </c>
      <c r="T18" t="s">
        <v>794</v>
      </c>
      <c r="U18" s="6">
        <v>42122.35528935185</v>
      </c>
      <c r="V18" t="s">
        <v>18</v>
      </c>
      <c r="W18" t="s">
        <v>17</v>
      </c>
      <c r="X18" s="6">
        <v>41794.596504629626</v>
      </c>
      <c r="Y18" t="s">
        <v>119</v>
      </c>
      <c r="AB18" t="s">
        <v>200</v>
      </c>
      <c r="AC18" t="s">
        <v>121</v>
      </c>
      <c r="AD18" t="s">
        <v>222</v>
      </c>
      <c r="AE18" t="s">
        <v>221</v>
      </c>
      <c r="AG18" t="s">
        <v>121</v>
      </c>
      <c r="AH18" t="s">
        <v>327</v>
      </c>
      <c r="AI18" t="s">
        <v>121</v>
      </c>
      <c r="AJ18" t="s">
        <v>715</v>
      </c>
      <c r="AK18" t="s">
        <v>121</v>
      </c>
    </row>
    <row r="19" spans="1:37" x14ac:dyDescent="0.3">
      <c r="A19" s="2">
        <f ca="1">COUNTIF(INDIRECT(A68&amp;A67):INDIRECT(A69&amp;A66),INDIRECT("b"&amp;ROW()))</f>
        <v>9</v>
      </c>
      <c r="B19" s="2" t="str">
        <f>Assignees!C18</f>
        <v>Astra-Post IR13 09-05</v>
      </c>
      <c r="C19" s="9">
        <f ca="1">(COUNTIFS(INDIRECT(A80&amp;A67):INDIRECT(A80&amp;A66),A93))</f>
        <v>588</v>
      </c>
      <c r="D19" s="9" t="str">
        <f>A93</f>
        <v>NEW</v>
      </c>
      <c r="E19" s="16">
        <f ca="1">(COUNTIFS(INDIRECT(A80&amp;A67):INDIRECT(A80&amp;A66),INDIRECT("d"&amp;ROW()),INDIRECT(A73&amp;A67):INDIRECT(A73&amp;A66),E1))</f>
        <v>2</v>
      </c>
      <c r="F19" s="4">
        <f ca="1">(COUNTIFS(INDIRECT(A80&amp;A67):INDIRECT(A80&amp;A66),INDIRECT("d"&amp;ROW()),INDIRECT(A73&amp;A67):INDIRECT(A73&amp;A66),F1))</f>
        <v>73</v>
      </c>
      <c r="G19" s="3">
        <f ca="1">(COUNTIFS(INDIRECT(A80&amp;A67):INDIRECT(A80&amp;A66),INDIRECT("d"&amp;ROW()),INDIRECT(A73&amp;A67):INDIRECT(A73&amp;A66),G1))</f>
        <v>271</v>
      </c>
      <c r="H19" s="5">
        <f ca="1">(COUNTIFS(INDIRECT(A80&amp;A67):INDIRECT(A80&amp;A66),INDIRECT("d"&amp;ROW()),INDIRECT(A73&amp;A67):INDIRECT(A73&amp;A66),H1))</f>
        <v>242</v>
      </c>
      <c r="I19">
        <f ca="1">IF(OR(INDIRECT(A73&amp;ROW())=B93,INDIRECT(A73&amp;ROW())=B94),1,IF(AND(INDIRECT(A73&amp;ROW())=B95,INDIRECT(A96&amp;ROW())=C93),1,IF(AND(INDIRECT(A73&amp;ROW())=B95,INDIRECT(A96&amp;ROW())=C94),1,0)))</f>
        <v>0</v>
      </c>
      <c r="J19">
        <f ca="1">IF(AND(INDIRECT(A73&amp;ROW())=B95,INDIRECT(A96&amp;ROW())=C95),1,IF(AND(INDIRECT(A73&amp;ROW())=B95,INDIRECT(A96&amp;ROW())=C96),1,0))</f>
        <v>1</v>
      </c>
      <c r="K19">
        <f ca="1">DAYS360(INDIRECT(C68&amp;ROW()),TODAY())</f>
        <v>690</v>
      </c>
      <c r="L19">
        <f ca="1">DAYS360(INDIRECT(C69&amp;ROW()),TODAY())</f>
        <v>1047</v>
      </c>
      <c r="M19" s="11">
        <f ca="1">HYPERLINK(CONCATENATE("https://bugzilla.houston.hp.com:1181/bugzilla/show_bug.cgi?id=",INDIRECT(C70&amp;ROW())),INDIRECT(C70&amp;ROW()))</f>
        <v>43596</v>
      </c>
      <c r="N19">
        <v>43596</v>
      </c>
      <c r="O19" t="s">
        <v>204</v>
      </c>
      <c r="P19" t="s">
        <v>711</v>
      </c>
      <c r="Q19" t="s">
        <v>25</v>
      </c>
      <c r="R19" t="s">
        <v>251</v>
      </c>
      <c r="S19" t="s">
        <v>33</v>
      </c>
      <c r="U19" s="6">
        <v>42157.08</v>
      </c>
      <c r="V19" t="s">
        <v>40</v>
      </c>
      <c r="W19" t="s">
        <v>17</v>
      </c>
      <c r="X19" s="6">
        <v>41795.209398148145</v>
      </c>
      <c r="Y19" t="s">
        <v>119</v>
      </c>
      <c r="AB19" t="s">
        <v>201</v>
      </c>
      <c r="AC19" t="s">
        <v>121</v>
      </c>
      <c r="AD19" t="s">
        <v>220</v>
      </c>
      <c r="AE19" t="s">
        <v>223</v>
      </c>
      <c r="AG19" t="s">
        <v>121</v>
      </c>
      <c r="AH19" t="s">
        <v>327</v>
      </c>
      <c r="AI19" t="s">
        <v>121</v>
      </c>
      <c r="AJ19" t="s">
        <v>716</v>
      </c>
      <c r="AK19" t="s">
        <v>121</v>
      </c>
    </row>
    <row r="20" spans="1:37" x14ac:dyDescent="0.3">
      <c r="A20" s="2">
        <f ca="1">COUNTIF(INDIRECT(A68&amp;A67):INDIRECT(A69&amp;A66),INDIRECT("b"&amp;ROW()))</f>
        <v>3</v>
      </c>
      <c r="B20" s="2" t="str">
        <f>Assignees!C19</f>
        <v>Astra-Post IR13 09-12</v>
      </c>
      <c r="C20" s="9">
        <f ca="1">(COUNTIFS(INDIRECT(A80&amp;A67):INDIRECT(A80&amp;A66),A94))</f>
        <v>62</v>
      </c>
      <c r="D20" s="9" t="str">
        <f>A94</f>
        <v>ASSIGNED</v>
      </c>
      <c r="E20" s="16">
        <f ca="1">(COUNTIFS(INDIRECT(A80&amp;A67):INDIRECT(A80&amp;A66),INDIRECT("d"&amp;ROW()),INDIRECT(A73&amp;A67):INDIRECT(A73&amp;A66),E1))</f>
        <v>0</v>
      </c>
      <c r="F20" s="4">
        <f ca="1">(COUNTIFS(INDIRECT(A80&amp;A67):INDIRECT(A80&amp;A66),INDIRECT("d"&amp;ROW()),INDIRECT(A73&amp;A67):INDIRECT(A73&amp;A66),F1))</f>
        <v>9</v>
      </c>
      <c r="G20" s="3">
        <f ca="1">(COUNTIFS(INDIRECT(A80&amp;A67):INDIRECT(A80&amp;A66),INDIRECT("d"&amp;ROW()),INDIRECT(A73&amp;A67):INDIRECT(A73&amp;A66),G1))</f>
        <v>26</v>
      </c>
      <c r="H20" s="5">
        <f ca="1">(COUNTIFS(INDIRECT(A80&amp;A67):INDIRECT(A80&amp;A66),INDIRECT("d"&amp;ROW()),INDIRECT(A73&amp;A67):INDIRECT(A73&amp;A66),H1))</f>
        <v>27</v>
      </c>
      <c r="I20">
        <f ca="1">IF(OR(INDIRECT(A73&amp;ROW())=B93,INDIRECT(A73&amp;ROW())=B94),1,IF(AND(INDIRECT(A73&amp;ROW())=B95,INDIRECT(A96&amp;ROW())=C93),1,IF(AND(INDIRECT(A73&amp;ROW())=B95,INDIRECT(A96&amp;ROW())=C94),1,0)))</f>
        <v>0</v>
      </c>
      <c r="J20">
        <f ca="1">IF(AND(INDIRECT(A73&amp;ROW())=B95,INDIRECT(A96&amp;ROW())=C95),1,IF(AND(INDIRECT(A73&amp;ROW())=B95,INDIRECT(A96&amp;ROW())=C96),1,0))</f>
        <v>0</v>
      </c>
      <c r="K20">
        <f ca="1">DAYS360(INDIRECT(C68&amp;ROW()),TODAY())</f>
        <v>728</v>
      </c>
      <c r="L20">
        <f ca="1">DAYS360(INDIRECT(C69&amp;ROW()),TODAY())</f>
        <v>1040</v>
      </c>
      <c r="M20" s="11">
        <f ca="1">HYPERLINK(CONCATENATE("https://bugzilla.houston.hp.com:1181/bugzilla/show_bug.cgi?id=",INDIRECT(C70&amp;ROW())),INDIRECT(C70&amp;ROW()))</f>
        <v>43856</v>
      </c>
      <c r="N20">
        <v>43856</v>
      </c>
      <c r="O20" t="s">
        <v>59</v>
      </c>
      <c r="P20" t="s">
        <v>254</v>
      </c>
      <c r="Q20" t="s">
        <v>16</v>
      </c>
      <c r="R20" t="s">
        <v>251</v>
      </c>
      <c r="S20" t="s">
        <v>68</v>
      </c>
      <c r="U20" s="6">
        <v>42118.52034722222</v>
      </c>
      <c r="V20" t="s">
        <v>35</v>
      </c>
      <c r="W20" t="s">
        <v>17</v>
      </c>
      <c r="X20" s="6">
        <v>41802.251354166663</v>
      </c>
      <c r="Y20" t="s">
        <v>124</v>
      </c>
      <c r="AB20" t="s">
        <v>201</v>
      </c>
      <c r="AC20" t="s">
        <v>121</v>
      </c>
      <c r="AD20" t="s">
        <v>220</v>
      </c>
      <c r="AE20" t="s">
        <v>219</v>
      </c>
      <c r="AG20" t="s">
        <v>121</v>
      </c>
      <c r="AH20" t="s">
        <v>327</v>
      </c>
      <c r="AI20" t="s">
        <v>121</v>
      </c>
      <c r="AJ20" t="s">
        <v>717</v>
      </c>
      <c r="AK20" t="s">
        <v>121</v>
      </c>
    </row>
    <row r="21" spans="1:37" x14ac:dyDescent="0.3">
      <c r="A21" s="2">
        <f ca="1">COUNTIF(INDIRECT(A68&amp;A67):INDIRECT(A69&amp;A66),INDIRECT("b"&amp;ROW()))</f>
        <v>3</v>
      </c>
      <c r="B21" s="2" t="str">
        <f>Assignees!C20</f>
        <v>Astra-Post IR13 09-19</v>
      </c>
      <c r="C21" s="9">
        <f ca="1">(COUNTIFS(INDIRECT(A80&amp;A67):INDIRECT(A80&amp;A66),A95))</f>
        <v>39</v>
      </c>
      <c r="D21" s="9" t="str">
        <f>A95</f>
        <v>REOPENED</v>
      </c>
      <c r="E21" s="16">
        <f ca="1">(COUNTIFS(INDIRECT(A80&amp;A67):INDIRECT(A80&amp;A66),INDIRECT("d"&amp;ROW()),INDIRECT(A73&amp;A67):INDIRECT(A73&amp;A66),E1))</f>
        <v>0</v>
      </c>
      <c r="F21" s="4">
        <f ca="1">(COUNTIFS(INDIRECT(A80&amp;A67):INDIRECT(A80&amp;A66),INDIRECT("d"&amp;ROW()),INDIRECT(A73&amp;A67):INDIRECT(A73&amp;A66),F1))</f>
        <v>11</v>
      </c>
      <c r="G21" s="3">
        <f ca="1">(COUNTIFS(INDIRECT(A80&amp;A67):INDIRECT(A80&amp;A66),INDIRECT("d"&amp;ROW()),INDIRECT(A73&amp;A67):INDIRECT(A73&amp;A66),G1))</f>
        <v>18</v>
      </c>
      <c r="H21" s="5">
        <f ca="1">(COUNTIFS(INDIRECT(A80&amp;A67):INDIRECT(A80&amp;A66),INDIRECT("d"&amp;ROW()),INDIRECT(A73&amp;A67):INDIRECT(A73&amp;A66),H1))</f>
        <v>10</v>
      </c>
      <c r="I21">
        <f ca="1">IF(OR(INDIRECT(A73&amp;ROW())=B93,INDIRECT(A73&amp;ROW())=B94),1,IF(AND(INDIRECT(A73&amp;ROW())=B95,INDIRECT(A96&amp;ROW())=C93),1,IF(AND(INDIRECT(A73&amp;ROW())=B95,INDIRECT(A96&amp;ROW())=C94),1,0)))</f>
        <v>0</v>
      </c>
      <c r="J21">
        <f ca="1">IF(AND(INDIRECT(A73&amp;ROW())=B95,INDIRECT(A96&amp;ROW())=C95),1,IF(AND(INDIRECT(A73&amp;ROW())=B95,INDIRECT(A96&amp;ROW())=C96),1,0))</f>
        <v>0</v>
      </c>
      <c r="K21">
        <f ca="1">DAYS360(INDIRECT(C68&amp;ROW()),TODAY())</f>
        <v>721</v>
      </c>
      <c r="L21">
        <f ca="1">DAYS360(INDIRECT(C69&amp;ROW()),TODAY())</f>
        <v>1040</v>
      </c>
      <c r="M21" s="11">
        <f ca="1">HYPERLINK(CONCATENATE("https://bugzilla.houston.hp.com:1181/bugzilla/show_bug.cgi?id=",INDIRECT(C70&amp;ROW())),INDIRECT(C70&amp;ROW()))</f>
        <v>43867</v>
      </c>
      <c r="N21">
        <v>43867</v>
      </c>
      <c r="O21" t="s">
        <v>21</v>
      </c>
      <c r="P21" t="s">
        <v>451</v>
      </c>
      <c r="Q21" t="s">
        <v>16</v>
      </c>
      <c r="R21" t="s">
        <v>251</v>
      </c>
      <c r="S21" t="s">
        <v>21</v>
      </c>
      <c r="U21" s="6">
        <v>42125.442002314812</v>
      </c>
      <c r="V21" t="s">
        <v>18</v>
      </c>
      <c r="W21" t="s">
        <v>17</v>
      </c>
      <c r="X21" s="6">
        <v>41802.479467592595</v>
      </c>
      <c r="Y21" t="s">
        <v>122</v>
      </c>
      <c r="AB21" t="s">
        <v>201</v>
      </c>
      <c r="AC21" t="s">
        <v>121</v>
      </c>
      <c r="AD21" t="s">
        <v>222</v>
      </c>
      <c r="AE21" t="s">
        <v>225</v>
      </c>
      <c r="AG21" t="s">
        <v>121</v>
      </c>
      <c r="AH21" t="s">
        <v>327</v>
      </c>
      <c r="AI21" t="s">
        <v>121</v>
      </c>
      <c r="AJ21" t="s">
        <v>717</v>
      </c>
      <c r="AK21" t="s">
        <v>121</v>
      </c>
    </row>
    <row r="22" spans="1:37" x14ac:dyDescent="0.3">
      <c r="A22" s="2">
        <f ca="1">COUNTIF(INDIRECT(A68&amp;A67):INDIRECT(A69&amp;A66),INDIRECT("b"&amp;ROW()))</f>
        <v>5</v>
      </c>
      <c r="B22" s="2" t="str">
        <f>Assignees!C21</f>
        <v>Astra-Post IR13 09-26</v>
      </c>
      <c r="C22" s="21">
        <f ca="1">COUNTIFS(INDIRECT(A79&amp;A67):INDIRECT(A79&amp;A66),"*"&amp;B92&amp;"*")</f>
        <v>32</v>
      </c>
      <c r="D22" s="21" t="str">
        <f>CONCATENATE(B79," ",B92)</f>
        <v>Component Documentation</v>
      </c>
      <c r="E22" s="16">
        <f ca="1">COUNTIFS(INDIRECT(A69&amp;A67):INDIRECT(A69&amp;A66),"*"&amp;A92&amp;"*",INDIRECT(A73&amp;A67):INDIRECT(A73&amp;A66),E1)</f>
        <v>0</v>
      </c>
      <c r="F22" s="4">
        <f ca="1">COUNTIFS(INDIRECT(A69&amp;A67):INDIRECT(A69&amp;A66),"*"&amp;A92&amp;"*",INDIRECT(A73&amp;A67):INDIRECT(A73&amp;A66),F1)</f>
        <v>0</v>
      </c>
      <c r="G22" s="3">
        <f ca="1">COUNTIFS(INDIRECT(A69&amp;A67):INDIRECT(A69&amp;A66),"*"&amp;A92&amp;"*",INDIRECT(A73&amp;A67):INDIRECT(A73&amp;A66),G1)</f>
        <v>0</v>
      </c>
      <c r="H22" s="5">
        <f ca="1">(COUNTIFS(INDIRECT(A80&amp;A67):INDIRECT(A80&amp;A66),INDIRECT("d"&amp;ROW()),INDIRECT(A73&amp;A67):INDIRECT(A73&amp;A66),H1))</f>
        <v>0</v>
      </c>
      <c r="I22">
        <f ca="1">IF(OR(INDIRECT(A73&amp;ROW())=B93,INDIRECT(A73&amp;ROW())=B94),1,IF(AND(INDIRECT(A73&amp;ROW())=B95,INDIRECT(A96&amp;ROW())=C93),1,IF(AND(INDIRECT(A73&amp;ROW())=B95,INDIRECT(A96&amp;ROW())=C94),1,0)))</f>
        <v>0</v>
      </c>
      <c r="J22">
        <f ca="1">IF(AND(INDIRECT(A73&amp;ROW())=B95,INDIRECT(A96&amp;ROW())=C95),1,IF(AND(INDIRECT(A73&amp;ROW())=B95,INDIRECT(A96&amp;ROW())=C96),1,0))</f>
        <v>0</v>
      </c>
      <c r="K22">
        <f ca="1">DAYS360(INDIRECT(C68&amp;ROW()),TODAY())</f>
        <v>721</v>
      </c>
      <c r="L22">
        <f ca="1">DAYS360(INDIRECT(C69&amp;ROW()),TODAY())</f>
        <v>1035</v>
      </c>
      <c r="M22" s="11">
        <f ca="1">HYPERLINK(CONCATENATE("https://bugzilla.houston.hp.com:1181/bugzilla/show_bug.cgi?id=",INDIRECT(C70&amp;ROW())),INDIRECT(C70&amp;ROW()))</f>
        <v>44024</v>
      </c>
      <c r="N22">
        <v>44024</v>
      </c>
      <c r="O22" t="s">
        <v>180</v>
      </c>
      <c r="P22" t="s">
        <v>450</v>
      </c>
      <c r="Q22" t="s">
        <v>16</v>
      </c>
      <c r="R22" t="s">
        <v>251</v>
      </c>
      <c r="S22" t="s">
        <v>59</v>
      </c>
      <c r="U22" s="6">
        <v>42125.442199074074</v>
      </c>
      <c r="V22" t="s">
        <v>18</v>
      </c>
      <c r="W22" t="s">
        <v>17</v>
      </c>
      <c r="X22" s="6">
        <v>41807.146840277775</v>
      </c>
      <c r="Y22" t="s">
        <v>122</v>
      </c>
      <c r="AB22" t="s">
        <v>200</v>
      </c>
      <c r="AC22" t="s">
        <v>121</v>
      </c>
      <c r="AD22" t="s">
        <v>222</v>
      </c>
      <c r="AE22" t="s">
        <v>225</v>
      </c>
      <c r="AG22" t="s">
        <v>121</v>
      </c>
      <c r="AH22" t="s">
        <v>327</v>
      </c>
      <c r="AI22" t="s">
        <v>121</v>
      </c>
      <c r="AJ22" t="s">
        <v>716</v>
      </c>
      <c r="AK22" t="s">
        <v>121</v>
      </c>
    </row>
    <row r="23" spans="1:37" x14ac:dyDescent="0.3">
      <c r="A23" s="2">
        <f ca="1">COUNTIF(INDIRECT(A68&amp;A67):INDIRECT(A69&amp;A66),INDIRECT("b"&amp;ROW()))</f>
        <v>2</v>
      </c>
      <c r="B23" s="2" t="str">
        <f>Assignees!C22</f>
        <v>Astra-Post IR13 10-03</v>
      </c>
      <c r="I23">
        <f ca="1">IF(OR(INDIRECT(A73&amp;ROW())=B93,INDIRECT(A73&amp;ROW())=B94),1,IF(AND(INDIRECT(A73&amp;ROW())=B95,INDIRECT(A96&amp;ROW())=C93),1,IF(AND(INDIRECT(A73&amp;ROW())=B95,INDIRECT(A96&amp;ROW())=C94),1,0)))</f>
        <v>0</v>
      </c>
      <c r="J23">
        <f ca="1">IF(AND(INDIRECT(A73&amp;ROW())=B95,INDIRECT(A96&amp;ROW())=C95),1,IF(AND(INDIRECT(A73&amp;ROW())=B95,INDIRECT(A96&amp;ROW())=C96),1,0))</f>
        <v>0</v>
      </c>
      <c r="K23">
        <f ca="1">DAYS360(INDIRECT(C68&amp;ROW()),TODAY())</f>
        <v>728</v>
      </c>
      <c r="L23">
        <f ca="1">DAYS360(INDIRECT(C69&amp;ROW()),TODAY())</f>
        <v>1025</v>
      </c>
      <c r="M23" s="11">
        <f ca="1">HYPERLINK(CONCATENATE("https://bugzilla.houston.hp.com:1181/bugzilla/show_bug.cgi?id=",INDIRECT(C70&amp;ROW())),INDIRECT(C70&amp;ROW()))</f>
        <v>44771</v>
      </c>
      <c r="N23">
        <v>44771</v>
      </c>
      <c r="O23" t="s">
        <v>56</v>
      </c>
      <c r="P23" t="s">
        <v>710</v>
      </c>
      <c r="Q23" t="s">
        <v>16</v>
      </c>
      <c r="R23" t="s">
        <v>251</v>
      </c>
      <c r="S23" t="s">
        <v>61</v>
      </c>
      <c r="U23" s="6">
        <v>42118.520520833335</v>
      </c>
      <c r="V23" t="s">
        <v>18</v>
      </c>
      <c r="W23" t="s">
        <v>17</v>
      </c>
      <c r="X23" s="6">
        <v>41817.356145833335</v>
      </c>
      <c r="Y23" t="s">
        <v>118</v>
      </c>
      <c r="AB23" t="s">
        <v>201</v>
      </c>
      <c r="AC23" t="s">
        <v>121</v>
      </c>
      <c r="AD23" t="s">
        <v>220</v>
      </c>
      <c r="AE23" t="s">
        <v>219</v>
      </c>
      <c r="AG23" t="s">
        <v>121</v>
      </c>
      <c r="AH23" t="s">
        <v>327</v>
      </c>
      <c r="AI23" t="s">
        <v>121</v>
      </c>
      <c r="AJ23" t="s">
        <v>717</v>
      </c>
      <c r="AK23" t="s">
        <v>121</v>
      </c>
    </row>
    <row r="24" spans="1:37" x14ac:dyDescent="0.3">
      <c r="A24" s="2">
        <f ca="1">COUNTIF(INDIRECT(A68&amp;A67):INDIRECT(A69&amp;A66),INDIRECT("b"&amp;ROW()))</f>
        <v>10</v>
      </c>
      <c r="B24" s="2" t="str">
        <f>Assignees!C23</f>
        <v>Astra-Post IR13 10-10</v>
      </c>
      <c r="C24" s="10">
        <f ca="1">COUNTIFS(INDIRECT(A78&amp;A67):INDIRECT(A78&amp;A66),INDIRECT("d"&amp;ROW()))</f>
        <v>199</v>
      </c>
      <c r="D24" s="10" t="str">
        <f>CONCATENATE("Protocols-",A88)</f>
        <v>Protocols-AAUM</v>
      </c>
      <c r="E24" s="16">
        <f ca="1">COUNTIFS(INDIRECT(A78&amp;A67):INDIRECT(A78&amp;A66),INDIRECT("d"&amp;ROW()),INDIRECT(A73&amp;A67):INDIRECT(A73&amp;A66),E1)</f>
        <v>0</v>
      </c>
      <c r="F24" s="4">
        <f ca="1">COUNTIFS(INDIRECT(A78&amp;A67):INDIRECT(A78&amp;A66),INDIRECT("d"&amp;ROW()),INDIRECT(A73&amp;A67):INDIRECT(A73&amp;A66),F1)</f>
        <v>15</v>
      </c>
      <c r="G24" s="3">
        <f ca="1">COUNTIFS(INDIRECT(A78&amp;A67):INDIRECT(A78&amp;A66),INDIRECT("d"&amp;ROW()),INDIRECT(A73&amp;A67):INDIRECT(A73&amp;A66),G1)</f>
        <v>99</v>
      </c>
      <c r="H24" s="5">
        <f ca="1">COUNTIFS(INDIRECT(A78&amp;A67):INDIRECT(A78&amp;A66),INDIRECT("d"&amp;ROW()),INDIRECT(A73&amp;A67):INDIRECT(A73&amp;A66),H1)</f>
        <v>85</v>
      </c>
      <c r="I24">
        <f ca="1">IF(OR(INDIRECT(A73&amp;ROW())=B93,INDIRECT(A73&amp;ROW())=B94),1,IF(AND(INDIRECT(A73&amp;ROW())=B95,INDIRECT(A96&amp;ROW())=C93),1,IF(AND(INDIRECT(A73&amp;ROW())=B95,INDIRECT(A96&amp;ROW())=C94),1,0)))</f>
        <v>0</v>
      </c>
      <c r="J24">
        <f ca="1">IF(AND(INDIRECT(A73&amp;ROW())=B95,INDIRECT(A96&amp;ROW())=C95),1,IF(AND(INDIRECT(A73&amp;ROW())=B95,INDIRECT(A96&amp;ROW())=C96),1,0))</f>
        <v>0</v>
      </c>
      <c r="K24">
        <f ca="1">DAYS360(INDIRECT(C68&amp;ROW()),TODAY())</f>
        <v>721</v>
      </c>
      <c r="L24">
        <f ca="1">DAYS360(INDIRECT(C69&amp;ROW()),TODAY())</f>
        <v>1021</v>
      </c>
      <c r="M24" s="11">
        <f ca="1">HYPERLINK(CONCATENATE("https://bugzilla.houston.hp.com:1181/bugzilla/show_bug.cgi?id=",INDIRECT(C70&amp;ROW())),INDIRECT(C70&amp;ROW()))</f>
        <v>46238</v>
      </c>
      <c r="N24">
        <v>46238</v>
      </c>
      <c r="O24" t="s">
        <v>174</v>
      </c>
      <c r="P24" t="s">
        <v>709</v>
      </c>
      <c r="Q24" t="s">
        <v>16</v>
      </c>
      <c r="R24" t="s">
        <v>251</v>
      </c>
      <c r="S24" t="s">
        <v>174</v>
      </c>
      <c r="U24" s="6">
        <v>42125.442280092589</v>
      </c>
      <c r="V24" t="s">
        <v>18</v>
      </c>
      <c r="W24" t="s">
        <v>17</v>
      </c>
      <c r="X24" s="6">
        <v>41821.631064814814</v>
      </c>
      <c r="Y24" t="s">
        <v>122</v>
      </c>
      <c r="AB24" t="s">
        <v>199</v>
      </c>
      <c r="AC24" t="s">
        <v>121</v>
      </c>
      <c r="AD24" t="s">
        <v>222</v>
      </c>
      <c r="AE24" t="s">
        <v>233</v>
      </c>
      <c r="AG24" t="s">
        <v>121</v>
      </c>
      <c r="AH24" t="s">
        <v>327</v>
      </c>
      <c r="AI24" t="s">
        <v>121</v>
      </c>
      <c r="AJ24" t="s">
        <v>716</v>
      </c>
      <c r="AK24" t="s">
        <v>121</v>
      </c>
    </row>
    <row r="25" spans="1:37" x14ac:dyDescent="0.3">
      <c r="A25" s="2">
        <f ca="1">COUNTIF(INDIRECT(A68&amp;A67):INDIRECT(A69&amp;A66),INDIRECT("b"&amp;ROW()))</f>
        <v>2</v>
      </c>
      <c r="B25" s="2" t="str">
        <f>Assignees!C24</f>
        <v>Astra-Post IR13 10-17</v>
      </c>
      <c r="C25" s="10">
        <f ca="1">COUNTIFS(INDIRECT(A78&amp;A67):INDIRECT(A78&amp;A66),INDIRECT("d"&amp;ROW()))</f>
        <v>105</v>
      </c>
      <c r="D25" s="10" t="str">
        <f>CONCATENATE("Protocols-",A89)</f>
        <v>Protocols-NFS</v>
      </c>
      <c r="E25" s="16">
        <f ca="1">COUNTIFS(INDIRECT(A78&amp;A67):INDIRECT(A78&amp;A66),INDIRECT("d"&amp;ROW()),INDIRECT(A73&amp;A67):INDIRECT(A73&amp;A66),E1)</f>
        <v>2</v>
      </c>
      <c r="F25" s="4">
        <f ca="1">COUNTIFS(INDIRECT(A78&amp;A67):INDIRECT(A78&amp;A66),INDIRECT("d"&amp;ROW()),INDIRECT(A73&amp;A67):INDIRECT(A73&amp;A66),F1)</f>
        <v>24</v>
      </c>
      <c r="G25" s="3">
        <f ca="1">COUNTIFS(INDIRECT(A78&amp;A67):INDIRECT(A78&amp;A66),INDIRECT("d"&amp;ROW()),INDIRECT(A73&amp;A67):INDIRECT(A73&amp;A66),G1)</f>
        <v>43</v>
      </c>
      <c r="H25" s="5">
        <f ca="1">COUNTIFS(INDIRECT(A78&amp;A67):INDIRECT(A78&amp;A66),INDIRECT("d"&amp;ROW()),INDIRECT(A73&amp;A67):INDIRECT(A73&amp;A66),H1)</f>
        <v>36</v>
      </c>
      <c r="I25">
        <f ca="1">IF(OR(INDIRECT(A73&amp;ROW())=B93,INDIRECT(A73&amp;ROW())=B94),1,IF(AND(INDIRECT(A73&amp;ROW())=B95,INDIRECT(A96&amp;ROW())=C93),1,IF(AND(INDIRECT(A73&amp;ROW())=B95,INDIRECT(A96&amp;ROW())=C94),1,0)))</f>
        <v>0</v>
      </c>
      <c r="J25">
        <f ca="1">IF(AND(INDIRECT(A73&amp;ROW())=B95,INDIRECT(A96&amp;ROW())=C95),1,IF(AND(INDIRECT(A73&amp;ROW())=B95,INDIRECT(A96&amp;ROW())=C96),1,0))</f>
        <v>1</v>
      </c>
      <c r="K25">
        <f ca="1">DAYS360(INDIRECT(C68&amp;ROW()),TODAY())</f>
        <v>728</v>
      </c>
      <c r="L25">
        <f ca="1">DAYS360(INDIRECT(C69&amp;ROW()),TODAY())</f>
        <v>1020</v>
      </c>
      <c r="M25" s="11">
        <f ca="1">HYPERLINK(CONCATENATE("https://bugzilla.houston.hp.com:1181/bugzilla/show_bug.cgi?id=",INDIRECT(C70&amp;ROW())),INDIRECT(C70&amp;ROW()))</f>
        <v>46293</v>
      </c>
      <c r="N25">
        <v>46293</v>
      </c>
      <c r="O25" t="s">
        <v>53</v>
      </c>
      <c r="P25" t="s">
        <v>708</v>
      </c>
      <c r="Q25" t="s">
        <v>25</v>
      </c>
      <c r="R25" t="s">
        <v>251</v>
      </c>
      <c r="S25" t="s">
        <v>31</v>
      </c>
      <c r="U25" s="6">
        <v>42118.33866898148</v>
      </c>
      <c r="V25" t="s">
        <v>40</v>
      </c>
      <c r="W25" t="s">
        <v>17</v>
      </c>
      <c r="X25" s="6">
        <v>41822.446030092593</v>
      </c>
      <c r="Y25" t="s">
        <v>119</v>
      </c>
      <c r="AB25" t="s">
        <v>201</v>
      </c>
      <c r="AC25" t="s">
        <v>121</v>
      </c>
      <c r="AD25" t="s">
        <v>220</v>
      </c>
      <c r="AE25" t="s">
        <v>219</v>
      </c>
      <c r="AG25" t="s">
        <v>121</v>
      </c>
      <c r="AH25" t="s">
        <v>327</v>
      </c>
      <c r="AI25" t="s">
        <v>121</v>
      </c>
      <c r="AJ25" t="s">
        <v>716</v>
      </c>
      <c r="AK25" t="s">
        <v>121</v>
      </c>
    </row>
    <row r="26" spans="1:37" x14ac:dyDescent="0.3">
      <c r="A26" s="2">
        <f ca="1">COUNTIF(INDIRECT(A68&amp;A67):INDIRECT(A69&amp;A66),INDIRECT("b"&amp;ROW()))</f>
        <v>20</v>
      </c>
      <c r="B26" s="2" t="str">
        <f>Assignees!C25</f>
        <v>Astra-Post IR13 10-24</v>
      </c>
      <c r="C26" s="10">
        <f ca="1">COUNTIFS(INDIRECT(A78&amp;A67):INDIRECT(A78&amp;A66),INDIRECT("d"&amp;ROW()))</f>
        <v>385</v>
      </c>
      <c r="D26" s="10" t="str">
        <f>CONCATENATE("Protocols-",A90)</f>
        <v>Protocols-SMB</v>
      </c>
      <c r="E26" s="16">
        <f ca="1">COUNTIFS(INDIRECT(A78&amp;A67):INDIRECT(A78&amp;A66),INDIRECT("d"&amp;ROW()),INDIRECT(A73&amp;A67):INDIRECT(A73&amp;A66),E1)</f>
        <v>0</v>
      </c>
      <c r="F26" s="4">
        <f ca="1">COUNTIFS(INDIRECT(A78&amp;A67):INDIRECT(A78&amp;A66),INDIRECT("d"&amp;ROW()),INDIRECT(A73&amp;A67):INDIRECT(A73&amp;A66),F1)</f>
        <v>54</v>
      </c>
      <c r="G26" s="3">
        <f ca="1">COUNTIFS(INDIRECT(A78&amp;A67):INDIRECT(A78&amp;A66),INDIRECT("d"&amp;ROW()),INDIRECT(A73&amp;A67):INDIRECT(A73&amp;A66),G1)</f>
        <v>173</v>
      </c>
      <c r="H26" s="5">
        <f ca="1">COUNTIFS(INDIRECT(A78&amp;A67):INDIRECT(A78&amp;A66),INDIRECT("d"&amp;ROW()),INDIRECT(A73&amp;A67):INDIRECT(A73&amp;A66),H1)</f>
        <v>158</v>
      </c>
      <c r="I26">
        <f ca="1">IF(OR(INDIRECT(A73&amp;ROW())=B93,INDIRECT(A73&amp;ROW())=B94),1,IF(AND(INDIRECT(A73&amp;ROW())=B95,INDIRECT(A96&amp;ROW())=C93),1,IF(AND(INDIRECT(A73&amp;ROW())=B95,INDIRECT(A96&amp;ROW())=C94),1,0)))</f>
        <v>0</v>
      </c>
      <c r="J26">
        <f ca="1">IF(AND(INDIRECT(A73&amp;ROW())=B95,INDIRECT(A96&amp;ROW())=C95),1,IF(AND(INDIRECT(A73&amp;ROW())=B95,INDIRECT(A96&amp;ROW())=C96),1,0))</f>
        <v>0</v>
      </c>
      <c r="K26">
        <f ca="1">DAYS360(INDIRECT(C68&amp;ROW()),TODAY())</f>
        <v>728</v>
      </c>
      <c r="L26">
        <f ca="1">DAYS360(INDIRECT(C69&amp;ROW()),TODAY())</f>
        <v>1020</v>
      </c>
      <c r="M26" s="11">
        <f ca="1">HYPERLINK(CONCATENATE("https://bugzilla.houston.hp.com:1181/bugzilla/show_bug.cgi?id=",INDIRECT(C70&amp;ROW())),INDIRECT(C70&amp;ROW()))</f>
        <v>46326</v>
      </c>
      <c r="N26">
        <v>46326</v>
      </c>
      <c r="O26" t="s">
        <v>88</v>
      </c>
      <c r="P26" t="s">
        <v>707</v>
      </c>
      <c r="Q26" t="s">
        <v>16</v>
      </c>
      <c r="R26" t="s">
        <v>251</v>
      </c>
      <c r="S26" t="s">
        <v>177</v>
      </c>
      <c r="U26" s="6">
        <v>42118.520601851851</v>
      </c>
      <c r="V26" t="s">
        <v>40</v>
      </c>
      <c r="W26" t="s">
        <v>17</v>
      </c>
      <c r="X26" s="6">
        <v>41822.770127314812</v>
      </c>
      <c r="Y26" t="s">
        <v>245</v>
      </c>
      <c r="Z26" t="s">
        <v>190</v>
      </c>
      <c r="AB26" t="s">
        <v>201</v>
      </c>
      <c r="AC26" t="s">
        <v>121</v>
      </c>
      <c r="AD26" t="s">
        <v>220</v>
      </c>
      <c r="AE26" t="s">
        <v>219</v>
      </c>
      <c r="AG26" t="s">
        <v>121</v>
      </c>
      <c r="AH26" t="s">
        <v>327</v>
      </c>
      <c r="AI26" t="s">
        <v>121</v>
      </c>
      <c r="AJ26" t="s">
        <v>717</v>
      </c>
      <c r="AK26" t="s">
        <v>121</v>
      </c>
    </row>
    <row r="27" spans="1:37" x14ac:dyDescent="0.3">
      <c r="A27" s="2">
        <f ca="1">COUNTIF(INDIRECT(A68&amp;A67):INDIRECT(A69&amp;A66),INDIRECT("b"&amp;ROW()))</f>
        <v>6</v>
      </c>
      <c r="B27" s="2" t="str">
        <f>Assignees!C26</f>
        <v>Astra-Post IR13 10-31</v>
      </c>
      <c r="C27" s="21">
        <f ca="1">COUNTIFS(INDIRECT(A69&amp;A67):INDIRECT(A69&amp;A66),"*"&amp;A92&amp;"*",INDIRECT(A80&amp;A67):INDIRECT(A80&amp;A66),A93)</f>
        <v>0</v>
      </c>
      <c r="D27" s="21" t="str">
        <f>CONCATENATE(A92," ",A93)</f>
        <v>BUC1 NEW</v>
      </c>
      <c r="E27" s="16">
        <f ca="1">COUNTIFS(INDIRECT(A69&amp;A67):INDIRECT(A69&amp;A66),"*"&amp;A92&amp;"*",INDIRECT(A80&amp;A67):INDIRECT(A80&amp;A66),A93,INDIRECT(A73&amp;A67):INDIRECT(A73&amp;A66),E1)</f>
        <v>0</v>
      </c>
      <c r="F27" s="4">
        <f ca="1">COUNTIFS(INDIRECT(A69&amp;A67):INDIRECT(A69&amp;A66),"*"&amp;A92&amp;"*",INDIRECT(A80&amp;A67):INDIRECT(A80&amp;A66),A93,INDIRECT(A73&amp;A67):INDIRECT(A73&amp;A66),F1)</f>
        <v>0</v>
      </c>
      <c r="G27" s="3">
        <f ca="1">COUNTIFS(INDIRECT(A69&amp;A67):INDIRECT(A69&amp;A66),"*"&amp;A92&amp;"*",INDIRECT(A80&amp;A67):INDIRECT(A80&amp;A66),A93,INDIRECT(A73&amp;A67):INDIRECT(A73&amp;A66),G1)</f>
        <v>0</v>
      </c>
      <c r="I27">
        <f ca="1">IF(OR(INDIRECT(A73&amp;ROW())=B93,INDIRECT(A73&amp;ROW())=B94),1,IF(AND(INDIRECT(A73&amp;ROW())=B95,INDIRECT(A96&amp;ROW())=C93),1,IF(AND(INDIRECT(A73&amp;ROW())=B95,INDIRECT(A96&amp;ROW())=C94),1,0)))</f>
        <v>0</v>
      </c>
      <c r="J27">
        <f ca="1">IF(AND(INDIRECT(A73&amp;ROW())=B95,INDIRECT(A96&amp;ROW())=C95),1,IF(AND(INDIRECT(A73&amp;ROW())=B95,INDIRECT(A96&amp;ROW())=C96),1,0))</f>
        <v>0</v>
      </c>
      <c r="K27">
        <f ca="1">DAYS360(INDIRECT(C68&amp;ROW()),TODAY())</f>
        <v>728</v>
      </c>
      <c r="L27">
        <f ca="1">DAYS360(INDIRECT(C69&amp;ROW()),TODAY())</f>
        <v>1013</v>
      </c>
      <c r="M27" s="11">
        <f ca="1">HYPERLINK(CONCATENATE("https://bugzilla.houston.hp.com:1181/bugzilla/show_bug.cgi?id=",INDIRECT(C70&amp;ROW())),INDIRECT(C70&amp;ROW()))</f>
        <v>46659</v>
      </c>
      <c r="N27">
        <v>46659</v>
      </c>
      <c r="O27" t="s">
        <v>22</v>
      </c>
      <c r="P27" t="s">
        <v>706</v>
      </c>
      <c r="Q27" t="s">
        <v>16</v>
      </c>
      <c r="R27" t="s">
        <v>251</v>
      </c>
      <c r="S27" t="s">
        <v>49</v>
      </c>
      <c r="U27" s="6">
        <v>42118.52071759259</v>
      </c>
      <c r="V27" t="s">
        <v>18</v>
      </c>
      <c r="W27" t="s">
        <v>17</v>
      </c>
      <c r="X27" s="6">
        <v>41829.631932870368</v>
      </c>
      <c r="Y27" t="s">
        <v>244</v>
      </c>
      <c r="AB27" t="s">
        <v>201</v>
      </c>
      <c r="AC27" t="s">
        <v>121</v>
      </c>
      <c r="AD27" t="s">
        <v>222</v>
      </c>
      <c r="AE27" t="s">
        <v>225</v>
      </c>
      <c r="AG27" t="s">
        <v>121</v>
      </c>
      <c r="AH27" t="s">
        <v>327</v>
      </c>
      <c r="AI27" t="s">
        <v>121</v>
      </c>
      <c r="AJ27" t="s">
        <v>717</v>
      </c>
      <c r="AK27" t="s">
        <v>121</v>
      </c>
    </row>
    <row r="28" spans="1:37" x14ac:dyDescent="0.3">
      <c r="A28" s="2">
        <f ca="1">COUNTIF(INDIRECT(A68&amp;A67):INDIRECT(A69&amp;A66),INDIRECT("b"&amp;ROW()))</f>
        <v>0</v>
      </c>
      <c r="B28" s="2" t="e">
        <f>Assignees!#REF!</f>
        <v>#REF!</v>
      </c>
      <c r="C28" s="21">
        <f ca="1">COUNTIFS(INDIRECT(A69&amp;A67):INDIRECT(A69&amp;A66),"*"&amp;A92&amp;"*",INDIRECT(A80&amp;A67):INDIRECT(A80&amp;A66),A94)</f>
        <v>0</v>
      </c>
      <c r="D28" s="21" t="str">
        <f>CONCATENATE(A92," ",A94)</f>
        <v>BUC1 ASSIGNED</v>
      </c>
      <c r="E28" s="16">
        <f ca="1">COUNTIFS(INDIRECT(A69&amp;A67):INDIRECT(A69&amp;A66),"*"&amp;A92&amp;"*",INDIRECT(A80&amp;A67):INDIRECT(A80&amp;A66),A94,INDIRECT(A73&amp;A67):INDIRECT(A73&amp;A66),E1)</f>
        <v>0</v>
      </c>
      <c r="F28" s="4">
        <f ca="1">COUNTIFS(INDIRECT(A69&amp;A67):INDIRECT(A69&amp;A66),"*"&amp;A92&amp;"*",INDIRECT(A80&amp;A67):INDIRECT(A80&amp;A66),A94,INDIRECT(A73&amp;A67):INDIRECT(A73&amp;A66),F1)</f>
        <v>0</v>
      </c>
      <c r="G28" s="3">
        <f ca="1">COUNTIFS(INDIRECT(A69&amp;A67):INDIRECT(A69&amp;A66),"*"&amp;A92&amp;"*",INDIRECT(A80&amp;A67):INDIRECT(A80&amp;A66),A94,INDIRECT(A73&amp;A67):INDIRECT(A73&amp;A66),G1)</f>
        <v>0</v>
      </c>
      <c r="I28">
        <f ca="1">IF(OR(INDIRECT(A73&amp;ROW())=B93,INDIRECT(A73&amp;ROW())=B94),1,IF(AND(INDIRECT(A73&amp;ROW())=B95,INDIRECT(A96&amp;ROW())=C93),1,IF(AND(INDIRECT(A73&amp;ROW())=B95,INDIRECT(A96&amp;ROW())=C94),1,0)))</f>
        <v>0</v>
      </c>
      <c r="J28">
        <f ca="1">IF(AND(INDIRECT(A73&amp;ROW())=B95,INDIRECT(A96&amp;ROW())=C95),1,IF(AND(INDIRECT(A73&amp;ROW())=B95,INDIRECT(A96&amp;ROW())=C96),1,0))</f>
        <v>0</v>
      </c>
      <c r="K28">
        <f ca="1">DAYS360(INDIRECT(C68&amp;ROW()),TODAY())</f>
        <v>721</v>
      </c>
      <c r="L28">
        <f ca="1">DAYS360(INDIRECT(C69&amp;ROW()),TODAY())</f>
        <v>1011</v>
      </c>
      <c r="M28" s="11">
        <f ca="1">HYPERLINK(CONCATENATE("https://bugzilla.houston.hp.com:1181/bugzilla/show_bug.cgi?id=",INDIRECT(C70&amp;ROW())),INDIRECT(C70&amp;ROW()))</f>
        <v>46771</v>
      </c>
      <c r="N28">
        <v>46771</v>
      </c>
      <c r="O28" t="s">
        <v>45</v>
      </c>
      <c r="P28" t="s">
        <v>478</v>
      </c>
      <c r="Q28" t="s">
        <v>16</v>
      </c>
      <c r="R28" t="s">
        <v>251</v>
      </c>
      <c r="S28" t="s">
        <v>168</v>
      </c>
      <c r="U28" s="6">
        <v>42125.643969907411</v>
      </c>
      <c r="V28" t="s">
        <v>40</v>
      </c>
      <c r="W28" t="s">
        <v>17</v>
      </c>
      <c r="X28" s="6">
        <v>41831.196400462963</v>
      </c>
      <c r="Y28" t="s">
        <v>123</v>
      </c>
      <c r="AB28" t="s">
        <v>199</v>
      </c>
      <c r="AC28" t="s">
        <v>121</v>
      </c>
      <c r="AD28" t="s">
        <v>227</v>
      </c>
      <c r="AE28" t="s">
        <v>231</v>
      </c>
      <c r="AG28" t="s">
        <v>121</v>
      </c>
      <c r="AH28" t="s">
        <v>327</v>
      </c>
      <c r="AI28" t="s">
        <v>121</v>
      </c>
      <c r="AJ28" t="s">
        <v>716</v>
      </c>
      <c r="AK28" t="s">
        <v>121</v>
      </c>
    </row>
    <row r="29" spans="1:37" x14ac:dyDescent="0.3">
      <c r="A29" s="2">
        <f ca="1">COUNTIF(INDIRECT(A68&amp;A67):INDIRECT(A69&amp;A66),INDIRECT("b"&amp;ROW()))</f>
        <v>1</v>
      </c>
      <c r="B29" s="2" t="str">
        <f>Assignees!C27</f>
        <v>StoreOnce Xanadu(SMB 5.6.x)</v>
      </c>
      <c r="C29" s="21">
        <f ca="1">COUNTIFS(INDIRECT(A69&amp;A67):INDIRECT(A69&amp;A66),"*"&amp;A92&amp;"*",INDIRECT(A80&amp;A67):INDIRECT(A80&amp;A66),A95)</f>
        <v>0</v>
      </c>
      <c r="D29" s="21" t="str">
        <f>CONCATENATE(A92," ",A95)</f>
        <v>BUC1 REOPENED</v>
      </c>
      <c r="E29" s="16">
        <f ca="1">COUNTIFS(INDIRECT(A69&amp;A67):INDIRECT(A69&amp;A66),"*"&amp;A92&amp;"*",INDIRECT(A80&amp;A67):INDIRECT(A80&amp;A66),A95,INDIRECT(A73&amp;A67):INDIRECT(A73&amp;A66),E1)</f>
        <v>0</v>
      </c>
      <c r="F29" s="4">
        <f ca="1">COUNTIFS(INDIRECT(A69&amp;A67):INDIRECT(A69&amp;A66),"*"&amp;A92&amp;"*",INDIRECT(A80&amp;A67):INDIRECT(A80&amp;A66),A95,INDIRECT(A73&amp;A67):INDIRECT(A73&amp;A66),F1)</f>
        <v>0</v>
      </c>
      <c r="G29" s="3">
        <f ca="1">COUNTIFS(INDIRECT(A69&amp;A67):INDIRECT(A69&amp;A66),"*"&amp;A92&amp;"*",INDIRECT(A80&amp;A67):INDIRECT(A80&amp;A66),A95,INDIRECT(A73&amp;A67):INDIRECT(A73&amp;A66),G1)</f>
        <v>0</v>
      </c>
      <c r="I29">
        <f ca="1">IF(OR(INDIRECT(A73&amp;ROW())=B93,INDIRECT(A73&amp;ROW())=B94),1,IF(AND(INDIRECT(A73&amp;ROW())=B95,INDIRECT(A96&amp;ROW())=C93),1,IF(AND(INDIRECT(A73&amp;ROW())=B95,INDIRECT(A96&amp;ROW())=C94),1,0)))</f>
        <v>0</v>
      </c>
      <c r="J29">
        <f ca="1">IF(AND(INDIRECT(A73&amp;ROW())=B95,INDIRECT(A96&amp;ROW())=C95),1,IF(AND(INDIRECT(A73&amp;ROW())=B95,INDIRECT(A96&amp;ROW())=C96),1,0))</f>
        <v>0</v>
      </c>
      <c r="K29">
        <f ca="1">DAYS360(INDIRECT(C68&amp;ROW()),TODAY())</f>
        <v>721</v>
      </c>
      <c r="L29">
        <f ca="1">DAYS360(INDIRECT(C69&amp;ROW()),TODAY())</f>
        <v>1004</v>
      </c>
      <c r="M29" s="11">
        <f ca="1">HYPERLINK(CONCATENATE("https://bugzilla.houston.hp.com:1181/bugzilla/show_bug.cgi?id=",INDIRECT(C70&amp;ROW())),INDIRECT(C70&amp;ROW()))</f>
        <v>47187</v>
      </c>
      <c r="N29">
        <v>47187</v>
      </c>
      <c r="O29" t="s">
        <v>213</v>
      </c>
      <c r="P29" t="s">
        <v>449</v>
      </c>
      <c r="Q29" t="s">
        <v>16</v>
      </c>
      <c r="R29" t="s">
        <v>251</v>
      </c>
      <c r="S29" t="s">
        <v>213</v>
      </c>
      <c r="U29" s="6">
        <v>42125.442048611112</v>
      </c>
      <c r="V29" t="s">
        <v>18</v>
      </c>
      <c r="W29" t="s">
        <v>17</v>
      </c>
      <c r="X29" s="6">
        <v>41838.292291666665</v>
      </c>
      <c r="Y29" t="s">
        <v>122</v>
      </c>
      <c r="AB29" t="s">
        <v>201</v>
      </c>
      <c r="AC29" t="s">
        <v>121</v>
      </c>
      <c r="AD29" t="s">
        <v>220</v>
      </c>
      <c r="AE29" t="s">
        <v>219</v>
      </c>
      <c r="AG29" t="s">
        <v>121</v>
      </c>
      <c r="AH29" t="s">
        <v>327</v>
      </c>
      <c r="AI29" t="s">
        <v>121</v>
      </c>
      <c r="AJ29" t="s">
        <v>717</v>
      </c>
      <c r="AK29" t="s">
        <v>121</v>
      </c>
    </row>
    <row r="30" spans="1:37" x14ac:dyDescent="0.3">
      <c r="A30" s="2">
        <f ca="1">COUNTIF(INDIRECT(A68&amp;A67):INDIRECT(A69&amp;A66),INDIRECT("b"&amp;ROW()))</f>
        <v>0</v>
      </c>
      <c r="B30" s="2" t="str">
        <f>Assignees!C28</f>
        <v>6.1 (Ensenada)</v>
      </c>
      <c r="C30" s="22">
        <f ca="1">COUNTIFS(INDIRECT(A97&amp;A67):INDIRECT(A97&amp;A66),1,INDIRECT(A71&amp;A67):INDIRECT(A71&amp;A66),D2&amp;"*")-COUNTIFS(INDIRECT(A97&amp;A67):INDIRECT(A97&amp;A66),1,INDIRECT(A71&amp;A67):INDIRECT(A71&amp;A66),D2&amp;"*",INDIRECT(A98&amp;A67):INDIRECT(A98&amp;A66),C98)</f>
        <v>79</v>
      </c>
      <c r="D30" s="22" t="str">
        <f>CONCATENATE("RedZone ",D2,"*")</f>
        <v>RedZone Astra*</v>
      </c>
      <c r="E30" s="8"/>
      <c r="I30">
        <f ca="1">IF(OR(INDIRECT(A73&amp;ROW())=B93,INDIRECT(A73&amp;ROW())=B94),1,IF(AND(INDIRECT(A73&amp;ROW())=B95,INDIRECT(A96&amp;ROW())=C93),1,IF(AND(INDIRECT(A73&amp;ROW())=B95,INDIRECT(A96&amp;ROW())=C94),1,0)))</f>
        <v>0</v>
      </c>
      <c r="J30">
        <f ca="1">IF(AND(INDIRECT(A73&amp;ROW())=B95,INDIRECT(A96&amp;ROW())=C95),1,IF(AND(INDIRECT(A73&amp;ROW())=B95,INDIRECT(A96&amp;ROW())=C96),1,0))</f>
        <v>1</v>
      </c>
      <c r="K30">
        <f ca="1">DAYS360(INDIRECT(C68&amp;ROW()),TODAY())</f>
        <v>724</v>
      </c>
      <c r="L30">
        <f ca="1">DAYS360(INDIRECT(C69&amp;ROW()),TODAY())</f>
        <v>1001</v>
      </c>
      <c r="M30" s="11">
        <f ca="1">HYPERLINK(CONCATENATE("https://bugzilla.houston.hp.com:1181/bugzilla/show_bug.cgi?id=",INDIRECT(C70&amp;ROW())),INDIRECT(C70&amp;ROW()))</f>
        <v>47269</v>
      </c>
      <c r="N30">
        <v>47269</v>
      </c>
      <c r="O30" t="s">
        <v>56</v>
      </c>
      <c r="P30" t="s">
        <v>448</v>
      </c>
      <c r="Q30" t="s">
        <v>25</v>
      </c>
      <c r="R30" t="s">
        <v>251</v>
      </c>
      <c r="S30" t="s">
        <v>183</v>
      </c>
      <c r="U30" s="6">
        <v>42122.349108796298</v>
      </c>
      <c r="V30" t="s">
        <v>40</v>
      </c>
      <c r="W30" t="s">
        <v>17</v>
      </c>
      <c r="X30" s="6">
        <v>41841.625428240739</v>
      </c>
      <c r="Y30" t="s">
        <v>244</v>
      </c>
      <c r="AB30" t="s">
        <v>201</v>
      </c>
      <c r="AC30" t="s">
        <v>121</v>
      </c>
      <c r="AD30" t="s">
        <v>220</v>
      </c>
      <c r="AE30" t="s">
        <v>219</v>
      </c>
      <c r="AG30" t="s">
        <v>121</v>
      </c>
      <c r="AH30" t="s">
        <v>327</v>
      </c>
      <c r="AI30" t="s">
        <v>121</v>
      </c>
      <c r="AJ30" t="s">
        <v>716</v>
      </c>
      <c r="AK30" t="s">
        <v>121</v>
      </c>
    </row>
    <row r="31" spans="1:37" x14ac:dyDescent="0.3">
      <c r="A31" s="2">
        <f ca="1">COUNTIF(INDIRECT(A68&amp;A67):INDIRECT(A69&amp;A66),INDIRECT("b"&amp;ROW()))</f>
        <v>0</v>
      </c>
      <c r="B31" s="2" t="str">
        <f>Assignees!C29</f>
        <v>6.2 (Fiji)</v>
      </c>
      <c r="C31" s="25">
        <f ca="1">COUNTIFS(INDIRECT(A99&amp;A67):INDIRECT(A99&amp;A66),1,INDIRECT(A71&amp;A67):INDIRECT(A71&amp;A66),D2&amp;"*")-COUNTIFS(INDIRECT(A99&amp;A67):INDIRECT(A99&amp;A66),1,INDIRECT(A71&amp;A67):INDIRECT(A71&amp;A66),D2&amp;"*",INDIRECT(A98&amp;A67):INDIRECT(A98&amp;A66),C98)</f>
        <v>67</v>
      </c>
      <c r="D31" s="25" t="str">
        <f>CONCATENATE("YellowZone ",D2,"*")</f>
        <v>YellowZone Astra*</v>
      </c>
      <c r="I31">
        <f ca="1">IF(OR(INDIRECT(A73&amp;ROW())=B93,INDIRECT(A73&amp;ROW())=B94),1,IF(AND(INDIRECT(A73&amp;ROW())=B95,INDIRECT(A96&amp;ROW())=C93),1,IF(AND(INDIRECT(A73&amp;ROW())=B95,INDIRECT(A96&amp;ROW())=C94),1,0)))</f>
        <v>1</v>
      </c>
      <c r="J31">
        <f ca="1">IF(AND(INDIRECT(A73&amp;ROW())=B95,INDIRECT(A96&amp;ROW())=C95),1,IF(AND(INDIRECT(A73&amp;ROW())=B95,INDIRECT(A96&amp;ROW())=C96),1,0))</f>
        <v>0</v>
      </c>
      <c r="K31">
        <f ca="1">DAYS360(INDIRECT(C68&amp;ROW()),TODAY())</f>
        <v>730</v>
      </c>
      <c r="L31">
        <f ca="1">DAYS360(INDIRECT(C69&amp;ROW()),TODAY())</f>
        <v>1000</v>
      </c>
      <c r="M31" s="11">
        <f ca="1">HYPERLINK(CONCATENATE("https://bugzilla.houston.hp.com:1181/bugzilla/show_bug.cgi?id=",INDIRECT(C70&amp;ROW())),INDIRECT(C70&amp;ROW()))</f>
        <v>47337</v>
      </c>
      <c r="N31">
        <v>47337</v>
      </c>
      <c r="O31" t="s">
        <v>21</v>
      </c>
      <c r="P31" t="s">
        <v>475</v>
      </c>
      <c r="Q31" t="s">
        <v>25</v>
      </c>
      <c r="R31" t="s">
        <v>251</v>
      </c>
      <c r="S31" t="s">
        <v>253</v>
      </c>
      <c r="U31" s="6">
        <v>42116.455277777779</v>
      </c>
      <c r="V31" t="s">
        <v>40</v>
      </c>
      <c r="W31" t="s">
        <v>17</v>
      </c>
      <c r="X31" s="6">
        <v>41842.501296296294</v>
      </c>
      <c r="Y31" t="s">
        <v>120</v>
      </c>
      <c r="AB31" t="s">
        <v>200</v>
      </c>
      <c r="AC31" t="s">
        <v>121</v>
      </c>
      <c r="AD31" t="s">
        <v>220</v>
      </c>
      <c r="AE31" t="s">
        <v>219</v>
      </c>
      <c r="AG31" t="s">
        <v>121</v>
      </c>
      <c r="AH31" t="s">
        <v>327</v>
      </c>
      <c r="AI31" t="s">
        <v>121</v>
      </c>
      <c r="AJ31" t="s">
        <v>715</v>
      </c>
      <c r="AK31" t="s">
        <v>121</v>
      </c>
    </row>
    <row r="32" spans="1:37" x14ac:dyDescent="0.3">
      <c r="A32" s="2">
        <f ca="1">COUNTIF(INDIRECT(A68&amp;A67):INDIRECT(A69&amp;A66),INDIRECT("b"&amp;ROW()))</f>
        <v>5</v>
      </c>
      <c r="B32" s="2" t="str">
        <f>Assignees!C30</f>
        <v>6.3 (FlyingSaucer)</v>
      </c>
      <c r="C32" s="1">
        <f ca="1">(COUNTIFS(INDIRECT(A72&amp;A67):INDIRECT(A72&amp;A66),"*"&amp;A87&amp;"*"))</f>
        <v>1</v>
      </c>
      <c r="D32" t="s">
        <v>34</v>
      </c>
      <c r="I32">
        <f ca="1">IF(OR(INDIRECT(A73&amp;ROW())=B93,INDIRECT(A73&amp;ROW())=B94),1,IF(AND(INDIRECT(A73&amp;ROW())=B95,INDIRECT(A96&amp;ROW())=C93),1,IF(AND(INDIRECT(A73&amp;ROW())=B95,INDIRECT(A96&amp;ROW())=C94),1,0)))</f>
        <v>0</v>
      </c>
      <c r="J32">
        <f ca="1">IF(AND(INDIRECT(A73&amp;ROW())=B95,INDIRECT(A96&amp;ROW())=C95),1,IF(AND(INDIRECT(A73&amp;ROW())=B95,INDIRECT(A96&amp;ROW())=C96),1,0))</f>
        <v>0</v>
      </c>
      <c r="K32">
        <f ca="1">DAYS360(INDIRECT(C68&amp;ROW()),TODAY())</f>
        <v>728</v>
      </c>
      <c r="L32">
        <f ca="1">DAYS360(INDIRECT(C69&amp;ROW()),TODAY())</f>
        <v>999</v>
      </c>
      <c r="M32" s="11">
        <f ca="1">HYPERLINK(CONCATENATE("https://bugzilla.houston.hp.com:1181/bugzilla/show_bug.cgi?id=",INDIRECT(C70&amp;ROW())),INDIRECT(C70&amp;ROW()))</f>
        <v>47415</v>
      </c>
      <c r="N32">
        <v>47415</v>
      </c>
      <c r="O32" t="s">
        <v>22</v>
      </c>
      <c r="P32" t="s">
        <v>705</v>
      </c>
      <c r="Q32" t="s">
        <v>16</v>
      </c>
      <c r="R32" t="s">
        <v>251</v>
      </c>
      <c r="S32" t="s">
        <v>36</v>
      </c>
      <c r="U32" s="6">
        <v>42118.55841435185</v>
      </c>
      <c r="V32" t="s">
        <v>18</v>
      </c>
      <c r="W32" t="s">
        <v>17</v>
      </c>
      <c r="X32" s="6">
        <v>41843.549317129633</v>
      </c>
      <c r="Y32" t="s">
        <v>122</v>
      </c>
      <c r="AB32" t="s">
        <v>201</v>
      </c>
      <c r="AC32" t="s">
        <v>121</v>
      </c>
      <c r="AD32" t="s">
        <v>220</v>
      </c>
      <c r="AE32" t="s">
        <v>219</v>
      </c>
      <c r="AG32" t="s">
        <v>121</v>
      </c>
      <c r="AH32" t="s">
        <v>327</v>
      </c>
      <c r="AI32" t="s">
        <v>121</v>
      </c>
      <c r="AJ32" t="s">
        <v>717</v>
      </c>
      <c r="AK32" t="s">
        <v>121</v>
      </c>
    </row>
    <row r="33" spans="1:37" x14ac:dyDescent="0.3">
      <c r="A33" s="2">
        <f ca="1">COUNTIF(INDIRECT(A68&amp;A67):INDIRECT(A69&amp;A66),INDIRECT("b"&amp;ROW()))</f>
        <v>2</v>
      </c>
      <c r="B33" s="2" t="str">
        <f>Assignees!C31</f>
        <v>6.5 (Ghost)</v>
      </c>
      <c r="C33">
        <f ca="1">COUNTIFS(INDIRECT(A71&amp;A67):INDIRECT(A71&amp;A66),A85&amp;"*")</f>
        <v>251</v>
      </c>
      <c r="D33" s="8" t="s">
        <v>98</v>
      </c>
      <c r="I33">
        <f ca="1">IF(OR(INDIRECT(A73&amp;ROW())=B93,INDIRECT(A73&amp;ROW())=B94),1,IF(AND(INDIRECT(A73&amp;ROW())=B95,INDIRECT(A96&amp;ROW())=C93),1,IF(AND(INDIRECT(A73&amp;ROW())=B95,INDIRECT(A96&amp;ROW())=C94),1,0)))</f>
        <v>0</v>
      </c>
      <c r="J33">
        <f ca="1">IF(AND(INDIRECT(A73&amp;ROW())=B95,INDIRECT(A96&amp;ROW())=C95),1,IF(AND(INDIRECT(A73&amp;ROW())=B95,INDIRECT(A96&amp;ROW())=C96),1,0))</f>
        <v>0</v>
      </c>
      <c r="K33">
        <f ca="1">DAYS360(INDIRECT(C68&amp;ROW()),TODAY())</f>
        <v>690</v>
      </c>
      <c r="L33">
        <f ca="1">DAYS360(INDIRECT(C69&amp;ROW()),TODAY())</f>
        <v>998</v>
      </c>
      <c r="M33" s="11">
        <f ca="1">HYPERLINK(CONCATENATE("https://bugzilla.houston.hp.com:1181/bugzilla/show_bug.cgi?id=",INDIRECT(C70&amp;ROW())),INDIRECT(C70&amp;ROW()))</f>
        <v>47515</v>
      </c>
      <c r="N33">
        <v>47515</v>
      </c>
      <c r="O33" t="s">
        <v>88</v>
      </c>
      <c r="P33" t="s">
        <v>447</v>
      </c>
      <c r="Q33" t="s">
        <v>16</v>
      </c>
      <c r="R33" t="s">
        <v>251</v>
      </c>
      <c r="S33" t="s">
        <v>52</v>
      </c>
      <c r="U33" s="6">
        <v>42157.342546296299</v>
      </c>
      <c r="V33" t="s">
        <v>18</v>
      </c>
      <c r="W33" t="s">
        <v>17</v>
      </c>
      <c r="X33" s="6">
        <v>41844.425266203703</v>
      </c>
      <c r="Y33" t="s">
        <v>119</v>
      </c>
      <c r="AB33" t="s">
        <v>201</v>
      </c>
      <c r="AC33" t="s">
        <v>121</v>
      </c>
      <c r="AD33" t="s">
        <v>222</v>
      </c>
      <c r="AE33" t="s">
        <v>240</v>
      </c>
      <c r="AG33" t="s">
        <v>121</v>
      </c>
      <c r="AH33" t="s">
        <v>327</v>
      </c>
      <c r="AI33" t="s">
        <v>121</v>
      </c>
      <c r="AJ33" t="s">
        <v>717</v>
      </c>
      <c r="AK33" t="s">
        <v>121</v>
      </c>
    </row>
    <row r="34" spans="1:37" x14ac:dyDescent="0.3">
      <c r="A34" s="2">
        <f ca="1">COUNTIF(INDIRECT(A68&amp;A67):INDIRECT(A69&amp;A66),INDIRECT("b"&amp;ROW()))</f>
        <v>0</v>
      </c>
      <c r="B34" s="2" t="str">
        <f>Assignees!C32</f>
        <v>6.5.x (Ghost patch)</v>
      </c>
      <c r="C34"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5</v>
      </c>
      <c r="D34" s="9" t="str">
        <f>CONCATENATE(A83," ",A84)</f>
        <v>NFS [PML]</v>
      </c>
      <c r="E34" s="8" t="str">
        <f t="shared" ref="E34:E40" si="0">D2</f>
        <v>Astra</v>
      </c>
      <c r="I34">
        <f ca="1">IF(OR(INDIRECT(A73&amp;ROW())=B93,INDIRECT(A73&amp;ROW())=B94),1,IF(AND(INDIRECT(A73&amp;ROW())=B95,INDIRECT(A96&amp;ROW())=C93),1,IF(AND(INDIRECT(A73&amp;ROW())=B95,INDIRECT(A96&amp;ROW())=C94),1,0)))</f>
        <v>0</v>
      </c>
      <c r="J34">
        <f ca="1">IF(AND(INDIRECT(A73&amp;ROW())=B95,INDIRECT(A96&amp;ROW())=C95),1,IF(AND(INDIRECT(A73&amp;ROW())=B95,INDIRECT(A96&amp;ROW())=C96),1,0))</f>
        <v>0</v>
      </c>
      <c r="K34">
        <f ca="1">DAYS360(INDIRECT(C68&amp;ROW()),TODAY())</f>
        <v>721</v>
      </c>
      <c r="L34">
        <f ca="1">DAYS360(INDIRECT(C69&amp;ROW()),TODAY())</f>
        <v>994</v>
      </c>
      <c r="M34" s="11">
        <f ca="1">HYPERLINK(CONCATENATE("https://bugzilla.houston.hp.com:1181/bugzilla/show_bug.cgi?id=",INDIRECT(C70&amp;ROW())),INDIRECT(C70&amp;ROW()))</f>
        <v>47697</v>
      </c>
      <c r="N34">
        <v>47697</v>
      </c>
      <c r="O34" t="s">
        <v>56</v>
      </c>
      <c r="P34" t="s">
        <v>704</v>
      </c>
      <c r="Q34" t="s">
        <v>16</v>
      </c>
      <c r="R34" t="s">
        <v>251</v>
      </c>
      <c r="S34" t="s">
        <v>188</v>
      </c>
      <c r="U34" s="6">
        <v>42125.44390046296</v>
      </c>
      <c r="V34" t="s">
        <v>18</v>
      </c>
      <c r="W34" t="s">
        <v>17</v>
      </c>
      <c r="X34" s="6">
        <v>41848.552175925928</v>
      </c>
      <c r="Y34" t="s">
        <v>122</v>
      </c>
      <c r="AB34" t="s">
        <v>200</v>
      </c>
      <c r="AC34" t="s">
        <v>121</v>
      </c>
      <c r="AD34" t="s">
        <v>220</v>
      </c>
      <c r="AE34" t="s">
        <v>219</v>
      </c>
      <c r="AG34" t="s">
        <v>121</v>
      </c>
      <c r="AH34" t="s">
        <v>327</v>
      </c>
      <c r="AI34" t="s">
        <v>121</v>
      </c>
      <c r="AJ34" t="s">
        <v>716</v>
      </c>
      <c r="AK34" t="s">
        <v>121</v>
      </c>
    </row>
    <row r="35" spans="1:37" x14ac:dyDescent="0.3">
      <c r="A35" s="2">
        <f ca="1">COUNTIF(INDIRECT(A68&amp;A67):INDIRECT(A69&amp;A66),INDIRECT("b"&amp;ROW()))</f>
        <v>3</v>
      </c>
      <c r="B35" s="2" t="str">
        <f>Assignees!C33</f>
        <v>Halo</v>
      </c>
      <c r="C35"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38</v>
      </c>
      <c r="D35" s="9" t="str">
        <f>CONCATENATE(A83," ",A84)</f>
        <v>NFS [PML]</v>
      </c>
      <c r="E35" s="8" t="str">
        <f t="shared" si="0"/>
        <v>Atlas</v>
      </c>
      <c r="I35">
        <f ca="1">IF(OR(INDIRECT(A73&amp;ROW())=B93,INDIRECT(A73&amp;ROW())=B94),1,IF(AND(INDIRECT(A73&amp;ROW())=B95,INDIRECT(A96&amp;ROW())=C93),1,IF(AND(INDIRECT(A73&amp;ROW())=B95,INDIRECT(A96&amp;ROW())=C94),1,0)))</f>
        <v>0</v>
      </c>
      <c r="J35">
        <f ca="1">IF(AND(INDIRECT(A73&amp;ROW())=B95,INDIRECT(A96&amp;ROW())=C95),1,IF(AND(INDIRECT(A73&amp;ROW())=B95,INDIRECT(A96&amp;ROW())=C96),1,0))</f>
        <v>0</v>
      </c>
      <c r="K35">
        <f ca="1">DAYS360(INDIRECT(C68&amp;ROW()),TODAY())</f>
        <v>721</v>
      </c>
      <c r="L35">
        <f ca="1">DAYS360(INDIRECT(C69&amp;ROW()),TODAY())</f>
        <v>992</v>
      </c>
      <c r="M35" s="11">
        <f ca="1">HYPERLINK(CONCATENATE("https://bugzilla.houston.hp.com:1181/bugzilla/show_bug.cgi?id=",INDIRECT(C70&amp;ROW())),INDIRECT(C70&amp;ROW()))</f>
        <v>47791</v>
      </c>
      <c r="N35">
        <v>47791</v>
      </c>
      <c r="O35" t="s">
        <v>19</v>
      </c>
      <c r="P35" t="s">
        <v>744</v>
      </c>
      <c r="Q35" t="s">
        <v>16</v>
      </c>
      <c r="R35" t="s">
        <v>251</v>
      </c>
      <c r="S35" t="s">
        <v>43</v>
      </c>
      <c r="U35" s="6">
        <v>42125.443761574075</v>
      </c>
      <c r="V35" t="s">
        <v>18</v>
      </c>
      <c r="W35" t="s">
        <v>17</v>
      </c>
      <c r="X35" s="6">
        <v>41850.351284722223</v>
      </c>
      <c r="Y35" t="s">
        <v>122</v>
      </c>
      <c r="AB35" t="s">
        <v>200</v>
      </c>
      <c r="AC35" t="s">
        <v>247</v>
      </c>
      <c r="AD35" t="s">
        <v>220</v>
      </c>
      <c r="AE35" t="s">
        <v>219</v>
      </c>
      <c r="AG35" t="s">
        <v>121</v>
      </c>
      <c r="AH35" t="s">
        <v>327</v>
      </c>
      <c r="AI35" t="s">
        <v>121</v>
      </c>
      <c r="AJ35" t="s">
        <v>716</v>
      </c>
      <c r="AK35" t="s">
        <v>121</v>
      </c>
    </row>
    <row r="36" spans="1:37" x14ac:dyDescent="0.3">
      <c r="A36" s="2">
        <f ca="1">COUNTIF(INDIRECT(A68&amp;A67):INDIRECT(A69&amp;A66),INDIRECT("b"&amp;ROW()))</f>
        <v>19</v>
      </c>
      <c r="B36" s="2" t="str">
        <f>Assignees!C34</f>
        <v>Atlas</v>
      </c>
      <c r="C36"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0</v>
      </c>
      <c r="D36" s="9" t="str">
        <f>CONCATENATE(A83," ",A84)</f>
        <v>NFS [PML]</v>
      </c>
      <c r="E36" s="8" t="str">
        <f t="shared" si="0"/>
        <v>Bellatrix</v>
      </c>
      <c r="I36">
        <f ca="1">IF(OR(INDIRECT(A73&amp;ROW())=B93,INDIRECT(A73&amp;ROW())=B94),1,IF(AND(INDIRECT(A73&amp;ROW())=B95,INDIRECT(A96&amp;ROW())=C93),1,IF(AND(INDIRECT(A73&amp;ROW())=B95,INDIRECT(A96&amp;ROW())=C94),1,0)))</f>
        <v>0</v>
      </c>
      <c r="J36">
        <f ca="1">IF(AND(INDIRECT(A73&amp;ROW())=B95,INDIRECT(A96&amp;ROW())=C95),1,IF(AND(INDIRECT(A73&amp;ROW())=B95,INDIRECT(A96&amp;ROW())=C96),1,0))</f>
        <v>0</v>
      </c>
      <c r="K36">
        <f ca="1">DAYS360(INDIRECT(C68&amp;ROW()),TODAY())</f>
        <v>729</v>
      </c>
      <c r="L36">
        <f ca="1">DAYS360(INDIRECT(C69&amp;ROW()),TODAY())</f>
        <v>992</v>
      </c>
      <c r="M36" s="11">
        <f ca="1">HYPERLINK(CONCATENATE("https://bugzilla.houston.hp.com:1181/bugzilla/show_bug.cgi?id=",INDIRECT(C70&amp;ROW())),INDIRECT(C70&amp;ROW()))</f>
        <v>47877</v>
      </c>
      <c r="N36">
        <v>47877</v>
      </c>
      <c r="O36" t="s">
        <v>56</v>
      </c>
      <c r="P36" t="s">
        <v>703</v>
      </c>
      <c r="Q36" t="s">
        <v>16</v>
      </c>
      <c r="R36" t="s">
        <v>251</v>
      </c>
      <c r="S36" t="s">
        <v>15</v>
      </c>
      <c r="U36" s="6">
        <v>42117.403090277781</v>
      </c>
      <c r="V36" t="s">
        <v>35</v>
      </c>
      <c r="W36" t="s">
        <v>17</v>
      </c>
      <c r="X36" s="6">
        <v>41851.903414351851</v>
      </c>
      <c r="Y36" t="s">
        <v>119</v>
      </c>
      <c r="AB36" t="s">
        <v>200</v>
      </c>
      <c r="AC36" t="s">
        <v>121</v>
      </c>
      <c r="AD36" t="s">
        <v>220</v>
      </c>
      <c r="AE36" t="s">
        <v>219</v>
      </c>
      <c r="AG36" t="s">
        <v>121</v>
      </c>
      <c r="AH36" t="s">
        <v>327</v>
      </c>
      <c r="AI36" t="s">
        <v>121</v>
      </c>
      <c r="AJ36" t="s">
        <v>716</v>
      </c>
      <c r="AK36" t="s">
        <v>121</v>
      </c>
    </row>
    <row r="37" spans="1:37" x14ac:dyDescent="0.3">
      <c r="A37" s="2">
        <f ca="1">COUNTIF(INDIRECT(A68&amp;A67):INDIRECT(A69&amp;A66),INDIRECT("b"&amp;ROW()))</f>
        <v>0</v>
      </c>
      <c r="B37" s="2">
        <f>Assignees!C36</f>
        <v>0</v>
      </c>
      <c r="C37"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37</v>
      </c>
      <c r="D37" s="9" t="str">
        <f>CONCATENATE(A83," ",A84)</f>
        <v>NFS [PML]</v>
      </c>
      <c r="E37" s="8" t="str">
        <f t="shared" si="0"/>
        <v>Master</v>
      </c>
      <c r="I37">
        <f ca="1">IF(OR(INDIRECT(A73&amp;ROW())=B93,INDIRECT(A73&amp;ROW())=B94),1,IF(AND(INDIRECT(A73&amp;ROW())=B95,INDIRECT(A96&amp;ROW())=C93),1,IF(AND(INDIRECT(A73&amp;ROW())=B95,INDIRECT(A96&amp;ROW())=C94),1,0)))</f>
        <v>0</v>
      </c>
      <c r="J37">
        <f ca="1">IF(AND(INDIRECT(A73&amp;ROW())=B95,INDIRECT(A96&amp;ROW())=C95),1,IF(AND(INDIRECT(A73&amp;ROW())=B95,INDIRECT(A96&amp;ROW())=C96),1,0))</f>
        <v>0</v>
      </c>
      <c r="K37">
        <f ca="1">DAYS360(INDIRECT(C68&amp;ROW()),TODAY())</f>
        <v>728</v>
      </c>
      <c r="L37">
        <f ca="1">DAYS360(INDIRECT(C69&amp;ROW()),TODAY())</f>
        <v>981</v>
      </c>
      <c r="M37" s="11">
        <f ca="1">HYPERLINK(CONCATENATE("https://bugzilla.houston.hp.com:1181/bugzilla/show_bug.cgi?id=",INDIRECT(C70&amp;ROW())),INDIRECT(C70&amp;ROW()))</f>
        <v>48400</v>
      </c>
      <c r="N37">
        <v>48400</v>
      </c>
      <c r="O37" t="s">
        <v>56</v>
      </c>
      <c r="P37" t="s">
        <v>702</v>
      </c>
      <c r="Q37" t="s">
        <v>16</v>
      </c>
      <c r="R37" t="s">
        <v>251</v>
      </c>
      <c r="S37" t="s">
        <v>42</v>
      </c>
      <c r="U37" s="6">
        <v>42118.560972222222</v>
      </c>
      <c r="V37" t="s">
        <v>18</v>
      </c>
      <c r="W37" t="s">
        <v>17</v>
      </c>
      <c r="X37" s="6">
        <v>41862.660682870373</v>
      </c>
      <c r="Y37" t="s">
        <v>122</v>
      </c>
      <c r="AB37" t="s">
        <v>201</v>
      </c>
      <c r="AC37" t="s">
        <v>121</v>
      </c>
      <c r="AD37" t="s">
        <v>220</v>
      </c>
      <c r="AE37" t="s">
        <v>219</v>
      </c>
      <c r="AG37" t="s">
        <v>121</v>
      </c>
      <c r="AH37" t="s">
        <v>64</v>
      </c>
      <c r="AI37" t="s">
        <v>121</v>
      </c>
      <c r="AJ37" t="s">
        <v>717</v>
      </c>
      <c r="AK37" t="s">
        <v>121</v>
      </c>
    </row>
    <row r="38" spans="1:37" x14ac:dyDescent="0.3">
      <c r="A38" s="2">
        <f ca="1">COUNTIF(INDIRECT(A68&amp;A67):INDIRECT(A69&amp;A66),INDIRECT("b"&amp;ROW()))</f>
        <v>0</v>
      </c>
      <c r="B38" s="2">
        <f>Assignees!C37</f>
        <v>0</v>
      </c>
      <c r="C38"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0</v>
      </c>
      <c r="D38" s="9" t="str">
        <f>CONCATENATE(A83," ",A84)</f>
        <v>NFS [PML]</v>
      </c>
      <c r="E38" s="8" t="str">
        <f t="shared" si="0"/>
        <v>Astra-Waiver</v>
      </c>
      <c r="I38">
        <f ca="1">IF(OR(INDIRECT(A73&amp;ROW())=B93,INDIRECT(A73&amp;ROW())=B94),1,IF(AND(INDIRECT(A73&amp;ROW())=B95,INDIRECT(A96&amp;ROW())=C93),1,IF(AND(INDIRECT(A73&amp;ROW())=B95,INDIRECT(A96&amp;ROW())=C94),1,0)))</f>
        <v>0</v>
      </c>
      <c r="J38">
        <f ca="1">IF(AND(INDIRECT(A73&amp;ROW())=B95,INDIRECT(A96&amp;ROW())=C95),1,IF(AND(INDIRECT(A73&amp;ROW())=B95,INDIRECT(A96&amp;ROW())=C96),1,0))</f>
        <v>0</v>
      </c>
      <c r="K38">
        <f ca="1">DAYS360(INDIRECT(C68&amp;ROW()),TODAY())</f>
        <v>721</v>
      </c>
      <c r="L38">
        <f ca="1">DAYS360(INDIRECT(C69&amp;ROW()),TODAY())</f>
        <v>980</v>
      </c>
      <c r="M38" s="11">
        <f ca="1">HYPERLINK(CONCATENATE("https://bugzilla.houston.hp.com:1181/bugzilla/show_bug.cgi?id=",INDIRECT(C70&amp;ROW())),INDIRECT(C70&amp;ROW()))</f>
        <v>48464</v>
      </c>
      <c r="N38">
        <v>48464</v>
      </c>
      <c r="O38" t="s">
        <v>55</v>
      </c>
      <c r="P38" t="s">
        <v>701</v>
      </c>
      <c r="Q38" t="s">
        <v>16</v>
      </c>
      <c r="R38" t="s">
        <v>251</v>
      </c>
      <c r="S38" t="s">
        <v>42</v>
      </c>
      <c r="U38" s="6">
        <v>42125.443819444445</v>
      </c>
      <c r="V38" t="s">
        <v>35</v>
      </c>
      <c r="W38" t="s">
        <v>17</v>
      </c>
      <c r="X38" s="6">
        <v>41863.624351851853</v>
      </c>
      <c r="Y38" t="s">
        <v>122</v>
      </c>
      <c r="AB38" t="s">
        <v>200</v>
      </c>
      <c r="AC38" t="s">
        <v>121</v>
      </c>
      <c r="AD38" t="s">
        <v>220</v>
      </c>
      <c r="AE38" t="s">
        <v>219</v>
      </c>
      <c r="AG38" t="s">
        <v>121</v>
      </c>
      <c r="AH38" t="s">
        <v>327</v>
      </c>
      <c r="AI38" t="s">
        <v>121</v>
      </c>
      <c r="AJ38" t="s">
        <v>716</v>
      </c>
      <c r="AK38" t="s">
        <v>121</v>
      </c>
    </row>
    <row r="39" spans="1:37" x14ac:dyDescent="0.3">
      <c r="A39" s="7">
        <f ca="1">SUM(A2:A38)</f>
        <v>465</v>
      </c>
      <c r="B39" s="7" t="s">
        <v>23</v>
      </c>
      <c r="C39"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13</v>
      </c>
      <c r="D39" s="9" t="str">
        <f>CONCATENATE(A83," ",A84)</f>
        <v>NFS [PML]</v>
      </c>
      <c r="E39" s="8" t="str">
        <f t="shared" si="0"/>
        <v>Astra-Maint</v>
      </c>
      <c r="I39">
        <f ca="1">IF(OR(INDIRECT(A73&amp;ROW())=B93,INDIRECT(A73&amp;ROW())=B94),1,IF(AND(INDIRECT(A73&amp;ROW())=B95,INDIRECT(A96&amp;ROW())=C93),1,IF(AND(INDIRECT(A73&amp;ROW())=B95,INDIRECT(A96&amp;ROW())=C94),1,0)))</f>
        <v>0</v>
      </c>
      <c r="J39">
        <f ca="1">IF(AND(INDIRECT(A73&amp;ROW())=B95,INDIRECT(A96&amp;ROW())=C95),1,IF(AND(INDIRECT(A73&amp;ROW())=B95,INDIRECT(A96&amp;ROW())=C96),1,0))</f>
        <v>1</v>
      </c>
      <c r="K39">
        <f ca="1">DAYS360(INDIRECT(C68&amp;ROW()),TODAY())</f>
        <v>690</v>
      </c>
      <c r="L39">
        <f ca="1">DAYS360(INDIRECT(C69&amp;ROW()),TODAY())</f>
        <v>979</v>
      </c>
      <c r="M39" s="11">
        <f ca="1">HYPERLINK(CONCATENATE("https://bugzilla.houston.hp.com:1181/bugzilla/show_bug.cgi?id=",INDIRECT(C70&amp;ROW())),INDIRECT(C70&amp;ROW()))</f>
        <v>48484</v>
      </c>
      <c r="N39">
        <v>48484</v>
      </c>
      <c r="O39" t="s">
        <v>49</v>
      </c>
      <c r="P39" t="s">
        <v>700</v>
      </c>
      <c r="Q39" t="s">
        <v>25</v>
      </c>
      <c r="R39" t="s">
        <v>251</v>
      </c>
      <c r="S39" t="s">
        <v>52</v>
      </c>
      <c r="U39" s="6">
        <v>42157.342523148145</v>
      </c>
      <c r="V39" t="s">
        <v>35</v>
      </c>
      <c r="W39" t="s">
        <v>17</v>
      </c>
      <c r="X39" s="6">
        <v>41864.074270833335</v>
      </c>
      <c r="Y39" t="s">
        <v>119</v>
      </c>
      <c r="AB39" t="s">
        <v>201</v>
      </c>
      <c r="AC39" t="s">
        <v>121</v>
      </c>
      <c r="AD39" t="s">
        <v>222</v>
      </c>
      <c r="AE39" t="s">
        <v>240</v>
      </c>
      <c r="AG39" t="s">
        <v>121</v>
      </c>
      <c r="AH39" t="s">
        <v>64</v>
      </c>
      <c r="AI39" t="s">
        <v>121</v>
      </c>
      <c r="AJ39" t="s">
        <v>716</v>
      </c>
      <c r="AK39" t="s">
        <v>121</v>
      </c>
    </row>
    <row r="40" spans="1:37" x14ac:dyDescent="0.3">
      <c r="A40">
        <f ca="1">COUNTIF(INDIRECT(A76&amp;A67):INDIRECT(A76&amp;A66),B40&amp;"*")</f>
        <v>147</v>
      </c>
      <c r="B40" t="s">
        <v>126</v>
      </c>
      <c r="C40"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18</v>
      </c>
      <c r="D40" s="9" t="str">
        <f>CONCATENATE(A83," ",A84)</f>
        <v>NFS [PML]</v>
      </c>
      <c r="E40" s="8" t="str">
        <f t="shared" si="0"/>
        <v>Astra-1.1.0</v>
      </c>
      <c r="I40">
        <f ca="1">IF(OR(INDIRECT(A73&amp;ROW())=B93,INDIRECT(A73&amp;ROW())=B94),1,IF(AND(INDIRECT(A73&amp;ROW())=B95,INDIRECT(A96&amp;ROW())=C93),1,IF(AND(INDIRECT(A73&amp;ROW())=B95,INDIRECT(A96&amp;ROW())=C94),1,0)))</f>
        <v>0</v>
      </c>
      <c r="J40">
        <f ca="1">IF(AND(INDIRECT(A73&amp;ROW())=B95,INDIRECT(A96&amp;ROW())=C95),1,IF(AND(INDIRECT(A73&amp;ROW())=B95,INDIRECT(A96&amp;ROW())=C96),1,0))</f>
        <v>0</v>
      </c>
      <c r="K40">
        <f ca="1">DAYS360(INDIRECT(C68&amp;ROW()),TODAY())</f>
        <v>770</v>
      </c>
      <c r="L40">
        <f ca="1">DAYS360(INDIRECT(C69&amp;ROW()),TODAY())</f>
        <v>977</v>
      </c>
      <c r="M40" s="11">
        <f ca="1">HYPERLINK(CONCATENATE("https://bugzilla.houston.hp.com:1181/bugzilla/show_bug.cgi?id=",INDIRECT(C70&amp;ROW())),INDIRECT(C70&amp;ROW()))</f>
        <v>48691</v>
      </c>
      <c r="N40">
        <v>48691</v>
      </c>
      <c r="O40" t="s">
        <v>56</v>
      </c>
      <c r="P40" t="s">
        <v>279</v>
      </c>
      <c r="Q40" t="s">
        <v>16</v>
      </c>
      <c r="R40" t="s">
        <v>251</v>
      </c>
      <c r="S40" t="s">
        <v>65</v>
      </c>
      <c r="U40" s="6">
        <v>42075.349849537037</v>
      </c>
      <c r="V40" t="s">
        <v>18</v>
      </c>
      <c r="W40" t="s">
        <v>17</v>
      </c>
      <c r="X40" s="6">
        <v>41866.418425925927</v>
      </c>
      <c r="Y40" t="s">
        <v>118</v>
      </c>
      <c r="AB40" t="s">
        <v>201</v>
      </c>
      <c r="AC40" t="s">
        <v>121</v>
      </c>
      <c r="AD40" t="s">
        <v>220</v>
      </c>
      <c r="AE40" t="s">
        <v>219</v>
      </c>
      <c r="AG40" t="s">
        <v>121</v>
      </c>
      <c r="AH40" t="s">
        <v>327</v>
      </c>
      <c r="AI40" t="s">
        <v>121</v>
      </c>
      <c r="AJ40" t="s">
        <v>717</v>
      </c>
      <c r="AK40" t="s">
        <v>121</v>
      </c>
    </row>
    <row r="41" spans="1:37" x14ac:dyDescent="0.3">
      <c r="A41">
        <f ca="1">COUNTIF(INDIRECT(A76&amp;A67):INDIRECT(A76&amp;A66),B41&amp;"*")</f>
        <v>18</v>
      </c>
      <c r="B41" t="s">
        <v>127</v>
      </c>
      <c r="C41">
        <f ca="1">SUM(C34:C40)</f>
        <v>111</v>
      </c>
      <c r="I41">
        <f ca="1">IF(OR(INDIRECT(A73&amp;ROW())=B93,INDIRECT(A73&amp;ROW())=B94),1,IF(AND(INDIRECT(A73&amp;ROW())=B95,INDIRECT(A96&amp;ROW())=C93),1,IF(AND(INDIRECT(A73&amp;ROW())=B95,INDIRECT(A96&amp;ROW())=C94),1,0)))</f>
        <v>0</v>
      </c>
      <c r="J41">
        <f ca="1">IF(AND(INDIRECT(A73&amp;ROW())=B95,INDIRECT(A96&amp;ROW())=C95),1,IF(AND(INDIRECT(A73&amp;ROW())=B95,INDIRECT(A96&amp;ROW())=C96),1,0))</f>
        <v>0</v>
      </c>
      <c r="K41">
        <f ca="1">DAYS360(INDIRECT(C68&amp;ROW()),TODAY())</f>
        <v>770</v>
      </c>
      <c r="L41">
        <f ca="1">DAYS360(INDIRECT(C69&amp;ROW()),TODAY())</f>
        <v>977</v>
      </c>
      <c r="M41" s="11">
        <f ca="1">HYPERLINK(CONCATENATE("https://bugzilla.houston.hp.com:1181/bugzilla/show_bug.cgi?id=",INDIRECT(C70&amp;ROW())),INDIRECT(C70&amp;ROW()))</f>
        <v>48692</v>
      </c>
      <c r="N41">
        <v>48692</v>
      </c>
      <c r="O41" t="s">
        <v>56</v>
      </c>
      <c r="P41" t="s">
        <v>278</v>
      </c>
      <c r="Q41" t="s">
        <v>16</v>
      </c>
      <c r="R41" t="s">
        <v>251</v>
      </c>
      <c r="S41" t="s">
        <v>65</v>
      </c>
      <c r="T41" t="s">
        <v>803</v>
      </c>
      <c r="U41" s="6">
        <v>42075.350902777776</v>
      </c>
      <c r="V41" t="s">
        <v>35</v>
      </c>
      <c r="W41" t="s">
        <v>17</v>
      </c>
      <c r="X41" s="6">
        <v>41866.420034722221</v>
      </c>
      <c r="Y41" t="s">
        <v>793</v>
      </c>
      <c r="AB41" t="s">
        <v>201</v>
      </c>
      <c r="AC41" t="s">
        <v>121</v>
      </c>
      <c r="AD41" t="s">
        <v>220</v>
      </c>
      <c r="AE41" t="s">
        <v>219</v>
      </c>
      <c r="AG41" t="s">
        <v>121</v>
      </c>
      <c r="AH41" t="s">
        <v>64</v>
      </c>
      <c r="AI41" t="s">
        <v>121</v>
      </c>
      <c r="AJ41" t="s">
        <v>717</v>
      </c>
      <c r="AK41" t="s">
        <v>121</v>
      </c>
    </row>
    <row r="42" spans="1:37" x14ac:dyDescent="0.3">
      <c r="A42" s="1">
        <f ca="1">SUM(A40:A41)</f>
        <v>165</v>
      </c>
      <c r="B42" s="1" t="s">
        <v>128</v>
      </c>
      <c r="C42" s="12">
        <f ca="1">COUNTIFS(INDIRECT(A72&amp;A67):INDIRECT(A72&amp;A66),"*"&amp;A83&amp;"*",INDIRECT(A71&amp;A67):INDIRECT(A71&amp;A66),INDIRECT("e"&amp;ROW()),INDIRECT(A70&amp;A67):INDIRECT(A70&amp;A66),A82&amp;"*")</f>
        <v>0</v>
      </c>
      <c r="D42" s="12" t="str">
        <f>CONCATENATE(A83,"  core")</f>
        <v>NFS  core</v>
      </c>
      <c r="E42" s="8" t="str">
        <f t="shared" ref="E42:E48" si="1">D2</f>
        <v>Astra</v>
      </c>
      <c r="I42">
        <f ca="1">IF(OR(INDIRECT(A73&amp;ROW())=B93,INDIRECT(A73&amp;ROW())=B94),1,IF(AND(INDIRECT(A73&amp;ROW())=B95,INDIRECT(A96&amp;ROW())=C93),1,IF(AND(INDIRECT(A73&amp;ROW())=B95,INDIRECT(A96&amp;ROW())=C94),1,0)))</f>
        <v>1</v>
      </c>
      <c r="J42">
        <f ca="1">IF(AND(INDIRECT(A73&amp;ROW())=B95,INDIRECT(A96&amp;ROW())=C95),1,IF(AND(INDIRECT(A73&amp;ROW())=B95,INDIRECT(A96&amp;ROW())=C96),1,0))</f>
        <v>0</v>
      </c>
      <c r="K42">
        <f ca="1">DAYS360(INDIRECT(C68&amp;ROW()),TODAY())</f>
        <v>691</v>
      </c>
      <c r="L42">
        <f ca="1">DAYS360(INDIRECT(C69&amp;ROW()),TODAY())</f>
        <v>977</v>
      </c>
      <c r="M42" s="11">
        <f ca="1">HYPERLINK(CONCATENATE("https://bugzilla.houston.hp.com:1181/bugzilla/show_bug.cgi?id=",INDIRECT(C70&amp;ROW())),INDIRECT(C70&amp;ROW()))</f>
        <v>48696</v>
      </c>
      <c r="N42">
        <v>48696</v>
      </c>
      <c r="O42" t="s">
        <v>94</v>
      </c>
      <c r="P42" t="s">
        <v>446</v>
      </c>
      <c r="Q42" t="s">
        <v>39</v>
      </c>
      <c r="R42" t="s">
        <v>251</v>
      </c>
      <c r="S42" t="s">
        <v>24</v>
      </c>
      <c r="T42" t="s">
        <v>782</v>
      </c>
      <c r="U42" s="6">
        <v>42156.600081018521</v>
      </c>
      <c r="V42" t="s">
        <v>35</v>
      </c>
      <c r="W42" t="s">
        <v>17</v>
      </c>
      <c r="X42" s="6">
        <v>41866.469768518517</v>
      </c>
      <c r="Y42" t="s">
        <v>119</v>
      </c>
      <c r="AB42" t="s">
        <v>201</v>
      </c>
      <c r="AC42" t="s">
        <v>121</v>
      </c>
      <c r="AD42" t="s">
        <v>227</v>
      </c>
      <c r="AE42" t="s">
        <v>231</v>
      </c>
      <c r="AG42" t="s">
        <v>121</v>
      </c>
      <c r="AH42" t="s">
        <v>64</v>
      </c>
      <c r="AI42" t="s">
        <v>121</v>
      </c>
      <c r="AJ42" t="s">
        <v>715</v>
      </c>
      <c r="AK42" t="s">
        <v>121</v>
      </c>
    </row>
    <row r="43" spans="1:37" x14ac:dyDescent="0.3">
      <c r="C43" s="12">
        <f ca="1">COUNTIFS(INDIRECT(A72&amp;A67):INDIRECT(A72&amp;A66),"*"&amp;A83&amp;"*",INDIRECT(A71&amp;A67):INDIRECT(A71&amp;A66),INDIRECT("e"&amp;ROW()),INDIRECT(A70&amp;A67):INDIRECT(A70&amp;A66),A82&amp;"*")</f>
        <v>0</v>
      </c>
      <c r="D43" s="12" t="str">
        <f>CONCATENATE(A83,"  core")</f>
        <v>NFS  core</v>
      </c>
      <c r="E43" s="8" t="str">
        <f t="shared" si="1"/>
        <v>Atlas</v>
      </c>
      <c r="I43">
        <f ca="1">IF(OR(INDIRECT(A73&amp;ROW())=B93,INDIRECT(A73&amp;ROW())=B94),1,IF(AND(INDIRECT(A73&amp;ROW())=B95,INDIRECT(A96&amp;ROW())=C93),1,IF(AND(INDIRECT(A73&amp;ROW())=B95,INDIRECT(A96&amp;ROW())=C94),1,0)))</f>
        <v>0</v>
      </c>
      <c r="J43">
        <f ca="1">IF(AND(INDIRECT(A73&amp;ROW())=B95,INDIRECT(A96&amp;ROW())=C95),1,IF(AND(INDIRECT(A73&amp;ROW())=B95,INDIRECT(A96&amp;ROW())=C96),1,0))</f>
        <v>0</v>
      </c>
      <c r="K43">
        <f ca="1">DAYS360(INDIRECT(C68&amp;ROW()),TODAY())</f>
        <v>728</v>
      </c>
      <c r="L43">
        <f ca="1">DAYS360(INDIRECT(C69&amp;ROW()),TODAY())</f>
        <v>977</v>
      </c>
      <c r="M43" s="11">
        <f ca="1">HYPERLINK(CONCATENATE("https://bugzilla.houston.hp.com:1181/bugzilla/show_bug.cgi?id=",INDIRECT(C70&amp;ROW())),INDIRECT(C70&amp;ROW()))</f>
        <v>48703</v>
      </c>
      <c r="N43">
        <v>48703</v>
      </c>
      <c r="O43" t="s">
        <v>66</v>
      </c>
      <c r="P43" t="s">
        <v>291</v>
      </c>
      <c r="Q43" t="s">
        <v>16</v>
      </c>
      <c r="R43" t="s">
        <v>251</v>
      </c>
      <c r="S43" t="s">
        <v>65</v>
      </c>
      <c r="U43" s="6">
        <v>42118.561168981483</v>
      </c>
      <c r="V43" t="s">
        <v>18</v>
      </c>
      <c r="W43" t="s">
        <v>17</v>
      </c>
      <c r="X43" s="6">
        <v>41866.624490740738</v>
      </c>
      <c r="Y43" t="s">
        <v>122</v>
      </c>
      <c r="AB43" t="s">
        <v>201</v>
      </c>
      <c r="AC43" t="s">
        <v>121</v>
      </c>
      <c r="AD43" t="s">
        <v>222</v>
      </c>
      <c r="AE43" t="s">
        <v>233</v>
      </c>
      <c r="AG43" t="s">
        <v>121</v>
      </c>
      <c r="AH43" t="s">
        <v>64</v>
      </c>
      <c r="AI43" t="s">
        <v>121</v>
      </c>
      <c r="AJ43" t="s">
        <v>717</v>
      </c>
      <c r="AK43" t="s">
        <v>121</v>
      </c>
    </row>
    <row r="44" spans="1:37" x14ac:dyDescent="0.3">
      <c r="C44" s="12">
        <f ca="1">COUNTIFS(INDIRECT(A72&amp;A67):INDIRECT(A72&amp;A66),"*"&amp;A83&amp;"*",INDIRECT(A71&amp;A67):INDIRECT(A71&amp;A66),INDIRECT("e"&amp;ROW()),INDIRECT(A70&amp;A67):INDIRECT(A70&amp;A66),A82&amp;"*")</f>
        <v>0</v>
      </c>
      <c r="D44" s="12" t="str">
        <f>CONCATENATE(A83,"  core")</f>
        <v>NFS  core</v>
      </c>
      <c r="E44" s="8" t="str">
        <f t="shared" si="1"/>
        <v>Bellatrix</v>
      </c>
      <c r="I44">
        <f ca="1">IF(OR(INDIRECT(A73&amp;ROW())=B93,INDIRECT(A73&amp;ROW())=B94),1,IF(AND(INDIRECT(A73&amp;ROW())=B95,INDIRECT(A96&amp;ROW())=C93),1,IF(AND(INDIRECT(A73&amp;ROW())=B95,INDIRECT(A96&amp;ROW())=C94),1,0)))</f>
        <v>0</v>
      </c>
      <c r="J44">
        <f ca="1">IF(AND(INDIRECT(A73&amp;ROW())=B95,INDIRECT(A96&amp;ROW())=C95),1,IF(AND(INDIRECT(A73&amp;ROW())=B95,INDIRECT(A96&amp;ROW())=C96),1,0))</f>
        <v>0</v>
      </c>
      <c r="K44">
        <f ca="1">DAYS360(INDIRECT(C68&amp;ROW()),TODAY())</f>
        <v>729</v>
      </c>
      <c r="L44">
        <f ca="1">DAYS360(INDIRECT(C69&amp;ROW()),TODAY())</f>
        <v>972</v>
      </c>
      <c r="M44" s="11">
        <f ca="1">HYPERLINK(CONCATENATE("https://bugzilla.houston.hp.com:1181/bugzilla/show_bug.cgi?id=",INDIRECT(C70&amp;ROW())),INDIRECT(C70&amp;ROW()))</f>
        <v>48872</v>
      </c>
      <c r="N44">
        <v>48872</v>
      </c>
      <c r="O44" t="s">
        <v>56</v>
      </c>
      <c r="P44" t="s">
        <v>699</v>
      </c>
      <c r="Q44" t="s">
        <v>16</v>
      </c>
      <c r="R44" t="s">
        <v>251</v>
      </c>
      <c r="S44" t="s">
        <v>239</v>
      </c>
      <c r="T44" t="s">
        <v>48</v>
      </c>
      <c r="U44" s="6">
        <v>42117.403298611112</v>
      </c>
      <c r="V44" t="s">
        <v>35</v>
      </c>
      <c r="W44" t="s">
        <v>17</v>
      </c>
      <c r="X44" s="6">
        <v>41871.14303240741</v>
      </c>
      <c r="Y44" t="s">
        <v>124</v>
      </c>
      <c r="AB44" t="s">
        <v>200</v>
      </c>
      <c r="AC44" t="s">
        <v>121</v>
      </c>
      <c r="AD44" t="s">
        <v>220</v>
      </c>
      <c r="AE44" t="s">
        <v>219</v>
      </c>
      <c r="AG44" t="s">
        <v>121</v>
      </c>
      <c r="AH44" t="s">
        <v>64</v>
      </c>
      <c r="AI44" t="s">
        <v>121</v>
      </c>
      <c r="AJ44" t="s">
        <v>716</v>
      </c>
      <c r="AK44" t="s">
        <v>121</v>
      </c>
    </row>
    <row r="45" spans="1:37" x14ac:dyDescent="0.3">
      <c r="C45" s="12">
        <f ca="1">COUNTIFS(INDIRECT(A72&amp;A67):INDIRECT(A72&amp;A66),"*"&amp;A83&amp;"*",INDIRECT(A71&amp;A67):INDIRECT(A71&amp;A66),INDIRECT("e"&amp;ROW()),INDIRECT(A70&amp;A67):INDIRECT(A70&amp;A66),A82&amp;"*")</f>
        <v>0</v>
      </c>
      <c r="D45" s="12" t="str">
        <f>CONCATENATE(A83,"  core")</f>
        <v>NFS  core</v>
      </c>
      <c r="E45" s="8" t="str">
        <f t="shared" si="1"/>
        <v>Master</v>
      </c>
      <c r="I45">
        <f ca="1">IF(OR(INDIRECT(A73&amp;ROW())=B93,INDIRECT(A73&amp;ROW())=B94),1,IF(AND(INDIRECT(A73&amp;ROW())=B95,INDIRECT(A96&amp;ROW())=C93),1,IF(AND(INDIRECT(A73&amp;ROW())=B95,INDIRECT(A96&amp;ROW())=C94),1,0)))</f>
        <v>0</v>
      </c>
      <c r="J45">
        <f ca="1">IF(AND(INDIRECT(A73&amp;ROW())=B95,INDIRECT(A96&amp;ROW())=C95),1,IF(AND(INDIRECT(A73&amp;ROW())=B95,INDIRECT(A96&amp;ROW())=C96),1,0))</f>
        <v>0</v>
      </c>
      <c r="K45">
        <f ca="1">DAYS360(INDIRECT(C68&amp;ROW()),TODAY())</f>
        <v>721</v>
      </c>
      <c r="L45">
        <f ca="1">DAYS360(INDIRECT(C69&amp;ROW()),TODAY())</f>
        <v>971</v>
      </c>
      <c r="M45" s="11">
        <f ca="1">HYPERLINK(CONCATENATE("https://bugzilla.houston.hp.com:1181/bugzilla/show_bug.cgi?id=",INDIRECT(C70&amp;ROW())),INDIRECT(C70&amp;ROW()))</f>
        <v>48965</v>
      </c>
      <c r="N45">
        <v>48965</v>
      </c>
      <c r="O45" t="s">
        <v>22</v>
      </c>
      <c r="P45" t="s">
        <v>445</v>
      </c>
      <c r="Q45" t="s">
        <v>16</v>
      </c>
      <c r="R45" t="s">
        <v>251</v>
      </c>
      <c r="S45" t="s">
        <v>22</v>
      </c>
      <c r="U45" s="6">
        <v>42125.443831018521</v>
      </c>
      <c r="V45" t="s">
        <v>18</v>
      </c>
      <c r="W45" t="s">
        <v>17</v>
      </c>
      <c r="X45" s="6">
        <v>41872.448865740742</v>
      </c>
      <c r="Y45" t="s">
        <v>122</v>
      </c>
      <c r="Z45" t="s">
        <v>255</v>
      </c>
      <c r="AB45" t="s">
        <v>201</v>
      </c>
      <c r="AC45" t="s">
        <v>121</v>
      </c>
      <c r="AD45" t="s">
        <v>220</v>
      </c>
      <c r="AE45" t="s">
        <v>219</v>
      </c>
      <c r="AG45" t="s">
        <v>121</v>
      </c>
      <c r="AH45" t="s">
        <v>64</v>
      </c>
      <c r="AI45" t="s">
        <v>121</v>
      </c>
      <c r="AJ45" t="s">
        <v>717</v>
      </c>
      <c r="AK45" t="s">
        <v>121</v>
      </c>
    </row>
    <row r="46" spans="1:37" x14ac:dyDescent="0.3">
      <c r="C46" s="12">
        <f ca="1">COUNTIFS(INDIRECT(A72&amp;A67):INDIRECT(A72&amp;A66),"*"&amp;A83&amp;"*",INDIRECT(A71&amp;A67):INDIRECT(A71&amp;A66),INDIRECT("e"&amp;ROW()),INDIRECT(A70&amp;A67):INDIRECT(A70&amp;A66),A82&amp;"*")</f>
        <v>0</v>
      </c>
      <c r="D46" s="12" t="str">
        <f>CONCATENATE(A83,"  core")</f>
        <v>NFS  core</v>
      </c>
      <c r="E46" s="8" t="str">
        <f t="shared" si="1"/>
        <v>Astra-Waiver</v>
      </c>
      <c r="I46">
        <f ca="1">IF(OR(INDIRECT(A73&amp;ROW())=B93,INDIRECT(A73&amp;ROW())=B94),1,IF(AND(INDIRECT(A73&amp;ROW())=B95,INDIRECT(A96&amp;ROW())=C93),1,IF(AND(INDIRECT(A73&amp;ROW())=B95,INDIRECT(A96&amp;ROW())=C94),1,0)))</f>
        <v>0</v>
      </c>
      <c r="J46">
        <f ca="1">IF(AND(INDIRECT(A73&amp;ROW())=B95,INDIRECT(A96&amp;ROW())=C95),1,IF(AND(INDIRECT(A73&amp;ROW())=B95,INDIRECT(A96&amp;ROW())=C96),1,0))</f>
        <v>0</v>
      </c>
      <c r="K46">
        <f ca="1">DAYS360(INDIRECT(C68&amp;ROW()),TODAY())</f>
        <v>690</v>
      </c>
      <c r="L46">
        <f ca="1">DAYS360(INDIRECT(C69&amp;ROW()),TODAY())</f>
        <v>970</v>
      </c>
      <c r="M46" s="11">
        <f ca="1">HYPERLINK(CONCATENATE("https://bugzilla.houston.hp.com:1181/bugzilla/show_bug.cgi?id=",INDIRECT(C70&amp;ROW())),INDIRECT(C70&amp;ROW()))</f>
        <v>49007</v>
      </c>
      <c r="N46">
        <v>49007</v>
      </c>
      <c r="O46" t="s">
        <v>856</v>
      </c>
      <c r="P46" t="s">
        <v>423</v>
      </c>
      <c r="Q46" t="s">
        <v>16</v>
      </c>
      <c r="R46" t="s">
        <v>251</v>
      </c>
      <c r="S46" t="s">
        <v>24</v>
      </c>
      <c r="T46" t="s">
        <v>48</v>
      </c>
      <c r="U46" s="6">
        <v>42157.285729166666</v>
      </c>
      <c r="V46" t="s">
        <v>35</v>
      </c>
      <c r="W46" t="s">
        <v>17</v>
      </c>
      <c r="X46" s="6">
        <v>41873.282511574071</v>
      </c>
      <c r="Y46" t="s">
        <v>119</v>
      </c>
      <c r="AB46" t="s">
        <v>201</v>
      </c>
      <c r="AC46" t="s">
        <v>121</v>
      </c>
      <c r="AD46" t="s">
        <v>222</v>
      </c>
      <c r="AE46" t="s">
        <v>221</v>
      </c>
      <c r="AG46" t="s">
        <v>121</v>
      </c>
      <c r="AH46" t="s">
        <v>327</v>
      </c>
      <c r="AI46" t="s">
        <v>121</v>
      </c>
      <c r="AJ46" t="s">
        <v>717</v>
      </c>
      <c r="AK46" t="s">
        <v>121</v>
      </c>
    </row>
    <row r="47" spans="1:37" x14ac:dyDescent="0.3">
      <c r="C47" s="12">
        <f ca="1">COUNTIFS(INDIRECT(A72&amp;A67):INDIRECT(A72&amp;A66),"*"&amp;A83&amp;"*",INDIRECT(A71&amp;A67):INDIRECT(A71&amp;A66),INDIRECT("e"&amp;ROW()),INDIRECT(A70&amp;A67):INDIRECT(A70&amp;A66),A82&amp;"*")</f>
        <v>0</v>
      </c>
      <c r="D47" s="12" t="str">
        <f>CONCATENATE(A83,"  core")</f>
        <v>NFS  core</v>
      </c>
      <c r="E47" s="8" t="str">
        <f t="shared" si="1"/>
        <v>Astra-Maint</v>
      </c>
      <c r="I47">
        <f ca="1">IF(OR(INDIRECT(A73&amp;ROW())=B93,INDIRECT(A73&amp;ROW())=B94),1,IF(AND(INDIRECT(A73&amp;ROW())=B95,INDIRECT(A96&amp;ROW())=C93),1,IF(AND(INDIRECT(A73&amp;ROW())=B95,INDIRECT(A96&amp;ROW())=C94),1,0)))</f>
        <v>0</v>
      </c>
      <c r="J47">
        <f ca="1">IF(AND(INDIRECT(A73&amp;ROW())=B95,INDIRECT(A96&amp;ROW())=C95),1,IF(AND(INDIRECT(A73&amp;ROW())=B95,INDIRECT(A96&amp;ROW())=C96),1,0))</f>
        <v>0</v>
      </c>
      <c r="K47">
        <f ca="1">DAYS360(INDIRECT(C68&amp;ROW()),TODAY())</f>
        <v>729</v>
      </c>
      <c r="L47">
        <f ca="1">DAYS360(INDIRECT(C69&amp;ROW()),TODAY())</f>
        <v>967</v>
      </c>
      <c r="M47" s="11">
        <f ca="1">HYPERLINK(CONCATENATE("https://bugzilla.houston.hp.com:1181/bugzilla/show_bug.cgi?id=",INDIRECT(C70&amp;ROW())),INDIRECT(C70&amp;ROW()))</f>
        <v>49096</v>
      </c>
      <c r="N47">
        <v>49096</v>
      </c>
      <c r="O47" t="s">
        <v>88</v>
      </c>
      <c r="P47" t="s">
        <v>444</v>
      </c>
      <c r="Q47" t="s">
        <v>16</v>
      </c>
      <c r="R47" t="s">
        <v>251</v>
      </c>
      <c r="S47" t="s">
        <v>174</v>
      </c>
      <c r="U47" s="6">
        <v>42117.403402777774</v>
      </c>
      <c r="V47" t="s">
        <v>40</v>
      </c>
      <c r="W47" t="s">
        <v>17</v>
      </c>
      <c r="X47" s="6">
        <v>41876.589675925927</v>
      </c>
      <c r="Y47" t="s">
        <v>119</v>
      </c>
      <c r="AB47" t="s">
        <v>199</v>
      </c>
      <c r="AC47" t="s">
        <v>121</v>
      </c>
      <c r="AD47" t="s">
        <v>220</v>
      </c>
      <c r="AE47" t="s">
        <v>290</v>
      </c>
      <c r="AG47" t="s">
        <v>121</v>
      </c>
      <c r="AH47" t="s">
        <v>64</v>
      </c>
      <c r="AI47" t="s">
        <v>121</v>
      </c>
      <c r="AJ47" t="s">
        <v>716</v>
      </c>
      <c r="AK47" t="s">
        <v>121</v>
      </c>
    </row>
    <row r="48" spans="1:37" x14ac:dyDescent="0.3">
      <c r="C48" s="12">
        <f ca="1">COUNTIFS(INDIRECT(A72&amp;A67):INDIRECT(A72&amp;A66),"*"&amp;A83&amp;"*",INDIRECT(A71&amp;A67):INDIRECT(A71&amp;A66),INDIRECT("e"&amp;ROW()),INDIRECT(A70&amp;A67):INDIRECT(A70&amp;A66),A82&amp;"*")</f>
        <v>0</v>
      </c>
      <c r="D48" s="12" t="str">
        <f>CONCATENATE(A83,"  core")</f>
        <v>NFS  core</v>
      </c>
      <c r="E48" s="8" t="str">
        <f t="shared" si="1"/>
        <v>Astra-1.1.0</v>
      </c>
      <c r="I48">
        <f ca="1">IF(OR(INDIRECT(A73&amp;ROW())=B93,INDIRECT(A73&amp;ROW())=B94),1,IF(AND(INDIRECT(A73&amp;ROW())=B95,INDIRECT(A96&amp;ROW())=C93),1,IF(AND(INDIRECT(A73&amp;ROW())=B95,INDIRECT(A96&amp;ROW())=C94),1,0)))</f>
        <v>0</v>
      </c>
      <c r="J48">
        <f ca="1">IF(AND(INDIRECT(A73&amp;ROW())=B95,INDIRECT(A96&amp;ROW())=C95),1,IF(AND(INDIRECT(A73&amp;ROW())=B95,INDIRECT(A96&amp;ROW())=C96),1,0))</f>
        <v>1</v>
      </c>
      <c r="K48">
        <f ca="1">DAYS360(INDIRECT(C68&amp;ROW()),TODAY())</f>
        <v>688</v>
      </c>
      <c r="L48">
        <f ca="1">DAYS360(INDIRECT(C69&amp;ROW()),TODAY())</f>
        <v>966</v>
      </c>
      <c r="M48" s="11">
        <f ca="1">HYPERLINK(CONCATENATE("https://bugzilla.houston.hp.com:1181/bugzilla/show_bug.cgi?id=",INDIRECT(C70&amp;ROW())),INDIRECT(C70&amp;ROW()))</f>
        <v>49164</v>
      </c>
      <c r="N48">
        <v>49164</v>
      </c>
      <c r="O48" t="s">
        <v>88</v>
      </c>
      <c r="P48" t="s">
        <v>698</v>
      </c>
      <c r="Q48" t="s">
        <v>25</v>
      </c>
      <c r="R48" t="s">
        <v>251</v>
      </c>
      <c r="S48" t="s">
        <v>253</v>
      </c>
      <c r="U48" s="6">
        <v>42159.568888888891</v>
      </c>
      <c r="V48" t="s">
        <v>18</v>
      </c>
      <c r="W48" t="s">
        <v>17</v>
      </c>
      <c r="X48" s="6">
        <v>41877.634756944448</v>
      </c>
      <c r="Y48" t="s">
        <v>120</v>
      </c>
      <c r="AB48" t="s">
        <v>201</v>
      </c>
      <c r="AC48" t="s">
        <v>121</v>
      </c>
      <c r="AD48" t="s">
        <v>222</v>
      </c>
      <c r="AE48" t="s">
        <v>240</v>
      </c>
      <c r="AG48" t="s">
        <v>121</v>
      </c>
      <c r="AH48" t="s">
        <v>64</v>
      </c>
      <c r="AI48" t="s">
        <v>121</v>
      </c>
      <c r="AJ48" t="s">
        <v>716</v>
      </c>
      <c r="AK48" t="s">
        <v>121</v>
      </c>
    </row>
    <row r="49" spans="2:37" x14ac:dyDescent="0.3">
      <c r="C49">
        <f ca="1">SUM(C42:C48)</f>
        <v>0</v>
      </c>
      <c r="I49">
        <f ca="1">IF(OR(INDIRECT(A73&amp;ROW())=B93,INDIRECT(A73&amp;ROW())=B94),1,IF(AND(INDIRECT(A73&amp;ROW())=B95,INDIRECT(A96&amp;ROW())=C93),1,IF(AND(INDIRECT(A73&amp;ROW())=B95,INDIRECT(A96&amp;ROW())=C94),1,0)))</f>
        <v>1</v>
      </c>
      <c r="J49">
        <f ca="1">IF(AND(INDIRECT(A73&amp;ROW())=B95,INDIRECT(A96&amp;ROW())=C95),1,IF(AND(INDIRECT(A73&amp;ROW())=B95,INDIRECT(A96&amp;ROW())=C96),1,0))</f>
        <v>0</v>
      </c>
      <c r="K49">
        <f ca="1">DAYS360(INDIRECT(C68&amp;ROW()),TODAY())</f>
        <v>689</v>
      </c>
      <c r="L49">
        <f ca="1">DAYS360(INDIRECT(C69&amp;ROW()),TODAY())</f>
        <v>966</v>
      </c>
      <c r="M49" s="11">
        <f ca="1">HYPERLINK(CONCATENATE("https://bugzilla.houston.hp.com:1181/bugzilla/show_bug.cgi?id=",INDIRECT(C70&amp;ROW())),INDIRECT(C70&amp;ROW()))</f>
        <v>49170</v>
      </c>
      <c r="N49">
        <v>49170</v>
      </c>
      <c r="O49" t="s">
        <v>53</v>
      </c>
      <c r="P49" t="s">
        <v>697</v>
      </c>
      <c r="Q49" t="s">
        <v>39</v>
      </c>
      <c r="R49" t="s">
        <v>251</v>
      </c>
      <c r="S49" t="s">
        <v>53</v>
      </c>
      <c r="U49" s="6">
        <v>42158.118113425924</v>
      </c>
      <c r="V49" t="s">
        <v>18</v>
      </c>
      <c r="W49" t="s">
        <v>17</v>
      </c>
      <c r="X49" s="6">
        <v>41877.706018518518</v>
      </c>
      <c r="Y49" t="s">
        <v>793</v>
      </c>
      <c r="AB49" t="s">
        <v>201</v>
      </c>
      <c r="AC49" t="s">
        <v>121</v>
      </c>
      <c r="AD49" t="s">
        <v>220</v>
      </c>
      <c r="AE49" t="s">
        <v>219</v>
      </c>
      <c r="AG49" t="s">
        <v>121</v>
      </c>
      <c r="AH49" t="s">
        <v>327</v>
      </c>
      <c r="AI49" t="s">
        <v>121</v>
      </c>
      <c r="AJ49" t="s">
        <v>715</v>
      </c>
      <c r="AK49" t="s">
        <v>121</v>
      </c>
    </row>
    <row r="50" spans="2:37" x14ac:dyDescent="0.3">
      <c r="C50" s="1">
        <f ca="1">SUM(C49,C41)</f>
        <v>111</v>
      </c>
      <c r="I50">
        <f ca="1">IF(OR(INDIRECT(A73&amp;ROW())=B93,INDIRECT(A73&amp;ROW())=B94),1,IF(AND(INDIRECT(A73&amp;ROW())=B95,INDIRECT(A96&amp;ROW())=C93),1,IF(AND(INDIRECT(A73&amp;ROW())=B95,INDIRECT(A96&amp;ROW())=C94),1,0)))</f>
        <v>0</v>
      </c>
      <c r="J50">
        <f ca="1">IF(AND(INDIRECT(A73&amp;ROW())=B95,INDIRECT(A96&amp;ROW())=C95),1,IF(AND(INDIRECT(A73&amp;ROW())=B95,INDIRECT(A96&amp;ROW())=C96),1,0))</f>
        <v>0</v>
      </c>
      <c r="K50">
        <f ca="1">DAYS360(INDIRECT(C68&amp;ROW()),TODAY())</f>
        <v>728</v>
      </c>
      <c r="L50">
        <f ca="1">DAYS360(INDIRECT(C69&amp;ROW()),TODAY())</f>
        <v>965</v>
      </c>
      <c r="M50" s="11">
        <f ca="1">HYPERLINK(CONCATENATE("https://bugzilla.houston.hp.com:1181/bugzilla/show_bug.cgi?id=",INDIRECT(C70&amp;ROW())),INDIRECT(C70&amp;ROW()))</f>
        <v>49234</v>
      </c>
      <c r="N50">
        <v>49234</v>
      </c>
      <c r="O50" t="s">
        <v>56</v>
      </c>
      <c r="P50" t="s">
        <v>696</v>
      </c>
      <c r="Q50" t="s">
        <v>16</v>
      </c>
      <c r="R50" t="s">
        <v>251</v>
      </c>
      <c r="S50" t="s">
        <v>68</v>
      </c>
      <c r="U50" s="6">
        <v>42118.559942129628</v>
      </c>
      <c r="V50" t="s">
        <v>18</v>
      </c>
      <c r="W50" t="s">
        <v>17</v>
      </c>
      <c r="X50" s="6">
        <v>41878.6874537037</v>
      </c>
      <c r="Y50" t="s">
        <v>122</v>
      </c>
      <c r="AB50" t="s">
        <v>201</v>
      </c>
      <c r="AC50" t="s">
        <v>121</v>
      </c>
      <c r="AD50" t="s">
        <v>220</v>
      </c>
      <c r="AE50" t="s">
        <v>219</v>
      </c>
      <c r="AG50" t="s">
        <v>121</v>
      </c>
      <c r="AH50" t="s">
        <v>327</v>
      </c>
      <c r="AI50" t="s">
        <v>121</v>
      </c>
      <c r="AJ50" t="s">
        <v>717</v>
      </c>
      <c r="AK50" t="s">
        <v>121</v>
      </c>
    </row>
    <row r="51" spans="2:37" x14ac:dyDescent="0.3">
      <c r="I51">
        <f ca="1">IF(OR(INDIRECT(A73&amp;ROW())=B93,INDIRECT(A73&amp;ROW())=B94),1,IF(AND(INDIRECT(A73&amp;ROW())=B95,INDIRECT(A96&amp;ROW())=C93),1,IF(AND(INDIRECT(A73&amp;ROW())=B95,INDIRECT(A96&amp;ROW())=C94),1,0)))</f>
        <v>0</v>
      </c>
      <c r="J51">
        <f ca="1">IF(AND(INDIRECT(A73&amp;ROW())=B95,INDIRECT(A96&amp;ROW())=C95),1,IF(AND(INDIRECT(A73&amp;ROW())=B95,INDIRECT(A96&amp;ROW())=C96),1,0))</f>
        <v>0</v>
      </c>
      <c r="K51">
        <f ca="1">DAYS360(INDIRECT(C68&amp;ROW()),TODAY())</f>
        <v>721</v>
      </c>
      <c r="L51">
        <f ca="1">DAYS360(INDIRECT(C69&amp;ROW()),TODAY())</f>
        <v>964</v>
      </c>
      <c r="M51" s="11">
        <f ca="1">HYPERLINK(CONCATENATE("https://bugzilla.houston.hp.com:1181/bugzilla/show_bug.cgi?id=",INDIRECT(C70&amp;ROW())),INDIRECT(C70&amp;ROW()))</f>
        <v>49291</v>
      </c>
      <c r="N51">
        <v>49291</v>
      </c>
      <c r="O51" t="s">
        <v>88</v>
      </c>
      <c r="P51" t="s">
        <v>443</v>
      </c>
      <c r="Q51" t="s">
        <v>16</v>
      </c>
      <c r="R51" t="s">
        <v>251</v>
      </c>
      <c r="S51" t="s">
        <v>294</v>
      </c>
      <c r="U51" s="6">
        <v>42125.445208333331</v>
      </c>
      <c r="V51" t="s">
        <v>18</v>
      </c>
      <c r="W51" t="s">
        <v>17</v>
      </c>
      <c r="X51" s="6">
        <v>41879.510150462964</v>
      </c>
      <c r="Y51" t="s">
        <v>122</v>
      </c>
      <c r="AB51" t="s">
        <v>200</v>
      </c>
      <c r="AC51" t="s">
        <v>121</v>
      </c>
      <c r="AD51" t="s">
        <v>222</v>
      </c>
      <c r="AE51" t="s">
        <v>221</v>
      </c>
      <c r="AG51" t="s">
        <v>121</v>
      </c>
      <c r="AH51" t="s">
        <v>64</v>
      </c>
      <c r="AI51" t="s">
        <v>121</v>
      </c>
      <c r="AJ51" t="s">
        <v>716</v>
      </c>
      <c r="AK51" t="s">
        <v>121</v>
      </c>
    </row>
    <row r="52" spans="2:37" x14ac:dyDescent="0.3">
      <c r="B52" t="s">
        <v>93</v>
      </c>
      <c r="E52" t="s">
        <v>92</v>
      </c>
      <c r="I52">
        <f ca="1">IF(OR(INDIRECT(A73&amp;ROW())=B93,INDIRECT(A73&amp;ROW())=B94),1,IF(AND(INDIRECT(A73&amp;ROW())=B95,INDIRECT(A96&amp;ROW())=C93),1,IF(AND(INDIRECT(A73&amp;ROW())=B95,INDIRECT(A96&amp;ROW())=C94),1,0)))</f>
        <v>0</v>
      </c>
      <c r="J52">
        <f ca="1">IF(AND(INDIRECT(A73&amp;ROW())=B95,INDIRECT(A96&amp;ROW())=C95),1,IF(AND(INDIRECT(A73&amp;ROW())=B95,INDIRECT(A96&amp;ROW())=C96),1,0))</f>
        <v>0</v>
      </c>
      <c r="K52">
        <f ca="1">DAYS360(INDIRECT(C68&amp;ROW()),TODAY())</f>
        <v>721</v>
      </c>
      <c r="L52">
        <f ca="1">DAYS360(INDIRECT(C69&amp;ROW()),TODAY())</f>
        <v>964</v>
      </c>
      <c r="M52" s="11">
        <f ca="1">HYPERLINK(CONCATENATE("https://bugzilla.houston.hp.com:1181/bugzilla/show_bug.cgi?id=",INDIRECT(C70&amp;ROW())),INDIRECT(C70&amp;ROW()))</f>
        <v>49317</v>
      </c>
      <c r="N52">
        <v>49317</v>
      </c>
      <c r="O52" t="s">
        <v>22</v>
      </c>
      <c r="P52" t="s">
        <v>442</v>
      </c>
      <c r="Q52" t="s">
        <v>16</v>
      </c>
      <c r="R52" t="s">
        <v>251</v>
      </c>
      <c r="S52" t="s">
        <v>65</v>
      </c>
      <c r="U52" s="6">
        <v>42125.4452662037</v>
      </c>
      <c r="V52" t="s">
        <v>18</v>
      </c>
      <c r="W52" t="s">
        <v>17</v>
      </c>
      <c r="X52" s="6">
        <v>41879.637557870374</v>
      </c>
      <c r="Y52" t="s">
        <v>122</v>
      </c>
      <c r="AB52" t="s">
        <v>200</v>
      </c>
      <c r="AC52" t="s">
        <v>121</v>
      </c>
      <c r="AD52" t="s">
        <v>220</v>
      </c>
      <c r="AE52" t="s">
        <v>223</v>
      </c>
      <c r="AG52" t="s">
        <v>121</v>
      </c>
      <c r="AH52" t="s">
        <v>64</v>
      </c>
      <c r="AI52" t="s">
        <v>121</v>
      </c>
      <c r="AJ52" t="s">
        <v>716</v>
      </c>
      <c r="AK52" t="s">
        <v>121</v>
      </c>
    </row>
    <row r="53" spans="2:37" x14ac:dyDescent="0.3">
      <c r="B53">
        <f ca="1">COUNTIFS(INDIRECT(A74&amp;A67):INDIRECT(A74&amp;A66),  "&lt;30")</f>
        <v>0</v>
      </c>
      <c r="C53" t="s">
        <v>80</v>
      </c>
      <c r="E53">
        <f ca="1">COUNTIFS(INDIRECT(A75&amp;A67):INDIRECT(A75&amp;A66),  "&lt;30")</f>
        <v>0</v>
      </c>
      <c r="I53">
        <f ca="1">IF(OR(INDIRECT(A73&amp;ROW())=B93,INDIRECT(A73&amp;ROW())=B94),1,IF(AND(INDIRECT(A73&amp;ROW())=B95,INDIRECT(A96&amp;ROW())=C93),1,IF(AND(INDIRECT(A73&amp;ROW())=B95,INDIRECT(A96&amp;ROW())=C94),1,0)))</f>
        <v>0</v>
      </c>
      <c r="J53">
        <f ca="1">IF(AND(INDIRECT(A73&amp;ROW())=B95,INDIRECT(A96&amp;ROW())=C95),1,IF(AND(INDIRECT(A73&amp;ROW())=B95,INDIRECT(A96&amp;ROW())=C96),1,0))</f>
        <v>0</v>
      </c>
      <c r="K53">
        <f ca="1">DAYS360(INDIRECT(C68&amp;ROW()),TODAY())</f>
        <v>721</v>
      </c>
      <c r="L53">
        <f ca="1">DAYS360(INDIRECT(C69&amp;ROW()),TODAY())</f>
        <v>964</v>
      </c>
      <c r="M53" s="11">
        <f ca="1">HYPERLINK(CONCATENATE("https://bugzilla.houston.hp.com:1181/bugzilla/show_bug.cgi?id=",INDIRECT(C70&amp;ROW())),INDIRECT(C70&amp;ROW()))</f>
        <v>49327</v>
      </c>
      <c r="N53">
        <v>49327</v>
      </c>
      <c r="O53" t="s">
        <v>49</v>
      </c>
      <c r="P53" t="s">
        <v>441</v>
      </c>
      <c r="Q53" t="s">
        <v>16</v>
      </c>
      <c r="R53" t="s">
        <v>251</v>
      </c>
      <c r="S53" t="s">
        <v>294</v>
      </c>
      <c r="U53" s="6">
        <v>42125.445185185185</v>
      </c>
      <c r="V53" t="s">
        <v>18</v>
      </c>
      <c r="W53" t="s">
        <v>17</v>
      </c>
      <c r="X53" s="6">
        <v>41879.789236111108</v>
      </c>
      <c r="Y53" t="s">
        <v>122</v>
      </c>
      <c r="AB53" t="s">
        <v>200</v>
      </c>
      <c r="AC53" t="s">
        <v>121</v>
      </c>
      <c r="AD53" t="s">
        <v>222</v>
      </c>
      <c r="AE53" t="s">
        <v>221</v>
      </c>
      <c r="AG53" t="s">
        <v>121</v>
      </c>
      <c r="AH53" t="s">
        <v>64</v>
      </c>
      <c r="AI53" t="s">
        <v>121</v>
      </c>
      <c r="AJ53" t="s">
        <v>716</v>
      </c>
      <c r="AK53" t="s">
        <v>121</v>
      </c>
    </row>
    <row r="54" spans="2:37" x14ac:dyDescent="0.3">
      <c r="B54">
        <f ca="1">COUNTIFS(INDIRECT(A74&amp;A67):INDIRECT(A74&amp;A66),  "&gt;=30", INDIRECT(A74&amp;A67):INDIRECT(A74&amp;A66),"&lt;60")</f>
        <v>0</v>
      </c>
      <c r="C54" t="s">
        <v>81</v>
      </c>
      <c r="E54">
        <f ca="1">COUNTIFS(INDIRECT(A75&amp;A67):INDIRECT(A75&amp;A66),  "&gt;=30", INDIRECT(A75&amp;A67):INDIRECT(A75&amp;A66),"&lt;60")</f>
        <v>0</v>
      </c>
      <c r="I54">
        <f ca="1">IF(OR(INDIRECT(A73&amp;ROW())=B93,INDIRECT(A73&amp;ROW())=B94),1,IF(AND(INDIRECT(A73&amp;ROW())=B95,INDIRECT(A96&amp;ROW())=C93),1,IF(AND(INDIRECT(A73&amp;ROW())=B95,INDIRECT(A96&amp;ROW())=C94),1,0)))</f>
        <v>0</v>
      </c>
      <c r="J54">
        <f ca="1">IF(AND(INDIRECT(A73&amp;ROW())=B95,INDIRECT(A96&amp;ROW())=C95),1,IF(AND(INDIRECT(A73&amp;ROW())=B95,INDIRECT(A96&amp;ROW())=C96),1,0))</f>
        <v>0</v>
      </c>
      <c r="K54">
        <f ca="1">DAYS360(INDIRECT(C68&amp;ROW()),TODAY())</f>
        <v>721</v>
      </c>
      <c r="L54">
        <f ca="1">DAYS360(INDIRECT(C69&amp;ROW()),TODAY())</f>
        <v>964</v>
      </c>
      <c r="M54" s="11">
        <f ca="1">HYPERLINK(CONCATENATE("https://bugzilla.houston.hp.com:1181/bugzilla/show_bug.cgi?id=",INDIRECT(C70&amp;ROW())),INDIRECT(C70&amp;ROW()))</f>
        <v>49328</v>
      </c>
      <c r="N54">
        <v>49328</v>
      </c>
      <c r="O54" t="s">
        <v>49</v>
      </c>
      <c r="P54" t="s">
        <v>440</v>
      </c>
      <c r="Q54" t="s">
        <v>16</v>
      </c>
      <c r="R54" t="s">
        <v>251</v>
      </c>
      <c r="S54" t="s">
        <v>294</v>
      </c>
      <c r="U54" s="6">
        <v>42125.445104166669</v>
      </c>
      <c r="V54" t="s">
        <v>35</v>
      </c>
      <c r="W54" t="s">
        <v>17</v>
      </c>
      <c r="X54" s="6">
        <v>41879.801539351851</v>
      </c>
      <c r="Y54" t="s">
        <v>122</v>
      </c>
      <c r="AB54" t="s">
        <v>200</v>
      </c>
      <c r="AC54" t="s">
        <v>121</v>
      </c>
      <c r="AD54" t="s">
        <v>222</v>
      </c>
      <c r="AE54" t="s">
        <v>221</v>
      </c>
      <c r="AG54" t="s">
        <v>121</v>
      </c>
      <c r="AH54" t="s">
        <v>64</v>
      </c>
      <c r="AI54" t="s">
        <v>121</v>
      </c>
      <c r="AJ54" t="s">
        <v>716</v>
      </c>
      <c r="AK54" t="s">
        <v>121</v>
      </c>
    </row>
    <row r="55" spans="2:37" x14ac:dyDescent="0.3">
      <c r="B55">
        <f ca="1">COUNTIFS(INDIRECT(A74&amp;A67):INDIRECT(A74&amp;A66),  "&gt;=60", INDIRECT(A74&amp;A67):INDIRECT(A74&amp;A66),"&lt;90")</f>
        <v>0</v>
      </c>
      <c r="C55" t="s">
        <v>82</v>
      </c>
      <c r="E55">
        <f ca="1">COUNTIFS(INDIRECT(A75&amp;A67):INDIRECT(A75&amp;A66),  "&gt;=60", INDIRECT(A75&amp;A67):INDIRECT(A75&amp;A66),"&lt;90")</f>
        <v>0</v>
      </c>
      <c r="I55">
        <f ca="1">IF(OR(INDIRECT(A73&amp;ROW())=B93,INDIRECT(A73&amp;ROW())=B94),1,IF(AND(INDIRECT(A73&amp;ROW())=B95,INDIRECT(A96&amp;ROW())=C93),1,IF(AND(INDIRECT(A73&amp;ROW())=B95,INDIRECT(A96&amp;ROW())=C94),1,0)))</f>
        <v>0</v>
      </c>
      <c r="J55">
        <f ca="1">IF(AND(INDIRECT(A73&amp;ROW())=B95,INDIRECT(A96&amp;ROW())=C95),1,IF(AND(INDIRECT(A73&amp;ROW())=B95,INDIRECT(A96&amp;ROW())=C96),1,0))</f>
        <v>0</v>
      </c>
      <c r="K55">
        <f ca="1">DAYS360(INDIRECT(C68&amp;ROW()),TODAY())</f>
        <v>721</v>
      </c>
      <c r="L55">
        <f ca="1">DAYS360(INDIRECT(C69&amp;ROW()),TODAY())</f>
        <v>964</v>
      </c>
      <c r="M55" s="11">
        <f ca="1">HYPERLINK(CONCATENATE("https://bugzilla.houston.hp.com:1181/bugzilla/show_bug.cgi?id=",INDIRECT(C70&amp;ROW())),INDIRECT(C70&amp;ROW()))</f>
        <v>49329</v>
      </c>
      <c r="N55">
        <v>49329</v>
      </c>
      <c r="O55" t="s">
        <v>49</v>
      </c>
      <c r="P55" t="s">
        <v>439</v>
      </c>
      <c r="Q55" t="s">
        <v>16</v>
      </c>
      <c r="R55" t="s">
        <v>251</v>
      </c>
      <c r="S55" t="s">
        <v>294</v>
      </c>
      <c r="U55" s="6">
        <v>42125.445243055554</v>
      </c>
      <c r="V55" t="s">
        <v>40</v>
      </c>
      <c r="W55" t="s">
        <v>17</v>
      </c>
      <c r="X55" s="6">
        <v>41879.824189814812</v>
      </c>
      <c r="Y55" t="s">
        <v>122</v>
      </c>
      <c r="AB55" t="s">
        <v>200</v>
      </c>
      <c r="AC55" t="s">
        <v>121</v>
      </c>
      <c r="AD55" t="s">
        <v>222</v>
      </c>
      <c r="AE55" t="s">
        <v>221</v>
      </c>
      <c r="AG55" t="s">
        <v>121</v>
      </c>
      <c r="AH55" t="s">
        <v>327</v>
      </c>
      <c r="AI55" t="s">
        <v>121</v>
      </c>
      <c r="AJ55" t="s">
        <v>716</v>
      </c>
      <c r="AK55" t="s">
        <v>121</v>
      </c>
    </row>
    <row r="56" spans="2:37" x14ac:dyDescent="0.3">
      <c r="B56">
        <f ca="1">COUNTIFS(INDIRECT(A74&amp;A67):INDIRECT(A74&amp;A66),  "&gt;=90", INDIRECT(A74&amp;A67):INDIRECT(A74&amp;A66),"&lt;120")</f>
        <v>0</v>
      </c>
      <c r="C56" t="s">
        <v>83</v>
      </c>
      <c r="E56">
        <f ca="1">COUNTIFS(INDIRECT(A75&amp;A67):INDIRECT(A75&amp;A66),  "&gt;=90", INDIRECT(A75&amp;A67):INDIRECT(A75&amp;A66),"&lt;120")</f>
        <v>0</v>
      </c>
      <c r="I56">
        <f ca="1">IF(OR(INDIRECT(A73&amp;ROW())=B93,INDIRECT(A73&amp;ROW())=B94),1,IF(AND(INDIRECT(A73&amp;ROW())=B95,INDIRECT(A96&amp;ROW())=C93),1,IF(AND(INDIRECT(A73&amp;ROW())=B95,INDIRECT(A96&amp;ROW())=C94),1,0)))</f>
        <v>0</v>
      </c>
      <c r="J56">
        <f ca="1">IF(AND(INDIRECT(A73&amp;ROW())=B95,INDIRECT(A96&amp;ROW())=C95),1,IF(AND(INDIRECT(A73&amp;ROW())=B95,INDIRECT(A96&amp;ROW())=C96),1,0))</f>
        <v>0</v>
      </c>
      <c r="K56">
        <f ca="1">DAYS360(INDIRECT(C68&amp;ROW()),TODAY())</f>
        <v>721</v>
      </c>
      <c r="L56">
        <f ca="1">DAYS360(INDIRECT(C69&amp;ROW()),TODAY())</f>
        <v>964</v>
      </c>
      <c r="M56" s="11">
        <f ca="1">HYPERLINK(CONCATENATE("https://bugzilla.houston.hp.com:1181/bugzilla/show_bug.cgi?id=",INDIRECT(C70&amp;ROW())),INDIRECT(C70&amp;ROW()))</f>
        <v>49330</v>
      </c>
      <c r="N56">
        <v>49330</v>
      </c>
      <c r="O56" t="s">
        <v>49</v>
      </c>
      <c r="P56" t="s">
        <v>438</v>
      </c>
      <c r="Q56" t="s">
        <v>16</v>
      </c>
      <c r="R56" t="s">
        <v>251</v>
      </c>
      <c r="S56" t="s">
        <v>294</v>
      </c>
      <c r="U56" s="6">
        <v>42125.445231481484</v>
      </c>
      <c r="V56" t="s">
        <v>18</v>
      </c>
      <c r="W56" t="s">
        <v>17</v>
      </c>
      <c r="X56" s="6">
        <v>41879.830439814818</v>
      </c>
      <c r="Y56" t="s">
        <v>122</v>
      </c>
      <c r="AB56" t="s">
        <v>200</v>
      </c>
      <c r="AC56" t="s">
        <v>121</v>
      </c>
      <c r="AD56" t="s">
        <v>222</v>
      </c>
      <c r="AE56" t="s">
        <v>221</v>
      </c>
      <c r="AG56" t="s">
        <v>121</v>
      </c>
      <c r="AH56" t="s">
        <v>327</v>
      </c>
      <c r="AI56" t="s">
        <v>121</v>
      </c>
      <c r="AJ56" t="s">
        <v>716</v>
      </c>
      <c r="AK56" t="s">
        <v>121</v>
      </c>
    </row>
    <row r="57" spans="2:37" x14ac:dyDescent="0.3">
      <c r="B57">
        <f ca="1">COUNTIFS(INDIRECT(A74&amp;A67):INDIRECT(A74&amp;A66),  "&gt;=120", INDIRECT(A74&amp;A67):INDIRECT(A74&amp;A66),"&lt;150")</f>
        <v>0</v>
      </c>
      <c r="C57" t="s">
        <v>84</v>
      </c>
      <c r="E57">
        <f ca="1">COUNTIFS(INDIRECT(A75&amp;A67):INDIRECT(A75&amp;A66),  "&gt;=120", INDIRECT(A75&amp;A67):INDIRECT(A75&amp;A66),"&lt;150")</f>
        <v>0</v>
      </c>
      <c r="I57">
        <f ca="1">IF(OR(INDIRECT(A73&amp;ROW())=B93,INDIRECT(A73&amp;ROW())=B94),1,IF(AND(INDIRECT(A73&amp;ROW())=B95,INDIRECT(A96&amp;ROW())=C93),1,IF(AND(INDIRECT(A73&amp;ROW())=B95,INDIRECT(A96&amp;ROW())=C94),1,0)))</f>
        <v>0</v>
      </c>
      <c r="J57">
        <f ca="1">IF(AND(INDIRECT(A73&amp;ROW())=B95,INDIRECT(A96&amp;ROW())=C95),1,IF(AND(INDIRECT(A73&amp;ROW())=B95,INDIRECT(A96&amp;ROW())=C96),1,0))</f>
        <v>0</v>
      </c>
      <c r="K57">
        <f ca="1">DAYS360(INDIRECT(C68&amp;ROW()),TODAY())</f>
        <v>721</v>
      </c>
      <c r="L57">
        <f ca="1">DAYS360(INDIRECT(C69&amp;ROW()),TODAY())</f>
        <v>964</v>
      </c>
      <c r="M57" s="11">
        <f ca="1">HYPERLINK(CONCATENATE("https://bugzilla.houston.hp.com:1181/bugzilla/show_bug.cgi?id=",INDIRECT(C70&amp;ROW())),INDIRECT(C70&amp;ROW()))</f>
        <v>49332</v>
      </c>
      <c r="N57">
        <v>49332</v>
      </c>
      <c r="O57" t="s">
        <v>49</v>
      </c>
      <c r="P57" t="s">
        <v>437</v>
      </c>
      <c r="Q57" t="s">
        <v>16</v>
      </c>
      <c r="R57" t="s">
        <v>251</v>
      </c>
      <c r="S57" t="s">
        <v>294</v>
      </c>
      <c r="U57" s="6">
        <v>42125.445173611108</v>
      </c>
      <c r="V57" t="s">
        <v>18</v>
      </c>
      <c r="W57" t="s">
        <v>17</v>
      </c>
      <c r="X57" s="6">
        <v>41879.843773148146</v>
      </c>
      <c r="Y57" t="s">
        <v>122</v>
      </c>
      <c r="AB57" t="s">
        <v>200</v>
      </c>
      <c r="AC57" t="s">
        <v>121</v>
      </c>
      <c r="AD57" t="s">
        <v>222</v>
      </c>
      <c r="AE57" t="s">
        <v>221</v>
      </c>
      <c r="AG57" t="s">
        <v>121</v>
      </c>
      <c r="AH57" t="s">
        <v>327</v>
      </c>
      <c r="AI57" t="s">
        <v>121</v>
      </c>
      <c r="AJ57" t="s">
        <v>716</v>
      </c>
      <c r="AK57" t="s">
        <v>121</v>
      </c>
    </row>
    <row r="58" spans="2:37" x14ac:dyDescent="0.3">
      <c r="B58">
        <f ca="1">COUNTIFS(INDIRECT(A74&amp;A67):INDIRECT(A74&amp;A66),  "&gt;=150")</f>
        <v>689</v>
      </c>
      <c r="C58" t="s">
        <v>85</v>
      </c>
      <c r="E58">
        <f ca="1">COUNTIFS(INDIRECT(A75&amp;A67):INDIRECT(A75&amp;A66),  "&gt;=150")</f>
        <v>689</v>
      </c>
      <c r="I58">
        <f ca="1">IF(OR(INDIRECT(A73&amp;ROW())=B93,INDIRECT(A73&amp;ROW())=B94),1,IF(AND(INDIRECT(A73&amp;ROW())=B95,INDIRECT(A96&amp;ROW())=C93),1,IF(AND(INDIRECT(A73&amp;ROW())=B95,INDIRECT(A96&amp;ROW())=C94),1,0)))</f>
        <v>0</v>
      </c>
      <c r="J58">
        <f ca="1">IF(AND(INDIRECT(A73&amp;ROW())=B95,INDIRECT(A96&amp;ROW())=C95),1,IF(AND(INDIRECT(A73&amp;ROW())=B95,INDIRECT(A96&amp;ROW())=C96),1,0))</f>
        <v>0</v>
      </c>
      <c r="K58">
        <f ca="1">DAYS360(INDIRECT(C68&amp;ROW()),TODAY())</f>
        <v>721</v>
      </c>
      <c r="L58">
        <f ca="1">DAYS360(INDIRECT(C69&amp;ROW()),TODAY())</f>
        <v>961</v>
      </c>
      <c r="M58" s="11">
        <f ca="1">HYPERLINK(CONCATENATE("https://bugzilla.houston.hp.com:1181/bugzilla/show_bug.cgi?id=",INDIRECT(C70&amp;ROW())),INDIRECT(C70&amp;ROW()))</f>
        <v>49412</v>
      </c>
      <c r="N58">
        <v>49412</v>
      </c>
      <c r="O58" t="s">
        <v>53</v>
      </c>
      <c r="P58" t="s">
        <v>695</v>
      </c>
      <c r="Q58" t="s">
        <v>16</v>
      </c>
      <c r="R58" t="s">
        <v>251</v>
      </c>
      <c r="S58" t="s">
        <v>43</v>
      </c>
      <c r="U58" s="6">
        <v>42125.445277777777</v>
      </c>
      <c r="V58" t="s">
        <v>18</v>
      </c>
      <c r="W58" t="s">
        <v>17</v>
      </c>
      <c r="X58" s="6">
        <v>41883.474710648145</v>
      </c>
      <c r="Y58" t="s">
        <v>122</v>
      </c>
      <c r="AB58" t="s">
        <v>200</v>
      </c>
      <c r="AC58" t="s">
        <v>121</v>
      </c>
      <c r="AD58" t="s">
        <v>220</v>
      </c>
      <c r="AE58" t="s">
        <v>219</v>
      </c>
      <c r="AG58" t="s">
        <v>121</v>
      </c>
      <c r="AH58" t="s">
        <v>327</v>
      </c>
      <c r="AI58" t="s">
        <v>121</v>
      </c>
      <c r="AJ58" t="s">
        <v>716</v>
      </c>
      <c r="AK58" t="s">
        <v>121</v>
      </c>
    </row>
    <row r="59" spans="2:37" x14ac:dyDescent="0.3">
      <c r="B59">
        <f ca="1">SUM(B53:B58)</f>
        <v>689</v>
      </c>
      <c r="E59">
        <f ca="1">SUM(E53:E58)</f>
        <v>689</v>
      </c>
      <c r="I59">
        <f ca="1">IF(OR(INDIRECT(A73&amp;ROW())=B93,INDIRECT(A73&amp;ROW())=B94),1,IF(AND(INDIRECT(A73&amp;ROW())=B95,INDIRECT(A96&amp;ROW())=C93),1,IF(AND(INDIRECT(A73&amp;ROW())=B95,INDIRECT(A96&amp;ROW())=C94),1,0)))</f>
        <v>0</v>
      </c>
      <c r="J59">
        <f ca="1">IF(AND(INDIRECT(A73&amp;ROW())=B95,INDIRECT(A96&amp;ROW())=C95),1,IF(AND(INDIRECT(A73&amp;ROW())=B95,INDIRECT(A96&amp;ROW())=C96),1,0))</f>
        <v>0</v>
      </c>
      <c r="K59">
        <f ca="1">DAYS360(INDIRECT(C68&amp;ROW()),TODAY())</f>
        <v>721</v>
      </c>
      <c r="L59">
        <f ca="1">DAYS360(INDIRECT(C69&amp;ROW()),TODAY())</f>
        <v>959</v>
      </c>
      <c r="M59" s="11">
        <f ca="1">HYPERLINK(CONCATENATE("https://bugzilla.houston.hp.com:1181/bugzilla/show_bug.cgi?id=",INDIRECT(C70&amp;ROW())),INDIRECT(C70&amp;ROW()))</f>
        <v>49537</v>
      </c>
      <c r="N59">
        <v>49537</v>
      </c>
      <c r="O59" t="s">
        <v>22</v>
      </c>
      <c r="P59" t="s">
        <v>694</v>
      </c>
      <c r="Q59" t="s">
        <v>16</v>
      </c>
      <c r="R59" t="s">
        <v>251</v>
      </c>
      <c r="S59" t="s">
        <v>21</v>
      </c>
      <c r="U59" s="6">
        <v>42125.445138888892</v>
      </c>
      <c r="V59" t="s">
        <v>18</v>
      </c>
      <c r="W59" t="s">
        <v>17</v>
      </c>
      <c r="X59" s="6">
        <v>41885.440613425926</v>
      </c>
      <c r="Y59" t="s">
        <v>122</v>
      </c>
      <c r="AB59" t="s">
        <v>200</v>
      </c>
      <c r="AC59" t="s">
        <v>121</v>
      </c>
      <c r="AD59" t="s">
        <v>227</v>
      </c>
      <c r="AE59" t="s">
        <v>226</v>
      </c>
      <c r="AG59" t="s">
        <v>121</v>
      </c>
      <c r="AH59" t="s">
        <v>64</v>
      </c>
      <c r="AI59" t="s">
        <v>121</v>
      </c>
      <c r="AJ59" t="s">
        <v>716</v>
      </c>
      <c r="AK59" t="s">
        <v>121</v>
      </c>
    </row>
    <row r="60" spans="2:37" x14ac:dyDescent="0.3">
      <c r="I60">
        <f ca="1">IF(OR(INDIRECT(A73&amp;ROW())=B93,INDIRECT(A73&amp;ROW())=B94),1,IF(AND(INDIRECT(A73&amp;ROW())=B95,INDIRECT(A96&amp;ROW())=C93),1,IF(AND(INDIRECT(A73&amp;ROW())=B95,INDIRECT(A96&amp;ROW())=C94),1,0)))</f>
        <v>0</v>
      </c>
      <c r="J60">
        <f ca="1">IF(AND(INDIRECT(A73&amp;ROW())=B95,INDIRECT(A96&amp;ROW())=C95),1,IF(AND(INDIRECT(A73&amp;ROW())=B95,INDIRECT(A96&amp;ROW())=C96),1,0))</f>
        <v>0</v>
      </c>
      <c r="K60">
        <f ca="1">DAYS360(INDIRECT(C68&amp;ROW()),TODAY())</f>
        <v>721</v>
      </c>
      <c r="L60">
        <f ca="1">DAYS360(INDIRECT(C69&amp;ROW()),TODAY())</f>
        <v>954</v>
      </c>
      <c r="M60" s="11">
        <f ca="1">HYPERLINK(CONCATENATE("https://bugzilla.houston.hp.com:1181/bugzilla/show_bug.cgi?id=",INDIRECT(C70&amp;ROW())),INDIRECT(C70&amp;ROW()))</f>
        <v>49712</v>
      </c>
      <c r="N60">
        <v>49712</v>
      </c>
      <c r="O60" t="s">
        <v>88</v>
      </c>
      <c r="P60" t="s">
        <v>693</v>
      </c>
      <c r="Q60" t="s">
        <v>16</v>
      </c>
      <c r="R60" t="s">
        <v>251</v>
      </c>
      <c r="S60" t="s">
        <v>315</v>
      </c>
      <c r="U60" s="6">
        <v>42125.446435185186</v>
      </c>
      <c r="V60" t="s">
        <v>18</v>
      </c>
      <c r="W60" t="s">
        <v>17</v>
      </c>
      <c r="X60" s="6">
        <v>41890.225023148145</v>
      </c>
      <c r="Y60" t="s">
        <v>122</v>
      </c>
      <c r="AA60" t="s">
        <v>184</v>
      </c>
      <c r="AB60" t="s">
        <v>200</v>
      </c>
      <c r="AC60" t="s">
        <v>121</v>
      </c>
      <c r="AD60" t="s">
        <v>220</v>
      </c>
      <c r="AE60" t="s">
        <v>219</v>
      </c>
      <c r="AG60" t="s">
        <v>121</v>
      </c>
      <c r="AH60" t="s">
        <v>64</v>
      </c>
      <c r="AI60" t="s">
        <v>121</v>
      </c>
      <c r="AJ60" t="s">
        <v>716</v>
      </c>
      <c r="AK60" t="s">
        <v>121</v>
      </c>
    </row>
    <row r="61" spans="2:37" x14ac:dyDescent="0.3">
      <c r="B61" s="14">
        <f ca="1">AVERAGE(INDIRECT(A74&amp;A67):INDIRECT(A74&amp;A66))</f>
        <v>723.63134978229323</v>
      </c>
      <c r="C61" t="s">
        <v>91</v>
      </c>
      <c r="E61" s="14">
        <f ca="1">AVERAGE(INDIRECT(A75&amp;A67):INDIRECT(A75&amp;A66))</f>
        <v>808.18432510885339</v>
      </c>
      <c r="I61">
        <f ca="1">IF(OR(INDIRECT(A73&amp;ROW())=B93,INDIRECT(A73&amp;ROW())=B94),1,IF(AND(INDIRECT(A73&amp;ROW())=B95,INDIRECT(A96&amp;ROW())=C93),1,IF(AND(INDIRECT(A73&amp;ROW())=B95,INDIRECT(A96&amp;ROW())=C94),1,0)))</f>
        <v>0</v>
      </c>
      <c r="J61">
        <f ca="1">IF(AND(INDIRECT(A73&amp;ROW())=B95,INDIRECT(A96&amp;ROW())=C95),1,IF(AND(INDIRECT(A73&amp;ROW())=B95,INDIRECT(A96&amp;ROW())=C96),1,0))</f>
        <v>0</v>
      </c>
      <c r="K61">
        <f ca="1">DAYS360(INDIRECT(C68&amp;ROW()),TODAY())</f>
        <v>721</v>
      </c>
      <c r="L61">
        <f ca="1">DAYS360(INDIRECT(C69&amp;ROW()),TODAY())</f>
        <v>954</v>
      </c>
      <c r="M61" s="11">
        <f ca="1">HYPERLINK(CONCATENATE("https://bugzilla.houston.hp.com:1181/bugzilla/show_bug.cgi?id=",INDIRECT(C70&amp;ROW())),INDIRECT(C70&amp;ROW()))</f>
        <v>49732</v>
      </c>
      <c r="N61">
        <v>49732</v>
      </c>
      <c r="O61" t="s">
        <v>45</v>
      </c>
      <c r="P61" t="s">
        <v>474</v>
      </c>
      <c r="Q61" t="s">
        <v>16</v>
      </c>
      <c r="R61" t="s">
        <v>251</v>
      </c>
      <c r="S61" t="s">
        <v>191</v>
      </c>
      <c r="U61" s="6">
        <v>42125.649328703701</v>
      </c>
      <c r="V61" t="s">
        <v>35</v>
      </c>
      <c r="W61" t="s">
        <v>17</v>
      </c>
      <c r="X61" s="6">
        <v>41890.332835648151</v>
      </c>
      <c r="Y61" t="s">
        <v>245</v>
      </c>
      <c r="Z61" t="s">
        <v>245</v>
      </c>
      <c r="AB61" t="s">
        <v>201</v>
      </c>
      <c r="AC61" t="s">
        <v>121</v>
      </c>
      <c r="AD61" t="s">
        <v>227</v>
      </c>
      <c r="AE61" t="s">
        <v>231</v>
      </c>
      <c r="AG61" t="s">
        <v>121</v>
      </c>
      <c r="AH61" t="s">
        <v>327</v>
      </c>
      <c r="AI61" t="s">
        <v>121</v>
      </c>
      <c r="AJ61" t="s">
        <v>717</v>
      </c>
      <c r="AK61" t="s">
        <v>121</v>
      </c>
    </row>
    <row r="62" spans="2:37" x14ac:dyDescent="0.3">
      <c r="I62">
        <f ca="1">IF(OR(INDIRECT(A73&amp;ROW())=B93,INDIRECT(A73&amp;ROW())=B94),1,IF(AND(INDIRECT(A73&amp;ROW())=B95,INDIRECT(A96&amp;ROW())=C93),1,IF(AND(INDIRECT(A73&amp;ROW())=B95,INDIRECT(A96&amp;ROW())=C94),1,0)))</f>
        <v>0</v>
      </c>
      <c r="J62">
        <f ca="1">IF(AND(INDIRECT(A73&amp;ROW())=B95,INDIRECT(A96&amp;ROW())=C95),1,IF(AND(INDIRECT(A73&amp;ROW())=B95,INDIRECT(A96&amp;ROW())=C96),1,0))</f>
        <v>1</v>
      </c>
      <c r="K62">
        <f ca="1">DAYS360(INDIRECT(C68&amp;ROW()),TODAY())</f>
        <v>730</v>
      </c>
      <c r="L62">
        <f ca="1">DAYS360(INDIRECT(C69&amp;ROW()),TODAY())</f>
        <v>954</v>
      </c>
      <c r="M62" s="11">
        <f ca="1">HYPERLINK(CONCATENATE("https://bugzilla.houston.hp.com:1181/bugzilla/show_bug.cgi?id=",INDIRECT(C70&amp;ROW())),INDIRECT(C70&amp;ROW()))</f>
        <v>49740</v>
      </c>
      <c r="N62">
        <v>49740</v>
      </c>
      <c r="O62" t="s">
        <v>56</v>
      </c>
      <c r="P62" t="s">
        <v>473</v>
      </c>
      <c r="Q62" t="s">
        <v>25</v>
      </c>
      <c r="R62" t="s">
        <v>251</v>
      </c>
      <c r="S62" t="s">
        <v>41</v>
      </c>
      <c r="U62" s="6">
        <v>42116.540243055555</v>
      </c>
      <c r="V62" t="s">
        <v>35</v>
      </c>
      <c r="W62" t="s">
        <v>17</v>
      </c>
      <c r="X62" s="6">
        <v>41890.400462962964</v>
      </c>
      <c r="Y62" t="s">
        <v>119</v>
      </c>
      <c r="AB62" t="s">
        <v>201</v>
      </c>
      <c r="AC62" t="s">
        <v>121</v>
      </c>
      <c r="AD62" t="s">
        <v>220</v>
      </c>
      <c r="AE62" t="s">
        <v>219</v>
      </c>
      <c r="AF62" s="13">
        <v>41901</v>
      </c>
      <c r="AG62" t="s">
        <v>121</v>
      </c>
      <c r="AH62" t="s">
        <v>64</v>
      </c>
      <c r="AI62" t="s">
        <v>121</v>
      </c>
      <c r="AJ62" t="s">
        <v>717</v>
      </c>
      <c r="AK62" t="s">
        <v>121</v>
      </c>
    </row>
    <row r="63" spans="2:37" x14ac:dyDescent="0.3">
      <c r="I63">
        <f ca="1">IF(OR(INDIRECT(A73&amp;ROW())=B93,INDIRECT(A73&amp;ROW())=B94),1,IF(AND(INDIRECT(A73&amp;ROW())=B95,INDIRECT(A96&amp;ROW())=C93),1,IF(AND(INDIRECT(A73&amp;ROW())=B95,INDIRECT(A96&amp;ROW())=C94),1,0)))</f>
        <v>0</v>
      </c>
      <c r="J63">
        <f ca="1">IF(AND(INDIRECT(A73&amp;ROW())=B95,INDIRECT(A96&amp;ROW())=C95),1,IF(AND(INDIRECT(A73&amp;ROW())=B95,INDIRECT(A96&amp;ROW())=C96),1,0))</f>
        <v>1</v>
      </c>
      <c r="K63">
        <f ca="1">DAYS360(INDIRECT(C68&amp;ROW()),TODAY())</f>
        <v>728</v>
      </c>
      <c r="L63">
        <f ca="1">DAYS360(INDIRECT(C69&amp;ROW()),TODAY())</f>
        <v>954</v>
      </c>
      <c r="M63" s="11">
        <f ca="1">HYPERLINK(CONCATENATE("https://bugzilla.houston.hp.com:1181/bugzilla/show_bug.cgi?id=",INDIRECT(C70&amp;ROW())),INDIRECT(C70&amp;ROW()))</f>
        <v>49746</v>
      </c>
      <c r="N63">
        <v>49746</v>
      </c>
      <c r="O63" t="s">
        <v>66</v>
      </c>
      <c r="P63" t="s">
        <v>692</v>
      </c>
      <c r="Q63" t="s">
        <v>25</v>
      </c>
      <c r="R63" t="s">
        <v>251</v>
      </c>
      <c r="S63" t="s">
        <v>41</v>
      </c>
      <c r="U63" s="6">
        <v>42118.339166666665</v>
      </c>
      <c r="V63" t="s">
        <v>35</v>
      </c>
      <c r="W63" t="s">
        <v>17</v>
      </c>
      <c r="X63" s="6">
        <v>41890.412164351852</v>
      </c>
      <c r="Y63" t="s">
        <v>119</v>
      </c>
      <c r="AB63" t="s">
        <v>201</v>
      </c>
      <c r="AC63" t="s">
        <v>121</v>
      </c>
      <c r="AD63" t="s">
        <v>220</v>
      </c>
      <c r="AE63" t="s">
        <v>219</v>
      </c>
      <c r="AF63" s="13">
        <v>41901</v>
      </c>
      <c r="AG63" t="s">
        <v>121</v>
      </c>
      <c r="AH63" t="s">
        <v>327</v>
      </c>
      <c r="AI63" t="s">
        <v>121</v>
      </c>
      <c r="AJ63" t="s">
        <v>716</v>
      </c>
      <c r="AK63" t="s">
        <v>121</v>
      </c>
    </row>
    <row r="64" spans="2:37" x14ac:dyDescent="0.3">
      <c r="B64" s="11" t="s">
        <v>175</v>
      </c>
      <c r="I64">
        <f ca="1">IF(OR(INDIRECT(A73&amp;ROW())=B93,INDIRECT(A73&amp;ROW())=B94),1,IF(AND(INDIRECT(A73&amp;ROW())=B95,INDIRECT(A96&amp;ROW())=C93),1,IF(AND(INDIRECT(A73&amp;ROW())=B95,INDIRECT(A96&amp;ROW())=C94),1,0)))</f>
        <v>0</v>
      </c>
      <c r="J64">
        <f ca="1">IF(AND(INDIRECT(A73&amp;ROW())=B95,INDIRECT(A96&amp;ROW())=C95),1,IF(AND(INDIRECT(A73&amp;ROW())=B95,INDIRECT(A96&amp;ROW())=C96),1,0))</f>
        <v>0</v>
      </c>
      <c r="K64">
        <f ca="1">DAYS360(INDIRECT(C68&amp;ROW()),TODAY())</f>
        <v>728</v>
      </c>
      <c r="L64">
        <f ca="1">DAYS360(INDIRECT(C69&amp;ROW()),TODAY())</f>
        <v>951</v>
      </c>
      <c r="M64" s="11">
        <f ca="1">HYPERLINK(CONCATENATE("https://bugzilla.houston.hp.com:1181/bugzilla/show_bug.cgi?id=",INDIRECT(C70&amp;ROW())),INDIRECT(C70&amp;ROW()))</f>
        <v>49957</v>
      </c>
      <c r="N64">
        <v>49957</v>
      </c>
      <c r="O64" t="s">
        <v>56</v>
      </c>
      <c r="P64" t="s">
        <v>436</v>
      </c>
      <c r="Q64" t="s">
        <v>16</v>
      </c>
      <c r="R64" t="s">
        <v>251</v>
      </c>
      <c r="S64" t="s">
        <v>43</v>
      </c>
      <c r="U64" s="6">
        <v>42118.560312499998</v>
      </c>
      <c r="V64" t="s">
        <v>18</v>
      </c>
      <c r="W64" t="s">
        <v>17</v>
      </c>
      <c r="X64" s="6">
        <v>41893.406828703701</v>
      </c>
      <c r="Y64" t="s">
        <v>122</v>
      </c>
      <c r="AB64" t="s">
        <v>201</v>
      </c>
      <c r="AC64" t="s">
        <v>247</v>
      </c>
      <c r="AD64" t="s">
        <v>220</v>
      </c>
      <c r="AE64" t="s">
        <v>219</v>
      </c>
      <c r="AG64" t="s">
        <v>121</v>
      </c>
      <c r="AH64" t="s">
        <v>64</v>
      </c>
      <c r="AI64" t="s">
        <v>121</v>
      </c>
      <c r="AJ64" t="s">
        <v>717</v>
      </c>
      <c r="AK64" t="s">
        <v>121</v>
      </c>
    </row>
    <row r="65" spans="1:37" x14ac:dyDescent="0.3">
      <c r="I65">
        <f ca="1">IF(OR(INDIRECT(A73&amp;ROW())=B93,INDIRECT(A73&amp;ROW())=B94),1,IF(AND(INDIRECT(A73&amp;ROW())=B95,INDIRECT(A96&amp;ROW())=C93),1,IF(AND(INDIRECT(A73&amp;ROW())=B95,INDIRECT(A96&amp;ROW())=C94),1,0)))</f>
        <v>0</v>
      </c>
      <c r="J65">
        <f ca="1">IF(AND(INDIRECT(A73&amp;ROW())=B95,INDIRECT(A96&amp;ROW())=C95),1,IF(AND(INDIRECT(A73&amp;ROW())=B95,INDIRECT(A96&amp;ROW())=C96),1,0))</f>
        <v>0</v>
      </c>
      <c r="K65">
        <f ca="1">DAYS360(INDIRECT(C68&amp;ROW()),TODAY())</f>
        <v>728</v>
      </c>
      <c r="L65">
        <f ca="1">DAYS360(INDIRECT(C69&amp;ROW()),TODAY())</f>
        <v>951</v>
      </c>
      <c r="M65" s="11">
        <f ca="1">HYPERLINK(CONCATENATE("https://bugzilla.houston.hp.com:1181/bugzilla/show_bug.cgi?id=",INDIRECT(C70&amp;ROW())),INDIRECT(C70&amp;ROW()))</f>
        <v>49964</v>
      </c>
      <c r="N65">
        <v>49964</v>
      </c>
      <c r="O65" t="s">
        <v>56</v>
      </c>
      <c r="P65" t="s">
        <v>435</v>
      </c>
      <c r="Q65" t="s">
        <v>16</v>
      </c>
      <c r="R65" t="s">
        <v>251</v>
      </c>
      <c r="S65" t="s">
        <v>43</v>
      </c>
      <c r="U65" s="6">
        <v>42118.559756944444</v>
      </c>
      <c r="V65" t="s">
        <v>18</v>
      </c>
      <c r="W65" t="s">
        <v>17</v>
      </c>
      <c r="X65" s="6">
        <v>41893.488923611112</v>
      </c>
      <c r="Y65" t="s">
        <v>122</v>
      </c>
      <c r="AB65" t="s">
        <v>201</v>
      </c>
      <c r="AC65" t="s">
        <v>247</v>
      </c>
      <c r="AD65" t="s">
        <v>220</v>
      </c>
      <c r="AE65" t="s">
        <v>219</v>
      </c>
      <c r="AG65" t="s">
        <v>121</v>
      </c>
      <c r="AH65" t="s">
        <v>327</v>
      </c>
      <c r="AI65" t="s">
        <v>121</v>
      </c>
      <c r="AJ65" t="s">
        <v>717</v>
      </c>
      <c r="AK65" t="s">
        <v>121</v>
      </c>
    </row>
    <row r="66" spans="1:37" x14ac:dyDescent="0.3">
      <c r="A66">
        <f>COUNTA(P1:P800)</f>
        <v>690</v>
      </c>
      <c r="B66" t="s">
        <v>110</v>
      </c>
      <c r="I66">
        <f ca="1">IF(OR(INDIRECT(A73&amp;ROW())=B93,INDIRECT(A73&amp;ROW())=B94),1,IF(AND(INDIRECT(A73&amp;ROW())=B95,INDIRECT(A96&amp;ROW())=C93),1,IF(AND(INDIRECT(A73&amp;ROW())=B95,INDIRECT(A96&amp;ROW())=C94),1,0)))</f>
        <v>0</v>
      </c>
      <c r="J66">
        <f ca="1">IF(AND(INDIRECT(A73&amp;ROW())=B95,INDIRECT(A96&amp;ROW())=C95),1,IF(AND(INDIRECT(A73&amp;ROW())=B95,INDIRECT(A96&amp;ROW())=C96),1,0))</f>
        <v>0</v>
      </c>
      <c r="K66">
        <f ca="1">DAYS360(INDIRECT(C68&amp;ROW()),TODAY())</f>
        <v>721</v>
      </c>
      <c r="L66">
        <f ca="1">DAYS360(INDIRECT(C69&amp;ROW()),TODAY())</f>
        <v>950</v>
      </c>
      <c r="M66" s="11">
        <f ca="1">HYPERLINK(CONCATENATE("https://bugzilla.houston.hp.com:1181/bugzilla/show_bug.cgi?id=",INDIRECT(C70&amp;ROW())),INDIRECT(C70&amp;ROW()))</f>
        <v>50012</v>
      </c>
      <c r="N66">
        <v>50012</v>
      </c>
      <c r="O66" t="s">
        <v>42</v>
      </c>
      <c r="P66" t="s">
        <v>691</v>
      </c>
      <c r="Q66" t="s">
        <v>16</v>
      </c>
      <c r="R66" t="s">
        <v>251</v>
      </c>
      <c r="S66" t="s">
        <v>68</v>
      </c>
      <c r="U66" s="6">
        <v>42125.446493055555</v>
      </c>
      <c r="V66" t="s">
        <v>35</v>
      </c>
      <c r="W66" t="s">
        <v>17</v>
      </c>
      <c r="X66" s="6">
        <v>41894.224282407406</v>
      </c>
      <c r="Y66" t="s">
        <v>122</v>
      </c>
      <c r="AB66" t="s">
        <v>200</v>
      </c>
      <c r="AC66" t="s">
        <v>247</v>
      </c>
      <c r="AD66" t="s">
        <v>220</v>
      </c>
      <c r="AE66" t="s">
        <v>219</v>
      </c>
      <c r="AF66" s="13">
        <v>41904</v>
      </c>
      <c r="AG66" t="s">
        <v>121</v>
      </c>
      <c r="AH66" t="s">
        <v>64</v>
      </c>
      <c r="AI66" t="s">
        <v>121</v>
      </c>
      <c r="AJ66" t="s">
        <v>716</v>
      </c>
      <c r="AK66" t="s">
        <v>121</v>
      </c>
    </row>
    <row r="67" spans="1:37" x14ac:dyDescent="0.3">
      <c r="A67">
        <v>2</v>
      </c>
      <c r="B67" t="s">
        <v>111</v>
      </c>
      <c r="I67">
        <f ca="1">IF(OR(INDIRECT(A73&amp;ROW())=B93,INDIRECT(A73&amp;ROW())=B94),1,IF(AND(INDIRECT(A73&amp;ROW())=B95,INDIRECT(A96&amp;ROW())=C93),1,IF(AND(INDIRECT(A73&amp;ROW())=B95,INDIRECT(A96&amp;ROW())=C94),1,0)))</f>
        <v>0</v>
      </c>
      <c r="J67">
        <f ca="1">IF(AND(INDIRECT(A73&amp;ROW())=B95,INDIRECT(A96&amp;ROW())=C95),1,IF(AND(INDIRECT(A73&amp;ROW())=B95,INDIRECT(A96&amp;ROW())=C96),1,0))</f>
        <v>0</v>
      </c>
      <c r="K67">
        <f ca="1">DAYS360(INDIRECT(C68&amp;ROW()),TODAY())</f>
        <v>710</v>
      </c>
      <c r="L67">
        <f ca="1">DAYS360(INDIRECT(C69&amp;ROW()),TODAY())</f>
        <v>947</v>
      </c>
      <c r="M67" s="11">
        <f ca="1">HYPERLINK(CONCATENATE("https://bugzilla.houston.hp.com:1181/bugzilla/show_bug.cgi?id=",INDIRECT(C70&amp;ROW())),INDIRECT(C70&amp;ROW()))</f>
        <v>50105</v>
      </c>
      <c r="N67">
        <v>50105</v>
      </c>
      <c r="O67" t="s">
        <v>66</v>
      </c>
      <c r="P67" t="s">
        <v>1052</v>
      </c>
      <c r="Q67" t="s">
        <v>16</v>
      </c>
      <c r="R67" t="s">
        <v>251</v>
      </c>
      <c r="S67" t="s">
        <v>66</v>
      </c>
      <c r="U67" s="6">
        <v>42136.646921296298</v>
      </c>
      <c r="V67" t="s">
        <v>18</v>
      </c>
      <c r="W67" t="s">
        <v>17</v>
      </c>
      <c r="X67" s="6">
        <v>41897.447847222225</v>
      </c>
      <c r="Y67" t="s">
        <v>122</v>
      </c>
      <c r="AB67" t="s">
        <v>201</v>
      </c>
      <c r="AC67" t="s">
        <v>247</v>
      </c>
      <c r="AD67" t="s">
        <v>220</v>
      </c>
      <c r="AE67" t="s">
        <v>290</v>
      </c>
      <c r="AG67" t="s">
        <v>121</v>
      </c>
      <c r="AH67" t="s">
        <v>1029</v>
      </c>
      <c r="AI67" t="s">
        <v>121</v>
      </c>
      <c r="AJ67" t="s">
        <v>717</v>
      </c>
      <c r="AK67" t="s">
        <v>121</v>
      </c>
    </row>
    <row r="68" spans="1:37" x14ac:dyDescent="0.3">
      <c r="A68" t="s">
        <v>112</v>
      </c>
      <c r="B68" t="s">
        <v>103</v>
      </c>
      <c r="C68" t="s">
        <v>97</v>
      </c>
      <c r="D68" t="s">
        <v>276</v>
      </c>
      <c r="I68">
        <f ca="1">IF(OR(INDIRECT(A73&amp;ROW())=B93,INDIRECT(A73&amp;ROW())=B94),1,IF(AND(INDIRECT(A73&amp;ROW())=B95,INDIRECT(A96&amp;ROW())=C93),1,IF(AND(INDIRECT(A73&amp;ROW())=B95,INDIRECT(A96&amp;ROW())=C94),1,0)))</f>
        <v>0</v>
      </c>
      <c r="J68">
        <f ca="1">IF(AND(INDIRECT(A73&amp;ROW())=B95,INDIRECT(A96&amp;ROW())=C95),1,IF(AND(INDIRECT(A73&amp;ROW())=B95,INDIRECT(A96&amp;ROW())=C96),1,0))</f>
        <v>0</v>
      </c>
      <c r="K68">
        <f ca="1">DAYS360(INDIRECT(C68&amp;ROW()),TODAY())</f>
        <v>688</v>
      </c>
      <c r="L68">
        <f ca="1">DAYS360(INDIRECT(C69&amp;ROW()),TODAY())</f>
        <v>946</v>
      </c>
      <c r="M68" s="11">
        <f ca="1">HYPERLINK(CONCATENATE("https://bugzilla.houston.hp.com:1181/bugzilla/show_bug.cgi?id=",INDIRECT(C70&amp;ROW())),INDIRECT(C70&amp;ROW()))</f>
        <v>50187</v>
      </c>
      <c r="N68">
        <v>50187</v>
      </c>
      <c r="O68" t="s">
        <v>56</v>
      </c>
      <c r="P68" t="s">
        <v>690</v>
      </c>
      <c r="Q68" t="s">
        <v>16</v>
      </c>
      <c r="R68" t="s">
        <v>251</v>
      </c>
      <c r="S68" t="s">
        <v>53</v>
      </c>
      <c r="U68" s="6">
        <v>42159.577060185184</v>
      </c>
      <c r="V68" t="s">
        <v>18</v>
      </c>
      <c r="W68" t="s">
        <v>17</v>
      </c>
      <c r="X68" s="6">
        <v>41898.725266203706</v>
      </c>
      <c r="Y68" t="s">
        <v>793</v>
      </c>
      <c r="AB68" t="s">
        <v>201</v>
      </c>
      <c r="AC68" t="s">
        <v>247</v>
      </c>
      <c r="AD68" t="s">
        <v>220</v>
      </c>
      <c r="AE68" t="s">
        <v>219</v>
      </c>
      <c r="AG68" t="s">
        <v>121</v>
      </c>
      <c r="AH68" t="s">
        <v>64</v>
      </c>
      <c r="AI68" t="s">
        <v>121</v>
      </c>
      <c r="AJ68" t="s">
        <v>717</v>
      </c>
      <c r="AK68" t="s">
        <v>121</v>
      </c>
    </row>
    <row r="69" spans="1:37" x14ac:dyDescent="0.3">
      <c r="A69" t="s">
        <v>264</v>
      </c>
      <c r="B69" t="s">
        <v>104</v>
      </c>
      <c r="C69" t="s">
        <v>113</v>
      </c>
      <c r="D69" t="s">
        <v>277</v>
      </c>
      <c r="I69">
        <f ca="1">IF(OR(INDIRECT(A73&amp;ROW())=B93,INDIRECT(A73&amp;ROW())=B94),1,IF(AND(INDIRECT(A73&amp;ROW())=B95,INDIRECT(A96&amp;ROW())=C93),1,IF(AND(INDIRECT(A73&amp;ROW())=B95,INDIRECT(A96&amp;ROW())=C94),1,0)))</f>
        <v>0</v>
      </c>
      <c r="J69">
        <f ca="1">IF(AND(INDIRECT(A73&amp;ROW())=B95,INDIRECT(A96&amp;ROW())=C95),1,IF(AND(INDIRECT(A73&amp;ROW())=B95,INDIRECT(A96&amp;ROW())=C96),1,0))</f>
        <v>0</v>
      </c>
      <c r="K69">
        <f ca="1">DAYS360(INDIRECT(C68&amp;ROW()),TODAY())</f>
        <v>728</v>
      </c>
      <c r="L69">
        <f ca="1">DAYS360(INDIRECT(C69&amp;ROW()),TODAY())</f>
        <v>945</v>
      </c>
      <c r="M69" s="11">
        <f ca="1">HYPERLINK(CONCATENATE("https://bugzilla.houston.hp.com:1181/bugzilla/show_bug.cgi?id=",INDIRECT(C70&amp;ROW())),INDIRECT(C70&amp;ROW()))</f>
        <v>50237</v>
      </c>
      <c r="N69">
        <v>50237</v>
      </c>
      <c r="O69" t="s">
        <v>55</v>
      </c>
      <c r="P69" t="s">
        <v>689</v>
      </c>
      <c r="Q69" t="s">
        <v>16</v>
      </c>
      <c r="R69" t="s">
        <v>251</v>
      </c>
      <c r="S69" t="s">
        <v>55</v>
      </c>
      <c r="U69" s="6">
        <v>42118.560115740744</v>
      </c>
      <c r="V69" t="s">
        <v>18</v>
      </c>
      <c r="W69" t="s">
        <v>17</v>
      </c>
      <c r="X69" s="6">
        <v>41899.478541666664</v>
      </c>
      <c r="Y69" t="s">
        <v>122</v>
      </c>
      <c r="AB69" t="s">
        <v>201</v>
      </c>
      <c r="AC69" t="s">
        <v>247</v>
      </c>
      <c r="AD69" t="s">
        <v>220</v>
      </c>
      <c r="AE69" t="s">
        <v>219</v>
      </c>
      <c r="AG69" t="s">
        <v>121</v>
      </c>
      <c r="AH69" t="s">
        <v>64</v>
      </c>
      <c r="AI69" t="s">
        <v>121</v>
      </c>
      <c r="AJ69" t="s">
        <v>717</v>
      </c>
      <c r="AK69" t="s">
        <v>121</v>
      </c>
    </row>
    <row r="70" spans="1:37" x14ac:dyDescent="0.3">
      <c r="A70" t="s">
        <v>102</v>
      </c>
      <c r="B70" t="s">
        <v>78</v>
      </c>
      <c r="C70" t="s">
        <v>101</v>
      </c>
      <c r="D70" t="s">
        <v>356</v>
      </c>
      <c r="I70">
        <f ca="1">IF(OR(INDIRECT(A73&amp;ROW())=B93,INDIRECT(A73&amp;ROW())=B94),1,IF(AND(INDIRECT(A73&amp;ROW())=B95,INDIRECT(A96&amp;ROW())=C93),1,IF(AND(INDIRECT(A73&amp;ROW())=B95,INDIRECT(A96&amp;ROW())=C94),1,0)))</f>
        <v>0</v>
      </c>
      <c r="J70">
        <f ca="1">IF(AND(INDIRECT(A73&amp;ROW())=B95,INDIRECT(A96&amp;ROW())=C95),1,IF(AND(INDIRECT(A73&amp;ROW())=B95,INDIRECT(A96&amp;ROW())=C96),1,0))</f>
        <v>1</v>
      </c>
      <c r="K70">
        <f ca="1">DAYS360(INDIRECT(C68&amp;ROW()),TODAY())</f>
        <v>714</v>
      </c>
      <c r="L70">
        <f ca="1">DAYS360(INDIRECT(C69&amp;ROW()),TODAY())</f>
        <v>945</v>
      </c>
      <c r="M70" s="11">
        <f ca="1">HYPERLINK(CONCATENATE("https://bugzilla.houston.hp.com:1181/bugzilla/show_bug.cgi?id=",INDIRECT(C70&amp;ROW())),INDIRECT(C70&amp;ROW()))</f>
        <v>50242</v>
      </c>
      <c r="N70">
        <v>50242</v>
      </c>
      <c r="O70" t="s">
        <v>204</v>
      </c>
      <c r="P70" t="s">
        <v>472</v>
      </c>
      <c r="Q70" t="s">
        <v>25</v>
      </c>
      <c r="R70" t="s">
        <v>251</v>
      </c>
      <c r="S70" t="s">
        <v>31</v>
      </c>
      <c r="T70" t="s">
        <v>979</v>
      </c>
      <c r="U70" s="6">
        <v>42132.550069444442</v>
      </c>
      <c r="V70" t="s">
        <v>40</v>
      </c>
      <c r="W70" t="s">
        <v>17</v>
      </c>
      <c r="X70" s="6">
        <v>41899.569421296299</v>
      </c>
      <c r="Y70" t="s">
        <v>119</v>
      </c>
      <c r="AB70" t="s">
        <v>201</v>
      </c>
      <c r="AC70" t="s">
        <v>247</v>
      </c>
      <c r="AD70" t="s">
        <v>222</v>
      </c>
      <c r="AE70" t="s">
        <v>221</v>
      </c>
      <c r="AG70" t="s">
        <v>121</v>
      </c>
      <c r="AH70" t="s">
        <v>64</v>
      </c>
      <c r="AI70" t="s">
        <v>121</v>
      </c>
      <c r="AJ70" t="s">
        <v>716</v>
      </c>
      <c r="AK70" t="s">
        <v>121</v>
      </c>
    </row>
    <row r="71" spans="1:37" x14ac:dyDescent="0.3">
      <c r="A71" t="s">
        <v>348</v>
      </c>
      <c r="B71" t="s">
        <v>105</v>
      </c>
      <c r="I71">
        <f ca="1">IF(OR(INDIRECT(A73&amp;ROW())=B93,INDIRECT(A73&amp;ROW())=B94),1,IF(AND(INDIRECT(A73&amp;ROW())=B95,INDIRECT(A96&amp;ROW())=C93),1,IF(AND(INDIRECT(A73&amp;ROW())=B95,INDIRECT(A96&amp;ROW())=C94),1,0)))</f>
        <v>0</v>
      </c>
      <c r="J71">
        <f ca="1">IF(AND(INDIRECT(A73&amp;ROW())=B95,INDIRECT(A96&amp;ROW())=C95),1,IF(AND(INDIRECT(A73&amp;ROW())=B95,INDIRECT(A96&amp;ROW())=C96),1,0))</f>
        <v>0</v>
      </c>
      <c r="K71">
        <f ca="1">DAYS360(INDIRECT(C68&amp;ROW()),TODAY())</f>
        <v>728</v>
      </c>
      <c r="L71">
        <f ca="1">DAYS360(INDIRECT(C69&amp;ROW()),TODAY())</f>
        <v>940</v>
      </c>
      <c r="M71" s="11">
        <f ca="1">HYPERLINK(CONCATENATE("https://bugzilla.houston.hp.com:1181/bugzilla/show_bug.cgi?id=",INDIRECT(C70&amp;ROW())),INDIRECT(C70&amp;ROW()))</f>
        <v>50432</v>
      </c>
      <c r="N71">
        <v>50432</v>
      </c>
      <c r="O71" t="s">
        <v>56</v>
      </c>
      <c r="P71" t="s">
        <v>688</v>
      </c>
      <c r="Q71" t="s">
        <v>16</v>
      </c>
      <c r="R71" t="s">
        <v>251</v>
      </c>
      <c r="S71" t="s">
        <v>330</v>
      </c>
      <c r="U71" s="6">
        <v>42118.521851851852</v>
      </c>
      <c r="V71" t="s">
        <v>18</v>
      </c>
      <c r="W71" t="s">
        <v>17</v>
      </c>
      <c r="X71" s="6">
        <v>41904.840578703705</v>
      </c>
      <c r="Y71" t="s">
        <v>787</v>
      </c>
      <c r="AB71" t="s">
        <v>201</v>
      </c>
      <c r="AC71" t="s">
        <v>247</v>
      </c>
      <c r="AD71" t="s">
        <v>220</v>
      </c>
      <c r="AE71" t="s">
        <v>219</v>
      </c>
      <c r="AG71" t="s">
        <v>121</v>
      </c>
      <c r="AH71" t="s">
        <v>327</v>
      </c>
      <c r="AI71" t="s">
        <v>121</v>
      </c>
      <c r="AJ71" t="s">
        <v>717</v>
      </c>
      <c r="AK71" t="s">
        <v>121</v>
      </c>
    </row>
    <row r="72" spans="1:37" x14ac:dyDescent="0.3">
      <c r="A72" t="s">
        <v>100</v>
      </c>
      <c r="B72" t="s">
        <v>106</v>
      </c>
      <c r="I72">
        <f ca="1">IF(OR(INDIRECT(A73&amp;ROW())=B93,INDIRECT(A73&amp;ROW())=B94),1,IF(AND(INDIRECT(A73&amp;ROW())=B95,INDIRECT(A96&amp;ROW())=C93),1,IF(AND(INDIRECT(A73&amp;ROW())=B95,INDIRECT(A96&amp;ROW())=C94),1,0)))</f>
        <v>1</v>
      </c>
      <c r="J72">
        <f ca="1">IF(AND(INDIRECT(A73&amp;ROW())=B95,INDIRECT(A96&amp;ROW())=C95),1,IF(AND(INDIRECT(A73&amp;ROW())=B95,INDIRECT(A96&amp;ROW())=C96),1,0))</f>
        <v>0</v>
      </c>
      <c r="K72">
        <f ca="1">DAYS360(INDIRECT(C68&amp;ROW()),TODAY())</f>
        <v>694</v>
      </c>
      <c r="L72">
        <f ca="1">DAYS360(INDIRECT(C69&amp;ROW()),TODAY())</f>
        <v>939</v>
      </c>
      <c r="M72" s="11">
        <f ca="1">HYPERLINK(CONCATENATE("https://bugzilla.houston.hp.com:1181/bugzilla/show_bug.cgi?id=",INDIRECT(C70&amp;ROW())),INDIRECT(C70&amp;ROW()))</f>
        <v>50470</v>
      </c>
      <c r="N72">
        <v>50470</v>
      </c>
      <c r="O72" t="s">
        <v>53</v>
      </c>
      <c r="P72" t="s">
        <v>687</v>
      </c>
      <c r="Q72" t="s">
        <v>39</v>
      </c>
      <c r="R72" t="s">
        <v>251</v>
      </c>
      <c r="S72" t="s">
        <v>47</v>
      </c>
      <c r="U72" s="6">
        <v>42152.316331018519</v>
      </c>
      <c r="V72" t="s">
        <v>18</v>
      </c>
      <c r="W72" t="s">
        <v>17</v>
      </c>
      <c r="X72" s="6">
        <v>41905.402071759258</v>
      </c>
      <c r="Y72" t="s">
        <v>119</v>
      </c>
      <c r="AB72" t="s">
        <v>201</v>
      </c>
      <c r="AC72" t="s">
        <v>247</v>
      </c>
      <c r="AD72" t="s">
        <v>220</v>
      </c>
      <c r="AE72" t="s">
        <v>219</v>
      </c>
      <c r="AG72" t="s">
        <v>121</v>
      </c>
      <c r="AH72" t="s">
        <v>64</v>
      </c>
      <c r="AI72" t="s">
        <v>121</v>
      </c>
      <c r="AJ72" t="s">
        <v>715</v>
      </c>
      <c r="AK72" t="s">
        <v>121</v>
      </c>
    </row>
    <row r="73" spans="1:37" x14ac:dyDescent="0.3">
      <c r="A73" t="s">
        <v>273</v>
      </c>
      <c r="B73" t="s">
        <v>107</v>
      </c>
      <c r="I73">
        <f ca="1">IF(OR(INDIRECT(A73&amp;ROW())=B93,INDIRECT(A73&amp;ROW())=B94),1,IF(AND(INDIRECT(A73&amp;ROW())=B95,INDIRECT(A96&amp;ROW())=C93),1,IF(AND(INDIRECT(A73&amp;ROW())=B95,INDIRECT(A96&amp;ROW())=C94),1,0)))</f>
        <v>0</v>
      </c>
      <c r="J73">
        <f ca="1">IF(AND(INDIRECT(A73&amp;ROW())=B95,INDIRECT(A96&amp;ROW())=C95),1,IF(AND(INDIRECT(A73&amp;ROW())=B95,INDIRECT(A96&amp;ROW())=C96),1,0))</f>
        <v>0</v>
      </c>
      <c r="K73">
        <f ca="1">DAYS360(INDIRECT(C68&amp;ROW()),TODAY())</f>
        <v>724</v>
      </c>
      <c r="L73">
        <f ca="1">DAYS360(INDIRECT(C69&amp;ROW()),TODAY())</f>
        <v>939</v>
      </c>
      <c r="M73" s="11">
        <f ca="1">HYPERLINK(CONCATENATE("https://bugzilla.houston.hp.com:1181/bugzilla/show_bug.cgi?id=",INDIRECT(C70&amp;ROW())),INDIRECT(C70&amp;ROW()))</f>
        <v>50489</v>
      </c>
      <c r="N73">
        <v>50489</v>
      </c>
      <c r="O73" t="s">
        <v>334</v>
      </c>
      <c r="P73" t="s">
        <v>434</v>
      </c>
      <c r="Q73" t="s">
        <v>16</v>
      </c>
      <c r="R73" t="s">
        <v>251</v>
      </c>
      <c r="S73" t="s">
        <v>182</v>
      </c>
      <c r="U73" s="6">
        <v>42122.400648148148</v>
      </c>
      <c r="V73" t="s">
        <v>35</v>
      </c>
      <c r="W73" t="s">
        <v>17</v>
      </c>
      <c r="X73" s="6">
        <v>41905.60564814815</v>
      </c>
      <c r="Y73" t="s">
        <v>245</v>
      </c>
      <c r="AB73" t="s">
        <v>200</v>
      </c>
      <c r="AC73" t="s">
        <v>247</v>
      </c>
      <c r="AD73" t="s">
        <v>227</v>
      </c>
      <c r="AE73" t="s">
        <v>230</v>
      </c>
      <c r="AG73" t="s">
        <v>121</v>
      </c>
      <c r="AH73" t="s">
        <v>327</v>
      </c>
      <c r="AI73" t="s">
        <v>121</v>
      </c>
      <c r="AJ73" t="s">
        <v>716</v>
      </c>
      <c r="AK73" t="s">
        <v>121</v>
      </c>
    </row>
    <row r="74" spans="1:37" x14ac:dyDescent="0.3">
      <c r="A74" t="s">
        <v>271</v>
      </c>
      <c r="B74" t="s">
        <v>108</v>
      </c>
      <c r="I74">
        <f ca="1">IF(OR(INDIRECT(A73&amp;ROW())=B93,INDIRECT(A73&amp;ROW())=B94),1,IF(AND(INDIRECT(A73&amp;ROW())=B95,INDIRECT(A96&amp;ROW())=C93),1,IF(AND(INDIRECT(A73&amp;ROW())=B95,INDIRECT(A96&amp;ROW())=C94),1,0)))</f>
        <v>1</v>
      </c>
      <c r="J74">
        <f ca="1">IF(AND(INDIRECT(A73&amp;ROW())=B95,INDIRECT(A96&amp;ROW())=C95),1,IF(AND(INDIRECT(A73&amp;ROW())=B95,INDIRECT(A96&amp;ROW())=C96),1,0))</f>
        <v>0</v>
      </c>
      <c r="K74">
        <f ca="1">DAYS360(INDIRECT(C68&amp;ROW()),TODAY())</f>
        <v>730</v>
      </c>
      <c r="L74">
        <f ca="1">DAYS360(INDIRECT(C69&amp;ROW()),TODAY())</f>
        <v>939</v>
      </c>
      <c r="M74" s="11">
        <f ca="1">HYPERLINK(CONCATENATE("https://bugzilla.houston.hp.com:1181/bugzilla/show_bug.cgi?id=",INDIRECT(C70&amp;ROW())),INDIRECT(C70&amp;ROW()))</f>
        <v>50493</v>
      </c>
      <c r="N74">
        <v>50493</v>
      </c>
      <c r="O74" t="s">
        <v>45</v>
      </c>
      <c r="P74" t="s">
        <v>333</v>
      </c>
      <c r="Q74" t="s">
        <v>25</v>
      </c>
      <c r="R74" t="s">
        <v>251</v>
      </c>
      <c r="S74" t="s">
        <v>59</v>
      </c>
      <c r="U74" s="6">
        <v>42116.54115740741</v>
      </c>
      <c r="V74" t="s">
        <v>18</v>
      </c>
      <c r="W74" t="s">
        <v>17</v>
      </c>
      <c r="X74" s="6">
        <v>41905.630509259259</v>
      </c>
      <c r="Y74" t="s">
        <v>119</v>
      </c>
      <c r="AB74" t="s">
        <v>200</v>
      </c>
      <c r="AC74" t="s">
        <v>247</v>
      </c>
      <c r="AD74" t="s">
        <v>222</v>
      </c>
      <c r="AE74" t="s">
        <v>232</v>
      </c>
      <c r="AG74" t="s">
        <v>121</v>
      </c>
      <c r="AH74" t="s">
        <v>327</v>
      </c>
      <c r="AI74" t="s">
        <v>121</v>
      </c>
      <c r="AJ74" t="s">
        <v>715</v>
      </c>
      <c r="AK74" t="s">
        <v>121</v>
      </c>
    </row>
    <row r="75" spans="1:37" x14ac:dyDescent="0.3">
      <c r="A75" t="s">
        <v>349</v>
      </c>
      <c r="B75" t="s">
        <v>109</v>
      </c>
      <c r="I75">
        <f ca="1">IF(OR(INDIRECT(A73&amp;ROW())=B93,INDIRECT(A73&amp;ROW())=B94),1,IF(AND(INDIRECT(A73&amp;ROW())=B95,INDIRECT(A96&amp;ROW())=C93),1,IF(AND(INDIRECT(A73&amp;ROW())=B95,INDIRECT(A96&amp;ROW())=C94),1,0)))</f>
        <v>1</v>
      </c>
      <c r="J75">
        <f ca="1">IF(AND(INDIRECT(A73&amp;ROW())=B95,INDIRECT(A96&amp;ROW())=C95),1,IF(AND(INDIRECT(A73&amp;ROW())=B95,INDIRECT(A96&amp;ROW())=C96),1,0))</f>
        <v>0</v>
      </c>
      <c r="K75">
        <f ca="1">DAYS360(INDIRECT(C68&amp;ROW()),TODAY())</f>
        <v>734</v>
      </c>
      <c r="L75">
        <f ca="1">DAYS360(INDIRECT(C69&amp;ROW()),TODAY())</f>
        <v>939</v>
      </c>
      <c r="M75" s="11">
        <f ca="1">HYPERLINK(CONCATENATE("https://bugzilla.houston.hp.com:1181/bugzilla/show_bug.cgi?id=",INDIRECT(C70&amp;ROW())),INDIRECT(C70&amp;ROW()))</f>
        <v>50495</v>
      </c>
      <c r="N75">
        <v>50495</v>
      </c>
      <c r="O75" t="s">
        <v>56</v>
      </c>
      <c r="P75" t="s">
        <v>332</v>
      </c>
      <c r="Q75" t="s">
        <v>25</v>
      </c>
      <c r="R75" t="s">
        <v>248</v>
      </c>
      <c r="S75" t="s">
        <v>59</v>
      </c>
      <c r="U75" s="6">
        <v>42112.762037037035</v>
      </c>
      <c r="V75" t="s">
        <v>18</v>
      </c>
      <c r="W75" t="s">
        <v>257</v>
      </c>
      <c r="X75" s="6">
        <v>41905.634016203701</v>
      </c>
      <c r="Y75" t="s">
        <v>119</v>
      </c>
      <c r="AB75" t="s">
        <v>200</v>
      </c>
      <c r="AC75" t="s">
        <v>247</v>
      </c>
      <c r="AD75" t="s">
        <v>222</v>
      </c>
      <c r="AE75" t="s">
        <v>221</v>
      </c>
      <c r="AG75" t="s">
        <v>121</v>
      </c>
      <c r="AH75" t="s">
        <v>327</v>
      </c>
      <c r="AI75" t="s">
        <v>121</v>
      </c>
      <c r="AJ75" t="s">
        <v>716</v>
      </c>
      <c r="AK75" t="s">
        <v>121</v>
      </c>
    </row>
    <row r="76" spans="1:37" x14ac:dyDescent="0.3">
      <c r="A76" t="s">
        <v>274</v>
      </c>
      <c r="B76" t="s">
        <v>114</v>
      </c>
      <c r="I76">
        <f ca="1">IF(OR(INDIRECT(A73&amp;ROW())=B93,INDIRECT(A73&amp;ROW())=B94),1,IF(AND(INDIRECT(A73&amp;ROW())=B95,INDIRECT(A96&amp;ROW())=C93),1,IF(AND(INDIRECT(A73&amp;ROW())=B95,INDIRECT(A96&amp;ROW())=C94),1,0)))</f>
        <v>0</v>
      </c>
      <c r="J76">
        <f ca="1">IF(AND(INDIRECT(A73&amp;ROW())=B95,INDIRECT(A96&amp;ROW())=C95),1,IF(AND(INDIRECT(A73&amp;ROW())=B95,INDIRECT(A96&amp;ROW())=C96),1,0))</f>
        <v>0</v>
      </c>
      <c r="K76">
        <f ca="1">DAYS360(INDIRECT(C68&amp;ROW()),TODAY())</f>
        <v>728</v>
      </c>
      <c r="L76">
        <f ca="1">DAYS360(INDIRECT(C69&amp;ROW()),TODAY())</f>
        <v>939</v>
      </c>
      <c r="M76" s="11">
        <f ca="1">HYPERLINK(CONCATENATE("https://bugzilla.houston.hp.com:1181/bugzilla/show_bug.cgi?id=",INDIRECT(C70&amp;ROW())),INDIRECT(C70&amp;ROW()))</f>
        <v>50497</v>
      </c>
      <c r="N76">
        <v>50497</v>
      </c>
      <c r="O76" t="s">
        <v>88</v>
      </c>
      <c r="P76" t="s">
        <v>686</v>
      </c>
      <c r="Q76" t="s">
        <v>16</v>
      </c>
      <c r="R76" t="s">
        <v>251</v>
      </c>
      <c r="S76" t="s">
        <v>31</v>
      </c>
      <c r="U76" s="6">
        <v>42118.521944444445</v>
      </c>
      <c r="V76" t="s">
        <v>18</v>
      </c>
      <c r="W76" t="s">
        <v>17</v>
      </c>
      <c r="X76" s="6">
        <v>41905.694814814815</v>
      </c>
      <c r="Y76" t="s">
        <v>119</v>
      </c>
      <c r="AB76" t="s">
        <v>201</v>
      </c>
      <c r="AC76" t="s">
        <v>247</v>
      </c>
      <c r="AD76" t="s">
        <v>222</v>
      </c>
      <c r="AE76" t="s">
        <v>240</v>
      </c>
      <c r="AG76" t="s">
        <v>121</v>
      </c>
      <c r="AH76" t="s">
        <v>327</v>
      </c>
      <c r="AI76" t="s">
        <v>121</v>
      </c>
      <c r="AJ76" t="s">
        <v>717</v>
      </c>
      <c r="AK76" t="s">
        <v>121</v>
      </c>
    </row>
    <row r="77" spans="1:37" x14ac:dyDescent="0.3">
      <c r="A77" t="s">
        <v>350</v>
      </c>
      <c r="B77" t="s">
        <v>115</v>
      </c>
      <c r="I77">
        <f ca="1">IF(OR(INDIRECT(A73&amp;ROW())=B93,INDIRECT(A73&amp;ROW())=B94),1,IF(AND(INDIRECT(A73&amp;ROW())=B95,INDIRECT(A96&amp;ROW())=C93),1,IF(AND(INDIRECT(A73&amp;ROW())=B95,INDIRECT(A96&amp;ROW())=C94),1,0)))</f>
        <v>1</v>
      </c>
      <c r="J77">
        <f ca="1">IF(AND(INDIRECT(A73&amp;ROW())=B95,INDIRECT(A96&amp;ROW())=C95),1,IF(AND(INDIRECT(A73&amp;ROW())=B95,INDIRECT(A96&amp;ROW())=C96),1,0))</f>
        <v>0</v>
      </c>
      <c r="K77">
        <f ca="1">DAYS360(INDIRECT(C68&amp;ROW()),TODAY())</f>
        <v>849</v>
      </c>
      <c r="L77">
        <f ca="1">DAYS360(INDIRECT(C69&amp;ROW()),TODAY())</f>
        <v>938</v>
      </c>
      <c r="M77" s="11">
        <f ca="1">HYPERLINK(CONCATENATE("https://bugzilla.houston.hp.com:1181/bugzilla/show_bug.cgi?id=",INDIRECT(C70&amp;ROW())),INDIRECT(C70&amp;ROW()))</f>
        <v>50561</v>
      </c>
      <c r="N77">
        <v>50561</v>
      </c>
      <c r="O77" t="s">
        <v>326</v>
      </c>
      <c r="P77" t="s">
        <v>338</v>
      </c>
      <c r="Q77" t="s">
        <v>25</v>
      </c>
      <c r="R77" t="s">
        <v>17</v>
      </c>
      <c r="S77" t="s">
        <v>24</v>
      </c>
      <c r="U77" s="6">
        <v>41996.488333333335</v>
      </c>
      <c r="V77" t="s">
        <v>40</v>
      </c>
      <c r="W77" t="s">
        <v>317</v>
      </c>
      <c r="X77" s="6">
        <v>41906.604884259257</v>
      </c>
      <c r="Y77" t="s">
        <v>119</v>
      </c>
      <c r="Z77" t="s">
        <v>255</v>
      </c>
      <c r="AB77" t="s">
        <v>200</v>
      </c>
      <c r="AC77" t="s">
        <v>247</v>
      </c>
      <c r="AD77" t="s">
        <v>222</v>
      </c>
      <c r="AE77" t="s">
        <v>228</v>
      </c>
      <c r="AG77" t="s">
        <v>121</v>
      </c>
      <c r="AH77" t="s">
        <v>64</v>
      </c>
      <c r="AI77" t="s">
        <v>363</v>
      </c>
      <c r="AJ77" t="s">
        <v>715</v>
      </c>
      <c r="AK77" t="s">
        <v>121</v>
      </c>
    </row>
    <row r="78" spans="1:37" x14ac:dyDescent="0.3">
      <c r="A78" t="s">
        <v>275</v>
      </c>
      <c r="B78" t="s">
        <v>235</v>
      </c>
      <c r="I78">
        <f ca="1">IF(OR(INDIRECT(A73&amp;ROW())=B93,INDIRECT(A73&amp;ROW())=B94),1,IF(AND(INDIRECT(A73&amp;ROW())=B95,INDIRECT(A96&amp;ROW())=C93),1,IF(AND(INDIRECT(A73&amp;ROW())=B95,INDIRECT(A96&amp;ROW())=C94),1,0)))</f>
        <v>0</v>
      </c>
      <c r="J78">
        <f ca="1">IF(AND(INDIRECT(A73&amp;ROW())=B95,INDIRECT(A96&amp;ROW())=C95),1,IF(AND(INDIRECT(A73&amp;ROW())=B95,INDIRECT(A96&amp;ROW())=C96),1,0))</f>
        <v>1</v>
      </c>
      <c r="K78">
        <f ca="1">DAYS360(INDIRECT(C68&amp;ROW()),TODAY())</f>
        <v>721</v>
      </c>
      <c r="L78">
        <f ca="1">DAYS360(INDIRECT(C69&amp;ROW()),TODAY())</f>
        <v>937</v>
      </c>
      <c r="M78" s="11">
        <f ca="1">HYPERLINK(CONCATENATE("https://bugzilla.houston.hp.com:1181/bugzilla/show_bug.cgi?id=",INDIRECT(C70&amp;ROW())),INDIRECT(C70&amp;ROW()))</f>
        <v>50644</v>
      </c>
      <c r="N78">
        <v>50644</v>
      </c>
      <c r="O78" t="s">
        <v>42</v>
      </c>
      <c r="P78" t="s">
        <v>433</v>
      </c>
      <c r="Q78" t="s">
        <v>25</v>
      </c>
      <c r="R78" t="s">
        <v>251</v>
      </c>
      <c r="S78" t="s">
        <v>42</v>
      </c>
      <c r="U78" s="6">
        <v>42125.642534722225</v>
      </c>
      <c r="V78" t="s">
        <v>35</v>
      </c>
      <c r="W78" t="s">
        <v>17</v>
      </c>
      <c r="X78" s="6">
        <v>41907.666851851849</v>
      </c>
      <c r="Y78" t="s">
        <v>122</v>
      </c>
      <c r="AB78" t="s">
        <v>201</v>
      </c>
      <c r="AC78" t="s">
        <v>247</v>
      </c>
      <c r="AD78" t="s">
        <v>220</v>
      </c>
      <c r="AE78" t="s">
        <v>219</v>
      </c>
      <c r="AG78" t="s">
        <v>121</v>
      </c>
      <c r="AH78" t="s">
        <v>64</v>
      </c>
      <c r="AI78" t="s">
        <v>121</v>
      </c>
      <c r="AJ78" t="s">
        <v>716</v>
      </c>
      <c r="AK78" t="s">
        <v>121</v>
      </c>
    </row>
    <row r="79" spans="1:37" x14ac:dyDescent="0.3">
      <c r="A79" t="s">
        <v>351</v>
      </c>
      <c r="B79" t="s">
        <v>234</v>
      </c>
      <c r="I79">
        <f ca="1">IF(OR(INDIRECT(A73&amp;ROW())=B93,INDIRECT(A73&amp;ROW())=B94),1,IF(AND(INDIRECT(A73&amp;ROW())=B95,INDIRECT(A96&amp;ROW())=C93),1,IF(AND(INDIRECT(A73&amp;ROW())=B95,INDIRECT(A96&amp;ROW())=C94),1,0)))</f>
        <v>0</v>
      </c>
      <c r="J79">
        <f ca="1">IF(AND(INDIRECT(A73&amp;ROW())=B95,INDIRECT(A96&amp;ROW())=C95),1,IF(AND(INDIRECT(A73&amp;ROW())=B95,INDIRECT(A96&amp;ROW())=C96),1,0))</f>
        <v>0</v>
      </c>
      <c r="K79">
        <f ca="1">DAYS360(INDIRECT(C68&amp;ROW()),TODAY())</f>
        <v>721</v>
      </c>
      <c r="L79">
        <f ca="1">DAYS360(INDIRECT(C69&amp;ROW()),TODAY())</f>
        <v>936</v>
      </c>
      <c r="M79" s="11">
        <f ca="1">HYPERLINK(CONCATENATE("https://bugzilla.houston.hp.com:1181/bugzilla/show_bug.cgi?id=",INDIRECT(C70&amp;ROW())),INDIRECT(C70&amp;ROW()))</f>
        <v>50667</v>
      </c>
      <c r="N79">
        <v>50667</v>
      </c>
      <c r="O79" t="s">
        <v>50</v>
      </c>
      <c r="P79" t="s">
        <v>432</v>
      </c>
      <c r="Q79" t="s">
        <v>16</v>
      </c>
      <c r="R79" t="s">
        <v>251</v>
      </c>
      <c r="S79" t="s">
        <v>335</v>
      </c>
      <c r="U79" s="6">
        <v>42125.446539351855</v>
      </c>
      <c r="V79" t="s">
        <v>18</v>
      </c>
      <c r="W79" t="s">
        <v>17</v>
      </c>
      <c r="X79" s="6">
        <v>41908.131435185183</v>
      </c>
      <c r="Y79" t="s">
        <v>122</v>
      </c>
      <c r="AB79" t="s">
        <v>200</v>
      </c>
      <c r="AC79" t="s">
        <v>247</v>
      </c>
      <c r="AD79" t="s">
        <v>227</v>
      </c>
      <c r="AE79" t="s">
        <v>231</v>
      </c>
      <c r="AG79" t="s">
        <v>121</v>
      </c>
      <c r="AH79" t="s">
        <v>327</v>
      </c>
      <c r="AI79" t="s">
        <v>121</v>
      </c>
      <c r="AJ79" t="s">
        <v>716</v>
      </c>
      <c r="AK79" t="s">
        <v>121</v>
      </c>
    </row>
    <row r="80" spans="1:37" x14ac:dyDescent="0.3">
      <c r="A80" t="s">
        <v>272</v>
      </c>
      <c r="B80" t="s">
        <v>265</v>
      </c>
      <c r="I80">
        <f ca="1">IF(OR(INDIRECT(A73&amp;ROW())=B93,INDIRECT(A73&amp;ROW())=B94),1,IF(AND(INDIRECT(A73&amp;ROW())=B95,INDIRECT(A96&amp;ROW())=C93),1,IF(AND(INDIRECT(A73&amp;ROW())=B95,INDIRECT(A96&amp;ROW())=C94),1,0)))</f>
        <v>0</v>
      </c>
      <c r="J80">
        <f ca="1">IF(AND(INDIRECT(A73&amp;ROW())=B95,INDIRECT(A96&amp;ROW())=C95),1,IF(AND(INDIRECT(A73&amp;ROW())=B95,INDIRECT(A96&amp;ROW())=C96),1,0))</f>
        <v>0</v>
      </c>
      <c r="K80">
        <f ca="1">DAYS360(INDIRECT(C68&amp;ROW()),TODAY())</f>
        <v>802</v>
      </c>
      <c r="L80">
        <f ca="1">DAYS360(INDIRECT(C69&amp;ROW()),TODAY())</f>
        <v>933</v>
      </c>
      <c r="M80" s="11">
        <f ca="1">HYPERLINK(CONCATENATE("https://bugzilla.houston.hp.com:1181/bugzilla/show_bug.cgi?id=",INDIRECT(C70&amp;ROW())),INDIRECT(C70&amp;ROW()))</f>
        <v>50880</v>
      </c>
      <c r="N80">
        <v>50880</v>
      </c>
      <c r="O80" t="s">
        <v>66</v>
      </c>
      <c r="P80" t="s">
        <v>685</v>
      </c>
      <c r="Q80" t="s">
        <v>16</v>
      </c>
      <c r="R80" t="s">
        <v>251</v>
      </c>
      <c r="S80" t="s">
        <v>66</v>
      </c>
      <c r="U80" s="6">
        <v>42045.710277777776</v>
      </c>
      <c r="V80" t="s">
        <v>35</v>
      </c>
      <c r="W80" t="s">
        <v>17</v>
      </c>
      <c r="X80" s="6">
        <v>41911.766562500001</v>
      </c>
      <c r="Y80" t="s">
        <v>786</v>
      </c>
      <c r="AB80" t="s">
        <v>200</v>
      </c>
      <c r="AC80" t="s">
        <v>247</v>
      </c>
      <c r="AD80" t="s">
        <v>220</v>
      </c>
      <c r="AE80" t="s">
        <v>219</v>
      </c>
      <c r="AG80" t="s">
        <v>121</v>
      </c>
      <c r="AH80" t="s">
        <v>327</v>
      </c>
      <c r="AI80" t="s">
        <v>121</v>
      </c>
      <c r="AJ80" t="s">
        <v>716</v>
      </c>
      <c r="AK80" t="s">
        <v>121</v>
      </c>
    </row>
    <row r="81" spans="1:37" x14ac:dyDescent="0.3">
      <c r="A81" t="s">
        <v>154</v>
      </c>
      <c r="B81" t="s">
        <v>30</v>
      </c>
      <c r="C81" t="s">
        <v>160</v>
      </c>
      <c r="I81">
        <f ca="1">IF(OR(INDIRECT(A73&amp;ROW())=B93,INDIRECT(A73&amp;ROW())=B94),1,IF(AND(INDIRECT(A73&amp;ROW())=B95,INDIRECT(A96&amp;ROW())=C93),1,IF(AND(INDIRECT(A73&amp;ROW())=B95,INDIRECT(A96&amp;ROW())=C94),1,0)))</f>
        <v>1</v>
      </c>
      <c r="J81">
        <f ca="1">IF(AND(INDIRECT(A73&amp;ROW())=B95,INDIRECT(A96&amp;ROW())=C95),1,IF(AND(INDIRECT(A73&amp;ROW())=B95,INDIRECT(A96&amp;ROW())=C96),1,0))</f>
        <v>0</v>
      </c>
      <c r="K81">
        <f ca="1">DAYS360(INDIRECT(C68&amp;ROW()),TODAY())</f>
        <v>687</v>
      </c>
      <c r="L81">
        <f ca="1">DAYS360(INDIRECT(C69&amp;ROW()),TODAY())</f>
        <v>932</v>
      </c>
      <c r="M81" s="11">
        <f ca="1">HYPERLINK(CONCATENATE("https://bugzilla.houston.hp.com:1181/bugzilla/show_bug.cgi?id=",INDIRECT(C70&amp;ROW())),INDIRECT(C70&amp;ROW()))</f>
        <v>50953</v>
      </c>
      <c r="N81">
        <v>50953</v>
      </c>
      <c r="O81" t="s">
        <v>45</v>
      </c>
      <c r="P81" t="s">
        <v>684</v>
      </c>
      <c r="Q81" t="s">
        <v>25</v>
      </c>
      <c r="R81" t="s">
        <v>251</v>
      </c>
      <c r="S81" t="s">
        <v>21</v>
      </c>
      <c r="U81" s="6">
        <v>42160.512187499997</v>
      </c>
      <c r="V81" t="s">
        <v>18</v>
      </c>
      <c r="W81" t="s">
        <v>17</v>
      </c>
      <c r="X81" s="6">
        <v>41912.61074074074</v>
      </c>
      <c r="Y81" t="s">
        <v>123</v>
      </c>
      <c r="AB81" t="s">
        <v>200</v>
      </c>
      <c r="AC81" t="s">
        <v>247</v>
      </c>
      <c r="AD81" t="s">
        <v>227</v>
      </c>
      <c r="AE81" t="s">
        <v>226</v>
      </c>
      <c r="AG81" t="s">
        <v>121</v>
      </c>
      <c r="AH81" t="s">
        <v>64</v>
      </c>
      <c r="AI81" t="s">
        <v>121</v>
      </c>
      <c r="AJ81" t="s">
        <v>715</v>
      </c>
      <c r="AK81" t="s">
        <v>121</v>
      </c>
    </row>
    <row r="82" spans="1:37" x14ac:dyDescent="0.3">
      <c r="A82" t="s">
        <v>157</v>
      </c>
      <c r="B82" t="s">
        <v>161</v>
      </c>
      <c r="I82">
        <f ca="1">IF(OR(INDIRECT(A73&amp;ROW())=B93,INDIRECT(A73&amp;ROW())=B94),1,IF(AND(INDIRECT(A73&amp;ROW())=B95,INDIRECT(A96&amp;ROW())=C93),1,IF(AND(INDIRECT(A73&amp;ROW())=B95,INDIRECT(A96&amp;ROW())=C94),1,0)))</f>
        <v>0</v>
      </c>
      <c r="J82">
        <f ca="1">IF(AND(INDIRECT(A73&amp;ROW())=B95,INDIRECT(A96&amp;ROW())=C95),1,IF(AND(INDIRECT(A73&amp;ROW())=B95,INDIRECT(A96&amp;ROW())=C96),1,0))</f>
        <v>1</v>
      </c>
      <c r="K82">
        <f ca="1">DAYS360(INDIRECT(C68&amp;ROW()),TODAY())</f>
        <v>724</v>
      </c>
      <c r="L82">
        <f ca="1">DAYS360(INDIRECT(C69&amp;ROW()),TODAY())</f>
        <v>929</v>
      </c>
      <c r="M82" s="11">
        <f ca="1">HYPERLINK(CONCATENATE("https://bugzilla.houston.hp.com:1181/bugzilla/show_bug.cgi?id=",INDIRECT(C70&amp;ROW())),INDIRECT(C70&amp;ROW()))</f>
        <v>51087</v>
      </c>
      <c r="N82">
        <v>51087</v>
      </c>
      <c r="O82" t="s">
        <v>56</v>
      </c>
      <c r="P82" t="s">
        <v>431</v>
      </c>
      <c r="Q82" t="s">
        <v>25</v>
      </c>
      <c r="R82" t="s">
        <v>251</v>
      </c>
      <c r="S82" t="s">
        <v>53</v>
      </c>
      <c r="U82" s="6">
        <v>42122.352916666663</v>
      </c>
      <c r="V82" t="s">
        <v>18</v>
      </c>
      <c r="W82" t="s">
        <v>17</v>
      </c>
      <c r="X82" s="6">
        <v>41915.6015162037</v>
      </c>
      <c r="Y82" t="s">
        <v>122</v>
      </c>
      <c r="AB82" t="s">
        <v>201</v>
      </c>
      <c r="AC82" t="s">
        <v>247</v>
      </c>
      <c r="AD82" t="s">
        <v>220</v>
      </c>
      <c r="AE82" t="s">
        <v>219</v>
      </c>
      <c r="AG82" t="s">
        <v>121</v>
      </c>
      <c r="AH82" t="s">
        <v>327</v>
      </c>
      <c r="AI82" t="s">
        <v>121</v>
      </c>
      <c r="AJ82" t="s">
        <v>716</v>
      </c>
      <c r="AK82" t="s">
        <v>121</v>
      </c>
    </row>
    <row r="83" spans="1:37" x14ac:dyDescent="0.3">
      <c r="A83" t="s">
        <v>158</v>
      </c>
      <c r="B83" t="s">
        <v>162</v>
      </c>
      <c r="I83">
        <f ca="1">IF(OR(INDIRECT(A73&amp;ROW())=B93,INDIRECT(A73&amp;ROW())=B94),1,IF(AND(INDIRECT(A73&amp;ROW())=B95,INDIRECT(A96&amp;ROW())=C93),1,IF(AND(INDIRECT(A73&amp;ROW())=B95,INDIRECT(A96&amp;ROW())=C94),1,0)))</f>
        <v>0</v>
      </c>
      <c r="J83">
        <f ca="1">IF(AND(INDIRECT(A73&amp;ROW())=B95,INDIRECT(A96&amp;ROW())=C95),1,IF(AND(INDIRECT(A73&amp;ROW())=B95,INDIRECT(A96&amp;ROW())=C96),1,0))</f>
        <v>1</v>
      </c>
      <c r="K83">
        <f ca="1">DAYS360(INDIRECT(C68&amp;ROW()),TODAY())</f>
        <v>691</v>
      </c>
      <c r="L83">
        <f ca="1">DAYS360(INDIRECT(C69&amp;ROW()),TODAY())</f>
        <v>929</v>
      </c>
      <c r="M83" s="11">
        <f ca="1">HYPERLINK(CONCATENATE("https://bugzilla.houston.hp.com:1181/bugzilla/show_bug.cgi?id=",INDIRECT(C70&amp;ROW())),INDIRECT(C70&amp;ROW()))</f>
        <v>51092</v>
      </c>
      <c r="N83">
        <v>51092</v>
      </c>
      <c r="O83" t="s">
        <v>22</v>
      </c>
      <c r="P83" t="s">
        <v>430</v>
      </c>
      <c r="Q83" t="s">
        <v>25</v>
      </c>
      <c r="R83" t="s">
        <v>251</v>
      </c>
      <c r="S83" t="s">
        <v>22</v>
      </c>
      <c r="T83" t="s">
        <v>794</v>
      </c>
      <c r="U83" s="6">
        <v>42156.258032407408</v>
      </c>
      <c r="V83" t="s">
        <v>40</v>
      </c>
      <c r="W83" t="s">
        <v>17</v>
      </c>
      <c r="X83" s="6">
        <v>41915.671134259261</v>
      </c>
      <c r="Y83" t="s">
        <v>122</v>
      </c>
      <c r="AB83" t="s">
        <v>201</v>
      </c>
      <c r="AC83" t="s">
        <v>247</v>
      </c>
      <c r="AD83" t="s">
        <v>220</v>
      </c>
      <c r="AE83" t="s">
        <v>219</v>
      </c>
      <c r="AG83" t="s">
        <v>337</v>
      </c>
      <c r="AH83" t="s">
        <v>327</v>
      </c>
      <c r="AI83" t="s">
        <v>121</v>
      </c>
      <c r="AJ83" t="s">
        <v>716</v>
      </c>
      <c r="AK83" t="s">
        <v>121</v>
      </c>
    </row>
    <row r="84" spans="1:37" x14ac:dyDescent="0.3">
      <c r="A84" t="s">
        <v>159</v>
      </c>
      <c r="B84" t="s">
        <v>163</v>
      </c>
      <c r="I84">
        <f ca="1">IF(OR(INDIRECT(A73&amp;ROW())=B93,INDIRECT(A73&amp;ROW())=B94),1,IF(AND(INDIRECT(A73&amp;ROW())=B95,INDIRECT(A96&amp;ROW())=C93),1,IF(AND(INDIRECT(A73&amp;ROW())=B95,INDIRECT(A96&amp;ROW())=C94),1,0)))</f>
        <v>0</v>
      </c>
      <c r="J84">
        <f ca="1">IF(AND(INDIRECT(A73&amp;ROW())=B95,INDIRECT(A96&amp;ROW())=C95),1,IF(AND(INDIRECT(A73&amp;ROW())=B95,INDIRECT(A96&amp;ROW())=C96),1,0))</f>
        <v>1</v>
      </c>
      <c r="K84">
        <f ca="1">DAYS360(INDIRECT(C68&amp;ROW()),TODAY())</f>
        <v>690</v>
      </c>
      <c r="L84">
        <f ca="1">DAYS360(INDIRECT(C69&amp;ROW()),TODAY())</f>
        <v>925</v>
      </c>
      <c r="M84" s="11">
        <f ca="1">HYPERLINK(CONCATENATE("https://bugzilla.houston.hp.com:1181/bugzilla/show_bug.cgi?id=",INDIRECT(C70&amp;ROW())),INDIRECT(C70&amp;ROW()))</f>
        <v>51177</v>
      </c>
      <c r="N84">
        <v>51177</v>
      </c>
      <c r="O84" t="s">
        <v>66</v>
      </c>
      <c r="P84" t="s">
        <v>1051</v>
      </c>
      <c r="Q84" t="s">
        <v>25</v>
      </c>
      <c r="R84" t="s">
        <v>251</v>
      </c>
      <c r="S84" t="s">
        <v>33</v>
      </c>
      <c r="T84" t="s">
        <v>794</v>
      </c>
      <c r="U84" s="6">
        <v>42157.088888888888</v>
      </c>
      <c r="V84" t="s">
        <v>35</v>
      </c>
      <c r="W84" t="s">
        <v>17</v>
      </c>
      <c r="X84" s="6">
        <v>41919.239328703705</v>
      </c>
      <c r="Y84" t="s">
        <v>119</v>
      </c>
      <c r="AB84" t="s">
        <v>201</v>
      </c>
      <c r="AC84" t="s">
        <v>247</v>
      </c>
      <c r="AD84" t="s">
        <v>220</v>
      </c>
      <c r="AE84" t="s">
        <v>223</v>
      </c>
      <c r="AG84" t="s">
        <v>121</v>
      </c>
      <c r="AH84" t="s">
        <v>64</v>
      </c>
      <c r="AI84" t="s">
        <v>121</v>
      </c>
      <c r="AJ84" t="s">
        <v>716</v>
      </c>
      <c r="AK84" t="s">
        <v>121</v>
      </c>
    </row>
    <row r="85" spans="1:37" x14ac:dyDescent="0.3">
      <c r="A85" t="s">
        <v>251</v>
      </c>
      <c r="B85" t="s">
        <v>163</v>
      </c>
      <c r="I85">
        <f ca="1">IF(OR(INDIRECT(A73&amp;ROW())=B93,INDIRECT(A73&amp;ROW())=B94),1,IF(AND(INDIRECT(A73&amp;ROW())=B95,INDIRECT(A96&amp;ROW())=C93),1,IF(AND(INDIRECT(A73&amp;ROW())=B95,INDIRECT(A96&amp;ROW())=C94),1,0)))</f>
        <v>0</v>
      </c>
      <c r="J85">
        <f ca="1">IF(AND(INDIRECT(A73&amp;ROW())=B95,INDIRECT(A96&amp;ROW())=C95),1,IF(AND(INDIRECT(A73&amp;ROW())=B95,INDIRECT(A96&amp;ROW())=C96),1,0))</f>
        <v>1</v>
      </c>
      <c r="K85">
        <f ca="1">DAYS360(INDIRECT(C68&amp;ROW()),TODAY())</f>
        <v>724</v>
      </c>
      <c r="L85">
        <f ca="1">DAYS360(INDIRECT(C69&amp;ROW()),TODAY())</f>
        <v>925</v>
      </c>
      <c r="M85" s="11">
        <f ca="1">HYPERLINK(CONCATENATE("https://bugzilla.houston.hp.com:1181/bugzilla/show_bug.cgi?id=",INDIRECT(C70&amp;ROW())),INDIRECT(C70&amp;ROW()))</f>
        <v>51197</v>
      </c>
      <c r="N85">
        <v>51197</v>
      </c>
      <c r="O85" t="s">
        <v>45</v>
      </c>
      <c r="P85" t="s">
        <v>429</v>
      </c>
      <c r="Q85" t="s">
        <v>25</v>
      </c>
      <c r="R85" t="s">
        <v>251</v>
      </c>
      <c r="S85" t="s">
        <v>45</v>
      </c>
      <c r="T85" t="s">
        <v>287</v>
      </c>
      <c r="U85" s="6">
        <v>42122.350775462961</v>
      </c>
      <c r="V85" t="s">
        <v>35</v>
      </c>
      <c r="W85" t="s">
        <v>17</v>
      </c>
      <c r="X85" s="6">
        <v>41919.538078703707</v>
      </c>
      <c r="Y85" t="s">
        <v>122</v>
      </c>
      <c r="AB85" t="s">
        <v>201</v>
      </c>
      <c r="AC85" t="s">
        <v>247</v>
      </c>
      <c r="AD85" t="s">
        <v>227</v>
      </c>
      <c r="AE85" t="s">
        <v>226</v>
      </c>
      <c r="AG85" t="s">
        <v>121</v>
      </c>
      <c r="AH85" t="s">
        <v>327</v>
      </c>
      <c r="AI85" t="s">
        <v>121</v>
      </c>
      <c r="AJ85" t="s">
        <v>716</v>
      </c>
      <c r="AK85" t="s">
        <v>121</v>
      </c>
    </row>
    <row r="86" spans="1:37" x14ac:dyDescent="0.3">
      <c r="A86" t="s">
        <v>166</v>
      </c>
      <c r="I86">
        <f ca="1">IF(OR(INDIRECT(A73&amp;ROW())=B93,INDIRECT(A73&amp;ROW())=B94),1,IF(AND(INDIRECT(A73&amp;ROW())=B95,INDIRECT(A96&amp;ROW())=C93),1,IF(AND(INDIRECT(A73&amp;ROW())=B95,INDIRECT(A96&amp;ROW())=C94),1,0)))</f>
        <v>0</v>
      </c>
      <c r="J86">
        <f ca="1">IF(AND(INDIRECT(A73&amp;ROW())=B95,INDIRECT(A96&amp;ROW())=C95),1,IF(AND(INDIRECT(A73&amp;ROW())=B95,INDIRECT(A96&amp;ROW())=C96),1,0))</f>
        <v>0</v>
      </c>
      <c r="K86">
        <f ca="1">DAYS360(INDIRECT(C68&amp;ROW()),TODAY())</f>
        <v>721</v>
      </c>
      <c r="L86">
        <f ca="1">DAYS360(INDIRECT(C69&amp;ROW()),TODAY())</f>
        <v>924</v>
      </c>
      <c r="M86" s="11">
        <f ca="1">HYPERLINK(CONCATENATE("https://bugzilla.houston.hp.com:1181/bugzilla/show_bug.cgi?id=",INDIRECT(C70&amp;ROW())),INDIRECT(C70&amp;ROW()))</f>
        <v>51276</v>
      </c>
      <c r="N86">
        <v>51276</v>
      </c>
      <c r="O86" t="s">
        <v>88</v>
      </c>
      <c r="P86" t="s">
        <v>428</v>
      </c>
      <c r="Q86" t="s">
        <v>16</v>
      </c>
      <c r="R86" t="s">
        <v>251</v>
      </c>
      <c r="S86" t="s">
        <v>294</v>
      </c>
      <c r="U86" s="6">
        <v>42125.446319444447</v>
      </c>
      <c r="V86" t="s">
        <v>18</v>
      </c>
      <c r="W86" t="s">
        <v>17</v>
      </c>
      <c r="X86" s="6">
        <v>41920.661064814813</v>
      </c>
      <c r="Y86" t="s">
        <v>122</v>
      </c>
      <c r="AB86" t="s">
        <v>201</v>
      </c>
      <c r="AC86" t="s">
        <v>247</v>
      </c>
      <c r="AD86" t="s">
        <v>222</v>
      </c>
      <c r="AE86" t="s">
        <v>225</v>
      </c>
      <c r="AG86" t="s">
        <v>121</v>
      </c>
      <c r="AH86" t="s">
        <v>327</v>
      </c>
      <c r="AI86" t="s">
        <v>121</v>
      </c>
      <c r="AJ86" t="s">
        <v>717</v>
      </c>
      <c r="AK86" t="s">
        <v>121</v>
      </c>
    </row>
    <row r="87" spans="1:37" x14ac:dyDescent="0.3">
      <c r="A87" t="s">
        <v>169</v>
      </c>
      <c r="B87" t="s">
        <v>163</v>
      </c>
      <c r="C87" t="s">
        <v>170</v>
      </c>
      <c r="I87">
        <f ca="1">IF(OR(INDIRECT(A73&amp;ROW())=B93,INDIRECT(A73&amp;ROW())=B94),1,IF(AND(INDIRECT(A73&amp;ROW())=B95,INDIRECT(A96&amp;ROW())=C93),1,IF(AND(INDIRECT(A73&amp;ROW())=B95,INDIRECT(A96&amp;ROW())=C94),1,0)))</f>
        <v>0</v>
      </c>
      <c r="J87">
        <f ca="1">IF(AND(INDIRECT(A73&amp;ROW())=B95,INDIRECT(A96&amp;ROW())=C95),1,IF(AND(INDIRECT(A73&amp;ROW())=B95,INDIRECT(A96&amp;ROW())=C96),1,0))</f>
        <v>0</v>
      </c>
      <c r="K87">
        <f ca="1">DAYS360(INDIRECT(C68&amp;ROW()),TODAY())</f>
        <v>721</v>
      </c>
      <c r="L87">
        <f ca="1">DAYS360(INDIRECT(C69&amp;ROW()),TODAY())</f>
        <v>919</v>
      </c>
      <c r="M87" s="11">
        <f ca="1">HYPERLINK(CONCATENATE("https://bugzilla.houston.hp.com:1181/bugzilla/show_bug.cgi?id=",INDIRECT(C70&amp;ROW())),INDIRECT(C70&amp;ROW()))</f>
        <v>51523</v>
      </c>
      <c r="N87">
        <v>51523</v>
      </c>
      <c r="O87" t="s">
        <v>21</v>
      </c>
      <c r="P87" t="s">
        <v>427</v>
      </c>
      <c r="Q87" t="s">
        <v>16</v>
      </c>
      <c r="R87" t="s">
        <v>251</v>
      </c>
      <c r="S87" t="s">
        <v>22</v>
      </c>
      <c r="U87" s="6">
        <v>42125.447500000002</v>
      </c>
      <c r="V87" t="s">
        <v>18</v>
      </c>
      <c r="W87" t="s">
        <v>17</v>
      </c>
      <c r="X87" s="6">
        <v>41925.70585648148</v>
      </c>
      <c r="Y87" t="s">
        <v>122</v>
      </c>
      <c r="AB87" t="s">
        <v>201</v>
      </c>
      <c r="AC87" t="s">
        <v>247</v>
      </c>
      <c r="AD87" t="s">
        <v>222</v>
      </c>
      <c r="AE87" t="s">
        <v>225</v>
      </c>
      <c r="AG87" t="s">
        <v>121</v>
      </c>
      <c r="AH87" t="s">
        <v>327</v>
      </c>
      <c r="AI87" t="s">
        <v>121</v>
      </c>
      <c r="AJ87" t="s">
        <v>717</v>
      </c>
      <c r="AK87" t="s">
        <v>121</v>
      </c>
    </row>
    <row r="88" spans="1:37" x14ac:dyDescent="0.3">
      <c r="A88" t="s">
        <v>261</v>
      </c>
      <c r="I88">
        <f ca="1">IF(OR(INDIRECT(A73&amp;ROW())=B93,INDIRECT(A73&amp;ROW())=B94),1,IF(AND(INDIRECT(A73&amp;ROW())=B95,INDIRECT(A96&amp;ROW())=C93),1,IF(AND(INDIRECT(A73&amp;ROW())=B95,INDIRECT(A96&amp;ROW())=C94),1,0)))</f>
        <v>0</v>
      </c>
      <c r="J88">
        <f ca="1">IF(AND(INDIRECT(A73&amp;ROW())=B95,INDIRECT(A96&amp;ROW())=C95),1,IF(AND(INDIRECT(A73&amp;ROW())=B95,INDIRECT(A96&amp;ROW())=C96),1,0))</f>
        <v>0</v>
      </c>
      <c r="K88">
        <f ca="1">DAYS360(INDIRECT(C68&amp;ROW()),TODAY())</f>
        <v>710</v>
      </c>
      <c r="L88">
        <f ca="1">DAYS360(INDIRECT(C69&amp;ROW()),TODAY())</f>
        <v>918</v>
      </c>
      <c r="M88" s="11">
        <f ca="1">HYPERLINK(CONCATENATE("https://bugzilla.houston.hp.com:1181/bugzilla/show_bug.cgi?id=",INDIRECT(C70&amp;ROW())),INDIRECT(C70&amp;ROW()))</f>
        <v>51589</v>
      </c>
      <c r="N88">
        <v>51589</v>
      </c>
      <c r="O88" t="s">
        <v>66</v>
      </c>
      <c r="P88" t="s">
        <v>1050</v>
      </c>
      <c r="Q88" t="s">
        <v>16</v>
      </c>
      <c r="R88" t="s">
        <v>251</v>
      </c>
      <c r="S88" t="s">
        <v>66</v>
      </c>
      <c r="U88" s="6">
        <v>42136.635497685187</v>
      </c>
      <c r="V88" t="s">
        <v>18</v>
      </c>
      <c r="W88" t="s">
        <v>17</v>
      </c>
      <c r="X88" s="6">
        <v>41926.76421296296</v>
      </c>
      <c r="Y88" t="s">
        <v>255</v>
      </c>
      <c r="AB88" t="s">
        <v>201</v>
      </c>
      <c r="AC88" t="s">
        <v>247</v>
      </c>
      <c r="AD88" t="s">
        <v>220</v>
      </c>
      <c r="AE88" t="s">
        <v>219</v>
      </c>
      <c r="AG88" t="s">
        <v>121</v>
      </c>
      <c r="AH88" t="s">
        <v>327</v>
      </c>
      <c r="AI88" t="s">
        <v>121</v>
      </c>
      <c r="AJ88" t="s">
        <v>716</v>
      </c>
      <c r="AK88" t="s">
        <v>121</v>
      </c>
    </row>
    <row r="89" spans="1:37" x14ac:dyDescent="0.3">
      <c r="A89" t="s">
        <v>158</v>
      </c>
      <c r="I89">
        <f ca="1">IF(OR(INDIRECT(A73&amp;ROW())=B93,INDIRECT(A73&amp;ROW())=B94),1,IF(AND(INDIRECT(A73&amp;ROW())=B95,INDIRECT(A96&amp;ROW())=C93),1,IF(AND(INDIRECT(A73&amp;ROW())=B95,INDIRECT(A96&amp;ROW())=C94),1,0)))</f>
        <v>0</v>
      </c>
      <c r="J89">
        <f ca="1">IF(AND(INDIRECT(A73&amp;ROW())=B95,INDIRECT(A96&amp;ROW())=C95),1,IF(AND(INDIRECT(A73&amp;ROW())=B95,INDIRECT(A96&amp;ROW())=C96),1,0))</f>
        <v>0</v>
      </c>
      <c r="K89">
        <f ca="1">DAYS360(INDIRECT(C68&amp;ROW()),TODAY())</f>
        <v>688</v>
      </c>
      <c r="L89">
        <f ca="1">DAYS360(INDIRECT(C69&amp;ROW()),TODAY())</f>
        <v>912</v>
      </c>
      <c r="M89" s="11">
        <f ca="1">HYPERLINK(CONCATENATE("https://bugzilla.houston.hp.com:1181/bugzilla/show_bug.cgi?id=",INDIRECT(C70&amp;ROW())),INDIRECT(C70&amp;ROW()))</f>
        <v>51898</v>
      </c>
      <c r="N89">
        <v>51898</v>
      </c>
      <c r="O89" t="s">
        <v>56</v>
      </c>
      <c r="P89" t="s">
        <v>683</v>
      </c>
      <c r="Q89" t="s">
        <v>16</v>
      </c>
      <c r="R89" t="s">
        <v>251</v>
      </c>
      <c r="S89" t="s">
        <v>323</v>
      </c>
      <c r="U89" s="6">
        <v>42159.550162037034</v>
      </c>
      <c r="V89" t="s">
        <v>18</v>
      </c>
      <c r="W89" t="s">
        <v>17</v>
      </c>
      <c r="X89" s="6">
        <v>41932.742824074077</v>
      </c>
      <c r="Y89" t="s">
        <v>122</v>
      </c>
      <c r="AB89" t="s">
        <v>200</v>
      </c>
      <c r="AC89" t="s">
        <v>247</v>
      </c>
      <c r="AD89" t="s">
        <v>220</v>
      </c>
      <c r="AE89" t="s">
        <v>219</v>
      </c>
      <c r="AG89" t="s">
        <v>121</v>
      </c>
      <c r="AH89" t="s">
        <v>64</v>
      </c>
      <c r="AI89" t="s">
        <v>121</v>
      </c>
      <c r="AJ89" t="s">
        <v>716</v>
      </c>
      <c r="AK89" t="s">
        <v>121</v>
      </c>
    </row>
    <row r="90" spans="1:37" x14ac:dyDescent="0.3">
      <c r="A90" t="s">
        <v>262</v>
      </c>
      <c r="I90">
        <f ca="1">IF(OR(INDIRECT(A73&amp;ROW())=B93,INDIRECT(A73&amp;ROW())=B94),1,IF(AND(INDIRECT(A73&amp;ROW())=B95,INDIRECT(A96&amp;ROW())=C93),1,IF(AND(INDIRECT(A73&amp;ROW())=B95,INDIRECT(A96&amp;ROW())=C94),1,0)))</f>
        <v>0</v>
      </c>
      <c r="J90">
        <f ca="1">IF(AND(INDIRECT(A73&amp;ROW())=B95,INDIRECT(A96&amp;ROW())=C95),1,IF(AND(INDIRECT(A73&amp;ROW())=B95,INDIRECT(A96&amp;ROW())=C96),1,0))</f>
        <v>0</v>
      </c>
      <c r="K90">
        <f ca="1">DAYS360(INDIRECT(C68&amp;ROW()),TODAY())</f>
        <v>721</v>
      </c>
      <c r="L90">
        <f ca="1">DAYS360(INDIRECT(C69&amp;ROW()),TODAY())</f>
        <v>908</v>
      </c>
      <c r="M90" s="11">
        <f ca="1">HYPERLINK(CONCATENATE("https://bugzilla.houston.hp.com:1181/bugzilla/show_bug.cgi?id=",INDIRECT(C70&amp;ROW())),INDIRECT(C70&amp;ROW()))</f>
        <v>52136</v>
      </c>
      <c r="N90">
        <v>52136</v>
      </c>
      <c r="O90" t="s">
        <v>65</v>
      </c>
      <c r="P90" t="s">
        <v>426</v>
      </c>
      <c r="Q90" t="s">
        <v>16</v>
      </c>
      <c r="R90" t="s">
        <v>251</v>
      </c>
      <c r="S90" t="s">
        <v>43</v>
      </c>
      <c r="U90" s="6">
        <v>42125.447581018518</v>
      </c>
      <c r="V90" t="s">
        <v>18</v>
      </c>
      <c r="W90" t="s">
        <v>17</v>
      </c>
      <c r="X90" s="6">
        <v>41936.676226851851</v>
      </c>
      <c r="Y90" t="s">
        <v>122</v>
      </c>
      <c r="AB90" t="s">
        <v>201</v>
      </c>
      <c r="AC90" t="s">
        <v>247</v>
      </c>
      <c r="AD90" t="s">
        <v>220</v>
      </c>
      <c r="AE90" t="s">
        <v>219</v>
      </c>
      <c r="AG90" t="s">
        <v>121</v>
      </c>
      <c r="AH90" t="s">
        <v>64</v>
      </c>
      <c r="AI90" t="s">
        <v>121</v>
      </c>
      <c r="AJ90" t="s">
        <v>717</v>
      </c>
      <c r="AK90" t="s">
        <v>121</v>
      </c>
    </row>
    <row r="91" spans="1:37" x14ac:dyDescent="0.3">
      <c r="A91" t="s">
        <v>229</v>
      </c>
      <c r="I91">
        <f ca="1">IF(OR(INDIRECT(A73&amp;ROW())=B93,INDIRECT(A73&amp;ROW())=B94),1,IF(AND(INDIRECT(A73&amp;ROW())=B95,INDIRECT(A96&amp;ROW())=C93),1,IF(AND(INDIRECT(A73&amp;ROW())=B95,INDIRECT(A96&amp;ROW())=C94),1,0)))</f>
        <v>0</v>
      </c>
      <c r="J91">
        <f ca="1">IF(AND(INDIRECT(A73&amp;ROW())=B95,INDIRECT(A96&amp;ROW())=C95),1,IF(AND(INDIRECT(A73&amp;ROW())=B95,INDIRECT(A96&amp;ROW())=C96),1,0))</f>
        <v>0</v>
      </c>
      <c r="K91">
        <f ca="1">DAYS360(INDIRECT(C68&amp;ROW()),TODAY())</f>
        <v>721</v>
      </c>
      <c r="L91">
        <f ca="1">DAYS360(INDIRECT(C69&amp;ROW()),TODAY())</f>
        <v>904</v>
      </c>
      <c r="M91" s="11">
        <f ca="1">HYPERLINK(CONCATENATE("https://bugzilla.houston.hp.com:1181/bugzilla/show_bug.cgi?id=",INDIRECT(C70&amp;ROW())),INDIRECT(C70&amp;ROW()))</f>
        <v>52294</v>
      </c>
      <c r="N91">
        <v>52294</v>
      </c>
      <c r="O91" t="s">
        <v>56</v>
      </c>
      <c r="P91" t="s">
        <v>682</v>
      </c>
      <c r="Q91" t="s">
        <v>16</v>
      </c>
      <c r="R91" t="s">
        <v>251</v>
      </c>
      <c r="S91" t="s">
        <v>323</v>
      </c>
      <c r="T91" t="s">
        <v>353</v>
      </c>
      <c r="U91" s="6">
        <v>42125.447696759256</v>
      </c>
      <c r="V91" t="s">
        <v>18</v>
      </c>
      <c r="W91" t="s">
        <v>17</v>
      </c>
      <c r="X91" s="6">
        <v>41940.594814814816</v>
      </c>
      <c r="Y91" t="s">
        <v>122</v>
      </c>
      <c r="AB91" t="s">
        <v>200</v>
      </c>
      <c r="AC91" t="s">
        <v>247</v>
      </c>
      <c r="AD91" t="s">
        <v>220</v>
      </c>
      <c r="AE91" t="s">
        <v>219</v>
      </c>
      <c r="AG91" t="s">
        <v>121</v>
      </c>
      <c r="AH91" t="s">
        <v>64</v>
      </c>
      <c r="AI91" t="s">
        <v>121</v>
      </c>
      <c r="AJ91" t="s">
        <v>716</v>
      </c>
      <c r="AK91" t="s">
        <v>121</v>
      </c>
    </row>
    <row r="92" spans="1:37" x14ac:dyDescent="0.3">
      <c r="A92" t="s">
        <v>242</v>
      </c>
      <c r="B92" t="s">
        <v>375</v>
      </c>
      <c r="I92">
        <f ca="1">IF(OR(INDIRECT(A73&amp;ROW())=B93,INDIRECT(A73&amp;ROW())=B94),1,IF(AND(INDIRECT(A73&amp;ROW())=B95,INDIRECT(A96&amp;ROW())=C93),1,IF(AND(INDIRECT(A73&amp;ROW())=B95,INDIRECT(A96&amp;ROW())=C94),1,0)))</f>
        <v>0</v>
      </c>
      <c r="J92">
        <f ca="1">IF(AND(INDIRECT(A73&amp;ROW())=B95,INDIRECT(A96&amp;ROW())=C95),1,IF(AND(INDIRECT(A73&amp;ROW())=B95,INDIRECT(A96&amp;ROW())=C96),1,0))</f>
        <v>1</v>
      </c>
      <c r="K92">
        <f ca="1">DAYS360(INDIRECT(C68&amp;ROW()),TODAY())</f>
        <v>730</v>
      </c>
      <c r="L92">
        <f ca="1">DAYS360(INDIRECT(C69&amp;ROW()),TODAY())</f>
        <v>903</v>
      </c>
      <c r="M92" s="11">
        <f ca="1">HYPERLINK(CONCATENATE("https://bugzilla.houston.hp.com:1181/bugzilla/show_bug.cgi?id=",INDIRECT(C70&amp;ROW())),INDIRECT(C70&amp;ROW()))</f>
        <v>52318</v>
      </c>
      <c r="N92">
        <v>52318</v>
      </c>
      <c r="O92" t="s">
        <v>19</v>
      </c>
      <c r="P92" t="s">
        <v>492</v>
      </c>
      <c r="Q92" t="s">
        <v>25</v>
      </c>
      <c r="R92" t="s">
        <v>251</v>
      </c>
      <c r="S92" t="s">
        <v>354</v>
      </c>
      <c r="U92" s="6">
        <v>42116.542094907411</v>
      </c>
      <c r="V92" t="s">
        <v>18</v>
      </c>
      <c r="W92" t="s">
        <v>17</v>
      </c>
      <c r="X92" s="6">
        <v>41941.160590277781</v>
      </c>
      <c r="Y92" t="s">
        <v>255</v>
      </c>
      <c r="AB92" t="s">
        <v>201</v>
      </c>
      <c r="AC92" t="s">
        <v>247</v>
      </c>
      <c r="AD92" t="s">
        <v>220</v>
      </c>
      <c r="AE92" t="s">
        <v>219</v>
      </c>
      <c r="AG92" t="s">
        <v>121</v>
      </c>
      <c r="AH92" t="s">
        <v>64</v>
      </c>
      <c r="AI92" t="s">
        <v>121</v>
      </c>
      <c r="AJ92" t="s">
        <v>716</v>
      </c>
      <c r="AK92" t="s">
        <v>121</v>
      </c>
    </row>
    <row r="93" spans="1:37" x14ac:dyDescent="0.3">
      <c r="A93" t="s">
        <v>18</v>
      </c>
      <c r="B93" t="s">
        <v>38</v>
      </c>
      <c r="C93" t="s">
        <v>199</v>
      </c>
      <c r="I93">
        <f ca="1">IF(OR(INDIRECT(A73&amp;ROW())=B93,INDIRECT(A73&amp;ROW())=B94),1,IF(AND(INDIRECT(A73&amp;ROW())=B95,INDIRECT(A96&amp;ROW())=C93),1,IF(AND(INDIRECT(A73&amp;ROW())=B95,INDIRECT(A96&amp;ROW())=C94),1,0)))</f>
        <v>0</v>
      </c>
      <c r="J93">
        <f ca="1">IF(AND(INDIRECT(A73&amp;ROW())=B95,INDIRECT(A96&amp;ROW())=C95),1,IF(AND(INDIRECT(A73&amp;ROW())=B95,INDIRECT(A96&amp;ROW())=C96),1,0))</f>
        <v>0</v>
      </c>
      <c r="K93">
        <f ca="1">DAYS360(INDIRECT(C68&amp;ROW()),TODAY())</f>
        <v>721</v>
      </c>
      <c r="L93">
        <f ca="1">DAYS360(INDIRECT(C69&amp;ROW()),TODAY())</f>
        <v>902</v>
      </c>
      <c r="M93" s="11">
        <f ca="1">HYPERLINK(CONCATENATE("https://bugzilla.houston.hp.com:1181/bugzilla/show_bug.cgi?id=",INDIRECT(C70&amp;ROW())),INDIRECT(C70&amp;ROW()))</f>
        <v>52390</v>
      </c>
      <c r="N93">
        <v>52390</v>
      </c>
      <c r="O93" t="s">
        <v>249</v>
      </c>
      <c r="P93" t="s">
        <v>681</v>
      </c>
      <c r="Q93" t="s">
        <v>16</v>
      </c>
      <c r="R93" t="s">
        <v>251</v>
      </c>
      <c r="S93" t="s">
        <v>36</v>
      </c>
      <c r="U93" s="6">
        <v>42125.447604166664</v>
      </c>
      <c r="V93" t="s">
        <v>18</v>
      </c>
      <c r="W93" t="s">
        <v>17</v>
      </c>
      <c r="X93" s="6">
        <v>41942.304166666669</v>
      </c>
      <c r="Y93" t="s">
        <v>122</v>
      </c>
      <c r="AB93" t="s">
        <v>201</v>
      </c>
      <c r="AC93" t="s">
        <v>247</v>
      </c>
      <c r="AD93" t="s">
        <v>220</v>
      </c>
      <c r="AE93" t="s">
        <v>223</v>
      </c>
      <c r="AG93" t="s">
        <v>121</v>
      </c>
      <c r="AH93" t="s">
        <v>64</v>
      </c>
      <c r="AI93" t="s">
        <v>121</v>
      </c>
      <c r="AJ93" t="s">
        <v>717</v>
      </c>
      <c r="AK93" t="s">
        <v>121</v>
      </c>
    </row>
    <row r="94" spans="1:37" x14ac:dyDescent="0.3">
      <c r="A94" t="s">
        <v>35</v>
      </c>
      <c r="B94" t="s">
        <v>39</v>
      </c>
      <c r="C94" t="s">
        <v>200</v>
      </c>
      <c r="I94">
        <f ca="1">IF(OR(INDIRECT(A73&amp;ROW())=B93,INDIRECT(A73&amp;ROW())=B94),1,IF(AND(INDIRECT(A73&amp;ROW())=B95,INDIRECT(A96&amp;ROW())=C93),1,IF(AND(INDIRECT(A73&amp;ROW())=B95,INDIRECT(A96&amp;ROW())=C94),1,0)))</f>
        <v>0</v>
      </c>
      <c r="J94">
        <f ca="1">IF(AND(INDIRECT(A73&amp;ROW())=B95,INDIRECT(A96&amp;ROW())=C95),1,IF(AND(INDIRECT(A73&amp;ROW())=B95,INDIRECT(A96&amp;ROW())=C96),1,0))</f>
        <v>0</v>
      </c>
      <c r="K94">
        <f ca="1">DAYS360(INDIRECT(C68&amp;ROW()),TODAY())</f>
        <v>721</v>
      </c>
      <c r="L94">
        <f ca="1">DAYS360(INDIRECT(C69&amp;ROW()),TODAY())</f>
        <v>902</v>
      </c>
      <c r="M94" s="11">
        <f ca="1">HYPERLINK(CONCATENATE("https://bugzilla.houston.hp.com:1181/bugzilla/show_bug.cgi?id=",INDIRECT(C70&amp;ROW())),INDIRECT(C70&amp;ROW()))</f>
        <v>52482</v>
      </c>
      <c r="N94">
        <v>52482</v>
      </c>
      <c r="O94" t="s">
        <v>66</v>
      </c>
      <c r="P94" t="s">
        <v>743</v>
      </c>
      <c r="Q94" t="s">
        <v>16</v>
      </c>
      <c r="R94" t="s">
        <v>251</v>
      </c>
      <c r="S94" t="s">
        <v>323</v>
      </c>
      <c r="U94" s="6">
        <v>42125.447534722225</v>
      </c>
      <c r="V94" t="s">
        <v>18</v>
      </c>
      <c r="W94" t="s">
        <v>17</v>
      </c>
      <c r="X94" s="6">
        <v>41943.450358796297</v>
      </c>
      <c r="Y94" t="s">
        <v>122</v>
      </c>
      <c r="AB94" t="s">
        <v>201</v>
      </c>
      <c r="AC94" t="s">
        <v>247</v>
      </c>
      <c r="AD94" t="s">
        <v>220</v>
      </c>
      <c r="AE94" t="s">
        <v>219</v>
      </c>
      <c r="AG94" t="s">
        <v>121</v>
      </c>
      <c r="AH94" t="s">
        <v>327</v>
      </c>
      <c r="AI94" t="s">
        <v>121</v>
      </c>
      <c r="AJ94" t="s">
        <v>717</v>
      </c>
      <c r="AK94" t="s">
        <v>121</v>
      </c>
    </row>
    <row r="95" spans="1:37" x14ac:dyDescent="0.3">
      <c r="A95" t="s">
        <v>40</v>
      </c>
      <c r="B95" t="s">
        <v>25</v>
      </c>
      <c r="C95" t="s">
        <v>201</v>
      </c>
      <c r="I95">
        <f ca="1">IF(OR(INDIRECT(A73&amp;ROW())=B93,INDIRECT(A73&amp;ROW())=B94),1,IF(AND(INDIRECT(A73&amp;ROW())=B95,INDIRECT(A96&amp;ROW())=C93),1,IF(AND(INDIRECT(A73&amp;ROW())=B95,INDIRECT(A96&amp;ROW())=C94),1,0)))</f>
        <v>1</v>
      </c>
      <c r="J95">
        <f ca="1">IF(AND(INDIRECT(A73&amp;ROW())=B95,INDIRECT(A96&amp;ROW())=C95),1,IF(AND(INDIRECT(A73&amp;ROW())=B95,INDIRECT(A96&amp;ROW())=C96),1,0))</f>
        <v>0</v>
      </c>
      <c r="K95">
        <f ca="1">DAYS360(INDIRECT(C68&amp;ROW()),TODAY())</f>
        <v>724</v>
      </c>
      <c r="L95">
        <f ca="1">DAYS360(INDIRECT(C69&amp;ROW()),TODAY())</f>
        <v>899</v>
      </c>
      <c r="M95" s="11">
        <f ca="1">HYPERLINK(CONCATENATE("https://bugzilla.houston.hp.com:1181/bugzilla/show_bug.cgi?id=",INDIRECT(C70&amp;ROW())),INDIRECT(C70&amp;ROW()))</f>
        <v>52549</v>
      </c>
      <c r="N95">
        <v>52549</v>
      </c>
      <c r="O95" t="s">
        <v>188</v>
      </c>
      <c r="P95" t="s">
        <v>742</v>
      </c>
      <c r="Q95" t="s">
        <v>25</v>
      </c>
      <c r="R95" t="s">
        <v>251</v>
      </c>
      <c r="S95" t="s">
        <v>44</v>
      </c>
      <c r="U95" s="6">
        <v>42122.35260416667</v>
      </c>
      <c r="V95" t="s">
        <v>18</v>
      </c>
      <c r="W95" t="s">
        <v>17</v>
      </c>
      <c r="X95" s="6">
        <v>41946.398634259262</v>
      </c>
      <c r="Y95" t="s">
        <v>119</v>
      </c>
      <c r="AB95" t="s">
        <v>200</v>
      </c>
      <c r="AC95" t="s">
        <v>121</v>
      </c>
      <c r="AD95" t="s">
        <v>222</v>
      </c>
      <c r="AE95" t="s">
        <v>233</v>
      </c>
      <c r="AF95" s="13">
        <v>41878</v>
      </c>
      <c r="AG95" t="s">
        <v>121</v>
      </c>
      <c r="AH95" t="s">
        <v>64</v>
      </c>
      <c r="AI95" t="s">
        <v>362</v>
      </c>
      <c r="AJ95" t="s">
        <v>715</v>
      </c>
      <c r="AK95" t="s">
        <v>121</v>
      </c>
    </row>
    <row r="96" spans="1:37" x14ac:dyDescent="0.3">
      <c r="A96" t="s">
        <v>352</v>
      </c>
      <c r="B96" t="s">
        <v>266</v>
      </c>
      <c r="C96" t="s">
        <v>318</v>
      </c>
      <c r="I96">
        <f ca="1">IF(OR(INDIRECT(A73&amp;ROW())=B93,INDIRECT(A73&amp;ROW())=B94),1,IF(AND(INDIRECT(A73&amp;ROW())=B95,INDIRECT(A96&amp;ROW())=C93),1,IF(AND(INDIRECT(A73&amp;ROW())=B95,INDIRECT(A96&amp;ROW())=C94),1,0)))</f>
        <v>1</v>
      </c>
      <c r="J96">
        <f ca="1">IF(AND(INDIRECT(A73&amp;ROW())=B95,INDIRECT(A96&amp;ROW())=C95),1,IF(AND(INDIRECT(A73&amp;ROW())=B95,INDIRECT(A96&amp;ROW())=C96),1,0))</f>
        <v>0</v>
      </c>
      <c r="K96">
        <f ca="1">DAYS360(INDIRECT(C68&amp;ROW()),TODAY())</f>
        <v>730</v>
      </c>
      <c r="L96">
        <f ca="1">DAYS360(INDIRECT(C69&amp;ROW()),TODAY())</f>
        <v>899</v>
      </c>
      <c r="M96" s="11">
        <f ca="1">HYPERLINK(CONCATENATE("https://bugzilla.houston.hp.com:1181/bugzilla/show_bug.cgi?id=",INDIRECT(C70&amp;ROW())),INDIRECT(C70&amp;ROW()))</f>
        <v>52552</v>
      </c>
      <c r="N96">
        <v>52552</v>
      </c>
      <c r="O96" t="s">
        <v>50</v>
      </c>
      <c r="P96" t="s">
        <v>425</v>
      </c>
      <c r="Q96" t="s">
        <v>25</v>
      </c>
      <c r="R96" t="s">
        <v>251</v>
      </c>
      <c r="S96" t="s">
        <v>44</v>
      </c>
      <c r="T96" t="s">
        <v>782</v>
      </c>
      <c r="U96" s="6">
        <v>42116.454432870371</v>
      </c>
      <c r="V96" t="s">
        <v>18</v>
      </c>
      <c r="W96" t="s">
        <v>17</v>
      </c>
      <c r="X96" s="6">
        <v>41946.424259259256</v>
      </c>
      <c r="Y96" t="s">
        <v>119</v>
      </c>
      <c r="AB96" t="s">
        <v>200</v>
      </c>
      <c r="AC96" t="s">
        <v>121</v>
      </c>
      <c r="AD96" t="s">
        <v>227</v>
      </c>
      <c r="AE96" t="s">
        <v>226</v>
      </c>
      <c r="AG96" t="s">
        <v>121</v>
      </c>
      <c r="AH96" t="s">
        <v>327</v>
      </c>
      <c r="AI96" t="s">
        <v>362</v>
      </c>
      <c r="AJ96" t="s">
        <v>715</v>
      </c>
      <c r="AK96" t="s">
        <v>121</v>
      </c>
    </row>
    <row r="97" spans="1:37" x14ac:dyDescent="0.3">
      <c r="A97" t="s">
        <v>96</v>
      </c>
      <c r="B97" t="s">
        <v>268</v>
      </c>
      <c r="I97">
        <f ca="1">IF(OR(INDIRECT(A73&amp;ROW())=B93,INDIRECT(A73&amp;ROW())=B94),1,IF(AND(INDIRECT(A73&amp;ROW())=B95,INDIRECT(A96&amp;ROW())=C93),1,IF(AND(INDIRECT(A73&amp;ROW())=B95,INDIRECT(A96&amp;ROW())=C94),1,0)))</f>
        <v>1</v>
      </c>
      <c r="J97">
        <f ca="1">IF(AND(INDIRECT(A73&amp;ROW())=B95,INDIRECT(A96&amp;ROW())=C95),1,IF(AND(INDIRECT(A73&amp;ROW())=B95,INDIRECT(A96&amp;ROW())=C96),1,0))</f>
        <v>0</v>
      </c>
      <c r="K97">
        <f ca="1">DAYS360(INDIRECT(C68&amp;ROW()),TODAY())</f>
        <v>730</v>
      </c>
      <c r="L97">
        <f ca="1">DAYS360(INDIRECT(C69&amp;ROW()),TODAY())</f>
        <v>899</v>
      </c>
      <c r="M97" s="11">
        <f ca="1">HYPERLINK(CONCATENATE("https://bugzilla.houston.hp.com:1181/bugzilla/show_bug.cgi?id=",INDIRECT(C70&amp;ROW())),INDIRECT(C70&amp;ROW()))</f>
        <v>52554</v>
      </c>
      <c r="N97">
        <v>52554</v>
      </c>
      <c r="O97" t="s">
        <v>56</v>
      </c>
      <c r="P97" t="s">
        <v>424</v>
      </c>
      <c r="Q97" t="s">
        <v>39</v>
      </c>
      <c r="R97" t="s">
        <v>251</v>
      </c>
      <c r="S97" t="s">
        <v>44</v>
      </c>
      <c r="U97" s="6">
        <v>42116.731180555558</v>
      </c>
      <c r="V97" t="s">
        <v>18</v>
      </c>
      <c r="W97" t="s">
        <v>17</v>
      </c>
      <c r="X97" s="6">
        <v>41946.468263888892</v>
      </c>
      <c r="Y97" t="s">
        <v>245</v>
      </c>
      <c r="AB97" t="s">
        <v>200</v>
      </c>
      <c r="AC97" t="s">
        <v>121</v>
      </c>
      <c r="AD97" t="s">
        <v>220</v>
      </c>
      <c r="AE97" t="s">
        <v>219</v>
      </c>
      <c r="AG97" t="s">
        <v>121</v>
      </c>
      <c r="AH97" t="s">
        <v>327</v>
      </c>
      <c r="AI97" t="s">
        <v>362</v>
      </c>
      <c r="AJ97" t="s">
        <v>715</v>
      </c>
      <c r="AK97" t="s">
        <v>121</v>
      </c>
    </row>
    <row r="98" spans="1:37" x14ac:dyDescent="0.3">
      <c r="A98" t="s">
        <v>263</v>
      </c>
      <c r="B98" t="s">
        <v>269</v>
      </c>
      <c r="C98" t="s">
        <v>270</v>
      </c>
      <c r="I98">
        <f ca="1">IF(OR(INDIRECT(A73&amp;ROW())=B93,INDIRECT(A73&amp;ROW())=B94),1,IF(AND(INDIRECT(A73&amp;ROW())=B95,INDIRECT(A96&amp;ROW())=C93),1,IF(AND(INDIRECT(A73&amp;ROW())=B95,INDIRECT(A96&amp;ROW())=C94),1,0)))</f>
        <v>1</v>
      </c>
      <c r="J98">
        <f ca="1">IF(AND(INDIRECT(A73&amp;ROW())=B95,INDIRECT(A96&amp;ROW())=C95),1,IF(AND(INDIRECT(A73&amp;ROW())=B95,INDIRECT(A96&amp;ROW())=C96),1,0))</f>
        <v>0</v>
      </c>
      <c r="K98">
        <f ca="1">DAYS360(INDIRECT(C68&amp;ROW()),TODAY())</f>
        <v>730</v>
      </c>
      <c r="L98">
        <f ca="1">DAYS360(INDIRECT(C69&amp;ROW()),TODAY())</f>
        <v>899</v>
      </c>
      <c r="M98" s="11">
        <f ca="1">HYPERLINK(CONCATENATE("https://bugzilla.houston.hp.com:1181/bugzilla/show_bug.cgi?id=",INDIRECT(C70&amp;ROW())),INDIRECT(C70&amp;ROW()))</f>
        <v>52555</v>
      </c>
      <c r="N98">
        <v>52555</v>
      </c>
      <c r="O98" t="s">
        <v>55</v>
      </c>
      <c r="P98" t="s">
        <v>471</v>
      </c>
      <c r="Q98" t="s">
        <v>25</v>
      </c>
      <c r="R98" t="s">
        <v>251</v>
      </c>
      <c r="S98" t="s">
        <v>44</v>
      </c>
      <c r="U98" s="6">
        <v>42116.454155092593</v>
      </c>
      <c r="V98" t="s">
        <v>18</v>
      </c>
      <c r="W98" t="s">
        <v>17</v>
      </c>
      <c r="X98" s="6">
        <v>41946.474421296298</v>
      </c>
      <c r="Y98" t="s">
        <v>793</v>
      </c>
      <c r="AB98" t="s">
        <v>200</v>
      </c>
      <c r="AC98" t="s">
        <v>121</v>
      </c>
      <c r="AD98" t="s">
        <v>220</v>
      </c>
      <c r="AE98" t="s">
        <v>219</v>
      </c>
      <c r="AG98" t="s">
        <v>121</v>
      </c>
      <c r="AH98" t="s">
        <v>327</v>
      </c>
      <c r="AI98" t="s">
        <v>121</v>
      </c>
      <c r="AJ98" t="s">
        <v>715</v>
      </c>
      <c r="AK98" t="s">
        <v>121</v>
      </c>
    </row>
    <row r="99" spans="1:37" x14ac:dyDescent="0.3">
      <c r="A99" t="s">
        <v>95</v>
      </c>
      <c r="B99" t="s">
        <v>347</v>
      </c>
      <c r="I99">
        <f ca="1">IF(OR(INDIRECT(A73&amp;ROW())=B93,INDIRECT(A73&amp;ROW())=B94),1,IF(AND(INDIRECT(A73&amp;ROW())=B95,INDIRECT(A96&amp;ROW())=C93),1,IF(AND(INDIRECT(A73&amp;ROW())=B95,INDIRECT(A96&amp;ROW())=C94),1,0)))</f>
        <v>0</v>
      </c>
      <c r="J99">
        <f ca="1">IF(AND(INDIRECT(A73&amp;ROW())=B95,INDIRECT(A96&amp;ROW())=C95),1,IF(AND(INDIRECT(A73&amp;ROW())=B95,INDIRECT(A96&amp;ROW())=C96),1,0))</f>
        <v>1</v>
      </c>
      <c r="K99">
        <f ca="1">DAYS360(INDIRECT(C68&amp;ROW()),TODAY())</f>
        <v>730</v>
      </c>
      <c r="L99">
        <f ca="1">DAYS360(INDIRECT(C69&amp;ROW()),TODAY())</f>
        <v>899</v>
      </c>
      <c r="M99" s="11">
        <f ca="1">HYPERLINK(CONCATENATE("https://bugzilla.houston.hp.com:1181/bugzilla/show_bug.cgi?id=",INDIRECT(C70&amp;ROW())),INDIRECT(C70&amp;ROW()))</f>
        <v>52558</v>
      </c>
      <c r="N99">
        <v>52558</v>
      </c>
      <c r="O99" t="s">
        <v>66</v>
      </c>
      <c r="P99" t="s">
        <v>473</v>
      </c>
      <c r="Q99" t="s">
        <v>25</v>
      </c>
      <c r="R99" t="s">
        <v>251</v>
      </c>
      <c r="S99" t="s">
        <v>44</v>
      </c>
      <c r="U99" s="6">
        <v>42116.542615740742</v>
      </c>
      <c r="V99" t="s">
        <v>18</v>
      </c>
      <c r="W99" t="s">
        <v>17</v>
      </c>
      <c r="X99" s="6">
        <v>41946.490312499998</v>
      </c>
      <c r="Y99" t="s">
        <v>119</v>
      </c>
      <c r="AB99" t="s">
        <v>201</v>
      </c>
      <c r="AC99" t="s">
        <v>121</v>
      </c>
      <c r="AD99" t="s">
        <v>220</v>
      </c>
      <c r="AE99" t="s">
        <v>219</v>
      </c>
      <c r="AF99" s="13">
        <v>41901</v>
      </c>
      <c r="AG99" t="s">
        <v>121</v>
      </c>
      <c r="AH99" t="s">
        <v>64</v>
      </c>
      <c r="AI99" t="s">
        <v>363</v>
      </c>
      <c r="AJ99" t="s">
        <v>716</v>
      </c>
      <c r="AK99" t="s">
        <v>121</v>
      </c>
    </row>
    <row r="100" spans="1:37" x14ac:dyDescent="0.3">
      <c r="I100">
        <f ca="1">IF(OR(INDIRECT(A73&amp;ROW())=B93,INDIRECT(A73&amp;ROW())=B94),1,IF(AND(INDIRECT(A73&amp;ROW())=B95,INDIRECT(A96&amp;ROW())=C93),1,IF(AND(INDIRECT(A73&amp;ROW())=B95,INDIRECT(A96&amp;ROW())=C94),1,0)))</f>
        <v>0</v>
      </c>
      <c r="J100">
        <f ca="1">IF(AND(INDIRECT(A73&amp;ROW())=B95,INDIRECT(A96&amp;ROW())=C95),1,IF(AND(INDIRECT(A73&amp;ROW())=B95,INDIRECT(A96&amp;ROW())=C96),1,0))</f>
        <v>0</v>
      </c>
      <c r="K100">
        <f ca="1">DAYS360(INDIRECT(C68&amp;ROW()),TODAY())</f>
        <v>730</v>
      </c>
      <c r="L100">
        <f ca="1">DAYS360(INDIRECT(C69&amp;ROW()),TODAY())</f>
        <v>898</v>
      </c>
      <c r="M100" s="11">
        <f ca="1">HYPERLINK(CONCATENATE("https://bugzilla.houston.hp.com:1181/bugzilla/show_bug.cgi?id=",INDIRECT(C70&amp;ROW())),INDIRECT(C70&amp;ROW()))</f>
        <v>52603</v>
      </c>
      <c r="N100">
        <v>52603</v>
      </c>
      <c r="O100" t="s">
        <v>56</v>
      </c>
      <c r="P100" t="s">
        <v>491</v>
      </c>
      <c r="Q100" t="s">
        <v>16</v>
      </c>
      <c r="R100" t="s">
        <v>251</v>
      </c>
      <c r="S100" t="s">
        <v>155</v>
      </c>
      <c r="U100" s="6">
        <v>42116.542743055557</v>
      </c>
      <c r="V100" t="s">
        <v>40</v>
      </c>
      <c r="W100" t="s">
        <v>17</v>
      </c>
      <c r="X100" s="6">
        <v>41947.299305555556</v>
      </c>
      <c r="Y100" t="s">
        <v>255</v>
      </c>
      <c r="AB100" t="s">
        <v>199</v>
      </c>
      <c r="AC100" t="s">
        <v>247</v>
      </c>
      <c r="AD100" t="s">
        <v>220</v>
      </c>
      <c r="AE100" t="s">
        <v>219</v>
      </c>
      <c r="AG100" t="s">
        <v>121</v>
      </c>
      <c r="AH100" t="s">
        <v>327</v>
      </c>
      <c r="AI100" t="s">
        <v>121</v>
      </c>
      <c r="AJ100" t="s">
        <v>716</v>
      </c>
      <c r="AK100" t="s">
        <v>121</v>
      </c>
    </row>
    <row r="101" spans="1:37" x14ac:dyDescent="0.3">
      <c r="I101">
        <f ca="1">IF(OR(INDIRECT(A73&amp;ROW())=B93,INDIRECT(A73&amp;ROW())=B94),1,IF(AND(INDIRECT(A73&amp;ROW())=B95,INDIRECT(A96&amp;ROW())=C93),1,IF(AND(INDIRECT(A73&amp;ROW())=B95,INDIRECT(A96&amp;ROW())=C94),1,0)))</f>
        <v>0</v>
      </c>
      <c r="J101">
        <f ca="1">IF(AND(INDIRECT(A73&amp;ROW())=B95,INDIRECT(A96&amp;ROW())=C95),1,IF(AND(INDIRECT(A73&amp;ROW())=B95,INDIRECT(A96&amp;ROW())=C96),1,0))</f>
        <v>0</v>
      </c>
      <c r="K101">
        <f ca="1">DAYS360(INDIRECT(C68&amp;ROW()),TODAY())</f>
        <v>730</v>
      </c>
      <c r="L101">
        <f ca="1">DAYS360(INDIRECT(C69&amp;ROW()),TODAY())</f>
        <v>898</v>
      </c>
      <c r="M101" s="11">
        <f ca="1">HYPERLINK(CONCATENATE("https://bugzilla.houston.hp.com:1181/bugzilla/show_bug.cgi?id=",INDIRECT(C70&amp;ROW())),INDIRECT(C70&amp;ROW()))</f>
        <v>52633</v>
      </c>
      <c r="N101">
        <v>52633</v>
      </c>
      <c r="O101" t="s">
        <v>55</v>
      </c>
      <c r="P101" t="s">
        <v>741</v>
      </c>
      <c r="Q101" t="s">
        <v>16</v>
      </c>
      <c r="R101" t="s">
        <v>251</v>
      </c>
      <c r="S101" t="s">
        <v>365</v>
      </c>
      <c r="U101" s="6">
        <v>42116.542916666665</v>
      </c>
      <c r="V101" t="s">
        <v>35</v>
      </c>
      <c r="W101" t="s">
        <v>17</v>
      </c>
      <c r="X101" s="6">
        <v>41947.458136574074</v>
      </c>
      <c r="Y101" t="s">
        <v>246</v>
      </c>
      <c r="AB101" t="s">
        <v>200</v>
      </c>
      <c r="AC101" t="s">
        <v>247</v>
      </c>
      <c r="AD101" t="s">
        <v>220</v>
      </c>
      <c r="AE101" t="s">
        <v>219</v>
      </c>
      <c r="AG101" t="s">
        <v>121</v>
      </c>
      <c r="AH101" t="s">
        <v>327</v>
      </c>
      <c r="AI101" t="s">
        <v>121</v>
      </c>
      <c r="AJ101" t="s">
        <v>716</v>
      </c>
      <c r="AK101" t="s">
        <v>121</v>
      </c>
    </row>
    <row r="102" spans="1:37" x14ac:dyDescent="0.3">
      <c r="I102">
        <f ca="1">IF(OR(INDIRECT(A73&amp;ROW())=B93,INDIRECT(A73&amp;ROW())=B94),1,IF(AND(INDIRECT(A73&amp;ROW())=B95,INDIRECT(A96&amp;ROW())=C93),1,IF(AND(INDIRECT(A73&amp;ROW())=B95,INDIRECT(A96&amp;ROW())=C94),1,0)))</f>
        <v>0</v>
      </c>
      <c r="J102">
        <f ca="1">IF(AND(INDIRECT(A73&amp;ROW())=B95,INDIRECT(A96&amp;ROW())=C95),1,IF(AND(INDIRECT(A73&amp;ROW())=B95,INDIRECT(A96&amp;ROW())=C96),1,0))</f>
        <v>0</v>
      </c>
      <c r="K102">
        <f ca="1">DAYS360(INDIRECT(C68&amp;ROW()),TODAY())</f>
        <v>714</v>
      </c>
      <c r="L102">
        <f ca="1">DAYS360(INDIRECT(C69&amp;ROW()),TODAY())</f>
        <v>898</v>
      </c>
      <c r="M102" s="11">
        <f ca="1">HYPERLINK(CONCATENATE("https://bugzilla.houston.hp.com:1181/bugzilla/show_bug.cgi?id=",INDIRECT(C70&amp;ROW())),INDIRECT(C70&amp;ROW()))</f>
        <v>52651</v>
      </c>
      <c r="N102">
        <v>52651</v>
      </c>
      <c r="O102" t="s">
        <v>56</v>
      </c>
      <c r="P102" t="s">
        <v>929</v>
      </c>
      <c r="Q102" t="s">
        <v>16</v>
      </c>
      <c r="R102" t="s">
        <v>251</v>
      </c>
      <c r="S102" t="s">
        <v>292</v>
      </c>
      <c r="T102" t="s">
        <v>842</v>
      </c>
      <c r="U102" s="6">
        <v>42132.358182870368</v>
      </c>
      <c r="V102" t="s">
        <v>18</v>
      </c>
      <c r="W102" t="s">
        <v>17</v>
      </c>
      <c r="X102" s="6">
        <v>41947.710601851853</v>
      </c>
      <c r="Y102" t="s">
        <v>785</v>
      </c>
      <c r="AB102" t="s">
        <v>200</v>
      </c>
      <c r="AC102" t="s">
        <v>247</v>
      </c>
      <c r="AD102" t="s">
        <v>220</v>
      </c>
      <c r="AE102" t="s">
        <v>219</v>
      </c>
      <c r="AG102" t="s">
        <v>121</v>
      </c>
      <c r="AH102" t="s">
        <v>327</v>
      </c>
      <c r="AI102" t="s">
        <v>121</v>
      </c>
      <c r="AJ102" t="s">
        <v>716</v>
      </c>
      <c r="AK102" t="s">
        <v>121</v>
      </c>
    </row>
    <row r="103" spans="1:37" x14ac:dyDescent="0.3">
      <c r="I103">
        <f ca="1">IF(OR(INDIRECT(A73&amp;ROW())=B93,INDIRECT(A73&amp;ROW())=B94),1,IF(AND(INDIRECT(A73&amp;ROW())=B95,INDIRECT(A96&amp;ROW())=C93),1,IF(AND(INDIRECT(A73&amp;ROW())=B95,INDIRECT(A96&amp;ROW())=C94),1,0)))</f>
        <v>1</v>
      </c>
      <c r="J103">
        <f ca="1">IF(AND(INDIRECT(A73&amp;ROW())=B95,INDIRECT(A96&amp;ROW())=C95),1,IF(AND(INDIRECT(A73&amp;ROW())=B95,INDIRECT(A96&amp;ROW())=C96),1,0))</f>
        <v>0</v>
      </c>
      <c r="K103">
        <f ca="1">DAYS360(INDIRECT(C68&amp;ROW()),TODAY())</f>
        <v>730</v>
      </c>
      <c r="L103">
        <f ca="1">DAYS360(INDIRECT(C69&amp;ROW()),TODAY())</f>
        <v>897</v>
      </c>
      <c r="M103" s="11">
        <f ca="1">HYPERLINK(CONCATENATE("https://bugzilla.houston.hp.com:1181/bugzilla/show_bug.cgi?id=",INDIRECT(C70&amp;ROW())),INDIRECT(C70&amp;ROW()))</f>
        <v>52678</v>
      </c>
      <c r="N103">
        <v>52678</v>
      </c>
      <c r="O103" t="s">
        <v>298</v>
      </c>
      <c r="P103" t="s">
        <v>470</v>
      </c>
      <c r="Q103" t="s">
        <v>39</v>
      </c>
      <c r="R103" t="s">
        <v>251</v>
      </c>
      <c r="S103" t="s">
        <v>321</v>
      </c>
      <c r="U103" s="6">
        <v>42116.453344907408</v>
      </c>
      <c r="V103" t="s">
        <v>18</v>
      </c>
      <c r="W103" t="s">
        <v>17</v>
      </c>
      <c r="X103" s="6">
        <v>41948.176805555559</v>
      </c>
      <c r="Y103" t="s">
        <v>119</v>
      </c>
      <c r="AB103" t="s">
        <v>201</v>
      </c>
      <c r="AC103" t="s">
        <v>247</v>
      </c>
      <c r="AD103" t="s">
        <v>227</v>
      </c>
      <c r="AE103" t="s">
        <v>231</v>
      </c>
      <c r="AG103" t="s">
        <v>121</v>
      </c>
      <c r="AH103" t="s">
        <v>327</v>
      </c>
      <c r="AI103" t="s">
        <v>121</v>
      </c>
      <c r="AJ103" t="s">
        <v>715</v>
      </c>
      <c r="AK103" t="s">
        <v>121</v>
      </c>
    </row>
    <row r="104" spans="1:37" x14ac:dyDescent="0.3">
      <c r="I104">
        <f ca="1">IF(OR(INDIRECT(A73&amp;ROW())=B93,INDIRECT(A73&amp;ROW())=B94),1,IF(AND(INDIRECT(A73&amp;ROW())=B95,INDIRECT(A96&amp;ROW())=C93),1,IF(AND(INDIRECT(A73&amp;ROW())=B95,INDIRECT(A96&amp;ROW())=C94),1,0)))</f>
        <v>0</v>
      </c>
      <c r="J104">
        <f ca="1">IF(AND(INDIRECT(A73&amp;ROW())=B95,INDIRECT(A96&amp;ROW())=C95),1,IF(AND(INDIRECT(A73&amp;ROW())=B95,INDIRECT(A96&amp;ROW())=C96),1,0))</f>
        <v>0</v>
      </c>
      <c r="K104">
        <f ca="1">DAYS360(INDIRECT(C68&amp;ROW()),TODAY())</f>
        <v>721</v>
      </c>
      <c r="L104">
        <f ca="1">DAYS360(INDIRECT(C69&amp;ROW()),TODAY())</f>
        <v>897</v>
      </c>
      <c r="M104" s="11">
        <f ca="1">HYPERLINK(CONCATENATE("https://bugzilla.houston.hp.com:1181/bugzilla/show_bug.cgi?id=",INDIRECT(C70&amp;ROW())),INDIRECT(C70&amp;ROW()))</f>
        <v>52707</v>
      </c>
      <c r="N104">
        <v>52707</v>
      </c>
      <c r="O104" t="s">
        <v>241</v>
      </c>
      <c r="P104" t="s">
        <v>490</v>
      </c>
      <c r="Q104" t="s">
        <v>16</v>
      </c>
      <c r="R104" t="s">
        <v>251</v>
      </c>
      <c r="S104" t="s">
        <v>367</v>
      </c>
      <c r="T104" t="s">
        <v>782</v>
      </c>
      <c r="U104" s="6">
        <v>42125.653182870374</v>
      </c>
      <c r="V104" t="s">
        <v>40</v>
      </c>
      <c r="W104" t="s">
        <v>17</v>
      </c>
      <c r="X104" s="6">
        <v>41948.442997685182</v>
      </c>
      <c r="Y104" t="s">
        <v>245</v>
      </c>
      <c r="AB104" t="s">
        <v>201</v>
      </c>
      <c r="AC104" t="s">
        <v>247</v>
      </c>
      <c r="AD104" t="s">
        <v>227</v>
      </c>
      <c r="AE104" t="s">
        <v>237</v>
      </c>
      <c r="AG104" t="s">
        <v>121</v>
      </c>
      <c r="AH104" t="s">
        <v>327</v>
      </c>
      <c r="AI104" t="s">
        <v>121</v>
      </c>
      <c r="AJ104" t="s">
        <v>717</v>
      </c>
      <c r="AK104" t="s">
        <v>121</v>
      </c>
    </row>
    <row r="105" spans="1:37" x14ac:dyDescent="0.3">
      <c r="I105">
        <f ca="1">IF(OR(INDIRECT(A73&amp;ROW())=B93,INDIRECT(A73&amp;ROW())=B94),1,IF(AND(INDIRECT(A73&amp;ROW())=B95,INDIRECT(A96&amp;ROW())=C93),1,IF(AND(INDIRECT(A73&amp;ROW())=B95,INDIRECT(A96&amp;ROW())=C94),1,0)))</f>
        <v>1</v>
      </c>
      <c r="J105">
        <f ca="1">IF(AND(INDIRECT(A73&amp;ROW())=B95,INDIRECT(A96&amp;ROW())=C95),1,IF(AND(INDIRECT(A73&amp;ROW())=B95,INDIRECT(A96&amp;ROW())=C96),1,0))</f>
        <v>0</v>
      </c>
      <c r="K105">
        <f ca="1">DAYS360(INDIRECT(C68&amp;ROW()),TODAY())</f>
        <v>710</v>
      </c>
      <c r="L105">
        <f ca="1">DAYS360(INDIRECT(C69&amp;ROW()),TODAY())</f>
        <v>897</v>
      </c>
      <c r="M105" s="11">
        <f ca="1">HYPERLINK(CONCATENATE("https://bugzilla.houston.hp.com:1181/bugzilla/show_bug.cgi?id=",INDIRECT(C70&amp;ROW())),INDIRECT(C70&amp;ROW()))</f>
        <v>52720</v>
      </c>
      <c r="N105">
        <v>52720</v>
      </c>
      <c r="O105" t="s">
        <v>22</v>
      </c>
      <c r="P105" t="s">
        <v>857</v>
      </c>
      <c r="Q105" t="s">
        <v>39</v>
      </c>
      <c r="R105" t="s">
        <v>251</v>
      </c>
      <c r="S105" t="s">
        <v>369</v>
      </c>
      <c r="U105" s="6">
        <v>42136.734016203707</v>
      </c>
      <c r="V105" t="s">
        <v>18</v>
      </c>
      <c r="W105" t="s">
        <v>17</v>
      </c>
      <c r="X105" s="6">
        <v>41948.632592592592</v>
      </c>
      <c r="Y105" t="s">
        <v>245</v>
      </c>
      <c r="AB105" t="s">
        <v>201</v>
      </c>
      <c r="AC105" t="s">
        <v>247</v>
      </c>
      <c r="AD105" t="s">
        <v>222</v>
      </c>
      <c r="AE105" t="s">
        <v>221</v>
      </c>
      <c r="AG105" t="s">
        <v>121</v>
      </c>
      <c r="AH105" t="s">
        <v>327</v>
      </c>
      <c r="AI105" t="s">
        <v>121</v>
      </c>
      <c r="AJ105" t="s">
        <v>715</v>
      </c>
      <c r="AK105" t="s">
        <v>121</v>
      </c>
    </row>
    <row r="106" spans="1:37" x14ac:dyDescent="0.3">
      <c r="I106">
        <f ca="1">IF(OR(INDIRECT(A73&amp;ROW())=B93,INDIRECT(A73&amp;ROW())=B94),1,IF(AND(INDIRECT(A73&amp;ROW())=B95,INDIRECT(A96&amp;ROW())=C93),1,IF(AND(INDIRECT(A73&amp;ROW())=B95,INDIRECT(A96&amp;ROW())=C94),1,0)))</f>
        <v>0</v>
      </c>
      <c r="J106">
        <f ca="1">IF(AND(INDIRECT(A73&amp;ROW())=B95,INDIRECT(A96&amp;ROW())=C95),1,IF(AND(INDIRECT(A73&amp;ROW())=B95,INDIRECT(A96&amp;ROW())=C96),1,0))</f>
        <v>1</v>
      </c>
      <c r="K106">
        <f ca="1">DAYS360(INDIRECT(C68&amp;ROW()),TODAY())</f>
        <v>730</v>
      </c>
      <c r="L106">
        <f ca="1">DAYS360(INDIRECT(C69&amp;ROW()),TODAY())</f>
        <v>896</v>
      </c>
      <c r="M106" s="11">
        <f ca="1">HYPERLINK(CONCATENATE("https://bugzilla.houston.hp.com:1181/bugzilla/show_bug.cgi?id=",INDIRECT(C70&amp;ROW())),INDIRECT(C70&amp;ROW()))</f>
        <v>52807</v>
      </c>
      <c r="N106">
        <v>52807</v>
      </c>
      <c r="O106" t="s">
        <v>88</v>
      </c>
      <c r="P106" t="s">
        <v>680</v>
      </c>
      <c r="Q106" t="s">
        <v>25</v>
      </c>
      <c r="R106" t="s">
        <v>251</v>
      </c>
      <c r="S106" t="s">
        <v>28</v>
      </c>
      <c r="U106" s="6">
        <v>42116.543541666666</v>
      </c>
      <c r="V106" t="s">
        <v>18</v>
      </c>
      <c r="W106" t="s">
        <v>17</v>
      </c>
      <c r="X106" s="6">
        <v>41949.735173611109</v>
      </c>
      <c r="Y106" t="s">
        <v>246</v>
      </c>
      <c r="AB106" t="s">
        <v>201</v>
      </c>
      <c r="AC106" t="s">
        <v>247</v>
      </c>
      <c r="AD106" t="s">
        <v>222</v>
      </c>
      <c r="AE106" t="s">
        <v>221</v>
      </c>
      <c r="AG106" t="s">
        <v>121</v>
      </c>
      <c r="AH106" t="s">
        <v>327</v>
      </c>
      <c r="AI106" t="s">
        <v>121</v>
      </c>
      <c r="AJ106" t="s">
        <v>716</v>
      </c>
      <c r="AK106" t="s">
        <v>121</v>
      </c>
    </row>
    <row r="107" spans="1:37" x14ac:dyDescent="0.3">
      <c r="I107">
        <f ca="1">IF(OR(INDIRECT(A73&amp;ROW())=B93,INDIRECT(A73&amp;ROW())=B94),1,IF(AND(INDIRECT(A73&amp;ROW())=B95,INDIRECT(A96&amp;ROW())=C93),1,IF(AND(INDIRECT(A73&amp;ROW())=B95,INDIRECT(A96&amp;ROW())=C94),1,0)))</f>
        <v>0</v>
      </c>
      <c r="J107">
        <f ca="1">IF(AND(INDIRECT(A73&amp;ROW())=B95,INDIRECT(A96&amp;ROW())=C95),1,IF(AND(INDIRECT(A73&amp;ROW())=B95,INDIRECT(A96&amp;ROW())=C96),1,0))</f>
        <v>1</v>
      </c>
      <c r="K107">
        <f ca="1">DAYS360(INDIRECT(C68&amp;ROW()),TODAY())</f>
        <v>730</v>
      </c>
      <c r="L107">
        <f ca="1">DAYS360(INDIRECT(C69&amp;ROW()),TODAY())</f>
        <v>896</v>
      </c>
      <c r="M107" s="11">
        <f ca="1">HYPERLINK(CONCATENATE("https://bugzilla.houston.hp.com:1181/bugzilla/show_bug.cgi?id=",INDIRECT(C70&amp;ROW())),INDIRECT(C70&amp;ROW()))</f>
        <v>52811</v>
      </c>
      <c r="N107">
        <v>52811</v>
      </c>
      <c r="O107" t="s">
        <v>88</v>
      </c>
      <c r="P107" t="s">
        <v>679</v>
      </c>
      <c r="Q107" t="s">
        <v>25</v>
      </c>
      <c r="R107" t="s">
        <v>251</v>
      </c>
      <c r="S107" t="s">
        <v>49</v>
      </c>
      <c r="U107" s="6">
        <v>42116.543622685182</v>
      </c>
      <c r="V107" t="s">
        <v>18</v>
      </c>
      <c r="W107" t="s">
        <v>17</v>
      </c>
      <c r="X107" s="6">
        <v>41949.822881944441</v>
      </c>
      <c r="Y107" t="s">
        <v>246</v>
      </c>
      <c r="AB107" t="s">
        <v>201</v>
      </c>
      <c r="AC107" t="s">
        <v>247</v>
      </c>
      <c r="AD107" t="s">
        <v>222</v>
      </c>
      <c r="AE107" t="s">
        <v>221</v>
      </c>
      <c r="AG107" t="s">
        <v>121</v>
      </c>
      <c r="AH107" t="s">
        <v>327</v>
      </c>
      <c r="AI107" t="s">
        <v>121</v>
      </c>
      <c r="AJ107" t="s">
        <v>716</v>
      </c>
      <c r="AK107" t="s">
        <v>121</v>
      </c>
    </row>
    <row r="108" spans="1:37" x14ac:dyDescent="0.3">
      <c r="I108">
        <f ca="1">IF(OR(INDIRECT(A73&amp;ROW())=B93,INDIRECT(A73&amp;ROW())=B94),1,IF(AND(INDIRECT(A73&amp;ROW())=B95,INDIRECT(A96&amp;ROW())=C93),1,IF(AND(INDIRECT(A73&amp;ROW())=B95,INDIRECT(A96&amp;ROW())=C94),1,0)))</f>
        <v>0</v>
      </c>
      <c r="J108">
        <f ca="1">IF(AND(INDIRECT(A73&amp;ROW())=B95,INDIRECT(A96&amp;ROW())=C95),1,IF(AND(INDIRECT(A73&amp;ROW())=B95,INDIRECT(A96&amp;ROW())=C96),1,0))</f>
        <v>0</v>
      </c>
      <c r="K108">
        <f ca="1">DAYS360(INDIRECT(C68&amp;ROW()),TODAY())</f>
        <v>721</v>
      </c>
      <c r="L108">
        <f ca="1">DAYS360(INDIRECT(C69&amp;ROW()),TODAY())</f>
        <v>895</v>
      </c>
      <c r="M108" s="11">
        <f ca="1">HYPERLINK(CONCATENATE("https://bugzilla.houston.hp.com:1181/bugzilla/show_bug.cgi?id=",INDIRECT(C70&amp;ROW())),INDIRECT(C70&amp;ROW()))</f>
        <v>52820</v>
      </c>
      <c r="N108">
        <v>52820</v>
      </c>
      <c r="O108" t="s">
        <v>88</v>
      </c>
      <c r="P108" t="s">
        <v>678</v>
      </c>
      <c r="Q108" t="s">
        <v>16</v>
      </c>
      <c r="R108" t="s">
        <v>251</v>
      </c>
      <c r="S108" t="s">
        <v>344</v>
      </c>
      <c r="U108" s="6">
        <v>42125.447638888887</v>
      </c>
      <c r="V108" t="s">
        <v>18</v>
      </c>
      <c r="W108" t="s">
        <v>17</v>
      </c>
      <c r="X108" s="6">
        <v>41950.132824074077</v>
      </c>
      <c r="Y108" t="s">
        <v>122</v>
      </c>
      <c r="AB108" t="s">
        <v>201</v>
      </c>
      <c r="AC108" t="s">
        <v>247</v>
      </c>
      <c r="AD108" t="s">
        <v>222</v>
      </c>
      <c r="AE108" t="s">
        <v>221</v>
      </c>
      <c r="AG108" t="s">
        <v>121</v>
      </c>
      <c r="AH108" t="s">
        <v>327</v>
      </c>
      <c r="AI108" t="s">
        <v>121</v>
      </c>
      <c r="AJ108" t="s">
        <v>717</v>
      </c>
      <c r="AK108" t="s">
        <v>121</v>
      </c>
    </row>
    <row r="109" spans="1:37" x14ac:dyDescent="0.3">
      <c r="I109">
        <f ca="1">IF(OR(INDIRECT(A73&amp;ROW())=B93,INDIRECT(A73&amp;ROW())=B94),1,IF(AND(INDIRECT(A73&amp;ROW())=B95,INDIRECT(A96&amp;ROW())=C93),1,IF(AND(INDIRECT(A73&amp;ROW())=B95,INDIRECT(A96&amp;ROW())=C94),1,0)))</f>
        <v>0</v>
      </c>
      <c r="J109">
        <f ca="1">IF(AND(INDIRECT(A73&amp;ROW())=B95,INDIRECT(A96&amp;ROW())=C95),1,IF(AND(INDIRECT(A73&amp;ROW())=B95,INDIRECT(A96&amp;ROW())=C96),1,0))</f>
        <v>0</v>
      </c>
      <c r="K109">
        <f ca="1">DAYS360(INDIRECT(C68&amp;ROW()),TODAY())</f>
        <v>728</v>
      </c>
      <c r="L109">
        <f ca="1">DAYS360(INDIRECT(C69&amp;ROW()),TODAY())</f>
        <v>895</v>
      </c>
      <c r="M109" s="11">
        <f ca="1">HYPERLINK(CONCATENATE("https://bugzilla.houston.hp.com:1181/bugzilla/show_bug.cgi?id=",INDIRECT(C70&amp;ROW())),INDIRECT(C70&amp;ROW()))</f>
        <v>52830</v>
      </c>
      <c r="N109">
        <v>52830</v>
      </c>
      <c r="O109" t="s">
        <v>66</v>
      </c>
      <c r="P109" t="s">
        <v>677</v>
      </c>
      <c r="Q109" t="s">
        <v>16</v>
      </c>
      <c r="R109" t="s">
        <v>251</v>
      </c>
      <c r="S109" t="s">
        <v>366</v>
      </c>
      <c r="U109" s="6">
        <v>42118.522511574076</v>
      </c>
      <c r="V109" t="s">
        <v>18</v>
      </c>
      <c r="W109" t="s">
        <v>17</v>
      </c>
      <c r="X109" s="6">
        <v>41950.29074074074</v>
      </c>
      <c r="Y109" t="s">
        <v>124</v>
      </c>
      <c r="AB109" t="s">
        <v>201</v>
      </c>
      <c r="AC109" t="s">
        <v>247</v>
      </c>
      <c r="AD109" t="s">
        <v>220</v>
      </c>
      <c r="AE109" t="s">
        <v>219</v>
      </c>
      <c r="AG109" t="s">
        <v>121</v>
      </c>
      <c r="AH109" t="s">
        <v>327</v>
      </c>
      <c r="AI109" t="s">
        <v>121</v>
      </c>
      <c r="AJ109" t="s">
        <v>717</v>
      </c>
      <c r="AK109" t="s">
        <v>121</v>
      </c>
    </row>
    <row r="110" spans="1:37" x14ac:dyDescent="0.3">
      <c r="I110">
        <f ca="1">IF(OR(INDIRECT(A73&amp;ROW())=B93,INDIRECT(A73&amp;ROW())=B94),1,IF(AND(INDIRECT(A73&amp;ROW())=B95,INDIRECT(A96&amp;ROW())=C93),1,IF(AND(INDIRECT(A73&amp;ROW())=B95,INDIRECT(A96&amp;ROW())=C94),1,0)))</f>
        <v>0</v>
      </c>
      <c r="J110">
        <f ca="1">IF(AND(INDIRECT(A73&amp;ROW())=B95,INDIRECT(A96&amp;ROW())=C95),1,IF(AND(INDIRECT(A73&amp;ROW())=B95,INDIRECT(A96&amp;ROW())=C96),1,0))</f>
        <v>0</v>
      </c>
      <c r="K110">
        <f ca="1">DAYS360(INDIRECT(C68&amp;ROW()),TODAY())</f>
        <v>728</v>
      </c>
      <c r="L110">
        <f ca="1">DAYS360(INDIRECT(C69&amp;ROW()),TODAY())</f>
        <v>892</v>
      </c>
      <c r="M110" s="11">
        <f ca="1">HYPERLINK(CONCATENATE("https://bugzilla.houston.hp.com:1181/bugzilla/show_bug.cgi?id=",INDIRECT(C70&amp;ROW())),INDIRECT(C70&amp;ROW()))</f>
        <v>52912</v>
      </c>
      <c r="N110">
        <v>52912</v>
      </c>
      <c r="O110" t="s">
        <v>180</v>
      </c>
      <c r="P110" t="s">
        <v>676</v>
      </c>
      <c r="Q110" t="s">
        <v>16</v>
      </c>
      <c r="R110" t="s">
        <v>251</v>
      </c>
      <c r="S110" t="s">
        <v>368</v>
      </c>
      <c r="U110" s="6">
        <v>42118.522604166668</v>
      </c>
      <c r="V110" t="s">
        <v>18</v>
      </c>
      <c r="W110" t="s">
        <v>17</v>
      </c>
      <c r="X110" s="6">
        <v>41953.282175925924</v>
      </c>
      <c r="Y110" t="s">
        <v>342</v>
      </c>
      <c r="AB110" t="s">
        <v>201</v>
      </c>
      <c r="AC110" t="s">
        <v>217</v>
      </c>
      <c r="AD110" t="s">
        <v>222</v>
      </c>
      <c r="AE110" t="s">
        <v>225</v>
      </c>
      <c r="AG110" t="s">
        <v>121</v>
      </c>
      <c r="AH110" t="s">
        <v>327</v>
      </c>
      <c r="AI110" t="s">
        <v>121</v>
      </c>
      <c r="AJ110" t="s">
        <v>717</v>
      </c>
      <c r="AK110" t="s">
        <v>121</v>
      </c>
    </row>
    <row r="111" spans="1:37" x14ac:dyDescent="0.3">
      <c r="I111">
        <f ca="1">IF(OR(INDIRECT(A73&amp;ROW())=B93,INDIRECT(A73&amp;ROW())=B94),1,IF(AND(INDIRECT(A73&amp;ROW())=B95,INDIRECT(A96&amp;ROW())=C93),1,IF(AND(INDIRECT(A73&amp;ROW())=B95,INDIRECT(A96&amp;ROW())=C94),1,0)))</f>
        <v>0</v>
      </c>
      <c r="J111">
        <f ca="1">IF(AND(INDIRECT(A73&amp;ROW())=B95,INDIRECT(A96&amp;ROW())=C95),1,IF(AND(INDIRECT(A73&amp;ROW())=B95,INDIRECT(A96&amp;ROW())=C96),1,0))</f>
        <v>0</v>
      </c>
      <c r="K111">
        <f ca="1">DAYS360(INDIRECT(C68&amp;ROW()),TODAY())</f>
        <v>721</v>
      </c>
      <c r="L111">
        <f ca="1">DAYS360(INDIRECT(C69&amp;ROW()),TODAY())</f>
        <v>892</v>
      </c>
      <c r="M111" s="11">
        <f ca="1">HYPERLINK(CONCATENATE("https://bugzilla.houston.hp.com:1181/bugzilla/show_bug.cgi?id=",INDIRECT(C70&amp;ROW())),INDIRECT(C70&amp;ROW()))</f>
        <v>52923</v>
      </c>
      <c r="N111">
        <v>52923</v>
      </c>
      <c r="O111" t="s">
        <v>56</v>
      </c>
      <c r="P111" t="s">
        <v>546</v>
      </c>
      <c r="Q111" t="s">
        <v>16</v>
      </c>
      <c r="R111" t="s">
        <v>251</v>
      </c>
      <c r="S111" t="s">
        <v>53</v>
      </c>
      <c r="U111" s="6">
        <v>42125.448680555557</v>
      </c>
      <c r="V111" t="s">
        <v>18</v>
      </c>
      <c r="W111" t="s">
        <v>17</v>
      </c>
      <c r="X111" s="6">
        <v>41953.569768518515</v>
      </c>
      <c r="Y111" t="s">
        <v>122</v>
      </c>
      <c r="AB111" t="s">
        <v>201</v>
      </c>
      <c r="AC111" t="s">
        <v>247</v>
      </c>
      <c r="AD111" t="s">
        <v>220</v>
      </c>
      <c r="AE111" t="s">
        <v>219</v>
      </c>
      <c r="AG111" t="s">
        <v>121</v>
      </c>
      <c r="AH111" t="s">
        <v>327</v>
      </c>
      <c r="AI111" t="s">
        <v>121</v>
      </c>
      <c r="AJ111" t="s">
        <v>717</v>
      </c>
      <c r="AK111" t="s">
        <v>121</v>
      </c>
    </row>
    <row r="112" spans="1:37" x14ac:dyDescent="0.3">
      <c r="I112">
        <f ca="1">IF(OR(INDIRECT(A73&amp;ROW())=B93,INDIRECT(A73&amp;ROW())=B94),1,IF(AND(INDIRECT(A73&amp;ROW())=B95,INDIRECT(A96&amp;ROW())=C93),1,IF(AND(INDIRECT(A73&amp;ROW())=B95,INDIRECT(A96&amp;ROW())=C94),1,0)))</f>
        <v>0</v>
      </c>
      <c r="J112">
        <f ca="1">IF(AND(INDIRECT(A73&amp;ROW())=B95,INDIRECT(A96&amp;ROW())=C95),1,IF(AND(INDIRECT(A73&amp;ROW())=B95,INDIRECT(A96&amp;ROW())=C96),1,0))</f>
        <v>1</v>
      </c>
      <c r="K112">
        <f ca="1">DAYS360(INDIRECT(C68&amp;ROW()),TODAY())</f>
        <v>721</v>
      </c>
      <c r="L112">
        <f ca="1">DAYS360(INDIRECT(C69&amp;ROW()),TODAY())</f>
        <v>892</v>
      </c>
      <c r="M112" s="11">
        <f ca="1">HYPERLINK(CONCATENATE("https://bugzilla.houston.hp.com:1181/bugzilla/show_bug.cgi?id=",INDIRECT(C70&amp;ROW())),INDIRECT(C70&amp;ROW()))</f>
        <v>52933</v>
      </c>
      <c r="N112">
        <v>52933</v>
      </c>
      <c r="O112" t="s">
        <v>241</v>
      </c>
      <c r="P112" t="s">
        <v>489</v>
      </c>
      <c r="Q112" t="s">
        <v>25</v>
      </c>
      <c r="R112" t="s">
        <v>251</v>
      </c>
      <c r="S112" t="s">
        <v>177</v>
      </c>
      <c r="U112" s="6">
        <v>42125.655624999999</v>
      </c>
      <c r="V112" t="s">
        <v>18</v>
      </c>
      <c r="W112" t="s">
        <v>17</v>
      </c>
      <c r="X112" s="6">
        <v>41953.77202546296</v>
      </c>
      <c r="Y112" t="s">
        <v>245</v>
      </c>
      <c r="AB112" t="s">
        <v>201</v>
      </c>
      <c r="AC112" t="s">
        <v>247</v>
      </c>
      <c r="AD112" t="s">
        <v>227</v>
      </c>
      <c r="AE112" t="s">
        <v>237</v>
      </c>
      <c r="AG112" t="s">
        <v>121</v>
      </c>
      <c r="AH112" t="s">
        <v>327</v>
      </c>
      <c r="AI112" t="s">
        <v>121</v>
      </c>
      <c r="AJ112" t="s">
        <v>716</v>
      </c>
      <c r="AK112" t="s">
        <v>121</v>
      </c>
    </row>
    <row r="113" spans="9:37" x14ac:dyDescent="0.3">
      <c r="I113">
        <f ca="1">IF(OR(INDIRECT(A73&amp;ROW())=B93,INDIRECT(A73&amp;ROW())=B94),1,IF(AND(INDIRECT(A73&amp;ROW())=B95,INDIRECT(A96&amp;ROW())=C93),1,IF(AND(INDIRECT(A73&amp;ROW())=B95,INDIRECT(A96&amp;ROW())=C94),1,0)))</f>
        <v>1</v>
      </c>
      <c r="J113">
        <f ca="1">IF(AND(INDIRECT(A73&amp;ROW())=B95,INDIRECT(A96&amp;ROW())=C95),1,IF(AND(INDIRECT(A73&amp;ROW())=B95,INDIRECT(A96&amp;ROW())=C96),1,0))</f>
        <v>0</v>
      </c>
      <c r="K113">
        <f ca="1">DAYS360(INDIRECT(C68&amp;ROW()),TODAY())</f>
        <v>687</v>
      </c>
      <c r="L113">
        <f ca="1">DAYS360(INDIRECT(C69&amp;ROW()),TODAY())</f>
        <v>891</v>
      </c>
      <c r="M113" s="11">
        <f ca="1">HYPERLINK(CONCATENATE("https://bugzilla.houston.hp.com:1181/bugzilla/show_bug.cgi?id=",INDIRECT(C70&amp;ROW())),INDIRECT(C70&amp;ROW()))</f>
        <v>52985</v>
      </c>
      <c r="N113">
        <v>52985</v>
      </c>
      <c r="O113" t="s">
        <v>56</v>
      </c>
      <c r="P113" t="s">
        <v>675</v>
      </c>
      <c r="Q113" t="s">
        <v>39</v>
      </c>
      <c r="R113" t="s">
        <v>251</v>
      </c>
      <c r="S113" t="s">
        <v>187</v>
      </c>
      <c r="U113" s="6">
        <v>42160.369479166664</v>
      </c>
      <c r="V113" t="s">
        <v>18</v>
      </c>
      <c r="W113" t="s">
        <v>17</v>
      </c>
      <c r="X113" s="6">
        <v>41954.94976851852</v>
      </c>
      <c r="Y113" t="s">
        <v>371</v>
      </c>
      <c r="AB113" t="s">
        <v>199</v>
      </c>
      <c r="AC113" t="s">
        <v>247</v>
      </c>
      <c r="AD113" t="s">
        <v>220</v>
      </c>
      <c r="AE113" t="s">
        <v>219</v>
      </c>
      <c r="AG113" t="s">
        <v>121</v>
      </c>
      <c r="AH113" t="s">
        <v>327</v>
      </c>
      <c r="AI113" t="s">
        <v>121</v>
      </c>
      <c r="AJ113" t="s">
        <v>715</v>
      </c>
      <c r="AK113" t="s">
        <v>121</v>
      </c>
    </row>
    <row r="114" spans="9:37" x14ac:dyDescent="0.3">
      <c r="I114">
        <f ca="1">IF(OR(INDIRECT(A73&amp;ROW())=B93,INDIRECT(A73&amp;ROW())=B94),1,IF(AND(INDIRECT(A73&amp;ROW())=B95,INDIRECT(A96&amp;ROW())=C93),1,IF(AND(INDIRECT(A73&amp;ROW())=B95,INDIRECT(A96&amp;ROW())=C94),1,0)))</f>
        <v>0</v>
      </c>
      <c r="J114">
        <f ca="1">IF(AND(INDIRECT(A73&amp;ROW())=B95,INDIRECT(A96&amp;ROW())=C95),1,IF(AND(INDIRECT(A73&amp;ROW())=B95,INDIRECT(A96&amp;ROW())=C96),1,0))</f>
        <v>1</v>
      </c>
      <c r="K114">
        <f ca="1">DAYS360(INDIRECT(C68&amp;ROW()),TODAY())</f>
        <v>731</v>
      </c>
      <c r="L114">
        <f ca="1">DAYS360(INDIRECT(C69&amp;ROW()),TODAY())</f>
        <v>890</v>
      </c>
      <c r="M114" s="11">
        <f ca="1">HYPERLINK(CONCATENATE("https://bugzilla.houston.hp.com:1181/bugzilla/show_bug.cgi?id=",INDIRECT(C70&amp;ROW())),INDIRECT(C70&amp;ROW()))</f>
        <v>53006</v>
      </c>
      <c r="N114">
        <v>53006</v>
      </c>
      <c r="O114" t="s">
        <v>50</v>
      </c>
      <c r="P114" t="s">
        <v>469</v>
      </c>
      <c r="Q114" t="s">
        <v>25</v>
      </c>
      <c r="R114" t="s">
        <v>251</v>
      </c>
      <c r="S114" t="s">
        <v>315</v>
      </c>
      <c r="U114" s="6">
        <v>42115.913449074076</v>
      </c>
      <c r="V114" t="s">
        <v>18</v>
      </c>
      <c r="W114" t="s">
        <v>17</v>
      </c>
      <c r="X114" s="6">
        <v>41955.206990740742</v>
      </c>
      <c r="Y114" t="s">
        <v>119</v>
      </c>
      <c r="AA114" t="s">
        <v>184</v>
      </c>
      <c r="AB114" t="s">
        <v>201</v>
      </c>
      <c r="AC114" t="s">
        <v>247</v>
      </c>
      <c r="AD114" t="s">
        <v>227</v>
      </c>
      <c r="AE114" t="s">
        <v>370</v>
      </c>
      <c r="AG114" t="s">
        <v>121</v>
      </c>
      <c r="AH114" t="s">
        <v>327</v>
      </c>
      <c r="AI114" t="s">
        <v>121</v>
      </c>
      <c r="AJ114" t="s">
        <v>716</v>
      </c>
      <c r="AK114" t="s">
        <v>121</v>
      </c>
    </row>
    <row r="115" spans="9:37" x14ac:dyDescent="0.3">
      <c r="I115">
        <f ca="1">IF(OR(INDIRECT(A73&amp;ROW())=B93,INDIRECT(A73&amp;ROW())=B94),1,IF(AND(INDIRECT(A73&amp;ROW())=B95,INDIRECT(A96&amp;ROW())=C93),1,IF(AND(INDIRECT(A73&amp;ROW())=B95,INDIRECT(A96&amp;ROW())=C94),1,0)))</f>
        <v>0</v>
      </c>
      <c r="J115">
        <f ca="1">IF(AND(INDIRECT(A73&amp;ROW())=B95,INDIRECT(A96&amp;ROW())=C95),1,IF(AND(INDIRECT(A73&amp;ROW())=B95,INDIRECT(A96&amp;ROW())=C96),1,0))</f>
        <v>0</v>
      </c>
      <c r="K115">
        <f ca="1">DAYS360(INDIRECT(C68&amp;ROW()),TODAY())</f>
        <v>721</v>
      </c>
      <c r="L115">
        <f ca="1">DAYS360(INDIRECT(C69&amp;ROW()),TODAY())</f>
        <v>889</v>
      </c>
      <c r="M115" s="11">
        <f ca="1">HYPERLINK(CONCATENATE("https://bugzilla.houston.hp.com:1181/bugzilla/show_bug.cgi?id=",INDIRECT(C70&amp;ROW())),INDIRECT(C70&amp;ROW()))</f>
        <v>53105</v>
      </c>
      <c r="N115">
        <v>53105</v>
      </c>
      <c r="O115" t="s">
        <v>56</v>
      </c>
      <c r="P115" t="s">
        <v>468</v>
      </c>
      <c r="Q115" t="s">
        <v>16</v>
      </c>
      <c r="R115" t="s">
        <v>251</v>
      </c>
      <c r="S115" t="s">
        <v>374</v>
      </c>
      <c r="U115" s="6">
        <v>42125.448692129627</v>
      </c>
      <c r="V115" t="s">
        <v>18</v>
      </c>
      <c r="W115" t="s">
        <v>17</v>
      </c>
      <c r="X115" s="6">
        <v>41956.951111111113</v>
      </c>
      <c r="Y115" t="s">
        <v>122</v>
      </c>
      <c r="AB115" t="s">
        <v>200</v>
      </c>
      <c r="AC115" t="s">
        <v>247</v>
      </c>
      <c r="AD115" t="s">
        <v>220</v>
      </c>
      <c r="AE115" t="s">
        <v>219</v>
      </c>
      <c r="AG115" t="s">
        <v>121</v>
      </c>
      <c r="AH115" t="s">
        <v>327</v>
      </c>
      <c r="AI115" t="s">
        <v>121</v>
      </c>
      <c r="AJ115" t="s">
        <v>716</v>
      </c>
      <c r="AK115" t="s">
        <v>121</v>
      </c>
    </row>
    <row r="116" spans="9:37" x14ac:dyDescent="0.3">
      <c r="I116">
        <f ca="1">IF(OR(INDIRECT(A73&amp;ROW())=B93,INDIRECT(A73&amp;ROW())=B94),1,IF(AND(INDIRECT(A73&amp;ROW())=B95,INDIRECT(A96&amp;ROW())=C93),1,IF(AND(INDIRECT(A73&amp;ROW())=B95,INDIRECT(A96&amp;ROW())=C94),1,0)))</f>
        <v>0</v>
      </c>
      <c r="J116">
        <f ca="1">IF(AND(INDIRECT(A73&amp;ROW())=B95,INDIRECT(A96&amp;ROW())=C95),1,IF(AND(INDIRECT(A73&amp;ROW())=B95,INDIRECT(A96&amp;ROW())=C96),1,0))</f>
        <v>0</v>
      </c>
      <c r="K116">
        <f ca="1">DAYS360(INDIRECT(C68&amp;ROW()),TODAY())</f>
        <v>710</v>
      </c>
      <c r="L116">
        <f ca="1">DAYS360(INDIRECT(C69&amp;ROW()),TODAY())</f>
        <v>885</v>
      </c>
      <c r="M116" s="11">
        <f ca="1">HYPERLINK(CONCATENATE("https://bugzilla.houston.hp.com:1181/bugzilla/show_bug.cgi?id=",INDIRECT(C70&amp;ROW())),INDIRECT(C70&amp;ROW()))</f>
        <v>53213</v>
      </c>
      <c r="N116">
        <v>53213</v>
      </c>
      <c r="O116" t="s">
        <v>43</v>
      </c>
      <c r="P116" t="s">
        <v>1049</v>
      </c>
      <c r="Q116" t="s">
        <v>16</v>
      </c>
      <c r="R116" t="s">
        <v>251</v>
      </c>
      <c r="S116" t="s">
        <v>68</v>
      </c>
      <c r="T116" t="s">
        <v>794</v>
      </c>
      <c r="U116" s="6">
        <v>42136.636747685188</v>
      </c>
      <c r="V116" t="s">
        <v>18</v>
      </c>
      <c r="W116" t="s">
        <v>17</v>
      </c>
      <c r="X116" s="6">
        <v>41960.464930555558</v>
      </c>
      <c r="Y116" t="s">
        <v>124</v>
      </c>
      <c r="AB116" t="s">
        <v>201</v>
      </c>
      <c r="AC116" t="s">
        <v>247</v>
      </c>
      <c r="AD116" t="s">
        <v>220</v>
      </c>
      <c r="AE116" t="s">
        <v>219</v>
      </c>
      <c r="AG116" t="s">
        <v>121</v>
      </c>
      <c r="AH116" t="s">
        <v>327</v>
      </c>
      <c r="AI116" t="s">
        <v>121</v>
      </c>
      <c r="AJ116" t="s">
        <v>717</v>
      </c>
      <c r="AK116" t="s">
        <v>121</v>
      </c>
    </row>
    <row r="117" spans="9:37" x14ac:dyDescent="0.3">
      <c r="I117">
        <f ca="1">IF(OR(INDIRECT(A73&amp;ROW())=B93,INDIRECT(A73&amp;ROW())=B94),1,IF(AND(INDIRECT(A73&amp;ROW())=B95,INDIRECT(A96&amp;ROW())=C93),1,IF(AND(INDIRECT(A73&amp;ROW())=B95,INDIRECT(A96&amp;ROW())=C94),1,0)))</f>
        <v>0</v>
      </c>
      <c r="J117">
        <f ca="1">IF(AND(INDIRECT(A73&amp;ROW())=B95,INDIRECT(A96&amp;ROW())=C95),1,IF(AND(INDIRECT(A73&amp;ROW())=B95,INDIRECT(A96&amp;ROW())=C96),1,0))</f>
        <v>0</v>
      </c>
      <c r="K117">
        <f ca="1">DAYS360(INDIRECT(C68&amp;ROW()),TODAY())</f>
        <v>721</v>
      </c>
      <c r="L117">
        <f ca="1">DAYS360(INDIRECT(C69&amp;ROW()),TODAY())</f>
        <v>885</v>
      </c>
      <c r="M117" s="11">
        <f ca="1">HYPERLINK(CONCATENATE("https://bugzilla.houston.hp.com:1181/bugzilla/show_bug.cgi?id=",INDIRECT(C70&amp;ROW())),INDIRECT(C70&amp;ROW()))</f>
        <v>53225</v>
      </c>
      <c r="N117">
        <v>53225</v>
      </c>
      <c r="O117" t="s">
        <v>56</v>
      </c>
      <c r="P117" t="s">
        <v>377</v>
      </c>
      <c r="Q117" t="s">
        <v>16</v>
      </c>
      <c r="R117" t="s">
        <v>248</v>
      </c>
      <c r="S117" t="s">
        <v>36</v>
      </c>
      <c r="U117" s="6">
        <v>42125.443796296298</v>
      </c>
      <c r="V117" t="s">
        <v>18</v>
      </c>
      <c r="W117" t="s">
        <v>17</v>
      </c>
      <c r="X117" s="6">
        <v>41960.705925925926</v>
      </c>
      <c r="Y117" t="s">
        <v>122</v>
      </c>
      <c r="AB117" t="s">
        <v>201</v>
      </c>
      <c r="AC117" t="s">
        <v>121</v>
      </c>
      <c r="AD117" t="s">
        <v>220</v>
      </c>
      <c r="AE117" t="s">
        <v>219</v>
      </c>
      <c r="AG117" t="s">
        <v>121</v>
      </c>
      <c r="AH117" t="s">
        <v>327</v>
      </c>
      <c r="AI117" t="s">
        <v>121</v>
      </c>
      <c r="AJ117" t="s">
        <v>717</v>
      </c>
      <c r="AK117" t="s">
        <v>121</v>
      </c>
    </row>
    <row r="118" spans="9:37" x14ac:dyDescent="0.3">
      <c r="I118">
        <f ca="1">IF(OR(INDIRECT(A73&amp;ROW())=B93,INDIRECT(A73&amp;ROW())=B94),1,IF(AND(INDIRECT(A73&amp;ROW())=B95,INDIRECT(A96&amp;ROW())=C93),1,IF(AND(INDIRECT(A73&amp;ROW())=B95,INDIRECT(A96&amp;ROW())=C94),1,0)))</f>
        <v>0</v>
      </c>
      <c r="J118">
        <f ca="1">IF(AND(INDIRECT(A73&amp;ROW())=B95,INDIRECT(A96&amp;ROW())=C95),1,IF(AND(INDIRECT(A73&amp;ROW())=B95,INDIRECT(A96&amp;ROW())=C96),1,0))</f>
        <v>0</v>
      </c>
      <c r="K118">
        <f ca="1">DAYS360(INDIRECT(C68&amp;ROW()),TODAY())</f>
        <v>721</v>
      </c>
      <c r="L118">
        <f ca="1">DAYS360(INDIRECT(C69&amp;ROW()),TODAY())</f>
        <v>885</v>
      </c>
      <c r="M118" s="11">
        <f ca="1">HYPERLINK(CONCATENATE("https://bugzilla.houston.hp.com:1181/bugzilla/show_bug.cgi?id=",INDIRECT(C70&amp;ROW())),INDIRECT(C70&amp;ROW()))</f>
        <v>53231</v>
      </c>
      <c r="N118">
        <v>53231</v>
      </c>
      <c r="O118" t="s">
        <v>56</v>
      </c>
      <c r="P118" t="s">
        <v>376</v>
      </c>
      <c r="Q118" t="s">
        <v>16</v>
      </c>
      <c r="R118" t="s">
        <v>248</v>
      </c>
      <c r="S118" t="s">
        <v>36</v>
      </c>
      <c r="U118" s="6">
        <v>42125.443854166668</v>
      </c>
      <c r="V118" t="s">
        <v>18</v>
      </c>
      <c r="W118" t="s">
        <v>17</v>
      </c>
      <c r="X118" s="6">
        <v>41960.706388888888</v>
      </c>
      <c r="Y118" t="s">
        <v>122</v>
      </c>
      <c r="AB118" t="s">
        <v>201</v>
      </c>
      <c r="AC118" t="s">
        <v>121</v>
      </c>
      <c r="AD118" t="s">
        <v>220</v>
      </c>
      <c r="AE118" t="s">
        <v>219</v>
      </c>
      <c r="AG118" t="s">
        <v>121</v>
      </c>
      <c r="AH118" t="s">
        <v>64</v>
      </c>
      <c r="AI118" t="s">
        <v>121</v>
      </c>
      <c r="AJ118" t="s">
        <v>717</v>
      </c>
      <c r="AK118" t="s">
        <v>121</v>
      </c>
    </row>
    <row r="119" spans="9:37" x14ac:dyDescent="0.3">
      <c r="I119">
        <f ca="1">IF(OR(INDIRECT(A73&amp;ROW())=B93,INDIRECT(A73&amp;ROW())=B94),1,IF(AND(INDIRECT(A73&amp;ROW())=B95,INDIRECT(A96&amp;ROW())=C93),1,IF(AND(INDIRECT(A73&amp;ROW())=B95,INDIRECT(A96&amp;ROW())=C94),1,0)))</f>
        <v>0</v>
      </c>
      <c r="J119">
        <f ca="1">IF(AND(INDIRECT(A73&amp;ROW())=B95,INDIRECT(A96&amp;ROW())=C95),1,IF(AND(INDIRECT(A73&amp;ROW())=B95,INDIRECT(A96&amp;ROW())=C96),1,0))</f>
        <v>0</v>
      </c>
      <c r="K119">
        <f ca="1">DAYS360(INDIRECT(C68&amp;ROW()),TODAY())</f>
        <v>721</v>
      </c>
      <c r="L119">
        <f ca="1">DAYS360(INDIRECT(C69&amp;ROW()),TODAY())</f>
        <v>884</v>
      </c>
      <c r="M119" s="11">
        <f ca="1">HYPERLINK(CONCATENATE("https://bugzilla.houston.hp.com:1181/bugzilla/show_bug.cgi?id=",INDIRECT(C70&amp;ROW())),INDIRECT(C70&amp;ROW()))</f>
        <v>53298</v>
      </c>
      <c r="N119">
        <v>53298</v>
      </c>
      <c r="O119" t="s">
        <v>55</v>
      </c>
      <c r="P119" t="s">
        <v>383</v>
      </c>
      <c r="Q119" t="s">
        <v>16</v>
      </c>
      <c r="R119" t="s">
        <v>248</v>
      </c>
      <c r="S119" t="s">
        <v>36</v>
      </c>
      <c r="U119" s="6">
        <v>42125.439930555556</v>
      </c>
      <c r="V119" t="s">
        <v>18</v>
      </c>
      <c r="W119" t="s">
        <v>17</v>
      </c>
      <c r="X119" s="6">
        <v>41961.535937499997</v>
      </c>
      <c r="Y119" t="s">
        <v>122</v>
      </c>
      <c r="AB119" t="s">
        <v>200</v>
      </c>
      <c r="AC119" t="s">
        <v>121</v>
      </c>
      <c r="AD119" t="s">
        <v>220</v>
      </c>
      <c r="AE119" t="s">
        <v>219</v>
      </c>
      <c r="AG119" t="s">
        <v>121</v>
      </c>
      <c r="AH119" t="s">
        <v>327</v>
      </c>
      <c r="AI119" t="s">
        <v>121</v>
      </c>
      <c r="AJ119" t="s">
        <v>716</v>
      </c>
      <c r="AK119" t="s">
        <v>121</v>
      </c>
    </row>
    <row r="120" spans="9:37" x14ac:dyDescent="0.3">
      <c r="I120">
        <f ca="1">IF(OR(INDIRECT(A73&amp;ROW())=B93,INDIRECT(A73&amp;ROW())=B94),1,IF(AND(INDIRECT(A73&amp;ROW())=B95,INDIRECT(A96&amp;ROW())=C93),1,IF(AND(INDIRECT(A73&amp;ROW())=B95,INDIRECT(A96&amp;ROW())=C94),1,0)))</f>
        <v>0</v>
      </c>
      <c r="J120">
        <f ca="1">IF(AND(INDIRECT(A73&amp;ROW())=B95,INDIRECT(A96&amp;ROW())=C95),1,IF(AND(INDIRECT(A73&amp;ROW())=B95,INDIRECT(A96&amp;ROW())=C96),1,0))</f>
        <v>0</v>
      </c>
      <c r="K120">
        <f ca="1">DAYS360(INDIRECT(C68&amp;ROW()),TODAY())</f>
        <v>721</v>
      </c>
      <c r="L120">
        <f ca="1">DAYS360(INDIRECT(C69&amp;ROW()),TODAY())</f>
        <v>884</v>
      </c>
      <c r="M120" s="11">
        <f ca="1">HYPERLINK(CONCATENATE("https://bugzilla.houston.hp.com:1181/bugzilla/show_bug.cgi?id=",INDIRECT(C70&amp;ROW())),INDIRECT(C70&amp;ROW()))</f>
        <v>53303</v>
      </c>
      <c r="N120">
        <v>53303</v>
      </c>
      <c r="O120" t="s">
        <v>56</v>
      </c>
      <c r="P120" t="s">
        <v>382</v>
      </c>
      <c r="Q120" t="s">
        <v>16</v>
      </c>
      <c r="R120" t="s">
        <v>248</v>
      </c>
      <c r="S120" t="s">
        <v>36</v>
      </c>
      <c r="U120" s="6">
        <v>42125.440000000002</v>
      </c>
      <c r="V120" t="s">
        <v>18</v>
      </c>
      <c r="W120" t="s">
        <v>17</v>
      </c>
      <c r="X120" s="6">
        <v>41961.5468287037</v>
      </c>
      <c r="Y120" t="s">
        <v>122</v>
      </c>
      <c r="AB120" t="s">
        <v>201</v>
      </c>
      <c r="AC120" t="s">
        <v>121</v>
      </c>
      <c r="AD120" t="s">
        <v>220</v>
      </c>
      <c r="AE120" t="s">
        <v>219</v>
      </c>
      <c r="AG120" t="s">
        <v>121</v>
      </c>
      <c r="AH120" t="s">
        <v>327</v>
      </c>
      <c r="AI120" t="s">
        <v>121</v>
      </c>
      <c r="AJ120" t="s">
        <v>717</v>
      </c>
      <c r="AK120" t="s">
        <v>121</v>
      </c>
    </row>
    <row r="121" spans="9:37" x14ac:dyDescent="0.3">
      <c r="I121">
        <f ca="1">IF(OR(INDIRECT(A73&amp;ROW())=B93,INDIRECT(A73&amp;ROW())=B94),1,IF(AND(INDIRECT(A73&amp;ROW())=B95,INDIRECT(A96&amp;ROW())=C93),1,IF(AND(INDIRECT(A73&amp;ROW())=B95,INDIRECT(A96&amp;ROW())=C94),1,0)))</f>
        <v>0</v>
      </c>
      <c r="J121">
        <f ca="1">IF(AND(INDIRECT(A73&amp;ROW())=B95,INDIRECT(A96&amp;ROW())=C95),1,IF(AND(INDIRECT(A73&amp;ROW())=B95,INDIRECT(A96&amp;ROW())=C96),1,0))</f>
        <v>1</v>
      </c>
      <c r="K121">
        <f ca="1">DAYS360(INDIRECT(C68&amp;ROW()),TODAY())</f>
        <v>728</v>
      </c>
      <c r="L121">
        <f ca="1">DAYS360(INDIRECT(C69&amp;ROW()),TODAY())</f>
        <v>884</v>
      </c>
      <c r="M121" s="11">
        <f ca="1">HYPERLINK(CONCATENATE("https://bugzilla.houston.hp.com:1181/bugzilla/show_bug.cgi?id=",INDIRECT(C70&amp;ROW())),INDIRECT(C70&amp;ROW()))</f>
        <v>53313</v>
      </c>
      <c r="N121">
        <v>53313</v>
      </c>
      <c r="O121" t="s">
        <v>56</v>
      </c>
      <c r="P121" t="s">
        <v>867</v>
      </c>
      <c r="Q121" t="s">
        <v>25</v>
      </c>
      <c r="R121" t="s">
        <v>251</v>
      </c>
      <c r="S121" t="s">
        <v>43</v>
      </c>
      <c r="U121" s="6">
        <v>42118.342569444445</v>
      </c>
      <c r="V121" t="s">
        <v>18</v>
      </c>
      <c r="W121" t="s">
        <v>17</v>
      </c>
      <c r="X121" s="6">
        <v>41961.575497685182</v>
      </c>
      <c r="Y121" t="s">
        <v>119</v>
      </c>
      <c r="AB121" t="s">
        <v>201</v>
      </c>
      <c r="AC121" t="s">
        <v>247</v>
      </c>
      <c r="AD121" t="s">
        <v>220</v>
      </c>
      <c r="AE121" t="s">
        <v>219</v>
      </c>
      <c r="AG121" t="s">
        <v>121</v>
      </c>
      <c r="AH121" t="s">
        <v>327</v>
      </c>
      <c r="AI121" t="s">
        <v>121</v>
      </c>
      <c r="AJ121" t="s">
        <v>716</v>
      </c>
      <c r="AK121" t="s">
        <v>121</v>
      </c>
    </row>
    <row r="122" spans="9:37" x14ac:dyDescent="0.3">
      <c r="I122">
        <f ca="1">IF(OR(INDIRECT(A73&amp;ROW())=B93,INDIRECT(A73&amp;ROW())=B94),1,IF(AND(INDIRECT(A73&amp;ROW())=B95,INDIRECT(A96&amp;ROW())=C93),1,IF(AND(INDIRECT(A73&amp;ROW())=B95,INDIRECT(A96&amp;ROW())=C94),1,0)))</f>
        <v>0</v>
      </c>
      <c r="J122">
        <f ca="1">IF(AND(INDIRECT(A73&amp;ROW())=B95,INDIRECT(A96&amp;ROW())=C95),1,IF(AND(INDIRECT(A73&amp;ROW())=B95,INDIRECT(A96&amp;ROW())=C96),1,0))</f>
        <v>0</v>
      </c>
      <c r="K122">
        <f ca="1">DAYS360(INDIRECT(C68&amp;ROW()),TODAY())</f>
        <v>733</v>
      </c>
      <c r="L122">
        <f ca="1">DAYS360(INDIRECT(C69&amp;ROW()),TODAY())</f>
        <v>884</v>
      </c>
      <c r="M122" s="11">
        <f ca="1">HYPERLINK(CONCATENATE("https://bugzilla.houston.hp.com:1181/bugzilla/show_bug.cgi?id=",INDIRECT(C70&amp;ROW())),INDIRECT(C70&amp;ROW()))</f>
        <v>53324</v>
      </c>
      <c r="N122">
        <v>53324</v>
      </c>
      <c r="O122" t="s">
        <v>66</v>
      </c>
      <c r="P122" t="s">
        <v>381</v>
      </c>
      <c r="Q122" t="s">
        <v>16</v>
      </c>
      <c r="R122" t="s">
        <v>248</v>
      </c>
      <c r="S122" t="s">
        <v>36</v>
      </c>
      <c r="U122" s="6">
        <v>42113.702372685184</v>
      </c>
      <c r="V122" t="s">
        <v>18</v>
      </c>
      <c r="W122" t="s">
        <v>32</v>
      </c>
      <c r="X122" s="6">
        <v>41961.64980324074</v>
      </c>
      <c r="Y122" t="s">
        <v>119</v>
      </c>
      <c r="AB122" t="s">
        <v>201</v>
      </c>
      <c r="AC122" t="s">
        <v>121</v>
      </c>
      <c r="AD122" t="s">
        <v>220</v>
      </c>
      <c r="AE122" t="s">
        <v>219</v>
      </c>
      <c r="AG122" t="s">
        <v>121</v>
      </c>
      <c r="AH122" t="s">
        <v>327</v>
      </c>
      <c r="AI122" t="s">
        <v>121</v>
      </c>
      <c r="AJ122" t="s">
        <v>716</v>
      </c>
      <c r="AK122" t="s">
        <v>121</v>
      </c>
    </row>
    <row r="123" spans="9:37" x14ac:dyDescent="0.3">
      <c r="I123">
        <f ca="1">IF(OR(INDIRECT(A73&amp;ROW())=B93,INDIRECT(A73&amp;ROW())=B94),1,IF(AND(INDIRECT(A73&amp;ROW())=B95,INDIRECT(A96&amp;ROW())=C93),1,IF(AND(INDIRECT(A73&amp;ROW())=B95,INDIRECT(A96&amp;ROW())=C94),1,0)))</f>
        <v>0</v>
      </c>
      <c r="J123">
        <f ca="1">IF(AND(INDIRECT(A73&amp;ROW())=B95,INDIRECT(A96&amp;ROW())=C95),1,IF(AND(INDIRECT(A73&amp;ROW())=B95,INDIRECT(A96&amp;ROW())=C96),1,0))</f>
        <v>0</v>
      </c>
      <c r="K123">
        <f ca="1">DAYS360(INDIRECT(C68&amp;ROW()),TODAY())</f>
        <v>721</v>
      </c>
      <c r="L123">
        <f ca="1">DAYS360(INDIRECT(C69&amp;ROW()),TODAY())</f>
        <v>884</v>
      </c>
      <c r="M123" s="11">
        <f ca="1">HYPERLINK(CONCATENATE("https://bugzilla.houston.hp.com:1181/bugzilla/show_bug.cgi?id=",INDIRECT(C70&amp;ROW())),INDIRECT(C70&amp;ROW()))</f>
        <v>53329</v>
      </c>
      <c r="N123">
        <v>53329</v>
      </c>
      <c r="O123" t="s">
        <v>203</v>
      </c>
      <c r="P123" t="s">
        <v>380</v>
      </c>
      <c r="Q123" t="s">
        <v>16</v>
      </c>
      <c r="R123" t="s">
        <v>248</v>
      </c>
      <c r="S123" t="s">
        <v>36</v>
      </c>
      <c r="U123" s="6">
        <v>42125.439722222225</v>
      </c>
      <c r="V123" t="s">
        <v>18</v>
      </c>
      <c r="W123" t="s">
        <v>20</v>
      </c>
      <c r="X123" s="6">
        <v>41961.660949074074</v>
      </c>
      <c r="Y123" t="s">
        <v>122</v>
      </c>
      <c r="AB123" t="s">
        <v>201</v>
      </c>
      <c r="AC123" t="s">
        <v>121</v>
      </c>
      <c r="AD123" t="s">
        <v>220</v>
      </c>
      <c r="AE123" t="s">
        <v>223</v>
      </c>
      <c r="AG123" t="s">
        <v>121</v>
      </c>
      <c r="AH123" t="s">
        <v>327</v>
      </c>
      <c r="AI123" t="s">
        <v>121</v>
      </c>
      <c r="AJ123" t="s">
        <v>717</v>
      </c>
      <c r="AK123" t="s">
        <v>121</v>
      </c>
    </row>
    <row r="124" spans="9:37" x14ac:dyDescent="0.3">
      <c r="I124">
        <f ca="1">IF(OR(INDIRECT(A73&amp;ROW())=B93,INDIRECT(A73&amp;ROW())=B94),1,IF(AND(INDIRECT(A73&amp;ROW())=B95,INDIRECT(A96&amp;ROW())=C93),1,IF(AND(INDIRECT(A73&amp;ROW())=B95,INDIRECT(A96&amp;ROW())=C94),1,0)))</f>
        <v>0</v>
      </c>
      <c r="J124">
        <f ca="1">IF(AND(INDIRECT(A73&amp;ROW())=B95,INDIRECT(A96&amp;ROW())=C95),1,IF(AND(INDIRECT(A73&amp;ROW())=B95,INDIRECT(A96&amp;ROW())=C96),1,0))</f>
        <v>1</v>
      </c>
      <c r="K124">
        <f ca="1">DAYS360(INDIRECT(C68&amp;ROW()),TODAY())</f>
        <v>687</v>
      </c>
      <c r="L124">
        <f ca="1">DAYS360(INDIRECT(C69&amp;ROW()),TODAY())</f>
        <v>884</v>
      </c>
      <c r="M124" s="11">
        <f ca="1">HYPERLINK(CONCATENATE("https://bugzilla.houston.hp.com:1181/bugzilla/show_bug.cgi?id=",INDIRECT(C70&amp;ROW())),INDIRECT(C70&amp;ROW()))</f>
        <v>53336</v>
      </c>
      <c r="N124">
        <v>53336</v>
      </c>
      <c r="O124" t="s">
        <v>56</v>
      </c>
      <c r="P124" t="s">
        <v>379</v>
      </c>
      <c r="Q124" t="s">
        <v>25</v>
      </c>
      <c r="R124" t="s">
        <v>248</v>
      </c>
      <c r="S124" t="s">
        <v>36</v>
      </c>
      <c r="U124" s="6">
        <v>42160.524062500001</v>
      </c>
      <c r="V124" t="s">
        <v>18</v>
      </c>
      <c r="W124" t="s">
        <v>17</v>
      </c>
      <c r="X124" s="6">
        <v>41961.667453703703</v>
      </c>
      <c r="Y124" t="s">
        <v>122</v>
      </c>
      <c r="AB124" t="s">
        <v>201</v>
      </c>
      <c r="AC124" t="s">
        <v>121</v>
      </c>
      <c r="AD124" t="s">
        <v>220</v>
      </c>
      <c r="AE124" t="s">
        <v>219</v>
      </c>
      <c r="AG124" t="s">
        <v>121</v>
      </c>
      <c r="AH124" t="s">
        <v>327</v>
      </c>
      <c r="AI124" t="s">
        <v>121</v>
      </c>
      <c r="AJ124" t="s">
        <v>716</v>
      </c>
      <c r="AK124" t="s">
        <v>121</v>
      </c>
    </row>
    <row r="125" spans="9:37" x14ac:dyDescent="0.3">
      <c r="I125">
        <f ca="1">IF(OR(INDIRECT(A73&amp;ROW())=B93,INDIRECT(A73&amp;ROW())=B94),1,IF(AND(INDIRECT(A73&amp;ROW())=B95,INDIRECT(A96&amp;ROW())=C93),1,IF(AND(INDIRECT(A73&amp;ROW())=B95,INDIRECT(A96&amp;ROW())=C94),1,0)))</f>
        <v>0</v>
      </c>
      <c r="J125">
        <f ca="1">IF(AND(INDIRECT(A73&amp;ROW())=B95,INDIRECT(A96&amp;ROW())=C95),1,IF(AND(INDIRECT(A73&amp;ROW())=B95,INDIRECT(A96&amp;ROW())=C96),1,0))</f>
        <v>1</v>
      </c>
      <c r="K125">
        <f ca="1">DAYS360(INDIRECT(C68&amp;ROW()),TODAY())</f>
        <v>721</v>
      </c>
      <c r="L125">
        <f ca="1">DAYS360(INDIRECT(C69&amp;ROW()),TODAY())</f>
        <v>884</v>
      </c>
      <c r="M125" s="11">
        <f ca="1">HYPERLINK(CONCATENATE("https://bugzilla.houston.hp.com:1181/bugzilla/show_bug.cgi?id=",INDIRECT(C70&amp;ROW())),INDIRECT(C70&amp;ROW()))</f>
        <v>53342</v>
      </c>
      <c r="N125">
        <v>53342</v>
      </c>
      <c r="O125" t="s">
        <v>43</v>
      </c>
      <c r="P125" t="s">
        <v>378</v>
      </c>
      <c r="Q125" t="s">
        <v>25</v>
      </c>
      <c r="R125" t="s">
        <v>248</v>
      </c>
      <c r="S125" t="s">
        <v>36</v>
      </c>
      <c r="U125" s="6">
        <v>42125.442384259259</v>
      </c>
      <c r="V125" t="s">
        <v>18</v>
      </c>
      <c r="W125" t="s">
        <v>20</v>
      </c>
      <c r="X125" s="6">
        <v>41961.691874999997</v>
      </c>
      <c r="Y125" t="s">
        <v>122</v>
      </c>
      <c r="AB125" t="s">
        <v>201</v>
      </c>
      <c r="AC125" t="s">
        <v>121</v>
      </c>
      <c r="AD125" t="s">
        <v>220</v>
      </c>
      <c r="AE125" t="s">
        <v>219</v>
      </c>
      <c r="AG125" t="s">
        <v>121</v>
      </c>
      <c r="AH125" t="s">
        <v>327</v>
      </c>
      <c r="AI125" t="s">
        <v>121</v>
      </c>
      <c r="AJ125" t="s">
        <v>716</v>
      </c>
      <c r="AK125" t="s">
        <v>121</v>
      </c>
    </row>
    <row r="126" spans="9:37" x14ac:dyDescent="0.3">
      <c r="I126">
        <f ca="1">IF(OR(INDIRECT(A73&amp;ROW())=B93,INDIRECT(A73&amp;ROW())=B94),1,IF(AND(INDIRECT(A73&amp;ROW())=B95,INDIRECT(A96&amp;ROW())=C93),1,IF(AND(INDIRECT(A73&amp;ROW())=B95,INDIRECT(A96&amp;ROW())=C94),1,0)))</f>
        <v>0</v>
      </c>
      <c r="J126">
        <f ca="1">IF(AND(INDIRECT(A73&amp;ROW())=B95,INDIRECT(A96&amp;ROW())=C95),1,IF(AND(INDIRECT(A73&amp;ROW())=B95,INDIRECT(A96&amp;ROW())=C96),1,0))</f>
        <v>0</v>
      </c>
      <c r="K126">
        <f ca="1">DAYS360(INDIRECT(C68&amp;ROW()),TODAY())</f>
        <v>730</v>
      </c>
      <c r="L126">
        <f ca="1">DAYS360(INDIRECT(C69&amp;ROW()),TODAY())</f>
        <v>883</v>
      </c>
      <c r="M126" s="11">
        <f ca="1">HYPERLINK(CONCATENATE("https://bugzilla.houston.hp.com:1181/bugzilla/show_bug.cgi?id=",INDIRECT(C70&amp;ROW())),INDIRECT(C70&amp;ROW()))</f>
        <v>53355</v>
      </c>
      <c r="N126">
        <v>53355</v>
      </c>
      <c r="O126" t="s">
        <v>66</v>
      </c>
      <c r="P126" t="s">
        <v>488</v>
      </c>
      <c r="Q126" t="s">
        <v>16</v>
      </c>
      <c r="R126" t="s">
        <v>251</v>
      </c>
      <c r="S126" t="s">
        <v>374</v>
      </c>
      <c r="U126" s="6">
        <v>42116.543923611112</v>
      </c>
      <c r="V126" t="s">
        <v>35</v>
      </c>
      <c r="W126" t="s">
        <v>17</v>
      </c>
      <c r="X126" s="6">
        <v>41962.112662037034</v>
      </c>
      <c r="Y126" t="s">
        <v>787</v>
      </c>
      <c r="AB126" t="s">
        <v>199</v>
      </c>
      <c r="AC126" t="s">
        <v>247</v>
      </c>
      <c r="AD126" t="s">
        <v>220</v>
      </c>
      <c r="AE126" t="s">
        <v>219</v>
      </c>
      <c r="AG126" t="s">
        <v>588</v>
      </c>
      <c r="AH126" t="s">
        <v>327</v>
      </c>
      <c r="AI126" t="s">
        <v>121</v>
      </c>
      <c r="AJ126" t="s">
        <v>716</v>
      </c>
      <c r="AK126" t="s">
        <v>121</v>
      </c>
    </row>
    <row r="127" spans="9:37" x14ac:dyDescent="0.3">
      <c r="I127">
        <f ca="1">IF(OR(INDIRECT(A73&amp;ROW())=B93,INDIRECT(A73&amp;ROW())=B94),1,IF(AND(INDIRECT(A73&amp;ROW())=B95,INDIRECT(A96&amp;ROW())=C93),1,IF(AND(INDIRECT(A73&amp;ROW())=B95,INDIRECT(A96&amp;ROW())=C94),1,0)))</f>
        <v>0</v>
      </c>
      <c r="J127">
        <f ca="1">IF(AND(INDIRECT(A73&amp;ROW())=B95,INDIRECT(A96&amp;ROW())=C95),1,IF(AND(INDIRECT(A73&amp;ROW())=B95,INDIRECT(A96&amp;ROW())=C96),1,0))</f>
        <v>0</v>
      </c>
      <c r="K127">
        <f ca="1">DAYS360(INDIRECT(C68&amp;ROW()),TODAY())</f>
        <v>800</v>
      </c>
      <c r="L127">
        <f ca="1">DAYS360(INDIRECT(C69&amp;ROW()),TODAY())</f>
        <v>883</v>
      </c>
      <c r="M127" s="11">
        <f ca="1">HYPERLINK(CONCATENATE("https://bugzilla.houston.hp.com:1181/bugzilla/show_bug.cgi?id=",INDIRECT(C70&amp;ROW())),INDIRECT(C70&amp;ROW()))</f>
        <v>53402</v>
      </c>
      <c r="N127">
        <v>53402</v>
      </c>
      <c r="O127" t="s">
        <v>88</v>
      </c>
      <c r="P127" t="s">
        <v>422</v>
      </c>
      <c r="Q127" t="s">
        <v>16</v>
      </c>
      <c r="R127" t="s">
        <v>248</v>
      </c>
      <c r="S127" t="s">
        <v>36</v>
      </c>
      <c r="U127" s="6">
        <v>42047.9452662037</v>
      </c>
      <c r="V127" t="s">
        <v>18</v>
      </c>
      <c r="W127" t="s">
        <v>27</v>
      </c>
      <c r="X127" s="6">
        <v>41962.478715277779</v>
      </c>
      <c r="Y127" t="s">
        <v>119</v>
      </c>
      <c r="AB127" t="s">
        <v>201</v>
      </c>
      <c r="AC127" t="s">
        <v>121</v>
      </c>
      <c r="AD127" t="s">
        <v>222</v>
      </c>
      <c r="AE127" t="s">
        <v>225</v>
      </c>
      <c r="AG127" t="s">
        <v>121</v>
      </c>
      <c r="AH127" t="s">
        <v>327</v>
      </c>
      <c r="AI127" t="s">
        <v>121</v>
      </c>
      <c r="AJ127" t="s">
        <v>717</v>
      </c>
      <c r="AK127" t="s">
        <v>121</v>
      </c>
    </row>
    <row r="128" spans="9:37" x14ac:dyDescent="0.3">
      <c r="I128">
        <f ca="1">IF(OR(INDIRECT(A73&amp;ROW())=B93,INDIRECT(A73&amp;ROW())=B94),1,IF(AND(INDIRECT(A73&amp;ROW())=B95,INDIRECT(A96&amp;ROW())=C93),1,IF(AND(INDIRECT(A73&amp;ROW())=B95,INDIRECT(A96&amp;ROW())=C94),1,0)))</f>
        <v>0</v>
      </c>
      <c r="J128">
        <f ca="1">IF(AND(INDIRECT(A73&amp;ROW())=B95,INDIRECT(A96&amp;ROW())=C95),1,IF(AND(INDIRECT(A73&amp;ROW())=B95,INDIRECT(A96&amp;ROW())=C96),1,0))</f>
        <v>1</v>
      </c>
      <c r="K128">
        <f ca="1">DAYS360(INDIRECT(C68&amp;ROW()),TODAY())</f>
        <v>800</v>
      </c>
      <c r="L128">
        <f ca="1">DAYS360(INDIRECT(C69&amp;ROW()),TODAY())</f>
        <v>883</v>
      </c>
      <c r="M128" s="11">
        <f ca="1">HYPERLINK(CONCATENATE("https://bugzilla.houston.hp.com:1181/bugzilla/show_bug.cgi?id=",INDIRECT(C70&amp;ROW())),INDIRECT(C70&amp;ROW()))</f>
        <v>53415</v>
      </c>
      <c r="N128">
        <v>53415</v>
      </c>
      <c r="O128" t="s">
        <v>56</v>
      </c>
      <c r="P128" t="s">
        <v>421</v>
      </c>
      <c r="Q128" t="s">
        <v>25</v>
      </c>
      <c r="R128" t="s">
        <v>248</v>
      </c>
      <c r="S128" t="s">
        <v>36</v>
      </c>
      <c r="U128" s="6">
        <v>42047.945960648147</v>
      </c>
      <c r="V128" t="s">
        <v>18</v>
      </c>
      <c r="W128" t="s">
        <v>89</v>
      </c>
      <c r="X128" s="6">
        <v>41962.515706018516</v>
      </c>
      <c r="Y128" t="s">
        <v>786</v>
      </c>
      <c r="AB128" t="s">
        <v>201</v>
      </c>
      <c r="AC128" t="s">
        <v>121</v>
      </c>
      <c r="AD128" t="s">
        <v>220</v>
      </c>
      <c r="AE128" t="s">
        <v>219</v>
      </c>
      <c r="AG128" t="s">
        <v>121</v>
      </c>
      <c r="AH128" t="s">
        <v>327</v>
      </c>
      <c r="AI128" t="s">
        <v>121</v>
      </c>
      <c r="AJ128" t="s">
        <v>716</v>
      </c>
      <c r="AK128" t="s">
        <v>121</v>
      </c>
    </row>
    <row r="129" spans="9:37" x14ac:dyDescent="0.3">
      <c r="I129">
        <f ca="1">IF(OR(INDIRECT(A73&amp;ROW())=B93,INDIRECT(A73&amp;ROW())=B94),1,IF(AND(INDIRECT(A73&amp;ROW())=B95,INDIRECT(A96&amp;ROW())=C93),1,IF(AND(INDIRECT(A73&amp;ROW())=B95,INDIRECT(A96&amp;ROW())=C94),1,0)))</f>
        <v>0</v>
      </c>
      <c r="J129">
        <f ca="1">IF(AND(INDIRECT(A73&amp;ROW())=B95,INDIRECT(A96&amp;ROW())=C95),1,IF(AND(INDIRECT(A73&amp;ROW())=B95,INDIRECT(A96&amp;ROW())=C96),1,0))</f>
        <v>0</v>
      </c>
      <c r="K129">
        <f ca="1">DAYS360(INDIRECT(C68&amp;ROW()),TODAY())</f>
        <v>800</v>
      </c>
      <c r="L129">
        <f ca="1">DAYS360(INDIRECT(C69&amp;ROW()),TODAY())</f>
        <v>883</v>
      </c>
      <c r="M129" s="11">
        <f ca="1">HYPERLINK(CONCATENATE("https://bugzilla.houston.hp.com:1181/bugzilla/show_bug.cgi?id=",INDIRECT(C70&amp;ROW())),INDIRECT(C70&amp;ROW()))</f>
        <v>53420</v>
      </c>
      <c r="N129">
        <v>53420</v>
      </c>
      <c r="O129" t="s">
        <v>88</v>
      </c>
      <c r="P129" t="s">
        <v>420</v>
      </c>
      <c r="Q129" t="s">
        <v>16</v>
      </c>
      <c r="R129" t="s">
        <v>248</v>
      </c>
      <c r="S129" t="s">
        <v>36</v>
      </c>
      <c r="U129" s="6">
        <v>42047.944016203706</v>
      </c>
      <c r="V129" t="s">
        <v>18</v>
      </c>
      <c r="W129" t="s">
        <v>79</v>
      </c>
      <c r="X129" s="6">
        <v>41962.525289351855</v>
      </c>
      <c r="Y129" t="s">
        <v>119</v>
      </c>
      <c r="AB129" t="s">
        <v>201</v>
      </c>
      <c r="AC129" t="s">
        <v>121</v>
      </c>
      <c r="AD129" t="s">
        <v>222</v>
      </c>
      <c r="AE129" t="s">
        <v>240</v>
      </c>
      <c r="AG129" t="s">
        <v>121</v>
      </c>
      <c r="AH129" t="s">
        <v>327</v>
      </c>
      <c r="AI129" t="s">
        <v>121</v>
      </c>
      <c r="AJ129" t="s">
        <v>717</v>
      </c>
      <c r="AK129" t="s">
        <v>121</v>
      </c>
    </row>
    <row r="130" spans="9:37" x14ac:dyDescent="0.3">
      <c r="I130">
        <f ca="1">IF(OR(INDIRECT(A73&amp;ROW())=B93,INDIRECT(A73&amp;ROW())=B94),1,IF(AND(INDIRECT(A73&amp;ROW())=B95,INDIRECT(A96&amp;ROW())=C93),1,IF(AND(INDIRECT(A73&amp;ROW())=B95,INDIRECT(A96&amp;ROW())=C94),1,0)))</f>
        <v>0</v>
      </c>
      <c r="J130">
        <f ca="1">IF(AND(INDIRECT(A73&amp;ROW())=B95,INDIRECT(A96&amp;ROW())=C95),1,IF(AND(INDIRECT(A73&amp;ROW())=B95,INDIRECT(A96&amp;ROW())=C96),1,0))</f>
        <v>0</v>
      </c>
      <c r="K130">
        <f ca="1">DAYS360(INDIRECT(C68&amp;ROW()),TODAY())</f>
        <v>800</v>
      </c>
      <c r="L130">
        <f ca="1">DAYS360(INDIRECT(C69&amp;ROW()),TODAY())</f>
        <v>883</v>
      </c>
      <c r="M130" s="11">
        <f ca="1">HYPERLINK(CONCATENATE("https://bugzilla.houston.hp.com:1181/bugzilla/show_bug.cgi?id=",INDIRECT(C70&amp;ROW())),INDIRECT(C70&amp;ROW()))</f>
        <v>53425</v>
      </c>
      <c r="N130">
        <v>53425</v>
      </c>
      <c r="O130" t="s">
        <v>56</v>
      </c>
      <c r="P130" t="s">
        <v>419</v>
      </c>
      <c r="Q130" t="s">
        <v>16</v>
      </c>
      <c r="R130" t="s">
        <v>248</v>
      </c>
      <c r="S130" t="s">
        <v>36</v>
      </c>
      <c r="U130" s="6">
        <v>42047.946446759262</v>
      </c>
      <c r="V130" t="s">
        <v>18</v>
      </c>
      <c r="W130" t="s">
        <v>27</v>
      </c>
      <c r="X130" s="6">
        <v>41962.529432870368</v>
      </c>
      <c r="Y130" t="s">
        <v>119</v>
      </c>
      <c r="AB130" t="s">
        <v>201</v>
      </c>
      <c r="AC130" t="s">
        <v>121</v>
      </c>
      <c r="AD130" t="s">
        <v>220</v>
      </c>
      <c r="AE130" t="s">
        <v>243</v>
      </c>
      <c r="AG130" t="s">
        <v>121</v>
      </c>
      <c r="AH130" t="s">
        <v>327</v>
      </c>
      <c r="AI130" t="s">
        <v>121</v>
      </c>
      <c r="AJ130" t="s">
        <v>717</v>
      </c>
      <c r="AK130" t="s">
        <v>121</v>
      </c>
    </row>
    <row r="131" spans="9:37" x14ac:dyDescent="0.3">
      <c r="I131">
        <f ca="1">IF(OR(INDIRECT(A73&amp;ROW())=B93,INDIRECT(A73&amp;ROW())=B94),1,IF(AND(INDIRECT(A73&amp;ROW())=B95,INDIRECT(A96&amp;ROW())=C93),1,IF(AND(INDIRECT(A73&amp;ROW())=B95,INDIRECT(A96&amp;ROW())=C94),1,0)))</f>
        <v>0</v>
      </c>
      <c r="J131">
        <f ca="1">IF(AND(INDIRECT(A73&amp;ROW())=B95,INDIRECT(A96&amp;ROW())=C95),1,IF(AND(INDIRECT(A73&amp;ROW())=B95,INDIRECT(A96&amp;ROW())=C96),1,0))</f>
        <v>0</v>
      </c>
      <c r="K131">
        <f ca="1">DAYS360(INDIRECT(C68&amp;ROW()),TODAY())</f>
        <v>721</v>
      </c>
      <c r="L131">
        <f ca="1">DAYS360(INDIRECT(C69&amp;ROW()),TODAY())</f>
        <v>883</v>
      </c>
      <c r="M131" s="11">
        <f ca="1">HYPERLINK(CONCATENATE("https://bugzilla.houston.hp.com:1181/bugzilla/show_bug.cgi?id=",INDIRECT(C70&amp;ROW())),INDIRECT(C70&amp;ROW()))</f>
        <v>53446</v>
      </c>
      <c r="N131">
        <v>53446</v>
      </c>
      <c r="O131" t="s">
        <v>56</v>
      </c>
      <c r="P131" t="s">
        <v>674</v>
      </c>
      <c r="Q131" t="s">
        <v>16</v>
      </c>
      <c r="R131" t="s">
        <v>251</v>
      </c>
      <c r="S131" t="s">
        <v>55</v>
      </c>
      <c r="U131" s="6">
        <v>42125.448657407411</v>
      </c>
      <c r="V131" t="s">
        <v>18</v>
      </c>
      <c r="W131" t="s">
        <v>17</v>
      </c>
      <c r="X131" s="6">
        <v>41962.642233796294</v>
      </c>
      <c r="Y131" t="s">
        <v>122</v>
      </c>
      <c r="AB131" t="s">
        <v>201</v>
      </c>
      <c r="AC131" t="s">
        <v>247</v>
      </c>
      <c r="AD131" t="s">
        <v>220</v>
      </c>
      <c r="AE131" t="s">
        <v>219</v>
      </c>
      <c r="AG131" t="s">
        <v>121</v>
      </c>
      <c r="AH131" t="s">
        <v>327</v>
      </c>
      <c r="AI131" t="s">
        <v>121</v>
      </c>
      <c r="AJ131" t="s">
        <v>717</v>
      </c>
      <c r="AK131" t="s">
        <v>121</v>
      </c>
    </row>
    <row r="132" spans="9:37" x14ac:dyDescent="0.3">
      <c r="I132">
        <f ca="1">IF(OR(INDIRECT(A73&amp;ROW())=B93,INDIRECT(A73&amp;ROW())=B94),1,IF(AND(INDIRECT(A73&amp;ROW())=B95,INDIRECT(A96&amp;ROW())=C93),1,IF(AND(INDIRECT(A73&amp;ROW())=B95,INDIRECT(A96&amp;ROW())=C94),1,0)))</f>
        <v>1</v>
      </c>
      <c r="J132">
        <f ca="1">IF(AND(INDIRECT(A73&amp;ROW())=B95,INDIRECT(A96&amp;ROW())=C95),1,IF(AND(INDIRECT(A73&amp;ROW())=B95,INDIRECT(A96&amp;ROW())=C96),1,0))</f>
        <v>0</v>
      </c>
      <c r="K132">
        <f ca="1">DAYS360(INDIRECT(C68&amp;ROW()),TODAY())</f>
        <v>800</v>
      </c>
      <c r="L132">
        <f ca="1">DAYS360(INDIRECT(C69&amp;ROW()),TODAY())</f>
        <v>882</v>
      </c>
      <c r="M132" s="11">
        <f ca="1">HYPERLINK(CONCATENATE("https://bugzilla.houston.hp.com:1181/bugzilla/show_bug.cgi?id=",INDIRECT(C70&amp;ROW())),INDIRECT(C70&amp;ROW()))</f>
        <v>53480</v>
      </c>
      <c r="N132">
        <v>53480</v>
      </c>
      <c r="O132" t="s">
        <v>180</v>
      </c>
      <c r="P132" t="s">
        <v>418</v>
      </c>
      <c r="Q132" t="s">
        <v>25</v>
      </c>
      <c r="R132" t="s">
        <v>248</v>
      </c>
      <c r="S132" t="s">
        <v>36</v>
      </c>
      <c r="U132" s="6">
        <v>42047.955960648149</v>
      </c>
      <c r="V132" t="s">
        <v>18</v>
      </c>
      <c r="W132" t="s">
        <v>171</v>
      </c>
      <c r="X132" s="6">
        <v>41963.306967592594</v>
      </c>
      <c r="Y132" t="s">
        <v>119</v>
      </c>
      <c r="AB132" t="s">
        <v>200</v>
      </c>
      <c r="AC132" t="s">
        <v>121</v>
      </c>
      <c r="AD132" t="s">
        <v>222</v>
      </c>
      <c r="AE132" t="s">
        <v>221</v>
      </c>
      <c r="AG132" t="s">
        <v>121</v>
      </c>
      <c r="AH132" t="s">
        <v>327</v>
      </c>
      <c r="AI132" t="s">
        <v>121</v>
      </c>
      <c r="AJ132" t="s">
        <v>715</v>
      </c>
      <c r="AK132" t="s">
        <v>121</v>
      </c>
    </row>
    <row r="133" spans="9:37" x14ac:dyDescent="0.3">
      <c r="I133">
        <f ca="1">IF(OR(INDIRECT(A73&amp;ROW())=B93,INDIRECT(A73&amp;ROW())=B94),1,IF(AND(INDIRECT(A73&amp;ROW())=B95,INDIRECT(A96&amp;ROW())=C93),1,IF(AND(INDIRECT(A73&amp;ROW())=B95,INDIRECT(A96&amp;ROW())=C94),1,0)))</f>
        <v>0</v>
      </c>
      <c r="J133">
        <f ca="1">IF(AND(INDIRECT(A73&amp;ROW())=B95,INDIRECT(A96&amp;ROW())=C95),1,IF(AND(INDIRECT(A73&amp;ROW())=B95,INDIRECT(A96&amp;ROW())=C96),1,0))</f>
        <v>0</v>
      </c>
      <c r="K133">
        <f ca="1">DAYS360(INDIRECT(C68&amp;ROW()),TODAY())</f>
        <v>721</v>
      </c>
      <c r="L133">
        <f ca="1">DAYS360(INDIRECT(C69&amp;ROW()),TODAY())</f>
        <v>882</v>
      </c>
      <c r="M133" s="11">
        <f ca="1">HYPERLINK(CONCATENATE("https://bugzilla.houston.hp.com:1181/bugzilla/show_bug.cgi?id=",INDIRECT(C70&amp;ROW())),INDIRECT(C70&amp;ROW()))</f>
        <v>53489</v>
      </c>
      <c r="N133">
        <v>53489</v>
      </c>
      <c r="O133" t="s">
        <v>21</v>
      </c>
      <c r="P133" t="s">
        <v>417</v>
      </c>
      <c r="Q133" t="s">
        <v>16</v>
      </c>
      <c r="R133" t="s">
        <v>248</v>
      </c>
      <c r="S133" t="s">
        <v>36</v>
      </c>
      <c r="U133" s="6">
        <v>42125.442152777781</v>
      </c>
      <c r="V133" t="s">
        <v>18</v>
      </c>
      <c r="W133" t="s">
        <v>171</v>
      </c>
      <c r="X133" s="6">
        <v>41963.308657407404</v>
      </c>
      <c r="Y133" t="s">
        <v>122</v>
      </c>
      <c r="AB133" t="s">
        <v>201</v>
      </c>
      <c r="AC133" t="s">
        <v>121</v>
      </c>
      <c r="AD133" t="s">
        <v>222</v>
      </c>
      <c r="AE133" t="s">
        <v>225</v>
      </c>
      <c r="AG133" t="s">
        <v>121</v>
      </c>
      <c r="AH133" t="s">
        <v>327</v>
      </c>
      <c r="AI133" t="s">
        <v>121</v>
      </c>
      <c r="AJ133" t="s">
        <v>717</v>
      </c>
      <c r="AK133" t="s">
        <v>121</v>
      </c>
    </row>
    <row r="134" spans="9:37" x14ac:dyDescent="0.3">
      <c r="I134">
        <f ca="1">IF(OR(INDIRECT(A73&amp;ROW())=B93,INDIRECT(A73&amp;ROW())=B94),1,IF(AND(INDIRECT(A73&amp;ROW())=B95,INDIRECT(A96&amp;ROW())=C93),1,IF(AND(INDIRECT(A73&amp;ROW())=B95,INDIRECT(A96&amp;ROW())=C94),1,0)))</f>
        <v>0</v>
      </c>
      <c r="J134">
        <f ca="1">IF(AND(INDIRECT(A73&amp;ROW())=B95,INDIRECT(A96&amp;ROW())=C95),1,IF(AND(INDIRECT(A73&amp;ROW())=B95,INDIRECT(A96&amp;ROW())=C96),1,0))</f>
        <v>0</v>
      </c>
      <c r="K134">
        <f ca="1">DAYS360(INDIRECT(C68&amp;ROW()),TODAY())</f>
        <v>721</v>
      </c>
      <c r="L134">
        <f ca="1">DAYS360(INDIRECT(C69&amp;ROW()),TODAY())</f>
        <v>882</v>
      </c>
      <c r="M134" s="11">
        <f ca="1">HYPERLINK(CONCATENATE("https://bugzilla.houston.hp.com:1181/bugzilla/show_bug.cgi?id=",INDIRECT(C70&amp;ROW())),INDIRECT(C70&amp;ROW()))</f>
        <v>53492</v>
      </c>
      <c r="N134">
        <v>53492</v>
      </c>
      <c r="O134" t="s">
        <v>180</v>
      </c>
      <c r="P134" t="s">
        <v>416</v>
      </c>
      <c r="Q134" t="s">
        <v>16</v>
      </c>
      <c r="R134" t="s">
        <v>248</v>
      </c>
      <c r="S134" t="s">
        <v>36</v>
      </c>
      <c r="U134" s="6">
        <v>42125.442372685182</v>
      </c>
      <c r="V134" t="s">
        <v>18</v>
      </c>
      <c r="W134" t="s">
        <v>172</v>
      </c>
      <c r="X134" s="6">
        <v>41963.308993055558</v>
      </c>
      <c r="Y134" t="s">
        <v>122</v>
      </c>
      <c r="AB134" t="s">
        <v>200</v>
      </c>
      <c r="AC134" t="s">
        <v>121</v>
      </c>
      <c r="AD134" t="s">
        <v>222</v>
      </c>
      <c r="AE134" t="s">
        <v>225</v>
      </c>
      <c r="AG134" t="s">
        <v>121</v>
      </c>
      <c r="AH134" t="s">
        <v>327</v>
      </c>
      <c r="AI134" t="s">
        <v>121</v>
      </c>
      <c r="AJ134" t="s">
        <v>716</v>
      </c>
      <c r="AK134" t="s">
        <v>121</v>
      </c>
    </row>
    <row r="135" spans="9:37" x14ac:dyDescent="0.3">
      <c r="I135">
        <f ca="1">IF(OR(INDIRECT(A73&amp;ROW())=B93,INDIRECT(A73&amp;ROW())=B94),1,IF(AND(INDIRECT(A73&amp;ROW())=B95,INDIRECT(A96&amp;ROW())=C93),1,IF(AND(INDIRECT(A73&amp;ROW())=B95,INDIRECT(A96&amp;ROW())=C94),1,0)))</f>
        <v>0</v>
      </c>
      <c r="J135">
        <f ca="1">IF(AND(INDIRECT(A73&amp;ROW())=B95,INDIRECT(A96&amp;ROW())=C95),1,IF(AND(INDIRECT(A73&amp;ROW())=B95,INDIRECT(A96&amp;ROW())=C96),1,0))</f>
        <v>0</v>
      </c>
      <c r="K135">
        <f ca="1">DAYS360(INDIRECT(C68&amp;ROW()),TODAY())</f>
        <v>721</v>
      </c>
      <c r="L135">
        <f ca="1">DAYS360(INDIRECT(C69&amp;ROW()),TODAY())</f>
        <v>882</v>
      </c>
      <c r="M135" s="11">
        <f ca="1">HYPERLINK(CONCATENATE("https://bugzilla.houston.hp.com:1181/bugzilla/show_bug.cgi?id=",INDIRECT(C70&amp;ROW())),INDIRECT(C70&amp;ROW()))</f>
        <v>53504</v>
      </c>
      <c r="N135">
        <v>53504</v>
      </c>
      <c r="O135" t="s">
        <v>213</v>
      </c>
      <c r="P135" t="s">
        <v>415</v>
      </c>
      <c r="Q135" t="s">
        <v>16</v>
      </c>
      <c r="R135" t="s">
        <v>248</v>
      </c>
      <c r="S135" t="s">
        <v>36</v>
      </c>
      <c r="U135" s="6">
        <v>42125.443923611114</v>
      </c>
      <c r="V135" t="s">
        <v>18</v>
      </c>
      <c r="W135" t="s">
        <v>172</v>
      </c>
      <c r="X135" s="6">
        <v>41963.310601851852</v>
      </c>
      <c r="Y135" t="s">
        <v>122</v>
      </c>
      <c r="AB135" t="s">
        <v>201</v>
      </c>
      <c r="AC135" t="s">
        <v>121</v>
      </c>
      <c r="AD135" t="s">
        <v>220</v>
      </c>
      <c r="AE135" t="s">
        <v>219</v>
      </c>
      <c r="AG135" t="s">
        <v>121</v>
      </c>
      <c r="AH135" t="s">
        <v>327</v>
      </c>
      <c r="AI135" t="s">
        <v>121</v>
      </c>
      <c r="AJ135" t="s">
        <v>717</v>
      </c>
      <c r="AK135" t="s">
        <v>121</v>
      </c>
    </row>
    <row r="136" spans="9:37" x14ac:dyDescent="0.3">
      <c r="I136">
        <f ca="1">IF(OR(INDIRECT(A73&amp;ROW())=B93,INDIRECT(A73&amp;ROW())=B94),1,IF(AND(INDIRECT(A73&amp;ROW())=B95,INDIRECT(A96&amp;ROW())=C93),1,IF(AND(INDIRECT(A73&amp;ROW())=B95,INDIRECT(A96&amp;ROW())=C94),1,0)))</f>
        <v>0</v>
      </c>
      <c r="J136">
        <f ca="1">IF(AND(INDIRECT(A73&amp;ROW())=B95,INDIRECT(A96&amp;ROW())=C95),1,IF(AND(INDIRECT(A73&amp;ROW())=B95,INDIRECT(A96&amp;ROW())=C96),1,0))</f>
        <v>1</v>
      </c>
      <c r="K136">
        <f ca="1">DAYS360(INDIRECT(C68&amp;ROW()),TODAY())</f>
        <v>800</v>
      </c>
      <c r="L136">
        <f ca="1">DAYS360(INDIRECT(C69&amp;ROW()),TODAY())</f>
        <v>882</v>
      </c>
      <c r="M136" s="11">
        <f ca="1">HYPERLINK(CONCATENATE("https://bugzilla.houston.hp.com:1181/bugzilla/show_bug.cgi?id=",INDIRECT(C70&amp;ROW())),INDIRECT(C70&amp;ROW()))</f>
        <v>53507</v>
      </c>
      <c r="N136">
        <v>53507</v>
      </c>
      <c r="O136" t="s">
        <v>56</v>
      </c>
      <c r="P136" t="s">
        <v>414</v>
      </c>
      <c r="Q136" t="s">
        <v>25</v>
      </c>
      <c r="R136" t="s">
        <v>248</v>
      </c>
      <c r="S136" t="s">
        <v>36</v>
      </c>
      <c r="U136" s="6">
        <v>42047.945706018516</v>
      </c>
      <c r="V136" t="s">
        <v>18</v>
      </c>
      <c r="W136" t="s">
        <v>215</v>
      </c>
      <c r="X136" s="6">
        <v>41963.311215277776</v>
      </c>
      <c r="Y136" t="s">
        <v>244</v>
      </c>
      <c r="AB136" t="s">
        <v>201</v>
      </c>
      <c r="AC136" t="s">
        <v>121</v>
      </c>
      <c r="AD136" t="s">
        <v>220</v>
      </c>
      <c r="AE136" t="s">
        <v>219</v>
      </c>
      <c r="AG136" t="s">
        <v>121</v>
      </c>
      <c r="AH136" t="s">
        <v>327</v>
      </c>
      <c r="AI136" t="s">
        <v>121</v>
      </c>
      <c r="AJ136" t="s">
        <v>716</v>
      </c>
      <c r="AK136" t="s">
        <v>121</v>
      </c>
    </row>
    <row r="137" spans="9:37" x14ac:dyDescent="0.3">
      <c r="I137">
        <f ca="1">IF(OR(INDIRECT(A73&amp;ROW())=B93,INDIRECT(A73&amp;ROW())=B94),1,IF(AND(INDIRECT(A73&amp;ROW())=B95,INDIRECT(A96&amp;ROW())=C93),1,IF(AND(INDIRECT(A73&amp;ROW())=B95,INDIRECT(A96&amp;ROW())=C94),1,0)))</f>
        <v>0</v>
      </c>
      <c r="J137">
        <f ca="1">IF(AND(INDIRECT(A73&amp;ROW())=B95,INDIRECT(A96&amp;ROW())=C95),1,IF(AND(INDIRECT(A73&amp;ROW())=B95,INDIRECT(A96&amp;ROW())=C96),1,0))</f>
        <v>0</v>
      </c>
      <c r="K137">
        <f ca="1">DAYS360(INDIRECT(C68&amp;ROW()),TODAY())</f>
        <v>800</v>
      </c>
      <c r="L137">
        <f ca="1">DAYS360(INDIRECT(C69&amp;ROW()),TODAY())</f>
        <v>882</v>
      </c>
      <c r="M137" s="11">
        <f ca="1">HYPERLINK(CONCATENATE("https://bugzilla.houston.hp.com:1181/bugzilla/show_bug.cgi?id=",INDIRECT(C70&amp;ROW())),INDIRECT(C70&amp;ROW()))</f>
        <v>53510</v>
      </c>
      <c r="N137">
        <v>53510</v>
      </c>
      <c r="O137" t="s">
        <v>88</v>
      </c>
      <c r="P137" t="s">
        <v>413</v>
      </c>
      <c r="Q137" t="s">
        <v>16</v>
      </c>
      <c r="R137" t="s">
        <v>248</v>
      </c>
      <c r="S137" t="s">
        <v>36</v>
      </c>
      <c r="U137" s="6">
        <v>42047.943113425928</v>
      </c>
      <c r="V137" t="s">
        <v>18</v>
      </c>
      <c r="W137" t="s">
        <v>215</v>
      </c>
      <c r="X137" s="6">
        <v>41963.311759259261</v>
      </c>
      <c r="Y137" t="s">
        <v>119</v>
      </c>
      <c r="AB137" t="s">
        <v>201</v>
      </c>
      <c r="AC137" t="s">
        <v>121</v>
      </c>
      <c r="AD137" t="s">
        <v>222</v>
      </c>
      <c r="AE137" t="s">
        <v>240</v>
      </c>
      <c r="AG137" t="s">
        <v>121</v>
      </c>
      <c r="AH137" t="s">
        <v>327</v>
      </c>
      <c r="AI137" t="s">
        <v>121</v>
      </c>
      <c r="AJ137" t="s">
        <v>717</v>
      </c>
      <c r="AK137" t="s">
        <v>121</v>
      </c>
    </row>
    <row r="138" spans="9:37" x14ac:dyDescent="0.3">
      <c r="I138">
        <f ca="1">IF(OR(INDIRECT(A73&amp;ROW())=B93,INDIRECT(A73&amp;ROW())=B94),1,IF(AND(INDIRECT(A73&amp;ROW())=B95,INDIRECT(A96&amp;ROW())=C93),1,IF(AND(INDIRECT(A73&amp;ROW())=B95,INDIRECT(A96&amp;ROW())=C94),1,0)))</f>
        <v>1</v>
      </c>
      <c r="J138">
        <f ca="1">IF(AND(INDIRECT(A73&amp;ROW())=B95,INDIRECT(A96&amp;ROW())=C95),1,IF(AND(INDIRECT(A73&amp;ROW())=B95,INDIRECT(A96&amp;ROW())=C96),1,0))</f>
        <v>0</v>
      </c>
      <c r="K138">
        <f ca="1">DAYS360(INDIRECT(C68&amp;ROW()),TODAY())</f>
        <v>803</v>
      </c>
      <c r="L138">
        <f ca="1">DAYS360(INDIRECT(C69&amp;ROW()),TODAY())</f>
        <v>882</v>
      </c>
      <c r="M138" s="11">
        <f ca="1">HYPERLINK(CONCATENATE("https://bugzilla.houston.hp.com:1181/bugzilla/show_bug.cgi?id=",INDIRECT(C70&amp;ROW())),INDIRECT(C70&amp;ROW()))</f>
        <v>53513</v>
      </c>
      <c r="N138">
        <v>53513</v>
      </c>
      <c r="O138" t="s">
        <v>94</v>
      </c>
      <c r="P138" t="s">
        <v>412</v>
      </c>
      <c r="Q138" t="s">
        <v>39</v>
      </c>
      <c r="R138" t="s">
        <v>248</v>
      </c>
      <c r="S138" t="s">
        <v>36</v>
      </c>
      <c r="U138" s="6">
        <v>42044.504583333335</v>
      </c>
      <c r="V138" t="s">
        <v>18</v>
      </c>
      <c r="W138" t="s">
        <v>211</v>
      </c>
      <c r="X138" s="6">
        <v>41963.312141203707</v>
      </c>
      <c r="Y138" t="s">
        <v>119</v>
      </c>
      <c r="AB138" t="s">
        <v>201</v>
      </c>
      <c r="AC138" t="s">
        <v>121</v>
      </c>
      <c r="AD138" t="s">
        <v>227</v>
      </c>
      <c r="AE138" t="s">
        <v>231</v>
      </c>
      <c r="AG138" t="s">
        <v>121</v>
      </c>
      <c r="AH138" t="s">
        <v>64</v>
      </c>
      <c r="AI138" t="s">
        <v>121</v>
      </c>
      <c r="AJ138" t="s">
        <v>715</v>
      </c>
      <c r="AK138" t="s">
        <v>121</v>
      </c>
    </row>
    <row r="139" spans="9:37" x14ac:dyDescent="0.3">
      <c r="I139">
        <f ca="1">IF(OR(INDIRECT(A73&amp;ROW())=B93,INDIRECT(A73&amp;ROW())=B94),1,IF(AND(INDIRECT(A73&amp;ROW())=B95,INDIRECT(A96&amp;ROW())=C93),1,IF(AND(INDIRECT(A73&amp;ROW())=B95,INDIRECT(A96&amp;ROW())=C94),1,0)))</f>
        <v>0</v>
      </c>
      <c r="J139">
        <f ca="1">IF(AND(INDIRECT(A73&amp;ROW())=B95,INDIRECT(A96&amp;ROW())=C95),1,IF(AND(INDIRECT(A73&amp;ROW())=B95,INDIRECT(A96&amp;ROW())=C96),1,0))</f>
        <v>0</v>
      </c>
      <c r="K139">
        <f ca="1">DAYS360(INDIRECT(C68&amp;ROW()),TODAY())</f>
        <v>721</v>
      </c>
      <c r="L139">
        <f ca="1">DAYS360(INDIRECT(C69&amp;ROW()),TODAY())</f>
        <v>882</v>
      </c>
      <c r="M139" s="11">
        <f ca="1">HYPERLINK(CONCATENATE("https://bugzilla.houston.hp.com:1181/bugzilla/show_bug.cgi?id=",INDIRECT(C70&amp;ROW())),INDIRECT(C70&amp;ROW()))</f>
        <v>53516</v>
      </c>
      <c r="N139">
        <v>53516</v>
      </c>
      <c r="O139" t="s">
        <v>22</v>
      </c>
      <c r="P139" t="s">
        <v>411</v>
      </c>
      <c r="Q139" t="s">
        <v>16</v>
      </c>
      <c r="R139" t="s">
        <v>248</v>
      </c>
      <c r="S139" t="s">
        <v>36</v>
      </c>
      <c r="U139" s="6">
        <v>42125.443807870368</v>
      </c>
      <c r="V139" t="s">
        <v>18</v>
      </c>
      <c r="W139" t="s">
        <v>17</v>
      </c>
      <c r="X139" s="6">
        <v>41963.312673611108</v>
      </c>
      <c r="Y139" t="s">
        <v>122</v>
      </c>
      <c r="Z139" t="s">
        <v>255</v>
      </c>
      <c r="AB139" t="s">
        <v>201</v>
      </c>
      <c r="AC139" t="s">
        <v>121</v>
      </c>
      <c r="AD139" t="s">
        <v>220</v>
      </c>
      <c r="AE139" t="s">
        <v>219</v>
      </c>
      <c r="AG139" t="s">
        <v>121</v>
      </c>
      <c r="AH139" t="s">
        <v>64</v>
      </c>
      <c r="AI139" t="s">
        <v>121</v>
      </c>
      <c r="AJ139" t="s">
        <v>717</v>
      </c>
      <c r="AK139" t="s">
        <v>121</v>
      </c>
    </row>
    <row r="140" spans="9:37" x14ac:dyDescent="0.3">
      <c r="I140">
        <f ca="1">IF(OR(INDIRECT(A73&amp;ROW())=B93,INDIRECT(A73&amp;ROW())=B94),1,IF(AND(INDIRECT(A73&amp;ROW())=B95,INDIRECT(A96&amp;ROW())=C93),1,IF(AND(INDIRECT(A73&amp;ROW())=B95,INDIRECT(A96&amp;ROW())=C94),1,0)))</f>
        <v>0</v>
      </c>
      <c r="J140">
        <f ca="1">IF(AND(INDIRECT(A73&amp;ROW())=B95,INDIRECT(A96&amp;ROW())=C95),1,IF(AND(INDIRECT(A73&amp;ROW())=B95,INDIRECT(A96&amp;ROW())=C96),1,0))</f>
        <v>0</v>
      </c>
      <c r="K140">
        <f ca="1">DAYS360(INDIRECT(C68&amp;ROW()),TODAY())</f>
        <v>800</v>
      </c>
      <c r="L140">
        <f ca="1">DAYS360(INDIRECT(C69&amp;ROW()),TODAY())</f>
        <v>882</v>
      </c>
      <c r="M140" s="11">
        <f ca="1">HYPERLINK(CONCATENATE("https://bugzilla.houston.hp.com:1181/bugzilla/show_bug.cgi?id=",INDIRECT(C70&amp;ROW())),INDIRECT(C70&amp;ROW()))</f>
        <v>53525</v>
      </c>
      <c r="N140">
        <v>53525</v>
      </c>
      <c r="O140" t="s">
        <v>88</v>
      </c>
      <c r="P140" t="s">
        <v>410</v>
      </c>
      <c r="Q140" t="s">
        <v>16</v>
      </c>
      <c r="R140" t="s">
        <v>248</v>
      </c>
      <c r="S140" t="s">
        <v>36</v>
      </c>
      <c r="U140" s="6">
        <v>42047.958749999998</v>
      </c>
      <c r="V140" t="s">
        <v>18</v>
      </c>
      <c r="W140" t="s">
        <v>260</v>
      </c>
      <c r="X140" s="6">
        <v>41963.313935185186</v>
      </c>
      <c r="Y140" t="s">
        <v>119</v>
      </c>
      <c r="AB140" t="s">
        <v>199</v>
      </c>
      <c r="AC140" t="s">
        <v>121</v>
      </c>
      <c r="AD140" t="s">
        <v>220</v>
      </c>
      <c r="AE140" t="s">
        <v>290</v>
      </c>
      <c r="AG140" t="s">
        <v>121</v>
      </c>
      <c r="AH140" t="s">
        <v>64</v>
      </c>
      <c r="AI140" t="s">
        <v>121</v>
      </c>
      <c r="AJ140" t="s">
        <v>716</v>
      </c>
      <c r="AK140" t="s">
        <v>121</v>
      </c>
    </row>
    <row r="141" spans="9:37" x14ac:dyDescent="0.3">
      <c r="I141">
        <f ca="1">IF(OR(INDIRECT(A73&amp;ROW())=B93,INDIRECT(A73&amp;ROW())=B94),1,IF(AND(INDIRECT(A73&amp;ROW())=B95,INDIRECT(A96&amp;ROW())=C93),1,IF(AND(INDIRECT(A73&amp;ROW())=B95,INDIRECT(A96&amp;ROW())=C94),1,0)))</f>
        <v>0</v>
      </c>
      <c r="J141">
        <f ca="1">IF(AND(INDIRECT(A73&amp;ROW())=B95,INDIRECT(A96&amp;ROW())=C95),1,IF(AND(INDIRECT(A73&amp;ROW())=B95,INDIRECT(A96&amp;ROW())=C96),1,0))</f>
        <v>0</v>
      </c>
      <c r="K141">
        <f ca="1">DAYS360(INDIRECT(C68&amp;ROW()),TODAY())</f>
        <v>721</v>
      </c>
      <c r="L141">
        <f ca="1">DAYS360(INDIRECT(C69&amp;ROW()),TODAY())</f>
        <v>882</v>
      </c>
      <c r="M141" s="11">
        <f ca="1">HYPERLINK(CONCATENATE("https://bugzilla.houston.hp.com:1181/bugzilla/show_bug.cgi?id=",INDIRECT(C70&amp;ROW())),INDIRECT(C70&amp;ROW()))</f>
        <v>53531</v>
      </c>
      <c r="N141">
        <v>53531</v>
      </c>
      <c r="O141" t="s">
        <v>88</v>
      </c>
      <c r="P141" t="s">
        <v>409</v>
      </c>
      <c r="Q141" t="s">
        <v>16</v>
      </c>
      <c r="R141" t="s">
        <v>248</v>
      </c>
      <c r="S141" t="s">
        <v>36</v>
      </c>
      <c r="U141" s="6">
        <v>42125.445243055554</v>
      </c>
      <c r="V141" t="s">
        <v>18</v>
      </c>
      <c r="W141" t="s">
        <v>258</v>
      </c>
      <c r="X141" s="6">
        <v>41963.314837962964</v>
      </c>
      <c r="Y141" t="s">
        <v>122</v>
      </c>
      <c r="AB141" t="s">
        <v>200</v>
      </c>
      <c r="AC141" t="s">
        <v>121</v>
      </c>
      <c r="AD141" t="s">
        <v>222</v>
      </c>
      <c r="AE141" t="s">
        <v>221</v>
      </c>
      <c r="AG141" t="s">
        <v>121</v>
      </c>
      <c r="AH141" t="s">
        <v>64</v>
      </c>
      <c r="AI141" t="s">
        <v>121</v>
      </c>
      <c r="AJ141" t="s">
        <v>716</v>
      </c>
      <c r="AK141" t="s">
        <v>121</v>
      </c>
    </row>
    <row r="142" spans="9:37" x14ac:dyDescent="0.3">
      <c r="I142">
        <f ca="1">IF(OR(INDIRECT(A73&amp;ROW())=B93,INDIRECT(A73&amp;ROW())=B94),1,IF(AND(INDIRECT(A73&amp;ROW())=B95,INDIRECT(A96&amp;ROW())=C93),1,IF(AND(INDIRECT(A73&amp;ROW())=B95,INDIRECT(A96&amp;ROW())=C94),1,0)))</f>
        <v>0</v>
      </c>
      <c r="J142">
        <f ca="1">IF(AND(INDIRECT(A73&amp;ROW())=B95,INDIRECT(A96&amp;ROW())=C95),1,IF(AND(INDIRECT(A73&amp;ROW())=B95,INDIRECT(A96&amp;ROW())=C96),1,0))</f>
        <v>0</v>
      </c>
      <c r="K142">
        <f ca="1">DAYS360(INDIRECT(C68&amp;ROW()),TODAY())</f>
        <v>721</v>
      </c>
      <c r="L142">
        <f ca="1">DAYS360(INDIRECT(C69&amp;ROW()),TODAY())</f>
        <v>882</v>
      </c>
      <c r="M142" s="11">
        <f ca="1">HYPERLINK(CONCATENATE("https://bugzilla.houston.hp.com:1181/bugzilla/show_bug.cgi?id=",INDIRECT(C70&amp;ROW())),INDIRECT(C70&amp;ROW()))</f>
        <v>53534</v>
      </c>
      <c r="N142">
        <v>53534</v>
      </c>
      <c r="O142" t="s">
        <v>22</v>
      </c>
      <c r="P142" t="s">
        <v>408</v>
      </c>
      <c r="Q142" t="s">
        <v>16</v>
      </c>
      <c r="R142" t="s">
        <v>248</v>
      </c>
      <c r="S142" t="s">
        <v>36</v>
      </c>
      <c r="U142" s="6">
        <v>42125.445324074077</v>
      </c>
      <c r="V142" t="s">
        <v>18</v>
      </c>
      <c r="W142" t="s">
        <v>17</v>
      </c>
      <c r="X142" s="6">
        <v>41963.315185185187</v>
      </c>
      <c r="Y142" t="s">
        <v>122</v>
      </c>
      <c r="AB142" t="s">
        <v>200</v>
      </c>
      <c r="AC142" t="s">
        <v>121</v>
      </c>
      <c r="AD142" t="s">
        <v>220</v>
      </c>
      <c r="AE142" t="s">
        <v>223</v>
      </c>
      <c r="AG142" t="s">
        <v>121</v>
      </c>
      <c r="AH142" t="s">
        <v>64</v>
      </c>
      <c r="AI142" t="s">
        <v>121</v>
      </c>
      <c r="AJ142" t="s">
        <v>716</v>
      </c>
      <c r="AK142" t="s">
        <v>121</v>
      </c>
    </row>
    <row r="143" spans="9:37" x14ac:dyDescent="0.3">
      <c r="I143">
        <f ca="1">IF(OR(INDIRECT(A73&amp;ROW())=B93,INDIRECT(A73&amp;ROW())=B94),1,IF(AND(INDIRECT(A73&amp;ROW())=B95,INDIRECT(A96&amp;ROW())=C93),1,IF(AND(INDIRECT(A73&amp;ROW())=B95,INDIRECT(A96&amp;ROW())=C94),1,0)))</f>
        <v>0</v>
      </c>
      <c r="J143">
        <f ca="1">IF(AND(INDIRECT(A73&amp;ROW())=B95,INDIRECT(A96&amp;ROW())=C95),1,IF(AND(INDIRECT(A73&amp;ROW())=B95,INDIRECT(A96&amp;ROW())=C96),1,0))</f>
        <v>0</v>
      </c>
      <c r="K143">
        <f ca="1">DAYS360(INDIRECT(C68&amp;ROW()),TODAY())</f>
        <v>721</v>
      </c>
      <c r="L143">
        <f ca="1">DAYS360(INDIRECT(C69&amp;ROW()),TODAY())</f>
        <v>882</v>
      </c>
      <c r="M143" s="11">
        <f ca="1">HYPERLINK(CONCATENATE("https://bugzilla.houston.hp.com:1181/bugzilla/show_bug.cgi?id=",INDIRECT(C70&amp;ROW())),INDIRECT(C70&amp;ROW()))</f>
        <v>53537</v>
      </c>
      <c r="N143">
        <v>53537</v>
      </c>
      <c r="O143" t="s">
        <v>49</v>
      </c>
      <c r="P143" t="s">
        <v>407</v>
      </c>
      <c r="Q143" t="s">
        <v>16</v>
      </c>
      <c r="R143" t="s">
        <v>248</v>
      </c>
      <c r="S143" t="s">
        <v>36</v>
      </c>
      <c r="U143" s="6">
        <v>42125.445162037038</v>
      </c>
      <c r="V143" t="s">
        <v>18</v>
      </c>
      <c r="W143" t="s">
        <v>258</v>
      </c>
      <c r="X143" s="6">
        <v>41963.315509259257</v>
      </c>
      <c r="Y143" t="s">
        <v>122</v>
      </c>
      <c r="AB143" t="s">
        <v>200</v>
      </c>
      <c r="AC143" t="s">
        <v>121</v>
      </c>
      <c r="AD143" t="s">
        <v>222</v>
      </c>
      <c r="AE143" t="s">
        <v>221</v>
      </c>
      <c r="AG143" t="s">
        <v>121</v>
      </c>
      <c r="AH143" t="s">
        <v>64</v>
      </c>
      <c r="AI143" t="s">
        <v>121</v>
      </c>
      <c r="AJ143" t="s">
        <v>716</v>
      </c>
      <c r="AK143" t="s">
        <v>121</v>
      </c>
    </row>
    <row r="144" spans="9:37" x14ac:dyDescent="0.3">
      <c r="I144">
        <f ca="1">IF(OR(INDIRECT(A73&amp;ROW())=B93,INDIRECT(A73&amp;ROW())=B94),1,IF(AND(INDIRECT(A73&amp;ROW())=B95,INDIRECT(A96&amp;ROW())=C93),1,IF(AND(INDIRECT(A73&amp;ROW())=B95,INDIRECT(A96&amp;ROW())=C94),1,0)))</f>
        <v>0</v>
      </c>
      <c r="J144">
        <f ca="1">IF(AND(INDIRECT(A73&amp;ROW())=B95,INDIRECT(A96&amp;ROW())=C95),1,IF(AND(INDIRECT(A73&amp;ROW())=B95,INDIRECT(A96&amp;ROW())=C96),1,0))</f>
        <v>0</v>
      </c>
      <c r="K144">
        <f ca="1">DAYS360(INDIRECT(C68&amp;ROW()),TODAY())</f>
        <v>721</v>
      </c>
      <c r="L144">
        <f ca="1">DAYS360(INDIRECT(C69&amp;ROW()),TODAY())</f>
        <v>882</v>
      </c>
      <c r="M144" s="11">
        <f ca="1">HYPERLINK(CONCATENATE("https://bugzilla.houston.hp.com:1181/bugzilla/show_bug.cgi?id=",INDIRECT(C70&amp;ROW())),INDIRECT(C70&amp;ROW()))</f>
        <v>53540</v>
      </c>
      <c r="N144">
        <v>53540</v>
      </c>
      <c r="O144" t="s">
        <v>49</v>
      </c>
      <c r="P144" t="s">
        <v>406</v>
      </c>
      <c r="Q144" t="s">
        <v>16</v>
      </c>
      <c r="R144" t="s">
        <v>248</v>
      </c>
      <c r="S144" t="s">
        <v>36</v>
      </c>
      <c r="U144" s="6">
        <v>42125.445208333331</v>
      </c>
      <c r="V144" t="s">
        <v>18</v>
      </c>
      <c r="W144" t="s">
        <v>258</v>
      </c>
      <c r="X144" s="6">
        <v>41963.315798611111</v>
      </c>
      <c r="Y144" t="s">
        <v>122</v>
      </c>
      <c r="AB144" t="s">
        <v>200</v>
      </c>
      <c r="AC144" t="s">
        <v>121</v>
      </c>
      <c r="AD144" t="s">
        <v>222</v>
      </c>
      <c r="AE144" t="s">
        <v>221</v>
      </c>
      <c r="AG144" t="s">
        <v>121</v>
      </c>
      <c r="AH144" t="s">
        <v>64</v>
      </c>
      <c r="AI144" t="s">
        <v>121</v>
      </c>
      <c r="AJ144" t="s">
        <v>716</v>
      </c>
      <c r="AK144" t="s">
        <v>121</v>
      </c>
    </row>
    <row r="145" spans="9:37" x14ac:dyDescent="0.3">
      <c r="I145">
        <f ca="1">IF(OR(INDIRECT(A73&amp;ROW())=B93,INDIRECT(A73&amp;ROW())=B94),1,IF(AND(INDIRECT(A73&amp;ROW())=B95,INDIRECT(A96&amp;ROW())=C93),1,IF(AND(INDIRECT(A73&amp;ROW())=B95,INDIRECT(A96&amp;ROW())=C94),1,0)))</f>
        <v>0</v>
      </c>
      <c r="J145">
        <f ca="1">IF(AND(INDIRECT(A73&amp;ROW())=B95,INDIRECT(A96&amp;ROW())=C95),1,IF(AND(INDIRECT(A73&amp;ROW())=B95,INDIRECT(A96&amp;ROW())=C96),1,0))</f>
        <v>0</v>
      </c>
      <c r="K145">
        <f ca="1">DAYS360(INDIRECT(C68&amp;ROW()),TODAY())</f>
        <v>721</v>
      </c>
      <c r="L145">
        <f ca="1">DAYS360(INDIRECT(C69&amp;ROW()),TODAY())</f>
        <v>882</v>
      </c>
      <c r="M145" s="11">
        <f ca="1">HYPERLINK(CONCATENATE("https://bugzilla.houston.hp.com:1181/bugzilla/show_bug.cgi?id=",INDIRECT(C70&amp;ROW())),INDIRECT(C70&amp;ROW()))</f>
        <v>53543</v>
      </c>
      <c r="N145">
        <v>53543</v>
      </c>
      <c r="O145" t="s">
        <v>49</v>
      </c>
      <c r="P145" t="s">
        <v>405</v>
      </c>
      <c r="Q145" t="s">
        <v>16</v>
      </c>
      <c r="R145" t="s">
        <v>248</v>
      </c>
      <c r="S145" t="s">
        <v>36</v>
      </c>
      <c r="U145" s="6">
        <v>42125.4452662037</v>
      </c>
      <c r="V145" t="s">
        <v>18</v>
      </c>
      <c r="W145" t="s">
        <v>258</v>
      </c>
      <c r="X145" s="6">
        <v>41963.316087962965</v>
      </c>
      <c r="Y145" t="s">
        <v>122</v>
      </c>
      <c r="AB145" t="s">
        <v>200</v>
      </c>
      <c r="AC145" t="s">
        <v>121</v>
      </c>
      <c r="AD145" t="s">
        <v>222</v>
      </c>
      <c r="AE145" t="s">
        <v>221</v>
      </c>
      <c r="AG145" t="s">
        <v>121</v>
      </c>
      <c r="AH145" t="s">
        <v>327</v>
      </c>
      <c r="AI145" t="s">
        <v>121</v>
      </c>
      <c r="AJ145" t="s">
        <v>716</v>
      </c>
      <c r="AK145" t="s">
        <v>121</v>
      </c>
    </row>
    <row r="146" spans="9:37" x14ac:dyDescent="0.3">
      <c r="I146">
        <f ca="1">IF(OR(INDIRECT(A73&amp;ROW())=B93,INDIRECT(A73&amp;ROW())=B94),1,IF(AND(INDIRECT(A73&amp;ROW())=B95,INDIRECT(A96&amp;ROW())=C93),1,IF(AND(INDIRECT(A73&amp;ROW())=B95,INDIRECT(A96&amp;ROW())=C94),1,0)))</f>
        <v>0</v>
      </c>
      <c r="J146">
        <f ca="1">IF(AND(INDIRECT(A73&amp;ROW())=B95,INDIRECT(A96&amp;ROW())=C95),1,IF(AND(INDIRECT(A73&amp;ROW())=B95,INDIRECT(A96&amp;ROW())=C96),1,0))</f>
        <v>0</v>
      </c>
      <c r="K146">
        <f ca="1">DAYS360(INDIRECT(C68&amp;ROW()),TODAY())</f>
        <v>721</v>
      </c>
      <c r="L146">
        <f ca="1">DAYS360(INDIRECT(C69&amp;ROW()),TODAY())</f>
        <v>882</v>
      </c>
      <c r="M146" s="11">
        <f ca="1">HYPERLINK(CONCATENATE("https://bugzilla.houston.hp.com:1181/bugzilla/show_bug.cgi?id=",INDIRECT(C70&amp;ROW())),INDIRECT(C70&amp;ROW()))</f>
        <v>53546</v>
      </c>
      <c r="N146">
        <v>53546</v>
      </c>
      <c r="O146" t="s">
        <v>49</v>
      </c>
      <c r="P146" t="s">
        <v>404</v>
      </c>
      <c r="Q146" t="s">
        <v>16</v>
      </c>
      <c r="R146" t="s">
        <v>248</v>
      </c>
      <c r="S146" t="s">
        <v>36</v>
      </c>
      <c r="U146" s="6">
        <v>42125.4453125</v>
      </c>
      <c r="V146" t="s">
        <v>18</v>
      </c>
      <c r="W146" t="s">
        <v>258</v>
      </c>
      <c r="X146" s="6">
        <v>41963.316354166665</v>
      </c>
      <c r="Y146" t="s">
        <v>122</v>
      </c>
      <c r="AB146" t="s">
        <v>200</v>
      </c>
      <c r="AC146" t="s">
        <v>121</v>
      </c>
      <c r="AD146" t="s">
        <v>222</v>
      </c>
      <c r="AE146" t="s">
        <v>221</v>
      </c>
      <c r="AG146" t="s">
        <v>121</v>
      </c>
      <c r="AH146" t="s">
        <v>327</v>
      </c>
      <c r="AI146" t="s">
        <v>121</v>
      </c>
      <c r="AJ146" t="s">
        <v>716</v>
      </c>
      <c r="AK146" t="s">
        <v>121</v>
      </c>
    </row>
    <row r="147" spans="9:37" x14ac:dyDescent="0.3">
      <c r="I147">
        <f ca="1">IF(OR(INDIRECT(A73&amp;ROW())=B93,INDIRECT(A73&amp;ROW())=B94),1,IF(AND(INDIRECT(A73&amp;ROW())=B95,INDIRECT(A96&amp;ROW())=C93),1,IF(AND(INDIRECT(A73&amp;ROW())=B95,INDIRECT(A96&amp;ROW())=C94),1,0)))</f>
        <v>0</v>
      </c>
      <c r="J147">
        <f ca="1">IF(AND(INDIRECT(A73&amp;ROW())=B95,INDIRECT(A96&amp;ROW())=C95),1,IF(AND(INDIRECT(A73&amp;ROW())=B95,INDIRECT(A96&amp;ROW())=C96),1,0))</f>
        <v>0</v>
      </c>
      <c r="K147">
        <f ca="1">DAYS360(INDIRECT(C68&amp;ROW()),TODAY())</f>
        <v>721</v>
      </c>
      <c r="L147">
        <f ca="1">DAYS360(INDIRECT(C69&amp;ROW()),TODAY())</f>
        <v>882</v>
      </c>
      <c r="M147" s="11">
        <f ca="1">HYPERLINK(CONCATENATE("https://bugzilla.houston.hp.com:1181/bugzilla/show_bug.cgi?id=",INDIRECT(C70&amp;ROW())),INDIRECT(C70&amp;ROW()))</f>
        <v>53549</v>
      </c>
      <c r="N147">
        <v>53549</v>
      </c>
      <c r="O147" t="s">
        <v>49</v>
      </c>
      <c r="P147" t="s">
        <v>403</v>
      </c>
      <c r="Q147" t="s">
        <v>16</v>
      </c>
      <c r="R147" t="s">
        <v>248</v>
      </c>
      <c r="S147" t="s">
        <v>36</v>
      </c>
      <c r="U147" s="6">
        <v>42125.445150462961</v>
      </c>
      <c r="V147" t="s">
        <v>18</v>
      </c>
      <c r="W147" t="s">
        <v>258</v>
      </c>
      <c r="X147" s="6">
        <v>41963.316643518519</v>
      </c>
      <c r="Y147" t="s">
        <v>122</v>
      </c>
      <c r="AB147" t="s">
        <v>200</v>
      </c>
      <c r="AC147" t="s">
        <v>121</v>
      </c>
      <c r="AD147" t="s">
        <v>222</v>
      </c>
      <c r="AE147" t="s">
        <v>221</v>
      </c>
      <c r="AG147" t="s">
        <v>121</v>
      </c>
      <c r="AH147" t="s">
        <v>327</v>
      </c>
      <c r="AI147" t="s">
        <v>121</v>
      </c>
      <c r="AJ147" t="s">
        <v>716</v>
      </c>
      <c r="AK147" t="s">
        <v>121</v>
      </c>
    </row>
    <row r="148" spans="9:37" x14ac:dyDescent="0.3">
      <c r="I148">
        <f ca="1">IF(OR(INDIRECT(A73&amp;ROW())=B93,INDIRECT(A73&amp;ROW())=B94),1,IF(AND(INDIRECT(A73&amp;ROW())=B95,INDIRECT(A96&amp;ROW())=C93),1,IF(AND(INDIRECT(A73&amp;ROW())=B95,INDIRECT(A96&amp;ROW())=C94),1,0)))</f>
        <v>0</v>
      </c>
      <c r="J148">
        <f ca="1">IF(AND(INDIRECT(A73&amp;ROW())=B95,INDIRECT(A96&amp;ROW())=C95),1,IF(AND(INDIRECT(A73&amp;ROW())=B95,INDIRECT(A96&amp;ROW())=C96),1,0))</f>
        <v>0</v>
      </c>
      <c r="K148">
        <f ca="1">DAYS360(INDIRECT(C68&amp;ROW()),TODAY())</f>
        <v>721</v>
      </c>
      <c r="L148">
        <f ca="1">DAYS360(INDIRECT(C69&amp;ROW()),TODAY())</f>
        <v>882</v>
      </c>
      <c r="M148" s="11">
        <f ca="1">HYPERLINK(CONCATENATE("https://bugzilla.houston.hp.com:1181/bugzilla/show_bug.cgi?id=",INDIRECT(C70&amp;ROW())),INDIRECT(C70&amp;ROW()))</f>
        <v>53561</v>
      </c>
      <c r="N148">
        <v>53561</v>
      </c>
      <c r="O148" t="s">
        <v>56</v>
      </c>
      <c r="P148" t="s">
        <v>402</v>
      </c>
      <c r="Q148" t="s">
        <v>16</v>
      </c>
      <c r="R148" t="s">
        <v>248</v>
      </c>
      <c r="S148" t="s">
        <v>36</v>
      </c>
      <c r="U148" s="6">
        <v>42125.446539351855</v>
      </c>
      <c r="V148" t="s">
        <v>18</v>
      </c>
      <c r="W148" t="s">
        <v>257</v>
      </c>
      <c r="X148" s="6">
        <v>41963.318425925929</v>
      </c>
      <c r="Y148" t="s">
        <v>122</v>
      </c>
      <c r="AB148" t="s">
        <v>201</v>
      </c>
      <c r="AC148" t="s">
        <v>247</v>
      </c>
      <c r="AD148" t="s">
        <v>220</v>
      </c>
      <c r="AE148" t="s">
        <v>219</v>
      </c>
      <c r="AG148" t="s">
        <v>121</v>
      </c>
      <c r="AH148" t="s">
        <v>64</v>
      </c>
      <c r="AI148" t="s">
        <v>121</v>
      </c>
      <c r="AJ148" t="s">
        <v>717</v>
      </c>
      <c r="AK148" t="s">
        <v>121</v>
      </c>
    </row>
    <row r="149" spans="9:37" x14ac:dyDescent="0.3">
      <c r="I149">
        <f ca="1">IF(OR(INDIRECT(A73&amp;ROW())=B93,INDIRECT(A73&amp;ROW())=B94),1,IF(AND(INDIRECT(A73&amp;ROW())=B95,INDIRECT(A96&amp;ROW())=C93),1,IF(AND(INDIRECT(A73&amp;ROW())=B95,INDIRECT(A96&amp;ROW())=C94),1,0)))</f>
        <v>0</v>
      </c>
      <c r="J149">
        <f ca="1">IF(AND(INDIRECT(A73&amp;ROW())=B95,INDIRECT(A96&amp;ROW())=C95),1,IF(AND(INDIRECT(A73&amp;ROW())=B95,INDIRECT(A96&amp;ROW())=C96),1,0))</f>
        <v>0</v>
      </c>
      <c r="K149">
        <f ca="1">DAYS360(INDIRECT(C68&amp;ROW()),TODAY())</f>
        <v>721</v>
      </c>
      <c r="L149">
        <f ca="1">DAYS360(INDIRECT(C69&amp;ROW()),TODAY())</f>
        <v>882</v>
      </c>
      <c r="M149" s="11">
        <f ca="1">HYPERLINK(CONCATENATE("https://bugzilla.houston.hp.com:1181/bugzilla/show_bug.cgi?id=",INDIRECT(C70&amp;ROW())),INDIRECT(C70&amp;ROW()))</f>
        <v>53564</v>
      </c>
      <c r="N149">
        <v>53564</v>
      </c>
      <c r="O149" t="s">
        <v>56</v>
      </c>
      <c r="P149" t="s">
        <v>401</v>
      </c>
      <c r="Q149" t="s">
        <v>16</v>
      </c>
      <c r="R149" t="s">
        <v>248</v>
      </c>
      <c r="S149" t="s">
        <v>36</v>
      </c>
      <c r="U149" s="6">
        <v>42125.446331018517</v>
      </c>
      <c r="V149" t="s">
        <v>18</v>
      </c>
      <c r="W149" t="s">
        <v>257</v>
      </c>
      <c r="X149" s="6">
        <v>41963.318773148145</v>
      </c>
      <c r="Y149" t="s">
        <v>122</v>
      </c>
      <c r="AB149" t="s">
        <v>201</v>
      </c>
      <c r="AC149" t="s">
        <v>247</v>
      </c>
      <c r="AD149" t="s">
        <v>220</v>
      </c>
      <c r="AE149" t="s">
        <v>219</v>
      </c>
      <c r="AG149" t="s">
        <v>121</v>
      </c>
      <c r="AH149" t="s">
        <v>327</v>
      </c>
      <c r="AI149" t="s">
        <v>121</v>
      </c>
      <c r="AJ149" t="s">
        <v>717</v>
      </c>
      <c r="AK149" t="s">
        <v>121</v>
      </c>
    </row>
    <row r="150" spans="9:37" x14ac:dyDescent="0.3">
      <c r="I150">
        <f ca="1">IF(OR(INDIRECT(A73&amp;ROW())=B93,INDIRECT(A73&amp;ROW())=B94),1,IF(AND(INDIRECT(A73&amp;ROW())=B95,INDIRECT(A96&amp;ROW())=C93),1,IF(AND(INDIRECT(A73&amp;ROW())=B95,INDIRECT(A96&amp;ROW())=C94),1,0)))</f>
        <v>0</v>
      </c>
      <c r="J150">
        <f ca="1">IF(AND(INDIRECT(A73&amp;ROW())=B95,INDIRECT(A96&amp;ROW())=C95),1,IF(AND(INDIRECT(A73&amp;ROW())=B95,INDIRECT(A96&amp;ROW())=C96),1,0))</f>
        <v>0</v>
      </c>
      <c r="K150">
        <f ca="1">DAYS360(INDIRECT(C68&amp;ROW()),TODAY())</f>
        <v>800</v>
      </c>
      <c r="L150">
        <f ca="1">DAYS360(INDIRECT(C69&amp;ROW()),TODAY())</f>
        <v>882</v>
      </c>
      <c r="M150" s="11">
        <f ca="1">HYPERLINK(CONCATENATE("https://bugzilla.houston.hp.com:1181/bugzilla/show_bug.cgi?id=",INDIRECT(C70&amp;ROW())),INDIRECT(C70&amp;ROW()))</f>
        <v>53573</v>
      </c>
      <c r="N150">
        <v>53573</v>
      </c>
      <c r="O150" t="s">
        <v>334</v>
      </c>
      <c r="P150" t="s">
        <v>400</v>
      </c>
      <c r="Q150" t="s">
        <v>16</v>
      </c>
      <c r="R150" t="s">
        <v>248</v>
      </c>
      <c r="S150" t="s">
        <v>36</v>
      </c>
      <c r="U150" s="6">
        <v>42047.980590277781</v>
      </c>
      <c r="V150" t="s">
        <v>18</v>
      </c>
      <c r="W150" t="s">
        <v>260</v>
      </c>
      <c r="X150" s="6">
        <v>41963.319826388892</v>
      </c>
      <c r="Y150" t="s">
        <v>245</v>
      </c>
      <c r="AB150" t="s">
        <v>200</v>
      </c>
      <c r="AC150" t="s">
        <v>247</v>
      </c>
      <c r="AD150" t="s">
        <v>227</v>
      </c>
      <c r="AE150" t="s">
        <v>230</v>
      </c>
      <c r="AG150" t="s">
        <v>121</v>
      </c>
      <c r="AH150" t="s">
        <v>327</v>
      </c>
      <c r="AI150" t="s">
        <v>121</v>
      </c>
      <c r="AJ150" t="s">
        <v>716</v>
      </c>
      <c r="AK150" t="s">
        <v>121</v>
      </c>
    </row>
    <row r="151" spans="9:37" x14ac:dyDescent="0.3">
      <c r="I151">
        <f ca="1">IF(OR(INDIRECT(A73&amp;ROW())=B93,INDIRECT(A73&amp;ROW())=B94),1,IF(AND(INDIRECT(A73&amp;ROW())=B95,INDIRECT(A96&amp;ROW())=C93),1,IF(AND(INDIRECT(A73&amp;ROW())=B95,INDIRECT(A96&amp;ROW())=C94),1,0)))</f>
        <v>0</v>
      </c>
      <c r="J151">
        <f ca="1">IF(AND(INDIRECT(A73&amp;ROW())=B95,INDIRECT(A96&amp;ROW())=C95),1,IF(AND(INDIRECT(A73&amp;ROW())=B95,INDIRECT(A96&amp;ROW())=C96),1,0))</f>
        <v>1</v>
      </c>
      <c r="K151">
        <f ca="1">DAYS360(INDIRECT(C68&amp;ROW()),TODAY())</f>
        <v>721</v>
      </c>
      <c r="L151">
        <f ca="1">DAYS360(INDIRECT(C69&amp;ROW()),TODAY())</f>
        <v>882</v>
      </c>
      <c r="M151" s="11">
        <f ca="1">HYPERLINK(CONCATENATE("https://bugzilla.houston.hp.com:1181/bugzilla/show_bug.cgi?id=",INDIRECT(C70&amp;ROW())),INDIRECT(C70&amp;ROW()))</f>
        <v>53585</v>
      </c>
      <c r="N151">
        <v>53585</v>
      </c>
      <c r="O151" t="s">
        <v>42</v>
      </c>
      <c r="P151" t="s">
        <v>399</v>
      </c>
      <c r="Q151" t="s">
        <v>25</v>
      </c>
      <c r="R151" t="s">
        <v>248</v>
      </c>
      <c r="S151" t="s">
        <v>36</v>
      </c>
      <c r="U151" s="6">
        <v>42125.446412037039</v>
      </c>
      <c r="V151" t="s">
        <v>18</v>
      </c>
      <c r="W151" t="s">
        <v>17</v>
      </c>
      <c r="X151" s="6">
        <v>41963.321562500001</v>
      </c>
      <c r="Y151" t="s">
        <v>122</v>
      </c>
      <c r="AB151" t="s">
        <v>201</v>
      </c>
      <c r="AC151" t="s">
        <v>247</v>
      </c>
      <c r="AD151" t="s">
        <v>220</v>
      </c>
      <c r="AE151" t="s">
        <v>219</v>
      </c>
      <c r="AG151" t="s">
        <v>121</v>
      </c>
      <c r="AH151" t="s">
        <v>64</v>
      </c>
      <c r="AI151" t="s">
        <v>121</v>
      </c>
      <c r="AJ151" t="s">
        <v>716</v>
      </c>
      <c r="AK151" t="s">
        <v>121</v>
      </c>
    </row>
    <row r="152" spans="9:37" x14ac:dyDescent="0.3">
      <c r="I152">
        <f ca="1">IF(OR(INDIRECT(A73&amp;ROW())=B93,INDIRECT(A73&amp;ROW())=B94),1,IF(AND(INDIRECT(A73&amp;ROW())=B95,INDIRECT(A96&amp;ROW())=C93),1,IF(AND(INDIRECT(A73&amp;ROW())=B95,INDIRECT(A96&amp;ROW())=C94),1,0)))</f>
        <v>0</v>
      </c>
      <c r="J152">
        <f ca="1">IF(AND(INDIRECT(A73&amp;ROW())=B95,INDIRECT(A96&amp;ROW())=C95),1,IF(AND(INDIRECT(A73&amp;ROW())=B95,INDIRECT(A96&amp;ROW())=C96),1,0))</f>
        <v>0</v>
      </c>
      <c r="K152">
        <f ca="1">DAYS360(INDIRECT(C68&amp;ROW()),TODAY())</f>
        <v>721</v>
      </c>
      <c r="L152">
        <f ca="1">DAYS360(INDIRECT(C69&amp;ROW()),TODAY())</f>
        <v>882</v>
      </c>
      <c r="M152" s="11">
        <f ca="1">HYPERLINK(CONCATENATE("https://bugzilla.houston.hp.com:1181/bugzilla/show_bug.cgi?id=",INDIRECT(C70&amp;ROW())),INDIRECT(C70&amp;ROW()))</f>
        <v>53588</v>
      </c>
      <c r="N152">
        <v>53588</v>
      </c>
      <c r="O152" t="s">
        <v>50</v>
      </c>
      <c r="P152" t="s">
        <v>398</v>
      </c>
      <c r="Q152" t="s">
        <v>16</v>
      </c>
      <c r="R152" t="s">
        <v>248</v>
      </c>
      <c r="S152" t="s">
        <v>36</v>
      </c>
      <c r="U152" s="6">
        <v>42125.446469907409</v>
      </c>
      <c r="V152" t="s">
        <v>18</v>
      </c>
      <c r="W152" t="s">
        <v>288</v>
      </c>
      <c r="X152" s="6">
        <v>41963.321979166663</v>
      </c>
      <c r="Y152" t="s">
        <v>122</v>
      </c>
      <c r="AB152" t="s">
        <v>200</v>
      </c>
      <c r="AC152" t="s">
        <v>247</v>
      </c>
      <c r="AD152" t="s">
        <v>227</v>
      </c>
      <c r="AE152" t="s">
        <v>231</v>
      </c>
      <c r="AG152" t="s">
        <v>121</v>
      </c>
      <c r="AH152" t="s">
        <v>327</v>
      </c>
      <c r="AI152" t="s">
        <v>121</v>
      </c>
      <c r="AJ152" t="s">
        <v>716</v>
      </c>
      <c r="AK152" t="s">
        <v>121</v>
      </c>
    </row>
    <row r="153" spans="9:37" x14ac:dyDescent="0.3">
      <c r="I153">
        <f ca="1">IF(OR(INDIRECT(A73&amp;ROW())=B93,INDIRECT(A73&amp;ROW())=B94),1,IF(AND(INDIRECT(A73&amp;ROW())=B95,INDIRECT(A96&amp;ROW())=C93),1,IF(AND(INDIRECT(A73&amp;ROW())=B95,INDIRECT(A96&amp;ROW())=C94),1,0)))</f>
        <v>0</v>
      </c>
      <c r="J153">
        <f ca="1">IF(AND(INDIRECT(A73&amp;ROW())=B95,INDIRECT(A96&amp;ROW())=C95),1,IF(AND(INDIRECT(A73&amp;ROW())=B95,INDIRECT(A96&amp;ROW())=C96),1,0))</f>
        <v>1</v>
      </c>
      <c r="K153">
        <f ca="1">DAYS360(INDIRECT(C68&amp;ROW()),TODAY())</f>
        <v>721</v>
      </c>
      <c r="L153">
        <f ca="1">DAYS360(INDIRECT(C69&amp;ROW()),TODAY())</f>
        <v>882</v>
      </c>
      <c r="M153" s="11">
        <f ca="1">HYPERLINK(CONCATENATE("https://bugzilla.houston.hp.com:1181/bugzilla/show_bug.cgi?id=",INDIRECT(C70&amp;ROW())),INDIRECT(C70&amp;ROW()))</f>
        <v>53594</v>
      </c>
      <c r="N153">
        <v>53594</v>
      </c>
      <c r="O153" t="s">
        <v>56</v>
      </c>
      <c r="P153" t="s">
        <v>397</v>
      </c>
      <c r="Q153" t="s">
        <v>25</v>
      </c>
      <c r="R153" t="s">
        <v>248</v>
      </c>
      <c r="S153" t="s">
        <v>36</v>
      </c>
      <c r="U153" s="6">
        <v>42125.44630787037</v>
      </c>
      <c r="V153" t="s">
        <v>18</v>
      </c>
      <c r="W153" t="s">
        <v>324</v>
      </c>
      <c r="X153" s="6">
        <v>41963.322870370372</v>
      </c>
      <c r="Y153" t="s">
        <v>122</v>
      </c>
      <c r="AB153" t="s">
        <v>201</v>
      </c>
      <c r="AC153" t="s">
        <v>247</v>
      </c>
      <c r="AD153" t="s">
        <v>220</v>
      </c>
      <c r="AE153" t="s">
        <v>219</v>
      </c>
      <c r="AG153" t="s">
        <v>121</v>
      </c>
      <c r="AH153" t="s">
        <v>327</v>
      </c>
      <c r="AI153" t="s">
        <v>121</v>
      </c>
      <c r="AJ153" t="s">
        <v>716</v>
      </c>
      <c r="AK153" t="s">
        <v>121</v>
      </c>
    </row>
    <row r="154" spans="9:37" x14ac:dyDescent="0.3">
      <c r="I154">
        <f ca="1">IF(OR(INDIRECT(A73&amp;ROW())=B93,INDIRECT(A73&amp;ROW())=B94),1,IF(AND(INDIRECT(A73&amp;ROW())=B95,INDIRECT(A96&amp;ROW())=C93),1,IF(AND(INDIRECT(A73&amp;ROW())=B95,INDIRECT(A96&amp;ROW())=C94),1,0)))</f>
        <v>0</v>
      </c>
      <c r="J154">
        <f ca="1">IF(AND(INDIRECT(A73&amp;ROW())=B95,INDIRECT(A96&amp;ROW())=C95),1,IF(AND(INDIRECT(A73&amp;ROW())=B95,INDIRECT(A96&amp;ROW())=C96),1,0))</f>
        <v>1</v>
      </c>
      <c r="K154">
        <f ca="1">DAYS360(INDIRECT(C68&amp;ROW()),TODAY())</f>
        <v>721</v>
      </c>
      <c r="L154">
        <f ca="1">DAYS360(INDIRECT(C69&amp;ROW()),TODAY())</f>
        <v>882</v>
      </c>
      <c r="M154" s="11">
        <f ca="1">HYPERLINK(CONCATENATE("https://bugzilla.houston.hp.com:1181/bugzilla/show_bug.cgi?id=",INDIRECT(C70&amp;ROW())),INDIRECT(C70&amp;ROW()))</f>
        <v>53597</v>
      </c>
      <c r="N154">
        <v>53597</v>
      </c>
      <c r="O154" t="s">
        <v>22</v>
      </c>
      <c r="P154" t="s">
        <v>396</v>
      </c>
      <c r="Q154" t="s">
        <v>25</v>
      </c>
      <c r="R154" t="s">
        <v>248</v>
      </c>
      <c r="S154" t="s">
        <v>36</v>
      </c>
      <c r="U154" s="6">
        <v>42125.446574074071</v>
      </c>
      <c r="V154" t="s">
        <v>18</v>
      </c>
      <c r="W154" t="s">
        <v>324</v>
      </c>
      <c r="X154" s="6">
        <v>41963.323252314818</v>
      </c>
      <c r="Y154" t="s">
        <v>122</v>
      </c>
      <c r="AB154" t="s">
        <v>201</v>
      </c>
      <c r="AC154" t="s">
        <v>247</v>
      </c>
      <c r="AD154" t="s">
        <v>220</v>
      </c>
      <c r="AE154" t="s">
        <v>219</v>
      </c>
      <c r="AG154" t="s">
        <v>337</v>
      </c>
      <c r="AH154" t="s">
        <v>327</v>
      </c>
      <c r="AI154" t="s">
        <v>121</v>
      </c>
      <c r="AJ154" t="s">
        <v>716</v>
      </c>
      <c r="AK154" t="s">
        <v>121</v>
      </c>
    </row>
    <row r="155" spans="9:37" x14ac:dyDescent="0.3">
      <c r="I155">
        <f ca="1">IF(OR(INDIRECT(A73&amp;ROW())=B93,INDIRECT(A73&amp;ROW())=B94),1,IF(AND(INDIRECT(A73&amp;ROW())=B95,INDIRECT(A96&amp;ROW())=C93),1,IF(AND(INDIRECT(A73&amp;ROW())=B95,INDIRECT(A96&amp;ROW())=C94),1,0)))</f>
        <v>0</v>
      </c>
      <c r="J155">
        <f ca="1">IF(AND(INDIRECT(A73&amp;ROW())=B95,INDIRECT(A96&amp;ROW())=C95),1,IF(AND(INDIRECT(A73&amp;ROW())=B95,INDIRECT(A96&amp;ROW())=C96),1,0))</f>
        <v>1</v>
      </c>
      <c r="K155">
        <f ca="1">DAYS360(INDIRECT(C68&amp;ROW()),TODAY())</f>
        <v>721</v>
      </c>
      <c r="L155">
        <f ca="1">DAYS360(INDIRECT(C69&amp;ROW()),TODAY())</f>
        <v>882</v>
      </c>
      <c r="M155" s="11">
        <f ca="1">HYPERLINK(CONCATENATE("https://bugzilla.houston.hp.com:1181/bugzilla/show_bug.cgi?id=",INDIRECT(C70&amp;ROW())),INDIRECT(C70&amp;ROW()))</f>
        <v>53600</v>
      </c>
      <c r="N155">
        <v>53600</v>
      </c>
      <c r="O155" t="s">
        <v>45</v>
      </c>
      <c r="P155" t="s">
        <v>395</v>
      </c>
      <c r="Q155" t="s">
        <v>25</v>
      </c>
      <c r="R155" t="s">
        <v>248</v>
      </c>
      <c r="S155" t="s">
        <v>36</v>
      </c>
      <c r="T155" t="s">
        <v>287</v>
      </c>
      <c r="U155" s="6">
        <v>42125.446342592593</v>
      </c>
      <c r="V155" t="s">
        <v>18</v>
      </c>
      <c r="W155" t="s">
        <v>295</v>
      </c>
      <c r="X155" s="6">
        <v>41963.323969907404</v>
      </c>
      <c r="Y155" t="s">
        <v>122</v>
      </c>
      <c r="AB155" t="s">
        <v>201</v>
      </c>
      <c r="AC155" t="s">
        <v>247</v>
      </c>
      <c r="AD155" t="s">
        <v>227</v>
      </c>
      <c r="AE155" t="s">
        <v>226</v>
      </c>
      <c r="AG155" t="s">
        <v>121</v>
      </c>
      <c r="AH155" t="s">
        <v>327</v>
      </c>
      <c r="AI155" t="s">
        <v>121</v>
      </c>
      <c r="AJ155" t="s">
        <v>716</v>
      </c>
      <c r="AK155" t="s">
        <v>121</v>
      </c>
    </row>
    <row r="156" spans="9:37" x14ac:dyDescent="0.3">
      <c r="I156">
        <f ca="1">IF(OR(INDIRECT(A73&amp;ROW())=B93,INDIRECT(A73&amp;ROW())=B94),1,IF(AND(INDIRECT(A73&amp;ROW())=B95,INDIRECT(A96&amp;ROW())=C93),1,IF(AND(INDIRECT(A73&amp;ROW())=B95,INDIRECT(A96&amp;ROW())=C94),1,0)))</f>
        <v>0</v>
      </c>
      <c r="J156">
        <f ca="1">IF(AND(INDIRECT(A73&amp;ROW())=B95,INDIRECT(A96&amp;ROW())=C95),1,IF(AND(INDIRECT(A73&amp;ROW())=B95,INDIRECT(A96&amp;ROW())=C96),1,0))</f>
        <v>0</v>
      </c>
      <c r="K156">
        <f ca="1">DAYS360(INDIRECT(C68&amp;ROW()),TODAY())</f>
        <v>721</v>
      </c>
      <c r="L156">
        <f ca="1">DAYS360(INDIRECT(C69&amp;ROW()),TODAY())</f>
        <v>882</v>
      </c>
      <c r="M156">
        <f ca="1">HYPERLINK(CONCATENATE("https://bugzilla.houston.hp.com:1181/bugzilla/show_bug.cgi?id=",INDIRECT(C70&amp;ROW())),INDIRECT(C70&amp;ROW()))</f>
        <v>53603</v>
      </c>
      <c r="N156">
        <v>53603</v>
      </c>
      <c r="O156" t="s">
        <v>88</v>
      </c>
      <c r="P156" t="s">
        <v>394</v>
      </c>
      <c r="Q156" t="s">
        <v>16</v>
      </c>
      <c r="R156" t="s">
        <v>248</v>
      </c>
      <c r="S156" t="s">
        <v>36</v>
      </c>
      <c r="U156" s="6">
        <v>42125.447662037041</v>
      </c>
      <c r="V156" t="s">
        <v>18</v>
      </c>
      <c r="W156" t="s">
        <v>295</v>
      </c>
      <c r="X156" s="6">
        <v>41963.324328703704</v>
      </c>
      <c r="Y156" t="s">
        <v>122</v>
      </c>
      <c r="AB156" t="s">
        <v>201</v>
      </c>
      <c r="AC156" t="s">
        <v>247</v>
      </c>
      <c r="AD156" t="s">
        <v>222</v>
      </c>
      <c r="AE156" t="s">
        <v>225</v>
      </c>
      <c r="AG156" t="s">
        <v>121</v>
      </c>
      <c r="AH156" t="s">
        <v>327</v>
      </c>
      <c r="AI156" t="s">
        <v>121</v>
      </c>
      <c r="AJ156" t="s">
        <v>717</v>
      </c>
      <c r="AK156" t="s">
        <v>121</v>
      </c>
    </row>
    <row r="157" spans="9:37" x14ac:dyDescent="0.3">
      <c r="I157">
        <f ca="1">IF(OR(INDIRECT(A73&amp;ROW())=B93,INDIRECT(A73&amp;ROW())=B94),1,IF(AND(INDIRECT(A73&amp;ROW())=B95,INDIRECT(A96&amp;ROW())=C93),1,IF(AND(INDIRECT(A73&amp;ROW())=B95,INDIRECT(A96&amp;ROW())=C94),1,0)))</f>
        <v>0</v>
      </c>
      <c r="J157">
        <f ca="1">IF(AND(INDIRECT(A73&amp;ROW())=B95,INDIRECT(A96&amp;ROW())=C95),1,IF(AND(INDIRECT(A73&amp;ROW())=B95,INDIRECT(A96&amp;ROW())=C96),1,0))</f>
        <v>0</v>
      </c>
      <c r="K157">
        <f ca="1">DAYS360(INDIRECT(C68&amp;ROW()),TODAY())</f>
        <v>721</v>
      </c>
      <c r="L157">
        <f ca="1">DAYS360(INDIRECT(C69&amp;ROW()),TODAY())</f>
        <v>882</v>
      </c>
      <c r="M157">
        <f ca="1">HYPERLINK(CONCATENATE("https://bugzilla.houston.hp.com:1181/bugzilla/show_bug.cgi?id=",INDIRECT(C70&amp;ROW())),INDIRECT(C70&amp;ROW()))</f>
        <v>53606</v>
      </c>
      <c r="N157">
        <v>53606</v>
      </c>
      <c r="O157" t="s">
        <v>21</v>
      </c>
      <c r="P157" t="s">
        <v>393</v>
      </c>
      <c r="Q157" t="s">
        <v>16</v>
      </c>
      <c r="R157" t="s">
        <v>248</v>
      </c>
      <c r="S157" t="s">
        <v>36</v>
      </c>
      <c r="U157" s="6">
        <v>42125.447615740741</v>
      </c>
      <c r="V157" t="s">
        <v>18</v>
      </c>
      <c r="W157" t="s">
        <v>322</v>
      </c>
      <c r="X157" s="6">
        <v>41963.324618055558</v>
      </c>
      <c r="Y157" t="s">
        <v>122</v>
      </c>
      <c r="AB157" t="s">
        <v>201</v>
      </c>
      <c r="AC157" t="s">
        <v>247</v>
      </c>
      <c r="AD157" t="s">
        <v>222</v>
      </c>
      <c r="AE157" t="s">
        <v>225</v>
      </c>
      <c r="AG157" t="s">
        <v>121</v>
      </c>
      <c r="AH157" t="s">
        <v>327</v>
      </c>
      <c r="AI157" t="s">
        <v>121</v>
      </c>
      <c r="AJ157" t="s">
        <v>717</v>
      </c>
      <c r="AK157" t="s">
        <v>121</v>
      </c>
    </row>
    <row r="158" spans="9:37" x14ac:dyDescent="0.3">
      <c r="I158">
        <f ca="1">IF(OR(INDIRECT(A73&amp;ROW())=B93,INDIRECT(A73&amp;ROW())=B94),1,IF(AND(INDIRECT(A73&amp;ROW())=B95,INDIRECT(A96&amp;ROW())=C93),1,IF(AND(INDIRECT(A73&amp;ROW())=B95,INDIRECT(A96&amp;ROW())=C94),1,0)))</f>
        <v>0</v>
      </c>
      <c r="J158">
        <f ca="1">IF(AND(INDIRECT(A73&amp;ROW())=B95,INDIRECT(A96&amp;ROW())=C95),1,IF(AND(INDIRECT(A73&amp;ROW())=B95,INDIRECT(A96&amp;ROW())=C96),1,0))</f>
        <v>0</v>
      </c>
      <c r="K158">
        <f ca="1">DAYS360(INDIRECT(C68&amp;ROW()),TODAY())</f>
        <v>721</v>
      </c>
      <c r="L158">
        <f ca="1">DAYS360(INDIRECT(C69&amp;ROW()),TODAY())</f>
        <v>882</v>
      </c>
      <c r="M158">
        <f ca="1">HYPERLINK(CONCATENATE("https://bugzilla.houston.hp.com:1181/bugzilla/show_bug.cgi?id=",INDIRECT(C70&amp;ROW())),INDIRECT(C70&amp;ROW()))</f>
        <v>53625</v>
      </c>
      <c r="N158">
        <v>53625</v>
      </c>
      <c r="O158" t="s">
        <v>65</v>
      </c>
      <c r="P158" t="s">
        <v>392</v>
      </c>
      <c r="Q158" t="s">
        <v>16</v>
      </c>
      <c r="R158" t="s">
        <v>248</v>
      </c>
      <c r="S158" t="s">
        <v>36</v>
      </c>
      <c r="U158" s="6">
        <v>42125.447592592594</v>
      </c>
      <c r="V158" t="s">
        <v>18</v>
      </c>
      <c r="W158" t="s">
        <v>322</v>
      </c>
      <c r="X158" s="6">
        <v>41963.326724537037</v>
      </c>
      <c r="Y158" t="s">
        <v>122</v>
      </c>
      <c r="AB158" t="s">
        <v>201</v>
      </c>
      <c r="AC158" t="s">
        <v>247</v>
      </c>
      <c r="AD158" t="s">
        <v>220</v>
      </c>
      <c r="AE158" t="s">
        <v>219</v>
      </c>
      <c r="AG158" t="s">
        <v>121</v>
      </c>
      <c r="AH158" t="s">
        <v>64</v>
      </c>
      <c r="AI158" t="s">
        <v>121</v>
      </c>
      <c r="AJ158" t="s">
        <v>717</v>
      </c>
      <c r="AK158" t="s">
        <v>121</v>
      </c>
    </row>
    <row r="159" spans="9:37" x14ac:dyDescent="0.3">
      <c r="I159">
        <f ca="1">IF(OR(INDIRECT(A73&amp;ROW())=B93,INDIRECT(A73&amp;ROW())=B94),1,IF(AND(INDIRECT(A73&amp;ROW())=B95,INDIRECT(A96&amp;ROW())=C93),1,IF(AND(INDIRECT(A73&amp;ROW())=B95,INDIRECT(A96&amp;ROW())=C94),1,0)))</f>
        <v>1</v>
      </c>
      <c r="J159">
        <f ca="1">IF(AND(INDIRECT(A73&amp;ROW())=B95,INDIRECT(A96&amp;ROW())=C95),1,IF(AND(INDIRECT(A73&amp;ROW())=B95,INDIRECT(A96&amp;ROW())=C96),1,0))</f>
        <v>0</v>
      </c>
      <c r="K159">
        <f ca="1">DAYS360(INDIRECT(C68&amp;ROW()),TODAY())</f>
        <v>792</v>
      </c>
      <c r="L159">
        <f ca="1">DAYS360(INDIRECT(C69&amp;ROW()),TODAY())</f>
        <v>882</v>
      </c>
      <c r="M159">
        <f ca="1">HYPERLINK(CONCATENATE("https://bugzilla.houston.hp.com:1181/bugzilla/show_bug.cgi?id=",INDIRECT(C70&amp;ROW())),INDIRECT(C70&amp;ROW()))</f>
        <v>53634</v>
      </c>
      <c r="N159">
        <v>53634</v>
      </c>
      <c r="O159" t="s">
        <v>50</v>
      </c>
      <c r="P159" t="s">
        <v>391</v>
      </c>
      <c r="Q159" t="s">
        <v>25</v>
      </c>
      <c r="R159" t="s">
        <v>248</v>
      </c>
      <c r="S159" t="s">
        <v>36</v>
      </c>
      <c r="U159" s="6">
        <v>42055.522488425922</v>
      </c>
      <c r="V159" t="s">
        <v>18</v>
      </c>
      <c r="W159" t="s">
        <v>215</v>
      </c>
      <c r="X159" s="6">
        <v>41963.32912037037</v>
      </c>
      <c r="Y159" t="s">
        <v>119</v>
      </c>
      <c r="AB159" t="s">
        <v>200</v>
      </c>
      <c r="AC159" t="s">
        <v>121</v>
      </c>
      <c r="AD159" t="s">
        <v>227</v>
      </c>
      <c r="AE159" t="s">
        <v>226</v>
      </c>
      <c r="AG159" t="s">
        <v>121</v>
      </c>
      <c r="AH159" t="s">
        <v>327</v>
      </c>
      <c r="AI159" t="s">
        <v>362</v>
      </c>
      <c r="AJ159" t="s">
        <v>715</v>
      </c>
      <c r="AK159" t="s">
        <v>121</v>
      </c>
    </row>
    <row r="160" spans="9:37" x14ac:dyDescent="0.3">
      <c r="I160">
        <f ca="1">IF(OR(INDIRECT(A73&amp;ROW())=B93,INDIRECT(A73&amp;ROW())=B94),1,IF(AND(INDIRECT(A73&amp;ROW())=B95,INDIRECT(A96&amp;ROW())=C93),1,IF(AND(INDIRECT(A73&amp;ROW())=B95,INDIRECT(A96&amp;ROW())=C94),1,0)))</f>
        <v>1</v>
      </c>
      <c r="J160">
        <f ca="1">IF(AND(INDIRECT(A73&amp;ROW())=B95,INDIRECT(A96&amp;ROW())=C95),1,IF(AND(INDIRECT(A73&amp;ROW())=B95,INDIRECT(A96&amp;ROW())=C96),1,0))</f>
        <v>0</v>
      </c>
      <c r="K160">
        <f ca="1">DAYS360(INDIRECT(C68&amp;ROW()),TODAY())</f>
        <v>731</v>
      </c>
      <c r="L160">
        <f ca="1">DAYS360(INDIRECT(C69&amp;ROW()),TODAY())</f>
        <v>882</v>
      </c>
      <c r="M160">
        <f ca="1">HYPERLINK(CONCATENATE("https://bugzilla.houston.hp.com:1181/bugzilla/show_bug.cgi?id=",INDIRECT(C70&amp;ROW())),INDIRECT(C70&amp;ROW()))</f>
        <v>53637</v>
      </c>
      <c r="N160">
        <v>53637</v>
      </c>
      <c r="O160" t="s">
        <v>56</v>
      </c>
      <c r="P160" t="s">
        <v>390</v>
      </c>
      <c r="Q160" t="s">
        <v>39</v>
      </c>
      <c r="R160" t="s">
        <v>248</v>
      </c>
      <c r="S160" t="s">
        <v>36</v>
      </c>
      <c r="U160" s="6">
        <v>42115.349305555559</v>
      </c>
      <c r="V160" t="s">
        <v>18</v>
      </c>
      <c r="W160" t="s">
        <v>260</v>
      </c>
      <c r="X160" s="6">
        <v>41963.329664351855</v>
      </c>
      <c r="Y160" t="s">
        <v>245</v>
      </c>
      <c r="AB160" t="s">
        <v>200</v>
      </c>
      <c r="AC160" t="s">
        <v>121</v>
      </c>
      <c r="AD160" t="s">
        <v>220</v>
      </c>
      <c r="AE160" t="s">
        <v>219</v>
      </c>
      <c r="AG160" t="s">
        <v>121</v>
      </c>
      <c r="AH160" t="s">
        <v>327</v>
      </c>
      <c r="AI160" t="s">
        <v>362</v>
      </c>
      <c r="AJ160" t="s">
        <v>715</v>
      </c>
      <c r="AK160" t="s">
        <v>121</v>
      </c>
    </row>
    <row r="161" spans="9:37" x14ac:dyDescent="0.3">
      <c r="I161">
        <f ca="1">IF(OR(INDIRECT(A73&amp;ROW())=B93,INDIRECT(A73&amp;ROW())=B94),1,IF(AND(INDIRECT(A73&amp;ROW())=B95,INDIRECT(A96&amp;ROW())=C93),1,IF(AND(INDIRECT(A73&amp;ROW())=B95,INDIRECT(A96&amp;ROW())=C94),1,0)))</f>
        <v>1</v>
      </c>
      <c r="J161">
        <f ca="1">IF(AND(INDIRECT(A73&amp;ROW())=B95,INDIRECT(A96&amp;ROW())=C95),1,IF(AND(INDIRECT(A73&amp;ROW())=B95,INDIRECT(A96&amp;ROW())=C96),1,0))</f>
        <v>0</v>
      </c>
      <c r="K161">
        <f ca="1">DAYS360(INDIRECT(C68&amp;ROW()),TODAY())</f>
        <v>769</v>
      </c>
      <c r="L161">
        <f ca="1">DAYS360(INDIRECT(C69&amp;ROW()),TODAY())</f>
        <v>882</v>
      </c>
      <c r="M161">
        <f ca="1">HYPERLINK(CONCATENATE("https://bugzilla.houston.hp.com:1181/bugzilla/show_bug.cgi?id=",INDIRECT(C70&amp;ROW())),INDIRECT(C70&amp;ROW()))</f>
        <v>53649</v>
      </c>
      <c r="N161">
        <v>53649</v>
      </c>
      <c r="O161" t="s">
        <v>298</v>
      </c>
      <c r="P161" t="s">
        <v>467</v>
      </c>
      <c r="Q161" t="s">
        <v>39</v>
      </c>
      <c r="R161" t="s">
        <v>248</v>
      </c>
      <c r="S161" t="s">
        <v>36</v>
      </c>
      <c r="U161" s="6">
        <v>42076.509421296294</v>
      </c>
      <c r="V161" t="s">
        <v>18</v>
      </c>
      <c r="W161" t="s">
        <v>343</v>
      </c>
      <c r="X161" s="6">
        <v>41963.331307870372</v>
      </c>
      <c r="Y161" t="s">
        <v>119</v>
      </c>
      <c r="AB161" t="s">
        <v>201</v>
      </c>
      <c r="AC161" t="s">
        <v>247</v>
      </c>
      <c r="AD161" t="s">
        <v>227</v>
      </c>
      <c r="AE161" t="s">
        <v>231</v>
      </c>
      <c r="AG161" t="s">
        <v>121</v>
      </c>
      <c r="AH161" t="s">
        <v>327</v>
      </c>
      <c r="AI161" t="s">
        <v>121</v>
      </c>
      <c r="AJ161" t="s">
        <v>715</v>
      </c>
      <c r="AK161" t="s">
        <v>121</v>
      </c>
    </row>
    <row r="162" spans="9:37" x14ac:dyDescent="0.3">
      <c r="I162">
        <f ca="1">IF(OR(INDIRECT(A73&amp;ROW())=B93,INDIRECT(A73&amp;ROW())=B94),1,IF(AND(INDIRECT(A73&amp;ROW())=B95,INDIRECT(A96&amp;ROW())=C93),1,IF(AND(INDIRECT(A73&amp;ROW())=B95,INDIRECT(A96&amp;ROW())=C94),1,0)))</f>
        <v>0</v>
      </c>
      <c r="J162">
        <f ca="1">IF(AND(INDIRECT(A73&amp;ROW())=B95,INDIRECT(A96&amp;ROW())=C95),1,IF(AND(INDIRECT(A73&amp;ROW())=B95,INDIRECT(A96&amp;ROW())=C96),1,0))</f>
        <v>1</v>
      </c>
      <c r="K162">
        <f ca="1">DAYS360(INDIRECT(C68&amp;ROW()),TODAY())</f>
        <v>749</v>
      </c>
      <c r="L162">
        <f ca="1">DAYS360(INDIRECT(C69&amp;ROW()),TODAY())</f>
        <v>882</v>
      </c>
      <c r="M162">
        <f ca="1">HYPERLINK(CONCATENATE("https://bugzilla.houston.hp.com:1181/bugzilla/show_bug.cgi?id=",INDIRECT(C70&amp;ROW())),INDIRECT(C70&amp;ROW()))</f>
        <v>53666</v>
      </c>
      <c r="N162">
        <v>53666</v>
      </c>
      <c r="O162" t="s">
        <v>326</v>
      </c>
      <c r="P162" t="s">
        <v>466</v>
      </c>
      <c r="Q162" t="s">
        <v>25</v>
      </c>
      <c r="R162" t="s">
        <v>17</v>
      </c>
      <c r="S162" t="s">
        <v>36</v>
      </c>
      <c r="U162" s="6">
        <v>42097.476076388892</v>
      </c>
      <c r="V162" t="s">
        <v>18</v>
      </c>
      <c r="W162" t="s">
        <v>17</v>
      </c>
      <c r="X162" s="6">
        <v>41963.37358796296</v>
      </c>
      <c r="Y162" t="s">
        <v>119</v>
      </c>
      <c r="AA162" t="s">
        <v>184</v>
      </c>
      <c r="AB162" t="s">
        <v>201</v>
      </c>
      <c r="AC162" t="s">
        <v>247</v>
      </c>
      <c r="AD162" t="s">
        <v>227</v>
      </c>
      <c r="AE162" t="s">
        <v>230</v>
      </c>
      <c r="AG162" t="s">
        <v>121</v>
      </c>
      <c r="AH162" t="s">
        <v>327</v>
      </c>
      <c r="AI162" t="s">
        <v>362</v>
      </c>
      <c r="AJ162" t="s">
        <v>716</v>
      </c>
      <c r="AK162" t="s">
        <v>121</v>
      </c>
    </row>
    <row r="163" spans="9:37" x14ac:dyDescent="0.3">
      <c r="I163">
        <f ca="1">IF(OR(INDIRECT(A73&amp;ROW())=B93,INDIRECT(A73&amp;ROW())=B94),1,IF(AND(INDIRECT(A73&amp;ROW())=B95,INDIRECT(A96&amp;ROW())=C93),1,IF(AND(INDIRECT(A73&amp;ROW())=B95,INDIRECT(A96&amp;ROW())=C94),1,0)))</f>
        <v>0</v>
      </c>
      <c r="J163">
        <f ca="1">IF(AND(INDIRECT(A73&amp;ROW())=B95,INDIRECT(A96&amp;ROW())=C95),1,IF(AND(INDIRECT(A73&amp;ROW())=B95,INDIRECT(A96&amp;ROW())=C96),1,0))</f>
        <v>1</v>
      </c>
      <c r="K163">
        <f ca="1">DAYS360(INDIRECT(C68&amp;ROW()),TODAY())</f>
        <v>853</v>
      </c>
      <c r="L163">
        <f ca="1">DAYS360(INDIRECT(C69&amp;ROW()),TODAY())</f>
        <v>882</v>
      </c>
      <c r="M163">
        <f ca="1">HYPERLINK(CONCATENATE("https://bugzilla.houston.hp.com:1181/bugzilla/show_bug.cgi?id=",INDIRECT(C70&amp;ROW())),INDIRECT(C70&amp;ROW()))</f>
        <v>53667</v>
      </c>
      <c r="N163">
        <v>53667</v>
      </c>
      <c r="O163" t="s">
        <v>45</v>
      </c>
      <c r="P163" t="s">
        <v>465</v>
      </c>
      <c r="Q163" t="s">
        <v>25</v>
      </c>
      <c r="R163" t="s">
        <v>248</v>
      </c>
      <c r="S163" t="s">
        <v>36</v>
      </c>
      <c r="U163" s="6">
        <v>41992.591354166667</v>
      </c>
      <c r="V163" t="s">
        <v>18</v>
      </c>
      <c r="W163" t="s">
        <v>17</v>
      </c>
      <c r="X163" s="6">
        <v>41963.373645833337</v>
      </c>
      <c r="Y163" t="s">
        <v>119</v>
      </c>
      <c r="AA163" t="s">
        <v>184</v>
      </c>
      <c r="AB163" t="s">
        <v>201</v>
      </c>
      <c r="AC163" t="s">
        <v>247</v>
      </c>
      <c r="AD163" t="s">
        <v>227</v>
      </c>
      <c r="AE163" t="s">
        <v>370</v>
      </c>
      <c r="AG163" t="s">
        <v>121</v>
      </c>
      <c r="AH163" t="s">
        <v>327</v>
      </c>
      <c r="AI163" t="s">
        <v>121</v>
      </c>
      <c r="AJ163" t="s">
        <v>716</v>
      </c>
      <c r="AK163" t="s">
        <v>121</v>
      </c>
    </row>
    <row r="164" spans="9:37" x14ac:dyDescent="0.3">
      <c r="I164">
        <f ca="1">IF(OR(INDIRECT(A73&amp;ROW())=B93,INDIRECT(A73&amp;ROW())=B94),1,IF(AND(INDIRECT(A73&amp;ROW())=B95,INDIRECT(A96&amp;ROW())=C93),1,IF(AND(INDIRECT(A73&amp;ROW())=B95,INDIRECT(A96&amp;ROW())=C94),1,0)))</f>
        <v>0</v>
      </c>
      <c r="J164">
        <f ca="1">IF(AND(INDIRECT(A73&amp;ROW())=B95,INDIRECT(A96&amp;ROW())=C95),1,IF(AND(INDIRECT(A73&amp;ROW())=B95,INDIRECT(A96&amp;ROW())=C96),1,0))</f>
        <v>0</v>
      </c>
      <c r="K164">
        <f ca="1">DAYS360(INDIRECT(C68&amp;ROW()),TODAY())</f>
        <v>721</v>
      </c>
      <c r="L164">
        <f ca="1">DAYS360(INDIRECT(C69&amp;ROW()),TODAY())</f>
        <v>882</v>
      </c>
      <c r="M164">
        <f ca="1">HYPERLINK(CONCATENATE("https://bugzilla.houston.hp.com:1181/bugzilla/show_bug.cgi?id=",INDIRECT(C70&amp;ROW())),INDIRECT(C70&amp;ROW()))</f>
        <v>53677</v>
      </c>
      <c r="N164">
        <v>53677</v>
      </c>
      <c r="O164" t="s">
        <v>56</v>
      </c>
      <c r="P164" t="s">
        <v>464</v>
      </c>
      <c r="Q164" t="s">
        <v>16</v>
      </c>
      <c r="R164" t="s">
        <v>248</v>
      </c>
      <c r="S164" t="s">
        <v>36</v>
      </c>
      <c r="U164" s="6">
        <v>42125.448738425926</v>
      </c>
      <c r="V164" t="s">
        <v>18</v>
      </c>
      <c r="W164" t="s">
        <v>341</v>
      </c>
      <c r="X164" s="6">
        <v>41963.376620370371</v>
      </c>
      <c r="Y164" t="s">
        <v>122</v>
      </c>
      <c r="AB164" t="s">
        <v>200</v>
      </c>
      <c r="AC164" t="s">
        <v>247</v>
      </c>
      <c r="AD164" t="s">
        <v>220</v>
      </c>
      <c r="AE164" t="s">
        <v>219</v>
      </c>
      <c r="AG164" t="s">
        <v>121</v>
      </c>
      <c r="AH164" t="s">
        <v>327</v>
      </c>
      <c r="AI164" t="s">
        <v>121</v>
      </c>
      <c r="AJ164" t="s">
        <v>716</v>
      </c>
      <c r="AK164" t="s">
        <v>121</v>
      </c>
    </row>
    <row r="165" spans="9:37" x14ac:dyDescent="0.3">
      <c r="I165">
        <f ca="1">IF(OR(INDIRECT(A73&amp;ROW())=B93,INDIRECT(A73&amp;ROW())=B94),1,IF(AND(INDIRECT(A73&amp;ROW())=B95,INDIRECT(A96&amp;ROW())=C93),1,IF(AND(INDIRECT(A73&amp;ROW())=B95,INDIRECT(A96&amp;ROW())=C94),1,0)))</f>
        <v>0</v>
      </c>
      <c r="J165">
        <f ca="1">IF(AND(INDIRECT(A73&amp;ROW())=B95,INDIRECT(A96&amp;ROW())=C95),1,IF(AND(INDIRECT(A73&amp;ROW())=B95,INDIRECT(A96&amp;ROW())=C96),1,0))</f>
        <v>0</v>
      </c>
      <c r="K165">
        <f ca="1">DAYS360(INDIRECT(C68&amp;ROW()),TODAY())</f>
        <v>800</v>
      </c>
      <c r="L165">
        <f ca="1">DAYS360(INDIRECT(C69&amp;ROW()),TODAY())</f>
        <v>882</v>
      </c>
      <c r="M165">
        <f ca="1">HYPERLINK(CONCATENATE("https://bugzilla.houston.hp.com:1181/bugzilla/show_bug.cgi?id=",INDIRECT(C70&amp;ROW())),INDIRECT(C70&amp;ROW()))</f>
        <v>53683</v>
      </c>
      <c r="N165">
        <v>53683</v>
      </c>
      <c r="O165" t="s">
        <v>326</v>
      </c>
      <c r="P165" t="s">
        <v>463</v>
      </c>
      <c r="Q165" t="s">
        <v>16</v>
      </c>
      <c r="R165" t="s">
        <v>17</v>
      </c>
      <c r="S165" t="s">
        <v>36</v>
      </c>
      <c r="U165" s="6">
        <v>42047.980717592596</v>
      </c>
      <c r="V165" t="s">
        <v>18</v>
      </c>
      <c r="W165" t="s">
        <v>207</v>
      </c>
      <c r="X165" s="6">
        <v>41963.399247685185</v>
      </c>
      <c r="Y165" t="s">
        <v>123</v>
      </c>
      <c r="AB165" t="s">
        <v>199</v>
      </c>
      <c r="AC165" t="s">
        <v>121</v>
      </c>
      <c r="AD165" t="s">
        <v>227</v>
      </c>
      <c r="AE165" t="s">
        <v>230</v>
      </c>
      <c r="AG165" t="s">
        <v>121</v>
      </c>
      <c r="AH165" t="s">
        <v>327</v>
      </c>
      <c r="AI165" t="s">
        <v>362</v>
      </c>
      <c r="AJ165" t="s">
        <v>716</v>
      </c>
      <c r="AK165" t="s">
        <v>121</v>
      </c>
    </row>
    <row r="166" spans="9:37" x14ac:dyDescent="0.3">
      <c r="I166">
        <f ca="1">IF(OR(INDIRECT(A73&amp;ROW())=B93,INDIRECT(A73&amp;ROW())=B94),1,IF(AND(INDIRECT(A73&amp;ROW())=B95,INDIRECT(A96&amp;ROW())=C93),1,IF(AND(INDIRECT(A73&amp;ROW())=B95,INDIRECT(A96&amp;ROW())=C94),1,0)))</f>
        <v>0</v>
      </c>
      <c r="J166">
        <f ca="1">IF(AND(INDIRECT(A73&amp;ROW())=B95,INDIRECT(A96&amp;ROW())=C95),1,IF(AND(INDIRECT(A73&amp;ROW())=B95,INDIRECT(A96&amp;ROW())=C96),1,0))</f>
        <v>0</v>
      </c>
      <c r="K166">
        <f ca="1">DAYS360(INDIRECT(C68&amp;ROW()),TODAY())</f>
        <v>721</v>
      </c>
      <c r="L166">
        <f ca="1">DAYS360(INDIRECT(C69&amp;ROW()),TODAY())</f>
        <v>882</v>
      </c>
      <c r="M166">
        <f ca="1">HYPERLINK(CONCATENATE("https://bugzilla.houston.hp.com:1181/bugzilla/show_bug.cgi?id=",INDIRECT(C70&amp;ROW())),INDIRECT(C70&amp;ROW()))</f>
        <v>53684</v>
      </c>
      <c r="N166">
        <v>53684</v>
      </c>
      <c r="O166" t="s">
        <v>45</v>
      </c>
      <c r="P166" t="s">
        <v>476</v>
      </c>
      <c r="Q166" t="s">
        <v>16</v>
      </c>
      <c r="R166" t="s">
        <v>248</v>
      </c>
      <c r="S166" t="s">
        <v>36</v>
      </c>
      <c r="U166" s="6">
        <v>42125.644004629627</v>
      </c>
      <c r="V166" t="s">
        <v>18</v>
      </c>
      <c r="W166" t="s">
        <v>207</v>
      </c>
      <c r="X166" s="6">
        <v>41963.405358796299</v>
      </c>
      <c r="Y166" t="s">
        <v>123</v>
      </c>
      <c r="AB166" t="s">
        <v>199</v>
      </c>
      <c r="AC166" t="s">
        <v>121</v>
      </c>
      <c r="AD166" t="s">
        <v>227</v>
      </c>
      <c r="AE166" t="s">
        <v>231</v>
      </c>
      <c r="AG166" t="s">
        <v>121</v>
      </c>
      <c r="AH166" t="s">
        <v>327</v>
      </c>
      <c r="AI166" t="s">
        <v>121</v>
      </c>
      <c r="AJ166" t="s">
        <v>716</v>
      </c>
      <c r="AK166" t="s">
        <v>121</v>
      </c>
    </row>
    <row r="167" spans="9:37" x14ac:dyDescent="0.3">
      <c r="I167">
        <f ca="1">IF(OR(INDIRECT(A73&amp;ROW())=B93,INDIRECT(A73&amp;ROW())=B94),1,IF(AND(INDIRECT(A73&amp;ROW())=B95,INDIRECT(A96&amp;ROW())=C93),1,IF(AND(INDIRECT(A73&amp;ROW())=B95,INDIRECT(A96&amp;ROW())=C94),1,0)))</f>
        <v>1</v>
      </c>
      <c r="J167">
        <f ca="1">IF(AND(INDIRECT(A73&amp;ROW())=B95,INDIRECT(A96&amp;ROW())=C95),1,IF(AND(INDIRECT(A73&amp;ROW())=B95,INDIRECT(A96&amp;ROW())=C96),1,0))</f>
        <v>0</v>
      </c>
      <c r="K167">
        <f ca="1">DAYS360(INDIRECT(C68&amp;ROW()),TODAY())</f>
        <v>882</v>
      </c>
      <c r="L167">
        <f ca="1">DAYS360(INDIRECT(C69&amp;ROW()),TODAY())</f>
        <v>882</v>
      </c>
      <c r="M167">
        <f ca="1">HYPERLINK(CONCATENATE("https://bugzilla.houston.hp.com:1181/bugzilla/show_bug.cgi?id=",INDIRECT(C70&amp;ROW())),INDIRECT(C70&amp;ROW()))</f>
        <v>53689</v>
      </c>
      <c r="N167">
        <v>53689</v>
      </c>
      <c r="O167" t="s">
        <v>36</v>
      </c>
      <c r="P167" t="s">
        <v>462</v>
      </c>
      <c r="Q167" t="s">
        <v>25</v>
      </c>
      <c r="R167" t="s">
        <v>248</v>
      </c>
      <c r="S167" t="s">
        <v>36</v>
      </c>
      <c r="U167" s="6">
        <v>41963.415879629632</v>
      </c>
      <c r="V167" t="s">
        <v>18</v>
      </c>
      <c r="W167" t="s">
        <v>207</v>
      </c>
      <c r="X167" s="6">
        <v>41963.415879629632</v>
      </c>
      <c r="Y167" t="s">
        <v>120</v>
      </c>
      <c r="AB167" t="s">
        <v>200</v>
      </c>
      <c r="AC167" t="s">
        <v>121</v>
      </c>
      <c r="AD167" t="s">
        <v>220</v>
      </c>
      <c r="AE167" t="s">
        <v>219</v>
      </c>
      <c r="AG167" t="s">
        <v>121</v>
      </c>
      <c r="AH167" t="s">
        <v>327</v>
      </c>
      <c r="AI167" t="s">
        <v>121</v>
      </c>
      <c r="AJ167" t="s">
        <v>715</v>
      </c>
      <c r="AK167" t="s">
        <v>121</v>
      </c>
    </row>
    <row r="168" spans="9:37" x14ac:dyDescent="0.3">
      <c r="I168">
        <f ca="1">IF(OR(INDIRECT(A73&amp;ROW())=B93,INDIRECT(A73&amp;ROW())=B94),1,IF(AND(INDIRECT(A73&amp;ROW())=B95,INDIRECT(A96&amp;ROW())=C93),1,IF(AND(INDIRECT(A73&amp;ROW())=B95,INDIRECT(A96&amp;ROW())=C94),1,0)))</f>
        <v>1</v>
      </c>
      <c r="J168">
        <f ca="1">IF(AND(INDIRECT(A73&amp;ROW())=B95,INDIRECT(A96&amp;ROW())=C95),1,IF(AND(INDIRECT(A73&amp;ROW())=B95,INDIRECT(A96&amp;ROW())=C96),1,0))</f>
        <v>0</v>
      </c>
      <c r="K168">
        <f ca="1">DAYS360(INDIRECT(C68&amp;ROW()),TODAY())</f>
        <v>757</v>
      </c>
      <c r="L168">
        <f ca="1">DAYS360(INDIRECT(C69&amp;ROW()),TODAY())</f>
        <v>882</v>
      </c>
      <c r="M168">
        <f ca="1">HYPERLINK(CONCATENATE("https://bugzilla.houston.hp.com:1181/bugzilla/show_bug.cgi?id=",INDIRECT(C70&amp;ROW())),INDIRECT(C70&amp;ROW()))</f>
        <v>53713</v>
      </c>
      <c r="N168">
        <v>53713</v>
      </c>
      <c r="O168" t="s">
        <v>43</v>
      </c>
      <c r="P168" t="s">
        <v>480</v>
      </c>
      <c r="Q168" t="s">
        <v>25</v>
      </c>
      <c r="R168" t="s">
        <v>251</v>
      </c>
      <c r="S168" t="s">
        <v>336</v>
      </c>
      <c r="U168" s="6">
        <v>42088.084247685183</v>
      </c>
      <c r="V168" t="s">
        <v>40</v>
      </c>
      <c r="W168" t="s">
        <v>17</v>
      </c>
      <c r="X168" s="6">
        <v>41963.720011574071</v>
      </c>
      <c r="Y168" t="s">
        <v>342</v>
      </c>
      <c r="AB168" t="s">
        <v>200</v>
      </c>
      <c r="AC168" t="s">
        <v>247</v>
      </c>
      <c r="AD168" t="s">
        <v>220</v>
      </c>
      <c r="AE168" t="s">
        <v>219</v>
      </c>
      <c r="AG168" t="s">
        <v>121</v>
      </c>
      <c r="AH168" t="s">
        <v>327</v>
      </c>
      <c r="AI168" t="s">
        <v>121</v>
      </c>
      <c r="AJ168" t="s">
        <v>715</v>
      </c>
      <c r="AK168" t="s">
        <v>121</v>
      </c>
    </row>
    <row r="169" spans="9:37" x14ac:dyDescent="0.3">
      <c r="I169">
        <f ca="1">IF(OR(INDIRECT(A73&amp;ROW())=B93,INDIRECT(A73&amp;ROW())=B94),1,IF(AND(INDIRECT(A73&amp;ROW())=B95,INDIRECT(A96&amp;ROW())=C93),1,IF(AND(INDIRECT(A73&amp;ROW())=B95,INDIRECT(A96&amp;ROW())=C94),1,0)))</f>
        <v>0</v>
      </c>
      <c r="J169">
        <f ca="1">IF(AND(INDIRECT(A73&amp;ROW())=B95,INDIRECT(A96&amp;ROW())=C95),1,IF(AND(INDIRECT(A73&amp;ROW())=B95,INDIRECT(A96&amp;ROW())=C96),1,0))</f>
        <v>0</v>
      </c>
      <c r="K169">
        <f ca="1">DAYS360(INDIRECT(C68&amp;ROW()),TODAY())</f>
        <v>730</v>
      </c>
      <c r="L169">
        <f ca="1">DAYS360(INDIRECT(C69&amp;ROW()),TODAY())</f>
        <v>882</v>
      </c>
      <c r="M169">
        <f ca="1">HYPERLINK(CONCATENATE("https://bugzilla.houston.hp.com:1181/bugzilla/show_bug.cgi?id=",INDIRECT(C70&amp;ROW())),INDIRECT(C70&amp;ROW()))</f>
        <v>53719</v>
      </c>
      <c r="N169">
        <v>53719</v>
      </c>
      <c r="O169" t="s">
        <v>856</v>
      </c>
      <c r="P169" t="s">
        <v>461</v>
      </c>
      <c r="Q169" t="s">
        <v>16</v>
      </c>
      <c r="R169" t="s">
        <v>248</v>
      </c>
      <c r="S169" t="s">
        <v>36</v>
      </c>
      <c r="U169" s="6">
        <v>42116.923831018517</v>
      </c>
      <c r="V169" t="s">
        <v>35</v>
      </c>
      <c r="W169" t="s">
        <v>258</v>
      </c>
      <c r="X169" s="6">
        <v>41963.788032407407</v>
      </c>
      <c r="Y169" t="s">
        <v>119</v>
      </c>
      <c r="AB169" t="s">
        <v>201</v>
      </c>
      <c r="AC169" t="s">
        <v>121</v>
      </c>
      <c r="AD169" t="s">
        <v>222</v>
      </c>
      <c r="AE169" t="s">
        <v>221</v>
      </c>
      <c r="AG169" t="s">
        <v>121</v>
      </c>
      <c r="AH169" t="s">
        <v>327</v>
      </c>
      <c r="AI169" t="s">
        <v>121</v>
      </c>
      <c r="AJ169" t="s">
        <v>717</v>
      </c>
      <c r="AK169" t="s">
        <v>121</v>
      </c>
    </row>
    <row r="170" spans="9:37" x14ac:dyDescent="0.3">
      <c r="I170">
        <f ca="1">IF(OR(INDIRECT(A73&amp;ROW())=B93,INDIRECT(A73&amp;ROW())=B94),1,IF(AND(INDIRECT(A73&amp;ROW())=B95,INDIRECT(A96&amp;ROW())=C93),1,IF(AND(INDIRECT(A73&amp;ROW())=B95,INDIRECT(A96&amp;ROW())=C94),1,0)))</f>
        <v>0</v>
      </c>
      <c r="J170">
        <f ca="1">IF(AND(INDIRECT(A73&amp;ROW())=B95,INDIRECT(A96&amp;ROW())=C95),1,IF(AND(INDIRECT(A73&amp;ROW())=B95,INDIRECT(A96&amp;ROW())=C96),1,0))</f>
        <v>0</v>
      </c>
      <c r="K170">
        <f ca="1">DAYS360(INDIRECT(C68&amp;ROW()),TODAY())</f>
        <v>721</v>
      </c>
      <c r="L170">
        <f ca="1">DAYS360(INDIRECT(C69&amp;ROW()),TODAY())</f>
        <v>882</v>
      </c>
      <c r="M170">
        <f ca="1">HYPERLINK(CONCATENATE("https://bugzilla.houston.hp.com:1181/bugzilla/show_bug.cgi?id=",INDIRECT(C70&amp;ROW())),INDIRECT(C70&amp;ROW()))</f>
        <v>53725</v>
      </c>
      <c r="N170">
        <v>53725</v>
      </c>
      <c r="O170" t="s">
        <v>45</v>
      </c>
      <c r="P170" t="s">
        <v>460</v>
      </c>
      <c r="Q170" t="s">
        <v>16</v>
      </c>
      <c r="R170" t="s">
        <v>248</v>
      </c>
      <c r="S170" t="s">
        <v>36</v>
      </c>
      <c r="U170" s="6">
        <v>42125.649328703701</v>
      </c>
      <c r="V170" t="s">
        <v>18</v>
      </c>
      <c r="W170" t="s">
        <v>260</v>
      </c>
      <c r="X170" s="6">
        <v>41963.826539351852</v>
      </c>
      <c r="Y170" t="s">
        <v>245</v>
      </c>
      <c r="Z170" t="s">
        <v>245</v>
      </c>
      <c r="AB170" t="s">
        <v>201</v>
      </c>
      <c r="AC170" t="s">
        <v>121</v>
      </c>
      <c r="AD170" t="s">
        <v>227</v>
      </c>
      <c r="AE170" t="s">
        <v>231</v>
      </c>
      <c r="AG170" t="s">
        <v>121</v>
      </c>
      <c r="AH170" t="s">
        <v>327</v>
      </c>
      <c r="AI170" t="s">
        <v>121</v>
      </c>
      <c r="AJ170" t="s">
        <v>717</v>
      </c>
      <c r="AK170" t="s">
        <v>121</v>
      </c>
    </row>
    <row r="171" spans="9:37" x14ac:dyDescent="0.3">
      <c r="I171">
        <f ca="1">IF(OR(INDIRECT(A73&amp;ROW())=B93,INDIRECT(A73&amp;ROW())=B94),1,IF(AND(INDIRECT(A73&amp;ROW())=B95,INDIRECT(A96&amp;ROW())=C93),1,IF(AND(INDIRECT(A73&amp;ROW())=B95,INDIRECT(A96&amp;ROW())=C94),1,0)))</f>
        <v>0</v>
      </c>
      <c r="J171">
        <f ca="1">IF(AND(INDIRECT(A73&amp;ROW())=B95,INDIRECT(A96&amp;ROW())=C95),1,IF(AND(INDIRECT(A73&amp;ROW())=B95,INDIRECT(A96&amp;ROW())=C96),1,0))</f>
        <v>1</v>
      </c>
      <c r="K171">
        <f ca="1">DAYS360(INDIRECT(C68&amp;ROW()),TODAY())</f>
        <v>835</v>
      </c>
      <c r="L171">
        <f ca="1">DAYS360(INDIRECT(C69&amp;ROW()),TODAY())</f>
        <v>882</v>
      </c>
      <c r="M171">
        <f ca="1">HYPERLINK(CONCATENATE("https://bugzilla.houston.hp.com:1181/bugzilla/show_bug.cgi?id=",INDIRECT(C70&amp;ROW())),INDIRECT(C70&amp;ROW()))</f>
        <v>53727</v>
      </c>
      <c r="N171">
        <v>53727</v>
      </c>
      <c r="O171" t="s">
        <v>326</v>
      </c>
      <c r="P171" t="s">
        <v>459</v>
      </c>
      <c r="Q171" t="s">
        <v>25</v>
      </c>
      <c r="R171" t="s">
        <v>17</v>
      </c>
      <c r="S171" t="s">
        <v>36</v>
      </c>
      <c r="U171" s="6">
        <v>42011.647777777776</v>
      </c>
      <c r="V171" t="s">
        <v>18</v>
      </c>
      <c r="W171" t="s">
        <v>288</v>
      </c>
      <c r="X171" s="6">
        <v>41963.828958333332</v>
      </c>
      <c r="Y171" t="s">
        <v>119</v>
      </c>
      <c r="AB171" t="s">
        <v>201</v>
      </c>
      <c r="AC171" t="s">
        <v>121</v>
      </c>
      <c r="AD171" t="s">
        <v>220</v>
      </c>
      <c r="AE171" t="s">
        <v>224</v>
      </c>
      <c r="AF171" s="13">
        <v>41901</v>
      </c>
      <c r="AG171" t="s">
        <v>121</v>
      </c>
      <c r="AH171" t="s">
        <v>64</v>
      </c>
      <c r="AI171" t="s">
        <v>363</v>
      </c>
      <c r="AJ171" t="s">
        <v>716</v>
      </c>
      <c r="AK171" t="s">
        <v>121</v>
      </c>
    </row>
    <row r="172" spans="9:37" x14ac:dyDescent="0.3">
      <c r="I172">
        <f ca="1">IF(OR(INDIRECT(A73&amp;ROW())=B93,INDIRECT(A73&amp;ROW())=B94),1,IF(AND(INDIRECT(A73&amp;ROW())=B95,INDIRECT(A96&amp;ROW())=C93),1,IF(AND(INDIRECT(A73&amp;ROW())=B95,INDIRECT(A96&amp;ROW())=C94),1,0)))</f>
        <v>0</v>
      </c>
      <c r="J172">
        <f ca="1">IF(AND(INDIRECT(A73&amp;ROW())=B95,INDIRECT(A96&amp;ROW())=C95),1,IF(AND(INDIRECT(A73&amp;ROW())=B95,INDIRECT(A96&amp;ROW())=C96),1,0))</f>
        <v>1</v>
      </c>
      <c r="K172">
        <f ca="1">DAYS360(INDIRECT(C68&amp;ROW()),TODAY())</f>
        <v>800</v>
      </c>
      <c r="L172">
        <f ca="1">DAYS360(INDIRECT(C69&amp;ROW()),TODAY())</f>
        <v>882</v>
      </c>
      <c r="M172" s="11">
        <f ca="1">HYPERLINK(CONCATENATE("https://bugzilla.houston.hp.com:1181/bugzilla/show_bug.cgi?id=",INDIRECT(C70&amp;ROW())),INDIRECT(C70&amp;ROW()))</f>
        <v>53728</v>
      </c>
      <c r="N172">
        <v>53728</v>
      </c>
      <c r="O172" t="s">
        <v>56</v>
      </c>
      <c r="P172" t="s">
        <v>458</v>
      </c>
      <c r="Q172" t="s">
        <v>25</v>
      </c>
      <c r="R172" t="s">
        <v>248</v>
      </c>
      <c r="S172" t="s">
        <v>36</v>
      </c>
      <c r="U172" s="6">
        <v>42047.974247685182</v>
      </c>
      <c r="V172" t="s">
        <v>18</v>
      </c>
      <c r="W172" t="s">
        <v>288</v>
      </c>
      <c r="X172" s="6">
        <v>41963.831631944442</v>
      </c>
      <c r="Y172" t="s">
        <v>119</v>
      </c>
      <c r="AB172" t="s">
        <v>201</v>
      </c>
      <c r="AC172" t="s">
        <v>121</v>
      </c>
      <c r="AD172" t="s">
        <v>220</v>
      </c>
      <c r="AE172" t="s">
        <v>219</v>
      </c>
      <c r="AF172" s="13">
        <v>41901</v>
      </c>
      <c r="AG172" t="s">
        <v>121</v>
      </c>
      <c r="AH172" t="s">
        <v>64</v>
      </c>
      <c r="AI172" t="s">
        <v>121</v>
      </c>
      <c r="AJ172" t="s">
        <v>716</v>
      </c>
      <c r="AK172" t="s">
        <v>121</v>
      </c>
    </row>
    <row r="173" spans="9:37" x14ac:dyDescent="0.3">
      <c r="I173">
        <f ca="1">IF(OR(INDIRECT(A73&amp;ROW())=B93,INDIRECT(A73&amp;ROW())=B94),1,IF(AND(INDIRECT(A73&amp;ROW())=B95,INDIRECT(A96&amp;ROW())=C93),1,IF(AND(INDIRECT(A73&amp;ROW())=B95,INDIRECT(A96&amp;ROW())=C94),1,0)))</f>
        <v>0</v>
      </c>
      <c r="J173">
        <f ca="1">IF(AND(INDIRECT(A73&amp;ROW())=B95,INDIRECT(A96&amp;ROW())=C95),1,IF(AND(INDIRECT(A73&amp;ROW())=B95,INDIRECT(A96&amp;ROW())=C96),1,0))</f>
        <v>1</v>
      </c>
      <c r="K173">
        <f ca="1">DAYS360(INDIRECT(C68&amp;ROW()),TODAY())</f>
        <v>714</v>
      </c>
      <c r="L173">
        <f ca="1">DAYS360(INDIRECT(C69&amp;ROW()),TODAY())</f>
        <v>882</v>
      </c>
      <c r="M173">
        <f ca="1">HYPERLINK(CONCATENATE("https://bugzilla.houston.hp.com:1181/bugzilla/show_bug.cgi?id=",INDIRECT(C70&amp;ROW())),INDIRECT(C70&amp;ROW()))</f>
        <v>53733</v>
      </c>
      <c r="N173">
        <v>53733</v>
      </c>
      <c r="O173" t="s">
        <v>204</v>
      </c>
      <c r="P173" t="s">
        <v>457</v>
      </c>
      <c r="Q173" t="s">
        <v>25</v>
      </c>
      <c r="R173" t="s">
        <v>17</v>
      </c>
      <c r="S173" t="s">
        <v>36</v>
      </c>
      <c r="T173" t="s">
        <v>54</v>
      </c>
      <c r="U173" s="6">
        <v>42132.550150462965</v>
      </c>
      <c r="V173" t="s">
        <v>35</v>
      </c>
      <c r="W173" t="s">
        <v>17</v>
      </c>
      <c r="X173" s="6">
        <v>41963.87427083333</v>
      </c>
      <c r="Y173" t="s">
        <v>119</v>
      </c>
      <c r="AB173" t="s">
        <v>201</v>
      </c>
      <c r="AC173" t="s">
        <v>247</v>
      </c>
      <c r="AD173" t="s">
        <v>222</v>
      </c>
      <c r="AE173" t="s">
        <v>228</v>
      </c>
      <c r="AG173" t="s">
        <v>337</v>
      </c>
      <c r="AH173" t="s">
        <v>64</v>
      </c>
      <c r="AI173" t="s">
        <v>362</v>
      </c>
      <c r="AJ173" t="s">
        <v>716</v>
      </c>
      <c r="AK173" t="s">
        <v>121</v>
      </c>
    </row>
    <row r="174" spans="9:37" x14ac:dyDescent="0.3">
      <c r="I174">
        <f ca="1">IF(OR(INDIRECT(A73&amp;ROW())=B93,INDIRECT(A73&amp;ROW())=B94),1,IF(AND(INDIRECT(A73&amp;ROW())=B95,INDIRECT(A96&amp;ROW())=C93),1,IF(AND(INDIRECT(A73&amp;ROW())=B95,INDIRECT(A96&amp;ROW())=C94),1,0)))</f>
        <v>0</v>
      </c>
      <c r="J174">
        <f ca="1">IF(AND(INDIRECT(A73&amp;ROW())=B95,INDIRECT(A96&amp;ROW())=C95),1,IF(AND(INDIRECT(A73&amp;ROW())=B95,INDIRECT(A96&amp;ROW())=C96),1,0))</f>
        <v>1</v>
      </c>
      <c r="K174">
        <f ca="1">DAYS360(INDIRECT(C68&amp;ROW()),TODAY())</f>
        <v>721</v>
      </c>
      <c r="L174">
        <f ca="1">DAYS360(INDIRECT(C69&amp;ROW()),TODAY())</f>
        <v>872</v>
      </c>
      <c r="M174">
        <f ca="1">HYPERLINK(CONCATENATE("https://bugzilla.houston.hp.com:1181/bugzilla/show_bug.cgi?id=",INDIRECT(C70&amp;ROW())),INDIRECT(C70&amp;ROW()))</f>
        <v>54094</v>
      </c>
      <c r="N174">
        <v>54094</v>
      </c>
      <c r="O174" t="s">
        <v>56</v>
      </c>
      <c r="P174" t="s">
        <v>673</v>
      </c>
      <c r="Q174" t="s">
        <v>25</v>
      </c>
      <c r="R174" t="s">
        <v>251</v>
      </c>
      <c r="S174" t="s">
        <v>68</v>
      </c>
      <c r="U174" s="6">
        <v>42125.448587962965</v>
      </c>
      <c r="V174" t="s">
        <v>18</v>
      </c>
      <c r="W174" t="s">
        <v>17</v>
      </c>
      <c r="X174" s="6">
        <v>41973.544490740744</v>
      </c>
      <c r="Y174" t="s">
        <v>122</v>
      </c>
      <c r="AB174" t="s">
        <v>201</v>
      </c>
      <c r="AC174" t="s">
        <v>247</v>
      </c>
      <c r="AD174" t="s">
        <v>220</v>
      </c>
      <c r="AE174" t="s">
        <v>219</v>
      </c>
      <c r="AG174" t="s">
        <v>121</v>
      </c>
      <c r="AH174" t="s">
        <v>327</v>
      </c>
      <c r="AI174" t="s">
        <v>121</v>
      </c>
      <c r="AJ174" t="s">
        <v>716</v>
      </c>
      <c r="AK174" t="s">
        <v>121</v>
      </c>
    </row>
    <row r="175" spans="9:37" x14ac:dyDescent="0.3">
      <c r="I175">
        <f ca="1">IF(OR(INDIRECT(A73&amp;ROW())=B93,INDIRECT(A73&amp;ROW())=B94),1,IF(AND(INDIRECT(A73&amp;ROW())=B95,INDIRECT(A96&amp;ROW())=C93),1,IF(AND(INDIRECT(A73&amp;ROW())=B95,INDIRECT(A96&amp;ROW())=C94),1,0)))</f>
        <v>1</v>
      </c>
      <c r="J175">
        <f ca="1">IF(AND(INDIRECT(A73&amp;ROW())=B95,INDIRECT(A96&amp;ROW())=C95),1,IF(AND(INDIRECT(A73&amp;ROW())=B95,INDIRECT(A96&amp;ROW())=C96),1,0))</f>
        <v>0</v>
      </c>
      <c r="K175">
        <f ca="1">DAYS360(INDIRECT(C68&amp;ROW()),TODAY())</f>
        <v>870</v>
      </c>
      <c r="L175">
        <f ca="1">DAYS360(INDIRECT(C69&amp;ROW()),TODAY())</f>
        <v>871</v>
      </c>
      <c r="M175">
        <f ca="1">HYPERLINK(CONCATENATE("https://bugzilla.houston.hp.com:1181/bugzilla/show_bug.cgi?id=",INDIRECT(C70&amp;ROW())),INDIRECT(C70&amp;ROW()))</f>
        <v>54144</v>
      </c>
      <c r="N175">
        <v>54144</v>
      </c>
      <c r="O175" t="s">
        <v>43</v>
      </c>
      <c r="P175" t="s">
        <v>479</v>
      </c>
      <c r="Q175" t="s">
        <v>25</v>
      </c>
      <c r="R175" t="s">
        <v>248</v>
      </c>
      <c r="S175" t="s">
        <v>36</v>
      </c>
      <c r="U175" s="6">
        <v>41975.575798611113</v>
      </c>
      <c r="V175" t="s">
        <v>18</v>
      </c>
      <c r="W175" t="s">
        <v>17</v>
      </c>
      <c r="X175" s="6">
        <v>41974.702986111108</v>
      </c>
      <c r="Y175" t="s">
        <v>342</v>
      </c>
      <c r="AB175" t="s">
        <v>200</v>
      </c>
      <c r="AC175" t="s">
        <v>247</v>
      </c>
      <c r="AD175" t="s">
        <v>220</v>
      </c>
      <c r="AE175" t="s">
        <v>219</v>
      </c>
      <c r="AG175" t="s">
        <v>121</v>
      </c>
      <c r="AH175" t="s">
        <v>327</v>
      </c>
      <c r="AI175" t="s">
        <v>121</v>
      </c>
      <c r="AJ175" t="s">
        <v>715</v>
      </c>
      <c r="AK175" t="s">
        <v>121</v>
      </c>
    </row>
    <row r="176" spans="9:37" x14ac:dyDescent="0.3">
      <c r="I176">
        <f ca="1">IF(OR(INDIRECT(A73&amp;ROW())=B93,INDIRECT(A73&amp;ROW())=B94),1,IF(AND(INDIRECT(A73&amp;ROW())=B95,INDIRECT(A96&amp;ROW())=C93),1,IF(AND(INDIRECT(A73&amp;ROW())=B95,INDIRECT(A96&amp;ROW())=C94),1,0)))</f>
        <v>0</v>
      </c>
      <c r="J176">
        <f ca="1">IF(AND(INDIRECT(A73&amp;ROW())=B95,INDIRECT(A96&amp;ROW())=C95),1,IF(AND(INDIRECT(A73&amp;ROW())=B95,INDIRECT(A96&amp;ROW())=C96),1,0))</f>
        <v>1</v>
      </c>
      <c r="K176">
        <f ca="1">DAYS360(INDIRECT(C68&amp;ROW()),TODAY())</f>
        <v>721</v>
      </c>
      <c r="L176">
        <f ca="1">DAYS360(INDIRECT(C69&amp;ROW()),TODAY())</f>
        <v>870</v>
      </c>
      <c r="M176">
        <f ca="1">HYPERLINK(CONCATENATE("https://bugzilla.houston.hp.com:1181/bugzilla/show_bug.cgi?id=",INDIRECT(C70&amp;ROW())),INDIRECT(C70&amp;ROW()))</f>
        <v>54180</v>
      </c>
      <c r="N176">
        <v>54180</v>
      </c>
      <c r="O176" t="s">
        <v>326</v>
      </c>
      <c r="P176" t="s">
        <v>487</v>
      </c>
      <c r="Q176" t="s">
        <v>25</v>
      </c>
      <c r="R176" t="s">
        <v>17</v>
      </c>
      <c r="S176" t="s">
        <v>36</v>
      </c>
      <c r="U176" s="6">
        <v>42125.447627314818</v>
      </c>
      <c r="V176" t="s">
        <v>18</v>
      </c>
      <c r="W176" t="s">
        <v>343</v>
      </c>
      <c r="X176" s="6">
        <v>41975.376284722224</v>
      </c>
      <c r="Y176" t="s">
        <v>122</v>
      </c>
      <c r="AB176" t="s">
        <v>201</v>
      </c>
      <c r="AC176" t="s">
        <v>247</v>
      </c>
      <c r="AD176" t="s">
        <v>220</v>
      </c>
      <c r="AE176" t="s">
        <v>224</v>
      </c>
      <c r="AG176" t="s">
        <v>121</v>
      </c>
      <c r="AH176" t="s">
        <v>64</v>
      </c>
      <c r="AI176" t="s">
        <v>363</v>
      </c>
      <c r="AJ176" t="s">
        <v>716</v>
      </c>
      <c r="AK176" t="s">
        <v>121</v>
      </c>
    </row>
    <row r="177" spans="9:37" x14ac:dyDescent="0.3">
      <c r="I177">
        <f ca="1">IF(OR(INDIRECT(A73&amp;ROW())=B93,INDIRECT(A73&amp;ROW())=B94),1,IF(AND(INDIRECT(A73&amp;ROW())=B95,INDIRECT(A96&amp;ROW())=C93),1,IF(AND(INDIRECT(A73&amp;ROW())=B95,INDIRECT(A96&amp;ROW())=C94),1,0)))</f>
        <v>0</v>
      </c>
      <c r="J177">
        <f ca="1">IF(AND(INDIRECT(A73&amp;ROW())=B95,INDIRECT(A96&amp;ROW())=C95),1,IF(AND(INDIRECT(A73&amp;ROW())=B95,INDIRECT(A96&amp;ROW())=C96),1,0))</f>
        <v>1</v>
      </c>
      <c r="K177">
        <f ca="1">DAYS360(INDIRECT(C68&amp;ROW()),TODAY())</f>
        <v>721</v>
      </c>
      <c r="L177">
        <f ca="1">DAYS360(INDIRECT(C69&amp;ROW()),TODAY())</f>
        <v>870</v>
      </c>
      <c r="M177">
        <f ca="1">HYPERLINK(CONCATENATE("https://bugzilla.houston.hp.com:1181/bugzilla/show_bug.cgi?id=",INDIRECT(C70&amp;ROW())),INDIRECT(C70&amp;ROW()))</f>
        <v>54181</v>
      </c>
      <c r="N177">
        <v>54181</v>
      </c>
      <c r="O177" t="s">
        <v>56</v>
      </c>
      <c r="P177" t="s">
        <v>486</v>
      </c>
      <c r="Q177" t="s">
        <v>25</v>
      </c>
      <c r="R177" t="s">
        <v>248</v>
      </c>
      <c r="S177" t="s">
        <v>36</v>
      </c>
      <c r="U177" s="6">
        <v>42125.447581018518</v>
      </c>
      <c r="V177" t="s">
        <v>18</v>
      </c>
      <c r="W177" t="s">
        <v>343</v>
      </c>
      <c r="X177" s="6">
        <v>41975.38009259259</v>
      </c>
      <c r="Y177" t="s">
        <v>122</v>
      </c>
      <c r="AB177" t="s">
        <v>201</v>
      </c>
      <c r="AC177" t="s">
        <v>247</v>
      </c>
      <c r="AD177" t="s">
        <v>220</v>
      </c>
      <c r="AE177" t="s">
        <v>219</v>
      </c>
      <c r="AG177" t="s">
        <v>121</v>
      </c>
      <c r="AH177" t="s">
        <v>64</v>
      </c>
      <c r="AI177" t="s">
        <v>121</v>
      </c>
      <c r="AJ177" t="s">
        <v>716</v>
      </c>
      <c r="AK177" t="s">
        <v>121</v>
      </c>
    </row>
    <row r="178" spans="9:37" x14ac:dyDescent="0.3">
      <c r="I178">
        <f ca="1">IF(OR(INDIRECT(A73&amp;ROW())=B93,INDIRECT(A73&amp;ROW())=B94),1,IF(AND(INDIRECT(A73&amp;ROW())=B95,INDIRECT(A96&amp;ROW())=C93),1,IF(AND(INDIRECT(A73&amp;ROW())=B95,INDIRECT(A96&amp;ROW())=C94),1,0)))</f>
        <v>0</v>
      </c>
      <c r="J178">
        <f ca="1">IF(AND(INDIRECT(A73&amp;ROW())=B95,INDIRECT(A96&amp;ROW())=C95),1,IF(AND(INDIRECT(A73&amp;ROW())=B95,INDIRECT(A96&amp;ROW())=C96),1,0))</f>
        <v>0</v>
      </c>
      <c r="K178">
        <f ca="1">DAYS360(INDIRECT(C68&amp;ROW()),TODAY())</f>
        <v>721</v>
      </c>
      <c r="L178">
        <f ca="1">DAYS360(INDIRECT(C69&amp;ROW()),TODAY())</f>
        <v>870</v>
      </c>
      <c r="M178">
        <f ca="1">HYPERLINK(CONCATENATE("https://bugzilla.houston.hp.com:1181/bugzilla/show_bug.cgi?id=",INDIRECT(C70&amp;ROW())),INDIRECT(C70&amp;ROW()))</f>
        <v>54184</v>
      </c>
      <c r="N178">
        <v>54184</v>
      </c>
      <c r="O178" t="s">
        <v>241</v>
      </c>
      <c r="P178" t="s">
        <v>485</v>
      </c>
      <c r="Q178" t="s">
        <v>16</v>
      </c>
      <c r="R178" t="s">
        <v>248</v>
      </c>
      <c r="S178" t="s">
        <v>36</v>
      </c>
      <c r="U178" s="6">
        <v>42125.65320601852</v>
      </c>
      <c r="V178" t="s">
        <v>18</v>
      </c>
      <c r="W178" t="s">
        <v>339</v>
      </c>
      <c r="X178" s="6">
        <v>41975.38925925926</v>
      </c>
      <c r="Y178" t="s">
        <v>245</v>
      </c>
      <c r="AB178" t="s">
        <v>201</v>
      </c>
      <c r="AC178" t="s">
        <v>247</v>
      </c>
      <c r="AD178" t="s">
        <v>227</v>
      </c>
      <c r="AE178" t="s">
        <v>237</v>
      </c>
      <c r="AG178" t="s">
        <v>121</v>
      </c>
      <c r="AH178" t="s">
        <v>327</v>
      </c>
      <c r="AI178" t="s">
        <v>121</v>
      </c>
      <c r="AJ178" t="s">
        <v>717</v>
      </c>
      <c r="AK178" t="s">
        <v>121</v>
      </c>
    </row>
    <row r="179" spans="9:37" x14ac:dyDescent="0.3">
      <c r="I179">
        <f ca="1">IF(OR(INDIRECT(A73&amp;ROW())=B93,INDIRECT(A73&amp;ROW())=B94),1,IF(AND(INDIRECT(A73&amp;ROW())=B95,INDIRECT(A96&amp;ROW())=C93),1,IF(AND(INDIRECT(A73&amp;ROW())=B95,INDIRECT(A96&amp;ROW())=C94),1,0)))</f>
        <v>0</v>
      </c>
      <c r="J179">
        <f ca="1">IF(AND(INDIRECT(A73&amp;ROW())=B95,INDIRECT(A96&amp;ROW())=C95),1,IF(AND(INDIRECT(A73&amp;ROW())=B95,INDIRECT(A96&amp;ROW())=C96),1,0))</f>
        <v>1</v>
      </c>
      <c r="K179">
        <f ca="1">DAYS360(INDIRECT(C68&amp;ROW()),TODAY())</f>
        <v>869</v>
      </c>
      <c r="L179">
        <f ca="1">DAYS360(INDIRECT(C69&amp;ROW()),TODAY())</f>
        <v>870</v>
      </c>
      <c r="M179">
        <f ca="1">HYPERLINK(CONCATENATE("https://bugzilla.houston.hp.com:1181/bugzilla/show_bug.cgi?id=",INDIRECT(C70&amp;ROW())),INDIRECT(C70&amp;ROW()))</f>
        <v>54186</v>
      </c>
      <c r="N179">
        <v>54186</v>
      </c>
      <c r="O179" t="s">
        <v>326</v>
      </c>
      <c r="P179" t="s">
        <v>484</v>
      </c>
      <c r="Q179" t="s">
        <v>25</v>
      </c>
      <c r="R179" t="s">
        <v>17</v>
      </c>
      <c r="S179" t="s">
        <v>36</v>
      </c>
      <c r="U179" s="6">
        <v>41976.523692129631</v>
      </c>
      <c r="V179" t="s">
        <v>18</v>
      </c>
      <c r="W179" t="s">
        <v>343</v>
      </c>
      <c r="X179" s="6">
        <v>41975.390381944446</v>
      </c>
      <c r="Y179" t="s">
        <v>245</v>
      </c>
      <c r="AB179" t="s">
        <v>201</v>
      </c>
      <c r="AC179" t="s">
        <v>247</v>
      </c>
      <c r="AD179" t="s">
        <v>227</v>
      </c>
      <c r="AE179" t="s">
        <v>230</v>
      </c>
      <c r="AG179" t="s">
        <v>121</v>
      </c>
      <c r="AH179" t="s">
        <v>327</v>
      </c>
      <c r="AI179" t="s">
        <v>362</v>
      </c>
      <c r="AJ179" t="s">
        <v>716</v>
      </c>
      <c r="AK179" t="s">
        <v>121</v>
      </c>
    </row>
    <row r="180" spans="9:37" x14ac:dyDescent="0.3">
      <c r="I180">
        <f ca="1">IF(OR(INDIRECT(A73&amp;ROW())=B93,INDIRECT(A73&amp;ROW())=B94),1,IF(AND(INDIRECT(A73&amp;ROW())=B95,INDIRECT(A96&amp;ROW())=C93),1,IF(AND(INDIRECT(A73&amp;ROW())=B95,INDIRECT(A96&amp;ROW())=C94),1,0)))</f>
        <v>0</v>
      </c>
      <c r="J180">
        <f ca="1">IF(AND(INDIRECT(A73&amp;ROW())=B95,INDIRECT(A96&amp;ROW())=C95),1,IF(AND(INDIRECT(A73&amp;ROW())=B95,INDIRECT(A96&amp;ROW())=C96),1,0))</f>
        <v>1</v>
      </c>
      <c r="K180">
        <f ca="1">DAYS360(INDIRECT(C68&amp;ROW()),TODAY())</f>
        <v>721</v>
      </c>
      <c r="L180">
        <f ca="1">DAYS360(INDIRECT(C69&amp;ROW()),TODAY())</f>
        <v>870</v>
      </c>
      <c r="M180">
        <f ca="1">HYPERLINK(CONCATENATE("https://bugzilla.houston.hp.com:1181/bugzilla/show_bug.cgi?id=",INDIRECT(C70&amp;ROW())),INDIRECT(C70&amp;ROW()))</f>
        <v>54187</v>
      </c>
      <c r="N180">
        <v>54187</v>
      </c>
      <c r="O180" t="s">
        <v>241</v>
      </c>
      <c r="P180" t="s">
        <v>483</v>
      </c>
      <c r="Q180" t="s">
        <v>25</v>
      </c>
      <c r="R180" t="s">
        <v>248</v>
      </c>
      <c r="S180" t="s">
        <v>36</v>
      </c>
      <c r="U180" s="6">
        <v>42125.655613425923</v>
      </c>
      <c r="V180" t="s">
        <v>18</v>
      </c>
      <c r="W180" t="s">
        <v>343</v>
      </c>
      <c r="X180" s="6">
        <v>41975.393379629626</v>
      </c>
      <c r="Y180" t="s">
        <v>245</v>
      </c>
      <c r="AB180" t="s">
        <v>201</v>
      </c>
      <c r="AC180" t="s">
        <v>247</v>
      </c>
      <c r="AD180" t="s">
        <v>227</v>
      </c>
      <c r="AE180" t="s">
        <v>237</v>
      </c>
      <c r="AG180" t="s">
        <v>121</v>
      </c>
      <c r="AH180" t="s">
        <v>327</v>
      </c>
      <c r="AI180" t="s">
        <v>121</v>
      </c>
      <c r="AJ180" t="s">
        <v>716</v>
      </c>
      <c r="AK180" t="s">
        <v>121</v>
      </c>
    </row>
    <row r="181" spans="9:37" x14ac:dyDescent="0.3">
      <c r="I181">
        <f ca="1">IF(OR(INDIRECT(A73&amp;ROW())=B93,INDIRECT(A73&amp;ROW())=B94),1,IF(AND(INDIRECT(A73&amp;ROW())=B95,INDIRECT(A96&amp;ROW())=C93),1,IF(AND(INDIRECT(A73&amp;ROW())=B95,INDIRECT(A96&amp;ROW())=C94),1,0)))</f>
        <v>0</v>
      </c>
      <c r="J181">
        <f ca="1">IF(AND(INDIRECT(A73&amp;ROW())=B95,INDIRECT(A96&amp;ROW())=C95),1,IF(AND(INDIRECT(A73&amp;ROW())=B95,INDIRECT(A96&amp;ROW())=C96),1,0))</f>
        <v>0</v>
      </c>
      <c r="K181">
        <f ca="1">DAYS360(INDIRECT(C68&amp;ROW()),TODAY())</f>
        <v>835</v>
      </c>
      <c r="L181">
        <f ca="1">DAYS360(INDIRECT(C69&amp;ROW()),TODAY())</f>
        <v>870</v>
      </c>
      <c r="M181">
        <f ca="1">HYPERLINK(CONCATENATE("https://bugzilla.houston.hp.com:1181/bugzilla/show_bug.cgi?id=",INDIRECT(C70&amp;ROW())),INDIRECT(C70&amp;ROW()))</f>
        <v>54198</v>
      </c>
      <c r="N181">
        <v>54198</v>
      </c>
      <c r="O181" t="s">
        <v>326</v>
      </c>
      <c r="P181" t="s">
        <v>506</v>
      </c>
      <c r="Q181" t="s">
        <v>16</v>
      </c>
      <c r="R181" t="s">
        <v>17</v>
      </c>
      <c r="S181" t="s">
        <v>36</v>
      </c>
      <c r="U181" s="6">
        <v>42011.308912037035</v>
      </c>
      <c r="V181" t="s">
        <v>35</v>
      </c>
      <c r="W181" t="s">
        <v>343</v>
      </c>
      <c r="X181" s="6">
        <v>41975.427766203706</v>
      </c>
      <c r="Y181" t="s">
        <v>255</v>
      </c>
      <c r="AB181" t="s">
        <v>199</v>
      </c>
      <c r="AC181" t="s">
        <v>247</v>
      </c>
      <c r="AD181" t="s">
        <v>220</v>
      </c>
      <c r="AE181" t="s">
        <v>224</v>
      </c>
      <c r="AG181" t="s">
        <v>121</v>
      </c>
      <c r="AH181" t="s">
        <v>327</v>
      </c>
      <c r="AI181" t="s">
        <v>362</v>
      </c>
      <c r="AJ181" t="s">
        <v>716</v>
      </c>
      <c r="AK181" t="s">
        <v>121</v>
      </c>
    </row>
    <row r="182" spans="9:37" x14ac:dyDescent="0.3">
      <c r="I182">
        <f ca="1">IF(OR(INDIRECT(A73&amp;ROW())=B93,INDIRECT(A73&amp;ROW())=B94),1,IF(AND(INDIRECT(A73&amp;ROW())=B95,INDIRECT(A96&amp;ROW())=C93),1,IF(AND(INDIRECT(A73&amp;ROW())=B95,INDIRECT(A96&amp;ROW())=C94),1,0)))</f>
        <v>0</v>
      </c>
      <c r="J182">
        <f ca="1">IF(AND(INDIRECT(A73&amp;ROW())=B95,INDIRECT(A96&amp;ROW())=C95),1,IF(AND(INDIRECT(A73&amp;ROW())=B95,INDIRECT(A96&amp;ROW())=C96),1,0))</f>
        <v>0</v>
      </c>
      <c r="K182">
        <f ca="1">DAYS360(INDIRECT(C68&amp;ROW()),TODAY())</f>
        <v>733</v>
      </c>
      <c r="L182">
        <f ca="1">DAYS360(INDIRECT(C69&amp;ROW()),TODAY())</f>
        <v>870</v>
      </c>
      <c r="M182">
        <f ca="1">HYPERLINK(CONCATENATE("https://bugzilla.houston.hp.com:1181/bugzilla/show_bug.cgi?id=",INDIRECT(C70&amp;ROW())),INDIRECT(C70&amp;ROW()))</f>
        <v>54199</v>
      </c>
      <c r="N182">
        <v>54199</v>
      </c>
      <c r="O182" t="s">
        <v>56</v>
      </c>
      <c r="P182" t="s">
        <v>482</v>
      </c>
      <c r="Q182" t="s">
        <v>16</v>
      </c>
      <c r="R182" t="s">
        <v>248</v>
      </c>
      <c r="S182" t="s">
        <v>36</v>
      </c>
      <c r="U182" s="6">
        <v>42113.598020833335</v>
      </c>
      <c r="V182" t="s">
        <v>18</v>
      </c>
      <c r="W182" t="s">
        <v>343</v>
      </c>
      <c r="X182" s="6">
        <v>41975.430879629632</v>
      </c>
      <c r="Y182" t="s">
        <v>255</v>
      </c>
      <c r="AB182" t="s">
        <v>199</v>
      </c>
      <c r="AC182" t="s">
        <v>247</v>
      </c>
      <c r="AD182" t="s">
        <v>220</v>
      </c>
      <c r="AE182" t="s">
        <v>219</v>
      </c>
      <c r="AG182" t="s">
        <v>121</v>
      </c>
      <c r="AH182" t="s">
        <v>327</v>
      </c>
      <c r="AI182" t="s">
        <v>121</v>
      </c>
      <c r="AJ182" t="s">
        <v>716</v>
      </c>
      <c r="AK182" t="s">
        <v>121</v>
      </c>
    </row>
    <row r="183" spans="9:37" x14ac:dyDescent="0.3">
      <c r="I183">
        <f ca="1">IF(OR(INDIRECT(A73&amp;ROW())=B93,INDIRECT(A73&amp;ROW())=B94),1,IF(AND(INDIRECT(A73&amp;ROW())=B95,INDIRECT(A96&amp;ROW())=C93),1,IF(AND(INDIRECT(A73&amp;ROW())=B95,INDIRECT(A96&amp;ROW())=C94),1,0)))</f>
        <v>0</v>
      </c>
      <c r="J183">
        <f ca="1">IF(AND(INDIRECT(A73&amp;ROW())=B95,INDIRECT(A96&amp;ROW())=C95),1,IF(AND(INDIRECT(A73&amp;ROW())=B95,INDIRECT(A96&amp;ROW())=C96),1,0))</f>
        <v>0</v>
      </c>
      <c r="K183">
        <f ca="1">DAYS360(INDIRECT(C68&amp;ROW()),TODAY())</f>
        <v>690</v>
      </c>
      <c r="L183">
        <f ca="1">DAYS360(INDIRECT(C69&amp;ROW()),TODAY())</f>
        <v>870</v>
      </c>
      <c r="M183">
        <f ca="1">HYPERLINK(CONCATENATE("https://bugzilla.houston.hp.com:1181/bugzilla/show_bug.cgi?id=",INDIRECT(C70&amp;ROW())),INDIRECT(C70&amp;ROW()))</f>
        <v>54214</v>
      </c>
      <c r="N183">
        <v>54214</v>
      </c>
      <c r="O183" t="s">
        <v>45</v>
      </c>
      <c r="P183" t="s">
        <v>501</v>
      </c>
      <c r="Q183" t="s">
        <v>16</v>
      </c>
      <c r="R183" t="s">
        <v>251</v>
      </c>
      <c r="S183" t="s">
        <v>52</v>
      </c>
      <c r="U183" s="6">
        <v>42157.34238425926</v>
      </c>
      <c r="V183" t="s">
        <v>18</v>
      </c>
      <c r="W183" t="s">
        <v>17</v>
      </c>
      <c r="X183" s="6">
        <v>41975.603159722225</v>
      </c>
      <c r="Y183" t="s">
        <v>255</v>
      </c>
      <c r="AB183" t="s">
        <v>201</v>
      </c>
      <c r="AC183" t="s">
        <v>247</v>
      </c>
      <c r="AD183" t="s">
        <v>227</v>
      </c>
      <c r="AE183" t="s">
        <v>237</v>
      </c>
      <c r="AG183" t="s">
        <v>121</v>
      </c>
      <c r="AH183" t="s">
        <v>327</v>
      </c>
      <c r="AI183" t="s">
        <v>121</v>
      </c>
      <c r="AJ183" t="s">
        <v>717</v>
      </c>
      <c r="AK183" t="s">
        <v>121</v>
      </c>
    </row>
    <row r="184" spans="9:37" x14ac:dyDescent="0.3">
      <c r="I184">
        <f ca="1">IF(OR(INDIRECT(A73&amp;ROW())=B93,INDIRECT(A73&amp;ROW())=B94),1,IF(AND(INDIRECT(A73&amp;ROW())=B95,INDIRECT(A96&amp;ROW())=C93),1,IF(AND(INDIRECT(A73&amp;ROW())=B95,INDIRECT(A96&amp;ROW())=C94),1,0)))</f>
        <v>0</v>
      </c>
      <c r="J184">
        <f ca="1">IF(AND(INDIRECT(A73&amp;ROW())=B95,INDIRECT(A96&amp;ROW())=C95),1,IF(AND(INDIRECT(A73&amp;ROW())=B95,INDIRECT(A96&amp;ROW())=C96),1,0))</f>
        <v>0</v>
      </c>
      <c r="K184">
        <f ca="1">DAYS360(INDIRECT(C68&amp;ROW()),TODAY())</f>
        <v>729</v>
      </c>
      <c r="L184">
        <f ca="1">DAYS360(INDIRECT(C69&amp;ROW()),TODAY())</f>
        <v>870</v>
      </c>
      <c r="M184">
        <f ca="1">HYPERLINK(CONCATENATE("https://bugzilla.houston.hp.com:1181/bugzilla/show_bug.cgi?id=",INDIRECT(C70&amp;ROW())),INDIRECT(C70&amp;ROW()))</f>
        <v>54215</v>
      </c>
      <c r="N184">
        <v>54215</v>
      </c>
      <c r="O184" t="s">
        <v>45</v>
      </c>
      <c r="P184" t="s">
        <v>500</v>
      </c>
      <c r="Q184" t="s">
        <v>16</v>
      </c>
      <c r="R184" t="s">
        <v>251</v>
      </c>
      <c r="S184" t="s">
        <v>367</v>
      </c>
      <c r="U184" s="6">
        <v>42117.404652777775</v>
      </c>
      <c r="V184" t="s">
        <v>18</v>
      </c>
      <c r="W184" t="s">
        <v>17</v>
      </c>
      <c r="X184" s="6">
        <v>41975.612685185188</v>
      </c>
      <c r="Y184" t="s">
        <v>245</v>
      </c>
      <c r="AB184" t="s">
        <v>200</v>
      </c>
      <c r="AC184" t="s">
        <v>247</v>
      </c>
      <c r="AD184" t="s">
        <v>227</v>
      </c>
      <c r="AE184" t="s">
        <v>230</v>
      </c>
      <c r="AG184" t="s">
        <v>121</v>
      </c>
      <c r="AH184" t="s">
        <v>327</v>
      </c>
      <c r="AI184" t="s">
        <v>121</v>
      </c>
      <c r="AJ184" t="s">
        <v>716</v>
      </c>
      <c r="AK184" t="s">
        <v>121</v>
      </c>
    </row>
    <row r="185" spans="9:37" x14ac:dyDescent="0.3">
      <c r="I185">
        <f ca="1">IF(OR(INDIRECT(A73&amp;ROW())=B93,INDIRECT(A73&amp;ROW())=B94),1,IF(AND(INDIRECT(A73&amp;ROW())=B95,INDIRECT(A96&amp;ROW())=C93),1,IF(AND(INDIRECT(A73&amp;ROW())=B95,INDIRECT(A96&amp;ROW())=C94),1,0)))</f>
        <v>0</v>
      </c>
      <c r="J185">
        <f ca="1">IF(AND(INDIRECT(A73&amp;ROW())=B95,INDIRECT(A96&amp;ROW())=C95),1,IF(AND(INDIRECT(A73&amp;ROW())=B95,INDIRECT(A96&amp;ROW())=C96),1,0))</f>
        <v>0</v>
      </c>
      <c r="K185">
        <f ca="1">DAYS360(INDIRECT(C68&amp;ROW()),TODAY())</f>
        <v>736</v>
      </c>
      <c r="L185">
        <f ca="1">DAYS360(INDIRECT(C69&amp;ROW()),TODAY())</f>
        <v>870</v>
      </c>
      <c r="M185">
        <f ca="1">HYPERLINK(CONCATENATE("https://bugzilla.houston.hp.com:1181/bugzilla/show_bug.cgi?id=",INDIRECT(C70&amp;ROW())),INDIRECT(C70&amp;ROW()))</f>
        <v>54218</v>
      </c>
      <c r="N185">
        <v>54218</v>
      </c>
      <c r="O185" t="s">
        <v>919</v>
      </c>
      <c r="P185" t="s">
        <v>499</v>
      </c>
      <c r="Q185" t="s">
        <v>16</v>
      </c>
      <c r="R185" t="s">
        <v>17</v>
      </c>
      <c r="S185" t="s">
        <v>477</v>
      </c>
      <c r="U185" s="6">
        <v>42110.702280092592</v>
      </c>
      <c r="V185" t="s">
        <v>18</v>
      </c>
      <c r="W185" t="s">
        <v>339</v>
      </c>
      <c r="X185" s="6">
        <v>41975.714236111111</v>
      </c>
      <c r="Y185" t="s">
        <v>245</v>
      </c>
      <c r="AB185" t="s">
        <v>201</v>
      </c>
      <c r="AC185" t="s">
        <v>247</v>
      </c>
      <c r="AD185" t="s">
        <v>227</v>
      </c>
      <c r="AE185" t="s">
        <v>230</v>
      </c>
      <c r="AG185" t="s">
        <v>121</v>
      </c>
      <c r="AH185" t="s">
        <v>327</v>
      </c>
      <c r="AI185" t="s">
        <v>362</v>
      </c>
      <c r="AJ185" t="s">
        <v>717</v>
      </c>
      <c r="AK185" t="s">
        <v>121</v>
      </c>
    </row>
    <row r="186" spans="9:37" x14ac:dyDescent="0.3">
      <c r="I186">
        <f ca="1">IF(OR(INDIRECT(A73&amp;ROW())=B93,INDIRECT(A73&amp;ROW())=B94),1,IF(AND(INDIRECT(A73&amp;ROW())=B95,INDIRECT(A96&amp;ROW())=C93),1,IF(AND(INDIRECT(A73&amp;ROW())=B95,INDIRECT(A96&amp;ROW())=C94),1,0)))</f>
        <v>0</v>
      </c>
      <c r="J186">
        <f ca="1">IF(AND(INDIRECT(A73&amp;ROW())=B95,INDIRECT(A96&amp;ROW())=C95),1,IF(AND(INDIRECT(A73&amp;ROW())=B95,INDIRECT(A96&amp;ROW())=C96),1,0))</f>
        <v>1</v>
      </c>
      <c r="K186">
        <f ca="1">DAYS360(INDIRECT(C68&amp;ROW()),TODAY())</f>
        <v>730</v>
      </c>
      <c r="L186">
        <f ca="1">DAYS360(INDIRECT(C69&amp;ROW()),TODAY())</f>
        <v>870</v>
      </c>
      <c r="M186">
        <f ca="1">HYPERLINK(CONCATENATE("https://bugzilla.houston.hp.com:1181/bugzilla/show_bug.cgi?id=",INDIRECT(C70&amp;ROW())),INDIRECT(C70&amp;ROW()))</f>
        <v>54221</v>
      </c>
      <c r="N186">
        <v>54221</v>
      </c>
      <c r="O186" t="s">
        <v>56</v>
      </c>
      <c r="P186" t="s">
        <v>481</v>
      </c>
      <c r="Q186" t="s">
        <v>25</v>
      </c>
      <c r="R186" t="s">
        <v>251</v>
      </c>
      <c r="S186" t="s">
        <v>43</v>
      </c>
      <c r="U186" s="6">
        <v>42116.732118055559</v>
      </c>
      <c r="V186" t="s">
        <v>18</v>
      </c>
      <c r="W186" t="s">
        <v>17</v>
      </c>
      <c r="X186" s="6">
        <v>41975.804108796299</v>
      </c>
      <c r="Y186" t="s">
        <v>793</v>
      </c>
      <c r="AB186" t="s">
        <v>201</v>
      </c>
      <c r="AC186" t="s">
        <v>247</v>
      </c>
      <c r="AD186" t="s">
        <v>220</v>
      </c>
      <c r="AE186" t="s">
        <v>219</v>
      </c>
      <c r="AG186" t="s">
        <v>121</v>
      </c>
      <c r="AH186" t="s">
        <v>327</v>
      </c>
      <c r="AI186" t="s">
        <v>121</v>
      </c>
      <c r="AJ186" t="s">
        <v>716</v>
      </c>
      <c r="AK186" t="s">
        <v>121</v>
      </c>
    </row>
    <row r="187" spans="9:37" x14ac:dyDescent="0.3">
      <c r="I187">
        <f ca="1">IF(OR(INDIRECT(A73&amp;ROW())=B93,INDIRECT(A73&amp;ROW())=B94),1,IF(AND(INDIRECT(A73&amp;ROW())=B95,INDIRECT(A96&amp;ROW())=C93),1,IF(AND(INDIRECT(A73&amp;ROW())=B95,INDIRECT(A96&amp;ROW())=C94),1,0)))</f>
        <v>1</v>
      </c>
      <c r="J187">
        <f ca="1">IF(AND(INDIRECT(A73&amp;ROW())=B95,INDIRECT(A96&amp;ROW())=C95),1,IF(AND(INDIRECT(A73&amp;ROW())=B95,INDIRECT(A96&amp;ROW())=C96),1,0))</f>
        <v>0</v>
      </c>
      <c r="K187">
        <f ca="1">DAYS360(INDIRECT(C68&amp;ROW()),TODAY())</f>
        <v>691</v>
      </c>
      <c r="L187">
        <f ca="1">DAYS360(INDIRECT(C69&amp;ROW()),TODAY())</f>
        <v>869</v>
      </c>
      <c r="M187">
        <f ca="1">HYPERLINK(CONCATENATE("https://bugzilla.houston.hp.com:1181/bugzilla/show_bug.cgi?id=",INDIRECT(C70&amp;ROW())),INDIRECT(C70&amp;ROW()))</f>
        <v>54268</v>
      </c>
      <c r="N187">
        <v>54268</v>
      </c>
      <c r="O187" t="s">
        <v>164</v>
      </c>
      <c r="P187" t="s">
        <v>503</v>
      </c>
      <c r="Q187" t="s">
        <v>25</v>
      </c>
      <c r="R187" t="s">
        <v>251</v>
      </c>
      <c r="S187" t="s">
        <v>24</v>
      </c>
      <c r="U187" s="6">
        <v>42156.598819444444</v>
      </c>
      <c r="V187" t="s">
        <v>40</v>
      </c>
      <c r="W187" t="s">
        <v>17</v>
      </c>
      <c r="X187" s="6">
        <v>41976.612835648149</v>
      </c>
      <c r="Y187" t="s">
        <v>255</v>
      </c>
      <c r="AB187" t="s">
        <v>200</v>
      </c>
      <c r="AC187" t="s">
        <v>247</v>
      </c>
      <c r="AD187" t="s">
        <v>220</v>
      </c>
      <c r="AE187" t="s">
        <v>219</v>
      </c>
      <c r="AG187" t="s">
        <v>121</v>
      </c>
      <c r="AH187" t="s">
        <v>327</v>
      </c>
      <c r="AI187" t="s">
        <v>121</v>
      </c>
      <c r="AJ187" t="s">
        <v>715</v>
      </c>
      <c r="AK187" t="s">
        <v>121</v>
      </c>
    </row>
    <row r="188" spans="9:37" x14ac:dyDescent="0.3">
      <c r="I188">
        <f ca="1">IF(OR(INDIRECT(A73&amp;ROW())=B93,INDIRECT(A73&amp;ROW())=B94),1,IF(AND(INDIRECT(A73&amp;ROW())=B95,INDIRECT(A96&amp;ROW())=C93),1,IF(AND(INDIRECT(A73&amp;ROW())=B95,INDIRECT(A96&amp;ROW())=C94),1,0)))</f>
        <v>0</v>
      </c>
      <c r="J188">
        <f ca="1">IF(AND(INDIRECT(A73&amp;ROW())=B95,INDIRECT(A96&amp;ROW())=C95),1,IF(AND(INDIRECT(A73&amp;ROW())=B95,INDIRECT(A96&amp;ROW())=C96),1,0))</f>
        <v>1</v>
      </c>
      <c r="K188">
        <f ca="1">DAYS360(INDIRECT(C68&amp;ROW()),TODAY())</f>
        <v>721</v>
      </c>
      <c r="L188">
        <f ca="1">DAYS360(INDIRECT(C69&amp;ROW()),TODAY())</f>
        <v>869</v>
      </c>
      <c r="M188">
        <f ca="1">HYPERLINK(CONCATENATE("https://bugzilla.houston.hp.com:1181/bugzilla/show_bug.cgi?id=",INDIRECT(C70&amp;ROW())),INDIRECT(C70&amp;ROW()))</f>
        <v>54272</v>
      </c>
      <c r="N188">
        <v>54272</v>
      </c>
      <c r="O188" t="s">
        <v>56</v>
      </c>
      <c r="P188" t="s">
        <v>498</v>
      </c>
      <c r="Q188" t="s">
        <v>25</v>
      </c>
      <c r="R188" t="s">
        <v>248</v>
      </c>
      <c r="S188" t="s">
        <v>36</v>
      </c>
      <c r="U188" s="6">
        <v>42125.448750000003</v>
      </c>
      <c r="V188" t="s">
        <v>18</v>
      </c>
      <c r="W188" t="s">
        <v>360</v>
      </c>
      <c r="X188" s="6">
        <v>41976.671122685184</v>
      </c>
      <c r="Y188" t="s">
        <v>122</v>
      </c>
      <c r="AB188" t="s">
        <v>201</v>
      </c>
      <c r="AC188" t="s">
        <v>247</v>
      </c>
      <c r="AD188" t="s">
        <v>220</v>
      </c>
      <c r="AE188" t="s">
        <v>219</v>
      </c>
      <c r="AG188" t="s">
        <v>121</v>
      </c>
      <c r="AH188" t="s">
        <v>327</v>
      </c>
      <c r="AI188" t="s">
        <v>121</v>
      </c>
      <c r="AJ188" t="s">
        <v>716</v>
      </c>
      <c r="AK188" t="s">
        <v>121</v>
      </c>
    </row>
    <row r="189" spans="9:37" x14ac:dyDescent="0.3">
      <c r="I189">
        <f ca="1">IF(OR(INDIRECT(A73&amp;ROW())=B93,INDIRECT(A73&amp;ROW())=B94),1,IF(AND(INDIRECT(A73&amp;ROW())=B95,INDIRECT(A96&amp;ROW())=C93),1,IF(AND(INDIRECT(A73&amp;ROW())=B95,INDIRECT(A96&amp;ROW())=C94),1,0)))</f>
        <v>0</v>
      </c>
      <c r="J189">
        <f ca="1">IF(AND(INDIRECT(A73&amp;ROW())=B95,INDIRECT(A96&amp;ROW())=C95),1,IF(AND(INDIRECT(A73&amp;ROW())=B95,INDIRECT(A96&amp;ROW())=C96),1,0))</f>
        <v>0</v>
      </c>
      <c r="K189">
        <f ca="1">DAYS360(INDIRECT(C68&amp;ROW()),TODAY())</f>
        <v>721</v>
      </c>
      <c r="L189">
        <f ca="1">DAYS360(INDIRECT(C69&amp;ROW()),TODAY())</f>
        <v>869</v>
      </c>
      <c r="M189">
        <f ca="1">HYPERLINK(CONCATENATE("https://bugzilla.houston.hp.com:1181/bugzilla/show_bug.cgi?id=",INDIRECT(C70&amp;ROW())),INDIRECT(C70&amp;ROW()))</f>
        <v>54278</v>
      </c>
      <c r="N189">
        <v>54278</v>
      </c>
      <c r="O189" t="s">
        <v>45</v>
      </c>
      <c r="P189" t="s">
        <v>497</v>
      </c>
      <c r="Q189" t="s">
        <v>16</v>
      </c>
      <c r="R189" t="s">
        <v>248</v>
      </c>
      <c r="S189" t="s">
        <v>36</v>
      </c>
      <c r="U189" s="6">
        <v>42125.661678240744</v>
      </c>
      <c r="V189" t="s">
        <v>18</v>
      </c>
      <c r="W189" t="s">
        <v>339</v>
      </c>
      <c r="X189" s="6">
        <v>41976.674849537034</v>
      </c>
      <c r="Y189" t="s">
        <v>255</v>
      </c>
      <c r="AB189" t="s">
        <v>201</v>
      </c>
      <c r="AC189" t="s">
        <v>247</v>
      </c>
      <c r="AD189" t="s">
        <v>227</v>
      </c>
      <c r="AE189" t="s">
        <v>237</v>
      </c>
      <c r="AG189" t="s">
        <v>121</v>
      </c>
      <c r="AH189" t="s">
        <v>327</v>
      </c>
      <c r="AI189" t="s">
        <v>121</v>
      </c>
      <c r="AJ189" t="s">
        <v>717</v>
      </c>
      <c r="AK189" t="s">
        <v>121</v>
      </c>
    </row>
    <row r="190" spans="9:37" x14ac:dyDescent="0.3">
      <c r="I190">
        <f ca="1">IF(OR(INDIRECT(A73&amp;ROW())=B93,INDIRECT(A73&amp;ROW())=B94),1,IF(AND(INDIRECT(A73&amp;ROW())=B95,INDIRECT(A96&amp;ROW())=C93),1,IF(AND(INDIRECT(A73&amp;ROW())=B95,INDIRECT(A96&amp;ROW())=C94),1,0)))</f>
        <v>0</v>
      </c>
      <c r="J190">
        <f ca="1">IF(AND(INDIRECT(A73&amp;ROW())=B95,INDIRECT(A96&amp;ROW())=C95),1,IF(AND(INDIRECT(A73&amp;ROW())=B95,INDIRECT(A96&amp;ROW())=C96),1,0))</f>
        <v>0</v>
      </c>
      <c r="K190">
        <f ca="1">DAYS360(INDIRECT(C68&amp;ROW()),TODAY())</f>
        <v>731</v>
      </c>
      <c r="L190">
        <f ca="1">DAYS360(INDIRECT(C69&amp;ROW()),TODAY())</f>
        <v>869</v>
      </c>
      <c r="M190">
        <f ca="1">HYPERLINK(CONCATENATE("https://bugzilla.houston.hp.com:1181/bugzilla/show_bug.cgi?id=",INDIRECT(C70&amp;ROW())),INDIRECT(C70&amp;ROW()))</f>
        <v>54280</v>
      </c>
      <c r="N190">
        <v>54280</v>
      </c>
      <c r="O190" t="s">
        <v>919</v>
      </c>
      <c r="P190" t="s">
        <v>496</v>
      </c>
      <c r="Q190" t="s">
        <v>16</v>
      </c>
      <c r="R190" t="s">
        <v>17</v>
      </c>
      <c r="S190" t="s">
        <v>36</v>
      </c>
      <c r="U190" s="6">
        <v>42115.892118055555</v>
      </c>
      <c r="V190" t="s">
        <v>18</v>
      </c>
      <c r="W190" t="s">
        <v>372</v>
      </c>
      <c r="X190" s="6">
        <v>41976.675324074073</v>
      </c>
      <c r="Y190" t="s">
        <v>245</v>
      </c>
      <c r="AB190" t="s">
        <v>200</v>
      </c>
      <c r="AC190" t="s">
        <v>247</v>
      </c>
      <c r="AD190" t="s">
        <v>227</v>
      </c>
      <c r="AE190" t="s">
        <v>230</v>
      </c>
      <c r="AG190" t="s">
        <v>121</v>
      </c>
      <c r="AH190" t="s">
        <v>327</v>
      </c>
      <c r="AI190" t="s">
        <v>363</v>
      </c>
      <c r="AJ190" t="s">
        <v>716</v>
      </c>
      <c r="AK190" t="s">
        <v>121</v>
      </c>
    </row>
    <row r="191" spans="9:37" x14ac:dyDescent="0.3">
      <c r="I191">
        <f ca="1">IF(OR(INDIRECT(A73&amp;ROW())=B93,INDIRECT(A73&amp;ROW())=B94),1,IF(AND(INDIRECT(A73&amp;ROW())=B95,INDIRECT(A96&amp;ROW())=C93),1,IF(AND(INDIRECT(A73&amp;ROW())=B95,INDIRECT(A96&amp;ROW())=C94),1,0)))</f>
        <v>0</v>
      </c>
      <c r="J191">
        <f ca="1">IF(AND(INDIRECT(A73&amp;ROW())=B95,INDIRECT(A96&amp;ROW())=C95),1,IF(AND(INDIRECT(A73&amp;ROW())=B95,INDIRECT(A96&amp;ROW())=C96),1,0))</f>
        <v>0</v>
      </c>
      <c r="K191">
        <f ca="1">DAYS360(INDIRECT(C68&amp;ROW()),TODAY())</f>
        <v>731</v>
      </c>
      <c r="L191">
        <f ca="1">DAYS360(INDIRECT(C69&amp;ROW()),TODAY())</f>
        <v>869</v>
      </c>
      <c r="M191">
        <f ca="1">HYPERLINK(CONCATENATE("https://bugzilla.houston.hp.com:1181/bugzilla/show_bug.cgi?id=",INDIRECT(C70&amp;ROW())),INDIRECT(C70&amp;ROW()))</f>
        <v>54281</v>
      </c>
      <c r="N191">
        <v>54281</v>
      </c>
      <c r="O191" t="s">
        <v>36</v>
      </c>
      <c r="P191" t="s">
        <v>495</v>
      </c>
      <c r="Q191" t="s">
        <v>16</v>
      </c>
      <c r="R191" t="s">
        <v>248</v>
      </c>
      <c r="S191" t="s">
        <v>36</v>
      </c>
      <c r="U191" s="6">
        <v>42115.893796296295</v>
      </c>
      <c r="V191" t="s">
        <v>18</v>
      </c>
      <c r="W191" t="s">
        <v>372</v>
      </c>
      <c r="X191" s="6">
        <v>41976.675428240742</v>
      </c>
      <c r="Y191" t="s">
        <v>245</v>
      </c>
      <c r="AB191" t="s">
        <v>200</v>
      </c>
      <c r="AC191" t="s">
        <v>247</v>
      </c>
      <c r="AD191" t="s">
        <v>227</v>
      </c>
      <c r="AE191" t="s">
        <v>230</v>
      </c>
      <c r="AG191" t="s">
        <v>121</v>
      </c>
      <c r="AH191" t="s">
        <v>327</v>
      </c>
      <c r="AI191" t="s">
        <v>121</v>
      </c>
      <c r="AJ191" t="s">
        <v>716</v>
      </c>
      <c r="AK191" t="s">
        <v>121</v>
      </c>
    </row>
    <row r="192" spans="9:37" x14ac:dyDescent="0.3">
      <c r="I192">
        <f ca="1">IF(OR(INDIRECT(A73&amp;ROW())=B93,INDIRECT(A73&amp;ROW())=B94),1,IF(AND(INDIRECT(A73&amp;ROW())=B95,INDIRECT(A96&amp;ROW())=C93),1,IF(AND(INDIRECT(A73&amp;ROW())=B95,INDIRECT(A96&amp;ROW())=C94),1,0)))</f>
        <v>0</v>
      </c>
      <c r="J192">
        <f ca="1">IF(AND(INDIRECT(A73&amp;ROW())=B95,INDIRECT(A96&amp;ROW())=C95),1,IF(AND(INDIRECT(A73&amp;ROW())=B95,INDIRECT(A96&amp;ROW())=C96),1,0))</f>
        <v>0</v>
      </c>
      <c r="K192">
        <f ca="1">DAYS360(INDIRECT(C68&amp;ROW()),TODAY())</f>
        <v>724</v>
      </c>
      <c r="L192">
        <f ca="1">DAYS360(INDIRECT(C69&amp;ROW()),TODAY())</f>
        <v>869</v>
      </c>
      <c r="M192">
        <f ca="1">HYPERLINK(CONCATENATE("https://bugzilla.houston.hp.com:1181/bugzilla/show_bug.cgi?id=",INDIRECT(C70&amp;ROW())),INDIRECT(C70&amp;ROW()))</f>
        <v>54283</v>
      </c>
      <c r="N192">
        <v>54283</v>
      </c>
      <c r="O192" t="s">
        <v>241</v>
      </c>
      <c r="P192" t="s">
        <v>494</v>
      </c>
      <c r="Q192" t="s">
        <v>16</v>
      </c>
      <c r="R192" t="s">
        <v>251</v>
      </c>
      <c r="S192" t="s">
        <v>36</v>
      </c>
      <c r="U192" s="6">
        <v>42122.319062499999</v>
      </c>
      <c r="V192" t="s">
        <v>18</v>
      </c>
      <c r="W192" t="s">
        <v>17</v>
      </c>
      <c r="X192" s="6">
        <v>41976.684965277775</v>
      </c>
      <c r="Y192" t="s">
        <v>122</v>
      </c>
      <c r="AB192" t="s">
        <v>201</v>
      </c>
      <c r="AC192" t="s">
        <v>247</v>
      </c>
      <c r="AD192" t="s">
        <v>227</v>
      </c>
      <c r="AE192" t="s">
        <v>237</v>
      </c>
      <c r="AG192" t="s">
        <v>121</v>
      </c>
      <c r="AH192" t="s">
        <v>327</v>
      </c>
      <c r="AI192" t="s">
        <v>121</v>
      </c>
      <c r="AJ192" t="s">
        <v>717</v>
      </c>
      <c r="AK192" t="s">
        <v>121</v>
      </c>
    </row>
    <row r="193" spans="9:37" x14ac:dyDescent="0.3">
      <c r="I193">
        <f ca="1">IF(OR(INDIRECT(A73&amp;ROW())=B93,INDIRECT(A73&amp;ROW())=B94),1,IF(AND(INDIRECT(A73&amp;ROW())=B95,INDIRECT(A96&amp;ROW())=C93),1,IF(AND(INDIRECT(A73&amp;ROW())=B95,INDIRECT(A96&amp;ROW())=C94),1,0)))</f>
        <v>0</v>
      </c>
      <c r="J193">
        <f ca="1">IF(AND(INDIRECT(A73&amp;ROW())=B95,INDIRECT(A96&amp;ROW())=C95),1,IF(AND(INDIRECT(A73&amp;ROW())=B95,INDIRECT(A96&amp;ROW())=C96),1,0))</f>
        <v>0</v>
      </c>
      <c r="K193">
        <f ca="1">DAYS360(INDIRECT(C68&amp;ROW()),TODAY())</f>
        <v>721</v>
      </c>
      <c r="L193">
        <f ca="1">DAYS360(INDIRECT(C69&amp;ROW()),TODAY())</f>
        <v>869</v>
      </c>
      <c r="M193">
        <f ca="1">HYPERLINK(CONCATENATE("https://bugzilla.houston.hp.com:1181/bugzilla/show_bug.cgi?id=",INDIRECT(C70&amp;ROW())),INDIRECT(C70&amp;ROW()))</f>
        <v>54284</v>
      </c>
      <c r="N193">
        <v>54284</v>
      </c>
      <c r="O193" t="s">
        <v>36</v>
      </c>
      <c r="P193" t="s">
        <v>493</v>
      </c>
      <c r="Q193" t="s">
        <v>16</v>
      </c>
      <c r="R193" t="s">
        <v>248</v>
      </c>
      <c r="S193" t="s">
        <v>36</v>
      </c>
      <c r="U193" s="6">
        <v>42125.44866898148</v>
      </c>
      <c r="V193" t="s">
        <v>18</v>
      </c>
      <c r="W193" t="s">
        <v>339</v>
      </c>
      <c r="X193" s="6">
        <v>41976.687175925923</v>
      </c>
      <c r="Y193" t="s">
        <v>122</v>
      </c>
      <c r="AB193" t="s">
        <v>201</v>
      </c>
      <c r="AC193" t="s">
        <v>247</v>
      </c>
      <c r="AD193" t="s">
        <v>227</v>
      </c>
      <c r="AE193" t="s">
        <v>237</v>
      </c>
      <c r="AG193" t="s">
        <v>121</v>
      </c>
      <c r="AH193" t="s">
        <v>327</v>
      </c>
      <c r="AI193" t="s">
        <v>121</v>
      </c>
      <c r="AJ193" t="s">
        <v>716</v>
      </c>
      <c r="AK193" t="s">
        <v>121</v>
      </c>
    </row>
    <row r="194" spans="9:37" x14ac:dyDescent="0.3">
      <c r="I194">
        <f ca="1">IF(OR(INDIRECT(A73&amp;ROW())=B93,INDIRECT(A73&amp;ROW())=B94),1,IF(AND(INDIRECT(A73&amp;ROW())=B95,INDIRECT(A96&amp;ROW())=C93),1,IF(AND(INDIRECT(A73&amp;ROW())=B95,INDIRECT(A96&amp;ROW())=C94),1,0)))</f>
        <v>0</v>
      </c>
      <c r="J194">
        <f ca="1">IF(AND(INDIRECT(A73&amp;ROW())=B95,INDIRECT(A96&amp;ROW())=C95),1,IF(AND(INDIRECT(A73&amp;ROW())=B95,INDIRECT(A96&amp;ROW())=C96),1,0))</f>
        <v>0</v>
      </c>
      <c r="K194">
        <f ca="1">DAYS360(INDIRECT(C68&amp;ROW()),TODAY())</f>
        <v>721</v>
      </c>
      <c r="L194">
        <f ca="1">DAYS360(INDIRECT(C69&amp;ROW()),TODAY())</f>
        <v>869</v>
      </c>
      <c r="M194">
        <f ca="1">HYPERLINK(CONCATENATE("https://bugzilla.houston.hp.com:1181/bugzilla/show_bug.cgi?id=",INDIRECT(C70&amp;ROW())),INDIRECT(C70&amp;ROW()))</f>
        <v>54292</v>
      </c>
      <c r="N194">
        <v>54292</v>
      </c>
      <c r="O194" t="s">
        <v>65</v>
      </c>
      <c r="P194" t="s">
        <v>502</v>
      </c>
      <c r="Q194" t="s">
        <v>16</v>
      </c>
      <c r="R194" t="s">
        <v>251</v>
      </c>
      <c r="S194" t="s">
        <v>43</v>
      </c>
      <c r="U194" s="6">
        <v>42125.44871527778</v>
      </c>
      <c r="V194" t="s">
        <v>18</v>
      </c>
      <c r="W194" t="s">
        <v>17</v>
      </c>
      <c r="X194" s="6">
        <v>41976.750104166669</v>
      </c>
      <c r="Y194" t="s">
        <v>122</v>
      </c>
      <c r="AB194" t="s">
        <v>201</v>
      </c>
      <c r="AC194" t="s">
        <v>247</v>
      </c>
      <c r="AD194" t="s">
        <v>220</v>
      </c>
      <c r="AE194" t="s">
        <v>219</v>
      </c>
      <c r="AG194" t="s">
        <v>121</v>
      </c>
      <c r="AH194" t="s">
        <v>327</v>
      </c>
      <c r="AI194" t="s">
        <v>121</v>
      </c>
      <c r="AJ194" t="s">
        <v>717</v>
      </c>
      <c r="AK194" t="s">
        <v>121</v>
      </c>
    </row>
    <row r="195" spans="9:37" x14ac:dyDescent="0.3">
      <c r="I195">
        <f ca="1">IF(OR(INDIRECT(A73&amp;ROW())=B93,INDIRECT(A73&amp;ROW())=B94),1,IF(AND(INDIRECT(A73&amp;ROW())=B95,INDIRECT(A96&amp;ROW())=C93),1,IF(AND(INDIRECT(A73&amp;ROW())=B95,INDIRECT(A96&amp;ROW())=C94),1,0)))</f>
        <v>0</v>
      </c>
      <c r="J195">
        <f ca="1">IF(AND(INDIRECT(A73&amp;ROW())=B95,INDIRECT(A96&amp;ROW())=C95),1,IF(AND(INDIRECT(A73&amp;ROW())=B95,INDIRECT(A96&amp;ROW())=C96),1,0))</f>
        <v>1</v>
      </c>
      <c r="K195">
        <f ca="1">DAYS360(INDIRECT(C68&amp;ROW()),TODAY())</f>
        <v>721</v>
      </c>
      <c r="L195">
        <f ca="1">DAYS360(INDIRECT(C69&amp;ROW()),TODAY())</f>
        <v>867</v>
      </c>
      <c r="M195">
        <f ca="1">HYPERLINK(CONCATENATE("https://bugzilla.houston.hp.com:1181/bugzilla/show_bug.cgi?id=",INDIRECT(C70&amp;ROW())),INDIRECT(C70&amp;ROW()))</f>
        <v>54393</v>
      </c>
      <c r="N195">
        <v>54393</v>
      </c>
      <c r="O195" t="s">
        <v>22</v>
      </c>
      <c r="P195" t="s">
        <v>505</v>
      </c>
      <c r="Q195" t="s">
        <v>25</v>
      </c>
      <c r="R195" t="s">
        <v>251</v>
      </c>
      <c r="S195" t="s">
        <v>36</v>
      </c>
      <c r="U195" s="6">
        <v>42125.663171296299</v>
      </c>
      <c r="V195" t="s">
        <v>18</v>
      </c>
      <c r="W195" t="s">
        <v>17</v>
      </c>
      <c r="X195" s="6">
        <v>41978.416562500002</v>
      </c>
      <c r="Y195" t="s">
        <v>793</v>
      </c>
      <c r="AB195" t="s">
        <v>201</v>
      </c>
      <c r="AC195" t="s">
        <v>247</v>
      </c>
      <c r="AD195" t="s">
        <v>222</v>
      </c>
      <c r="AE195" t="s">
        <v>225</v>
      </c>
      <c r="AG195" t="s">
        <v>121</v>
      </c>
      <c r="AH195" t="s">
        <v>327</v>
      </c>
      <c r="AI195" t="s">
        <v>121</v>
      </c>
      <c r="AJ195" t="s">
        <v>716</v>
      </c>
      <c r="AK195" t="s">
        <v>121</v>
      </c>
    </row>
    <row r="196" spans="9:37" x14ac:dyDescent="0.3">
      <c r="I196">
        <f ca="1">IF(OR(INDIRECT(A73&amp;ROW())=B93,INDIRECT(A73&amp;ROW())=B94),1,IF(AND(INDIRECT(A73&amp;ROW())=B95,INDIRECT(A96&amp;ROW())=C93),1,IF(AND(INDIRECT(A73&amp;ROW())=B95,INDIRECT(A96&amp;ROW())=C94),1,0)))</f>
        <v>0</v>
      </c>
      <c r="J196">
        <f ca="1">IF(AND(INDIRECT(A73&amp;ROW())=B95,INDIRECT(A96&amp;ROW())=C95),1,IF(AND(INDIRECT(A73&amp;ROW())=B95,INDIRECT(A96&amp;ROW())=C96),1,0))</f>
        <v>1</v>
      </c>
      <c r="K196">
        <f ca="1">DAYS360(INDIRECT(C68&amp;ROW()),TODAY())</f>
        <v>721</v>
      </c>
      <c r="L196">
        <f ca="1">DAYS360(INDIRECT(C69&amp;ROW()),TODAY())</f>
        <v>867</v>
      </c>
      <c r="M196">
        <f ca="1">HYPERLINK(CONCATENATE("https://bugzilla.houston.hp.com:1181/bugzilla/show_bug.cgi?id=",INDIRECT(C70&amp;ROW())),INDIRECT(C70&amp;ROW()))</f>
        <v>54394</v>
      </c>
      <c r="N196">
        <v>54394</v>
      </c>
      <c r="O196" t="s">
        <v>22</v>
      </c>
      <c r="P196" t="s">
        <v>504</v>
      </c>
      <c r="Q196" t="s">
        <v>25</v>
      </c>
      <c r="R196" t="s">
        <v>248</v>
      </c>
      <c r="S196" t="s">
        <v>36</v>
      </c>
      <c r="U196" s="6">
        <v>42125.663148148145</v>
      </c>
      <c r="V196" t="s">
        <v>18</v>
      </c>
      <c r="W196" t="s">
        <v>341</v>
      </c>
      <c r="X196" s="6">
        <v>41978.42869212963</v>
      </c>
      <c r="Y196" t="s">
        <v>793</v>
      </c>
      <c r="AB196" t="s">
        <v>201</v>
      </c>
      <c r="AC196" t="s">
        <v>247</v>
      </c>
      <c r="AD196" t="s">
        <v>222</v>
      </c>
      <c r="AE196" t="s">
        <v>225</v>
      </c>
      <c r="AG196" t="s">
        <v>121</v>
      </c>
      <c r="AH196" t="s">
        <v>327</v>
      </c>
      <c r="AI196" t="s">
        <v>121</v>
      </c>
      <c r="AJ196" t="s">
        <v>716</v>
      </c>
      <c r="AK196" t="s">
        <v>121</v>
      </c>
    </row>
    <row r="197" spans="9:37" x14ac:dyDescent="0.3">
      <c r="I197">
        <f ca="1">IF(OR(INDIRECT(A73&amp;ROW())=B93,INDIRECT(A73&amp;ROW())=B94),1,IF(AND(INDIRECT(A73&amp;ROW())=B95,INDIRECT(A96&amp;ROW())=C93),1,IF(AND(INDIRECT(A73&amp;ROW())=B95,INDIRECT(A96&amp;ROW())=C94),1,0)))</f>
        <v>1</v>
      </c>
      <c r="J197">
        <f ca="1">IF(AND(INDIRECT(A73&amp;ROW())=B95,INDIRECT(A96&amp;ROW())=C95),1,IF(AND(INDIRECT(A73&amp;ROW())=B95,INDIRECT(A96&amp;ROW())=C96),1,0))</f>
        <v>0</v>
      </c>
      <c r="K197">
        <f ca="1">DAYS360(INDIRECT(C68&amp;ROW()),TODAY())</f>
        <v>729</v>
      </c>
      <c r="L197">
        <f ca="1">DAYS360(INDIRECT(C69&amp;ROW()),TODAY())</f>
        <v>860</v>
      </c>
      <c r="M197">
        <f ca="1">HYPERLINK(CONCATENATE("https://bugzilla.houston.hp.com:1181/bugzilla/show_bug.cgi?id=",INDIRECT(C70&amp;ROW())),INDIRECT(C70&amp;ROW()))</f>
        <v>54717</v>
      </c>
      <c r="N197">
        <v>54717</v>
      </c>
      <c r="O197" t="s">
        <v>36</v>
      </c>
      <c r="P197" t="s">
        <v>511</v>
      </c>
      <c r="Q197" t="s">
        <v>25</v>
      </c>
      <c r="R197" t="s">
        <v>248</v>
      </c>
      <c r="S197" t="s">
        <v>44</v>
      </c>
      <c r="U197" s="6">
        <v>42117.266597222224</v>
      </c>
      <c r="V197" t="s">
        <v>18</v>
      </c>
      <c r="W197" t="s">
        <v>508</v>
      </c>
      <c r="X197" s="6">
        <v>41985.331608796296</v>
      </c>
      <c r="Y197" t="s">
        <v>255</v>
      </c>
      <c r="AB197" t="s">
        <v>200</v>
      </c>
      <c r="AC197" t="s">
        <v>247</v>
      </c>
      <c r="AD197" t="s">
        <v>222</v>
      </c>
      <c r="AE197" t="s">
        <v>233</v>
      </c>
      <c r="AG197" t="s">
        <v>121</v>
      </c>
      <c r="AH197" t="s">
        <v>327</v>
      </c>
      <c r="AI197" t="s">
        <v>121</v>
      </c>
      <c r="AJ197" t="s">
        <v>715</v>
      </c>
      <c r="AK197" t="s">
        <v>121</v>
      </c>
    </row>
    <row r="198" spans="9:37" x14ac:dyDescent="0.3">
      <c r="I198">
        <f ca="1">IF(OR(INDIRECT(A73&amp;ROW())=B93,INDIRECT(A73&amp;ROW())=B94),1,IF(AND(INDIRECT(A73&amp;ROW())=B95,INDIRECT(A96&amp;ROW())=C93),1,IF(AND(INDIRECT(A73&amp;ROW())=B95,INDIRECT(A96&amp;ROW())=C94),1,0)))</f>
        <v>0</v>
      </c>
      <c r="J198">
        <f ca="1">IF(AND(INDIRECT(A73&amp;ROW())=B95,INDIRECT(A96&amp;ROW())=C95),1,IF(AND(INDIRECT(A73&amp;ROW())=B95,INDIRECT(A96&amp;ROW())=C96),1,0))</f>
        <v>0</v>
      </c>
      <c r="K198">
        <f ca="1">DAYS360(INDIRECT(C68&amp;ROW()),TODAY())</f>
        <v>734</v>
      </c>
      <c r="L198">
        <f ca="1">DAYS360(INDIRECT(C69&amp;ROW()),TODAY())</f>
        <v>860</v>
      </c>
      <c r="M198">
        <f ca="1">HYPERLINK(CONCATENATE("https://bugzilla.houston.hp.com:1181/bugzilla/show_bug.cgi?id=",INDIRECT(C70&amp;ROW())),INDIRECT(C70&amp;ROW()))</f>
        <v>54734</v>
      </c>
      <c r="N198">
        <v>54734</v>
      </c>
      <c r="O198" t="s">
        <v>66</v>
      </c>
      <c r="P198" t="s">
        <v>510</v>
      </c>
      <c r="Q198" t="s">
        <v>16</v>
      </c>
      <c r="R198" t="s">
        <v>251</v>
      </c>
      <c r="S198" t="s">
        <v>36</v>
      </c>
      <c r="T198" t="s">
        <v>794</v>
      </c>
      <c r="U198" s="6">
        <v>42112.773888888885</v>
      </c>
      <c r="V198" t="s">
        <v>18</v>
      </c>
      <c r="W198" t="s">
        <v>17</v>
      </c>
      <c r="X198" s="6">
        <v>41985.403136574074</v>
      </c>
      <c r="Y198" t="s">
        <v>122</v>
      </c>
      <c r="AB198" t="s">
        <v>201</v>
      </c>
      <c r="AC198" t="s">
        <v>247</v>
      </c>
      <c r="AD198" t="s">
        <v>220</v>
      </c>
      <c r="AE198" t="s">
        <v>223</v>
      </c>
      <c r="AG198" t="s">
        <v>121</v>
      </c>
      <c r="AH198" t="s">
        <v>327</v>
      </c>
      <c r="AI198" t="s">
        <v>121</v>
      </c>
      <c r="AJ198" t="s">
        <v>717</v>
      </c>
      <c r="AK198" t="s">
        <v>121</v>
      </c>
    </row>
    <row r="199" spans="9:37" x14ac:dyDescent="0.3">
      <c r="I199">
        <f ca="1">IF(OR(INDIRECT(A73&amp;ROW())=B93,INDIRECT(A73&amp;ROW())=B94),1,IF(AND(INDIRECT(A73&amp;ROW())=B95,INDIRECT(A96&amp;ROW())=C93),1,IF(AND(INDIRECT(A73&amp;ROW())=B95,INDIRECT(A96&amp;ROW())=C94),1,0)))</f>
        <v>0</v>
      </c>
      <c r="J199">
        <f ca="1">IF(AND(INDIRECT(A73&amp;ROW())=B95,INDIRECT(A96&amp;ROW())=C95),1,IF(AND(INDIRECT(A73&amp;ROW())=B95,INDIRECT(A96&amp;ROW())=C96),1,0))</f>
        <v>0</v>
      </c>
      <c r="K199">
        <f ca="1">DAYS360(INDIRECT(C68&amp;ROW()),TODAY())</f>
        <v>734</v>
      </c>
      <c r="L199">
        <f ca="1">DAYS360(INDIRECT(C69&amp;ROW()),TODAY())</f>
        <v>860</v>
      </c>
      <c r="M199">
        <f ca="1">HYPERLINK(CONCATENATE("https://bugzilla.houston.hp.com:1181/bugzilla/show_bug.cgi?id=",INDIRECT(C70&amp;ROW())),INDIRECT(C70&amp;ROW()))</f>
        <v>54736</v>
      </c>
      <c r="N199">
        <v>54736</v>
      </c>
      <c r="O199" t="s">
        <v>66</v>
      </c>
      <c r="P199" t="s">
        <v>509</v>
      </c>
      <c r="Q199" t="s">
        <v>16</v>
      </c>
      <c r="R199" t="s">
        <v>248</v>
      </c>
      <c r="S199" t="s">
        <v>36</v>
      </c>
      <c r="T199" t="s">
        <v>794</v>
      </c>
      <c r="U199" s="6">
        <v>42112.773912037039</v>
      </c>
      <c r="V199" t="s">
        <v>18</v>
      </c>
      <c r="W199" t="s">
        <v>17</v>
      </c>
      <c r="X199" s="6">
        <v>41985.403819444444</v>
      </c>
      <c r="Y199" t="s">
        <v>122</v>
      </c>
      <c r="AB199" t="s">
        <v>201</v>
      </c>
      <c r="AC199" t="s">
        <v>247</v>
      </c>
      <c r="AD199" t="s">
        <v>220</v>
      </c>
      <c r="AE199" t="s">
        <v>223</v>
      </c>
      <c r="AG199" t="s">
        <v>121</v>
      </c>
      <c r="AH199" t="s">
        <v>327</v>
      </c>
      <c r="AI199" t="s">
        <v>121</v>
      </c>
      <c r="AJ199" t="s">
        <v>716</v>
      </c>
      <c r="AK199" t="s">
        <v>121</v>
      </c>
    </row>
    <row r="200" spans="9:37" x14ac:dyDescent="0.3">
      <c r="I200">
        <f ca="1">IF(OR(INDIRECT(A73&amp;ROW())=B93,INDIRECT(A73&amp;ROW())=B94),1,IF(AND(INDIRECT(A73&amp;ROW())=B95,INDIRECT(A96&amp;ROW())=C93),1,IF(AND(INDIRECT(A73&amp;ROW())=B95,INDIRECT(A96&amp;ROW())=C94),1,0)))</f>
        <v>1</v>
      </c>
      <c r="J200">
        <f ca="1">IF(AND(INDIRECT(A73&amp;ROW())=B95,INDIRECT(A96&amp;ROW())=C95),1,IF(AND(INDIRECT(A73&amp;ROW())=B95,INDIRECT(A96&amp;ROW())=C96),1,0))</f>
        <v>0</v>
      </c>
      <c r="K200">
        <f ca="1">DAYS360(INDIRECT(C68&amp;ROW()),TODAY())</f>
        <v>721</v>
      </c>
      <c r="L200">
        <f ca="1">DAYS360(INDIRECT(C69&amp;ROW()),TODAY())</f>
        <v>857</v>
      </c>
      <c r="M200">
        <f ca="1">HYPERLINK(CONCATENATE("https://bugzilla.houston.hp.com:1181/bugzilla/show_bug.cgi?id=",INDIRECT(C70&amp;ROW())),INDIRECT(C70&amp;ROW()))</f>
        <v>54823</v>
      </c>
      <c r="N200">
        <v>54823</v>
      </c>
      <c r="O200" t="s">
        <v>45</v>
      </c>
      <c r="P200" t="s">
        <v>524</v>
      </c>
      <c r="Q200" t="s">
        <v>25</v>
      </c>
      <c r="R200" t="s">
        <v>251</v>
      </c>
      <c r="S200" t="s">
        <v>345</v>
      </c>
      <c r="U200" s="6">
        <v>42125.67114583333</v>
      </c>
      <c r="V200" t="s">
        <v>18</v>
      </c>
      <c r="W200" t="s">
        <v>17</v>
      </c>
      <c r="X200" s="6">
        <v>41988.671932870369</v>
      </c>
      <c r="Y200" t="s">
        <v>244</v>
      </c>
      <c r="AB200" t="s">
        <v>200</v>
      </c>
      <c r="AC200" t="s">
        <v>247</v>
      </c>
      <c r="AD200" t="s">
        <v>227</v>
      </c>
      <c r="AE200" t="s">
        <v>226</v>
      </c>
      <c r="AG200" t="s">
        <v>121</v>
      </c>
      <c r="AH200" t="s">
        <v>327</v>
      </c>
      <c r="AI200" t="s">
        <v>121</v>
      </c>
      <c r="AJ200" t="s">
        <v>715</v>
      </c>
      <c r="AK200" t="s">
        <v>121</v>
      </c>
    </row>
    <row r="201" spans="9:37" x14ac:dyDescent="0.3">
      <c r="I201">
        <f ca="1">IF(OR(INDIRECT(A73&amp;ROW())=B93,INDIRECT(A73&amp;ROW())=B94),1,IF(AND(INDIRECT(A73&amp;ROW())=B95,INDIRECT(A96&amp;ROW())=C93),1,IF(AND(INDIRECT(A73&amp;ROW())=B95,INDIRECT(A96&amp;ROW())=C94),1,0)))</f>
        <v>1</v>
      </c>
      <c r="J201">
        <f ca="1">IF(AND(INDIRECT(A73&amp;ROW())=B95,INDIRECT(A96&amp;ROW())=C95),1,IF(AND(INDIRECT(A73&amp;ROW())=B95,INDIRECT(A96&amp;ROW())=C96),1,0))</f>
        <v>0</v>
      </c>
      <c r="K201">
        <f ca="1">DAYS360(INDIRECT(C68&amp;ROW()),TODAY())</f>
        <v>769</v>
      </c>
      <c r="L201">
        <f ca="1">DAYS360(INDIRECT(C69&amp;ROW()),TODAY())</f>
        <v>856</v>
      </c>
      <c r="M201">
        <f ca="1">HYPERLINK(CONCATENATE("https://bugzilla.houston.hp.com:1181/bugzilla/show_bug.cgi?id=",INDIRECT(C70&amp;ROW())),INDIRECT(C70&amp;ROW()))</f>
        <v>54867</v>
      </c>
      <c r="N201">
        <v>54867</v>
      </c>
      <c r="O201" t="s">
        <v>740</v>
      </c>
      <c r="P201" t="s">
        <v>513</v>
      </c>
      <c r="Q201" t="s">
        <v>25</v>
      </c>
      <c r="R201" t="s">
        <v>289</v>
      </c>
      <c r="S201" t="s">
        <v>36</v>
      </c>
      <c r="U201" s="6">
        <v>42076.53800925926</v>
      </c>
      <c r="V201" t="s">
        <v>18</v>
      </c>
      <c r="W201" t="s">
        <v>17</v>
      </c>
      <c r="X201" s="6">
        <v>41989.384004629632</v>
      </c>
      <c r="Y201" t="s">
        <v>244</v>
      </c>
      <c r="AB201" t="s">
        <v>200</v>
      </c>
      <c r="AC201" t="s">
        <v>247</v>
      </c>
      <c r="AD201" t="s">
        <v>227</v>
      </c>
      <c r="AE201" t="s">
        <v>230</v>
      </c>
      <c r="AG201" t="s">
        <v>121</v>
      </c>
      <c r="AH201" t="s">
        <v>327</v>
      </c>
      <c r="AI201" t="s">
        <v>362</v>
      </c>
      <c r="AJ201" t="s">
        <v>715</v>
      </c>
      <c r="AK201" t="s">
        <v>121</v>
      </c>
    </row>
    <row r="202" spans="9:37" x14ac:dyDescent="0.3">
      <c r="I202">
        <f ca="1">IF(OR(INDIRECT(A73&amp;ROW())=B93,INDIRECT(A73&amp;ROW())=B94),1,IF(AND(INDIRECT(A73&amp;ROW())=B95,INDIRECT(A96&amp;ROW())=C93),1,IF(AND(INDIRECT(A73&amp;ROW())=B95,INDIRECT(A96&amp;ROW())=C94),1,0)))</f>
        <v>1</v>
      </c>
      <c r="J202">
        <f ca="1">IF(AND(INDIRECT(A73&amp;ROW())=B95,INDIRECT(A96&amp;ROW())=C95),1,IF(AND(INDIRECT(A73&amp;ROW())=B95,INDIRECT(A96&amp;ROW())=C96),1,0))</f>
        <v>0</v>
      </c>
      <c r="K202">
        <f ca="1">DAYS360(INDIRECT(C68&amp;ROW()),TODAY())</f>
        <v>721</v>
      </c>
      <c r="L202">
        <f ca="1">DAYS360(INDIRECT(C69&amp;ROW()),TODAY())</f>
        <v>856</v>
      </c>
      <c r="M202">
        <f ca="1">HYPERLINK(CONCATENATE("https://bugzilla.houston.hp.com:1181/bugzilla/show_bug.cgi?id=",INDIRECT(C70&amp;ROW())),INDIRECT(C70&amp;ROW()))</f>
        <v>54868</v>
      </c>
      <c r="N202">
        <v>54868</v>
      </c>
      <c r="O202" t="s">
        <v>45</v>
      </c>
      <c r="P202" t="s">
        <v>522</v>
      </c>
      <c r="Q202" t="s">
        <v>25</v>
      </c>
      <c r="R202" t="s">
        <v>248</v>
      </c>
      <c r="S202" t="s">
        <v>36</v>
      </c>
      <c r="U202" s="6">
        <v>42125.671122685184</v>
      </c>
      <c r="V202" t="s">
        <v>18</v>
      </c>
      <c r="W202" t="s">
        <v>17</v>
      </c>
      <c r="X202" s="6">
        <v>41989.384074074071</v>
      </c>
      <c r="Y202" t="s">
        <v>244</v>
      </c>
      <c r="AB202" t="s">
        <v>200</v>
      </c>
      <c r="AC202" t="s">
        <v>247</v>
      </c>
      <c r="AD202" t="s">
        <v>227</v>
      </c>
      <c r="AE202" t="s">
        <v>226</v>
      </c>
      <c r="AG202" t="s">
        <v>121</v>
      </c>
      <c r="AH202" t="s">
        <v>327</v>
      </c>
      <c r="AI202" t="s">
        <v>121</v>
      </c>
      <c r="AJ202" t="s">
        <v>715</v>
      </c>
      <c r="AK202" t="s">
        <v>121</v>
      </c>
    </row>
    <row r="203" spans="9:37" x14ac:dyDescent="0.3">
      <c r="I203">
        <f ca="1">IF(OR(INDIRECT(A73&amp;ROW())=B93,INDIRECT(A73&amp;ROW())=B94),1,IF(AND(INDIRECT(A73&amp;ROW())=B95,INDIRECT(A96&amp;ROW())=C93),1,IF(AND(INDIRECT(A73&amp;ROW())=B95,INDIRECT(A96&amp;ROW())=C94),1,0)))</f>
        <v>0</v>
      </c>
      <c r="J203">
        <f ca="1">IF(AND(INDIRECT(A73&amp;ROW())=B95,INDIRECT(A96&amp;ROW())=C95),1,IF(AND(INDIRECT(A73&amp;ROW())=B95,INDIRECT(A96&amp;ROW())=C96),1,0))</f>
        <v>0</v>
      </c>
      <c r="K203">
        <f ca="1">DAYS360(INDIRECT(C68&amp;ROW()),TODAY())</f>
        <v>718</v>
      </c>
      <c r="L203">
        <f ca="1">DAYS360(INDIRECT(C69&amp;ROW()),TODAY())</f>
        <v>856</v>
      </c>
      <c r="M203">
        <f ca="1">HYPERLINK(CONCATENATE("https://bugzilla.houston.hp.com:1181/bugzilla/show_bug.cgi?id=",INDIRECT(C70&amp;ROW())),INDIRECT(C70&amp;ROW()))</f>
        <v>54893</v>
      </c>
      <c r="N203">
        <v>54893</v>
      </c>
      <c r="O203" t="s">
        <v>21</v>
      </c>
      <c r="P203" t="s">
        <v>521</v>
      </c>
      <c r="Q203" t="s">
        <v>16</v>
      </c>
      <c r="R203" t="s">
        <v>251</v>
      </c>
      <c r="S203" t="s">
        <v>31</v>
      </c>
      <c r="U203" s="6">
        <v>42128.473263888889</v>
      </c>
      <c r="V203" t="s">
        <v>18</v>
      </c>
      <c r="W203" t="s">
        <v>17</v>
      </c>
      <c r="X203" s="6">
        <v>41989.673946759256</v>
      </c>
      <c r="Y203" t="s">
        <v>255</v>
      </c>
      <c r="AB203" t="s">
        <v>200</v>
      </c>
      <c r="AC203" t="s">
        <v>247</v>
      </c>
      <c r="AD203" t="s">
        <v>222</v>
      </c>
      <c r="AE203" t="s">
        <v>240</v>
      </c>
      <c r="AG203" t="s">
        <v>121</v>
      </c>
      <c r="AH203" t="s">
        <v>327</v>
      </c>
      <c r="AI203" t="s">
        <v>121</v>
      </c>
      <c r="AJ203" t="s">
        <v>716</v>
      </c>
      <c r="AK203" t="s">
        <v>121</v>
      </c>
    </row>
    <row r="204" spans="9:37" x14ac:dyDescent="0.3">
      <c r="I204">
        <f ca="1">IF(OR(INDIRECT(A73&amp;ROW())=B93,INDIRECT(A73&amp;ROW())=B94),1,IF(AND(INDIRECT(A73&amp;ROW())=B95,INDIRECT(A96&amp;ROW())=C93),1,IF(AND(INDIRECT(A73&amp;ROW())=B95,INDIRECT(A96&amp;ROW())=C94),1,0)))</f>
        <v>1</v>
      </c>
      <c r="J204">
        <f ca="1">IF(AND(INDIRECT(A73&amp;ROW())=B95,INDIRECT(A96&amp;ROW())=C95),1,IF(AND(INDIRECT(A73&amp;ROW())=B95,INDIRECT(A96&amp;ROW())=C96),1,0))</f>
        <v>0</v>
      </c>
      <c r="K204">
        <f ca="1">DAYS360(INDIRECT(C68&amp;ROW()),TODAY())</f>
        <v>710</v>
      </c>
      <c r="L204">
        <f ca="1">DAYS360(INDIRECT(C69&amp;ROW()),TODAY())</f>
        <v>855</v>
      </c>
      <c r="M204">
        <f ca="1">HYPERLINK(CONCATENATE("https://bugzilla.houston.hp.com:1181/bugzilla/show_bug.cgi?id=",INDIRECT(C70&amp;ROW())),INDIRECT(C70&amp;ROW()))</f>
        <v>54914</v>
      </c>
      <c r="N204">
        <v>54914</v>
      </c>
      <c r="O204" t="s">
        <v>156</v>
      </c>
      <c r="P204" t="s">
        <v>520</v>
      </c>
      <c r="Q204" t="s">
        <v>25</v>
      </c>
      <c r="R204" t="s">
        <v>251</v>
      </c>
      <c r="S204" t="s">
        <v>296</v>
      </c>
      <c r="U204" s="6">
        <v>42136.018703703703</v>
      </c>
      <c r="V204" t="s">
        <v>35</v>
      </c>
      <c r="W204" t="s">
        <v>17</v>
      </c>
      <c r="X204" s="6">
        <v>41990.217222222222</v>
      </c>
      <c r="Y204" t="s">
        <v>342</v>
      </c>
      <c r="AB204" t="s">
        <v>200</v>
      </c>
      <c r="AC204" t="s">
        <v>247</v>
      </c>
      <c r="AD204" t="s">
        <v>220</v>
      </c>
      <c r="AE204" t="s">
        <v>219</v>
      </c>
      <c r="AG204" t="s">
        <v>121</v>
      </c>
      <c r="AH204" t="s">
        <v>327</v>
      </c>
      <c r="AI204" t="s">
        <v>121</v>
      </c>
      <c r="AJ204" t="s">
        <v>715</v>
      </c>
      <c r="AK204" t="s">
        <v>121</v>
      </c>
    </row>
    <row r="205" spans="9:37" x14ac:dyDescent="0.3">
      <c r="I205">
        <f ca="1">IF(OR(INDIRECT(A73&amp;ROW())=B93,INDIRECT(A73&amp;ROW())=B94),1,IF(AND(INDIRECT(A73&amp;ROW())=B95,INDIRECT(A96&amp;ROW())=C93),1,IF(AND(INDIRECT(A73&amp;ROW())=B95,INDIRECT(A96&amp;ROW())=C94),1,0)))</f>
        <v>0</v>
      </c>
      <c r="J205">
        <f ca="1">IF(AND(INDIRECT(A73&amp;ROW())=B95,INDIRECT(A96&amp;ROW())=C95),1,IF(AND(INDIRECT(A73&amp;ROW())=B95,INDIRECT(A96&amp;ROW())=C96),1,0))</f>
        <v>1</v>
      </c>
      <c r="K205">
        <f ca="1">DAYS360(INDIRECT(C68&amp;ROW()),TODAY())</f>
        <v>771</v>
      </c>
      <c r="L205">
        <f ca="1">DAYS360(INDIRECT(C69&amp;ROW()),TODAY())</f>
        <v>854</v>
      </c>
      <c r="M205">
        <f ca="1">HYPERLINK(CONCATENATE("https://bugzilla.houston.hp.com:1181/bugzilla/show_bug.cgi?id=",INDIRECT(C70&amp;ROW())),INDIRECT(C70&amp;ROW()))</f>
        <v>54986</v>
      </c>
      <c r="N205">
        <v>54986</v>
      </c>
      <c r="O205" t="s">
        <v>94</v>
      </c>
      <c r="P205" t="s">
        <v>519</v>
      </c>
      <c r="Q205" t="s">
        <v>25</v>
      </c>
      <c r="R205" t="s">
        <v>251</v>
      </c>
      <c r="S205" t="s">
        <v>94</v>
      </c>
      <c r="U205" s="6">
        <v>42074.558310185188</v>
      </c>
      <c r="V205" t="s">
        <v>35</v>
      </c>
      <c r="W205" t="s">
        <v>17</v>
      </c>
      <c r="X205" s="6">
        <v>41991.504074074073</v>
      </c>
      <c r="Y205" t="s">
        <v>118</v>
      </c>
      <c r="AB205" t="s">
        <v>201</v>
      </c>
      <c r="AC205" t="s">
        <v>247</v>
      </c>
      <c r="AD205" t="s">
        <v>227</v>
      </c>
      <c r="AE205" t="s">
        <v>226</v>
      </c>
      <c r="AG205" t="s">
        <v>121</v>
      </c>
      <c r="AH205" t="s">
        <v>327</v>
      </c>
      <c r="AI205" t="s">
        <v>121</v>
      </c>
      <c r="AJ205" t="s">
        <v>716</v>
      </c>
      <c r="AK205" t="s">
        <v>121</v>
      </c>
    </row>
    <row r="206" spans="9:37" x14ac:dyDescent="0.3">
      <c r="I206">
        <f ca="1">IF(OR(INDIRECT(A73&amp;ROW())=B93,INDIRECT(A73&amp;ROW())=B94),1,IF(AND(INDIRECT(A73&amp;ROW())=B95,INDIRECT(A96&amp;ROW())=C93),1,IF(AND(INDIRECT(A73&amp;ROW())=B95,INDIRECT(A96&amp;ROW())=C94),1,0)))</f>
        <v>0</v>
      </c>
      <c r="J206">
        <f ca="1">IF(AND(INDIRECT(A73&amp;ROW())=B95,INDIRECT(A96&amp;ROW())=C95),1,IF(AND(INDIRECT(A73&amp;ROW())=B95,INDIRECT(A96&amp;ROW())=C96),1,0))</f>
        <v>1</v>
      </c>
      <c r="K206">
        <f ca="1">DAYS360(INDIRECT(C68&amp;ROW()),TODAY())</f>
        <v>769</v>
      </c>
      <c r="L206">
        <f ca="1">DAYS360(INDIRECT(C69&amp;ROW()),TODAY())</f>
        <v>854</v>
      </c>
      <c r="M206">
        <f ca="1">HYPERLINK(CONCATENATE("https://bugzilla.houston.hp.com:1181/bugzilla/show_bug.cgi?id=",INDIRECT(C70&amp;ROW())),INDIRECT(C70&amp;ROW()))</f>
        <v>54988</v>
      </c>
      <c r="N206">
        <v>54988</v>
      </c>
      <c r="O206" t="s">
        <v>94</v>
      </c>
      <c r="P206" t="s">
        <v>518</v>
      </c>
      <c r="Q206" t="s">
        <v>25</v>
      </c>
      <c r="R206" t="s">
        <v>248</v>
      </c>
      <c r="S206" t="s">
        <v>44</v>
      </c>
      <c r="U206" s="6">
        <v>42076.528506944444</v>
      </c>
      <c r="V206" t="s">
        <v>18</v>
      </c>
      <c r="W206" t="s">
        <v>17</v>
      </c>
      <c r="X206" s="6">
        <v>41991.541261574072</v>
      </c>
      <c r="Y206" t="s">
        <v>118</v>
      </c>
      <c r="AB206" t="s">
        <v>201</v>
      </c>
      <c r="AC206" t="s">
        <v>247</v>
      </c>
      <c r="AD206" t="s">
        <v>227</v>
      </c>
      <c r="AE206" t="s">
        <v>226</v>
      </c>
      <c r="AG206" t="s">
        <v>121</v>
      </c>
      <c r="AH206" t="s">
        <v>327</v>
      </c>
      <c r="AI206" t="s">
        <v>121</v>
      </c>
      <c r="AJ206" t="s">
        <v>716</v>
      </c>
      <c r="AK206" t="s">
        <v>121</v>
      </c>
    </row>
    <row r="207" spans="9:37" x14ac:dyDescent="0.3">
      <c r="I207">
        <f ca="1">IF(OR(INDIRECT(A73&amp;ROW())=B93,INDIRECT(A73&amp;ROW())=B94),1,IF(AND(INDIRECT(A73&amp;ROW())=B95,INDIRECT(A96&amp;ROW())=C93),1,IF(AND(INDIRECT(A73&amp;ROW())=B95,INDIRECT(A96&amp;ROW())=C94),1,0)))</f>
        <v>0</v>
      </c>
      <c r="J207">
        <f ca="1">IF(AND(INDIRECT(A73&amp;ROW())=B95,INDIRECT(A96&amp;ROW())=C95),1,IF(AND(INDIRECT(A73&amp;ROW())=B95,INDIRECT(A96&amp;ROW())=C96),1,0))</f>
        <v>0</v>
      </c>
      <c r="K207">
        <f ca="1">DAYS360(INDIRECT(C68&amp;ROW()),TODAY())</f>
        <v>691</v>
      </c>
      <c r="L207">
        <f ca="1">DAYS360(INDIRECT(C69&amp;ROW()),TODAY())</f>
        <v>854</v>
      </c>
      <c r="M207">
        <f ca="1">HYPERLINK(CONCATENATE("https://bugzilla.houston.hp.com:1181/bugzilla/show_bug.cgi?id=",INDIRECT(C70&amp;ROW())),INDIRECT(C70&amp;ROW()))</f>
        <v>54992</v>
      </c>
      <c r="N207">
        <v>54992</v>
      </c>
      <c r="O207" t="s">
        <v>250</v>
      </c>
      <c r="P207" t="s">
        <v>517</v>
      </c>
      <c r="Q207" t="s">
        <v>16</v>
      </c>
      <c r="R207" t="s">
        <v>251</v>
      </c>
      <c r="S207" t="s">
        <v>24</v>
      </c>
      <c r="U207" s="6">
        <v>42156.491030092591</v>
      </c>
      <c r="V207" t="s">
        <v>18</v>
      </c>
      <c r="W207" t="s">
        <v>17</v>
      </c>
      <c r="X207" s="6">
        <v>41991.587407407409</v>
      </c>
      <c r="Y207" t="s">
        <v>255</v>
      </c>
      <c r="AB207" t="s">
        <v>200</v>
      </c>
      <c r="AC207" t="s">
        <v>247</v>
      </c>
      <c r="AD207" t="s">
        <v>222</v>
      </c>
      <c r="AE207" t="s">
        <v>221</v>
      </c>
      <c r="AG207" t="s">
        <v>121</v>
      </c>
      <c r="AH207" t="s">
        <v>327</v>
      </c>
      <c r="AI207" t="s">
        <v>121</v>
      </c>
      <c r="AJ207" t="s">
        <v>716</v>
      </c>
      <c r="AK207" t="s">
        <v>121</v>
      </c>
    </row>
    <row r="208" spans="9:37" x14ac:dyDescent="0.3">
      <c r="I208">
        <f ca="1">IF(OR(INDIRECT(A73&amp;ROW())=B93,INDIRECT(A73&amp;ROW())=B94),1,IF(AND(INDIRECT(A73&amp;ROW())=B95,INDIRECT(A96&amp;ROW())=C93),1,IF(AND(INDIRECT(A73&amp;ROW())=B95,INDIRECT(A96&amp;ROW())=C94),1,0)))</f>
        <v>1</v>
      </c>
      <c r="J208">
        <f ca="1">IF(AND(INDIRECT(A73&amp;ROW())=B95,INDIRECT(A96&amp;ROW())=C95),1,IF(AND(INDIRECT(A73&amp;ROW())=B95,INDIRECT(A96&amp;ROW())=C96),1,0))</f>
        <v>0</v>
      </c>
      <c r="K208">
        <f ca="1">DAYS360(INDIRECT(C68&amp;ROW()),TODAY())</f>
        <v>701</v>
      </c>
      <c r="L208">
        <f ca="1">DAYS360(INDIRECT(C69&amp;ROW()),TODAY())</f>
        <v>853</v>
      </c>
      <c r="M208">
        <f ca="1">HYPERLINK(CONCATENATE("https://bugzilla.houston.hp.com:1181/bugzilla/show_bug.cgi?id=",INDIRECT(C70&amp;ROW())),INDIRECT(C70&amp;ROW()))</f>
        <v>55017</v>
      </c>
      <c r="N208">
        <v>55017</v>
      </c>
      <c r="O208" t="s">
        <v>55</v>
      </c>
      <c r="P208" t="s">
        <v>539</v>
      </c>
      <c r="Q208" t="s">
        <v>25</v>
      </c>
      <c r="R208" t="s">
        <v>251</v>
      </c>
      <c r="S208" t="s">
        <v>516</v>
      </c>
      <c r="U208" s="6">
        <v>42145.412430555552</v>
      </c>
      <c r="V208" t="s">
        <v>40</v>
      </c>
      <c r="W208" t="s">
        <v>17</v>
      </c>
      <c r="X208" s="6">
        <v>41992.048368055555</v>
      </c>
      <c r="Y208" t="s">
        <v>342</v>
      </c>
      <c r="Z208" t="s">
        <v>810</v>
      </c>
      <c r="AB208" t="s">
        <v>200</v>
      </c>
      <c r="AC208" t="s">
        <v>247</v>
      </c>
      <c r="AD208" t="s">
        <v>220</v>
      </c>
      <c r="AE208" t="s">
        <v>219</v>
      </c>
      <c r="AG208" t="s">
        <v>121</v>
      </c>
      <c r="AH208" t="s">
        <v>327</v>
      </c>
      <c r="AI208" t="s">
        <v>121</v>
      </c>
      <c r="AJ208" t="s">
        <v>715</v>
      </c>
      <c r="AK208" t="s">
        <v>121</v>
      </c>
    </row>
    <row r="209" spans="1:37" x14ac:dyDescent="0.3">
      <c r="I209">
        <f ca="1">IF(OR(INDIRECT(A73&amp;ROW())=B93,INDIRECT(A73&amp;ROW())=B94),1,IF(AND(INDIRECT(A73&amp;ROW())=B95,INDIRECT(A96&amp;ROW())=C93),1,IF(AND(INDIRECT(A73&amp;ROW())=B95,INDIRECT(A96&amp;ROW())=C94),1,0)))</f>
        <v>1</v>
      </c>
      <c r="J209">
        <f ca="1">IF(AND(INDIRECT(A73&amp;ROW())=B95,INDIRECT(A96&amp;ROW())=C95),1,IF(AND(INDIRECT(A73&amp;ROW())=B95,INDIRECT(A96&amp;ROW())=C96),1,0))</f>
        <v>0</v>
      </c>
      <c r="K209">
        <f ca="1">DAYS360(INDIRECT(C68&amp;ROW()),TODAY())</f>
        <v>769</v>
      </c>
      <c r="L209">
        <f ca="1">DAYS360(INDIRECT(C69&amp;ROW()),TODAY())</f>
        <v>853</v>
      </c>
      <c r="M209">
        <f ca="1">HYPERLINK(CONCATENATE("https://bugzilla.houston.hp.com:1181/bugzilla/show_bug.cgi?id=",INDIRECT(C70&amp;ROW())),INDIRECT(C70&amp;ROW()))</f>
        <v>55057</v>
      </c>
      <c r="N209">
        <v>55057</v>
      </c>
      <c r="O209" t="s">
        <v>94</v>
      </c>
      <c r="P209" t="s">
        <v>515</v>
      </c>
      <c r="Q209" t="s">
        <v>25</v>
      </c>
      <c r="R209" t="s">
        <v>248</v>
      </c>
      <c r="S209" t="s">
        <v>36</v>
      </c>
      <c r="U209" s="6">
        <v>42076.539953703701</v>
      </c>
      <c r="V209" t="s">
        <v>18</v>
      </c>
      <c r="W209" t="s">
        <v>248</v>
      </c>
      <c r="X209" s="6">
        <v>41992.583391203705</v>
      </c>
      <c r="Y209" t="s">
        <v>119</v>
      </c>
      <c r="AB209" t="s">
        <v>200</v>
      </c>
      <c r="AC209" t="s">
        <v>247</v>
      </c>
      <c r="AD209" t="s">
        <v>227</v>
      </c>
      <c r="AE209" t="s">
        <v>226</v>
      </c>
      <c r="AG209" t="s">
        <v>121</v>
      </c>
      <c r="AH209" t="s">
        <v>327</v>
      </c>
      <c r="AI209" t="s">
        <v>121</v>
      </c>
      <c r="AJ209" t="s">
        <v>715</v>
      </c>
      <c r="AK209" t="s">
        <v>121</v>
      </c>
    </row>
    <row r="210" spans="1:37" x14ac:dyDescent="0.3">
      <c r="I210">
        <f ca="1">IF(OR(INDIRECT(A73&amp;ROW())=B93,INDIRECT(A73&amp;ROW())=B94),1,IF(AND(INDIRECT(A73&amp;ROW())=B95,INDIRECT(A96&amp;ROW())=C93),1,IF(AND(INDIRECT(A73&amp;ROW())=B95,INDIRECT(A96&amp;ROW())=C94),1,0)))</f>
        <v>0</v>
      </c>
      <c r="J210">
        <f ca="1">IF(AND(INDIRECT(A73&amp;ROW())=B95,INDIRECT(A96&amp;ROW())=C95),1,IF(AND(INDIRECT(A73&amp;ROW())=B95,INDIRECT(A96&amp;ROW())=C96),1,0))</f>
        <v>1</v>
      </c>
      <c r="K210">
        <f ca="1">DAYS360(INDIRECT(C68&amp;ROW()),TODAY())</f>
        <v>730</v>
      </c>
      <c r="L210">
        <f ca="1">DAYS360(INDIRECT(C69&amp;ROW()),TODAY())</f>
        <v>850</v>
      </c>
      <c r="M210">
        <f ca="1">HYPERLINK(CONCATENATE("https://bugzilla.houston.hp.com:1181/bugzilla/show_bug.cgi?id=",INDIRECT(C70&amp;ROW())),INDIRECT(C70&amp;ROW()))</f>
        <v>55094</v>
      </c>
      <c r="N210">
        <v>55094</v>
      </c>
      <c r="O210" t="s">
        <v>545</v>
      </c>
      <c r="P210" t="s">
        <v>530</v>
      </c>
      <c r="Q210" t="s">
        <v>25</v>
      </c>
      <c r="R210" t="s">
        <v>251</v>
      </c>
      <c r="S210" t="s">
        <v>316</v>
      </c>
      <c r="U210" s="6">
        <v>42116.73296296296</v>
      </c>
      <c r="V210" t="s">
        <v>40</v>
      </c>
      <c r="W210" t="s">
        <v>17</v>
      </c>
      <c r="X210" s="6">
        <v>41995.420844907407</v>
      </c>
      <c r="Y210" t="s">
        <v>255</v>
      </c>
      <c r="AB210" t="s">
        <v>201</v>
      </c>
      <c r="AC210" t="s">
        <v>247</v>
      </c>
      <c r="AD210" t="s">
        <v>222</v>
      </c>
      <c r="AE210" t="s">
        <v>221</v>
      </c>
      <c r="AG210" t="s">
        <v>121</v>
      </c>
      <c r="AH210" t="s">
        <v>327</v>
      </c>
      <c r="AI210" t="s">
        <v>121</v>
      </c>
      <c r="AJ210" t="s">
        <v>716</v>
      </c>
      <c r="AK210" t="s">
        <v>121</v>
      </c>
    </row>
    <row r="211" spans="1:37" x14ac:dyDescent="0.3">
      <c r="I211">
        <f ca="1">IF(OR(INDIRECT(A73&amp;ROW())=B93,INDIRECT(A73&amp;ROW())=B94),1,IF(AND(INDIRECT(A73&amp;ROW())=B95,INDIRECT(A96&amp;ROW())=C93),1,IF(AND(INDIRECT(A73&amp;ROW())=B95,INDIRECT(A96&amp;ROW())=C94),1,0)))</f>
        <v>0</v>
      </c>
      <c r="J211">
        <f ca="1">IF(AND(INDIRECT(A73&amp;ROW())=B95,INDIRECT(A96&amp;ROW())=C95),1,IF(AND(INDIRECT(A73&amp;ROW())=B95,INDIRECT(A96&amp;ROW())=C96),1,0))</f>
        <v>0</v>
      </c>
      <c r="K211">
        <f ca="1">DAYS360(INDIRECT(C68&amp;ROW()),TODAY())</f>
        <v>721</v>
      </c>
      <c r="L211">
        <f ca="1">DAYS360(INDIRECT(C69&amp;ROW()),TODAY())</f>
        <v>849</v>
      </c>
      <c r="M211">
        <f ca="1">HYPERLINK(CONCATENATE("https://bugzilla.houston.hp.com:1181/bugzilla/show_bug.cgi?id=",INDIRECT(C70&amp;ROW())),INDIRECT(C70&amp;ROW()))</f>
        <v>55128</v>
      </c>
      <c r="N211">
        <v>55128</v>
      </c>
      <c r="O211" t="s">
        <v>45</v>
      </c>
      <c r="P211" t="s">
        <v>529</v>
      </c>
      <c r="Q211" t="s">
        <v>16</v>
      </c>
      <c r="R211" t="s">
        <v>251</v>
      </c>
      <c r="S211" t="s">
        <v>45</v>
      </c>
      <c r="U211" s="6">
        <v>42125.44976851852</v>
      </c>
      <c r="V211" t="s">
        <v>18</v>
      </c>
      <c r="W211" t="s">
        <v>17</v>
      </c>
      <c r="X211" s="6">
        <v>41996.529907407406</v>
      </c>
      <c r="Y211" t="s">
        <v>122</v>
      </c>
      <c r="AB211" t="s">
        <v>200</v>
      </c>
      <c r="AC211" t="s">
        <v>247</v>
      </c>
      <c r="AD211" t="s">
        <v>227</v>
      </c>
      <c r="AE211" t="s">
        <v>226</v>
      </c>
      <c r="AG211" t="s">
        <v>121</v>
      </c>
      <c r="AH211" t="s">
        <v>327</v>
      </c>
      <c r="AI211" t="s">
        <v>121</v>
      </c>
      <c r="AJ211" t="s">
        <v>717</v>
      </c>
      <c r="AK211" t="s">
        <v>121</v>
      </c>
    </row>
    <row r="212" spans="1:37" x14ac:dyDescent="0.3">
      <c r="I212">
        <f ca="1">IF(OR(INDIRECT(A73&amp;ROW())=B93,INDIRECT(A73&amp;ROW())=B94),1,IF(AND(INDIRECT(A73&amp;ROW())=B95,INDIRECT(A96&amp;ROW())=C93),1,IF(AND(INDIRECT(A73&amp;ROW())=B95,INDIRECT(A96&amp;ROW())=C94),1,0)))</f>
        <v>0</v>
      </c>
      <c r="J212">
        <f ca="1">IF(AND(INDIRECT(A73&amp;ROW())=B95,INDIRECT(A96&amp;ROW())=C95),1,IF(AND(INDIRECT(A73&amp;ROW())=B95,INDIRECT(A96&amp;ROW())=C96),1,0))</f>
        <v>0</v>
      </c>
      <c r="K212">
        <f ca="1">DAYS360(INDIRECT(C68&amp;ROW()),TODAY())</f>
        <v>721</v>
      </c>
      <c r="L212">
        <f ca="1">DAYS360(INDIRECT(C69&amp;ROW()),TODAY())</f>
        <v>849</v>
      </c>
      <c r="M212">
        <f ca="1">HYPERLINK(CONCATENATE("https://bugzilla.houston.hp.com:1181/bugzilla/show_bug.cgi?id=",INDIRECT(C70&amp;ROW())),INDIRECT(C70&amp;ROW()))</f>
        <v>55129</v>
      </c>
      <c r="N212">
        <v>55129</v>
      </c>
      <c r="O212" t="s">
        <v>326</v>
      </c>
      <c r="P212" t="s">
        <v>534</v>
      </c>
      <c r="Q212" t="s">
        <v>16</v>
      </c>
      <c r="R212" t="s">
        <v>17</v>
      </c>
      <c r="S212" t="s">
        <v>45</v>
      </c>
      <c r="U212" s="6">
        <v>42125.449791666666</v>
      </c>
      <c r="V212" t="s">
        <v>18</v>
      </c>
      <c r="W212" t="s">
        <v>17</v>
      </c>
      <c r="X212" s="6">
        <v>41996.532210648147</v>
      </c>
      <c r="Y212" t="s">
        <v>122</v>
      </c>
      <c r="AB212" t="s">
        <v>200</v>
      </c>
      <c r="AC212" t="s">
        <v>247</v>
      </c>
      <c r="AD212" t="s">
        <v>227</v>
      </c>
      <c r="AE212" t="s">
        <v>230</v>
      </c>
      <c r="AG212" t="s">
        <v>121</v>
      </c>
      <c r="AH212" t="s">
        <v>327</v>
      </c>
      <c r="AI212" t="s">
        <v>362</v>
      </c>
      <c r="AJ212" t="s">
        <v>717</v>
      </c>
      <c r="AK212" t="s">
        <v>121</v>
      </c>
    </row>
    <row r="213" spans="1:37" x14ac:dyDescent="0.3">
      <c r="I213">
        <f ca="1">IF(OR(INDIRECT(A73&amp;ROW())=B93,INDIRECT(A73&amp;ROW())=B94),1,IF(AND(INDIRECT(A73&amp;ROW())=B95,INDIRECT(A96&amp;ROW())=C93),1,IF(AND(INDIRECT(A73&amp;ROW())=B95,INDIRECT(A96&amp;ROW())=C94),1,0)))</f>
        <v>0</v>
      </c>
      <c r="J213">
        <f ca="1">IF(AND(INDIRECT(A73&amp;ROW())=B95,INDIRECT(A96&amp;ROW())=C95),1,IF(AND(INDIRECT(A73&amp;ROW())=B95,INDIRECT(A96&amp;ROW())=C96),1,0))</f>
        <v>0</v>
      </c>
      <c r="K213">
        <f ca="1">DAYS360(INDIRECT(C68&amp;ROW()),TODAY())</f>
        <v>721</v>
      </c>
      <c r="L213">
        <f ca="1">DAYS360(INDIRECT(C69&amp;ROW()),TODAY())</f>
        <v>849</v>
      </c>
      <c r="M213">
        <f ca="1">HYPERLINK(CONCATENATE("https://bugzilla.houston.hp.com:1181/bugzilla/show_bug.cgi?id=",INDIRECT(C70&amp;ROW())),INDIRECT(C70&amp;ROW()))</f>
        <v>55130</v>
      </c>
      <c r="N213">
        <v>55130</v>
      </c>
      <c r="O213" t="s">
        <v>45</v>
      </c>
      <c r="P213" t="s">
        <v>533</v>
      </c>
      <c r="Q213" t="s">
        <v>16</v>
      </c>
      <c r="R213" t="s">
        <v>248</v>
      </c>
      <c r="S213" t="s">
        <v>45</v>
      </c>
      <c r="U213" s="6">
        <v>42125.449606481481</v>
      </c>
      <c r="V213" t="s">
        <v>18</v>
      </c>
      <c r="W213" t="s">
        <v>17</v>
      </c>
      <c r="X213" s="6">
        <v>41996.533703703702</v>
      </c>
      <c r="Y213" t="s">
        <v>122</v>
      </c>
      <c r="AB213" t="s">
        <v>200</v>
      </c>
      <c r="AC213" t="s">
        <v>247</v>
      </c>
      <c r="AD213" t="s">
        <v>227</v>
      </c>
      <c r="AE213" t="s">
        <v>226</v>
      </c>
      <c r="AG213" t="s">
        <v>121</v>
      </c>
      <c r="AH213" t="s">
        <v>327</v>
      </c>
      <c r="AI213" t="s">
        <v>121</v>
      </c>
      <c r="AJ213" t="s">
        <v>717</v>
      </c>
      <c r="AK213" t="s">
        <v>121</v>
      </c>
    </row>
    <row r="214" spans="1:37" x14ac:dyDescent="0.3">
      <c r="I214">
        <f ca="1">IF(OR(INDIRECT(A73&amp;ROW())=B93,INDIRECT(A73&amp;ROW())=B94),1,IF(AND(INDIRECT(A73&amp;ROW())=B95,INDIRECT(A96&amp;ROW())=C93),1,IF(AND(INDIRECT(A73&amp;ROW())=B95,INDIRECT(A96&amp;ROW())=C94),1,0)))</f>
        <v>0</v>
      </c>
      <c r="J214">
        <f ca="1">IF(AND(INDIRECT(A73&amp;ROW())=B95,INDIRECT(A96&amp;ROW())=C95),1,IF(AND(INDIRECT(A73&amp;ROW())=B95,INDIRECT(A96&amp;ROW())=C96),1,0))</f>
        <v>0</v>
      </c>
      <c r="K214">
        <f ca="1">DAYS360(INDIRECT(C68&amp;ROW()),TODAY())</f>
        <v>729</v>
      </c>
      <c r="L214">
        <f ca="1">DAYS360(INDIRECT(C69&amp;ROW()),TODAY())</f>
        <v>848</v>
      </c>
      <c r="M214">
        <f ca="1">HYPERLINK(CONCATENATE("https://bugzilla.houston.hp.com:1181/bugzilla/show_bug.cgi?id=",INDIRECT(C70&amp;ROW())),INDIRECT(C70&amp;ROW()))</f>
        <v>55135</v>
      </c>
      <c r="N214">
        <v>55135</v>
      </c>
      <c r="O214" t="s">
        <v>53</v>
      </c>
      <c r="P214" t="s">
        <v>532</v>
      </c>
      <c r="Q214" t="s">
        <v>16</v>
      </c>
      <c r="R214" t="s">
        <v>251</v>
      </c>
      <c r="S214" t="s">
        <v>528</v>
      </c>
      <c r="U214" s="6">
        <v>42117.404918981483</v>
      </c>
      <c r="V214" t="s">
        <v>35</v>
      </c>
      <c r="W214" t="s">
        <v>17</v>
      </c>
      <c r="X214" s="6">
        <v>41997.038680555554</v>
      </c>
      <c r="Y214" t="s">
        <v>123</v>
      </c>
      <c r="AB214" t="s">
        <v>200</v>
      </c>
      <c r="AC214" t="s">
        <v>247</v>
      </c>
      <c r="AD214" t="s">
        <v>220</v>
      </c>
      <c r="AE214" t="s">
        <v>219</v>
      </c>
      <c r="AG214" t="s">
        <v>121</v>
      </c>
      <c r="AH214" t="s">
        <v>327</v>
      </c>
      <c r="AI214" t="s">
        <v>121</v>
      </c>
      <c r="AJ214" t="s">
        <v>716</v>
      </c>
      <c r="AK214" t="s">
        <v>121</v>
      </c>
    </row>
    <row r="215" spans="1:37" x14ac:dyDescent="0.3">
      <c r="I215">
        <f ca="1">IF(OR(INDIRECT(A73&amp;ROW())=B93,INDIRECT(A73&amp;ROW())=B94),1,IF(AND(INDIRECT(A73&amp;ROW())=B95,INDIRECT(A96&amp;ROW())=C93),1,IF(AND(INDIRECT(A73&amp;ROW())=B95,INDIRECT(A96&amp;ROW())=C94),1,0)))</f>
        <v>0</v>
      </c>
      <c r="J215">
        <f ca="1">IF(AND(INDIRECT(A73&amp;ROW())=B95,INDIRECT(A96&amp;ROW())=C95),1,IF(AND(INDIRECT(A73&amp;ROW())=B95,INDIRECT(A96&amp;ROW())=C96),1,0))</f>
        <v>1</v>
      </c>
      <c r="K215">
        <f ca="1">DAYS360(INDIRECT(C68&amp;ROW()),TODAY())</f>
        <v>733</v>
      </c>
      <c r="L215">
        <f ca="1">DAYS360(INDIRECT(C69&amp;ROW()),TODAY())</f>
        <v>845</v>
      </c>
      <c r="M215">
        <f ca="1">HYPERLINK(CONCATENATE("https://bugzilla.houston.hp.com:1181/bugzilla/show_bug.cgi?id=",INDIRECT(C70&amp;ROW())),INDIRECT(C70&amp;ROW()))</f>
        <v>55139</v>
      </c>
      <c r="N215">
        <v>55139</v>
      </c>
      <c r="O215" t="s">
        <v>36</v>
      </c>
      <c r="P215" t="s">
        <v>527</v>
      </c>
      <c r="Q215" t="s">
        <v>25</v>
      </c>
      <c r="R215" t="s">
        <v>248</v>
      </c>
      <c r="S215" t="s">
        <v>526</v>
      </c>
      <c r="U215" s="6">
        <v>42113.614374999997</v>
      </c>
      <c r="V215" t="s">
        <v>18</v>
      </c>
      <c r="W215" t="s">
        <v>525</v>
      </c>
      <c r="X215" s="6">
        <v>42000.001817129632</v>
      </c>
      <c r="Y215" t="s">
        <v>255</v>
      </c>
      <c r="AB215" t="s">
        <v>201</v>
      </c>
      <c r="AC215" t="s">
        <v>247</v>
      </c>
      <c r="AD215" t="s">
        <v>222</v>
      </c>
      <c r="AE215" t="s">
        <v>221</v>
      </c>
      <c r="AG215" t="s">
        <v>121</v>
      </c>
      <c r="AH215" t="s">
        <v>327</v>
      </c>
      <c r="AI215" t="s">
        <v>121</v>
      </c>
      <c r="AJ215" t="s">
        <v>715</v>
      </c>
      <c r="AK215" t="s">
        <v>121</v>
      </c>
    </row>
    <row r="216" spans="1:37" x14ac:dyDescent="0.3">
      <c r="I216">
        <f ca="1">IF(OR(INDIRECT(A73&amp;ROW())=B93,INDIRECT(A73&amp;ROW())=B94),1,IF(AND(INDIRECT(A73&amp;ROW())=B95,INDIRECT(A96&amp;ROW())=C93),1,IF(AND(INDIRECT(A73&amp;ROW())=B95,INDIRECT(A96&amp;ROW())=C94),1,0)))</f>
        <v>0</v>
      </c>
      <c r="J216">
        <f ca="1">IF(AND(INDIRECT(A73&amp;ROW())=B95,INDIRECT(A96&amp;ROW())=C95),1,IF(AND(INDIRECT(A73&amp;ROW())=B95,INDIRECT(A96&amp;ROW())=C96),1,0))</f>
        <v>1</v>
      </c>
      <c r="K216">
        <f ca="1">DAYS360(INDIRECT(C68&amp;ROW()),TODAY())</f>
        <v>730</v>
      </c>
      <c r="L216">
        <f ca="1">DAYS360(INDIRECT(C69&amp;ROW()),TODAY())</f>
        <v>839</v>
      </c>
      <c r="M216">
        <f ca="1">HYPERLINK(CONCATENATE("https://bugzilla.houston.hp.com:1181/bugzilla/show_bug.cgi?id=",INDIRECT(C70&amp;ROW())),INDIRECT(C70&amp;ROW()))</f>
        <v>55159</v>
      </c>
      <c r="N216">
        <v>55159</v>
      </c>
      <c r="O216" t="s">
        <v>56</v>
      </c>
      <c r="P216" t="s">
        <v>739</v>
      </c>
      <c r="Q216" t="s">
        <v>25</v>
      </c>
      <c r="R216" t="s">
        <v>251</v>
      </c>
      <c r="S216" t="s">
        <v>587</v>
      </c>
      <c r="U216" s="6">
        <v>42116.733067129629</v>
      </c>
      <c r="V216" t="s">
        <v>18</v>
      </c>
      <c r="W216" t="s">
        <v>17</v>
      </c>
      <c r="X216" s="6">
        <v>42007.195254629631</v>
      </c>
      <c r="Y216" t="s">
        <v>255</v>
      </c>
      <c r="AB216" t="s">
        <v>201</v>
      </c>
      <c r="AC216" t="s">
        <v>247</v>
      </c>
      <c r="AD216" t="s">
        <v>220</v>
      </c>
      <c r="AE216" t="s">
        <v>219</v>
      </c>
      <c r="AG216" t="s">
        <v>121</v>
      </c>
      <c r="AH216" t="s">
        <v>327</v>
      </c>
      <c r="AI216" t="s">
        <v>121</v>
      </c>
      <c r="AJ216" t="s">
        <v>716</v>
      </c>
      <c r="AK216" t="s">
        <v>121</v>
      </c>
    </row>
    <row r="217" spans="1:37" x14ac:dyDescent="0.3">
      <c r="I217">
        <f ca="1">IF(OR(INDIRECT(A73&amp;ROW())=B93,INDIRECT(A73&amp;ROW())=B94),1,IF(AND(INDIRECT(A73&amp;ROW())=B95,INDIRECT(A96&amp;ROW())=C93),1,IF(AND(INDIRECT(A73&amp;ROW())=B95,INDIRECT(A96&amp;ROW())=C94),1,0)))</f>
        <v>0</v>
      </c>
      <c r="J217">
        <f ca="1">IF(AND(INDIRECT(A73&amp;ROW())=B95,INDIRECT(A96&amp;ROW())=C95),1,IF(AND(INDIRECT(A73&amp;ROW())=B95,INDIRECT(A96&amp;ROW())=C96),1,0))</f>
        <v>0</v>
      </c>
      <c r="K217">
        <f ca="1">DAYS360(INDIRECT(C68&amp;ROW()),TODAY())</f>
        <v>729</v>
      </c>
      <c r="L217">
        <f ca="1">DAYS360(INDIRECT(C69&amp;ROW()),TODAY())</f>
        <v>837</v>
      </c>
      <c r="M217">
        <f ca="1">HYPERLINK(CONCATENATE("https://bugzilla.houston.hp.com:1181/bugzilla/show_bug.cgi?id=",INDIRECT(C70&amp;ROW())),INDIRECT(C70&amp;ROW()))</f>
        <v>55198</v>
      </c>
      <c r="N217">
        <v>55198</v>
      </c>
      <c r="O217" t="s">
        <v>550</v>
      </c>
      <c r="P217" t="s">
        <v>538</v>
      </c>
      <c r="Q217" t="s">
        <v>16</v>
      </c>
      <c r="R217" t="s">
        <v>251</v>
      </c>
      <c r="S217" t="s">
        <v>345</v>
      </c>
      <c r="U217" s="6">
        <v>42117.405011574076</v>
      </c>
      <c r="V217" t="s">
        <v>35</v>
      </c>
      <c r="W217" t="s">
        <v>17</v>
      </c>
      <c r="X217" s="6">
        <v>42009.658854166664</v>
      </c>
      <c r="Y217" t="s">
        <v>246</v>
      </c>
      <c r="AB217" t="s">
        <v>200</v>
      </c>
      <c r="AC217" t="s">
        <v>247</v>
      </c>
      <c r="AD217" t="s">
        <v>222</v>
      </c>
      <c r="AE217" t="s">
        <v>221</v>
      </c>
      <c r="AG217" t="s">
        <v>121</v>
      </c>
      <c r="AH217" t="s">
        <v>327</v>
      </c>
      <c r="AI217" t="s">
        <v>121</v>
      </c>
      <c r="AJ217" t="s">
        <v>716</v>
      </c>
      <c r="AK217" t="s">
        <v>121</v>
      </c>
    </row>
    <row r="218" spans="1:37" x14ac:dyDescent="0.3">
      <c r="I218">
        <f ca="1">IF(OR(INDIRECT(A73&amp;ROW())=B93,INDIRECT(A73&amp;ROW())=B94),1,IF(AND(INDIRECT(A73&amp;ROW())=B95,INDIRECT(A96&amp;ROW())=C93),1,IF(AND(INDIRECT(A73&amp;ROW())=B95,INDIRECT(A96&amp;ROW())=C94),1,0)))</f>
        <v>0</v>
      </c>
      <c r="J218">
        <f ca="1">IF(AND(INDIRECT(A73&amp;ROW())=B95,INDIRECT(A96&amp;ROW())=C95),1,IF(AND(INDIRECT(A73&amp;ROW())=B95,INDIRECT(A96&amp;ROW())=C96),1,0))</f>
        <v>0</v>
      </c>
      <c r="K218">
        <f ca="1">DAYS360(INDIRECT(C68&amp;ROW()),TODAY())</f>
        <v>814</v>
      </c>
      <c r="L218">
        <f ca="1">DAYS360(INDIRECT(C69&amp;ROW()),TODAY())</f>
        <v>836</v>
      </c>
      <c r="M218">
        <f ca="1">HYPERLINK(CONCATENATE("https://bugzilla.houston.hp.com:1181/bugzilla/show_bug.cgi?id=",INDIRECT(C70&amp;ROW())),INDIRECT(C70&amp;ROW()))</f>
        <v>55222</v>
      </c>
      <c r="N218">
        <v>55222</v>
      </c>
      <c r="O218" t="s">
        <v>36</v>
      </c>
      <c r="P218" t="s">
        <v>586</v>
      </c>
      <c r="Q218" t="s">
        <v>16</v>
      </c>
      <c r="R218" t="s">
        <v>248</v>
      </c>
      <c r="S218" t="s">
        <v>44</v>
      </c>
      <c r="U218" s="6">
        <v>42032.473969907405</v>
      </c>
      <c r="V218" t="s">
        <v>18</v>
      </c>
      <c r="W218" t="s">
        <v>525</v>
      </c>
      <c r="X218" s="6">
        <v>42010.32135416667</v>
      </c>
      <c r="Y218" t="s">
        <v>246</v>
      </c>
      <c r="AB218" t="s">
        <v>200</v>
      </c>
      <c r="AC218" t="s">
        <v>247</v>
      </c>
      <c r="AD218" t="s">
        <v>220</v>
      </c>
      <c r="AE218" t="s">
        <v>243</v>
      </c>
      <c r="AG218" t="s">
        <v>121</v>
      </c>
      <c r="AH218" t="s">
        <v>327</v>
      </c>
      <c r="AI218" t="s">
        <v>121</v>
      </c>
      <c r="AJ218" t="s">
        <v>716</v>
      </c>
      <c r="AK218" t="s">
        <v>121</v>
      </c>
    </row>
    <row r="219" spans="1:37" x14ac:dyDescent="0.3">
      <c r="I219">
        <f ca="1">IF(OR(INDIRECT(A73&amp;ROW())=B93,INDIRECT(A73&amp;ROW())=B94),1,IF(AND(INDIRECT(A73&amp;ROW())=B95,INDIRECT(A96&amp;ROW())=C93),1,IF(AND(INDIRECT(A73&amp;ROW())=B95,INDIRECT(A96&amp;ROW())=C94),1,0)))</f>
        <v>0</v>
      </c>
      <c r="J219">
        <f ca="1">IF(AND(INDIRECT(A73&amp;ROW())=B95,INDIRECT(A96&amp;ROW())=C95),1,IF(AND(INDIRECT(A73&amp;ROW())=B95,INDIRECT(A96&amp;ROW())=C96),1,0))</f>
        <v>0</v>
      </c>
      <c r="K219">
        <f ca="1">DAYS360(INDIRECT(C68&amp;ROW()),TODAY())</f>
        <v>729</v>
      </c>
      <c r="L219">
        <f ca="1">DAYS360(INDIRECT(C69&amp;ROW()),TODAY())</f>
        <v>836</v>
      </c>
      <c r="M219">
        <f ca="1">HYPERLINK(CONCATENATE("https://bugzilla.houston.hp.com:1181/bugzilla/show_bug.cgi?id=",INDIRECT(C70&amp;ROW())),INDIRECT(C70&amp;ROW()))</f>
        <v>55269</v>
      </c>
      <c r="N219">
        <v>55269</v>
      </c>
      <c r="O219" t="s">
        <v>55</v>
      </c>
      <c r="P219" t="s">
        <v>537</v>
      </c>
      <c r="Q219" t="s">
        <v>16</v>
      </c>
      <c r="R219" t="s">
        <v>251</v>
      </c>
      <c r="S219" t="s">
        <v>49</v>
      </c>
      <c r="U219" s="6">
        <v>42117.405115740738</v>
      </c>
      <c r="V219" t="s">
        <v>18</v>
      </c>
      <c r="W219" t="s">
        <v>17</v>
      </c>
      <c r="X219" s="6">
        <v>42010.692233796297</v>
      </c>
      <c r="Y219" t="s">
        <v>245</v>
      </c>
      <c r="AB219" t="s">
        <v>200</v>
      </c>
      <c r="AC219" t="s">
        <v>247</v>
      </c>
      <c r="AD219" t="s">
        <v>222</v>
      </c>
      <c r="AE219" t="s">
        <v>225</v>
      </c>
      <c r="AG219" t="s">
        <v>121</v>
      </c>
      <c r="AH219" t="s">
        <v>327</v>
      </c>
      <c r="AI219" t="s">
        <v>121</v>
      </c>
      <c r="AJ219" t="s">
        <v>717</v>
      </c>
      <c r="AK219" t="s">
        <v>121</v>
      </c>
    </row>
    <row r="220" spans="1:37" x14ac:dyDescent="0.3">
      <c r="A220" s="11"/>
      <c r="I220">
        <f ca="1">IF(OR(INDIRECT(A73&amp;ROW())=B93,INDIRECT(A73&amp;ROW())=B94),1,IF(AND(INDIRECT(A73&amp;ROW())=B95,INDIRECT(A96&amp;ROW())=C93),1,IF(AND(INDIRECT(A73&amp;ROW())=B95,INDIRECT(A96&amp;ROW())=C94),1,0)))</f>
        <v>0</v>
      </c>
      <c r="J220">
        <f ca="1">IF(AND(INDIRECT(A73&amp;ROW())=B95,INDIRECT(A96&amp;ROW())=C95),1,IF(AND(INDIRECT(A73&amp;ROW())=B95,INDIRECT(A96&amp;ROW())=C96),1,0))</f>
        <v>0</v>
      </c>
      <c r="K220">
        <f ca="1">DAYS360(INDIRECT(C68&amp;ROW()),TODAY())</f>
        <v>835</v>
      </c>
      <c r="L220">
        <f ca="1">DAYS360(INDIRECT(C69&amp;ROW()),TODAY())</f>
        <v>835</v>
      </c>
      <c r="M220">
        <f ca="1">HYPERLINK(CONCATENATE("https://bugzilla.houston.hp.com:1181/bugzilla/show_bug.cgi?id=",INDIRECT(C70&amp;ROW())),INDIRECT(C70&amp;ROW()))</f>
        <v>55302</v>
      </c>
      <c r="N220">
        <v>55302</v>
      </c>
      <c r="O220" t="s">
        <v>31</v>
      </c>
      <c r="P220" t="s">
        <v>536</v>
      </c>
      <c r="Q220" t="s">
        <v>16</v>
      </c>
      <c r="R220" t="s">
        <v>248</v>
      </c>
      <c r="S220" t="s">
        <v>36</v>
      </c>
      <c r="U220" s="6">
        <v>42011.331990740742</v>
      </c>
      <c r="V220" t="s">
        <v>18</v>
      </c>
      <c r="W220" t="s">
        <v>32</v>
      </c>
      <c r="X220" s="6">
        <v>42011.331990740742</v>
      </c>
      <c r="Y220" t="s">
        <v>119</v>
      </c>
      <c r="AB220" t="s">
        <v>200</v>
      </c>
      <c r="AC220" t="s">
        <v>121</v>
      </c>
      <c r="AD220" t="s">
        <v>220</v>
      </c>
      <c r="AE220" t="s">
        <v>219</v>
      </c>
      <c r="AG220" t="s">
        <v>121</v>
      </c>
      <c r="AH220" t="s">
        <v>327</v>
      </c>
      <c r="AI220" t="s">
        <v>121</v>
      </c>
      <c r="AJ220" t="s">
        <v>716</v>
      </c>
      <c r="AK220" t="s">
        <v>121</v>
      </c>
    </row>
    <row r="221" spans="1:37" x14ac:dyDescent="0.3">
      <c r="I221">
        <f ca="1">IF(OR(INDIRECT(A73&amp;ROW())=B93,INDIRECT(A73&amp;ROW())=B94),1,IF(AND(INDIRECT(A73&amp;ROW())=B95,INDIRECT(A96&amp;ROW())=C93),1,IF(AND(INDIRECT(A73&amp;ROW())=B95,INDIRECT(A96&amp;ROW())=C94),1,0)))</f>
        <v>0</v>
      </c>
      <c r="J221">
        <f ca="1">IF(AND(INDIRECT(A73&amp;ROW())=B95,INDIRECT(A96&amp;ROW())=C95),1,IF(AND(INDIRECT(A73&amp;ROW())=B95,INDIRECT(A96&amp;ROW())=C96),1,0))</f>
        <v>1</v>
      </c>
      <c r="K221">
        <f ca="1">DAYS360(INDIRECT(C68&amp;ROW()),TODAY())</f>
        <v>721</v>
      </c>
      <c r="L221">
        <f ca="1">DAYS360(INDIRECT(C69&amp;ROW()),TODAY())</f>
        <v>835</v>
      </c>
      <c r="M221">
        <f ca="1">HYPERLINK(CONCATENATE("https://bugzilla.houston.hp.com:1181/bugzilla/show_bug.cgi?id=",INDIRECT(C70&amp;ROW())),INDIRECT(C70&amp;ROW()))</f>
        <v>55314</v>
      </c>
      <c r="N221">
        <v>55314</v>
      </c>
      <c r="O221" t="s">
        <v>55</v>
      </c>
      <c r="P221" t="s">
        <v>542</v>
      </c>
      <c r="Q221" t="s">
        <v>25</v>
      </c>
      <c r="R221" t="s">
        <v>251</v>
      </c>
      <c r="S221" t="s">
        <v>43</v>
      </c>
      <c r="U221" s="6">
        <v>42125.44972222222</v>
      </c>
      <c r="V221" t="s">
        <v>18</v>
      </c>
      <c r="W221" t="s">
        <v>17</v>
      </c>
      <c r="X221" s="6">
        <v>42011.547847222224</v>
      </c>
      <c r="Y221" t="s">
        <v>122</v>
      </c>
      <c r="AB221" t="s">
        <v>201</v>
      </c>
      <c r="AC221" t="s">
        <v>247</v>
      </c>
      <c r="AD221" t="s">
        <v>220</v>
      </c>
      <c r="AE221" t="s">
        <v>219</v>
      </c>
      <c r="AG221" t="s">
        <v>121</v>
      </c>
      <c r="AH221" t="s">
        <v>327</v>
      </c>
      <c r="AI221" t="s">
        <v>121</v>
      </c>
      <c r="AJ221" t="s">
        <v>716</v>
      </c>
      <c r="AK221" t="s">
        <v>121</v>
      </c>
    </row>
    <row r="222" spans="1:37" x14ac:dyDescent="0.3">
      <c r="I222">
        <f ca="1">IF(OR(INDIRECT(A73&amp;ROW())=B93,INDIRECT(A73&amp;ROW())=B94),1,IF(AND(INDIRECT(A73&amp;ROW())=B95,INDIRECT(A96&amp;ROW())=C93),1,IF(AND(INDIRECT(A73&amp;ROW())=B95,INDIRECT(A96&amp;ROW())=C94),1,0)))</f>
        <v>0</v>
      </c>
      <c r="J222">
        <f ca="1">IF(AND(INDIRECT(A73&amp;ROW())=B95,INDIRECT(A96&amp;ROW())=C95),1,IF(AND(INDIRECT(A73&amp;ROW())=B95,INDIRECT(A96&amp;ROW())=C96),1,0))</f>
        <v>1</v>
      </c>
      <c r="K222">
        <f ca="1">DAYS360(INDIRECT(C68&amp;ROW()),TODAY())</f>
        <v>721</v>
      </c>
      <c r="L222">
        <f ca="1">DAYS360(INDIRECT(C69&amp;ROW()),TODAY())</f>
        <v>835</v>
      </c>
      <c r="M222">
        <f ca="1">HYPERLINK(CONCATENATE("https://bugzilla.houston.hp.com:1181/bugzilla/show_bug.cgi?id=",INDIRECT(C70&amp;ROW())),INDIRECT(C70&amp;ROW()))</f>
        <v>55316</v>
      </c>
      <c r="N222">
        <v>55316</v>
      </c>
      <c r="O222" t="s">
        <v>56</v>
      </c>
      <c r="P222" t="s">
        <v>541</v>
      </c>
      <c r="Q222" t="s">
        <v>25</v>
      </c>
      <c r="R222" t="s">
        <v>248</v>
      </c>
      <c r="S222" t="s">
        <v>43</v>
      </c>
      <c r="U222" s="6">
        <v>42125.449699074074</v>
      </c>
      <c r="V222" t="s">
        <v>18</v>
      </c>
      <c r="W222" t="s">
        <v>372</v>
      </c>
      <c r="X222" s="6">
        <v>42011.550023148149</v>
      </c>
      <c r="Y222" t="s">
        <v>122</v>
      </c>
      <c r="AB222" t="s">
        <v>201</v>
      </c>
      <c r="AC222" t="s">
        <v>247</v>
      </c>
      <c r="AD222" t="s">
        <v>220</v>
      </c>
      <c r="AE222" t="s">
        <v>219</v>
      </c>
      <c r="AG222" t="s">
        <v>121</v>
      </c>
      <c r="AH222" t="s">
        <v>327</v>
      </c>
      <c r="AI222" t="s">
        <v>121</v>
      </c>
      <c r="AJ222" t="s">
        <v>716</v>
      </c>
      <c r="AK222" t="s">
        <v>121</v>
      </c>
    </row>
    <row r="223" spans="1:37" x14ac:dyDescent="0.3">
      <c r="H223" s="24"/>
      <c r="I223">
        <f ca="1">IF(OR(INDIRECT(A73&amp;ROW())=B93,INDIRECT(A73&amp;ROW())=B94),1,IF(AND(INDIRECT(A73&amp;ROW())=B95,INDIRECT(A96&amp;ROW())=C93),1,IF(AND(INDIRECT(A73&amp;ROW())=B95,INDIRECT(A96&amp;ROW())=C94),1,0)))</f>
        <v>0</v>
      </c>
      <c r="J223">
        <f ca="1">IF(AND(INDIRECT(A73&amp;ROW())=B95,INDIRECT(A96&amp;ROW())=C95),1,IF(AND(INDIRECT(A73&amp;ROW())=B95,INDIRECT(A96&amp;ROW())=C96),1,0))</f>
        <v>1</v>
      </c>
      <c r="K223">
        <f ca="1">DAYS360(INDIRECT(C68&amp;ROW()),TODAY())</f>
        <v>721</v>
      </c>
      <c r="L223">
        <f ca="1">DAYS360(INDIRECT(C69&amp;ROW()),TODAY())</f>
        <v>833</v>
      </c>
      <c r="M223">
        <f ca="1">HYPERLINK(CONCATENATE("https://bugzilla.houston.hp.com:1181/bugzilla/show_bug.cgi?id=",INDIRECT(C70&amp;ROW())),INDIRECT(C70&amp;ROW()))</f>
        <v>55416</v>
      </c>
      <c r="N223">
        <v>55416</v>
      </c>
      <c r="O223" t="s">
        <v>56</v>
      </c>
      <c r="P223" t="s">
        <v>544</v>
      </c>
      <c r="Q223" t="s">
        <v>25</v>
      </c>
      <c r="R223" t="s">
        <v>248</v>
      </c>
      <c r="S223" t="s">
        <v>36</v>
      </c>
      <c r="U223" s="6">
        <v>42125.44866898148</v>
      </c>
      <c r="V223" t="s">
        <v>18</v>
      </c>
      <c r="W223" t="s">
        <v>343</v>
      </c>
      <c r="X223" s="6">
        <v>42013.560266203705</v>
      </c>
      <c r="Y223" t="s">
        <v>122</v>
      </c>
      <c r="AB223" t="s">
        <v>201</v>
      </c>
      <c r="AC223" t="s">
        <v>247</v>
      </c>
      <c r="AD223" t="s">
        <v>220</v>
      </c>
      <c r="AE223" t="s">
        <v>219</v>
      </c>
      <c r="AG223" t="s">
        <v>121</v>
      </c>
      <c r="AH223" t="s">
        <v>327</v>
      </c>
      <c r="AI223" t="s">
        <v>121</v>
      </c>
      <c r="AJ223" t="s">
        <v>717</v>
      </c>
      <c r="AK223" t="s">
        <v>121</v>
      </c>
    </row>
    <row r="224" spans="1:37" x14ac:dyDescent="0.3">
      <c r="I224">
        <f ca="1">IF(OR(INDIRECT(A73&amp;ROW())=B93,INDIRECT(A73&amp;ROW())=B94),1,IF(AND(INDIRECT(A73&amp;ROW())=B95,INDIRECT(A96&amp;ROW())=C93),1,IF(AND(INDIRECT(A73&amp;ROW())=B95,INDIRECT(A96&amp;ROW())=C94),1,0)))</f>
        <v>0</v>
      </c>
      <c r="J224">
        <f ca="1">IF(AND(INDIRECT(A73&amp;ROW())=B95,INDIRECT(A96&amp;ROW())=C95),1,IF(AND(INDIRECT(A73&amp;ROW())=B95,INDIRECT(A96&amp;ROW())=C96),1,0))</f>
        <v>0</v>
      </c>
      <c r="K224">
        <f ca="1">DAYS360(INDIRECT(C68&amp;ROW()),TODAY())</f>
        <v>721</v>
      </c>
      <c r="L224">
        <f ca="1">DAYS360(INDIRECT(C69&amp;ROW()),TODAY())</f>
        <v>833</v>
      </c>
      <c r="M224">
        <f ca="1">HYPERLINK(CONCATENATE("https://bugzilla.houston.hp.com:1181/bugzilla/show_bug.cgi?id=",INDIRECT(C70&amp;ROW())),INDIRECT(C70&amp;ROW()))</f>
        <v>55430</v>
      </c>
      <c r="N224">
        <v>55430</v>
      </c>
      <c r="O224" t="s">
        <v>56</v>
      </c>
      <c r="P224" t="s">
        <v>543</v>
      </c>
      <c r="Q224" t="s">
        <v>16</v>
      </c>
      <c r="R224" t="s">
        <v>248</v>
      </c>
      <c r="S224" t="s">
        <v>36</v>
      </c>
      <c r="U224" s="6">
        <v>42125.448541666665</v>
      </c>
      <c r="V224" t="s">
        <v>18</v>
      </c>
      <c r="W224" t="s">
        <v>324</v>
      </c>
      <c r="X224" s="6">
        <v>42013.620613425926</v>
      </c>
      <c r="Y224" t="s">
        <v>122</v>
      </c>
      <c r="AB224" t="s">
        <v>201</v>
      </c>
      <c r="AC224" t="s">
        <v>247</v>
      </c>
      <c r="AD224" t="s">
        <v>220</v>
      </c>
      <c r="AE224" t="s">
        <v>219</v>
      </c>
      <c r="AG224" t="s">
        <v>121</v>
      </c>
      <c r="AH224" t="s">
        <v>327</v>
      </c>
      <c r="AI224" t="s">
        <v>121</v>
      </c>
      <c r="AJ224" t="s">
        <v>717</v>
      </c>
      <c r="AK224" t="s">
        <v>121</v>
      </c>
    </row>
    <row r="225" spans="9:37" x14ac:dyDescent="0.3">
      <c r="I225">
        <f ca="1">IF(OR(INDIRECT(A73&amp;ROW())=B93,INDIRECT(A73&amp;ROW())=B94),1,IF(AND(INDIRECT(A73&amp;ROW())=B95,INDIRECT(A96&amp;ROW())=C93),1,IF(AND(INDIRECT(A73&amp;ROW())=B95,INDIRECT(A96&amp;ROW())=C94),1,0)))</f>
        <v>0</v>
      </c>
      <c r="J225">
        <f ca="1">IF(AND(INDIRECT(A73&amp;ROW())=B95,INDIRECT(A96&amp;ROW())=C95),1,IF(AND(INDIRECT(A73&amp;ROW())=B95,INDIRECT(A96&amp;ROW())=C96),1,0))</f>
        <v>0</v>
      </c>
      <c r="K225">
        <f ca="1">DAYS360(INDIRECT(C68&amp;ROW()),TODAY())</f>
        <v>729</v>
      </c>
      <c r="L225">
        <f ca="1">DAYS360(INDIRECT(C69&amp;ROW()),TODAY())</f>
        <v>830</v>
      </c>
      <c r="M225">
        <f ca="1">HYPERLINK(CONCATENATE("https://bugzilla.houston.hp.com:1181/bugzilla/show_bug.cgi?id=",INDIRECT(C70&amp;ROW())),INDIRECT(C70&amp;ROW()))</f>
        <v>55490</v>
      </c>
      <c r="N225">
        <v>55490</v>
      </c>
      <c r="O225" t="s">
        <v>53</v>
      </c>
      <c r="P225" t="s">
        <v>549</v>
      </c>
      <c r="Q225" t="s">
        <v>16</v>
      </c>
      <c r="R225" t="s">
        <v>251</v>
      </c>
      <c r="S225" t="s">
        <v>47</v>
      </c>
      <c r="U225" s="6">
        <v>42117.405312499999</v>
      </c>
      <c r="V225" t="s">
        <v>18</v>
      </c>
      <c r="W225" t="s">
        <v>17</v>
      </c>
      <c r="X225" s="6">
        <v>42016.581944444442</v>
      </c>
      <c r="Y225" t="s">
        <v>119</v>
      </c>
      <c r="AB225" t="s">
        <v>199</v>
      </c>
      <c r="AC225" t="s">
        <v>247</v>
      </c>
      <c r="AD225" t="s">
        <v>220</v>
      </c>
      <c r="AE225" t="s">
        <v>219</v>
      </c>
      <c r="AG225" t="s">
        <v>121</v>
      </c>
      <c r="AH225" t="s">
        <v>327</v>
      </c>
      <c r="AI225" t="s">
        <v>121</v>
      </c>
      <c r="AJ225" t="s">
        <v>716</v>
      </c>
      <c r="AK225" t="s">
        <v>121</v>
      </c>
    </row>
    <row r="226" spans="9:37" x14ac:dyDescent="0.3">
      <c r="I226">
        <f ca="1">IF(OR(INDIRECT(A73&amp;ROW())=B93,INDIRECT(A73&amp;ROW())=B94),1,IF(AND(INDIRECT(A73&amp;ROW())=B95,INDIRECT(A96&amp;ROW())=C93),1,IF(AND(INDIRECT(A73&amp;ROW())=B95,INDIRECT(A96&amp;ROW())=C94),1,0)))</f>
        <v>0</v>
      </c>
      <c r="J226">
        <f ca="1">IF(AND(INDIRECT(A73&amp;ROW())=B95,INDIRECT(A96&amp;ROW())=C95),1,IF(AND(INDIRECT(A73&amp;ROW())=B95,INDIRECT(A96&amp;ROW())=C96),1,0))</f>
        <v>1</v>
      </c>
      <c r="K226">
        <f ca="1">DAYS360(INDIRECT(C68&amp;ROW()),TODAY())</f>
        <v>721</v>
      </c>
      <c r="L226">
        <f ca="1">DAYS360(INDIRECT(C69&amp;ROW()),TODAY())</f>
        <v>829</v>
      </c>
      <c r="M226">
        <f ca="1">HYPERLINK(CONCATENATE("https://bugzilla.houston.hp.com:1181/bugzilla/show_bug.cgi?id=",INDIRECT(C70&amp;ROW())),INDIRECT(C70&amp;ROW()))</f>
        <v>55549</v>
      </c>
      <c r="N226">
        <v>55549</v>
      </c>
      <c r="O226" t="s">
        <v>66</v>
      </c>
      <c r="P226" t="s">
        <v>548</v>
      </c>
      <c r="Q226" t="s">
        <v>25</v>
      </c>
      <c r="R226" t="s">
        <v>251</v>
      </c>
      <c r="S226" t="s">
        <v>66</v>
      </c>
      <c r="U226" s="6">
        <v>42125.449733796297</v>
      </c>
      <c r="V226" t="s">
        <v>35</v>
      </c>
      <c r="W226" t="s">
        <v>17</v>
      </c>
      <c r="X226" s="6">
        <v>42017.588472222225</v>
      </c>
      <c r="Y226" t="s">
        <v>122</v>
      </c>
      <c r="AB226" t="s">
        <v>201</v>
      </c>
      <c r="AC226" t="s">
        <v>247</v>
      </c>
      <c r="AD226" t="s">
        <v>220</v>
      </c>
      <c r="AE226" t="s">
        <v>219</v>
      </c>
      <c r="AG226" t="s">
        <v>121</v>
      </c>
      <c r="AH226" t="s">
        <v>327</v>
      </c>
      <c r="AI226" t="s">
        <v>121</v>
      </c>
      <c r="AJ226" t="s">
        <v>716</v>
      </c>
      <c r="AK226" t="s">
        <v>121</v>
      </c>
    </row>
    <row r="227" spans="9:37" x14ac:dyDescent="0.3">
      <c r="I227">
        <f ca="1">IF(OR(INDIRECT(A73&amp;ROW())=B93,INDIRECT(A73&amp;ROW())=B94),1,IF(AND(INDIRECT(A73&amp;ROW())=B95,INDIRECT(A96&amp;ROW())=C93),1,IF(AND(INDIRECT(A73&amp;ROW())=B95,INDIRECT(A96&amp;ROW())=C94),1,0)))</f>
        <v>0</v>
      </c>
      <c r="J227">
        <f ca="1">IF(AND(INDIRECT(A73&amp;ROW())=B95,INDIRECT(A96&amp;ROW())=C95),1,IF(AND(INDIRECT(A73&amp;ROW())=B95,INDIRECT(A96&amp;ROW())=C96),1,0))</f>
        <v>1</v>
      </c>
      <c r="K227">
        <f ca="1">DAYS360(INDIRECT(C68&amp;ROW()),TODAY())</f>
        <v>721</v>
      </c>
      <c r="L227">
        <f ca="1">DAYS360(INDIRECT(C69&amp;ROW()),TODAY())</f>
        <v>828</v>
      </c>
      <c r="M227">
        <f ca="1">HYPERLINK(CONCATENATE("https://bugzilla.houston.hp.com:1181/bugzilla/show_bug.cgi?id=",INDIRECT(C70&amp;ROW())),INDIRECT(C70&amp;ROW()))</f>
        <v>55619</v>
      </c>
      <c r="N227">
        <v>55619</v>
      </c>
      <c r="O227" t="s">
        <v>66</v>
      </c>
      <c r="P227" t="s">
        <v>548</v>
      </c>
      <c r="Q227" t="s">
        <v>25</v>
      </c>
      <c r="R227" t="s">
        <v>251</v>
      </c>
      <c r="S227" t="s">
        <v>66</v>
      </c>
      <c r="U227" s="6">
        <v>42125.449618055558</v>
      </c>
      <c r="V227" t="s">
        <v>35</v>
      </c>
      <c r="W227" t="s">
        <v>17</v>
      </c>
      <c r="X227" s="6">
        <v>42018.617395833331</v>
      </c>
      <c r="Y227" t="s">
        <v>122</v>
      </c>
      <c r="AB227" t="s">
        <v>201</v>
      </c>
      <c r="AC227" t="s">
        <v>247</v>
      </c>
      <c r="AD227" t="s">
        <v>220</v>
      </c>
      <c r="AE227" t="s">
        <v>219</v>
      </c>
      <c r="AG227" t="s">
        <v>121</v>
      </c>
      <c r="AH227" t="s">
        <v>327</v>
      </c>
      <c r="AI227" t="s">
        <v>121</v>
      </c>
      <c r="AJ227" t="s">
        <v>716</v>
      </c>
      <c r="AK227" t="s">
        <v>121</v>
      </c>
    </row>
    <row r="228" spans="9:37" x14ac:dyDescent="0.3">
      <c r="I228">
        <f ca="1">IF(OR(INDIRECT(A73&amp;ROW())=B93,INDIRECT(A73&amp;ROW())=B94),1,IF(AND(INDIRECT(A73&amp;ROW())=B95,INDIRECT(A96&amp;ROW())=C93),1,IF(AND(INDIRECT(A73&amp;ROW())=B95,INDIRECT(A96&amp;ROW())=C94),1,0)))</f>
        <v>0</v>
      </c>
      <c r="J228">
        <f ca="1">IF(AND(INDIRECT(A73&amp;ROW())=B95,INDIRECT(A96&amp;ROW())=C95),1,IF(AND(INDIRECT(A73&amp;ROW())=B95,INDIRECT(A96&amp;ROW())=C96),1,0))</f>
        <v>1</v>
      </c>
      <c r="K228">
        <f ca="1">DAYS360(INDIRECT(C68&amp;ROW()),TODAY())</f>
        <v>721</v>
      </c>
      <c r="L228">
        <f ca="1">DAYS360(INDIRECT(C69&amp;ROW()),TODAY())</f>
        <v>828</v>
      </c>
      <c r="M228">
        <f ca="1">HYPERLINK(CONCATENATE("https://bugzilla.houston.hp.com:1181/bugzilla/show_bug.cgi?id=",INDIRECT(C70&amp;ROW())),INDIRECT(C70&amp;ROW()))</f>
        <v>55626</v>
      </c>
      <c r="N228">
        <v>55626</v>
      </c>
      <c r="O228" t="s">
        <v>43</v>
      </c>
      <c r="P228" t="s">
        <v>748</v>
      </c>
      <c r="Q228" t="s">
        <v>25</v>
      </c>
      <c r="R228" t="s">
        <v>251</v>
      </c>
      <c r="S228" t="s">
        <v>53</v>
      </c>
      <c r="U228" s="6">
        <v>42125.450682870367</v>
      </c>
      <c r="V228" t="s">
        <v>18</v>
      </c>
      <c r="W228" t="s">
        <v>17</v>
      </c>
      <c r="X228" s="6">
        <v>42018.702581018515</v>
      </c>
      <c r="Y228" t="s">
        <v>122</v>
      </c>
      <c r="AB228" t="s">
        <v>201</v>
      </c>
      <c r="AC228" t="s">
        <v>247</v>
      </c>
      <c r="AD228" t="s">
        <v>220</v>
      </c>
      <c r="AE228" t="s">
        <v>219</v>
      </c>
      <c r="AG228" t="s">
        <v>121</v>
      </c>
      <c r="AH228" t="s">
        <v>327</v>
      </c>
      <c r="AI228" t="s">
        <v>121</v>
      </c>
      <c r="AJ228" t="s">
        <v>716</v>
      </c>
      <c r="AK228" t="s">
        <v>121</v>
      </c>
    </row>
    <row r="229" spans="9:37" x14ac:dyDescent="0.3">
      <c r="I229">
        <f ca="1">IF(OR(INDIRECT(A73&amp;ROW())=B93,INDIRECT(A73&amp;ROW())=B94),1,IF(AND(INDIRECT(A73&amp;ROW())=B95,INDIRECT(A96&amp;ROW())=C93),1,IF(AND(INDIRECT(A73&amp;ROW())=B95,INDIRECT(A96&amp;ROW())=C94),1,0)))</f>
        <v>0</v>
      </c>
      <c r="J229">
        <f ca="1">IF(AND(INDIRECT(A73&amp;ROW())=B95,INDIRECT(A96&amp;ROW())=C95),1,IF(AND(INDIRECT(A73&amp;ROW())=B95,INDIRECT(A96&amp;ROW())=C96),1,0))</f>
        <v>1</v>
      </c>
      <c r="K229">
        <f ca="1">DAYS360(INDIRECT(C68&amp;ROW()),TODAY())</f>
        <v>721</v>
      </c>
      <c r="L229">
        <f ca="1">DAYS360(INDIRECT(C69&amp;ROW()),TODAY())</f>
        <v>828</v>
      </c>
      <c r="M229">
        <f ca="1">HYPERLINK(CONCATENATE("https://bugzilla.houston.hp.com:1181/bugzilla/show_bug.cgi?id=",INDIRECT(C70&amp;ROW())),INDIRECT(C70&amp;ROW()))</f>
        <v>55627</v>
      </c>
      <c r="N229">
        <v>55627</v>
      </c>
      <c r="O229" t="s">
        <v>53</v>
      </c>
      <c r="P229" t="s">
        <v>551</v>
      </c>
      <c r="Q229" t="s">
        <v>25</v>
      </c>
      <c r="R229" t="s">
        <v>251</v>
      </c>
      <c r="S229" t="s">
        <v>53</v>
      </c>
      <c r="U229" s="6">
        <v>42125.450798611113</v>
      </c>
      <c r="V229" t="s">
        <v>18</v>
      </c>
      <c r="W229" t="s">
        <v>17</v>
      </c>
      <c r="X229" s="6">
        <v>42018.719236111108</v>
      </c>
      <c r="Y229" t="s">
        <v>122</v>
      </c>
      <c r="AB229" t="s">
        <v>201</v>
      </c>
      <c r="AC229" t="s">
        <v>247</v>
      </c>
      <c r="AD229" t="s">
        <v>220</v>
      </c>
      <c r="AE229" t="s">
        <v>219</v>
      </c>
      <c r="AG229" t="s">
        <v>121</v>
      </c>
      <c r="AH229" t="s">
        <v>327</v>
      </c>
      <c r="AI229" t="s">
        <v>121</v>
      </c>
      <c r="AJ229" t="s">
        <v>716</v>
      </c>
      <c r="AK229" t="s">
        <v>121</v>
      </c>
    </row>
    <row r="230" spans="9:37" x14ac:dyDescent="0.3">
      <c r="I230">
        <f ca="1">IF(OR(INDIRECT(A73&amp;ROW())=B93,INDIRECT(A73&amp;ROW())=B94),1,IF(AND(INDIRECT(A73&amp;ROW())=B95,INDIRECT(A96&amp;ROW())=C93),1,IF(AND(INDIRECT(A73&amp;ROW())=B95,INDIRECT(A96&amp;ROW())=C94),1,0)))</f>
        <v>0</v>
      </c>
      <c r="J230">
        <f ca="1">IF(AND(INDIRECT(A73&amp;ROW())=B95,INDIRECT(A96&amp;ROW())=C95),1,IF(AND(INDIRECT(A73&amp;ROW())=B95,INDIRECT(A96&amp;ROW())=C96),1,0))</f>
        <v>0</v>
      </c>
      <c r="K230">
        <f ca="1">DAYS360(INDIRECT(C68&amp;ROW()),TODAY())</f>
        <v>721</v>
      </c>
      <c r="L230">
        <f ca="1">DAYS360(INDIRECT(C69&amp;ROW()),TODAY())</f>
        <v>827</v>
      </c>
      <c r="M230">
        <f ca="1">HYPERLINK(CONCATENATE("https://bugzilla.houston.hp.com:1181/bugzilla/show_bug.cgi?id=",INDIRECT(C70&amp;ROW())),INDIRECT(C70&amp;ROW()))</f>
        <v>55690</v>
      </c>
      <c r="N230">
        <v>55690</v>
      </c>
      <c r="O230" t="s">
        <v>22</v>
      </c>
      <c r="P230" t="s">
        <v>557</v>
      </c>
      <c r="Q230" t="s">
        <v>16</v>
      </c>
      <c r="R230" t="s">
        <v>251</v>
      </c>
      <c r="S230" t="s">
        <v>22</v>
      </c>
      <c r="U230" s="6">
        <v>42125.450775462959</v>
      </c>
      <c r="V230" t="s">
        <v>18</v>
      </c>
      <c r="W230" t="s">
        <v>17</v>
      </c>
      <c r="X230" s="6">
        <v>42019.371122685188</v>
      </c>
      <c r="Y230" t="s">
        <v>122</v>
      </c>
      <c r="AB230" t="s">
        <v>201</v>
      </c>
      <c r="AC230" t="s">
        <v>247</v>
      </c>
      <c r="AD230" t="s">
        <v>222</v>
      </c>
      <c r="AE230" t="s">
        <v>225</v>
      </c>
      <c r="AG230" t="s">
        <v>121</v>
      </c>
      <c r="AH230" t="s">
        <v>327</v>
      </c>
      <c r="AI230" t="s">
        <v>121</v>
      </c>
      <c r="AJ230" t="s">
        <v>717</v>
      </c>
      <c r="AK230" t="s">
        <v>121</v>
      </c>
    </row>
    <row r="231" spans="9:37" x14ac:dyDescent="0.3">
      <c r="I231">
        <f ca="1">IF(OR(INDIRECT(A73&amp;ROW())=B93,INDIRECT(A73&amp;ROW())=B94),1,IF(AND(INDIRECT(A73&amp;ROW())=B95,INDIRECT(A96&amp;ROW())=C93),1,IF(AND(INDIRECT(A73&amp;ROW())=B95,INDIRECT(A96&amp;ROW())=C94),1,0)))</f>
        <v>0</v>
      </c>
      <c r="J231">
        <f ca="1">IF(AND(INDIRECT(A73&amp;ROW())=B95,INDIRECT(A96&amp;ROW())=C95),1,IF(AND(INDIRECT(A73&amp;ROW())=B95,INDIRECT(A96&amp;ROW())=C96),1,0))</f>
        <v>0</v>
      </c>
      <c r="K231">
        <f ca="1">DAYS360(INDIRECT(C68&amp;ROW()),TODAY())</f>
        <v>721</v>
      </c>
      <c r="L231">
        <f ca="1">DAYS360(INDIRECT(C69&amp;ROW()),TODAY())</f>
        <v>827</v>
      </c>
      <c r="M231" s="11">
        <f ca="1">HYPERLINK(CONCATENATE("https://bugzilla.houston.hp.com:1181/bugzilla/show_bug.cgi?id=",INDIRECT(C70&amp;ROW())),INDIRECT(C70&amp;ROW()))</f>
        <v>55692</v>
      </c>
      <c r="N231">
        <v>55692</v>
      </c>
      <c r="O231" t="s">
        <v>36</v>
      </c>
      <c r="P231" t="s">
        <v>556</v>
      </c>
      <c r="Q231" t="s">
        <v>16</v>
      </c>
      <c r="R231" t="s">
        <v>248</v>
      </c>
      <c r="S231" t="s">
        <v>552</v>
      </c>
      <c r="U231" s="6">
        <v>42125.450833333336</v>
      </c>
      <c r="V231" t="s">
        <v>18</v>
      </c>
      <c r="W231" t="s">
        <v>17</v>
      </c>
      <c r="X231" s="6">
        <v>42019.375428240739</v>
      </c>
      <c r="Y231" t="s">
        <v>122</v>
      </c>
      <c r="AB231" t="s">
        <v>201</v>
      </c>
      <c r="AC231" t="s">
        <v>247</v>
      </c>
      <c r="AD231" t="s">
        <v>222</v>
      </c>
      <c r="AE231" t="s">
        <v>225</v>
      </c>
      <c r="AG231" t="s">
        <v>121</v>
      </c>
      <c r="AH231" t="s">
        <v>327</v>
      </c>
      <c r="AI231" t="s">
        <v>121</v>
      </c>
      <c r="AJ231" t="s">
        <v>717</v>
      </c>
      <c r="AK231" t="s">
        <v>121</v>
      </c>
    </row>
    <row r="232" spans="9:37" x14ac:dyDescent="0.3">
      <c r="I232">
        <f ca="1">IF(OR(INDIRECT(A73&amp;ROW())=B93,INDIRECT(A73&amp;ROW())=B94),1,IF(AND(INDIRECT(A73&amp;ROW())=B95,INDIRECT(A96&amp;ROW())=C93),1,IF(AND(INDIRECT(A73&amp;ROW())=B95,INDIRECT(A96&amp;ROW())=C94),1,0)))</f>
        <v>0</v>
      </c>
      <c r="J232">
        <f ca="1">IF(AND(INDIRECT(A73&amp;ROW())=B95,INDIRECT(A96&amp;ROW())=C95),1,IF(AND(INDIRECT(A73&amp;ROW())=B95,INDIRECT(A96&amp;ROW())=C96),1,0))</f>
        <v>0</v>
      </c>
      <c r="K232">
        <f ca="1">DAYS360(INDIRECT(C68&amp;ROW()),TODAY())</f>
        <v>729</v>
      </c>
      <c r="L232">
        <f ca="1">DAYS360(INDIRECT(C69&amp;ROW()),TODAY())</f>
        <v>827</v>
      </c>
      <c r="M232" s="11">
        <f ca="1">HYPERLINK(CONCATENATE("https://bugzilla.houston.hp.com:1181/bugzilla/show_bug.cgi?id=",INDIRECT(C70&amp;ROW())),INDIRECT(C70&amp;ROW()))</f>
        <v>55707</v>
      </c>
      <c r="N232">
        <v>55707</v>
      </c>
      <c r="O232" t="s">
        <v>374</v>
      </c>
      <c r="P232" t="s">
        <v>555</v>
      </c>
      <c r="Q232" t="s">
        <v>16</v>
      </c>
      <c r="R232" t="s">
        <v>251</v>
      </c>
      <c r="S232" t="s">
        <v>374</v>
      </c>
      <c r="U232" s="6">
        <v>42117.405405092592</v>
      </c>
      <c r="V232" t="s">
        <v>18</v>
      </c>
      <c r="W232" t="s">
        <v>17</v>
      </c>
      <c r="X232" s="6">
        <v>42019.951620370368</v>
      </c>
      <c r="Y232" t="s">
        <v>787</v>
      </c>
      <c r="AB232" t="s">
        <v>200</v>
      </c>
      <c r="AC232" t="s">
        <v>247</v>
      </c>
      <c r="AD232" t="s">
        <v>227</v>
      </c>
      <c r="AE232" t="s">
        <v>237</v>
      </c>
      <c r="AG232" t="s">
        <v>121</v>
      </c>
      <c r="AH232" t="s">
        <v>327</v>
      </c>
      <c r="AI232" t="s">
        <v>121</v>
      </c>
      <c r="AJ232" t="s">
        <v>716</v>
      </c>
      <c r="AK232" t="s">
        <v>121</v>
      </c>
    </row>
    <row r="233" spans="9:37" x14ac:dyDescent="0.3">
      <c r="I233">
        <f ca="1">IF(OR(INDIRECT(A73&amp;ROW())=B93,INDIRECT(A73&amp;ROW())=B94),1,IF(AND(INDIRECT(A73&amp;ROW())=B95,INDIRECT(A96&amp;ROW())=C93),1,IF(AND(INDIRECT(A73&amp;ROW())=B95,INDIRECT(A96&amp;ROW())=C94),1,0)))</f>
        <v>0</v>
      </c>
      <c r="J233">
        <f ca="1">IF(AND(INDIRECT(A73&amp;ROW())=B95,INDIRECT(A96&amp;ROW())=C95),1,IF(AND(INDIRECT(A73&amp;ROW())=B95,INDIRECT(A96&amp;ROW())=C96),1,0))</f>
        <v>1</v>
      </c>
      <c r="K233">
        <f ca="1">DAYS360(INDIRECT(C68&amp;ROW()),TODAY())</f>
        <v>730</v>
      </c>
      <c r="L233">
        <f ca="1">DAYS360(INDIRECT(C69&amp;ROW()),TODAY())</f>
        <v>826</v>
      </c>
      <c r="M233">
        <f ca="1">HYPERLINK(CONCATENATE("https://bugzilla.houston.hp.com:1181/bugzilla/show_bug.cgi?id=",INDIRECT(C70&amp;ROW())),INDIRECT(C70&amp;ROW()))</f>
        <v>55719</v>
      </c>
      <c r="N233">
        <v>55719</v>
      </c>
      <c r="O233" t="s">
        <v>21</v>
      </c>
      <c r="P233" t="s">
        <v>554</v>
      </c>
      <c r="Q233" t="s">
        <v>25</v>
      </c>
      <c r="R233" t="s">
        <v>251</v>
      </c>
      <c r="S233" t="s">
        <v>553</v>
      </c>
      <c r="U233" s="6">
        <v>42116.734351851854</v>
      </c>
      <c r="V233" t="s">
        <v>35</v>
      </c>
      <c r="W233" t="s">
        <v>17</v>
      </c>
      <c r="X233" s="6">
        <v>42020.166122685187</v>
      </c>
      <c r="Y233" t="s">
        <v>124</v>
      </c>
      <c r="AB233" t="s">
        <v>201</v>
      </c>
      <c r="AC233" t="s">
        <v>247</v>
      </c>
      <c r="AD233" t="s">
        <v>222</v>
      </c>
      <c r="AE233" t="s">
        <v>221</v>
      </c>
      <c r="AG233" t="s">
        <v>121</v>
      </c>
      <c r="AH233" t="s">
        <v>327</v>
      </c>
      <c r="AI233" t="s">
        <v>121</v>
      </c>
      <c r="AJ233" t="s">
        <v>716</v>
      </c>
      <c r="AK233" t="s">
        <v>121</v>
      </c>
    </row>
    <row r="234" spans="9:37" x14ac:dyDescent="0.3">
      <c r="I234">
        <f ca="1">IF(OR(INDIRECT(A73&amp;ROW())=B93,INDIRECT(A73&amp;ROW())=B94),1,IF(AND(INDIRECT(A73&amp;ROW())=B95,INDIRECT(A96&amp;ROW())=C93),1,IF(AND(INDIRECT(A73&amp;ROW())=B95,INDIRECT(A96&amp;ROW())=C94),1,0)))</f>
        <v>0</v>
      </c>
      <c r="J234">
        <f ca="1">IF(AND(INDIRECT(A73&amp;ROW())=B95,INDIRECT(A96&amp;ROW())=C95),1,IF(AND(INDIRECT(A73&amp;ROW())=B95,INDIRECT(A96&amp;ROW())=C96),1,0))</f>
        <v>0</v>
      </c>
      <c r="K234">
        <f ca="1">DAYS360(INDIRECT(C68&amp;ROW()),TODAY())</f>
        <v>695</v>
      </c>
      <c r="L234">
        <f ca="1">DAYS360(INDIRECT(C69&amp;ROW()),TODAY())</f>
        <v>826</v>
      </c>
      <c r="M234">
        <f ca="1">HYPERLINK(CONCATENATE("https://bugzilla.houston.hp.com:1181/bugzilla/show_bug.cgi?id=",INDIRECT(C70&amp;ROW())),INDIRECT(C70&amp;ROW()))</f>
        <v>55766</v>
      </c>
      <c r="N234">
        <v>55766</v>
      </c>
      <c r="O234" t="s">
        <v>856</v>
      </c>
      <c r="P234" t="s">
        <v>558</v>
      </c>
      <c r="Q234" t="s">
        <v>16</v>
      </c>
      <c r="R234" t="s">
        <v>251</v>
      </c>
      <c r="S234" t="s">
        <v>43</v>
      </c>
      <c r="T234" t="s">
        <v>48</v>
      </c>
      <c r="U234" s="6">
        <v>42151.009201388886</v>
      </c>
      <c r="V234" t="s">
        <v>35</v>
      </c>
      <c r="W234" t="s">
        <v>17</v>
      </c>
      <c r="X234" s="6">
        <v>42020.673159722224</v>
      </c>
      <c r="Y234" t="s">
        <v>122</v>
      </c>
      <c r="AB234" t="s">
        <v>200</v>
      </c>
      <c r="AC234" t="s">
        <v>247</v>
      </c>
      <c r="AD234" t="s">
        <v>220</v>
      </c>
      <c r="AE234" t="s">
        <v>219</v>
      </c>
      <c r="AG234" t="s">
        <v>121</v>
      </c>
      <c r="AH234" t="s">
        <v>327</v>
      </c>
      <c r="AI234" t="s">
        <v>121</v>
      </c>
      <c r="AJ234" t="s">
        <v>716</v>
      </c>
      <c r="AK234" t="s">
        <v>121</v>
      </c>
    </row>
    <row r="235" spans="9:37" x14ac:dyDescent="0.3">
      <c r="I235">
        <f ca="1">IF(OR(INDIRECT(A73&amp;ROW())=B93,INDIRECT(A73&amp;ROW())=B94),1,IF(AND(INDIRECT(A73&amp;ROW())=B95,INDIRECT(A96&amp;ROW())=C93),1,IF(AND(INDIRECT(A73&amp;ROW())=B95,INDIRECT(A96&amp;ROW())=C94),1,0)))</f>
        <v>0</v>
      </c>
      <c r="J235">
        <f ca="1">IF(AND(INDIRECT(A73&amp;ROW())=B95,INDIRECT(A96&amp;ROW())=C95),1,IF(AND(INDIRECT(A73&amp;ROW())=B95,INDIRECT(A96&amp;ROW())=C96),1,0))</f>
        <v>0</v>
      </c>
      <c r="K235">
        <f ca="1">DAYS360(INDIRECT(C68&amp;ROW()),TODAY())</f>
        <v>728</v>
      </c>
      <c r="L235">
        <f ca="1">DAYS360(INDIRECT(C69&amp;ROW()),TODAY())</f>
        <v>821</v>
      </c>
      <c r="M235">
        <f ca="1">HYPERLINK(CONCATENATE("https://bugzilla.houston.hp.com:1181/bugzilla/show_bug.cgi?id=",INDIRECT(C70&amp;ROW())),INDIRECT(C70&amp;ROW()))</f>
        <v>55900</v>
      </c>
      <c r="N235">
        <v>55900</v>
      </c>
      <c r="O235" t="s">
        <v>56</v>
      </c>
      <c r="P235" t="s">
        <v>566</v>
      </c>
      <c r="Q235" t="s">
        <v>16</v>
      </c>
      <c r="R235" t="s">
        <v>251</v>
      </c>
      <c r="S235" t="s">
        <v>59</v>
      </c>
      <c r="U235" s="6">
        <v>42118.523414351854</v>
      </c>
      <c r="V235" t="s">
        <v>18</v>
      </c>
      <c r="W235" t="s">
        <v>17</v>
      </c>
      <c r="X235" s="6">
        <v>42025.187048611115</v>
      </c>
      <c r="Y235" t="s">
        <v>788</v>
      </c>
      <c r="AB235" t="s">
        <v>201</v>
      </c>
      <c r="AC235" t="s">
        <v>247</v>
      </c>
      <c r="AD235" t="s">
        <v>220</v>
      </c>
      <c r="AE235" t="s">
        <v>219</v>
      </c>
      <c r="AG235" t="s">
        <v>121</v>
      </c>
      <c r="AH235" t="s">
        <v>327</v>
      </c>
      <c r="AI235" t="s">
        <v>121</v>
      </c>
      <c r="AJ235" t="s">
        <v>717</v>
      </c>
      <c r="AK235" t="s">
        <v>121</v>
      </c>
    </row>
    <row r="236" spans="9:37" x14ac:dyDescent="0.3">
      <c r="I236">
        <f ca="1">IF(OR(INDIRECT(A73&amp;ROW())=B93,INDIRECT(A73&amp;ROW())=B94),1,IF(AND(INDIRECT(A73&amp;ROW())=B95,INDIRECT(A96&amp;ROW())=C93),1,IF(AND(INDIRECT(A73&amp;ROW())=B95,INDIRECT(A96&amp;ROW())=C94),1,0)))</f>
        <v>0</v>
      </c>
      <c r="J236">
        <f ca="1">IF(AND(INDIRECT(A73&amp;ROW())=B95,INDIRECT(A96&amp;ROW())=C95),1,IF(AND(INDIRECT(A73&amp;ROW())=B95,INDIRECT(A96&amp;ROW())=C96),1,0))</f>
        <v>0</v>
      </c>
      <c r="K236">
        <f ca="1">DAYS360(INDIRECT(C68&amp;ROW()),TODAY())</f>
        <v>728</v>
      </c>
      <c r="L236">
        <f ca="1">DAYS360(INDIRECT(C69&amp;ROW()),TODAY())</f>
        <v>821</v>
      </c>
      <c r="M236">
        <f ca="1">HYPERLINK(CONCATENATE("https://bugzilla.houston.hp.com:1181/bugzilla/show_bug.cgi?id=",INDIRECT(C70&amp;ROW())),INDIRECT(C70&amp;ROW()))</f>
        <v>55915</v>
      </c>
      <c r="N236">
        <v>55915</v>
      </c>
      <c r="O236" t="s">
        <v>66</v>
      </c>
      <c r="P236" t="s">
        <v>565</v>
      </c>
      <c r="Q236" t="s">
        <v>16</v>
      </c>
      <c r="R236" t="s">
        <v>251</v>
      </c>
      <c r="S236" t="s">
        <v>66</v>
      </c>
      <c r="U236" s="6">
        <v>42118.523506944446</v>
      </c>
      <c r="V236" t="s">
        <v>18</v>
      </c>
      <c r="W236" t="s">
        <v>17</v>
      </c>
      <c r="X236" s="6">
        <v>42025.416770833333</v>
      </c>
      <c r="Y236" t="s">
        <v>124</v>
      </c>
      <c r="AB236" t="s">
        <v>201</v>
      </c>
      <c r="AC236" t="s">
        <v>247</v>
      </c>
      <c r="AD236" t="s">
        <v>220</v>
      </c>
      <c r="AE236" t="s">
        <v>219</v>
      </c>
      <c r="AG236" t="s">
        <v>121</v>
      </c>
      <c r="AH236" t="s">
        <v>327</v>
      </c>
      <c r="AI236" t="s">
        <v>121</v>
      </c>
      <c r="AJ236" t="s">
        <v>717</v>
      </c>
      <c r="AK236" t="s">
        <v>121</v>
      </c>
    </row>
    <row r="237" spans="9:37" x14ac:dyDescent="0.3">
      <c r="I237">
        <f ca="1">IF(OR(INDIRECT(A73&amp;ROW())=B93,INDIRECT(A73&amp;ROW())=B94),1,IF(AND(INDIRECT(A73&amp;ROW())=B95,INDIRECT(A96&amp;ROW())=C93),1,IF(AND(INDIRECT(A73&amp;ROW())=B95,INDIRECT(A96&amp;ROW())=C94),1,0)))</f>
        <v>0</v>
      </c>
      <c r="J237">
        <f ca="1">IF(AND(INDIRECT(A73&amp;ROW())=B95,INDIRECT(A96&amp;ROW())=C95),1,IF(AND(INDIRECT(A73&amp;ROW())=B95,INDIRECT(A96&amp;ROW())=C96),1,0))</f>
        <v>1</v>
      </c>
      <c r="K237">
        <f ca="1">DAYS360(INDIRECT(C68&amp;ROW()),TODAY())</f>
        <v>728</v>
      </c>
      <c r="L237">
        <f ca="1">DAYS360(INDIRECT(C69&amp;ROW()),TODAY())</f>
        <v>821</v>
      </c>
      <c r="M237">
        <f ca="1">HYPERLINK(CONCATENATE("https://bugzilla.houston.hp.com:1181/bugzilla/show_bug.cgi?id=",INDIRECT(C70&amp;ROW())),INDIRECT(C70&amp;ROW()))</f>
        <v>55920</v>
      </c>
      <c r="N237">
        <v>55920</v>
      </c>
      <c r="O237" t="s">
        <v>66</v>
      </c>
      <c r="P237" t="s">
        <v>564</v>
      </c>
      <c r="Q237" t="s">
        <v>25</v>
      </c>
      <c r="R237" t="s">
        <v>251</v>
      </c>
      <c r="S237" t="s">
        <v>66</v>
      </c>
      <c r="U237" s="6">
        <v>42118.33730324074</v>
      </c>
      <c r="V237" t="s">
        <v>18</v>
      </c>
      <c r="W237" t="s">
        <v>17</v>
      </c>
      <c r="X237" s="6">
        <v>42025.463854166665</v>
      </c>
      <c r="Y237" t="s">
        <v>124</v>
      </c>
      <c r="AB237" t="s">
        <v>201</v>
      </c>
      <c r="AC237" t="s">
        <v>247</v>
      </c>
      <c r="AD237" t="s">
        <v>220</v>
      </c>
      <c r="AE237" t="s">
        <v>219</v>
      </c>
      <c r="AG237" t="s">
        <v>121</v>
      </c>
      <c r="AH237" t="s">
        <v>327</v>
      </c>
      <c r="AI237" t="s">
        <v>121</v>
      </c>
      <c r="AJ237" t="s">
        <v>716</v>
      </c>
      <c r="AK237" t="s">
        <v>121</v>
      </c>
    </row>
    <row r="238" spans="9:37" x14ac:dyDescent="0.3">
      <c r="I238">
        <f ca="1">IF(OR(INDIRECT(A73&amp;ROW())=B93,INDIRECT(A73&amp;ROW())=B94),1,IF(AND(INDIRECT(A73&amp;ROW())=B95,INDIRECT(A96&amp;ROW())=C93),1,IF(AND(INDIRECT(A73&amp;ROW())=B95,INDIRECT(A96&amp;ROW())=C94),1,0)))</f>
        <v>0</v>
      </c>
      <c r="J238">
        <f ca="1">IF(AND(INDIRECT(A73&amp;ROW())=B95,INDIRECT(A96&amp;ROW())=C95),1,IF(AND(INDIRECT(A73&amp;ROW())=B95,INDIRECT(A96&amp;ROW())=C96),1,0))</f>
        <v>1</v>
      </c>
      <c r="K238">
        <f ca="1">DAYS360(INDIRECT(C68&amp;ROW()),TODAY())</f>
        <v>800</v>
      </c>
      <c r="L238">
        <f ca="1">DAYS360(INDIRECT(C69&amp;ROW()),TODAY())</f>
        <v>821</v>
      </c>
      <c r="M238">
        <f ca="1">HYPERLINK(CONCATENATE("https://bugzilla.houston.hp.com:1181/bugzilla/show_bug.cgi?id=",INDIRECT(C70&amp;ROW())),INDIRECT(C70&amp;ROW()))</f>
        <v>55923</v>
      </c>
      <c r="N238">
        <v>55923</v>
      </c>
      <c r="O238" t="s">
        <v>56</v>
      </c>
      <c r="P238" t="s">
        <v>563</v>
      </c>
      <c r="Q238" t="s">
        <v>25</v>
      </c>
      <c r="R238" t="s">
        <v>248</v>
      </c>
      <c r="S238" t="s">
        <v>552</v>
      </c>
      <c r="U238" s="6">
        <v>42047.512106481481</v>
      </c>
      <c r="V238" t="s">
        <v>18</v>
      </c>
      <c r="W238" t="s">
        <v>322</v>
      </c>
      <c r="X238" s="6">
        <v>42025.479351851849</v>
      </c>
      <c r="Y238" t="s">
        <v>124</v>
      </c>
      <c r="AB238" t="s">
        <v>201</v>
      </c>
      <c r="AC238" t="s">
        <v>247</v>
      </c>
      <c r="AD238" t="s">
        <v>220</v>
      </c>
      <c r="AE238" t="s">
        <v>219</v>
      </c>
      <c r="AG238" t="s">
        <v>121</v>
      </c>
      <c r="AH238" t="s">
        <v>327</v>
      </c>
      <c r="AI238" t="s">
        <v>121</v>
      </c>
      <c r="AJ238" t="s">
        <v>716</v>
      </c>
      <c r="AK238" t="s">
        <v>121</v>
      </c>
    </row>
    <row r="239" spans="9:37" x14ac:dyDescent="0.3">
      <c r="I239">
        <f ca="1">IF(OR(INDIRECT(A73&amp;ROW())=B93,INDIRECT(A73&amp;ROW())=B94),1,IF(AND(INDIRECT(A73&amp;ROW())=B95,INDIRECT(A96&amp;ROW())=C93),1,IF(AND(INDIRECT(A73&amp;ROW())=B95,INDIRECT(A96&amp;ROW())=C94),1,0)))</f>
        <v>0</v>
      </c>
      <c r="J239">
        <f ca="1">IF(AND(INDIRECT(A73&amp;ROW())=B95,INDIRECT(A96&amp;ROW())=C95),1,IF(AND(INDIRECT(A73&amp;ROW())=B95,INDIRECT(A96&amp;ROW())=C96),1,0))</f>
        <v>1</v>
      </c>
      <c r="K239">
        <f ca="1">DAYS360(INDIRECT(C68&amp;ROW()),TODAY())</f>
        <v>721</v>
      </c>
      <c r="L239">
        <f ca="1">DAYS360(INDIRECT(C69&amp;ROW()),TODAY())</f>
        <v>821</v>
      </c>
      <c r="M239">
        <f ca="1">HYPERLINK(CONCATENATE("https://bugzilla.houston.hp.com:1181/bugzilla/show_bug.cgi?id=",INDIRECT(C70&amp;ROW())),INDIRECT(C70&amp;ROW()))</f>
        <v>55928</v>
      </c>
      <c r="N239">
        <v>55928</v>
      </c>
      <c r="O239" t="s">
        <v>56</v>
      </c>
      <c r="P239" t="s">
        <v>562</v>
      </c>
      <c r="Q239" t="s">
        <v>25</v>
      </c>
      <c r="R239" t="s">
        <v>251</v>
      </c>
      <c r="S239" t="s">
        <v>66</v>
      </c>
      <c r="U239" s="6">
        <v>42125.450821759259</v>
      </c>
      <c r="V239" t="s">
        <v>18</v>
      </c>
      <c r="W239" t="s">
        <v>17</v>
      </c>
      <c r="X239" s="6">
        <v>42025.595729166664</v>
      </c>
      <c r="Y239" t="s">
        <v>122</v>
      </c>
      <c r="AB239" t="s">
        <v>201</v>
      </c>
      <c r="AC239" t="s">
        <v>247</v>
      </c>
      <c r="AD239" t="s">
        <v>220</v>
      </c>
      <c r="AE239" t="s">
        <v>219</v>
      </c>
      <c r="AG239" t="s">
        <v>121</v>
      </c>
      <c r="AH239" t="s">
        <v>327</v>
      </c>
      <c r="AI239" t="s">
        <v>121</v>
      </c>
      <c r="AJ239" t="s">
        <v>716</v>
      </c>
      <c r="AK239" t="s">
        <v>121</v>
      </c>
    </row>
    <row r="240" spans="9:37" x14ac:dyDescent="0.3">
      <c r="I240">
        <f ca="1">IF(OR(INDIRECT(A73&amp;ROW())=B93,INDIRECT(A73&amp;ROW())=B94),1,IF(AND(INDIRECT(A73&amp;ROW())=B95,INDIRECT(A96&amp;ROW())=C93),1,IF(AND(INDIRECT(A73&amp;ROW())=B95,INDIRECT(A96&amp;ROW())=C94),1,0)))</f>
        <v>0</v>
      </c>
      <c r="J240">
        <f ca="1">IF(AND(INDIRECT(A73&amp;ROW())=B95,INDIRECT(A96&amp;ROW())=C95),1,IF(AND(INDIRECT(A73&amp;ROW())=B95,INDIRECT(A96&amp;ROW())=C96),1,0))</f>
        <v>1</v>
      </c>
      <c r="K240">
        <f ca="1">DAYS360(INDIRECT(C68&amp;ROW()),TODAY())</f>
        <v>721</v>
      </c>
      <c r="L240">
        <f ca="1">DAYS360(INDIRECT(C69&amp;ROW()),TODAY())</f>
        <v>821</v>
      </c>
      <c r="M240">
        <f ca="1">HYPERLINK(CONCATENATE("https://bugzilla.houston.hp.com:1181/bugzilla/show_bug.cgi?id=",INDIRECT(C70&amp;ROW())),INDIRECT(C70&amp;ROW()))</f>
        <v>55929</v>
      </c>
      <c r="N240">
        <v>55929</v>
      </c>
      <c r="O240" t="s">
        <v>66</v>
      </c>
      <c r="P240" t="s">
        <v>561</v>
      </c>
      <c r="Q240" t="s">
        <v>25</v>
      </c>
      <c r="R240" t="s">
        <v>251</v>
      </c>
      <c r="S240" t="s">
        <v>66</v>
      </c>
      <c r="U240" s="6">
        <v>42125.451828703706</v>
      </c>
      <c r="V240" t="s">
        <v>18</v>
      </c>
      <c r="W240" t="s">
        <v>17</v>
      </c>
      <c r="X240" s="6">
        <v>42025.615925925929</v>
      </c>
      <c r="Y240" t="s">
        <v>122</v>
      </c>
      <c r="AB240" t="s">
        <v>201</v>
      </c>
      <c r="AC240" t="s">
        <v>247</v>
      </c>
      <c r="AD240" t="s">
        <v>220</v>
      </c>
      <c r="AE240" t="s">
        <v>219</v>
      </c>
      <c r="AG240" t="s">
        <v>121</v>
      </c>
      <c r="AH240" t="s">
        <v>327</v>
      </c>
      <c r="AI240" t="s">
        <v>121</v>
      </c>
      <c r="AJ240" t="s">
        <v>716</v>
      </c>
      <c r="AK240" t="s">
        <v>121</v>
      </c>
    </row>
    <row r="241" spans="9:37" x14ac:dyDescent="0.3">
      <c r="I241">
        <f ca="1">IF(OR(INDIRECT(A73&amp;ROW())=B93,INDIRECT(A73&amp;ROW())=B94),1,IF(AND(INDIRECT(A73&amp;ROW())=B95,INDIRECT(A96&amp;ROW())=C93),1,IF(AND(INDIRECT(A73&amp;ROW())=B95,INDIRECT(A96&amp;ROW())=C94),1,0)))</f>
        <v>0</v>
      </c>
      <c r="J241">
        <f ca="1">IF(AND(INDIRECT(A73&amp;ROW())=B95,INDIRECT(A96&amp;ROW())=C95),1,IF(AND(INDIRECT(A73&amp;ROW())=B95,INDIRECT(A96&amp;ROW())=C96),1,0))</f>
        <v>1</v>
      </c>
      <c r="K241">
        <f ca="1">DAYS360(INDIRECT(C68&amp;ROW()),TODAY())</f>
        <v>721</v>
      </c>
      <c r="L241">
        <f ca="1">DAYS360(INDIRECT(C69&amp;ROW()),TODAY())</f>
        <v>821</v>
      </c>
      <c r="M241">
        <f ca="1">HYPERLINK(CONCATENATE("https://bugzilla.houston.hp.com:1181/bugzilla/show_bug.cgi?id=",INDIRECT(C70&amp;ROW())),INDIRECT(C70&amp;ROW()))</f>
        <v>55934</v>
      </c>
      <c r="N241">
        <v>55934</v>
      </c>
      <c r="O241" t="s">
        <v>56</v>
      </c>
      <c r="P241" t="s">
        <v>560</v>
      </c>
      <c r="Q241" t="s">
        <v>25</v>
      </c>
      <c r="R241" t="s">
        <v>248</v>
      </c>
      <c r="S241" t="s">
        <v>552</v>
      </c>
      <c r="U241" s="6">
        <v>42125.451736111114</v>
      </c>
      <c r="V241" t="s">
        <v>18</v>
      </c>
      <c r="W241" t="s">
        <v>322</v>
      </c>
      <c r="X241" s="6">
        <v>42025.632627314815</v>
      </c>
      <c r="Y241" t="s">
        <v>122</v>
      </c>
      <c r="AB241" t="s">
        <v>201</v>
      </c>
      <c r="AC241" t="s">
        <v>247</v>
      </c>
      <c r="AD241" t="s">
        <v>220</v>
      </c>
      <c r="AE241" t="s">
        <v>219</v>
      </c>
      <c r="AG241" t="s">
        <v>121</v>
      </c>
      <c r="AH241" t="s">
        <v>327</v>
      </c>
      <c r="AI241" t="s">
        <v>121</v>
      </c>
      <c r="AJ241" t="s">
        <v>716</v>
      </c>
      <c r="AK241" t="s">
        <v>121</v>
      </c>
    </row>
    <row r="242" spans="9:37" x14ac:dyDescent="0.3">
      <c r="I242">
        <f ca="1">IF(OR(INDIRECT(A73&amp;ROW())=B93,INDIRECT(A73&amp;ROW())=B94),1,IF(AND(INDIRECT(A73&amp;ROW())=B95,INDIRECT(A96&amp;ROW())=C93),1,IF(AND(INDIRECT(A73&amp;ROW())=B95,INDIRECT(A96&amp;ROW())=C94),1,0)))</f>
        <v>0</v>
      </c>
      <c r="J242">
        <f ca="1">IF(AND(INDIRECT(A73&amp;ROW())=B95,INDIRECT(A96&amp;ROW())=C95),1,IF(AND(INDIRECT(A73&amp;ROW())=B95,INDIRECT(A96&amp;ROW())=C96),1,0))</f>
        <v>1</v>
      </c>
      <c r="K242">
        <f ca="1">DAYS360(INDIRECT(C68&amp;ROW()),TODAY())</f>
        <v>721</v>
      </c>
      <c r="L242">
        <f ca="1">DAYS360(INDIRECT(C69&amp;ROW()),TODAY())</f>
        <v>821</v>
      </c>
      <c r="M242">
        <f ca="1">HYPERLINK(CONCATENATE("https://bugzilla.houston.hp.com:1181/bugzilla/show_bug.cgi?id=",INDIRECT(C70&amp;ROW())),INDIRECT(C70&amp;ROW()))</f>
        <v>55935</v>
      </c>
      <c r="N242">
        <v>55935</v>
      </c>
      <c r="O242" t="s">
        <v>56</v>
      </c>
      <c r="P242" t="s">
        <v>559</v>
      </c>
      <c r="Q242" t="s">
        <v>25</v>
      </c>
      <c r="R242" t="s">
        <v>248</v>
      </c>
      <c r="S242" t="s">
        <v>552</v>
      </c>
      <c r="U242" s="6">
        <v>42125.450902777775</v>
      </c>
      <c r="V242" t="s">
        <v>18</v>
      </c>
      <c r="W242" t="s">
        <v>322</v>
      </c>
      <c r="X242" s="6">
        <v>42025.634236111109</v>
      </c>
      <c r="Y242" t="s">
        <v>122</v>
      </c>
      <c r="AB242" t="s">
        <v>201</v>
      </c>
      <c r="AC242" t="s">
        <v>247</v>
      </c>
      <c r="AD242" t="s">
        <v>220</v>
      </c>
      <c r="AE242" t="s">
        <v>219</v>
      </c>
      <c r="AG242" t="s">
        <v>121</v>
      </c>
      <c r="AH242" t="s">
        <v>327</v>
      </c>
      <c r="AI242" t="s">
        <v>121</v>
      </c>
      <c r="AJ242" t="s">
        <v>716</v>
      </c>
      <c r="AK242" t="s">
        <v>121</v>
      </c>
    </row>
    <row r="243" spans="9:37" x14ac:dyDescent="0.3">
      <c r="I243">
        <f ca="1">IF(OR(INDIRECT(A73&amp;ROW())=B93,INDIRECT(A73&amp;ROW())=B94),1,IF(AND(INDIRECT(A73&amp;ROW())=B95,INDIRECT(A96&amp;ROW())=C93),1,IF(AND(INDIRECT(A73&amp;ROW())=B95,INDIRECT(A96&amp;ROW())=C94),1,0)))</f>
        <v>0</v>
      </c>
      <c r="J243">
        <f ca="1">IF(AND(INDIRECT(A73&amp;ROW())=B95,INDIRECT(A96&amp;ROW())=C95),1,IF(AND(INDIRECT(A73&amp;ROW())=B95,INDIRECT(A96&amp;ROW())=C96),1,0))</f>
        <v>1</v>
      </c>
      <c r="K243">
        <f ca="1">DAYS360(INDIRECT(C68&amp;ROW()),TODAY())</f>
        <v>721</v>
      </c>
      <c r="L243">
        <f ca="1">DAYS360(INDIRECT(C69&amp;ROW()),TODAY())</f>
        <v>820</v>
      </c>
      <c r="M243">
        <f ca="1">HYPERLINK(CONCATENATE("https://bugzilla.houston.hp.com:1181/bugzilla/show_bug.cgi?id=",INDIRECT(C70&amp;ROW())),INDIRECT(C70&amp;ROW()))</f>
        <v>55967</v>
      </c>
      <c r="N243">
        <v>55967</v>
      </c>
      <c r="O243" t="s">
        <v>21</v>
      </c>
      <c r="P243" t="s">
        <v>575</v>
      </c>
      <c r="Q243" t="s">
        <v>25</v>
      </c>
      <c r="R243" t="s">
        <v>251</v>
      </c>
      <c r="S243" t="s">
        <v>316</v>
      </c>
      <c r="U243" s="6">
        <v>42125.676608796297</v>
      </c>
      <c r="V243" t="s">
        <v>18</v>
      </c>
      <c r="W243" t="s">
        <v>17</v>
      </c>
      <c r="X243" s="6">
        <v>42026.318402777775</v>
      </c>
      <c r="Y243" t="s">
        <v>255</v>
      </c>
      <c r="AB243" t="s">
        <v>201</v>
      </c>
      <c r="AC243" t="s">
        <v>247</v>
      </c>
      <c r="AD243" t="s">
        <v>222</v>
      </c>
      <c r="AE243" t="s">
        <v>225</v>
      </c>
      <c r="AG243" t="s">
        <v>121</v>
      </c>
      <c r="AH243" t="s">
        <v>327</v>
      </c>
      <c r="AI243" t="s">
        <v>362</v>
      </c>
      <c r="AJ243" t="s">
        <v>716</v>
      </c>
      <c r="AK243" t="s">
        <v>121</v>
      </c>
    </row>
    <row r="244" spans="9:37" x14ac:dyDescent="0.3">
      <c r="I244">
        <f ca="1">IF(OR(INDIRECT(A73&amp;ROW())=B93,INDIRECT(A73&amp;ROW())=B94),1,IF(AND(INDIRECT(A73&amp;ROW())=B95,INDIRECT(A96&amp;ROW())=C93),1,IF(AND(INDIRECT(A73&amp;ROW())=B95,INDIRECT(A96&amp;ROW())=C94),1,0)))</f>
        <v>0</v>
      </c>
      <c r="J244">
        <f ca="1">IF(AND(INDIRECT(A73&amp;ROW())=B95,INDIRECT(A96&amp;ROW())=C95),1,IF(AND(INDIRECT(A73&amp;ROW())=B95,INDIRECT(A96&amp;ROW())=C96),1,0))</f>
        <v>1</v>
      </c>
      <c r="K244">
        <f ca="1">DAYS360(INDIRECT(C68&amp;ROW()),TODAY())</f>
        <v>721</v>
      </c>
      <c r="L244">
        <f ca="1">DAYS360(INDIRECT(C69&amp;ROW()),TODAY())</f>
        <v>820</v>
      </c>
      <c r="M244">
        <f ca="1">HYPERLINK(CONCATENATE("https://bugzilla.houston.hp.com:1181/bugzilla/show_bug.cgi?id=",INDIRECT(C70&amp;ROW())),INDIRECT(C70&amp;ROW()))</f>
        <v>55968</v>
      </c>
      <c r="N244">
        <v>55968</v>
      </c>
      <c r="O244" t="s">
        <v>21</v>
      </c>
      <c r="P244" t="s">
        <v>574</v>
      </c>
      <c r="Q244" t="s">
        <v>25</v>
      </c>
      <c r="R244" t="s">
        <v>251</v>
      </c>
      <c r="S244" t="s">
        <v>316</v>
      </c>
      <c r="U244" s="6">
        <v>42125.677905092591</v>
      </c>
      <c r="V244" t="s">
        <v>18</v>
      </c>
      <c r="W244" t="s">
        <v>17</v>
      </c>
      <c r="X244" s="6">
        <v>42026.333229166667</v>
      </c>
      <c r="Y244" t="s">
        <v>255</v>
      </c>
      <c r="AB244" t="s">
        <v>201</v>
      </c>
      <c r="AC244" t="s">
        <v>247</v>
      </c>
      <c r="AD244" t="s">
        <v>222</v>
      </c>
      <c r="AE244" t="s">
        <v>240</v>
      </c>
      <c r="AG244" t="s">
        <v>121</v>
      </c>
      <c r="AH244" t="s">
        <v>327</v>
      </c>
      <c r="AI244" t="s">
        <v>121</v>
      </c>
      <c r="AJ244" t="s">
        <v>716</v>
      </c>
      <c r="AK244" t="s">
        <v>121</v>
      </c>
    </row>
    <row r="245" spans="9:37" x14ac:dyDescent="0.3">
      <c r="I245">
        <f ca="1">IF(OR(INDIRECT(A73&amp;ROW())=B93,INDIRECT(A73&amp;ROW())=B94),1,IF(AND(INDIRECT(A73&amp;ROW())=B95,INDIRECT(A96&amp;ROW())=C93),1,IF(AND(INDIRECT(A73&amp;ROW())=B95,INDIRECT(A96&amp;ROW())=C94),1,0)))</f>
        <v>0</v>
      </c>
      <c r="J245">
        <f ca="1">IF(AND(INDIRECT(A73&amp;ROW())=B95,INDIRECT(A96&amp;ROW())=C95),1,IF(AND(INDIRECT(A73&amp;ROW())=B95,INDIRECT(A96&amp;ROW())=C96),1,0))</f>
        <v>1</v>
      </c>
      <c r="K245">
        <f ca="1">DAYS360(INDIRECT(C68&amp;ROW()),TODAY())</f>
        <v>721</v>
      </c>
      <c r="L245">
        <f ca="1">DAYS360(INDIRECT(C69&amp;ROW()),TODAY())</f>
        <v>820</v>
      </c>
      <c r="M245">
        <f ca="1">HYPERLINK(CONCATENATE("https://bugzilla.houston.hp.com:1181/bugzilla/show_bug.cgi?id=",INDIRECT(C70&amp;ROW())),INDIRECT(C70&amp;ROW()))</f>
        <v>55971</v>
      </c>
      <c r="N245">
        <v>55971</v>
      </c>
      <c r="O245" t="s">
        <v>56</v>
      </c>
      <c r="P245" t="s">
        <v>570</v>
      </c>
      <c r="Q245" t="s">
        <v>25</v>
      </c>
      <c r="R245" t="s">
        <v>251</v>
      </c>
      <c r="S245" t="s">
        <v>66</v>
      </c>
      <c r="U245" s="6">
        <v>42125.45171296296</v>
      </c>
      <c r="V245" t="s">
        <v>18</v>
      </c>
      <c r="W245" t="s">
        <v>17</v>
      </c>
      <c r="X245" s="6">
        <v>42026.434212962966</v>
      </c>
      <c r="Y245" t="s">
        <v>122</v>
      </c>
      <c r="AB245" t="s">
        <v>201</v>
      </c>
      <c r="AC245" t="s">
        <v>247</v>
      </c>
      <c r="AD245" t="s">
        <v>220</v>
      </c>
      <c r="AE245" t="s">
        <v>219</v>
      </c>
      <c r="AG245" t="s">
        <v>121</v>
      </c>
      <c r="AH245" t="s">
        <v>327</v>
      </c>
      <c r="AI245" t="s">
        <v>121</v>
      </c>
      <c r="AJ245" t="s">
        <v>716</v>
      </c>
      <c r="AK245" t="s">
        <v>121</v>
      </c>
    </row>
    <row r="246" spans="9:37" x14ac:dyDescent="0.3">
      <c r="I246">
        <f ca="1">IF(OR(INDIRECT(A73&amp;ROW())=B93,INDIRECT(A73&amp;ROW())=B94),1,IF(AND(INDIRECT(A73&amp;ROW())=B95,INDIRECT(A96&amp;ROW())=C93),1,IF(AND(INDIRECT(A73&amp;ROW())=B95,INDIRECT(A96&amp;ROW())=C94),1,0)))</f>
        <v>0</v>
      </c>
      <c r="J246">
        <f ca="1">IF(AND(INDIRECT(A73&amp;ROW())=B95,INDIRECT(A96&amp;ROW())=C95),1,IF(AND(INDIRECT(A73&amp;ROW())=B95,INDIRECT(A96&amp;ROW())=C96),1,0))</f>
        <v>1</v>
      </c>
      <c r="K246">
        <f ca="1">DAYS360(INDIRECT(C68&amp;ROW()),TODAY())</f>
        <v>721</v>
      </c>
      <c r="L246">
        <f ca="1">DAYS360(INDIRECT(C69&amp;ROW()),TODAY())</f>
        <v>820</v>
      </c>
      <c r="M246">
        <f ca="1">HYPERLINK(CONCATENATE("https://bugzilla.houston.hp.com:1181/bugzilla/show_bug.cgi?id=",INDIRECT(C70&amp;ROW())),INDIRECT(C70&amp;ROW()))</f>
        <v>55972</v>
      </c>
      <c r="N246">
        <v>55972</v>
      </c>
      <c r="O246" t="s">
        <v>56</v>
      </c>
      <c r="P246" t="s">
        <v>609</v>
      </c>
      <c r="Q246" t="s">
        <v>25</v>
      </c>
      <c r="R246" t="s">
        <v>251</v>
      </c>
      <c r="S246" t="s">
        <v>66</v>
      </c>
      <c r="U246" s="6">
        <v>42125.451805555553</v>
      </c>
      <c r="V246" t="s">
        <v>18</v>
      </c>
      <c r="W246" t="s">
        <v>17</v>
      </c>
      <c r="X246" s="6">
        <v>42026.457569444443</v>
      </c>
      <c r="Y246" t="s">
        <v>122</v>
      </c>
      <c r="AB246" t="s">
        <v>201</v>
      </c>
      <c r="AC246" t="s">
        <v>247</v>
      </c>
      <c r="AD246" t="s">
        <v>220</v>
      </c>
      <c r="AE246" t="s">
        <v>219</v>
      </c>
      <c r="AG246" t="s">
        <v>121</v>
      </c>
      <c r="AH246" t="s">
        <v>327</v>
      </c>
      <c r="AI246" t="s">
        <v>121</v>
      </c>
      <c r="AJ246" t="s">
        <v>716</v>
      </c>
      <c r="AK246" t="s">
        <v>121</v>
      </c>
    </row>
    <row r="247" spans="9:37" x14ac:dyDescent="0.3">
      <c r="I247">
        <f ca="1">IF(OR(INDIRECT(A73&amp;ROW())=B93,INDIRECT(A73&amp;ROW())=B94),1,IF(AND(INDIRECT(A73&amp;ROW())=B95,INDIRECT(A96&amp;ROW())=C93),1,IF(AND(INDIRECT(A73&amp;ROW())=B95,INDIRECT(A96&amp;ROW())=C94),1,0)))</f>
        <v>0</v>
      </c>
      <c r="J247">
        <f ca="1">IF(AND(INDIRECT(A73&amp;ROW())=B95,INDIRECT(A96&amp;ROW())=C95),1,IF(AND(INDIRECT(A73&amp;ROW())=B95,INDIRECT(A96&amp;ROW())=C96),1,0))</f>
        <v>1</v>
      </c>
      <c r="K247">
        <f ca="1">DAYS360(INDIRECT(C68&amp;ROW()),TODAY())</f>
        <v>721</v>
      </c>
      <c r="L247">
        <f ca="1">DAYS360(INDIRECT(C69&amp;ROW()),TODAY())</f>
        <v>820</v>
      </c>
      <c r="M247">
        <f ca="1">HYPERLINK(CONCATENATE("https://bugzilla.houston.hp.com:1181/bugzilla/show_bug.cgi?id=",INDIRECT(C70&amp;ROW())),INDIRECT(C70&amp;ROW()))</f>
        <v>55976</v>
      </c>
      <c r="N247">
        <v>55976</v>
      </c>
      <c r="O247" t="s">
        <v>56</v>
      </c>
      <c r="P247" t="s">
        <v>569</v>
      </c>
      <c r="Q247" t="s">
        <v>25</v>
      </c>
      <c r="R247" t="s">
        <v>248</v>
      </c>
      <c r="S247" t="s">
        <v>552</v>
      </c>
      <c r="U247" s="6">
        <v>42125.451678240737</v>
      </c>
      <c r="V247" t="s">
        <v>18</v>
      </c>
      <c r="W247" t="s">
        <v>322</v>
      </c>
      <c r="X247" s="6">
        <v>42026.495092592595</v>
      </c>
      <c r="Y247" t="s">
        <v>122</v>
      </c>
      <c r="AB247" t="s">
        <v>201</v>
      </c>
      <c r="AC247" t="s">
        <v>247</v>
      </c>
      <c r="AD247" t="s">
        <v>220</v>
      </c>
      <c r="AE247" t="s">
        <v>219</v>
      </c>
      <c r="AG247" t="s">
        <v>121</v>
      </c>
      <c r="AH247" t="s">
        <v>327</v>
      </c>
      <c r="AI247" t="s">
        <v>121</v>
      </c>
      <c r="AJ247" t="s">
        <v>716</v>
      </c>
      <c r="AK247" t="s">
        <v>121</v>
      </c>
    </row>
    <row r="248" spans="9:37" x14ac:dyDescent="0.3">
      <c r="I248">
        <f ca="1">IF(OR(INDIRECT(A73&amp;ROW())=B93,INDIRECT(A73&amp;ROW())=B94),1,IF(AND(INDIRECT(A73&amp;ROW())=B95,INDIRECT(A96&amp;ROW())=C93),1,IF(AND(INDIRECT(A73&amp;ROW())=B95,INDIRECT(A96&amp;ROW())=C94),1,0)))</f>
        <v>0</v>
      </c>
      <c r="J248">
        <f ca="1">IF(AND(INDIRECT(A73&amp;ROW())=B95,INDIRECT(A96&amp;ROW())=C95),1,IF(AND(INDIRECT(A73&amp;ROW())=B95,INDIRECT(A96&amp;ROW())=C96),1,0))</f>
        <v>1</v>
      </c>
      <c r="K248">
        <f ca="1">DAYS360(INDIRECT(C68&amp;ROW()),TODAY())</f>
        <v>721</v>
      </c>
      <c r="L248">
        <f ca="1">DAYS360(INDIRECT(C69&amp;ROW()),TODAY())</f>
        <v>820</v>
      </c>
      <c r="M248">
        <f ca="1">HYPERLINK(CONCATENATE("https://bugzilla.houston.hp.com:1181/bugzilla/show_bug.cgi?id=",INDIRECT(C70&amp;ROW())),INDIRECT(C70&amp;ROW()))</f>
        <v>55978</v>
      </c>
      <c r="N248">
        <v>55978</v>
      </c>
      <c r="O248" t="s">
        <v>56</v>
      </c>
      <c r="P248" t="s">
        <v>568</v>
      </c>
      <c r="Q248" t="s">
        <v>25</v>
      </c>
      <c r="R248" t="s">
        <v>251</v>
      </c>
      <c r="S248" t="s">
        <v>66</v>
      </c>
      <c r="U248" s="6">
        <v>42125.451793981483</v>
      </c>
      <c r="V248" t="s">
        <v>18</v>
      </c>
      <c r="W248" t="s">
        <v>17</v>
      </c>
      <c r="X248" s="6">
        <v>42026.602916666663</v>
      </c>
      <c r="Y248" t="s">
        <v>122</v>
      </c>
      <c r="AB248" t="s">
        <v>201</v>
      </c>
      <c r="AC248" t="s">
        <v>247</v>
      </c>
      <c r="AD248" t="s">
        <v>220</v>
      </c>
      <c r="AE248" t="s">
        <v>219</v>
      </c>
      <c r="AG248" t="s">
        <v>121</v>
      </c>
      <c r="AH248" t="s">
        <v>327</v>
      </c>
      <c r="AI248" t="s">
        <v>121</v>
      </c>
      <c r="AJ248" t="s">
        <v>716</v>
      </c>
      <c r="AK248" t="s">
        <v>121</v>
      </c>
    </row>
    <row r="249" spans="9:37" x14ac:dyDescent="0.3">
      <c r="I249">
        <f ca="1">IF(OR(INDIRECT(A73&amp;ROW())=B93,INDIRECT(A73&amp;ROW())=B94),1,IF(AND(INDIRECT(A73&amp;ROW())=B95,INDIRECT(A96&amp;ROW())=C93),1,IF(AND(INDIRECT(A73&amp;ROW())=B95,INDIRECT(A96&amp;ROW())=C94),1,0)))</f>
        <v>0</v>
      </c>
      <c r="J249">
        <f ca="1">IF(AND(INDIRECT(A73&amp;ROW())=B95,INDIRECT(A96&amp;ROW())=C95),1,IF(AND(INDIRECT(A73&amp;ROW())=B95,INDIRECT(A96&amp;ROW())=C96),1,0))</f>
        <v>1</v>
      </c>
      <c r="K249">
        <f ca="1">DAYS360(INDIRECT(C68&amp;ROW()),TODAY())</f>
        <v>721</v>
      </c>
      <c r="L249">
        <f ca="1">DAYS360(INDIRECT(C69&amp;ROW()),TODAY())</f>
        <v>819</v>
      </c>
      <c r="M249">
        <f ca="1">HYPERLINK(CONCATENATE("https://bugzilla.houston.hp.com:1181/bugzilla/show_bug.cgi?id=",INDIRECT(C70&amp;ROW())),INDIRECT(C70&amp;ROW()))</f>
        <v>56013</v>
      </c>
      <c r="N249">
        <v>56013</v>
      </c>
      <c r="O249" t="s">
        <v>56</v>
      </c>
      <c r="P249" t="s">
        <v>567</v>
      </c>
      <c r="Q249" t="s">
        <v>25</v>
      </c>
      <c r="R249" t="s">
        <v>248</v>
      </c>
      <c r="S249" t="s">
        <v>552</v>
      </c>
      <c r="U249" s="6">
        <v>42125.451886574076</v>
      </c>
      <c r="V249" t="s">
        <v>18</v>
      </c>
      <c r="W249" t="s">
        <v>322</v>
      </c>
      <c r="X249" s="6">
        <v>42027.410879629628</v>
      </c>
      <c r="Y249" t="s">
        <v>122</v>
      </c>
      <c r="AB249" t="s">
        <v>201</v>
      </c>
      <c r="AC249" t="s">
        <v>247</v>
      </c>
      <c r="AD249" t="s">
        <v>220</v>
      </c>
      <c r="AE249" t="s">
        <v>219</v>
      </c>
      <c r="AG249" t="s">
        <v>121</v>
      </c>
      <c r="AH249" t="s">
        <v>327</v>
      </c>
      <c r="AI249" t="s">
        <v>121</v>
      </c>
      <c r="AJ249" t="s">
        <v>716</v>
      </c>
      <c r="AK249" t="s">
        <v>121</v>
      </c>
    </row>
    <row r="250" spans="9:37" x14ac:dyDescent="0.3">
      <c r="I250">
        <f ca="1">IF(OR(INDIRECT(A73&amp;ROW())=B93,INDIRECT(A73&amp;ROW())=B94),1,IF(AND(INDIRECT(A73&amp;ROW())=B95,INDIRECT(A96&amp;ROW())=C93),1,IF(AND(INDIRECT(A73&amp;ROW())=B95,INDIRECT(A96&amp;ROW())=C94),1,0)))</f>
        <v>0</v>
      </c>
      <c r="J250">
        <f ca="1">IF(AND(INDIRECT(A73&amp;ROW())=B95,INDIRECT(A96&amp;ROW())=C95),1,IF(AND(INDIRECT(A73&amp;ROW())=B95,INDIRECT(A96&amp;ROW())=C96),1,0))</f>
        <v>1</v>
      </c>
      <c r="K250">
        <f ca="1">DAYS360(INDIRECT(C68&amp;ROW()),TODAY())</f>
        <v>721</v>
      </c>
      <c r="L250">
        <f ca="1">DAYS360(INDIRECT(C69&amp;ROW()),TODAY())</f>
        <v>819</v>
      </c>
      <c r="M250">
        <f ca="1">HYPERLINK(CONCATENATE("https://bugzilla.houston.hp.com:1181/bugzilla/show_bug.cgi?id=",INDIRECT(C70&amp;ROW())),INDIRECT(C70&amp;ROW()))</f>
        <v>56028</v>
      </c>
      <c r="N250">
        <v>56028</v>
      </c>
      <c r="O250" t="s">
        <v>21</v>
      </c>
      <c r="P250" t="s">
        <v>573</v>
      </c>
      <c r="Q250" t="s">
        <v>25</v>
      </c>
      <c r="R250" t="s">
        <v>248</v>
      </c>
      <c r="S250" t="s">
        <v>552</v>
      </c>
      <c r="U250" s="6">
        <v>42125.676585648151</v>
      </c>
      <c r="V250" t="s">
        <v>18</v>
      </c>
      <c r="W250" t="s">
        <v>531</v>
      </c>
      <c r="X250" s="6">
        <v>42027.631597222222</v>
      </c>
      <c r="Y250" t="s">
        <v>255</v>
      </c>
      <c r="AB250" t="s">
        <v>201</v>
      </c>
      <c r="AC250" t="s">
        <v>247</v>
      </c>
      <c r="AD250" t="s">
        <v>222</v>
      </c>
      <c r="AE250" t="s">
        <v>225</v>
      </c>
      <c r="AG250" t="s">
        <v>121</v>
      </c>
      <c r="AH250" t="s">
        <v>327</v>
      </c>
      <c r="AI250" t="s">
        <v>362</v>
      </c>
      <c r="AJ250" t="s">
        <v>716</v>
      </c>
      <c r="AK250" t="s">
        <v>121</v>
      </c>
    </row>
    <row r="251" spans="9:37" x14ac:dyDescent="0.3">
      <c r="I251">
        <f ca="1">IF(OR(INDIRECT(A73&amp;ROW())=B93,INDIRECT(A73&amp;ROW())=B94),1,IF(AND(INDIRECT(A73&amp;ROW())=B95,INDIRECT(A96&amp;ROW())=C93),1,IF(AND(INDIRECT(A73&amp;ROW())=B95,INDIRECT(A96&amp;ROW())=C94),1,0)))</f>
        <v>0</v>
      </c>
      <c r="J251">
        <f ca="1">IF(AND(INDIRECT(A73&amp;ROW())=B95,INDIRECT(A96&amp;ROW())=C95),1,IF(AND(INDIRECT(A73&amp;ROW())=B95,INDIRECT(A96&amp;ROW())=C96),1,0))</f>
        <v>1</v>
      </c>
      <c r="K251">
        <f ca="1">DAYS360(INDIRECT(C68&amp;ROW()),TODAY())</f>
        <v>721</v>
      </c>
      <c r="L251">
        <f ca="1">DAYS360(INDIRECT(C69&amp;ROW()),TODAY())</f>
        <v>819</v>
      </c>
      <c r="M251">
        <f ca="1">HYPERLINK(CONCATENATE("https://bugzilla.houston.hp.com:1181/bugzilla/show_bug.cgi?id=",INDIRECT(C70&amp;ROW())),INDIRECT(C70&amp;ROW()))</f>
        <v>56029</v>
      </c>
      <c r="N251">
        <v>56029</v>
      </c>
      <c r="O251" t="s">
        <v>21</v>
      </c>
      <c r="P251" t="s">
        <v>572</v>
      </c>
      <c r="Q251" t="s">
        <v>25</v>
      </c>
      <c r="R251" t="s">
        <v>248</v>
      </c>
      <c r="S251" t="s">
        <v>552</v>
      </c>
      <c r="U251" s="6">
        <v>42125.677881944444</v>
      </c>
      <c r="V251" t="s">
        <v>18</v>
      </c>
      <c r="W251" t="s">
        <v>531</v>
      </c>
      <c r="X251" s="6">
        <v>42027.633900462963</v>
      </c>
      <c r="Y251" t="s">
        <v>255</v>
      </c>
      <c r="AB251" t="s">
        <v>201</v>
      </c>
      <c r="AC251" t="s">
        <v>247</v>
      </c>
      <c r="AD251" t="s">
        <v>222</v>
      </c>
      <c r="AE251" t="s">
        <v>240</v>
      </c>
      <c r="AG251" t="s">
        <v>121</v>
      </c>
      <c r="AH251" t="s">
        <v>327</v>
      </c>
      <c r="AI251" t="s">
        <v>121</v>
      </c>
      <c r="AJ251" t="s">
        <v>716</v>
      </c>
      <c r="AK251" t="s">
        <v>121</v>
      </c>
    </row>
    <row r="252" spans="9:37" x14ac:dyDescent="0.3">
      <c r="I252">
        <f ca="1">IF(OR(INDIRECT(A73&amp;ROW())=B93,INDIRECT(A73&amp;ROW())=B94),1,IF(AND(INDIRECT(A73&amp;ROW())=B95,INDIRECT(A96&amp;ROW())=C93),1,IF(AND(INDIRECT(A73&amp;ROW())=B95,INDIRECT(A96&amp;ROW())=C94),1,0)))</f>
        <v>0</v>
      </c>
      <c r="J252">
        <f ca="1">IF(AND(INDIRECT(A73&amp;ROW())=B95,INDIRECT(A96&amp;ROW())=C95),1,IF(AND(INDIRECT(A73&amp;ROW())=B95,INDIRECT(A96&amp;ROW())=C96),1,0))</f>
        <v>1</v>
      </c>
      <c r="K252">
        <f ca="1">DAYS360(INDIRECT(C68&amp;ROW()),TODAY())</f>
        <v>730</v>
      </c>
      <c r="L252">
        <f ca="1">DAYS360(INDIRECT(C69&amp;ROW()),TODAY())</f>
        <v>819</v>
      </c>
      <c r="M252">
        <f ca="1">HYPERLINK(CONCATENATE("https://bugzilla.houston.hp.com:1181/bugzilla/show_bug.cgi?id=",INDIRECT(C70&amp;ROW())),INDIRECT(C70&amp;ROW()))</f>
        <v>56033</v>
      </c>
      <c r="N252">
        <v>56033</v>
      </c>
      <c r="O252" t="s">
        <v>56</v>
      </c>
      <c r="P252" t="s">
        <v>585</v>
      </c>
      <c r="Q252" t="s">
        <v>25</v>
      </c>
      <c r="R252" t="s">
        <v>251</v>
      </c>
      <c r="S252" t="s">
        <v>66</v>
      </c>
      <c r="U252" s="6">
        <v>42116.735208333332</v>
      </c>
      <c r="V252" t="s">
        <v>18</v>
      </c>
      <c r="W252" t="s">
        <v>17</v>
      </c>
      <c r="X252" s="6">
        <v>42027.722395833334</v>
      </c>
      <c r="Y252" t="s">
        <v>124</v>
      </c>
      <c r="AB252" t="s">
        <v>201</v>
      </c>
      <c r="AC252" t="s">
        <v>247</v>
      </c>
      <c r="AD252" t="s">
        <v>220</v>
      </c>
      <c r="AE252" t="s">
        <v>219</v>
      </c>
      <c r="AG252" t="s">
        <v>121</v>
      </c>
      <c r="AH252" t="s">
        <v>327</v>
      </c>
      <c r="AI252" t="s">
        <v>121</v>
      </c>
      <c r="AJ252" t="s">
        <v>716</v>
      </c>
      <c r="AK252" t="s">
        <v>121</v>
      </c>
    </row>
    <row r="253" spans="9:37" x14ac:dyDescent="0.3">
      <c r="I253">
        <f ca="1">IF(OR(INDIRECT(A73&amp;ROW())=B93,INDIRECT(A73&amp;ROW())=B94),1,IF(AND(INDIRECT(A73&amp;ROW())=B95,INDIRECT(A96&amp;ROW())=C93),1,IF(AND(INDIRECT(A73&amp;ROW())=B95,INDIRECT(A96&amp;ROW())=C94),1,0)))</f>
        <v>0</v>
      </c>
      <c r="J253">
        <f ca="1">IF(AND(INDIRECT(A73&amp;ROW())=B95,INDIRECT(A96&amp;ROW())=C95),1,IF(AND(INDIRECT(A73&amp;ROW())=B95,INDIRECT(A96&amp;ROW())=C96),1,0))</f>
        <v>1</v>
      </c>
      <c r="K253">
        <f ca="1">DAYS360(INDIRECT(C68&amp;ROW()),TODAY())</f>
        <v>816</v>
      </c>
      <c r="L253">
        <f ca="1">DAYS360(INDIRECT(C69&amp;ROW()),TODAY())</f>
        <v>816</v>
      </c>
      <c r="M253">
        <f ca="1">HYPERLINK(CONCATENATE("https://bugzilla.houston.hp.com:1181/bugzilla/show_bug.cgi?id=",INDIRECT(C70&amp;ROW())),INDIRECT(C70&amp;ROW()))</f>
        <v>56045</v>
      </c>
      <c r="N253">
        <v>56045</v>
      </c>
      <c r="O253" t="s">
        <v>56</v>
      </c>
      <c r="P253" t="s">
        <v>571</v>
      </c>
      <c r="Q253" t="s">
        <v>25</v>
      </c>
      <c r="R253" t="s">
        <v>248</v>
      </c>
      <c r="S253" t="s">
        <v>552</v>
      </c>
      <c r="U253" s="6">
        <v>42030.326377314814</v>
      </c>
      <c r="V253" t="s">
        <v>18</v>
      </c>
      <c r="W253" t="s">
        <v>205</v>
      </c>
      <c r="X253" s="6">
        <v>42030.325902777775</v>
      </c>
      <c r="Y253" t="s">
        <v>124</v>
      </c>
      <c r="AB253" t="s">
        <v>201</v>
      </c>
      <c r="AC253" t="s">
        <v>247</v>
      </c>
      <c r="AD253" t="s">
        <v>220</v>
      </c>
      <c r="AE253" t="s">
        <v>219</v>
      </c>
      <c r="AG253" t="s">
        <v>121</v>
      </c>
      <c r="AH253" t="s">
        <v>327</v>
      </c>
      <c r="AI253" t="s">
        <v>121</v>
      </c>
      <c r="AJ253" t="s">
        <v>716</v>
      </c>
      <c r="AK253" t="s">
        <v>121</v>
      </c>
    </row>
    <row r="254" spans="9:37" x14ac:dyDescent="0.3">
      <c r="I254">
        <f ca="1">IF(OR(INDIRECT(A73&amp;ROW())=B93,INDIRECT(A73&amp;ROW())=B94),1,IF(AND(INDIRECT(A73&amp;ROW())=B95,INDIRECT(A96&amp;ROW())=C93),1,IF(AND(INDIRECT(A73&amp;ROW())=B95,INDIRECT(A96&amp;ROW())=C94),1,0)))</f>
        <v>0</v>
      </c>
      <c r="J254">
        <f ca="1">IF(AND(INDIRECT(A73&amp;ROW())=B95,INDIRECT(A96&amp;ROW())=C95),1,IF(AND(INDIRECT(A73&amp;ROW())=B95,INDIRECT(A96&amp;ROW())=C96),1,0))</f>
        <v>1</v>
      </c>
      <c r="K254">
        <f ca="1">DAYS360(INDIRECT(C68&amp;ROW()),TODAY())</f>
        <v>721</v>
      </c>
      <c r="L254">
        <f ca="1">DAYS360(INDIRECT(C69&amp;ROW()),TODAY())</f>
        <v>816</v>
      </c>
      <c r="M254">
        <f ca="1">HYPERLINK(CONCATENATE("https://bugzilla.houston.hp.com:1181/bugzilla/show_bug.cgi?id=",INDIRECT(C70&amp;ROW())),INDIRECT(C70&amp;ROW()))</f>
        <v>56053</v>
      </c>
      <c r="N254">
        <v>56053</v>
      </c>
      <c r="O254" t="s">
        <v>56</v>
      </c>
      <c r="P254" t="s">
        <v>584</v>
      </c>
      <c r="Q254" t="s">
        <v>25</v>
      </c>
      <c r="R254" t="s">
        <v>251</v>
      </c>
      <c r="S254" t="s">
        <v>66</v>
      </c>
      <c r="U254" s="6">
        <v>42125.452870370369</v>
      </c>
      <c r="V254" t="s">
        <v>18</v>
      </c>
      <c r="W254" t="s">
        <v>17</v>
      </c>
      <c r="X254" s="6">
        <v>42030.454444444447</v>
      </c>
      <c r="Y254" t="s">
        <v>122</v>
      </c>
      <c r="AB254" t="s">
        <v>201</v>
      </c>
      <c r="AC254" t="s">
        <v>247</v>
      </c>
      <c r="AD254" t="s">
        <v>220</v>
      </c>
      <c r="AE254" t="s">
        <v>219</v>
      </c>
      <c r="AG254" t="s">
        <v>121</v>
      </c>
      <c r="AH254" t="s">
        <v>327</v>
      </c>
      <c r="AI254" t="s">
        <v>121</v>
      </c>
      <c r="AJ254" t="s">
        <v>716</v>
      </c>
      <c r="AK254" t="s">
        <v>121</v>
      </c>
    </row>
    <row r="255" spans="9:37" x14ac:dyDescent="0.3">
      <c r="I255">
        <f ca="1">IF(OR(INDIRECT(A73&amp;ROW())=B93,INDIRECT(A73&amp;ROW())=B94),1,IF(AND(INDIRECT(A73&amp;ROW())=B95,INDIRECT(A96&amp;ROW())=C93),1,IF(AND(INDIRECT(A73&amp;ROW())=B95,INDIRECT(A96&amp;ROW())=C94),1,0)))</f>
        <v>0</v>
      </c>
      <c r="J255">
        <f ca="1">IF(AND(INDIRECT(A73&amp;ROW())=B95,INDIRECT(A96&amp;ROW())=C95),1,IF(AND(INDIRECT(A73&amp;ROW())=B95,INDIRECT(A96&amp;ROW())=C96),1,0))</f>
        <v>1</v>
      </c>
      <c r="K255">
        <f ca="1">DAYS360(INDIRECT(C68&amp;ROW()),TODAY())</f>
        <v>721</v>
      </c>
      <c r="L255">
        <f ca="1">DAYS360(INDIRECT(C69&amp;ROW()),TODAY())</f>
        <v>816</v>
      </c>
      <c r="M255">
        <f ca="1">HYPERLINK(CONCATENATE("https://bugzilla.houston.hp.com:1181/bugzilla/show_bug.cgi?id=",INDIRECT(C70&amp;ROW())),INDIRECT(C70&amp;ROW()))</f>
        <v>56057</v>
      </c>
      <c r="N255">
        <v>56057</v>
      </c>
      <c r="O255" t="s">
        <v>56</v>
      </c>
      <c r="P255" t="s">
        <v>583</v>
      </c>
      <c r="Q255" t="s">
        <v>25</v>
      </c>
      <c r="R255" t="s">
        <v>248</v>
      </c>
      <c r="S255" t="s">
        <v>552</v>
      </c>
      <c r="U255" s="6">
        <v>42125.452974537038</v>
      </c>
      <c r="V255" t="s">
        <v>18</v>
      </c>
      <c r="W255" t="s">
        <v>322</v>
      </c>
      <c r="X255" s="6">
        <v>42030.48777777778</v>
      </c>
      <c r="Y255" t="s">
        <v>122</v>
      </c>
      <c r="AB255" t="s">
        <v>201</v>
      </c>
      <c r="AC255" t="s">
        <v>247</v>
      </c>
      <c r="AD255" t="s">
        <v>220</v>
      </c>
      <c r="AE255" t="s">
        <v>219</v>
      </c>
      <c r="AG255" t="s">
        <v>121</v>
      </c>
      <c r="AH255" t="s">
        <v>327</v>
      </c>
      <c r="AI255" t="s">
        <v>121</v>
      </c>
      <c r="AJ255" t="s">
        <v>716</v>
      </c>
      <c r="AK255" t="s">
        <v>121</v>
      </c>
    </row>
    <row r="256" spans="9:37" x14ac:dyDescent="0.3">
      <c r="I256">
        <f ca="1">IF(OR(INDIRECT(A73&amp;ROW())=B93,INDIRECT(A73&amp;ROW())=B94),1,IF(AND(INDIRECT(A73&amp;ROW())=B95,INDIRECT(A96&amp;ROW())=C93),1,IF(AND(INDIRECT(A73&amp;ROW())=B95,INDIRECT(A96&amp;ROW())=C94),1,0)))</f>
        <v>0</v>
      </c>
      <c r="J256">
        <f ca="1">IF(AND(INDIRECT(A73&amp;ROW())=B95,INDIRECT(A96&amp;ROW())=C95),1,IF(AND(INDIRECT(A73&amp;ROW())=B95,INDIRECT(A96&amp;ROW())=C96),1,0))</f>
        <v>1</v>
      </c>
      <c r="K256">
        <f ca="1">DAYS360(INDIRECT(C68&amp;ROW()),TODAY())</f>
        <v>721</v>
      </c>
      <c r="L256">
        <f ca="1">DAYS360(INDIRECT(C69&amp;ROW()),TODAY())</f>
        <v>816</v>
      </c>
      <c r="M256">
        <f ca="1">HYPERLINK(CONCATENATE("https://bugzilla.houston.hp.com:1181/bugzilla/show_bug.cgi?id=",INDIRECT(C70&amp;ROW())),INDIRECT(C70&amp;ROW()))</f>
        <v>56067</v>
      </c>
      <c r="N256">
        <v>56067</v>
      </c>
      <c r="O256" t="s">
        <v>56</v>
      </c>
      <c r="P256" t="s">
        <v>582</v>
      </c>
      <c r="Q256" t="s">
        <v>25</v>
      </c>
      <c r="R256" t="s">
        <v>251</v>
      </c>
      <c r="S256" t="s">
        <v>66</v>
      </c>
      <c r="U256" s="6">
        <v>42125.452881944446</v>
      </c>
      <c r="V256" t="s">
        <v>18</v>
      </c>
      <c r="W256" t="s">
        <v>17</v>
      </c>
      <c r="X256" s="6">
        <v>42030.65353009259</v>
      </c>
      <c r="Y256" t="s">
        <v>122</v>
      </c>
      <c r="AB256" t="s">
        <v>201</v>
      </c>
      <c r="AC256" t="s">
        <v>247</v>
      </c>
      <c r="AD256" t="s">
        <v>220</v>
      </c>
      <c r="AE256" t="s">
        <v>219</v>
      </c>
      <c r="AG256" t="s">
        <v>121</v>
      </c>
      <c r="AH256" t="s">
        <v>327</v>
      </c>
      <c r="AI256" t="s">
        <v>121</v>
      </c>
      <c r="AJ256" t="s">
        <v>716</v>
      </c>
      <c r="AK256" t="s">
        <v>121</v>
      </c>
    </row>
    <row r="257" spans="9:37" x14ac:dyDescent="0.3">
      <c r="I257">
        <f ca="1">IF(OR(INDIRECT(A73&amp;ROW())=B93,INDIRECT(A73&amp;ROW())=B94),1,IF(AND(INDIRECT(A73&amp;ROW())=B95,INDIRECT(A96&amp;ROW())=C93),1,IF(AND(INDIRECT(A73&amp;ROW())=B95,INDIRECT(A96&amp;ROW())=C94),1,0)))</f>
        <v>0</v>
      </c>
      <c r="J257">
        <f ca="1">IF(AND(INDIRECT(A73&amp;ROW())=B95,INDIRECT(A96&amp;ROW())=C95),1,IF(AND(INDIRECT(A73&amp;ROW())=B95,INDIRECT(A96&amp;ROW())=C96),1,0))</f>
        <v>1</v>
      </c>
      <c r="K257">
        <f ca="1">DAYS360(INDIRECT(C68&amp;ROW()),TODAY())</f>
        <v>721</v>
      </c>
      <c r="L257">
        <f ca="1">DAYS360(INDIRECT(C69&amp;ROW()),TODAY())</f>
        <v>816</v>
      </c>
      <c r="M257">
        <f ca="1">HYPERLINK(CONCATENATE("https://bugzilla.houston.hp.com:1181/bugzilla/show_bug.cgi?id=",INDIRECT(C70&amp;ROW())),INDIRECT(C70&amp;ROW()))</f>
        <v>56070</v>
      </c>
      <c r="N257">
        <v>56070</v>
      </c>
      <c r="O257" t="s">
        <v>56</v>
      </c>
      <c r="P257" t="s">
        <v>581</v>
      </c>
      <c r="Q257" t="s">
        <v>25</v>
      </c>
      <c r="R257" t="s">
        <v>248</v>
      </c>
      <c r="S257" t="s">
        <v>552</v>
      </c>
      <c r="U257" s="6">
        <v>42125.452928240738</v>
      </c>
      <c r="V257" t="s">
        <v>18</v>
      </c>
      <c r="W257" t="s">
        <v>322</v>
      </c>
      <c r="X257" s="6">
        <v>42030.662905092591</v>
      </c>
      <c r="Y257" t="s">
        <v>122</v>
      </c>
      <c r="AB257" t="s">
        <v>201</v>
      </c>
      <c r="AC257" t="s">
        <v>247</v>
      </c>
      <c r="AD257" t="s">
        <v>220</v>
      </c>
      <c r="AE257" t="s">
        <v>219</v>
      </c>
      <c r="AG257" t="s">
        <v>121</v>
      </c>
      <c r="AH257" t="s">
        <v>327</v>
      </c>
      <c r="AI257" t="s">
        <v>121</v>
      </c>
      <c r="AJ257" t="s">
        <v>716</v>
      </c>
      <c r="AK257" t="s">
        <v>121</v>
      </c>
    </row>
    <row r="258" spans="9:37" x14ac:dyDescent="0.3">
      <c r="I258">
        <f ca="1">IF(OR(INDIRECT(A73&amp;ROW())=B93,INDIRECT(A73&amp;ROW())=B94),1,IF(AND(INDIRECT(A73&amp;ROW())=B95,INDIRECT(A96&amp;ROW())=C93),1,IF(AND(INDIRECT(A73&amp;ROW())=B95,INDIRECT(A96&amp;ROW())=C94),1,0)))</f>
        <v>1</v>
      </c>
      <c r="J258">
        <f ca="1">IF(AND(INDIRECT(A73&amp;ROW())=B95,INDIRECT(A96&amp;ROW())=C95),1,IF(AND(INDIRECT(A73&amp;ROW())=B95,INDIRECT(A96&amp;ROW())=C96),1,0))</f>
        <v>0</v>
      </c>
      <c r="K258">
        <f ca="1">DAYS360(INDIRECT(C68&amp;ROW()),TODAY())</f>
        <v>690</v>
      </c>
      <c r="L258">
        <f ca="1">DAYS360(INDIRECT(C69&amp;ROW()),TODAY())</f>
        <v>815</v>
      </c>
      <c r="M258">
        <f ca="1">HYPERLINK(CONCATENATE("https://bugzilla.houston.hp.com:1181/bugzilla/show_bug.cgi?id=",INDIRECT(C70&amp;ROW())),INDIRECT(C70&amp;ROW()))</f>
        <v>56087</v>
      </c>
      <c r="N258">
        <v>56087</v>
      </c>
      <c r="O258" t="s">
        <v>241</v>
      </c>
      <c r="P258" t="s">
        <v>791</v>
      </c>
      <c r="Q258" t="s">
        <v>25</v>
      </c>
      <c r="R258" t="s">
        <v>251</v>
      </c>
      <c r="S258" t="s">
        <v>33</v>
      </c>
      <c r="U258" s="6">
        <v>42157.085949074077</v>
      </c>
      <c r="V258" t="s">
        <v>18</v>
      </c>
      <c r="W258" t="s">
        <v>17</v>
      </c>
      <c r="X258" s="6">
        <v>42031.244432870371</v>
      </c>
      <c r="Y258" t="s">
        <v>535</v>
      </c>
      <c r="Z258" t="s">
        <v>125</v>
      </c>
      <c r="AB258" t="s">
        <v>200</v>
      </c>
      <c r="AC258" t="s">
        <v>247</v>
      </c>
      <c r="AD258" t="s">
        <v>220</v>
      </c>
      <c r="AE258" t="s">
        <v>224</v>
      </c>
      <c r="AG258" t="s">
        <v>121</v>
      </c>
      <c r="AH258" t="s">
        <v>327</v>
      </c>
      <c r="AI258" t="s">
        <v>362</v>
      </c>
      <c r="AJ258" t="s">
        <v>715</v>
      </c>
      <c r="AK258" t="s">
        <v>121</v>
      </c>
    </row>
    <row r="259" spans="9:37" x14ac:dyDescent="0.3">
      <c r="I259">
        <f ca="1">IF(OR(INDIRECT(A73&amp;ROW())=B93,INDIRECT(A73&amp;ROW())=B94),1,IF(AND(INDIRECT(A73&amp;ROW())=B95,INDIRECT(A96&amp;ROW())=C93),1,IF(AND(INDIRECT(A73&amp;ROW())=B95,INDIRECT(A96&amp;ROW())=C94),1,0)))</f>
        <v>1</v>
      </c>
      <c r="J259">
        <f ca="1">IF(AND(INDIRECT(A73&amp;ROW())=B95,INDIRECT(A96&amp;ROW())=C95),1,IF(AND(INDIRECT(A73&amp;ROW())=B95,INDIRECT(A96&amp;ROW())=C96),1,0))</f>
        <v>0</v>
      </c>
      <c r="K259">
        <f ca="1">DAYS360(INDIRECT(C68&amp;ROW()),TODAY())</f>
        <v>690</v>
      </c>
      <c r="L259">
        <f ca="1">DAYS360(INDIRECT(C69&amp;ROW()),TODAY())</f>
        <v>815</v>
      </c>
      <c r="M259">
        <f ca="1">HYPERLINK(CONCATENATE("https://bugzilla.houston.hp.com:1181/bugzilla/show_bug.cgi?id=",INDIRECT(C70&amp;ROW())),INDIRECT(C70&amp;ROW()))</f>
        <v>56100</v>
      </c>
      <c r="N259">
        <v>56100</v>
      </c>
      <c r="O259" t="s">
        <v>919</v>
      </c>
      <c r="P259" t="s">
        <v>790</v>
      </c>
      <c r="Q259" t="s">
        <v>25</v>
      </c>
      <c r="R259" t="s">
        <v>579</v>
      </c>
      <c r="S259" t="s">
        <v>552</v>
      </c>
      <c r="T259" t="s">
        <v>815</v>
      </c>
      <c r="U259" s="6">
        <v>42157.105520833335</v>
      </c>
      <c r="V259" t="s">
        <v>18</v>
      </c>
      <c r="W259" t="s">
        <v>17</v>
      </c>
      <c r="X259" s="6">
        <v>42031.425138888888</v>
      </c>
      <c r="Y259" t="s">
        <v>119</v>
      </c>
      <c r="Z259" t="s">
        <v>125</v>
      </c>
      <c r="AB259" t="s">
        <v>200</v>
      </c>
      <c r="AC259" t="s">
        <v>247</v>
      </c>
      <c r="AD259" t="s">
        <v>220</v>
      </c>
      <c r="AE259" t="s">
        <v>224</v>
      </c>
      <c r="AG259" t="s">
        <v>121</v>
      </c>
      <c r="AH259" t="s">
        <v>327</v>
      </c>
      <c r="AI259" t="s">
        <v>362</v>
      </c>
      <c r="AJ259" t="s">
        <v>715</v>
      </c>
      <c r="AK259" t="s">
        <v>121</v>
      </c>
    </row>
    <row r="260" spans="9:37" x14ac:dyDescent="0.3">
      <c r="I260">
        <f ca="1">IF(OR(INDIRECT(A73&amp;ROW())=B93,INDIRECT(A73&amp;ROW())=B94),1,IF(AND(INDIRECT(A73&amp;ROW())=B95,INDIRECT(A96&amp;ROW())=C93),1,IF(AND(INDIRECT(A73&amp;ROW())=B95,INDIRECT(A96&amp;ROW())=C94),1,0)))</f>
        <v>1</v>
      </c>
      <c r="J260">
        <f ca="1">IF(AND(INDIRECT(A73&amp;ROW())=B95,INDIRECT(A96&amp;ROW())=C95),1,IF(AND(INDIRECT(A73&amp;ROW())=B95,INDIRECT(A96&amp;ROW())=C96),1,0))</f>
        <v>0</v>
      </c>
      <c r="K260">
        <f ca="1">DAYS360(INDIRECT(C68&amp;ROW()),TODAY())</f>
        <v>690</v>
      </c>
      <c r="L260">
        <f ca="1">DAYS360(INDIRECT(C69&amp;ROW()),TODAY())</f>
        <v>815</v>
      </c>
      <c r="M260">
        <f ca="1">HYPERLINK(CONCATENATE("https://bugzilla.houston.hp.com:1181/bugzilla/show_bug.cgi?id=",INDIRECT(C70&amp;ROW())),INDIRECT(C70&amp;ROW()))</f>
        <v>56102</v>
      </c>
      <c r="N260">
        <v>56102</v>
      </c>
      <c r="O260" t="s">
        <v>56</v>
      </c>
      <c r="P260" t="s">
        <v>789</v>
      </c>
      <c r="Q260" t="s">
        <v>25</v>
      </c>
      <c r="R260" t="s">
        <v>248</v>
      </c>
      <c r="S260" t="s">
        <v>552</v>
      </c>
      <c r="U260" s="6">
        <v>42157.112395833334</v>
      </c>
      <c r="V260" t="s">
        <v>18</v>
      </c>
      <c r="W260" t="s">
        <v>17</v>
      </c>
      <c r="X260" s="6">
        <v>42031.428599537037</v>
      </c>
      <c r="Y260" t="s">
        <v>119</v>
      </c>
      <c r="Z260" t="s">
        <v>125</v>
      </c>
      <c r="AB260" t="s">
        <v>200</v>
      </c>
      <c r="AC260" t="s">
        <v>247</v>
      </c>
      <c r="AD260" t="s">
        <v>220</v>
      </c>
      <c r="AE260" t="s">
        <v>219</v>
      </c>
      <c r="AG260" t="s">
        <v>121</v>
      </c>
      <c r="AH260" t="s">
        <v>327</v>
      </c>
      <c r="AI260" t="s">
        <v>121</v>
      </c>
      <c r="AJ260" t="s">
        <v>715</v>
      </c>
      <c r="AK260" t="s">
        <v>121</v>
      </c>
    </row>
    <row r="261" spans="9:37" x14ac:dyDescent="0.3">
      <c r="I261">
        <f ca="1">IF(OR(INDIRECT(A73&amp;ROW())=B93,INDIRECT(A73&amp;ROW())=B94),1,IF(AND(INDIRECT(A73&amp;ROW())=B95,INDIRECT(A96&amp;ROW())=C93),1,IF(AND(INDIRECT(A73&amp;ROW())=B95,INDIRECT(A96&amp;ROW())=C94),1,0)))</f>
        <v>0</v>
      </c>
      <c r="J261">
        <f ca="1">IF(AND(INDIRECT(A73&amp;ROW())=B95,INDIRECT(A96&amp;ROW())=C95),1,IF(AND(INDIRECT(A73&amp;ROW())=B95,INDIRECT(A96&amp;ROW())=C96),1,0))</f>
        <v>0</v>
      </c>
      <c r="K261">
        <f ca="1">DAYS360(INDIRECT(C68&amp;ROW()),TODAY())</f>
        <v>721</v>
      </c>
      <c r="L261">
        <f ca="1">DAYS360(INDIRECT(C69&amp;ROW()),TODAY())</f>
        <v>810</v>
      </c>
      <c r="M261">
        <f ca="1">HYPERLINK(CONCATENATE("https://bugzilla.houston.hp.com:1181/bugzilla/show_bug.cgi?id=",INDIRECT(C70&amp;ROW())),INDIRECT(C70&amp;ROW()))</f>
        <v>56385</v>
      </c>
      <c r="N261">
        <v>56385</v>
      </c>
      <c r="O261" t="s">
        <v>22</v>
      </c>
      <c r="P261" t="s">
        <v>578</v>
      </c>
      <c r="Q261" t="s">
        <v>16</v>
      </c>
      <c r="R261" t="s">
        <v>251</v>
      </c>
      <c r="S261" t="s">
        <v>43</v>
      </c>
      <c r="U261" s="6">
        <v>42125.452986111108</v>
      </c>
      <c r="V261" t="s">
        <v>18</v>
      </c>
      <c r="W261" t="s">
        <v>17</v>
      </c>
      <c r="X261" s="6">
        <v>42037.399351851855</v>
      </c>
      <c r="Y261" t="s">
        <v>122</v>
      </c>
      <c r="AB261" t="s">
        <v>201</v>
      </c>
      <c r="AC261" t="s">
        <v>247</v>
      </c>
      <c r="AD261" t="s">
        <v>222</v>
      </c>
      <c r="AE261" t="s">
        <v>240</v>
      </c>
      <c r="AG261" t="s">
        <v>121</v>
      </c>
      <c r="AH261" t="s">
        <v>327</v>
      </c>
      <c r="AI261" t="s">
        <v>121</v>
      </c>
      <c r="AJ261" t="s">
        <v>717</v>
      </c>
      <c r="AK261" t="s">
        <v>121</v>
      </c>
    </row>
    <row r="262" spans="9:37" x14ac:dyDescent="0.3">
      <c r="I262">
        <f ca="1">IF(OR(INDIRECT(A73&amp;ROW())=B93,INDIRECT(A73&amp;ROW())=B94),1,IF(AND(INDIRECT(A73&amp;ROW())=B95,INDIRECT(A96&amp;ROW())=C93),1,IF(AND(INDIRECT(A73&amp;ROW())=B95,INDIRECT(A96&amp;ROW())=C94),1,0)))</f>
        <v>0</v>
      </c>
      <c r="J262">
        <f ca="1">IF(AND(INDIRECT(A73&amp;ROW())=B95,INDIRECT(A96&amp;ROW())=C95),1,IF(AND(INDIRECT(A73&amp;ROW())=B95,INDIRECT(A96&amp;ROW())=C96),1,0))</f>
        <v>1</v>
      </c>
      <c r="K262">
        <f ca="1">DAYS360(INDIRECT(C68&amp;ROW()),TODAY())</f>
        <v>730</v>
      </c>
      <c r="L262">
        <f ca="1">DAYS360(INDIRECT(C69&amp;ROW()),TODAY())</f>
        <v>810</v>
      </c>
      <c r="M262">
        <f ca="1">HYPERLINK(CONCATENATE("https://bugzilla.houston.hp.com:1181/bugzilla/show_bug.cgi?id=",INDIRECT(C70&amp;ROW())),INDIRECT(C70&amp;ROW()))</f>
        <v>56388</v>
      </c>
      <c r="N262">
        <v>56388</v>
      </c>
      <c r="O262" t="s">
        <v>56</v>
      </c>
      <c r="P262" t="s">
        <v>596</v>
      </c>
      <c r="Q262" t="s">
        <v>25</v>
      </c>
      <c r="R262" t="s">
        <v>251</v>
      </c>
      <c r="S262" t="s">
        <v>66</v>
      </c>
      <c r="U262" s="6">
        <v>42116.735567129632</v>
      </c>
      <c r="V262" t="s">
        <v>18</v>
      </c>
      <c r="W262" t="s">
        <v>17</v>
      </c>
      <c r="X262" s="6">
        <v>42037.476793981485</v>
      </c>
      <c r="Y262" t="s">
        <v>788</v>
      </c>
      <c r="AB262" t="s">
        <v>201</v>
      </c>
      <c r="AC262" t="s">
        <v>247</v>
      </c>
      <c r="AD262" t="s">
        <v>220</v>
      </c>
      <c r="AE262" t="s">
        <v>219</v>
      </c>
      <c r="AG262" t="s">
        <v>121</v>
      </c>
      <c r="AH262" t="s">
        <v>327</v>
      </c>
      <c r="AI262" t="s">
        <v>121</v>
      </c>
      <c r="AJ262" t="s">
        <v>716</v>
      </c>
      <c r="AK262" t="s">
        <v>121</v>
      </c>
    </row>
    <row r="263" spans="9:37" x14ac:dyDescent="0.3">
      <c r="I263">
        <f ca="1">IF(OR(INDIRECT(A73&amp;ROW())=B93,INDIRECT(A73&amp;ROW())=B94),1,IF(AND(INDIRECT(A73&amp;ROW())=B95,INDIRECT(A96&amp;ROW())=C93),1,IF(AND(INDIRECT(A73&amp;ROW())=B95,INDIRECT(A96&amp;ROW())=C94),1,0)))</f>
        <v>1</v>
      </c>
      <c r="J263">
        <f ca="1">IF(AND(INDIRECT(A73&amp;ROW())=B95,INDIRECT(A96&amp;ROW())=C95),1,IF(AND(INDIRECT(A73&amp;ROW())=B95,INDIRECT(A96&amp;ROW())=C96),1,0))</f>
        <v>0</v>
      </c>
      <c r="K263">
        <f ca="1">DAYS360(INDIRECT(C68&amp;ROW()),TODAY())</f>
        <v>730</v>
      </c>
      <c r="L263">
        <f ca="1">DAYS360(INDIRECT(C69&amp;ROW()),TODAY())</f>
        <v>810</v>
      </c>
      <c r="M263">
        <f ca="1">HYPERLINK(CONCATENATE("https://bugzilla.houston.hp.com:1181/bugzilla/show_bug.cgi?id=",INDIRECT(C70&amp;ROW())),INDIRECT(C70&amp;ROW()))</f>
        <v>56399</v>
      </c>
      <c r="N263">
        <v>56399</v>
      </c>
      <c r="O263" t="s">
        <v>68</v>
      </c>
      <c r="P263" t="s">
        <v>802</v>
      </c>
      <c r="Q263" t="s">
        <v>25</v>
      </c>
      <c r="R263" t="s">
        <v>251</v>
      </c>
      <c r="S263" t="s">
        <v>577</v>
      </c>
      <c r="U263" s="6">
        <v>42116.735636574071</v>
      </c>
      <c r="V263" t="s">
        <v>40</v>
      </c>
      <c r="W263" t="s">
        <v>17</v>
      </c>
      <c r="X263" s="6">
        <v>42037.707766203705</v>
      </c>
      <c r="Y263" t="s">
        <v>255</v>
      </c>
      <c r="Z263" t="s">
        <v>125</v>
      </c>
      <c r="AB263" t="s">
        <v>200</v>
      </c>
      <c r="AC263" t="s">
        <v>247</v>
      </c>
      <c r="AD263" t="s">
        <v>220</v>
      </c>
      <c r="AE263" t="s">
        <v>229</v>
      </c>
      <c r="AG263" t="s">
        <v>121</v>
      </c>
      <c r="AH263" t="s">
        <v>327</v>
      </c>
      <c r="AI263" t="s">
        <v>121</v>
      </c>
      <c r="AJ263" t="s">
        <v>715</v>
      </c>
      <c r="AK263" t="s">
        <v>121</v>
      </c>
    </row>
    <row r="264" spans="9:37" x14ac:dyDescent="0.3">
      <c r="I264">
        <f ca="1">IF(OR(INDIRECT(A73&amp;ROW())=B93,INDIRECT(A73&amp;ROW())=B94),1,IF(AND(INDIRECT(A73&amp;ROW())=B95,INDIRECT(A96&amp;ROW())=C93),1,IF(AND(INDIRECT(A73&amp;ROW())=B95,INDIRECT(A96&amp;ROW())=C94),1,0)))</f>
        <v>0</v>
      </c>
      <c r="J264">
        <f ca="1">IF(AND(INDIRECT(A73&amp;ROW())=B95,INDIRECT(A96&amp;ROW())=C95),1,IF(AND(INDIRECT(A73&amp;ROW())=B95,INDIRECT(A96&amp;ROW())=C96),1,0))</f>
        <v>1</v>
      </c>
      <c r="K264">
        <f ca="1">DAYS360(INDIRECT(C68&amp;ROW()),TODAY())</f>
        <v>730</v>
      </c>
      <c r="L264">
        <f ca="1">DAYS360(INDIRECT(C69&amp;ROW()),TODAY())</f>
        <v>809</v>
      </c>
      <c r="M264">
        <f ca="1">HYPERLINK(CONCATENATE("https://bugzilla.houston.hp.com:1181/bugzilla/show_bug.cgi?id=",INDIRECT(C70&amp;ROW())),INDIRECT(C70&amp;ROW()))</f>
        <v>56425</v>
      </c>
      <c r="N264">
        <v>56425</v>
      </c>
      <c r="O264" t="s">
        <v>56</v>
      </c>
      <c r="P264" t="s">
        <v>595</v>
      </c>
      <c r="Q264" t="s">
        <v>25</v>
      </c>
      <c r="R264" t="s">
        <v>251</v>
      </c>
      <c r="S264" t="s">
        <v>66</v>
      </c>
      <c r="U264" s="6">
        <v>42116.735763888886</v>
      </c>
      <c r="V264" t="s">
        <v>18</v>
      </c>
      <c r="W264" t="s">
        <v>17</v>
      </c>
      <c r="X264" s="6">
        <v>42038.452962962961</v>
      </c>
      <c r="Y264" t="s">
        <v>788</v>
      </c>
      <c r="AB264" t="s">
        <v>201</v>
      </c>
      <c r="AC264" t="s">
        <v>247</v>
      </c>
      <c r="AD264" t="s">
        <v>220</v>
      </c>
      <c r="AE264" t="s">
        <v>219</v>
      </c>
      <c r="AG264" t="s">
        <v>121</v>
      </c>
      <c r="AH264" t="s">
        <v>327</v>
      </c>
      <c r="AI264" t="s">
        <v>121</v>
      </c>
      <c r="AJ264" t="s">
        <v>716</v>
      </c>
      <c r="AK264" t="s">
        <v>121</v>
      </c>
    </row>
    <row r="265" spans="9:37" x14ac:dyDescent="0.3">
      <c r="I265">
        <f ca="1">IF(OR(INDIRECT(A73&amp;ROW())=B93,INDIRECT(A73&amp;ROW())=B94),1,IF(AND(INDIRECT(A73&amp;ROW())=B95,INDIRECT(A96&amp;ROW())=C93),1,IF(AND(INDIRECT(A73&amp;ROW())=B95,INDIRECT(A96&amp;ROW())=C94),1,0)))</f>
        <v>0</v>
      </c>
      <c r="J265">
        <f ca="1">IF(AND(INDIRECT(A73&amp;ROW())=B95,INDIRECT(A96&amp;ROW())=C95),1,IF(AND(INDIRECT(A73&amp;ROW())=B95,INDIRECT(A96&amp;ROW())=C96),1,0))</f>
        <v>1</v>
      </c>
      <c r="K265">
        <f ca="1">DAYS360(INDIRECT(C68&amp;ROW()),TODAY())</f>
        <v>799</v>
      </c>
      <c r="L265">
        <f ca="1">DAYS360(INDIRECT(C69&amp;ROW()),TODAY())</f>
        <v>809</v>
      </c>
      <c r="M265">
        <f ca="1">HYPERLINK(CONCATENATE("https://bugzilla.houston.hp.com:1181/bugzilla/show_bug.cgi?id=",INDIRECT(C70&amp;ROW())),INDIRECT(C70&amp;ROW()))</f>
        <v>56440</v>
      </c>
      <c r="N265">
        <v>56440</v>
      </c>
      <c r="O265" t="s">
        <v>36</v>
      </c>
      <c r="P265" t="s">
        <v>594</v>
      </c>
      <c r="Q265" t="s">
        <v>25</v>
      </c>
      <c r="R265" t="s">
        <v>579</v>
      </c>
      <c r="S265" t="s">
        <v>552</v>
      </c>
      <c r="T265" t="s">
        <v>610</v>
      </c>
      <c r="U265" s="6">
        <v>42048.014004629629</v>
      </c>
      <c r="V265" t="s">
        <v>18</v>
      </c>
      <c r="W265" t="s">
        <v>17</v>
      </c>
      <c r="X265" s="6">
        <v>42038.495104166665</v>
      </c>
      <c r="Y265" t="s">
        <v>788</v>
      </c>
      <c r="AB265" t="s">
        <v>201</v>
      </c>
      <c r="AC265" t="s">
        <v>247</v>
      </c>
      <c r="AD265" t="s">
        <v>222</v>
      </c>
      <c r="AE265" t="s">
        <v>240</v>
      </c>
      <c r="AG265" t="s">
        <v>121</v>
      </c>
      <c r="AH265" t="s">
        <v>327</v>
      </c>
      <c r="AI265" t="s">
        <v>121</v>
      </c>
      <c r="AJ265" t="s">
        <v>716</v>
      </c>
      <c r="AK265" t="s">
        <v>121</v>
      </c>
    </row>
    <row r="266" spans="9:37" x14ac:dyDescent="0.3">
      <c r="I266">
        <f ca="1">IF(OR(INDIRECT(A73&amp;ROW())=B93,INDIRECT(A73&amp;ROW())=B94),1,IF(AND(INDIRECT(A73&amp;ROW())=B95,INDIRECT(A96&amp;ROW())=C93),1,IF(AND(INDIRECT(A73&amp;ROW())=B95,INDIRECT(A96&amp;ROW())=C94),1,0)))</f>
        <v>0</v>
      </c>
      <c r="J266">
        <f ca="1">IF(AND(INDIRECT(A73&amp;ROW())=B95,INDIRECT(A96&amp;ROW())=C95),1,IF(AND(INDIRECT(A73&amp;ROW())=B95,INDIRECT(A96&amp;ROW())=C96),1,0))</f>
        <v>1</v>
      </c>
      <c r="K266">
        <f ca="1">DAYS360(INDIRECT(C68&amp;ROW()),TODAY())</f>
        <v>800</v>
      </c>
      <c r="L266">
        <f ca="1">DAYS360(INDIRECT(C69&amp;ROW()),TODAY())</f>
        <v>809</v>
      </c>
      <c r="M266">
        <f ca="1">HYPERLINK(CONCATENATE("https://bugzilla.houston.hp.com:1181/bugzilla/show_bug.cgi?id=",INDIRECT(C70&amp;ROW())),INDIRECT(C70&amp;ROW()))</f>
        <v>56441</v>
      </c>
      <c r="N266">
        <v>56441</v>
      </c>
      <c r="O266" t="s">
        <v>36</v>
      </c>
      <c r="P266" t="s">
        <v>593</v>
      </c>
      <c r="Q266" t="s">
        <v>25</v>
      </c>
      <c r="R266" t="s">
        <v>579</v>
      </c>
      <c r="S266" t="s">
        <v>552</v>
      </c>
      <c r="T266" t="s">
        <v>610</v>
      </c>
      <c r="U266" s="6">
        <v>42047.994803240741</v>
      </c>
      <c r="V266" t="s">
        <v>18</v>
      </c>
      <c r="W266" t="s">
        <v>17</v>
      </c>
      <c r="X266" s="6">
        <v>42038.496180555558</v>
      </c>
      <c r="Y266" t="s">
        <v>788</v>
      </c>
      <c r="AB266" t="s">
        <v>201</v>
      </c>
      <c r="AC266" t="s">
        <v>247</v>
      </c>
      <c r="AD266" t="s">
        <v>222</v>
      </c>
      <c r="AE266" t="s">
        <v>240</v>
      </c>
      <c r="AG266" t="s">
        <v>121</v>
      </c>
      <c r="AH266" t="s">
        <v>327</v>
      </c>
      <c r="AI266" t="s">
        <v>121</v>
      </c>
      <c r="AJ266" t="s">
        <v>716</v>
      </c>
      <c r="AK266" t="s">
        <v>121</v>
      </c>
    </row>
    <row r="267" spans="9:37" x14ac:dyDescent="0.3">
      <c r="I267">
        <f ca="1">IF(OR(INDIRECT(A73&amp;ROW())=B93,INDIRECT(A73&amp;ROW())=B94),1,IF(AND(INDIRECT(A73&amp;ROW())=B95,INDIRECT(A96&amp;ROW())=C93),1,IF(AND(INDIRECT(A73&amp;ROW())=B95,INDIRECT(A96&amp;ROW())=C94),1,0)))</f>
        <v>0</v>
      </c>
      <c r="J267">
        <f ca="1">IF(AND(INDIRECT(A73&amp;ROW())=B95,INDIRECT(A96&amp;ROW())=C95),1,IF(AND(INDIRECT(A73&amp;ROW())=B95,INDIRECT(A96&amp;ROW())=C96),1,0))</f>
        <v>1</v>
      </c>
      <c r="K267">
        <f ca="1">DAYS360(INDIRECT(C68&amp;ROW()),TODAY())</f>
        <v>809</v>
      </c>
      <c r="L267">
        <f ca="1">DAYS360(INDIRECT(C69&amp;ROW()),TODAY())</f>
        <v>809</v>
      </c>
      <c r="M267">
        <f ca="1">HYPERLINK(CONCATENATE("https://bugzilla.houston.hp.com:1181/bugzilla/show_bug.cgi?id=",INDIRECT(C70&amp;ROW())),INDIRECT(C70&amp;ROW()))</f>
        <v>56442</v>
      </c>
      <c r="N267">
        <v>56442</v>
      </c>
      <c r="O267" t="s">
        <v>36</v>
      </c>
      <c r="P267" t="s">
        <v>592</v>
      </c>
      <c r="Q267" t="s">
        <v>25</v>
      </c>
      <c r="R267" t="s">
        <v>248</v>
      </c>
      <c r="S267" t="s">
        <v>552</v>
      </c>
      <c r="U267" s="6">
        <v>42038.497789351852</v>
      </c>
      <c r="V267" t="s">
        <v>18</v>
      </c>
      <c r="W267" t="s">
        <v>17</v>
      </c>
      <c r="X267" s="6">
        <v>42038.497395833336</v>
      </c>
      <c r="Y267" t="s">
        <v>788</v>
      </c>
      <c r="AB267" t="s">
        <v>201</v>
      </c>
      <c r="AC267" t="s">
        <v>247</v>
      </c>
      <c r="AD267" t="s">
        <v>222</v>
      </c>
      <c r="AE267" t="s">
        <v>240</v>
      </c>
      <c r="AG267" t="s">
        <v>121</v>
      </c>
      <c r="AH267" t="s">
        <v>327</v>
      </c>
      <c r="AI267" t="s">
        <v>121</v>
      </c>
      <c r="AJ267" t="s">
        <v>716</v>
      </c>
      <c r="AK267" t="s">
        <v>121</v>
      </c>
    </row>
    <row r="268" spans="9:37" x14ac:dyDescent="0.3">
      <c r="I268">
        <f ca="1">IF(OR(INDIRECT(A73&amp;ROW())=B93,INDIRECT(A73&amp;ROW())=B94),1,IF(AND(INDIRECT(A73&amp;ROW())=B95,INDIRECT(A96&amp;ROW())=C93),1,IF(AND(INDIRECT(A73&amp;ROW())=B95,INDIRECT(A96&amp;ROW())=C94),1,0)))</f>
        <v>0</v>
      </c>
      <c r="J268">
        <f ca="1">IF(AND(INDIRECT(A73&amp;ROW())=B95,INDIRECT(A96&amp;ROW())=C95),1,IF(AND(INDIRECT(A73&amp;ROW())=B95,INDIRECT(A96&amp;ROW())=C96),1,0))</f>
        <v>1</v>
      </c>
      <c r="K268">
        <f ca="1">DAYS360(INDIRECT(C68&amp;ROW()),TODAY())</f>
        <v>809</v>
      </c>
      <c r="L268">
        <f ca="1">DAYS360(INDIRECT(C69&amp;ROW()),TODAY())</f>
        <v>809</v>
      </c>
      <c r="M268">
        <f ca="1">HYPERLINK(CONCATENATE("https://bugzilla.houston.hp.com:1181/bugzilla/show_bug.cgi?id=",INDIRECT(C70&amp;ROW())),INDIRECT(C70&amp;ROW()))</f>
        <v>56445</v>
      </c>
      <c r="N268">
        <v>56445</v>
      </c>
      <c r="O268" t="s">
        <v>36</v>
      </c>
      <c r="P268" t="s">
        <v>591</v>
      </c>
      <c r="Q268" t="s">
        <v>25</v>
      </c>
      <c r="R268" t="s">
        <v>248</v>
      </c>
      <c r="S268" t="s">
        <v>552</v>
      </c>
      <c r="U268" s="6">
        <v>42038.501550925925</v>
      </c>
      <c r="V268" t="s">
        <v>18</v>
      </c>
      <c r="W268" t="s">
        <v>17</v>
      </c>
      <c r="X268" s="6">
        <v>42038.501111111109</v>
      </c>
      <c r="Y268" t="s">
        <v>788</v>
      </c>
      <c r="AB268" t="s">
        <v>201</v>
      </c>
      <c r="AC268" t="s">
        <v>247</v>
      </c>
      <c r="AD268" t="s">
        <v>222</v>
      </c>
      <c r="AE268" t="s">
        <v>240</v>
      </c>
      <c r="AG268" t="s">
        <v>121</v>
      </c>
      <c r="AH268" t="s">
        <v>327</v>
      </c>
      <c r="AI268" t="s">
        <v>121</v>
      </c>
      <c r="AJ268" t="s">
        <v>716</v>
      </c>
      <c r="AK268" t="s">
        <v>121</v>
      </c>
    </row>
    <row r="269" spans="9:37" x14ac:dyDescent="0.3">
      <c r="I269">
        <f ca="1">IF(OR(INDIRECT(A73&amp;ROW())=B93,INDIRECT(A73&amp;ROW())=B94),1,IF(AND(INDIRECT(A73&amp;ROW())=B95,INDIRECT(A96&amp;ROW())=C93),1,IF(AND(INDIRECT(A73&amp;ROW())=B95,INDIRECT(A96&amp;ROW())=C94),1,0)))</f>
        <v>0</v>
      </c>
      <c r="J269">
        <f ca="1">IF(AND(INDIRECT(A73&amp;ROW())=B95,INDIRECT(A96&amp;ROW())=C95),1,IF(AND(INDIRECT(A73&amp;ROW())=B95,INDIRECT(A96&amp;ROW())=C96),1,0))</f>
        <v>1</v>
      </c>
      <c r="K269">
        <f ca="1">DAYS360(INDIRECT(C68&amp;ROW()),TODAY())</f>
        <v>728</v>
      </c>
      <c r="L269">
        <f ca="1">DAYS360(INDIRECT(C69&amp;ROW()),TODAY())</f>
        <v>809</v>
      </c>
      <c r="M269">
        <f ca="1">HYPERLINK(CONCATENATE("https://bugzilla.houston.hp.com:1181/bugzilla/show_bug.cgi?id=",INDIRECT(C70&amp;ROW())),INDIRECT(C70&amp;ROW()))</f>
        <v>56450</v>
      </c>
      <c r="N269">
        <v>56450</v>
      </c>
      <c r="O269" t="s">
        <v>56</v>
      </c>
      <c r="P269" t="s">
        <v>590</v>
      </c>
      <c r="Q269" t="s">
        <v>25</v>
      </c>
      <c r="R269" t="s">
        <v>251</v>
      </c>
      <c r="S269" t="s">
        <v>66</v>
      </c>
      <c r="U269" s="6">
        <v>42118.338229166664</v>
      </c>
      <c r="V269" t="s">
        <v>18</v>
      </c>
      <c r="W269" t="s">
        <v>17</v>
      </c>
      <c r="X269" s="6">
        <v>42038.576805555553</v>
      </c>
      <c r="Y269" t="s">
        <v>788</v>
      </c>
      <c r="AB269" t="s">
        <v>201</v>
      </c>
      <c r="AC269" t="s">
        <v>247</v>
      </c>
      <c r="AD269" t="s">
        <v>220</v>
      </c>
      <c r="AE269" t="s">
        <v>219</v>
      </c>
      <c r="AG269" t="s">
        <v>121</v>
      </c>
      <c r="AH269" t="s">
        <v>327</v>
      </c>
      <c r="AI269" t="s">
        <v>121</v>
      </c>
      <c r="AJ269" t="s">
        <v>716</v>
      </c>
      <c r="AK269" t="s">
        <v>121</v>
      </c>
    </row>
    <row r="270" spans="9:37" x14ac:dyDescent="0.3">
      <c r="I270">
        <f ca="1">IF(OR(INDIRECT(A73&amp;ROW())=B93,INDIRECT(A73&amp;ROW())=B94),1,IF(AND(INDIRECT(A73&amp;ROW())=B95,INDIRECT(A96&amp;ROW())=C93),1,IF(AND(INDIRECT(A73&amp;ROW())=B95,INDIRECT(A96&amp;ROW())=C94),1,0)))</f>
        <v>0</v>
      </c>
      <c r="J270">
        <f ca="1">IF(AND(INDIRECT(A73&amp;ROW())=B95,INDIRECT(A96&amp;ROW())=C95),1,IF(AND(INDIRECT(A73&amp;ROW())=B95,INDIRECT(A96&amp;ROW())=C96),1,0))</f>
        <v>1</v>
      </c>
      <c r="K270">
        <f ca="1">DAYS360(INDIRECT(C68&amp;ROW()),TODAY())</f>
        <v>809</v>
      </c>
      <c r="L270">
        <f ca="1">DAYS360(INDIRECT(C69&amp;ROW()),TODAY())</f>
        <v>809</v>
      </c>
      <c r="M270">
        <f ca="1">HYPERLINK(CONCATENATE("https://bugzilla.houston.hp.com:1181/bugzilla/show_bug.cgi?id=",INDIRECT(C70&amp;ROW())),INDIRECT(C70&amp;ROW()))</f>
        <v>56458</v>
      </c>
      <c r="N270">
        <v>56458</v>
      </c>
      <c r="O270" t="s">
        <v>56</v>
      </c>
      <c r="P270" t="s">
        <v>589</v>
      </c>
      <c r="Q270" t="s">
        <v>25</v>
      </c>
      <c r="R270" t="s">
        <v>248</v>
      </c>
      <c r="S270" t="s">
        <v>552</v>
      </c>
      <c r="U270" s="6">
        <v>42038.643333333333</v>
      </c>
      <c r="V270" t="s">
        <v>18</v>
      </c>
      <c r="W270" t="s">
        <v>576</v>
      </c>
      <c r="X270" s="6">
        <v>42038.640115740738</v>
      </c>
      <c r="Y270" t="s">
        <v>788</v>
      </c>
      <c r="AB270" t="s">
        <v>201</v>
      </c>
      <c r="AC270" t="s">
        <v>247</v>
      </c>
      <c r="AD270" t="s">
        <v>220</v>
      </c>
      <c r="AE270" t="s">
        <v>219</v>
      </c>
      <c r="AG270" t="s">
        <v>121</v>
      </c>
      <c r="AH270" t="s">
        <v>327</v>
      </c>
      <c r="AI270" t="s">
        <v>121</v>
      </c>
      <c r="AJ270" t="s">
        <v>716</v>
      </c>
      <c r="AK270" t="s">
        <v>121</v>
      </c>
    </row>
    <row r="271" spans="9:37" x14ac:dyDescent="0.3">
      <c r="I271">
        <f ca="1">IF(OR(INDIRECT(A73&amp;ROW())=B93,INDIRECT(A73&amp;ROW())=B94),1,IF(AND(INDIRECT(A73&amp;ROW())=B95,INDIRECT(A96&amp;ROW())=C93),1,IF(AND(INDIRECT(A73&amp;ROW())=B95,INDIRECT(A96&amp;ROW())=C94),1,0)))</f>
        <v>0</v>
      </c>
      <c r="J271">
        <f ca="1">IF(AND(INDIRECT(A73&amp;ROW())=B95,INDIRECT(A96&amp;ROW())=C95),1,IF(AND(INDIRECT(A73&amp;ROW())=B95,INDIRECT(A96&amp;ROW())=C96),1,0))</f>
        <v>1</v>
      </c>
      <c r="K271">
        <f ca="1">DAYS360(INDIRECT(C68&amp;ROW()),TODAY())</f>
        <v>691</v>
      </c>
      <c r="L271">
        <f ca="1">DAYS360(INDIRECT(C69&amp;ROW()),TODAY())</f>
        <v>808</v>
      </c>
      <c r="M271">
        <f ca="1">HYPERLINK(CONCATENATE("https://bugzilla.houston.hp.com:1181/bugzilla/show_bug.cgi?id=",INDIRECT(C70&amp;ROW())),INDIRECT(C70&amp;ROW()))</f>
        <v>56502</v>
      </c>
      <c r="N271">
        <v>56502</v>
      </c>
      <c r="O271" t="s">
        <v>22</v>
      </c>
      <c r="P271" t="s">
        <v>599</v>
      </c>
      <c r="Q271" t="s">
        <v>25</v>
      </c>
      <c r="R271" t="s">
        <v>251</v>
      </c>
      <c r="S271" t="s">
        <v>24</v>
      </c>
      <c r="U271" s="6">
        <v>42156.595127314817</v>
      </c>
      <c r="V271" t="s">
        <v>18</v>
      </c>
      <c r="W271" t="s">
        <v>17</v>
      </c>
      <c r="X271" s="6">
        <v>42039.558599537035</v>
      </c>
      <c r="Y271" t="s">
        <v>535</v>
      </c>
      <c r="AB271" t="s">
        <v>201</v>
      </c>
      <c r="AC271" t="s">
        <v>247</v>
      </c>
      <c r="AD271" t="s">
        <v>222</v>
      </c>
      <c r="AE271" t="s">
        <v>221</v>
      </c>
      <c r="AG271" t="s">
        <v>121</v>
      </c>
      <c r="AH271" t="s">
        <v>327</v>
      </c>
      <c r="AI271" t="s">
        <v>121</v>
      </c>
      <c r="AJ271" t="s">
        <v>715</v>
      </c>
      <c r="AK271" t="s">
        <v>121</v>
      </c>
    </row>
    <row r="272" spans="9:37" x14ac:dyDescent="0.3">
      <c r="I272">
        <f ca="1">IF(OR(INDIRECT(A73&amp;ROW())=B93,INDIRECT(A73&amp;ROW())=B94),1,IF(AND(INDIRECT(A73&amp;ROW())=B95,INDIRECT(A96&amp;ROW())=C93),1,IF(AND(INDIRECT(A73&amp;ROW())=B95,INDIRECT(A96&amp;ROW())=C94),1,0)))</f>
        <v>0</v>
      </c>
      <c r="J272">
        <f ca="1">IF(AND(INDIRECT(A73&amp;ROW())=B95,INDIRECT(A96&amp;ROW())=C95),1,IF(AND(INDIRECT(A73&amp;ROW())=B95,INDIRECT(A96&amp;ROW())=C96),1,0))</f>
        <v>1</v>
      </c>
      <c r="K272">
        <f ca="1">DAYS360(INDIRECT(C68&amp;ROW()),TODAY())</f>
        <v>795</v>
      </c>
      <c r="L272">
        <f ca="1">DAYS360(INDIRECT(C69&amp;ROW()),TODAY())</f>
        <v>808</v>
      </c>
      <c r="M272">
        <f ca="1">HYPERLINK(CONCATENATE("https://bugzilla.houston.hp.com:1181/bugzilla/show_bug.cgi?id=",INDIRECT(C70&amp;ROW())),INDIRECT(C70&amp;ROW()))</f>
        <v>56512</v>
      </c>
      <c r="N272">
        <v>56512</v>
      </c>
      <c r="O272" t="s">
        <v>22</v>
      </c>
      <c r="P272" t="s">
        <v>598</v>
      </c>
      <c r="Q272" t="s">
        <v>25</v>
      </c>
      <c r="R272" t="s">
        <v>579</v>
      </c>
      <c r="S272" t="s">
        <v>552</v>
      </c>
      <c r="U272" s="6">
        <v>42052.332604166666</v>
      </c>
      <c r="V272" t="s">
        <v>18</v>
      </c>
      <c r="W272" t="s">
        <v>576</v>
      </c>
      <c r="X272" s="6">
        <v>42039.647303240738</v>
      </c>
      <c r="Y272" t="s">
        <v>535</v>
      </c>
      <c r="AB272" t="s">
        <v>201</v>
      </c>
      <c r="AC272" t="s">
        <v>247</v>
      </c>
      <c r="AD272" t="s">
        <v>222</v>
      </c>
      <c r="AE272" t="s">
        <v>221</v>
      </c>
      <c r="AG272" t="s">
        <v>121</v>
      </c>
      <c r="AH272" t="s">
        <v>327</v>
      </c>
      <c r="AI272" t="s">
        <v>121</v>
      </c>
      <c r="AJ272" t="s">
        <v>716</v>
      </c>
      <c r="AK272" t="s">
        <v>121</v>
      </c>
    </row>
    <row r="273" spans="9:37" x14ac:dyDescent="0.3">
      <c r="I273">
        <f ca="1">IF(OR(INDIRECT(A73&amp;ROW())=B93,INDIRECT(A73&amp;ROW())=B94),1,IF(AND(INDIRECT(A73&amp;ROW())=B95,INDIRECT(A96&amp;ROW())=C93),1,IF(AND(INDIRECT(A73&amp;ROW())=B95,INDIRECT(A96&amp;ROW())=C94),1,0)))</f>
        <v>0</v>
      </c>
      <c r="J273">
        <f ca="1">IF(AND(INDIRECT(A73&amp;ROW())=B95,INDIRECT(A96&amp;ROW())=C95),1,IF(AND(INDIRECT(A73&amp;ROW())=B95,INDIRECT(A96&amp;ROW())=C96),1,0))</f>
        <v>1</v>
      </c>
      <c r="K273">
        <f ca="1">DAYS360(INDIRECT(C68&amp;ROW()),TODAY())</f>
        <v>733</v>
      </c>
      <c r="L273">
        <f ca="1">DAYS360(INDIRECT(C69&amp;ROW()),TODAY())</f>
        <v>808</v>
      </c>
      <c r="M273">
        <f ca="1">HYPERLINK(CONCATENATE("https://bugzilla.houston.hp.com:1181/bugzilla/show_bug.cgi?id=",INDIRECT(C70&amp;ROW())),INDIRECT(C70&amp;ROW()))</f>
        <v>56513</v>
      </c>
      <c r="N273">
        <v>56513</v>
      </c>
      <c r="O273" t="s">
        <v>36</v>
      </c>
      <c r="P273" t="s">
        <v>597</v>
      </c>
      <c r="Q273" t="s">
        <v>25</v>
      </c>
      <c r="R273" t="s">
        <v>248</v>
      </c>
      <c r="S273" t="s">
        <v>552</v>
      </c>
      <c r="U273" s="6">
        <v>42113.619525462964</v>
      </c>
      <c r="V273" t="s">
        <v>18</v>
      </c>
      <c r="W273" t="s">
        <v>576</v>
      </c>
      <c r="X273" s="6">
        <v>42039.648113425923</v>
      </c>
      <c r="Y273" t="s">
        <v>535</v>
      </c>
      <c r="AB273" t="s">
        <v>201</v>
      </c>
      <c r="AC273" t="s">
        <v>247</v>
      </c>
      <c r="AD273" t="s">
        <v>222</v>
      </c>
      <c r="AE273" t="s">
        <v>221</v>
      </c>
      <c r="AG273" t="s">
        <v>121</v>
      </c>
      <c r="AH273" t="s">
        <v>327</v>
      </c>
      <c r="AI273" t="s">
        <v>121</v>
      </c>
      <c r="AJ273" t="s">
        <v>715</v>
      </c>
      <c r="AK273" t="s">
        <v>121</v>
      </c>
    </row>
    <row r="274" spans="9:37" x14ac:dyDescent="0.3">
      <c r="I274">
        <f ca="1">IF(OR(INDIRECT(A73&amp;ROW())=B93,INDIRECT(A73&amp;ROW())=B94),1,IF(AND(INDIRECT(A73&amp;ROW())=B95,INDIRECT(A96&amp;ROW())=C93),1,IF(AND(INDIRECT(A73&amp;ROW())=B95,INDIRECT(A96&amp;ROW())=C94),1,0)))</f>
        <v>0</v>
      </c>
      <c r="J274">
        <f ca="1">IF(AND(INDIRECT(A73&amp;ROW())=B95,INDIRECT(A96&amp;ROW())=C95),1,IF(AND(INDIRECT(A73&amp;ROW())=B95,INDIRECT(A96&amp;ROW())=C96),1,0))</f>
        <v>1</v>
      </c>
      <c r="K274">
        <f ca="1">DAYS360(INDIRECT(C68&amp;ROW()),TODAY())</f>
        <v>721</v>
      </c>
      <c r="L274">
        <f ca="1">DAYS360(INDIRECT(C69&amp;ROW()),TODAY())</f>
        <v>807</v>
      </c>
      <c r="M274">
        <f ca="1">HYPERLINK(CONCATENATE("https://bugzilla.houston.hp.com:1181/bugzilla/show_bug.cgi?id=",INDIRECT(C70&amp;ROW())),INDIRECT(C70&amp;ROW()))</f>
        <v>56586</v>
      </c>
      <c r="N274">
        <v>56586</v>
      </c>
      <c r="O274" t="s">
        <v>56</v>
      </c>
      <c r="P274" t="s">
        <v>601</v>
      </c>
      <c r="Q274" t="s">
        <v>25</v>
      </c>
      <c r="R274" t="s">
        <v>251</v>
      </c>
      <c r="S274" t="s">
        <v>22</v>
      </c>
      <c r="U274" s="6">
        <v>42125.452800925923</v>
      </c>
      <c r="V274" t="s">
        <v>18</v>
      </c>
      <c r="W274" t="s">
        <v>17</v>
      </c>
      <c r="X274" s="6">
        <v>42040.483576388891</v>
      </c>
      <c r="Y274" t="s">
        <v>122</v>
      </c>
      <c r="AB274" t="s">
        <v>201</v>
      </c>
      <c r="AC274" t="s">
        <v>247</v>
      </c>
      <c r="AD274" t="s">
        <v>220</v>
      </c>
      <c r="AE274" t="s">
        <v>219</v>
      </c>
      <c r="AG274" t="s">
        <v>121</v>
      </c>
      <c r="AH274" t="s">
        <v>327</v>
      </c>
      <c r="AI274" t="s">
        <v>121</v>
      </c>
      <c r="AJ274" t="s">
        <v>716</v>
      </c>
      <c r="AK274" t="s">
        <v>121</v>
      </c>
    </row>
    <row r="275" spans="9:37" x14ac:dyDescent="0.3">
      <c r="I275">
        <f ca="1">IF(OR(INDIRECT(A73&amp;ROW())=B93,INDIRECT(A73&amp;ROW())=B94),1,IF(AND(INDIRECT(A73&amp;ROW())=B95,INDIRECT(A96&amp;ROW())=C93),1,IF(AND(INDIRECT(A73&amp;ROW())=B95,INDIRECT(A96&amp;ROW())=C94),1,0)))</f>
        <v>0</v>
      </c>
      <c r="J275">
        <f ca="1">IF(AND(INDIRECT(A73&amp;ROW())=B95,INDIRECT(A96&amp;ROW())=C95),1,IF(AND(INDIRECT(A73&amp;ROW())=B95,INDIRECT(A96&amp;ROW())=C96),1,0))</f>
        <v>1</v>
      </c>
      <c r="K275">
        <f ca="1">DAYS360(INDIRECT(C68&amp;ROW()),TODAY())</f>
        <v>721</v>
      </c>
      <c r="L275">
        <f ca="1">DAYS360(INDIRECT(C69&amp;ROW()),TODAY())</f>
        <v>807</v>
      </c>
      <c r="M275">
        <f ca="1">HYPERLINK(CONCATENATE("https://bugzilla.houston.hp.com:1181/bugzilla/show_bug.cgi?id=",INDIRECT(C70&amp;ROW())),INDIRECT(C70&amp;ROW()))</f>
        <v>56589</v>
      </c>
      <c r="N275">
        <v>56589</v>
      </c>
      <c r="O275" t="s">
        <v>56</v>
      </c>
      <c r="P275" t="s">
        <v>600</v>
      </c>
      <c r="Q275" t="s">
        <v>25</v>
      </c>
      <c r="R275" t="s">
        <v>248</v>
      </c>
      <c r="S275" t="s">
        <v>552</v>
      </c>
      <c r="U275" s="6">
        <v>42125.452916666669</v>
      </c>
      <c r="V275" t="s">
        <v>18</v>
      </c>
      <c r="W275" t="s">
        <v>576</v>
      </c>
      <c r="X275" s="6">
        <v>42040.484780092593</v>
      </c>
      <c r="Y275" t="s">
        <v>122</v>
      </c>
      <c r="AB275" t="s">
        <v>201</v>
      </c>
      <c r="AC275" t="s">
        <v>247</v>
      </c>
      <c r="AD275" t="s">
        <v>220</v>
      </c>
      <c r="AE275" t="s">
        <v>219</v>
      </c>
      <c r="AG275" t="s">
        <v>121</v>
      </c>
      <c r="AH275" t="s">
        <v>327</v>
      </c>
      <c r="AI275" t="s">
        <v>121</v>
      </c>
      <c r="AJ275" t="s">
        <v>716</v>
      </c>
      <c r="AK275" t="s">
        <v>121</v>
      </c>
    </row>
    <row r="276" spans="9:37" x14ac:dyDescent="0.3">
      <c r="I276">
        <f ca="1">IF(OR(INDIRECT(A73&amp;ROW())=B93,INDIRECT(A73&amp;ROW())=B94),1,IF(AND(INDIRECT(A73&amp;ROW())=B95,INDIRECT(A96&amp;ROW())=C93),1,IF(AND(INDIRECT(A73&amp;ROW())=B95,INDIRECT(A96&amp;ROW())=C94),1,0)))</f>
        <v>1</v>
      </c>
      <c r="J276">
        <f ca="1">IF(AND(INDIRECT(A73&amp;ROW())=B95,INDIRECT(A96&amp;ROW())=C95),1,IF(AND(INDIRECT(A73&amp;ROW())=B95,INDIRECT(A96&amp;ROW())=C96),1,0))</f>
        <v>0</v>
      </c>
      <c r="K276">
        <f ca="1">DAYS360(INDIRECT(C68&amp;ROW()),TODAY())</f>
        <v>691</v>
      </c>
      <c r="L276">
        <f ca="1">DAYS360(INDIRECT(C69&amp;ROW()),TODAY())</f>
        <v>806</v>
      </c>
      <c r="M276">
        <f ca="1">HYPERLINK(CONCATENATE("https://bugzilla.houston.hp.com:1181/bugzilla/show_bug.cgi?id=",INDIRECT(C70&amp;ROW())),INDIRECT(C70&amp;ROW()))</f>
        <v>56687</v>
      </c>
      <c r="N276">
        <v>56687</v>
      </c>
      <c r="O276" t="s">
        <v>164</v>
      </c>
      <c r="P276" t="s">
        <v>602</v>
      </c>
      <c r="Q276" t="s">
        <v>25</v>
      </c>
      <c r="R276" t="s">
        <v>579</v>
      </c>
      <c r="S276" t="s">
        <v>236</v>
      </c>
      <c r="T276" t="s">
        <v>820</v>
      </c>
      <c r="U276" s="6">
        <v>42156.078865740739</v>
      </c>
      <c r="V276" t="s">
        <v>18</v>
      </c>
      <c r="W276" t="s">
        <v>57</v>
      </c>
      <c r="X276" s="6">
        <v>42041.700462962966</v>
      </c>
      <c r="Y276" t="s">
        <v>125</v>
      </c>
      <c r="AB276" t="s">
        <v>200</v>
      </c>
      <c r="AC276" t="s">
        <v>216</v>
      </c>
      <c r="AD276" t="s">
        <v>220</v>
      </c>
      <c r="AE276" t="s">
        <v>219</v>
      </c>
      <c r="AG276" t="s">
        <v>121</v>
      </c>
      <c r="AH276" t="s">
        <v>328</v>
      </c>
      <c r="AI276" t="s">
        <v>362</v>
      </c>
      <c r="AJ276" t="s">
        <v>715</v>
      </c>
      <c r="AK276" t="s">
        <v>121</v>
      </c>
    </row>
    <row r="277" spans="9:37" x14ac:dyDescent="0.3">
      <c r="I277">
        <f ca="1">IF(OR(INDIRECT(A73&amp;ROW())=B93,INDIRECT(A73&amp;ROW())=B94),1,IF(AND(INDIRECT(A73&amp;ROW())=B95,INDIRECT(A96&amp;ROW())=C93),1,IF(AND(INDIRECT(A73&amp;ROW())=B95,INDIRECT(A96&amp;ROW())=C94),1,0)))</f>
        <v>1</v>
      </c>
      <c r="J277">
        <f ca="1">IF(AND(INDIRECT(A73&amp;ROW())=B95,INDIRECT(A96&amp;ROW())=C95),1,IF(AND(INDIRECT(A73&amp;ROW())=B95,INDIRECT(A96&amp;ROW())=C96),1,0))</f>
        <v>0</v>
      </c>
      <c r="K277">
        <f ca="1">DAYS360(INDIRECT(C68&amp;ROW()),TODAY())</f>
        <v>723</v>
      </c>
      <c r="L277">
        <f ca="1">DAYS360(INDIRECT(C69&amp;ROW()),TODAY())</f>
        <v>803</v>
      </c>
      <c r="M277">
        <f ca="1">HYPERLINK(CONCATENATE("https://bugzilla.houston.hp.com:1181/bugzilla/show_bug.cgi?id=",INDIRECT(C70&amp;ROW())),INDIRECT(C70&amp;ROW()))</f>
        <v>56731</v>
      </c>
      <c r="N277">
        <v>56731</v>
      </c>
      <c r="O277" t="s">
        <v>94</v>
      </c>
      <c r="P277" t="s">
        <v>608</v>
      </c>
      <c r="Q277" t="s">
        <v>39</v>
      </c>
      <c r="R277" t="s">
        <v>579</v>
      </c>
      <c r="S277" t="s">
        <v>552</v>
      </c>
      <c r="T277" t="s">
        <v>820</v>
      </c>
      <c r="U277" s="6">
        <v>42123.396423611113</v>
      </c>
      <c r="V277" t="s">
        <v>40</v>
      </c>
      <c r="W277" t="s">
        <v>211</v>
      </c>
      <c r="X277" s="6">
        <v>42044.500763888886</v>
      </c>
      <c r="Y277" t="s">
        <v>119</v>
      </c>
      <c r="AB277" t="s">
        <v>201</v>
      </c>
      <c r="AC277" t="s">
        <v>121</v>
      </c>
      <c r="AD277" t="s">
        <v>227</v>
      </c>
      <c r="AE277" t="s">
        <v>231</v>
      </c>
      <c r="AG277" t="s">
        <v>121</v>
      </c>
      <c r="AH277" t="s">
        <v>64</v>
      </c>
      <c r="AI277" t="s">
        <v>362</v>
      </c>
      <c r="AJ277" t="s">
        <v>715</v>
      </c>
      <c r="AK277" t="s">
        <v>121</v>
      </c>
    </row>
    <row r="278" spans="9:37" x14ac:dyDescent="0.3">
      <c r="I278">
        <f ca="1">IF(OR(INDIRECT(A73&amp;ROW())=B93,INDIRECT(A73&amp;ROW())=B94),1,IF(AND(INDIRECT(A73&amp;ROW())=B95,INDIRECT(A96&amp;ROW())=C93),1,IF(AND(INDIRECT(A73&amp;ROW())=B95,INDIRECT(A96&amp;ROW())=C94),1,0)))</f>
        <v>1</v>
      </c>
      <c r="J278">
        <f ca="1">IF(AND(INDIRECT(A73&amp;ROW())=B95,INDIRECT(A96&amp;ROW())=C95),1,IF(AND(INDIRECT(A73&amp;ROW())=B95,INDIRECT(A96&amp;ROW())=C96),1,0))</f>
        <v>0</v>
      </c>
      <c r="K278">
        <f ca="1">DAYS360(INDIRECT(C68&amp;ROW()),TODAY())</f>
        <v>752</v>
      </c>
      <c r="L278">
        <f ca="1">DAYS360(INDIRECT(C69&amp;ROW()),TODAY())</f>
        <v>803</v>
      </c>
      <c r="M278">
        <f ca="1">HYPERLINK(CONCATENATE("https://bugzilla.houston.hp.com:1181/bugzilla/show_bug.cgi?id=",INDIRECT(C70&amp;ROW())),INDIRECT(C70&amp;ROW()))</f>
        <v>56735</v>
      </c>
      <c r="N278">
        <v>56735</v>
      </c>
      <c r="O278" t="s">
        <v>298</v>
      </c>
      <c r="P278" t="s">
        <v>606</v>
      </c>
      <c r="Q278" t="s">
        <v>39</v>
      </c>
      <c r="R278" t="s">
        <v>579</v>
      </c>
      <c r="S278" t="s">
        <v>552</v>
      </c>
      <c r="T278" t="s">
        <v>820</v>
      </c>
      <c r="U278" s="6">
        <v>42093.074259259258</v>
      </c>
      <c r="V278" t="s">
        <v>40</v>
      </c>
      <c r="W278" t="s">
        <v>343</v>
      </c>
      <c r="X278" s="6">
        <v>42044.506412037037</v>
      </c>
      <c r="Y278" t="s">
        <v>785</v>
      </c>
      <c r="AB278" t="s">
        <v>201</v>
      </c>
      <c r="AC278" t="s">
        <v>247</v>
      </c>
      <c r="AD278" t="s">
        <v>227</v>
      </c>
      <c r="AE278" t="s">
        <v>231</v>
      </c>
      <c r="AG278" t="s">
        <v>121</v>
      </c>
      <c r="AH278" t="s">
        <v>327</v>
      </c>
      <c r="AI278" t="s">
        <v>121</v>
      </c>
      <c r="AJ278" t="s">
        <v>715</v>
      </c>
      <c r="AK278" t="s">
        <v>121</v>
      </c>
    </row>
    <row r="279" spans="9:37" x14ac:dyDescent="0.3">
      <c r="I279">
        <f ca="1">IF(OR(INDIRECT(A73&amp;ROW())=B93,INDIRECT(A73&amp;ROW())=B94),1,IF(AND(INDIRECT(A73&amp;ROW())=B95,INDIRECT(A96&amp;ROW())=C93),1,IF(AND(INDIRECT(A73&amp;ROW())=B95,INDIRECT(A96&amp;ROW())=C94),1,0)))</f>
        <v>1</v>
      </c>
      <c r="J279">
        <f ca="1">IF(AND(INDIRECT(A73&amp;ROW())=B95,INDIRECT(A96&amp;ROW())=C95),1,IF(AND(INDIRECT(A73&amp;ROW())=B95,INDIRECT(A96&amp;ROW())=C96),1,0))</f>
        <v>0</v>
      </c>
      <c r="K279">
        <f ca="1">DAYS360(INDIRECT(C68&amp;ROW()),TODAY())</f>
        <v>728</v>
      </c>
      <c r="L279">
        <f ca="1">DAYS360(INDIRECT(C69&amp;ROW()),TODAY())</f>
        <v>803</v>
      </c>
      <c r="M279">
        <f ca="1">HYPERLINK(CONCATENATE("https://bugzilla.houston.hp.com:1181/bugzilla/show_bug.cgi?id=",INDIRECT(C70&amp;ROW())),INDIRECT(C70&amp;ROW()))</f>
        <v>56736</v>
      </c>
      <c r="N279">
        <v>56736</v>
      </c>
      <c r="O279" t="s">
        <v>156</v>
      </c>
      <c r="P279" t="s">
        <v>605</v>
      </c>
      <c r="Q279" t="s">
        <v>25</v>
      </c>
      <c r="R279" t="s">
        <v>579</v>
      </c>
      <c r="S279" t="s">
        <v>552</v>
      </c>
      <c r="T279" t="s">
        <v>816</v>
      </c>
      <c r="U279" s="6">
        <v>42118.270856481482</v>
      </c>
      <c r="V279" t="s">
        <v>18</v>
      </c>
      <c r="W279" t="s">
        <v>17</v>
      </c>
      <c r="X279" s="6">
        <v>42044.507962962962</v>
      </c>
      <c r="Y279" t="s">
        <v>342</v>
      </c>
      <c r="AB279" t="s">
        <v>200</v>
      </c>
      <c r="AC279" t="s">
        <v>247</v>
      </c>
      <c r="AD279" t="s">
        <v>220</v>
      </c>
      <c r="AE279" t="s">
        <v>219</v>
      </c>
      <c r="AG279" t="s">
        <v>121</v>
      </c>
      <c r="AH279" t="s">
        <v>327</v>
      </c>
      <c r="AI279" t="s">
        <v>362</v>
      </c>
      <c r="AJ279" t="s">
        <v>715</v>
      </c>
      <c r="AK279" t="s">
        <v>121</v>
      </c>
    </row>
    <row r="280" spans="9:37" x14ac:dyDescent="0.3">
      <c r="I280">
        <f ca="1">IF(OR(INDIRECT(A73&amp;ROW())=B93,INDIRECT(A73&amp;ROW())=B94),1,IF(AND(INDIRECT(A73&amp;ROW())=B95,INDIRECT(A96&amp;ROW())=C93),1,IF(AND(INDIRECT(A73&amp;ROW())=B95,INDIRECT(A96&amp;ROW())=C94),1,0)))</f>
        <v>1</v>
      </c>
      <c r="J280">
        <f ca="1">IF(AND(INDIRECT(A73&amp;ROW())=B95,INDIRECT(A96&amp;ROW())=C95),1,IF(AND(INDIRECT(A73&amp;ROW())=B95,INDIRECT(A96&amp;ROW())=C96),1,0))</f>
        <v>0</v>
      </c>
      <c r="K280">
        <f ca="1">DAYS360(INDIRECT(C68&amp;ROW()),TODAY())</f>
        <v>732</v>
      </c>
      <c r="L280">
        <f ca="1">DAYS360(INDIRECT(C69&amp;ROW()),TODAY())</f>
        <v>803</v>
      </c>
      <c r="M280">
        <f ca="1">HYPERLINK(CONCATENATE("https://bugzilla.houston.hp.com:1181/bugzilla/show_bug.cgi?id=",INDIRECT(C70&amp;ROW())),INDIRECT(C70&amp;ROW()))</f>
        <v>56737</v>
      </c>
      <c r="N280">
        <v>56737</v>
      </c>
      <c r="O280" t="s">
        <v>22</v>
      </c>
      <c r="P280" t="s">
        <v>604</v>
      </c>
      <c r="Q280" t="s">
        <v>39</v>
      </c>
      <c r="R280" t="s">
        <v>579</v>
      </c>
      <c r="S280" t="s">
        <v>552</v>
      </c>
      <c r="T280" t="s">
        <v>820</v>
      </c>
      <c r="U280" s="6">
        <v>42114.896689814814</v>
      </c>
      <c r="V280" t="s">
        <v>18</v>
      </c>
      <c r="W280" t="s">
        <v>343</v>
      </c>
      <c r="X280" s="6">
        <v>42044.510810185187</v>
      </c>
      <c r="Y280" t="s">
        <v>245</v>
      </c>
      <c r="AB280" t="s">
        <v>201</v>
      </c>
      <c r="AC280" t="s">
        <v>247</v>
      </c>
      <c r="AD280" t="s">
        <v>222</v>
      </c>
      <c r="AE280" t="s">
        <v>221</v>
      </c>
      <c r="AG280" t="s">
        <v>121</v>
      </c>
      <c r="AH280" t="s">
        <v>327</v>
      </c>
      <c r="AI280" t="s">
        <v>362</v>
      </c>
      <c r="AJ280" t="s">
        <v>715</v>
      </c>
      <c r="AK280" t="s">
        <v>121</v>
      </c>
    </row>
    <row r="281" spans="9:37" x14ac:dyDescent="0.3">
      <c r="I281">
        <f ca="1">IF(OR(INDIRECT(A73&amp;ROW())=B93,INDIRECT(A73&amp;ROW())=B94),1,IF(AND(INDIRECT(A73&amp;ROW())=B95,INDIRECT(A96&amp;ROW())=C93),1,IF(AND(INDIRECT(A73&amp;ROW())=B95,INDIRECT(A96&amp;ROW())=C94),1,0)))</f>
        <v>0</v>
      </c>
      <c r="J281">
        <f ca="1">IF(AND(INDIRECT(A73&amp;ROW())=B95,INDIRECT(A96&amp;ROW())=C95),1,IF(AND(INDIRECT(A73&amp;ROW())=B95,INDIRECT(A96&amp;ROW())=C96),1,0))</f>
        <v>1</v>
      </c>
      <c r="K281">
        <f ca="1">DAYS360(INDIRECT(C68&amp;ROW()),TODAY())</f>
        <v>721</v>
      </c>
      <c r="L281">
        <f ca="1">DAYS360(INDIRECT(C69&amp;ROW()),TODAY())</f>
        <v>803</v>
      </c>
      <c r="M281">
        <f ca="1">HYPERLINK(CONCATENATE("https://bugzilla.houston.hp.com:1181/bugzilla/show_bug.cgi?id=",INDIRECT(C70&amp;ROW())),INDIRECT(C70&amp;ROW()))</f>
        <v>56784</v>
      </c>
      <c r="N281">
        <v>56784</v>
      </c>
      <c r="O281" t="s">
        <v>56</v>
      </c>
      <c r="P281" t="s">
        <v>603</v>
      </c>
      <c r="Q281" t="s">
        <v>25</v>
      </c>
      <c r="R281" t="s">
        <v>248</v>
      </c>
      <c r="S281" t="s">
        <v>552</v>
      </c>
      <c r="U281" s="6">
        <v>42125.451770833337</v>
      </c>
      <c r="V281" t="s">
        <v>18</v>
      </c>
      <c r="W281" t="s">
        <v>512</v>
      </c>
      <c r="X281" s="6">
        <v>42044.682280092595</v>
      </c>
      <c r="Y281" t="s">
        <v>122</v>
      </c>
      <c r="AB281" t="s">
        <v>201</v>
      </c>
      <c r="AC281" t="s">
        <v>247</v>
      </c>
      <c r="AD281" t="s">
        <v>220</v>
      </c>
      <c r="AE281" t="s">
        <v>219</v>
      </c>
      <c r="AG281" t="s">
        <v>121</v>
      </c>
      <c r="AH281" t="s">
        <v>327</v>
      </c>
      <c r="AI281" t="s">
        <v>121</v>
      </c>
      <c r="AJ281" t="s">
        <v>716</v>
      </c>
      <c r="AK281" t="s">
        <v>121</v>
      </c>
    </row>
    <row r="282" spans="9:37" x14ac:dyDescent="0.3">
      <c r="I282">
        <f ca="1">IF(OR(INDIRECT(A73&amp;ROW())=B93,INDIRECT(A73&amp;ROW())=B94),1,IF(AND(INDIRECT(A73&amp;ROW())=B95,INDIRECT(A96&amp;ROW())=C93),1,IF(AND(INDIRECT(A73&amp;ROW())=B95,INDIRECT(A96&amp;ROW())=C94),1,0)))</f>
        <v>0</v>
      </c>
      <c r="J282">
        <f ca="1">IF(AND(INDIRECT(A73&amp;ROW())=B95,INDIRECT(A96&amp;ROW())=C95),1,IF(AND(INDIRECT(A73&amp;ROW())=B95,INDIRECT(A96&amp;ROW())=C96),1,0))</f>
        <v>1</v>
      </c>
      <c r="K282">
        <f ca="1">DAYS360(INDIRECT(C68&amp;ROW()),TODAY())</f>
        <v>732</v>
      </c>
      <c r="L282">
        <f ca="1">DAYS360(INDIRECT(C69&amp;ROW()),TODAY())</f>
        <v>802</v>
      </c>
      <c r="M282">
        <f ca="1">HYPERLINK(CONCATENATE("https://bugzilla.houston.hp.com:1181/bugzilla/show_bug.cgi?id=",INDIRECT(C70&amp;ROW())),INDIRECT(C70&amp;ROW()))</f>
        <v>56829</v>
      </c>
      <c r="N282">
        <v>56829</v>
      </c>
      <c r="O282" t="s">
        <v>36</v>
      </c>
      <c r="P282" t="s">
        <v>672</v>
      </c>
      <c r="Q282" t="s">
        <v>25</v>
      </c>
      <c r="R282" t="s">
        <v>579</v>
      </c>
      <c r="S282" t="s">
        <v>552</v>
      </c>
      <c r="T282" t="s">
        <v>718</v>
      </c>
      <c r="U282" s="6">
        <v>42114.8983912037</v>
      </c>
      <c r="V282" t="s">
        <v>18</v>
      </c>
      <c r="W282" t="s">
        <v>576</v>
      </c>
      <c r="X282" s="6">
        <v>42045.437962962962</v>
      </c>
      <c r="Y282" t="s">
        <v>124</v>
      </c>
      <c r="AB282" t="s">
        <v>201</v>
      </c>
      <c r="AC282" t="s">
        <v>247</v>
      </c>
      <c r="AD282" t="s">
        <v>222</v>
      </c>
      <c r="AE282" t="s">
        <v>228</v>
      </c>
      <c r="AG282" t="s">
        <v>121</v>
      </c>
      <c r="AH282" t="s">
        <v>327</v>
      </c>
      <c r="AI282" t="s">
        <v>362</v>
      </c>
      <c r="AJ282" t="s">
        <v>716</v>
      </c>
      <c r="AK282" t="s">
        <v>121</v>
      </c>
    </row>
    <row r="283" spans="9:37" x14ac:dyDescent="0.3">
      <c r="I283">
        <f ca="1">IF(OR(INDIRECT(A73&amp;ROW())=B93,INDIRECT(A73&amp;ROW())=B94),1,IF(AND(INDIRECT(A73&amp;ROW())=B95,INDIRECT(A96&amp;ROW())=C93),1,IF(AND(INDIRECT(A73&amp;ROW())=B95,INDIRECT(A96&amp;ROW())=C94),1,0)))</f>
        <v>0</v>
      </c>
      <c r="J283">
        <f ca="1">IF(AND(INDIRECT(A73&amp;ROW())=B95,INDIRECT(A96&amp;ROW())=C95),1,IF(AND(INDIRECT(A73&amp;ROW())=B95,INDIRECT(A96&amp;ROW())=C96),1,0))</f>
        <v>1</v>
      </c>
      <c r="K283">
        <f ca="1">DAYS360(INDIRECT(C68&amp;ROW()),TODAY())</f>
        <v>799</v>
      </c>
      <c r="L283">
        <f ca="1">DAYS360(INDIRECT(C69&amp;ROW()),TODAY())</f>
        <v>802</v>
      </c>
      <c r="M283">
        <f ca="1">HYPERLINK(CONCATENATE("https://bugzilla.houston.hp.com:1181/bugzilla/show_bug.cgi?id=",INDIRECT(C70&amp;ROW())),INDIRECT(C70&amp;ROW()))</f>
        <v>56833</v>
      </c>
      <c r="N283">
        <v>56833</v>
      </c>
      <c r="O283" t="s">
        <v>36</v>
      </c>
      <c r="P283" t="s">
        <v>671</v>
      </c>
      <c r="Q283" t="s">
        <v>25</v>
      </c>
      <c r="R283" t="s">
        <v>579</v>
      </c>
      <c r="S283" t="s">
        <v>552</v>
      </c>
      <c r="T283" t="s">
        <v>719</v>
      </c>
      <c r="U283" s="6">
        <v>42048.010648148149</v>
      </c>
      <c r="V283" t="s">
        <v>18</v>
      </c>
      <c r="W283" t="s">
        <v>343</v>
      </c>
      <c r="X283" s="6">
        <v>42045.439618055556</v>
      </c>
      <c r="Y283" t="s">
        <v>246</v>
      </c>
      <c r="AB283" t="s">
        <v>201</v>
      </c>
      <c r="AC283" t="s">
        <v>247</v>
      </c>
      <c r="AD283" t="s">
        <v>222</v>
      </c>
      <c r="AE283" t="s">
        <v>221</v>
      </c>
      <c r="AG283" t="s">
        <v>121</v>
      </c>
      <c r="AH283" t="s">
        <v>327</v>
      </c>
      <c r="AI283" t="s">
        <v>121</v>
      </c>
      <c r="AJ283" t="s">
        <v>716</v>
      </c>
      <c r="AK283" t="s">
        <v>121</v>
      </c>
    </row>
    <row r="284" spans="9:37" x14ac:dyDescent="0.3">
      <c r="I284">
        <f ca="1">IF(OR(INDIRECT(A73&amp;ROW())=B93,INDIRECT(A73&amp;ROW())=B94),1,IF(AND(INDIRECT(A73&amp;ROW())=B95,INDIRECT(A96&amp;ROW())=C93),1,IF(AND(INDIRECT(A73&amp;ROW())=B95,INDIRECT(A96&amp;ROW())=C94),1,0)))</f>
        <v>1</v>
      </c>
      <c r="J284">
        <f ca="1">IF(AND(INDIRECT(A73&amp;ROW())=B95,INDIRECT(A96&amp;ROW())=C95),1,IF(AND(INDIRECT(A73&amp;ROW())=B95,INDIRECT(A96&amp;ROW())=C96),1,0))</f>
        <v>0</v>
      </c>
      <c r="K284">
        <f ca="1">DAYS360(INDIRECT(C68&amp;ROW()),TODAY())</f>
        <v>692</v>
      </c>
      <c r="L284">
        <f ca="1">DAYS360(INDIRECT(C69&amp;ROW()),TODAY())</f>
        <v>802</v>
      </c>
      <c r="M284">
        <f ca="1">HYPERLINK(CONCATENATE("https://bugzilla.houston.hp.com:1181/bugzilla/show_bug.cgi?id=",INDIRECT(C70&amp;ROW())),INDIRECT(C70&amp;ROW()))</f>
        <v>56836</v>
      </c>
      <c r="N284">
        <v>56836</v>
      </c>
      <c r="O284" t="s">
        <v>53</v>
      </c>
      <c r="P284" t="s">
        <v>670</v>
      </c>
      <c r="Q284" t="s">
        <v>39</v>
      </c>
      <c r="R284" t="s">
        <v>579</v>
      </c>
      <c r="S284" t="s">
        <v>552</v>
      </c>
      <c r="T284" t="s">
        <v>998</v>
      </c>
      <c r="U284" s="6">
        <v>42155.949664351851</v>
      </c>
      <c r="V284" t="s">
        <v>40</v>
      </c>
      <c r="W284" t="s">
        <v>258</v>
      </c>
      <c r="X284" s="6">
        <v>42045.447187500002</v>
      </c>
      <c r="Y284" t="s">
        <v>119</v>
      </c>
      <c r="AB284" t="s">
        <v>201</v>
      </c>
      <c r="AC284" t="s">
        <v>247</v>
      </c>
      <c r="AD284" t="s">
        <v>220</v>
      </c>
      <c r="AE284" t="s">
        <v>219</v>
      </c>
      <c r="AG284" t="s">
        <v>121</v>
      </c>
      <c r="AH284" t="s">
        <v>64</v>
      </c>
      <c r="AI284" t="s">
        <v>121</v>
      </c>
      <c r="AJ284" t="s">
        <v>715</v>
      </c>
      <c r="AK284" t="s">
        <v>121</v>
      </c>
    </row>
    <row r="285" spans="9:37" x14ac:dyDescent="0.3">
      <c r="I285">
        <f ca="1">IF(OR(INDIRECT(A73&amp;ROW())=B93,INDIRECT(A73&amp;ROW())=B94),1,IF(AND(INDIRECT(A73&amp;ROW())=B95,INDIRECT(A96&amp;ROW())=C93),1,IF(AND(INDIRECT(A73&amp;ROW())=B95,INDIRECT(A96&amp;ROW())=C94),1,0)))</f>
        <v>0</v>
      </c>
      <c r="J285">
        <f ca="1">IF(AND(INDIRECT(A73&amp;ROW())=B95,INDIRECT(A96&amp;ROW())=C95),1,IF(AND(INDIRECT(A73&amp;ROW())=B95,INDIRECT(A96&amp;ROW())=C96),1,0))</f>
        <v>1</v>
      </c>
      <c r="K285">
        <f ca="1">DAYS360(INDIRECT(C68&amp;ROW()),TODAY())</f>
        <v>752</v>
      </c>
      <c r="L285">
        <f ca="1">DAYS360(INDIRECT(C69&amp;ROW()),TODAY())</f>
        <v>802</v>
      </c>
      <c r="M285">
        <f ca="1">HYPERLINK(CONCATENATE("https://bugzilla.houston.hp.com:1181/bugzilla/show_bug.cgi?id=",INDIRECT(C70&amp;ROW())),INDIRECT(C70&amp;ROW()))</f>
        <v>56838</v>
      </c>
      <c r="N285">
        <v>56838</v>
      </c>
      <c r="O285" t="s">
        <v>36</v>
      </c>
      <c r="P285" t="s">
        <v>669</v>
      </c>
      <c r="Q285" t="s">
        <v>25</v>
      </c>
      <c r="R285" t="s">
        <v>579</v>
      </c>
      <c r="S285" t="s">
        <v>552</v>
      </c>
      <c r="T285" t="s">
        <v>610</v>
      </c>
      <c r="U285" s="6">
        <v>42093.996180555558</v>
      </c>
      <c r="V285" t="s">
        <v>18</v>
      </c>
      <c r="W285" t="s">
        <v>211</v>
      </c>
      <c r="X285" s="6">
        <v>42045.447858796295</v>
      </c>
      <c r="Y285" t="s">
        <v>119</v>
      </c>
      <c r="AB285" t="s">
        <v>201</v>
      </c>
      <c r="AC285" t="s">
        <v>121</v>
      </c>
      <c r="AD285" t="s">
        <v>222</v>
      </c>
      <c r="AE285" t="s">
        <v>240</v>
      </c>
      <c r="AG285" t="s">
        <v>121</v>
      </c>
      <c r="AH285" t="s">
        <v>64</v>
      </c>
      <c r="AI285" t="s">
        <v>121</v>
      </c>
      <c r="AJ285" t="s">
        <v>716</v>
      </c>
      <c r="AK285" t="s">
        <v>121</v>
      </c>
    </row>
    <row r="286" spans="9:37" x14ac:dyDescent="0.3">
      <c r="I286">
        <f ca="1">IF(OR(INDIRECT(A73&amp;ROW())=B93,INDIRECT(A73&amp;ROW())=B94),1,IF(AND(INDIRECT(A73&amp;ROW())=B95,INDIRECT(A96&amp;ROW())=C93),1,IF(AND(INDIRECT(A73&amp;ROW())=B95,INDIRECT(A96&amp;ROW())=C94),1,0)))</f>
        <v>0</v>
      </c>
      <c r="J286">
        <f ca="1">IF(AND(INDIRECT(A73&amp;ROW())=B95,INDIRECT(A96&amp;ROW())=C95),1,IF(AND(INDIRECT(A73&amp;ROW())=B95,INDIRECT(A96&amp;ROW())=C96),1,0))</f>
        <v>1</v>
      </c>
      <c r="K286">
        <f ca="1">DAYS360(INDIRECT(C68&amp;ROW()),TODAY())</f>
        <v>799</v>
      </c>
      <c r="L286">
        <f ca="1">DAYS360(INDIRECT(C69&amp;ROW()),TODAY())</f>
        <v>802</v>
      </c>
      <c r="M286">
        <f ca="1">HYPERLINK(CONCATENATE("https://bugzilla.houston.hp.com:1181/bugzilla/show_bug.cgi?id=",INDIRECT(C70&amp;ROW())),INDIRECT(C70&amp;ROW()))</f>
        <v>56839</v>
      </c>
      <c r="N286">
        <v>56839</v>
      </c>
      <c r="O286" t="s">
        <v>36</v>
      </c>
      <c r="P286" t="s">
        <v>668</v>
      </c>
      <c r="Q286" t="s">
        <v>25</v>
      </c>
      <c r="R286" t="s">
        <v>579</v>
      </c>
      <c r="S286" t="s">
        <v>552</v>
      </c>
      <c r="T286" t="s">
        <v>719</v>
      </c>
      <c r="U286" s="6">
        <v>42048.007557870369</v>
      </c>
      <c r="V286" t="s">
        <v>18</v>
      </c>
      <c r="W286" t="s">
        <v>341</v>
      </c>
      <c r="X286" s="6">
        <v>42045.448148148149</v>
      </c>
      <c r="Y286" t="s">
        <v>246</v>
      </c>
      <c r="AB286" t="s">
        <v>201</v>
      </c>
      <c r="AC286" t="s">
        <v>247</v>
      </c>
      <c r="AD286" t="s">
        <v>222</v>
      </c>
      <c r="AE286" t="s">
        <v>221</v>
      </c>
      <c r="AG286" t="s">
        <v>121</v>
      </c>
      <c r="AH286" t="s">
        <v>327</v>
      </c>
      <c r="AI286" t="s">
        <v>121</v>
      </c>
      <c r="AJ286" t="s">
        <v>716</v>
      </c>
      <c r="AK286" t="s">
        <v>121</v>
      </c>
    </row>
    <row r="287" spans="9:37" x14ac:dyDescent="0.3">
      <c r="I287">
        <f ca="1">IF(OR(INDIRECT(A73&amp;ROW())=B93,INDIRECT(A73&amp;ROW())=B94),1,IF(AND(INDIRECT(A73&amp;ROW())=B95,INDIRECT(A96&amp;ROW())=C93),1,IF(AND(INDIRECT(A73&amp;ROW())=B95,INDIRECT(A96&amp;ROW())=C94),1,0)))</f>
        <v>1</v>
      </c>
      <c r="J287">
        <f ca="1">IF(AND(INDIRECT(A73&amp;ROW())=B95,INDIRECT(A96&amp;ROW())=C95),1,IF(AND(INDIRECT(A73&amp;ROW())=B95,INDIRECT(A96&amp;ROW())=C96),1,0))</f>
        <v>0</v>
      </c>
      <c r="K287">
        <f ca="1">DAYS360(INDIRECT(C68&amp;ROW()),TODAY())</f>
        <v>692</v>
      </c>
      <c r="L287">
        <f ca="1">DAYS360(INDIRECT(C69&amp;ROW()),TODAY())</f>
        <v>802</v>
      </c>
      <c r="M287">
        <f ca="1">HYPERLINK(CONCATENATE("https://bugzilla.houston.hp.com:1181/bugzilla/show_bug.cgi?id=",INDIRECT(C70&amp;ROW())),INDIRECT(C70&amp;ROW()))</f>
        <v>56842</v>
      </c>
      <c r="N287">
        <v>56842</v>
      </c>
      <c r="O287" t="s">
        <v>53</v>
      </c>
      <c r="P287" t="s">
        <v>667</v>
      </c>
      <c r="Q287" t="s">
        <v>39</v>
      </c>
      <c r="R287" t="s">
        <v>579</v>
      </c>
      <c r="S287" t="s">
        <v>552</v>
      </c>
      <c r="T287" t="s">
        <v>999</v>
      </c>
      <c r="U287" s="6">
        <v>42155.948958333334</v>
      </c>
      <c r="V287" t="s">
        <v>40</v>
      </c>
      <c r="W287" t="s">
        <v>260</v>
      </c>
      <c r="X287" s="6">
        <v>42045.449675925927</v>
      </c>
      <c r="Y287" t="s">
        <v>793</v>
      </c>
      <c r="AB287" t="s">
        <v>201</v>
      </c>
      <c r="AC287" t="s">
        <v>121</v>
      </c>
      <c r="AD287" t="s">
        <v>220</v>
      </c>
      <c r="AE287" t="s">
        <v>219</v>
      </c>
      <c r="AG287" t="s">
        <v>121</v>
      </c>
      <c r="AH287" t="s">
        <v>327</v>
      </c>
      <c r="AI287" t="s">
        <v>121</v>
      </c>
      <c r="AJ287" t="s">
        <v>715</v>
      </c>
      <c r="AK287" t="s">
        <v>121</v>
      </c>
    </row>
    <row r="288" spans="9:37" x14ac:dyDescent="0.3">
      <c r="I288">
        <f ca="1">IF(OR(INDIRECT(A73&amp;ROW())=B93,INDIRECT(A73&amp;ROW())=B94),1,IF(AND(INDIRECT(A73&amp;ROW())=B95,INDIRECT(A96&amp;ROW())=C93),1,IF(AND(INDIRECT(A73&amp;ROW())=B95,INDIRECT(A96&amp;ROW())=C94),1,0)))</f>
        <v>0</v>
      </c>
      <c r="J288">
        <f ca="1">IF(AND(INDIRECT(A73&amp;ROW())=B95,INDIRECT(A96&amp;ROW())=C95),1,IF(AND(INDIRECT(A73&amp;ROW())=B95,INDIRECT(A96&amp;ROW())=C96),1,0))</f>
        <v>1</v>
      </c>
      <c r="K288">
        <f ca="1">DAYS360(INDIRECT(C68&amp;ROW()),TODAY())</f>
        <v>721</v>
      </c>
      <c r="L288">
        <f ca="1">DAYS360(INDIRECT(C69&amp;ROW()),TODAY())</f>
        <v>802</v>
      </c>
      <c r="M288">
        <f ca="1">HYPERLINK(CONCATENATE("https://bugzilla.houston.hp.com:1181/bugzilla/show_bug.cgi?id=",INDIRECT(C70&amp;ROW())),INDIRECT(C70&amp;ROW()))</f>
        <v>56847</v>
      </c>
      <c r="N288">
        <v>56847</v>
      </c>
      <c r="O288" t="s">
        <v>56</v>
      </c>
      <c r="P288" t="s">
        <v>666</v>
      </c>
      <c r="Q288" t="s">
        <v>25</v>
      </c>
      <c r="R288" t="s">
        <v>579</v>
      </c>
      <c r="S288" t="s">
        <v>552</v>
      </c>
      <c r="T288" t="s">
        <v>610</v>
      </c>
      <c r="U288" s="6">
        <v>42125.449641203704</v>
      </c>
      <c r="V288" t="s">
        <v>18</v>
      </c>
      <c r="W288" t="s">
        <v>372</v>
      </c>
      <c r="X288" s="6">
        <v>42045.459490740737</v>
      </c>
      <c r="Y288" t="s">
        <v>122</v>
      </c>
      <c r="AB288" t="s">
        <v>201</v>
      </c>
      <c r="AC288" t="s">
        <v>247</v>
      </c>
      <c r="AD288" t="s">
        <v>220</v>
      </c>
      <c r="AE288" t="s">
        <v>219</v>
      </c>
      <c r="AG288" t="s">
        <v>121</v>
      </c>
      <c r="AH288" t="s">
        <v>327</v>
      </c>
      <c r="AI288" t="s">
        <v>121</v>
      </c>
      <c r="AJ288" t="s">
        <v>716</v>
      </c>
      <c r="AK288" t="s">
        <v>121</v>
      </c>
    </row>
    <row r="289" spans="9:37" x14ac:dyDescent="0.3">
      <c r="I289">
        <f ca="1">IF(OR(INDIRECT(A73&amp;ROW())=B93,INDIRECT(A73&amp;ROW())=B94),1,IF(AND(INDIRECT(A73&amp;ROW())=B95,INDIRECT(A96&amp;ROW())=C93),1,IF(AND(INDIRECT(A73&amp;ROW())=B95,INDIRECT(A96&amp;ROW())=C94),1,0)))</f>
        <v>0</v>
      </c>
      <c r="J289">
        <f ca="1">IF(AND(INDIRECT(A73&amp;ROW())=B95,INDIRECT(A96&amp;ROW())=C95),1,IF(AND(INDIRECT(A73&amp;ROW())=B95,INDIRECT(A96&amp;ROW())=C96),1,0))</f>
        <v>1</v>
      </c>
      <c r="K289">
        <f ca="1">DAYS360(INDIRECT(C68&amp;ROW()),TODAY())</f>
        <v>802</v>
      </c>
      <c r="L289">
        <f ca="1">DAYS360(INDIRECT(C69&amp;ROW()),TODAY())</f>
        <v>802</v>
      </c>
      <c r="M289">
        <f ca="1">HYPERLINK(CONCATENATE("https://bugzilla.houston.hp.com:1181/bugzilla/show_bug.cgi?id=",INDIRECT(C70&amp;ROW())),INDIRECT(C70&amp;ROW()))</f>
        <v>56848</v>
      </c>
      <c r="N289">
        <v>56848</v>
      </c>
      <c r="O289" t="s">
        <v>36</v>
      </c>
      <c r="P289" t="s">
        <v>665</v>
      </c>
      <c r="Q289" t="s">
        <v>25</v>
      </c>
      <c r="R289" t="s">
        <v>248</v>
      </c>
      <c r="S289" t="s">
        <v>552</v>
      </c>
      <c r="U289" s="6">
        <v>42045.500856481478</v>
      </c>
      <c r="V289" t="s">
        <v>18</v>
      </c>
      <c r="W289" t="s">
        <v>576</v>
      </c>
      <c r="X289" s="6">
        <v>42045.465833333335</v>
      </c>
      <c r="Y289" t="s">
        <v>124</v>
      </c>
      <c r="AB289" t="s">
        <v>201</v>
      </c>
      <c r="AC289" t="s">
        <v>247</v>
      </c>
      <c r="AD289" t="s">
        <v>222</v>
      </c>
      <c r="AE289" t="s">
        <v>221</v>
      </c>
      <c r="AG289" t="s">
        <v>121</v>
      </c>
      <c r="AH289" t="s">
        <v>327</v>
      </c>
      <c r="AI289" t="s">
        <v>121</v>
      </c>
      <c r="AJ289" t="s">
        <v>716</v>
      </c>
      <c r="AK289" t="s">
        <v>121</v>
      </c>
    </row>
    <row r="290" spans="9:37" x14ac:dyDescent="0.3">
      <c r="I290">
        <f ca="1">IF(OR(INDIRECT(A73&amp;ROW())=B93,INDIRECT(A73&amp;ROW())=B94),1,IF(AND(INDIRECT(A73&amp;ROW())=B95,INDIRECT(A96&amp;ROW())=C93),1,IF(AND(INDIRECT(A73&amp;ROW())=B95,INDIRECT(A96&amp;ROW())=C94),1,0)))</f>
        <v>0</v>
      </c>
      <c r="J290">
        <f ca="1">IF(AND(INDIRECT(A73&amp;ROW())=B95,INDIRECT(A96&amp;ROW())=C95),1,IF(AND(INDIRECT(A73&amp;ROW())=B95,INDIRECT(A96&amp;ROW())=C96),1,0))</f>
        <v>1</v>
      </c>
      <c r="K290">
        <f ca="1">DAYS360(INDIRECT(C68&amp;ROW()),TODAY())</f>
        <v>721</v>
      </c>
      <c r="L290">
        <f ca="1">DAYS360(INDIRECT(C69&amp;ROW()),TODAY())</f>
        <v>802</v>
      </c>
      <c r="M290">
        <f ca="1">HYPERLINK(CONCATENATE("https://bugzilla.houston.hp.com:1181/bugzilla/show_bug.cgi?id=",INDIRECT(C70&amp;ROW())),INDIRECT(C70&amp;ROW()))</f>
        <v>56849</v>
      </c>
      <c r="N290">
        <v>56849</v>
      </c>
      <c r="O290" t="s">
        <v>56</v>
      </c>
      <c r="P290" t="s">
        <v>664</v>
      </c>
      <c r="Q290" t="s">
        <v>25</v>
      </c>
      <c r="R290" t="s">
        <v>248</v>
      </c>
      <c r="S290" t="s">
        <v>552</v>
      </c>
      <c r="U290" s="6">
        <v>42125.450856481482</v>
      </c>
      <c r="V290" t="s">
        <v>18</v>
      </c>
      <c r="W290" t="s">
        <v>324</v>
      </c>
      <c r="X290" s="6">
        <v>42045.466180555559</v>
      </c>
      <c r="Y290" t="s">
        <v>122</v>
      </c>
      <c r="AB290" t="s">
        <v>201</v>
      </c>
      <c r="AC290" t="s">
        <v>247</v>
      </c>
      <c r="AD290" t="s">
        <v>220</v>
      </c>
      <c r="AE290" t="s">
        <v>219</v>
      </c>
      <c r="AG290" t="s">
        <v>121</v>
      </c>
      <c r="AH290" t="s">
        <v>327</v>
      </c>
      <c r="AI290" t="s">
        <v>121</v>
      </c>
      <c r="AJ290" t="s">
        <v>716</v>
      </c>
      <c r="AK290" t="s">
        <v>121</v>
      </c>
    </row>
    <row r="291" spans="9:37" x14ac:dyDescent="0.3">
      <c r="I291">
        <f ca="1">IF(OR(INDIRECT(A73&amp;ROW())=B93,INDIRECT(A73&amp;ROW())=B94),1,IF(AND(INDIRECT(A73&amp;ROW())=B95,INDIRECT(A96&amp;ROW())=C93),1,IF(AND(INDIRECT(A73&amp;ROW())=B95,INDIRECT(A96&amp;ROW())=C94),1,0)))</f>
        <v>0</v>
      </c>
      <c r="J291">
        <f ca="1">IF(AND(INDIRECT(A73&amp;ROW())=B95,INDIRECT(A96&amp;ROW())=C95),1,IF(AND(INDIRECT(A73&amp;ROW())=B95,INDIRECT(A96&amp;ROW())=C96),1,0))</f>
        <v>1</v>
      </c>
      <c r="K291">
        <f ca="1">DAYS360(INDIRECT(C68&amp;ROW()),TODAY())</f>
        <v>690</v>
      </c>
      <c r="L291">
        <f ca="1">DAYS360(INDIRECT(C69&amp;ROW()),TODAY())</f>
        <v>802</v>
      </c>
      <c r="M291">
        <f ca="1">HYPERLINK(CONCATENATE("https://bugzilla.houston.hp.com:1181/bugzilla/show_bug.cgi?id=",INDIRECT(C70&amp;ROW())),INDIRECT(C70&amp;ROW()))</f>
        <v>56850</v>
      </c>
      <c r="N291">
        <v>56850</v>
      </c>
      <c r="O291" t="s">
        <v>36</v>
      </c>
      <c r="P291" t="s">
        <v>663</v>
      </c>
      <c r="Q291" t="s">
        <v>25</v>
      </c>
      <c r="R291" t="s">
        <v>248</v>
      </c>
      <c r="S291" t="s">
        <v>552</v>
      </c>
      <c r="U291" s="6">
        <v>42157.094629629632</v>
      </c>
      <c r="V291" t="s">
        <v>18</v>
      </c>
      <c r="W291" t="s">
        <v>171</v>
      </c>
      <c r="X291" s="6">
        <v>42045.466585648152</v>
      </c>
      <c r="Y291" t="s">
        <v>119</v>
      </c>
      <c r="AB291" t="s">
        <v>201</v>
      </c>
      <c r="AC291" t="s">
        <v>121</v>
      </c>
      <c r="AD291" t="s">
        <v>220</v>
      </c>
      <c r="AE291" t="s">
        <v>223</v>
      </c>
      <c r="AG291" t="s">
        <v>121</v>
      </c>
      <c r="AH291" t="s">
        <v>327</v>
      </c>
      <c r="AI291" t="s">
        <v>121</v>
      </c>
      <c r="AJ291" t="s">
        <v>716</v>
      </c>
      <c r="AK291" t="s">
        <v>121</v>
      </c>
    </row>
    <row r="292" spans="9:37" x14ac:dyDescent="0.3">
      <c r="I292">
        <f ca="1">IF(OR(INDIRECT(A73&amp;ROW())=B93,INDIRECT(A73&amp;ROW())=B94),1,IF(AND(INDIRECT(A73&amp;ROW())=B95,INDIRECT(A96&amp;ROW())=C93),1,IF(AND(INDIRECT(A73&amp;ROW())=B95,INDIRECT(A96&amp;ROW())=C94),1,0)))</f>
        <v>1</v>
      </c>
      <c r="J292">
        <f ca="1">IF(AND(INDIRECT(A73&amp;ROW())=B95,INDIRECT(A96&amp;ROW())=C95),1,IF(AND(INDIRECT(A73&amp;ROW())=B95,INDIRECT(A96&amp;ROW())=C96),1,0))</f>
        <v>0</v>
      </c>
      <c r="K292">
        <f ca="1">DAYS360(INDIRECT(C68&amp;ROW()),TODAY())</f>
        <v>718</v>
      </c>
      <c r="L292">
        <f ca="1">DAYS360(INDIRECT(C69&amp;ROW()),TODAY())</f>
        <v>802</v>
      </c>
      <c r="M292">
        <f ca="1">HYPERLINK(CONCATENATE("https://bugzilla.houston.hp.com:1181/bugzilla/show_bug.cgi?id=",INDIRECT(C70&amp;ROW())),INDIRECT(C70&amp;ROW()))</f>
        <v>56851</v>
      </c>
      <c r="N292">
        <v>56851</v>
      </c>
      <c r="O292" t="s">
        <v>53</v>
      </c>
      <c r="P292" t="s">
        <v>662</v>
      </c>
      <c r="Q292" t="s">
        <v>39</v>
      </c>
      <c r="R292" t="s">
        <v>248</v>
      </c>
      <c r="S292" t="s">
        <v>552</v>
      </c>
      <c r="U292" s="6">
        <v>42128.359606481485</v>
      </c>
      <c r="V292" t="s">
        <v>18</v>
      </c>
      <c r="W292" t="s">
        <v>258</v>
      </c>
      <c r="X292" s="6">
        <v>42045.466851851852</v>
      </c>
      <c r="Y292" t="s">
        <v>119</v>
      </c>
      <c r="AB292" t="s">
        <v>201</v>
      </c>
      <c r="AC292" t="s">
        <v>247</v>
      </c>
      <c r="AD292" t="s">
        <v>220</v>
      </c>
      <c r="AE292" t="s">
        <v>219</v>
      </c>
      <c r="AG292" t="s">
        <v>121</v>
      </c>
      <c r="AH292" t="s">
        <v>64</v>
      </c>
      <c r="AI292" t="s">
        <v>121</v>
      </c>
      <c r="AJ292" t="s">
        <v>716</v>
      </c>
      <c r="AK292" t="s">
        <v>121</v>
      </c>
    </row>
    <row r="293" spans="9:37" x14ac:dyDescent="0.3">
      <c r="I293">
        <f ca="1">IF(OR(INDIRECT(A73&amp;ROW())=B93,INDIRECT(A73&amp;ROW())=B94),1,IF(AND(INDIRECT(A73&amp;ROW())=B95,INDIRECT(A96&amp;ROW())=C93),1,IF(AND(INDIRECT(A73&amp;ROW())=B95,INDIRECT(A96&amp;ROW())=C94),1,0)))</f>
        <v>0</v>
      </c>
      <c r="J293">
        <f ca="1">IF(AND(INDIRECT(A73&amp;ROW())=B95,INDIRECT(A96&amp;ROW())=C95),1,IF(AND(INDIRECT(A73&amp;ROW())=B95,INDIRECT(A96&amp;ROW())=C96),1,0))</f>
        <v>1</v>
      </c>
      <c r="K293">
        <f ca="1">DAYS360(INDIRECT(C68&amp;ROW()),TODAY())</f>
        <v>802</v>
      </c>
      <c r="L293">
        <f ca="1">DAYS360(INDIRECT(C69&amp;ROW()),TODAY())</f>
        <v>802</v>
      </c>
      <c r="M293">
        <f ca="1">HYPERLINK(CONCATENATE("https://bugzilla.houston.hp.com:1181/bugzilla/show_bug.cgi?id=",INDIRECT(C70&amp;ROW())),INDIRECT(C70&amp;ROW()))</f>
        <v>56854</v>
      </c>
      <c r="N293">
        <v>56854</v>
      </c>
      <c r="O293" t="s">
        <v>56</v>
      </c>
      <c r="P293" t="s">
        <v>661</v>
      </c>
      <c r="Q293" t="s">
        <v>25</v>
      </c>
      <c r="R293" t="s">
        <v>248</v>
      </c>
      <c r="S293" t="s">
        <v>552</v>
      </c>
      <c r="U293" s="6">
        <v>42045.50408564815</v>
      </c>
      <c r="V293" t="s">
        <v>18</v>
      </c>
      <c r="W293" t="s">
        <v>288</v>
      </c>
      <c r="X293" s="6">
        <v>42045.467939814815</v>
      </c>
      <c r="Y293" t="s">
        <v>119</v>
      </c>
      <c r="AB293" t="s">
        <v>201</v>
      </c>
      <c r="AC293" t="s">
        <v>121</v>
      </c>
      <c r="AD293" t="s">
        <v>220</v>
      </c>
      <c r="AE293" t="s">
        <v>219</v>
      </c>
      <c r="AF293" s="13">
        <v>41901</v>
      </c>
      <c r="AG293" t="s">
        <v>121</v>
      </c>
      <c r="AH293" t="s">
        <v>327</v>
      </c>
      <c r="AI293" t="s">
        <v>121</v>
      </c>
      <c r="AJ293" t="s">
        <v>716</v>
      </c>
      <c r="AK293" t="s">
        <v>121</v>
      </c>
    </row>
    <row r="294" spans="9:37" x14ac:dyDescent="0.3">
      <c r="I294">
        <f ca="1">IF(OR(INDIRECT(A73&amp;ROW())=B93,INDIRECT(A73&amp;ROW())=B94),1,IF(AND(INDIRECT(A73&amp;ROW())=B95,INDIRECT(A96&amp;ROW())=C93),1,IF(AND(INDIRECT(A73&amp;ROW())=B95,INDIRECT(A96&amp;ROW())=C94),1,0)))</f>
        <v>1</v>
      </c>
      <c r="J294">
        <f ca="1">IF(AND(INDIRECT(A73&amp;ROW())=B95,INDIRECT(A96&amp;ROW())=C95),1,IF(AND(INDIRECT(A73&amp;ROW())=B95,INDIRECT(A96&amp;ROW())=C96),1,0))</f>
        <v>0</v>
      </c>
      <c r="K294">
        <f ca="1">DAYS360(INDIRECT(C68&amp;ROW()),TODAY())</f>
        <v>688</v>
      </c>
      <c r="L294">
        <f ca="1">DAYS360(INDIRECT(C69&amp;ROW()),TODAY())</f>
        <v>802</v>
      </c>
      <c r="M294">
        <f ca="1">HYPERLINK(CONCATENATE("https://bugzilla.houston.hp.com:1181/bugzilla/show_bug.cgi?id=",INDIRECT(C70&amp;ROW())),INDIRECT(C70&amp;ROW()))</f>
        <v>56855</v>
      </c>
      <c r="N294">
        <v>56855</v>
      </c>
      <c r="O294" t="s">
        <v>56</v>
      </c>
      <c r="P294" t="s">
        <v>660</v>
      </c>
      <c r="Q294" t="s">
        <v>39</v>
      </c>
      <c r="R294" t="s">
        <v>248</v>
      </c>
      <c r="S294" t="s">
        <v>552</v>
      </c>
      <c r="T294" t="s">
        <v>54</v>
      </c>
      <c r="U294" s="6">
        <v>42159.77380787037</v>
      </c>
      <c r="V294" t="s">
        <v>35</v>
      </c>
      <c r="W294" t="s">
        <v>260</v>
      </c>
      <c r="X294" s="6">
        <v>42045.468252314815</v>
      </c>
      <c r="Y294" t="s">
        <v>122</v>
      </c>
      <c r="AB294" t="s">
        <v>201</v>
      </c>
      <c r="AC294" t="s">
        <v>121</v>
      </c>
      <c r="AD294" t="s">
        <v>220</v>
      </c>
      <c r="AE294" t="s">
        <v>219</v>
      </c>
      <c r="AG294" t="s">
        <v>121</v>
      </c>
      <c r="AH294" t="s">
        <v>327</v>
      </c>
      <c r="AI294" t="s">
        <v>121</v>
      </c>
      <c r="AJ294" t="s">
        <v>716</v>
      </c>
      <c r="AK294" t="s">
        <v>121</v>
      </c>
    </row>
    <row r="295" spans="9:37" x14ac:dyDescent="0.3">
      <c r="I295">
        <f ca="1">IF(OR(INDIRECT(A73&amp;ROW())=B93,INDIRECT(A73&amp;ROW())=B94),1,IF(AND(INDIRECT(A73&amp;ROW())=B95,INDIRECT(A96&amp;ROW())=C93),1,IF(AND(INDIRECT(A73&amp;ROW())=B95,INDIRECT(A96&amp;ROW())=C94),1,0)))</f>
        <v>0</v>
      </c>
      <c r="J295">
        <f ca="1">IF(AND(INDIRECT(A73&amp;ROW())=B95,INDIRECT(A96&amp;ROW())=C95),1,IF(AND(INDIRECT(A73&amp;ROW())=B95,INDIRECT(A96&amp;ROW())=C96),1,0))</f>
        <v>1</v>
      </c>
      <c r="K295">
        <f ca="1">DAYS360(INDIRECT(C68&amp;ROW()),TODAY())</f>
        <v>802</v>
      </c>
      <c r="L295">
        <f ca="1">DAYS360(INDIRECT(C69&amp;ROW()),TODAY())</f>
        <v>802</v>
      </c>
      <c r="M295">
        <f ca="1">HYPERLINK(CONCATENATE("https://bugzilla.houston.hp.com:1181/bugzilla/show_bug.cgi?id=",INDIRECT(C70&amp;ROW())),INDIRECT(C70&amp;ROW()))</f>
        <v>56857</v>
      </c>
      <c r="N295">
        <v>56857</v>
      </c>
      <c r="O295" t="s">
        <v>36</v>
      </c>
      <c r="P295" t="s">
        <v>659</v>
      </c>
      <c r="Q295" t="s">
        <v>25</v>
      </c>
      <c r="R295" t="s">
        <v>248</v>
      </c>
      <c r="S295" t="s">
        <v>552</v>
      </c>
      <c r="U295" s="6">
        <v>42045.499108796299</v>
      </c>
      <c r="V295" t="s">
        <v>18</v>
      </c>
      <c r="W295" t="s">
        <v>341</v>
      </c>
      <c r="X295" s="6">
        <v>42045.468923611108</v>
      </c>
      <c r="Y295" t="s">
        <v>246</v>
      </c>
      <c r="AB295" t="s">
        <v>201</v>
      </c>
      <c r="AC295" t="s">
        <v>247</v>
      </c>
      <c r="AD295" t="s">
        <v>222</v>
      </c>
      <c r="AE295" t="s">
        <v>221</v>
      </c>
      <c r="AG295" t="s">
        <v>121</v>
      </c>
      <c r="AH295" t="s">
        <v>327</v>
      </c>
      <c r="AI295" t="s">
        <v>121</v>
      </c>
      <c r="AJ295" t="s">
        <v>716</v>
      </c>
      <c r="AK295" t="s">
        <v>121</v>
      </c>
    </row>
    <row r="296" spans="9:37" x14ac:dyDescent="0.3">
      <c r="I296">
        <f ca="1">IF(OR(INDIRECT(A73&amp;ROW())=B93,INDIRECT(A73&amp;ROW())=B94),1,IF(AND(INDIRECT(A73&amp;ROW())=B95,INDIRECT(A96&amp;ROW())=C93),1,IF(AND(INDIRECT(A73&amp;ROW())=B95,INDIRECT(A96&amp;ROW())=C94),1,0)))</f>
        <v>0</v>
      </c>
      <c r="J296">
        <f ca="1">IF(AND(INDIRECT(A73&amp;ROW())=B95,INDIRECT(A96&amp;ROW())=C95),1,IF(AND(INDIRECT(A73&amp;ROW())=B95,INDIRECT(A96&amp;ROW())=C96),1,0))</f>
        <v>1</v>
      </c>
      <c r="K296">
        <f ca="1">DAYS360(INDIRECT(C68&amp;ROW()),TODAY())</f>
        <v>802</v>
      </c>
      <c r="L296">
        <f ca="1">DAYS360(INDIRECT(C69&amp;ROW()),TODAY())</f>
        <v>802</v>
      </c>
      <c r="M296">
        <f ca="1">HYPERLINK(CONCATENATE("https://bugzilla.houston.hp.com:1181/bugzilla/show_bug.cgi?id=",INDIRECT(C70&amp;ROW())),INDIRECT(C70&amp;ROW()))</f>
        <v>56860</v>
      </c>
      <c r="N296">
        <v>56860</v>
      </c>
      <c r="O296" t="s">
        <v>36</v>
      </c>
      <c r="P296" t="s">
        <v>658</v>
      </c>
      <c r="Q296" t="s">
        <v>25</v>
      </c>
      <c r="R296" t="s">
        <v>248</v>
      </c>
      <c r="S296" t="s">
        <v>552</v>
      </c>
      <c r="U296" s="6">
        <v>42045.504421296297</v>
      </c>
      <c r="V296" t="s">
        <v>18</v>
      </c>
      <c r="W296" t="s">
        <v>343</v>
      </c>
      <c r="X296" s="6">
        <v>42045.469652777778</v>
      </c>
      <c r="Y296" t="s">
        <v>246</v>
      </c>
      <c r="AB296" t="s">
        <v>201</v>
      </c>
      <c r="AC296" t="s">
        <v>247</v>
      </c>
      <c r="AD296" t="s">
        <v>222</v>
      </c>
      <c r="AE296" t="s">
        <v>221</v>
      </c>
      <c r="AG296" t="s">
        <v>121</v>
      </c>
      <c r="AH296" t="s">
        <v>327</v>
      </c>
      <c r="AI296" t="s">
        <v>121</v>
      </c>
      <c r="AJ296" t="s">
        <v>716</v>
      </c>
      <c r="AK296" t="s">
        <v>121</v>
      </c>
    </row>
    <row r="297" spans="9:37" x14ac:dyDescent="0.3">
      <c r="I297">
        <f ca="1">IF(OR(INDIRECT(A73&amp;ROW())=B93,INDIRECT(A73&amp;ROW())=B94),1,IF(AND(INDIRECT(A73&amp;ROW())=B95,INDIRECT(A96&amp;ROW())=C93),1,IF(AND(INDIRECT(A73&amp;ROW())=B95,INDIRECT(A96&amp;ROW())=C94),1,0)))</f>
        <v>0</v>
      </c>
      <c r="J297">
        <f ca="1">IF(AND(INDIRECT(A73&amp;ROW())=B95,INDIRECT(A96&amp;ROW())=C95),1,IF(AND(INDIRECT(A73&amp;ROW())=B95,INDIRECT(A96&amp;ROW())=C96),1,0))</f>
        <v>1</v>
      </c>
      <c r="K297">
        <f ca="1">DAYS360(INDIRECT(C68&amp;ROW()),TODAY())</f>
        <v>802</v>
      </c>
      <c r="L297">
        <f ca="1">DAYS360(INDIRECT(C69&amp;ROW()),TODAY())</f>
        <v>802</v>
      </c>
      <c r="M297">
        <f ca="1">HYPERLINK(CONCATENATE("https://bugzilla.houston.hp.com:1181/bugzilla/show_bug.cgi?id=",INDIRECT(C70&amp;ROW())),INDIRECT(C70&amp;ROW()))</f>
        <v>56861</v>
      </c>
      <c r="N297">
        <v>56861</v>
      </c>
      <c r="O297" t="s">
        <v>36</v>
      </c>
      <c r="P297" t="s">
        <v>657</v>
      </c>
      <c r="Q297" t="s">
        <v>25</v>
      </c>
      <c r="R297" t="s">
        <v>248</v>
      </c>
      <c r="S297" t="s">
        <v>552</v>
      </c>
      <c r="U297" s="6">
        <v>42045.500555555554</v>
      </c>
      <c r="V297" t="s">
        <v>18</v>
      </c>
      <c r="W297" t="s">
        <v>211</v>
      </c>
      <c r="X297" s="6">
        <v>42045.47</v>
      </c>
      <c r="Y297" t="s">
        <v>119</v>
      </c>
      <c r="AB297" t="s">
        <v>201</v>
      </c>
      <c r="AC297" t="s">
        <v>121</v>
      </c>
      <c r="AD297" t="s">
        <v>222</v>
      </c>
      <c r="AE297" t="s">
        <v>240</v>
      </c>
      <c r="AG297" t="s">
        <v>121</v>
      </c>
      <c r="AH297" t="s">
        <v>64</v>
      </c>
      <c r="AI297" t="s">
        <v>121</v>
      </c>
      <c r="AJ297" t="s">
        <v>716</v>
      </c>
      <c r="AK297" t="s">
        <v>121</v>
      </c>
    </row>
    <row r="298" spans="9:37" x14ac:dyDescent="0.3">
      <c r="I298">
        <f ca="1">IF(OR(INDIRECT(A73&amp;ROW())=B93,INDIRECT(A73&amp;ROW())=B94),1,IF(AND(INDIRECT(A73&amp;ROW())=B95,INDIRECT(A96&amp;ROW())=C93),1,IF(AND(INDIRECT(A73&amp;ROW())=B95,INDIRECT(A96&amp;ROW())=C94),1,0)))</f>
        <v>0</v>
      </c>
      <c r="J298">
        <f ca="1">IF(AND(INDIRECT(A73&amp;ROW())=B95,INDIRECT(A96&amp;ROW())=C95),1,IF(AND(INDIRECT(A73&amp;ROW())=B95,INDIRECT(A96&amp;ROW())=C96),1,0))</f>
        <v>1</v>
      </c>
      <c r="K298">
        <f ca="1">DAYS360(INDIRECT(C68&amp;ROW()),TODAY())</f>
        <v>721</v>
      </c>
      <c r="L298">
        <f ca="1">DAYS360(INDIRECT(C69&amp;ROW()),TODAY())</f>
        <v>802</v>
      </c>
      <c r="M298">
        <f ca="1">HYPERLINK(CONCATENATE("https://bugzilla.houston.hp.com:1181/bugzilla/show_bug.cgi?id=",INDIRECT(C70&amp;ROW())),INDIRECT(C70&amp;ROW()))</f>
        <v>56862</v>
      </c>
      <c r="N298">
        <v>56862</v>
      </c>
      <c r="O298" t="s">
        <v>56</v>
      </c>
      <c r="P298" t="s">
        <v>656</v>
      </c>
      <c r="Q298" t="s">
        <v>25</v>
      </c>
      <c r="R298" t="s">
        <v>248</v>
      </c>
      <c r="S298" t="s">
        <v>552</v>
      </c>
      <c r="U298" s="6">
        <v>42125.448622685188</v>
      </c>
      <c r="V298" t="s">
        <v>18</v>
      </c>
      <c r="W298" t="s">
        <v>339</v>
      </c>
      <c r="X298" s="6">
        <v>42045.470312500001</v>
      </c>
      <c r="Y298" t="s">
        <v>122</v>
      </c>
      <c r="AB298" t="s">
        <v>201</v>
      </c>
      <c r="AC298" t="s">
        <v>247</v>
      </c>
      <c r="AD298" t="s">
        <v>220</v>
      </c>
      <c r="AE298" t="s">
        <v>219</v>
      </c>
      <c r="AG298" t="s">
        <v>121</v>
      </c>
      <c r="AH298" t="s">
        <v>327</v>
      </c>
      <c r="AI298" t="s">
        <v>121</v>
      </c>
      <c r="AJ298" t="s">
        <v>716</v>
      </c>
      <c r="AK298" t="s">
        <v>121</v>
      </c>
    </row>
    <row r="299" spans="9:37" x14ac:dyDescent="0.3">
      <c r="I299">
        <f ca="1">IF(OR(INDIRECT(A73&amp;ROW())=B93,INDIRECT(A73&amp;ROW())=B94),1,IF(AND(INDIRECT(A73&amp;ROW())=B95,INDIRECT(A96&amp;ROW())=C93),1,IF(AND(INDIRECT(A73&amp;ROW())=B95,INDIRECT(A96&amp;ROW())=C94),1,0)))</f>
        <v>0</v>
      </c>
      <c r="J299">
        <f ca="1">IF(AND(INDIRECT(A73&amp;ROW())=B95,INDIRECT(A96&amp;ROW())=C95),1,IF(AND(INDIRECT(A73&amp;ROW())=B95,INDIRECT(A96&amp;ROW())=C96),1,0))</f>
        <v>1</v>
      </c>
      <c r="K299">
        <f ca="1">DAYS360(INDIRECT(C68&amp;ROW()),TODAY())</f>
        <v>802</v>
      </c>
      <c r="L299">
        <f ca="1">DAYS360(INDIRECT(C69&amp;ROW()),TODAY())</f>
        <v>802</v>
      </c>
      <c r="M299">
        <f ca="1">HYPERLINK(CONCATENATE("https://bugzilla.houston.hp.com:1181/bugzilla/show_bug.cgi?id=",INDIRECT(C70&amp;ROW())),INDIRECT(C70&amp;ROW()))</f>
        <v>56864</v>
      </c>
      <c r="N299">
        <v>56864</v>
      </c>
      <c r="O299" t="s">
        <v>56</v>
      </c>
      <c r="P299" t="s">
        <v>655</v>
      </c>
      <c r="Q299" t="s">
        <v>25</v>
      </c>
      <c r="R299" t="s">
        <v>248</v>
      </c>
      <c r="S299" t="s">
        <v>552</v>
      </c>
      <c r="U299" s="6">
        <v>42045.499976851854</v>
      </c>
      <c r="V299" t="s">
        <v>18</v>
      </c>
      <c r="W299" t="s">
        <v>172</v>
      </c>
      <c r="X299" s="6">
        <v>42045.471018518518</v>
      </c>
      <c r="Y299" t="s">
        <v>119</v>
      </c>
      <c r="AB299" t="s">
        <v>201</v>
      </c>
      <c r="AC299" t="s">
        <v>121</v>
      </c>
      <c r="AD299" t="s">
        <v>220</v>
      </c>
      <c r="AE299" t="s">
        <v>219</v>
      </c>
      <c r="AG299" t="s">
        <v>121</v>
      </c>
      <c r="AH299" t="s">
        <v>327</v>
      </c>
      <c r="AI299" t="s">
        <v>121</v>
      </c>
      <c r="AJ299" t="s">
        <v>716</v>
      </c>
      <c r="AK299" t="s">
        <v>121</v>
      </c>
    </row>
    <row r="300" spans="9:37" x14ac:dyDescent="0.3">
      <c r="I300">
        <f ca="1">IF(OR(INDIRECT(A73&amp;ROW())=B93,INDIRECT(A73&amp;ROW())=B94),1,IF(AND(INDIRECT(A73&amp;ROW())=B95,INDIRECT(A96&amp;ROW())=C93),1,IF(AND(INDIRECT(A73&amp;ROW())=B95,INDIRECT(A96&amp;ROW())=C94),1,0)))</f>
        <v>0</v>
      </c>
      <c r="J300">
        <f ca="1">IF(AND(INDIRECT(A73&amp;ROW())=B95,INDIRECT(A96&amp;ROW())=C95),1,IF(AND(INDIRECT(A73&amp;ROW())=B95,INDIRECT(A96&amp;ROW())=C96),1,0))</f>
        <v>1</v>
      </c>
      <c r="K300">
        <f ca="1">DAYS360(INDIRECT(C68&amp;ROW()),TODAY())</f>
        <v>721</v>
      </c>
      <c r="L300">
        <f ca="1">DAYS360(INDIRECT(C69&amp;ROW()),TODAY())</f>
        <v>802</v>
      </c>
      <c r="M300">
        <f ca="1">HYPERLINK(CONCATENATE("https://bugzilla.houston.hp.com:1181/bugzilla/show_bug.cgi?id=",INDIRECT(C70&amp;ROW())),INDIRECT(C70&amp;ROW()))</f>
        <v>56866</v>
      </c>
      <c r="N300">
        <v>56866</v>
      </c>
      <c r="O300" t="s">
        <v>56</v>
      </c>
      <c r="P300" t="s">
        <v>654</v>
      </c>
      <c r="Q300" t="s">
        <v>25</v>
      </c>
      <c r="R300" t="s">
        <v>248</v>
      </c>
      <c r="S300" t="s">
        <v>552</v>
      </c>
      <c r="U300" s="6">
        <v>42125.449675925927</v>
      </c>
      <c r="V300" t="s">
        <v>18</v>
      </c>
      <c r="W300" t="s">
        <v>372</v>
      </c>
      <c r="X300" s="6">
        <v>42045.471747685187</v>
      </c>
      <c r="Y300" t="s">
        <v>122</v>
      </c>
      <c r="AB300" t="s">
        <v>201</v>
      </c>
      <c r="AC300" t="s">
        <v>247</v>
      </c>
      <c r="AD300" t="s">
        <v>220</v>
      </c>
      <c r="AE300" t="s">
        <v>219</v>
      </c>
      <c r="AG300" t="s">
        <v>121</v>
      </c>
      <c r="AH300" t="s">
        <v>327</v>
      </c>
      <c r="AI300" t="s">
        <v>121</v>
      </c>
      <c r="AJ300" t="s">
        <v>716</v>
      </c>
      <c r="AK300" t="s">
        <v>121</v>
      </c>
    </row>
    <row r="301" spans="9:37" x14ac:dyDescent="0.3">
      <c r="I301">
        <f ca="1">IF(OR(INDIRECT(A73&amp;ROW())=B93,INDIRECT(A73&amp;ROW())=B94),1,IF(AND(INDIRECT(A73&amp;ROW())=B95,INDIRECT(A96&amp;ROW())=C93),1,IF(AND(INDIRECT(A73&amp;ROW())=B95,INDIRECT(A96&amp;ROW())=C94),1,0)))</f>
        <v>0</v>
      </c>
      <c r="J301">
        <f ca="1">IF(AND(INDIRECT(A73&amp;ROW())=B95,INDIRECT(A96&amp;ROW())=C95),1,IF(AND(INDIRECT(A73&amp;ROW())=B95,INDIRECT(A96&amp;ROW())=C96),1,0))</f>
        <v>1</v>
      </c>
      <c r="K301">
        <f ca="1">DAYS360(INDIRECT(C68&amp;ROW()),TODAY())</f>
        <v>690</v>
      </c>
      <c r="L301">
        <f ca="1">DAYS360(INDIRECT(C69&amp;ROW()),TODAY())</f>
        <v>802</v>
      </c>
      <c r="M301">
        <f ca="1">HYPERLINK(CONCATENATE("https://bugzilla.houston.hp.com:1181/bugzilla/show_bug.cgi?id=",INDIRECT(C70&amp;ROW())),INDIRECT(C70&amp;ROW()))</f>
        <v>56895</v>
      </c>
      <c r="N301">
        <v>56895</v>
      </c>
      <c r="O301" t="s">
        <v>52</v>
      </c>
      <c r="P301" t="s">
        <v>738</v>
      </c>
      <c r="Q301" t="s">
        <v>25</v>
      </c>
      <c r="R301" t="s">
        <v>251</v>
      </c>
      <c r="S301" t="s">
        <v>52</v>
      </c>
      <c r="T301" t="s">
        <v>48</v>
      </c>
      <c r="U301" s="6">
        <v>42157.342407407406</v>
      </c>
      <c r="V301" t="s">
        <v>35</v>
      </c>
      <c r="W301" t="s">
        <v>17</v>
      </c>
      <c r="X301" s="6">
        <v>42045.609618055554</v>
      </c>
      <c r="Y301" t="s">
        <v>535</v>
      </c>
      <c r="AB301" t="s">
        <v>201</v>
      </c>
      <c r="AC301" t="s">
        <v>247</v>
      </c>
      <c r="AD301" t="s">
        <v>220</v>
      </c>
      <c r="AE301" t="s">
        <v>219</v>
      </c>
      <c r="AG301" t="s">
        <v>121</v>
      </c>
      <c r="AH301" t="s">
        <v>327</v>
      </c>
      <c r="AI301" t="s">
        <v>121</v>
      </c>
      <c r="AJ301" t="s">
        <v>716</v>
      </c>
      <c r="AK301" t="s">
        <v>121</v>
      </c>
    </row>
    <row r="302" spans="9:37" x14ac:dyDescent="0.3">
      <c r="I302">
        <f ca="1">IF(OR(INDIRECT(A73&amp;ROW())=B93,INDIRECT(A73&amp;ROW())=B94),1,IF(AND(INDIRECT(A73&amp;ROW())=B95,INDIRECT(A96&amp;ROW())=C93),1,IF(AND(INDIRECT(A73&amp;ROW())=B95,INDIRECT(A96&amp;ROW())=C94),1,0)))</f>
        <v>0</v>
      </c>
      <c r="J302">
        <f ca="1">IF(AND(INDIRECT(A73&amp;ROW())=B95,INDIRECT(A96&amp;ROW())=C95),1,IF(AND(INDIRECT(A73&amp;ROW())=B95,INDIRECT(A96&amp;ROW())=C96),1,0))</f>
        <v>0</v>
      </c>
      <c r="K302">
        <f ca="1">DAYS360(INDIRECT(C68&amp;ROW()),TODAY())</f>
        <v>802</v>
      </c>
      <c r="L302">
        <f ca="1">DAYS360(INDIRECT(C69&amp;ROW()),TODAY())</f>
        <v>802</v>
      </c>
      <c r="M302">
        <f ca="1">HYPERLINK(CONCATENATE("https://bugzilla.houston.hp.com:1181/bugzilla/show_bug.cgi?id=",INDIRECT(C70&amp;ROW())),INDIRECT(C70&amp;ROW()))</f>
        <v>56896</v>
      </c>
      <c r="N302">
        <v>56896</v>
      </c>
      <c r="O302" t="s">
        <v>56</v>
      </c>
      <c r="P302" t="s">
        <v>653</v>
      </c>
      <c r="Q302" t="s">
        <v>16</v>
      </c>
      <c r="R302" t="s">
        <v>248</v>
      </c>
      <c r="S302" t="s">
        <v>552</v>
      </c>
      <c r="U302" s="6">
        <v>42045.648831018516</v>
      </c>
      <c r="V302" t="s">
        <v>18</v>
      </c>
      <c r="W302" t="s">
        <v>209</v>
      </c>
      <c r="X302" s="6">
        <v>42045.648240740738</v>
      </c>
      <c r="Y302" t="s">
        <v>119</v>
      </c>
      <c r="AB302" t="s">
        <v>200</v>
      </c>
      <c r="AC302" t="s">
        <v>121</v>
      </c>
      <c r="AD302" t="s">
        <v>220</v>
      </c>
      <c r="AE302" t="s">
        <v>219</v>
      </c>
      <c r="AG302" t="s">
        <v>121</v>
      </c>
      <c r="AH302" t="s">
        <v>327</v>
      </c>
      <c r="AI302" t="s">
        <v>121</v>
      </c>
      <c r="AJ302" t="s">
        <v>716</v>
      </c>
      <c r="AK302" t="s">
        <v>121</v>
      </c>
    </row>
    <row r="303" spans="9:37" x14ac:dyDescent="0.3">
      <c r="I303">
        <f ca="1">IF(OR(INDIRECT(A73&amp;ROW())=B93,INDIRECT(A73&amp;ROW())=B94),1,IF(AND(INDIRECT(A73&amp;ROW())=B95,INDIRECT(A96&amp;ROW())=C93),1,IF(AND(INDIRECT(A73&amp;ROW())=B95,INDIRECT(A96&amp;ROW())=C94),1,0)))</f>
        <v>0</v>
      </c>
      <c r="J303">
        <f ca="1">IF(AND(INDIRECT(A73&amp;ROW())=B95,INDIRECT(A96&amp;ROW())=C95),1,IF(AND(INDIRECT(A73&amp;ROW())=B95,INDIRECT(A96&amp;ROW())=C96),1,0))</f>
        <v>0</v>
      </c>
      <c r="K303">
        <f ca="1">DAYS360(INDIRECT(C68&amp;ROW()),TODAY())</f>
        <v>721</v>
      </c>
      <c r="L303">
        <f ca="1">DAYS360(INDIRECT(C69&amp;ROW()),TODAY())</f>
        <v>802</v>
      </c>
      <c r="M303">
        <f ca="1">HYPERLINK(CONCATENATE("https://bugzilla.houston.hp.com:1181/bugzilla/show_bug.cgi?id=",INDIRECT(C70&amp;ROW())),INDIRECT(C70&amp;ROW()))</f>
        <v>56897</v>
      </c>
      <c r="N303">
        <v>56897</v>
      </c>
      <c r="O303" t="s">
        <v>56</v>
      </c>
      <c r="P303" t="s">
        <v>652</v>
      </c>
      <c r="Q303" t="s">
        <v>16</v>
      </c>
      <c r="R303" t="s">
        <v>248</v>
      </c>
      <c r="S303" t="s">
        <v>552</v>
      </c>
      <c r="U303" s="6">
        <v>42125.44394675926</v>
      </c>
      <c r="V303" t="s">
        <v>18</v>
      </c>
      <c r="W303" t="s">
        <v>209</v>
      </c>
      <c r="X303" s="6">
        <v>42045.652754629627</v>
      </c>
      <c r="Y303" t="s">
        <v>122</v>
      </c>
      <c r="AB303" t="s">
        <v>200</v>
      </c>
      <c r="AC303" t="s">
        <v>121</v>
      </c>
      <c r="AD303" t="s">
        <v>220</v>
      </c>
      <c r="AE303" t="s">
        <v>219</v>
      </c>
      <c r="AG303" t="s">
        <v>121</v>
      </c>
      <c r="AH303" t="s">
        <v>64</v>
      </c>
      <c r="AI303" t="s">
        <v>121</v>
      </c>
      <c r="AJ303" t="s">
        <v>716</v>
      </c>
      <c r="AK303" t="s">
        <v>121</v>
      </c>
    </row>
    <row r="304" spans="9:37" x14ac:dyDescent="0.3">
      <c r="I304">
        <f ca="1">IF(OR(INDIRECT(A73&amp;ROW())=B93,INDIRECT(A73&amp;ROW())=B94),1,IF(AND(INDIRECT(A73&amp;ROW())=B95,INDIRECT(A96&amp;ROW())=C93),1,IF(AND(INDIRECT(A73&amp;ROW())=B95,INDIRECT(A96&amp;ROW())=C94),1,0)))</f>
        <v>0</v>
      </c>
      <c r="J304">
        <f ca="1">IF(AND(INDIRECT(A73&amp;ROW())=B95,INDIRECT(A96&amp;ROW())=C95),1,IF(AND(INDIRECT(A73&amp;ROW())=B95,INDIRECT(A96&amp;ROW())=C96),1,0))</f>
        <v>0</v>
      </c>
      <c r="K304">
        <f ca="1">DAYS360(INDIRECT(C68&amp;ROW()),TODAY())</f>
        <v>802</v>
      </c>
      <c r="L304">
        <f ca="1">DAYS360(INDIRECT(C69&amp;ROW()),TODAY())</f>
        <v>802</v>
      </c>
      <c r="M304">
        <f ca="1">HYPERLINK(CONCATENATE("https://bugzilla.houston.hp.com:1181/bugzilla/show_bug.cgi?id=",INDIRECT(C70&amp;ROW())),INDIRECT(C70&amp;ROW()))</f>
        <v>56898</v>
      </c>
      <c r="N304">
        <v>56898</v>
      </c>
      <c r="O304" t="s">
        <v>36</v>
      </c>
      <c r="P304" t="s">
        <v>651</v>
      </c>
      <c r="Q304" t="s">
        <v>16</v>
      </c>
      <c r="R304" t="s">
        <v>248</v>
      </c>
      <c r="S304" t="s">
        <v>552</v>
      </c>
      <c r="U304" s="6">
        <v>42045.654224537036</v>
      </c>
      <c r="V304" t="s">
        <v>18</v>
      </c>
      <c r="W304" t="s">
        <v>205</v>
      </c>
      <c r="X304" s="6">
        <v>42045.653796296298</v>
      </c>
      <c r="Y304" t="s">
        <v>244</v>
      </c>
      <c r="AB304" t="s">
        <v>201</v>
      </c>
      <c r="AC304" t="s">
        <v>121</v>
      </c>
      <c r="AD304" t="s">
        <v>222</v>
      </c>
      <c r="AE304" t="s">
        <v>225</v>
      </c>
      <c r="AG304" t="s">
        <v>121</v>
      </c>
      <c r="AH304" t="s">
        <v>327</v>
      </c>
      <c r="AI304" t="s">
        <v>121</v>
      </c>
      <c r="AJ304" t="s">
        <v>717</v>
      </c>
      <c r="AK304" t="s">
        <v>121</v>
      </c>
    </row>
    <row r="305" spans="9:37" x14ac:dyDescent="0.3">
      <c r="I305">
        <f ca="1">IF(OR(INDIRECT(A73&amp;ROW())=B93,INDIRECT(A73&amp;ROW())=B94),1,IF(AND(INDIRECT(A73&amp;ROW())=B95,INDIRECT(A96&amp;ROW())=C93),1,IF(AND(INDIRECT(A73&amp;ROW())=B95,INDIRECT(A96&amp;ROW())=C94),1,0)))</f>
        <v>0</v>
      </c>
      <c r="J305">
        <f ca="1">IF(AND(INDIRECT(A73&amp;ROW())=B95,INDIRECT(A96&amp;ROW())=C95),1,IF(AND(INDIRECT(A73&amp;ROW())=B95,INDIRECT(A96&amp;ROW())=C96),1,0))</f>
        <v>0</v>
      </c>
      <c r="K305">
        <f ca="1">DAYS360(INDIRECT(C68&amp;ROW()),TODAY())</f>
        <v>721</v>
      </c>
      <c r="L305">
        <f ca="1">DAYS360(INDIRECT(C69&amp;ROW()),TODAY())</f>
        <v>802</v>
      </c>
      <c r="M305">
        <f ca="1">HYPERLINK(CONCATENATE("https://bugzilla.houston.hp.com:1181/bugzilla/show_bug.cgi?id=",INDIRECT(C70&amp;ROW())),INDIRECT(C70&amp;ROW()))</f>
        <v>56899</v>
      </c>
      <c r="N305">
        <v>56899</v>
      </c>
      <c r="O305" t="s">
        <v>56</v>
      </c>
      <c r="P305" t="s">
        <v>650</v>
      </c>
      <c r="Q305" t="s">
        <v>16</v>
      </c>
      <c r="R305" t="s">
        <v>248</v>
      </c>
      <c r="S305" t="s">
        <v>552</v>
      </c>
      <c r="U305" s="6">
        <v>42125.446446759262</v>
      </c>
      <c r="V305" t="s">
        <v>18</v>
      </c>
      <c r="W305" t="s">
        <v>288</v>
      </c>
      <c r="X305" s="6">
        <v>42045.654699074075</v>
      </c>
      <c r="Y305" t="s">
        <v>122</v>
      </c>
      <c r="AA305" t="s">
        <v>184</v>
      </c>
      <c r="AB305" t="s">
        <v>200</v>
      </c>
      <c r="AC305" t="s">
        <v>121</v>
      </c>
      <c r="AD305" t="s">
        <v>220</v>
      </c>
      <c r="AE305" t="s">
        <v>219</v>
      </c>
      <c r="AG305" t="s">
        <v>121</v>
      </c>
      <c r="AH305" t="s">
        <v>64</v>
      </c>
      <c r="AI305" t="s">
        <v>121</v>
      </c>
      <c r="AJ305" t="s">
        <v>716</v>
      </c>
      <c r="AK305" t="s">
        <v>121</v>
      </c>
    </row>
    <row r="306" spans="9:37" x14ac:dyDescent="0.3">
      <c r="I306">
        <f ca="1">IF(OR(INDIRECT(A73&amp;ROW())=B93,INDIRECT(A73&amp;ROW())=B94),1,IF(AND(INDIRECT(A73&amp;ROW())=B95,INDIRECT(A96&amp;ROW())=C93),1,IF(AND(INDIRECT(A73&amp;ROW())=B95,INDIRECT(A96&amp;ROW())=C94),1,0)))</f>
        <v>0</v>
      </c>
      <c r="J306">
        <f ca="1">IF(AND(INDIRECT(A73&amp;ROW())=B95,INDIRECT(A96&amp;ROW())=C95),1,IF(AND(INDIRECT(A73&amp;ROW())=B95,INDIRECT(A96&amp;ROW())=C96),1,0))</f>
        <v>0</v>
      </c>
      <c r="K306">
        <f ca="1">DAYS360(INDIRECT(C68&amp;ROW()),TODAY())</f>
        <v>802</v>
      </c>
      <c r="L306">
        <f ca="1">DAYS360(INDIRECT(C69&amp;ROW()),TODAY())</f>
        <v>802</v>
      </c>
      <c r="M306">
        <f ca="1">HYPERLINK(CONCATENATE("https://bugzilla.houston.hp.com:1181/bugzilla/show_bug.cgi?id=",INDIRECT(C70&amp;ROW())),INDIRECT(C70&amp;ROW()))</f>
        <v>56900</v>
      </c>
      <c r="N306">
        <v>56900</v>
      </c>
      <c r="O306" t="s">
        <v>56</v>
      </c>
      <c r="P306" t="s">
        <v>649</v>
      </c>
      <c r="Q306" t="s">
        <v>16</v>
      </c>
      <c r="R306" t="s">
        <v>248</v>
      </c>
      <c r="S306" t="s">
        <v>552</v>
      </c>
      <c r="U306" s="6">
        <v>42045.655752314815</v>
      </c>
      <c r="V306" t="s">
        <v>18</v>
      </c>
      <c r="W306" t="s">
        <v>209</v>
      </c>
      <c r="X306" s="6">
        <v>42045.655081018522</v>
      </c>
      <c r="Y306" t="s">
        <v>122</v>
      </c>
      <c r="AB306" t="s">
        <v>201</v>
      </c>
      <c r="AC306" t="s">
        <v>121</v>
      </c>
      <c r="AD306" t="s">
        <v>220</v>
      </c>
      <c r="AE306" t="s">
        <v>219</v>
      </c>
      <c r="AG306" t="s">
        <v>121</v>
      </c>
      <c r="AH306" t="s">
        <v>327</v>
      </c>
      <c r="AI306" t="s">
        <v>121</v>
      </c>
      <c r="AJ306" t="s">
        <v>717</v>
      </c>
      <c r="AK306" t="s">
        <v>121</v>
      </c>
    </row>
    <row r="307" spans="9:37" x14ac:dyDescent="0.3">
      <c r="I307">
        <f ca="1">IF(OR(INDIRECT(A73&amp;ROW())=B93,INDIRECT(A73&amp;ROW())=B94),1,IF(AND(INDIRECT(A73&amp;ROW())=B95,INDIRECT(A96&amp;ROW())=C93),1,IF(AND(INDIRECT(A73&amp;ROW())=B95,INDIRECT(A96&amp;ROW())=C94),1,0)))</f>
        <v>0</v>
      </c>
      <c r="J307">
        <f ca="1">IF(AND(INDIRECT(A73&amp;ROW())=B95,INDIRECT(A96&amp;ROW())=C95),1,IF(AND(INDIRECT(A73&amp;ROW())=B95,INDIRECT(A96&amp;ROW())=C96),1,0))</f>
        <v>0</v>
      </c>
      <c r="K307">
        <f ca="1">DAYS360(INDIRECT(C68&amp;ROW()),TODAY())</f>
        <v>802</v>
      </c>
      <c r="L307">
        <f ca="1">DAYS360(INDIRECT(C69&amp;ROW()),TODAY())</f>
        <v>802</v>
      </c>
      <c r="M307">
        <f ca="1">HYPERLINK(CONCATENATE("https://bugzilla.houston.hp.com:1181/bugzilla/show_bug.cgi?id=",INDIRECT(C70&amp;ROW())),INDIRECT(C70&amp;ROW()))</f>
        <v>56902</v>
      </c>
      <c r="N307">
        <v>56902</v>
      </c>
      <c r="O307" t="s">
        <v>36</v>
      </c>
      <c r="P307" t="s">
        <v>626</v>
      </c>
      <c r="Q307" t="s">
        <v>16</v>
      </c>
      <c r="R307" t="s">
        <v>248</v>
      </c>
      <c r="S307" t="s">
        <v>552</v>
      </c>
      <c r="U307" s="6">
        <v>42045.708668981482</v>
      </c>
      <c r="V307" t="s">
        <v>18</v>
      </c>
      <c r="W307" t="s">
        <v>79</v>
      </c>
      <c r="X307" s="6">
        <v>42045.658090277779</v>
      </c>
      <c r="Y307" t="s">
        <v>119</v>
      </c>
      <c r="AB307" t="s">
        <v>200</v>
      </c>
      <c r="AC307" t="s">
        <v>121</v>
      </c>
      <c r="AD307" t="s">
        <v>222</v>
      </c>
      <c r="AE307" t="s">
        <v>225</v>
      </c>
      <c r="AG307" t="s">
        <v>121</v>
      </c>
      <c r="AH307" t="s">
        <v>327</v>
      </c>
      <c r="AI307" t="s">
        <v>121</v>
      </c>
      <c r="AJ307" t="s">
        <v>716</v>
      </c>
      <c r="AK307" t="s">
        <v>121</v>
      </c>
    </row>
    <row r="308" spans="9:37" x14ac:dyDescent="0.3">
      <c r="I308">
        <f ca="1">IF(OR(INDIRECT(A73&amp;ROW())=B93,INDIRECT(A73&amp;ROW())=B94),1,IF(AND(INDIRECT(A73&amp;ROW())=B95,INDIRECT(A96&amp;ROW())=C93),1,IF(AND(INDIRECT(A73&amp;ROW())=B95,INDIRECT(A96&amp;ROW())=C94),1,0)))</f>
        <v>0</v>
      </c>
      <c r="J308">
        <f ca="1">IF(AND(INDIRECT(A73&amp;ROW())=B95,INDIRECT(A96&amp;ROW())=C95),1,IF(AND(INDIRECT(A73&amp;ROW())=B95,INDIRECT(A96&amp;ROW())=C96),1,0))</f>
        <v>0</v>
      </c>
      <c r="K308">
        <f ca="1">DAYS360(INDIRECT(C68&amp;ROW()),TODAY())</f>
        <v>721</v>
      </c>
      <c r="L308">
        <f ca="1">DAYS360(INDIRECT(C69&amp;ROW()),TODAY())</f>
        <v>802</v>
      </c>
      <c r="M308">
        <f ca="1">HYPERLINK(CONCATENATE("https://bugzilla.houston.hp.com:1181/bugzilla/show_bug.cgi?id=",INDIRECT(C70&amp;ROW())),INDIRECT(C70&amp;ROW()))</f>
        <v>56903</v>
      </c>
      <c r="N308">
        <v>56903</v>
      </c>
      <c r="O308" t="s">
        <v>36</v>
      </c>
      <c r="P308" t="s">
        <v>648</v>
      </c>
      <c r="Q308" t="s">
        <v>16</v>
      </c>
      <c r="R308" t="s">
        <v>248</v>
      </c>
      <c r="S308" t="s">
        <v>552</v>
      </c>
      <c r="U308" s="6">
        <v>42125.448611111111</v>
      </c>
      <c r="V308" t="s">
        <v>18</v>
      </c>
      <c r="W308" t="s">
        <v>17</v>
      </c>
      <c r="X308" s="6">
        <v>42045.659398148149</v>
      </c>
      <c r="Y308" t="s">
        <v>122</v>
      </c>
      <c r="AB308" t="s">
        <v>201</v>
      </c>
      <c r="AC308" t="s">
        <v>247</v>
      </c>
      <c r="AD308" t="s">
        <v>222</v>
      </c>
      <c r="AE308" t="s">
        <v>221</v>
      </c>
      <c r="AG308" t="s">
        <v>121</v>
      </c>
      <c r="AH308" t="s">
        <v>327</v>
      </c>
      <c r="AI308" t="s">
        <v>121</v>
      </c>
      <c r="AJ308" t="s">
        <v>717</v>
      </c>
      <c r="AK308" t="s">
        <v>121</v>
      </c>
    </row>
    <row r="309" spans="9:37" x14ac:dyDescent="0.3">
      <c r="I309">
        <f ca="1">IF(OR(INDIRECT(A73&amp;ROW())=B93,INDIRECT(A73&amp;ROW())=B94),1,IF(AND(INDIRECT(A73&amp;ROW())=B95,INDIRECT(A96&amp;ROW())=C93),1,IF(AND(INDIRECT(A73&amp;ROW())=B95,INDIRECT(A96&amp;ROW())=C94),1,0)))</f>
        <v>0</v>
      </c>
      <c r="J309">
        <f ca="1">IF(AND(INDIRECT(A73&amp;ROW())=B95,INDIRECT(A96&amp;ROW())=C95),1,IF(AND(INDIRECT(A73&amp;ROW())=B95,INDIRECT(A96&amp;ROW())=C96),1,0))</f>
        <v>0</v>
      </c>
      <c r="K309">
        <f ca="1">DAYS360(INDIRECT(C68&amp;ROW()),TODAY())</f>
        <v>721</v>
      </c>
      <c r="L309">
        <f ca="1">DAYS360(INDIRECT(C69&amp;ROW()),TODAY())</f>
        <v>802</v>
      </c>
      <c r="M309">
        <f ca="1">HYPERLINK(CONCATENATE("https://bugzilla.houston.hp.com:1181/bugzilla/show_bug.cgi?id=",INDIRECT(C70&amp;ROW())),INDIRECT(C70&amp;ROW()))</f>
        <v>56904</v>
      </c>
      <c r="N309">
        <v>56904</v>
      </c>
      <c r="O309" t="s">
        <v>36</v>
      </c>
      <c r="P309" t="s">
        <v>633</v>
      </c>
      <c r="Q309" t="s">
        <v>16</v>
      </c>
      <c r="R309" t="s">
        <v>248</v>
      </c>
      <c r="S309" t="s">
        <v>552</v>
      </c>
      <c r="U309" s="6">
        <v>42125.447546296295</v>
      </c>
      <c r="V309" t="s">
        <v>18</v>
      </c>
      <c r="W309" t="s">
        <v>17</v>
      </c>
      <c r="X309" s="6">
        <v>42045.660127314812</v>
      </c>
      <c r="Y309" t="s">
        <v>122</v>
      </c>
      <c r="AB309" t="s">
        <v>201</v>
      </c>
      <c r="AC309" t="s">
        <v>247</v>
      </c>
      <c r="AD309" t="s">
        <v>220</v>
      </c>
      <c r="AE309" t="s">
        <v>223</v>
      </c>
      <c r="AG309" t="s">
        <v>121</v>
      </c>
      <c r="AH309" t="s">
        <v>64</v>
      </c>
      <c r="AI309" t="s">
        <v>121</v>
      </c>
      <c r="AJ309" t="s">
        <v>717</v>
      </c>
      <c r="AK309" t="s">
        <v>121</v>
      </c>
    </row>
    <row r="310" spans="9:37" x14ac:dyDescent="0.3">
      <c r="I310">
        <f ca="1">IF(OR(INDIRECT(A73&amp;ROW())=B93,INDIRECT(A73&amp;ROW())=B94),1,IF(AND(INDIRECT(A73&amp;ROW())=B95,INDIRECT(A96&amp;ROW())=C93),1,IF(AND(INDIRECT(A73&amp;ROW())=B95,INDIRECT(A96&amp;ROW())=C94),1,0)))</f>
        <v>0</v>
      </c>
      <c r="J310">
        <f ca="1">IF(AND(INDIRECT(A73&amp;ROW())=B95,INDIRECT(A96&amp;ROW())=C95),1,IF(AND(INDIRECT(A73&amp;ROW())=B95,INDIRECT(A96&amp;ROW())=C96),1,0))</f>
        <v>0</v>
      </c>
      <c r="K310">
        <f ca="1">DAYS360(INDIRECT(C68&amp;ROW()),TODAY())</f>
        <v>721</v>
      </c>
      <c r="L310">
        <f ca="1">DAYS360(INDIRECT(C69&amp;ROW()),TODAY())</f>
        <v>802</v>
      </c>
      <c r="M310">
        <f ca="1">HYPERLINK(CONCATENATE("https://bugzilla.houston.hp.com:1181/bugzilla/show_bug.cgi?id=",INDIRECT(C70&amp;ROW())),INDIRECT(C70&amp;ROW()))</f>
        <v>56905</v>
      </c>
      <c r="N310">
        <v>56905</v>
      </c>
      <c r="O310" t="s">
        <v>56</v>
      </c>
      <c r="P310" t="s">
        <v>634</v>
      </c>
      <c r="Q310" t="s">
        <v>16</v>
      </c>
      <c r="R310" t="s">
        <v>248</v>
      </c>
      <c r="S310" t="s">
        <v>552</v>
      </c>
      <c r="U310" s="6">
        <v>42125.443784722222</v>
      </c>
      <c r="V310" t="s">
        <v>18</v>
      </c>
      <c r="W310" t="s">
        <v>211</v>
      </c>
      <c r="X310" s="6">
        <v>42045.660474537035</v>
      </c>
      <c r="Y310" t="s">
        <v>122</v>
      </c>
      <c r="AB310" t="s">
        <v>201</v>
      </c>
      <c r="AC310" t="s">
        <v>121</v>
      </c>
      <c r="AD310" t="s">
        <v>220</v>
      </c>
      <c r="AE310" t="s">
        <v>219</v>
      </c>
      <c r="AG310" t="s">
        <v>121</v>
      </c>
      <c r="AH310" t="s">
        <v>64</v>
      </c>
      <c r="AI310" t="s">
        <v>121</v>
      </c>
      <c r="AJ310" t="s">
        <v>717</v>
      </c>
      <c r="AK310" t="s">
        <v>121</v>
      </c>
    </row>
    <row r="311" spans="9:37" x14ac:dyDescent="0.3">
      <c r="I311">
        <f ca="1">IF(OR(INDIRECT(A73&amp;ROW())=B93,INDIRECT(A73&amp;ROW())=B94),1,IF(AND(INDIRECT(A73&amp;ROW())=B95,INDIRECT(A96&amp;ROW())=C93),1,IF(AND(INDIRECT(A73&amp;ROW())=B95,INDIRECT(A96&amp;ROW())=C94),1,0)))</f>
        <v>0</v>
      </c>
      <c r="J311">
        <f ca="1">IF(AND(INDIRECT(A73&amp;ROW())=B95,INDIRECT(A96&amp;ROW())=C95),1,IF(AND(INDIRECT(A73&amp;ROW())=B95,INDIRECT(A96&amp;ROW())=C96),1,0))</f>
        <v>0</v>
      </c>
      <c r="K311">
        <f ca="1">DAYS360(INDIRECT(C68&amp;ROW()),TODAY())</f>
        <v>721</v>
      </c>
      <c r="L311">
        <f ca="1">DAYS360(INDIRECT(C69&amp;ROW()),TODAY())</f>
        <v>802</v>
      </c>
      <c r="M311">
        <f ca="1">HYPERLINK(CONCATENATE("https://bugzilla.houston.hp.com:1181/bugzilla/show_bug.cgi?id=",INDIRECT(C70&amp;ROW())),INDIRECT(C70&amp;ROW()))</f>
        <v>56906</v>
      </c>
      <c r="N311">
        <v>56906</v>
      </c>
      <c r="O311" t="s">
        <v>56</v>
      </c>
      <c r="P311" t="s">
        <v>630</v>
      </c>
      <c r="Q311" t="s">
        <v>16</v>
      </c>
      <c r="R311" t="s">
        <v>248</v>
      </c>
      <c r="S311" t="s">
        <v>552</v>
      </c>
      <c r="U311" s="6">
        <v>42125.445300925923</v>
      </c>
      <c r="V311" t="s">
        <v>18</v>
      </c>
      <c r="W311" t="s">
        <v>260</v>
      </c>
      <c r="X311" s="6">
        <v>42045.661574074074</v>
      </c>
      <c r="Y311" t="s">
        <v>122</v>
      </c>
      <c r="AB311" t="s">
        <v>201</v>
      </c>
      <c r="AC311" t="s">
        <v>121</v>
      </c>
      <c r="AD311" t="s">
        <v>220</v>
      </c>
      <c r="AE311" t="s">
        <v>219</v>
      </c>
      <c r="AG311" t="s">
        <v>121</v>
      </c>
      <c r="AH311" t="s">
        <v>327</v>
      </c>
      <c r="AI311" t="s">
        <v>121</v>
      </c>
      <c r="AJ311" t="s">
        <v>717</v>
      </c>
      <c r="AK311" t="s">
        <v>121</v>
      </c>
    </row>
    <row r="312" spans="9:37" x14ac:dyDescent="0.3">
      <c r="I312">
        <f ca="1">IF(OR(INDIRECT(A73&amp;ROW())=B93,INDIRECT(A73&amp;ROW())=B94),1,IF(AND(INDIRECT(A73&amp;ROW())=B95,INDIRECT(A96&amp;ROW())=C93),1,IF(AND(INDIRECT(A73&amp;ROW())=B95,INDIRECT(A96&amp;ROW())=C94),1,0)))</f>
        <v>1</v>
      </c>
      <c r="J312">
        <f ca="1">IF(AND(INDIRECT(A73&amp;ROW())=B95,INDIRECT(A96&amp;ROW())=C95),1,IF(AND(INDIRECT(A73&amp;ROW())=B95,INDIRECT(A96&amp;ROW())=C96),1,0))</f>
        <v>0</v>
      </c>
      <c r="K312">
        <f ca="1">DAYS360(INDIRECT(C68&amp;ROW()),TODAY())</f>
        <v>687</v>
      </c>
      <c r="L312">
        <f ca="1">DAYS360(INDIRECT(C69&amp;ROW()),TODAY())</f>
        <v>802</v>
      </c>
      <c r="M312">
        <f ca="1">HYPERLINK(CONCATENATE("https://bugzilla.houston.hp.com:1181/bugzilla/show_bug.cgi?id=",INDIRECT(C70&amp;ROW())),INDIRECT(C70&amp;ROW()))</f>
        <v>56908</v>
      </c>
      <c r="N312">
        <v>56908</v>
      </c>
      <c r="O312" t="s">
        <v>45</v>
      </c>
      <c r="P312" t="s">
        <v>636</v>
      </c>
      <c r="Q312" t="s">
        <v>25</v>
      </c>
      <c r="R312" t="s">
        <v>248</v>
      </c>
      <c r="S312" t="s">
        <v>552</v>
      </c>
      <c r="U312" s="6">
        <v>42160.512152777781</v>
      </c>
      <c r="V312" t="s">
        <v>18</v>
      </c>
      <c r="W312" t="s">
        <v>256</v>
      </c>
      <c r="X312" s="6">
        <v>42045.663506944446</v>
      </c>
      <c r="Y312" t="s">
        <v>123</v>
      </c>
      <c r="AB312" t="s">
        <v>200</v>
      </c>
      <c r="AC312" t="s">
        <v>247</v>
      </c>
      <c r="AD312" t="s">
        <v>227</v>
      </c>
      <c r="AE312" t="s">
        <v>226</v>
      </c>
      <c r="AG312" t="s">
        <v>121</v>
      </c>
      <c r="AH312" t="s">
        <v>64</v>
      </c>
      <c r="AI312" t="s">
        <v>121</v>
      </c>
      <c r="AJ312" t="s">
        <v>715</v>
      </c>
      <c r="AK312" t="s">
        <v>121</v>
      </c>
    </row>
    <row r="313" spans="9:37" x14ac:dyDescent="0.3">
      <c r="I313">
        <f ca="1">IF(OR(INDIRECT(A73&amp;ROW())=B93,INDIRECT(A73&amp;ROW())=B94),1,IF(AND(INDIRECT(A73&amp;ROW())=B95,INDIRECT(A96&amp;ROW())=C93),1,IF(AND(INDIRECT(A73&amp;ROW())=B95,INDIRECT(A96&amp;ROW())=C94),1,0)))</f>
        <v>1</v>
      </c>
      <c r="J313">
        <f ca="1">IF(AND(INDIRECT(A73&amp;ROW())=B95,INDIRECT(A96&amp;ROW())=C95),1,IF(AND(INDIRECT(A73&amp;ROW())=B95,INDIRECT(A96&amp;ROW())=C96),1,0))</f>
        <v>0</v>
      </c>
      <c r="K313">
        <f ca="1">DAYS360(INDIRECT(C68&amp;ROW()),TODAY())</f>
        <v>687</v>
      </c>
      <c r="L313">
        <f ca="1">DAYS360(INDIRECT(C69&amp;ROW()),TODAY())</f>
        <v>802</v>
      </c>
      <c r="M313">
        <f ca="1">HYPERLINK(CONCATENATE("https://bugzilla.houston.hp.com:1181/bugzilla/show_bug.cgi?id=",INDIRECT(C70&amp;ROW())),INDIRECT(C70&amp;ROW()))</f>
        <v>56909</v>
      </c>
      <c r="N313">
        <v>56909</v>
      </c>
      <c r="O313" t="s">
        <v>56</v>
      </c>
      <c r="P313" t="s">
        <v>635</v>
      </c>
      <c r="Q313" t="s">
        <v>39</v>
      </c>
      <c r="R313" t="s">
        <v>248</v>
      </c>
      <c r="S313" t="s">
        <v>552</v>
      </c>
      <c r="U313" s="6">
        <v>42160.513483796298</v>
      </c>
      <c r="V313" t="s">
        <v>18</v>
      </c>
      <c r="W313" t="s">
        <v>17</v>
      </c>
      <c r="X313" s="6">
        <v>42045.664699074077</v>
      </c>
      <c r="Y313" t="s">
        <v>371</v>
      </c>
      <c r="AB313" t="s">
        <v>199</v>
      </c>
      <c r="AC313" t="s">
        <v>247</v>
      </c>
      <c r="AD313" t="s">
        <v>220</v>
      </c>
      <c r="AE313" t="s">
        <v>219</v>
      </c>
      <c r="AG313" t="s">
        <v>121</v>
      </c>
      <c r="AH313" t="s">
        <v>327</v>
      </c>
      <c r="AI313" t="s">
        <v>121</v>
      </c>
      <c r="AJ313" t="s">
        <v>715</v>
      </c>
      <c r="AK313" t="s">
        <v>121</v>
      </c>
    </row>
    <row r="314" spans="9:37" x14ac:dyDescent="0.3">
      <c r="I314">
        <f ca="1">IF(OR(INDIRECT(A73&amp;ROW())=B93,INDIRECT(A73&amp;ROW())=B94),1,IF(AND(INDIRECT(A73&amp;ROW())=B95,INDIRECT(A96&amp;ROW())=C93),1,IF(AND(INDIRECT(A73&amp;ROW())=B95,INDIRECT(A96&amp;ROW())=C94),1,0)))</f>
        <v>0</v>
      </c>
      <c r="J314">
        <f ca="1">IF(AND(INDIRECT(A73&amp;ROW())=B95,INDIRECT(A96&amp;ROW())=C95),1,IF(AND(INDIRECT(A73&amp;ROW())=B95,INDIRECT(A96&amp;ROW())=C96),1,0))</f>
        <v>0</v>
      </c>
      <c r="K314">
        <f ca="1">DAYS360(INDIRECT(C68&amp;ROW()),TODAY())</f>
        <v>721</v>
      </c>
      <c r="L314">
        <f ca="1">DAYS360(INDIRECT(C69&amp;ROW()),TODAY())</f>
        <v>802</v>
      </c>
      <c r="M314">
        <f ca="1">HYPERLINK(CONCATENATE("https://bugzilla.houston.hp.com:1181/bugzilla/show_bug.cgi?id=",INDIRECT(C70&amp;ROW())),INDIRECT(C70&amp;ROW()))</f>
        <v>56910</v>
      </c>
      <c r="N314">
        <v>56910</v>
      </c>
      <c r="O314" t="s">
        <v>56</v>
      </c>
      <c r="P314" t="s">
        <v>638</v>
      </c>
      <c r="Q314" t="s">
        <v>16</v>
      </c>
      <c r="R314" t="s">
        <v>248</v>
      </c>
      <c r="S314" t="s">
        <v>552</v>
      </c>
      <c r="U314" s="6">
        <v>42125.44767361111</v>
      </c>
      <c r="V314" t="s">
        <v>18</v>
      </c>
      <c r="W314" t="s">
        <v>340</v>
      </c>
      <c r="X314" s="6">
        <v>42045.665069444447</v>
      </c>
      <c r="Y314" t="s">
        <v>122</v>
      </c>
      <c r="AB314" t="s">
        <v>200</v>
      </c>
      <c r="AC314" t="s">
        <v>247</v>
      </c>
      <c r="AD314" t="s">
        <v>220</v>
      </c>
      <c r="AE314" t="s">
        <v>219</v>
      </c>
      <c r="AG314" t="s">
        <v>121</v>
      </c>
      <c r="AH314" t="s">
        <v>64</v>
      </c>
      <c r="AI314" t="s">
        <v>121</v>
      </c>
      <c r="AJ314" t="s">
        <v>716</v>
      </c>
      <c r="AK314" t="s">
        <v>121</v>
      </c>
    </row>
    <row r="315" spans="9:37" x14ac:dyDescent="0.3">
      <c r="I315">
        <f ca="1">IF(OR(INDIRECT(A73&amp;ROW())=B93,INDIRECT(A73&amp;ROW())=B94),1,IF(AND(INDIRECT(A73&amp;ROW())=B95,INDIRECT(A96&amp;ROW())=C93),1,IF(AND(INDIRECT(A73&amp;ROW())=B95,INDIRECT(A96&amp;ROW())=C94),1,0)))</f>
        <v>0</v>
      </c>
      <c r="J315">
        <f ca="1">IF(AND(INDIRECT(A73&amp;ROW())=B95,INDIRECT(A96&amp;ROW())=C95),1,IF(AND(INDIRECT(A73&amp;ROW())=B95,INDIRECT(A96&amp;ROW())=C96),1,0))</f>
        <v>0</v>
      </c>
      <c r="K315">
        <f ca="1">DAYS360(INDIRECT(C68&amp;ROW()),TODAY())</f>
        <v>802</v>
      </c>
      <c r="L315">
        <f ca="1">DAYS360(INDIRECT(C69&amp;ROW()),TODAY())</f>
        <v>802</v>
      </c>
      <c r="M315">
        <f ca="1">HYPERLINK(CONCATENATE("https://bugzilla.houston.hp.com:1181/bugzilla/show_bug.cgi?id=",INDIRECT(C70&amp;ROW())),INDIRECT(C70&amp;ROW()))</f>
        <v>56911</v>
      </c>
      <c r="N315">
        <v>56911</v>
      </c>
      <c r="O315" t="s">
        <v>36</v>
      </c>
      <c r="P315" t="s">
        <v>625</v>
      </c>
      <c r="Q315" t="s">
        <v>16</v>
      </c>
      <c r="R315" t="s">
        <v>248</v>
      </c>
      <c r="S315" t="s">
        <v>552</v>
      </c>
      <c r="U315" s="6">
        <v>42045.70890046296</v>
      </c>
      <c r="V315" t="s">
        <v>18</v>
      </c>
      <c r="W315" t="s">
        <v>258</v>
      </c>
      <c r="X315" s="6">
        <v>42045.66615740741</v>
      </c>
      <c r="Y315" t="s">
        <v>120</v>
      </c>
      <c r="AB315" t="s">
        <v>200</v>
      </c>
      <c r="AC315" t="s">
        <v>121</v>
      </c>
      <c r="AD315" t="s">
        <v>222</v>
      </c>
      <c r="AE315" t="s">
        <v>240</v>
      </c>
      <c r="AG315" t="s">
        <v>121</v>
      </c>
      <c r="AH315" t="s">
        <v>64</v>
      </c>
      <c r="AI315" t="s">
        <v>121</v>
      </c>
      <c r="AJ315" t="s">
        <v>716</v>
      </c>
      <c r="AK315" t="s">
        <v>121</v>
      </c>
    </row>
    <row r="316" spans="9:37" x14ac:dyDescent="0.3">
      <c r="I316">
        <f ca="1">IF(OR(INDIRECT(A73&amp;ROW())=B93,INDIRECT(A73&amp;ROW())=B94),1,IF(AND(INDIRECT(A73&amp;ROW())=B95,INDIRECT(A96&amp;ROW())=C93),1,IF(AND(INDIRECT(A73&amp;ROW())=B95,INDIRECT(A96&amp;ROW())=C94),1,0)))</f>
        <v>0</v>
      </c>
      <c r="J316">
        <f ca="1">IF(AND(INDIRECT(A73&amp;ROW())=B95,INDIRECT(A96&amp;ROW())=C95),1,IF(AND(INDIRECT(A73&amp;ROW())=B95,INDIRECT(A96&amp;ROW())=C96),1,0))</f>
        <v>0</v>
      </c>
      <c r="K316">
        <f ca="1">DAYS360(INDIRECT(C68&amp;ROW()),TODAY())</f>
        <v>802</v>
      </c>
      <c r="L316">
        <f ca="1">DAYS360(INDIRECT(C69&amp;ROW()),TODAY())</f>
        <v>802</v>
      </c>
      <c r="M316">
        <f ca="1">HYPERLINK(CONCATENATE("https://bugzilla.houston.hp.com:1181/bugzilla/show_bug.cgi?id=",INDIRECT(C70&amp;ROW())),INDIRECT(C70&amp;ROW()))</f>
        <v>56912</v>
      </c>
      <c r="N316">
        <v>56912</v>
      </c>
      <c r="O316" t="s">
        <v>56</v>
      </c>
      <c r="P316" t="s">
        <v>623</v>
      </c>
      <c r="Q316" t="s">
        <v>16</v>
      </c>
      <c r="R316" t="s">
        <v>248</v>
      </c>
      <c r="S316" t="s">
        <v>552</v>
      </c>
      <c r="U316" s="6">
        <v>42045.710277777776</v>
      </c>
      <c r="V316" t="s">
        <v>18</v>
      </c>
      <c r="W316" t="s">
        <v>17</v>
      </c>
      <c r="X316" s="6">
        <v>42045.667037037034</v>
      </c>
      <c r="Y316" t="s">
        <v>786</v>
      </c>
      <c r="AB316" t="s">
        <v>200</v>
      </c>
      <c r="AC316" t="s">
        <v>247</v>
      </c>
      <c r="AD316" t="s">
        <v>220</v>
      </c>
      <c r="AE316" t="s">
        <v>219</v>
      </c>
      <c r="AG316" t="s">
        <v>121</v>
      </c>
      <c r="AH316" t="s">
        <v>327</v>
      </c>
      <c r="AI316" t="s">
        <v>121</v>
      </c>
      <c r="AJ316" t="s">
        <v>716</v>
      </c>
      <c r="AK316" t="s">
        <v>121</v>
      </c>
    </row>
    <row r="317" spans="9:37" x14ac:dyDescent="0.3">
      <c r="I317">
        <f ca="1">IF(OR(INDIRECT(A73&amp;ROW())=B93,INDIRECT(A73&amp;ROW())=B94),1,IF(AND(INDIRECT(A73&amp;ROW())=B95,INDIRECT(A96&amp;ROW())=C93),1,IF(AND(INDIRECT(A73&amp;ROW())=B95,INDIRECT(A96&amp;ROW())=C94),1,0)))</f>
        <v>0</v>
      </c>
      <c r="J317">
        <f ca="1">IF(AND(INDIRECT(A73&amp;ROW())=B95,INDIRECT(A96&amp;ROW())=C95),1,IF(AND(INDIRECT(A73&amp;ROW())=B95,INDIRECT(A96&amp;ROW())=C96),1,0))</f>
        <v>0</v>
      </c>
      <c r="K317">
        <f ca="1">DAYS360(INDIRECT(C68&amp;ROW()),TODAY())</f>
        <v>721</v>
      </c>
      <c r="L317">
        <f ca="1">DAYS360(INDIRECT(C69&amp;ROW()),TODAY())</f>
        <v>802</v>
      </c>
      <c r="M317">
        <f ca="1">HYPERLINK(CONCATENATE("https://bugzilla.houston.hp.com:1181/bugzilla/show_bug.cgi?id=",INDIRECT(C70&amp;ROW())),INDIRECT(C70&amp;ROW()))</f>
        <v>56913</v>
      </c>
      <c r="N317">
        <v>56913</v>
      </c>
      <c r="O317" t="s">
        <v>36</v>
      </c>
      <c r="P317" t="s">
        <v>622</v>
      </c>
      <c r="Q317" t="s">
        <v>16</v>
      </c>
      <c r="R317" t="s">
        <v>248</v>
      </c>
      <c r="S317" t="s">
        <v>552</v>
      </c>
      <c r="U317" s="6">
        <v>42125.446562500001</v>
      </c>
      <c r="V317" t="s">
        <v>18</v>
      </c>
      <c r="W317" t="s">
        <v>257</v>
      </c>
      <c r="X317" s="6">
        <v>42045.668935185182</v>
      </c>
      <c r="Y317" t="s">
        <v>122</v>
      </c>
      <c r="AB317" t="s">
        <v>200</v>
      </c>
      <c r="AC317" t="s">
        <v>121</v>
      </c>
      <c r="AD317" t="s">
        <v>227</v>
      </c>
      <c r="AE317" t="s">
        <v>226</v>
      </c>
      <c r="AG317" t="s">
        <v>121</v>
      </c>
      <c r="AH317" t="s">
        <v>64</v>
      </c>
      <c r="AI317" t="s">
        <v>121</v>
      </c>
      <c r="AJ317" t="s">
        <v>716</v>
      </c>
      <c r="AK317" t="s">
        <v>121</v>
      </c>
    </row>
    <row r="318" spans="9:37" x14ac:dyDescent="0.3">
      <c r="I318">
        <f ca="1">IF(OR(INDIRECT(A73&amp;ROW())=B93,INDIRECT(A73&amp;ROW())=B94),1,IF(AND(INDIRECT(A73&amp;ROW())=B95,INDIRECT(A96&amp;ROW())=C93),1,IF(AND(INDIRECT(A73&amp;ROW())=B95,INDIRECT(A96&amp;ROW())=C94),1,0)))</f>
        <v>0</v>
      </c>
      <c r="J318">
        <f ca="1">IF(AND(INDIRECT(A73&amp;ROW())=B95,INDIRECT(A96&amp;ROW())=C95),1,IF(AND(INDIRECT(A73&amp;ROW())=B95,INDIRECT(A96&amp;ROW())=C96),1,0))</f>
        <v>0</v>
      </c>
      <c r="K318">
        <f ca="1">DAYS360(INDIRECT(C68&amp;ROW()),TODAY())</f>
        <v>721</v>
      </c>
      <c r="L318">
        <f ca="1">DAYS360(INDIRECT(C69&amp;ROW()),TODAY())</f>
        <v>802</v>
      </c>
      <c r="M318">
        <f ca="1">HYPERLINK(CONCATENATE("https://bugzilla.houston.hp.com:1181/bugzilla/show_bug.cgi?id=",INDIRECT(C70&amp;ROW())),INDIRECT(C70&amp;ROW()))</f>
        <v>56914</v>
      </c>
      <c r="N318">
        <v>56914</v>
      </c>
      <c r="O318" t="s">
        <v>56</v>
      </c>
      <c r="P318" t="s">
        <v>628</v>
      </c>
      <c r="Q318" t="s">
        <v>16</v>
      </c>
      <c r="R318" t="s">
        <v>248</v>
      </c>
      <c r="S318" t="s">
        <v>552</v>
      </c>
      <c r="U318" s="6">
        <v>42125.448703703703</v>
      </c>
      <c r="V318" t="s">
        <v>18</v>
      </c>
      <c r="W318" t="s">
        <v>17</v>
      </c>
      <c r="X318" s="6">
        <v>42045.670347222222</v>
      </c>
      <c r="Y318" t="s">
        <v>122</v>
      </c>
      <c r="AB318" t="s">
        <v>201</v>
      </c>
      <c r="AC318" t="s">
        <v>247</v>
      </c>
      <c r="AD318" t="s">
        <v>220</v>
      </c>
      <c r="AE318" t="s">
        <v>219</v>
      </c>
      <c r="AG318" t="s">
        <v>121</v>
      </c>
      <c r="AH318" t="s">
        <v>327</v>
      </c>
      <c r="AI318" t="s">
        <v>121</v>
      </c>
      <c r="AJ318" t="s">
        <v>717</v>
      </c>
      <c r="AK318" t="s">
        <v>121</v>
      </c>
    </row>
    <row r="319" spans="9:37" x14ac:dyDescent="0.3">
      <c r="I319">
        <f ca="1">IF(OR(INDIRECT(A73&amp;ROW())=B93,INDIRECT(A73&amp;ROW())=B94),1,IF(AND(INDIRECT(A73&amp;ROW())=B95,INDIRECT(A96&amp;ROW())=C93),1,IF(AND(INDIRECT(A73&amp;ROW())=B95,INDIRECT(A96&amp;ROW())=C94),1,0)))</f>
        <v>0</v>
      </c>
      <c r="J319">
        <f ca="1">IF(AND(INDIRECT(A73&amp;ROW())=B95,INDIRECT(A96&amp;ROW())=C95),1,IF(AND(INDIRECT(A73&amp;ROW())=B95,INDIRECT(A96&amp;ROW())=C96),1,0))</f>
        <v>0</v>
      </c>
      <c r="K319">
        <f ca="1">DAYS360(INDIRECT(C68&amp;ROW()),TODAY())</f>
        <v>802</v>
      </c>
      <c r="L319">
        <f ca="1">DAYS360(INDIRECT(C69&amp;ROW()),TODAY())</f>
        <v>802</v>
      </c>
      <c r="M319">
        <f ca="1">HYPERLINK(CONCATENATE("https://bugzilla.houston.hp.com:1181/bugzilla/show_bug.cgi?id=",INDIRECT(C70&amp;ROW())),INDIRECT(C70&amp;ROW()))</f>
        <v>56916</v>
      </c>
      <c r="N319">
        <v>56916</v>
      </c>
      <c r="O319" t="s">
        <v>36</v>
      </c>
      <c r="P319" t="s">
        <v>627</v>
      </c>
      <c r="Q319" t="s">
        <v>16</v>
      </c>
      <c r="R319" t="s">
        <v>248</v>
      </c>
      <c r="S319" t="s">
        <v>552</v>
      </c>
      <c r="U319" s="6">
        <v>42045.708449074074</v>
      </c>
      <c r="V319" t="s">
        <v>18</v>
      </c>
      <c r="W319" t="s">
        <v>317</v>
      </c>
      <c r="X319" s="6">
        <v>42045.671898148146</v>
      </c>
      <c r="Y319" t="s">
        <v>119</v>
      </c>
      <c r="AB319" t="s">
        <v>201</v>
      </c>
      <c r="AC319" t="s">
        <v>247</v>
      </c>
      <c r="AD319" t="s">
        <v>222</v>
      </c>
      <c r="AE319" t="s">
        <v>240</v>
      </c>
      <c r="AG319" t="s">
        <v>121</v>
      </c>
      <c r="AH319" t="s">
        <v>327</v>
      </c>
      <c r="AI319" t="s">
        <v>121</v>
      </c>
      <c r="AJ319" t="s">
        <v>717</v>
      </c>
      <c r="AK319" t="s">
        <v>121</v>
      </c>
    </row>
    <row r="320" spans="9:37" x14ac:dyDescent="0.3">
      <c r="I320">
        <f ca="1">IF(OR(INDIRECT(A73&amp;ROW())=B93,INDIRECT(A73&amp;ROW())=B94),1,IF(AND(INDIRECT(A73&amp;ROW())=B95,INDIRECT(A96&amp;ROW())=C93),1,IF(AND(INDIRECT(A73&amp;ROW())=B95,INDIRECT(A96&amp;ROW())=C94),1,0)))</f>
        <v>0</v>
      </c>
      <c r="J320">
        <f ca="1">IF(AND(INDIRECT(A73&amp;ROW())=B95,INDIRECT(A96&amp;ROW())=C95),1,IF(AND(INDIRECT(A73&amp;ROW())=B95,INDIRECT(A96&amp;ROW())=C96),1,0))</f>
        <v>0</v>
      </c>
      <c r="K320">
        <f ca="1">DAYS360(INDIRECT(C68&amp;ROW()),TODAY())</f>
        <v>721</v>
      </c>
      <c r="L320">
        <f ca="1">DAYS360(INDIRECT(C69&amp;ROW()),TODAY())</f>
        <v>802</v>
      </c>
      <c r="M320">
        <f ca="1">HYPERLINK(CONCATENATE("https://bugzilla.houston.hp.com:1181/bugzilla/show_bug.cgi?id=",INDIRECT(C70&amp;ROW())),INDIRECT(C70&amp;ROW()))</f>
        <v>56917</v>
      </c>
      <c r="N320">
        <v>56917</v>
      </c>
      <c r="O320" t="s">
        <v>56</v>
      </c>
      <c r="P320" t="s">
        <v>629</v>
      </c>
      <c r="Q320" t="s">
        <v>16</v>
      </c>
      <c r="R320" t="s">
        <v>248</v>
      </c>
      <c r="S320" t="s">
        <v>552</v>
      </c>
      <c r="U320" s="6">
        <v>42125.446481481478</v>
      </c>
      <c r="V320" t="s">
        <v>18</v>
      </c>
      <c r="W320" t="s">
        <v>288</v>
      </c>
      <c r="X320" s="6">
        <v>42045.672708333332</v>
      </c>
      <c r="Y320" t="s">
        <v>122</v>
      </c>
      <c r="AB320" t="s">
        <v>201</v>
      </c>
      <c r="AC320" t="s">
        <v>247</v>
      </c>
      <c r="AD320" t="s">
        <v>220</v>
      </c>
      <c r="AE320" t="s">
        <v>219</v>
      </c>
      <c r="AG320" t="s">
        <v>121</v>
      </c>
      <c r="AH320" t="s">
        <v>64</v>
      </c>
      <c r="AI320" t="s">
        <v>121</v>
      </c>
      <c r="AJ320" t="s">
        <v>717</v>
      </c>
      <c r="AK320" t="s">
        <v>121</v>
      </c>
    </row>
    <row r="321" spans="9:37" x14ac:dyDescent="0.3">
      <c r="I321">
        <f ca="1">IF(OR(INDIRECT(A73&amp;ROW())=B93,INDIRECT(A73&amp;ROW())=B94),1,IF(AND(INDIRECT(A73&amp;ROW())=B95,INDIRECT(A96&amp;ROW())=C93),1,IF(AND(INDIRECT(A73&amp;ROW())=B95,INDIRECT(A96&amp;ROW())=C94),1,0)))</f>
        <v>0</v>
      </c>
      <c r="J321">
        <f ca="1">IF(AND(INDIRECT(A73&amp;ROW())=B95,INDIRECT(A96&amp;ROW())=C95),1,IF(AND(INDIRECT(A73&amp;ROW())=B95,INDIRECT(A96&amp;ROW())=C96),1,0))</f>
        <v>0</v>
      </c>
      <c r="K321">
        <f ca="1">DAYS360(INDIRECT(C68&amp;ROW()),TODAY())</f>
        <v>802</v>
      </c>
      <c r="L321">
        <f ca="1">DAYS360(INDIRECT(C69&amp;ROW()),TODAY())</f>
        <v>802</v>
      </c>
      <c r="M321">
        <f ca="1">HYPERLINK(CONCATENATE("https://bugzilla.houston.hp.com:1181/bugzilla/show_bug.cgi?id=",INDIRECT(C70&amp;ROW())),INDIRECT(C70&amp;ROW()))</f>
        <v>56918</v>
      </c>
      <c r="N321">
        <v>56918</v>
      </c>
      <c r="O321" t="s">
        <v>36</v>
      </c>
      <c r="P321" t="s">
        <v>631</v>
      </c>
      <c r="Q321" t="s">
        <v>16</v>
      </c>
      <c r="R321" t="s">
        <v>248</v>
      </c>
      <c r="S321" t="s">
        <v>552</v>
      </c>
      <c r="U321" s="6">
        <v>42045.702314814815</v>
      </c>
      <c r="V321" t="s">
        <v>18</v>
      </c>
      <c r="W321" t="s">
        <v>341</v>
      </c>
      <c r="X321" s="6">
        <v>42045.673090277778</v>
      </c>
      <c r="Y321" t="s">
        <v>118</v>
      </c>
      <c r="AB321" t="s">
        <v>201</v>
      </c>
      <c r="AC321" t="s">
        <v>121</v>
      </c>
      <c r="AD321" t="s">
        <v>222</v>
      </c>
      <c r="AE321" t="s">
        <v>240</v>
      </c>
      <c r="AG321" t="s">
        <v>121</v>
      </c>
      <c r="AH321" t="s">
        <v>327</v>
      </c>
      <c r="AI321" t="s">
        <v>121</v>
      </c>
      <c r="AJ321" t="s">
        <v>717</v>
      </c>
      <c r="AK321" t="s">
        <v>121</v>
      </c>
    </row>
    <row r="322" spans="9:37" x14ac:dyDescent="0.3">
      <c r="I322">
        <f ca="1">IF(OR(INDIRECT(A73&amp;ROW())=B93,INDIRECT(A73&amp;ROW())=B94),1,IF(AND(INDIRECT(A73&amp;ROW())=B95,INDIRECT(A96&amp;ROW())=C93),1,IF(AND(INDIRECT(A73&amp;ROW())=B95,INDIRECT(A96&amp;ROW())=C94),1,0)))</f>
        <v>0</v>
      </c>
      <c r="J322">
        <f ca="1">IF(AND(INDIRECT(A73&amp;ROW())=B95,INDIRECT(A96&amp;ROW())=C95),1,IF(AND(INDIRECT(A73&amp;ROW())=B95,INDIRECT(A96&amp;ROW())=C96),1,0))</f>
        <v>0</v>
      </c>
      <c r="K322">
        <f ca="1">DAYS360(INDIRECT(C68&amp;ROW()),TODAY())</f>
        <v>687</v>
      </c>
      <c r="L322">
        <f ca="1">DAYS360(INDIRECT(C69&amp;ROW()),TODAY())</f>
        <v>802</v>
      </c>
      <c r="M322">
        <f ca="1">HYPERLINK(CONCATENATE("https://bugzilla.houston.hp.com:1181/bugzilla/show_bug.cgi?id=",INDIRECT(C70&amp;ROW())),INDIRECT(C70&amp;ROW()))</f>
        <v>56919</v>
      </c>
      <c r="N322">
        <v>56919</v>
      </c>
      <c r="O322" t="s">
        <v>56</v>
      </c>
      <c r="P322" t="s">
        <v>624</v>
      </c>
      <c r="Q322" t="s">
        <v>16</v>
      </c>
      <c r="R322" t="s">
        <v>248</v>
      </c>
      <c r="S322" t="s">
        <v>552</v>
      </c>
      <c r="U322" s="6">
        <v>42160.521226851852</v>
      </c>
      <c r="V322" t="s">
        <v>18</v>
      </c>
      <c r="W322" t="s">
        <v>260</v>
      </c>
      <c r="X322" s="6">
        <v>42045.674270833333</v>
      </c>
      <c r="Y322" t="s">
        <v>793</v>
      </c>
      <c r="AB322" t="s">
        <v>201</v>
      </c>
      <c r="AC322" t="s">
        <v>247</v>
      </c>
      <c r="AD322" t="s">
        <v>220</v>
      </c>
      <c r="AE322" t="s">
        <v>219</v>
      </c>
      <c r="AG322" t="s">
        <v>121</v>
      </c>
      <c r="AH322" t="s">
        <v>64</v>
      </c>
      <c r="AI322" t="s">
        <v>121</v>
      </c>
      <c r="AJ322" t="s">
        <v>717</v>
      </c>
      <c r="AK322" t="s">
        <v>121</v>
      </c>
    </row>
    <row r="323" spans="9:37" x14ac:dyDescent="0.3">
      <c r="I323">
        <f ca="1">IF(OR(INDIRECT(A73&amp;ROW())=B93,INDIRECT(A73&amp;ROW())=B94),1,IF(AND(INDIRECT(A73&amp;ROW())=B95,INDIRECT(A96&amp;ROW())=C93),1,IF(AND(INDIRECT(A73&amp;ROW())=B95,INDIRECT(A96&amp;ROW())=C94),1,0)))</f>
        <v>0</v>
      </c>
      <c r="J323">
        <f ca="1">IF(AND(INDIRECT(A73&amp;ROW())=B95,INDIRECT(A96&amp;ROW())=C95),1,IF(AND(INDIRECT(A73&amp;ROW())=B95,INDIRECT(A96&amp;ROW())=C96),1,0))</f>
        <v>0</v>
      </c>
      <c r="K323">
        <f ca="1">DAYS360(INDIRECT(C68&amp;ROW()),TODAY())</f>
        <v>802</v>
      </c>
      <c r="L323">
        <f ca="1">DAYS360(INDIRECT(C69&amp;ROW()),TODAY())</f>
        <v>802</v>
      </c>
      <c r="M323">
        <f ca="1">HYPERLINK(CONCATENATE("https://bugzilla.houston.hp.com:1181/bugzilla/show_bug.cgi?id=",INDIRECT(C70&amp;ROW())),INDIRECT(C70&amp;ROW()))</f>
        <v>56920</v>
      </c>
      <c r="N323">
        <v>56920</v>
      </c>
      <c r="O323" t="s">
        <v>36</v>
      </c>
      <c r="P323" t="s">
        <v>637</v>
      </c>
      <c r="Q323" t="s">
        <v>16</v>
      </c>
      <c r="R323" t="s">
        <v>248</v>
      </c>
      <c r="S323" t="s">
        <v>552</v>
      </c>
      <c r="U323" s="6">
        <v>42045.685949074075</v>
      </c>
      <c r="V323" t="s">
        <v>18</v>
      </c>
      <c r="W323" t="s">
        <v>339</v>
      </c>
      <c r="X323" s="6">
        <v>42045.674618055556</v>
      </c>
      <c r="Y323" t="s">
        <v>342</v>
      </c>
      <c r="AB323" t="s">
        <v>201</v>
      </c>
      <c r="AC323" t="s">
        <v>217</v>
      </c>
      <c r="AD323" t="s">
        <v>222</v>
      </c>
      <c r="AE323" t="s">
        <v>225</v>
      </c>
      <c r="AG323" t="s">
        <v>121</v>
      </c>
      <c r="AH323" t="s">
        <v>327</v>
      </c>
      <c r="AI323" t="s">
        <v>121</v>
      </c>
      <c r="AJ323" t="s">
        <v>717</v>
      </c>
      <c r="AK323" t="s">
        <v>121</v>
      </c>
    </row>
    <row r="324" spans="9:37" x14ac:dyDescent="0.3">
      <c r="I324">
        <f ca="1">IF(OR(INDIRECT(A73&amp;ROW())=B93,INDIRECT(A73&amp;ROW())=B94),1,IF(AND(INDIRECT(A73&amp;ROW())=B95,INDIRECT(A96&amp;ROW())=C93),1,IF(AND(INDIRECT(A73&amp;ROW())=B95,INDIRECT(A96&amp;ROW())=C94),1,0)))</f>
        <v>0</v>
      </c>
      <c r="J324">
        <f ca="1">IF(AND(INDIRECT(A73&amp;ROW())=B95,INDIRECT(A96&amp;ROW())=C95),1,IF(AND(INDIRECT(A73&amp;ROW())=B95,INDIRECT(A96&amp;ROW())=C96),1,0))</f>
        <v>0</v>
      </c>
      <c r="K324">
        <f ca="1">DAYS360(INDIRECT(C68&amp;ROW()),TODAY())</f>
        <v>721</v>
      </c>
      <c r="L324">
        <f ca="1">DAYS360(INDIRECT(C69&amp;ROW()),TODAY())</f>
        <v>802</v>
      </c>
      <c r="M324">
        <f ca="1">HYPERLINK(CONCATENATE("https://bugzilla.houston.hp.com:1181/bugzilla/show_bug.cgi?id=",INDIRECT(C70&amp;ROW())),INDIRECT(C70&amp;ROW()))</f>
        <v>56921</v>
      </c>
      <c r="N324">
        <v>56921</v>
      </c>
      <c r="O324" t="s">
        <v>56</v>
      </c>
      <c r="P324" t="s">
        <v>647</v>
      </c>
      <c r="Q324" t="s">
        <v>16</v>
      </c>
      <c r="R324" t="s">
        <v>248</v>
      </c>
      <c r="S324" t="s">
        <v>552</v>
      </c>
      <c r="U324" s="6">
        <v>42125.443981481483</v>
      </c>
      <c r="V324" t="s">
        <v>18</v>
      </c>
      <c r="W324" t="s">
        <v>211</v>
      </c>
      <c r="X324" s="6">
        <v>42045.675682870373</v>
      </c>
      <c r="Y324" t="s">
        <v>122</v>
      </c>
      <c r="AB324" t="s">
        <v>200</v>
      </c>
      <c r="AC324" t="s">
        <v>121</v>
      </c>
      <c r="AD324" t="s">
        <v>220</v>
      </c>
      <c r="AE324" t="s">
        <v>219</v>
      </c>
      <c r="AG324" t="s">
        <v>121</v>
      </c>
      <c r="AH324" t="s">
        <v>327</v>
      </c>
      <c r="AI324" t="s">
        <v>121</v>
      </c>
      <c r="AJ324" t="s">
        <v>716</v>
      </c>
      <c r="AK324" t="s">
        <v>121</v>
      </c>
    </row>
    <row r="325" spans="9:37" x14ac:dyDescent="0.3">
      <c r="I325">
        <f ca="1">IF(OR(INDIRECT(A73&amp;ROW())=B93,INDIRECT(A73&amp;ROW())=B94),1,IF(AND(INDIRECT(A73&amp;ROW())=B95,INDIRECT(A96&amp;ROW())=C93),1,IF(AND(INDIRECT(A73&amp;ROW())=B95,INDIRECT(A96&amp;ROW())=C94),1,0)))</f>
        <v>0</v>
      </c>
      <c r="J325">
        <f ca="1">IF(AND(INDIRECT(A73&amp;ROW())=B95,INDIRECT(A96&amp;ROW())=C95),1,IF(AND(INDIRECT(A73&amp;ROW())=B95,INDIRECT(A96&amp;ROW())=C96),1,0))</f>
        <v>0</v>
      </c>
      <c r="K325">
        <f ca="1">DAYS360(INDIRECT(C68&amp;ROW()),TODAY())</f>
        <v>802</v>
      </c>
      <c r="L325">
        <f ca="1">DAYS360(INDIRECT(C69&amp;ROW()),TODAY())</f>
        <v>802</v>
      </c>
      <c r="M325">
        <f ca="1">HYPERLINK(CONCATENATE("https://bugzilla.houston.hp.com:1181/bugzilla/show_bug.cgi?id=",INDIRECT(C70&amp;ROW())),INDIRECT(C70&amp;ROW()))</f>
        <v>56922</v>
      </c>
      <c r="N325">
        <v>56922</v>
      </c>
      <c r="O325" t="s">
        <v>56</v>
      </c>
      <c r="P325" t="s">
        <v>632</v>
      </c>
      <c r="Q325" t="s">
        <v>16</v>
      </c>
      <c r="R325" t="s">
        <v>248</v>
      </c>
      <c r="S325" t="s">
        <v>552</v>
      </c>
      <c r="U325" s="6">
        <v>42045.701967592591</v>
      </c>
      <c r="V325" t="s">
        <v>18</v>
      </c>
      <c r="W325" t="s">
        <v>343</v>
      </c>
      <c r="X325" s="6">
        <v>42045.676111111112</v>
      </c>
      <c r="Y325" t="s">
        <v>124</v>
      </c>
      <c r="AB325" t="s">
        <v>201</v>
      </c>
      <c r="AC325" t="s">
        <v>247</v>
      </c>
      <c r="AD325" t="s">
        <v>220</v>
      </c>
      <c r="AE325" t="s">
        <v>219</v>
      </c>
      <c r="AG325" t="s">
        <v>121</v>
      </c>
      <c r="AH325" t="s">
        <v>327</v>
      </c>
      <c r="AI325" t="s">
        <v>121</v>
      </c>
      <c r="AJ325" t="s">
        <v>717</v>
      </c>
      <c r="AK325" t="s">
        <v>121</v>
      </c>
    </row>
    <row r="326" spans="9:37" x14ac:dyDescent="0.3">
      <c r="I326">
        <f ca="1">IF(OR(INDIRECT(A73&amp;ROW())=B93,INDIRECT(A73&amp;ROW())=B94),1,IF(AND(INDIRECT(A73&amp;ROW())=B95,INDIRECT(A96&amp;ROW())=C93),1,IF(AND(INDIRECT(A73&amp;ROW())=B95,INDIRECT(A96&amp;ROW())=C94),1,0)))</f>
        <v>0</v>
      </c>
      <c r="J326">
        <f ca="1">IF(AND(INDIRECT(A73&amp;ROW())=B95,INDIRECT(A96&amp;ROW())=C95),1,IF(AND(INDIRECT(A73&amp;ROW())=B95,INDIRECT(A96&amp;ROW())=C96),1,0))</f>
        <v>0</v>
      </c>
      <c r="K326">
        <f ca="1">DAYS360(INDIRECT(C68&amp;ROW()),TODAY())</f>
        <v>721</v>
      </c>
      <c r="L326">
        <f ca="1">DAYS360(INDIRECT(C69&amp;ROW()),TODAY())</f>
        <v>802</v>
      </c>
      <c r="M326">
        <f ca="1">HYPERLINK(CONCATENATE("https://bugzilla.houston.hp.com:1181/bugzilla/show_bug.cgi?id=",INDIRECT(C70&amp;ROW())),INDIRECT(C70&amp;ROW()))</f>
        <v>56923</v>
      </c>
      <c r="N326">
        <v>56923</v>
      </c>
      <c r="O326" t="s">
        <v>56</v>
      </c>
      <c r="P326" t="s">
        <v>646</v>
      </c>
      <c r="Q326" t="s">
        <v>16</v>
      </c>
      <c r="R326" t="s">
        <v>248</v>
      </c>
      <c r="S326" t="s">
        <v>552</v>
      </c>
      <c r="U326" s="6">
        <v>42125.446423611109</v>
      </c>
      <c r="V326" t="s">
        <v>18</v>
      </c>
      <c r="W326" t="s">
        <v>256</v>
      </c>
      <c r="X326" s="6">
        <v>42045.677118055559</v>
      </c>
      <c r="Y326" t="s">
        <v>122</v>
      </c>
      <c r="AB326" t="s">
        <v>200</v>
      </c>
      <c r="AC326" t="s">
        <v>247</v>
      </c>
      <c r="AD326" t="s">
        <v>220</v>
      </c>
      <c r="AE326" t="s">
        <v>219</v>
      </c>
      <c r="AF326" s="13">
        <v>41904</v>
      </c>
      <c r="AG326" t="s">
        <v>121</v>
      </c>
      <c r="AH326" t="s">
        <v>64</v>
      </c>
      <c r="AI326" t="s">
        <v>121</v>
      </c>
      <c r="AJ326" t="s">
        <v>716</v>
      </c>
      <c r="AK326" t="s">
        <v>121</v>
      </c>
    </row>
    <row r="327" spans="9:37" x14ac:dyDescent="0.3">
      <c r="I327">
        <f ca="1">IF(OR(INDIRECT(A73&amp;ROW())=B93,INDIRECT(A73&amp;ROW())=B94),1,IF(AND(INDIRECT(A73&amp;ROW())=B95,INDIRECT(A96&amp;ROW())=C93),1,IF(AND(INDIRECT(A73&amp;ROW())=B95,INDIRECT(A96&amp;ROW())=C94),1,0)))</f>
        <v>0</v>
      </c>
      <c r="J327">
        <f ca="1">IF(AND(INDIRECT(A73&amp;ROW())=B95,INDIRECT(A96&amp;ROW())=C95),1,IF(AND(INDIRECT(A73&amp;ROW())=B95,INDIRECT(A96&amp;ROW())=C96),1,0))</f>
        <v>0</v>
      </c>
      <c r="K327">
        <f ca="1">DAYS360(INDIRECT(C68&amp;ROW()),TODAY())</f>
        <v>721</v>
      </c>
      <c r="L327">
        <f ca="1">DAYS360(INDIRECT(C69&amp;ROW()),TODAY())</f>
        <v>802</v>
      </c>
      <c r="M327">
        <f ca="1">HYPERLINK(CONCATENATE("https://bugzilla.houston.hp.com:1181/bugzilla/show_bug.cgi?id=",INDIRECT(C70&amp;ROW())),INDIRECT(C70&amp;ROW()))</f>
        <v>56924</v>
      </c>
      <c r="N327">
        <v>56924</v>
      </c>
      <c r="O327" t="s">
        <v>56</v>
      </c>
      <c r="P327" t="s">
        <v>645</v>
      </c>
      <c r="Q327" t="s">
        <v>16</v>
      </c>
      <c r="R327" t="s">
        <v>248</v>
      </c>
      <c r="S327" t="s">
        <v>552</v>
      </c>
      <c r="U327" s="6">
        <v>42125.445127314815</v>
      </c>
      <c r="V327" t="s">
        <v>18</v>
      </c>
      <c r="W327" t="s">
        <v>260</v>
      </c>
      <c r="X327" s="6">
        <v>42045.677986111114</v>
      </c>
      <c r="Y327" t="s">
        <v>122</v>
      </c>
      <c r="AB327" t="s">
        <v>200</v>
      </c>
      <c r="AC327" t="s">
        <v>121</v>
      </c>
      <c r="AD327" t="s">
        <v>220</v>
      </c>
      <c r="AE327" t="s">
        <v>219</v>
      </c>
      <c r="AG327" t="s">
        <v>121</v>
      </c>
      <c r="AH327" t="s">
        <v>327</v>
      </c>
      <c r="AI327" t="s">
        <v>121</v>
      </c>
      <c r="AJ327" t="s">
        <v>716</v>
      </c>
      <c r="AK327" t="s">
        <v>121</v>
      </c>
    </row>
    <row r="328" spans="9:37" x14ac:dyDescent="0.3">
      <c r="I328">
        <f ca="1">IF(OR(INDIRECT(A73&amp;ROW())=B93,INDIRECT(A73&amp;ROW())=B94),1,IF(AND(INDIRECT(A73&amp;ROW())=B95,INDIRECT(A96&amp;ROW())=C93),1,IF(AND(INDIRECT(A73&amp;ROW())=B95,INDIRECT(A96&amp;ROW())=C94),1,0)))</f>
        <v>0</v>
      </c>
      <c r="J328">
        <f ca="1">IF(AND(INDIRECT(A73&amp;ROW())=B95,INDIRECT(A96&amp;ROW())=C95),1,IF(AND(INDIRECT(A73&amp;ROW())=B95,INDIRECT(A96&amp;ROW())=C96),1,0))</f>
        <v>0</v>
      </c>
      <c r="K328">
        <f ca="1">DAYS360(INDIRECT(C68&amp;ROW()),TODAY())</f>
        <v>721</v>
      </c>
      <c r="L328">
        <f ca="1">DAYS360(INDIRECT(C69&amp;ROW()),TODAY())</f>
        <v>802</v>
      </c>
      <c r="M328">
        <f ca="1">HYPERLINK(CONCATENATE("https://bugzilla.houston.hp.com:1181/bugzilla/show_bug.cgi?id=",INDIRECT(C70&amp;ROW())),INDIRECT(C70&amp;ROW()))</f>
        <v>56925</v>
      </c>
      <c r="N328">
        <v>56925</v>
      </c>
      <c r="O328" t="s">
        <v>56</v>
      </c>
      <c r="P328" t="s">
        <v>644</v>
      </c>
      <c r="Q328" t="s">
        <v>16</v>
      </c>
      <c r="R328" t="s">
        <v>248</v>
      </c>
      <c r="S328" t="s">
        <v>552</v>
      </c>
      <c r="U328" s="6">
        <v>42125.443888888891</v>
      </c>
      <c r="V328" t="s">
        <v>18</v>
      </c>
      <c r="W328" t="s">
        <v>209</v>
      </c>
      <c r="X328" s="6">
        <v>42045.678368055553</v>
      </c>
      <c r="Y328" t="s">
        <v>122</v>
      </c>
      <c r="AB328" t="s">
        <v>200</v>
      </c>
      <c r="AC328" t="s">
        <v>121</v>
      </c>
      <c r="AD328" t="s">
        <v>220</v>
      </c>
      <c r="AE328" t="s">
        <v>219</v>
      </c>
      <c r="AG328" t="s">
        <v>121</v>
      </c>
      <c r="AH328" t="s">
        <v>327</v>
      </c>
      <c r="AI328" t="s">
        <v>121</v>
      </c>
      <c r="AJ328" t="s">
        <v>716</v>
      </c>
      <c r="AK328" t="s">
        <v>121</v>
      </c>
    </row>
    <row r="329" spans="9:37" x14ac:dyDescent="0.3">
      <c r="I329">
        <f ca="1">IF(OR(INDIRECT(A73&amp;ROW())=B93,INDIRECT(A73&amp;ROW())=B94),1,IF(AND(INDIRECT(A73&amp;ROW())=B95,INDIRECT(A96&amp;ROW())=C93),1,IF(AND(INDIRECT(A73&amp;ROW())=B95,INDIRECT(A96&amp;ROW())=C94),1,0)))</f>
        <v>0</v>
      </c>
      <c r="J329">
        <f ca="1">IF(AND(INDIRECT(A73&amp;ROW())=B95,INDIRECT(A96&amp;ROW())=C95),1,IF(AND(INDIRECT(A73&amp;ROW())=B95,INDIRECT(A96&amp;ROW())=C96),1,0))</f>
        <v>0</v>
      </c>
      <c r="K329">
        <f ca="1">DAYS360(INDIRECT(C68&amp;ROW()),TODAY())</f>
        <v>721</v>
      </c>
      <c r="L329">
        <f ca="1">DAYS360(INDIRECT(C69&amp;ROW()),TODAY())</f>
        <v>802</v>
      </c>
      <c r="M329">
        <f ca="1">HYPERLINK(CONCATENATE("https://bugzilla.houston.hp.com:1181/bugzilla/show_bug.cgi?id=",INDIRECT(C70&amp;ROW())),INDIRECT(C70&amp;ROW()))</f>
        <v>56926</v>
      </c>
      <c r="N329">
        <v>56926</v>
      </c>
      <c r="O329" t="s">
        <v>56</v>
      </c>
      <c r="P329" t="s">
        <v>643</v>
      </c>
      <c r="Q329" t="s">
        <v>16</v>
      </c>
      <c r="R329" t="s">
        <v>248</v>
      </c>
      <c r="S329" t="s">
        <v>552</v>
      </c>
      <c r="U329" s="6">
        <v>42125.447511574072</v>
      </c>
      <c r="V329" t="s">
        <v>18</v>
      </c>
      <c r="W329" t="s">
        <v>343</v>
      </c>
      <c r="X329" s="6">
        <v>42045.679282407407</v>
      </c>
      <c r="Y329" t="s">
        <v>122</v>
      </c>
      <c r="AB329" t="s">
        <v>200</v>
      </c>
      <c r="AC329" t="s">
        <v>247</v>
      </c>
      <c r="AD329" t="s">
        <v>220</v>
      </c>
      <c r="AE329" t="s">
        <v>219</v>
      </c>
      <c r="AG329" t="s">
        <v>121</v>
      </c>
      <c r="AH329" t="s">
        <v>64</v>
      </c>
      <c r="AI329" t="s">
        <v>121</v>
      </c>
      <c r="AJ329" t="s">
        <v>716</v>
      </c>
      <c r="AK329" t="s">
        <v>121</v>
      </c>
    </row>
    <row r="330" spans="9:37" x14ac:dyDescent="0.3">
      <c r="I330">
        <f ca="1">IF(OR(INDIRECT(A73&amp;ROW())=B93,INDIRECT(A73&amp;ROW())=B94),1,IF(AND(INDIRECT(A73&amp;ROW())=B95,INDIRECT(A96&amp;ROW())=C93),1,IF(AND(INDIRECT(A73&amp;ROW())=B95,INDIRECT(A96&amp;ROW())=C94),1,0)))</f>
        <v>0</v>
      </c>
      <c r="J330">
        <f ca="1">IF(AND(INDIRECT(A73&amp;ROW())=B95,INDIRECT(A96&amp;ROW())=C95),1,IF(AND(INDIRECT(A73&amp;ROW())=B95,INDIRECT(A96&amp;ROW())=C96),1,0))</f>
        <v>0</v>
      </c>
      <c r="K330">
        <f ca="1">DAYS360(INDIRECT(C68&amp;ROW()),TODAY())</f>
        <v>802</v>
      </c>
      <c r="L330">
        <f ca="1">DAYS360(INDIRECT(C69&amp;ROW()),TODAY())</f>
        <v>802</v>
      </c>
      <c r="M330">
        <f ca="1">HYPERLINK(CONCATENATE("https://bugzilla.houston.hp.com:1181/bugzilla/show_bug.cgi?id=",INDIRECT(C70&amp;ROW())),INDIRECT(C70&amp;ROW()))</f>
        <v>56927</v>
      </c>
      <c r="N330">
        <v>56927</v>
      </c>
      <c r="O330" t="s">
        <v>56</v>
      </c>
      <c r="P330" t="s">
        <v>642</v>
      </c>
      <c r="Q330" t="s">
        <v>16</v>
      </c>
      <c r="R330" t="s">
        <v>248</v>
      </c>
      <c r="S330" t="s">
        <v>552</v>
      </c>
      <c r="U330" s="6">
        <v>42045.680243055554</v>
      </c>
      <c r="V330" t="s">
        <v>18</v>
      </c>
      <c r="W330" t="s">
        <v>288</v>
      </c>
      <c r="X330" s="6">
        <v>42045.679618055554</v>
      </c>
      <c r="Y330" t="s">
        <v>787</v>
      </c>
      <c r="AB330" t="s">
        <v>201</v>
      </c>
      <c r="AC330" t="s">
        <v>247</v>
      </c>
      <c r="AD330" t="s">
        <v>220</v>
      </c>
      <c r="AE330" t="s">
        <v>219</v>
      </c>
      <c r="AG330" t="s">
        <v>121</v>
      </c>
      <c r="AH330" t="s">
        <v>327</v>
      </c>
      <c r="AI330" t="s">
        <v>121</v>
      </c>
      <c r="AJ330" t="s">
        <v>717</v>
      </c>
      <c r="AK330" t="s">
        <v>121</v>
      </c>
    </row>
    <row r="331" spans="9:37" x14ac:dyDescent="0.3">
      <c r="I331">
        <f ca="1">IF(OR(INDIRECT(A73&amp;ROW())=B93,INDIRECT(A73&amp;ROW())=B94),1,IF(AND(INDIRECT(A73&amp;ROW())=B95,INDIRECT(A96&amp;ROW())=C93),1,IF(AND(INDIRECT(A73&amp;ROW())=B95,INDIRECT(A96&amp;ROW())=C94),1,0)))</f>
        <v>0</v>
      </c>
      <c r="J331">
        <f ca="1">IF(AND(INDIRECT(A73&amp;ROW())=B95,INDIRECT(A96&amp;ROW())=C95),1,IF(AND(INDIRECT(A73&amp;ROW())=B95,INDIRECT(A96&amp;ROW())=C96),1,0))</f>
        <v>0</v>
      </c>
      <c r="K331">
        <f ca="1">DAYS360(INDIRECT(C68&amp;ROW()),TODAY())</f>
        <v>721</v>
      </c>
      <c r="L331">
        <f ca="1">DAYS360(INDIRECT(C69&amp;ROW()),TODAY())</f>
        <v>802</v>
      </c>
      <c r="M331">
        <f ca="1">HYPERLINK(CONCATENATE("https://bugzilla.houston.hp.com:1181/bugzilla/show_bug.cgi?id=",INDIRECT(C70&amp;ROW())),INDIRECT(C70&amp;ROW()))</f>
        <v>56928</v>
      </c>
      <c r="N331">
        <v>56928</v>
      </c>
      <c r="O331" t="s">
        <v>56</v>
      </c>
      <c r="P331" t="s">
        <v>641</v>
      </c>
      <c r="Q331" t="s">
        <v>16</v>
      </c>
      <c r="R331" t="s">
        <v>248</v>
      </c>
      <c r="S331" t="s">
        <v>552</v>
      </c>
      <c r="U331" s="6">
        <v>42125.442418981482</v>
      </c>
      <c r="V331" t="s">
        <v>18</v>
      </c>
      <c r="W331" t="s">
        <v>89</v>
      </c>
      <c r="X331" s="6">
        <v>42045.680694444447</v>
      </c>
      <c r="Y331" t="s">
        <v>122</v>
      </c>
      <c r="AB331" t="s">
        <v>201</v>
      </c>
      <c r="AC331" t="s">
        <v>121</v>
      </c>
      <c r="AD331" t="s">
        <v>220</v>
      </c>
      <c r="AE331" t="s">
        <v>219</v>
      </c>
      <c r="AG331" t="s">
        <v>121</v>
      </c>
      <c r="AH331" t="s">
        <v>327</v>
      </c>
      <c r="AI331" t="s">
        <v>121</v>
      </c>
      <c r="AJ331" t="s">
        <v>717</v>
      </c>
      <c r="AK331" t="s">
        <v>121</v>
      </c>
    </row>
    <row r="332" spans="9:37" x14ac:dyDescent="0.3">
      <c r="I332">
        <f ca="1">IF(OR(INDIRECT(A73&amp;ROW())=B93,INDIRECT(A73&amp;ROW())=B94),1,IF(AND(INDIRECT(A73&amp;ROW())=B95,INDIRECT(A96&amp;ROW())=C93),1,IF(AND(INDIRECT(A73&amp;ROW())=B95,INDIRECT(A96&amp;ROW())=C94),1,0)))</f>
        <v>0</v>
      </c>
      <c r="J332">
        <f ca="1">IF(AND(INDIRECT(A73&amp;ROW())=B95,INDIRECT(A96&amp;ROW())=C95),1,IF(AND(INDIRECT(A73&amp;ROW())=B95,INDIRECT(A96&amp;ROW())=C96),1,0))</f>
        <v>0</v>
      </c>
      <c r="K332">
        <f ca="1">DAYS360(INDIRECT(C68&amp;ROW()),TODAY())</f>
        <v>721</v>
      </c>
      <c r="L332">
        <f ca="1">DAYS360(INDIRECT(C69&amp;ROW()),TODAY())</f>
        <v>802</v>
      </c>
      <c r="M332">
        <f ca="1">HYPERLINK(CONCATENATE("https://bugzilla.houston.hp.com:1181/bugzilla/show_bug.cgi?id=",INDIRECT(C70&amp;ROW())),INDIRECT(C70&amp;ROW()))</f>
        <v>56929</v>
      </c>
      <c r="N332">
        <v>56929</v>
      </c>
      <c r="O332" t="s">
        <v>36</v>
      </c>
      <c r="P332" t="s">
        <v>640</v>
      </c>
      <c r="Q332" t="s">
        <v>16</v>
      </c>
      <c r="R332" t="s">
        <v>248</v>
      </c>
      <c r="S332" t="s">
        <v>552</v>
      </c>
      <c r="U332" s="6">
        <v>42125.442106481481</v>
      </c>
      <c r="V332" t="s">
        <v>18</v>
      </c>
      <c r="W332" t="s">
        <v>206</v>
      </c>
      <c r="X332" s="6">
        <v>42045.681006944447</v>
      </c>
      <c r="Y332" t="s">
        <v>122</v>
      </c>
      <c r="AB332" t="s">
        <v>199</v>
      </c>
      <c r="AC332" t="s">
        <v>121</v>
      </c>
      <c r="AD332" t="s">
        <v>222</v>
      </c>
      <c r="AE332" t="s">
        <v>233</v>
      </c>
      <c r="AG332" t="s">
        <v>121</v>
      </c>
      <c r="AH332" t="s">
        <v>327</v>
      </c>
      <c r="AI332" t="s">
        <v>121</v>
      </c>
      <c r="AJ332" t="s">
        <v>716</v>
      </c>
      <c r="AK332" t="s">
        <v>121</v>
      </c>
    </row>
    <row r="333" spans="9:37" x14ac:dyDescent="0.3">
      <c r="I333">
        <f ca="1">IF(OR(INDIRECT(A73&amp;ROW())=B93,INDIRECT(A73&amp;ROW())=B94),1,IF(AND(INDIRECT(A73&amp;ROW())=B95,INDIRECT(A96&amp;ROW())=C93),1,IF(AND(INDIRECT(A73&amp;ROW())=B95,INDIRECT(A96&amp;ROW())=C94),1,0)))</f>
        <v>0</v>
      </c>
      <c r="J333">
        <f ca="1">IF(AND(INDIRECT(A73&amp;ROW())=B95,INDIRECT(A96&amp;ROW())=C95),1,IF(AND(INDIRECT(A73&amp;ROW())=B95,INDIRECT(A96&amp;ROW())=C96),1,0))</f>
        <v>0</v>
      </c>
      <c r="K333">
        <f ca="1">DAYS360(INDIRECT(C68&amp;ROW()),TODAY())</f>
        <v>802</v>
      </c>
      <c r="L333">
        <f ca="1">DAYS360(INDIRECT(C69&amp;ROW()),TODAY())</f>
        <v>802</v>
      </c>
      <c r="M333">
        <f ca="1">HYPERLINK(CONCATENATE("https://bugzilla.houston.hp.com:1181/bugzilla/show_bug.cgi?id=",INDIRECT(C70&amp;ROW())),INDIRECT(C70&amp;ROW()))</f>
        <v>56930</v>
      </c>
      <c r="N333">
        <v>56930</v>
      </c>
      <c r="O333" t="s">
        <v>56</v>
      </c>
      <c r="P333" t="s">
        <v>639</v>
      </c>
      <c r="Q333" t="s">
        <v>16</v>
      </c>
      <c r="R333" t="s">
        <v>248</v>
      </c>
      <c r="S333" t="s">
        <v>552</v>
      </c>
      <c r="U333" s="6">
        <v>42045.682615740741</v>
      </c>
      <c r="V333" t="s">
        <v>18</v>
      </c>
      <c r="W333" t="s">
        <v>205</v>
      </c>
      <c r="X333" s="6">
        <v>42045.68204861111</v>
      </c>
      <c r="Y333" t="s">
        <v>245</v>
      </c>
      <c r="AB333" t="s">
        <v>201</v>
      </c>
      <c r="AC333" t="s">
        <v>121</v>
      </c>
      <c r="AD333" t="s">
        <v>220</v>
      </c>
      <c r="AE333" t="s">
        <v>219</v>
      </c>
      <c r="AG333" t="s">
        <v>121</v>
      </c>
      <c r="AH333" t="s">
        <v>327</v>
      </c>
      <c r="AI333" t="s">
        <v>121</v>
      </c>
      <c r="AJ333" t="s">
        <v>717</v>
      </c>
      <c r="AK333" t="s">
        <v>121</v>
      </c>
    </row>
    <row r="334" spans="9:37" x14ac:dyDescent="0.3">
      <c r="I334">
        <f ca="1">IF(OR(INDIRECT(A73&amp;ROW())=B93,INDIRECT(A73&amp;ROW())=B94),1,IF(AND(INDIRECT(A73&amp;ROW())=B95,INDIRECT(A96&amp;ROW())=C93),1,IF(AND(INDIRECT(A73&amp;ROW())=B95,INDIRECT(A96&amp;ROW())=C94),1,0)))</f>
        <v>0</v>
      </c>
      <c r="J334">
        <f ca="1">IF(AND(INDIRECT(A73&amp;ROW())=B95,INDIRECT(A96&amp;ROW())=C95),1,IF(AND(INDIRECT(A73&amp;ROW())=B95,INDIRECT(A96&amp;ROW())=C96),1,0))</f>
        <v>0</v>
      </c>
      <c r="K334">
        <f ca="1">DAYS360(INDIRECT(C68&amp;ROW()),TODAY())</f>
        <v>731</v>
      </c>
      <c r="L334">
        <f ca="1">DAYS360(INDIRECT(C69&amp;ROW()),TODAY())</f>
        <v>802</v>
      </c>
      <c r="M334">
        <f ca="1">HYPERLINK(CONCATENATE("https://bugzilla.houston.hp.com:1181/bugzilla/show_bug.cgi?id=",INDIRECT(C70&amp;ROW())),INDIRECT(C70&amp;ROW()))</f>
        <v>56931</v>
      </c>
      <c r="N334">
        <v>56931</v>
      </c>
      <c r="O334" t="s">
        <v>56</v>
      </c>
      <c r="P334" t="s">
        <v>974</v>
      </c>
      <c r="Q334" t="s">
        <v>16</v>
      </c>
      <c r="R334" t="s">
        <v>783</v>
      </c>
      <c r="S334" t="s">
        <v>552</v>
      </c>
      <c r="U334" s="6">
        <v>42115.828506944446</v>
      </c>
      <c r="V334" t="s">
        <v>18</v>
      </c>
      <c r="W334" t="s">
        <v>340</v>
      </c>
      <c r="X334" s="6">
        <v>42045.684733796297</v>
      </c>
      <c r="Y334" t="s">
        <v>122</v>
      </c>
      <c r="AB334" t="s">
        <v>200</v>
      </c>
      <c r="AC334" t="s">
        <v>247</v>
      </c>
      <c r="AD334" t="s">
        <v>220</v>
      </c>
      <c r="AE334" t="s">
        <v>219</v>
      </c>
      <c r="AG334" t="s">
        <v>121</v>
      </c>
      <c r="AH334" t="s">
        <v>64</v>
      </c>
      <c r="AI334" t="s">
        <v>121</v>
      </c>
      <c r="AJ334" t="s">
        <v>716</v>
      </c>
      <c r="AK334" t="s">
        <v>121</v>
      </c>
    </row>
    <row r="335" spans="9:37" x14ac:dyDescent="0.3">
      <c r="I335">
        <f ca="1">IF(OR(INDIRECT(A73&amp;ROW())=B93,INDIRECT(A73&amp;ROW())=B94),1,IF(AND(INDIRECT(A73&amp;ROW())=B95,INDIRECT(A96&amp;ROW())=C93),1,IF(AND(INDIRECT(A73&amp;ROW())=B95,INDIRECT(A96&amp;ROW())=C94),1,0)))</f>
        <v>0</v>
      </c>
      <c r="J335">
        <f ca="1">IF(AND(INDIRECT(A73&amp;ROW())=B95,INDIRECT(A96&amp;ROW())=C95),1,IF(AND(INDIRECT(A73&amp;ROW())=B95,INDIRECT(A96&amp;ROW())=C96),1,0))</f>
        <v>0</v>
      </c>
      <c r="K335">
        <f ca="1">DAYS360(INDIRECT(C68&amp;ROW()),TODAY())</f>
        <v>802</v>
      </c>
      <c r="L335">
        <f ca="1">DAYS360(INDIRECT(C69&amp;ROW()),TODAY())</f>
        <v>802</v>
      </c>
      <c r="M335">
        <f ca="1">HYPERLINK(CONCATENATE("https://bugzilla.houston.hp.com:1181/bugzilla/show_bug.cgi?id=",INDIRECT(C70&amp;ROW())),INDIRECT(C70&amp;ROW()))</f>
        <v>56932</v>
      </c>
      <c r="N335">
        <v>56932</v>
      </c>
      <c r="O335" t="s">
        <v>36</v>
      </c>
      <c r="P335" t="s">
        <v>637</v>
      </c>
      <c r="Q335" t="s">
        <v>16</v>
      </c>
      <c r="R335" t="s">
        <v>248</v>
      </c>
      <c r="S335" t="s">
        <v>552</v>
      </c>
      <c r="U335" s="6">
        <v>42045.685949074075</v>
      </c>
      <c r="V335" t="s">
        <v>18</v>
      </c>
      <c r="W335" t="s">
        <v>339</v>
      </c>
      <c r="X335" s="6">
        <v>42045.685069444444</v>
      </c>
      <c r="Y335" t="s">
        <v>342</v>
      </c>
      <c r="AB335" t="s">
        <v>201</v>
      </c>
      <c r="AC335" t="s">
        <v>217</v>
      </c>
      <c r="AD335" t="s">
        <v>222</v>
      </c>
      <c r="AE335" t="s">
        <v>225</v>
      </c>
      <c r="AG335" t="s">
        <v>121</v>
      </c>
      <c r="AH335" t="s">
        <v>327</v>
      </c>
      <c r="AI335" t="s">
        <v>121</v>
      </c>
      <c r="AJ335" t="s">
        <v>717</v>
      </c>
      <c r="AK335" t="s">
        <v>121</v>
      </c>
    </row>
    <row r="336" spans="9:37" x14ac:dyDescent="0.3">
      <c r="I336">
        <f ca="1">IF(OR(INDIRECT(A73&amp;ROW())=B93,INDIRECT(A73&amp;ROW())=B94),1,IF(AND(INDIRECT(A73&amp;ROW())=B95,INDIRECT(A96&amp;ROW())=C93),1,IF(AND(INDIRECT(A73&amp;ROW())=B95,INDIRECT(A96&amp;ROW())=C94),1,0)))</f>
        <v>1</v>
      </c>
      <c r="J336">
        <f ca="1">IF(AND(INDIRECT(A73&amp;ROW())=B95,INDIRECT(A96&amp;ROW())=C95),1,IF(AND(INDIRECT(A73&amp;ROW())=B95,INDIRECT(A96&amp;ROW())=C96),1,0))</f>
        <v>0</v>
      </c>
      <c r="K336">
        <f ca="1">DAYS360(INDIRECT(C68&amp;ROW()),TODAY())</f>
        <v>688</v>
      </c>
      <c r="L336">
        <f ca="1">DAYS360(INDIRECT(C69&amp;ROW()),TODAY())</f>
        <v>802</v>
      </c>
      <c r="M336">
        <f ca="1">HYPERLINK(CONCATENATE("https://bugzilla.houston.hp.com:1181/bugzilla/show_bug.cgi?id=",INDIRECT(C70&amp;ROW())),INDIRECT(C70&amp;ROW()))</f>
        <v>56933</v>
      </c>
      <c r="N336">
        <v>56933</v>
      </c>
      <c r="O336" t="s">
        <v>36</v>
      </c>
      <c r="P336" t="s">
        <v>973</v>
      </c>
      <c r="Q336" t="s">
        <v>25</v>
      </c>
      <c r="R336" t="s">
        <v>783</v>
      </c>
      <c r="S336" t="s">
        <v>552</v>
      </c>
      <c r="U336" s="6">
        <v>42159.679652777777</v>
      </c>
      <c r="V336" t="s">
        <v>18</v>
      </c>
      <c r="W336" t="s">
        <v>256</v>
      </c>
      <c r="X336" s="6">
        <v>42045.685358796298</v>
      </c>
      <c r="Y336" t="s">
        <v>123</v>
      </c>
      <c r="AB336" t="s">
        <v>200</v>
      </c>
      <c r="AC336" t="s">
        <v>247</v>
      </c>
      <c r="AD336" t="s">
        <v>227</v>
      </c>
      <c r="AE336" t="s">
        <v>226</v>
      </c>
      <c r="AG336" t="s">
        <v>121</v>
      </c>
      <c r="AH336" t="s">
        <v>64</v>
      </c>
      <c r="AI336" t="s">
        <v>121</v>
      </c>
      <c r="AJ336" t="s">
        <v>715</v>
      </c>
      <c r="AK336" t="s">
        <v>121</v>
      </c>
    </row>
    <row r="337" spans="9:37" x14ac:dyDescent="0.3">
      <c r="I337">
        <f ca="1">IF(OR(INDIRECT(A73&amp;ROW())=B93,INDIRECT(A73&amp;ROW())=B94),1,IF(AND(INDIRECT(A73&amp;ROW())=B95,INDIRECT(A96&amp;ROW())=C93),1,IF(AND(INDIRECT(A73&amp;ROW())=B95,INDIRECT(A96&amp;ROW())=C94),1,0)))</f>
        <v>1</v>
      </c>
      <c r="J337">
        <f ca="1">IF(AND(INDIRECT(A73&amp;ROW())=B95,INDIRECT(A96&amp;ROW())=C95),1,IF(AND(INDIRECT(A73&amp;ROW())=B95,INDIRECT(A96&amp;ROW())=C96),1,0))</f>
        <v>0</v>
      </c>
      <c r="K337">
        <f ca="1">DAYS360(INDIRECT(C68&amp;ROW()),TODAY())</f>
        <v>688</v>
      </c>
      <c r="L337">
        <f ca="1">DAYS360(INDIRECT(C69&amp;ROW()),TODAY())</f>
        <v>802</v>
      </c>
      <c r="M337">
        <f ca="1">HYPERLINK(CONCATENATE("https://bugzilla.houston.hp.com:1181/bugzilla/show_bug.cgi?id=",INDIRECT(C70&amp;ROW())),INDIRECT(C70&amp;ROW()))</f>
        <v>56935</v>
      </c>
      <c r="N337">
        <v>56935</v>
      </c>
      <c r="O337" t="s">
        <v>56</v>
      </c>
      <c r="P337" t="s">
        <v>972</v>
      </c>
      <c r="Q337" t="s">
        <v>39</v>
      </c>
      <c r="R337" t="s">
        <v>783</v>
      </c>
      <c r="S337" t="s">
        <v>552</v>
      </c>
      <c r="U337" s="6">
        <v>42159.627615740741</v>
      </c>
      <c r="V337" t="s">
        <v>18</v>
      </c>
      <c r="W337" t="s">
        <v>17</v>
      </c>
      <c r="X337" s="6">
        <v>42045.687013888892</v>
      </c>
      <c r="Y337" t="s">
        <v>371</v>
      </c>
      <c r="AB337" t="s">
        <v>199</v>
      </c>
      <c r="AC337" t="s">
        <v>247</v>
      </c>
      <c r="AD337" t="s">
        <v>220</v>
      </c>
      <c r="AE337" t="s">
        <v>219</v>
      </c>
      <c r="AG337" t="s">
        <v>121</v>
      </c>
      <c r="AH337" t="s">
        <v>327</v>
      </c>
      <c r="AI337" t="s">
        <v>121</v>
      </c>
      <c r="AJ337" t="s">
        <v>715</v>
      </c>
      <c r="AK337" t="s">
        <v>121</v>
      </c>
    </row>
    <row r="338" spans="9:37" x14ac:dyDescent="0.3">
      <c r="I338">
        <f ca="1">IF(OR(INDIRECT(A73&amp;ROW())=B93,INDIRECT(A73&amp;ROW())=B94),1,IF(AND(INDIRECT(A73&amp;ROW())=B95,INDIRECT(A96&amp;ROW())=C93),1,IF(AND(INDIRECT(A73&amp;ROW())=B95,INDIRECT(A96&amp;ROW())=C94),1,0)))</f>
        <v>0</v>
      </c>
      <c r="J338">
        <f ca="1">IF(AND(INDIRECT(A73&amp;ROW())=B95,INDIRECT(A96&amp;ROW())=C95),1,IF(AND(INDIRECT(A73&amp;ROW())=B95,INDIRECT(A96&amp;ROW())=C96),1,0))</f>
        <v>0</v>
      </c>
      <c r="K338">
        <f ca="1">DAYS360(INDIRECT(C68&amp;ROW()),TODAY())</f>
        <v>721</v>
      </c>
      <c r="L338">
        <f ca="1">DAYS360(INDIRECT(C69&amp;ROW()),TODAY())</f>
        <v>802</v>
      </c>
      <c r="M338">
        <f ca="1">HYPERLINK(CONCATENATE("https://bugzilla.houston.hp.com:1181/bugzilla/show_bug.cgi?id=",INDIRECT(C70&amp;ROW())),INDIRECT(C70&amp;ROW()))</f>
        <v>56936</v>
      </c>
      <c r="N338">
        <v>56936</v>
      </c>
      <c r="O338" t="s">
        <v>56</v>
      </c>
      <c r="P338" t="s">
        <v>634</v>
      </c>
      <c r="Q338" t="s">
        <v>16</v>
      </c>
      <c r="R338" t="s">
        <v>248</v>
      </c>
      <c r="S338" t="s">
        <v>552</v>
      </c>
      <c r="U338" s="6">
        <v>42125.443796296298</v>
      </c>
      <c r="V338" t="s">
        <v>18</v>
      </c>
      <c r="W338" t="s">
        <v>211</v>
      </c>
      <c r="X338" s="6">
        <v>42045.687418981484</v>
      </c>
      <c r="Y338" t="s">
        <v>122</v>
      </c>
      <c r="AB338" t="s">
        <v>201</v>
      </c>
      <c r="AC338" t="s">
        <v>121</v>
      </c>
      <c r="AD338" t="s">
        <v>220</v>
      </c>
      <c r="AE338" t="s">
        <v>219</v>
      </c>
      <c r="AG338" t="s">
        <v>121</v>
      </c>
      <c r="AH338" t="s">
        <v>64</v>
      </c>
      <c r="AI338" t="s">
        <v>121</v>
      </c>
      <c r="AJ338" t="s">
        <v>717</v>
      </c>
      <c r="AK338" t="s">
        <v>121</v>
      </c>
    </row>
    <row r="339" spans="9:37" x14ac:dyDescent="0.3">
      <c r="I339">
        <f ca="1">IF(OR(INDIRECT(A73&amp;ROW())=B93,INDIRECT(A73&amp;ROW())=B94),1,IF(AND(INDIRECT(A73&amp;ROW())=B95,INDIRECT(A96&amp;ROW())=C93),1,IF(AND(INDIRECT(A73&amp;ROW())=B95,INDIRECT(A96&amp;ROW())=C94),1,0)))</f>
        <v>0</v>
      </c>
      <c r="J339">
        <f ca="1">IF(AND(INDIRECT(A73&amp;ROW())=B95,INDIRECT(A96&amp;ROW())=C95),1,IF(AND(INDIRECT(A73&amp;ROW())=B95,INDIRECT(A96&amp;ROW())=C96),1,0))</f>
        <v>0</v>
      </c>
      <c r="K339">
        <f ca="1">DAYS360(INDIRECT(C68&amp;ROW()),TODAY())</f>
        <v>721</v>
      </c>
      <c r="L339">
        <f ca="1">DAYS360(INDIRECT(C69&amp;ROW()),TODAY())</f>
        <v>802</v>
      </c>
      <c r="M339">
        <f ca="1">HYPERLINK(CONCATENATE("https://bugzilla.houston.hp.com:1181/bugzilla/show_bug.cgi?id=",INDIRECT(C70&amp;ROW())),INDIRECT(C70&amp;ROW()))</f>
        <v>56937</v>
      </c>
      <c r="N339">
        <v>56937</v>
      </c>
      <c r="O339" t="s">
        <v>36</v>
      </c>
      <c r="P339" t="s">
        <v>633</v>
      </c>
      <c r="Q339" t="s">
        <v>16</v>
      </c>
      <c r="R339" t="s">
        <v>248</v>
      </c>
      <c r="S339" t="s">
        <v>552</v>
      </c>
      <c r="U339" s="6">
        <v>42125.447685185187</v>
      </c>
      <c r="V339" t="s">
        <v>18</v>
      </c>
      <c r="W339" t="s">
        <v>17</v>
      </c>
      <c r="X339" s="6">
        <v>42045.688657407409</v>
      </c>
      <c r="Y339" t="s">
        <v>122</v>
      </c>
      <c r="AB339" t="s">
        <v>201</v>
      </c>
      <c r="AC339" t="s">
        <v>247</v>
      </c>
      <c r="AD339" t="s">
        <v>220</v>
      </c>
      <c r="AE339" t="s">
        <v>223</v>
      </c>
      <c r="AG339" t="s">
        <v>121</v>
      </c>
      <c r="AH339" t="s">
        <v>64</v>
      </c>
      <c r="AI339" t="s">
        <v>121</v>
      </c>
      <c r="AJ339" t="s">
        <v>717</v>
      </c>
      <c r="AK339" t="s">
        <v>121</v>
      </c>
    </row>
    <row r="340" spans="9:37" x14ac:dyDescent="0.3">
      <c r="I340">
        <f ca="1">IF(OR(INDIRECT(A73&amp;ROW())=B93,INDIRECT(A73&amp;ROW())=B94),1,IF(AND(INDIRECT(A73&amp;ROW())=B95,INDIRECT(A96&amp;ROW())=C93),1,IF(AND(INDIRECT(A73&amp;ROW())=B95,INDIRECT(A96&amp;ROW())=C94),1,0)))</f>
        <v>0</v>
      </c>
      <c r="J340">
        <f ca="1">IF(AND(INDIRECT(A73&amp;ROW())=B95,INDIRECT(A96&amp;ROW())=C95),1,IF(AND(INDIRECT(A73&amp;ROW())=B95,INDIRECT(A96&amp;ROW())=C96),1,0))</f>
        <v>0</v>
      </c>
      <c r="K340">
        <f ca="1">DAYS360(INDIRECT(C68&amp;ROW()),TODAY())</f>
        <v>802</v>
      </c>
      <c r="L340">
        <f ca="1">DAYS360(INDIRECT(C69&amp;ROW()),TODAY())</f>
        <v>802</v>
      </c>
      <c r="M340">
        <f ca="1">HYPERLINK(CONCATENATE("https://bugzilla.houston.hp.com:1181/bugzilla/show_bug.cgi?id=",INDIRECT(C70&amp;ROW())),INDIRECT(C70&amp;ROW()))</f>
        <v>56939</v>
      </c>
      <c r="N340">
        <v>56939</v>
      </c>
      <c r="O340" t="s">
        <v>56</v>
      </c>
      <c r="P340" t="s">
        <v>632</v>
      </c>
      <c r="Q340" t="s">
        <v>16</v>
      </c>
      <c r="R340" t="s">
        <v>248</v>
      </c>
      <c r="S340" t="s">
        <v>552</v>
      </c>
      <c r="U340" s="6">
        <v>42045.701967592591</v>
      </c>
      <c r="V340" t="s">
        <v>18</v>
      </c>
      <c r="W340" t="s">
        <v>343</v>
      </c>
      <c r="X340" s="6">
        <v>42045.701157407406</v>
      </c>
      <c r="Y340" t="s">
        <v>124</v>
      </c>
      <c r="AB340" t="s">
        <v>201</v>
      </c>
      <c r="AC340" t="s">
        <v>247</v>
      </c>
      <c r="AD340" t="s">
        <v>220</v>
      </c>
      <c r="AE340" t="s">
        <v>219</v>
      </c>
      <c r="AG340" t="s">
        <v>121</v>
      </c>
      <c r="AH340" t="s">
        <v>327</v>
      </c>
      <c r="AI340" t="s">
        <v>121</v>
      </c>
      <c r="AJ340" t="s">
        <v>717</v>
      </c>
      <c r="AK340" t="s">
        <v>121</v>
      </c>
    </row>
    <row r="341" spans="9:37" x14ac:dyDescent="0.3">
      <c r="I341">
        <f ca="1">IF(OR(INDIRECT(A73&amp;ROW())=B93,INDIRECT(A73&amp;ROW())=B94),1,IF(AND(INDIRECT(A73&amp;ROW())=B95,INDIRECT(A96&amp;ROW())=C93),1,IF(AND(INDIRECT(A73&amp;ROW())=B95,INDIRECT(A96&amp;ROW())=C94),1,0)))</f>
        <v>0</v>
      </c>
      <c r="J341">
        <f ca="1">IF(AND(INDIRECT(A73&amp;ROW())=B95,INDIRECT(A96&amp;ROW())=C95),1,IF(AND(INDIRECT(A73&amp;ROW())=B95,INDIRECT(A96&amp;ROW())=C96),1,0))</f>
        <v>0</v>
      </c>
      <c r="K341">
        <f ca="1">DAYS360(INDIRECT(C68&amp;ROW()),TODAY())</f>
        <v>802</v>
      </c>
      <c r="L341">
        <f ca="1">DAYS360(INDIRECT(C69&amp;ROW()),TODAY())</f>
        <v>802</v>
      </c>
      <c r="M341">
        <f ca="1">HYPERLINK(CONCATENATE("https://bugzilla.houston.hp.com:1181/bugzilla/show_bug.cgi?id=",INDIRECT(C70&amp;ROW())),INDIRECT(C70&amp;ROW()))</f>
        <v>56940</v>
      </c>
      <c r="N341">
        <v>56940</v>
      </c>
      <c r="O341" t="s">
        <v>36</v>
      </c>
      <c r="P341" t="s">
        <v>631</v>
      </c>
      <c r="Q341" t="s">
        <v>16</v>
      </c>
      <c r="R341" t="s">
        <v>248</v>
      </c>
      <c r="S341" t="s">
        <v>552</v>
      </c>
      <c r="U341" s="6">
        <v>42045.702314814815</v>
      </c>
      <c r="V341" t="s">
        <v>18</v>
      </c>
      <c r="W341" t="s">
        <v>339</v>
      </c>
      <c r="X341" s="6">
        <v>42045.701620370368</v>
      </c>
      <c r="Y341" t="s">
        <v>118</v>
      </c>
      <c r="AB341" t="s">
        <v>201</v>
      </c>
      <c r="AC341" t="s">
        <v>121</v>
      </c>
      <c r="AD341" t="s">
        <v>222</v>
      </c>
      <c r="AE341" t="s">
        <v>240</v>
      </c>
      <c r="AG341" t="s">
        <v>121</v>
      </c>
      <c r="AH341" t="s">
        <v>327</v>
      </c>
      <c r="AI341" t="s">
        <v>121</v>
      </c>
      <c r="AJ341" t="s">
        <v>717</v>
      </c>
      <c r="AK341" t="s">
        <v>121</v>
      </c>
    </row>
    <row r="342" spans="9:37" x14ac:dyDescent="0.3">
      <c r="I342">
        <f ca="1">IF(OR(INDIRECT(A73&amp;ROW())=B93,INDIRECT(A73&amp;ROW())=B94),1,IF(AND(INDIRECT(A73&amp;ROW())=B95,INDIRECT(A96&amp;ROW())=C93),1,IF(AND(INDIRECT(A73&amp;ROW())=B95,INDIRECT(A96&amp;ROW())=C94),1,0)))</f>
        <v>0</v>
      </c>
      <c r="J342">
        <f ca="1">IF(AND(INDIRECT(A73&amp;ROW())=B95,INDIRECT(A96&amp;ROW())=C95),1,IF(AND(INDIRECT(A73&amp;ROW())=B95,INDIRECT(A96&amp;ROW())=C96),1,0))</f>
        <v>0</v>
      </c>
      <c r="K342">
        <f ca="1">DAYS360(INDIRECT(C68&amp;ROW()),TODAY())</f>
        <v>721</v>
      </c>
      <c r="L342">
        <f ca="1">DAYS360(INDIRECT(C69&amp;ROW()),TODAY())</f>
        <v>802</v>
      </c>
      <c r="M342">
        <f ca="1">HYPERLINK(CONCATENATE("https://bugzilla.houston.hp.com:1181/bugzilla/show_bug.cgi?id=",INDIRECT(C70&amp;ROW())),INDIRECT(C70&amp;ROW()))</f>
        <v>56942</v>
      </c>
      <c r="N342">
        <v>56942</v>
      </c>
      <c r="O342" t="s">
        <v>56</v>
      </c>
      <c r="P342" t="s">
        <v>630</v>
      </c>
      <c r="Q342" t="s">
        <v>16</v>
      </c>
      <c r="R342" t="s">
        <v>248</v>
      </c>
      <c r="S342" t="s">
        <v>552</v>
      </c>
      <c r="U342" s="6">
        <v>42125.445092592592</v>
      </c>
      <c r="V342" t="s">
        <v>18</v>
      </c>
      <c r="W342" t="s">
        <v>260</v>
      </c>
      <c r="X342" s="6">
        <v>42045.702800925923</v>
      </c>
      <c r="Y342" t="s">
        <v>122</v>
      </c>
      <c r="AB342" t="s">
        <v>201</v>
      </c>
      <c r="AC342" t="s">
        <v>121</v>
      </c>
      <c r="AD342" t="s">
        <v>220</v>
      </c>
      <c r="AE342" t="s">
        <v>219</v>
      </c>
      <c r="AG342" t="s">
        <v>121</v>
      </c>
      <c r="AH342" t="s">
        <v>327</v>
      </c>
      <c r="AI342" t="s">
        <v>121</v>
      </c>
      <c r="AJ342" t="s">
        <v>717</v>
      </c>
      <c r="AK342" t="s">
        <v>121</v>
      </c>
    </row>
    <row r="343" spans="9:37" x14ac:dyDescent="0.3">
      <c r="I343">
        <f ca="1">IF(OR(INDIRECT(A73&amp;ROW())=B93,INDIRECT(A73&amp;ROW())=B94),1,IF(AND(INDIRECT(A73&amp;ROW())=B95,INDIRECT(A96&amp;ROW())=C93),1,IF(AND(INDIRECT(A73&amp;ROW())=B95,INDIRECT(A96&amp;ROW())=C94),1,0)))</f>
        <v>0</v>
      </c>
      <c r="J343">
        <f ca="1">IF(AND(INDIRECT(A73&amp;ROW())=B95,INDIRECT(A96&amp;ROW())=C95),1,IF(AND(INDIRECT(A73&amp;ROW())=B95,INDIRECT(A96&amp;ROW())=C96),1,0))</f>
        <v>0</v>
      </c>
      <c r="K343">
        <f ca="1">DAYS360(INDIRECT(C68&amp;ROW()),TODAY())</f>
        <v>721</v>
      </c>
      <c r="L343">
        <f ca="1">DAYS360(INDIRECT(C69&amp;ROW()),TODAY())</f>
        <v>802</v>
      </c>
      <c r="M343">
        <f ca="1">HYPERLINK(CONCATENATE("https://bugzilla.houston.hp.com:1181/bugzilla/show_bug.cgi?id=",INDIRECT(C70&amp;ROW())),INDIRECT(C70&amp;ROW()))</f>
        <v>56943</v>
      </c>
      <c r="N343">
        <v>56943</v>
      </c>
      <c r="O343" t="s">
        <v>56</v>
      </c>
      <c r="P343" t="s">
        <v>629</v>
      </c>
      <c r="Q343" t="s">
        <v>16</v>
      </c>
      <c r="R343" t="s">
        <v>248</v>
      </c>
      <c r="S343" t="s">
        <v>552</v>
      </c>
      <c r="U343" s="6">
        <v>42125.446377314816</v>
      </c>
      <c r="V343" t="s">
        <v>18</v>
      </c>
      <c r="W343" t="s">
        <v>288</v>
      </c>
      <c r="X343" s="6">
        <v>42045.703252314815</v>
      </c>
      <c r="Y343" t="s">
        <v>122</v>
      </c>
      <c r="AB343" t="s">
        <v>201</v>
      </c>
      <c r="AC343" t="s">
        <v>247</v>
      </c>
      <c r="AD343" t="s">
        <v>220</v>
      </c>
      <c r="AE343" t="s">
        <v>219</v>
      </c>
      <c r="AG343" t="s">
        <v>121</v>
      </c>
      <c r="AH343" t="s">
        <v>64</v>
      </c>
      <c r="AI343" t="s">
        <v>121</v>
      </c>
      <c r="AJ343" t="s">
        <v>717</v>
      </c>
      <c r="AK343" t="s">
        <v>121</v>
      </c>
    </row>
    <row r="344" spans="9:37" x14ac:dyDescent="0.3">
      <c r="I344">
        <f ca="1">IF(OR(INDIRECT(A73&amp;ROW())=B93,INDIRECT(A73&amp;ROW())=B94),1,IF(AND(INDIRECT(A73&amp;ROW())=B95,INDIRECT(A96&amp;ROW())=C93),1,IF(AND(INDIRECT(A73&amp;ROW())=B95,INDIRECT(A96&amp;ROW())=C94),1,0)))</f>
        <v>0</v>
      </c>
      <c r="J344">
        <f ca="1">IF(AND(INDIRECT(A73&amp;ROW())=B95,INDIRECT(A96&amp;ROW())=C95),1,IF(AND(INDIRECT(A73&amp;ROW())=B95,INDIRECT(A96&amp;ROW())=C96),1,0))</f>
        <v>0</v>
      </c>
      <c r="K344">
        <f ca="1">DAYS360(INDIRECT(C68&amp;ROW()),TODAY())</f>
        <v>721</v>
      </c>
      <c r="L344">
        <f ca="1">DAYS360(INDIRECT(C69&amp;ROW()),TODAY())</f>
        <v>802</v>
      </c>
      <c r="M344">
        <f ca="1">HYPERLINK(CONCATENATE("https://bugzilla.houston.hp.com:1181/bugzilla/show_bug.cgi?id=",INDIRECT(C70&amp;ROW())),INDIRECT(C70&amp;ROW()))</f>
        <v>56946</v>
      </c>
      <c r="N344">
        <v>56946</v>
      </c>
      <c r="O344" t="s">
        <v>56</v>
      </c>
      <c r="P344" t="s">
        <v>628</v>
      </c>
      <c r="Q344" t="s">
        <v>16</v>
      </c>
      <c r="R344" t="s">
        <v>248</v>
      </c>
      <c r="S344" t="s">
        <v>552</v>
      </c>
      <c r="U344" s="6">
        <v>42125.448599537034</v>
      </c>
      <c r="V344" t="s">
        <v>18</v>
      </c>
      <c r="W344" t="s">
        <v>17</v>
      </c>
      <c r="X344" s="6">
        <v>42045.706203703703</v>
      </c>
      <c r="Y344" t="s">
        <v>122</v>
      </c>
      <c r="AB344" t="s">
        <v>201</v>
      </c>
      <c r="AC344" t="s">
        <v>247</v>
      </c>
      <c r="AD344" t="s">
        <v>220</v>
      </c>
      <c r="AE344" t="s">
        <v>219</v>
      </c>
      <c r="AG344" t="s">
        <v>121</v>
      </c>
      <c r="AH344" t="s">
        <v>327</v>
      </c>
      <c r="AI344" t="s">
        <v>121</v>
      </c>
      <c r="AJ344" t="s">
        <v>717</v>
      </c>
      <c r="AK344" t="s">
        <v>121</v>
      </c>
    </row>
    <row r="345" spans="9:37" x14ac:dyDescent="0.3">
      <c r="I345">
        <f ca="1">IF(OR(INDIRECT(A73&amp;ROW())=B93,INDIRECT(A73&amp;ROW())=B94),1,IF(AND(INDIRECT(A73&amp;ROW())=B95,INDIRECT(A96&amp;ROW())=C93),1,IF(AND(INDIRECT(A73&amp;ROW())=B95,INDIRECT(A96&amp;ROW())=C94),1,0)))</f>
        <v>0</v>
      </c>
      <c r="J345">
        <f ca="1">IF(AND(INDIRECT(A73&amp;ROW())=B95,INDIRECT(A96&amp;ROW())=C95),1,IF(AND(INDIRECT(A73&amp;ROW())=B95,INDIRECT(A96&amp;ROW())=C96),1,0))</f>
        <v>0</v>
      </c>
      <c r="K345">
        <f ca="1">DAYS360(INDIRECT(C68&amp;ROW()),TODAY())</f>
        <v>802</v>
      </c>
      <c r="L345">
        <f ca="1">DAYS360(INDIRECT(C69&amp;ROW()),TODAY())</f>
        <v>802</v>
      </c>
      <c r="M345">
        <f ca="1">HYPERLINK(CONCATENATE("https://bugzilla.houston.hp.com:1181/bugzilla/show_bug.cgi?id=",INDIRECT(C70&amp;ROW())),INDIRECT(C70&amp;ROW()))</f>
        <v>56947</v>
      </c>
      <c r="N345">
        <v>56947</v>
      </c>
      <c r="O345" t="s">
        <v>36</v>
      </c>
      <c r="P345" t="s">
        <v>627</v>
      </c>
      <c r="Q345" t="s">
        <v>16</v>
      </c>
      <c r="R345" t="s">
        <v>248</v>
      </c>
      <c r="S345" t="s">
        <v>552</v>
      </c>
      <c r="U345" s="6">
        <v>42045.708449074074</v>
      </c>
      <c r="V345" t="s">
        <v>18</v>
      </c>
      <c r="W345" t="s">
        <v>317</v>
      </c>
      <c r="X345" s="6">
        <v>42045.706493055557</v>
      </c>
      <c r="Y345" t="s">
        <v>119</v>
      </c>
      <c r="AB345" t="s">
        <v>201</v>
      </c>
      <c r="AC345" t="s">
        <v>247</v>
      </c>
      <c r="AD345" t="s">
        <v>222</v>
      </c>
      <c r="AE345" t="s">
        <v>240</v>
      </c>
      <c r="AG345" t="s">
        <v>121</v>
      </c>
      <c r="AH345" t="s">
        <v>327</v>
      </c>
      <c r="AI345" t="s">
        <v>121</v>
      </c>
      <c r="AJ345" t="s">
        <v>717</v>
      </c>
      <c r="AK345" t="s">
        <v>121</v>
      </c>
    </row>
    <row r="346" spans="9:37" x14ac:dyDescent="0.3">
      <c r="I346">
        <f ca="1">IF(OR(INDIRECT(A73&amp;ROW())=B93,INDIRECT(A73&amp;ROW())=B94),1,IF(AND(INDIRECT(A73&amp;ROW())=B95,INDIRECT(A96&amp;ROW())=C93),1,IF(AND(INDIRECT(A73&amp;ROW())=B95,INDIRECT(A96&amp;ROW())=C94),1,0)))</f>
        <v>1</v>
      </c>
      <c r="J346">
        <f ca="1">IF(AND(INDIRECT(A73&amp;ROW())=B95,INDIRECT(A96&amp;ROW())=C95),1,IF(AND(INDIRECT(A73&amp;ROW())=B95,INDIRECT(A96&amp;ROW())=C96),1,0))</f>
        <v>0</v>
      </c>
      <c r="K346">
        <f ca="1">DAYS360(INDIRECT(C68&amp;ROW()),TODAY())</f>
        <v>688</v>
      </c>
      <c r="L346">
        <f ca="1">DAYS360(INDIRECT(C69&amp;ROW()),TODAY())</f>
        <v>802</v>
      </c>
      <c r="M346">
        <f ca="1">HYPERLINK(CONCATENATE("https://bugzilla.houston.hp.com:1181/bugzilla/show_bug.cgi?id=",INDIRECT(C70&amp;ROW())),INDIRECT(C70&amp;ROW()))</f>
        <v>56948</v>
      </c>
      <c r="N346">
        <v>56948</v>
      </c>
      <c r="O346" t="s">
        <v>36</v>
      </c>
      <c r="P346" t="s">
        <v>971</v>
      </c>
      <c r="Q346" t="s">
        <v>25</v>
      </c>
      <c r="R346" t="s">
        <v>783</v>
      </c>
      <c r="S346" t="s">
        <v>552</v>
      </c>
      <c r="U346" s="6">
        <v>42159.630520833336</v>
      </c>
      <c r="V346" t="s">
        <v>18</v>
      </c>
      <c r="W346" t="s">
        <v>79</v>
      </c>
      <c r="X346" s="6">
        <v>42045.70684027778</v>
      </c>
      <c r="Y346" t="s">
        <v>119</v>
      </c>
      <c r="AB346" t="s">
        <v>200</v>
      </c>
      <c r="AC346" t="s">
        <v>121</v>
      </c>
      <c r="AD346" t="s">
        <v>222</v>
      </c>
      <c r="AE346" t="s">
        <v>225</v>
      </c>
      <c r="AG346" t="s">
        <v>121</v>
      </c>
      <c r="AH346" t="s">
        <v>327</v>
      </c>
      <c r="AI346" t="s">
        <v>121</v>
      </c>
      <c r="AJ346" t="s">
        <v>715</v>
      </c>
      <c r="AK346" t="s">
        <v>121</v>
      </c>
    </row>
    <row r="347" spans="9:37" x14ac:dyDescent="0.3">
      <c r="I347">
        <f ca="1">IF(OR(INDIRECT(A73&amp;ROW())=B93,INDIRECT(A73&amp;ROW())=B94),1,IF(AND(INDIRECT(A73&amp;ROW())=B95,INDIRECT(A96&amp;ROW())=C93),1,IF(AND(INDIRECT(A73&amp;ROW())=B95,INDIRECT(A96&amp;ROW())=C94),1,0)))</f>
        <v>0</v>
      </c>
      <c r="J347">
        <f ca="1">IF(AND(INDIRECT(A73&amp;ROW())=B95,INDIRECT(A96&amp;ROW())=C95),1,IF(AND(INDIRECT(A73&amp;ROW())=B95,INDIRECT(A96&amp;ROW())=C96),1,0))</f>
        <v>0</v>
      </c>
      <c r="K347">
        <f ca="1">DAYS360(INDIRECT(C68&amp;ROW()),TODAY())</f>
        <v>731</v>
      </c>
      <c r="L347">
        <f ca="1">DAYS360(INDIRECT(C69&amp;ROW()),TODAY())</f>
        <v>802</v>
      </c>
      <c r="M347">
        <f ca="1">HYPERLINK(CONCATENATE("https://bugzilla.houston.hp.com:1181/bugzilla/show_bug.cgi?id=",INDIRECT(C70&amp;ROW())),INDIRECT(C70&amp;ROW()))</f>
        <v>56949</v>
      </c>
      <c r="N347">
        <v>56949</v>
      </c>
      <c r="O347" t="s">
        <v>36</v>
      </c>
      <c r="P347" t="s">
        <v>970</v>
      </c>
      <c r="Q347" t="s">
        <v>16</v>
      </c>
      <c r="R347" t="s">
        <v>783</v>
      </c>
      <c r="S347" t="s">
        <v>552</v>
      </c>
      <c r="U347" s="6">
        <v>42115.643750000003</v>
      </c>
      <c r="V347" t="s">
        <v>18</v>
      </c>
      <c r="W347" t="s">
        <v>258</v>
      </c>
      <c r="X347" s="6">
        <v>42045.707291666666</v>
      </c>
      <c r="Y347" t="s">
        <v>120</v>
      </c>
      <c r="AB347" t="s">
        <v>200</v>
      </c>
      <c r="AC347" t="s">
        <v>121</v>
      </c>
      <c r="AD347" t="s">
        <v>222</v>
      </c>
      <c r="AE347" t="s">
        <v>240</v>
      </c>
      <c r="AG347" t="s">
        <v>121</v>
      </c>
      <c r="AH347" t="s">
        <v>64</v>
      </c>
      <c r="AI347" t="s">
        <v>121</v>
      </c>
      <c r="AJ347" t="s">
        <v>716</v>
      </c>
      <c r="AK347" t="s">
        <v>121</v>
      </c>
    </row>
    <row r="348" spans="9:37" x14ac:dyDescent="0.3">
      <c r="I348">
        <f ca="1">IF(OR(INDIRECT(A73&amp;ROW())=B93,INDIRECT(A73&amp;ROW())=B94),1,IF(AND(INDIRECT(A73&amp;ROW())=B95,INDIRECT(A96&amp;ROW())=C93),1,IF(AND(INDIRECT(A73&amp;ROW())=B95,INDIRECT(A96&amp;ROW())=C94),1,0)))</f>
        <v>0</v>
      </c>
      <c r="J348">
        <f ca="1">IF(AND(INDIRECT(A73&amp;ROW())=B95,INDIRECT(A96&amp;ROW())=C95),1,IF(AND(INDIRECT(A73&amp;ROW())=B95,INDIRECT(A96&amp;ROW())=C96),1,0))</f>
        <v>0</v>
      </c>
      <c r="K348">
        <f ca="1">DAYS360(INDIRECT(C68&amp;ROW()),TODAY())</f>
        <v>688</v>
      </c>
      <c r="L348">
        <f ca="1">DAYS360(INDIRECT(C69&amp;ROW()),TODAY())</f>
        <v>802</v>
      </c>
      <c r="M348">
        <f ca="1">HYPERLINK(CONCATENATE("https://bugzilla.houston.hp.com:1181/bugzilla/show_bug.cgi?id=",INDIRECT(C70&amp;ROW())),INDIRECT(C70&amp;ROW()))</f>
        <v>56950</v>
      </c>
      <c r="N348">
        <v>56950</v>
      </c>
      <c r="O348" t="s">
        <v>56</v>
      </c>
      <c r="P348" t="s">
        <v>969</v>
      </c>
      <c r="Q348" t="s">
        <v>16</v>
      </c>
      <c r="R348" t="s">
        <v>783</v>
      </c>
      <c r="S348" t="s">
        <v>552</v>
      </c>
      <c r="U348" s="6">
        <v>42159.63140046296</v>
      </c>
      <c r="V348" t="s">
        <v>18</v>
      </c>
      <c r="W348" t="s">
        <v>260</v>
      </c>
      <c r="X348" s="6">
        <v>42045.707592592589</v>
      </c>
      <c r="Y348" t="s">
        <v>793</v>
      </c>
      <c r="AB348" t="s">
        <v>201</v>
      </c>
      <c r="AC348" t="s">
        <v>247</v>
      </c>
      <c r="AD348" t="s">
        <v>220</v>
      </c>
      <c r="AE348" t="s">
        <v>219</v>
      </c>
      <c r="AG348" t="s">
        <v>121</v>
      </c>
      <c r="AH348" t="s">
        <v>64</v>
      </c>
      <c r="AI348" t="s">
        <v>121</v>
      </c>
      <c r="AJ348" t="s">
        <v>717</v>
      </c>
      <c r="AK348" t="s">
        <v>121</v>
      </c>
    </row>
    <row r="349" spans="9:37" x14ac:dyDescent="0.3">
      <c r="I349">
        <f ca="1">IF(OR(INDIRECT(A73&amp;ROW())=B93,INDIRECT(A73&amp;ROW())=B94),1,IF(AND(INDIRECT(A73&amp;ROW())=B95,INDIRECT(A96&amp;ROW())=C93),1,IF(AND(INDIRECT(A73&amp;ROW())=B95,INDIRECT(A96&amp;ROW())=C94),1,0)))</f>
        <v>0</v>
      </c>
      <c r="J349">
        <f ca="1">IF(AND(INDIRECT(A73&amp;ROW())=B95,INDIRECT(A96&amp;ROW())=C95),1,IF(AND(INDIRECT(A73&amp;ROW())=B95,INDIRECT(A96&amp;ROW())=C96),1,0))</f>
        <v>0</v>
      </c>
      <c r="K349">
        <f ca="1">DAYS360(INDIRECT(C68&amp;ROW()),TODAY())</f>
        <v>731</v>
      </c>
      <c r="L349">
        <f ca="1">DAYS360(INDIRECT(C69&amp;ROW()),TODAY())</f>
        <v>802</v>
      </c>
      <c r="M349">
        <f ca="1">HYPERLINK(CONCATENATE("https://bugzilla.houston.hp.com:1181/bugzilla/show_bug.cgi?id=",INDIRECT(C70&amp;ROW())),INDIRECT(C70&amp;ROW()))</f>
        <v>56951</v>
      </c>
      <c r="N349">
        <v>56951</v>
      </c>
      <c r="O349" t="s">
        <v>56</v>
      </c>
      <c r="P349" t="s">
        <v>968</v>
      </c>
      <c r="Q349" t="s">
        <v>16</v>
      </c>
      <c r="R349" t="s">
        <v>783</v>
      </c>
      <c r="S349" t="s">
        <v>552</v>
      </c>
      <c r="U349" s="6">
        <v>42115.830393518518</v>
      </c>
      <c r="V349" t="s">
        <v>18</v>
      </c>
      <c r="W349" t="s">
        <v>17</v>
      </c>
      <c r="X349" s="6">
        <v>42045.707916666666</v>
      </c>
      <c r="Y349" t="s">
        <v>786</v>
      </c>
      <c r="AB349" t="s">
        <v>200</v>
      </c>
      <c r="AC349" t="s">
        <v>247</v>
      </c>
      <c r="AD349" t="s">
        <v>220</v>
      </c>
      <c r="AE349" t="s">
        <v>219</v>
      </c>
      <c r="AG349" t="s">
        <v>121</v>
      </c>
      <c r="AH349" t="s">
        <v>327</v>
      </c>
      <c r="AI349" t="s">
        <v>121</v>
      </c>
      <c r="AJ349" t="s">
        <v>716</v>
      </c>
      <c r="AK349" t="s">
        <v>121</v>
      </c>
    </row>
    <row r="350" spans="9:37" x14ac:dyDescent="0.3">
      <c r="I350">
        <f ca="1">IF(OR(INDIRECT(A73&amp;ROW())=B93,INDIRECT(A73&amp;ROW())=B94),1,IF(AND(INDIRECT(A73&amp;ROW())=B95,INDIRECT(A96&amp;ROW())=C93),1,IF(AND(INDIRECT(A73&amp;ROW())=B95,INDIRECT(A96&amp;ROW())=C94),1,0)))</f>
        <v>0</v>
      </c>
      <c r="J350">
        <f ca="1">IF(AND(INDIRECT(A73&amp;ROW())=B95,INDIRECT(A96&amp;ROW())=C95),1,IF(AND(INDIRECT(A73&amp;ROW())=B95,INDIRECT(A96&amp;ROW())=C96),1,0))</f>
        <v>0</v>
      </c>
      <c r="K350">
        <f ca="1">DAYS360(INDIRECT(C68&amp;ROW()),TODAY())</f>
        <v>731</v>
      </c>
      <c r="L350">
        <f ca="1">DAYS360(INDIRECT(C69&amp;ROW()),TODAY())</f>
        <v>802</v>
      </c>
      <c r="M350">
        <f ca="1">HYPERLINK(CONCATENATE("https://bugzilla.houston.hp.com:1181/bugzilla/show_bug.cgi?id=",INDIRECT(C70&amp;ROW())),INDIRECT(C70&amp;ROW()))</f>
        <v>56952</v>
      </c>
      <c r="N350">
        <v>56952</v>
      </c>
      <c r="O350" t="s">
        <v>36</v>
      </c>
      <c r="P350" t="s">
        <v>967</v>
      </c>
      <c r="Q350" t="s">
        <v>16</v>
      </c>
      <c r="R350" t="s">
        <v>783</v>
      </c>
      <c r="S350" t="s">
        <v>552</v>
      </c>
      <c r="U350" s="6">
        <v>42115.664293981485</v>
      </c>
      <c r="V350" t="s">
        <v>18</v>
      </c>
      <c r="W350" t="s">
        <v>257</v>
      </c>
      <c r="X350" s="6">
        <v>42045.709467592591</v>
      </c>
      <c r="Y350" t="s">
        <v>122</v>
      </c>
      <c r="AB350" t="s">
        <v>200</v>
      </c>
      <c r="AC350" t="s">
        <v>121</v>
      </c>
      <c r="AD350" t="s">
        <v>227</v>
      </c>
      <c r="AE350" t="s">
        <v>226</v>
      </c>
      <c r="AG350" t="s">
        <v>121</v>
      </c>
      <c r="AH350" t="s">
        <v>64</v>
      </c>
      <c r="AI350" t="s">
        <v>121</v>
      </c>
      <c r="AJ350" t="s">
        <v>716</v>
      </c>
      <c r="AK350" t="s">
        <v>121</v>
      </c>
    </row>
    <row r="351" spans="9:37" x14ac:dyDescent="0.3">
      <c r="I351">
        <f ca="1">IF(OR(INDIRECT(A73&amp;ROW())=B93,INDIRECT(A73&amp;ROW())=B94),1,IF(AND(INDIRECT(A73&amp;ROW())=B95,INDIRECT(A96&amp;ROW())=C93),1,IF(AND(INDIRECT(A73&amp;ROW())=B95,INDIRECT(A96&amp;ROW())=C94),1,0)))</f>
        <v>0</v>
      </c>
      <c r="J351">
        <f ca="1">IF(AND(INDIRECT(A73&amp;ROW())=B95,INDIRECT(A96&amp;ROW())=C95),1,IF(AND(INDIRECT(A73&amp;ROW())=B95,INDIRECT(A96&amp;ROW())=C96),1,0))</f>
        <v>0</v>
      </c>
      <c r="K351">
        <f ca="1">DAYS360(INDIRECT(C68&amp;ROW()),TODAY())</f>
        <v>721</v>
      </c>
      <c r="L351">
        <f ca="1">DAYS360(INDIRECT(C69&amp;ROW()),TODAY())</f>
        <v>802</v>
      </c>
      <c r="M351">
        <f ca="1">HYPERLINK(CONCATENATE("https://bugzilla.houston.hp.com:1181/bugzilla/show_bug.cgi?id=",INDIRECT(C70&amp;ROW())),INDIRECT(C70&amp;ROW()))</f>
        <v>56954</v>
      </c>
      <c r="N351">
        <v>56954</v>
      </c>
      <c r="O351" t="s">
        <v>56</v>
      </c>
      <c r="P351" t="s">
        <v>621</v>
      </c>
      <c r="Q351" t="s">
        <v>16</v>
      </c>
      <c r="R351" t="s">
        <v>248</v>
      </c>
      <c r="S351" t="s">
        <v>552</v>
      </c>
      <c r="U351" s="6">
        <v>42125.450914351852</v>
      </c>
      <c r="V351" t="s">
        <v>18</v>
      </c>
      <c r="W351" t="s">
        <v>372</v>
      </c>
      <c r="X351" s="6">
        <v>42045.895844907405</v>
      </c>
      <c r="Y351" t="s">
        <v>122</v>
      </c>
      <c r="AB351" t="s">
        <v>200</v>
      </c>
      <c r="AC351" t="s">
        <v>247</v>
      </c>
      <c r="AD351" t="s">
        <v>220</v>
      </c>
      <c r="AE351" t="s">
        <v>219</v>
      </c>
      <c r="AG351" t="s">
        <v>121</v>
      </c>
      <c r="AH351" t="s">
        <v>327</v>
      </c>
      <c r="AI351" t="s">
        <v>121</v>
      </c>
      <c r="AJ351" t="s">
        <v>716</v>
      </c>
      <c r="AK351" t="s">
        <v>121</v>
      </c>
    </row>
    <row r="352" spans="9:37" x14ac:dyDescent="0.3">
      <c r="I352">
        <f ca="1">IF(OR(INDIRECT(A73&amp;ROW())=B93,INDIRECT(A73&amp;ROW())=B94),1,IF(AND(INDIRECT(A73&amp;ROW())=B95,INDIRECT(A96&amp;ROW())=C93),1,IF(AND(INDIRECT(A73&amp;ROW())=B95,INDIRECT(A96&amp;ROW())=C94),1,0)))</f>
        <v>0</v>
      </c>
      <c r="J352">
        <f ca="1">IF(AND(INDIRECT(A73&amp;ROW())=B95,INDIRECT(A96&amp;ROW())=C95),1,IF(AND(INDIRECT(A73&amp;ROW())=B95,INDIRECT(A96&amp;ROW())=C96),1,0))</f>
        <v>0</v>
      </c>
      <c r="K352">
        <f ca="1">DAYS360(INDIRECT(C68&amp;ROW()),TODAY())</f>
        <v>802</v>
      </c>
      <c r="L352">
        <f ca="1">DAYS360(INDIRECT(C69&amp;ROW()),TODAY())</f>
        <v>802</v>
      </c>
      <c r="M352">
        <f ca="1">HYPERLINK(CONCATENATE("https://bugzilla.houston.hp.com:1181/bugzilla/show_bug.cgi?id=",INDIRECT(C70&amp;ROW())),INDIRECT(C70&amp;ROW()))</f>
        <v>56955</v>
      </c>
      <c r="N352">
        <v>56955</v>
      </c>
      <c r="O352" t="s">
        <v>36</v>
      </c>
      <c r="P352" t="s">
        <v>620</v>
      </c>
      <c r="Q352" t="s">
        <v>16</v>
      </c>
      <c r="R352" t="s">
        <v>248</v>
      </c>
      <c r="S352" t="s">
        <v>552</v>
      </c>
      <c r="U352" s="6">
        <v>42045.940196759257</v>
      </c>
      <c r="V352" t="s">
        <v>18</v>
      </c>
      <c r="W352" t="s">
        <v>372</v>
      </c>
      <c r="X352" s="6">
        <v>42045.89640046296</v>
      </c>
      <c r="Y352" t="s">
        <v>787</v>
      </c>
      <c r="AB352" t="s">
        <v>200</v>
      </c>
      <c r="AC352" t="s">
        <v>247</v>
      </c>
      <c r="AD352" t="s">
        <v>227</v>
      </c>
      <c r="AE352" t="s">
        <v>237</v>
      </c>
      <c r="AG352" t="s">
        <v>121</v>
      </c>
      <c r="AH352" t="s">
        <v>327</v>
      </c>
      <c r="AI352" t="s">
        <v>121</v>
      </c>
      <c r="AJ352" t="s">
        <v>716</v>
      </c>
      <c r="AK352" t="s">
        <v>121</v>
      </c>
    </row>
    <row r="353" spans="9:37" x14ac:dyDescent="0.3">
      <c r="I353">
        <f ca="1">IF(OR(INDIRECT(A73&amp;ROW())=B93,INDIRECT(A73&amp;ROW())=B94),1,IF(AND(INDIRECT(A73&amp;ROW())=B95,INDIRECT(A96&amp;ROW())=C93),1,IF(AND(INDIRECT(A73&amp;ROW())=B95,INDIRECT(A96&amp;ROW())=C94),1,0)))</f>
        <v>0</v>
      </c>
      <c r="J353">
        <f ca="1">IF(AND(INDIRECT(A73&amp;ROW())=B95,INDIRECT(A96&amp;ROW())=C95),1,IF(AND(INDIRECT(A73&amp;ROW())=B95,INDIRECT(A96&amp;ROW())=C96),1,0))</f>
        <v>0</v>
      </c>
      <c r="K353">
        <f ca="1">DAYS360(INDIRECT(C68&amp;ROW()),TODAY())</f>
        <v>802</v>
      </c>
      <c r="L353">
        <f ca="1">DAYS360(INDIRECT(C69&amp;ROW()),TODAY())</f>
        <v>802</v>
      </c>
      <c r="M353">
        <f ca="1">HYPERLINK(CONCATENATE("https://bugzilla.houston.hp.com:1181/bugzilla/show_bug.cgi?id=",INDIRECT(C70&amp;ROW())),INDIRECT(C70&amp;ROW()))</f>
        <v>56957</v>
      </c>
      <c r="N353">
        <v>56957</v>
      </c>
      <c r="O353" t="s">
        <v>56</v>
      </c>
      <c r="P353" t="s">
        <v>619</v>
      </c>
      <c r="Q353" t="s">
        <v>16</v>
      </c>
      <c r="R353" t="s">
        <v>248</v>
      </c>
      <c r="S353" t="s">
        <v>552</v>
      </c>
      <c r="U353" s="6">
        <v>42045.940879629627</v>
      </c>
      <c r="V353" t="s">
        <v>18</v>
      </c>
      <c r="W353" t="s">
        <v>248</v>
      </c>
      <c r="X353" s="6">
        <v>42045.898831018516</v>
      </c>
      <c r="Y353" t="s">
        <v>124</v>
      </c>
      <c r="AB353" t="s">
        <v>200</v>
      </c>
      <c r="AC353" t="s">
        <v>247</v>
      </c>
      <c r="AD353" t="s">
        <v>220</v>
      </c>
      <c r="AE353" t="s">
        <v>219</v>
      </c>
      <c r="AG353" t="s">
        <v>121</v>
      </c>
      <c r="AH353" t="s">
        <v>327</v>
      </c>
      <c r="AI353" t="s">
        <v>121</v>
      </c>
      <c r="AJ353" t="s">
        <v>716</v>
      </c>
      <c r="AK353" t="s">
        <v>121</v>
      </c>
    </row>
    <row r="354" spans="9:37" x14ac:dyDescent="0.3">
      <c r="I354">
        <f ca="1">IF(OR(INDIRECT(A73&amp;ROW())=B93,INDIRECT(A73&amp;ROW())=B94),1,IF(AND(INDIRECT(A73&amp;ROW())=B95,INDIRECT(A96&amp;ROW())=C93),1,IF(AND(INDIRECT(A73&amp;ROW())=B95,INDIRECT(A96&amp;ROW())=C94),1,0)))</f>
        <v>0</v>
      </c>
      <c r="J354">
        <f ca="1">IF(AND(INDIRECT(A73&amp;ROW())=B95,INDIRECT(A96&amp;ROW())=C95),1,IF(AND(INDIRECT(A73&amp;ROW())=B95,INDIRECT(A96&amp;ROW())=C96),1,0))</f>
        <v>0</v>
      </c>
      <c r="K354">
        <f ca="1">DAYS360(INDIRECT(C68&amp;ROW()),TODAY())</f>
        <v>802</v>
      </c>
      <c r="L354">
        <f ca="1">DAYS360(INDIRECT(C69&amp;ROW()),TODAY())</f>
        <v>802</v>
      </c>
      <c r="M354">
        <f ca="1">HYPERLINK(CONCATENATE("https://bugzilla.houston.hp.com:1181/bugzilla/show_bug.cgi?id=",INDIRECT(C70&amp;ROW())),INDIRECT(C70&amp;ROW()))</f>
        <v>56960</v>
      </c>
      <c r="N354">
        <v>56960</v>
      </c>
      <c r="O354" t="s">
        <v>36</v>
      </c>
      <c r="P354" t="s">
        <v>618</v>
      </c>
      <c r="Q354" t="s">
        <v>16</v>
      </c>
      <c r="R354" t="s">
        <v>248</v>
      </c>
      <c r="S354" t="s">
        <v>552</v>
      </c>
      <c r="U354" s="6">
        <v>42045.943298611113</v>
      </c>
      <c r="V354" t="s">
        <v>18</v>
      </c>
      <c r="W354" t="s">
        <v>372</v>
      </c>
      <c r="X354" s="6">
        <v>42045.904224537036</v>
      </c>
      <c r="Y354" t="s">
        <v>245</v>
      </c>
      <c r="AB354" t="s">
        <v>200</v>
      </c>
      <c r="AC354" t="s">
        <v>247</v>
      </c>
      <c r="AD354" t="s">
        <v>222</v>
      </c>
      <c r="AE354" t="s">
        <v>225</v>
      </c>
      <c r="AG354" t="s">
        <v>121</v>
      </c>
      <c r="AH354" t="s">
        <v>327</v>
      </c>
      <c r="AI354" t="s">
        <v>121</v>
      </c>
      <c r="AJ354" t="s">
        <v>717</v>
      </c>
      <c r="AK354" t="s">
        <v>121</v>
      </c>
    </row>
    <row r="355" spans="9:37" x14ac:dyDescent="0.3">
      <c r="I355">
        <f ca="1">IF(OR(INDIRECT(A73&amp;ROW())=B93,INDIRECT(A73&amp;ROW())=B94),1,IF(AND(INDIRECT(A73&amp;ROW())=B95,INDIRECT(A96&amp;ROW())=C93),1,IF(AND(INDIRECT(A73&amp;ROW())=B95,INDIRECT(A96&amp;ROW())=C94),1,0)))</f>
        <v>0</v>
      </c>
      <c r="J355">
        <f ca="1">IF(AND(INDIRECT(A73&amp;ROW())=B95,INDIRECT(A96&amp;ROW())=C95),1,IF(AND(INDIRECT(A73&amp;ROW())=B95,INDIRECT(A96&amp;ROW())=C96),1,0))</f>
        <v>0</v>
      </c>
      <c r="K355">
        <f ca="1">DAYS360(INDIRECT(C68&amp;ROW()),TODAY())</f>
        <v>721</v>
      </c>
      <c r="L355">
        <f ca="1">DAYS360(INDIRECT(C69&amp;ROW()),TODAY())</f>
        <v>802</v>
      </c>
      <c r="M355">
        <f ca="1">HYPERLINK(CONCATENATE("https://bugzilla.houston.hp.com:1181/bugzilla/show_bug.cgi?id=",INDIRECT(C70&amp;ROW())),INDIRECT(C70&amp;ROW()))</f>
        <v>56964</v>
      </c>
      <c r="N355">
        <v>56964</v>
      </c>
      <c r="O355" t="s">
        <v>250</v>
      </c>
      <c r="P355" t="s">
        <v>617</v>
      </c>
      <c r="Q355" t="s">
        <v>16</v>
      </c>
      <c r="R355" t="s">
        <v>248</v>
      </c>
      <c r="S355" t="s">
        <v>552</v>
      </c>
      <c r="U355" s="6">
        <v>42125.674618055556</v>
      </c>
      <c r="V355" t="s">
        <v>18</v>
      </c>
      <c r="W355" t="s">
        <v>17</v>
      </c>
      <c r="X355" s="6">
        <v>42045.907905092594</v>
      </c>
      <c r="Y355" t="s">
        <v>255</v>
      </c>
      <c r="AB355" t="s">
        <v>200</v>
      </c>
      <c r="AC355" t="s">
        <v>247</v>
      </c>
      <c r="AD355" t="s">
        <v>220</v>
      </c>
      <c r="AE355" t="s">
        <v>243</v>
      </c>
      <c r="AG355" t="s">
        <v>121</v>
      </c>
      <c r="AH355" t="s">
        <v>327</v>
      </c>
      <c r="AI355" t="s">
        <v>121</v>
      </c>
      <c r="AJ355" t="s">
        <v>716</v>
      </c>
      <c r="AK355" t="s">
        <v>121</v>
      </c>
    </row>
    <row r="356" spans="9:37" x14ac:dyDescent="0.3">
      <c r="I356">
        <f ca="1">IF(OR(INDIRECT(A73&amp;ROW())=B93,INDIRECT(A73&amp;ROW())=B94),1,IF(AND(INDIRECT(A73&amp;ROW())=B95,INDIRECT(A96&amp;ROW())=C93),1,IF(AND(INDIRECT(A73&amp;ROW())=B95,INDIRECT(A96&amp;ROW())=C94),1,0)))</f>
        <v>0</v>
      </c>
      <c r="J356">
        <f ca="1">IF(AND(INDIRECT(A73&amp;ROW())=B95,INDIRECT(A96&amp;ROW())=C95),1,IF(AND(INDIRECT(A73&amp;ROW())=B95,INDIRECT(A96&amp;ROW())=C96),1,0))</f>
        <v>0</v>
      </c>
      <c r="K356">
        <f ca="1">DAYS360(INDIRECT(C68&amp;ROW()),TODAY())</f>
        <v>721</v>
      </c>
      <c r="L356">
        <f ca="1">DAYS360(INDIRECT(C69&amp;ROW()),TODAY())</f>
        <v>802</v>
      </c>
      <c r="M356">
        <f ca="1">HYPERLINK(CONCATENATE("https://bugzilla.houston.hp.com:1181/bugzilla/show_bug.cgi?id=",INDIRECT(C70&amp;ROW())),INDIRECT(C70&amp;ROW()))</f>
        <v>56965</v>
      </c>
      <c r="N356">
        <v>56965</v>
      </c>
      <c r="O356" t="s">
        <v>21</v>
      </c>
      <c r="P356" t="s">
        <v>616</v>
      </c>
      <c r="Q356" t="s">
        <v>16</v>
      </c>
      <c r="R356" t="s">
        <v>248</v>
      </c>
      <c r="S356" t="s">
        <v>552</v>
      </c>
      <c r="U356" s="6">
        <v>42125.672951388886</v>
      </c>
      <c r="V356" t="s">
        <v>18</v>
      </c>
      <c r="W356" t="s">
        <v>372</v>
      </c>
      <c r="X356" s="6">
        <v>42045.909050925926</v>
      </c>
      <c r="Y356" t="s">
        <v>255</v>
      </c>
      <c r="AB356" t="s">
        <v>200</v>
      </c>
      <c r="AC356" t="s">
        <v>247</v>
      </c>
      <c r="AD356" t="s">
        <v>222</v>
      </c>
      <c r="AE356" t="s">
        <v>240</v>
      </c>
      <c r="AG356" t="s">
        <v>121</v>
      </c>
      <c r="AH356" t="s">
        <v>327</v>
      </c>
      <c r="AI356" t="s">
        <v>121</v>
      </c>
      <c r="AJ356" t="s">
        <v>716</v>
      </c>
      <c r="AK356" t="s">
        <v>121</v>
      </c>
    </row>
    <row r="357" spans="9:37" x14ac:dyDescent="0.3">
      <c r="I357">
        <f ca="1">IF(OR(INDIRECT(A73&amp;ROW())=B93,INDIRECT(A73&amp;ROW())=B94),1,IF(AND(INDIRECT(A73&amp;ROW())=B95,INDIRECT(A96&amp;ROW())=C93),1,IF(AND(INDIRECT(A73&amp;ROW())=B95,INDIRECT(A96&amp;ROW())=C94),1,0)))</f>
        <v>0</v>
      </c>
      <c r="J357">
        <f ca="1">IF(AND(INDIRECT(A73&amp;ROW())=B95,INDIRECT(A96&amp;ROW())=C95),1,IF(AND(INDIRECT(A73&amp;ROW())=B95,INDIRECT(A96&amp;ROW())=C96),1,0))</f>
        <v>0</v>
      </c>
      <c r="K357">
        <f ca="1">DAYS360(INDIRECT(C68&amp;ROW()),TODAY())</f>
        <v>721</v>
      </c>
      <c r="L357">
        <f ca="1">DAYS360(INDIRECT(C69&amp;ROW()),TODAY())</f>
        <v>802</v>
      </c>
      <c r="M357">
        <f ca="1">HYPERLINK(CONCATENATE("https://bugzilla.houston.hp.com:1181/bugzilla/show_bug.cgi?id=",INDIRECT(C70&amp;ROW())),INDIRECT(C70&amp;ROW()))</f>
        <v>56966</v>
      </c>
      <c r="N357">
        <v>56966</v>
      </c>
      <c r="O357" t="s">
        <v>59</v>
      </c>
      <c r="P357" t="s">
        <v>507</v>
      </c>
      <c r="Q357" t="s">
        <v>16</v>
      </c>
      <c r="R357" t="s">
        <v>248</v>
      </c>
      <c r="S357" t="s">
        <v>552</v>
      </c>
      <c r="U357" s="6">
        <v>42125.664664351854</v>
      </c>
      <c r="V357" t="s">
        <v>18</v>
      </c>
      <c r="W357" t="s">
        <v>258</v>
      </c>
      <c r="X357" s="6">
        <v>42045.910405092596</v>
      </c>
      <c r="Y357" t="s">
        <v>122</v>
      </c>
      <c r="AB357" t="s">
        <v>201</v>
      </c>
      <c r="AC357" t="s">
        <v>247</v>
      </c>
      <c r="AD357" t="s">
        <v>222</v>
      </c>
      <c r="AE357" t="s">
        <v>240</v>
      </c>
      <c r="AG357" t="s">
        <v>121</v>
      </c>
      <c r="AH357" t="s">
        <v>327</v>
      </c>
      <c r="AI357" t="s">
        <v>121</v>
      </c>
      <c r="AJ357" t="s">
        <v>717</v>
      </c>
      <c r="AK357" t="s">
        <v>121</v>
      </c>
    </row>
    <row r="358" spans="9:37" x14ac:dyDescent="0.3">
      <c r="I358">
        <f ca="1">IF(OR(INDIRECT(A73&amp;ROW())=B93,INDIRECT(A73&amp;ROW())=B94),1,IF(AND(INDIRECT(A73&amp;ROW())=B95,INDIRECT(A96&amp;ROW())=C93),1,IF(AND(INDIRECT(A73&amp;ROW())=B95,INDIRECT(A96&amp;ROW())=C94),1,0)))</f>
        <v>0</v>
      </c>
      <c r="J358">
        <f ca="1">IF(AND(INDIRECT(A73&amp;ROW())=B95,INDIRECT(A96&amp;ROW())=C95),1,IF(AND(INDIRECT(A73&amp;ROW())=B95,INDIRECT(A96&amp;ROW())=C96),1,0))</f>
        <v>0</v>
      </c>
      <c r="K358">
        <f ca="1">DAYS360(INDIRECT(C68&amp;ROW()),TODAY())</f>
        <v>721</v>
      </c>
      <c r="L358">
        <f ca="1">DAYS360(INDIRECT(C69&amp;ROW()),TODAY())</f>
        <v>802</v>
      </c>
      <c r="M358">
        <f ca="1">HYPERLINK(CONCATENATE("https://bugzilla.houston.hp.com:1181/bugzilla/show_bug.cgi?id=",INDIRECT(C70&amp;ROW())),INDIRECT(C70&amp;ROW()))</f>
        <v>56967</v>
      </c>
      <c r="N358">
        <v>56967</v>
      </c>
      <c r="O358" t="s">
        <v>56</v>
      </c>
      <c r="P358" t="s">
        <v>615</v>
      </c>
      <c r="Q358" t="s">
        <v>16</v>
      </c>
      <c r="R358" t="s">
        <v>248</v>
      </c>
      <c r="S358" t="s">
        <v>552</v>
      </c>
      <c r="U358" s="6">
        <v>42125.449629629627</v>
      </c>
      <c r="V358" t="s">
        <v>18</v>
      </c>
      <c r="W358" t="s">
        <v>343</v>
      </c>
      <c r="X358" s="6">
        <v>42045.912534722222</v>
      </c>
      <c r="Y358" t="s">
        <v>122</v>
      </c>
      <c r="AB358" t="s">
        <v>201</v>
      </c>
      <c r="AC358" t="s">
        <v>247</v>
      </c>
      <c r="AD358" t="s">
        <v>220</v>
      </c>
      <c r="AE358" t="s">
        <v>219</v>
      </c>
      <c r="AG358" t="s">
        <v>121</v>
      </c>
      <c r="AH358" t="s">
        <v>327</v>
      </c>
      <c r="AI358" t="s">
        <v>121</v>
      </c>
      <c r="AJ358" t="s">
        <v>717</v>
      </c>
      <c r="AK358" t="s">
        <v>121</v>
      </c>
    </row>
    <row r="359" spans="9:37" x14ac:dyDescent="0.3">
      <c r="I359">
        <f ca="1">IF(OR(INDIRECT(A73&amp;ROW())=B93,INDIRECT(A73&amp;ROW())=B94),1,IF(AND(INDIRECT(A73&amp;ROW())=B95,INDIRECT(A96&amp;ROW())=C93),1,IF(AND(INDIRECT(A73&amp;ROW())=B95,INDIRECT(A96&amp;ROW())=C94),1,0)))</f>
        <v>0</v>
      </c>
      <c r="J359">
        <f ca="1">IF(AND(INDIRECT(A73&amp;ROW())=B95,INDIRECT(A96&amp;ROW())=C95),1,IF(AND(INDIRECT(A73&amp;ROW())=B95,INDIRECT(A96&amp;ROW())=C96),1,0))</f>
        <v>0</v>
      </c>
      <c r="K359">
        <f ca="1">DAYS360(INDIRECT(C68&amp;ROW()),TODAY())</f>
        <v>802</v>
      </c>
      <c r="L359">
        <f ca="1">DAYS360(INDIRECT(C69&amp;ROW()),TODAY())</f>
        <v>802</v>
      </c>
      <c r="M359">
        <f ca="1">HYPERLINK(CONCATENATE("https://bugzilla.houston.hp.com:1181/bugzilla/show_bug.cgi?id=",INDIRECT(C70&amp;ROW())),INDIRECT(C70&amp;ROW()))</f>
        <v>56968</v>
      </c>
      <c r="N359">
        <v>56968</v>
      </c>
      <c r="O359" t="s">
        <v>36</v>
      </c>
      <c r="P359" t="s">
        <v>614</v>
      </c>
      <c r="Q359" t="s">
        <v>16</v>
      </c>
      <c r="R359" t="s">
        <v>248</v>
      </c>
      <c r="S359" t="s">
        <v>552</v>
      </c>
      <c r="U359" s="6">
        <v>42045.968078703707</v>
      </c>
      <c r="V359" t="s">
        <v>18</v>
      </c>
      <c r="W359" t="s">
        <v>341</v>
      </c>
      <c r="X359" s="6">
        <v>42045.915069444447</v>
      </c>
      <c r="Y359" t="s">
        <v>787</v>
      </c>
      <c r="AB359" t="s">
        <v>199</v>
      </c>
      <c r="AC359" t="s">
        <v>247</v>
      </c>
      <c r="AD359" t="s">
        <v>220</v>
      </c>
      <c r="AE359" t="s">
        <v>243</v>
      </c>
      <c r="AG359" t="s">
        <v>588</v>
      </c>
      <c r="AH359" t="s">
        <v>327</v>
      </c>
      <c r="AI359" t="s">
        <v>121</v>
      </c>
      <c r="AJ359" t="s">
        <v>716</v>
      </c>
      <c r="AK359" t="s">
        <v>121</v>
      </c>
    </row>
    <row r="360" spans="9:37" x14ac:dyDescent="0.3">
      <c r="I360">
        <f ca="1">IF(OR(INDIRECT(A73&amp;ROW())=B93,INDIRECT(A73&amp;ROW())=B94),1,IF(AND(INDIRECT(A73&amp;ROW())=B95,INDIRECT(A96&amp;ROW())=C93),1,IF(AND(INDIRECT(A73&amp;ROW())=B95,INDIRECT(A96&amp;ROW())=C94),1,0)))</f>
        <v>0</v>
      </c>
      <c r="J360">
        <f ca="1">IF(AND(INDIRECT(A73&amp;ROW())=B95,INDIRECT(A96&amp;ROW())=C95),1,IF(AND(INDIRECT(A73&amp;ROW())=B95,INDIRECT(A96&amp;ROW())=C96),1,0))</f>
        <v>0</v>
      </c>
      <c r="K360">
        <f ca="1">DAYS360(INDIRECT(C68&amp;ROW()),TODAY())</f>
        <v>721</v>
      </c>
      <c r="L360">
        <f ca="1">DAYS360(INDIRECT(C69&amp;ROW()),TODAY())</f>
        <v>802</v>
      </c>
      <c r="M360">
        <f ca="1">HYPERLINK(CONCATENATE("https://bugzilla.houston.hp.com:1181/bugzilla/show_bug.cgi?id=",INDIRECT(C70&amp;ROW())),INDIRECT(C70&amp;ROW()))</f>
        <v>56969</v>
      </c>
      <c r="N360">
        <v>56969</v>
      </c>
      <c r="O360" t="s">
        <v>56</v>
      </c>
      <c r="P360" t="s">
        <v>613</v>
      </c>
      <c r="Q360" t="s">
        <v>16</v>
      </c>
      <c r="R360" t="s">
        <v>248</v>
      </c>
      <c r="S360" t="s">
        <v>552</v>
      </c>
      <c r="U360" s="6">
        <v>42125.449675925927</v>
      </c>
      <c r="V360" t="s">
        <v>18</v>
      </c>
      <c r="W360" t="s">
        <v>372</v>
      </c>
      <c r="X360" s="6">
        <v>42045.918634259258</v>
      </c>
      <c r="Y360" t="s">
        <v>122</v>
      </c>
      <c r="AB360" t="s">
        <v>200</v>
      </c>
      <c r="AC360" t="s">
        <v>247</v>
      </c>
      <c r="AD360" t="s">
        <v>220</v>
      </c>
      <c r="AE360" t="s">
        <v>219</v>
      </c>
      <c r="AG360" t="s">
        <v>121</v>
      </c>
      <c r="AH360" t="s">
        <v>327</v>
      </c>
      <c r="AI360" t="s">
        <v>121</v>
      </c>
      <c r="AJ360" t="s">
        <v>716</v>
      </c>
      <c r="AK360" t="s">
        <v>121</v>
      </c>
    </row>
    <row r="361" spans="9:37" x14ac:dyDescent="0.3">
      <c r="I361">
        <f ca="1">IF(OR(INDIRECT(A73&amp;ROW())=B93,INDIRECT(A73&amp;ROW())=B94),1,IF(AND(INDIRECT(A73&amp;ROW())=B95,INDIRECT(A96&amp;ROW())=C93),1,IF(AND(INDIRECT(A73&amp;ROW())=B95,INDIRECT(A96&amp;ROW())=C94),1,0)))</f>
        <v>0</v>
      </c>
      <c r="J361">
        <f ca="1">IF(AND(INDIRECT(A73&amp;ROW())=B95,INDIRECT(A96&amp;ROW())=C95),1,IF(AND(INDIRECT(A73&amp;ROW())=B95,INDIRECT(A96&amp;ROW())=C96),1,0))</f>
        <v>0</v>
      </c>
      <c r="K361">
        <f ca="1">DAYS360(INDIRECT(C68&amp;ROW()),TODAY())</f>
        <v>802</v>
      </c>
      <c r="L361">
        <f ca="1">DAYS360(INDIRECT(C69&amp;ROW()),TODAY())</f>
        <v>802</v>
      </c>
      <c r="M361">
        <f ca="1">HYPERLINK(CONCATENATE("https://bugzilla.houston.hp.com:1181/bugzilla/show_bug.cgi?id=",INDIRECT(C70&amp;ROW())),INDIRECT(C70&amp;ROW()))</f>
        <v>56987</v>
      </c>
      <c r="N361">
        <v>56987</v>
      </c>
      <c r="O361" t="s">
        <v>36</v>
      </c>
      <c r="P361" t="s">
        <v>612</v>
      </c>
      <c r="Q361" t="s">
        <v>16</v>
      </c>
      <c r="R361" t="s">
        <v>248</v>
      </c>
      <c r="S361" t="s">
        <v>552</v>
      </c>
      <c r="U361" s="6">
        <v>42045.957476851851</v>
      </c>
      <c r="V361" t="s">
        <v>18</v>
      </c>
      <c r="W361" t="s">
        <v>372</v>
      </c>
      <c r="X361" s="6">
        <v>42045.956643518519</v>
      </c>
      <c r="Y361" t="s">
        <v>119</v>
      </c>
      <c r="AB361" t="s">
        <v>199</v>
      </c>
      <c r="AC361" t="s">
        <v>247</v>
      </c>
      <c r="AD361" t="s">
        <v>220</v>
      </c>
      <c r="AE361" t="s">
        <v>243</v>
      </c>
      <c r="AG361" t="s">
        <v>121</v>
      </c>
      <c r="AH361" t="s">
        <v>327</v>
      </c>
      <c r="AI361" t="s">
        <v>121</v>
      </c>
      <c r="AJ361" t="s">
        <v>716</v>
      </c>
      <c r="AK361" t="s">
        <v>121</v>
      </c>
    </row>
    <row r="362" spans="9:37" x14ac:dyDescent="0.3">
      <c r="I362">
        <f ca="1">IF(OR(INDIRECT(A73&amp;ROW())=B93,INDIRECT(A73&amp;ROW())=B94),1,IF(AND(INDIRECT(A73&amp;ROW())=B95,INDIRECT(A96&amp;ROW())=C93),1,IF(AND(INDIRECT(A73&amp;ROW())=B95,INDIRECT(A96&amp;ROW())=C94),1,0)))</f>
        <v>0</v>
      </c>
      <c r="J362">
        <f ca="1">IF(AND(INDIRECT(A73&amp;ROW())=B95,INDIRECT(A96&amp;ROW())=C95),1,IF(AND(INDIRECT(A73&amp;ROW())=B95,INDIRECT(A96&amp;ROW())=C96),1,0))</f>
        <v>0</v>
      </c>
      <c r="K362">
        <f ca="1">DAYS360(INDIRECT(C68&amp;ROW()),TODAY())</f>
        <v>721</v>
      </c>
      <c r="L362">
        <f ca="1">DAYS360(INDIRECT(C69&amp;ROW()),TODAY())</f>
        <v>801</v>
      </c>
      <c r="M362">
        <f ca="1">HYPERLINK(CONCATENATE("https://bugzilla.houston.hp.com:1181/bugzilla/show_bug.cgi?id=",INDIRECT(C70&amp;ROW())),INDIRECT(C70&amp;ROW()))</f>
        <v>56993</v>
      </c>
      <c r="N362">
        <v>56993</v>
      </c>
      <c r="O362" t="s">
        <v>36</v>
      </c>
      <c r="P362" t="s">
        <v>611</v>
      </c>
      <c r="Q362" t="s">
        <v>16</v>
      </c>
      <c r="R362" t="s">
        <v>248</v>
      </c>
      <c r="S362" t="s">
        <v>552</v>
      </c>
      <c r="U362" s="6">
        <v>42125.443865740737</v>
      </c>
      <c r="V362" t="s">
        <v>18</v>
      </c>
      <c r="W362" t="s">
        <v>211</v>
      </c>
      <c r="X362" s="6">
        <v>42046.006435185183</v>
      </c>
      <c r="Y362" t="s">
        <v>122</v>
      </c>
      <c r="AB362" t="s">
        <v>201</v>
      </c>
      <c r="AC362" t="s">
        <v>121</v>
      </c>
      <c r="AD362" t="s">
        <v>222</v>
      </c>
      <c r="AE362" t="s">
        <v>233</v>
      </c>
      <c r="AG362" t="s">
        <v>121</v>
      </c>
      <c r="AH362" t="s">
        <v>64</v>
      </c>
      <c r="AI362" t="s">
        <v>121</v>
      </c>
      <c r="AJ362" t="s">
        <v>717</v>
      </c>
      <c r="AK362" t="s">
        <v>121</v>
      </c>
    </row>
    <row r="363" spans="9:37" x14ac:dyDescent="0.3">
      <c r="I363">
        <f ca="1">IF(OR(INDIRECT(A73&amp;ROW())=B93,INDIRECT(A73&amp;ROW())=B94),1,IF(AND(INDIRECT(A73&amp;ROW())=B95,INDIRECT(A96&amp;ROW())=C93),1,IF(AND(INDIRECT(A73&amp;ROW())=B95,INDIRECT(A96&amp;ROW())=C94),1,0)))</f>
        <v>0</v>
      </c>
      <c r="J363">
        <f ca="1">IF(AND(INDIRECT(A73&amp;ROW())=B95,INDIRECT(A96&amp;ROW())=C95),1,IF(AND(INDIRECT(A73&amp;ROW())=B95,INDIRECT(A96&amp;ROW())=C96),1,0))</f>
        <v>0</v>
      </c>
      <c r="K363">
        <f ca="1">DAYS360(INDIRECT(C68&amp;ROW()),TODAY())</f>
        <v>729</v>
      </c>
      <c r="L363">
        <f ca="1">DAYS360(INDIRECT(C69&amp;ROW()),TODAY())</f>
        <v>801</v>
      </c>
      <c r="M363">
        <f ca="1">HYPERLINK(CONCATENATE("https://bugzilla.houston.hp.com:1181/bugzilla/show_bug.cgi?id=",INDIRECT(C70&amp;ROW())),INDIRECT(C70&amp;ROW()))</f>
        <v>57016</v>
      </c>
      <c r="N363">
        <v>57016</v>
      </c>
      <c r="O363" t="s">
        <v>241</v>
      </c>
      <c r="P363" t="s">
        <v>737</v>
      </c>
      <c r="Q363" t="s">
        <v>16</v>
      </c>
      <c r="R363" t="s">
        <v>251</v>
      </c>
      <c r="S363" t="s">
        <v>523</v>
      </c>
      <c r="U363" s="6">
        <v>42117.405578703707</v>
      </c>
      <c r="V363" t="s">
        <v>18</v>
      </c>
      <c r="W363" t="s">
        <v>17</v>
      </c>
      <c r="X363" s="6">
        <v>42046.158449074072</v>
      </c>
      <c r="Y363" t="s">
        <v>119</v>
      </c>
      <c r="AB363" t="s">
        <v>200</v>
      </c>
      <c r="AC363" t="s">
        <v>247</v>
      </c>
      <c r="AD363" t="s">
        <v>227</v>
      </c>
      <c r="AE363" t="s">
        <v>226</v>
      </c>
      <c r="AG363" t="s">
        <v>121</v>
      </c>
      <c r="AH363" t="s">
        <v>327</v>
      </c>
      <c r="AI363" t="s">
        <v>121</v>
      </c>
      <c r="AJ363" t="s">
        <v>716</v>
      </c>
      <c r="AK363" t="s">
        <v>121</v>
      </c>
    </row>
    <row r="364" spans="9:37" x14ac:dyDescent="0.3">
      <c r="I364">
        <f ca="1">IF(OR(INDIRECT(A73&amp;ROW())=B93,INDIRECT(A73&amp;ROW())=B94),1,IF(AND(INDIRECT(A73&amp;ROW())=B95,INDIRECT(A96&amp;ROW())=C93),1,IF(AND(INDIRECT(A73&amp;ROW())=B95,INDIRECT(A96&amp;ROW())=C94),1,0)))</f>
        <v>0</v>
      </c>
      <c r="J364">
        <f ca="1">IF(AND(INDIRECT(A73&amp;ROW())=B95,INDIRECT(A96&amp;ROW())=C95),1,IF(AND(INDIRECT(A73&amp;ROW())=B95,INDIRECT(A96&amp;ROW())=C96),1,0))</f>
        <v>0</v>
      </c>
      <c r="K364">
        <f ca="1">DAYS360(INDIRECT(C68&amp;ROW()),TODAY())</f>
        <v>792</v>
      </c>
      <c r="L364">
        <f ca="1">DAYS360(INDIRECT(C69&amp;ROW()),TODAY())</f>
        <v>801</v>
      </c>
      <c r="M364">
        <f ca="1">HYPERLINK(CONCATENATE("https://bugzilla.houston.hp.com:1181/bugzilla/show_bug.cgi?id=",INDIRECT(C70&amp;ROW())),INDIRECT(C70&amp;ROW()))</f>
        <v>57043</v>
      </c>
      <c r="N364">
        <v>57043</v>
      </c>
      <c r="O364" t="s">
        <v>241</v>
      </c>
      <c r="P364" t="s">
        <v>736</v>
      </c>
      <c r="Q364" t="s">
        <v>16</v>
      </c>
      <c r="R364" t="s">
        <v>248</v>
      </c>
      <c r="S364" t="s">
        <v>552</v>
      </c>
      <c r="U364" s="6">
        <v>42055.65824074074</v>
      </c>
      <c r="V364" t="s">
        <v>18</v>
      </c>
      <c r="W364" t="s">
        <v>576</v>
      </c>
      <c r="X364" s="6">
        <v>42046.50708333333</v>
      </c>
      <c r="Y364" t="s">
        <v>119</v>
      </c>
      <c r="AB364" t="s">
        <v>200</v>
      </c>
      <c r="AC364" t="s">
        <v>247</v>
      </c>
      <c r="AD364" t="s">
        <v>227</v>
      </c>
      <c r="AE364" t="s">
        <v>226</v>
      </c>
      <c r="AG364" t="s">
        <v>121</v>
      </c>
      <c r="AH364" t="s">
        <v>327</v>
      </c>
      <c r="AI364" t="s">
        <v>121</v>
      </c>
      <c r="AJ364" t="s">
        <v>716</v>
      </c>
      <c r="AK364" t="s">
        <v>121</v>
      </c>
    </row>
    <row r="365" spans="9:37" x14ac:dyDescent="0.3">
      <c r="I365">
        <f ca="1">IF(OR(INDIRECT(A73&amp;ROW())=B93,INDIRECT(A73&amp;ROW())=B94),1,IF(AND(INDIRECT(A73&amp;ROW())=B95,INDIRECT(A96&amp;ROW())=C93),1,IF(AND(INDIRECT(A73&amp;ROW())=B95,INDIRECT(A96&amp;ROW())=C94),1,0)))</f>
        <v>0</v>
      </c>
      <c r="J365">
        <f ca="1">IF(AND(INDIRECT(A73&amp;ROW())=B95,INDIRECT(A96&amp;ROW())=C95),1,IF(AND(INDIRECT(A73&amp;ROW())=B95,INDIRECT(A96&amp;ROW())=C96),1,0))</f>
        <v>0</v>
      </c>
      <c r="K365">
        <f ca="1">DAYS360(INDIRECT(C68&amp;ROW()),TODAY())</f>
        <v>801</v>
      </c>
      <c r="L365">
        <f ca="1">DAYS360(INDIRECT(C69&amp;ROW()),TODAY())</f>
        <v>801</v>
      </c>
      <c r="M365">
        <f ca="1">HYPERLINK(CONCATENATE("https://bugzilla.houston.hp.com:1181/bugzilla/show_bug.cgi?id=",INDIRECT(C70&amp;ROW())),INDIRECT(C70&amp;ROW()))</f>
        <v>57044</v>
      </c>
      <c r="N365">
        <v>57044</v>
      </c>
      <c r="O365" t="s">
        <v>56</v>
      </c>
      <c r="P365" t="s">
        <v>735</v>
      </c>
      <c r="Q365" t="s">
        <v>16</v>
      </c>
      <c r="R365" t="s">
        <v>248</v>
      </c>
      <c r="S365" t="s">
        <v>552</v>
      </c>
      <c r="U365" s="6">
        <v>42046.507962962962</v>
      </c>
      <c r="V365" t="s">
        <v>18</v>
      </c>
      <c r="W365" t="s">
        <v>173</v>
      </c>
      <c r="X365" s="6">
        <v>42046.507372685184</v>
      </c>
      <c r="Y365" t="s">
        <v>122</v>
      </c>
      <c r="AB365" t="s">
        <v>201</v>
      </c>
      <c r="AC365" t="s">
        <v>247</v>
      </c>
      <c r="AD365" t="s">
        <v>220</v>
      </c>
      <c r="AE365" t="s">
        <v>219</v>
      </c>
      <c r="AG365" t="s">
        <v>121</v>
      </c>
      <c r="AH365" t="s">
        <v>327</v>
      </c>
      <c r="AI365" t="s">
        <v>121</v>
      </c>
      <c r="AJ365" t="s">
        <v>717</v>
      </c>
      <c r="AK365" t="s">
        <v>121</v>
      </c>
    </row>
    <row r="366" spans="9:37" x14ac:dyDescent="0.3">
      <c r="I366">
        <f ca="1">IF(OR(INDIRECT(A73&amp;ROW())=B93,INDIRECT(A73&amp;ROW())=B94),1,IF(AND(INDIRECT(A73&amp;ROW())=B95,INDIRECT(A96&amp;ROW())=C93),1,IF(AND(INDIRECT(A73&amp;ROW())=B95,INDIRECT(A96&amp;ROW())=C94),1,0)))</f>
        <v>0</v>
      </c>
      <c r="J366">
        <f ca="1">IF(AND(INDIRECT(A73&amp;ROW())=B95,INDIRECT(A96&amp;ROW())=C95),1,IF(AND(INDIRECT(A73&amp;ROW())=B95,INDIRECT(A96&amp;ROW())=C96),1,0))</f>
        <v>1</v>
      </c>
      <c r="K366">
        <f ca="1">DAYS360(INDIRECT(C68&amp;ROW()),TODAY())</f>
        <v>778</v>
      </c>
      <c r="L366">
        <f ca="1">DAYS360(INDIRECT(C69&amp;ROW()),TODAY())</f>
        <v>801</v>
      </c>
      <c r="M366">
        <f ca="1">HYPERLINK(CONCATENATE("https://bugzilla.houston.hp.com:1181/bugzilla/show_bug.cgi?id=",INDIRECT(C70&amp;ROW())),INDIRECT(C70&amp;ROW()))</f>
        <v>57045</v>
      </c>
      <c r="N366">
        <v>57045</v>
      </c>
      <c r="O366" t="s">
        <v>36</v>
      </c>
      <c r="P366" t="s">
        <v>734</v>
      </c>
      <c r="Q366" t="s">
        <v>25</v>
      </c>
      <c r="R366" t="s">
        <v>248</v>
      </c>
      <c r="S366" t="s">
        <v>552</v>
      </c>
      <c r="U366" s="6">
        <v>42067.503865740742</v>
      </c>
      <c r="V366" t="s">
        <v>18</v>
      </c>
      <c r="W366" t="s">
        <v>514</v>
      </c>
      <c r="X366" s="6">
        <v>42046.528171296297</v>
      </c>
      <c r="Y366" t="s">
        <v>535</v>
      </c>
      <c r="AB366" t="s">
        <v>201</v>
      </c>
      <c r="AC366" t="s">
        <v>247</v>
      </c>
      <c r="AD366" t="s">
        <v>220</v>
      </c>
      <c r="AE366" t="s">
        <v>243</v>
      </c>
      <c r="AG366" t="s">
        <v>121</v>
      </c>
      <c r="AH366" t="s">
        <v>327</v>
      </c>
      <c r="AI366" t="s">
        <v>121</v>
      </c>
      <c r="AJ366" t="s">
        <v>716</v>
      </c>
      <c r="AK366" t="s">
        <v>121</v>
      </c>
    </row>
    <row r="367" spans="9:37" x14ac:dyDescent="0.3">
      <c r="I367">
        <f ca="1">IF(OR(INDIRECT(A73&amp;ROW())=B93,INDIRECT(A73&amp;ROW())=B94),1,IF(AND(INDIRECT(A73&amp;ROW())=B95,INDIRECT(A96&amp;ROW())=C93),1,IF(AND(INDIRECT(A73&amp;ROW())=B95,INDIRECT(A96&amp;ROW())=C94),1,0)))</f>
        <v>0</v>
      </c>
      <c r="J367">
        <f ca="1">IF(AND(INDIRECT(A73&amp;ROW())=B95,INDIRECT(A96&amp;ROW())=C95),1,IF(AND(INDIRECT(A73&amp;ROW())=B95,INDIRECT(A96&amp;ROW())=C96),1,0))</f>
        <v>1</v>
      </c>
      <c r="K367">
        <f ca="1">DAYS360(INDIRECT(C68&amp;ROW()),TODAY())</f>
        <v>801</v>
      </c>
      <c r="L367">
        <f ca="1">DAYS360(INDIRECT(C69&amp;ROW()),TODAY())</f>
        <v>801</v>
      </c>
      <c r="M367">
        <f ca="1">HYPERLINK(CONCATENATE("https://bugzilla.houston.hp.com:1181/bugzilla/show_bug.cgi?id=",INDIRECT(C70&amp;ROW())),INDIRECT(C70&amp;ROW()))</f>
        <v>57048</v>
      </c>
      <c r="N367">
        <v>57048</v>
      </c>
      <c r="O367" t="s">
        <v>36</v>
      </c>
      <c r="P367" t="s">
        <v>733</v>
      </c>
      <c r="Q367" t="s">
        <v>25</v>
      </c>
      <c r="R367" t="s">
        <v>248</v>
      </c>
      <c r="S367" t="s">
        <v>552</v>
      </c>
      <c r="U367" s="6">
        <v>42046.538124999999</v>
      </c>
      <c r="V367" t="s">
        <v>18</v>
      </c>
      <c r="W367" t="s">
        <v>525</v>
      </c>
      <c r="X367" s="6">
        <v>42046.529097222221</v>
      </c>
      <c r="Y367" t="s">
        <v>255</v>
      </c>
      <c r="AB367" t="s">
        <v>201</v>
      </c>
      <c r="AC367" t="s">
        <v>247</v>
      </c>
      <c r="AD367" t="s">
        <v>220</v>
      </c>
      <c r="AE367" t="s">
        <v>243</v>
      </c>
      <c r="AG367" t="s">
        <v>121</v>
      </c>
      <c r="AH367" t="s">
        <v>327</v>
      </c>
      <c r="AI367" t="s">
        <v>121</v>
      </c>
      <c r="AJ367" t="s">
        <v>716</v>
      </c>
      <c r="AK367" t="s">
        <v>121</v>
      </c>
    </row>
    <row r="368" spans="9:37" x14ac:dyDescent="0.3">
      <c r="I368">
        <f ca="1">IF(OR(INDIRECT(A73&amp;ROW())=B93,INDIRECT(A73&amp;ROW())=B94),1,IF(AND(INDIRECT(A73&amp;ROW())=B95,INDIRECT(A96&amp;ROW())=C93),1,IF(AND(INDIRECT(A73&amp;ROW())=B95,INDIRECT(A96&amp;ROW())=C94),1,0)))</f>
        <v>0</v>
      </c>
      <c r="J368">
        <f ca="1">IF(AND(INDIRECT(A73&amp;ROW())=B95,INDIRECT(A96&amp;ROW())=C95),1,IF(AND(INDIRECT(A73&amp;ROW())=B95,INDIRECT(A96&amp;ROW())=C96),1,0))</f>
        <v>0</v>
      </c>
      <c r="K368">
        <f ca="1">DAYS360(INDIRECT(C68&amp;ROW()),TODAY())</f>
        <v>801</v>
      </c>
      <c r="L368">
        <f ca="1">DAYS360(INDIRECT(C69&amp;ROW()),TODAY())</f>
        <v>801</v>
      </c>
      <c r="M368">
        <f ca="1">HYPERLINK(CONCATENATE("https://bugzilla.houston.hp.com:1181/bugzilla/show_bug.cgi?id=",INDIRECT(C70&amp;ROW())),INDIRECT(C70&amp;ROW()))</f>
        <v>57050</v>
      </c>
      <c r="N368">
        <v>57050</v>
      </c>
      <c r="O368" t="s">
        <v>36</v>
      </c>
      <c r="P368" t="s">
        <v>732</v>
      </c>
      <c r="Q368" t="s">
        <v>16</v>
      </c>
      <c r="R368" t="s">
        <v>248</v>
      </c>
      <c r="S368" t="s">
        <v>552</v>
      </c>
      <c r="U368" s="6">
        <v>42046.538854166669</v>
      </c>
      <c r="V368" t="s">
        <v>18</v>
      </c>
      <c r="W368" t="s">
        <v>248</v>
      </c>
      <c r="X368" s="6">
        <v>42046.529687499999</v>
      </c>
      <c r="Y368" t="s">
        <v>786</v>
      </c>
      <c r="AB368" t="s">
        <v>201</v>
      </c>
      <c r="AC368" t="s">
        <v>247</v>
      </c>
      <c r="AD368" t="s">
        <v>227</v>
      </c>
      <c r="AE368" t="s">
        <v>226</v>
      </c>
      <c r="AG368" t="s">
        <v>121</v>
      </c>
      <c r="AH368" t="s">
        <v>327</v>
      </c>
      <c r="AI368" t="s">
        <v>121</v>
      </c>
      <c r="AJ368" t="s">
        <v>717</v>
      </c>
      <c r="AK368" t="s">
        <v>121</v>
      </c>
    </row>
    <row r="369" spans="9:37" x14ac:dyDescent="0.3">
      <c r="I369">
        <f ca="1">IF(OR(INDIRECT(A73&amp;ROW())=B93,INDIRECT(A73&amp;ROW())=B94),1,IF(AND(INDIRECT(A73&amp;ROW())=B95,INDIRECT(A96&amp;ROW())=C93),1,IF(AND(INDIRECT(A73&amp;ROW())=B95,INDIRECT(A96&amp;ROW())=C94),1,0)))</f>
        <v>0</v>
      </c>
      <c r="J369">
        <f ca="1">IF(AND(INDIRECT(A73&amp;ROW())=B95,INDIRECT(A96&amp;ROW())=C95),1,IF(AND(INDIRECT(A73&amp;ROW())=B95,INDIRECT(A96&amp;ROW())=C96),1,0))</f>
        <v>0</v>
      </c>
      <c r="K369">
        <f ca="1">DAYS360(INDIRECT(C68&amp;ROW()),TODAY())</f>
        <v>769</v>
      </c>
      <c r="L369">
        <f ca="1">DAYS360(INDIRECT(C69&amp;ROW()),TODAY())</f>
        <v>801</v>
      </c>
      <c r="M369">
        <f ca="1">HYPERLINK(CONCATENATE("https://bugzilla.houston.hp.com:1181/bugzilla/show_bug.cgi?id=",INDIRECT(C70&amp;ROW())),INDIRECT(C70&amp;ROW()))</f>
        <v>57052</v>
      </c>
      <c r="N369">
        <v>57052</v>
      </c>
      <c r="O369" t="s">
        <v>56</v>
      </c>
      <c r="P369" t="s">
        <v>731</v>
      </c>
      <c r="Q369" t="s">
        <v>16</v>
      </c>
      <c r="R369" t="s">
        <v>248</v>
      </c>
      <c r="S369" t="s">
        <v>552</v>
      </c>
      <c r="U369" s="6">
        <v>42076.532280092593</v>
      </c>
      <c r="V369" t="s">
        <v>18</v>
      </c>
      <c r="W369" t="s">
        <v>248</v>
      </c>
      <c r="X369" s="6">
        <v>42046.530289351853</v>
      </c>
      <c r="Y369" t="s">
        <v>118</v>
      </c>
      <c r="AB369" t="s">
        <v>199</v>
      </c>
      <c r="AC369" t="s">
        <v>247</v>
      </c>
      <c r="AD369" t="s">
        <v>220</v>
      </c>
      <c r="AE369" t="s">
        <v>219</v>
      </c>
      <c r="AG369" t="s">
        <v>121</v>
      </c>
      <c r="AH369" t="s">
        <v>327</v>
      </c>
      <c r="AI369" t="s">
        <v>121</v>
      </c>
      <c r="AJ369" t="s">
        <v>716</v>
      </c>
      <c r="AK369" t="s">
        <v>121</v>
      </c>
    </row>
    <row r="370" spans="9:37" x14ac:dyDescent="0.3">
      <c r="I370">
        <f ca="1">IF(OR(INDIRECT(A73&amp;ROW())=B93,INDIRECT(A73&amp;ROW())=B94),1,IF(AND(INDIRECT(A73&amp;ROW())=B95,INDIRECT(A96&amp;ROW())=C93),1,IF(AND(INDIRECT(A73&amp;ROW())=B95,INDIRECT(A96&amp;ROW())=C94),1,0)))</f>
        <v>0</v>
      </c>
      <c r="J370">
        <f ca="1">IF(AND(INDIRECT(A73&amp;ROW())=B95,INDIRECT(A96&amp;ROW())=C95),1,IF(AND(INDIRECT(A73&amp;ROW())=B95,INDIRECT(A96&amp;ROW())=C96),1,0))</f>
        <v>0</v>
      </c>
      <c r="K370">
        <f ca="1">DAYS360(INDIRECT(C68&amp;ROW()),TODAY())</f>
        <v>801</v>
      </c>
      <c r="L370">
        <f ca="1">DAYS360(INDIRECT(C69&amp;ROW()),TODAY())</f>
        <v>801</v>
      </c>
      <c r="M370">
        <f ca="1">HYPERLINK(CONCATENATE("https://bugzilla.houston.hp.com:1181/bugzilla/show_bug.cgi?id=",INDIRECT(C70&amp;ROW())),INDIRECT(C70&amp;ROW()))</f>
        <v>57054</v>
      </c>
      <c r="N370">
        <v>57054</v>
      </c>
      <c r="O370" t="s">
        <v>56</v>
      </c>
      <c r="P370" t="s">
        <v>730</v>
      </c>
      <c r="Q370" t="s">
        <v>16</v>
      </c>
      <c r="R370" t="s">
        <v>248</v>
      </c>
      <c r="S370" t="s">
        <v>552</v>
      </c>
      <c r="U370" s="6">
        <v>42046.54010416667</v>
      </c>
      <c r="V370" t="s">
        <v>18</v>
      </c>
      <c r="W370" t="s">
        <v>343</v>
      </c>
      <c r="X370" s="6">
        <v>42046.532210648147</v>
      </c>
      <c r="Y370" t="s">
        <v>246</v>
      </c>
      <c r="AB370" t="s">
        <v>200</v>
      </c>
      <c r="AC370" t="s">
        <v>247</v>
      </c>
      <c r="AD370" t="s">
        <v>220</v>
      </c>
      <c r="AE370" t="s">
        <v>219</v>
      </c>
      <c r="AG370" t="s">
        <v>121</v>
      </c>
      <c r="AH370" t="s">
        <v>327</v>
      </c>
      <c r="AI370" t="s">
        <v>121</v>
      </c>
      <c r="AJ370" t="s">
        <v>716</v>
      </c>
      <c r="AK370" t="s">
        <v>121</v>
      </c>
    </row>
    <row r="371" spans="9:37" x14ac:dyDescent="0.3">
      <c r="I371">
        <f ca="1">IF(OR(INDIRECT(A73&amp;ROW())=B93,INDIRECT(A73&amp;ROW())=B94),1,IF(AND(INDIRECT(A73&amp;ROW())=B95,INDIRECT(A96&amp;ROW())=C93),1,IF(AND(INDIRECT(A73&amp;ROW())=B95,INDIRECT(A96&amp;ROW())=C94),1,0)))</f>
        <v>0</v>
      </c>
      <c r="J371">
        <f ca="1">IF(AND(INDIRECT(A73&amp;ROW())=B95,INDIRECT(A96&amp;ROW())=C95),1,IF(AND(INDIRECT(A73&amp;ROW())=B95,INDIRECT(A96&amp;ROW())=C96),1,0))</f>
        <v>1</v>
      </c>
      <c r="K371">
        <f ca="1">DAYS360(INDIRECT(C68&amp;ROW()),TODAY())</f>
        <v>801</v>
      </c>
      <c r="L371">
        <f ca="1">DAYS360(INDIRECT(C69&amp;ROW()),TODAY())</f>
        <v>801</v>
      </c>
      <c r="M371">
        <f ca="1">HYPERLINK(CONCATENATE("https://bugzilla.houston.hp.com:1181/bugzilla/show_bug.cgi?id=",INDIRECT(C70&amp;ROW())),INDIRECT(C70&amp;ROW()))</f>
        <v>57055</v>
      </c>
      <c r="N371">
        <v>57055</v>
      </c>
      <c r="O371" t="s">
        <v>56</v>
      </c>
      <c r="P371" t="s">
        <v>729</v>
      </c>
      <c r="Q371" t="s">
        <v>25</v>
      </c>
      <c r="R371" t="s">
        <v>248</v>
      </c>
      <c r="S371" t="s">
        <v>552</v>
      </c>
      <c r="U371" s="6">
        <v>42046.577997685185</v>
      </c>
      <c r="V371" t="s">
        <v>18</v>
      </c>
      <c r="W371" t="s">
        <v>288</v>
      </c>
      <c r="X371" s="6">
        <v>42046.533553240741</v>
      </c>
      <c r="Y371" t="s">
        <v>119</v>
      </c>
      <c r="AB371" t="s">
        <v>201</v>
      </c>
      <c r="AC371" t="s">
        <v>121</v>
      </c>
      <c r="AD371" t="s">
        <v>220</v>
      </c>
      <c r="AE371" t="s">
        <v>219</v>
      </c>
      <c r="AF371" s="13">
        <v>41901</v>
      </c>
      <c r="AG371" t="s">
        <v>121</v>
      </c>
      <c r="AH371" t="s">
        <v>64</v>
      </c>
      <c r="AI371" t="s">
        <v>363</v>
      </c>
      <c r="AJ371" t="s">
        <v>716</v>
      </c>
      <c r="AK371" t="s">
        <v>121</v>
      </c>
    </row>
    <row r="372" spans="9:37" x14ac:dyDescent="0.3">
      <c r="I372">
        <f ca="1">IF(OR(INDIRECT(A73&amp;ROW())=B93,INDIRECT(A73&amp;ROW())=B94),1,IF(AND(INDIRECT(A73&amp;ROW())=B95,INDIRECT(A96&amp;ROW())=C93),1,IF(AND(INDIRECT(A73&amp;ROW())=B95,INDIRECT(A96&amp;ROW())=C94),1,0)))</f>
        <v>1</v>
      </c>
      <c r="J372">
        <f ca="1">IF(AND(INDIRECT(A73&amp;ROW())=B95,INDIRECT(A96&amp;ROW())=C95),1,IF(AND(INDIRECT(A73&amp;ROW())=B95,INDIRECT(A96&amp;ROW())=C96),1,0))</f>
        <v>0</v>
      </c>
      <c r="K372">
        <f ca="1">DAYS360(INDIRECT(C68&amp;ROW()),TODAY())</f>
        <v>800</v>
      </c>
      <c r="L372">
        <f ca="1">DAYS360(INDIRECT(C69&amp;ROW()),TODAY())</f>
        <v>801</v>
      </c>
      <c r="M372">
        <f ca="1">HYPERLINK(CONCATENATE("https://bugzilla.houston.hp.com:1181/bugzilla/show_bug.cgi?id=",INDIRECT(C70&amp;ROW())),INDIRECT(C70&amp;ROW()))</f>
        <v>57057</v>
      </c>
      <c r="N372">
        <v>57057</v>
      </c>
      <c r="O372" t="s">
        <v>36</v>
      </c>
      <c r="P372" t="s">
        <v>728</v>
      </c>
      <c r="Q372" t="s">
        <v>25</v>
      </c>
      <c r="R372" t="s">
        <v>248</v>
      </c>
      <c r="S372" t="s">
        <v>552</v>
      </c>
      <c r="U372" s="6">
        <v>42047.953125</v>
      </c>
      <c r="V372" t="s">
        <v>18</v>
      </c>
      <c r="W372" t="s">
        <v>260</v>
      </c>
      <c r="X372" s="6">
        <v>42046.534212962964</v>
      </c>
      <c r="Y372" t="s">
        <v>119</v>
      </c>
      <c r="AB372" t="s">
        <v>200</v>
      </c>
      <c r="AC372" t="s">
        <v>121</v>
      </c>
      <c r="AD372" t="s">
        <v>222</v>
      </c>
      <c r="AE372" t="s">
        <v>233</v>
      </c>
      <c r="AF372" s="13">
        <v>41878</v>
      </c>
      <c r="AG372" t="s">
        <v>121</v>
      </c>
      <c r="AH372" t="s">
        <v>64</v>
      </c>
      <c r="AI372" t="s">
        <v>362</v>
      </c>
      <c r="AJ372" t="s">
        <v>715</v>
      </c>
      <c r="AK372" t="s">
        <v>121</v>
      </c>
    </row>
    <row r="373" spans="9:37" x14ac:dyDescent="0.3">
      <c r="I373">
        <f ca="1">IF(OR(INDIRECT(A73&amp;ROW())=B93,INDIRECT(A73&amp;ROW())=B94),1,IF(AND(INDIRECT(A73&amp;ROW())=B95,INDIRECT(A96&amp;ROW())=C93),1,IF(AND(INDIRECT(A73&amp;ROW())=B95,INDIRECT(A96&amp;ROW())=C94),1,0)))</f>
        <v>0</v>
      </c>
      <c r="J373">
        <f ca="1">IF(AND(INDIRECT(A73&amp;ROW())=B95,INDIRECT(A96&amp;ROW())=C95),1,IF(AND(INDIRECT(A73&amp;ROW())=B95,INDIRECT(A96&amp;ROW())=C96),1,0))</f>
        <v>0</v>
      </c>
      <c r="K373">
        <f ca="1">DAYS360(INDIRECT(C68&amp;ROW()),TODAY())</f>
        <v>721</v>
      </c>
      <c r="L373">
        <f ca="1">DAYS360(INDIRECT(C69&amp;ROW()),TODAY())</f>
        <v>801</v>
      </c>
      <c r="M373">
        <f ca="1">HYPERLINK(CONCATENATE("https://bugzilla.houston.hp.com:1181/bugzilla/show_bug.cgi?id=",INDIRECT(C70&amp;ROW())),INDIRECT(C70&amp;ROW()))</f>
        <v>57058</v>
      </c>
      <c r="N373">
        <v>57058</v>
      </c>
      <c r="O373" t="s">
        <v>56</v>
      </c>
      <c r="P373" t="s">
        <v>727</v>
      </c>
      <c r="Q373" t="s">
        <v>16</v>
      </c>
      <c r="R373" t="s">
        <v>248</v>
      </c>
      <c r="S373" t="s">
        <v>552</v>
      </c>
      <c r="U373" s="6">
        <v>42125.447685185187</v>
      </c>
      <c r="V373" t="s">
        <v>18</v>
      </c>
      <c r="W373" t="s">
        <v>343</v>
      </c>
      <c r="X373" s="6">
        <v>42046.534537037034</v>
      </c>
      <c r="Y373" t="s">
        <v>122</v>
      </c>
      <c r="AB373" t="s">
        <v>201</v>
      </c>
      <c r="AC373" t="s">
        <v>247</v>
      </c>
      <c r="AD373" t="s">
        <v>220</v>
      </c>
      <c r="AE373" t="s">
        <v>219</v>
      </c>
      <c r="AG373" t="s">
        <v>121</v>
      </c>
      <c r="AH373" t="s">
        <v>327</v>
      </c>
      <c r="AI373" t="s">
        <v>121</v>
      </c>
      <c r="AJ373" t="s">
        <v>717</v>
      </c>
      <c r="AK373" t="s">
        <v>121</v>
      </c>
    </row>
    <row r="374" spans="9:37" x14ac:dyDescent="0.3">
      <c r="I374">
        <f ca="1">IF(OR(INDIRECT(A73&amp;ROW())=B93,INDIRECT(A73&amp;ROW())=B94),1,IF(AND(INDIRECT(A73&amp;ROW())=B95,INDIRECT(A96&amp;ROW())=C93),1,IF(AND(INDIRECT(A73&amp;ROW())=B95,INDIRECT(A96&amp;ROW())=C94),1,0)))</f>
        <v>0</v>
      </c>
      <c r="J374">
        <f ca="1">IF(AND(INDIRECT(A73&amp;ROW())=B95,INDIRECT(A96&amp;ROW())=C95),1,IF(AND(INDIRECT(A73&amp;ROW())=B95,INDIRECT(A96&amp;ROW())=C96),1,0))</f>
        <v>0</v>
      </c>
      <c r="K374">
        <f ca="1">DAYS360(INDIRECT(C68&amp;ROW()),TODAY())</f>
        <v>721</v>
      </c>
      <c r="L374">
        <f ca="1">DAYS360(INDIRECT(C69&amp;ROW()),TODAY())</f>
        <v>801</v>
      </c>
      <c r="M374">
        <f ca="1">HYPERLINK(CONCATENATE("https://bugzilla.houston.hp.com:1181/bugzilla/show_bug.cgi?id=",INDIRECT(C70&amp;ROW())),INDIRECT(C70&amp;ROW()))</f>
        <v>57061</v>
      </c>
      <c r="N374">
        <v>57061</v>
      </c>
      <c r="O374" t="s">
        <v>56</v>
      </c>
      <c r="P374" t="s">
        <v>726</v>
      </c>
      <c r="Q374" t="s">
        <v>16</v>
      </c>
      <c r="R374" t="s">
        <v>248</v>
      </c>
      <c r="S374" t="s">
        <v>552</v>
      </c>
      <c r="U374" s="6">
        <v>42125.443958333337</v>
      </c>
      <c r="V374" t="s">
        <v>18</v>
      </c>
      <c r="W374" t="s">
        <v>355</v>
      </c>
      <c r="X374" s="6">
        <v>42046.535856481481</v>
      </c>
      <c r="Y374" t="s">
        <v>122</v>
      </c>
      <c r="AB374" t="s">
        <v>200</v>
      </c>
      <c r="AC374" t="s">
        <v>121</v>
      </c>
      <c r="AD374" t="s">
        <v>220</v>
      </c>
      <c r="AE374" t="s">
        <v>219</v>
      </c>
      <c r="AG374" t="s">
        <v>121</v>
      </c>
      <c r="AH374" t="s">
        <v>327</v>
      </c>
      <c r="AI374" t="s">
        <v>121</v>
      </c>
      <c r="AJ374" t="s">
        <v>716</v>
      </c>
      <c r="AK374" t="s">
        <v>121</v>
      </c>
    </row>
    <row r="375" spans="9:37" x14ac:dyDescent="0.3">
      <c r="I375">
        <f ca="1">IF(OR(INDIRECT(A73&amp;ROW())=B93,INDIRECT(A73&amp;ROW())=B94),1,IF(AND(INDIRECT(A73&amp;ROW())=B95,INDIRECT(A96&amp;ROW())=C93),1,IF(AND(INDIRECT(A73&amp;ROW())=B95,INDIRECT(A96&amp;ROW())=C94),1,0)))</f>
        <v>0</v>
      </c>
      <c r="J375">
        <f ca="1">IF(AND(INDIRECT(A73&amp;ROW())=B95,INDIRECT(A96&amp;ROW())=C95),1,IF(AND(INDIRECT(A73&amp;ROW())=B95,INDIRECT(A96&amp;ROW())=C96),1,0))</f>
        <v>0</v>
      </c>
      <c r="K375">
        <f ca="1">DAYS360(INDIRECT(C68&amp;ROW()),TODAY())</f>
        <v>721</v>
      </c>
      <c r="L375">
        <f ca="1">DAYS360(INDIRECT(C69&amp;ROW()),TODAY())</f>
        <v>801</v>
      </c>
      <c r="M375">
        <f ca="1">HYPERLINK(CONCATENATE("https://bugzilla.houston.hp.com:1181/bugzilla/show_bug.cgi?id=",INDIRECT(C70&amp;ROW())),INDIRECT(C70&amp;ROW()))</f>
        <v>57062</v>
      </c>
      <c r="N375">
        <v>57062</v>
      </c>
      <c r="O375" t="s">
        <v>56</v>
      </c>
      <c r="P375" t="s">
        <v>725</v>
      </c>
      <c r="Q375" t="s">
        <v>16</v>
      </c>
      <c r="R375" t="s">
        <v>248</v>
      </c>
      <c r="S375" t="s">
        <v>552</v>
      </c>
      <c r="U375" s="6">
        <v>42125.443865740737</v>
      </c>
      <c r="V375" t="s">
        <v>18</v>
      </c>
      <c r="W375" t="s">
        <v>215</v>
      </c>
      <c r="X375" s="6">
        <v>42046.536157407405</v>
      </c>
      <c r="Y375" t="s">
        <v>122</v>
      </c>
      <c r="AB375" t="s">
        <v>200</v>
      </c>
      <c r="AC375" t="s">
        <v>247</v>
      </c>
      <c r="AD375" t="s">
        <v>220</v>
      </c>
      <c r="AE375" t="s">
        <v>219</v>
      </c>
      <c r="AG375" t="s">
        <v>121</v>
      </c>
      <c r="AH375" t="s">
        <v>327</v>
      </c>
      <c r="AI375" t="s">
        <v>121</v>
      </c>
      <c r="AJ375" t="s">
        <v>716</v>
      </c>
      <c r="AK375" t="s">
        <v>121</v>
      </c>
    </row>
    <row r="376" spans="9:37" x14ac:dyDescent="0.3">
      <c r="I376">
        <f ca="1">IF(OR(INDIRECT(A73&amp;ROW())=B93,INDIRECT(A73&amp;ROW())=B94),1,IF(AND(INDIRECT(A73&amp;ROW())=B95,INDIRECT(A96&amp;ROW())=C93),1,IF(AND(INDIRECT(A73&amp;ROW())=B95,INDIRECT(A96&amp;ROW())=C94),1,0)))</f>
        <v>0</v>
      </c>
      <c r="J376">
        <f ca="1">IF(AND(INDIRECT(A73&amp;ROW())=B95,INDIRECT(A96&amp;ROW())=C95),1,IF(AND(INDIRECT(A73&amp;ROW())=B95,INDIRECT(A96&amp;ROW())=C96),1,0))</f>
        <v>0</v>
      </c>
      <c r="K376">
        <f ca="1">DAYS360(INDIRECT(C68&amp;ROW()),TODAY())</f>
        <v>714</v>
      </c>
      <c r="L376">
        <f ca="1">DAYS360(INDIRECT(C69&amp;ROW()),TODAY())</f>
        <v>801</v>
      </c>
      <c r="M376">
        <f ca="1">HYPERLINK(CONCATENATE("https://bugzilla.houston.hp.com:1181/bugzilla/show_bug.cgi?id=",INDIRECT(C70&amp;ROW())),INDIRECT(C70&amp;ROW()))</f>
        <v>57063</v>
      </c>
      <c r="N376">
        <v>57063</v>
      </c>
      <c r="O376" t="s">
        <v>56</v>
      </c>
      <c r="P376" t="s">
        <v>724</v>
      </c>
      <c r="Q376" t="s">
        <v>16</v>
      </c>
      <c r="R376" t="s">
        <v>248</v>
      </c>
      <c r="S376" t="s">
        <v>552</v>
      </c>
      <c r="T376" t="s">
        <v>842</v>
      </c>
      <c r="U376" s="6">
        <v>42132.553506944445</v>
      </c>
      <c r="V376" t="s">
        <v>18</v>
      </c>
      <c r="W376" t="s">
        <v>248</v>
      </c>
      <c r="X376" s="6">
        <v>42046.541284722225</v>
      </c>
      <c r="Y376" t="s">
        <v>785</v>
      </c>
      <c r="AB376" t="s">
        <v>200</v>
      </c>
      <c r="AC376" t="s">
        <v>247</v>
      </c>
      <c r="AD376" t="s">
        <v>220</v>
      </c>
      <c r="AE376" t="s">
        <v>219</v>
      </c>
      <c r="AG376" t="s">
        <v>121</v>
      </c>
      <c r="AH376" t="s">
        <v>327</v>
      </c>
      <c r="AI376" t="s">
        <v>121</v>
      </c>
      <c r="AJ376" t="s">
        <v>715</v>
      </c>
      <c r="AK376" t="s">
        <v>121</v>
      </c>
    </row>
    <row r="377" spans="9:37" x14ac:dyDescent="0.3">
      <c r="I377">
        <f ca="1">IF(OR(INDIRECT(A73&amp;ROW())=B93,INDIRECT(A73&amp;ROW())=B94),1,IF(AND(INDIRECT(A73&amp;ROW())=B95,INDIRECT(A96&amp;ROW())=C93),1,IF(AND(INDIRECT(A73&amp;ROW())=B95,INDIRECT(A96&amp;ROW())=C94),1,0)))</f>
        <v>1</v>
      </c>
      <c r="J377">
        <f ca="1">IF(AND(INDIRECT(A73&amp;ROW())=B95,INDIRECT(A96&amp;ROW())=C95),1,IF(AND(INDIRECT(A73&amp;ROW())=B95,INDIRECT(A96&amp;ROW())=C96),1,0))</f>
        <v>0</v>
      </c>
      <c r="K377">
        <f ca="1">DAYS360(INDIRECT(C68&amp;ROW()),TODAY())</f>
        <v>691</v>
      </c>
      <c r="L377">
        <f ca="1">DAYS360(INDIRECT(C69&amp;ROW()),TODAY())</f>
        <v>801</v>
      </c>
      <c r="M377">
        <f ca="1">HYPERLINK(CONCATENATE("https://bugzilla.houston.hp.com:1181/bugzilla/show_bug.cgi?id=",INDIRECT(C70&amp;ROW())),INDIRECT(C70&amp;ROW()))</f>
        <v>57072</v>
      </c>
      <c r="N377">
        <v>57072</v>
      </c>
      <c r="O377" t="s">
        <v>241</v>
      </c>
      <c r="P377" t="s">
        <v>723</v>
      </c>
      <c r="Q377" t="s">
        <v>39</v>
      </c>
      <c r="R377" t="s">
        <v>251</v>
      </c>
      <c r="S377" t="s">
        <v>24</v>
      </c>
      <c r="U377" s="6">
        <v>42156.594733796293</v>
      </c>
      <c r="V377" t="s">
        <v>18</v>
      </c>
      <c r="W377" t="s">
        <v>17</v>
      </c>
      <c r="X377" s="6">
        <v>42046.616006944445</v>
      </c>
      <c r="Y377" t="s">
        <v>535</v>
      </c>
      <c r="AB377" t="s">
        <v>201</v>
      </c>
      <c r="AC377" t="s">
        <v>247</v>
      </c>
      <c r="AD377" t="s">
        <v>222</v>
      </c>
      <c r="AE377" t="s">
        <v>221</v>
      </c>
      <c r="AG377" t="s">
        <v>121</v>
      </c>
      <c r="AH377" t="s">
        <v>327</v>
      </c>
      <c r="AI377" t="s">
        <v>121</v>
      </c>
      <c r="AJ377" t="s">
        <v>715</v>
      </c>
      <c r="AK377" t="s">
        <v>121</v>
      </c>
    </row>
    <row r="378" spans="9:37" x14ac:dyDescent="0.3">
      <c r="I378">
        <f ca="1">IF(OR(INDIRECT(A73&amp;ROW())=B93,INDIRECT(A73&amp;ROW())=B94),1,IF(AND(INDIRECT(A73&amp;ROW())=B95,INDIRECT(A96&amp;ROW())=C93),1,IF(AND(INDIRECT(A73&amp;ROW())=B95,INDIRECT(A96&amp;ROW())=C94),1,0)))</f>
        <v>1</v>
      </c>
      <c r="J378">
        <f ca="1">IF(AND(INDIRECT(A73&amp;ROW())=B95,INDIRECT(A96&amp;ROW())=C95),1,IF(AND(INDIRECT(A73&amp;ROW())=B95,INDIRECT(A96&amp;ROW())=C96),1,0))</f>
        <v>0</v>
      </c>
      <c r="K378">
        <f ca="1">DAYS360(INDIRECT(C68&amp;ROW()),TODAY())</f>
        <v>735</v>
      </c>
      <c r="L378">
        <f ca="1">DAYS360(INDIRECT(C69&amp;ROW()),TODAY())</f>
        <v>801</v>
      </c>
      <c r="M378">
        <f ca="1">HYPERLINK(CONCATENATE("https://bugzilla.houston.hp.com:1181/bugzilla/show_bug.cgi?id=",INDIRECT(C70&amp;ROW())),INDIRECT(C70&amp;ROW()))</f>
        <v>57075</v>
      </c>
      <c r="N378">
        <v>57075</v>
      </c>
      <c r="O378" t="s">
        <v>241</v>
      </c>
      <c r="P378" t="s">
        <v>722</v>
      </c>
      <c r="Q378" t="s">
        <v>39</v>
      </c>
      <c r="R378" t="s">
        <v>579</v>
      </c>
      <c r="S378" t="s">
        <v>552</v>
      </c>
      <c r="T378" t="s">
        <v>820</v>
      </c>
      <c r="U378" s="6">
        <v>42111.525648148148</v>
      </c>
      <c r="V378" t="s">
        <v>40</v>
      </c>
      <c r="W378" t="s">
        <v>576</v>
      </c>
      <c r="X378" s="6">
        <v>42046.66238425926</v>
      </c>
      <c r="Y378" t="s">
        <v>535</v>
      </c>
      <c r="AB378" t="s">
        <v>201</v>
      </c>
      <c r="AC378" t="s">
        <v>247</v>
      </c>
      <c r="AD378" t="s">
        <v>227</v>
      </c>
      <c r="AE378" t="s">
        <v>237</v>
      </c>
      <c r="AG378" t="s">
        <v>121</v>
      </c>
      <c r="AH378" t="s">
        <v>327</v>
      </c>
      <c r="AI378" t="s">
        <v>362</v>
      </c>
      <c r="AJ378" t="s">
        <v>715</v>
      </c>
      <c r="AK378" t="s">
        <v>121</v>
      </c>
    </row>
    <row r="379" spans="9:37" x14ac:dyDescent="0.3">
      <c r="I379">
        <f ca="1">IF(OR(INDIRECT(A73&amp;ROW())=B93,INDIRECT(A73&amp;ROW())=B94),1,IF(AND(INDIRECT(A73&amp;ROW())=B95,INDIRECT(A96&amp;ROW())=C93),1,IF(AND(INDIRECT(A73&amp;ROW())=B95,INDIRECT(A96&amp;ROW())=C94),1,0)))</f>
        <v>1</v>
      </c>
      <c r="J379">
        <f ca="1">IF(AND(INDIRECT(A73&amp;ROW())=B95,INDIRECT(A96&amp;ROW())=C95),1,IF(AND(INDIRECT(A73&amp;ROW())=B95,INDIRECT(A96&amp;ROW())=C96),1,0))</f>
        <v>0</v>
      </c>
      <c r="K379">
        <f ca="1">DAYS360(INDIRECT(C68&amp;ROW()),TODAY())</f>
        <v>764</v>
      </c>
      <c r="L379">
        <f ca="1">DAYS360(INDIRECT(C69&amp;ROW()),TODAY())</f>
        <v>801</v>
      </c>
      <c r="M379">
        <f ca="1">HYPERLINK(CONCATENATE("https://bugzilla.houston.hp.com:1181/bugzilla/show_bug.cgi?id=",INDIRECT(C70&amp;ROW())),INDIRECT(C70&amp;ROW()))</f>
        <v>57076</v>
      </c>
      <c r="N379">
        <v>57076</v>
      </c>
      <c r="O379" t="s">
        <v>241</v>
      </c>
      <c r="P379" t="s">
        <v>721</v>
      </c>
      <c r="Q379" t="s">
        <v>39</v>
      </c>
      <c r="R379" t="s">
        <v>248</v>
      </c>
      <c r="S379" t="s">
        <v>552</v>
      </c>
      <c r="U379" s="6">
        <v>42081.529675925929</v>
      </c>
      <c r="V379" t="s">
        <v>40</v>
      </c>
      <c r="W379" t="s">
        <v>248</v>
      </c>
      <c r="X379" s="6">
        <v>42046.666458333333</v>
      </c>
      <c r="Y379" t="s">
        <v>535</v>
      </c>
      <c r="AB379" t="s">
        <v>201</v>
      </c>
      <c r="AC379" t="s">
        <v>247</v>
      </c>
      <c r="AD379" t="s">
        <v>227</v>
      </c>
      <c r="AE379" t="s">
        <v>237</v>
      </c>
      <c r="AG379" t="s">
        <v>121</v>
      </c>
      <c r="AH379" t="s">
        <v>327</v>
      </c>
      <c r="AI379" t="s">
        <v>121</v>
      </c>
      <c r="AJ379" t="s">
        <v>715</v>
      </c>
      <c r="AK379" t="s">
        <v>121</v>
      </c>
    </row>
    <row r="380" spans="9:37" x14ac:dyDescent="0.3">
      <c r="I380">
        <f ca="1">IF(OR(INDIRECT(A73&amp;ROW())=B93,INDIRECT(A73&amp;ROW())=B94),1,IF(AND(INDIRECT(A73&amp;ROW())=B95,INDIRECT(A96&amp;ROW())=C93),1,IF(AND(INDIRECT(A73&amp;ROW())=B95,INDIRECT(A96&amp;ROW())=C94),1,0)))</f>
        <v>0</v>
      </c>
      <c r="J380">
        <f ca="1">IF(AND(INDIRECT(A73&amp;ROW())=B95,INDIRECT(A96&amp;ROW())=C95),1,IF(AND(INDIRECT(A73&amp;ROW())=B95,INDIRECT(A96&amp;ROW())=C96),1,0))</f>
        <v>1</v>
      </c>
      <c r="K380">
        <f ca="1">DAYS360(INDIRECT(C68&amp;ROW()),TODAY())</f>
        <v>703</v>
      </c>
      <c r="L380">
        <f ca="1">DAYS360(INDIRECT(C69&amp;ROW()),TODAY())</f>
        <v>800</v>
      </c>
      <c r="M380">
        <f ca="1">HYPERLINK(CONCATENATE("https://bugzilla.houston.hp.com:1181/bugzilla/show_bug.cgi?id=",INDIRECT(C70&amp;ROW())),INDIRECT(C70&amp;ROW()))</f>
        <v>57153</v>
      </c>
      <c r="N380">
        <v>57153</v>
      </c>
      <c r="O380" t="s">
        <v>53</v>
      </c>
      <c r="P380" t="s">
        <v>720</v>
      </c>
      <c r="Q380" t="s">
        <v>25</v>
      </c>
      <c r="R380" t="s">
        <v>251</v>
      </c>
      <c r="S380" t="s">
        <v>43</v>
      </c>
      <c r="U380" s="6">
        <v>42143.458402777775</v>
      </c>
      <c r="V380" t="s">
        <v>18</v>
      </c>
      <c r="W380" t="s">
        <v>17</v>
      </c>
      <c r="X380" s="6">
        <v>42047.550046296295</v>
      </c>
      <c r="Y380" t="s">
        <v>122</v>
      </c>
      <c r="Z380" t="s">
        <v>190</v>
      </c>
      <c r="AB380" t="s">
        <v>201</v>
      </c>
      <c r="AC380" t="s">
        <v>247</v>
      </c>
      <c r="AD380" t="s">
        <v>220</v>
      </c>
      <c r="AE380" t="s">
        <v>219</v>
      </c>
      <c r="AG380" t="s">
        <v>121</v>
      </c>
      <c r="AH380" t="s">
        <v>327</v>
      </c>
      <c r="AI380" t="s">
        <v>121</v>
      </c>
      <c r="AJ380" t="s">
        <v>716</v>
      </c>
      <c r="AK380" t="s">
        <v>121</v>
      </c>
    </row>
    <row r="381" spans="9:37" x14ac:dyDescent="0.3">
      <c r="I381">
        <f ca="1">IF(OR(INDIRECT(A73&amp;ROW())=B93,INDIRECT(A73&amp;ROW())=B94),1,IF(AND(INDIRECT(A73&amp;ROW())=B95,INDIRECT(A96&amp;ROW())=C93),1,IF(AND(INDIRECT(A73&amp;ROW())=B95,INDIRECT(A96&amp;ROW())=C94),1,0)))</f>
        <v>0</v>
      </c>
      <c r="J381">
        <f ca="1">IF(AND(INDIRECT(A73&amp;ROW())=B95,INDIRECT(A96&amp;ROW())=C95),1,IF(AND(INDIRECT(A73&amp;ROW())=B95,INDIRECT(A96&amp;ROW())=C96),1,0))</f>
        <v>1</v>
      </c>
      <c r="K381">
        <f ca="1">DAYS360(INDIRECT(C68&amp;ROW()),TODAY())</f>
        <v>721</v>
      </c>
      <c r="L381">
        <f ca="1">DAYS360(INDIRECT(C69&amp;ROW()),TODAY())</f>
        <v>795</v>
      </c>
      <c r="M381">
        <f ca="1">HYPERLINK(CONCATENATE("https://bugzilla.houston.hp.com:1181/bugzilla/show_bug.cgi?id=",INDIRECT(C70&amp;ROW())),INDIRECT(C70&amp;ROW()))</f>
        <v>57332</v>
      </c>
      <c r="N381">
        <v>57332</v>
      </c>
      <c r="O381" t="s">
        <v>43</v>
      </c>
      <c r="P381" t="s">
        <v>746</v>
      </c>
      <c r="Q381" t="s">
        <v>25</v>
      </c>
      <c r="R381" t="s">
        <v>251</v>
      </c>
      <c r="S381" t="s">
        <v>43</v>
      </c>
      <c r="U381" s="6">
        <v>42125.452824074076</v>
      </c>
      <c r="V381" t="s">
        <v>18</v>
      </c>
      <c r="W381" t="s">
        <v>17</v>
      </c>
      <c r="X381" s="6">
        <v>42052.75199074074</v>
      </c>
      <c r="Y381" t="s">
        <v>122</v>
      </c>
      <c r="AB381" t="s">
        <v>201</v>
      </c>
      <c r="AC381" t="s">
        <v>247</v>
      </c>
      <c r="AD381" t="s">
        <v>220</v>
      </c>
      <c r="AE381" t="s">
        <v>223</v>
      </c>
      <c r="AG381" t="s">
        <v>121</v>
      </c>
      <c r="AH381" t="s">
        <v>327</v>
      </c>
      <c r="AI381" t="s">
        <v>121</v>
      </c>
      <c r="AJ381" t="s">
        <v>716</v>
      </c>
      <c r="AK381" t="s">
        <v>121</v>
      </c>
    </row>
    <row r="382" spans="9:37" x14ac:dyDescent="0.3">
      <c r="I382">
        <f ca="1">IF(OR(INDIRECT(A73&amp;ROW())=B93,INDIRECT(A73&amp;ROW())=B94),1,IF(AND(INDIRECT(A73&amp;ROW())=B95,INDIRECT(A96&amp;ROW())=C93),1,IF(AND(INDIRECT(A73&amp;ROW())=B95,INDIRECT(A96&amp;ROW())=C94),1,0)))</f>
        <v>0</v>
      </c>
      <c r="J382">
        <f ca="1">IF(AND(INDIRECT(A73&amp;ROW())=B95,INDIRECT(A96&amp;ROW())=C95),1,IF(AND(INDIRECT(A73&amp;ROW())=B95,INDIRECT(A96&amp;ROW())=C96),1,0))</f>
        <v>1</v>
      </c>
      <c r="K382">
        <f ca="1">DAYS360(INDIRECT(C68&amp;ROW()),TODAY())</f>
        <v>752</v>
      </c>
      <c r="L382">
        <f ca="1">DAYS360(INDIRECT(C69&amp;ROW()),TODAY())</f>
        <v>795</v>
      </c>
      <c r="M382">
        <f ca="1">HYPERLINK(CONCATENATE("https://bugzilla.houston.hp.com:1181/bugzilla/show_bug.cgi?id=",INDIRECT(C70&amp;ROW())),INDIRECT(C70&amp;ROW()))</f>
        <v>57333</v>
      </c>
      <c r="N382">
        <v>57333</v>
      </c>
      <c r="O382" t="s">
        <v>56</v>
      </c>
      <c r="P382" t="s">
        <v>745</v>
      </c>
      <c r="Q382" t="s">
        <v>25</v>
      </c>
      <c r="R382" t="s">
        <v>579</v>
      </c>
      <c r="S382" t="s">
        <v>236</v>
      </c>
      <c r="T382" t="s">
        <v>610</v>
      </c>
      <c r="U382" s="6">
        <v>42093.363055555557</v>
      </c>
      <c r="V382" t="s">
        <v>18</v>
      </c>
      <c r="W382" t="s">
        <v>514</v>
      </c>
      <c r="X382" s="6">
        <v>42052.780381944445</v>
      </c>
      <c r="Y382" t="s">
        <v>535</v>
      </c>
      <c r="AB382" t="s">
        <v>201</v>
      </c>
      <c r="AC382" t="s">
        <v>247</v>
      </c>
      <c r="AD382" t="s">
        <v>220</v>
      </c>
      <c r="AE382" t="s">
        <v>219</v>
      </c>
      <c r="AG382" t="s">
        <v>121</v>
      </c>
      <c r="AH382" t="s">
        <v>327</v>
      </c>
      <c r="AI382" t="s">
        <v>362</v>
      </c>
      <c r="AJ382" t="s">
        <v>716</v>
      </c>
      <c r="AK382" t="s">
        <v>121</v>
      </c>
    </row>
    <row r="383" spans="9:37" x14ac:dyDescent="0.3">
      <c r="I383">
        <f ca="1">IF(OR(INDIRECT(A73&amp;ROW())=B93,INDIRECT(A73&amp;ROW())=B94),1,IF(AND(INDIRECT(A73&amp;ROW())=B95,INDIRECT(A96&amp;ROW())=C93),1,IF(AND(INDIRECT(A73&amp;ROW())=B95,INDIRECT(A96&amp;ROW())=C94),1,0)))</f>
        <v>0</v>
      </c>
      <c r="J383">
        <f ca="1">IF(AND(INDIRECT(A73&amp;ROW())=B95,INDIRECT(A96&amp;ROW())=C95),1,IF(AND(INDIRECT(A73&amp;ROW())=B95,INDIRECT(A96&amp;ROW())=C96),1,0))</f>
        <v>1</v>
      </c>
      <c r="K383">
        <f ca="1">DAYS360(INDIRECT(C68&amp;ROW()),TODAY())</f>
        <v>721</v>
      </c>
      <c r="L383">
        <f ca="1">DAYS360(INDIRECT(C69&amp;ROW()),TODAY())</f>
        <v>794</v>
      </c>
      <c r="M383">
        <f ca="1">HYPERLINK(CONCATENATE("https://bugzilla.houston.hp.com:1181/bugzilla/show_bug.cgi?id=",INDIRECT(C70&amp;ROW())),INDIRECT(C70&amp;ROW()))</f>
        <v>57398</v>
      </c>
      <c r="N383">
        <v>57398</v>
      </c>
      <c r="O383" t="s">
        <v>43</v>
      </c>
      <c r="P383" t="s">
        <v>747</v>
      </c>
      <c r="Q383" t="s">
        <v>25</v>
      </c>
      <c r="R383" t="s">
        <v>248</v>
      </c>
      <c r="S383" t="s">
        <v>552</v>
      </c>
      <c r="U383" s="6">
        <v>42125.450729166667</v>
      </c>
      <c r="V383" t="s">
        <v>18</v>
      </c>
      <c r="W383" t="s">
        <v>372</v>
      </c>
      <c r="X383" s="6">
        <v>42053.567245370374</v>
      </c>
      <c r="Y383" t="s">
        <v>122</v>
      </c>
      <c r="AB383" t="s">
        <v>201</v>
      </c>
      <c r="AC383" t="s">
        <v>247</v>
      </c>
      <c r="AD383" t="s">
        <v>220</v>
      </c>
      <c r="AE383" t="s">
        <v>219</v>
      </c>
      <c r="AG383" t="s">
        <v>121</v>
      </c>
      <c r="AH383" t="s">
        <v>327</v>
      </c>
      <c r="AI383" t="s">
        <v>121</v>
      </c>
      <c r="AJ383" t="s">
        <v>716</v>
      </c>
      <c r="AK383" t="s">
        <v>121</v>
      </c>
    </row>
    <row r="384" spans="9:37" x14ac:dyDescent="0.3">
      <c r="I384">
        <f ca="1">IF(OR(INDIRECT(A73&amp;ROW())=B93,INDIRECT(A73&amp;ROW())=B94),1,IF(AND(INDIRECT(A73&amp;ROW())=B95,INDIRECT(A96&amp;ROW())=C93),1,IF(AND(INDIRECT(A73&amp;ROW())=B95,INDIRECT(A96&amp;ROW())=C94),1,0)))</f>
        <v>0</v>
      </c>
      <c r="J384">
        <f ca="1">IF(AND(INDIRECT(A73&amp;ROW())=B95,INDIRECT(A96&amp;ROW())=C95),1,IF(AND(INDIRECT(A73&amp;ROW())=B95,INDIRECT(A96&amp;ROW())=C96),1,0))</f>
        <v>0</v>
      </c>
      <c r="K384">
        <f ca="1">DAYS360(INDIRECT(C68&amp;ROW()),TODAY())</f>
        <v>769</v>
      </c>
      <c r="L384">
        <f ca="1">DAYS360(INDIRECT(C69&amp;ROW()),TODAY())</f>
        <v>793</v>
      </c>
      <c r="M384">
        <f ca="1">HYPERLINK(CONCATENATE("https://bugzilla.houston.hp.com:1181/bugzilla/show_bug.cgi?id=",INDIRECT(C70&amp;ROW())),INDIRECT(C70&amp;ROW()))</f>
        <v>57448</v>
      </c>
      <c r="N384">
        <v>57448</v>
      </c>
      <c r="O384" t="s">
        <v>45</v>
      </c>
      <c r="P384" t="s">
        <v>759</v>
      </c>
      <c r="Q384" t="s">
        <v>16</v>
      </c>
      <c r="R384" t="s">
        <v>579</v>
      </c>
      <c r="S384" t="s">
        <v>45</v>
      </c>
      <c r="T384" t="s">
        <v>804</v>
      </c>
      <c r="U384" s="6">
        <v>42076.335775462961</v>
      </c>
      <c r="V384" t="s">
        <v>18</v>
      </c>
      <c r="W384" t="s">
        <v>17</v>
      </c>
      <c r="X384" s="6">
        <v>42054.39671296296</v>
      </c>
      <c r="Y384" t="s">
        <v>793</v>
      </c>
      <c r="AB384" t="s">
        <v>200</v>
      </c>
      <c r="AC384" t="s">
        <v>247</v>
      </c>
      <c r="AD384" t="s">
        <v>227</v>
      </c>
      <c r="AE384" t="s">
        <v>226</v>
      </c>
      <c r="AG384" t="s">
        <v>121</v>
      </c>
      <c r="AH384" t="s">
        <v>327</v>
      </c>
      <c r="AI384" t="s">
        <v>121</v>
      </c>
      <c r="AJ384" t="s">
        <v>716</v>
      </c>
      <c r="AK384" t="s">
        <v>121</v>
      </c>
    </row>
    <row r="385" spans="9:37" x14ac:dyDescent="0.3">
      <c r="I385">
        <f ca="1">IF(OR(INDIRECT(A73&amp;ROW())=B93,INDIRECT(A73&amp;ROW())=B94),1,IF(AND(INDIRECT(A73&amp;ROW())=B95,INDIRECT(A96&amp;ROW())=C93),1,IF(AND(INDIRECT(A73&amp;ROW())=B95,INDIRECT(A96&amp;ROW())=C94),1,0)))</f>
        <v>1</v>
      </c>
      <c r="J385">
        <f ca="1">IF(AND(INDIRECT(A73&amp;ROW())=B95,INDIRECT(A96&amp;ROW())=C95),1,IF(AND(INDIRECT(A73&amp;ROW())=B95,INDIRECT(A96&amp;ROW())=C96),1,0))</f>
        <v>0</v>
      </c>
      <c r="K385">
        <f ca="1">DAYS360(INDIRECT(C68&amp;ROW()),TODAY())</f>
        <v>714</v>
      </c>
      <c r="L385">
        <f ca="1">DAYS360(INDIRECT(C69&amp;ROW()),TODAY())</f>
        <v>793</v>
      </c>
      <c r="M385">
        <f ca="1">HYPERLINK(CONCATENATE("https://bugzilla.houston.hp.com:1181/bugzilla/show_bug.cgi?id=",INDIRECT(C70&amp;ROW())),INDIRECT(C70&amp;ROW()))</f>
        <v>57455</v>
      </c>
      <c r="N385">
        <v>57455</v>
      </c>
      <c r="O385" t="s">
        <v>241</v>
      </c>
      <c r="P385" t="s">
        <v>767</v>
      </c>
      <c r="Q385" t="s">
        <v>25</v>
      </c>
      <c r="R385" t="s">
        <v>251</v>
      </c>
      <c r="S385" t="s">
        <v>51</v>
      </c>
      <c r="U385" s="6">
        <v>42132.364224537036</v>
      </c>
      <c r="V385" t="s">
        <v>18</v>
      </c>
      <c r="W385" t="s">
        <v>764</v>
      </c>
      <c r="X385" s="6">
        <v>42054.467719907407</v>
      </c>
      <c r="Y385" t="s">
        <v>122</v>
      </c>
      <c r="AB385" t="s">
        <v>200</v>
      </c>
      <c r="AC385" t="s">
        <v>247</v>
      </c>
      <c r="AD385" t="s">
        <v>222</v>
      </c>
      <c r="AE385" t="s">
        <v>232</v>
      </c>
      <c r="AG385" t="s">
        <v>121</v>
      </c>
      <c r="AH385" t="s">
        <v>327</v>
      </c>
      <c r="AI385" t="s">
        <v>121</v>
      </c>
      <c r="AJ385" t="s">
        <v>715</v>
      </c>
      <c r="AK385" t="s">
        <v>121</v>
      </c>
    </row>
    <row r="386" spans="9:37" x14ac:dyDescent="0.3">
      <c r="I386">
        <f ca="1">IF(OR(INDIRECT(A73&amp;ROW())=B93,INDIRECT(A73&amp;ROW())=B94),1,IF(AND(INDIRECT(A73&amp;ROW())=B95,INDIRECT(A96&amp;ROW())=C93),1,IF(AND(INDIRECT(A73&amp;ROW())=B95,INDIRECT(A96&amp;ROW())=C94),1,0)))</f>
        <v>0</v>
      </c>
      <c r="J386">
        <f ca="1">IF(AND(INDIRECT(A73&amp;ROW())=B95,INDIRECT(A96&amp;ROW())=C95),1,IF(AND(INDIRECT(A73&amp;ROW())=B95,INDIRECT(A96&amp;ROW())=C96),1,0))</f>
        <v>0</v>
      </c>
      <c r="K386">
        <f ca="1">DAYS360(INDIRECT(C68&amp;ROW()),TODAY())</f>
        <v>721</v>
      </c>
      <c r="L386">
        <f ca="1">DAYS360(INDIRECT(C69&amp;ROW()),TODAY())</f>
        <v>793</v>
      </c>
      <c r="M386">
        <f ca="1">HYPERLINK(CONCATENATE("https://bugzilla.houston.hp.com:1181/bugzilla/show_bug.cgi?id=",INDIRECT(C70&amp;ROW())),INDIRECT(C70&amp;ROW()))</f>
        <v>57468</v>
      </c>
      <c r="N386">
        <v>57468</v>
      </c>
      <c r="O386" t="s">
        <v>56</v>
      </c>
      <c r="P386" t="s">
        <v>758</v>
      </c>
      <c r="Q386" t="s">
        <v>16</v>
      </c>
      <c r="R386" t="s">
        <v>251</v>
      </c>
      <c r="S386" t="s">
        <v>53</v>
      </c>
      <c r="U386" s="6">
        <v>42125.453761574077</v>
      </c>
      <c r="V386" t="s">
        <v>18</v>
      </c>
      <c r="W386" t="s">
        <v>17</v>
      </c>
      <c r="X386" s="6">
        <v>42054.521574074075</v>
      </c>
      <c r="Y386" t="s">
        <v>122</v>
      </c>
      <c r="AB386" t="s">
        <v>200</v>
      </c>
      <c r="AC386" t="s">
        <v>247</v>
      </c>
      <c r="AD386" t="s">
        <v>220</v>
      </c>
      <c r="AE386" t="s">
        <v>219</v>
      </c>
      <c r="AG386" t="s">
        <v>121</v>
      </c>
      <c r="AH386" t="s">
        <v>327</v>
      </c>
      <c r="AI386" t="s">
        <v>121</v>
      </c>
      <c r="AJ386" t="s">
        <v>716</v>
      </c>
      <c r="AK386" t="s">
        <v>121</v>
      </c>
    </row>
    <row r="387" spans="9:37" x14ac:dyDescent="0.3">
      <c r="I387">
        <f ca="1">IF(OR(INDIRECT(A73&amp;ROW())=B93,INDIRECT(A73&amp;ROW())=B94),1,IF(AND(INDIRECT(A73&amp;ROW())=B95,INDIRECT(A96&amp;ROW())=C93),1,IF(AND(INDIRECT(A73&amp;ROW())=B95,INDIRECT(A96&amp;ROW())=C94),1,0)))</f>
        <v>1</v>
      </c>
      <c r="J387">
        <f ca="1">IF(AND(INDIRECT(A73&amp;ROW())=B95,INDIRECT(A96&amp;ROW())=C95),1,IF(AND(INDIRECT(A73&amp;ROW())=B95,INDIRECT(A96&amp;ROW())=C96),1,0))</f>
        <v>0</v>
      </c>
      <c r="K387">
        <f ca="1">DAYS360(INDIRECT(C68&amp;ROW()),TODAY())</f>
        <v>728</v>
      </c>
      <c r="L387">
        <f ca="1">DAYS360(INDIRECT(C69&amp;ROW()),TODAY())</f>
        <v>793</v>
      </c>
      <c r="M387">
        <f ca="1">HYPERLINK(CONCATENATE("https://bugzilla.houston.hp.com:1181/bugzilla/show_bug.cgi?id=",INDIRECT(C70&amp;ROW())),INDIRECT(C70&amp;ROW()))</f>
        <v>57480</v>
      </c>
      <c r="N387">
        <v>57480</v>
      </c>
      <c r="O387" t="s">
        <v>241</v>
      </c>
      <c r="P387" t="s">
        <v>757</v>
      </c>
      <c r="Q387" t="s">
        <v>25</v>
      </c>
      <c r="R387" t="s">
        <v>579</v>
      </c>
      <c r="S387" t="s">
        <v>552</v>
      </c>
      <c r="T387" t="s">
        <v>820</v>
      </c>
      <c r="U387" s="6">
        <v>42118.292291666665</v>
      </c>
      <c r="V387" t="s">
        <v>18</v>
      </c>
      <c r="W387" t="s">
        <v>764</v>
      </c>
      <c r="X387" s="6">
        <v>42054.702291666668</v>
      </c>
      <c r="Y387" t="s">
        <v>122</v>
      </c>
      <c r="AB387" t="s">
        <v>200</v>
      </c>
      <c r="AC387" t="s">
        <v>247</v>
      </c>
      <c r="AD387" t="s">
        <v>222</v>
      </c>
      <c r="AE387" t="s">
        <v>221</v>
      </c>
      <c r="AG387" t="s">
        <v>121</v>
      </c>
      <c r="AH387" t="s">
        <v>327</v>
      </c>
      <c r="AI387" t="s">
        <v>121</v>
      </c>
      <c r="AJ387" t="s">
        <v>715</v>
      </c>
      <c r="AK387" t="s">
        <v>121</v>
      </c>
    </row>
    <row r="388" spans="9:37" x14ac:dyDescent="0.3">
      <c r="I388">
        <f ca="1">IF(OR(INDIRECT(A73&amp;ROW())=B93,INDIRECT(A73&amp;ROW())=B94),1,IF(AND(INDIRECT(A73&amp;ROW())=B95,INDIRECT(A96&amp;ROW())=C93),1,IF(AND(INDIRECT(A73&amp;ROW())=B95,INDIRECT(A96&amp;ROW())=C94),1,0)))</f>
        <v>1</v>
      </c>
      <c r="J388">
        <f ca="1">IF(AND(INDIRECT(A73&amp;ROW())=B95,INDIRECT(A96&amp;ROW())=C95),1,IF(AND(INDIRECT(A73&amp;ROW())=B95,INDIRECT(A96&amp;ROW())=C96),1,0))</f>
        <v>0</v>
      </c>
      <c r="K388">
        <f ca="1">DAYS360(INDIRECT(C68&amp;ROW()),TODAY())</f>
        <v>792</v>
      </c>
      <c r="L388">
        <f ca="1">DAYS360(INDIRECT(C69&amp;ROW()),TODAY())</f>
        <v>793</v>
      </c>
      <c r="M388">
        <f ca="1">HYPERLINK(CONCATENATE("https://bugzilla.houston.hp.com:1181/bugzilla/show_bug.cgi?id=",INDIRECT(C70&amp;ROW())),INDIRECT(C70&amp;ROW()))</f>
        <v>57481</v>
      </c>
      <c r="N388">
        <v>57481</v>
      </c>
      <c r="O388" t="s">
        <v>241</v>
      </c>
      <c r="P388" t="s">
        <v>756</v>
      </c>
      <c r="Q388" t="s">
        <v>25</v>
      </c>
      <c r="R388" t="s">
        <v>248</v>
      </c>
      <c r="S388" t="s">
        <v>552</v>
      </c>
      <c r="U388" s="6">
        <v>42055.636655092596</v>
      </c>
      <c r="V388" t="s">
        <v>18</v>
      </c>
      <c r="W388" t="s">
        <v>764</v>
      </c>
      <c r="X388" s="6">
        <v>42054.702337962961</v>
      </c>
      <c r="Y388" t="s">
        <v>122</v>
      </c>
      <c r="AB388" t="s">
        <v>200</v>
      </c>
      <c r="AC388" t="s">
        <v>247</v>
      </c>
      <c r="AD388" t="s">
        <v>222</v>
      </c>
      <c r="AE388" t="s">
        <v>221</v>
      </c>
      <c r="AG388" t="s">
        <v>121</v>
      </c>
      <c r="AH388" t="s">
        <v>327</v>
      </c>
      <c r="AI388" t="s">
        <v>121</v>
      </c>
      <c r="AJ388" t="s">
        <v>715</v>
      </c>
      <c r="AK388" t="s">
        <v>121</v>
      </c>
    </row>
    <row r="389" spans="9:37" x14ac:dyDescent="0.3">
      <c r="I389">
        <f ca="1">IF(OR(INDIRECT(A73&amp;ROW())=B93,INDIRECT(A73&amp;ROW())=B94),1,IF(AND(INDIRECT(A73&amp;ROW())=B95,INDIRECT(A96&amp;ROW())=C93),1,IF(AND(INDIRECT(A73&amp;ROW())=B95,INDIRECT(A96&amp;ROW())=C94),1,0)))</f>
        <v>0</v>
      </c>
      <c r="J389">
        <f ca="1">IF(AND(INDIRECT(A73&amp;ROW())=B95,INDIRECT(A96&amp;ROW())=C95),1,IF(AND(INDIRECT(A73&amp;ROW())=B95,INDIRECT(A96&amp;ROW())=C96),1,0))</f>
        <v>0</v>
      </c>
      <c r="K389">
        <f ca="1">DAYS360(INDIRECT(C68&amp;ROW()),TODAY())</f>
        <v>721</v>
      </c>
      <c r="L389">
        <f ca="1">DAYS360(INDIRECT(C69&amp;ROW()),TODAY())</f>
        <v>793</v>
      </c>
      <c r="M389">
        <f ca="1">HYPERLINK(CONCATENATE("https://bugzilla.houston.hp.com:1181/bugzilla/show_bug.cgi?id=",INDIRECT(C70&amp;ROW())),INDIRECT(C70&amp;ROW()))</f>
        <v>57493</v>
      </c>
      <c r="N389">
        <v>57493</v>
      </c>
      <c r="O389" t="s">
        <v>56</v>
      </c>
      <c r="P389" t="s">
        <v>755</v>
      </c>
      <c r="Q389" t="s">
        <v>16</v>
      </c>
      <c r="R389" t="s">
        <v>248</v>
      </c>
      <c r="S389" t="s">
        <v>552</v>
      </c>
      <c r="U389" s="6">
        <v>42125.453750000001</v>
      </c>
      <c r="V389" t="s">
        <v>18</v>
      </c>
      <c r="W389" t="s">
        <v>324</v>
      </c>
      <c r="X389" s="6">
        <v>42054.703506944446</v>
      </c>
      <c r="Y389" t="s">
        <v>122</v>
      </c>
      <c r="AB389" t="s">
        <v>200</v>
      </c>
      <c r="AC389" t="s">
        <v>247</v>
      </c>
      <c r="AD389" t="s">
        <v>220</v>
      </c>
      <c r="AE389" t="s">
        <v>219</v>
      </c>
      <c r="AG389" t="s">
        <v>121</v>
      </c>
      <c r="AH389" t="s">
        <v>327</v>
      </c>
      <c r="AI389" t="s">
        <v>121</v>
      </c>
      <c r="AJ389" t="s">
        <v>716</v>
      </c>
      <c r="AK389" t="s">
        <v>121</v>
      </c>
    </row>
    <row r="390" spans="9:37" x14ac:dyDescent="0.3">
      <c r="I390">
        <f ca="1">IF(OR(INDIRECT(A73&amp;ROW())=B93,INDIRECT(A73&amp;ROW())=B94),1,IF(AND(INDIRECT(A73&amp;ROW())=B95,INDIRECT(A96&amp;ROW())=C93),1,IF(AND(INDIRECT(A73&amp;ROW())=B95,INDIRECT(A96&amp;ROW())=C94),1,0)))</f>
        <v>1</v>
      </c>
      <c r="J390">
        <f ca="1">IF(AND(INDIRECT(A73&amp;ROW())=B95,INDIRECT(A96&amp;ROW())=C95),1,IF(AND(INDIRECT(A73&amp;ROW())=B95,INDIRECT(A96&amp;ROW())=C96),1,0))</f>
        <v>0</v>
      </c>
      <c r="K390">
        <f ca="1">DAYS360(INDIRECT(C68&amp;ROW()),TODAY())</f>
        <v>735</v>
      </c>
      <c r="L390">
        <f ca="1">DAYS360(INDIRECT(C69&amp;ROW()),TODAY())</f>
        <v>793</v>
      </c>
      <c r="M390">
        <f ca="1">HYPERLINK(CONCATENATE("https://bugzilla.houston.hp.com:1181/bugzilla/show_bug.cgi?id=",INDIRECT(C70&amp;ROW())),INDIRECT(C70&amp;ROW()))</f>
        <v>57494</v>
      </c>
      <c r="N390">
        <v>57494</v>
      </c>
      <c r="O390" t="s">
        <v>55</v>
      </c>
      <c r="P390" t="s">
        <v>754</v>
      </c>
      <c r="Q390" t="s">
        <v>25</v>
      </c>
      <c r="R390" t="s">
        <v>579</v>
      </c>
      <c r="S390" t="s">
        <v>59</v>
      </c>
      <c r="T390" t="s">
        <v>821</v>
      </c>
      <c r="U390" s="6">
        <v>42111.526689814818</v>
      </c>
      <c r="V390" t="s">
        <v>35</v>
      </c>
      <c r="W390" t="s">
        <v>215</v>
      </c>
      <c r="X390" s="6">
        <v>42054.733136574076</v>
      </c>
      <c r="Y390" t="s">
        <v>793</v>
      </c>
      <c r="AB390" t="s">
        <v>200</v>
      </c>
      <c r="AC390" t="s">
        <v>247</v>
      </c>
      <c r="AD390" t="s">
        <v>220</v>
      </c>
      <c r="AE390" t="s">
        <v>219</v>
      </c>
      <c r="AG390" t="s">
        <v>121</v>
      </c>
      <c r="AH390" t="s">
        <v>327</v>
      </c>
      <c r="AI390" t="s">
        <v>362</v>
      </c>
      <c r="AJ390" t="s">
        <v>715</v>
      </c>
      <c r="AK390" t="s">
        <v>121</v>
      </c>
    </row>
    <row r="391" spans="9:37" x14ac:dyDescent="0.3">
      <c r="I391">
        <f ca="1">IF(OR(INDIRECT(A73&amp;ROW())=B93,INDIRECT(A73&amp;ROW())=B94),1,IF(AND(INDIRECT(A73&amp;ROW())=B95,INDIRECT(A96&amp;ROW())=C93),1,IF(AND(INDIRECT(A73&amp;ROW())=B95,INDIRECT(A96&amp;ROW())=C94),1,0)))</f>
        <v>1</v>
      </c>
      <c r="J391">
        <f ca="1">IF(AND(INDIRECT(A73&amp;ROW())=B95,INDIRECT(A96&amp;ROW())=C95),1,IF(AND(INDIRECT(A73&amp;ROW())=B95,INDIRECT(A96&amp;ROW())=C96),1,0))</f>
        <v>0</v>
      </c>
      <c r="K391">
        <f ca="1">DAYS360(INDIRECT(C68&amp;ROW()),TODAY())</f>
        <v>776</v>
      </c>
      <c r="L391">
        <f ca="1">DAYS360(INDIRECT(C69&amp;ROW()),TODAY())</f>
        <v>793</v>
      </c>
      <c r="M391">
        <f ca="1">HYPERLINK(CONCATENATE("https://bugzilla.houston.hp.com:1181/bugzilla/show_bug.cgi?id=",INDIRECT(C70&amp;ROW())),INDIRECT(C70&amp;ROW()))</f>
        <v>57500</v>
      </c>
      <c r="N391">
        <v>57500</v>
      </c>
      <c r="O391" t="s">
        <v>43</v>
      </c>
      <c r="P391" t="s">
        <v>766</v>
      </c>
      <c r="Q391" t="s">
        <v>25</v>
      </c>
      <c r="R391" t="s">
        <v>251</v>
      </c>
      <c r="S391" t="s">
        <v>765</v>
      </c>
      <c r="U391" s="6">
        <v>42069.583437499998</v>
      </c>
      <c r="V391" t="s">
        <v>35</v>
      </c>
      <c r="W391" t="s">
        <v>764</v>
      </c>
      <c r="X391" s="6">
        <v>42054.964317129627</v>
      </c>
      <c r="Y391" t="s">
        <v>124</v>
      </c>
      <c r="AB391" t="s">
        <v>200</v>
      </c>
      <c r="AC391" t="s">
        <v>247</v>
      </c>
      <c r="AD391" t="s">
        <v>220</v>
      </c>
      <c r="AE391" t="s">
        <v>219</v>
      </c>
      <c r="AG391" t="s">
        <v>121</v>
      </c>
      <c r="AH391" t="s">
        <v>327</v>
      </c>
      <c r="AI391" t="s">
        <v>121</v>
      </c>
      <c r="AJ391" t="s">
        <v>715</v>
      </c>
      <c r="AK391" t="s">
        <v>121</v>
      </c>
    </row>
    <row r="392" spans="9:37" x14ac:dyDescent="0.3">
      <c r="I392">
        <f ca="1">IF(OR(INDIRECT(A73&amp;ROW())=B93,INDIRECT(A73&amp;ROW())=B94),1,IF(AND(INDIRECT(A73&amp;ROW())=B95,INDIRECT(A96&amp;ROW())=C93),1,IF(AND(INDIRECT(A73&amp;ROW())=B95,INDIRECT(A96&amp;ROW())=C94),1,0)))</f>
        <v>0</v>
      </c>
      <c r="J392">
        <f ca="1">IF(AND(INDIRECT(A73&amp;ROW())=B95,INDIRECT(A96&amp;ROW())=C95),1,IF(AND(INDIRECT(A73&amp;ROW())=B95,INDIRECT(A96&amp;ROW())=C96),1,0))</f>
        <v>1</v>
      </c>
      <c r="K392">
        <f ca="1">DAYS360(INDIRECT(C68&amp;ROW()),TODAY())</f>
        <v>721</v>
      </c>
      <c r="L392">
        <f ca="1">DAYS360(INDIRECT(C69&amp;ROW()),TODAY())</f>
        <v>792</v>
      </c>
      <c r="M392">
        <f ca="1">HYPERLINK(CONCATENATE("https://bugzilla.houston.hp.com:1181/bugzilla/show_bug.cgi?id=",INDIRECT(C70&amp;ROW())),INDIRECT(C70&amp;ROW()))</f>
        <v>57551</v>
      </c>
      <c r="N392">
        <v>57551</v>
      </c>
      <c r="O392" t="s">
        <v>53</v>
      </c>
      <c r="P392" t="s">
        <v>753</v>
      </c>
      <c r="Q392" t="s">
        <v>25</v>
      </c>
      <c r="R392" t="s">
        <v>248</v>
      </c>
      <c r="S392" t="s">
        <v>552</v>
      </c>
      <c r="U392" s="6">
        <v>42125.452893518515</v>
      </c>
      <c r="V392" t="s">
        <v>18</v>
      </c>
      <c r="W392" t="s">
        <v>343</v>
      </c>
      <c r="X392" s="6">
        <v>42055.264386574076</v>
      </c>
      <c r="Y392" t="s">
        <v>122</v>
      </c>
      <c r="AB392" t="s">
        <v>201</v>
      </c>
      <c r="AC392" t="s">
        <v>247</v>
      </c>
      <c r="AD392" t="s">
        <v>220</v>
      </c>
      <c r="AE392" t="s">
        <v>219</v>
      </c>
      <c r="AG392" t="s">
        <v>121</v>
      </c>
      <c r="AH392" t="s">
        <v>327</v>
      </c>
      <c r="AI392" t="s">
        <v>121</v>
      </c>
      <c r="AJ392" t="s">
        <v>716</v>
      </c>
      <c r="AK392" t="s">
        <v>121</v>
      </c>
    </row>
    <row r="393" spans="9:37" x14ac:dyDescent="0.3">
      <c r="I393">
        <f ca="1">IF(OR(INDIRECT(A73&amp;ROW())=B93,INDIRECT(A73&amp;ROW())=B94),1,IF(AND(INDIRECT(A73&amp;ROW())=B95,INDIRECT(A96&amp;ROW())=C93),1,IF(AND(INDIRECT(A73&amp;ROW())=B95,INDIRECT(A96&amp;ROW())=C94),1,0)))</f>
        <v>0</v>
      </c>
      <c r="J393">
        <f ca="1">IF(AND(INDIRECT(A73&amp;ROW())=B95,INDIRECT(A96&amp;ROW())=C95),1,IF(AND(INDIRECT(A73&amp;ROW())=B95,INDIRECT(A96&amp;ROW())=C96),1,0))</f>
        <v>0</v>
      </c>
      <c r="K393">
        <f ca="1">DAYS360(INDIRECT(C68&amp;ROW()),TODAY())</f>
        <v>721</v>
      </c>
      <c r="L393">
        <f ca="1">DAYS360(INDIRECT(C69&amp;ROW()),TODAY())</f>
        <v>792</v>
      </c>
      <c r="M393">
        <f ca="1">HYPERLINK(CONCATENATE("https://bugzilla.houston.hp.com:1181/bugzilla/show_bug.cgi?id=",INDIRECT(C70&amp;ROW())),INDIRECT(C70&amp;ROW()))</f>
        <v>57564</v>
      </c>
      <c r="N393">
        <v>57564</v>
      </c>
      <c r="O393" t="s">
        <v>36</v>
      </c>
      <c r="P393" t="s">
        <v>751</v>
      </c>
      <c r="Q393" t="s">
        <v>16</v>
      </c>
      <c r="R393" t="s">
        <v>248</v>
      </c>
      <c r="S393" t="s">
        <v>552</v>
      </c>
      <c r="U393" s="6">
        <v>42125.453009259261</v>
      </c>
      <c r="V393" t="s">
        <v>18</v>
      </c>
      <c r="W393" t="s">
        <v>372</v>
      </c>
      <c r="X393" s="6">
        <v>42055.2655787037</v>
      </c>
      <c r="Y393" t="s">
        <v>122</v>
      </c>
      <c r="AB393" t="s">
        <v>201</v>
      </c>
      <c r="AC393" t="s">
        <v>247</v>
      </c>
      <c r="AD393" t="s">
        <v>222</v>
      </c>
      <c r="AE393" t="s">
        <v>240</v>
      </c>
      <c r="AG393" t="s">
        <v>121</v>
      </c>
      <c r="AH393" t="s">
        <v>327</v>
      </c>
      <c r="AI393" t="s">
        <v>121</v>
      </c>
      <c r="AJ393" t="s">
        <v>716</v>
      </c>
      <c r="AK393" t="s">
        <v>121</v>
      </c>
    </row>
    <row r="394" spans="9:37" x14ac:dyDescent="0.3">
      <c r="I394">
        <f ca="1">IF(OR(INDIRECT(A73&amp;ROW())=B93,INDIRECT(A73&amp;ROW())=B94),1,IF(AND(INDIRECT(A73&amp;ROW())=B95,INDIRECT(A96&amp;ROW())=C93),1,IF(AND(INDIRECT(A73&amp;ROW())=B95,INDIRECT(A96&amp;ROW())=C94),1,0)))</f>
        <v>0</v>
      </c>
      <c r="J394">
        <f ca="1">IF(AND(INDIRECT(A73&amp;ROW())=B95,INDIRECT(A96&amp;ROW())=C95),1,IF(AND(INDIRECT(A73&amp;ROW())=B95,INDIRECT(A96&amp;ROW())=C96),1,0))</f>
        <v>0</v>
      </c>
      <c r="K394">
        <f ca="1">DAYS360(INDIRECT(C68&amp;ROW()),TODAY())</f>
        <v>792</v>
      </c>
      <c r="L394">
        <f ca="1">DAYS360(INDIRECT(C69&amp;ROW()),TODAY())</f>
        <v>792</v>
      </c>
      <c r="M394">
        <f ca="1">HYPERLINK(CONCATENATE("https://bugzilla.houston.hp.com:1181/bugzilla/show_bug.cgi?id=",INDIRECT(C70&amp;ROW())),INDIRECT(C70&amp;ROW()))</f>
        <v>57582</v>
      </c>
      <c r="N394">
        <v>57582</v>
      </c>
      <c r="O394" t="s">
        <v>66</v>
      </c>
      <c r="P394" t="s">
        <v>750</v>
      </c>
      <c r="Q394" t="s">
        <v>16</v>
      </c>
      <c r="R394" t="s">
        <v>248</v>
      </c>
      <c r="S394" t="s">
        <v>552</v>
      </c>
      <c r="U394" s="6">
        <v>42055.267337962963</v>
      </c>
      <c r="V394" t="s">
        <v>18</v>
      </c>
      <c r="W394" t="s">
        <v>322</v>
      </c>
      <c r="X394" s="6">
        <v>42055.267337962963</v>
      </c>
      <c r="Y394" t="s">
        <v>124</v>
      </c>
      <c r="AB394" t="s">
        <v>201</v>
      </c>
      <c r="AC394" t="s">
        <v>247</v>
      </c>
      <c r="AD394" t="s">
        <v>220</v>
      </c>
      <c r="AE394" t="s">
        <v>219</v>
      </c>
      <c r="AG394" t="s">
        <v>121</v>
      </c>
      <c r="AH394" t="s">
        <v>327</v>
      </c>
      <c r="AI394" t="s">
        <v>121</v>
      </c>
      <c r="AJ394" t="s">
        <v>717</v>
      </c>
      <c r="AK394" t="s">
        <v>121</v>
      </c>
    </row>
    <row r="395" spans="9:37" x14ac:dyDescent="0.3">
      <c r="I395">
        <f ca="1">IF(OR(INDIRECT(A73&amp;ROW())=B93,INDIRECT(A73&amp;ROW())=B94),1,IF(AND(INDIRECT(A73&amp;ROW())=B95,INDIRECT(A96&amp;ROW())=C93),1,IF(AND(INDIRECT(A73&amp;ROW())=B95,INDIRECT(A96&amp;ROW())=C94),1,0)))</f>
        <v>0</v>
      </c>
      <c r="J395">
        <f ca="1">IF(AND(INDIRECT(A73&amp;ROW())=B95,INDIRECT(A96&amp;ROW())=C95),1,IF(AND(INDIRECT(A73&amp;ROW())=B95,INDIRECT(A96&amp;ROW())=C96),1,0))</f>
        <v>1</v>
      </c>
      <c r="K395">
        <f ca="1">DAYS360(INDIRECT(C68&amp;ROW()),TODAY())</f>
        <v>721</v>
      </c>
      <c r="L395">
        <f ca="1">DAYS360(INDIRECT(C69&amp;ROW()),TODAY())</f>
        <v>792</v>
      </c>
      <c r="M395">
        <f ca="1">HYPERLINK(CONCATENATE("https://bugzilla.houston.hp.com:1181/bugzilla/show_bug.cgi?id=",INDIRECT(C70&amp;ROW())),INDIRECT(C70&amp;ROW()))</f>
        <v>57594</v>
      </c>
      <c r="N395">
        <v>57594</v>
      </c>
      <c r="O395" t="s">
        <v>66</v>
      </c>
      <c r="P395" t="s">
        <v>749</v>
      </c>
      <c r="Q395" t="s">
        <v>25</v>
      </c>
      <c r="R395" t="s">
        <v>248</v>
      </c>
      <c r="S395" t="s">
        <v>552</v>
      </c>
      <c r="U395" s="6">
        <v>42125.450868055559</v>
      </c>
      <c r="V395" t="s">
        <v>18</v>
      </c>
      <c r="W395" t="s">
        <v>372</v>
      </c>
      <c r="X395" s="6">
        <v>42055.268506944441</v>
      </c>
      <c r="Y395" t="s">
        <v>122</v>
      </c>
      <c r="AB395" t="s">
        <v>201</v>
      </c>
      <c r="AC395" t="s">
        <v>247</v>
      </c>
      <c r="AD395" t="s">
        <v>220</v>
      </c>
      <c r="AE395" t="s">
        <v>219</v>
      </c>
      <c r="AG395" t="s">
        <v>121</v>
      </c>
      <c r="AH395" t="s">
        <v>327</v>
      </c>
      <c r="AI395" t="s">
        <v>121</v>
      </c>
      <c r="AJ395" t="s">
        <v>716</v>
      </c>
      <c r="AK395" t="s">
        <v>121</v>
      </c>
    </row>
    <row r="396" spans="9:37" x14ac:dyDescent="0.3">
      <c r="I396">
        <f ca="1">IF(OR(INDIRECT(A73&amp;ROW())=B93,INDIRECT(A73&amp;ROW())=B94),1,IF(AND(INDIRECT(A73&amp;ROW())=B95,INDIRECT(A96&amp;ROW())=C93),1,IF(AND(INDIRECT(A73&amp;ROW())=B95,INDIRECT(A96&amp;ROW())=C94),1,0)))</f>
        <v>1</v>
      </c>
      <c r="J396">
        <f ca="1">IF(AND(INDIRECT(A73&amp;ROW())=B95,INDIRECT(A96&amp;ROW())=C95),1,IF(AND(INDIRECT(A73&amp;ROW())=B95,INDIRECT(A96&amp;ROW())=C96),1,0))</f>
        <v>0</v>
      </c>
      <c r="K396">
        <f ca="1">DAYS360(INDIRECT(C68&amp;ROW()),TODAY())</f>
        <v>735</v>
      </c>
      <c r="L396">
        <f ca="1">DAYS360(INDIRECT(C69&amp;ROW()),TODAY())</f>
        <v>792</v>
      </c>
      <c r="M396">
        <f ca="1">HYPERLINK(CONCATENATE("https://bugzilla.houston.hp.com:1181/bugzilla/show_bug.cgi?id=",INDIRECT(C70&amp;ROW())),INDIRECT(C70&amp;ROW()))</f>
        <v>57652</v>
      </c>
      <c r="N396">
        <v>57652</v>
      </c>
      <c r="O396" t="s">
        <v>50</v>
      </c>
      <c r="P396" t="s">
        <v>760</v>
      </c>
      <c r="Q396" t="s">
        <v>25</v>
      </c>
      <c r="R396" t="s">
        <v>579</v>
      </c>
      <c r="S396" t="s">
        <v>44</v>
      </c>
      <c r="T396" t="s">
        <v>820</v>
      </c>
      <c r="U396" s="6">
        <v>42111.527303240742</v>
      </c>
      <c r="V396" t="s">
        <v>18</v>
      </c>
      <c r="W396" t="s">
        <v>215</v>
      </c>
      <c r="X396" s="6">
        <v>42055.521377314813</v>
      </c>
      <c r="Y396" t="s">
        <v>119</v>
      </c>
      <c r="AB396" t="s">
        <v>200</v>
      </c>
      <c r="AC396" t="s">
        <v>121</v>
      </c>
      <c r="AD396" t="s">
        <v>227</v>
      </c>
      <c r="AE396" t="s">
        <v>226</v>
      </c>
      <c r="AG396" t="s">
        <v>121</v>
      </c>
      <c r="AH396" t="s">
        <v>327</v>
      </c>
      <c r="AI396" t="s">
        <v>362</v>
      </c>
      <c r="AJ396" t="s">
        <v>715</v>
      </c>
      <c r="AK396" t="s">
        <v>121</v>
      </c>
    </row>
    <row r="397" spans="9:37" x14ac:dyDescent="0.3">
      <c r="I397">
        <f ca="1">IF(OR(INDIRECT(A73&amp;ROW())=B93,INDIRECT(A73&amp;ROW())=B94),1,IF(AND(INDIRECT(A73&amp;ROW())=B95,INDIRECT(A96&amp;ROW())=C93),1,IF(AND(INDIRECT(A73&amp;ROW())=B95,INDIRECT(A96&amp;ROW())=C94),1,0)))</f>
        <v>1</v>
      </c>
      <c r="J397">
        <f ca="1">IF(AND(INDIRECT(A73&amp;ROW())=B95,INDIRECT(A96&amp;ROW())=C95),1,IF(AND(INDIRECT(A73&amp;ROW())=B95,INDIRECT(A96&amp;ROW())=C96),1,0))</f>
        <v>0</v>
      </c>
      <c r="K397">
        <f ca="1">DAYS360(INDIRECT(C68&amp;ROW()),TODAY())</f>
        <v>764</v>
      </c>
      <c r="L397">
        <f ca="1">DAYS360(INDIRECT(C69&amp;ROW()),TODAY())</f>
        <v>788</v>
      </c>
      <c r="M397">
        <f ca="1">HYPERLINK(CONCATENATE("https://bugzilla.houston.hp.com:1181/bugzilla/show_bug.cgi?id=",INDIRECT(C70&amp;ROW())),INDIRECT(C70&amp;ROW()))</f>
        <v>57749</v>
      </c>
      <c r="N397">
        <v>57749</v>
      </c>
      <c r="O397" t="s">
        <v>56</v>
      </c>
      <c r="P397" t="s">
        <v>763</v>
      </c>
      <c r="Q397" t="s">
        <v>25</v>
      </c>
      <c r="R397" t="s">
        <v>248</v>
      </c>
      <c r="S397" t="s">
        <v>552</v>
      </c>
      <c r="U397" s="6">
        <v>42081.374513888892</v>
      </c>
      <c r="V397" t="s">
        <v>18</v>
      </c>
      <c r="W397" t="s">
        <v>764</v>
      </c>
      <c r="X397" s="6">
        <v>42059.329548611109</v>
      </c>
      <c r="Y397" t="s">
        <v>124</v>
      </c>
      <c r="AB397" t="s">
        <v>200</v>
      </c>
      <c r="AC397" t="s">
        <v>247</v>
      </c>
      <c r="AD397" t="s">
        <v>220</v>
      </c>
      <c r="AE397" t="s">
        <v>219</v>
      </c>
      <c r="AG397" t="s">
        <v>121</v>
      </c>
      <c r="AH397" t="s">
        <v>327</v>
      </c>
      <c r="AI397" t="s">
        <v>121</v>
      </c>
      <c r="AJ397" t="s">
        <v>715</v>
      </c>
      <c r="AK397" t="s">
        <v>121</v>
      </c>
    </row>
    <row r="398" spans="9:37" x14ac:dyDescent="0.3">
      <c r="I398">
        <f ca="1">IF(OR(INDIRECT(A73&amp;ROW())=B93,INDIRECT(A73&amp;ROW())=B94),1,IF(AND(INDIRECT(A73&amp;ROW())=B95,INDIRECT(A96&amp;ROW())=C93),1,IF(AND(INDIRECT(A73&amp;ROW())=B95,INDIRECT(A96&amp;ROW())=C94),1,0)))</f>
        <v>1</v>
      </c>
      <c r="J398">
        <f ca="1">IF(AND(INDIRECT(A73&amp;ROW())=B95,INDIRECT(A96&amp;ROW())=C95),1,IF(AND(INDIRECT(A73&amp;ROW())=B95,INDIRECT(A96&amp;ROW())=C96),1,0))</f>
        <v>0</v>
      </c>
      <c r="K398">
        <f ca="1">DAYS360(INDIRECT(C68&amp;ROW()),TODAY())</f>
        <v>759</v>
      </c>
      <c r="L398">
        <f ca="1">DAYS360(INDIRECT(C69&amp;ROW()),TODAY())</f>
        <v>788</v>
      </c>
      <c r="M398">
        <f ca="1">HYPERLINK(CONCATENATE("https://bugzilla.houston.hp.com:1181/bugzilla/show_bug.cgi?id=",INDIRECT(C70&amp;ROW())),INDIRECT(C70&amp;ROW()))</f>
        <v>57752</v>
      </c>
      <c r="N398">
        <v>57752</v>
      </c>
      <c r="O398" t="s">
        <v>164</v>
      </c>
      <c r="P398" t="s">
        <v>762</v>
      </c>
      <c r="Q398" t="s">
        <v>25</v>
      </c>
      <c r="R398" t="s">
        <v>248</v>
      </c>
      <c r="S398" t="s">
        <v>552</v>
      </c>
      <c r="U398" s="6">
        <v>42086.241550925923</v>
      </c>
      <c r="V398" t="s">
        <v>18</v>
      </c>
      <c r="W398" t="s">
        <v>512</v>
      </c>
      <c r="X398" s="6">
        <v>42059.3596412037</v>
      </c>
      <c r="Y398" t="s">
        <v>255</v>
      </c>
      <c r="AB398" t="s">
        <v>200</v>
      </c>
      <c r="AC398" t="s">
        <v>247</v>
      </c>
      <c r="AD398" t="s">
        <v>220</v>
      </c>
      <c r="AE398" t="s">
        <v>219</v>
      </c>
      <c r="AG398" t="s">
        <v>121</v>
      </c>
      <c r="AH398" t="s">
        <v>327</v>
      </c>
      <c r="AI398" t="s">
        <v>121</v>
      </c>
      <c r="AJ398" t="s">
        <v>715</v>
      </c>
      <c r="AK398" t="s">
        <v>121</v>
      </c>
    </row>
    <row r="399" spans="9:37" x14ac:dyDescent="0.3">
      <c r="I399">
        <f ca="1">IF(OR(INDIRECT(A73&amp;ROW())=B93,INDIRECT(A73&amp;ROW())=B94),1,IF(AND(INDIRECT(A73&amp;ROW())=B95,INDIRECT(A96&amp;ROW())=C93),1,IF(AND(INDIRECT(A73&amp;ROW())=B95,INDIRECT(A96&amp;ROW())=C94),1,0)))</f>
        <v>0</v>
      </c>
      <c r="J399">
        <f ca="1">IF(AND(INDIRECT(A73&amp;ROW())=B95,INDIRECT(A96&amp;ROW())=C95),1,IF(AND(INDIRECT(A73&amp;ROW())=B95,INDIRECT(A96&amp;ROW())=C96),1,0))</f>
        <v>1</v>
      </c>
      <c r="K399">
        <f ca="1">DAYS360(INDIRECT(C68&amp;ROW()),TODAY())</f>
        <v>721</v>
      </c>
      <c r="L399">
        <f ca="1">DAYS360(INDIRECT(C69&amp;ROW()),TODAY())</f>
        <v>781</v>
      </c>
      <c r="M399">
        <f ca="1">HYPERLINK(CONCATENATE("https://bugzilla.houston.hp.com:1181/bugzilla/show_bug.cgi?id=",INDIRECT(C70&amp;ROW())),INDIRECT(C70&amp;ROW()))</f>
        <v>57963</v>
      </c>
      <c r="N399">
        <v>57963</v>
      </c>
      <c r="O399" t="s">
        <v>241</v>
      </c>
      <c r="P399" t="s">
        <v>778</v>
      </c>
      <c r="Q399" t="s">
        <v>25</v>
      </c>
      <c r="R399" t="s">
        <v>251</v>
      </c>
      <c r="S399" t="s">
        <v>236</v>
      </c>
      <c r="U399" s="6">
        <v>42125.683368055557</v>
      </c>
      <c r="V399" t="s">
        <v>18</v>
      </c>
      <c r="W399" t="s">
        <v>17</v>
      </c>
      <c r="X399" s="6">
        <v>42064.456296296295</v>
      </c>
      <c r="Y399" t="s">
        <v>255</v>
      </c>
      <c r="AB399" t="s">
        <v>201</v>
      </c>
      <c r="AC399" t="s">
        <v>247</v>
      </c>
      <c r="AD399" t="s">
        <v>227</v>
      </c>
      <c r="AE399" t="s">
        <v>237</v>
      </c>
      <c r="AG399" t="s">
        <v>121</v>
      </c>
      <c r="AH399" t="s">
        <v>327</v>
      </c>
      <c r="AI399" t="s">
        <v>121</v>
      </c>
      <c r="AJ399" t="s">
        <v>716</v>
      </c>
      <c r="AK399" t="s">
        <v>121</v>
      </c>
    </row>
    <row r="400" spans="9:37" x14ac:dyDescent="0.3">
      <c r="I400">
        <f ca="1">IF(OR(INDIRECT(A73&amp;ROW())=B93,INDIRECT(A73&amp;ROW())=B94),1,IF(AND(INDIRECT(A73&amp;ROW())=B95,INDIRECT(A96&amp;ROW())=C93),1,IF(AND(INDIRECT(A73&amp;ROW())=B95,INDIRECT(A96&amp;ROW())=C94),1,0)))</f>
        <v>0</v>
      </c>
      <c r="J400">
        <f ca="1">IF(AND(INDIRECT(A73&amp;ROW())=B95,INDIRECT(A96&amp;ROW())=C95),1,IF(AND(INDIRECT(A73&amp;ROW())=B95,INDIRECT(A96&amp;ROW())=C96),1,0))</f>
        <v>1</v>
      </c>
      <c r="K400">
        <f ca="1">DAYS360(INDIRECT(C68&amp;ROW()),TODAY())</f>
        <v>730</v>
      </c>
      <c r="L400">
        <f ca="1">DAYS360(INDIRECT(C69&amp;ROW()),TODAY())</f>
        <v>781</v>
      </c>
      <c r="M400">
        <f ca="1">HYPERLINK(CONCATENATE("https://bugzilla.houston.hp.com:1181/bugzilla/show_bug.cgi?id=",INDIRECT(C70&amp;ROW())),INDIRECT(C70&amp;ROW()))</f>
        <v>57964</v>
      </c>
      <c r="N400">
        <v>57964</v>
      </c>
      <c r="O400" t="s">
        <v>56</v>
      </c>
      <c r="P400" t="s">
        <v>777</v>
      </c>
      <c r="Q400" t="s">
        <v>25</v>
      </c>
      <c r="R400" t="s">
        <v>251</v>
      </c>
      <c r="S400" t="s">
        <v>236</v>
      </c>
      <c r="U400" s="6">
        <v>42116.736770833333</v>
      </c>
      <c r="V400" t="s">
        <v>18</v>
      </c>
      <c r="W400" t="s">
        <v>17</v>
      </c>
      <c r="X400" s="6">
        <v>42064.457870370374</v>
      </c>
      <c r="Y400" t="s">
        <v>255</v>
      </c>
      <c r="AB400" t="s">
        <v>201</v>
      </c>
      <c r="AC400" t="s">
        <v>247</v>
      </c>
      <c r="AD400" t="s">
        <v>220</v>
      </c>
      <c r="AE400" t="s">
        <v>219</v>
      </c>
      <c r="AG400" t="s">
        <v>121</v>
      </c>
      <c r="AH400" t="s">
        <v>327</v>
      </c>
      <c r="AI400" t="s">
        <v>121</v>
      </c>
      <c r="AJ400" t="s">
        <v>716</v>
      </c>
      <c r="AK400" t="s">
        <v>121</v>
      </c>
    </row>
    <row r="401" spans="9:37" x14ac:dyDescent="0.3">
      <c r="I401">
        <f ca="1">IF(OR(INDIRECT(A73&amp;ROW())=B93,INDIRECT(A73&amp;ROW())=B94),1,IF(AND(INDIRECT(A73&amp;ROW())=B95,INDIRECT(A96&amp;ROW())=C93),1,IF(AND(INDIRECT(A73&amp;ROW())=B95,INDIRECT(A96&amp;ROW())=C94),1,0)))</f>
        <v>0</v>
      </c>
      <c r="J401">
        <f ca="1">IF(AND(INDIRECT(A73&amp;ROW())=B95,INDIRECT(A96&amp;ROW())=C95),1,IF(AND(INDIRECT(A73&amp;ROW())=B95,INDIRECT(A96&amp;ROW())=C96),1,0))</f>
        <v>1</v>
      </c>
      <c r="K401">
        <f ca="1">DAYS360(INDIRECT(C68&amp;ROW()),TODAY())</f>
        <v>721</v>
      </c>
      <c r="L401">
        <f ca="1">DAYS360(INDIRECT(C69&amp;ROW()),TODAY())</f>
        <v>780</v>
      </c>
      <c r="M401">
        <f ca="1">HYPERLINK(CONCATENATE("https://bugzilla.houston.hp.com:1181/bugzilla/show_bug.cgi?id=",INDIRECT(C70&amp;ROW())),INDIRECT(C70&amp;ROW()))</f>
        <v>58013</v>
      </c>
      <c r="N401">
        <v>58013</v>
      </c>
      <c r="O401" t="s">
        <v>241</v>
      </c>
      <c r="P401" t="s">
        <v>776</v>
      </c>
      <c r="Q401" t="s">
        <v>25</v>
      </c>
      <c r="R401" t="s">
        <v>248</v>
      </c>
      <c r="S401" t="s">
        <v>552</v>
      </c>
      <c r="U401" s="6">
        <v>42125.683310185188</v>
      </c>
      <c r="V401" t="s">
        <v>18</v>
      </c>
      <c r="W401" t="s">
        <v>576</v>
      </c>
      <c r="X401" s="6">
        <v>42065.375162037039</v>
      </c>
      <c r="Y401" t="s">
        <v>255</v>
      </c>
      <c r="AB401" t="s">
        <v>201</v>
      </c>
      <c r="AC401" t="s">
        <v>247</v>
      </c>
      <c r="AD401" t="s">
        <v>227</v>
      </c>
      <c r="AE401" t="s">
        <v>237</v>
      </c>
      <c r="AG401" t="s">
        <v>121</v>
      </c>
      <c r="AH401" t="s">
        <v>327</v>
      </c>
      <c r="AI401" t="s">
        <v>121</v>
      </c>
      <c r="AJ401" t="s">
        <v>716</v>
      </c>
      <c r="AK401" t="s">
        <v>121</v>
      </c>
    </row>
    <row r="402" spans="9:37" x14ac:dyDescent="0.3">
      <c r="I402">
        <f ca="1">IF(OR(INDIRECT(A73&amp;ROW())=B93,INDIRECT(A73&amp;ROW())=B94),1,IF(AND(INDIRECT(A73&amp;ROW())=B95,INDIRECT(A96&amp;ROW())=C93),1,IF(AND(INDIRECT(A73&amp;ROW())=B95,INDIRECT(A96&amp;ROW())=C94),1,0)))</f>
        <v>0</v>
      </c>
      <c r="J402">
        <f ca="1">IF(AND(INDIRECT(A73&amp;ROW())=B95,INDIRECT(A96&amp;ROW())=C95),1,IF(AND(INDIRECT(A73&amp;ROW())=B95,INDIRECT(A96&amp;ROW())=C96),1,0))</f>
        <v>1</v>
      </c>
      <c r="K402">
        <f ca="1">DAYS360(INDIRECT(C68&amp;ROW()),TODAY())</f>
        <v>780</v>
      </c>
      <c r="L402">
        <f ca="1">DAYS360(INDIRECT(C69&amp;ROW()),TODAY())</f>
        <v>780</v>
      </c>
      <c r="M402">
        <f ca="1">HYPERLINK(CONCATENATE("https://bugzilla.houston.hp.com:1181/bugzilla/show_bug.cgi?id=",INDIRECT(C70&amp;ROW())),INDIRECT(C70&amp;ROW()))</f>
        <v>58015</v>
      </c>
      <c r="N402">
        <v>58015</v>
      </c>
      <c r="O402" t="s">
        <v>36</v>
      </c>
      <c r="P402" t="s">
        <v>775</v>
      </c>
      <c r="Q402" t="s">
        <v>25</v>
      </c>
      <c r="R402" t="s">
        <v>248</v>
      </c>
      <c r="S402" t="s">
        <v>552</v>
      </c>
      <c r="U402" s="6">
        <v>42065.375462962962</v>
      </c>
      <c r="V402" t="s">
        <v>18</v>
      </c>
      <c r="W402" t="s">
        <v>576</v>
      </c>
      <c r="X402" s="6">
        <v>42065.375462962962</v>
      </c>
      <c r="Y402" t="s">
        <v>255</v>
      </c>
      <c r="AB402" t="s">
        <v>201</v>
      </c>
      <c r="AC402" t="s">
        <v>247</v>
      </c>
      <c r="AD402" t="s">
        <v>220</v>
      </c>
      <c r="AE402" t="s">
        <v>243</v>
      </c>
      <c r="AG402" t="s">
        <v>121</v>
      </c>
      <c r="AH402" t="s">
        <v>327</v>
      </c>
      <c r="AI402" t="s">
        <v>121</v>
      </c>
      <c r="AJ402" t="s">
        <v>716</v>
      </c>
      <c r="AK402" t="s">
        <v>121</v>
      </c>
    </row>
    <row r="403" spans="9:37" x14ac:dyDescent="0.3">
      <c r="I403">
        <f ca="1">IF(OR(INDIRECT(A73&amp;ROW())=B93,INDIRECT(A73&amp;ROW())=B94),1,IF(AND(INDIRECT(A73&amp;ROW())=B95,INDIRECT(A96&amp;ROW())=C93),1,IF(AND(INDIRECT(A73&amp;ROW())=B95,INDIRECT(A96&amp;ROW())=C94),1,0)))</f>
        <v>0</v>
      </c>
      <c r="J403">
        <f ca="1">IF(AND(INDIRECT(A73&amp;ROW())=B95,INDIRECT(A96&amp;ROW())=C95),1,IF(AND(INDIRECT(A73&amp;ROW())=B95,INDIRECT(A96&amp;ROW())=C96),1,0))</f>
        <v>0</v>
      </c>
      <c r="K403">
        <f ca="1">DAYS360(INDIRECT(C68&amp;ROW()),TODAY())</f>
        <v>728</v>
      </c>
      <c r="L403">
        <f ca="1">DAYS360(INDIRECT(C69&amp;ROW()),TODAY())</f>
        <v>779</v>
      </c>
      <c r="M403">
        <f ca="1">HYPERLINK(CONCATENATE("https://bugzilla.houston.hp.com:1181/bugzilla/show_bug.cgi?id=",INDIRECT(C70&amp;ROW())),INDIRECT(C70&amp;ROW()))</f>
        <v>58074</v>
      </c>
      <c r="N403">
        <v>58074</v>
      </c>
      <c r="O403" t="s">
        <v>56</v>
      </c>
      <c r="P403" t="s">
        <v>774</v>
      </c>
      <c r="Q403" t="s">
        <v>16</v>
      </c>
      <c r="R403" t="s">
        <v>251</v>
      </c>
      <c r="S403" t="s">
        <v>292</v>
      </c>
      <c r="U403" s="6">
        <v>42118.524386574078</v>
      </c>
      <c r="V403" t="s">
        <v>18</v>
      </c>
      <c r="W403" t="s">
        <v>17</v>
      </c>
      <c r="X403" s="6">
        <v>42066.574571759258</v>
      </c>
      <c r="Y403" t="s">
        <v>785</v>
      </c>
      <c r="AB403" t="s">
        <v>201</v>
      </c>
      <c r="AC403" t="s">
        <v>247</v>
      </c>
      <c r="AD403" t="s">
        <v>220</v>
      </c>
      <c r="AE403" t="s">
        <v>219</v>
      </c>
      <c r="AG403" t="s">
        <v>121</v>
      </c>
      <c r="AH403" t="s">
        <v>768</v>
      </c>
      <c r="AI403" t="s">
        <v>121</v>
      </c>
      <c r="AJ403" t="s">
        <v>717</v>
      </c>
      <c r="AK403" t="s">
        <v>121</v>
      </c>
    </row>
    <row r="404" spans="9:37" x14ac:dyDescent="0.3">
      <c r="I404">
        <f ca="1">IF(OR(INDIRECT(A73&amp;ROW())=B93,INDIRECT(A73&amp;ROW())=B94),1,IF(AND(INDIRECT(A73&amp;ROW())=B95,INDIRECT(A96&amp;ROW())=C93),1,IF(AND(INDIRECT(A73&amp;ROW())=B95,INDIRECT(A96&amp;ROW())=C94),1,0)))</f>
        <v>1</v>
      </c>
      <c r="J404">
        <f ca="1">IF(AND(INDIRECT(A73&amp;ROW())=B95,INDIRECT(A96&amp;ROW())=C95),1,IF(AND(INDIRECT(A73&amp;ROW())=B95,INDIRECT(A96&amp;ROW())=C96),1,0))</f>
        <v>0</v>
      </c>
      <c r="K404">
        <f ca="1">DAYS360(INDIRECT(C68&amp;ROW()),TODAY())</f>
        <v>693</v>
      </c>
      <c r="L404">
        <f ca="1">DAYS360(INDIRECT(C69&amp;ROW()),TODAY())</f>
        <v>779</v>
      </c>
      <c r="M404">
        <f ca="1">HYPERLINK(CONCATENATE("https://bugzilla.houston.hp.com:1181/bugzilla/show_bug.cgi?id=",INDIRECT(C70&amp;ROW())),INDIRECT(C70&amp;ROW()))</f>
        <v>58079</v>
      </c>
      <c r="N404">
        <v>58079</v>
      </c>
      <c r="O404" t="s">
        <v>66</v>
      </c>
      <c r="P404" t="s">
        <v>772</v>
      </c>
      <c r="Q404" t="s">
        <v>39</v>
      </c>
      <c r="R404" t="s">
        <v>251</v>
      </c>
      <c r="S404" t="s">
        <v>66</v>
      </c>
      <c r="T404" t="s">
        <v>782</v>
      </c>
      <c r="U404" s="6">
        <v>42153.075069444443</v>
      </c>
      <c r="V404" t="s">
        <v>35</v>
      </c>
      <c r="W404" t="s">
        <v>17</v>
      </c>
      <c r="X404" s="6">
        <v>42066.752662037034</v>
      </c>
      <c r="Y404" t="s">
        <v>122</v>
      </c>
      <c r="AB404" t="s">
        <v>201</v>
      </c>
      <c r="AC404" t="s">
        <v>247</v>
      </c>
      <c r="AD404" t="s">
        <v>220</v>
      </c>
      <c r="AE404" t="s">
        <v>219</v>
      </c>
      <c r="AG404" t="s">
        <v>121</v>
      </c>
      <c r="AH404" t="s">
        <v>327</v>
      </c>
      <c r="AI404" t="s">
        <v>121</v>
      </c>
      <c r="AJ404" t="s">
        <v>715</v>
      </c>
      <c r="AK404" t="s">
        <v>121</v>
      </c>
    </row>
    <row r="405" spans="9:37" x14ac:dyDescent="0.3">
      <c r="I405">
        <f ca="1">IF(OR(INDIRECT(A73&amp;ROW())=B93,INDIRECT(A73&amp;ROW())=B94),1,IF(AND(INDIRECT(A73&amp;ROW())=B95,INDIRECT(A96&amp;ROW())=C93),1,IF(AND(INDIRECT(A73&amp;ROW())=B95,INDIRECT(A96&amp;ROW())=C94),1,0)))</f>
        <v>1</v>
      </c>
      <c r="J405">
        <f ca="1">IF(AND(INDIRECT(A73&amp;ROW())=B95,INDIRECT(A96&amp;ROW())=C95),1,IF(AND(INDIRECT(A73&amp;ROW())=B95,INDIRECT(A96&amp;ROW())=C96),1,0))</f>
        <v>0</v>
      </c>
      <c r="K405">
        <f ca="1">DAYS360(INDIRECT(C68&amp;ROW()),TODAY())</f>
        <v>735</v>
      </c>
      <c r="L405">
        <f ca="1">DAYS360(INDIRECT(C69&amp;ROW()),TODAY())</f>
        <v>778</v>
      </c>
      <c r="M405">
        <f ca="1">HYPERLINK(CONCATENATE("https://bugzilla.houston.hp.com:1181/bugzilla/show_bug.cgi?id=",INDIRECT(C70&amp;ROW())),INDIRECT(C70&amp;ROW()))</f>
        <v>58085</v>
      </c>
      <c r="N405">
        <v>58085</v>
      </c>
      <c r="O405" t="s">
        <v>66</v>
      </c>
      <c r="P405" t="s">
        <v>771</v>
      </c>
      <c r="Q405" t="s">
        <v>39</v>
      </c>
      <c r="R405" t="s">
        <v>579</v>
      </c>
      <c r="S405" t="s">
        <v>552</v>
      </c>
      <c r="T405" t="s">
        <v>820</v>
      </c>
      <c r="U405" s="6">
        <v>42111.527662037035</v>
      </c>
      <c r="V405" t="s">
        <v>18</v>
      </c>
      <c r="W405" t="s">
        <v>372</v>
      </c>
      <c r="X405" s="6">
        <v>42067.014606481483</v>
      </c>
      <c r="Y405" t="s">
        <v>122</v>
      </c>
      <c r="AB405" t="s">
        <v>201</v>
      </c>
      <c r="AC405" t="s">
        <v>247</v>
      </c>
      <c r="AD405" t="s">
        <v>220</v>
      </c>
      <c r="AE405" t="s">
        <v>219</v>
      </c>
      <c r="AG405" t="s">
        <v>121</v>
      </c>
      <c r="AH405" t="s">
        <v>327</v>
      </c>
      <c r="AI405" t="s">
        <v>362</v>
      </c>
      <c r="AJ405" t="s">
        <v>715</v>
      </c>
      <c r="AK405" t="s">
        <v>121</v>
      </c>
    </row>
    <row r="406" spans="9:37" x14ac:dyDescent="0.3">
      <c r="I406">
        <f ca="1">IF(OR(INDIRECT(A73&amp;ROW())=B93,INDIRECT(A73&amp;ROW())=B94),1,IF(AND(INDIRECT(A73&amp;ROW())=B95,INDIRECT(A96&amp;ROW())=C93),1,IF(AND(INDIRECT(A73&amp;ROW())=B95,INDIRECT(A96&amp;ROW())=C94),1,0)))</f>
        <v>1</v>
      </c>
      <c r="J406">
        <f ca="1">IF(AND(INDIRECT(A73&amp;ROW())=B95,INDIRECT(A96&amp;ROW())=C95),1,IF(AND(INDIRECT(A73&amp;ROW())=B95,INDIRECT(A96&amp;ROW())=C96),1,0))</f>
        <v>0</v>
      </c>
      <c r="K406">
        <f ca="1">DAYS360(INDIRECT(C68&amp;ROW()),TODAY())</f>
        <v>696</v>
      </c>
      <c r="L406">
        <f ca="1">DAYS360(INDIRECT(C69&amp;ROW()),TODAY())</f>
        <v>778</v>
      </c>
      <c r="M406">
        <f ca="1">HYPERLINK(CONCATENATE("https://bugzilla.houston.hp.com:1181/bugzilla/show_bug.cgi?id=",INDIRECT(C70&amp;ROW())),INDIRECT(C70&amp;ROW()))</f>
        <v>58086</v>
      </c>
      <c r="N406">
        <v>58086</v>
      </c>
      <c r="O406" t="s">
        <v>66</v>
      </c>
      <c r="P406" t="s">
        <v>770</v>
      </c>
      <c r="Q406" t="s">
        <v>39</v>
      </c>
      <c r="R406" t="s">
        <v>248</v>
      </c>
      <c r="S406" t="s">
        <v>552</v>
      </c>
      <c r="T406" t="s">
        <v>782</v>
      </c>
      <c r="U406" s="6">
        <v>42150.434467592589</v>
      </c>
      <c r="V406" t="s">
        <v>35</v>
      </c>
      <c r="W406" t="s">
        <v>372</v>
      </c>
      <c r="X406" s="6">
        <v>42067.014675925922</v>
      </c>
      <c r="Y406" t="s">
        <v>122</v>
      </c>
      <c r="AB406" t="s">
        <v>201</v>
      </c>
      <c r="AC406" t="s">
        <v>247</v>
      </c>
      <c r="AD406" t="s">
        <v>220</v>
      </c>
      <c r="AE406" t="s">
        <v>219</v>
      </c>
      <c r="AG406" t="s">
        <v>121</v>
      </c>
      <c r="AH406" t="s">
        <v>327</v>
      </c>
      <c r="AI406" t="s">
        <v>121</v>
      </c>
      <c r="AJ406" t="s">
        <v>716</v>
      </c>
      <c r="AK406" t="s">
        <v>121</v>
      </c>
    </row>
    <row r="407" spans="9:37" x14ac:dyDescent="0.3">
      <c r="I407">
        <f ca="1">IF(OR(INDIRECT(A73&amp;ROW())=B93,INDIRECT(A73&amp;ROW())=B94),1,IF(AND(INDIRECT(A73&amp;ROW())=B95,INDIRECT(A96&amp;ROW())=C93),1,IF(AND(INDIRECT(A73&amp;ROW())=B95,INDIRECT(A96&amp;ROW())=C94),1,0)))</f>
        <v>0</v>
      </c>
      <c r="J407">
        <f ca="1">IF(AND(INDIRECT(A73&amp;ROW())=B95,INDIRECT(A96&amp;ROW())=C95),1,IF(AND(INDIRECT(A73&amp;ROW())=B95,INDIRECT(A96&amp;ROW())=C96),1,0))</f>
        <v>0</v>
      </c>
      <c r="K407">
        <f ca="1">DAYS360(INDIRECT(C68&amp;ROW()),TODAY())</f>
        <v>778</v>
      </c>
      <c r="L407">
        <f ca="1">DAYS360(INDIRECT(C69&amp;ROW()),TODAY())</f>
        <v>778</v>
      </c>
      <c r="M407">
        <f ca="1">HYPERLINK(CONCATENATE("https://bugzilla.houston.hp.com:1181/bugzilla/show_bug.cgi?id=",INDIRECT(C70&amp;ROW())),INDIRECT(C70&amp;ROW()))</f>
        <v>58098</v>
      </c>
      <c r="N407">
        <v>58098</v>
      </c>
      <c r="O407" t="s">
        <v>36</v>
      </c>
      <c r="P407" t="s">
        <v>769</v>
      </c>
      <c r="Q407" t="s">
        <v>16</v>
      </c>
      <c r="R407" t="s">
        <v>248</v>
      </c>
      <c r="S407" t="s">
        <v>552</v>
      </c>
      <c r="U407" s="6">
        <v>42067.015717592592</v>
      </c>
      <c r="V407" t="s">
        <v>18</v>
      </c>
      <c r="W407" t="s">
        <v>372</v>
      </c>
      <c r="X407" s="6">
        <v>42067.015717592592</v>
      </c>
      <c r="Y407" t="s">
        <v>785</v>
      </c>
      <c r="AB407" t="s">
        <v>201</v>
      </c>
      <c r="AC407" t="s">
        <v>247</v>
      </c>
      <c r="AD407" t="s">
        <v>220</v>
      </c>
      <c r="AE407" t="s">
        <v>243</v>
      </c>
      <c r="AG407" t="s">
        <v>121</v>
      </c>
      <c r="AH407" t="s">
        <v>768</v>
      </c>
      <c r="AI407" t="s">
        <v>121</v>
      </c>
      <c r="AJ407" t="s">
        <v>717</v>
      </c>
      <c r="AK407" t="s">
        <v>121</v>
      </c>
    </row>
    <row r="408" spans="9:37" x14ac:dyDescent="0.3">
      <c r="I408">
        <f ca="1">IF(OR(INDIRECT(A73&amp;ROW())=B93,INDIRECT(A73&amp;ROW())=B94),1,IF(AND(INDIRECT(A73&amp;ROW())=B95,INDIRECT(A96&amp;ROW())=C93),1,IF(AND(INDIRECT(A73&amp;ROW())=B95,INDIRECT(A96&amp;ROW())=C94),1,0)))</f>
        <v>0</v>
      </c>
      <c r="J408">
        <f ca="1">IF(AND(INDIRECT(A73&amp;ROW())=B95,INDIRECT(A96&amp;ROW())=C95),1,IF(AND(INDIRECT(A73&amp;ROW())=B95,INDIRECT(A96&amp;ROW())=C96),1,0))</f>
        <v>1</v>
      </c>
      <c r="K408">
        <f ca="1">DAYS360(INDIRECT(C68&amp;ROW()),TODAY())</f>
        <v>690</v>
      </c>
      <c r="L408">
        <f ca="1">DAYS360(INDIRECT(C69&amp;ROW()),TODAY())</f>
        <v>776</v>
      </c>
      <c r="M408">
        <f ca="1">HYPERLINK(CONCATENATE("https://bugzilla.houston.hp.com:1181/bugzilla/show_bug.cgi?id=",INDIRECT(C70&amp;ROW())),INDIRECT(C70&amp;ROW()))</f>
        <v>58308</v>
      </c>
      <c r="N408">
        <v>58308</v>
      </c>
      <c r="O408" t="s">
        <v>22</v>
      </c>
      <c r="P408" t="s">
        <v>781</v>
      </c>
      <c r="Q408" t="s">
        <v>25</v>
      </c>
      <c r="R408" t="s">
        <v>251</v>
      </c>
      <c r="S408" t="s">
        <v>773</v>
      </c>
      <c r="U408" s="6">
        <v>42157.600729166668</v>
      </c>
      <c r="V408" t="s">
        <v>18</v>
      </c>
      <c r="W408" t="s">
        <v>17</v>
      </c>
      <c r="X408" s="6">
        <v>42069.514872685184</v>
      </c>
      <c r="Y408" t="s">
        <v>125</v>
      </c>
      <c r="AB408" t="s">
        <v>201</v>
      </c>
      <c r="AC408" t="s">
        <v>247</v>
      </c>
      <c r="AD408" t="s">
        <v>220</v>
      </c>
      <c r="AE408" t="s">
        <v>223</v>
      </c>
      <c r="AG408" t="s">
        <v>121</v>
      </c>
      <c r="AH408" t="s">
        <v>327</v>
      </c>
      <c r="AI408" t="s">
        <v>121</v>
      </c>
      <c r="AJ408" t="s">
        <v>716</v>
      </c>
      <c r="AK408" t="s">
        <v>121</v>
      </c>
    </row>
    <row r="409" spans="9:37" x14ac:dyDescent="0.3">
      <c r="I409">
        <f ca="1">IF(OR(INDIRECT(A73&amp;ROW())=B93,INDIRECT(A73&amp;ROW())=B94),1,IF(AND(INDIRECT(A73&amp;ROW())=B95,INDIRECT(A96&amp;ROW())=C93),1,IF(AND(INDIRECT(A73&amp;ROW())=B95,INDIRECT(A96&amp;ROW())=C94),1,0)))</f>
        <v>0</v>
      </c>
      <c r="J409">
        <f ca="1">IF(AND(INDIRECT(A73&amp;ROW())=B95,INDIRECT(A96&amp;ROW())=C95),1,IF(AND(INDIRECT(A73&amp;ROW())=B95,INDIRECT(A96&amp;ROW())=C96),1,0))</f>
        <v>1</v>
      </c>
      <c r="K409">
        <f ca="1">DAYS360(INDIRECT(C68&amp;ROW()),TODAY())</f>
        <v>690</v>
      </c>
      <c r="L409">
        <f ca="1">DAYS360(INDIRECT(C69&amp;ROW()),TODAY())</f>
        <v>776</v>
      </c>
      <c r="M409">
        <f ca="1">HYPERLINK(CONCATENATE("https://bugzilla.houston.hp.com:1181/bugzilla/show_bug.cgi?id=",INDIRECT(C70&amp;ROW())),INDIRECT(C70&amp;ROW()))</f>
        <v>58311</v>
      </c>
      <c r="N409">
        <v>58311</v>
      </c>
      <c r="O409" t="s">
        <v>22</v>
      </c>
      <c r="P409" t="s">
        <v>780</v>
      </c>
      <c r="Q409" t="s">
        <v>25</v>
      </c>
      <c r="R409" t="s">
        <v>248</v>
      </c>
      <c r="S409" t="s">
        <v>552</v>
      </c>
      <c r="U409" s="6">
        <v>42157.600729166668</v>
      </c>
      <c r="V409" t="s">
        <v>18</v>
      </c>
      <c r="W409" t="s">
        <v>576</v>
      </c>
      <c r="X409" s="6">
        <v>42069.57304398148</v>
      </c>
      <c r="Y409" t="s">
        <v>125</v>
      </c>
      <c r="AB409" t="s">
        <v>201</v>
      </c>
      <c r="AC409" t="s">
        <v>247</v>
      </c>
      <c r="AD409" t="s">
        <v>220</v>
      </c>
      <c r="AE409" t="s">
        <v>223</v>
      </c>
      <c r="AG409" t="s">
        <v>121</v>
      </c>
      <c r="AH409" t="s">
        <v>327</v>
      </c>
      <c r="AI409" t="s">
        <v>121</v>
      </c>
      <c r="AJ409" t="s">
        <v>716</v>
      </c>
      <c r="AK409" t="s">
        <v>121</v>
      </c>
    </row>
    <row r="410" spans="9:37" x14ac:dyDescent="0.3">
      <c r="I410">
        <f ca="1">IF(OR(INDIRECT(A73&amp;ROW())=B93,INDIRECT(A73&amp;ROW())=B94),1,IF(AND(INDIRECT(A73&amp;ROW())=B95,INDIRECT(A96&amp;ROW())=C93),1,IF(AND(INDIRECT(A73&amp;ROW())=B95,INDIRECT(A96&amp;ROW())=C94),1,0)))</f>
        <v>1</v>
      </c>
      <c r="J410">
        <f ca="1">IF(AND(INDIRECT(A73&amp;ROW())=B95,INDIRECT(A96&amp;ROW())=C95),1,IF(AND(INDIRECT(A73&amp;ROW())=B95,INDIRECT(A96&amp;ROW())=C96),1,0))</f>
        <v>0</v>
      </c>
      <c r="K410">
        <f ca="1">DAYS360(INDIRECT(C68&amp;ROW()),TODAY())</f>
        <v>735</v>
      </c>
      <c r="L410">
        <f ca="1">DAYS360(INDIRECT(C69&amp;ROW()),TODAY())</f>
        <v>772</v>
      </c>
      <c r="M410">
        <f ca="1">HYPERLINK(CONCATENATE("https://bugzilla.houston.hp.com:1181/bugzilla/show_bug.cgi?id=",INDIRECT(C70&amp;ROW())),INDIRECT(C70&amp;ROW()))</f>
        <v>58468</v>
      </c>
      <c r="N410">
        <v>58468</v>
      </c>
      <c r="O410" t="s">
        <v>68</v>
      </c>
      <c r="P410" t="s">
        <v>800</v>
      </c>
      <c r="Q410" t="s">
        <v>25</v>
      </c>
      <c r="R410" t="s">
        <v>579</v>
      </c>
      <c r="S410" t="s">
        <v>784</v>
      </c>
      <c r="T410" t="s">
        <v>816</v>
      </c>
      <c r="U410" s="6">
        <v>42111.528749999998</v>
      </c>
      <c r="V410" t="s">
        <v>35</v>
      </c>
      <c r="W410" t="s">
        <v>576</v>
      </c>
      <c r="X410" s="6">
        <v>42073.574074074073</v>
      </c>
      <c r="Y410" t="s">
        <v>255</v>
      </c>
      <c r="Z410" t="s">
        <v>125</v>
      </c>
      <c r="AB410" t="s">
        <v>200</v>
      </c>
      <c r="AC410" t="s">
        <v>247</v>
      </c>
      <c r="AD410" t="s">
        <v>220</v>
      </c>
      <c r="AE410" t="s">
        <v>229</v>
      </c>
      <c r="AG410" t="s">
        <v>121</v>
      </c>
      <c r="AH410" t="s">
        <v>327</v>
      </c>
      <c r="AI410" t="s">
        <v>362</v>
      </c>
      <c r="AJ410" t="s">
        <v>715</v>
      </c>
      <c r="AK410" t="s">
        <v>121</v>
      </c>
    </row>
    <row r="411" spans="9:37" x14ac:dyDescent="0.3">
      <c r="I411">
        <f ca="1">IF(OR(INDIRECT(A73&amp;ROW())=B93,INDIRECT(A73&amp;ROW())=B94),1,IF(AND(INDIRECT(A73&amp;ROW())=B95,INDIRECT(A96&amp;ROW())=C93),1,IF(AND(INDIRECT(A73&amp;ROW())=B95,INDIRECT(A96&amp;ROW())=C94),1,0)))</f>
        <v>0</v>
      </c>
      <c r="J411">
        <f ca="1">IF(AND(INDIRECT(A73&amp;ROW())=B95,INDIRECT(A96&amp;ROW())=C95),1,IF(AND(INDIRECT(A73&amp;ROW())=B95,INDIRECT(A96&amp;ROW())=C96),1,0))</f>
        <v>1</v>
      </c>
      <c r="K411">
        <f ca="1">DAYS360(INDIRECT(C68&amp;ROW()),TODAY())</f>
        <v>690</v>
      </c>
      <c r="L411">
        <f ca="1">DAYS360(INDIRECT(C69&amp;ROW()),TODAY())</f>
        <v>770</v>
      </c>
      <c r="M411">
        <f ca="1">HYPERLINK(CONCATENATE("https://bugzilla.houston.hp.com:1181/bugzilla/show_bug.cgi?id=",INDIRECT(C70&amp;ROW())),INDIRECT(C70&amp;ROW()))</f>
        <v>58612</v>
      </c>
      <c r="N411">
        <v>58612</v>
      </c>
      <c r="O411" t="s">
        <v>45</v>
      </c>
      <c r="P411" t="s">
        <v>799</v>
      </c>
      <c r="Q411" t="s">
        <v>25</v>
      </c>
      <c r="R411" t="s">
        <v>251</v>
      </c>
      <c r="S411" t="s">
        <v>33</v>
      </c>
      <c r="T411" t="s">
        <v>798</v>
      </c>
      <c r="U411" s="6">
        <v>42157.082743055558</v>
      </c>
      <c r="V411" t="s">
        <v>18</v>
      </c>
      <c r="W411" t="s">
        <v>783</v>
      </c>
      <c r="X411" s="6">
        <v>42075.22042824074</v>
      </c>
      <c r="Y411" t="s">
        <v>119</v>
      </c>
      <c r="AB411" t="s">
        <v>201</v>
      </c>
      <c r="AC411" t="s">
        <v>247</v>
      </c>
      <c r="AD411" t="s">
        <v>227</v>
      </c>
      <c r="AE411" t="s">
        <v>370</v>
      </c>
      <c r="AG411" t="s">
        <v>121</v>
      </c>
      <c r="AH411" t="s">
        <v>327</v>
      </c>
      <c r="AI411" t="s">
        <v>121</v>
      </c>
      <c r="AJ411" t="s">
        <v>716</v>
      </c>
      <c r="AK411" t="s">
        <v>121</v>
      </c>
    </row>
    <row r="412" spans="9:37" x14ac:dyDescent="0.3">
      <c r="I412">
        <f ca="1">IF(OR(INDIRECT(A73&amp;ROW())=B93,INDIRECT(A73&amp;ROW())=B94),1,IF(AND(INDIRECT(A73&amp;ROW())=B95,INDIRECT(A96&amp;ROW())=C93),1,IF(AND(INDIRECT(A73&amp;ROW())=B95,INDIRECT(A96&amp;ROW())=C94),1,0)))</f>
        <v>0</v>
      </c>
      <c r="J412">
        <f ca="1">IF(AND(INDIRECT(A73&amp;ROW())=B95,INDIRECT(A96&amp;ROW())=C95),1,IF(AND(INDIRECT(A73&amp;ROW())=B95,INDIRECT(A96&amp;ROW())=C96),1,0))</f>
        <v>1</v>
      </c>
      <c r="K412">
        <f ca="1">DAYS360(INDIRECT(C68&amp;ROW()),TODAY())</f>
        <v>690</v>
      </c>
      <c r="L412">
        <f ca="1">DAYS360(INDIRECT(C69&amp;ROW()),TODAY())</f>
        <v>770</v>
      </c>
      <c r="M412">
        <f ca="1">HYPERLINK(CONCATENATE("https://bugzilla.houston.hp.com:1181/bugzilla/show_bug.cgi?id=",INDIRECT(C70&amp;ROW())),INDIRECT(C70&amp;ROW()))</f>
        <v>58627</v>
      </c>
      <c r="N412">
        <v>58627</v>
      </c>
      <c r="O412" t="s">
        <v>36</v>
      </c>
      <c r="P412" t="s">
        <v>797</v>
      </c>
      <c r="Q412" t="s">
        <v>25</v>
      </c>
      <c r="R412" t="s">
        <v>579</v>
      </c>
      <c r="S412" t="s">
        <v>552</v>
      </c>
      <c r="T412" t="s">
        <v>798</v>
      </c>
      <c r="U412" s="6">
        <v>42157.102453703701</v>
      </c>
      <c r="V412" t="s">
        <v>18</v>
      </c>
      <c r="W412" t="s">
        <v>783</v>
      </c>
      <c r="X412" s="6">
        <v>42075.359710648147</v>
      </c>
      <c r="Y412" t="s">
        <v>119</v>
      </c>
      <c r="AB412" t="s">
        <v>201</v>
      </c>
      <c r="AC412" t="s">
        <v>247</v>
      </c>
      <c r="AD412" t="s">
        <v>227</v>
      </c>
      <c r="AE412" t="s">
        <v>370</v>
      </c>
      <c r="AG412" t="s">
        <v>121</v>
      </c>
      <c r="AH412" t="s">
        <v>327</v>
      </c>
      <c r="AI412" t="s">
        <v>121</v>
      </c>
      <c r="AJ412" t="s">
        <v>716</v>
      </c>
      <c r="AK412" t="s">
        <v>121</v>
      </c>
    </row>
    <row r="413" spans="9:37" x14ac:dyDescent="0.3">
      <c r="I413">
        <f ca="1">IF(OR(INDIRECT(A73&amp;ROW())=B93,INDIRECT(A73&amp;ROW())=B94),1,IF(AND(INDIRECT(A73&amp;ROW())=B95,INDIRECT(A96&amp;ROW())=C93),1,IF(AND(INDIRECT(A73&amp;ROW())=B95,INDIRECT(A96&amp;ROW())=C94),1,0)))</f>
        <v>0</v>
      </c>
      <c r="J413">
        <f ca="1">IF(AND(INDIRECT(A73&amp;ROW())=B95,INDIRECT(A96&amp;ROW())=C95),1,IF(AND(INDIRECT(A73&amp;ROW())=B95,INDIRECT(A96&amp;ROW())=C96),1,0))</f>
        <v>1</v>
      </c>
      <c r="K413">
        <f ca="1">DAYS360(INDIRECT(C68&amp;ROW()),TODAY())</f>
        <v>690</v>
      </c>
      <c r="L413">
        <f ca="1">DAYS360(INDIRECT(C69&amp;ROW()),TODAY())</f>
        <v>770</v>
      </c>
      <c r="M413">
        <f ca="1">HYPERLINK(CONCATENATE("https://bugzilla.houston.hp.com:1181/bugzilla/show_bug.cgi?id=",INDIRECT(C70&amp;ROW())),INDIRECT(C70&amp;ROW()))</f>
        <v>58628</v>
      </c>
      <c r="N413">
        <v>58628</v>
      </c>
      <c r="O413" t="s">
        <v>36</v>
      </c>
      <c r="P413" t="s">
        <v>796</v>
      </c>
      <c r="Q413" t="s">
        <v>25</v>
      </c>
      <c r="R413" t="s">
        <v>248</v>
      </c>
      <c r="S413" t="s">
        <v>552</v>
      </c>
      <c r="U413" s="6">
        <v>42157.10324074074</v>
      </c>
      <c r="V413" t="s">
        <v>18</v>
      </c>
      <c r="W413" t="s">
        <v>783</v>
      </c>
      <c r="X413" s="6">
        <v>42075.360277777778</v>
      </c>
      <c r="Y413" t="s">
        <v>119</v>
      </c>
      <c r="AB413" t="s">
        <v>201</v>
      </c>
      <c r="AC413" t="s">
        <v>247</v>
      </c>
      <c r="AD413" t="s">
        <v>227</v>
      </c>
      <c r="AE413" t="s">
        <v>370</v>
      </c>
      <c r="AG413" t="s">
        <v>121</v>
      </c>
      <c r="AH413" t="s">
        <v>327</v>
      </c>
      <c r="AI413" t="s">
        <v>121</v>
      </c>
      <c r="AJ413" t="s">
        <v>716</v>
      </c>
      <c r="AK413" t="s">
        <v>121</v>
      </c>
    </row>
    <row r="414" spans="9:37" x14ac:dyDescent="0.3">
      <c r="I414">
        <f ca="1">IF(OR(INDIRECT(A73&amp;ROW())=B93,INDIRECT(A73&amp;ROW())=B94),1,IF(AND(INDIRECT(A73&amp;ROW())=B95,INDIRECT(A96&amp;ROW())=C93),1,IF(AND(INDIRECT(A73&amp;ROW())=B95,INDIRECT(A96&amp;ROW())=C94),1,0)))</f>
        <v>1</v>
      </c>
      <c r="J414">
        <f ca="1">IF(AND(INDIRECT(A73&amp;ROW())=B95,INDIRECT(A96&amp;ROW())=C95),1,IF(AND(INDIRECT(A73&amp;ROW())=B95,INDIRECT(A96&amp;ROW())=C96),1,0))</f>
        <v>0</v>
      </c>
      <c r="K414">
        <f ca="1">DAYS360(INDIRECT(C68&amp;ROW()),TODAY())</f>
        <v>696</v>
      </c>
      <c r="L414">
        <f ca="1">DAYS360(INDIRECT(C69&amp;ROW()),TODAY())</f>
        <v>769</v>
      </c>
      <c r="M414">
        <f ca="1">HYPERLINK(CONCATENATE("https://bugzilla.houston.hp.com:1181/bugzilla/show_bug.cgi?id=",INDIRECT(C70&amp;ROW())),INDIRECT(C70&amp;ROW()))</f>
        <v>58713</v>
      </c>
      <c r="N414">
        <v>58713</v>
      </c>
      <c r="O414" t="s">
        <v>21</v>
      </c>
      <c r="P414" t="s">
        <v>808</v>
      </c>
      <c r="Q414" t="s">
        <v>39</v>
      </c>
      <c r="R414" t="s">
        <v>251</v>
      </c>
      <c r="S414" t="s">
        <v>336</v>
      </c>
      <c r="U414" s="6">
        <v>42150.368900462963</v>
      </c>
      <c r="V414" t="s">
        <v>18</v>
      </c>
      <c r="W414" t="s">
        <v>17</v>
      </c>
      <c r="X414" s="6">
        <v>42076.621111111112</v>
      </c>
      <c r="Y414" t="s">
        <v>122</v>
      </c>
      <c r="Z414" t="s">
        <v>255</v>
      </c>
      <c r="AB414" t="s">
        <v>201</v>
      </c>
      <c r="AC414" t="s">
        <v>247</v>
      </c>
      <c r="AD414" t="s">
        <v>222</v>
      </c>
      <c r="AE414" t="s">
        <v>221</v>
      </c>
      <c r="AG414" t="s">
        <v>121</v>
      </c>
      <c r="AH414" t="s">
        <v>327</v>
      </c>
      <c r="AI414" t="s">
        <v>121</v>
      </c>
      <c r="AJ414" t="s">
        <v>715</v>
      </c>
      <c r="AK414" t="s">
        <v>121</v>
      </c>
    </row>
    <row r="415" spans="9:37" x14ac:dyDescent="0.3">
      <c r="I415">
        <f ca="1">IF(OR(INDIRECT(A73&amp;ROW())=B93,INDIRECT(A73&amp;ROW())=B94),1,IF(AND(INDIRECT(A73&amp;ROW())=B95,INDIRECT(A96&amp;ROW())=C93),1,IF(AND(INDIRECT(A73&amp;ROW())=B95,INDIRECT(A96&amp;ROW())=C94),1,0)))</f>
        <v>1</v>
      </c>
      <c r="J415">
        <f ca="1">IF(AND(INDIRECT(A73&amp;ROW())=B95,INDIRECT(A96&amp;ROW())=C95),1,IF(AND(INDIRECT(A73&amp;ROW())=B95,INDIRECT(A96&amp;ROW())=C96),1,0))</f>
        <v>0</v>
      </c>
      <c r="K415">
        <f ca="1">DAYS360(INDIRECT(C68&amp;ROW()),TODAY())</f>
        <v>696</v>
      </c>
      <c r="L415">
        <f ca="1">DAYS360(INDIRECT(C69&amp;ROW()),TODAY())</f>
        <v>769</v>
      </c>
      <c r="M415">
        <f ca="1">HYPERLINK(CONCATENATE("https://bugzilla.houston.hp.com:1181/bugzilla/show_bug.cgi?id=",INDIRECT(C70&amp;ROW())),INDIRECT(C70&amp;ROW()))</f>
        <v>58715</v>
      </c>
      <c r="N415">
        <v>58715</v>
      </c>
      <c r="O415" t="s">
        <v>21</v>
      </c>
      <c r="P415" t="s">
        <v>807</v>
      </c>
      <c r="Q415" t="s">
        <v>39</v>
      </c>
      <c r="R415" t="s">
        <v>579</v>
      </c>
      <c r="S415" t="s">
        <v>552</v>
      </c>
      <c r="T415" t="s">
        <v>822</v>
      </c>
      <c r="U415" s="6">
        <v>42150.36886574074</v>
      </c>
      <c r="V415" t="s">
        <v>18</v>
      </c>
      <c r="W415" t="s">
        <v>17</v>
      </c>
      <c r="X415" s="6">
        <v>42076.630497685182</v>
      </c>
      <c r="Y415" t="s">
        <v>122</v>
      </c>
      <c r="AB415" t="s">
        <v>201</v>
      </c>
      <c r="AC415" t="s">
        <v>247</v>
      </c>
      <c r="AD415" t="s">
        <v>222</v>
      </c>
      <c r="AE415" t="s">
        <v>221</v>
      </c>
      <c r="AG415" t="s">
        <v>121</v>
      </c>
      <c r="AH415" t="s">
        <v>327</v>
      </c>
      <c r="AI415" t="s">
        <v>362</v>
      </c>
      <c r="AJ415" t="s">
        <v>715</v>
      </c>
      <c r="AK415" t="s">
        <v>121</v>
      </c>
    </row>
    <row r="416" spans="9:37" x14ac:dyDescent="0.3">
      <c r="I416">
        <f ca="1">IF(OR(INDIRECT(A73&amp;ROW())=B93,INDIRECT(A73&amp;ROW())=B94),1,IF(AND(INDIRECT(A73&amp;ROW())=B95,INDIRECT(A96&amp;ROW())=C93),1,IF(AND(INDIRECT(A73&amp;ROW())=B95,INDIRECT(A96&amp;ROW())=C94),1,0)))</f>
        <v>1</v>
      </c>
      <c r="J416">
        <f ca="1">IF(AND(INDIRECT(A73&amp;ROW())=B95,INDIRECT(A96&amp;ROW())=C95),1,IF(AND(INDIRECT(A73&amp;ROW())=B95,INDIRECT(A96&amp;ROW())=C96),1,0))</f>
        <v>0</v>
      </c>
      <c r="K416">
        <f ca="1">DAYS360(INDIRECT(C68&amp;ROW()),TODAY())</f>
        <v>696</v>
      </c>
      <c r="L416">
        <f ca="1">DAYS360(INDIRECT(C69&amp;ROW()),TODAY())</f>
        <v>769</v>
      </c>
      <c r="M416">
        <f ca="1">HYPERLINK(CONCATENATE("https://bugzilla.houston.hp.com:1181/bugzilla/show_bug.cgi?id=",INDIRECT(C70&amp;ROW())),INDIRECT(C70&amp;ROW()))</f>
        <v>58716</v>
      </c>
      <c r="N416">
        <v>58716</v>
      </c>
      <c r="O416" t="s">
        <v>21</v>
      </c>
      <c r="P416" t="s">
        <v>806</v>
      </c>
      <c r="Q416" t="s">
        <v>39</v>
      </c>
      <c r="R416" t="s">
        <v>248</v>
      </c>
      <c r="S416" t="s">
        <v>552</v>
      </c>
      <c r="U416" s="6">
        <v>42150.368888888886</v>
      </c>
      <c r="V416" t="s">
        <v>18</v>
      </c>
      <c r="W416" t="s">
        <v>17</v>
      </c>
      <c r="X416" s="6">
        <v>42076.630567129629</v>
      </c>
      <c r="Y416" t="s">
        <v>122</v>
      </c>
      <c r="AB416" t="s">
        <v>201</v>
      </c>
      <c r="AC416" t="s">
        <v>247</v>
      </c>
      <c r="AD416" t="s">
        <v>222</v>
      </c>
      <c r="AE416" t="s">
        <v>221</v>
      </c>
      <c r="AG416" t="s">
        <v>121</v>
      </c>
      <c r="AH416" t="s">
        <v>327</v>
      </c>
      <c r="AI416" t="s">
        <v>121</v>
      </c>
      <c r="AJ416" t="s">
        <v>715</v>
      </c>
      <c r="AK416" t="s">
        <v>121</v>
      </c>
    </row>
    <row r="417" spans="9:37" x14ac:dyDescent="0.3">
      <c r="I417">
        <f ca="1">IF(OR(INDIRECT(A73&amp;ROW())=B93,INDIRECT(A73&amp;ROW())=B94),1,IF(AND(INDIRECT(A73&amp;ROW())=B95,INDIRECT(A96&amp;ROW())=C93),1,IF(AND(INDIRECT(A73&amp;ROW())=B95,INDIRECT(A96&amp;ROW())=C94),1,0)))</f>
        <v>1</v>
      </c>
      <c r="J417">
        <f ca="1">IF(AND(INDIRECT(A73&amp;ROW())=B95,INDIRECT(A96&amp;ROW())=C95),1,IF(AND(INDIRECT(A73&amp;ROW())=B95,INDIRECT(A96&amp;ROW())=C96),1,0))</f>
        <v>0</v>
      </c>
      <c r="K417">
        <f ca="1">DAYS360(INDIRECT(C68&amp;ROW()),TODAY())</f>
        <v>769</v>
      </c>
      <c r="L417">
        <f ca="1">DAYS360(INDIRECT(C69&amp;ROW()),TODAY())</f>
        <v>769</v>
      </c>
      <c r="M417">
        <f ca="1">HYPERLINK(CONCATENATE("https://bugzilla.houston.hp.com:1181/bugzilla/show_bug.cgi?id=",INDIRECT(C70&amp;ROW())),INDIRECT(C70&amp;ROW()))</f>
        <v>58720</v>
      </c>
      <c r="N417">
        <v>58720</v>
      </c>
      <c r="O417" t="s">
        <v>56</v>
      </c>
      <c r="P417" t="s">
        <v>805</v>
      </c>
      <c r="Q417" t="s">
        <v>25</v>
      </c>
      <c r="R417" t="s">
        <v>248</v>
      </c>
      <c r="S417" t="s">
        <v>552</v>
      </c>
      <c r="U417" s="6">
        <v>42076.652650462966</v>
      </c>
      <c r="V417" t="s">
        <v>18</v>
      </c>
      <c r="W417" t="s">
        <v>248</v>
      </c>
      <c r="X417" s="6">
        <v>42076.652650462966</v>
      </c>
      <c r="Y417" t="s">
        <v>123</v>
      </c>
      <c r="AB417" t="s">
        <v>200</v>
      </c>
      <c r="AC417" t="s">
        <v>247</v>
      </c>
      <c r="AD417" t="s">
        <v>220</v>
      </c>
      <c r="AE417" t="s">
        <v>219</v>
      </c>
      <c r="AG417" t="s">
        <v>121</v>
      </c>
      <c r="AH417" t="s">
        <v>327</v>
      </c>
      <c r="AI417" t="s">
        <v>121</v>
      </c>
      <c r="AJ417" t="s">
        <v>715</v>
      </c>
      <c r="AK417" t="s">
        <v>121</v>
      </c>
    </row>
    <row r="418" spans="9:37" x14ac:dyDescent="0.3">
      <c r="I418">
        <f ca="1">IF(OR(INDIRECT(A73&amp;ROW())=B93,INDIRECT(A73&amp;ROW())=B94),1,IF(AND(INDIRECT(A73&amp;ROW())=B95,INDIRECT(A96&amp;ROW())=C93),1,IF(AND(INDIRECT(A73&amp;ROW())=B95,INDIRECT(A96&amp;ROW())=C94),1,0)))</f>
        <v>0</v>
      </c>
      <c r="J418">
        <f ca="1">IF(AND(INDIRECT(A73&amp;ROW())=B95,INDIRECT(A96&amp;ROW())=C95),1,IF(AND(INDIRECT(A73&amp;ROW())=B95,INDIRECT(A96&amp;ROW())=C96),1,0))</f>
        <v>0</v>
      </c>
      <c r="K418">
        <f ca="1">DAYS360(INDIRECT(C68&amp;ROW()),TODAY())</f>
        <v>691</v>
      </c>
      <c r="L418">
        <f ca="1">DAYS360(INDIRECT(C69&amp;ROW()),TODAY())</f>
        <v>765</v>
      </c>
      <c r="M418">
        <f ca="1">HYPERLINK(CONCATENATE("https://bugzilla.houston.hp.com:1181/bugzilla/show_bug.cgi?id=",INDIRECT(C70&amp;ROW())),INDIRECT(C70&amp;ROW()))</f>
        <v>58905</v>
      </c>
      <c r="N418">
        <v>58905</v>
      </c>
      <c r="O418" t="s">
        <v>22</v>
      </c>
      <c r="P418" t="s">
        <v>812</v>
      </c>
      <c r="Q418" t="s">
        <v>16</v>
      </c>
      <c r="R418" t="s">
        <v>251</v>
      </c>
      <c r="S418" t="s">
        <v>24</v>
      </c>
      <c r="T418" t="s">
        <v>809</v>
      </c>
      <c r="U418" s="6">
        <v>42156.593414351853</v>
      </c>
      <c r="V418" t="s">
        <v>18</v>
      </c>
      <c r="W418" t="s">
        <v>764</v>
      </c>
      <c r="X418" s="6">
        <v>42080.415046296293</v>
      </c>
      <c r="Y418" t="s">
        <v>810</v>
      </c>
      <c r="AB418" t="s">
        <v>199</v>
      </c>
      <c r="AC418" t="s">
        <v>247</v>
      </c>
      <c r="AD418" t="s">
        <v>222</v>
      </c>
      <c r="AE418" t="s">
        <v>221</v>
      </c>
      <c r="AG418" t="s">
        <v>121</v>
      </c>
      <c r="AH418" t="s">
        <v>327</v>
      </c>
      <c r="AI418" t="s">
        <v>121</v>
      </c>
      <c r="AJ418" t="s">
        <v>716</v>
      </c>
      <c r="AK418" t="s">
        <v>121</v>
      </c>
    </row>
    <row r="419" spans="9:37" x14ac:dyDescent="0.3">
      <c r="I419">
        <f ca="1">IF(OR(INDIRECT(A73&amp;ROW())=B93,INDIRECT(A73&amp;ROW())=B94),1,IF(AND(INDIRECT(A73&amp;ROW())=B95,INDIRECT(A96&amp;ROW())=C93),1,IF(AND(INDIRECT(A73&amp;ROW())=B95,INDIRECT(A96&amp;ROW())=C94),1,0)))</f>
        <v>0</v>
      </c>
      <c r="J419">
        <f ca="1">IF(AND(INDIRECT(A73&amp;ROW())=B95,INDIRECT(A96&amp;ROW())=C95),1,IF(AND(INDIRECT(A73&amp;ROW())=B95,INDIRECT(A96&amp;ROW())=C96),1,0))</f>
        <v>0</v>
      </c>
      <c r="K419">
        <f ca="1">DAYS360(INDIRECT(C68&amp;ROW()),TODAY())</f>
        <v>733</v>
      </c>
      <c r="L419">
        <f ca="1">DAYS360(INDIRECT(C69&amp;ROW()),TODAY())</f>
        <v>765</v>
      </c>
      <c r="M419">
        <f ca="1">HYPERLINK(CONCATENATE("https://bugzilla.houston.hp.com:1181/bugzilla/show_bug.cgi?id=",INDIRECT(C70&amp;ROW())),INDIRECT(C70&amp;ROW()))</f>
        <v>58914</v>
      </c>
      <c r="N419">
        <v>58914</v>
      </c>
      <c r="O419" t="s">
        <v>36</v>
      </c>
      <c r="P419" t="s">
        <v>811</v>
      </c>
      <c r="Q419" t="s">
        <v>16</v>
      </c>
      <c r="R419" t="s">
        <v>248</v>
      </c>
      <c r="S419" t="s">
        <v>552</v>
      </c>
      <c r="T419" t="s">
        <v>809</v>
      </c>
      <c r="U419" s="6">
        <v>42113.630682870367</v>
      </c>
      <c r="V419" t="s">
        <v>18</v>
      </c>
      <c r="W419" t="s">
        <v>764</v>
      </c>
      <c r="X419" s="6">
        <v>42080.545231481483</v>
      </c>
      <c r="Y419" t="s">
        <v>810</v>
      </c>
      <c r="AB419" t="s">
        <v>199</v>
      </c>
      <c r="AC419" t="s">
        <v>247</v>
      </c>
      <c r="AD419" t="s">
        <v>222</v>
      </c>
      <c r="AE419" t="s">
        <v>221</v>
      </c>
      <c r="AG419" t="s">
        <v>121</v>
      </c>
      <c r="AH419" t="s">
        <v>327</v>
      </c>
      <c r="AI419" t="s">
        <v>121</v>
      </c>
      <c r="AJ419" t="s">
        <v>715</v>
      </c>
      <c r="AK419" t="s">
        <v>121</v>
      </c>
    </row>
    <row r="420" spans="9:37" x14ac:dyDescent="0.3">
      <c r="I420">
        <f ca="1">IF(OR(INDIRECT(A73&amp;ROW())=B93,INDIRECT(A73&amp;ROW())=B94),1,IF(AND(INDIRECT(A73&amp;ROW())=B95,INDIRECT(A96&amp;ROW())=C93),1,IF(AND(INDIRECT(A73&amp;ROW())=B95,INDIRECT(A96&amp;ROW())=C94),1,0)))</f>
        <v>1</v>
      </c>
      <c r="J420">
        <f ca="1">IF(AND(INDIRECT(A73&amp;ROW())=B95,INDIRECT(A96&amp;ROW())=C95),1,IF(AND(INDIRECT(A73&amp;ROW())=B95,INDIRECT(A96&amp;ROW())=C96),1,0))</f>
        <v>0</v>
      </c>
      <c r="K420">
        <f ca="1">DAYS360(INDIRECT(C68&amp;ROW()),TODAY())</f>
        <v>730</v>
      </c>
      <c r="L420">
        <f ca="1">DAYS360(INDIRECT(C69&amp;ROW()),TODAY())</f>
        <v>765</v>
      </c>
      <c r="M420">
        <f ca="1">HYPERLINK(CONCATENATE("https://bugzilla.houston.hp.com:1181/bugzilla/show_bug.cgi?id=",INDIRECT(C70&amp;ROW())),INDIRECT(C70&amp;ROW()))</f>
        <v>58924</v>
      </c>
      <c r="N420">
        <v>58924</v>
      </c>
      <c r="O420" t="s">
        <v>56</v>
      </c>
      <c r="P420" t="s">
        <v>813</v>
      </c>
      <c r="Q420" t="s">
        <v>39</v>
      </c>
      <c r="R420" t="s">
        <v>251</v>
      </c>
      <c r="S420" t="s">
        <v>53</v>
      </c>
      <c r="U420" s="6">
        <v>42116.737164351849</v>
      </c>
      <c r="V420" t="s">
        <v>18</v>
      </c>
      <c r="W420" t="s">
        <v>17</v>
      </c>
      <c r="X420" s="6">
        <v>42080.683611111112</v>
      </c>
      <c r="Y420" t="s">
        <v>801</v>
      </c>
      <c r="AB420" t="s">
        <v>201</v>
      </c>
      <c r="AC420" t="s">
        <v>247</v>
      </c>
      <c r="AD420" t="s">
        <v>220</v>
      </c>
      <c r="AE420" t="s">
        <v>219</v>
      </c>
      <c r="AG420" t="s">
        <v>121</v>
      </c>
      <c r="AH420" t="s">
        <v>327</v>
      </c>
      <c r="AI420" t="s">
        <v>121</v>
      </c>
      <c r="AJ420" t="s">
        <v>715</v>
      </c>
      <c r="AK420" t="s">
        <v>121</v>
      </c>
    </row>
    <row r="421" spans="9:37" x14ac:dyDescent="0.3">
      <c r="I421">
        <f ca="1">IF(OR(INDIRECT(A73&amp;ROW())=B93,INDIRECT(A73&amp;ROW())=B94),1,IF(AND(INDIRECT(A73&amp;ROW())=B95,INDIRECT(A96&amp;ROW())=C93),1,IF(AND(INDIRECT(A73&amp;ROW())=B95,INDIRECT(A96&amp;ROW())=C94),1,0)))</f>
        <v>1</v>
      </c>
      <c r="J421">
        <f ca="1">IF(AND(INDIRECT(A73&amp;ROW())=B95,INDIRECT(A96&amp;ROW())=C95),1,IF(AND(INDIRECT(A73&amp;ROW())=B95,INDIRECT(A96&amp;ROW())=C96),1,0))</f>
        <v>0</v>
      </c>
      <c r="K421">
        <f ca="1">DAYS360(INDIRECT(C68&amp;ROW()),TODAY())</f>
        <v>703</v>
      </c>
      <c r="L421">
        <f ca="1">DAYS360(INDIRECT(C69&amp;ROW()),TODAY())</f>
        <v>764</v>
      </c>
      <c r="M421">
        <f ca="1">HYPERLINK(CONCATENATE("https://bugzilla.houston.hp.com:1181/bugzilla/show_bug.cgi?id=",INDIRECT(C70&amp;ROW())),INDIRECT(C70&amp;ROW()))</f>
        <v>59002</v>
      </c>
      <c r="N421">
        <v>59002</v>
      </c>
      <c r="O421" t="s">
        <v>188</v>
      </c>
      <c r="P421" t="s">
        <v>814</v>
      </c>
      <c r="Q421" t="s">
        <v>39</v>
      </c>
      <c r="R421" t="s">
        <v>251</v>
      </c>
      <c r="S421" t="s">
        <v>43</v>
      </c>
      <c r="U421" s="6">
        <v>42143.458402777775</v>
      </c>
      <c r="V421" t="s">
        <v>18</v>
      </c>
      <c r="W421" t="s">
        <v>17</v>
      </c>
      <c r="X421" s="6">
        <v>42081.485729166663</v>
      </c>
      <c r="Y421" t="s">
        <v>793</v>
      </c>
      <c r="AB421" t="s">
        <v>201</v>
      </c>
      <c r="AC421" t="s">
        <v>247</v>
      </c>
      <c r="AD421" t="s">
        <v>220</v>
      </c>
      <c r="AE421" t="s">
        <v>229</v>
      </c>
      <c r="AG421" t="s">
        <v>121</v>
      </c>
      <c r="AH421" t="s">
        <v>327</v>
      </c>
      <c r="AI421" t="s">
        <v>121</v>
      </c>
      <c r="AJ421" t="s">
        <v>715</v>
      </c>
      <c r="AK421" t="s">
        <v>121</v>
      </c>
    </row>
    <row r="422" spans="9:37" x14ac:dyDescent="0.3">
      <c r="I422">
        <f ca="1">IF(OR(INDIRECT(A73&amp;ROW())=B93,INDIRECT(A73&amp;ROW())=B94),1,IF(AND(INDIRECT(A73&amp;ROW())=B95,INDIRECT(A96&amp;ROW())=C93),1,IF(AND(INDIRECT(A73&amp;ROW())=B95,INDIRECT(A96&amp;ROW())=C94),1,0)))</f>
        <v>0</v>
      </c>
      <c r="J422">
        <f ca="1">IF(AND(INDIRECT(A73&amp;ROW())=B95,INDIRECT(A96&amp;ROW())=C95),1,IF(AND(INDIRECT(A73&amp;ROW())=B95,INDIRECT(A96&amp;ROW())=C96),1,0))</f>
        <v>1</v>
      </c>
      <c r="K422">
        <f ca="1">DAYS360(INDIRECT(C68&amp;ROW()),TODAY())</f>
        <v>710</v>
      </c>
      <c r="L422">
        <f ca="1">DAYS360(INDIRECT(C69&amp;ROW()),TODAY())</f>
        <v>759</v>
      </c>
      <c r="M422">
        <f ca="1">HYPERLINK(CONCATENATE("https://bugzilla.houston.hp.com:1181/bugzilla/show_bug.cgi?id=",INDIRECT(C70&amp;ROW())),INDIRECT(C70&amp;ROW()))</f>
        <v>59164</v>
      </c>
      <c r="N422">
        <v>59164</v>
      </c>
      <c r="O422" t="s">
        <v>53</v>
      </c>
      <c r="P422" t="s">
        <v>1011</v>
      </c>
      <c r="Q422" t="s">
        <v>25</v>
      </c>
      <c r="R422" t="s">
        <v>251</v>
      </c>
      <c r="S422" t="s">
        <v>773</v>
      </c>
      <c r="U422" s="6">
        <v>42136.465115740742</v>
      </c>
      <c r="V422" t="s">
        <v>18</v>
      </c>
      <c r="W422" t="s">
        <v>17</v>
      </c>
      <c r="X422" s="6">
        <v>42086.240844907406</v>
      </c>
      <c r="Y422" t="s">
        <v>125</v>
      </c>
      <c r="AB422" t="s">
        <v>201</v>
      </c>
      <c r="AC422" t="s">
        <v>247</v>
      </c>
      <c r="AD422" t="s">
        <v>222</v>
      </c>
      <c r="AE422" t="s">
        <v>221</v>
      </c>
      <c r="AG422" t="s">
        <v>121</v>
      </c>
      <c r="AH422" t="s">
        <v>327</v>
      </c>
      <c r="AI422" t="s">
        <v>121</v>
      </c>
      <c r="AJ422" t="s">
        <v>716</v>
      </c>
      <c r="AK422" t="s">
        <v>121</v>
      </c>
    </row>
    <row r="423" spans="9:37" x14ac:dyDescent="0.3">
      <c r="I423">
        <f ca="1">IF(OR(INDIRECT(A73&amp;ROW())=B93,INDIRECT(A73&amp;ROW())=B94),1,IF(AND(INDIRECT(A73&amp;ROW())=B95,INDIRECT(A96&amp;ROW())=C93),1,IF(AND(INDIRECT(A73&amp;ROW())=B95,INDIRECT(A96&amp;ROW())=C94),1,0)))</f>
        <v>0</v>
      </c>
      <c r="J423">
        <f ca="1">IF(AND(INDIRECT(A73&amp;ROW())=B95,INDIRECT(A96&amp;ROW())=C95),1,IF(AND(INDIRECT(A73&amp;ROW())=B95,INDIRECT(A96&amp;ROW())=C96),1,0))</f>
        <v>1</v>
      </c>
      <c r="K423">
        <f ca="1">DAYS360(INDIRECT(C68&amp;ROW()),TODAY())</f>
        <v>710</v>
      </c>
      <c r="L423">
        <f ca="1">DAYS360(INDIRECT(C69&amp;ROW()),TODAY())</f>
        <v>758</v>
      </c>
      <c r="M423">
        <f ca="1">HYPERLINK(CONCATENATE("https://bugzilla.houston.hp.com:1181/bugzilla/show_bug.cgi?id=",INDIRECT(C70&amp;ROW())),INDIRECT(C70&amp;ROW()))</f>
        <v>59208</v>
      </c>
      <c r="N423">
        <v>59208</v>
      </c>
      <c r="O423" t="s">
        <v>53</v>
      </c>
      <c r="P423" t="s">
        <v>1048</v>
      </c>
      <c r="Q423" t="s">
        <v>25</v>
      </c>
      <c r="R423" t="s">
        <v>783</v>
      </c>
      <c r="S423" t="s">
        <v>1045</v>
      </c>
      <c r="U423" s="6">
        <v>42136.46534722222</v>
      </c>
      <c r="V423" t="s">
        <v>18</v>
      </c>
      <c r="W423" t="s">
        <v>17</v>
      </c>
      <c r="X423" s="6">
        <v>42087.026030092595</v>
      </c>
      <c r="Y423" t="s">
        <v>125</v>
      </c>
      <c r="AB423" t="s">
        <v>201</v>
      </c>
      <c r="AC423" t="s">
        <v>247</v>
      </c>
      <c r="AD423" t="s">
        <v>222</v>
      </c>
      <c r="AE423" t="s">
        <v>221</v>
      </c>
      <c r="AG423" t="s">
        <v>121</v>
      </c>
      <c r="AH423" t="s">
        <v>327</v>
      </c>
      <c r="AI423" t="s">
        <v>121</v>
      </c>
      <c r="AJ423" t="s">
        <v>716</v>
      </c>
      <c r="AK423" t="s">
        <v>121</v>
      </c>
    </row>
    <row r="424" spans="9:37" x14ac:dyDescent="0.3">
      <c r="I424">
        <f ca="1">IF(OR(INDIRECT(A73&amp;ROW())=B93,INDIRECT(A73&amp;ROW())=B94),1,IF(AND(INDIRECT(A73&amp;ROW())=B95,INDIRECT(A96&amp;ROW())=C93),1,IF(AND(INDIRECT(A73&amp;ROW())=B95,INDIRECT(A96&amp;ROW())=C94),1,0)))</f>
        <v>0</v>
      </c>
      <c r="J424">
        <f ca="1">IF(AND(INDIRECT(A73&amp;ROW())=B95,INDIRECT(A96&amp;ROW())=C95),1,IF(AND(INDIRECT(A73&amp;ROW())=B95,INDIRECT(A96&amp;ROW())=C96),1,0))</f>
        <v>1</v>
      </c>
      <c r="K424">
        <f ca="1">DAYS360(INDIRECT(C68&amp;ROW()),TODAY())</f>
        <v>710</v>
      </c>
      <c r="L424">
        <f ca="1">DAYS360(INDIRECT(C69&amp;ROW()),TODAY())</f>
        <v>758</v>
      </c>
      <c r="M424">
        <f ca="1">HYPERLINK(CONCATENATE("https://bugzilla.houston.hp.com:1181/bugzilla/show_bug.cgi?id=",INDIRECT(C70&amp;ROW())),INDIRECT(C70&amp;ROW()))</f>
        <v>59209</v>
      </c>
      <c r="N424">
        <v>59209</v>
      </c>
      <c r="O424" t="s">
        <v>53</v>
      </c>
      <c r="P424" t="s">
        <v>1047</v>
      </c>
      <c r="Q424" t="s">
        <v>25</v>
      </c>
      <c r="R424" t="s">
        <v>579</v>
      </c>
      <c r="S424" t="s">
        <v>1045</v>
      </c>
      <c r="T424" t="s">
        <v>1025</v>
      </c>
      <c r="U424" s="6">
        <v>42136.458599537036</v>
      </c>
      <c r="V424" t="s">
        <v>18</v>
      </c>
      <c r="W424" t="s">
        <v>17</v>
      </c>
      <c r="X424" s="6">
        <v>42087.026145833333</v>
      </c>
      <c r="Y424" t="s">
        <v>125</v>
      </c>
      <c r="AB424" t="s">
        <v>201</v>
      </c>
      <c r="AC424" t="s">
        <v>247</v>
      </c>
      <c r="AD424" t="s">
        <v>222</v>
      </c>
      <c r="AE424" t="s">
        <v>221</v>
      </c>
      <c r="AG424" t="s">
        <v>121</v>
      </c>
      <c r="AH424" t="s">
        <v>327</v>
      </c>
      <c r="AI424" t="s">
        <v>121</v>
      </c>
      <c r="AJ424" t="s">
        <v>716</v>
      </c>
      <c r="AK424" t="s">
        <v>121</v>
      </c>
    </row>
    <row r="425" spans="9:37" x14ac:dyDescent="0.3">
      <c r="I425">
        <f ca="1">IF(OR(INDIRECT(A73&amp;ROW())=B93,INDIRECT(A73&amp;ROW())=B94),1,IF(AND(INDIRECT(A73&amp;ROW())=B95,INDIRECT(A96&amp;ROW())=C93),1,IF(AND(INDIRECT(A73&amp;ROW())=B95,INDIRECT(A96&amp;ROW())=C94),1,0)))</f>
        <v>0</v>
      </c>
      <c r="J425">
        <f ca="1">IF(AND(INDIRECT(A73&amp;ROW())=B95,INDIRECT(A96&amp;ROW())=C95),1,IF(AND(INDIRECT(A73&amp;ROW())=B95,INDIRECT(A96&amp;ROW())=C96),1,0))</f>
        <v>1</v>
      </c>
      <c r="K425">
        <f ca="1">DAYS360(INDIRECT(C68&amp;ROW()),TODAY())</f>
        <v>710</v>
      </c>
      <c r="L425">
        <f ca="1">DAYS360(INDIRECT(C69&amp;ROW()),TODAY())</f>
        <v>758</v>
      </c>
      <c r="M425">
        <f ca="1">HYPERLINK(CONCATENATE("https://bugzilla.houston.hp.com:1181/bugzilla/show_bug.cgi?id=",INDIRECT(C70&amp;ROW())),INDIRECT(C70&amp;ROW()))</f>
        <v>59210</v>
      </c>
      <c r="N425">
        <v>59210</v>
      </c>
      <c r="O425" t="s">
        <v>53</v>
      </c>
      <c r="P425" t="s">
        <v>1046</v>
      </c>
      <c r="Q425" t="s">
        <v>25</v>
      </c>
      <c r="R425" t="s">
        <v>248</v>
      </c>
      <c r="S425" t="s">
        <v>1045</v>
      </c>
      <c r="U425" s="6">
        <v>42136.465567129628</v>
      </c>
      <c r="V425" t="s">
        <v>18</v>
      </c>
      <c r="W425" t="s">
        <v>17</v>
      </c>
      <c r="X425" s="6">
        <v>42087.026250000003</v>
      </c>
      <c r="Y425" t="s">
        <v>125</v>
      </c>
      <c r="AB425" t="s">
        <v>201</v>
      </c>
      <c r="AC425" t="s">
        <v>247</v>
      </c>
      <c r="AD425" t="s">
        <v>222</v>
      </c>
      <c r="AE425" t="s">
        <v>221</v>
      </c>
      <c r="AG425" t="s">
        <v>121</v>
      </c>
      <c r="AH425" t="s">
        <v>327</v>
      </c>
      <c r="AI425" t="s">
        <v>121</v>
      </c>
      <c r="AJ425" t="s">
        <v>716</v>
      </c>
      <c r="AK425" t="s">
        <v>121</v>
      </c>
    </row>
    <row r="426" spans="9:37" x14ac:dyDescent="0.3">
      <c r="I426">
        <f ca="1">IF(OR(INDIRECT(A73&amp;ROW())=B93,INDIRECT(A73&amp;ROW())=B94),1,IF(AND(INDIRECT(A73&amp;ROW())=B95,INDIRECT(A96&amp;ROW())=C93),1,IF(AND(INDIRECT(A73&amp;ROW())=B95,INDIRECT(A96&amp;ROW())=C94),1,0)))</f>
        <v>1</v>
      </c>
      <c r="J426">
        <f ca="1">IF(AND(INDIRECT(A73&amp;ROW())=B95,INDIRECT(A96&amp;ROW())=C95),1,IF(AND(INDIRECT(A73&amp;ROW())=B95,INDIRECT(A96&amp;ROW())=C96),1,0))</f>
        <v>0</v>
      </c>
      <c r="K426">
        <f ca="1">DAYS360(INDIRECT(C68&amp;ROW()),TODAY())</f>
        <v>690</v>
      </c>
      <c r="L426">
        <f ca="1">DAYS360(INDIRECT(C69&amp;ROW()),TODAY())</f>
        <v>758</v>
      </c>
      <c r="M426">
        <f ca="1">HYPERLINK(CONCATENATE("https://bugzilla.houston.hp.com:1181/bugzilla/show_bug.cgi?id=",INDIRECT(C70&amp;ROW())),INDIRECT(C70&amp;ROW()))</f>
        <v>59230</v>
      </c>
      <c r="N426">
        <v>59230</v>
      </c>
      <c r="O426" t="s">
        <v>33</v>
      </c>
      <c r="P426" t="s">
        <v>819</v>
      </c>
      <c r="Q426" t="s">
        <v>25</v>
      </c>
      <c r="R426" t="s">
        <v>251</v>
      </c>
      <c r="S426" t="s">
        <v>33</v>
      </c>
      <c r="U426" s="6">
        <v>42157.074942129628</v>
      </c>
      <c r="V426" t="s">
        <v>18</v>
      </c>
      <c r="W426" t="s">
        <v>783</v>
      </c>
      <c r="X426" s="6">
        <v>42087.257743055554</v>
      </c>
      <c r="Y426" t="s">
        <v>119</v>
      </c>
      <c r="AB426" t="s">
        <v>200</v>
      </c>
      <c r="AC426" t="s">
        <v>247</v>
      </c>
      <c r="AD426" t="s">
        <v>220</v>
      </c>
      <c r="AE426" t="s">
        <v>223</v>
      </c>
      <c r="AG426" t="s">
        <v>121</v>
      </c>
      <c r="AH426" t="s">
        <v>327</v>
      </c>
      <c r="AI426" t="s">
        <v>121</v>
      </c>
      <c r="AJ426" t="s">
        <v>715</v>
      </c>
      <c r="AK426" t="s">
        <v>121</v>
      </c>
    </row>
    <row r="427" spans="9:37" x14ac:dyDescent="0.3">
      <c r="I427">
        <f ca="1">IF(OR(INDIRECT(A73&amp;ROW())=B93,INDIRECT(A73&amp;ROW())=B94),1,IF(AND(INDIRECT(A73&amp;ROW())=B95,INDIRECT(A96&amp;ROW())=C93),1,IF(AND(INDIRECT(A73&amp;ROW())=B95,INDIRECT(A96&amp;ROW())=C94),1,0)))</f>
        <v>1</v>
      </c>
      <c r="J427">
        <f ca="1">IF(AND(INDIRECT(A73&amp;ROW())=B95,INDIRECT(A96&amp;ROW())=C95),1,IF(AND(INDIRECT(A73&amp;ROW())=B95,INDIRECT(A96&amp;ROW())=C96),1,0))</f>
        <v>0</v>
      </c>
      <c r="K427">
        <f ca="1">DAYS360(INDIRECT(C68&amp;ROW()),TODAY())</f>
        <v>690</v>
      </c>
      <c r="L427">
        <f ca="1">DAYS360(INDIRECT(C69&amp;ROW()),TODAY())</f>
        <v>758</v>
      </c>
      <c r="M427">
        <f ca="1">HYPERLINK(CONCATENATE("https://bugzilla.houston.hp.com:1181/bugzilla/show_bug.cgi?id=",INDIRECT(C70&amp;ROW())),INDIRECT(C70&amp;ROW()))</f>
        <v>59259</v>
      </c>
      <c r="N427">
        <v>59259</v>
      </c>
      <c r="O427" t="s">
        <v>22</v>
      </c>
      <c r="P427" t="s">
        <v>818</v>
      </c>
      <c r="Q427" t="s">
        <v>25</v>
      </c>
      <c r="R427" t="s">
        <v>579</v>
      </c>
      <c r="S427" t="s">
        <v>552</v>
      </c>
      <c r="T427" t="s">
        <v>822</v>
      </c>
      <c r="U427" s="6">
        <v>42157.090439814812</v>
      </c>
      <c r="V427" t="s">
        <v>18</v>
      </c>
      <c r="W427" t="s">
        <v>783</v>
      </c>
      <c r="X427" s="6">
        <v>42087.716736111113</v>
      </c>
      <c r="Y427" t="s">
        <v>119</v>
      </c>
      <c r="AB427" t="s">
        <v>200</v>
      </c>
      <c r="AC427" t="s">
        <v>247</v>
      </c>
      <c r="AD427" t="s">
        <v>220</v>
      </c>
      <c r="AE427" t="s">
        <v>223</v>
      </c>
      <c r="AG427" t="s">
        <v>121</v>
      </c>
      <c r="AH427" t="s">
        <v>327</v>
      </c>
      <c r="AI427" t="s">
        <v>362</v>
      </c>
      <c r="AJ427" t="s">
        <v>715</v>
      </c>
      <c r="AK427" t="s">
        <v>121</v>
      </c>
    </row>
    <row r="428" spans="9:37" x14ac:dyDescent="0.3">
      <c r="I428">
        <f ca="1">IF(OR(INDIRECT(A73&amp;ROW())=B93,INDIRECT(A73&amp;ROW())=B94),1,IF(AND(INDIRECT(A73&amp;ROW())=B95,INDIRECT(A96&amp;ROW())=C93),1,IF(AND(INDIRECT(A73&amp;ROW())=B95,INDIRECT(A96&amp;ROW())=C94),1,0)))</f>
        <v>1</v>
      </c>
      <c r="J428">
        <f ca="1">IF(AND(INDIRECT(A73&amp;ROW())=B95,INDIRECT(A96&amp;ROW())=C95),1,IF(AND(INDIRECT(A73&amp;ROW())=B95,INDIRECT(A96&amp;ROW())=C96),1,0))</f>
        <v>0</v>
      </c>
      <c r="K428">
        <f ca="1">DAYS360(INDIRECT(C68&amp;ROW()),TODAY())</f>
        <v>690</v>
      </c>
      <c r="L428">
        <f ca="1">DAYS360(INDIRECT(C69&amp;ROW()),TODAY())</f>
        <v>758</v>
      </c>
      <c r="M428">
        <f ca="1">HYPERLINK(CONCATENATE("https://bugzilla.houston.hp.com:1181/bugzilla/show_bug.cgi?id=",INDIRECT(C70&amp;ROW())),INDIRECT(C70&amp;ROW()))</f>
        <v>59260</v>
      </c>
      <c r="N428">
        <v>59260</v>
      </c>
      <c r="O428" t="s">
        <v>22</v>
      </c>
      <c r="P428" t="s">
        <v>817</v>
      </c>
      <c r="Q428" t="s">
        <v>25</v>
      </c>
      <c r="R428" t="s">
        <v>248</v>
      </c>
      <c r="S428" t="s">
        <v>552</v>
      </c>
      <c r="U428" s="6">
        <v>42157.091111111113</v>
      </c>
      <c r="V428" t="s">
        <v>18</v>
      </c>
      <c r="W428" t="s">
        <v>783</v>
      </c>
      <c r="X428" s="6">
        <v>42087.716840277775</v>
      </c>
      <c r="Y428" t="s">
        <v>119</v>
      </c>
      <c r="AB428" t="s">
        <v>200</v>
      </c>
      <c r="AC428" t="s">
        <v>247</v>
      </c>
      <c r="AD428" t="s">
        <v>220</v>
      </c>
      <c r="AE428" t="s">
        <v>223</v>
      </c>
      <c r="AG428" t="s">
        <v>121</v>
      </c>
      <c r="AH428" t="s">
        <v>327</v>
      </c>
      <c r="AI428" t="s">
        <v>121</v>
      </c>
      <c r="AJ428" t="s">
        <v>715</v>
      </c>
      <c r="AK428" t="s">
        <v>121</v>
      </c>
    </row>
    <row r="429" spans="9:37" x14ac:dyDescent="0.3">
      <c r="I429">
        <f ca="1">IF(OR(INDIRECT(A73&amp;ROW())=B93,INDIRECT(A73&amp;ROW())=B94),1,IF(AND(INDIRECT(A73&amp;ROW())=B95,INDIRECT(A96&amp;ROW())=C93),1,IF(AND(INDIRECT(A73&amp;ROW())=B95,INDIRECT(A96&amp;ROW())=C94),1,0)))</f>
        <v>0</v>
      </c>
      <c r="J429">
        <f ca="1">IF(AND(INDIRECT(A73&amp;ROW())=B95,INDIRECT(A96&amp;ROW())=C95),1,IF(AND(INDIRECT(A73&amp;ROW())=B95,INDIRECT(A96&amp;ROW())=C96),1,0))</f>
        <v>1</v>
      </c>
      <c r="K429">
        <f ca="1">DAYS360(INDIRECT(C68&amp;ROW()),TODAY())</f>
        <v>753</v>
      </c>
      <c r="L429">
        <f ca="1">DAYS360(INDIRECT(C69&amp;ROW()),TODAY())</f>
        <v>757</v>
      </c>
      <c r="M429">
        <f ca="1">HYPERLINK(CONCATENATE("https://bugzilla.houston.hp.com:1181/bugzilla/show_bug.cgi?id=",INDIRECT(C70&amp;ROW())),INDIRECT(C70&amp;ROW()))</f>
        <v>59347</v>
      </c>
      <c r="N429">
        <v>59347</v>
      </c>
      <c r="O429" t="s">
        <v>22</v>
      </c>
      <c r="P429" t="s">
        <v>830</v>
      </c>
      <c r="Q429" t="s">
        <v>25</v>
      </c>
      <c r="R429" t="s">
        <v>251</v>
      </c>
      <c r="S429" t="s">
        <v>253</v>
      </c>
      <c r="U429" s="6">
        <v>42092.969606481478</v>
      </c>
      <c r="V429" t="s">
        <v>18</v>
      </c>
      <c r="W429" t="s">
        <v>17</v>
      </c>
      <c r="X429" s="6">
        <v>42088.711562500001</v>
      </c>
      <c r="Y429" t="s">
        <v>246</v>
      </c>
      <c r="AB429" t="s">
        <v>201</v>
      </c>
      <c r="AC429" t="s">
        <v>247</v>
      </c>
      <c r="AD429" t="s">
        <v>222</v>
      </c>
      <c r="AE429" t="s">
        <v>225</v>
      </c>
      <c r="AG429" t="s">
        <v>121</v>
      </c>
      <c r="AH429" t="s">
        <v>327</v>
      </c>
      <c r="AI429" t="s">
        <v>121</v>
      </c>
      <c r="AJ429" t="s">
        <v>716</v>
      </c>
      <c r="AK429" t="s">
        <v>121</v>
      </c>
    </row>
    <row r="430" spans="9:37" x14ac:dyDescent="0.3">
      <c r="I430">
        <f ca="1">IF(OR(INDIRECT(A73&amp;ROW())=B93,INDIRECT(A73&amp;ROW())=B94),1,IF(AND(INDIRECT(A73&amp;ROW())=B95,INDIRECT(A96&amp;ROW())=C93),1,IF(AND(INDIRECT(A73&amp;ROW())=B95,INDIRECT(A96&amp;ROW())=C94),1,0)))</f>
        <v>0</v>
      </c>
      <c r="J430">
        <f ca="1">IF(AND(INDIRECT(A73&amp;ROW())=B95,INDIRECT(A96&amp;ROW())=C95),1,IF(AND(INDIRECT(A73&amp;ROW())=B95,INDIRECT(A96&amp;ROW())=C96),1,0))</f>
        <v>1</v>
      </c>
      <c r="K430">
        <f ca="1">DAYS360(INDIRECT(C68&amp;ROW()),TODAY())</f>
        <v>737</v>
      </c>
      <c r="L430">
        <f ca="1">DAYS360(INDIRECT(C69&amp;ROW()),TODAY())</f>
        <v>757</v>
      </c>
      <c r="M430">
        <f ca="1">HYPERLINK(CONCATENATE("https://bugzilla.houston.hp.com:1181/bugzilla/show_bug.cgi?id=",INDIRECT(C70&amp;ROW())),INDIRECT(C70&amp;ROW()))</f>
        <v>59348</v>
      </c>
      <c r="N430">
        <v>59348</v>
      </c>
      <c r="O430" t="s">
        <v>22</v>
      </c>
      <c r="P430" t="s">
        <v>829</v>
      </c>
      <c r="Q430" t="s">
        <v>25</v>
      </c>
      <c r="R430" t="s">
        <v>251</v>
      </c>
      <c r="S430" t="s">
        <v>253</v>
      </c>
      <c r="U430" s="6">
        <v>42109.748472222222</v>
      </c>
      <c r="V430" t="s">
        <v>18</v>
      </c>
      <c r="W430" t="s">
        <v>17</v>
      </c>
      <c r="X430" s="6">
        <v>42088.71303240741</v>
      </c>
      <c r="Y430" t="s">
        <v>246</v>
      </c>
      <c r="AB430" t="s">
        <v>201</v>
      </c>
      <c r="AC430" t="s">
        <v>247</v>
      </c>
      <c r="AD430" t="s">
        <v>222</v>
      </c>
      <c r="AE430" t="s">
        <v>232</v>
      </c>
      <c r="AG430" t="s">
        <v>121</v>
      </c>
      <c r="AH430" t="s">
        <v>327</v>
      </c>
      <c r="AI430" t="s">
        <v>121</v>
      </c>
      <c r="AJ430" t="s">
        <v>716</v>
      </c>
      <c r="AK430" t="s">
        <v>121</v>
      </c>
    </row>
    <row r="431" spans="9:37" x14ac:dyDescent="0.3">
      <c r="I431">
        <f ca="1">IF(OR(INDIRECT(A73&amp;ROW())=B93,INDIRECT(A73&amp;ROW())=B94),1,IF(AND(INDIRECT(A73&amp;ROW())=B95,INDIRECT(A96&amp;ROW())=C93),1,IF(AND(INDIRECT(A73&amp;ROW())=B95,INDIRECT(A96&amp;ROW())=C94),1,0)))</f>
        <v>0</v>
      </c>
      <c r="J431">
        <f ca="1">IF(AND(INDIRECT(A73&amp;ROW())=B95,INDIRECT(A96&amp;ROW())=C95),1,IF(AND(INDIRECT(A73&amp;ROW())=B95,INDIRECT(A96&amp;ROW())=C96),1,0))</f>
        <v>1</v>
      </c>
      <c r="K431">
        <f ca="1">DAYS360(INDIRECT(C68&amp;ROW()),TODAY())</f>
        <v>752</v>
      </c>
      <c r="L431">
        <f ca="1">DAYS360(INDIRECT(C69&amp;ROW()),TODAY())</f>
        <v>756</v>
      </c>
      <c r="M431">
        <f ca="1">HYPERLINK(CONCATENATE("https://bugzilla.houston.hp.com:1181/bugzilla/show_bug.cgi?id=",INDIRECT(C70&amp;ROW())),INDIRECT(C70&amp;ROW()))</f>
        <v>59359</v>
      </c>
      <c r="N431">
        <v>59359</v>
      </c>
      <c r="O431" t="s">
        <v>22</v>
      </c>
      <c r="P431" t="s">
        <v>828</v>
      </c>
      <c r="Q431" t="s">
        <v>25</v>
      </c>
      <c r="R431" t="s">
        <v>579</v>
      </c>
      <c r="S431" t="s">
        <v>552</v>
      </c>
      <c r="T431" t="s">
        <v>835</v>
      </c>
      <c r="U431" s="6">
        <v>42094.334027777775</v>
      </c>
      <c r="V431" t="s">
        <v>18</v>
      </c>
      <c r="W431" t="s">
        <v>17</v>
      </c>
      <c r="X431" s="6">
        <v>42089.015092592592</v>
      </c>
      <c r="Y431" t="s">
        <v>246</v>
      </c>
      <c r="AB431" t="s">
        <v>201</v>
      </c>
      <c r="AC431" t="s">
        <v>247</v>
      </c>
      <c r="AD431" t="s">
        <v>222</v>
      </c>
      <c r="AE431" t="s">
        <v>232</v>
      </c>
      <c r="AG431" t="s">
        <v>121</v>
      </c>
      <c r="AH431" t="s">
        <v>327</v>
      </c>
      <c r="AI431" t="s">
        <v>121</v>
      </c>
      <c r="AJ431" t="s">
        <v>716</v>
      </c>
      <c r="AK431" t="s">
        <v>121</v>
      </c>
    </row>
    <row r="432" spans="9:37" x14ac:dyDescent="0.3">
      <c r="I432">
        <f ca="1">IF(OR(INDIRECT(A73&amp;ROW())=B93,INDIRECT(A73&amp;ROW())=B94),1,IF(AND(INDIRECT(A73&amp;ROW())=B95,INDIRECT(A96&amp;ROW())=C93),1,IF(AND(INDIRECT(A73&amp;ROW())=B95,INDIRECT(A96&amp;ROW())=C94),1,0)))</f>
        <v>0</v>
      </c>
      <c r="J432">
        <f ca="1">IF(AND(INDIRECT(A73&amp;ROW())=B95,INDIRECT(A96&amp;ROW())=C95),1,IF(AND(INDIRECT(A73&amp;ROW())=B95,INDIRECT(A96&amp;ROW())=C96),1,0))</f>
        <v>1</v>
      </c>
      <c r="K432">
        <f ca="1">DAYS360(INDIRECT(C68&amp;ROW()),TODAY())</f>
        <v>752</v>
      </c>
      <c r="L432">
        <f ca="1">DAYS360(INDIRECT(C69&amp;ROW()),TODAY())</f>
        <v>756</v>
      </c>
      <c r="M432">
        <f ca="1">HYPERLINK(CONCATENATE("https://bugzilla.houston.hp.com:1181/bugzilla/show_bug.cgi?id=",INDIRECT(C70&amp;ROW())),INDIRECT(C70&amp;ROW()))</f>
        <v>59360</v>
      </c>
      <c r="N432">
        <v>59360</v>
      </c>
      <c r="O432" t="s">
        <v>22</v>
      </c>
      <c r="P432" t="s">
        <v>827</v>
      </c>
      <c r="Q432" t="s">
        <v>25</v>
      </c>
      <c r="R432" t="s">
        <v>248</v>
      </c>
      <c r="S432" t="s">
        <v>552</v>
      </c>
      <c r="U432" s="6">
        <v>42093.311527777776</v>
      </c>
      <c r="V432" t="s">
        <v>18</v>
      </c>
      <c r="W432" t="s">
        <v>17</v>
      </c>
      <c r="X432" s="6">
        <v>42089.015150462961</v>
      </c>
      <c r="Y432" t="s">
        <v>246</v>
      </c>
      <c r="AB432" t="s">
        <v>201</v>
      </c>
      <c r="AC432" t="s">
        <v>247</v>
      </c>
      <c r="AD432" t="s">
        <v>222</v>
      </c>
      <c r="AE432" t="s">
        <v>232</v>
      </c>
      <c r="AG432" t="s">
        <v>121</v>
      </c>
      <c r="AH432" t="s">
        <v>327</v>
      </c>
      <c r="AI432" t="s">
        <v>121</v>
      </c>
      <c r="AJ432" t="s">
        <v>716</v>
      </c>
      <c r="AK432" t="s">
        <v>121</v>
      </c>
    </row>
    <row r="433" spans="9:37" x14ac:dyDescent="0.3">
      <c r="I433">
        <f ca="1">IF(OR(INDIRECT(A73&amp;ROW())=B93,INDIRECT(A73&amp;ROW())=B94),1,IF(AND(INDIRECT(A73&amp;ROW())=B95,INDIRECT(A96&amp;ROW())=C93),1,IF(AND(INDIRECT(A73&amp;ROW())=B95,INDIRECT(A96&amp;ROW())=C94),1,0)))</f>
        <v>0</v>
      </c>
      <c r="J433">
        <f ca="1">IF(AND(INDIRECT(A73&amp;ROW())=B95,INDIRECT(A96&amp;ROW())=C95),1,IF(AND(INDIRECT(A73&amp;ROW())=B95,INDIRECT(A96&amp;ROW())=C96),1,0))</f>
        <v>1</v>
      </c>
      <c r="K433">
        <f ca="1">DAYS360(INDIRECT(C68&amp;ROW()),TODAY())</f>
        <v>731</v>
      </c>
      <c r="L433">
        <f ca="1">DAYS360(INDIRECT(C69&amp;ROW()),TODAY())</f>
        <v>756</v>
      </c>
      <c r="M433">
        <f ca="1">HYPERLINK(CONCATENATE("https://bugzilla.houston.hp.com:1181/bugzilla/show_bug.cgi?id=",INDIRECT(C70&amp;ROW())),INDIRECT(C70&amp;ROW()))</f>
        <v>59366</v>
      </c>
      <c r="N433">
        <v>59366</v>
      </c>
      <c r="O433" t="s">
        <v>66</v>
      </c>
      <c r="P433" t="s">
        <v>826</v>
      </c>
      <c r="Q433" t="s">
        <v>25</v>
      </c>
      <c r="R433" t="s">
        <v>251</v>
      </c>
      <c r="S433" t="s">
        <v>187</v>
      </c>
      <c r="U433" s="6">
        <v>42115.687002314815</v>
      </c>
      <c r="V433" t="s">
        <v>35</v>
      </c>
      <c r="W433" t="s">
        <v>17</v>
      </c>
      <c r="X433" s="6">
        <v>42089.027627314812</v>
      </c>
      <c r="Y433" t="s">
        <v>792</v>
      </c>
      <c r="AB433" t="s">
        <v>201</v>
      </c>
      <c r="AC433" t="s">
        <v>247</v>
      </c>
      <c r="AD433" t="s">
        <v>220</v>
      </c>
      <c r="AE433" t="s">
        <v>219</v>
      </c>
      <c r="AG433" t="s">
        <v>121</v>
      </c>
      <c r="AH433" t="s">
        <v>327</v>
      </c>
      <c r="AI433" t="s">
        <v>121</v>
      </c>
      <c r="AJ433" t="s">
        <v>717</v>
      </c>
      <c r="AK433" t="s">
        <v>121</v>
      </c>
    </row>
    <row r="434" spans="9:37" x14ac:dyDescent="0.3">
      <c r="I434">
        <f ca="1">IF(OR(INDIRECT(A73&amp;ROW())=B93,INDIRECT(A73&amp;ROW())=B94),1,IF(AND(INDIRECT(A73&amp;ROW())=B95,INDIRECT(A96&amp;ROW())=C93),1,IF(AND(INDIRECT(A73&amp;ROW())=B95,INDIRECT(A96&amp;ROW())=C94),1,0)))</f>
        <v>1</v>
      </c>
      <c r="J434">
        <f ca="1">IF(AND(INDIRECT(A73&amp;ROW())=B95,INDIRECT(A96&amp;ROW())=C95),1,IF(AND(INDIRECT(A73&amp;ROW())=B95,INDIRECT(A96&amp;ROW())=C96),1,0))</f>
        <v>0</v>
      </c>
      <c r="K434">
        <f ca="1">DAYS360(INDIRECT(C68&amp;ROW()),TODAY())</f>
        <v>687</v>
      </c>
      <c r="L434">
        <f ca="1">DAYS360(INDIRECT(C69&amp;ROW()),TODAY())</f>
        <v>756</v>
      </c>
      <c r="M434">
        <f ca="1">HYPERLINK(CONCATENATE("https://bugzilla.houston.hp.com:1181/bugzilla/show_bug.cgi?id=",INDIRECT(C70&amp;ROW())),INDIRECT(C70&amp;ROW()))</f>
        <v>59407</v>
      </c>
      <c r="N434">
        <v>59407</v>
      </c>
      <c r="O434" t="s">
        <v>53</v>
      </c>
      <c r="P434" t="s">
        <v>825</v>
      </c>
      <c r="Q434" t="s">
        <v>39</v>
      </c>
      <c r="R434" t="s">
        <v>579</v>
      </c>
      <c r="S434" t="s">
        <v>784</v>
      </c>
      <c r="T434" t="s">
        <v>822</v>
      </c>
      <c r="U434" s="6">
        <v>42160.50141203704</v>
      </c>
      <c r="V434" t="s">
        <v>18</v>
      </c>
      <c r="W434" t="s">
        <v>343</v>
      </c>
      <c r="X434" s="6">
        <v>42089.50372685185</v>
      </c>
      <c r="Y434" t="s">
        <v>793</v>
      </c>
      <c r="AB434" t="s">
        <v>201</v>
      </c>
      <c r="AC434" t="s">
        <v>247</v>
      </c>
      <c r="AD434" t="s">
        <v>220</v>
      </c>
      <c r="AE434" t="s">
        <v>229</v>
      </c>
      <c r="AG434" t="s">
        <v>121</v>
      </c>
      <c r="AH434" t="s">
        <v>327</v>
      </c>
      <c r="AI434" t="s">
        <v>362</v>
      </c>
      <c r="AJ434" t="s">
        <v>715</v>
      </c>
      <c r="AK434" t="s">
        <v>121</v>
      </c>
    </row>
    <row r="435" spans="9:37" x14ac:dyDescent="0.3">
      <c r="I435">
        <f ca="1">IF(OR(INDIRECT(A73&amp;ROW())=B93,INDIRECT(A73&amp;ROW())=B94),1,IF(AND(INDIRECT(A73&amp;ROW())=B95,INDIRECT(A96&amp;ROW())=C93),1,IF(AND(INDIRECT(A73&amp;ROW())=B95,INDIRECT(A96&amp;ROW())=C94),1,0)))</f>
        <v>0</v>
      </c>
      <c r="J435">
        <f ca="1">IF(AND(INDIRECT(A73&amp;ROW())=B95,INDIRECT(A96&amp;ROW())=C95),1,IF(AND(INDIRECT(A73&amp;ROW())=B95,INDIRECT(A96&amp;ROW())=C96),1,0))</f>
        <v>1</v>
      </c>
      <c r="K435">
        <f ca="1">DAYS360(INDIRECT(C68&amp;ROW()),TODAY())</f>
        <v>752</v>
      </c>
      <c r="L435">
        <f ca="1">DAYS360(INDIRECT(C69&amp;ROW()),TODAY())</f>
        <v>755</v>
      </c>
      <c r="M435">
        <f ca="1">HYPERLINK(CONCATENATE("https://bugzilla.houston.hp.com:1181/bugzilla/show_bug.cgi?id=",INDIRECT(C70&amp;ROW())),INDIRECT(C70&amp;ROW()))</f>
        <v>59450</v>
      </c>
      <c r="N435">
        <v>59450</v>
      </c>
      <c r="O435" t="s">
        <v>22</v>
      </c>
      <c r="P435" t="s">
        <v>824</v>
      </c>
      <c r="Q435" t="s">
        <v>25</v>
      </c>
      <c r="R435" t="s">
        <v>248</v>
      </c>
      <c r="S435" t="s">
        <v>552</v>
      </c>
      <c r="U435" s="6">
        <v>42093.311597222222</v>
      </c>
      <c r="V435" t="s">
        <v>18</v>
      </c>
      <c r="W435" t="s">
        <v>17</v>
      </c>
      <c r="X435" s="6">
        <v>42090.015208333331</v>
      </c>
      <c r="Y435" t="s">
        <v>246</v>
      </c>
      <c r="AB435" t="s">
        <v>201</v>
      </c>
      <c r="AC435" t="s">
        <v>247</v>
      </c>
      <c r="AD435" t="s">
        <v>222</v>
      </c>
      <c r="AE435" t="s">
        <v>232</v>
      </c>
      <c r="AG435" t="s">
        <v>121</v>
      </c>
      <c r="AH435" t="s">
        <v>327</v>
      </c>
      <c r="AI435" t="s">
        <v>121</v>
      </c>
      <c r="AJ435" t="s">
        <v>716</v>
      </c>
      <c r="AK435" t="s">
        <v>121</v>
      </c>
    </row>
    <row r="436" spans="9:37" x14ac:dyDescent="0.3">
      <c r="I436">
        <f ca="1">IF(OR(INDIRECT(A73&amp;ROW())=B93,INDIRECT(A73&amp;ROW())=B94),1,IF(AND(INDIRECT(A73&amp;ROW())=B95,INDIRECT(A96&amp;ROW())=C93),1,IF(AND(INDIRECT(A73&amp;ROW())=B95,INDIRECT(A96&amp;ROW())=C94),1,0)))</f>
        <v>0</v>
      </c>
      <c r="J436">
        <f ca="1">IF(AND(INDIRECT(A73&amp;ROW())=B95,INDIRECT(A96&amp;ROW())=C95),1,IF(AND(INDIRECT(A73&amp;ROW())=B95,INDIRECT(A96&amp;ROW())=C96),1,0))</f>
        <v>0</v>
      </c>
      <c r="K436">
        <f ca="1">DAYS360(INDIRECT(C68&amp;ROW()),TODAY())</f>
        <v>724</v>
      </c>
      <c r="L436">
        <f ca="1">DAYS360(INDIRECT(C69&amp;ROW()),TODAY())</f>
        <v>755</v>
      </c>
      <c r="M436">
        <f ca="1">HYPERLINK(CONCATENATE("https://bugzilla.houston.hp.com:1181/bugzilla/show_bug.cgi?id=",INDIRECT(C70&amp;ROW())),INDIRECT(C70&amp;ROW()))</f>
        <v>59484</v>
      </c>
      <c r="N436">
        <v>59484</v>
      </c>
      <c r="O436" t="s">
        <v>164</v>
      </c>
      <c r="P436" t="s">
        <v>845</v>
      </c>
      <c r="Q436" t="s">
        <v>16</v>
      </c>
      <c r="R436" t="s">
        <v>251</v>
      </c>
      <c r="S436" t="s">
        <v>823</v>
      </c>
      <c r="T436" t="s">
        <v>181</v>
      </c>
      <c r="U436" s="6">
        <v>42122.283194444448</v>
      </c>
      <c r="V436" t="s">
        <v>35</v>
      </c>
      <c r="W436" t="s">
        <v>17</v>
      </c>
      <c r="X436" s="6">
        <v>42090.238715277781</v>
      </c>
      <c r="Y436" t="s">
        <v>123</v>
      </c>
      <c r="AB436" t="s">
        <v>201</v>
      </c>
      <c r="AC436" t="s">
        <v>247</v>
      </c>
      <c r="AD436" t="s">
        <v>220</v>
      </c>
      <c r="AE436" t="s">
        <v>219</v>
      </c>
      <c r="AG436" t="s">
        <v>121</v>
      </c>
      <c r="AH436" t="s">
        <v>327</v>
      </c>
      <c r="AI436" t="s">
        <v>121</v>
      </c>
      <c r="AJ436" t="s">
        <v>717</v>
      </c>
      <c r="AK436" t="s">
        <v>121</v>
      </c>
    </row>
    <row r="437" spans="9:37" x14ac:dyDescent="0.3">
      <c r="I437">
        <f ca="1">IF(OR(INDIRECT(A73&amp;ROW())=B93,INDIRECT(A73&amp;ROW())=B94),1,IF(AND(INDIRECT(A73&amp;ROW())=B95,INDIRECT(A96&amp;ROW())=C93),1,IF(AND(INDIRECT(A73&amp;ROW())=B95,INDIRECT(A96&amp;ROW())=C94),1,0)))</f>
        <v>0</v>
      </c>
      <c r="J437">
        <f ca="1">IF(AND(INDIRECT(A73&amp;ROW())=B95,INDIRECT(A96&amp;ROW())=C95),1,IF(AND(INDIRECT(A73&amp;ROW())=B95,INDIRECT(A96&amp;ROW())=C96),1,0))</f>
        <v>0</v>
      </c>
      <c r="K437">
        <f ca="1">DAYS360(INDIRECT(C68&amp;ROW()),TODAY())</f>
        <v>732</v>
      </c>
      <c r="L437">
        <f ca="1">DAYS360(INDIRECT(C69&amp;ROW()),TODAY())</f>
        <v>755</v>
      </c>
      <c r="M437">
        <f ca="1">HYPERLINK(CONCATENATE("https://bugzilla.houston.hp.com:1181/bugzilla/show_bug.cgi?id=",INDIRECT(C70&amp;ROW())),INDIRECT(C70&amp;ROW()))</f>
        <v>59501</v>
      </c>
      <c r="N437">
        <v>59501</v>
      </c>
      <c r="O437" t="s">
        <v>164</v>
      </c>
      <c r="P437" t="s">
        <v>834</v>
      </c>
      <c r="Q437" t="s">
        <v>16</v>
      </c>
      <c r="R437" t="s">
        <v>248</v>
      </c>
      <c r="S437" t="s">
        <v>552</v>
      </c>
      <c r="T437" t="s">
        <v>181</v>
      </c>
      <c r="U437" s="6">
        <v>42114.053287037037</v>
      </c>
      <c r="V437" t="s">
        <v>18</v>
      </c>
      <c r="W437" t="s">
        <v>372</v>
      </c>
      <c r="X437" s="6">
        <v>42090.44153935185</v>
      </c>
      <c r="Y437" t="s">
        <v>123</v>
      </c>
      <c r="AB437" t="s">
        <v>201</v>
      </c>
      <c r="AC437" t="s">
        <v>247</v>
      </c>
      <c r="AD437" t="s">
        <v>220</v>
      </c>
      <c r="AE437" t="s">
        <v>219</v>
      </c>
      <c r="AG437" t="s">
        <v>121</v>
      </c>
      <c r="AH437" t="s">
        <v>327</v>
      </c>
      <c r="AI437" t="s">
        <v>121</v>
      </c>
      <c r="AJ437" t="s">
        <v>717</v>
      </c>
      <c r="AK437" t="s">
        <v>121</v>
      </c>
    </row>
    <row r="438" spans="9:37" x14ac:dyDescent="0.3">
      <c r="I438">
        <f ca="1">IF(OR(INDIRECT(A73&amp;ROW())=B93,INDIRECT(A73&amp;ROW())=B94),1,IF(AND(INDIRECT(A73&amp;ROW())=B95,INDIRECT(A96&amp;ROW())=C93),1,IF(AND(INDIRECT(A73&amp;ROW())=B95,INDIRECT(A96&amp;ROW())=C94),1,0)))</f>
        <v>0</v>
      </c>
      <c r="J438">
        <f ca="1">IF(AND(INDIRECT(A73&amp;ROW())=B95,INDIRECT(A96&amp;ROW())=C95),1,IF(AND(INDIRECT(A73&amp;ROW())=B95,INDIRECT(A96&amp;ROW())=C96),1,0))</f>
        <v>0</v>
      </c>
      <c r="K438">
        <f ca="1">DAYS360(INDIRECT(C68&amp;ROW()),TODAY())</f>
        <v>737</v>
      </c>
      <c r="L438">
        <f ca="1">DAYS360(INDIRECT(C69&amp;ROW()),TODAY())</f>
        <v>752</v>
      </c>
      <c r="M438">
        <f ca="1">HYPERLINK(CONCATENATE("https://bugzilla.houston.hp.com:1181/bugzilla/show_bug.cgi?id=",INDIRECT(C70&amp;ROW())),INDIRECT(C70&amp;ROW()))</f>
        <v>59551</v>
      </c>
      <c r="N438">
        <v>59551</v>
      </c>
      <c r="O438" t="s">
        <v>56</v>
      </c>
      <c r="P438" t="s">
        <v>833</v>
      </c>
      <c r="Q438" t="s">
        <v>16</v>
      </c>
      <c r="R438" t="s">
        <v>251</v>
      </c>
      <c r="S438" t="s">
        <v>62</v>
      </c>
      <c r="U438" s="6">
        <v>42109.748993055553</v>
      </c>
      <c r="V438" t="s">
        <v>18</v>
      </c>
      <c r="W438" t="s">
        <v>783</v>
      </c>
      <c r="X438" s="6">
        <v>42093.142777777779</v>
      </c>
      <c r="Y438" t="s">
        <v>119</v>
      </c>
      <c r="AB438" t="s">
        <v>200</v>
      </c>
      <c r="AC438" t="s">
        <v>247</v>
      </c>
      <c r="AD438" t="s">
        <v>220</v>
      </c>
      <c r="AE438" t="s">
        <v>219</v>
      </c>
      <c r="AG438" t="s">
        <v>121</v>
      </c>
      <c r="AH438" t="s">
        <v>327</v>
      </c>
      <c r="AI438" t="s">
        <v>121</v>
      </c>
      <c r="AJ438" t="s">
        <v>716</v>
      </c>
      <c r="AK438" t="s">
        <v>121</v>
      </c>
    </row>
    <row r="439" spans="9:37" x14ac:dyDescent="0.3">
      <c r="I439">
        <f ca="1">IF(OR(INDIRECT(A73&amp;ROW())=B93,INDIRECT(A73&amp;ROW())=B94),1,IF(AND(INDIRECT(A73&amp;ROW())=B95,INDIRECT(A96&amp;ROW())=C93),1,IF(AND(INDIRECT(A73&amp;ROW())=B95,INDIRECT(A96&amp;ROW())=C94),1,0)))</f>
        <v>0</v>
      </c>
      <c r="J439">
        <f ca="1">IF(AND(INDIRECT(A73&amp;ROW())=B95,INDIRECT(A96&amp;ROW())=C95),1,IF(AND(INDIRECT(A73&amp;ROW())=B95,INDIRECT(A96&amp;ROW())=C96),1,0))</f>
        <v>0</v>
      </c>
      <c r="K439">
        <f ca="1">DAYS360(INDIRECT(C68&amp;ROW()),TODAY())</f>
        <v>743</v>
      </c>
      <c r="L439">
        <f ca="1">DAYS360(INDIRECT(C69&amp;ROW()),TODAY())</f>
        <v>752</v>
      </c>
      <c r="M439">
        <f ca="1">HYPERLINK(CONCATENATE("https://bugzilla.houston.hp.com:1181/bugzilla/show_bug.cgi?id=",INDIRECT(C70&amp;ROW())),INDIRECT(C70&amp;ROW()))</f>
        <v>59562</v>
      </c>
      <c r="N439">
        <v>59562</v>
      </c>
      <c r="O439" t="s">
        <v>56</v>
      </c>
      <c r="P439" t="s">
        <v>832</v>
      </c>
      <c r="Q439" t="s">
        <v>16</v>
      </c>
      <c r="R439" t="s">
        <v>579</v>
      </c>
      <c r="S439" t="s">
        <v>552</v>
      </c>
      <c r="T439" t="s">
        <v>858</v>
      </c>
      <c r="U439" s="6">
        <v>42103.321122685185</v>
      </c>
      <c r="V439" t="s">
        <v>18</v>
      </c>
      <c r="W439" t="s">
        <v>783</v>
      </c>
      <c r="X439" s="6">
        <v>42093.306562500002</v>
      </c>
      <c r="Y439" t="s">
        <v>119</v>
      </c>
      <c r="AB439" t="s">
        <v>200</v>
      </c>
      <c r="AC439" t="s">
        <v>247</v>
      </c>
      <c r="AD439" t="s">
        <v>220</v>
      </c>
      <c r="AE439" t="s">
        <v>219</v>
      </c>
      <c r="AG439" t="s">
        <v>121</v>
      </c>
      <c r="AH439" t="s">
        <v>327</v>
      </c>
      <c r="AI439" t="s">
        <v>121</v>
      </c>
      <c r="AJ439" t="s">
        <v>716</v>
      </c>
      <c r="AK439" t="s">
        <v>121</v>
      </c>
    </row>
    <row r="440" spans="9:37" x14ac:dyDescent="0.3">
      <c r="I440">
        <f ca="1">IF(OR(INDIRECT(A73&amp;ROW())=B93,INDIRECT(A73&amp;ROW())=B94),1,IF(AND(INDIRECT(A73&amp;ROW())=B95,INDIRECT(A96&amp;ROW())=C93),1,IF(AND(INDIRECT(A73&amp;ROW())=B95,INDIRECT(A96&amp;ROW())=C94),1,0)))</f>
        <v>0</v>
      </c>
      <c r="J440">
        <f ca="1">IF(AND(INDIRECT(A73&amp;ROW())=B95,INDIRECT(A96&amp;ROW())=C95),1,IF(AND(INDIRECT(A73&amp;ROW())=B95,INDIRECT(A96&amp;ROW())=C96),1,0))</f>
        <v>0</v>
      </c>
      <c r="K440">
        <f ca="1">DAYS360(INDIRECT(C68&amp;ROW()),TODAY())</f>
        <v>752</v>
      </c>
      <c r="L440">
        <f ca="1">DAYS360(INDIRECT(C69&amp;ROW()),TODAY())</f>
        <v>752</v>
      </c>
      <c r="M440">
        <f ca="1">HYPERLINK(CONCATENATE("https://bugzilla.houston.hp.com:1181/bugzilla/show_bug.cgi?id=",INDIRECT(C70&amp;ROW())),INDIRECT(C70&amp;ROW()))</f>
        <v>59563</v>
      </c>
      <c r="N440">
        <v>59563</v>
      </c>
      <c r="O440" t="s">
        <v>56</v>
      </c>
      <c r="P440" t="s">
        <v>831</v>
      </c>
      <c r="Q440" t="s">
        <v>16</v>
      </c>
      <c r="R440" t="s">
        <v>248</v>
      </c>
      <c r="S440" t="s">
        <v>552</v>
      </c>
      <c r="U440" s="6">
        <v>42093.306689814817</v>
      </c>
      <c r="V440" t="s">
        <v>18</v>
      </c>
      <c r="W440" t="s">
        <v>783</v>
      </c>
      <c r="X440" s="6">
        <v>42093.306689814817</v>
      </c>
      <c r="Y440" t="s">
        <v>119</v>
      </c>
      <c r="AB440" t="s">
        <v>200</v>
      </c>
      <c r="AC440" t="s">
        <v>247</v>
      </c>
      <c r="AD440" t="s">
        <v>220</v>
      </c>
      <c r="AE440" t="s">
        <v>219</v>
      </c>
      <c r="AG440" t="s">
        <v>121</v>
      </c>
      <c r="AH440" t="s">
        <v>327</v>
      </c>
      <c r="AI440" t="s">
        <v>121</v>
      </c>
      <c r="AJ440" t="s">
        <v>716</v>
      </c>
      <c r="AK440" t="s">
        <v>121</v>
      </c>
    </row>
    <row r="441" spans="9:37" x14ac:dyDescent="0.3">
      <c r="I441">
        <f ca="1">IF(OR(INDIRECT(A73&amp;ROW())=B93,INDIRECT(A73&amp;ROW())=B94),1,IF(AND(INDIRECT(A73&amp;ROW())=B95,INDIRECT(A96&amp;ROW())=C93),1,IF(AND(INDIRECT(A73&amp;ROW())=B95,INDIRECT(A96&amp;ROW())=C94),1,0)))</f>
        <v>0</v>
      </c>
      <c r="J441">
        <f ca="1">IF(AND(INDIRECT(A73&amp;ROW())=B95,INDIRECT(A96&amp;ROW())=C95),1,IF(AND(INDIRECT(A73&amp;ROW())=B95,INDIRECT(A96&amp;ROW())=C96),1,0))</f>
        <v>1</v>
      </c>
      <c r="K441">
        <f ca="1">DAYS360(INDIRECT(C68&amp;ROW()),TODAY())</f>
        <v>690</v>
      </c>
      <c r="L441">
        <f ca="1">DAYS360(INDIRECT(C69&amp;ROW()),TODAY())</f>
        <v>752</v>
      </c>
      <c r="M441">
        <f ca="1">HYPERLINK(CONCATENATE("https://bugzilla.houston.hp.com:1181/bugzilla/show_bug.cgi?id=",INDIRECT(C70&amp;ROW())),INDIRECT(C70&amp;ROW()))</f>
        <v>59637</v>
      </c>
      <c r="N441">
        <v>59637</v>
      </c>
      <c r="O441" t="s">
        <v>241</v>
      </c>
      <c r="P441" t="s">
        <v>838</v>
      </c>
      <c r="Q441" t="s">
        <v>25</v>
      </c>
      <c r="R441" t="s">
        <v>251</v>
      </c>
      <c r="S441" t="s">
        <v>52</v>
      </c>
      <c r="U441" s="6">
        <v>42157.342488425929</v>
      </c>
      <c r="V441" t="s">
        <v>18</v>
      </c>
      <c r="W441" t="s">
        <v>783</v>
      </c>
      <c r="X441" s="6">
        <v>42094.465636574074</v>
      </c>
      <c r="Y441" t="s">
        <v>255</v>
      </c>
      <c r="AB441" t="s">
        <v>201</v>
      </c>
      <c r="AC441" t="s">
        <v>247</v>
      </c>
      <c r="AD441" t="s">
        <v>222</v>
      </c>
      <c r="AE441" t="s">
        <v>232</v>
      </c>
      <c r="AG441" t="s">
        <v>121</v>
      </c>
      <c r="AH441" t="s">
        <v>327</v>
      </c>
      <c r="AI441" t="s">
        <v>121</v>
      </c>
      <c r="AJ441" t="s">
        <v>716</v>
      </c>
      <c r="AK441" t="s">
        <v>121</v>
      </c>
    </row>
    <row r="442" spans="9:37" x14ac:dyDescent="0.3">
      <c r="I442">
        <f ca="1">IF(OR(INDIRECT(A73&amp;ROW())=B93,INDIRECT(A73&amp;ROW())=B94),1,IF(AND(INDIRECT(A73&amp;ROW())=B95,INDIRECT(A96&amp;ROW())=C93),1,IF(AND(INDIRECT(A73&amp;ROW())=B95,INDIRECT(A96&amp;ROW())=C94),1,0)))</f>
        <v>0</v>
      </c>
      <c r="J442">
        <f ca="1">IF(AND(INDIRECT(A73&amp;ROW())=B95,INDIRECT(A96&amp;ROW())=C95),1,IF(AND(INDIRECT(A73&amp;ROW())=B95,INDIRECT(A96&amp;ROW())=C96),1,0))</f>
        <v>1</v>
      </c>
      <c r="K442">
        <f ca="1">DAYS360(INDIRECT(C68&amp;ROW()),TODAY())</f>
        <v>717</v>
      </c>
      <c r="L442">
        <f ca="1">DAYS360(INDIRECT(C69&amp;ROW()),TODAY())</f>
        <v>752</v>
      </c>
      <c r="M442">
        <f ca="1">HYPERLINK(CONCATENATE("https://bugzilla.houston.hp.com:1181/bugzilla/show_bug.cgi?id=",INDIRECT(C70&amp;ROW())),INDIRECT(C70&amp;ROW()))</f>
        <v>59641</v>
      </c>
      <c r="N442">
        <v>59641</v>
      </c>
      <c r="O442" t="s">
        <v>241</v>
      </c>
      <c r="P442" t="s">
        <v>837</v>
      </c>
      <c r="Q442" t="s">
        <v>25</v>
      </c>
      <c r="R442" t="s">
        <v>579</v>
      </c>
      <c r="S442" t="s">
        <v>552</v>
      </c>
      <c r="T442" t="s">
        <v>1000</v>
      </c>
      <c r="U442" s="6">
        <v>42129.653993055559</v>
      </c>
      <c r="V442" t="s">
        <v>18</v>
      </c>
      <c r="W442" t="s">
        <v>783</v>
      </c>
      <c r="X442" s="6">
        <v>42094.498935185184</v>
      </c>
      <c r="Y442" t="s">
        <v>255</v>
      </c>
      <c r="AB442" t="s">
        <v>201</v>
      </c>
      <c r="AC442" t="s">
        <v>247</v>
      </c>
      <c r="AD442" t="s">
        <v>222</v>
      </c>
      <c r="AE442" t="s">
        <v>232</v>
      </c>
      <c r="AG442" t="s">
        <v>121</v>
      </c>
      <c r="AH442" t="s">
        <v>327</v>
      </c>
      <c r="AI442" t="s">
        <v>362</v>
      </c>
      <c r="AJ442" t="s">
        <v>716</v>
      </c>
      <c r="AK442" t="s">
        <v>121</v>
      </c>
    </row>
    <row r="443" spans="9:37" x14ac:dyDescent="0.3">
      <c r="I443">
        <f ca="1">IF(OR(INDIRECT(A73&amp;ROW())=B93,INDIRECT(A73&amp;ROW())=B94),1,IF(AND(INDIRECT(A73&amp;ROW())=B95,INDIRECT(A96&amp;ROW())=C93),1,IF(AND(INDIRECT(A73&amp;ROW())=B95,INDIRECT(A96&amp;ROW())=C94),1,0)))</f>
        <v>0</v>
      </c>
      <c r="J443">
        <f ca="1">IF(AND(INDIRECT(A73&amp;ROW())=B95,INDIRECT(A96&amp;ROW())=C95),1,IF(AND(INDIRECT(A73&amp;ROW())=B95,INDIRECT(A96&amp;ROW())=C96),1,0))</f>
        <v>1</v>
      </c>
      <c r="K443">
        <f ca="1">DAYS360(INDIRECT(C68&amp;ROW()),TODAY())</f>
        <v>717</v>
      </c>
      <c r="L443">
        <f ca="1">DAYS360(INDIRECT(C69&amp;ROW()),TODAY())</f>
        <v>752</v>
      </c>
      <c r="M443">
        <f ca="1">HYPERLINK(CONCATENATE("https://bugzilla.houston.hp.com:1181/bugzilla/show_bug.cgi?id=",INDIRECT(C70&amp;ROW())),INDIRECT(C70&amp;ROW()))</f>
        <v>59642</v>
      </c>
      <c r="N443">
        <v>59642</v>
      </c>
      <c r="O443" t="s">
        <v>241</v>
      </c>
      <c r="P443" t="s">
        <v>836</v>
      </c>
      <c r="Q443" t="s">
        <v>25</v>
      </c>
      <c r="R443" t="s">
        <v>248</v>
      </c>
      <c r="S443" t="s">
        <v>552</v>
      </c>
      <c r="U443" s="6">
        <v>42129.606840277775</v>
      </c>
      <c r="V443" t="s">
        <v>18</v>
      </c>
      <c r="W443" t="s">
        <v>783</v>
      </c>
      <c r="X443" s="6">
        <v>42094.499027777776</v>
      </c>
      <c r="Y443" t="s">
        <v>255</v>
      </c>
      <c r="AB443" t="s">
        <v>201</v>
      </c>
      <c r="AC443" t="s">
        <v>247</v>
      </c>
      <c r="AD443" t="s">
        <v>222</v>
      </c>
      <c r="AE443" t="s">
        <v>232</v>
      </c>
      <c r="AG443" t="s">
        <v>121</v>
      </c>
      <c r="AH443" t="s">
        <v>327</v>
      </c>
      <c r="AI443" t="s">
        <v>121</v>
      </c>
      <c r="AJ443" t="s">
        <v>716</v>
      </c>
      <c r="AK443" t="s">
        <v>121</v>
      </c>
    </row>
    <row r="444" spans="9:37" x14ac:dyDescent="0.3">
      <c r="I444">
        <f ca="1">IF(OR(INDIRECT(A73&amp;ROW())=B93,INDIRECT(A73&amp;ROW())=B94),1,IF(AND(INDIRECT(A73&amp;ROW())=B95,INDIRECT(A96&amp;ROW())=C93),1,IF(AND(INDIRECT(A73&amp;ROW())=B95,INDIRECT(A96&amp;ROW())=C94),1,0)))</f>
        <v>0</v>
      </c>
      <c r="J444">
        <f ca="1">IF(AND(INDIRECT(A73&amp;ROW())=B95,INDIRECT(A96&amp;ROW())=C95),1,IF(AND(INDIRECT(A73&amp;ROW())=B95,INDIRECT(A96&amp;ROW())=C96),1,0))</f>
        <v>1</v>
      </c>
      <c r="K444">
        <f ca="1">DAYS360(INDIRECT(C68&amp;ROW()),TODAY())</f>
        <v>737</v>
      </c>
      <c r="L444">
        <f ca="1">DAYS360(INDIRECT(C69&amp;ROW()),TODAY())</f>
        <v>752</v>
      </c>
      <c r="M444">
        <f ca="1">HYPERLINK(CONCATENATE("https://bugzilla.houston.hp.com:1181/bugzilla/show_bug.cgi?id=",INDIRECT(C70&amp;ROW())),INDIRECT(C70&amp;ROW()))</f>
        <v>59659</v>
      </c>
      <c r="N444">
        <v>59659</v>
      </c>
      <c r="O444" t="s">
        <v>22</v>
      </c>
      <c r="P444" t="s">
        <v>844</v>
      </c>
      <c r="Q444" t="s">
        <v>25</v>
      </c>
      <c r="R444" t="s">
        <v>251</v>
      </c>
      <c r="S444" t="s">
        <v>49</v>
      </c>
      <c r="U444" s="6">
        <v>42109.749872685185</v>
      </c>
      <c r="V444" t="s">
        <v>18</v>
      </c>
      <c r="W444" t="s">
        <v>764</v>
      </c>
      <c r="X444" s="6">
        <v>42094.688078703701</v>
      </c>
      <c r="Y444" t="s">
        <v>246</v>
      </c>
      <c r="AB444" t="s">
        <v>201</v>
      </c>
      <c r="AC444" t="s">
        <v>247</v>
      </c>
      <c r="AD444" t="s">
        <v>222</v>
      </c>
      <c r="AE444" t="s">
        <v>221</v>
      </c>
      <c r="AG444" t="s">
        <v>121</v>
      </c>
      <c r="AH444" t="s">
        <v>327</v>
      </c>
      <c r="AI444" t="s">
        <v>121</v>
      </c>
      <c r="AJ444" t="s">
        <v>716</v>
      </c>
      <c r="AK444" t="s">
        <v>121</v>
      </c>
    </row>
    <row r="445" spans="9:37" x14ac:dyDescent="0.3">
      <c r="I445">
        <f ca="1">IF(OR(INDIRECT(A73&amp;ROW())=B93,INDIRECT(A73&amp;ROW())=B94),1,IF(AND(INDIRECT(A73&amp;ROW())=B95,INDIRECT(A96&amp;ROW())=C93),1,IF(AND(INDIRECT(A73&amp;ROW())=B95,INDIRECT(A96&amp;ROW())=C94),1,0)))</f>
        <v>1</v>
      </c>
      <c r="J445">
        <f ca="1">IF(AND(INDIRECT(A73&amp;ROW())=B95,INDIRECT(A96&amp;ROW())=C95),1,IF(AND(INDIRECT(A73&amp;ROW())=B95,INDIRECT(A96&amp;ROW())=C96),1,0))</f>
        <v>0</v>
      </c>
      <c r="K445">
        <f ca="1">DAYS360(INDIRECT(C68&amp;ROW()),TODAY())</f>
        <v>718</v>
      </c>
      <c r="L445">
        <f ca="1">DAYS360(INDIRECT(C69&amp;ROW()),TODAY())</f>
        <v>752</v>
      </c>
      <c r="M445">
        <f ca="1">HYPERLINK(CONCATENATE("https://bugzilla.houston.hp.com:1181/bugzilla/show_bug.cgi?id=",INDIRECT(C70&amp;ROW())),INDIRECT(C70&amp;ROW()))</f>
        <v>59661</v>
      </c>
      <c r="N445">
        <v>59661</v>
      </c>
      <c r="O445" t="s">
        <v>21</v>
      </c>
      <c r="P445" t="s">
        <v>843</v>
      </c>
      <c r="Q445" t="s">
        <v>25</v>
      </c>
      <c r="R445" t="s">
        <v>579</v>
      </c>
      <c r="S445" t="s">
        <v>236</v>
      </c>
      <c r="T445" t="s">
        <v>839</v>
      </c>
      <c r="U445" s="6">
        <v>42128.237893518519</v>
      </c>
      <c r="V445" t="s">
        <v>18</v>
      </c>
      <c r="W445" t="s">
        <v>207</v>
      </c>
      <c r="X445" s="6">
        <v>42094.697835648149</v>
      </c>
      <c r="Y445" t="s">
        <v>120</v>
      </c>
      <c r="AB445" t="s">
        <v>200</v>
      </c>
      <c r="AC445" t="s">
        <v>121</v>
      </c>
      <c r="AD445" t="s">
        <v>220</v>
      </c>
      <c r="AE445" t="s">
        <v>219</v>
      </c>
      <c r="AG445" t="s">
        <v>121</v>
      </c>
      <c r="AH445" t="s">
        <v>327</v>
      </c>
      <c r="AI445" t="s">
        <v>362</v>
      </c>
      <c r="AJ445" t="s">
        <v>715</v>
      </c>
      <c r="AK445" t="s">
        <v>121</v>
      </c>
    </row>
    <row r="446" spans="9:37" x14ac:dyDescent="0.3">
      <c r="I446">
        <f ca="1">IF(OR(INDIRECT(A73&amp;ROW())=B93,INDIRECT(A73&amp;ROW())=B94),1,IF(AND(INDIRECT(A73&amp;ROW())=B95,INDIRECT(A96&amp;ROW())=C93),1,IF(AND(INDIRECT(A73&amp;ROW())=B95,INDIRECT(A96&amp;ROW())=C94),1,0)))</f>
        <v>0</v>
      </c>
      <c r="J446">
        <f ca="1">IF(AND(INDIRECT(A73&amp;ROW())=B95,INDIRECT(A96&amp;ROW())=C95),1,IF(AND(INDIRECT(A73&amp;ROW())=B95,INDIRECT(A96&amp;ROW())=C96),1,0))</f>
        <v>1</v>
      </c>
      <c r="K446">
        <f ca="1">DAYS360(INDIRECT(C68&amp;ROW()),TODAY())</f>
        <v>746</v>
      </c>
      <c r="L446">
        <f ca="1">DAYS360(INDIRECT(C69&amp;ROW()),TODAY())</f>
        <v>751</v>
      </c>
      <c r="M446">
        <f ca="1">HYPERLINK(CONCATENATE("https://bugzilla.houston.hp.com:1181/bugzilla/show_bug.cgi?id=",INDIRECT(C70&amp;ROW())),INDIRECT(C70&amp;ROW()))</f>
        <v>59736</v>
      </c>
      <c r="N446">
        <v>59736</v>
      </c>
      <c r="O446" t="s">
        <v>22</v>
      </c>
      <c r="P446" t="s">
        <v>841</v>
      </c>
      <c r="Q446" t="s">
        <v>25</v>
      </c>
      <c r="R446" t="s">
        <v>579</v>
      </c>
      <c r="S446" t="s">
        <v>552</v>
      </c>
      <c r="T446" t="s">
        <v>851</v>
      </c>
      <c r="U446" s="6">
        <v>42100.318692129629</v>
      </c>
      <c r="V446" t="s">
        <v>18</v>
      </c>
      <c r="W446" t="s">
        <v>764</v>
      </c>
      <c r="X446" s="6">
        <v>42095.512280092589</v>
      </c>
      <c r="Y446" t="s">
        <v>246</v>
      </c>
      <c r="AB446" t="s">
        <v>201</v>
      </c>
      <c r="AC446" t="s">
        <v>247</v>
      </c>
      <c r="AD446" t="s">
        <v>222</v>
      </c>
      <c r="AE446" t="s">
        <v>221</v>
      </c>
      <c r="AG446" t="s">
        <v>121</v>
      </c>
      <c r="AH446" t="s">
        <v>327</v>
      </c>
      <c r="AI446" t="s">
        <v>121</v>
      </c>
      <c r="AJ446" t="s">
        <v>716</v>
      </c>
      <c r="AK446" t="s">
        <v>121</v>
      </c>
    </row>
    <row r="447" spans="9:37" x14ac:dyDescent="0.3">
      <c r="I447">
        <f ca="1">IF(OR(INDIRECT(A73&amp;ROW())=B93,INDIRECT(A73&amp;ROW())=B94),1,IF(AND(INDIRECT(A73&amp;ROW())=B95,INDIRECT(A96&amp;ROW())=C93),1,IF(AND(INDIRECT(A73&amp;ROW())=B95,INDIRECT(A96&amp;ROW())=C94),1,0)))</f>
        <v>0</v>
      </c>
      <c r="J447">
        <f ca="1">IF(AND(INDIRECT(A73&amp;ROW())=B95,INDIRECT(A96&amp;ROW())=C95),1,IF(AND(INDIRECT(A73&amp;ROW())=B95,INDIRECT(A96&amp;ROW())=C96),1,0))</f>
        <v>1</v>
      </c>
      <c r="K447">
        <f ca="1">DAYS360(INDIRECT(C68&amp;ROW()),TODAY())</f>
        <v>751</v>
      </c>
      <c r="L447">
        <f ca="1">DAYS360(INDIRECT(C69&amp;ROW()),TODAY())</f>
        <v>751</v>
      </c>
      <c r="M447">
        <f ca="1">HYPERLINK(CONCATENATE("https://bugzilla.houston.hp.com:1181/bugzilla/show_bug.cgi?id=",INDIRECT(C70&amp;ROW())),INDIRECT(C70&amp;ROW()))</f>
        <v>59737</v>
      </c>
      <c r="N447">
        <v>59737</v>
      </c>
      <c r="O447" t="s">
        <v>22</v>
      </c>
      <c r="P447" t="s">
        <v>840</v>
      </c>
      <c r="Q447" t="s">
        <v>25</v>
      </c>
      <c r="R447" t="s">
        <v>248</v>
      </c>
      <c r="S447" t="s">
        <v>552</v>
      </c>
      <c r="U447" s="6">
        <v>42095.512372685182</v>
      </c>
      <c r="V447" t="s">
        <v>18</v>
      </c>
      <c r="W447" t="s">
        <v>764</v>
      </c>
      <c r="X447" s="6">
        <v>42095.512372685182</v>
      </c>
      <c r="Y447" t="s">
        <v>246</v>
      </c>
      <c r="AB447" t="s">
        <v>201</v>
      </c>
      <c r="AC447" t="s">
        <v>247</v>
      </c>
      <c r="AD447" t="s">
        <v>222</v>
      </c>
      <c r="AE447" t="s">
        <v>221</v>
      </c>
      <c r="AG447" t="s">
        <v>121</v>
      </c>
      <c r="AH447" t="s">
        <v>327</v>
      </c>
      <c r="AI447" t="s">
        <v>121</v>
      </c>
      <c r="AJ447" t="s">
        <v>716</v>
      </c>
      <c r="AK447" t="s">
        <v>121</v>
      </c>
    </row>
    <row r="448" spans="9:37" x14ac:dyDescent="0.3">
      <c r="I448">
        <f ca="1">IF(OR(INDIRECT(A73&amp;ROW())=B93,INDIRECT(A73&amp;ROW())=B94),1,IF(AND(INDIRECT(A73&amp;ROW())=B95,INDIRECT(A96&amp;ROW())=C93),1,IF(AND(INDIRECT(A73&amp;ROW())=B95,INDIRECT(A96&amp;ROW())=C94),1,0)))</f>
        <v>0</v>
      </c>
      <c r="J448">
        <f ca="1">IF(AND(INDIRECT(A73&amp;ROW())=B95,INDIRECT(A96&amp;ROW())=C95),1,IF(AND(INDIRECT(A73&amp;ROW())=B95,INDIRECT(A96&amp;ROW())=C96),1,0))</f>
        <v>1</v>
      </c>
      <c r="K448">
        <f ca="1">DAYS360(INDIRECT(C68&amp;ROW()),TODAY())</f>
        <v>737</v>
      </c>
      <c r="L448">
        <f ca="1">DAYS360(INDIRECT(C69&amp;ROW()),TODAY())</f>
        <v>751</v>
      </c>
      <c r="M448">
        <f ca="1">HYPERLINK(CONCATENATE("https://bugzilla.houston.hp.com:1181/bugzilla/show_bug.cgi?id=",INDIRECT(C70&amp;ROW())),INDIRECT(C70&amp;ROW()))</f>
        <v>59751</v>
      </c>
      <c r="N448">
        <v>59751</v>
      </c>
      <c r="O448" t="s">
        <v>241</v>
      </c>
      <c r="P448" t="s">
        <v>850</v>
      </c>
      <c r="Q448" t="s">
        <v>25</v>
      </c>
      <c r="R448" t="s">
        <v>251</v>
      </c>
      <c r="S448" t="s">
        <v>45</v>
      </c>
      <c r="U448" s="6">
        <v>42109.750057870369</v>
      </c>
      <c r="V448" t="s">
        <v>18</v>
      </c>
      <c r="W448" t="s">
        <v>764</v>
      </c>
      <c r="X448" s="6">
        <v>42095.656273148146</v>
      </c>
      <c r="Y448" t="s">
        <v>122</v>
      </c>
      <c r="AB448" t="s">
        <v>201</v>
      </c>
      <c r="AC448" t="s">
        <v>247</v>
      </c>
      <c r="AD448" t="s">
        <v>220</v>
      </c>
      <c r="AE448" t="s">
        <v>219</v>
      </c>
      <c r="AG448" t="s">
        <v>121</v>
      </c>
      <c r="AH448" t="s">
        <v>327</v>
      </c>
      <c r="AI448" t="s">
        <v>121</v>
      </c>
      <c r="AJ448" t="s">
        <v>716</v>
      </c>
      <c r="AK448" t="s">
        <v>121</v>
      </c>
    </row>
    <row r="449" spans="9:37" x14ac:dyDescent="0.3">
      <c r="I449">
        <f ca="1">IF(OR(INDIRECT(A73&amp;ROW())=B93,INDIRECT(A73&amp;ROW())=B94),1,IF(AND(INDIRECT(A73&amp;ROW())=B95,INDIRECT(A96&amp;ROW())=C93),1,IF(AND(INDIRECT(A73&amp;ROW())=B95,INDIRECT(A96&amp;ROW())=C94),1,0)))</f>
        <v>0</v>
      </c>
      <c r="J449">
        <f ca="1">IF(AND(INDIRECT(A73&amp;ROW())=B95,INDIRECT(A96&amp;ROW())=C95),1,IF(AND(INDIRECT(A73&amp;ROW())=B95,INDIRECT(A96&amp;ROW())=C96),1,0))</f>
        <v>0</v>
      </c>
      <c r="K449">
        <f ca="1">DAYS360(INDIRECT(C68&amp;ROW()),TODAY())</f>
        <v>721</v>
      </c>
      <c r="L449">
        <f ca="1">DAYS360(INDIRECT(C69&amp;ROW()),TODAY())</f>
        <v>751</v>
      </c>
      <c r="M449">
        <f ca="1">HYPERLINK(CONCATENATE("https://bugzilla.houston.hp.com:1181/bugzilla/show_bug.cgi?id=",INDIRECT(C70&amp;ROW())),INDIRECT(C70&amp;ROW()))</f>
        <v>59756</v>
      </c>
      <c r="N449">
        <v>59756</v>
      </c>
      <c r="O449" t="s">
        <v>21</v>
      </c>
      <c r="P449" t="s">
        <v>849</v>
      </c>
      <c r="Q449" t="s">
        <v>16</v>
      </c>
      <c r="R449" t="s">
        <v>248</v>
      </c>
      <c r="S449" t="s">
        <v>552</v>
      </c>
      <c r="U449" s="6">
        <v>42125.685798611114</v>
      </c>
      <c r="V449" t="s">
        <v>18</v>
      </c>
      <c r="W449" t="s">
        <v>248</v>
      </c>
      <c r="X449" s="6">
        <v>42095.699733796297</v>
      </c>
      <c r="Y449" t="s">
        <v>846</v>
      </c>
      <c r="AB449" t="s">
        <v>200</v>
      </c>
      <c r="AC449" t="s">
        <v>247</v>
      </c>
      <c r="AD449" t="s">
        <v>222</v>
      </c>
      <c r="AE449" t="s">
        <v>240</v>
      </c>
      <c r="AG449" t="s">
        <v>121</v>
      </c>
      <c r="AH449" t="s">
        <v>327</v>
      </c>
      <c r="AI449" t="s">
        <v>121</v>
      </c>
      <c r="AJ449" t="s">
        <v>716</v>
      </c>
      <c r="AK449" t="s">
        <v>121</v>
      </c>
    </row>
    <row r="450" spans="9:37" x14ac:dyDescent="0.3">
      <c r="I450">
        <f ca="1">IF(OR(INDIRECT(A73&amp;ROW())=B93,INDIRECT(A73&amp;ROW())=B94),1,IF(AND(INDIRECT(A73&amp;ROW())=B95,INDIRECT(A96&amp;ROW())=C93),1,IF(AND(INDIRECT(A73&amp;ROW())=B95,INDIRECT(A96&amp;ROW())=C94),1,0)))</f>
        <v>0</v>
      </c>
      <c r="J450">
        <f ca="1">IF(AND(INDIRECT(A73&amp;ROW())=B95,INDIRECT(A96&amp;ROW())=C95),1,IF(AND(INDIRECT(A73&amp;ROW())=B95,INDIRECT(A96&amp;ROW())=C96),1,0))</f>
        <v>1</v>
      </c>
      <c r="K450">
        <f ca="1">DAYS360(INDIRECT(C68&amp;ROW()),TODAY())</f>
        <v>743</v>
      </c>
      <c r="L450">
        <f ca="1">DAYS360(INDIRECT(C69&amp;ROW()),TODAY())</f>
        <v>751</v>
      </c>
      <c r="M450">
        <f ca="1">HYPERLINK(CONCATENATE("https://bugzilla.houston.hp.com:1181/bugzilla/show_bug.cgi?id=",INDIRECT(C70&amp;ROW())),INDIRECT(C70&amp;ROW()))</f>
        <v>59757</v>
      </c>
      <c r="N450">
        <v>59757</v>
      </c>
      <c r="O450" t="s">
        <v>56</v>
      </c>
      <c r="P450" t="s">
        <v>848</v>
      </c>
      <c r="Q450" t="s">
        <v>25</v>
      </c>
      <c r="R450" t="s">
        <v>579</v>
      </c>
      <c r="S450" t="s">
        <v>552</v>
      </c>
      <c r="T450" t="s">
        <v>858</v>
      </c>
      <c r="U450" s="6">
        <v>42103.325578703705</v>
      </c>
      <c r="V450" t="s">
        <v>18</v>
      </c>
      <c r="W450" t="s">
        <v>764</v>
      </c>
      <c r="X450" s="6">
        <v>42095.701284722221</v>
      </c>
      <c r="Y450" t="s">
        <v>122</v>
      </c>
      <c r="AB450" t="s">
        <v>201</v>
      </c>
      <c r="AC450" t="s">
        <v>247</v>
      </c>
      <c r="AD450" t="s">
        <v>220</v>
      </c>
      <c r="AE450" t="s">
        <v>219</v>
      </c>
      <c r="AG450" t="s">
        <v>121</v>
      </c>
      <c r="AH450" t="s">
        <v>327</v>
      </c>
      <c r="AI450" t="s">
        <v>121</v>
      </c>
      <c r="AJ450" t="s">
        <v>716</v>
      </c>
      <c r="AK450" t="s">
        <v>121</v>
      </c>
    </row>
    <row r="451" spans="9:37" x14ac:dyDescent="0.3">
      <c r="I451">
        <f ca="1">IF(OR(INDIRECT(A73&amp;ROW())=B93,INDIRECT(A73&amp;ROW())=B94),1,IF(AND(INDIRECT(A73&amp;ROW())=B95,INDIRECT(A96&amp;ROW())=C93),1,IF(AND(INDIRECT(A73&amp;ROW())=B95,INDIRECT(A96&amp;ROW())=C94),1,0)))</f>
        <v>0</v>
      </c>
      <c r="J451">
        <f ca="1">IF(AND(INDIRECT(A73&amp;ROW())=B95,INDIRECT(A96&amp;ROW())=C95),1,IF(AND(INDIRECT(A73&amp;ROW())=B95,INDIRECT(A96&amp;ROW())=C96),1,0))</f>
        <v>1</v>
      </c>
      <c r="K451">
        <f ca="1">DAYS360(INDIRECT(C68&amp;ROW()),TODAY())</f>
        <v>724</v>
      </c>
      <c r="L451">
        <f ca="1">DAYS360(INDIRECT(C69&amp;ROW()),TODAY())</f>
        <v>751</v>
      </c>
      <c r="M451">
        <f ca="1">HYPERLINK(CONCATENATE("https://bugzilla.houston.hp.com:1181/bugzilla/show_bug.cgi?id=",INDIRECT(C70&amp;ROW())),INDIRECT(C70&amp;ROW()))</f>
        <v>59758</v>
      </c>
      <c r="N451">
        <v>59758</v>
      </c>
      <c r="O451" t="s">
        <v>56</v>
      </c>
      <c r="P451" t="s">
        <v>847</v>
      </c>
      <c r="Q451" t="s">
        <v>25</v>
      </c>
      <c r="R451" t="s">
        <v>248</v>
      </c>
      <c r="S451" t="s">
        <v>552</v>
      </c>
      <c r="U451" s="6">
        <v>42122.3203587963</v>
      </c>
      <c r="V451" t="s">
        <v>18</v>
      </c>
      <c r="W451" t="s">
        <v>764</v>
      </c>
      <c r="X451" s="6">
        <v>42095.701365740744</v>
      </c>
      <c r="Y451" t="s">
        <v>122</v>
      </c>
      <c r="AB451" t="s">
        <v>201</v>
      </c>
      <c r="AC451" t="s">
        <v>247</v>
      </c>
      <c r="AD451" t="s">
        <v>220</v>
      </c>
      <c r="AE451" t="s">
        <v>219</v>
      </c>
      <c r="AG451" t="s">
        <v>121</v>
      </c>
      <c r="AH451" t="s">
        <v>327</v>
      </c>
      <c r="AI451" t="s">
        <v>121</v>
      </c>
      <c r="AJ451" t="s">
        <v>716</v>
      </c>
      <c r="AK451" t="s">
        <v>121</v>
      </c>
    </row>
    <row r="452" spans="9:37" x14ac:dyDescent="0.3">
      <c r="I452">
        <f ca="1">IF(OR(INDIRECT(A73&amp;ROW())=B93,INDIRECT(A73&amp;ROW())=B94),1,IF(AND(INDIRECT(A73&amp;ROW())=B95,INDIRECT(A96&amp;ROW())=C93),1,IF(AND(INDIRECT(A73&amp;ROW())=B95,INDIRECT(A96&amp;ROW())=C94),1,0)))</f>
        <v>0</v>
      </c>
      <c r="J452">
        <f ca="1">IF(AND(INDIRECT(A73&amp;ROW())=B95,INDIRECT(A96&amp;ROW())=C95),1,IF(AND(INDIRECT(A73&amp;ROW())=B95,INDIRECT(A96&amp;ROW())=C96),1,0))</f>
        <v>1</v>
      </c>
      <c r="K452">
        <f ca="1">DAYS360(INDIRECT(C68&amp;ROW()),TODAY())</f>
        <v>718</v>
      </c>
      <c r="L452">
        <f ca="1">DAYS360(INDIRECT(C69&amp;ROW()),TODAY())</f>
        <v>748</v>
      </c>
      <c r="M452">
        <f ca="1">HYPERLINK(CONCATENATE("https://bugzilla.houston.hp.com:1181/bugzilla/show_bug.cgi?id=",INDIRECT(C70&amp;ROW())),INDIRECT(C70&amp;ROW()))</f>
        <v>59909</v>
      </c>
      <c r="N452">
        <v>59909</v>
      </c>
      <c r="O452" t="s">
        <v>22</v>
      </c>
      <c r="P452" t="s">
        <v>855</v>
      </c>
      <c r="Q452" t="s">
        <v>25</v>
      </c>
      <c r="R452" t="s">
        <v>251</v>
      </c>
      <c r="S452" t="s">
        <v>854</v>
      </c>
      <c r="U452" s="6">
        <v>42128.417187500003</v>
      </c>
      <c r="V452" t="s">
        <v>18</v>
      </c>
      <c r="W452" t="s">
        <v>764</v>
      </c>
      <c r="X452" s="6">
        <v>42098.086689814816</v>
      </c>
      <c r="Y452" t="s">
        <v>810</v>
      </c>
      <c r="AB452" t="s">
        <v>201</v>
      </c>
      <c r="AC452" t="s">
        <v>247</v>
      </c>
      <c r="AD452" t="s">
        <v>222</v>
      </c>
      <c r="AE452" t="s">
        <v>232</v>
      </c>
      <c r="AG452" t="s">
        <v>121</v>
      </c>
      <c r="AH452" t="s">
        <v>327</v>
      </c>
      <c r="AI452" t="s">
        <v>121</v>
      </c>
      <c r="AJ452" t="s">
        <v>716</v>
      </c>
      <c r="AK452" t="s">
        <v>121</v>
      </c>
    </row>
    <row r="453" spans="9:37" x14ac:dyDescent="0.3">
      <c r="I453">
        <f ca="1">IF(OR(INDIRECT(A73&amp;ROW())=B93,INDIRECT(A73&amp;ROW())=B94),1,IF(AND(INDIRECT(A73&amp;ROW())=B95,INDIRECT(A96&amp;ROW())=C93),1,IF(AND(INDIRECT(A73&amp;ROW())=B95,INDIRECT(A96&amp;ROW())=C94),1,0)))</f>
        <v>0</v>
      </c>
      <c r="J453">
        <f ca="1">IF(AND(INDIRECT(A73&amp;ROW())=B95,INDIRECT(A96&amp;ROW())=C95),1,IF(AND(INDIRECT(A73&amp;ROW())=B95,INDIRECT(A96&amp;ROW())=C96),1,0))</f>
        <v>1</v>
      </c>
      <c r="K453">
        <f ca="1">DAYS360(INDIRECT(C68&amp;ROW()),TODAY())</f>
        <v>742</v>
      </c>
      <c r="L453">
        <f ca="1">DAYS360(INDIRECT(C69&amp;ROW()),TODAY())</f>
        <v>748</v>
      </c>
      <c r="M453">
        <f ca="1">HYPERLINK(CONCATENATE("https://bugzilla.houston.hp.com:1181/bugzilla/show_bug.cgi?id=",INDIRECT(C70&amp;ROW())),INDIRECT(C70&amp;ROW()))</f>
        <v>59915</v>
      </c>
      <c r="N453">
        <v>59915</v>
      </c>
      <c r="O453" t="s">
        <v>22</v>
      </c>
      <c r="P453" t="s">
        <v>853</v>
      </c>
      <c r="Q453" t="s">
        <v>25</v>
      </c>
      <c r="R453" t="s">
        <v>579</v>
      </c>
      <c r="S453" t="s">
        <v>552</v>
      </c>
      <c r="T453" t="s">
        <v>859</v>
      </c>
      <c r="U453" s="6">
        <v>42104.311307870368</v>
      </c>
      <c r="V453" t="s">
        <v>18</v>
      </c>
      <c r="W453" t="s">
        <v>764</v>
      </c>
      <c r="X453" s="6">
        <v>42098.515439814815</v>
      </c>
      <c r="Y453" t="s">
        <v>810</v>
      </c>
      <c r="AB453" t="s">
        <v>201</v>
      </c>
      <c r="AC453" t="s">
        <v>247</v>
      </c>
      <c r="AD453" t="s">
        <v>222</v>
      </c>
      <c r="AE453" t="s">
        <v>232</v>
      </c>
      <c r="AG453" t="s">
        <v>121</v>
      </c>
      <c r="AH453" t="s">
        <v>327</v>
      </c>
      <c r="AI453" t="s">
        <v>121</v>
      </c>
      <c r="AJ453" t="s">
        <v>716</v>
      </c>
      <c r="AK453" t="s">
        <v>121</v>
      </c>
    </row>
    <row r="454" spans="9:37" x14ac:dyDescent="0.3">
      <c r="I454">
        <f ca="1">IF(OR(INDIRECT(A73&amp;ROW())=B93,INDIRECT(A73&amp;ROW())=B94),1,IF(AND(INDIRECT(A73&amp;ROW())=B95,INDIRECT(A96&amp;ROW())=C93),1,IF(AND(INDIRECT(A73&amp;ROW())=B95,INDIRECT(A96&amp;ROW())=C94),1,0)))</f>
        <v>0</v>
      </c>
      <c r="J454">
        <f ca="1">IF(AND(INDIRECT(A73&amp;ROW())=B95,INDIRECT(A96&amp;ROW())=C95),1,IF(AND(INDIRECT(A73&amp;ROW())=B95,INDIRECT(A96&amp;ROW())=C96),1,0))</f>
        <v>1</v>
      </c>
      <c r="K454">
        <f ca="1">DAYS360(INDIRECT(C68&amp;ROW()),TODAY())</f>
        <v>724</v>
      </c>
      <c r="L454">
        <f ca="1">DAYS360(INDIRECT(C69&amp;ROW()),TODAY())</f>
        <v>748</v>
      </c>
      <c r="M454">
        <f ca="1">HYPERLINK(CONCATENATE("https://bugzilla.houston.hp.com:1181/bugzilla/show_bug.cgi?id=",INDIRECT(C70&amp;ROW())),INDIRECT(C70&amp;ROW()))</f>
        <v>59916</v>
      </c>
      <c r="N454">
        <v>59916</v>
      </c>
      <c r="O454" t="s">
        <v>22</v>
      </c>
      <c r="P454" t="s">
        <v>852</v>
      </c>
      <c r="Q454" t="s">
        <v>25</v>
      </c>
      <c r="R454" t="s">
        <v>248</v>
      </c>
      <c r="S454" t="s">
        <v>552</v>
      </c>
      <c r="U454" s="6">
        <v>42122.321238425924</v>
      </c>
      <c r="V454" t="s">
        <v>18</v>
      </c>
      <c r="W454" t="s">
        <v>764</v>
      </c>
      <c r="X454" s="6">
        <v>42098.515509259261</v>
      </c>
      <c r="Y454" t="s">
        <v>810</v>
      </c>
      <c r="AB454" t="s">
        <v>201</v>
      </c>
      <c r="AC454" t="s">
        <v>247</v>
      </c>
      <c r="AD454" t="s">
        <v>222</v>
      </c>
      <c r="AE454" t="s">
        <v>232</v>
      </c>
      <c r="AG454" t="s">
        <v>121</v>
      </c>
      <c r="AH454" t="s">
        <v>327</v>
      </c>
      <c r="AI454" t="s">
        <v>121</v>
      </c>
      <c r="AJ454" t="s">
        <v>716</v>
      </c>
      <c r="AK454" t="s">
        <v>121</v>
      </c>
    </row>
    <row r="455" spans="9:37" x14ac:dyDescent="0.3">
      <c r="I455">
        <f ca="1">IF(OR(INDIRECT(A73&amp;ROW())=B93,INDIRECT(A73&amp;ROW())=B94),1,IF(AND(INDIRECT(A73&amp;ROW())=B95,INDIRECT(A96&amp;ROW())=C93),1,IF(AND(INDIRECT(A73&amp;ROW())=B95,INDIRECT(A96&amp;ROW())=C94),1,0)))</f>
        <v>0</v>
      </c>
      <c r="J455">
        <f ca="1">IF(AND(INDIRECT(A73&amp;ROW())=B95,INDIRECT(A96&amp;ROW())=C95),1,IF(AND(INDIRECT(A73&amp;ROW())=B95,INDIRECT(A96&amp;ROW())=C96),1,0))</f>
        <v>1</v>
      </c>
      <c r="K455">
        <f ca="1">DAYS360(INDIRECT(C68&amp;ROW()),TODAY())</f>
        <v>705</v>
      </c>
      <c r="L455">
        <f ca="1">DAYS360(INDIRECT(C69&amp;ROW()),TODAY())</f>
        <v>744</v>
      </c>
      <c r="M455">
        <f ca="1">HYPERLINK(CONCATENATE("https://bugzilla.houston.hp.com:1181/bugzilla/show_bug.cgi?id=",INDIRECT(C70&amp;ROW())),INDIRECT(C70&amp;ROW()))</f>
        <v>60118</v>
      </c>
      <c r="N455">
        <v>60118</v>
      </c>
      <c r="O455" t="s">
        <v>56</v>
      </c>
      <c r="P455" t="s">
        <v>864</v>
      </c>
      <c r="Q455" t="s">
        <v>25</v>
      </c>
      <c r="R455" t="s">
        <v>251</v>
      </c>
      <c r="S455" t="s">
        <v>253</v>
      </c>
      <c r="U455" s="6">
        <v>42141.688692129632</v>
      </c>
      <c r="V455" t="s">
        <v>40</v>
      </c>
      <c r="W455" t="s">
        <v>764</v>
      </c>
      <c r="X455" s="6">
        <v>42102.500810185185</v>
      </c>
      <c r="Y455" t="s">
        <v>246</v>
      </c>
      <c r="AB455" t="s">
        <v>201</v>
      </c>
      <c r="AC455" t="s">
        <v>247</v>
      </c>
      <c r="AD455" t="s">
        <v>220</v>
      </c>
      <c r="AE455" t="s">
        <v>219</v>
      </c>
      <c r="AG455" t="s">
        <v>121</v>
      </c>
      <c r="AH455" t="s">
        <v>768</v>
      </c>
      <c r="AI455" t="s">
        <v>121</v>
      </c>
      <c r="AJ455" t="s">
        <v>716</v>
      </c>
      <c r="AK455" t="s">
        <v>121</v>
      </c>
    </row>
    <row r="456" spans="9:37" x14ac:dyDescent="0.3">
      <c r="I456">
        <f ca="1">IF(OR(INDIRECT(A73&amp;ROW())=B93,INDIRECT(A73&amp;ROW())=B94),1,IF(AND(INDIRECT(A73&amp;ROW())=B95,INDIRECT(A96&amp;ROW())=C93),1,IF(AND(INDIRECT(A73&amp;ROW())=B95,INDIRECT(A96&amp;ROW())=C94),1,0)))</f>
        <v>0</v>
      </c>
      <c r="J456">
        <f ca="1">IF(AND(INDIRECT(A73&amp;ROW())=B95,INDIRECT(A96&amp;ROW())=C95),1,IF(AND(INDIRECT(A73&amp;ROW())=B95,INDIRECT(A96&amp;ROW())=C96),1,0))</f>
        <v>1</v>
      </c>
      <c r="K456">
        <f ca="1">DAYS360(INDIRECT(C68&amp;ROW()),TODAY())</f>
        <v>707</v>
      </c>
      <c r="L456">
        <f ca="1">DAYS360(INDIRECT(C69&amp;ROW()),TODAY())</f>
        <v>743</v>
      </c>
      <c r="M456">
        <f ca="1">HYPERLINK(CONCATENATE("https://bugzilla.houston.hp.com:1181/bugzilla/show_bug.cgi?id=",INDIRECT(C70&amp;ROW())),INDIRECT(C70&amp;ROW()))</f>
        <v>60198</v>
      </c>
      <c r="N456">
        <v>60198</v>
      </c>
      <c r="O456" t="s">
        <v>21</v>
      </c>
      <c r="P456" t="s">
        <v>918</v>
      </c>
      <c r="Q456" t="s">
        <v>25</v>
      </c>
      <c r="R456" t="s">
        <v>251</v>
      </c>
      <c r="S456" t="s">
        <v>917</v>
      </c>
      <c r="U456" s="6">
        <v>42139.420844907407</v>
      </c>
      <c r="V456" t="s">
        <v>18</v>
      </c>
      <c r="W456" t="s">
        <v>783</v>
      </c>
      <c r="X456" s="6">
        <v>42103.399004629631</v>
      </c>
      <c r="Y456" t="s">
        <v>846</v>
      </c>
      <c r="AB456" t="s">
        <v>201</v>
      </c>
      <c r="AC456" t="s">
        <v>247</v>
      </c>
      <c r="AD456" t="s">
        <v>222</v>
      </c>
      <c r="AE456" t="s">
        <v>221</v>
      </c>
      <c r="AG456" t="s">
        <v>121</v>
      </c>
      <c r="AH456" t="s">
        <v>327</v>
      </c>
      <c r="AI456" t="s">
        <v>121</v>
      </c>
      <c r="AJ456" t="s">
        <v>716</v>
      </c>
      <c r="AK456" t="s">
        <v>121</v>
      </c>
    </row>
    <row r="457" spans="9:37" x14ac:dyDescent="0.3">
      <c r="I457">
        <f ca="1">IF(OR(INDIRECT(A73&amp;ROW())=B93,INDIRECT(A73&amp;ROW())=B94),1,IF(AND(INDIRECT(A73&amp;ROW())=B95,INDIRECT(A96&amp;ROW())=C93),1,IF(AND(INDIRECT(A73&amp;ROW())=B95,INDIRECT(A96&amp;ROW())=C94),1,0)))</f>
        <v>0</v>
      </c>
      <c r="J457">
        <f ca="1">IF(AND(INDIRECT(A73&amp;ROW())=B95,INDIRECT(A96&amp;ROW())=C95),1,IF(AND(INDIRECT(A73&amp;ROW())=B95,INDIRECT(A96&amp;ROW())=C96),1,0))</f>
        <v>0</v>
      </c>
      <c r="K457">
        <f ca="1">DAYS360(INDIRECT(C68&amp;ROW()),TODAY())</f>
        <v>737</v>
      </c>
      <c r="L457">
        <f ca="1">DAYS360(INDIRECT(C69&amp;ROW()),TODAY())</f>
        <v>742</v>
      </c>
      <c r="M457" t="s">
        <v>547</v>
      </c>
      <c r="N457">
        <v>60262</v>
      </c>
      <c r="O457" t="s">
        <v>56</v>
      </c>
      <c r="P457" t="s">
        <v>863</v>
      </c>
      <c r="Q457" t="s">
        <v>16</v>
      </c>
      <c r="R457" t="s">
        <v>251</v>
      </c>
      <c r="S457" t="s">
        <v>854</v>
      </c>
      <c r="U457" s="6">
        <v>42109.751527777778</v>
      </c>
      <c r="V457" t="s">
        <v>18</v>
      </c>
      <c r="W457" t="s">
        <v>764</v>
      </c>
      <c r="X457" s="6">
        <v>42104.244039351855</v>
      </c>
      <c r="Y457" t="s">
        <v>810</v>
      </c>
      <c r="AB457" t="s">
        <v>201</v>
      </c>
      <c r="AC457" t="s">
        <v>247</v>
      </c>
      <c r="AD457" t="s">
        <v>220</v>
      </c>
      <c r="AE457" t="s">
        <v>223</v>
      </c>
      <c r="AG457" t="s">
        <v>121</v>
      </c>
      <c r="AH457" t="s">
        <v>327</v>
      </c>
      <c r="AI457" t="s">
        <v>121</v>
      </c>
      <c r="AJ457" t="s">
        <v>717</v>
      </c>
      <c r="AK457" t="s">
        <v>121</v>
      </c>
    </row>
    <row r="458" spans="9:37" x14ac:dyDescent="0.3">
      <c r="I458">
        <f ca="1">IF(OR(INDIRECT(A73&amp;ROW())=B93,INDIRECT(A73&amp;ROW())=B94),1,IF(AND(INDIRECT(A73&amp;ROW())=B95,INDIRECT(A96&amp;ROW())=C93),1,IF(AND(INDIRECT(A73&amp;ROW())=B95,INDIRECT(A96&amp;ROW())=C94),1,0)))</f>
        <v>1</v>
      </c>
      <c r="J458">
        <f ca="1">IF(AND(INDIRECT(A73&amp;ROW())=B95,INDIRECT(A96&amp;ROW())=C95),1,IF(AND(INDIRECT(A73&amp;ROW())=B95,INDIRECT(A96&amp;ROW())=C96),1,0))</f>
        <v>0</v>
      </c>
      <c r="K458">
        <f ca="1">DAYS360(INDIRECT(C68&amp;ROW()),TODAY())</f>
        <v>691</v>
      </c>
      <c r="L458">
        <f ca="1">DAYS360(INDIRECT(C69&amp;ROW()),TODAY())</f>
        <v>742</v>
      </c>
      <c r="M458">
        <f ca="1">HYPERLINK(CONCATENATE("https://bugzilla.houston.hp.com:1181/bugzilla/show_bug.cgi?id=",INDIRECT(C70&amp;ROW())),INDIRECT(C70&amp;ROW()))</f>
        <v>60271</v>
      </c>
      <c r="N458">
        <v>60271</v>
      </c>
      <c r="O458" t="s">
        <v>55</v>
      </c>
      <c r="P458" t="s">
        <v>862</v>
      </c>
      <c r="Q458" t="s">
        <v>25</v>
      </c>
      <c r="R458" t="s">
        <v>579</v>
      </c>
      <c r="S458" t="s">
        <v>552</v>
      </c>
      <c r="T458" t="s">
        <v>861</v>
      </c>
      <c r="U458" s="6">
        <v>42156.077268518522</v>
      </c>
      <c r="V458" t="s">
        <v>18</v>
      </c>
      <c r="W458" t="s">
        <v>372</v>
      </c>
      <c r="X458" s="6">
        <v>42104.315185185187</v>
      </c>
      <c r="Y458" t="s">
        <v>342</v>
      </c>
      <c r="Z458" t="s">
        <v>810</v>
      </c>
      <c r="AB458" t="s">
        <v>200</v>
      </c>
      <c r="AC458" t="s">
        <v>247</v>
      </c>
      <c r="AD458" t="s">
        <v>220</v>
      </c>
      <c r="AE458" t="s">
        <v>219</v>
      </c>
      <c r="AG458" t="s">
        <v>121</v>
      </c>
      <c r="AH458" t="s">
        <v>327</v>
      </c>
      <c r="AI458" t="s">
        <v>362</v>
      </c>
      <c r="AJ458" t="s">
        <v>715</v>
      </c>
      <c r="AK458" t="s">
        <v>121</v>
      </c>
    </row>
    <row r="459" spans="9:37" x14ac:dyDescent="0.3">
      <c r="I459">
        <f ca="1">IF(OR(INDIRECT(A73&amp;ROW())=B93,INDIRECT(A73&amp;ROW())=B94),1,IF(AND(INDIRECT(A73&amp;ROW())=B95,INDIRECT(A96&amp;ROW())=C93),1,IF(AND(INDIRECT(A73&amp;ROW())=B95,INDIRECT(A96&amp;ROW())=C94),1,0)))</f>
        <v>0</v>
      </c>
      <c r="J459">
        <f ca="1">IF(AND(INDIRECT(A73&amp;ROW())=B95,INDIRECT(A96&amp;ROW())=C95),1,IF(AND(INDIRECT(A73&amp;ROW())=B95,INDIRECT(A96&amp;ROW())=C96),1,0))</f>
        <v>0</v>
      </c>
      <c r="K459">
        <f ca="1">DAYS360(INDIRECT(C68&amp;ROW()),TODAY())</f>
        <v>742</v>
      </c>
      <c r="L459">
        <f ca="1">DAYS360(INDIRECT(C69&amp;ROW()),TODAY())</f>
        <v>742</v>
      </c>
      <c r="M459">
        <f ca="1">HYPERLINK(CONCATENATE("https://bugzilla.houston.hp.com:1181/bugzilla/show_bug.cgi?id=",INDIRECT(C70&amp;ROW())),INDIRECT(C70&amp;ROW()))</f>
        <v>60274</v>
      </c>
      <c r="N459">
        <v>60274</v>
      </c>
      <c r="O459" t="s">
        <v>36</v>
      </c>
      <c r="P459" t="s">
        <v>860</v>
      </c>
      <c r="Q459" t="s">
        <v>16</v>
      </c>
      <c r="R459" t="s">
        <v>248</v>
      </c>
      <c r="S459" t="s">
        <v>552</v>
      </c>
      <c r="U459" s="6">
        <v>42104.325960648152</v>
      </c>
      <c r="V459" t="s">
        <v>18</v>
      </c>
      <c r="W459" t="s">
        <v>764</v>
      </c>
      <c r="X459" s="6">
        <v>42104.325960648152</v>
      </c>
      <c r="Y459" t="s">
        <v>810</v>
      </c>
      <c r="AB459" t="s">
        <v>201</v>
      </c>
      <c r="AC459" t="s">
        <v>247</v>
      </c>
      <c r="AD459" t="s">
        <v>220</v>
      </c>
      <c r="AE459" t="s">
        <v>223</v>
      </c>
      <c r="AG459" t="s">
        <v>121</v>
      </c>
      <c r="AH459" t="s">
        <v>327</v>
      </c>
      <c r="AI459" t="s">
        <v>121</v>
      </c>
      <c r="AJ459" t="s">
        <v>717</v>
      </c>
      <c r="AK459" t="s">
        <v>121</v>
      </c>
    </row>
    <row r="460" spans="9:37" x14ac:dyDescent="0.3">
      <c r="I460">
        <f ca="1">IF(OR(INDIRECT(A73&amp;ROW())=B93,INDIRECT(A73&amp;ROW())=B94),1,IF(AND(INDIRECT(A73&amp;ROW())=B95,INDIRECT(A96&amp;ROW())=C93),1,IF(AND(INDIRECT(A73&amp;ROW())=B95,INDIRECT(A96&amp;ROW())=C94),1,0)))</f>
        <v>1</v>
      </c>
      <c r="J460">
        <f ca="1">IF(AND(INDIRECT(A73&amp;ROW())=B95,INDIRECT(A96&amp;ROW())=C95),1,IF(AND(INDIRECT(A73&amp;ROW())=B95,INDIRECT(A96&amp;ROW())=C96),1,0))</f>
        <v>0</v>
      </c>
      <c r="K460">
        <f ca="1">DAYS360(INDIRECT(C68&amp;ROW()),TODAY())</f>
        <v>690</v>
      </c>
      <c r="L460">
        <f ca="1">DAYS360(INDIRECT(C69&amp;ROW()),TODAY())</f>
        <v>742</v>
      </c>
      <c r="M460">
        <f ca="1">HYPERLINK(CONCATENATE("https://bugzilla.houston.hp.com:1181/bugzilla/show_bug.cgi?id=",INDIRECT(C70&amp;ROW())),INDIRECT(C70&amp;ROW()))</f>
        <v>60285</v>
      </c>
      <c r="N460">
        <v>60285</v>
      </c>
      <c r="O460" t="s">
        <v>320</v>
      </c>
      <c r="P460" t="s">
        <v>916</v>
      </c>
      <c r="Q460" t="s">
        <v>39</v>
      </c>
      <c r="R460" t="s">
        <v>251</v>
      </c>
      <c r="S460" t="s">
        <v>52</v>
      </c>
      <c r="U460" s="6">
        <v>42157.342418981483</v>
      </c>
      <c r="V460" t="s">
        <v>18</v>
      </c>
      <c r="W460" t="s">
        <v>783</v>
      </c>
      <c r="X460" s="6">
        <v>42104.574594907404</v>
      </c>
      <c r="Y460" t="s">
        <v>255</v>
      </c>
      <c r="AB460" t="s">
        <v>200</v>
      </c>
      <c r="AC460" t="s">
        <v>247</v>
      </c>
      <c r="AD460" t="s">
        <v>227</v>
      </c>
      <c r="AE460" t="s">
        <v>226</v>
      </c>
      <c r="AG460" t="s">
        <v>121</v>
      </c>
      <c r="AH460" t="s">
        <v>327</v>
      </c>
      <c r="AI460" t="s">
        <v>121</v>
      </c>
      <c r="AJ460" t="s">
        <v>715</v>
      </c>
      <c r="AK460" t="s">
        <v>121</v>
      </c>
    </row>
    <row r="461" spans="9:37" x14ac:dyDescent="0.3">
      <c r="I461">
        <f ca="1">IF(OR(INDIRECT(A73&amp;ROW())=B93,INDIRECT(A73&amp;ROW())=B94),1,IF(AND(INDIRECT(A73&amp;ROW())=B95,INDIRECT(A96&amp;ROW())=C93),1,IF(AND(INDIRECT(A73&amp;ROW())=B95,INDIRECT(A96&amp;ROW())=C94),1,0)))</f>
        <v>1</v>
      </c>
      <c r="J461">
        <f ca="1">IF(AND(INDIRECT(A73&amp;ROW())=B95,INDIRECT(A96&amp;ROW())=C95),1,IF(AND(INDIRECT(A73&amp;ROW())=B95,INDIRECT(A96&amp;ROW())=C96),1,0))</f>
        <v>0</v>
      </c>
      <c r="K461">
        <f ca="1">DAYS360(INDIRECT(C68&amp;ROW()),TODAY())</f>
        <v>718</v>
      </c>
      <c r="L461">
        <f ca="1">DAYS360(INDIRECT(C69&amp;ROW()),TODAY())</f>
        <v>742</v>
      </c>
      <c r="M461">
        <f ca="1">HYPERLINK(CONCATENATE("https://bugzilla.houston.hp.com:1181/bugzilla/show_bug.cgi?id=",INDIRECT(C70&amp;ROW())),INDIRECT(C70&amp;ROW()))</f>
        <v>60287</v>
      </c>
      <c r="N461">
        <v>60287</v>
      </c>
      <c r="O461" t="s">
        <v>45</v>
      </c>
      <c r="P461" t="s">
        <v>915</v>
      </c>
      <c r="Q461" t="s">
        <v>39</v>
      </c>
      <c r="R461" t="s">
        <v>579</v>
      </c>
      <c r="S461" t="s">
        <v>552</v>
      </c>
      <c r="T461" t="s">
        <v>920</v>
      </c>
      <c r="U461" s="6">
        <v>42128.230034722219</v>
      </c>
      <c r="V461" t="s">
        <v>18</v>
      </c>
      <c r="W461" t="s">
        <v>783</v>
      </c>
      <c r="X461" s="6">
        <v>42104.609548611108</v>
      </c>
      <c r="Y461" t="s">
        <v>255</v>
      </c>
      <c r="AB461" t="s">
        <v>200</v>
      </c>
      <c r="AC461" t="s">
        <v>247</v>
      </c>
      <c r="AD461" t="s">
        <v>227</v>
      </c>
      <c r="AE461" t="s">
        <v>226</v>
      </c>
      <c r="AG461" t="s">
        <v>121</v>
      </c>
      <c r="AH461" t="s">
        <v>327</v>
      </c>
      <c r="AI461" t="s">
        <v>362</v>
      </c>
      <c r="AJ461" t="s">
        <v>715</v>
      </c>
      <c r="AK461" t="s">
        <v>121</v>
      </c>
    </row>
    <row r="462" spans="9:37" x14ac:dyDescent="0.3">
      <c r="I462">
        <f ca="1">IF(OR(INDIRECT(A73&amp;ROW())=B93,INDIRECT(A73&amp;ROW())=B94),1,IF(AND(INDIRECT(A73&amp;ROW())=B95,INDIRECT(A96&amp;ROW())=C93),1,IF(AND(INDIRECT(A73&amp;ROW())=B95,INDIRECT(A96&amp;ROW())=C94),1,0)))</f>
        <v>0</v>
      </c>
      <c r="J462">
        <f ca="1">IF(AND(INDIRECT(A73&amp;ROW())=B95,INDIRECT(A96&amp;ROW())=C95),1,IF(AND(INDIRECT(A73&amp;ROW())=B95,INDIRECT(A96&amp;ROW())=C96),1,0))</f>
        <v>1</v>
      </c>
      <c r="K462">
        <f ca="1">DAYS360(INDIRECT(C68&amp;ROW()),TODAY())</f>
        <v>690</v>
      </c>
      <c r="L462">
        <f ca="1">DAYS360(INDIRECT(C69&amp;ROW()),TODAY())</f>
        <v>739</v>
      </c>
      <c r="M462">
        <f ca="1">HYPERLINK(CONCATENATE("https://bugzilla.houston.hp.com:1181/bugzilla/show_bug.cgi?id=",INDIRECT(C70&amp;ROW())),INDIRECT(C70&amp;ROW()))</f>
        <v>60382</v>
      </c>
      <c r="N462">
        <v>60382</v>
      </c>
      <c r="O462" t="s">
        <v>68</v>
      </c>
      <c r="P462" t="s">
        <v>893</v>
      </c>
      <c r="Q462" t="s">
        <v>25</v>
      </c>
      <c r="R462" t="s">
        <v>251</v>
      </c>
      <c r="S462" t="s">
        <v>52</v>
      </c>
      <c r="U462" s="6">
        <v>42157.342499999999</v>
      </c>
      <c r="V462" t="s">
        <v>40</v>
      </c>
      <c r="W462" t="s">
        <v>764</v>
      </c>
      <c r="X462" s="6">
        <v>42107.538043981483</v>
      </c>
      <c r="Y462" t="s">
        <v>255</v>
      </c>
      <c r="AB462" t="s">
        <v>201</v>
      </c>
      <c r="AC462" t="s">
        <v>247</v>
      </c>
      <c r="AD462" t="s">
        <v>220</v>
      </c>
      <c r="AE462" t="s">
        <v>229</v>
      </c>
      <c r="AG462" t="s">
        <v>121</v>
      </c>
      <c r="AH462" t="s">
        <v>327</v>
      </c>
      <c r="AI462" t="s">
        <v>121</v>
      </c>
      <c r="AJ462" t="s">
        <v>716</v>
      </c>
      <c r="AK462" t="s">
        <v>121</v>
      </c>
    </row>
    <row r="463" spans="9:37" x14ac:dyDescent="0.3">
      <c r="I463">
        <f ca="1">IF(OR(INDIRECT(A73&amp;ROW())=B93,INDIRECT(A73&amp;ROW())=B94),1,IF(AND(INDIRECT(A73&amp;ROW())=B95,INDIRECT(A96&amp;ROW())=C93),1,IF(AND(INDIRECT(A73&amp;ROW())=B95,INDIRECT(A96&amp;ROW())=C94),1,0)))</f>
        <v>0</v>
      </c>
      <c r="J463">
        <f ca="1">IF(AND(INDIRECT(A73&amp;ROW())=B95,INDIRECT(A96&amp;ROW())=C95),1,IF(AND(INDIRECT(A73&amp;ROW())=B95,INDIRECT(A96&amp;ROW())=C96),1,0))</f>
        <v>1</v>
      </c>
      <c r="K463">
        <f ca="1">DAYS360(INDIRECT(C68&amp;ROW()),TODAY())</f>
        <v>724</v>
      </c>
      <c r="L463">
        <f ca="1">DAYS360(INDIRECT(C69&amp;ROW()),TODAY())</f>
        <v>739</v>
      </c>
      <c r="M463">
        <f ca="1">HYPERLINK(CONCATENATE("https://bugzilla.houston.hp.com:1181/bugzilla/show_bug.cgi?id=",INDIRECT(C70&amp;ROW())),INDIRECT(C70&amp;ROW()))</f>
        <v>60392</v>
      </c>
      <c r="N463">
        <v>60392</v>
      </c>
      <c r="O463" t="s">
        <v>68</v>
      </c>
      <c r="P463" t="s">
        <v>892</v>
      </c>
      <c r="Q463" t="s">
        <v>25</v>
      </c>
      <c r="R463" t="s">
        <v>579</v>
      </c>
      <c r="S463" t="s">
        <v>552</v>
      </c>
      <c r="T463" t="s">
        <v>889</v>
      </c>
      <c r="U463" s="6">
        <v>42122.591226851851</v>
      </c>
      <c r="V463" t="s">
        <v>40</v>
      </c>
      <c r="W463" t="s">
        <v>764</v>
      </c>
      <c r="X463" s="6">
        <v>42107.680706018517</v>
      </c>
      <c r="Y463" t="s">
        <v>255</v>
      </c>
      <c r="AB463" t="s">
        <v>201</v>
      </c>
      <c r="AC463" t="s">
        <v>247</v>
      </c>
      <c r="AD463" t="s">
        <v>220</v>
      </c>
      <c r="AE463" t="s">
        <v>229</v>
      </c>
      <c r="AG463" t="s">
        <v>121</v>
      </c>
      <c r="AH463" t="s">
        <v>327</v>
      </c>
      <c r="AI463" t="s">
        <v>362</v>
      </c>
      <c r="AJ463" t="s">
        <v>716</v>
      </c>
      <c r="AK463" t="s">
        <v>121</v>
      </c>
    </row>
    <row r="464" spans="9:37" x14ac:dyDescent="0.3">
      <c r="I464">
        <f ca="1">IF(OR(INDIRECT(A73&amp;ROW())=B93,INDIRECT(A73&amp;ROW())=B94),1,IF(AND(INDIRECT(A73&amp;ROW())=B95,INDIRECT(A96&amp;ROW())=C93),1,IF(AND(INDIRECT(A73&amp;ROW())=B95,INDIRECT(A96&amp;ROW())=C94),1,0)))</f>
        <v>0</v>
      </c>
      <c r="J464">
        <f ca="1">IF(AND(INDIRECT(A73&amp;ROW())=B95,INDIRECT(A96&amp;ROW())=C95),1,IF(AND(INDIRECT(A73&amp;ROW())=B95,INDIRECT(A96&amp;ROW())=C96),1,0))</f>
        <v>0</v>
      </c>
      <c r="K464">
        <f ca="1">DAYS360(INDIRECT(C68&amp;ROW()),TODAY())</f>
        <v>722</v>
      </c>
      <c r="L464">
        <f ca="1">DAYS360(INDIRECT(C69&amp;ROW()),TODAY())</f>
        <v>738</v>
      </c>
      <c r="M464">
        <f ca="1">HYPERLINK(CONCATENATE("https://bugzilla.houston.hp.com:1181/bugzilla/show_bug.cgi?id=",INDIRECT(C70&amp;ROW())),INDIRECT(C70&amp;ROW()))</f>
        <v>60424</v>
      </c>
      <c r="N464">
        <v>60424</v>
      </c>
      <c r="O464" t="s">
        <v>59</v>
      </c>
      <c r="P464" t="s">
        <v>871</v>
      </c>
      <c r="Q464" t="s">
        <v>16</v>
      </c>
      <c r="R464" t="s">
        <v>251</v>
      </c>
      <c r="S464" t="s">
        <v>870</v>
      </c>
      <c r="T464" t="s">
        <v>865</v>
      </c>
      <c r="U464" s="6">
        <v>42124.724745370368</v>
      </c>
      <c r="V464" t="s">
        <v>40</v>
      </c>
      <c r="W464" t="s">
        <v>764</v>
      </c>
      <c r="X464" s="6">
        <v>42108.167349537034</v>
      </c>
      <c r="Y464" t="s">
        <v>810</v>
      </c>
      <c r="AB464" t="s">
        <v>200</v>
      </c>
      <c r="AC464" t="s">
        <v>247</v>
      </c>
      <c r="AD464" t="s">
        <v>220</v>
      </c>
      <c r="AE464" t="s">
        <v>223</v>
      </c>
      <c r="AG464" t="s">
        <v>121</v>
      </c>
      <c r="AH464" t="s">
        <v>327</v>
      </c>
      <c r="AI464" t="s">
        <v>121</v>
      </c>
      <c r="AJ464" t="s">
        <v>716</v>
      </c>
      <c r="AK464" t="s">
        <v>121</v>
      </c>
    </row>
    <row r="465" spans="9:37" x14ac:dyDescent="0.3">
      <c r="I465">
        <f ca="1">IF(OR(INDIRECT(A73&amp;ROW())=B93,INDIRECT(A73&amp;ROW())=B94),1,IF(AND(INDIRECT(A73&amp;ROW())=B95,INDIRECT(A96&amp;ROW())=C93),1,IF(AND(INDIRECT(A73&amp;ROW())=B95,INDIRECT(A96&amp;ROW())=C94),1,0)))</f>
        <v>0</v>
      </c>
      <c r="J465">
        <f ca="1">IF(AND(INDIRECT(A73&amp;ROW())=B95,INDIRECT(A96&amp;ROW())=C95),1,IF(AND(INDIRECT(A73&amp;ROW())=B95,INDIRECT(A96&amp;ROW())=C96),1,0))</f>
        <v>0</v>
      </c>
      <c r="K465">
        <f ca="1">DAYS360(INDIRECT(C68&amp;ROW()),TODAY())</f>
        <v>717</v>
      </c>
      <c r="L465">
        <f ca="1">DAYS360(INDIRECT(C69&amp;ROW()),TODAY())</f>
        <v>738</v>
      </c>
      <c r="M465">
        <f ca="1">HYPERLINK(CONCATENATE("https://bugzilla.houston.hp.com:1181/bugzilla/show_bug.cgi?id=",INDIRECT(C70&amp;ROW())),INDIRECT(C70&amp;ROW()))</f>
        <v>60438</v>
      </c>
      <c r="N465">
        <v>60438</v>
      </c>
      <c r="O465" t="s">
        <v>59</v>
      </c>
      <c r="P465" t="s">
        <v>869</v>
      </c>
      <c r="Q465" t="s">
        <v>16</v>
      </c>
      <c r="R465" t="s">
        <v>579</v>
      </c>
      <c r="S465" t="s">
        <v>552</v>
      </c>
      <c r="U465" s="6">
        <v>42129.472060185188</v>
      </c>
      <c r="V465" t="s">
        <v>40</v>
      </c>
      <c r="W465" t="s">
        <v>764</v>
      </c>
      <c r="X465" s="6">
        <v>42108.32603009259</v>
      </c>
      <c r="Y465" t="s">
        <v>810</v>
      </c>
      <c r="AB465" t="s">
        <v>200</v>
      </c>
      <c r="AC465" t="s">
        <v>247</v>
      </c>
      <c r="AD465" t="s">
        <v>220</v>
      </c>
      <c r="AE465" t="s">
        <v>223</v>
      </c>
      <c r="AG465" t="s">
        <v>121</v>
      </c>
      <c r="AH465" t="s">
        <v>327</v>
      </c>
      <c r="AI465" t="s">
        <v>121</v>
      </c>
      <c r="AJ465" t="s">
        <v>716</v>
      </c>
      <c r="AK465" t="s">
        <v>121</v>
      </c>
    </row>
    <row r="466" spans="9:37" x14ac:dyDescent="0.3">
      <c r="I466">
        <f ca="1">IF(OR(INDIRECT(A73&amp;ROW())=B93,INDIRECT(A73&amp;ROW())=B94),1,IF(AND(INDIRECT(A73&amp;ROW())=B95,INDIRECT(A96&amp;ROW())=C93),1,IF(AND(INDIRECT(A73&amp;ROW())=B95,INDIRECT(A96&amp;ROW())=C94),1,0)))</f>
        <v>0</v>
      </c>
      <c r="J466">
        <f ca="1">IF(AND(INDIRECT(A73&amp;ROW())=B95,INDIRECT(A96&amp;ROW())=C95),1,IF(AND(INDIRECT(A73&amp;ROW())=B95,INDIRECT(A96&amp;ROW())=C96),1,0))</f>
        <v>0</v>
      </c>
      <c r="K466">
        <f ca="1">DAYS360(INDIRECT(C68&amp;ROW()),TODAY())</f>
        <v>717</v>
      </c>
      <c r="L466">
        <f ca="1">DAYS360(INDIRECT(C69&amp;ROW()),TODAY())</f>
        <v>738</v>
      </c>
      <c r="M466">
        <f ca="1">HYPERLINK(CONCATENATE("https://bugzilla.houston.hp.com:1181/bugzilla/show_bug.cgi?id=",INDIRECT(C70&amp;ROW())),INDIRECT(C70&amp;ROW()))</f>
        <v>60439</v>
      </c>
      <c r="N466">
        <v>60439</v>
      </c>
      <c r="O466" t="s">
        <v>59</v>
      </c>
      <c r="P466" t="s">
        <v>868</v>
      </c>
      <c r="Q466" t="s">
        <v>16</v>
      </c>
      <c r="R466" t="s">
        <v>248</v>
      </c>
      <c r="S466" t="s">
        <v>552</v>
      </c>
      <c r="U466" s="6">
        <v>42129.472037037034</v>
      </c>
      <c r="V466" t="s">
        <v>40</v>
      </c>
      <c r="W466" t="s">
        <v>764</v>
      </c>
      <c r="X466" s="6">
        <v>42108.326099537036</v>
      </c>
      <c r="Y466" t="s">
        <v>810</v>
      </c>
      <c r="AB466" t="s">
        <v>200</v>
      </c>
      <c r="AC466" t="s">
        <v>247</v>
      </c>
      <c r="AD466" t="s">
        <v>220</v>
      </c>
      <c r="AE466" t="s">
        <v>223</v>
      </c>
      <c r="AG466" t="s">
        <v>121</v>
      </c>
      <c r="AH466" t="s">
        <v>327</v>
      </c>
      <c r="AI466" t="s">
        <v>121</v>
      </c>
      <c r="AJ466" t="s">
        <v>716</v>
      </c>
      <c r="AK466" t="s">
        <v>121</v>
      </c>
    </row>
    <row r="467" spans="9:37" x14ac:dyDescent="0.3">
      <c r="I467">
        <f ca="1">IF(OR(INDIRECT(A73&amp;ROW())=B93,INDIRECT(A73&amp;ROW())=B94),1,IF(AND(INDIRECT(A73&amp;ROW())=B95,INDIRECT(A96&amp;ROW())=C93),1,IF(AND(INDIRECT(A73&amp;ROW())=B95,INDIRECT(A96&amp;ROW())=C94),1,0)))</f>
        <v>0</v>
      </c>
      <c r="J467">
        <f ca="1">IF(AND(INDIRECT(A73&amp;ROW())=B95,INDIRECT(A96&amp;ROW())=C95),1,IF(AND(INDIRECT(A73&amp;ROW())=B95,INDIRECT(A96&amp;ROW())=C96),1,0))</f>
        <v>1</v>
      </c>
      <c r="K467">
        <f ca="1">DAYS360(INDIRECT(C68&amp;ROW()),TODAY())</f>
        <v>696</v>
      </c>
      <c r="L467">
        <f ca="1">DAYS360(INDIRECT(C69&amp;ROW()),TODAY())</f>
        <v>738</v>
      </c>
      <c r="M467">
        <f ca="1">HYPERLINK(CONCATENATE("https://bugzilla.houston.hp.com:1181/bugzilla/show_bug.cgi?id=",INDIRECT(C70&amp;ROW())),INDIRECT(C70&amp;ROW()))</f>
        <v>60453</v>
      </c>
      <c r="N467">
        <v>60453</v>
      </c>
      <c r="O467" t="s">
        <v>45</v>
      </c>
      <c r="P467" t="s">
        <v>928</v>
      </c>
      <c r="Q467" t="s">
        <v>25</v>
      </c>
      <c r="R467" t="s">
        <v>251</v>
      </c>
      <c r="S467" t="s">
        <v>365</v>
      </c>
      <c r="T467" t="s">
        <v>48</v>
      </c>
      <c r="U467" s="6">
        <v>42150.966608796298</v>
      </c>
      <c r="V467" t="s">
        <v>35</v>
      </c>
      <c r="W467" t="s">
        <v>783</v>
      </c>
      <c r="X467" s="6">
        <v>42108.482164351852</v>
      </c>
      <c r="Y467" t="s">
        <v>246</v>
      </c>
      <c r="AB467" t="s">
        <v>201</v>
      </c>
      <c r="AC467" t="s">
        <v>247</v>
      </c>
      <c r="AD467" t="s">
        <v>227</v>
      </c>
      <c r="AE467" t="s">
        <v>226</v>
      </c>
      <c r="AG467" t="s">
        <v>121</v>
      </c>
      <c r="AH467" t="s">
        <v>327</v>
      </c>
      <c r="AI467" t="s">
        <v>121</v>
      </c>
      <c r="AJ467" t="s">
        <v>715</v>
      </c>
      <c r="AK467" t="s">
        <v>121</v>
      </c>
    </row>
    <row r="468" spans="9:37" x14ac:dyDescent="0.3">
      <c r="I468">
        <f ca="1">IF(OR(INDIRECT(A73&amp;ROW())=B93,INDIRECT(A73&amp;ROW())=B94),1,IF(AND(INDIRECT(A73&amp;ROW())=B95,INDIRECT(A96&amp;ROW())=C93),1,IF(AND(INDIRECT(A73&amp;ROW())=B95,INDIRECT(A96&amp;ROW())=C94),1,0)))</f>
        <v>0</v>
      </c>
      <c r="J468">
        <f ca="1">IF(AND(INDIRECT(A73&amp;ROW())=B95,INDIRECT(A96&amp;ROW())=C95),1,IF(AND(INDIRECT(A73&amp;ROW())=B95,INDIRECT(A96&amp;ROW())=C96),1,0))</f>
        <v>1</v>
      </c>
      <c r="K468">
        <f ca="1">DAYS360(INDIRECT(C68&amp;ROW()),TODAY())</f>
        <v>731</v>
      </c>
      <c r="L468">
        <f ca="1">DAYS360(INDIRECT(C69&amp;ROW()),TODAY())</f>
        <v>738</v>
      </c>
      <c r="M468">
        <f ca="1">HYPERLINK(CONCATENATE("https://bugzilla.houston.hp.com:1181/bugzilla/show_bug.cgi?id=",INDIRECT(C70&amp;ROW())),INDIRECT(C70&amp;ROW()))</f>
        <v>60454</v>
      </c>
      <c r="N468">
        <v>60454</v>
      </c>
      <c r="O468" t="s">
        <v>45</v>
      </c>
      <c r="P468" t="s">
        <v>891</v>
      </c>
      <c r="Q468" t="s">
        <v>25</v>
      </c>
      <c r="R468" t="s">
        <v>579</v>
      </c>
      <c r="S468" t="s">
        <v>552</v>
      </c>
      <c r="T468" t="s">
        <v>930</v>
      </c>
      <c r="U468" s="6">
        <v>42115.320833333331</v>
      </c>
      <c r="V468" t="s">
        <v>18</v>
      </c>
      <c r="W468" t="s">
        <v>783</v>
      </c>
      <c r="X468" s="6">
        <v>42108.498101851852</v>
      </c>
      <c r="Y468" t="s">
        <v>246</v>
      </c>
      <c r="AB468" t="s">
        <v>201</v>
      </c>
      <c r="AC468" t="s">
        <v>247</v>
      </c>
      <c r="AD468" t="s">
        <v>227</v>
      </c>
      <c r="AE468" t="s">
        <v>226</v>
      </c>
      <c r="AG468" t="s">
        <v>121</v>
      </c>
      <c r="AH468" t="s">
        <v>327</v>
      </c>
      <c r="AI468" t="s">
        <v>121</v>
      </c>
      <c r="AJ468" t="s">
        <v>716</v>
      </c>
      <c r="AK468" t="s">
        <v>121</v>
      </c>
    </row>
    <row r="469" spans="9:37" x14ac:dyDescent="0.3">
      <c r="I469">
        <f ca="1">IF(OR(INDIRECT(A73&amp;ROW())=B93,INDIRECT(A73&amp;ROW())=B94),1,IF(AND(INDIRECT(A73&amp;ROW())=B95,INDIRECT(A96&amp;ROW())=C93),1,IF(AND(INDIRECT(A73&amp;ROW())=B95,INDIRECT(A96&amp;ROW())=C94),1,0)))</f>
        <v>0</v>
      </c>
      <c r="J469">
        <f ca="1">IF(AND(INDIRECT(A73&amp;ROW())=B95,INDIRECT(A96&amp;ROW())=C95),1,IF(AND(INDIRECT(A73&amp;ROW())=B95,INDIRECT(A96&amp;ROW())=C96),1,0))</f>
        <v>1</v>
      </c>
      <c r="K469">
        <f ca="1">DAYS360(INDIRECT(C68&amp;ROW()),TODAY())</f>
        <v>735</v>
      </c>
      <c r="L469">
        <f ca="1">DAYS360(INDIRECT(C69&amp;ROW()),TODAY())</f>
        <v>738</v>
      </c>
      <c r="M469">
        <f ca="1">HYPERLINK(CONCATENATE("https://bugzilla.houston.hp.com:1181/bugzilla/show_bug.cgi?id=",INDIRECT(C70&amp;ROW())),INDIRECT(C70&amp;ROW()))</f>
        <v>60459</v>
      </c>
      <c r="N469">
        <v>60459</v>
      </c>
      <c r="O469" t="s">
        <v>36</v>
      </c>
      <c r="P469" t="s">
        <v>914</v>
      </c>
      <c r="Q469" t="s">
        <v>25</v>
      </c>
      <c r="R469" t="s">
        <v>579</v>
      </c>
      <c r="S469" t="s">
        <v>552</v>
      </c>
      <c r="T469" t="s">
        <v>921</v>
      </c>
      <c r="U469" s="6">
        <v>42111.313831018517</v>
      </c>
      <c r="V469" t="s">
        <v>18</v>
      </c>
      <c r="W469" t="s">
        <v>783</v>
      </c>
      <c r="X469" s="6">
        <v>42108.516365740739</v>
      </c>
      <c r="Y469" t="s">
        <v>846</v>
      </c>
      <c r="AB469" t="s">
        <v>201</v>
      </c>
      <c r="AC469" t="s">
        <v>247</v>
      </c>
      <c r="AD469" t="s">
        <v>222</v>
      </c>
      <c r="AE469" t="s">
        <v>221</v>
      </c>
      <c r="AG469" t="s">
        <v>121</v>
      </c>
      <c r="AH469" t="s">
        <v>327</v>
      </c>
      <c r="AI469" t="s">
        <v>121</v>
      </c>
      <c r="AJ469" t="s">
        <v>716</v>
      </c>
      <c r="AK469" t="s">
        <v>121</v>
      </c>
    </row>
    <row r="470" spans="9:37" x14ac:dyDescent="0.3">
      <c r="I470">
        <f ca="1">IF(OR(INDIRECT(A73&amp;ROW())=B93,INDIRECT(A73&amp;ROW())=B94),1,IF(AND(INDIRECT(A73&amp;ROW())=B95,INDIRECT(A96&amp;ROW())=C93),1,IF(AND(INDIRECT(A73&amp;ROW())=B95,INDIRECT(A96&amp;ROW())=C94),1,0)))</f>
        <v>0</v>
      </c>
      <c r="J470">
        <f ca="1">IF(AND(INDIRECT(A73&amp;ROW())=B95,INDIRECT(A96&amp;ROW())=C95),1,IF(AND(INDIRECT(A73&amp;ROW())=B95,INDIRECT(A96&amp;ROW())=C96),1,0))</f>
        <v>1</v>
      </c>
      <c r="K470">
        <f ca="1">DAYS360(INDIRECT(C68&amp;ROW()),TODAY())</f>
        <v>736</v>
      </c>
      <c r="L470">
        <f ca="1">DAYS360(INDIRECT(C69&amp;ROW()),TODAY())</f>
        <v>737</v>
      </c>
      <c r="M470">
        <f ca="1">HYPERLINK(CONCATENATE("https://bugzilla.houston.hp.com:1181/bugzilla/show_bug.cgi?id=",INDIRECT(C70&amp;ROW())),INDIRECT(C70&amp;ROW()))</f>
        <v>60556</v>
      </c>
      <c r="N470">
        <v>60556</v>
      </c>
      <c r="O470" t="s">
        <v>22</v>
      </c>
      <c r="P470" t="s">
        <v>913</v>
      </c>
      <c r="Q470" t="s">
        <v>25</v>
      </c>
      <c r="R470" t="s">
        <v>251</v>
      </c>
      <c r="S470" t="s">
        <v>253</v>
      </c>
      <c r="U470" s="6">
        <v>42110.727951388886</v>
      </c>
      <c r="V470" t="s">
        <v>18</v>
      </c>
      <c r="W470" t="s">
        <v>764</v>
      </c>
      <c r="X470" s="6">
        <v>42109.729837962965</v>
      </c>
      <c r="Y470" t="s">
        <v>246</v>
      </c>
      <c r="AB470" t="s">
        <v>201</v>
      </c>
      <c r="AC470" t="s">
        <v>247</v>
      </c>
      <c r="AD470" t="s">
        <v>222</v>
      </c>
      <c r="AE470" t="s">
        <v>232</v>
      </c>
      <c r="AG470" t="s">
        <v>121</v>
      </c>
      <c r="AH470" t="s">
        <v>327</v>
      </c>
      <c r="AI470" t="s">
        <v>121</v>
      </c>
      <c r="AJ470" t="s">
        <v>716</v>
      </c>
      <c r="AK470" t="s">
        <v>121</v>
      </c>
    </row>
    <row r="471" spans="9:37" x14ac:dyDescent="0.3">
      <c r="I471">
        <f ca="1">IF(OR(INDIRECT(A73&amp;ROW())=B93,INDIRECT(A73&amp;ROW())=B94),1,IF(AND(INDIRECT(A73&amp;ROW())=B95,INDIRECT(A96&amp;ROW())=C93),1,IF(AND(INDIRECT(A73&amp;ROW())=B95,INDIRECT(A96&amp;ROW())=C94),1,0)))</f>
        <v>1</v>
      </c>
      <c r="J471">
        <f ca="1">IF(AND(INDIRECT(A73&amp;ROW())=B95,INDIRECT(A96&amp;ROW())=C95),1,IF(AND(INDIRECT(A73&amp;ROW())=B95,INDIRECT(A96&amp;ROW())=C96),1,0))</f>
        <v>0</v>
      </c>
      <c r="K471">
        <f ca="1">DAYS360(INDIRECT(C68&amp;ROW()),TODAY())</f>
        <v>689</v>
      </c>
      <c r="L471">
        <f ca="1">DAYS360(INDIRECT(C69&amp;ROW()),TODAY())</f>
        <v>737</v>
      </c>
      <c r="M471">
        <f ca="1">HYPERLINK(CONCATENATE("https://bugzilla.houston.hp.com:1181/bugzilla/show_bug.cgi?id=",INDIRECT(C70&amp;ROW())),INDIRECT(C70&amp;ROW()))</f>
        <v>60557</v>
      </c>
      <c r="N471">
        <v>60557</v>
      </c>
      <c r="O471" t="s">
        <v>164</v>
      </c>
      <c r="P471" t="s">
        <v>912</v>
      </c>
      <c r="Q471" t="s">
        <v>25</v>
      </c>
      <c r="R471" t="s">
        <v>783</v>
      </c>
      <c r="S471" t="s">
        <v>552</v>
      </c>
      <c r="T471" t="s">
        <v>48</v>
      </c>
      <c r="U471" s="6">
        <v>42158.331446759257</v>
      </c>
      <c r="V471" t="s">
        <v>18</v>
      </c>
      <c r="W471" t="s">
        <v>57</v>
      </c>
      <c r="X471" s="6">
        <v>42109.740752314814</v>
      </c>
      <c r="Y471" t="s">
        <v>125</v>
      </c>
      <c r="AB471" t="s">
        <v>200</v>
      </c>
      <c r="AC471" t="s">
        <v>216</v>
      </c>
      <c r="AD471" t="s">
        <v>220</v>
      </c>
      <c r="AE471" t="s">
        <v>219</v>
      </c>
      <c r="AG471" t="s">
        <v>337</v>
      </c>
      <c r="AH471" t="s">
        <v>328</v>
      </c>
      <c r="AI471" t="s">
        <v>121</v>
      </c>
      <c r="AJ471" t="s">
        <v>715</v>
      </c>
      <c r="AK471" t="s">
        <v>1104</v>
      </c>
    </row>
    <row r="472" spans="9:37" x14ac:dyDescent="0.3">
      <c r="I472">
        <f ca="1">IF(OR(INDIRECT(A73&amp;ROW())=B93,INDIRECT(A73&amp;ROW())=B94),1,IF(AND(INDIRECT(A73&amp;ROW())=B95,INDIRECT(A96&amp;ROW())=C93),1,IF(AND(INDIRECT(A73&amp;ROW())=B95,INDIRECT(A96&amp;ROW())=C94),1,0)))</f>
        <v>0</v>
      </c>
      <c r="J472">
        <f ca="1">IF(AND(INDIRECT(A73&amp;ROW())=B95,INDIRECT(A96&amp;ROW())=C95),1,IF(AND(INDIRECT(A73&amp;ROW())=B95,INDIRECT(A96&amp;ROW())=C96),1,0))</f>
        <v>0</v>
      </c>
      <c r="K472">
        <f ca="1">DAYS360(INDIRECT(C68&amp;ROW()),TODAY())</f>
        <v>721</v>
      </c>
      <c r="L472">
        <f ca="1">DAYS360(INDIRECT(C69&amp;ROW()),TODAY())</f>
        <v>737</v>
      </c>
      <c r="M472">
        <f ca="1">HYPERLINK(CONCATENATE("https://bugzilla.houston.hp.com:1181/bugzilla/show_bug.cgi?id=",INDIRECT(C70&amp;ROW())),INDIRECT(C70&amp;ROW()))</f>
        <v>60559</v>
      </c>
      <c r="N472">
        <v>60559</v>
      </c>
      <c r="O472" t="s">
        <v>45</v>
      </c>
      <c r="P472" t="s">
        <v>911</v>
      </c>
      <c r="Q472" t="s">
        <v>16</v>
      </c>
      <c r="R472" t="s">
        <v>783</v>
      </c>
      <c r="S472" t="s">
        <v>552</v>
      </c>
      <c r="U472" s="6">
        <v>42125.449733796297</v>
      </c>
      <c r="V472" t="s">
        <v>18</v>
      </c>
      <c r="W472" t="s">
        <v>17</v>
      </c>
      <c r="X472" s="6">
        <v>42109.744675925926</v>
      </c>
      <c r="Y472" t="s">
        <v>122</v>
      </c>
      <c r="AB472" t="s">
        <v>200</v>
      </c>
      <c r="AC472" t="s">
        <v>247</v>
      </c>
      <c r="AD472" t="s">
        <v>227</v>
      </c>
      <c r="AE472" t="s">
        <v>226</v>
      </c>
      <c r="AG472" t="s">
        <v>121</v>
      </c>
      <c r="AH472" t="s">
        <v>327</v>
      </c>
      <c r="AI472" t="s">
        <v>121</v>
      </c>
      <c r="AJ472" t="s">
        <v>717</v>
      </c>
      <c r="AK472" t="s">
        <v>121</v>
      </c>
    </row>
    <row r="473" spans="9:37" x14ac:dyDescent="0.3">
      <c r="I473">
        <f ca="1">IF(OR(INDIRECT(A73&amp;ROW())=B93,INDIRECT(A73&amp;ROW())=B94),1,IF(AND(INDIRECT(A73&amp;ROW())=B95,INDIRECT(A96&amp;ROW())=C93),1,IF(AND(INDIRECT(A73&amp;ROW())=B95,INDIRECT(A96&amp;ROW())=C94),1,0)))</f>
        <v>1</v>
      </c>
      <c r="J473">
        <f ca="1">IF(AND(INDIRECT(A73&amp;ROW())=B95,INDIRECT(A96&amp;ROW())=C95),1,IF(AND(INDIRECT(A73&amp;ROW())=B95,INDIRECT(A96&amp;ROW())=C96),1,0))</f>
        <v>0</v>
      </c>
      <c r="K473">
        <f ca="1">DAYS360(INDIRECT(C68&amp;ROW()),TODAY())</f>
        <v>695</v>
      </c>
      <c r="L473">
        <f ca="1">DAYS360(INDIRECT(C69&amp;ROW()),TODAY())</f>
        <v>737</v>
      </c>
      <c r="M473">
        <f ca="1">HYPERLINK(CONCATENATE("https://bugzilla.houston.hp.com:1181/bugzilla/show_bug.cgi?id=",INDIRECT(C70&amp;ROW())),INDIRECT(C70&amp;ROW()))</f>
        <v>60560</v>
      </c>
      <c r="N473">
        <v>60560</v>
      </c>
      <c r="O473" t="s">
        <v>241</v>
      </c>
      <c r="P473" t="s">
        <v>910</v>
      </c>
      <c r="Q473" t="s">
        <v>25</v>
      </c>
      <c r="R473" t="s">
        <v>783</v>
      </c>
      <c r="S473" t="s">
        <v>552</v>
      </c>
      <c r="U473" s="6">
        <v>42151.347118055557</v>
      </c>
      <c r="V473" t="s">
        <v>18</v>
      </c>
      <c r="W473" t="s">
        <v>764</v>
      </c>
      <c r="X473" s="6">
        <v>42109.74486111111</v>
      </c>
      <c r="Y473" t="s">
        <v>122</v>
      </c>
      <c r="AB473" t="s">
        <v>200</v>
      </c>
      <c r="AC473" t="s">
        <v>247</v>
      </c>
      <c r="AD473" t="s">
        <v>222</v>
      </c>
      <c r="AE473" t="s">
        <v>232</v>
      </c>
      <c r="AG473" t="s">
        <v>337</v>
      </c>
      <c r="AH473" t="s">
        <v>327</v>
      </c>
      <c r="AI473" t="s">
        <v>121</v>
      </c>
      <c r="AJ473" t="s">
        <v>715</v>
      </c>
      <c r="AK473" t="s">
        <v>121</v>
      </c>
    </row>
    <row r="474" spans="9:37" x14ac:dyDescent="0.3">
      <c r="I474">
        <f ca="1">IF(OR(INDIRECT(A73&amp;ROW())=B93,INDIRECT(A73&amp;ROW())=B94),1,IF(AND(INDIRECT(A73&amp;ROW())=B95,INDIRECT(A96&amp;ROW())=C93),1,IF(AND(INDIRECT(A73&amp;ROW())=B95,INDIRECT(A96&amp;ROW())=C94),1,0)))</f>
        <v>0</v>
      </c>
      <c r="J474">
        <f ca="1">IF(AND(INDIRECT(A73&amp;ROW())=B95,INDIRECT(A96&amp;ROW())=C95),1,IF(AND(INDIRECT(A73&amp;ROW())=B95,INDIRECT(A96&amp;ROW())=C96),1,0))</f>
        <v>1</v>
      </c>
      <c r="K474">
        <f ca="1">DAYS360(INDIRECT(C68&amp;ROW()),TODAY())</f>
        <v>690</v>
      </c>
      <c r="L474">
        <f ca="1">DAYS360(INDIRECT(C69&amp;ROW()),TODAY())</f>
        <v>737</v>
      </c>
      <c r="M474">
        <f ca="1">HYPERLINK(CONCATENATE("https://bugzilla.houston.hp.com:1181/bugzilla/show_bug.cgi?id=",INDIRECT(C70&amp;ROW())),INDIRECT(C70&amp;ROW()))</f>
        <v>60562</v>
      </c>
      <c r="N474">
        <v>60562</v>
      </c>
      <c r="O474" t="s">
        <v>45</v>
      </c>
      <c r="P474" t="s">
        <v>909</v>
      </c>
      <c r="Q474" t="s">
        <v>25</v>
      </c>
      <c r="R474" t="s">
        <v>783</v>
      </c>
      <c r="S474" t="s">
        <v>552</v>
      </c>
      <c r="T474" t="s">
        <v>798</v>
      </c>
      <c r="U474" s="6">
        <v>42157.103680555556</v>
      </c>
      <c r="V474" t="s">
        <v>18</v>
      </c>
      <c r="W474" t="s">
        <v>783</v>
      </c>
      <c r="X474" s="6">
        <v>42109.747708333336</v>
      </c>
      <c r="Y474" t="s">
        <v>119</v>
      </c>
      <c r="AB474" t="s">
        <v>201</v>
      </c>
      <c r="AC474" t="s">
        <v>247</v>
      </c>
      <c r="AD474" t="s">
        <v>227</v>
      </c>
      <c r="AE474" t="s">
        <v>370</v>
      </c>
      <c r="AG474" t="s">
        <v>121</v>
      </c>
      <c r="AH474" t="s">
        <v>327</v>
      </c>
      <c r="AI474" t="s">
        <v>121</v>
      </c>
      <c r="AJ474" t="s">
        <v>716</v>
      </c>
      <c r="AK474" t="s">
        <v>121</v>
      </c>
    </row>
    <row r="475" spans="9:37" x14ac:dyDescent="0.3">
      <c r="I475">
        <f ca="1">IF(OR(INDIRECT(A73&amp;ROW())=B93,INDIRECT(A73&amp;ROW())=B94),1,IF(AND(INDIRECT(A73&amp;ROW())=B95,INDIRECT(A96&amp;ROW())=C93),1,IF(AND(INDIRECT(A73&amp;ROW())=B95,INDIRECT(A96&amp;ROW())=C94),1,0)))</f>
        <v>1</v>
      </c>
      <c r="J475">
        <f ca="1">IF(AND(INDIRECT(A73&amp;ROW())=B95,INDIRECT(A96&amp;ROW())=C95),1,IF(AND(INDIRECT(A73&amp;ROW())=B95,INDIRECT(A96&amp;ROW())=C96),1,0))</f>
        <v>0</v>
      </c>
      <c r="K475">
        <f ca="1">DAYS360(INDIRECT(C68&amp;ROW()),TODAY())</f>
        <v>693</v>
      </c>
      <c r="L475">
        <f ca="1">DAYS360(INDIRECT(C69&amp;ROW()),TODAY())</f>
        <v>737</v>
      </c>
      <c r="M475">
        <f ca="1">HYPERLINK(CONCATENATE("https://bugzilla.houston.hp.com:1181/bugzilla/show_bug.cgi?id=",INDIRECT(C70&amp;ROW())),INDIRECT(C70&amp;ROW()))</f>
        <v>60563</v>
      </c>
      <c r="N475">
        <v>60563</v>
      </c>
      <c r="O475" t="s">
        <v>21</v>
      </c>
      <c r="P475" t="s">
        <v>908</v>
      </c>
      <c r="Q475" t="s">
        <v>39</v>
      </c>
      <c r="R475" t="s">
        <v>783</v>
      </c>
      <c r="S475" t="s">
        <v>552</v>
      </c>
      <c r="U475" s="6">
        <v>42153.443287037036</v>
      </c>
      <c r="V475" t="s">
        <v>18</v>
      </c>
      <c r="W475" t="s">
        <v>17</v>
      </c>
      <c r="X475" s="6">
        <v>42109.747881944444</v>
      </c>
      <c r="Y475" t="s">
        <v>122</v>
      </c>
      <c r="Z475" t="s">
        <v>255</v>
      </c>
      <c r="AB475" t="s">
        <v>201</v>
      </c>
      <c r="AC475" t="s">
        <v>247</v>
      </c>
      <c r="AD475" t="s">
        <v>222</v>
      </c>
      <c r="AE475" t="s">
        <v>221</v>
      </c>
      <c r="AG475" t="s">
        <v>337</v>
      </c>
      <c r="AH475" t="s">
        <v>327</v>
      </c>
      <c r="AI475" t="s">
        <v>121</v>
      </c>
      <c r="AJ475" t="s">
        <v>715</v>
      </c>
      <c r="AK475" t="s">
        <v>1133</v>
      </c>
    </row>
    <row r="476" spans="9:37" x14ac:dyDescent="0.3">
      <c r="I476">
        <f ca="1">IF(OR(INDIRECT(A73&amp;ROW())=B93,INDIRECT(A73&amp;ROW())=B94),1,IF(AND(INDIRECT(A73&amp;ROW())=B95,INDIRECT(A96&amp;ROW())=C93),1,IF(AND(INDIRECT(A73&amp;ROW())=B95,INDIRECT(A96&amp;ROW())=C94),1,0)))</f>
        <v>0</v>
      </c>
      <c r="J476">
        <f ca="1">IF(AND(INDIRECT(A73&amp;ROW())=B95,INDIRECT(A96&amp;ROW())=C95),1,IF(AND(INDIRECT(A73&amp;ROW())=B95,INDIRECT(A96&amp;ROW())=C96),1,0))</f>
        <v>0</v>
      </c>
      <c r="K476">
        <f ca="1">DAYS360(INDIRECT(C68&amp;ROW()),TODAY())</f>
        <v>737</v>
      </c>
      <c r="L476">
        <f ca="1">DAYS360(INDIRECT(C69&amp;ROW()),TODAY())</f>
        <v>737</v>
      </c>
      <c r="M476">
        <f ca="1">HYPERLINK(CONCATENATE("https://bugzilla.houston.hp.com:1181/bugzilla/show_bug.cgi?id=",INDIRECT(C70&amp;ROW())),INDIRECT(C70&amp;ROW()))</f>
        <v>60564</v>
      </c>
      <c r="N476">
        <v>60564</v>
      </c>
      <c r="O476" t="s">
        <v>22</v>
      </c>
      <c r="P476" t="s">
        <v>907</v>
      </c>
      <c r="Q476" t="s">
        <v>16</v>
      </c>
      <c r="R476" t="s">
        <v>783</v>
      </c>
      <c r="S476" t="s">
        <v>552</v>
      </c>
      <c r="T476" t="s">
        <v>809</v>
      </c>
      <c r="U476" s="6">
        <v>42109.74800925926</v>
      </c>
      <c r="V476" t="s">
        <v>18</v>
      </c>
      <c r="W476" t="s">
        <v>764</v>
      </c>
      <c r="X476" s="6">
        <v>42109.74800925926</v>
      </c>
      <c r="Y476" t="s">
        <v>810</v>
      </c>
      <c r="AB476" t="s">
        <v>199</v>
      </c>
      <c r="AC476" t="s">
        <v>247</v>
      </c>
      <c r="AD476" t="s">
        <v>222</v>
      </c>
      <c r="AE476" t="s">
        <v>221</v>
      </c>
      <c r="AG476" t="s">
        <v>121</v>
      </c>
      <c r="AH476" t="s">
        <v>327</v>
      </c>
      <c r="AI476" t="s">
        <v>121</v>
      </c>
      <c r="AJ476" t="s">
        <v>716</v>
      </c>
      <c r="AK476" t="s">
        <v>121</v>
      </c>
    </row>
    <row r="477" spans="9:37" x14ac:dyDescent="0.3">
      <c r="I477">
        <f ca="1">IF(OR(INDIRECT(A73&amp;ROW())=B93,INDIRECT(A73&amp;ROW())=B94),1,IF(AND(INDIRECT(A73&amp;ROW())=B95,INDIRECT(A96&amp;ROW())=C93),1,IF(AND(INDIRECT(A73&amp;ROW())=B95,INDIRECT(A96&amp;ROW())=C94),1,0)))</f>
        <v>1</v>
      </c>
      <c r="J477">
        <f ca="1">IF(AND(INDIRECT(A73&amp;ROW())=B95,INDIRECT(A96&amp;ROW())=C95),1,IF(AND(INDIRECT(A73&amp;ROW())=B95,INDIRECT(A96&amp;ROW())=C96),1,0))</f>
        <v>0</v>
      </c>
      <c r="K477">
        <f ca="1">DAYS360(INDIRECT(C68&amp;ROW()),TODAY())</f>
        <v>690</v>
      </c>
      <c r="L477">
        <f ca="1">DAYS360(INDIRECT(C69&amp;ROW()),TODAY())</f>
        <v>737</v>
      </c>
      <c r="M477">
        <f ca="1">HYPERLINK(CONCATENATE("https://bugzilla.houston.hp.com:1181/bugzilla/show_bug.cgi?id=",INDIRECT(C70&amp;ROW())),INDIRECT(C70&amp;ROW()))</f>
        <v>60565</v>
      </c>
      <c r="N477">
        <v>60565</v>
      </c>
      <c r="O477" t="s">
        <v>22</v>
      </c>
      <c r="P477" t="s">
        <v>906</v>
      </c>
      <c r="Q477" t="s">
        <v>25</v>
      </c>
      <c r="R477" t="s">
        <v>783</v>
      </c>
      <c r="S477" t="s">
        <v>552</v>
      </c>
      <c r="T477" t="s">
        <v>1017</v>
      </c>
      <c r="U477" s="6">
        <v>42157.091956018521</v>
      </c>
      <c r="V477" t="s">
        <v>18</v>
      </c>
      <c r="W477" t="s">
        <v>783</v>
      </c>
      <c r="X477" s="6">
        <v>42109.748171296298</v>
      </c>
      <c r="Y477" t="s">
        <v>119</v>
      </c>
      <c r="AB477" t="s">
        <v>200</v>
      </c>
      <c r="AC477" t="s">
        <v>247</v>
      </c>
      <c r="AD477" t="s">
        <v>220</v>
      </c>
      <c r="AE477" t="s">
        <v>223</v>
      </c>
      <c r="AG477" t="s">
        <v>337</v>
      </c>
      <c r="AH477" t="s">
        <v>327</v>
      </c>
      <c r="AI477" t="s">
        <v>121</v>
      </c>
      <c r="AJ477" t="s">
        <v>715</v>
      </c>
      <c r="AK477" t="s">
        <v>121</v>
      </c>
    </row>
    <row r="478" spans="9:37" x14ac:dyDescent="0.3">
      <c r="I478">
        <f ca="1">IF(OR(INDIRECT(A73&amp;ROW())=B93,INDIRECT(A73&amp;ROW())=B94),1,IF(AND(INDIRECT(A73&amp;ROW())=B95,INDIRECT(A96&amp;ROW())=C93),1,IF(AND(INDIRECT(A73&amp;ROW())=B95,INDIRECT(A96&amp;ROW())=C94),1,0)))</f>
        <v>0</v>
      </c>
      <c r="J478">
        <f ca="1">IF(AND(INDIRECT(A73&amp;ROW())=B95,INDIRECT(A96&amp;ROW())=C95),1,IF(AND(INDIRECT(A73&amp;ROW())=B95,INDIRECT(A96&amp;ROW())=C96),1,0))</f>
        <v>1</v>
      </c>
      <c r="K478">
        <f ca="1">DAYS360(INDIRECT(C68&amp;ROW()),TODAY())</f>
        <v>737</v>
      </c>
      <c r="L478">
        <f ca="1">DAYS360(INDIRECT(C69&amp;ROW()),TODAY())</f>
        <v>737</v>
      </c>
      <c r="M478">
        <f ca="1">HYPERLINK(CONCATENATE("https://bugzilla.houston.hp.com:1181/bugzilla/show_bug.cgi?id=",INDIRECT(C70&amp;ROW())),INDIRECT(C70&amp;ROW()))</f>
        <v>60566</v>
      </c>
      <c r="N478">
        <v>60566</v>
      </c>
      <c r="O478" t="s">
        <v>22</v>
      </c>
      <c r="P478" t="s">
        <v>905</v>
      </c>
      <c r="Q478" t="s">
        <v>25</v>
      </c>
      <c r="R478" t="s">
        <v>783</v>
      </c>
      <c r="S478" t="s">
        <v>552</v>
      </c>
      <c r="U478" s="6">
        <v>42109.748472222222</v>
      </c>
      <c r="V478" t="s">
        <v>18</v>
      </c>
      <c r="W478" t="s">
        <v>17</v>
      </c>
      <c r="X478" s="6">
        <v>42109.748472222222</v>
      </c>
      <c r="Y478" t="s">
        <v>246</v>
      </c>
      <c r="AB478" t="s">
        <v>201</v>
      </c>
      <c r="AC478" t="s">
        <v>247</v>
      </c>
      <c r="AD478" t="s">
        <v>222</v>
      </c>
      <c r="AE478" t="s">
        <v>232</v>
      </c>
      <c r="AG478" t="s">
        <v>121</v>
      </c>
      <c r="AH478" t="s">
        <v>327</v>
      </c>
      <c r="AI478" t="s">
        <v>121</v>
      </c>
      <c r="AJ478" t="s">
        <v>716</v>
      </c>
      <c r="AK478" t="s">
        <v>121</v>
      </c>
    </row>
    <row r="479" spans="9:37" x14ac:dyDescent="0.3">
      <c r="I479">
        <f ca="1">IF(OR(INDIRECT(A73&amp;ROW())=B93,INDIRECT(A73&amp;ROW())=B94),1,IF(AND(INDIRECT(A73&amp;ROW())=B95,INDIRECT(A96&amp;ROW())=C93),1,IF(AND(INDIRECT(A73&amp;ROW())=B95,INDIRECT(A96&amp;ROW())=C94),1,0)))</f>
        <v>0</v>
      </c>
      <c r="J479">
        <f ca="1">IF(AND(INDIRECT(A73&amp;ROW())=B95,INDIRECT(A96&amp;ROW())=C95),1,IF(AND(INDIRECT(A73&amp;ROW())=B95,INDIRECT(A96&amp;ROW())=C96),1,0))</f>
        <v>1</v>
      </c>
      <c r="K479">
        <f ca="1">DAYS360(INDIRECT(C68&amp;ROW()),TODAY())</f>
        <v>736</v>
      </c>
      <c r="L479">
        <f ca="1">DAYS360(INDIRECT(C69&amp;ROW()),TODAY())</f>
        <v>737</v>
      </c>
      <c r="M479">
        <f ca="1">HYPERLINK(CONCATENATE("https://bugzilla.houston.hp.com:1181/bugzilla/show_bug.cgi?id=",INDIRECT(C70&amp;ROW())),INDIRECT(C70&amp;ROW()))</f>
        <v>60567</v>
      </c>
      <c r="N479">
        <v>60567</v>
      </c>
      <c r="O479" t="s">
        <v>66</v>
      </c>
      <c r="P479" t="s">
        <v>904</v>
      </c>
      <c r="Q479" t="s">
        <v>25</v>
      </c>
      <c r="R479" t="s">
        <v>783</v>
      </c>
      <c r="S479" t="s">
        <v>552</v>
      </c>
      <c r="U479" s="6">
        <v>42110.603171296294</v>
      </c>
      <c r="V479" t="s">
        <v>18</v>
      </c>
      <c r="W479" t="s">
        <v>17</v>
      </c>
      <c r="X479" s="6">
        <v>42109.748726851853</v>
      </c>
      <c r="Y479" t="s">
        <v>792</v>
      </c>
      <c r="AB479" t="s">
        <v>201</v>
      </c>
      <c r="AC479" t="s">
        <v>247</v>
      </c>
      <c r="AD479" t="s">
        <v>220</v>
      </c>
      <c r="AE479" t="s">
        <v>219</v>
      </c>
      <c r="AG479" t="s">
        <v>121</v>
      </c>
      <c r="AH479" t="s">
        <v>327</v>
      </c>
      <c r="AI479" t="s">
        <v>121</v>
      </c>
      <c r="AJ479" t="s">
        <v>717</v>
      </c>
      <c r="AK479" t="s">
        <v>121</v>
      </c>
    </row>
    <row r="480" spans="9:37" x14ac:dyDescent="0.3">
      <c r="I480">
        <f ca="1">IF(OR(INDIRECT(A73&amp;ROW())=B93,INDIRECT(A73&amp;ROW())=B94),1,IF(AND(INDIRECT(A73&amp;ROW())=B95,INDIRECT(A96&amp;ROW())=C93),1,IF(AND(INDIRECT(A73&amp;ROW())=B95,INDIRECT(A96&amp;ROW())=C94),1,0)))</f>
        <v>0</v>
      </c>
      <c r="J480">
        <f ca="1">IF(AND(INDIRECT(A73&amp;ROW())=B95,INDIRECT(A96&amp;ROW())=C95),1,IF(AND(INDIRECT(A73&amp;ROW())=B95,INDIRECT(A96&amp;ROW())=C96),1,0))</f>
        <v>0</v>
      </c>
      <c r="K480">
        <f ca="1">DAYS360(INDIRECT(C68&amp;ROW()),TODAY())</f>
        <v>737</v>
      </c>
      <c r="L480">
        <f ca="1">DAYS360(INDIRECT(C69&amp;ROW()),TODAY())</f>
        <v>737</v>
      </c>
      <c r="M480">
        <f ca="1">HYPERLINK(CONCATENATE("https://bugzilla.houston.hp.com:1181/bugzilla/show_bug.cgi?id=",INDIRECT(C70&amp;ROW())),INDIRECT(C70&amp;ROW()))</f>
        <v>60568</v>
      </c>
      <c r="N480">
        <v>60568</v>
      </c>
      <c r="O480" t="s">
        <v>56</v>
      </c>
      <c r="P480" t="s">
        <v>903</v>
      </c>
      <c r="Q480" t="s">
        <v>16</v>
      </c>
      <c r="R480" t="s">
        <v>783</v>
      </c>
      <c r="S480" t="s">
        <v>552</v>
      </c>
      <c r="U480" s="6">
        <v>42109.748993055553</v>
      </c>
      <c r="V480" t="s">
        <v>18</v>
      </c>
      <c r="W480" t="s">
        <v>783</v>
      </c>
      <c r="X480" s="6">
        <v>42109.748993055553</v>
      </c>
      <c r="Y480" t="s">
        <v>119</v>
      </c>
      <c r="AB480" t="s">
        <v>200</v>
      </c>
      <c r="AC480" t="s">
        <v>247</v>
      </c>
      <c r="AD480" t="s">
        <v>220</v>
      </c>
      <c r="AE480" t="s">
        <v>219</v>
      </c>
      <c r="AG480" t="s">
        <v>121</v>
      </c>
      <c r="AH480" t="s">
        <v>327</v>
      </c>
      <c r="AI480" t="s">
        <v>121</v>
      </c>
      <c r="AJ480" t="s">
        <v>716</v>
      </c>
      <c r="AK480" t="s">
        <v>121</v>
      </c>
    </row>
    <row r="481" spans="9:37" x14ac:dyDescent="0.3">
      <c r="I481">
        <f ca="1">IF(OR(INDIRECT(A73&amp;ROW())=B93,INDIRECT(A73&amp;ROW())=B94),1,IF(AND(INDIRECT(A73&amp;ROW())=B95,INDIRECT(A96&amp;ROW())=C93),1,IF(AND(INDIRECT(A73&amp;ROW())=B95,INDIRECT(A96&amp;ROW())=C94),1,0)))</f>
        <v>0</v>
      </c>
      <c r="J481">
        <f ca="1">IF(AND(INDIRECT(A73&amp;ROW())=B95,INDIRECT(A96&amp;ROW())=C95),1,IF(AND(INDIRECT(A73&amp;ROW())=B95,INDIRECT(A96&amp;ROW())=C96),1,0))</f>
        <v>1</v>
      </c>
      <c r="K481">
        <f ca="1">DAYS360(INDIRECT(C68&amp;ROW()),TODAY())</f>
        <v>717</v>
      </c>
      <c r="L481">
        <f ca="1">DAYS360(INDIRECT(C69&amp;ROW()),TODAY())</f>
        <v>737</v>
      </c>
      <c r="M481">
        <f ca="1">HYPERLINK(CONCATENATE("https://bugzilla.houston.hp.com:1181/bugzilla/show_bug.cgi?id=",INDIRECT(C70&amp;ROW())),INDIRECT(C70&amp;ROW()))</f>
        <v>60570</v>
      </c>
      <c r="N481">
        <v>60570</v>
      </c>
      <c r="O481" t="s">
        <v>241</v>
      </c>
      <c r="P481" t="s">
        <v>902</v>
      </c>
      <c r="Q481" t="s">
        <v>25</v>
      </c>
      <c r="R481" t="s">
        <v>783</v>
      </c>
      <c r="S481" t="s">
        <v>552</v>
      </c>
      <c r="U481" s="6">
        <v>42129.606886574074</v>
      </c>
      <c r="V481" t="s">
        <v>18</v>
      </c>
      <c r="W481" t="s">
        <v>783</v>
      </c>
      <c r="X481" s="6">
        <v>42109.749328703707</v>
      </c>
      <c r="Y481" t="s">
        <v>255</v>
      </c>
      <c r="AB481" t="s">
        <v>201</v>
      </c>
      <c r="AC481" t="s">
        <v>247</v>
      </c>
      <c r="AD481" t="s">
        <v>222</v>
      </c>
      <c r="AE481" t="s">
        <v>232</v>
      </c>
      <c r="AG481" t="s">
        <v>121</v>
      </c>
      <c r="AH481" t="s">
        <v>327</v>
      </c>
      <c r="AI481" t="s">
        <v>121</v>
      </c>
      <c r="AJ481" t="s">
        <v>716</v>
      </c>
      <c r="AK481" t="s">
        <v>121</v>
      </c>
    </row>
    <row r="482" spans="9:37" x14ac:dyDescent="0.3">
      <c r="I482">
        <f ca="1">IF(OR(INDIRECT(A73&amp;ROW())=B93,INDIRECT(A73&amp;ROW())=B94),1,IF(AND(INDIRECT(A73&amp;ROW())=B95,INDIRECT(A96&amp;ROW())=C93),1,IF(AND(INDIRECT(A73&amp;ROW())=B95,INDIRECT(A96&amp;ROW())=C94),1,0)))</f>
        <v>0</v>
      </c>
      <c r="J482">
        <f ca="1">IF(AND(INDIRECT(A73&amp;ROW())=B95,INDIRECT(A96&amp;ROW())=C95),1,IF(AND(INDIRECT(A73&amp;ROW())=B95,INDIRECT(A96&amp;ROW())=C96),1,0))</f>
        <v>1</v>
      </c>
      <c r="K482">
        <f ca="1">DAYS360(INDIRECT(C68&amp;ROW()),TODAY())</f>
        <v>737</v>
      </c>
      <c r="L482">
        <f ca="1">DAYS360(INDIRECT(C69&amp;ROW()),TODAY())</f>
        <v>737</v>
      </c>
      <c r="M482">
        <f ca="1">HYPERLINK(CONCATENATE("https://bugzilla.houston.hp.com:1181/bugzilla/show_bug.cgi?id=",INDIRECT(C70&amp;ROW())),INDIRECT(C70&amp;ROW()))</f>
        <v>60571</v>
      </c>
      <c r="N482">
        <v>60571</v>
      </c>
      <c r="O482" t="s">
        <v>22</v>
      </c>
      <c r="P482" t="s">
        <v>901</v>
      </c>
      <c r="Q482" t="s">
        <v>25</v>
      </c>
      <c r="R482" t="s">
        <v>783</v>
      </c>
      <c r="S482" t="s">
        <v>552</v>
      </c>
      <c r="U482" s="6">
        <v>42109.749872685185</v>
      </c>
      <c r="V482" t="s">
        <v>18</v>
      </c>
      <c r="W482" t="s">
        <v>764</v>
      </c>
      <c r="X482" s="6">
        <v>42109.749872685185</v>
      </c>
      <c r="Y482" t="s">
        <v>246</v>
      </c>
      <c r="AB482" t="s">
        <v>201</v>
      </c>
      <c r="AC482" t="s">
        <v>247</v>
      </c>
      <c r="AD482" t="s">
        <v>222</v>
      </c>
      <c r="AE482" t="s">
        <v>221</v>
      </c>
      <c r="AG482" t="s">
        <v>121</v>
      </c>
      <c r="AH482" t="s">
        <v>327</v>
      </c>
      <c r="AI482" t="s">
        <v>121</v>
      </c>
      <c r="AJ482" t="s">
        <v>716</v>
      </c>
      <c r="AK482" t="s">
        <v>121</v>
      </c>
    </row>
    <row r="483" spans="9:37" x14ac:dyDescent="0.3">
      <c r="I483">
        <f ca="1">IF(OR(INDIRECT(A73&amp;ROW())=B93,INDIRECT(A73&amp;ROW())=B94),1,IF(AND(INDIRECT(A73&amp;ROW())=B95,INDIRECT(A96&amp;ROW())=C93),1,IF(AND(INDIRECT(A73&amp;ROW())=B95,INDIRECT(A96&amp;ROW())=C94),1,0)))</f>
        <v>0</v>
      </c>
      <c r="J483">
        <f ca="1">IF(AND(INDIRECT(A73&amp;ROW())=B95,INDIRECT(A96&amp;ROW())=C95),1,IF(AND(INDIRECT(A73&amp;ROW())=B95,INDIRECT(A96&amp;ROW())=C96),1,0))</f>
        <v>1</v>
      </c>
      <c r="K483">
        <f ca="1">DAYS360(INDIRECT(C68&amp;ROW()),TODAY())</f>
        <v>737</v>
      </c>
      <c r="L483">
        <f ca="1">DAYS360(INDIRECT(C69&amp;ROW()),TODAY())</f>
        <v>737</v>
      </c>
      <c r="M483">
        <f ca="1">HYPERLINK(CONCATENATE("https://bugzilla.houston.hp.com:1181/bugzilla/show_bug.cgi?id=",INDIRECT(C70&amp;ROW())),INDIRECT(C70&amp;ROW()))</f>
        <v>60572</v>
      </c>
      <c r="N483">
        <v>60572</v>
      </c>
      <c r="O483" t="s">
        <v>241</v>
      </c>
      <c r="P483" t="s">
        <v>900</v>
      </c>
      <c r="Q483" t="s">
        <v>25</v>
      </c>
      <c r="R483" t="s">
        <v>783</v>
      </c>
      <c r="S483" t="s">
        <v>552</v>
      </c>
      <c r="U483" s="6">
        <v>42109.750057870369</v>
      </c>
      <c r="V483" t="s">
        <v>18</v>
      </c>
      <c r="W483" t="s">
        <v>764</v>
      </c>
      <c r="X483" s="6">
        <v>42109.750057870369</v>
      </c>
      <c r="Y483" t="s">
        <v>122</v>
      </c>
      <c r="AB483" t="s">
        <v>201</v>
      </c>
      <c r="AC483" t="s">
        <v>247</v>
      </c>
      <c r="AD483" t="s">
        <v>220</v>
      </c>
      <c r="AE483" t="s">
        <v>219</v>
      </c>
      <c r="AG483" t="s">
        <v>121</v>
      </c>
      <c r="AH483" t="s">
        <v>327</v>
      </c>
      <c r="AI483" t="s">
        <v>121</v>
      </c>
      <c r="AJ483" t="s">
        <v>716</v>
      </c>
      <c r="AK483" t="s">
        <v>121</v>
      </c>
    </row>
    <row r="484" spans="9:37" x14ac:dyDescent="0.3">
      <c r="I484">
        <f ca="1">IF(OR(INDIRECT(A73&amp;ROW())=B93,INDIRECT(A73&amp;ROW())=B94),1,IF(AND(INDIRECT(A73&amp;ROW())=B95,INDIRECT(A96&amp;ROW())=C93),1,IF(AND(INDIRECT(A73&amp;ROW())=B95,INDIRECT(A96&amp;ROW())=C94),1,0)))</f>
        <v>0</v>
      </c>
      <c r="J484">
        <f ca="1">IF(AND(INDIRECT(A73&amp;ROW())=B95,INDIRECT(A96&amp;ROW())=C95),1,IF(AND(INDIRECT(A73&amp;ROW())=B95,INDIRECT(A96&amp;ROW())=C96),1,0))</f>
        <v>1</v>
      </c>
      <c r="K484">
        <f ca="1">DAYS360(INDIRECT(C68&amp;ROW()),TODAY())</f>
        <v>733</v>
      </c>
      <c r="L484">
        <f ca="1">DAYS360(INDIRECT(C69&amp;ROW()),TODAY())</f>
        <v>737</v>
      </c>
      <c r="M484">
        <f ca="1">HYPERLINK(CONCATENATE("https://bugzilla.houston.hp.com:1181/bugzilla/show_bug.cgi?id=",INDIRECT(C70&amp;ROW())),INDIRECT(C70&amp;ROW()))</f>
        <v>60574</v>
      </c>
      <c r="N484">
        <v>60574</v>
      </c>
      <c r="O484" t="s">
        <v>22</v>
      </c>
      <c r="P484" t="s">
        <v>899</v>
      </c>
      <c r="Q484" t="s">
        <v>25</v>
      </c>
      <c r="R484" t="s">
        <v>783</v>
      </c>
      <c r="S484" t="s">
        <v>552</v>
      </c>
      <c r="U484" s="6">
        <v>42113.690659722219</v>
      </c>
      <c r="V484" t="s">
        <v>18</v>
      </c>
      <c r="W484" t="s">
        <v>764</v>
      </c>
      <c r="X484" s="6">
        <v>42109.750763888886</v>
      </c>
      <c r="Y484" t="s">
        <v>810</v>
      </c>
      <c r="AB484" t="s">
        <v>201</v>
      </c>
      <c r="AC484" t="s">
        <v>247</v>
      </c>
      <c r="AD484" t="s">
        <v>222</v>
      </c>
      <c r="AE484" t="s">
        <v>232</v>
      </c>
      <c r="AG484" t="s">
        <v>121</v>
      </c>
      <c r="AH484" t="s">
        <v>327</v>
      </c>
      <c r="AI484" t="s">
        <v>121</v>
      </c>
      <c r="AJ484" t="s">
        <v>717</v>
      </c>
      <c r="AK484" t="s">
        <v>121</v>
      </c>
    </row>
    <row r="485" spans="9:37" x14ac:dyDescent="0.3">
      <c r="I485">
        <f ca="1">IF(OR(INDIRECT(A73&amp;ROW())=B93,INDIRECT(A73&amp;ROW())=B94),1,IF(AND(INDIRECT(A73&amp;ROW())=B95,INDIRECT(A96&amp;ROW())=C93),1,IF(AND(INDIRECT(A73&amp;ROW())=B95,INDIRECT(A96&amp;ROW())=C94),1,0)))</f>
        <v>0</v>
      </c>
      <c r="J485">
        <f ca="1">IF(AND(INDIRECT(A73&amp;ROW())=B95,INDIRECT(A96&amp;ROW())=C95),1,IF(AND(INDIRECT(A73&amp;ROW())=B95,INDIRECT(A96&amp;ROW())=C96),1,0))</f>
        <v>0</v>
      </c>
      <c r="K485">
        <f ca="1">DAYS360(INDIRECT(C68&amp;ROW()),TODAY())</f>
        <v>737</v>
      </c>
      <c r="L485">
        <f ca="1">DAYS360(INDIRECT(C69&amp;ROW()),TODAY())</f>
        <v>737</v>
      </c>
      <c r="M485">
        <f ca="1">HYPERLINK(CONCATENATE("https://bugzilla.houston.hp.com:1181/bugzilla/show_bug.cgi?id=",INDIRECT(C70&amp;ROW())),INDIRECT(C70&amp;ROW()))</f>
        <v>60576</v>
      </c>
      <c r="N485">
        <v>60576</v>
      </c>
      <c r="O485" t="s">
        <v>56</v>
      </c>
      <c r="P485" t="s">
        <v>898</v>
      </c>
      <c r="Q485" t="s">
        <v>16</v>
      </c>
      <c r="R485" t="s">
        <v>783</v>
      </c>
      <c r="S485" t="s">
        <v>552</v>
      </c>
      <c r="U485" s="6">
        <v>42109.751527777778</v>
      </c>
      <c r="V485" t="s">
        <v>18</v>
      </c>
      <c r="W485" t="s">
        <v>764</v>
      </c>
      <c r="X485" s="6">
        <v>42109.751527777778</v>
      </c>
      <c r="Y485" t="s">
        <v>810</v>
      </c>
      <c r="AB485" t="s">
        <v>201</v>
      </c>
      <c r="AC485" t="s">
        <v>247</v>
      </c>
      <c r="AD485" t="s">
        <v>220</v>
      </c>
      <c r="AE485" t="s">
        <v>223</v>
      </c>
      <c r="AG485" t="s">
        <v>121</v>
      </c>
      <c r="AH485" t="s">
        <v>327</v>
      </c>
      <c r="AI485" t="s">
        <v>121</v>
      </c>
      <c r="AJ485" t="s">
        <v>717</v>
      </c>
      <c r="AK485" t="s">
        <v>121</v>
      </c>
    </row>
    <row r="486" spans="9:37" x14ac:dyDescent="0.3">
      <c r="I486">
        <f ca="1">IF(OR(INDIRECT(A73&amp;ROW())=B93,INDIRECT(A73&amp;ROW())=B94),1,IF(AND(INDIRECT(A73&amp;ROW())=B95,INDIRECT(A96&amp;ROW())=C93),1,IF(AND(INDIRECT(A73&amp;ROW())=B95,INDIRECT(A96&amp;ROW())=C94),1,0)))</f>
        <v>0</v>
      </c>
      <c r="J486">
        <f ca="1">IF(AND(INDIRECT(A73&amp;ROW())=B95,INDIRECT(A96&amp;ROW())=C95),1,IF(AND(INDIRECT(A73&amp;ROW())=B95,INDIRECT(A96&amp;ROW())=C96),1,0))</f>
        <v>1</v>
      </c>
      <c r="K486">
        <f ca="1">DAYS360(INDIRECT(C68&amp;ROW()),TODAY())</f>
        <v>735</v>
      </c>
      <c r="L486">
        <f ca="1">DAYS360(INDIRECT(C69&amp;ROW()),TODAY())</f>
        <v>736</v>
      </c>
      <c r="M486">
        <f ca="1">HYPERLINK(CONCATENATE("https://bugzilla.houston.hp.com:1181/bugzilla/show_bug.cgi?id=",INDIRECT(C70&amp;ROW())),INDIRECT(C70&amp;ROW()))</f>
        <v>60594</v>
      </c>
      <c r="N486">
        <v>60594</v>
      </c>
      <c r="O486" t="s">
        <v>36</v>
      </c>
      <c r="P486" t="s">
        <v>897</v>
      </c>
      <c r="Q486" t="s">
        <v>25</v>
      </c>
      <c r="R486" t="s">
        <v>579</v>
      </c>
      <c r="S486" t="s">
        <v>552</v>
      </c>
      <c r="T486" t="s">
        <v>922</v>
      </c>
      <c r="U486" s="6">
        <v>42111.314699074072</v>
      </c>
      <c r="V486" t="s">
        <v>18</v>
      </c>
      <c r="W486" t="s">
        <v>764</v>
      </c>
      <c r="X486" s="6">
        <v>42110.0156712963</v>
      </c>
      <c r="Y486" t="s">
        <v>246</v>
      </c>
      <c r="AB486" t="s">
        <v>201</v>
      </c>
      <c r="AC486" t="s">
        <v>247</v>
      </c>
      <c r="AD486" t="s">
        <v>222</v>
      </c>
      <c r="AE486" t="s">
        <v>232</v>
      </c>
      <c r="AG486" t="s">
        <v>121</v>
      </c>
      <c r="AH486" t="s">
        <v>327</v>
      </c>
      <c r="AI486" t="s">
        <v>121</v>
      </c>
      <c r="AJ486" t="s">
        <v>716</v>
      </c>
      <c r="AK486" t="s">
        <v>121</v>
      </c>
    </row>
    <row r="487" spans="9:37" x14ac:dyDescent="0.3">
      <c r="I487">
        <f ca="1">IF(OR(INDIRECT(A73&amp;ROW())=B93,INDIRECT(A73&amp;ROW())=B94),1,IF(AND(INDIRECT(A73&amp;ROW())=B95,INDIRECT(A96&amp;ROW())=C93),1,IF(AND(INDIRECT(A73&amp;ROW())=B95,INDIRECT(A96&amp;ROW())=C94),1,0)))</f>
        <v>0</v>
      </c>
      <c r="J487">
        <f ca="1">IF(AND(INDIRECT(A73&amp;ROW())=B95,INDIRECT(A96&amp;ROW())=C95),1,IF(AND(INDIRECT(A73&amp;ROW())=B95,INDIRECT(A96&amp;ROW())=C96),1,0))</f>
        <v>1</v>
      </c>
      <c r="K487">
        <f ca="1">DAYS360(INDIRECT(C68&amp;ROW()),TODAY())</f>
        <v>736</v>
      </c>
      <c r="L487">
        <f ca="1">DAYS360(INDIRECT(C69&amp;ROW()),TODAY())</f>
        <v>736</v>
      </c>
      <c r="M487">
        <f ca="1">HYPERLINK(CONCATENATE("https://bugzilla.houston.hp.com:1181/bugzilla/show_bug.cgi?id=",INDIRECT(C70&amp;ROW())),INDIRECT(C70&amp;ROW()))</f>
        <v>60595</v>
      </c>
      <c r="N487">
        <v>60595</v>
      </c>
      <c r="O487" t="s">
        <v>36</v>
      </c>
      <c r="P487" t="s">
        <v>896</v>
      </c>
      <c r="Q487" t="s">
        <v>25</v>
      </c>
      <c r="R487" t="s">
        <v>248</v>
      </c>
      <c r="S487" t="s">
        <v>552</v>
      </c>
      <c r="U487" s="6">
        <v>42110.564016203702</v>
      </c>
      <c r="V487" t="s">
        <v>18</v>
      </c>
      <c r="W487" t="s">
        <v>764</v>
      </c>
      <c r="X487" s="6">
        <v>42110.015717592592</v>
      </c>
      <c r="Y487" t="s">
        <v>246</v>
      </c>
      <c r="AB487" t="s">
        <v>201</v>
      </c>
      <c r="AC487" t="s">
        <v>247</v>
      </c>
      <c r="AD487" t="s">
        <v>222</v>
      </c>
      <c r="AE487" t="s">
        <v>232</v>
      </c>
      <c r="AG487" t="s">
        <v>121</v>
      </c>
      <c r="AH487" t="s">
        <v>327</v>
      </c>
      <c r="AI487" t="s">
        <v>121</v>
      </c>
      <c r="AJ487" t="s">
        <v>715</v>
      </c>
      <c r="AK487" t="s">
        <v>121</v>
      </c>
    </row>
    <row r="488" spans="9:37" x14ac:dyDescent="0.3">
      <c r="I488">
        <f ca="1">IF(OR(INDIRECT(A73&amp;ROW())=B93,INDIRECT(A73&amp;ROW())=B94),1,IF(AND(INDIRECT(A73&amp;ROW())=B95,INDIRECT(A96&amp;ROW())=C93),1,IF(AND(INDIRECT(A73&amp;ROW())=B95,INDIRECT(A96&amp;ROW())=C94),1,0)))</f>
        <v>0</v>
      </c>
      <c r="J488">
        <f ca="1">IF(AND(INDIRECT(A73&amp;ROW())=B95,INDIRECT(A96&amp;ROW())=C95),1,IF(AND(INDIRECT(A73&amp;ROW())=B95,INDIRECT(A96&amp;ROW())=C96),1,0))</f>
        <v>0</v>
      </c>
      <c r="K488">
        <f ca="1">DAYS360(INDIRECT(C68&amp;ROW()),TODAY())</f>
        <v>717</v>
      </c>
      <c r="L488">
        <f ca="1">DAYS360(INDIRECT(C69&amp;ROW()),TODAY())</f>
        <v>736</v>
      </c>
      <c r="M488">
        <f ca="1">HYPERLINK(CONCATENATE("https://bugzilla.houston.hp.com:1181/bugzilla/show_bug.cgi?id=",INDIRECT(C70&amp;ROW())),INDIRECT(C70&amp;ROW()))</f>
        <v>60601</v>
      </c>
      <c r="N488">
        <v>60601</v>
      </c>
      <c r="O488" t="s">
        <v>66</v>
      </c>
      <c r="P488" t="s">
        <v>895</v>
      </c>
      <c r="Q488" t="s">
        <v>16</v>
      </c>
      <c r="R488" t="s">
        <v>251</v>
      </c>
      <c r="S488" t="s">
        <v>516</v>
      </c>
      <c r="U488" s="6">
        <v>42129.381342592591</v>
      </c>
      <c r="V488" t="s">
        <v>35</v>
      </c>
      <c r="W488" t="s">
        <v>783</v>
      </c>
      <c r="X488" s="6">
        <v>42110.021886574075</v>
      </c>
      <c r="Y488" t="s">
        <v>786</v>
      </c>
      <c r="AB488" t="s">
        <v>200</v>
      </c>
      <c r="AC488" t="s">
        <v>247</v>
      </c>
      <c r="AD488" t="s">
        <v>220</v>
      </c>
      <c r="AE488" t="s">
        <v>219</v>
      </c>
      <c r="AG488" t="s">
        <v>121</v>
      </c>
      <c r="AH488" t="s">
        <v>327</v>
      </c>
      <c r="AI488" t="s">
        <v>121</v>
      </c>
      <c r="AJ488" t="s">
        <v>716</v>
      </c>
      <c r="AK488" t="s">
        <v>121</v>
      </c>
    </row>
    <row r="489" spans="9:37" x14ac:dyDescent="0.3">
      <c r="I489">
        <f ca="1">IF(OR(INDIRECT(A73&amp;ROW())=B93,INDIRECT(A73&amp;ROW())=B94),1,IF(AND(INDIRECT(A73&amp;ROW())=B95,INDIRECT(A96&amp;ROW())=C93),1,IF(AND(INDIRECT(A73&amp;ROW())=B95,INDIRECT(A96&amp;ROW())=C94),1,0)))</f>
        <v>0</v>
      </c>
      <c r="J489">
        <f ca="1">IF(AND(INDIRECT(A73&amp;ROW())=B95,INDIRECT(A96&amp;ROW())=C95),1,IF(AND(INDIRECT(A73&amp;ROW())=B95,INDIRECT(A96&amp;ROW())=C96),1,0))</f>
        <v>0</v>
      </c>
      <c r="K489">
        <f ca="1">DAYS360(INDIRECT(C68&amp;ROW()),TODAY())</f>
        <v>717</v>
      </c>
      <c r="L489">
        <f ca="1">DAYS360(INDIRECT(C69&amp;ROW()),TODAY())</f>
        <v>736</v>
      </c>
      <c r="M489">
        <f ca="1">HYPERLINK(CONCATENATE("https://bugzilla.houston.hp.com:1181/bugzilla/show_bug.cgi?id=",INDIRECT(C70&amp;ROW())),INDIRECT(C70&amp;ROW()))</f>
        <v>60668</v>
      </c>
      <c r="N489">
        <v>60668</v>
      </c>
      <c r="O489" t="s">
        <v>56</v>
      </c>
      <c r="P489" t="s">
        <v>894</v>
      </c>
      <c r="Q489" t="s">
        <v>16</v>
      </c>
      <c r="R489" t="s">
        <v>248</v>
      </c>
      <c r="S489" t="s">
        <v>552</v>
      </c>
      <c r="U489" s="6">
        <v>42129.317453703705</v>
      </c>
      <c r="V489" t="s">
        <v>18</v>
      </c>
      <c r="W489" t="s">
        <v>783</v>
      </c>
      <c r="X489" s="6">
        <v>42110.515844907408</v>
      </c>
      <c r="Y489" t="s">
        <v>786</v>
      </c>
      <c r="AB489" t="s">
        <v>200</v>
      </c>
      <c r="AC489" t="s">
        <v>247</v>
      </c>
      <c r="AD489" t="s">
        <v>220</v>
      </c>
      <c r="AE489" t="s">
        <v>219</v>
      </c>
      <c r="AG489" t="s">
        <v>121</v>
      </c>
      <c r="AH489" t="s">
        <v>327</v>
      </c>
      <c r="AI489" t="s">
        <v>121</v>
      </c>
      <c r="AJ489" t="s">
        <v>716</v>
      </c>
      <c r="AK489" t="s">
        <v>121</v>
      </c>
    </row>
    <row r="490" spans="9:37" x14ac:dyDescent="0.3">
      <c r="I490">
        <f ca="1">IF(OR(INDIRECT(A73&amp;ROW())=B93,INDIRECT(A73&amp;ROW())=B94),1,IF(AND(INDIRECT(A73&amp;ROW())=B95,INDIRECT(A96&amp;ROW())=C93),1,IF(AND(INDIRECT(A73&amp;ROW())=B95,INDIRECT(A96&amp;ROW())=C94),1,0)))</f>
        <v>0</v>
      </c>
      <c r="J490">
        <f ca="1">IF(AND(INDIRECT(A73&amp;ROW())=B95,INDIRECT(A96&amp;ROW())=C95),1,IF(AND(INDIRECT(A73&amp;ROW())=B95,INDIRECT(A96&amp;ROW())=C96),1,0))</f>
        <v>0</v>
      </c>
      <c r="K490">
        <f ca="1">DAYS360(INDIRECT(C68&amp;ROW()),TODAY())</f>
        <v>690</v>
      </c>
      <c r="L490">
        <f ca="1">DAYS360(INDIRECT(C69&amp;ROW()),TODAY())</f>
        <v>735</v>
      </c>
      <c r="M490">
        <f ca="1">HYPERLINK(CONCATENATE("https://bugzilla.houston.hp.com:1181/bugzilla/show_bug.cgi?id=",INDIRECT(C70&amp;ROW())),INDIRECT(C70&amp;ROW()))</f>
        <v>60724</v>
      </c>
      <c r="N490">
        <v>60724</v>
      </c>
      <c r="O490" t="s">
        <v>66</v>
      </c>
      <c r="P490" t="s">
        <v>926</v>
      </c>
      <c r="Q490" t="s">
        <v>16</v>
      </c>
      <c r="R490" t="s">
        <v>251</v>
      </c>
      <c r="S490" t="s">
        <v>33</v>
      </c>
      <c r="T490" t="s">
        <v>966</v>
      </c>
      <c r="U490" s="6">
        <v>42157.087141203701</v>
      </c>
      <c r="V490" t="s">
        <v>18</v>
      </c>
      <c r="W490" t="s">
        <v>783</v>
      </c>
      <c r="X490" s="6">
        <v>42111.162210648145</v>
      </c>
      <c r="Y490" t="s">
        <v>119</v>
      </c>
      <c r="AB490" t="s">
        <v>200</v>
      </c>
      <c r="AC490" t="s">
        <v>247</v>
      </c>
      <c r="AD490" t="s">
        <v>220</v>
      </c>
      <c r="AE490" t="s">
        <v>223</v>
      </c>
      <c r="AG490" t="s">
        <v>121</v>
      </c>
      <c r="AH490" t="s">
        <v>327</v>
      </c>
      <c r="AI490" t="s">
        <v>121</v>
      </c>
      <c r="AJ490" t="s">
        <v>716</v>
      </c>
      <c r="AK490" t="s">
        <v>121</v>
      </c>
    </row>
    <row r="491" spans="9:37" x14ac:dyDescent="0.3">
      <c r="I491">
        <f ca="1">IF(OR(INDIRECT(A73&amp;ROW())=B93,INDIRECT(A73&amp;ROW())=B94),1,IF(AND(INDIRECT(A73&amp;ROW())=B95,INDIRECT(A96&amp;ROW())=C93),1,IF(AND(INDIRECT(A73&amp;ROW())=B95,INDIRECT(A96&amp;ROW())=C94),1,0)))</f>
        <v>0</v>
      </c>
      <c r="J491">
        <f ca="1">IF(AND(INDIRECT(A73&amp;ROW())=B95,INDIRECT(A96&amp;ROW())=C95),1,IF(AND(INDIRECT(A73&amp;ROW())=B95,INDIRECT(A96&amp;ROW())=C96),1,0))</f>
        <v>0</v>
      </c>
      <c r="K491">
        <f ca="1">DAYS360(INDIRECT(C68&amp;ROW()),TODAY())</f>
        <v>690</v>
      </c>
      <c r="L491">
        <f ca="1">DAYS360(INDIRECT(C69&amp;ROW()),TODAY())</f>
        <v>735</v>
      </c>
      <c r="M491">
        <f ca="1">HYPERLINK(CONCATENATE("https://bugzilla.houston.hp.com:1181/bugzilla/show_bug.cgi?id=",INDIRECT(C70&amp;ROW())),INDIRECT(C70&amp;ROW()))</f>
        <v>60736</v>
      </c>
      <c r="N491">
        <v>60736</v>
      </c>
      <c r="O491" t="s">
        <v>59</v>
      </c>
      <c r="P491" t="s">
        <v>925</v>
      </c>
      <c r="Q491" t="s">
        <v>16</v>
      </c>
      <c r="R491" t="s">
        <v>579</v>
      </c>
      <c r="S491" t="s">
        <v>552</v>
      </c>
      <c r="T491" t="s">
        <v>931</v>
      </c>
      <c r="U491" s="6">
        <v>42157.11515046296</v>
      </c>
      <c r="V491" t="s">
        <v>18</v>
      </c>
      <c r="W491" t="s">
        <v>783</v>
      </c>
      <c r="X491" s="6">
        <v>42111.305185185185</v>
      </c>
      <c r="Y491" t="s">
        <v>119</v>
      </c>
      <c r="AB491" t="s">
        <v>200</v>
      </c>
      <c r="AC491" t="s">
        <v>247</v>
      </c>
      <c r="AD491" t="s">
        <v>220</v>
      </c>
      <c r="AE491" t="s">
        <v>223</v>
      </c>
      <c r="AG491" t="s">
        <v>121</v>
      </c>
      <c r="AH491" t="s">
        <v>327</v>
      </c>
      <c r="AI491" t="s">
        <v>121</v>
      </c>
      <c r="AJ491" t="s">
        <v>716</v>
      </c>
      <c r="AK491" t="s">
        <v>121</v>
      </c>
    </row>
    <row r="492" spans="9:37" x14ac:dyDescent="0.3">
      <c r="I492">
        <f ca="1">IF(OR(INDIRECT(A73&amp;ROW())=B93,INDIRECT(A73&amp;ROW())=B94),1,IF(AND(INDIRECT(A73&amp;ROW())=B95,INDIRECT(A96&amp;ROW())=C93),1,IF(AND(INDIRECT(A73&amp;ROW())=B95,INDIRECT(A96&amp;ROW())=C94),1,0)))</f>
        <v>0</v>
      </c>
      <c r="J492">
        <f ca="1">IF(AND(INDIRECT(A73&amp;ROW())=B95,INDIRECT(A96&amp;ROW())=C95),1,IF(AND(INDIRECT(A73&amp;ROW())=B95,INDIRECT(A96&amp;ROW())=C96),1,0))</f>
        <v>0</v>
      </c>
      <c r="K492">
        <f ca="1">DAYS360(INDIRECT(C68&amp;ROW()),TODAY())</f>
        <v>690</v>
      </c>
      <c r="L492">
        <f ca="1">DAYS360(INDIRECT(C69&amp;ROW()),TODAY())</f>
        <v>735</v>
      </c>
      <c r="M492">
        <f ca="1">HYPERLINK(CONCATENATE("https://bugzilla.houston.hp.com:1181/bugzilla/show_bug.cgi?id=",INDIRECT(C70&amp;ROW())),INDIRECT(C70&amp;ROW()))</f>
        <v>60737</v>
      </c>
      <c r="N492">
        <v>60737</v>
      </c>
      <c r="O492" t="s">
        <v>36</v>
      </c>
      <c r="P492" t="s">
        <v>924</v>
      </c>
      <c r="Q492" t="s">
        <v>16</v>
      </c>
      <c r="R492" t="s">
        <v>783</v>
      </c>
      <c r="S492" t="s">
        <v>552</v>
      </c>
      <c r="U492" s="6">
        <v>42157.115648148145</v>
      </c>
      <c r="V492" t="s">
        <v>18</v>
      </c>
      <c r="W492" t="s">
        <v>783</v>
      </c>
      <c r="X492" s="6">
        <v>42111.305277777778</v>
      </c>
      <c r="Y492" t="s">
        <v>119</v>
      </c>
      <c r="AB492" t="s">
        <v>200</v>
      </c>
      <c r="AC492" t="s">
        <v>247</v>
      </c>
      <c r="AD492" t="s">
        <v>220</v>
      </c>
      <c r="AE492" t="s">
        <v>223</v>
      </c>
      <c r="AG492" t="s">
        <v>121</v>
      </c>
      <c r="AH492" t="s">
        <v>327</v>
      </c>
      <c r="AI492" t="s">
        <v>121</v>
      </c>
      <c r="AJ492" t="s">
        <v>716</v>
      </c>
      <c r="AK492" t="s">
        <v>121</v>
      </c>
    </row>
    <row r="493" spans="9:37" x14ac:dyDescent="0.3">
      <c r="I493">
        <f ca="1">IF(OR(INDIRECT(A73&amp;ROW())=B93,INDIRECT(A73&amp;ROW())=B94),1,IF(AND(INDIRECT(A73&amp;ROW())=B95,INDIRECT(A96&amp;ROW())=C93),1,IF(AND(INDIRECT(A73&amp;ROW())=B95,INDIRECT(A96&amp;ROW())=C94),1,0)))</f>
        <v>0</v>
      </c>
      <c r="J493">
        <f ca="1">IF(AND(INDIRECT(A73&amp;ROW())=B95,INDIRECT(A96&amp;ROW())=C95),1,IF(AND(INDIRECT(A73&amp;ROW())=B95,INDIRECT(A96&amp;ROW())=C96),1,0))</f>
        <v>0</v>
      </c>
      <c r="K493">
        <f ca="1">DAYS360(INDIRECT(C68&amp;ROW()),TODAY())</f>
        <v>690</v>
      </c>
      <c r="L493">
        <f ca="1">DAYS360(INDIRECT(C69&amp;ROW()),TODAY())</f>
        <v>735</v>
      </c>
      <c r="M493">
        <f ca="1">HYPERLINK(CONCATENATE("https://bugzilla.houston.hp.com:1181/bugzilla/show_bug.cgi?id=",INDIRECT(C70&amp;ROW())),INDIRECT(C70&amp;ROW()))</f>
        <v>60738</v>
      </c>
      <c r="N493">
        <v>60738</v>
      </c>
      <c r="O493" t="s">
        <v>36</v>
      </c>
      <c r="P493" t="s">
        <v>923</v>
      </c>
      <c r="Q493" t="s">
        <v>16</v>
      </c>
      <c r="R493" t="s">
        <v>248</v>
      </c>
      <c r="S493" t="s">
        <v>552</v>
      </c>
      <c r="U493" s="6">
        <v>42157.116249999999</v>
      </c>
      <c r="V493" t="s">
        <v>18</v>
      </c>
      <c r="W493" t="s">
        <v>783</v>
      </c>
      <c r="X493" s="6">
        <v>42111.305381944447</v>
      </c>
      <c r="Y493" t="s">
        <v>119</v>
      </c>
      <c r="AB493" t="s">
        <v>200</v>
      </c>
      <c r="AC493" t="s">
        <v>247</v>
      </c>
      <c r="AD493" t="s">
        <v>220</v>
      </c>
      <c r="AE493" t="s">
        <v>223</v>
      </c>
      <c r="AG493" t="s">
        <v>121</v>
      </c>
      <c r="AH493" t="s">
        <v>327</v>
      </c>
      <c r="AI493" t="s">
        <v>121</v>
      </c>
      <c r="AJ493" t="s">
        <v>716</v>
      </c>
      <c r="AK493" t="s">
        <v>121</v>
      </c>
    </row>
    <row r="494" spans="9:37" x14ac:dyDescent="0.3">
      <c r="I494">
        <f ca="1">IF(OR(INDIRECT(A73&amp;ROW())=B93,INDIRECT(A73&amp;ROW())=B94),1,IF(AND(INDIRECT(A73&amp;ROW())=B95,INDIRECT(A96&amp;ROW())=C93),1,IF(AND(INDIRECT(A73&amp;ROW())=B95,INDIRECT(A96&amp;ROW())=C94),1,0)))</f>
        <v>0</v>
      </c>
      <c r="J494">
        <f ca="1">IF(AND(INDIRECT(A73&amp;ROW())=B95,INDIRECT(A96&amp;ROW())=C95),1,IF(AND(INDIRECT(A73&amp;ROW())=B95,INDIRECT(A96&amp;ROW())=C96),1,0))</f>
        <v>1</v>
      </c>
      <c r="K494">
        <f ca="1">DAYS360(INDIRECT(C68&amp;ROW()),TODAY())</f>
        <v>731</v>
      </c>
      <c r="L494">
        <f ca="1">DAYS360(INDIRECT(C69&amp;ROW()),TODAY())</f>
        <v>731</v>
      </c>
      <c r="M494">
        <f ca="1">HYPERLINK(CONCATENATE("https://bugzilla.houston.hp.com:1181/bugzilla/show_bug.cgi?id=",INDIRECT(C70&amp;ROW())),INDIRECT(C70&amp;ROW()))</f>
        <v>60985</v>
      </c>
      <c r="N494">
        <v>60985</v>
      </c>
      <c r="O494" t="s">
        <v>56</v>
      </c>
      <c r="P494" t="s">
        <v>965</v>
      </c>
      <c r="Q494" t="s">
        <v>25</v>
      </c>
      <c r="R494" t="s">
        <v>783</v>
      </c>
      <c r="S494" t="s">
        <v>552</v>
      </c>
      <c r="U494" s="6">
        <v>42115.683530092596</v>
      </c>
      <c r="V494" t="s">
        <v>18</v>
      </c>
      <c r="W494" t="s">
        <v>173</v>
      </c>
      <c r="X494" s="6">
        <v>42115.683530092596</v>
      </c>
      <c r="Y494" t="s">
        <v>255</v>
      </c>
      <c r="AB494" t="s">
        <v>201</v>
      </c>
      <c r="AC494" t="s">
        <v>216</v>
      </c>
      <c r="AD494" t="s">
        <v>222</v>
      </c>
      <c r="AE494" t="s">
        <v>221</v>
      </c>
      <c r="AG494" t="s">
        <v>121</v>
      </c>
      <c r="AH494" t="s">
        <v>327</v>
      </c>
      <c r="AI494" t="s">
        <v>362</v>
      </c>
      <c r="AJ494" t="s">
        <v>716</v>
      </c>
      <c r="AK494" t="s">
        <v>121</v>
      </c>
    </row>
    <row r="495" spans="9:37" x14ac:dyDescent="0.3">
      <c r="I495">
        <f ca="1">IF(OR(INDIRECT(A73&amp;ROW())=B93,INDIRECT(A73&amp;ROW())=B94),1,IF(AND(INDIRECT(A73&amp;ROW())=B95,INDIRECT(A96&amp;ROW())=C93),1,IF(AND(INDIRECT(A73&amp;ROW())=B95,INDIRECT(A96&amp;ROW())=C94),1,0)))</f>
        <v>0</v>
      </c>
      <c r="J495">
        <f ca="1">IF(AND(INDIRECT(A73&amp;ROW())=B95,INDIRECT(A96&amp;ROW())=C95),1,IF(AND(INDIRECT(A73&amp;ROW())=B95,INDIRECT(A96&amp;ROW())=C96),1,0))</f>
        <v>1</v>
      </c>
      <c r="K495">
        <f ca="1">DAYS360(INDIRECT(C68&amp;ROW()),TODAY())</f>
        <v>724</v>
      </c>
      <c r="L495">
        <f ca="1">DAYS360(INDIRECT(C69&amp;ROW()),TODAY())</f>
        <v>731</v>
      </c>
      <c r="M495">
        <f ca="1">HYPERLINK(CONCATENATE("https://bugzilla.houston.hp.com:1181/bugzilla/show_bug.cgi?id=",INDIRECT(C70&amp;ROW())),INDIRECT(C70&amp;ROW()))</f>
        <v>60997</v>
      </c>
      <c r="N495">
        <v>60997</v>
      </c>
      <c r="O495" t="s">
        <v>42</v>
      </c>
      <c r="P495" t="s">
        <v>964</v>
      </c>
      <c r="Q495" t="s">
        <v>25</v>
      </c>
      <c r="R495" t="s">
        <v>783</v>
      </c>
      <c r="S495" t="s">
        <v>552</v>
      </c>
      <c r="U495" s="6">
        <v>42122.35119212963</v>
      </c>
      <c r="V495" t="s">
        <v>18</v>
      </c>
      <c r="W495" t="s">
        <v>17</v>
      </c>
      <c r="X495" s="6">
        <v>42115.90828703704</v>
      </c>
      <c r="Y495" t="s">
        <v>122</v>
      </c>
      <c r="AB495" t="s">
        <v>201</v>
      </c>
      <c r="AC495" t="s">
        <v>247</v>
      </c>
      <c r="AD495" t="s">
        <v>220</v>
      </c>
      <c r="AE495" t="s">
        <v>219</v>
      </c>
      <c r="AG495" t="s">
        <v>121</v>
      </c>
      <c r="AH495" t="s">
        <v>64</v>
      </c>
      <c r="AI495" t="s">
        <v>121</v>
      </c>
      <c r="AJ495" t="s">
        <v>716</v>
      </c>
      <c r="AK495" t="s">
        <v>121</v>
      </c>
    </row>
    <row r="496" spans="9:37" x14ac:dyDescent="0.3">
      <c r="I496">
        <f ca="1">IF(OR(INDIRECT(A73&amp;ROW())=B93,INDIRECT(A73&amp;ROW())=B94),1,IF(AND(INDIRECT(A73&amp;ROW())=B95,INDIRECT(A96&amp;ROW())=C93),1,IF(AND(INDIRECT(A73&amp;ROW())=B95,INDIRECT(A96&amp;ROW())=C94),1,0)))</f>
        <v>0</v>
      </c>
      <c r="J496">
        <f ca="1">IF(AND(INDIRECT(A73&amp;ROW())=B95,INDIRECT(A96&amp;ROW())=C95),1,IF(AND(INDIRECT(A73&amp;ROW())=B95,INDIRECT(A96&amp;ROW())=C96),1,0))</f>
        <v>1</v>
      </c>
      <c r="K496">
        <f ca="1">DAYS360(INDIRECT(C68&amp;ROW()),TODAY())</f>
        <v>731</v>
      </c>
      <c r="L496">
        <f ca="1">DAYS360(INDIRECT(C69&amp;ROW()),TODAY())</f>
        <v>731</v>
      </c>
      <c r="M496">
        <f ca="1">HYPERLINK(CONCATENATE("https://bugzilla.houston.hp.com:1181/bugzilla/show_bug.cgi?id=",INDIRECT(C70&amp;ROW())),INDIRECT(C70&amp;ROW()))</f>
        <v>61003</v>
      </c>
      <c r="N496">
        <v>61003</v>
      </c>
      <c r="O496" t="s">
        <v>50</v>
      </c>
      <c r="P496" t="s">
        <v>963</v>
      </c>
      <c r="Q496" t="s">
        <v>25</v>
      </c>
      <c r="R496" t="s">
        <v>783</v>
      </c>
      <c r="S496" t="s">
        <v>552</v>
      </c>
      <c r="U496" s="6">
        <v>42115.913449074076</v>
      </c>
      <c r="V496" t="s">
        <v>18</v>
      </c>
      <c r="W496" t="s">
        <v>17</v>
      </c>
      <c r="X496" s="6">
        <v>42115.913449074076</v>
      </c>
      <c r="Y496" t="s">
        <v>119</v>
      </c>
      <c r="AA496" t="s">
        <v>184</v>
      </c>
      <c r="AB496" t="s">
        <v>201</v>
      </c>
      <c r="AC496" t="s">
        <v>247</v>
      </c>
      <c r="AD496" t="s">
        <v>227</v>
      </c>
      <c r="AE496" t="s">
        <v>370</v>
      </c>
      <c r="AG496" t="s">
        <v>121</v>
      </c>
      <c r="AH496" t="s">
        <v>327</v>
      </c>
      <c r="AI496" t="s">
        <v>121</v>
      </c>
      <c r="AJ496" t="s">
        <v>716</v>
      </c>
      <c r="AK496" t="s">
        <v>121</v>
      </c>
    </row>
    <row r="497" spans="9:37" x14ac:dyDescent="0.3">
      <c r="I497">
        <f ca="1">IF(OR(INDIRECT(A73&amp;ROW())=B93,INDIRECT(A73&amp;ROW())=B94),1,IF(AND(INDIRECT(A73&amp;ROW())=B95,INDIRECT(A96&amp;ROW())=C93),1,IF(AND(INDIRECT(A73&amp;ROW())=B95,INDIRECT(A96&amp;ROW())=C94),1,0)))</f>
        <v>1</v>
      </c>
      <c r="J497">
        <f ca="1">IF(AND(INDIRECT(A73&amp;ROW())=B95,INDIRECT(A96&amp;ROW())=C95),1,IF(AND(INDIRECT(A73&amp;ROW())=B95,INDIRECT(A96&amp;ROW())=C96),1,0))</f>
        <v>0</v>
      </c>
      <c r="K497">
        <f ca="1">DAYS360(INDIRECT(C68&amp;ROW()),TODAY())</f>
        <v>702</v>
      </c>
      <c r="L497">
        <f ca="1">DAYS360(INDIRECT(C69&amp;ROW()),TODAY())</f>
        <v>730</v>
      </c>
      <c r="M497">
        <f ca="1">HYPERLINK(CONCATENATE("https://bugzilla.houston.hp.com:1181/bugzilla/show_bug.cgi?id=",INDIRECT(C70&amp;ROW())),INDIRECT(C70&amp;ROW()))</f>
        <v>61076</v>
      </c>
      <c r="N497">
        <v>61076</v>
      </c>
      <c r="O497" t="s">
        <v>94</v>
      </c>
      <c r="P497" t="s">
        <v>962</v>
      </c>
      <c r="Q497" t="s">
        <v>39</v>
      </c>
      <c r="R497" t="s">
        <v>783</v>
      </c>
      <c r="S497" t="s">
        <v>552</v>
      </c>
      <c r="T497" t="s">
        <v>782</v>
      </c>
      <c r="U497" s="6">
        <v>42144.539004629631</v>
      </c>
      <c r="V497" t="s">
        <v>18</v>
      </c>
      <c r="W497" t="s">
        <v>17</v>
      </c>
      <c r="X497" s="6">
        <v>42116.453148148146</v>
      </c>
      <c r="Y497" t="s">
        <v>119</v>
      </c>
      <c r="AB497" t="s">
        <v>201</v>
      </c>
      <c r="AC497" t="s">
        <v>121</v>
      </c>
      <c r="AD497" t="s">
        <v>227</v>
      </c>
      <c r="AE497" t="s">
        <v>231</v>
      </c>
      <c r="AG497" t="s">
        <v>337</v>
      </c>
      <c r="AH497" t="s">
        <v>64</v>
      </c>
      <c r="AI497" t="s">
        <v>121</v>
      </c>
      <c r="AJ497" t="s">
        <v>715</v>
      </c>
      <c r="AK497" t="s">
        <v>121</v>
      </c>
    </row>
    <row r="498" spans="9:37" x14ac:dyDescent="0.3">
      <c r="I498">
        <f ca="1">IF(OR(INDIRECT(A73&amp;ROW())=B93,INDIRECT(A73&amp;ROW())=B94),1,IF(AND(INDIRECT(A73&amp;ROW())=B95,INDIRECT(A96&amp;ROW())=C93),1,IF(AND(INDIRECT(A73&amp;ROW())=B95,INDIRECT(A96&amp;ROW())=C94),1,0)))</f>
        <v>1</v>
      </c>
      <c r="J498">
        <f ca="1">IF(AND(INDIRECT(A73&amp;ROW())=B95,INDIRECT(A96&amp;ROW())=C95),1,IF(AND(INDIRECT(A73&amp;ROW())=B95,INDIRECT(A96&amp;ROW())=C96),1,0))</f>
        <v>0</v>
      </c>
      <c r="K498">
        <f ca="1">DAYS360(INDIRECT(C68&amp;ROW()),TODAY())</f>
        <v>702</v>
      </c>
      <c r="L498">
        <f ca="1">DAYS360(INDIRECT(C69&amp;ROW()),TODAY())</f>
        <v>730</v>
      </c>
      <c r="M498">
        <f ca="1">HYPERLINK(CONCATENATE("https://bugzilla.houston.hp.com:1181/bugzilla/show_bug.cgi?id=",INDIRECT(C70&amp;ROW())),INDIRECT(C70&amp;ROW()))</f>
        <v>61077</v>
      </c>
      <c r="N498">
        <v>61077</v>
      </c>
      <c r="O498" t="s">
        <v>298</v>
      </c>
      <c r="P498" t="s">
        <v>961</v>
      </c>
      <c r="Q498" t="s">
        <v>39</v>
      </c>
      <c r="R498" t="s">
        <v>783</v>
      </c>
      <c r="S498" t="s">
        <v>552</v>
      </c>
      <c r="U498" s="6">
        <v>42144.523518518516</v>
      </c>
      <c r="V498" t="s">
        <v>18</v>
      </c>
      <c r="W498" t="s">
        <v>17</v>
      </c>
      <c r="X498" s="6">
        <v>42116.453344907408</v>
      </c>
      <c r="Y498" t="s">
        <v>119</v>
      </c>
      <c r="AB498" t="s">
        <v>201</v>
      </c>
      <c r="AC498" t="s">
        <v>247</v>
      </c>
      <c r="AD498" t="s">
        <v>227</v>
      </c>
      <c r="AE498" t="s">
        <v>231</v>
      </c>
      <c r="AG498" t="s">
        <v>337</v>
      </c>
      <c r="AH498" t="s">
        <v>327</v>
      </c>
      <c r="AI498" t="s">
        <v>121</v>
      </c>
      <c r="AJ498" t="s">
        <v>715</v>
      </c>
      <c r="AK498" t="s">
        <v>121</v>
      </c>
    </row>
    <row r="499" spans="9:37" x14ac:dyDescent="0.3">
      <c r="I499">
        <f ca="1">IF(OR(INDIRECT(A73&amp;ROW())=B93,INDIRECT(A73&amp;ROW())=B94),1,IF(AND(INDIRECT(A73&amp;ROW())=B95,INDIRECT(A96&amp;ROW())=C93),1,IF(AND(INDIRECT(A73&amp;ROW())=B95,INDIRECT(A96&amp;ROW())=C94),1,0)))</f>
        <v>1</v>
      </c>
      <c r="J499">
        <f ca="1">IF(AND(INDIRECT(A73&amp;ROW())=B95,INDIRECT(A96&amp;ROW())=C95),1,IF(AND(INDIRECT(A73&amp;ROW())=B95,INDIRECT(A96&amp;ROW())=C96),1,0))</f>
        <v>0</v>
      </c>
      <c r="K499">
        <f ca="1">DAYS360(INDIRECT(C68&amp;ROW()),TODAY())</f>
        <v>691</v>
      </c>
      <c r="L499">
        <f ca="1">DAYS360(INDIRECT(C69&amp;ROW()),TODAY())</f>
        <v>730</v>
      </c>
      <c r="M499">
        <f ca="1">HYPERLINK(CONCATENATE("https://bugzilla.houston.hp.com:1181/bugzilla/show_bug.cgi?id=",INDIRECT(C70&amp;ROW())),INDIRECT(C70&amp;ROW()))</f>
        <v>61079</v>
      </c>
      <c r="N499">
        <v>61079</v>
      </c>
      <c r="O499" t="s">
        <v>241</v>
      </c>
      <c r="P499" t="s">
        <v>960</v>
      </c>
      <c r="Q499" t="s">
        <v>39</v>
      </c>
      <c r="R499" t="s">
        <v>783</v>
      </c>
      <c r="S499" t="s">
        <v>552</v>
      </c>
      <c r="T499" t="s">
        <v>932</v>
      </c>
      <c r="U499" s="6">
        <v>42156.621018518519</v>
      </c>
      <c r="V499" t="s">
        <v>18</v>
      </c>
      <c r="W499" t="s">
        <v>17</v>
      </c>
      <c r="X499" s="6">
        <v>42116.453750000001</v>
      </c>
      <c r="Y499" t="s">
        <v>535</v>
      </c>
      <c r="AB499" t="s">
        <v>201</v>
      </c>
      <c r="AC499" t="s">
        <v>247</v>
      </c>
      <c r="AD499" t="s">
        <v>222</v>
      </c>
      <c r="AE499" t="s">
        <v>221</v>
      </c>
      <c r="AG499" t="s">
        <v>1082</v>
      </c>
      <c r="AH499" t="s">
        <v>327</v>
      </c>
      <c r="AI499" t="s">
        <v>121</v>
      </c>
      <c r="AJ499" t="s">
        <v>715</v>
      </c>
      <c r="AK499" t="s">
        <v>121</v>
      </c>
    </row>
    <row r="500" spans="9:37" x14ac:dyDescent="0.3">
      <c r="I500">
        <f ca="1">IF(OR(INDIRECT(A73&amp;ROW())=B93,INDIRECT(A73&amp;ROW())=B94),1,IF(AND(INDIRECT(A73&amp;ROW())=B95,INDIRECT(A96&amp;ROW())=C93),1,IF(AND(INDIRECT(A73&amp;ROW())=B95,INDIRECT(A96&amp;ROW())=C94),1,0)))</f>
        <v>1</v>
      </c>
      <c r="J500">
        <f ca="1">IF(AND(INDIRECT(A73&amp;ROW())=B95,INDIRECT(A96&amp;ROW())=C95),1,IF(AND(INDIRECT(A73&amp;ROW())=B95,INDIRECT(A96&amp;ROW())=C96),1,0))</f>
        <v>0</v>
      </c>
      <c r="K500">
        <f ca="1">DAYS360(INDIRECT(C68&amp;ROW()),TODAY())</f>
        <v>702</v>
      </c>
      <c r="L500">
        <f ca="1">DAYS360(INDIRECT(C69&amp;ROW()),TODAY())</f>
        <v>730</v>
      </c>
      <c r="M500">
        <f ca="1">HYPERLINK(CONCATENATE("https://bugzilla.houston.hp.com:1181/bugzilla/show_bug.cgi?id=",INDIRECT(C70&amp;ROW())),INDIRECT(C70&amp;ROW()))</f>
        <v>61082</v>
      </c>
      <c r="N500">
        <v>61082</v>
      </c>
      <c r="O500" t="s">
        <v>50</v>
      </c>
      <c r="P500" t="s">
        <v>959</v>
      </c>
      <c r="Q500" t="s">
        <v>25</v>
      </c>
      <c r="R500" t="s">
        <v>783</v>
      </c>
      <c r="S500" t="s">
        <v>552</v>
      </c>
      <c r="T500" t="s">
        <v>782</v>
      </c>
      <c r="U500" s="6">
        <v>42144.538310185184</v>
      </c>
      <c r="V500" t="s">
        <v>18</v>
      </c>
      <c r="W500" t="s">
        <v>17</v>
      </c>
      <c r="X500" s="6">
        <v>42116.454432870371</v>
      </c>
      <c r="Y500" t="s">
        <v>119</v>
      </c>
      <c r="AB500" t="s">
        <v>200</v>
      </c>
      <c r="AC500" t="s">
        <v>121</v>
      </c>
      <c r="AD500" t="s">
        <v>227</v>
      </c>
      <c r="AE500" t="s">
        <v>226</v>
      </c>
      <c r="AG500" t="s">
        <v>337</v>
      </c>
      <c r="AH500" t="s">
        <v>327</v>
      </c>
      <c r="AI500" t="s">
        <v>362</v>
      </c>
      <c r="AJ500" t="s">
        <v>715</v>
      </c>
      <c r="AK500" t="s">
        <v>121</v>
      </c>
    </row>
    <row r="501" spans="9:37" x14ac:dyDescent="0.3">
      <c r="I501">
        <f ca="1">IF(OR(INDIRECT(A73&amp;ROW())=B93,INDIRECT(A73&amp;ROW())=B94),1,IF(AND(INDIRECT(A73&amp;ROW())=B95,INDIRECT(A96&amp;ROW())=C93),1,IF(AND(INDIRECT(A73&amp;ROW())=B95,INDIRECT(A96&amp;ROW())=C94),1,0)))</f>
        <v>1</v>
      </c>
      <c r="J501">
        <f ca="1">IF(AND(INDIRECT(A73&amp;ROW())=B95,INDIRECT(A96&amp;ROW())=C95),1,IF(AND(INDIRECT(A73&amp;ROW())=B95,INDIRECT(A96&amp;ROW())=C96),1,0))</f>
        <v>0</v>
      </c>
      <c r="K501">
        <f ca="1">DAYS360(INDIRECT(C68&amp;ROW()),TODAY())</f>
        <v>688</v>
      </c>
      <c r="L501">
        <f ca="1">DAYS360(INDIRECT(C69&amp;ROW()),TODAY())</f>
        <v>730</v>
      </c>
      <c r="M501">
        <f ca="1">HYPERLINK(CONCATENATE("https://bugzilla.houston.hp.com:1181/bugzilla/show_bug.cgi?id=",INDIRECT(C70&amp;ROW())),INDIRECT(C70&amp;ROW()))</f>
        <v>61083</v>
      </c>
      <c r="N501">
        <v>61083</v>
      </c>
      <c r="O501" t="s">
        <v>66</v>
      </c>
      <c r="P501" t="s">
        <v>958</v>
      </c>
      <c r="Q501" t="s">
        <v>39</v>
      </c>
      <c r="R501" t="s">
        <v>783</v>
      </c>
      <c r="S501" t="s">
        <v>552</v>
      </c>
      <c r="T501" t="s">
        <v>782</v>
      </c>
      <c r="U501" s="6">
        <v>42159.432881944442</v>
      </c>
      <c r="V501" t="s">
        <v>18</v>
      </c>
      <c r="W501" t="s">
        <v>17</v>
      </c>
      <c r="X501" s="6">
        <v>42116.454814814817</v>
      </c>
      <c r="Y501" t="s">
        <v>122</v>
      </c>
      <c r="AB501" t="s">
        <v>201</v>
      </c>
      <c r="AC501" t="s">
        <v>247</v>
      </c>
      <c r="AD501" t="s">
        <v>220</v>
      </c>
      <c r="AE501" t="s">
        <v>219</v>
      </c>
      <c r="AG501" t="s">
        <v>337</v>
      </c>
      <c r="AH501" t="s">
        <v>327</v>
      </c>
      <c r="AI501" t="s">
        <v>121</v>
      </c>
      <c r="AJ501" t="s">
        <v>715</v>
      </c>
      <c r="AK501" t="s">
        <v>121</v>
      </c>
    </row>
    <row r="502" spans="9:37" x14ac:dyDescent="0.3">
      <c r="I502">
        <f ca="1">IF(OR(INDIRECT(A73&amp;ROW())=B93,INDIRECT(A73&amp;ROW())=B94),1,IF(AND(INDIRECT(A73&amp;ROW())=B95,INDIRECT(A96&amp;ROW())=C93),1,IF(AND(INDIRECT(A73&amp;ROW())=B95,INDIRECT(A96&amp;ROW())=C94),1,0)))</f>
        <v>1</v>
      </c>
      <c r="J502">
        <f ca="1">IF(AND(INDIRECT(A73&amp;ROW())=B95,INDIRECT(A96&amp;ROW())=C95),1,IF(AND(INDIRECT(A73&amp;ROW())=B95,INDIRECT(A96&amp;ROW())=C96),1,0))</f>
        <v>0</v>
      </c>
      <c r="K502">
        <f ca="1">DAYS360(INDIRECT(C68&amp;ROW()),TODAY())</f>
        <v>688</v>
      </c>
      <c r="L502">
        <f ca="1">DAYS360(INDIRECT(C69&amp;ROW()),TODAY())</f>
        <v>730</v>
      </c>
      <c r="M502">
        <f ca="1">HYPERLINK(CONCATENATE("https://bugzilla.houston.hp.com:1181/bugzilla/show_bug.cgi?id=",INDIRECT(C70&amp;ROW())),INDIRECT(C70&amp;ROW()))</f>
        <v>61084</v>
      </c>
      <c r="N502">
        <v>61084</v>
      </c>
      <c r="O502" t="s">
        <v>156</v>
      </c>
      <c r="P502" t="s">
        <v>957</v>
      </c>
      <c r="Q502" t="s">
        <v>39</v>
      </c>
      <c r="R502" t="s">
        <v>783</v>
      </c>
      <c r="S502" t="s">
        <v>552</v>
      </c>
      <c r="T502" t="s">
        <v>1072</v>
      </c>
      <c r="U502" s="6">
        <v>42159.43204861111</v>
      </c>
      <c r="V502" t="s">
        <v>40</v>
      </c>
      <c r="W502" t="s">
        <v>17</v>
      </c>
      <c r="X502" s="6">
        <v>42116.455092592594</v>
      </c>
      <c r="Y502" t="s">
        <v>793</v>
      </c>
      <c r="AB502" t="s">
        <v>201</v>
      </c>
      <c r="AC502" t="s">
        <v>247</v>
      </c>
      <c r="AD502" t="s">
        <v>220</v>
      </c>
      <c r="AE502" t="s">
        <v>219</v>
      </c>
      <c r="AG502" t="s">
        <v>337</v>
      </c>
      <c r="AH502" t="s">
        <v>327</v>
      </c>
      <c r="AI502" t="s">
        <v>121</v>
      </c>
      <c r="AJ502" t="s">
        <v>715</v>
      </c>
      <c r="AK502" t="s">
        <v>121</v>
      </c>
    </row>
    <row r="503" spans="9:37" x14ac:dyDescent="0.3">
      <c r="I503">
        <f ca="1">IF(OR(INDIRECT(A73&amp;ROW())=B93,INDIRECT(A73&amp;ROW())=B94),1,IF(AND(INDIRECT(A73&amp;ROW())=B95,INDIRECT(A96&amp;ROW())=C93),1,IF(AND(INDIRECT(A73&amp;ROW())=B95,INDIRECT(A96&amp;ROW())=C94),1,0)))</f>
        <v>1</v>
      </c>
      <c r="J503">
        <f ca="1">IF(AND(INDIRECT(A73&amp;ROW())=B95,INDIRECT(A96&amp;ROW())=C95),1,IF(AND(INDIRECT(A73&amp;ROW())=B95,INDIRECT(A96&amp;ROW())=C96),1,0))</f>
        <v>0</v>
      </c>
      <c r="K503">
        <f ca="1">DAYS360(INDIRECT(C68&amp;ROW()),TODAY())</f>
        <v>688</v>
      </c>
      <c r="L503">
        <f ca="1">DAYS360(INDIRECT(C69&amp;ROW()),TODAY())</f>
        <v>729</v>
      </c>
      <c r="M503">
        <f ca="1">HYPERLINK(CONCATENATE("https://bugzilla.houston.hp.com:1181/bugzilla/show_bug.cgi?id=",INDIRECT(C70&amp;ROW())),INDIRECT(C70&amp;ROW()))</f>
        <v>61184</v>
      </c>
      <c r="N503">
        <v>61184</v>
      </c>
      <c r="O503" t="s">
        <v>177</v>
      </c>
      <c r="P503" t="s">
        <v>1062</v>
      </c>
      <c r="Q503" t="s">
        <v>39</v>
      </c>
      <c r="R503" t="s">
        <v>251</v>
      </c>
      <c r="S503" t="s">
        <v>177</v>
      </c>
      <c r="T503" t="s">
        <v>1058</v>
      </c>
      <c r="U503" s="6">
        <v>42159.563645833332</v>
      </c>
      <c r="V503" t="s">
        <v>18</v>
      </c>
      <c r="W503" t="s">
        <v>783</v>
      </c>
      <c r="X503" s="6">
        <v>42117.455983796295</v>
      </c>
      <c r="Y503" t="s">
        <v>245</v>
      </c>
      <c r="AB503" t="s">
        <v>201</v>
      </c>
      <c r="AC503" t="s">
        <v>247</v>
      </c>
      <c r="AD503" t="s">
        <v>227</v>
      </c>
      <c r="AE503" t="s">
        <v>237</v>
      </c>
      <c r="AG503" t="s">
        <v>121</v>
      </c>
      <c r="AH503" t="s">
        <v>327</v>
      </c>
      <c r="AI503" t="s">
        <v>121</v>
      </c>
      <c r="AJ503" t="s">
        <v>715</v>
      </c>
      <c r="AK503" t="s">
        <v>121</v>
      </c>
    </row>
    <row r="504" spans="9:37" x14ac:dyDescent="0.3">
      <c r="I504">
        <f ca="1">IF(OR(INDIRECT(A73&amp;ROW())=B93,INDIRECT(A73&amp;ROW())=B94),1,IF(AND(INDIRECT(A73&amp;ROW())=B95,INDIRECT(A96&amp;ROW())=C93),1,IF(AND(INDIRECT(A73&amp;ROW())=B95,INDIRECT(A96&amp;ROW())=C94),1,0)))</f>
        <v>0</v>
      </c>
      <c r="J504">
        <f ca="1">IF(AND(INDIRECT(A73&amp;ROW())=B95,INDIRECT(A96&amp;ROW())=C95),1,IF(AND(INDIRECT(A73&amp;ROW())=B95,INDIRECT(A96&amp;ROW())=C96),1,0))</f>
        <v>1</v>
      </c>
      <c r="K504">
        <f ca="1">DAYS360(INDIRECT(C68&amp;ROW()),TODAY())</f>
        <v>728</v>
      </c>
      <c r="L504">
        <f ca="1">DAYS360(INDIRECT(C69&amp;ROW()),TODAY())</f>
        <v>728</v>
      </c>
      <c r="M504">
        <f ca="1">HYPERLINK(CONCATENATE("https://bugzilla.houston.hp.com:1181/bugzilla/show_bug.cgi?id=",INDIRECT(C70&amp;ROW())),INDIRECT(C70&amp;ROW()))</f>
        <v>61236</v>
      </c>
      <c r="N504">
        <v>61236</v>
      </c>
      <c r="O504" t="s">
        <v>66</v>
      </c>
      <c r="P504" t="s">
        <v>956</v>
      </c>
      <c r="Q504" t="s">
        <v>25</v>
      </c>
      <c r="R504" t="s">
        <v>783</v>
      </c>
      <c r="S504" t="s">
        <v>552</v>
      </c>
      <c r="U504" s="6">
        <v>42118.33730324074</v>
      </c>
      <c r="V504" t="s">
        <v>18</v>
      </c>
      <c r="W504" t="s">
        <v>17</v>
      </c>
      <c r="X504" s="6">
        <v>42118.33730324074</v>
      </c>
      <c r="Y504" t="s">
        <v>124</v>
      </c>
      <c r="AB504" t="s">
        <v>201</v>
      </c>
      <c r="AC504" t="s">
        <v>247</v>
      </c>
      <c r="AD504" t="s">
        <v>220</v>
      </c>
      <c r="AE504" t="s">
        <v>219</v>
      </c>
      <c r="AG504" t="s">
        <v>121</v>
      </c>
      <c r="AH504" t="s">
        <v>327</v>
      </c>
      <c r="AI504" t="s">
        <v>121</v>
      </c>
      <c r="AJ504" t="s">
        <v>716</v>
      </c>
      <c r="AK504" t="s">
        <v>121</v>
      </c>
    </row>
    <row r="505" spans="9:37" x14ac:dyDescent="0.3">
      <c r="I505">
        <f ca="1">IF(OR(INDIRECT(A73&amp;ROW())=B93,INDIRECT(A73&amp;ROW())=B94),1,IF(AND(INDIRECT(A73&amp;ROW())=B95,INDIRECT(A96&amp;ROW())=C93),1,IF(AND(INDIRECT(A73&amp;ROW())=B95,INDIRECT(A96&amp;ROW())=C94),1,0)))</f>
        <v>0</v>
      </c>
      <c r="J505">
        <f ca="1">IF(AND(INDIRECT(A73&amp;ROW())=B95,INDIRECT(A96&amp;ROW())=C95),1,IF(AND(INDIRECT(A73&amp;ROW())=B95,INDIRECT(A96&amp;ROW())=C96),1,0))</f>
        <v>1</v>
      </c>
      <c r="K505">
        <f ca="1">DAYS360(INDIRECT(C68&amp;ROW()),TODAY())</f>
        <v>721</v>
      </c>
      <c r="L505">
        <f ca="1">DAYS360(INDIRECT(C69&amp;ROW()),TODAY())</f>
        <v>728</v>
      </c>
      <c r="M505">
        <f ca="1">HYPERLINK(CONCATENATE("https://bugzilla.houston.hp.com:1181/bugzilla/show_bug.cgi?id=",INDIRECT(C70&amp;ROW())),INDIRECT(C70&amp;ROW()))</f>
        <v>61237</v>
      </c>
      <c r="N505">
        <v>61237</v>
      </c>
      <c r="O505" t="s">
        <v>56</v>
      </c>
      <c r="P505" t="s">
        <v>955</v>
      </c>
      <c r="Q505" t="s">
        <v>25</v>
      </c>
      <c r="R505" t="s">
        <v>783</v>
      </c>
      <c r="S505" t="s">
        <v>552</v>
      </c>
      <c r="U505" s="6">
        <v>42125.451805555553</v>
      </c>
      <c r="V505" t="s">
        <v>18</v>
      </c>
      <c r="W505" t="s">
        <v>17</v>
      </c>
      <c r="X505" s="6">
        <v>42118.337488425925</v>
      </c>
      <c r="Y505" t="s">
        <v>122</v>
      </c>
      <c r="AB505" t="s">
        <v>201</v>
      </c>
      <c r="AC505" t="s">
        <v>247</v>
      </c>
      <c r="AD505" t="s">
        <v>220</v>
      </c>
      <c r="AE505" t="s">
        <v>219</v>
      </c>
      <c r="AG505" t="s">
        <v>121</v>
      </c>
      <c r="AH505" t="s">
        <v>327</v>
      </c>
      <c r="AI505" t="s">
        <v>121</v>
      </c>
      <c r="AJ505" t="s">
        <v>716</v>
      </c>
      <c r="AK505" t="s">
        <v>121</v>
      </c>
    </row>
    <row r="506" spans="9:37" x14ac:dyDescent="0.3">
      <c r="I506">
        <f ca="1">IF(OR(INDIRECT(A73&amp;ROW())=B93,INDIRECT(A73&amp;ROW())=B94),1,IF(AND(INDIRECT(A73&amp;ROW())=B95,INDIRECT(A96&amp;ROW())=C93),1,IF(AND(INDIRECT(A73&amp;ROW())=B95,INDIRECT(A96&amp;ROW())=C94),1,0)))</f>
        <v>0</v>
      </c>
      <c r="J506">
        <f ca="1">IF(AND(INDIRECT(A73&amp;ROW())=B95,INDIRECT(A96&amp;ROW())=C95),1,IF(AND(INDIRECT(A73&amp;ROW())=B95,INDIRECT(A96&amp;ROW())=C96),1,0))</f>
        <v>1</v>
      </c>
      <c r="K506">
        <f ca="1">DAYS360(INDIRECT(C68&amp;ROW()),TODAY())</f>
        <v>721</v>
      </c>
      <c r="L506">
        <f ca="1">DAYS360(INDIRECT(C69&amp;ROW()),TODAY())</f>
        <v>728</v>
      </c>
      <c r="M506">
        <f ca="1">HYPERLINK(CONCATENATE("https://bugzilla.houston.hp.com:1181/bugzilla/show_bug.cgi?id=",INDIRECT(C70&amp;ROW())),INDIRECT(C70&amp;ROW()))</f>
        <v>61238</v>
      </c>
      <c r="N506">
        <v>61238</v>
      </c>
      <c r="O506" t="s">
        <v>56</v>
      </c>
      <c r="P506" t="s">
        <v>954</v>
      </c>
      <c r="Q506" t="s">
        <v>25</v>
      </c>
      <c r="R506" t="s">
        <v>783</v>
      </c>
      <c r="S506" t="s">
        <v>552</v>
      </c>
      <c r="U506" s="6">
        <v>42125.451863425929</v>
      </c>
      <c r="V506" t="s">
        <v>18</v>
      </c>
      <c r="W506" t="s">
        <v>17</v>
      </c>
      <c r="X506" s="6">
        <v>42118.337650462963</v>
      </c>
      <c r="Y506" t="s">
        <v>122</v>
      </c>
      <c r="AB506" t="s">
        <v>201</v>
      </c>
      <c r="AC506" t="s">
        <v>247</v>
      </c>
      <c r="AD506" t="s">
        <v>220</v>
      </c>
      <c r="AE506" t="s">
        <v>219</v>
      </c>
      <c r="AG506" t="s">
        <v>121</v>
      </c>
      <c r="AH506" t="s">
        <v>327</v>
      </c>
      <c r="AI506" t="s">
        <v>121</v>
      </c>
      <c r="AJ506" t="s">
        <v>716</v>
      </c>
      <c r="AK506" t="s">
        <v>121</v>
      </c>
    </row>
    <row r="507" spans="9:37" x14ac:dyDescent="0.3">
      <c r="I507">
        <f ca="1">IF(OR(INDIRECT(A73&amp;ROW())=B93,INDIRECT(A73&amp;ROW())=B94),1,IF(AND(INDIRECT(A73&amp;ROW())=B95,INDIRECT(A96&amp;ROW())=C93),1,IF(AND(INDIRECT(A73&amp;ROW())=B95,INDIRECT(A96&amp;ROW())=C94),1,0)))</f>
        <v>0</v>
      </c>
      <c r="J507">
        <f ca="1">IF(AND(INDIRECT(A73&amp;ROW())=B95,INDIRECT(A96&amp;ROW())=C95),1,IF(AND(INDIRECT(A73&amp;ROW())=B95,INDIRECT(A96&amp;ROW())=C96),1,0))</f>
        <v>1</v>
      </c>
      <c r="K507">
        <f ca="1">DAYS360(INDIRECT(C68&amp;ROW()),TODAY())</f>
        <v>721</v>
      </c>
      <c r="L507">
        <f ca="1">DAYS360(INDIRECT(C69&amp;ROW()),TODAY())</f>
        <v>728</v>
      </c>
      <c r="M507">
        <f ca="1">HYPERLINK(CONCATENATE("https://bugzilla.houston.hp.com:1181/bugzilla/show_bug.cgi?id=",INDIRECT(C70&amp;ROW())),INDIRECT(C70&amp;ROW()))</f>
        <v>61239</v>
      </c>
      <c r="N507">
        <v>61239</v>
      </c>
      <c r="O507" t="s">
        <v>56</v>
      </c>
      <c r="P507" t="s">
        <v>953</v>
      </c>
      <c r="Q507" t="s">
        <v>25</v>
      </c>
      <c r="R507" t="s">
        <v>783</v>
      </c>
      <c r="S507" t="s">
        <v>552</v>
      </c>
      <c r="U507" s="6">
        <v>42125.452974537038</v>
      </c>
      <c r="V507" t="s">
        <v>18</v>
      </c>
      <c r="W507" t="s">
        <v>17</v>
      </c>
      <c r="X507" s="6">
        <v>42118.337824074071</v>
      </c>
      <c r="Y507" t="s">
        <v>122</v>
      </c>
      <c r="AB507" t="s">
        <v>201</v>
      </c>
      <c r="AC507" t="s">
        <v>247</v>
      </c>
      <c r="AD507" t="s">
        <v>220</v>
      </c>
      <c r="AE507" t="s">
        <v>219</v>
      </c>
      <c r="AG507" t="s">
        <v>121</v>
      </c>
      <c r="AH507" t="s">
        <v>327</v>
      </c>
      <c r="AI507" t="s">
        <v>121</v>
      </c>
      <c r="AJ507" t="s">
        <v>716</v>
      </c>
      <c r="AK507" t="s">
        <v>121</v>
      </c>
    </row>
    <row r="508" spans="9:37" x14ac:dyDescent="0.3">
      <c r="I508">
        <f ca="1">IF(OR(INDIRECT(A73&amp;ROW())=B93,INDIRECT(A73&amp;ROW())=B94),1,IF(AND(INDIRECT(A73&amp;ROW())=B95,INDIRECT(A96&amp;ROW())=C93),1,IF(AND(INDIRECT(A73&amp;ROW())=B95,INDIRECT(A96&amp;ROW())=C94),1,0)))</f>
        <v>0</v>
      </c>
      <c r="J508">
        <f ca="1">IF(AND(INDIRECT(A73&amp;ROW())=B95,INDIRECT(A96&amp;ROW())=C95),1,IF(AND(INDIRECT(A73&amp;ROW())=B95,INDIRECT(A96&amp;ROW())=C96),1,0))</f>
        <v>1</v>
      </c>
      <c r="K508">
        <f ca="1">DAYS360(INDIRECT(C68&amp;ROW()),TODAY())</f>
        <v>721</v>
      </c>
      <c r="L508">
        <f ca="1">DAYS360(INDIRECT(C69&amp;ROW()),TODAY())</f>
        <v>728</v>
      </c>
      <c r="M508">
        <f ca="1">HYPERLINK(CONCATENATE("https://bugzilla.houston.hp.com:1181/bugzilla/show_bug.cgi?id=",INDIRECT(C70&amp;ROW())),INDIRECT(C70&amp;ROW()))</f>
        <v>61240</v>
      </c>
      <c r="N508">
        <v>61240</v>
      </c>
      <c r="O508" t="s">
        <v>56</v>
      </c>
      <c r="P508" t="s">
        <v>952</v>
      </c>
      <c r="Q508" t="s">
        <v>25</v>
      </c>
      <c r="R508" t="s">
        <v>783</v>
      </c>
      <c r="S508" t="s">
        <v>552</v>
      </c>
      <c r="U508" s="6">
        <v>42125.452939814815</v>
      </c>
      <c r="V508" t="s">
        <v>18</v>
      </c>
      <c r="W508" t="s">
        <v>17</v>
      </c>
      <c r="X508" s="6">
        <v>42118.33797453704</v>
      </c>
      <c r="Y508" t="s">
        <v>122</v>
      </c>
      <c r="AB508" t="s">
        <v>201</v>
      </c>
      <c r="AC508" t="s">
        <v>247</v>
      </c>
      <c r="AD508" t="s">
        <v>220</v>
      </c>
      <c r="AE508" t="s">
        <v>219</v>
      </c>
      <c r="AG508" t="s">
        <v>121</v>
      </c>
      <c r="AH508" t="s">
        <v>327</v>
      </c>
      <c r="AI508" t="s">
        <v>121</v>
      </c>
      <c r="AJ508" t="s">
        <v>716</v>
      </c>
      <c r="AK508" t="s">
        <v>121</v>
      </c>
    </row>
    <row r="509" spans="9:37" x14ac:dyDescent="0.3">
      <c r="I509">
        <f ca="1">IF(OR(INDIRECT(A73&amp;ROW())=B93,INDIRECT(A73&amp;ROW())=B94),1,IF(AND(INDIRECT(A73&amp;ROW())=B95,INDIRECT(A96&amp;ROW())=C93),1,IF(AND(INDIRECT(A73&amp;ROW())=B95,INDIRECT(A96&amp;ROW())=C94),1,0)))</f>
        <v>0</v>
      </c>
      <c r="J509">
        <f ca="1">IF(AND(INDIRECT(A73&amp;ROW())=B95,INDIRECT(A96&amp;ROW())=C95),1,IF(AND(INDIRECT(A73&amp;ROW())=B95,INDIRECT(A96&amp;ROW())=C96),1,0))</f>
        <v>1</v>
      </c>
      <c r="K509">
        <f ca="1">DAYS360(INDIRECT(C68&amp;ROW()),TODAY())</f>
        <v>728</v>
      </c>
      <c r="L509">
        <f ca="1">DAYS360(INDIRECT(C69&amp;ROW()),TODAY())</f>
        <v>728</v>
      </c>
      <c r="M509">
        <f ca="1">HYPERLINK(CONCATENATE("https://bugzilla.houston.hp.com:1181/bugzilla/show_bug.cgi?id=",INDIRECT(C70&amp;ROW())),INDIRECT(C70&amp;ROW()))</f>
        <v>61241</v>
      </c>
      <c r="N509">
        <v>61241</v>
      </c>
      <c r="O509" t="s">
        <v>56</v>
      </c>
      <c r="P509" t="s">
        <v>951</v>
      </c>
      <c r="Q509" t="s">
        <v>25</v>
      </c>
      <c r="R509" t="s">
        <v>783</v>
      </c>
      <c r="S509" t="s">
        <v>552</v>
      </c>
      <c r="U509" s="6">
        <v>42118.338229166664</v>
      </c>
      <c r="V509" t="s">
        <v>18</v>
      </c>
      <c r="W509" t="s">
        <v>17</v>
      </c>
      <c r="X509" s="6">
        <v>42118.338229166664</v>
      </c>
      <c r="Y509" t="s">
        <v>788</v>
      </c>
      <c r="AB509" t="s">
        <v>201</v>
      </c>
      <c r="AC509" t="s">
        <v>247</v>
      </c>
      <c r="AD509" t="s">
        <v>220</v>
      </c>
      <c r="AE509" t="s">
        <v>219</v>
      </c>
      <c r="AG509" t="s">
        <v>121</v>
      </c>
      <c r="AH509" t="s">
        <v>327</v>
      </c>
      <c r="AI509" t="s">
        <v>121</v>
      </c>
      <c r="AJ509" t="s">
        <v>716</v>
      </c>
      <c r="AK509" t="s">
        <v>121</v>
      </c>
    </row>
    <row r="510" spans="9:37" x14ac:dyDescent="0.3">
      <c r="I510">
        <f ca="1">IF(OR(INDIRECT(A73&amp;ROW())=B93,INDIRECT(A73&amp;ROW())=B94),1,IF(AND(INDIRECT(A73&amp;ROW())=B95,INDIRECT(A96&amp;ROW())=C93),1,IF(AND(INDIRECT(A73&amp;ROW())=B95,INDIRECT(A96&amp;ROW())=C94),1,0)))</f>
        <v>0</v>
      </c>
      <c r="J510">
        <f ca="1">IF(AND(INDIRECT(A73&amp;ROW())=B95,INDIRECT(A96&amp;ROW())=C95),1,IF(AND(INDIRECT(A73&amp;ROW())=B95,INDIRECT(A96&amp;ROW())=C96),1,0))</f>
        <v>1</v>
      </c>
      <c r="K510">
        <f ca="1">DAYS360(INDIRECT(C68&amp;ROW()),TODAY())</f>
        <v>721</v>
      </c>
      <c r="L510">
        <f ca="1">DAYS360(INDIRECT(C69&amp;ROW()),TODAY())</f>
        <v>728</v>
      </c>
      <c r="M510">
        <f ca="1">HYPERLINK(CONCATENATE("https://bugzilla.houston.hp.com:1181/bugzilla/show_bug.cgi?id=",INDIRECT(C70&amp;ROW())),INDIRECT(C70&amp;ROW()))</f>
        <v>61242</v>
      </c>
      <c r="N510">
        <v>61242</v>
      </c>
      <c r="O510" t="s">
        <v>56</v>
      </c>
      <c r="P510" t="s">
        <v>950</v>
      </c>
      <c r="Q510" t="s">
        <v>25</v>
      </c>
      <c r="R510" t="s">
        <v>783</v>
      </c>
      <c r="S510" t="s">
        <v>552</v>
      </c>
      <c r="U510" s="6">
        <v>42125.45175925926</v>
      </c>
      <c r="V510" t="s">
        <v>18</v>
      </c>
      <c r="W510" t="s">
        <v>17</v>
      </c>
      <c r="X510" s="6">
        <v>42118.338460648149</v>
      </c>
      <c r="Y510" t="s">
        <v>122</v>
      </c>
      <c r="AB510" t="s">
        <v>201</v>
      </c>
      <c r="AC510" t="s">
        <v>247</v>
      </c>
      <c r="AD510" t="s">
        <v>220</v>
      </c>
      <c r="AE510" t="s">
        <v>219</v>
      </c>
      <c r="AG510" t="s">
        <v>121</v>
      </c>
      <c r="AH510" t="s">
        <v>327</v>
      </c>
      <c r="AI510" t="s">
        <v>121</v>
      </c>
      <c r="AJ510" t="s">
        <v>716</v>
      </c>
      <c r="AK510" t="s">
        <v>121</v>
      </c>
    </row>
    <row r="511" spans="9:37" x14ac:dyDescent="0.3">
      <c r="I511">
        <f ca="1">IF(OR(INDIRECT(A73&amp;ROW())=B93,INDIRECT(A73&amp;ROW())=B94),1,IF(AND(INDIRECT(A73&amp;ROW())=B95,INDIRECT(A96&amp;ROW())=C93),1,IF(AND(INDIRECT(A73&amp;ROW())=B95,INDIRECT(A96&amp;ROW())=C94),1,0)))</f>
        <v>0</v>
      </c>
      <c r="J511">
        <f ca="1">IF(AND(INDIRECT(A73&amp;ROW())=B95,INDIRECT(A96&amp;ROW())=C95),1,IF(AND(INDIRECT(A73&amp;ROW())=B95,INDIRECT(A96&amp;ROW())=C96),1,0))</f>
        <v>1</v>
      </c>
      <c r="K511">
        <f ca="1">DAYS360(INDIRECT(C68&amp;ROW()),TODAY())</f>
        <v>728</v>
      </c>
      <c r="L511">
        <f ca="1">DAYS360(INDIRECT(C69&amp;ROW()),TODAY())</f>
        <v>728</v>
      </c>
      <c r="M511">
        <f ca="1">HYPERLINK(CONCATENATE("https://bugzilla.houston.hp.com:1181/bugzilla/show_bug.cgi?id=",INDIRECT(C70&amp;ROW())),INDIRECT(C70&amp;ROW()))</f>
        <v>61243</v>
      </c>
      <c r="N511">
        <v>61243</v>
      </c>
      <c r="O511" t="s">
        <v>53</v>
      </c>
      <c r="P511" t="s">
        <v>949</v>
      </c>
      <c r="Q511" t="s">
        <v>25</v>
      </c>
      <c r="R511" t="s">
        <v>783</v>
      </c>
      <c r="S511" t="s">
        <v>552</v>
      </c>
      <c r="U511" s="6">
        <v>42118.33866898148</v>
      </c>
      <c r="V511" t="s">
        <v>18</v>
      </c>
      <c r="W511" t="s">
        <v>17</v>
      </c>
      <c r="X511" s="6">
        <v>42118.33866898148</v>
      </c>
      <c r="Y511" t="s">
        <v>119</v>
      </c>
      <c r="AB511" t="s">
        <v>201</v>
      </c>
      <c r="AC511" t="s">
        <v>121</v>
      </c>
      <c r="AD511" t="s">
        <v>220</v>
      </c>
      <c r="AE511" t="s">
        <v>219</v>
      </c>
      <c r="AG511" t="s">
        <v>121</v>
      </c>
      <c r="AH511" t="s">
        <v>327</v>
      </c>
      <c r="AI511" t="s">
        <v>121</v>
      </c>
      <c r="AJ511" t="s">
        <v>716</v>
      </c>
      <c r="AK511" t="s">
        <v>121</v>
      </c>
    </row>
    <row r="512" spans="9:37" x14ac:dyDescent="0.3">
      <c r="I512">
        <f ca="1">IF(OR(INDIRECT(A73&amp;ROW())=B93,INDIRECT(A73&amp;ROW())=B94),1,IF(AND(INDIRECT(A73&amp;ROW())=B95,INDIRECT(A96&amp;ROW())=C93),1,IF(AND(INDIRECT(A73&amp;ROW())=B95,INDIRECT(A96&amp;ROW())=C94),1,0)))</f>
        <v>0</v>
      </c>
      <c r="J512">
        <f ca="1">IF(AND(INDIRECT(A73&amp;ROW())=B95,INDIRECT(A96&amp;ROW())=C95),1,IF(AND(INDIRECT(A73&amp;ROW())=B95,INDIRECT(A96&amp;ROW())=C96),1,0))</f>
        <v>1</v>
      </c>
      <c r="K512">
        <f ca="1">DAYS360(INDIRECT(C68&amp;ROW()),TODAY())</f>
        <v>721</v>
      </c>
      <c r="L512">
        <f ca="1">DAYS360(INDIRECT(C69&amp;ROW()),TODAY())</f>
        <v>728</v>
      </c>
      <c r="M512">
        <f ca="1">HYPERLINK(CONCATENATE("https://bugzilla.houston.hp.com:1181/bugzilla/show_bug.cgi?id=",INDIRECT(C70&amp;ROW())),INDIRECT(C70&amp;ROW()))</f>
        <v>61244</v>
      </c>
      <c r="N512">
        <v>61244</v>
      </c>
      <c r="O512" t="s">
        <v>53</v>
      </c>
      <c r="P512" t="s">
        <v>948</v>
      </c>
      <c r="Q512" t="s">
        <v>25</v>
      </c>
      <c r="R512" t="s">
        <v>783</v>
      </c>
      <c r="S512" t="s">
        <v>552</v>
      </c>
      <c r="U512" s="6">
        <v>42125.45071759259</v>
      </c>
      <c r="V512" t="s">
        <v>18</v>
      </c>
      <c r="W512" t="s">
        <v>17</v>
      </c>
      <c r="X512" s="6">
        <v>42118.338923611111</v>
      </c>
      <c r="Y512" t="s">
        <v>122</v>
      </c>
      <c r="AB512" t="s">
        <v>201</v>
      </c>
      <c r="AC512" t="s">
        <v>247</v>
      </c>
      <c r="AD512" t="s">
        <v>220</v>
      </c>
      <c r="AE512" t="s">
        <v>219</v>
      </c>
      <c r="AG512" t="s">
        <v>121</v>
      </c>
      <c r="AH512" t="s">
        <v>327</v>
      </c>
      <c r="AI512" t="s">
        <v>121</v>
      </c>
      <c r="AJ512" t="s">
        <v>716</v>
      </c>
      <c r="AK512" t="s">
        <v>121</v>
      </c>
    </row>
    <row r="513" spans="9:37" x14ac:dyDescent="0.3">
      <c r="I513">
        <f ca="1">IF(OR(INDIRECT(A73&amp;ROW())=B93,INDIRECT(A73&amp;ROW())=B94),1,IF(AND(INDIRECT(A73&amp;ROW())=B95,INDIRECT(A96&amp;ROW())=C93),1,IF(AND(INDIRECT(A73&amp;ROW())=B95,INDIRECT(A96&amp;ROW())=C94),1,0)))</f>
        <v>0</v>
      </c>
      <c r="J513">
        <f ca="1">IF(AND(INDIRECT(A73&amp;ROW())=B95,INDIRECT(A96&amp;ROW())=C95),1,IF(AND(INDIRECT(A73&amp;ROW())=B95,INDIRECT(A96&amp;ROW())=C96),1,0))</f>
        <v>1</v>
      </c>
      <c r="K513">
        <f ca="1">DAYS360(INDIRECT(C68&amp;ROW()),TODAY())</f>
        <v>728</v>
      </c>
      <c r="L513">
        <f ca="1">DAYS360(INDIRECT(C69&amp;ROW()),TODAY())</f>
        <v>728</v>
      </c>
      <c r="M513">
        <f ca="1">HYPERLINK(CONCATENATE("https://bugzilla.houston.hp.com:1181/bugzilla/show_bug.cgi?id=",INDIRECT(C70&amp;ROW())),INDIRECT(C70&amp;ROW()))</f>
        <v>61245</v>
      </c>
      <c r="N513">
        <v>61245</v>
      </c>
      <c r="O513" t="s">
        <v>66</v>
      </c>
      <c r="P513" t="s">
        <v>947</v>
      </c>
      <c r="Q513" t="s">
        <v>25</v>
      </c>
      <c r="R513" t="s">
        <v>783</v>
      </c>
      <c r="S513" t="s">
        <v>552</v>
      </c>
      <c r="U513" s="6">
        <v>42118.339166666665</v>
      </c>
      <c r="V513" t="s">
        <v>18</v>
      </c>
      <c r="W513" t="s">
        <v>17</v>
      </c>
      <c r="X513" s="6">
        <v>42118.339166666665</v>
      </c>
      <c r="Y513" t="s">
        <v>119</v>
      </c>
      <c r="AB513" t="s">
        <v>201</v>
      </c>
      <c r="AC513" t="s">
        <v>121</v>
      </c>
      <c r="AD513" t="s">
        <v>220</v>
      </c>
      <c r="AE513" t="s">
        <v>219</v>
      </c>
      <c r="AF513" s="13">
        <v>41901</v>
      </c>
      <c r="AG513" t="s">
        <v>121</v>
      </c>
      <c r="AH513" t="s">
        <v>327</v>
      </c>
      <c r="AI513" t="s">
        <v>121</v>
      </c>
      <c r="AJ513" t="s">
        <v>716</v>
      </c>
      <c r="AK513" t="s">
        <v>121</v>
      </c>
    </row>
    <row r="514" spans="9:37" x14ac:dyDescent="0.3">
      <c r="I514">
        <f ca="1">IF(OR(INDIRECT(A73&amp;ROW())=B93,INDIRECT(A73&amp;ROW())=B94),1,IF(AND(INDIRECT(A73&amp;ROW())=B95,INDIRECT(A96&amp;ROW())=C93),1,IF(AND(INDIRECT(A73&amp;ROW())=B95,INDIRECT(A96&amp;ROW())=C94),1,0)))</f>
        <v>1</v>
      </c>
      <c r="J514">
        <f ca="1">IF(AND(INDIRECT(A73&amp;ROW())=B95,INDIRECT(A96&amp;ROW())=C95),1,IF(AND(INDIRECT(A73&amp;ROW())=B95,INDIRECT(A96&amp;ROW())=C96),1,0))</f>
        <v>0</v>
      </c>
      <c r="K514">
        <f ca="1">DAYS360(INDIRECT(C68&amp;ROW()),TODAY())</f>
        <v>691</v>
      </c>
      <c r="L514">
        <f ca="1">DAYS360(INDIRECT(C69&amp;ROW()),TODAY())</f>
        <v>728</v>
      </c>
      <c r="M514">
        <f ca="1">HYPERLINK(CONCATENATE("https://bugzilla.houston.hp.com:1181/bugzilla/show_bug.cgi?id=",INDIRECT(C70&amp;ROW())),INDIRECT(C70&amp;ROW()))</f>
        <v>61246</v>
      </c>
      <c r="N514">
        <v>61246</v>
      </c>
      <c r="O514" t="s">
        <v>53</v>
      </c>
      <c r="P514" t="s">
        <v>946</v>
      </c>
      <c r="Q514" t="s">
        <v>39</v>
      </c>
      <c r="R514" t="s">
        <v>783</v>
      </c>
      <c r="S514" t="s">
        <v>552</v>
      </c>
      <c r="U514" s="6">
        <v>42156.614560185182</v>
      </c>
      <c r="V514" t="s">
        <v>18</v>
      </c>
      <c r="W514" t="s">
        <v>17</v>
      </c>
      <c r="X514" s="6">
        <v>42118.339432870373</v>
      </c>
      <c r="Y514" t="s">
        <v>119</v>
      </c>
      <c r="AB514" t="s">
        <v>201</v>
      </c>
      <c r="AC514" t="s">
        <v>247</v>
      </c>
      <c r="AD514" t="s">
        <v>220</v>
      </c>
      <c r="AE514" t="s">
        <v>219</v>
      </c>
      <c r="AG514" t="s">
        <v>337</v>
      </c>
      <c r="AH514" t="s">
        <v>64</v>
      </c>
      <c r="AI514" t="s">
        <v>121</v>
      </c>
      <c r="AJ514" t="s">
        <v>715</v>
      </c>
      <c r="AK514" t="s">
        <v>121</v>
      </c>
    </row>
    <row r="515" spans="9:37" x14ac:dyDescent="0.3">
      <c r="I515">
        <f ca="1">IF(OR(INDIRECT(A73&amp;ROW())=B93,INDIRECT(A73&amp;ROW())=B94),1,IF(AND(INDIRECT(A73&amp;ROW())=B95,INDIRECT(A96&amp;ROW())=C93),1,IF(AND(INDIRECT(A73&amp;ROW())=B95,INDIRECT(A96&amp;ROW())=C94),1,0)))</f>
        <v>0</v>
      </c>
      <c r="J515">
        <f ca="1">IF(AND(INDIRECT(A73&amp;ROW())=B95,INDIRECT(A96&amp;ROW())=C95),1,IF(AND(INDIRECT(A73&amp;ROW())=B95,INDIRECT(A96&amp;ROW())=C96),1,0))</f>
        <v>1</v>
      </c>
      <c r="K515">
        <f ca="1">DAYS360(INDIRECT(C68&amp;ROW()),TODAY())</f>
        <v>690</v>
      </c>
      <c r="L515">
        <f ca="1">DAYS360(INDIRECT(C69&amp;ROW()),TODAY())</f>
        <v>728</v>
      </c>
      <c r="M515">
        <f ca="1">HYPERLINK(CONCATENATE("https://bugzilla.houston.hp.com:1181/bugzilla/show_bug.cgi?id=",INDIRECT(C70&amp;ROW())),INDIRECT(C70&amp;ROW()))</f>
        <v>61247</v>
      </c>
      <c r="N515">
        <v>61247</v>
      </c>
      <c r="O515" t="s">
        <v>204</v>
      </c>
      <c r="P515" t="s">
        <v>945</v>
      </c>
      <c r="Q515" t="s">
        <v>25</v>
      </c>
      <c r="R515" t="s">
        <v>783</v>
      </c>
      <c r="S515" t="s">
        <v>552</v>
      </c>
      <c r="U515" s="6">
        <v>42157.095208333332</v>
      </c>
      <c r="V515" t="s">
        <v>18</v>
      </c>
      <c r="W515" t="s">
        <v>17</v>
      </c>
      <c r="X515" s="6">
        <v>42118.33965277778</v>
      </c>
      <c r="Y515" t="s">
        <v>119</v>
      </c>
      <c r="AB515" t="s">
        <v>201</v>
      </c>
      <c r="AC515" t="s">
        <v>121</v>
      </c>
      <c r="AD515" t="s">
        <v>220</v>
      </c>
      <c r="AE515" t="s">
        <v>223</v>
      </c>
      <c r="AG515" t="s">
        <v>121</v>
      </c>
      <c r="AH515" t="s">
        <v>327</v>
      </c>
      <c r="AI515" t="s">
        <v>121</v>
      </c>
      <c r="AJ515" t="s">
        <v>716</v>
      </c>
      <c r="AK515" t="s">
        <v>121</v>
      </c>
    </row>
    <row r="516" spans="9:37" x14ac:dyDescent="0.3">
      <c r="I516">
        <f ca="1">IF(OR(INDIRECT(A73&amp;ROW())=B93,INDIRECT(A73&amp;ROW())=B94),1,IF(AND(INDIRECT(A73&amp;ROW())=B95,INDIRECT(A96&amp;ROW())=C93),1,IF(AND(INDIRECT(A73&amp;ROW())=B95,INDIRECT(A96&amp;ROW())=C94),1,0)))</f>
        <v>0</v>
      </c>
      <c r="J516">
        <f ca="1">IF(AND(INDIRECT(A73&amp;ROW())=B95,INDIRECT(A96&amp;ROW())=C95),1,IF(AND(INDIRECT(A73&amp;ROW())=B95,INDIRECT(A96&amp;ROW())=C96),1,0))</f>
        <v>1</v>
      </c>
      <c r="K516">
        <f ca="1">DAYS360(INDIRECT(C68&amp;ROW()),TODAY())</f>
        <v>721</v>
      </c>
      <c r="L516">
        <f ca="1">DAYS360(INDIRECT(C69&amp;ROW()),TODAY())</f>
        <v>728</v>
      </c>
      <c r="M516">
        <f ca="1">HYPERLINK(CONCATENATE("https://bugzilla.houston.hp.com:1181/bugzilla/show_bug.cgi?id=",INDIRECT(C70&amp;ROW())),INDIRECT(C70&amp;ROW()))</f>
        <v>61248</v>
      </c>
      <c r="N516">
        <v>61248</v>
      </c>
      <c r="O516" t="s">
        <v>56</v>
      </c>
      <c r="P516" t="s">
        <v>944</v>
      </c>
      <c r="Q516" t="s">
        <v>25</v>
      </c>
      <c r="R516" t="s">
        <v>783</v>
      </c>
      <c r="S516" t="s">
        <v>552</v>
      </c>
      <c r="U516" s="6">
        <v>42125.448645833334</v>
      </c>
      <c r="V516" t="s">
        <v>18</v>
      </c>
      <c r="W516" t="s">
        <v>17</v>
      </c>
      <c r="X516" s="6">
        <v>42118.339907407404</v>
      </c>
      <c r="Y516" t="s">
        <v>122</v>
      </c>
      <c r="AB516" t="s">
        <v>201</v>
      </c>
      <c r="AC516" t="s">
        <v>247</v>
      </c>
      <c r="AD516" t="s">
        <v>220</v>
      </c>
      <c r="AE516" t="s">
        <v>219</v>
      </c>
      <c r="AG516" t="s">
        <v>121</v>
      </c>
      <c r="AH516" t="s">
        <v>327</v>
      </c>
      <c r="AI516" t="s">
        <v>121</v>
      </c>
      <c r="AJ516" t="s">
        <v>716</v>
      </c>
      <c r="AK516" t="s">
        <v>121</v>
      </c>
    </row>
    <row r="517" spans="9:37" x14ac:dyDescent="0.3">
      <c r="I517">
        <f ca="1">IF(OR(INDIRECT(A73&amp;ROW())=B93,INDIRECT(A73&amp;ROW())=B94),1,IF(AND(INDIRECT(A73&amp;ROW())=B95,INDIRECT(A96&amp;ROW())=C93),1,IF(AND(INDIRECT(A73&amp;ROW())=B95,INDIRECT(A96&amp;ROW())=C94),1,0)))</f>
        <v>0</v>
      </c>
      <c r="J517">
        <f ca="1">IF(AND(INDIRECT(A73&amp;ROW())=B95,INDIRECT(A96&amp;ROW())=C95),1,IF(AND(INDIRECT(A73&amp;ROW())=B95,INDIRECT(A96&amp;ROW())=C96),1,0))</f>
        <v>1</v>
      </c>
      <c r="K517">
        <f ca="1">DAYS360(INDIRECT(C68&amp;ROW()),TODAY())</f>
        <v>721</v>
      </c>
      <c r="L517">
        <f ca="1">DAYS360(INDIRECT(C69&amp;ROW()),TODAY())</f>
        <v>728</v>
      </c>
      <c r="M517">
        <f ca="1">HYPERLINK(CONCATENATE("https://bugzilla.houston.hp.com:1181/bugzilla/show_bug.cgi?id=",INDIRECT(C70&amp;ROW())),INDIRECT(C70&amp;ROW()))</f>
        <v>61252</v>
      </c>
      <c r="N517">
        <v>61252</v>
      </c>
      <c r="O517" t="s">
        <v>66</v>
      </c>
      <c r="P517" t="s">
        <v>943</v>
      </c>
      <c r="Q517" t="s">
        <v>25</v>
      </c>
      <c r="R517" t="s">
        <v>783</v>
      </c>
      <c r="S517" t="s">
        <v>552</v>
      </c>
      <c r="U517" s="6">
        <v>42125.449594907404</v>
      </c>
      <c r="V517" t="s">
        <v>18</v>
      </c>
      <c r="W517" t="s">
        <v>17</v>
      </c>
      <c r="X517" s="6">
        <v>42118.341203703705</v>
      </c>
      <c r="Y517" t="s">
        <v>122</v>
      </c>
      <c r="AB517" t="s">
        <v>201</v>
      </c>
      <c r="AC517" t="s">
        <v>247</v>
      </c>
      <c r="AD517" t="s">
        <v>220</v>
      </c>
      <c r="AE517" t="s">
        <v>219</v>
      </c>
      <c r="AG517" t="s">
        <v>121</v>
      </c>
      <c r="AH517" t="s">
        <v>327</v>
      </c>
      <c r="AI517" t="s">
        <v>121</v>
      </c>
      <c r="AJ517" t="s">
        <v>716</v>
      </c>
      <c r="AK517" t="s">
        <v>121</v>
      </c>
    </row>
    <row r="518" spans="9:37" x14ac:dyDescent="0.3">
      <c r="I518">
        <f ca="1">IF(OR(INDIRECT(A73&amp;ROW())=B93,INDIRECT(A73&amp;ROW())=B94),1,IF(AND(INDIRECT(A73&amp;ROW())=B95,INDIRECT(A96&amp;ROW())=C93),1,IF(AND(INDIRECT(A73&amp;ROW())=B95,INDIRECT(A96&amp;ROW())=C94),1,0)))</f>
        <v>0</v>
      </c>
      <c r="J518">
        <f ca="1">IF(AND(INDIRECT(A73&amp;ROW())=B95,INDIRECT(A96&amp;ROW())=C95),1,IF(AND(INDIRECT(A73&amp;ROW())=B95,INDIRECT(A96&amp;ROW())=C96),1,0))</f>
        <v>1</v>
      </c>
      <c r="K518">
        <f ca="1">DAYS360(INDIRECT(C68&amp;ROW()),TODAY())</f>
        <v>728</v>
      </c>
      <c r="L518">
        <f ca="1">DAYS360(INDIRECT(C69&amp;ROW()),TODAY())</f>
        <v>728</v>
      </c>
      <c r="M518">
        <f ca="1">HYPERLINK(CONCATENATE("https://bugzilla.houston.hp.com:1181/bugzilla/show_bug.cgi?id=",INDIRECT(C70&amp;ROW())),INDIRECT(C70&amp;ROW()))</f>
        <v>61253</v>
      </c>
      <c r="N518">
        <v>61253</v>
      </c>
      <c r="O518" t="s">
        <v>52</v>
      </c>
      <c r="P518" t="s">
        <v>942</v>
      </c>
      <c r="Q518" t="s">
        <v>25</v>
      </c>
      <c r="R518" t="s">
        <v>783</v>
      </c>
      <c r="S518" t="s">
        <v>552</v>
      </c>
      <c r="T518" t="s">
        <v>48</v>
      </c>
      <c r="U518" s="6">
        <v>42118.341377314813</v>
      </c>
      <c r="V518" t="s">
        <v>18</v>
      </c>
      <c r="W518" t="s">
        <v>17</v>
      </c>
      <c r="X518" s="6">
        <v>42118.341377314813</v>
      </c>
      <c r="Y518" t="s">
        <v>535</v>
      </c>
      <c r="AB518" t="s">
        <v>201</v>
      </c>
      <c r="AC518" t="s">
        <v>247</v>
      </c>
      <c r="AD518" t="s">
        <v>220</v>
      </c>
      <c r="AE518" t="s">
        <v>219</v>
      </c>
      <c r="AG518" t="s">
        <v>121</v>
      </c>
      <c r="AH518" t="s">
        <v>327</v>
      </c>
      <c r="AI518" t="s">
        <v>121</v>
      </c>
      <c r="AJ518" t="s">
        <v>716</v>
      </c>
      <c r="AK518" t="s">
        <v>121</v>
      </c>
    </row>
    <row r="519" spans="9:37" x14ac:dyDescent="0.3">
      <c r="I519">
        <f ca="1">IF(OR(INDIRECT(A73&amp;ROW())=B93,INDIRECT(A73&amp;ROW())=B94),1,IF(AND(INDIRECT(A73&amp;ROW())=B95,INDIRECT(A96&amp;ROW())=C93),1,IF(AND(INDIRECT(A73&amp;ROW())=B95,INDIRECT(A96&amp;ROW())=C94),1,0)))</f>
        <v>0</v>
      </c>
      <c r="J519">
        <f ca="1">IF(AND(INDIRECT(A73&amp;ROW())=B95,INDIRECT(A96&amp;ROW())=C95),1,IF(AND(INDIRECT(A73&amp;ROW())=B95,INDIRECT(A96&amp;ROW())=C96),1,0))</f>
        <v>1</v>
      </c>
      <c r="K519">
        <f ca="1">DAYS360(INDIRECT(C68&amp;ROW()),TODAY())</f>
        <v>721</v>
      </c>
      <c r="L519">
        <f ca="1">DAYS360(INDIRECT(C69&amp;ROW()),TODAY())</f>
        <v>728</v>
      </c>
      <c r="M519">
        <f ca="1">HYPERLINK(CONCATENATE("https://bugzilla.houston.hp.com:1181/bugzilla/show_bug.cgi?id=",INDIRECT(C70&amp;ROW())),INDIRECT(C70&amp;ROW()))</f>
        <v>61254</v>
      </c>
      <c r="N519">
        <v>61254</v>
      </c>
      <c r="O519" t="s">
        <v>43</v>
      </c>
      <c r="P519" t="s">
        <v>941</v>
      </c>
      <c r="Q519" t="s">
        <v>25</v>
      </c>
      <c r="R519" t="s">
        <v>783</v>
      </c>
      <c r="S519" t="s">
        <v>552</v>
      </c>
      <c r="U519" s="6">
        <v>42125.450752314813</v>
      </c>
      <c r="V519" t="s">
        <v>18</v>
      </c>
      <c r="W519" t="s">
        <v>17</v>
      </c>
      <c r="X519" s="6">
        <v>42118.341643518521</v>
      </c>
      <c r="Y519" t="s">
        <v>122</v>
      </c>
      <c r="AB519" t="s">
        <v>201</v>
      </c>
      <c r="AC519" t="s">
        <v>247</v>
      </c>
      <c r="AD519" t="s">
        <v>220</v>
      </c>
      <c r="AE519" t="s">
        <v>219</v>
      </c>
      <c r="AG519" t="s">
        <v>121</v>
      </c>
      <c r="AH519" t="s">
        <v>327</v>
      </c>
      <c r="AI519" t="s">
        <v>121</v>
      </c>
      <c r="AJ519" t="s">
        <v>716</v>
      </c>
      <c r="AK519" t="s">
        <v>121</v>
      </c>
    </row>
    <row r="520" spans="9:37" x14ac:dyDescent="0.3">
      <c r="I520">
        <f ca="1">IF(OR(INDIRECT(A73&amp;ROW())=B93,INDIRECT(A73&amp;ROW())=B94),1,IF(AND(INDIRECT(A73&amp;ROW())=B95,INDIRECT(A96&amp;ROW())=C93),1,IF(AND(INDIRECT(A73&amp;ROW())=B95,INDIRECT(A96&amp;ROW())=C94),1,0)))</f>
        <v>0</v>
      </c>
      <c r="J520">
        <f ca="1">IF(AND(INDIRECT(A73&amp;ROW())=B95,INDIRECT(A96&amp;ROW())=C95),1,IF(AND(INDIRECT(A73&amp;ROW())=B95,INDIRECT(A96&amp;ROW())=C96),1,0))</f>
        <v>1</v>
      </c>
      <c r="K520">
        <f ca="1">DAYS360(INDIRECT(C68&amp;ROW()),TODAY())</f>
        <v>721</v>
      </c>
      <c r="L520">
        <f ca="1">DAYS360(INDIRECT(C69&amp;ROW()),TODAY())</f>
        <v>728</v>
      </c>
      <c r="M520">
        <f ca="1">HYPERLINK(CONCATENATE("https://bugzilla.houston.hp.com:1181/bugzilla/show_bug.cgi?id=",INDIRECT(C70&amp;ROW())),INDIRECT(C70&amp;ROW()))</f>
        <v>61256</v>
      </c>
      <c r="N520">
        <v>61256</v>
      </c>
      <c r="O520" t="s">
        <v>66</v>
      </c>
      <c r="P520" t="s">
        <v>940</v>
      </c>
      <c r="Q520" t="s">
        <v>25</v>
      </c>
      <c r="R520" t="s">
        <v>783</v>
      </c>
      <c r="S520" t="s">
        <v>552</v>
      </c>
      <c r="U520" s="6">
        <v>42125.45076388889</v>
      </c>
      <c r="V520" t="s">
        <v>18</v>
      </c>
      <c r="W520" t="s">
        <v>17</v>
      </c>
      <c r="X520" s="6">
        <v>42118.342280092591</v>
      </c>
      <c r="Y520" t="s">
        <v>122</v>
      </c>
      <c r="AB520" t="s">
        <v>201</v>
      </c>
      <c r="AC520" t="s">
        <v>247</v>
      </c>
      <c r="AD520" t="s">
        <v>220</v>
      </c>
      <c r="AE520" t="s">
        <v>219</v>
      </c>
      <c r="AG520" t="s">
        <v>121</v>
      </c>
      <c r="AH520" t="s">
        <v>327</v>
      </c>
      <c r="AI520" t="s">
        <v>121</v>
      </c>
      <c r="AJ520" t="s">
        <v>716</v>
      </c>
      <c r="AK520" t="s">
        <v>121</v>
      </c>
    </row>
    <row r="521" spans="9:37" x14ac:dyDescent="0.3">
      <c r="I521">
        <f ca="1">IF(OR(INDIRECT(A73&amp;ROW())=B93,INDIRECT(A73&amp;ROW())=B94),1,IF(AND(INDIRECT(A73&amp;ROW())=B95,INDIRECT(A96&amp;ROW())=C93),1,IF(AND(INDIRECT(A73&amp;ROW())=B95,INDIRECT(A96&amp;ROW())=C94),1,0)))</f>
        <v>0</v>
      </c>
      <c r="J521">
        <f ca="1">IF(AND(INDIRECT(A73&amp;ROW())=B95,INDIRECT(A96&amp;ROW())=C95),1,IF(AND(INDIRECT(A73&amp;ROW())=B95,INDIRECT(A96&amp;ROW())=C96),1,0))</f>
        <v>1</v>
      </c>
      <c r="K521">
        <f ca="1">DAYS360(INDIRECT(C68&amp;ROW()),TODAY())</f>
        <v>728</v>
      </c>
      <c r="L521">
        <f ca="1">DAYS360(INDIRECT(C69&amp;ROW()),TODAY())</f>
        <v>728</v>
      </c>
      <c r="M521">
        <f ca="1">HYPERLINK(CONCATENATE("https://bugzilla.houston.hp.com:1181/bugzilla/show_bug.cgi?id=",INDIRECT(C70&amp;ROW())),INDIRECT(C70&amp;ROW()))</f>
        <v>61257</v>
      </c>
      <c r="N521">
        <v>61257</v>
      </c>
      <c r="O521" t="s">
        <v>56</v>
      </c>
      <c r="P521" t="s">
        <v>939</v>
      </c>
      <c r="Q521" t="s">
        <v>25</v>
      </c>
      <c r="R521" t="s">
        <v>783</v>
      </c>
      <c r="S521" t="s">
        <v>552</v>
      </c>
      <c r="U521" s="6">
        <v>42118.342569444445</v>
      </c>
      <c r="V521" t="s">
        <v>18</v>
      </c>
      <c r="W521" t="s">
        <v>17</v>
      </c>
      <c r="X521" s="6">
        <v>42118.342569444445</v>
      </c>
      <c r="Y521" t="s">
        <v>119</v>
      </c>
      <c r="AB521" t="s">
        <v>201</v>
      </c>
      <c r="AC521" t="s">
        <v>247</v>
      </c>
      <c r="AD521" t="s">
        <v>220</v>
      </c>
      <c r="AE521" t="s">
        <v>219</v>
      </c>
      <c r="AG521" t="s">
        <v>121</v>
      </c>
      <c r="AH521" t="s">
        <v>327</v>
      </c>
      <c r="AI521" t="s">
        <v>121</v>
      </c>
      <c r="AJ521" t="s">
        <v>716</v>
      </c>
      <c r="AK521" t="s">
        <v>121</v>
      </c>
    </row>
    <row r="522" spans="9:37" x14ac:dyDescent="0.3">
      <c r="I522">
        <f ca="1">IF(OR(INDIRECT(A73&amp;ROW())=B93,INDIRECT(A73&amp;ROW())=B94),1,IF(AND(INDIRECT(A73&amp;ROW())=B95,INDIRECT(A96&amp;ROW())=C93),1,IF(AND(INDIRECT(A73&amp;ROW())=B95,INDIRECT(A96&amp;ROW())=C94),1,0)))</f>
        <v>0</v>
      </c>
      <c r="J522">
        <f ca="1">IF(AND(INDIRECT(A73&amp;ROW())=B95,INDIRECT(A96&amp;ROW())=C95),1,IF(AND(INDIRECT(A73&amp;ROW())=B95,INDIRECT(A96&amp;ROW())=C96),1,0))</f>
        <v>0</v>
      </c>
      <c r="K522">
        <f ca="1">DAYS360(INDIRECT(C68&amp;ROW()),TODAY())</f>
        <v>717</v>
      </c>
      <c r="L522">
        <f ca="1">DAYS360(INDIRECT(C69&amp;ROW()),TODAY())</f>
        <v>728</v>
      </c>
      <c r="M522">
        <f ca="1">HYPERLINK(CONCATENATE("https://bugzilla.houston.hp.com:1181/bugzilla/show_bug.cgi?id=",INDIRECT(C70&amp;ROW())),INDIRECT(C70&amp;ROW()))</f>
        <v>61258</v>
      </c>
      <c r="N522">
        <v>61258</v>
      </c>
      <c r="O522" t="s">
        <v>66</v>
      </c>
      <c r="P522" t="s">
        <v>938</v>
      </c>
      <c r="Q522" t="s">
        <v>16</v>
      </c>
      <c r="R522" t="s">
        <v>783</v>
      </c>
      <c r="S522" t="s">
        <v>552</v>
      </c>
      <c r="U522" s="6">
        <v>42129.317418981482</v>
      </c>
      <c r="V522" t="s">
        <v>18</v>
      </c>
      <c r="W522" t="s">
        <v>783</v>
      </c>
      <c r="X522" s="6">
        <v>42118.342928240738</v>
      </c>
      <c r="Y522" t="s">
        <v>786</v>
      </c>
      <c r="AB522" t="s">
        <v>200</v>
      </c>
      <c r="AC522" t="s">
        <v>247</v>
      </c>
      <c r="AD522" t="s">
        <v>220</v>
      </c>
      <c r="AE522" t="s">
        <v>219</v>
      </c>
      <c r="AG522" t="s">
        <v>121</v>
      </c>
      <c r="AH522" t="s">
        <v>327</v>
      </c>
      <c r="AI522" t="s">
        <v>121</v>
      </c>
      <c r="AJ522" t="s">
        <v>716</v>
      </c>
      <c r="AK522" t="s">
        <v>121</v>
      </c>
    </row>
    <row r="523" spans="9:37" x14ac:dyDescent="0.3">
      <c r="I523">
        <f ca="1">IF(OR(INDIRECT(A73&amp;ROW())=B93,INDIRECT(A73&amp;ROW())=B94),1,IF(AND(INDIRECT(A73&amp;ROW())=B95,INDIRECT(A96&amp;ROW())=C93),1,IF(AND(INDIRECT(A73&amp;ROW())=B95,INDIRECT(A96&amp;ROW())=C94),1,0)))</f>
        <v>0</v>
      </c>
      <c r="J523">
        <f ca="1">IF(AND(INDIRECT(A73&amp;ROW())=B95,INDIRECT(A96&amp;ROW())=C95),1,IF(AND(INDIRECT(A73&amp;ROW())=B95,INDIRECT(A96&amp;ROW())=C96),1,0))</f>
        <v>1</v>
      </c>
      <c r="K523">
        <f ca="1">DAYS360(INDIRECT(C68&amp;ROW()),TODAY())</f>
        <v>721</v>
      </c>
      <c r="L523">
        <f ca="1">DAYS360(INDIRECT(C69&amp;ROW()),TODAY())</f>
        <v>728</v>
      </c>
      <c r="M523">
        <f ca="1">HYPERLINK(CONCATENATE("https://bugzilla.houston.hp.com:1181/bugzilla/show_bug.cgi?id=",INDIRECT(C70&amp;ROW())),INDIRECT(C70&amp;ROW()))</f>
        <v>61259</v>
      </c>
      <c r="N523">
        <v>61259</v>
      </c>
      <c r="O523" t="s">
        <v>53</v>
      </c>
      <c r="P523" t="s">
        <v>937</v>
      </c>
      <c r="Q523" t="s">
        <v>25</v>
      </c>
      <c r="R523" t="s">
        <v>783</v>
      </c>
      <c r="S523" t="s">
        <v>552</v>
      </c>
      <c r="U523" s="6">
        <v>42125.453009259261</v>
      </c>
      <c r="V523" t="s">
        <v>18</v>
      </c>
      <c r="W523" t="s">
        <v>17</v>
      </c>
      <c r="X523" s="6">
        <v>42118.343217592592</v>
      </c>
      <c r="Y523" t="s">
        <v>122</v>
      </c>
      <c r="AB523" t="s">
        <v>201</v>
      </c>
      <c r="AC523" t="s">
        <v>247</v>
      </c>
      <c r="AD523" t="s">
        <v>220</v>
      </c>
      <c r="AE523" t="s">
        <v>219</v>
      </c>
      <c r="AG523" t="s">
        <v>121</v>
      </c>
      <c r="AH523" t="s">
        <v>327</v>
      </c>
      <c r="AI523" t="s">
        <v>121</v>
      </c>
      <c r="AJ523" t="s">
        <v>716</v>
      </c>
      <c r="AK523" t="s">
        <v>121</v>
      </c>
    </row>
    <row r="524" spans="9:37" x14ac:dyDescent="0.3">
      <c r="I524">
        <f ca="1">IF(OR(INDIRECT(A73&amp;ROW())=B93,INDIRECT(A73&amp;ROW())=B94),1,IF(AND(INDIRECT(A73&amp;ROW())=B95,INDIRECT(A96&amp;ROW())=C93),1,IF(AND(INDIRECT(A73&amp;ROW())=B95,INDIRECT(A96&amp;ROW())=C94),1,0)))</f>
        <v>0</v>
      </c>
      <c r="J524">
        <f ca="1">IF(AND(INDIRECT(A73&amp;ROW())=B95,INDIRECT(A96&amp;ROW())=C95),1,IF(AND(INDIRECT(A73&amp;ROW())=B95,INDIRECT(A96&amp;ROW())=C96),1,0))</f>
        <v>0</v>
      </c>
      <c r="K524">
        <f ca="1">DAYS360(INDIRECT(C68&amp;ROW()),TODAY())</f>
        <v>721</v>
      </c>
      <c r="L524">
        <f ca="1">DAYS360(INDIRECT(C69&amp;ROW()),TODAY())</f>
        <v>728</v>
      </c>
      <c r="M524">
        <f ca="1">HYPERLINK(CONCATENATE("https://bugzilla.houston.hp.com:1181/bugzilla/show_bug.cgi?id=",INDIRECT(C70&amp;ROW())),INDIRECT(C70&amp;ROW()))</f>
        <v>61271</v>
      </c>
      <c r="N524">
        <v>61271</v>
      </c>
      <c r="O524" t="s">
        <v>241</v>
      </c>
      <c r="P524" t="s">
        <v>936</v>
      </c>
      <c r="Q524" t="s">
        <v>16</v>
      </c>
      <c r="R524" t="s">
        <v>251</v>
      </c>
      <c r="S524" t="s">
        <v>296</v>
      </c>
      <c r="U524" s="6">
        <v>42125.494571759256</v>
      </c>
      <c r="V524" t="s">
        <v>18</v>
      </c>
      <c r="W524" t="s">
        <v>17</v>
      </c>
      <c r="X524" s="6">
        <v>42118.46429398148</v>
      </c>
      <c r="Y524" t="s">
        <v>122</v>
      </c>
      <c r="AB524" t="s">
        <v>200</v>
      </c>
      <c r="AC524" t="s">
        <v>247</v>
      </c>
      <c r="AD524" t="s">
        <v>227</v>
      </c>
      <c r="AE524" t="s">
        <v>238</v>
      </c>
      <c r="AG524" t="s">
        <v>121</v>
      </c>
      <c r="AH524" t="s">
        <v>327</v>
      </c>
      <c r="AI524" t="s">
        <v>121</v>
      </c>
      <c r="AJ524" t="s">
        <v>716</v>
      </c>
      <c r="AK524" t="s">
        <v>121</v>
      </c>
    </row>
    <row r="525" spans="9:37" x14ac:dyDescent="0.3">
      <c r="I525">
        <f ca="1">IF(OR(INDIRECT(A73&amp;ROW())=B93,INDIRECT(A73&amp;ROW())=B94),1,IF(AND(INDIRECT(A73&amp;ROW())=B95,INDIRECT(A96&amp;ROW())=C93),1,IF(AND(INDIRECT(A73&amp;ROW())=B95,INDIRECT(A96&amp;ROW())=C94),1,0)))</f>
        <v>0</v>
      </c>
      <c r="J525">
        <f ca="1">IF(AND(INDIRECT(A73&amp;ROW())=B95,INDIRECT(A96&amp;ROW())=C95),1,IF(AND(INDIRECT(A73&amp;ROW())=B95,INDIRECT(A96&amp;ROW())=C96),1,0))</f>
        <v>0</v>
      </c>
      <c r="K525">
        <f ca="1">DAYS360(INDIRECT(C68&amp;ROW()),TODAY())</f>
        <v>721</v>
      </c>
      <c r="L525">
        <f ca="1">DAYS360(INDIRECT(C69&amp;ROW()),TODAY())</f>
        <v>728</v>
      </c>
      <c r="M525">
        <f ca="1">HYPERLINK(CONCATENATE("https://bugzilla.houston.hp.com:1181/bugzilla/show_bug.cgi?id=",INDIRECT(C70&amp;ROW())),INDIRECT(C70&amp;ROW()))</f>
        <v>61285</v>
      </c>
      <c r="N525">
        <v>61285</v>
      </c>
      <c r="O525" t="s">
        <v>241</v>
      </c>
      <c r="P525" t="s">
        <v>935</v>
      </c>
      <c r="Q525" t="s">
        <v>16</v>
      </c>
      <c r="R525" t="s">
        <v>579</v>
      </c>
      <c r="S525" t="s">
        <v>552</v>
      </c>
      <c r="T525" t="s">
        <v>980</v>
      </c>
      <c r="U525" s="6">
        <v>42125.494745370372</v>
      </c>
      <c r="V525" t="s">
        <v>18</v>
      </c>
      <c r="W525" t="s">
        <v>17</v>
      </c>
      <c r="X525" s="6">
        <v>42118.515902777777</v>
      </c>
      <c r="Y525" t="s">
        <v>122</v>
      </c>
      <c r="AB525" t="s">
        <v>200</v>
      </c>
      <c r="AC525" t="s">
        <v>247</v>
      </c>
      <c r="AD525" t="s">
        <v>227</v>
      </c>
      <c r="AE525" t="s">
        <v>238</v>
      </c>
      <c r="AG525" t="s">
        <v>121</v>
      </c>
      <c r="AH525" t="s">
        <v>327</v>
      </c>
      <c r="AI525" t="s">
        <v>121</v>
      </c>
      <c r="AJ525" t="s">
        <v>716</v>
      </c>
      <c r="AK525" t="s">
        <v>121</v>
      </c>
    </row>
    <row r="526" spans="9:37" x14ac:dyDescent="0.3">
      <c r="I526">
        <f ca="1">IF(OR(INDIRECT(A73&amp;ROW())=B93,INDIRECT(A73&amp;ROW())=B94),1,IF(AND(INDIRECT(A73&amp;ROW())=B95,INDIRECT(A96&amp;ROW())=C93),1,IF(AND(INDIRECT(A73&amp;ROW())=B95,INDIRECT(A96&amp;ROW())=C94),1,0)))</f>
        <v>0</v>
      </c>
      <c r="J526">
        <f ca="1">IF(AND(INDIRECT(A73&amp;ROW())=B95,INDIRECT(A96&amp;ROW())=C95),1,IF(AND(INDIRECT(A73&amp;ROW())=B95,INDIRECT(A96&amp;ROW())=C96),1,0))</f>
        <v>0</v>
      </c>
      <c r="K526">
        <f ca="1">DAYS360(INDIRECT(C68&amp;ROW()),TODAY())</f>
        <v>687</v>
      </c>
      <c r="L526">
        <f ca="1">DAYS360(INDIRECT(C69&amp;ROW()),TODAY())</f>
        <v>728</v>
      </c>
      <c r="M526">
        <f ca="1">HYPERLINK(CONCATENATE("https://bugzilla.houston.hp.com:1181/bugzilla/show_bug.cgi?id=",INDIRECT(C70&amp;ROW())),INDIRECT(C70&amp;ROW()))</f>
        <v>61286</v>
      </c>
      <c r="N526">
        <v>61286</v>
      </c>
      <c r="O526" t="s">
        <v>241</v>
      </c>
      <c r="P526" t="s">
        <v>934</v>
      </c>
      <c r="Q526" t="s">
        <v>16</v>
      </c>
      <c r="R526" t="s">
        <v>248</v>
      </c>
      <c r="S526" t="s">
        <v>552</v>
      </c>
      <c r="U526" s="6">
        <v>42160.463993055557</v>
      </c>
      <c r="V526" t="s">
        <v>18</v>
      </c>
      <c r="W526" t="s">
        <v>17</v>
      </c>
      <c r="X526" s="6">
        <v>42118.516018518516</v>
      </c>
      <c r="Y526" t="s">
        <v>122</v>
      </c>
      <c r="AB526" t="s">
        <v>200</v>
      </c>
      <c r="AC526" t="s">
        <v>247</v>
      </c>
      <c r="AD526" t="s">
        <v>227</v>
      </c>
      <c r="AE526" t="s">
        <v>238</v>
      </c>
      <c r="AG526" t="s">
        <v>121</v>
      </c>
      <c r="AH526" t="s">
        <v>327</v>
      </c>
      <c r="AI526" t="s">
        <v>121</v>
      </c>
      <c r="AJ526" t="s">
        <v>716</v>
      </c>
      <c r="AK526" t="s">
        <v>121</v>
      </c>
    </row>
    <row r="527" spans="9:37" x14ac:dyDescent="0.3">
      <c r="I527">
        <f ca="1">IF(OR(INDIRECT(A73&amp;ROW())=B93,INDIRECT(A73&amp;ROW())=B94),1,IF(AND(INDIRECT(A73&amp;ROW())=B95,INDIRECT(A96&amp;ROW())=C93),1,IF(AND(INDIRECT(A73&amp;ROW())=B95,INDIRECT(A96&amp;ROW())=C94),1,0)))</f>
        <v>0</v>
      </c>
      <c r="J527">
        <f ca="1">IF(AND(INDIRECT(A73&amp;ROW())=B95,INDIRECT(A96&amp;ROW())=C95),1,IF(AND(INDIRECT(A73&amp;ROW())=B95,INDIRECT(A96&amp;ROW())=C96),1,0))</f>
        <v>1</v>
      </c>
      <c r="K527">
        <f ca="1">DAYS360(INDIRECT(C68&amp;ROW()),TODAY())</f>
        <v>690</v>
      </c>
      <c r="L527">
        <f ca="1">DAYS360(INDIRECT(C69&amp;ROW()),TODAY())</f>
        <v>725</v>
      </c>
      <c r="M527">
        <f ca="1">HYPERLINK(CONCATENATE("https://bugzilla.houston.hp.com:1181/bugzilla/show_bug.cgi?id=",INDIRECT(C70&amp;ROW())),INDIRECT(C70&amp;ROW()))</f>
        <v>61403</v>
      </c>
      <c r="N527">
        <v>61403</v>
      </c>
      <c r="O527" t="s">
        <v>241</v>
      </c>
      <c r="P527" t="s">
        <v>978</v>
      </c>
      <c r="Q527" t="s">
        <v>25</v>
      </c>
      <c r="R527" t="s">
        <v>251</v>
      </c>
      <c r="S527" t="s">
        <v>52</v>
      </c>
      <c r="U527" s="6">
        <v>42157.342511574076</v>
      </c>
      <c r="V527" t="s">
        <v>18</v>
      </c>
      <c r="W527" t="s">
        <v>783</v>
      </c>
      <c r="X527" s="6">
        <v>42121.557916666665</v>
      </c>
      <c r="Y527" t="s">
        <v>119</v>
      </c>
      <c r="AB527" t="s">
        <v>201</v>
      </c>
      <c r="AC527" t="s">
        <v>247</v>
      </c>
      <c r="AD527" t="s">
        <v>222</v>
      </c>
      <c r="AE527" t="s">
        <v>221</v>
      </c>
      <c r="AG527" t="s">
        <v>121</v>
      </c>
      <c r="AH527" t="s">
        <v>327</v>
      </c>
      <c r="AI527" t="s">
        <v>121</v>
      </c>
      <c r="AJ527" t="s">
        <v>716</v>
      </c>
      <c r="AK527" t="s">
        <v>121</v>
      </c>
    </row>
    <row r="528" spans="9:37" x14ac:dyDescent="0.3">
      <c r="I528">
        <f ca="1">IF(OR(INDIRECT(A73&amp;ROW())=B93,INDIRECT(A73&amp;ROW())=B94),1,IF(AND(INDIRECT(A73&amp;ROW())=B95,INDIRECT(A96&amp;ROW())=C93),1,IF(AND(INDIRECT(A73&amp;ROW())=B95,INDIRECT(A96&amp;ROW())=C94),1,0)))</f>
        <v>0</v>
      </c>
      <c r="J528">
        <f ca="1">IF(AND(INDIRECT(A73&amp;ROW())=B95,INDIRECT(A96&amp;ROW())=C95),1,IF(AND(INDIRECT(A73&amp;ROW())=B95,INDIRECT(A96&amp;ROW())=C96),1,0))</f>
        <v>1</v>
      </c>
      <c r="K528">
        <f ca="1">DAYS360(INDIRECT(C68&amp;ROW()),TODAY())</f>
        <v>716</v>
      </c>
      <c r="L528">
        <f ca="1">DAYS360(INDIRECT(C69&amp;ROW()),TODAY())</f>
        <v>724</v>
      </c>
      <c r="M528">
        <f ca="1">HYPERLINK(CONCATENATE("https://bugzilla.houston.hp.com:1181/bugzilla/show_bug.cgi?id=",INDIRECT(C70&amp;ROW())),INDIRECT(C70&amp;ROW()))</f>
        <v>61422</v>
      </c>
      <c r="N528">
        <v>61422</v>
      </c>
      <c r="O528" t="s">
        <v>241</v>
      </c>
      <c r="P528" t="s">
        <v>977</v>
      </c>
      <c r="Q528" t="s">
        <v>25</v>
      </c>
      <c r="R528" t="s">
        <v>579</v>
      </c>
      <c r="S528" t="s">
        <v>552</v>
      </c>
      <c r="T528" t="s">
        <v>1007</v>
      </c>
      <c r="U528" s="6">
        <v>42130.313888888886</v>
      </c>
      <c r="V528" t="s">
        <v>18</v>
      </c>
      <c r="W528" t="s">
        <v>783</v>
      </c>
      <c r="X528" s="6">
        <v>42122.016122685185</v>
      </c>
      <c r="Y528" t="s">
        <v>119</v>
      </c>
      <c r="AB528" t="s">
        <v>201</v>
      </c>
      <c r="AC528" t="s">
        <v>247</v>
      </c>
      <c r="AD528" t="s">
        <v>222</v>
      </c>
      <c r="AE528" t="s">
        <v>221</v>
      </c>
      <c r="AG528" t="s">
        <v>121</v>
      </c>
      <c r="AH528" t="s">
        <v>327</v>
      </c>
      <c r="AI528" t="s">
        <v>121</v>
      </c>
      <c r="AJ528" t="s">
        <v>716</v>
      </c>
      <c r="AK528" t="s">
        <v>121</v>
      </c>
    </row>
    <row r="529" spans="9:37" x14ac:dyDescent="0.3">
      <c r="I529">
        <f ca="1">IF(OR(INDIRECT(A73&amp;ROW())=B93,INDIRECT(A73&amp;ROW())=B94),1,IF(AND(INDIRECT(A73&amp;ROW())=B95,INDIRECT(A96&amp;ROW())=C93),1,IF(AND(INDIRECT(A73&amp;ROW())=B95,INDIRECT(A96&amp;ROW())=C94),1,0)))</f>
        <v>0</v>
      </c>
      <c r="J529">
        <f ca="1">IF(AND(INDIRECT(A73&amp;ROW())=B95,INDIRECT(A96&amp;ROW())=C95),1,IF(AND(INDIRECT(A73&amp;ROW())=B95,INDIRECT(A96&amp;ROW())=C96),1,0))</f>
        <v>1</v>
      </c>
      <c r="K529">
        <f ca="1">DAYS360(INDIRECT(C68&amp;ROW()),TODAY())</f>
        <v>716</v>
      </c>
      <c r="L529">
        <f ca="1">DAYS360(INDIRECT(C69&amp;ROW()),TODAY())</f>
        <v>724</v>
      </c>
      <c r="M529">
        <f ca="1">HYPERLINK(CONCATENATE("https://bugzilla.houston.hp.com:1181/bugzilla/show_bug.cgi?id=",INDIRECT(C70&amp;ROW())),INDIRECT(C70&amp;ROW()))</f>
        <v>61423</v>
      </c>
      <c r="N529">
        <v>61423</v>
      </c>
      <c r="O529" t="s">
        <v>241</v>
      </c>
      <c r="P529" t="s">
        <v>976</v>
      </c>
      <c r="Q529" t="s">
        <v>25</v>
      </c>
      <c r="R529" t="s">
        <v>783</v>
      </c>
      <c r="S529" t="s">
        <v>552</v>
      </c>
      <c r="U529" s="6">
        <v>42130.354027777779</v>
      </c>
      <c r="V529" t="s">
        <v>18</v>
      </c>
      <c r="W529" t="s">
        <v>783</v>
      </c>
      <c r="X529" s="6">
        <v>42122.016192129631</v>
      </c>
      <c r="Y529" t="s">
        <v>119</v>
      </c>
      <c r="AB529" t="s">
        <v>201</v>
      </c>
      <c r="AC529" t="s">
        <v>247</v>
      </c>
      <c r="AD529" t="s">
        <v>222</v>
      </c>
      <c r="AE529" t="s">
        <v>221</v>
      </c>
      <c r="AG529" t="s">
        <v>121</v>
      </c>
      <c r="AH529" t="s">
        <v>327</v>
      </c>
      <c r="AI529" t="s">
        <v>121</v>
      </c>
      <c r="AJ529" t="s">
        <v>716</v>
      </c>
      <c r="AK529" t="s">
        <v>121</v>
      </c>
    </row>
    <row r="530" spans="9:37" x14ac:dyDescent="0.3">
      <c r="I530">
        <f ca="1">IF(OR(INDIRECT(A73&amp;ROW())=B93,INDIRECT(A73&amp;ROW())=B94),1,IF(AND(INDIRECT(A73&amp;ROW())=B95,INDIRECT(A96&amp;ROW())=C93),1,IF(AND(INDIRECT(A73&amp;ROW())=B95,INDIRECT(A96&amp;ROW())=C94),1,0)))</f>
        <v>0</v>
      </c>
      <c r="J530">
        <f ca="1">IF(AND(INDIRECT(A73&amp;ROW())=B95,INDIRECT(A96&amp;ROW())=C95),1,IF(AND(INDIRECT(A73&amp;ROW())=B95,INDIRECT(A96&amp;ROW())=C96),1,0))</f>
        <v>1</v>
      </c>
      <c r="K530">
        <f ca="1">DAYS360(INDIRECT(C68&amp;ROW()),TODAY())</f>
        <v>716</v>
      </c>
      <c r="L530">
        <f ca="1">DAYS360(INDIRECT(C69&amp;ROW()),TODAY())</f>
        <v>724</v>
      </c>
      <c r="M530">
        <f ca="1">HYPERLINK(CONCATENATE("https://bugzilla.houston.hp.com:1181/bugzilla/show_bug.cgi?id=",INDIRECT(C70&amp;ROW())),INDIRECT(C70&amp;ROW()))</f>
        <v>61424</v>
      </c>
      <c r="N530">
        <v>61424</v>
      </c>
      <c r="O530" t="s">
        <v>241</v>
      </c>
      <c r="P530" t="s">
        <v>975</v>
      </c>
      <c r="Q530" t="s">
        <v>25</v>
      </c>
      <c r="R530" t="s">
        <v>248</v>
      </c>
      <c r="S530" t="s">
        <v>552</v>
      </c>
      <c r="U530" s="6">
        <v>42130.354004629633</v>
      </c>
      <c r="V530" t="s">
        <v>18</v>
      </c>
      <c r="W530" t="s">
        <v>783</v>
      </c>
      <c r="X530" s="6">
        <v>42122.016284722224</v>
      </c>
      <c r="Y530" t="s">
        <v>119</v>
      </c>
      <c r="AB530" t="s">
        <v>201</v>
      </c>
      <c r="AC530" t="s">
        <v>247</v>
      </c>
      <c r="AD530" t="s">
        <v>222</v>
      </c>
      <c r="AE530" t="s">
        <v>221</v>
      </c>
      <c r="AG530" t="s">
        <v>121</v>
      </c>
      <c r="AH530" t="s">
        <v>327</v>
      </c>
      <c r="AI530" t="s">
        <v>121</v>
      </c>
      <c r="AJ530" t="s">
        <v>716</v>
      </c>
      <c r="AK530" t="s">
        <v>121</v>
      </c>
    </row>
    <row r="531" spans="9:37" x14ac:dyDescent="0.3">
      <c r="I531">
        <f ca="1">IF(OR(INDIRECT(A73&amp;ROW())=B93,INDIRECT(A73&amp;ROW())=B94),1,IF(AND(INDIRECT(A73&amp;ROW())=B95,INDIRECT(A96&amp;ROW())=C93),1,IF(AND(INDIRECT(A73&amp;ROW())=B95,INDIRECT(A96&amp;ROW())=C94),1,0)))</f>
        <v>0</v>
      </c>
      <c r="J531">
        <f ca="1">IF(AND(INDIRECT(A73&amp;ROW())=B95,INDIRECT(A96&amp;ROW())=C95),1,IF(AND(INDIRECT(A73&amp;ROW())=B95,INDIRECT(A96&amp;ROW())=C96),1,0))</f>
        <v>1</v>
      </c>
      <c r="K531">
        <f ca="1">DAYS360(INDIRECT(C68&amp;ROW()),TODAY())</f>
        <v>724</v>
      </c>
      <c r="L531">
        <f ca="1">DAYS360(INDIRECT(C69&amp;ROW()),TODAY())</f>
        <v>724</v>
      </c>
      <c r="M531">
        <f ca="1">HYPERLINK(CONCATENATE("https://bugzilla.houston.hp.com:1181/bugzilla/show_bug.cgi?id=",INDIRECT(C70&amp;ROW())),INDIRECT(C70&amp;ROW()))</f>
        <v>61468</v>
      </c>
      <c r="N531">
        <v>61468</v>
      </c>
      <c r="O531" t="s">
        <v>21</v>
      </c>
      <c r="P531" t="s">
        <v>988</v>
      </c>
      <c r="Q531" t="s">
        <v>25</v>
      </c>
      <c r="R531" t="s">
        <v>251</v>
      </c>
      <c r="S531" t="s">
        <v>177</v>
      </c>
      <c r="U531" s="6">
        <v>42122.649826388886</v>
      </c>
      <c r="V531" t="s">
        <v>18</v>
      </c>
      <c r="W531" t="s">
        <v>764</v>
      </c>
      <c r="X531" s="6">
        <v>42122.558807870373</v>
      </c>
      <c r="Y531" t="s">
        <v>245</v>
      </c>
      <c r="AB531" t="s">
        <v>201</v>
      </c>
      <c r="AC531" t="s">
        <v>247</v>
      </c>
      <c r="AD531" t="s">
        <v>222</v>
      </c>
      <c r="AE531" t="s">
        <v>232</v>
      </c>
      <c r="AG531" t="s">
        <v>121</v>
      </c>
      <c r="AH531" t="s">
        <v>327</v>
      </c>
      <c r="AI531" t="s">
        <v>121</v>
      </c>
      <c r="AJ531" t="s">
        <v>716</v>
      </c>
      <c r="AK531" t="s">
        <v>121</v>
      </c>
    </row>
    <row r="532" spans="9:37" x14ac:dyDescent="0.3">
      <c r="I532">
        <f ca="1">IF(OR(INDIRECT(A73&amp;ROW())=B93,INDIRECT(A73&amp;ROW())=B94),1,IF(AND(INDIRECT(A73&amp;ROW())=B95,INDIRECT(A96&amp;ROW())=C93),1,IF(AND(INDIRECT(A73&amp;ROW())=B95,INDIRECT(A96&amp;ROW())=C94),1,0)))</f>
        <v>0</v>
      </c>
      <c r="J532">
        <f ca="1">IF(AND(INDIRECT(A73&amp;ROW())=B95,INDIRECT(A96&amp;ROW())=C95),1,IF(AND(INDIRECT(A73&amp;ROW())=B95,INDIRECT(A96&amp;ROW())=C96),1,0))</f>
        <v>1</v>
      </c>
      <c r="K532">
        <f ca="1">DAYS360(INDIRECT(C68&amp;ROW()),TODAY())</f>
        <v>724</v>
      </c>
      <c r="L532">
        <f ca="1">DAYS360(INDIRECT(C69&amp;ROW()),TODAY())</f>
        <v>724</v>
      </c>
      <c r="M532">
        <f ca="1">HYPERLINK(CONCATENATE("https://bugzilla.houston.hp.com:1181/bugzilla/show_bug.cgi?id=",INDIRECT(C70&amp;ROW())),INDIRECT(C70&amp;ROW()))</f>
        <v>61474</v>
      </c>
      <c r="N532">
        <v>61474</v>
      </c>
      <c r="O532" t="s">
        <v>21</v>
      </c>
      <c r="P532" t="s">
        <v>987</v>
      </c>
      <c r="Q532" t="s">
        <v>25</v>
      </c>
      <c r="R532" t="s">
        <v>783</v>
      </c>
      <c r="S532" t="s">
        <v>552</v>
      </c>
      <c r="U532" s="6">
        <v>42122.649710648147</v>
      </c>
      <c r="V532" t="s">
        <v>18</v>
      </c>
      <c r="W532" t="s">
        <v>764</v>
      </c>
      <c r="X532" s="6">
        <v>42122.649710648147</v>
      </c>
      <c r="Y532" t="s">
        <v>245</v>
      </c>
      <c r="AB532" t="s">
        <v>201</v>
      </c>
      <c r="AC532" t="s">
        <v>247</v>
      </c>
      <c r="AD532" t="s">
        <v>222</v>
      </c>
      <c r="AE532" t="s">
        <v>232</v>
      </c>
      <c r="AG532" t="s">
        <v>121</v>
      </c>
      <c r="AH532" t="s">
        <v>327</v>
      </c>
      <c r="AI532" t="s">
        <v>121</v>
      </c>
      <c r="AJ532" t="s">
        <v>716</v>
      </c>
      <c r="AK532" t="s">
        <v>121</v>
      </c>
    </row>
    <row r="533" spans="9:37" x14ac:dyDescent="0.3">
      <c r="I533">
        <f ca="1">IF(OR(INDIRECT(A73&amp;ROW())=B93,INDIRECT(A73&amp;ROW())=B94),1,IF(AND(INDIRECT(A73&amp;ROW())=B95,INDIRECT(A96&amp;ROW())=C93),1,IF(AND(INDIRECT(A73&amp;ROW())=B95,INDIRECT(A96&amp;ROW())=C94),1,0)))</f>
        <v>0</v>
      </c>
      <c r="J533">
        <f ca="1">IF(AND(INDIRECT(A73&amp;ROW())=B95,INDIRECT(A96&amp;ROW())=C95),1,IF(AND(INDIRECT(A73&amp;ROW())=B95,INDIRECT(A96&amp;ROW())=C96),1,0))</f>
        <v>1</v>
      </c>
      <c r="K533">
        <f ca="1">DAYS360(INDIRECT(C68&amp;ROW()),TODAY())</f>
        <v>724</v>
      </c>
      <c r="L533">
        <f ca="1">DAYS360(INDIRECT(C69&amp;ROW()),TODAY())</f>
        <v>724</v>
      </c>
      <c r="M533">
        <f ca="1">HYPERLINK(CONCATENATE("https://bugzilla.houston.hp.com:1181/bugzilla/show_bug.cgi?id=",INDIRECT(C70&amp;ROW())),INDIRECT(C70&amp;ROW()))</f>
        <v>61475</v>
      </c>
      <c r="N533">
        <v>61475</v>
      </c>
      <c r="O533" t="s">
        <v>21</v>
      </c>
      <c r="P533" t="s">
        <v>986</v>
      </c>
      <c r="Q533" t="s">
        <v>25</v>
      </c>
      <c r="R533" t="s">
        <v>248</v>
      </c>
      <c r="S533" t="s">
        <v>552</v>
      </c>
      <c r="U533" s="6">
        <v>42122.649768518517</v>
      </c>
      <c r="V533" t="s">
        <v>18</v>
      </c>
      <c r="W533" t="s">
        <v>764</v>
      </c>
      <c r="X533" s="6">
        <v>42122.649768518517</v>
      </c>
      <c r="Y533" t="s">
        <v>245</v>
      </c>
      <c r="AB533" t="s">
        <v>201</v>
      </c>
      <c r="AC533" t="s">
        <v>247</v>
      </c>
      <c r="AD533" t="s">
        <v>222</v>
      </c>
      <c r="AE533" t="s">
        <v>232</v>
      </c>
      <c r="AG533" t="s">
        <v>121</v>
      </c>
      <c r="AH533" t="s">
        <v>327</v>
      </c>
      <c r="AI533" t="s">
        <v>121</v>
      </c>
      <c r="AJ533" t="s">
        <v>716</v>
      </c>
      <c r="AK533" t="s">
        <v>121</v>
      </c>
    </row>
    <row r="534" spans="9:37" x14ac:dyDescent="0.3">
      <c r="I534">
        <f ca="1">IF(OR(INDIRECT(A73&amp;ROW())=B93,INDIRECT(A73&amp;ROW())=B94),1,IF(AND(INDIRECT(A73&amp;ROW())=B95,INDIRECT(A96&amp;ROW())=C93),1,IF(AND(INDIRECT(A73&amp;ROW())=B95,INDIRECT(A96&amp;ROW())=C94),1,0)))</f>
        <v>0</v>
      </c>
      <c r="J534">
        <f ca="1">IF(AND(INDIRECT(A73&amp;ROW())=B95,INDIRECT(A96&amp;ROW())=C95),1,IF(AND(INDIRECT(A73&amp;ROW())=B95,INDIRECT(A96&amp;ROW())=C96),1,0))</f>
        <v>0</v>
      </c>
      <c r="K534">
        <f ca="1">DAYS360(INDIRECT(C68&amp;ROW()),TODAY())</f>
        <v>701</v>
      </c>
      <c r="L534">
        <f ca="1">DAYS360(INDIRECT(C69&amp;ROW()),TODAY())</f>
        <v>723</v>
      </c>
      <c r="M534">
        <f ca="1">HYPERLINK(CONCATENATE("https://bugzilla.houston.hp.com:1181/bugzilla/show_bug.cgi?id=",INDIRECT(C70&amp;ROW())),INDIRECT(C70&amp;ROW()))</f>
        <v>61486</v>
      </c>
      <c r="N534">
        <v>61486</v>
      </c>
      <c r="O534" t="s">
        <v>36</v>
      </c>
      <c r="P534" t="s">
        <v>985</v>
      </c>
      <c r="Q534" t="s">
        <v>16</v>
      </c>
      <c r="R534" t="s">
        <v>783</v>
      </c>
      <c r="S534" t="s">
        <v>552</v>
      </c>
      <c r="U534" s="6">
        <v>42145.312928240739</v>
      </c>
      <c r="V534" t="s">
        <v>18</v>
      </c>
      <c r="W534" t="s">
        <v>764</v>
      </c>
      <c r="X534" s="6">
        <v>42123.016064814816</v>
      </c>
      <c r="Y534" t="s">
        <v>124</v>
      </c>
      <c r="AB534" t="s">
        <v>200</v>
      </c>
      <c r="AC534" t="s">
        <v>247</v>
      </c>
      <c r="AD534" t="s">
        <v>220</v>
      </c>
      <c r="AE534" t="s">
        <v>219</v>
      </c>
      <c r="AG534" t="s">
        <v>121</v>
      </c>
      <c r="AH534" t="s">
        <v>327</v>
      </c>
      <c r="AI534" t="s">
        <v>121</v>
      </c>
      <c r="AJ534" t="s">
        <v>716</v>
      </c>
      <c r="AK534" t="s">
        <v>121</v>
      </c>
    </row>
    <row r="535" spans="9:37" x14ac:dyDescent="0.3">
      <c r="I535">
        <f ca="1">IF(OR(INDIRECT(A73&amp;ROW())=B93,INDIRECT(A73&amp;ROW())=B94),1,IF(AND(INDIRECT(A73&amp;ROW())=B95,INDIRECT(A96&amp;ROW())=C93),1,IF(AND(INDIRECT(A73&amp;ROW())=B95,INDIRECT(A96&amp;ROW())=C94),1,0)))</f>
        <v>0</v>
      </c>
      <c r="J535">
        <f ca="1">IF(AND(INDIRECT(A73&amp;ROW())=B95,INDIRECT(A96&amp;ROW())=C95),1,IF(AND(INDIRECT(A73&amp;ROW())=B95,INDIRECT(A96&amp;ROW())=C96),1,0))</f>
        <v>0</v>
      </c>
      <c r="K535">
        <f ca="1">DAYS360(INDIRECT(C68&amp;ROW()),TODAY())</f>
        <v>721</v>
      </c>
      <c r="L535">
        <f ca="1">DAYS360(INDIRECT(C69&amp;ROW()),TODAY())</f>
        <v>723</v>
      </c>
      <c r="M535">
        <f ca="1">HYPERLINK(CONCATENATE("https://bugzilla.houston.hp.com:1181/bugzilla/show_bug.cgi?id=",INDIRECT(C70&amp;ROW())),INDIRECT(C70&amp;ROW()))</f>
        <v>61487</v>
      </c>
      <c r="N535">
        <v>61487</v>
      </c>
      <c r="O535" t="s">
        <v>36</v>
      </c>
      <c r="P535" t="s">
        <v>984</v>
      </c>
      <c r="Q535" t="s">
        <v>16</v>
      </c>
      <c r="R535" t="s">
        <v>248</v>
      </c>
      <c r="S535" t="s">
        <v>552</v>
      </c>
      <c r="U535" s="6">
        <v>42125.423750000002</v>
      </c>
      <c r="V535" t="s">
        <v>18</v>
      </c>
      <c r="W535" t="s">
        <v>764</v>
      </c>
      <c r="X535" s="6">
        <v>42123.016111111108</v>
      </c>
      <c r="Y535" t="s">
        <v>124</v>
      </c>
      <c r="AB535" t="s">
        <v>200</v>
      </c>
      <c r="AC535" t="s">
        <v>247</v>
      </c>
      <c r="AD535" t="s">
        <v>220</v>
      </c>
      <c r="AE535" t="s">
        <v>243</v>
      </c>
      <c r="AG535" t="s">
        <v>121</v>
      </c>
      <c r="AH535" t="s">
        <v>327</v>
      </c>
      <c r="AI535" t="s">
        <v>121</v>
      </c>
      <c r="AJ535" t="s">
        <v>716</v>
      </c>
      <c r="AK535" t="s">
        <v>121</v>
      </c>
    </row>
    <row r="536" spans="9:37" x14ac:dyDescent="0.3">
      <c r="I536">
        <f ca="1">IF(OR(INDIRECT(A73&amp;ROW())=B93,INDIRECT(A73&amp;ROW())=B94),1,IF(AND(INDIRECT(A73&amp;ROW())=B95,INDIRECT(A96&amp;ROW())=C93),1,IF(AND(INDIRECT(A73&amp;ROW())=B95,INDIRECT(A96&amp;ROW())=C94),1,0)))</f>
        <v>1</v>
      </c>
      <c r="J536">
        <f ca="1">IF(AND(INDIRECT(A73&amp;ROW())=B95,INDIRECT(A96&amp;ROW())=C95),1,IF(AND(INDIRECT(A73&amp;ROW())=B95,INDIRECT(A96&amp;ROW())=C96),1,0))</f>
        <v>0</v>
      </c>
      <c r="K536">
        <f ca="1">DAYS360(INDIRECT(C68&amp;ROW()),TODAY())</f>
        <v>688</v>
      </c>
      <c r="L536">
        <f ca="1">DAYS360(INDIRECT(C69&amp;ROW()),TODAY())</f>
        <v>723</v>
      </c>
      <c r="M536">
        <f ca="1">HYPERLINK(CONCATENATE("https://bugzilla.houston.hp.com:1181/bugzilla/show_bug.cgi?id=",INDIRECT(C70&amp;ROW())),INDIRECT(C70&amp;ROW()))</f>
        <v>61543</v>
      </c>
      <c r="N536">
        <v>61543</v>
      </c>
      <c r="O536" t="s">
        <v>1202</v>
      </c>
      <c r="P536" t="s">
        <v>983</v>
      </c>
      <c r="Q536" t="s">
        <v>25</v>
      </c>
      <c r="R536" t="s">
        <v>251</v>
      </c>
      <c r="S536" t="s">
        <v>296</v>
      </c>
      <c r="U536" s="6">
        <v>42159.370775462965</v>
      </c>
      <c r="V536" t="s">
        <v>35</v>
      </c>
      <c r="W536" t="s">
        <v>17</v>
      </c>
      <c r="X536" s="6">
        <v>42123.449548611112</v>
      </c>
      <c r="Y536" t="s">
        <v>125</v>
      </c>
      <c r="AB536" t="s">
        <v>200</v>
      </c>
      <c r="AC536" t="s">
        <v>247</v>
      </c>
      <c r="AD536" t="s">
        <v>220</v>
      </c>
      <c r="AE536" t="s">
        <v>224</v>
      </c>
      <c r="AG536" t="s">
        <v>121</v>
      </c>
      <c r="AH536" t="s">
        <v>327</v>
      </c>
      <c r="AI536" t="s">
        <v>121</v>
      </c>
      <c r="AJ536" t="s">
        <v>715</v>
      </c>
      <c r="AK536" t="s">
        <v>121</v>
      </c>
    </row>
    <row r="537" spans="9:37" x14ac:dyDescent="0.3">
      <c r="I537">
        <f ca="1">IF(OR(INDIRECT(A73&amp;ROW())=B93,INDIRECT(A73&amp;ROW())=B94),1,IF(AND(INDIRECT(A73&amp;ROW())=B95,INDIRECT(A96&amp;ROW())=C93),1,IF(AND(INDIRECT(A73&amp;ROW())=B95,INDIRECT(A96&amp;ROW())=C94),1,0)))</f>
        <v>1</v>
      </c>
      <c r="J537">
        <f ca="1">IF(AND(INDIRECT(A73&amp;ROW())=B95,INDIRECT(A96&amp;ROW())=C95),1,IF(AND(INDIRECT(A73&amp;ROW())=B95,INDIRECT(A96&amp;ROW())=C96),1,0))</f>
        <v>0</v>
      </c>
      <c r="K537">
        <f ca="1">DAYS360(INDIRECT(C68&amp;ROW()),TODAY())</f>
        <v>688</v>
      </c>
      <c r="L537">
        <f ca="1">DAYS360(INDIRECT(C69&amp;ROW()),TODAY())</f>
        <v>723</v>
      </c>
      <c r="M537">
        <f ca="1">HYPERLINK(CONCATENATE("https://bugzilla.houston.hp.com:1181/bugzilla/show_bug.cgi?id=",INDIRECT(C70&amp;ROW())),INDIRECT(C70&amp;ROW()))</f>
        <v>61546</v>
      </c>
      <c r="N537">
        <v>61546</v>
      </c>
      <c r="O537" t="s">
        <v>326</v>
      </c>
      <c r="P537" t="s">
        <v>982</v>
      </c>
      <c r="Q537" t="s">
        <v>25</v>
      </c>
      <c r="R537" t="s">
        <v>783</v>
      </c>
      <c r="S537" t="s">
        <v>552</v>
      </c>
      <c r="U537" s="6">
        <v>42159.223298611112</v>
      </c>
      <c r="V537" t="s">
        <v>18</v>
      </c>
      <c r="W537" t="s">
        <v>17</v>
      </c>
      <c r="X537" s="6">
        <v>42123.465462962966</v>
      </c>
      <c r="Y537" t="s">
        <v>125</v>
      </c>
      <c r="AB537" t="s">
        <v>200</v>
      </c>
      <c r="AC537" t="s">
        <v>247</v>
      </c>
      <c r="AD537" t="s">
        <v>220</v>
      </c>
      <c r="AE537" t="s">
        <v>224</v>
      </c>
      <c r="AG537" t="s">
        <v>337</v>
      </c>
      <c r="AH537" t="s">
        <v>327</v>
      </c>
      <c r="AI537" t="s">
        <v>121</v>
      </c>
      <c r="AJ537" t="s">
        <v>715</v>
      </c>
      <c r="AK537" t="s">
        <v>1098</v>
      </c>
    </row>
    <row r="538" spans="9:37" x14ac:dyDescent="0.3">
      <c r="I538">
        <f ca="1">IF(OR(INDIRECT(A73&amp;ROW())=B93,INDIRECT(A73&amp;ROW())=B94),1,IF(AND(INDIRECT(A73&amp;ROW())=B95,INDIRECT(A96&amp;ROW())=C93),1,IF(AND(INDIRECT(A73&amp;ROW())=B95,INDIRECT(A96&amp;ROW())=C94),1,0)))</f>
        <v>1</v>
      </c>
      <c r="J538">
        <f ca="1">IF(AND(INDIRECT(A73&amp;ROW())=B95,INDIRECT(A96&amp;ROW())=C95),1,IF(AND(INDIRECT(A73&amp;ROW())=B95,INDIRECT(A96&amp;ROW())=C96),1,0))</f>
        <v>0</v>
      </c>
      <c r="K538">
        <f ca="1">DAYS360(INDIRECT(C68&amp;ROW()),TODAY())</f>
        <v>703</v>
      </c>
      <c r="L538">
        <f ca="1">DAYS360(INDIRECT(C69&amp;ROW()),TODAY())</f>
        <v>723</v>
      </c>
      <c r="M538">
        <f ca="1">HYPERLINK(CONCATENATE("https://bugzilla.houston.hp.com:1181/bugzilla/show_bug.cgi?id=",INDIRECT(C70&amp;ROW())),INDIRECT(C70&amp;ROW()))</f>
        <v>61547</v>
      </c>
      <c r="N538">
        <v>61547</v>
      </c>
      <c r="O538" t="s">
        <v>43</v>
      </c>
      <c r="P538" t="s">
        <v>981</v>
      </c>
      <c r="Q538" t="s">
        <v>25</v>
      </c>
      <c r="R538" t="s">
        <v>248</v>
      </c>
      <c r="S538" t="s">
        <v>552</v>
      </c>
      <c r="U538" s="6">
        <v>42143.45590277778</v>
      </c>
      <c r="V538" t="s">
        <v>18</v>
      </c>
      <c r="W538" t="s">
        <v>17</v>
      </c>
      <c r="X538" s="6">
        <v>42123.465532407405</v>
      </c>
      <c r="Y538" t="s">
        <v>125</v>
      </c>
      <c r="AB538" t="s">
        <v>200</v>
      </c>
      <c r="AC538" t="s">
        <v>247</v>
      </c>
      <c r="AD538" t="s">
        <v>220</v>
      </c>
      <c r="AE538" t="s">
        <v>224</v>
      </c>
      <c r="AG538" t="s">
        <v>121</v>
      </c>
      <c r="AH538" t="s">
        <v>327</v>
      </c>
      <c r="AI538" t="s">
        <v>121</v>
      </c>
      <c r="AJ538" t="s">
        <v>715</v>
      </c>
      <c r="AK538" t="s">
        <v>121</v>
      </c>
    </row>
    <row r="539" spans="9:37" x14ac:dyDescent="0.3">
      <c r="I539">
        <f ca="1">IF(OR(INDIRECT(A73&amp;ROW())=B93,INDIRECT(A73&amp;ROW())=B94),1,IF(AND(INDIRECT(A73&amp;ROW())=B95,INDIRECT(A96&amp;ROW())=C93),1,IF(AND(INDIRECT(A73&amp;ROW())=B95,INDIRECT(A96&amp;ROW())=C94),1,0)))</f>
        <v>0</v>
      </c>
      <c r="J539">
        <f ca="1">IF(AND(INDIRECT(A73&amp;ROW())=B95,INDIRECT(A96&amp;ROW())=C95),1,IF(AND(INDIRECT(A73&amp;ROW())=B95,INDIRECT(A96&amp;ROW())=C96),1,0))</f>
        <v>1</v>
      </c>
      <c r="K539">
        <f ca="1">DAYS360(INDIRECT(C68&amp;ROW()),TODAY())</f>
        <v>711</v>
      </c>
      <c r="L539">
        <f ca="1">DAYS360(INDIRECT(C69&amp;ROW()),TODAY())</f>
        <v>723</v>
      </c>
      <c r="M539">
        <f ca="1">HYPERLINK(CONCATENATE("https://bugzilla.houston.hp.com:1181/bugzilla/show_bug.cgi?id=",INDIRECT(C70&amp;ROW())),INDIRECT(C70&amp;ROW()))</f>
        <v>61555</v>
      </c>
      <c r="N539">
        <v>61555</v>
      </c>
      <c r="O539" t="s">
        <v>21</v>
      </c>
      <c r="P539" t="s">
        <v>997</v>
      </c>
      <c r="Q539" t="s">
        <v>25</v>
      </c>
      <c r="R539" t="s">
        <v>251</v>
      </c>
      <c r="S539" t="s">
        <v>365</v>
      </c>
      <c r="U539" s="6">
        <v>42135.357233796298</v>
      </c>
      <c r="V539" t="s">
        <v>18</v>
      </c>
      <c r="W539" t="s">
        <v>783</v>
      </c>
      <c r="X539" s="6">
        <v>42123.566493055558</v>
      </c>
      <c r="Y539" t="s">
        <v>246</v>
      </c>
      <c r="AB539" t="s">
        <v>201</v>
      </c>
      <c r="AC539" t="s">
        <v>247</v>
      </c>
      <c r="AD539" t="s">
        <v>227</v>
      </c>
      <c r="AE539" t="s">
        <v>237</v>
      </c>
      <c r="AG539" t="s">
        <v>121</v>
      </c>
      <c r="AH539" t="s">
        <v>327</v>
      </c>
      <c r="AI539" t="s">
        <v>121</v>
      </c>
      <c r="AJ539" t="s">
        <v>716</v>
      </c>
      <c r="AK539" t="s">
        <v>121</v>
      </c>
    </row>
    <row r="540" spans="9:37" x14ac:dyDescent="0.3">
      <c r="I540">
        <f ca="1">IF(OR(INDIRECT(A73&amp;ROW())=B93,INDIRECT(A73&amp;ROW())=B94),1,IF(AND(INDIRECT(A73&amp;ROW())=B95,INDIRECT(A96&amp;ROW())=C93),1,IF(AND(INDIRECT(A73&amp;ROW())=B95,INDIRECT(A96&amp;ROW())=C94),1,0)))</f>
        <v>0</v>
      </c>
      <c r="J540">
        <f ca="1">IF(AND(INDIRECT(A73&amp;ROW())=B95,INDIRECT(A96&amp;ROW())=C95),1,IF(AND(INDIRECT(A73&amp;ROW())=B95,INDIRECT(A96&amp;ROW())=C96),1,0))</f>
        <v>1</v>
      </c>
      <c r="K540">
        <f ca="1">DAYS360(INDIRECT(C68&amp;ROW()),TODAY())</f>
        <v>723</v>
      </c>
      <c r="L540">
        <f ca="1">DAYS360(INDIRECT(C69&amp;ROW()),TODAY())</f>
        <v>723</v>
      </c>
      <c r="M540">
        <f ca="1">HYPERLINK(CONCATENATE("https://bugzilla.houston.hp.com:1181/bugzilla/show_bug.cgi?id=",INDIRECT(C70&amp;ROW())),INDIRECT(C70&amp;ROW()))</f>
        <v>61557</v>
      </c>
      <c r="N540">
        <v>61557</v>
      </c>
      <c r="O540" t="s">
        <v>45</v>
      </c>
      <c r="P540" t="s">
        <v>996</v>
      </c>
      <c r="Q540" t="s">
        <v>25</v>
      </c>
      <c r="R540" t="s">
        <v>783</v>
      </c>
      <c r="S540" t="s">
        <v>552</v>
      </c>
      <c r="U540" s="6">
        <v>42123.621203703704</v>
      </c>
      <c r="V540" t="s">
        <v>18</v>
      </c>
      <c r="W540" t="s">
        <v>783</v>
      </c>
      <c r="X540" s="6">
        <v>42123.621203703704</v>
      </c>
      <c r="Y540" t="s">
        <v>246</v>
      </c>
      <c r="AB540" t="s">
        <v>201</v>
      </c>
      <c r="AC540" t="s">
        <v>247</v>
      </c>
      <c r="AD540" t="s">
        <v>227</v>
      </c>
      <c r="AE540" t="s">
        <v>237</v>
      </c>
      <c r="AG540" t="s">
        <v>121</v>
      </c>
      <c r="AH540" t="s">
        <v>327</v>
      </c>
      <c r="AI540" t="s">
        <v>121</v>
      </c>
      <c r="AJ540" t="s">
        <v>716</v>
      </c>
      <c r="AK540" t="s">
        <v>121</v>
      </c>
    </row>
    <row r="541" spans="9:37" x14ac:dyDescent="0.3">
      <c r="I541">
        <f ca="1">IF(OR(INDIRECT(A73&amp;ROW())=B93,INDIRECT(A73&amp;ROW())=B94),1,IF(AND(INDIRECT(A73&amp;ROW())=B95,INDIRECT(A96&amp;ROW())=C93),1,IF(AND(INDIRECT(A73&amp;ROW())=B95,INDIRECT(A96&amp;ROW())=C94),1,0)))</f>
        <v>0</v>
      </c>
      <c r="J541">
        <f ca="1">IF(AND(INDIRECT(A73&amp;ROW())=B95,INDIRECT(A96&amp;ROW())=C95),1,IF(AND(INDIRECT(A73&amp;ROW())=B95,INDIRECT(A96&amp;ROW())=C96),1,0))</f>
        <v>1</v>
      </c>
      <c r="K541">
        <f ca="1">DAYS360(INDIRECT(C68&amp;ROW()),TODAY())</f>
        <v>723</v>
      </c>
      <c r="L541">
        <f ca="1">DAYS360(INDIRECT(C69&amp;ROW()),TODAY())</f>
        <v>723</v>
      </c>
      <c r="M541">
        <f ca="1">HYPERLINK(CONCATENATE("https://bugzilla.houston.hp.com:1181/bugzilla/show_bug.cgi?id=",INDIRECT(C70&amp;ROW())),INDIRECT(C70&amp;ROW()))</f>
        <v>61558</v>
      </c>
      <c r="N541">
        <v>61558</v>
      </c>
      <c r="O541" t="s">
        <v>45</v>
      </c>
      <c r="P541" t="s">
        <v>995</v>
      </c>
      <c r="Q541" t="s">
        <v>25</v>
      </c>
      <c r="R541" t="s">
        <v>248</v>
      </c>
      <c r="S541" t="s">
        <v>552</v>
      </c>
      <c r="U541" s="6">
        <v>42123.621261574073</v>
      </c>
      <c r="V541" t="s">
        <v>18</v>
      </c>
      <c r="W541" t="s">
        <v>783</v>
      </c>
      <c r="X541" s="6">
        <v>42123.621261574073</v>
      </c>
      <c r="Y541" t="s">
        <v>246</v>
      </c>
      <c r="AB541" t="s">
        <v>201</v>
      </c>
      <c r="AC541" t="s">
        <v>247</v>
      </c>
      <c r="AD541" t="s">
        <v>227</v>
      </c>
      <c r="AE541" t="s">
        <v>237</v>
      </c>
      <c r="AG541" t="s">
        <v>121</v>
      </c>
      <c r="AH541" t="s">
        <v>327</v>
      </c>
      <c r="AI541" t="s">
        <v>121</v>
      </c>
      <c r="AJ541" t="s">
        <v>716</v>
      </c>
      <c r="AK541" t="s">
        <v>121</v>
      </c>
    </row>
    <row r="542" spans="9:37" x14ac:dyDescent="0.3">
      <c r="I542">
        <f ca="1">IF(OR(INDIRECT(A73&amp;ROW())=B93,INDIRECT(A73&amp;ROW())=B94),1,IF(AND(INDIRECT(A73&amp;ROW())=B95,INDIRECT(A96&amp;ROW())=C93),1,IF(AND(INDIRECT(A73&amp;ROW())=B95,INDIRECT(A96&amp;ROW())=C94),1,0)))</f>
        <v>0</v>
      </c>
      <c r="J542">
        <f ca="1">IF(AND(INDIRECT(A73&amp;ROW())=B95,INDIRECT(A96&amp;ROW())=C95),1,IF(AND(INDIRECT(A73&amp;ROW())=B95,INDIRECT(A96&amp;ROW())=C96),1,0))</f>
        <v>0</v>
      </c>
      <c r="K542">
        <f ca="1">DAYS360(INDIRECT(C68&amp;ROW()),TODAY())</f>
        <v>717</v>
      </c>
      <c r="L542">
        <f ca="1">DAYS360(INDIRECT(C69&amp;ROW()),TODAY())</f>
        <v>723</v>
      </c>
      <c r="M542">
        <f ca="1">HYPERLINK(CONCATENATE("https://bugzilla.houston.hp.com:1181/bugzilla/show_bug.cgi?id=",INDIRECT(C70&amp;ROW())),INDIRECT(C70&amp;ROW()))</f>
        <v>61563</v>
      </c>
      <c r="N542">
        <v>61563</v>
      </c>
      <c r="O542" t="s">
        <v>19</v>
      </c>
      <c r="P542" t="s">
        <v>994</v>
      </c>
      <c r="Q542" t="s">
        <v>16</v>
      </c>
      <c r="R542" t="s">
        <v>251</v>
      </c>
      <c r="S542" t="s">
        <v>917</v>
      </c>
      <c r="U542" s="6">
        <v>42129.601030092592</v>
      </c>
      <c r="V542" t="s">
        <v>18</v>
      </c>
      <c r="W542" t="s">
        <v>783</v>
      </c>
      <c r="X542" s="6">
        <v>42123.659282407411</v>
      </c>
      <c r="Y542" t="s">
        <v>846</v>
      </c>
      <c r="AB542" t="s">
        <v>201</v>
      </c>
      <c r="AC542" t="s">
        <v>247</v>
      </c>
      <c r="AD542" t="s">
        <v>220</v>
      </c>
      <c r="AE542" t="s">
        <v>290</v>
      </c>
      <c r="AG542" t="s">
        <v>121</v>
      </c>
      <c r="AH542" t="s">
        <v>327</v>
      </c>
      <c r="AI542" t="s">
        <v>121</v>
      </c>
      <c r="AJ542" t="s">
        <v>717</v>
      </c>
      <c r="AK542" t="s">
        <v>121</v>
      </c>
    </row>
    <row r="543" spans="9:37" x14ac:dyDescent="0.3">
      <c r="I543">
        <f ca="1">IF(OR(INDIRECT(A73&amp;ROW())=B93,INDIRECT(A73&amp;ROW())=B94),1,IF(AND(INDIRECT(A73&amp;ROW())=B95,INDIRECT(A96&amp;ROW())=C93),1,IF(AND(INDIRECT(A73&amp;ROW())=B95,INDIRECT(A96&amp;ROW())=C94),1,0)))</f>
        <v>0</v>
      </c>
      <c r="J543">
        <f ca="1">IF(AND(INDIRECT(A73&amp;ROW())=B95,INDIRECT(A96&amp;ROW())=C95),1,IF(AND(INDIRECT(A73&amp;ROW())=B95,INDIRECT(A96&amp;ROW())=C96),1,0))</f>
        <v>0</v>
      </c>
      <c r="K543">
        <f ca="1">DAYS360(INDIRECT(C68&amp;ROW()),TODAY())</f>
        <v>722</v>
      </c>
      <c r="L543">
        <f ca="1">DAYS360(INDIRECT(C69&amp;ROW()),TODAY())</f>
        <v>722</v>
      </c>
      <c r="M543">
        <f ca="1">HYPERLINK(CONCATENATE("https://bugzilla.houston.hp.com:1181/bugzilla/show_bug.cgi?id=",INDIRECT(C70&amp;ROW())),INDIRECT(C70&amp;ROW()))</f>
        <v>61617</v>
      </c>
      <c r="N543">
        <v>61617</v>
      </c>
      <c r="O543" t="s">
        <v>19</v>
      </c>
      <c r="P543" t="s">
        <v>993</v>
      </c>
      <c r="Q543" t="s">
        <v>16</v>
      </c>
      <c r="R543" t="s">
        <v>783</v>
      </c>
      <c r="S543" t="s">
        <v>552</v>
      </c>
      <c r="U543" s="6">
        <v>42124.327418981484</v>
      </c>
      <c r="V543" t="s">
        <v>18</v>
      </c>
      <c r="W543" t="s">
        <v>783</v>
      </c>
      <c r="X543" s="6">
        <v>42124.327418981484</v>
      </c>
      <c r="Y543" t="s">
        <v>846</v>
      </c>
      <c r="AB543" t="s">
        <v>201</v>
      </c>
      <c r="AC543" t="s">
        <v>247</v>
      </c>
      <c r="AD543" t="s">
        <v>220</v>
      </c>
      <c r="AE543" t="s">
        <v>290</v>
      </c>
      <c r="AG543" t="s">
        <v>121</v>
      </c>
      <c r="AH543" t="s">
        <v>327</v>
      </c>
      <c r="AI543" t="s">
        <v>121</v>
      </c>
      <c r="AJ543" t="s">
        <v>717</v>
      </c>
      <c r="AK543" t="s">
        <v>121</v>
      </c>
    </row>
    <row r="544" spans="9:37" x14ac:dyDescent="0.3">
      <c r="I544">
        <f ca="1">IF(OR(INDIRECT(A73&amp;ROW())=B93,INDIRECT(A73&amp;ROW())=B94),1,IF(AND(INDIRECT(A73&amp;ROW())=B95,INDIRECT(A96&amp;ROW())=C93),1,IF(AND(INDIRECT(A73&amp;ROW())=B95,INDIRECT(A96&amp;ROW())=C94),1,0)))</f>
        <v>0</v>
      </c>
      <c r="J544">
        <f ca="1">IF(AND(INDIRECT(A73&amp;ROW())=B95,INDIRECT(A96&amp;ROW())=C95),1,IF(AND(INDIRECT(A73&amp;ROW())=B95,INDIRECT(A96&amp;ROW())=C96),1,0))</f>
        <v>0</v>
      </c>
      <c r="K544">
        <f ca="1">DAYS360(INDIRECT(C68&amp;ROW()),TODAY())</f>
        <v>722</v>
      </c>
      <c r="L544">
        <f ca="1">DAYS360(INDIRECT(C69&amp;ROW()),TODAY())</f>
        <v>722</v>
      </c>
      <c r="M544">
        <f ca="1">HYPERLINK(CONCATENATE("https://bugzilla.houston.hp.com:1181/bugzilla/show_bug.cgi?id=",INDIRECT(C70&amp;ROW())),INDIRECT(C70&amp;ROW()))</f>
        <v>61618</v>
      </c>
      <c r="N544">
        <v>61618</v>
      </c>
      <c r="O544" t="s">
        <v>19</v>
      </c>
      <c r="P544" t="s">
        <v>992</v>
      </c>
      <c r="Q544" t="s">
        <v>16</v>
      </c>
      <c r="R544" t="s">
        <v>248</v>
      </c>
      <c r="S544" t="s">
        <v>552</v>
      </c>
      <c r="U544" s="6">
        <v>42124.327488425923</v>
      </c>
      <c r="V544" t="s">
        <v>18</v>
      </c>
      <c r="W544" t="s">
        <v>783</v>
      </c>
      <c r="X544" s="6">
        <v>42124.327488425923</v>
      </c>
      <c r="Y544" t="s">
        <v>846</v>
      </c>
      <c r="AB544" t="s">
        <v>201</v>
      </c>
      <c r="AC544" t="s">
        <v>247</v>
      </c>
      <c r="AD544" t="s">
        <v>220</v>
      </c>
      <c r="AE544" t="s">
        <v>290</v>
      </c>
      <c r="AG544" t="s">
        <v>121</v>
      </c>
      <c r="AH544" t="s">
        <v>327</v>
      </c>
      <c r="AI544" t="s">
        <v>121</v>
      </c>
      <c r="AJ544" t="s">
        <v>717</v>
      </c>
      <c r="AK544" t="s">
        <v>121</v>
      </c>
    </row>
    <row r="545" spans="9:37" x14ac:dyDescent="0.3">
      <c r="I545">
        <f ca="1">IF(OR(INDIRECT(A73&amp;ROW())=B93,INDIRECT(A73&amp;ROW())=B94),1,IF(AND(INDIRECT(A73&amp;ROW())=B95,INDIRECT(A96&amp;ROW())=C93),1,IF(AND(INDIRECT(A73&amp;ROW())=B95,INDIRECT(A96&amp;ROW())=C94),1,0)))</f>
        <v>0</v>
      </c>
      <c r="J545">
        <f ca="1">IF(AND(INDIRECT(A73&amp;ROW())=B95,INDIRECT(A96&amp;ROW())=C95),1,IF(AND(INDIRECT(A73&amp;ROW())=B95,INDIRECT(A96&amp;ROW())=C96),1,0))</f>
        <v>0</v>
      </c>
      <c r="K545">
        <f ca="1">DAYS360(INDIRECT(C68&amp;ROW()),TODAY())</f>
        <v>721</v>
      </c>
      <c r="L545">
        <f ca="1">DAYS360(INDIRECT(C69&amp;ROW()),TODAY())</f>
        <v>722</v>
      </c>
      <c r="M545">
        <f ca="1">HYPERLINK(CONCATENATE("https://bugzilla.houston.hp.com:1181/bugzilla/show_bug.cgi?id=",INDIRECT(C70&amp;ROW())),INDIRECT(C70&amp;ROW()))</f>
        <v>61626</v>
      </c>
      <c r="N545">
        <v>61626</v>
      </c>
      <c r="O545" t="s">
        <v>241</v>
      </c>
      <c r="P545" t="s">
        <v>991</v>
      </c>
      <c r="Q545" t="s">
        <v>16</v>
      </c>
      <c r="R545" t="s">
        <v>251</v>
      </c>
      <c r="S545" t="s">
        <v>296</v>
      </c>
      <c r="T545" t="s">
        <v>794</v>
      </c>
      <c r="U545" s="6">
        <v>42125.283425925925</v>
      </c>
      <c r="V545" t="s">
        <v>18</v>
      </c>
      <c r="W545" t="s">
        <v>17</v>
      </c>
      <c r="X545" s="6">
        <v>42124.338078703702</v>
      </c>
      <c r="Y545" t="s">
        <v>122</v>
      </c>
      <c r="AB545" t="s">
        <v>200</v>
      </c>
      <c r="AC545" t="s">
        <v>933</v>
      </c>
      <c r="AD545" t="s">
        <v>222</v>
      </c>
      <c r="AE545" t="s">
        <v>221</v>
      </c>
      <c r="AG545" t="s">
        <v>121</v>
      </c>
      <c r="AH545" t="s">
        <v>327</v>
      </c>
      <c r="AI545" t="s">
        <v>121</v>
      </c>
      <c r="AJ545" t="s">
        <v>716</v>
      </c>
      <c r="AK545" t="s">
        <v>121</v>
      </c>
    </row>
    <row r="546" spans="9:37" x14ac:dyDescent="0.3">
      <c r="I546">
        <f ca="1">IF(OR(INDIRECT(A73&amp;ROW())=B93,INDIRECT(A73&amp;ROW())=B94),1,IF(AND(INDIRECT(A73&amp;ROW())=B95,INDIRECT(A96&amp;ROW())=C93),1,IF(AND(INDIRECT(A73&amp;ROW())=B95,INDIRECT(A96&amp;ROW())=C94),1,0)))</f>
        <v>0</v>
      </c>
      <c r="J546">
        <f ca="1">IF(AND(INDIRECT(A73&amp;ROW())=B95,INDIRECT(A96&amp;ROW())=C95),1,IF(AND(INDIRECT(A73&amp;ROW())=B95,INDIRECT(A96&amp;ROW())=C96),1,0))</f>
        <v>0</v>
      </c>
      <c r="K546">
        <f ca="1">DAYS360(INDIRECT(C68&amp;ROW()),TODAY())</f>
        <v>721</v>
      </c>
      <c r="L546">
        <f ca="1">DAYS360(INDIRECT(C69&amp;ROW()),TODAY())</f>
        <v>722</v>
      </c>
      <c r="M546">
        <f ca="1">HYPERLINK(CONCATENATE("https://bugzilla.houston.hp.com:1181/bugzilla/show_bug.cgi?id=",INDIRECT(C70&amp;ROW())),INDIRECT(C70&amp;ROW()))</f>
        <v>61630</v>
      </c>
      <c r="N546">
        <v>61630</v>
      </c>
      <c r="O546" t="s">
        <v>241</v>
      </c>
      <c r="P546" t="s">
        <v>990</v>
      </c>
      <c r="Q546" t="s">
        <v>16</v>
      </c>
      <c r="R546" t="s">
        <v>783</v>
      </c>
      <c r="S546" t="s">
        <v>552</v>
      </c>
      <c r="T546" t="s">
        <v>794</v>
      </c>
      <c r="U546" s="6">
        <v>42125.283414351848</v>
      </c>
      <c r="V546" t="s">
        <v>18</v>
      </c>
      <c r="W546" t="s">
        <v>17</v>
      </c>
      <c r="X546" s="6">
        <v>42124.355034722219</v>
      </c>
      <c r="Y546" t="s">
        <v>122</v>
      </c>
      <c r="AB546" t="s">
        <v>200</v>
      </c>
      <c r="AC546" t="s">
        <v>933</v>
      </c>
      <c r="AD546" t="s">
        <v>222</v>
      </c>
      <c r="AE546" t="s">
        <v>221</v>
      </c>
      <c r="AG546" t="s">
        <v>121</v>
      </c>
      <c r="AH546" t="s">
        <v>327</v>
      </c>
      <c r="AI546" t="s">
        <v>121</v>
      </c>
      <c r="AJ546" t="s">
        <v>716</v>
      </c>
      <c r="AK546" t="s">
        <v>121</v>
      </c>
    </row>
    <row r="547" spans="9:37" x14ac:dyDescent="0.3">
      <c r="I547">
        <f ca="1">IF(OR(INDIRECT(A73&amp;ROW())=B93,INDIRECT(A73&amp;ROW())=B94),1,IF(AND(INDIRECT(A73&amp;ROW())=B95,INDIRECT(A96&amp;ROW())=C93),1,IF(AND(INDIRECT(A73&amp;ROW())=B95,INDIRECT(A96&amp;ROW())=C94),1,0)))</f>
        <v>0</v>
      </c>
      <c r="J547">
        <f ca="1">IF(AND(INDIRECT(A73&amp;ROW())=B95,INDIRECT(A96&amp;ROW())=C95),1,IF(AND(INDIRECT(A73&amp;ROW())=B95,INDIRECT(A96&amp;ROW())=C96),1,0))</f>
        <v>0</v>
      </c>
      <c r="K547">
        <f ca="1">DAYS360(INDIRECT(C68&amp;ROW()),TODAY())</f>
        <v>721</v>
      </c>
      <c r="L547">
        <f ca="1">DAYS360(INDIRECT(C69&amp;ROW()),TODAY())</f>
        <v>722</v>
      </c>
      <c r="M547">
        <f ca="1">HYPERLINK(CONCATENATE("https://bugzilla.houston.hp.com:1181/bugzilla/show_bug.cgi?id=",INDIRECT(C70&amp;ROW())),INDIRECT(C70&amp;ROW()))</f>
        <v>61631</v>
      </c>
      <c r="N547">
        <v>61631</v>
      </c>
      <c r="O547" t="s">
        <v>241</v>
      </c>
      <c r="P547" t="s">
        <v>989</v>
      </c>
      <c r="Q547" t="s">
        <v>16</v>
      </c>
      <c r="R547" t="s">
        <v>248</v>
      </c>
      <c r="S547" t="s">
        <v>552</v>
      </c>
      <c r="T547" t="s">
        <v>794</v>
      </c>
      <c r="U547" s="6">
        <v>42125.283402777779</v>
      </c>
      <c r="V547" t="s">
        <v>18</v>
      </c>
      <c r="W547" t="s">
        <v>17</v>
      </c>
      <c r="X547" s="6">
        <v>42124.355138888888</v>
      </c>
      <c r="Y547" t="s">
        <v>122</v>
      </c>
      <c r="AB547" t="s">
        <v>200</v>
      </c>
      <c r="AC547" t="s">
        <v>933</v>
      </c>
      <c r="AD547" t="s">
        <v>222</v>
      </c>
      <c r="AE547" t="s">
        <v>221</v>
      </c>
      <c r="AG547" t="s">
        <v>121</v>
      </c>
      <c r="AH547" t="s">
        <v>327</v>
      </c>
      <c r="AI547" t="s">
        <v>121</v>
      </c>
      <c r="AJ547" t="s">
        <v>716</v>
      </c>
      <c r="AK547" t="s">
        <v>121</v>
      </c>
    </row>
    <row r="548" spans="9:37" x14ac:dyDescent="0.3">
      <c r="I548">
        <f ca="1">IF(OR(INDIRECT(A73&amp;ROW())=B93,INDIRECT(A73&amp;ROW())=B94),1,IF(AND(INDIRECT(A73&amp;ROW())=B95,INDIRECT(A96&amp;ROW())=C93),1,IF(AND(INDIRECT(A73&amp;ROW())=B95,INDIRECT(A96&amp;ROW())=C94),1,0)))</f>
        <v>1</v>
      </c>
      <c r="J548">
        <f ca="1">IF(AND(INDIRECT(A73&amp;ROW())=B95,INDIRECT(A96&amp;ROW())=C95),1,IF(AND(INDIRECT(A73&amp;ROW())=B95,INDIRECT(A96&amp;ROW())=C96),1,0))</f>
        <v>0</v>
      </c>
      <c r="K548">
        <f ca="1">DAYS360(INDIRECT(C68&amp;ROW()),TODAY())</f>
        <v>721</v>
      </c>
      <c r="L548">
        <f ca="1">DAYS360(INDIRECT(C69&amp;ROW()),TODAY())</f>
        <v>721</v>
      </c>
      <c r="M548">
        <f ca="1">HYPERLINK(CONCATENATE("https://bugzilla.houston.hp.com:1181/bugzilla/show_bug.cgi?id=",INDIRECT(C70&amp;ROW())),INDIRECT(C70&amp;ROW()))</f>
        <v>61690</v>
      </c>
      <c r="N548">
        <v>61690</v>
      </c>
      <c r="O548" t="s">
        <v>45</v>
      </c>
      <c r="P548" t="s">
        <v>1006</v>
      </c>
      <c r="Q548" t="s">
        <v>38</v>
      </c>
      <c r="R548" t="s">
        <v>248</v>
      </c>
      <c r="S548" t="s">
        <v>552</v>
      </c>
      <c r="U548" s="6">
        <v>42125.427094907405</v>
      </c>
      <c r="V548" t="s">
        <v>18</v>
      </c>
      <c r="W548" t="s">
        <v>248</v>
      </c>
      <c r="X548" s="6">
        <v>42125.427094907405</v>
      </c>
      <c r="Y548" t="s">
        <v>793</v>
      </c>
      <c r="AB548" t="s">
        <v>200</v>
      </c>
      <c r="AC548" t="s">
        <v>247</v>
      </c>
      <c r="AD548" t="s">
        <v>227</v>
      </c>
      <c r="AE548" t="s">
        <v>226</v>
      </c>
      <c r="AG548" t="s">
        <v>121</v>
      </c>
      <c r="AH548" t="s">
        <v>327</v>
      </c>
      <c r="AI548" t="s">
        <v>121</v>
      </c>
      <c r="AJ548" t="s">
        <v>715</v>
      </c>
      <c r="AK548" t="s">
        <v>121</v>
      </c>
    </row>
    <row r="549" spans="9:37" x14ac:dyDescent="0.3">
      <c r="I549">
        <f ca="1">IF(OR(INDIRECT(A73&amp;ROW())=B93,INDIRECT(A73&amp;ROW())=B94),1,IF(AND(INDIRECT(A73&amp;ROW())=B95,INDIRECT(A96&amp;ROW())=C93),1,IF(AND(INDIRECT(A73&amp;ROW())=B95,INDIRECT(A96&amp;ROW())=C94),1,0)))</f>
        <v>1</v>
      </c>
      <c r="J549">
        <f ca="1">IF(AND(INDIRECT(A73&amp;ROW())=B95,INDIRECT(A96&amp;ROW())=C95),1,IF(AND(INDIRECT(A73&amp;ROW())=B95,INDIRECT(A96&amp;ROW())=C96),1,0))</f>
        <v>0</v>
      </c>
      <c r="K549">
        <f ca="1">DAYS360(INDIRECT(C68&amp;ROW()),TODAY())</f>
        <v>689</v>
      </c>
      <c r="L549">
        <f ca="1">DAYS360(INDIRECT(C69&amp;ROW()),TODAY())</f>
        <v>721</v>
      </c>
      <c r="M549">
        <f ca="1">HYPERLINK(CONCATENATE("https://bugzilla.houston.hp.com:1181/bugzilla/show_bug.cgi?id=",INDIRECT(C70&amp;ROW())),INDIRECT(C70&amp;ROW()))</f>
        <v>61692</v>
      </c>
      <c r="N549">
        <v>61692</v>
      </c>
      <c r="O549" t="s">
        <v>856</v>
      </c>
      <c r="P549" t="s">
        <v>1005</v>
      </c>
      <c r="Q549" t="s">
        <v>25</v>
      </c>
      <c r="R549" t="s">
        <v>251</v>
      </c>
      <c r="S549" t="s">
        <v>296</v>
      </c>
      <c r="U549" s="6">
        <v>42158.616168981483</v>
      </c>
      <c r="V549" t="s">
        <v>18</v>
      </c>
      <c r="W549" t="s">
        <v>17</v>
      </c>
      <c r="X549" s="6">
        <v>42125.429236111115</v>
      </c>
      <c r="Y549" t="s">
        <v>122</v>
      </c>
      <c r="AB549" t="s">
        <v>200</v>
      </c>
      <c r="AC549" t="s">
        <v>247</v>
      </c>
      <c r="AD549" t="s">
        <v>220</v>
      </c>
      <c r="AE549" t="s">
        <v>223</v>
      </c>
      <c r="AG549" t="s">
        <v>121</v>
      </c>
      <c r="AH549" t="s">
        <v>327</v>
      </c>
      <c r="AI549" t="s">
        <v>121</v>
      </c>
      <c r="AJ549" t="s">
        <v>715</v>
      </c>
      <c r="AK549" t="s">
        <v>121</v>
      </c>
    </row>
    <row r="550" spans="9:37" x14ac:dyDescent="0.3">
      <c r="I550">
        <f ca="1">IF(OR(INDIRECT(A73&amp;ROW())=B93,INDIRECT(A73&amp;ROW())=B94),1,IF(AND(INDIRECT(A73&amp;ROW())=B95,INDIRECT(A96&amp;ROW())=C93),1,IF(AND(INDIRECT(A73&amp;ROW())=B95,INDIRECT(A96&amp;ROW())=C94),1,0)))</f>
        <v>1</v>
      </c>
      <c r="J550">
        <f ca="1">IF(AND(INDIRECT(A73&amp;ROW())=B95,INDIRECT(A96&amp;ROW())=C95),1,IF(AND(INDIRECT(A73&amp;ROW())=B95,INDIRECT(A96&amp;ROW())=C96),1,0))</f>
        <v>0</v>
      </c>
      <c r="K550">
        <f ca="1">DAYS360(INDIRECT(C68&amp;ROW()),TODAY())</f>
        <v>690</v>
      </c>
      <c r="L550">
        <f ca="1">DAYS360(INDIRECT(C69&amp;ROW()),TODAY())</f>
        <v>721</v>
      </c>
      <c r="M550">
        <f ca="1">HYPERLINK(CONCATENATE("https://bugzilla.houston.hp.com:1181/bugzilla/show_bug.cgi?id=",INDIRECT(C70&amp;ROW())),INDIRECT(C70&amp;ROW()))</f>
        <v>61696</v>
      </c>
      <c r="N550">
        <v>61696</v>
      </c>
      <c r="O550" t="s">
        <v>45</v>
      </c>
      <c r="P550" t="s">
        <v>1021</v>
      </c>
      <c r="Q550" t="s">
        <v>39</v>
      </c>
      <c r="R550" t="s">
        <v>251</v>
      </c>
      <c r="S550" t="s">
        <v>52</v>
      </c>
      <c r="T550" t="s">
        <v>48</v>
      </c>
      <c r="U550" s="6">
        <v>42157.342395833337</v>
      </c>
      <c r="V550" t="s">
        <v>35</v>
      </c>
      <c r="W550" t="s">
        <v>783</v>
      </c>
      <c r="X550" s="6">
        <v>42125.491550925923</v>
      </c>
      <c r="Y550" t="s">
        <v>119</v>
      </c>
      <c r="AB550" t="s">
        <v>201</v>
      </c>
      <c r="AC550" t="s">
        <v>247</v>
      </c>
      <c r="AD550" t="s">
        <v>227</v>
      </c>
      <c r="AE550" t="s">
        <v>226</v>
      </c>
      <c r="AG550" t="s">
        <v>121</v>
      </c>
      <c r="AH550" t="s">
        <v>327</v>
      </c>
      <c r="AI550" t="s">
        <v>121</v>
      </c>
      <c r="AJ550" t="s">
        <v>715</v>
      </c>
      <c r="AK550" t="s">
        <v>121</v>
      </c>
    </row>
    <row r="551" spans="9:37" x14ac:dyDescent="0.3">
      <c r="I551">
        <f ca="1">IF(OR(INDIRECT(A73&amp;ROW())=B93,INDIRECT(A73&amp;ROW())=B94),1,IF(AND(INDIRECT(A73&amp;ROW())=B95,INDIRECT(A96&amp;ROW())=C93),1,IF(AND(INDIRECT(A73&amp;ROW())=B95,INDIRECT(A96&amp;ROW())=C94),1,0)))</f>
        <v>1</v>
      </c>
      <c r="J551">
        <f ca="1">IF(AND(INDIRECT(A73&amp;ROW())=B95,INDIRECT(A96&amp;ROW())=C95),1,IF(AND(INDIRECT(A73&amp;ROW())=B95,INDIRECT(A96&amp;ROW())=C96),1,0))</f>
        <v>0</v>
      </c>
      <c r="K551">
        <f ca="1">DAYS360(INDIRECT(C68&amp;ROW()),TODAY())</f>
        <v>687</v>
      </c>
      <c r="L551">
        <f ca="1">DAYS360(INDIRECT(C69&amp;ROW()),TODAY())</f>
        <v>721</v>
      </c>
      <c r="M551">
        <f ca="1">HYPERLINK(CONCATENATE("https://bugzilla.houston.hp.com:1181/bugzilla/show_bug.cgi?id=",INDIRECT(C70&amp;ROW())),INDIRECT(C70&amp;ROW()))</f>
        <v>61705</v>
      </c>
      <c r="N551">
        <v>61705</v>
      </c>
      <c r="O551" t="s">
        <v>43</v>
      </c>
      <c r="P551" t="s">
        <v>1004</v>
      </c>
      <c r="Q551" t="s">
        <v>25</v>
      </c>
      <c r="R551" t="s">
        <v>579</v>
      </c>
      <c r="S551" t="s">
        <v>552</v>
      </c>
      <c r="U551" s="6">
        <v>42160.516377314816</v>
      </c>
      <c r="V551" t="s">
        <v>18</v>
      </c>
      <c r="W551" t="s">
        <v>17</v>
      </c>
      <c r="X551" s="6">
        <v>42125.516134259262</v>
      </c>
      <c r="Y551" t="s">
        <v>122</v>
      </c>
      <c r="AB551" t="s">
        <v>200</v>
      </c>
      <c r="AC551" t="s">
        <v>247</v>
      </c>
      <c r="AD551" t="s">
        <v>220</v>
      </c>
      <c r="AE551" t="s">
        <v>223</v>
      </c>
      <c r="AG551" t="s">
        <v>121</v>
      </c>
      <c r="AH551" t="s">
        <v>327</v>
      </c>
      <c r="AI551" t="s">
        <v>121</v>
      </c>
      <c r="AJ551" t="s">
        <v>715</v>
      </c>
      <c r="AK551" t="s">
        <v>121</v>
      </c>
    </row>
    <row r="552" spans="9:37" x14ac:dyDescent="0.3">
      <c r="I552">
        <f ca="1">IF(OR(INDIRECT(A73&amp;ROW())=B93,INDIRECT(A73&amp;ROW())=B94),1,IF(AND(INDIRECT(A73&amp;ROW())=B95,INDIRECT(A96&amp;ROW())=C93),1,IF(AND(INDIRECT(A73&amp;ROW())=B95,INDIRECT(A96&amp;ROW())=C94),1,0)))</f>
        <v>1</v>
      </c>
      <c r="J552">
        <f ca="1">IF(AND(INDIRECT(A73&amp;ROW())=B95,INDIRECT(A96&amp;ROW())=C95),1,IF(AND(INDIRECT(A73&amp;ROW())=B95,INDIRECT(A96&amp;ROW())=C96),1,0))</f>
        <v>0</v>
      </c>
      <c r="K552">
        <f ca="1">DAYS360(INDIRECT(C68&amp;ROW()),TODAY())</f>
        <v>689</v>
      </c>
      <c r="L552">
        <f ca="1">DAYS360(INDIRECT(C69&amp;ROW()),TODAY())</f>
        <v>721</v>
      </c>
      <c r="M552">
        <f ca="1">HYPERLINK(CONCATENATE("https://bugzilla.houston.hp.com:1181/bugzilla/show_bug.cgi?id=",INDIRECT(C70&amp;ROW())),INDIRECT(C70&amp;ROW()))</f>
        <v>61706</v>
      </c>
      <c r="N552">
        <v>61706</v>
      </c>
      <c r="O552" t="s">
        <v>43</v>
      </c>
      <c r="P552" t="s">
        <v>1003</v>
      </c>
      <c r="Q552" t="s">
        <v>25</v>
      </c>
      <c r="R552" t="s">
        <v>783</v>
      </c>
      <c r="S552" t="s">
        <v>552</v>
      </c>
      <c r="U552" s="6">
        <v>42158.604548611111</v>
      </c>
      <c r="V552" t="s">
        <v>18</v>
      </c>
      <c r="W552" t="s">
        <v>17</v>
      </c>
      <c r="X552" s="6">
        <v>42125.516192129631</v>
      </c>
      <c r="Y552" t="s">
        <v>122</v>
      </c>
      <c r="AB552" t="s">
        <v>200</v>
      </c>
      <c r="AC552" t="s">
        <v>247</v>
      </c>
      <c r="AD552" t="s">
        <v>220</v>
      </c>
      <c r="AE552" t="s">
        <v>223</v>
      </c>
      <c r="AG552" t="s">
        <v>121</v>
      </c>
      <c r="AH552" t="s">
        <v>327</v>
      </c>
      <c r="AI552" t="s">
        <v>121</v>
      </c>
      <c r="AJ552" t="s">
        <v>715</v>
      </c>
      <c r="AK552" t="s">
        <v>121</v>
      </c>
    </row>
    <row r="553" spans="9:37" x14ac:dyDescent="0.3">
      <c r="I553">
        <f ca="1">IF(OR(INDIRECT(A73&amp;ROW())=B93,INDIRECT(A73&amp;ROW())=B94),1,IF(AND(INDIRECT(A73&amp;ROW())=B95,INDIRECT(A96&amp;ROW())=C93),1,IF(AND(INDIRECT(A73&amp;ROW())=B95,INDIRECT(A96&amp;ROW())=C94),1,0)))</f>
        <v>1</v>
      </c>
      <c r="J553">
        <f ca="1">IF(AND(INDIRECT(A73&amp;ROW())=B95,INDIRECT(A96&amp;ROW())=C95),1,IF(AND(INDIRECT(A73&amp;ROW())=B95,INDIRECT(A96&amp;ROW())=C96),1,0))</f>
        <v>0</v>
      </c>
      <c r="K553">
        <f ca="1">DAYS360(INDIRECT(C68&amp;ROW()),TODAY())</f>
        <v>687</v>
      </c>
      <c r="L553">
        <f ca="1">DAYS360(INDIRECT(C69&amp;ROW()),TODAY())</f>
        <v>721</v>
      </c>
      <c r="M553">
        <f ca="1">HYPERLINK(CONCATENATE("https://bugzilla.houston.hp.com:1181/bugzilla/show_bug.cgi?id=",INDIRECT(C70&amp;ROW())),INDIRECT(C70&amp;ROW()))</f>
        <v>61707</v>
      </c>
      <c r="N553">
        <v>61707</v>
      </c>
      <c r="O553" t="s">
        <v>43</v>
      </c>
      <c r="P553" t="s">
        <v>1002</v>
      </c>
      <c r="Q553" t="s">
        <v>25</v>
      </c>
      <c r="R553" t="s">
        <v>248</v>
      </c>
      <c r="S553" t="s">
        <v>552</v>
      </c>
      <c r="U553" s="6">
        <v>42160.51635416667</v>
      </c>
      <c r="V553" t="s">
        <v>18</v>
      </c>
      <c r="W553" t="s">
        <v>17</v>
      </c>
      <c r="X553" s="6">
        <v>42125.516250000001</v>
      </c>
      <c r="Y553" t="s">
        <v>122</v>
      </c>
      <c r="AB553" t="s">
        <v>200</v>
      </c>
      <c r="AC553" t="s">
        <v>247</v>
      </c>
      <c r="AD553" t="s">
        <v>220</v>
      </c>
      <c r="AE553" t="s">
        <v>223</v>
      </c>
      <c r="AG553" t="s">
        <v>121</v>
      </c>
      <c r="AH553" t="s">
        <v>327</v>
      </c>
      <c r="AI553" t="s">
        <v>121</v>
      </c>
      <c r="AJ553" t="s">
        <v>715</v>
      </c>
      <c r="AK553" t="s">
        <v>121</v>
      </c>
    </row>
    <row r="554" spans="9:37" x14ac:dyDescent="0.3">
      <c r="I554">
        <f ca="1">IF(OR(INDIRECT(A73&amp;ROW())=B93,INDIRECT(A73&amp;ROW())=B94),1,IF(AND(INDIRECT(A73&amp;ROW())=B95,INDIRECT(A96&amp;ROW())=C93),1,IF(AND(INDIRECT(A73&amp;ROW())=B95,INDIRECT(A96&amp;ROW())=C94),1,0)))</f>
        <v>1</v>
      </c>
      <c r="J554">
        <f ca="1">IF(AND(INDIRECT(A73&amp;ROW())=B95,INDIRECT(A96&amp;ROW())=C95),1,IF(AND(INDIRECT(A73&amp;ROW())=B95,INDIRECT(A96&amp;ROW())=C96),1,0))</f>
        <v>0</v>
      </c>
      <c r="K554">
        <f ca="1">DAYS360(INDIRECT(C68&amp;ROW()),TODAY())</f>
        <v>707</v>
      </c>
      <c r="L554">
        <f ca="1">DAYS360(INDIRECT(C69&amp;ROW()),TODAY())</f>
        <v>721</v>
      </c>
      <c r="M554">
        <f ca="1">HYPERLINK(CONCATENATE("https://bugzilla.houston.hp.com:1181/bugzilla/show_bug.cgi?id=",INDIRECT(C70&amp;ROW())),INDIRECT(C70&amp;ROW()))</f>
        <v>61712</v>
      </c>
      <c r="N554">
        <v>61712</v>
      </c>
      <c r="O554" t="s">
        <v>45</v>
      </c>
      <c r="P554" t="s">
        <v>1001</v>
      </c>
      <c r="Q554" t="s">
        <v>39</v>
      </c>
      <c r="R554" t="s">
        <v>579</v>
      </c>
      <c r="S554" t="s">
        <v>552</v>
      </c>
      <c r="T554" t="s">
        <v>1024</v>
      </c>
      <c r="U554" s="6">
        <v>42139.527569444443</v>
      </c>
      <c r="V554" t="s">
        <v>40</v>
      </c>
      <c r="W554" t="s">
        <v>783</v>
      </c>
      <c r="X554" s="6">
        <v>42125.516759259262</v>
      </c>
      <c r="Y554" t="s">
        <v>119</v>
      </c>
      <c r="AB554" t="s">
        <v>201</v>
      </c>
      <c r="AC554" t="s">
        <v>247</v>
      </c>
      <c r="AD554" t="s">
        <v>227</v>
      </c>
      <c r="AE554" t="s">
        <v>226</v>
      </c>
      <c r="AG554" t="s">
        <v>121</v>
      </c>
      <c r="AH554" t="s">
        <v>327</v>
      </c>
      <c r="AI554" t="s">
        <v>362</v>
      </c>
      <c r="AJ554" t="s">
        <v>715</v>
      </c>
      <c r="AK554" t="s">
        <v>121</v>
      </c>
    </row>
    <row r="555" spans="9:37" x14ac:dyDescent="0.3">
      <c r="I555">
        <f ca="1">IF(OR(INDIRECT(A73&amp;ROW())=B93,INDIRECT(A73&amp;ROW())=B94),1,IF(AND(INDIRECT(A73&amp;ROW())=B95,INDIRECT(A96&amp;ROW())=C93),1,IF(AND(INDIRECT(A73&amp;ROW())=B95,INDIRECT(A96&amp;ROW())=C94),1,0)))</f>
        <v>0</v>
      </c>
      <c r="J555">
        <f ca="1">IF(AND(INDIRECT(A73&amp;ROW())=B95,INDIRECT(A96&amp;ROW())=C95),1,IF(AND(INDIRECT(A73&amp;ROW())=B95,INDIRECT(A96&amp;ROW())=C96),1,0))</f>
        <v>0</v>
      </c>
      <c r="K555">
        <f ca="1">DAYS360(INDIRECT(C68&amp;ROW()),TODAY())</f>
        <v>710</v>
      </c>
      <c r="L555">
        <f ca="1">DAYS360(INDIRECT(C69&amp;ROW()),TODAY())</f>
        <v>716</v>
      </c>
      <c r="M555">
        <f ca="1">HYPERLINK(CONCATENATE("https://bugzilla.houston.hp.com:1181/bugzilla/show_bug.cgi?id=",INDIRECT(C70&amp;ROW())),INDIRECT(C70&amp;ROW()))</f>
        <v>61875</v>
      </c>
      <c r="N555">
        <v>61875</v>
      </c>
      <c r="O555" t="s">
        <v>59</v>
      </c>
      <c r="P555" t="s">
        <v>1010</v>
      </c>
      <c r="Q555" t="s">
        <v>16</v>
      </c>
      <c r="R555" t="s">
        <v>251</v>
      </c>
      <c r="S555" t="s">
        <v>296</v>
      </c>
      <c r="U555" s="6">
        <v>42136.418356481481</v>
      </c>
      <c r="V555" t="s">
        <v>18</v>
      </c>
      <c r="W555" t="s">
        <v>17</v>
      </c>
      <c r="X555" s="6">
        <v>42130.171030092592</v>
      </c>
      <c r="Y555" t="s">
        <v>122</v>
      </c>
      <c r="AB555" t="s">
        <v>201</v>
      </c>
      <c r="AC555" t="s">
        <v>247</v>
      </c>
      <c r="AD555" t="s">
        <v>222</v>
      </c>
      <c r="AE555" t="s">
        <v>228</v>
      </c>
      <c r="AG555" t="s">
        <v>121</v>
      </c>
      <c r="AH555" t="s">
        <v>327</v>
      </c>
      <c r="AI555" t="s">
        <v>121</v>
      </c>
      <c r="AJ555" t="s">
        <v>717</v>
      </c>
      <c r="AK555" t="s">
        <v>121</v>
      </c>
    </row>
    <row r="556" spans="9:37" x14ac:dyDescent="0.3">
      <c r="I556">
        <f ca="1">IF(OR(INDIRECT(A73&amp;ROW())=B93,INDIRECT(A73&amp;ROW())=B94),1,IF(AND(INDIRECT(A73&amp;ROW())=B95,INDIRECT(A96&amp;ROW())=C93),1,IF(AND(INDIRECT(A73&amp;ROW())=B95,INDIRECT(A96&amp;ROW())=C94),1,0)))</f>
        <v>0</v>
      </c>
      <c r="J556">
        <f ca="1">IF(AND(INDIRECT(A73&amp;ROW())=B95,INDIRECT(A96&amp;ROW())=C95),1,IF(AND(INDIRECT(A73&amp;ROW())=B95,INDIRECT(A96&amp;ROW())=C96),1,0))</f>
        <v>0</v>
      </c>
      <c r="K556">
        <f ca="1">DAYS360(INDIRECT(C68&amp;ROW()),TODAY())</f>
        <v>710</v>
      </c>
      <c r="L556">
        <f ca="1">DAYS360(INDIRECT(C69&amp;ROW()),TODAY())</f>
        <v>716</v>
      </c>
      <c r="M556">
        <f ca="1">HYPERLINK(CONCATENATE("https://bugzilla.houston.hp.com:1181/bugzilla/show_bug.cgi?id=",INDIRECT(C70&amp;ROW())),INDIRECT(C70&amp;ROW()))</f>
        <v>61891</v>
      </c>
      <c r="N556">
        <v>61891</v>
      </c>
      <c r="O556" t="s">
        <v>59</v>
      </c>
      <c r="P556" t="s">
        <v>1009</v>
      </c>
      <c r="Q556" t="s">
        <v>16</v>
      </c>
      <c r="R556" t="s">
        <v>783</v>
      </c>
      <c r="S556" t="s">
        <v>552</v>
      </c>
      <c r="U556" s="6">
        <v>42136.418379629627</v>
      </c>
      <c r="V556" t="s">
        <v>18</v>
      </c>
      <c r="W556" t="s">
        <v>17</v>
      </c>
      <c r="X556" s="6">
        <v>42130.330787037034</v>
      </c>
      <c r="Y556" t="s">
        <v>122</v>
      </c>
      <c r="AB556" t="s">
        <v>201</v>
      </c>
      <c r="AC556" t="s">
        <v>247</v>
      </c>
      <c r="AD556" t="s">
        <v>222</v>
      </c>
      <c r="AE556" t="s">
        <v>228</v>
      </c>
      <c r="AG556" t="s">
        <v>121</v>
      </c>
      <c r="AH556" t="s">
        <v>327</v>
      </c>
      <c r="AI556" t="s">
        <v>121</v>
      </c>
      <c r="AJ556" t="s">
        <v>717</v>
      </c>
      <c r="AK556" t="s">
        <v>121</v>
      </c>
    </row>
    <row r="557" spans="9:37" x14ac:dyDescent="0.3">
      <c r="I557">
        <f ca="1">IF(OR(INDIRECT(A73&amp;ROW())=B93,INDIRECT(A73&amp;ROW())=B94),1,IF(AND(INDIRECT(A73&amp;ROW())=B95,INDIRECT(A96&amp;ROW())=C93),1,IF(AND(INDIRECT(A73&amp;ROW())=B95,INDIRECT(A96&amp;ROW())=C94),1,0)))</f>
        <v>0</v>
      </c>
      <c r="J557">
        <f ca="1">IF(AND(INDIRECT(A73&amp;ROW())=B95,INDIRECT(A96&amp;ROW())=C95),1,IF(AND(INDIRECT(A73&amp;ROW())=B95,INDIRECT(A96&amp;ROW())=C96),1,0))</f>
        <v>0</v>
      </c>
      <c r="K557">
        <f ca="1">DAYS360(INDIRECT(C68&amp;ROW()),TODAY())</f>
        <v>710</v>
      </c>
      <c r="L557">
        <f ca="1">DAYS360(INDIRECT(C69&amp;ROW()),TODAY())</f>
        <v>716</v>
      </c>
      <c r="M557">
        <f ca="1">HYPERLINK(CONCATENATE("https://bugzilla.houston.hp.com:1181/bugzilla/show_bug.cgi?id=",INDIRECT(C70&amp;ROW())),INDIRECT(C70&amp;ROW()))</f>
        <v>61892</v>
      </c>
      <c r="N557">
        <v>61892</v>
      </c>
      <c r="O557" t="s">
        <v>59</v>
      </c>
      <c r="P557" t="s">
        <v>1008</v>
      </c>
      <c r="Q557" t="s">
        <v>16</v>
      </c>
      <c r="R557" t="s">
        <v>248</v>
      </c>
      <c r="S557" t="s">
        <v>552</v>
      </c>
      <c r="U557" s="6">
        <v>42136.418391203704</v>
      </c>
      <c r="V557" t="s">
        <v>18</v>
      </c>
      <c r="W557" t="s">
        <v>17</v>
      </c>
      <c r="X557" s="6">
        <v>42130.330891203703</v>
      </c>
      <c r="Y557" t="s">
        <v>122</v>
      </c>
      <c r="AB557" t="s">
        <v>201</v>
      </c>
      <c r="AC557" t="s">
        <v>247</v>
      </c>
      <c r="AD557" t="s">
        <v>222</v>
      </c>
      <c r="AE557" t="s">
        <v>228</v>
      </c>
      <c r="AG557" t="s">
        <v>121</v>
      </c>
      <c r="AH557" t="s">
        <v>327</v>
      </c>
      <c r="AI557" t="s">
        <v>121</v>
      </c>
      <c r="AJ557" t="s">
        <v>717</v>
      </c>
      <c r="AK557" t="s">
        <v>121</v>
      </c>
    </row>
    <row r="558" spans="9:37" x14ac:dyDescent="0.3">
      <c r="I558">
        <f ca="1">IF(OR(INDIRECT(A73&amp;ROW())=B93,INDIRECT(A73&amp;ROW())=B94),1,IF(AND(INDIRECT(A73&amp;ROW())=B95,INDIRECT(A96&amp;ROW())=C93),1,IF(AND(INDIRECT(A73&amp;ROW())=B95,INDIRECT(A96&amp;ROW())=C94),1,0)))</f>
        <v>1</v>
      </c>
      <c r="J558">
        <f ca="1">IF(AND(INDIRECT(A73&amp;ROW())=B95,INDIRECT(A96&amp;ROW())=C95),1,IF(AND(INDIRECT(A73&amp;ROW())=B95,INDIRECT(A96&amp;ROW())=C96),1,0))</f>
        <v>0</v>
      </c>
      <c r="K558">
        <f ca="1">DAYS360(INDIRECT(C68&amp;ROW()),TODAY())</f>
        <v>690</v>
      </c>
      <c r="L558">
        <f ca="1">DAYS360(INDIRECT(C69&amp;ROW()),TODAY())</f>
        <v>716</v>
      </c>
      <c r="M558">
        <f ca="1">HYPERLINK(CONCATENATE("https://bugzilla.houston.hp.com:1181/bugzilla/show_bug.cgi?id=",INDIRECT(C70&amp;ROW())),INDIRECT(C70&amp;ROW()))</f>
        <v>61897</v>
      </c>
      <c r="N558">
        <v>61897</v>
      </c>
      <c r="O558" t="s">
        <v>241</v>
      </c>
      <c r="P558" t="s">
        <v>1015</v>
      </c>
      <c r="Q558" t="s">
        <v>39</v>
      </c>
      <c r="R558" t="s">
        <v>251</v>
      </c>
      <c r="S558" t="s">
        <v>296</v>
      </c>
      <c r="T558" t="s">
        <v>794</v>
      </c>
      <c r="U558" s="6">
        <v>42157.92628472222</v>
      </c>
      <c r="V558" t="s">
        <v>40</v>
      </c>
      <c r="W558" t="s">
        <v>17</v>
      </c>
      <c r="X558" s="6">
        <v>42130.374155092592</v>
      </c>
      <c r="Y558" t="s">
        <v>122</v>
      </c>
      <c r="AB558" t="s">
        <v>201</v>
      </c>
      <c r="AC558" t="s">
        <v>247</v>
      </c>
      <c r="AD558" t="s">
        <v>222</v>
      </c>
      <c r="AE558" t="s">
        <v>232</v>
      </c>
      <c r="AG558" t="s">
        <v>121</v>
      </c>
      <c r="AH558" t="s">
        <v>327</v>
      </c>
      <c r="AI558" t="s">
        <v>121</v>
      </c>
      <c r="AJ558" t="s">
        <v>715</v>
      </c>
      <c r="AK558" t="s">
        <v>121</v>
      </c>
    </row>
    <row r="559" spans="9:37" x14ac:dyDescent="0.3">
      <c r="I559">
        <f ca="1">IF(OR(INDIRECT(A73&amp;ROW())=B93,INDIRECT(A73&amp;ROW())=B94),1,IF(AND(INDIRECT(A73&amp;ROW())=B95,INDIRECT(A96&amp;ROW())=C93),1,IF(AND(INDIRECT(A73&amp;ROW())=B95,INDIRECT(A96&amp;ROW())=C94),1,0)))</f>
        <v>1</v>
      </c>
      <c r="J559">
        <f ca="1">IF(AND(INDIRECT(A73&amp;ROW())=B95,INDIRECT(A96&amp;ROW())=C95),1,IF(AND(INDIRECT(A73&amp;ROW())=B95,INDIRECT(A96&amp;ROW())=C96),1,0))</f>
        <v>0</v>
      </c>
      <c r="K559">
        <f ca="1">DAYS360(INDIRECT(C68&amp;ROW()),TODAY())</f>
        <v>689</v>
      </c>
      <c r="L559">
        <f ca="1">DAYS360(INDIRECT(C69&amp;ROW()),TODAY())</f>
        <v>716</v>
      </c>
      <c r="M559">
        <f ca="1">HYPERLINK(CONCATENATE("https://bugzilla.houston.hp.com:1181/bugzilla/show_bug.cgi?id=",INDIRECT(C70&amp;ROW())),INDIRECT(C70&amp;ROW()))</f>
        <v>61913</v>
      </c>
      <c r="N559">
        <v>61913</v>
      </c>
      <c r="O559" t="s">
        <v>241</v>
      </c>
      <c r="P559" t="s">
        <v>1014</v>
      </c>
      <c r="Q559" t="s">
        <v>39</v>
      </c>
      <c r="R559" t="s">
        <v>783</v>
      </c>
      <c r="S559" t="s">
        <v>552</v>
      </c>
      <c r="U559" s="6">
        <v>42158.335717592592</v>
      </c>
      <c r="V559" t="s">
        <v>40</v>
      </c>
      <c r="W559" t="s">
        <v>17</v>
      </c>
      <c r="X559" s="6">
        <v>42130.516365740739</v>
      </c>
      <c r="Y559" t="s">
        <v>122</v>
      </c>
      <c r="AB559" t="s">
        <v>201</v>
      </c>
      <c r="AC559" t="s">
        <v>247</v>
      </c>
      <c r="AD559" t="s">
        <v>222</v>
      </c>
      <c r="AE559" t="s">
        <v>232</v>
      </c>
      <c r="AG559" t="s">
        <v>337</v>
      </c>
      <c r="AH559" t="s">
        <v>327</v>
      </c>
      <c r="AI559" t="s">
        <v>362</v>
      </c>
      <c r="AJ559" t="s">
        <v>715</v>
      </c>
      <c r="AK559" t="s">
        <v>121</v>
      </c>
    </row>
    <row r="560" spans="9:37" x14ac:dyDescent="0.3">
      <c r="I560">
        <f ca="1">IF(OR(INDIRECT(A73&amp;ROW())=B93,INDIRECT(A73&amp;ROW())=B94),1,IF(AND(INDIRECT(A73&amp;ROW())=B95,INDIRECT(A96&amp;ROW())=C93),1,IF(AND(INDIRECT(A73&amp;ROW())=B95,INDIRECT(A96&amp;ROW())=C94),1,0)))</f>
        <v>1</v>
      </c>
      <c r="J560">
        <f ca="1">IF(AND(INDIRECT(A73&amp;ROW())=B95,INDIRECT(A96&amp;ROW())=C95),1,IF(AND(INDIRECT(A73&amp;ROW())=B95,INDIRECT(A96&amp;ROW())=C96),1,0))</f>
        <v>0</v>
      </c>
      <c r="K560">
        <f ca="1">DAYS360(INDIRECT(C68&amp;ROW()),TODAY())</f>
        <v>711</v>
      </c>
      <c r="L560">
        <f ca="1">DAYS360(INDIRECT(C69&amp;ROW()),TODAY())</f>
        <v>716</v>
      </c>
      <c r="M560">
        <f ca="1">HYPERLINK(CONCATENATE("https://bugzilla.houston.hp.com:1181/bugzilla/show_bug.cgi?id=",INDIRECT(C70&amp;ROW())),INDIRECT(C70&amp;ROW()))</f>
        <v>61956</v>
      </c>
      <c r="N560">
        <v>61956</v>
      </c>
      <c r="O560" t="s">
        <v>94</v>
      </c>
      <c r="P560" t="s">
        <v>1013</v>
      </c>
      <c r="Q560" t="s">
        <v>39</v>
      </c>
      <c r="R560" t="s">
        <v>251</v>
      </c>
      <c r="S560" t="s">
        <v>65</v>
      </c>
      <c r="U560" s="6">
        <v>42135.376747685186</v>
      </c>
      <c r="V560" t="s">
        <v>40</v>
      </c>
      <c r="W560" t="s">
        <v>783</v>
      </c>
      <c r="X560" s="6">
        <v>42130.945879629631</v>
      </c>
      <c r="Y560" t="s">
        <v>793</v>
      </c>
      <c r="AB560" t="s">
        <v>201</v>
      </c>
      <c r="AC560" t="s">
        <v>247</v>
      </c>
      <c r="AD560" t="s">
        <v>220</v>
      </c>
      <c r="AE560" t="s">
        <v>219</v>
      </c>
      <c r="AG560" t="s">
        <v>121</v>
      </c>
      <c r="AH560" t="s">
        <v>327</v>
      </c>
      <c r="AI560" t="s">
        <v>121</v>
      </c>
      <c r="AJ560" t="s">
        <v>715</v>
      </c>
      <c r="AK560" t="s">
        <v>121</v>
      </c>
    </row>
    <row r="561" spans="9:37" x14ac:dyDescent="0.3">
      <c r="I561">
        <f ca="1">IF(OR(INDIRECT(A73&amp;ROW())=B93,INDIRECT(A73&amp;ROW())=B94),1,IF(AND(INDIRECT(A73&amp;ROW())=B95,INDIRECT(A96&amp;ROW())=C93),1,IF(AND(INDIRECT(A73&amp;ROW())=B95,INDIRECT(A96&amp;ROW())=C94),1,0)))</f>
        <v>1</v>
      </c>
      <c r="J561">
        <f ca="1">IF(AND(INDIRECT(A73&amp;ROW())=B95,INDIRECT(A96&amp;ROW())=C95),1,IF(AND(INDIRECT(A73&amp;ROW())=B95,INDIRECT(A96&amp;ROW())=C96),1,0))</f>
        <v>0</v>
      </c>
      <c r="K561">
        <f ca="1">DAYS360(INDIRECT(C68&amp;ROW()),TODAY())</f>
        <v>711</v>
      </c>
      <c r="L561">
        <f ca="1">DAYS360(INDIRECT(C69&amp;ROW()),TODAY())</f>
        <v>715</v>
      </c>
      <c r="M561">
        <f ca="1">HYPERLINK(CONCATENATE("https://bugzilla.houston.hp.com:1181/bugzilla/show_bug.cgi?id=",INDIRECT(C70&amp;ROW())),INDIRECT(C70&amp;ROW()))</f>
        <v>61959</v>
      </c>
      <c r="N561">
        <v>61959</v>
      </c>
      <c r="O561" t="s">
        <v>65</v>
      </c>
      <c r="P561" t="s">
        <v>1012</v>
      </c>
      <c r="Q561" t="s">
        <v>39</v>
      </c>
      <c r="R561" t="s">
        <v>579</v>
      </c>
      <c r="S561" t="s">
        <v>552</v>
      </c>
      <c r="T561" t="s">
        <v>1018</v>
      </c>
      <c r="U561" s="6">
        <v>42135.558923611112</v>
      </c>
      <c r="V561" t="s">
        <v>18</v>
      </c>
      <c r="W561" t="s">
        <v>783</v>
      </c>
      <c r="X561" s="6">
        <v>42131.016284722224</v>
      </c>
      <c r="Y561" t="s">
        <v>793</v>
      </c>
      <c r="AB561" t="s">
        <v>201</v>
      </c>
      <c r="AC561" t="s">
        <v>247</v>
      </c>
      <c r="AD561" t="s">
        <v>220</v>
      </c>
      <c r="AE561" t="s">
        <v>219</v>
      </c>
      <c r="AG561" t="s">
        <v>121</v>
      </c>
      <c r="AH561" t="s">
        <v>327</v>
      </c>
      <c r="AI561" t="s">
        <v>362</v>
      </c>
      <c r="AJ561" t="s">
        <v>715</v>
      </c>
      <c r="AK561" t="s">
        <v>121</v>
      </c>
    </row>
    <row r="562" spans="9:37" x14ac:dyDescent="0.3">
      <c r="I562">
        <f ca="1">IF(OR(INDIRECT(A73&amp;ROW())=B93,INDIRECT(A73&amp;ROW())=B94),1,IF(AND(INDIRECT(A73&amp;ROW())=B95,INDIRECT(A96&amp;ROW())=C93),1,IF(AND(INDIRECT(A73&amp;ROW())=B95,INDIRECT(A96&amp;ROW())=C94),1,0)))</f>
        <v>1</v>
      </c>
      <c r="J562">
        <f ca="1">IF(AND(INDIRECT(A73&amp;ROW())=B95,INDIRECT(A96&amp;ROW())=C95),1,IF(AND(INDIRECT(A73&amp;ROW())=B95,INDIRECT(A96&amp;ROW())=C96),1,0))</f>
        <v>0</v>
      </c>
      <c r="K562">
        <f ca="1">DAYS360(INDIRECT(C68&amp;ROW()),TODAY())</f>
        <v>688</v>
      </c>
      <c r="L562">
        <f ca="1">DAYS360(INDIRECT(C69&amp;ROW()),TODAY())</f>
        <v>715</v>
      </c>
      <c r="M562">
        <f ca="1">HYPERLINK(CONCATENATE("https://bugzilla.houston.hp.com:1181/bugzilla/show_bug.cgi?id=",INDIRECT(C70&amp;ROW())),INDIRECT(C70&amp;ROW()))</f>
        <v>62036</v>
      </c>
      <c r="N562">
        <v>62036</v>
      </c>
      <c r="O562" t="s">
        <v>53</v>
      </c>
      <c r="P562" t="s">
        <v>1016</v>
      </c>
      <c r="Q562" t="s">
        <v>39</v>
      </c>
      <c r="R562" t="s">
        <v>783</v>
      </c>
      <c r="S562" t="s">
        <v>552</v>
      </c>
      <c r="U562" s="6">
        <v>42159.774421296293</v>
      </c>
      <c r="V562" t="s">
        <v>18</v>
      </c>
      <c r="W562" t="s">
        <v>17</v>
      </c>
      <c r="X562" s="6">
        <v>42131.714918981481</v>
      </c>
      <c r="Y562" t="s">
        <v>793</v>
      </c>
      <c r="AB562" t="s">
        <v>201</v>
      </c>
      <c r="AC562" t="s">
        <v>121</v>
      </c>
      <c r="AD562" t="s">
        <v>220</v>
      </c>
      <c r="AE562" t="s">
        <v>219</v>
      </c>
      <c r="AG562" t="s">
        <v>337</v>
      </c>
      <c r="AH562" t="s">
        <v>327</v>
      </c>
      <c r="AI562" t="s">
        <v>121</v>
      </c>
      <c r="AJ562" t="s">
        <v>715</v>
      </c>
      <c r="AK562" t="s">
        <v>121</v>
      </c>
    </row>
    <row r="563" spans="9:37" x14ac:dyDescent="0.3">
      <c r="I563">
        <f ca="1">IF(OR(INDIRECT(A73&amp;ROW())=B93,INDIRECT(A73&amp;ROW())=B94),1,IF(AND(INDIRECT(A73&amp;ROW())=B95,INDIRECT(A96&amp;ROW())=C93),1,IF(AND(INDIRECT(A73&amp;ROW())=B95,INDIRECT(A96&amp;ROW())=C94),1,0)))</f>
        <v>0</v>
      </c>
      <c r="J563">
        <f ca="1">IF(AND(INDIRECT(A73&amp;ROW())=B95,INDIRECT(A96&amp;ROW())=C95),1,IF(AND(INDIRECT(A73&amp;ROW())=B95,INDIRECT(A96&amp;ROW())=C96),1,0))</f>
        <v>1</v>
      </c>
      <c r="K563">
        <f ca="1">DAYS360(INDIRECT(C68&amp;ROW()),TODAY())</f>
        <v>711</v>
      </c>
      <c r="L563">
        <f ca="1">DAYS360(INDIRECT(C69&amp;ROW()),TODAY())</f>
        <v>714</v>
      </c>
      <c r="M563">
        <f ca="1">HYPERLINK(CONCATENATE("https://bugzilla.houston.hp.com:1181/bugzilla/show_bug.cgi?id=",INDIRECT(C70&amp;ROW())),INDIRECT(C70&amp;ROW()))</f>
        <v>62084</v>
      </c>
      <c r="N563">
        <v>62084</v>
      </c>
      <c r="O563" t="s">
        <v>204</v>
      </c>
      <c r="P563" t="s">
        <v>1020</v>
      </c>
      <c r="Q563" t="s">
        <v>25</v>
      </c>
      <c r="R563" t="s">
        <v>579</v>
      </c>
      <c r="S563" t="s">
        <v>236</v>
      </c>
      <c r="T563" t="s">
        <v>1019</v>
      </c>
      <c r="U563" s="6">
        <v>42135.319016203706</v>
      </c>
      <c r="V563" t="s">
        <v>18</v>
      </c>
      <c r="W563" t="s">
        <v>17</v>
      </c>
      <c r="X563" s="6">
        <v>42132.41542824074</v>
      </c>
      <c r="Y563" t="s">
        <v>119</v>
      </c>
      <c r="AB563" t="s">
        <v>201</v>
      </c>
      <c r="AC563" t="s">
        <v>247</v>
      </c>
      <c r="AD563" t="s">
        <v>222</v>
      </c>
      <c r="AE563" t="s">
        <v>221</v>
      </c>
      <c r="AG563" t="s">
        <v>121</v>
      </c>
      <c r="AH563" t="s">
        <v>64</v>
      </c>
      <c r="AI563" t="s">
        <v>121</v>
      </c>
      <c r="AJ563" t="s">
        <v>716</v>
      </c>
      <c r="AK563" t="s">
        <v>121</v>
      </c>
    </row>
    <row r="564" spans="9:37" x14ac:dyDescent="0.3">
      <c r="I564">
        <f ca="1">IF(OR(INDIRECT(A73&amp;ROW())=B93,INDIRECT(A73&amp;ROW())=B94),1,IF(AND(INDIRECT(A73&amp;ROW())=B95,INDIRECT(A96&amp;ROW())=C93),1,IF(AND(INDIRECT(A73&amp;ROW())=B95,INDIRECT(A96&amp;ROW())=C94),1,0)))</f>
        <v>1</v>
      </c>
      <c r="J564">
        <f ca="1">IF(AND(INDIRECT(A73&amp;ROW())=B95,INDIRECT(A96&amp;ROW())=C95),1,IF(AND(INDIRECT(A73&amp;ROW())=B95,INDIRECT(A96&amp;ROW())=C96),1,0))</f>
        <v>0</v>
      </c>
      <c r="K564">
        <f ca="1">DAYS360(INDIRECT(C68&amp;ROW()),TODAY())</f>
        <v>687</v>
      </c>
      <c r="L564">
        <f ca="1">DAYS360(INDIRECT(C69&amp;ROW()),TODAY())</f>
        <v>714</v>
      </c>
      <c r="M564">
        <f ca="1">HYPERLINK(CONCATENATE("https://bugzilla.houston.hp.com:1181/bugzilla/show_bug.cgi?id=",INDIRECT(C70&amp;ROW())),INDIRECT(C70&amp;ROW()))</f>
        <v>62099</v>
      </c>
      <c r="N564">
        <v>62099</v>
      </c>
      <c r="O564" t="s">
        <v>188</v>
      </c>
      <c r="P564" t="s">
        <v>1044</v>
      </c>
      <c r="Q564" t="s">
        <v>39</v>
      </c>
      <c r="R564" t="s">
        <v>251</v>
      </c>
      <c r="S564" t="s">
        <v>1043</v>
      </c>
      <c r="U564" s="6">
        <v>42160.532175925924</v>
      </c>
      <c r="V564" t="s">
        <v>18</v>
      </c>
      <c r="W564" t="s">
        <v>783</v>
      </c>
      <c r="X564" s="6">
        <v>42132.553414351853</v>
      </c>
      <c r="Y564" t="s">
        <v>119</v>
      </c>
      <c r="AB564" t="s">
        <v>201</v>
      </c>
      <c r="AC564" t="s">
        <v>247</v>
      </c>
      <c r="AD564" t="s">
        <v>220</v>
      </c>
      <c r="AE564" t="s">
        <v>229</v>
      </c>
      <c r="AG564" t="s">
        <v>121</v>
      </c>
      <c r="AH564" t="s">
        <v>327</v>
      </c>
      <c r="AI564" t="s">
        <v>121</v>
      </c>
      <c r="AJ564" t="s">
        <v>715</v>
      </c>
      <c r="AK564" t="s">
        <v>121</v>
      </c>
    </row>
    <row r="565" spans="9:37" x14ac:dyDescent="0.3">
      <c r="I565">
        <f ca="1">IF(OR(INDIRECT(A73&amp;ROW())=B93,INDIRECT(A73&amp;ROW())=B94),1,IF(AND(INDIRECT(A73&amp;ROW())=B95,INDIRECT(A96&amp;ROW())=C93),1,IF(AND(INDIRECT(A73&amp;ROW())=B95,INDIRECT(A96&amp;ROW())=C94),1,0)))</f>
        <v>1</v>
      </c>
      <c r="J565">
        <f ca="1">IF(AND(INDIRECT(A73&amp;ROW())=B95,INDIRECT(A96&amp;ROW())=C95),1,IF(AND(INDIRECT(A73&amp;ROW())=B95,INDIRECT(A96&amp;ROW())=C96),1,0))</f>
        <v>0</v>
      </c>
      <c r="K565">
        <f ca="1">DAYS360(INDIRECT(C68&amp;ROW()),TODAY())</f>
        <v>688</v>
      </c>
      <c r="L565">
        <f ca="1">DAYS360(INDIRECT(C69&amp;ROW()),TODAY())</f>
        <v>711</v>
      </c>
      <c r="M565">
        <f ca="1">HYPERLINK(CONCATENATE("https://bugzilla.houston.hp.com:1181/bugzilla/show_bug.cgi?id=",INDIRECT(C70&amp;ROW())),INDIRECT(C70&amp;ROW()))</f>
        <v>62177</v>
      </c>
      <c r="N565">
        <v>62177</v>
      </c>
      <c r="O565" t="s">
        <v>187</v>
      </c>
      <c r="P565" t="s">
        <v>1023</v>
      </c>
      <c r="Q565" t="s">
        <v>25</v>
      </c>
      <c r="R565" t="s">
        <v>783</v>
      </c>
      <c r="S565" t="s">
        <v>552</v>
      </c>
      <c r="U565" s="6">
        <v>42159.313020833331</v>
      </c>
      <c r="V565" t="s">
        <v>18</v>
      </c>
      <c r="W565" t="s">
        <v>248</v>
      </c>
      <c r="X565" s="6">
        <v>42135.590312499997</v>
      </c>
      <c r="Y565" t="s">
        <v>793</v>
      </c>
      <c r="AB565" t="s">
        <v>200</v>
      </c>
      <c r="AC565" t="s">
        <v>247</v>
      </c>
      <c r="AD565" t="s">
        <v>220</v>
      </c>
      <c r="AE565" t="s">
        <v>219</v>
      </c>
      <c r="AG565" t="s">
        <v>121</v>
      </c>
      <c r="AH565" t="s">
        <v>327</v>
      </c>
      <c r="AI565" t="s">
        <v>121</v>
      </c>
      <c r="AJ565" t="s">
        <v>715</v>
      </c>
      <c r="AK565" t="s">
        <v>121</v>
      </c>
    </row>
    <row r="566" spans="9:37" x14ac:dyDescent="0.3">
      <c r="I566">
        <f ca="1">IF(OR(INDIRECT(A73&amp;ROW())=B93,INDIRECT(A73&amp;ROW())=B94),1,IF(AND(INDIRECT(A73&amp;ROW())=B95,INDIRECT(A96&amp;ROW())=C93),1,IF(AND(INDIRECT(A73&amp;ROW())=B95,INDIRECT(A96&amp;ROW())=C94),1,0)))</f>
        <v>1</v>
      </c>
      <c r="J566">
        <f ca="1">IF(AND(INDIRECT(A73&amp;ROW())=B95,INDIRECT(A96&amp;ROW())=C95),1,IF(AND(INDIRECT(A73&amp;ROW())=B95,INDIRECT(A96&amp;ROW())=C96),1,0))</f>
        <v>0</v>
      </c>
      <c r="K566">
        <f ca="1">DAYS360(INDIRECT(C68&amp;ROW()),TODAY())</f>
        <v>687</v>
      </c>
      <c r="L566">
        <f ca="1">DAYS360(INDIRECT(C69&amp;ROW()),TODAY())</f>
        <v>711</v>
      </c>
      <c r="M566">
        <f ca="1">HYPERLINK(CONCATENATE("https://bugzilla.houston.hp.com:1181/bugzilla/show_bug.cgi?id=",INDIRECT(C70&amp;ROW())),INDIRECT(C70&amp;ROW()))</f>
        <v>62178</v>
      </c>
      <c r="N566">
        <v>62178</v>
      </c>
      <c r="O566" t="s">
        <v>56</v>
      </c>
      <c r="P566" t="s">
        <v>1022</v>
      </c>
      <c r="Q566" t="s">
        <v>25</v>
      </c>
      <c r="R566" t="s">
        <v>248</v>
      </c>
      <c r="S566" t="s">
        <v>552</v>
      </c>
      <c r="U566" s="6">
        <v>42160.493807870371</v>
      </c>
      <c r="V566" t="s">
        <v>18</v>
      </c>
      <c r="W566" t="s">
        <v>248</v>
      </c>
      <c r="X566" s="6">
        <v>42135.59039351852</v>
      </c>
      <c r="Y566" t="s">
        <v>793</v>
      </c>
      <c r="AB566" t="s">
        <v>200</v>
      </c>
      <c r="AC566" t="s">
        <v>247</v>
      </c>
      <c r="AD566" t="s">
        <v>220</v>
      </c>
      <c r="AE566" t="s">
        <v>219</v>
      </c>
      <c r="AG566" t="s">
        <v>121</v>
      </c>
      <c r="AH566" t="s">
        <v>327</v>
      </c>
      <c r="AI566" t="s">
        <v>121</v>
      </c>
      <c r="AJ566" t="s">
        <v>715</v>
      </c>
      <c r="AK566" t="s">
        <v>121</v>
      </c>
    </row>
    <row r="567" spans="9:37" x14ac:dyDescent="0.3">
      <c r="I567">
        <f ca="1">IF(OR(INDIRECT(A73&amp;ROW())=B93,INDIRECT(A73&amp;ROW())=B94),1,IF(AND(INDIRECT(A73&amp;ROW())=B95,INDIRECT(A96&amp;ROW())=C93),1,IF(AND(INDIRECT(A73&amp;ROW())=B95,INDIRECT(A96&amp;ROW())=C94),1,0)))</f>
        <v>1</v>
      </c>
      <c r="J567">
        <f ca="1">IF(AND(INDIRECT(A73&amp;ROW())=B95,INDIRECT(A96&amp;ROW())=C95),1,IF(AND(INDIRECT(A73&amp;ROW())=B95,INDIRECT(A96&amp;ROW())=C96),1,0))</f>
        <v>0</v>
      </c>
      <c r="K567">
        <f ca="1">DAYS360(INDIRECT(C68&amp;ROW()),TODAY())</f>
        <v>708</v>
      </c>
      <c r="L567">
        <f ca="1">DAYS360(INDIRECT(C69&amp;ROW()),TODAY())</f>
        <v>710</v>
      </c>
      <c r="M567">
        <f ca="1">HYPERLINK(CONCATENATE("https://bugzilla.houston.hp.com:1181/bugzilla/show_bug.cgi?id=",INDIRECT(C70&amp;ROW())),INDIRECT(C70&amp;ROW()))</f>
        <v>62223</v>
      </c>
      <c r="N567">
        <v>62223</v>
      </c>
      <c r="O567" t="s">
        <v>177</v>
      </c>
      <c r="P567" t="s">
        <v>1061</v>
      </c>
      <c r="Q567" t="s">
        <v>39</v>
      </c>
      <c r="R567" t="s">
        <v>579</v>
      </c>
      <c r="S567" t="s">
        <v>236</v>
      </c>
      <c r="T567" t="s">
        <v>1058</v>
      </c>
      <c r="U567" s="6">
        <v>42138.11515046296</v>
      </c>
      <c r="V567" t="s">
        <v>35</v>
      </c>
      <c r="W567" t="s">
        <v>783</v>
      </c>
      <c r="X567" s="6">
        <v>42136.32916666667</v>
      </c>
      <c r="Y567" t="s">
        <v>245</v>
      </c>
      <c r="AB567" t="s">
        <v>201</v>
      </c>
      <c r="AC567" t="s">
        <v>247</v>
      </c>
      <c r="AD567" t="s">
        <v>227</v>
      </c>
      <c r="AE567" t="s">
        <v>237</v>
      </c>
      <c r="AG567" t="s">
        <v>121</v>
      </c>
      <c r="AH567" t="s">
        <v>327</v>
      </c>
      <c r="AI567" t="s">
        <v>121</v>
      </c>
      <c r="AJ567" t="s">
        <v>715</v>
      </c>
      <c r="AK567" t="s">
        <v>121</v>
      </c>
    </row>
    <row r="568" spans="9:37" x14ac:dyDescent="0.3">
      <c r="I568">
        <f ca="1">IF(OR(INDIRECT(A73&amp;ROW())=B93,INDIRECT(A73&amp;ROW())=B94),1,IF(AND(INDIRECT(A73&amp;ROW())=B95,INDIRECT(A96&amp;ROW())=C93),1,IF(AND(INDIRECT(A73&amp;ROW())=B95,INDIRECT(A96&amp;ROW())=C94),1,0)))</f>
        <v>1</v>
      </c>
      <c r="J568">
        <f ca="1">IF(AND(INDIRECT(A73&amp;ROW())=B95,INDIRECT(A96&amp;ROW())=C95),1,IF(AND(INDIRECT(A73&amp;ROW())=B95,INDIRECT(A96&amp;ROW())=C96),1,0))</f>
        <v>0</v>
      </c>
      <c r="K568">
        <f ca="1">DAYS360(INDIRECT(C68&amp;ROW()),TODAY())</f>
        <v>690</v>
      </c>
      <c r="L568">
        <f ca="1">DAYS360(INDIRECT(C69&amp;ROW()),TODAY())</f>
        <v>710</v>
      </c>
      <c r="M568">
        <f ca="1">HYPERLINK(CONCATENATE("https://bugzilla.houston.hp.com:1181/bugzilla/show_bug.cgi?id=",INDIRECT(C70&amp;ROW())),INDIRECT(C70&amp;ROW()))</f>
        <v>62224</v>
      </c>
      <c r="N568">
        <v>62224</v>
      </c>
      <c r="O568" t="s">
        <v>177</v>
      </c>
      <c r="P568" t="s">
        <v>1060</v>
      </c>
      <c r="Q568" t="s">
        <v>39</v>
      </c>
      <c r="R568" t="s">
        <v>783</v>
      </c>
      <c r="S568" t="s">
        <v>236</v>
      </c>
      <c r="T568" t="s">
        <v>1058</v>
      </c>
      <c r="U568" s="6">
        <v>42157.339004629626</v>
      </c>
      <c r="V568" t="s">
        <v>35</v>
      </c>
      <c r="W568" t="s">
        <v>783</v>
      </c>
      <c r="X568" s="6">
        <v>42136.329282407409</v>
      </c>
      <c r="Y568" t="s">
        <v>245</v>
      </c>
      <c r="AB568" t="s">
        <v>201</v>
      </c>
      <c r="AC568" t="s">
        <v>247</v>
      </c>
      <c r="AD568" t="s">
        <v>227</v>
      </c>
      <c r="AE568" t="s">
        <v>230</v>
      </c>
      <c r="AG568" t="s">
        <v>1082</v>
      </c>
      <c r="AH568" t="s">
        <v>327</v>
      </c>
      <c r="AI568" t="s">
        <v>121</v>
      </c>
      <c r="AJ568" t="s">
        <v>715</v>
      </c>
      <c r="AK568" t="s">
        <v>121</v>
      </c>
    </row>
    <row r="569" spans="9:37" x14ac:dyDescent="0.3">
      <c r="I569">
        <f ca="1">IF(OR(INDIRECT(A73&amp;ROW())=B93,INDIRECT(A73&amp;ROW())=B94),1,IF(AND(INDIRECT(A73&amp;ROW())=B95,INDIRECT(A96&amp;ROW())=C93),1,IF(AND(INDIRECT(A73&amp;ROW())=B95,INDIRECT(A96&amp;ROW())=C94),1,0)))</f>
        <v>1</v>
      </c>
      <c r="J569">
        <f ca="1">IF(AND(INDIRECT(A73&amp;ROW())=B95,INDIRECT(A96&amp;ROW())=C95),1,IF(AND(INDIRECT(A73&amp;ROW())=B95,INDIRECT(A96&amp;ROW())=C96),1,0))</f>
        <v>0</v>
      </c>
      <c r="K569">
        <f ca="1">DAYS360(INDIRECT(C68&amp;ROW()),TODAY())</f>
        <v>708</v>
      </c>
      <c r="L569">
        <f ca="1">DAYS360(INDIRECT(C69&amp;ROW()),TODAY())</f>
        <v>710</v>
      </c>
      <c r="M569">
        <f ca="1">HYPERLINK(CONCATENATE("https://bugzilla.houston.hp.com:1181/bugzilla/show_bug.cgi?id=",INDIRECT(C70&amp;ROW())),INDIRECT(C70&amp;ROW()))</f>
        <v>62225</v>
      </c>
      <c r="N569">
        <v>62225</v>
      </c>
      <c r="O569" t="s">
        <v>177</v>
      </c>
      <c r="P569" t="s">
        <v>1059</v>
      </c>
      <c r="Q569" t="s">
        <v>39</v>
      </c>
      <c r="R569" t="s">
        <v>248</v>
      </c>
      <c r="S569" t="s">
        <v>236</v>
      </c>
      <c r="T569" t="s">
        <v>1058</v>
      </c>
      <c r="U569" s="6">
        <v>42138.115671296298</v>
      </c>
      <c r="V569" t="s">
        <v>35</v>
      </c>
      <c r="W569" t="s">
        <v>783</v>
      </c>
      <c r="X569" s="6">
        <v>42136.329375000001</v>
      </c>
      <c r="Y569" t="s">
        <v>245</v>
      </c>
      <c r="AB569" t="s">
        <v>201</v>
      </c>
      <c r="AC569" t="s">
        <v>247</v>
      </c>
      <c r="AD569" t="s">
        <v>227</v>
      </c>
      <c r="AE569" t="s">
        <v>237</v>
      </c>
      <c r="AG569" t="s">
        <v>121</v>
      </c>
      <c r="AH569" t="s">
        <v>327</v>
      </c>
      <c r="AI569" t="s">
        <v>121</v>
      </c>
      <c r="AJ569" t="s">
        <v>715</v>
      </c>
      <c r="AK569" t="s">
        <v>121</v>
      </c>
    </row>
    <row r="570" spans="9:37" x14ac:dyDescent="0.3">
      <c r="I570">
        <f ca="1">IF(OR(INDIRECT(A73&amp;ROW())=B93,INDIRECT(A73&amp;ROW())=B94),1,IF(AND(INDIRECT(A73&amp;ROW())=B95,INDIRECT(A96&amp;ROW())=C93),1,IF(AND(INDIRECT(A73&amp;ROW())=B95,INDIRECT(A96&amp;ROW())=C94),1,0)))</f>
        <v>1</v>
      </c>
      <c r="J570">
        <f ca="1">IF(AND(INDIRECT(A73&amp;ROW())=B95,INDIRECT(A96&amp;ROW())=C95),1,IF(AND(INDIRECT(A73&amp;ROW())=B95,INDIRECT(A96&amp;ROW())=C96),1,0))</f>
        <v>0</v>
      </c>
      <c r="K570">
        <f ca="1">DAYS360(INDIRECT(C68&amp;ROW()),TODAY())</f>
        <v>687</v>
      </c>
      <c r="L570">
        <f ca="1">DAYS360(INDIRECT(C69&amp;ROW()),TODAY())</f>
        <v>710</v>
      </c>
      <c r="M570">
        <f ca="1">HYPERLINK(CONCATENATE("https://bugzilla.houston.hp.com:1181/bugzilla/show_bug.cgi?id=",INDIRECT(C70&amp;ROW())),INDIRECT(C70&amp;ROW()))</f>
        <v>62236</v>
      </c>
      <c r="N570">
        <v>62236</v>
      </c>
      <c r="O570" t="s">
        <v>188</v>
      </c>
      <c r="P570" t="s">
        <v>1042</v>
      </c>
      <c r="Q570" t="s">
        <v>39</v>
      </c>
      <c r="R570" t="s">
        <v>579</v>
      </c>
      <c r="S570" t="s">
        <v>552</v>
      </c>
      <c r="T570" t="s">
        <v>1054</v>
      </c>
      <c r="U570" s="6">
        <v>42160.517534722225</v>
      </c>
      <c r="V570" t="s">
        <v>18</v>
      </c>
      <c r="W570" t="s">
        <v>783</v>
      </c>
      <c r="X570" s="6">
        <v>42136.380937499998</v>
      </c>
      <c r="Y570" t="s">
        <v>119</v>
      </c>
      <c r="AB570" t="s">
        <v>201</v>
      </c>
      <c r="AC570" t="s">
        <v>247</v>
      </c>
      <c r="AD570" t="s">
        <v>220</v>
      </c>
      <c r="AE570" t="s">
        <v>229</v>
      </c>
      <c r="AG570" t="s">
        <v>121</v>
      </c>
      <c r="AH570" t="s">
        <v>327</v>
      </c>
      <c r="AI570" t="s">
        <v>121</v>
      </c>
      <c r="AJ570" t="s">
        <v>715</v>
      </c>
      <c r="AK570" t="s">
        <v>121</v>
      </c>
    </row>
    <row r="571" spans="9:37" x14ac:dyDescent="0.3">
      <c r="I571">
        <f ca="1">IF(OR(INDIRECT(A73&amp;ROW())=B93,INDIRECT(A73&amp;ROW())=B94),1,IF(AND(INDIRECT(A73&amp;ROW())=B95,INDIRECT(A96&amp;ROW())=C93),1,IF(AND(INDIRECT(A73&amp;ROW())=B95,INDIRECT(A96&amp;ROW())=C94),1,0)))</f>
        <v>1</v>
      </c>
      <c r="J571">
        <f ca="1">IF(AND(INDIRECT(A73&amp;ROW())=B95,INDIRECT(A96&amp;ROW())=C95),1,IF(AND(INDIRECT(A73&amp;ROW())=B95,INDIRECT(A96&amp;ROW())=C96),1,0))</f>
        <v>0</v>
      </c>
      <c r="K571">
        <f ca="1">DAYS360(INDIRECT(C68&amp;ROW()),TODAY())</f>
        <v>687</v>
      </c>
      <c r="L571">
        <f ca="1">DAYS360(INDIRECT(C69&amp;ROW()),TODAY())</f>
        <v>710</v>
      </c>
      <c r="M571">
        <f ca="1">HYPERLINK(CONCATENATE("https://bugzilla.houston.hp.com:1181/bugzilla/show_bug.cgi?id=",INDIRECT(C70&amp;ROW())),INDIRECT(C70&amp;ROW()))</f>
        <v>62237</v>
      </c>
      <c r="N571">
        <v>62237</v>
      </c>
      <c r="O571" t="s">
        <v>188</v>
      </c>
      <c r="P571" t="s">
        <v>1041</v>
      </c>
      <c r="Q571" t="s">
        <v>39</v>
      </c>
      <c r="R571" t="s">
        <v>783</v>
      </c>
      <c r="S571" t="s">
        <v>552</v>
      </c>
      <c r="U571" s="6">
        <v>42160.534918981481</v>
      </c>
      <c r="V571" t="s">
        <v>18</v>
      </c>
      <c r="W571" t="s">
        <v>783</v>
      </c>
      <c r="X571" s="6">
        <v>42136.381041666667</v>
      </c>
      <c r="Y571" t="s">
        <v>119</v>
      </c>
      <c r="AB571" t="s">
        <v>201</v>
      </c>
      <c r="AC571" t="s">
        <v>247</v>
      </c>
      <c r="AD571" t="s">
        <v>220</v>
      </c>
      <c r="AE571" t="s">
        <v>229</v>
      </c>
      <c r="AG571" t="s">
        <v>121</v>
      </c>
      <c r="AH571" t="s">
        <v>327</v>
      </c>
      <c r="AI571" t="s">
        <v>121</v>
      </c>
      <c r="AJ571" t="s">
        <v>715</v>
      </c>
      <c r="AK571" t="s">
        <v>121</v>
      </c>
    </row>
    <row r="572" spans="9:37" x14ac:dyDescent="0.3">
      <c r="I572">
        <f ca="1">IF(OR(INDIRECT(A73&amp;ROW())=B93,INDIRECT(A73&amp;ROW())=B94),1,IF(AND(INDIRECT(A73&amp;ROW())=B95,INDIRECT(A96&amp;ROW())=C93),1,IF(AND(INDIRECT(A73&amp;ROW())=B95,INDIRECT(A96&amp;ROW())=C94),1,0)))</f>
        <v>1</v>
      </c>
      <c r="J572">
        <f ca="1">IF(AND(INDIRECT(A73&amp;ROW())=B95,INDIRECT(A96&amp;ROW())=C95),1,IF(AND(INDIRECT(A73&amp;ROW())=B95,INDIRECT(A96&amp;ROW())=C96),1,0))</f>
        <v>0</v>
      </c>
      <c r="K572">
        <f ca="1">DAYS360(INDIRECT(C68&amp;ROW()),TODAY())</f>
        <v>687</v>
      </c>
      <c r="L572">
        <f ca="1">DAYS360(INDIRECT(C69&amp;ROW()),TODAY())</f>
        <v>710</v>
      </c>
      <c r="M572">
        <f ca="1">HYPERLINK(CONCATENATE("https://bugzilla.houston.hp.com:1181/bugzilla/show_bug.cgi?id=",INDIRECT(C70&amp;ROW())),INDIRECT(C70&amp;ROW()))</f>
        <v>62238</v>
      </c>
      <c r="N572">
        <v>62238</v>
      </c>
      <c r="O572" t="s">
        <v>188</v>
      </c>
      <c r="P572" t="s">
        <v>1040</v>
      </c>
      <c r="Q572" t="s">
        <v>39</v>
      </c>
      <c r="R572" t="s">
        <v>248</v>
      </c>
      <c r="S572" t="s">
        <v>552</v>
      </c>
      <c r="U572" s="6">
        <v>42160.517569444448</v>
      </c>
      <c r="V572" t="s">
        <v>18</v>
      </c>
      <c r="W572" t="s">
        <v>783</v>
      </c>
      <c r="X572" s="6">
        <v>42136.381157407406</v>
      </c>
      <c r="Y572" t="s">
        <v>119</v>
      </c>
      <c r="AB572" t="s">
        <v>201</v>
      </c>
      <c r="AC572" t="s">
        <v>247</v>
      </c>
      <c r="AD572" t="s">
        <v>220</v>
      </c>
      <c r="AE572" t="s">
        <v>229</v>
      </c>
      <c r="AG572" t="s">
        <v>121</v>
      </c>
      <c r="AH572" t="s">
        <v>327</v>
      </c>
      <c r="AI572" t="s">
        <v>121</v>
      </c>
      <c r="AJ572" t="s">
        <v>715</v>
      </c>
      <c r="AK572" t="s">
        <v>121</v>
      </c>
    </row>
    <row r="573" spans="9:37" x14ac:dyDescent="0.3">
      <c r="I573">
        <f ca="1">IF(OR(INDIRECT(A73&amp;ROW())=B93,INDIRECT(A73&amp;ROW())=B94),1,IF(AND(INDIRECT(A73&amp;ROW())=B95,INDIRECT(A96&amp;ROW())=C93),1,IF(AND(INDIRECT(A73&amp;ROW())=B95,INDIRECT(A96&amp;ROW())=C94),1,0)))</f>
        <v>1</v>
      </c>
      <c r="J573">
        <f ca="1">IF(AND(INDIRECT(A73&amp;ROW())=B95,INDIRECT(A96&amp;ROW())=C95),1,IF(AND(INDIRECT(A73&amp;ROW())=B95,INDIRECT(A96&amp;ROW())=C96),1,0))</f>
        <v>0</v>
      </c>
      <c r="K573">
        <f ca="1">DAYS360(INDIRECT(C68&amp;ROW()),TODAY())</f>
        <v>691</v>
      </c>
      <c r="L573">
        <f ca="1">DAYS360(INDIRECT(C69&amp;ROW()),TODAY())</f>
        <v>710</v>
      </c>
      <c r="M573">
        <f ca="1">HYPERLINK(CONCATENATE("https://bugzilla.houston.hp.com:1181/bugzilla/show_bug.cgi?id=",INDIRECT(C70&amp;ROW())),INDIRECT(C70&amp;ROW()))</f>
        <v>62267</v>
      </c>
      <c r="N573">
        <v>62267</v>
      </c>
      <c r="O573" t="s">
        <v>45</v>
      </c>
      <c r="P573" t="s">
        <v>1039</v>
      </c>
      <c r="Q573" t="s">
        <v>25</v>
      </c>
      <c r="R573" t="s">
        <v>579</v>
      </c>
      <c r="S573" t="s">
        <v>552</v>
      </c>
      <c r="U573" s="6">
        <v>42156.076747685183</v>
      </c>
      <c r="V573" t="s">
        <v>18</v>
      </c>
      <c r="W573" t="s">
        <v>57</v>
      </c>
      <c r="X573" s="6">
        <v>42136.578518518516</v>
      </c>
      <c r="Y573" t="s">
        <v>1026</v>
      </c>
      <c r="AB573" t="s">
        <v>200</v>
      </c>
      <c r="AC573" t="s">
        <v>247</v>
      </c>
      <c r="AD573" t="s">
        <v>220</v>
      </c>
      <c r="AE573" t="s">
        <v>290</v>
      </c>
      <c r="AG573" t="s">
        <v>121</v>
      </c>
      <c r="AH573" t="s">
        <v>327</v>
      </c>
      <c r="AI573" t="s">
        <v>121</v>
      </c>
      <c r="AJ573" t="s">
        <v>715</v>
      </c>
      <c r="AK573" t="s">
        <v>121</v>
      </c>
    </row>
    <row r="574" spans="9:37" x14ac:dyDescent="0.3">
      <c r="I574">
        <f ca="1">IF(OR(INDIRECT(A73&amp;ROW())=B93,INDIRECT(A73&amp;ROW())=B94),1,IF(AND(INDIRECT(A73&amp;ROW())=B95,INDIRECT(A96&amp;ROW())=C93),1,IF(AND(INDIRECT(A73&amp;ROW())=B95,INDIRECT(A96&amp;ROW())=C94),1,0)))</f>
        <v>1</v>
      </c>
      <c r="J574">
        <f ca="1">IF(AND(INDIRECT(A73&amp;ROW())=B95,INDIRECT(A96&amp;ROW())=C95),1,IF(AND(INDIRECT(A73&amp;ROW())=B95,INDIRECT(A96&amp;ROW())=C96),1,0))</f>
        <v>0</v>
      </c>
      <c r="K574">
        <f ca="1">DAYS360(INDIRECT(C68&amp;ROW()),TODAY())</f>
        <v>689</v>
      </c>
      <c r="L574">
        <f ca="1">DAYS360(INDIRECT(C69&amp;ROW()),TODAY())</f>
        <v>710</v>
      </c>
      <c r="M574">
        <f ca="1">HYPERLINK(CONCATENATE("https://bugzilla.houston.hp.com:1181/bugzilla/show_bug.cgi?id=",INDIRECT(C70&amp;ROW())),INDIRECT(C70&amp;ROW()))</f>
        <v>62268</v>
      </c>
      <c r="N574">
        <v>62268</v>
      </c>
      <c r="O574" t="s">
        <v>45</v>
      </c>
      <c r="P574" t="s">
        <v>1038</v>
      </c>
      <c r="Q574" t="s">
        <v>25</v>
      </c>
      <c r="R574" t="s">
        <v>783</v>
      </c>
      <c r="S574" t="s">
        <v>552</v>
      </c>
      <c r="T574" t="s">
        <v>1122</v>
      </c>
      <c r="U574" s="6">
        <v>42158.05505787037</v>
      </c>
      <c r="V574" t="s">
        <v>35</v>
      </c>
      <c r="W574" t="s">
        <v>57</v>
      </c>
      <c r="X574" s="6">
        <v>42136.578576388885</v>
      </c>
      <c r="Y574" t="s">
        <v>1026</v>
      </c>
      <c r="AB574" t="s">
        <v>200</v>
      </c>
      <c r="AC574" t="s">
        <v>247</v>
      </c>
      <c r="AD574" t="s">
        <v>220</v>
      </c>
      <c r="AE574" t="s">
        <v>290</v>
      </c>
      <c r="AG574" t="s">
        <v>337</v>
      </c>
      <c r="AH574" t="s">
        <v>327</v>
      </c>
      <c r="AI574" t="s">
        <v>121</v>
      </c>
      <c r="AJ574" t="s">
        <v>715</v>
      </c>
      <c r="AK574" t="s">
        <v>1104</v>
      </c>
    </row>
    <row r="575" spans="9:37" x14ac:dyDescent="0.3">
      <c r="I575">
        <f ca="1">IF(OR(INDIRECT(A73&amp;ROW())=B93,INDIRECT(A73&amp;ROW())=B94),1,IF(AND(INDIRECT(A73&amp;ROW())=B95,INDIRECT(A96&amp;ROW())=C93),1,IF(AND(INDIRECT(A73&amp;ROW())=B95,INDIRECT(A96&amp;ROW())=C94),1,0)))</f>
        <v>1</v>
      </c>
      <c r="J575">
        <f ca="1">IF(AND(INDIRECT(A73&amp;ROW())=B95,INDIRECT(A96&amp;ROW())=C95),1,IF(AND(INDIRECT(A73&amp;ROW())=B95,INDIRECT(A96&amp;ROW())=C96),1,0))</f>
        <v>0</v>
      </c>
      <c r="K575">
        <f ca="1">DAYS360(INDIRECT(C68&amp;ROW()),TODAY())</f>
        <v>689</v>
      </c>
      <c r="L575">
        <f ca="1">DAYS360(INDIRECT(C69&amp;ROW()),TODAY())</f>
        <v>710</v>
      </c>
      <c r="M575">
        <f ca="1">HYPERLINK(CONCATENATE("https://bugzilla.houston.hp.com:1181/bugzilla/show_bug.cgi?id=",INDIRECT(C70&amp;ROW())),INDIRECT(C70&amp;ROW()))</f>
        <v>62269</v>
      </c>
      <c r="N575">
        <v>62269</v>
      </c>
      <c r="O575" t="s">
        <v>53</v>
      </c>
      <c r="P575" t="s">
        <v>1037</v>
      </c>
      <c r="Q575" t="s">
        <v>25</v>
      </c>
      <c r="R575" t="s">
        <v>248</v>
      </c>
      <c r="S575" t="s">
        <v>552</v>
      </c>
      <c r="T575" t="s">
        <v>48</v>
      </c>
      <c r="U575" s="6">
        <v>42158.038587962961</v>
      </c>
      <c r="V575" t="s">
        <v>35</v>
      </c>
      <c r="W575" t="s">
        <v>57</v>
      </c>
      <c r="X575" s="6">
        <v>42136.578622685185</v>
      </c>
      <c r="Y575" t="s">
        <v>1026</v>
      </c>
      <c r="AB575" t="s">
        <v>200</v>
      </c>
      <c r="AC575" t="s">
        <v>247</v>
      </c>
      <c r="AD575" t="s">
        <v>220</v>
      </c>
      <c r="AE575" t="s">
        <v>290</v>
      </c>
      <c r="AG575" t="s">
        <v>121</v>
      </c>
      <c r="AH575" t="s">
        <v>327</v>
      </c>
      <c r="AI575" t="s">
        <v>121</v>
      </c>
      <c r="AJ575" t="s">
        <v>715</v>
      </c>
      <c r="AK575" t="s">
        <v>121</v>
      </c>
    </row>
    <row r="576" spans="9:37" x14ac:dyDescent="0.3">
      <c r="I576">
        <f ca="1">IF(OR(INDIRECT(A73&amp;ROW())=B93,INDIRECT(A73&amp;ROW())=B94),1,IF(AND(INDIRECT(A73&amp;ROW())=B95,INDIRECT(A96&amp;ROW())=C93),1,IF(AND(INDIRECT(A73&amp;ROW())=B95,INDIRECT(A96&amp;ROW())=C94),1,0)))</f>
        <v>1</v>
      </c>
      <c r="J576">
        <f ca="1">IF(AND(INDIRECT(A73&amp;ROW())=B95,INDIRECT(A96&amp;ROW())=C95),1,IF(AND(INDIRECT(A73&amp;ROW())=B95,INDIRECT(A96&amp;ROW())=C96),1,0))</f>
        <v>0</v>
      </c>
      <c r="K576">
        <f ca="1">DAYS360(INDIRECT(C68&amp;ROW()),TODAY())</f>
        <v>710</v>
      </c>
      <c r="L576">
        <f ca="1">DAYS360(INDIRECT(C69&amp;ROW()),TODAY())</f>
        <v>710</v>
      </c>
      <c r="M576">
        <f ca="1">HYPERLINK(CONCATENATE("https://bugzilla.houston.hp.com:1181/bugzilla/show_bug.cgi?id=",INDIRECT(C70&amp;ROW())),INDIRECT(C70&amp;ROW()))</f>
        <v>62279</v>
      </c>
      <c r="N576">
        <v>62279</v>
      </c>
      <c r="O576" t="s">
        <v>45</v>
      </c>
      <c r="P576" t="s">
        <v>1036</v>
      </c>
      <c r="Q576" t="s">
        <v>38</v>
      </c>
      <c r="R576" t="s">
        <v>248</v>
      </c>
      <c r="S576" t="s">
        <v>552</v>
      </c>
      <c r="U576" s="6">
        <v>42136.598391203705</v>
      </c>
      <c r="V576" t="s">
        <v>18</v>
      </c>
      <c r="W576" t="s">
        <v>248</v>
      </c>
      <c r="X576" s="6">
        <v>42136.598391203705</v>
      </c>
      <c r="Y576" t="s">
        <v>793</v>
      </c>
      <c r="AB576" t="s">
        <v>201</v>
      </c>
      <c r="AC576" t="s">
        <v>247</v>
      </c>
      <c r="AD576" t="s">
        <v>227</v>
      </c>
      <c r="AE576" t="s">
        <v>226</v>
      </c>
      <c r="AG576" t="s">
        <v>121</v>
      </c>
      <c r="AH576" t="s">
        <v>327</v>
      </c>
      <c r="AI576" t="s">
        <v>121</v>
      </c>
      <c r="AJ576" t="s">
        <v>715</v>
      </c>
      <c r="AK576" t="s">
        <v>121</v>
      </c>
    </row>
    <row r="577" spans="9:37" x14ac:dyDescent="0.3">
      <c r="I577">
        <f ca="1">IF(OR(INDIRECT(A73&amp;ROW())=B93,INDIRECT(A73&amp;ROW())=B94),1,IF(AND(INDIRECT(A73&amp;ROW())=B95,INDIRECT(A96&amp;ROW())=C93),1,IF(AND(INDIRECT(A73&amp;ROW())=B95,INDIRECT(A96&amp;ROW())=C94),1,0)))</f>
        <v>0</v>
      </c>
      <c r="J577">
        <f ca="1">IF(AND(INDIRECT(A73&amp;ROW())=B95,INDIRECT(A96&amp;ROW())=C95),1,IF(AND(INDIRECT(A73&amp;ROW())=B95,INDIRECT(A96&amp;ROW())=C96),1,0))</f>
        <v>1</v>
      </c>
      <c r="K577">
        <f ca="1">DAYS360(INDIRECT(C68&amp;ROW()),TODAY())</f>
        <v>710</v>
      </c>
      <c r="L577">
        <f ca="1">DAYS360(INDIRECT(C69&amp;ROW()),TODAY())</f>
        <v>710</v>
      </c>
      <c r="M577">
        <f ca="1">HYPERLINK(CONCATENATE("https://bugzilla.houston.hp.com:1181/bugzilla/show_bug.cgi?id=",INDIRECT(C70&amp;ROW())),INDIRECT(C70&amp;ROW()))</f>
        <v>62282</v>
      </c>
      <c r="N577">
        <v>62282</v>
      </c>
      <c r="O577" t="s">
        <v>53</v>
      </c>
      <c r="P577" t="s">
        <v>1035</v>
      </c>
      <c r="Q577" t="s">
        <v>25</v>
      </c>
      <c r="R577" t="s">
        <v>248</v>
      </c>
      <c r="S577" t="s">
        <v>552</v>
      </c>
      <c r="U577" s="6">
        <v>42136.615694444445</v>
      </c>
      <c r="V577" t="s">
        <v>18</v>
      </c>
      <c r="W577" t="s">
        <v>17</v>
      </c>
      <c r="X577" s="6">
        <v>42136.615694444445</v>
      </c>
      <c r="Y577" t="s">
        <v>118</v>
      </c>
      <c r="AB577" t="s">
        <v>201</v>
      </c>
      <c r="AC577" t="s">
        <v>1027</v>
      </c>
      <c r="AD577" t="s">
        <v>220</v>
      </c>
      <c r="AE577" t="s">
        <v>219</v>
      </c>
      <c r="AG577" t="s">
        <v>121</v>
      </c>
      <c r="AH577" t="s">
        <v>327</v>
      </c>
      <c r="AI577" t="s">
        <v>121</v>
      </c>
      <c r="AJ577" t="s">
        <v>716</v>
      </c>
      <c r="AK577" t="s">
        <v>121</v>
      </c>
    </row>
    <row r="578" spans="9:37" x14ac:dyDescent="0.3">
      <c r="I578">
        <f ca="1">IF(OR(INDIRECT(A73&amp;ROW())=B93,INDIRECT(A73&amp;ROW())=B94),1,IF(AND(INDIRECT(A73&amp;ROW())=B95,INDIRECT(A96&amp;ROW())=C93),1,IF(AND(INDIRECT(A73&amp;ROW())=B95,INDIRECT(A96&amp;ROW())=C94),1,0)))</f>
        <v>0</v>
      </c>
      <c r="J578">
        <f ca="1">IF(AND(INDIRECT(A73&amp;ROW())=B95,INDIRECT(A96&amp;ROW())=C95),1,IF(AND(INDIRECT(A73&amp;ROW())=B95,INDIRECT(A96&amp;ROW())=C96),1,0))</f>
        <v>1</v>
      </c>
      <c r="K578">
        <f ca="1">DAYS360(INDIRECT(C68&amp;ROW()),TODAY())</f>
        <v>690</v>
      </c>
      <c r="L578">
        <f ca="1">DAYS360(INDIRECT(C69&amp;ROW()),TODAY())</f>
        <v>710</v>
      </c>
      <c r="M578">
        <f ca="1">HYPERLINK(CONCATENATE("https://bugzilla.houston.hp.com:1181/bugzilla/show_bug.cgi?id=",INDIRECT(C70&amp;ROW())),INDIRECT(C70&amp;ROW()))</f>
        <v>62284</v>
      </c>
      <c r="N578">
        <v>62284</v>
      </c>
      <c r="O578" t="s">
        <v>66</v>
      </c>
      <c r="P578" t="s">
        <v>1034</v>
      </c>
      <c r="Q578" t="s">
        <v>25</v>
      </c>
      <c r="R578" t="s">
        <v>783</v>
      </c>
      <c r="S578" t="s">
        <v>552</v>
      </c>
      <c r="T578" t="s">
        <v>794</v>
      </c>
      <c r="U578" s="6">
        <v>42157.1171412037</v>
      </c>
      <c r="V578" t="s">
        <v>18</v>
      </c>
      <c r="W578" t="s">
        <v>17</v>
      </c>
      <c r="X578" s="6">
        <v>42136.619583333333</v>
      </c>
      <c r="Y578" t="s">
        <v>119</v>
      </c>
      <c r="AB578" t="s">
        <v>201</v>
      </c>
      <c r="AC578" t="s">
        <v>247</v>
      </c>
      <c r="AD578" t="s">
        <v>220</v>
      </c>
      <c r="AE578" t="s">
        <v>223</v>
      </c>
      <c r="AG578" t="s">
        <v>121</v>
      </c>
      <c r="AH578" t="s">
        <v>64</v>
      </c>
      <c r="AI578" t="s">
        <v>121</v>
      </c>
      <c r="AJ578" t="s">
        <v>716</v>
      </c>
      <c r="AK578" t="s">
        <v>121</v>
      </c>
    </row>
    <row r="579" spans="9:37" x14ac:dyDescent="0.3">
      <c r="I579">
        <f ca="1">IF(OR(INDIRECT(A73&amp;ROW())=B93,INDIRECT(A73&amp;ROW())=B94),1,IF(AND(INDIRECT(A73&amp;ROW())=B95,INDIRECT(A96&amp;ROW())=C93),1,IF(AND(INDIRECT(A73&amp;ROW())=B95,INDIRECT(A96&amp;ROW())=C94),1,0)))</f>
        <v>0</v>
      </c>
      <c r="J579">
        <f ca="1">IF(AND(INDIRECT(A73&amp;ROW())=B95,INDIRECT(A96&amp;ROW())=C95),1,IF(AND(INDIRECT(A73&amp;ROW())=B95,INDIRECT(A96&amp;ROW())=C96),1,0))</f>
        <v>1</v>
      </c>
      <c r="K579">
        <f ca="1">DAYS360(INDIRECT(C68&amp;ROW()),TODAY())</f>
        <v>690</v>
      </c>
      <c r="L579">
        <f ca="1">DAYS360(INDIRECT(C69&amp;ROW()),TODAY())</f>
        <v>710</v>
      </c>
      <c r="M579">
        <f ca="1">HYPERLINK(CONCATENATE("https://bugzilla.houston.hp.com:1181/bugzilla/show_bug.cgi?id=",INDIRECT(C70&amp;ROW())),INDIRECT(C70&amp;ROW()))</f>
        <v>62285</v>
      </c>
      <c r="N579">
        <v>62285</v>
      </c>
      <c r="O579" t="s">
        <v>66</v>
      </c>
      <c r="P579" t="s">
        <v>1033</v>
      </c>
      <c r="Q579" t="s">
        <v>25</v>
      </c>
      <c r="R579" t="s">
        <v>248</v>
      </c>
      <c r="S579" t="s">
        <v>552</v>
      </c>
      <c r="T579" t="s">
        <v>794</v>
      </c>
      <c r="U579" s="6">
        <v>42157.117662037039</v>
      </c>
      <c r="V579" t="s">
        <v>18</v>
      </c>
      <c r="W579" t="s">
        <v>17</v>
      </c>
      <c r="X579" s="6">
        <v>42136.619699074072</v>
      </c>
      <c r="Y579" t="s">
        <v>119</v>
      </c>
      <c r="AB579" t="s">
        <v>201</v>
      </c>
      <c r="AC579" t="s">
        <v>247</v>
      </c>
      <c r="AD579" t="s">
        <v>220</v>
      </c>
      <c r="AE579" t="s">
        <v>223</v>
      </c>
      <c r="AG579" t="s">
        <v>121</v>
      </c>
      <c r="AH579" t="s">
        <v>64</v>
      </c>
      <c r="AI579" t="s">
        <v>121</v>
      </c>
      <c r="AJ579" t="s">
        <v>716</v>
      </c>
      <c r="AK579" t="s">
        <v>121</v>
      </c>
    </row>
    <row r="580" spans="9:37" x14ac:dyDescent="0.3">
      <c r="I580">
        <f ca="1">IF(OR(INDIRECT(A73&amp;ROW())=B93,INDIRECT(A73&amp;ROW())=B94),1,IF(AND(INDIRECT(A73&amp;ROW())=B95,INDIRECT(A96&amp;ROW())=C93),1,IF(AND(INDIRECT(A73&amp;ROW())=B95,INDIRECT(A96&amp;ROW())=C94),1,0)))</f>
        <v>0</v>
      </c>
      <c r="J580">
        <f ca="1">IF(AND(INDIRECT(A73&amp;ROW())=B95,INDIRECT(A96&amp;ROW())=C95),1,IF(AND(INDIRECT(A73&amp;ROW())=B95,INDIRECT(A96&amp;ROW())=C96),1,0))</f>
        <v>0</v>
      </c>
      <c r="K580">
        <f ca="1">DAYS360(INDIRECT(C68&amp;ROW()),TODAY())</f>
        <v>710</v>
      </c>
      <c r="L580">
        <f ca="1">DAYS360(INDIRECT(C69&amp;ROW()),TODAY())</f>
        <v>710</v>
      </c>
      <c r="M580">
        <f ca="1">HYPERLINK(CONCATENATE("https://bugzilla.houston.hp.com:1181/bugzilla/show_bug.cgi?id=",INDIRECT(C70&amp;ROW())),INDIRECT(C70&amp;ROW()))</f>
        <v>62294</v>
      </c>
      <c r="N580">
        <v>62294</v>
      </c>
      <c r="O580" t="s">
        <v>66</v>
      </c>
      <c r="P580" t="s">
        <v>1032</v>
      </c>
      <c r="Q580" t="s">
        <v>16</v>
      </c>
      <c r="R580" t="s">
        <v>248</v>
      </c>
      <c r="S580" t="s">
        <v>552</v>
      </c>
      <c r="U580" s="6">
        <v>42136.635416666664</v>
      </c>
      <c r="V580" t="s">
        <v>18</v>
      </c>
      <c r="W580" t="s">
        <v>17</v>
      </c>
      <c r="X580" s="6">
        <v>42136.635416666664</v>
      </c>
      <c r="Y580" t="s">
        <v>255</v>
      </c>
      <c r="AB580" t="s">
        <v>201</v>
      </c>
      <c r="AC580" t="s">
        <v>247</v>
      </c>
      <c r="AD580" t="s">
        <v>220</v>
      </c>
      <c r="AE580" t="s">
        <v>219</v>
      </c>
      <c r="AG580" t="s">
        <v>121</v>
      </c>
      <c r="AH580" t="s">
        <v>327</v>
      </c>
      <c r="AI580" t="s">
        <v>121</v>
      </c>
      <c r="AJ580" t="s">
        <v>716</v>
      </c>
      <c r="AK580" t="s">
        <v>121</v>
      </c>
    </row>
    <row r="581" spans="9:37" x14ac:dyDescent="0.3">
      <c r="I581">
        <f ca="1">IF(OR(INDIRECT(A73&amp;ROW())=B93,INDIRECT(A73&amp;ROW())=B94),1,IF(AND(INDIRECT(A73&amp;ROW())=B95,INDIRECT(A96&amp;ROW())=C93),1,IF(AND(INDIRECT(A73&amp;ROW())=B95,INDIRECT(A96&amp;ROW())=C94),1,0)))</f>
        <v>0</v>
      </c>
      <c r="J581">
        <f ca="1">IF(AND(INDIRECT(A73&amp;ROW())=B95,INDIRECT(A96&amp;ROW())=C95),1,IF(AND(INDIRECT(A73&amp;ROW())=B95,INDIRECT(A96&amp;ROW())=C96),1,0))</f>
        <v>0</v>
      </c>
      <c r="K581">
        <f ca="1">DAYS360(INDIRECT(C68&amp;ROW()),TODAY())</f>
        <v>710</v>
      </c>
      <c r="L581">
        <f ca="1">DAYS360(INDIRECT(C69&amp;ROW()),TODAY())</f>
        <v>710</v>
      </c>
      <c r="M581">
        <f ca="1">HYPERLINK(CONCATENATE("https://bugzilla.houston.hp.com:1181/bugzilla/show_bug.cgi?id=",INDIRECT(C70&amp;ROW())),INDIRECT(C70&amp;ROW()))</f>
        <v>62296</v>
      </c>
      <c r="N581">
        <v>62296</v>
      </c>
      <c r="O581" t="s">
        <v>43</v>
      </c>
      <c r="P581" t="s">
        <v>1031</v>
      </c>
      <c r="Q581" t="s">
        <v>16</v>
      </c>
      <c r="R581" t="s">
        <v>248</v>
      </c>
      <c r="S581" t="s">
        <v>552</v>
      </c>
      <c r="T581" t="s">
        <v>794</v>
      </c>
      <c r="U581" s="6">
        <v>42136.636666666665</v>
      </c>
      <c r="V581" t="s">
        <v>18</v>
      </c>
      <c r="W581" t="s">
        <v>17</v>
      </c>
      <c r="X581" s="6">
        <v>42136.636666666665</v>
      </c>
      <c r="Y581" t="s">
        <v>124</v>
      </c>
      <c r="AB581" t="s">
        <v>201</v>
      </c>
      <c r="AC581" t="s">
        <v>247</v>
      </c>
      <c r="AD581" t="s">
        <v>220</v>
      </c>
      <c r="AE581" t="s">
        <v>219</v>
      </c>
      <c r="AG581" t="s">
        <v>121</v>
      </c>
      <c r="AH581" t="s">
        <v>327</v>
      </c>
      <c r="AI581" t="s">
        <v>121</v>
      </c>
      <c r="AJ581" t="s">
        <v>717</v>
      </c>
      <c r="AK581" t="s">
        <v>121</v>
      </c>
    </row>
    <row r="582" spans="9:37" x14ac:dyDescent="0.3">
      <c r="I582">
        <f ca="1">IF(OR(INDIRECT(A73&amp;ROW())=B93,INDIRECT(A73&amp;ROW())=B94),1,IF(AND(INDIRECT(A73&amp;ROW())=B95,INDIRECT(A96&amp;ROW())=C93),1,IF(AND(INDIRECT(A73&amp;ROW())=B95,INDIRECT(A96&amp;ROW())=C94),1,0)))</f>
        <v>0</v>
      </c>
      <c r="J582">
        <f ca="1">IF(AND(INDIRECT(A73&amp;ROW())=B95,INDIRECT(A96&amp;ROW())=C95),1,IF(AND(INDIRECT(A73&amp;ROW())=B95,INDIRECT(A96&amp;ROW())=C96),1,0))</f>
        <v>0</v>
      </c>
      <c r="K582">
        <f ca="1">DAYS360(INDIRECT(C68&amp;ROW()),TODAY())</f>
        <v>710</v>
      </c>
      <c r="L582">
        <f ca="1">DAYS360(INDIRECT(C69&amp;ROW()),TODAY())</f>
        <v>710</v>
      </c>
      <c r="M582">
        <f ca="1">HYPERLINK(CONCATENATE("https://bugzilla.houston.hp.com:1181/bugzilla/show_bug.cgi?id=",INDIRECT(C70&amp;ROW())),INDIRECT(C70&amp;ROW()))</f>
        <v>62298</v>
      </c>
      <c r="N582">
        <v>62298</v>
      </c>
      <c r="O582" t="s">
        <v>66</v>
      </c>
      <c r="P582" t="s">
        <v>1030</v>
      </c>
      <c r="Q582" t="s">
        <v>16</v>
      </c>
      <c r="R582" t="s">
        <v>248</v>
      </c>
      <c r="S582" t="s">
        <v>552</v>
      </c>
      <c r="U582" s="6">
        <v>42136.646863425929</v>
      </c>
      <c r="V582" t="s">
        <v>18</v>
      </c>
      <c r="W582" t="s">
        <v>17</v>
      </c>
      <c r="X582" s="6">
        <v>42136.646863425929</v>
      </c>
      <c r="Y582" t="s">
        <v>122</v>
      </c>
      <c r="AB582" t="s">
        <v>201</v>
      </c>
      <c r="AC582" t="s">
        <v>247</v>
      </c>
      <c r="AD582" t="s">
        <v>220</v>
      </c>
      <c r="AE582" t="s">
        <v>290</v>
      </c>
      <c r="AG582" t="s">
        <v>121</v>
      </c>
      <c r="AH582" t="s">
        <v>1029</v>
      </c>
      <c r="AI582" t="s">
        <v>121</v>
      </c>
      <c r="AJ582" t="s">
        <v>717</v>
      </c>
      <c r="AK582" t="s">
        <v>121</v>
      </c>
    </row>
    <row r="583" spans="9:37" x14ac:dyDescent="0.3">
      <c r="I583">
        <f ca="1">IF(OR(INDIRECT(A73&amp;ROW())=B93,INDIRECT(A73&amp;ROW())=B94),1,IF(AND(INDIRECT(A73&amp;ROW())=B95,INDIRECT(A96&amp;ROW())=C93),1,IF(AND(INDIRECT(A73&amp;ROW())=B95,INDIRECT(A96&amp;ROW())=C94),1,0)))</f>
        <v>1</v>
      </c>
      <c r="J583">
        <f ca="1">IF(AND(INDIRECT(A73&amp;ROW())=B95,INDIRECT(A96&amp;ROW())=C95),1,IF(AND(INDIRECT(A73&amp;ROW())=B95,INDIRECT(A96&amp;ROW())=C96),1,0))</f>
        <v>0</v>
      </c>
      <c r="K583">
        <f ca="1">DAYS360(INDIRECT(C68&amp;ROW()),TODAY())</f>
        <v>703</v>
      </c>
      <c r="L583">
        <f ca="1">DAYS360(INDIRECT(C69&amp;ROW()),TODAY())</f>
        <v>709</v>
      </c>
      <c r="M583">
        <f ca="1">HYPERLINK(CONCATENATE("https://bugzilla.houston.hp.com:1181/bugzilla/show_bug.cgi?id=",INDIRECT(C70&amp;ROW())),INDIRECT(C70&amp;ROW()))</f>
        <v>62330</v>
      </c>
      <c r="N583">
        <v>62330</v>
      </c>
      <c r="O583" t="s">
        <v>56</v>
      </c>
      <c r="P583" t="s">
        <v>1028</v>
      </c>
      <c r="Q583" t="s">
        <v>25</v>
      </c>
      <c r="R583" t="s">
        <v>579</v>
      </c>
      <c r="S583" t="s">
        <v>552</v>
      </c>
      <c r="U583" s="6">
        <v>42143.455914351849</v>
      </c>
      <c r="V583" t="s">
        <v>18</v>
      </c>
      <c r="W583" t="s">
        <v>17</v>
      </c>
      <c r="X583" s="6">
        <v>42137.214143518519</v>
      </c>
      <c r="Y583" t="s">
        <v>125</v>
      </c>
      <c r="AB583" t="s">
        <v>200</v>
      </c>
      <c r="AC583" t="s">
        <v>247</v>
      </c>
      <c r="AD583" t="s">
        <v>220</v>
      </c>
      <c r="AE583" t="s">
        <v>224</v>
      </c>
      <c r="AG583" t="s">
        <v>121</v>
      </c>
      <c r="AH583" t="s">
        <v>327</v>
      </c>
      <c r="AI583" t="s">
        <v>121</v>
      </c>
      <c r="AJ583" t="s">
        <v>715</v>
      </c>
      <c r="AK583" t="s">
        <v>121</v>
      </c>
    </row>
    <row r="584" spans="9:37" x14ac:dyDescent="0.3">
      <c r="I584">
        <f ca="1">IF(OR(INDIRECT(A73&amp;ROW())=B93,INDIRECT(A73&amp;ROW())=B94),1,IF(AND(INDIRECT(A73&amp;ROW())=B95,INDIRECT(A96&amp;ROW())=C93),1,IF(AND(INDIRECT(A73&amp;ROW())=B95,INDIRECT(A96&amp;ROW())=C94),1,0)))</f>
        <v>0</v>
      </c>
      <c r="J584">
        <f ca="1">IF(AND(INDIRECT(A73&amp;ROW())=B95,INDIRECT(A96&amp;ROW())=C95),1,IF(AND(INDIRECT(A73&amp;ROW())=B95,INDIRECT(A96&amp;ROW())=C96),1,0))</f>
        <v>1</v>
      </c>
      <c r="K584">
        <f ca="1">DAYS360(INDIRECT(C68&amp;ROW()),TODAY())</f>
        <v>709</v>
      </c>
      <c r="L584">
        <f ca="1">DAYS360(INDIRECT(C69&amp;ROW()),TODAY())</f>
        <v>709</v>
      </c>
      <c r="M584">
        <f ca="1">HYPERLINK(CONCATENATE("https://bugzilla.houston.hp.com:1181/bugzilla/show_bug.cgi?id=",INDIRECT(C70&amp;ROW())),INDIRECT(C70&amp;ROW()))</f>
        <v>62359</v>
      </c>
      <c r="N584">
        <v>62359</v>
      </c>
      <c r="O584" t="s">
        <v>22</v>
      </c>
      <c r="P584" t="s">
        <v>1057</v>
      </c>
      <c r="Q584" t="s">
        <v>25</v>
      </c>
      <c r="R584" t="s">
        <v>251</v>
      </c>
      <c r="S584" t="s">
        <v>44</v>
      </c>
      <c r="U584" s="6">
        <v>42137.510567129626</v>
      </c>
      <c r="V584" t="s">
        <v>18</v>
      </c>
      <c r="W584" t="s">
        <v>783</v>
      </c>
      <c r="X584" s="6">
        <v>42137.476770833331</v>
      </c>
      <c r="Y584" t="s">
        <v>118</v>
      </c>
      <c r="AB584" t="s">
        <v>201</v>
      </c>
      <c r="AC584" t="s">
        <v>247</v>
      </c>
      <c r="AD584" t="s">
        <v>222</v>
      </c>
      <c r="AE584" t="s">
        <v>221</v>
      </c>
      <c r="AG584" t="s">
        <v>121</v>
      </c>
      <c r="AH584" t="s">
        <v>327</v>
      </c>
      <c r="AI584" t="s">
        <v>121</v>
      </c>
      <c r="AJ584" t="s">
        <v>716</v>
      </c>
      <c r="AK584" t="s">
        <v>121</v>
      </c>
    </row>
    <row r="585" spans="9:37" x14ac:dyDescent="0.3">
      <c r="I585">
        <f ca="1">IF(OR(INDIRECT(A73&amp;ROW())=B93,INDIRECT(A73&amp;ROW())=B94),1,IF(AND(INDIRECT(A73&amp;ROW())=B95,INDIRECT(A96&amp;ROW())=C93),1,IF(AND(INDIRECT(A73&amp;ROW())=B95,INDIRECT(A96&amp;ROW())=C94),1,0)))</f>
        <v>0</v>
      </c>
      <c r="J585">
        <f ca="1">IF(AND(INDIRECT(A73&amp;ROW())=B95,INDIRECT(A96&amp;ROW())=C95),1,IF(AND(INDIRECT(A73&amp;ROW())=B95,INDIRECT(A96&amp;ROW())=C96),1,0))</f>
        <v>1</v>
      </c>
      <c r="K585">
        <f ca="1">DAYS360(INDIRECT(C68&amp;ROW()),TODAY())</f>
        <v>709</v>
      </c>
      <c r="L585">
        <f ca="1">DAYS360(INDIRECT(C69&amp;ROW()),TODAY())</f>
        <v>709</v>
      </c>
      <c r="M585">
        <f ca="1">HYPERLINK(CONCATENATE("https://bugzilla.houston.hp.com:1181/bugzilla/show_bug.cgi?id=",INDIRECT(C70&amp;ROW())),INDIRECT(C70&amp;ROW()))</f>
        <v>62363</v>
      </c>
      <c r="N585">
        <v>62363</v>
      </c>
      <c r="O585" t="s">
        <v>22</v>
      </c>
      <c r="P585" t="s">
        <v>1056</v>
      </c>
      <c r="Q585" t="s">
        <v>25</v>
      </c>
      <c r="R585" t="s">
        <v>783</v>
      </c>
      <c r="S585" t="s">
        <v>552</v>
      </c>
      <c r="U585" s="6">
        <v>42137.500509259262</v>
      </c>
      <c r="V585" t="s">
        <v>18</v>
      </c>
      <c r="W585" t="s">
        <v>783</v>
      </c>
      <c r="X585" s="6">
        <v>42137.500509259262</v>
      </c>
      <c r="Y585" t="s">
        <v>118</v>
      </c>
      <c r="AB585" t="s">
        <v>201</v>
      </c>
      <c r="AC585" t="s">
        <v>247</v>
      </c>
      <c r="AD585" t="s">
        <v>222</v>
      </c>
      <c r="AE585" t="s">
        <v>221</v>
      </c>
      <c r="AG585" t="s">
        <v>121</v>
      </c>
      <c r="AH585" t="s">
        <v>327</v>
      </c>
      <c r="AI585" t="s">
        <v>121</v>
      </c>
      <c r="AJ585" t="s">
        <v>716</v>
      </c>
      <c r="AK585" t="s">
        <v>121</v>
      </c>
    </row>
    <row r="586" spans="9:37" x14ac:dyDescent="0.3">
      <c r="I586">
        <f ca="1">IF(OR(INDIRECT(A73&amp;ROW())=B93,INDIRECT(A73&amp;ROW())=B94),1,IF(AND(INDIRECT(A73&amp;ROW())=B95,INDIRECT(A96&amp;ROW())=C93),1,IF(AND(INDIRECT(A73&amp;ROW())=B95,INDIRECT(A96&amp;ROW())=C94),1,0)))</f>
        <v>0</v>
      </c>
      <c r="J586">
        <f ca="1">IF(AND(INDIRECT(A73&amp;ROW())=B95,INDIRECT(A96&amp;ROW())=C95),1,IF(AND(INDIRECT(A73&amp;ROW())=B95,INDIRECT(A96&amp;ROW())=C96),1,0))</f>
        <v>1</v>
      </c>
      <c r="K586">
        <f ca="1">DAYS360(INDIRECT(C68&amp;ROW()),TODAY())</f>
        <v>709</v>
      </c>
      <c r="L586">
        <f ca="1">DAYS360(INDIRECT(C69&amp;ROW()),TODAY())</f>
        <v>709</v>
      </c>
      <c r="M586">
        <f ca="1">HYPERLINK(CONCATENATE("https://bugzilla.houston.hp.com:1181/bugzilla/show_bug.cgi?id=",INDIRECT(C70&amp;ROW())),INDIRECT(C70&amp;ROW()))</f>
        <v>62364</v>
      </c>
      <c r="N586">
        <v>62364</v>
      </c>
      <c r="O586" t="s">
        <v>22</v>
      </c>
      <c r="P586" t="s">
        <v>1055</v>
      </c>
      <c r="Q586" t="s">
        <v>25</v>
      </c>
      <c r="R586" t="s">
        <v>248</v>
      </c>
      <c r="S586" t="s">
        <v>552</v>
      </c>
      <c r="U586" s="6">
        <v>42137.500567129631</v>
      </c>
      <c r="V586" t="s">
        <v>18</v>
      </c>
      <c r="W586" t="s">
        <v>783</v>
      </c>
      <c r="X586" s="6">
        <v>42137.500567129631</v>
      </c>
      <c r="Y586" t="s">
        <v>118</v>
      </c>
      <c r="AB586" t="s">
        <v>201</v>
      </c>
      <c r="AC586" t="s">
        <v>247</v>
      </c>
      <c r="AD586" t="s">
        <v>222</v>
      </c>
      <c r="AE586" t="s">
        <v>221</v>
      </c>
      <c r="AG586" t="s">
        <v>121</v>
      </c>
      <c r="AH586" t="s">
        <v>327</v>
      </c>
      <c r="AI586" t="s">
        <v>121</v>
      </c>
      <c r="AJ586" t="s">
        <v>716</v>
      </c>
      <c r="AK586" t="s">
        <v>121</v>
      </c>
    </row>
    <row r="587" spans="9:37" x14ac:dyDescent="0.3">
      <c r="I587">
        <f ca="1">IF(OR(INDIRECT(A73&amp;ROW())=B93,INDIRECT(A73&amp;ROW())=B94),1,IF(AND(INDIRECT(A73&amp;ROW())=B95,INDIRECT(A96&amp;ROW())=C93),1,IF(AND(INDIRECT(A73&amp;ROW())=B95,INDIRECT(A96&amp;ROW())=C94),1,0)))</f>
        <v>1</v>
      </c>
      <c r="J587">
        <f ca="1">IF(AND(INDIRECT(A73&amp;ROW())=B95,INDIRECT(A96&amp;ROW())=C95),1,IF(AND(INDIRECT(A73&amp;ROW())=B95,INDIRECT(A96&amp;ROW())=C96),1,0))</f>
        <v>0</v>
      </c>
      <c r="K587">
        <f ca="1">DAYS360(INDIRECT(C68&amp;ROW()),TODAY())</f>
        <v>687</v>
      </c>
      <c r="L587">
        <f ca="1">DAYS360(INDIRECT(C69&amp;ROW()),TODAY())</f>
        <v>708</v>
      </c>
      <c r="M587">
        <f ca="1">HYPERLINK(CONCATENATE("https://bugzilla.houston.hp.com:1181/bugzilla/show_bug.cgi?id=",INDIRECT(C70&amp;ROW())),INDIRECT(C70&amp;ROW()))</f>
        <v>62438</v>
      </c>
      <c r="N587">
        <v>62438</v>
      </c>
      <c r="O587" t="s">
        <v>56</v>
      </c>
      <c r="P587" t="s">
        <v>1064</v>
      </c>
      <c r="Q587" t="s">
        <v>25</v>
      </c>
      <c r="R587" t="s">
        <v>248</v>
      </c>
      <c r="S587" t="s">
        <v>552</v>
      </c>
      <c r="U587" s="6">
        <v>42160.492615740739</v>
      </c>
      <c r="V587" t="s">
        <v>18</v>
      </c>
      <c r="W587" t="s">
        <v>248</v>
      </c>
      <c r="X587" s="6">
        <v>42138.516712962963</v>
      </c>
      <c r="Y587" t="s">
        <v>123</v>
      </c>
      <c r="AB587" t="s">
        <v>200</v>
      </c>
      <c r="AC587" t="s">
        <v>247</v>
      </c>
      <c r="AD587" t="s">
        <v>220</v>
      </c>
      <c r="AE587" t="s">
        <v>219</v>
      </c>
      <c r="AG587" t="s">
        <v>121</v>
      </c>
      <c r="AH587" t="s">
        <v>327</v>
      </c>
      <c r="AI587" t="s">
        <v>121</v>
      </c>
      <c r="AJ587" t="s">
        <v>715</v>
      </c>
      <c r="AK587" t="s">
        <v>121</v>
      </c>
    </row>
    <row r="588" spans="9:37" x14ac:dyDescent="0.3">
      <c r="I588">
        <f ca="1">IF(OR(INDIRECT(A73&amp;ROW())=B93,INDIRECT(A73&amp;ROW())=B94),1,IF(AND(INDIRECT(A73&amp;ROW())=B95,INDIRECT(A96&amp;ROW())=C93),1,IF(AND(INDIRECT(A73&amp;ROW())=B95,INDIRECT(A96&amp;ROW())=C94),1,0)))</f>
        <v>0</v>
      </c>
      <c r="J588">
        <f ca="1">IF(AND(INDIRECT(A73&amp;ROW())=B95,INDIRECT(A96&amp;ROW())=C95),1,IF(AND(INDIRECT(A73&amp;ROW())=B95,INDIRECT(A96&amp;ROW())=C96),1,0))</f>
        <v>1</v>
      </c>
      <c r="K588">
        <f ca="1">DAYS360(INDIRECT(C68&amp;ROW()),TODAY())</f>
        <v>705</v>
      </c>
      <c r="L588">
        <f ca="1">DAYS360(INDIRECT(C69&amp;ROW()),TODAY())</f>
        <v>705</v>
      </c>
      <c r="M588">
        <f ca="1">HYPERLINK(CONCATENATE("https://bugzilla.houston.hp.com:1181/bugzilla/show_bug.cgi?id=",INDIRECT(C70&amp;ROW())),INDIRECT(C70&amp;ROW()))</f>
        <v>62508</v>
      </c>
      <c r="N588">
        <v>62508</v>
      </c>
      <c r="O588" t="s">
        <v>56</v>
      </c>
      <c r="P588" t="s">
        <v>1063</v>
      </c>
      <c r="Q588" t="s">
        <v>25</v>
      </c>
      <c r="R588" t="s">
        <v>783</v>
      </c>
      <c r="S588" t="s">
        <v>236</v>
      </c>
      <c r="U588" s="6">
        <v>42141.688692129632</v>
      </c>
      <c r="V588" t="s">
        <v>35</v>
      </c>
      <c r="W588" t="s">
        <v>764</v>
      </c>
      <c r="X588" s="6">
        <v>42141.688692129632</v>
      </c>
      <c r="Y588" t="s">
        <v>246</v>
      </c>
      <c r="AB588" t="s">
        <v>201</v>
      </c>
      <c r="AC588" t="s">
        <v>247</v>
      </c>
      <c r="AD588" t="s">
        <v>220</v>
      </c>
      <c r="AE588" t="s">
        <v>219</v>
      </c>
      <c r="AG588" t="s">
        <v>121</v>
      </c>
      <c r="AH588" t="s">
        <v>768</v>
      </c>
      <c r="AI588" t="s">
        <v>121</v>
      </c>
      <c r="AJ588" t="s">
        <v>716</v>
      </c>
      <c r="AK588" t="s">
        <v>121</v>
      </c>
    </row>
    <row r="589" spans="9:37" x14ac:dyDescent="0.3">
      <c r="I589">
        <f ca="1">IF(OR(INDIRECT(A73&amp;ROW())=B93,INDIRECT(A73&amp;ROW())=B94),1,IF(AND(INDIRECT(A73&amp;ROW())=B95,INDIRECT(A96&amp;ROW())=C93),1,IF(AND(INDIRECT(A73&amp;ROW())=B95,INDIRECT(A96&amp;ROW())=C94),1,0)))</f>
        <v>1</v>
      </c>
      <c r="J589">
        <f ca="1">IF(AND(INDIRECT(A73&amp;ROW())=B95,INDIRECT(A96&amp;ROW())=C95),1,IF(AND(INDIRECT(A73&amp;ROW())=B95,INDIRECT(A96&amp;ROW())=C96),1,0))</f>
        <v>0</v>
      </c>
      <c r="K589">
        <f ca="1">DAYS360(INDIRECT(C68&amp;ROW()),TODAY())</f>
        <v>694</v>
      </c>
      <c r="L589">
        <f ca="1">DAYS360(INDIRECT(C69&amp;ROW()),TODAY())</f>
        <v>704</v>
      </c>
      <c r="M589">
        <f ca="1">HYPERLINK(CONCATENATE("https://bugzilla.houston.hp.com:1181/bugzilla/show_bug.cgi?id=",INDIRECT(C70&amp;ROW())),INDIRECT(C70&amp;ROW()))</f>
        <v>62559</v>
      </c>
      <c r="N589">
        <v>62559</v>
      </c>
      <c r="O589" t="s">
        <v>241</v>
      </c>
      <c r="P589" t="s">
        <v>1081</v>
      </c>
      <c r="Q589" t="s">
        <v>25</v>
      </c>
      <c r="R589" t="s">
        <v>251</v>
      </c>
      <c r="S589" t="s">
        <v>1080</v>
      </c>
      <c r="U589" s="6">
        <v>42152.503506944442</v>
      </c>
      <c r="V589" t="s">
        <v>18</v>
      </c>
      <c r="W589" t="s">
        <v>764</v>
      </c>
      <c r="X589" s="6">
        <v>42142.621620370373</v>
      </c>
      <c r="Y589" t="s">
        <v>123</v>
      </c>
      <c r="Z589" t="s">
        <v>123</v>
      </c>
      <c r="AB589" t="s">
        <v>200</v>
      </c>
      <c r="AC589" t="s">
        <v>247</v>
      </c>
      <c r="AD589" t="s">
        <v>227</v>
      </c>
      <c r="AE589" t="s">
        <v>237</v>
      </c>
      <c r="AG589" t="s">
        <v>121</v>
      </c>
      <c r="AH589" t="s">
        <v>327</v>
      </c>
      <c r="AI589" t="s">
        <v>121</v>
      </c>
      <c r="AJ589" t="s">
        <v>715</v>
      </c>
      <c r="AK589" t="s">
        <v>121</v>
      </c>
    </row>
    <row r="590" spans="9:37" x14ac:dyDescent="0.3">
      <c r="I590">
        <f ca="1">IF(OR(INDIRECT(A73&amp;ROW())=B93,INDIRECT(A73&amp;ROW())=B94),1,IF(AND(INDIRECT(A73&amp;ROW())=B95,INDIRECT(A96&amp;ROW())=C93),1,IF(AND(INDIRECT(A73&amp;ROW())=B95,INDIRECT(A96&amp;ROW())=C94),1,0)))</f>
        <v>1</v>
      </c>
      <c r="J590">
        <f ca="1">IF(AND(INDIRECT(A73&amp;ROW())=B95,INDIRECT(A96&amp;ROW())=C95),1,IF(AND(INDIRECT(A73&amp;ROW())=B95,INDIRECT(A96&amp;ROW())=C96),1,0))</f>
        <v>0</v>
      </c>
      <c r="K590">
        <f ca="1">DAYS360(INDIRECT(C68&amp;ROW()),TODAY())</f>
        <v>703</v>
      </c>
      <c r="L590">
        <f ca="1">DAYS360(INDIRECT(C69&amp;ROW()),TODAY())</f>
        <v>703</v>
      </c>
      <c r="M590">
        <f ca="1">HYPERLINK(CONCATENATE("https://bugzilla.houston.hp.com:1181/bugzilla/show_bug.cgi?id=",INDIRECT(C70&amp;ROW())),INDIRECT(C70&amp;ROW()))</f>
        <v>62575</v>
      </c>
      <c r="N590">
        <v>62575</v>
      </c>
      <c r="O590" t="s">
        <v>241</v>
      </c>
      <c r="P590" t="s">
        <v>1079</v>
      </c>
      <c r="Q590" t="s">
        <v>25</v>
      </c>
      <c r="R590" t="s">
        <v>579</v>
      </c>
      <c r="S590" t="s">
        <v>552</v>
      </c>
      <c r="U590" s="6">
        <v>42143.309745370374</v>
      </c>
      <c r="V590" t="s">
        <v>18</v>
      </c>
      <c r="W590" t="s">
        <v>764</v>
      </c>
      <c r="X590" s="6">
        <v>42143.016516203701</v>
      </c>
      <c r="Y590" t="s">
        <v>123</v>
      </c>
      <c r="Z590" t="s">
        <v>123</v>
      </c>
      <c r="AB590" t="s">
        <v>200</v>
      </c>
      <c r="AC590" t="s">
        <v>247</v>
      </c>
      <c r="AD590" t="s">
        <v>227</v>
      </c>
      <c r="AE590" t="s">
        <v>231</v>
      </c>
      <c r="AG590" t="s">
        <v>121</v>
      </c>
      <c r="AH590" t="s">
        <v>327</v>
      </c>
      <c r="AI590" t="s">
        <v>121</v>
      </c>
      <c r="AJ590" t="s">
        <v>715</v>
      </c>
      <c r="AK590" t="s">
        <v>1066</v>
      </c>
    </row>
    <row r="591" spans="9:37" x14ac:dyDescent="0.3">
      <c r="I591">
        <f ca="1">IF(OR(INDIRECT(A73&amp;ROW())=B93,INDIRECT(A73&amp;ROW())=B94),1,IF(AND(INDIRECT(A73&amp;ROW())=B95,INDIRECT(A96&amp;ROW())=C93),1,IF(AND(INDIRECT(A73&amp;ROW())=B95,INDIRECT(A96&amp;ROW())=C94),1,0)))</f>
        <v>1</v>
      </c>
      <c r="J591">
        <f ca="1">IF(AND(INDIRECT(A73&amp;ROW())=B95,INDIRECT(A96&amp;ROW())=C95),1,IF(AND(INDIRECT(A73&amp;ROW())=B95,INDIRECT(A96&amp;ROW())=C96),1,0))</f>
        <v>0</v>
      </c>
      <c r="K591">
        <f ca="1">DAYS360(INDIRECT(C68&amp;ROW()),TODAY())</f>
        <v>703</v>
      </c>
      <c r="L591">
        <f ca="1">DAYS360(INDIRECT(C69&amp;ROW()),TODAY())</f>
        <v>703</v>
      </c>
      <c r="M591">
        <f ca="1">HYPERLINK(CONCATENATE("https://bugzilla.houston.hp.com:1181/bugzilla/show_bug.cgi?id=",INDIRECT(C70&amp;ROW())),INDIRECT(C70&amp;ROW()))</f>
        <v>62576</v>
      </c>
      <c r="N591">
        <v>62576</v>
      </c>
      <c r="O591" t="s">
        <v>241</v>
      </c>
      <c r="P591" t="s">
        <v>1078</v>
      </c>
      <c r="Q591" t="s">
        <v>25</v>
      </c>
      <c r="R591" t="s">
        <v>248</v>
      </c>
      <c r="S591" t="s">
        <v>552</v>
      </c>
      <c r="U591" s="6">
        <v>42143.30976851852</v>
      </c>
      <c r="V591" t="s">
        <v>18</v>
      </c>
      <c r="W591" t="s">
        <v>764</v>
      </c>
      <c r="X591" s="6">
        <v>42143.016574074078</v>
      </c>
      <c r="Y591" t="s">
        <v>123</v>
      </c>
      <c r="Z591" t="s">
        <v>123</v>
      </c>
      <c r="AB591" t="s">
        <v>200</v>
      </c>
      <c r="AC591" t="s">
        <v>247</v>
      </c>
      <c r="AD591" t="s">
        <v>227</v>
      </c>
      <c r="AE591" t="s">
        <v>231</v>
      </c>
      <c r="AG591" t="s">
        <v>121</v>
      </c>
      <c r="AH591" t="s">
        <v>327</v>
      </c>
      <c r="AI591" t="s">
        <v>121</v>
      </c>
      <c r="AJ591" t="s">
        <v>715</v>
      </c>
      <c r="AK591" t="s">
        <v>1066</v>
      </c>
    </row>
    <row r="592" spans="9:37" x14ac:dyDescent="0.3">
      <c r="I592">
        <f ca="1">IF(OR(INDIRECT(A73&amp;ROW())=B93,INDIRECT(A73&amp;ROW())=B94),1,IF(AND(INDIRECT(A73&amp;ROW())=B95,INDIRECT(A96&amp;ROW())=C93),1,IF(AND(INDIRECT(A73&amp;ROW())=B95,INDIRECT(A96&amp;ROW())=C94),1,0)))</f>
        <v>1</v>
      </c>
      <c r="J592">
        <f ca="1">IF(AND(INDIRECT(A73&amp;ROW())=B95,INDIRECT(A96&amp;ROW())=C95),1,IF(AND(INDIRECT(A73&amp;ROW())=B95,INDIRECT(A96&amp;ROW())=C96),1,0))</f>
        <v>0</v>
      </c>
      <c r="K592">
        <f ca="1">DAYS360(INDIRECT(C68&amp;ROW()),TODAY())</f>
        <v>690</v>
      </c>
      <c r="L592">
        <f ca="1">DAYS360(INDIRECT(C69&amp;ROW()),TODAY())</f>
        <v>703</v>
      </c>
      <c r="M592">
        <f ca="1">HYPERLINK(CONCATENATE("https://bugzilla.houston.hp.com:1181/bugzilla/show_bug.cgi?id=",INDIRECT(C70&amp;ROW())),INDIRECT(C70&amp;ROW()))</f>
        <v>62607</v>
      </c>
      <c r="N592">
        <v>62607</v>
      </c>
      <c r="O592" t="s">
        <v>53</v>
      </c>
      <c r="P592" t="s">
        <v>1077</v>
      </c>
      <c r="Q592" t="s">
        <v>39</v>
      </c>
      <c r="R592" t="s">
        <v>251</v>
      </c>
      <c r="S592" t="s">
        <v>24</v>
      </c>
      <c r="U592" s="6">
        <v>42157.719826388886</v>
      </c>
      <c r="V592" t="s">
        <v>18</v>
      </c>
      <c r="W592" t="s">
        <v>764</v>
      </c>
      <c r="X592" s="6">
        <v>42143.354687500003</v>
      </c>
      <c r="Y592" t="s">
        <v>119</v>
      </c>
      <c r="AB592" t="s">
        <v>201</v>
      </c>
      <c r="AC592" t="s">
        <v>247</v>
      </c>
      <c r="AD592" t="s">
        <v>220</v>
      </c>
      <c r="AE592" t="s">
        <v>219</v>
      </c>
      <c r="AG592" t="s">
        <v>121</v>
      </c>
      <c r="AH592" t="s">
        <v>327</v>
      </c>
      <c r="AI592" t="s">
        <v>121</v>
      </c>
      <c r="AJ592" t="s">
        <v>715</v>
      </c>
      <c r="AK592" t="s">
        <v>121</v>
      </c>
    </row>
    <row r="593" spans="9:37" x14ac:dyDescent="0.3">
      <c r="I593">
        <f ca="1">IF(OR(INDIRECT(A73&amp;ROW())=B93,INDIRECT(A73&amp;ROW())=B94),1,IF(AND(INDIRECT(A73&amp;ROW())=B95,INDIRECT(A96&amp;ROW())=C93),1,IF(AND(INDIRECT(A73&amp;ROW())=B95,INDIRECT(A96&amp;ROW())=C94),1,0)))</f>
        <v>1</v>
      </c>
      <c r="J593">
        <f ca="1">IF(AND(INDIRECT(A73&amp;ROW())=B95,INDIRECT(A96&amp;ROW())=C95),1,IF(AND(INDIRECT(A73&amp;ROW())=B95,INDIRECT(A96&amp;ROW())=C96),1,0))</f>
        <v>0</v>
      </c>
      <c r="K593">
        <f ca="1">DAYS360(INDIRECT(C68&amp;ROW()),TODAY())</f>
        <v>703</v>
      </c>
      <c r="L593">
        <f ca="1">DAYS360(INDIRECT(C69&amp;ROW()),TODAY())</f>
        <v>703</v>
      </c>
      <c r="M593">
        <f ca="1">HYPERLINK(CONCATENATE("https://bugzilla.houston.hp.com:1181/bugzilla/show_bug.cgi?id=",INDIRECT(C70&amp;ROW())),INDIRECT(C70&amp;ROW()))</f>
        <v>62608</v>
      </c>
      <c r="N593">
        <v>62608</v>
      </c>
      <c r="O593" t="s">
        <v>53</v>
      </c>
      <c r="P593" t="s">
        <v>1076</v>
      </c>
      <c r="Q593" t="s">
        <v>39</v>
      </c>
      <c r="R593" t="s">
        <v>579</v>
      </c>
      <c r="S593" t="s">
        <v>552</v>
      </c>
      <c r="U593" s="6">
        <v>42143.376076388886</v>
      </c>
      <c r="V593" t="s">
        <v>18</v>
      </c>
      <c r="W593" t="s">
        <v>764</v>
      </c>
      <c r="X593" s="6">
        <v>42143.376076388886</v>
      </c>
      <c r="Y593" t="s">
        <v>119</v>
      </c>
      <c r="AB593" t="s">
        <v>201</v>
      </c>
      <c r="AC593" t="s">
        <v>247</v>
      </c>
      <c r="AD593" t="s">
        <v>220</v>
      </c>
      <c r="AE593" t="s">
        <v>219</v>
      </c>
      <c r="AG593" t="s">
        <v>121</v>
      </c>
      <c r="AH593" t="s">
        <v>327</v>
      </c>
      <c r="AI593" t="s">
        <v>121</v>
      </c>
      <c r="AJ593" t="s">
        <v>715</v>
      </c>
      <c r="AK593" t="s">
        <v>121</v>
      </c>
    </row>
    <row r="594" spans="9:37" x14ac:dyDescent="0.3">
      <c r="I594">
        <f ca="1">IF(OR(INDIRECT(A73&amp;ROW())=B93,INDIRECT(A73&amp;ROW())=B94),1,IF(AND(INDIRECT(A73&amp;ROW())=B95,INDIRECT(A96&amp;ROW())=C93),1,IF(AND(INDIRECT(A73&amp;ROW())=B95,INDIRECT(A96&amp;ROW())=C94),1,0)))</f>
        <v>1</v>
      </c>
      <c r="J594">
        <f ca="1">IF(AND(INDIRECT(A73&amp;ROW())=B95,INDIRECT(A96&amp;ROW())=C95),1,IF(AND(INDIRECT(A73&amp;ROW())=B95,INDIRECT(A96&amp;ROW())=C96),1,0))</f>
        <v>0</v>
      </c>
      <c r="K594">
        <f ca="1">DAYS360(INDIRECT(C68&amp;ROW()),TODAY())</f>
        <v>693</v>
      </c>
      <c r="L594">
        <f ca="1">DAYS360(INDIRECT(C69&amp;ROW()),TODAY())</f>
        <v>703</v>
      </c>
      <c r="M594">
        <f ca="1">HYPERLINK(CONCATENATE("https://bugzilla.houston.hp.com:1181/bugzilla/show_bug.cgi?id=",INDIRECT(C70&amp;ROW())),INDIRECT(C70&amp;ROW()))</f>
        <v>62609</v>
      </c>
      <c r="N594">
        <v>62609</v>
      </c>
      <c r="O594" t="s">
        <v>53</v>
      </c>
      <c r="P594" t="s">
        <v>1075</v>
      </c>
      <c r="Q594" t="s">
        <v>39</v>
      </c>
      <c r="R594" t="s">
        <v>783</v>
      </c>
      <c r="S594" t="s">
        <v>552</v>
      </c>
      <c r="U594" s="6">
        <v>42153.378182870372</v>
      </c>
      <c r="V594" t="s">
        <v>18</v>
      </c>
      <c r="W594" t="s">
        <v>764</v>
      </c>
      <c r="X594" s="6">
        <v>42143.376168981478</v>
      </c>
      <c r="Y594" t="s">
        <v>119</v>
      </c>
      <c r="AB594" t="s">
        <v>201</v>
      </c>
      <c r="AC594" t="s">
        <v>247</v>
      </c>
      <c r="AD594" t="s">
        <v>220</v>
      </c>
      <c r="AE594" t="s">
        <v>219</v>
      </c>
      <c r="AG594" t="s">
        <v>337</v>
      </c>
      <c r="AH594" t="s">
        <v>327</v>
      </c>
      <c r="AI594" t="s">
        <v>121</v>
      </c>
      <c r="AJ594" t="s">
        <v>715</v>
      </c>
      <c r="AK594" t="s">
        <v>121</v>
      </c>
    </row>
    <row r="595" spans="9:37" x14ac:dyDescent="0.3">
      <c r="I595">
        <f ca="1">IF(OR(INDIRECT(A73&amp;ROW())=B93,INDIRECT(A73&amp;ROW())=B94),1,IF(AND(INDIRECT(A73&amp;ROW())=B95,INDIRECT(A96&amp;ROW())=C93),1,IF(AND(INDIRECT(A73&amp;ROW())=B95,INDIRECT(A96&amp;ROW())=C94),1,0)))</f>
        <v>1</v>
      </c>
      <c r="J595">
        <f ca="1">IF(AND(INDIRECT(A73&amp;ROW())=B95,INDIRECT(A96&amp;ROW())=C95),1,IF(AND(INDIRECT(A73&amp;ROW())=B95,INDIRECT(A96&amp;ROW())=C96),1,0))</f>
        <v>0</v>
      </c>
      <c r="K595">
        <f ca="1">DAYS360(INDIRECT(C68&amp;ROW()),TODAY())</f>
        <v>703</v>
      </c>
      <c r="L595">
        <f ca="1">DAYS360(INDIRECT(C69&amp;ROW()),TODAY())</f>
        <v>703</v>
      </c>
      <c r="M595">
        <f ca="1">HYPERLINK(CONCATENATE("https://bugzilla.houston.hp.com:1181/bugzilla/show_bug.cgi?id=",INDIRECT(C70&amp;ROW())),INDIRECT(C70&amp;ROW()))</f>
        <v>62610</v>
      </c>
      <c r="N595">
        <v>62610</v>
      </c>
      <c r="O595" t="s">
        <v>53</v>
      </c>
      <c r="P595" t="s">
        <v>1074</v>
      </c>
      <c r="Q595" t="s">
        <v>39</v>
      </c>
      <c r="R595" t="s">
        <v>248</v>
      </c>
      <c r="S595" t="s">
        <v>552</v>
      </c>
      <c r="U595" s="6">
        <v>42143.376250000001</v>
      </c>
      <c r="V595" t="s">
        <v>18</v>
      </c>
      <c r="W595" t="s">
        <v>764</v>
      </c>
      <c r="X595" s="6">
        <v>42143.376250000001</v>
      </c>
      <c r="Y595" t="s">
        <v>119</v>
      </c>
      <c r="AB595" t="s">
        <v>201</v>
      </c>
      <c r="AC595" t="s">
        <v>247</v>
      </c>
      <c r="AD595" t="s">
        <v>220</v>
      </c>
      <c r="AE595" t="s">
        <v>219</v>
      </c>
      <c r="AG595" t="s">
        <v>121</v>
      </c>
      <c r="AH595" t="s">
        <v>327</v>
      </c>
      <c r="AI595" t="s">
        <v>121</v>
      </c>
      <c r="AJ595" t="s">
        <v>715</v>
      </c>
      <c r="AK595" t="s">
        <v>121</v>
      </c>
    </row>
    <row r="596" spans="9:37" x14ac:dyDescent="0.3">
      <c r="I596">
        <f ca="1">IF(OR(INDIRECT(A73&amp;ROW())=B93,INDIRECT(A73&amp;ROW())=B94),1,IF(AND(INDIRECT(A73&amp;ROW())=B95,INDIRECT(A96&amp;ROW())=C93),1,IF(AND(INDIRECT(A73&amp;ROW())=B95,INDIRECT(A96&amp;ROW())=C94),1,0)))</f>
        <v>0</v>
      </c>
      <c r="J596">
        <f ca="1">IF(AND(INDIRECT(A73&amp;ROW())=B95,INDIRECT(A96&amp;ROW())=C95),1,IF(AND(INDIRECT(A73&amp;ROW())=B95,INDIRECT(A96&amp;ROW())=C96),1,0))</f>
        <v>1</v>
      </c>
      <c r="K596">
        <f ca="1">DAYS360(INDIRECT(C68&amp;ROW()),TODAY())</f>
        <v>691</v>
      </c>
      <c r="L596">
        <f ca="1">DAYS360(INDIRECT(C69&amp;ROW()),TODAY())</f>
        <v>703</v>
      </c>
      <c r="M596">
        <f ca="1">HYPERLINK(CONCATENATE("https://bugzilla.houston.hp.com:1181/bugzilla/show_bug.cgi?id=",INDIRECT(C70&amp;ROW())),INDIRECT(C70&amp;ROW()))</f>
        <v>62618</v>
      </c>
      <c r="N596">
        <v>62618</v>
      </c>
      <c r="O596" t="s">
        <v>188</v>
      </c>
      <c r="P596" t="s">
        <v>1132</v>
      </c>
      <c r="Q596" t="s">
        <v>25</v>
      </c>
      <c r="R596" t="s">
        <v>251</v>
      </c>
      <c r="S596" t="s">
        <v>24</v>
      </c>
      <c r="U596" s="6">
        <v>42156.591423611113</v>
      </c>
      <c r="V596" t="s">
        <v>18</v>
      </c>
      <c r="W596" t="s">
        <v>764</v>
      </c>
      <c r="X596" s="6">
        <v>42143.454618055555</v>
      </c>
      <c r="Y596" t="s">
        <v>119</v>
      </c>
      <c r="AB596" t="s">
        <v>201</v>
      </c>
      <c r="AC596" t="s">
        <v>247</v>
      </c>
      <c r="AD596" t="s">
        <v>220</v>
      </c>
      <c r="AE596" t="s">
        <v>229</v>
      </c>
      <c r="AG596" t="s">
        <v>121</v>
      </c>
      <c r="AH596" t="s">
        <v>327</v>
      </c>
      <c r="AI596" t="s">
        <v>362</v>
      </c>
      <c r="AJ596" t="s">
        <v>716</v>
      </c>
      <c r="AK596" t="s">
        <v>121</v>
      </c>
    </row>
    <row r="597" spans="9:37" x14ac:dyDescent="0.3">
      <c r="I597">
        <f ca="1">IF(OR(INDIRECT(A73&amp;ROW())=B93,INDIRECT(A73&amp;ROW())=B94),1,IF(AND(INDIRECT(A73&amp;ROW())=B95,INDIRECT(A96&amp;ROW())=C93),1,IF(AND(INDIRECT(A73&amp;ROW())=B95,INDIRECT(A96&amp;ROW())=C94),1,0)))</f>
        <v>0</v>
      </c>
      <c r="J597">
        <f ca="1">IF(AND(INDIRECT(A73&amp;ROW())=B95,INDIRECT(A96&amp;ROW())=C95),1,IF(AND(INDIRECT(A73&amp;ROW())=B95,INDIRECT(A96&amp;ROW())=C96),1,0))</f>
        <v>0</v>
      </c>
      <c r="K597">
        <f ca="1">DAYS360(INDIRECT(C68&amp;ROW()),TODAY())</f>
        <v>700</v>
      </c>
      <c r="L597">
        <f ca="1">DAYS360(INDIRECT(C69&amp;ROW()),TODAY())</f>
        <v>703</v>
      </c>
      <c r="M597">
        <f ca="1">HYPERLINK(CONCATENATE("https://bugzilla.houston.hp.com:1181/bugzilla/show_bug.cgi?id=",INDIRECT(C70&amp;ROW())),INDIRECT(C70&amp;ROW()))</f>
        <v>62620</v>
      </c>
      <c r="N597">
        <v>62620</v>
      </c>
      <c r="O597" t="s">
        <v>21</v>
      </c>
      <c r="P597" t="s">
        <v>1093</v>
      </c>
      <c r="Q597" t="s">
        <v>16</v>
      </c>
      <c r="R597" t="s">
        <v>251</v>
      </c>
      <c r="S597" t="s">
        <v>917</v>
      </c>
      <c r="U597" s="6">
        <v>42146.473414351851</v>
      </c>
      <c r="V597" t="s">
        <v>18</v>
      </c>
      <c r="W597" t="s">
        <v>783</v>
      </c>
      <c r="X597" s="6">
        <v>42143.486145833333</v>
      </c>
      <c r="Y597" t="s">
        <v>846</v>
      </c>
      <c r="AB597" t="s">
        <v>201</v>
      </c>
      <c r="AC597" t="s">
        <v>247</v>
      </c>
      <c r="AD597" t="s">
        <v>222</v>
      </c>
      <c r="AE597" t="s">
        <v>1073</v>
      </c>
      <c r="AG597" t="s">
        <v>121</v>
      </c>
      <c r="AH597" t="s">
        <v>327</v>
      </c>
      <c r="AI597" t="s">
        <v>121</v>
      </c>
      <c r="AJ597" t="s">
        <v>717</v>
      </c>
      <c r="AK597" t="s">
        <v>121</v>
      </c>
    </row>
    <row r="598" spans="9:37" x14ac:dyDescent="0.3">
      <c r="I598">
        <f ca="1">IF(OR(INDIRECT(A73&amp;ROW())=B93,INDIRECT(A73&amp;ROW())=B94),1,IF(AND(INDIRECT(A73&amp;ROW())=B95,INDIRECT(A96&amp;ROW())=C93),1,IF(AND(INDIRECT(A73&amp;ROW())=B95,INDIRECT(A96&amp;ROW())=C94),1,0)))</f>
        <v>0</v>
      </c>
      <c r="J598">
        <f ca="1">IF(AND(INDIRECT(A73&amp;ROW())=B95,INDIRECT(A96&amp;ROW())=C95),1,IF(AND(INDIRECT(A73&amp;ROW())=B95,INDIRECT(A96&amp;ROW())=C96),1,0))</f>
        <v>0</v>
      </c>
      <c r="K598">
        <f ca="1">DAYS360(INDIRECT(C68&amp;ROW()),TODAY())</f>
        <v>703</v>
      </c>
      <c r="L598">
        <f ca="1">DAYS360(INDIRECT(C69&amp;ROW()),TODAY())</f>
        <v>703</v>
      </c>
      <c r="M598">
        <f ca="1">HYPERLINK(CONCATENATE("https://bugzilla.houston.hp.com:1181/bugzilla/show_bug.cgi?id=",INDIRECT(C70&amp;ROW())),INDIRECT(C70&amp;ROW()))</f>
        <v>62623</v>
      </c>
      <c r="N598">
        <v>62623</v>
      </c>
      <c r="O598" t="s">
        <v>21</v>
      </c>
      <c r="P598" t="s">
        <v>1092</v>
      </c>
      <c r="Q598" t="s">
        <v>16</v>
      </c>
      <c r="R598" t="s">
        <v>579</v>
      </c>
      <c r="S598" t="s">
        <v>552</v>
      </c>
      <c r="U598" s="6">
        <v>42143.606388888889</v>
      </c>
      <c r="V598" t="s">
        <v>18</v>
      </c>
      <c r="W598" t="s">
        <v>783</v>
      </c>
      <c r="X598" s="6">
        <v>42143.516631944447</v>
      </c>
      <c r="Y598" t="s">
        <v>846</v>
      </c>
      <c r="AB598" t="s">
        <v>201</v>
      </c>
      <c r="AC598" t="s">
        <v>247</v>
      </c>
      <c r="AD598" t="s">
        <v>222</v>
      </c>
      <c r="AE598" t="s">
        <v>1073</v>
      </c>
      <c r="AG598" t="s">
        <v>121</v>
      </c>
      <c r="AH598" t="s">
        <v>327</v>
      </c>
      <c r="AI598" t="s">
        <v>121</v>
      </c>
      <c r="AJ598" t="s">
        <v>717</v>
      </c>
      <c r="AK598" t="s">
        <v>121</v>
      </c>
    </row>
    <row r="599" spans="9:37" x14ac:dyDescent="0.3">
      <c r="I599">
        <f ca="1">IF(OR(INDIRECT(A73&amp;ROW())=B93,INDIRECT(A73&amp;ROW())=B94),1,IF(AND(INDIRECT(A73&amp;ROW())=B95,INDIRECT(A96&amp;ROW())=C93),1,IF(AND(INDIRECT(A73&amp;ROW())=B95,INDIRECT(A96&amp;ROW())=C94),1,0)))</f>
        <v>0</v>
      </c>
      <c r="J599">
        <f ca="1">IF(AND(INDIRECT(A73&amp;ROW())=B95,INDIRECT(A96&amp;ROW())=C95),1,IF(AND(INDIRECT(A73&amp;ROW())=B95,INDIRECT(A96&amp;ROW())=C96),1,0))</f>
        <v>0</v>
      </c>
      <c r="K599">
        <f ca="1">DAYS360(INDIRECT(C68&amp;ROW()),TODAY())</f>
        <v>703</v>
      </c>
      <c r="L599">
        <f ca="1">DAYS360(INDIRECT(C69&amp;ROW()),TODAY())</f>
        <v>703</v>
      </c>
      <c r="M599">
        <f ca="1">HYPERLINK(CONCATENATE("https://bugzilla.houston.hp.com:1181/bugzilla/show_bug.cgi?id=",INDIRECT(C70&amp;ROW())),INDIRECT(C70&amp;ROW()))</f>
        <v>62624</v>
      </c>
      <c r="N599">
        <v>62624</v>
      </c>
      <c r="O599" t="s">
        <v>21</v>
      </c>
      <c r="P599" t="s">
        <v>1091</v>
      </c>
      <c r="Q599" t="s">
        <v>16</v>
      </c>
      <c r="R599" t="s">
        <v>783</v>
      </c>
      <c r="S599" t="s">
        <v>552</v>
      </c>
      <c r="U599" s="6">
        <v>42143.606377314813</v>
      </c>
      <c r="V599" t="s">
        <v>18</v>
      </c>
      <c r="W599" t="s">
        <v>783</v>
      </c>
      <c r="X599" s="6">
        <v>42143.51667824074</v>
      </c>
      <c r="Y599" t="s">
        <v>846</v>
      </c>
      <c r="AB599" t="s">
        <v>201</v>
      </c>
      <c r="AC599" t="s">
        <v>247</v>
      </c>
      <c r="AD599" t="s">
        <v>222</v>
      </c>
      <c r="AE599" t="s">
        <v>1073</v>
      </c>
      <c r="AG599" t="s">
        <v>121</v>
      </c>
      <c r="AH599" t="s">
        <v>327</v>
      </c>
      <c r="AI599" t="s">
        <v>121</v>
      </c>
      <c r="AJ599" t="s">
        <v>717</v>
      </c>
      <c r="AK599" t="s">
        <v>121</v>
      </c>
    </row>
    <row r="600" spans="9:37" x14ac:dyDescent="0.3">
      <c r="I600">
        <f ca="1">IF(OR(INDIRECT(A73&amp;ROW())=B93,INDIRECT(A73&amp;ROW())=B94),1,IF(AND(INDIRECT(A73&amp;ROW())=B95,INDIRECT(A96&amp;ROW())=C93),1,IF(AND(INDIRECT(A73&amp;ROW())=B95,INDIRECT(A96&amp;ROW())=C94),1,0)))</f>
        <v>0</v>
      </c>
      <c r="J600">
        <f ca="1">IF(AND(INDIRECT(A73&amp;ROW())=B95,INDIRECT(A96&amp;ROW())=C95),1,IF(AND(INDIRECT(A73&amp;ROW())=B95,INDIRECT(A96&amp;ROW())=C96),1,0))</f>
        <v>0</v>
      </c>
      <c r="K600">
        <f ca="1">DAYS360(INDIRECT(C68&amp;ROW()),TODAY())</f>
        <v>701</v>
      </c>
      <c r="L600">
        <f ca="1">DAYS360(INDIRECT(C69&amp;ROW()),TODAY())</f>
        <v>703</v>
      </c>
      <c r="M600">
        <f ca="1">HYPERLINK(CONCATENATE("https://bugzilla.houston.hp.com:1181/bugzilla/show_bug.cgi?id=",INDIRECT(C70&amp;ROW())),INDIRECT(C70&amp;ROW()))</f>
        <v>62625</v>
      </c>
      <c r="N600">
        <v>62625</v>
      </c>
      <c r="O600" t="s">
        <v>21</v>
      </c>
      <c r="P600" t="s">
        <v>1090</v>
      </c>
      <c r="Q600" t="s">
        <v>16</v>
      </c>
      <c r="R600" t="s">
        <v>248</v>
      </c>
      <c r="S600" t="s">
        <v>552</v>
      </c>
      <c r="U600" s="6">
        <v>42145.452256944445</v>
      </c>
      <c r="V600" t="s">
        <v>18</v>
      </c>
      <c r="W600" t="s">
        <v>783</v>
      </c>
      <c r="X600" s="6">
        <v>42143.516736111109</v>
      </c>
      <c r="Y600" t="s">
        <v>846</v>
      </c>
      <c r="AB600" t="s">
        <v>201</v>
      </c>
      <c r="AC600" t="s">
        <v>247</v>
      </c>
      <c r="AD600" t="s">
        <v>222</v>
      </c>
      <c r="AE600" t="s">
        <v>1073</v>
      </c>
      <c r="AG600" t="s">
        <v>121</v>
      </c>
      <c r="AH600" t="s">
        <v>327</v>
      </c>
      <c r="AI600" t="s">
        <v>121</v>
      </c>
      <c r="AJ600" t="s">
        <v>717</v>
      </c>
      <c r="AK600" t="s">
        <v>121</v>
      </c>
    </row>
    <row r="601" spans="9:37" x14ac:dyDescent="0.3">
      <c r="I601">
        <f ca="1">IF(OR(INDIRECT(A73&amp;ROW())=B93,INDIRECT(A73&amp;ROW())=B94),1,IF(AND(INDIRECT(A73&amp;ROW())=B95,INDIRECT(A96&amp;ROW())=C93),1,IF(AND(INDIRECT(A73&amp;ROW())=B95,INDIRECT(A96&amp;ROW())=C94),1,0)))</f>
        <v>0</v>
      </c>
      <c r="J601">
        <f ca="1">IF(AND(INDIRECT(A73&amp;ROW())=B95,INDIRECT(A96&amp;ROW())=C95),1,IF(AND(INDIRECT(A73&amp;ROW())=B95,INDIRECT(A96&amp;ROW())=C96),1,0))</f>
        <v>1</v>
      </c>
      <c r="K601">
        <f ca="1">DAYS360(INDIRECT(C68&amp;ROW()),TODAY())</f>
        <v>692</v>
      </c>
      <c r="L601">
        <f ca="1">DAYS360(INDIRECT(C69&amp;ROW()),TODAY())</f>
        <v>703</v>
      </c>
      <c r="M601">
        <f ca="1">HYPERLINK(CONCATENATE("https://bugzilla.houston.hp.com:1181/bugzilla/show_bug.cgi?id=",INDIRECT(C70&amp;ROW())),INDIRECT(C70&amp;ROW()))</f>
        <v>62632</v>
      </c>
      <c r="N601">
        <v>62632</v>
      </c>
      <c r="O601" t="s">
        <v>188</v>
      </c>
      <c r="P601" t="s">
        <v>1089</v>
      </c>
      <c r="Q601" t="s">
        <v>25</v>
      </c>
      <c r="R601" t="s">
        <v>579</v>
      </c>
      <c r="S601" t="s">
        <v>552</v>
      </c>
      <c r="U601" s="6">
        <v>42154.899027777778</v>
      </c>
      <c r="V601" t="s">
        <v>18</v>
      </c>
      <c r="W601" t="s">
        <v>764</v>
      </c>
      <c r="X601" s="6">
        <v>42143.549502314818</v>
      </c>
      <c r="Y601" t="s">
        <v>119</v>
      </c>
      <c r="AB601" t="s">
        <v>201</v>
      </c>
      <c r="AC601" t="s">
        <v>247</v>
      </c>
      <c r="AD601" t="s">
        <v>220</v>
      </c>
      <c r="AE601" t="s">
        <v>229</v>
      </c>
      <c r="AG601" t="s">
        <v>121</v>
      </c>
      <c r="AH601" t="s">
        <v>327</v>
      </c>
      <c r="AI601" t="s">
        <v>121</v>
      </c>
      <c r="AJ601" t="s">
        <v>716</v>
      </c>
      <c r="AK601" t="s">
        <v>121</v>
      </c>
    </row>
    <row r="602" spans="9:37" x14ac:dyDescent="0.3">
      <c r="I602">
        <f ca="1">IF(OR(INDIRECT(A73&amp;ROW())=B93,INDIRECT(A73&amp;ROW())=B94),1,IF(AND(INDIRECT(A73&amp;ROW())=B95,INDIRECT(A96&amp;ROW())=C93),1,IF(AND(INDIRECT(A73&amp;ROW())=B95,INDIRECT(A96&amp;ROW())=C94),1,0)))</f>
        <v>1</v>
      </c>
      <c r="J602">
        <f ca="1">IF(AND(INDIRECT(A73&amp;ROW())=B95,INDIRECT(A96&amp;ROW())=C95),1,IF(AND(INDIRECT(A73&amp;ROW())=B95,INDIRECT(A96&amp;ROW())=C96),1,0))</f>
        <v>0</v>
      </c>
      <c r="K602">
        <f ca="1">DAYS360(INDIRECT(C68&amp;ROW()),TODAY())</f>
        <v>691</v>
      </c>
      <c r="L602">
        <f ca="1">DAYS360(INDIRECT(C69&amp;ROW()),TODAY())</f>
        <v>702</v>
      </c>
      <c r="M602">
        <f ca="1">HYPERLINK(CONCATENATE("https://bugzilla.houston.hp.com:1181/bugzilla/show_bug.cgi?id=",INDIRECT(C70&amp;ROW())),INDIRECT(C70&amp;ROW()))</f>
        <v>62690</v>
      </c>
      <c r="N602">
        <v>62690</v>
      </c>
      <c r="O602" t="s">
        <v>188</v>
      </c>
      <c r="P602" t="s">
        <v>1088</v>
      </c>
      <c r="Q602" t="s">
        <v>25</v>
      </c>
      <c r="R602" t="s">
        <v>251</v>
      </c>
      <c r="S602" t="s">
        <v>24</v>
      </c>
      <c r="U602" s="6">
        <v>42156.590960648151</v>
      </c>
      <c r="V602" t="s">
        <v>18</v>
      </c>
      <c r="W602" t="s">
        <v>783</v>
      </c>
      <c r="X602" s="6">
        <v>42144.307511574072</v>
      </c>
      <c r="Y602" t="s">
        <v>119</v>
      </c>
      <c r="AB602" t="s">
        <v>200</v>
      </c>
      <c r="AC602" t="s">
        <v>247</v>
      </c>
      <c r="AD602" t="s">
        <v>220</v>
      </c>
      <c r="AE602" t="s">
        <v>229</v>
      </c>
      <c r="AG602" t="s">
        <v>121</v>
      </c>
      <c r="AH602" t="s">
        <v>327</v>
      </c>
      <c r="AI602" t="s">
        <v>121</v>
      </c>
      <c r="AJ602" t="s">
        <v>715</v>
      </c>
      <c r="AK602" t="s">
        <v>121</v>
      </c>
    </row>
    <row r="603" spans="9:37" x14ac:dyDescent="0.3">
      <c r="I603">
        <f ca="1">IF(OR(INDIRECT(A73&amp;ROW())=B93,INDIRECT(A73&amp;ROW())=B94),1,IF(AND(INDIRECT(A73&amp;ROW())=B95,INDIRECT(A96&amp;ROW())=C93),1,IF(AND(INDIRECT(A73&amp;ROW())=B95,INDIRECT(A96&amp;ROW())=C94),1,0)))</f>
        <v>1</v>
      </c>
      <c r="J603">
        <f ca="1">IF(AND(INDIRECT(A73&amp;ROW())=B95,INDIRECT(A96&amp;ROW())=C95),1,IF(AND(INDIRECT(A73&amp;ROW())=B95,INDIRECT(A96&amp;ROW())=C96),1,0))</f>
        <v>0</v>
      </c>
      <c r="K603">
        <f ca="1">DAYS360(INDIRECT(C68&amp;ROW()),TODAY())</f>
        <v>702</v>
      </c>
      <c r="L603">
        <f ca="1">DAYS360(INDIRECT(C69&amp;ROW()),TODAY())</f>
        <v>702</v>
      </c>
      <c r="M603">
        <f ca="1">HYPERLINK(CONCATENATE("https://bugzilla.houston.hp.com:1181/bugzilla/show_bug.cgi?id=",INDIRECT(C70&amp;ROW())),INDIRECT(C70&amp;ROW()))</f>
        <v>62693</v>
      </c>
      <c r="N603">
        <v>62693</v>
      </c>
      <c r="O603" t="s">
        <v>188</v>
      </c>
      <c r="P603" t="s">
        <v>1087</v>
      </c>
      <c r="Q603" t="s">
        <v>25</v>
      </c>
      <c r="R603" t="s">
        <v>579</v>
      </c>
      <c r="S603" t="s">
        <v>552</v>
      </c>
      <c r="U603" s="6">
        <v>42144.365254629629</v>
      </c>
      <c r="V603" t="s">
        <v>18</v>
      </c>
      <c r="W603" t="s">
        <v>783</v>
      </c>
      <c r="X603" s="6">
        <v>42144.365254629629</v>
      </c>
      <c r="Y603" t="s">
        <v>119</v>
      </c>
      <c r="AB603" t="s">
        <v>200</v>
      </c>
      <c r="AC603" t="s">
        <v>247</v>
      </c>
      <c r="AD603" t="s">
        <v>220</v>
      </c>
      <c r="AE603" t="s">
        <v>229</v>
      </c>
      <c r="AG603" t="s">
        <v>121</v>
      </c>
      <c r="AH603" t="s">
        <v>327</v>
      </c>
      <c r="AI603" t="s">
        <v>121</v>
      </c>
      <c r="AJ603" t="s">
        <v>715</v>
      </c>
      <c r="AK603" t="s">
        <v>121</v>
      </c>
    </row>
    <row r="604" spans="9:37" x14ac:dyDescent="0.3">
      <c r="I604">
        <f ca="1">IF(OR(INDIRECT(A73&amp;ROW())=B93,INDIRECT(A73&amp;ROW())=B94),1,IF(AND(INDIRECT(A73&amp;ROW())=B95,INDIRECT(A96&amp;ROW())=C93),1,IF(AND(INDIRECT(A73&amp;ROW())=B95,INDIRECT(A96&amp;ROW())=C94),1,0)))</f>
        <v>1</v>
      </c>
      <c r="J604">
        <f ca="1">IF(AND(INDIRECT(A73&amp;ROW())=B95,INDIRECT(A96&amp;ROW())=C95),1,IF(AND(INDIRECT(A73&amp;ROW())=B95,INDIRECT(A96&amp;ROW())=C96),1,0))</f>
        <v>0</v>
      </c>
      <c r="K604">
        <f ca="1">DAYS360(INDIRECT(C68&amp;ROW()),TODAY())</f>
        <v>690</v>
      </c>
      <c r="L604">
        <f ca="1">DAYS360(INDIRECT(C69&amp;ROW()),TODAY())</f>
        <v>702</v>
      </c>
      <c r="M604">
        <f ca="1">HYPERLINK(CONCATENATE("https://bugzilla.houston.hp.com:1181/bugzilla/show_bug.cgi?id=",INDIRECT(C70&amp;ROW())),INDIRECT(C70&amp;ROW()))</f>
        <v>62719</v>
      </c>
      <c r="N604">
        <v>62719</v>
      </c>
      <c r="O604" t="s">
        <v>55</v>
      </c>
      <c r="P604" t="s">
        <v>1086</v>
      </c>
      <c r="Q604" t="s">
        <v>25</v>
      </c>
      <c r="R604" t="s">
        <v>251</v>
      </c>
      <c r="S604" t="s">
        <v>52</v>
      </c>
      <c r="U604" s="6">
        <v>42157.723437499997</v>
      </c>
      <c r="V604" t="s">
        <v>35</v>
      </c>
      <c r="W604" t="s">
        <v>783</v>
      </c>
      <c r="X604" s="6">
        <v>42144.602094907408</v>
      </c>
      <c r="Y604" t="s">
        <v>119</v>
      </c>
      <c r="AB604" t="s">
        <v>200</v>
      </c>
      <c r="AC604" t="s">
        <v>247</v>
      </c>
      <c r="AD604" t="s">
        <v>222</v>
      </c>
      <c r="AE604" t="s">
        <v>221</v>
      </c>
      <c r="AG604" t="s">
        <v>121</v>
      </c>
      <c r="AH604" t="s">
        <v>327</v>
      </c>
      <c r="AI604" t="s">
        <v>362</v>
      </c>
      <c r="AJ604" t="s">
        <v>715</v>
      </c>
      <c r="AK604" t="s">
        <v>121</v>
      </c>
    </row>
    <row r="605" spans="9:37" x14ac:dyDescent="0.3">
      <c r="I605">
        <f ca="1">IF(OR(INDIRECT(A73&amp;ROW())=B93,INDIRECT(A73&amp;ROW())=B94),1,IF(AND(INDIRECT(A73&amp;ROW())=B95,INDIRECT(A96&amp;ROW())=C93),1,IF(AND(INDIRECT(A73&amp;ROW())=B95,INDIRECT(A96&amp;ROW())=C94),1,0)))</f>
        <v>1</v>
      </c>
      <c r="J605">
        <f ca="1">IF(AND(INDIRECT(A73&amp;ROW())=B95,INDIRECT(A96&amp;ROW())=C95),1,IF(AND(INDIRECT(A73&amp;ROW())=B95,INDIRECT(A96&amp;ROW())=C96),1,0))</f>
        <v>0</v>
      </c>
      <c r="K605">
        <f ca="1">DAYS360(INDIRECT(C68&amp;ROW()),TODAY())</f>
        <v>702</v>
      </c>
      <c r="L605">
        <f ca="1">DAYS360(INDIRECT(C69&amp;ROW()),TODAY())</f>
        <v>702</v>
      </c>
      <c r="M605">
        <f ca="1">HYPERLINK(CONCATENATE("https://bugzilla.houston.hp.com:1181/bugzilla/show_bug.cgi?id=",INDIRECT(C70&amp;ROW())),INDIRECT(C70&amp;ROW()))</f>
        <v>62721</v>
      </c>
      <c r="N605">
        <v>62721</v>
      </c>
      <c r="O605" t="s">
        <v>55</v>
      </c>
      <c r="P605" t="s">
        <v>1085</v>
      </c>
      <c r="Q605" t="s">
        <v>25</v>
      </c>
      <c r="R605" t="s">
        <v>579</v>
      </c>
      <c r="S605" t="s">
        <v>552</v>
      </c>
      <c r="U605" s="6">
        <v>42144.633113425924</v>
      </c>
      <c r="V605" t="s">
        <v>18</v>
      </c>
      <c r="W605" t="s">
        <v>783</v>
      </c>
      <c r="X605" s="6">
        <v>42144.633113425924</v>
      </c>
      <c r="Y605" t="s">
        <v>119</v>
      </c>
      <c r="AB605" t="s">
        <v>200</v>
      </c>
      <c r="AC605" t="s">
        <v>247</v>
      </c>
      <c r="AD605" t="s">
        <v>222</v>
      </c>
      <c r="AE605" t="s">
        <v>221</v>
      </c>
      <c r="AG605" t="s">
        <v>121</v>
      </c>
      <c r="AH605" t="s">
        <v>327</v>
      </c>
      <c r="AI605" t="s">
        <v>121</v>
      </c>
      <c r="AJ605" t="s">
        <v>715</v>
      </c>
      <c r="AK605" t="s">
        <v>121</v>
      </c>
    </row>
    <row r="606" spans="9:37" x14ac:dyDescent="0.3">
      <c r="I606">
        <f ca="1">IF(OR(INDIRECT(A73&amp;ROW())=B93,INDIRECT(A73&amp;ROW())=B94),1,IF(AND(INDIRECT(A73&amp;ROW())=B95,INDIRECT(A96&amp;ROW())=C93),1,IF(AND(INDIRECT(A73&amp;ROW())=B95,INDIRECT(A96&amp;ROW())=C94),1,0)))</f>
        <v>1</v>
      </c>
      <c r="J606">
        <f ca="1">IF(AND(INDIRECT(A73&amp;ROW())=B95,INDIRECT(A96&amp;ROW())=C95),1,IF(AND(INDIRECT(A73&amp;ROW())=B95,INDIRECT(A96&amp;ROW())=C96),1,0))</f>
        <v>0</v>
      </c>
      <c r="K606">
        <f ca="1">DAYS360(INDIRECT(C68&amp;ROW()),TODAY())</f>
        <v>691</v>
      </c>
      <c r="L606">
        <f ca="1">DAYS360(INDIRECT(C69&amp;ROW()),TODAY())</f>
        <v>702</v>
      </c>
      <c r="M606">
        <f ca="1">HYPERLINK(CONCATENATE("https://bugzilla.houston.hp.com:1181/bugzilla/show_bug.cgi?id=",INDIRECT(C70&amp;ROW())),INDIRECT(C70&amp;ROW()))</f>
        <v>62722</v>
      </c>
      <c r="N606">
        <v>62722</v>
      </c>
      <c r="O606" t="s">
        <v>55</v>
      </c>
      <c r="P606" t="s">
        <v>1084</v>
      </c>
      <c r="Q606" t="s">
        <v>25</v>
      </c>
      <c r="R606" t="s">
        <v>783</v>
      </c>
      <c r="S606" t="s">
        <v>552</v>
      </c>
      <c r="U606" s="6">
        <v>42156.594027777777</v>
      </c>
      <c r="V606" t="s">
        <v>18</v>
      </c>
      <c r="W606" t="s">
        <v>783</v>
      </c>
      <c r="X606" s="6">
        <v>42144.633206018516</v>
      </c>
      <c r="Y606" t="s">
        <v>119</v>
      </c>
      <c r="AB606" t="s">
        <v>200</v>
      </c>
      <c r="AC606" t="s">
        <v>247</v>
      </c>
      <c r="AD606" t="s">
        <v>222</v>
      </c>
      <c r="AE606" t="s">
        <v>221</v>
      </c>
      <c r="AG606" t="s">
        <v>337</v>
      </c>
      <c r="AH606" t="s">
        <v>327</v>
      </c>
      <c r="AI606" t="s">
        <v>121</v>
      </c>
      <c r="AJ606" t="s">
        <v>715</v>
      </c>
      <c r="AK606" t="s">
        <v>121</v>
      </c>
    </row>
    <row r="607" spans="9:37" x14ac:dyDescent="0.3">
      <c r="I607">
        <f ca="1">IF(OR(INDIRECT(A73&amp;ROW())=B93,INDIRECT(A73&amp;ROW())=B94),1,IF(AND(INDIRECT(A73&amp;ROW())=B95,INDIRECT(A96&amp;ROW())=C93),1,IF(AND(INDIRECT(A73&amp;ROW())=B95,INDIRECT(A96&amp;ROW())=C94),1,0)))</f>
        <v>1</v>
      </c>
      <c r="J607">
        <f ca="1">IF(AND(INDIRECT(A73&amp;ROW())=B95,INDIRECT(A96&amp;ROW())=C95),1,IF(AND(INDIRECT(A73&amp;ROW())=B95,INDIRECT(A96&amp;ROW())=C96),1,0))</f>
        <v>0</v>
      </c>
      <c r="K607">
        <f ca="1">DAYS360(INDIRECT(C68&amp;ROW()),TODAY())</f>
        <v>702</v>
      </c>
      <c r="L607">
        <f ca="1">DAYS360(INDIRECT(C69&amp;ROW()),TODAY())</f>
        <v>702</v>
      </c>
      <c r="M607">
        <f ca="1">HYPERLINK(CONCATENATE("https://bugzilla.houston.hp.com:1181/bugzilla/show_bug.cgi?id=",INDIRECT(C70&amp;ROW())),INDIRECT(C70&amp;ROW()))</f>
        <v>62723</v>
      </c>
      <c r="N607">
        <v>62723</v>
      </c>
      <c r="O607" t="s">
        <v>55</v>
      </c>
      <c r="P607" t="s">
        <v>1083</v>
      </c>
      <c r="Q607" t="s">
        <v>25</v>
      </c>
      <c r="R607" t="s">
        <v>248</v>
      </c>
      <c r="S607" t="s">
        <v>552</v>
      </c>
      <c r="U607" s="6">
        <v>42144.633287037039</v>
      </c>
      <c r="V607" t="s">
        <v>18</v>
      </c>
      <c r="W607" t="s">
        <v>783</v>
      </c>
      <c r="X607" s="6">
        <v>42144.633287037039</v>
      </c>
      <c r="Y607" t="s">
        <v>119</v>
      </c>
      <c r="AB607" t="s">
        <v>200</v>
      </c>
      <c r="AC607" t="s">
        <v>247</v>
      </c>
      <c r="AD607" t="s">
        <v>222</v>
      </c>
      <c r="AE607" t="s">
        <v>221</v>
      </c>
      <c r="AG607" t="s">
        <v>121</v>
      </c>
      <c r="AH607" t="s">
        <v>327</v>
      </c>
      <c r="AI607" t="s">
        <v>121</v>
      </c>
      <c r="AJ607" t="s">
        <v>715</v>
      </c>
      <c r="AK607" t="s">
        <v>121</v>
      </c>
    </row>
    <row r="608" spans="9:37" x14ac:dyDescent="0.3">
      <c r="I608">
        <f ca="1">IF(OR(INDIRECT(A73&amp;ROW())=B93,INDIRECT(A73&amp;ROW())=B94),1,IF(AND(INDIRECT(A73&amp;ROW())=B95,INDIRECT(A96&amp;ROW())=C93),1,IF(AND(INDIRECT(A73&amp;ROW())=B95,INDIRECT(A96&amp;ROW())=C94),1,0)))</f>
        <v>1</v>
      </c>
      <c r="J608">
        <f ca="1">IF(AND(INDIRECT(A73&amp;ROW())=B95,INDIRECT(A96&amp;ROW())=C95),1,IF(AND(INDIRECT(A73&amp;ROW())=B95,INDIRECT(A96&amp;ROW())=C96),1,0))</f>
        <v>0</v>
      </c>
      <c r="K608">
        <f ca="1">DAYS360(INDIRECT(C68&amp;ROW()),TODAY())</f>
        <v>689</v>
      </c>
      <c r="L608">
        <f ca="1">DAYS360(INDIRECT(C69&amp;ROW()),TODAY())</f>
        <v>702</v>
      </c>
      <c r="M608">
        <f ca="1">HYPERLINK(CONCATENATE("https://bugzilla.houston.hp.com:1181/bugzilla/show_bug.cgi?id=",INDIRECT(C70&amp;ROW())),INDIRECT(C70&amp;ROW()))</f>
        <v>62730</v>
      </c>
      <c r="N608">
        <v>62730</v>
      </c>
      <c r="O608" t="s">
        <v>94</v>
      </c>
      <c r="P608" t="s">
        <v>1097</v>
      </c>
      <c r="Q608" t="s">
        <v>25</v>
      </c>
      <c r="R608" t="s">
        <v>251</v>
      </c>
      <c r="S608" t="s">
        <v>253</v>
      </c>
      <c r="U608" s="6">
        <v>42158.582268518519</v>
      </c>
      <c r="V608" t="s">
        <v>18</v>
      </c>
      <c r="W608" t="s">
        <v>783</v>
      </c>
      <c r="X608" s="6">
        <v>42144.689155092594</v>
      </c>
      <c r="Y608" t="s">
        <v>246</v>
      </c>
      <c r="AB608" t="s">
        <v>200</v>
      </c>
      <c r="AC608" t="s">
        <v>247</v>
      </c>
      <c r="AD608" t="s">
        <v>227</v>
      </c>
      <c r="AE608" t="s">
        <v>226</v>
      </c>
      <c r="AG608" t="s">
        <v>121</v>
      </c>
      <c r="AH608" t="s">
        <v>327</v>
      </c>
      <c r="AI608" t="s">
        <v>121</v>
      </c>
      <c r="AJ608" t="s">
        <v>715</v>
      </c>
      <c r="AK608" t="s">
        <v>121</v>
      </c>
    </row>
    <row r="609" spans="9:37" x14ac:dyDescent="0.3">
      <c r="I609">
        <f ca="1">IF(OR(INDIRECT(A73&amp;ROW())=B93,INDIRECT(A73&amp;ROW())=B94),1,IF(AND(INDIRECT(A73&amp;ROW())=B95,INDIRECT(A96&amp;ROW())=C93),1,IF(AND(INDIRECT(A73&amp;ROW())=B95,INDIRECT(A96&amp;ROW())=C94),1,0)))</f>
        <v>1</v>
      </c>
      <c r="J609">
        <f ca="1">IF(AND(INDIRECT(A73&amp;ROW())=B95,INDIRECT(A96&amp;ROW())=C95),1,IF(AND(INDIRECT(A73&amp;ROW())=B95,INDIRECT(A96&amp;ROW())=C96),1,0))</f>
        <v>0</v>
      </c>
      <c r="K609">
        <f ca="1">DAYS360(INDIRECT(C68&amp;ROW()),TODAY())</f>
        <v>687</v>
      </c>
      <c r="L609">
        <f ca="1">DAYS360(INDIRECT(C69&amp;ROW()),TODAY())</f>
        <v>701</v>
      </c>
      <c r="M609">
        <f ca="1">HYPERLINK(CONCATENATE("https://bugzilla.houston.hp.com:1181/bugzilla/show_bug.cgi?id=",INDIRECT(C70&amp;ROW())),INDIRECT(C70&amp;ROW()))</f>
        <v>62748</v>
      </c>
      <c r="N609">
        <v>62748</v>
      </c>
      <c r="O609" t="s">
        <v>94</v>
      </c>
      <c r="P609" t="s">
        <v>1096</v>
      </c>
      <c r="Q609" t="s">
        <v>25</v>
      </c>
      <c r="R609" t="s">
        <v>579</v>
      </c>
      <c r="S609" t="s">
        <v>552</v>
      </c>
      <c r="U609" s="6">
        <v>42160.491157407407</v>
      </c>
      <c r="V609" t="s">
        <v>18</v>
      </c>
      <c r="W609" t="s">
        <v>783</v>
      </c>
      <c r="X609" s="6">
        <v>42145.016631944447</v>
      </c>
      <c r="Y609" t="s">
        <v>246</v>
      </c>
      <c r="AB609" t="s">
        <v>200</v>
      </c>
      <c r="AC609" t="s">
        <v>247</v>
      </c>
      <c r="AD609" t="s">
        <v>227</v>
      </c>
      <c r="AE609" t="s">
        <v>226</v>
      </c>
      <c r="AG609" t="s">
        <v>121</v>
      </c>
      <c r="AH609" t="s">
        <v>327</v>
      </c>
      <c r="AI609" t="s">
        <v>121</v>
      </c>
      <c r="AJ609" t="s">
        <v>715</v>
      </c>
      <c r="AK609" t="s">
        <v>121</v>
      </c>
    </row>
    <row r="610" spans="9:37" x14ac:dyDescent="0.3">
      <c r="I610">
        <f ca="1">IF(OR(INDIRECT(A73&amp;ROW())=B93,INDIRECT(A73&amp;ROW())=B94),1,IF(AND(INDIRECT(A73&amp;ROW())=B95,INDIRECT(A96&amp;ROW())=C93),1,IF(AND(INDIRECT(A73&amp;ROW())=B95,INDIRECT(A96&amp;ROW())=C94),1,0)))</f>
        <v>1</v>
      </c>
      <c r="J610">
        <f ca="1">IF(AND(INDIRECT(A73&amp;ROW())=B95,INDIRECT(A96&amp;ROW())=C95),1,IF(AND(INDIRECT(A73&amp;ROW())=B95,INDIRECT(A96&amp;ROW())=C96),1,0))</f>
        <v>0</v>
      </c>
      <c r="K610">
        <f ca="1">DAYS360(INDIRECT(C68&amp;ROW()),TODAY())</f>
        <v>688</v>
      </c>
      <c r="L610">
        <f ca="1">DAYS360(INDIRECT(C69&amp;ROW()),TODAY())</f>
        <v>701</v>
      </c>
      <c r="M610">
        <f ca="1">HYPERLINK(CONCATENATE("https://bugzilla.houston.hp.com:1181/bugzilla/show_bug.cgi?id=",INDIRECT(C70&amp;ROW())),INDIRECT(C70&amp;ROW()))</f>
        <v>62749</v>
      </c>
      <c r="N610">
        <v>62749</v>
      </c>
      <c r="O610" t="s">
        <v>94</v>
      </c>
      <c r="P610" t="s">
        <v>1095</v>
      </c>
      <c r="Q610" t="s">
        <v>25</v>
      </c>
      <c r="R610" t="s">
        <v>783</v>
      </c>
      <c r="S610" t="s">
        <v>552</v>
      </c>
      <c r="U610" s="6">
        <v>42159.3987037037</v>
      </c>
      <c r="V610" t="s">
        <v>18</v>
      </c>
      <c r="W610" t="s">
        <v>783</v>
      </c>
      <c r="X610" s="6">
        <v>42145.016689814816</v>
      </c>
      <c r="Y610" t="s">
        <v>246</v>
      </c>
      <c r="AB610" t="s">
        <v>200</v>
      </c>
      <c r="AC610" t="s">
        <v>247</v>
      </c>
      <c r="AD610" t="s">
        <v>227</v>
      </c>
      <c r="AE610" t="s">
        <v>226</v>
      </c>
      <c r="AG610" t="s">
        <v>121</v>
      </c>
      <c r="AH610" t="s">
        <v>327</v>
      </c>
      <c r="AI610" t="s">
        <v>121</v>
      </c>
      <c r="AJ610" t="s">
        <v>715</v>
      </c>
      <c r="AK610" t="s">
        <v>121</v>
      </c>
    </row>
    <row r="611" spans="9:37" x14ac:dyDescent="0.3">
      <c r="I611">
        <f ca="1">IF(OR(INDIRECT(A73&amp;ROW())=B93,INDIRECT(A73&amp;ROW())=B94),1,IF(AND(INDIRECT(A73&amp;ROW())=B95,INDIRECT(A96&amp;ROW())=C93),1,IF(AND(INDIRECT(A73&amp;ROW())=B95,INDIRECT(A96&amp;ROW())=C94),1,0)))</f>
        <v>1</v>
      </c>
      <c r="J611">
        <f ca="1">IF(AND(INDIRECT(A73&amp;ROW())=B95,INDIRECT(A96&amp;ROW())=C95),1,IF(AND(INDIRECT(A73&amp;ROW())=B95,INDIRECT(A96&amp;ROW())=C96),1,0))</f>
        <v>0</v>
      </c>
      <c r="K611">
        <f ca="1">DAYS360(INDIRECT(C68&amp;ROW()),TODAY())</f>
        <v>687</v>
      </c>
      <c r="L611">
        <f ca="1">DAYS360(INDIRECT(C69&amp;ROW()),TODAY())</f>
        <v>701</v>
      </c>
      <c r="M611">
        <f ca="1">HYPERLINK(CONCATENATE("https://bugzilla.houston.hp.com:1181/bugzilla/show_bug.cgi?id=",INDIRECT(C70&amp;ROW())),INDIRECT(C70&amp;ROW()))</f>
        <v>62750</v>
      </c>
      <c r="N611">
        <v>62750</v>
      </c>
      <c r="O611" t="s">
        <v>94</v>
      </c>
      <c r="P611" t="s">
        <v>1094</v>
      </c>
      <c r="Q611" t="s">
        <v>25</v>
      </c>
      <c r="R611" t="s">
        <v>248</v>
      </c>
      <c r="S611" t="s">
        <v>552</v>
      </c>
      <c r="U611" s="6">
        <v>42160.49114583333</v>
      </c>
      <c r="V611" t="s">
        <v>18</v>
      </c>
      <c r="W611" t="s">
        <v>783</v>
      </c>
      <c r="X611" s="6">
        <v>42145.016747685186</v>
      </c>
      <c r="Y611" t="s">
        <v>246</v>
      </c>
      <c r="AB611" t="s">
        <v>200</v>
      </c>
      <c r="AC611" t="s">
        <v>247</v>
      </c>
      <c r="AD611" t="s">
        <v>227</v>
      </c>
      <c r="AE611" t="s">
        <v>226</v>
      </c>
      <c r="AG611" t="s">
        <v>121</v>
      </c>
      <c r="AH611" t="s">
        <v>327</v>
      </c>
      <c r="AI611" t="s">
        <v>121</v>
      </c>
      <c r="AJ611" t="s">
        <v>715</v>
      </c>
      <c r="AK611" t="s">
        <v>121</v>
      </c>
    </row>
    <row r="612" spans="9:37" x14ac:dyDescent="0.3">
      <c r="I612">
        <f ca="1">IF(OR(INDIRECT(A73&amp;ROW())=B93,INDIRECT(A73&amp;ROW())=B94),1,IF(AND(INDIRECT(A73&amp;ROW())=B95,INDIRECT(A96&amp;ROW())=C93),1,IF(AND(INDIRECT(A73&amp;ROW())=B95,INDIRECT(A96&amp;ROW())=C94),1,0)))</f>
        <v>1</v>
      </c>
      <c r="J612">
        <f ca="1">IF(AND(INDIRECT(A73&amp;ROW())=B95,INDIRECT(A96&amp;ROW())=C95),1,IF(AND(INDIRECT(A73&amp;ROW())=B95,INDIRECT(A96&amp;ROW())=C96),1,0))</f>
        <v>0</v>
      </c>
      <c r="K612">
        <f ca="1">DAYS360(INDIRECT(C68&amp;ROW()),TODAY())</f>
        <v>691</v>
      </c>
      <c r="L612">
        <f ca="1">DAYS360(INDIRECT(C69&amp;ROW()),TODAY())</f>
        <v>701</v>
      </c>
      <c r="M612">
        <f ca="1">HYPERLINK(CONCATENATE("https://bugzilla.houston.hp.com:1181/bugzilla/show_bug.cgi?id=",INDIRECT(C70&amp;ROW())),INDIRECT(C70&amp;ROW()))</f>
        <v>62785</v>
      </c>
      <c r="N612">
        <v>62785</v>
      </c>
      <c r="O612" t="s">
        <v>21</v>
      </c>
      <c r="P612" t="s">
        <v>1128</v>
      </c>
      <c r="Q612" t="s">
        <v>25</v>
      </c>
      <c r="R612" t="s">
        <v>251</v>
      </c>
      <c r="S612" t="s">
        <v>24</v>
      </c>
      <c r="U612" s="6">
        <v>42156.590520833335</v>
      </c>
      <c r="V612" t="s">
        <v>40</v>
      </c>
      <c r="W612" t="s">
        <v>783</v>
      </c>
      <c r="X612" s="6">
        <v>42145.392812500002</v>
      </c>
      <c r="Y612" t="s">
        <v>119</v>
      </c>
      <c r="AB612" t="s">
        <v>200</v>
      </c>
      <c r="AC612" t="s">
        <v>247</v>
      </c>
      <c r="AD612" t="s">
        <v>222</v>
      </c>
      <c r="AE612" t="s">
        <v>225</v>
      </c>
      <c r="AG612" t="s">
        <v>121</v>
      </c>
      <c r="AH612" t="s">
        <v>327</v>
      </c>
      <c r="AI612" t="s">
        <v>121</v>
      </c>
      <c r="AJ612" t="s">
        <v>715</v>
      </c>
      <c r="AK612" t="s">
        <v>121</v>
      </c>
    </row>
    <row r="613" spans="9:37" x14ac:dyDescent="0.3">
      <c r="I613">
        <f ca="1">IF(OR(INDIRECT(A73&amp;ROW())=B93,INDIRECT(A73&amp;ROW())=B94),1,IF(AND(INDIRECT(A73&amp;ROW())=B95,INDIRECT(A96&amp;ROW())=C93),1,IF(AND(INDIRECT(A73&amp;ROW())=B95,INDIRECT(A96&amp;ROW())=C94),1,0)))</f>
        <v>0</v>
      </c>
      <c r="J613">
        <f ca="1">IF(AND(INDIRECT(A73&amp;ROW())=B95,INDIRECT(A96&amp;ROW())=C95),1,IF(AND(INDIRECT(A73&amp;ROW())=B95,INDIRECT(A96&amp;ROW())=C96),1,0))</f>
        <v>0</v>
      </c>
      <c r="K613">
        <f ca="1">DAYS360(INDIRECT(C68&amp;ROW()),TODAY())</f>
        <v>695</v>
      </c>
      <c r="L613">
        <f ca="1">DAYS360(INDIRECT(C69&amp;ROW()),TODAY())</f>
        <v>701</v>
      </c>
      <c r="M613">
        <f ca="1">HYPERLINK(CONCATENATE("https://bugzilla.houston.hp.com:1181/bugzilla/show_bug.cgi?id=",INDIRECT(C70&amp;ROW())),INDIRECT(C70&amp;ROW()))</f>
        <v>62801</v>
      </c>
      <c r="N613">
        <v>62801</v>
      </c>
      <c r="O613" t="s">
        <v>323</v>
      </c>
      <c r="P613" t="s">
        <v>1103</v>
      </c>
      <c r="Q613" t="s">
        <v>16</v>
      </c>
      <c r="R613" t="s">
        <v>251</v>
      </c>
      <c r="S613" t="s">
        <v>1102</v>
      </c>
      <c r="U613" s="6">
        <v>42151.441192129627</v>
      </c>
      <c r="V613" t="s">
        <v>35</v>
      </c>
      <c r="W613" t="s">
        <v>764</v>
      </c>
      <c r="X613" s="6">
        <v>42145.5387962963</v>
      </c>
      <c r="Y613" t="s">
        <v>125</v>
      </c>
      <c r="AB613" t="s">
        <v>199</v>
      </c>
      <c r="AC613" t="s">
        <v>247</v>
      </c>
      <c r="AD613" t="s">
        <v>220</v>
      </c>
      <c r="AE613" t="s">
        <v>243</v>
      </c>
      <c r="AG613" t="s">
        <v>121</v>
      </c>
      <c r="AH613" t="s">
        <v>327</v>
      </c>
      <c r="AI613" t="s">
        <v>121</v>
      </c>
      <c r="AJ613" t="s">
        <v>716</v>
      </c>
      <c r="AK613" t="s">
        <v>121</v>
      </c>
    </row>
    <row r="614" spans="9:37" x14ac:dyDescent="0.3">
      <c r="I614">
        <f ca="1">IF(OR(INDIRECT(A73&amp;ROW())=B93,INDIRECT(A73&amp;ROW())=B94),1,IF(AND(INDIRECT(A73&amp;ROW())=B95,INDIRECT(A96&amp;ROW())=C93),1,IF(AND(INDIRECT(A73&amp;ROW())=B95,INDIRECT(A96&amp;ROW())=C94),1,0)))</f>
        <v>0</v>
      </c>
      <c r="J614">
        <f ca="1">IF(AND(INDIRECT(A73&amp;ROW())=B95,INDIRECT(A96&amp;ROW())=C95),1,IF(AND(INDIRECT(A73&amp;ROW())=B95,INDIRECT(A96&amp;ROW())=C96),1,0))</f>
        <v>0</v>
      </c>
      <c r="K614">
        <f ca="1">DAYS360(INDIRECT(C68&amp;ROW()),TODAY())</f>
        <v>701</v>
      </c>
      <c r="L614">
        <f ca="1">DAYS360(INDIRECT(C69&amp;ROW()),TODAY())</f>
        <v>701</v>
      </c>
      <c r="M614">
        <f ca="1">HYPERLINK(CONCATENATE("https://bugzilla.houston.hp.com:1181/bugzilla/show_bug.cgi?id=",INDIRECT(C70&amp;ROW())),INDIRECT(C70&amp;ROW()))</f>
        <v>62804</v>
      </c>
      <c r="N614">
        <v>62804</v>
      </c>
      <c r="O614" t="s">
        <v>19</v>
      </c>
      <c r="P614" t="s">
        <v>1101</v>
      </c>
      <c r="Q614" t="s">
        <v>16</v>
      </c>
      <c r="R614" t="s">
        <v>579</v>
      </c>
      <c r="S614" t="s">
        <v>552</v>
      </c>
      <c r="U614" s="6">
        <v>42145.633622685185</v>
      </c>
      <c r="V614" t="s">
        <v>18</v>
      </c>
      <c r="W614" t="s">
        <v>764</v>
      </c>
      <c r="X614" s="6">
        <v>42145.633622685185</v>
      </c>
      <c r="Y614" t="s">
        <v>125</v>
      </c>
      <c r="AB614" t="s">
        <v>199</v>
      </c>
      <c r="AC614" t="s">
        <v>247</v>
      </c>
      <c r="AD614" t="s">
        <v>220</v>
      </c>
      <c r="AE614" t="s">
        <v>243</v>
      </c>
      <c r="AG614" t="s">
        <v>121</v>
      </c>
      <c r="AH614" t="s">
        <v>327</v>
      </c>
      <c r="AI614" t="s">
        <v>121</v>
      </c>
      <c r="AJ614" t="s">
        <v>716</v>
      </c>
      <c r="AK614" t="s">
        <v>121</v>
      </c>
    </row>
    <row r="615" spans="9:37" x14ac:dyDescent="0.3">
      <c r="I615">
        <f ca="1">IF(OR(INDIRECT(A73&amp;ROW())=B93,INDIRECT(A73&amp;ROW())=B94),1,IF(AND(INDIRECT(A73&amp;ROW())=B95,INDIRECT(A96&amp;ROW())=C93),1,IF(AND(INDIRECT(A73&amp;ROW())=B95,INDIRECT(A96&amp;ROW())=C94),1,0)))</f>
        <v>0</v>
      </c>
      <c r="J615">
        <f ca="1">IF(AND(INDIRECT(A73&amp;ROW())=B95,INDIRECT(A96&amp;ROW())=C95),1,IF(AND(INDIRECT(A73&amp;ROW())=B95,INDIRECT(A96&amp;ROW())=C96),1,0))</f>
        <v>0</v>
      </c>
      <c r="K615">
        <f ca="1">DAYS360(INDIRECT(C68&amp;ROW()),TODAY())</f>
        <v>701</v>
      </c>
      <c r="L615">
        <f ca="1">DAYS360(INDIRECT(C69&amp;ROW()),TODAY())</f>
        <v>701</v>
      </c>
      <c r="M615">
        <f ca="1">HYPERLINK(CONCATENATE("https://bugzilla.houston.hp.com:1181/bugzilla/show_bug.cgi?id=",INDIRECT(C70&amp;ROW())),INDIRECT(C70&amp;ROW()))</f>
        <v>62806</v>
      </c>
      <c r="N615">
        <v>62806</v>
      </c>
      <c r="O615" t="s">
        <v>19</v>
      </c>
      <c r="P615" t="s">
        <v>1099</v>
      </c>
      <c r="Q615" t="s">
        <v>16</v>
      </c>
      <c r="R615" t="s">
        <v>248</v>
      </c>
      <c r="S615" t="s">
        <v>552</v>
      </c>
      <c r="U615" s="6">
        <v>42145.633726851855</v>
      </c>
      <c r="V615" t="s">
        <v>18</v>
      </c>
      <c r="W615" t="s">
        <v>764</v>
      </c>
      <c r="X615" s="6">
        <v>42145.633726851855</v>
      </c>
      <c r="Y615" t="s">
        <v>125</v>
      </c>
      <c r="AB615" t="s">
        <v>199</v>
      </c>
      <c r="AC615" t="s">
        <v>247</v>
      </c>
      <c r="AD615" t="s">
        <v>220</v>
      </c>
      <c r="AE615" t="s">
        <v>243</v>
      </c>
      <c r="AG615" t="s">
        <v>121</v>
      </c>
      <c r="AH615" t="s">
        <v>327</v>
      </c>
      <c r="AI615" t="s">
        <v>121</v>
      </c>
      <c r="AJ615" t="s">
        <v>716</v>
      </c>
      <c r="AK615" t="s">
        <v>121</v>
      </c>
    </row>
    <row r="616" spans="9:37" x14ac:dyDescent="0.3">
      <c r="I616">
        <f ca="1">IF(OR(INDIRECT(A73&amp;ROW())=B93,INDIRECT(A73&amp;ROW())=B94),1,IF(AND(INDIRECT(A73&amp;ROW())=B95,INDIRECT(A96&amp;ROW())=C93),1,IF(AND(INDIRECT(A73&amp;ROW())=B95,INDIRECT(A96&amp;ROW())=C94),1,0)))</f>
        <v>1</v>
      </c>
      <c r="J616">
        <f ca="1">IF(AND(INDIRECT(A73&amp;ROW())=B95,INDIRECT(A96&amp;ROW())=C95),1,IF(AND(INDIRECT(A73&amp;ROW())=B95,INDIRECT(A96&amp;ROW())=C96),1,0))</f>
        <v>0</v>
      </c>
      <c r="K616">
        <f ca="1">DAYS360(INDIRECT(C68&amp;ROW()),TODAY())</f>
        <v>687</v>
      </c>
      <c r="L616">
        <f ca="1">DAYS360(INDIRECT(C69&amp;ROW()),TODAY())</f>
        <v>700</v>
      </c>
      <c r="M616">
        <f ca="1">HYPERLINK(CONCATENATE("https://bugzilla.houston.hp.com:1181/bugzilla/show_bug.cgi?id=",INDIRECT(C70&amp;ROW())),INDIRECT(C70&amp;ROW()))</f>
        <v>62843</v>
      </c>
      <c r="N616">
        <v>62843</v>
      </c>
      <c r="O616" t="s">
        <v>21</v>
      </c>
      <c r="P616" t="s">
        <v>1201</v>
      </c>
      <c r="Q616" t="s">
        <v>25</v>
      </c>
      <c r="R616" t="s">
        <v>251</v>
      </c>
      <c r="S616" t="s">
        <v>917</v>
      </c>
      <c r="U616" s="6">
        <v>42160.475578703707</v>
      </c>
      <c r="V616" t="s">
        <v>18</v>
      </c>
      <c r="W616" t="s">
        <v>783</v>
      </c>
      <c r="X616" s="6">
        <v>42146.493784722225</v>
      </c>
      <c r="Y616" t="s">
        <v>846</v>
      </c>
      <c r="AB616" t="s">
        <v>200</v>
      </c>
      <c r="AC616" t="s">
        <v>247</v>
      </c>
      <c r="AD616" t="s">
        <v>222</v>
      </c>
      <c r="AE616" t="s">
        <v>1073</v>
      </c>
      <c r="AG616" t="s">
        <v>121</v>
      </c>
      <c r="AH616" t="s">
        <v>327</v>
      </c>
      <c r="AI616" t="s">
        <v>121</v>
      </c>
      <c r="AJ616" t="s">
        <v>715</v>
      </c>
      <c r="AK616" t="s">
        <v>121</v>
      </c>
    </row>
    <row r="617" spans="9:37" x14ac:dyDescent="0.3">
      <c r="I617">
        <f ca="1">IF(OR(INDIRECT(A73&amp;ROW())=B93,INDIRECT(A73&amp;ROW())=B94),1,IF(AND(INDIRECT(A73&amp;ROW())=B95,INDIRECT(A96&amp;ROW())=C93),1,IF(AND(INDIRECT(A73&amp;ROW())=B95,INDIRECT(A96&amp;ROW())=C94),1,0)))</f>
        <v>1</v>
      </c>
      <c r="J617">
        <f ca="1">IF(AND(INDIRECT(A73&amp;ROW())=B95,INDIRECT(A96&amp;ROW())=C95),1,IF(AND(INDIRECT(A73&amp;ROW())=B95,INDIRECT(A96&amp;ROW())=C96),1,0))</f>
        <v>0</v>
      </c>
      <c r="K617">
        <f ca="1">DAYS360(INDIRECT(C68&amp;ROW()),TODAY())</f>
        <v>687</v>
      </c>
      <c r="L617">
        <f ca="1">DAYS360(INDIRECT(C69&amp;ROW()),TODAY())</f>
        <v>700</v>
      </c>
      <c r="M617">
        <f ca="1">HYPERLINK(CONCATENATE("https://bugzilla.houston.hp.com:1181/bugzilla/show_bug.cgi?id=",INDIRECT(C70&amp;ROW())),INDIRECT(C70&amp;ROW()))</f>
        <v>62848</v>
      </c>
      <c r="N617">
        <v>62848</v>
      </c>
      <c r="O617" t="s">
        <v>21</v>
      </c>
      <c r="P617" t="s">
        <v>1200</v>
      </c>
      <c r="Q617" t="s">
        <v>25</v>
      </c>
      <c r="R617" t="s">
        <v>783</v>
      </c>
      <c r="S617" t="s">
        <v>552</v>
      </c>
      <c r="U617" s="6">
        <v>42160.47556712963</v>
      </c>
      <c r="V617" t="s">
        <v>18</v>
      </c>
      <c r="W617" t="s">
        <v>783</v>
      </c>
      <c r="X617" s="6">
        <v>42146.516724537039</v>
      </c>
      <c r="Y617" t="s">
        <v>846</v>
      </c>
      <c r="AB617" t="s">
        <v>200</v>
      </c>
      <c r="AC617" t="s">
        <v>247</v>
      </c>
      <c r="AD617" t="s">
        <v>222</v>
      </c>
      <c r="AE617" t="s">
        <v>1073</v>
      </c>
      <c r="AG617" t="s">
        <v>121</v>
      </c>
      <c r="AH617" t="s">
        <v>327</v>
      </c>
      <c r="AI617" t="s">
        <v>121</v>
      </c>
      <c r="AJ617" t="s">
        <v>715</v>
      </c>
      <c r="AK617" t="s">
        <v>121</v>
      </c>
    </row>
    <row r="618" spans="9:37" x14ac:dyDescent="0.3">
      <c r="I618">
        <f ca="1">IF(OR(INDIRECT(A73&amp;ROW())=B93,INDIRECT(A73&amp;ROW())=B94),1,IF(AND(INDIRECT(A73&amp;ROW())=B95,INDIRECT(A96&amp;ROW())=C93),1,IF(AND(INDIRECT(A73&amp;ROW())=B95,INDIRECT(A96&amp;ROW())=C94),1,0)))</f>
        <v>0</v>
      </c>
      <c r="J618">
        <f ca="1">IF(AND(INDIRECT(A73&amp;ROW())=B95,INDIRECT(A96&amp;ROW())=C95),1,IF(AND(INDIRECT(A73&amp;ROW())=B95,INDIRECT(A96&amp;ROW())=C96),1,0))</f>
        <v>1</v>
      </c>
      <c r="K618">
        <f ca="1">DAYS360(INDIRECT(C68&amp;ROW()),TODAY())</f>
        <v>689</v>
      </c>
      <c r="L618">
        <f ca="1">DAYS360(INDIRECT(C69&amp;ROW()),TODAY())</f>
        <v>700</v>
      </c>
      <c r="M618">
        <f ca="1">HYPERLINK(CONCATENATE("https://bugzilla.houston.hp.com:1181/bugzilla/show_bug.cgi?id=",INDIRECT(C70&amp;ROW())),INDIRECT(C70&amp;ROW()))</f>
        <v>62876</v>
      </c>
      <c r="N618">
        <v>62876</v>
      </c>
      <c r="O618" t="s">
        <v>55</v>
      </c>
      <c r="P618" t="s">
        <v>1121</v>
      </c>
      <c r="Q618" t="s">
        <v>25</v>
      </c>
      <c r="R618" t="s">
        <v>251</v>
      </c>
      <c r="S618" t="s">
        <v>88</v>
      </c>
      <c r="U618" s="6">
        <v>42158.289733796293</v>
      </c>
      <c r="V618" t="s">
        <v>35</v>
      </c>
      <c r="W618" t="s">
        <v>783</v>
      </c>
      <c r="X618" s="6">
        <v>42146.710370370369</v>
      </c>
      <c r="Y618" t="s">
        <v>125</v>
      </c>
      <c r="AB618" t="s">
        <v>201</v>
      </c>
      <c r="AC618" t="s">
        <v>247</v>
      </c>
      <c r="AD618" t="s">
        <v>222</v>
      </c>
      <c r="AE618" t="s">
        <v>221</v>
      </c>
      <c r="AG618" t="s">
        <v>121</v>
      </c>
      <c r="AH618" t="s">
        <v>327</v>
      </c>
      <c r="AI618" t="s">
        <v>121</v>
      </c>
      <c r="AJ618" t="s">
        <v>716</v>
      </c>
      <c r="AK618" t="s">
        <v>121</v>
      </c>
    </row>
    <row r="619" spans="9:37" x14ac:dyDescent="0.3">
      <c r="I619">
        <f ca="1">IF(OR(INDIRECT(A73&amp;ROW())=B93,INDIRECT(A73&amp;ROW())=B94),1,IF(AND(INDIRECT(A73&amp;ROW())=B95,INDIRECT(A96&amp;ROW())=C93),1,IF(AND(INDIRECT(A73&amp;ROW())=B95,INDIRECT(A96&amp;ROW())=C94),1,0)))</f>
        <v>0</v>
      </c>
      <c r="J619">
        <f ca="1">IF(AND(INDIRECT(A73&amp;ROW())=B95,INDIRECT(A96&amp;ROW())=C95),1,IF(AND(INDIRECT(A73&amp;ROW())=B95,INDIRECT(A96&amp;ROW())=C96),1,0))</f>
        <v>1</v>
      </c>
      <c r="K619">
        <f ca="1">DAYS360(INDIRECT(C68&amp;ROW()),TODAY())</f>
        <v>697</v>
      </c>
      <c r="L619">
        <f ca="1">DAYS360(INDIRECT(C69&amp;ROW()),TODAY())</f>
        <v>699</v>
      </c>
      <c r="M619">
        <f ca="1">HYPERLINK(CONCATENATE("https://bugzilla.houston.hp.com:1181/bugzilla/show_bug.cgi?id=",INDIRECT(C70&amp;ROW())),INDIRECT(C70&amp;ROW()))</f>
        <v>62879</v>
      </c>
      <c r="N619">
        <v>62879</v>
      </c>
      <c r="O619" t="s">
        <v>55</v>
      </c>
      <c r="P619" t="s">
        <v>1120</v>
      </c>
      <c r="Q619" t="s">
        <v>25</v>
      </c>
      <c r="R619" t="s">
        <v>579</v>
      </c>
      <c r="S619" t="s">
        <v>552</v>
      </c>
      <c r="U619" s="6">
        <v>42149.626400462963</v>
      </c>
      <c r="V619" t="s">
        <v>18</v>
      </c>
      <c r="W619" t="s">
        <v>783</v>
      </c>
      <c r="X619" s="6">
        <v>42147.016736111109</v>
      </c>
      <c r="Y619" t="s">
        <v>125</v>
      </c>
      <c r="AB619" t="s">
        <v>201</v>
      </c>
      <c r="AC619" t="s">
        <v>247</v>
      </c>
      <c r="AD619" t="s">
        <v>222</v>
      </c>
      <c r="AE619" t="s">
        <v>221</v>
      </c>
      <c r="AG619" t="s">
        <v>121</v>
      </c>
      <c r="AH619" t="s">
        <v>327</v>
      </c>
      <c r="AI619" t="s">
        <v>121</v>
      </c>
      <c r="AJ619" t="s">
        <v>716</v>
      </c>
      <c r="AK619" t="s">
        <v>121</v>
      </c>
    </row>
    <row r="620" spans="9:37" x14ac:dyDescent="0.3">
      <c r="I620">
        <f ca="1">IF(OR(INDIRECT(A73&amp;ROW())=B93,INDIRECT(A73&amp;ROW())=B94),1,IF(AND(INDIRECT(A73&amp;ROW())=B95,INDIRECT(A96&amp;ROW())=C93),1,IF(AND(INDIRECT(A73&amp;ROW())=B95,INDIRECT(A96&amp;ROW())=C94),1,0)))</f>
        <v>0</v>
      </c>
      <c r="J620">
        <f ca="1">IF(AND(INDIRECT(A73&amp;ROW())=B95,INDIRECT(A96&amp;ROW())=C95),1,IF(AND(INDIRECT(A73&amp;ROW())=B95,INDIRECT(A96&amp;ROW())=C96),1,0))</f>
        <v>1</v>
      </c>
      <c r="K620">
        <f ca="1">DAYS360(INDIRECT(C68&amp;ROW()),TODAY())</f>
        <v>697</v>
      </c>
      <c r="L620">
        <f ca="1">DAYS360(INDIRECT(C69&amp;ROW()),TODAY())</f>
        <v>699</v>
      </c>
      <c r="M620">
        <f ca="1">HYPERLINK(CONCATENATE("https://bugzilla.houston.hp.com:1181/bugzilla/show_bug.cgi?id=",INDIRECT(C70&amp;ROW())),INDIRECT(C70&amp;ROW()))</f>
        <v>62881</v>
      </c>
      <c r="N620">
        <v>62881</v>
      </c>
      <c r="O620" t="s">
        <v>55</v>
      </c>
      <c r="P620" t="s">
        <v>1118</v>
      </c>
      <c r="Q620" t="s">
        <v>25</v>
      </c>
      <c r="R620" t="s">
        <v>248</v>
      </c>
      <c r="S620" t="s">
        <v>552</v>
      </c>
      <c r="U620" s="6">
        <v>42149.626388888886</v>
      </c>
      <c r="V620" t="s">
        <v>18</v>
      </c>
      <c r="W620" t="s">
        <v>783</v>
      </c>
      <c r="X620" s="6">
        <v>42147.016898148147</v>
      </c>
      <c r="Y620" t="s">
        <v>125</v>
      </c>
      <c r="AB620" t="s">
        <v>201</v>
      </c>
      <c r="AC620" t="s">
        <v>247</v>
      </c>
      <c r="AD620" t="s">
        <v>222</v>
      </c>
      <c r="AE620" t="s">
        <v>221</v>
      </c>
      <c r="AG620" t="s">
        <v>121</v>
      </c>
      <c r="AH620" t="s">
        <v>327</v>
      </c>
      <c r="AI620" t="s">
        <v>121</v>
      </c>
      <c r="AJ620" t="s">
        <v>716</v>
      </c>
      <c r="AK620" t="s">
        <v>121</v>
      </c>
    </row>
    <row r="621" spans="9:37" x14ac:dyDescent="0.3">
      <c r="I621">
        <f ca="1">IF(OR(INDIRECT(A73&amp;ROW())=B93,INDIRECT(A73&amp;ROW())=B94),1,IF(AND(INDIRECT(A73&amp;ROW())=B95,INDIRECT(A96&amp;ROW())=C93),1,IF(AND(INDIRECT(A73&amp;ROW())=B95,INDIRECT(A96&amp;ROW())=C94),1,0)))</f>
        <v>1</v>
      </c>
      <c r="J621">
        <f ca="1">IF(AND(INDIRECT(A73&amp;ROW())=B95,INDIRECT(A96&amp;ROW())=C95),1,IF(AND(INDIRECT(A73&amp;ROW())=B95,INDIRECT(A96&amp;ROW())=C96),1,0))</f>
        <v>0</v>
      </c>
      <c r="K621">
        <f ca="1">DAYS360(INDIRECT(C68&amp;ROW()),TODAY())</f>
        <v>690</v>
      </c>
      <c r="L621">
        <f ca="1">DAYS360(INDIRECT(C69&amp;ROW()),TODAY())</f>
        <v>697</v>
      </c>
      <c r="M621">
        <f ca="1">HYPERLINK(CONCATENATE("https://bugzilla.houston.hp.com:1181/bugzilla/show_bug.cgi?id=",INDIRECT(C70&amp;ROW())),INDIRECT(C70&amp;ROW()))</f>
        <v>62918</v>
      </c>
      <c r="N621">
        <v>62918</v>
      </c>
      <c r="O621" t="s">
        <v>62</v>
      </c>
      <c r="P621" t="s">
        <v>1117</v>
      </c>
      <c r="Q621" t="s">
        <v>25</v>
      </c>
      <c r="R621" t="s">
        <v>251</v>
      </c>
      <c r="S621" t="s">
        <v>62</v>
      </c>
      <c r="U621" s="6">
        <v>42157.007928240739</v>
      </c>
      <c r="V621" t="s">
        <v>18</v>
      </c>
      <c r="W621" t="s">
        <v>783</v>
      </c>
      <c r="X621" s="6">
        <v>42149.972442129627</v>
      </c>
      <c r="Y621" t="s">
        <v>119</v>
      </c>
      <c r="AB621" t="s">
        <v>199</v>
      </c>
      <c r="AC621" t="s">
        <v>247</v>
      </c>
      <c r="AD621" t="s">
        <v>220</v>
      </c>
      <c r="AE621" t="s">
        <v>219</v>
      </c>
      <c r="AG621" t="s">
        <v>121</v>
      </c>
      <c r="AH621" t="s">
        <v>327</v>
      </c>
      <c r="AI621" t="s">
        <v>121</v>
      </c>
      <c r="AJ621" t="s">
        <v>715</v>
      </c>
      <c r="AK621" t="s">
        <v>121</v>
      </c>
    </row>
    <row r="622" spans="9:37" x14ac:dyDescent="0.3">
      <c r="I622">
        <f ca="1">IF(OR(INDIRECT(A73&amp;ROW())=B93,INDIRECT(A73&amp;ROW())=B94),1,IF(AND(INDIRECT(A73&amp;ROW())=B95,INDIRECT(A96&amp;ROW())=C93),1,IF(AND(INDIRECT(A73&amp;ROW())=B95,INDIRECT(A96&amp;ROW())=C94),1,0)))</f>
        <v>1</v>
      </c>
      <c r="J622">
        <f ca="1">IF(AND(INDIRECT(A73&amp;ROW())=B95,INDIRECT(A96&amp;ROW())=C95),1,IF(AND(INDIRECT(A73&amp;ROW())=B95,INDIRECT(A96&amp;ROW())=C96),1,0))</f>
        <v>0</v>
      </c>
      <c r="K622">
        <f ca="1">DAYS360(INDIRECT(C68&amp;ROW()),TODAY())</f>
        <v>690</v>
      </c>
      <c r="L622">
        <f ca="1">DAYS360(INDIRECT(C69&amp;ROW()),TODAY())</f>
        <v>696</v>
      </c>
      <c r="M622">
        <f ca="1">HYPERLINK(CONCATENATE("https://bugzilla.houston.hp.com:1181/bugzilla/show_bug.cgi?id=",INDIRECT(C70&amp;ROW())),INDIRECT(C70&amp;ROW()))</f>
        <v>62923</v>
      </c>
      <c r="N622">
        <v>62923</v>
      </c>
      <c r="O622" t="s">
        <v>56</v>
      </c>
      <c r="P622" t="s">
        <v>1116</v>
      </c>
      <c r="Q622" t="s">
        <v>25</v>
      </c>
      <c r="R622" t="s">
        <v>248</v>
      </c>
      <c r="S622" t="s">
        <v>552</v>
      </c>
      <c r="U622" s="6">
        <v>42157.090798611112</v>
      </c>
      <c r="V622" t="s">
        <v>18</v>
      </c>
      <c r="W622" t="s">
        <v>783</v>
      </c>
      <c r="X622" s="6">
        <v>42150.01703703704</v>
      </c>
      <c r="Y622" t="s">
        <v>119</v>
      </c>
      <c r="AB622" t="s">
        <v>199</v>
      </c>
      <c r="AC622" t="s">
        <v>247</v>
      </c>
      <c r="AD622" t="s">
        <v>220</v>
      </c>
      <c r="AE622" t="s">
        <v>219</v>
      </c>
      <c r="AG622" t="s">
        <v>121</v>
      </c>
      <c r="AH622" t="s">
        <v>327</v>
      </c>
      <c r="AI622" t="s">
        <v>121</v>
      </c>
      <c r="AJ622" t="s">
        <v>715</v>
      </c>
      <c r="AK622" t="s">
        <v>121</v>
      </c>
    </row>
    <row r="623" spans="9:37" x14ac:dyDescent="0.3">
      <c r="I623">
        <f ca="1">IF(OR(INDIRECT(A73&amp;ROW())=B93,INDIRECT(A73&amp;ROW())=B94),1,IF(AND(INDIRECT(A73&amp;ROW())=B95,INDIRECT(A96&amp;ROW())=C93),1,IF(AND(INDIRECT(A73&amp;ROW())=B95,INDIRECT(A96&amp;ROW())=C94),1,0)))</f>
        <v>1</v>
      </c>
      <c r="J623">
        <f ca="1">IF(AND(INDIRECT(A73&amp;ROW())=B95,INDIRECT(A96&amp;ROW())=C95),1,IF(AND(INDIRECT(A73&amp;ROW())=B95,INDIRECT(A96&amp;ROW())=C96),1,0))</f>
        <v>0</v>
      </c>
      <c r="K623">
        <f ca="1">DAYS360(INDIRECT(C68&amp;ROW()),TODAY())</f>
        <v>687</v>
      </c>
      <c r="L623">
        <f ca="1">DAYS360(INDIRECT(C69&amp;ROW()),TODAY())</f>
        <v>696</v>
      </c>
      <c r="M623">
        <f ca="1">HYPERLINK(CONCATENATE("https://bugzilla.houston.hp.com:1181/bugzilla/show_bug.cgi?id=",INDIRECT(C70&amp;ROW())),INDIRECT(C70&amp;ROW()))</f>
        <v>62950</v>
      </c>
      <c r="N623">
        <v>62950</v>
      </c>
      <c r="O623" t="s">
        <v>94</v>
      </c>
      <c r="P623" t="s">
        <v>1115</v>
      </c>
      <c r="Q623" t="s">
        <v>25</v>
      </c>
      <c r="R623" t="s">
        <v>251</v>
      </c>
      <c r="S623" t="s">
        <v>52</v>
      </c>
      <c r="T623" t="s">
        <v>1122</v>
      </c>
      <c r="U623" s="6">
        <v>42160.435613425929</v>
      </c>
      <c r="V623" t="s">
        <v>35</v>
      </c>
      <c r="W623" t="s">
        <v>783</v>
      </c>
      <c r="X623" s="6">
        <v>42150.291273148148</v>
      </c>
      <c r="Y623" t="s">
        <v>119</v>
      </c>
      <c r="AB623" t="s">
        <v>200</v>
      </c>
      <c r="AC623" t="s">
        <v>247</v>
      </c>
      <c r="AD623" t="s">
        <v>227</v>
      </c>
      <c r="AE623" t="s">
        <v>226</v>
      </c>
      <c r="AG623" t="s">
        <v>121</v>
      </c>
      <c r="AH623" t="s">
        <v>327</v>
      </c>
      <c r="AI623" t="s">
        <v>121</v>
      </c>
      <c r="AJ623" t="s">
        <v>715</v>
      </c>
      <c r="AK623" t="s">
        <v>121</v>
      </c>
    </row>
    <row r="624" spans="9:37" x14ac:dyDescent="0.3">
      <c r="I624">
        <f ca="1">IF(OR(INDIRECT(A73&amp;ROW())=B93,INDIRECT(A73&amp;ROW())=B94),1,IF(AND(INDIRECT(A73&amp;ROW())=B95,INDIRECT(A96&amp;ROW())=C93),1,IF(AND(INDIRECT(A73&amp;ROW())=B95,INDIRECT(A96&amp;ROW())=C94),1,0)))</f>
        <v>1</v>
      </c>
      <c r="J624">
        <f ca="1">IF(AND(INDIRECT(A73&amp;ROW())=B95,INDIRECT(A96&amp;ROW())=C95),1,IF(AND(INDIRECT(A73&amp;ROW())=B95,INDIRECT(A96&amp;ROW())=C96),1,0))</f>
        <v>0</v>
      </c>
      <c r="K624">
        <f ca="1">DAYS360(INDIRECT(C68&amp;ROW()),TODAY())</f>
        <v>688</v>
      </c>
      <c r="L624">
        <f ca="1">DAYS360(INDIRECT(C69&amp;ROW()),TODAY())</f>
        <v>696</v>
      </c>
      <c r="M624">
        <f ca="1">HYPERLINK(CONCATENATE("https://bugzilla.houston.hp.com:1181/bugzilla/show_bug.cgi?id=",INDIRECT(C70&amp;ROW())),INDIRECT(C70&amp;ROW()))</f>
        <v>62959</v>
      </c>
      <c r="N624">
        <v>62959</v>
      </c>
      <c r="O624" t="s">
        <v>21</v>
      </c>
      <c r="P624" t="s">
        <v>1114</v>
      </c>
      <c r="Q624" t="s">
        <v>39</v>
      </c>
      <c r="R624" t="s">
        <v>251</v>
      </c>
      <c r="S624" t="s">
        <v>24</v>
      </c>
      <c r="U624" s="6">
        <v>42159.539583333331</v>
      </c>
      <c r="V624" t="s">
        <v>18</v>
      </c>
      <c r="W624" t="s">
        <v>783</v>
      </c>
      <c r="X624" s="6">
        <v>42150.384166666663</v>
      </c>
      <c r="Y624" t="s">
        <v>119</v>
      </c>
      <c r="AB624" t="s">
        <v>200</v>
      </c>
      <c r="AC624" t="s">
        <v>247</v>
      </c>
      <c r="AD624" t="s">
        <v>222</v>
      </c>
      <c r="AE624" t="s">
        <v>221</v>
      </c>
      <c r="AG624" t="s">
        <v>121</v>
      </c>
      <c r="AH624" t="s">
        <v>327</v>
      </c>
      <c r="AI624" t="s">
        <v>121</v>
      </c>
      <c r="AJ624" t="s">
        <v>715</v>
      </c>
      <c r="AK624" t="s">
        <v>121</v>
      </c>
    </row>
    <row r="625" spans="9:37" x14ac:dyDescent="0.3">
      <c r="I625">
        <f ca="1">IF(OR(INDIRECT(A73&amp;ROW())=B93,INDIRECT(A73&amp;ROW())=B94),1,IF(AND(INDIRECT(A73&amp;ROW())=B95,INDIRECT(A96&amp;ROW())=C93),1,IF(AND(INDIRECT(A73&amp;ROW())=B95,INDIRECT(A96&amp;ROW())=C94),1,0)))</f>
        <v>1</v>
      </c>
      <c r="J625">
        <f ca="1">IF(AND(INDIRECT(A73&amp;ROW())=B95,INDIRECT(A96&amp;ROW())=C95),1,IF(AND(INDIRECT(A73&amp;ROW())=B95,INDIRECT(A96&amp;ROW())=C96),1,0))</f>
        <v>0</v>
      </c>
      <c r="K625">
        <f ca="1">DAYS360(INDIRECT(C68&amp;ROW()),TODAY())</f>
        <v>696</v>
      </c>
      <c r="L625">
        <f ca="1">DAYS360(INDIRECT(C69&amp;ROW()),TODAY())</f>
        <v>696</v>
      </c>
      <c r="M625">
        <f ca="1">HYPERLINK(CONCATENATE("https://bugzilla.houston.hp.com:1181/bugzilla/show_bug.cgi?id=",INDIRECT(C70&amp;ROW())),INDIRECT(C70&amp;ROW()))</f>
        <v>62972</v>
      </c>
      <c r="N625">
        <v>62972</v>
      </c>
      <c r="O625" t="s">
        <v>45</v>
      </c>
      <c r="P625" t="s">
        <v>1113</v>
      </c>
      <c r="Q625" t="s">
        <v>25</v>
      </c>
      <c r="R625" t="s">
        <v>248</v>
      </c>
      <c r="S625" t="s">
        <v>552</v>
      </c>
      <c r="U625" s="6">
        <v>42150.455312500002</v>
      </c>
      <c r="V625" t="s">
        <v>18</v>
      </c>
      <c r="W625" t="s">
        <v>248</v>
      </c>
      <c r="X625" s="6">
        <v>42150.455312500002</v>
      </c>
      <c r="Y625" t="s">
        <v>793</v>
      </c>
      <c r="AB625" t="s">
        <v>199</v>
      </c>
      <c r="AC625" t="s">
        <v>247</v>
      </c>
      <c r="AD625" t="s">
        <v>220</v>
      </c>
      <c r="AE625" t="s">
        <v>219</v>
      </c>
      <c r="AG625" t="s">
        <v>121</v>
      </c>
      <c r="AH625" t="s">
        <v>328</v>
      </c>
      <c r="AI625" t="s">
        <v>121</v>
      </c>
      <c r="AJ625" t="s">
        <v>715</v>
      </c>
      <c r="AK625" t="s">
        <v>121</v>
      </c>
    </row>
    <row r="626" spans="9:37" x14ac:dyDescent="0.3">
      <c r="I626">
        <f ca="1">IF(OR(INDIRECT(A73&amp;ROW())=B93,INDIRECT(A73&amp;ROW())=B94),1,IF(AND(INDIRECT(A73&amp;ROW())=B95,INDIRECT(A96&amp;ROW())=C93),1,IF(AND(INDIRECT(A73&amp;ROW())=B95,INDIRECT(A96&amp;ROW())=C94),1,0)))</f>
        <v>1</v>
      </c>
      <c r="J626">
        <f ca="1">IF(AND(INDIRECT(A73&amp;ROW())=B95,INDIRECT(A96&amp;ROW())=C95),1,IF(AND(INDIRECT(A73&amp;ROW())=B95,INDIRECT(A96&amp;ROW())=C96),1,0))</f>
        <v>0</v>
      </c>
      <c r="K626">
        <f ca="1">DAYS360(INDIRECT(C68&amp;ROW()),TODAY())</f>
        <v>690</v>
      </c>
      <c r="L626">
        <f ca="1">DAYS360(INDIRECT(C69&amp;ROW()),TODAY())</f>
        <v>696</v>
      </c>
      <c r="M626">
        <f ca="1">HYPERLINK(CONCATENATE("https://bugzilla.houston.hp.com:1181/bugzilla/show_bug.cgi?id=",INDIRECT(C70&amp;ROW())),INDIRECT(C70&amp;ROW()))</f>
        <v>62973</v>
      </c>
      <c r="N626">
        <v>62973</v>
      </c>
      <c r="O626" t="s">
        <v>94</v>
      </c>
      <c r="P626" t="s">
        <v>1112</v>
      </c>
      <c r="Q626" t="s">
        <v>25</v>
      </c>
      <c r="R626" t="s">
        <v>783</v>
      </c>
      <c r="S626" t="s">
        <v>552</v>
      </c>
      <c r="T626" t="s">
        <v>1156</v>
      </c>
      <c r="U626" s="6">
        <v>42157.307337962964</v>
      </c>
      <c r="V626" t="s">
        <v>18</v>
      </c>
      <c r="W626" t="s">
        <v>783</v>
      </c>
      <c r="X626" s="6">
        <v>42150.456238425926</v>
      </c>
      <c r="Y626" t="s">
        <v>119</v>
      </c>
      <c r="AB626" t="s">
        <v>200</v>
      </c>
      <c r="AC626" t="s">
        <v>247</v>
      </c>
      <c r="AD626" t="s">
        <v>227</v>
      </c>
      <c r="AE626" t="s">
        <v>226</v>
      </c>
      <c r="AG626" t="s">
        <v>121</v>
      </c>
      <c r="AH626" t="s">
        <v>327</v>
      </c>
      <c r="AI626" t="s">
        <v>121</v>
      </c>
      <c r="AJ626" t="s">
        <v>715</v>
      </c>
      <c r="AK626" t="s">
        <v>121</v>
      </c>
    </row>
    <row r="627" spans="9:37" x14ac:dyDescent="0.3">
      <c r="I627">
        <f ca="1">IF(OR(INDIRECT(A73&amp;ROW())=B93,INDIRECT(A73&amp;ROW())=B94),1,IF(AND(INDIRECT(A73&amp;ROW())=B95,INDIRECT(A96&amp;ROW())=C93),1,IF(AND(INDIRECT(A73&amp;ROW())=B95,INDIRECT(A96&amp;ROW())=C94),1,0)))</f>
        <v>1</v>
      </c>
      <c r="J627">
        <f ca="1">IF(AND(INDIRECT(A73&amp;ROW())=B95,INDIRECT(A96&amp;ROW())=C95),1,IF(AND(INDIRECT(A73&amp;ROW())=B95,INDIRECT(A96&amp;ROW())=C96),1,0))</f>
        <v>0</v>
      </c>
      <c r="K627">
        <f ca="1">DAYS360(INDIRECT(C68&amp;ROW()),TODAY())</f>
        <v>694</v>
      </c>
      <c r="L627">
        <f ca="1">DAYS360(INDIRECT(C69&amp;ROW()),TODAY())</f>
        <v>696</v>
      </c>
      <c r="M627">
        <f ca="1">HYPERLINK(CONCATENATE("https://bugzilla.houston.hp.com:1181/bugzilla/show_bug.cgi?id=",INDIRECT(C70&amp;ROW())),INDIRECT(C70&amp;ROW()))</f>
        <v>62974</v>
      </c>
      <c r="N627">
        <v>62974</v>
      </c>
      <c r="O627" t="s">
        <v>94</v>
      </c>
      <c r="P627" t="s">
        <v>1111</v>
      </c>
      <c r="Q627" t="s">
        <v>25</v>
      </c>
      <c r="R627" t="s">
        <v>248</v>
      </c>
      <c r="S627" t="s">
        <v>552</v>
      </c>
      <c r="U627" s="6">
        <v>42152.66778935185</v>
      </c>
      <c r="V627" t="s">
        <v>18</v>
      </c>
      <c r="W627" t="s">
        <v>783</v>
      </c>
      <c r="X627" s="6">
        <v>42150.456342592595</v>
      </c>
      <c r="Y627" t="s">
        <v>119</v>
      </c>
      <c r="AB627" t="s">
        <v>200</v>
      </c>
      <c r="AC627" t="s">
        <v>247</v>
      </c>
      <c r="AD627" t="s">
        <v>227</v>
      </c>
      <c r="AE627" t="s">
        <v>226</v>
      </c>
      <c r="AG627" t="s">
        <v>121</v>
      </c>
      <c r="AH627" t="s">
        <v>327</v>
      </c>
      <c r="AI627" t="s">
        <v>121</v>
      </c>
      <c r="AJ627" t="s">
        <v>715</v>
      </c>
      <c r="AK627" t="s">
        <v>121</v>
      </c>
    </row>
    <row r="628" spans="9:37" x14ac:dyDescent="0.3">
      <c r="I628">
        <f ca="1">IF(OR(INDIRECT(A73&amp;ROW())=B93,INDIRECT(A73&amp;ROW())=B94),1,IF(AND(INDIRECT(A73&amp;ROW())=B95,INDIRECT(A96&amp;ROW())=C93),1,IF(AND(INDIRECT(A73&amp;ROW())=B95,INDIRECT(A96&amp;ROW())=C94),1,0)))</f>
        <v>1</v>
      </c>
      <c r="J628">
        <f ca="1">IF(AND(INDIRECT(A73&amp;ROW())=B95,INDIRECT(A96&amp;ROW())=C95),1,IF(AND(INDIRECT(A73&amp;ROW())=B95,INDIRECT(A96&amp;ROW())=C96),1,0))</f>
        <v>0</v>
      </c>
      <c r="K628">
        <f ca="1">DAYS360(INDIRECT(C68&amp;ROW()),TODAY())</f>
        <v>689</v>
      </c>
      <c r="L628">
        <f ca="1">DAYS360(INDIRECT(C69&amp;ROW()),TODAY())</f>
        <v>696</v>
      </c>
      <c r="M628">
        <f ca="1">HYPERLINK(CONCATENATE("https://bugzilla.houston.hp.com:1181/bugzilla/show_bug.cgi?id=",INDIRECT(C70&amp;ROW())),INDIRECT(C70&amp;ROW()))</f>
        <v>62976</v>
      </c>
      <c r="N628">
        <v>62976</v>
      </c>
      <c r="O628" t="s">
        <v>21</v>
      </c>
      <c r="P628" t="s">
        <v>1110</v>
      </c>
      <c r="Q628" t="s">
        <v>39</v>
      </c>
      <c r="R628" t="s">
        <v>783</v>
      </c>
      <c r="S628" t="s">
        <v>552</v>
      </c>
      <c r="U628" s="6">
        <v>42158.573101851849</v>
      </c>
      <c r="V628" t="s">
        <v>18</v>
      </c>
      <c r="W628" t="s">
        <v>783</v>
      </c>
      <c r="X628" s="6">
        <v>42150.457615740743</v>
      </c>
      <c r="Y628" t="s">
        <v>119</v>
      </c>
      <c r="AB628" t="s">
        <v>200</v>
      </c>
      <c r="AC628" t="s">
        <v>247</v>
      </c>
      <c r="AD628" t="s">
        <v>222</v>
      </c>
      <c r="AE628" t="s">
        <v>221</v>
      </c>
      <c r="AG628" t="s">
        <v>121</v>
      </c>
      <c r="AH628" t="s">
        <v>327</v>
      </c>
      <c r="AI628" t="s">
        <v>121</v>
      </c>
      <c r="AJ628" t="s">
        <v>715</v>
      </c>
      <c r="AK628" t="s">
        <v>121</v>
      </c>
    </row>
    <row r="629" spans="9:37" x14ac:dyDescent="0.3">
      <c r="I629">
        <f ca="1">IF(OR(INDIRECT(A73&amp;ROW())=B93,INDIRECT(A73&amp;ROW())=B94),1,IF(AND(INDIRECT(A73&amp;ROW())=B95,INDIRECT(A96&amp;ROW())=C93),1,IF(AND(INDIRECT(A73&amp;ROW())=B95,INDIRECT(A96&amp;ROW())=C94),1,0)))</f>
        <v>1</v>
      </c>
      <c r="J629">
        <f ca="1">IF(AND(INDIRECT(A73&amp;ROW())=B95,INDIRECT(A96&amp;ROW())=C95),1,IF(AND(INDIRECT(A73&amp;ROW())=B95,INDIRECT(A96&amp;ROW())=C96),1,0))</f>
        <v>0</v>
      </c>
      <c r="K629">
        <f ca="1">DAYS360(INDIRECT(C68&amp;ROW()),TODAY())</f>
        <v>687</v>
      </c>
      <c r="L629">
        <f ca="1">DAYS360(INDIRECT(C69&amp;ROW()),TODAY())</f>
        <v>696</v>
      </c>
      <c r="M629">
        <f ca="1">HYPERLINK(CONCATENATE("https://bugzilla.houston.hp.com:1181/bugzilla/show_bug.cgi?id=",INDIRECT(C70&amp;ROW())),INDIRECT(C70&amp;ROW()))</f>
        <v>62977</v>
      </c>
      <c r="N629">
        <v>62977</v>
      </c>
      <c r="O629" t="s">
        <v>21</v>
      </c>
      <c r="P629" t="s">
        <v>1109</v>
      </c>
      <c r="Q629" t="s">
        <v>39</v>
      </c>
      <c r="R629" t="s">
        <v>248</v>
      </c>
      <c r="S629" t="s">
        <v>552</v>
      </c>
      <c r="U629" s="6">
        <v>42160.489837962959</v>
      </c>
      <c r="V629" t="s">
        <v>18</v>
      </c>
      <c r="W629" t="s">
        <v>783</v>
      </c>
      <c r="X629" s="6">
        <v>42150.457673611112</v>
      </c>
      <c r="Y629" t="s">
        <v>119</v>
      </c>
      <c r="AB629" t="s">
        <v>200</v>
      </c>
      <c r="AC629" t="s">
        <v>247</v>
      </c>
      <c r="AD629" t="s">
        <v>222</v>
      </c>
      <c r="AE629" t="s">
        <v>221</v>
      </c>
      <c r="AG629" t="s">
        <v>121</v>
      </c>
      <c r="AH629" t="s">
        <v>327</v>
      </c>
      <c r="AI629" t="s">
        <v>121</v>
      </c>
      <c r="AJ629" t="s">
        <v>715</v>
      </c>
      <c r="AK629" t="s">
        <v>121</v>
      </c>
    </row>
    <row r="630" spans="9:37" x14ac:dyDescent="0.3">
      <c r="I630">
        <f ca="1">IF(OR(INDIRECT(A73&amp;ROW())=B93,INDIRECT(A73&amp;ROW())=B94),1,IF(AND(INDIRECT(A73&amp;ROW())=B95,INDIRECT(A96&amp;ROW())=C93),1,IF(AND(INDIRECT(A73&amp;ROW())=B95,INDIRECT(A96&amp;ROW())=C94),1,0)))</f>
        <v>1</v>
      </c>
      <c r="J630">
        <f ca="1">IF(AND(INDIRECT(A73&amp;ROW())=B95,INDIRECT(A96&amp;ROW())=C95),1,IF(AND(INDIRECT(A73&amp;ROW())=B95,INDIRECT(A96&amp;ROW())=C96),1,0))</f>
        <v>0</v>
      </c>
      <c r="K630">
        <f ca="1">DAYS360(INDIRECT(C68&amp;ROW()),TODAY())</f>
        <v>689</v>
      </c>
      <c r="L630">
        <f ca="1">DAYS360(INDIRECT(C69&amp;ROW()),TODAY())</f>
        <v>696</v>
      </c>
      <c r="M630">
        <f ca="1">HYPERLINK(CONCATENATE("https://bugzilla.houston.hp.com:1181/bugzilla/show_bug.cgi?id=",INDIRECT(C70&amp;ROW())),INDIRECT(C70&amp;ROW()))</f>
        <v>62999</v>
      </c>
      <c r="N630">
        <v>62999</v>
      </c>
      <c r="O630" t="s">
        <v>587</v>
      </c>
      <c r="P630" t="s">
        <v>1199</v>
      </c>
      <c r="Q630" t="s">
        <v>39</v>
      </c>
      <c r="R630" t="s">
        <v>251</v>
      </c>
      <c r="S630" t="s">
        <v>587</v>
      </c>
      <c r="U630" s="6">
        <v>42158.518807870372</v>
      </c>
      <c r="V630" t="s">
        <v>18</v>
      </c>
      <c r="W630" t="s">
        <v>783</v>
      </c>
      <c r="X630" s="6">
        <v>42150.971064814818</v>
      </c>
      <c r="Y630" t="s">
        <v>119</v>
      </c>
      <c r="AB630" t="s">
        <v>199</v>
      </c>
      <c r="AC630" t="s">
        <v>247</v>
      </c>
      <c r="AD630" t="s">
        <v>220</v>
      </c>
      <c r="AE630" t="s">
        <v>219</v>
      </c>
      <c r="AG630" t="s">
        <v>121</v>
      </c>
      <c r="AH630" t="s">
        <v>327</v>
      </c>
      <c r="AI630" t="s">
        <v>121</v>
      </c>
      <c r="AJ630" t="s">
        <v>715</v>
      </c>
      <c r="AK630" t="s">
        <v>121</v>
      </c>
    </row>
    <row r="631" spans="9:37" x14ac:dyDescent="0.3">
      <c r="I631">
        <f ca="1">IF(OR(INDIRECT(A73&amp;ROW())=B93,INDIRECT(A73&amp;ROW())=B94),1,IF(AND(INDIRECT(A73&amp;ROW())=B95,INDIRECT(A96&amp;ROW())=C93),1,IF(AND(INDIRECT(A73&amp;ROW())=B95,INDIRECT(A96&amp;ROW())=C94),1,0)))</f>
        <v>1</v>
      </c>
      <c r="J631">
        <f ca="1">IF(AND(INDIRECT(A73&amp;ROW())=B95,INDIRECT(A96&amp;ROW())=C95),1,IF(AND(INDIRECT(A73&amp;ROW())=B95,INDIRECT(A96&amp;ROW())=C96),1,0))</f>
        <v>0</v>
      </c>
      <c r="K631">
        <f ca="1">DAYS360(INDIRECT(C68&amp;ROW()),TODAY())</f>
        <v>691</v>
      </c>
      <c r="L631">
        <f ca="1">DAYS360(INDIRECT(C69&amp;ROW()),TODAY())</f>
        <v>695</v>
      </c>
      <c r="M631">
        <f ca="1">HYPERLINK(CONCATENATE("https://bugzilla.houston.hp.com:1181/bugzilla/show_bug.cgi?id=",INDIRECT(C70&amp;ROW())),INDIRECT(C70&amp;ROW()))</f>
        <v>63011</v>
      </c>
      <c r="N631">
        <v>63011</v>
      </c>
      <c r="O631" t="s">
        <v>66</v>
      </c>
      <c r="P631" t="s">
        <v>1107</v>
      </c>
      <c r="Q631" t="s">
        <v>39</v>
      </c>
      <c r="R631" t="s">
        <v>579</v>
      </c>
      <c r="S631" t="s">
        <v>552</v>
      </c>
      <c r="U631" s="6">
        <v>42156.076863425929</v>
      </c>
      <c r="V631" t="s">
        <v>18</v>
      </c>
      <c r="W631" t="s">
        <v>783</v>
      </c>
      <c r="X631" s="6">
        <v>42151.016956018517</v>
      </c>
      <c r="Y631" t="s">
        <v>119</v>
      </c>
      <c r="AB631" t="s">
        <v>199</v>
      </c>
      <c r="AC631" t="s">
        <v>247</v>
      </c>
      <c r="AD631" t="s">
        <v>220</v>
      </c>
      <c r="AE631" t="s">
        <v>219</v>
      </c>
      <c r="AG631" t="s">
        <v>121</v>
      </c>
      <c r="AH631" t="s">
        <v>327</v>
      </c>
      <c r="AI631" t="s">
        <v>121</v>
      </c>
      <c r="AJ631" t="s">
        <v>715</v>
      </c>
      <c r="AK631" t="s">
        <v>121</v>
      </c>
    </row>
    <row r="632" spans="9:37" x14ac:dyDescent="0.3">
      <c r="I632">
        <f ca="1">IF(OR(INDIRECT(A73&amp;ROW())=B93,INDIRECT(A73&amp;ROW())=B94),1,IF(AND(INDIRECT(A73&amp;ROW())=B95,INDIRECT(A96&amp;ROW())=C93),1,IF(AND(INDIRECT(A73&amp;ROW())=B95,INDIRECT(A96&amp;ROW())=C94),1,0)))</f>
        <v>1</v>
      </c>
      <c r="J632">
        <f ca="1">IF(AND(INDIRECT(A73&amp;ROW())=B95,INDIRECT(A96&amp;ROW())=C95),1,IF(AND(INDIRECT(A73&amp;ROW())=B95,INDIRECT(A96&amp;ROW())=C96),1,0))</f>
        <v>0</v>
      </c>
      <c r="K632">
        <f ca="1">DAYS360(INDIRECT(C68&amp;ROW()),TODAY())</f>
        <v>690</v>
      </c>
      <c r="L632">
        <f ca="1">DAYS360(INDIRECT(C69&amp;ROW()),TODAY())</f>
        <v>695</v>
      </c>
      <c r="M632">
        <f ca="1">HYPERLINK(CONCATENATE("https://bugzilla.houston.hp.com:1181/bugzilla/show_bug.cgi?id=",INDIRECT(C70&amp;ROW())),INDIRECT(C70&amp;ROW()))</f>
        <v>63012</v>
      </c>
      <c r="N632">
        <v>63012</v>
      </c>
      <c r="O632" t="s">
        <v>66</v>
      </c>
      <c r="P632" t="s">
        <v>1198</v>
      </c>
      <c r="Q632" t="s">
        <v>39</v>
      </c>
      <c r="R632" t="s">
        <v>783</v>
      </c>
      <c r="S632" t="s">
        <v>552</v>
      </c>
      <c r="T632" t="s">
        <v>1157</v>
      </c>
      <c r="U632" s="6">
        <v>42157.965543981481</v>
      </c>
      <c r="V632" t="s">
        <v>18</v>
      </c>
      <c r="W632" t="s">
        <v>783</v>
      </c>
      <c r="X632" s="6">
        <v>42151.01703703704</v>
      </c>
      <c r="Y632" t="s">
        <v>119</v>
      </c>
      <c r="AB632" t="s">
        <v>199</v>
      </c>
      <c r="AC632" t="s">
        <v>247</v>
      </c>
      <c r="AD632" t="s">
        <v>220</v>
      </c>
      <c r="AE632" t="s">
        <v>219</v>
      </c>
      <c r="AG632" t="s">
        <v>121</v>
      </c>
      <c r="AH632" t="s">
        <v>327</v>
      </c>
      <c r="AI632" t="s">
        <v>121</v>
      </c>
      <c r="AJ632" t="s">
        <v>715</v>
      </c>
      <c r="AK632" t="s">
        <v>121</v>
      </c>
    </row>
    <row r="633" spans="9:37" x14ac:dyDescent="0.3">
      <c r="I633">
        <f ca="1">IF(OR(INDIRECT(A73&amp;ROW())=B93,INDIRECT(A73&amp;ROW())=B94),1,IF(AND(INDIRECT(A73&amp;ROW())=B95,INDIRECT(A96&amp;ROW())=C93),1,IF(AND(INDIRECT(A73&amp;ROW())=B95,INDIRECT(A96&amp;ROW())=C94),1,0)))</f>
        <v>1</v>
      </c>
      <c r="J633">
        <f ca="1">IF(AND(INDIRECT(A73&amp;ROW())=B95,INDIRECT(A96&amp;ROW())=C95),1,IF(AND(INDIRECT(A73&amp;ROW())=B95,INDIRECT(A96&amp;ROW())=C96),1,0))</f>
        <v>0</v>
      </c>
      <c r="K633">
        <f ca="1">DAYS360(INDIRECT(C68&amp;ROW()),TODAY())</f>
        <v>695</v>
      </c>
      <c r="L633">
        <f ca="1">DAYS360(INDIRECT(C69&amp;ROW()),TODAY())</f>
        <v>695</v>
      </c>
      <c r="M633">
        <f ca="1">HYPERLINK(CONCATENATE("https://bugzilla.houston.hp.com:1181/bugzilla/show_bug.cgi?id=",INDIRECT(C70&amp;ROW())),INDIRECT(C70&amp;ROW()))</f>
        <v>63013</v>
      </c>
      <c r="N633">
        <v>63013</v>
      </c>
      <c r="O633" t="s">
        <v>56</v>
      </c>
      <c r="P633" t="s">
        <v>1105</v>
      </c>
      <c r="Q633" t="s">
        <v>39</v>
      </c>
      <c r="R633" t="s">
        <v>248</v>
      </c>
      <c r="S633" t="s">
        <v>552</v>
      </c>
      <c r="U633" s="6">
        <v>42151.356874999998</v>
      </c>
      <c r="V633" t="s">
        <v>18</v>
      </c>
      <c r="W633" t="s">
        <v>783</v>
      </c>
      <c r="X633" s="6">
        <v>42151.017129629632</v>
      </c>
      <c r="Y633" t="s">
        <v>119</v>
      </c>
      <c r="AB633" t="s">
        <v>199</v>
      </c>
      <c r="AC633" t="s">
        <v>247</v>
      </c>
      <c r="AD633" t="s">
        <v>220</v>
      </c>
      <c r="AE633" t="s">
        <v>219</v>
      </c>
      <c r="AG633" t="s">
        <v>121</v>
      </c>
      <c r="AH633" t="s">
        <v>327</v>
      </c>
      <c r="AI633" t="s">
        <v>121</v>
      </c>
      <c r="AJ633" t="s">
        <v>715</v>
      </c>
      <c r="AK633" t="s">
        <v>121</v>
      </c>
    </row>
    <row r="634" spans="9:37" x14ac:dyDescent="0.3">
      <c r="I634">
        <f ca="1">IF(OR(INDIRECT(A73&amp;ROW())=B93,INDIRECT(A73&amp;ROW())=B94),1,IF(AND(INDIRECT(A73&amp;ROW())=B95,INDIRECT(A96&amp;ROW())=C93),1,IF(AND(INDIRECT(A73&amp;ROW())=B95,INDIRECT(A96&amp;ROW())=C94),1,0)))</f>
        <v>1</v>
      </c>
      <c r="J634">
        <f ca="1">IF(AND(INDIRECT(A73&amp;ROW())=B95,INDIRECT(A96&amp;ROW())=C95),1,IF(AND(INDIRECT(A73&amp;ROW())=B95,INDIRECT(A96&amp;ROW())=C96),1,0))</f>
        <v>0</v>
      </c>
      <c r="K634">
        <f ca="1">DAYS360(INDIRECT(C68&amp;ROW()),TODAY())</f>
        <v>690</v>
      </c>
      <c r="L634">
        <f ca="1">DAYS360(INDIRECT(C69&amp;ROW()),TODAY())</f>
        <v>694</v>
      </c>
      <c r="M634">
        <f ca="1">HYPERLINK(CONCATENATE("https://bugzilla.houston.hp.com:1181/bugzilla/show_bug.cgi?id=",INDIRECT(C70&amp;ROW())),INDIRECT(C70&amp;ROW()))</f>
        <v>63097</v>
      </c>
      <c r="N634">
        <v>63097</v>
      </c>
      <c r="O634" t="s">
        <v>21</v>
      </c>
      <c r="P634" t="s">
        <v>1127</v>
      </c>
      <c r="Q634" t="s">
        <v>25</v>
      </c>
      <c r="R634" t="s">
        <v>783</v>
      </c>
      <c r="S634" t="s">
        <v>552</v>
      </c>
      <c r="T634" t="s">
        <v>1158</v>
      </c>
      <c r="U634" s="6">
        <v>42157.921701388892</v>
      </c>
      <c r="V634" t="s">
        <v>18</v>
      </c>
      <c r="W634" t="s">
        <v>783</v>
      </c>
      <c r="X634" s="6">
        <v>42152.296724537038</v>
      </c>
      <c r="Y634" t="s">
        <v>119</v>
      </c>
      <c r="AB634" t="s">
        <v>200</v>
      </c>
      <c r="AC634" t="s">
        <v>247</v>
      </c>
      <c r="AD634" t="s">
        <v>222</v>
      </c>
      <c r="AE634" t="s">
        <v>225</v>
      </c>
      <c r="AG634" t="s">
        <v>121</v>
      </c>
      <c r="AH634" t="s">
        <v>327</v>
      </c>
      <c r="AI634" t="s">
        <v>121</v>
      </c>
      <c r="AJ634" t="s">
        <v>715</v>
      </c>
      <c r="AK634" t="s">
        <v>121</v>
      </c>
    </row>
    <row r="635" spans="9:37" x14ac:dyDescent="0.3">
      <c r="I635">
        <f ca="1">IF(OR(INDIRECT(A73&amp;ROW())=B93,INDIRECT(A73&amp;ROW())=B94),1,IF(AND(INDIRECT(A73&amp;ROW())=B95,INDIRECT(A96&amp;ROW())=C93),1,IF(AND(INDIRECT(A73&amp;ROW())=B95,INDIRECT(A96&amp;ROW())=C94),1,0)))</f>
        <v>1</v>
      </c>
      <c r="J635">
        <f ca="1">IF(AND(INDIRECT(A73&amp;ROW())=B95,INDIRECT(A96&amp;ROW())=C95),1,IF(AND(INDIRECT(A73&amp;ROW())=B95,INDIRECT(A96&amp;ROW())=C96),1,0))</f>
        <v>0</v>
      </c>
      <c r="K635">
        <f ca="1">DAYS360(INDIRECT(C68&amp;ROW()),TODAY())</f>
        <v>694</v>
      </c>
      <c r="L635">
        <f ca="1">DAYS360(INDIRECT(C69&amp;ROW()),TODAY())</f>
        <v>694</v>
      </c>
      <c r="M635">
        <f ca="1">HYPERLINK(CONCATENATE("https://bugzilla.houston.hp.com:1181/bugzilla/show_bug.cgi?id=",INDIRECT(C70&amp;ROW())),INDIRECT(C70&amp;ROW()))</f>
        <v>63098</v>
      </c>
      <c r="N635">
        <v>63098</v>
      </c>
      <c r="O635" t="s">
        <v>21</v>
      </c>
      <c r="P635" t="s">
        <v>1126</v>
      </c>
      <c r="Q635" t="s">
        <v>25</v>
      </c>
      <c r="R635" t="s">
        <v>248</v>
      </c>
      <c r="S635" t="s">
        <v>552</v>
      </c>
      <c r="U635" s="6">
        <v>42152.296817129631</v>
      </c>
      <c r="V635" t="s">
        <v>18</v>
      </c>
      <c r="W635" t="s">
        <v>783</v>
      </c>
      <c r="X635" s="6">
        <v>42152.296817129631</v>
      </c>
      <c r="Y635" t="s">
        <v>119</v>
      </c>
      <c r="AB635" t="s">
        <v>200</v>
      </c>
      <c r="AC635" t="s">
        <v>247</v>
      </c>
      <c r="AD635" t="s">
        <v>222</v>
      </c>
      <c r="AE635" t="s">
        <v>225</v>
      </c>
      <c r="AG635" t="s">
        <v>121</v>
      </c>
      <c r="AH635" t="s">
        <v>327</v>
      </c>
      <c r="AI635" t="s">
        <v>121</v>
      </c>
      <c r="AJ635" t="s">
        <v>715</v>
      </c>
      <c r="AK635" t="s">
        <v>121</v>
      </c>
    </row>
    <row r="636" spans="9:37" x14ac:dyDescent="0.3">
      <c r="I636">
        <f ca="1">IF(OR(INDIRECT(A73&amp;ROW())=B93,INDIRECT(A73&amp;ROW())=B94),1,IF(AND(INDIRECT(A73&amp;ROW())=B95,INDIRECT(A96&amp;ROW())=C93),1,IF(AND(INDIRECT(A73&amp;ROW())=B95,INDIRECT(A96&amp;ROW())=C94),1,0)))</f>
        <v>1</v>
      </c>
      <c r="J636">
        <f ca="1">IF(AND(INDIRECT(A73&amp;ROW())=B95,INDIRECT(A96&amp;ROW())=C95),1,IF(AND(INDIRECT(A73&amp;ROW())=B95,INDIRECT(A96&amp;ROW())=C96),1,0))</f>
        <v>0</v>
      </c>
      <c r="K636">
        <f ca="1">DAYS360(INDIRECT(C68&amp;ROW()),TODAY())</f>
        <v>694</v>
      </c>
      <c r="L636">
        <f ca="1">DAYS360(INDIRECT(C69&amp;ROW()),TODAY())</f>
        <v>694</v>
      </c>
      <c r="M636">
        <f ca="1">HYPERLINK(CONCATENATE("https://bugzilla.houston.hp.com:1181/bugzilla/show_bug.cgi?id=",INDIRECT(C70&amp;ROW())),INDIRECT(C70&amp;ROW()))</f>
        <v>63100</v>
      </c>
      <c r="N636">
        <v>63100</v>
      </c>
      <c r="O636" t="s">
        <v>22</v>
      </c>
      <c r="P636" t="s">
        <v>1125</v>
      </c>
      <c r="Q636" t="s">
        <v>39</v>
      </c>
      <c r="R636" t="s">
        <v>248</v>
      </c>
      <c r="S636" t="s">
        <v>552</v>
      </c>
      <c r="U636" s="6">
        <v>42152.329837962963</v>
      </c>
      <c r="V636" t="s">
        <v>18</v>
      </c>
      <c r="W636" t="s">
        <v>248</v>
      </c>
      <c r="X636" s="6">
        <v>42152.329837962963</v>
      </c>
      <c r="Y636" t="s">
        <v>793</v>
      </c>
      <c r="AB636" t="s">
        <v>199</v>
      </c>
      <c r="AC636" t="s">
        <v>1124</v>
      </c>
      <c r="AD636" t="s">
        <v>222</v>
      </c>
      <c r="AE636" t="s">
        <v>221</v>
      </c>
      <c r="AG636" t="s">
        <v>121</v>
      </c>
      <c r="AH636" t="s">
        <v>327</v>
      </c>
      <c r="AI636" t="s">
        <v>121</v>
      </c>
      <c r="AJ636" t="s">
        <v>715</v>
      </c>
      <c r="AK636" t="s">
        <v>121</v>
      </c>
    </row>
    <row r="637" spans="9:37" x14ac:dyDescent="0.3">
      <c r="I637">
        <f ca="1">IF(OR(INDIRECT(A73&amp;ROW())=B93,INDIRECT(A73&amp;ROW())=B94),1,IF(AND(INDIRECT(A73&amp;ROW())=B95,INDIRECT(A96&amp;ROW())=C93),1,IF(AND(INDIRECT(A73&amp;ROW())=B95,INDIRECT(A96&amp;ROW())=C94),1,0)))</f>
        <v>0</v>
      </c>
      <c r="J637">
        <f ca="1">IF(AND(INDIRECT(A73&amp;ROW())=B95,INDIRECT(A96&amp;ROW())=C95),1,IF(AND(INDIRECT(A73&amp;ROW())=B95,INDIRECT(A96&amp;ROW())=C96),1,0))</f>
        <v>1</v>
      </c>
      <c r="K637">
        <f ca="1">DAYS360(INDIRECT(C68&amp;ROW()),TODAY())</f>
        <v>691</v>
      </c>
      <c r="L637">
        <f ca="1">DAYS360(INDIRECT(C69&amp;ROW()),TODAY())</f>
        <v>694</v>
      </c>
      <c r="M637">
        <f ca="1">HYPERLINK(CONCATENATE("https://bugzilla.houston.hp.com:1181/bugzilla/show_bug.cgi?id=",INDIRECT(C70&amp;ROW())),INDIRECT(C70&amp;ROW()))</f>
        <v>63109</v>
      </c>
      <c r="N637">
        <v>63109</v>
      </c>
      <c r="O637" t="s">
        <v>45</v>
      </c>
      <c r="P637" t="s">
        <v>1130</v>
      </c>
      <c r="Q637" t="s">
        <v>25</v>
      </c>
      <c r="R637" t="s">
        <v>579</v>
      </c>
      <c r="S637" t="s">
        <v>552</v>
      </c>
      <c r="T637" t="s">
        <v>48</v>
      </c>
      <c r="U637" s="6">
        <v>42156.592118055552</v>
      </c>
      <c r="V637" t="s">
        <v>18</v>
      </c>
      <c r="W637" t="s">
        <v>248</v>
      </c>
      <c r="X637" s="6">
        <v>42152.419120370374</v>
      </c>
      <c r="Y637" t="s">
        <v>792</v>
      </c>
      <c r="AB637" t="s">
        <v>201</v>
      </c>
      <c r="AC637" t="s">
        <v>247</v>
      </c>
      <c r="AD637" t="s">
        <v>220</v>
      </c>
      <c r="AE637" t="s">
        <v>219</v>
      </c>
      <c r="AG637" t="s">
        <v>121</v>
      </c>
      <c r="AH637" t="s">
        <v>327</v>
      </c>
      <c r="AI637" t="s">
        <v>121</v>
      </c>
      <c r="AJ637" t="s">
        <v>716</v>
      </c>
      <c r="AK637" t="s">
        <v>121</v>
      </c>
    </row>
    <row r="638" spans="9:37" x14ac:dyDescent="0.3">
      <c r="I638">
        <f ca="1">IF(OR(INDIRECT(A73&amp;ROW())=B93,INDIRECT(A73&amp;ROW())=B94),1,IF(AND(INDIRECT(A73&amp;ROW())=B95,INDIRECT(A96&amp;ROW())=C93),1,IF(AND(INDIRECT(A73&amp;ROW())=B95,INDIRECT(A96&amp;ROW())=C94),1,0)))</f>
        <v>1</v>
      </c>
      <c r="J638">
        <f ca="1">IF(AND(INDIRECT(A73&amp;ROW())=B95,INDIRECT(A96&amp;ROW())=C95),1,IF(AND(INDIRECT(A73&amp;ROW())=B95,INDIRECT(A96&amp;ROW())=C96),1,0))</f>
        <v>0</v>
      </c>
      <c r="K638">
        <f ca="1">DAYS360(INDIRECT(C68&amp;ROW()),TODAY())</f>
        <v>691</v>
      </c>
      <c r="L638">
        <f ca="1">DAYS360(INDIRECT(C69&amp;ROW()),TODAY())</f>
        <v>693</v>
      </c>
      <c r="M638">
        <f ca="1">HYPERLINK(CONCATENATE("https://bugzilla.houston.hp.com:1181/bugzilla/show_bug.cgi?id=",INDIRECT(C70&amp;ROW())),INDIRECT(C70&amp;ROW()))</f>
        <v>63161</v>
      </c>
      <c r="N638">
        <v>63161</v>
      </c>
      <c r="O638" t="s">
        <v>36</v>
      </c>
      <c r="P638" t="s">
        <v>1148</v>
      </c>
      <c r="Q638" t="s">
        <v>39</v>
      </c>
      <c r="R638" t="s">
        <v>251</v>
      </c>
      <c r="S638" t="s">
        <v>24</v>
      </c>
      <c r="U638" s="6">
        <v>42156.589571759258</v>
      </c>
      <c r="V638" t="s">
        <v>18</v>
      </c>
      <c r="W638" t="s">
        <v>783</v>
      </c>
      <c r="X638" s="6">
        <v>42153.347361111111</v>
      </c>
      <c r="Y638" t="s">
        <v>119</v>
      </c>
      <c r="AB638" t="s">
        <v>201</v>
      </c>
      <c r="AC638" t="s">
        <v>247</v>
      </c>
      <c r="AD638" t="s">
        <v>220</v>
      </c>
      <c r="AE638" t="s">
        <v>224</v>
      </c>
      <c r="AG638" t="s">
        <v>121</v>
      </c>
      <c r="AH638" t="s">
        <v>327</v>
      </c>
      <c r="AI638" t="s">
        <v>121</v>
      </c>
      <c r="AJ638" t="s">
        <v>715</v>
      </c>
      <c r="AK638" t="s">
        <v>121</v>
      </c>
    </row>
    <row r="639" spans="9:37" x14ac:dyDescent="0.3">
      <c r="I639">
        <f ca="1">IF(OR(INDIRECT(A73&amp;ROW())=B93,INDIRECT(A73&amp;ROW())=B94),1,IF(AND(INDIRECT(A73&amp;ROW())=B95,INDIRECT(A96&amp;ROW())=C93),1,IF(AND(INDIRECT(A73&amp;ROW())=B95,INDIRECT(A96&amp;ROW())=C94),1,0)))</f>
        <v>0</v>
      </c>
      <c r="J639">
        <f ca="1">IF(AND(INDIRECT(A73&amp;ROW())=B95,INDIRECT(A96&amp;ROW())=C95),1,IF(AND(INDIRECT(A73&amp;ROW())=B95,INDIRECT(A96&amp;ROW())=C96),1,0))</f>
        <v>1</v>
      </c>
      <c r="K639">
        <f ca="1">DAYS360(INDIRECT(C68&amp;ROW()),TODAY())</f>
        <v>691</v>
      </c>
      <c r="L639">
        <f ca="1">DAYS360(INDIRECT(C69&amp;ROW()),TODAY())</f>
        <v>693</v>
      </c>
      <c r="M639">
        <f ca="1">HYPERLINK(CONCATENATE("https://bugzilla.houston.hp.com:1181/bugzilla/show_bug.cgi?id=",INDIRECT(C70&amp;ROW())),INDIRECT(C70&amp;ROW()))</f>
        <v>63164</v>
      </c>
      <c r="N639">
        <v>63164</v>
      </c>
      <c r="O639" t="s">
        <v>36</v>
      </c>
      <c r="P639" t="s">
        <v>1147</v>
      </c>
      <c r="Q639" t="s">
        <v>25</v>
      </c>
      <c r="R639" t="s">
        <v>251</v>
      </c>
      <c r="S639" t="s">
        <v>24</v>
      </c>
      <c r="U639" s="6">
        <v>42156.589259259257</v>
      </c>
      <c r="V639" t="s">
        <v>18</v>
      </c>
      <c r="W639" t="s">
        <v>783</v>
      </c>
      <c r="X639" s="6">
        <v>42153.384872685187</v>
      </c>
      <c r="Y639" t="s">
        <v>119</v>
      </c>
      <c r="AB639" t="s">
        <v>201</v>
      </c>
      <c r="AC639" t="s">
        <v>247</v>
      </c>
      <c r="AD639" t="s">
        <v>222</v>
      </c>
      <c r="AE639" t="s">
        <v>225</v>
      </c>
      <c r="AG639" t="s">
        <v>121</v>
      </c>
      <c r="AH639" t="s">
        <v>327</v>
      </c>
      <c r="AI639" t="s">
        <v>121</v>
      </c>
      <c r="AJ639" t="s">
        <v>716</v>
      </c>
      <c r="AK639" t="s">
        <v>121</v>
      </c>
    </row>
    <row r="640" spans="9:37" x14ac:dyDescent="0.3">
      <c r="I640">
        <f ca="1">IF(OR(INDIRECT(A73&amp;ROW())=B93,INDIRECT(A73&amp;ROW())=B94),1,IF(AND(INDIRECT(A73&amp;ROW())=B95,INDIRECT(A96&amp;ROW())=C93),1,IF(AND(INDIRECT(A73&amp;ROW())=B95,INDIRECT(A96&amp;ROW())=C94),1,0)))</f>
        <v>0</v>
      </c>
      <c r="J640">
        <f ca="1">IF(AND(INDIRECT(A73&amp;ROW())=B95,INDIRECT(A96&amp;ROW())=C95),1,IF(AND(INDIRECT(A73&amp;ROW())=B95,INDIRECT(A96&amp;ROW())=C96),1,0))</f>
        <v>0</v>
      </c>
      <c r="K640">
        <f ca="1">DAYS360(INDIRECT(C68&amp;ROW()),TODAY())</f>
        <v>693</v>
      </c>
      <c r="L640">
        <f ca="1">DAYS360(INDIRECT(C69&amp;ROW()),TODAY())</f>
        <v>693</v>
      </c>
      <c r="M640">
        <f ca="1">HYPERLINK(CONCATENATE("https://bugzilla.houston.hp.com:1181/bugzilla/show_bug.cgi?id=",INDIRECT(C70&amp;ROW())),INDIRECT(C70&amp;ROW()))</f>
        <v>63165</v>
      </c>
      <c r="N640">
        <v>63165</v>
      </c>
      <c r="O640" t="s">
        <v>56</v>
      </c>
      <c r="P640" t="s">
        <v>1146</v>
      </c>
      <c r="Q640" t="s">
        <v>16</v>
      </c>
      <c r="R640" t="s">
        <v>248</v>
      </c>
      <c r="S640" t="s">
        <v>204</v>
      </c>
      <c r="U640" s="6">
        <v>42153.414699074077</v>
      </c>
      <c r="V640" t="s">
        <v>18</v>
      </c>
      <c r="W640" t="s">
        <v>248</v>
      </c>
      <c r="X640" s="6">
        <v>42153.396770833337</v>
      </c>
      <c r="Y640" t="s">
        <v>788</v>
      </c>
      <c r="AB640" t="s">
        <v>201</v>
      </c>
      <c r="AC640" t="s">
        <v>247</v>
      </c>
      <c r="AD640" t="s">
        <v>220</v>
      </c>
      <c r="AE640" t="s">
        <v>219</v>
      </c>
      <c r="AG640" t="s">
        <v>121</v>
      </c>
      <c r="AH640" t="s">
        <v>327</v>
      </c>
      <c r="AI640" t="s">
        <v>121</v>
      </c>
      <c r="AJ640" t="s">
        <v>717</v>
      </c>
      <c r="AK640" t="s">
        <v>121</v>
      </c>
    </row>
    <row r="641" spans="9:37" x14ac:dyDescent="0.3">
      <c r="I641">
        <f ca="1">IF(OR(INDIRECT(A73&amp;ROW())=B93,INDIRECT(A73&amp;ROW())=B94),1,IF(AND(INDIRECT(A73&amp;ROW())=B95,INDIRECT(A96&amp;ROW())=C93),1,IF(AND(INDIRECT(A73&amp;ROW())=B95,INDIRECT(A96&amp;ROW())=C94),1,0)))</f>
        <v>1</v>
      </c>
      <c r="J641">
        <f ca="1">IF(AND(INDIRECT(A73&amp;ROW())=B95,INDIRECT(A96&amp;ROW())=C95),1,IF(AND(INDIRECT(A73&amp;ROW())=B95,INDIRECT(A96&amp;ROW())=C96),1,0))</f>
        <v>0</v>
      </c>
      <c r="K641">
        <f ca="1">DAYS360(INDIRECT(C68&amp;ROW()),TODAY())</f>
        <v>693</v>
      </c>
      <c r="L641">
        <f ca="1">DAYS360(INDIRECT(C69&amp;ROW()),TODAY())</f>
        <v>693</v>
      </c>
      <c r="M641">
        <f ca="1">HYPERLINK(CONCATENATE("https://bugzilla.houston.hp.com:1181/bugzilla/show_bug.cgi?id=",INDIRECT(C70&amp;ROW())),INDIRECT(C70&amp;ROW()))</f>
        <v>63170</v>
      </c>
      <c r="N641">
        <v>63170</v>
      </c>
      <c r="O641" t="s">
        <v>66</v>
      </c>
      <c r="P641" t="s">
        <v>1145</v>
      </c>
      <c r="Q641" t="s">
        <v>39</v>
      </c>
      <c r="R641" t="s">
        <v>579</v>
      </c>
      <c r="S641" t="s">
        <v>552</v>
      </c>
      <c r="U641" s="6">
        <v>42153.420277777775</v>
      </c>
      <c r="V641" t="s">
        <v>18</v>
      </c>
      <c r="W641" t="s">
        <v>783</v>
      </c>
      <c r="X641" s="6">
        <v>42153.40253472222</v>
      </c>
      <c r="Y641" t="s">
        <v>119</v>
      </c>
      <c r="AB641" t="s">
        <v>201</v>
      </c>
      <c r="AC641" t="s">
        <v>247</v>
      </c>
      <c r="AD641" t="s">
        <v>220</v>
      </c>
      <c r="AE641" t="s">
        <v>224</v>
      </c>
      <c r="AG641" t="s">
        <v>121</v>
      </c>
      <c r="AH641" t="s">
        <v>327</v>
      </c>
      <c r="AI641" t="s">
        <v>121</v>
      </c>
      <c r="AJ641" t="s">
        <v>715</v>
      </c>
      <c r="AK641" t="s">
        <v>121</v>
      </c>
    </row>
    <row r="642" spans="9:37" x14ac:dyDescent="0.3">
      <c r="I642">
        <f ca="1">IF(OR(INDIRECT(A73&amp;ROW())=B93,INDIRECT(A73&amp;ROW())=B94),1,IF(AND(INDIRECT(A73&amp;ROW())=B95,INDIRECT(A96&amp;ROW())=C93),1,IF(AND(INDIRECT(A73&amp;ROW())=B95,INDIRECT(A96&amp;ROW())=C94),1,0)))</f>
        <v>1</v>
      </c>
      <c r="J642">
        <f ca="1">IF(AND(INDIRECT(A73&amp;ROW())=B95,INDIRECT(A96&amp;ROW())=C95),1,IF(AND(INDIRECT(A73&amp;ROW())=B95,INDIRECT(A96&amp;ROW())=C96),1,0))</f>
        <v>0</v>
      </c>
      <c r="K642">
        <f ca="1">DAYS360(INDIRECT(C68&amp;ROW()),TODAY())</f>
        <v>691</v>
      </c>
      <c r="L642">
        <f ca="1">DAYS360(INDIRECT(C69&amp;ROW()),TODAY())</f>
        <v>693</v>
      </c>
      <c r="M642">
        <f ca="1">HYPERLINK(CONCATENATE("https://bugzilla.houston.hp.com:1181/bugzilla/show_bug.cgi?id=",INDIRECT(C70&amp;ROW())),INDIRECT(C70&amp;ROW()))</f>
        <v>63171</v>
      </c>
      <c r="N642">
        <v>63171</v>
      </c>
      <c r="O642" t="s">
        <v>66</v>
      </c>
      <c r="P642" t="s">
        <v>1144</v>
      </c>
      <c r="Q642" t="s">
        <v>39</v>
      </c>
      <c r="R642" t="s">
        <v>783</v>
      </c>
      <c r="S642" t="s">
        <v>552</v>
      </c>
      <c r="U642" s="6">
        <v>42156.588113425925</v>
      </c>
      <c r="V642" t="s">
        <v>18</v>
      </c>
      <c r="W642" t="s">
        <v>783</v>
      </c>
      <c r="X642" s="6">
        <v>42153.402592592596</v>
      </c>
      <c r="Y642" t="s">
        <v>119</v>
      </c>
      <c r="AB642" t="s">
        <v>201</v>
      </c>
      <c r="AC642" t="s">
        <v>247</v>
      </c>
      <c r="AD642" t="s">
        <v>220</v>
      </c>
      <c r="AE642" t="s">
        <v>224</v>
      </c>
      <c r="AG642" t="s">
        <v>588</v>
      </c>
      <c r="AH642" t="s">
        <v>327</v>
      </c>
      <c r="AI642" t="s">
        <v>121</v>
      </c>
      <c r="AJ642" t="s">
        <v>715</v>
      </c>
      <c r="AK642" t="s">
        <v>1098</v>
      </c>
    </row>
    <row r="643" spans="9:37" x14ac:dyDescent="0.3">
      <c r="I643">
        <f ca="1">IF(OR(INDIRECT(A73&amp;ROW())=B93,INDIRECT(A73&amp;ROW())=B94),1,IF(AND(INDIRECT(A73&amp;ROW())=B95,INDIRECT(A96&amp;ROW())=C93),1,IF(AND(INDIRECT(A73&amp;ROW())=B95,INDIRECT(A96&amp;ROW())=C94),1,0)))</f>
        <v>1</v>
      </c>
      <c r="J643">
        <f ca="1">IF(AND(INDIRECT(A73&amp;ROW())=B95,INDIRECT(A96&amp;ROW())=C95),1,IF(AND(INDIRECT(A73&amp;ROW())=B95,INDIRECT(A96&amp;ROW())=C96),1,0))</f>
        <v>0</v>
      </c>
      <c r="K643">
        <f ca="1">DAYS360(INDIRECT(C68&amp;ROW()),TODAY())</f>
        <v>693</v>
      </c>
      <c r="L643">
        <f ca="1">DAYS360(INDIRECT(C69&amp;ROW()),TODAY())</f>
        <v>693</v>
      </c>
      <c r="M643">
        <f ca="1">HYPERLINK(CONCATENATE("https://bugzilla.houston.hp.com:1181/bugzilla/show_bug.cgi?id=",INDIRECT(C70&amp;ROW())),INDIRECT(C70&amp;ROW()))</f>
        <v>63172</v>
      </c>
      <c r="N643">
        <v>63172</v>
      </c>
      <c r="O643" t="s">
        <v>66</v>
      </c>
      <c r="P643" t="s">
        <v>1143</v>
      </c>
      <c r="Q643" t="s">
        <v>39</v>
      </c>
      <c r="R643" t="s">
        <v>248</v>
      </c>
      <c r="S643" t="s">
        <v>552</v>
      </c>
      <c r="U643" s="6">
        <v>42153.420254629629</v>
      </c>
      <c r="V643" t="s">
        <v>18</v>
      </c>
      <c r="W643" t="s">
        <v>783</v>
      </c>
      <c r="X643" s="6">
        <v>42153.402638888889</v>
      </c>
      <c r="Y643" t="s">
        <v>119</v>
      </c>
      <c r="AB643" t="s">
        <v>201</v>
      </c>
      <c r="AC643" t="s">
        <v>247</v>
      </c>
      <c r="AD643" t="s">
        <v>220</v>
      </c>
      <c r="AE643" t="s">
        <v>224</v>
      </c>
      <c r="AG643" t="s">
        <v>121</v>
      </c>
      <c r="AH643" t="s">
        <v>327</v>
      </c>
      <c r="AI643" t="s">
        <v>121</v>
      </c>
      <c r="AJ643" t="s">
        <v>715</v>
      </c>
      <c r="AK643" t="s">
        <v>121</v>
      </c>
    </row>
    <row r="644" spans="9:37" x14ac:dyDescent="0.3">
      <c r="I644">
        <f ca="1">IF(OR(INDIRECT(A73&amp;ROW())=B93,INDIRECT(A73&amp;ROW())=B94),1,IF(AND(INDIRECT(A73&amp;ROW())=B95,INDIRECT(A96&amp;ROW())=C93),1,IF(AND(INDIRECT(A73&amp;ROW())=B95,INDIRECT(A96&amp;ROW())=C94),1,0)))</f>
        <v>0</v>
      </c>
      <c r="J644">
        <f ca="1">IF(AND(INDIRECT(A73&amp;ROW())=B95,INDIRECT(A96&amp;ROW())=C95),1,IF(AND(INDIRECT(A73&amp;ROW())=B95,INDIRECT(A96&amp;ROW())=C96),1,0))</f>
        <v>1</v>
      </c>
      <c r="K644">
        <f ca="1">DAYS360(INDIRECT(C68&amp;ROW()),TODAY())</f>
        <v>693</v>
      </c>
      <c r="L644">
        <f ca="1">DAYS360(INDIRECT(C69&amp;ROW()),TODAY())</f>
        <v>693</v>
      </c>
      <c r="M644">
        <f ca="1">HYPERLINK(CONCATENATE("https://bugzilla.houston.hp.com:1181/bugzilla/show_bug.cgi?id=",INDIRECT(C70&amp;ROW())),INDIRECT(C70&amp;ROW()))</f>
        <v>63173</v>
      </c>
      <c r="N644">
        <v>63173</v>
      </c>
      <c r="O644" t="s">
        <v>66</v>
      </c>
      <c r="P644" t="s">
        <v>1142</v>
      </c>
      <c r="Q644" t="s">
        <v>25</v>
      </c>
      <c r="R644" t="s">
        <v>579</v>
      </c>
      <c r="S644" t="s">
        <v>552</v>
      </c>
      <c r="U644" s="6">
        <v>42153.420266203706</v>
      </c>
      <c r="V644" t="s">
        <v>18</v>
      </c>
      <c r="W644" t="s">
        <v>783</v>
      </c>
      <c r="X644" s="6">
        <v>42153.402858796297</v>
      </c>
      <c r="Y644" t="s">
        <v>119</v>
      </c>
      <c r="AB644" t="s">
        <v>201</v>
      </c>
      <c r="AC644" t="s">
        <v>247</v>
      </c>
      <c r="AD644" t="s">
        <v>222</v>
      </c>
      <c r="AE644" t="s">
        <v>225</v>
      </c>
      <c r="AG644" t="s">
        <v>121</v>
      </c>
      <c r="AH644" t="s">
        <v>327</v>
      </c>
      <c r="AI644" t="s">
        <v>121</v>
      </c>
      <c r="AJ644" t="s">
        <v>716</v>
      </c>
      <c r="AK644" t="s">
        <v>121</v>
      </c>
    </row>
    <row r="645" spans="9:37" x14ac:dyDescent="0.3">
      <c r="I645">
        <f ca="1">IF(OR(INDIRECT(A73&amp;ROW())=B93,INDIRECT(A73&amp;ROW())=B94),1,IF(AND(INDIRECT(A73&amp;ROW())=B95,INDIRECT(A96&amp;ROW())=C93),1,IF(AND(INDIRECT(A73&amp;ROW())=B95,INDIRECT(A96&amp;ROW())=C94),1,0)))</f>
        <v>0</v>
      </c>
      <c r="J645">
        <f ca="1">IF(AND(INDIRECT(A73&amp;ROW())=B95,INDIRECT(A96&amp;ROW())=C95),1,IF(AND(INDIRECT(A73&amp;ROW())=B95,INDIRECT(A96&amp;ROW())=C96),1,0))</f>
        <v>1</v>
      </c>
      <c r="K645">
        <f ca="1">DAYS360(INDIRECT(C68&amp;ROW()),TODAY())</f>
        <v>693</v>
      </c>
      <c r="L645">
        <f ca="1">DAYS360(INDIRECT(C69&amp;ROW()),TODAY())</f>
        <v>693</v>
      </c>
      <c r="M645">
        <f ca="1">HYPERLINK(CONCATENATE("https://bugzilla.houston.hp.com:1181/bugzilla/show_bug.cgi?id=",INDIRECT(C70&amp;ROW())),INDIRECT(C70&amp;ROW()))</f>
        <v>63174</v>
      </c>
      <c r="N645">
        <v>63174</v>
      </c>
      <c r="O645" t="s">
        <v>66</v>
      </c>
      <c r="P645" t="s">
        <v>1141</v>
      </c>
      <c r="Q645" t="s">
        <v>25</v>
      </c>
      <c r="R645" t="s">
        <v>783</v>
      </c>
      <c r="S645" t="s">
        <v>552</v>
      </c>
      <c r="U645" s="6">
        <v>42153.420266203706</v>
      </c>
      <c r="V645" t="s">
        <v>18</v>
      </c>
      <c r="W645" t="s">
        <v>783</v>
      </c>
      <c r="X645" s="6">
        <v>42153.402905092589</v>
      </c>
      <c r="Y645" t="s">
        <v>119</v>
      </c>
      <c r="AB645" t="s">
        <v>201</v>
      </c>
      <c r="AC645" t="s">
        <v>247</v>
      </c>
      <c r="AD645" t="s">
        <v>222</v>
      </c>
      <c r="AE645" t="s">
        <v>225</v>
      </c>
      <c r="AG645" t="s">
        <v>121</v>
      </c>
      <c r="AH645" t="s">
        <v>327</v>
      </c>
      <c r="AI645" t="s">
        <v>121</v>
      </c>
      <c r="AJ645" t="s">
        <v>716</v>
      </c>
      <c r="AK645" t="s">
        <v>121</v>
      </c>
    </row>
    <row r="646" spans="9:37" x14ac:dyDescent="0.3">
      <c r="I646">
        <f ca="1">IF(OR(INDIRECT(A73&amp;ROW())=B93,INDIRECT(A73&amp;ROW())=B94),1,IF(AND(INDIRECT(A73&amp;ROW())=B95,INDIRECT(A96&amp;ROW())=C93),1,IF(AND(INDIRECT(A73&amp;ROW())=B95,INDIRECT(A96&amp;ROW())=C94),1,0)))</f>
        <v>0</v>
      </c>
      <c r="J646">
        <f ca="1">IF(AND(INDIRECT(A73&amp;ROW())=B95,INDIRECT(A96&amp;ROW())=C95),1,IF(AND(INDIRECT(A73&amp;ROW())=B95,INDIRECT(A96&amp;ROW())=C96),1,0))</f>
        <v>1</v>
      </c>
      <c r="K646">
        <f ca="1">DAYS360(INDIRECT(C68&amp;ROW()),TODAY())</f>
        <v>693</v>
      </c>
      <c r="L646">
        <f ca="1">DAYS360(INDIRECT(C69&amp;ROW()),TODAY())</f>
        <v>693</v>
      </c>
      <c r="M646">
        <f ca="1">HYPERLINK(CONCATENATE("https://bugzilla.houston.hp.com:1181/bugzilla/show_bug.cgi?id=",INDIRECT(C70&amp;ROW())),INDIRECT(C70&amp;ROW()))</f>
        <v>63175</v>
      </c>
      <c r="N646">
        <v>63175</v>
      </c>
      <c r="O646" t="s">
        <v>66</v>
      </c>
      <c r="P646" t="s">
        <v>1140</v>
      </c>
      <c r="Q646" t="s">
        <v>25</v>
      </c>
      <c r="R646" t="s">
        <v>248</v>
      </c>
      <c r="S646" t="s">
        <v>552</v>
      </c>
      <c r="U646" s="6">
        <v>42153.420266203706</v>
      </c>
      <c r="V646" t="s">
        <v>18</v>
      </c>
      <c r="W646" t="s">
        <v>783</v>
      </c>
      <c r="X646" s="6">
        <v>42153.402962962966</v>
      </c>
      <c r="Y646" t="s">
        <v>119</v>
      </c>
      <c r="AB646" t="s">
        <v>201</v>
      </c>
      <c r="AC646" t="s">
        <v>247</v>
      </c>
      <c r="AD646" t="s">
        <v>222</v>
      </c>
      <c r="AE646" t="s">
        <v>225</v>
      </c>
      <c r="AG646" t="s">
        <v>121</v>
      </c>
      <c r="AH646" t="s">
        <v>327</v>
      </c>
      <c r="AI646" t="s">
        <v>121</v>
      </c>
      <c r="AJ646" t="s">
        <v>716</v>
      </c>
      <c r="AK646" t="s">
        <v>121</v>
      </c>
    </row>
    <row r="647" spans="9:37" x14ac:dyDescent="0.3">
      <c r="I647">
        <f ca="1">IF(OR(INDIRECT(A73&amp;ROW())=B93,INDIRECT(A73&amp;ROW())=B94),1,IF(AND(INDIRECT(A73&amp;ROW())=B95,INDIRECT(A96&amp;ROW())=C93),1,IF(AND(INDIRECT(A73&amp;ROW())=B95,INDIRECT(A96&amp;ROW())=C94),1,0)))</f>
        <v>1</v>
      </c>
      <c r="J647">
        <f ca="1">IF(AND(INDIRECT(A73&amp;ROW())=B95,INDIRECT(A96&amp;ROW())=C95),1,IF(AND(INDIRECT(A73&amp;ROW())=B95,INDIRECT(A96&amp;ROW())=C96),1,0))</f>
        <v>0</v>
      </c>
      <c r="K647">
        <f ca="1">DAYS360(INDIRECT(C68&amp;ROW()),TODAY())</f>
        <v>687</v>
      </c>
      <c r="L647">
        <f ca="1">DAYS360(INDIRECT(C69&amp;ROW()),TODAY())</f>
        <v>693</v>
      </c>
      <c r="M647">
        <f ca="1">HYPERLINK(CONCATENATE("https://bugzilla.houston.hp.com:1181/bugzilla/show_bug.cgi?id=",INDIRECT(C70&amp;ROW())),INDIRECT(C70&amp;ROW()))</f>
        <v>63176</v>
      </c>
      <c r="N647">
        <v>63176</v>
      </c>
      <c r="O647" t="s">
        <v>523</v>
      </c>
      <c r="P647" t="s">
        <v>1139</v>
      </c>
      <c r="Q647" t="s">
        <v>39</v>
      </c>
      <c r="R647" t="s">
        <v>248</v>
      </c>
      <c r="S647" t="s">
        <v>552</v>
      </c>
      <c r="U647" s="6">
        <v>42160.408321759256</v>
      </c>
      <c r="V647" t="s">
        <v>18</v>
      </c>
      <c r="W647" t="s">
        <v>248</v>
      </c>
      <c r="X647" s="6">
        <v>42153.413738425923</v>
      </c>
      <c r="Y647" t="s">
        <v>793</v>
      </c>
      <c r="AB647" t="s">
        <v>199</v>
      </c>
      <c r="AC647" t="s">
        <v>1124</v>
      </c>
      <c r="AD647" t="s">
        <v>222</v>
      </c>
      <c r="AE647" t="s">
        <v>221</v>
      </c>
      <c r="AG647" t="s">
        <v>121</v>
      </c>
      <c r="AH647" t="s">
        <v>327</v>
      </c>
      <c r="AI647" t="s">
        <v>121</v>
      </c>
      <c r="AJ647" t="s">
        <v>715</v>
      </c>
      <c r="AK647" t="s">
        <v>121</v>
      </c>
    </row>
    <row r="648" spans="9:37" x14ac:dyDescent="0.3">
      <c r="I648">
        <f ca="1">IF(OR(INDIRECT(A73&amp;ROW())=B93,INDIRECT(A73&amp;ROW())=B94),1,IF(AND(INDIRECT(A73&amp;ROW())=B95,INDIRECT(A96&amp;ROW())=C93),1,IF(AND(INDIRECT(A73&amp;ROW())=B95,INDIRECT(A96&amp;ROW())=C94),1,0)))</f>
        <v>1</v>
      </c>
      <c r="J648">
        <f ca="1">IF(AND(INDIRECT(A73&amp;ROW())=B95,INDIRECT(A96&amp;ROW())=C95),1,IF(AND(INDIRECT(A73&amp;ROW())=B95,INDIRECT(A96&amp;ROW())=C96),1,0))</f>
        <v>0</v>
      </c>
      <c r="K648">
        <f ca="1">DAYS360(INDIRECT(C68&amp;ROW()),TODAY())</f>
        <v>689</v>
      </c>
      <c r="L648">
        <f ca="1">DAYS360(INDIRECT(C69&amp;ROW()),TODAY())</f>
        <v>693</v>
      </c>
      <c r="M648">
        <f ca="1">HYPERLINK(CONCATENATE("https://bugzilla.houston.hp.com:1181/bugzilla/show_bug.cgi?id=",INDIRECT(C70&amp;ROW())),INDIRECT(C70&amp;ROW()))</f>
        <v>63194</v>
      </c>
      <c r="N648">
        <v>63194</v>
      </c>
      <c r="O648" t="s">
        <v>59</v>
      </c>
      <c r="P648" t="s">
        <v>1197</v>
      </c>
      <c r="Q648" t="s">
        <v>39</v>
      </c>
      <c r="R648" t="s">
        <v>251</v>
      </c>
      <c r="S648" t="s">
        <v>177</v>
      </c>
      <c r="U648" s="6">
        <v>42158.656192129631</v>
      </c>
      <c r="V648" t="s">
        <v>18</v>
      </c>
      <c r="W648" t="s">
        <v>783</v>
      </c>
      <c r="X648" s="6">
        <v>42153.744305555556</v>
      </c>
      <c r="Y648" t="s">
        <v>245</v>
      </c>
      <c r="AB648" t="s">
        <v>201</v>
      </c>
      <c r="AC648" t="s">
        <v>247</v>
      </c>
      <c r="AD648" t="s">
        <v>220</v>
      </c>
      <c r="AE648" t="s">
        <v>219</v>
      </c>
      <c r="AG648" t="s">
        <v>121</v>
      </c>
      <c r="AH648" t="s">
        <v>327</v>
      </c>
      <c r="AI648" t="s">
        <v>121</v>
      </c>
      <c r="AJ648" t="s">
        <v>715</v>
      </c>
      <c r="AK648" t="s">
        <v>121</v>
      </c>
    </row>
    <row r="649" spans="9:37" x14ac:dyDescent="0.3">
      <c r="I649">
        <f ca="1">IF(OR(INDIRECT(A73&amp;ROW())=B93,INDIRECT(A73&amp;ROW())=B94),1,IF(AND(INDIRECT(A73&amp;ROW())=B95,INDIRECT(A96&amp;ROW())=C93),1,IF(AND(INDIRECT(A73&amp;ROW())=B95,INDIRECT(A96&amp;ROW())=C94),1,0)))</f>
        <v>1</v>
      </c>
      <c r="J649">
        <f ca="1">IF(AND(INDIRECT(A73&amp;ROW())=B95,INDIRECT(A96&amp;ROW())=C95),1,IF(AND(INDIRECT(A73&amp;ROW())=B95,INDIRECT(A96&amp;ROW())=C96),1,0))</f>
        <v>0</v>
      </c>
      <c r="K649">
        <f ca="1">DAYS360(INDIRECT(C68&amp;ROW()),TODAY())</f>
        <v>690</v>
      </c>
      <c r="L649">
        <f ca="1">DAYS360(INDIRECT(C69&amp;ROW()),TODAY())</f>
        <v>693</v>
      </c>
      <c r="M649">
        <f ca="1">HYPERLINK(CONCATENATE("https://bugzilla.houston.hp.com:1181/bugzilla/show_bug.cgi?id=",INDIRECT(C70&amp;ROW())),INDIRECT(C70&amp;ROW()))</f>
        <v>63195</v>
      </c>
      <c r="N649">
        <v>63195</v>
      </c>
      <c r="O649" t="s">
        <v>53</v>
      </c>
      <c r="P649" t="s">
        <v>1136</v>
      </c>
      <c r="Q649" t="s">
        <v>39</v>
      </c>
      <c r="R649" t="s">
        <v>783</v>
      </c>
      <c r="S649" t="s">
        <v>552</v>
      </c>
      <c r="T649" t="s">
        <v>1159</v>
      </c>
      <c r="U649" s="6">
        <v>42157.322546296295</v>
      </c>
      <c r="V649" t="s">
        <v>18</v>
      </c>
      <c r="W649" t="s">
        <v>783</v>
      </c>
      <c r="X649" s="6">
        <v>42153.756840277776</v>
      </c>
      <c r="Y649" t="s">
        <v>245</v>
      </c>
      <c r="AB649" t="s">
        <v>201</v>
      </c>
      <c r="AC649" t="s">
        <v>247</v>
      </c>
      <c r="AD649" t="s">
        <v>220</v>
      </c>
      <c r="AE649" t="s">
        <v>219</v>
      </c>
      <c r="AG649" t="s">
        <v>121</v>
      </c>
      <c r="AH649" t="s">
        <v>327</v>
      </c>
      <c r="AI649" t="s">
        <v>121</v>
      </c>
      <c r="AJ649" t="s">
        <v>715</v>
      </c>
      <c r="AK649" t="s">
        <v>121</v>
      </c>
    </row>
    <row r="650" spans="9:37" x14ac:dyDescent="0.3">
      <c r="I650">
        <f ca="1">IF(OR(INDIRECT(A73&amp;ROW())=B93,INDIRECT(A73&amp;ROW())=B94),1,IF(AND(INDIRECT(A73&amp;ROW())=B95,INDIRECT(A96&amp;ROW())=C93),1,IF(AND(INDIRECT(A73&amp;ROW())=B95,INDIRECT(A96&amp;ROW())=C94),1,0)))</f>
        <v>1</v>
      </c>
      <c r="J650">
        <f ca="1">IF(AND(INDIRECT(A73&amp;ROW())=B95,INDIRECT(A96&amp;ROW())=C95),1,IF(AND(INDIRECT(A73&amp;ROW())=B95,INDIRECT(A96&amp;ROW())=C96),1,0))</f>
        <v>0</v>
      </c>
      <c r="K650">
        <f ca="1">DAYS360(INDIRECT(C68&amp;ROW()),TODAY())</f>
        <v>693</v>
      </c>
      <c r="L650">
        <f ca="1">DAYS360(INDIRECT(C69&amp;ROW()),TODAY())</f>
        <v>693</v>
      </c>
      <c r="M650">
        <f ca="1">HYPERLINK(CONCATENATE("https://bugzilla.houston.hp.com:1181/bugzilla/show_bug.cgi?id=",INDIRECT(C70&amp;ROW())),INDIRECT(C70&amp;ROW()))</f>
        <v>63196</v>
      </c>
      <c r="N650">
        <v>63196</v>
      </c>
      <c r="O650" t="s">
        <v>53</v>
      </c>
      <c r="P650" t="s">
        <v>1135</v>
      </c>
      <c r="Q650" t="s">
        <v>39</v>
      </c>
      <c r="R650" t="s">
        <v>248</v>
      </c>
      <c r="S650" t="s">
        <v>552</v>
      </c>
      <c r="U650" s="6">
        <v>42153.776805555557</v>
      </c>
      <c r="V650" t="s">
        <v>18</v>
      </c>
      <c r="W650" t="s">
        <v>783</v>
      </c>
      <c r="X650" s="6">
        <v>42153.756909722222</v>
      </c>
      <c r="Y650" t="s">
        <v>245</v>
      </c>
      <c r="AB650" t="s">
        <v>201</v>
      </c>
      <c r="AC650" t="s">
        <v>247</v>
      </c>
      <c r="AD650" t="s">
        <v>220</v>
      </c>
      <c r="AE650" t="s">
        <v>219</v>
      </c>
      <c r="AG650" t="s">
        <v>121</v>
      </c>
      <c r="AH650" t="s">
        <v>327</v>
      </c>
      <c r="AI650" t="s">
        <v>121</v>
      </c>
      <c r="AJ650" t="s">
        <v>715</v>
      </c>
      <c r="AK650" t="s">
        <v>121</v>
      </c>
    </row>
    <row r="651" spans="9:37" x14ac:dyDescent="0.3">
      <c r="I651">
        <f ca="1">IF(OR(INDIRECT(A73&amp;ROW())=B93,INDIRECT(A73&amp;ROW())=B94),1,IF(AND(INDIRECT(A73&amp;ROW())=B95,INDIRECT(A96&amp;ROW())=C93),1,IF(AND(INDIRECT(A73&amp;ROW())=B95,INDIRECT(A96&amp;ROW())=C94),1,0)))</f>
        <v>1</v>
      </c>
      <c r="J651">
        <f ca="1">IF(AND(INDIRECT(A73&amp;ROW())=B95,INDIRECT(A96&amp;ROW())=C95),1,IF(AND(INDIRECT(A73&amp;ROW())=B95,INDIRECT(A96&amp;ROW())=C96),1,0))</f>
        <v>0</v>
      </c>
      <c r="K651">
        <f ca="1">DAYS360(INDIRECT(C68&amp;ROW()),TODAY())</f>
        <v>691</v>
      </c>
      <c r="L651">
        <f ca="1">DAYS360(INDIRECT(C69&amp;ROW()),TODAY())</f>
        <v>693</v>
      </c>
      <c r="M651">
        <f ca="1">HYPERLINK(CONCATENATE("https://bugzilla.houston.hp.com:1181/bugzilla/show_bug.cgi?id=",INDIRECT(C70&amp;ROW())),INDIRECT(C70&amp;ROW()))</f>
        <v>63197</v>
      </c>
      <c r="N651">
        <v>63197</v>
      </c>
      <c r="O651" t="s">
        <v>241</v>
      </c>
      <c r="P651" t="s">
        <v>1151</v>
      </c>
      <c r="Q651" t="s">
        <v>39</v>
      </c>
      <c r="R651" t="s">
        <v>251</v>
      </c>
      <c r="S651" t="s">
        <v>177</v>
      </c>
      <c r="U651" s="6">
        <v>42156.472384259258</v>
      </c>
      <c r="V651" t="s">
        <v>18</v>
      </c>
      <c r="W651" t="s">
        <v>764</v>
      </c>
      <c r="X651" s="6">
        <v>42153.768229166664</v>
      </c>
      <c r="Y651" t="s">
        <v>245</v>
      </c>
      <c r="AB651" t="s">
        <v>199</v>
      </c>
      <c r="AC651" t="s">
        <v>247</v>
      </c>
      <c r="AD651" t="s">
        <v>227</v>
      </c>
      <c r="AE651" t="s">
        <v>370</v>
      </c>
      <c r="AG651" t="s">
        <v>121</v>
      </c>
      <c r="AH651" t="s">
        <v>327</v>
      </c>
      <c r="AI651" t="s">
        <v>121</v>
      </c>
      <c r="AJ651" t="s">
        <v>715</v>
      </c>
      <c r="AK651" t="s">
        <v>121</v>
      </c>
    </row>
    <row r="652" spans="9:37" x14ac:dyDescent="0.3">
      <c r="I652">
        <f ca="1">IF(OR(INDIRECT(A73&amp;ROW())=B93,INDIRECT(A73&amp;ROW())=B94),1,IF(AND(INDIRECT(A73&amp;ROW())=B95,INDIRECT(A96&amp;ROW())=C93),1,IF(AND(INDIRECT(A73&amp;ROW())=B95,INDIRECT(A96&amp;ROW())=C94),1,0)))</f>
        <v>1</v>
      </c>
      <c r="J652">
        <f ca="1">IF(AND(INDIRECT(A73&amp;ROW())=B95,INDIRECT(A96&amp;ROW())=C95),1,IF(AND(INDIRECT(A73&amp;ROW())=B95,INDIRECT(A96&amp;ROW())=C96),1,0))</f>
        <v>0</v>
      </c>
      <c r="K652">
        <f ca="1">DAYS360(INDIRECT(C68&amp;ROW()),TODAY())</f>
        <v>692</v>
      </c>
      <c r="L652">
        <f ca="1">DAYS360(INDIRECT(C69&amp;ROW()),TODAY())</f>
        <v>692</v>
      </c>
      <c r="M652">
        <f ca="1">HYPERLINK(CONCATENATE("https://bugzilla.houston.hp.com:1181/bugzilla/show_bug.cgi?id=",INDIRECT(C70&amp;ROW())),INDIRECT(C70&amp;ROW()))</f>
        <v>63199</v>
      </c>
      <c r="N652">
        <v>63199</v>
      </c>
      <c r="O652" t="s">
        <v>241</v>
      </c>
      <c r="P652" t="s">
        <v>1150</v>
      </c>
      <c r="Q652" t="s">
        <v>39</v>
      </c>
      <c r="R652" t="s">
        <v>579</v>
      </c>
      <c r="S652" t="s">
        <v>552</v>
      </c>
      <c r="U652" s="6">
        <v>42154.914398148147</v>
      </c>
      <c r="V652" t="s">
        <v>18</v>
      </c>
      <c r="W652" t="s">
        <v>764</v>
      </c>
      <c r="X652" s="6">
        <v>42154.016817129632</v>
      </c>
      <c r="Y652" t="s">
        <v>245</v>
      </c>
      <c r="AB652" t="s">
        <v>199</v>
      </c>
      <c r="AC652" t="s">
        <v>247</v>
      </c>
      <c r="AD652" t="s">
        <v>227</v>
      </c>
      <c r="AE652" t="s">
        <v>370</v>
      </c>
      <c r="AG652" t="s">
        <v>121</v>
      </c>
      <c r="AH652" t="s">
        <v>327</v>
      </c>
      <c r="AI652" t="s">
        <v>121</v>
      </c>
      <c r="AJ652" t="s">
        <v>715</v>
      </c>
      <c r="AK652" t="s">
        <v>121</v>
      </c>
    </row>
    <row r="653" spans="9:37" x14ac:dyDescent="0.3">
      <c r="I653">
        <f ca="1">IF(OR(INDIRECT(A73&amp;ROW())=B93,INDIRECT(A73&amp;ROW())=B94),1,IF(AND(INDIRECT(A73&amp;ROW())=B95,INDIRECT(A96&amp;ROW())=C93),1,IF(AND(INDIRECT(A73&amp;ROW())=B95,INDIRECT(A96&amp;ROW())=C94),1,0)))</f>
        <v>1</v>
      </c>
      <c r="J653">
        <f ca="1">IF(AND(INDIRECT(A73&amp;ROW())=B95,INDIRECT(A96&amp;ROW())=C95),1,IF(AND(INDIRECT(A73&amp;ROW())=B95,INDIRECT(A96&amp;ROW())=C96),1,0))</f>
        <v>0</v>
      </c>
      <c r="K653">
        <f ca="1">DAYS360(INDIRECT(C68&amp;ROW()),TODAY())</f>
        <v>692</v>
      </c>
      <c r="L653">
        <f ca="1">DAYS360(INDIRECT(C69&amp;ROW()),TODAY())</f>
        <v>692</v>
      </c>
      <c r="M653">
        <f ca="1">HYPERLINK(CONCATENATE("https://bugzilla.houston.hp.com:1181/bugzilla/show_bug.cgi?id=",INDIRECT(C70&amp;ROW())),INDIRECT(C70&amp;ROW()))</f>
        <v>63200</v>
      </c>
      <c r="N653">
        <v>63200</v>
      </c>
      <c r="O653" t="s">
        <v>241</v>
      </c>
      <c r="P653" t="s">
        <v>1149</v>
      </c>
      <c r="Q653" t="s">
        <v>39</v>
      </c>
      <c r="R653" t="s">
        <v>248</v>
      </c>
      <c r="S653" t="s">
        <v>552</v>
      </c>
      <c r="U653" s="6">
        <v>42154.914386574077</v>
      </c>
      <c r="V653" t="s">
        <v>18</v>
      </c>
      <c r="W653" t="s">
        <v>764</v>
      </c>
      <c r="X653" s="6">
        <v>42154.016875000001</v>
      </c>
      <c r="Y653" t="s">
        <v>245</v>
      </c>
      <c r="AB653" t="s">
        <v>199</v>
      </c>
      <c r="AC653" t="s">
        <v>247</v>
      </c>
      <c r="AD653" t="s">
        <v>227</v>
      </c>
      <c r="AE653" t="s">
        <v>370</v>
      </c>
      <c r="AG653" t="s">
        <v>121</v>
      </c>
      <c r="AH653" t="s">
        <v>327</v>
      </c>
      <c r="AI653" t="s">
        <v>121</v>
      </c>
      <c r="AJ653" t="s">
        <v>715</v>
      </c>
      <c r="AK653" t="s">
        <v>121</v>
      </c>
    </row>
    <row r="654" spans="9:37" x14ac:dyDescent="0.3">
      <c r="I654">
        <f ca="1">IF(OR(INDIRECT(A73&amp;ROW())=B93,INDIRECT(A73&amp;ROW())=B94),1,IF(AND(INDIRECT(A73&amp;ROW())=B95,INDIRECT(A96&amp;ROW())=C93),1,IF(AND(INDIRECT(A73&amp;ROW())=B95,INDIRECT(A96&amp;ROW())=C94),1,0)))</f>
        <v>1</v>
      </c>
      <c r="J654">
        <f ca="1">IF(AND(INDIRECT(A73&amp;ROW())=B95,INDIRECT(A96&amp;ROW())=C95),1,IF(AND(INDIRECT(A73&amp;ROW())=B95,INDIRECT(A96&amp;ROW())=C96),1,0))</f>
        <v>0</v>
      </c>
      <c r="K654">
        <f ca="1">DAYS360(INDIRECT(C68&amp;ROW()),TODAY())</f>
        <v>687</v>
      </c>
      <c r="L654">
        <f ca="1">DAYS360(INDIRECT(C69&amp;ROW()),TODAY())</f>
        <v>691</v>
      </c>
      <c r="M654">
        <f ca="1">HYPERLINK(CONCATENATE("https://bugzilla.houston.hp.com:1181/bugzilla/show_bug.cgi?id=",INDIRECT(C70&amp;ROW())),INDIRECT(C70&amp;ROW()))</f>
        <v>63227</v>
      </c>
      <c r="N654">
        <v>63227</v>
      </c>
      <c r="O654" t="s">
        <v>59</v>
      </c>
      <c r="P654" t="s">
        <v>1155</v>
      </c>
      <c r="Q654" t="s">
        <v>25</v>
      </c>
      <c r="R654" t="s">
        <v>251</v>
      </c>
      <c r="S654" t="s">
        <v>62</v>
      </c>
      <c r="U654" s="6">
        <v>42160.471458333333</v>
      </c>
      <c r="V654" t="s">
        <v>35</v>
      </c>
      <c r="W654" t="s">
        <v>783</v>
      </c>
      <c r="X654" s="6">
        <v>42156.199236111112</v>
      </c>
      <c r="Y654" t="s">
        <v>119</v>
      </c>
      <c r="AB654" t="s">
        <v>199</v>
      </c>
      <c r="AC654" t="s">
        <v>247</v>
      </c>
      <c r="AD654" t="s">
        <v>220</v>
      </c>
      <c r="AE654" t="s">
        <v>219</v>
      </c>
      <c r="AG654" t="s">
        <v>121</v>
      </c>
      <c r="AH654" t="s">
        <v>327</v>
      </c>
      <c r="AI654" t="s">
        <v>121</v>
      </c>
      <c r="AJ654" t="s">
        <v>715</v>
      </c>
      <c r="AK654" t="s">
        <v>121</v>
      </c>
    </row>
    <row r="655" spans="9:37" x14ac:dyDescent="0.3">
      <c r="I655">
        <f ca="1">IF(OR(INDIRECT(A73&amp;ROW())=B93,INDIRECT(A73&amp;ROW())=B94),1,IF(AND(INDIRECT(A73&amp;ROW())=B95,INDIRECT(A96&amp;ROW())=C93),1,IF(AND(INDIRECT(A73&amp;ROW())=B95,INDIRECT(A96&amp;ROW())=C94),1,0)))</f>
        <v>0</v>
      </c>
      <c r="J655">
        <f ca="1">IF(AND(INDIRECT(A73&amp;ROW())=B95,INDIRECT(A96&amp;ROW())=C95),1,IF(AND(INDIRECT(A73&amp;ROW())=B95,INDIRECT(A96&amp;ROW())=C96),1,0))</f>
        <v>0</v>
      </c>
      <c r="K655">
        <f ca="1">DAYS360(INDIRECT(C68&amp;ROW()),TODAY())</f>
        <v>691</v>
      </c>
      <c r="L655">
        <f ca="1">DAYS360(INDIRECT(C69&amp;ROW()),TODAY())</f>
        <v>691</v>
      </c>
      <c r="M655">
        <f ca="1">HYPERLINK(CONCATENATE("https://bugzilla.houston.hp.com:1181/bugzilla/show_bug.cgi?id=",INDIRECT(C70&amp;ROW())),INDIRECT(C70&amp;ROW()))</f>
        <v>63239</v>
      </c>
      <c r="N655">
        <v>63239</v>
      </c>
      <c r="O655" t="s">
        <v>21</v>
      </c>
      <c r="P655" t="s">
        <v>1196</v>
      </c>
      <c r="Q655" t="s">
        <v>16</v>
      </c>
      <c r="R655" t="s">
        <v>251</v>
      </c>
      <c r="S655" t="s">
        <v>1195</v>
      </c>
      <c r="U655" s="6">
        <v>42156.530868055554</v>
      </c>
      <c r="V655" t="s">
        <v>18</v>
      </c>
      <c r="W655" t="s">
        <v>783</v>
      </c>
      <c r="X655" s="6">
        <v>42156.258599537039</v>
      </c>
      <c r="Y655" t="s">
        <v>793</v>
      </c>
      <c r="AB655" t="s">
        <v>201</v>
      </c>
      <c r="AC655" t="s">
        <v>247</v>
      </c>
      <c r="AD655" t="s">
        <v>222</v>
      </c>
      <c r="AE655" t="s">
        <v>221</v>
      </c>
      <c r="AG655" t="s">
        <v>121</v>
      </c>
      <c r="AH655" t="s">
        <v>327</v>
      </c>
      <c r="AI655" t="s">
        <v>121</v>
      </c>
      <c r="AJ655" t="s">
        <v>717</v>
      </c>
      <c r="AK655" t="s">
        <v>121</v>
      </c>
    </row>
    <row r="656" spans="9:37" x14ac:dyDescent="0.3">
      <c r="I656">
        <f ca="1">IF(OR(INDIRECT(A73&amp;ROW())=B93,INDIRECT(A73&amp;ROW())=B94),1,IF(AND(INDIRECT(A73&amp;ROW())=B95,INDIRECT(A96&amp;ROW())=C93),1,IF(AND(INDIRECT(A73&amp;ROW())=B95,INDIRECT(A96&amp;ROW())=C94),1,0)))</f>
        <v>1</v>
      </c>
      <c r="J656">
        <f ca="1">IF(AND(INDIRECT(A73&amp;ROW())=B95,INDIRECT(A96&amp;ROW())=C95),1,IF(AND(INDIRECT(A73&amp;ROW())=B95,INDIRECT(A96&amp;ROW())=C96),1,0))</f>
        <v>0</v>
      </c>
      <c r="K656">
        <f ca="1">DAYS360(INDIRECT(C68&amp;ROW()),TODAY())</f>
        <v>690</v>
      </c>
      <c r="L656">
        <f ca="1">DAYS360(INDIRECT(C69&amp;ROW()),TODAY())</f>
        <v>691</v>
      </c>
      <c r="M656">
        <f ca="1">HYPERLINK(CONCATENATE("https://bugzilla.houston.hp.com:1181/bugzilla/show_bug.cgi?id=",INDIRECT(C70&amp;ROW())),INDIRECT(C70&amp;ROW()))</f>
        <v>63248</v>
      </c>
      <c r="N656">
        <v>63248</v>
      </c>
      <c r="O656" t="s">
        <v>66</v>
      </c>
      <c r="P656" t="s">
        <v>1154</v>
      </c>
      <c r="Q656" t="s">
        <v>25</v>
      </c>
      <c r="R656" t="s">
        <v>783</v>
      </c>
      <c r="S656" t="s">
        <v>552</v>
      </c>
      <c r="U656" s="6">
        <v>42157.089386574073</v>
      </c>
      <c r="V656" t="s">
        <v>18</v>
      </c>
      <c r="W656" t="s">
        <v>783</v>
      </c>
      <c r="X656" s="6">
        <v>42156.306250000001</v>
      </c>
      <c r="Y656" t="s">
        <v>119</v>
      </c>
      <c r="AB656" t="s">
        <v>199</v>
      </c>
      <c r="AC656" t="s">
        <v>247</v>
      </c>
      <c r="AD656" t="s">
        <v>220</v>
      </c>
      <c r="AE656" t="s">
        <v>219</v>
      </c>
      <c r="AG656" t="s">
        <v>121</v>
      </c>
      <c r="AH656" t="s">
        <v>327</v>
      </c>
      <c r="AI656" t="s">
        <v>121</v>
      </c>
      <c r="AJ656" t="s">
        <v>715</v>
      </c>
      <c r="AK656" t="s">
        <v>121</v>
      </c>
    </row>
    <row r="657" spans="9:37" x14ac:dyDescent="0.3">
      <c r="I657">
        <f ca="1">IF(OR(INDIRECT(A73&amp;ROW())=B93,INDIRECT(A73&amp;ROW())=B94),1,IF(AND(INDIRECT(A73&amp;ROW())=B95,INDIRECT(A96&amp;ROW())=C93),1,IF(AND(INDIRECT(A73&amp;ROW())=B95,INDIRECT(A96&amp;ROW())=C94),1,0)))</f>
        <v>1</v>
      </c>
      <c r="J657">
        <f ca="1">IF(AND(INDIRECT(A73&amp;ROW())=B95,INDIRECT(A96&amp;ROW())=C95),1,IF(AND(INDIRECT(A73&amp;ROW())=B95,INDIRECT(A96&amp;ROW())=C96),1,0))</f>
        <v>0</v>
      </c>
      <c r="K657">
        <f ca="1">DAYS360(INDIRECT(C68&amp;ROW()),TODAY())</f>
        <v>690</v>
      </c>
      <c r="L657">
        <f ca="1">DAYS360(INDIRECT(C69&amp;ROW()),TODAY())</f>
        <v>691</v>
      </c>
      <c r="M657">
        <f ca="1">HYPERLINK(CONCATENATE("https://bugzilla.houston.hp.com:1181/bugzilla/show_bug.cgi?id=",INDIRECT(C70&amp;ROW())),INDIRECT(C70&amp;ROW()))</f>
        <v>63249</v>
      </c>
      <c r="N657">
        <v>63249</v>
      </c>
      <c r="O657" t="s">
        <v>66</v>
      </c>
      <c r="P657" t="s">
        <v>1153</v>
      </c>
      <c r="Q657" t="s">
        <v>25</v>
      </c>
      <c r="R657" t="s">
        <v>248</v>
      </c>
      <c r="S657" t="s">
        <v>552</v>
      </c>
      <c r="U657" s="6">
        <v>42157.08935185185</v>
      </c>
      <c r="V657" t="s">
        <v>18</v>
      </c>
      <c r="W657" t="s">
        <v>783</v>
      </c>
      <c r="X657" s="6">
        <v>42156.306354166663</v>
      </c>
      <c r="Y657" t="s">
        <v>119</v>
      </c>
      <c r="AB657" t="s">
        <v>199</v>
      </c>
      <c r="AC657" t="s">
        <v>247</v>
      </c>
      <c r="AD657" t="s">
        <v>220</v>
      </c>
      <c r="AE657" t="s">
        <v>219</v>
      </c>
      <c r="AG657" t="s">
        <v>121</v>
      </c>
      <c r="AH657" t="s">
        <v>327</v>
      </c>
      <c r="AI657" t="s">
        <v>121</v>
      </c>
      <c r="AJ657" t="s">
        <v>715</v>
      </c>
      <c r="AK657" t="s">
        <v>121</v>
      </c>
    </row>
    <row r="658" spans="9:37" x14ac:dyDescent="0.3">
      <c r="I658">
        <f ca="1">IF(OR(INDIRECT(A73&amp;ROW())=B93,INDIRECT(A73&amp;ROW())=B94),1,IF(AND(INDIRECT(A73&amp;ROW())=B95,INDIRECT(A96&amp;ROW())=C93),1,IF(AND(INDIRECT(A73&amp;ROW())=B95,INDIRECT(A96&amp;ROW())=C94),1,0)))</f>
        <v>0</v>
      </c>
      <c r="J658">
        <f ca="1">IF(AND(INDIRECT(A73&amp;ROW())=B95,INDIRECT(A96&amp;ROW())=C95),1,IF(AND(INDIRECT(A73&amp;ROW())=B95,INDIRECT(A96&amp;ROW())=C96),1,0))</f>
        <v>0</v>
      </c>
      <c r="K658">
        <f ca="1">DAYS360(INDIRECT(C68&amp;ROW()),TODAY())</f>
        <v>691</v>
      </c>
      <c r="L658">
        <f ca="1">DAYS360(INDIRECT(C69&amp;ROW()),TODAY())</f>
        <v>691</v>
      </c>
      <c r="M658">
        <f ca="1">HYPERLINK(CONCATENATE("https://bugzilla.houston.hp.com:1181/bugzilla/show_bug.cgi?id=",INDIRECT(C70&amp;ROW())),INDIRECT(C70&amp;ROW()))</f>
        <v>63272</v>
      </c>
      <c r="N658">
        <v>63272</v>
      </c>
      <c r="O658" t="s">
        <v>21</v>
      </c>
      <c r="P658" t="s">
        <v>1194</v>
      </c>
      <c r="Q658" t="s">
        <v>16</v>
      </c>
      <c r="R658" t="s">
        <v>579</v>
      </c>
      <c r="S658" t="s">
        <v>552</v>
      </c>
      <c r="U658" s="6">
        <v>42156.534791666665</v>
      </c>
      <c r="V658" t="s">
        <v>18</v>
      </c>
      <c r="W658" t="s">
        <v>783</v>
      </c>
      <c r="X658" s="6">
        <v>42156.516979166663</v>
      </c>
      <c r="Y658" t="s">
        <v>793</v>
      </c>
      <c r="AB658" t="s">
        <v>201</v>
      </c>
      <c r="AC658" t="s">
        <v>247</v>
      </c>
      <c r="AD658" t="s">
        <v>222</v>
      </c>
      <c r="AE658" t="s">
        <v>221</v>
      </c>
      <c r="AG658" t="s">
        <v>121</v>
      </c>
      <c r="AH658" t="s">
        <v>327</v>
      </c>
      <c r="AI658" t="s">
        <v>121</v>
      </c>
      <c r="AJ658" t="s">
        <v>716</v>
      </c>
      <c r="AK658" t="s">
        <v>121</v>
      </c>
    </row>
    <row r="659" spans="9:37" x14ac:dyDescent="0.3">
      <c r="I659">
        <f ca="1">IF(OR(INDIRECT(A73&amp;ROW())=B93,INDIRECT(A73&amp;ROW())=B94),1,IF(AND(INDIRECT(A73&amp;ROW())=B95,INDIRECT(A96&amp;ROW())=C93),1,IF(AND(INDIRECT(A73&amp;ROW())=B95,INDIRECT(A96&amp;ROW())=C94),1,0)))</f>
        <v>0</v>
      </c>
      <c r="J659">
        <f ca="1">IF(AND(INDIRECT(A73&amp;ROW())=B95,INDIRECT(A96&amp;ROW())=C95),1,IF(AND(INDIRECT(A73&amp;ROW())=B95,INDIRECT(A96&amp;ROW())=C96),1,0))</f>
        <v>0</v>
      </c>
      <c r="K659">
        <f ca="1">DAYS360(INDIRECT(C68&amp;ROW()),TODAY())</f>
        <v>691</v>
      </c>
      <c r="L659">
        <f ca="1">DAYS360(INDIRECT(C69&amp;ROW()),TODAY())</f>
        <v>691</v>
      </c>
      <c r="M659">
        <f ca="1">HYPERLINK(CONCATENATE("https://bugzilla.houston.hp.com:1181/bugzilla/show_bug.cgi?id=",INDIRECT(C70&amp;ROW())),INDIRECT(C70&amp;ROW()))</f>
        <v>63273</v>
      </c>
      <c r="N659">
        <v>63273</v>
      </c>
      <c r="O659" t="s">
        <v>21</v>
      </c>
      <c r="P659" t="s">
        <v>1193</v>
      </c>
      <c r="Q659" t="s">
        <v>16</v>
      </c>
      <c r="R659" t="s">
        <v>783</v>
      </c>
      <c r="S659" t="s">
        <v>552</v>
      </c>
      <c r="U659" s="6">
        <v>42156.534768518519</v>
      </c>
      <c r="V659" t="s">
        <v>18</v>
      </c>
      <c r="W659" t="s">
        <v>783</v>
      </c>
      <c r="X659" s="6">
        <v>42156.51703703704</v>
      </c>
      <c r="Y659" t="s">
        <v>793</v>
      </c>
      <c r="AB659" t="s">
        <v>201</v>
      </c>
      <c r="AC659" t="s">
        <v>247</v>
      </c>
      <c r="AD659" t="s">
        <v>222</v>
      </c>
      <c r="AE659" t="s">
        <v>221</v>
      </c>
      <c r="AG659" t="s">
        <v>121</v>
      </c>
      <c r="AH659" t="s">
        <v>327</v>
      </c>
      <c r="AI659" t="s">
        <v>121</v>
      </c>
      <c r="AJ659" t="s">
        <v>716</v>
      </c>
      <c r="AK659" t="s">
        <v>121</v>
      </c>
    </row>
    <row r="660" spans="9:37" x14ac:dyDescent="0.3">
      <c r="I660">
        <f ca="1">IF(OR(INDIRECT(A73&amp;ROW())=B93,INDIRECT(A73&amp;ROW())=B94),1,IF(AND(INDIRECT(A73&amp;ROW())=B95,INDIRECT(A96&amp;ROW())=C93),1,IF(AND(INDIRECT(A73&amp;ROW())=B95,INDIRECT(A96&amp;ROW())=C94),1,0)))</f>
        <v>0</v>
      </c>
      <c r="J660">
        <f ca="1">IF(AND(INDIRECT(A73&amp;ROW())=B95,INDIRECT(A96&amp;ROW())=C95),1,IF(AND(INDIRECT(A73&amp;ROW())=B95,INDIRECT(A96&amp;ROW())=C96),1,0))</f>
        <v>0</v>
      </c>
      <c r="K660">
        <f ca="1">DAYS360(INDIRECT(C68&amp;ROW()),TODAY())</f>
        <v>691</v>
      </c>
      <c r="L660">
        <f ca="1">DAYS360(INDIRECT(C69&amp;ROW()),TODAY())</f>
        <v>691</v>
      </c>
      <c r="M660">
        <f ca="1">HYPERLINK(CONCATENATE("https://bugzilla.houston.hp.com:1181/bugzilla/show_bug.cgi?id=",INDIRECT(C70&amp;ROW())),INDIRECT(C70&amp;ROW()))</f>
        <v>63274</v>
      </c>
      <c r="N660">
        <v>63274</v>
      </c>
      <c r="O660" t="s">
        <v>21</v>
      </c>
      <c r="P660" t="s">
        <v>1192</v>
      </c>
      <c r="Q660" t="s">
        <v>16</v>
      </c>
      <c r="R660" t="s">
        <v>248</v>
      </c>
      <c r="S660" t="s">
        <v>552</v>
      </c>
      <c r="U660" s="6">
        <v>42156.534803240742</v>
      </c>
      <c r="V660" t="s">
        <v>18</v>
      </c>
      <c r="W660" t="s">
        <v>783</v>
      </c>
      <c r="X660" s="6">
        <v>42156.517106481479</v>
      </c>
      <c r="Y660" t="s">
        <v>793</v>
      </c>
      <c r="AB660" t="s">
        <v>201</v>
      </c>
      <c r="AC660" t="s">
        <v>247</v>
      </c>
      <c r="AD660" t="s">
        <v>222</v>
      </c>
      <c r="AE660" t="s">
        <v>221</v>
      </c>
      <c r="AG660" t="s">
        <v>121</v>
      </c>
      <c r="AH660" t="s">
        <v>327</v>
      </c>
      <c r="AI660" t="s">
        <v>121</v>
      </c>
      <c r="AJ660" t="s">
        <v>716</v>
      </c>
      <c r="AK660" t="s">
        <v>121</v>
      </c>
    </row>
    <row r="661" spans="9:37" x14ac:dyDescent="0.3">
      <c r="I661">
        <f ca="1">IF(OR(INDIRECT(A73&amp;ROW())=B93,INDIRECT(A73&amp;ROW())=B94),1,IF(AND(INDIRECT(A73&amp;ROW())=B95,INDIRECT(A96&amp;ROW())=C93),1,IF(AND(INDIRECT(A73&amp;ROW())=B95,INDIRECT(A96&amp;ROW())=C94),1,0)))</f>
        <v>1</v>
      </c>
      <c r="J661">
        <f ca="1">IF(AND(INDIRECT(A73&amp;ROW())=B95,INDIRECT(A96&amp;ROW())=C95),1,IF(AND(INDIRECT(A73&amp;ROW())=B95,INDIRECT(A96&amp;ROW())=C96),1,0))</f>
        <v>0</v>
      </c>
      <c r="K661">
        <f ca="1">DAYS360(INDIRECT(C68&amp;ROW()),TODAY())</f>
        <v>691</v>
      </c>
      <c r="L661">
        <f ca="1">DAYS360(INDIRECT(C69&amp;ROW()),TODAY())</f>
        <v>691</v>
      </c>
      <c r="M661">
        <f ca="1">HYPERLINK(CONCATENATE("https://bugzilla.houston.hp.com:1181/bugzilla/show_bug.cgi?id=",INDIRECT(C70&amp;ROW())),INDIRECT(C70&amp;ROW()))</f>
        <v>63278</v>
      </c>
      <c r="N661">
        <v>63278</v>
      </c>
      <c r="O661" t="s">
        <v>66</v>
      </c>
      <c r="P661" t="s">
        <v>1191</v>
      </c>
      <c r="Q661" t="s">
        <v>39</v>
      </c>
      <c r="R661" t="s">
        <v>251</v>
      </c>
      <c r="S661" t="s">
        <v>1102</v>
      </c>
      <c r="U661" s="6">
        <v>42156.681296296294</v>
      </c>
      <c r="V661" t="s">
        <v>18</v>
      </c>
      <c r="W661" t="s">
        <v>17</v>
      </c>
      <c r="X661" s="6">
        <v>42156.525219907409</v>
      </c>
      <c r="Y661" t="s">
        <v>125</v>
      </c>
      <c r="AB661" t="s">
        <v>200</v>
      </c>
      <c r="AC661" t="s">
        <v>247</v>
      </c>
      <c r="AD661" t="s">
        <v>220</v>
      </c>
      <c r="AE661" t="s">
        <v>219</v>
      </c>
      <c r="AG661" t="s">
        <v>121</v>
      </c>
      <c r="AH661" t="s">
        <v>327</v>
      </c>
      <c r="AI661" t="s">
        <v>121</v>
      </c>
      <c r="AJ661" t="s">
        <v>715</v>
      </c>
      <c r="AK661" t="s">
        <v>121</v>
      </c>
    </row>
    <row r="662" spans="9:37" x14ac:dyDescent="0.3">
      <c r="I662">
        <f ca="1">IF(OR(INDIRECT(A73&amp;ROW())=B93,INDIRECT(A73&amp;ROW())=B94),1,IF(AND(INDIRECT(A73&amp;ROW())=B95,INDIRECT(A96&amp;ROW())=C93),1,IF(AND(INDIRECT(A73&amp;ROW())=B95,INDIRECT(A96&amp;ROW())=C94),1,0)))</f>
        <v>1</v>
      </c>
      <c r="J662">
        <f ca="1">IF(AND(INDIRECT(A73&amp;ROW())=B95,INDIRECT(A96&amp;ROW())=C95),1,IF(AND(INDIRECT(A73&amp;ROW())=B95,INDIRECT(A96&amp;ROW())=C96),1,0))</f>
        <v>0</v>
      </c>
      <c r="K662">
        <f ca="1">DAYS360(INDIRECT(C68&amp;ROW()),TODAY())</f>
        <v>691</v>
      </c>
      <c r="L662">
        <f ca="1">DAYS360(INDIRECT(C69&amp;ROW()),TODAY())</f>
        <v>691</v>
      </c>
      <c r="M662">
        <f ca="1">HYPERLINK(CONCATENATE("https://bugzilla.houston.hp.com:1181/bugzilla/show_bug.cgi?id=",INDIRECT(C70&amp;ROW())),INDIRECT(C70&amp;ROW()))</f>
        <v>63279</v>
      </c>
      <c r="N662">
        <v>63279</v>
      </c>
      <c r="O662" t="s">
        <v>66</v>
      </c>
      <c r="P662" t="s">
        <v>1190</v>
      </c>
      <c r="Q662" t="s">
        <v>39</v>
      </c>
      <c r="R662" t="s">
        <v>579</v>
      </c>
      <c r="S662" t="s">
        <v>552</v>
      </c>
      <c r="U662" s="6">
        <v>42156.547210648147</v>
      </c>
      <c r="V662" t="s">
        <v>18</v>
      </c>
      <c r="W662" t="s">
        <v>17</v>
      </c>
      <c r="X662" s="6">
        <v>42156.537048611113</v>
      </c>
      <c r="Y662" t="s">
        <v>125</v>
      </c>
      <c r="AB662" t="s">
        <v>200</v>
      </c>
      <c r="AC662" t="s">
        <v>247</v>
      </c>
      <c r="AD662" t="s">
        <v>220</v>
      </c>
      <c r="AE662" t="s">
        <v>219</v>
      </c>
      <c r="AG662" t="s">
        <v>121</v>
      </c>
      <c r="AH662" t="s">
        <v>327</v>
      </c>
      <c r="AI662" t="s">
        <v>121</v>
      </c>
      <c r="AJ662" t="s">
        <v>715</v>
      </c>
      <c r="AK662" t="s">
        <v>121</v>
      </c>
    </row>
    <row r="663" spans="9:37" x14ac:dyDescent="0.3">
      <c r="I663">
        <f ca="1">IF(OR(INDIRECT(A73&amp;ROW())=B93,INDIRECT(A73&amp;ROW())=B94),1,IF(AND(INDIRECT(A73&amp;ROW())=B95,INDIRECT(A96&amp;ROW())=C93),1,IF(AND(INDIRECT(A73&amp;ROW())=B95,INDIRECT(A96&amp;ROW())=C94),1,0)))</f>
        <v>1</v>
      </c>
      <c r="J663">
        <f ca="1">IF(AND(INDIRECT(A73&amp;ROW())=B95,INDIRECT(A96&amp;ROW())=C95),1,IF(AND(INDIRECT(A73&amp;ROW())=B95,INDIRECT(A96&amp;ROW())=C96),1,0))</f>
        <v>0</v>
      </c>
      <c r="K663">
        <f ca="1">DAYS360(INDIRECT(C68&amp;ROW()),TODAY())</f>
        <v>689</v>
      </c>
      <c r="L663">
        <f ca="1">DAYS360(INDIRECT(C69&amp;ROW()),TODAY())</f>
        <v>691</v>
      </c>
      <c r="M663">
        <f ca="1">HYPERLINK(CONCATENATE("https://bugzilla.houston.hp.com:1181/bugzilla/show_bug.cgi?id=",INDIRECT(C70&amp;ROW())),INDIRECT(C70&amp;ROW()))</f>
        <v>63280</v>
      </c>
      <c r="N663">
        <v>63280</v>
      </c>
      <c r="O663" t="s">
        <v>66</v>
      </c>
      <c r="P663" t="s">
        <v>1189</v>
      </c>
      <c r="Q663" t="s">
        <v>39</v>
      </c>
      <c r="R663" t="s">
        <v>783</v>
      </c>
      <c r="S663" t="s">
        <v>552</v>
      </c>
      <c r="U663" s="6">
        <v>42158.314699074072</v>
      </c>
      <c r="V663" t="s">
        <v>18</v>
      </c>
      <c r="W663" t="s">
        <v>17</v>
      </c>
      <c r="X663" s="6">
        <v>42156.537164351852</v>
      </c>
      <c r="Y663" t="s">
        <v>125</v>
      </c>
      <c r="AB663" t="s">
        <v>200</v>
      </c>
      <c r="AC663" t="s">
        <v>247</v>
      </c>
      <c r="AD663" t="s">
        <v>220</v>
      </c>
      <c r="AE663" t="s">
        <v>219</v>
      </c>
      <c r="AG663" t="s">
        <v>121</v>
      </c>
      <c r="AH663" t="s">
        <v>327</v>
      </c>
      <c r="AI663" t="s">
        <v>121</v>
      </c>
      <c r="AJ663" t="s">
        <v>715</v>
      </c>
      <c r="AK663" t="s">
        <v>121</v>
      </c>
    </row>
    <row r="664" spans="9:37" x14ac:dyDescent="0.3">
      <c r="I664">
        <f ca="1">IF(OR(INDIRECT(A73&amp;ROW())=B93,INDIRECT(A73&amp;ROW())=B94),1,IF(AND(INDIRECT(A73&amp;ROW())=B95,INDIRECT(A96&amp;ROW())=C93),1,IF(AND(INDIRECT(A73&amp;ROW())=B95,INDIRECT(A96&amp;ROW())=C94),1,0)))</f>
        <v>1</v>
      </c>
      <c r="J664">
        <f ca="1">IF(AND(INDIRECT(A73&amp;ROW())=B95,INDIRECT(A96&amp;ROW())=C95),1,IF(AND(INDIRECT(A73&amp;ROW())=B95,INDIRECT(A96&amp;ROW())=C96),1,0))</f>
        <v>0</v>
      </c>
      <c r="K664">
        <f ca="1">DAYS360(INDIRECT(C68&amp;ROW()),TODAY())</f>
        <v>691</v>
      </c>
      <c r="L664">
        <f ca="1">DAYS360(INDIRECT(C69&amp;ROW()),TODAY())</f>
        <v>691</v>
      </c>
      <c r="M664">
        <f ca="1">HYPERLINK(CONCATENATE("https://bugzilla.houston.hp.com:1181/bugzilla/show_bug.cgi?id=",INDIRECT(C70&amp;ROW())),INDIRECT(C70&amp;ROW()))</f>
        <v>63281</v>
      </c>
      <c r="N664">
        <v>63281</v>
      </c>
      <c r="O664" t="s">
        <v>66</v>
      </c>
      <c r="P664" t="s">
        <v>1188</v>
      </c>
      <c r="Q664" t="s">
        <v>39</v>
      </c>
      <c r="R664" t="s">
        <v>248</v>
      </c>
      <c r="S664" t="s">
        <v>552</v>
      </c>
      <c r="U664" s="6">
        <v>42156.548090277778</v>
      </c>
      <c r="V664" t="s">
        <v>18</v>
      </c>
      <c r="W664" t="s">
        <v>17</v>
      </c>
      <c r="X664" s="6">
        <v>42156.537291666667</v>
      </c>
      <c r="Y664" t="s">
        <v>125</v>
      </c>
      <c r="AB664" t="s">
        <v>200</v>
      </c>
      <c r="AC664" t="s">
        <v>247</v>
      </c>
      <c r="AD664" t="s">
        <v>220</v>
      </c>
      <c r="AE664" t="s">
        <v>219</v>
      </c>
      <c r="AG664" t="s">
        <v>121</v>
      </c>
      <c r="AH664" t="s">
        <v>327</v>
      </c>
      <c r="AI664" t="s">
        <v>121</v>
      </c>
      <c r="AJ664" t="s">
        <v>715</v>
      </c>
      <c r="AK664" t="s">
        <v>121</v>
      </c>
    </row>
    <row r="665" spans="9:37" x14ac:dyDescent="0.3">
      <c r="I665">
        <f ca="1">IF(OR(INDIRECT(A73&amp;ROW())=B93,INDIRECT(A73&amp;ROW())=B94),1,IF(AND(INDIRECT(A73&amp;ROW())=B95,INDIRECT(A96&amp;ROW())=C93),1,IF(AND(INDIRECT(A73&amp;ROW())=B95,INDIRECT(A96&amp;ROW())=C94),1,0)))</f>
        <v>0</v>
      </c>
      <c r="J665">
        <f ca="1">IF(AND(INDIRECT(A73&amp;ROW())=B95,INDIRECT(A96&amp;ROW())=C95),1,IF(AND(INDIRECT(A73&amp;ROW())=B95,INDIRECT(A96&amp;ROW())=C96),1,0))</f>
        <v>1</v>
      </c>
      <c r="K665">
        <f ca="1">DAYS360(INDIRECT(C68&amp;ROW()),TODAY())</f>
        <v>690</v>
      </c>
      <c r="L665">
        <f ca="1">DAYS360(INDIRECT(C69&amp;ROW()),TODAY())</f>
        <v>690</v>
      </c>
      <c r="M665">
        <f ca="1">HYPERLINK(CONCATENATE("https://bugzilla.houston.hp.com:1181/bugzilla/show_bug.cgi?id=",INDIRECT(C70&amp;ROW())),INDIRECT(C70&amp;ROW()))</f>
        <v>63336</v>
      </c>
      <c r="N665">
        <v>63336</v>
      </c>
      <c r="O665" t="s">
        <v>22</v>
      </c>
      <c r="P665" t="s">
        <v>1187</v>
      </c>
      <c r="Q665" t="s">
        <v>25</v>
      </c>
      <c r="R665" t="s">
        <v>251</v>
      </c>
      <c r="S665" t="s">
        <v>44</v>
      </c>
      <c r="T665" t="s">
        <v>794</v>
      </c>
      <c r="U665" s="6">
        <v>42157.604872685188</v>
      </c>
      <c r="V665" t="s">
        <v>18</v>
      </c>
      <c r="W665" t="s">
        <v>17</v>
      </c>
      <c r="X665" s="6">
        <v>42157.599398148152</v>
      </c>
      <c r="Y665" t="s">
        <v>125</v>
      </c>
      <c r="AB665" t="s">
        <v>201</v>
      </c>
      <c r="AC665" t="s">
        <v>247</v>
      </c>
      <c r="AD665" t="s">
        <v>220</v>
      </c>
      <c r="AE665" t="s">
        <v>223</v>
      </c>
      <c r="AG665" t="s">
        <v>121</v>
      </c>
      <c r="AH665" t="s">
        <v>327</v>
      </c>
      <c r="AI665" t="s">
        <v>121</v>
      </c>
      <c r="AJ665" t="s">
        <v>716</v>
      </c>
      <c r="AK665" t="s">
        <v>121</v>
      </c>
    </row>
    <row r="666" spans="9:37" x14ac:dyDescent="0.3">
      <c r="I666">
        <f ca="1">IF(OR(INDIRECT(A73&amp;ROW())=B93,INDIRECT(A73&amp;ROW())=B94),1,IF(AND(INDIRECT(A73&amp;ROW())=B95,INDIRECT(A96&amp;ROW())=C93),1,IF(AND(INDIRECT(A73&amp;ROW())=B95,INDIRECT(A96&amp;ROW())=C94),1,0)))</f>
        <v>1</v>
      </c>
      <c r="J666">
        <f ca="1">IF(AND(INDIRECT(A73&amp;ROW())=B95,INDIRECT(A96&amp;ROW())=C95),1,IF(AND(INDIRECT(A73&amp;ROW())=B95,INDIRECT(A96&amp;ROW())=C96),1,0))</f>
        <v>0</v>
      </c>
      <c r="K666">
        <f ca="1">DAYS360(INDIRECT(C68&amp;ROW()),TODAY())</f>
        <v>689</v>
      </c>
      <c r="L666">
        <f ca="1">DAYS360(INDIRECT(C69&amp;ROW()),TODAY())</f>
        <v>689</v>
      </c>
      <c r="M666">
        <f ca="1">HYPERLINK(CONCATENATE("https://bugzilla.houston.hp.com:1181/bugzilla/show_bug.cgi?id=",INDIRECT(C70&amp;ROW())),INDIRECT(C70&amp;ROW()))</f>
        <v>63359</v>
      </c>
      <c r="N666">
        <v>63359</v>
      </c>
      <c r="O666" t="s">
        <v>53</v>
      </c>
      <c r="P666" t="s">
        <v>1186</v>
      </c>
      <c r="Q666" t="s">
        <v>39</v>
      </c>
      <c r="R666" t="s">
        <v>579</v>
      </c>
      <c r="S666" t="s">
        <v>552</v>
      </c>
      <c r="U666" s="6">
        <v>42158.33488425926</v>
      </c>
      <c r="V666" t="s">
        <v>18</v>
      </c>
      <c r="W666" t="s">
        <v>63</v>
      </c>
      <c r="X666" s="6">
        <v>42158.017002314817</v>
      </c>
      <c r="Y666" t="s">
        <v>1026</v>
      </c>
      <c r="AB666" t="s">
        <v>201</v>
      </c>
      <c r="AC666" t="s">
        <v>247</v>
      </c>
      <c r="AD666" t="s">
        <v>220</v>
      </c>
      <c r="AE666" t="s">
        <v>243</v>
      </c>
      <c r="AG666" t="s">
        <v>121</v>
      </c>
      <c r="AH666" t="s">
        <v>327</v>
      </c>
      <c r="AI666" t="s">
        <v>121</v>
      </c>
      <c r="AJ666" t="s">
        <v>715</v>
      </c>
      <c r="AK666" t="s">
        <v>121</v>
      </c>
    </row>
    <row r="667" spans="9:37" x14ac:dyDescent="0.3">
      <c r="I667">
        <f ca="1">IF(OR(INDIRECT(A73&amp;ROW())=B93,INDIRECT(A73&amp;ROW())=B94),1,IF(AND(INDIRECT(A73&amp;ROW())=B95,INDIRECT(A96&amp;ROW())=C93),1,IF(AND(INDIRECT(A73&amp;ROW())=B95,INDIRECT(A96&amp;ROW())=C94),1,0)))</f>
        <v>1</v>
      </c>
      <c r="J667">
        <f ca="1">IF(AND(INDIRECT(A73&amp;ROW())=B95,INDIRECT(A96&amp;ROW())=C95),1,IF(AND(INDIRECT(A73&amp;ROW())=B95,INDIRECT(A96&amp;ROW())=C96),1,0))</f>
        <v>0</v>
      </c>
      <c r="K667">
        <f ca="1">DAYS360(INDIRECT(C68&amp;ROW()),TODAY())</f>
        <v>689</v>
      </c>
      <c r="L667">
        <f ca="1">DAYS360(INDIRECT(C69&amp;ROW()),TODAY())</f>
        <v>689</v>
      </c>
      <c r="M667">
        <f ca="1">HYPERLINK(CONCATENATE("https://bugzilla.houston.hp.com:1181/bugzilla/show_bug.cgi?id=",INDIRECT(C70&amp;ROW())),INDIRECT(C70&amp;ROW()))</f>
        <v>63360</v>
      </c>
      <c r="N667">
        <v>63360</v>
      </c>
      <c r="O667" t="s">
        <v>53</v>
      </c>
      <c r="P667" t="s">
        <v>1185</v>
      </c>
      <c r="Q667" t="s">
        <v>39</v>
      </c>
      <c r="R667" t="s">
        <v>783</v>
      </c>
      <c r="S667" t="s">
        <v>552</v>
      </c>
      <c r="U667" s="6">
        <v>42158.334872685184</v>
      </c>
      <c r="V667" t="s">
        <v>18</v>
      </c>
      <c r="W667" t="s">
        <v>63</v>
      </c>
      <c r="X667" s="6">
        <v>42158.017060185186</v>
      </c>
      <c r="Y667" t="s">
        <v>1026</v>
      </c>
      <c r="AB667" t="s">
        <v>201</v>
      </c>
      <c r="AC667" t="s">
        <v>247</v>
      </c>
      <c r="AD667" t="s">
        <v>220</v>
      </c>
      <c r="AE667" t="s">
        <v>243</v>
      </c>
      <c r="AG667" t="s">
        <v>121</v>
      </c>
      <c r="AH667" t="s">
        <v>327</v>
      </c>
      <c r="AI667" t="s">
        <v>121</v>
      </c>
      <c r="AJ667" t="s">
        <v>715</v>
      </c>
      <c r="AK667" t="s">
        <v>121</v>
      </c>
    </row>
    <row r="668" spans="9:37" x14ac:dyDescent="0.3">
      <c r="I668">
        <f ca="1">IF(OR(INDIRECT(A73&amp;ROW())=B93,INDIRECT(A73&amp;ROW())=B94),1,IF(AND(INDIRECT(A73&amp;ROW())=B95,INDIRECT(A96&amp;ROW())=C93),1,IF(AND(INDIRECT(A73&amp;ROW())=B95,INDIRECT(A96&amp;ROW())=C94),1,0)))</f>
        <v>1</v>
      </c>
      <c r="J668">
        <f ca="1">IF(AND(INDIRECT(A73&amp;ROW())=B95,INDIRECT(A96&amp;ROW())=C95),1,IF(AND(INDIRECT(A73&amp;ROW())=B95,INDIRECT(A96&amp;ROW())=C96),1,0))</f>
        <v>0</v>
      </c>
      <c r="K668">
        <f ca="1">DAYS360(INDIRECT(C68&amp;ROW()),TODAY())</f>
        <v>689</v>
      </c>
      <c r="L668">
        <f ca="1">DAYS360(INDIRECT(C69&amp;ROW()),TODAY())</f>
        <v>689</v>
      </c>
      <c r="M668">
        <f ca="1">HYPERLINK(CONCATENATE("https://bugzilla.houston.hp.com:1181/bugzilla/show_bug.cgi?id=",INDIRECT(C70&amp;ROW())),INDIRECT(C70&amp;ROW()))</f>
        <v>63361</v>
      </c>
      <c r="N668">
        <v>63361</v>
      </c>
      <c r="O668" t="s">
        <v>53</v>
      </c>
      <c r="P668" t="s">
        <v>1184</v>
      </c>
      <c r="Q668" t="s">
        <v>39</v>
      </c>
      <c r="R668" t="s">
        <v>248</v>
      </c>
      <c r="S668" t="s">
        <v>552</v>
      </c>
      <c r="U668" s="6">
        <v>42158.33488425926</v>
      </c>
      <c r="V668" t="s">
        <v>18</v>
      </c>
      <c r="W668" t="s">
        <v>63</v>
      </c>
      <c r="X668" s="6">
        <v>42158.017129629632</v>
      </c>
      <c r="Y668" t="s">
        <v>1026</v>
      </c>
      <c r="AB668" t="s">
        <v>201</v>
      </c>
      <c r="AC668" t="s">
        <v>247</v>
      </c>
      <c r="AD668" t="s">
        <v>220</v>
      </c>
      <c r="AE668" t="s">
        <v>243</v>
      </c>
      <c r="AG668" t="s">
        <v>121</v>
      </c>
      <c r="AH668" t="s">
        <v>327</v>
      </c>
      <c r="AI668" t="s">
        <v>121</v>
      </c>
      <c r="AJ668" t="s">
        <v>715</v>
      </c>
      <c r="AK668" t="s">
        <v>121</v>
      </c>
    </row>
    <row r="669" spans="9:37" x14ac:dyDescent="0.3">
      <c r="I669">
        <f ca="1">IF(OR(INDIRECT(A73&amp;ROW())=B93,INDIRECT(A73&amp;ROW())=B94),1,IF(AND(INDIRECT(A73&amp;ROW())=B95,INDIRECT(A96&amp;ROW())=C93),1,IF(AND(INDIRECT(A73&amp;ROW())=B95,INDIRECT(A96&amp;ROW())=C94),1,0)))</f>
        <v>1</v>
      </c>
      <c r="J669">
        <f ca="1">IF(AND(INDIRECT(A73&amp;ROW())=B95,INDIRECT(A96&amp;ROW())=C95),1,IF(AND(INDIRECT(A73&amp;ROW())=B95,INDIRECT(A96&amp;ROW())=C96),1,0))</f>
        <v>0</v>
      </c>
      <c r="K669">
        <f ca="1">DAYS360(INDIRECT(C68&amp;ROW()),TODAY())</f>
        <v>687</v>
      </c>
      <c r="L669">
        <f ca="1">DAYS360(INDIRECT(C69&amp;ROW()),TODAY())</f>
        <v>689</v>
      </c>
      <c r="M669">
        <f ca="1">HYPERLINK(CONCATENATE("https://bugzilla.houston.hp.com:1181/bugzilla/show_bug.cgi?id=",INDIRECT(C70&amp;ROW())),INDIRECT(C70&amp;ROW()))</f>
        <v>63423</v>
      </c>
      <c r="N669">
        <v>63423</v>
      </c>
      <c r="O669" t="s">
        <v>45</v>
      </c>
      <c r="P669" t="s">
        <v>1183</v>
      </c>
      <c r="Q669" t="s">
        <v>39</v>
      </c>
      <c r="R669" t="s">
        <v>251</v>
      </c>
      <c r="S669" t="s">
        <v>236</v>
      </c>
      <c r="U669" s="6">
        <v>42160.309386574074</v>
      </c>
      <c r="V669" t="s">
        <v>35</v>
      </c>
      <c r="W669" t="s">
        <v>17</v>
      </c>
      <c r="X669" s="6">
        <v>42158.957037037035</v>
      </c>
      <c r="Y669" t="s">
        <v>801</v>
      </c>
      <c r="AB669" t="s">
        <v>201</v>
      </c>
      <c r="AC669" t="s">
        <v>247</v>
      </c>
      <c r="AD669" t="s">
        <v>227</v>
      </c>
      <c r="AE669" t="s">
        <v>226</v>
      </c>
      <c r="AG669" t="s">
        <v>121</v>
      </c>
      <c r="AH669" t="s">
        <v>327</v>
      </c>
      <c r="AI669" t="s">
        <v>121</v>
      </c>
      <c r="AJ669" t="s">
        <v>715</v>
      </c>
      <c r="AK669" t="s">
        <v>121</v>
      </c>
    </row>
    <row r="670" spans="9:37" x14ac:dyDescent="0.3">
      <c r="I670">
        <f ca="1">IF(OR(INDIRECT(A73&amp;ROW())=B93,INDIRECT(A73&amp;ROW())=B94),1,IF(AND(INDIRECT(A73&amp;ROW())=B95,INDIRECT(A96&amp;ROW())=C93),1,IF(AND(INDIRECT(A73&amp;ROW())=B95,INDIRECT(A96&amp;ROW())=C94),1,0)))</f>
        <v>1</v>
      </c>
      <c r="J670">
        <f ca="1">IF(AND(INDIRECT(A73&amp;ROW())=B95,INDIRECT(A96&amp;ROW())=C95),1,IF(AND(INDIRECT(A73&amp;ROW())=B95,INDIRECT(A96&amp;ROW())=C96),1,0))</f>
        <v>0</v>
      </c>
      <c r="K670">
        <f ca="1">DAYS360(INDIRECT(C68&amp;ROW()),TODAY())</f>
        <v>687</v>
      </c>
      <c r="L670">
        <f ca="1">DAYS360(INDIRECT(C69&amp;ROW()),TODAY())</f>
        <v>688</v>
      </c>
      <c r="M670">
        <f ca="1">HYPERLINK(CONCATENATE("https://bugzilla.houston.hp.com:1181/bugzilla/show_bug.cgi?id=",INDIRECT(C70&amp;ROW())),INDIRECT(C70&amp;ROW()))</f>
        <v>63435</v>
      </c>
      <c r="N670">
        <v>63435</v>
      </c>
      <c r="O670" t="s">
        <v>56</v>
      </c>
      <c r="P670" t="s">
        <v>1182</v>
      </c>
      <c r="Q670" t="s">
        <v>39</v>
      </c>
      <c r="R670" t="s">
        <v>248</v>
      </c>
      <c r="S670" t="s">
        <v>552</v>
      </c>
      <c r="U670" s="6">
        <v>42160.398842592593</v>
      </c>
      <c r="V670" t="s">
        <v>18</v>
      </c>
      <c r="W670" t="s">
        <v>248</v>
      </c>
      <c r="X670" s="6">
        <v>42159.017280092594</v>
      </c>
      <c r="Y670" t="s">
        <v>793</v>
      </c>
      <c r="AB670" t="s">
        <v>201</v>
      </c>
      <c r="AC670" t="s">
        <v>247</v>
      </c>
      <c r="AD670" t="s">
        <v>220</v>
      </c>
      <c r="AE670" t="s">
        <v>219</v>
      </c>
      <c r="AG670" t="s">
        <v>121</v>
      </c>
      <c r="AH670" t="s">
        <v>327</v>
      </c>
      <c r="AI670" t="s">
        <v>121</v>
      </c>
      <c r="AJ670" t="s">
        <v>715</v>
      </c>
      <c r="AK670" t="s">
        <v>121</v>
      </c>
    </row>
    <row r="671" spans="9:37" x14ac:dyDescent="0.3">
      <c r="I671">
        <f ca="1">IF(OR(INDIRECT(A73&amp;ROW())=B93,INDIRECT(A73&amp;ROW())=B94),1,IF(AND(INDIRECT(A73&amp;ROW())=B95,INDIRECT(A96&amp;ROW())=C93),1,IF(AND(INDIRECT(A73&amp;ROW())=B95,INDIRECT(A96&amp;ROW())=C94),1,0)))</f>
        <v>1</v>
      </c>
      <c r="J671">
        <f ca="1">IF(AND(INDIRECT(A73&amp;ROW())=B95,INDIRECT(A96&amp;ROW())=C95),1,IF(AND(INDIRECT(A73&amp;ROW())=B95,INDIRECT(A96&amp;ROW())=C96),1,0))</f>
        <v>0</v>
      </c>
      <c r="K671">
        <f ca="1">DAYS360(INDIRECT(C68&amp;ROW()),TODAY())</f>
        <v>687</v>
      </c>
      <c r="L671">
        <f ca="1">DAYS360(INDIRECT(C69&amp;ROW()),TODAY())</f>
        <v>688</v>
      </c>
      <c r="M671">
        <f ca="1">HYPERLINK(CONCATENATE("https://bugzilla.houston.hp.com:1181/bugzilla/show_bug.cgi?id=",INDIRECT(C70&amp;ROW())),INDIRECT(C70&amp;ROW()))</f>
        <v>63460</v>
      </c>
      <c r="N671">
        <v>63460</v>
      </c>
      <c r="O671" t="s">
        <v>45</v>
      </c>
      <c r="P671" t="s">
        <v>1181</v>
      </c>
      <c r="Q671" t="s">
        <v>39</v>
      </c>
      <c r="R671" t="s">
        <v>248</v>
      </c>
      <c r="S671" t="s">
        <v>784</v>
      </c>
      <c r="U671" s="6">
        <v>42160.456469907411</v>
      </c>
      <c r="V671" t="s">
        <v>18</v>
      </c>
      <c r="W671" t="s">
        <v>17</v>
      </c>
      <c r="X671" s="6">
        <v>42159.356446759259</v>
      </c>
      <c r="Y671" t="s">
        <v>801</v>
      </c>
      <c r="AB671" t="s">
        <v>201</v>
      </c>
      <c r="AC671" t="s">
        <v>247</v>
      </c>
      <c r="AD671" t="s">
        <v>227</v>
      </c>
      <c r="AE671" t="s">
        <v>226</v>
      </c>
      <c r="AG671" t="s">
        <v>121</v>
      </c>
      <c r="AH671" t="s">
        <v>327</v>
      </c>
      <c r="AI671" t="s">
        <v>121</v>
      </c>
      <c r="AJ671" t="s">
        <v>715</v>
      </c>
      <c r="AK671" t="s">
        <v>121</v>
      </c>
    </row>
    <row r="672" spans="9:37" x14ac:dyDescent="0.3">
      <c r="I672">
        <f ca="1">IF(OR(INDIRECT(A73&amp;ROW())=B93,INDIRECT(A73&amp;ROW())=B94),1,IF(AND(INDIRECT(A73&amp;ROW())=B95,INDIRECT(A96&amp;ROW())=C93),1,IF(AND(INDIRECT(A73&amp;ROW())=B95,INDIRECT(A96&amp;ROW())=C94),1,0)))</f>
        <v>1</v>
      </c>
      <c r="J672">
        <f ca="1">IF(AND(INDIRECT(A73&amp;ROW())=B95,INDIRECT(A96&amp;ROW())=C95),1,IF(AND(INDIRECT(A73&amp;ROW())=B95,INDIRECT(A96&amp;ROW())=C96),1,0))</f>
        <v>0</v>
      </c>
      <c r="K672">
        <f ca="1">DAYS360(INDIRECT(C68&amp;ROW()),TODAY())</f>
        <v>687</v>
      </c>
      <c r="L672">
        <f ca="1">DAYS360(INDIRECT(C69&amp;ROW()),TODAY())</f>
        <v>688</v>
      </c>
      <c r="M672">
        <f ca="1">HYPERLINK(CONCATENATE("https://bugzilla.houston.hp.com:1181/bugzilla/show_bug.cgi?id=",INDIRECT(C70&amp;ROW())),INDIRECT(C70&amp;ROW()))</f>
        <v>63461</v>
      </c>
      <c r="N672">
        <v>63461</v>
      </c>
      <c r="O672" t="s">
        <v>45</v>
      </c>
      <c r="P672" t="s">
        <v>1180</v>
      </c>
      <c r="Q672" t="s">
        <v>39</v>
      </c>
      <c r="R672" t="s">
        <v>783</v>
      </c>
      <c r="S672" t="s">
        <v>784</v>
      </c>
      <c r="U672" s="6">
        <v>42160.506874999999</v>
      </c>
      <c r="V672" t="s">
        <v>18</v>
      </c>
      <c r="W672" t="s">
        <v>17</v>
      </c>
      <c r="X672" s="6">
        <v>42159.356562499997</v>
      </c>
      <c r="Y672" t="s">
        <v>801</v>
      </c>
      <c r="AB672" t="s">
        <v>201</v>
      </c>
      <c r="AC672" t="s">
        <v>247</v>
      </c>
      <c r="AD672" t="s">
        <v>227</v>
      </c>
      <c r="AE672" t="s">
        <v>226</v>
      </c>
      <c r="AG672" t="s">
        <v>121</v>
      </c>
      <c r="AH672" t="s">
        <v>327</v>
      </c>
      <c r="AI672" t="s">
        <v>121</v>
      </c>
      <c r="AJ672" t="s">
        <v>715</v>
      </c>
      <c r="AK672" t="s">
        <v>1104</v>
      </c>
    </row>
    <row r="673" spans="9:37" x14ac:dyDescent="0.3">
      <c r="I673">
        <f ca="1">IF(OR(INDIRECT(A73&amp;ROW())=B93,INDIRECT(A73&amp;ROW())=B94),1,IF(AND(INDIRECT(A73&amp;ROW())=B95,INDIRECT(A96&amp;ROW())=C93),1,IF(AND(INDIRECT(A73&amp;ROW())=B95,INDIRECT(A96&amp;ROW())=C94),1,0)))</f>
        <v>1</v>
      </c>
      <c r="J673">
        <f ca="1">IF(AND(INDIRECT(A73&amp;ROW())=B95,INDIRECT(A96&amp;ROW())=C95),1,IF(AND(INDIRECT(A73&amp;ROW())=B95,INDIRECT(A96&amp;ROW())=C96),1,0))</f>
        <v>0</v>
      </c>
      <c r="K673">
        <f ca="1">DAYS360(INDIRECT(C68&amp;ROW()),TODAY())</f>
        <v>687</v>
      </c>
      <c r="L673">
        <f ca="1">DAYS360(INDIRECT(C69&amp;ROW()),TODAY())</f>
        <v>688</v>
      </c>
      <c r="M673">
        <f ca="1">HYPERLINK(CONCATENATE("https://bugzilla.houston.hp.com:1181/bugzilla/show_bug.cgi?id=",INDIRECT(C70&amp;ROW())),INDIRECT(C70&amp;ROW()))</f>
        <v>63463</v>
      </c>
      <c r="N673">
        <v>63463</v>
      </c>
      <c r="O673" t="s">
        <v>53</v>
      </c>
      <c r="P673" t="s">
        <v>1179</v>
      </c>
      <c r="Q673" t="s">
        <v>25</v>
      </c>
      <c r="R673" t="s">
        <v>251</v>
      </c>
      <c r="S673" t="s">
        <v>1178</v>
      </c>
      <c r="U673" s="6">
        <v>42160.468611111108</v>
      </c>
      <c r="V673" t="s">
        <v>18</v>
      </c>
      <c r="W673" t="s">
        <v>783</v>
      </c>
      <c r="X673" s="6">
        <v>42159.371886574074</v>
      </c>
      <c r="Y673" t="s">
        <v>244</v>
      </c>
      <c r="AB673" t="s">
        <v>200</v>
      </c>
      <c r="AC673" t="s">
        <v>247</v>
      </c>
      <c r="AD673" t="s">
        <v>220</v>
      </c>
      <c r="AE673" t="s">
        <v>290</v>
      </c>
      <c r="AG673" t="s">
        <v>121</v>
      </c>
      <c r="AH673" t="s">
        <v>327</v>
      </c>
      <c r="AI673" t="s">
        <v>121</v>
      </c>
      <c r="AJ673" t="s">
        <v>715</v>
      </c>
      <c r="AK673" t="s">
        <v>121</v>
      </c>
    </row>
    <row r="674" spans="9:37" x14ac:dyDescent="0.3">
      <c r="I674">
        <f ca="1">IF(OR(INDIRECT(A73&amp;ROW())=B93,INDIRECT(A73&amp;ROW())=B94),1,IF(AND(INDIRECT(A73&amp;ROW())=B95,INDIRECT(A96&amp;ROW())=C93),1,IF(AND(INDIRECT(A73&amp;ROW())=B95,INDIRECT(A96&amp;ROW())=C94),1,0)))</f>
        <v>1</v>
      </c>
      <c r="J674">
        <f ca="1">IF(AND(INDIRECT(A73&amp;ROW())=B95,INDIRECT(A96&amp;ROW())=C95),1,IF(AND(INDIRECT(A73&amp;ROW())=B95,INDIRECT(A96&amp;ROW())=C96),1,0))</f>
        <v>0</v>
      </c>
      <c r="K674">
        <f ca="1">DAYS360(INDIRECT(C68&amp;ROW()),TODAY())</f>
        <v>687</v>
      </c>
      <c r="L674">
        <f ca="1">DAYS360(INDIRECT(C69&amp;ROW()),TODAY())</f>
        <v>688</v>
      </c>
      <c r="M674">
        <f ca="1">HYPERLINK(CONCATENATE("https://bugzilla.houston.hp.com:1181/bugzilla/show_bug.cgi?id=",INDIRECT(C70&amp;ROW())),INDIRECT(C70&amp;ROW()))</f>
        <v>63472</v>
      </c>
      <c r="N674">
        <v>63472</v>
      </c>
      <c r="O674" t="s">
        <v>53</v>
      </c>
      <c r="P674" t="s">
        <v>1177</v>
      </c>
      <c r="Q674" t="s">
        <v>25</v>
      </c>
      <c r="R674" t="s">
        <v>579</v>
      </c>
      <c r="S674" t="s">
        <v>552</v>
      </c>
      <c r="U674" s="6">
        <v>42160.468599537038</v>
      </c>
      <c r="V674" t="s">
        <v>18</v>
      </c>
      <c r="W674" t="s">
        <v>783</v>
      </c>
      <c r="X674" s="6">
        <v>42159.517164351855</v>
      </c>
      <c r="Y674" t="s">
        <v>244</v>
      </c>
      <c r="AB674" t="s">
        <v>200</v>
      </c>
      <c r="AC674" t="s">
        <v>247</v>
      </c>
      <c r="AD674" t="s">
        <v>220</v>
      </c>
      <c r="AE674" t="s">
        <v>290</v>
      </c>
      <c r="AG674" t="s">
        <v>121</v>
      </c>
      <c r="AH674" t="s">
        <v>327</v>
      </c>
      <c r="AI674" t="s">
        <v>121</v>
      </c>
      <c r="AJ674" t="s">
        <v>715</v>
      </c>
      <c r="AK674" t="s">
        <v>121</v>
      </c>
    </row>
    <row r="675" spans="9:37" x14ac:dyDescent="0.3">
      <c r="I675">
        <f ca="1">IF(OR(INDIRECT(A73&amp;ROW())=B93,INDIRECT(A73&amp;ROW())=B94),1,IF(AND(INDIRECT(A73&amp;ROW())=B95,INDIRECT(A96&amp;ROW())=C93),1,IF(AND(INDIRECT(A73&amp;ROW())=B95,INDIRECT(A96&amp;ROW())=C94),1,0)))</f>
        <v>1</v>
      </c>
      <c r="J675">
        <f ca="1">IF(AND(INDIRECT(A73&amp;ROW())=B95,INDIRECT(A96&amp;ROW())=C95),1,IF(AND(INDIRECT(A73&amp;ROW())=B95,INDIRECT(A96&amp;ROW())=C96),1,0))</f>
        <v>0</v>
      </c>
      <c r="K675">
        <f ca="1">DAYS360(INDIRECT(C68&amp;ROW()),TODAY())</f>
        <v>687</v>
      </c>
      <c r="L675">
        <f ca="1">DAYS360(INDIRECT(C69&amp;ROW()),TODAY())</f>
        <v>688</v>
      </c>
      <c r="M675">
        <f ca="1">HYPERLINK(CONCATENATE("https://bugzilla.houston.hp.com:1181/bugzilla/show_bug.cgi?id=",INDIRECT(C70&amp;ROW())),INDIRECT(C70&amp;ROW()))</f>
        <v>63473</v>
      </c>
      <c r="N675">
        <v>63473</v>
      </c>
      <c r="O675" t="s">
        <v>53</v>
      </c>
      <c r="P675" t="s">
        <v>1176</v>
      </c>
      <c r="Q675" t="s">
        <v>25</v>
      </c>
      <c r="R675" t="s">
        <v>783</v>
      </c>
      <c r="S675" t="s">
        <v>552</v>
      </c>
      <c r="U675" s="6">
        <v>42160.468634259261</v>
      </c>
      <c r="V675" t="s">
        <v>18</v>
      </c>
      <c r="W675" t="s">
        <v>783</v>
      </c>
      <c r="X675" s="6">
        <v>42159.517256944448</v>
      </c>
      <c r="Y675" t="s">
        <v>244</v>
      </c>
      <c r="AB675" t="s">
        <v>200</v>
      </c>
      <c r="AC675" t="s">
        <v>247</v>
      </c>
      <c r="AD675" t="s">
        <v>220</v>
      </c>
      <c r="AE675" t="s">
        <v>290</v>
      </c>
      <c r="AG675" t="s">
        <v>121</v>
      </c>
      <c r="AH675" t="s">
        <v>327</v>
      </c>
      <c r="AI675" t="s">
        <v>121</v>
      </c>
      <c r="AJ675" t="s">
        <v>715</v>
      </c>
      <c r="AK675" t="s">
        <v>121</v>
      </c>
    </row>
    <row r="676" spans="9:37" x14ac:dyDescent="0.3">
      <c r="I676">
        <f ca="1">IF(OR(INDIRECT(A73&amp;ROW())=B93,INDIRECT(A73&amp;ROW())=B94),1,IF(AND(INDIRECT(A73&amp;ROW())=B95,INDIRECT(A96&amp;ROW())=C93),1,IF(AND(INDIRECT(A73&amp;ROW())=B95,INDIRECT(A96&amp;ROW())=C94),1,0)))</f>
        <v>1</v>
      </c>
      <c r="J676">
        <f ca="1">IF(AND(INDIRECT(A73&amp;ROW())=B95,INDIRECT(A96&amp;ROW())=C95),1,IF(AND(INDIRECT(A73&amp;ROW())=B95,INDIRECT(A96&amp;ROW())=C96),1,0))</f>
        <v>0</v>
      </c>
      <c r="K676">
        <f ca="1">DAYS360(INDIRECT(C68&amp;ROW()),TODAY())</f>
        <v>687</v>
      </c>
      <c r="L676">
        <f ca="1">DAYS360(INDIRECT(C69&amp;ROW()),TODAY())</f>
        <v>688</v>
      </c>
      <c r="M676">
        <f ca="1">HYPERLINK(CONCATENATE("https://bugzilla.houston.hp.com:1181/bugzilla/show_bug.cgi?id=",INDIRECT(C70&amp;ROW())),INDIRECT(C70&amp;ROW()))</f>
        <v>63474</v>
      </c>
      <c r="N676">
        <v>63474</v>
      </c>
      <c r="O676" t="s">
        <v>53</v>
      </c>
      <c r="P676" t="s">
        <v>1175</v>
      </c>
      <c r="Q676" t="s">
        <v>25</v>
      </c>
      <c r="R676" t="s">
        <v>248</v>
      </c>
      <c r="S676" t="s">
        <v>552</v>
      </c>
      <c r="U676" s="6">
        <v>42160.468576388892</v>
      </c>
      <c r="V676" t="s">
        <v>18</v>
      </c>
      <c r="W676" t="s">
        <v>783</v>
      </c>
      <c r="X676" s="6">
        <v>42159.517326388886</v>
      </c>
      <c r="Y676" t="s">
        <v>244</v>
      </c>
      <c r="AB676" t="s">
        <v>200</v>
      </c>
      <c r="AC676" t="s">
        <v>247</v>
      </c>
      <c r="AD676" t="s">
        <v>220</v>
      </c>
      <c r="AE676" t="s">
        <v>290</v>
      </c>
      <c r="AG676" t="s">
        <v>121</v>
      </c>
      <c r="AH676" t="s">
        <v>327</v>
      </c>
      <c r="AI676" t="s">
        <v>121</v>
      </c>
      <c r="AJ676" t="s">
        <v>715</v>
      </c>
      <c r="AK676" t="s">
        <v>121</v>
      </c>
    </row>
    <row r="677" spans="9:37" x14ac:dyDescent="0.3">
      <c r="I677">
        <f ca="1">IF(OR(INDIRECT(A73&amp;ROW())=B93,INDIRECT(A73&amp;ROW())=B94),1,IF(AND(INDIRECT(A73&amp;ROW())=B95,INDIRECT(A96&amp;ROW())=C93),1,IF(AND(INDIRECT(A73&amp;ROW())=B95,INDIRECT(A96&amp;ROW())=C94),1,0)))</f>
        <v>1</v>
      </c>
      <c r="J677">
        <f ca="1">IF(AND(INDIRECT(A73&amp;ROW())=B95,INDIRECT(A96&amp;ROW())=C95),1,IF(AND(INDIRECT(A73&amp;ROW())=B95,INDIRECT(A96&amp;ROW())=C96),1,0))</f>
        <v>0</v>
      </c>
      <c r="K677">
        <f ca="1">DAYS360(INDIRECT(C68&amp;ROW()),TODAY())</f>
        <v>687</v>
      </c>
      <c r="L677">
        <f ca="1">DAYS360(INDIRECT(C69&amp;ROW()),TODAY())</f>
        <v>688</v>
      </c>
      <c r="M677">
        <f ca="1">HYPERLINK(CONCATENATE("https://bugzilla.houston.hp.com:1181/bugzilla/show_bug.cgi?id=",INDIRECT(C70&amp;ROW())),INDIRECT(C70&amp;ROW()))</f>
        <v>63480</v>
      </c>
      <c r="N677">
        <v>63480</v>
      </c>
      <c r="O677" t="s">
        <v>56</v>
      </c>
      <c r="P677" t="s">
        <v>1174</v>
      </c>
      <c r="Q677" t="s">
        <v>39</v>
      </c>
      <c r="R677" t="s">
        <v>251</v>
      </c>
      <c r="S677" t="s">
        <v>1102</v>
      </c>
      <c r="U677" s="6">
        <v>42160.413171296299</v>
      </c>
      <c r="V677" t="s">
        <v>18</v>
      </c>
      <c r="W677" t="s">
        <v>17</v>
      </c>
      <c r="X677" s="6">
        <v>42159.568333333336</v>
      </c>
      <c r="Y677" t="s">
        <v>125</v>
      </c>
      <c r="AB677" t="s">
        <v>201</v>
      </c>
      <c r="AC677" t="s">
        <v>247</v>
      </c>
      <c r="AD677" t="s">
        <v>220</v>
      </c>
      <c r="AE677" t="s">
        <v>219</v>
      </c>
      <c r="AG677" t="s">
        <v>121</v>
      </c>
      <c r="AH677" t="s">
        <v>327</v>
      </c>
      <c r="AI677" t="s">
        <v>121</v>
      </c>
      <c r="AJ677" t="s">
        <v>715</v>
      </c>
      <c r="AK677" t="s">
        <v>121</v>
      </c>
    </row>
    <row r="678" spans="9:37" x14ac:dyDescent="0.3">
      <c r="I678">
        <f ca="1">IF(OR(INDIRECT(A73&amp;ROW())=B93,INDIRECT(A73&amp;ROW())=B94),1,IF(AND(INDIRECT(A73&amp;ROW())=B95,INDIRECT(A96&amp;ROW())=C93),1,IF(AND(INDIRECT(A73&amp;ROW())=B95,INDIRECT(A96&amp;ROW())=C94),1,0)))</f>
        <v>0</v>
      </c>
      <c r="J678">
        <f ca="1">IF(AND(INDIRECT(A73&amp;ROW())=B95,INDIRECT(A96&amp;ROW())=C95),1,IF(AND(INDIRECT(A73&amp;ROW())=B95,INDIRECT(A96&amp;ROW())=C96),1,0))</f>
        <v>0</v>
      </c>
      <c r="K678">
        <f ca="1">DAYS360(INDIRECT(C68&amp;ROW()),TODAY())</f>
        <v>687</v>
      </c>
      <c r="L678">
        <f ca="1">DAYS360(INDIRECT(C69&amp;ROW()),TODAY())</f>
        <v>688</v>
      </c>
      <c r="M678">
        <f ca="1">HYPERLINK(CONCATENATE("https://bugzilla.houston.hp.com:1181/bugzilla/show_bug.cgi?id=",INDIRECT(C70&amp;ROW())),INDIRECT(C70&amp;ROW()))</f>
        <v>63486</v>
      </c>
      <c r="N678">
        <v>63486</v>
      </c>
      <c r="O678" t="s">
        <v>22</v>
      </c>
      <c r="P678" t="s">
        <v>1173</v>
      </c>
      <c r="Q678" t="s">
        <v>16</v>
      </c>
      <c r="R678" t="s">
        <v>251</v>
      </c>
      <c r="S678" t="s">
        <v>1172</v>
      </c>
      <c r="U678" s="6">
        <v>42160.420474537037</v>
      </c>
      <c r="V678" t="s">
        <v>18</v>
      </c>
      <c r="W678" t="s">
        <v>783</v>
      </c>
      <c r="X678" s="6">
        <v>42159.706087962964</v>
      </c>
      <c r="Y678" t="s">
        <v>244</v>
      </c>
      <c r="AB678" t="s">
        <v>201</v>
      </c>
      <c r="AC678" t="s">
        <v>247</v>
      </c>
      <c r="AD678" t="s">
        <v>222</v>
      </c>
      <c r="AE678" t="s">
        <v>240</v>
      </c>
      <c r="AG678" t="s">
        <v>121</v>
      </c>
      <c r="AH678" t="s">
        <v>327</v>
      </c>
      <c r="AI678" t="s">
        <v>121</v>
      </c>
      <c r="AJ678" t="s">
        <v>717</v>
      </c>
      <c r="AK678" t="s">
        <v>121</v>
      </c>
    </row>
    <row r="679" spans="9:37" x14ac:dyDescent="0.3">
      <c r="I679">
        <f ca="1">IF(OR(INDIRECT(A73&amp;ROW())=B93,INDIRECT(A73&amp;ROW())=B94),1,IF(AND(INDIRECT(A73&amp;ROW())=B95,INDIRECT(A96&amp;ROW())=C93),1,IF(AND(INDIRECT(A73&amp;ROW())=B95,INDIRECT(A96&amp;ROW())=C94),1,0)))</f>
        <v>0</v>
      </c>
      <c r="J679">
        <f ca="1">IF(AND(INDIRECT(A73&amp;ROW())=B95,INDIRECT(A96&amp;ROW())=C95),1,IF(AND(INDIRECT(A73&amp;ROW())=B95,INDIRECT(A96&amp;ROW())=C96),1,0))</f>
        <v>0</v>
      </c>
      <c r="K679">
        <f ca="1">DAYS360(INDIRECT(C68&amp;ROW()),TODAY())</f>
        <v>687</v>
      </c>
      <c r="L679">
        <f ca="1">DAYS360(INDIRECT(C69&amp;ROW()),TODAY())</f>
        <v>687</v>
      </c>
      <c r="M679">
        <f ca="1">HYPERLINK(CONCATENATE("https://bugzilla.houston.hp.com:1181/bugzilla/show_bug.cgi?id=",INDIRECT(C70&amp;ROW())),INDIRECT(C70&amp;ROW()))</f>
        <v>63494</v>
      </c>
      <c r="N679">
        <v>63494</v>
      </c>
      <c r="O679" t="s">
        <v>22</v>
      </c>
      <c r="P679" t="s">
        <v>1171</v>
      </c>
      <c r="Q679" t="s">
        <v>16</v>
      </c>
      <c r="R679" t="s">
        <v>579</v>
      </c>
      <c r="S679" t="s">
        <v>552</v>
      </c>
      <c r="U679" s="6">
        <v>42160.458101851851</v>
      </c>
      <c r="V679" t="s">
        <v>18</v>
      </c>
      <c r="W679" t="s">
        <v>783</v>
      </c>
      <c r="X679" s="6">
        <v>42160.017094907409</v>
      </c>
      <c r="Y679" t="s">
        <v>244</v>
      </c>
      <c r="AB679" t="s">
        <v>201</v>
      </c>
      <c r="AC679" t="s">
        <v>247</v>
      </c>
      <c r="AD679" t="s">
        <v>222</v>
      </c>
      <c r="AE679" t="s">
        <v>240</v>
      </c>
      <c r="AG679" t="s">
        <v>121</v>
      </c>
      <c r="AH679" t="s">
        <v>327</v>
      </c>
      <c r="AI679" t="s">
        <v>121</v>
      </c>
      <c r="AJ679" t="s">
        <v>717</v>
      </c>
      <c r="AK679" t="s">
        <v>121</v>
      </c>
    </row>
    <row r="680" spans="9:37" x14ac:dyDescent="0.3">
      <c r="I680">
        <f ca="1">IF(OR(INDIRECT(A73&amp;ROW())=B93,INDIRECT(A73&amp;ROW())=B94),1,IF(AND(INDIRECT(A73&amp;ROW())=B95,INDIRECT(A96&amp;ROW())=C93),1,IF(AND(INDIRECT(A73&amp;ROW())=B95,INDIRECT(A96&amp;ROW())=C94),1,0)))</f>
        <v>0</v>
      </c>
      <c r="J680">
        <f ca="1">IF(AND(INDIRECT(A73&amp;ROW())=B95,INDIRECT(A96&amp;ROW())=C95),1,IF(AND(INDIRECT(A73&amp;ROW())=B95,INDIRECT(A96&amp;ROW())=C96),1,0))</f>
        <v>0</v>
      </c>
      <c r="K680">
        <f ca="1">DAYS360(INDIRECT(C68&amp;ROW()),TODAY())</f>
        <v>687</v>
      </c>
      <c r="L680">
        <f ca="1">DAYS360(INDIRECT(C69&amp;ROW()),TODAY())</f>
        <v>687</v>
      </c>
      <c r="M680">
        <f ca="1">HYPERLINK(CONCATENATE("https://bugzilla.houston.hp.com:1181/bugzilla/show_bug.cgi?id=",INDIRECT(C70&amp;ROW())),INDIRECT(C70&amp;ROW()))</f>
        <v>63495</v>
      </c>
      <c r="N680">
        <v>63495</v>
      </c>
      <c r="O680" t="s">
        <v>22</v>
      </c>
      <c r="P680" t="s">
        <v>1170</v>
      </c>
      <c r="Q680" t="s">
        <v>16</v>
      </c>
      <c r="R680" t="s">
        <v>783</v>
      </c>
      <c r="S680" t="s">
        <v>552</v>
      </c>
      <c r="U680" s="6">
        <v>42160.458090277774</v>
      </c>
      <c r="V680" t="s">
        <v>18</v>
      </c>
      <c r="W680" t="s">
        <v>783</v>
      </c>
      <c r="X680" s="6">
        <v>42160.017152777778</v>
      </c>
      <c r="Y680" t="s">
        <v>244</v>
      </c>
      <c r="AB680" t="s">
        <v>201</v>
      </c>
      <c r="AC680" t="s">
        <v>247</v>
      </c>
      <c r="AD680" t="s">
        <v>222</v>
      </c>
      <c r="AE680" t="s">
        <v>240</v>
      </c>
      <c r="AG680" t="s">
        <v>121</v>
      </c>
      <c r="AH680" t="s">
        <v>327</v>
      </c>
      <c r="AI680" t="s">
        <v>121</v>
      </c>
      <c r="AJ680" t="s">
        <v>717</v>
      </c>
      <c r="AK680" t="s">
        <v>121</v>
      </c>
    </row>
    <row r="681" spans="9:37" x14ac:dyDescent="0.3">
      <c r="I681">
        <f ca="1">IF(OR(INDIRECT(A73&amp;ROW())=B93,INDIRECT(A73&amp;ROW())=B94),1,IF(AND(INDIRECT(A73&amp;ROW())=B95,INDIRECT(A96&amp;ROW())=C93),1,IF(AND(INDIRECT(A73&amp;ROW())=B95,INDIRECT(A96&amp;ROW())=C94),1,0)))</f>
        <v>0</v>
      </c>
      <c r="J681">
        <f ca="1">IF(AND(INDIRECT(A73&amp;ROW())=B95,INDIRECT(A96&amp;ROW())=C95),1,IF(AND(INDIRECT(A73&amp;ROW())=B95,INDIRECT(A96&amp;ROW())=C96),1,0))</f>
        <v>0</v>
      </c>
      <c r="K681">
        <f ca="1">DAYS360(INDIRECT(C68&amp;ROW()),TODAY())</f>
        <v>687</v>
      </c>
      <c r="L681">
        <f ca="1">DAYS360(INDIRECT(C69&amp;ROW()),TODAY())</f>
        <v>687</v>
      </c>
      <c r="M681">
        <f ca="1">HYPERLINK(CONCATENATE("https://bugzilla.houston.hp.com:1181/bugzilla/show_bug.cgi?id=",INDIRECT(C70&amp;ROW())),INDIRECT(C70&amp;ROW()))</f>
        <v>63496</v>
      </c>
      <c r="N681">
        <v>63496</v>
      </c>
      <c r="O681" t="s">
        <v>22</v>
      </c>
      <c r="P681" t="s">
        <v>1169</v>
      </c>
      <c r="Q681" t="s">
        <v>16</v>
      </c>
      <c r="R681" t="s">
        <v>248</v>
      </c>
      <c r="S681" t="s">
        <v>552</v>
      </c>
      <c r="U681" s="6">
        <v>42160.458078703705</v>
      </c>
      <c r="V681" t="s">
        <v>18</v>
      </c>
      <c r="W681" t="s">
        <v>783</v>
      </c>
      <c r="X681" s="6">
        <v>42160.017199074071</v>
      </c>
      <c r="Y681" t="s">
        <v>244</v>
      </c>
      <c r="AB681" t="s">
        <v>201</v>
      </c>
      <c r="AC681" t="s">
        <v>247</v>
      </c>
      <c r="AD681" t="s">
        <v>222</v>
      </c>
      <c r="AE681" t="s">
        <v>240</v>
      </c>
      <c r="AG681" t="s">
        <v>121</v>
      </c>
      <c r="AH681" t="s">
        <v>327</v>
      </c>
      <c r="AI681" t="s">
        <v>121</v>
      </c>
      <c r="AJ681" t="s">
        <v>717</v>
      </c>
      <c r="AK681" t="s">
        <v>121</v>
      </c>
    </row>
    <row r="682" spans="9:37" x14ac:dyDescent="0.3">
      <c r="I682">
        <f ca="1">IF(OR(INDIRECT(A73&amp;ROW())=B93,INDIRECT(A73&amp;ROW())=B94),1,IF(AND(INDIRECT(A73&amp;ROW())=B95,INDIRECT(A96&amp;ROW())=C93),1,IF(AND(INDIRECT(A73&amp;ROW())=B95,INDIRECT(A96&amp;ROW())=C94),1,0)))</f>
        <v>1</v>
      </c>
      <c r="J682">
        <f ca="1">IF(AND(INDIRECT(A73&amp;ROW())=B95,INDIRECT(A96&amp;ROW())=C95),1,IF(AND(INDIRECT(A73&amp;ROW())=B95,INDIRECT(A96&amp;ROW())=C96),1,0))</f>
        <v>0</v>
      </c>
      <c r="K682">
        <f ca="1">DAYS360(INDIRECT(C68&amp;ROW()),TODAY())</f>
        <v>687</v>
      </c>
      <c r="L682">
        <f ca="1">DAYS360(INDIRECT(C69&amp;ROW()),TODAY())</f>
        <v>687</v>
      </c>
      <c r="M682">
        <f ca="1">HYPERLINK(CONCATENATE("https://bugzilla.houston.hp.com:1181/bugzilla/show_bug.cgi?id=",INDIRECT(C70&amp;ROW())),INDIRECT(C70&amp;ROW()))</f>
        <v>63527</v>
      </c>
      <c r="N682">
        <v>63527</v>
      </c>
      <c r="O682" t="s">
        <v>56</v>
      </c>
      <c r="P682" t="s">
        <v>1168</v>
      </c>
      <c r="Q682" t="s">
        <v>39</v>
      </c>
      <c r="R682" t="s">
        <v>579</v>
      </c>
      <c r="S682" t="s">
        <v>552</v>
      </c>
      <c r="U682" s="6">
        <v>42160.408715277779</v>
      </c>
      <c r="V682" t="s">
        <v>18</v>
      </c>
      <c r="W682" t="s">
        <v>17</v>
      </c>
      <c r="X682" s="6">
        <v>42160.408715277779</v>
      </c>
      <c r="Y682" t="s">
        <v>125</v>
      </c>
      <c r="AB682" t="s">
        <v>201</v>
      </c>
      <c r="AC682" t="s">
        <v>247</v>
      </c>
      <c r="AD682" t="s">
        <v>220</v>
      </c>
      <c r="AE682" t="s">
        <v>219</v>
      </c>
      <c r="AG682" t="s">
        <v>121</v>
      </c>
      <c r="AH682" t="s">
        <v>327</v>
      </c>
      <c r="AI682" t="s">
        <v>121</v>
      </c>
      <c r="AJ682" t="s">
        <v>715</v>
      </c>
      <c r="AK682" t="s">
        <v>121</v>
      </c>
    </row>
    <row r="683" spans="9:37" x14ac:dyDescent="0.3">
      <c r="I683">
        <f ca="1">IF(OR(INDIRECT(A73&amp;ROW())=B93,INDIRECT(A73&amp;ROW())=B94),1,IF(AND(INDIRECT(A73&amp;ROW())=B95,INDIRECT(A96&amp;ROW())=C93),1,IF(AND(INDIRECT(A73&amp;ROW())=B95,INDIRECT(A96&amp;ROW())=C94),1,0)))</f>
        <v>1</v>
      </c>
      <c r="J683">
        <f ca="1">IF(AND(INDIRECT(A73&amp;ROW())=B95,INDIRECT(A96&amp;ROW())=C95),1,IF(AND(INDIRECT(A73&amp;ROW())=B95,INDIRECT(A96&amp;ROW())=C96),1,0))</f>
        <v>0</v>
      </c>
      <c r="K683">
        <f ca="1">DAYS360(INDIRECT(C68&amp;ROW()),TODAY())</f>
        <v>687</v>
      </c>
      <c r="L683">
        <f ca="1">DAYS360(INDIRECT(C69&amp;ROW()),TODAY())</f>
        <v>687</v>
      </c>
      <c r="M683">
        <f ca="1">HYPERLINK(CONCATENATE("https://bugzilla.houston.hp.com:1181/bugzilla/show_bug.cgi?id=",INDIRECT(C70&amp;ROW())),INDIRECT(C70&amp;ROW()))</f>
        <v>63528</v>
      </c>
      <c r="N683">
        <v>63528</v>
      </c>
      <c r="O683" t="s">
        <v>56</v>
      </c>
      <c r="P683" t="s">
        <v>1167</v>
      </c>
      <c r="Q683" t="s">
        <v>39</v>
      </c>
      <c r="R683" t="s">
        <v>783</v>
      </c>
      <c r="S683" t="s">
        <v>552</v>
      </c>
      <c r="U683" s="6">
        <v>42160.408842592595</v>
      </c>
      <c r="V683" t="s">
        <v>18</v>
      </c>
      <c r="W683" t="s">
        <v>17</v>
      </c>
      <c r="X683" s="6">
        <v>42160.408842592595</v>
      </c>
      <c r="Y683" t="s">
        <v>125</v>
      </c>
      <c r="AB683" t="s">
        <v>201</v>
      </c>
      <c r="AC683" t="s">
        <v>247</v>
      </c>
      <c r="AD683" t="s">
        <v>220</v>
      </c>
      <c r="AE683" t="s">
        <v>219</v>
      </c>
      <c r="AG683" t="s">
        <v>121</v>
      </c>
      <c r="AH683" t="s">
        <v>327</v>
      </c>
      <c r="AI683" t="s">
        <v>121</v>
      </c>
      <c r="AJ683" t="s">
        <v>715</v>
      </c>
      <c r="AK683" t="s">
        <v>121</v>
      </c>
    </row>
    <row r="684" spans="9:37" x14ac:dyDescent="0.3">
      <c r="I684">
        <f ca="1">IF(OR(INDIRECT(A73&amp;ROW())=B93,INDIRECT(A73&amp;ROW())=B94),1,IF(AND(INDIRECT(A73&amp;ROW())=B95,INDIRECT(A96&amp;ROW())=C93),1,IF(AND(INDIRECT(A73&amp;ROW())=B95,INDIRECT(A96&amp;ROW())=C94),1,0)))</f>
        <v>1</v>
      </c>
      <c r="J684">
        <f ca="1">IF(AND(INDIRECT(A73&amp;ROW())=B95,INDIRECT(A96&amp;ROW())=C95),1,IF(AND(INDIRECT(A73&amp;ROW())=B95,INDIRECT(A96&amp;ROW())=C96),1,0))</f>
        <v>0</v>
      </c>
      <c r="K684">
        <f ca="1">DAYS360(INDIRECT(C68&amp;ROW()),TODAY())</f>
        <v>687</v>
      </c>
      <c r="L684">
        <f ca="1">DAYS360(INDIRECT(C69&amp;ROW()),TODAY())</f>
        <v>687</v>
      </c>
      <c r="M684">
        <f ca="1">HYPERLINK(CONCATENATE("https://bugzilla.houston.hp.com:1181/bugzilla/show_bug.cgi?id=",INDIRECT(C70&amp;ROW())),INDIRECT(C70&amp;ROW()))</f>
        <v>63529</v>
      </c>
      <c r="N684">
        <v>63529</v>
      </c>
      <c r="O684" t="s">
        <v>56</v>
      </c>
      <c r="P684" t="s">
        <v>1166</v>
      </c>
      <c r="Q684" t="s">
        <v>39</v>
      </c>
      <c r="R684" t="s">
        <v>248</v>
      </c>
      <c r="S684" t="s">
        <v>552</v>
      </c>
      <c r="U684" s="6">
        <v>42160.40896990741</v>
      </c>
      <c r="V684" t="s">
        <v>18</v>
      </c>
      <c r="W684" t="s">
        <v>17</v>
      </c>
      <c r="X684" s="6">
        <v>42160.40896990741</v>
      </c>
      <c r="Y684" t="s">
        <v>125</v>
      </c>
      <c r="AB684" t="s">
        <v>201</v>
      </c>
      <c r="AC684" t="s">
        <v>247</v>
      </c>
      <c r="AD684" t="s">
        <v>220</v>
      </c>
      <c r="AE684" t="s">
        <v>219</v>
      </c>
      <c r="AG684" t="s">
        <v>121</v>
      </c>
      <c r="AH684" t="s">
        <v>327</v>
      </c>
      <c r="AI684" t="s">
        <v>121</v>
      </c>
      <c r="AJ684" t="s">
        <v>715</v>
      </c>
      <c r="AK684" t="s">
        <v>121</v>
      </c>
    </row>
    <row r="685" spans="9:37" x14ac:dyDescent="0.3">
      <c r="I685">
        <f ca="1">IF(OR(INDIRECT(A73&amp;ROW())=B93,INDIRECT(A73&amp;ROW())=B94),1,IF(AND(INDIRECT(A73&amp;ROW())=B95,INDIRECT(A96&amp;ROW())=C93),1,IF(AND(INDIRECT(A73&amp;ROW())=B95,INDIRECT(A96&amp;ROW())=C94),1,0)))</f>
        <v>0</v>
      </c>
      <c r="J685">
        <f ca="1">IF(AND(INDIRECT(A73&amp;ROW())=B95,INDIRECT(A96&amp;ROW())=C95),1,IF(AND(INDIRECT(A73&amp;ROW())=B95,INDIRECT(A96&amp;ROW())=C96),1,0))</f>
        <v>0</v>
      </c>
      <c r="K685">
        <f ca="1">DAYS360(INDIRECT(C68&amp;ROW()),TODAY())</f>
        <v>687</v>
      </c>
      <c r="L685">
        <f ca="1">DAYS360(INDIRECT(C69&amp;ROW()),TODAY())</f>
        <v>687</v>
      </c>
      <c r="M685">
        <f ca="1">HYPERLINK(CONCATENATE("https://bugzilla.houston.hp.com:1181/bugzilla/show_bug.cgi?id=",INDIRECT(C70&amp;ROW())),INDIRECT(C70&amp;ROW()))</f>
        <v>63553</v>
      </c>
      <c r="N685">
        <v>63553</v>
      </c>
      <c r="O685" t="s">
        <v>323</v>
      </c>
      <c r="P685" t="s">
        <v>1165</v>
      </c>
      <c r="Q685" t="s">
        <v>16</v>
      </c>
      <c r="R685" t="s">
        <v>251</v>
      </c>
      <c r="S685" t="s">
        <v>21</v>
      </c>
      <c r="U685" s="6">
        <v>42160.54210648148</v>
      </c>
      <c r="V685" t="s">
        <v>18</v>
      </c>
      <c r="W685" t="s">
        <v>783</v>
      </c>
      <c r="X685" s="6">
        <v>42160.484988425924</v>
      </c>
      <c r="Y685" t="s">
        <v>123</v>
      </c>
      <c r="AB685" t="s">
        <v>201</v>
      </c>
      <c r="AC685" t="s">
        <v>247</v>
      </c>
      <c r="AD685" t="s">
        <v>222</v>
      </c>
      <c r="AE685" t="s">
        <v>225</v>
      </c>
      <c r="AG685" t="s">
        <v>121</v>
      </c>
      <c r="AH685" t="s">
        <v>327</v>
      </c>
      <c r="AI685" t="s">
        <v>121</v>
      </c>
      <c r="AJ685" t="s">
        <v>717</v>
      </c>
      <c r="AK685" t="s">
        <v>121</v>
      </c>
    </row>
    <row r="686" spans="9:37" x14ac:dyDescent="0.3">
      <c r="I686">
        <f ca="1">IF(OR(INDIRECT(A73&amp;ROW())=B93,INDIRECT(A73&amp;ROW())=B94),1,IF(AND(INDIRECT(A73&amp;ROW())=B95,INDIRECT(A96&amp;ROW())=C93),1,IF(AND(INDIRECT(A73&amp;ROW())=B95,INDIRECT(A96&amp;ROW())=C94),1,0)))</f>
        <v>0</v>
      </c>
      <c r="J686">
        <f ca="1">IF(AND(INDIRECT(A73&amp;ROW())=B95,INDIRECT(A96&amp;ROW())=C95),1,IF(AND(INDIRECT(A73&amp;ROW())=B95,INDIRECT(A96&amp;ROW())=C96),1,0))</f>
        <v>0</v>
      </c>
      <c r="K686">
        <f ca="1">DAYS360(INDIRECT(C68&amp;ROW()),TODAY())</f>
        <v>687</v>
      </c>
      <c r="L686">
        <f ca="1">DAYS360(INDIRECT(C69&amp;ROW()),TODAY())</f>
        <v>687</v>
      </c>
      <c r="M686">
        <f ca="1">HYPERLINK(CONCATENATE("https://bugzilla.houston.hp.com:1181/bugzilla/show_bug.cgi?id=",INDIRECT(C70&amp;ROW())),INDIRECT(C70&amp;ROW()))</f>
        <v>63568</v>
      </c>
      <c r="N686">
        <v>63568</v>
      </c>
      <c r="O686" t="s">
        <v>323</v>
      </c>
      <c r="P686" t="s">
        <v>1164</v>
      </c>
      <c r="Q686" t="s">
        <v>16</v>
      </c>
      <c r="R686" t="s">
        <v>579</v>
      </c>
      <c r="S686" t="s">
        <v>552</v>
      </c>
      <c r="U686" s="6">
        <v>42160.556574074071</v>
      </c>
      <c r="V686" t="s">
        <v>18</v>
      </c>
      <c r="W686" t="s">
        <v>783</v>
      </c>
      <c r="X686" s="6">
        <v>42160.51703703704</v>
      </c>
      <c r="Y686" t="s">
        <v>123</v>
      </c>
      <c r="AB686" t="s">
        <v>201</v>
      </c>
      <c r="AC686" t="s">
        <v>247</v>
      </c>
      <c r="AD686" t="s">
        <v>222</v>
      </c>
      <c r="AE686" t="s">
        <v>225</v>
      </c>
      <c r="AG686" t="s">
        <v>121</v>
      </c>
      <c r="AH686" t="s">
        <v>327</v>
      </c>
      <c r="AI686" t="s">
        <v>121</v>
      </c>
      <c r="AJ686" t="s">
        <v>717</v>
      </c>
      <c r="AK686" t="s">
        <v>121</v>
      </c>
    </row>
    <row r="687" spans="9:37" x14ac:dyDescent="0.3">
      <c r="I687">
        <f ca="1">IF(OR(INDIRECT(A73&amp;ROW())=B93,INDIRECT(A73&amp;ROW())=B94),1,IF(AND(INDIRECT(A73&amp;ROW())=B95,INDIRECT(A96&amp;ROW())=C93),1,IF(AND(INDIRECT(A73&amp;ROW())=B95,INDIRECT(A96&amp;ROW())=C94),1,0)))</f>
        <v>0</v>
      </c>
      <c r="J687">
        <f ca="1">IF(AND(INDIRECT(A73&amp;ROW())=B95,INDIRECT(A96&amp;ROW())=C95),1,IF(AND(INDIRECT(A73&amp;ROW())=B95,INDIRECT(A96&amp;ROW())=C96),1,0))</f>
        <v>0</v>
      </c>
      <c r="K687">
        <f ca="1">DAYS360(INDIRECT(C68&amp;ROW()),TODAY())</f>
        <v>687</v>
      </c>
      <c r="L687">
        <f ca="1">DAYS360(INDIRECT(C69&amp;ROW()),TODAY())</f>
        <v>687</v>
      </c>
      <c r="M687">
        <f ca="1">HYPERLINK(CONCATENATE("https://bugzilla.houston.hp.com:1181/bugzilla/show_bug.cgi?id=",INDIRECT(C70&amp;ROW())),INDIRECT(C70&amp;ROW()))</f>
        <v>63569</v>
      </c>
      <c r="N687">
        <v>63569</v>
      </c>
      <c r="O687" t="s">
        <v>323</v>
      </c>
      <c r="P687" t="s">
        <v>1163</v>
      </c>
      <c r="Q687" t="s">
        <v>16</v>
      </c>
      <c r="R687" t="s">
        <v>783</v>
      </c>
      <c r="S687" t="s">
        <v>552</v>
      </c>
      <c r="U687" s="6">
        <v>42160.556574074071</v>
      </c>
      <c r="V687" t="s">
        <v>18</v>
      </c>
      <c r="W687" t="s">
        <v>783</v>
      </c>
      <c r="X687" s="6">
        <v>42160.517094907409</v>
      </c>
      <c r="Y687" t="s">
        <v>123</v>
      </c>
      <c r="AB687" t="s">
        <v>201</v>
      </c>
      <c r="AC687" t="s">
        <v>247</v>
      </c>
      <c r="AD687" t="s">
        <v>222</v>
      </c>
      <c r="AE687" t="s">
        <v>225</v>
      </c>
      <c r="AG687" t="s">
        <v>121</v>
      </c>
      <c r="AH687" t="s">
        <v>327</v>
      </c>
      <c r="AI687" t="s">
        <v>121</v>
      </c>
      <c r="AJ687" t="s">
        <v>717</v>
      </c>
      <c r="AK687" t="s">
        <v>121</v>
      </c>
    </row>
    <row r="688" spans="9:37" x14ac:dyDescent="0.3">
      <c r="I688">
        <f ca="1">IF(OR(INDIRECT(A73&amp;ROW())=B93,INDIRECT(A73&amp;ROW())=B94),1,IF(AND(INDIRECT(A73&amp;ROW())=B95,INDIRECT(A96&amp;ROW())=C93),1,IF(AND(INDIRECT(A73&amp;ROW())=B95,INDIRECT(A96&amp;ROW())=C94),1,0)))</f>
        <v>0</v>
      </c>
      <c r="J688">
        <f ca="1">IF(AND(INDIRECT(A73&amp;ROW())=B95,INDIRECT(A96&amp;ROW())=C95),1,IF(AND(INDIRECT(A73&amp;ROW())=B95,INDIRECT(A96&amp;ROW())=C96),1,0))</f>
        <v>0</v>
      </c>
      <c r="K688">
        <f ca="1">DAYS360(INDIRECT(C68&amp;ROW()),TODAY())</f>
        <v>687</v>
      </c>
      <c r="L688">
        <f ca="1">DAYS360(INDIRECT(C69&amp;ROW()),TODAY())</f>
        <v>687</v>
      </c>
      <c r="M688">
        <f ca="1">HYPERLINK(CONCATENATE("https://bugzilla.houston.hp.com:1181/bugzilla/show_bug.cgi?id=",INDIRECT(C70&amp;ROW())),INDIRECT(C70&amp;ROW()))</f>
        <v>63570</v>
      </c>
      <c r="N688">
        <v>63570</v>
      </c>
      <c r="O688" t="s">
        <v>323</v>
      </c>
      <c r="P688" t="s">
        <v>1162</v>
      </c>
      <c r="Q688" t="s">
        <v>16</v>
      </c>
      <c r="R688" t="s">
        <v>248</v>
      </c>
      <c r="S688" t="s">
        <v>552</v>
      </c>
      <c r="U688" s="6">
        <v>42160.556550925925</v>
      </c>
      <c r="V688" t="s">
        <v>18</v>
      </c>
      <c r="W688" t="s">
        <v>783</v>
      </c>
      <c r="X688" s="6">
        <v>42160.517164351855</v>
      </c>
      <c r="Y688" t="s">
        <v>123</v>
      </c>
      <c r="AB688" t="s">
        <v>201</v>
      </c>
      <c r="AC688" t="s">
        <v>247</v>
      </c>
      <c r="AD688" t="s">
        <v>222</v>
      </c>
      <c r="AE688" t="s">
        <v>225</v>
      </c>
      <c r="AG688" t="s">
        <v>121</v>
      </c>
      <c r="AH688" t="s">
        <v>327</v>
      </c>
      <c r="AI688" t="s">
        <v>121</v>
      </c>
      <c r="AJ688" t="s">
        <v>717</v>
      </c>
      <c r="AK688" t="s">
        <v>121</v>
      </c>
    </row>
    <row r="689" spans="9:37" x14ac:dyDescent="0.3">
      <c r="I689">
        <f ca="1">IF(OR(INDIRECT(A73&amp;ROW())=B93,INDIRECT(A73&amp;ROW())=B94),1,IF(AND(INDIRECT(A73&amp;ROW())=B95,INDIRECT(A96&amp;ROW())=C93),1,IF(AND(INDIRECT(A73&amp;ROW())=B95,INDIRECT(A96&amp;ROW())=C94),1,0)))</f>
        <v>0</v>
      </c>
      <c r="J689">
        <f ca="1">IF(AND(INDIRECT(A73&amp;ROW())=B95,INDIRECT(A96&amp;ROW())=C95),1,IF(AND(INDIRECT(A73&amp;ROW())=B95,INDIRECT(A96&amp;ROW())=C96),1,0))</f>
        <v>0</v>
      </c>
      <c r="K689">
        <f ca="1">DAYS360(INDIRECT(C68&amp;ROW()),TODAY())</f>
        <v>687</v>
      </c>
      <c r="L689">
        <f ca="1">DAYS360(INDIRECT(C69&amp;ROW()),TODAY())</f>
        <v>687</v>
      </c>
      <c r="M689">
        <f ca="1">HYPERLINK(CONCATENATE("https://bugzilla.houston.hp.com:1181/bugzilla/show_bug.cgi?id=",INDIRECT(C70&amp;ROW())),INDIRECT(C70&amp;ROW()))</f>
        <v>63582</v>
      </c>
      <c r="N689">
        <v>63582</v>
      </c>
      <c r="O689" t="s">
        <v>292</v>
      </c>
      <c r="P689" t="s">
        <v>1161</v>
      </c>
      <c r="Q689" t="s">
        <v>16</v>
      </c>
      <c r="R689" t="s">
        <v>251</v>
      </c>
      <c r="S689" t="s">
        <v>292</v>
      </c>
      <c r="U689" s="6">
        <v>42160.545601851853</v>
      </c>
      <c r="V689" t="s">
        <v>18</v>
      </c>
      <c r="W689" t="s">
        <v>783</v>
      </c>
      <c r="X689" s="6">
        <v>42160.536643518521</v>
      </c>
      <c r="Y689" t="s">
        <v>122</v>
      </c>
      <c r="AB689" t="s">
        <v>201</v>
      </c>
      <c r="AC689" t="s">
        <v>247</v>
      </c>
      <c r="AD689" t="s">
        <v>220</v>
      </c>
      <c r="AE689" t="s">
        <v>219</v>
      </c>
      <c r="AG689" t="s">
        <v>121</v>
      </c>
      <c r="AH689" t="s">
        <v>327</v>
      </c>
      <c r="AI689" t="s">
        <v>121</v>
      </c>
      <c r="AJ689" t="s">
        <v>717</v>
      </c>
      <c r="AK689" t="s">
        <v>121</v>
      </c>
    </row>
    <row r="690" spans="9:37" x14ac:dyDescent="0.3">
      <c r="I690">
        <f ca="1">IF(OR(INDIRECT(A73&amp;ROW())=B93,INDIRECT(A73&amp;ROW())=B94),1,IF(AND(INDIRECT(A73&amp;ROW())=B95,INDIRECT(A96&amp;ROW())=C93),1,IF(AND(INDIRECT(A73&amp;ROW())=B95,INDIRECT(A96&amp;ROW())=C94),1,0)))</f>
        <v>0</v>
      </c>
      <c r="J690">
        <f ca="1">IF(AND(INDIRECT(A73&amp;ROW())=B95,INDIRECT(A96&amp;ROW())=C95),1,IF(AND(INDIRECT(A73&amp;ROW())=B95,INDIRECT(A96&amp;ROW())=C96),1,0))</f>
        <v>0</v>
      </c>
      <c r="K690">
        <f ca="1">DAYS360(INDIRECT(C68&amp;ROW()),TODAY())</f>
        <v>687</v>
      </c>
      <c r="L690">
        <f ca="1">DAYS360(INDIRECT(C69&amp;ROW()),TODAY())</f>
        <v>687</v>
      </c>
      <c r="M690">
        <f ca="1">HYPERLINK(CONCATENATE("https://bugzilla.houston.hp.com:1181/bugzilla/show_bug.cgi?id=",INDIRECT(C70&amp;ROW())),INDIRECT(C70&amp;ROW()))</f>
        <v>63584</v>
      </c>
      <c r="N690">
        <v>63584</v>
      </c>
      <c r="O690" t="s">
        <v>292</v>
      </c>
      <c r="P690" t="s">
        <v>1160</v>
      </c>
      <c r="Q690" t="s">
        <v>16</v>
      </c>
      <c r="R690" t="s">
        <v>248</v>
      </c>
      <c r="S690" t="s">
        <v>552</v>
      </c>
      <c r="U690" s="6">
        <v>42160.545601851853</v>
      </c>
      <c r="V690" t="s">
        <v>18</v>
      </c>
      <c r="W690" t="s">
        <v>783</v>
      </c>
      <c r="X690" s="6">
        <v>42160.545601851853</v>
      </c>
      <c r="Y690" t="s">
        <v>122</v>
      </c>
      <c r="AB690" t="s">
        <v>201</v>
      </c>
      <c r="AC690" t="s">
        <v>247</v>
      </c>
      <c r="AD690" t="s">
        <v>220</v>
      </c>
      <c r="AE690" t="s">
        <v>219</v>
      </c>
      <c r="AG690" t="s">
        <v>121</v>
      </c>
      <c r="AH690" t="s">
        <v>327</v>
      </c>
      <c r="AI690" t="s">
        <v>121</v>
      </c>
      <c r="AJ690" t="s">
        <v>717</v>
      </c>
      <c r="AK690" t="s">
        <v>121</v>
      </c>
    </row>
  </sheetData>
  <autoFilter ref="I1:AK800"/>
  <hyperlinks>
    <hyperlink ref="B64" location="Assignees!A1" display="Assignees"/>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Assigned to">
          <x14:formula1>
            <xm:f>[4]Assignees!#REF!</xm:f>
          </x14:formula1>
          <xm:sqref>B39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690"/>
  <sheetViews>
    <sheetView workbookViewId="0">
      <selection activeCell="G32" sqref="G32"/>
    </sheetView>
  </sheetViews>
  <sheetFormatPr defaultRowHeight="14.4" x14ac:dyDescent="0.3"/>
  <cols>
    <col min="2" max="2" width="25.6640625" bestFit="1" customWidth="1"/>
    <col min="4" max="4" width="18.77734375" customWidth="1"/>
    <col min="9" max="10" width="0" hidden="1" customWidth="1"/>
    <col min="11" max="12" width="4.77734375" customWidth="1"/>
    <col min="13" max="13" width="8" bestFit="1" customWidth="1"/>
    <col min="14" max="14" width="0" hidden="1" customWidth="1"/>
    <col min="15" max="15" width="18.77734375" customWidth="1"/>
    <col min="16" max="16" width="117.21875" customWidth="1"/>
    <col min="17" max="17" width="9.6640625" bestFit="1" customWidth="1"/>
    <col min="18" max="18" width="17.109375" bestFit="1" customWidth="1"/>
    <col min="19" max="19" width="31.21875" bestFit="1" customWidth="1"/>
    <col min="20" max="20" width="59.33203125" bestFit="1" customWidth="1"/>
    <col min="21" max="21" width="15.6640625" bestFit="1" customWidth="1"/>
    <col min="22" max="22" width="10" bestFit="1" customWidth="1"/>
    <col min="23" max="23" width="25.6640625" bestFit="1" customWidth="1"/>
    <col min="24" max="24" width="15.6640625" bestFit="1" customWidth="1"/>
  </cols>
  <sheetData>
    <row r="1" spans="1:37" x14ac:dyDescent="0.3">
      <c r="A1" s="1" t="s">
        <v>0</v>
      </c>
      <c r="B1" s="1" t="s">
        <v>1</v>
      </c>
      <c r="C1" s="1" t="s">
        <v>0</v>
      </c>
      <c r="D1" s="1" t="s">
        <v>2</v>
      </c>
      <c r="E1" s="1" t="s">
        <v>165</v>
      </c>
      <c r="F1" s="1" t="s">
        <v>3</v>
      </c>
      <c r="G1" s="1" t="s">
        <v>4</v>
      </c>
      <c r="H1" s="1" t="s">
        <v>373</v>
      </c>
      <c r="I1" t="s">
        <v>267</v>
      </c>
      <c r="J1" t="s">
        <v>346</v>
      </c>
      <c r="K1" t="s">
        <v>86</v>
      </c>
      <c r="L1" t="s">
        <v>87</v>
      </c>
      <c r="M1" t="s">
        <v>1123</v>
      </c>
      <c r="N1" t="s">
        <v>5</v>
      </c>
      <c r="O1" t="s">
        <v>6</v>
      </c>
      <c r="P1" t="s">
        <v>7</v>
      </c>
      <c r="Q1" t="s">
        <v>8</v>
      </c>
      <c r="R1" t="s">
        <v>9</v>
      </c>
      <c r="S1" t="s">
        <v>10</v>
      </c>
      <c r="T1" t="s">
        <v>11</v>
      </c>
      <c r="U1" t="s">
        <v>12</v>
      </c>
      <c r="V1" t="s">
        <v>13</v>
      </c>
      <c r="W1" t="s">
        <v>14</v>
      </c>
      <c r="X1" t="s">
        <v>90</v>
      </c>
      <c r="Y1" t="s">
        <v>116</v>
      </c>
      <c r="Z1" t="s">
        <v>117</v>
      </c>
      <c r="AA1" t="s">
        <v>185</v>
      </c>
      <c r="AB1" t="s">
        <v>202</v>
      </c>
      <c r="AC1" t="s">
        <v>218</v>
      </c>
      <c r="AD1" t="s">
        <v>235</v>
      </c>
      <c r="AE1" t="s">
        <v>234</v>
      </c>
      <c r="AF1" t="s">
        <v>259</v>
      </c>
      <c r="AG1" t="s">
        <v>325</v>
      </c>
      <c r="AH1" t="s">
        <v>329</v>
      </c>
      <c r="AI1" t="s">
        <v>361</v>
      </c>
      <c r="AJ1" t="s">
        <v>714</v>
      </c>
      <c r="AK1" t="s">
        <v>761</v>
      </c>
    </row>
    <row r="2" spans="1:37" x14ac:dyDescent="0.3">
      <c r="A2" s="2">
        <f ca="1">COUNTIF(INDIRECT(A68&amp;A67):INDIRECT(A69&amp;A66),INDIRECT("b"&amp;ROW()))</f>
        <v>287</v>
      </c>
      <c r="B2" s="2" t="str">
        <f>Assignees!C1</f>
        <v>Astra</v>
      </c>
      <c r="C2" s="3">
        <f ca="1">COUNTIF(INDIRECT(A71&amp;A67):INDIRECT(A71&amp;A66),INDIRECT("d"&amp;ROW()))</f>
        <v>12</v>
      </c>
      <c r="D2" s="3" t="str">
        <f>Assignees!D1</f>
        <v>Astra</v>
      </c>
      <c r="E2" s="16">
        <f ca="1">COUNTIFS(INDIRECT(A71&amp;A67):INDIRECT(A71&amp;A66),INDIRECT("d"&amp;ROW()),INDIRECT(A73&amp;A67):INDIRECT(A73&amp;A66),E1)</f>
        <v>0</v>
      </c>
      <c r="F2" s="4">
        <f ca="1">COUNTIFS(INDIRECT(A71&amp;A67):INDIRECT(A71&amp;A66),INDIRECT("d"&amp;ROW()),INDIRECT(A73&amp;A67):INDIRECT(A73&amp;A66),F1)</f>
        <v>0</v>
      </c>
      <c r="G2" s="3">
        <f ca="1">COUNTIFS(INDIRECT(A71&amp;A67):INDIRECT(A71&amp;A66),INDIRECT("d"&amp;ROW()),INDIRECT(A73&amp;A67):INDIRECT(A73&amp;A66),G1)</f>
        <v>6</v>
      </c>
      <c r="H2" s="5">
        <f ca="1">COUNTIFS(INDIRECT(A71&amp;A67):INDIRECT(A71&amp;A66),INDIRECT("d"&amp;ROW()),INDIRECT(A73&amp;A67):INDIRECT(A73&amp;A66),H1)</f>
        <v>6</v>
      </c>
      <c r="I2">
        <f ca="1">IF(OR(INDIRECT(A73&amp;ROW())=B93,INDIRECT(A73&amp;ROW())=B94),1,IF(AND(INDIRECT(A73&amp;ROW())=B95,INDIRECT(A96&amp;ROW())=C93),1,IF(AND(INDIRECT(A73&amp;ROW())=B95,INDIRECT(A96&amp;ROW())=C94),1,0)))</f>
        <v>0</v>
      </c>
      <c r="J2">
        <f ca="1">IF(AND(INDIRECT(A73&amp;ROW())=B95,INDIRECT(A96&amp;ROW())=C95),1,IF(AND(INDIRECT(A73&amp;ROW())=B95,INDIRECT(A96&amp;ROW())=C96),1,0))</f>
        <v>0</v>
      </c>
      <c r="K2">
        <f ca="1">DAYS360(INDIRECT(C68&amp;ROW()),TODAY())</f>
        <v>721</v>
      </c>
      <c r="L2">
        <f ca="1">DAYS360(INDIRECT(C69&amp;ROW()),TODAY())</f>
        <v>1221</v>
      </c>
      <c r="M2" s="11">
        <f ca="1">HYPERLINK(CONCATENATE("https://bugzilla.houston.hp.com:1181/bugzilla/show_bug.cgi?id=",INDIRECT(C70&amp;ROW())),INDIRECT(C70&amp;ROW()))</f>
        <v>37654</v>
      </c>
      <c r="N2">
        <v>37654</v>
      </c>
      <c r="O2" t="s">
        <v>55</v>
      </c>
      <c r="P2" t="s">
        <v>389</v>
      </c>
      <c r="Q2" t="s">
        <v>16</v>
      </c>
      <c r="R2" t="s">
        <v>251</v>
      </c>
      <c r="S2" t="s">
        <v>55</v>
      </c>
      <c r="U2" s="6">
        <v>42125.439826388887</v>
      </c>
      <c r="V2" t="s">
        <v>18</v>
      </c>
      <c r="W2" t="s">
        <v>17</v>
      </c>
      <c r="X2" s="6">
        <v>41619.560983796298</v>
      </c>
      <c r="Y2" t="s">
        <v>122</v>
      </c>
      <c r="AB2" t="s">
        <v>200</v>
      </c>
      <c r="AC2" t="s">
        <v>121</v>
      </c>
      <c r="AD2" t="s">
        <v>220</v>
      </c>
      <c r="AE2" t="s">
        <v>219</v>
      </c>
      <c r="AG2" t="s">
        <v>121</v>
      </c>
      <c r="AH2" t="s">
        <v>327</v>
      </c>
      <c r="AI2" t="s">
        <v>121</v>
      </c>
      <c r="AJ2" t="s">
        <v>716</v>
      </c>
      <c r="AK2" t="s">
        <v>121</v>
      </c>
    </row>
    <row r="3" spans="1:37" x14ac:dyDescent="0.3">
      <c r="A3" s="2">
        <f ca="1">COUNTIF(INDIRECT(A68&amp;A67):INDIRECT(A69&amp;A66),INDIRECT("b"&amp;ROW()))</f>
        <v>2</v>
      </c>
      <c r="B3" s="2" t="str">
        <f>Assignees!C2</f>
        <v>Astra-IR7</v>
      </c>
      <c r="C3" s="3">
        <f ca="1">COUNTIF(INDIRECT(A71&amp;A67):INDIRECT(A71&amp;A66),INDIRECT("d"&amp;ROW()))</f>
        <v>248</v>
      </c>
      <c r="D3" s="3" t="str">
        <f>Assignees!D2</f>
        <v>Atlas</v>
      </c>
      <c r="E3" s="16">
        <f ca="1">COUNTIFS(INDIRECT(A71&amp;A67):INDIRECT(A71&amp;A66),INDIRECT("d"&amp;ROW()),INDIRECT(A73&amp;A67):INDIRECT(A73&amp;A66),E1)</f>
        <v>2</v>
      </c>
      <c r="F3" s="4">
        <f ca="1">COUNTIFS(INDIRECT(A71&amp;A67):INDIRECT(A71&amp;A66),INDIRECT("d"&amp;ROW()),INDIRECT(A73&amp;A67):INDIRECT(A73&amp;A66),F1)</f>
        <v>16</v>
      </c>
      <c r="G3" s="3">
        <f ca="1">COUNTIFS(INDIRECT(A71&amp;A67):INDIRECT(A71&amp;A66),INDIRECT("d"&amp;ROW()),INDIRECT(A73&amp;A67):INDIRECT(A73&amp;A66),G1)</f>
        <v>97</v>
      </c>
      <c r="H3" s="5">
        <f ca="1">COUNTIFS(INDIRECT(A71&amp;A67):INDIRECT(A71&amp;A66),INDIRECT("d"&amp;ROW()),INDIRECT(A73&amp;A67):INDIRECT(A73&amp;A66),H1)</f>
        <v>133</v>
      </c>
      <c r="I3">
        <f ca="1">IF(OR(INDIRECT(A73&amp;ROW())=B93,INDIRECT(A73&amp;ROW())=B94),1,IF(AND(INDIRECT(A73&amp;ROW())=B95,INDIRECT(A96&amp;ROW())=C93),1,IF(AND(INDIRECT(A73&amp;ROW())=B95,INDIRECT(A96&amp;ROW())=C94),1,0)))</f>
        <v>0</v>
      </c>
      <c r="J3">
        <f ca="1">IF(AND(INDIRECT(A73&amp;ROW())=B95,INDIRECT(A96&amp;ROW())=C95),1,IF(AND(INDIRECT(A73&amp;ROW())=B95,INDIRECT(A96&amp;ROW())=C96),1,0))</f>
        <v>0</v>
      </c>
      <c r="K3">
        <f ca="1">DAYS360(INDIRECT(C68&amp;ROW()),TODAY())</f>
        <v>721</v>
      </c>
      <c r="L3">
        <f ca="1">DAYS360(INDIRECT(C69&amp;ROW()),TODAY())</f>
        <v>1214</v>
      </c>
      <c r="M3" s="11">
        <f ca="1">HYPERLINK(CONCATENATE("https://bugzilla.houston.hp.com:1181/bugzilla/show_bug.cgi?id=",INDIRECT(C70&amp;ROW())),INDIRECT(C70&amp;ROW()))</f>
        <v>37855</v>
      </c>
      <c r="N3">
        <v>37855</v>
      </c>
      <c r="O3" t="s">
        <v>56</v>
      </c>
      <c r="P3" t="s">
        <v>388</v>
      </c>
      <c r="Q3" t="s">
        <v>16</v>
      </c>
      <c r="R3" t="s">
        <v>251</v>
      </c>
      <c r="S3" t="s">
        <v>43</v>
      </c>
      <c r="U3" s="6">
        <v>42125.439976851849</v>
      </c>
      <c r="V3" t="s">
        <v>35</v>
      </c>
      <c r="W3" t="s">
        <v>17</v>
      </c>
      <c r="X3" s="6">
        <v>41626.51222222222</v>
      </c>
      <c r="Y3" t="s">
        <v>122</v>
      </c>
      <c r="AB3" t="s">
        <v>201</v>
      </c>
      <c r="AC3" t="s">
        <v>121</v>
      </c>
      <c r="AD3" t="s">
        <v>220</v>
      </c>
      <c r="AE3" t="s">
        <v>219</v>
      </c>
      <c r="AG3" t="s">
        <v>121</v>
      </c>
      <c r="AH3" t="s">
        <v>327</v>
      </c>
      <c r="AI3" t="s">
        <v>121</v>
      </c>
      <c r="AJ3" t="s">
        <v>717</v>
      </c>
      <c r="AK3" t="s">
        <v>121</v>
      </c>
    </row>
    <row r="4" spans="1:37" x14ac:dyDescent="0.3">
      <c r="A4" s="2">
        <f ca="1">COUNTIF(INDIRECT(A68&amp;A67):INDIRECT(A69&amp;A66),INDIRECT("b"&amp;ROW()))</f>
        <v>2</v>
      </c>
      <c r="B4" s="2" t="str">
        <f>Assignees!C3</f>
        <v>Astra-IR8</v>
      </c>
      <c r="C4" s="3">
        <f ca="1">COUNTIF(INDIRECT(A71&amp;A67):INDIRECT(A71&amp;A66),INDIRECT("d"&amp;ROW()))</f>
        <v>0</v>
      </c>
      <c r="D4" s="3" t="str">
        <f>Assignees!D3</f>
        <v>Bellatrix</v>
      </c>
      <c r="E4" s="16">
        <f ca="1">COUNTIFS(INDIRECT(A71&amp;A67):INDIRECT(A71&amp;A66),INDIRECT("d"&amp;ROW()),INDIRECT(A73&amp;A67):INDIRECT(A73&amp;A66),E1)</f>
        <v>0</v>
      </c>
      <c r="F4" s="4">
        <f ca="1">COUNTIFS(INDIRECT(A71&amp;A67):INDIRECT(A71&amp;A66),INDIRECT("d"&amp;ROW()),INDIRECT(A73&amp;A67):INDIRECT(A73&amp;A66),F1)</f>
        <v>0</v>
      </c>
      <c r="G4" s="3">
        <f ca="1">COUNTIFS(INDIRECT(A71&amp;A67):INDIRECT(A71&amp;A66),INDIRECT("d"&amp;ROW()),INDIRECT(A73&amp;A67):INDIRECT(A73&amp;A66),G1)</f>
        <v>0</v>
      </c>
      <c r="H4" s="5">
        <f ca="1">COUNTIFS(INDIRECT(A71&amp;A67):INDIRECT(A71&amp;A66),INDIRECT("d"&amp;ROW()),INDIRECT(A73&amp;A67):INDIRECT(A73&amp;A66),H1)</f>
        <v>0</v>
      </c>
      <c r="I4">
        <f ca="1">IF(OR(INDIRECT(A73&amp;ROW())=B93,INDIRECT(A73&amp;ROW())=B94),1,IF(AND(INDIRECT(A73&amp;ROW())=B95,INDIRECT(A96&amp;ROW())=C93),1,IF(AND(INDIRECT(A73&amp;ROW())=B95,INDIRECT(A96&amp;ROW())=C94),1,0)))</f>
        <v>0</v>
      </c>
      <c r="J4">
        <f ca="1">IF(AND(INDIRECT(A73&amp;ROW())=B95,INDIRECT(A96&amp;ROW())=C95),1,IF(AND(INDIRECT(A73&amp;ROW())=B95,INDIRECT(A96&amp;ROW())=C96),1,0))</f>
        <v>1</v>
      </c>
      <c r="K4">
        <f ca="1">DAYS360(INDIRECT(C68&amp;ROW()),TODAY())</f>
        <v>710</v>
      </c>
      <c r="L4">
        <f ca="1">DAYS360(INDIRECT(C69&amp;ROW()),TODAY())</f>
        <v>1159</v>
      </c>
      <c r="M4" s="11">
        <f ca="1">HYPERLINK(CONCATENATE("https://bugzilla.houston.hp.com:1181/bugzilla/show_bug.cgi?id=",INDIRECT(C70&amp;ROW())),INDIRECT(C70&amp;ROW()))</f>
        <v>39099</v>
      </c>
      <c r="N4">
        <v>39099</v>
      </c>
      <c r="O4" t="s">
        <v>53</v>
      </c>
      <c r="P4" t="s">
        <v>1053</v>
      </c>
      <c r="Q4" t="s">
        <v>25</v>
      </c>
      <c r="R4" t="s">
        <v>251</v>
      </c>
      <c r="S4" t="s">
        <v>53</v>
      </c>
      <c r="U4" s="6">
        <v>42136.61577546296</v>
      </c>
      <c r="V4" t="s">
        <v>18</v>
      </c>
      <c r="W4" t="s">
        <v>17</v>
      </c>
      <c r="X4" s="6">
        <v>41683.468611111108</v>
      </c>
      <c r="Y4" t="s">
        <v>118</v>
      </c>
      <c r="AB4" t="s">
        <v>201</v>
      </c>
      <c r="AC4" t="s">
        <v>1027</v>
      </c>
      <c r="AD4" t="s">
        <v>220</v>
      </c>
      <c r="AE4" t="s">
        <v>219</v>
      </c>
      <c r="AG4" t="s">
        <v>121</v>
      </c>
      <c r="AH4" t="s">
        <v>327</v>
      </c>
      <c r="AI4" t="s">
        <v>121</v>
      </c>
      <c r="AJ4" t="s">
        <v>716</v>
      </c>
      <c r="AK4" t="s">
        <v>121</v>
      </c>
    </row>
    <row r="5" spans="1:37" x14ac:dyDescent="0.3">
      <c r="A5" s="2">
        <f ca="1">COUNTIF(INDIRECT(A68&amp;A67):INDIRECT(A69&amp;A66),INDIRECT("b"&amp;ROW()))</f>
        <v>2</v>
      </c>
      <c r="B5" s="2" t="str">
        <f>Assignees!C4</f>
        <v>Astra-IR9</v>
      </c>
      <c r="C5" s="3">
        <f ca="1">COUNTIF(INDIRECT(A71&amp;A67):INDIRECT(A71&amp;A66),INDIRECT("d"&amp;ROW()))</f>
        <v>241</v>
      </c>
      <c r="D5" s="3" t="str">
        <f>Assignees!D4</f>
        <v>Master</v>
      </c>
      <c r="E5" s="16">
        <f ca="1">COUNTIFS(INDIRECT(A71&amp;A67):INDIRECT(A71&amp;A66),INDIRECT("d"&amp;ROW()),INDIRECT(A73&amp;A67):INDIRECT(A73&amp;A66),E1)</f>
        <v>1</v>
      </c>
      <c r="F5" s="4">
        <f ca="1">COUNTIFS(INDIRECT(A71&amp;A67):INDIRECT(A71&amp;A66),INDIRECT("d"&amp;ROW()),INDIRECT(A73&amp;A67):INDIRECT(A73&amp;A66),F1)</f>
        <v>20</v>
      </c>
      <c r="G5" s="3">
        <f ca="1">COUNTIFS(INDIRECT(A71&amp;A67):INDIRECT(A71&amp;A66),INDIRECT("d"&amp;ROW()),INDIRECT(A73&amp;A67):INDIRECT(A73&amp;A66),G1)</f>
        <v>105</v>
      </c>
      <c r="H5" s="5">
        <f ca="1">COUNTIFS(INDIRECT(A71&amp;A67):INDIRECT(A71&amp;A66),INDIRECT("d"&amp;ROW()),INDIRECT(A73&amp;A67):INDIRECT(A73&amp;A66),H1)</f>
        <v>115</v>
      </c>
      <c r="I5">
        <f ca="1">IF(OR(INDIRECT(A73&amp;ROW())=B93,INDIRECT(A73&amp;ROW())=B94),1,IF(AND(INDIRECT(A73&amp;ROW())=B95,INDIRECT(A96&amp;ROW())=C93),1,IF(AND(INDIRECT(A73&amp;ROW())=B95,INDIRECT(A96&amp;ROW())=C94),1,0)))</f>
        <v>0</v>
      </c>
      <c r="J5">
        <f ca="1">IF(AND(INDIRECT(A73&amp;ROW())=B95,INDIRECT(A96&amp;ROW())=C95),1,IF(AND(INDIRECT(A73&amp;ROW())=B95,INDIRECT(A96&amp;ROW())=C96),1,0))</f>
        <v>0</v>
      </c>
      <c r="K5">
        <f ca="1">DAYS360(INDIRECT(C68&amp;ROW()),TODAY())</f>
        <v>728</v>
      </c>
      <c r="L5">
        <f ca="1">DAYS360(INDIRECT(C69&amp;ROW()),TODAY())</f>
        <v>1145</v>
      </c>
      <c r="M5" s="11">
        <f ca="1">HYPERLINK(CONCATENATE("https://bugzilla.houston.hp.com:1181/bugzilla/show_bug.cgi?id=",INDIRECT(C70&amp;ROW())),INDIRECT(C70&amp;ROW()))</f>
        <v>39639</v>
      </c>
      <c r="N5">
        <v>39639</v>
      </c>
      <c r="O5" t="s">
        <v>66</v>
      </c>
      <c r="P5" t="s">
        <v>208</v>
      </c>
      <c r="Q5" t="s">
        <v>16</v>
      </c>
      <c r="R5" t="s">
        <v>251</v>
      </c>
      <c r="S5" t="s">
        <v>37</v>
      </c>
      <c r="T5" t="s">
        <v>794</v>
      </c>
      <c r="U5" s="6">
        <v>42118.519513888888</v>
      </c>
      <c r="V5" t="s">
        <v>35</v>
      </c>
      <c r="W5" t="s">
        <v>17</v>
      </c>
      <c r="X5" s="6">
        <v>41697.087245370371</v>
      </c>
      <c r="Y5" t="s">
        <v>119</v>
      </c>
      <c r="AB5" t="s">
        <v>201</v>
      </c>
      <c r="AC5" t="s">
        <v>121</v>
      </c>
      <c r="AD5" t="s">
        <v>220</v>
      </c>
      <c r="AE5" t="s">
        <v>219</v>
      </c>
      <c r="AG5" t="s">
        <v>121</v>
      </c>
      <c r="AH5" t="s">
        <v>327</v>
      </c>
      <c r="AI5" t="s">
        <v>121</v>
      </c>
      <c r="AJ5" t="s">
        <v>717</v>
      </c>
      <c r="AK5" t="s">
        <v>121</v>
      </c>
    </row>
    <row r="6" spans="1:37" x14ac:dyDescent="0.3">
      <c r="A6" s="2">
        <f ca="1">COUNTIF(INDIRECT(A68&amp;A67):INDIRECT(A69&amp;A66),INDIRECT("b"&amp;ROW()))</f>
        <v>2</v>
      </c>
      <c r="B6" s="2" t="str">
        <f>Assignees!C5</f>
        <v>Astra-IR10</v>
      </c>
      <c r="C6" s="3">
        <f ca="1">COUNTIF(INDIRECT(A71&amp;A67):INDIRECT(A71&amp;A66),INDIRECT("d"&amp;ROW()))</f>
        <v>1</v>
      </c>
      <c r="D6" s="3" t="str">
        <f>Assignees!D5</f>
        <v>Astra-Waiver</v>
      </c>
      <c r="E6" s="16">
        <f ca="1">COUNTIFS(INDIRECT(A71&amp;A67):INDIRECT(A71&amp;A66),INDIRECT("d"&amp;ROW()),INDIRECT(A73&amp;A67):INDIRECT(A73&amp;A66),E1)</f>
        <v>0</v>
      </c>
      <c r="F6" s="4">
        <f ca="1">COUNTIFS(INDIRECT(A71&amp;A67):INDIRECT(A71&amp;A66),INDIRECT("d"&amp;ROW()),INDIRECT(A73&amp;A67):INDIRECT(A73&amp;A66),F1)</f>
        <v>0</v>
      </c>
      <c r="G6" s="3">
        <f ca="1">COUNTIFS(INDIRECT(A71&amp;A67):INDIRECT(A71&amp;A66),INDIRECT("d"&amp;ROW()),INDIRECT(A73&amp;A67):INDIRECT(A73&amp;A66),G1)</f>
        <v>1</v>
      </c>
      <c r="H6" s="5">
        <f ca="1">COUNTIFS(INDIRECT(A71&amp;A67):INDIRECT(A71&amp;A66),INDIRECT("d"&amp;ROW()),INDIRECT(A73&amp;A67):INDIRECT(A73&amp;A66),H1)</f>
        <v>0</v>
      </c>
      <c r="I6">
        <f ca="1">IF(OR(INDIRECT(A73&amp;ROW())=B93,INDIRECT(A73&amp;ROW())=B94),1,IF(AND(INDIRECT(A73&amp;ROW())=B95,INDIRECT(A96&amp;ROW())=C93),1,IF(AND(INDIRECT(A73&amp;ROW())=B95,INDIRECT(A96&amp;ROW())=C94),1,0)))</f>
        <v>0</v>
      </c>
      <c r="J6">
        <f ca="1">IF(AND(INDIRECT(A73&amp;ROW())=B95,INDIRECT(A96&amp;ROW())=C95),1,IF(AND(INDIRECT(A73&amp;ROW())=B95,INDIRECT(A96&amp;ROW())=C96),1,0))</f>
        <v>1</v>
      </c>
      <c r="K6">
        <f ca="1">DAYS360(INDIRECT(C68&amp;ROW()),TODAY())</f>
        <v>729</v>
      </c>
      <c r="L6">
        <f ca="1">DAYS360(INDIRECT(C69&amp;ROW()),TODAY())</f>
        <v>1145</v>
      </c>
      <c r="M6" s="11">
        <f ca="1">HYPERLINK(CONCATENATE("https://bugzilla.houston.hp.com:1181/bugzilla/show_bug.cgi?id=",INDIRECT(C70&amp;ROW())),INDIRECT(C70&amp;ROW()))</f>
        <v>39670</v>
      </c>
      <c r="N6">
        <v>39670</v>
      </c>
      <c r="O6" t="s">
        <v>31</v>
      </c>
      <c r="P6" t="s">
        <v>540</v>
      </c>
      <c r="Q6" t="s">
        <v>25</v>
      </c>
      <c r="R6" t="s">
        <v>251</v>
      </c>
      <c r="S6" t="s">
        <v>31</v>
      </c>
      <c r="U6" s="6">
        <v>42117.402280092596</v>
      </c>
      <c r="V6" t="s">
        <v>40</v>
      </c>
      <c r="W6" t="s">
        <v>17</v>
      </c>
      <c r="X6" s="6">
        <v>41697.697731481479</v>
      </c>
      <c r="Y6" t="s">
        <v>119</v>
      </c>
      <c r="AB6" t="s">
        <v>201</v>
      </c>
      <c r="AC6" t="s">
        <v>121</v>
      </c>
      <c r="AD6" t="s">
        <v>220</v>
      </c>
      <c r="AE6" t="s">
        <v>219</v>
      </c>
      <c r="AG6" t="s">
        <v>121</v>
      </c>
      <c r="AH6" t="s">
        <v>327</v>
      </c>
      <c r="AI6" t="s">
        <v>121</v>
      </c>
      <c r="AJ6" t="s">
        <v>716</v>
      </c>
      <c r="AK6" t="s">
        <v>121</v>
      </c>
    </row>
    <row r="7" spans="1:37" x14ac:dyDescent="0.3">
      <c r="A7" s="2">
        <f ca="1">COUNTIF(INDIRECT(A68&amp;A67):INDIRECT(A69&amp;A66),INDIRECT("b"&amp;ROW()))</f>
        <v>3</v>
      </c>
      <c r="B7" s="2" t="str">
        <f>Assignees!C6</f>
        <v>Astra-IR11</v>
      </c>
      <c r="C7" s="3">
        <f ca="1">COUNTIF(INDIRECT(A71&amp;A67):INDIRECT(A71&amp;A66),INDIRECT("d"&amp;ROW()))</f>
        <v>68</v>
      </c>
      <c r="D7" s="3" t="str">
        <f>Assignees!D6</f>
        <v>Astra-Maint</v>
      </c>
      <c r="E7" s="16">
        <f ca="1">COUNTIFS(INDIRECT(A71&amp;A67):INDIRECT(A71&amp;A66),INDIRECT("d"&amp;ROW()),INDIRECT(A73&amp;A67):INDIRECT(A73&amp;A66),E1)</f>
        <v>0</v>
      </c>
      <c r="F7" s="4">
        <f ca="1">COUNTIFS(INDIRECT(A71&amp;A67):INDIRECT(A71&amp;A66),INDIRECT("d"&amp;ROW()),INDIRECT(A73&amp;A67):INDIRECT(A73&amp;A66),F1)</f>
        <v>17</v>
      </c>
      <c r="G7" s="3">
        <f ca="1">COUNTIFS(INDIRECT(A71&amp;A67):INDIRECT(A71&amp;A66),INDIRECT("d"&amp;ROW()),INDIRECT(A73&amp;A67):INDIRECT(A73&amp;A66),G1)</f>
        <v>43</v>
      </c>
      <c r="H7" s="5">
        <f ca="1">COUNTIFS(INDIRECT(A71&amp;A67):INDIRECT(A71&amp;A66),INDIRECT("d"&amp;ROW()),INDIRECT(A73&amp;A67):INDIRECT(A73&amp;A66),H1)</f>
        <v>8</v>
      </c>
      <c r="I7">
        <f ca="1">IF(OR(INDIRECT(A73&amp;ROW())=B93,INDIRECT(A73&amp;ROW())=B94),1,IF(AND(INDIRECT(A73&amp;ROW())=B95,INDIRECT(A96&amp;ROW())=C93),1,IF(AND(INDIRECT(A73&amp;ROW())=B95,INDIRECT(A96&amp;ROW())=C94),1,0)))</f>
        <v>0</v>
      </c>
      <c r="J7">
        <f ca="1">IF(AND(INDIRECT(A73&amp;ROW())=B95,INDIRECT(A96&amp;ROW())=C95),1,IF(AND(INDIRECT(A73&amp;ROW())=B95,INDIRECT(A96&amp;ROW())=C96),1,0))</f>
        <v>0</v>
      </c>
      <c r="K7">
        <f ca="1">DAYS360(INDIRECT(C68&amp;ROW()),TODAY())</f>
        <v>718</v>
      </c>
      <c r="L7">
        <f ca="1">DAYS360(INDIRECT(C69&amp;ROW()),TODAY())</f>
        <v>1130</v>
      </c>
      <c r="M7" s="11">
        <f ca="1">HYPERLINK(CONCATENATE("https://bugzilla.houston.hp.com:1181/bugzilla/show_bug.cgi?id=",INDIRECT(C70&amp;ROW())),INDIRECT(C70&amp;ROW()))</f>
        <v>40103</v>
      </c>
      <c r="N7">
        <v>40103</v>
      </c>
      <c r="O7" t="s">
        <v>21</v>
      </c>
      <c r="P7" t="s">
        <v>387</v>
      </c>
      <c r="Q7" t="s">
        <v>16</v>
      </c>
      <c r="R7" t="s">
        <v>251</v>
      </c>
      <c r="S7" t="s">
        <v>49</v>
      </c>
      <c r="T7" t="s">
        <v>794</v>
      </c>
      <c r="U7" s="6">
        <v>42128.643333333333</v>
      </c>
      <c r="V7" t="s">
        <v>18</v>
      </c>
      <c r="W7" t="s">
        <v>17</v>
      </c>
      <c r="X7" s="6">
        <v>41710.731678240743</v>
      </c>
      <c r="Y7" t="s">
        <v>244</v>
      </c>
      <c r="AB7" t="s">
        <v>201</v>
      </c>
      <c r="AC7" t="s">
        <v>121</v>
      </c>
      <c r="AD7" t="s">
        <v>227</v>
      </c>
      <c r="AE7" t="s">
        <v>238</v>
      </c>
      <c r="AG7" t="s">
        <v>121</v>
      </c>
      <c r="AH7" t="s">
        <v>327</v>
      </c>
      <c r="AI7" t="s">
        <v>121</v>
      </c>
      <c r="AJ7" t="s">
        <v>717</v>
      </c>
      <c r="AK7" t="s">
        <v>121</v>
      </c>
    </row>
    <row r="8" spans="1:37" x14ac:dyDescent="0.3">
      <c r="A8" s="2">
        <f ca="1">COUNTIF(INDIRECT(A68&amp;A67):INDIRECT(A69&amp;A66),INDIRECT("b"&amp;ROW()))</f>
        <v>3</v>
      </c>
      <c r="B8" s="2" t="str">
        <f>Assignees!C7</f>
        <v>Astra-IR12</v>
      </c>
      <c r="C8" s="3">
        <f ca="1">COUNTIF(INDIRECT(A71&amp;A67):INDIRECT(A71&amp;A66),INDIRECT("d"&amp;ROW()))</f>
        <v>87</v>
      </c>
      <c r="D8" s="3" t="str">
        <f>Assignees!D7</f>
        <v>Astra-1.1.0</v>
      </c>
      <c r="E8" s="16">
        <f ca="1">COUNTIFS(INDIRECT(A71&amp;A67):INDIRECT(A71&amp;A66),INDIRECT("d"&amp;ROW()),INDIRECT(A73&amp;A67):INDIRECT(A73&amp;A66),E1)</f>
        <v>1</v>
      </c>
      <c r="F8" s="4">
        <f ca="1">COUNTIFS(INDIRECT(A71&amp;A67):INDIRECT(A71&amp;A66),INDIRECT("d"&amp;ROW()),INDIRECT(A73&amp;A67):INDIRECT(A73&amp;A66),F1)</f>
        <v>12</v>
      </c>
      <c r="G8" s="3">
        <f ca="1">COUNTIFS(INDIRECT(A71&amp;A67):INDIRECT(A71&amp;A66),INDIRECT("d"&amp;ROW()),INDIRECT(A73&amp;A67):INDIRECT(A73&amp;A66),G1)</f>
        <v>51</v>
      </c>
      <c r="H8" s="5">
        <f ca="1">COUNTIFS(INDIRECT(A71&amp;A67):INDIRECT(A71&amp;A66),INDIRECT("d"&amp;ROW()),INDIRECT(A73&amp;A67):INDIRECT(A73&amp;A66),H1)</f>
        <v>23</v>
      </c>
      <c r="I8">
        <f ca="1">IF(OR(INDIRECT(A73&amp;ROW())=B93,INDIRECT(A73&amp;ROW())=B94),1,IF(AND(INDIRECT(A73&amp;ROW())=B95,INDIRECT(A96&amp;ROW())=C93),1,IF(AND(INDIRECT(A73&amp;ROW())=B95,INDIRECT(A96&amp;ROW())=C94),1,0)))</f>
        <v>0</v>
      </c>
      <c r="J8">
        <f ca="1">IF(AND(INDIRECT(A73&amp;ROW())=B95,INDIRECT(A96&amp;ROW())=C95),1,IF(AND(INDIRECT(A73&amp;ROW())=B95,INDIRECT(A96&amp;ROW())=C96),1,0))</f>
        <v>0</v>
      </c>
      <c r="K8">
        <f ca="1">DAYS360(INDIRECT(C68&amp;ROW()),TODAY())</f>
        <v>724</v>
      </c>
      <c r="L8">
        <f ca="1">DAYS360(INDIRECT(C69&amp;ROW()),TODAY())</f>
        <v>1129</v>
      </c>
      <c r="M8" s="11">
        <f ca="1">HYPERLINK(CONCATENATE("https://bugzilla.houston.hp.com:1181/bugzilla/show_bug.cgi?id=",INDIRECT(C70&amp;ROW())),INDIRECT(C70&amp;ROW()))</f>
        <v>40147</v>
      </c>
      <c r="N8">
        <v>40147</v>
      </c>
      <c r="O8" t="s">
        <v>203</v>
      </c>
      <c r="P8" t="s">
        <v>386</v>
      </c>
      <c r="Q8" t="s">
        <v>16</v>
      </c>
      <c r="R8" t="s">
        <v>251</v>
      </c>
      <c r="S8" t="s">
        <v>43</v>
      </c>
      <c r="U8" s="6">
        <v>42122.542349537034</v>
      </c>
      <c r="V8" t="s">
        <v>35</v>
      </c>
      <c r="W8" t="s">
        <v>17</v>
      </c>
      <c r="X8" s="6">
        <v>41711.557384259257</v>
      </c>
      <c r="Y8" t="s">
        <v>118</v>
      </c>
      <c r="AB8" t="s">
        <v>201</v>
      </c>
      <c r="AC8" t="s">
        <v>121</v>
      </c>
      <c r="AD8" t="s">
        <v>220</v>
      </c>
      <c r="AE8" t="s">
        <v>223</v>
      </c>
      <c r="AG8" t="s">
        <v>121</v>
      </c>
      <c r="AH8" t="s">
        <v>327</v>
      </c>
      <c r="AI8" t="s">
        <v>121</v>
      </c>
      <c r="AJ8" t="s">
        <v>717</v>
      </c>
      <c r="AK8" t="s">
        <v>121</v>
      </c>
    </row>
    <row r="9" spans="1:37" x14ac:dyDescent="0.3">
      <c r="A9" s="2">
        <f ca="1">COUNTIF(INDIRECT(A68&amp;A67):INDIRECT(A69&amp;A66),INDIRECT("b"&amp;ROW()))</f>
        <v>4</v>
      </c>
      <c r="B9" s="2" t="str">
        <f>Assignees!C8</f>
        <v>Astra-IR13</v>
      </c>
      <c r="C9" s="3">
        <f ca="1">COUNTIF(INDIRECT(A71&amp;A67):INDIRECT(A71&amp;A66),INDIRECT("d"&amp;ROW()))</f>
        <v>0</v>
      </c>
      <c r="D9" s="3">
        <f>Assignees!D8</f>
        <v>0</v>
      </c>
      <c r="E9" s="16">
        <f ca="1">COUNTIFS(INDIRECT(A71&amp;A67):INDIRECT(A71&amp;A66),INDIRECT("d"&amp;ROW()),INDIRECT(A73&amp;A67):INDIRECT(A73&amp;A66),E1)</f>
        <v>0</v>
      </c>
      <c r="F9" s="4">
        <f ca="1">COUNTIFS(INDIRECT(A71&amp;A67):INDIRECT(A71&amp;A66),INDIRECT("d"&amp;ROW()),INDIRECT(A73&amp;A67):INDIRECT(A73&amp;A66),F1)</f>
        <v>0</v>
      </c>
      <c r="G9" s="3">
        <f ca="1">COUNTIFS(INDIRECT(A71&amp;A67):INDIRECT(A71&amp;A66),INDIRECT("d"&amp;ROW()),INDIRECT(A73&amp;A67):INDIRECT(A73&amp;A66),G1)</f>
        <v>0</v>
      </c>
      <c r="H9" s="5">
        <f ca="1">COUNTIFS(INDIRECT(A71&amp;A67):INDIRECT(A71&amp;A66),INDIRECT("d"&amp;ROW()),INDIRECT(A73&amp;A67):INDIRECT(A73&amp;A66),H1)</f>
        <v>0</v>
      </c>
      <c r="I9">
        <f ca="1">IF(OR(INDIRECT(A73&amp;ROW())=B93,INDIRECT(A73&amp;ROW())=B94),1,IF(AND(INDIRECT(A73&amp;ROW())=B95,INDIRECT(A96&amp;ROW())=C93),1,IF(AND(INDIRECT(A73&amp;ROW())=B95,INDIRECT(A96&amp;ROW())=C94),1,0)))</f>
        <v>0</v>
      </c>
      <c r="J9">
        <f ca="1">IF(AND(INDIRECT(A73&amp;ROW())=B95,INDIRECT(A96&amp;ROW())=C95),1,IF(AND(INDIRECT(A73&amp;ROW())=B95,INDIRECT(A96&amp;ROW())=C96),1,0))</f>
        <v>1</v>
      </c>
      <c r="K9">
        <f ca="1">DAYS360(INDIRECT(C68&amp;ROW()),TODAY())</f>
        <v>721</v>
      </c>
      <c r="L9">
        <f ca="1">DAYS360(INDIRECT(C69&amp;ROW()),TODAY())</f>
        <v>1117</v>
      </c>
      <c r="M9" s="11">
        <f ca="1">HYPERLINK(CONCATENATE("https://bugzilla.houston.hp.com:1181/bugzilla/show_bug.cgi?id=",INDIRECT(C70&amp;ROW())),INDIRECT(C70&amp;ROW()))</f>
        <v>41238</v>
      </c>
      <c r="N9">
        <v>41238</v>
      </c>
      <c r="O9" t="s">
        <v>56</v>
      </c>
      <c r="P9" t="s">
        <v>385</v>
      </c>
      <c r="Q9" t="s">
        <v>25</v>
      </c>
      <c r="R9" t="s">
        <v>251</v>
      </c>
      <c r="S9" t="s">
        <v>43</v>
      </c>
      <c r="U9" s="6">
        <v>42125.442164351851</v>
      </c>
      <c r="V9" t="s">
        <v>18</v>
      </c>
      <c r="W9" t="s">
        <v>17</v>
      </c>
      <c r="X9" s="6">
        <v>41723.653414351851</v>
      </c>
      <c r="Y9" t="s">
        <v>122</v>
      </c>
      <c r="AB9" t="s">
        <v>201</v>
      </c>
      <c r="AC9" t="s">
        <v>121</v>
      </c>
      <c r="AD9" t="s">
        <v>220</v>
      </c>
      <c r="AE9" t="s">
        <v>219</v>
      </c>
      <c r="AG9" t="s">
        <v>121</v>
      </c>
      <c r="AH9" t="s">
        <v>327</v>
      </c>
      <c r="AI9" t="s">
        <v>121</v>
      </c>
      <c r="AJ9" t="s">
        <v>716</v>
      </c>
      <c r="AK9" t="s">
        <v>121</v>
      </c>
    </row>
    <row r="10" spans="1:37" x14ac:dyDescent="0.3">
      <c r="A10" s="2">
        <f ca="1">COUNTIF(INDIRECT(A68&amp;A67):INDIRECT(A69&amp;A66),INDIRECT("b"&amp;ROW()))</f>
        <v>1</v>
      </c>
      <c r="B10" s="2" t="str">
        <f>Assignees!C9</f>
        <v>Astra-Post IR13 06-20</v>
      </c>
      <c r="C10" s="3">
        <f ca="1">COUNTIF(INDIRECT(A71&amp;A67):INDIRECT(A71&amp;A66),INDIRECT("d"&amp;ROW()))</f>
        <v>0</v>
      </c>
      <c r="D10" s="3">
        <f>Assignees!D9</f>
        <v>0</v>
      </c>
      <c r="E10" s="16">
        <f ca="1">COUNTIFS(INDIRECT(A71&amp;A67):INDIRECT(A71&amp;A66),INDIRECT("d"&amp;ROW()),INDIRECT(A73&amp;A67):INDIRECT(A73&amp;A66),E1)</f>
        <v>0</v>
      </c>
      <c r="F10" s="4">
        <f ca="1">COUNTIFS(INDIRECT(A71&amp;A67):INDIRECT(A71&amp;A66),INDIRECT("d"&amp;ROW()),INDIRECT(A73&amp;A67):INDIRECT(A73&amp;A66),F1)</f>
        <v>0</v>
      </c>
      <c r="G10" s="3">
        <f ca="1">COUNTIFS(INDIRECT(A71&amp;A67):INDIRECT(A71&amp;A66),INDIRECT("d"&amp;ROW()),INDIRECT(A73&amp;A67):INDIRECT(A73&amp;A66),G1)</f>
        <v>0</v>
      </c>
      <c r="H10" s="5">
        <f ca="1">COUNTIFS(INDIRECT(A71&amp;A67):INDIRECT(A71&amp;A66),INDIRECT("d"&amp;ROW()),INDIRECT(A73&amp;A67):INDIRECT(A73&amp;A66),H1)</f>
        <v>0</v>
      </c>
      <c r="I10">
        <f ca="1">IF(OR(INDIRECT(A73&amp;ROW())=B93,INDIRECT(A73&amp;ROW())=B94),1,IF(AND(INDIRECT(A73&amp;ROW())=B95,INDIRECT(A96&amp;ROW())=C93),1,IF(AND(INDIRECT(A73&amp;ROW())=B95,INDIRECT(A96&amp;ROW())=C94),1,0)))</f>
        <v>0</v>
      </c>
      <c r="J10">
        <f ca="1">IF(AND(INDIRECT(A73&amp;ROW())=B95,INDIRECT(A96&amp;ROW())=C95),1,IF(AND(INDIRECT(A73&amp;ROW())=B95,INDIRECT(A96&amp;ROW())=C96),1,0))</f>
        <v>1</v>
      </c>
      <c r="K10">
        <f ca="1">DAYS360(INDIRECT(C68&amp;ROW()),TODAY())</f>
        <v>724</v>
      </c>
      <c r="L10">
        <f ca="1">DAYS360(INDIRECT(C69&amp;ROW()),TODAY())</f>
        <v>1115</v>
      </c>
      <c r="M10" s="11">
        <f ca="1">HYPERLINK(CONCATENATE("https://bugzilla.houston.hp.com:1181/bugzilla/show_bug.cgi?id=",INDIRECT(C70&amp;ROW())),INDIRECT(C70&amp;ROW()))</f>
        <v>41344</v>
      </c>
      <c r="N10">
        <v>41344</v>
      </c>
      <c r="O10" t="s">
        <v>43</v>
      </c>
      <c r="P10" t="s">
        <v>384</v>
      </c>
      <c r="Q10" t="s">
        <v>25</v>
      </c>
      <c r="R10" t="s">
        <v>251</v>
      </c>
      <c r="S10" t="s">
        <v>43</v>
      </c>
      <c r="U10" s="6">
        <v>42122.353217592594</v>
      </c>
      <c r="V10" t="s">
        <v>18</v>
      </c>
      <c r="W10" t="s">
        <v>17</v>
      </c>
      <c r="X10" s="6">
        <v>41725.638310185182</v>
      </c>
      <c r="Y10" t="s">
        <v>122</v>
      </c>
      <c r="AB10" t="s">
        <v>201</v>
      </c>
      <c r="AC10" t="s">
        <v>121</v>
      </c>
      <c r="AD10" t="s">
        <v>220</v>
      </c>
      <c r="AE10" t="s">
        <v>219</v>
      </c>
      <c r="AG10" t="s">
        <v>121</v>
      </c>
      <c r="AH10" t="s">
        <v>327</v>
      </c>
      <c r="AI10" t="s">
        <v>121</v>
      </c>
      <c r="AJ10" t="s">
        <v>716</v>
      </c>
      <c r="AK10" t="s">
        <v>121</v>
      </c>
    </row>
    <row r="11" spans="1:37" x14ac:dyDescent="0.3">
      <c r="A11" s="2">
        <f ca="1">COUNTIF(INDIRECT(A68&amp;A67):INDIRECT(A69&amp;A66),INDIRECT("b"&amp;ROW()))</f>
        <v>3</v>
      </c>
      <c r="B11" s="2" t="str">
        <f>Assignees!C10</f>
        <v>Astra-Post IR13 06-27-RTI</v>
      </c>
      <c r="C11" s="3">
        <f ca="1">COUNTIF(INDIRECT(A71&amp;A67):INDIRECT(A71&amp;A66),INDIRECT("d"&amp;ROW()))</f>
        <v>0</v>
      </c>
      <c r="D11" s="3">
        <f>Assignees!D10</f>
        <v>0</v>
      </c>
      <c r="E11" s="16">
        <f ca="1">COUNTIFS(INDIRECT(A71&amp;A67):INDIRECT(A71&amp;A66),INDIRECT("d"&amp;ROW()),INDIRECT(A73&amp;A67):INDIRECT(A73&amp;A66),E1)</f>
        <v>0</v>
      </c>
      <c r="F11" s="4">
        <f ca="1">COUNTIFS(INDIRECT(A71&amp;A67):INDIRECT(A71&amp;A66),INDIRECT("d"&amp;ROW()),INDIRECT(A73&amp;A67):INDIRECT(A73&amp;A66),F1)</f>
        <v>0</v>
      </c>
      <c r="G11" s="3">
        <f ca="1">COUNTIFS(INDIRECT(A71&amp;A67):INDIRECT(A71&amp;A66),INDIRECT("d"&amp;ROW()),INDIRECT(A73&amp;A67):INDIRECT(A73&amp;A66),G1)</f>
        <v>0</v>
      </c>
      <c r="H11" s="5">
        <f ca="1">COUNTIFS(INDIRECT(A71&amp;A67):INDIRECT(A71&amp;A66),INDIRECT("d"&amp;ROW()),INDIRECT(A73&amp;A67):INDIRECT(A73&amp;A66),H1)</f>
        <v>0</v>
      </c>
      <c r="I11">
        <f ca="1">IF(OR(INDIRECT(A73&amp;ROW())=B93,INDIRECT(A73&amp;ROW())=B94),1,IF(AND(INDIRECT(A73&amp;ROW())=B95,INDIRECT(A96&amp;ROW())=C93),1,IF(AND(INDIRECT(A73&amp;ROW())=B95,INDIRECT(A96&amp;ROW())=C94),1,0)))</f>
        <v>0</v>
      </c>
      <c r="J11">
        <f ca="1">IF(AND(INDIRECT(A73&amp;ROW())=B95,INDIRECT(A96&amp;ROW())=C95),1,IF(AND(INDIRECT(A73&amp;ROW())=B95,INDIRECT(A96&amp;ROW())=C96),1,0))</f>
        <v>0</v>
      </c>
      <c r="K11">
        <f ca="1">DAYS360(INDIRECT(C68&amp;ROW()),TODAY())</f>
        <v>728</v>
      </c>
      <c r="L11">
        <f ca="1">DAYS360(INDIRECT(C69&amp;ROW()),TODAY())</f>
        <v>1098</v>
      </c>
      <c r="M11" s="11">
        <f ca="1">HYPERLINK(CONCATENATE("https://bugzilla.houston.hp.com:1181/bugzilla/show_bug.cgi?id=",INDIRECT(C70&amp;ROW())),INDIRECT(C70&amp;ROW()))</f>
        <v>41906</v>
      </c>
      <c r="N11">
        <v>41906</v>
      </c>
      <c r="O11" t="s">
        <v>88</v>
      </c>
      <c r="P11" t="s">
        <v>456</v>
      </c>
      <c r="Q11" t="s">
        <v>16</v>
      </c>
      <c r="R11" t="s">
        <v>251</v>
      </c>
      <c r="S11" t="s">
        <v>31</v>
      </c>
      <c r="U11" s="6">
        <v>42118.519907407404</v>
      </c>
      <c r="V11" t="s">
        <v>40</v>
      </c>
      <c r="W11" t="s">
        <v>17</v>
      </c>
      <c r="X11" s="6">
        <v>41743.650300925925</v>
      </c>
      <c r="Y11" t="s">
        <v>119</v>
      </c>
      <c r="AB11" t="s">
        <v>201</v>
      </c>
      <c r="AC11" t="s">
        <v>121</v>
      </c>
      <c r="AD11" t="s">
        <v>222</v>
      </c>
      <c r="AE11" t="s">
        <v>225</v>
      </c>
      <c r="AG11" t="s">
        <v>121</v>
      </c>
      <c r="AH11" t="s">
        <v>327</v>
      </c>
      <c r="AI11" t="s">
        <v>121</v>
      </c>
      <c r="AJ11" t="s">
        <v>717</v>
      </c>
      <c r="AK11" t="s">
        <v>121</v>
      </c>
    </row>
    <row r="12" spans="1:37" x14ac:dyDescent="0.3">
      <c r="A12" s="2">
        <f ca="1">COUNTIF(INDIRECT(A68&amp;A67):INDIRECT(A69&amp;A66),INDIRECT("b"&amp;ROW()))</f>
        <v>4</v>
      </c>
      <c r="B12" s="2" t="str">
        <f>Assignees!C11</f>
        <v>Astra-Post IR13 07-11-RTI</v>
      </c>
      <c r="C12" s="3">
        <f ca="1">COUNTIF(INDIRECT(A71&amp;A67):INDIRECT(A71&amp;A66),INDIRECT("d"&amp;ROW()))</f>
        <v>0</v>
      </c>
      <c r="D12" s="3">
        <f>Assignees!D11</f>
        <v>0</v>
      </c>
      <c r="E12" s="16">
        <f ca="1">COUNTIFS(INDIRECT(A71&amp;A67):INDIRECT(A71&amp;A66),INDIRECT("d"&amp;ROW()),INDIRECT(A73&amp;A67):INDIRECT(A73&amp;A66),E1)</f>
        <v>0</v>
      </c>
      <c r="F12" s="4">
        <f ca="1">COUNTIFS(INDIRECT(A71&amp;A67):INDIRECT(A71&amp;A66),INDIRECT("d"&amp;ROW()),INDIRECT(A73&amp;A67):INDIRECT(A73&amp;A66),F1)</f>
        <v>0</v>
      </c>
      <c r="G12" s="3">
        <f ca="1">COUNTIFS(INDIRECT(A71&amp;A67):INDIRECT(A71&amp;A66),INDIRECT("d"&amp;ROW()),INDIRECT(A73&amp;A67):INDIRECT(A73&amp;A66),G1)</f>
        <v>0</v>
      </c>
      <c r="H12" s="5">
        <f ca="1">COUNTIFS(INDIRECT(A71&amp;A67):INDIRECT(A71&amp;A66),INDIRECT("d"&amp;ROW()),INDIRECT(A73&amp;A67):INDIRECT(A73&amp;A66),H1)</f>
        <v>0</v>
      </c>
      <c r="I12">
        <f ca="1">IF(OR(INDIRECT(A73&amp;ROW())=B93,INDIRECT(A73&amp;ROW())=B94),1,IF(AND(INDIRECT(A73&amp;ROW())=B95,INDIRECT(A96&amp;ROW())=C93),1,IF(AND(INDIRECT(A73&amp;ROW())=B95,INDIRECT(A96&amp;ROW())=C94),1,0)))</f>
        <v>0</v>
      </c>
      <c r="J12">
        <f ca="1">IF(AND(INDIRECT(A73&amp;ROW())=B95,INDIRECT(A96&amp;ROW())=C95),1,IF(AND(INDIRECT(A73&amp;ROW())=B95,INDIRECT(A96&amp;ROW())=C96),1,0))</f>
        <v>1</v>
      </c>
      <c r="K12">
        <f ca="1">DAYS360(INDIRECT(C68&amp;ROW()),TODAY())</f>
        <v>724</v>
      </c>
      <c r="L12">
        <f ca="1">DAYS360(INDIRECT(C69&amp;ROW()),TODAY())</f>
        <v>1088</v>
      </c>
      <c r="M12" s="11">
        <f ca="1">HYPERLINK(CONCATENATE("https://bugzilla.houston.hp.com:1181/bugzilla/show_bug.cgi?id=",INDIRECT(C70&amp;ROW())),INDIRECT(C70&amp;ROW()))</f>
        <v>42234</v>
      </c>
      <c r="N12">
        <v>42234</v>
      </c>
      <c r="O12" t="s">
        <v>187</v>
      </c>
      <c r="P12" t="s">
        <v>455</v>
      </c>
      <c r="Q12" t="s">
        <v>25</v>
      </c>
      <c r="R12" t="s">
        <v>251</v>
      </c>
      <c r="S12" t="s">
        <v>22</v>
      </c>
      <c r="U12" s="6">
        <v>42122.355613425927</v>
      </c>
      <c r="V12" t="s">
        <v>18</v>
      </c>
      <c r="W12" t="s">
        <v>17</v>
      </c>
      <c r="X12" s="6">
        <v>41753.652465277781</v>
      </c>
      <c r="Y12" t="s">
        <v>786</v>
      </c>
      <c r="AB12" t="s">
        <v>201</v>
      </c>
      <c r="AC12" t="s">
        <v>121</v>
      </c>
      <c r="AD12" t="s">
        <v>220</v>
      </c>
      <c r="AE12" t="s">
        <v>219</v>
      </c>
      <c r="AG12" t="s">
        <v>121</v>
      </c>
      <c r="AH12" t="s">
        <v>327</v>
      </c>
      <c r="AI12" t="s">
        <v>121</v>
      </c>
      <c r="AJ12" t="s">
        <v>716</v>
      </c>
      <c r="AK12" t="s">
        <v>121</v>
      </c>
    </row>
    <row r="13" spans="1:37" x14ac:dyDescent="0.3">
      <c r="A13" s="2">
        <f ca="1">COUNTIF(INDIRECT(A68&amp;A67):INDIRECT(A69&amp;A66),INDIRECT("b"&amp;ROW()))</f>
        <v>6</v>
      </c>
      <c r="B13" s="2" t="str">
        <f>Assignees!C12</f>
        <v>Astra-Post IR13 07-18</v>
      </c>
      <c r="I13">
        <f ca="1">IF(OR(INDIRECT(A73&amp;ROW())=B93,INDIRECT(A73&amp;ROW())=B94),1,IF(AND(INDIRECT(A73&amp;ROW())=B95,INDIRECT(A96&amp;ROW())=C93),1,IF(AND(INDIRECT(A73&amp;ROW())=B95,INDIRECT(A96&amp;ROW())=C94),1,0)))</f>
        <v>0</v>
      </c>
      <c r="J13">
        <f ca="1">IF(AND(INDIRECT(A73&amp;ROW())=B95,INDIRECT(A96&amp;ROW())=C95),1,IF(AND(INDIRECT(A73&amp;ROW())=B95,INDIRECT(A96&amp;ROW())=C96),1,0))</f>
        <v>0</v>
      </c>
      <c r="K13">
        <f ca="1">DAYS360(INDIRECT(C68&amp;ROW()),TODAY())</f>
        <v>728</v>
      </c>
      <c r="L13">
        <f ca="1">DAYS360(INDIRECT(C69&amp;ROW()),TODAY())</f>
        <v>1084</v>
      </c>
      <c r="M13" s="11">
        <f ca="1">HYPERLINK(CONCATENATE("https://bugzilla.houston.hp.com:1181/bugzilla/show_bug.cgi?id=",INDIRECT(C70&amp;ROW())),INDIRECT(C70&amp;ROW()))</f>
        <v>42317</v>
      </c>
      <c r="N13">
        <v>42317</v>
      </c>
      <c r="O13" t="s">
        <v>88</v>
      </c>
      <c r="P13" t="s">
        <v>454</v>
      </c>
      <c r="Q13" t="s">
        <v>16</v>
      </c>
      <c r="R13" t="s">
        <v>251</v>
      </c>
      <c r="S13" t="s">
        <v>31</v>
      </c>
      <c r="U13" s="6">
        <v>42118.52002314815</v>
      </c>
      <c r="V13" t="s">
        <v>35</v>
      </c>
      <c r="W13" t="s">
        <v>17</v>
      </c>
      <c r="X13" s="6">
        <v>41757.419675925928</v>
      </c>
      <c r="Y13" t="s">
        <v>119</v>
      </c>
      <c r="AB13" t="s">
        <v>201</v>
      </c>
      <c r="AC13" t="s">
        <v>121</v>
      </c>
      <c r="AD13" t="s">
        <v>222</v>
      </c>
      <c r="AE13" t="s">
        <v>240</v>
      </c>
      <c r="AG13" t="s">
        <v>121</v>
      </c>
      <c r="AH13" t="s">
        <v>327</v>
      </c>
      <c r="AI13" t="s">
        <v>121</v>
      </c>
      <c r="AJ13" t="s">
        <v>717</v>
      </c>
      <c r="AK13" t="s">
        <v>121</v>
      </c>
    </row>
    <row r="14" spans="1:37" x14ac:dyDescent="0.3">
      <c r="A14" s="2">
        <f ca="1">COUNTIF(INDIRECT(A68&amp;A67):INDIRECT(A69&amp;A66),INDIRECT("b"&amp;ROW()))</f>
        <v>4</v>
      </c>
      <c r="B14" s="2" t="str">
        <f>Assignees!C13</f>
        <v>Astra-Post IR13 07-25-RTI</v>
      </c>
      <c r="I14">
        <f ca="1">IF(OR(INDIRECT(A73&amp;ROW())=B93,INDIRECT(A73&amp;ROW())=B94),1,IF(AND(INDIRECT(A73&amp;ROW())=B95,INDIRECT(A96&amp;ROW())=C93),1,IF(AND(INDIRECT(A73&amp;ROW())=B95,INDIRECT(A96&amp;ROW())=C94),1,0)))</f>
        <v>0</v>
      </c>
      <c r="J14">
        <f ca="1">IF(AND(INDIRECT(A73&amp;ROW())=B95,INDIRECT(A96&amp;ROW())=C95),1,IF(AND(INDIRECT(A73&amp;ROW())=B95,INDIRECT(A96&amp;ROW())=C96),1,0))</f>
        <v>0</v>
      </c>
      <c r="K14">
        <f ca="1">DAYS360(INDIRECT(C68&amp;ROW()),TODAY())</f>
        <v>728</v>
      </c>
      <c r="L14">
        <f ca="1">DAYS360(INDIRECT(C69&amp;ROW()),TODAY())</f>
        <v>1084</v>
      </c>
      <c r="M14" s="11">
        <f ca="1">HYPERLINK(CONCATENATE("https://bugzilla.houston.hp.com:1181/bugzilla/show_bug.cgi?id=",INDIRECT(C70&amp;ROW())),INDIRECT(C70&amp;ROW()))</f>
        <v>42322</v>
      </c>
      <c r="N14">
        <v>42322</v>
      </c>
      <c r="O14" t="s">
        <v>56</v>
      </c>
      <c r="P14" t="s">
        <v>453</v>
      </c>
      <c r="Q14" t="s">
        <v>16</v>
      </c>
      <c r="R14" t="s">
        <v>251</v>
      </c>
      <c r="S14" t="s">
        <v>24</v>
      </c>
      <c r="U14" s="6">
        <v>42118.520173611112</v>
      </c>
      <c r="V14" t="s">
        <v>35</v>
      </c>
      <c r="W14" t="s">
        <v>17</v>
      </c>
      <c r="X14" s="6">
        <v>41757.499259259261</v>
      </c>
      <c r="Y14" t="s">
        <v>119</v>
      </c>
      <c r="AB14" t="s">
        <v>201</v>
      </c>
      <c r="AC14" t="s">
        <v>121</v>
      </c>
      <c r="AD14" t="s">
        <v>220</v>
      </c>
      <c r="AE14" t="s">
        <v>219</v>
      </c>
      <c r="AG14" t="s">
        <v>121</v>
      </c>
      <c r="AH14" t="s">
        <v>327</v>
      </c>
      <c r="AI14" t="s">
        <v>121</v>
      </c>
      <c r="AJ14" t="s">
        <v>717</v>
      </c>
      <c r="AK14" t="s">
        <v>121</v>
      </c>
    </row>
    <row r="15" spans="1:37" x14ac:dyDescent="0.3">
      <c r="A15" s="2">
        <f ca="1">COUNTIF(INDIRECT(A68&amp;A67):INDIRECT(A69&amp;A66),INDIRECT("b"&amp;ROW()))</f>
        <v>8</v>
      </c>
      <c r="B15" s="2" t="str">
        <f>Assignees!C14</f>
        <v>Astra-Post IR13 08-08-RTI</v>
      </c>
      <c r="I15">
        <f ca="1">IF(OR(INDIRECT(A73&amp;ROW())=B93,INDIRECT(A73&amp;ROW())=B94),1,IF(AND(INDIRECT(A73&amp;ROW())=B95,INDIRECT(A96&amp;ROW())=C93),1,IF(AND(INDIRECT(A73&amp;ROW())=B95,INDIRECT(A96&amp;ROW())=C94),1,0)))</f>
        <v>0</v>
      </c>
      <c r="J15">
        <f ca="1">IF(AND(INDIRECT(A73&amp;ROW())=B95,INDIRECT(A96&amp;ROW())=C95),1,IF(AND(INDIRECT(A73&amp;ROW())=B95,INDIRECT(A96&amp;ROW())=C96),1,0))</f>
        <v>0</v>
      </c>
      <c r="K15">
        <f ca="1">DAYS360(INDIRECT(C68&amp;ROW()),TODAY())</f>
        <v>724</v>
      </c>
      <c r="L15">
        <f ca="1">DAYS360(INDIRECT(C69&amp;ROW()),TODAY())</f>
        <v>1082</v>
      </c>
      <c r="M15" s="11">
        <f ca="1">HYPERLINK(CONCATENATE("https://bugzilla.houston.hp.com:1181/bugzilla/show_bug.cgi?id=",INDIRECT(C70&amp;ROW())),INDIRECT(C70&amp;ROW()))</f>
        <v>42414</v>
      </c>
      <c r="N15">
        <v>42414</v>
      </c>
      <c r="O15" t="s">
        <v>53</v>
      </c>
      <c r="P15" t="s">
        <v>713</v>
      </c>
      <c r="Q15" t="s">
        <v>16</v>
      </c>
      <c r="R15" t="s">
        <v>251</v>
      </c>
      <c r="S15" t="s">
        <v>53</v>
      </c>
      <c r="U15" s="6">
        <v>42122.542314814818</v>
      </c>
      <c r="V15" t="s">
        <v>18</v>
      </c>
      <c r="W15" t="s">
        <v>17</v>
      </c>
      <c r="X15" s="6">
        <v>41759.650740740741</v>
      </c>
      <c r="Y15" t="s">
        <v>118</v>
      </c>
      <c r="AB15" t="s">
        <v>201</v>
      </c>
      <c r="AC15" t="s">
        <v>121</v>
      </c>
      <c r="AD15" t="s">
        <v>220</v>
      </c>
      <c r="AE15" t="s">
        <v>219</v>
      </c>
      <c r="AG15" t="s">
        <v>121</v>
      </c>
      <c r="AH15" t="s">
        <v>327</v>
      </c>
      <c r="AI15" t="s">
        <v>121</v>
      </c>
      <c r="AJ15" t="s">
        <v>717</v>
      </c>
      <c r="AK15" t="s">
        <v>121</v>
      </c>
    </row>
    <row r="16" spans="1:37" x14ac:dyDescent="0.3">
      <c r="A16" s="2">
        <f ca="1">COUNTIF(INDIRECT(A68&amp;A67):INDIRECT(A69&amp;A66),INDIRECT("b"&amp;ROW()))</f>
        <v>12</v>
      </c>
      <c r="B16" s="2" t="str">
        <f>Assignees!C15</f>
        <v>Astra-Post IR13 08-15</v>
      </c>
      <c r="C16" s="7">
        <f ca="1">SUM(C2:C12)</f>
        <v>657</v>
      </c>
      <c r="D16" s="7" t="s">
        <v>23</v>
      </c>
      <c r="E16" s="1">
        <f ca="1">SUM(E2:E9)</f>
        <v>4</v>
      </c>
      <c r="F16" s="1">
        <f ca="1">SUM(F2:F9)</f>
        <v>65</v>
      </c>
      <c r="G16" s="7">
        <f ca="1">SUM(G2:G9)</f>
        <v>303</v>
      </c>
      <c r="H16" s="7">
        <f ca="1">SUM(H2:H12)</f>
        <v>285</v>
      </c>
      <c r="I16">
        <f ca="1">IF(OR(INDIRECT(A73&amp;ROW())=B93,INDIRECT(A73&amp;ROW())=B94),1,IF(AND(INDIRECT(A73&amp;ROW())=B95,INDIRECT(A96&amp;ROW())=C93),1,IF(AND(INDIRECT(A73&amp;ROW())=B95,INDIRECT(A96&amp;ROW())=C94),1,0)))</f>
        <v>0</v>
      </c>
      <c r="J16">
        <f ca="1">IF(AND(INDIRECT(A73&amp;ROW())=B95,INDIRECT(A96&amp;ROW())=C95),1,IF(AND(INDIRECT(A73&amp;ROW())=B95,INDIRECT(A96&amp;ROW())=C96),1,0))</f>
        <v>0</v>
      </c>
      <c r="K16">
        <f ca="1">DAYS360(INDIRECT(C68&amp;ROW()),TODAY())</f>
        <v>800</v>
      </c>
      <c r="L16">
        <f ca="1">DAYS360(INDIRECT(C69&amp;ROW()),TODAY())</f>
        <v>1067</v>
      </c>
      <c r="M16" s="11">
        <f ca="1">HYPERLINK(CONCATENATE("https://bugzilla.houston.hp.com:1181/bugzilla/show_bug.cgi?id=",INDIRECT(C70&amp;ROW())),INDIRECT(C70&amp;ROW()))</f>
        <v>42914</v>
      </c>
      <c r="N16">
        <v>42914</v>
      </c>
      <c r="O16" t="s">
        <v>66</v>
      </c>
      <c r="P16" t="s">
        <v>331</v>
      </c>
      <c r="Q16" t="s">
        <v>16</v>
      </c>
      <c r="R16" t="s">
        <v>17</v>
      </c>
      <c r="S16" t="s">
        <v>33</v>
      </c>
      <c r="U16" s="6">
        <v>42047.981203703705</v>
      </c>
      <c r="V16" t="s">
        <v>35</v>
      </c>
      <c r="W16" t="s">
        <v>172</v>
      </c>
      <c r="X16" s="6">
        <v>41774.400381944448</v>
      </c>
      <c r="Y16" t="s">
        <v>119</v>
      </c>
      <c r="AB16" t="s">
        <v>201</v>
      </c>
      <c r="AC16" t="s">
        <v>121</v>
      </c>
      <c r="AD16" t="s">
        <v>222</v>
      </c>
      <c r="AE16" t="s">
        <v>228</v>
      </c>
      <c r="AG16" t="s">
        <v>121</v>
      </c>
      <c r="AH16" t="s">
        <v>327</v>
      </c>
      <c r="AI16" t="s">
        <v>121</v>
      </c>
      <c r="AJ16" t="s">
        <v>717</v>
      </c>
      <c r="AK16" t="s">
        <v>121</v>
      </c>
    </row>
    <row r="17" spans="1:37" x14ac:dyDescent="0.3">
      <c r="A17" s="2">
        <f ca="1">COUNTIF(INDIRECT(A68&amp;A67):INDIRECT(A69&amp;A66),INDIRECT("b"&amp;ROW()))</f>
        <v>12</v>
      </c>
      <c r="B17" s="2" t="str">
        <f>Assignees!C16</f>
        <v>Astra-Post IR13 08-22</v>
      </c>
      <c r="C17">
        <f ca="1">C16-H16</f>
        <v>372</v>
      </c>
      <c r="D17" s="8" t="s">
        <v>26</v>
      </c>
      <c r="I17">
        <f ca="1">IF(OR(INDIRECT(A73&amp;ROW())=B93,INDIRECT(A73&amp;ROW())=B94),1,IF(AND(INDIRECT(A73&amp;ROW())=B95,INDIRECT(A96&amp;ROW())=C93),1,IF(AND(INDIRECT(A73&amp;ROW())=B95,INDIRECT(A96&amp;ROW())=C94),1,0)))</f>
        <v>0</v>
      </c>
      <c r="J17">
        <f ca="1">IF(AND(INDIRECT(A73&amp;ROW())=B95,INDIRECT(A96&amp;ROW())=C95),1,IF(AND(INDIRECT(A73&amp;ROW())=B95,INDIRECT(A96&amp;ROW())=C96),1,0))</f>
        <v>0</v>
      </c>
      <c r="K17">
        <f ca="1">DAYS360(INDIRECT(C68&amp;ROW()),TODAY())</f>
        <v>729</v>
      </c>
      <c r="L17">
        <f ca="1">DAYS360(INDIRECT(C69&amp;ROW()),TODAY())</f>
        <v>1066</v>
      </c>
      <c r="M17" s="11">
        <f ca="1">HYPERLINK(CONCATENATE("https://bugzilla.houston.hp.com:1181/bugzilla/show_bug.cgi?id=",INDIRECT(C70&amp;ROW())),INDIRECT(C70&amp;ROW()))</f>
        <v>42962</v>
      </c>
      <c r="N17">
        <v>42962</v>
      </c>
      <c r="O17" t="s">
        <v>204</v>
      </c>
      <c r="P17" t="s">
        <v>712</v>
      </c>
      <c r="Q17" t="s">
        <v>16</v>
      </c>
      <c r="R17" t="s">
        <v>251</v>
      </c>
      <c r="S17" t="s">
        <v>31</v>
      </c>
      <c r="U17" s="6">
        <v>42117.40247685185</v>
      </c>
      <c r="V17" t="s">
        <v>40</v>
      </c>
      <c r="W17" t="s">
        <v>17</v>
      </c>
      <c r="X17" s="6">
        <v>41775.516168981485</v>
      </c>
      <c r="Y17" t="s">
        <v>119</v>
      </c>
      <c r="AB17" t="s">
        <v>200</v>
      </c>
      <c r="AC17" t="s">
        <v>121</v>
      </c>
      <c r="AD17" t="s">
        <v>222</v>
      </c>
      <c r="AE17" t="s">
        <v>225</v>
      </c>
      <c r="AG17" t="s">
        <v>121</v>
      </c>
      <c r="AH17" t="s">
        <v>327</v>
      </c>
      <c r="AI17" t="s">
        <v>121</v>
      </c>
      <c r="AJ17" t="s">
        <v>716</v>
      </c>
      <c r="AK17" t="s">
        <v>121</v>
      </c>
    </row>
    <row r="18" spans="1:37" x14ac:dyDescent="0.3">
      <c r="A18" s="2">
        <f ca="1">COUNTIF(INDIRECT(A68&amp;A67):INDIRECT(A69&amp;A66),INDIRECT("b"&amp;ROW()))</f>
        <v>5</v>
      </c>
      <c r="B18" s="2" t="str">
        <f>Assignees!C17</f>
        <v>Astra-Post IR13 08-29</v>
      </c>
      <c r="C18">
        <f ca="1">C16-H16-C21-C50-C32</f>
        <v>227</v>
      </c>
      <c r="D18" t="s">
        <v>29</v>
      </c>
      <c r="I18">
        <f ca="1">IF(OR(INDIRECT(A73&amp;ROW())=B93,INDIRECT(A73&amp;ROW())=B94),1,IF(AND(INDIRECT(A73&amp;ROW())=B95,INDIRECT(A96&amp;ROW())=C93),1,IF(AND(INDIRECT(A73&amp;ROW())=B95,INDIRECT(A96&amp;ROW())=C94),1,0)))</f>
        <v>1</v>
      </c>
      <c r="J18">
        <f ca="1">IF(AND(INDIRECT(A73&amp;ROW())=B95,INDIRECT(A96&amp;ROW())=C95),1,IF(AND(INDIRECT(A73&amp;ROW())=B95,INDIRECT(A96&amp;ROW())=C96),1,0))</f>
        <v>0</v>
      </c>
      <c r="K18">
        <f ca="1">DAYS360(INDIRECT(C68&amp;ROW()),TODAY())</f>
        <v>724</v>
      </c>
      <c r="L18">
        <f ca="1">DAYS360(INDIRECT(C69&amp;ROW()),TODAY())</f>
        <v>1048</v>
      </c>
      <c r="M18" s="11">
        <f ca="1">HYPERLINK(CONCATENATE("https://bugzilla.houston.hp.com:1181/bugzilla/show_bug.cgi?id=",INDIRECT(C70&amp;ROW())),INDIRECT(C70&amp;ROW()))</f>
        <v>43571</v>
      </c>
      <c r="N18">
        <v>43571</v>
      </c>
      <c r="O18" t="s">
        <v>180</v>
      </c>
      <c r="P18" t="s">
        <v>452</v>
      </c>
      <c r="Q18" t="s">
        <v>25</v>
      </c>
      <c r="R18" t="s">
        <v>251</v>
      </c>
      <c r="S18" t="s">
        <v>46</v>
      </c>
      <c r="T18" t="s">
        <v>794</v>
      </c>
      <c r="U18" s="6">
        <v>42122.35528935185</v>
      </c>
      <c r="V18" t="s">
        <v>18</v>
      </c>
      <c r="W18" t="s">
        <v>17</v>
      </c>
      <c r="X18" s="6">
        <v>41794.596504629626</v>
      </c>
      <c r="Y18" t="s">
        <v>119</v>
      </c>
      <c r="AB18" t="s">
        <v>200</v>
      </c>
      <c r="AC18" t="s">
        <v>121</v>
      </c>
      <c r="AD18" t="s">
        <v>222</v>
      </c>
      <c r="AE18" t="s">
        <v>221</v>
      </c>
      <c r="AG18" t="s">
        <v>121</v>
      </c>
      <c r="AH18" t="s">
        <v>327</v>
      </c>
      <c r="AI18" t="s">
        <v>121</v>
      </c>
      <c r="AJ18" t="s">
        <v>715</v>
      </c>
      <c r="AK18" t="s">
        <v>121</v>
      </c>
    </row>
    <row r="19" spans="1:37" x14ac:dyDescent="0.3">
      <c r="A19" s="2">
        <f ca="1">COUNTIF(INDIRECT(A68&amp;A67):INDIRECT(A69&amp;A66),INDIRECT("b"&amp;ROW()))</f>
        <v>9</v>
      </c>
      <c r="B19" s="2" t="str">
        <f>Assignees!C18</f>
        <v>Astra-Post IR13 09-05</v>
      </c>
      <c r="C19" s="9">
        <f ca="1">(COUNTIFS(INDIRECT(A80&amp;A67):INDIRECT(A80&amp;A66),A93))</f>
        <v>564</v>
      </c>
      <c r="D19" s="9" t="str">
        <f>A93</f>
        <v>NEW</v>
      </c>
      <c r="E19" s="16">
        <f ca="1">(COUNTIFS(INDIRECT(A80&amp;A67):INDIRECT(A80&amp;A66),INDIRECT("d"&amp;ROW()),INDIRECT(A73&amp;A67):INDIRECT(A73&amp;A66),E1))</f>
        <v>4</v>
      </c>
      <c r="F19" s="4">
        <f ca="1">(COUNTIFS(INDIRECT(A80&amp;A67):INDIRECT(A80&amp;A66),INDIRECT("d"&amp;ROW()),INDIRECT(A73&amp;A67):INDIRECT(A73&amp;A66),F1))</f>
        <v>50</v>
      </c>
      <c r="G19" s="3">
        <f ca="1">(COUNTIFS(INDIRECT(A80&amp;A67):INDIRECT(A80&amp;A66),INDIRECT("d"&amp;ROW()),INDIRECT(A73&amp;A67):INDIRECT(A73&amp;A66),G1))</f>
        <v>263</v>
      </c>
      <c r="H19" s="5">
        <f ca="1">(COUNTIFS(INDIRECT(A80&amp;A67):INDIRECT(A80&amp;A66),INDIRECT("d"&amp;ROW()),INDIRECT(A73&amp;A67):INDIRECT(A73&amp;A66),H1))</f>
        <v>247</v>
      </c>
      <c r="I19">
        <f ca="1">IF(OR(INDIRECT(A73&amp;ROW())=B93,INDIRECT(A73&amp;ROW())=B94),1,IF(AND(INDIRECT(A73&amp;ROW())=B95,INDIRECT(A96&amp;ROW())=C93),1,IF(AND(INDIRECT(A73&amp;ROW())=B95,INDIRECT(A96&amp;ROW())=C94),1,0)))</f>
        <v>0</v>
      </c>
      <c r="J19">
        <f ca="1">IF(AND(INDIRECT(A73&amp;ROW())=B95,INDIRECT(A96&amp;ROW())=C95),1,IF(AND(INDIRECT(A73&amp;ROW())=B95,INDIRECT(A96&amp;ROW())=C96),1,0))</f>
        <v>1</v>
      </c>
      <c r="K19">
        <f ca="1">DAYS360(INDIRECT(C68&amp;ROW()),TODAY())</f>
        <v>728</v>
      </c>
      <c r="L19">
        <f ca="1">DAYS360(INDIRECT(C69&amp;ROW()),TODAY())</f>
        <v>1047</v>
      </c>
      <c r="M19" s="11">
        <f ca="1">HYPERLINK(CONCATENATE("https://bugzilla.houston.hp.com:1181/bugzilla/show_bug.cgi?id=",INDIRECT(C70&amp;ROW())),INDIRECT(C70&amp;ROW()))</f>
        <v>43596</v>
      </c>
      <c r="N19">
        <v>43596</v>
      </c>
      <c r="O19" t="s">
        <v>204</v>
      </c>
      <c r="P19" t="s">
        <v>711</v>
      </c>
      <c r="Q19" t="s">
        <v>25</v>
      </c>
      <c r="R19" t="s">
        <v>251</v>
      </c>
      <c r="S19" t="s">
        <v>33</v>
      </c>
      <c r="U19" s="6">
        <v>42118.33965277778</v>
      </c>
      <c r="V19" t="s">
        <v>40</v>
      </c>
      <c r="W19" t="s">
        <v>17</v>
      </c>
      <c r="X19" s="6">
        <v>41795.209398148145</v>
      </c>
      <c r="Y19" t="s">
        <v>119</v>
      </c>
      <c r="AB19" t="s">
        <v>201</v>
      </c>
      <c r="AC19" t="s">
        <v>121</v>
      </c>
      <c r="AD19" t="s">
        <v>220</v>
      </c>
      <c r="AE19" t="s">
        <v>223</v>
      </c>
      <c r="AG19" t="s">
        <v>121</v>
      </c>
      <c r="AH19" t="s">
        <v>327</v>
      </c>
      <c r="AI19" t="s">
        <v>121</v>
      </c>
      <c r="AJ19" t="s">
        <v>716</v>
      </c>
      <c r="AK19" t="s">
        <v>121</v>
      </c>
    </row>
    <row r="20" spans="1:37" x14ac:dyDescent="0.3">
      <c r="A20" s="2">
        <f ca="1">COUNTIF(INDIRECT(A68&amp;A67):INDIRECT(A69&amp;A66),INDIRECT("b"&amp;ROW()))</f>
        <v>3</v>
      </c>
      <c r="B20" s="2" t="str">
        <f>Assignees!C19</f>
        <v>Astra-Post IR13 09-12</v>
      </c>
      <c r="C20" s="9">
        <f ca="1">(COUNTIFS(INDIRECT(A80&amp;A67):INDIRECT(A80&amp;A66),A94))</f>
        <v>57</v>
      </c>
      <c r="D20" s="9" t="str">
        <f>A94</f>
        <v>ASSIGNED</v>
      </c>
      <c r="E20" s="16">
        <f ca="1">(COUNTIFS(INDIRECT(A80&amp;A67):INDIRECT(A80&amp;A66),INDIRECT("d"&amp;ROW()),INDIRECT(A73&amp;A67):INDIRECT(A73&amp;A66),E1))</f>
        <v>0</v>
      </c>
      <c r="F20" s="4">
        <f ca="1">(COUNTIFS(INDIRECT(A80&amp;A67):INDIRECT(A80&amp;A66),INDIRECT("d"&amp;ROW()),INDIRECT(A73&amp;A67):INDIRECT(A73&amp;A66),F1))</f>
        <v>7</v>
      </c>
      <c r="G20" s="3">
        <f ca="1">(COUNTIFS(INDIRECT(A80&amp;A67):INDIRECT(A80&amp;A66),INDIRECT("d"&amp;ROW()),INDIRECT(A73&amp;A67):INDIRECT(A73&amp;A66),G1))</f>
        <v>23</v>
      </c>
      <c r="H20" s="5">
        <f ca="1">(COUNTIFS(INDIRECT(A80&amp;A67):INDIRECT(A80&amp;A66),INDIRECT("d"&amp;ROW()),INDIRECT(A73&amp;A67):INDIRECT(A73&amp;A66),H1))</f>
        <v>27</v>
      </c>
      <c r="I20">
        <f ca="1">IF(OR(INDIRECT(A73&amp;ROW())=B93,INDIRECT(A73&amp;ROW())=B94),1,IF(AND(INDIRECT(A73&amp;ROW())=B95,INDIRECT(A96&amp;ROW())=C93),1,IF(AND(INDIRECT(A73&amp;ROW())=B95,INDIRECT(A96&amp;ROW())=C94),1,0)))</f>
        <v>0</v>
      </c>
      <c r="J20">
        <f ca="1">IF(AND(INDIRECT(A73&amp;ROW())=B95,INDIRECT(A96&amp;ROW())=C95),1,IF(AND(INDIRECT(A73&amp;ROW())=B95,INDIRECT(A96&amp;ROW())=C96),1,0))</f>
        <v>0</v>
      </c>
      <c r="K20">
        <f ca="1">DAYS360(INDIRECT(C68&amp;ROW()),TODAY())</f>
        <v>728</v>
      </c>
      <c r="L20">
        <f ca="1">DAYS360(INDIRECT(C69&amp;ROW()),TODAY())</f>
        <v>1040</v>
      </c>
      <c r="M20" s="11">
        <f ca="1">HYPERLINK(CONCATENATE("https://bugzilla.houston.hp.com:1181/bugzilla/show_bug.cgi?id=",INDIRECT(C70&amp;ROW())),INDIRECT(C70&amp;ROW()))</f>
        <v>43856</v>
      </c>
      <c r="N20">
        <v>43856</v>
      </c>
      <c r="O20" t="s">
        <v>59</v>
      </c>
      <c r="P20" t="s">
        <v>254</v>
      </c>
      <c r="Q20" t="s">
        <v>16</v>
      </c>
      <c r="R20" t="s">
        <v>251</v>
      </c>
      <c r="S20" t="s">
        <v>68</v>
      </c>
      <c r="U20" s="6">
        <v>42118.52034722222</v>
      </c>
      <c r="V20" t="s">
        <v>35</v>
      </c>
      <c r="W20" t="s">
        <v>17</v>
      </c>
      <c r="X20" s="6">
        <v>41802.251354166663</v>
      </c>
      <c r="Y20" t="s">
        <v>124</v>
      </c>
      <c r="AB20" t="s">
        <v>201</v>
      </c>
      <c r="AC20" t="s">
        <v>121</v>
      </c>
      <c r="AD20" t="s">
        <v>220</v>
      </c>
      <c r="AE20" t="s">
        <v>219</v>
      </c>
      <c r="AG20" t="s">
        <v>121</v>
      </c>
      <c r="AH20" t="s">
        <v>327</v>
      </c>
      <c r="AI20" t="s">
        <v>121</v>
      </c>
      <c r="AJ20" t="s">
        <v>717</v>
      </c>
      <c r="AK20" t="s">
        <v>121</v>
      </c>
    </row>
    <row r="21" spans="1:37" x14ac:dyDescent="0.3">
      <c r="A21" s="2">
        <f ca="1">COUNTIF(INDIRECT(A68&amp;A67):INDIRECT(A69&amp;A66),INDIRECT("b"&amp;ROW()))</f>
        <v>3</v>
      </c>
      <c r="B21" s="2" t="str">
        <f>Assignees!C20</f>
        <v>Astra-Post IR13 09-19</v>
      </c>
      <c r="C21" s="9">
        <f ca="1">(COUNTIFS(INDIRECT(A80&amp;A67):INDIRECT(A80&amp;A66),A95))</f>
        <v>36</v>
      </c>
      <c r="D21" s="9" t="str">
        <f>A95</f>
        <v>REOPENED</v>
      </c>
      <c r="E21" s="16">
        <f ca="1">(COUNTIFS(INDIRECT(A80&amp;A67):INDIRECT(A80&amp;A66),INDIRECT("d"&amp;ROW()),INDIRECT(A73&amp;A67):INDIRECT(A73&amp;A66),E1))</f>
        <v>0</v>
      </c>
      <c r="F21" s="4">
        <f ca="1">(COUNTIFS(INDIRECT(A80&amp;A67):INDIRECT(A80&amp;A66),INDIRECT("d"&amp;ROW()),INDIRECT(A73&amp;A67):INDIRECT(A73&amp;A66),F1))</f>
        <v>8</v>
      </c>
      <c r="G21" s="3">
        <f ca="1">(COUNTIFS(INDIRECT(A80&amp;A67):INDIRECT(A80&amp;A66),INDIRECT("d"&amp;ROW()),INDIRECT(A73&amp;A67):INDIRECT(A73&amp;A66),G1))</f>
        <v>17</v>
      </c>
      <c r="H21" s="5">
        <f ca="1">(COUNTIFS(INDIRECT(A80&amp;A67):INDIRECT(A80&amp;A66),INDIRECT("d"&amp;ROW()),INDIRECT(A73&amp;A67):INDIRECT(A73&amp;A66),H1))</f>
        <v>11</v>
      </c>
      <c r="I21">
        <f ca="1">IF(OR(INDIRECT(A73&amp;ROW())=B93,INDIRECT(A73&amp;ROW())=B94),1,IF(AND(INDIRECT(A73&amp;ROW())=B95,INDIRECT(A96&amp;ROW())=C93),1,IF(AND(INDIRECT(A73&amp;ROW())=B95,INDIRECT(A96&amp;ROW())=C94),1,0)))</f>
        <v>0</v>
      </c>
      <c r="J21">
        <f ca="1">IF(AND(INDIRECT(A73&amp;ROW())=B95,INDIRECT(A96&amp;ROW())=C95),1,IF(AND(INDIRECT(A73&amp;ROW())=B95,INDIRECT(A96&amp;ROW())=C96),1,0))</f>
        <v>0</v>
      </c>
      <c r="K21">
        <f ca="1">DAYS360(INDIRECT(C68&amp;ROW()),TODAY())</f>
        <v>721</v>
      </c>
      <c r="L21">
        <f ca="1">DAYS360(INDIRECT(C69&amp;ROW()),TODAY())</f>
        <v>1040</v>
      </c>
      <c r="M21" s="11">
        <f ca="1">HYPERLINK(CONCATENATE("https://bugzilla.houston.hp.com:1181/bugzilla/show_bug.cgi?id=",INDIRECT(C70&amp;ROW())),INDIRECT(C70&amp;ROW()))</f>
        <v>43867</v>
      </c>
      <c r="N21">
        <v>43867</v>
      </c>
      <c r="O21" t="s">
        <v>21</v>
      </c>
      <c r="P21" t="s">
        <v>451</v>
      </c>
      <c r="Q21" t="s">
        <v>16</v>
      </c>
      <c r="R21" t="s">
        <v>251</v>
      </c>
      <c r="S21" t="s">
        <v>21</v>
      </c>
      <c r="U21" s="6">
        <v>42125.442002314812</v>
      </c>
      <c r="V21" t="s">
        <v>18</v>
      </c>
      <c r="W21" t="s">
        <v>17</v>
      </c>
      <c r="X21" s="6">
        <v>41802.479467592595</v>
      </c>
      <c r="Y21" t="s">
        <v>122</v>
      </c>
      <c r="AB21" t="s">
        <v>201</v>
      </c>
      <c r="AC21" t="s">
        <v>121</v>
      </c>
      <c r="AD21" t="s">
        <v>222</v>
      </c>
      <c r="AE21" t="s">
        <v>225</v>
      </c>
      <c r="AG21" t="s">
        <v>121</v>
      </c>
      <c r="AH21" t="s">
        <v>327</v>
      </c>
      <c r="AI21" t="s">
        <v>121</v>
      </c>
      <c r="AJ21" t="s">
        <v>717</v>
      </c>
      <c r="AK21" t="s">
        <v>121</v>
      </c>
    </row>
    <row r="22" spans="1:37" x14ac:dyDescent="0.3">
      <c r="A22" s="2">
        <f ca="1">COUNTIF(INDIRECT(A68&amp;A67):INDIRECT(A69&amp;A66),INDIRECT("b"&amp;ROW()))</f>
        <v>5</v>
      </c>
      <c r="B22" s="2" t="str">
        <f>Assignees!C21</f>
        <v>Astra-Post IR13 09-26</v>
      </c>
      <c r="C22" s="21">
        <f ca="1">COUNTIFS(INDIRECT(A79&amp;A67):INDIRECT(A79&amp;A66),"*"&amp;B92&amp;"*")</f>
        <v>31</v>
      </c>
      <c r="D22" s="21" t="str">
        <f>CONCATENATE(B79," ",B92)</f>
        <v>Component Documentation</v>
      </c>
      <c r="E22" s="16">
        <f ca="1">COUNTIFS(INDIRECT(A69&amp;A67):INDIRECT(A69&amp;A66),"*"&amp;A92&amp;"*",INDIRECT(A73&amp;A67):INDIRECT(A73&amp;A66),E1)</f>
        <v>0</v>
      </c>
      <c r="F22" s="4">
        <f ca="1">COUNTIFS(INDIRECT(A69&amp;A67):INDIRECT(A69&amp;A66),"*"&amp;A92&amp;"*",INDIRECT(A73&amp;A67):INDIRECT(A73&amp;A66),F1)</f>
        <v>0</v>
      </c>
      <c r="G22" s="3">
        <f ca="1">COUNTIFS(INDIRECT(A69&amp;A67):INDIRECT(A69&amp;A66),"*"&amp;A92&amp;"*",INDIRECT(A73&amp;A67):INDIRECT(A73&amp;A66),G1)</f>
        <v>0</v>
      </c>
      <c r="H22" s="5">
        <f ca="1">(COUNTIFS(INDIRECT(A80&amp;A67):INDIRECT(A80&amp;A66),INDIRECT("d"&amp;ROW()),INDIRECT(A73&amp;A67):INDIRECT(A73&amp;A66),H1))</f>
        <v>0</v>
      </c>
      <c r="I22">
        <f ca="1">IF(OR(INDIRECT(A73&amp;ROW())=B93,INDIRECT(A73&amp;ROW())=B94),1,IF(AND(INDIRECT(A73&amp;ROW())=B95,INDIRECT(A96&amp;ROW())=C93),1,IF(AND(INDIRECT(A73&amp;ROW())=B95,INDIRECT(A96&amp;ROW())=C94),1,0)))</f>
        <v>0</v>
      </c>
      <c r="J22">
        <f ca="1">IF(AND(INDIRECT(A73&amp;ROW())=B95,INDIRECT(A96&amp;ROW())=C95),1,IF(AND(INDIRECT(A73&amp;ROW())=B95,INDIRECT(A96&amp;ROW())=C96),1,0))</f>
        <v>0</v>
      </c>
      <c r="K22">
        <f ca="1">DAYS360(INDIRECT(C68&amp;ROW()),TODAY())</f>
        <v>721</v>
      </c>
      <c r="L22">
        <f ca="1">DAYS360(INDIRECT(C69&amp;ROW()),TODAY())</f>
        <v>1035</v>
      </c>
      <c r="M22" s="11">
        <f ca="1">HYPERLINK(CONCATENATE("https://bugzilla.houston.hp.com:1181/bugzilla/show_bug.cgi?id=",INDIRECT(C70&amp;ROW())),INDIRECT(C70&amp;ROW()))</f>
        <v>44024</v>
      </c>
      <c r="N22">
        <v>44024</v>
      </c>
      <c r="O22" t="s">
        <v>180</v>
      </c>
      <c r="P22" t="s">
        <v>450</v>
      </c>
      <c r="Q22" t="s">
        <v>16</v>
      </c>
      <c r="R22" t="s">
        <v>251</v>
      </c>
      <c r="S22" t="s">
        <v>59</v>
      </c>
      <c r="U22" s="6">
        <v>42125.442199074074</v>
      </c>
      <c r="V22" t="s">
        <v>18</v>
      </c>
      <c r="W22" t="s">
        <v>17</v>
      </c>
      <c r="X22" s="6">
        <v>41807.146840277775</v>
      </c>
      <c r="Y22" t="s">
        <v>122</v>
      </c>
      <c r="AB22" t="s">
        <v>200</v>
      </c>
      <c r="AC22" t="s">
        <v>121</v>
      </c>
      <c r="AD22" t="s">
        <v>222</v>
      </c>
      <c r="AE22" t="s">
        <v>225</v>
      </c>
      <c r="AG22" t="s">
        <v>121</v>
      </c>
      <c r="AH22" t="s">
        <v>327</v>
      </c>
      <c r="AI22" t="s">
        <v>121</v>
      </c>
      <c r="AJ22" t="s">
        <v>716</v>
      </c>
      <c r="AK22" t="s">
        <v>121</v>
      </c>
    </row>
    <row r="23" spans="1:37" x14ac:dyDescent="0.3">
      <c r="A23" s="2">
        <f ca="1">COUNTIF(INDIRECT(A68&amp;A67):INDIRECT(A69&amp;A66),INDIRECT("b"&amp;ROW()))</f>
        <v>2</v>
      </c>
      <c r="B23" s="2" t="str">
        <f>Assignees!C22</f>
        <v>Astra-Post IR13 10-03</v>
      </c>
      <c r="I23">
        <f ca="1">IF(OR(INDIRECT(A73&amp;ROW())=B93,INDIRECT(A73&amp;ROW())=B94),1,IF(AND(INDIRECT(A73&amp;ROW())=B95,INDIRECT(A96&amp;ROW())=C93),1,IF(AND(INDIRECT(A73&amp;ROW())=B95,INDIRECT(A96&amp;ROW())=C94),1,0)))</f>
        <v>0</v>
      </c>
      <c r="J23">
        <f ca="1">IF(AND(INDIRECT(A73&amp;ROW())=B95,INDIRECT(A96&amp;ROW())=C95),1,IF(AND(INDIRECT(A73&amp;ROW())=B95,INDIRECT(A96&amp;ROW())=C96),1,0))</f>
        <v>0</v>
      </c>
      <c r="K23">
        <f ca="1">DAYS360(INDIRECT(C68&amp;ROW()),TODAY())</f>
        <v>728</v>
      </c>
      <c r="L23">
        <f ca="1">DAYS360(INDIRECT(C69&amp;ROW()),TODAY())</f>
        <v>1025</v>
      </c>
      <c r="M23" s="11">
        <f ca="1">HYPERLINK(CONCATENATE("https://bugzilla.houston.hp.com:1181/bugzilla/show_bug.cgi?id=",INDIRECT(C70&amp;ROW())),INDIRECT(C70&amp;ROW()))</f>
        <v>44771</v>
      </c>
      <c r="N23">
        <v>44771</v>
      </c>
      <c r="O23" t="s">
        <v>56</v>
      </c>
      <c r="P23" t="s">
        <v>710</v>
      </c>
      <c r="Q23" t="s">
        <v>16</v>
      </c>
      <c r="R23" t="s">
        <v>251</v>
      </c>
      <c r="S23" t="s">
        <v>61</v>
      </c>
      <c r="U23" s="6">
        <v>42118.520520833335</v>
      </c>
      <c r="V23" t="s">
        <v>18</v>
      </c>
      <c r="W23" t="s">
        <v>17</v>
      </c>
      <c r="X23" s="6">
        <v>41817.356145833335</v>
      </c>
      <c r="Y23" t="s">
        <v>118</v>
      </c>
      <c r="AB23" t="s">
        <v>201</v>
      </c>
      <c r="AC23" t="s">
        <v>121</v>
      </c>
      <c r="AD23" t="s">
        <v>220</v>
      </c>
      <c r="AE23" t="s">
        <v>219</v>
      </c>
      <c r="AG23" t="s">
        <v>121</v>
      </c>
      <c r="AH23" t="s">
        <v>327</v>
      </c>
      <c r="AI23" t="s">
        <v>121</v>
      </c>
      <c r="AJ23" t="s">
        <v>717</v>
      </c>
      <c r="AK23" t="s">
        <v>121</v>
      </c>
    </row>
    <row r="24" spans="1:37" x14ac:dyDescent="0.3">
      <c r="A24" s="2">
        <f ca="1">COUNTIF(INDIRECT(A68&amp;A67):INDIRECT(A69&amp;A66),INDIRECT("b"&amp;ROW()))</f>
        <v>10</v>
      </c>
      <c r="B24" s="2" t="str">
        <f>Assignees!C23</f>
        <v>Astra-Post IR13 10-10</v>
      </c>
      <c r="C24" s="10">
        <f ca="1">COUNTIFS(INDIRECT(A78&amp;A67):INDIRECT(A78&amp;A66),INDIRECT("d"&amp;ROW()))</f>
        <v>186</v>
      </c>
      <c r="D24" s="10" t="str">
        <f>CONCATENATE("Protocols-",A88)</f>
        <v>Protocols-AAUM</v>
      </c>
      <c r="E24" s="16">
        <f ca="1">COUNTIFS(INDIRECT(A78&amp;A67):INDIRECT(A78&amp;A66),INDIRECT("d"&amp;ROW()),INDIRECT(A73&amp;A67):INDIRECT(A73&amp;A66),E1)</f>
        <v>2</v>
      </c>
      <c r="F24" s="4">
        <f ca="1">COUNTIFS(INDIRECT(A78&amp;A67):INDIRECT(A78&amp;A66),INDIRECT("d"&amp;ROW()),INDIRECT(A73&amp;A67):INDIRECT(A73&amp;A66),F1)</f>
        <v>10</v>
      </c>
      <c r="G24" s="3">
        <f ca="1">COUNTIFS(INDIRECT(A78&amp;A67):INDIRECT(A78&amp;A66),INDIRECT("d"&amp;ROW()),INDIRECT(A73&amp;A67):INDIRECT(A73&amp;A66),G1)</f>
        <v>95</v>
      </c>
      <c r="H24" s="5">
        <f ca="1">COUNTIFS(INDIRECT(A78&amp;A67):INDIRECT(A78&amp;A66),INDIRECT("d"&amp;ROW()),INDIRECT(A73&amp;A67):INDIRECT(A73&amp;A66),H1)</f>
        <v>79</v>
      </c>
      <c r="I24">
        <f ca="1">IF(OR(INDIRECT(A73&amp;ROW())=B93,INDIRECT(A73&amp;ROW())=B94),1,IF(AND(INDIRECT(A73&amp;ROW())=B95,INDIRECT(A96&amp;ROW())=C93),1,IF(AND(INDIRECT(A73&amp;ROW())=B95,INDIRECT(A96&amp;ROW())=C94),1,0)))</f>
        <v>0</v>
      </c>
      <c r="J24">
        <f ca="1">IF(AND(INDIRECT(A73&amp;ROW())=B95,INDIRECT(A96&amp;ROW())=C95),1,IF(AND(INDIRECT(A73&amp;ROW())=B95,INDIRECT(A96&amp;ROW())=C96),1,0))</f>
        <v>0</v>
      </c>
      <c r="K24">
        <f ca="1">DAYS360(INDIRECT(C68&amp;ROW()),TODAY())</f>
        <v>721</v>
      </c>
      <c r="L24">
        <f ca="1">DAYS360(INDIRECT(C69&amp;ROW()),TODAY())</f>
        <v>1021</v>
      </c>
      <c r="M24" s="11">
        <f ca="1">HYPERLINK(CONCATENATE("https://bugzilla.houston.hp.com:1181/bugzilla/show_bug.cgi?id=",INDIRECT(C70&amp;ROW())),INDIRECT(C70&amp;ROW()))</f>
        <v>46238</v>
      </c>
      <c r="N24">
        <v>46238</v>
      </c>
      <c r="O24" t="s">
        <v>174</v>
      </c>
      <c r="P24" t="s">
        <v>709</v>
      </c>
      <c r="Q24" t="s">
        <v>16</v>
      </c>
      <c r="R24" t="s">
        <v>251</v>
      </c>
      <c r="S24" t="s">
        <v>174</v>
      </c>
      <c r="U24" s="6">
        <v>42125.442280092589</v>
      </c>
      <c r="V24" t="s">
        <v>18</v>
      </c>
      <c r="W24" t="s">
        <v>17</v>
      </c>
      <c r="X24" s="6">
        <v>41821.631064814814</v>
      </c>
      <c r="Y24" t="s">
        <v>122</v>
      </c>
      <c r="AB24" t="s">
        <v>199</v>
      </c>
      <c r="AC24" t="s">
        <v>121</v>
      </c>
      <c r="AD24" t="s">
        <v>222</v>
      </c>
      <c r="AE24" t="s">
        <v>233</v>
      </c>
      <c r="AG24" t="s">
        <v>121</v>
      </c>
      <c r="AH24" t="s">
        <v>327</v>
      </c>
      <c r="AI24" t="s">
        <v>121</v>
      </c>
      <c r="AJ24" t="s">
        <v>716</v>
      </c>
      <c r="AK24" t="s">
        <v>121</v>
      </c>
    </row>
    <row r="25" spans="1:37" x14ac:dyDescent="0.3">
      <c r="A25" s="2">
        <f ca="1">COUNTIF(INDIRECT(A68&amp;A67):INDIRECT(A69&amp;A66),INDIRECT("b"&amp;ROW()))</f>
        <v>2</v>
      </c>
      <c r="B25" s="2" t="str">
        <f>Assignees!C24</f>
        <v>Astra-Post IR13 10-17</v>
      </c>
      <c r="C25" s="10">
        <f ca="1">COUNTIFS(INDIRECT(A78&amp;A67):INDIRECT(A78&amp;A66),INDIRECT("d"&amp;ROW()))</f>
        <v>102</v>
      </c>
      <c r="D25" s="10" t="str">
        <f>CONCATENATE("Protocols-",A89)</f>
        <v>Protocols-NFS</v>
      </c>
      <c r="E25" s="16">
        <f ca="1">COUNTIFS(INDIRECT(A78&amp;A67):INDIRECT(A78&amp;A66),INDIRECT("d"&amp;ROW()),INDIRECT(A73&amp;A67):INDIRECT(A73&amp;A66),E1)</f>
        <v>2</v>
      </c>
      <c r="F25" s="4">
        <f ca="1">COUNTIFS(INDIRECT(A78&amp;A67):INDIRECT(A78&amp;A66),INDIRECT("d"&amp;ROW()),INDIRECT(A73&amp;A67):INDIRECT(A73&amp;A66),F1)</f>
        <v>21</v>
      </c>
      <c r="G25" s="3">
        <f ca="1">COUNTIFS(INDIRECT(A78&amp;A67):INDIRECT(A78&amp;A66),INDIRECT("d"&amp;ROW()),INDIRECT(A73&amp;A67):INDIRECT(A73&amp;A66),G1)</f>
        <v>36</v>
      </c>
      <c r="H25" s="5">
        <f ca="1">COUNTIFS(INDIRECT(A78&amp;A67):INDIRECT(A78&amp;A66),INDIRECT("d"&amp;ROW()),INDIRECT(A73&amp;A67):INDIRECT(A73&amp;A66),H1)</f>
        <v>43</v>
      </c>
      <c r="I25">
        <f ca="1">IF(OR(INDIRECT(A73&amp;ROW())=B93,INDIRECT(A73&amp;ROW())=B94),1,IF(AND(INDIRECT(A73&amp;ROW())=B95,INDIRECT(A96&amp;ROW())=C93),1,IF(AND(INDIRECT(A73&amp;ROW())=B95,INDIRECT(A96&amp;ROW())=C94),1,0)))</f>
        <v>0</v>
      </c>
      <c r="J25">
        <f ca="1">IF(AND(INDIRECT(A73&amp;ROW())=B95,INDIRECT(A96&amp;ROW())=C95),1,IF(AND(INDIRECT(A73&amp;ROW())=B95,INDIRECT(A96&amp;ROW())=C96),1,0))</f>
        <v>1</v>
      </c>
      <c r="K25">
        <f ca="1">DAYS360(INDIRECT(C68&amp;ROW()),TODAY())</f>
        <v>728</v>
      </c>
      <c r="L25">
        <f ca="1">DAYS360(INDIRECT(C69&amp;ROW()),TODAY())</f>
        <v>1020</v>
      </c>
      <c r="M25" s="11">
        <f ca="1">HYPERLINK(CONCATENATE("https://bugzilla.houston.hp.com:1181/bugzilla/show_bug.cgi?id=",INDIRECT(C70&amp;ROW())),INDIRECT(C70&amp;ROW()))</f>
        <v>46293</v>
      </c>
      <c r="N25">
        <v>46293</v>
      </c>
      <c r="O25" t="s">
        <v>53</v>
      </c>
      <c r="P25" t="s">
        <v>708</v>
      </c>
      <c r="Q25" t="s">
        <v>25</v>
      </c>
      <c r="R25" t="s">
        <v>251</v>
      </c>
      <c r="S25" t="s">
        <v>31</v>
      </c>
      <c r="U25" s="6">
        <v>42118.33866898148</v>
      </c>
      <c r="V25" t="s">
        <v>40</v>
      </c>
      <c r="W25" t="s">
        <v>17</v>
      </c>
      <c r="X25" s="6">
        <v>41822.446030092593</v>
      </c>
      <c r="Y25" t="s">
        <v>119</v>
      </c>
      <c r="AB25" t="s">
        <v>201</v>
      </c>
      <c r="AC25" t="s">
        <v>121</v>
      </c>
      <c r="AD25" t="s">
        <v>220</v>
      </c>
      <c r="AE25" t="s">
        <v>219</v>
      </c>
      <c r="AG25" t="s">
        <v>121</v>
      </c>
      <c r="AH25" t="s">
        <v>327</v>
      </c>
      <c r="AI25" t="s">
        <v>121</v>
      </c>
      <c r="AJ25" t="s">
        <v>716</v>
      </c>
      <c r="AK25" t="s">
        <v>121</v>
      </c>
    </row>
    <row r="26" spans="1:37" x14ac:dyDescent="0.3">
      <c r="A26" s="2">
        <f ca="1">COUNTIF(INDIRECT(A68&amp;A67):INDIRECT(A69&amp;A66),INDIRECT("b"&amp;ROW()))</f>
        <v>20</v>
      </c>
      <c r="B26" s="2" t="str">
        <f>Assignees!C25</f>
        <v>Astra-Post IR13 10-24</v>
      </c>
      <c r="C26" s="10">
        <f ca="1">COUNTIFS(INDIRECT(A78&amp;A67):INDIRECT(A78&amp;A66),INDIRECT("d"&amp;ROW()))</f>
        <v>369</v>
      </c>
      <c r="D26" s="10" t="str">
        <f>CONCATENATE("Protocols-",A90)</f>
        <v>Protocols-SMB</v>
      </c>
      <c r="E26" s="16">
        <f ca="1">COUNTIFS(INDIRECT(A78&amp;A67):INDIRECT(A78&amp;A66),INDIRECT("d"&amp;ROW()),INDIRECT(A73&amp;A67):INDIRECT(A73&amp;A66),E1)</f>
        <v>0</v>
      </c>
      <c r="F26" s="4">
        <f ca="1">COUNTIFS(INDIRECT(A78&amp;A67):INDIRECT(A78&amp;A66),INDIRECT("d"&amp;ROW()),INDIRECT(A73&amp;A67):INDIRECT(A73&amp;A66),F1)</f>
        <v>34</v>
      </c>
      <c r="G26" s="3">
        <f ca="1">COUNTIFS(INDIRECT(A78&amp;A67):INDIRECT(A78&amp;A66),INDIRECT("d"&amp;ROW()),INDIRECT(A73&amp;A67):INDIRECT(A73&amp;A66),G1)</f>
        <v>172</v>
      </c>
      <c r="H26" s="5">
        <f ca="1">COUNTIFS(INDIRECT(A78&amp;A67):INDIRECT(A78&amp;A66),INDIRECT("d"&amp;ROW()),INDIRECT(A73&amp;A67):INDIRECT(A73&amp;A66),H1)</f>
        <v>163</v>
      </c>
      <c r="I26">
        <f ca="1">IF(OR(INDIRECT(A73&amp;ROW())=B93,INDIRECT(A73&amp;ROW())=B94),1,IF(AND(INDIRECT(A73&amp;ROW())=B95,INDIRECT(A96&amp;ROW())=C93),1,IF(AND(INDIRECT(A73&amp;ROW())=B95,INDIRECT(A96&amp;ROW())=C94),1,0)))</f>
        <v>0</v>
      </c>
      <c r="J26">
        <f ca="1">IF(AND(INDIRECT(A73&amp;ROW())=B95,INDIRECT(A96&amp;ROW())=C95),1,IF(AND(INDIRECT(A73&amp;ROW())=B95,INDIRECT(A96&amp;ROW())=C96),1,0))</f>
        <v>0</v>
      </c>
      <c r="K26">
        <f ca="1">DAYS360(INDIRECT(C68&amp;ROW()),TODAY())</f>
        <v>728</v>
      </c>
      <c r="L26">
        <f ca="1">DAYS360(INDIRECT(C69&amp;ROW()),TODAY())</f>
        <v>1020</v>
      </c>
      <c r="M26" s="11">
        <f ca="1">HYPERLINK(CONCATENATE("https://bugzilla.houston.hp.com:1181/bugzilla/show_bug.cgi?id=",INDIRECT(C70&amp;ROW())),INDIRECT(C70&amp;ROW()))</f>
        <v>46326</v>
      </c>
      <c r="N26">
        <v>46326</v>
      </c>
      <c r="O26" t="s">
        <v>88</v>
      </c>
      <c r="P26" t="s">
        <v>707</v>
      </c>
      <c r="Q26" t="s">
        <v>16</v>
      </c>
      <c r="R26" t="s">
        <v>251</v>
      </c>
      <c r="S26" t="s">
        <v>177</v>
      </c>
      <c r="U26" s="6">
        <v>42118.520601851851</v>
      </c>
      <c r="V26" t="s">
        <v>40</v>
      </c>
      <c r="W26" t="s">
        <v>17</v>
      </c>
      <c r="X26" s="6">
        <v>41822.770127314812</v>
      </c>
      <c r="Y26" t="s">
        <v>245</v>
      </c>
      <c r="Z26" t="s">
        <v>190</v>
      </c>
      <c r="AB26" t="s">
        <v>201</v>
      </c>
      <c r="AC26" t="s">
        <v>121</v>
      </c>
      <c r="AD26" t="s">
        <v>220</v>
      </c>
      <c r="AE26" t="s">
        <v>219</v>
      </c>
      <c r="AG26" t="s">
        <v>121</v>
      </c>
      <c r="AH26" t="s">
        <v>327</v>
      </c>
      <c r="AI26" t="s">
        <v>121</v>
      </c>
      <c r="AJ26" t="s">
        <v>717</v>
      </c>
      <c r="AK26" t="s">
        <v>121</v>
      </c>
    </row>
    <row r="27" spans="1:37" x14ac:dyDescent="0.3">
      <c r="A27" s="2">
        <f ca="1">COUNTIF(INDIRECT(A68&amp;A67):INDIRECT(A69&amp;A66),INDIRECT("b"&amp;ROW()))</f>
        <v>6</v>
      </c>
      <c r="B27" s="2" t="str">
        <f>Assignees!C26</f>
        <v>Astra-Post IR13 10-31</v>
      </c>
      <c r="C27" s="21">
        <f ca="1">COUNTIFS(INDIRECT(A69&amp;A67):INDIRECT(A69&amp;A66),"*"&amp;A92&amp;"*",INDIRECT(A80&amp;A67):INDIRECT(A80&amp;A66),A93)</f>
        <v>0</v>
      </c>
      <c r="D27" s="21" t="str">
        <f>CONCATENATE(A92," ",A93)</f>
        <v>BUC1 NEW</v>
      </c>
      <c r="E27" s="16">
        <f ca="1">COUNTIFS(INDIRECT(A69&amp;A67):INDIRECT(A69&amp;A66),"*"&amp;A92&amp;"*",INDIRECT(A80&amp;A67):INDIRECT(A80&amp;A66),A93,INDIRECT(A73&amp;A67):INDIRECT(A73&amp;A66),E1)</f>
        <v>0</v>
      </c>
      <c r="F27" s="4">
        <f ca="1">COUNTIFS(INDIRECT(A69&amp;A67):INDIRECT(A69&amp;A66),"*"&amp;A92&amp;"*",INDIRECT(A80&amp;A67):INDIRECT(A80&amp;A66),A93,INDIRECT(A73&amp;A67):INDIRECT(A73&amp;A66),F1)</f>
        <v>0</v>
      </c>
      <c r="G27" s="3">
        <f ca="1">COUNTIFS(INDIRECT(A69&amp;A67):INDIRECT(A69&amp;A66),"*"&amp;A92&amp;"*",INDIRECT(A80&amp;A67):INDIRECT(A80&amp;A66),A93,INDIRECT(A73&amp;A67):INDIRECT(A73&amp;A66),G1)</f>
        <v>0</v>
      </c>
      <c r="I27">
        <f ca="1">IF(OR(INDIRECT(A73&amp;ROW())=B93,INDIRECT(A73&amp;ROW())=B94),1,IF(AND(INDIRECT(A73&amp;ROW())=B95,INDIRECT(A96&amp;ROW())=C93),1,IF(AND(INDIRECT(A73&amp;ROW())=B95,INDIRECT(A96&amp;ROW())=C94),1,0)))</f>
        <v>0</v>
      </c>
      <c r="J27">
        <f ca="1">IF(AND(INDIRECT(A73&amp;ROW())=B95,INDIRECT(A96&amp;ROW())=C95),1,IF(AND(INDIRECT(A73&amp;ROW())=B95,INDIRECT(A96&amp;ROW())=C96),1,0))</f>
        <v>0</v>
      </c>
      <c r="K27">
        <f ca="1">DAYS360(INDIRECT(C68&amp;ROW()),TODAY())</f>
        <v>728</v>
      </c>
      <c r="L27">
        <f ca="1">DAYS360(INDIRECT(C69&amp;ROW()),TODAY())</f>
        <v>1013</v>
      </c>
      <c r="M27" s="11">
        <f ca="1">HYPERLINK(CONCATENATE("https://bugzilla.houston.hp.com:1181/bugzilla/show_bug.cgi?id=",INDIRECT(C70&amp;ROW())),INDIRECT(C70&amp;ROW()))</f>
        <v>46659</v>
      </c>
      <c r="N27">
        <v>46659</v>
      </c>
      <c r="O27" t="s">
        <v>22</v>
      </c>
      <c r="P27" t="s">
        <v>706</v>
      </c>
      <c r="Q27" t="s">
        <v>16</v>
      </c>
      <c r="R27" t="s">
        <v>251</v>
      </c>
      <c r="S27" t="s">
        <v>49</v>
      </c>
      <c r="U27" s="6">
        <v>42118.52071759259</v>
      </c>
      <c r="V27" t="s">
        <v>18</v>
      </c>
      <c r="W27" t="s">
        <v>17</v>
      </c>
      <c r="X27" s="6">
        <v>41829.631932870368</v>
      </c>
      <c r="Y27" t="s">
        <v>244</v>
      </c>
      <c r="AB27" t="s">
        <v>201</v>
      </c>
      <c r="AC27" t="s">
        <v>121</v>
      </c>
      <c r="AD27" t="s">
        <v>222</v>
      </c>
      <c r="AE27" t="s">
        <v>225</v>
      </c>
      <c r="AG27" t="s">
        <v>121</v>
      </c>
      <c r="AH27" t="s">
        <v>327</v>
      </c>
      <c r="AI27" t="s">
        <v>121</v>
      </c>
      <c r="AJ27" t="s">
        <v>717</v>
      </c>
      <c r="AK27" t="s">
        <v>121</v>
      </c>
    </row>
    <row r="28" spans="1:37" x14ac:dyDescent="0.3">
      <c r="A28" s="2">
        <f ca="1">COUNTIF(INDIRECT(A68&amp;A67):INDIRECT(A69&amp;A66),INDIRECT("b"&amp;ROW()))</f>
        <v>0</v>
      </c>
      <c r="B28" s="2" t="e">
        <f>Assignees!#REF!</f>
        <v>#REF!</v>
      </c>
      <c r="C28" s="21">
        <f ca="1">COUNTIFS(INDIRECT(A69&amp;A67):INDIRECT(A69&amp;A66),"*"&amp;A92&amp;"*",INDIRECT(A80&amp;A67):INDIRECT(A80&amp;A66),A94)</f>
        <v>0</v>
      </c>
      <c r="D28" s="21" t="str">
        <f>CONCATENATE(A92," ",A94)</f>
        <v>BUC1 ASSIGNED</v>
      </c>
      <c r="E28" s="16">
        <f ca="1">COUNTIFS(INDIRECT(A69&amp;A67):INDIRECT(A69&amp;A66),"*"&amp;A92&amp;"*",INDIRECT(A80&amp;A67):INDIRECT(A80&amp;A66),A94,INDIRECT(A73&amp;A67):INDIRECT(A73&amp;A66),E1)</f>
        <v>0</v>
      </c>
      <c r="F28" s="4">
        <f ca="1">COUNTIFS(INDIRECT(A69&amp;A67):INDIRECT(A69&amp;A66),"*"&amp;A92&amp;"*",INDIRECT(A80&amp;A67):INDIRECT(A80&amp;A66),A94,INDIRECT(A73&amp;A67):INDIRECT(A73&amp;A66),F1)</f>
        <v>0</v>
      </c>
      <c r="G28" s="3">
        <f ca="1">COUNTIFS(INDIRECT(A69&amp;A67):INDIRECT(A69&amp;A66),"*"&amp;A92&amp;"*",INDIRECT(A80&amp;A67):INDIRECT(A80&amp;A66),A94,INDIRECT(A73&amp;A67):INDIRECT(A73&amp;A66),G1)</f>
        <v>0</v>
      </c>
      <c r="I28">
        <f ca="1">IF(OR(INDIRECT(A73&amp;ROW())=B93,INDIRECT(A73&amp;ROW())=B94),1,IF(AND(INDIRECT(A73&amp;ROW())=B95,INDIRECT(A96&amp;ROW())=C93),1,IF(AND(INDIRECT(A73&amp;ROW())=B95,INDIRECT(A96&amp;ROW())=C94),1,0)))</f>
        <v>0</v>
      </c>
      <c r="J28">
        <f ca="1">IF(AND(INDIRECT(A73&amp;ROW())=B95,INDIRECT(A96&amp;ROW())=C95),1,IF(AND(INDIRECT(A73&amp;ROW())=B95,INDIRECT(A96&amp;ROW())=C96),1,0))</f>
        <v>0</v>
      </c>
      <c r="K28">
        <f ca="1">DAYS360(INDIRECT(C68&amp;ROW()),TODAY())</f>
        <v>721</v>
      </c>
      <c r="L28">
        <f ca="1">DAYS360(INDIRECT(C69&amp;ROW()),TODAY())</f>
        <v>1011</v>
      </c>
      <c r="M28" s="11">
        <f ca="1">HYPERLINK(CONCATENATE("https://bugzilla.houston.hp.com:1181/bugzilla/show_bug.cgi?id=",INDIRECT(C70&amp;ROW())),INDIRECT(C70&amp;ROW()))</f>
        <v>46771</v>
      </c>
      <c r="N28">
        <v>46771</v>
      </c>
      <c r="O28" t="s">
        <v>45</v>
      </c>
      <c r="P28" t="s">
        <v>478</v>
      </c>
      <c r="Q28" t="s">
        <v>16</v>
      </c>
      <c r="R28" t="s">
        <v>251</v>
      </c>
      <c r="S28" t="s">
        <v>168</v>
      </c>
      <c r="U28" s="6">
        <v>42125.643969907411</v>
      </c>
      <c r="V28" t="s">
        <v>40</v>
      </c>
      <c r="W28" t="s">
        <v>17</v>
      </c>
      <c r="X28" s="6">
        <v>41831.196400462963</v>
      </c>
      <c r="Y28" t="s">
        <v>123</v>
      </c>
      <c r="AB28" t="s">
        <v>199</v>
      </c>
      <c r="AC28" t="s">
        <v>121</v>
      </c>
      <c r="AD28" t="s">
        <v>227</v>
      </c>
      <c r="AE28" t="s">
        <v>231</v>
      </c>
      <c r="AG28" t="s">
        <v>121</v>
      </c>
      <c r="AH28" t="s">
        <v>327</v>
      </c>
      <c r="AI28" t="s">
        <v>121</v>
      </c>
      <c r="AJ28" t="s">
        <v>716</v>
      </c>
      <c r="AK28" t="s">
        <v>121</v>
      </c>
    </row>
    <row r="29" spans="1:37" x14ac:dyDescent="0.3">
      <c r="A29" s="2">
        <f ca="1">COUNTIF(INDIRECT(A68&amp;A67):INDIRECT(A69&amp;A66),INDIRECT("b"&amp;ROW()))</f>
        <v>1</v>
      </c>
      <c r="B29" s="2" t="str">
        <f>Assignees!C27</f>
        <v>StoreOnce Xanadu(SMB 5.6.x)</v>
      </c>
      <c r="C29" s="21">
        <f ca="1">COUNTIFS(INDIRECT(A69&amp;A67):INDIRECT(A69&amp;A66),"*"&amp;A92&amp;"*",INDIRECT(A80&amp;A67):INDIRECT(A80&amp;A66),A95)</f>
        <v>0</v>
      </c>
      <c r="D29" s="21" t="str">
        <f>CONCATENATE(A92," ",A95)</f>
        <v>BUC1 REOPENED</v>
      </c>
      <c r="E29" s="16">
        <f ca="1">COUNTIFS(INDIRECT(A69&amp;A67):INDIRECT(A69&amp;A66),"*"&amp;A92&amp;"*",INDIRECT(A80&amp;A67):INDIRECT(A80&amp;A66),A95,INDIRECT(A73&amp;A67):INDIRECT(A73&amp;A66),E1)</f>
        <v>0</v>
      </c>
      <c r="F29" s="4">
        <f ca="1">COUNTIFS(INDIRECT(A69&amp;A67):INDIRECT(A69&amp;A66),"*"&amp;A92&amp;"*",INDIRECT(A80&amp;A67):INDIRECT(A80&amp;A66),A95,INDIRECT(A73&amp;A67):INDIRECT(A73&amp;A66),F1)</f>
        <v>0</v>
      </c>
      <c r="G29" s="3">
        <f ca="1">COUNTIFS(INDIRECT(A69&amp;A67):INDIRECT(A69&amp;A66),"*"&amp;A92&amp;"*",INDIRECT(A80&amp;A67):INDIRECT(A80&amp;A66),A95,INDIRECT(A73&amp;A67):INDIRECT(A73&amp;A66),G1)</f>
        <v>0</v>
      </c>
      <c r="I29">
        <f ca="1">IF(OR(INDIRECT(A73&amp;ROW())=B93,INDIRECT(A73&amp;ROW())=B94),1,IF(AND(INDIRECT(A73&amp;ROW())=B95,INDIRECT(A96&amp;ROW())=C93),1,IF(AND(INDIRECT(A73&amp;ROW())=B95,INDIRECT(A96&amp;ROW())=C94),1,0)))</f>
        <v>0</v>
      </c>
      <c r="J29">
        <f ca="1">IF(AND(INDIRECT(A73&amp;ROW())=B95,INDIRECT(A96&amp;ROW())=C95),1,IF(AND(INDIRECT(A73&amp;ROW())=B95,INDIRECT(A96&amp;ROW())=C96),1,0))</f>
        <v>0</v>
      </c>
      <c r="K29">
        <f ca="1">DAYS360(INDIRECT(C68&amp;ROW()),TODAY())</f>
        <v>721</v>
      </c>
      <c r="L29">
        <f ca="1">DAYS360(INDIRECT(C69&amp;ROW()),TODAY())</f>
        <v>1004</v>
      </c>
      <c r="M29" s="11">
        <f ca="1">HYPERLINK(CONCATENATE("https://bugzilla.houston.hp.com:1181/bugzilla/show_bug.cgi?id=",INDIRECT(C70&amp;ROW())),INDIRECT(C70&amp;ROW()))</f>
        <v>47187</v>
      </c>
      <c r="N29">
        <v>47187</v>
      </c>
      <c r="O29" t="s">
        <v>213</v>
      </c>
      <c r="P29" t="s">
        <v>449</v>
      </c>
      <c r="Q29" t="s">
        <v>16</v>
      </c>
      <c r="R29" t="s">
        <v>251</v>
      </c>
      <c r="S29" t="s">
        <v>213</v>
      </c>
      <c r="U29" s="6">
        <v>42125.442048611112</v>
      </c>
      <c r="V29" t="s">
        <v>18</v>
      </c>
      <c r="W29" t="s">
        <v>17</v>
      </c>
      <c r="X29" s="6">
        <v>41838.292291666665</v>
      </c>
      <c r="Y29" t="s">
        <v>122</v>
      </c>
      <c r="AB29" t="s">
        <v>201</v>
      </c>
      <c r="AC29" t="s">
        <v>121</v>
      </c>
      <c r="AD29" t="s">
        <v>220</v>
      </c>
      <c r="AE29" t="s">
        <v>219</v>
      </c>
      <c r="AG29" t="s">
        <v>121</v>
      </c>
      <c r="AH29" t="s">
        <v>327</v>
      </c>
      <c r="AI29" t="s">
        <v>121</v>
      </c>
      <c r="AJ29" t="s">
        <v>717</v>
      </c>
      <c r="AK29" t="s">
        <v>121</v>
      </c>
    </row>
    <row r="30" spans="1:37" x14ac:dyDescent="0.3">
      <c r="A30" s="2">
        <f ca="1">COUNTIF(INDIRECT(A68&amp;A67):INDIRECT(A69&amp;A66),INDIRECT("b"&amp;ROW()))</f>
        <v>0</v>
      </c>
      <c r="B30" s="2" t="str">
        <f>Assignees!C28</f>
        <v>6.1 (Ensenada)</v>
      </c>
      <c r="C30" s="22">
        <f ca="1">COUNTIFS(INDIRECT(A97&amp;A67):INDIRECT(A97&amp;A66),1,INDIRECT(A71&amp;A67):INDIRECT(A71&amp;A66),D2&amp;"*")-COUNTIFS(INDIRECT(A97&amp;A67):INDIRECT(A97&amp;A66),1,INDIRECT(A71&amp;A67):INDIRECT(A71&amp;A66),D2&amp;"*",INDIRECT(A98&amp;A67):INDIRECT(A98&amp;A66),C98)</f>
        <v>57</v>
      </c>
      <c r="D30" s="22" t="str">
        <f>CONCATENATE("RedZone ",D2,"*")</f>
        <v>RedZone Astra*</v>
      </c>
      <c r="E30" s="8"/>
      <c r="I30">
        <f ca="1">IF(OR(INDIRECT(A73&amp;ROW())=B93,INDIRECT(A73&amp;ROW())=B94),1,IF(AND(INDIRECT(A73&amp;ROW())=B95,INDIRECT(A96&amp;ROW())=C93),1,IF(AND(INDIRECT(A73&amp;ROW())=B95,INDIRECT(A96&amp;ROW())=C94),1,0)))</f>
        <v>0</v>
      </c>
      <c r="J30">
        <f ca="1">IF(AND(INDIRECT(A73&amp;ROW())=B95,INDIRECT(A96&amp;ROW())=C95),1,IF(AND(INDIRECT(A73&amp;ROW())=B95,INDIRECT(A96&amp;ROW())=C96),1,0))</f>
        <v>1</v>
      </c>
      <c r="K30">
        <f ca="1">DAYS360(INDIRECT(C68&amp;ROW()),TODAY())</f>
        <v>724</v>
      </c>
      <c r="L30">
        <f ca="1">DAYS360(INDIRECT(C69&amp;ROW()),TODAY())</f>
        <v>1001</v>
      </c>
      <c r="M30" s="11">
        <f ca="1">HYPERLINK(CONCATENATE("https://bugzilla.houston.hp.com:1181/bugzilla/show_bug.cgi?id=",INDIRECT(C70&amp;ROW())),INDIRECT(C70&amp;ROW()))</f>
        <v>47269</v>
      </c>
      <c r="N30">
        <v>47269</v>
      </c>
      <c r="O30" t="s">
        <v>56</v>
      </c>
      <c r="P30" t="s">
        <v>448</v>
      </c>
      <c r="Q30" t="s">
        <v>25</v>
      </c>
      <c r="R30" t="s">
        <v>251</v>
      </c>
      <c r="S30" t="s">
        <v>183</v>
      </c>
      <c r="U30" s="6">
        <v>42122.349108796298</v>
      </c>
      <c r="V30" t="s">
        <v>40</v>
      </c>
      <c r="W30" t="s">
        <v>17</v>
      </c>
      <c r="X30" s="6">
        <v>41841.625428240739</v>
      </c>
      <c r="Y30" t="s">
        <v>244</v>
      </c>
      <c r="AB30" t="s">
        <v>201</v>
      </c>
      <c r="AC30" t="s">
        <v>121</v>
      </c>
      <c r="AD30" t="s">
        <v>220</v>
      </c>
      <c r="AE30" t="s">
        <v>219</v>
      </c>
      <c r="AG30" t="s">
        <v>121</v>
      </c>
      <c r="AH30" t="s">
        <v>327</v>
      </c>
      <c r="AI30" t="s">
        <v>121</v>
      </c>
      <c r="AJ30" t="s">
        <v>716</v>
      </c>
      <c r="AK30" t="s">
        <v>121</v>
      </c>
    </row>
    <row r="31" spans="1:37" x14ac:dyDescent="0.3">
      <c r="A31" s="2">
        <f ca="1">COUNTIF(INDIRECT(A68&amp;A67):INDIRECT(A69&amp;A66),INDIRECT("b"&amp;ROW()))</f>
        <v>0</v>
      </c>
      <c r="B31" s="2" t="str">
        <f>Assignees!C29</f>
        <v>6.2 (Fiji)</v>
      </c>
      <c r="C31" s="25">
        <f ca="1">COUNTIFS(INDIRECT(A99&amp;A67):INDIRECT(A99&amp;A66),1,INDIRECT(A71&amp;A67):INDIRECT(A71&amp;A66),D2&amp;"*")-COUNTIFS(INDIRECT(A99&amp;A67):INDIRECT(A99&amp;A66),1,INDIRECT(A71&amp;A67):INDIRECT(A71&amp;A66),D2&amp;"*",INDIRECT(A98&amp;A67):INDIRECT(A98&amp;A66),C98)</f>
        <v>74</v>
      </c>
      <c r="D31" s="25" t="str">
        <f>CONCATENATE("YellowZone ",D2,"*")</f>
        <v>YellowZone Astra*</v>
      </c>
      <c r="I31">
        <f ca="1">IF(OR(INDIRECT(A73&amp;ROW())=B93,INDIRECT(A73&amp;ROW())=B94),1,IF(AND(INDIRECT(A73&amp;ROW())=B95,INDIRECT(A96&amp;ROW())=C93),1,IF(AND(INDIRECT(A73&amp;ROW())=B95,INDIRECT(A96&amp;ROW())=C94),1,0)))</f>
        <v>1</v>
      </c>
      <c r="J31">
        <f ca="1">IF(AND(INDIRECT(A73&amp;ROW())=B95,INDIRECT(A96&amp;ROW())=C95),1,IF(AND(INDIRECT(A73&amp;ROW())=B95,INDIRECT(A96&amp;ROW())=C96),1,0))</f>
        <v>0</v>
      </c>
      <c r="K31">
        <f ca="1">DAYS360(INDIRECT(C68&amp;ROW()),TODAY())</f>
        <v>730</v>
      </c>
      <c r="L31">
        <f ca="1">DAYS360(INDIRECT(C69&amp;ROW()),TODAY())</f>
        <v>1000</v>
      </c>
      <c r="M31" s="11">
        <f ca="1">HYPERLINK(CONCATENATE("https://bugzilla.houston.hp.com:1181/bugzilla/show_bug.cgi?id=",INDIRECT(C70&amp;ROW())),INDIRECT(C70&amp;ROW()))</f>
        <v>47337</v>
      </c>
      <c r="N31">
        <v>47337</v>
      </c>
      <c r="O31" t="s">
        <v>21</v>
      </c>
      <c r="P31" t="s">
        <v>475</v>
      </c>
      <c r="Q31" t="s">
        <v>25</v>
      </c>
      <c r="R31" t="s">
        <v>251</v>
      </c>
      <c r="S31" t="s">
        <v>253</v>
      </c>
      <c r="U31" s="6">
        <v>42116.455277777779</v>
      </c>
      <c r="V31" t="s">
        <v>40</v>
      </c>
      <c r="W31" t="s">
        <v>17</v>
      </c>
      <c r="X31" s="6">
        <v>41842.501296296294</v>
      </c>
      <c r="Y31" t="s">
        <v>120</v>
      </c>
      <c r="AB31" t="s">
        <v>200</v>
      </c>
      <c r="AC31" t="s">
        <v>121</v>
      </c>
      <c r="AD31" t="s">
        <v>220</v>
      </c>
      <c r="AE31" t="s">
        <v>219</v>
      </c>
      <c r="AG31" t="s">
        <v>121</v>
      </c>
      <c r="AH31" t="s">
        <v>327</v>
      </c>
      <c r="AI31" t="s">
        <v>121</v>
      </c>
      <c r="AJ31" t="s">
        <v>715</v>
      </c>
      <c r="AK31" t="s">
        <v>121</v>
      </c>
    </row>
    <row r="32" spans="1:37" x14ac:dyDescent="0.3">
      <c r="A32" s="2">
        <f ca="1">COUNTIF(INDIRECT(A68&amp;A67):INDIRECT(A69&amp;A66),INDIRECT("b"&amp;ROW()))</f>
        <v>5</v>
      </c>
      <c r="B32" s="2" t="str">
        <f>Assignees!C30</f>
        <v>6.3 (FlyingSaucer)</v>
      </c>
      <c r="C32" s="1">
        <f ca="1">(COUNTIFS(INDIRECT(A72&amp;A67):INDIRECT(A72&amp;A66),"*"&amp;A87&amp;"*"))</f>
        <v>1</v>
      </c>
      <c r="D32" t="s">
        <v>34</v>
      </c>
      <c r="I32">
        <f ca="1">IF(OR(INDIRECT(A73&amp;ROW())=B93,INDIRECT(A73&amp;ROW())=B94),1,IF(AND(INDIRECT(A73&amp;ROW())=B95,INDIRECT(A96&amp;ROW())=C93),1,IF(AND(INDIRECT(A73&amp;ROW())=B95,INDIRECT(A96&amp;ROW())=C94),1,0)))</f>
        <v>0</v>
      </c>
      <c r="J32">
        <f ca="1">IF(AND(INDIRECT(A73&amp;ROW())=B95,INDIRECT(A96&amp;ROW())=C95),1,IF(AND(INDIRECT(A73&amp;ROW())=B95,INDIRECT(A96&amp;ROW())=C96),1,0))</f>
        <v>0</v>
      </c>
      <c r="K32">
        <f ca="1">DAYS360(INDIRECT(C68&amp;ROW()),TODAY())</f>
        <v>728</v>
      </c>
      <c r="L32">
        <f ca="1">DAYS360(INDIRECT(C69&amp;ROW()),TODAY())</f>
        <v>999</v>
      </c>
      <c r="M32" s="11">
        <f ca="1">HYPERLINK(CONCATENATE("https://bugzilla.houston.hp.com:1181/bugzilla/show_bug.cgi?id=",INDIRECT(C70&amp;ROW())),INDIRECT(C70&amp;ROW()))</f>
        <v>47415</v>
      </c>
      <c r="N32">
        <v>47415</v>
      </c>
      <c r="O32" t="s">
        <v>22</v>
      </c>
      <c r="P32" t="s">
        <v>705</v>
      </c>
      <c r="Q32" t="s">
        <v>16</v>
      </c>
      <c r="R32" t="s">
        <v>251</v>
      </c>
      <c r="S32" t="s">
        <v>36</v>
      </c>
      <c r="U32" s="6">
        <v>42118.55841435185</v>
      </c>
      <c r="V32" t="s">
        <v>18</v>
      </c>
      <c r="W32" t="s">
        <v>17</v>
      </c>
      <c r="X32" s="6">
        <v>41843.549317129633</v>
      </c>
      <c r="Y32" t="s">
        <v>122</v>
      </c>
      <c r="AB32" t="s">
        <v>201</v>
      </c>
      <c r="AC32" t="s">
        <v>121</v>
      </c>
      <c r="AD32" t="s">
        <v>220</v>
      </c>
      <c r="AE32" t="s">
        <v>219</v>
      </c>
      <c r="AG32" t="s">
        <v>121</v>
      </c>
      <c r="AH32" t="s">
        <v>327</v>
      </c>
      <c r="AI32" t="s">
        <v>121</v>
      </c>
      <c r="AJ32" t="s">
        <v>717</v>
      </c>
      <c r="AK32" t="s">
        <v>121</v>
      </c>
    </row>
    <row r="33" spans="1:37" x14ac:dyDescent="0.3">
      <c r="A33" s="2">
        <f ca="1">COUNTIF(INDIRECT(A68&amp;A67):INDIRECT(A69&amp;A66),INDIRECT("b"&amp;ROW()))</f>
        <v>2</v>
      </c>
      <c r="B33" s="2" t="str">
        <f>Assignees!C31</f>
        <v>6.5 (Ghost)</v>
      </c>
      <c r="C33">
        <f ca="1">COUNTIFS(INDIRECT(A71&amp;A67):INDIRECT(A71&amp;A66),A85&amp;"*")</f>
        <v>241</v>
      </c>
      <c r="D33" s="8" t="s">
        <v>98</v>
      </c>
      <c r="I33">
        <f ca="1">IF(OR(INDIRECT(A73&amp;ROW())=B93,INDIRECT(A73&amp;ROW())=B94),1,IF(AND(INDIRECT(A73&amp;ROW())=B95,INDIRECT(A96&amp;ROW())=C93),1,IF(AND(INDIRECT(A73&amp;ROW())=B95,INDIRECT(A96&amp;ROW())=C94),1,0)))</f>
        <v>0</v>
      </c>
      <c r="J33">
        <f ca="1">IF(AND(INDIRECT(A73&amp;ROW())=B95,INDIRECT(A96&amp;ROW())=C95),1,IF(AND(INDIRECT(A73&amp;ROW())=B95,INDIRECT(A96&amp;ROW())=C96),1,0))</f>
        <v>0</v>
      </c>
      <c r="K33">
        <f ca="1">DAYS360(INDIRECT(C68&amp;ROW()),TODAY())</f>
        <v>728</v>
      </c>
      <c r="L33">
        <f ca="1">DAYS360(INDIRECT(C69&amp;ROW()),TODAY())</f>
        <v>998</v>
      </c>
      <c r="M33" s="11">
        <f ca="1">HYPERLINK(CONCATENATE("https://bugzilla.houston.hp.com:1181/bugzilla/show_bug.cgi?id=",INDIRECT(C70&amp;ROW())),INDIRECT(C70&amp;ROW()))</f>
        <v>47515</v>
      </c>
      <c r="N33">
        <v>47515</v>
      </c>
      <c r="O33" t="s">
        <v>88</v>
      </c>
      <c r="P33" t="s">
        <v>447</v>
      </c>
      <c r="Q33" t="s">
        <v>16</v>
      </c>
      <c r="R33" t="s">
        <v>251</v>
      </c>
      <c r="S33" t="s">
        <v>52</v>
      </c>
      <c r="U33" s="6">
        <v>42118.561400462961</v>
      </c>
      <c r="V33" t="s">
        <v>18</v>
      </c>
      <c r="W33" t="s">
        <v>17</v>
      </c>
      <c r="X33" s="6">
        <v>41844.425266203703</v>
      </c>
      <c r="Y33" t="s">
        <v>119</v>
      </c>
      <c r="AB33" t="s">
        <v>201</v>
      </c>
      <c r="AC33" t="s">
        <v>121</v>
      </c>
      <c r="AD33" t="s">
        <v>222</v>
      </c>
      <c r="AE33" t="s">
        <v>240</v>
      </c>
      <c r="AG33" t="s">
        <v>121</v>
      </c>
      <c r="AH33" t="s">
        <v>327</v>
      </c>
      <c r="AI33" t="s">
        <v>121</v>
      </c>
      <c r="AJ33" t="s">
        <v>717</v>
      </c>
      <c r="AK33" t="s">
        <v>121</v>
      </c>
    </row>
    <row r="34" spans="1:37" x14ac:dyDescent="0.3">
      <c r="A34" s="2">
        <f ca="1">COUNTIF(INDIRECT(A68&amp;A67):INDIRECT(A69&amp;A66),INDIRECT("b"&amp;ROW()))</f>
        <v>0</v>
      </c>
      <c r="B34" s="2" t="str">
        <f>Assignees!C32</f>
        <v>6.5.x (Ghost patch)</v>
      </c>
      <c r="C34"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5</v>
      </c>
      <c r="D34" s="9" t="str">
        <f>CONCATENATE(A83," ",A84)</f>
        <v>NFS [PML]</v>
      </c>
      <c r="E34" s="8" t="str">
        <f t="shared" ref="E34:E40" si="0">D2</f>
        <v>Astra</v>
      </c>
      <c r="I34">
        <f ca="1">IF(OR(INDIRECT(A73&amp;ROW())=B93,INDIRECT(A73&amp;ROW())=B94),1,IF(AND(INDIRECT(A73&amp;ROW())=B95,INDIRECT(A96&amp;ROW())=C93),1,IF(AND(INDIRECT(A73&amp;ROW())=B95,INDIRECT(A96&amp;ROW())=C94),1,0)))</f>
        <v>0</v>
      </c>
      <c r="J34">
        <f ca="1">IF(AND(INDIRECT(A73&amp;ROW())=B95,INDIRECT(A96&amp;ROW())=C95),1,IF(AND(INDIRECT(A73&amp;ROW())=B95,INDIRECT(A96&amp;ROW())=C96),1,0))</f>
        <v>0</v>
      </c>
      <c r="K34">
        <f ca="1">DAYS360(INDIRECT(C68&amp;ROW()),TODAY())</f>
        <v>721</v>
      </c>
      <c r="L34">
        <f ca="1">DAYS360(INDIRECT(C69&amp;ROW()),TODAY())</f>
        <v>994</v>
      </c>
      <c r="M34" s="11">
        <f ca="1">HYPERLINK(CONCATENATE("https://bugzilla.houston.hp.com:1181/bugzilla/show_bug.cgi?id=",INDIRECT(C70&amp;ROW())),INDIRECT(C70&amp;ROW()))</f>
        <v>47697</v>
      </c>
      <c r="N34">
        <v>47697</v>
      </c>
      <c r="O34" t="s">
        <v>56</v>
      </c>
      <c r="P34" t="s">
        <v>704</v>
      </c>
      <c r="Q34" t="s">
        <v>16</v>
      </c>
      <c r="R34" t="s">
        <v>251</v>
      </c>
      <c r="S34" t="s">
        <v>188</v>
      </c>
      <c r="U34" s="6">
        <v>42125.44390046296</v>
      </c>
      <c r="V34" t="s">
        <v>18</v>
      </c>
      <c r="W34" t="s">
        <v>17</v>
      </c>
      <c r="X34" s="6">
        <v>41848.552175925928</v>
      </c>
      <c r="Y34" t="s">
        <v>122</v>
      </c>
      <c r="AB34" t="s">
        <v>200</v>
      </c>
      <c r="AC34" t="s">
        <v>121</v>
      </c>
      <c r="AD34" t="s">
        <v>220</v>
      </c>
      <c r="AE34" t="s">
        <v>219</v>
      </c>
      <c r="AG34" t="s">
        <v>121</v>
      </c>
      <c r="AH34" t="s">
        <v>327</v>
      </c>
      <c r="AI34" t="s">
        <v>121</v>
      </c>
      <c r="AJ34" t="s">
        <v>716</v>
      </c>
      <c r="AK34" t="s">
        <v>121</v>
      </c>
    </row>
    <row r="35" spans="1:37" x14ac:dyDescent="0.3">
      <c r="A35" s="2">
        <f ca="1">COUNTIF(INDIRECT(A68&amp;A67):INDIRECT(A69&amp;A66),INDIRECT("b"&amp;ROW()))</f>
        <v>0</v>
      </c>
      <c r="B35" s="2" t="str">
        <f>Assignees!C33</f>
        <v>Halo</v>
      </c>
      <c r="C35"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37</v>
      </c>
      <c r="D35" s="9" t="str">
        <f>CONCATENATE(A83," ",A84)</f>
        <v>NFS [PML]</v>
      </c>
      <c r="E35" s="8" t="str">
        <f t="shared" si="0"/>
        <v>Atlas</v>
      </c>
      <c r="I35">
        <f ca="1">IF(OR(INDIRECT(A73&amp;ROW())=B93,INDIRECT(A73&amp;ROW())=B94),1,IF(AND(INDIRECT(A73&amp;ROW())=B95,INDIRECT(A96&amp;ROW())=C93),1,IF(AND(INDIRECT(A73&amp;ROW())=B95,INDIRECT(A96&amp;ROW())=C94),1,0)))</f>
        <v>0</v>
      </c>
      <c r="J35">
        <f ca="1">IF(AND(INDIRECT(A73&amp;ROW())=B95,INDIRECT(A96&amp;ROW())=C95),1,IF(AND(INDIRECT(A73&amp;ROW())=B95,INDIRECT(A96&amp;ROW())=C96),1,0))</f>
        <v>0</v>
      </c>
      <c r="K35">
        <f ca="1">DAYS360(INDIRECT(C68&amp;ROW()),TODAY())</f>
        <v>721</v>
      </c>
      <c r="L35">
        <f ca="1">DAYS360(INDIRECT(C69&amp;ROW()),TODAY())</f>
        <v>992</v>
      </c>
      <c r="M35" s="11">
        <f ca="1">HYPERLINK(CONCATENATE("https://bugzilla.houston.hp.com:1181/bugzilla/show_bug.cgi?id=",INDIRECT(C70&amp;ROW())),INDIRECT(C70&amp;ROW()))</f>
        <v>47791</v>
      </c>
      <c r="N35">
        <v>47791</v>
      </c>
      <c r="O35" t="s">
        <v>19</v>
      </c>
      <c r="P35" t="s">
        <v>744</v>
      </c>
      <c r="Q35" t="s">
        <v>16</v>
      </c>
      <c r="R35" t="s">
        <v>251</v>
      </c>
      <c r="S35" t="s">
        <v>43</v>
      </c>
      <c r="U35" s="6">
        <v>42125.443761574075</v>
      </c>
      <c r="V35" t="s">
        <v>18</v>
      </c>
      <c r="W35" t="s">
        <v>17</v>
      </c>
      <c r="X35" s="6">
        <v>41850.351284722223</v>
      </c>
      <c r="Y35" t="s">
        <v>122</v>
      </c>
      <c r="AB35" t="s">
        <v>200</v>
      </c>
      <c r="AC35" t="s">
        <v>247</v>
      </c>
      <c r="AD35" t="s">
        <v>220</v>
      </c>
      <c r="AE35" t="s">
        <v>219</v>
      </c>
      <c r="AG35" t="s">
        <v>121</v>
      </c>
      <c r="AH35" t="s">
        <v>327</v>
      </c>
      <c r="AI35" t="s">
        <v>121</v>
      </c>
      <c r="AJ35" t="s">
        <v>716</v>
      </c>
      <c r="AK35" t="s">
        <v>121</v>
      </c>
    </row>
    <row r="36" spans="1:37" x14ac:dyDescent="0.3">
      <c r="A36" s="2">
        <f ca="1">COUNTIF(INDIRECT(A68&amp;A67):INDIRECT(A69&amp;A66),INDIRECT("b"&amp;ROW()))</f>
        <v>21</v>
      </c>
      <c r="B36" s="2" t="str">
        <f>Assignees!C34</f>
        <v>Atlas</v>
      </c>
      <c r="C36"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0</v>
      </c>
      <c r="D36" s="9" t="str">
        <f>CONCATENATE(A83," ",A84)</f>
        <v>NFS [PML]</v>
      </c>
      <c r="E36" s="8" t="str">
        <f t="shared" si="0"/>
        <v>Bellatrix</v>
      </c>
      <c r="I36">
        <f ca="1">IF(OR(INDIRECT(A73&amp;ROW())=B93,INDIRECT(A73&amp;ROW())=B94),1,IF(AND(INDIRECT(A73&amp;ROW())=B95,INDIRECT(A96&amp;ROW())=C93),1,IF(AND(INDIRECT(A73&amp;ROW())=B95,INDIRECT(A96&amp;ROW())=C94),1,0)))</f>
        <v>0</v>
      </c>
      <c r="J36">
        <f ca="1">IF(AND(INDIRECT(A73&amp;ROW())=B95,INDIRECT(A96&amp;ROW())=C95),1,IF(AND(INDIRECT(A73&amp;ROW())=B95,INDIRECT(A96&amp;ROW())=C96),1,0))</f>
        <v>0</v>
      </c>
      <c r="K36">
        <f ca="1">DAYS360(INDIRECT(C68&amp;ROW()),TODAY())</f>
        <v>729</v>
      </c>
      <c r="L36">
        <f ca="1">DAYS360(INDIRECT(C69&amp;ROW()),TODAY())</f>
        <v>992</v>
      </c>
      <c r="M36" s="11">
        <f ca="1">HYPERLINK(CONCATENATE("https://bugzilla.houston.hp.com:1181/bugzilla/show_bug.cgi?id=",INDIRECT(C70&amp;ROW())),INDIRECT(C70&amp;ROW()))</f>
        <v>47877</v>
      </c>
      <c r="N36">
        <v>47877</v>
      </c>
      <c r="O36" t="s">
        <v>56</v>
      </c>
      <c r="P36" t="s">
        <v>703</v>
      </c>
      <c r="Q36" t="s">
        <v>16</v>
      </c>
      <c r="R36" t="s">
        <v>251</v>
      </c>
      <c r="S36" t="s">
        <v>15</v>
      </c>
      <c r="U36" s="6">
        <v>42117.403090277781</v>
      </c>
      <c r="V36" t="s">
        <v>35</v>
      </c>
      <c r="W36" t="s">
        <v>17</v>
      </c>
      <c r="X36" s="6">
        <v>41851.903414351851</v>
      </c>
      <c r="Y36" t="s">
        <v>119</v>
      </c>
      <c r="AB36" t="s">
        <v>200</v>
      </c>
      <c r="AC36" t="s">
        <v>121</v>
      </c>
      <c r="AD36" t="s">
        <v>220</v>
      </c>
      <c r="AE36" t="s">
        <v>219</v>
      </c>
      <c r="AG36" t="s">
        <v>121</v>
      </c>
      <c r="AH36" t="s">
        <v>327</v>
      </c>
      <c r="AI36" t="s">
        <v>121</v>
      </c>
      <c r="AJ36" t="s">
        <v>716</v>
      </c>
      <c r="AK36" t="s">
        <v>121</v>
      </c>
    </row>
    <row r="37" spans="1:37" x14ac:dyDescent="0.3">
      <c r="A37" s="2">
        <f ca="1">COUNTIF(INDIRECT(A68&amp;A67):INDIRECT(A69&amp;A66),INDIRECT("b"&amp;ROW()))</f>
        <v>0</v>
      </c>
      <c r="B37" s="2">
        <f>Assignees!C36</f>
        <v>0</v>
      </c>
      <c r="C37"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36</v>
      </c>
      <c r="D37" s="9" t="str">
        <f>CONCATENATE(A83," ",A84)</f>
        <v>NFS [PML]</v>
      </c>
      <c r="E37" s="8" t="str">
        <f t="shared" si="0"/>
        <v>Master</v>
      </c>
      <c r="I37">
        <f ca="1">IF(OR(INDIRECT(A73&amp;ROW())=B93,INDIRECT(A73&amp;ROW())=B94),1,IF(AND(INDIRECT(A73&amp;ROW())=B95,INDIRECT(A96&amp;ROW())=C93),1,IF(AND(INDIRECT(A73&amp;ROW())=B95,INDIRECT(A96&amp;ROW())=C94),1,0)))</f>
        <v>0</v>
      </c>
      <c r="J37">
        <f ca="1">IF(AND(INDIRECT(A73&amp;ROW())=B95,INDIRECT(A96&amp;ROW())=C95),1,IF(AND(INDIRECT(A73&amp;ROW())=B95,INDIRECT(A96&amp;ROW())=C96),1,0))</f>
        <v>0</v>
      </c>
      <c r="K37">
        <f ca="1">DAYS360(INDIRECT(C68&amp;ROW()),TODAY())</f>
        <v>728</v>
      </c>
      <c r="L37">
        <f ca="1">DAYS360(INDIRECT(C69&amp;ROW()),TODAY())</f>
        <v>981</v>
      </c>
      <c r="M37" s="11">
        <f ca="1">HYPERLINK(CONCATENATE("https://bugzilla.houston.hp.com:1181/bugzilla/show_bug.cgi?id=",INDIRECT(C70&amp;ROW())),INDIRECT(C70&amp;ROW()))</f>
        <v>48400</v>
      </c>
      <c r="N37">
        <v>48400</v>
      </c>
      <c r="O37" t="s">
        <v>56</v>
      </c>
      <c r="P37" t="s">
        <v>702</v>
      </c>
      <c r="Q37" t="s">
        <v>16</v>
      </c>
      <c r="R37" t="s">
        <v>251</v>
      </c>
      <c r="S37" t="s">
        <v>42</v>
      </c>
      <c r="U37" s="6">
        <v>42118.560972222222</v>
      </c>
      <c r="V37" t="s">
        <v>18</v>
      </c>
      <c r="W37" t="s">
        <v>17</v>
      </c>
      <c r="X37" s="6">
        <v>41862.660682870373</v>
      </c>
      <c r="Y37" t="s">
        <v>122</v>
      </c>
      <c r="AB37" t="s">
        <v>201</v>
      </c>
      <c r="AC37" t="s">
        <v>121</v>
      </c>
      <c r="AD37" t="s">
        <v>220</v>
      </c>
      <c r="AE37" t="s">
        <v>219</v>
      </c>
      <c r="AG37" t="s">
        <v>121</v>
      </c>
      <c r="AH37" t="s">
        <v>64</v>
      </c>
      <c r="AI37" t="s">
        <v>121</v>
      </c>
      <c r="AJ37" t="s">
        <v>717</v>
      </c>
      <c r="AK37" t="s">
        <v>121</v>
      </c>
    </row>
    <row r="38" spans="1:37" x14ac:dyDescent="0.3">
      <c r="A38" s="2">
        <f ca="1">COUNTIF(INDIRECT(A68&amp;A67):INDIRECT(A69&amp;A66),INDIRECT("b"&amp;ROW()))</f>
        <v>0</v>
      </c>
      <c r="B38" s="2">
        <f>Assignees!C37</f>
        <v>0</v>
      </c>
      <c r="C38"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0</v>
      </c>
      <c r="D38" s="9" t="str">
        <f>CONCATENATE(A83," ",A84)</f>
        <v>NFS [PML]</v>
      </c>
      <c r="E38" s="8" t="str">
        <f t="shared" si="0"/>
        <v>Astra-Waiver</v>
      </c>
      <c r="I38">
        <f ca="1">IF(OR(INDIRECT(A73&amp;ROW())=B93,INDIRECT(A73&amp;ROW())=B94),1,IF(AND(INDIRECT(A73&amp;ROW())=B95,INDIRECT(A96&amp;ROW())=C93),1,IF(AND(INDIRECT(A73&amp;ROW())=B95,INDIRECT(A96&amp;ROW())=C94),1,0)))</f>
        <v>0</v>
      </c>
      <c r="J38">
        <f ca="1">IF(AND(INDIRECT(A73&amp;ROW())=B95,INDIRECT(A96&amp;ROW())=C95),1,IF(AND(INDIRECT(A73&amp;ROW())=B95,INDIRECT(A96&amp;ROW())=C96),1,0))</f>
        <v>0</v>
      </c>
      <c r="K38">
        <f ca="1">DAYS360(INDIRECT(C68&amp;ROW()),TODAY())</f>
        <v>721</v>
      </c>
      <c r="L38">
        <f ca="1">DAYS360(INDIRECT(C69&amp;ROW()),TODAY())</f>
        <v>980</v>
      </c>
      <c r="M38" s="11">
        <f ca="1">HYPERLINK(CONCATENATE("https://bugzilla.houston.hp.com:1181/bugzilla/show_bug.cgi?id=",INDIRECT(C70&amp;ROW())),INDIRECT(C70&amp;ROW()))</f>
        <v>48464</v>
      </c>
      <c r="N38">
        <v>48464</v>
      </c>
      <c r="O38" t="s">
        <v>55</v>
      </c>
      <c r="P38" t="s">
        <v>701</v>
      </c>
      <c r="Q38" t="s">
        <v>16</v>
      </c>
      <c r="R38" t="s">
        <v>251</v>
      </c>
      <c r="S38" t="s">
        <v>42</v>
      </c>
      <c r="U38" s="6">
        <v>42125.443819444445</v>
      </c>
      <c r="V38" t="s">
        <v>35</v>
      </c>
      <c r="W38" t="s">
        <v>17</v>
      </c>
      <c r="X38" s="6">
        <v>41863.624351851853</v>
      </c>
      <c r="Y38" t="s">
        <v>122</v>
      </c>
      <c r="AB38" t="s">
        <v>200</v>
      </c>
      <c r="AC38" t="s">
        <v>121</v>
      </c>
      <c r="AD38" t="s">
        <v>220</v>
      </c>
      <c r="AE38" t="s">
        <v>219</v>
      </c>
      <c r="AG38" t="s">
        <v>121</v>
      </c>
      <c r="AH38" t="s">
        <v>327</v>
      </c>
      <c r="AI38" t="s">
        <v>121</v>
      </c>
      <c r="AJ38" t="s">
        <v>716</v>
      </c>
      <c r="AK38" t="s">
        <v>121</v>
      </c>
    </row>
    <row r="39" spans="1:37" x14ac:dyDescent="0.3">
      <c r="A39" s="7">
        <f ca="1">SUM(A2:A38)</f>
        <v>449</v>
      </c>
      <c r="B39" s="7" t="s">
        <v>23</v>
      </c>
      <c r="C39"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13</v>
      </c>
      <c r="D39" s="9" t="str">
        <f>CONCATENATE(A83," ",A84)</f>
        <v>NFS [PML]</v>
      </c>
      <c r="E39" s="8" t="str">
        <f t="shared" si="0"/>
        <v>Astra-Maint</v>
      </c>
      <c r="I39">
        <f ca="1">IF(OR(INDIRECT(A73&amp;ROW())=B93,INDIRECT(A73&amp;ROW())=B94),1,IF(AND(INDIRECT(A73&amp;ROW())=B95,INDIRECT(A96&amp;ROW())=C93),1,IF(AND(INDIRECT(A73&amp;ROW())=B95,INDIRECT(A96&amp;ROW())=C94),1,0)))</f>
        <v>0</v>
      </c>
      <c r="J39">
        <f ca="1">IF(AND(INDIRECT(A73&amp;ROW())=B95,INDIRECT(A96&amp;ROW())=C95),1,IF(AND(INDIRECT(A73&amp;ROW())=B95,INDIRECT(A96&amp;ROW())=C96),1,0))</f>
        <v>1</v>
      </c>
      <c r="K39">
        <f ca="1">DAYS360(INDIRECT(C68&amp;ROW()),TODAY())</f>
        <v>730</v>
      </c>
      <c r="L39">
        <f ca="1">DAYS360(INDIRECT(C69&amp;ROW()),TODAY())</f>
        <v>979</v>
      </c>
      <c r="M39" s="11">
        <f ca="1">HYPERLINK(CONCATENATE("https://bugzilla.houston.hp.com:1181/bugzilla/show_bug.cgi?id=",INDIRECT(C70&amp;ROW())),INDIRECT(C70&amp;ROW()))</f>
        <v>48484</v>
      </c>
      <c r="N39">
        <v>48484</v>
      </c>
      <c r="O39" t="s">
        <v>49</v>
      </c>
      <c r="P39" t="s">
        <v>700</v>
      </c>
      <c r="Q39" t="s">
        <v>25</v>
      </c>
      <c r="R39" t="s">
        <v>251</v>
      </c>
      <c r="S39" t="s">
        <v>52</v>
      </c>
      <c r="U39" s="6">
        <v>42116.72991898148</v>
      </c>
      <c r="V39" t="s">
        <v>35</v>
      </c>
      <c r="W39" t="s">
        <v>17</v>
      </c>
      <c r="X39" s="6">
        <v>41864.074270833335</v>
      </c>
      <c r="Y39" t="s">
        <v>119</v>
      </c>
      <c r="AB39" t="s">
        <v>201</v>
      </c>
      <c r="AC39" t="s">
        <v>121</v>
      </c>
      <c r="AD39" t="s">
        <v>222</v>
      </c>
      <c r="AE39" t="s">
        <v>240</v>
      </c>
      <c r="AG39" t="s">
        <v>121</v>
      </c>
      <c r="AH39" t="s">
        <v>64</v>
      </c>
      <c r="AI39" t="s">
        <v>121</v>
      </c>
      <c r="AJ39" t="s">
        <v>716</v>
      </c>
      <c r="AK39" t="s">
        <v>121</v>
      </c>
    </row>
    <row r="40" spans="1:37" x14ac:dyDescent="0.3">
      <c r="A40">
        <f ca="1">COUNTIF(INDIRECT(A76&amp;A67):INDIRECT(A76&amp;A66),B40&amp;"*")</f>
        <v>147</v>
      </c>
      <c r="B40" t="s">
        <v>126</v>
      </c>
      <c r="C40" s="9">
        <f ca="1">(COUNTIFS(INDIRECT(A72&amp;A67):INDIRECT(A72&amp;A66):INDIRECT(A72&amp;A66),"*"&amp;A83&amp;"*",INDIRECT(A71&amp;A67):INDIRECT(A71&amp;A66),INDIRECT("e"&amp;ROW()))-COUNTIFS(INDIRECT(A72&amp;A67):INDIRECT(A72&amp;A66):INDIRECT(A72&amp;A66),"*"&amp;A83&amp;"*",INDIRECT(A71&amp;A67):INDIRECT(A71&amp;A66),INDIRECT("e"&amp;ROW()),INDIRECT(A70&amp;A67):INDIRECT(A70&amp;A66),A82&amp;"*"))</f>
        <v>17</v>
      </c>
      <c r="D40" s="9" t="str">
        <f>CONCATENATE(A83," ",A84)</f>
        <v>NFS [PML]</v>
      </c>
      <c r="E40" s="8" t="str">
        <f t="shared" si="0"/>
        <v>Astra-1.1.0</v>
      </c>
      <c r="I40">
        <f ca="1">IF(OR(INDIRECT(A73&amp;ROW())=B93,INDIRECT(A73&amp;ROW())=B94),1,IF(AND(INDIRECT(A73&amp;ROW())=B95,INDIRECT(A96&amp;ROW())=C93),1,IF(AND(INDIRECT(A73&amp;ROW())=B95,INDIRECT(A96&amp;ROW())=C94),1,0)))</f>
        <v>0</v>
      </c>
      <c r="J40">
        <f ca="1">IF(AND(INDIRECT(A73&amp;ROW())=B95,INDIRECT(A96&amp;ROW())=C95),1,IF(AND(INDIRECT(A73&amp;ROW())=B95,INDIRECT(A96&amp;ROW())=C96),1,0))</f>
        <v>0</v>
      </c>
      <c r="K40">
        <f ca="1">DAYS360(INDIRECT(C68&amp;ROW()),TODAY())</f>
        <v>770</v>
      </c>
      <c r="L40">
        <f ca="1">DAYS360(INDIRECT(C69&amp;ROW()),TODAY())</f>
        <v>977</v>
      </c>
      <c r="M40" s="11">
        <f ca="1">HYPERLINK(CONCATENATE("https://bugzilla.houston.hp.com:1181/bugzilla/show_bug.cgi?id=",INDIRECT(C70&amp;ROW())),INDIRECT(C70&amp;ROW()))</f>
        <v>48691</v>
      </c>
      <c r="N40">
        <v>48691</v>
      </c>
      <c r="O40" t="s">
        <v>56</v>
      </c>
      <c r="P40" t="s">
        <v>279</v>
      </c>
      <c r="Q40" t="s">
        <v>16</v>
      </c>
      <c r="R40" t="s">
        <v>251</v>
      </c>
      <c r="S40" t="s">
        <v>65</v>
      </c>
      <c r="U40" s="6">
        <v>42075.349849537037</v>
      </c>
      <c r="V40" t="s">
        <v>18</v>
      </c>
      <c r="W40" t="s">
        <v>17</v>
      </c>
      <c r="X40" s="6">
        <v>41866.418425925927</v>
      </c>
      <c r="Y40" t="s">
        <v>118</v>
      </c>
      <c r="AB40" t="s">
        <v>201</v>
      </c>
      <c r="AC40" t="s">
        <v>121</v>
      </c>
      <c r="AD40" t="s">
        <v>220</v>
      </c>
      <c r="AE40" t="s">
        <v>219</v>
      </c>
      <c r="AG40" t="s">
        <v>121</v>
      </c>
      <c r="AH40" t="s">
        <v>327</v>
      </c>
      <c r="AI40" t="s">
        <v>121</v>
      </c>
      <c r="AJ40" t="s">
        <v>717</v>
      </c>
      <c r="AK40" t="s">
        <v>121</v>
      </c>
    </row>
    <row r="41" spans="1:37" x14ac:dyDescent="0.3">
      <c r="A41">
        <f ca="1">COUNTIF(INDIRECT(A76&amp;A67):INDIRECT(A76&amp;A66),B41&amp;"*")</f>
        <v>15</v>
      </c>
      <c r="B41" t="s">
        <v>127</v>
      </c>
      <c r="C41">
        <f ca="1">SUM(C34:C40)</f>
        <v>108</v>
      </c>
      <c r="I41">
        <f ca="1">IF(OR(INDIRECT(A73&amp;ROW())=B93,INDIRECT(A73&amp;ROW())=B94),1,IF(AND(INDIRECT(A73&amp;ROW())=B95,INDIRECT(A96&amp;ROW())=C93),1,IF(AND(INDIRECT(A73&amp;ROW())=B95,INDIRECT(A96&amp;ROW())=C94),1,0)))</f>
        <v>0</v>
      </c>
      <c r="J41">
        <f ca="1">IF(AND(INDIRECT(A73&amp;ROW())=B95,INDIRECT(A96&amp;ROW())=C95),1,IF(AND(INDIRECT(A73&amp;ROW())=B95,INDIRECT(A96&amp;ROW())=C96),1,0))</f>
        <v>0</v>
      </c>
      <c r="K41">
        <f ca="1">DAYS360(INDIRECT(C68&amp;ROW()),TODAY())</f>
        <v>770</v>
      </c>
      <c r="L41">
        <f ca="1">DAYS360(INDIRECT(C69&amp;ROW()),TODAY())</f>
        <v>977</v>
      </c>
      <c r="M41" s="11">
        <f ca="1">HYPERLINK(CONCATENATE("https://bugzilla.houston.hp.com:1181/bugzilla/show_bug.cgi?id=",INDIRECT(C70&amp;ROW())),INDIRECT(C70&amp;ROW()))</f>
        <v>48692</v>
      </c>
      <c r="N41">
        <v>48692</v>
      </c>
      <c r="O41" t="s">
        <v>56</v>
      </c>
      <c r="P41" t="s">
        <v>278</v>
      </c>
      <c r="Q41" t="s">
        <v>16</v>
      </c>
      <c r="R41" t="s">
        <v>251</v>
      </c>
      <c r="S41" t="s">
        <v>65</v>
      </c>
      <c r="T41" t="s">
        <v>803</v>
      </c>
      <c r="U41" s="6">
        <v>42075.350902777776</v>
      </c>
      <c r="V41" t="s">
        <v>35</v>
      </c>
      <c r="W41" t="s">
        <v>17</v>
      </c>
      <c r="X41" s="6">
        <v>41866.420034722221</v>
      </c>
      <c r="Y41" t="s">
        <v>793</v>
      </c>
      <c r="AB41" t="s">
        <v>201</v>
      </c>
      <c r="AC41" t="s">
        <v>121</v>
      </c>
      <c r="AD41" t="s">
        <v>220</v>
      </c>
      <c r="AE41" t="s">
        <v>219</v>
      </c>
      <c r="AG41" t="s">
        <v>121</v>
      </c>
      <c r="AH41" t="s">
        <v>64</v>
      </c>
      <c r="AI41" t="s">
        <v>121</v>
      </c>
      <c r="AJ41" t="s">
        <v>717</v>
      </c>
      <c r="AK41" t="s">
        <v>121</v>
      </c>
    </row>
    <row r="42" spans="1:37" x14ac:dyDescent="0.3">
      <c r="A42" s="1">
        <f ca="1">SUM(A40:A41)</f>
        <v>162</v>
      </c>
      <c r="B42" s="1" t="s">
        <v>128</v>
      </c>
      <c r="C42" s="12">
        <f ca="1">COUNTIFS(INDIRECT(A72&amp;A67):INDIRECT(A72&amp;A66),"*"&amp;A83&amp;"*",INDIRECT(A71&amp;A67):INDIRECT(A71&amp;A66),INDIRECT("e"&amp;ROW()),INDIRECT(A70&amp;A67):INDIRECT(A70&amp;A66),A82&amp;"*")</f>
        <v>0</v>
      </c>
      <c r="D42" s="12" t="str">
        <f>CONCATENATE(A83,"  core")</f>
        <v>NFS  core</v>
      </c>
      <c r="E42" s="8" t="str">
        <f t="shared" ref="E42:E48" si="1">D2</f>
        <v>Astra</v>
      </c>
      <c r="I42">
        <f ca="1">IF(OR(INDIRECT(A73&amp;ROW())=B93,INDIRECT(A73&amp;ROW())=B94),1,IF(AND(INDIRECT(A73&amp;ROW())=B95,INDIRECT(A96&amp;ROW())=C93),1,IF(AND(INDIRECT(A73&amp;ROW())=B95,INDIRECT(A96&amp;ROW())=C94),1,0)))</f>
        <v>1</v>
      </c>
      <c r="J42">
        <f ca="1">IF(AND(INDIRECT(A73&amp;ROW())=B95,INDIRECT(A96&amp;ROW())=C95),1,IF(AND(INDIRECT(A73&amp;ROW())=B95,INDIRECT(A96&amp;ROW())=C96),1,0))</f>
        <v>0</v>
      </c>
      <c r="K42">
        <f ca="1">DAYS360(INDIRECT(C68&amp;ROW()),TODAY())</f>
        <v>730</v>
      </c>
      <c r="L42">
        <f ca="1">DAYS360(INDIRECT(C69&amp;ROW()),TODAY())</f>
        <v>977</v>
      </c>
      <c r="M42" s="11">
        <f ca="1">HYPERLINK(CONCATENATE("https://bugzilla.houston.hp.com:1181/bugzilla/show_bug.cgi?id=",INDIRECT(C70&amp;ROW())),INDIRECT(C70&amp;ROW()))</f>
        <v>48696</v>
      </c>
      <c r="N42">
        <v>48696</v>
      </c>
      <c r="O42" t="s">
        <v>94</v>
      </c>
      <c r="P42" t="s">
        <v>446</v>
      </c>
      <c r="Q42" t="s">
        <v>39</v>
      </c>
      <c r="R42" t="s">
        <v>251</v>
      </c>
      <c r="S42" t="s">
        <v>24</v>
      </c>
      <c r="T42" t="s">
        <v>782</v>
      </c>
      <c r="U42" s="6">
        <v>42116.453148148146</v>
      </c>
      <c r="V42" t="s">
        <v>35</v>
      </c>
      <c r="W42" t="s">
        <v>17</v>
      </c>
      <c r="X42" s="6">
        <v>41866.469768518517</v>
      </c>
      <c r="Y42" t="s">
        <v>119</v>
      </c>
      <c r="AB42" t="s">
        <v>201</v>
      </c>
      <c r="AC42" t="s">
        <v>121</v>
      </c>
      <c r="AD42" t="s">
        <v>227</v>
      </c>
      <c r="AE42" t="s">
        <v>231</v>
      </c>
      <c r="AG42" t="s">
        <v>121</v>
      </c>
      <c r="AH42" t="s">
        <v>64</v>
      </c>
      <c r="AI42" t="s">
        <v>121</v>
      </c>
      <c r="AJ42" t="s">
        <v>715</v>
      </c>
      <c r="AK42" t="s">
        <v>121</v>
      </c>
    </row>
    <row r="43" spans="1:37" x14ac:dyDescent="0.3">
      <c r="C43" s="12">
        <f ca="1">COUNTIFS(INDIRECT(A72&amp;A67):INDIRECT(A72&amp;A66),"*"&amp;A83&amp;"*",INDIRECT(A71&amp;A67):INDIRECT(A71&amp;A66),INDIRECT("e"&amp;ROW()),INDIRECT(A70&amp;A67):INDIRECT(A70&amp;A66),A82&amp;"*")</f>
        <v>0</v>
      </c>
      <c r="D43" s="12" t="str">
        <f>CONCATENATE(A83,"  core")</f>
        <v>NFS  core</v>
      </c>
      <c r="E43" s="8" t="str">
        <f t="shared" si="1"/>
        <v>Atlas</v>
      </c>
      <c r="I43">
        <f ca="1">IF(OR(INDIRECT(A73&amp;ROW())=B93,INDIRECT(A73&amp;ROW())=B94),1,IF(AND(INDIRECT(A73&amp;ROW())=B95,INDIRECT(A96&amp;ROW())=C93),1,IF(AND(INDIRECT(A73&amp;ROW())=B95,INDIRECT(A96&amp;ROW())=C94),1,0)))</f>
        <v>0</v>
      </c>
      <c r="J43">
        <f ca="1">IF(AND(INDIRECT(A73&amp;ROW())=B95,INDIRECT(A96&amp;ROW())=C95),1,IF(AND(INDIRECT(A73&amp;ROW())=B95,INDIRECT(A96&amp;ROW())=C96),1,0))</f>
        <v>0</v>
      </c>
      <c r="K43">
        <f ca="1">DAYS360(INDIRECT(C68&amp;ROW()),TODAY())</f>
        <v>728</v>
      </c>
      <c r="L43">
        <f ca="1">DAYS360(INDIRECT(C69&amp;ROW()),TODAY())</f>
        <v>977</v>
      </c>
      <c r="M43" s="11">
        <f ca="1">HYPERLINK(CONCATENATE("https://bugzilla.houston.hp.com:1181/bugzilla/show_bug.cgi?id=",INDIRECT(C70&amp;ROW())),INDIRECT(C70&amp;ROW()))</f>
        <v>48703</v>
      </c>
      <c r="N43">
        <v>48703</v>
      </c>
      <c r="O43" t="s">
        <v>66</v>
      </c>
      <c r="P43" t="s">
        <v>291</v>
      </c>
      <c r="Q43" t="s">
        <v>16</v>
      </c>
      <c r="R43" t="s">
        <v>251</v>
      </c>
      <c r="S43" t="s">
        <v>65</v>
      </c>
      <c r="U43" s="6">
        <v>42118.561168981483</v>
      </c>
      <c r="V43" t="s">
        <v>18</v>
      </c>
      <c r="W43" t="s">
        <v>17</v>
      </c>
      <c r="X43" s="6">
        <v>41866.624490740738</v>
      </c>
      <c r="Y43" t="s">
        <v>122</v>
      </c>
      <c r="AB43" t="s">
        <v>201</v>
      </c>
      <c r="AC43" t="s">
        <v>121</v>
      </c>
      <c r="AD43" t="s">
        <v>222</v>
      </c>
      <c r="AE43" t="s">
        <v>233</v>
      </c>
      <c r="AG43" t="s">
        <v>121</v>
      </c>
      <c r="AH43" t="s">
        <v>64</v>
      </c>
      <c r="AI43" t="s">
        <v>121</v>
      </c>
      <c r="AJ43" t="s">
        <v>717</v>
      </c>
      <c r="AK43" t="s">
        <v>121</v>
      </c>
    </row>
    <row r="44" spans="1:37" x14ac:dyDescent="0.3">
      <c r="C44" s="12">
        <f ca="1">COUNTIFS(INDIRECT(A72&amp;A67):INDIRECT(A72&amp;A66),"*"&amp;A83&amp;"*",INDIRECT(A71&amp;A67):INDIRECT(A71&amp;A66),INDIRECT("e"&amp;ROW()),INDIRECT(A70&amp;A67):INDIRECT(A70&amp;A66),A82&amp;"*")</f>
        <v>0</v>
      </c>
      <c r="D44" s="12" t="str">
        <f>CONCATENATE(A83,"  core")</f>
        <v>NFS  core</v>
      </c>
      <c r="E44" s="8" t="str">
        <f t="shared" si="1"/>
        <v>Bellatrix</v>
      </c>
      <c r="I44">
        <f ca="1">IF(OR(INDIRECT(A73&amp;ROW())=B93,INDIRECT(A73&amp;ROW())=B94),1,IF(AND(INDIRECT(A73&amp;ROW())=B95,INDIRECT(A96&amp;ROW())=C93),1,IF(AND(INDIRECT(A73&amp;ROW())=B95,INDIRECT(A96&amp;ROW())=C94),1,0)))</f>
        <v>0</v>
      </c>
      <c r="J44">
        <f ca="1">IF(AND(INDIRECT(A73&amp;ROW())=B95,INDIRECT(A96&amp;ROW())=C95),1,IF(AND(INDIRECT(A73&amp;ROW())=B95,INDIRECT(A96&amp;ROW())=C96),1,0))</f>
        <v>0</v>
      </c>
      <c r="K44">
        <f ca="1">DAYS360(INDIRECT(C68&amp;ROW()),TODAY())</f>
        <v>729</v>
      </c>
      <c r="L44">
        <f ca="1">DAYS360(INDIRECT(C69&amp;ROW()),TODAY())</f>
        <v>972</v>
      </c>
      <c r="M44" s="11">
        <f ca="1">HYPERLINK(CONCATENATE("https://bugzilla.houston.hp.com:1181/bugzilla/show_bug.cgi?id=",INDIRECT(C70&amp;ROW())),INDIRECT(C70&amp;ROW()))</f>
        <v>48872</v>
      </c>
      <c r="N44">
        <v>48872</v>
      </c>
      <c r="O44" t="s">
        <v>56</v>
      </c>
      <c r="P44" t="s">
        <v>699</v>
      </c>
      <c r="Q44" t="s">
        <v>16</v>
      </c>
      <c r="R44" t="s">
        <v>251</v>
      </c>
      <c r="S44" t="s">
        <v>239</v>
      </c>
      <c r="T44" t="s">
        <v>48</v>
      </c>
      <c r="U44" s="6">
        <v>42117.403298611112</v>
      </c>
      <c r="V44" t="s">
        <v>35</v>
      </c>
      <c r="W44" t="s">
        <v>17</v>
      </c>
      <c r="X44" s="6">
        <v>41871.14303240741</v>
      </c>
      <c r="Y44" t="s">
        <v>124</v>
      </c>
      <c r="AB44" t="s">
        <v>200</v>
      </c>
      <c r="AC44" t="s">
        <v>121</v>
      </c>
      <c r="AD44" t="s">
        <v>220</v>
      </c>
      <c r="AE44" t="s">
        <v>219</v>
      </c>
      <c r="AG44" t="s">
        <v>121</v>
      </c>
      <c r="AH44" t="s">
        <v>64</v>
      </c>
      <c r="AI44" t="s">
        <v>121</v>
      </c>
      <c r="AJ44" t="s">
        <v>716</v>
      </c>
      <c r="AK44" t="s">
        <v>121</v>
      </c>
    </row>
    <row r="45" spans="1:37" x14ac:dyDescent="0.3">
      <c r="C45" s="12">
        <f ca="1">COUNTIFS(INDIRECT(A72&amp;A67):INDIRECT(A72&amp;A66),"*"&amp;A83&amp;"*",INDIRECT(A71&amp;A67):INDIRECT(A71&amp;A66),INDIRECT("e"&amp;ROW()),INDIRECT(A70&amp;A67):INDIRECT(A70&amp;A66),A82&amp;"*")</f>
        <v>0</v>
      </c>
      <c r="D45" s="12" t="str">
        <f>CONCATENATE(A83,"  core")</f>
        <v>NFS  core</v>
      </c>
      <c r="E45" s="8" t="str">
        <f t="shared" si="1"/>
        <v>Master</v>
      </c>
      <c r="I45">
        <f ca="1">IF(OR(INDIRECT(A73&amp;ROW())=B93,INDIRECT(A73&amp;ROW())=B94),1,IF(AND(INDIRECT(A73&amp;ROW())=B95,INDIRECT(A96&amp;ROW())=C93),1,IF(AND(INDIRECT(A73&amp;ROW())=B95,INDIRECT(A96&amp;ROW())=C94),1,0)))</f>
        <v>0</v>
      </c>
      <c r="J45">
        <f ca="1">IF(AND(INDIRECT(A73&amp;ROW())=B95,INDIRECT(A96&amp;ROW())=C95),1,IF(AND(INDIRECT(A73&amp;ROW())=B95,INDIRECT(A96&amp;ROW())=C96),1,0))</f>
        <v>0</v>
      </c>
      <c r="K45">
        <f ca="1">DAYS360(INDIRECT(C68&amp;ROW()),TODAY())</f>
        <v>721</v>
      </c>
      <c r="L45">
        <f ca="1">DAYS360(INDIRECT(C69&amp;ROW()),TODAY())</f>
        <v>971</v>
      </c>
      <c r="M45" s="11">
        <f ca="1">HYPERLINK(CONCATENATE("https://bugzilla.houston.hp.com:1181/bugzilla/show_bug.cgi?id=",INDIRECT(C70&amp;ROW())),INDIRECT(C70&amp;ROW()))</f>
        <v>48965</v>
      </c>
      <c r="N45">
        <v>48965</v>
      </c>
      <c r="O45" t="s">
        <v>22</v>
      </c>
      <c r="P45" t="s">
        <v>445</v>
      </c>
      <c r="Q45" t="s">
        <v>16</v>
      </c>
      <c r="R45" t="s">
        <v>251</v>
      </c>
      <c r="S45" t="s">
        <v>22</v>
      </c>
      <c r="U45" s="6">
        <v>42125.443831018521</v>
      </c>
      <c r="V45" t="s">
        <v>18</v>
      </c>
      <c r="W45" t="s">
        <v>17</v>
      </c>
      <c r="X45" s="6">
        <v>41872.448865740742</v>
      </c>
      <c r="Y45" t="s">
        <v>122</v>
      </c>
      <c r="Z45" t="s">
        <v>255</v>
      </c>
      <c r="AB45" t="s">
        <v>201</v>
      </c>
      <c r="AC45" t="s">
        <v>121</v>
      </c>
      <c r="AD45" t="s">
        <v>220</v>
      </c>
      <c r="AE45" t="s">
        <v>219</v>
      </c>
      <c r="AG45" t="s">
        <v>121</v>
      </c>
      <c r="AH45" t="s">
        <v>64</v>
      </c>
      <c r="AI45" t="s">
        <v>121</v>
      </c>
      <c r="AJ45" t="s">
        <v>717</v>
      </c>
      <c r="AK45" t="s">
        <v>121</v>
      </c>
    </row>
    <row r="46" spans="1:37" x14ac:dyDescent="0.3">
      <c r="C46" s="12">
        <f ca="1">COUNTIFS(INDIRECT(A72&amp;A67):INDIRECT(A72&amp;A66),"*"&amp;A83&amp;"*",INDIRECT(A71&amp;A67):INDIRECT(A71&amp;A66),INDIRECT("e"&amp;ROW()),INDIRECT(A70&amp;A67):INDIRECT(A70&amp;A66),A82&amp;"*")</f>
        <v>0</v>
      </c>
      <c r="D46" s="12" t="str">
        <f>CONCATENATE(A83,"  core")</f>
        <v>NFS  core</v>
      </c>
      <c r="E46" s="8" t="str">
        <f t="shared" si="1"/>
        <v>Astra-Waiver</v>
      </c>
      <c r="I46">
        <f ca="1">IF(OR(INDIRECT(A73&amp;ROW())=B93,INDIRECT(A73&amp;ROW())=B94),1,IF(AND(INDIRECT(A73&amp;ROW())=B95,INDIRECT(A96&amp;ROW())=C93),1,IF(AND(INDIRECT(A73&amp;ROW())=B95,INDIRECT(A96&amp;ROW())=C94),1,0)))</f>
        <v>0</v>
      </c>
      <c r="J46">
        <f ca="1">IF(AND(INDIRECT(A73&amp;ROW())=B95,INDIRECT(A96&amp;ROW())=C95),1,IF(AND(INDIRECT(A73&amp;ROW())=B95,INDIRECT(A96&amp;ROW())=C96),1,0))</f>
        <v>0</v>
      </c>
      <c r="K46">
        <f ca="1">DAYS360(INDIRECT(C68&amp;ROW()),TODAY())</f>
        <v>730</v>
      </c>
      <c r="L46">
        <f ca="1">DAYS360(INDIRECT(C69&amp;ROW()),TODAY())</f>
        <v>970</v>
      </c>
      <c r="M46" s="11">
        <f ca="1">HYPERLINK(CONCATENATE("https://bugzilla.houston.hp.com:1181/bugzilla/show_bug.cgi?id=",INDIRECT(C70&amp;ROW())),INDIRECT(C70&amp;ROW()))</f>
        <v>49007</v>
      </c>
      <c r="N46">
        <v>49007</v>
      </c>
      <c r="O46" t="s">
        <v>856</v>
      </c>
      <c r="P46" t="s">
        <v>423</v>
      </c>
      <c r="Q46" t="s">
        <v>16</v>
      </c>
      <c r="R46" t="s">
        <v>251</v>
      </c>
      <c r="S46" t="s">
        <v>24</v>
      </c>
      <c r="T46" t="s">
        <v>48</v>
      </c>
      <c r="U46" s="6">
        <v>42116.922337962962</v>
      </c>
      <c r="V46" t="s">
        <v>35</v>
      </c>
      <c r="W46" t="s">
        <v>17</v>
      </c>
      <c r="X46" s="6">
        <v>41873.282511574071</v>
      </c>
      <c r="Y46" t="s">
        <v>119</v>
      </c>
      <c r="AB46" t="s">
        <v>201</v>
      </c>
      <c r="AC46" t="s">
        <v>121</v>
      </c>
      <c r="AD46" t="s">
        <v>222</v>
      </c>
      <c r="AE46" t="s">
        <v>221</v>
      </c>
      <c r="AG46" t="s">
        <v>121</v>
      </c>
      <c r="AH46" t="s">
        <v>327</v>
      </c>
      <c r="AI46" t="s">
        <v>121</v>
      </c>
      <c r="AJ46" t="s">
        <v>717</v>
      </c>
      <c r="AK46" t="s">
        <v>121</v>
      </c>
    </row>
    <row r="47" spans="1:37" x14ac:dyDescent="0.3">
      <c r="C47" s="12">
        <f ca="1">COUNTIFS(INDIRECT(A72&amp;A67):INDIRECT(A72&amp;A66),"*"&amp;A83&amp;"*",INDIRECT(A71&amp;A67):INDIRECT(A71&amp;A66),INDIRECT("e"&amp;ROW()),INDIRECT(A70&amp;A67):INDIRECT(A70&amp;A66),A82&amp;"*")</f>
        <v>0</v>
      </c>
      <c r="D47" s="12" t="str">
        <f>CONCATENATE(A83,"  core")</f>
        <v>NFS  core</v>
      </c>
      <c r="E47" s="8" t="str">
        <f t="shared" si="1"/>
        <v>Astra-Maint</v>
      </c>
      <c r="I47">
        <f ca="1">IF(OR(INDIRECT(A73&amp;ROW())=B93,INDIRECT(A73&amp;ROW())=B94),1,IF(AND(INDIRECT(A73&amp;ROW())=B95,INDIRECT(A96&amp;ROW())=C93),1,IF(AND(INDIRECT(A73&amp;ROW())=B95,INDIRECT(A96&amp;ROW())=C94),1,0)))</f>
        <v>0</v>
      </c>
      <c r="J47">
        <f ca="1">IF(AND(INDIRECT(A73&amp;ROW())=B95,INDIRECT(A96&amp;ROW())=C95),1,IF(AND(INDIRECT(A73&amp;ROW())=B95,INDIRECT(A96&amp;ROW())=C96),1,0))</f>
        <v>0</v>
      </c>
      <c r="K47">
        <f ca="1">DAYS360(INDIRECT(C68&amp;ROW()),TODAY())</f>
        <v>729</v>
      </c>
      <c r="L47">
        <f ca="1">DAYS360(INDIRECT(C69&amp;ROW()),TODAY())</f>
        <v>967</v>
      </c>
      <c r="M47" s="11">
        <f ca="1">HYPERLINK(CONCATENATE("https://bugzilla.houston.hp.com:1181/bugzilla/show_bug.cgi?id=",INDIRECT(C70&amp;ROW())),INDIRECT(C70&amp;ROW()))</f>
        <v>49096</v>
      </c>
      <c r="N47">
        <v>49096</v>
      </c>
      <c r="O47" t="s">
        <v>88</v>
      </c>
      <c r="P47" t="s">
        <v>444</v>
      </c>
      <c r="Q47" t="s">
        <v>16</v>
      </c>
      <c r="R47" t="s">
        <v>251</v>
      </c>
      <c r="S47" t="s">
        <v>174</v>
      </c>
      <c r="U47" s="6">
        <v>42117.403402777774</v>
      </c>
      <c r="V47" t="s">
        <v>40</v>
      </c>
      <c r="W47" t="s">
        <v>17</v>
      </c>
      <c r="X47" s="6">
        <v>41876.589675925927</v>
      </c>
      <c r="Y47" t="s">
        <v>119</v>
      </c>
      <c r="AB47" t="s">
        <v>199</v>
      </c>
      <c r="AC47" t="s">
        <v>121</v>
      </c>
      <c r="AD47" t="s">
        <v>220</v>
      </c>
      <c r="AE47" t="s">
        <v>290</v>
      </c>
      <c r="AG47" t="s">
        <v>121</v>
      </c>
      <c r="AH47" t="s">
        <v>64</v>
      </c>
      <c r="AI47" t="s">
        <v>121</v>
      </c>
      <c r="AJ47" t="s">
        <v>716</v>
      </c>
      <c r="AK47" t="s">
        <v>121</v>
      </c>
    </row>
    <row r="48" spans="1:37" x14ac:dyDescent="0.3">
      <c r="C48" s="12">
        <f ca="1">COUNTIFS(INDIRECT(A72&amp;A67):INDIRECT(A72&amp;A66),"*"&amp;A83&amp;"*",INDIRECT(A71&amp;A67):INDIRECT(A71&amp;A66),INDIRECT("e"&amp;ROW()),INDIRECT(A70&amp;A67):INDIRECT(A70&amp;A66),A82&amp;"*")</f>
        <v>0</v>
      </c>
      <c r="D48" s="12" t="str">
        <f>CONCATENATE(A83,"  core")</f>
        <v>NFS  core</v>
      </c>
      <c r="E48" s="8" t="str">
        <f t="shared" si="1"/>
        <v>Astra-1.1.0</v>
      </c>
      <c r="I48">
        <f ca="1">IF(OR(INDIRECT(A73&amp;ROW())=B93,INDIRECT(A73&amp;ROW())=B94),1,IF(AND(INDIRECT(A73&amp;ROW())=B95,INDIRECT(A96&amp;ROW())=C93),1,IF(AND(INDIRECT(A73&amp;ROW())=B95,INDIRECT(A96&amp;ROW())=C94),1,0)))</f>
        <v>0</v>
      </c>
      <c r="J48">
        <f ca="1">IF(AND(INDIRECT(A73&amp;ROW())=B95,INDIRECT(A96&amp;ROW())=C95),1,IF(AND(INDIRECT(A73&amp;ROW())=B95,INDIRECT(A96&amp;ROW())=C96),1,0))</f>
        <v>0</v>
      </c>
      <c r="K48">
        <f ca="1">DAYS360(INDIRECT(C68&amp;ROW()),TODAY())</f>
        <v>729</v>
      </c>
      <c r="L48">
        <f ca="1">DAYS360(INDIRECT(C69&amp;ROW()),TODAY())</f>
        <v>966</v>
      </c>
      <c r="M48" s="11">
        <f ca="1">HYPERLINK(CONCATENATE("https://bugzilla.houston.hp.com:1181/bugzilla/show_bug.cgi?id=",INDIRECT(C70&amp;ROW())),INDIRECT(C70&amp;ROW()))</f>
        <v>49164</v>
      </c>
      <c r="N48">
        <v>49164</v>
      </c>
      <c r="O48" t="s">
        <v>88</v>
      </c>
      <c r="P48" t="s">
        <v>698</v>
      </c>
      <c r="Q48" t="s">
        <v>16</v>
      </c>
      <c r="R48" t="s">
        <v>251</v>
      </c>
      <c r="S48" t="s">
        <v>253</v>
      </c>
      <c r="U48" s="6">
        <v>42117.40353009259</v>
      </c>
      <c r="V48" t="s">
        <v>18</v>
      </c>
      <c r="W48" t="s">
        <v>17</v>
      </c>
      <c r="X48" s="6">
        <v>41877.634756944448</v>
      </c>
      <c r="Y48" t="s">
        <v>120</v>
      </c>
      <c r="AB48" t="s">
        <v>200</v>
      </c>
      <c r="AC48" t="s">
        <v>121</v>
      </c>
      <c r="AD48" t="s">
        <v>222</v>
      </c>
      <c r="AE48" t="s">
        <v>240</v>
      </c>
      <c r="AG48" t="s">
        <v>121</v>
      </c>
      <c r="AH48" t="s">
        <v>64</v>
      </c>
      <c r="AI48" t="s">
        <v>121</v>
      </c>
      <c r="AJ48" t="s">
        <v>716</v>
      </c>
      <c r="AK48" t="s">
        <v>121</v>
      </c>
    </row>
    <row r="49" spans="2:37" x14ac:dyDescent="0.3">
      <c r="C49">
        <f ca="1">SUM(C42:C48)</f>
        <v>0</v>
      </c>
      <c r="I49">
        <f ca="1">IF(OR(INDIRECT(A73&amp;ROW())=B93,INDIRECT(A73&amp;ROW())=B94),1,IF(AND(INDIRECT(A73&amp;ROW())=B95,INDIRECT(A96&amp;ROW())=C93),1,IF(AND(INDIRECT(A73&amp;ROW())=B95,INDIRECT(A96&amp;ROW())=C94),1,0)))</f>
        <v>1</v>
      </c>
      <c r="J49">
        <f ca="1">IF(AND(INDIRECT(A73&amp;ROW())=B95,INDIRECT(A96&amp;ROW())=C95),1,IF(AND(INDIRECT(A73&amp;ROW())=B95,INDIRECT(A96&amp;ROW())=C96),1,0))</f>
        <v>0</v>
      </c>
      <c r="K49">
        <f ca="1">DAYS360(INDIRECT(C68&amp;ROW()),TODAY())</f>
        <v>692</v>
      </c>
      <c r="L49">
        <f ca="1">DAYS360(INDIRECT(C69&amp;ROW()),TODAY())</f>
        <v>966</v>
      </c>
      <c r="M49" s="11">
        <f ca="1">HYPERLINK(CONCATENATE("https://bugzilla.houston.hp.com:1181/bugzilla/show_bug.cgi?id=",INDIRECT(C70&amp;ROW())),INDIRECT(C70&amp;ROW()))</f>
        <v>49170</v>
      </c>
      <c r="N49">
        <v>49170</v>
      </c>
      <c r="O49" t="s">
        <v>53</v>
      </c>
      <c r="P49" t="s">
        <v>697</v>
      </c>
      <c r="Q49" t="s">
        <v>39</v>
      </c>
      <c r="R49" t="s">
        <v>251</v>
      </c>
      <c r="S49" t="s">
        <v>53</v>
      </c>
      <c r="U49" s="6">
        <v>42155.948854166665</v>
      </c>
      <c r="V49" t="s">
        <v>18</v>
      </c>
      <c r="W49" t="s">
        <v>17</v>
      </c>
      <c r="X49" s="6">
        <v>41877.706018518518</v>
      </c>
      <c r="Y49" t="s">
        <v>793</v>
      </c>
      <c r="AB49" t="s">
        <v>201</v>
      </c>
      <c r="AC49" t="s">
        <v>121</v>
      </c>
      <c r="AD49" t="s">
        <v>220</v>
      </c>
      <c r="AE49" t="s">
        <v>219</v>
      </c>
      <c r="AG49" t="s">
        <v>121</v>
      </c>
      <c r="AH49" t="s">
        <v>327</v>
      </c>
      <c r="AI49" t="s">
        <v>121</v>
      </c>
      <c r="AJ49" t="s">
        <v>715</v>
      </c>
      <c r="AK49" t="s">
        <v>121</v>
      </c>
    </row>
    <row r="50" spans="2:37" x14ac:dyDescent="0.3">
      <c r="C50" s="1">
        <f ca="1">SUM(C49,C41)</f>
        <v>108</v>
      </c>
      <c r="I50">
        <f ca="1">IF(OR(INDIRECT(A73&amp;ROW())=B93,INDIRECT(A73&amp;ROW())=B94),1,IF(AND(INDIRECT(A73&amp;ROW())=B95,INDIRECT(A96&amp;ROW())=C93),1,IF(AND(INDIRECT(A73&amp;ROW())=B95,INDIRECT(A96&amp;ROW())=C94),1,0)))</f>
        <v>0</v>
      </c>
      <c r="J50">
        <f ca="1">IF(AND(INDIRECT(A73&amp;ROW())=B95,INDIRECT(A96&amp;ROW())=C95),1,IF(AND(INDIRECT(A73&amp;ROW())=B95,INDIRECT(A96&amp;ROW())=C96),1,0))</f>
        <v>0</v>
      </c>
      <c r="K50">
        <f ca="1">DAYS360(INDIRECT(C68&amp;ROW()),TODAY())</f>
        <v>728</v>
      </c>
      <c r="L50">
        <f ca="1">DAYS360(INDIRECT(C69&amp;ROW()),TODAY())</f>
        <v>965</v>
      </c>
      <c r="M50" s="11">
        <f ca="1">HYPERLINK(CONCATENATE("https://bugzilla.houston.hp.com:1181/bugzilla/show_bug.cgi?id=",INDIRECT(C70&amp;ROW())),INDIRECT(C70&amp;ROW()))</f>
        <v>49234</v>
      </c>
      <c r="N50">
        <v>49234</v>
      </c>
      <c r="O50" t="s">
        <v>56</v>
      </c>
      <c r="P50" t="s">
        <v>696</v>
      </c>
      <c r="Q50" t="s">
        <v>16</v>
      </c>
      <c r="R50" t="s">
        <v>251</v>
      </c>
      <c r="S50" t="s">
        <v>68</v>
      </c>
      <c r="U50" s="6">
        <v>42118.559942129628</v>
      </c>
      <c r="V50" t="s">
        <v>18</v>
      </c>
      <c r="W50" t="s">
        <v>17</v>
      </c>
      <c r="X50" s="6">
        <v>41878.6874537037</v>
      </c>
      <c r="Y50" t="s">
        <v>122</v>
      </c>
      <c r="AB50" t="s">
        <v>201</v>
      </c>
      <c r="AC50" t="s">
        <v>121</v>
      </c>
      <c r="AD50" t="s">
        <v>220</v>
      </c>
      <c r="AE50" t="s">
        <v>219</v>
      </c>
      <c r="AG50" t="s">
        <v>121</v>
      </c>
      <c r="AH50" t="s">
        <v>327</v>
      </c>
      <c r="AI50" t="s">
        <v>121</v>
      </c>
      <c r="AJ50" t="s">
        <v>717</v>
      </c>
      <c r="AK50" t="s">
        <v>121</v>
      </c>
    </row>
    <row r="51" spans="2:37" x14ac:dyDescent="0.3">
      <c r="I51">
        <f ca="1">IF(OR(INDIRECT(A73&amp;ROW())=B93,INDIRECT(A73&amp;ROW())=B94),1,IF(AND(INDIRECT(A73&amp;ROW())=B95,INDIRECT(A96&amp;ROW())=C93),1,IF(AND(INDIRECT(A73&amp;ROW())=B95,INDIRECT(A96&amp;ROW())=C94),1,0)))</f>
        <v>0</v>
      </c>
      <c r="J51">
        <f ca="1">IF(AND(INDIRECT(A73&amp;ROW())=B95,INDIRECT(A96&amp;ROW())=C95),1,IF(AND(INDIRECT(A73&amp;ROW())=B95,INDIRECT(A96&amp;ROW())=C96),1,0))</f>
        <v>0</v>
      </c>
      <c r="K51">
        <f ca="1">DAYS360(INDIRECT(C68&amp;ROW()),TODAY())</f>
        <v>721</v>
      </c>
      <c r="L51">
        <f ca="1">DAYS360(INDIRECT(C69&amp;ROW()),TODAY())</f>
        <v>964</v>
      </c>
      <c r="M51" s="11">
        <f ca="1">HYPERLINK(CONCATENATE("https://bugzilla.houston.hp.com:1181/bugzilla/show_bug.cgi?id=",INDIRECT(C70&amp;ROW())),INDIRECT(C70&amp;ROW()))</f>
        <v>49291</v>
      </c>
      <c r="N51">
        <v>49291</v>
      </c>
      <c r="O51" t="s">
        <v>88</v>
      </c>
      <c r="P51" t="s">
        <v>443</v>
      </c>
      <c r="Q51" t="s">
        <v>16</v>
      </c>
      <c r="R51" t="s">
        <v>251</v>
      </c>
      <c r="S51" t="s">
        <v>294</v>
      </c>
      <c r="U51" s="6">
        <v>42125.445208333331</v>
      </c>
      <c r="V51" t="s">
        <v>18</v>
      </c>
      <c r="W51" t="s">
        <v>17</v>
      </c>
      <c r="X51" s="6">
        <v>41879.510150462964</v>
      </c>
      <c r="Y51" t="s">
        <v>122</v>
      </c>
      <c r="AB51" t="s">
        <v>200</v>
      </c>
      <c r="AC51" t="s">
        <v>121</v>
      </c>
      <c r="AD51" t="s">
        <v>222</v>
      </c>
      <c r="AE51" t="s">
        <v>221</v>
      </c>
      <c r="AG51" t="s">
        <v>121</v>
      </c>
      <c r="AH51" t="s">
        <v>64</v>
      </c>
      <c r="AI51" t="s">
        <v>121</v>
      </c>
      <c r="AJ51" t="s">
        <v>716</v>
      </c>
      <c r="AK51" t="s">
        <v>121</v>
      </c>
    </row>
    <row r="52" spans="2:37" x14ac:dyDescent="0.3">
      <c r="B52" t="s">
        <v>93</v>
      </c>
      <c r="E52" t="s">
        <v>92</v>
      </c>
      <c r="I52">
        <f ca="1">IF(OR(INDIRECT(A73&amp;ROW())=B93,INDIRECT(A73&amp;ROW())=B94),1,IF(AND(INDIRECT(A73&amp;ROW())=B95,INDIRECT(A96&amp;ROW())=C93),1,IF(AND(INDIRECT(A73&amp;ROW())=B95,INDIRECT(A96&amp;ROW())=C94),1,0)))</f>
        <v>0</v>
      </c>
      <c r="J52">
        <f ca="1">IF(AND(INDIRECT(A73&amp;ROW())=B95,INDIRECT(A96&amp;ROW())=C95),1,IF(AND(INDIRECT(A73&amp;ROW())=B95,INDIRECT(A96&amp;ROW())=C96),1,0))</f>
        <v>0</v>
      </c>
      <c r="K52">
        <f ca="1">DAYS360(INDIRECT(C68&amp;ROW()),TODAY())</f>
        <v>721</v>
      </c>
      <c r="L52">
        <f ca="1">DAYS360(INDIRECT(C69&amp;ROW()),TODAY())</f>
        <v>964</v>
      </c>
      <c r="M52" s="11">
        <f ca="1">HYPERLINK(CONCATENATE("https://bugzilla.houston.hp.com:1181/bugzilla/show_bug.cgi?id=",INDIRECT(C70&amp;ROW())),INDIRECT(C70&amp;ROW()))</f>
        <v>49317</v>
      </c>
      <c r="N52">
        <v>49317</v>
      </c>
      <c r="O52" t="s">
        <v>22</v>
      </c>
      <c r="P52" t="s">
        <v>442</v>
      </c>
      <c r="Q52" t="s">
        <v>16</v>
      </c>
      <c r="R52" t="s">
        <v>251</v>
      </c>
      <c r="S52" t="s">
        <v>65</v>
      </c>
      <c r="U52" s="6">
        <v>42125.4452662037</v>
      </c>
      <c r="V52" t="s">
        <v>18</v>
      </c>
      <c r="W52" t="s">
        <v>17</v>
      </c>
      <c r="X52" s="6">
        <v>41879.637557870374</v>
      </c>
      <c r="Y52" t="s">
        <v>122</v>
      </c>
      <c r="AB52" t="s">
        <v>200</v>
      </c>
      <c r="AC52" t="s">
        <v>121</v>
      </c>
      <c r="AD52" t="s">
        <v>220</v>
      </c>
      <c r="AE52" t="s">
        <v>223</v>
      </c>
      <c r="AG52" t="s">
        <v>121</v>
      </c>
      <c r="AH52" t="s">
        <v>64</v>
      </c>
      <c r="AI52" t="s">
        <v>121</v>
      </c>
      <c r="AJ52" t="s">
        <v>716</v>
      </c>
      <c r="AK52" t="s">
        <v>121</v>
      </c>
    </row>
    <row r="53" spans="2:37" x14ac:dyDescent="0.3">
      <c r="B53">
        <f ca="1">COUNTIFS(INDIRECT(A74&amp;A67):INDIRECT(A74&amp;A66),  "&lt;30")</f>
        <v>0</v>
      </c>
      <c r="C53" t="s">
        <v>80</v>
      </c>
      <c r="E53">
        <f ca="1">COUNTIFS(INDIRECT(A75&amp;A67):INDIRECT(A75&amp;A66),  "&lt;30")</f>
        <v>0</v>
      </c>
      <c r="I53">
        <f ca="1">IF(OR(INDIRECT(A73&amp;ROW())=B93,INDIRECT(A73&amp;ROW())=B94),1,IF(AND(INDIRECT(A73&amp;ROW())=B95,INDIRECT(A96&amp;ROW())=C93),1,IF(AND(INDIRECT(A73&amp;ROW())=B95,INDIRECT(A96&amp;ROW())=C94),1,0)))</f>
        <v>0</v>
      </c>
      <c r="J53">
        <f ca="1">IF(AND(INDIRECT(A73&amp;ROW())=B95,INDIRECT(A96&amp;ROW())=C95),1,IF(AND(INDIRECT(A73&amp;ROW())=B95,INDIRECT(A96&amp;ROW())=C96),1,0))</f>
        <v>0</v>
      </c>
      <c r="K53">
        <f ca="1">DAYS360(INDIRECT(C68&amp;ROW()),TODAY())</f>
        <v>721</v>
      </c>
      <c r="L53">
        <f ca="1">DAYS360(INDIRECT(C69&amp;ROW()),TODAY())</f>
        <v>964</v>
      </c>
      <c r="M53" s="11">
        <f ca="1">HYPERLINK(CONCATENATE("https://bugzilla.houston.hp.com:1181/bugzilla/show_bug.cgi?id=",INDIRECT(C70&amp;ROW())),INDIRECT(C70&amp;ROW()))</f>
        <v>49327</v>
      </c>
      <c r="N53">
        <v>49327</v>
      </c>
      <c r="O53" t="s">
        <v>49</v>
      </c>
      <c r="P53" t="s">
        <v>441</v>
      </c>
      <c r="Q53" t="s">
        <v>16</v>
      </c>
      <c r="R53" t="s">
        <v>251</v>
      </c>
      <c r="S53" t="s">
        <v>294</v>
      </c>
      <c r="U53" s="6">
        <v>42125.445185185185</v>
      </c>
      <c r="V53" t="s">
        <v>18</v>
      </c>
      <c r="W53" t="s">
        <v>17</v>
      </c>
      <c r="X53" s="6">
        <v>41879.789236111108</v>
      </c>
      <c r="Y53" t="s">
        <v>122</v>
      </c>
      <c r="AB53" t="s">
        <v>200</v>
      </c>
      <c r="AC53" t="s">
        <v>121</v>
      </c>
      <c r="AD53" t="s">
        <v>222</v>
      </c>
      <c r="AE53" t="s">
        <v>221</v>
      </c>
      <c r="AG53" t="s">
        <v>121</v>
      </c>
      <c r="AH53" t="s">
        <v>64</v>
      </c>
      <c r="AI53" t="s">
        <v>121</v>
      </c>
      <c r="AJ53" t="s">
        <v>716</v>
      </c>
      <c r="AK53" t="s">
        <v>121</v>
      </c>
    </row>
    <row r="54" spans="2:37" x14ac:dyDescent="0.3">
      <c r="B54">
        <f ca="1">COUNTIFS(INDIRECT(A74&amp;A67):INDIRECT(A74&amp;A66),  "&gt;=30", INDIRECT(A74&amp;A67):INDIRECT(A74&amp;A66),"&lt;60")</f>
        <v>0</v>
      </c>
      <c r="C54" t="s">
        <v>81</v>
      </c>
      <c r="E54">
        <f ca="1">COUNTIFS(INDIRECT(A75&amp;A67):INDIRECT(A75&amp;A66),  "&gt;=30", INDIRECT(A75&amp;A67):INDIRECT(A75&amp;A66),"&lt;60")</f>
        <v>0</v>
      </c>
      <c r="I54">
        <f ca="1">IF(OR(INDIRECT(A73&amp;ROW())=B93,INDIRECT(A73&amp;ROW())=B94),1,IF(AND(INDIRECT(A73&amp;ROW())=B95,INDIRECT(A96&amp;ROW())=C93),1,IF(AND(INDIRECT(A73&amp;ROW())=B95,INDIRECT(A96&amp;ROW())=C94),1,0)))</f>
        <v>0</v>
      </c>
      <c r="J54">
        <f ca="1">IF(AND(INDIRECT(A73&amp;ROW())=B95,INDIRECT(A96&amp;ROW())=C95),1,IF(AND(INDIRECT(A73&amp;ROW())=B95,INDIRECT(A96&amp;ROW())=C96),1,0))</f>
        <v>0</v>
      </c>
      <c r="K54">
        <f ca="1">DAYS360(INDIRECT(C68&amp;ROW()),TODAY())</f>
        <v>721</v>
      </c>
      <c r="L54">
        <f ca="1">DAYS360(INDIRECT(C69&amp;ROW()),TODAY())</f>
        <v>964</v>
      </c>
      <c r="M54" s="11">
        <f ca="1">HYPERLINK(CONCATENATE("https://bugzilla.houston.hp.com:1181/bugzilla/show_bug.cgi?id=",INDIRECT(C70&amp;ROW())),INDIRECT(C70&amp;ROW()))</f>
        <v>49328</v>
      </c>
      <c r="N54">
        <v>49328</v>
      </c>
      <c r="O54" t="s">
        <v>49</v>
      </c>
      <c r="P54" t="s">
        <v>440</v>
      </c>
      <c r="Q54" t="s">
        <v>16</v>
      </c>
      <c r="R54" t="s">
        <v>251</v>
      </c>
      <c r="S54" t="s">
        <v>294</v>
      </c>
      <c r="U54" s="6">
        <v>42125.445104166669</v>
      </c>
      <c r="V54" t="s">
        <v>35</v>
      </c>
      <c r="W54" t="s">
        <v>17</v>
      </c>
      <c r="X54" s="6">
        <v>41879.801539351851</v>
      </c>
      <c r="Y54" t="s">
        <v>122</v>
      </c>
      <c r="AB54" t="s">
        <v>200</v>
      </c>
      <c r="AC54" t="s">
        <v>121</v>
      </c>
      <c r="AD54" t="s">
        <v>222</v>
      </c>
      <c r="AE54" t="s">
        <v>221</v>
      </c>
      <c r="AG54" t="s">
        <v>121</v>
      </c>
      <c r="AH54" t="s">
        <v>64</v>
      </c>
      <c r="AI54" t="s">
        <v>121</v>
      </c>
      <c r="AJ54" t="s">
        <v>716</v>
      </c>
      <c r="AK54" t="s">
        <v>121</v>
      </c>
    </row>
    <row r="55" spans="2:37" x14ac:dyDescent="0.3">
      <c r="B55">
        <f ca="1">COUNTIFS(INDIRECT(A74&amp;A67):INDIRECT(A74&amp;A66),  "&gt;=60", INDIRECT(A74&amp;A67):INDIRECT(A74&amp;A66),"&lt;90")</f>
        <v>0</v>
      </c>
      <c r="C55" t="s">
        <v>82</v>
      </c>
      <c r="E55">
        <f ca="1">COUNTIFS(INDIRECT(A75&amp;A67):INDIRECT(A75&amp;A66),  "&gt;=60", INDIRECT(A75&amp;A67):INDIRECT(A75&amp;A66),"&lt;90")</f>
        <v>0</v>
      </c>
      <c r="I55">
        <f ca="1">IF(OR(INDIRECT(A73&amp;ROW())=B93,INDIRECT(A73&amp;ROW())=B94),1,IF(AND(INDIRECT(A73&amp;ROW())=B95,INDIRECT(A96&amp;ROW())=C93),1,IF(AND(INDIRECT(A73&amp;ROW())=B95,INDIRECT(A96&amp;ROW())=C94),1,0)))</f>
        <v>0</v>
      </c>
      <c r="J55">
        <f ca="1">IF(AND(INDIRECT(A73&amp;ROW())=B95,INDIRECT(A96&amp;ROW())=C95),1,IF(AND(INDIRECT(A73&amp;ROW())=B95,INDIRECT(A96&amp;ROW())=C96),1,0))</f>
        <v>0</v>
      </c>
      <c r="K55">
        <f ca="1">DAYS360(INDIRECT(C68&amp;ROW()),TODAY())</f>
        <v>721</v>
      </c>
      <c r="L55">
        <f ca="1">DAYS360(INDIRECT(C69&amp;ROW()),TODAY())</f>
        <v>964</v>
      </c>
      <c r="M55" s="11">
        <f ca="1">HYPERLINK(CONCATENATE("https://bugzilla.houston.hp.com:1181/bugzilla/show_bug.cgi?id=",INDIRECT(C70&amp;ROW())),INDIRECT(C70&amp;ROW()))</f>
        <v>49329</v>
      </c>
      <c r="N55">
        <v>49329</v>
      </c>
      <c r="O55" t="s">
        <v>49</v>
      </c>
      <c r="P55" t="s">
        <v>439</v>
      </c>
      <c r="Q55" t="s">
        <v>16</v>
      </c>
      <c r="R55" t="s">
        <v>251</v>
      </c>
      <c r="S55" t="s">
        <v>294</v>
      </c>
      <c r="U55" s="6">
        <v>42125.445243055554</v>
      </c>
      <c r="V55" t="s">
        <v>40</v>
      </c>
      <c r="W55" t="s">
        <v>17</v>
      </c>
      <c r="X55" s="6">
        <v>41879.824189814812</v>
      </c>
      <c r="Y55" t="s">
        <v>122</v>
      </c>
      <c r="AB55" t="s">
        <v>200</v>
      </c>
      <c r="AC55" t="s">
        <v>121</v>
      </c>
      <c r="AD55" t="s">
        <v>222</v>
      </c>
      <c r="AE55" t="s">
        <v>221</v>
      </c>
      <c r="AG55" t="s">
        <v>121</v>
      </c>
      <c r="AH55" t="s">
        <v>327</v>
      </c>
      <c r="AI55" t="s">
        <v>121</v>
      </c>
      <c r="AJ55" t="s">
        <v>716</v>
      </c>
      <c r="AK55" t="s">
        <v>121</v>
      </c>
    </row>
    <row r="56" spans="2:37" x14ac:dyDescent="0.3">
      <c r="B56">
        <f ca="1">COUNTIFS(INDIRECT(A74&amp;A67):INDIRECT(A74&amp;A66),  "&gt;=90", INDIRECT(A74&amp;A67):INDIRECT(A74&amp;A66),"&lt;120")</f>
        <v>0</v>
      </c>
      <c r="C56" t="s">
        <v>83</v>
      </c>
      <c r="E56">
        <f ca="1">COUNTIFS(INDIRECT(A75&amp;A67):INDIRECT(A75&amp;A66),  "&gt;=90", INDIRECT(A75&amp;A67):INDIRECT(A75&amp;A66),"&lt;120")</f>
        <v>0</v>
      </c>
      <c r="I56">
        <f ca="1">IF(OR(INDIRECT(A73&amp;ROW())=B93,INDIRECT(A73&amp;ROW())=B94),1,IF(AND(INDIRECT(A73&amp;ROW())=B95,INDIRECT(A96&amp;ROW())=C93),1,IF(AND(INDIRECT(A73&amp;ROW())=B95,INDIRECT(A96&amp;ROW())=C94),1,0)))</f>
        <v>0</v>
      </c>
      <c r="J56">
        <f ca="1">IF(AND(INDIRECT(A73&amp;ROW())=B95,INDIRECT(A96&amp;ROW())=C95),1,IF(AND(INDIRECT(A73&amp;ROW())=B95,INDIRECT(A96&amp;ROW())=C96),1,0))</f>
        <v>0</v>
      </c>
      <c r="K56">
        <f ca="1">DAYS360(INDIRECT(C68&amp;ROW()),TODAY())</f>
        <v>721</v>
      </c>
      <c r="L56">
        <f ca="1">DAYS360(INDIRECT(C69&amp;ROW()),TODAY())</f>
        <v>964</v>
      </c>
      <c r="M56" s="11">
        <f ca="1">HYPERLINK(CONCATENATE("https://bugzilla.houston.hp.com:1181/bugzilla/show_bug.cgi?id=",INDIRECT(C70&amp;ROW())),INDIRECT(C70&amp;ROW()))</f>
        <v>49330</v>
      </c>
      <c r="N56">
        <v>49330</v>
      </c>
      <c r="O56" t="s">
        <v>49</v>
      </c>
      <c r="P56" t="s">
        <v>438</v>
      </c>
      <c r="Q56" t="s">
        <v>16</v>
      </c>
      <c r="R56" t="s">
        <v>251</v>
      </c>
      <c r="S56" t="s">
        <v>294</v>
      </c>
      <c r="U56" s="6">
        <v>42125.445231481484</v>
      </c>
      <c r="V56" t="s">
        <v>18</v>
      </c>
      <c r="W56" t="s">
        <v>17</v>
      </c>
      <c r="X56" s="6">
        <v>41879.830439814818</v>
      </c>
      <c r="Y56" t="s">
        <v>122</v>
      </c>
      <c r="AB56" t="s">
        <v>200</v>
      </c>
      <c r="AC56" t="s">
        <v>121</v>
      </c>
      <c r="AD56" t="s">
        <v>222</v>
      </c>
      <c r="AE56" t="s">
        <v>221</v>
      </c>
      <c r="AG56" t="s">
        <v>121</v>
      </c>
      <c r="AH56" t="s">
        <v>327</v>
      </c>
      <c r="AI56" t="s">
        <v>121</v>
      </c>
      <c r="AJ56" t="s">
        <v>716</v>
      </c>
      <c r="AK56" t="s">
        <v>121</v>
      </c>
    </row>
    <row r="57" spans="2:37" x14ac:dyDescent="0.3">
      <c r="B57">
        <f ca="1">COUNTIFS(INDIRECT(A74&amp;A67):INDIRECT(A74&amp;A66),  "&gt;=120", INDIRECT(A74&amp;A67):INDIRECT(A74&amp;A66),"&lt;150")</f>
        <v>0</v>
      </c>
      <c r="C57" t="s">
        <v>84</v>
      </c>
      <c r="E57">
        <f ca="1">COUNTIFS(INDIRECT(A75&amp;A67):INDIRECT(A75&amp;A66),  "&gt;=120", INDIRECT(A75&amp;A67):INDIRECT(A75&amp;A66),"&lt;150")</f>
        <v>0</v>
      </c>
      <c r="I57">
        <f ca="1">IF(OR(INDIRECT(A73&amp;ROW())=B93,INDIRECT(A73&amp;ROW())=B94),1,IF(AND(INDIRECT(A73&amp;ROW())=B95,INDIRECT(A96&amp;ROW())=C93),1,IF(AND(INDIRECT(A73&amp;ROW())=B95,INDIRECT(A96&amp;ROW())=C94),1,0)))</f>
        <v>0</v>
      </c>
      <c r="J57">
        <f ca="1">IF(AND(INDIRECT(A73&amp;ROW())=B95,INDIRECT(A96&amp;ROW())=C95),1,IF(AND(INDIRECT(A73&amp;ROW())=B95,INDIRECT(A96&amp;ROW())=C96),1,0))</f>
        <v>0</v>
      </c>
      <c r="K57">
        <f ca="1">DAYS360(INDIRECT(C68&amp;ROW()),TODAY())</f>
        <v>721</v>
      </c>
      <c r="L57">
        <f ca="1">DAYS360(INDIRECT(C69&amp;ROW()),TODAY())</f>
        <v>964</v>
      </c>
      <c r="M57" s="11">
        <f ca="1">HYPERLINK(CONCATENATE("https://bugzilla.houston.hp.com:1181/bugzilla/show_bug.cgi?id=",INDIRECT(C70&amp;ROW())),INDIRECT(C70&amp;ROW()))</f>
        <v>49332</v>
      </c>
      <c r="N57">
        <v>49332</v>
      </c>
      <c r="O57" t="s">
        <v>49</v>
      </c>
      <c r="P57" t="s">
        <v>437</v>
      </c>
      <c r="Q57" t="s">
        <v>16</v>
      </c>
      <c r="R57" t="s">
        <v>251</v>
      </c>
      <c r="S57" t="s">
        <v>294</v>
      </c>
      <c r="U57" s="6">
        <v>42125.445173611108</v>
      </c>
      <c r="V57" t="s">
        <v>18</v>
      </c>
      <c r="W57" t="s">
        <v>17</v>
      </c>
      <c r="X57" s="6">
        <v>41879.843773148146</v>
      </c>
      <c r="Y57" t="s">
        <v>122</v>
      </c>
      <c r="AB57" t="s">
        <v>200</v>
      </c>
      <c r="AC57" t="s">
        <v>121</v>
      </c>
      <c r="AD57" t="s">
        <v>222</v>
      </c>
      <c r="AE57" t="s">
        <v>221</v>
      </c>
      <c r="AG57" t="s">
        <v>121</v>
      </c>
      <c r="AH57" t="s">
        <v>327</v>
      </c>
      <c r="AI57" t="s">
        <v>121</v>
      </c>
      <c r="AJ57" t="s">
        <v>716</v>
      </c>
      <c r="AK57" t="s">
        <v>121</v>
      </c>
    </row>
    <row r="58" spans="2:37" x14ac:dyDescent="0.3">
      <c r="B58">
        <f ca="1">COUNTIFS(INDIRECT(A74&amp;A67):INDIRECT(A74&amp;A66),  "&gt;=150")</f>
        <v>657</v>
      </c>
      <c r="C58" t="s">
        <v>85</v>
      </c>
      <c r="E58">
        <f ca="1">COUNTIFS(INDIRECT(A75&amp;A67):INDIRECT(A75&amp;A66),  "&gt;=150")</f>
        <v>657</v>
      </c>
      <c r="I58">
        <f ca="1">IF(OR(INDIRECT(A73&amp;ROW())=B93,INDIRECT(A73&amp;ROW())=B94),1,IF(AND(INDIRECT(A73&amp;ROW())=B95,INDIRECT(A96&amp;ROW())=C93),1,IF(AND(INDIRECT(A73&amp;ROW())=B95,INDIRECT(A96&amp;ROW())=C94),1,0)))</f>
        <v>0</v>
      </c>
      <c r="J58">
        <f ca="1">IF(AND(INDIRECT(A73&amp;ROW())=B95,INDIRECT(A96&amp;ROW())=C95),1,IF(AND(INDIRECT(A73&amp;ROW())=B95,INDIRECT(A96&amp;ROW())=C96),1,0))</f>
        <v>0</v>
      </c>
      <c r="K58">
        <f ca="1">DAYS360(INDIRECT(C68&amp;ROW()),TODAY())</f>
        <v>721</v>
      </c>
      <c r="L58">
        <f ca="1">DAYS360(INDIRECT(C69&amp;ROW()),TODAY())</f>
        <v>961</v>
      </c>
      <c r="M58" s="11">
        <f ca="1">HYPERLINK(CONCATENATE("https://bugzilla.houston.hp.com:1181/bugzilla/show_bug.cgi?id=",INDIRECT(C70&amp;ROW())),INDIRECT(C70&amp;ROW()))</f>
        <v>49412</v>
      </c>
      <c r="N58">
        <v>49412</v>
      </c>
      <c r="O58" t="s">
        <v>53</v>
      </c>
      <c r="P58" t="s">
        <v>695</v>
      </c>
      <c r="Q58" t="s">
        <v>16</v>
      </c>
      <c r="R58" t="s">
        <v>251</v>
      </c>
      <c r="S58" t="s">
        <v>43</v>
      </c>
      <c r="U58" s="6">
        <v>42125.445277777777</v>
      </c>
      <c r="V58" t="s">
        <v>18</v>
      </c>
      <c r="W58" t="s">
        <v>17</v>
      </c>
      <c r="X58" s="6">
        <v>41883.474710648145</v>
      </c>
      <c r="Y58" t="s">
        <v>122</v>
      </c>
      <c r="AB58" t="s">
        <v>200</v>
      </c>
      <c r="AC58" t="s">
        <v>121</v>
      </c>
      <c r="AD58" t="s">
        <v>220</v>
      </c>
      <c r="AE58" t="s">
        <v>219</v>
      </c>
      <c r="AG58" t="s">
        <v>121</v>
      </c>
      <c r="AH58" t="s">
        <v>327</v>
      </c>
      <c r="AI58" t="s">
        <v>121</v>
      </c>
      <c r="AJ58" t="s">
        <v>716</v>
      </c>
      <c r="AK58" t="s">
        <v>121</v>
      </c>
    </row>
    <row r="59" spans="2:37" x14ac:dyDescent="0.3">
      <c r="B59">
        <f ca="1">SUM(B53:B58)</f>
        <v>657</v>
      </c>
      <c r="E59">
        <f ca="1">SUM(E53:E58)</f>
        <v>657</v>
      </c>
      <c r="I59">
        <f ca="1">IF(OR(INDIRECT(A73&amp;ROW())=B93,INDIRECT(A73&amp;ROW())=B94),1,IF(AND(INDIRECT(A73&amp;ROW())=B95,INDIRECT(A96&amp;ROW())=C93),1,IF(AND(INDIRECT(A73&amp;ROW())=B95,INDIRECT(A96&amp;ROW())=C94),1,0)))</f>
        <v>0</v>
      </c>
      <c r="J59">
        <f ca="1">IF(AND(INDIRECT(A73&amp;ROW())=B95,INDIRECT(A96&amp;ROW())=C95),1,IF(AND(INDIRECT(A73&amp;ROW())=B95,INDIRECT(A96&amp;ROW())=C96),1,0))</f>
        <v>0</v>
      </c>
      <c r="K59">
        <f ca="1">DAYS360(INDIRECT(C68&amp;ROW()),TODAY())</f>
        <v>721</v>
      </c>
      <c r="L59">
        <f ca="1">DAYS360(INDIRECT(C69&amp;ROW()),TODAY())</f>
        <v>959</v>
      </c>
      <c r="M59" s="11">
        <f ca="1">HYPERLINK(CONCATENATE("https://bugzilla.houston.hp.com:1181/bugzilla/show_bug.cgi?id=",INDIRECT(C70&amp;ROW())),INDIRECT(C70&amp;ROW()))</f>
        <v>49537</v>
      </c>
      <c r="N59">
        <v>49537</v>
      </c>
      <c r="O59" t="s">
        <v>22</v>
      </c>
      <c r="P59" t="s">
        <v>694</v>
      </c>
      <c r="Q59" t="s">
        <v>16</v>
      </c>
      <c r="R59" t="s">
        <v>251</v>
      </c>
      <c r="S59" t="s">
        <v>21</v>
      </c>
      <c r="U59" s="6">
        <v>42125.445138888892</v>
      </c>
      <c r="V59" t="s">
        <v>18</v>
      </c>
      <c r="W59" t="s">
        <v>17</v>
      </c>
      <c r="X59" s="6">
        <v>41885.440613425926</v>
      </c>
      <c r="Y59" t="s">
        <v>122</v>
      </c>
      <c r="AB59" t="s">
        <v>200</v>
      </c>
      <c r="AC59" t="s">
        <v>121</v>
      </c>
      <c r="AD59" t="s">
        <v>227</v>
      </c>
      <c r="AE59" t="s">
        <v>226</v>
      </c>
      <c r="AG59" t="s">
        <v>121</v>
      </c>
      <c r="AH59" t="s">
        <v>64</v>
      </c>
      <c r="AI59" t="s">
        <v>121</v>
      </c>
      <c r="AJ59" t="s">
        <v>716</v>
      </c>
      <c r="AK59" t="s">
        <v>121</v>
      </c>
    </row>
    <row r="60" spans="2:37" x14ac:dyDescent="0.3">
      <c r="I60">
        <f ca="1">IF(OR(INDIRECT(A73&amp;ROW())=B93,INDIRECT(A73&amp;ROW())=B94),1,IF(AND(INDIRECT(A73&amp;ROW())=B95,INDIRECT(A96&amp;ROW())=C93),1,IF(AND(INDIRECT(A73&amp;ROW())=B95,INDIRECT(A96&amp;ROW())=C94),1,0)))</f>
        <v>0</v>
      </c>
      <c r="J60">
        <f ca="1">IF(AND(INDIRECT(A73&amp;ROW())=B95,INDIRECT(A96&amp;ROW())=C95),1,IF(AND(INDIRECT(A73&amp;ROW())=B95,INDIRECT(A96&amp;ROW())=C96),1,0))</f>
        <v>0</v>
      </c>
      <c r="K60">
        <f ca="1">DAYS360(INDIRECT(C68&amp;ROW()),TODAY())</f>
        <v>721</v>
      </c>
      <c r="L60">
        <f ca="1">DAYS360(INDIRECT(C69&amp;ROW()),TODAY())</f>
        <v>954</v>
      </c>
      <c r="M60" s="11">
        <f ca="1">HYPERLINK(CONCATENATE("https://bugzilla.houston.hp.com:1181/bugzilla/show_bug.cgi?id=",INDIRECT(C70&amp;ROW())),INDIRECT(C70&amp;ROW()))</f>
        <v>49712</v>
      </c>
      <c r="N60">
        <v>49712</v>
      </c>
      <c r="O60" t="s">
        <v>88</v>
      </c>
      <c r="P60" t="s">
        <v>693</v>
      </c>
      <c r="Q60" t="s">
        <v>16</v>
      </c>
      <c r="R60" t="s">
        <v>251</v>
      </c>
      <c r="S60" t="s">
        <v>315</v>
      </c>
      <c r="U60" s="6">
        <v>42125.446435185186</v>
      </c>
      <c r="V60" t="s">
        <v>18</v>
      </c>
      <c r="W60" t="s">
        <v>17</v>
      </c>
      <c r="X60" s="6">
        <v>41890.225023148145</v>
      </c>
      <c r="Y60" t="s">
        <v>122</v>
      </c>
      <c r="AA60" t="s">
        <v>184</v>
      </c>
      <c r="AB60" t="s">
        <v>200</v>
      </c>
      <c r="AC60" t="s">
        <v>121</v>
      </c>
      <c r="AD60" t="s">
        <v>220</v>
      </c>
      <c r="AE60" t="s">
        <v>219</v>
      </c>
      <c r="AG60" t="s">
        <v>121</v>
      </c>
      <c r="AH60" t="s">
        <v>64</v>
      </c>
      <c r="AI60" t="s">
        <v>121</v>
      </c>
      <c r="AJ60" t="s">
        <v>716</v>
      </c>
      <c r="AK60" t="s">
        <v>121</v>
      </c>
    </row>
    <row r="61" spans="2:37" x14ac:dyDescent="0.3">
      <c r="B61" s="14">
        <f ca="1">AVERAGE(INDIRECT(A74&amp;A67):INDIRECT(A74&amp;A66))</f>
        <v>729.96042617960427</v>
      </c>
      <c r="C61" t="s">
        <v>91</v>
      </c>
      <c r="E61" s="14">
        <f ca="1">AVERAGE(INDIRECT(A75&amp;A67):INDIRECT(A75&amp;A66))</f>
        <v>813.92541856925413</v>
      </c>
      <c r="I61">
        <f ca="1">IF(OR(INDIRECT(A73&amp;ROW())=B93,INDIRECT(A73&amp;ROW())=B94),1,IF(AND(INDIRECT(A73&amp;ROW())=B95,INDIRECT(A96&amp;ROW())=C93),1,IF(AND(INDIRECT(A73&amp;ROW())=B95,INDIRECT(A96&amp;ROW())=C94),1,0)))</f>
        <v>0</v>
      </c>
      <c r="J61">
        <f ca="1">IF(AND(INDIRECT(A73&amp;ROW())=B95,INDIRECT(A96&amp;ROW())=C95),1,IF(AND(INDIRECT(A73&amp;ROW())=B95,INDIRECT(A96&amp;ROW())=C96),1,0))</f>
        <v>0</v>
      </c>
      <c r="K61">
        <f ca="1">DAYS360(INDIRECT(C68&amp;ROW()),TODAY())</f>
        <v>721</v>
      </c>
      <c r="L61">
        <f ca="1">DAYS360(INDIRECT(C69&amp;ROW()),TODAY())</f>
        <v>954</v>
      </c>
      <c r="M61" s="11">
        <f ca="1">HYPERLINK(CONCATENATE("https://bugzilla.houston.hp.com:1181/bugzilla/show_bug.cgi?id=",INDIRECT(C70&amp;ROW())),INDIRECT(C70&amp;ROW()))</f>
        <v>49732</v>
      </c>
      <c r="N61">
        <v>49732</v>
      </c>
      <c r="O61" t="s">
        <v>45</v>
      </c>
      <c r="P61" t="s">
        <v>474</v>
      </c>
      <c r="Q61" t="s">
        <v>16</v>
      </c>
      <c r="R61" t="s">
        <v>251</v>
      </c>
      <c r="S61" t="s">
        <v>191</v>
      </c>
      <c r="U61" s="6">
        <v>42125.649328703701</v>
      </c>
      <c r="V61" t="s">
        <v>35</v>
      </c>
      <c r="W61" t="s">
        <v>17</v>
      </c>
      <c r="X61" s="6">
        <v>41890.332835648151</v>
      </c>
      <c r="Y61" t="s">
        <v>245</v>
      </c>
      <c r="Z61" t="s">
        <v>245</v>
      </c>
      <c r="AB61" t="s">
        <v>201</v>
      </c>
      <c r="AC61" t="s">
        <v>121</v>
      </c>
      <c r="AD61" t="s">
        <v>227</v>
      </c>
      <c r="AE61" t="s">
        <v>231</v>
      </c>
      <c r="AG61" t="s">
        <v>121</v>
      </c>
      <c r="AH61" t="s">
        <v>327</v>
      </c>
      <c r="AI61" t="s">
        <v>121</v>
      </c>
      <c r="AJ61" t="s">
        <v>717</v>
      </c>
      <c r="AK61" t="s">
        <v>121</v>
      </c>
    </row>
    <row r="62" spans="2:37" x14ac:dyDescent="0.3">
      <c r="I62">
        <f ca="1">IF(OR(INDIRECT(A73&amp;ROW())=B93,INDIRECT(A73&amp;ROW())=B94),1,IF(AND(INDIRECT(A73&amp;ROW())=B95,INDIRECT(A96&amp;ROW())=C93),1,IF(AND(INDIRECT(A73&amp;ROW())=B95,INDIRECT(A96&amp;ROW())=C94),1,0)))</f>
        <v>0</v>
      </c>
      <c r="J62">
        <f ca="1">IF(AND(INDIRECT(A73&amp;ROW())=B95,INDIRECT(A96&amp;ROW())=C95),1,IF(AND(INDIRECT(A73&amp;ROW())=B95,INDIRECT(A96&amp;ROW())=C96),1,0))</f>
        <v>1</v>
      </c>
      <c r="K62">
        <f ca="1">DAYS360(INDIRECT(C68&amp;ROW()),TODAY())</f>
        <v>730</v>
      </c>
      <c r="L62">
        <f ca="1">DAYS360(INDIRECT(C69&amp;ROW()),TODAY())</f>
        <v>954</v>
      </c>
      <c r="M62" s="11">
        <f ca="1">HYPERLINK(CONCATENATE("https://bugzilla.houston.hp.com:1181/bugzilla/show_bug.cgi?id=",INDIRECT(C70&amp;ROW())),INDIRECT(C70&amp;ROW()))</f>
        <v>49740</v>
      </c>
      <c r="N62">
        <v>49740</v>
      </c>
      <c r="O62" t="s">
        <v>56</v>
      </c>
      <c r="P62" t="s">
        <v>473</v>
      </c>
      <c r="Q62" t="s">
        <v>25</v>
      </c>
      <c r="R62" t="s">
        <v>251</v>
      </c>
      <c r="S62" t="s">
        <v>41</v>
      </c>
      <c r="U62" s="6">
        <v>42116.540243055555</v>
      </c>
      <c r="V62" t="s">
        <v>35</v>
      </c>
      <c r="W62" t="s">
        <v>17</v>
      </c>
      <c r="X62" s="6">
        <v>41890.400462962964</v>
      </c>
      <c r="Y62" t="s">
        <v>119</v>
      </c>
      <c r="AB62" t="s">
        <v>201</v>
      </c>
      <c r="AC62" t="s">
        <v>121</v>
      </c>
      <c r="AD62" t="s">
        <v>220</v>
      </c>
      <c r="AE62" t="s">
        <v>219</v>
      </c>
      <c r="AF62" s="13">
        <v>41901</v>
      </c>
      <c r="AG62" t="s">
        <v>121</v>
      </c>
      <c r="AH62" t="s">
        <v>64</v>
      </c>
      <c r="AI62" t="s">
        <v>121</v>
      </c>
      <c r="AJ62" t="s">
        <v>717</v>
      </c>
      <c r="AK62" t="s">
        <v>121</v>
      </c>
    </row>
    <row r="63" spans="2:37" x14ac:dyDescent="0.3">
      <c r="I63">
        <f ca="1">IF(OR(INDIRECT(A73&amp;ROW())=B93,INDIRECT(A73&amp;ROW())=B94),1,IF(AND(INDIRECT(A73&amp;ROW())=B95,INDIRECT(A96&amp;ROW())=C93),1,IF(AND(INDIRECT(A73&amp;ROW())=B95,INDIRECT(A96&amp;ROW())=C94),1,0)))</f>
        <v>0</v>
      </c>
      <c r="J63">
        <f ca="1">IF(AND(INDIRECT(A73&amp;ROW())=B95,INDIRECT(A96&amp;ROW())=C95),1,IF(AND(INDIRECT(A73&amp;ROW())=B95,INDIRECT(A96&amp;ROW())=C96),1,0))</f>
        <v>1</v>
      </c>
      <c r="K63">
        <f ca="1">DAYS360(INDIRECT(C68&amp;ROW()),TODAY())</f>
        <v>728</v>
      </c>
      <c r="L63">
        <f ca="1">DAYS360(INDIRECT(C69&amp;ROW()),TODAY())</f>
        <v>954</v>
      </c>
      <c r="M63" s="11">
        <f ca="1">HYPERLINK(CONCATENATE("https://bugzilla.houston.hp.com:1181/bugzilla/show_bug.cgi?id=",INDIRECT(C70&amp;ROW())),INDIRECT(C70&amp;ROW()))</f>
        <v>49746</v>
      </c>
      <c r="N63">
        <v>49746</v>
      </c>
      <c r="O63" t="s">
        <v>66</v>
      </c>
      <c r="P63" t="s">
        <v>692</v>
      </c>
      <c r="Q63" t="s">
        <v>25</v>
      </c>
      <c r="R63" t="s">
        <v>251</v>
      </c>
      <c r="S63" t="s">
        <v>41</v>
      </c>
      <c r="U63" s="6">
        <v>42118.339166666665</v>
      </c>
      <c r="V63" t="s">
        <v>35</v>
      </c>
      <c r="W63" t="s">
        <v>17</v>
      </c>
      <c r="X63" s="6">
        <v>41890.412164351852</v>
      </c>
      <c r="Y63" t="s">
        <v>119</v>
      </c>
      <c r="AB63" t="s">
        <v>201</v>
      </c>
      <c r="AC63" t="s">
        <v>121</v>
      </c>
      <c r="AD63" t="s">
        <v>220</v>
      </c>
      <c r="AE63" t="s">
        <v>219</v>
      </c>
      <c r="AF63" s="13">
        <v>41901</v>
      </c>
      <c r="AG63" t="s">
        <v>121</v>
      </c>
      <c r="AH63" t="s">
        <v>327</v>
      </c>
      <c r="AI63" t="s">
        <v>121</v>
      </c>
      <c r="AJ63" t="s">
        <v>716</v>
      </c>
      <c r="AK63" t="s">
        <v>121</v>
      </c>
    </row>
    <row r="64" spans="2:37" x14ac:dyDescent="0.3">
      <c r="B64" s="11" t="s">
        <v>175</v>
      </c>
      <c r="I64">
        <f ca="1">IF(OR(INDIRECT(A73&amp;ROW())=B93,INDIRECT(A73&amp;ROW())=B94),1,IF(AND(INDIRECT(A73&amp;ROW())=B95,INDIRECT(A96&amp;ROW())=C93),1,IF(AND(INDIRECT(A73&amp;ROW())=B95,INDIRECT(A96&amp;ROW())=C94),1,0)))</f>
        <v>0</v>
      </c>
      <c r="J64">
        <f ca="1">IF(AND(INDIRECT(A73&amp;ROW())=B95,INDIRECT(A96&amp;ROW())=C95),1,IF(AND(INDIRECT(A73&amp;ROW())=B95,INDIRECT(A96&amp;ROW())=C96),1,0))</f>
        <v>0</v>
      </c>
      <c r="K64">
        <f ca="1">DAYS360(INDIRECT(C68&amp;ROW()),TODAY())</f>
        <v>728</v>
      </c>
      <c r="L64">
        <f ca="1">DAYS360(INDIRECT(C69&amp;ROW()),TODAY())</f>
        <v>951</v>
      </c>
      <c r="M64" s="11">
        <f ca="1">HYPERLINK(CONCATENATE("https://bugzilla.houston.hp.com:1181/bugzilla/show_bug.cgi?id=",INDIRECT(C70&amp;ROW())),INDIRECT(C70&amp;ROW()))</f>
        <v>49957</v>
      </c>
      <c r="N64">
        <v>49957</v>
      </c>
      <c r="O64" t="s">
        <v>56</v>
      </c>
      <c r="P64" t="s">
        <v>436</v>
      </c>
      <c r="Q64" t="s">
        <v>16</v>
      </c>
      <c r="R64" t="s">
        <v>251</v>
      </c>
      <c r="S64" t="s">
        <v>43</v>
      </c>
      <c r="U64" s="6">
        <v>42118.560312499998</v>
      </c>
      <c r="V64" t="s">
        <v>18</v>
      </c>
      <c r="W64" t="s">
        <v>17</v>
      </c>
      <c r="X64" s="6">
        <v>41893.406828703701</v>
      </c>
      <c r="Y64" t="s">
        <v>122</v>
      </c>
      <c r="AB64" t="s">
        <v>201</v>
      </c>
      <c r="AC64" t="s">
        <v>247</v>
      </c>
      <c r="AD64" t="s">
        <v>220</v>
      </c>
      <c r="AE64" t="s">
        <v>219</v>
      </c>
      <c r="AG64" t="s">
        <v>121</v>
      </c>
      <c r="AH64" t="s">
        <v>64</v>
      </c>
      <c r="AI64" t="s">
        <v>121</v>
      </c>
      <c r="AJ64" t="s">
        <v>717</v>
      </c>
      <c r="AK64" t="s">
        <v>121</v>
      </c>
    </row>
    <row r="65" spans="1:37" x14ac:dyDescent="0.3">
      <c r="I65">
        <f ca="1">IF(OR(INDIRECT(A73&amp;ROW())=B93,INDIRECT(A73&amp;ROW())=B94),1,IF(AND(INDIRECT(A73&amp;ROW())=B95,INDIRECT(A96&amp;ROW())=C93),1,IF(AND(INDIRECT(A73&amp;ROW())=B95,INDIRECT(A96&amp;ROW())=C94),1,0)))</f>
        <v>0</v>
      </c>
      <c r="J65">
        <f ca="1">IF(AND(INDIRECT(A73&amp;ROW())=B95,INDIRECT(A96&amp;ROW())=C95),1,IF(AND(INDIRECT(A73&amp;ROW())=B95,INDIRECT(A96&amp;ROW())=C96),1,0))</f>
        <v>0</v>
      </c>
      <c r="K65">
        <f ca="1">DAYS360(INDIRECT(C68&amp;ROW()),TODAY())</f>
        <v>728</v>
      </c>
      <c r="L65">
        <f ca="1">DAYS360(INDIRECT(C69&amp;ROW()),TODAY())</f>
        <v>951</v>
      </c>
      <c r="M65" s="11">
        <f ca="1">HYPERLINK(CONCATENATE("https://bugzilla.houston.hp.com:1181/bugzilla/show_bug.cgi?id=",INDIRECT(C70&amp;ROW())),INDIRECT(C70&amp;ROW()))</f>
        <v>49964</v>
      </c>
      <c r="N65">
        <v>49964</v>
      </c>
      <c r="O65" t="s">
        <v>56</v>
      </c>
      <c r="P65" t="s">
        <v>435</v>
      </c>
      <c r="Q65" t="s">
        <v>16</v>
      </c>
      <c r="R65" t="s">
        <v>251</v>
      </c>
      <c r="S65" t="s">
        <v>43</v>
      </c>
      <c r="U65" s="6">
        <v>42118.559756944444</v>
      </c>
      <c r="V65" t="s">
        <v>18</v>
      </c>
      <c r="W65" t="s">
        <v>17</v>
      </c>
      <c r="X65" s="6">
        <v>41893.488923611112</v>
      </c>
      <c r="Y65" t="s">
        <v>122</v>
      </c>
      <c r="AB65" t="s">
        <v>201</v>
      </c>
      <c r="AC65" t="s">
        <v>247</v>
      </c>
      <c r="AD65" t="s">
        <v>220</v>
      </c>
      <c r="AE65" t="s">
        <v>219</v>
      </c>
      <c r="AG65" t="s">
        <v>121</v>
      </c>
      <c r="AH65" t="s">
        <v>327</v>
      </c>
      <c r="AI65" t="s">
        <v>121</v>
      </c>
      <c r="AJ65" t="s">
        <v>717</v>
      </c>
      <c r="AK65" t="s">
        <v>121</v>
      </c>
    </row>
    <row r="66" spans="1:37" x14ac:dyDescent="0.3">
      <c r="A66">
        <f>COUNTA(P1:P800)</f>
        <v>658</v>
      </c>
      <c r="B66" t="s">
        <v>110</v>
      </c>
      <c r="I66">
        <f ca="1">IF(OR(INDIRECT(A73&amp;ROW())=B93,INDIRECT(A73&amp;ROW())=B94),1,IF(AND(INDIRECT(A73&amp;ROW())=B95,INDIRECT(A96&amp;ROW())=C93),1,IF(AND(INDIRECT(A73&amp;ROW())=B95,INDIRECT(A96&amp;ROW())=C94),1,0)))</f>
        <v>0</v>
      </c>
      <c r="J66">
        <f ca="1">IF(AND(INDIRECT(A73&amp;ROW())=B95,INDIRECT(A96&amp;ROW())=C95),1,IF(AND(INDIRECT(A73&amp;ROW())=B95,INDIRECT(A96&amp;ROW())=C96),1,0))</f>
        <v>0</v>
      </c>
      <c r="K66">
        <f ca="1">DAYS360(INDIRECT(C68&amp;ROW()),TODAY())</f>
        <v>721</v>
      </c>
      <c r="L66">
        <f ca="1">DAYS360(INDIRECT(C69&amp;ROW()),TODAY())</f>
        <v>950</v>
      </c>
      <c r="M66" s="11">
        <f ca="1">HYPERLINK(CONCATENATE("https://bugzilla.houston.hp.com:1181/bugzilla/show_bug.cgi?id=",INDIRECT(C70&amp;ROW())),INDIRECT(C70&amp;ROW()))</f>
        <v>50012</v>
      </c>
      <c r="N66">
        <v>50012</v>
      </c>
      <c r="O66" t="s">
        <v>42</v>
      </c>
      <c r="P66" t="s">
        <v>691</v>
      </c>
      <c r="Q66" t="s">
        <v>16</v>
      </c>
      <c r="R66" t="s">
        <v>251</v>
      </c>
      <c r="S66" t="s">
        <v>68</v>
      </c>
      <c r="U66" s="6">
        <v>42125.446493055555</v>
      </c>
      <c r="V66" t="s">
        <v>35</v>
      </c>
      <c r="W66" t="s">
        <v>17</v>
      </c>
      <c r="X66" s="6">
        <v>41894.224282407406</v>
      </c>
      <c r="Y66" t="s">
        <v>122</v>
      </c>
      <c r="AB66" t="s">
        <v>200</v>
      </c>
      <c r="AC66" t="s">
        <v>247</v>
      </c>
      <c r="AD66" t="s">
        <v>220</v>
      </c>
      <c r="AE66" t="s">
        <v>219</v>
      </c>
      <c r="AF66" s="13">
        <v>41904</v>
      </c>
      <c r="AG66" t="s">
        <v>121</v>
      </c>
      <c r="AH66" t="s">
        <v>64</v>
      </c>
      <c r="AI66" t="s">
        <v>121</v>
      </c>
      <c r="AJ66" t="s">
        <v>716</v>
      </c>
      <c r="AK66" t="s">
        <v>121</v>
      </c>
    </row>
    <row r="67" spans="1:37" x14ac:dyDescent="0.3">
      <c r="A67">
        <v>2</v>
      </c>
      <c r="B67" t="s">
        <v>111</v>
      </c>
      <c r="I67">
        <f ca="1">IF(OR(INDIRECT(A73&amp;ROW())=B93,INDIRECT(A73&amp;ROW())=B94),1,IF(AND(INDIRECT(A73&amp;ROW())=B95,INDIRECT(A96&amp;ROW())=C93),1,IF(AND(INDIRECT(A73&amp;ROW())=B95,INDIRECT(A96&amp;ROW())=C94),1,0)))</f>
        <v>0</v>
      </c>
      <c r="J67">
        <f ca="1">IF(AND(INDIRECT(A73&amp;ROW())=B95,INDIRECT(A96&amp;ROW())=C95),1,IF(AND(INDIRECT(A73&amp;ROW())=B95,INDIRECT(A96&amp;ROW())=C96),1,0))</f>
        <v>0</v>
      </c>
      <c r="K67">
        <f ca="1">DAYS360(INDIRECT(C68&amp;ROW()),TODAY())</f>
        <v>710</v>
      </c>
      <c r="L67">
        <f ca="1">DAYS360(INDIRECT(C69&amp;ROW()),TODAY())</f>
        <v>947</v>
      </c>
      <c r="M67" s="11">
        <f ca="1">HYPERLINK(CONCATENATE("https://bugzilla.houston.hp.com:1181/bugzilla/show_bug.cgi?id=",INDIRECT(C70&amp;ROW())),INDIRECT(C70&amp;ROW()))</f>
        <v>50105</v>
      </c>
      <c r="N67">
        <v>50105</v>
      </c>
      <c r="O67" t="s">
        <v>66</v>
      </c>
      <c r="P67" t="s">
        <v>1052</v>
      </c>
      <c r="Q67" t="s">
        <v>16</v>
      </c>
      <c r="R67" t="s">
        <v>251</v>
      </c>
      <c r="S67" t="s">
        <v>66</v>
      </c>
      <c r="U67" s="6">
        <v>42136.646921296298</v>
      </c>
      <c r="V67" t="s">
        <v>18</v>
      </c>
      <c r="W67" t="s">
        <v>17</v>
      </c>
      <c r="X67" s="6">
        <v>41897.447847222225</v>
      </c>
      <c r="Y67" t="s">
        <v>122</v>
      </c>
      <c r="AB67" t="s">
        <v>201</v>
      </c>
      <c r="AC67" t="s">
        <v>247</v>
      </c>
      <c r="AD67" t="s">
        <v>220</v>
      </c>
      <c r="AE67" t="s">
        <v>290</v>
      </c>
      <c r="AG67" t="s">
        <v>121</v>
      </c>
      <c r="AH67" t="s">
        <v>1029</v>
      </c>
      <c r="AI67" t="s">
        <v>121</v>
      </c>
      <c r="AJ67" t="s">
        <v>717</v>
      </c>
      <c r="AK67" t="s">
        <v>121</v>
      </c>
    </row>
    <row r="68" spans="1:37" x14ac:dyDescent="0.3">
      <c r="A68" t="s">
        <v>112</v>
      </c>
      <c r="B68" t="s">
        <v>103</v>
      </c>
      <c r="C68" t="s">
        <v>97</v>
      </c>
      <c r="D68" t="s">
        <v>276</v>
      </c>
      <c r="I68">
        <f ca="1">IF(OR(INDIRECT(A73&amp;ROW())=B93,INDIRECT(A73&amp;ROW())=B94),1,IF(AND(INDIRECT(A73&amp;ROW())=B95,INDIRECT(A96&amp;ROW())=C93),1,IF(AND(INDIRECT(A73&amp;ROW())=B95,INDIRECT(A96&amp;ROW())=C94),1,0)))</f>
        <v>0</v>
      </c>
      <c r="J68">
        <f ca="1">IF(AND(INDIRECT(A73&amp;ROW())=B95,INDIRECT(A96&amp;ROW())=C95),1,IF(AND(INDIRECT(A73&amp;ROW())=B95,INDIRECT(A96&amp;ROW())=C96),1,0))</f>
        <v>0</v>
      </c>
      <c r="K68">
        <f ca="1">DAYS360(INDIRECT(C68&amp;ROW()),TODAY())</f>
        <v>729</v>
      </c>
      <c r="L68">
        <f ca="1">DAYS360(INDIRECT(C69&amp;ROW()),TODAY())</f>
        <v>946</v>
      </c>
      <c r="M68" s="11">
        <f ca="1">HYPERLINK(CONCATENATE("https://bugzilla.houston.hp.com:1181/bugzilla/show_bug.cgi?id=",INDIRECT(C70&amp;ROW())),INDIRECT(C70&amp;ROW()))</f>
        <v>50187</v>
      </c>
      <c r="N68">
        <v>50187</v>
      </c>
      <c r="O68" t="s">
        <v>56</v>
      </c>
      <c r="P68" t="s">
        <v>690</v>
      </c>
      <c r="Q68" t="s">
        <v>16</v>
      </c>
      <c r="R68" t="s">
        <v>251</v>
      </c>
      <c r="S68" t="s">
        <v>53</v>
      </c>
      <c r="U68" s="6">
        <v>42117.404293981483</v>
      </c>
      <c r="V68" t="s">
        <v>18</v>
      </c>
      <c r="W68" t="s">
        <v>17</v>
      </c>
      <c r="X68" s="6">
        <v>41898.725266203706</v>
      </c>
      <c r="Y68" t="s">
        <v>793</v>
      </c>
      <c r="AB68" t="s">
        <v>199</v>
      </c>
      <c r="AC68" t="s">
        <v>247</v>
      </c>
      <c r="AD68" t="s">
        <v>220</v>
      </c>
      <c r="AE68" t="s">
        <v>219</v>
      </c>
      <c r="AG68" t="s">
        <v>121</v>
      </c>
      <c r="AH68" t="s">
        <v>64</v>
      </c>
      <c r="AI68" t="s">
        <v>121</v>
      </c>
      <c r="AJ68" t="s">
        <v>716</v>
      </c>
      <c r="AK68" t="s">
        <v>121</v>
      </c>
    </row>
    <row r="69" spans="1:37" x14ac:dyDescent="0.3">
      <c r="A69" t="s">
        <v>264</v>
      </c>
      <c r="B69" t="s">
        <v>104</v>
      </c>
      <c r="C69" t="s">
        <v>113</v>
      </c>
      <c r="D69" t="s">
        <v>277</v>
      </c>
      <c r="I69">
        <f ca="1">IF(OR(INDIRECT(A73&amp;ROW())=B93,INDIRECT(A73&amp;ROW())=B94),1,IF(AND(INDIRECT(A73&amp;ROW())=B95,INDIRECT(A96&amp;ROW())=C93),1,IF(AND(INDIRECT(A73&amp;ROW())=B95,INDIRECT(A96&amp;ROW())=C94),1,0)))</f>
        <v>0</v>
      </c>
      <c r="J69">
        <f ca="1">IF(AND(INDIRECT(A73&amp;ROW())=B95,INDIRECT(A96&amp;ROW())=C95),1,IF(AND(INDIRECT(A73&amp;ROW())=B95,INDIRECT(A96&amp;ROW())=C96),1,0))</f>
        <v>0</v>
      </c>
      <c r="K69">
        <f ca="1">DAYS360(INDIRECT(C68&amp;ROW()),TODAY())</f>
        <v>728</v>
      </c>
      <c r="L69">
        <f ca="1">DAYS360(INDIRECT(C69&amp;ROW()),TODAY())</f>
        <v>945</v>
      </c>
      <c r="M69" s="11">
        <f ca="1">HYPERLINK(CONCATENATE("https://bugzilla.houston.hp.com:1181/bugzilla/show_bug.cgi?id=",INDIRECT(C70&amp;ROW())),INDIRECT(C70&amp;ROW()))</f>
        <v>50237</v>
      </c>
      <c r="N69">
        <v>50237</v>
      </c>
      <c r="O69" t="s">
        <v>55</v>
      </c>
      <c r="P69" t="s">
        <v>689</v>
      </c>
      <c r="Q69" t="s">
        <v>16</v>
      </c>
      <c r="R69" t="s">
        <v>251</v>
      </c>
      <c r="S69" t="s">
        <v>55</v>
      </c>
      <c r="U69" s="6">
        <v>42118.560115740744</v>
      </c>
      <c r="V69" t="s">
        <v>18</v>
      </c>
      <c r="W69" t="s">
        <v>17</v>
      </c>
      <c r="X69" s="6">
        <v>41899.478541666664</v>
      </c>
      <c r="Y69" t="s">
        <v>122</v>
      </c>
      <c r="AB69" t="s">
        <v>201</v>
      </c>
      <c r="AC69" t="s">
        <v>247</v>
      </c>
      <c r="AD69" t="s">
        <v>220</v>
      </c>
      <c r="AE69" t="s">
        <v>219</v>
      </c>
      <c r="AG69" t="s">
        <v>121</v>
      </c>
      <c r="AH69" t="s">
        <v>64</v>
      </c>
      <c r="AI69" t="s">
        <v>121</v>
      </c>
      <c r="AJ69" t="s">
        <v>717</v>
      </c>
      <c r="AK69" t="s">
        <v>121</v>
      </c>
    </row>
    <row r="70" spans="1:37" x14ac:dyDescent="0.3">
      <c r="A70" t="s">
        <v>102</v>
      </c>
      <c r="B70" t="s">
        <v>78</v>
      </c>
      <c r="C70" t="s">
        <v>101</v>
      </c>
      <c r="D70" t="s">
        <v>356</v>
      </c>
      <c r="I70">
        <f ca="1">IF(OR(INDIRECT(A73&amp;ROW())=B93,INDIRECT(A73&amp;ROW())=B94),1,IF(AND(INDIRECT(A73&amp;ROW())=B95,INDIRECT(A96&amp;ROW())=C93),1,IF(AND(INDIRECT(A73&amp;ROW())=B95,INDIRECT(A96&amp;ROW())=C94),1,0)))</f>
        <v>0</v>
      </c>
      <c r="J70">
        <f ca="1">IF(AND(INDIRECT(A73&amp;ROW())=B95,INDIRECT(A96&amp;ROW())=C95),1,IF(AND(INDIRECT(A73&amp;ROW())=B95,INDIRECT(A96&amp;ROW())=C96),1,0))</f>
        <v>1</v>
      </c>
      <c r="K70">
        <f ca="1">DAYS360(INDIRECT(C68&amp;ROW()),TODAY())</f>
        <v>714</v>
      </c>
      <c r="L70">
        <f ca="1">DAYS360(INDIRECT(C69&amp;ROW()),TODAY())</f>
        <v>945</v>
      </c>
      <c r="M70" s="11">
        <f ca="1">HYPERLINK(CONCATENATE("https://bugzilla.houston.hp.com:1181/bugzilla/show_bug.cgi?id=",INDIRECT(C70&amp;ROW())),INDIRECT(C70&amp;ROW()))</f>
        <v>50242</v>
      </c>
      <c r="N70">
        <v>50242</v>
      </c>
      <c r="O70" t="s">
        <v>204</v>
      </c>
      <c r="P70" t="s">
        <v>472</v>
      </c>
      <c r="Q70" t="s">
        <v>25</v>
      </c>
      <c r="R70" t="s">
        <v>251</v>
      </c>
      <c r="S70" t="s">
        <v>31</v>
      </c>
      <c r="T70" t="s">
        <v>979</v>
      </c>
      <c r="U70" s="6">
        <v>42132.550069444442</v>
      </c>
      <c r="V70" t="s">
        <v>40</v>
      </c>
      <c r="W70" t="s">
        <v>17</v>
      </c>
      <c r="X70" s="6">
        <v>41899.569421296299</v>
      </c>
      <c r="Y70" t="s">
        <v>119</v>
      </c>
      <c r="AB70" t="s">
        <v>201</v>
      </c>
      <c r="AC70" t="s">
        <v>247</v>
      </c>
      <c r="AD70" t="s">
        <v>222</v>
      </c>
      <c r="AE70" t="s">
        <v>221</v>
      </c>
      <c r="AG70" t="s">
        <v>121</v>
      </c>
      <c r="AH70" t="s">
        <v>64</v>
      </c>
      <c r="AI70" t="s">
        <v>121</v>
      </c>
      <c r="AJ70" t="s">
        <v>716</v>
      </c>
      <c r="AK70" t="s">
        <v>121</v>
      </c>
    </row>
    <row r="71" spans="1:37" x14ac:dyDescent="0.3">
      <c r="A71" t="s">
        <v>348</v>
      </c>
      <c r="B71" t="s">
        <v>105</v>
      </c>
      <c r="I71">
        <f ca="1">IF(OR(INDIRECT(A73&amp;ROW())=B93,INDIRECT(A73&amp;ROW())=B94),1,IF(AND(INDIRECT(A73&amp;ROW())=B95,INDIRECT(A96&amp;ROW())=C93),1,IF(AND(INDIRECT(A73&amp;ROW())=B95,INDIRECT(A96&amp;ROW())=C94),1,0)))</f>
        <v>0</v>
      </c>
      <c r="J71">
        <f ca="1">IF(AND(INDIRECT(A73&amp;ROW())=B95,INDIRECT(A96&amp;ROW())=C95),1,IF(AND(INDIRECT(A73&amp;ROW())=B95,INDIRECT(A96&amp;ROW())=C96),1,0))</f>
        <v>0</v>
      </c>
      <c r="K71">
        <f ca="1">DAYS360(INDIRECT(C68&amp;ROW()),TODAY())</f>
        <v>728</v>
      </c>
      <c r="L71">
        <f ca="1">DAYS360(INDIRECT(C69&amp;ROW()),TODAY())</f>
        <v>940</v>
      </c>
      <c r="M71" s="11">
        <f ca="1">HYPERLINK(CONCATENATE("https://bugzilla.houston.hp.com:1181/bugzilla/show_bug.cgi?id=",INDIRECT(C70&amp;ROW())),INDIRECT(C70&amp;ROW()))</f>
        <v>50432</v>
      </c>
      <c r="N71">
        <v>50432</v>
      </c>
      <c r="O71" t="s">
        <v>56</v>
      </c>
      <c r="P71" t="s">
        <v>688</v>
      </c>
      <c r="Q71" t="s">
        <v>16</v>
      </c>
      <c r="R71" t="s">
        <v>251</v>
      </c>
      <c r="S71" t="s">
        <v>330</v>
      </c>
      <c r="U71" s="6">
        <v>42118.521851851852</v>
      </c>
      <c r="V71" t="s">
        <v>18</v>
      </c>
      <c r="W71" t="s">
        <v>17</v>
      </c>
      <c r="X71" s="6">
        <v>41904.840578703705</v>
      </c>
      <c r="Y71" t="s">
        <v>787</v>
      </c>
      <c r="AB71" t="s">
        <v>201</v>
      </c>
      <c r="AC71" t="s">
        <v>247</v>
      </c>
      <c r="AD71" t="s">
        <v>220</v>
      </c>
      <c r="AE71" t="s">
        <v>219</v>
      </c>
      <c r="AG71" t="s">
        <v>121</v>
      </c>
      <c r="AH71" t="s">
        <v>327</v>
      </c>
      <c r="AI71" t="s">
        <v>121</v>
      </c>
      <c r="AJ71" t="s">
        <v>717</v>
      </c>
      <c r="AK71" t="s">
        <v>121</v>
      </c>
    </row>
    <row r="72" spans="1:37" x14ac:dyDescent="0.3">
      <c r="A72" t="s">
        <v>100</v>
      </c>
      <c r="B72" t="s">
        <v>106</v>
      </c>
      <c r="I72">
        <f ca="1">IF(OR(INDIRECT(A73&amp;ROW())=B93,INDIRECT(A73&amp;ROW())=B94),1,IF(AND(INDIRECT(A73&amp;ROW())=B95,INDIRECT(A96&amp;ROW())=C93),1,IF(AND(INDIRECT(A73&amp;ROW())=B95,INDIRECT(A96&amp;ROW())=C94),1,0)))</f>
        <v>1</v>
      </c>
      <c r="J72">
        <f ca="1">IF(AND(INDIRECT(A73&amp;ROW())=B95,INDIRECT(A96&amp;ROW())=C95),1,IF(AND(INDIRECT(A73&amp;ROW())=B95,INDIRECT(A96&amp;ROW())=C96),1,0))</f>
        <v>0</v>
      </c>
      <c r="K72">
        <f ca="1">DAYS360(INDIRECT(C68&amp;ROW()),TODAY())</f>
        <v>694</v>
      </c>
      <c r="L72">
        <f ca="1">DAYS360(INDIRECT(C69&amp;ROW()),TODAY())</f>
        <v>939</v>
      </c>
      <c r="M72" s="11">
        <f ca="1">HYPERLINK(CONCATENATE("https://bugzilla.houston.hp.com:1181/bugzilla/show_bug.cgi?id=",INDIRECT(C70&amp;ROW())),INDIRECT(C70&amp;ROW()))</f>
        <v>50470</v>
      </c>
      <c r="N72">
        <v>50470</v>
      </c>
      <c r="O72" t="s">
        <v>53</v>
      </c>
      <c r="P72" t="s">
        <v>687</v>
      </c>
      <c r="Q72" t="s">
        <v>39</v>
      </c>
      <c r="R72" t="s">
        <v>251</v>
      </c>
      <c r="S72" t="s">
        <v>47</v>
      </c>
      <c r="U72" s="6">
        <v>42152.316331018519</v>
      </c>
      <c r="V72" t="s">
        <v>18</v>
      </c>
      <c r="W72" t="s">
        <v>17</v>
      </c>
      <c r="X72" s="6">
        <v>41905.402071759258</v>
      </c>
      <c r="Y72" t="s">
        <v>119</v>
      </c>
      <c r="AB72" t="s">
        <v>201</v>
      </c>
      <c r="AC72" t="s">
        <v>247</v>
      </c>
      <c r="AD72" t="s">
        <v>220</v>
      </c>
      <c r="AE72" t="s">
        <v>219</v>
      </c>
      <c r="AG72" t="s">
        <v>121</v>
      </c>
      <c r="AH72" t="s">
        <v>64</v>
      </c>
      <c r="AI72" t="s">
        <v>121</v>
      </c>
      <c r="AJ72" t="s">
        <v>715</v>
      </c>
      <c r="AK72" t="s">
        <v>121</v>
      </c>
    </row>
    <row r="73" spans="1:37" x14ac:dyDescent="0.3">
      <c r="A73" t="s">
        <v>273</v>
      </c>
      <c r="B73" t="s">
        <v>107</v>
      </c>
      <c r="I73">
        <f ca="1">IF(OR(INDIRECT(A73&amp;ROW())=B93,INDIRECT(A73&amp;ROW())=B94),1,IF(AND(INDIRECT(A73&amp;ROW())=B95,INDIRECT(A96&amp;ROW())=C93),1,IF(AND(INDIRECT(A73&amp;ROW())=B95,INDIRECT(A96&amp;ROW())=C94),1,0)))</f>
        <v>0</v>
      </c>
      <c r="J73">
        <f ca="1">IF(AND(INDIRECT(A73&amp;ROW())=B95,INDIRECT(A96&amp;ROW())=C95),1,IF(AND(INDIRECT(A73&amp;ROW())=B95,INDIRECT(A96&amp;ROW())=C96),1,0))</f>
        <v>0</v>
      </c>
      <c r="K73">
        <f ca="1">DAYS360(INDIRECT(C68&amp;ROW()),TODAY())</f>
        <v>724</v>
      </c>
      <c r="L73">
        <f ca="1">DAYS360(INDIRECT(C69&amp;ROW()),TODAY())</f>
        <v>939</v>
      </c>
      <c r="M73" s="11">
        <f ca="1">HYPERLINK(CONCATENATE("https://bugzilla.houston.hp.com:1181/bugzilla/show_bug.cgi?id=",INDIRECT(C70&amp;ROW())),INDIRECT(C70&amp;ROW()))</f>
        <v>50489</v>
      </c>
      <c r="N73">
        <v>50489</v>
      </c>
      <c r="O73" t="s">
        <v>334</v>
      </c>
      <c r="P73" t="s">
        <v>434</v>
      </c>
      <c r="Q73" t="s">
        <v>16</v>
      </c>
      <c r="R73" t="s">
        <v>251</v>
      </c>
      <c r="S73" t="s">
        <v>182</v>
      </c>
      <c r="U73" s="6">
        <v>42122.400648148148</v>
      </c>
      <c r="V73" t="s">
        <v>35</v>
      </c>
      <c r="W73" t="s">
        <v>17</v>
      </c>
      <c r="X73" s="6">
        <v>41905.60564814815</v>
      </c>
      <c r="Y73" t="s">
        <v>245</v>
      </c>
      <c r="AB73" t="s">
        <v>200</v>
      </c>
      <c r="AC73" t="s">
        <v>247</v>
      </c>
      <c r="AD73" t="s">
        <v>227</v>
      </c>
      <c r="AE73" t="s">
        <v>230</v>
      </c>
      <c r="AG73" t="s">
        <v>121</v>
      </c>
      <c r="AH73" t="s">
        <v>327</v>
      </c>
      <c r="AI73" t="s">
        <v>121</v>
      </c>
      <c r="AJ73" t="s">
        <v>716</v>
      </c>
      <c r="AK73" t="s">
        <v>121</v>
      </c>
    </row>
    <row r="74" spans="1:37" x14ac:dyDescent="0.3">
      <c r="A74" t="s">
        <v>271</v>
      </c>
      <c r="B74" t="s">
        <v>108</v>
      </c>
      <c r="I74">
        <f ca="1">IF(OR(INDIRECT(A73&amp;ROW())=B93,INDIRECT(A73&amp;ROW())=B94),1,IF(AND(INDIRECT(A73&amp;ROW())=B95,INDIRECT(A96&amp;ROW())=C93),1,IF(AND(INDIRECT(A73&amp;ROW())=B95,INDIRECT(A96&amp;ROW())=C94),1,0)))</f>
        <v>1</v>
      </c>
      <c r="J74">
        <f ca="1">IF(AND(INDIRECT(A73&amp;ROW())=B95,INDIRECT(A96&amp;ROW())=C95),1,IF(AND(INDIRECT(A73&amp;ROW())=B95,INDIRECT(A96&amp;ROW())=C96),1,0))</f>
        <v>0</v>
      </c>
      <c r="K74">
        <f ca="1">DAYS360(INDIRECT(C68&amp;ROW()),TODAY())</f>
        <v>730</v>
      </c>
      <c r="L74">
        <f ca="1">DAYS360(INDIRECT(C69&amp;ROW()),TODAY())</f>
        <v>939</v>
      </c>
      <c r="M74" s="11">
        <f ca="1">HYPERLINK(CONCATENATE("https://bugzilla.houston.hp.com:1181/bugzilla/show_bug.cgi?id=",INDIRECT(C70&amp;ROW())),INDIRECT(C70&amp;ROW()))</f>
        <v>50493</v>
      </c>
      <c r="N74">
        <v>50493</v>
      </c>
      <c r="O74" t="s">
        <v>45</v>
      </c>
      <c r="P74" t="s">
        <v>333</v>
      </c>
      <c r="Q74" t="s">
        <v>25</v>
      </c>
      <c r="R74" t="s">
        <v>251</v>
      </c>
      <c r="S74" t="s">
        <v>59</v>
      </c>
      <c r="U74" s="6">
        <v>42116.54115740741</v>
      </c>
      <c r="V74" t="s">
        <v>18</v>
      </c>
      <c r="W74" t="s">
        <v>17</v>
      </c>
      <c r="X74" s="6">
        <v>41905.630509259259</v>
      </c>
      <c r="Y74" t="s">
        <v>119</v>
      </c>
      <c r="AB74" t="s">
        <v>200</v>
      </c>
      <c r="AC74" t="s">
        <v>247</v>
      </c>
      <c r="AD74" t="s">
        <v>222</v>
      </c>
      <c r="AE74" t="s">
        <v>232</v>
      </c>
      <c r="AG74" t="s">
        <v>121</v>
      </c>
      <c r="AH74" t="s">
        <v>327</v>
      </c>
      <c r="AI74" t="s">
        <v>121</v>
      </c>
      <c r="AJ74" t="s">
        <v>715</v>
      </c>
      <c r="AK74" t="s">
        <v>121</v>
      </c>
    </row>
    <row r="75" spans="1:37" x14ac:dyDescent="0.3">
      <c r="A75" t="s">
        <v>349</v>
      </c>
      <c r="B75" t="s">
        <v>109</v>
      </c>
      <c r="I75">
        <f ca="1">IF(OR(INDIRECT(A73&amp;ROW())=B93,INDIRECT(A73&amp;ROW())=B94),1,IF(AND(INDIRECT(A73&amp;ROW())=B95,INDIRECT(A96&amp;ROW())=C93),1,IF(AND(INDIRECT(A73&amp;ROW())=B95,INDIRECT(A96&amp;ROW())=C94),1,0)))</f>
        <v>1</v>
      </c>
      <c r="J75">
        <f ca="1">IF(AND(INDIRECT(A73&amp;ROW())=B95,INDIRECT(A96&amp;ROW())=C95),1,IF(AND(INDIRECT(A73&amp;ROW())=B95,INDIRECT(A96&amp;ROW())=C96),1,0))</f>
        <v>0</v>
      </c>
      <c r="K75">
        <f ca="1">DAYS360(INDIRECT(C68&amp;ROW()),TODAY())</f>
        <v>734</v>
      </c>
      <c r="L75">
        <f ca="1">DAYS360(INDIRECT(C69&amp;ROW()),TODAY())</f>
        <v>939</v>
      </c>
      <c r="M75" s="11">
        <f ca="1">HYPERLINK(CONCATENATE("https://bugzilla.houston.hp.com:1181/bugzilla/show_bug.cgi?id=",INDIRECT(C70&amp;ROW())),INDIRECT(C70&amp;ROW()))</f>
        <v>50495</v>
      </c>
      <c r="N75">
        <v>50495</v>
      </c>
      <c r="O75" t="s">
        <v>56</v>
      </c>
      <c r="P75" t="s">
        <v>332</v>
      </c>
      <c r="Q75" t="s">
        <v>25</v>
      </c>
      <c r="R75" t="s">
        <v>248</v>
      </c>
      <c r="S75" t="s">
        <v>59</v>
      </c>
      <c r="U75" s="6">
        <v>42112.762037037035</v>
      </c>
      <c r="V75" t="s">
        <v>18</v>
      </c>
      <c r="W75" t="s">
        <v>257</v>
      </c>
      <c r="X75" s="6">
        <v>41905.634016203701</v>
      </c>
      <c r="Y75" t="s">
        <v>119</v>
      </c>
      <c r="AB75" t="s">
        <v>200</v>
      </c>
      <c r="AC75" t="s">
        <v>247</v>
      </c>
      <c r="AD75" t="s">
        <v>222</v>
      </c>
      <c r="AE75" t="s">
        <v>221</v>
      </c>
      <c r="AG75" t="s">
        <v>121</v>
      </c>
      <c r="AH75" t="s">
        <v>327</v>
      </c>
      <c r="AI75" t="s">
        <v>121</v>
      </c>
      <c r="AJ75" t="s">
        <v>716</v>
      </c>
      <c r="AK75" t="s">
        <v>121</v>
      </c>
    </row>
    <row r="76" spans="1:37" x14ac:dyDescent="0.3">
      <c r="A76" t="s">
        <v>274</v>
      </c>
      <c r="B76" t="s">
        <v>114</v>
      </c>
      <c r="I76">
        <f ca="1">IF(OR(INDIRECT(A73&amp;ROW())=B93,INDIRECT(A73&amp;ROW())=B94),1,IF(AND(INDIRECT(A73&amp;ROW())=B95,INDIRECT(A96&amp;ROW())=C93),1,IF(AND(INDIRECT(A73&amp;ROW())=B95,INDIRECT(A96&amp;ROW())=C94),1,0)))</f>
        <v>0</v>
      </c>
      <c r="J76">
        <f ca="1">IF(AND(INDIRECT(A73&amp;ROW())=B95,INDIRECT(A96&amp;ROW())=C95),1,IF(AND(INDIRECT(A73&amp;ROW())=B95,INDIRECT(A96&amp;ROW())=C96),1,0))</f>
        <v>0</v>
      </c>
      <c r="K76">
        <f ca="1">DAYS360(INDIRECT(C68&amp;ROW()),TODAY())</f>
        <v>728</v>
      </c>
      <c r="L76">
        <f ca="1">DAYS360(INDIRECT(C69&amp;ROW()),TODAY())</f>
        <v>939</v>
      </c>
      <c r="M76" s="11">
        <f ca="1">HYPERLINK(CONCATENATE("https://bugzilla.houston.hp.com:1181/bugzilla/show_bug.cgi?id=",INDIRECT(C70&amp;ROW())),INDIRECT(C70&amp;ROW()))</f>
        <v>50497</v>
      </c>
      <c r="N76">
        <v>50497</v>
      </c>
      <c r="O76" t="s">
        <v>88</v>
      </c>
      <c r="P76" t="s">
        <v>686</v>
      </c>
      <c r="Q76" t="s">
        <v>16</v>
      </c>
      <c r="R76" t="s">
        <v>251</v>
      </c>
      <c r="S76" t="s">
        <v>31</v>
      </c>
      <c r="U76" s="6">
        <v>42118.521944444445</v>
      </c>
      <c r="V76" t="s">
        <v>18</v>
      </c>
      <c r="W76" t="s">
        <v>17</v>
      </c>
      <c r="X76" s="6">
        <v>41905.694814814815</v>
      </c>
      <c r="Y76" t="s">
        <v>119</v>
      </c>
      <c r="AB76" t="s">
        <v>201</v>
      </c>
      <c r="AC76" t="s">
        <v>247</v>
      </c>
      <c r="AD76" t="s">
        <v>222</v>
      </c>
      <c r="AE76" t="s">
        <v>240</v>
      </c>
      <c r="AG76" t="s">
        <v>121</v>
      </c>
      <c r="AH76" t="s">
        <v>327</v>
      </c>
      <c r="AI76" t="s">
        <v>121</v>
      </c>
      <c r="AJ76" t="s">
        <v>717</v>
      </c>
      <c r="AK76" t="s">
        <v>121</v>
      </c>
    </row>
    <row r="77" spans="1:37" x14ac:dyDescent="0.3">
      <c r="A77" t="s">
        <v>350</v>
      </c>
      <c r="B77" t="s">
        <v>115</v>
      </c>
      <c r="I77">
        <f ca="1">IF(OR(INDIRECT(A73&amp;ROW())=B93,INDIRECT(A73&amp;ROW())=B94),1,IF(AND(INDIRECT(A73&amp;ROW())=B95,INDIRECT(A96&amp;ROW())=C93),1,IF(AND(INDIRECT(A73&amp;ROW())=B95,INDIRECT(A96&amp;ROW())=C94),1,0)))</f>
        <v>1</v>
      </c>
      <c r="J77">
        <f ca="1">IF(AND(INDIRECT(A73&amp;ROW())=B95,INDIRECT(A96&amp;ROW())=C95),1,IF(AND(INDIRECT(A73&amp;ROW())=B95,INDIRECT(A96&amp;ROW())=C96),1,0))</f>
        <v>0</v>
      </c>
      <c r="K77">
        <f ca="1">DAYS360(INDIRECT(C68&amp;ROW()),TODAY())</f>
        <v>849</v>
      </c>
      <c r="L77">
        <f ca="1">DAYS360(INDIRECT(C69&amp;ROW()),TODAY())</f>
        <v>938</v>
      </c>
      <c r="M77" s="11">
        <f ca="1">HYPERLINK(CONCATENATE("https://bugzilla.houston.hp.com:1181/bugzilla/show_bug.cgi?id=",INDIRECT(C70&amp;ROW())),INDIRECT(C70&amp;ROW()))</f>
        <v>50561</v>
      </c>
      <c r="N77">
        <v>50561</v>
      </c>
      <c r="O77" t="s">
        <v>326</v>
      </c>
      <c r="P77" t="s">
        <v>338</v>
      </c>
      <c r="Q77" t="s">
        <v>25</v>
      </c>
      <c r="R77" t="s">
        <v>17</v>
      </c>
      <c r="S77" t="s">
        <v>24</v>
      </c>
      <c r="U77" s="6">
        <v>41996.488333333335</v>
      </c>
      <c r="V77" t="s">
        <v>40</v>
      </c>
      <c r="W77" t="s">
        <v>317</v>
      </c>
      <c r="X77" s="6">
        <v>41906.604884259257</v>
      </c>
      <c r="Y77" t="s">
        <v>119</v>
      </c>
      <c r="Z77" t="s">
        <v>255</v>
      </c>
      <c r="AB77" t="s">
        <v>200</v>
      </c>
      <c r="AC77" t="s">
        <v>247</v>
      </c>
      <c r="AD77" t="s">
        <v>222</v>
      </c>
      <c r="AE77" t="s">
        <v>228</v>
      </c>
      <c r="AG77" t="s">
        <v>121</v>
      </c>
      <c r="AH77" t="s">
        <v>64</v>
      </c>
      <c r="AI77" t="s">
        <v>363</v>
      </c>
      <c r="AJ77" t="s">
        <v>715</v>
      </c>
      <c r="AK77" t="s">
        <v>121</v>
      </c>
    </row>
    <row r="78" spans="1:37" x14ac:dyDescent="0.3">
      <c r="A78" t="s">
        <v>275</v>
      </c>
      <c r="B78" t="s">
        <v>235</v>
      </c>
      <c r="I78">
        <f ca="1">IF(OR(INDIRECT(A73&amp;ROW())=B93,INDIRECT(A73&amp;ROW())=B94),1,IF(AND(INDIRECT(A73&amp;ROW())=B95,INDIRECT(A96&amp;ROW())=C93),1,IF(AND(INDIRECT(A73&amp;ROW())=B95,INDIRECT(A96&amp;ROW())=C94),1,0)))</f>
        <v>0</v>
      </c>
      <c r="J78">
        <f ca="1">IF(AND(INDIRECT(A73&amp;ROW())=B95,INDIRECT(A96&amp;ROW())=C95),1,IF(AND(INDIRECT(A73&amp;ROW())=B95,INDIRECT(A96&amp;ROW())=C96),1,0))</f>
        <v>1</v>
      </c>
      <c r="K78">
        <f ca="1">DAYS360(INDIRECT(C68&amp;ROW()),TODAY())</f>
        <v>721</v>
      </c>
      <c r="L78">
        <f ca="1">DAYS360(INDIRECT(C69&amp;ROW()),TODAY())</f>
        <v>937</v>
      </c>
      <c r="M78" s="11">
        <f ca="1">HYPERLINK(CONCATENATE("https://bugzilla.houston.hp.com:1181/bugzilla/show_bug.cgi?id=",INDIRECT(C70&amp;ROW())),INDIRECT(C70&amp;ROW()))</f>
        <v>50644</v>
      </c>
      <c r="N78">
        <v>50644</v>
      </c>
      <c r="O78" t="s">
        <v>42</v>
      </c>
      <c r="P78" t="s">
        <v>433</v>
      </c>
      <c r="Q78" t="s">
        <v>25</v>
      </c>
      <c r="R78" t="s">
        <v>251</v>
      </c>
      <c r="S78" t="s">
        <v>42</v>
      </c>
      <c r="U78" s="6">
        <v>42125.642534722225</v>
      </c>
      <c r="V78" t="s">
        <v>35</v>
      </c>
      <c r="W78" t="s">
        <v>17</v>
      </c>
      <c r="X78" s="6">
        <v>41907.666851851849</v>
      </c>
      <c r="Y78" t="s">
        <v>122</v>
      </c>
      <c r="AB78" t="s">
        <v>201</v>
      </c>
      <c r="AC78" t="s">
        <v>247</v>
      </c>
      <c r="AD78" t="s">
        <v>220</v>
      </c>
      <c r="AE78" t="s">
        <v>219</v>
      </c>
      <c r="AG78" t="s">
        <v>121</v>
      </c>
      <c r="AH78" t="s">
        <v>64</v>
      </c>
      <c r="AI78" t="s">
        <v>121</v>
      </c>
      <c r="AJ78" t="s">
        <v>716</v>
      </c>
      <c r="AK78" t="s">
        <v>121</v>
      </c>
    </row>
    <row r="79" spans="1:37" x14ac:dyDescent="0.3">
      <c r="A79" t="s">
        <v>351</v>
      </c>
      <c r="B79" t="s">
        <v>234</v>
      </c>
      <c r="I79">
        <f ca="1">IF(OR(INDIRECT(A73&amp;ROW())=B93,INDIRECT(A73&amp;ROW())=B94),1,IF(AND(INDIRECT(A73&amp;ROW())=B95,INDIRECT(A96&amp;ROW())=C93),1,IF(AND(INDIRECT(A73&amp;ROW())=B95,INDIRECT(A96&amp;ROW())=C94),1,0)))</f>
        <v>0</v>
      </c>
      <c r="J79">
        <f ca="1">IF(AND(INDIRECT(A73&amp;ROW())=B95,INDIRECT(A96&amp;ROW())=C95),1,IF(AND(INDIRECT(A73&amp;ROW())=B95,INDIRECT(A96&amp;ROW())=C96),1,0))</f>
        <v>0</v>
      </c>
      <c r="K79">
        <f ca="1">DAYS360(INDIRECT(C68&amp;ROW()),TODAY())</f>
        <v>721</v>
      </c>
      <c r="L79">
        <f ca="1">DAYS360(INDIRECT(C69&amp;ROW()),TODAY())</f>
        <v>936</v>
      </c>
      <c r="M79" s="11">
        <f ca="1">HYPERLINK(CONCATENATE("https://bugzilla.houston.hp.com:1181/bugzilla/show_bug.cgi?id=",INDIRECT(C70&amp;ROW())),INDIRECT(C70&amp;ROW()))</f>
        <v>50667</v>
      </c>
      <c r="N79">
        <v>50667</v>
      </c>
      <c r="O79" t="s">
        <v>50</v>
      </c>
      <c r="P79" t="s">
        <v>432</v>
      </c>
      <c r="Q79" t="s">
        <v>16</v>
      </c>
      <c r="R79" t="s">
        <v>251</v>
      </c>
      <c r="S79" t="s">
        <v>335</v>
      </c>
      <c r="U79" s="6">
        <v>42125.446539351855</v>
      </c>
      <c r="V79" t="s">
        <v>18</v>
      </c>
      <c r="W79" t="s">
        <v>17</v>
      </c>
      <c r="X79" s="6">
        <v>41908.131435185183</v>
      </c>
      <c r="Y79" t="s">
        <v>122</v>
      </c>
      <c r="AB79" t="s">
        <v>200</v>
      </c>
      <c r="AC79" t="s">
        <v>247</v>
      </c>
      <c r="AD79" t="s">
        <v>227</v>
      </c>
      <c r="AE79" t="s">
        <v>231</v>
      </c>
      <c r="AG79" t="s">
        <v>121</v>
      </c>
      <c r="AH79" t="s">
        <v>327</v>
      </c>
      <c r="AI79" t="s">
        <v>121</v>
      </c>
      <c r="AJ79" t="s">
        <v>716</v>
      </c>
      <c r="AK79" t="s">
        <v>121</v>
      </c>
    </row>
    <row r="80" spans="1:37" x14ac:dyDescent="0.3">
      <c r="A80" t="s">
        <v>272</v>
      </c>
      <c r="B80" t="s">
        <v>265</v>
      </c>
      <c r="I80">
        <f ca="1">IF(OR(INDIRECT(A73&amp;ROW())=B93,INDIRECT(A73&amp;ROW())=B94),1,IF(AND(INDIRECT(A73&amp;ROW())=B95,INDIRECT(A96&amp;ROW())=C93),1,IF(AND(INDIRECT(A73&amp;ROW())=B95,INDIRECT(A96&amp;ROW())=C94),1,0)))</f>
        <v>0</v>
      </c>
      <c r="J80">
        <f ca="1">IF(AND(INDIRECT(A73&amp;ROW())=B95,INDIRECT(A96&amp;ROW())=C95),1,IF(AND(INDIRECT(A73&amp;ROW())=B95,INDIRECT(A96&amp;ROW())=C96),1,0))</f>
        <v>0</v>
      </c>
      <c r="K80">
        <f ca="1">DAYS360(INDIRECT(C68&amp;ROW()),TODAY())</f>
        <v>802</v>
      </c>
      <c r="L80">
        <f ca="1">DAYS360(INDIRECT(C69&amp;ROW()),TODAY())</f>
        <v>933</v>
      </c>
      <c r="M80" s="11">
        <f ca="1">HYPERLINK(CONCATENATE("https://bugzilla.houston.hp.com:1181/bugzilla/show_bug.cgi?id=",INDIRECT(C70&amp;ROW())),INDIRECT(C70&amp;ROW()))</f>
        <v>50880</v>
      </c>
      <c r="N80">
        <v>50880</v>
      </c>
      <c r="O80" t="s">
        <v>66</v>
      </c>
      <c r="P80" t="s">
        <v>685</v>
      </c>
      <c r="Q80" t="s">
        <v>16</v>
      </c>
      <c r="R80" t="s">
        <v>251</v>
      </c>
      <c r="S80" t="s">
        <v>66</v>
      </c>
      <c r="U80" s="6">
        <v>42045.710277777776</v>
      </c>
      <c r="V80" t="s">
        <v>35</v>
      </c>
      <c r="W80" t="s">
        <v>17</v>
      </c>
      <c r="X80" s="6">
        <v>41911.766562500001</v>
      </c>
      <c r="Y80" t="s">
        <v>786</v>
      </c>
      <c r="AB80" t="s">
        <v>200</v>
      </c>
      <c r="AC80" t="s">
        <v>247</v>
      </c>
      <c r="AD80" t="s">
        <v>220</v>
      </c>
      <c r="AE80" t="s">
        <v>219</v>
      </c>
      <c r="AG80" t="s">
        <v>121</v>
      </c>
      <c r="AH80" t="s">
        <v>327</v>
      </c>
      <c r="AI80" t="s">
        <v>121</v>
      </c>
      <c r="AJ80" t="s">
        <v>716</v>
      </c>
      <c r="AK80" t="s">
        <v>121</v>
      </c>
    </row>
    <row r="81" spans="1:37" x14ac:dyDescent="0.3">
      <c r="A81" t="s">
        <v>154</v>
      </c>
      <c r="B81" t="s">
        <v>30</v>
      </c>
      <c r="C81" t="s">
        <v>160</v>
      </c>
      <c r="I81">
        <f ca="1">IF(OR(INDIRECT(A73&amp;ROW())=B93,INDIRECT(A73&amp;ROW())=B94),1,IF(AND(INDIRECT(A73&amp;ROW())=B95,INDIRECT(A96&amp;ROW())=C93),1,IF(AND(INDIRECT(A73&amp;ROW())=B95,INDIRECT(A96&amp;ROW())=C94),1,0)))</f>
        <v>0</v>
      </c>
      <c r="J81">
        <f ca="1">IF(AND(INDIRECT(A73&amp;ROW())=B95,INDIRECT(A96&amp;ROW())=C95),1,IF(AND(INDIRECT(A73&amp;ROW())=B95,INDIRECT(A96&amp;ROW())=C96),1,0))</f>
        <v>0</v>
      </c>
      <c r="K81">
        <f ca="1">DAYS360(INDIRECT(C68&amp;ROW()),TODAY())</f>
        <v>729</v>
      </c>
      <c r="L81">
        <f ca="1">DAYS360(INDIRECT(C69&amp;ROW()),TODAY())</f>
        <v>932</v>
      </c>
      <c r="M81" s="11">
        <f ca="1">HYPERLINK(CONCATENATE("https://bugzilla.houston.hp.com:1181/bugzilla/show_bug.cgi?id=",INDIRECT(C70&amp;ROW())),INDIRECT(C70&amp;ROW()))</f>
        <v>50953</v>
      </c>
      <c r="N81">
        <v>50953</v>
      </c>
      <c r="O81" t="s">
        <v>45</v>
      </c>
      <c r="P81" t="s">
        <v>684</v>
      </c>
      <c r="Q81" t="s">
        <v>16</v>
      </c>
      <c r="R81" t="s">
        <v>251</v>
      </c>
      <c r="S81" t="s">
        <v>21</v>
      </c>
      <c r="U81" s="6">
        <v>42117.404374999998</v>
      </c>
      <c r="V81" t="s">
        <v>18</v>
      </c>
      <c r="W81" t="s">
        <v>17</v>
      </c>
      <c r="X81" s="6">
        <v>41912.61074074074</v>
      </c>
      <c r="Y81" t="s">
        <v>123</v>
      </c>
      <c r="AB81" t="s">
        <v>200</v>
      </c>
      <c r="AC81" t="s">
        <v>247</v>
      </c>
      <c r="AD81" t="s">
        <v>227</v>
      </c>
      <c r="AE81" t="s">
        <v>226</v>
      </c>
      <c r="AG81" t="s">
        <v>121</v>
      </c>
      <c r="AH81" t="s">
        <v>64</v>
      </c>
      <c r="AI81" t="s">
        <v>121</v>
      </c>
      <c r="AJ81" t="s">
        <v>716</v>
      </c>
      <c r="AK81" t="s">
        <v>121</v>
      </c>
    </row>
    <row r="82" spans="1:37" x14ac:dyDescent="0.3">
      <c r="A82" t="s">
        <v>157</v>
      </c>
      <c r="B82" t="s">
        <v>161</v>
      </c>
      <c r="I82">
        <f ca="1">IF(OR(INDIRECT(A73&amp;ROW())=B93,INDIRECT(A73&amp;ROW())=B94),1,IF(AND(INDIRECT(A73&amp;ROW())=B95,INDIRECT(A96&amp;ROW())=C93),1,IF(AND(INDIRECT(A73&amp;ROW())=B95,INDIRECT(A96&amp;ROW())=C94),1,0)))</f>
        <v>0</v>
      </c>
      <c r="J82">
        <f ca="1">IF(AND(INDIRECT(A73&amp;ROW())=B95,INDIRECT(A96&amp;ROW())=C95),1,IF(AND(INDIRECT(A73&amp;ROW())=B95,INDIRECT(A96&amp;ROW())=C96),1,0))</f>
        <v>1</v>
      </c>
      <c r="K82">
        <f ca="1">DAYS360(INDIRECT(C68&amp;ROW()),TODAY())</f>
        <v>724</v>
      </c>
      <c r="L82">
        <f ca="1">DAYS360(INDIRECT(C69&amp;ROW()),TODAY())</f>
        <v>929</v>
      </c>
      <c r="M82" s="11">
        <f ca="1">HYPERLINK(CONCATENATE("https://bugzilla.houston.hp.com:1181/bugzilla/show_bug.cgi?id=",INDIRECT(C70&amp;ROW())),INDIRECT(C70&amp;ROW()))</f>
        <v>51087</v>
      </c>
      <c r="N82">
        <v>51087</v>
      </c>
      <c r="O82" t="s">
        <v>56</v>
      </c>
      <c r="P82" t="s">
        <v>431</v>
      </c>
      <c r="Q82" t="s">
        <v>25</v>
      </c>
      <c r="R82" t="s">
        <v>251</v>
      </c>
      <c r="S82" t="s">
        <v>53</v>
      </c>
      <c r="U82" s="6">
        <v>42122.352916666663</v>
      </c>
      <c r="V82" t="s">
        <v>18</v>
      </c>
      <c r="W82" t="s">
        <v>17</v>
      </c>
      <c r="X82" s="6">
        <v>41915.6015162037</v>
      </c>
      <c r="Y82" t="s">
        <v>122</v>
      </c>
      <c r="AB82" t="s">
        <v>201</v>
      </c>
      <c r="AC82" t="s">
        <v>247</v>
      </c>
      <c r="AD82" t="s">
        <v>220</v>
      </c>
      <c r="AE82" t="s">
        <v>219</v>
      </c>
      <c r="AG82" t="s">
        <v>121</v>
      </c>
      <c r="AH82" t="s">
        <v>327</v>
      </c>
      <c r="AI82" t="s">
        <v>121</v>
      </c>
      <c r="AJ82" t="s">
        <v>716</v>
      </c>
      <c r="AK82" t="s">
        <v>121</v>
      </c>
    </row>
    <row r="83" spans="1:37" x14ac:dyDescent="0.3">
      <c r="A83" t="s">
        <v>158</v>
      </c>
      <c r="B83" t="s">
        <v>162</v>
      </c>
      <c r="I83">
        <f ca="1">IF(OR(INDIRECT(A73&amp;ROW())=B93,INDIRECT(A73&amp;ROW())=B94),1,IF(AND(INDIRECT(A73&amp;ROW())=B95,INDIRECT(A96&amp;ROW())=C93),1,IF(AND(INDIRECT(A73&amp;ROW())=B95,INDIRECT(A96&amp;ROW())=C94),1,0)))</f>
        <v>0</v>
      </c>
      <c r="J83">
        <f ca="1">IF(AND(INDIRECT(A73&amp;ROW())=B95,INDIRECT(A96&amp;ROW())=C95),1,IF(AND(INDIRECT(A73&amp;ROW())=B95,INDIRECT(A96&amp;ROW())=C96),1,0))</f>
        <v>1</v>
      </c>
      <c r="K83">
        <f ca="1">DAYS360(INDIRECT(C68&amp;ROW()),TODAY())</f>
        <v>691</v>
      </c>
      <c r="L83">
        <f ca="1">DAYS360(INDIRECT(C69&amp;ROW()),TODAY())</f>
        <v>929</v>
      </c>
      <c r="M83" s="11">
        <f ca="1">HYPERLINK(CONCATENATE("https://bugzilla.houston.hp.com:1181/bugzilla/show_bug.cgi?id=",INDIRECT(C70&amp;ROW())),INDIRECT(C70&amp;ROW()))</f>
        <v>51092</v>
      </c>
      <c r="N83">
        <v>51092</v>
      </c>
      <c r="O83" t="s">
        <v>22</v>
      </c>
      <c r="P83" t="s">
        <v>430</v>
      </c>
      <c r="Q83" t="s">
        <v>25</v>
      </c>
      <c r="R83" t="s">
        <v>251</v>
      </c>
      <c r="S83" t="s">
        <v>22</v>
      </c>
      <c r="T83" t="s">
        <v>794</v>
      </c>
      <c r="U83" s="6">
        <v>42156.258032407408</v>
      </c>
      <c r="V83" t="s">
        <v>40</v>
      </c>
      <c r="W83" t="s">
        <v>17</v>
      </c>
      <c r="X83" s="6">
        <v>41915.671134259261</v>
      </c>
      <c r="Y83" t="s">
        <v>122</v>
      </c>
      <c r="AB83" t="s">
        <v>201</v>
      </c>
      <c r="AC83" t="s">
        <v>247</v>
      </c>
      <c r="AD83" t="s">
        <v>220</v>
      </c>
      <c r="AE83" t="s">
        <v>219</v>
      </c>
      <c r="AG83" t="s">
        <v>337</v>
      </c>
      <c r="AH83" t="s">
        <v>327</v>
      </c>
      <c r="AI83" t="s">
        <v>121</v>
      </c>
      <c r="AJ83" t="s">
        <v>716</v>
      </c>
      <c r="AK83" t="s">
        <v>121</v>
      </c>
    </row>
    <row r="84" spans="1:37" x14ac:dyDescent="0.3">
      <c r="A84" t="s">
        <v>159</v>
      </c>
      <c r="B84" t="s">
        <v>163</v>
      </c>
      <c r="I84">
        <f ca="1">IF(OR(INDIRECT(A73&amp;ROW())=B93,INDIRECT(A73&amp;ROW())=B94),1,IF(AND(INDIRECT(A73&amp;ROW())=B95,INDIRECT(A96&amp;ROW())=C93),1,IF(AND(INDIRECT(A73&amp;ROW())=B95,INDIRECT(A96&amp;ROW())=C94),1,0)))</f>
        <v>0</v>
      </c>
      <c r="J84">
        <f ca="1">IF(AND(INDIRECT(A73&amp;ROW())=B95,INDIRECT(A96&amp;ROW())=C95),1,IF(AND(INDIRECT(A73&amp;ROW())=B95,INDIRECT(A96&amp;ROW())=C96),1,0))</f>
        <v>1</v>
      </c>
      <c r="K84">
        <f ca="1">DAYS360(INDIRECT(C68&amp;ROW()),TODAY())</f>
        <v>710</v>
      </c>
      <c r="L84">
        <f ca="1">DAYS360(INDIRECT(C69&amp;ROW()),TODAY())</f>
        <v>925</v>
      </c>
      <c r="M84" s="11">
        <f ca="1">HYPERLINK(CONCATENATE("https://bugzilla.houston.hp.com:1181/bugzilla/show_bug.cgi?id=",INDIRECT(C70&amp;ROW())),INDIRECT(C70&amp;ROW()))</f>
        <v>51177</v>
      </c>
      <c r="N84">
        <v>51177</v>
      </c>
      <c r="O84" t="s">
        <v>66</v>
      </c>
      <c r="P84" t="s">
        <v>1051</v>
      </c>
      <c r="Q84" t="s">
        <v>25</v>
      </c>
      <c r="R84" t="s">
        <v>251</v>
      </c>
      <c r="S84" t="s">
        <v>33</v>
      </c>
      <c r="T84" t="s">
        <v>794</v>
      </c>
      <c r="U84" s="6">
        <v>42136.619814814818</v>
      </c>
      <c r="V84" t="s">
        <v>35</v>
      </c>
      <c r="W84" t="s">
        <v>17</v>
      </c>
      <c r="X84" s="6">
        <v>41919.239328703705</v>
      </c>
      <c r="Y84" t="s">
        <v>119</v>
      </c>
      <c r="AB84" t="s">
        <v>201</v>
      </c>
      <c r="AC84" t="s">
        <v>247</v>
      </c>
      <c r="AD84" t="s">
        <v>220</v>
      </c>
      <c r="AE84" t="s">
        <v>223</v>
      </c>
      <c r="AG84" t="s">
        <v>121</v>
      </c>
      <c r="AH84" t="s">
        <v>64</v>
      </c>
      <c r="AI84" t="s">
        <v>121</v>
      </c>
      <c r="AJ84" t="s">
        <v>716</v>
      </c>
      <c r="AK84" t="s">
        <v>121</v>
      </c>
    </row>
    <row r="85" spans="1:37" x14ac:dyDescent="0.3">
      <c r="A85" t="s">
        <v>251</v>
      </c>
      <c r="B85" t="s">
        <v>163</v>
      </c>
      <c r="I85">
        <f ca="1">IF(OR(INDIRECT(A73&amp;ROW())=B93,INDIRECT(A73&amp;ROW())=B94),1,IF(AND(INDIRECT(A73&amp;ROW())=B95,INDIRECT(A96&amp;ROW())=C93),1,IF(AND(INDIRECT(A73&amp;ROW())=B95,INDIRECT(A96&amp;ROW())=C94),1,0)))</f>
        <v>0</v>
      </c>
      <c r="J85">
        <f ca="1">IF(AND(INDIRECT(A73&amp;ROW())=B95,INDIRECT(A96&amp;ROW())=C95),1,IF(AND(INDIRECT(A73&amp;ROW())=B95,INDIRECT(A96&amp;ROW())=C96),1,0))</f>
        <v>1</v>
      </c>
      <c r="K85">
        <f ca="1">DAYS360(INDIRECT(C68&amp;ROW()),TODAY())</f>
        <v>724</v>
      </c>
      <c r="L85">
        <f ca="1">DAYS360(INDIRECT(C69&amp;ROW()),TODAY())</f>
        <v>925</v>
      </c>
      <c r="M85" s="11">
        <f ca="1">HYPERLINK(CONCATENATE("https://bugzilla.houston.hp.com:1181/bugzilla/show_bug.cgi?id=",INDIRECT(C70&amp;ROW())),INDIRECT(C70&amp;ROW()))</f>
        <v>51197</v>
      </c>
      <c r="N85">
        <v>51197</v>
      </c>
      <c r="O85" t="s">
        <v>45</v>
      </c>
      <c r="P85" t="s">
        <v>429</v>
      </c>
      <c r="Q85" t="s">
        <v>25</v>
      </c>
      <c r="R85" t="s">
        <v>251</v>
      </c>
      <c r="S85" t="s">
        <v>45</v>
      </c>
      <c r="T85" t="s">
        <v>287</v>
      </c>
      <c r="U85" s="6">
        <v>42122.350775462961</v>
      </c>
      <c r="V85" t="s">
        <v>35</v>
      </c>
      <c r="W85" t="s">
        <v>17</v>
      </c>
      <c r="X85" s="6">
        <v>41919.538078703707</v>
      </c>
      <c r="Y85" t="s">
        <v>122</v>
      </c>
      <c r="AB85" t="s">
        <v>201</v>
      </c>
      <c r="AC85" t="s">
        <v>247</v>
      </c>
      <c r="AD85" t="s">
        <v>227</v>
      </c>
      <c r="AE85" t="s">
        <v>226</v>
      </c>
      <c r="AG85" t="s">
        <v>121</v>
      </c>
      <c r="AH85" t="s">
        <v>327</v>
      </c>
      <c r="AI85" t="s">
        <v>121</v>
      </c>
      <c r="AJ85" t="s">
        <v>716</v>
      </c>
      <c r="AK85" t="s">
        <v>121</v>
      </c>
    </row>
    <row r="86" spans="1:37" x14ac:dyDescent="0.3">
      <c r="A86" t="s">
        <v>166</v>
      </c>
      <c r="I86">
        <f ca="1">IF(OR(INDIRECT(A73&amp;ROW())=B93,INDIRECT(A73&amp;ROW())=B94),1,IF(AND(INDIRECT(A73&amp;ROW())=B95,INDIRECT(A96&amp;ROW())=C93),1,IF(AND(INDIRECT(A73&amp;ROW())=B95,INDIRECT(A96&amp;ROW())=C94),1,0)))</f>
        <v>0</v>
      </c>
      <c r="J86">
        <f ca="1">IF(AND(INDIRECT(A73&amp;ROW())=B95,INDIRECT(A96&amp;ROW())=C95),1,IF(AND(INDIRECT(A73&amp;ROW())=B95,INDIRECT(A96&amp;ROW())=C96),1,0))</f>
        <v>0</v>
      </c>
      <c r="K86">
        <f ca="1">DAYS360(INDIRECT(C68&amp;ROW()),TODAY())</f>
        <v>721</v>
      </c>
      <c r="L86">
        <f ca="1">DAYS360(INDIRECT(C69&amp;ROW()),TODAY())</f>
        <v>924</v>
      </c>
      <c r="M86" s="11">
        <f ca="1">HYPERLINK(CONCATENATE("https://bugzilla.houston.hp.com:1181/bugzilla/show_bug.cgi?id=",INDIRECT(C70&amp;ROW())),INDIRECT(C70&amp;ROW()))</f>
        <v>51276</v>
      </c>
      <c r="N86">
        <v>51276</v>
      </c>
      <c r="O86" t="s">
        <v>88</v>
      </c>
      <c r="P86" t="s">
        <v>428</v>
      </c>
      <c r="Q86" t="s">
        <v>16</v>
      </c>
      <c r="R86" t="s">
        <v>251</v>
      </c>
      <c r="S86" t="s">
        <v>294</v>
      </c>
      <c r="U86" s="6">
        <v>42125.446319444447</v>
      </c>
      <c r="V86" t="s">
        <v>18</v>
      </c>
      <c r="W86" t="s">
        <v>17</v>
      </c>
      <c r="X86" s="6">
        <v>41920.661064814813</v>
      </c>
      <c r="Y86" t="s">
        <v>122</v>
      </c>
      <c r="AB86" t="s">
        <v>201</v>
      </c>
      <c r="AC86" t="s">
        <v>247</v>
      </c>
      <c r="AD86" t="s">
        <v>222</v>
      </c>
      <c r="AE86" t="s">
        <v>225</v>
      </c>
      <c r="AG86" t="s">
        <v>121</v>
      </c>
      <c r="AH86" t="s">
        <v>327</v>
      </c>
      <c r="AI86" t="s">
        <v>121</v>
      </c>
      <c r="AJ86" t="s">
        <v>717</v>
      </c>
      <c r="AK86" t="s">
        <v>121</v>
      </c>
    </row>
    <row r="87" spans="1:37" x14ac:dyDescent="0.3">
      <c r="A87" t="s">
        <v>169</v>
      </c>
      <c r="B87" t="s">
        <v>163</v>
      </c>
      <c r="C87" t="s">
        <v>170</v>
      </c>
      <c r="I87">
        <f ca="1">IF(OR(INDIRECT(A73&amp;ROW())=B93,INDIRECT(A73&amp;ROW())=B94),1,IF(AND(INDIRECT(A73&amp;ROW())=B95,INDIRECT(A96&amp;ROW())=C93),1,IF(AND(INDIRECT(A73&amp;ROW())=B95,INDIRECT(A96&amp;ROW())=C94),1,0)))</f>
        <v>0</v>
      </c>
      <c r="J87">
        <f ca="1">IF(AND(INDIRECT(A73&amp;ROW())=B95,INDIRECT(A96&amp;ROW())=C95),1,IF(AND(INDIRECT(A73&amp;ROW())=B95,INDIRECT(A96&amp;ROW())=C96),1,0))</f>
        <v>0</v>
      </c>
      <c r="K87">
        <f ca="1">DAYS360(INDIRECT(C68&amp;ROW()),TODAY())</f>
        <v>721</v>
      </c>
      <c r="L87">
        <f ca="1">DAYS360(INDIRECT(C69&amp;ROW()),TODAY())</f>
        <v>919</v>
      </c>
      <c r="M87" s="11">
        <f ca="1">HYPERLINK(CONCATENATE("https://bugzilla.houston.hp.com:1181/bugzilla/show_bug.cgi?id=",INDIRECT(C70&amp;ROW())),INDIRECT(C70&amp;ROW()))</f>
        <v>51523</v>
      </c>
      <c r="N87">
        <v>51523</v>
      </c>
      <c r="O87" t="s">
        <v>21</v>
      </c>
      <c r="P87" t="s">
        <v>427</v>
      </c>
      <c r="Q87" t="s">
        <v>16</v>
      </c>
      <c r="R87" t="s">
        <v>251</v>
      </c>
      <c r="S87" t="s">
        <v>22</v>
      </c>
      <c r="U87" s="6">
        <v>42125.447500000002</v>
      </c>
      <c r="V87" t="s">
        <v>18</v>
      </c>
      <c r="W87" t="s">
        <v>17</v>
      </c>
      <c r="X87" s="6">
        <v>41925.70585648148</v>
      </c>
      <c r="Y87" t="s">
        <v>122</v>
      </c>
      <c r="AB87" t="s">
        <v>201</v>
      </c>
      <c r="AC87" t="s">
        <v>247</v>
      </c>
      <c r="AD87" t="s">
        <v>222</v>
      </c>
      <c r="AE87" t="s">
        <v>225</v>
      </c>
      <c r="AG87" t="s">
        <v>121</v>
      </c>
      <c r="AH87" t="s">
        <v>327</v>
      </c>
      <c r="AI87" t="s">
        <v>121</v>
      </c>
      <c r="AJ87" t="s">
        <v>717</v>
      </c>
      <c r="AK87" t="s">
        <v>121</v>
      </c>
    </row>
    <row r="88" spans="1:37" x14ac:dyDescent="0.3">
      <c r="A88" t="s">
        <v>261</v>
      </c>
      <c r="I88">
        <f ca="1">IF(OR(INDIRECT(A73&amp;ROW())=B93,INDIRECT(A73&amp;ROW())=B94),1,IF(AND(INDIRECT(A73&amp;ROW())=B95,INDIRECT(A96&amp;ROW())=C93),1,IF(AND(INDIRECT(A73&amp;ROW())=B95,INDIRECT(A96&amp;ROW())=C94),1,0)))</f>
        <v>0</v>
      </c>
      <c r="J88">
        <f ca="1">IF(AND(INDIRECT(A73&amp;ROW())=B95,INDIRECT(A96&amp;ROW())=C95),1,IF(AND(INDIRECT(A73&amp;ROW())=B95,INDIRECT(A96&amp;ROW())=C96),1,0))</f>
        <v>0</v>
      </c>
      <c r="K88">
        <f ca="1">DAYS360(INDIRECT(C68&amp;ROW()),TODAY())</f>
        <v>710</v>
      </c>
      <c r="L88">
        <f ca="1">DAYS360(INDIRECT(C69&amp;ROW()),TODAY())</f>
        <v>918</v>
      </c>
      <c r="M88" s="11">
        <f ca="1">HYPERLINK(CONCATENATE("https://bugzilla.houston.hp.com:1181/bugzilla/show_bug.cgi?id=",INDIRECT(C70&amp;ROW())),INDIRECT(C70&amp;ROW()))</f>
        <v>51589</v>
      </c>
      <c r="N88">
        <v>51589</v>
      </c>
      <c r="O88" t="s">
        <v>66</v>
      </c>
      <c r="P88" t="s">
        <v>1050</v>
      </c>
      <c r="Q88" t="s">
        <v>16</v>
      </c>
      <c r="R88" t="s">
        <v>251</v>
      </c>
      <c r="S88" t="s">
        <v>66</v>
      </c>
      <c r="U88" s="6">
        <v>42136.635497685187</v>
      </c>
      <c r="V88" t="s">
        <v>18</v>
      </c>
      <c r="W88" t="s">
        <v>17</v>
      </c>
      <c r="X88" s="6">
        <v>41926.76421296296</v>
      </c>
      <c r="Y88" t="s">
        <v>255</v>
      </c>
      <c r="AB88" t="s">
        <v>201</v>
      </c>
      <c r="AC88" t="s">
        <v>247</v>
      </c>
      <c r="AD88" t="s">
        <v>220</v>
      </c>
      <c r="AE88" t="s">
        <v>219</v>
      </c>
      <c r="AG88" t="s">
        <v>121</v>
      </c>
      <c r="AH88" t="s">
        <v>327</v>
      </c>
      <c r="AI88" t="s">
        <v>121</v>
      </c>
      <c r="AJ88" t="s">
        <v>716</v>
      </c>
      <c r="AK88" t="s">
        <v>121</v>
      </c>
    </row>
    <row r="89" spans="1:37" x14ac:dyDescent="0.3">
      <c r="A89" t="s">
        <v>158</v>
      </c>
      <c r="I89">
        <f ca="1">IF(OR(INDIRECT(A73&amp;ROW())=B93,INDIRECT(A73&amp;ROW())=B94),1,IF(AND(INDIRECT(A73&amp;ROW())=B95,INDIRECT(A96&amp;ROW())=C93),1,IF(AND(INDIRECT(A73&amp;ROW())=B95,INDIRECT(A96&amp;ROW())=C94),1,0)))</f>
        <v>0</v>
      </c>
      <c r="J89">
        <f ca="1">IF(AND(INDIRECT(A73&amp;ROW())=B95,INDIRECT(A96&amp;ROW())=C95),1,IF(AND(INDIRECT(A73&amp;ROW())=B95,INDIRECT(A96&amp;ROW())=C96),1,0))</f>
        <v>0</v>
      </c>
      <c r="K89">
        <f ca="1">DAYS360(INDIRECT(C68&amp;ROW()),TODAY())</f>
        <v>721</v>
      </c>
      <c r="L89">
        <f ca="1">DAYS360(INDIRECT(C69&amp;ROW()),TODAY())</f>
        <v>912</v>
      </c>
      <c r="M89" s="11">
        <f ca="1">HYPERLINK(CONCATENATE("https://bugzilla.houston.hp.com:1181/bugzilla/show_bug.cgi?id=",INDIRECT(C70&amp;ROW())),INDIRECT(C70&amp;ROW()))</f>
        <v>51898</v>
      </c>
      <c r="N89">
        <v>51898</v>
      </c>
      <c r="O89" t="s">
        <v>56</v>
      </c>
      <c r="P89" t="s">
        <v>683</v>
      </c>
      <c r="Q89" t="s">
        <v>16</v>
      </c>
      <c r="R89" t="s">
        <v>251</v>
      </c>
      <c r="S89" t="s">
        <v>323</v>
      </c>
      <c r="U89" s="6">
        <v>42125.447523148148</v>
      </c>
      <c r="V89" t="s">
        <v>18</v>
      </c>
      <c r="W89" t="s">
        <v>17</v>
      </c>
      <c r="X89" s="6">
        <v>41932.742824074077</v>
      </c>
      <c r="Y89" t="s">
        <v>122</v>
      </c>
      <c r="AB89" t="s">
        <v>200</v>
      </c>
      <c r="AC89" t="s">
        <v>247</v>
      </c>
      <c r="AD89" t="s">
        <v>220</v>
      </c>
      <c r="AE89" t="s">
        <v>219</v>
      </c>
      <c r="AG89" t="s">
        <v>121</v>
      </c>
      <c r="AH89" t="s">
        <v>64</v>
      </c>
      <c r="AI89" t="s">
        <v>121</v>
      </c>
      <c r="AJ89" t="s">
        <v>716</v>
      </c>
      <c r="AK89" t="s">
        <v>121</v>
      </c>
    </row>
    <row r="90" spans="1:37" x14ac:dyDescent="0.3">
      <c r="A90" t="s">
        <v>262</v>
      </c>
      <c r="I90">
        <f ca="1">IF(OR(INDIRECT(A73&amp;ROW())=B93,INDIRECT(A73&amp;ROW())=B94),1,IF(AND(INDIRECT(A73&amp;ROW())=B95,INDIRECT(A96&amp;ROW())=C93),1,IF(AND(INDIRECT(A73&amp;ROW())=B95,INDIRECT(A96&amp;ROW())=C94),1,0)))</f>
        <v>0</v>
      </c>
      <c r="J90">
        <f ca="1">IF(AND(INDIRECT(A73&amp;ROW())=B95,INDIRECT(A96&amp;ROW())=C95),1,IF(AND(INDIRECT(A73&amp;ROW())=B95,INDIRECT(A96&amp;ROW())=C96),1,0))</f>
        <v>0</v>
      </c>
      <c r="K90">
        <f ca="1">DAYS360(INDIRECT(C68&amp;ROW()),TODAY())</f>
        <v>721</v>
      </c>
      <c r="L90">
        <f ca="1">DAYS360(INDIRECT(C69&amp;ROW()),TODAY())</f>
        <v>908</v>
      </c>
      <c r="M90" s="11">
        <f ca="1">HYPERLINK(CONCATENATE("https://bugzilla.houston.hp.com:1181/bugzilla/show_bug.cgi?id=",INDIRECT(C70&amp;ROW())),INDIRECT(C70&amp;ROW()))</f>
        <v>52136</v>
      </c>
      <c r="N90">
        <v>52136</v>
      </c>
      <c r="O90" t="s">
        <v>65</v>
      </c>
      <c r="P90" t="s">
        <v>426</v>
      </c>
      <c r="Q90" t="s">
        <v>16</v>
      </c>
      <c r="R90" t="s">
        <v>251</v>
      </c>
      <c r="S90" t="s">
        <v>43</v>
      </c>
      <c r="U90" s="6">
        <v>42125.447581018518</v>
      </c>
      <c r="V90" t="s">
        <v>18</v>
      </c>
      <c r="W90" t="s">
        <v>17</v>
      </c>
      <c r="X90" s="6">
        <v>41936.676226851851</v>
      </c>
      <c r="Y90" t="s">
        <v>122</v>
      </c>
      <c r="AB90" t="s">
        <v>201</v>
      </c>
      <c r="AC90" t="s">
        <v>247</v>
      </c>
      <c r="AD90" t="s">
        <v>220</v>
      </c>
      <c r="AE90" t="s">
        <v>219</v>
      </c>
      <c r="AG90" t="s">
        <v>121</v>
      </c>
      <c r="AH90" t="s">
        <v>64</v>
      </c>
      <c r="AI90" t="s">
        <v>121</v>
      </c>
      <c r="AJ90" t="s">
        <v>717</v>
      </c>
      <c r="AK90" t="s">
        <v>121</v>
      </c>
    </row>
    <row r="91" spans="1:37" x14ac:dyDescent="0.3">
      <c r="A91" t="s">
        <v>229</v>
      </c>
      <c r="I91">
        <f ca="1">IF(OR(INDIRECT(A73&amp;ROW())=B93,INDIRECT(A73&amp;ROW())=B94),1,IF(AND(INDIRECT(A73&amp;ROW())=B95,INDIRECT(A96&amp;ROW())=C93),1,IF(AND(INDIRECT(A73&amp;ROW())=B95,INDIRECT(A96&amp;ROW())=C94),1,0)))</f>
        <v>0</v>
      </c>
      <c r="J91">
        <f ca="1">IF(AND(INDIRECT(A73&amp;ROW())=B95,INDIRECT(A96&amp;ROW())=C95),1,IF(AND(INDIRECT(A73&amp;ROW())=B95,INDIRECT(A96&amp;ROW())=C96),1,0))</f>
        <v>0</v>
      </c>
      <c r="K91">
        <f ca="1">DAYS360(INDIRECT(C68&amp;ROW()),TODAY())</f>
        <v>721</v>
      </c>
      <c r="L91">
        <f ca="1">DAYS360(INDIRECT(C69&amp;ROW()),TODAY())</f>
        <v>904</v>
      </c>
      <c r="M91" s="11">
        <f ca="1">HYPERLINK(CONCATENATE("https://bugzilla.houston.hp.com:1181/bugzilla/show_bug.cgi?id=",INDIRECT(C70&amp;ROW())),INDIRECT(C70&amp;ROW()))</f>
        <v>52294</v>
      </c>
      <c r="N91">
        <v>52294</v>
      </c>
      <c r="O91" t="s">
        <v>56</v>
      </c>
      <c r="P91" t="s">
        <v>682</v>
      </c>
      <c r="Q91" t="s">
        <v>16</v>
      </c>
      <c r="R91" t="s">
        <v>251</v>
      </c>
      <c r="S91" t="s">
        <v>323</v>
      </c>
      <c r="T91" t="s">
        <v>353</v>
      </c>
      <c r="U91" s="6">
        <v>42125.447696759256</v>
      </c>
      <c r="V91" t="s">
        <v>18</v>
      </c>
      <c r="W91" t="s">
        <v>17</v>
      </c>
      <c r="X91" s="6">
        <v>41940.594814814816</v>
      </c>
      <c r="Y91" t="s">
        <v>122</v>
      </c>
      <c r="AB91" t="s">
        <v>200</v>
      </c>
      <c r="AC91" t="s">
        <v>247</v>
      </c>
      <c r="AD91" t="s">
        <v>220</v>
      </c>
      <c r="AE91" t="s">
        <v>219</v>
      </c>
      <c r="AG91" t="s">
        <v>121</v>
      </c>
      <c r="AH91" t="s">
        <v>64</v>
      </c>
      <c r="AI91" t="s">
        <v>121</v>
      </c>
      <c r="AJ91" t="s">
        <v>716</v>
      </c>
      <c r="AK91" t="s">
        <v>121</v>
      </c>
    </row>
    <row r="92" spans="1:37" x14ac:dyDescent="0.3">
      <c r="A92" t="s">
        <v>242</v>
      </c>
      <c r="B92" t="s">
        <v>375</v>
      </c>
      <c r="I92">
        <f ca="1">IF(OR(INDIRECT(A73&amp;ROW())=B93,INDIRECT(A73&amp;ROW())=B94),1,IF(AND(INDIRECT(A73&amp;ROW())=B95,INDIRECT(A96&amp;ROW())=C93),1,IF(AND(INDIRECT(A73&amp;ROW())=B95,INDIRECT(A96&amp;ROW())=C94),1,0)))</f>
        <v>0</v>
      </c>
      <c r="J92">
        <f ca="1">IF(AND(INDIRECT(A73&amp;ROW())=B95,INDIRECT(A96&amp;ROW())=C95),1,IF(AND(INDIRECT(A73&amp;ROW())=B95,INDIRECT(A96&amp;ROW())=C96),1,0))</f>
        <v>1</v>
      </c>
      <c r="K92">
        <f ca="1">DAYS360(INDIRECT(C68&amp;ROW()),TODAY())</f>
        <v>730</v>
      </c>
      <c r="L92">
        <f ca="1">DAYS360(INDIRECT(C69&amp;ROW()),TODAY())</f>
        <v>903</v>
      </c>
      <c r="M92" s="11">
        <f ca="1">HYPERLINK(CONCATENATE("https://bugzilla.houston.hp.com:1181/bugzilla/show_bug.cgi?id=",INDIRECT(C70&amp;ROW())),INDIRECT(C70&amp;ROW()))</f>
        <v>52318</v>
      </c>
      <c r="N92">
        <v>52318</v>
      </c>
      <c r="O92" t="s">
        <v>19</v>
      </c>
      <c r="P92" t="s">
        <v>492</v>
      </c>
      <c r="Q92" t="s">
        <v>25</v>
      </c>
      <c r="R92" t="s">
        <v>251</v>
      </c>
      <c r="S92" t="s">
        <v>354</v>
      </c>
      <c r="U92" s="6">
        <v>42116.542094907411</v>
      </c>
      <c r="V92" t="s">
        <v>18</v>
      </c>
      <c r="W92" t="s">
        <v>17</v>
      </c>
      <c r="X92" s="6">
        <v>41941.160590277781</v>
      </c>
      <c r="Y92" t="s">
        <v>255</v>
      </c>
      <c r="AB92" t="s">
        <v>201</v>
      </c>
      <c r="AC92" t="s">
        <v>247</v>
      </c>
      <c r="AD92" t="s">
        <v>220</v>
      </c>
      <c r="AE92" t="s">
        <v>219</v>
      </c>
      <c r="AG92" t="s">
        <v>121</v>
      </c>
      <c r="AH92" t="s">
        <v>64</v>
      </c>
      <c r="AI92" t="s">
        <v>121</v>
      </c>
      <c r="AJ92" t="s">
        <v>716</v>
      </c>
      <c r="AK92" t="s">
        <v>121</v>
      </c>
    </row>
    <row r="93" spans="1:37" x14ac:dyDescent="0.3">
      <c r="A93" t="s">
        <v>18</v>
      </c>
      <c r="B93" t="s">
        <v>38</v>
      </c>
      <c r="C93" t="s">
        <v>199</v>
      </c>
      <c r="I93">
        <f ca="1">IF(OR(INDIRECT(A73&amp;ROW())=B93,INDIRECT(A73&amp;ROW())=B94),1,IF(AND(INDIRECT(A73&amp;ROW())=B95,INDIRECT(A96&amp;ROW())=C93),1,IF(AND(INDIRECT(A73&amp;ROW())=B95,INDIRECT(A96&amp;ROW())=C94),1,0)))</f>
        <v>0</v>
      </c>
      <c r="J93">
        <f ca="1">IF(AND(INDIRECT(A73&amp;ROW())=B95,INDIRECT(A96&amp;ROW())=C95),1,IF(AND(INDIRECT(A73&amp;ROW())=B95,INDIRECT(A96&amp;ROW())=C96),1,0))</f>
        <v>0</v>
      </c>
      <c r="K93">
        <f ca="1">DAYS360(INDIRECT(C68&amp;ROW()),TODAY())</f>
        <v>721</v>
      </c>
      <c r="L93">
        <f ca="1">DAYS360(INDIRECT(C69&amp;ROW()),TODAY())</f>
        <v>902</v>
      </c>
      <c r="M93" s="11">
        <f ca="1">HYPERLINK(CONCATENATE("https://bugzilla.houston.hp.com:1181/bugzilla/show_bug.cgi?id=",INDIRECT(C70&amp;ROW())),INDIRECT(C70&amp;ROW()))</f>
        <v>52390</v>
      </c>
      <c r="N93">
        <v>52390</v>
      </c>
      <c r="O93" t="s">
        <v>249</v>
      </c>
      <c r="P93" t="s">
        <v>681</v>
      </c>
      <c r="Q93" t="s">
        <v>16</v>
      </c>
      <c r="R93" t="s">
        <v>251</v>
      </c>
      <c r="S93" t="s">
        <v>36</v>
      </c>
      <c r="U93" s="6">
        <v>42125.447604166664</v>
      </c>
      <c r="V93" t="s">
        <v>18</v>
      </c>
      <c r="W93" t="s">
        <v>17</v>
      </c>
      <c r="X93" s="6">
        <v>41942.304166666669</v>
      </c>
      <c r="Y93" t="s">
        <v>122</v>
      </c>
      <c r="AB93" t="s">
        <v>201</v>
      </c>
      <c r="AC93" t="s">
        <v>247</v>
      </c>
      <c r="AD93" t="s">
        <v>220</v>
      </c>
      <c r="AE93" t="s">
        <v>223</v>
      </c>
      <c r="AG93" t="s">
        <v>121</v>
      </c>
      <c r="AH93" t="s">
        <v>64</v>
      </c>
      <c r="AI93" t="s">
        <v>121</v>
      </c>
      <c r="AJ93" t="s">
        <v>717</v>
      </c>
      <c r="AK93" t="s">
        <v>121</v>
      </c>
    </row>
    <row r="94" spans="1:37" x14ac:dyDescent="0.3">
      <c r="A94" t="s">
        <v>35</v>
      </c>
      <c r="B94" t="s">
        <v>39</v>
      </c>
      <c r="C94" t="s">
        <v>200</v>
      </c>
      <c r="I94">
        <f ca="1">IF(OR(INDIRECT(A73&amp;ROW())=B93,INDIRECT(A73&amp;ROW())=B94),1,IF(AND(INDIRECT(A73&amp;ROW())=B95,INDIRECT(A96&amp;ROW())=C93),1,IF(AND(INDIRECT(A73&amp;ROW())=B95,INDIRECT(A96&amp;ROW())=C94),1,0)))</f>
        <v>0</v>
      </c>
      <c r="J94">
        <f ca="1">IF(AND(INDIRECT(A73&amp;ROW())=B95,INDIRECT(A96&amp;ROW())=C95),1,IF(AND(INDIRECT(A73&amp;ROW())=B95,INDIRECT(A96&amp;ROW())=C96),1,0))</f>
        <v>0</v>
      </c>
      <c r="K94">
        <f ca="1">DAYS360(INDIRECT(C68&amp;ROW()),TODAY())</f>
        <v>721</v>
      </c>
      <c r="L94">
        <f ca="1">DAYS360(INDIRECT(C69&amp;ROW()),TODAY())</f>
        <v>902</v>
      </c>
      <c r="M94" s="11">
        <f ca="1">HYPERLINK(CONCATENATE("https://bugzilla.houston.hp.com:1181/bugzilla/show_bug.cgi?id=",INDIRECT(C70&amp;ROW())),INDIRECT(C70&amp;ROW()))</f>
        <v>52482</v>
      </c>
      <c r="N94">
        <v>52482</v>
      </c>
      <c r="O94" t="s">
        <v>66</v>
      </c>
      <c r="P94" t="s">
        <v>743</v>
      </c>
      <c r="Q94" t="s">
        <v>16</v>
      </c>
      <c r="R94" t="s">
        <v>251</v>
      </c>
      <c r="S94" t="s">
        <v>323</v>
      </c>
      <c r="U94" s="6">
        <v>42125.447534722225</v>
      </c>
      <c r="V94" t="s">
        <v>18</v>
      </c>
      <c r="W94" t="s">
        <v>17</v>
      </c>
      <c r="X94" s="6">
        <v>41943.450358796297</v>
      </c>
      <c r="Y94" t="s">
        <v>122</v>
      </c>
      <c r="AB94" t="s">
        <v>201</v>
      </c>
      <c r="AC94" t="s">
        <v>247</v>
      </c>
      <c r="AD94" t="s">
        <v>220</v>
      </c>
      <c r="AE94" t="s">
        <v>219</v>
      </c>
      <c r="AG94" t="s">
        <v>121</v>
      </c>
      <c r="AH94" t="s">
        <v>327</v>
      </c>
      <c r="AI94" t="s">
        <v>121</v>
      </c>
      <c r="AJ94" t="s">
        <v>717</v>
      </c>
      <c r="AK94" t="s">
        <v>121</v>
      </c>
    </row>
    <row r="95" spans="1:37" x14ac:dyDescent="0.3">
      <c r="A95" t="s">
        <v>40</v>
      </c>
      <c r="B95" t="s">
        <v>25</v>
      </c>
      <c r="C95" t="s">
        <v>201</v>
      </c>
      <c r="I95">
        <f ca="1">IF(OR(INDIRECT(A73&amp;ROW())=B93,INDIRECT(A73&amp;ROW())=B94),1,IF(AND(INDIRECT(A73&amp;ROW())=B95,INDIRECT(A96&amp;ROW())=C93),1,IF(AND(INDIRECT(A73&amp;ROW())=B95,INDIRECT(A96&amp;ROW())=C94),1,0)))</f>
        <v>1</v>
      </c>
      <c r="J95">
        <f ca="1">IF(AND(INDIRECT(A73&amp;ROW())=B95,INDIRECT(A96&amp;ROW())=C95),1,IF(AND(INDIRECT(A73&amp;ROW())=B95,INDIRECT(A96&amp;ROW())=C96),1,0))</f>
        <v>0</v>
      </c>
      <c r="K95">
        <f ca="1">DAYS360(INDIRECT(C68&amp;ROW()),TODAY())</f>
        <v>724</v>
      </c>
      <c r="L95">
        <f ca="1">DAYS360(INDIRECT(C69&amp;ROW()),TODAY())</f>
        <v>899</v>
      </c>
      <c r="M95" s="11">
        <f ca="1">HYPERLINK(CONCATENATE("https://bugzilla.houston.hp.com:1181/bugzilla/show_bug.cgi?id=",INDIRECT(C70&amp;ROW())),INDIRECT(C70&amp;ROW()))</f>
        <v>52549</v>
      </c>
      <c r="N95">
        <v>52549</v>
      </c>
      <c r="O95" t="s">
        <v>188</v>
      </c>
      <c r="P95" t="s">
        <v>742</v>
      </c>
      <c r="Q95" t="s">
        <v>25</v>
      </c>
      <c r="R95" t="s">
        <v>251</v>
      </c>
      <c r="S95" t="s">
        <v>44</v>
      </c>
      <c r="U95" s="6">
        <v>42122.35260416667</v>
      </c>
      <c r="V95" t="s">
        <v>18</v>
      </c>
      <c r="W95" t="s">
        <v>17</v>
      </c>
      <c r="X95" s="6">
        <v>41946.398634259262</v>
      </c>
      <c r="Y95" t="s">
        <v>119</v>
      </c>
      <c r="AB95" t="s">
        <v>200</v>
      </c>
      <c r="AC95" t="s">
        <v>121</v>
      </c>
      <c r="AD95" t="s">
        <v>222</v>
      </c>
      <c r="AE95" t="s">
        <v>233</v>
      </c>
      <c r="AF95" s="13">
        <v>41878</v>
      </c>
      <c r="AG95" t="s">
        <v>121</v>
      </c>
      <c r="AH95" t="s">
        <v>64</v>
      </c>
      <c r="AI95" t="s">
        <v>362</v>
      </c>
      <c r="AJ95" t="s">
        <v>715</v>
      </c>
      <c r="AK95" t="s">
        <v>121</v>
      </c>
    </row>
    <row r="96" spans="1:37" x14ac:dyDescent="0.3">
      <c r="A96" t="s">
        <v>352</v>
      </c>
      <c r="B96" t="s">
        <v>266</v>
      </c>
      <c r="C96" t="s">
        <v>318</v>
      </c>
      <c r="I96">
        <f ca="1">IF(OR(INDIRECT(A73&amp;ROW())=B93,INDIRECT(A73&amp;ROW())=B94),1,IF(AND(INDIRECT(A73&amp;ROW())=B95,INDIRECT(A96&amp;ROW())=C93),1,IF(AND(INDIRECT(A73&amp;ROW())=B95,INDIRECT(A96&amp;ROW())=C94),1,0)))</f>
        <v>1</v>
      </c>
      <c r="J96">
        <f ca="1">IF(AND(INDIRECT(A73&amp;ROW())=B95,INDIRECT(A96&amp;ROW())=C95),1,IF(AND(INDIRECT(A73&amp;ROW())=B95,INDIRECT(A96&amp;ROW())=C96),1,0))</f>
        <v>0</v>
      </c>
      <c r="K96">
        <f ca="1">DAYS360(INDIRECT(C68&amp;ROW()),TODAY())</f>
        <v>730</v>
      </c>
      <c r="L96">
        <f ca="1">DAYS360(INDIRECT(C69&amp;ROW()),TODAY())</f>
        <v>899</v>
      </c>
      <c r="M96" s="11">
        <f ca="1">HYPERLINK(CONCATENATE("https://bugzilla.houston.hp.com:1181/bugzilla/show_bug.cgi?id=",INDIRECT(C70&amp;ROW())),INDIRECT(C70&amp;ROW()))</f>
        <v>52552</v>
      </c>
      <c r="N96">
        <v>52552</v>
      </c>
      <c r="O96" t="s">
        <v>50</v>
      </c>
      <c r="P96" t="s">
        <v>425</v>
      </c>
      <c r="Q96" t="s">
        <v>25</v>
      </c>
      <c r="R96" t="s">
        <v>251</v>
      </c>
      <c r="S96" t="s">
        <v>44</v>
      </c>
      <c r="T96" t="s">
        <v>782</v>
      </c>
      <c r="U96" s="6">
        <v>42116.454432870371</v>
      </c>
      <c r="V96" t="s">
        <v>18</v>
      </c>
      <c r="W96" t="s">
        <v>17</v>
      </c>
      <c r="X96" s="6">
        <v>41946.424259259256</v>
      </c>
      <c r="Y96" t="s">
        <v>119</v>
      </c>
      <c r="AB96" t="s">
        <v>200</v>
      </c>
      <c r="AC96" t="s">
        <v>121</v>
      </c>
      <c r="AD96" t="s">
        <v>227</v>
      </c>
      <c r="AE96" t="s">
        <v>226</v>
      </c>
      <c r="AG96" t="s">
        <v>121</v>
      </c>
      <c r="AH96" t="s">
        <v>327</v>
      </c>
      <c r="AI96" t="s">
        <v>362</v>
      </c>
      <c r="AJ96" t="s">
        <v>715</v>
      </c>
      <c r="AK96" t="s">
        <v>121</v>
      </c>
    </row>
    <row r="97" spans="1:37" x14ac:dyDescent="0.3">
      <c r="A97" t="s">
        <v>96</v>
      </c>
      <c r="B97" t="s">
        <v>268</v>
      </c>
      <c r="I97">
        <f ca="1">IF(OR(INDIRECT(A73&amp;ROW())=B93,INDIRECT(A73&amp;ROW())=B94),1,IF(AND(INDIRECT(A73&amp;ROW())=B95,INDIRECT(A96&amp;ROW())=C93),1,IF(AND(INDIRECT(A73&amp;ROW())=B95,INDIRECT(A96&amp;ROW())=C94),1,0)))</f>
        <v>1</v>
      </c>
      <c r="J97">
        <f ca="1">IF(AND(INDIRECT(A73&amp;ROW())=B95,INDIRECT(A96&amp;ROW())=C95),1,IF(AND(INDIRECT(A73&amp;ROW())=B95,INDIRECT(A96&amp;ROW())=C96),1,0))</f>
        <v>0</v>
      </c>
      <c r="K97">
        <f ca="1">DAYS360(INDIRECT(C68&amp;ROW()),TODAY())</f>
        <v>730</v>
      </c>
      <c r="L97">
        <f ca="1">DAYS360(INDIRECT(C69&amp;ROW()),TODAY())</f>
        <v>899</v>
      </c>
      <c r="M97" s="11">
        <f ca="1">HYPERLINK(CONCATENATE("https://bugzilla.houston.hp.com:1181/bugzilla/show_bug.cgi?id=",INDIRECT(C70&amp;ROW())),INDIRECT(C70&amp;ROW()))</f>
        <v>52554</v>
      </c>
      <c r="N97">
        <v>52554</v>
      </c>
      <c r="O97" t="s">
        <v>56</v>
      </c>
      <c r="P97" t="s">
        <v>424</v>
      </c>
      <c r="Q97" t="s">
        <v>39</v>
      </c>
      <c r="R97" t="s">
        <v>251</v>
      </c>
      <c r="S97" t="s">
        <v>44</v>
      </c>
      <c r="U97" s="6">
        <v>42116.731180555558</v>
      </c>
      <c r="V97" t="s">
        <v>18</v>
      </c>
      <c r="W97" t="s">
        <v>17</v>
      </c>
      <c r="X97" s="6">
        <v>41946.468263888892</v>
      </c>
      <c r="Y97" t="s">
        <v>245</v>
      </c>
      <c r="AB97" t="s">
        <v>200</v>
      </c>
      <c r="AC97" t="s">
        <v>121</v>
      </c>
      <c r="AD97" t="s">
        <v>220</v>
      </c>
      <c r="AE97" t="s">
        <v>219</v>
      </c>
      <c r="AG97" t="s">
        <v>121</v>
      </c>
      <c r="AH97" t="s">
        <v>327</v>
      </c>
      <c r="AI97" t="s">
        <v>362</v>
      </c>
      <c r="AJ97" t="s">
        <v>715</v>
      </c>
      <c r="AK97" t="s">
        <v>121</v>
      </c>
    </row>
    <row r="98" spans="1:37" x14ac:dyDescent="0.3">
      <c r="A98" t="s">
        <v>263</v>
      </c>
      <c r="B98" t="s">
        <v>269</v>
      </c>
      <c r="C98" t="s">
        <v>270</v>
      </c>
      <c r="I98">
        <f ca="1">IF(OR(INDIRECT(A73&amp;ROW())=B93,INDIRECT(A73&amp;ROW())=B94),1,IF(AND(INDIRECT(A73&amp;ROW())=B95,INDIRECT(A96&amp;ROW())=C93),1,IF(AND(INDIRECT(A73&amp;ROW())=B95,INDIRECT(A96&amp;ROW())=C94),1,0)))</f>
        <v>1</v>
      </c>
      <c r="J98">
        <f ca="1">IF(AND(INDIRECT(A73&amp;ROW())=B95,INDIRECT(A96&amp;ROW())=C95),1,IF(AND(INDIRECT(A73&amp;ROW())=B95,INDIRECT(A96&amp;ROW())=C96),1,0))</f>
        <v>0</v>
      </c>
      <c r="K98">
        <f ca="1">DAYS360(INDIRECT(C68&amp;ROW()),TODAY())</f>
        <v>730</v>
      </c>
      <c r="L98">
        <f ca="1">DAYS360(INDIRECT(C69&amp;ROW()),TODAY())</f>
        <v>899</v>
      </c>
      <c r="M98" s="11">
        <f ca="1">HYPERLINK(CONCATENATE("https://bugzilla.houston.hp.com:1181/bugzilla/show_bug.cgi?id=",INDIRECT(C70&amp;ROW())),INDIRECT(C70&amp;ROW()))</f>
        <v>52555</v>
      </c>
      <c r="N98">
        <v>52555</v>
      </c>
      <c r="O98" t="s">
        <v>55</v>
      </c>
      <c r="P98" t="s">
        <v>471</v>
      </c>
      <c r="Q98" t="s">
        <v>25</v>
      </c>
      <c r="R98" t="s">
        <v>251</v>
      </c>
      <c r="S98" t="s">
        <v>44</v>
      </c>
      <c r="U98" s="6">
        <v>42116.454155092593</v>
      </c>
      <c r="V98" t="s">
        <v>18</v>
      </c>
      <c r="W98" t="s">
        <v>17</v>
      </c>
      <c r="X98" s="6">
        <v>41946.474421296298</v>
      </c>
      <c r="Y98" t="s">
        <v>793</v>
      </c>
      <c r="AB98" t="s">
        <v>200</v>
      </c>
      <c r="AC98" t="s">
        <v>121</v>
      </c>
      <c r="AD98" t="s">
        <v>220</v>
      </c>
      <c r="AE98" t="s">
        <v>219</v>
      </c>
      <c r="AG98" t="s">
        <v>121</v>
      </c>
      <c r="AH98" t="s">
        <v>327</v>
      </c>
      <c r="AI98" t="s">
        <v>121</v>
      </c>
      <c r="AJ98" t="s">
        <v>715</v>
      </c>
      <c r="AK98" t="s">
        <v>121</v>
      </c>
    </row>
    <row r="99" spans="1:37" x14ac:dyDescent="0.3">
      <c r="A99" t="s">
        <v>95</v>
      </c>
      <c r="B99" t="s">
        <v>347</v>
      </c>
      <c r="I99">
        <f ca="1">IF(OR(INDIRECT(A73&amp;ROW())=B93,INDIRECT(A73&amp;ROW())=B94),1,IF(AND(INDIRECT(A73&amp;ROW())=B95,INDIRECT(A96&amp;ROW())=C93),1,IF(AND(INDIRECT(A73&amp;ROW())=B95,INDIRECT(A96&amp;ROW())=C94),1,0)))</f>
        <v>0</v>
      </c>
      <c r="J99">
        <f ca="1">IF(AND(INDIRECT(A73&amp;ROW())=B95,INDIRECT(A96&amp;ROW())=C95),1,IF(AND(INDIRECT(A73&amp;ROW())=B95,INDIRECT(A96&amp;ROW())=C96),1,0))</f>
        <v>1</v>
      </c>
      <c r="K99">
        <f ca="1">DAYS360(INDIRECT(C68&amp;ROW()),TODAY())</f>
        <v>730</v>
      </c>
      <c r="L99">
        <f ca="1">DAYS360(INDIRECT(C69&amp;ROW()),TODAY())</f>
        <v>899</v>
      </c>
      <c r="M99" s="11">
        <f ca="1">HYPERLINK(CONCATENATE("https://bugzilla.houston.hp.com:1181/bugzilla/show_bug.cgi?id=",INDIRECT(C70&amp;ROW())),INDIRECT(C70&amp;ROW()))</f>
        <v>52558</v>
      </c>
      <c r="N99">
        <v>52558</v>
      </c>
      <c r="O99" t="s">
        <v>66</v>
      </c>
      <c r="P99" t="s">
        <v>473</v>
      </c>
      <c r="Q99" t="s">
        <v>25</v>
      </c>
      <c r="R99" t="s">
        <v>251</v>
      </c>
      <c r="S99" t="s">
        <v>44</v>
      </c>
      <c r="U99" s="6">
        <v>42116.542615740742</v>
      </c>
      <c r="V99" t="s">
        <v>18</v>
      </c>
      <c r="W99" t="s">
        <v>17</v>
      </c>
      <c r="X99" s="6">
        <v>41946.490312499998</v>
      </c>
      <c r="Y99" t="s">
        <v>119</v>
      </c>
      <c r="AB99" t="s">
        <v>201</v>
      </c>
      <c r="AC99" t="s">
        <v>121</v>
      </c>
      <c r="AD99" t="s">
        <v>220</v>
      </c>
      <c r="AE99" t="s">
        <v>219</v>
      </c>
      <c r="AF99" s="13">
        <v>41901</v>
      </c>
      <c r="AG99" t="s">
        <v>121</v>
      </c>
      <c r="AH99" t="s">
        <v>64</v>
      </c>
      <c r="AI99" t="s">
        <v>363</v>
      </c>
      <c r="AJ99" t="s">
        <v>716</v>
      </c>
      <c r="AK99" t="s">
        <v>121</v>
      </c>
    </row>
    <row r="100" spans="1:37" x14ac:dyDescent="0.3">
      <c r="I100">
        <f ca="1">IF(OR(INDIRECT(A73&amp;ROW())=B93,INDIRECT(A73&amp;ROW())=B94),1,IF(AND(INDIRECT(A73&amp;ROW())=B95,INDIRECT(A96&amp;ROW())=C93),1,IF(AND(INDIRECT(A73&amp;ROW())=B95,INDIRECT(A96&amp;ROW())=C94),1,0)))</f>
        <v>0</v>
      </c>
      <c r="J100">
        <f ca="1">IF(AND(INDIRECT(A73&amp;ROW())=B95,INDIRECT(A96&amp;ROW())=C95),1,IF(AND(INDIRECT(A73&amp;ROW())=B95,INDIRECT(A96&amp;ROW())=C96),1,0))</f>
        <v>0</v>
      </c>
      <c r="K100">
        <f ca="1">DAYS360(INDIRECT(C68&amp;ROW()),TODAY())</f>
        <v>730</v>
      </c>
      <c r="L100">
        <f ca="1">DAYS360(INDIRECT(C69&amp;ROW()),TODAY())</f>
        <v>898</v>
      </c>
      <c r="M100" s="11">
        <f ca="1">HYPERLINK(CONCATENATE("https://bugzilla.houston.hp.com:1181/bugzilla/show_bug.cgi?id=",INDIRECT(C70&amp;ROW())),INDIRECT(C70&amp;ROW()))</f>
        <v>52603</v>
      </c>
      <c r="N100">
        <v>52603</v>
      </c>
      <c r="O100" t="s">
        <v>56</v>
      </c>
      <c r="P100" t="s">
        <v>491</v>
      </c>
      <c r="Q100" t="s">
        <v>16</v>
      </c>
      <c r="R100" t="s">
        <v>251</v>
      </c>
      <c r="S100" t="s">
        <v>155</v>
      </c>
      <c r="U100" s="6">
        <v>42116.542743055557</v>
      </c>
      <c r="V100" t="s">
        <v>40</v>
      </c>
      <c r="W100" t="s">
        <v>17</v>
      </c>
      <c r="X100" s="6">
        <v>41947.299305555556</v>
      </c>
      <c r="Y100" t="s">
        <v>255</v>
      </c>
      <c r="AB100" t="s">
        <v>199</v>
      </c>
      <c r="AC100" t="s">
        <v>247</v>
      </c>
      <c r="AD100" t="s">
        <v>220</v>
      </c>
      <c r="AE100" t="s">
        <v>219</v>
      </c>
      <c r="AG100" t="s">
        <v>121</v>
      </c>
      <c r="AH100" t="s">
        <v>327</v>
      </c>
      <c r="AI100" t="s">
        <v>121</v>
      </c>
      <c r="AJ100" t="s">
        <v>716</v>
      </c>
      <c r="AK100" t="s">
        <v>121</v>
      </c>
    </row>
    <row r="101" spans="1:37" x14ac:dyDescent="0.3">
      <c r="I101">
        <f ca="1">IF(OR(INDIRECT(A73&amp;ROW())=B93,INDIRECT(A73&amp;ROW())=B94),1,IF(AND(INDIRECT(A73&amp;ROW())=B95,INDIRECT(A96&amp;ROW())=C93),1,IF(AND(INDIRECT(A73&amp;ROW())=B95,INDIRECT(A96&amp;ROW())=C94),1,0)))</f>
        <v>0</v>
      </c>
      <c r="J101">
        <f ca="1">IF(AND(INDIRECT(A73&amp;ROW())=B95,INDIRECT(A96&amp;ROW())=C95),1,IF(AND(INDIRECT(A73&amp;ROW())=B95,INDIRECT(A96&amp;ROW())=C96),1,0))</f>
        <v>0</v>
      </c>
      <c r="K101">
        <f ca="1">DAYS360(INDIRECT(C68&amp;ROW()),TODAY())</f>
        <v>730</v>
      </c>
      <c r="L101">
        <f ca="1">DAYS360(INDIRECT(C69&amp;ROW()),TODAY())</f>
        <v>898</v>
      </c>
      <c r="M101" s="11">
        <f ca="1">HYPERLINK(CONCATENATE("https://bugzilla.houston.hp.com:1181/bugzilla/show_bug.cgi?id=",INDIRECT(C70&amp;ROW())),INDIRECT(C70&amp;ROW()))</f>
        <v>52633</v>
      </c>
      <c r="N101">
        <v>52633</v>
      </c>
      <c r="O101" t="s">
        <v>55</v>
      </c>
      <c r="P101" t="s">
        <v>741</v>
      </c>
      <c r="Q101" t="s">
        <v>16</v>
      </c>
      <c r="R101" t="s">
        <v>251</v>
      </c>
      <c r="S101" t="s">
        <v>365</v>
      </c>
      <c r="U101" s="6">
        <v>42116.542916666665</v>
      </c>
      <c r="V101" t="s">
        <v>35</v>
      </c>
      <c r="W101" t="s">
        <v>17</v>
      </c>
      <c r="X101" s="6">
        <v>41947.458136574074</v>
      </c>
      <c r="Y101" t="s">
        <v>246</v>
      </c>
      <c r="AB101" t="s">
        <v>200</v>
      </c>
      <c r="AC101" t="s">
        <v>247</v>
      </c>
      <c r="AD101" t="s">
        <v>220</v>
      </c>
      <c r="AE101" t="s">
        <v>219</v>
      </c>
      <c r="AG101" t="s">
        <v>121</v>
      </c>
      <c r="AH101" t="s">
        <v>327</v>
      </c>
      <c r="AI101" t="s">
        <v>121</v>
      </c>
      <c r="AJ101" t="s">
        <v>716</v>
      </c>
      <c r="AK101" t="s">
        <v>121</v>
      </c>
    </row>
    <row r="102" spans="1:37" x14ac:dyDescent="0.3">
      <c r="I102">
        <f ca="1">IF(OR(INDIRECT(A73&amp;ROW())=B93,INDIRECT(A73&amp;ROW())=B94),1,IF(AND(INDIRECT(A73&amp;ROW())=B95,INDIRECT(A96&amp;ROW())=C93),1,IF(AND(INDIRECT(A73&amp;ROW())=B95,INDIRECT(A96&amp;ROW())=C94),1,0)))</f>
        <v>0</v>
      </c>
      <c r="J102">
        <f ca="1">IF(AND(INDIRECT(A73&amp;ROW())=B95,INDIRECT(A96&amp;ROW())=C95),1,IF(AND(INDIRECT(A73&amp;ROW())=B95,INDIRECT(A96&amp;ROW())=C96),1,0))</f>
        <v>0</v>
      </c>
      <c r="K102">
        <f ca="1">DAYS360(INDIRECT(C68&amp;ROW()),TODAY())</f>
        <v>714</v>
      </c>
      <c r="L102">
        <f ca="1">DAYS360(INDIRECT(C69&amp;ROW()),TODAY())</f>
        <v>898</v>
      </c>
      <c r="M102" s="11">
        <f ca="1">HYPERLINK(CONCATENATE("https://bugzilla.houston.hp.com:1181/bugzilla/show_bug.cgi?id=",INDIRECT(C70&amp;ROW())),INDIRECT(C70&amp;ROW()))</f>
        <v>52651</v>
      </c>
      <c r="N102">
        <v>52651</v>
      </c>
      <c r="O102" t="s">
        <v>56</v>
      </c>
      <c r="P102" t="s">
        <v>929</v>
      </c>
      <c r="Q102" t="s">
        <v>16</v>
      </c>
      <c r="R102" t="s">
        <v>251</v>
      </c>
      <c r="S102" t="s">
        <v>292</v>
      </c>
      <c r="T102" t="s">
        <v>842</v>
      </c>
      <c r="U102" s="6">
        <v>42132.358182870368</v>
      </c>
      <c r="V102" t="s">
        <v>18</v>
      </c>
      <c r="W102" t="s">
        <v>17</v>
      </c>
      <c r="X102" s="6">
        <v>41947.710601851853</v>
      </c>
      <c r="Y102" t="s">
        <v>785</v>
      </c>
      <c r="AB102" t="s">
        <v>200</v>
      </c>
      <c r="AC102" t="s">
        <v>247</v>
      </c>
      <c r="AD102" t="s">
        <v>220</v>
      </c>
      <c r="AE102" t="s">
        <v>219</v>
      </c>
      <c r="AG102" t="s">
        <v>121</v>
      </c>
      <c r="AH102" t="s">
        <v>327</v>
      </c>
      <c r="AI102" t="s">
        <v>121</v>
      </c>
      <c r="AJ102" t="s">
        <v>716</v>
      </c>
      <c r="AK102" t="s">
        <v>121</v>
      </c>
    </row>
    <row r="103" spans="1:37" x14ac:dyDescent="0.3">
      <c r="I103">
        <f ca="1">IF(OR(INDIRECT(A73&amp;ROW())=B93,INDIRECT(A73&amp;ROW())=B94),1,IF(AND(INDIRECT(A73&amp;ROW())=B95,INDIRECT(A96&amp;ROW())=C93),1,IF(AND(INDIRECT(A73&amp;ROW())=B95,INDIRECT(A96&amp;ROW())=C94),1,0)))</f>
        <v>1</v>
      </c>
      <c r="J103">
        <f ca="1">IF(AND(INDIRECT(A73&amp;ROW())=B95,INDIRECT(A96&amp;ROW())=C95),1,IF(AND(INDIRECT(A73&amp;ROW())=B95,INDIRECT(A96&amp;ROW())=C96),1,0))</f>
        <v>0</v>
      </c>
      <c r="K103">
        <f ca="1">DAYS360(INDIRECT(C68&amp;ROW()),TODAY())</f>
        <v>730</v>
      </c>
      <c r="L103">
        <f ca="1">DAYS360(INDIRECT(C69&amp;ROW()),TODAY())</f>
        <v>897</v>
      </c>
      <c r="M103" s="11">
        <f ca="1">HYPERLINK(CONCATENATE("https://bugzilla.houston.hp.com:1181/bugzilla/show_bug.cgi?id=",INDIRECT(C70&amp;ROW())),INDIRECT(C70&amp;ROW()))</f>
        <v>52678</v>
      </c>
      <c r="N103">
        <v>52678</v>
      </c>
      <c r="O103" t="s">
        <v>298</v>
      </c>
      <c r="P103" t="s">
        <v>470</v>
      </c>
      <c r="Q103" t="s">
        <v>39</v>
      </c>
      <c r="R103" t="s">
        <v>251</v>
      </c>
      <c r="S103" t="s">
        <v>321</v>
      </c>
      <c r="U103" s="6">
        <v>42116.453344907408</v>
      </c>
      <c r="V103" t="s">
        <v>18</v>
      </c>
      <c r="W103" t="s">
        <v>17</v>
      </c>
      <c r="X103" s="6">
        <v>41948.176805555559</v>
      </c>
      <c r="Y103" t="s">
        <v>119</v>
      </c>
      <c r="AB103" t="s">
        <v>201</v>
      </c>
      <c r="AC103" t="s">
        <v>247</v>
      </c>
      <c r="AD103" t="s">
        <v>227</v>
      </c>
      <c r="AE103" t="s">
        <v>231</v>
      </c>
      <c r="AG103" t="s">
        <v>121</v>
      </c>
      <c r="AH103" t="s">
        <v>327</v>
      </c>
      <c r="AI103" t="s">
        <v>121</v>
      </c>
      <c r="AJ103" t="s">
        <v>715</v>
      </c>
      <c r="AK103" t="s">
        <v>121</v>
      </c>
    </row>
    <row r="104" spans="1:37" x14ac:dyDescent="0.3">
      <c r="I104">
        <f ca="1">IF(OR(INDIRECT(A73&amp;ROW())=B93,INDIRECT(A73&amp;ROW())=B94),1,IF(AND(INDIRECT(A73&amp;ROW())=B95,INDIRECT(A96&amp;ROW())=C93),1,IF(AND(INDIRECT(A73&amp;ROW())=B95,INDIRECT(A96&amp;ROW())=C94),1,0)))</f>
        <v>0</v>
      </c>
      <c r="J104">
        <f ca="1">IF(AND(INDIRECT(A73&amp;ROW())=B95,INDIRECT(A96&amp;ROW())=C95),1,IF(AND(INDIRECT(A73&amp;ROW())=B95,INDIRECT(A96&amp;ROW())=C96),1,0))</f>
        <v>0</v>
      </c>
      <c r="K104">
        <f ca="1">DAYS360(INDIRECT(C68&amp;ROW()),TODAY())</f>
        <v>721</v>
      </c>
      <c r="L104">
        <f ca="1">DAYS360(INDIRECT(C69&amp;ROW()),TODAY())</f>
        <v>897</v>
      </c>
      <c r="M104" s="11">
        <f ca="1">HYPERLINK(CONCATENATE("https://bugzilla.houston.hp.com:1181/bugzilla/show_bug.cgi?id=",INDIRECT(C70&amp;ROW())),INDIRECT(C70&amp;ROW()))</f>
        <v>52707</v>
      </c>
      <c r="N104">
        <v>52707</v>
      </c>
      <c r="O104" t="s">
        <v>241</v>
      </c>
      <c r="P104" t="s">
        <v>490</v>
      </c>
      <c r="Q104" t="s">
        <v>16</v>
      </c>
      <c r="R104" t="s">
        <v>251</v>
      </c>
      <c r="S104" t="s">
        <v>367</v>
      </c>
      <c r="T104" t="s">
        <v>782</v>
      </c>
      <c r="U104" s="6">
        <v>42125.653182870374</v>
      </c>
      <c r="V104" t="s">
        <v>40</v>
      </c>
      <c r="W104" t="s">
        <v>17</v>
      </c>
      <c r="X104" s="6">
        <v>41948.442997685182</v>
      </c>
      <c r="Y104" t="s">
        <v>245</v>
      </c>
      <c r="AB104" t="s">
        <v>201</v>
      </c>
      <c r="AC104" t="s">
        <v>247</v>
      </c>
      <c r="AD104" t="s">
        <v>227</v>
      </c>
      <c r="AE104" t="s">
        <v>237</v>
      </c>
      <c r="AG104" t="s">
        <v>121</v>
      </c>
      <c r="AH104" t="s">
        <v>327</v>
      </c>
      <c r="AI104" t="s">
        <v>121</v>
      </c>
      <c r="AJ104" t="s">
        <v>717</v>
      </c>
      <c r="AK104" t="s">
        <v>121</v>
      </c>
    </row>
    <row r="105" spans="1:37" x14ac:dyDescent="0.3">
      <c r="I105">
        <f ca="1">IF(OR(INDIRECT(A73&amp;ROW())=B93,INDIRECT(A73&amp;ROW())=B94),1,IF(AND(INDIRECT(A73&amp;ROW())=B95,INDIRECT(A96&amp;ROW())=C93),1,IF(AND(INDIRECT(A73&amp;ROW())=B95,INDIRECT(A96&amp;ROW())=C94),1,0)))</f>
        <v>1</v>
      </c>
      <c r="J105">
        <f ca="1">IF(AND(INDIRECT(A73&amp;ROW())=B95,INDIRECT(A96&amp;ROW())=C95),1,IF(AND(INDIRECT(A73&amp;ROW())=B95,INDIRECT(A96&amp;ROW())=C96),1,0))</f>
        <v>0</v>
      </c>
      <c r="K105">
        <f ca="1">DAYS360(INDIRECT(C68&amp;ROW()),TODAY())</f>
        <v>710</v>
      </c>
      <c r="L105">
        <f ca="1">DAYS360(INDIRECT(C69&amp;ROW()),TODAY())</f>
        <v>897</v>
      </c>
      <c r="M105" s="11">
        <f ca="1">HYPERLINK(CONCATENATE("https://bugzilla.houston.hp.com:1181/bugzilla/show_bug.cgi?id=",INDIRECT(C70&amp;ROW())),INDIRECT(C70&amp;ROW()))</f>
        <v>52720</v>
      </c>
      <c r="N105">
        <v>52720</v>
      </c>
      <c r="O105" t="s">
        <v>22</v>
      </c>
      <c r="P105" t="s">
        <v>857</v>
      </c>
      <c r="Q105" t="s">
        <v>39</v>
      </c>
      <c r="R105" t="s">
        <v>251</v>
      </c>
      <c r="S105" t="s">
        <v>369</v>
      </c>
      <c r="U105" s="6">
        <v>42136.734016203707</v>
      </c>
      <c r="V105" t="s">
        <v>18</v>
      </c>
      <c r="W105" t="s">
        <v>17</v>
      </c>
      <c r="X105" s="6">
        <v>41948.632592592592</v>
      </c>
      <c r="Y105" t="s">
        <v>245</v>
      </c>
      <c r="AB105" t="s">
        <v>201</v>
      </c>
      <c r="AC105" t="s">
        <v>247</v>
      </c>
      <c r="AD105" t="s">
        <v>222</v>
      </c>
      <c r="AE105" t="s">
        <v>221</v>
      </c>
      <c r="AG105" t="s">
        <v>121</v>
      </c>
      <c r="AH105" t="s">
        <v>327</v>
      </c>
      <c r="AI105" t="s">
        <v>121</v>
      </c>
      <c r="AJ105" t="s">
        <v>715</v>
      </c>
      <c r="AK105" t="s">
        <v>121</v>
      </c>
    </row>
    <row r="106" spans="1:37" x14ac:dyDescent="0.3">
      <c r="I106">
        <f ca="1">IF(OR(INDIRECT(A73&amp;ROW())=B93,INDIRECT(A73&amp;ROW())=B94),1,IF(AND(INDIRECT(A73&amp;ROW())=B95,INDIRECT(A96&amp;ROW())=C93),1,IF(AND(INDIRECT(A73&amp;ROW())=B95,INDIRECT(A96&amp;ROW())=C94),1,0)))</f>
        <v>0</v>
      </c>
      <c r="J106">
        <f ca="1">IF(AND(INDIRECT(A73&amp;ROW())=B95,INDIRECT(A96&amp;ROW())=C95),1,IF(AND(INDIRECT(A73&amp;ROW())=B95,INDIRECT(A96&amp;ROW())=C96),1,0))</f>
        <v>1</v>
      </c>
      <c r="K106">
        <f ca="1">DAYS360(INDIRECT(C68&amp;ROW()),TODAY())</f>
        <v>730</v>
      </c>
      <c r="L106">
        <f ca="1">DAYS360(INDIRECT(C69&amp;ROW()),TODAY())</f>
        <v>896</v>
      </c>
      <c r="M106" s="11">
        <f ca="1">HYPERLINK(CONCATENATE("https://bugzilla.houston.hp.com:1181/bugzilla/show_bug.cgi?id=",INDIRECT(C70&amp;ROW())),INDIRECT(C70&amp;ROW()))</f>
        <v>52807</v>
      </c>
      <c r="N106">
        <v>52807</v>
      </c>
      <c r="O106" t="s">
        <v>88</v>
      </c>
      <c r="P106" t="s">
        <v>680</v>
      </c>
      <c r="Q106" t="s">
        <v>25</v>
      </c>
      <c r="R106" t="s">
        <v>251</v>
      </c>
      <c r="S106" t="s">
        <v>28</v>
      </c>
      <c r="U106" s="6">
        <v>42116.543541666666</v>
      </c>
      <c r="V106" t="s">
        <v>18</v>
      </c>
      <c r="W106" t="s">
        <v>17</v>
      </c>
      <c r="X106" s="6">
        <v>41949.735173611109</v>
      </c>
      <c r="Y106" t="s">
        <v>246</v>
      </c>
      <c r="AB106" t="s">
        <v>201</v>
      </c>
      <c r="AC106" t="s">
        <v>247</v>
      </c>
      <c r="AD106" t="s">
        <v>222</v>
      </c>
      <c r="AE106" t="s">
        <v>221</v>
      </c>
      <c r="AG106" t="s">
        <v>121</v>
      </c>
      <c r="AH106" t="s">
        <v>327</v>
      </c>
      <c r="AI106" t="s">
        <v>121</v>
      </c>
      <c r="AJ106" t="s">
        <v>716</v>
      </c>
      <c r="AK106" t="s">
        <v>121</v>
      </c>
    </row>
    <row r="107" spans="1:37" x14ac:dyDescent="0.3">
      <c r="I107">
        <f ca="1">IF(OR(INDIRECT(A73&amp;ROW())=B93,INDIRECT(A73&amp;ROW())=B94),1,IF(AND(INDIRECT(A73&amp;ROW())=B95,INDIRECT(A96&amp;ROW())=C93),1,IF(AND(INDIRECT(A73&amp;ROW())=B95,INDIRECT(A96&amp;ROW())=C94),1,0)))</f>
        <v>0</v>
      </c>
      <c r="J107">
        <f ca="1">IF(AND(INDIRECT(A73&amp;ROW())=B95,INDIRECT(A96&amp;ROW())=C95),1,IF(AND(INDIRECT(A73&amp;ROW())=B95,INDIRECT(A96&amp;ROW())=C96),1,0))</f>
        <v>1</v>
      </c>
      <c r="K107">
        <f ca="1">DAYS360(INDIRECT(C68&amp;ROW()),TODAY())</f>
        <v>730</v>
      </c>
      <c r="L107">
        <f ca="1">DAYS360(INDIRECT(C69&amp;ROW()),TODAY())</f>
        <v>896</v>
      </c>
      <c r="M107" s="11">
        <f ca="1">HYPERLINK(CONCATENATE("https://bugzilla.houston.hp.com:1181/bugzilla/show_bug.cgi?id=",INDIRECT(C70&amp;ROW())),INDIRECT(C70&amp;ROW()))</f>
        <v>52811</v>
      </c>
      <c r="N107">
        <v>52811</v>
      </c>
      <c r="O107" t="s">
        <v>88</v>
      </c>
      <c r="P107" t="s">
        <v>679</v>
      </c>
      <c r="Q107" t="s">
        <v>25</v>
      </c>
      <c r="R107" t="s">
        <v>251</v>
      </c>
      <c r="S107" t="s">
        <v>49</v>
      </c>
      <c r="U107" s="6">
        <v>42116.543622685182</v>
      </c>
      <c r="V107" t="s">
        <v>18</v>
      </c>
      <c r="W107" t="s">
        <v>17</v>
      </c>
      <c r="X107" s="6">
        <v>41949.822881944441</v>
      </c>
      <c r="Y107" t="s">
        <v>246</v>
      </c>
      <c r="AB107" t="s">
        <v>201</v>
      </c>
      <c r="AC107" t="s">
        <v>247</v>
      </c>
      <c r="AD107" t="s">
        <v>222</v>
      </c>
      <c r="AE107" t="s">
        <v>221</v>
      </c>
      <c r="AG107" t="s">
        <v>121</v>
      </c>
      <c r="AH107" t="s">
        <v>327</v>
      </c>
      <c r="AI107" t="s">
        <v>121</v>
      </c>
      <c r="AJ107" t="s">
        <v>716</v>
      </c>
      <c r="AK107" t="s">
        <v>121</v>
      </c>
    </row>
    <row r="108" spans="1:37" x14ac:dyDescent="0.3">
      <c r="I108">
        <f ca="1">IF(OR(INDIRECT(A73&amp;ROW())=B93,INDIRECT(A73&amp;ROW())=B94),1,IF(AND(INDIRECT(A73&amp;ROW())=B95,INDIRECT(A96&amp;ROW())=C93),1,IF(AND(INDIRECT(A73&amp;ROW())=B95,INDIRECT(A96&amp;ROW())=C94),1,0)))</f>
        <v>0</v>
      </c>
      <c r="J108">
        <f ca="1">IF(AND(INDIRECT(A73&amp;ROW())=B95,INDIRECT(A96&amp;ROW())=C95),1,IF(AND(INDIRECT(A73&amp;ROW())=B95,INDIRECT(A96&amp;ROW())=C96),1,0))</f>
        <v>0</v>
      </c>
      <c r="K108">
        <f ca="1">DAYS360(INDIRECT(C68&amp;ROW()),TODAY())</f>
        <v>721</v>
      </c>
      <c r="L108">
        <f ca="1">DAYS360(INDIRECT(C69&amp;ROW()),TODAY())</f>
        <v>895</v>
      </c>
      <c r="M108" s="11">
        <f ca="1">HYPERLINK(CONCATENATE("https://bugzilla.houston.hp.com:1181/bugzilla/show_bug.cgi?id=",INDIRECT(C70&amp;ROW())),INDIRECT(C70&amp;ROW()))</f>
        <v>52820</v>
      </c>
      <c r="N108">
        <v>52820</v>
      </c>
      <c r="O108" t="s">
        <v>88</v>
      </c>
      <c r="P108" t="s">
        <v>678</v>
      </c>
      <c r="Q108" t="s">
        <v>16</v>
      </c>
      <c r="R108" t="s">
        <v>251</v>
      </c>
      <c r="S108" t="s">
        <v>344</v>
      </c>
      <c r="U108" s="6">
        <v>42125.447638888887</v>
      </c>
      <c r="V108" t="s">
        <v>18</v>
      </c>
      <c r="W108" t="s">
        <v>17</v>
      </c>
      <c r="X108" s="6">
        <v>41950.132824074077</v>
      </c>
      <c r="Y108" t="s">
        <v>122</v>
      </c>
      <c r="AB108" t="s">
        <v>201</v>
      </c>
      <c r="AC108" t="s">
        <v>247</v>
      </c>
      <c r="AD108" t="s">
        <v>222</v>
      </c>
      <c r="AE108" t="s">
        <v>221</v>
      </c>
      <c r="AG108" t="s">
        <v>121</v>
      </c>
      <c r="AH108" t="s">
        <v>327</v>
      </c>
      <c r="AI108" t="s">
        <v>121</v>
      </c>
      <c r="AJ108" t="s">
        <v>717</v>
      </c>
      <c r="AK108" t="s">
        <v>121</v>
      </c>
    </row>
    <row r="109" spans="1:37" x14ac:dyDescent="0.3">
      <c r="I109">
        <f ca="1">IF(OR(INDIRECT(A73&amp;ROW())=B93,INDIRECT(A73&amp;ROW())=B94),1,IF(AND(INDIRECT(A73&amp;ROW())=B95,INDIRECT(A96&amp;ROW())=C93),1,IF(AND(INDIRECT(A73&amp;ROW())=B95,INDIRECT(A96&amp;ROW())=C94),1,0)))</f>
        <v>0</v>
      </c>
      <c r="J109">
        <f ca="1">IF(AND(INDIRECT(A73&amp;ROW())=B95,INDIRECT(A96&amp;ROW())=C95),1,IF(AND(INDIRECT(A73&amp;ROW())=B95,INDIRECT(A96&amp;ROW())=C96),1,0))</f>
        <v>0</v>
      </c>
      <c r="K109">
        <f ca="1">DAYS360(INDIRECT(C68&amp;ROW()),TODAY())</f>
        <v>728</v>
      </c>
      <c r="L109">
        <f ca="1">DAYS360(INDIRECT(C69&amp;ROW()),TODAY())</f>
        <v>895</v>
      </c>
      <c r="M109" s="11">
        <f ca="1">HYPERLINK(CONCATENATE("https://bugzilla.houston.hp.com:1181/bugzilla/show_bug.cgi?id=",INDIRECT(C70&amp;ROW())),INDIRECT(C70&amp;ROW()))</f>
        <v>52830</v>
      </c>
      <c r="N109">
        <v>52830</v>
      </c>
      <c r="O109" t="s">
        <v>66</v>
      </c>
      <c r="P109" t="s">
        <v>677</v>
      </c>
      <c r="Q109" t="s">
        <v>16</v>
      </c>
      <c r="R109" t="s">
        <v>251</v>
      </c>
      <c r="S109" t="s">
        <v>366</v>
      </c>
      <c r="U109" s="6">
        <v>42118.522511574076</v>
      </c>
      <c r="V109" t="s">
        <v>18</v>
      </c>
      <c r="W109" t="s">
        <v>17</v>
      </c>
      <c r="X109" s="6">
        <v>41950.29074074074</v>
      </c>
      <c r="Y109" t="s">
        <v>124</v>
      </c>
      <c r="AB109" t="s">
        <v>201</v>
      </c>
      <c r="AC109" t="s">
        <v>247</v>
      </c>
      <c r="AD109" t="s">
        <v>220</v>
      </c>
      <c r="AE109" t="s">
        <v>219</v>
      </c>
      <c r="AG109" t="s">
        <v>121</v>
      </c>
      <c r="AH109" t="s">
        <v>327</v>
      </c>
      <c r="AI109" t="s">
        <v>121</v>
      </c>
      <c r="AJ109" t="s">
        <v>717</v>
      </c>
      <c r="AK109" t="s">
        <v>121</v>
      </c>
    </row>
    <row r="110" spans="1:37" x14ac:dyDescent="0.3">
      <c r="I110">
        <f ca="1">IF(OR(INDIRECT(A73&amp;ROW())=B93,INDIRECT(A73&amp;ROW())=B94),1,IF(AND(INDIRECT(A73&amp;ROW())=B95,INDIRECT(A96&amp;ROW())=C93),1,IF(AND(INDIRECT(A73&amp;ROW())=B95,INDIRECT(A96&amp;ROW())=C94),1,0)))</f>
        <v>0</v>
      </c>
      <c r="J110">
        <f ca="1">IF(AND(INDIRECT(A73&amp;ROW())=B95,INDIRECT(A96&amp;ROW())=C95),1,IF(AND(INDIRECT(A73&amp;ROW())=B95,INDIRECT(A96&amp;ROW())=C96),1,0))</f>
        <v>0</v>
      </c>
      <c r="K110">
        <f ca="1">DAYS360(INDIRECT(C68&amp;ROW()),TODAY())</f>
        <v>728</v>
      </c>
      <c r="L110">
        <f ca="1">DAYS360(INDIRECT(C69&amp;ROW()),TODAY())</f>
        <v>892</v>
      </c>
      <c r="M110" s="11">
        <f ca="1">HYPERLINK(CONCATENATE("https://bugzilla.houston.hp.com:1181/bugzilla/show_bug.cgi?id=",INDIRECT(C70&amp;ROW())),INDIRECT(C70&amp;ROW()))</f>
        <v>52912</v>
      </c>
      <c r="N110">
        <v>52912</v>
      </c>
      <c r="O110" t="s">
        <v>180</v>
      </c>
      <c r="P110" t="s">
        <v>676</v>
      </c>
      <c r="Q110" t="s">
        <v>16</v>
      </c>
      <c r="R110" t="s">
        <v>251</v>
      </c>
      <c r="S110" t="s">
        <v>368</v>
      </c>
      <c r="U110" s="6">
        <v>42118.522604166668</v>
      </c>
      <c r="V110" t="s">
        <v>18</v>
      </c>
      <c r="W110" t="s">
        <v>17</v>
      </c>
      <c r="X110" s="6">
        <v>41953.282175925924</v>
      </c>
      <c r="Y110" t="s">
        <v>342</v>
      </c>
      <c r="AB110" t="s">
        <v>201</v>
      </c>
      <c r="AC110" t="s">
        <v>217</v>
      </c>
      <c r="AD110" t="s">
        <v>222</v>
      </c>
      <c r="AE110" t="s">
        <v>225</v>
      </c>
      <c r="AG110" t="s">
        <v>121</v>
      </c>
      <c r="AH110" t="s">
        <v>327</v>
      </c>
      <c r="AI110" t="s">
        <v>121</v>
      </c>
      <c r="AJ110" t="s">
        <v>717</v>
      </c>
      <c r="AK110" t="s">
        <v>121</v>
      </c>
    </row>
    <row r="111" spans="1:37" x14ac:dyDescent="0.3">
      <c r="I111">
        <f ca="1">IF(OR(INDIRECT(A73&amp;ROW())=B93,INDIRECT(A73&amp;ROW())=B94),1,IF(AND(INDIRECT(A73&amp;ROW())=B95,INDIRECT(A96&amp;ROW())=C93),1,IF(AND(INDIRECT(A73&amp;ROW())=B95,INDIRECT(A96&amp;ROW())=C94),1,0)))</f>
        <v>0</v>
      </c>
      <c r="J111">
        <f ca="1">IF(AND(INDIRECT(A73&amp;ROW())=B95,INDIRECT(A96&amp;ROW())=C95),1,IF(AND(INDIRECT(A73&amp;ROW())=B95,INDIRECT(A96&amp;ROW())=C96),1,0))</f>
        <v>0</v>
      </c>
      <c r="K111">
        <f ca="1">DAYS360(INDIRECT(C68&amp;ROW()),TODAY())</f>
        <v>721</v>
      </c>
      <c r="L111">
        <f ca="1">DAYS360(INDIRECT(C69&amp;ROW()),TODAY())</f>
        <v>892</v>
      </c>
      <c r="M111" s="11">
        <f ca="1">HYPERLINK(CONCATENATE("https://bugzilla.houston.hp.com:1181/bugzilla/show_bug.cgi?id=",INDIRECT(C70&amp;ROW())),INDIRECT(C70&amp;ROW()))</f>
        <v>52923</v>
      </c>
      <c r="N111">
        <v>52923</v>
      </c>
      <c r="O111" t="s">
        <v>56</v>
      </c>
      <c r="P111" t="s">
        <v>546</v>
      </c>
      <c r="Q111" t="s">
        <v>16</v>
      </c>
      <c r="R111" t="s">
        <v>251</v>
      </c>
      <c r="S111" t="s">
        <v>53</v>
      </c>
      <c r="U111" s="6">
        <v>42125.448680555557</v>
      </c>
      <c r="V111" t="s">
        <v>18</v>
      </c>
      <c r="W111" t="s">
        <v>17</v>
      </c>
      <c r="X111" s="6">
        <v>41953.569768518515</v>
      </c>
      <c r="Y111" t="s">
        <v>122</v>
      </c>
      <c r="AB111" t="s">
        <v>201</v>
      </c>
      <c r="AC111" t="s">
        <v>247</v>
      </c>
      <c r="AD111" t="s">
        <v>220</v>
      </c>
      <c r="AE111" t="s">
        <v>219</v>
      </c>
      <c r="AG111" t="s">
        <v>121</v>
      </c>
      <c r="AH111" t="s">
        <v>327</v>
      </c>
      <c r="AI111" t="s">
        <v>121</v>
      </c>
      <c r="AJ111" t="s">
        <v>717</v>
      </c>
      <c r="AK111" t="s">
        <v>121</v>
      </c>
    </row>
    <row r="112" spans="1:37" x14ac:dyDescent="0.3">
      <c r="I112">
        <f ca="1">IF(OR(INDIRECT(A73&amp;ROW())=B93,INDIRECT(A73&amp;ROW())=B94),1,IF(AND(INDIRECT(A73&amp;ROW())=B95,INDIRECT(A96&amp;ROW())=C93),1,IF(AND(INDIRECT(A73&amp;ROW())=B95,INDIRECT(A96&amp;ROW())=C94),1,0)))</f>
        <v>0</v>
      </c>
      <c r="J112">
        <f ca="1">IF(AND(INDIRECT(A73&amp;ROW())=B95,INDIRECT(A96&amp;ROW())=C95),1,IF(AND(INDIRECT(A73&amp;ROW())=B95,INDIRECT(A96&amp;ROW())=C96),1,0))</f>
        <v>1</v>
      </c>
      <c r="K112">
        <f ca="1">DAYS360(INDIRECT(C68&amp;ROW()),TODAY())</f>
        <v>721</v>
      </c>
      <c r="L112">
        <f ca="1">DAYS360(INDIRECT(C69&amp;ROW()),TODAY())</f>
        <v>892</v>
      </c>
      <c r="M112" s="11">
        <f ca="1">HYPERLINK(CONCATENATE("https://bugzilla.houston.hp.com:1181/bugzilla/show_bug.cgi?id=",INDIRECT(C70&amp;ROW())),INDIRECT(C70&amp;ROW()))</f>
        <v>52933</v>
      </c>
      <c r="N112">
        <v>52933</v>
      </c>
      <c r="O112" t="s">
        <v>241</v>
      </c>
      <c r="P112" t="s">
        <v>489</v>
      </c>
      <c r="Q112" t="s">
        <v>25</v>
      </c>
      <c r="R112" t="s">
        <v>251</v>
      </c>
      <c r="S112" t="s">
        <v>177</v>
      </c>
      <c r="U112" s="6">
        <v>42125.655624999999</v>
      </c>
      <c r="V112" t="s">
        <v>18</v>
      </c>
      <c r="W112" t="s">
        <v>17</v>
      </c>
      <c r="X112" s="6">
        <v>41953.77202546296</v>
      </c>
      <c r="Y112" t="s">
        <v>245</v>
      </c>
      <c r="AB112" t="s">
        <v>201</v>
      </c>
      <c r="AC112" t="s">
        <v>247</v>
      </c>
      <c r="AD112" t="s">
        <v>227</v>
      </c>
      <c r="AE112" t="s">
        <v>237</v>
      </c>
      <c r="AG112" t="s">
        <v>121</v>
      </c>
      <c r="AH112" t="s">
        <v>327</v>
      </c>
      <c r="AI112" t="s">
        <v>121</v>
      </c>
      <c r="AJ112" t="s">
        <v>716</v>
      </c>
      <c r="AK112" t="s">
        <v>121</v>
      </c>
    </row>
    <row r="113" spans="9:37" x14ac:dyDescent="0.3">
      <c r="I113">
        <f ca="1">IF(OR(INDIRECT(A73&amp;ROW())=B93,INDIRECT(A73&amp;ROW())=B94),1,IF(AND(INDIRECT(A73&amp;ROW())=B95,INDIRECT(A96&amp;ROW())=C93),1,IF(AND(INDIRECT(A73&amp;ROW())=B95,INDIRECT(A96&amp;ROW())=C94),1,0)))</f>
        <v>0</v>
      </c>
      <c r="J113">
        <f ca="1">IF(AND(INDIRECT(A73&amp;ROW())=B95,INDIRECT(A96&amp;ROW())=C95),1,IF(AND(INDIRECT(A73&amp;ROW())=B95,INDIRECT(A96&amp;ROW())=C96),1,0))</f>
        <v>0</v>
      </c>
      <c r="K113">
        <f ca="1">DAYS360(INDIRECT(C68&amp;ROW()),TODAY())</f>
        <v>802</v>
      </c>
      <c r="L113">
        <f ca="1">DAYS360(INDIRECT(C69&amp;ROW()),TODAY())</f>
        <v>891</v>
      </c>
      <c r="M113" s="11">
        <f ca="1">HYPERLINK(CONCATENATE("https://bugzilla.houston.hp.com:1181/bugzilla/show_bug.cgi?id=",INDIRECT(C70&amp;ROW())),INDIRECT(C70&amp;ROW()))</f>
        <v>52985</v>
      </c>
      <c r="N113">
        <v>52985</v>
      </c>
      <c r="O113" t="s">
        <v>56</v>
      </c>
      <c r="P113" t="s">
        <v>675</v>
      </c>
      <c r="Q113" t="s">
        <v>16</v>
      </c>
      <c r="R113" t="s">
        <v>251</v>
      </c>
      <c r="S113" t="s">
        <v>187</v>
      </c>
      <c r="U113" s="6">
        <v>42045.687777777777</v>
      </c>
      <c r="V113" t="s">
        <v>18</v>
      </c>
      <c r="W113" t="s">
        <v>17</v>
      </c>
      <c r="X113" s="6">
        <v>41954.94976851852</v>
      </c>
      <c r="Y113" t="s">
        <v>371</v>
      </c>
      <c r="AB113" t="s">
        <v>199</v>
      </c>
      <c r="AC113" t="s">
        <v>247</v>
      </c>
      <c r="AD113" t="s">
        <v>220</v>
      </c>
      <c r="AE113" t="s">
        <v>219</v>
      </c>
      <c r="AG113" t="s">
        <v>121</v>
      </c>
      <c r="AH113" t="s">
        <v>327</v>
      </c>
      <c r="AI113" t="s">
        <v>121</v>
      </c>
      <c r="AJ113" t="s">
        <v>716</v>
      </c>
      <c r="AK113" t="s">
        <v>121</v>
      </c>
    </row>
    <row r="114" spans="9:37" x14ac:dyDescent="0.3">
      <c r="I114">
        <f ca="1">IF(OR(INDIRECT(A73&amp;ROW())=B93,INDIRECT(A73&amp;ROW())=B94),1,IF(AND(INDIRECT(A73&amp;ROW())=B95,INDIRECT(A96&amp;ROW())=C93),1,IF(AND(INDIRECT(A73&amp;ROW())=B95,INDIRECT(A96&amp;ROW())=C94),1,0)))</f>
        <v>0</v>
      </c>
      <c r="J114">
        <f ca="1">IF(AND(INDIRECT(A73&amp;ROW())=B95,INDIRECT(A96&amp;ROW())=C95),1,IF(AND(INDIRECT(A73&amp;ROW())=B95,INDIRECT(A96&amp;ROW())=C96),1,0))</f>
        <v>1</v>
      </c>
      <c r="K114">
        <f ca="1">DAYS360(INDIRECT(C68&amp;ROW()),TODAY())</f>
        <v>731</v>
      </c>
      <c r="L114">
        <f ca="1">DAYS360(INDIRECT(C69&amp;ROW()),TODAY())</f>
        <v>890</v>
      </c>
      <c r="M114" s="11">
        <f ca="1">HYPERLINK(CONCATENATE("https://bugzilla.houston.hp.com:1181/bugzilla/show_bug.cgi?id=",INDIRECT(C70&amp;ROW())),INDIRECT(C70&amp;ROW()))</f>
        <v>53006</v>
      </c>
      <c r="N114">
        <v>53006</v>
      </c>
      <c r="O114" t="s">
        <v>50</v>
      </c>
      <c r="P114" t="s">
        <v>469</v>
      </c>
      <c r="Q114" t="s">
        <v>25</v>
      </c>
      <c r="R114" t="s">
        <v>251</v>
      </c>
      <c r="S114" t="s">
        <v>315</v>
      </c>
      <c r="U114" s="6">
        <v>42115.913449074076</v>
      </c>
      <c r="V114" t="s">
        <v>18</v>
      </c>
      <c r="W114" t="s">
        <v>17</v>
      </c>
      <c r="X114" s="6">
        <v>41955.206990740742</v>
      </c>
      <c r="Y114" t="s">
        <v>119</v>
      </c>
      <c r="AA114" t="s">
        <v>184</v>
      </c>
      <c r="AB114" t="s">
        <v>201</v>
      </c>
      <c r="AC114" t="s">
        <v>247</v>
      </c>
      <c r="AD114" t="s">
        <v>227</v>
      </c>
      <c r="AE114" t="s">
        <v>370</v>
      </c>
      <c r="AG114" t="s">
        <v>121</v>
      </c>
      <c r="AH114" t="s">
        <v>327</v>
      </c>
      <c r="AI114" t="s">
        <v>121</v>
      </c>
      <c r="AJ114" t="s">
        <v>716</v>
      </c>
      <c r="AK114" t="s">
        <v>121</v>
      </c>
    </row>
    <row r="115" spans="9:37" x14ac:dyDescent="0.3">
      <c r="I115">
        <f ca="1">IF(OR(INDIRECT(A73&amp;ROW())=B93,INDIRECT(A73&amp;ROW())=B94),1,IF(AND(INDIRECT(A73&amp;ROW())=B95,INDIRECT(A96&amp;ROW())=C93),1,IF(AND(INDIRECT(A73&amp;ROW())=B95,INDIRECT(A96&amp;ROW())=C94),1,0)))</f>
        <v>0</v>
      </c>
      <c r="J115">
        <f ca="1">IF(AND(INDIRECT(A73&amp;ROW())=B95,INDIRECT(A96&amp;ROW())=C95),1,IF(AND(INDIRECT(A73&amp;ROW())=B95,INDIRECT(A96&amp;ROW())=C96),1,0))</f>
        <v>0</v>
      </c>
      <c r="K115">
        <f ca="1">DAYS360(INDIRECT(C68&amp;ROW()),TODAY())</f>
        <v>721</v>
      </c>
      <c r="L115">
        <f ca="1">DAYS360(INDIRECT(C69&amp;ROW()),TODAY())</f>
        <v>889</v>
      </c>
      <c r="M115" s="11">
        <f ca="1">HYPERLINK(CONCATENATE("https://bugzilla.houston.hp.com:1181/bugzilla/show_bug.cgi?id=",INDIRECT(C70&amp;ROW())),INDIRECT(C70&amp;ROW()))</f>
        <v>53105</v>
      </c>
      <c r="N115">
        <v>53105</v>
      </c>
      <c r="O115" t="s">
        <v>56</v>
      </c>
      <c r="P115" t="s">
        <v>468</v>
      </c>
      <c r="Q115" t="s">
        <v>16</v>
      </c>
      <c r="R115" t="s">
        <v>251</v>
      </c>
      <c r="S115" t="s">
        <v>374</v>
      </c>
      <c r="U115" s="6">
        <v>42125.448692129627</v>
      </c>
      <c r="V115" t="s">
        <v>18</v>
      </c>
      <c r="W115" t="s">
        <v>17</v>
      </c>
      <c r="X115" s="6">
        <v>41956.951111111113</v>
      </c>
      <c r="Y115" t="s">
        <v>122</v>
      </c>
      <c r="AB115" t="s">
        <v>200</v>
      </c>
      <c r="AC115" t="s">
        <v>247</v>
      </c>
      <c r="AD115" t="s">
        <v>220</v>
      </c>
      <c r="AE115" t="s">
        <v>219</v>
      </c>
      <c r="AG115" t="s">
        <v>121</v>
      </c>
      <c r="AH115" t="s">
        <v>327</v>
      </c>
      <c r="AI115" t="s">
        <v>121</v>
      </c>
      <c r="AJ115" t="s">
        <v>716</v>
      </c>
      <c r="AK115" t="s">
        <v>121</v>
      </c>
    </row>
    <row r="116" spans="9:37" x14ac:dyDescent="0.3">
      <c r="I116">
        <f ca="1">IF(OR(INDIRECT(A73&amp;ROW())=B93,INDIRECT(A73&amp;ROW())=B94),1,IF(AND(INDIRECT(A73&amp;ROW())=B95,INDIRECT(A96&amp;ROW())=C93),1,IF(AND(INDIRECT(A73&amp;ROW())=B95,INDIRECT(A96&amp;ROW())=C94),1,0)))</f>
        <v>0</v>
      </c>
      <c r="J116">
        <f ca="1">IF(AND(INDIRECT(A73&amp;ROW())=B95,INDIRECT(A96&amp;ROW())=C95),1,IF(AND(INDIRECT(A73&amp;ROW())=B95,INDIRECT(A96&amp;ROW())=C96),1,0))</f>
        <v>0</v>
      </c>
      <c r="K116">
        <f ca="1">DAYS360(INDIRECT(C68&amp;ROW()),TODAY())</f>
        <v>710</v>
      </c>
      <c r="L116">
        <f ca="1">DAYS360(INDIRECT(C69&amp;ROW()),TODAY())</f>
        <v>885</v>
      </c>
      <c r="M116" s="11">
        <f ca="1">HYPERLINK(CONCATENATE("https://bugzilla.houston.hp.com:1181/bugzilla/show_bug.cgi?id=",INDIRECT(C70&amp;ROW())),INDIRECT(C70&amp;ROW()))</f>
        <v>53213</v>
      </c>
      <c r="N116">
        <v>53213</v>
      </c>
      <c r="O116" t="s">
        <v>43</v>
      </c>
      <c r="P116" t="s">
        <v>1049</v>
      </c>
      <c r="Q116" t="s">
        <v>16</v>
      </c>
      <c r="R116" t="s">
        <v>251</v>
      </c>
      <c r="S116" t="s">
        <v>68</v>
      </c>
      <c r="T116" t="s">
        <v>794</v>
      </c>
      <c r="U116" s="6">
        <v>42136.636747685188</v>
      </c>
      <c r="V116" t="s">
        <v>18</v>
      </c>
      <c r="W116" t="s">
        <v>17</v>
      </c>
      <c r="X116" s="6">
        <v>41960.464930555558</v>
      </c>
      <c r="Y116" t="s">
        <v>124</v>
      </c>
      <c r="AB116" t="s">
        <v>201</v>
      </c>
      <c r="AC116" t="s">
        <v>247</v>
      </c>
      <c r="AD116" t="s">
        <v>220</v>
      </c>
      <c r="AE116" t="s">
        <v>219</v>
      </c>
      <c r="AG116" t="s">
        <v>121</v>
      </c>
      <c r="AH116" t="s">
        <v>327</v>
      </c>
      <c r="AI116" t="s">
        <v>121</v>
      </c>
      <c r="AJ116" t="s">
        <v>717</v>
      </c>
      <c r="AK116" t="s">
        <v>121</v>
      </c>
    </row>
    <row r="117" spans="9:37" x14ac:dyDescent="0.3">
      <c r="I117">
        <f ca="1">IF(OR(INDIRECT(A73&amp;ROW())=B93,INDIRECT(A73&amp;ROW())=B94),1,IF(AND(INDIRECT(A73&amp;ROW())=B95,INDIRECT(A96&amp;ROW())=C93),1,IF(AND(INDIRECT(A73&amp;ROW())=B95,INDIRECT(A96&amp;ROW())=C94),1,0)))</f>
        <v>0</v>
      </c>
      <c r="J117">
        <f ca="1">IF(AND(INDIRECT(A73&amp;ROW())=B95,INDIRECT(A96&amp;ROW())=C95),1,IF(AND(INDIRECT(A73&amp;ROW())=B95,INDIRECT(A96&amp;ROW())=C96),1,0))</f>
        <v>0</v>
      </c>
      <c r="K117">
        <f ca="1">DAYS360(INDIRECT(C68&amp;ROW()),TODAY())</f>
        <v>721</v>
      </c>
      <c r="L117">
        <f ca="1">DAYS360(INDIRECT(C69&amp;ROW()),TODAY())</f>
        <v>885</v>
      </c>
      <c r="M117" s="11">
        <f ca="1">HYPERLINK(CONCATENATE("https://bugzilla.houston.hp.com:1181/bugzilla/show_bug.cgi?id=",INDIRECT(C70&amp;ROW())),INDIRECT(C70&amp;ROW()))</f>
        <v>53225</v>
      </c>
      <c r="N117">
        <v>53225</v>
      </c>
      <c r="O117" t="s">
        <v>56</v>
      </c>
      <c r="P117" t="s">
        <v>377</v>
      </c>
      <c r="Q117" t="s">
        <v>16</v>
      </c>
      <c r="R117" t="s">
        <v>248</v>
      </c>
      <c r="S117" t="s">
        <v>36</v>
      </c>
      <c r="U117" s="6">
        <v>42125.443796296298</v>
      </c>
      <c r="V117" t="s">
        <v>18</v>
      </c>
      <c r="W117" t="s">
        <v>17</v>
      </c>
      <c r="X117" s="6">
        <v>41960.705925925926</v>
      </c>
      <c r="Y117" t="s">
        <v>122</v>
      </c>
      <c r="AB117" t="s">
        <v>201</v>
      </c>
      <c r="AC117" t="s">
        <v>121</v>
      </c>
      <c r="AD117" t="s">
        <v>220</v>
      </c>
      <c r="AE117" t="s">
        <v>219</v>
      </c>
      <c r="AG117" t="s">
        <v>121</v>
      </c>
      <c r="AH117" t="s">
        <v>327</v>
      </c>
      <c r="AI117" t="s">
        <v>121</v>
      </c>
      <c r="AJ117" t="s">
        <v>717</v>
      </c>
      <c r="AK117" t="s">
        <v>121</v>
      </c>
    </row>
    <row r="118" spans="9:37" x14ac:dyDescent="0.3">
      <c r="I118">
        <f ca="1">IF(OR(INDIRECT(A73&amp;ROW())=B93,INDIRECT(A73&amp;ROW())=B94),1,IF(AND(INDIRECT(A73&amp;ROW())=B95,INDIRECT(A96&amp;ROW())=C93),1,IF(AND(INDIRECT(A73&amp;ROW())=B95,INDIRECT(A96&amp;ROW())=C94),1,0)))</f>
        <v>0</v>
      </c>
      <c r="J118">
        <f ca="1">IF(AND(INDIRECT(A73&amp;ROW())=B95,INDIRECT(A96&amp;ROW())=C95),1,IF(AND(INDIRECT(A73&amp;ROW())=B95,INDIRECT(A96&amp;ROW())=C96),1,0))</f>
        <v>0</v>
      </c>
      <c r="K118">
        <f ca="1">DAYS360(INDIRECT(C68&amp;ROW()),TODAY())</f>
        <v>721</v>
      </c>
      <c r="L118">
        <f ca="1">DAYS360(INDIRECT(C69&amp;ROW()),TODAY())</f>
        <v>885</v>
      </c>
      <c r="M118" s="11">
        <f ca="1">HYPERLINK(CONCATENATE("https://bugzilla.houston.hp.com:1181/bugzilla/show_bug.cgi?id=",INDIRECT(C70&amp;ROW())),INDIRECT(C70&amp;ROW()))</f>
        <v>53231</v>
      </c>
      <c r="N118">
        <v>53231</v>
      </c>
      <c r="O118" t="s">
        <v>56</v>
      </c>
      <c r="P118" t="s">
        <v>376</v>
      </c>
      <c r="Q118" t="s">
        <v>16</v>
      </c>
      <c r="R118" t="s">
        <v>248</v>
      </c>
      <c r="S118" t="s">
        <v>36</v>
      </c>
      <c r="U118" s="6">
        <v>42125.443854166668</v>
      </c>
      <c r="V118" t="s">
        <v>18</v>
      </c>
      <c r="W118" t="s">
        <v>17</v>
      </c>
      <c r="X118" s="6">
        <v>41960.706388888888</v>
      </c>
      <c r="Y118" t="s">
        <v>122</v>
      </c>
      <c r="AB118" t="s">
        <v>201</v>
      </c>
      <c r="AC118" t="s">
        <v>121</v>
      </c>
      <c r="AD118" t="s">
        <v>220</v>
      </c>
      <c r="AE118" t="s">
        <v>219</v>
      </c>
      <c r="AG118" t="s">
        <v>121</v>
      </c>
      <c r="AH118" t="s">
        <v>64</v>
      </c>
      <c r="AI118" t="s">
        <v>121</v>
      </c>
      <c r="AJ118" t="s">
        <v>717</v>
      </c>
      <c r="AK118" t="s">
        <v>121</v>
      </c>
    </row>
    <row r="119" spans="9:37" x14ac:dyDescent="0.3">
      <c r="I119">
        <f ca="1">IF(OR(INDIRECT(A73&amp;ROW())=B93,INDIRECT(A73&amp;ROW())=B94),1,IF(AND(INDIRECT(A73&amp;ROW())=B95,INDIRECT(A96&amp;ROW())=C93),1,IF(AND(INDIRECT(A73&amp;ROW())=B95,INDIRECT(A96&amp;ROW())=C94),1,0)))</f>
        <v>0</v>
      </c>
      <c r="J119">
        <f ca="1">IF(AND(INDIRECT(A73&amp;ROW())=B95,INDIRECT(A96&amp;ROW())=C95),1,IF(AND(INDIRECT(A73&amp;ROW())=B95,INDIRECT(A96&amp;ROW())=C96),1,0))</f>
        <v>0</v>
      </c>
      <c r="K119">
        <f ca="1">DAYS360(INDIRECT(C68&amp;ROW()),TODAY())</f>
        <v>721</v>
      </c>
      <c r="L119">
        <f ca="1">DAYS360(INDIRECT(C69&amp;ROW()),TODAY())</f>
        <v>884</v>
      </c>
      <c r="M119" s="11">
        <f ca="1">HYPERLINK(CONCATENATE("https://bugzilla.houston.hp.com:1181/bugzilla/show_bug.cgi?id=",INDIRECT(C70&amp;ROW())),INDIRECT(C70&amp;ROW()))</f>
        <v>53298</v>
      </c>
      <c r="N119">
        <v>53298</v>
      </c>
      <c r="O119" t="s">
        <v>55</v>
      </c>
      <c r="P119" t="s">
        <v>383</v>
      </c>
      <c r="Q119" t="s">
        <v>16</v>
      </c>
      <c r="R119" t="s">
        <v>248</v>
      </c>
      <c r="S119" t="s">
        <v>36</v>
      </c>
      <c r="U119" s="6">
        <v>42125.439930555556</v>
      </c>
      <c r="V119" t="s">
        <v>18</v>
      </c>
      <c r="W119" t="s">
        <v>17</v>
      </c>
      <c r="X119" s="6">
        <v>41961.535937499997</v>
      </c>
      <c r="Y119" t="s">
        <v>122</v>
      </c>
      <c r="AB119" t="s">
        <v>200</v>
      </c>
      <c r="AC119" t="s">
        <v>121</v>
      </c>
      <c r="AD119" t="s">
        <v>220</v>
      </c>
      <c r="AE119" t="s">
        <v>219</v>
      </c>
      <c r="AG119" t="s">
        <v>121</v>
      </c>
      <c r="AH119" t="s">
        <v>327</v>
      </c>
      <c r="AI119" t="s">
        <v>121</v>
      </c>
      <c r="AJ119" t="s">
        <v>716</v>
      </c>
      <c r="AK119" t="s">
        <v>121</v>
      </c>
    </row>
    <row r="120" spans="9:37" x14ac:dyDescent="0.3">
      <c r="I120">
        <f ca="1">IF(OR(INDIRECT(A73&amp;ROW())=B93,INDIRECT(A73&amp;ROW())=B94),1,IF(AND(INDIRECT(A73&amp;ROW())=B95,INDIRECT(A96&amp;ROW())=C93),1,IF(AND(INDIRECT(A73&amp;ROW())=B95,INDIRECT(A96&amp;ROW())=C94),1,0)))</f>
        <v>0</v>
      </c>
      <c r="J120">
        <f ca="1">IF(AND(INDIRECT(A73&amp;ROW())=B95,INDIRECT(A96&amp;ROW())=C95),1,IF(AND(INDIRECT(A73&amp;ROW())=B95,INDIRECT(A96&amp;ROW())=C96),1,0))</f>
        <v>0</v>
      </c>
      <c r="K120">
        <f ca="1">DAYS360(INDIRECT(C68&amp;ROW()),TODAY())</f>
        <v>721</v>
      </c>
      <c r="L120">
        <f ca="1">DAYS360(INDIRECT(C69&amp;ROW()),TODAY())</f>
        <v>884</v>
      </c>
      <c r="M120" s="11">
        <f ca="1">HYPERLINK(CONCATENATE("https://bugzilla.houston.hp.com:1181/bugzilla/show_bug.cgi?id=",INDIRECT(C70&amp;ROW())),INDIRECT(C70&amp;ROW()))</f>
        <v>53303</v>
      </c>
      <c r="N120">
        <v>53303</v>
      </c>
      <c r="O120" t="s">
        <v>56</v>
      </c>
      <c r="P120" t="s">
        <v>382</v>
      </c>
      <c r="Q120" t="s">
        <v>16</v>
      </c>
      <c r="R120" t="s">
        <v>248</v>
      </c>
      <c r="S120" t="s">
        <v>36</v>
      </c>
      <c r="U120" s="6">
        <v>42125.440000000002</v>
      </c>
      <c r="V120" t="s">
        <v>18</v>
      </c>
      <c r="W120" t="s">
        <v>17</v>
      </c>
      <c r="X120" s="6">
        <v>41961.5468287037</v>
      </c>
      <c r="Y120" t="s">
        <v>122</v>
      </c>
      <c r="AB120" t="s">
        <v>201</v>
      </c>
      <c r="AC120" t="s">
        <v>121</v>
      </c>
      <c r="AD120" t="s">
        <v>220</v>
      </c>
      <c r="AE120" t="s">
        <v>219</v>
      </c>
      <c r="AG120" t="s">
        <v>121</v>
      </c>
      <c r="AH120" t="s">
        <v>327</v>
      </c>
      <c r="AI120" t="s">
        <v>121</v>
      </c>
      <c r="AJ120" t="s">
        <v>717</v>
      </c>
      <c r="AK120" t="s">
        <v>121</v>
      </c>
    </row>
    <row r="121" spans="9:37" x14ac:dyDescent="0.3">
      <c r="I121">
        <f ca="1">IF(OR(INDIRECT(A73&amp;ROW())=B93,INDIRECT(A73&amp;ROW())=B94),1,IF(AND(INDIRECT(A73&amp;ROW())=B95,INDIRECT(A96&amp;ROW())=C93),1,IF(AND(INDIRECT(A73&amp;ROW())=B95,INDIRECT(A96&amp;ROW())=C94),1,0)))</f>
        <v>0</v>
      </c>
      <c r="J121">
        <f ca="1">IF(AND(INDIRECT(A73&amp;ROW())=B95,INDIRECT(A96&amp;ROW())=C95),1,IF(AND(INDIRECT(A73&amp;ROW())=B95,INDIRECT(A96&amp;ROW())=C96),1,0))</f>
        <v>1</v>
      </c>
      <c r="K121">
        <f ca="1">DAYS360(INDIRECT(C68&amp;ROW()),TODAY())</f>
        <v>728</v>
      </c>
      <c r="L121">
        <f ca="1">DAYS360(INDIRECT(C69&amp;ROW()),TODAY())</f>
        <v>884</v>
      </c>
      <c r="M121" s="11">
        <f ca="1">HYPERLINK(CONCATENATE("https://bugzilla.houston.hp.com:1181/bugzilla/show_bug.cgi?id=",INDIRECT(C70&amp;ROW())),INDIRECT(C70&amp;ROW()))</f>
        <v>53313</v>
      </c>
      <c r="N121">
        <v>53313</v>
      </c>
      <c r="O121" t="s">
        <v>56</v>
      </c>
      <c r="P121" t="s">
        <v>867</v>
      </c>
      <c r="Q121" t="s">
        <v>25</v>
      </c>
      <c r="R121" t="s">
        <v>251</v>
      </c>
      <c r="S121" t="s">
        <v>43</v>
      </c>
      <c r="U121" s="6">
        <v>42118.342569444445</v>
      </c>
      <c r="V121" t="s">
        <v>18</v>
      </c>
      <c r="W121" t="s">
        <v>17</v>
      </c>
      <c r="X121" s="6">
        <v>41961.575497685182</v>
      </c>
      <c r="Y121" t="s">
        <v>119</v>
      </c>
      <c r="AB121" t="s">
        <v>201</v>
      </c>
      <c r="AC121" t="s">
        <v>247</v>
      </c>
      <c r="AD121" t="s">
        <v>220</v>
      </c>
      <c r="AE121" t="s">
        <v>219</v>
      </c>
      <c r="AG121" t="s">
        <v>121</v>
      </c>
      <c r="AH121" t="s">
        <v>327</v>
      </c>
      <c r="AI121" t="s">
        <v>121</v>
      </c>
      <c r="AJ121" t="s">
        <v>716</v>
      </c>
      <c r="AK121" t="s">
        <v>121</v>
      </c>
    </row>
    <row r="122" spans="9:37" x14ac:dyDescent="0.3">
      <c r="I122">
        <f ca="1">IF(OR(INDIRECT(A73&amp;ROW())=B93,INDIRECT(A73&amp;ROW())=B94),1,IF(AND(INDIRECT(A73&amp;ROW())=B95,INDIRECT(A96&amp;ROW())=C93),1,IF(AND(INDIRECT(A73&amp;ROW())=B95,INDIRECT(A96&amp;ROW())=C94),1,0)))</f>
        <v>0</v>
      </c>
      <c r="J122">
        <f ca="1">IF(AND(INDIRECT(A73&amp;ROW())=B95,INDIRECT(A96&amp;ROW())=C95),1,IF(AND(INDIRECT(A73&amp;ROW())=B95,INDIRECT(A96&amp;ROW())=C96),1,0))</f>
        <v>0</v>
      </c>
      <c r="K122">
        <f ca="1">DAYS360(INDIRECT(C68&amp;ROW()),TODAY())</f>
        <v>733</v>
      </c>
      <c r="L122">
        <f ca="1">DAYS360(INDIRECT(C69&amp;ROW()),TODAY())</f>
        <v>884</v>
      </c>
      <c r="M122" s="11">
        <f ca="1">HYPERLINK(CONCATENATE("https://bugzilla.houston.hp.com:1181/bugzilla/show_bug.cgi?id=",INDIRECT(C70&amp;ROW())),INDIRECT(C70&amp;ROW()))</f>
        <v>53324</v>
      </c>
      <c r="N122">
        <v>53324</v>
      </c>
      <c r="O122" t="s">
        <v>66</v>
      </c>
      <c r="P122" t="s">
        <v>381</v>
      </c>
      <c r="Q122" t="s">
        <v>16</v>
      </c>
      <c r="R122" t="s">
        <v>248</v>
      </c>
      <c r="S122" t="s">
        <v>36</v>
      </c>
      <c r="U122" s="6">
        <v>42113.702372685184</v>
      </c>
      <c r="V122" t="s">
        <v>18</v>
      </c>
      <c r="W122" t="s">
        <v>32</v>
      </c>
      <c r="X122" s="6">
        <v>41961.64980324074</v>
      </c>
      <c r="Y122" t="s">
        <v>119</v>
      </c>
      <c r="AB122" t="s">
        <v>201</v>
      </c>
      <c r="AC122" t="s">
        <v>121</v>
      </c>
      <c r="AD122" t="s">
        <v>220</v>
      </c>
      <c r="AE122" t="s">
        <v>219</v>
      </c>
      <c r="AG122" t="s">
        <v>121</v>
      </c>
      <c r="AH122" t="s">
        <v>327</v>
      </c>
      <c r="AI122" t="s">
        <v>121</v>
      </c>
      <c r="AJ122" t="s">
        <v>716</v>
      </c>
      <c r="AK122" t="s">
        <v>121</v>
      </c>
    </row>
    <row r="123" spans="9:37" x14ac:dyDescent="0.3">
      <c r="I123">
        <f ca="1">IF(OR(INDIRECT(A73&amp;ROW())=B93,INDIRECT(A73&amp;ROW())=B94),1,IF(AND(INDIRECT(A73&amp;ROW())=B95,INDIRECT(A96&amp;ROW())=C93),1,IF(AND(INDIRECT(A73&amp;ROW())=B95,INDIRECT(A96&amp;ROW())=C94),1,0)))</f>
        <v>0</v>
      </c>
      <c r="J123">
        <f ca="1">IF(AND(INDIRECT(A73&amp;ROW())=B95,INDIRECT(A96&amp;ROW())=C95),1,IF(AND(INDIRECT(A73&amp;ROW())=B95,INDIRECT(A96&amp;ROW())=C96),1,0))</f>
        <v>0</v>
      </c>
      <c r="K123">
        <f ca="1">DAYS360(INDIRECT(C68&amp;ROW()),TODAY())</f>
        <v>721</v>
      </c>
      <c r="L123">
        <f ca="1">DAYS360(INDIRECT(C69&amp;ROW()),TODAY())</f>
        <v>884</v>
      </c>
      <c r="M123" s="11">
        <f ca="1">HYPERLINK(CONCATENATE("https://bugzilla.houston.hp.com:1181/bugzilla/show_bug.cgi?id=",INDIRECT(C70&amp;ROW())),INDIRECT(C70&amp;ROW()))</f>
        <v>53329</v>
      </c>
      <c r="N123">
        <v>53329</v>
      </c>
      <c r="O123" t="s">
        <v>203</v>
      </c>
      <c r="P123" t="s">
        <v>380</v>
      </c>
      <c r="Q123" t="s">
        <v>16</v>
      </c>
      <c r="R123" t="s">
        <v>248</v>
      </c>
      <c r="S123" t="s">
        <v>36</v>
      </c>
      <c r="U123" s="6">
        <v>42125.439722222225</v>
      </c>
      <c r="V123" t="s">
        <v>18</v>
      </c>
      <c r="W123" t="s">
        <v>20</v>
      </c>
      <c r="X123" s="6">
        <v>41961.660949074074</v>
      </c>
      <c r="Y123" t="s">
        <v>122</v>
      </c>
      <c r="AB123" t="s">
        <v>201</v>
      </c>
      <c r="AC123" t="s">
        <v>121</v>
      </c>
      <c r="AD123" t="s">
        <v>220</v>
      </c>
      <c r="AE123" t="s">
        <v>223</v>
      </c>
      <c r="AG123" t="s">
        <v>121</v>
      </c>
      <c r="AH123" t="s">
        <v>327</v>
      </c>
      <c r="AI123" t="s">
        <v>121</v>
      </c>
      <c r="AJ123" t="s">
        <v>717</v>
      </c>
      <c r="AK123" t="s">
        <v>121</v>
      </c>
    </row>
    <row r="124" spans="9:37" x14ac:dyDescent="0.3">
      <c r="I124">
        <f ca="1">IF(OR(INDIRECT(A73&amp;ROW())=B93,INDIRECT(A73&amp;ROW())=B94),1,IF(AND(INDIRECT(A73&amp;ROW())=B95,INDIRECT(A96&amp;ROW())=C93),1,IF(AND(INDIRECT(A73&amp;ROW())=B95,INDIRECT(A96&amp;ROW())=C94),1,0)))</f>
        <v>0</v>
      </c>
      <c r="J124">
        <f ca="1">IF(AND(INDIRECT(A73&amp;ROW())=B95,INDIRECT(A96&amp;ROW())=C95),1,IF(AND(INDIRECT(A73&amp;ROW())=B95,INDIRECT(A96&amp;ROW())=C96),1,0))</f>
        <v>1</v>
      </c>
      <c r="K124">
        <f ca="1">DAYS360(INDIRECT(C68&amp;ROW()),TODAY())</f>
        <v>721</v>
      </c>
      <c r="L124">
        <f ca="1">DAYS360(INDIRECT(C69&amp;ROW()),TODAY())</f>
        <v>884</v>
      </c>
      <c r="M124" s="11">
        <f ca="1">HYPERLINK(CONCATENATE("https://bugzilla.houston.hp.com:1181/bugzilla/show_bug.cgi?id=",INDIRECT(C70&amp;ROW())),INDIRECT(C70&amp;ROW()))</f>
        <v>53336</v>
      </c>
      <c r="N124">
        <v>53336</v>
      </c>
      <c r="O124" t="s">
        <v>56</v>
      </c>
      <c r="P124" t="s">
        <v>379</v>
      </c>
      <c r="Q124" t="s">
        <v>25</v>
      </c>
      <c r="R124" t="s">
        <v>248</v>
      </c>
      <c r="S124" t="s">
        <v>36</v>
      </c>
      <c r="U124" s="6">
        <v>42125.442314814813</v>
      </c>
      <c r="V124" t="s">
        <v>18</v>
      </c>
      <c r="W124" t="s">
        <v>17</v>
      </c>
      <c r="X124" s="6">
        <v>41961.667453703703</v>
      </c>
      <c r="Y124" t="s">
        <v>122</v>
      </c>
      <c r="AB124" t="s">
        <v>201</v>
      </c>
      <c r="AC124" t="s">
        <v>121</v>
      </c>
      <c r="AD124" t="s">
        <v>220</v>
      </c>
      <c r="AE124" t="s">
        <v>219</v>
      </c>
      <c r="AG124" t="s">
        <v>121</v>
      </c>
      <c r="AH124" t="s">
        <v>327</v>
      </c>
      <c r="AI124" t="s">
        <v>121</v>
      </c>
      <c r="AJ124" t="s">
        <v>716</v>
      </c>
      <c r="AK124" t="s">
        <v>121</v>
      </c>
    </row>
    <row r="125" spans="9:37" x14ac:dyDescent="0.3">
      <c r="I125">
        <f ca="1">IF(OR(INDIRECT(A73&amp;ROW())=B93,INDIRECT(A73&amp;ROW())=B94),1,IF(AND(INDIRECT(A73&amp;ROW())=B95,INDIRECT(A96&amp;ROW())=C93),1,IF(AND(INDIRECT(A73&amp;ROW())=B95,INDIRECT(A96&amp;ROW())=C94),1,0)))</f>
        <v>0</v>
      </c>
      <c r="J125">
        <f ca="1">IF(AND(INDIRECT(A73&amp;ROW())=B95,INDIRECT(A96&amp;ROW())=C95),1,IF(AND(INDIRECT(A73&amp;ROW())=B95,INDIRECT(A96&amp;ROW())=C96),1,0))</f>
        <v>1</v>
      </c>
      <c r="K125">
        <f ca="1">DAYS360(INDIRECT(C68&amp;ROW()),TODAY())</f>
        <v>721</v>
      </c>
      <c r="L125">
        <f ca="1">DAYS360(INDIRECT(C69&amp;ROW()),TODAY())</f>
        <v>884</v>
      </c>
      <c r="M125" s="11">
        <f ca="1">HYPERLINK(CONCATENATE("https://bugzilla.houston.hp.com:1181/bugzilla/show_bug.cgi?id=",INDIRECT(C70&amp;ROW())),INDIRECT(C70&amp;ROW()))</f>
        <v>53342</v>
      </c>
      <c r="N125">
        <v>53342</v>
      </c>
      <c r="O125" t="s">
        <v>43</v>
      </c>
      <c r="P125" t="s">
        <v>378</v>
      </c>
      <c r="Q125" t="s">
        <v>25</v>
      </c>
      <c r="R125" t="s">
        <v>248</v>
      </c>
      <c r="S125" t="s">
        <v>36</v>
      </c>
      <c r="U125" s="6">
        <v>42125.442384259259</v>
      </c>
      <c r="V125" t="s">
        <v>18</v>
      </c>
      <c r="W125" t="s">
        <v>20</v>
      </c>
      <c r="X125" s="6">
        <v>41961.691874999997</v>
      </c>
      <c r="Y125" t="s">
        <v>122</v>
      </c>
      <c r="AB125" t="s">
        <v>201</v>
      </c>
      <c r="AC125" t="s">
        <v>121</v>
      </c>
      <c r="AD125" t="s">
        <v>220</v>
      </c>
      <c r="AE125" t="s">
        <v>219</v>
      </c>
      <c r="AG125" t="s">
        <v>121</v>
      </c>
      <c r="AH125" t="s">
        <v>327</v>
      </c>
      <c r="AI125" t="s">
        <v>121</v>
      </c>
      <c r="AJ125" t="s">
        <v>716</v>
      </c>
      <c r="AK125" t="s">
        <v>121</v>
      </c>
    </row>
    <row r="126" spans="9:37" x14ac:dyDescent="0.3">
      <c r="I126">
        <f ca="1">IF(OR(INDIRECT(A73&amp;ROW())=B93,INDIRECT(A73&amp;ROW())=B94),1,IF(AND(INDIRECT(A73&amp;ROW())=B95,INDIRECT(A96&amp;ROW())=C93),1,IF(AND(INDIRECT(A73&amp;ROW())=B95,INDIRECT(A96&amp;ROW())=C94),1,0)))</f>
        <v>0</v>
      </c>
      <c r="J126">
        <f ca="1">IF(AND(INDIRECT(A73&amp;ROW())=B95,INDIRECT(A96&amp;ROW())=C95),1,IF(AND(INDIRECT(A73&amp;ROW())=B95,INDIRECT(A96&amp;ROW())=C96),1,0))</f>
        <v>0</v>
      </c>
      <c r="K126">
        <f ca="1">DAYS360(INDIRECT(C68&amp;ROW()),TODAY())</f>
        <v>730</v>
      </c>
      <c r="L126">
        <f ca="1">DAYS360(INDIRECT(C69&amp;ROW()),TODAY())</f>
        <v>883</v>
      </c>
      <c r="M126" s="11">
        <f ca="1">HYPERLINK(CONCATENATE("https://bugzilla.houston.hp.com:1181/bugzilla/show_bug.cgi?id=",INDIRECT(C70&amp;ROW())),INDIRECT(C70&amp;ROW()))</f>
        <v>53355</v>
      </c>
      <c r="N126">
        <v>53355</v>
      </c>
      <c r="O126" t="s">
        <v>66</v>
      </c>
      <c r="P126" t="s">
        <v>488</v>
      </c>
      <c r="Q126" t="s">
        <v>16</v>
      </c>
      <c r="R126" t="s">
        <v>251</v>
      </c>
      <c r="S126" t="s">
        <v>374</v>
      </c>
      <c r="U126" s="6">
        <v>42116.543923611112</v>
      </c>
      <c r="V126" t="s">
        <v>35</v>
      </c>
      <c r="W126" t="s">
        <v>17</v>
      </c>
      <c r="X126" s="6">
        <v>41962.112662037034</v>
      </c>
      <c r="Y126" t="s">
        <v>787</v>
      </c>
      <c r="AB126" t="s">
        <v>199</v>
      </c>
      <c r="AC126" t="s">
        <v>247</v>
      </c>
      <c r="AD126" t="s">
        <v>220</v>
      </c>
      <c r="AE126" t="s">
        <v>219</v>
      </c>
      <c r="AG126" t="s">
        <v>588</v>
      </c>
      <c r="AH126" t="s">
        <v>327</v>
      </c>
      <c r="AI126" t="s">
        <v>121</v>
      </c>
      <c r="AJ126" t="s">
        <v>716</v>
      </c>
      <c r="AK126" t="s">
        <v>121</v>
      </c>
    </row>
    <row r="127" spans="9:37" x14ac:dyDescent="0.3">
      <c r="I127">
        <f ca="1">IF(OR(INDIRECT(A73&amp;ROW())=B93,INDIRECT(A73&amp;ROW())=B94),1,IF(AND(INDIRECT(A73&amp;ROW())=B95,INDIRECT(A96&amp;ROW())=C93),1,IF(AND(INDIRECT(A73&amp;ROW())=B95,INDIRECT(A96&amp;ROW())=C94),1,0)))</f>
        <v>0</v>
      </c>
      <c r="J127">
        <f ca="1">IF(AND(INDIRECT(A73&amp;ROW())=B95,INDIRECT(A96&amp;ROW())=C95),1,IF(AND(INDIRECT(A73&amp;ROW())=B95,INDIRECT(A96&amp;ROW())=C96),1,0))</f>
        <v>0</v>
      </c>
      <c r="K127">
        <f ca="1">DAYS360(INDIRECT(C68&amp;ROW()),TODAY())</f>
        <v>800</v>
      </c>
      <c r="L127">
        <f ca="1">DAYS360(INDIRECT(C69&amp;ROW()),TODAY())</f>
        <v>883</v>
      </c>
      <c r="M127" s="11">
        <f ca="1">HYPERLINK(CONCATENATE("https://bugzilla.houston.hp.com:1181/bugzilla/show_bug.cgi?id=",INDIRECT(C70&amp;ROW())),INDIRECT(C70&amp;ROW()))</f>
        <v>53402</v>
      </c>
      <c r="N127">
        <v>53402</v>
      </c>
      <c r="O127" t="s">
        <v>88</v>
      </c>
      <c r="P127" t="s">
        <v>422</v>
      </c>
      <c r="Q127" t="s">
        <v>16</v>
      </c>
      <c r="R127" t="s">
        <v>248</v>
      </c>
      <c r="S127" t="s">
        <v>36</v>
      </c>
      <c r="U127" s="6">
        <v>42047.9452662037</v>
      </c>
      <c r="V127" t="s">
        <v>18</v>
      </c>
      <c r="W127" t="s">
        <v>27</v>
      </c>
      <c r="X127" s="6">
        <v>41962.478715277779</v>
      </c>
      <c r="Y127" t="s">
        <v>119</v>
      </c>
      <c r="AB127" t="s">
        <v>201</v>
      </c>
      <c r="AC127" t="s">
        <v>121</v>
      </c>
      <c r="AD127" t="s">
        <v>222</v>
      </c>
      <c r="AE127" t="s">
        <v>225</v>
      </c>
      <c r="AG127" t="s">
        <v>121</v>
      </c>
      <c r="AH127" t="s">
        <v>327</v>
      </c>
      <c r="AI127" t="s">
        <v>121</v>
      </c>
      <c r="AJ127" t="s">
        <v>717</v>
      </c>
      <c r="AK127" t="s">
        <v>121</v>
      </c>
    </row>
    <row r="128" spans="9:37" x14ac:dyDescent="0.3">
      <c r="I128">
        <f ca="1">IF(OR(INDIRECT(A73&amp;ROW())=B93,INDIRECT(A73&amp;ROW())=B94),1,IF(AND(INDIRECT(A73&amp;ROW())=B95,INDIRECT(A96&amp;ROW())=C93),1,IF(AND(INDIRECT(A73&amp;ROW())=B95,INDIRECT(A96&amp;ROW())=C94),1,0)))</f>
        <v>0</v>
      </c>
      <c r="J128">
        <f ca="1">IF(AND(INDIRECT(A73&amp;ROW())=B95,INDIRECT(A96&amp;ROW())=C95),1,IF(AND(INDIRECT(A73&amp;ROW())=B95,INDIRECT(A96&amp;ROW())=C96),1,0))</f>
        <v>1</v>
      </c>
      <c r="K128">
        <f ca="1">DAYS360(INDIRECT(C68&amp;ROW()),TODAY())</f>
        <v>800</v>
      </c>
      <c r="L128">
        <f ca="1">DAYS360(INDIRECT(C69&amp;ROW()),TODAY())</f>
        <v>883</v>
      </c>
      <c r="M128" s="11">
        <f ca="1">HYPERLINK(CONCATENATE("https://bugzilla.houston.hp.com:1181/bugzilla/show_bug.cgi?id=",INDIRECT(C70&amp;ROW())),INDIRECT(C70&amp;ROW()))</f>
        <v>53415</v>
      </c>
      <c r="N128">
        <v>53415</v>
      </c>
      <c r="O128" t="s">
        <v>56</v>
      </c>
      <c r="P128" t="s">
        <v>421</v>
      </c>
      <c r="Q128" t="s">
        <v>25</v>
      </c>
      <c r="R128" t="s">
        <v>248</v>
      </c>
      <c r="S128" t="s">
        <v>36</v>
      </c>
      <c r="U128" s="6">
        <v>42047.945960648147</v>
      </c>
      <c r="V128" t="s">
        <v>18</v>
      </c>
      <c r="W128" t="s">
        <v>89</v>
      </c>
      <c r="X128" s="6">
        <v>41962.515706018516</v>
      </c>
      <c r="Y128" t="s">
        <v>786</v>
      </c>
      <c r="AB128" t="s">
        <v>201</v>
      </c>
      <c r="AC128" t="s">
        <v>121</v>
      </c>
      <c r="AD128" t="s">
        <v>220</v>
      </c>
      <c r="AE128" t="s">
        <v>219</v>
      </c>
      <c r="AG128" t="s">
        <v>121</v>
      </c>
      <c r="AH128" t="s">
        <v>327</v>
      </c>
      <c r="AI128" t="s">
        <v>121</v>
      </c>
      <c r="AJ128" t="s">
        <v>716</v>
      </c>
      <c r="AK128" t="s">
        <v>121</v>
      </c>
    </row>
    <row r="129" spans="9:37" x14ac:dyDescent="0.3">
      <c r="I129">
        <f ca="1">IF(OR(INDIRECT(A73&amp;ROW())=B93,INDIRECT(A73&amp;ROW())=B94),1,IF(AND(INDIRECT(A73&amp;ROW())=B95,INDIRECT(A96&amp;ROW())=C93),1,IF(AND(INDIRECT(A73&amp;ROW())=B95,INDIRECT(A96&amp;ROW())=C94),1,0)))</f>
        <v>0</v>
      </c>
      <c r="J129">
        <f ca="1">IF(AND(INDIRECT(A73&amp;ROW())=B95,INDIRECT(A96&amp;ROW())=C95),1,IF(AND(INDIRECT(A73&amp;ROW())=B95,INDIRECT(A96&amp;ROW())=C96),1,0))</f>
        <v>0</v>
      </c>
      <c r="K129">
        <f ca="1">DAYS360(INDIRECT(C68&amp;ROW()),TODAY())</f>
        <v>800</v>
      </c>
      <c r="L129">
        <f ca="1">DAYS360(INDIRECT(C69&amp;ROW()),TODAY())</f>
        <v>883</v>
      </c>
      <c r="M129" s="11">
        <f ca="1">HYPERLINK(CONCATENATE("https://bugzilla.houston.hp.com:1181/bugzilla/show_bug.cgi?id=",INDIRECT(C70&amp;ROW())),INDIRECT(C70&amp;ROW()))</f>
        <v>53420</v>
      </c>
      <c r="N129">
        <v>53420</v>
      </c>
      <c r="O129" t="s">
        <v>88</v>
      </c>
      <c r="P129" t="s">
        <v>420</v>
      </c>
      <c r="Q129" t="s">
        <v>16</v>
      </c>
      <c r="R129" t="s">
        <v>248</v>
      </c>
      <c r="S129" t="s">
        <v>36</v>
      </c>
      <c r="U129" s="6">
        <v>42047.944016203706</v>
      </c>
      <c r="V129" t="s">
        <v>18</v>
      </c>
      <c r="W129" t="s">
        <v>79</v>
      </c>
      <c r="X129" s="6">
        <v>41962.525289351855</v>
      </c>
      <c r="Y129" t="s">
        <v>119</v>
      </c>
      <c r="AB129" t="s">
        <v>201</v>
      </c>
      <c r="AC129" t="s">
        <v>121</v>
      </c>
      <c r="AD129" t="s">
        <v>222</v>
      </c>
      <c r="AE129" t="s">
        <v>240</v>
      </c>
      <c r="AG129" t="s">
        <v>121</v>
      </c>
      <c r="AH129" t="s">
        <v>327</v>
      </c>
      <c r="AI129" t="s">
        <v>121</v>
      </c>
      <c r="AJ129" t="s">
        <v>717</v>
      </c>
      <c r="AK129" t="s">
        <v>121</v>
      </c>
    </row>
    <row r="130" spans="9:37" x14ac:dyDescent="0.3">
      <c r="I130">
        <f ca="1">IF(OR(INDIRECT(A73&amp;ROW())=B93,INDIRECT(A73&amp;ROW())=B94),1,IF(AND(INDIRECT(A73&amp;ROW())=B95,INDIRECT(A96&amp;ROW())=C93),1,IF(AND(INDIRECT(A73&amp;ROW())=B95,INDIRECT(A96&amp;ROW())=C94),1,0)))</f>
        <v>0</v>
      </c>
      <c r="J130">
        <f ca="1">IF(AND(INDIRECT(A73&amp;ROW())=B95,INDIRECT(A96&amp;ROW())=C95),1,IF(AND(INDIRECT(A73&amp;ROW())=B95,INDIRECT(A96&amp;ROW())=C96),1,0))</f>
        <v>0</v>
      </c>
      <c r="K130">
        <f ca="1">DAYS360(INDIRECT(C68&amp;ROW()),TODAY())</f>
        <v>800</v>
      </c>
      <c r="L130">
        <f ca="1">DAYS360(INDIRECT(C69&amp;ROW()),TODAY())</f>
        <v>883</v>
      </c>
      <c r="M130" s="11">
        <f ca="1">HYPERLINK(CONCATENATE("https://bugzilla.houston.hp.com:1181/bugzilla/show_bug.cgi?id=",INDIRECT(C70&amp;ROW())),INDIRECT(C70&amp;ROW()))</f>
        <v>53425</v>
      </c>
      <c r="N130">
        <v>53425</v>
      </c>
      <c r="O130" t="s">
        <v>56</v>
      </c>
      <c r="P130" t="s">
        <v>419</v>
      </c>
      <c r="Q130" t="s">
        <v>16</v>
      </c>
      <c r="R130" t="s">
        <v>248</v>
      </c>
      <c r="S130" t="s">
        <v>36</v>
      </c>
      <c r="U130" s="6">
        <v>42047.946446759262</v>
      </c>
      <c r="V130" t="s">
        <v>18</v>
      </c>
      <c r="W130" t="s">
        <v>27</v>
      </c>
      <c r="X130" s="6">
        <v>41962.529432870368</v>
      </c>
      <c r="Y130" t="s">
        <v>119</v>
      </c>
      <c r="AB130" t="s">
        <v>201</v>
      </c>
      <c r="AC130" t="s">
        <v>121</v>
      </c>
      <c r="AD130" t="s">
        <v>220</v>
      </c>
      <c r="AE130" t="s">
        <v>243</v>
      </c>
      <c r="AG130" t="s">
        <v>121</v>
      </c>
      <c r="AH130" t="s">
        <v>327</v>
      </c>
      <c r="AI130" t="s">
        <v>121</v>
      </c>
      <c r="AJ130" t="s">
        <v>717</v>
      </c>
      <c r="AK130" t="s">
        <v>121</v>
      </c>
    </row>
    <row r="131" spans="9:37" x14ac:dyDescent="0.3">
      <c r="I131">
        <f ca="1">IF(OR(INDIRECT(A73&amp;ROW())=B93,INDIRECT(A73&amp;ROW())=B94),1,IF(AND(INDIRECT(A73&amp;ROW())=B95,INDIRECT(A96&amp;ROW())=C93),1,IF(AND(INDIRECT(A73&amp;ROW())=B95,INDIRECT(A96&amp;ROW())=C94),1,0)))</f>
        <v>0</v>
      </c>
      <c r="J131">
        <f ca="1">IF(AND(INDIRECT(A73&amp;ROW())=B95,INDIRECT(A96&amp;ROW())=C95),1,IF(AND(INDIRECT(A73&amp;ROW())=B95,INDIRECT(A96&amp;ROW())=C96),1,0))</f>
        <v>0</v>
      </c>
      <c r="K131">
        <f ca="1">DAYS360(INDIRECT(C68&amp;ROW()),TODAY())</f>
        <v>721</v>
      </c>
      <c r="L131">
        <f ca="1">DAYS360(INDIRECT(C69&amp;ROW()),TODAY())</f>
        <v>883</v>
      </c>
      <c r="M131" s="11">
        <f ca="1">HYPERLINK(CONCATENATE("https://bugzilla.houston.hp.com:1181/bugzilla/show_bug.cgi?id=",INDIRECT(C70&amp;ROW())),INDIRECT(C70&amp;ROW()))</f>
        <v>53446</v>
      </c>
      <c r="N131">
        <v>53446</v>
      </c>
      <c r="O131" t="s">
        <v>56</v>
      </c>
      <c r="P131" t="s">
        <v>674</v>
      </c>
      <c r="Q131" t="s">
        <v>16</v>
      </c>
      <c r="R131" t="s">
        <v>251</v>
      </c>
      <c r="S131" t="s">
        <v>55</v>
      </c>
      <c r="U131" s="6">
        <v>42125.448657407411</v>
      </c>
      <c r="V131" t="s">
        <v>18</v>
      </c>
      <c r="W131" t="s">
        <v>17</v>
      </c>
      <c r="X131" s="6">
        <v>41962.642233796294</v>
      </c>
      <c r="Y131" t="s">
        <v>122</v>
      </c>
      <c r="AB131" t="s">
        <v>201</v>
      </c>
      <c r="AC131" t="s">
        <v>247</v>
      </c>
      <c r="AD131" t="s">
        <v>220</v>
      </c>
      <c r="AE131" t="s">
        <v>219</v>
      </c>
      <c r="AG131" t="s">
        <v>121</v>
      </c>
      <c r="AH131" t="s">
        <v>327</v>
      </c>
      <c r="AI131" t="s">
        <v>121</v>
      </c>
      <c r="AJ131" t="s">
        <v>717</v>
      </c>
      <c r="AK131" t="s">
        <v>121</v>
      </c>
    </row>
    <row r="132" spans="9:37" x14ac:dyDescent="0.3">
      <c r="I132">
        <f ca="1">IF(OR(INDIRECT(A73&amp;ROW())=B93,INDIRECT(A73&amp;ROW())=B94),1,IF(AND(INDIRECT(A73&amp;ROW())=B95,INDIRECT(A96&amp;ROW())=C93),1,IF(AND(INDIRECT(A73&amp;ROW())=B95,INDIRECT(A96&amp;ROW())=C94),1,0)))</f>
        <v>1</v>
      </c>
      <c r="J132">
        <f ca="1">IF(AND(INDIRECT(A73&amp;ROW())=B95,INDIRECT(A96&amp;ROW())=C95),1,IF(AND(INDIRECT(A73&amp;ROW())=B95,INDIRECT(A96&amp;ROW())=C96),1,0))</f>
        <v>0</v>
      </c>
      <c r="K132">
        <f ca="1">DAYS360(INDIRECT(C68&amp;ROW()),TODAY())</f>
        <v>800</v>
      </c>
      <c r="L132">
        <f ca="1">DAYS360(INDIRECT(C69&amp;ROW()),TODAY())</f>
        <v>882</v>
      </c>
      <c r="M132" s="11">
        <f ca="1">HYPERLINK(CONCATENATE("https://bugzilla.houston.hp.com:1181/bugzilla/show_bug.cgi?id=",INDIRECT(C70&amp;ROW())),INDIRECT(C70&amp;ROW()))</f>
        <v>53480</v>
      </c>
      <c r="N132">
        <v>53480</v>
      </c>
      <c r="O132" t="s">
        <v>180</v>
      </c>
      <c r="P132" t="s">
        <v>418</v>
      </c>
      <c r="Q132" t="s">
        <v>25</v>
      </c>
      <c r="R132" t="s">
        <v>248</v>
      </c>
      <c r="S132" t="s">
        <v>36</v>
      </c>
      <c r="U132" s="6">
        <v>42047.955960648149</v>
      </c>
      <c r="V132" t="s">
        <v>18</v>
      </c>
      <c r="W132" t="s">
        <v>171</v>
      </c>
      <c r="X132" s="6">
        <v>41963.306967592594</v>
      </c>
      <c r="Y132" t="s">
        <v>119</v>
      </c>
      <c r="AB132" t="s">
        <v>200</v>
      </c>
      <c r="AC132" t="s">
        <v>121</v>
      </c>
      <c r="AD132" t="s">
        <v>222</v>
      </c>
      <c r="AE132" t="s">
        <v>221</v>
      </c>
      <c r="AG132" t="s">
        <v>121</v>
      </c>
      <c r="AH132" t="s">
        <v>327</v>
      </c>
      <c r="AI132" t="s">
        <v>121</v>
      </c>
      <c r="AJ132" t="s">
        <v>715</v>
      </c>
      <c r="AK132" t="s">
        <v>121</v>
      </c>
    </row>
    <row r="133" spans="9:37" x14ac:dyDescent="0.3">
      <c r="I133">
        <f ca="1">IF(OR(INDIRECT(A73&amp;ROW())=B93,INDIRECT(A73&amp;ROW())=B94),1,IF(AND(INDIRECT(A73&amp;ROW())=B95,INDIRECT(A96&amp;ROW())=C93),1,IF(AND(INDIRECT(A73&amp;ROW())=B95,INDIRECT(A96&amp;ROW())=C94),1,0)))</f>
        <v>0</v>
      </c>
      <c r="J133">
        <f ca="1">IF(AND(INDIRECT(A73&amp;ROW())=B95,INDIRECT(A96&amp;ROW())=C95),1,IF(AND(INDIRECT(A73&amp;ROW())=B95,INDIRECT(A96&amp;ROW())=C96),1,0))</f>
        <v>0</v>
      </c>
      <c r="K133">
        <f ca="1">DAYS360(INDIRECT(C68&amp;ROW()),TODAY())</f>
        <v>721</v>
      </c>
      <c r="L133">
        <f ca="1">DAYS360(INDIRECT(C69&amp;ROW()),TODAY())</f>
        <v>882</v>
      </c>
      <c r="M133" s="11">
        <f ca="1">HYPERLINK(CONCATENATE("https://bugzilla.houston.hp.com:1181/bugzilla/show_bug.cgi?id=",INDIRECT(C70&amp;ROW())),INDIRECT(C70&amp;ROW()))</f>
        <v>53489</v>
      </c>
      <c r="N133">
        <v>53489</v>
      </c>
      <c r="O133" t="s">
        <v>21</v>
      </c>
      <c r="P133" t="s">
        <v>417</v>
      </c>
      <c r="Q133" t="s">
        <v>16</v>
      </c>
      <c r="R133" t="s">
        <v>248</v>
      </c>
      <c r="S133" t="s">
        <v>36</v>
      </c>
      <c r="U133" s="6">
        <v>42125.442152777781</v>
      </c>
      <c r="V133" t="s">
        <v>18</v>
      </c>
      <c r="W133" t="s">
        <v>171</v>
      </c>
      <c r="X133" s="6">
        <v>41963.308657407404</v>
      </c>
      <c r="Y133" t="s">
        <v>122</v>
      </c>
      <c r="AB133" t="s">
        <v>201</v>
      </c>
      <c r="AC133" t="s">
        <v>121</v>
      </c>
      <c r="AD133" t="s">
        <v>222</v>
      </c>
      <c r="AE133" t="s">
        <v>225</v>
      </c>
      <c r="AG133" t="s">
        <v>121</v>
      </c>
      <c r="AH133" t="s">
        <v>327</v>
      </c>
      <c r="AI133" t="s">
        <v>121</v>
      </c>
      <c r="AJ133" t="s">
        <v>717</v>
      </c>
      <c r="AK133" t="s">
        <v>121</v>
      </c>
    </row>
    <row r="134" spans="9:37" x14ac:dyDescent="0.3">
      <c r="I134">
        <f ca="1">IF(OR(INDIRECT(A73&amp;ROW())=B93,INDIRECT(A73&amp;ROW())=B94),1,IF(AND(INDIRECT(A73&amp;ROW())=B95,INDIRECT(A96&amp;ROW())=C93),1,IF(AND(INDIRECT(A73&amp;ROW())=B95,INDIRECT(A96&amp;ROW())=C94),1,0)))</f>
        <v>0</v>
      </c>
      <c r="J134">
        <f ca="1">IF(AND(INDIRECT(A73&amp;ROW())=B95,INDIRECT(A96&amp;ROW())=C95),1,IF(AND(INDIRECT(A73&amp;ROW())=B95,INDIRECT(A96&amp;ROW())=C96),1,0))</f>
        <v>0</v>
      </c>
      <c r="K134">
        <f ca="1">DAYS360(INDIRECT(C68&amp;ROW()),TODAY())</f>
        <v>721</v>
      </c>
      <c r="L134">
        <f ca="1">DAYS360(INDIRECT(C69&amp;ROW()),TODAY())</f>
        <v>882</v>
      </c>
      <c r="M134" s="11">
        <f ca="1">HYPERLINK(CONCATENATE("https://bugzilla.houston.hp.com:1181/bugzilla/show_bug.cgi?id=",INDIRECT(C70&amp;ROW())),INDIRECT(C70&amp;ROW()))</f>
        <v>53492</v>
      </c>
      <c r="N134">
        <v>53492</v>
      </c>
      <c r="O134" t="s">
        <v>180</v>
      </c>
      <c r="P134" t="s">
        <v>416</v>
      </c>
      <c r="Q134" t="s">
        <v>16</v>
      </c>
      <c r="R134" t="s">
        <v>248</v>
      </c>
      <c r="S134" t="s">
        <v>36</v>
      </c>
      <c r="U134" s="6">
        <v>42125.442372685182</v>
      </c>
      <c r="V134" t="s">
        <v>18</v>
      </c>
      <c r="W134" t="s">
        <v>172</v>
      </c>
      <c r="X134" s="6">
        <v>41963.308993055558</v>
      </c>
      <c r="Y134" t="s">
        <v>122</v>
      </c>
      <c r="AB134" t="s">
        <v>200</v>
      </c>
      <c r="AC134" t="s">
        <v>121</v>
      </c>
      <c r="AD134" t="s">
        <v>222</v>
      </c>
      <c r="AE134" t="s">
        <v>225</v>
      </c>
      <c r="AG134" t="s">
        <v>121</v>
      </c>
      <c r="AH134" t="s">
        <v>327</v>
      </c>
      <c r="AI134" t="s">
        <v>121</v>
      </c>
      <c r="AJ134" t="s">
        <v>716</v>
      </c>
      <c r="AK134" t="s">
        <v>121</v>
      </c>
    </row>
    <row r="135" spans="9:37" x14ac:dyDescent="0.3">
      <c r="I135">
        <f ca="1">IF(OR(INDIRECT(A73&amp;ROW())=B93,INDIRECT(A73&amp;ROW())=B94),1,IF(AND(INDIRECT(A73&amp;ROW())=B95,INDIRECT(A96&amp;ROW())=C93),1,IF(AND(INDIRECT(A73&amp;ROW())=B95,INDIRECT(A96&amp;ROW())=C94),1,0)))</f>
        <v>0</v>
      </c>
      <c r="J135">
        <f ca="1">IF(AND(INDIRECT(A73&amp;ROW())=B95,INDIRECT(A96&amp;ROW())=C95),1,IF(AND(INDIRECT(A73&amp;ROW())=B95,INDIRECT(A96&amp;ROW())=C96),1,0))</f>
        <v>0</v>
      </c>
      <c r="K135">
        <f ca="1">DAYS360(INDIRECT(C68&amp;ROW()),TODAY())</f>
        <v>721</v>
      </c>
      <c r="L135">
        <f ca="1">DAYS360(INDIRECT(C69&amp;ROW()),TODAY())</f>
        <v>882</v>
      </c>
      <c r="M135" s="11">
        <f ca="1">HYPERLINK(CONCATENATE("https://bugzilla.houston.hp.com:1181/bugzilla/show_bug.cgi?id=",INDIRECT(C70&amp;ROW())),INDIRECT(C70&amp;ROW()))</f>
        <v>53504</v>
      </c>
      <c r="N135">
        <v>53504</v>
      </c>
      <c r="O135" t="s">
        <v>213</v>
      </c>
      <c r="P135" t="s">
        <v>415</v>
      </c>
      <c r="Q135" t="s">
        <v>16</v>
      </c>
      <c r="R135" t="s">
        <v>248</v>
      </c>
      <c r="S135" t="s">
        <v>36</v>
      </c>
      <c r="U135" s="6">
        <v>42125.443923611114</v>
      </c>
      <c r="V135" t="s">
        <v>18</v>
      </c>
      <c r="W135" t="s">
        <v>172</v>
      </c>
      <c r="X135" s="6">
        <v>41963.310601851852</v>
      </c>
      <c r="Y135" t="s">
        <v>122</v>
      </c>
      <c r="AB135" t="s">
        <v>201</v>
      </c>
      <c r="AC135" t="s">
        <v>121</v>
      </c>
      <c r="AD135" t="s">
        <v>220</v>
      </c>
      <c r="AE135" t="s">
        <v>219</v>
      </c>
      <c r="AG135" t="s">
        <v>121</v>
      </c>
      <c r="AH135" t="s">
        <v>327</v>
      </c>
      <c r="AI135" t="s">
        <v>121</v>
      </c>
      <c r="AJ135" t="s">
        <v>717</v>
      </c>
      <c r="AK135" t="s">
        <v>121</v>
      </c>
    </row>
    <row r="136" spans="9:37" x14ac:dyDescent="0.3">
      <c r="I136">
        <f ca="1">IF(OR(INDIRECT(A73&amp;ROW())=B93,INDIRECT(A73&amp;ROW())=B94),1,IF(AND(INDIRECT(A73&amp;ROW())=B95,INDIRECT(A96&amp;ROW())=C93),1,IF(AND(INDIRECT(A73&amp;ROW())=B95,INDIRECT(A96&amp;ROW())=C94),1,0)))</f>
        <v>0</v>
      </c>
      <c r="J136">
        <f ca="1">IF(AND(INDIRECT(A73&amp;ROW())=B95,INDIRECT(A96&amp;ROW())=C95),1,IF(AND(INDIRECT(A73&amp;ROW())=B95,INDIRECT(A96&amp;ROW())=C96),1,0))</f>
        <v>1</v>
      </c>
      <c r="K136">
        <f ca="1">DAYS360(INDIRECT(C68&amp;ROW()),TODAY())</f>
        <v>800</v>
      </c>
      <c r="L136">
        <f ca="1">DAYS360(INDIRECT(C69&amp;ROW()),TODAY())</f>
        <v>882</v>
      </c>
      <c r="M136" s="11">
        <f ca="1">HYPERLINK(CONCATENATE("https://bugzilla.houston.hp.com:1181/bugzilla/show_bug.cgi?id=",INDIRECT(C70&amp;ROW())),INDIRECT(C70&amp;ROW()))</f>
        <v>53507</v>
      </c>
      <c r="N136">
        <v>53507</v>
      </c>
      <c r="O136" t="s">
        <v>56</v>
      </c>
      <c r="P136" t="s">
        <v>414</v>
      </c>
      <c r="Q136" t="s">
        <v>25</v>
      </c>
      <c r="R136" t="s">
        <v>248</v>
      </c>
      <c r="S136" t="s">
        <v>36</v>
      </c>
      <c r="U136" s="6">
        <v>42047.945706018516</v>
      </c>
      <c r="V136" t="s">
        <v>18</v>
      </c>
      <c r="W136" t="s">
        <v>215</v>
      </c>
      <c r="X136" s="6">
        <v>41963.311215277776</v>
      </c>
      <c r="Y136" t="s">
        <v>244</v>
      </c>
      <c r="AB136" t="s">
        <v>201</v>
      </c>
      <c r="AC136" t="s">
        <v>121</v>
      </c>
      <c r="AD136" t="s">
        <v>220</v>
      </c>
      <c r="AE136" t="s">
        <v>219</v>
      </c>
      <c r="AG136" t="s">
        <v>121</v>
      </c>
      <c r="AH136" t="s">
        <v>327</v>
      </c>
      <c r="AI136" t="s">
        <v>121</v>
      </c>
      <c r="AJ136" t="s">
        <v>716</v>
      </c>
      <c r="AK136" t="s">
        <v>121</v>
      </c>
    </row>
    <row r="137" spans="9:37" x14ac:dyDescent="0.3">
      <c r="I137">
        <f ca="1">IF(OR(INDIRECT(A73&amp;ROW())=B93,INDIRECT(A73&amp;ROW())=B94),1,IF(AND(INDIRECT(A73&amp;ROW())=B95,INDIRECT(A96&amp;ROW())=C93),1,IF(AND(INDIRECT(A73&amp;ROW())=B95,INDIRECT(A96&amp;ROW())=C94),1,0)))</f>
        <v>0</v>
      </c>
      <c r="J137">
        <f ca="1">IF(AND(INDIRECT(A73&amp;ROW())=B95,INDIRECT(A96&amp;ROW())=C95),1,IF(AND(INDIRECT(A73&amp;ROW())=B95,INDIRECT(A96&amp;ROW())=C96),1,0))</f>
        <v>0</v>
      </c>
      <c r="K137">
        <f ca="1">DAYS360(INDIRECT(C68&amp;ROW()),TODAY())</f>
        <v>800</v>
      </c>
      <c r="L137">
        <f ca="1">DAYS360(INDIRECT(C69&amp;ROW()),TODAY())</f>
        <v>882</v>
      </c>
      <c r="M137" s="11">
        <f ca="1">HYPERLINK(CONCATENATE("https://bugzilla.houston.hp.com:1181/bugzilla/show_bug.cgi?id=",INDIRECT(C70&amp;ROW())),INDIRECT(C70&amp;ROW()))</f>
        <v>53510</v>
      </c>
      <c r="N137">
        <v>53510</v>
      </c>
      <c r="O137" t="s">
        <v>88</v>
      </c>
      <c r="P137" t="s">
        <v>413</v>
      </c>
      <c r="Q137" t="s">
        <v>16</v>
      </c>
      <c r="R137" t="s">
        <v>248</v>
      </c>
      <c r="S137" t="s">
        <v>36</v>
      </c>
      <c r="U137" s="6">
        <v>42047.943113425928</v>
      </c>
      <c r="V137" t="s">
        <v>18</v>
      </c>
      <c r="W137" t="s">
        <v>215</v>
      </c>
      <c r="X137" s="6">
        <v>41963.311759259261</v>
      </c>
      <c r="Y137" t="s">
        <v>119</v>
      </c>
      <c r="AB137" t="s">
        <v>201</v>
      </c>
      <c r="AC137" t="s">
        <v>121</v>
      </c>
      <c r="AD137" t="s">
        <v>222</v>
      </c>
      <c r="AE137" t="s">
        <v>240</v>
      </c>
      <c r="AG137" t="s">
        <v>121</v>
      </c>
      <c r="AH137" t="s">
        <v>327</v>
      </c>
      <c r="AI137" t="s">
        <v>121</v>
      </c>
      <c r="AJ137" t="s">
        <v>717</v>
      </c>
      <c r="AK137" t="s">
        <v>121</v>
      </c>
    </row>
    <row r="138" spans="9:37" x14ac:dyDescent="0.3">
      <c r="I138">
        <f ca="1">IF(OR(INDIRECT(A73&amp;ROW())=B93,INDIRECT(A73&amp;ROW())=B94),1,IF(AND(INDIRECT(A73&amp;ROW())=B95,INDIRECT(A96&amp;ROW())=C93),1,IF(AND(INDIRECT(A73&amp;ROW())=B95,INDIRECT(A96&amp;ROW())=C94),1,0)))</f>
        <v>1</v>
      </c>
      <c r="J138">
        <f ca="1">IF(AND(INDIRECT(A73&amp;ROW())=B95,INDIRECT(A96&amp;ROW())=C95),1,IF(AND(INDIRECT(A73&amp;ROW())=B95,INDIRECT(A96&amp;ROW())=C96),1,0))</f>
        <v>0</v>
      </c>
      <c r="K138">
        <f ca="1">DAYS360(INDIRECT(C68&amp;ROW()),TODAY())</f>
        <v>803</v>
      </c>
      <c r="L138">
        <f ca="1">DAYS360(INDIRECT(C69&amp;ROW()),TODAY())</f>
        <v>882</v>
      </c>
      <c r="M138" s="11">
        <f ca="1">HYPERLINK(CONCATENATE("https://bugzilla.houston.hp.com:1181/bugzilla/show_bug.cgi?id=",INDIRECT(C70&amp;ROW())),INDIRECT(C70&amp;ROW()))</f>
        <v>53513</v>
      </c>
      <c r="N138">
        <v>53513</v>
      </c>
      <c r="O138" t="s">
        <v>94</v>
      </c>
      <c r="P138" t="s">
        <v>412</v>
      </c>
      <c r="Q138" t="s">
        <v>39</v>
      </c>
      <c r="R138" t="s">
        <v>248</v>
      </c>
      <c r="S138" t="s">
        <v>36</v>
      </c>
      <c r="U138" s="6">
        <v>42044.504583333335</v>
      </c>
      <c r="V138" t="s">
        <v>18</v>
      </c>
      <c r="W138" t="s">
        <v>211</v>
      </c>
      <c r="X138" s="6">
        <v>41963.312141203707</v>
      </c>
      <c r="Y138" t="s">
        <v>119</v>
      </c>
      <c r="AB138" t="s">
        <v>201</v>
      </c>
      <c r="AC138" t="s">
        <v>121</v>
      </c>
      <c r="AD138" t="s">
        <v>227</v>
      </c>
      <c r="AE138" t="s">
        <v>231</v>
      </c>
      <c r="AG138" t="s">
        <v>121</v>
      </c>
      <c r="AH138" t="s">
        <v>64</v>
      </c>
      <c r="AI138" t="s">
        <v>121</v>
      </c>
      <c r="AJ138" t="s">
        <v>715</v>
      </c>
      <c r="AK138" t="s">
        <v>121</v>
      </c>
    </row>
    <row r="139" spans="9:37" x14ac:dyDescent="0.3">
      <c r="I139">
        <f ca="1">IF(OR(INDIRECT(A73&amp;ROW())=B93,INDIRECT(A73&amp;ROW())=B94),1,IF(AND(INDIRECT(A73&amp;ROW())=B95,INDIRECT(A96&amp;ROW())=C93),1,IF(AND(INDIRECT(A73&amp;ROW())=B95,INDIRECT(A96&amp;ROW())=C94),1,0)))</f>
        <v>0</v>
      </c>
      <c r="J139">
        <f ca="1">IF(AND(INDIRECT(A73&amp;ROW())=B95,INDIRECT(A96&amp;ROW())=C95),1,IF(AND(INDIRECT(A73&amp;ROW())=B95,INDIRECT(A96&amp;ROW())=C96),1,0))</f>
        <v>0</v>
      </c>
      <c r="K139">
        <f ca="1">DAYS360(INDIRECT(C68&amp;ROW()),TODAY())</f>
        <v>721</v>
      </c>
      <c r="L139">
        <f ca="1">DAYS360(INDIRECT(C69&amp;ROW()),TODAY())</f>
        <v>882</v>
      </c>
      <c r="M139" s="11">
        <f ca="1">HYPERLINK(CONCATENATE("https://bugzilla.houston.hp.com:1181/bugzilla/show_bug.cgi?id=",INDIRECT(C70&amp;ROW())),INDIRECT(C70&amp;ROW()))</f>
        <v>53516</v>
      </c>
      <c r="N139">
        <v>53516</v>
      </c>
      <c r="O139" t="s">
        <v>22</v>
      </c>
      <c r="P139" t="s">
        <v>411</v>
      </c>
      <c r="Q139" t="s">
        <v>16</v>
      </c>
      <c r="R139" t="s">
        <v>248</v>
      </c>
      <c r="S139" t="s">
        <v>36</v>
      </c>
      <c r="U139" s="6">
        <v>42125.443807870368</v>
      </c>
      <c r="V139" t="s">
        <v>18</v>
      </c>
      <c r="W139" t="s">
        <v>17</v>
      </c>
      <c r="X139" s="6">
        <v>41963.312673611108</v>
      </c>
      <c r="Y139" t="s">
        <v>122</v>
      </c>
      <c r="Z139" t="s">
        <v>255</v>
      </c>
      <c r="AB139" t="s">
        <v>201</v>
      </c>
      <c r="AC139" t="s">
        <v>121</v>
      </c>
      <c r="AD139" t="s">
        <v>220</v>
      </c>
      <c r="AE139" t="s">
        <v>219</v>
      </c>
      <c r="AG139" t="s">
        <v>121</v>
      </c>
      <c r="AH139" t="s">
        <v>64</v>
      </c>
      <c r="AI139" t="s">
        <v>121</v>
      </c>
      <c r="AJ139" t="s">
        <v>717</v>
      </c>
      <c r="AK139" t="s">
        <v>121</v>
      </c>
    </row>
    <row r="140" spans="9:37" x14ac:dyDescent="0.3">
      <c r="I140">
        <f ca="1">IF(OR(INDIRECT(A73&amp;ROW())=B93,INDIRECT(A73&amp;ROW())=B94),1,IF(AND(INDIRECT(A73&amp;ROW())=B95,INDIRECT(A96&amp;ROW())=C93),1,IF(AND(INDIRECT(A73&amp;ROW())=B95,INDIRECT(A96&amp;ROW())=C94),1,0)))</f>
        <v>0</v>
      </c>
      <c r="J140">
        <f ca="1">IF(AND(INDIRECT(A73&amp;ROW())=B95,INDIRECT(A96&amp;ROW())=C95),1,IF(AND(INDIRECT(A73&amp;ROW())=B95,INDIRECT(A96&amp;ROW())=C96),1,0))</f>
        <v>0</v>
      </c>
      <c r="K140">
        <f ca="1">DAYS360(INDIRECT(C68&amp;ROW()),TODAY())</f>
        <v>800</v>
      </c>
      <c r="L140">
        <f ca="1">DAYS360(INDIRECT(C69&amp;ROW()),TODAY())</f>
        <v>882</v>
      </c>
      <c r="M140" s="11">
        <f ca="1">HYPERLINK(CONCATENATE("https://bugzilla.houston.hp.com:1181/bugzilla/show_bug.cgi?id=",INDIRECT(C70&amp;ROW())),INDIRECT(C70&amp;ROW()))</f>
        <v>53525</v>
      </c>
      <c r="N140">
        <v>53525</v>
      </c>
      <c r="O140" t="s">
        <v>88</v>
      </c>
      <c r="P140" t="s">
        <v>410</v>
      </c>
      <c r="Q140" t="s">
        <v>16</v>
      </c>
      <c r="R140" t="s">
        <v>248</v>
      </c>
      <c r="S140" t="s">
        <v>36</v>
      </c>
      <c r="U140" s="6">
        <v>42047.958749999998</v>
      </c>
      <c r="V140" t="s">
        <v>18</v>
      </c>
      <c r="W140" t="s">
        <v>260</v>
      </c>
      <c r="X140" s="6">
        <v>41963.313935185186</v>
      </c>
      <c r="Y140" t="s">
        <v>119</v>
      </c>
      <c r="AB140" t="s">
        <v>199</v>
      </c>
      <c r="AC140" t="s">
        <v>121</v>
      </c>
      <c r="AD140" t="s">
        <v>220</v>
      </c>
      <c r="AE140" t="s">
        <v>290</v>
      </c>
      <c r="AG140" t="s">
        <v>121</v>
      </c>
      <c r="AH140" t="s">
        <v>64</v>
      </c>
      <c r="AI140" t="s">
        <v>121</v>
      </c>
      <c r="AJ140" t="s">
        <v>716</v>
      </c>
      <c r="AK140" t="s">
        <v>121</v>
      </c>
    </row>
    <row r="141" spans="9:37" x14ac:dyDescent="0.3">
      <c r="I141">
        <f ca="1">IF(OR(INDIRECT(A73&amp;ROW())=B93,INDIRECT(A73&amp;ROW())=B94),1,IF(AND(INDIRECT(A73&amp;ROW())=B95,INDIRECT(A96&amp;ROW())=C93),1,IF(AND(INDIRECT(A73&amp;ROW())=B95,INDIRECT(A96&amp;ROW())=C94),1,0)))</f>
        <v>0</v>
      </c>
      <c r="J141">
        <f ca="1">IF(AND(INDIRECT(A73&amp;ROW())=B95,INDIRECT(A96&amp;ROW())=C95),1,IF(AND(INDIRECT(A73&amp;ROW())=B95,INDIRECT(A96&amp;ROW())=C96),1,0))</f>
        <v>0</v>
      </c>
      <c r="K141">
        <f ca="1">DAYS360(INDIRECT(C68&amp;ROW()),TODAY())</f>
        <v>721</v>
      </c>
      <c r="L141">
        <f ca="1">DAYS360(INDIRECT(C69&amp;ROW()),TODAY())</f>
        <v>882</v>
      </c>
      <c r="M141" s="11">
        <f ca="1">HYPERLINK(CONCATENATE("https://bugzilla.houston.hp.com:1181/bugzilla/show_bug.cgi?id=",INDIRECT(C70&amp;ROW())),INDIRECT(C70&amp;ROW()))</f>
        <v>53531</v>
      </c>
      <c r="N141">
        <v>53531</v>
      </c>
      <c r="O141" t="s">
        <v>88</v>
      </c>
      <c r="P141" t="s">
        <v>409</v>
      </c>
      <c r="Q141" t="s">
        <v>16</v>
      </c>
      <c r="R141" t="s">
        <v>248</v>
      </c>
      <c r="S141" t="s">
        <v>36</v>
      </c>
      <c r="U141" s="6">
        <v>42125.445243055554</v>
      </c>
      <c r="V141" t="s">
        <v>18</v>
      </c>
      <c r="W141" t="s">
        <v>258</v>
      </c>
      <c r="X141" s="6">
        <v>41963.314837962964</v>
      </c>
      <c r="Y141" t="s">
        <v>122</v>
      </c>
      <c r="AB141" t="s">
        <v>200</v>
      </c>
      <c r="AC141" t="s">
        <v>121</v>
      </c>
      <c r="AD141" t="s">
        <v>222</v>
      </c>
      <c r="AE141" t="s">
        <v>221</v>
      </c>
      <c r="AG141" t="s">
        <v>121</v>
      </c>
      <c r="AH141" t="s">
        <v>64</v>
      </c>
      <c r="AI141" t="s">
        <v>121</v>
      </c>
      <c r="AJ141" t="s">
        <v>716</v>
      </c>
      <c r="AK141" t="s">
        <v>121</v>
      </c>
    </row>
    <row r="142" spans="9:37" x14ac:dyDescent="0.3">
      <c r="I142">
        <f ca="1">IF(OR(INDIRECT(A73&amp;ROW())=B93,INDIRECT(A73&amp;ROW())=B94),1,IF(AND(INDIRECT(A73&amp;ROW())=B95,INDIRECT(A96&amp;ROW())=C93),1,IF(AND(INDIRECT(A73&amp;ROW())=B95,INDIRECT(A96&amp;ROW())=C94),1,0)))</f>
        <v>0</v>
      </c>
      <c r="J142">
        <f ca="1">IF(AND(INDIRECT(A73&amp;ROW())=B95,INDIRECT(A96&amp;ROW())=C95),1,IF(AND(INDIRECT(A73&amp;ROW())=B95,INDIRECT(A96&amp;ROW())=C96),1,0))</f>
        <v>0</v>
      </c>
      <c r="K142">
        <f ca="1">DAYS360(INDIRECT(C68&amp;ROW()),TODAY())</f>
        <v>721</v>
      </c>
      <c r="L142">
        <f ca="1">DAYS360(INDIRECT(C69&amp;ROW()),TODAY())</f>
        <v>882</v>
      </c>
      <c r="M142" s="11">
        <f ca="1">HYPERLINK(CONCATENATE("https://bugzilla.houston.hp.com:1181/bugzilla/show_bug.cgi?id=",INDIRECT(C70&amp;ROW())),INDIRECT(C70&amp;ROW()))</f>
        <v>53534</v>
      </c>
      <c r="N142">
        <v>53534</v>
      </c>
      <c r="O142" t="s">
        <v>22</v>
      </c>
      <c r="P142" t="s">
        <v>408</v>
      </c>
      <c r="Q142" t="s">
        <v>16</v>
      </c>
      <c r="R142" t="s">
        <v>248</v>
      </c>
      <c r="S142" t="s">
        <v>36</v>
      </c>
      <c r="U142" s="6">
        <v>42125.445324074077</v>
      </c>
      <c r="V142" t="s">
        <v>18</v>
      </c>
      <c r="W142" t="s">
        <v>17</v>
      </c>
      <c r="X142" s="6">
        <v>41963.315185185187</v>
      </c>
      <c r="Y142" t="s">
        <v>122</v>
      </c>
      <c r="AB142" t="s">
        <v>200</v>
      </c>
      <c r="AC142" t="s">
        <v>121</v>
      </c>
      <c r="AD142" t="s">
        <v>220</v>
      </c>
      <c r="AE142" t="s">
        <v>223</v>
      </c>
      <c r="AG142" t="s">
        <v>121</v>
      </c>
      <c r="AH142" t="s">
        <v>64</v>
      </c>
      <c r="AI142" t="s">
        <v>121</v>
      </c>
      <c r="AJ142" t="s">
        <v>716</v>
      </c>
      <c r="AK142" t="s">
        <v>121</v>
      </c>
    </row>
    <row r="143" spans="9:37" x14ac:dyDescent="0.3">
      <c r="I143">
        <f ca="1">IF(OR(INDIRECT(A73&amp;ROW())=B93,INDIRECT(A73&amp;ROW())=B94),1,IF(AND(INDIRECT(A73&amp;ROW())=B95,INDIRECT(A96&amp;ROW())=C93),1,IF(AND(INDIRECT(A73&amp;ROW())=B95,INDIRECT(A96&amp;ROW())=C94),1,0)))</f>
        <v>0</v>
      </c>
      <c r="J143">
        <f ca="1">IF(AND(INDIRECT(A73&amp;ROW())=B95,INDIRECT(A96&amp;ROW())=C95),1,IF(AND(INDIRECT(A73&amp;ROW())=B95,INDIRECT(A96&amp;ROW())=C96),1,0))</f>
        <v>0</v>
      </c>
      <c r="K143">
        <f ca="1">DAYS360(INDIRECT(C68&amp;ROW()),TODAY())</f>
        <v>721</v>
      </c>
      <c r="L143">
        <f ca="1">DAYS360(INDIRECT(C69&amp;ROW()),TODAY())</f>
        <v>882</v>
      </c>
      <c r="M143" s="11">
        <f ca="1">HYPERLINK(CONCATENATE("https://bugzilla.houston.hp.com:1181/bugzilla/show_bug.cgi?id=",INDIRECT(C70&amp;ROW())),INDIRECT(C70&amp;ROW()))</f>
        <v>53537</v>
      </c>
      <c r="N143">
        <v>53537</v>
      </c>
      <c r="O143" t="s">
        <v>49</v>
      </c>
      <c r="P143" t="s">
        <v>407</v>
      </c>
      <c r="Q143" t="s">
        <v>16</v>
      </c>
      <c r="R143" t="s">
        <v>248</v>
      </c>
      <c r="S143" t="s">
        <v>36</v>
      </c>
      <c r="U143" s="6">
        <v>42125.445162037038</v>
      </c>
      <c r="V143" t="s">
        <v>18</v>
      </c>
      <c r="W143" t="s">
        <v>258</v>
      </c>
      <c r="X143" s="6">
        <v>41963.315509259257</v>
      </c>
      <c r="Y143" t="s">
        <v>122</v>
      </c>
      <c r="AB143" t="s">
        <v>200</v>
      </c>
      <c r="AC143" t="s">
        <v>121</v>
      </c>
      <c r="AD143" t="s">
        <v>222</v>
      </c>
      <c r="AE143" t="s">
        <v>221</v>
      </c>
      <c r="AG143" t="s">
        <v>121</v>
      </c>
      <c r="AH143" t="s">
        <v>64</v>
      </c>
      <c r="AI143" t="s">
        <v>121</v>
      </c>
      <c r="AJ143" t="s">
        <v>716</v>
      </c>
      <c r="AK143" t="s">
        <v>121</v>
      </c>
    </row>
    <row r="144" spans="9:37" x14ac:dyDescent="0.3">
      <c r="I144">
        <f ca="1">IF(OR(INDIRECT(A73&amp;ROW())=B93,INDIRECT(A73&amp;ROW())=B94),1,IF(AND(INDIRECT(A73&amp;ROW())=B95,INDIRECT(A96&amp;ROW())=C93),1,IF(AND(INDIRECT(A73&amp;ROW())=B95,INDIRECT(A96&amp;ROW())=C94),1,0)))</f>
        <v>0</v>
      </c>
      <c r="J144">
        <f ca="1">IF(AND(INDIRECT(A73&amp;ROW())=B95,INDIRECT(A96&amp;ROW())=C95),1,IF(AND(INDIRECT(A73&amp;ROW())=B95,INDIRECT(A96&amp;ROW())=C96),1,0))</f>
        <v>0</v>
      </c>
      <c r="K144">
        <f ca="1">DAYS360(INDIRECT(C68&amp;ROW()),TODAY())</f>
        <v>721</v>
      </c>
      <c r="L144">
        <f ca="1">DAYS360(INDIRECT(C69&amp;ROW()),TODAY())</f>
        <v>882</v>
      </c>
      <c r="M144" s="11">
        <f ca="1">HYPERLINK(CONCATENATE("https://bugzilla.houston.hp.com:1181/bugzilla/show_bug.cgi?id=",INDIRECT(C70&amp;ROW())),INDIRECT(C70&amp;ROW()))</f>
        <v>53540</v>
      </c>
      <c r="N144">
        <v>53540</v>
      </c>
      <c r="O144" t="s">
        <v>49</v>
      </c>
      <c r="P144" t="s">
        <v>406</v>
      </c>
      <c r="Q144" t="s">
        <v>16</v>
      </c>
      <c r="R144" t="s">
        <v>248</v>
      </c>
      <c r="S144" t="s">
        <v>36</v>
      </c>
      <c r="U144" s="6">
        <v>42125.445208333331</v>
      </c>
      <c r="V144" t="s">
        <v>18</v>
      </c>
      <c r="W144" t="s">
        <v>258</v>
      </c>
      <c r="X144" s="6">
        <v>41963.315798611111</v>
      </c>
      <c r="Y144" t="s">
        <v>122</v>
      </c>
      <c r="AB144" t="s">
        <v>200</v>
      </c>
      <c r="AC144" t="s">
        <v>121</v>
      </c>
      <c r="AD144" t="s">
        <v>222</v>
      </c>
      <c r="AE144" t="s">
        <v>221</v>
      </c>
      <c r="AG144" t="s">
        <v>121</v>
      </c>
      <c r="AH144" t="s">
        <v>64</v>
      </c>
      <c r="AI144" t="s">
        <v>121</v>
      </c>
      <c r="AJ144" t="s">
        <v>716</v>
      </c>
      <c r="AK144" t="s">
        <v>121</v>
      </c>
    </row>
    <row r="145" spans="9:37" x14ac:dyDescent="0.3">
      <c r="I145">
        <f ca="1">IF(OR(INDIRECT(A73&amp;ROW())=B93,INDIRECT(A73&amp;ROW())=B94),1,IF(AND(INDIRECT(A73&amp;ROW())=B95,INDIRECT(A96&amp;ROW())=C93),1,IF(AND(INDIRECT(A73&amp;ROW())=B95,INDIRECT(A96&amp;ROW())=C94),1,0)))</f>
        <v>0</v>
      </c>
      <c r="J145">
        <f ca="1">IF(AND(INDIRECT(A73&amp;ROW())=B95,INDIRECT(A96&amp;ROW())=C95),1,IF(AND(INDIRECT(A73&amp;ROW())=B95,INDIRECT(A96&amp;ROW())=C96),1,0))</f>
        <v>0</v>
      </c>
      <c r="K145">
        <f ca="1">DAYS360(INDIRECT(C68&amp;ROW()),TODAY())</f>
        <v>721</v>
      </c>
      <c r="L145">
        <f ca="1">DAYS360(INDIRECT(C69&amp;ROW()),TODAY())</f>
        <v>882</v>
      </c>
      <c r="M145" s="11">
        <f ca="1">HYPERLINK(CONCATENATE("https://bugzilla.houston.hp.com:1181/bugzilla/show_bug.cgi?id=",INDIRECT(C70&amp;ROW())),INDIRECT(C70&amp;ROW()))</f>
        <v>53543</v>
      </c>
      <c r="N145">
        <v>53543</v>
      </c>
      <c r="O145" t="s">
        <v>49</v>
      </c>
      <c r="P145" t="s">
        <v>405</v>
      </c>
      <c r="Q145" t="s">
        <v>16</v>
      </c>
      <c r="R145" t="s">
        <v>248</v>
      </c>
      <c r="S145" t="s">
        <v>36</v>
      </c>
      <c r="U145" s="6">
        <v>42125.4452662037</v>
      </c>
      <c r="V145" t="s">
        <v>18</v>
      </c>
      <c r="W145" t="s">
        <v>258</v>
      </c>
      <c r="X145" s="6">
        <v>41963.316087962965</v>
      </c>
      <c r="Y145" t="s">
        <v>122</v>
      </c>
      <c r="AB145" t="s">
        <v>200</v>
      </c>
      <c r="AC145" t="s">
        <v>121</v>
      </c>
      <c r="AD145" t="s">
        <v>222</v>
      </c>
      <c r="AE145" t="s">
        <v>221</v>
      </c>
      <c r="AG145" t="s">
        <v>121</v>
      </c>
      <c r="AH145" t="s">
        <v>327</v>
      </c>
      <c r="AI145" t="s">
        <v>121</v>
      </c>
      <c r="AJ145" t="s">
        <v>716</v>
      </c>
      <c r="AK145" t="s">
        <v>121</v>
      </c>
    </row>
    <row r="146" spans="9:37" x14ac:dyDescent="0.3">
      <c r="I146">
        <f ca="1">IF(OR(INDIRECT(A73&amp;ROW())=B93,INDIRECT(A73&amp;ROW())=B94),1,IF(AND(INDIRECT(A73&amp;ROW())=B95,INDIRECT(A96&amp;ROW())=C93),1,IF(AND(INDIRECT(A73&amp;ROW())=B95,INDIRECT(A96&amp;ROW())=C94),1,0)))</f>
        <v>0</v>
      </c>
      <c r="J146">
        <f ca="1">IF(AND(INDIRECT(A73&amp;ROW())=B95,INDIRECT(A96&amp;ROW())=C95),1,IF(AND(INDIRECT(A73&amp;ROW())=B95,INDIRECT(A96&amp;ROW())=C96),1,0))</f>
        <v>0</v>
      </c>
      <c r="K146">
        <f ca="1">DAYS360(INDIRECT(C68&amp;ROW()),TODAY())</f>
        <v>721</v>
      </c>
      <c r="L146">
        <f ca="1">DAYS360(INDIRECT(C69&amp;ROW()),TODAY())</f>
        <v>882</v>
      </c>
      <c r="M146" s="11">
        <f ca="1">HYPERLINK(CONCATENATE("https://bugzilla.houston.hp.com:1181/bugzilla/show_bug.cgi?id=",INDIRECT(C70&amp;ROW())),INDIRECT(C70&amp;ROW()))</f>
        <v>53546</v>
      </c>
      <c r="N146">
        <v>53546</v>
      </c>
      <c r="O146" t="s">
        <v>49</v>
      </c>
      <c r="P146" t="s">
        <v>404</v>
      </c>
      <c r="Q146" t="s">
        <v>16</v>
      </c>
      <c r="R146" t="s">
        <v>248</v>
      </c>
      <c r="S146" t="s">
        <v>36</v>
      </c>
      <c r="U146" s="6">
        <v>42125.4453125</v>
      </c>
      <c r="V146" t="s">
        <v>18</v>
      </c>
      <c r="W146" t="s">
        <v>258</v>
      </c>
      <c r="X146" s="6">
        <v>41963.316354166665</v>
      </c>
      <c r="Y146" t="s">
        <v>122</v>
      </c>
      <c r="AB146" t="s">
        <v>200</v>
      </c>
      <c r="AC146" t="s">
        <v>121</v>
      </c>
      <c r="AD146" t="s">
        <v>222</v>
      </c>
      <c r="AE146" t="s">
        <v>221</v>
      </c>
      <c r="AG146" t="s">
        <v>121</v>
      </c>
      <c r="AH146" t="s">
        <v>327</v>
      </c>
      <c r="AI146" t="s">
        <v>121</v>
      </c>
      <c r="AJ146" t="s">
        <v>716</v>
      </c>
      <c r="AK146" t="s">
        <v>121</v>
      </c>
    </row>
    <row r="147" spans="9:37" x14ac:dyDescent="0.3">
      <c r="I147">
        <f ca="1">IF(OR(INDIRECT(A73&amp;ROW())=B93,INDIRECT(A73&amp;ROW())=B94),1,IF(AND(INDIRECT(A73&amp;ROW())=B95,INDIRECT(A96&amp;ROW())=C93),1,IF(AND(INDIRECT(A73&amp;ROW())=B95,INDIRECT(A96&amp;ROW())=C94),1,0)))</f>
        <v>0</v>
      </c>
      <c r="J147">
        <f ca="1">IF(AND(INDIRECT(A73&amp;ROW())=B95,INDIRECT(A96&amp;ROW())=C95),1,IF(AND(INDIRECT(A73&amp;ROW())=B95,INDIRECT(A96&amp;ROW())=C96),1,0))</f>
        <v>0</v>
      </c>
      <c r="K147">
        <f ca="1">DAYS360(INDIRECT(C68&amp;ROW()),TODAY())</f>
        <v>721</v>
      </c>
      <c r="L147">
        <f ca="1">DAYS360(INDIRECT(C69&amp;ROW()),TODAY())</f>
        <v>882</v>
      </c>
      <c r="M147" s="11">
        <f ca="1">HYPERLINK(CONCATENATE("https://bugzilla.houston.hp.com:1181/bugzilla/show_bug.cgi?id=",INDIRECT(C70&amp;ROW())),INDIRECT(C70&amp;ROW()))</f>
        <v>53549</v>
      </c>
      <c r="N147">
        <v>53549</v>
      </c>
      <c r="O147" t="s">
        <v>49</v>
      </c>
      <c r="P147" t="s">
        <v>403</v>
      </c>
      <c r="Q147" t="s">
        <v>16</v>
      </c>
      <c r="R147" t="s">
        <v>248</v>
      </c>
      <c r="S147" t="s">
        <v>36</v>
      </c>
      <c r="U147" s="6">
        <v>42125.445150462961</v>
      </c>
      <c r="V147" t="s">
        <v>18</v>
      </c>
      <c r="W147" t="s">
        <v>258</v>
      </c>
      <c r="X147" s="6">
        <v>41963.316643518519</v>
      </c>
      <c r="Y147" t="s">
        <v>122</v>
      </c>
      <c r="AB147" t="s">
        <v>200</v>
      </c>
      <c r="AC147" t="s">
        <v>121</v>
      </c>
      <c r="AD147" t="s">
        <v>222</v>
      </c>
      <c r="AE147" t="s">
        <v>221</v>
      </c>
      <c r="AG147" t="s">
        <v>121</v>
      </c>
      <c r="AH147" t="s">
        <v>327</v>
      </c>
      <c r="AI147" t="s">
        <v>121</v>
      </c>
      <c r="AJ147" t="s">
        <v>716</v>
      </c>
      <c r="AK147" t="s">
        <v>121</v>
      </c>
    </row>
    <row r="148" spans="9:37" x14ac:dyDescent="0.3">
      <c r="I148">
        <f ca="1">IF(OR(INDIRECT(A73&amp;ROW())=B93,INDIRECT(A73&amp;ROW())=B94),1,IF(AND(INDIRECT(A73&amp;ROW())=B95,INDIRECT(A96&amp;ROW())=C93),1,IF(AND(INDIRECT(A73&amp;ROW())=B95,INDIRECT(A96&amp;ROW())=C94),1,0)))</f>
        <v>0</v>
      </c>
      <c r="J148">
        <f ca="1">IF(AND(INDIRECT(A73&amp;ROW())=B95,INDIRECT(A96&amp;ROW())=C95),1,IF(AND(INDIRECT(A73&amp;ROW())=B95,INDIRECT(A96&amp;ROW())=C96),1,0))</f>
        <v>0</v>
      </c>
      <c r="K148">
        <f ca="1">DAYS360(INDIRECT(C68&amp;ROW()),TODAY())</f>
        <v>721</v>
      </c>
      <c r="L148">
        <f ca="1">DAYS360(INDIRECT(C69&amp;ROW()),TODAY())</f>
        <v>882</v>
      </c>
      <c r="M148" s="11">
        <f ca="1">HYPERLINK(CONCATENATE("https://bugzilla.houston.hp.com:1181/bugzilla/show_bug.cgi?id=",INDIRECT(C70&amp;ROW())),INDIRECT(C70&amp;ROW()))</f>
        <v>53561</v>
      </c>
      <c r="N148">
        <v>53561</v>
      </c>
      <c r="O148" t="s">
        <v>56</v>
      </c>
      <c r="P148" t="s">
        <v>402</v>
      </c>
      <c r="Q148" t="s">
        <v>16</v>
      </c>
      <c r="R148" t="s">
        <v>248</v>
      </c>
      <c r="S148" t="s">
        <v>36</v>
      </c>
      <c r="U148" s="6">
        <v>42125.446539351855</v>
      </c>
      <c r="V148" t="s">
        <v>18</v>
      </c>
      <c r="W148" t="s">
        <v>257</v>
      </c>
      <c r="X148" s="6">
        <v>41963.318425925929</v>
      </c>
      <c r="Y148" t="s">
        <v>122</v>
      </c>
      <c r="AB148" t="s">
        <v>201</v>
      </c>
      <c r="AC148" t="s">
        <v>247</v>
      </c>
      <c r="AD148" t="s">
        <v>220</v>
      </c>
      <c r="AE148" t="s">
        <v>219</v>
      </c>
      <c r="AG148" t="s">
        <v>121</v>
      </c>
      <c r="AH148" t="s">
        <v>64</v>
      </c>
      <c r="AI148" t="s">
        <v>121</v>
      </c>
      <c r="AJ148" t="s">
        <v>717</v>
      </c>
      <c r="AK148" t="s">
        <v>121</v>
      </c>
    </row>
    <row r="149" spans="9:37" x14ac:dyDescent="0.3">
      <c r="I149">
        <f ca="1">IF(OR(INDIRECT(A73&amp;ROW())=B93,INDIRECT(A73&amp;ROW())=B94),1,IF(AND(INDIRECT(A73&amp;ROW())=B95,INDIRECT(A96&amp;ROW())=C93),1,IF(AND(INDIRECT(A73&amp;ROW())=B95,INDIRECT(A96&amp;ROW())=C94),1,0)))</f>
        <v>0</v>
      </c>
      <c r="J149">
        <f ca="1">IF(AND(INDIRECT(A73&amp;ROW())=B95,INDIRECT(A96&amp;ROW())=C95),1,IF(AND(INDIRECT(A73&amp;ROW())=B95,INDIRECT(A96&amp;ROW())=C96),1,0))</f>
        <v>0</v>
      </c>
      <c r="K149">
        <f ca="1">DAYS360(INDIRECT(C68&amp;ROW()),TODAY())</f>
        <v>721</v>
      </c>
      <c r="L149">
        <f ca="1">DAYS360(INDIRECT(C69&amp;ROW()),TODAY())</f>
        <v>882</v>
      </c>
      <c r="M149" s="11">
        <f ca="1">HYPERLINK(CONCATENATE("https://bugzilla.houston.hp.com:1181/bugzilla/show_bug.cgi?id=",INDIRECT(C70&amp;ROW())),INDIRECT(C70&amp;ROW()))</f>
        <v>53564</v>
      </c>
      <c r="N149">
        <v>53564</v>
      </c>
      <c r="O149" t="s">
        <v>56</v>
      </c>
      <c r="P149" t="s">
        <v>401</v>
      </c>
      <c r="Q149" t="s">
        <v>16</v>
      </c>
      <c r="R149" t="s">
        <v>248</v>
      </c>
      <c r="S149" t="s">
        <v>36</v>
      </c>
      <c r="U149" s="6">
        <v>42125.446331018517</v>
      </c>
      <c r="V149" t="s">
        <v>18</v>
      </c>
      <c r="W149" t="s">
        <v>257</v>
      </c>
      <c r="X149" s="6">
        <v>41963.318773148145</v>
      </c>
      <c r="Y149" t="s">
        <v>122</v>
      </c>
      <c r="AB149" t="s">
        <v>201</v>
      </c>
      <c r="AC149" t="s">
        <v>247</v>
      </c>
      <c r="AD149" t="s">
        <v>220</v>
      </c>
      <c r="AE149" t="s">
        <v>219</v>
      </c>
      <c r="AG149" t="s">
        <v>121</v>
      </c>
      <c r="AH149" t="s">
        <v>327</v>
      </c>
      <c r="AI149" t="s">
        <v>121</v>
      </c>
      <c r="AJ149" t="s">
        <v>717</v>
      </c>
      <c r="AK149" t="s">
        <v>121</v>
      </c>
    </row>
    <row r="150" spans="9:37" x14ac:dyDescent="0.3">
      <c r="I150">
        <f ca="1">IF(OR(INDIRECT(A73&amp;ROW())=B93,INDIRECT(A73&amp;ROW())=B94),1,IF(AND(INDIRECT(A73&amp;ROW())=B95,INDIRECT(A96&amp;ROW())=C93),1,IF(AND(INDIRECT(A73&amp;ROW())=B95,INDIRECT(A96&amp;ROW())=C94),1,0)))</f>
        <v>0</v>
      </c>
      <c r="J150">
        <f ca="1">IF(AND(INDIRECT(A73&amp;ROW())=B95,INDIRECT(A96&amp;ROW())=C95),1,IF(AND(INDIRECT(A73&amp;ROW())=B95,INDIRECT(A96&amp;ROW())=C96),1,0))</f>
        <v>0</v>
      </c>
      <c r="K150">
        <f ca="1">DAYS360(INDIRECT(C68&amp;ROW()),TODAY())</f>
        <v>800</v>
      </c>
      <c r="L150">
        <f ca="1">DAYS360(INDIRECT(C69&amp;ROW()),TODAY())</f>
        <v>882</v>
      </c>
      <c r="M150" s="11">
        <f ca="1">HYPERLINK(CONCATENATE("https://bugzilla.houston.hp.com:1181/bugzilla/show_bug.cgi?id=",INDIRECT(C70&amp;ROW())),INDIRECT(C70&amp;ROW()))</f>
        <v>53573</v>
      </c>
      <c r="N150">
        <v>53573</v>
      </c>
      <c r="O150" t="s">
        <v>334</v>
      </c>
      <c r="P150" t="s">
        <v>400</v>
      </c>
      <c r="Q150" t="s">
        <v>16</v>
      </c>
      <c r="R150" t="s">
        <v>248</v>
      </c>
      <c r="S150" t="s">
        <v>36</v>
      </c>
      <c r="U150" s="6">
        <v>42047.980590277781</v>
      </c>
      <c r="V150" t="s">
        <v>18</v>
      </c>
      <c r="W150" t="s">
        <v>260</v>
      </c>
      <c r="X150" s="6">
        <v>41963.319826388892</v>
      </c>
      <c r="Y150" t="s">
        <v>245</v>
      </c>
      <c r="AB150" t="s">
        <v>200</v>
      </c>
      <c r="AC150" t="s">
        <v>247</v>
      </c>
      <c r="AD150" t="s">
        <v>227</v>
      </c>
      <c r="AE150" t="s">
        <v>230</v>
      </c>
      <c r="AG150" t="s">
        <v>121</v>
      </c>
      <c r="AH150" t="s">
        <v>327</v>
      </c>
      <c r="AI150" t="s">
        <v>121</v>
      </c>
      <c r="AJ150" t="s">
        <v>716</v>
      </c>
      <c r="AK150" t="s">
        <v>121</v>
      </c>
    </row>
    <row r="151" spans="9:37" x14ac:dyDescent="0.3">
      <c r="I151">
        <f ca="1">IF(OR(INDIRECT(A73&amp;ROW())=B93,INDIRECT(A73&amp;ROW())=B94),1,IF(AND(INDIRECT(A73&amp;ROW())=B95,INDIRECT(A96&amp;ROW())=C93),1,IF(AND(INDIRECT(A73&amp;ROW())=B95,INDIRECT(A96&amp;ROW())=C94),1,0)))</f>
        <v>0</v>
      </c>
      <c r="J151">
        <f ca="1">IF(AND(INDIRECT(A73&amp;ROW())=B95,INDIRECT(A96&amp;ROW())=C95),1,IF(AND(INDIRECT(A73&amp;ROW())=B95,INDIRECT(A96&amp;ROW())=C96),1,0))</f>
        <v>1</v>
      </c>
      <c r="K151">
        <f ca="1">DAYS360(INDIRECT(C68&amp;ROW()),TODAY())</f>
        <v>721</v>
      </c>
      <c r="L151">
        <f ca="1">DAYS360(INDIRECT(C69&amp;ROW()),TODAY())</f>
        <v>882</v>
      </c>
      <c r="M151" s="11">
        <f ca="1">HYPERLINK(CONCATENATE("https://bugzilla.houston.hp.com:1181/bugzilla/show_bug.cgi?id=",INDIRECT(C70&amp;ROW())),INDIRECT(C70&amp;ROW()))</f>
        <v>53585</v>
      </c>
      <c r="N151">
        <v>53585</v>
      </c>
      <c r="O151" t="s">
        <v>42</v>
      </c>
      <c r="P151" t="s">
        <v>399</v>
      </c>
      <c r="Q151" t="s">
        <v>25</v>
      </c>
      <c r="R151" t="s">
        <v>248</v>
      </c>
      <c r="S151" t="s">
        <v>36</v>
      </c>
      <c r="U151" s="6">
        <v>42125.446412037039</v>
      </c>
      <c r="V151" t="s">
        <v>18</v>
      </c>
      <c r="W151" t="s">
        <v>17</v>
      </c>
      <c r="X151" s="6">
        <v>41963.321562500001</v>
      </c>
      <c r="Y151" t="s">
        <v>122</v>
      </c>
      <c r="AB151" t="s">
        <v>201</v>
      </c>
      <c r="AC151" t="s">
        <v>247</v>
      </c>
      <c r="AD151" t="s">
        <v>220</v>
      </c>
      <c r="AE151" t="s">
        <v>219</v>
      </c>
      <c r="AG151" t="s">
        <v>121</v>
      </c>
      <c r="AH151" t="s">
        <v>64</v>
      </c>
      <c r="AI151" t="s">
        <v>121</v>
      </c>
      <c r="AJ151" t="s">
        <v>716</v>
      </c>
      <c r="AK151" t="s">
        <v>121</v>
      </c>
    </row>
    <row r="152" spans="9:37" x14ac:dyDescent="0.3">
      <c r="I152">
        <f ca="1">IF(OR(INDIRECT(A73&amp;ROW())=B93,INDIRECT(A73&amp;ROW())=B94),1,IF(AND(INDIRECT(A73&amp;ROW())=B95,INDIRECT(A96&amp;ROW())=C93),1,IF(AND(INDIRECT(A73&amp;ROW())=B95,INDIRECT(A96&amp;ROW())=C94),1,0)))</f>
        <v>0</v>
      </c>
      <c r="J152">
        <f ca="1">IF(AND(INDIRECT(A73&amp;ROW())=B95,INDIRECT(A96&amp;ROW())=C95),1,IF(AND(INDIRECT(A73&amp;ROW())=B95,INDIRECT(A96&amp;ROW())=C96),1,0))</f>
        <v>0</v>
      </c>
      <c r="K152">
        <f ca="1">DAYS360(INDIRECT(C68&amp;ROW()),TODAY())</f>
        <v>721</v>
      </c>
      <c r="L152">
        <f ca="1">DAYS360(INDIRECT(C69&amp;ROW()),TODAY())</f>
        <v>882</v>
      </c>
      <c r="M152" s="11">
        <f ca="1">HYPERLINK(CONCATENATE("https://bugzilla.houston.hp.com:1181/bugzilla/show_bug.cgi?id=",INDIRECT(C70&amp;ROW())),INDIRECT(C70&amp;ROW()))</f>
        <v>53588</v>
      </c>
      <c r="N152">
        <v>53588</v>
      </c>
      <c r="O152" t="s">
        <v>50</v>
      </c>
      <c r="P152" t="s">
        <v>398</v>
      </c>
      <c r="Q152" t="s">
        <v>16</v>
      </c>
      <c r="R152" t="s">
        <v>248</v>
      </c>
      <c r="S152" t="s">
        <v>36</v>
      </c>
      <c r="U152" s="6">
        <v>42125.446469907409</v>
      </c>
      <c r="V152" t="s">
        <v>18</v>
      </c>
      <c r="W152" t="s">
        <v>288</v>
      </c>
      <c r="X152" s="6">
        <v>41963.321979166663</v>
      </c>
      <c r="Y152" t="s">
        <v>122</v>
      </c>
      <c r="AB152" t="s">
        <v>200</v>
      </c>
      <c r="AC152" t="s">
        <v>247</v>
      </c>
      <c r="AD152" t="s">
        <v>227</v>
      </c>
      <c r="AE152" t="s">
        <v>231</v>
      </c>
      <c r="AG152" t="s">
        <v>121</v>
      </c>
      <c r="AH152" t="s">
        <v>327</v>
      </c>
      <c r="AI152" t="s">
        <v>121</v>
      </c>
      <c r="AJ152" t="s">
        <v>716</v>
      </c>
      <c r="AK152" t="s">
        <v>121</v>
      </c>
    </row>
    <row r="153" spans="9:37" x14ac:dyDescent="0.3">
      <c r="I153">
        <f ca="1">IF(OR(INDIRECT(A73&amp;ROW())=B93,INDIRECT(A73&amp;ROW())=B94),1,IF(AND(INDIRECT(A73&amp;ROW())=B95,INDIRECT(A96&amp;ROW())=C93),1,IF(AND(INDIRECT(A73&amp;ROW())=B95,INDIRECT(A96&amp;ROW())=C94),1,0)))</f>
        <v>0</v>
      </c>
      <c r="J153">
        <f ca="1">IF(AND(INDIRECT(A73&amp;ROW())=B95,INDIRECT(A96&amp;ROW())=C95),1,IF(AND(INDIRECT(A73&amp;ROW())=B95,INDIRECT(A96&amp;ROW())=C96),1,0))</f>
        <v>1</v>
      </c>
      <c r="K153">
        <f ca="1">DAYS360(INDIRECT(C68&amp;ROW()),TODAY())</f>
        <v>721</v>
      </c>
      <c r="L153">
        <f ca="1">DAYS360(INDIRECT(C69&amp;ROW()),TODAY())</f>
        <v>882</v>
      </c>
      <c r="M153" s="11">
        <f ca="1">HYPERLINK(CONCATENATE("https://bugzilla.houston.hp.com:1181/bugzilla/show_bug.cgi?id=",INDIRECT(C70&amp;ROW())),INDIRECT(C70&amp;ROW()))</f>
        <v>53594</v>
      </c>
      <c r="N153">
        <v>53594</v>
      </c>
      <c r="O153" t="s">
        <v>56</v>
      </c>
      <c r="P153" t="s">
        <v>397</v>
      </c>
      <c r="Q153" t="s">
        <v>25</v>
      </c>
      <c r="R153" t="s">
        <v>248</v>
      </c>
      <c r="S153" t="s">
        <v>36</v>
      </c>
      <c r="U153" s="6">
        <v>42125.44630787037</v>
      </c>
      <c r="V153" t="s">
        <v>18</v>
      </c>
      <c r="W153" t="s">
        <v>324</v>
      </c>
      <c r="X153" s="6">
        <v>41963.322870370372</v>
      </c>
      <c r="Y153" t="s">
        <v>122</v>
      </c>
      <c r="AB153" t="s">
        <v>201</v>
      </c>
      <c r="AC153" t="s">
        <v>247</v>
      </c>
      <c r="AD153" t="s">
        <v>220</v>
      </c>
      <c r="AE153" t="s">
        <v>219</v>
      </c>
      <c r="AG153" t="s">
        <v>121</v>
      </c>
      <c r="AH153" t="s">
        <v>327</v>
      </c>
      <c r="AI153" t="s">
        <v>121</v>
      </c>
      <c r="AJ153" t="s">
        <v>716</v>
      </c>
      <c r="AK153" t="s">
        <v>121</v>
      </c>
    </row>
    <row r="154" spans="9:37" x14ac:dyDescent="0.3">
      <c r="I154">
        <f ca="1">IF(OR(INDIRECT(A73&amp;ROW())=B93,INDIRECT(A73&amp;ROW())=B94),1,IF(AND(INDIRECT(A73&amp;ROW())=B95,INDIRECT(A96&amp;ROW())=C93),1,IF(AND(INDIRECT(A73&amp;ROW())=B95,INDIRECT(A96&amp;ROW())=C94),1,0)))</f>
        <v>0</v>
      </c>
      <c r="J154">
        <f ca="1">IF(AND(INDIRECT(A73&amp;ROW())=B95,INDIRECT(A96&amp;ROW())=C95),1,IF(AND(INDIRECT(A73&amp;ROW())=B95,INDIRECT(A96&amp;ROW())=C96),1,0))</f>
        <v>1</v>
      </c>
      <c r="K154">
        <f ca="1">DAYS360(INDIRECT(C68&amp;ROW()),TODAY())</f>
        <v>721</v>
      </c>
      <c r="L154">
        <f ca="1">DAYS360(INDIRECT(C69&amp;ROW()),TODAY())</f>
        <v>882</v>
      </c>
      <c r="M154" s="11">
        <f ca="1">HYPERLINK(CONCATENATE("https://bugzilla.houston.hp.com:1181/bugzilla/show_bug.cgi?id=",INDIRECT(C70&amp;ROW())),INDIRECT(C70&amp;ROW()))</f>
        <v>53597</v>
      </c>
      <c r="N154">
        <v>53597</v>
      </c>
      <c r="O154" t="s">
        <v>22</v>
      </c>
      <c r="P154" t="s">
        <v>396</v>
      </c>
      <c r="Q154" t="s">
        <v>25</v>
      </c>
      <c r="R154" t="s">
        <v>248</v>
      </c>
      <c r="S154" t="s">
        <v>36</v>
      </c>
      <c r="U154" s="6">
        <v>42125.446574074071</v>
      </c>
      <c r="V154" t="s">
        <v>18</v>
      </c>
      <c r="W154" t="s">
        <v>324</v>
      </c>
      <c r="X154" s="6">
        <v>41963.323252314818</v>
      </c>
      <c r="Y154" t="s">
        <v>122</v>
      </c>
      <c r="AB154" t="s">
        <v>201</v>
      </c>
      <c r="AC154" t="s">
        <v>247</v>
      </c>
      <c r="AD154" t="s">
        <v>220</v>
      </c>
      <c r="AE154" t="s">
        <v>219</v>
      </c>
      <c r="AG154" t="s">
        <v>337</v>
      </c>
      <c r="AH154" t="s">
        <v>327</v>
      </c>
      <c r="AI154" t="s">
        <v>121</v>
      </c>
      <c r="AJ154" t="s">
        <v>716</v>
      </c>
      <c r="AK154" t="s">
        <v>121</v>
      </c>
    </row>
    <row r="155" spans="9:37" x14ac:dyDescent="0.3">
      <c r="I155">
        <f ca="1">IF(OR(INDIRECT(A73&amp;ROW())=B93,INDIRECT(A73&amp;ROW())=B94),1,IF(AND(INDIRECT(A73&amp;ROW())=B95,INDIRECT(A96&amp;ROW())=C93),1,IF(AND(INDIRECT(A73&amp;ROW())=B95,INDIRECT(A96&amp;ROW())=C94),1,0)))</f>
        <v>0</v>
      </c>
      <c r="J155">
        <f ca="1">IF(AND(INDIRECT(A73&amp;ROW())=B95,INDIRECT(A96&amp;ROW())=C95),1,IF(AND(INDIRECT(A73&amp;ROW())=B95,INDIRECT(A96&amp;ROW())=C96),1,0))</f>
        <v>1</v>
      </c>
      <c r="K155">
        <f ca="1">DAYS360(INDIRECT(C68&amp;ROW()),TODAY())</f>
        <v>721</v>
      </c>
      <c r="L155">
        <f ca="1">DAYS360(INDIRECT(C69&amp;ROW()),TODAY())</f>
        <v>882</v>
      </c>
      <c r="M155" s="11">
        <f ca="1">HYPERLINK(CONCATENATE("https://bugzilla.houston.hp.com:1181/bugzilla/show_bug.cgi?id=",INDIRECT(C70&amp;ROW())),INDIRECT(C70&amp;ROW()))</f>
        <v>53600</v>
      </c>
      <c r="N155">
        <v>53600</v>
      </c>
      <c r="O155" t="s">
        <v>45</v>
      </c>
      <c r="P155" t="s">
        <v>395</v>
      </c>
      <c r="Q155" t="s">
        <v>25</v>
      </c>
      <c r="R155" t="s">
        <v>248</v>
      </c>
      <c r="S155" t="s">
        <v>36</v>
      </c>
      <c r="T155" t="s">
        <v>287</v>
      </c>
      <c r="U155" s="6">
        <v>42125.446342592593</v>
      </c>
      <c r="V155" t="s">
        <v>18</v>
      </c>
      <c r="W155" t="s">
        <v>295</v>
      </c>
      <c r="X155" s="6">
        <v>41963.323969907404</v>
      </c>
      <c r="Y155" t="s">
        <v>122</v>
      </c>
      <c r="AB155" t="s">
        <v>201</v>
      </c>
      <c r="AC155" t="s">
        <v>247</v>
      </c>
      <c r="AD155" t="s">
        <v>227</v>
      </c>
      <c r="AE155" t="s">
        <v>226</v>
      </c>
      <c r="AG155" t="s">
        <v>121</v>
      </c>
      <c r="AH155" t="s">
        <v>327</v>
      </c>
      <c r="AI155" t="s">
        <v>121</v>
      </c>
      <c r="AJ155" t="s">
        <v>716</v>
      </c>
      <c r="AK155" t="s">
        <v>121</v>
      </c>
    </row>
    <row r="156" spans="9:37" x14ac:dyDescent="0.3">
      <c r="I156">
        <f ca="1">IF(OR(INDIRECT(A73&amp;ROW())=B93,INDIRECT(A73&amp;ROW())=B94),1,IF(AND(INDIRECT(A73&amp;ROW())=B95,INDIRECT(A96&amp;ROW())=C93),1,IF(AND(INDIRECT(A73&amp;ROW())=B95,INDIRECT(A96&amp;ROW())=C94),1,0)))</f>
        <v>0</v>
      </c>
      <c r="J156">
        <f ca="1">IF(AND(INDIRECT(A73&amp;ROW())=B95,INDIRECT(A96&amp;ROW())=C95),1,IF(AND(INDIRECT(A73&amp;ROW())=B95,INDIRECT(A96&amp;ROW())=C96),1,0))</f>
        <v>0</v>
      </c>
      <c r="K156">
        <f ca="1">DAYS360(INDIRECT(C68&amp;ROW()),TODAY())</f>
        <v>721</v>
      </c>
      <c r="L156">
        <f ca="1">DAYS360(INDIRECT(C69&amp;ROW()),TODAY())</f>
        <v>882</v>
      </c>
      <c r="M156">
        <f ca="1">HYPERLINK(CONCATENATE("https://bugzilla.houston.hp.com:1181/bugzilla/show_bug.cgi?id=",INDIRECT(C70&amp;ROW())),INDIRECT(C70&amp;ROW()))</f>
        <v>53603</v>
      </c>
      <c r="N156">
        <v>53603</v>
      </c>
      <c r="O156" t="s">
        <v>88</v>
      </c>
      <c r="P156" t="s">
        <v>394</v>
      </c>
      <c r="Q156" t="s">
        <v>16</v>
      </c>
      <c r="R156" t="s">
        <v>248</v>
      </c>
      <c r="S156" t="s">
        <v>36</v>
      </c>
      <c r="U156" s="6">
        <v>42125.447662037041</v>
      </c>
      <c r="V156" t="s">
        <v>18</v>
      </c>
      <c r="W156" t="s">
        <v>295</v>
      </c>
      <c r="X156" s="6">
        <v>41963.324328703704</v>
      </c>
      <c r="Y156" t="s">
        <v>122</v>
      </c>
      <c r="AB156" t="s">
        <v>201</v>
      </c>
      <c r="AC156" t="s">
        <v>247</v>
      </c>
      <c r="AD156" t="s">
        <v>222</v>
      </c>
      <c r="AE156" t="s">
        <v>225</v>
      </c>
      <c r="AG156" t="s">
        <v>121</v>
      </c>
      <c r="AH156" t="s">
        <v>327</v>
      </c>
      <c r="AI156" t="s">
        <v>121</v>
      </c>
      <c r="AJ156" t="s">
        <v>717</v>
      </c>
      <c r="AK156" t="s">
        <v>121</v>
      </c>
    </row>
    <row r="157" spans="9:37" x14ac:dyDescent="0.3">
      <c r="I157">
        <f ca="1">IF(OR(INDIRECT(A73&amp;ROW())=B93,INDIRECT(A73&amp;ROW())=B94),1,IF(AND(INDIRECT(A73&amp;ROW())=B95,INDIRECT(A96&amp;ROW())=C93),1,IF(AND(INDIRECT(A73&amp;ROW())=B95,INDIRECT(A96&amp;ROW())=C94),1,0)))</f>
        <v>0</v>
      </c>
      <c r="J157">
        <f ca="1">IF(AND(INDIRECT(A73&amp;ROW())=B95,INDIRECT(A96&amp;ROW())=C95),1,IF(AND(INDIRECT(A73&amp;ROW())=B95,INDIRECT(A96&amp;ROW())=C96),1,0))</f>
        <v>0</v>
      </c>
      <c r="K157">
        <f ca="1">DAYS360(INDIRECT(C68&amp;ROW()),TODAY())</f>
        <v>721</v>
      </c>
      <c r="L157">
        <f ca="1">DAYS360(INDIRECT(C69&amp;ROW()),TODAY())</f>
        <v>882</v>
      </c>
      <c r="M157">
        <f ca="1">HYPERLINK(CONCATENATE("https://bugzilla.houston.hp.com:1181/bugzilla/show_bug.cgi?id=",INDIRECT(C70&amp;ROW())),INDIRECT(C70&amp;ROW()))</f>
        <v>53606</v>
      </c>
      <c r="N157">
        <v>53606</v>
      </c>
      <c r="O157" t="s">
        <v>21</v>
      </c>
      <c r="P157" t="s">
        <v>393</v>
      </c>
      <c r="Q157" t="s">
        <v>16</v>
      </c>
      <c r="R157" t="s">
        <v>248</v>
      </c>
      <c r="S157" t="s">
        <v>36</v>
      </c>
      <c r="U157" s="6">
        <v>42125.447615740741</v>
      </c>
      <c r="V157" t="s">
        <v>18</v>
      </c>
      <c r="W157" t="s">
        <v>322</v>
      </c>
      <c r="X157" s="6">
        <v>41963.324618055558</v>
      </c>
      <c r="Y157" t="s">
        <v>122</v>
      </c>
      <c r="AB157" t="s">
        <v>201</v>
      </c>
      <c r="AC157" t="s">
        <v>247</v>
      </c>
      <c r="AD157" t="s">
        <v>222</v>
      </c>
      <c r="AE157" t="s">
        <v>225</v>
      </c>
      <c r="AG157" t="s">
        <v>121</v>
      </c>
      <c r="AH157" t="s">
        <v>327</v>
      </c>
      <c r="AI157" t="s">
        <v>121</v>
      </c>
      <c r="AJ157" t="s">
        <v>717</v>
      </c>
      <c r="AK157" t="s">
        <v>121</v>
      </c>
    </row>
    <row r="158" spans="9:37" x14ac:dyDescent="0.3">
      <c r="I158">
        <f ca="1">IF(OR(INDIRECT(A73&amp;ROW())=B93,INDIRECT(A73&amp;ROW())=B94),1,IF(AND(INDIRECT(A73&amp;ROW())=B95,INDIRECT(A96&amp;ROW())=C93),1,IF(AND(INDIRECT(A73&amp;ROW())=B95,INDIRECT(A96&amp;ROW())=C94),1,0)))</f>
        <v>0</v>
      </c>
      <c r="J158">
        <f ca="1">IF(AND(INDIRECT(A73&amp;ROW())=B95,INDIRECT(A96&amp;ROW())=C95),1,IF(AND(INDIRECT(A73&amp;ROW())=B95,INDIRECT(A96&amp;ROW())=C96),1,0))</f>
        <v>0</v>
      </c>
      <c r="K158">
        <f ca="1">DAYS360(INDIRECT(C68&amp;ROW()),TODAY())</f>
        <v>721</v>
      </c>
      <c r="L158">
        <f ca="1">DAYS360(INDIRECT(C69&amp;ROW()),TODAY())</f>
        <v>882</v>
      </c>
      <c r="M158">
        <f ca="1">HYPERLINK(CONCATENATE("https://bugzilla.houston.hp.com:1181/bugzilla/show_bug.cgi?id=",INDIRECT(C70&amp;ROW())),INDIRECT(C70&amp;ROW()))</f>
        <v>53625</v>
      </c>
      <c r="N158">
        <v>53625</v>
      </c>
      <c r="O158" t="s">
        <v>65</v>
      </c>
      <c r="P158" t="s">
        <v>392</v>
      </c>
      <c r="Q158" t="s">
        <v>16</v>
      </c>
      <c r="R158" t="s">
        <v>248</v>
      </c>
      <c r="S158" t="s">
        <v>36</v>
      </c>
      <c r="U158" s="6">
        <v>42125.447592592594</v>
      </c>
      <c r="V158" t="s">
        <v>18</v>
      </c>
      <c r="W158" t="s">
        <v>322</v>
      </c>
      <c r="X158" s="6">
        <v>41963.326724537037</v>
      </c>
      <c r="Y158" t="s">
        <v>122</v>
      </c>
      <c r="AB158" t="s">
        <v>201</v>
      </c>
      <c r="AC158" t="s">
        <v>247</v>
      </c>
      <c r="AD158" t="s">
        <v>220</v>
      </c>
      <c r="AE158" t="s">
        <v>219</v>
      </c>
      <c r="AG158" t="s">
        <v>121</v>
      </c>
      <c r="AH158" t="s">
        <v>64</v>
      </c>
      <c r="AI158" t="s">
        <v>121</v>
      </c>
      <c r="AJ158" t="s">
        <v>717</v>
      </c>
      <c r="AK158" t="s">
        <v>121</v>
      </c>
    </row>
    <row r="159" spans="9:37" x14ac:dyDescent="0.3">
      <c r="I159">
        <f ca="1">IF(OR(INDIRECT(A73&amp;ROW())=B93,INDIRECT(A73&amp;ROW())=B94),1,IF(AND(INDIRECT(A73&amp;ROW())=B95,INDIRECT(A96&amp;ROW())=C93),1,IF(AND(INDIRECT(A73&amp;ROW())=B95,INDIRECT(A96&amp;ROW())=C94),1,0)))</f>
        <v>1</v>
      </c>
      <c r="J159">
        <f ca="1">IF(AND(INDIRECT(A73&amp;ROW())=B95,INDIRECT(A96&amp;ROW())=C95),1,IF(AND(INDIRECT(A73&amp;ROW())=B95,INDIRECT(A96&amp;ROW())=C96),1,0))</f>
        <v>0</v>
      </c>
      <c r="K159">
        <f ca="1">DAYS360(INDIRECT(C68&amp;ROW()),TODAY())</f>
        <v>792</v>
      </c>
      <c r="L159">
        <f ca="1">DAYS360(INDIRECT(C69&amp;ROW()),TODAY())</f>
        <v>882</v>
      </c>
      <c r="M159">
        <f ca="1">HYPERLINK(CONCATENATE("https://bugzilla.houston.hp.com:1181/bugzilla/show_bug.cgi?id=",INDIRECT(C70&amp;ROW())),INDIRECT(C70&amp;ROW()))</f>
        <v>53634</v>
      </c>
      <c r="N159">
        <v>53634</v>
      </c>
      <c r="O159" t="s">
        <v>50</v>
      </c>
      <c r="P159" t="s">
        <v>391</v>
      </c>
      <c r="Q159" t="s">
        <v>25</v>
      </c>
      <c r="R159" t="s">
        <v>248</v>
      </c>
      <c r="S159" t="s">
        <v>36</v>
      </c>
      <c r="U159" s="6">
        <v>42055.522488425922</v>
      </c>
      <c r="V159" t="s">
        <v>18</v>
      </c>
      <c r="W159" t="s">
        <v>215</v>
      </c>
      <c r="X159" s="6">
        <v>41963.32912037037</v>
      </c>
      <c r="Y159" t="s">
        <v>119</v>
      </c>
      <c r="AB159" t="s">
        <v>200</v>
      </c>
      <c r="AC159" t="s">
        <v>121</v>
      </c>
      <c r="AD159" t="s">
        <v>227</v>
      </c>
      <c r="AE159" t="s">
        <v>226</v>
      </c>
      <c r="AG159" t="s">
        <v>121</v>
      </c>
      <c r="AH159" t="s">
        <v>327</v>
      </c>
      <c r="AI159" t="s">
        <v>362</v>
      </c>
      <c r="AJ159" t="s">
        <v>715</v>
      </c>
      <c r="AK159" t="s">
        <v>121</v>
      </c>
    </row>
    <row r="160" spans="9:37" x14ac:dyDescent="0.3">
      <c r="I160">
        <f ca="1">IF(OR(INDIRECT(A73&amp;ROW())=B93,INDIRECT(A73&amp;ROW())=B94),1,IF(AND(INDIRECT(A73&amp;ROW())=B95,INDIRECT(A96&amp;ROW())=C93),1,IF(AND(INDIRECT(A73&amp;ROW())=B95,INDIRECT(A96&amp;ROW())=C94),1,0)))</f>
        <v>1</v>
      </c>
      <c r="J160">
        <f ca="1">IF(AND(INDIRECT(A73&amp;ROW())=B95,INDIRECT(A96&amp;ROW())=C95),1,IF(AND(INDIRECT(A73&amp;ROW())=B95,INDIRECT(A96&amp;ROW())=C96),1,0))</f>
        <v>0</v>
      </c>
      <c r="K160">
        <f ca="1">DAYS360(INDIRECT(C68&amp;ROW()),TODAY())</f>
        <v>731</v>
      </c>
      <c r="L160">
        <f ca="1">DAYS360(INDIRECT(C69&amp;ROW()),TODAY())</f>
        <v>882</v>
      </c>
      <c r="M160">
        <f ca="1">HYPERLINK(CONCATENATE("https://bugzilla.houston.hp.com:1181/bugzilla/show_bug.cgi?id=",INDIRECT(C70&amp;ROW())),INDIRECT(C70&amp;ROW()))</f>
        <v>53637</v>
      </c>
      <c r="N160">
        <v>53637</v>
      </c>
      <c r="O160" t="s">
        <v>56</v>
      </c>
      <c r="P160" t="s">
        <v>390</v>
      </c>
      <c r="Q160" t="s">
        <v>39</v>
      </c>
      <c r="R160" t="s">
        <v>248</v>
      </c>
      <c r="S160" t="s">
        <v>36</v>
      </c>
      <c r="U160" s="6">
        <v>42115.349305555559</v>
      </c>
      <c r="V160" t="s">
        <v>18</v>
      </c>
      <c r="W160" t="s">
        <v>260</v>
      </c>
      <c r="X160" s="6">
        <v>41963.329664351855</v>
      </c>
      <c r="Y160" t="s">
        <v>245</v>
      </c>
      <c r="AB160" t="s">
        <v>200</v>
      </c>
      <c r="AC160" t="s">
        <v>121</v>
      </c>
      <c r="AD160" t="s">
        <v>220</v>
      </c>
      <c r="AE160" t="s">
        <v>219</v>
      </c>
      <c r="AG160" t="s">
        <v>121</v>
      </c>
      <c r="AH160" t="s">
        <v>327</v>
      </c>
      <c r="AI160" t="s">
        <v>362</v>
      </c>
      <c r="AJ160" t="s">
        <v>715</v>
      </c>
      <c r="AK160" t="s">
        <v>121</v>
      </c>
    </row>
    <row r="161" spans="9:37" x14ac:dyDescent="0.3">
      <c r="I161">
        <f ca="1">IF(OR(INDIRECT(A73&amp;ROW())=B93,INDIRECT(A73&amp;ROW())=B94),1,IF(AND(INDIRECT(A73&amp;ROW())=B95,INDIRECT(A96&amp;ROW())=C93),1,IF(AND(INDIRECT(A73&amp;ROW())=B95,INDIRECT(A96&amp;ROW())=C94),1,0)))</f>
        <v>1</v>
      </c>
      <c r="J161">
        <f ca="1">IF(AND(INDIRECT(A73&amp;ROW())=B95,INDIRECT(A96&amp;ROW())=C95),1,IF(AND(INDIRECT(A73&amp;ROW())=B95,INDIRECT(A96&amp;ROW())=C96),1,0))</f>
        <v>0</v>
      </c>
      <c r="K161">
        <f ca="1">DAYS360(INDIRECT(C68&amp;ROW()),TODAY())</f>
        <v>769</v>
      </c>
      <c r="L161">
        <f ca="1">DAYS360(INDIRECT(C69&amp;ROW()),TODAY())</f>
        <v>882</v>
      </c>
      <c r="M161">
        <f ca="1">HYPERLINK(CONCATENATE("https://bugzilla.houston.hp.com:1181/bugzilla/show_bug.cgi?id=",INDIRECT(C70&amp;ROW())),INDIRECT(C70&amp;ROW()))</f>
        <v>53649</v>
      </c>
      <c r="N161">
        <v>53649</v>
      </c>
      <c r="O161" t="s">
        <v>298</v>
      </c>
      <c r="P161" t="s">
        <v>467</v>
      </c>
      <c r="Q161" t="s">
        <v>39</v>
      </c>
      <c r="R161" t="s">
        <v>248</v>
      </c>
      <c r="S161" t="s">
        <v>36</v>
      </c>
      <c r="U161" s="6">
        <v>42076.509421296294</v>
      </c>
      <c r="V161" t="s">
        <v>18</v>
      </c>
      <c r="W161" t="s">
        <v>343</v>
      </c>
      <c r="X161" s="6">
        <v>41963.331307870372</v>
      </c>
      <c r="Y161" t="s">
        <v>119</v>
      </c>
      <c r="AB161" t="s">
        <v>201</v>
      </c>
      <c r="AC161" t="s">
        <v>247</v>
      </c>
      <c r="AD161" t="s">
        <v>227</v>
      </c>
      <c r="AE161" t="s">
        <v>231</v>
      </c>
      <c r="AG161" t="s">
        <v>121</v>
      </c>
      <c r="AH161" t="s">
        <v>327</v>
      </c>
      <c r="AI161" t="s">
        <v>121</v>
      </c>
      <c r="AJ161" t="s">
        <v>715</v>
      </c>
      <c r="AK161" t="s">
        <v>121</v>
      </c>
    </row>
    <row r="162" spans="9:37" x14ac:dyDescent="0.3">
      <c r="I162">
        <f ca="1">IF(OR(INDIRECT(A73&amp;ROW())=B93,INDIRECT(A73&amp;ROW())=B94),1,IF(AND(INDIRECT(A73&amp;ROW())=B95,INDIRECT(A96&amp;ROW())=C93),1,IF(AND(INDIRECT(A73&amp;ROW())=B95,INDIRECT(A96&amp;ROW())=C94),1,0)))</f>
        <v>0</v>
      </c>
      <c r="J162">
        <f ca="1">IF(AND(INDIRECT(A73&amp;ROW())=B95,INDIRECT(A96&amp;ROW())=C95),1,IF(AND(INDIRECT(A73&amp;ROW())=B95,INDIRECT(A96&amp;ROW())=C96),1,0))</f>
        <v>1</v>
      </c>
      <c r="K162">
        <f ca="1">DAYS360(INDIRECT(C68&amp;ROW()),TODAY())</f>
        <v>749</v>
      </c>
      <c r="L162">
        <f ca="1">DAYS360(INDIRECT(C69&amp;ROW()),TODAY())</f>
        <v>882</v>
      </c>
      <c r="M162">
        <f ca="1">HYPERLINK(CONCATENATE("https://bugzilla.houston.hp.com:1181/bugzilla/show_bug.cgi?id=",INDIRECT(C70&amp;ROW())),INDIRECT(C70&amp;ROW()))</f>
        <v>53666</v>
      </c>
      <c r="N162">
        <v>53666</v>
      </c>
      <c r="O162" t="s">
        <v>326</v>
      </c>
      <c r="P162" t="s">
        <v>466</v>
      </c>
      <c r="Q162" t="s">
        <v>25</v>
      </c>
      <c r="R162" t="s">
        <v>17</v>
      </c>
      <c r="S162" t="s">
        <v>36</v>
      </c>
      <c r="U162" s="6">
        <v>42097.476076388892</v>
      </c>
      <c r="V162" t="s">
        <v>18</v>
      </c>
      <c r="W162" t="s">
        <v>17</v>
      </c>
      <c r="X162" s="6">
        <v>41963.37358796296</v>
      </c>
      <c r="Y162" t="s">
        <v>119</v>
      </c>
      <c r="AA162" t="s">
        <v>184</v>
      </c>
      <c r="AB162" t="s">
        <v>201</v>
      </c>
      <c r="AC162" t="s">
        <v>247</v>
      </c>
      <c r="AD162" t="s">
        <v>227</v>
      </c>
      <c r="AE162" t="s">
        <v>230</v>
      </c>
      <c r="AG162" t="s">
        <v>121</v>
      </c>
      <c r="AH162" t="s">
        <v>327</v>
      </c>
      <c r="AI162" t="s">
        <v>362</v>
      </c>
      <c r="AJ162" t="s">
        <v>716</v>
      </c>
      <c r="AK162" t="s">
        <v>121</v>
      </c>
    </row>
    <row r="163" spans="9:37" x14ac:dyDescent="0.3">
      <c r="I163">
        <f ca="1">IF(OR(INDIRECT(A73&amp;ROW())=B93,INDIRECT(A73&amp;ROW())=B94),1,IF(AND(INDIRECT(A73&amp;ROW())=B95,INDIRECT(A96&amp;ROW())=C93),1,IF(AND(INDIRECT(A73&amp;ROW())=B95,INDIRECT(A96&amp;ROW())=C94),1,0)))</f>
        <v>0</v>
      </c>
      <c r="J163">
        <f ca="1">IF(AND(INDIRECT(A73&amp;ROW())=B95,INDIRECT(A96&amp;ROW())=C95),1,IF(AND(INDIRECT(A73&amp;ROW())=B95,INDIRECT(A96&amp;ROW())=C96),1,0))</f>
        <v>1</v>
      </c>
      <c r="K163">
        <f ca="1">DAYS360(INDIRECT(C68&amp;ROW()),TODAY())</f>
        <v>853</v>
      </c>
      <c r="L163">
        <f ca="1">DAYS360(INDIRECT(C69&amp;ROW()),TODAY())</f>
        <v>882</v>
      </c>
      <c r="M163">
        <f ca="1">HYPERLINK(CONCATENATE("https://bugzilla.houston.hp.com:1181/bugzilla/show_bug.cgi?id=",INDIRECT(C70&amp;ROW())),INDIRECT(C70&amp;ROW()))</f>
        <v>53667</v>
      </c>
      <c r="N163">
        <v>53667</v>
      </c>
      <c r="O163" t="s">
        <v>45</v>
      </c>
      <c r="P163" t="s">
        <v>465</v>
      </c>
      <c r="Q163" t="s">
        <v>25</v>
      </c>
      <c r="R163" t="s">
        <v>248</v>
      </c>
      <c r="S163" t="s">
        <v>36</v>
      </c>
      <c r="U163" s="6">
        <v>41992.591354166667</v>
      </c>
      <c r="V163" t="s">
        <v>18</v>
      </c>
      <c r="W163" t="s">
        <v>17</v>
      </c>
      <c r="X163" s="6">
        <v>41963.373645833337</v>
      </c>
      <c r="Y163" t="s">
        <v>119</v>
      </c>
      <c r="AA163" t="s">
        <v>184</v>
      </c>
      <c r="AB163" t="s">
        <v>201</v>
      </c>
      <c r="AC163" t="s">
        <v>247</v>
      </c>
      <c r="AD163" t="s">
        <v>227</v>
      </c>
      <c r="AE163" t="s">
        <v>370</v>
      </c>
      <c r="AG163" t="s">
        <v>121</v>
      </c>
      <c r="AH163" t="s">
        <v>327</v>
      </c>
      <c r="AI163" t="s">
        <v>121</v>
      </c>
      <c r="AJ163" t="s">
        <v>716</v>
      </c>
      <c r="AK163" t="s">
        <v>121</v>
      </c>
    </row>
    <row r="164" spans="9:37" x14ac:dyDescent="0.3">
      <c r="I164">
        <f ca="1">IF(OR(INDIRECT(A73&amp;ROW())=B93,INDIRECT(A73&amp;ROW())=B94),1,IF(AND(INDIRECT(A73&amp;ROW())=B95,INDIRECT(A96&amp;ROW())=C93),1,IF(AND(INDIRECT(A73&amp;ROW())=B95,INDIRECT(A96&amp;ROW())=C94),1,0)))</f>
        <v>0</v>
      </c>
      <c r="J164">
        <f ca="1">IF(AND(INDIRECT(A73&amp;ROW())=B95,INDIRECT(A96&amp;ROW())=C95),1,IF(AND(INDIRECT(A73&amp;ROW())=B95,INDIRECT(A96&amp;ROW())=C96),1,0))</f>
        <v>0</v>
      </c>
      <c r="K164">
        <f ca="1">DAYS360(INDIRECT(C68&amp;ROW()),TODAY())</f>
        <v>721</v>
      </c>
      <c r="L164">
        <f ca="1">DAYS360(INDIRECT(C69&amp;ROW()),TODAY())</f>
        <v>882</v>
      </c>
      <c r="M164">
        <f ca="1">HYPERLINK(CONCATENATE("https://bugzilla.houston.hp.com:1181/bugzilla/show_bug.cgi?id=",INDIRECT(C70&amp;ROW())),INDIRECT(C70&amp;ROW()))</f>
        <v>53677</v>
      </c>
      <c r="N164">
        <v>53677</v>
      </c>
      <c r="O164" t="s">
        <v>56</v>
      </c>
      <c r="P164" t="s">
        <v>464</v>
      </c>
      <c r="Q164" t="s">
        <v>16</v>
      </c>
      <c r="R164" t="s">
        <v>248</v>
      </c>
      <c r="S164" t="s">
        <v>36</v>
      </c>
      <c r="U164" s="6">
        <v>42125.448738425926</v>
      </c>
      <c r="V164" t="s">
        <v>18</v>
      </c>
      <c r="W164" t="s">
        <v>341</v>
      </c>
      <c r="X164" s="6">
        <v>41963.376620370371</v>
      </c>
      <c r="Y164" t="s">
        <v>122</v>
      </c>
      <c r="AB164" t="s">
        <v>200</v>
      </c>
      <c r="AC164" t="s">
        <v>247</v>
      </c>
      <c r="AD164" t="s">
        <v>220</v>
      </c>
      <c r="AE164" t="s">
        <v>219</v>
      </c>
      <c r="AG164" t="s">
        <v>121</v>
      </c>
      <c r="AH164" t="s">
        <v>327</v>
      </c>
      <c r="AI164" t="s">
        <v>121</v>
      </c>
      <c r="AJ164" t="s">
        <v>716</v>
      </c>
      <c r="AK164" t="s">
        <v>121</v>
      </c>
    </row>
    <row r="165" spans="9:37" x14ac:dyDescent="0.3">
      <c r="I165">
        <f ca="1">IF(OR(INDIRECT(A73&amp;ROW())=B93,INDIRECT(A73&amp;ROW())=B94),1,IF(AND(INDIRECT(A73&amp;ROW())=B95,INDIRECT(A96&amp;ROW())=C93),1,IF(AND(INDIRECT(A73&amp;ROW())=B95,INDIRECT(A96&amp;ROW())=C94),1,0)))</f>
        <v>0</v>
      </c>
      <c r="J165">
        <f ca="1">IF(AND(INDIRECT(A73&amp;ROW())=B95,INDIRECT(A96&amp;ROW())=C95),1,IF(AND(INDIRECT(A73&amp;ROW())=B95,INDIRECT(A96&amp;ROW())=C96),1,0))</f>
        <v>0</v>
      </c>
      <c r="K165">
        <f ca="1">DAYS360(INDIRECT(C68&amp;ROW()),TODAY())</f>
        <v>800</v>
      </c>
      <c r="L165">
        <f ca="1">DAYS360(INDIRECT(C69&amp;ROW()),TODAY())</f>
        <v>882</v>
      </c>
      <c r="M165">
        <f ca="1">HYPERLINK(CONCATENATE("https://bugzilla.houston.hp.com:1181/bugzilla/show_bug.cgi?id=",INDIRECT(C70&amp;ROW())),INDIRECT(C70&amp;ROW()))</f>
        <v>53683</v>
      </c>
      <c r="N165">
        <v>53683</v>
      </c>
      <c r="O165" t="s">
        <v>326</v>
      </c>
      <c r="P165" t="s">
        <v>463</v>
      </c>
      <c r="Q165" t="s">
        <v>16</v>
      </c>
      <c r="R165" t="s">
        <v>17</v>
      </c>
      <c r="S165" t="s">
        <v>36</v>
      </c>
      <c r="U165" s="6">
        <v>42047.980717592596</v>
      </c>
      <c r="V165" t="s">
        <v>18</v>
      </c>
      <c r="W165" t="s">
        <v>207</v>
      </c>
      <c r="X165" s="6">
        <v>41963.399247685185</v>
      </c>
      <c r="Y165" t="s">
        <v>123</v>
      </c>
      <c r="AB165" t="s">
        <v>199</v>
      </c>
      <c r="AC165" t="s">
        <v>121</v>
      </c>
      <c r="AD165" t="s">
        <v>227</v>
      </c>
      <c r="AE165" t="s">
        <v>230</v>
      </c>
      <c r="AG165" t="s">
        <v>121</v>
      </c>
      <c r="AH165" t="s">
        <v>327</v>
      </c>
      <c r="AI165" t="s">
        <v>362</v>
      </c>
      <c r="AJ165" t="s">
        <v>716</v>
      </c>
      <c r="AK165" t="s">
        <v>121</v>
      </c>
    </row>
    <row r="166" spans="9:37" x14ac:dyDescent="0.3">
      <c r="I166">
        <f ca="1">IF(OR(INDIRECT(A73&amp;ROW())=B93,INDIRECT(A73&amp;ROW())=B94),1,IF(AND(INDIRECT(A73&amp;ROW())=B95,INDIRECT(A96&amp;ROW())=C93),1,IF(AND(INDIRECT(A73&amp;ROW())=B95,INDIRECT(A96&amp;ROW())=C94),1,0)))</f>
        <v>0</v>
      </c>
      <c r="J166">
        <f ca="1">IF(AND(INDIRECT(A73&amp;ROW())=B95,INDIRECT(A96&amp;ROW())=C95),1,IF(AND(INDIRECT(A73&amp;ROW())=B95,INDIRECT(A96&amp;ROW())=C96),1,0))</f>
        <v>0</v>
      </c>
      <c r="K166">
        <f ca="1">DAYS360(INDIRECT(C68&amp;ROW()),TODAY())</f>
        <v>721</v>
      </c>
      <c r="L166">
        <f ca="1">DAYS360(INDIRECT(C69&amp;ROW()),TODAY())</f>
        <v>882</v>
      </c>
      <c r="M166">
        <f ca="1">HYPERLINK(CONCATENATE("https://bugzilla.houston.hp.com:1181/bugzilla/show_bug.cgi?id=",INDIRECT(C70&amp;ROW())),INDIRECT(C70&amp;ROW()))</f>
        <v>53684</v>
      </c>
      <c r="N166">
        <v>53684</v>
      </c>
      <c r="O166" t="s">
        <v>45</v>
      </c>
      <c r="P166" t="s">
        <v>476</v>
      </c>
      <c r="Q166" t="s">
        <v>16</v>
      </c>
      <c r="R166" t="s">
        <v>248</v>
      </c>
      <c r="S166" t="s">
        <v>36</v>
      </c>
      <c r="U166" s="6">
        <v>42125.644004629627</v>
      </c>
      <c r="V166" t="s">
        <v>18</v>
      </c>
      <c r="W166" t="s">
        <v>207</v>
      </c>
      <c r="X166" s="6">
        <v>41963.405358796299</v>
      </c>
      <c r="Y166" t="s">
        <v>123</v>
      </c>
      <c r="AB166" t="s">
        <v>199</v>
      </c>
      <c r="AC166" t="s">
        <v>121</v>
      </c>
      <c r="AD166" t="s">
        <v>227</v>
      </c>
      <c r="AE166" t="s">
        <v>231</v>
      </c>
      <c r="AG166" t="s">
        <v>121</v>
      </c>
      <c r="AH166" t="s">
        <v>327</v>
      </c>
      <c r="AI166" t="s">
        <v>121</v>
      </c>
      <c r="AJ166" t="s">
        <v>716</v>
      </c>
      <c r="AK166" t="s">
        <v>121</v>
      </c>
    </row>
    <row r="167" spans="9:37" x14ac:dyDescent="0.3">
      <c r="I167">
        <f ca="1">IF(OR(INDIRECT(A73&amp;ROW())=B93,INDIRECT(A73&amp;ROW())=B94),1,IF(AND(INDIRECT(A73&amp;ROW())=B95,INDIRECT(A96&amp;ROW())=C93),1,IF(AND(INDIRECT(A73&amp;ROW())=B95,INDIRECT(A96&amp;ROW())=C94),1,0)))</f>
        <v>1</v>
      </c>
      <c r="J167">
        <f ca="1">IF(AND(INDIRECT(A73&amp;ROW())=B95,INDIRECT(A96&amp;ROW())=C95),1,IF(AND(INDIRECT(A73&amp;ROW())=B95,INDIRECT(A96&amp;ROW())=C96),1,0))</f>
        <v>0</v>
      </c>
      <c r="K167">
        <f ca="1">DAYS360(INDIRECT(C68&amp;ROW()),TODAY())</f>
        <v>882</v>
      </c>
      <c r="L167">
        <f ca="1">DAYS360(INDIRECT(C69&amp;ROW()),TODAY())</f>
        <v>882</v>
      </c>
      <c r="M167">
        <f ca="1">HYPERLINK(CONCATENATE("https://bugzilla.houston.hp.com:1181/bugzilla/show_bug.cgi?id=",INDIRECT(C70&amp;ROW())),INDIRECT(C70&amp;ROW()))</f>
        <v>53689</v>
      </c>
      <c r="N167">
        <v>53689</v>
      </c>
      <c r="O167" t="s">
        <v>36</v>
      </c>
      <c r="P167" t="s">
        <v>462</v>
      </c>
      <c r="Q167" t="s">
        <v>25</v>
      </c>
      <c r="R167" t="s">
        <v>248</v>
      </c>
      <c r="S167" t="s">
        <v>36</v>
      </c>
      <c r="U167" s="6">
        <v>41963.415879629632</v>
      </c>
      <c r="V167" t="s">
        <v>18</v>
      </c>
      <c r="W167" t="s">
        <v>207</v>
      </c>
      <c r="X167" s="6">
        <v>41963.415879629632</v>
      </c>
      <c r="Y167" t="s">
        <v>120</v>
      </c>
      <c r="AB167" t="s">
        <v>200</v>
      </c>
      <c r="AC167" t="s">
        <v>121</v>
      </c>
      <c r="AD167" t="s">
        <v>220</v>
      </c>
      <c r="AE167" t="s">
        <v>219</v>
      </c>
      <c r="AG167" t="s">
        <v>121</v>
      </c>
      <c r="AH167" t="s">
        <v>327</v>
      </c>
      <c r="AI167" t="s">
        <v>121</v>
      </c>
      <c r="AJ167" t="s">
        <v>715</v>
      </c>
      <c r="AK167" t="s">
        <v>121</v>
      </c>
    </row>
    <row r="168" spans="9:37" x14ac:dyDescent="0.3">
      <c r="I168">
        <f ca="1">IF(OR(INDIRECT(A73&amp;ROW())=B93,INDIRECT(A73&amp;ROW())=B94),1,IF(AND(INDIRECT(A73&amp;ROW())=B95,INDIRECT(A96&amp;ROW())=C93),1,IF(AND(INDIRECT(A73&amp;ROW())=B95,INDIRECT(A96&amp;ROW())=C94),1,0)))</f>
        <v>1</v>
      </c>
      <c r="J168">
        <f ca="1">IF(AND(INDIRECT(A73&amp;ROW())=B95,INDIRECT(A96&amp;ROW())=C95),1,IF(AND(INDIRECT(A73&amp;ROW())=B95,INDIRECT(A96&amp;ROW())=C96),1,0))</f>
        <v>0</v>
      </c>
      <c r="K168">
        <f ca="1">DAYS360(INDIRECT(C68&amp;ROW()),TODAY())</f>
        <v>757</v>
      </c>
      <c r="L168">
        <f ca="1">DAYS360(INDIRECT(C69&amp;ROW()),TODAY())</f>
        <v>882</v>
      </c>
      <c r="M168">
        <f ca="1">HYPERLINK(CONCATENATE("https://bugzilla.houston.hp.com:1181/bugzilla/show_bug.cgi?id=",INDIRECT(C70&amp;ROW())),INDIRECT(C70&amp;ROW()))</f>
        <v>53713</v>
      </c>
      <c r="N168">
        <v>53713</v>
      </c>
      <c r="O168" t="s">
        <v>43</v>
      </c>
      <c r="P168" t="s">
        <v>480</v>
      </c>
      <c r="Q168" t="s">
        <v>25</v>
      </c>
      <c r="R168" t="s">
        <v>251</v>
      </c>
      <c r="S168" t="s">
        <v>336</v>
      </c>
      <c r="U168" s="6">
        <v>42088.084247685183</v>
      </c>
      <c r="V168" t="s">
        <v>40</v>
      </c>
      <c r="W168" t="s">
        <v>17</v>
      </c>
      <c r="X168" s="6">
        <v>41963.720011574071</v>
      </c>
      <c r="Y168" t="s">
        <v>342</v>
      </c>
      <c r="AB168" t="s">
        <v>200</v>
      </c>
      <c r="AC168" t="s">
        <v>247</v>
      </c>
      <c r="AD168" t="s">
        <v>220</v>
      </c>
      <c r="AE168" t="s">
        <v>219</v>
      </c>
      <c r="AG168" t="s">
        <v>121</v>
      </c>
      <c r="AH168" t="s">
        <v>327</v>
      </c>
      <c r="AI168" t="s">
        <v>121</v>
      </c>
      <c r="AJ168" t="s">
        <v>715</v>
      </c>
      <c r="AK168" t="s">
        <v>121</v>
      </c>
    </row>
    <row r="169" spans="9:37" x14ac:dyDescent="0.3">
      <c r="I169">
        <f ca="1">IF(OR(INDIRECT(A73&amp;ROW())=B93,INDIRECT(A73&amp;ROW())=B94),1,IF(AND(INDIRECT(A73&amp;ROW())=B95,INDIRECT(A96&amp;ROW())=C93),1,IF(AND(INDIRECT(A73&amp;ROW())=B95,INDIRECT(A96&amp;ROW())=C94),1,0)))</f>
        <v>0</v>
      </c>
      <c r="J169">
        <f ca="1">IF(AND(INDIRECT(A73&amp;ROW())=B95,INDIRECT(A96&amp;ROW())=C95),1,IF(AND(INDIRECT(A73&amp;ROW())=B95,INDIRECT(A96&amp;ROW())=C96),1,0))</f>
        <v>0</v>
      </c>
      <c r="K169">
        <f ca="1">DAYS360(INDIRECT(C68&amp;ROW()),TODAY())</f>
        <v>730</v>
      </c>
      <c r="L169">
        <f ca="1">DAYS360(INDIRECT(C69&amp;ROW()),TODAY())</f>
        <v>882</v>
      </c>
      <c r="M169">
        <f ca="1">HYPERLINK(CONCATENATE("https://bugzilla.houston.hp.com:1181/bugzilla/show_bug.cgi?id=",INDIRECT(C70&amp;ROW())),INDIRECT(C70&amp;ROW()))</f>
        <v>53719</v>
      </c>
      <c r="N169">
        <v>53719</v>
      </c>
      <c r="O169" t="s">
        <v>856</v>
      </c>
      <c r="P169" t="s">
        <v>461</v>
      </c>
      <c r="Q169" t="s">
        <v>16</v>
      </c>
      <c r="R169" t="s">
        <v>248</v>
      </c>
      <c r="S169" t="s">
        <v>36</v>
      </c>
      <c r="U169" s="6">
        <v>42116.923831018517</v>
      </c>
      <c r="V169" t="s">
        <v>35</v>
      </c>
      <c r="W169" t="s">
        <v>258</v>
      </c>
      <c r="X169" s="6">
        <v>41963.788032407407</v>
      </c>
      <c r="Y169" t="s">
        <v>119</v>
      </c>
      <c r="AB169" t="s">
        <v>201</v>
      </c>
      <c r="AC169" t="s">
        <v>121</v>
      </c>
      <c r="AD169" t="s">
        <v>222</v>
      </c>
      <c r="AE169" t="s">
        <v>221</v>
      </c>
      <c r="AG169" t="s">
        <v>121</v>
      </c>
      <c r="AH169" t="s">
        <v>327</v>
      </c>
      <c r="AI169" t="s">
        <v>121</v>
      </c>
      <c r="AJ169" t="s">
        <v>717</v>
      </c>
      <c r="AK169" t="s">
        <v>121</v>
      </c>
    </row>
    <row r="170" spans="9:37" x14ac:dyDescent="0.3">
      <c r="I170">
        <f ca="1">IF(OR(INDIRECT(A73&amp;ROW())=B93,INDIRECT(A73&amp;ROW())=B94),1,IF(AND(INDIRECT(A73&amp;ROW())=B95,INDIRECT(A96&amp;ROW())=C93),1,IF(AND(INDIRECT(A73&amp;ROW())=B95,INDIRECT(A96&amp;ROW())=C94),1,0)))</f>
        <v>0</v>
      </c>
      <c r="J170">
        <f ca="1">IF(AND(INDIRECT(A73&amp;ROW())=B95,INDIRECT(A96&amp;ROW())=C95),1,IF(AND(INDIRECT(A73&amp;ROW())=B95,INDIRECT(A96&amp;ROW())=C96),1,0))</f>
        <v>0</v>
      </c>
      <c r="K170">
        <f ca="1">DAYS360(INDIRECT(C68&amp;ROW()),TODAY())</f>
        <v>721</v>
      </c>
      <c r="L170">
        <f ca="1">DAYS360(INDIRECT(C69&amp;ROW()),TODAY())</f>
        <v>882</v>
      </c>
      <c r="M170">
        <f ca="1">HYPERLINK(CONCATENATE("https://bugzilla.houston.hp.com:1181/bugzilla/show_bug.cgi?id=",INDIRECT(C70&amp;ROW())),INDIRECT(C70&amp;ROW()))</f>
        <v>53725</v>
      </c>
      <c r="N170">
        <v>53725</v>
      </c>
      <c r="O170" t="s">
        <v>45</v>
      </c>
      <c r="P170" t="s">
        <v>460</v>
      </c>
      <c r="Q170" t="s">
        <v>16</v>
      </c>
      <c r="R170" t="s">
        <v>248</v>
      </c>
      <c r="S170" t="s">
        <v>36</v>
      </c>
      <c r="U170" s="6">
        <v>42125.649328703701</v>
      </c>
      <c r="V170" t="s">
        <v>18</v>
      </c>
      <c r="W170" t="s">
        <v>260</v>
      </c>
      <c r="X170" s="6">
        <v>41963.826539351852</v>
      </c>
      <c r="Y170" t="s">
        <v>245</v>
      </c>
      <c r="Z170" t="s">
        <v>245</v>
      </c>
      <c r="AB170" t="s">
        <v>201</v>
      </c>
      <c r="AC170" t="s">
        <v>121</v>
      </c>
      <c r="AD170" t="s">
        <v>227</v>
      </c>
      <c r="AE170" t="s">
        <v>231</v>
      </c>
      <c r="AG170" t="s">
        <v>121</v>
      </c>
      <c r="AH170" t="s">
        <v>327</v>
      </c>
      <c r="AI170" t="s">
        <v>121</v>
      </c>
      <c r="AJ170" t="s">
        <v>717</v>
      </c>
      <c r="AK170" t="s">
        <v>121</v>
      </c>
    </row>
    <row r="171" spans="9:37" x14ac:dyDescent="0.3">
      <c r="I171">
        <f ca="1">IF(OR(INDIRECT(A73&amp;ROW())=B93,INDIRECT(A73&amp;ROW())=B94),1,IF(AND(INDIRECT(A73&amp;ROW())=B95,INDIRECT(A96&amp;ROW())=C93),1,IF(AND(INDIRECT(A73&amp;ROW())=B95,INDIRECT(A96&amp;ROW())=C94),1,0)))</f>
        <v>0</v>
      </c>
      <c r="J171">
        <f ca="1">IF(AND(INDIRECT(A73&amp;ROW())=B95,INDIRECT(A96&amp;ROW())=C95),1,IF(AND(INDIRECT(A73&amp;ROW())=B95,INDIRECT(A96&amp;ROW())=C96),1,0))</f>
        <v>1</v>
      </c>
      <c r="K171">
        <f ca="1">DAYS360(INDIRECT(C68&amp;ROW()),TODAY())</f>
        <v>835</v>
      </c>
      <c r="L171">
        <f ca="1">DAYS360(INDIRECT(C69&amp;ROW()),TODAY())</f>
        <v>882</v>
      </c>
      <c r="M171">
        <f ca="1">HYPERLINK(CONCATENATE("https://bugzilla.houston.hp.com:1181/bugzilla/show_bug.cgi?id=",INDIRECT(C70&amp;ROW())),INDIRECT(C70&amp;ROW()))</f>
        <v>53727</v>
      </c>
      <c r="N171">
        <v>53727</v>
      </c>
      <c r="O171" t="s">
        <v>326</v>
      </c>
      <c r="P171" t="s">
        <v>459</v>
      </c>
      <c r="Q171" t="s">
        <v>25</v>
      </c>
      <c r="R171" t="s">
        <v>17</v>
      </c>
      <c r="S171" t="s">
        <v>36</v>
      </c>
      <c r="U171" s="6">
        <v>42011.647777777776</v>
      </c>
      <c r="V171" t="s">
        <v>18</v>
      </c>
      <c r="W171" t="s">
        <v>288</v>
      </c>
      <c r="X171" s="6">
        <v>41963.828958333332</v>
      </c>
      <c r="Y171" t="s">
        <v>119</v>
      </c>
      <c r="AB171" t="s">
        <v>201</v>
      </c>
      <c r="AC171" t="s">
        <v>121</v>
      </c>
      <c r="AD171" t="s">
        <v>220</v>
      </c>
      <c r="AE171" t="s">
        <v>224</v>
      </c>
      <c r="AF171" s="13">
        <v>41901</v>
      </c>
      <c r="AG171" t="s">
        <v>121</v>
      </c>
      <c r="AH171" t="s">
        <v>64</v>
      </c>
      <c r="AI171" t="s">
        <v>363</v>
      </c>
      <c r="AJ171" t="s">
        <v>716</v>
      </c>
      <c r="AK171" t="s">
        <v>121</v>
      </c>
    </row>
    <row r="172" spans="9:37" x14ac:dyDescent="0.3">
      <c r="I172">
        <f ca="1">IF(OR(INDIRECT(A73&amp;ROW())=B93,INDIRECT(A73&amp;ROW())=B94),1,IF(AND(INDIRECT(A73&amp;ROW())=B95,INDIRECT(A96&amp;ROW())=C93),1,IF(AND(INDIRECT(A73&amp;ROW())=B95,INDIRECT(A96&amp;ROW())=C94),1,0)))</f>
        <v>0</v>
      </c>
      <c r="J172">
        <f ca="1">IF(AND(INDIRECT(A73&amp;ROW())=B95,INDIRECT(A96&amp;ROW())=C95),1,IF(AND(INDIRECT(A73&amp;ROW())=B95,INDIRECT(A96&amp;ROW())=C96),1,0))</f>
        <v>1</v>
      </c>
      <c r="K172">
        <f ca="1">DAYS360(INDIRECT(C68&amp;ROW()),TODAY())</f>
        <v>800</v>
      </c>
      <c r="L172">
        <f ca="1">DAYS360(INDIRECT(C69&amp;ROW()),TODAY())</f>
        <v>882</v>
      </c>
      <c r="M172" s="11">
        <f ca="1">HYPERLINK(CONCATENATE("https://bugzilla.houston.hp.com:1181/bugzilla/show_bug.cgi?id=",INDIRECT(C70&amp;ROW())),INDIRECT(C70&amp;ROW()))</f>
        <v>53728</v>
      </c>
      <c r="N172">
        <v>53728</v>
      </c>
      <c r="O172" t="s">
        <v>56</v>
      </c>
      <c r="P172" t="s">
        <v>458</v>
      </c>
      <c r="Q172" t="s">
        <v>25</v>
      </c>
      <c r="R172" t="s">
        <v>248</v>
      </c>
      <c r="S172" t="s">
        <v>36</v>
      </c>
      <c r="U172" s="6">
        <v>42047.974247685182</v>
      </c>
      <c r="V172" t="s">
        <v>18</v>
      </c>
      <c r="W172" t="s">
        <v>288</v>
      </c>
      <c r="X172" s="6">
        <v>41963.831631944442</v>
      </c>
      <c r="Y172" t="s">
        <v>119</v>
      </c>
      <c r="AB172" t="s">
        <v>201</v>
      </c>
      <c r="AC172" t="s">
        <v>121</v>
      </c>
      <c r="AD172" t="s">
        <v>220</v>
      </c>
      <c r="AE172" t="s">
        <v>219</v>
      </c>
      <c r="AF172" s="13">
        <v>41901</v>
      </c>
      <c r="AG172" t="s">
        <v>121</v>
      </c>
      <c r="AH172" t="s">
        <v>64</v>
      </c>
      <c r="AI172" t="s">
        <v>121</v>
      </c>
      <c r="AJ172" t="s">
        <v>716</v>
      </c>
      <c r="AK172" t="s">
        <v>121</v>
      </c>
    </row>
    <row r="173" spans="9:37" x14ac:dyDescent="0.3">
      <c r="I173">
        <f ca="1">IF(OR(INDIRECT(A73&amp;ROW())=B93,INDIRECT(A73&amp;ROW())=B94),1,IF(AND(INDIRECT(A73&amp;ROW())=B95,INDIRECT(A96&amp;ROW())=C93),1,IF(AND(INDIRECT(A73&amp;ROW())=B95,INDIRECT(A96&amp;ROW())=C94),1,0)))</f>
        <v>0</v>
      </c>
      <c r="J173">
        <f ca="1">IF(AND(INDIRECT(A73&amp;ROW())=B95,INDIRECT(A96&amp;ROW())=C95),1,IF(AND(INDIRECT(A73&amp;ROW())=B95,INDIRECT(A96&amp;ROW())=C96),1,0))</f>
        <v>1</v>
      </c>
      <c r="K173">
        <f ca="1">DAYS360(INDIRECT(C68&amp;ROW()),TODAY())</f>
        <v>714</v>
      </c>
      <c r="L173">
        <f ca="1">DAYS360(INDIRECT(C69&amp;ROW()),TODAY())</f>
        <v>882</v>
      </c>
      <c r="M173">
        <f ca="1">HYPERLINK(CONCATENATE("https://bugzilla.houston.hp.com:1181/bugzilla/show_bug.cgi?id=",INDIRECT(C70&amp;ROW())),INDIRECT(C70&amp;ROW()))</f>
        <v>53733</v>
      </c>
      <c r="N173">
        <v>53733</v>
      </c>
      <c r="O173" t="s">
        <v>204</v>
      </c>
      <c r="P173" t="s">
        <v>457</v>
      </c>
      <c r="Q173" t="s">
        <v>25</v>
      </c>
      <c r="R173" t="s">
        <v>17</v>
      </c>
      <c r="S173" t="s">
        <v>36</v>
      </c>
      <c r="T173" t="s">
        <v>54</v>
      </c>
      <c r="U173" s="6">
        <v>42132.550150462965</v>
      </c>
      <c r="V173" t="s">
        <v>35</v>
      </c>
      <c r="W173" t="s">
        <v>17</v>
      </c>
      <c r="X173" s="6">
        <v>41963.87427083333</v>
      </c>
      <c r="Y173" t="s">
        <v>119</v>
      </c>
      <c r="AB173" t="s">
        <v>201</v>
      </c>
      <c r="AC173" t="s">
        <v>247</v>
      </c>
      <c r="AD173" t="s">
        <v>222</v>
      </c>
      <c r="AE173" t="s">
        <v>228</v>
      </c>
      <c r="AG173" t="s">
        <v>337</v>
      </c>
      <c r="AH173" t="s">
        <v>64</v>
      </c>
      <c r="AI173" t="s">
        <v>362</v>
      </c>
      <c r="AJ173" t="s">
        <v>716</v>
      </c>
      <c r="AK173" t="s">
        <v>121</v>
      </c>
    </row>
    <row r="174" spans="9:37" x14ac:dyDescent="0.3">
      <c r="I174">
        <f ca="1">IF(OR(INDIRECT(A73&amp;ROW())=B93,INDIRECT(A73&amp;ROW())=B94),1,IF(AND(INDIRECT(A73&amp;ROW())=B95,INDIRECT(A96&amp;ROW())=C93),1,IF(AND(INDIRECT(A73&amp;ROW())=B95,INDIRECT(A96&amp;ROW())=C94),1,0)))</f>
        <v>0</v>
      </c>
      <c r="J174">
        <f ca="1">IF(AND(INDIRECT(A73&amp;ROW())=B95,INDIRECT(A96&amp;ROW())=C95),1,IF(AND(INDIRECT(A73&amp;ROW())=B95,INDIRECT(A96&amp;ROW())=C96),1,0))</f>
        <v>1</v>
      </c>
      <c r="K174">
        <f ca="1">DAYS360(INDIRECT(C68&amp;ROW()),TODAY())</f>
        <v>721</v>
      </c>
      <c r="L174">
        <f ca="1">DAYS360(INDIRECT(C69&amp;ROW()),TODAY())</f>
        <v>872</v>
      </c>
      <c r="M174">
        <f ca="1">HYPERLINK(CONCATENATE("https://bugzilla.houston.hp.com:1181/bugzilla/show_bug.cgi?id=",INDIRECT(C70&amp;ROW())),INDIRECT(C70&amp;ROW()))</f>
        <v>54094</v>
      </c>
      <c r="N174">
        <v>54094</v>
      </c>
      <c r="O174" t="s">
        <v>56</v>
      </c>
      <c r="P174" t="s">
        <v>673</v>
      </c>
      <c r="Q174" t="s">
        <v>25</v>
      </c>
      <c r="R174" t="s">
        <v>251</v>
      </c>
      <c r="S174" t="s">
        <v>68</v>
      </c>
      <c r="U174" s="6">
        <v>42125.448587962965</v>
      </c>
      <c r="V174" t="s">
        <v>18</v>
      </c>
      <c r="W174" t="s">
        <v>17</v>
      </c>
      <c r="X174" s="6">
        <v>41973.544490740744</v>
      </c>
      <c r="Y174" t="s">
        <v>122</v>
      </c>
      <c r="AB174" t="s">
        <v>201</v>
      </c>
      <c r="AC174" t="s">
        <v>247</v>
      </c>
      <c r="AD174" t="s">
        <v>220</v>
      </c>
      <c r="AE174" t="s">
        <v>219</v>
      </c>
      <c r="AG174" t="s">
        <v>121</v>
      </c>
      <c r="AH174" t="s">
        <v>327</v>
      </c>
      <c r="AI174" t="s">
        <v>121</v>
      </c>
      <c r="AJ174" t="s">
        <v>716</v>
      </c>
      <c r="AK174" t="s">
        <v>121</v>
      </c>
    </row>
    <row r="175" spans="9:37" x14ac:dyDescent="0.3">
      <c r="I175">
        <f ca="1">IF(OR(INDIRECT(A73&amp;ROW())=B93,INDIRECT(A73&amp;ROW())=B94),1,IF(AND(INDIRECT(A73&amp;ROW())=B95,INDIRECT(A96&amp;ROW())=C93),1,IF(AND(INDIRECT(A73&amp;ROW())=B95,INDIRECT(A96&amp;ROW())=C94),1,0)))</f>
        <v>1</v>
      </c>
      <c r="J175">
        <f ca="1">IF(AND(INDIRECT(A73&amp;ROW())=B95,INDIRECT(A96&amp;ROW())=C95),1,IF(AND(INDIRECT(A73&amp;ROW())=B95,INDIRECT(A96&amp;ROW())=C96),1,0))</f>
        <v>0</v>
      </c>
      <c r="K175">
        <f ca="1">DAYS360(INDIRECT(C68&amp;ROW()),TODAY())</f>
        <v>870</v>
      </c>
      <c r="L175">
        <f ca="1">DAYS360(INDIRECT(C69&amp;ROW()),TODAY())</f>
        <v>871</v>
      </c>
      <c r="M175">
        <f ca="1">HYPERLINK(CONCATENATE("https://bugzilla.houston.hp.com:1181/bugzilla/show_bug.cgi?id=",INDIRECT(C70&amp;ROW())),INDIRECT(C70&amp;ROW()))</f>
        <v>54144</v>
      </c>
      <c r="N175">
        <v>54144</v>
      </c>
      <c r="O175" t="s">
        <v>43</v>
      </c>
      <c r="P175" t="s">
        <v>479</v>
      </c>
      <c r="Q175" t="s">
        <v>25</v>
      </c>
      <c r="R175" t="s">
        <v>248</v>
      </c>
      <c r="S175" t="s">
        <v>36</v>
      </c>
      <c r="U175" s="6">
        <v>41975.575798611113</v>
      </c>
      <c r="V175" t="s">
        <v>18</v>
      </c>
      <c r="W175" t="s">
        <v>17</v>
      </c>
      <c r="X175" s="6">
        <v>41974.702986111108</v>
      </c>
      <c r="Y175" t="s">
        <v>342</v>
      </c>
      <c r="AB175" t="s">
        <v>200</v>
      </c>
      <c r="AC175" t="s">
        <v>247</v>
      </c>
      <c r="AD175" t="s">
        <v>220</v>
      </c>
      <c r="AE175" t="s">
        <v>219</v>
      </c>
      <c r="AG175" t="s">
        <v>121</v>
      </c>
      <c r="AH175" t="s">
        <v>327</v>
      </c>
      <c r="AI175" t="s">
        <v>121</v>
      </c>
      <c r="AJ175" t="s">
        <v>715</v>
      </c>
      <c r="AK175" t="s">
        <v>121</v>
      </c>
    </row>
    <row r="176" spans="9:37" x14ac:dyDescent="0.3">
      <c r="I176">
        <f ca="1">IF(OR(INDIRECT(A73&amp;ROW())=B93,INDIRECT(A73&amp;ROW())=B94),1,IF(AND(INDIRECT(A73&amp;ROW())=B95,INDIRECT(A96&amp;ROW())=C93),1,IF(AND(INDIRECT(A73&amp;ROW())=B95,INDIRECT(A96&amp;ROW())=C94),1,0)))</f>
        <v>0</v>
      </c>
      <c r="J176">
        <f ca="1">IF(AND(INDIRECT(A73&amp;ROW())=B95,INDIRECT(A96&amp;ROW())=C95),1,IF(AND(INDIRECT(A73&amp;ROW())=B95,INDIRECT(A96&amp;ROW())=C96),1,0))</f>
        <v>1</v>
      </c>
      <c r="K176">
        <f ca="1">DAYS360(INDIRECT(C68&amp;ROW()),TODAY())</f>
        <v>721</v>
      </c>
      <c r="L176">
        <f ca="1">DAYS360(INDIRECT(C69&amp;ROW()),TODAY())</f>
        <v>870</v>
      </c>
      <c r="M176">
        <f ca="1">HYPERLINK(CONCATENATE("https://bugzilla.houston.hp.com:1181/bugzilla/show_bug.cgi?id=",INDIRECT(C70&amp;ROW())),INDIRECT(C70&amp;ROW()))</f>
        <v>54180</v>
      </c>
      <c r="N176">
        <v>54180</v>
      </c>
      <c r="O176" t="s">
        <v>326</v>
      </c>
      <c r="P176" t="s">
        <v>487</v>
      </c>
      <c r="Q176" t="s">
        <v>25</v>
      </c>
      <c r="R176" t="s">
        <v>17</v>
      </c>
      <c r="S176" t="s">
        <v>36</v>
      </c>
      <c r="U176" s="6">
        <v>42125.447627314818</v>
      </c>
      <c r="V176" t="s">
        <v>18</v>
      </c>
      <c r="W176" t="s">
        <v>343</v>
      </c>
      <c r="X176" s="6">
        <v>41975.376284722224</v>
      </c>
      <c r="Y176" t="s">
        <v>122</v>
      </c>
      <c r="AB176" t="s">
        <v>201</v>
      </c>
      <c r="AC176" t="s">
        <v>247</v>
      </c>
      <c r="AD176" t="s">
        <v>220</v>
      </c>
      <c r="AE176" t="s">
        <v>224</v>
      </c>
      <c r="AG176" t="s">
        <v>121</v>
      </c>
      <c r="AH176" t="s">
        <v>64</v>
      </c>
      <c r="AI176" t="s">
        <v>363</v>
      </c>
      <c r="AJ176" t="s">
        <v>716</v>
      </c>
      <c r="AK176" t="s">
        <v>121</v>
      </c>
    </row>
    <row r="177" spans="9:37" x14ac:dyDescent="0.3">
      <c r="I177">
        <f ca="1">IF(OR(INDIRECT(A73&amp;ROW())=B93,INDIRECT(A73&amp;ROW())=B94),1,IF(AND(INDIRECT(A73&amp;ROW())=B95,INDIRECT(A96&amp;ROW())=C93),1,IF(AND(INDIRECT(A73&amp;ROW())=B95,INDIRECT(A96&amp;ROW())=C94),1,0)))</f>
        <v>0</v>
      </c>
      <c r="J177">
        <f ca="1">IF(AND(INDIRECT(A73&amp;ROW())=B95,INDIRECT(A96&amp;ROW())=C95),1,IF(AND(INDIRECT(A73&amp;ROW())=B95,INDIRECT(A96&amp;ROW())=C96),1,0))</f>
        <v>1</v>
      </c>
      <c r="K177">
        <f ca="1">DAYS360(INDIRECT(C68&amp;ROW()),TODAY())</f>
        <v>721</v>
      </c>
      <c r="L177">
        <f ca="1">DAYS360(INDIRECT(C69&amp;ROW()),TODAY())</f>
        <v>870</v>
      </c>
      <c r="M177">
        <f ca="1">HYPERLINK(CONCATENATE("https://bugzilla.houston.hp.com:1181/bugzilla/show_bug.cgi?id=",INDIRECT(C70&amp;ROW())),INDIRECT(C70&amp;ROW()))</f>
        <v>54181</v>
      </c>
      <c r="N177">
        <v>54181</v>
      </c>
      <c r="O177" t="s">
        <v>56</v>
      </c>
      <c r="P177" t="s">
        <v>486</v>
      </c>
      <c r="Q177" t="s">
        <v>25</v>
      </c>
      <c r="R177" t="s">
        <v>248</v>
      </c>
      <c r="S177" t="s">
        <v>36</v>
      </c>
      <c r="U177" s="6">
        <v>42125.447581018518</v>
      </c>
      <c r="V177" t="s">
        <v>18</v>
      </c>
      <c r="W177" t="s">
        <v>343</v>
      </c>
      <c r="X177" s="6">
        <v>41975.38009259259</v>
      </c>
      <c r="Y177" t="s">
        <v>122</v>
      </c>
      <c r="AB177" t="s">
        <v>201</v>
      </c>
      <c r="AC177" t="s">
        <v>247</v>
      </c>
      <c r="AD177" t="s">
        <v>220</v>
      </c>
      <c r="AE177" t="s">
        <v>219</v>
      </c>
      <c r="AG177" t="s">
        <v>121</v>
      </c>
      <c r="AH177" t="s">
        <v>64</v>
      </c>
      <c r="AI177" t="s">
        <v>121</v>
      </c>
      <c r="AJ177" t="s">
        <v>716</v>
      </c>
      <c r="AK177" t="s">
        <v>121</v>
      </c>
    </row>
    <row r="178" spans="9:37" x14ac:dyDescent="0.3">
      <c r="I178">
        <f ca="1">IF(OR(INDIRECT(A73&amp;ROW())=B93,INDIRECT(A73&amp;ROW())=B94),1,IF(AND(INDIRECT(A73&amp;ROW())=B95,INDIRECT(A96&amp;ROW())=C93),1,IF(AND(INDIRECT(A73&amp;ROW())=B95,INDIRECT(A96&amp;ROW())=C94),1,0)))</f>
        <v>0</v>
      </c>
      <c r="J178">
        <f ca="1">IF(AND(INDIRECT(A73&amp;ROW())=B95,INDIRECT(A96&amp;ROW())=C95),1,IF(AND(INDIRECT(A73&amp;ROW())=B95,INDIRECT(A96&amp;ROW())=C96),1,0))</f>
        <v>0</v>
      </c>
      <c r="K178">
        <f ca="1">DAYS360(INDIRECT(C68&amp;ROW()),TODAY())</f>
        <v>721</v>
      </c>
      <c r="L178">
        <f ca="1">DAYS360(INDIRECT(C69&amp;ROW()),TODAY())</f>
        <v>870</v>
      </c>
      <c r="M178">
        <f ca="1">HYPERLINK(CONCATENATE("https://bugzilla.houston.hp.com:1181/bugzilla/show_bug.cgi?id=",INDIRECT(C70&amp;ROW())),INDIRECT(C70&amp;ROW()))</f>
        <v>54184</v>
      </c>
      <c r="N178">
        <v>54184</v>
      </c>
      <c r="O178" t="s">
        <v>241</v>
      </c>
      <c r="P178" t="s">
        <v>485</v>
      </c>
      <c r="Q178" t="s">
        <v>16</v>
      </c>
      <c r="R178" t="s">
        <v>248</v>
      </c>
      <c r="S178" t="s">
        <v>36</v>
      </c>
      <c r="U178" s="6">
        <v>42125.65320601852</v>
      </c>
      <c r="V178" t="s">
        <v>18</v>
      </c>
      <c r="W178" t="s">
        <v>339</v>
      </c>
      <c r="X178" s="6">
        <v>41975.38925925926</v>
      </c>
      <c r="Y178" t="s">
        <v>245</v>
      </c>
      <c r="AB178" t="s">
        <v>201</v>
      </c>
      <c r="AC178" t="s">
        <v>247</v>
      </c>
      <c r="AD178" t="s">
        <v>227</v>
      </c>
      <c r="AE178" t="s">
        <v>237</v>
      </c>
      <c r="AG178" t="s">
        <v>121</v>
      </c>
      <c r="AH178" t="s">
        <v>327</v>
      </c>
      <c r="AI178" t="s">
        <v>121</v>
      </c>
      <c r="AJ178" t="s">
        <v>717</v>
      </c>
      <c r="AK178" t="s">
        <v>121</v>
      </c>
    </row>
    <row r="179" spans="9:37" x14ac:dyDescent="0.3">
      <c r="I179">
        <f ca="1">IF(OR(INDIRECT(A73&amp;ROW())=B93,INDIRECT(A73&amp;ROW())=B94),1,IF(AND(INDIRECT(A73&amp;ROW())=B95,INDIRECT(A96&amp;ROW())=C93),1,IF(AND(INDIRECT(A73&amp;ROW())=B95,INDIRECT(A96&amp;ROW())=C94),1,0)))</f>
        <v>0</v>
      </c>
      <c r="J179">
        <f ca="1">IF(AND(INDIRECT(A73&amp;ROW())=B95,INDIRECT(A96&amp;ROW())=C95),1,IF(AND(INDIRECT(A73&amp;ROW())=B95,INDIRECT(A96&amp;ROW())=C96),1,0))</f>
        <v>1</v>
      </c>
      <c r="K179">
        <f ca="1">DAYS360(INDIRECT(C68&amp;ROW()),TODAY())</f>
        <v>869</v>
      </c>
      <c r="L179">
        <f ca="1">DAYS360(INDIRECT(C69&amp;ROW()),TODAY())</f>
        <v>870</v>
      </c>
      <c r="M179">
        <f ca="1">HYPERLINK(CONCATENATE("https://bugzilla.houston.hp.com:1181/bugzilla/show_bug.cgi?id=",INDIRECT(C70&amp;ROW())),INDIRECT(C70&amp;ROW()))</f>
        <v>54186</v>
      </c>
      <c r="N179">
        <v>54186</v>
      </c>
      <c r="O179" t="s">
        <v>326</v>
      </c>
      <c r="P179" t="s">
        <v>484</v>
      </c>
      <c r="Q179" t="s">
        <v>25</v>
      </c>
      <c r="R179" t="s">
        <v>17</v>
      </c>
      <c r="S179" t="s">
        <v>36</v>
      </c>
      <c r="U179" s="6">
        <v>41976.523692129631</v>
      </c>
      <c r="V179" t="s">
        <v>18</v>
      </c>
      <c r="W179" t="s">
        <v>343</v>
      </c>
      <c r="X179" s="6">
        <v>41975.390381944446</v>
      </c>
      <c r="Y179" t="s">
        <v>245</v>
      </c>
      <c r="AB179" t="s">
        <v>201</v>
      </c>
      <c r="AC179" t="s">
        <v>247</v>
      </c>
      <c r="AD179" t="s">
        <v>227</v>
      </c>
      <c r="AE179" t="s">
        <v>230</v>
      </c>
      <c r="AG179" t="s">
        <v>121</v>
      </c>
      <c r="AH179" t="s">
        <v>327</v>
      </c>
      <c r="AI179" t="s">
        <v>362</v>
      </c>
      <c r="AJ179" t="s">
        <v>716</v>
      </c>
      <c r="AK179" t="s">
        <v>121</v>
      </c>
    </row>
    <row r="180" spans="9:37" x14ac:dyDescent="0.3">
      <c r="I180">
        <f ca="1">IF(OR(INDIRECT(A73&amp;ROW())=B93,INDIRECT(A73&amp;ROW())=B94),1,IF(AND(INDIRECT(A73&amp;ROW())=B95,INDIRECT(A96&amp;ROW())=C93),1,IF(AND(INDIRECT(A73&amp;ROW())=B95,INDIRECT(A96&amp;ROW())=C94),1,0)))</f>
        <v>0</v>
      </c>
      <c r="J180">
        <f ca="1">IF(AND(INDIRECT(A73&amp;ROW())=B95,INDIRECT(A96&amp;ROW())=C95),1,IF(AND(INDIRECT(A73&amp;ROW())=B95,INDIRECT(A96&amp;ROW())=C96),1,0))</f>
        <v>1</v>
      </c>
      <c r="K180">
        <f ca="1">DAYS360(INDIRECT(C68&amp;ROW()),TODAY())</f>
        <v>721</v>
      </c>
      <c r="L180">
        <f ca="1">DAYS360(INDIRECT(C69&amp;ROW()),TODAY())</f>
        <v>870</v>
      </c>
      <c r="M180">
        <f ca="1">HYPERLINK(CONCATENATE("https://bugzilla.houston.hp.com:1181/bugzilla/show_bug.cgi?id=",INDIRECT(C70&amp;ROW())),INDIRECT(C70&amp;ROW()))</f>
        <v>54187</v>
      </c>
      <c r="N180">
        <v>54187</v>
      </c>
      <c r="O180" t="s">
        <v>241</v>
      </c>
      <c r="P180" t="s">
        <v>483</v>
      </c>
      <c r="Q180" t="s">
        <v>25</v>
      </c>
      <c r="R180" t="s">
        <v>248</v>
      </c>
      <c r="S180" t="s">
        <v>36</v>
      </c>
      <c r="U180" s="6">
        <v>42125.655613425923</v>
      </c>
      <c r="V180" t="s">
        <v>18</v>
      </c>
      <c r="W180" t="s">
        <v>343</v>
      </c>
      <c r="X180" s="6">
        <v>41975.393379629626</v>
      </c>
      <c r="Y180" t="s">
        <v>245</v>
      </c>
      <c r="AB180" t="s">
        <v>201</v>
      </c>
      <c r="AC180" t="s">
        <v>247</v>
      </c>
      <c r="AD180" t="s">
        <v>227</v>
      </c>
      <c r="AE180" t="s">
        <v>237</v>
      </c>
      <c r="AG180" t="s">
        <v>121</v>
      </c>
      <c r="AH180" t="s">
        <v>327</v>
      </c>
      <c r="AI180" t="s">
        <v>121</v>
      </c>
      <c r="AJ180" t="s">
        <v>716</v>
      </c>
      <c r="AK180" t="s">
        <v>121</v>
      </c>
    </row>
    <row r="181" spans="9:37" x14ac:dyDescent="0.3">
      <c r="I181">
        <f ca="1">IF(OR(INDIRECT(A73&amp;ROW())=B93,INDIRECT(A73&amp;ROW())=B94),1,IF(AND(INDIRECT(A73&amp;ROW())=B95,INDIRECT(A96&amp;ROW())=C93),1,IF(AND(INDIRECT(A73&amp;ROW())=B95,INDIRECT(A96&amp;ROW())=C94),1,0)))</f>
        <v>0</v>
      </c>
      <c r="J181">
        <f ca="1">IF(AND(INDIRECT(A73&amp;ROW())=B95,INDIRECT(A96&amp;ROW())=C95),1,IF(AND(INDIRECT(A73&amp;ROW())=B95,INDIRECT(A96&amp;ROW())=C96),1,0))</f>
        <v>0</v>
      </c>
      <c r="K181">
        <f ca="1">DAYS360(INDIRECT(C68&amp;ROW()),TODAY())</f>
        <v>835</v>
      </c>
      <c r="L181">
        <f ca="1">DAYS360(INDIRECT(C69&amp;ROW()),TODAY())</f>
        <v>870</v>
      </c>
      <c r="M181">
        <f ca="1">HYPERLINK(CONCATENATE("https://bugzilla.houston.hp.com:1181/bugzilla/show_bug.cgi?id=",INDIRECT(C70&amp;ROW())),INDIRECT(C70&amp;ROW()))</f>
        <v>54198</v>
      </c>
      <c r="N181">
        <v>54198</v>
      </c>
      <c r="O181" t="s">
        <v>326</v>
      </c>
      <c r="P181" t="s">
        <v>506</v>
      </c>
      <c r="Q181" t="s">
        <v>16</v>
      </c>
      <c r="R181" t="s">
        <v>17</v>
      </c>
      <c r="S181" t="s">
        <v>36</v>
      </c>
      <c r="U181" s="6">
        <v>42011.308912037035</v>
      </c>
      <c r="V181" t="s">
        <v>35</v>
      </c>
      <c r="W181" t="s">
        <v>343</v>
      </c>
      <c r="X181" s="6">
        <v>41975.427766203706</v>
      </c>
      <c r="Y181" t="s">
        <v>255</v>
      </c>
      <c r="AB181" t="s">
        <v>199</v>
      </c>
      <c r="AC181" t="s">
        <v>247</v>
      </c>
      <c r="AD181" t="s">
        <v>220</v>
      </c>
      <c r="AE181" t="s">
        <v>224</v>
      </c>
      <c r="AG181" t="s">
        <v>121</v>
      </c>
      <c r="AH181" t="s">
        <v>327</v>
      </c>
      <c r="AI181" t="s">
        <v>362</v>
      </c>
      <c r="AJ181" t="s">
        <v>716</v>
      </c>
      <c r="AK181" t="s">
        <v>121</v>
      </c>
    </row>
    <row r="182" spans="9:37" x14ac:dyDescent="0.3">
      <c r="I182">
        <f ca="1">IF(OR(INDIRECT(A73&amp;ROW())=B93,INDIRECT(A73&amp;ROW())=B94),1,IF(AND(INDIRECT(A73&amp;ROW())=B95,INDIRECT(A96&amp;ROW())=C93),1,IF(AND(INDIRECT(A73&amp;ROW())=B95,INDIRECT(A96&amp;ROW())=C94),1,0)))</f>
        <v>0</v>
      </c>
      <c r="J182">
        <f ca="1">IF(AND(INDIRECT(A73&amp;ROW())=B95,INDIRECT(A96&amp;ROW())=C95),1,IF(AND(INDIRECT(A73&amp;ROW())=B95,INDIRECT(A96&amp;ROW())=C96),1,0))</f>
        <v>0</v>
      </c>
      <c r="K182">
        <f ca="1">DAYS360(INDIRECT(C68&amp;ROW()),TODAY())</f>
        <v>733</v>
      </c>
      <c r="L182">
        <f ca="1">DAYS360(INDIRECT(C69&amp;ROW()),TODAY())</f>
        <v>870</v>
      </c>
      <c r="M182">
        <f ca="1">HYPERLINK(CONCATENATE("https://bugzilla.houston.hp.com:1181/bugzilla/show_bug.cgi?id=",INDIRECT(C70&amp;ROW())),INDIRECT(C70&amp;ROW()))</f>
        <v>54199</v>
      </c>
      <c r="N182">
        <v>54199</v>
      </c>
      <c r="O182" t="s">
        <v>56</v>
      </c>
      <c r="P182" t="s">
        <v>482</v>
      </c>
      <c r="Q182" t="s">
        <v>16</v>
      </c>
      <c r="R182" t="s">
        <v>248</v>
      </c>
      <c r="S182" t="s">
        <v>36</v>
      </c>
      <c r="U182" s="6">
        <v>42113.598020833335</v>
      </c>
      <c r="V182" t="s">
        <v>18</v>
      </c>
      <c r="W182" t="s">
        <v>343</v>
      </c>
      <c r="X182" s="6">
        <v>41975.430879629632</v>
      </c>
      <c r="Y182" t="s">
        <v>255</v>
      </c>
      <c r="AB182" t="s">
        <v>199</v>
      </c>
      <c r="AC182" t="s">
        <v>247</v>
      </c>
      <c r="AD182" t="s">
        <v>220</v>
      </c>
      <c r="AE182" t="s">
        <v>219</v>
      </c>
      <c r="AG182" t="s">
        <v>121</v>
      </c>
      <c r="AH182" t="s">
        <v>327</v>
      </c>
      <c r="AI182" t="s">
        <v>121</v>
      </c>
      <c r="AJ182" t="s">
        <v>716</v>
      </c>
      <c r="AK182" t="s">
        <v>121</v>
      </c>
    </row>
    <row r="183" spans="9:37" x14ac:dyDescent="0.3">
      <c r="I183">
        <f ca="1">IF(OR(INDIRECT(A73&amp;ROW())=B93,INDIRECT(A73&amp;ROW())=B94),1,IF(AND(INDIRECT(A73&amp;ROW())=B95,INDIRECT(A96&amp;ROW())=C93),1,IF(AND(INDIRECT(A73&amp;ROW())=B95,INDIRECT(A96&amp;ROW())=C94),1,0)))</f>
        <v>0</v>
      </c>
      <c r="J183">
        <f ca="1">IF(AND(INDIRECT(A73&amp;ROW())=B95,INDIRECT(A96&amp;ROW())=C95),1,IF(AND(INDIRECT(A73&amp;ROW())=B95,INDIRECT(A96&amp;ROW())=C96),1,0))</f>
        <v>0</v>
      </c>
      <c r="K183">
        <f ca="1">DAYS360(INDIRECT(C68&amp;ROW()),TODAY())</f>
        <v>721</v>
      </c>
      <c r="L183">
        <f ca="1">DAYS360(INDIRECT(C69&amp;ROW()),TODAY())</f>
        <v>870</v>
      </c>
      <c r="M183">
        <f ca="1">HYPERLINK(CONCATENATE("https://bugzilla.houston.hp.com:1181/bugzilla/show_bug.cgi?id=",INDIRECT(C70&amp;ROW())),INDIRECT(C70&amp;ROW()))</f>
        <v>54214</v>
      </c>
      <c r="N183">
        <v>54214</v>
      </c>
      <c r="O183" t="s">
        <v>45</v>
      </c>
      <c r="P183" t="s">
        <v>501</v>
      </c>
      <c r="Q183" t="s">
        <v>16</v>
      </c>
      <c r="R183" t="s">
        <v>251</v>
      </c>
      <c r="S183" t="s">
        <v>52</v>
      </c>
      <c r="U183" s="6">
        <v>42125.661678240744</v>
      </c>
      <c r="V183" t="s">
        <v>18</v>
      </c>
      <c r="W183" t="s">
        <v>17</v>
      </c>
      <c r="X183" s="6">
        <v>41975.603159722225</v>
      </c>
      <c r="Y183" t="s">
        <v>255</v>
      </c>
      <c r="AB183" t="s">
        <v>201</v>
      </c>
      <c r="AC183" t="s">
        <v>247</v>
      </c>
      <c r="AD183" t="s">
        <v>227</v>
      </c>
      <c r="AE183" t="s">
        <v>237</v>
      </c>
      <c r="AG183" t="s">
        <v>121</v>
      </c>
      <c r="AH183" t="s">
        <v>327</v>
      </c>
      <c r="AI183" t="s">
        <v>121</v>
      </c>
      <c r="AJ183" t="s">
        <v>717</v>
      </c>
      <c r="AK183" t="s">
        <v>121</v>
      </c>
    </row>
    <row r="184" spans="9:37" x14ac:dyDescent="0.3">
      <c r="I184">
        <f ca="1">IF(OR(INDIRECT(A73&amp;ROW())=B93,INDIRECT(A73&amp;ROW())=B94),1,IF(AND(INDIRECT(A73&amp;ROW())=B95,INDIRECT(A96&amp;ROW())=C93),1,IF(AND(INDIRECT(A73&amp;ROW())=B95,INDIRECT(A96&amp;ROW())=C94),1,0)))</f>
        <v>0</v>
      </c>
      <c r="J184">
        <f ca="1">IF(AND(INDIRECT(A73&amp;ROW())=B95,INDIRECT(A96&amp;ROW())=C95),1,IF(AND(INDIRECT(A73&amp;ROW())=B95,INDIRECT(A96&amp;ROW())=C96),1,0))</f>
        <v>0</v>
      </c>
      <c r="K184">
        <f ca="1">DAYS360(INDIRECT(C68&amp;ROW()),TODAY())</f>
        <v>729</v>
      </c>
      <c r="L184">
        <f ca="1">DAYS360(INDIRECT(C69&amp;ROW()),TODAY())</f>
        <v>870</v>
      </c>
      <c r="M184">
        <f ca="1">HYPERLINK(CONCATENATE("https://bugzilla.houston.hp.com:1181/bugzilla/show_bug.cgi?id=",INDIRECT(C70&amp;ROW())),INDIRECT(C70&amp;ROW()))</f>
        <v>54215</v>
      </c>
      <c r="N184">
        <v>54215</v>
      </c>
      <c r="O184" t="s">
        <v>45</v>
      </c>
      <c r="P184" t="s">
        <v>500</v>
      </c>
      <c r="Q184" t="s">
        <v>16</v>
      </c>
      <c r="R184" t="s">
        <v>251</v>
      </c>
      <c r="S184" t="s">
        <v>367</v>
      </c>
      <c r="U184" s="6">
        <v>42117.404652777775</v>
      </c>
      <c r="V184" t="s">
        <v>18</v>
      </c>
      <c r="W184" t="s">
        <v>17</v>
      </c>
      <c r="X184" s="6">
        <v>41975.612685185188</v>
      </c>
      <c r="Y184" t="s">
        <v>245</v>
      </c>
      <c r="AB184" t="s">
        <v>200</v>
      </c>
      <c r="AC184" t="s">
        <v>247</v>
      </c>
      <c r="AD184" t="s">
        <v>227</v>
      </c>
      <c r="AE184" t="s">
        <v>230</v>
      </c>
      <c r="AG184" t="s">
        <v>121</v>
      </c>
      <c r="AH184" t="s">
        <v>327</v>
      </c>
      <c r="AI184" t="s">
        <v>121</v>
      </c>
      <c r="AJ184" t="s">
        <v>716</v>
      </c>
      <c r="AK184" t="s">
        <v>121</v>
      </c>
    </row>
    <row r="185" spans="9:37" x14ac:dyDescent="0.3">
      <c r="I185">
        <f ca="1">IF(OR(INDIRECT(A73&amp;ROW())=B93,INDIRECT(A73&amp;ROW())=B94),1,IF(AND(INDIRECT(A73&amp;ROW())=B95,INDIRECT(A96&amp;ROW())=C93),1,IF(AND(INDIRECT(A73&amp;ROW())=B95,INDIRECT(A96&amp;ROW())=C94),1,0)))</f>
        <v>0</v>
      </c>
      <c r="J185">
        <f ca="1">IF(AND(INDIRECT(A73&amp;ROW())=B95,INDIRECT(A96&amp;ROW())=C95),1,IF(AND(INDIRECT(A73&amp;ROW())=B95,INDIRECT(A96&amp;ROW())=C96),1,0))</f>
        <v>0</v>
      </c>
      <c r="K185">
        <f ca="1">DAYS360(INDIRECT(C68&amp;ROW()),TODAY())</f>
        <v>736</v>
      </c>
      <c r="L185">
        <f ca="1">DAYS360(INDIRECT(C69&amp;ROW()),TODAY())</f>
        <v>870</v>
      </c>
      <c r="M185">
        <f ca="1">HYPERLINK(CONCATENATE("https://bugzilla.houston.hp.com:1181/bugzilla/show_bug.cgi?id=",INDIRECT(C70&amp;ROW())),INDIRECT(C70&amp;ROW()))</f>
        <v>54218</v>
      </c>
      <c r="N185">
        <v>54218</v>
      </c>
      <c r="O185" t="s">
        <v>919</v>
      </c>
      <c r="P185" t="s">
        <v>499</v>
      </c>
      <c r="Q185" t="s">
        <v>16</v>
      </c>
      <c r="R185" t="s">
        <v>17</v>
      </c>
      <c r="S185" t="s">
        <v>477</v>
      </c>
      <c r="U185" s="6">
        <v>42110.702280092592</v>
      </c>
      <c r="V185" t="s">
        <v>18</v>
      </c>
      <c r="W185" t="s">
        <v>339</v>
      </c>
      <c r="X185" s="6">
        <v>41975.714236111111</v>
      </c>
      <c r="Y185" t="s">
        <v>245</v>
      </c>
      <c r="AB185" t="s">
        <v>201</v>
      </c>
      <c r="AC185" t="s">
        <v>247</v>
      </c>
      <c r="AD185" t="s">
        <v>227</v>
      </c>
      <c r="AE185" t="s">
        <v>230</v>
      </c>
      <c r="AG185" t="s">
        <v>121</v>
      </c>
      <c r="AH185" t="s">
        <v>327</v>
      </c>
      <c r="AI185" t="s">
        <v>362</v>
      </c>
      <c r="AJ185" t="s">
        <v>717</v>
      </c>
      <c r="AK185" t="s">
        <v>121</v>
      </c>
    </row>
    <row r="186" spans="9:37" x14ac:dyDescent="0.3">
      <c r="I186">
        <f ca="1">IF(OR(INDIRECT(A73&amp;ROW())=B93,INDIRECT(A73&amp;ROW())=B94),1,IF(AND(INDIRECT(A73&amp;ROW())=B95,INDIRECT(A96&amp;ROW())=C93),1,IF(AND(INDIRECT(A73&amp;ROW())=B95,INDIRECT(A96&amp;ROW())=C94),1,0)))</f>
        <v>0</v>
      </c>
      <c r="J186">
        <f ca="1">IF(AND(INDIRECT(A73&amp;ROW())=B95,INDIRECT(A96&amp;ROW())=C95),1,IF(AND(INDIRECT(A73&amp;ROW())=B95,INDIRECT(A96&amp;ROW())=C96),1,0))</f>
        <v>1</v>
      </c>
      <c r="K186">
        <f ca="1">DAYS360(INDIRECT(C68&amp;ROW()),TODAY())</f>
        <v>730</v>
      </c>
      <c r="L186">
        <f ca="1">DAYS360(INDIRECT(C69&amp;ROW()),TODAY())</f>
        <v>870</v>
      </c>
      <c r="M186">
        <f ca="1">HYPERLINK(CONCATENATE("https://bugzilla.houston.hp.com:1181/bugzilla/show_bug.cgi?id=",INDIRECT(C70&amp;ROW())),INDIRECT(C70&amp;ROW()))</f>
        <v>54221</v>
      </c>
      <c r="N186">
        <v>54221</v>
      </c>
      <c r="O186" t="s">
        <v>56</v>
      </c>
      <c r="P186" t="s">
        <v>481</v>
      </c>
      <c r="Q186" t="s">
        <v>25</v>
      </c>
      <c r="R186" t="s">
        <v>251</v>
      </c>
      <c r="S186" t="s">
        <v>43</v>
      </c>
      <c r="U186" s="6">
        <v>42116.732118055559</v>
      </c>
      <c r="V186" t="s">
        <v>18</v>
      </c>
      <c r="W186" t="s">
        <v>17</v>
      </c>
      <c r="X186" s="6">
        <v>41975.804108796299</v>
      </c>
      <c r="Y186" t="s">
        <v>793</v>
      </c>
      <c r="AB186" t="s">
        <v>201</v>
      </c>
      <c r="AC186" t="s">
        <v>247</v>
      </c>
      <c r="AD186" t="s">
        <v>220</v>
      </c>
      <c r="AE186" t="s">
        <v>219</v>
      </c>
      <c r="AG186" t="s">
        <v>121</v>
      </c>
      <c r="AH186" t="s">
        <v>327</v>
      </c>
      <c r="AI186" t="s">
        <v>121</v>
      </c>
      <c r="AJ186" t="s">
        <v>716</v>
      </c>
      <c r="AK186" t="s">
        <v>121</v>
      </c>
    </row>
    <row r="187" spans="9:37" x14ac:dyDescent="0.3">
      <c r="I187">
        <f ca="1">IF(OR(INDIRECT(A73&amp;ROW())=B93,INDIRECT(A73&amp;ROW())=B94),1,IF(AND(INDIRECT(A73&amp;ROW())=B95,INDIRECT(A96&amp;ROW())=C93),1,IF(AND(INDIRECT(A73&amp;ROW())=B95,INDIRECT(A96&amp;ROW())=C94),1,0)))</f>
        <v>1</v>
      </c>
      <c r="J187">
        <f ca="1">IF(AND(INDIRECT(A73&amp;ROW())=B95,INDIRECT(A96&amp;ROW())=C95),1,IF(AND(INDIRECT(A73&amp;ROW())=B95,INDIRECT(A96&amp;ROW())=C96),1,0))</f>
        <v>0</v>
      </c>
      <c r="K187">
        <f ca="1">DAYS360(INDIRECT(C68&amp;ROW()),TODAY())</f>
        <v>730</v>
      </c>
      <c r="L187">
        <f ca="1">DAYS360(INDIRECT(C69&amp;ROW()),TODAY())</f>
        <v>869</v>
      </c>
      <c r="M187">
        <f ca="1">HYPERLINK(CONCATENATE("https://bugzilla.houston.hp.com:1181/bugzilla/show_bug.cgi?id=",INDIRECT(C70&amp;ROW())),INDIRECT(C70&amp;ROW()))</f>
        <v>54268</v>
      </c>
      <c r="N187">
        <v>54268</v>
      </c>
      <c r="O187" t="s">
        <v>164</v>
      </c>
      <c r="P187" t="s">
        <v>503</v>
      </c>
      <c r="Q187" t="s">
        <v>25</v>
      </c>
      <c r="R187" t="s">
        <v>251</v>
      </c>
      <c r="S187" t="s">
        <v>24</v>
      </c>
      <c r="U187" s="6">
        <v>42116.732210648152</v>
      </c>
      <c r="V187" t="s">
        <v>40</v>
      </c>
      <c r="W187" t="s">
        <v>17</v>
      </c>
      <c r="X187" s="6">
        <v>41976.612835648149</v>
      </c>
      <c r="Y187" t="s">
        <v>255</v>
      </c>
      <c r="AB187" t="s">
        <v>200</v>
      </c>
      <c r="AC187" t="s">
        <v>247</v>
      </c>
      <c r="AD187" t="s">
        <v>220</v>
      </c>
      <c r="AE187" t="s">
        <v>219</v>
      </c>
      <c r="AG187" t="s">
        <v>121</v>
      </c>
      <c r="AH187" t="s">
        <v>327</v>
      </c>
      <c r="AI187" t="s">
        <v>121</v>
      </c>
      <c r="AJ187" t="s">
        <v>715</v>
      </c>
      <c r="AK187" t="s">
        <v>121</v>
      </c>
    </row>
    <row r="188" spans="9:37" x14ac:dyDescent="0.3">
      <c r="I188">
        <f ca="1">IF(OR(INDIRECT(A73&amp;ROW())=B93,INDIRECT(A73&amp;ROW())=B94),1,IF(AND(INDIRECT(A73&amp;ROW())=B95,INDIRECT(A96&amp;ROW())=C93),1,IF(AND(INDIRECT(A73&amp;ROW())=B95,INDIRECT(A96&amp;ROW())=C94),1,0)))</f>
        <v>0</v>
      </c>
      <c r="J188">
        <f ca="1">IF(AND(INDIRECT(A73&amp;ROW())=B95,INDIRECT(A96&amp;ROW())=C95),1,IF(AND(INDIRECT(A73&amp;ROW())=B95,INDIRECT(A96&amp;ROW())=C96),1,0))</f>
        <v>1</v>
      </c>
      <c r="K188">
        <f ca="1">DAYS360(INDIRECT(C68&amp;ROW()),TODAY())</f>
        <v>721</v>
      </c>
      <c r="L188">
        <f ca="1">DAYS360(INDIRECT(C69&amp;ROW()),TODAY())</f>
        <v>869</v>
      </c>
      <c r="M188">
        <f ca="1">HYPERLINK(CONCATENATE("https://bugzilla.houston.hp.com:1181/bugzilla/show_bug.cgi?id=",INDIRECT(C70&amp;ROW())),INDIRECT(C70&amp;ROW()))</f>
        <v>54272</v>
      </c>
      <c r="N188">
        <v>54272</v>
      </c>
      <c r="O188" t="s">
        <v>56</v>
      </c>
      <c r="P188" t="s">
        <v>498</v>
      </c>
      <c r="Q188" t="s">
        <v>25</v>
      </c>
      <c r="R188" t="s">
        <v>248</v>
      </c>
      <c r="S188" t="s">
        <v>36</v>
      </c>
      <c r="U188" s="6">
        <v>42125.448750000003</v>
      </c>
      <c r="V188" t="s">
        <v>18</v>
      </c>
      <c r="W188" t="s">
        <v>360</v>
      </c>
      <c r="X188" s="6">
        <v>41976.671122685184</v>
      </c>
      <c r="Y188" t="s">
        <v>122</v>
      </c>
      <c r="AB188" t="s">
        <v>201</v>
      </c>
      <c r="AC188" t="s">
        <v>247</v>
      </c>
      <c r="AD188" t="s">
        <v>220</v>
      </c>
      <c r="AE188" t="s">
        <v>219</v>
      </c>
      <c r="AG188" t="s">
        <v>121</v>
      </c>
      <c r="AH188" t="s">
        <v>327</v>
      </c>
      <c r="AI188" t="s">
        <v>121</v>
      </c>
      <c r="AJ188" t="s">
        <v>716</v>
      </c>
      <c r="AK188" t="s">
        <v>121</v>
      </c>
    </row>
    <row r="189" spans="9:37" x14ac:dyDescent="0.3">
      <c r="I189">
        <f ca="1">IF(OR(INDIRECT(A73&amp;ROW())=B93,INDIRECT(A73&amp;ROW())=B94),1,IF(AND(INDIRECT(A73&amp;ROW())=B95,INDIRECT(A96&amp;ROW())=C93),1,IF(AND(INDIRECT(A73&amp;ROW())=B95,INDIRECT(A96&amp;ROW())=C94),1,0)))</f>
        <v>0</v>
      </c>
      <c r="J189">
        <f ca="1">IF(AND(INDIRECT(A73&amp;ROW())=B95,INDIRECT(A96&amp;ROW())=C95),1,IF(AND(INDIRECT(A73&amp;ROW())=B95,INDIRECT(A96&amp;ROW())=C96),1,0))</f>
        <v>0</v>
      </c>
      <c r="K189">
        <f ca="1">DAYS360(INDIRECT(C68&amp;ROW()),TODAY())</f>
        <v>721</v>
      </c>
      <c r="L189">
        <f ca="1">DAYS360(INDIRECT(C69&amp;ROW()),TODAY())</f>
        <v>869</v>
      </c>
      <c r="M189">
        <f ca="1">HYPERLINK(CONCATENATE("https://bugzilla.houston.hp.com:1181/bugzilla/show_bug.cgi?id=",INDIRECT(C70&amp;ROW())),INDIRECT(C70&amp;ROW()))</f>
        <v>54278</v>
      </c>
      <c r="N189">
        <v>54278</v>
      </c>
      <c r="O189" t="s">
        <v>45</v>
      </c>
      <c r="P189" t="s">
        <v>497</v>
      </c>
      <c r="Q189" t="s">
        <v>16</v>
      </c>
      <c r="R189" t="s">
        <v>248</v>
      </c>
      <c r="S189" t="s">
        <v>36</v>
      </c>
      <c r="U189" s="6">
        <v>42125.661678240744</v>
      </c>
      <c r="V189" t="s">
        <v>18</v>
      </c>
      <c r="W189" t="s">
        <v>339</v>
      </c>
      <c r="X189" s="6">
        <v>41976.674849537034</v>
      </c>
      <c r="Y189" t="s">
        <v>255</v>
      </c>
      <c r="AB189" t="s">
        <v>201</v>
      </c>
      <c r="AC189" t="s">
        <v>247</v>
      </c>
      <c r="AD189" t="s">
        <v>227</v>
      </c>
      <c r="AE189" t="s">
        <v>237</v>
      </c>
      <c r="AG189" t="s">
        <v>121</v>
      </c>
      <c r="AH189" t="s">
        <v>327</v>
      </c>
      <c r="AI189" t="s">
        <v>121</v>
      </c>
      <c r="AJ189" t="s">
        <v>717</v>
      </c>
      <c r="AK189" t="s">
        <v>121</v>
      </c>
    </row>
    <row r="190" spans="9:37" x14ac:dyDescent="0.3">
      <c r="I190">
        <f ca="1">IF(OR(INDIRECT(A73&amp;ROW())=B93,INDIRECT(A73&amp;ROW())=B94),1,IF(AND(INDIRECT(A73&amp;ROW())=B95,INDIRECT(A96&amp;ROW())=C93),1,IF(AND(INDIRECT(A73&amp;ROW())=B95,INDIRECT(A96&amp;ROW())=C94),1,0)))</f>
        <v>0</v>
      </c>
      <c r="J190">
        <f ca="1">IF(AND(INDIRECT(A73&amp;ROW())=B95,INDIRECT(A96&amp;ROW())=C95),1,IF(AND(INDIRECT(A73&amp;ROW())=B95,INDIRECT(A96&amp;ROW())=C96),1,0))</f>
        <v>0</v>
      </c>
      <c r="K190">
        <f ca="1">DAYS360(INDIRECT(C68&amp;ROW()),TODAY())</f>
        <v>731</v>
      </c>
      <c r="L190">
        <f ca="1">DAYS360(INDIRECT(C69&amp;ROW()),TODAY())</f>
        <v>869</v>
      </c>
      <c r="M190">
        <f ca="1">HYPERLINK(CONCATENATE("https://bugzilla.houston.hp.com:1181/bugzilla/show_bug.cgi?id=",INDIRECT(C70&amp;ROW())),INDIRECT(C70&amp;ROW()))</f>
        <v>54280</v>
      </c>
      <c r="N190">
        <v>54280</v>
      </c>
      <c r="O190" t="s">
        <v>919</v>
      </c>
      <c r="P190" t="s">
        <v>496</v>
      </c>
      <c r="Q190" t="s">
        <v>16</v>
      </c>
      <c r="R190" t="s">
        <v>17</v>
      </c>
      <c r="S190" t="s">
        <v>36</v>
      </c>
      <c r="U190" s="6">
        <v>42115.892118055555</v>
      </c>
      <c r="V190" t="s">
        <v>18</v>
      </c>
      <c r="W190" t="s">
        <v>372</v>
      </c>
      <c r="X190" s="6">
        <v>41976.675324074073</v>
      </c>
      <c r="Y190" t="s">
        <v>245</v>
      </c>
      <c r="AB190" t="s">
        <v>200</v>
      </c>
      <c r="AC190" t="s">
        <v>247</v>
      </c>
      <c r="AD190" t="s">
        <v>227</v>
      </c>
      <c r="AE190" t="s">
        <v>230</v>
      </c>
      <c r="AG190" t="s">
        <v>121</v>
      </c>
      <c r="AH190" t="s">
        <v>327</v>
      </c>
      <c r="AI190" t="s">
        <v>363</v>
      </c>
      <c r="AJ190" t="s">
        <v>716</v>
      </c>
      <c r="AK190" t="s">
        <v>121</v>
      </c>
    </row>
    <row r="191" spans="9:37" x14ac:dyDescent="0.3">
      <c r="I191">
        <f ca="1">IF(OR(INDIRECT(A73&amp;ROW())=B93,INDIRECT(A73&amp;ROW())=B94),1,IF(AND(INDIRECT(A73&amp;ROW())=B95,INDIRECT(A96&amp;ROW())=C93),1,IF(AND(INDIRECT(A73&amp;ROW())=B95,INDIRECT(A96&amp;ROW())=C94),1,0)))</f>
        <v>0</v>
      </c>
      <c r="J191">
        <f ca="1">IF(AND(INDIRECT(A73&amp;ROW())=B95,INDIRECT(A96&amp;ROW())=C95),1,IF(AND(INDIRECT(A73&amp;ROW())=B95,INDIRECT(A96&amp;ROW())=C96),1,0))</f>
        <v>0</v>
      </c>
      <c r="K191">
        <f ca="1">DAYS360(INDIRECT(C68&amp;ROW()),TODAY())</f>
        <v>731</v>
      </c>
      <c r="L191">
        <f ca="1">DAYS360(INDIRECT(C69&amp;ROW()),TODAY())</f>
        <v>869</v>
      </c>
      <c r="M191">
        <f ca="1">HYPERLINK(CONCATENATE("https://bugzilla.houston.hp.com:1181/bugzilla/show_bug.cgi?id=",INDIRECT(C70&amp;ROW())),INDIRECT(C70&amp;ROW()))</f>
        <v>54281</v>
      </c>
      <c r="N191">
        <v>54281</v>
      </c>
      <c r="O191" t="s">
        <v>36</v>
      </c>
      <c r="P191" t="s">
        <v>495</v>
      </c>
      <c r="Q191" t="s">
        <v>16</v>
      </c>
      <c r="R191" t="s">
        <v>248</v>
      </c>
      <c r="S191" t="s">
        <v>36</v>
      </c>
      <c r="U191" s="6">
        <v>42115.893796296295</v>
      </c>
      <c r="V191" t="s">
        <v>18</v>
      </c>
      <c r="W191" t="s">
        <v>372</v>
      </c>
      <c r="X191" s="6">
        <v>41976.675428240742</v>
      </c>
      <c r="Y191" t="s">
        <v>245</v>
      </c>
      <c r="AB191" t="s">
        <v>200</v>
      </c>
      <c r="AC191" t="s">
        <v>247</v>
      </c>
      <c r="AD191" t="s">
        <v>227</v>
      </c>
      <c r="AE191" t="s">
        <v>230</v>
      </c>
      <c r="AG191" t="s">
        <v>121</v>
      </c>
      <c r="AH191" t="s">
        <v>327</v>
      </c>
      <c r="AI191" t="s">
        <v>121</v>
      </c>
      <c r="AJ191" t="s">
        <v>716</v>
      </c>
      <c r="AK191" t="s">
        <v>121</v>
      </c>
    </row>
    <row r="192" spans="9:37" x14ac:dyDescent="0.3">
      <c r="I192">
        <f ca="1">IF(OR(INDIRECT(A73&amp;ROW())=B93,INDIRECT(A73&amp;ROW())=B94),1,IF(AND(INDIRECT(A73&amp;ROW())=B95,INDIRECT(A96&amp;ROW())=C93),1,IF(AND(INDIRECT(A73&amp;ROW())=B95,INDIRECT(A96&amp;ROW())=C94),1,0)))</f>
        <v>0</v>
      </c>
      <c r="J192">
        <f ca="1">IF(AND(INDIRECT(A73&amp;ROW())=B95,INDIRECT(A96&amp;ROW())=C95),1,IF(AND(INDIRECT(A73&amp;ROW())=B95,INDIRECT(A96&amp;ROW())=C96),1,0))</f>
        <v>0</v>
      </c>
      <c r="K192">
        <f ca="1">DAYS360(INDIRECT(C68&amp;ROW()),TODAY())</f>
        <v>724</v>
      </c>
      <c r="L192">
        <f ca="1">DAYS360(INDIRECT(C69&amp;ROW()),TODAY())</f>
        <v>869</v>
      </c>
      <c r="M192">
        <f ca="1">HYPERLINK(CONCATENATE("https://bugzilla.houston.hp.com:1181/bugzilla/show_bug.cgi?id=",INDIRECT(C70&amp;ROW())),INDIRECT(C70&amp;ROW()))</f>
        <v>54283</v>
      </c>
      <c r="N192">
        <v>54283</v>
      </c>
      <c r="O192" t="s">
        <v>241</v>
      </c>
      <c r="P192" t="s">
        <v>494</v>
      </c>
      <c r="Q192" t="s">
        <v>16</v>
      </c>
      <c r="R192" t="s">
        <v>251</v>
      </c>
      <c r="S192" t="s">
        <v>36</v>
      </c>
      <c r="U192" s="6">
        <v>42122.319062499999</v>
      </c>
      <c r="V192" t="s">
        <v>18</v>
      </c>
      <c r="W192" t="s">
        <v>17</v>
      </c>
      <c r="X192" s="6">
        <v>41976.684965277775</v>
      </c>
      <c r="Y192" t="s">
        <v>122</v>
      </c>
      <c r="AB192" t="s">
        <v>201</v>
      </c>
      <c r="AC192" t="s">
        <v>247</v>
      </c>
      <c r="AD192" t="s">
        <v>227</v>
      </c>
      <c r="AE192" t="s">
        <v>237</v>
      </c>
      <c r="AG192" t="s">
        <v>121</v>
      </c>
      <c r="AH192" t="s">
        <v>327</v>
      </c>
      <c r="AI192" t="s">
        <v>121</v>
      </c>
      <c r="AJ192" t="s">
        <v>717</v>
      </c>
      <c r="AK192" t="s">
        <v>121</v>
      </c>
    </row>
    <row r="193" spans="9:37" x14ac:dyDescent="0.3">
      <c r="I193">
        <f ca="1">IF(OR(INDIRECT(A73&amp;ROW())=B93,INDIRECT(A73&amp;ROW())=B94),1,IF(AND(INDIRECT(A73&amp;ROW())=B95,INDIRECT(A96&amp;ROW())=C93),1,IF(AND(INDIRECT(A73&amp;ROW())=B95,INDIRECT(A96&amp;ROW())=C94),1,0)))</f>
        <v>0</v>
      </c>
      <c r="J193">
        <f ca="1">IF(AND(INDIRECT(A73&amp;ROW())=B95,INDIRECT(A96&amp;ROW())=C95),1,IF(AND(INDIRECT(A73&amp;ROW())=B95,INDIRECT(A96&amp;ROW())=C96),1,0))</f>
        <v>0</v>
      </c>
      <c r="K193">
        <f ca="1">DAYS360(INDIRECT(C68&amp;ROW()),TODAY())</f>
        <v>721</v>
      </c>
      <c r="L193">
        <f ca="1">DAYS360(INDIRECT(C69&amp;ROW()),TODAY())</f>
        <v>869</v>
      </c>
      <c r="M193">
        <f ca="1">HYPERLINK(CONCATENATE("https://bugzilla.houston.hp.com:1181/bugzilla/show_bug.cgi?id=",INDIRECT(C70&amp;ROW())),INDIRECT(C70&amp;ROW()))</f>
        <v>54284</v>
      </c>
      <c r="N193">
        <v>54284</v>
      </c>
      <c r="O193" t="s">
        <v>36</v>
      </c>
      <c r="P193" t="s">
        <v>493</v>
      </c>
      <c r="Q193" t="s">
        <v>16</v>
      </c>
      <c r="R193" t="s">
        <v>248</v>
      </c>
      <c r="S193" t="s">
        <v>36</v>
      </c>
      <c r="U193" s="6">
        <v>42125.44866898148</v>
      </c>
      <c r="V193" t="s">
        <v>18</v>
      </c>
      <c r="W193" t="s">
        <v>339</v>
      </c>
      <c r="X193" s="6">
        <v>41976.687175925923</v>
      </c>
      <c r="Y193" t="s">
        <v>122</v>
      </c>
      <c r="AB193" t="s">
        <v>201</v>
      </c>
      <c r="AC193" t="s">
        <v>247</v>
      </c>
      <c r="AD193" t="s">
        <v>227</v>
      </c>
      <c r="AE193" t="s">
        <v>237</v>
      </c>
      <c r="AG193" t="s">
        <v>121</v>
      </c>
      <c r="AH193" t="s">
        <v>327</v>
      </c>
      <c r="AI193" t="s">
        <v>121</v>
      </c>
      <c r="AJ193" t="s">
        <v>716</v>
      </c>
      <c r="AK193" t="s">
        <v>121</v>
      </c>
    </row>
    <row r="194" spans="9:37" x14ac:dyDescent="0.3">
      <c r="I194">
        <f ca="1">IF(OR(INDIRECT(A73&amp;ROW())=B93,INDIRECT(A73&amp;ROW())=B94),1,IF(AND(INDIRECT(A73&amp;ROW())=B95,INDIRECT(A96&amp;ROW())=C93),1,IF(AND(INDIRECT(A73&amp;ROW())=B95,INDIRECT(A96&amp;ROW())=C94),1,0)))</f>
        <v>0</v>
      </c>
      <c r="J194">
        <f ca="1">IF(AND(INDIRECT(A73&amp;ROW())=B95,INDIRECT(A96&amp;ROW())=C95),1,IF(AND(INDIRECT(A73&amp;ROW())=B95,INDIRECT(A96&amp;ROW())=C96),1,0))</f>
        <v>0</v>
      </c>
      <c r="K194">
        <f ca="1">DAYS360(INDIRECT(C68&amp;ROW()),TODAY())</f>
        <v>721</v>
      </c>
      <c r="L194">
        <f ca="1">DAYS360(INDIRECT(C69&amp;ROW()),TODAY())</f>
        <v>869</v>
      </c>
      <c r="M194">
        <f ca="1">HYPERLINK(CONCATENATE("https://bugzilla.houston.hp.com:1181/bugzilla/show_bug.cgi?id=",INDIRECT(C70&amp;ROW())),INDIRECT(C70&amp;ROW()))</f>
        <v>54292</v>
      </c>
      <c r="N194">
        <v>54292</v>
      </c>
      <c r="O194" t="s">
        <v>65</v>
      </c>
      <c r="P194" t="s">
        <v>502</v>
      </c>
      <c r="Q194" t="s">
        <v>16</v>
      </c>
      <c r="R194" t="s">
        <v>251</v>
      </c>
      <c r="S194" t="s">
        <v>43</v>
      </c>
      <c r="U194" s="6">
        <v>42125.44871527778</v>
      </c>
      <c r="V194" t="s">
        <v>18</v>
      </c>
      <c r="W194" t="s">
        <v>17</v>
      </c>
      <c r="X194" s="6">
        <v>41976.750104166669</v>
      </c>
      <c r="Y194" t="s">
        <v>122</v>
      </c>
      <c r="AB194" t="s">
        <v>201</v>
      </c>
      <c r="AC194" t="s">
        <v>247</v>
      </c>
      <c r="AD194" t="s">
        <v>220</v>
      </c>
      <c r="AE194" t="s">
        <v>219</v>
      </c>
      <c r="AG194" t="s">
        <v>121</v>
      </c>
      <c r="AH194" t="s">
        <v>327</v>
      </c>
      <c r="AI194" t="s">
        <v>121</v>
      </c>
      <c r="AJ194" t="s">
        <v>717</v>
      </c>
      <c r="AK194" t="s">
        <v>121</v>
      </c>
    </row>
    <row r="195" spans="9:37" x14ac:dyDescent="0.3">
      <c r="I195">
        <f ca="1">IF(OR(INDIRECT(A73&amp;ROW())=B93,INDIRECT(A73&amp;ROW())=B94),1,IF(AND(INDIRECT(A73&amp;ROW())=B95,INDIRECT(A96&amp;ROW())=C93),1,IF(AND(INDIRECT(A73&amp;ROW())=B95,INDIRECT(A96&amp;ROW())=C94),1,0)))</f>
        <v>0</v>
      </c>
      <c r="J195">
        <f ca="1">IF(AND(INDIRECT(A73&amp;ROW())=B95,INDIRECT(A96&amp;ROW())=C95),1,IF(AND(INDIRECT(A73&amp;ROW())=B95,INDIRECT(A96&amp;ROW())=C96),1,0))</f>
        <v>1</v>
      </c>
      <c r="K195">
        <f ca="1">DAYS360(INDIRECT(C68&amp;ROW()),TODAY())</f>
        <v>721</v>
      </c>
      <c r="L195">
        <f ca="1">DAYS360(INDIRECT(C69&amp;ROW()),TODAY())</f>
        <v>867</v>
      </c>
      <c r="M195">
        <f ca="1">HYPERLINK(CONCATENATE("https://bugzilla.houston.hp.com:1181/bugzilla/show_bug.cgi?id=",INDIRECT(C70&amp;ROW())),INDIRECT(C70&amp;ROW()))</f>
        <v>54393</v>
      </c>
      <c r="N195">
        <v>54393</v>
      </c>
      <c r="O195" t="s">
        <v>22</v>
      </c>
      <c r="P195" t="s">
        <v>505</v>
      </c>
      <c r="Q195" t="s">
        <v>25</v>
      </c>
      <c r="R195" t="s">
        <v>251</v>
      </c>
      <c r="S195" t="s">
        <v>36</v>
      </c>
      <c r="U195" s="6">
        <v>42125.663171296299</v>
      </c>
      <c r="V195" t="s">
        <v>18</v>
      </c>
      <c r="W195" t="s">
        <v>17</v>
      </c>
      <c r="X195" s="6">
        <v>41978.416562500002</v>
      </c>
      <c r="Y195" t="s">
        <v>793</v>
      </c>
      <c r="AB195" t="s">
        <v>201</v>
      </c>
      <c r="AC195" t="s">
        <v>247</v>
      </c>
      <c r="AD195" t="s">
        <v>222</v>
      </c>
      <c r="AE195" t="s">
        <v>225</v>
      </c>
      <c r="AG195" t="s">
        <v>121</v>
      </c>
      <c r="AH195" t="s">
        <v>327</v>
      </c>
      <c r="AI195" t="s">
        <v>121</v>
      </c>
      <c r="AJ195" t="s">
        <v>716</v>
      </c>
      <c r="AK195" t="s">
        <v>121</v>
      </c>
    </row>
    <row r="196" spans="9:37" x14ac:dyDescent="0.3">
      <c r="I196">
        <f ca="1">IF(OR(INDIRECT(A73&amp;ROW())=B93,INDIRECT(A73&amp;ROW())=B94),1,IF(AND(INDIRECT(A73&amp;ROW())=B95,INDIRECT(A96&amp;ROW())=C93),1,IF(AND(INDIRECT(A73&amp;ROW())=B95,INDIRECT(A96&amp;ROW())=C94),1,0)))</f>
        <v>0</v>
      </c>
      <c r="J196">
        <f ca="1">IF(AND(INDIRECT(A73&amp;ROW())=B95,INDIRECT(A96&amp;ROW())=C95),1,IF(AND(INDIRECT(A73&amp;ROW())=B95,INDIRECT(A96&amp;ROW())=C96),1,0))</f>
        <v>1</v>
      </c>
      <c r="K196">
        <f ca="1">DAYS360(INDIRECT(C68&amp;ROW()),TODAY())</f>
        <v>721</v>
      </c>
      <c r="L196">
        <f ca="1">DAYS360(INDIRECT(C69&amp;ROW()),TODAY())</f>
        <v>867</v>
      </c>
      <c r="M196">
        <f ca="1">HYPERLINK(CONCATENATE("https://bugzilla.houston.hp.com:1181/bugzilla/show_bug.cgi?id=",INDIRECT(C70&amp;ROW())),INDIRECT(C70&amp;ROW()))</f>
        <v>54394</v>
      </c>
      <c r="N196">
        <v>54394</v>
      </c>
      <c r="O196" t="s">
        <v>22</v>
      </c>
      <c r="P196" t="s">
        <v>504</v>
      </c>
      <c r="Q196" t="s">
        <v>25</v>
      </c>
      <c r="R196" t="s">
        <v>248</v>
      </c>
      <c r="S196" t="s">
        <v>36</v>
      </c>
      <c r="U196" s="6">
        <v>42125.663148148145</v>
      </c>
      <c r="V196" t="s">
        <v>18</v>
      </c>
      <c r="W196" t="s">
        <v>341</v>
      </c>
      <c r="X196" s="6">
        <v>41978.42869212963</v>
      </c>
      <c r="Y196" t="s">
        <v>793</v>
      </c>
      <c r="AB196" t="s">
        <v>201</v>
      </c>
      <c r="AC196" t="s">
        <v>247</v>
      </c>
      <c r="AD196" t="s">
        <v>222</v>
      </c>
      <c r="AE196" t="s">
        <v>225</v>
      </c>
      <c r="AG196" t="s">
        <v>121</v>
      </c>
      <c r="AH196" t="s">
        <v>327</v>
      </c>
      <c r="AI196" t="s">
        <v>121</v>
      </c>
      <c r="AJ196" t="s">
        <v>716</v>
      </c>
      <c r="AK196" t="s">
        <v>121</v>
      </c>
    </row>
    <row r="197" spans="9:37" x14ac:dyDescent="0.3">
      <c r="I197">
        <f ca="1">IF(OR(INDIRECT(A73&amp;ROW())=B93,INDIRECT(A73&amp;ROW())=B94),1,IF(AND(INDIRECT(A73&amp;ROW())=B95,INDIRECT(A96&amp;ROW())=C93),1,IF(AND(INDIRECT(A73&amp;ROW())=B95,INDIRECT(A96&amp;ROW())=C94),1,0)))</f>
        <v>1</v>
      </c>
      <c r="J197">
        <f ca="1">IF(AND(INDIRECT(A73&amp;ROW())=B95,INDIRECT(A96&amp;ROW())=C95),1,IF(AND(INDIRECT(A73&amp;ROW())=B95,INDIRECT(A96&amp;ROW())=C96),1,0))</f>
        <v>0</v>
      </c>
      <c r="K197">
        <f ca="1">DAYS360(INDIRECT(C68&amp;ROW()),TODAY())</f>
        <v>729</v>
      </c>
      <c r="L197">
        <f ca="1">DAYS360(INDIRECT(C69&amp;ROW()),TODAY())</f>
        <v>860</v>
      </c>
      <c r="M197">
        <f ca="1">HYPERLINK(CONCATENATE("https://bugzilla.houston.hp.com:1181/bugzilla/show_bug.cgi?id=",INDIRECT(C70&amp;ROW())),INDIRECT(C70&amp;ROW()))</f>
        <v>54717</v>
      </c>
      <c r="N197">
        <v>54717</v>
      </c>
      <c r="O197" t="s">
        <v>36</v>
      </c>
      <c r="P197" t="s">
        <v>511</v>
      </c>
      <c r="Q197" t="s">
        <v>25</v>
      </c>
      <c r="R197" t="s">
        <v>248</v>
      </c>
      <c r="S197" t="s">
        <v>44</v>
      </c>
      <c r="U197" s="6">
        <v>42117.266597222224</v>
      </c>
      <c r="V197" t="s">
        <v>18</v>
      </c>
      <c r="W197" t="s">
        <v>508</v>
      </c>
      <c r="X197" s="6">
        <v>41985.331608796296</v>
      </c>
      <c r="Y197" t="s">
        <v>255</v>
      </c>
      <c r="AB197" t="s">
        <v>200</v>
      </c>
      <c r="AC197" t="s">
        <v>247</v>
      </c>
      <c r="AD197" t="s">
        <v>222</v>
      </c>
      <c r="AE197" t="s">
        <v>233</v>
      </c>
      <c r="AG197" t="s">
        <v>121</v>
      </c>
      <c r="AH197" t="s">
        <v>327</v>
      </c>
      <c r="AI197" t="s">
        <v>121</v>
      </c>
      <c r="AJ197" t="s">
        <v>715</v>
      </c>
      <c r="AK197" t="s">
        <v>121</v>
      </c>
    </row>
    <row r="198" spans="9:37" x14ac:dyDescent="0.3">
      <c r="I198">
        <f ca="1">IF(OR(INDIRECT(A73&amp;ROW())=B93,INDIRECT(A73&amp;ROW())=B94),1,IF(AND(INDIRECT(A73&amp;ROW())=B95,INDIRECT(A96&amp;ROW())=C93),1,IF(AND(INDIRECT(A73&amp;ROW())=B95,INDIRECT(A96&amp;ROW())=C94),1,0)))</f>
        <v>0</v>
      </c>
      <c r="J198">
        <f ca="1">IF(AND(INDIRECT(A73&amp;ROW())=B95,INDIRECT(A96&amp;ROW())=C95),1,IF(AND(INDIRECT(A73&amp;ROW())=B95,INDIRECT(A96&amp;ROW())=C96),1,0))</f>
        <v>0</v>
      </c>
      <c r="K198">
        <f ca="1">DAYS360(INDIRECT(C68&amp;ROW()),TODAY())</f>
        <v>734</v>
      </c>
      <c r="L198">
        <f ca="1">DAYS360(INDIRECT(C69&amp;ROW()),TODAY())</f>
        <v>860</v>
      </c>
      <c r="M198">
        <f ca="1">HYPERLINK(CONCATENATE("https://bugzilla.houston.hp.com:1181/bugzilla/show_bug.cgi?id=",INDIRECT(C70&amp;ROW())),INDIRECT(C70&amp;ROW()))</f>
        <v>54734</v>
      </c>
      <c r="N198">
        <v>54734</v>
      </c>
      <c r="O198" t="s">
        <v>66</v>
      </c>
      <c r="P198" t="s">
        <v>510</v>
      </c>
      <c r="Q198" t="s">
        <v>16</v>
      </c>
      <c r="R198" t="s">
        <v>251</v>
      </c>
      <c r="S198" t="s">
        <v>36</v>
      </c>
      <c r="T198" t="s">
        <v>794</v>
      </c>
      <c r="U198" s="6">
        <v>42112.773888888885</v>
      </c>
      <c r="V198" t="s">
        <v>18</v>
      </c>
      <c r="W198" t="s">
        <v>17</v>
      </c>
      <c r="X198" s="6">
        <v>41985.403136574074</v>
      </c>
      <c r="Y198" t="s">
        <v>122</v>
      </c>
      <c r="AB198" t="s">
        <v>201</v>
      </c>
      <c r="AC198" t="s">
        <v>247</v>
      </c>
      <c r="AD198" t="s">
        <v>220</v>
      </c>
      <c r="AE198" t="s">
        <v>223</v>
      </c>
      <c r="AG198" t="s">
        <v>121</v>
      </c>
      <c r="AH198" t="s">
        <v>327</v>
      </c>
      <c r="AI198" t="s">
        <v>121</v>
      </c>
      <c r="AJ198" t="s">
        <v>717</v>
      </c>
      <c r="AK198" t="s">
        <v>121</v>
      </c>
    </row>
    <row r="199" spans="9:37" x14ac:dyDescent="0.3">
      <c r="I199">
        <f ca="1">IF(OR(INDIRECT(A73&amp;ROW())=B93,INDIRECT(A73&amp;ROW())=B94),1,IF(AND(INDIRECT(A73&amp;ROW())=B95,INDIRECT(A96&amp;ROW())=C93),1,IF(AND(INDIRECT(A73&amp;ROW())=B95,INDIRECT(A96&amp;ROW())=C94),1,0)))</f>
        <v>0</v>
      </c>
      <c r="J199">
        <f ca="1">IF(AND(INDIRECT(A73&amp;ROW())=B95,INDIRECT(A96&amp;ROW())=C95),1,IF(AND(INDIRECT(A73&amp;ROW())=B95,INDIRECT(A96&amp;ROW())=C96),1,0))</f>
        <v>0</v>
      </c>
      <c r="K199">
        <f ca="1">DAYS360(INDIRECT(C68&amp;ROW()),TODAY())</f>
        <v>734</v>
      </c>
      <c r="L199">
        <f ca="1">DAYS360(INDIRECT(C69&amp;ROW()),TODAY())</f>
        <v>860</v>
      </c>
      <c r="M199">
        <f ca="1">HYPERLINK(CONCATENATE("https://bugzilla.houston.hp.com:1181/bugzilla/show_bug.cgi?id=",INDIRECT(C70&amp;ROW())),INDIRECT(C70&amp;ROW()))</f>
        <v>54736</v>
      </c>
      <c r="N199">
        <v>54736</v>
      </c>
      <c r="O199" t="s">
        <v>66</v>
      </c>
      <c r="P199" t="s">
        <v>509</v>
      </c>
      <c r="Q199" t="s">
        <v>16</v>
      </c>
      <c r="R199" t="s">
        <v>248</v>
      </c>
      <c r="S199" t="s">
        <v>36</v>
      </c>
      <c r="T199" t="s">
        <v>794</v>
      </c>
      <c r="U199" s="6">
        <v>42112.773912037039</v>
      </c>
      <c r="V199" t="s">
        <v>18</v>
      </c>
      <c r="W199" t="s">
        <v>17</v>
      </c>
      <c r="X199" s="6">
        <v>41985.403819444444</v>
      </c>
      <c r="Y199" t="s">
        <v>122</v>
      </c>
      <c r="AB199" t="s">
        <v>201</v>
      </c>
      <c r="AC199" t="s">
        <v>247</v>
      </c>
      <c r="AD199" t="s">
        <v>220</v>
      </c>
      <c r="AE199" t="s">
        <v>223</v>
      </c>
      <c r="AG199" t="s">
        <v>121</v>
      </c>
      <c r="AH199" t="s">
        <v>327</v>
      </c>
      <c r="AI199" t="s">
        <v>121</v>
      </c>
      <c r="AJ199" t="s">
        <v>716</v>
      </c>
      <c r="AK199" t="s">
        <v>121</v>
      </c>
    </row>
    <row r="200" spans="9:37" x14ac:dyDescent="0.3">
      <c r="I200">
        <f ca="1">IF(OR(INDIRECT(A73&amp;ROW())=B93,INDIRECT(A73&amp;ROW())=B94),1,IF(AND(INDIRECT(A73&amp;ROW())=B95,INDIRECT(A96&amp;ROW())=C93),1,IF(AND(INDIRECT(A73&amp;ROW())=B95,INDIRECT(A96&amp;ROW())=C94),1,0)))</f>
        <v>1</v>
      </c>
      <c r="J200">
        <f ca="1">IF(AND(INDIRECT(A73&amp;ROW())=B95,INDIRECT(A96&amp;ROW())=C95),1,IF(AND(INDIRECT(A73&amp;ROW())=B95,INDIRECT(A96&amp;ROW())=C96),1,0))</f>
        <v>0</v>
      </c>
      <c r="K200">
        <f ca="1">DAYS360(INDIRECT(C68&amp;ROW()),TODAY())</f>
        <v>721</v>
      </c>
      <c r="L200">
        <f ca="1">DAYS360(INDIRECT(C69&amp;ROW()),TODAY())</f>
        <v>857</v>
      </c>
      <c r="M200">
        <f ca="1">HYPERLINK(CONCATENATE("https://bugzilla.houston.hp.com:1181/bugzilla/show_bug.cgi?id=",INDIRECT(C70&amp;ROW())),INDIRECT(C70&amp;ROW()))</f>
        <v>54823</v>
      </c>
      <c r="N200">
        <v>54823</v>
      </c>
      <c r="O200" t="s">
        <v>45</v>
      </c>
      <c r="P200" t="s">
        <v>524</v>
      </c>
      <c r="Q200" t="s">
        <v>25</v>
      </c>
      <c r="R200" t="s">
        <v>251</v>
      </c>
      <c r="S200" t="s">
        <v>345</v>
      </c>
      <c r="U200" s="6">
        <v>42125.67114583333</v>
      </c>
      <c r="V200" t="s">
        <v>18</v>
      </c>
      <c r="W200" t="s">
        <v>17</v>
      </c>
      <c r="X200" s="6">
        <v>41988.671932870369</v>
      </c>
      <c r="Y200" t="s">
        <v>244</v>
      </c>
      <c r="AB200" t="s">
        <v>200</v>
      </c>
      <c r="AC200" t="s">
        <v>247</v>
      </c>
      <c r="AD200" t="s">
        <v>227</v>
      </c>
      <c r="AE200" t="s">
        <v>226</v>
      </c>
      <c r="AG200" t="s">
        <v>121</v>
      </c>
      <c r="AH200" t="s">
        <v>327</v>
      </c>
      <c r="AI200" t="s">
        <v>121</v>
      </c>
      <c r="AJ200" t="s">
        <v>715</v>
      </c>
      <c r="AK200" t="s">
        <v>121</v>
      </c>
    </row>
    <row r="201" spans="9:37" x14ac:dyDescent="0.3">
      <c r="I201">
        <f ca="1">IF(OR(INDIRECT(A73&amp;ROW())=B93,INDIRECT(A73&amp;ROW())=B94),1,IF(AND(INDIRECT(A73&amp;ROW())=B95,INDIRECT(A96&amp;ROW())=C93),1,IF(AND(INDIRECT(A73&amp;ROW())=B95,INDIRECT(A96&amp;ROW())=C94),1,0)))</f>
        <v>1</v>
      </c>
      <c r="J201">
        <f ca="1">IF(AND(INDIRECT(A73&amp;ROW())=B95,INDIRECT(A96&amp;ROW())=C95),1,IF(AND(INDIRECT(A73&amp;ROW())=B95,INDIRECT(A96&amp;ROW())=C96),1,0))</f>
        <v>0</v>
      </c>
      <c r="K201">
        <f ca="1">DAYS360(INDIRECT(C68&amp;ROW()),TODAY())</f>
        <v>769</v>
      </c>
      <c r="L201">
        <f ca="1">DAYS360(INDIRECT(C69&amp;ROW()),TODAY())</f>
        <v>856</v>
      </c>
      <c r="M201">
        <f ca="1">HYPERLINK(CONCATENATE("https://bugzilla.houston.hp.com:1181/bugzilla/show_bug.cgi?id=",INDIRECT(C70&amp;ROW())),INDIRECT(C70&amp;ROW()))</f>
        <v>54867</v>
      </c>
      <c r="N201">
        <v>54867</v>
      </c>
      <c r="O201" t="s">
        <v>740</v>
      </c>
      <c r="P201" t="s">
        <v>513</v>
      </c>
      <c r="Q201" t="s">
        <v>25</v>
      </c>
      <c r="R201" t="s">
        <v>289</v>
      </c>
      <c r="S201" t="s">
        <v>36</v>
      </c>
      <c r="U201" s="6">
        <v>42076.53800925926</v>
      </c>
      <c r="V201" t="s">
        <v>18</v>
      </c>
      <c r="W201" t="s">
        <v>17</v>
      </c>
      <c r="X201" s="6">
        <v>41989.384004629632</v>
      </c>
      <c r="Y201" t="s">
        <v>244</v>
      </c>
      <c r="AB201" t="s">
        <v>200</v>
      </c>
      <c r="AC201" t="s">
        <v>247</v>
      </c>
      <c r="AD201" t="s">
        <v>227</v>
      </c>
      <c r="AE201" t="s">
        <v>230</v>
      </c>
      <c r="AG201" t="s">
        <v>121</v>
      </c>
      <c r="AH201" t="s">
        <v>327</v>
      </c>
      <c r="AI201" t="s">
        <v>362</v>
      </c>
      <c r="AJ201" t="s">
        <v>715</v>
      </c>
      <c r="AK201" t="s">
        <v>121</v>
      </c>
    </row>
    <row r="202" spans="9:37" x14ac:dyDescent="0.3">
      <c r="I202">
        <f ca="1">IF(OR(INDIRECT(A73&amp;ROW())=B93,INDIRECT(A73&amp;ROW())=B94),1,IF(AND(INDIRECT(A73&amp;ROW())=B95,INDIRECT(A96&amp;ROW())=C93),1,IF(AND(INDIRECT(A73&amp;ROW())=B95,INDIRECT(A96&amp;ROW())=C94),1,0)))</f>
        <v>1</v>
      </c>
      <c r="J202">
        <f ca="1">IF(AND(INDIRECT(A73&amp;ROW())=B95,INDIRECT(A96&amp;ROW())=C95),1,IF(AND(INDIRECT(A73&amp;ROW())=B95,INDIRECT(A96&amp;ROW())=C96),1,0))</f>
        <v>0</v>
      </c>
      <c r="K202">
        <f ca="1">DAYS360(INDIRECT(C68&amp;ROW()),TODAY())</f>
        <v>721</v>
      </c>
      <c r="L202">
        <f ca="1">DAYS360(INDIRECT(C69&amp;ROW()),TODAY())</f>
        <v>856</v>
      </c>
      <c r="M202">
        <f ca="1">HYPERLINK(CONCATENATE("https://bugzilla.houston.hp.com:1181/bugzilla/show_bug.cgi?id=",INDIRECT(C70&amp;ROW())),INDIRECT(C70&amp;ROW()))</f>
        <v>54868</v>
      </c>
      <c r="N202">
        <v>54868</v>
      </c>
      <c r="O202" t="s">
        <v>45</v>
      </c>
      <c r="P202" t="s">
        <v>522</v>
      </c>
      <c r="Q202" t="s">
        <v>25</v>
      </c>
      <c r="R202" t="s">
        <v>248</v>
      </c>
      <c r="S202" t="s">
        <v>36</v>
      </c>
      <c r="U202" s="6">
        <v>42125.671122685184</v>
      </c>
      <c r="V202" t="s">
        <v>18</v>
      </c>
      <c r="W202" t="s">
        <v>17</v>
      </c>
      <c r="X202" s="6">
        <v>41989.384074074071</v>
      </c>
      <c r="Y202" t="s">
        <v>244</v>
      </c>
      <c r="AB202" t="s">
        <v>200</v>
      </c>
      <c r="AC202" t="s">
        <v>247</v>
      </c>
      <c r="AD202" t="s">
        <v>227</v>
      </c>
      <c r="AE202" t="s">
        <v>226</v>
      </c>
      <c r="AG202" t="s">
        <v>121</v>
      </c>
      <c r="AH202" t="s">
        <v>327</v>
      </c>
      <c r="AI202" t="s">
        <v>121</v>
      </c>
      <c r="AJ202" t="s">
        <v>715</v>
      </c>
      <c r="AK202" t="s">
        <v>121</v>
      </c>
    </row>
    <row r="203" spans="9:37" x14ac:dyDescent="0.3">
      <c r="I203">
        <f ca="1">IF(OR(INDIRECT(A73&amp;ROW())=B93,INDIRECT(A73&amp;ROW())=B94),1,IF(AND(INDIRECT(A73&amp;ROW())=B95,INDIRECT(A96&amp;ROW())=C93),1,IF(AND(INDIRECT(A73&amp;ROW())=B95,INDIRECT(A96&amp;ROW())=C94),1,0)))</f>
        <v>0</v>
      </c>
      <c r="J203">
        <f ca="1">IF(AND(INDIRECT(A73&amp;ROW())=B95,INDIRECT(A96&amp;ROW())=C95),1,IF(AND(INDIRECT(A73&amp;ROW())=B95,INDIRECT(A96&amp;ROW())=C96),1,0))</f>
        <v>0</v>
      </c>
      <c r="K203">
        <f ca="1">DAYS360(INDIRECT(C68&amp;ROW()),TODAY())</f>
        <v>718</v>
      </c>
      <c r="L203">
        <f ca="1">DAYS360(INDIRECT(C69&amp;ROW()),TODAY())</f>
        <v>856</v>
      </c>
      <c r="M203">
        <f ca="1">HYPERLINK(CONCATENATE("https://bugzilla.houston.hp.com:1181/bugzilla/show_bug.cgi?id=",INDIRECT(C70&amp;ROW())),INDIRECT(C70&amp;ROW()))</f>
        <v>54893</v>
      </c>
      <c r="N203">
        <v>54893</v>
      </c>
      <c r="O203" t="s">
        <v>21</v>
      </c>
      <c r="P203" t="s">
        <v>521</v>
      </c>
      <c r="Q203" t="s">
        <v>16</v>
      </c>
      <c r="R203" t="s">
        <v>251</v>
      </c>
      <c r="S203" t="s">
        <v>31</v>
      </c>
      <c r="U203" s="6">
        <v>42128.473263888889</v>
      </c>
      <c r="V203" t="s">
        <v>18</v>
      </c>
      <c r="W203" t="s">
        <v>17</v>
      </c>
      <c r="X203" s="6">
        <v>41989.673946759256</v>
      </c>
      <c r="Y203" t="s">
        <v>255</v>
      </c>
      <c r="AB203" t="s">
        <v>200</v>
      </c>
      <c r="AC203" t="s">
        <v>247</v>
      </c>
      <c r="AD203" t="s">
        <v>222</v>
      </c>
      <c r="AE203" t="s">
        <v>240</v>
      </c>
      <c r="AG203" t="s">
        <v>121</v>
      </c>
      <c r="AH203" t="s">
        <v>327</v>
      </c>
      <c r="AI203" t="s">
        <v>121</v>
      </c>
      <c r="AJ203" t="s">
        <v>716</v>
      </c>
      <c r="AK203" t="s">
        <v>121</v>
      </c>
    </row>
    <row r="204" spans="9:37" x14ac:dyDescent="0.3">
      <c r="I204">
        <f ca="1">IF(OR(INDIRECT(A73&amp;ROW())=B93,INDIRECT(A73&amp;ROW())=B94),1,IF(AND(INDIRECT(A73&amp;ROW())=B95,INDIRECT(A96&amp;ROW())=C93),1,IF(AND(INDIRECT(A73&amp;ROW())=B95,INDIRECT(A96&amp;ROW())=C94),1,0)))</f>
        <v>1</v>
      </c>
      <c r="J204">
        <f ca="1">IF(AND(INDIRECT(A73&amp;ROW())=B95,INDIRECT(A96&amp;ROW())=C95),1,IF(AND(INDIRECT(A73&amp;ROW())=B95,INDIRECT(A96&amp;ROW())=C96),1,0))</f>
        <v>0</v>
      </c>
      <c r="K204">
        <f ca="1">DAYS360(INDIRECT(C68&amp;ROW()),TODAY())</f>
        <v>710</v>
      </c>
      <c r="L204">
        <f ca="1">DAYS360(INDIRECT(C69&amp;ROW()),TODAY())</f>
        <v>855</v>
      </c>
      <c r="M204">
        <f ca="1">HYPERLINK(CONCATENATE("https://bugzilla.houston.hp.com:1181/bugzilla/show_bug.cgi?id=",INDIRECT(C70&amp;ROW())),INDIRECT(C70&amp;ROW()))</f>
        <v>54914</v>
      </c>
      <c r="N204">
        <v>54914</v>
      </c>
      <c r="O204" t="s">
        <v>156</v>
      </c>
      <c r="P204" t="s">
        <v>520</v>
      </c>
      <c r="Q204" t="s">
        <v>25</v>
      </c>
      <c r="R204" t="s">
        <v>251</v>
      </c>
      <c r="S204" t="s">
        <v>296</v>
      </c>
      <c r="U204" s="6">
        <v>42136.018703703703</v>
      </c>
      <c r="V204" t="s">
        <v>35</v>
      </c>
      <c r="W204" t="s">
        <v>17</v>
      </c>
      <c r="X204" s="6">
        <v>41990.217222222222</v>
      </c>
      <c r="Y204" t="s">
        <v>342</v>
      </c>
      <c r="AB204" t="s">
        <v>200</v>
      </c>
      <c r="AC204" t="s">
        <v>247</v>
      </c>
      <c r="AD204" t="s">
        <v>220</v>
      </c>
      <c r="AE204" t="s">
        <v>219</v>
      </c>
      <c r="AG204" t="s">
        <v>121</v>
      </c>
      <c r="AH204" t="s">
        <v>327</v>
      </c>
      <c r="AI204" t="s">
        <v>121</v>
      </c>
      <c r="AJ204" t="s">
        <v>715</v>
      </c>
      <c r="AK204" t="s">
        <v>121</v>
      </c>
    </row>
    <row r="205" spans="9:37" x14ac:dyDescent="0.3">
      <c r="I205">
        <f ca="1">IF(OR(INDIRECT(A73&amp;ROW())=B93,INDIRECT(A73&amp;ROW())=B94),1,IF(AND(INDIRECT(A73&amp;ROW())=B95,INDIRECT(A96&amp;ROW())=C93),1,IF(AND(INDIRECT(A73&amp;ROW())=B95,INDIRECT(A96&amp;ROW())=C94),1,0)))</f>
        <v>0</v>
      </c>
      <c r="J205">
        <f ca="1">IF(AND(INDIRECT(A73&amp;ROW())=B95,INDIRECT(A96&amp;ROW())=C95),1,IF(AND(INDIRECT(A73&amp;ROW())=B95,INDIRECT(A96&amp;ROW())=C96),1,0))</f>
        <v>1</v>
      </c>
      <c r="K205">
        <f ca="1">DAYS360(INDIRECT(C68&amp;ROW()),TODAY())</f>
        <v>771</v>
      </c>
      <c r="L205">
        <f ca="1">DAYS360(INDIRECT(C69&amp;ROW()),TODAY())</f>
        <v>854</v>
      </c>
      <c r="M205">
        <f ca="1">HYPERLINK(CONCATENATE("https://bugzilla.houston.hp.com:1181/bugzilla/show_bug.cgi?id=",INDIRECT(C70&amp;ROW())),INDIRECT(C70&amp;ROW()))</f>
        <v>54986</v>
      </c>
      <c r="N205">
        <v>54986</v>
      </c>
      <c r="O205" t="s">
        <v>94</v>
      </c>
      <c r="P205" t="s">
        <v>519</v>
      </c>
      <c r="Q205" t="s">
        <v>25</v>
      </c>
      <c r="R205" t="s">
        <v>251</v>
      </c>
      <c r="S205" t="s">
        <v>94</v>
      </c>
      <c r="U205" s="6">
        <v>42074.558310185188</v>
      </c>
      <c r="V205" t="s">
        <v>35</v>
      </c>
      <c r="W205" t="s">
        <v>17</v>
      </c>
      <c r="X205" s="6">
        <v>41991.504074074073</v>
      </c>
      <c r="Y205" t="s">
        <v>118</v>
      </c>
      <c r="AB205" t="s">
        <v>201</v>
      </c>
      <c r="AC205" t="s">
        <v>247</v>
      </c>
      <c r="AD205" t="s">
        <v>227</v>
      </c>
      <c r="AE205" t="s">
        <v>226</v>
      </c>
      <c r="AG205" t="s">
        <v>121</v>
      </c>
      <c r="AH205" t="s">
        <v>327</v>
      </c>
      <c r="AI205" t="s">
        <v>121</v>
      </c>
      <c r="AJ205" t="s">
        <v>716</v>
      </c>
      <c r="AK205" t="s">
        <v>121</v>
      </c>
    </row>
    <row r="206" spans="9:37" x14ac:dyDescent="0.3">
      <c r="I206">
        <f ca="1">IF(OR(INDIRECT(A73&amp;ROW())=B93,INDIRECT(A73&amp;ROW())=B94),1,IF(AND(INDIRECT(A73&amp;ROW())=B95,INDIRECT(A96&amp;ROW())=C93),1,IF(AND(INDIRECT(A73&amp;ROW())=B95,INDIRECT(A96&amp;ROW())=C94),1,0)))</f>
        <v>0</v>
      </c>
      <c r="J206">
        <f ca="1">IF(AND(INDIRECT(A73&amp;ROW())=B95,INDIRECT(A96&amp;ROW())=C95),1,IF(AND(INDIRECT(A73&amp;ROW())=B95,INDIRECT(A96&amp;ROW())=C96),1,0))</f>
        <v>1</v>
      </c>
      <c r="K206">
        <f ca="1">DAYS360(INDIRECT(C68&amp;ROW()),TODAY())</f>
        <v>769</v>
      </c>
      <c r="L206">
        <f ca="1">DAYS360(INDIRECT(C69&amp;ROW()),TODAY())</f>
        <v>854</v>
      </c>
      <c r="M206">
        <f ca="1">HYPERLINK(CONCATENATE("https://bugzilla.houston.hp.com:1181/bugzilla/show_bug.cgi?id=",INDIRECT(C70&amp;ROW())),INDIRECT(C70&amp;ROW()))</f>
        <v>54988</v>
      </c>
      <c r="N206">
        <v>54988</v>
      </c>
      <c r="O206" t="s">
        <v>94</v>
      </c>
      <c r="P206" t="s">
        <v>518</v>
      </c>
      <c r="Q206" t="s">
        <v>25</v>
      </c>
      <c r="R206" t="s">
        <v>248</v>
      </c>
      <c r="S206" t="s">
        <v>44</v>
      </c>
      <c r="U206" s="6">
        <v>42076.528506944444</v>
      </c>
      <c r="V206" t="s">
        <v>18</v>
      </c>
      <c r="W206" t="s">
        <v>17</v>
      </c>
      <c r="X206" s="6">
        <v>41991.541261574072</v>
      </c>
      <c r="Y206" t="s">
        <v>118</v>
      </c>
      <c r="AB206" t="s">
        <v>201</v>
      </c>
      <c r="AC206" t="s">
        <v>247</v>
      </c>
      <c r="AD206" t="s">
        <v>227</v>
      </c>
      <c r="AE206" t="s">
        <v>226</v>
      </c>
      <c r="AG206" t="s">
        <v>121</v>
      </c>
      <c r="AH206" t="s">
        <v>327</v>
      </c>
      <c r="AI206" t="s">
        <v>121</v>
      </c>
      <c r="AJ206" t="s">
        <v>716</v>
      </c>
      <c r="AK206" t="s">
        <v>121</v>
      </c>
    </row>
    <row r="207" spans="9:37" x14ac:dyDescent="0.3">
      <c r="I207">
        <f ca="1">IF(OR(INDIRECT(A73&amp;ROW())=B93,INDIRECT(A73&amp;ROW())=B94),1,IF(AND(INDIRECT(A73&amp;ROW())=B95,INDIRECT(A96&amp;ROW())=C93),1,IF(AND(INDIRECT(A73&amp;ROW())=B95,INDIRECT(A96&amp;ROW())=C94),1,0)))</f>
        <v>0</v>
      </c>
      <c r="J207">
        <f ca="1">IF(AND(INDIRECT(A73&amp;ROW())=B95,INDIRECT(A96&amp;ROW())=C95),1,IF(AND(INDIRECT(A73&amp;ROW())=B95,INDIRECT(A96&amp;ROW())=C96),1,0))</f>
        <v>0</v>
      </c>
      <c r="K207">
        <f ca="1">DAYS360(INDIRECT(C68&amp;ROW()),TODAY())</f>
        <v>721</v>
      </c>
      <c r="L207">
        <f ca="1">DAYS360(INDIRECT(C69&amp;ROW()),TODAY())</f>
        <v>854</v>
      </c>
      <c r="M207">
        <f ca="1">HYPERLINK(CONCATENATE("https://bugzilla.houston.hp.com:1181/bugzilla/show_bug.cgi?id=",INDIRECT(C70&amp;ROW())),INDIRECT(C70&amp;ROW()))</f>
        <v>54992</v>
      </c>
      <c r="N207">
        <v>54992</v>
      </c>
      <c r="O207" t="s">
        <v>250</v>
      </c>
      <c r="P207" t="s">
        <v>517</v>
      </c>
      <c r="Q207" t="s">
        <v>16</v>
      </c>
      <c r="R207" t="s">
        <v>251</v>
      </c>
      <c r="S207" t="s">
        <v>24</v>
      </c>
      <c r="U207" s="6">
        <v>42125.674108796295</v>
      </c>
      <c r="V207" t="s">
        <v>18</v>
      </c>
      <c r="W207" t="s">
        <v>17</v>
      </c>
      <c r="X207" s="6">
        <v>41991.587407407409</v>
      </c>
      <c r="Y207" t="s">
        <v>255</v>
      </c>
      <c r="AB207" t="s">
        <v>200</v>
      </c>
      <c r="AC207" t="s">
        <v>247</v>
      </c>
      <c r="AD207" t="s">
        <v>222</v>
      </c>
      <c r="AE207" t="s">
        <v>221</v>
      </c>
      <c r="AG207" t="s">
        <v>121</v>
      </c>
      <c r="AH207" t="s">
        <v>327</v>
      </c>
      <c r="AI207" t="s">
        <v>121</v>
      </c>
      <c r="AJ207" t="s">
        <v>716</v>
      </c>
      <c r="AK207" t="s">
        <v>121</v>
      </c>
    </row>
    <row r="208" spans="9:37" x14ac:dyDescent="0.3">
      <c r="I208">
        <f ca="1">IF(OR(INDIRECT(A73&amp;ROW())=B93,INDIRECT(A73&amp;ROW())=B94),1,IF(AND(INDIRECT(A73&amp;ROW())=B95,INDIRECT(A96&amp;ROW())=C93),1,IF(AND(INDIRECT(A73&amp;ROW())=B95,INDIRECT(A96&amp;ROW())=C94),1,0)))</f>
        <v>1</v>
      </c>
      <c r="J208">
        <f ca="1">IF(AND(INDIRECT(A73&amp;ROW())=B95,INDIRECT(A96&amp;ROW())=C95),1,IF(AND(INDIRECT(A73&amp;ROW())=B95,INDIRECT(A96&amp;ROW())=C96),1,0))</f>
        <v>0</v>
      </c>
      <c r="K208">
        <f ca="1">DAYS360(INDIRECT(C68&amp;ROW()),TODAY())</f>
        <v>701</v>
      </c>
      <c r="L208">
        <f ca="1">DAYS360(INDIRECT(C69&amp;ROW()),TODAY())</f>
        <v>853</v>
      </c>
      <c r="M208">
        <f ca="1">HYPERLINK(CONCATENATE("https://bugzilla.houston.hp.com:1181/bugzilla/show_bug.cgi?id=",INDIRECT(C70&amp;ROW())),INDIRECT(C70&amp;ROW()))</f>
        <v>55017</v>
      </c>
      <c r="N208">
        <v>55017</v>
      </c>
      <c r="O208" t="s">
        <v>55</v>
      </c>
      <c r="P208" t="s">
        <v>539</v>
      </c>
      <c r="Q208" t="s">
        <v>25</v>
      </c>
      <c r="R208" t="s">
        <v>251</v>
      </c>
      <c r="S208" t="s">
        <v>516</v>
      </c>
      <c r="U208" s="6">
        <v>42145.412430555552</v>
      </c>
      <c r="V208" t="s">
        <v>40</v>
      </c>
      <c r="W208" t="s">
        <v>17</v>
      </c>
      <c r="X208" s="6">
        <v>41992.048368055555</v>
      </c>
      <c r="Y208" t="s">
        <v>342</v>
      </c>
      <c r="Z208" t="s">
        <v>810</v>
      </c>
      <c r="AB208" t="s">
        <v>200</v>
      </c>
      <c r="AC208" t="s">
        <v>247</v>
      </c>
      <c r="AD208" t="s">
        <v>220</v>
      </c>
      <c r="AE208" t="s">
        <v>219</v>
      </c>
      <c r="AG208" t="s">
        <v>121</v>
      </c>
      <c r="AH208" t="s">
        <v>327</v>
      </c>
      <c r="AI208" t="s">
        <v>121</v>
      </c>
      <c r="AJ208" t="s">
        <v>715</v>
      </c>
      <c r="AK208" t="s">
        <v>121</v>
      </c>
    </row>
    <row r="209" spans="1:37" x14ac:dyDescent="0.3">
      <c r="I209">
        <f ca="1">IF(OR(INDIRECT(A73&amp;ROW())=B93,INDIRECT(A73&amp;ROW())=B94),1,IF(AND(INDIRECT(A73&amp;ROW())=B95,INDIRECT(A96&amp;ROW())=C93),1,IF(AND(INDIRECT(A73&amp;ROW())=B95,INDIRECT(A96&amp;ROW())=C94),1,0)))</f>
        <v>1</v>
      </c>
      <c r="J209">
        <f ca="1">IF(AND(INDIRECT(A73&amp;ROW())=B95,INDIRECT(A96&amp;ROW())=C95),1,IF(AND(INDIRECT(A73&amp;ROW())=B95,INDIRECT(A96&amp;ROW())=C96),1,0))</f>
        <v>0</v>
      </c>
      <c r="K209">
        <f ca="1">DAYS360(INDIRECT(C68&amp;ROW()),TODAY())</f>
        <v>769</v>
      </c>
      <c r="L209">
        <f ca="1">DAYS360(INDIRECT(C69&amp;ROW()),TODAY())</f>
        <v>853</v>
      </c>
      <c r="M209">
        <f ca="1">HYPERLINK(CONCATENATE("https://bugzilla.houston.hp.com:1181/bugzilla/show_bug.cgi?id=",INDIRECT(C70&amp;ROW())),INDIRECT(C70&amp;ROW()))</f>
        <v>55057</v>
      </c>
      <c r="N209">
        <v>55057</v>
      </c>
      <c r="O209" t="s">
        <v>94</v>
      </c>
      <c r="P209" t="s">
        <v>515</v>
      </c>
      <c r="Q209" t="s">
        <v>25</v>
      </c>
      <c r="R209" t="s">
        <v>248</v>
      </c>
      <c r="S209" t="s">
        <v>36</v>
      </c>
      <c r="U209" s="6">
        <v>42076.539953703701</v>
      </c>
      <c r="V209" t="s">
        <v>18</v>
      </c>
      <c r="W209" t="s">
        <v>248</v>
      </c>
      <c r="X209" s="6">
        <v>41992.583391203705</v>
      </c>
      <c r="Y209" t="s">
        <v>119</v>
      </c>
      <c r="AB209" t="s">
        <v>200</v>
      </c>
      <c r="AC209" t="s">
        <v>247</v>
      </c>
      <c r="AD209" t="s">
        <v>227</v>
      </c>
      <c r="AE209" t="s">
        <v>226</v>
      </c>
      <c r="AG209" t="s">
        <v>121</v>
      </c>
      <c r="AH209" t="s">
        <v>327</v>
      </c>
      <c r="AI209" t="s">
        <v>121</v>
      </c>
      <c r="AJ209" t="s">
        <v>715</v>
      </c>
      <c r="AK209" t="s">
        <v>121</v>
      </c>
    </row>
    <row r="210" spans="1:37" x14ac:dyDescent="0.3">
      <c r="I210">
        <f ca="1">IF(OR(INDIRECT(A73&amp;ROW())=B93,INDIRECT(A73&amp;ROW())=B94),1,IF(AND(INDIRECT(A73&amp;ROW())=B95,INDIRECT(A96&amp;ROW())=C93),1,IF(AND(INDIRECT(A73&amp;ROW())=B95,INDIRECT(A96&amp;ROW())=C94),1,0)))</f>
        <v>0</v>
      </c>
      <c r="J210">
        <f ca="1">IF(AND(INDIRECT(A73&amp;ROW())=B95,INDIRECT(A96&amp;ROW())=C95),1,IF(AND(INDIRECT(A73&amp;ROW())=B95,INDIRECT(A96&amp;ROW())=C96),1,0))</f>
        <v>1</v>
      </c>
      <c r="K210">
        <f ca="1">DAYS360(INDIRECT(C68&amp;ROW()),TODAY())</f>
        <v>730</v>
      </c>
      <c r="L210">
        <f ca="1">DAYS360(INDIRECT(C69&amp;ROW()),TODAY())</f>
        <v>850</v>
      </c>
      <c r="M210">
        <f ca="1">HYPERLINK(CONCATENATE("https://bugzilla.houston.hp.com:1181/bugzilla/show_bug.cgi?id=",INDIRECT(C70&amp;ROW())),INDIRECT(C70&amp;ROW()))</f>
        <v>55094</v>
      </c>
      <c r="N210">
        <v>55094</v>
      </c>
      <c r="O210" t="s">
        <v>545</v>
      </c>
      <c r="P210" t="s">
        <v>530</v>
      </c>
      <c r="Q210" t="s">
        <v>25</v>
      </c>
      <c r="R210" t="s">
        <v>251</v>
      </c>
      <c r="S210" t="s">
        <v>316</v>
      </c>
      <c r="U210" s="6">
        <v>42116.73296296296</v>
      </c>
      <c r="V210" t="s">
        <v>40</v>
      </c>
      <c r="W210" t="s">
        <v>17</v>
      </c>
      <c r="X210" s="6">
        <v>41995.420844907407</v>
      </c>
      <c r="Y210" t="s">
        <v>255</v>
      </c>
      <c r="AB210" t="s">
        <v>201</v>
      </c>
      <c r="AC210" t="s">
        <v>247</v>
      </c>
      <c r="AD210" t="s">
        <v>222</v>
      </c>
      <c r="AE210" t="s">
        <v>221</v>
      </c>
      <c r="AG210" t="s">
        <v>121</v>
      </c>
      <c r="AH210" t="s">
        <v>327</v>
      </c>
      <c r="AI210" t="s">
        <v>121</v>
      </c>
      <c r="AJ210" t="s">
        <v>716</v>
      </c>
      <c r="AK210" t="s">
        <v>121</v>
      </c>
    </row>
    <row r="211" spans="1:37" x14ac:dyDescent="0.3">
      <c r="I211">
        <f ca="1">IF(OR(INDIRECT(A73&amp;ROW())=B93,INDIRECT(A73&amp;ROW())=B94),1,IF(AND(INDIRECT(A73&amp;ROW())=B95,INDIRECT(A96&amp;ROW())=C93),1,IF(AND(INDIRECT(A73&amp;ROW())=B95,INDIRECT(A96&amp;ROW())=C94),1,0)))</f>
        <v>0</v>
      </c>
      <c r="J211">
        <f ca="1">IF(AND(INDIRECT(A73&amp;ROW())=B95,INDIRECT(A96&amp;ROW())=C95),1,IF(AND(INDIRECT(A73&amp;ROW())=B95,INDIRECT(A96&amp;ROW())=C96),1,0))</f>
        <v>0</v>
      </c>
      <c r="K211">
        <f ca="1">DAYS360(INDIRECT(C68&amp;ROW()),TODAY())</f>
        <v>721</v>
      </c>
      <c r="L211">
        <f ca="1">DAYS360(INDIRECT(C69&amp;ROW()),TODAY())</f>
        <v>849</v>
      </c>
      <c r="M211">
        <f ca="1">HYPERLINK(CONCATENATE("https://bugzilla.houston.hp.com:1181/bugzilla/show_bug.cgi?id=",INDIRECT(C70&amp;ROW())),INDIRECT(C70&amp;ROW()))</f>
        <v>55128</v>
      </c>
      <c r="N211">
        <v>55128</v>
      </c>
      <c r="O211" t="s">
        <v>45</v>
      </c>
      <c r="P211" t="s">
        <v>529</v>
      </c>
      <c r="Q211" t="s">
        <v>16</v>
      </c>
      <c r="R211" t="s">
        <v>251</v>
      </c>
      <c r="S211" t="s">
        <v>45</v>
      </c>
      <c r="U211" s="6">
        <v>42125.44976851852</v>
      </c>
      <c r="V211" t="s">
        <v>18</v>
      </c>
      <c r="W211" t="s">
        <v>17</v>
      </c>
      <c r="X211" s="6">
        <v>41996.529907407406</v>
      </c>
      <c r="Y211" t="s">
        <v>122</v>
      </c>
      <c r="AB211" t="s">
        <v>200</v>
      </c>
      <c r="AC211" t="s">
        <v>247</v>
      </c>
      <c r="AD211" t="s">
        <v>227</v>
      </c>
      <c r="AE211" t="s">
        <v>226</v>
      </c>
      <c r="AG211" t="s">
        <v>121</v>
      </c>
      <c r="AH211" t="s">
        <v>327</v>
      </c>
      <c r="AI211" t="s">
        <v>121</v>
      </c>
      <c r="AJ211" t="s">
        <v>717</v>
      </c>
      <c r="AK211" t="s">
        <v>121</v>
      </c>
    </row>
    <row r="212" spans="1:37" x14ac:dyDescent="0.3">
      <c r="I212">
        <f ca="1">IF(OR(INDIRECT(A73&amp;ROW())=B93,INDIRECT(A73&amp;ROW())=B94),1,IF(AND(INDIRECT(A73&amp;ROW())=B95,INDIRECT(A96&amp;ROW())=C93),1,IF(AND(INDIRECT(A73&amp;ROW())=B95,INDIRECT(A96&amp;ROW())=C94),1,0)))</f>
        <v>0</v>
      </c>
      <c r="J212">
        <f ca="1">IF(AND(INDIRECT(A73&amp;ROW())=B95,INDIRECT(A96&amp;ROW())=C95),1,IF(AND(INDIRECT(A73&amp;ROW())=B95,INDIRECT(A96&amp;ROW())=C96),1,0))</f>
        <v>0</v>
      </c>
      <c r="K212">
        <f ca="1">DAYS360(INDIRECT(C68&amp;ROW()),TODAY())</f>
        <v>721</v>
      </c>
      <c r="L212">
        <f ca="1">DAYS360(INDIRECT(C69&amp;ROW()),TODAY())</f>
        <v>849</v>
      </c>
      <c r="M212">
        <f ca="1">HYPERLINK(CONCATENATE("https://bugzilla.houston.hp.com:1181/bugzilla/show_bug.cgi?id=",INDIRECT(C70&amp;ROW())),INDIRECT(C70&amp;ROW()))</f>
        <v>55129</v>
      </c>
      <c r="N212">
        <v>55129</v>
      </c>
      <c r="O212" t="s">
        <v>326</v>
      </c>
      <c r="P212" t="s">
        <v>534</v>
      </c>
      <c r="Q212" t="s">
        <v>16</v>
      </c>
      <c r="R212" t="s">
        <v>17</v>
      </c>
      <c r="S212" t="s">
        <v>45</v>
      </c>
      <c r="U212" s="6">
        <v>42125.449791666666</v>
      </c>
      <c r="V212" t="s">
        <v>18</v>
      </c>
      <c r="W212" t="s">
        <v>17</v>
      </c>
      <c r="X212" s="6">
        <v>41996.532210648147</v>
      </c>
      <c r="Y212" t="s">
        <v>122</v>
      </c>
      <c r="AB212" t="s">
        <v>200</v>
      </c>
      <c r="AC212" t="s">
        <v>247</v>
      </c>
      <c r="AD212" t="s">
        <v>227</v>
      </c>
      <c r="AE212" t="s">
        <v>230</v>
      </c>
      <c r="AG212" t="s">
        <v>121</v>
      </c>
      <c r="AH212" t="s">
        <v>327</v>
      </c>
      <c r="AI212" t="s">
        <v>362</v>
      </c>
      <c r="AJ212" t="s">
        <v>717</v>
      </c>
      <c r="AK212" t="s">
        <v>121</v>
      </c>
    </row>
    <row r="213" spans="1:37" x14ac:dyDescent="0.3">
      <c r="I213">
        <f ca="1">IF(OR(INDIRECT(A73&amp;ROW())=B93,INDIRECT(A73&amp;ROW())=B94),1,IF(AND(INDIRECT(A73&amp;ROW())=B95,INDIRECT(A96&amp;ROW())=C93),1,IF(AND(INDIRECT(A73&amp;ROW())=B95,INDIRECT(A96&amp;ROW())=C94),1,0)))</f>
        <v>0</v>
      </c>
      <c r="J213">
        <f ca="1">IF(AND(INDIRECT(A73&amp;ROW())=B95,INDIRECT(A96&amp;ROW())=C95),1,IF(AND(INDIRECT(A73&amp;ROW())=B95,INDIRECT(A96&amp;ROW())=C96),1,0))</f>
        <v>0</v>
      </c>
      <c r="K213">
        <f ca="1">DAYS360(INDIRECT(C68&amp;ROW()),TODAY())</f>
        <v>721</v>
      </c>
      <c r="L213">
        <f ca="1">DAYS360(INDIRECT(C69&amp;ROW()),TODAY())</f>
        <v>849</v>
      </c>
      <c r="M213">
        <f ca="1">HYPERLINK(CONCATENATE("https://bugzilla.houston.hp.com:1181/bugzilla/show_bug.cgi?id=",INDIRECT(C70&amp;ROW())),INDIRECT(C70&amp;ROW()))</f>
        <v>55130</v>
      </c>
      <c r="N213">
        <v>55130</v>
      </c>
      <c r="O213" t="s">
        <v>45</v>
      </c>
      <c r="P213" t="s">
        <v>533</v>
      </c>
      <c r="Q213" t="s">
        <v>16</v>
      </c>
      <c r="R213" t="s">
        <v>248</v>
      </c>
      <c r="S213" t="s">
        <v>45</v>
      </c>
      <c r="U213" s="6">
        <v>42125.449606481481</v>
      </c>
      <c r="V213" t="s">
        <v>18</v>
      </c>
      <c r="W213" t="s">
        <v>17</v>
      </c>
      <c r="X213" s="6">
        <v>41996.533703703702</v>
      </c>
      <c r="Y213" t="s">
        <v>122</v>
      </c>
      <c r="AB213" t="s">
        <v>200</v>
      </c>
      <c r="AC213" t="s">
        <v>247</v>
      </c>
      <c r="AD213" t="s">
        <v>227</v>
      </c>
      <c r="AE213" t="s">
        <v>226</v>
      </c>
      <c r="AG213" t="s">
        <v>121</v>
      </c>
      <c r="AH213" t="s">
        <v>327</v>
      </c>
      <c r="AI213" t="s">
        <v>121</v>
      </c>
      <c r="AJ213" t="s">
        <v>717</v>
      </c>
      <c r="AK213" t="s">
        <v>121</v>
      </c>
    </row>
    <row r="214" spans="1:37" x14ac:dyDescent="0.3">
      <c r="I214">
        <f ca="1">IF(OR(INDIRECT(A73&amp;ROW())=B93,INDIRECT(A73&amp;ROW())=B94),1,IF(AND(INDIRECT(A73&amp;ROW())=B95,INDIRECT(A96&amp;ROW())=C93),1,IF(AND(INDIRECT(A73&amp;ROW())=B95,INDIRECT(A96&amp;ROW())=C94),1,0)))</f>
        <v>0</v>
      </c>
      <c r="J214">
        <f ca="1">IF(AND(INDIRECT(A73&amp;ROW())=B95,INDIRECT(A96&amp;ROW())=C95),1,IF(AND(INDIRECT(A73&amp;ROW())=B95,INDIRECT(A96&amp;ROW())=C96),1,0))</f>
        <v>0</v>
      </c>
      <c r="K214">
        <f ca="1">DAYS360(INDIRECT(C68&amp;ROW()),TODAY())</f>
        <v>729</v>
      </c>
      <c r="L214">
        <f ca="1">DAYS360(INDIRECT(C69&amp;ROW()),TODAY())</f>
        <v>848</v>
      </c>
      <c r="M214">
        <f ca="1">HYPERLINK(CONCATENATE("https://bugzilla.houston.hp.com:1181/bugzilla/show_bug.cgi?id=",INDIRECT(C70&amp;ROW())),INDIRECT(C70&amp;ROW()))</f>
        <v>55135</v>
      </c>
      <c r="N214">
        <v>55135</v>
      </c>
      <c r="O214" t="s">
        <v>53</v>
      </c>
      <c r="P214" t="s">
        <v>532</v>
      </c>
      <c r="Q214" t="s">
        <v>16</v>
      </c>
      <c r="R214" t="s">
        <v>251</v>
      </c>
      <c r="S214" t="s">
        <v>528</v>
      </c>
      <c r="U214" s="6">
        <v>42117.404918981483</v>
      </c>
      <c r="V214" t="s">
        <v>35</v>
      </c>
      <c r="W214" t="s">
        <v>17</v>
      </c>
      <c r="X214" s="6">
        <v>41997.038680555554</v>
      </c>
      <c r="Y214" t="s">
        <v>123</v>
      </c>
      <c r="AB214" t="s">
        <v>200</v>
      </c>
      <c r="AC214" t="s">
        <v>247</v>
      </c>
      <c r="AD214" t="s">
        <v>220</v>
      </c>
      <c r="AE214" t="s">
        <v>219</v>
      </c>
      <c r="AG214" t="s">
        <v>121</v>
      </c>
      <c r="AH214" t="s">
        <v>327</v>
      </c>
      <c r="AI214" t="s">
        <v>121</v>
      </c>
      <c r="AJ214" t="s">
        <v>716</v>
      </c>
      <c r="AK214" t="s">
        <v>121</v>
      </c>
    </row>
    <row r="215" spans="1:37" x14ac:dyDescent="0.3">
      <c r="I215">
        <f ca="1">IF(OR(INDIRECT(A73&amp;ROW())=B93,INDIRECT(A73&amp;ROW())=B94),1,IF(AND(INDIRECT(A73&amp;ROW())=B95,INDIRECT(A96&amp;ROW())=C93),1,IF(AND(INDIRECT(A73&amp;ROW())=B95,INDIRECT(A96&amp;ROW())=C94),1,0)))</f>
        <v>0</v>
      </c>
      <c r="J215">
        <f ca="1">IF(AND(INDIRECT(A73&amp;ROW())=B95,INDIRECT(A96&amp;ROW())=C95),1,IF(AND(INDIRECT(A73&amp;ROW())=B95,INDIRECT(A96&amp;ROW())=C96),1,0))</f>
        <v>1</v>
      </c>
      <c r="K215">
        <f ca="1">DAYS360(INDIRECT(C68&amp;ROW()),TODAY())</f>
        <v>733</v>
      </c>
      <c r="L215">
        <f ca="1">DAYS360(INDIRECT(C69&amp;ROW()),TODAY())</f>
        <v>845</v>
      </c>
      <c r="M215">
        <f ca="1">HYPERLINK(CONCATENATE("https://bugzilla.houston.hp.com:1181/bugzilla/show_bug.cgi?id=",INDIRECT(C70&amp;ROW())),INDIRECT(C70&amp;ROW()))</f>
        <v>55139</v>
      </c>
      <c r="N215">
        <v>55139</v>
      </c>
      <c r="O215" t="s">
        <v>36</v>
      </c>
      <c r="P215" t="s">
        <v>527</v>
      </c>
      <c r="Q215" t="s">
        <v>25</v>
      </c>
      <c r="R215" t="s">
        <v>248</v>
      </c>
      <c r="S215" t="s">
        <v>526</v>
      </c>
      <c r="U215" s="6">
        <v>42113.614374999997</v>
      </c>
      <c r="V215" t="s">
        <v>18</v>
      </c>
      <c r="W215" t="s">
        <v>525</v>
      </c>
      <c r="X215" s="6">
        <v>42000.001817129632</v>
      </c>
      <c r="Y215" t="s">
        <v>255</v>
      </c>
      <c r="AB215" t="s">
        <v>201</v>
      </c>
      <c r="AC215" t="s">
        <v>247</v>
      </c>
      <c r="AD215" t="s">
        <v>222</v>
      </c>
      <c r="AE215" t="s">
        <v>221</v>
      </c>
      <c r="AG215" t="s">
        <v>121</v>
      </c>
      <c r="AH215" t="s">
        <v>327</v>
      </c>
      <c r="AI215" t="s">
        <v>121</v>
      </c>
      <c r="AJ215" t="s">
        <v>715</v>
      </c>
      <c r="AK215" t="s">
        <v>121</v>
      </c>
    </row>
    <row r="216" spans="1:37" x14ac:dyDescent="0.3">
      <c r="I216">
        <f ca="1">IF(OR(INDIRECT(A73&amp;ROW())=B93,INDIRECT(A73&amp;ROW())=B94),1,IF(AND(INDIRECT(A73&amp;ROW())=B95,INDIRECT(A96&amp;ROW())=C93),1,IF(AND(INDIRECT(A73&amp;ROW())=B95,INDIRECT(A96&amp;ROW())=C94),1,0)))</f>
        <v>0</v>
      </c>
      <c r="J216">
        <f ca="1">IF(AND(INDIRECT(A73&amp;ROW())=B95,INDIRECT(A96&amp;ROW())=C95),1,IF(AND(INDIRECT(A73&amp;ROW())=B95,INDIRECT(A96&amp;ROW())=C96),1,0))</f>
        <v>1</v>
      </c>
      <c r="K216">
        <f ca="1">DAYS360(INDIRECT(C68&amp;ROW()),TODAY())</f>
        <v>730</v>
      </c>
      <c r="L216">
        <f ca="1">DAYS360(INDIRECT(C69&amp;ROW()),TODAY())</f>
        <v>839</v>
      </c>
      <c r="M216">
        <f ca="1">HYPERLINK(CONCATENATE("https://bugzilla.houston.hp.com:1181/bugzilla/show_bug.cgi?id=",INDIRECT(C70&amp;ROW())),INDIRECT(C70&amp;ROW()))</f>
        <v>55159</v>
      </c>
      <c r="N216">
        <v>55159</v>
      </c>
      <c r="O216" t="s">
        <v>56</v>
      </c>
      <c r="P216" t="s">
        <v>739</v>
      </c>
      <c r="Q216" t="s">
        <v>25</v>
      </c>
      <c r="R216" t="s">
        <v>251</v>
      </c>
      <c r="S216" t="s">
        <v>587</v>
      </c>
      <c r="U216" s="6">
        <v>42116.733067129629</v>
      </c>
      <c r="V216" t="s">
        <v>18</v>
      </c>
      <c r="W216" t="s">
        <v>17</v>
      </c>
      <c r="X216" s="6">
        <v>42007.195254629631</v>
      </c>
      <c r="Y216" t="s">
        <v>255</v>
      </c>
      <c r="AB216" t="s">
        <v>201</v>
      </c>
      <c r="AC216" t="s">
        <v>247</v>
      </c>
      <c r="AD216" t="s">
        <v>220</v>
      </c>
      <c r="AE216" t="s">
        <v>219</v>
      </c>
      <c r="AG216" t="s">
        <v>121</v>
      </c>
      <c r="AH216" t="s">
        <v>327</v>
      </c>
      <c r="AI216" t="s">
        <v>121</v>
      </c>
      <c r="AJ216" t="s">
        <v>716</v>
      </c>
      <c r="AK216" t="s">
        <v>121</v>
      </c>
    </row>
    <row r="217" spans="1:37" x14ac:dyDescent="0.3">
      <c r="I217">
        <f ca="1">IF(OR(INDIRECT(A73&amp;ROW())=B93,INDIRECT(A73&amp;ROW())=B94),1,IF(AND(INDIRECT(A73&amp;ROW())=B95,INDIRECT(A96&amp;ROW())=C93),1,IF(AND(INDIRECT(A73&amp;ROW())=B95,INDIRECT(A96&amp;ROW())=C94),1,0)))</f>
        <v>0</v>
      </c>
      <c r="J217">
        <f ca="1">IF(AND(INDIRECT(A73&amp;ROW())=B95,INDIRECT(A96&amp;ROW())=C95),1,IF(AND(INDIRECT(A73&amp;ROW())=B95,INDIRECT(A96&amp;ROW())=C96),1,0))</f>
        <v>0</v>
      </c>
      <c r="K217">
        <f ca="1">DAYS360(INDIRECT(C68&amp;ROW()),TODAY())</f>
        <v>729</v>
      </c>
      <c r="L217">
        <f ca="1">DAYS360(INDIRECT(C69&amp;ROW()),TODAY())</f>
        <v>837</v>
      </c>
      <c r="M217">
        <f ca="1">HYPERLINK(CONCATENATE("https://bugzilla.houston.hp.com:1181/bugzilla/show_bug.cgi?id=",INDIRECT(C70&amp;ROW())),INDIRECT(C70&amp;ROW()))</f>
        <v>55198</v>
      </c>
      <c r="N217">
        <v>55198</v>
      </c>
      <c r="O217" t="s">
        <v>550</v>
      </c>
      <c r="P217" t="s">
        <v>538</v>
      </c>
      <c r="Q217" t="s">
        <v>16</v>
      </c>
      <c r="R217" t="s">
        <v>251</v>
      </c>
      <c r="S217" t="s">
        <v>345</v>
      </c>
      <c r="U217" s="6">
        <v>42117.405011574076</v>
      </c>
      <c r="V217" t="s">
        <v>35</v>
      </c>
      <c r="W217" t="s">
        <v>17</v>
      </c>
      <c r="X217" s="6">
        <v>42009.658854166664</v>
      </c>
      <c r="Y217" t="s">
        <v>246</v>
      </c>
      <c r="AB217" t="s">
        <v>200</v>
      </c>
      <c r="AC217" t="s">
        <v>247</v>
      </c>
      <c r="AD217" t="s">
        <v>222</v>
      </c>
      <c r="AE217" t="s">
        <v>221</v>
      </c>
      <c r="AG217" t="s">
        <v>121</v>
      </c>
      <c r="AH217" t="s">
        <v>327</v>
      </c>
      <c r="AI217" t="s">
        <v>121</v>
      </c>
      <c r="AJ217" t="s">
        <v>716</v>
      </c>
      <c r="AK217" t="s">
        <v>121</v>
      </c>
    </row>
    <row r="218" spans="1:37" x14ac:dyDescent="0.3">
      <c r="I218">
        <f ca="1">IF(OR(INDIRECT(A73&amp;ROW())=B93,INDIRECT(A73&amp;ROW())=B94),1,IF(AND(INDIRECT(A73&amp;ROW())=B95,INDIRECT(A96&amp;ROW())=C93),1,IF(AND(INDIRECT(A73&amp;ROW())=B95,INDIRECT(A96&amp;ROW())=C94),1,0)))</f>
        <v>0</v>
      </c>
      <c r="J218">
        <f ca="1">IF(AND(INDIRECT(A73&amp;ROW())=B95,INDIRECT(A96&amp;ROW())=C95),1,IF(AND(INDIRECT(A73&amp;ROW())=B95,INDIRECT(A96&amp;ROW())=C96),1,0))</f>
        <v>0</v>
      </c>
      <c r="K218">
        <f ca="1">DAYS360(INDIRECT(C68&amp;ROW()),TODAY())</f>
        <v>814</v>
      </c>
      <c r="L218">
        <f ca="1">DAYS360(INDIRECT(C69&amp;ROW()),TODAY())</f>
        <v>836</v>
      </c>
      <c r="M218">
        <f ca="1">HYPERLINK(CONCATENATE("https://bugzilla.houston.hp.com:1181/bugzilla/show_bug.cgi?id=",INDIRECT(C70&amp;ROW())),INDIRECT(C70&amp;ROW()))</f>
        <v>55222</v>
      </c>
      <c r="N218">
        <v>55222</v>
      </c>
      <c r="O218" t="s">
        <v>36</v>
      </c>
      <c r="P218" t="s">
        <v>586</v>
      </c>
      <c r="Q218" t="s">
        <v>16</v>
      </c>
      <c r="R218" t="s">
        <v>248</v>
      </c>
      <c r="S218" t="s">
        <v>44</v>
      </c>
      <c r="U218" s="6">
        <v>42032.473969907405</v>
      </c>
      <c r="V218" t="s">
        <v>18</v>
      </c>
      <c r="W218" t="s">
        <v>525</v>
      </c>
      <c r="X218" s="6">
        <v>42010.32135416667</v>
      </c>
      <c r="Y218" t="s">
        <v>246</v>
      </c>
      <c r="AB218" t="s">
        <v>200</v>
      </c>
      <c r="AC218" t="s">
        <v>247</v>
      </c>
      <c r="AD218" t="s">
        <v>220</v>
      </c>
      <c r="AE218" t="s">
        <v>243</v>
      </c>
      <c r="AG218" t="s">
        <v>121</v>
      </c>
      <c r="AH218" t="s">
        <v>327</v>
      </c>
      <c r="AI218" t="s">
        <v>121</v>
      </c>
      <c r="AJ218" t="s">
        <v>716</v>
      </c>
      <c r="AK218" t="s">
        <v>121</v>
      </c>
    </row>
    <row r="219" spans="1:37" x14ac:dyDescent="0.3">
      <c r="I219">
        <f ca="1">IF(OR(INDIRECT(A73&amp;ROW())=B93,INDIRECT(A73&amp;ROW())=B94),1,IF(AND(INDIRECT(A73&amp;ROW())=B95,INDIRECT(A96&amp;ROW())=C93),1,IF(AND(INDIRECT(A73&amp;ROW())=B95,INDIRECT(A96&amp;ROW())=C94),1,0)))</f>
        <v>0</v>
      </c>
      <c r="J219">
        <f ca="1">IF(AND(INDIRECT(A73&amp;ROW())=B95,INDIRECT(A96&amp;ROW())=C95),1,IF(AND(INDIRECT(A73&amp;ROW())=B95,INDIRECT(A96&amp;ROW())=C96),1,0))</f>
        <v>0</v>
      </c>
      <c r="K219">
        <f ca="1">DAYS360(INDIRECT(C68&amp;ROW()),TODAY())</f>
        <v>729</v>
      </c>
      <c r="L219">
        <f ca="1">DAYS360(INDIRECT(C69&amp;ROW()),TODAY())</f>
        <v>836</v>
      </c>
      <c r="M219">
        <f ca="1">HYPERLINK(CONCATENATE("https://bugzilla.houston.hp.com:1181/bugzilla/show_bug.cgi?id=",INDIRECT(C70&amp;ROW())),INDIRECT(C70&amp;ROW()))</f>
        <v>55269</v>
      </c>
      <c r="N219">
        <v>55269</v>
      </c>
      <c r="O219" t="s">
        <v>55</v>
      </c>
      <c r="P219" t="s">
        <v>537</v>
      </c>
      <c r="Q219" t="s">
        <v>16</v>
      </c>
      <c r="R219" t="s">
        <v>251</v>
      </c>
      <c r="S219" t="s">
        <v>49</v>
      </c>
      <c r="U219" s="6">
        <v>42117.405115740738</v>
      </c>
      <c r="V219" t="s">
        <v>18</v>
      </c>
      <c r="W219" t="s">
        <v>17</v>
      </c>
      <c r="X219" s="6">
        <v>42010.692233796297</v>
      </c>
      <c r="Y219" t="s">
        <v>245</v>
      </c>
      <c r="AB219" t="s">
        <v>200</v>
      </c>
      <c r="AC219" t="s">
        <v>247</v>
      </c>
      <c r="AD219" t="s">
        <v>222</v>
      </c>
      <c r="AE219" t="s">
        <v>225</v>
      </c>
      <c r="AG219" t="s">
        <v>121</v>
      </c>
      <c r="AH219" t="s">
        <v>327</v>
      </c>
      <c r="AI219" t="s">
        <v>121</v>
      </c>
      <c r="AJ219" t="s">
        <v>717</v>
      </c>
      <c r="AK219" t="s">
        <v>121</v>
      </c>
    </row>
    <row r="220" spans="1:37" x14ac:dyDescent="0.3">
      <c r="A220" s="11"/>
      <c r="I220">
        <f ca="1">IF(OR(INDIRECT(A73&amp;ROW())=B93,INDIRECT(A73&amp;ROW())=B94),1,IF(AND(INDIRECT(A73&amp;ROW())=B95,INDIRECT(A96&amp;ROW())=C93),1,IF(AND(INDIRECT(A73&amp;ROW())=B95,INDIRECT(A96&amp;ROW())=C94),1,0)))</f>
        <v>0</v>
      </c>
      <c r="J220">
        <f ca="1">IF(AND(INDIRECT(A73&amp;ROW())=B95,INDIRECT(A96&amp;ROW())=C95),1,IF(AND(INDIRECT(A73&amp;ROW())=B95,INDIRECT(A96&amp;ROW())=C96),1,0))</f>
        <v>0</v>
      </c>
      <c r="K220">
        <f ca="1">DAYS360(INDIRECT(C68&amp;ROW()),TODAY())</f>
        <v>835</v>
      </c>
      <c r="L220">
        <f ca="1">DAYS360(INDIRECT(C69&amp;ROW()),TODAY())</f>
        <v>835</v>
      </c>
      <c r="M220">
        <f ca="1">HYPERLINK(CONCATENATE("https://bugzilla.houston.hp.com:1181/bugzilla/show_bug.cgi?id=",INDIRECT(C70&amp;ROW())),INDIRECT(C70&amp;ROW()))</f>
        <v>55302</v>
      </c>
      <c r="N220">
        <v>55302</v>
      </c>
      <c r="O220" t="s">
        <v>31</v>
      </c>
      <c r="P220" t="s">
        <v>536</v>
      </c>
      <c r="Q220" t="s">
        <v>16</v>
      </c>
      <c r="R220" t="s">
        <v>248</v>
      </c>
      <c r="S220" t="s">
        <v>36</v>
      </c>
      <c r="U220" s="6">
        <v>42011.331990740742</v>
      </c>
      <c r="V220" t="s">
        <v>18</v>
      </c>
      <c r="W220" t="s">
        <v>32</v>
      </c>
      <c r="X220" s="6">
        <v>42011.331990740742</v>
      </c>
      <c r="Y220" t="s">
        <v>119</v>
      </c>
      <c r="AB220" t="s">
        <v>200</v>
      </c>
      <c r="AC220" t="s">
        <v>121</v>
      </c>
      <c r="AD220" t="s">
        <v>220</v>
      </c>
      <c r="AE220" t="s">
        <v>219</v>
      </c>
      <c r="AG220" t="s">
        <v>121</v>
      </c>
      <c r="AH220" t="s">
        <v>327</v>
      </c>
      <c r="AI220" t="s">
        <v>121</v>
      </c>
      <c r="AJ220" t="s">
        <v>716</v>
      </c>
      <c r="AK220" t="s">
        <v>121</v>
      </c>
    </row>
    <row r="221" spans="1:37" x14ac:dyDescent="0.3">
      <c r="I221">
        <f ca="1">IF(OR(INDIRECT(A73&amp;ROW())=B93,INDIRECT(A73&amp;ROW())=B94),1,IF(AND(INDIRECT(A73&amp;ROW())=B95,INDIRECT(A96&amp;ROW())=C93),1,IF(AND(INDIRECT(A73&amp;ROW())=B95,INDIRECT(A96&amp;ROW())=C94),1,0)))</f>
        <v>0</v>
      </c>
      <c r="J221">
        <f ca="1">IF(AND(INDIRECT(A73&amp;ROW())=B95,INDIRECT(A96&amp;ROW())=C95),1,IF(AND(INDIRECT(A73&amp;ROW())=B95,INDIRECT(A96&amp;ROW())=C96),1,0))</f>
        <v>1</v>
      </c>
      <c r="K221">
        <f ca="1">DAYS360(INDIRECT(C68&amp;ROW()),TODAY())</f>
        <v>721</v>
      </c>
      <c r="L221">
        <f ca="1">DAYS360(INDIRECT(C69&amp;ROW()),TODAY())</f>
        <v>835</v>
      </c>
      <c r="M221">
        <f ca="1">HYPERLINK(CONCATENATE("https://bugzilla.houston.hp.com:1181/bugzilla/show_bug.cgi?id=",INDIRECT(C70&amp;ROW())),INDIRECT(C70&amp;ROW()))</f>
        <v>55314</v>
      </c>
      <c r="N221">
        <v>55314</v>
      </c>
      <c r="O221" t="s">
        <v>55</v>
      </c>
      <c r="P221" t="s">
        <v>542</v>
      </c>
      <c r="Q221" t="s">
        <v>25</v>
      </c>
      <c r="R221" t="s">
        <v>251</v>
      </c>
      <c r="S221" t="s">
        <v>43</v>
      </c>
      <c r="U221" s="6">
        <v>42125.44972222222</v>
      </c>
      <c r="V221" t="s">
        <v>18</v>
      </c>
      <c r="W221" t="s">
        <v>17</v>
      </c>
      <c r="X221" s="6">
        <v>42011.547847222224</v>
      </c>
      <c r="Y221" t="s">
        <v>122</v>
      </c>
      <c r="AB221" t="s">
        <v>201</v>
      </c>
      <c r="AC221" t="s">
        <v>247</v>
      </c>
      <c r="AD221" t="s">
        <v>220</v>
      </c>
      <c r="AE221" t="s">
        <v>219</v>
      </c>
      <c r="AG221" t="s">
        <v>121</v>
      </c>
      <c r="AH221" t="s">
        <v>327</v>
      </c>
      <c r="AI221" t="s">
        <v>121</v>
      </c>
      <c r="AJ221" t="s">
        <v>716</v>
      </c>
      <c r="AK221" t="s">
        <v>121</v>
      </c>
    </row>
    <row r="222" spans="1:37" x14ac:dyDescent="0.3">
      <c r="I222">
        <f ca="1">IF(OR(INDIRECT(A73&amp;ROW())=B93,INDIRECT(A73&amp;ROW())=B94),1,IF(AND(INDIRECT(A73&amp;ROW())=B95,INDIRECT(A96&amp;ROW())=C93),1,IF(AND(INDIRECT(A73&amp;ROW())=B95,INDIRECT(A96&amp;ROW())=C94),1,0)))</f>
        <v>0</v>
      </c>
      <c r="J222">
        <f ca="1">IF(AND(INDIRECT(A73&amp;ROW())=B95,INDIRECT(A96&amp;ROW())=C95),1,IF(AND(INDIRECT(A73&amp;ROW())=B95,INDIRECT(A96&amp;ROW())=C96),1,0))</f>
        <v>1</v>
      </c>
      <c r="K222">
        <f ca="1">DAYS360(INDIRECT(C68&amp;ROW()),TODAY())</f>
        <v>721</v>
      </c>
      <c r="L222">
        <f ca="1">DAYS360(INDIRECT(C69&amp;ROW()),TODAY())</f>
        <v>835</v>
      </c>
      <c r="M222">
        <f ca="1">HYPERLINK(CONCATENATE("https://bugzilla.houston.hp.com:1181/bugzilla/show_bug.cgi?id=",INDIRECT(C70&amp;ROW())),INDIRECT(C70&amp;ROW()))</f>
        <v>55316</v>
      </c>
      <c r="N222">
        <v>55316</v>
      </c>
      <c r="O222" t="s">
        <v>56</v>
      </c>
      <c r="P222" t="s">
        <v>541</v>
      </c>
      <c r="Q222" t="s">
        <v>25</v>
      </c>
      <c r="R222" t="s">
        <v>248</v>
      </c>
      <c r="S222" t="s">
        <v>43</v>
      </c>
      <c r="U222" s="6">
        <v>42125.449699074074</v>
      </c>
      <c r="V222" t="s">
        <v>18</v>
      </c>
      <c r="W222" t="s">
        <v>372</v>
      </c>
      <c r="X222" s="6">
        <v>42011.550023148149</v>
      </c>
      <c r="Y222" t="s">
        <v>122</v>
      </c>
      <c r="AB222" t="s">
        <v>201</v>
      </c>
      <c r="AC222" t="s">
        <v>247</v>
      </c>
      <c r="AD222" t="s">
        <v>220</v>
      </c>
      <c r="AE222" t="s">
        <v>219</v>
      </c>
      <c r="AG222" t="s">
        <v>121</v>
      </c>
      <c r="AH222" t="s">
        <v>327</v>
      </c>
      <c r="AI222" t="s">
        <v>121</v>
      </c>
      <c r="AJ222" t="s">
        <v>716</v>
      </c>
      <c r="AK222" t="s">
        <v>121</v>
      </c>
    </row>
    <row r="223" spans="1:37" x14ac:dyDescent="0.3">
      <c r="H223" s="24"/>
      <c r="I223">
        <f ca="1">IF(OR(INDIRECT(A73&amp;ROW())=B93,INDIRECT(A73&amp;ROW())=B94),1,IF(AND(INDIRECT(A73&amp;ROW())=B95,INDIRECT(A96&amp;ROW())=C93),1,IF(AND(INDIRECT(A73&amp;ROW())=B95,INDIRECT(A96&amp;ROW())=C94),1,0)))</f>
        <v>0</v>
      </c>
      <c r="J223">
        <f ca="1">IF(AND(INDIRECT(A73&amp;ROW())=B95,INDIRECT(A96&amp;ROW())=C95),1,IF(AND(INDIRECT(A73&amp;ROW())=B95,INDIRECT(A96&amp;ROW())=C96),1,0))</f>
        <v>1</v>
      </c>
      <c r="K223">
        <f ca="1">DAYS360(INDIRECT(C68&amp;ROW()),TODAY())</f>
        <v>721</v>
      </c>
      <c r="L223">
        <f ca="1">DAYS360(INDIRECT(C69&amp;ROW()),TODAY())</f>
        <v>833</v>
      </c>
      <c r="M223">
        <f ca="1">HYPERLINK(CONCATENATE("https://bugzilla.houston.hp.com:1181/bugzilla/show_bug.cgi?id=",INDIRECT(C70&amp;ROW())),INDIRECT(C70&amp;ROW()))</f>
        <v>55416</v>
      </c>
      <c r="N223">
        <v>55416</v>
      </c>
      <c r="O223" t="s">
        <v>56</v>
      </c>
      <c r="P223" t="s">
        <v>544</v>
      </c>
      <c r="Q223" t="s">
        <v>25</v>
      </c>
      <c r="R223" t="s">
        <v>248</v>
      </c>
      <c r="S223" t="s">
        <v>36</v>
      </c>
      <c r="U223" s="6">
        <v>42125.44866898148</v>
      </c>
      <c r="V223" t="s">
        <v>18</v>
      </c>
      <c r="W223" t="s">
        <v>343</v>
      </c>
      <c r="X223" s="6">
        <v>42013.560266203705</v>
      </c>
      <c r="Y223" t="s">
        <v>122</v>
      </c>
      <c r="AB223" t="s">
        <v>201</v>
      </c>
      <c r="AC223" t="s">
        <v>247</v>
      </c>
      <c r="AD223" t="s">
        <v>220</v>
      </c>
      <c r="AE223" t="s">
        <v>219</v>
      </c>
      <c r="AG223" t="s">
        <v>121</v>
      </c>
      <c r="AH223" t="s">
        <v>327</v>
      </c>
      <c r="AI223" t="s">
        <v>121</v>
      </c>
      <c r="AJ223" t="s">
        <v>717</v>
      </c>
      <c r="AK223" t="s">
        <v>121</v>
      </c>
    </row>
    <row r="224" spans="1:37" x14ac:dyDescent="0.3">
      <c r="I224">
        <f ca="1">IF(OR(INDIRECT(A73&amp;ROW())=B93,INDIRECT(A73&amp;ROW())=B94),1,IF(AND(INDIRECT(A73&amp;ROW())=B95,INDIRECT(A96&amp;ROW())=C93),1,IF(AND(INDIRECT(A73&amp;ROW())=B95,INDIRECT(A96&amp;ROW())=C94),1,0)))</f>
        <v>0</v>
      </c>
      <c r="J224">
        <f ca="1">IF(AND(INDIRECT(A73&amp;ROW())=B95,INDIRECT(A96&amp;ROW())=C95),1,IF(AND(INDIRECT(A73&amp;ROW())=B95,INDIRECT(A96&amp;ROW())=C96),1,0))</f>
        <v>0</v>
      </c>
      <c r="K224">
        <f ca="1">DAYS360(INDIRECT(C68&amp;ROW()),TODAY())</f>
        <v>721</v>
      </c>
      <c r="L224">
        <f ca="1">DAYS360(INDIRECT(C69&amp;ROW()),TODAY())</f>
        <v>833</v>
      </c>
      <c r="M224">
        <f ca="1">HYPERLINK(CONCATENATE("https://bugzilla.houston.hp.com:1181/bugzilla/show_bug.cgi?id=",INDIRECT(C70&amp;ROW())),INDIRECT(C70&amp;ROW()))</f>
        <v>55430</v>
      </c>
      <c r="N224">
        <v>55430</v>
      </c>
      <c r="O224" t="s">
        <v>56</v>
      </c>
      <c r="P224" t="s">
        <v>543</v>
      </c>
      <c r="Q224" t="s">
        <v>16</v>
      </c>
      <c r="R224" t="s">
        <v>248</v>
      </c>
      <c r="S224" t="s">
        <v>36</v>
      </c>
      <c r="U224" s="6">
        <v>42125.448541666665</v>
      </c>
      <c r="V224" t="s">
        <v>18</v>
      </c>
      <c r="W224" t="s">
        <v>324</v>
      </c>
      <c r="X224" s="6">
        <v>42013.620613425926</v>
      </c>
      <c r="Y224" t="s">
        <v>122</v>
      </c>
      <c r="AB224" t="s">
        <v>201</v>
      </c>
      <c r="AC224" t="s">
        <v>247</v>
      </c>
      <c r="AD224" t="s">
        <v>220</v>
      </c>
      <c r="AE224" t="s">
        <v>219</v>
      </c>
      <c r="AG224" t="s">
        <v>121</v>
      </c>
      <c r="AH224" t="s">
        <v>327</v>
      </c>
      <c r="AI224" t="s">
        <v>121</v>
      </c>
      <c r="AJ224" t="s">
        <v>717</v>
      </c>
      <c r="AK224" t="s">
        <v>121</v>
      </c>
    </row>
    <row r="225" spans="9:37" x14ac:dyDescent="0.3">
      <c r="I225">
        <f ca="1">IF(OR(INDIRECT(A73&amp;ROW())=B93,INDIRECT(A73&amp;ROW())=B94),1,IF(AND(INDIRECT(A73&amp;ROW())=B95,INDIRECT(A96&amp;ROW())=C93),1,IF(AND(INDIRECT(A73&amp;ROW())=B95,INDIRECT(A96&amp;ROW())=C94),1,0)))</f>
        <v>0</v>
      </c>
      <c r="J225">
        <f ca="1">IF(AND(INDIRECT(A73&amp;ROW())=B95,INDIRECT(A96&amp;ROW())=C95),1,IF(AND(INDIRECT(A73&amp;ROW())=B95,INDIRECT(A96&amp;ROW())=C96),1,0))</f>
        <v>0</v>
      </c>
      <c r="K225">
        <f ca="1">DAYS360(INDIRECT(C68&amp;ROW()),TODAY())</f>
        <v>729</v>
      </c>
      <c r="L225">
        <f ca="1">DAYS360(INDIRECT(C69&amp;ROW()),TODAY())</f>
        <v>830</v>
      </c>
      <c r="M225">
        <f ca="1">HYPERLINK(CONCATENATE("https://bugzilla.houston.hp.com:1181/bugzilla/show_bug.cgi?id=",INDIRECT(C70&amp;ROW())),INDIRECT(C70&amp;ROW()))</f>
        <v>55490</v>
      </c>
      <c r="N225">
        <v>55490</v>
      </c>
      <c r="O225" t="s">
        <v>53</v>
      </c>
      <c r="P225" t="s">
        <v>549</v>
      </c>
      <c r="Q225" t="s">
        <v>16</v>
      </c>
      <c r="R225" t="s">
        <v>251</v>
      </c>
      <c r="S225" t="s">
        <v>47</v>
      </c>
      <c r="U225" s="6">
        <v>42117.405312499999</v>
      </c>
      <c r="V225" t="s">
        <v>18</v>
      </c>
      <c r="W225" t="s">
        <v>17</v>
      </c>
      <c r="X225" s="6">
        <v>42016.581944444442</v>
      </c>
      <c r="Y225" t="s">
        <v>119</v>
      </c>
      <c r="AB225" t="s">
        <v>199</v>
      </c>
      <c r="AC225" t="s">
        <v>247</v>
      </c>
      <c r="AD225" t="s">
        <v>220</v>
      </c>
      <c r="AE225" t="s">
        <v>219</v>
      </c>
      <c r="AG225" t="s">
        <v>121</v>
      </c>
      <c r="AH225" t="s">
        <v>327</v>
      </c>
      <c r="AI225" t="s">
        <v>121</v>
      </c>
      <c r="AJ225" t="s">
        <v>716</v>
      </c>
      <c r="AK225" t="s">
        <v>121</v>
      </c>
    </row>
    <row r="226" spans="9:37" x14ac:dyDescent="0.3">
      <c r="I226">
        <f ca="1">IF(OR(INDIRECT(A73&amp;ROW())=B93,INDIRECT(A73&amp;ROW())=B94),1,IF(AND(INDIRECT(A73&amp;ROW())=B95,INDIRECT(A96&amp;ROW())=C93),1,IF(AND(INDIRECT(A73&amp;ROW())=B95,INDIRECT(A96&amp;ROW())=C94),1,0)))</f>
        <v>0</v>
      </c>
      <c r="J226">
        <f ca="1">IF(AND(INDIRECT(A73&amp;ROW())=B95,INDIRECT(A96&amp;ROW())=C95),1,IF(AND(INDIRECT(A73&amp;ROW())=B95,INDIRECT(A96&amp;ROW())=C96),1,0))</f>
        <v>1</v>
      </c>
      <c r="K226">
        <f ca="1">DAYS360(INDIRECT(C68&amp;ROW()),TODAY())</f>
        <v>721</v>
      </c>
      <c r="L226">
        <f ca="1">DAYS360(INDIRECT(C69&amp;ROW()),TODAY())</f>
        <v>829</v>
      </c>
      <c r="M226">
        <f ca="1">HYPERLINK(CONCATENATE("https://bugzilla.houston.hp.com:1181/bugzilla/show_bug.cgi?id=",INDIRECT(C70&amp;ROW())),INDIRECT(C70&amp;ROW()))</f>
        <v>55549</v>
      </c>
      <c r="N226">
        <v>55549</v>
      </c>
      <c r="O226" t="s">
        <v>66</v>
      </c>
      <c r="P226" t="s">
        <v>548</v>
      </c>
      <c r="Q226" t="s">
        <v>25</v>
      </c>
      <c r="R226" t="s">
        <v>251</v>
      </c>
      <c r="S226" t="s">
        <v>66</v>
      </c>
      <c r="U226" s="6">
        <v>42125.449733796297</v>
      </c>
      <c r="V226" t="s">
        <v>35</v>
      </c>
      <c r="W226" t="s">
        <v>17</v>
      </c>
      <c r="X226" s="6">
        <v>42017.588472222225</v>
      </c>
      <c r="Y226" t="s">
        <v>122</v>
      </c>
      <c r="AB226" t="s">
        <v>201</v>
      </c>
      <c r="AC226" t="s">
        <v>247</v>
      </c>
      <c r="AD226" t="s">
        <v>220</v>
      </c>
      <c r="AE226" t="s">
        <v>219</v>
      </c>
      <c r="AG226" t="s">
        <v>121</v>
      </c>
      <c r="AH226" t="s">
        <v>327</v>
      </c>
      <c r="AI226" t="s">
        <v>121</v>
      </c>
      <c r="AJ226" t="s">
        <v>716</v>
      </c>
      <c r="AK226" t="s">
        <v>121</v>
      </c>
    </row>
    <row r="227" spans="9:37" x14ac:dyDescent="0.3">
      <c r="I227">
        <f ca="1">IF(OR(INDIRECT(A73&amp;ROW())=B93,INDIRECT(A73&amp;ROW())=B94),1,IF(AND(INDIRECT(A73&amp;ROW())=B95,INDIRECT(A96&amp;ROW())=C93),1,IF(AND(INDIRECT(A73&amp;ROW())=B95,INDIRECT(A96&amp;ROW())=C94),1,0)))</f>
        <v>0</v>
      </c>
      <c r="J227">
        <f ca="1">IF(AND(INDIRECT(A73&amp;ROW())=B95,INDIRECT(A96&amp;ROW())=C95),1,IF(AND(INDIRECT(A73&amp;ROW())=B95,INDIRECT(A96&amp;ROW())=C96),1,0))</f>
        <v>1</v>
      </c>
      <c r="K227">
        <f ca="1">DAYS360(INDIRECT(C68&amp;ROW()),TODAY())</f>
        <v>721</v>
      </c>
      <c r="L227">
        <f ca="1">DAYS360(INDIRECT(C69&amp;ROW()),TODAY())</f>
        <v>828</v>
      </c>
      <c r="M227">
        <f ca="1">HYPERLINK(CONCATENATE("https://bugzilla.houston.hp.com:1181/bugzilla/show_bug.cgi?id=",INDIRECT(C70&amp;ROW())),INDIRECT(C70&amp;ROW()))</f>
        <v>55619</v>
      </c>
      <c r="N227">
        <v>55619</v>
      </c>
      <c r="O227" t="s">
        <v>66</v>
      </c>
      <c r="P227" t="s">
        <v>548</v>
      </c>
      <c r="Q227" t="s">
        <v>25</v>
      </c>
      <c r="R227" t="s">
        <v>251</v>
      </c>
      <c r="S227" t="s">
        <v>66</v>
      </c>
      <c r="U227" s="6">
        <v>42125.449618055558</v>
      </c>
      <c r="V227" t="s">
        <v>35</v>
      </c>
      <c r="W227" t="s">
        <v>17</v>
      </c>
      <c r="X227" s="6">
        <v>42018.617395833331</v>
      </c>
      <c r="Y227" t="s">
        <v>122</v>
      </c>
      <c r="AB227" t="s">
        <v>201</v>
      </c>
      <c r="AC227" t="s">
        <v>247</v>
      </c>
      <c r="AD227" t="s">
        <v>220</v>
      </c>
      <c r="AE227" t="s">
        <v>219</v>
      </c>
      <c r="AG227" t="s">
        <v>121</v>
      </c>
      <c r="AH227" t="s">
        <v>327</v>
      </c>
      <c r="AI227" t="s">
        <v>121</v>
      </c>
      <c r="AJ227" t="s">
        <v>716</v>
      </c>
      <c r="AK227" t="s">
        <v>121</v>
      </c>
    </row>
    <row r="228" spans="9:37" x14ac:dyDescent="0.3">
      <c r="I228">
        <f ca="1">IF(OR(INDIRECT(A73&amp;ROW())=B93,INDIRECT(A73&amp;ROW())=B94),1,IF(AND(INDIRECT(A73&amp;ROW())=B95,INDIRECT(A96&amp;ROW())=C93),1,IF(AND(INDIRECT(A73&amp;ROW())=B95,INDIRECT(A96&amp;ROW())=C94),1,0)))</f>
        <v>0</v>
      </c>
      <c r="J228">
        <f ca="1">IF(AND(INDIRECT(A73&amp;ROW())=B95,INDIRECT(A96&amp;ROW())=C95),1,IF(AND(INDIRECT(A73&amp;ROW())=B95,INDIRECT(A96&amp;ROW())=C96),1,0))</f>
        <v>1</v>
      </c>
      <c r="K228">
        <f ca="1">DAYS360(INDIRECT(C68&amp;ROW()),TODAY())</f>
        <v>721</v>
      </c>
      <c r="L228">
        <f ca="1">DAYS360(INDIRECT(C69&amp;ROW()),TODAY())</f>
        <v>828</v>
      </c>
      <c r="M228">
        <f ca="1">HYPERLINK(CONCATENATE("https://bugzilla.houston.hp.com:1181/bugzilla/show_bug.cgi?id=",INDIRECT(C70&amp;ROW())),INDIRECT(C70&amp;ROW()))</f>
        <v>55626</v>
      </c>
      <c r="N228">
        <v>55626</v>
      </c>
      <c r="O228" t="s">
        <v>43</v>
      </c>
      <c r="P228" t="s">
        <v>748</v>
      </c>
      <c r="Q228" t="s">
        <v>25</v>
      </c>
      <c r="R228" t="s">
        <v>251</v>
      </c>
      <c r="S228" t="s">
        <v>53</v>
      </c>
      <c r="U228" s="6">
        <v>42125.450682870367</v>
      </c>
      <c r="V228" t="s">
        <v>18</v>
      </c>
      <c r="W228" t="s">
        <v>17</v>
      </c>
      <c r="X228" s="6">
        <v>42018.702581018515</v>
      </c>
      <c r="Y228" t="s">
        <v>122</v>
      </c>
      <c r="AB228" t="s">
        <v>201</v>
      </c>
      <c r="AC228" t="s">
        <v>247</v>
      </c>
      <c r="AD228" t="s">
        <v>220</v>
      </c>
      <c r="AE228" t="s">
        <v>219</v>
      </c>
      <c r="AG228" t="s">
        <v>121</v>
      </c>
      <c r="AH228" t="s">
        <v>327</v>
      </c>
      <c r="AI228" t="s">
        <v>121</v>
      </c>
      <c r="AJ228" t="s">
        <v>716</v>
      </c>
      <c r="AK228" t="s">
        <v>121</v>
      </c>
    </row>
    <row r="229" spans="9:37" x14ac:dyDescent="0.3">
      <c r="I229">
        <f ca="1">IF(OR(INDIRECT(A73&amp;ROW())=B93,INDIRECT(A73&amp;ROW())=B94),1,IF(AND(INDIRECT(A73&amp;ROW())=B95,INDIRECT(A96&amp;ROW())=C93),1,IF(AND(INDIRECT(A73&amp;ROW())=B95,INDIRECT(A96&amp;ROW())=C94),1,0)))</f>
        <v>0</v>
      </c>
      <c r="J229">
        <f ca="1">IF(AND(INDIRECT(A73&amp;ROW())=B95,INDIRECT(A96&amp;ROW())=C95),1,IF(AND(INDIRECT(A73&amp;ROW())=B95,INDIRECT(A96&amp;ROW())=C96),1,0))</f>
        <v>1</v>
      </c>
      <c r="K229">
        <f ca="1">DAYS360(INDIRECT(C68&amp;ROW()),TODAY())</f>
        <v>721</v>
      </c>
      <c r="L229">
        <f ca="1">DAYS360(INDIRECT(C69&amp;ROW()),TODAY())</f>
        <v>828</v>
      </c>
      <c r="M229">
        <f ca="1">HYPERLINK(CONCATENATE("https://bugzilla.houston.hp.com:1181/bugzilla/show_bug.cgi?id=",INDIRECT(C70&amp;ROW())),INDIRECT(C70&amp;ROW()))</f>
        <v>55627</v>
      </c>
      <c r="N229">
        <v>55627</v>
      </c>
      <c r="O229" t="s">
        <v>53</v>
      </c>
      <c r="P229" t="s">
        <v>551</v>
      </c>
      <c r="Q229" t="s">
        <v>25</v>
      </c>
      <c r="R229" t="s">
        <v>251</v>
      </c>
      <c r="S229" t="s">
        <v>53</v>
      </c>
      <c r="U229" s="6">
        <v>42125.450798611113</v>
      </c>
      <c r="V229" t="s">
        <v>18</v>
      </c>
      <c r="W229" t="s">
        <v>17</v>
      </c>
      <c r="X229" s="6">
        <v>42018.719236111108</v>
      </c>
      <c r="Y229" t="s">
        <v>122</v>
      </c>
      <c r="AB229" t="s">
        <v>201</v>
      </c>
      <c r="AC229" t="s">
        <v>247</v>
      </c>
      <c r="AD229" t="s">
        <v>220</v>
      </c>
      <c r="AE229" t="s">
        <v>219</v>
      </c>
      <c r="AG229" t="s">
        <v>121</v>
      </c>
      <c r="AH229" t="s">
        <v>327</v>
      </c>
      <c r="AI229" t="s">
        <v>121</v>
      </c>
      <c r="AJ229" t="s">
        <v>716</v>
      </c>
      <c r="AK229" t="s">
        <v>121</v>
      </c>
    </row>
    <row r="230" spans="9:37" x14ac:dyDescent="0.3">
      <c r="I230">
        <f ca="1">IF(OR(INDIRECT(A73&amp;ROW())=B93,INDIRECT(A73&amp;ROW())=B94),1,IF(AND(INDIRECT(A73&amp;ROW())=B95,INDIRECT(A96&amp;ROW())=C93),1,IF(AND(INDIRECT(A73&amp;ROW())=B95,INDIRECT(A96&amp;ROW())=C94),1,0)))</f>
        <v>0</v>
      </c>
      <c r="J230">
        <f ca="1">IF(AND(INDIRECT(A73&amp;ROW())=B95,INDIRECT(A96&amp;ROW())=C95),1,IF(AND(INDIRECT(A73&amp;ROW())=B95,INDIRECT(A96&amp;ROW())=C96),1,0))</f>
        <v>0</v>
      </c>
      <c r="K230">
        <f ca="1">DAYS360(INDIRECT(C68&amp;ROW()),TODAY())</f>
        <v>721</v>
      </c>
      <c r="L230">
        <f ca="1">DAYS360(INDIRECT(C69&amp;ROW()),TODAY())</f>
        <v>827</v>
      </c>
      <c r="M230">
        <f ca="1">HYPERLINK(CONCATENATE("https://bugzilla.houston.hp.com:1181/bugzilla/show_bug.cgi?id=",INDIRECT(C70&amp;ROW())),INDIRECT(C70&amp;ROW()))</f>
        <v>55690</v>
      </c>
      <c r="N230">
        <v>55690</v>
      </c>
      <c r="O230" t="s">
        <v>22</v>
      </c>
      <c r="P230" t="s">
        <v>557</v>
      </c>
      <c r="Q230" t="s">
        <v>16</v>
      </c>
      <c r="R230" t="s">
        <v>251</v>
      </c>
      <c r="S230" t="s">
        <v>22</v>
      </c>
      <c r="U230" s="6">
        <v>42125.450775462959</v>
      </c>
      <c r="V230" t="s">
        <v>18</v>
      </c>
      <c r="W230" t="s">
        <v>17</v>
      </c>
      <c r="X230" s="6">
        <v>42019.371122685188</v>
      </c>
      <c r="Y230" t="s">
        <v>122</v>
      </c>
      <c r="AB230" t="s">
        <v>201</v>
      </c>
      <c r="AC230" t="s">
        <v>247</v>
      </c>
      <c r="AD230" t="s">
        <v>222</v>
      </c>
      <c r="AE230" t="s">
        <v>225</v>
      </c>
      <c r="AG230" t="s">
        <v>121</v>
      </c>
      <c r="AH230" t="s">
        <v>327</v>
      </c>
      <c r="AI230" t="s">
        <v>121</v>
      </c>
      <c r="AJ230" t="s">
        <v>717</v>
      </c>
      <c r="AK230" t="s">
        <v>121</v>
      </c>
    </row>
    <row r="231" spans="9:37" x14ac:dyDescent="0.3">
      <c r="I231">
        <f ca="1">IF(OR(INDIRECT(A73&amp;ROW())=B93,INDIRECT(A73&amp;ROW())=B94),1,IF(AND(INDIRECT(A73&amp;ROW())=B95,INDIRECT(A96&amp;ROW())=C93),1,IF(AND(INDIRECT(A73&amp;ROW())=B95,INDIRECT(A96&amp;ROW())=C94),1,0)))</f>
        <v>0</v>
      </c>
      <c r="J231">
        <f ca="1">IF(AND(INDIRECT(A73&amp;ROW())=B95,INDIRECT(A96&amp;ROW())=C95),1,IF(AND(INDIRECT(A73&amp;ROW())=B95,INDIRECT(A96&amp;ROW())=C96),1,0))</f>
        <v>0</v>
      </c>
      <c r="K231">
        <f ca="1">DAYS360(INDIRECT(C68&amp;ROW()),TODAY())</f>
        <v>721</v>
      </c>
      <c r="L231">
        <f ca="1">DAYS360(INDIRECT(C69&amp;ROW()),TODAY())</f>
        <v>827</v>
      </c>
      <c r="M231" s="11">
        <f ca="1">HYPERLINK(CONCATENATE("https://bugzilla.houston.hp.com:1181/bugzilla/show_bug.cgi?id=",INDIRECT(C70&amp;ROW())),INDIRECT(C70&amp;ROW()))</f>
        <v>55692</v>
      </c>
      <c r="N231">
        <v>55692</v>
      </c>
      <c r="O231" t="s">
        <v>36</v>
      </c>
      <c r="P231" t="s">
        <v>556</v>
      </c>
      <c r="Q231" t="s">
        <v>16</v>
      </c>
      <c r="R231" t="s">
        <v>248</v>
      </c>
      <c r="S231" t="s">
        <v>552</v>
      </c>
      <c r="U231" s="6">
        <v>42125.450833333336</v>
      </c>
      <c r="V231" t="s">
        <v>18</v>
      </c>
      <c r="W231" t="s">
        <v>17</v>
      </c>
      <c r="X231" s="6">
        <v>42019.375428240739</v>
      </c>
      <c r="Y231" t="s">
        <v>122</v>
      </c>
      <c r="AB231" t="s">
        <v>201</v>
      </c>
      <c r="AC231" t="s">
        <v>247</v>
      </c>
      <c r="AD231" t="s">
        <v>222</v>
      </c>
      <c r="AE231" t="s">
        <v>225</v>
      </c>
      <c r="AG231" t="s">
        <v>121</v>
      </c>
      <c r="AH231" t="s">
        <v>327</v>
      </c>
      <c r="AI231" t="s">
        <v>121</v>
      </c>
      <c r="AJ231" t="s">
        <v>717</v>
      </c>
      <c r="AK231" t="s">
        <v>121</v>
      </c>
    </row>
    <row r="232" spans="9:37" x14ac:dyDescent="0.3">
      <c r="I232">
        <f ca="1">IF(OR(INDIRECT(A73&amp;ROW())=B93,INDIRECT(A73&amp;ROW())=B94),1,IF(AND(INDIRECT(A73&amp;ROW())=B95,INDIRECT(A96&amp;ROW())=C93),1,IF(AND(INDIRECT(A73&amp;ROW())=B95,INDIRECT(A96&amp;ROW())=C94),1,0)))</f>
        <v>0</v>
      </c>
      <c r="J232">
        <f ca="1">IF(AND(INDIRECT(A73&amp;ROW())=B95,INDIRECT(A96&amp;ROW())=C95),1,IF(AND(INDIRECT(A73&amp;ROW())=B95,INDIRECT(A96&amp;ROW())=C96),1,0))</f>
        <v>0</v>
      </c>
      <c r="K232">
        <f ca="1">DAYS360(INDIRECT(C68&amp;ROW()),TODAY())</f>
        <v>729</v>
      </c>
      <c r="L232">
        <f ca="1">DAYS360(INDIRECT(C69&amp;ROW()),TODAY())</f>
        <v>827</v>
      </c>
      <c r="M232" s="11">
        <f ca="1">HYPERLINK(CONCATENATE("https://bugzilla.houston.hp.com:1181/bugzilla/show_bug.cgi?id=",INDIRECT(C70&amp;ROW())),INDIRECT(C70&amp;ROW()))</f>
        <v>55707</v>
      </c>
      <c r="N232">
        <v>55707</v>
      </c>
      <c r="O232" t="s">
        <v>374</v>
      </c>
      <c r="P232" t="s">
        <v>555</v>
      </c>
      <c r="Q232" t="s">
        <v>16</v>
      </c>
      <c r="R232" t="s">
        <v>251</v>
      </c>
      <c r="S232" t="s">
        <v>374</v>
      </c>
      <c r="U232" s="6">
        <v>42117.405405092592</v>
      </c>
      <c r="V232" t="s">
        <v>18</v>
      </c>
      <c r="W232" t="s">
        <v>17</v>
      </c>
      <c r="X232" s="6">
        <v>42019.951620370368</v>
      </c>
      <c r="Y232" t="s">
        <v>787</v>
      </c>
      <c r="AB232" t="s">
        <v>200</v>
      </c>
      <c r="AC232" t="s">
        <v>247</v>
      </c>
      <c r="AD232" t="s">
        <v>227</v>
      </c>
      <c r="AE232" t="s">
        <v>237</v>
      </c>
      <c r="AG232" t="s">
        <v>121</v>
      </c>
      <c r="AH232" t="s">
        <v>327</v>
      </c>
      <c r="AI232" t="s">
        <v>121</v>
      </c>
      <c r="AJ232" t="s">
        <v>716</v>
      </c>
      <c r="AK232" t="s">
        <v>121</v>
      </c>
    </row>
    <row r="233" spans="9:37" x14ac:dyDescent="0.3">
      <c r="I233">
        <f ca="1">IF(OR(INDIRECT(A73&amp;ROW())=B93,INDIRECT(A73&amp;ROW())=B94),1,IF(AND(INDIRECT(A73&amp;ROW())=B95,INDIRECT(A96&amp;ROW())=C93),1,IF(AND(INDIRECT(A73&amp;ROW())=B95,INDIRECT(A96&amp;ROW())=C94),1,0)))</f>
        <v>0</v>
      </c>
      <c r="J233">
        <f ca="1">IF(AND(INDIRECT(A73&amp;ROW())=B95,INDIRECT(A96&amp;ROW())=C95),1,IF(AND(INDIRECT(A73&amp;ROW())=B95,INDIRECT(A96&amp;ROW())=C96),1,0))</f>
        <v>1</v>
      </c>
      <c r="K233">
        <f ca="1">DAYS360(INDIRECT(C68&amp;ROW()),TODAY())</f>
        <v>730</v>
      </c>
      <c r="L233">
        <f ca="1">DAYS360(INDIRECT(C69&amp;ROW()),TODAY())</f>
        <v>826</v>
      </c>
      <c r="M233">
        <f ca="1">HYPERLINK(CONCATENATE("https://bugzilla.houston.hp.com:1181/bugzilla/show_bug.cgi?id=",INDIRECT(C70&amp;ROW())),INDIRECT(C70&amp;ROW()))</f>
        <v>55719</v>
      </c>
      <c r="N233">
        <v>55719</v>
      </c>
      <c r="O233" t="s">
        <v>21</v>
      </c>
      <c r="P233" t="s">
        <v>554</v>
      </c>
      <c r="Q233" t="s">
        <v>25</v>
      </c>
      <c r="R233" t="s">
        <v>251</v>
      </c>
      <c r="S233" t="s">
        <v>553</v>
      </c>
      <c r="U233" s="6">
        <v>42116.734351851854</v>
      </c>
      <c r="V233" t="s">
        <v>35</v>
      </c>
      <c r="W233" t="s">
        <v>17</v>
      </c>
      <c r="X233" s="6">
        <v>42020.166122685187</v>
      </c>
      <c r="Y233" t="s">
        <v>124</v>
      </c>
      <c r="AB233" t="s">
        <v>201</v>
      </c>
      <c r="AC233" t="s">
        <v>247</v>
      </c>
      <c r="AD233" t="s">
        <v>222</v>
      </c>
      <c r="AE233" t="s">
        <v>221</v>
      </c>
      <c r="AG233" t="s">
        <v>121</v>
      </c>
      <c r="AH233" t="s">
        <v>327</v>
      </c>
      <c r="AI233" t="s">
        <v>121</v>
      </c>
      <c r="AJ233" t="s">
        <v>716</v>
      </c>
      <c r="AK233" t="s">
        <v>121</v>
      </c>
    </row>
    <row r="234" spans="9:37" x14ac:dyDescent="0.3">
      <c r="I234">
        <f ca="1">IF(OR(INDIRECT(A73&amp;ROW())=B93,INDIRECT(A73&amp;ROW())=B94),1,IF(AND(INDIRECT(A73&amp;ROW())=B95,INDIRECT(A96&amp;ROW())=C93),1,IF(AND(INDIRECT(A73&amp;ROW())=B95,INDIRECT(A96&amp;ROW())=C94),1,0)))</f>
        <v>0</v>
      </c>
      <c r="J234">
        <f ca="1">IF(AND(INDIRECT(A73&amp;ROW())=B95,INDIRECT(A96&amp;ROW())=C95),1,IF(AND(INDIRECT(A73&amp;ROW())=B95,INDIRECT(A96&amp;ROW())=C96),1,0))</f>
        <v>0</v>
      </c>
      <c r="K234">
        <f ca="1">DAYS360(INDIRECT(C68&amp;ROW()),TODAY())</f>
        <v>695</v>
      </c>
      <c r="L234">
        <f ca="1">DAYS360(INDIRECT(C69&amp;ROW()),TODAY())</f>
        <v>826</v>
      </c>
      <c r="M234">
        <f ca="1">HYPERLINK(CONCATENATE("https://bugzilla.houston.hp.com:1181/bugzilla/show_bug.cgi?id=",INDIRECT(C70&amp;ROW())),INDIRECT(C70&amp;ROW()))</f>
        <v>55766</v>
      </c>
      <c r="N234">
        <v>55766</v>
      </c>
      <c r="O234" t="s">
        <v>856</v>
      </c>
      <c r="P234" t="s">
        <v>558</v>
      </c>
      <c r="Q234" t="s">
        <v>16</v>
      </c>
      <c r="R234" t="s">
        <v>251</v>
      </c>
      <c r="S234" t="s">
        <v>43</v>
      </c>
      <c r="T234" t="s">
        <v>48</v>
      </c>
      <c r="U234" s="6">
        <v>42151.009201388886</v>
      </c>
      <c r="V234" t="s">
        <v>35</v>
      </c>
      <c r="W234" t="s">
        <v>17</v>
      </c>
      <c r="X234" s="6">
        <v>42020.673159722224</v>
      </c>
      <c r="Y234" t="s">
        <v>122</v>
      </c>
      <c r="AB234" t="s">
        <v>200</v>
      </c>
      <c r="AC234" t="s">
        <v>247</v>
      </c>
      <c r="AD234" t="s">
        <v>220</v>
      </c>
      <c r="AE234" t="s">
        <v>219</v>
      </c>
      <c r="AG234" t="s">
        <v>121</v>
      </c>
      <c r="AH234" t="s">
        <v>327</v>
      </c>
      <c r="AI234" t="s">
        <v>121</v>
      </c>
      <c r="AJ234" t="s">
        <v>716</v>
      </c>
      <c r="AK234" t="s">
        <v>121</v>
      </c>
    </row>
    <row r="235" spans="9:37" x14ac:dyDescent="0.3">
      <c r="I235">
        <f ca="1">IF(OR(INDIRECT(A73&amp;ROW())=B93,INDIRECT(A73&amp;ROW())=B94),1,IF(AND(INDIRECT(A73&amp;ROW())=B95,INDIRECT(A96&amp;ROW())=C93),1,IF(AND(INDIRECT(A73&amp;ROW())=B95,INDIRECT(A96&amp;ROW())=C94),1,0)))</f>
        <v>0</v>
      </c>
      <c r="J235">
        <f ca="1">IF(AND(INDIRECT(A73&amp;ROW())=B95,INDIRECT(A96&amp;ROW())=C95),1,IF(AND(INDIRECT(A73&amp;ROW())=B95,INDIRECT(A96&amp;ROW())=C96),1,0))</f>
        <v>0</v>
      </c>
      <c r="K235">
        <f ca="1">DAYS360(INDIRECT(C68&amp;ROW()),TODAY())</f>
        <v>728</v>
      </c>
      <c r="L235">
        <f ca="1">DAYS360(INDIRECT(C69&amp;ROW()),TODAY())</f>
        <v>821</v>
      </c>
      <c r="M235">
        <f ca="1">HYPERLINK(CONCATENATE("https://bugzilla.houston.hp.com:1181/bugzilla/show_bug.cgi?id=",INDIRECT(C70&amp;ROW())),INDIRECT(C70&amp;ROW()))</f>
        <v>55900</v>
      </c>
      <c r="N235">
        <v>55900</v>
      </c>
      <c r="O235" t="s">
        <v>56</v>
      </c>
      <c r="P235" t="s">
        <v>566</v>
      </c>
      <c r="Q235" t="s">
        <v>16</v>
      </c>
      <c r="R235" t="s">
        <v>251</v>
      </c>
      <c r="S235" t="s">
        <v>59</v>
      </c>
      <c r="U235" s="6">
        <v>42118.523414351854</v>
      </c>
      <c r="V235" t="s">
        <v>18</v>
      </c>
      <c r="W235" t="s">
        <v>17</v>
      </c>
      <c r="X235" s="6">
        <v>42025.187048611115</v>
      </c>
      <c r="Y235" t="s">
        <v>788</v>
      </c>
      <c r="AB235" t="s">
        <v>201</v>
      </c>
      <c r="AC235" t="s">
        <v>247</v>
      </c>
      <c r="AD235" t="s">
        <v>220</v>
      </c>
      <c r="AE235" t="s">
        <v>219</v>
      </c>
      <c r="AG235" t="s">
        <v>121</v>
      </c>
      <c r="AH235" t="s">
        <v>327</v>
      </c>
      <c r="AI235" t="s">
        <v>121</v>
      </c>
      <c r="AJ235" t="s">
        <v>717</v>
      </c>
      <c r="AK235" t="s">
        <v>121</v>
      </c>
    </row>
    <row r="236" spans="9:37" x14ac:dyDescent="0.3">
      <c r="I236">
        <f ca="1">IF(OR(INDIRECT(A73&amp;ROW())=B93,INDIRECT(A73&amp;ROW())=B94),1,IF(AND(INDIRECT(A73&amp;ROW())=B95,INDIRECT(A96&amp;ROW())=C93),1,IF(AND(INDIRECT(A73&amp;ROW())=B95,INDIRECT(A96&amp;ROW())=C94),1,0)))</f>
        <v>0</v>
      </c>
      <c r="J236">
        <f ca="1">IF(AND(INDIRECT(A73&amp;ROW())=B95,INDIRECT(A96&amp;ROW())=C95),1,IF(AND(INDIRECT(A73&amp;ROW())=B95,INDIRECT(A96&amp;ROW())=C96),1,0))</f>
        <v>0</v>
      </c>
      <c r="K236">
        <f ca="1">DAYS360(INDIRECT(C68&amp;ROW()),TODAY())</f>
        <v>728</v>
      </c>
      <c r="L236">
        <f ca="1">DAYS360(INDIRECT(C69&amp;ROW()),TODAY())</f>
        <v>821</v>
      </c>
      <c r="M236">
        <f ca="1">HYPERLINK(CONCATENATE("https://bugzilla.houston.hp.com:1181/bugzilla/show_bug.cgi?id=",INDIRECT(C70&amp;ROW())),INDIRECT(C70&amp;ROW()))</f>
        <v>55915</v>
      </c>
      <c r="N236">
        <v>55915</v>
      </c>
      <c r="O236" t="s">
        <v>66</v>
      </c>
      <c r="P236" t="s">
        <v>565</v>
      </c>
      <c r="Q236" t="s">
        <v>16</v>
      </c>
      <c r="R236" t="s">
        <v>251</v>
      </c>
      <c r="S236" t="s">
        <v>66</v>
      </c>
      <c r="U236" s="6">
        <v>42118.523506944446</v>
      </c>
      <c r="V236" t="s">
        <v>18</v>
      </c>
      <c r="W236" t="s">
        <v>17</v>
      </c>
      <c r="X236" s="6">
        <v>42025.416770833333</v>
      </c>
      <c r="Y236" t="s">
        <v>124</v>
      </c>
      <c r="AB236" t="s">
        <v>201</v>
      </c>
      <c r="AC236" t="s">
        <v>247</v>
      </c>
      <c r="AD236" t="s">
        <v>220</v>
      </c>
      <c r="AE236" t="s">
        <v>219</v>
      </c>
      <c r="AG236" t="s">
        <v>121</v>
      </c>
      <c r="AH236" t="s">
        <v>327</v>
      </c>
      <c r="AI236" t="s">
        <v>121</v>
      </c>
      <c r="AJ236" t="s">
        <v>717</v>
      </c>
      <c r="AK236" t="s">
        <v>121</v>
      </c>
    </row>
    <row r="237" spans="9:37" x14ac:dyDescent="0.3">
      <c r="I237">
        <f ca="1">IF(OR(INDIRECT(A73&amp;ROW())=B93,INDIRECT(A73&amp;ROW())=B94),1,IF(AND(INDIRECT(A73&amp;ROW())=B95,INDIRECT(A96&amp;ROW())=C93),1,IF(AND(INDIRECT(A73&amp;ROW())=B95,INDIRECT(A96&amp;ROW())=C94),1,0)))</f>
        <v>0</v>
      </c>
      <c r="J237">
        <f ca="1">IF(AND(INDIRECT(A73&amp;ROW())=B95,INDIRECT(A96&amp;ROW())=C95),1,IF(AND(INDIRECT(A73&amp;ROW())=B95,INDIRECT(A96&amp;ROW())=C96),1,0))</f>
        <v>1</v>
      </c>
      <c r="K237">
        <f ca="1">DAYS360(INDIRECT(C68&amp;ROW()),TODAY())</f>
        <v>728</v>
      </c>
      <c r="L237">
        <f ca="1">DAYS360(INDIRECT(C69&amp;ROW()),TODAY())</f>
        <v>821</v>
      </c>
      <c r="M237">
        <f ca="1">HYPERLINK(CONCATENATE("https://bugzilla.houston.hp.com:1181/bugzilla/show_bug.cgi?id=",INDIRECT(C70&amp;ROW())),INDIRECT(C70&amp;ROW()))</f>
        <v>55920</v>
      </c>
      <c r="N237">
        <v>55920</v>
      </c>
      <c r="O237" t="s">
        <v>66</v>
      </c>
      <c r="P237" t="s">
        <v>564</v>
      </c>
      <c r="Q237" t="s">
        <v>25</v>
      </c>
      <c r="R237" t="s">
        <v>251</v>
      </c>
      <c r="S237" t="s">
        <v>66</v>
      </c>
      <c r="U237" s="6">
        <v>42118.33730324074</v>
      </c>
      <c r="V237" t="s">
        <v>18</v>
      </c>
      <c r="W237" t="s">
        <v>17</v>
      </c>
      <c r="X237" s="6">
        <v>42025.463854166665</v>
      </c>
      <c r="Y237" t="s">
        <v>124</v>
      </c>
      <c r="AB237" t="s">
        <v>201</v>
      </c>
      <c r="AC237" t="s">
        <v>247</v>
      </c>
      <c r="AD237" t="s">
        <v>220</v>
      </c>
      <c r="AE237" t="s">
        <v>219</v>
      </c>
      <c r="AG237" t="s">
        <v>121</v>
      </c>
      <c r="AH237" t="s">
        <v>327</v>
      </c>
      <c r="AI237" t="s">
        <v>121</v>
      </c>
      <c r="AJ237" t="s">
        <v>716</v>
      </c>
      <c r="AK237" t="s">
        <v>121</v>
      </c>
    </row>
    <row r="238" spans="9:37" x14ac:dyDescent="0.3">
      <c r="I238">
        <f ca="1">IF(OR(INDIRECT(A73&amp;ROW())=B93,INDIRECT(A73&amp;ROW())=B94),1,IF(AND(INDIRECT(A73&amp;ROW())=B95,INDIRECT(A96&amp;ROW())=C93),1,IF(AND(INDIRECT(A73&amp;ROW())=B95,INDIRECT(A96&amp;ROW())=C94),1,0)))</f>
        <v>0</v>
      </c>
      <c r="J238">
        <f ca="1">IF(AND(INDIRECT(A73&amp;ROW())=B95,INDIRECT(A96&amp;ROW())=C95),1,IF(AND(INDIRECT(A73&amp;ROW())=B95,INDIRECT(A96&amp;ROW())=C96),1,0))</f>
        <v>1</v>
      </c>
      <c r="K238">
        <f ca="1">DAYS360(INDIRECT(C68&amp;ROW()),TODAY())</f>
        <v>800</v>
      </c>
      <c r="L238">
        <f ca="1">DAYS360(INDIRECT(C69&amp;ROW()),TODAY())</f>
        <v>821</v>
      </c>
      <c r="M238">
        <f ca="1">HYPERLINK(CONCATENATE("https://bugzilla.houston.hp.com:1181/bugzilla/show_bug.cgi?id=",INDIRECT(C70&amp;ROW())),INDIRECT(C70&amp;ROW()))</f>
        <v>55923</v>
      </c>
      <c r="N238">
        <v>55923</v>
      </c>
      <c r="O238" t="s">
        <v>56</v>
      </c>
      <c r="P238" t="s">
        <v>563</v>
      </c>
      <c r="Q238" t="s">
        <v>25</v>
      </c>
      <c r="R238" t="s">
        <v>248</v>
      </c>
      <c r="S238" t="s">
        <v>552</v>
      </c>
      <c r="U238" s="6">
        <v>42047.512106481481</v>
      </c>
      <c r="V238" t="s">
        <v>18</v>
      </c>
      <c r="W238" t="s">
        <v>322</v>
      </c>
      <c r="X238" s="6">
        <v>42025.479351851849</v>
      </c>
      <c r="Y238" t="s">
        <v>124</v>
      </c>
      <c r="AB238" t="s">
        <v>201</v>
      </c>
      <c r="AC238" t="s">
        <v>247</v>
      </c>
      <c r="AD238" t="s">
        <v>220</v>
      </c>
      <c r="AE238" t="s">
        <v>219</v>
      </c>
      <c r="AG238" t="s">
        <v>121</v>
      </c>
      <c r="AH238" t="s">
        <v>327</v>
      </c>
      <c r="AI238" t="s">
        <v>121</v>
      </c>
      <c r="AJ238" t="s">
        <v>716</v>
      </c>
      <c r="AK238" t="s">
        <v>121</v>
      </c>
    </row>
    <row r="239" spans="9:37" x14ac:dyDescent="0.3">
      <c r="I239">
        <f ca="1">IF(OR(INDIRECT(A73&amp;ROW())=B93,INDIRECT(A73&amp;ROW())=B94),1,IF(AND(INDIRECT(A73&amp;ROW())=B95,INDIRECT(A96&amp;ROW())=C93),1,IF(AND(INDIRECT(A73&amp;ROW())=B95,INDIRECT(A96&amp;ROW())=C94),1,0)))</f>
        <v>0</v>
      </c>
      <c r="J239">
        <f ca="1">IF(AND(INDIRECT(A73&amp;ROW())=B95,INDIRECT(A96&amp;ROW())=C95),1,IF(AND(INDIRECT(A73&amp;ROW())=B95,INDIRECT(A96&amp;ROW())=C96),1,0))</f>
        <v>1</v>
      </c>
      <c r="K239">
        <f ca="1">DAYS360(INDIRECT(C68&amp;ROW()),TODAY())</f>
        <v>721</v>
      </c>
      <c r="L239">
        <f ca="1">DAYS360(INDIRECT(C69&amp;ROW()),TODAY())</f>
        <v>821</v>
      </c>
      <c r="M239">
        <f ca="1">HYPERLINK(CONCATENATE("https://bugzilla.houston.hp.com:1181/bugzilla/show_bug.cgi?id=",INDIRECT(C70&amp;ROW())),INDIRECT(C70&amp;ROW()))</f>
        <v>55928</v>
      </c>
      <c r="N239">
        <v>55928</v>
      </c>
      <c r="O239" t="s">
        <v>56</v>
      </c>
      <c r="P239" t="s">
        <v>562</v>
      </c>
      <c r="Q239" t="s">
        <v>25</v>
      </c>
      <c r="R239" t="s">
        <v>251</v>
      </c>
      <c r="S239" t="s">
        <v>66</v>
      </c>
      <c r="U239" s="6">
        <v>42125.450821759259</v>
      </c>
      <c r="V239" t="s">
        <v>18</v>
      </c>
      <c r="W239" t="s">
        <v>17</v>
      </c>
      <c r="X239" s="6">
        <v>42025.595729166664</v>
      </c>
      <c r="Y239" t="s">
        <v>122</v>
      </c>
      <c r="AB239" t="s">
        <v>201</v>
      </c>
      <c r="AC239" t="s">
        <v>247</v>
      </c>
      <c r="AD239" t="s">
        <v>220</v>
      </c>
      <c r="AE239" t="s">
        <v>219</v>
      </c>
      <c r="AG239" t="s">
        <v>121</v>
      </c>
      <c r="AH239" t="s">
        <v>327</v>
      </c>
      <c r="AI239" t="s">
        <v>121</v>
      </c>
      <c r="AJ239" t="s">
        <v>716</v>
      </c>
      <c r="AK239" t="s">
        <v>121</v>
      </c>
    </row>
    <row r="240" spans="9:37" x14ac:dyDescent="0.3">
      <c r="I240">
        <f ca="1">IF(OR(INDIRECT(A73&amp;ROW())=B93,INDIRECT(A73&amp;ROW())=B94),1,IF(AND(INDIRECT(A73&amp;ROW())=B95,INDIRECT(A96&amp;ROW())=C93),1,IF(AND(INDIRECT(A73&amp;ROW())=B95,INDIRECT(A96&amp;ROW())=C94),1,0)))</f>
        <v>0</v>
      </c>
      <c r="J240">
        <f ca="1">IF(AND(INDIRECT(A73&amp;ROW())=B95,INDIRECT(A96&amp;ROW())=C95),1,IF(AND(INDIRECT(A73&amp;ROW())=B95,INDIRECT(A96&amp;ROW())=C96),1,0))</f>
        <v>1</v>
      </c>
      <c r="K240">
        <f ca="1">DAYS360(INDIRECT(C68&amp;ROW()),TODAY())</f>
        <v>721</v>
      </c>
      <c r="L240">
        <f ca="1">DAYS360(INDIRECT(C69&amp;ROW()),TODAY())</f>
        <v>821</v>
      </c>
      <c r="M240">
        <f ca="1">HYPERLINK(CONCATENATE("https://bugzilla.houston.hp.com:1181/bugzilla/show_bug.cgi?id=",INDIRECT(C70&amp;ROW())),INDIRECT(C70&amp;ROW()))</f>
        <v>55929</v>
      </c>
      <c r="N240">
        <v>55929</v>
      </c>
      <c r="O240" t="s">
        <v>66</v>
      </c>
      <c r="P240" t="s">
        <v>561</v>
      </c>
      <c r="Q240" t="s">
        <v>25</v>
      </c>
      <c r="R240" t="s">
        <v>251</v>
      </c>
      <c r="S240" t="s">
        <v>66</v>
      </c>
      <c r="U240" s="6">
        <v>42125.451828703706</v>
      </c>
      <c r="V240" t="s">
        <v>18</v>
      </c>
      <c r="W240" t="s">
        <v>17</v>
      </c>
      <c r="X240" s="6">
        <v>42025.615925925929</v>
      </c>
      <c r="Y240" t="s">
        <v>122</v>
      </c>
      <c r="AB240" t="s">
        <v>201</v>
      </c>
      <c r="AC240" t="s">
        <v>247</v>
      </c>
      <c r="AD240" t="s">
        <v>220</v>
      </c>
      <c r="AE240" t="s">
        <v>219</v>
      </c>
      <c r="AG240" t="s">
        <v>121</v>
      </c>
      <c r="AH240" t="s">
        <v>327</v>
      </c>
      <c r="AI240" t="s">
        <v>121</v>
      </c>
      <c r="AJ240" t="s">
        <v>716</v>
      </c>
      <c r="AK240" t="s">
        <v>121</v>
      </c>
    </row>
    <row r="241" spans="9:37" x14ac:dyDescent="0.3">
      <c r="I241">
        <f ca="1">IF(OR(INDIRECT(A73&amp;ROW())=B93,INDIRECT(A73&amp;ROW())=B94),1,IF(AND(INDIRECT(A73&amp;ROW())=B95,INDIRECT(A96&amp;ROW())=C93),1,IF(AND(INDIRECT(A73&amp;ROW())=B95,INDIRECT(A96&amp;ROW())=C94),1,0)))</f>
        <v>0</v>
      </c>
      <c r="J241">
        <f ca="1">IF(AND(INDIRECT(A73&amp;ROW())=B95,INDIRECT(A96&amp;ROW())=C95),1,IF(AND(INDIRECT(A73&amp;ROW())=B95,INDIRECT(A96&amp;ROW())=C96),1,0))</f>
        <v>1</v>
      </c>
      <c r="K241">
        <f ca="1">DAYS360(INDIRECT(C68&amp;ROW()),TODAY())</f>
        <v>721</v>
      </c>
      <c r="L241">
        <f ca="1">DAYS360(INDIRECT(C69&amp;ROW()),TODAY())</f>
        <v>821</v>
      </c>
      <c r="M241">
        <f ca="1">HYPERLINK(CONCATENATE("https://bugzilla.houston.hp.com:1181/bugzilla/show_bug.cgi?id=",INDIRECT(C70&amp;ROW())),INDIRECT(C70&amp;ROW()))</f>
        <v>55934</v>
      </c>
      <c r="N241">
        <v>55934</v>
      </c>
      <c r="O241" t="s">
        <v>56</v>
      </c>
      <c r="P241" t="s">
        <v>560</v>
      </c>
      <c r="Q241" t="s">
        <v>25</v>
      </c>
      <c r="R241" t="s">
        <v>248</v>
      </c>
      <c r="S241" t="s">
        <v>552</v>
      </c>
      <c r="U241" s="6">
        <v>42125.451736111114</v>
      </c>
      <c r="V241" t="s">
        <v>18</v>
      </c>
      <c r="W241" t="s">
        <v>322</v>
      </c>
      <c r="X241" s="6">
        <v>42025.632627314815</v>
      </c>
      <c r="Y241" t="s">
        <v>122</v>
      </c>
      <c r="AB241" t="s">
        <v>201</v>
      </c>
      <c r="AC241" t="s">
        <v>247</v>
      </c>
      <c r="AD241" t="s">
        <v>220</v>
      </c>
      <c r="AE241" t="s">
        <v>219</v>
      </c>
      <c r="AG241" t="s">
        <v>121</v>
      </c>
      <c r="AH241" t="s">
        <v>327</v>
      </c>
      <c r="AI241" t="s">
        <v>121</v>
      </c>
      <c r="AJ241" t="s">
        <v>716</v>
      </c>
      <c r="AK241" t="s">
        <v>121</v>
      </c>
    </row>
    <row r="242" spans="9:37" x14ac:dyDescent="0.3">
      <c r="I242">
        <f ca="1">IF(OR(INDIRECT(A73&amp;ROW())=B93,INDIRECT(A73&amp;ROW())=B94),1,IF(AND(INDIRECT(A73&amp;ROW())=B95,INDIRECT(A96&amp;ROW())=C93),1,IF(AND(INDIRECT(A73&amp;ROW())=B95,INDIRECT(A96&amp;ROW())=C94),1,0)))</f>
        <v>0</v>
      </c>
      <c r="J242">
        <f ca="1">IF(AND(INDIRECT(A73&amp;ROW())=B95,INDIRECT(A96&amp;ROW())=C95),1,IF(AND(INDIRECT(A73&amp;ROW())=B95,INDIRECT(A96&amp;ROW())=C96),1,0))</f>
        <v>1</v>
      </c>
      <c r="K242">
        <f ca="1">DAYS360(INDIRECT(C68&amp;ROW()),TODAY())</f>
        <v>721</v>
      </c>
      <c r="L242">
        <f ca="1">DAYS360(INDIRECT(C69&amp;ROW()),TODAY())</f>
        <v>821</v>
      </c>
      <c r="M242">
        <f ca="1">HYPERLINK(CONCATENATE("https://bugzilla.houston.hp.com:1181/bugzilla/show_bug.cgi?id=",INDIRECT(C70&amp;ROW())),INDIRECT(C70&amp;ROW()))</f>
        <v>55935</v>
      </c>
      <c r="N242">
        <v>55935</v>
      </c>
      <c r="O242" t="s">
        <v>56</v>
      </c>
      <c r="P242" t="s">
        <v>559</v>
      </c>
      <c r="Q242" t="s">
        <v>25</v>
      </c>
      <c r="R242" t="s">
        <v>248</v>
      </c>
      <c r="S242" t="s">
        <v>552</v>
      </c>
      <c r="U242" s="6">
        <v>42125.450902777775</v>
      </c>
      <c r="V242" t="s">
        <v>18</v>
      </c>
      <c r="W242" t="s">
        <v>322</v>
      </c>
      <c r="X242" s="6">
        <v>42025.634236111109</v>
      </c>
      <c r="Y242" t="s">
        <v>122</v>
      </c>
      <c r="AB242" t="s">
        <v>201</v>
      </c>
      <c r="AC242" t="s">
        <v>247</v>
      </c>
      <c r="AD242" t="s">
        <v>220</v>
      </c>
      <c r="AE242" t="s">
        <v>219</v>
      </c>
      <c r="AG242" t="s">
        <v>121</v>
      </c>
      <c r="AH242" t="s">
        <v>327</v>
      </c>
      <c r="AI242" t="s">
        <v>121</v>
      </c>
      <c r="AJ242" t="s">
        <v>716</v>
      </c>
      <c r="AK242" t="s">
        <v>121</v>
      </c>
    </row>
    <row r="243" spans="9:37" x14ac:dyDescent="0.3">
      <c r="I243">
        <f ca="1">IF(OR(INDIRECT(A73&amp;ROW())=B93,INDIRECT(A73&amp;ROW())=B94),1,IF(AND(INDIRECT(A73&amp;ROW())=B95,INDIRECT(A96&amp;ROW())=C93),1,IF(AND(INDIRECT(A73&amp;ROW())=B95,INDIRECT(A96&amp;ROW())=C94),1,0)))</f>
        <v>0</v>
      </c>
      <c r="J243">
        <f ca="1">IF(AND(INDIRECT(A73&amp;ROW())=B95,INDIRECT(A96&amp;ROW())=C95),1,IF(AND(INDIRECT(A73&amp;ROW())=B95,INDIRECT(A96&amp;ROW())=C96),1,0))</f>
        <v>1</v>
      </c>
      <c r="K243">
        <f ca="1">DAYS360(INDIRECT(C68&amp;ROW()),TODAY())</f>
        <v>721</v>
      </c>
      <c r="L243">
        <f ca="1">DAYS360(INDIRECT(C69&amp;ROW()),TODAY())</f>
        <v>820</v>
      </c>
      <c r="M243">
        <f ca="1">HYPERLINK(CONCATENATE("https://bugzilla.houston.hp.com:1181/bugzilla/show_bug.cgi?id=",INDIRECT(C70&amp;ROW())),INDIRECT(C70&amp;ROW()))</f>
        <v>55967</v>
      </c>
      <c r="N243">
        <v>55967</v>
      </c>
      <c r="O243" t="s">
        <v>21</v>
      </c>
      <c r="P243" t="s">
        <v>575</v>
      </c>
      <c r="Q243" t="s">
        <v>25</v>
      </c>
      <c r="R243" t="s">
        <v>251</v>
      </c>
      <c r="S243" t="s">
        <v>316</v>
      </c>
      <c r="U243" s="6">
        <v>42125.676608796297</v>
      </c>
      <c r="V243" t="s">
        <v>18</v>
      </c>
      <c r="W243" t="s">
        <v>17</v>
      </c>
      <c r="X243" s="6">
        <v>42026.318402777775</v>
      </c>
      <c r="Y243" t="s">
        <v>255</v>
      </c>
      <c r="AB243" t="s">
        <v>201</v>
      </c>
      <c r="AC243" t="s">
        <v>247</v>
      </c>
      <c r="AD243" t="s">
        <v>222</v>
      </c>
      <c r="AE243" t="s">
        <v>225</v>
      </c>
      <c r="AG243" t="s">
        <v>121</v>
      </c>
      <c r="AH243" t="s">
        <v>327</v>
      </c>
      <c r="AI243" t="s">
        <v>362</v>
      </c>
      <c r="AJ243" t="s">
        <v>716</v>
      </c>
      <c r="AK243" t="s">
        <v>121</v>
      </c>
    </row>
    <row r="244" spans="9:37" x14ac:dyDescent="0.3">
      <c r="I244">
        <f ca="1">IF(OR(INDIRECT(A73&amp;ROW())=B93,INDIRECT(A73&amp;ROW())=B94),1,IF(AND(INDIRECT(A73&amp;ROW())=B95,INDIRECT(A96&amp;ROW())=C93),1,IF(AND(INDIRECT(A73&amp;ROW())=B95,INDIRECT(A96&amp;ROW())=C94),1,0)))</f>
        <v>0</v>
      </c>
      <c r="J244">
        <f ca="1">IF(AND(INDIRECT(A73&amp;ROW())=B95,INDIRECT(A96&amp;ROW())=C95),1,IF(AND(INDIRECT(A73&amp;ROW())=B95,INDIRECT(A96&amp;ROW())=C96),1,0))</f>
        <v>1</v>
      </c>
      <c r="K244">
        <f ca="1">DAYS360(INDIRECT(C68&amp;ROW()),TODAY())</f>
        <v>721</v>
      </c>
      <c r="L244">
        <f ca="1">DAYS360(INDIRECT(C69&amp;ROW()),TODAY())</f>
        <v>820</v>
      </c>
      <c r="M244">
        <f ca="1">HYPERLINK(CONCATENATE("https://bugzilla.houston.hp.com:1181/bugzilla/show_bug.cgi?id=",INDIRECT(C70&amp;ROW())),INDIRECT(C70&amp;ROW()))</f>
        <v>55968</v>
      </c>
      <c r="N244">
        <v>55968</v>
      </c>
      <c r="O244" t="s">
        <v>21</v>
      </c>
      <c r="P244" t="s">
        <v>574</v>
      </c>
      <c r="Q244" t="s">
        <v>25</v>
      </c>
      <c r="R244" t="s">
        <v>251</v>
      </c>
      <c r="S244" t="s">
        <v>316</v>
      </c>
      <c r="U244" s="6">
        <v>42125.677905092591</v>
      </c>
      <c r="V244" t="s">
        <v>18</v>
      </c>
      <c r="W244" t="s">
        <v>17</v>
      </c>
      <c r="X244" s="6">
        <v>42026.333229166667</v>
      </c>
      <c r="Y244" t="s">
        <v>255</v>
      </c>
      <c r="AB244" t="s">
        <v>201</v>
      </c>
      <c r="AC244" t="s">
        <v>247</v>
      </c>
      <c r="AD244" t="s">
        <v>222</v>
      </c>
      <c r="AE244" t="s">
        <v>240</v>
      </c>
      <c r="AG244" t="s">
        <v>121</v>
      </c>
      <c r="AH244" t="s">
        <v>327</v>
      </c>
      <c r="AI244" t="s">
        <v>121</v>
      </c>
      <c r="AJ244" t="s">
        <v>716</v>
      </c>
      <c r="AK244" t="s">
        <v>121</v>
      </c>
    </row>
    <row r="245" spans="9:37" x14ac:dyDescent="0.3">
      <c r="I245">
        <f ca="1">IF(OR(INDIRECT(A73&amp;ROW())=B93,INDIRECT(A73&amp;ROW())=B94),1,IF(AND(INDIRECT(A73&amp;ROW())=B95,INDIRECT(A96&amp;ROW())=C93),1,IF(AND(INDIRECT(A73&amp;ROW())=B95,INDIRECT(A96&amp;ROW())=C94),1,0)))</f>
        <v>0</v>
      </c>
      <c r="J245">
        <f ca="1">IF(AND(INDIRECT(A73&amp;ROW())=B95,INDIRECT(A96&amp;ROW())=C95),1,IF(AND(INDIRECT(A73&amp;ROW())=B95,INDIRECT(A96&amp;ROW())=C96),1,0))</f>
        <v>1</v>
      </c>
      <c r="K245">
        <f ca="1">DAYS360(INDIRECT(C68&amp;ROW()),TODAY())</f>
        <v>721</v>
      </c>
      <c r="L245">
        <f ca="1">DAYS360(INDIRECT(C69&amp;ROW()),TODAY())</f>
        <v>820</v>
      </c>
      <c r="M245">
        <f ca="1">HYPERLINK(CONCATENATE("https://bugzilla.houston.hp.com:1181/bugzilla/show_bug.cgi?id=",INDIRECT(C70&amp;ROW())),INDIRECT(C70&amp;ROW()))</f>
        <v>55971</v>
      </c>
      <c r="N245">
        <v>55971</v>
      </c>
      <c r="O245" t="s">
        <v>56</v>
      </c>
      <c r="P245" t="s">
        <v>570</v>
      </c>
      <c r="Q245" t="s">
        <v>25</v>
      </c>
      <c r="R245" t="s">
        <v>251</v>
      </c>
      <c r="S245" t="s">
        <v>66</v>
      </c>
      <c r="U245" s="6">
        <v>42125.45171296296</v>
      </c>
      <c r="V245" t="s">
        <v>18</v>
      </c>
      <c r="W245" t="s">
        <v>17</v>
      </c>
      <c r="X245" s="6">
        <v>42026.434212962966</v>
      </c>
      <c r="Y245" t="s">
        <v>122</v>
      </c>
      <c r="AB245" t="s">
        <v>201</v>
      </c>
      <c r="AC245" t="s">
        <v>247</v>
      </c>
      <c r="AD245" t="s">
        <v>220</v>
      </c>
      <c r="AE245" t="s">
        <v>219</v>
      </c>
      <c r="AG245" t="s">
        <v>121</v>
      </c>
      <c r="AH245" t="s">
        <v>327</v>
      </c>
      <c r="AI245" t="s">
        <v>121</v>
      </c>
      <c r="AJ245" t="s">
        <v>716</v>
      </c>
      <c r="AK245" t="s">
        <v>121</v>
      </c>
    </row>
    <row r="246" spans="9:37" x14ac:dyDescent="0.3">
      <c r="I246">
        <f ca="1">IF(OR(INDIRECT(A73&amp;ROW())=B93,INDIRECT(A73&amp;ROW())=B94),1,IF(AND(INDIRECT(A73&amp;ROW())=B95,INDIRECT(A96&amp;ROW())=C93),1,IF(AND(INDIRECT(A73&amp;ROW())=B95,INDIRECT(A96&amp;ROW())=C94),1,0)))</f>
        <v>0</v>
      </c>
      <c r="J246">
        <f ca="1">IF(AND(INDIRECT(A73&amp;ROW())=B95,INDIRECT(A96&amp;ROW())=C95),1,IF(AND(INDIRECT(A73&amp;ROW())=B95,INDIRECT(A96&amp;ROW())=C96),1,0))</f>
        <v>1</v>
      </c>
      <c r="K246">
        <f ca="1">DAYS360(INDIRECT(C68&amp;ROW()),TODAY())</f>
        <v>721</v>
      </c>
      <c r="L246">
        <f ca="1">DAYS360(INDIRECT(C69&amp;ROW()),TODAY())</f>
        <v>820</v>
      </c>
      <c r="M246">
        <f ca="1">HYPERLINK(CONCATENATE("https://bugzilla.houston.hp.com:1181/bugzilla/show_bug.cgi?id=",INDIRECT(C70&amp;ROW())),INDIRECT(C70&amp;ROW()))</f>
        <v>55972</v>
      </c>
      <c r="N246">
        <v>55972</v>
      </c>
      <c r="O246" t="s">
        <v>56</v>
      </c>
      <c r="P246" t="s">
        <v>609</v>
      </c>
      <c r="Q246" t="s">
        <v>25</v>
      </c>
      <c r="R246" t="s">
        <v>251</v>
      </c>
      <c r="S246" t="s">
        <v>66</v>
      </c>
      <c r="U246" s="6">
        <v>42125.451805555553</v>
      </c>
      <c r="V246" t="s">
        <v>18</v>
      </c>
      <c r="W246" t="s">
        <v>17</v>
      </c>
      <c r="X246" s="6">
        <v>42026.457569444443</v>
      </c>
      <c r="Y246" t="s">
        <v>122</v>
      </c>
      <c r="AB246" t="s">
        <v>201</v>
      </c>
      <c r="AC246" t="s">
        <v>247</v>
      </c>
      <c r="AD246" t="s">
        <v>220</v>
      </c>
      <c r="AE246" t="s">
        <v>219</v>
      </c>
      <c r="AG246" t="s">
        <v>121</v>
      </c>
      <c r="AH246" t="s">
        <v>327</v>
      </c>
      <c r="AI246" t="s">
        <v>121</v>
      </c>
      <c r="AJ246" t="s">
        <v>716</v>
      </c>
      <c r="AK246" t="s">
        <v>121</v>
      </c>
    </row>
    <row r="247" spans="9:37" x14ac:dyDescent="0.3">
      <c r="I247">
        <f ca="1">IF(OR(INDIRECT(A73&amp;ROW())=B93,INDIRECT(A73&amp;ROW())=B94),1,IF(AND(INDIRECT(A73&amp;ROW())=B95,INDIRECT(A96&amp;ROW())=C93),1,IF(AND(INDIRECT(A73&amp;ROW())=B95,INDIRECT(A96&amp;ROW())=C94),1,0)))</f>
        <v>0</v>
      </c>
      <c r="J247">
        <f ca="1">IF(AND(INDIRECT(A73&amp;ROW())=B95,INDIRECT(A96&amp;ROW())=C95),1,IF(AND(INDIRECT(A73&amp;ROW())=B95,INDIRECT(A96&amp;ROW())=C96),1,0))</f>
        <v>1</v>
      </c>
      <c r="K247">
        <f ca="1">DAYS360(INDIRECT(C68&amp;ROW()),TODAY())</f>
        <v>721</v>
      </c>
      <c r="L247">
        <f ca="1">DAYS360(INDIRECT(C69&amp;ROW()),TODAY())</f>
        <v>820</v>
      </c>
      <c r="M247">
        <f ca="1">HYPERLINK(CONCATENATE("https://bugzilla.houston.hp.com:1181/bugzilla/show_bug.cgi?id=",INDIRECT(C70&amp;ROW())),INDIRECT(C70&amp;ROW()))</f>
        <v>55976</v>
      </c>
      <c r="N247">
        <v>55976</v>
      </c>
      <c r="O247" t="s">
        <v>56</v>
      </c>
      <c r="P247" t="s">
        <v>569</v>
      </c>
      <c r="Q247" t="s">
        <v>25</v>
      </c>
      <c r="R247" t="s">
        <v>248</v>
      </c>
      <c r="S247" t="s">
        <v>552</v>
      </c>
      <c r="U247" s="6">
        <v>42125.451678240737</v>
      </c>
      <c r="V247" t="s">
        <v>18</v>
      </c>
      <c r="W247" t="s">
        <v>322</v>
      </c>
      <c r="X247" s="6">
        <v>42026.495092592595</v>
      </c>
      <c r="Y247" t="s">
        <v>122</v>
      </c>
      <c r="AB247" t="s">
        <v>201</v>
      </c>
      <c r="AC247" t="s">
        <v>247</v>
      </c>
      <c r="AD247" t="s">
        <v>220</v>
      </c>
      <c r="AE247" t="s">
        <v>219</v>
      </c>
      <c r="AG247" t="s">
        <v>121</v>
      </c>
      <c r="AH247" t="s">
        <v>327</v>
      </c>
      <c r="AI247" t="s">
        <v>121</v>
      </c>
      <c r="AJ247" t="s">
        <v>716</v>
      </c>
      <c r="AK247" t="s">
        <v>121</v>
      </c>
    </row>
    <row r="248" spans="9:37" x14ac:dyDescent="0.3">
      <c r="I248">
        <f ca="1">IF(OR(INDIRECT(A73&amp;ROW())=B93,INDIRECT(A73&amp;ROW())=B94),1,IF(AND(INDIRECT(A73&amp;ROW())=B95,INDIRECT(A96&amp;ROW())=C93),1,IF(AND(INDIRECT(A73&amp;ROW())=B95,INDIRECT(A96&amp;ROW())=C94),1,0)))</f>
        <v>0</v>
      </c>
      <c r="J248">
        <f ca="1">IF(AND(INDIRECT(A73&amp;ROW())=B95,INDIRECT(A96&amp;ROW())=C95),1,IF(AND(INDIRECT(A73&amp;ROW())=B95,INDIRECT(A96&amp;ROW())=C96),1,0))</f>
        <v>1</v>
      </c>
      <c r="K248">
        <f ca="1">DAYS360(INDIRECT(C68&amp;ROW()),TODAY())</f>
        <v>721</v>
      </c>
      <c r="L248">
        <f ca="1">DAYS360(INDIRECT(C69&amp;ROW()),TODAY())</f>
        <v>820</v>
      </c>
      <c r="M248">
        <f ca="1">HYPERLINK(CONCATENATE("https://bugzilla.houston.hp.com:1181/bugzilla/show_bug.cgi?id=",INDIRECT(C70&amp;ROW())),INDIRECT(C70&amp;ROW()))</f>
        <v>55978</v>
      </c>
      <c r="N248">
        <v>55978</v>
      </c>
      <c r="O248" t="s">
        <v>56</v>
      </c>
      <c r="P248" t="s">
        <v>568</v>
      </c>
      <c r="Q248" t="s">
        <v>25</v>
      </c>
      <c r="R248" t="s">
        <v>251</v>
      </c>
      <c r="S248" t="s">
        <v>66</v>
      </c>
      <c r="U248" s="6">
        <v>42125.451793981483</v>
      </c>
      <c r="V248" t="s">
        <v>18</v>
      </c>
      <c r="W248" t="s">
        <v>17</v>
      </c>
      <c r="X248" s="6">
        <v>42026.602916666663</v>
      </c>
      <c r="Y248" t="s">
        <v>122</v>
      </c>
      <c r="AB248" t="s">
        <v>201</v>
      </c>
      <c r="AC248" t="s">
        <v>247</v>
      </c>
      <c r="AD248" t="s">
        <v>220</v>
      </c>
      <c r="AE248" t="s">
        <v>219</v>
      </c>
      <c r="AG248" t="s">
        <v>121</v>
      </c>
      <c r="AH248" t="s">
        <v>327</v>
      </c>
      <c r="AI248" t="s">
        <v>121</v>
      </c>
      <c r="AJ248" t="s">
        <v>716</v>
      </c>
      <c r="AK248" t="s">
        <v>121</v>
      </c>
    </row>
    <row r="249" spans="9:37" x14ac:dyDescent="0.3">
      <c r="I249">
        <f ca="1">IF(OR(INDIRECT(A73&amp;ROW())=B93,INDIRECT(A73&amp;ROW())=B94),1,IF(AND(INDIRECT(A73&amp;ROW())=B95,INDIRECT(A96&amp;ROW())=C93),1,IF(AND(INDIRECT(A73&amp;ROW())=B95,INDIRECT(A96&amp;ROW())=C94),1,0)))</f>
        <v>0</v>
      </c>
      <c r="J249">
        <f ca="1">IF(AND(INDIRECT(A73&amp;ROW())=B95,INDIRECT(A96&amp;ROW())=C95),1,IF(AND(INDIRECT(A73&amp;ROW())=B95,INDIRECT(A96&amp;ROW())=C96),1,0))</f>
        <v>1</v>
      </c>
      <c r="K249">
        <f ca="1">DAYS360(INDIRECT(C68&amp;ROW()),TODAY())</f>
        <v>721</v>
      </c>
      <c r="L249">
        <f ca="1">DAYS360(INDIRECT(C69&amp;ROW()),TODAY())</f>
        <v>819</v>
      </c>
      <c r="M249">
        <f ca="1">HYPERLINK(CONCATENATE("https://bugzilla.houston.hp.com:1181/bugzilla/show_bug.cgi?id=",INDIRECT(C70&amp;ROW())),INDIRECT(C70&amp;ROW()))</f>
        <v>56013</v>
      </c>
      <c r="N249">
        <v>56013</v>
      </c>
      <c r="O249" t="s">
        <v>56</v>
      </c>
      <c r="P249" t="s">
        <v>567</v>
      </c>
      <c r="Q249" t="s">
        <v>25</v>
      </c>
      <c r="R249" t="s">
        <v>248</v>
      </c>
      <c r="S249" t="s">
        <v>552</v>
      </c>
      <c r="U249" s="6">
        <v>42125.451886574076</v>
      </c>
      <c r="V249" t="s">
        <v>18</v>
      </c>
      <c r="W249" t="s">
        <v>322</v>
      </c>
      <c r="X249" s="6">
        <v>42027.410879629628</v>
      </c>
      <c r="Y249" t="s">
        <v>122</v>
      </c>
      <c r="AB249" t="s">
        <v>201</v>
      </c>
      <c r="AC249" t="s">
        <v>247</v>
      </c>
      <c r="AD249" t="s">
        <v>220</v>
      </c>
      <c r="AE249" t="s">
        <v>219</v>
      </c>
      <c r="AG249" t="s">
        <v>121</v>
      </c>
      <c r="AH249" t="s">
        <v>327</v>
      </c>
      <c r="AI249" t="s">
        <v>121</v>
      </c>
      <c r="AJ249" t="s">
        <v>716</v>
      </c>
      <c r="AK249" t="s">
        <v>121</v>
      </c>
    </row>
    <row r="250" spans="9:37" x14ac:dyDescent="0.3">
      <c r="I250">
        <f ca="1">IF(OR(INDIRECT(A73&amp;ROW())=B93,INDIRECT(A73&amp;ROW())=B94),1,IF(AND(INDIRECT(A73&amp;ROW())=B95,INDIRECT(A96&amp;ROW())=C93),1,IF(AND(INDIRECT(A73&amp;ROW())=B95,INDIRECT(A96&amp;ROW())=C94),1,0)))</f>
        <v>0</v>
      </c>
      <c r="J250">
        <f ca="1">IF(AND(INDIRECT(A73&amp;ROW())=B95,INDIRECT(A96&amp;ROW())=C95),1,IF(AND(INDIRECT(A73&amp;ROW())=B95,INDIRECT(A96&amp;ROW())=C96),1,0))</f>
        <v>1</v>
      </c>
      <c r="K250">
        <f ca="1">DAYS360(INDIRECT(C68&amp;ROW()),TODAY())</f>
        <v>721</v>
      </c>
      <c r="L250">
        <f ca="1">DAYS360(INDIRECT(C69&amp;ROW()),TODAY())</f>
        <v>819</v>
      </c>
      <c r="M250">
        <f ca="1">HYPERLINK(CONCATENATE("https://bugzilla.houston.hp.com:1181/bugzilla/show_bug.cgi?id=",INDIRECT(C70&amp;ROW())),INDIRECT(C70&amp;ROW()))</f>
        <v>56028</v>
      </c>
      <c r="N250">
        <v>56028</v>
      </c>
      <c r="O250" t="s">
        <v>21</v>
      </c>
      <c r="P250" t="s">
        <v>573</v>
      </c>
      <c r="Q250" t="s">
        <v>25</v>
      </c>
      <c r="R250" t="s">
        <v>248</v>
      </c>
      <c r="S250" t="s">
        <v>552</v>
      </c>
      <c r="U250" s="6">
        <v>42125.676585648151</v>
      </c>
      <c r="V250" t="s">
        <v>18</v>
      </c>
      <c r="W250" t="s">
        <v>531</v>
      </c>
      <c r="X250" s="6">
        <v>42027.631597222222</v>
      </c>
      <c r="Y250" t="s">
        <v>255</v>
      </c>
      <c r="AB250" t="s">
        <v>201</v>
      </c>
      <c r="AC250" t="s">
        <v>247</v>
      </c>
      <c r="AD250" t="s">
        <v>222</v>
      </c>
      <c r="AE250" t="s">
        <v>225</v>
      </c>
      <c r="AG250" t="s">
        <v>121</v>
      </c>
      <c r="AH250" t="s">
        <v>327</v>
      </c>
      <c r="AI250" t="s">
        <v>362</v>
      </c>
      <c r="AJ250" t="s">
        <v>716</v>
      </c>
      <c r="AK250" t="s">
        <v>121</v>
      </c>
    </row>
    <row r="251" spans="9:37" x14ac:dyDescent="0.3">
      <c r="I251">
        <f ca="1">IF(OR(INDIRECT(A73&amp;ROW())=B93,INDIRECT(A73&amp;ROW())=B94),1,IF(AND(INDIRECT(A73&amp;ROW())=B95,INDIRECT(A96&amp;ROW())=C93),1,IF(AND(INDIRECT(A73&amp;ROW())=B95,INDIRECT(A96&amp;ROW())=C94),1,0)))</f>
        <v>0</v>
      </c>
      <c r="J251">
        <f ca="1">IF(AND(INDIRECT(A73&amp;ROW())=B95,INDIRECT(A96&amp;ROW())=C95),1,IF(AND(INDIRECT(A73&amp;ROW())=B95,INDIRECT(A96&amp;ROW())=C96),1,0))</f>
        <v>1</v>
      </c>
      <c r="K251">
        <f ca="1">DAYS360(INDIRECT(C68&amp;ROW()),TODAY())</f>
        <v>721</v>
      </c>
      <c r="L251">
        <f ca="1">DAYS360(INDIRECT(C69&amp;ROW()),TODAY())</f>
        <v>819</v>
      </c>
      <c r="M251">
        <f ca="1">HYPERLINK(CONCATENATE("https://bugzilla.houston.hp.com:1181/bugzilla/show_bug.cgi?id=",INDIRECT(C70&amp;ROW())),INDIRECT(C70&amp;ROW()))</f>
        <v>56029</v>
      </c>
      <c r="N251">
        <v>56029</v>
      </c>
      <c r="O251" t="s">
        <v>21</v>
      </c>
      <c r="P251" t="s">
        <v>572</v>
      </c>
      <c r="Q251" t="s">
        <v>25</v>
      </c>
      <c r="R251" t="s">
        <v>248</v>
      </c>
      <c r="S251" t="s">
        <v>552</v>
      </c>
      <c r="U251" s="6">
        <v>42125.677881944444</v>
      </c>
      <c r="V251" t="s">
        <v>18</v>
      </c>
      <c r="W251" t="s">
        <v>531</v>
      </c>
      <c r="X251" s="6">
        <v>42027.633900462963</v>
      </c>
      <c r="Y251" t="s">
        <v>255</v>
      </c>
      <c r="AB251" t="s">
        <v>201</v>
      </c>
      <c r="AC251" t="s">
        <v>247</v>
      </c>
      <c r="AD251" t="s">
        <v>222</v>
      </c>
      <c r="AE251" t="s">
        <v>240</v>
      </c>
      <c r="AG251" t="s">
        <v>121</v>
      </c>
      <c r="AH251" t="s">
        <v>327</v>
      </c>
      <c r="AI251" t="s">
        <v>121</v>
      </c>
      <c r="AJ251" t="s">
        <v>716</v>
      </c>
      <c r="AK251" t="s">
        <v>121</v>
      </c>
    </row>
    <row r="252" spans="9:37" x14ac:dyDescent="0.3">
      <c r="I252">
        <f ca="1">IF(OR(INDIRECT(A73&amp;ROW())=B93,INDIRECT(A73&amp;ROW())=B94),1,IF(AND(INDIRECT(A73&amp;ROW())=B95,INDIRECT(A96&amp;ROW())=C93),1,IF(AND(INDIRECT(A73&amp;ROW())=B95,INDIRECT(A96&amp;ROW())=C94),1,0)))</f>
        <v>0</v>
      </c>
      <c r="J252">
        <f ca="1">IF(AND(INDIRECT(A73&amp;ROW())=B95,INDIRECT(A96&amp;ROW())=C95),1,IF(AND(INDIRECT(A73&amp;ROW())=B95,INDIRECT(A96&amp;ROW())=C96),1,0))</f>
        <v>1</v>
      </c>
      <c r="K252">
        <f ca="1">DAYS360(INDIRECT(C68&amp;ROW()),TODAY())</f>
        <v>730</v>
      </c>
      <c r="L252">
        <f ca="1">DAYS360(INDIRECT(C69&amp;ROW()),TODAY())</f>
        <v>819</v>
      </c>
      <c r="M252">
        <f ca="1">HYPERLINK(CONCATENATE("https://bugzilla.houston.hp.com:1181/bugzilla/show_bug.cgi?id=",INDIRECT(C70&amp;ROW())),INDIRECT(C70&amp;ROW()))</f>
        <v>56033</v>
      </c>
      <c r="N252">
        <v>56033</v>
      </c>
      <c r="O252" t="s">
        <v>56</v>
      </c>
      <c r="P252" t="s">
        <v>585</v>
      </c>
      <c r="Q252" t="s">
        <v>25</v>
      </c>
      <c r="R252" t="s">
        <v>251</v>
      </c>
      <c r="S252" t="s">
        <v>66</v>
      </c>
      <c r="U252" s="6">
        <v>42116.735208333332</v>
      </c>
      <c r="V252" t="s">
        <v>18</v>
      </c>
      <c r="W252" t="s">
        <v>17</v>
      </c>
      <c r="X252" s="6">
        <v>42027.722395833334</v>
      </c>
      <c r="Y252" t="s">
        <v>124</v>
      </c>
      <c r="AB252" t="s">
        <v>201</v>
      </c>
      <c r="AC252" t="s">
        <v>247</v>
      </c>
      <c r="AD252" t="s">
        <v>220</v>
      </c>
      <c r="AE252" t="s">
        <v>219</v>
      </c>
      <c r="AG252" t="s">
        <v>121</v>
      </c>
      <c r="AH252" t="s">
        <v>327</v>
      </c>
      <c r="AI252" t="s">
        <v>121</v>
      </c>
      <c r="AJ252" t="s">
        <v>716</v>
      </c>
      <c r="AK252" t="s">
        <v>121</v>
      </c>
    </row>
    <row r="253" spans="9:37" x14ac:dyDescent="0.3">
      <c r="I253">
        <f ca="1">IF(OR(INDIRECT(A73&amp;ROW())=B93,INDIRECT(A73&amp;ROW())=B94),1,IF(AND(INDIRECT(A73&amp;ROW())=B95,INDIRECT(A96&amp;ROW())=C93),1,IF(AND(INDIRECT(A73&amp;ROW())=B95,INDIRECT(A96&amp;ROW())=C94),1,0)))</f>
        <v>0</v>
      </c>
      <c r="J253">
        <f ca="1">IF(AND(INDIRECT(A73&amp;ROW())=B95,INDIRECT(A96&amp;ROW())=C95),1,IF(AND(INDIRECT(A73&amp;ROW())=B95,INDIRECT(A96&amp;ROW())=C96),1,0))</f>
        <v>1</v>
      </c>
      <c r="K253">
        <f ca="1">DAYS360(INDIRECT(C68&amp;ROW()),TODAY())</f>
        <v>816</v>
      </c>
      <c r="L253">
        <f ca="1">DAYS360(INDIRECT(C69&amp;ROW()),TODAY())</f>
        <v>816</v>
      </c>
      <c r="M253">
        <f ca="1">HYPERLINK(CONCATENATE("https://bugzilla.houston.hp.com:1181/bugzilla/show_bug.cgi?id=",INDIRECT(C70&amp;ROW())),INDIRECT(C70&amp;ROW()))</f>
        <v>56045</v>
      </c>
      <c r="N253">
        <v>56045</v>
      </c>
      <c r="O253" t="s">
        <v>56</v>
      </c>
      <c r="P253" t="s">
        <v>571</v>
      </c>
      <c r="Q253" t="s">
        <v>25</v>
      </c>
      <c r="R253" t="s">
        <v>248</v>
      </c>
      <c r="S253" t="s">
        <v>552</v>
      </c>
      <c r="U253" s="6">
        <v>42030.326377314814</v>
      </c>
      <c r="V253" t="s">
        <v>18</v>
      </c>
      <c r="W253" t="s">
        <v>205</v>
      </c>
      <c r="X253" s="6">
        <v>42030.325902777775</v>
      </c>
      <c r="Y253" t="s">
        <v>124</v>
      </c>
      <c r="AB253" t="s">
        <v>201</v>
      </c>
      <c r="AC253" t="s">
        <v>247</v>
      </c>
      <c r="AD253" t="s">
        <v>220</v>
      </c>
      <c r="AE253" t="s">
        <v>219</v>
      </c>
      <c r="AG253" t="s">
        <v>121</v>
      </c>
      <c r="AH253" t="s">
        <v>327</v>
      </c>
      <c r="AI253" t="s">
        <v>121</v>
      </c>
      <c r="AJ253" t="s">
        <v>716</v>
      </c>
      <c r="AK253" t="s">
        <v>121</v>
      </c>
    </row>
    <row r="254" spans="9:37" x14ac:dyDescent="0.3">
      <c r="I254">
        <f ca="1">IF(OR(INDIRECT(A73&amp;ROW())=B93,INDIRECT(A73&amp;ROW())=B94),1,IF(AND(INDIRECT(A73&amp;ROW())=B95,INDIRECT(A96&amp;ROW())=C93),1,IF(AND(INDIRECT(A73&amp;ROW())=B95,INDIRECT(A96&amp;ROW())=C94),1,0)))</f>
        <v>0</v>
      </c>
      <c r="J254">
        <f ca="1">IF(AND(INDIRECT(A73&amp;ROW())=B95,INDIRECT(A96&amp;ROW())=C95),1,IF(AND(INDIRECT(A73&amp;ROW())=B95,INDIRECT(A96&amp;ROW())=C96),1,0))</f>
        <v>1</v>
      </c>
      <c r="K254">
        <f ca="1">DAYS360(INDIRECT(C68&amp;ROW()),TODAY())</f>
        <v>721</v>
      </c>
      <c r="L254">
        <f ca="1">DAYS360(INDIRECT(C69&amp;ROW()),TODAY())</f>
        <v>816</v>
      </c>
      <c r="M254">
        <f ca="1">HYPERLINK(CONCATENATE("https://bugzilla.houston.hp.com:1181/bugzilla/show_bug.cgi?id=",INDIRECT(C70&amp;ROW())),INDIRECT(C70&amp;ROW()))</f>
        <v>56053</v>
      </c>
      <c r="N254">
        <v>56053</v>
      </c>
      <c r="O254" t="s">
        <v>56</v>
      </c>
      <c r="P254" t="s">
        <v>584</v>
      </c>
      <c r="Q254" t="s">
        <v>25</v>
      </c>
      <c r="R254" t="s">
        <v>251</v>
      </c>
      <c r="S254" t="s">
        <v>66</v>
      </c>
      <c r="U254" s="6">
        <v>42125.452870370369</v>
      </c>
      <c r="V254" t="s">
        <v>18</v>
      </c>
      <c r="W254" t="s">
        <v>17</v>
      </c>
      <c r="X254" s="6">
        <v>42030.454444444447</v>
      </c>
      <c r="Y254" t="s">
        <v>122</v>
      </c>
      <c r="AB254" t="s">
        <v>201</v>
      </c>
      <c r="AC254" t="s">
        <v>247</v>
      </c>
      <c r="AD254" t="s">
        <v>220</v>
      </c>
      <c r="AE254" t="s">
        <v>219</v>
      </c>
      <c r="AG254" t="s">
        <v>121</v>
      </c>
      <c r="AH254" t="s">
        <v>327</v>
      </c>
      <c r="AI254" t="s">
        <v>121</v>
      </c>
      <c r="AJ254" t="s">
        <v>716</v>
      </c>
      <c r="AK254" t="s">
        <v>121</v>
      </c>
    </row>
    <row r="255" spans="9:37" x14ac:dyDescent="0.3">
      <c r="I255">
        <f ca="1">IF(OR(INDIRECT(A73&amp;ROW())=B93,INDIRECT(A73&amp;ROW())=B94),1,IF(AND(INDIRECT(A73&amp;ROW())=B95,INDIRECT(A96&amp;ROW())=C93),1,IF(AND(INDIRECT(A73&amp;ROW())=B95,INDIRECT(A96&amp;ROW())=C94),1,0)))</f>
        <v>0</v>
      </c>
      <c r="J255">
        <f ca="1">IF(AND(INDIRECT(A73&amp;ROW())=B95,INDIRECT(A96&amp;ROW())=C95),1,IF(AND(INDIRECT(A73&amp;ROW())=B95,INDIRECT(A96&amp;ROW())=C96),1,0))</f>
        <v>1</v>
      </c>
      <c r="K255">
        <f ca="1">DAYS360(INDIRECT(C68&amp;ROW()),TODAY())</f>
        <v>721</v>
      </c>
      <c r="L255">
        <f ca="1">DAYS360(INDIRECT(C69&amp;ROW()),TODAY())</f>
        <v>816</v>
      </c>
      <c r="M255">
        <f ca="1">HYPERLINK(CONCATENATE("https://bugzilla.houston.hp.com:1181/bugzilla/show_bug.cgi?id=",INDIRECT(C70&amp;ROW())),INDIRECT(C70&amp;ROW()))</f>
        <v>56057</v>
      </c>
      <c r="N255">
        <v>56057</v>
      </c>
      <c r="O255" t="s">
        <v>56</v>
      </c>
      <c r="P255" t="s">
        <v>583</v>
      </c>
      <c r="Q255" t="s">
        <v>25</v>
      </c>
      <c r="R255" t="s">
        <v>248</v>
      </c>
      <c r="S255" t="s">
        <v>552</v>
      </c>
      <c r="U255" s="6">
        <v>42125.452974537038</v>
      </c>
      <c r="V255" t="s">
        <v>18</v>
      </c>
      <c r="W255" t="s">
        <v>322</v>
      </c>
      <c r="X255" s="6">
        <v>42030.48777777778</v>
      </c>
      <c r="Y255" t="s">
        <v>122</v>
      </c>
      <c r="AB255" t="s">
        <v>201</v>
      </c>
      <c r="AC255" t="s">
        <v>247</v>
      </c>
      <c r="AD255" t="s">
        <v>220</v>
      </c>
      <c r="AE255" t="s">
        <v>219</v>
      </c>
      <c r="AG255" t="s">
        <v>121</v>
      </c>
      <c r="AH255" t="s">
        <v>327</v>
      </c>
      <c r="AI255" t="s">
        <v>121</v>
      </c>
      <c r="AJ255" t="s">
        <v>716</v>
      </c>
      <c r="AK255" t="s">
        <v>121</v>
      </c>
    </row>
    <row r="256" spans="9:37" x14ac:dyDescent="0.3">
      <c r="I256">
        <f ca="1">IF(OR(INDIRECT(A73&amp;ROW())=B93,INDIRECT(A73&amp;ROW())=B94),1,IF(AND(INDIRECT(A73&amp;ROW())=B95,INDIRECT(A96&amp;ROW())=C93),1,IF(AND(INDIRECT(A73&amp;ROW())=B95,INDIRECT(A96&amp;ROW())=C94),1,0)))</f>
        <v>0</v>
      </c>
      <c r="J256">
        <f ca="1">IF(AND(INDIRECT(A73&amp;ROW())=B95,INDIRECT(A96&amp;ROW())=C95),1,IF(AND(INDIRECT(A73&amp;ROW())=B95,INDIRECT(A96&amp;ROW())=C96),1,0))</f>
        <v>1</v>
      </c>
      <c r="K256">
        <f ca="1">DAYS360(INDIRECT(C68&amp;ROW()),TODAY())</f>
        <v>721</v>
      </c>
      <c r="L256">
        <f ca="1">DAYS360(INDIRECT(C69&amp;ROW()),TODAY())</f>
        <v>816</v>
      </c>
      <c r="M256">
        <f ca="1">HYPERLINK(CONCATENATE("https://bugzilla.houston.hp.com:1181/bugzilla/show_bug.cgi?id=",INDIRECT(C70&amp;ROW())),INDIRECT(C70&amp;ROW()))</f>
        <v>56067</v>
      </c>
      <c r="N256">
        <v>56067</v>
      </c>
      <c r="O256" t="s">
        <v>56</v>
      </c>
      <c r="P256" t="s">
        <v>582</v>
      </c>
      <c r="Q256" t="s">
        <v>25</v>
      </c>
      <c r="R256" t="s">
        <v>251</v>
      </c>
      <c r="S256" t="s">
        <v>66</v>
      </c>
      <c r="U256" s="6">
        <v>42125.452881944446</v>
      </c>
      <c r="V256" t="s">
        <v>18</v>
      </c>
      <c r="W256" t="s">
        <v>17</v>
      </c>
      <c r="X256" s="6">
        <v>42030.65353009259</v>
      </c>
      <c r="Y256" t="s">
        <v>122</v>
      </c>
      <c r="AB256" t="s">
        <v>201</v>
      </c>
      <c r="AC256" t="s">
        <v>247</v>
      </c>
      <c r="AD256" t="s">
        <v>220</v>
      </c>
      <c r="AE256" t="s">
        <v>219</v>
      </c>
      <c r="AG256" t="s">
        <v>121</v>
      </c>
      <c r="AH256" t="s">
        <v>327</v>
      </c>
      <c r="AI256" t="s">
        <v>121</v>
      </c>
      <c r="AJ256" t="s">
        <v>716</v>
      </c>
      <c r="AK256" t="s">
        <v>121</v>
      </c>
    </row>
    <row r="257" spans="9:37" x14ac:dyDescent="0.3">
      <c r="I257">
        <f ca="1">IF(OR(INDIRECT(A73&amp;ROW())=B93,INDIRECT(A73&amp;ROW())=B94),1,IF(AND(INDIRECT(A73&amp;ROW())=B95,INDIRECT(A96&amp;ROW())=C93),1,IF(AND(INDIRECT(A73&amp;ROW())=B95,INDIRECT(A96&amp;ROW())=C94),1,0)))</f>
        <v>0</v>
      </c>
      <c r="J257">
        <f ca="1">IF(AND(INDIRECT(A73&amp;ROW())=B95,INDIRECT(A96&amp;ROW())=C95),1,IF(AND(INDIRECT(A73&amp;ROW())=B95,INDIRECT(A96&amp;ROW())=C96),1,0))</f>
        <v>1</v>
      </c>
      <c r="K257">
        <f ca="1">DAYS360(INDIRECT(C68&amp;ROW()),TODAY())</f>
        <v>721</v>
      </c>
      <c r="L257">
        <f ca="1">DAYS360(INDIRECT(C69&amp;ROW()),TODAY())</f>
        <v>816</v>
      </c>
      <c r="M257">
        <f ca="1">HYPERLINK(CONCATENATE("https://bugzilla.houston.hp.com:1181/bugzilla/show_bug.cgi?id=",INDIRECT(C70&amp;ROW())),INDIRECT(C70&amp;ROW()))</f>
        <v>56070</v>
      </c>
      <c r="N257">
        <v>56070</v>
      </c>
      <c r="O257" t="s">
        <v>56</v>
      </c>
      <c r="P257" t="s">
        <v>581</v>
      </c>
      <c r="Q257" t="s">
        <v>25</v>
      </c>
      <c r="R257" t="s">
        <v>248</v>
      </c>
      <c r="S257" t="s">
        <v>552</v>
      </c>
      <c r="U257" s="6">
        <v>42125.452928240738</v>
      </c>
      <c r="V257" t="s">
        <v>18</v>
      </c>
      <c r="W257" t="s">
        <v>322</v>
      </c>
      <c r="X257" s="6">
        <v>42030.662905092591</v>
      </c>
      <c r="Y257" t="s">
        <v>122</v>
      </c>
      <c r="AB257" t="s">
        <v>201</v>
      </c>
      <c r="AC257" t="s">
        <v>247</v>
      </c>
      <c r="AD257" t="s">
        <v>220</v>
      </c>
      <c r="AE257" t="s">
        <v>219</v>
      </c>
      <c r="AG257" t="s">
        <v>121</v>
      </c>
      <c r="AH257" t="s">
        <v>327</v>
      </c>
      <c r="AI257" t="s">
        <v>121</v>
      </c>
      <c r="AJ257" t="s">
        <v>716</v>
      </c>
      <c r="AK257" t="s">
        <v>121</v>
      </c>
    </row>
    <row r="258" spans="9:37" x14ac:dyDescent="0.3">
      <c r="I258">
        <f ca="1">IF(OR(INDIRECT(A73&amp;ROW())=B93,INDIRECT(A73&amp;ROW())=B94),1,IF(AND(INDIRECT(A73&amp;ROW())=B95,INDIRECT(A96&amp;ROW())=C93),1,IF(AND(INDIRECT(A73&amp;ROW())=B95,INDIRECT(A96&amp;ROW())=C94),1,0)))</f>
        <v>1</v>
      </c>
      <c r="J258">
        <f ca="1">IF(AND(INDIRECT(A73&amp;ROW())=B95,INDIRECT(A96&amp;ROW())=C95),1,IF(AND(INDIRECT(A73&amp;ROW())=B95,INDIRECT(A96&amp;ROW())=C96),1,0))</f>
        <v>0</v>
      </c>
      <c r="K258">
        <f ca="1">DAYS360(INDIRECT(C68&amp;ROW()),TODAY())</f>
        <v>721</v>
      </c>
      <c r="L258">
        <f ca="1">DAYS360(INDIRECT(C69&amp;ROW()),TODAY())</f>
        <v>815</v>
      </c>
      <c r="M258">
        <f ca="1">HYPERLINK(CONCATENATE("https://bugzilla.houston.hp.com:1181/bugzilla/show_bug.cgi?id=",INDIRECT(C70&amp;ROW())),INDIRECT(C70&amp;ROW()))</f>
        <v>56087</v>
      </c>
      <c r="N258">
        <v>56087</v>
      </c>
      <c r="O258" t="s">
        <v>241</v>
      </c>
      <c r="P258" t="s">
        <v>791</v>
      </c>
      <c r="Q258" t="s">
        <v>25</v>
      </c>
      <c r="R258" t="s">
        <v>251</v>
      </c>
      <c r="S258" t="s">
        <v>33</v>
      </c>
      <c r="U258" s="6">
        <v>42125.681886574072</v>
      </c>
      <c r="V258" t="s">
        <v>18</v>
      </c>
      <c r="W258" t="s">
        <v>17</v>
      </c>
      <c r="X258" s="6">
        <v>42031.244432870371</v>
      </c>
      <c r="Y258" t="s">
        <v>535</v>
      </c>
      <c r="Z258" t="s">
        <v>125</v>
      </c>
      <c r="AB258" t="s">
        <v>200</v>
      </c>
      <c r="AC258" t="s">
        <v>247</v>
      </c>
      <c r="AD258" t="s">
        <v>220</v>
      </c>
      <c r="AE258" t="s">
        <v>224</v>
      </c>
      <c r="AG258" t="s">
        <v>121</v>
      </c>
      <c r="AH258" t="s">
        <v>327</v>
      </c>
      <c r="AI258" t="s">
        <v>362</v>
      </c>
      <c r="AJ258" t="s">
        <v>715</v>
      </c>
      <c r="AK258" t="s">
        <v>121</v>
      </c>
    </row>
    <row r="259" spans="9:37" x14ac:dyDescent="0.3">
      <c r="I259">
        <f ca="1">IF(OR(INDIRECT(A73&amp;ROW())=B93,INDIRECT(A73&amp;ROW())=B94),1,IF(AND(INDIRECT(A73&amp;ROW())=B95,INDIRECT(A96&amp;ROW())=C93),1,IF(AND(INDIRECT(A73&amp;ROW())=B95,INDIRECT(A96&amp;ROW())=C94),1,0)))</f>
        <v>1</v>
      </c>
      <c r="J259">
        <f ca="1">IF(AND(INDIRECT(A73&amp;ROW())=B95,INDIRECT(A96&amp;ROW())=C95),1,IF(AND(INDIRECT(A73&amp;ROW())=B95,INDIRECT(A96&amp;ROW())=C96),1,0))</f>
        <v>0</v>
      </c>
      <c r="K259">
        <f ca="1">DAYS360(INDIRECT(C68&amp;ROW()),TODAY())</f>
        <v>721</v>
      </c>
      <c r="L259">
        <f ca="1">DAYS360(INDIRECT(C69&amp;ROW()),TODAY())</f>
        <v>815</v>
      </c>
      <c r="M259">
        <f ca="1">HYPERLINK(CONCATENATE("https://bugzilla.houston.hp.com:1181/bugzilla/show_bug.cgi?id=",INDIRECT(C70&amp;ROW())),INDIRECT(C70&amp;ROW()))</f>
        <v>56100</v>
      </c>
      <c r="N259">
        <v>56100</v>
      </c>
      <c r="O259" t="s">
        <v>919</v>
      </c>
      <c r="P259" t="s">
        <v>790</v>
      </c>
      <c r="Q259" t="s">
        <v>25</v>
      </c>
      <c r="R259" t="s">
        <v>579</v>
      </c>
      <c r="S259" t="s">
        <v>552</v>
      </c>
      <c r="T259" t="s">
        <v>815</v>
      </c>
      <c r="U259" s="6">
        <v>42125.680115740739</v>
      </c>
      <c r="V259" t="s">
        <v>18</v>
      </c>
      <c r="W259" t="s">
        <v>17</v>
      </c>
      <c r="X259" s="6">
        <v>42031.425138888888</v>
      </c>
      <c r="Y259" t="s">
        <v>119</v>
      </c>
      <c r="Z259" t="s">
        <v>125</v>
      </c>
      <c r="AB259" t="s">
        <v>200</v>
      </c>
      <c r="AC259" t="s">
        <v>247</v>
      </c>
      <c r="AD259" t="s">
        <v>220</v>
      </c>
      <c r="AE259" t="s">
        <v>224</v>
      </c>
      <c r="AG259" t="s">
        <v>121</v>
      </c>
      <c r="AH259" t="s">
        <v>327</v>
      </c>
      <c r="AI259" t="s">
        <v>362</v>
      </c>
      <c r="AJ259" t="s">
        <v>715</v>
      </c>
      <c r="AK259" t="s">
        <v>121</v>
      </c>
    </row>
    <row r="260" spans="9:37" x14ac:dyDescent="0.3">
      <c r="I260">
        <f ca="1">IF(OR(INDIRECT(A73&amp;ROW())=B93,INDIRECT(A73&amp;ROW())=B94),1,IF(AND(INDIRECT(A73&amp;ROW())=B95,INDIRECT(A96&amp;ROW())=C93),1,IF(AND(INDIRECT(A73&amp;ROW())=B95,INDIRECT(A96&amp;ROW())=C94),1,0)))</f>
        <v>1</v>
      </c>
      <c r="J260">
        <f ca="1">IF(AND(INDIRECT(A73&amp;ROW())=B95,INDIRECT(A96&amp;ROW())=C95),1,IF(AND(INDIRECT(A73&amp;ROW())=B95,INDIRECT(A96&amp;ROW())=C96),1,0))</f>
        <v>0</v>
      </c>
      <c r="K260">
        <f ca="1">DAYS360(INDIRECT(C68&amp;ROW()),TODAY())</f>
        <v>737</v>
      </c>
      <c r="L260">
        <f ca="1">DAYS360(INDIRECT(C69&amp;ROW()),TODAY())</f>
        <v>815</v>
      </c>
      <c r="M260">
        <f ca="1">HYPERLINK(CONCATENATE("https://bugzilla.houston.hp.com:1181/bugzilla/show_bug.cgi?id=",INDIRECT(C70&amp;ROW())),INDIRECT(C70&amp;ROW()))</f>
        <v>56102</v>
      </c>
      <c r="N260">
        <v>56102</v>
      </c>
      <c r="O260" t="s">
        <v>56</v>
      </c>
      <c r="P260" t="s">
        <v>789</v>
      </c>
      <c r="Q260" t="s">
        <v>25</v>
      </c>
      <c r="R260" t="s">
        <v>248</v>
      </c>
      <c r="S260" t="s">
        <v>552</v>
      </c>
      <c r="U260" s="6">
        <v>42109.310868055552</v>
      </c>
      <c r="V260" t="s">
        <v>18</v>
      </c>
      <c r="W260" t="s">
        <v>17</v>
      </c>
      <c r="X260" s="6">
        <v>42031.428599537037</v>
      </c>
      <c r="Y260" t="s">
        <v>119</v>
      </c>
      <c r="Z260" t="s">
        <v>125</v>
      </c>
      <c r="AB260" t="s">
        <v>200</v>
      </c>
      <c r="AC260" t="s">
        <v>247</v>
      </c>
      <c r="AD260" t="s">
        <v>220</v>
      </c>
      <c r="AE260" t="s">
        <v>219</v>
      </c>
      <c r="AG260" t="s">
        <v>121</v>
      </c>
      <c r="AH260" t="s">
        <v>327</v>
      </c>
      <c r="AI260" t="s">
        <v>121</v>
      </c>
      <c r="AJ260" t="s">
        <v>715</v>
      </c>
      <c r="AK260" t="s">
        <v>121</v>
      </c>
    </row>
    <row r="261" spans="9:37" x14ac:dyDescent="0.3">
      <c r="I261">
        <f ca="1">IF(OR(INDIRECT(A73&amp;ROW())=B93,INDIRECT(A73&amp;ROW())=B94),1,IF(AND(INDIRECT(A73&amp;ROW())=B95,INDIRECT(A96&amp;ROW())=C93),1,IF(AND(INDIRECT(A73&amp;ROW())=B95,INDIRECT(A96&amp;ROW())=C94),1,0)))</f>
        <v>0</v>
      </c>
      <c r="J261">
        <f ca="1">IF(AND(INDIRECT(A73&amp;ROW())=B95,INDIRECT(A96&amp;ROW())=C95),1,IF(AND(INDIRECT(A73&amp;ROW())=B95,INDIRECT(A96&amp;ROW())=C96),1,0))</f>
        <v>0</v>
      </c>
      <c r="K261">
        <f ca="1">DAYS360(INDIRECT(C68&amp;ROW()),TODAY())</f>
        <v>721</v>
      </c>
      <c r="L261">
        <f ca="1">DAYS360(INDIRECT(C69&amp;ROW()),TODAY())</f>
        <v>810</v>
      </c>
      <c r="M261">
        <f ca="1">HYPERLINK(CONCATENATE("https://bugzilla.houston.hp.com:1181/bugzilla/show_bug.cgi?id=",INDIRECT(C70&amp;ROW())),INDIRECT(C70&amp;ROW()))</f>
        <v>56385</v>
      </c>
      <c r="N261">
        <v>56385</v>
      </c>
      <c r="O261" t="s">
        <v>22</v>
      </c>
      <c r="P261" t="s">
        <v>578</v>
      </c>
      <c r="Q261" t="s">
        <v>16</v>
      </c>
      <c r="R261" t="s">
        <v>251</v>
      </c>
      <c r="S261" t="s">
        <v>43</v>
      </c>
      <c r="U261" s="6">
        <v>42125.452986111108</v>
      </c>
      <c r="V261" t="s">
        <v>18</v>
      </c>
      <c r="W261" t="s">
        <v>17</v>
      </c>
      <c r="X261" s="6">
        <v>42037.399351851855</v>
      </c>
      <c r="Y261" t="s">
        <v>122</v>
      </c>
      <c r="AB261" t="s">
        <v>201</v>
      </c>
      <c r="AC261" t="s">
        <v>247</v>
      </c>
      <c r="AD261" t="s">
        <v>222</v>
      </c>
      <c r="AE261" t="s">
        <v>240</v>
      </c>
      <c r="AG261" t="s">
        <v>121</v>
      </c>
      <c r="AH261" t="s">
        <v>327</v>
      </c>
      <c r="AI261" t="s">
        <v>121</v>
      </c>
      <c r="AJ261" t="s">
        <v>717</v>
      </c>
      <c r="AK261" t="s">
        <v>121</v>
      </c>
    </row>
    <row r="262" spans="9:37" x14ac:dyDescent="0.3">
      <c r="I262">
        <f ca="1">IF(OR(INDIRECT(A73&amp;ROW())=B93,INDIRECT(A73&amp;ROW())=B94),1,IF(AND(INDIRECT(A73&amp;ROW())=B95,INDIRECT(A96&amp;ROW())=C93),1,IF(AND(INDIRECT(A73&amp;ROW())=B95,INDIRECT(A96&amp;ROW())=C94),1,0)))</f>
        <v>0</v>
      </c>
      <c r="J262">
        <f ca="1">IF(AND(INDIRECT(A73&amp;ROW())=B95,INDIRECT(A96&amp;ROW())=C95),1,IF(AND(INDIRECT(A73&amp;ROW())=B95,INDIRECT(A96&amp;ROW())=C96),1,0))</f>
        <v>1</v>
      </c>
      <c r="K262">
        <f ca="1">DAYS360(INDIRECT(C68&amp;ROW()),TODAY())</f>
        <v>730</v>
      </c>
      <c r="L262">
        <f ca="1">DAYS360(INDIRECT(C69&amp;ROW()),TODAY())</f>
        <v>810</v>
      </c>
      <c r="M262">
        <f ca="1">HYPERLINK(CONCATENATE("https://bugzilla.houston.hp.com:1181/bugzilla/show_bug.cgi?id=",INDIRECT(C70&amp;ROW())),INDIRECT(C70&amp;ROW()))</f>
        <v>56388</v>
      </c>
      <c r="N262">
        <v>56388</v>
      </c>
      <c r="O262" t="s">
        <v>56</v>
      </c>
      <c r="P262" t="s">
        <v>596</v>
      </c>
      <c r="Q262" t="s">
        <v>25</v>
      </c>
      <c r="R262" t="s">
        <v>251</v>
      </c>
      <c r="S262" t="s">
        <v>66</v>
      </c>
      <c r="U262" s="6">
        <v>42116.735567129632</v>
      </c>
      <c r="V262" t="s">
        <v>18</v>
      </c>
      <c r="W262" t="s">
        <v>17</v>
      </c>
      <c r="X262" s="6">
        <v>42037.476793981485</v>
      </c>
      <c r="Y262" t="s">
        <v>788</v>
      </c>
      <c r="AB262" t="s">
        <v>201</v>
      </c>
      <c r="AC262" t="s">
        <v>247</v>
      </c>
      <c r="AD262" t="s">
        <v>220</v>
      </c>
      <c r="AE262" t="s">
        <v>219</v>
      </c>
      <c r="AG262" t="s">
        <v>121</v>
      </c>
      <c r="AH262" t="s">
        <v>327</v>
      </c>
      <c r="AI262" t="s">
        <v>121</v>
      </c>
      <c r="AJ262" t="s">
        <v>716</v>
      </c>
      <c r="AK262" t="s">
        <v>121</v>
      </c>
    </row>
    <row r="263" spans="9:37" x14ac:dyDescent="0.3">
      <c r="I263">
        <f ca="1">IF(OR(INDIRECT(A73&amp;ROW())=B93,INDIRECT(A73&amp;ROW())=B94),1,IF(AND(INDIRECT(A73&amp;ROW())=B95,INDIRECT(A96&amp;ROW())=C93),1,IF(AND(INDIRECT(A73&amp;ROW())=B95,INDIRECT(A96&amp;ROW())=C94),1,0)))</f>
        <v>1</v>
      </c>
      <c r="J263">
        <f ca="1">IF(AND(INDIRECT(A73&amp;ROW())=B95,INDIRECT(A96&amp;ROW())=C95),1,IF(AND(INDIRECT(A73&amp;ROW())=B95,INDIRECT(A96&amp;ROW())=C96),1,0))</f>
        <v>0</v>
      </c>
      <c r="K263">
        <f ca="1">DAYS360(INDIRECT(C68&amp;ROW()),TODAY())</f>
        <v>730</v>
      </c>
      <c r="L263">
        <f ca="1">DAYS360(INDIRECT(C69&amp;ROW()),TODAY())</f>
        <v>810</v>
      </c>
      <c r="M263">
        <f ca="1">HYPERLINK(CONCATENATE("https://bugzilla.houston.hp.com:1181/bugzilla/show_bug.cgi?id=",INDIRECT(C70&amp;ROW())),INDIRECT(C70&amp;ROW()))</f>
        <v>56399</v>
      </c>
      <c r="N263">
        <v>56399</v>
      </c>
      <c r="O263" t="s">
        <v>68</v>
      </c>
      <c r="P263" t="s">
        <v>802</v>
      </c>
      <c r="Q263" t="s">
        <v>25</v>
      </c>
      <c r="R263" t="s">
        <v>251</v>
      </c>
      <c r="S263" t="s">
        <v>577</v>
      </c>
      <c r="U263" s="6">
        <v>42116.735636574071</v>
      </c>
      <c r="V263" t="s">
        <v>40</v>
      </c>
      <c r="W263" t="s">
        <v>17</v>
      </c>
      <c r="X263" s="6">
        <v>42037.707766203705</v>
      </c>
      <c r="Y263" t="s">
        <v>255</v>
      </c>
      <c r="Z263" t="s">
        <v>125</v>
      </c>
      <c r="AB263" t="s">
        <v>200</v>
      </c>
      <c r="AC263" t="s">
        <v>247</v>
      </c>
      <c r="AD263" t="s">
        <v>220</v>
      </c>
      <c r="AE263" t="s">
        <v>229</v>
      </c>
      <c r="AG263" t="s">
        <v>121</v>
      </c>
      <c r="AH263" t="s">
        <v>327</v>
      </c>
      <c r="AI263" t="s">
        <v>121</v>
      </c>
      <c r="AJ263" t="s">
        <v>715</v>
      </c>
      <c r="AK263" t="s">
        <v>121</v>
      </c>
    </row>
    <row r="264" spans="9:37" x14ac:dyDescent="0.3">
      <c r="I264">
        <f ca="1">IF(OR(INDIRECT(A73&amp;ROW())=B93,INDIRECT(A73&amp;ROW())=B94),1,IF(AND(INDIRECT(A73&amp;ROW())=B95,INDIRECT(A96&amp;ROW())=C93),1,IF(AND(INDIRECT(A73&amp;ROW())=B95,INDIRECT(A96&amp;ROW())=C94),1,0)))</f>
        <v>0</v>
      </c>
      <c r="J264">
        <f ca="1">IF(AND(INDIRECT(A73&amp;ROW())=B95,INDIRECT(A96&amp;ROW())=C95),1,IF(AND(INDIRECT(A73&amp;ROW())=B95,INDIRECT(A96&amp;ROW())=C96),1,0))</f>
        <v>1</v>
      </c>
      <c r="K264">
        <f ca="1">DAYS360(INDIRECT(C68&amp;ROW()),TODAY())</f>
        <v>730</v>
      </c>
      <c r="L264">
        <f ca="1">DAYS360(INDIRECT(C69&amp;ROW()),TODAY())</f>
        <v>809</v>
      </c>
      <c r="M264">
        <f ca="1">HYPERLINK(CONCATENATE("https://bugzilla.houston.hp.com:1181/bugzilla/show_bug.cgi?id=",INDIRECT(C70&amp;ROW())),INDIRECT(C70&amp;ROW()))</f>
        <v>56425</v>
      </c>
      <c r="N264">
        <v>56425</v>
      </c>
      <c r="O264" t="s">
        <v>56</v>
      </c>
      <c r="P264" t="s">
        <v>595</v>
      </c>
      <c r="Q264" t="s">
        <v>25</v>
      </c>
      <c r="R264" t="s">
        <v>251</v>
      </c>
      <c r="S264" t="s">
        <v>66</v>
      </c>
      <c r="U264" s="6">
        <v>42116.735763888886</v>
      </c>
      <c r="V264" t="s">
        <v>18</v>
      </c>
      <c r="W264" t="s">
        <v>17</v>
      </c>
      <c r="X264" s="6">
        <v>42038.452962962961</v>
      </c>
      <c r="Y264" t="s">
        <v>788</v>
      </c>
      <c r="AB264" t="s">
        <v>201</v>
      </c>
      <c r="AC264" t="s">
        <v>247</v>
      </c>
      <c r="AD264" t="s">
        <v>220</v>
      </c>
      <c r="AE264" t="s">
        <v>219</v>
      </c>
      <c r="AG264" t="s">
        <v>121</v>
      </c>
      <c r="AH264" t="s">
        <v>327</v>
      </c>
      <c r="AI264" t="s">
        <v>121</v>
      </c>
      <c r="AJ264" t="s">
        <v>716</v>
      </c>
      <c r="AK264" t="s">
        <v>121</v>
      </c>
    </row>
    <row r="265" spans="9:37" x14ac:dyDescent="0.3">
      <c r="I265">
        <f ca="1">IF(OR(INDIRECT(A73&amp;ROW())=B93,INDIRECT(A73&amp;ROW())=B94),1,IF(AND(INDIRECT(A73&amp;ROW())=B95,INDIRECT(A96&amp;ROW())=C93),1,IF(AND(INDIRECT(A73&amp;ROW())=B95,INDIRECT(A96&amp;ROW())=C94),1,0)))</f>
        <v>0</v>
      </c>
      <c r="J265">
        <f ca="1">IF(AND(INDIRECT(A73&amp;ROW())=B95,INDIRECT(A96&amp;ROW())=C95),1,IF(AND(INDIRECT(A73&amp;ROW())=B95,INDIRECT(A96&amp;ROW())=C96),1,0))</f>
        <v>1</v>
      </c>
      <c r="K265">
        <f ca="1">DAYS360(INDIRECT(C68&amp;ROW()),TODAY())</f>
        <v>799</v>
      </c>
      <c r="L265">
        <f ca="1">DAYS360(INDIRECT(C69&amp;ROW()),TODAY())</f>
        <v>809</v>
      </c>
      <c r="M265">
        <f ca="1">HYPERLINK(CONCATENATE("https://bugzilla.houston.hp.com:1181/bugzilla/show_bug.cgi?id=",INDIRECT(C70&amp;ROW())),INDIRECT(C70&amp;ROW()))</f>
        <v>56440</v>
      </c>
      <c r="N265">
        <v>56440</v>
      </c>
      <c r="O265" t="s">
        <v>36</v>
      </c>
      <c r="P265" t="s">
        <v>594</v>
      </c>
      <c r="Q265" t="s">
        <v>25</v>
      </c>
      <c r="R265" t="s">
        <v>579</v>
      </c>
      <c r="S265" t="s">
        <v>552</v>
      </c>
      <c r="T265" t="s">
        <v>610</v>
      </c>
      <c r="U265" s="6">
        <v>42048.014004629629</v>
      </c>
      <c r="V265" t="s">
        <v>18</v>
      </c>
      <c r="W265" t="s">
        <v>17</v>
      </c>
      <c r="X265" s="6">
        <v>42038.495104166665</v>
      </c>
      <c r="Y265" t="s">
        <v>788</v>
      </c>
      <c r="AB265" t="s">
        <v>201</v>
      </c>
      <c r="AC265" t="s">
        <v>247</v>
      </c>
      <c r="AD265" t="s">
        <v>222</v>
      </c>
      <c r="AE265" t="s">
        <v>240</v>
      </c>
      <c r="AG265" t="s">
        <v>121</v>
      </c>
      <c r="AH265" t="s">
        <v>327</v>
      </c>
      <c r="AI265" t="s">
        <v>121</v>
      </c>
      <c r="AJ265" t="s">
        <v>716</v>
      </c>
      <c r="AK265" t="s">
        <v>121</v>
      </c>
    </row>
    <row r="266" spans="9:37" x14ac:dyDescent="0.3">
      <c r="I266">
        <f ca="1">IF(OR(INDIRECT(A73&amp;ROW())=B93,INDIRECT(A73&amp;ROW())=B94),1,IF(AND(INDIRECT(A73&amp;ROW())=B95,INDIRECT(A96&amp;ROW())=C93),1,IF(AND(INDIRECT(A73&amp;ROW())=B95,INDIRECT(A96&amp;ROW())=C94),1,0)))</f>
        <v>0</v>
      </c>
      <c r="J266">
        <f ca="1">IF(AND(INDIRECT(A73&amp;ROW())=B95,INDIRECT(A96&amp;ROW())=C95),1,IF(AND(INDIRECT(A73&amp;ROW())=B95,INDIRECT(A96&amp;ROW())=C96),1,0))</f>
        <v>1</v>
      </c>
      <c r="K266">
        <f ca="1">DAYS360(INDIRECT(C68&amp;ROW()),TODAY())</f>
        <v>800</v>
      </c>
      <c r="L266">
        <f ca="1">DAYS360(INDIRECT(C69&amp;ROW()),TODAY())</f>
        <v>809</v>
      </c>
      <c r="M266">
        <f ca="1">HYPERLINK(CONCATENATE("https://bugzilla.houston.hp.com:1181/bugzilla/show_bug.cgi?id=",INDIRECT(C70&amp;ROW())),INDIRECT(C70&amp;ROW()))</f>
        <v>56441</v>
      </c>
      <c r="N266">
        <v>56441</v>
      </c>
      <c r="O266" t="s">
        <v>36</v>
      </c>
      <c r="P266" t="s">
        <v>593</v>
      </c>
      <c r="Q266" t="s">
        <v>25</v>
      </c>
      <c r="R266" t="s">
        <v>579</v>
      </c>
      <c r="S266" t="s">
        <v>552</v>
      </c>
      <c r="T266" t="s">
        <v>610</v>
      </c>
      <c r="U266" s="6">
        <v>42047.994803240741</v>
      </c>
      <c r="V266" t="s">
        <v>18</v>
      </c>
      <c r="W266" t="s">
        <v>17</v>
      </c>
      <c r="X266" s="6">
        <v>42038.496180555558</v>
      </c>
      <c r="Y266" t="s">
        <v>788</v>
      </c>
      <c r="AB266" t="s">
        <v>201</v>
      </c>
      <c r="AC266" t="s">
        <v>247</v>
      </c>
      <c r="AD266" t="s">
        <v>222</v>
      </c>
      <c r="AE266" t="s">
        <v>240</v>
      </c>
      <c r="AG266" t="s">
        <v>121</v>
      </c>
      <c r="AH266" t="s">
        <v>327</v>
      </c>
      <c r="AI266" t="s">
        <v>121</v>
      </c>
      <c r="AJ266" t="s">
        <v>716</v>
      </c>
      <c r="AK266" t="s">
        <v>121</v>
      </c>
    </row>
    <row r="267" spans="9:37" x14ac:dyDescent="0.3">
      <c r="I267">
        <f ca="1">IF(OR(INDIRECT(A73&amp;ROW())=B93,INDIRECT(A73&amp;ROW())=B94),1,IF(AND(INDIRECT(A73&amp;ROW())=B95,INDIRECT(A96&amp;ROW())=C93),1,IF(AND(INDIRECT(A73&amp;ROW())=B95,INDIRECT(A96&amp;ROW())=C94),1,0)))</f>
        <v>0</v>
      </c>
      <c r="J267">
        <f ca="1">IF(AND(INDIRECT(A73&amp;ROW())=B95,INDIRECT(A96&amp;ROW())=C95),1,IF(AND(INDIRECT(A73&amp;ROW())=B95,INDIRECT(A96&amp;ROW())=C96),1,0))</f>
        <v>1</v>
      </c>
      <c r="K267">
        <f ca="1">DAYS360(INDIRECT(C68&amp;ROW()),TODAY())</f>
        <v>809</v>
      </c>
      <c r="L267">
        <f ca="1">DAYS360(INDIRECT(C69&amp;ROW()),TODAY())</f>
        <v>809</v>
      </c>
      <c r="M267">
        <f ca="1">HYPERLINK(CONCATENATE("https://bugzilla.houston.hp.com:1181/bugzilla/show_bug.cgi?id=",INDIRECT(C70&amp;ROW())),INDIRECT(C70&amp;ROW()))</f>
        <v>56442</v>
      </c>
      <c r="N267">
        <v>56442</v>
      </c>
      <c r="O267" t="s">
        <v>36</v>
      </c>
      <c r="P267" t="s">
        <v>592</v>
      </c>
      <c r="Q267" t="s">
        <v>25</v>
      </c>
      <c r="R267" t="s">
        <v>248</v>
      </c>
      <c r="S267" t="s">
        <v>552</v>
      </c>
      <c r="U267" s="6">
        <v>42038.497789351852</v>
      </c>
      <c r="V267" t="s">
        <v>18</v>
      </c>
      <c r="W267" t="s">
        <v>17</v>
      </c>
      <c r="X267" s="6">
        <v>42038.497395833336</v>
      </c>
      <c r="Y267" t="s">
        <v>788</v>
      </c>
      <c r="AB267" t="s">
        <v>201</v>
      </c>
      <c r="AC267" t="s">
        <v>247</v>
      </c>
      <c r="AD267" t="s">
        <v>222</v>
      </c>
      <c r="AE267" t="s">
        <v>240</v>
      </c>
      <c r="AG267" t="s">
        <v>121</v>
      </c>
      <c r="AH267" t="s">
        <v>327</v>
      </c>
      <c r="AI267" t="s">
        <v>121</v>
      </c>
      <c r="AJ267" t="s">
        <v>716</v>
      </c>
      <c r="AK267" t="s">
        <v>121</v>
      </c>
    </row>
    <row r="268" spans="9:37" x14ac:dyDescent="0.3">
      <c r="I268">
        <f ca="1">IF(OR(INDIRECT(A73&amp;ROW())=B93,INDIRECT(A73&amp;ROW())=B94),1,IF(AND(INDIRECT(A73&amp;ROW())=B95,INDIRECT(A96&amp;ROW())=C93),1,IF(AND(INDIRECT(A73&amp;ROW())=B95,INDIRECT(A96&amp;ROW())=C94),1,0)))</f>
        <v>0</v>
      </c>
      <c r="J268">
        <f ca="1">IF(AND(INDIRECT(A73&amp;ROW())=B95,INDIRECT(A96&amp;ROW())=C95),1,IF(AND(INDIRECT(A73&amp;ROW())=B95,INDIRECT(A96&amp;ROW())=C96),1,0))</f>
        <v>1</v>
      </c>
      <c r="K268">
        <f ca="1">DAYS360(INDIRECT(C68&amp;ROW()),TODAY())</f>
        <v>809</v>
      </c>
      <c r="L268">
        <f ca="1">DAYS360(INDIRECT(C69&amp;ROW()),TODAY())</f>
        <v>809</v>
      </c>
      <c r="M268">
        <f ca="1">HYPERLINK(CONCATENATE("https://bugzilla.houston.hp.com:1181/bugzilla/show_bug.cgi?id=",INDIRECT(C70&amp;ROW())),INDIRECT(C70&amp;ROW()))</f>
        <v>56445</v>
      </c>
      <c r="N268">
        <v>56445</v>
      </c>
      <c r="O268" t="s">
        <v>36</v>
      </c>
      <c r="P268" t="s">
        <v>591</v>
      </c>
      <c r="Q268" t="s">
        <v>25</v>
      </c>
      <c r="R268" t="s">
        <v>248</v>
      </c>
      <c r="S268" t="s">
        <v>552</v>
      </c>
      <c r="U268" s="6">
        <v>42038.501550925925</v>
      </c>
      <c r="V268" t="s">
        <v>18</v>
      </c>
      <c r="W268" t="s">
        <v>17</v>
      </c>
      <c r="X268" s="6">
        <v>42038.501111111109</v>
      </c>
      <c r="Y268" t="s">
        <v>788</v>
      </c>
      <c r="AB268" t="s">
        <v>201</v>
      </c>
      <c r="AC268" t="s">
        <v>247</v>
      </c>
      <c r="AD268" t="s">
        <v>222</v>
      </c>
      <c r="AE268" t="s">
        <v>240</v>
      </c>
      <c r="AG268" t="s">
        <v>121</v>
      </c>
      <c r="AH268" t="s">
        <v>327</v>
      </c>
      <c r="AI268" t="s">
        <v>121</v>
      </c>
      <c r="AJ268" t="s">
        <v>716</v>
      </c>
      <c r="AK268" t="s">
        <v>121</v>
      </c>
    </row>
    <row r="269" spans="9:37" x14ac:dyDescent="0.3">
      <c r="I269">
        <f ca="1">IF(OR(INDIRECT(A73&amp;ROW())=B93,INDIRECT(A73&amp;ROW())=B94),1,IF(AND(INDIRECT(A73&amp;ROW())=B95,INDIRECT(A96&amp;ROW())=C93),1,IF(AND(INDIRECT(A73&amp;ROW())=B95,INDIRECT(A96&amp;ROW())=C94),1,0)))</f>
        <v>0</v>
      </c>
      <c r="J269">
        <f ca="1">IF(AND(INDIRECT(A73&amp;ROW())=B95,INDIRECT(A96&amp;ROW())=C95),1,IF(AND(INDIRECT(A73&amp;ROW())=B95,INDIRECT(A96&amp;ROW())=C96),1,0))</f>
        <v>1</v>
      </c>
      <c r="K269">
        <f ca="1">DAYS360(INDIRECT(C68&amp;ROW()),TODAY())</f>
        <v>728</v>
      </c>
      <c r="L269">
        <f ca="1">DAYS360(INDIRECT(C69&amp;ROW()),TODAY())</f>
        <v>809</v>
      </c>
      <c r="M269">
        <f ca="1">HYPERLINK(CONCATENATE("https://bugzilla.houston.hp.com:1181/bugzilla/show_bug.cgi?id=",INDIRECT(C70&amp;ROW())),INDIRECT(C70&amp;ROW()))</f>
        <v>56450</v>
      </c>
      <c r="N269">
        <v>56450</v>
      </c>
      <c r="O269" t="s">
        <v>56</v>
      </c>
      <c r="P269" t="s">
        <v>590</v>
      </c>
      <c r="Q269" t="s">
        <v>25</v>
      </c>
      <c r="R269" t="s">
        <v>251</v>
      </c>
      <c r="S269" t="s">
        <v>66</v>
      </c>
      <c r="U269" s="6">
        <v>42118.338229166664</v>
      </c>
      <c r="V269" t="s">
        <v>18</v>
      </c>
      <c r="W269" t="s">
        <v>17</v>
      </c>
      <c r="X269" s="6">
        <v>42038.576805555553</v>
      </c>
      <c r="Y269" t="s">
        <v>788</v>
      </c>
      <c r="AB269" t="s">
        <v>201</v>
      </c>
      <c r="AC269" t="s">
        <v>247</v>
      </c>
      <c r="AD269" t="s">
        <v>220</v>
      </c>
      <c r="AE269" t="s">
        <v>219</v>
      </c>
      <c r="AG269" t="s">
        <v>121</v>
      </c>
      <c r="AH269" t="s">
        <v>327</v>
      </c>
      <c r="AI269" t="s">
        <v>121</v>
      </c>
      <c r="AJ269" t="s">
        <v>716</v>
      </c>
      <c r="AK269" t="s">
        <v>121</v>
      </c>
    </row>
    <row r="270" spans="9:37" x14ac:dyDescent="0.3">
      <c r="I270">
        <f ca="1">IF(OR(INDIRECT(A73&amp;ROW())=B93,INDIRECT(A73&amp;ROW())=B94),1,IF(AND(INDIRECT(A73&amp;ROW())=B95,INDIRECT(A96&amp;ROW())=C93),1,IF(AND(INDIRECT(A73&amp;ROW())=B95,INDIRECT(A96&amp;ROW())=C94),1,0)))</f>
        <v>0</v>
      </c>
      <c r="J270">
        <f ca="1">IF(AND(INDIRECT(A73&amp;ROW())=B95,INDIRECT(A96&amp;ROW())=C95),1,IF(AND(INDIRECT(A73&amp;ROW())=B95,INDIRECT(A96&amp;ROW())=C96),1,0))</f>
        <v>1</v>
      </c>
      <c r="K270">
        <f ca="1">DAYS360(INDIRECT(C68&amp;ROW()),TODAY())</f>
        <v>809</v>
      </c>
      <c r="L270">
        <f ca="1">DAYS360(INDIRECT(C69&amp;ROW()),TODAY())</f>
        <v>809</v>
      </c>
      <c r="M270">
        <f ca="1">HYPERLINK(CONCATENATE("https://bugzilla.houston.hp.com:1181/bugzilla/show_bug.cgi?id=",INDIRECT(C70&amp;ROW())),INDIRECT(C70&amp;ROW()))</f>
        <v>56458</v>
      </c>
      <c r="N270">
        <v>56458</v>
      </c>
      <c r="O270" t="s">
        <v>56</v>
      </c>
      <c r="P270" t="s">
        <v>589</v>
      </c>
      <c r="Q270" t="s">
        <v>25</v>
      </c>
      <c r="R270" t="s">
        <v>248</v>
      </c>
      <c r="S270" t="s">
        <v>552</v>
      </c>
      <c r="U270" s="6">
        <v>42038.643333333333</v>
      </c>
      <c r="V270" t="s">
        <v>18</v>
      </c>
      <c r="W270" t="s">
        <v>576</v>
      </c>
      <c r="X270" s="6">
        <v>42038.640115740738</v>
      </c>
      <c r="Y270" t="s">
        <v>788</v>
      </c>
      <c r="AB270" t="s">
        <v>201</v>
      </c>
      <c r="AC270" t="s">
        <v>247</v>
      </c>
      <c r="AD270" t="s">
        <v>220</v>
      </c>
      <c r="AE270" t="s">
        <v>219</v>
      </c>
      <c r="AG270" t="s">
        <v>121</v>
      </c>
      <c r="AH270" t="s">
        <v>327</v>
      </c>
      <c r="AI270" t="s">
        <v>121</v>
      </c>
      <c r="AJ270" t="s">
        <v>716</v>
      </c>
      <c r="AK270" t="s">
        <v>121</v>
      </c>
    </row>
    <row r="271" spans="9:37" x14ac:dyDescent="0.3">
      <c r="I271">
        <f ca="1">IF(OR(INDIRECT(A73&amp;ROW())=B93,INDIRECT(A73&amp;ROW())=B94),1,IF(AND(INDIRECT(A73&amp;ROW())=B95,INDIRECT(A96&amp;ROW())=C93),1,IF(AND(INDIRECT(A73&amp;ROW())=B95,INDIRECT(A96&amp;ROW())=C94),1,0)))</f>
        <v>0</v>
      </c>
      <c r="J271">
        <f ca="1">IF(AND(INDIRECT(A73&amp;ROW())=B95,INDIRECT(A96&amp;ROW())=C95),1,IF(AND(INDIRECT(A73&amp;ROW())=B95,INDIRECT(A96&amp;ROW())=C96),1,0))</f>
        <v>1</v>
      </c>
      <c r="K271">
        <f ca="1">DAYS360(INDIRECT(C68&amp;ROW()),TODAY())</f>
        <v>730</v>
      </c>
      <c r="L271">
        <f ca="1">DAYS360(INDIRECT(C69&amp;ROW()),TODAY())</f>
        <v>808</v>
      </c>
      <c r="M271">
        <f ca="1">HYPERLINK(CONCATENATE("https://bugzilla.houston.hp.com:1181/bugzilla/show_bug.cgi?id=",INDIRECT(C70&amp;ROW())),INDIRECT(C70&amp;ROW()))</f>
        <v>56502</v>
      </c>
      <c r="N271">
        <v>56502</v>
      </c>
      <c r="O271" t="s">
        <v>22</v>
      </c>
      <c r="P271" t="s">
        <v>599</v>
      </c>
      <c r="Q271" t="s">
        <v>25</v>
      </c>
      <c r="R271" t="s">
        <v>251</v>
      </c>
      <c r="S271" t="s">
        <v>24</v>
      </c>
      <c r="U271" s="6">
        <v>42116.736018518517</v>
      </c>
      <c r="V271" t="s">
        <v>18</v>
      </c>
      <c r="W271" t="s">
        <v>17</v>
      </c>
      <c r="X271" s="6">
        <v>42039.558599537035</v>
      </c>
      <c r="Y271" t="s">
        <v>535</v>
      </c>
      <c r="AB271" t="s">
        <v>201</v>
      </c>
      <c r="AC271" t="s">
        <v>247</v>
      </c>
      <c r="AD271" t="s">
        <v>222</v>
      </c>
      <c r="AE271" t="s">
        <v>221</v>
      </c>
      <c r="AG271" t="s">
        <v>121</v>
      </c>
      <c r="AH271" t="s">
        <v>327</v>
      </c>
      <c r="AI271" t="s">
        <v>121</v>
      </c>
      <c r="AJ271" t="s">
        <v>715</v>
      </c>
      <c r="AK271" t="s">
        <v>121</v>
      </c>
    </row>
    <row r="272" spans="9:37" x14ac:dyDescent="0.3">
      <c r="I272">
        <f ca="1">IF(OR(INDIRECT(A73&amp;ROW())=B93,INDIRECT(A73&amp;ROW())=B94),1,IF(AND(INDIRECT(A73&amp;ROW())=B95,INDIRECT(A96&amp;ROW())=C93),1,IF(AND(INDIRECT(A73&amp;ROW())=B95,INDIRECT(A96&amp;ROW())=C94),1,0)))</f>
        <v>0</v>
      </c>
      <c r="J272">
        <f ca="1">IF(AND(INDIRECT(A73&amp;ROW())=B95,INDIRECT(A96&amp;ROW())=C95),1,IF(AND(INDIRECT(A73&amp;ROW())=B95,INDIRECT(A96&amp;ROW())=C96),1,0))</f>
        <v>1</v>
      </c>
      <c r="K272">
        <f ca="1">DAYS360(INDIRECT(C68&amp;ROW()),TODAY())</f>
        <v>795</v>
      </c>
      <c r="L272">
        <f ca="1">DAYS360(INDIRECT(C69&amp;ROW()),TODAY())</f>
        <v>808</v>
      </c>
      <c r="M272">
        <f ca="1">HYPERLINK(CONCATENATE("https://bugzilla.houston.hp.com:1181/bugzilla/show_bug.cgi?id=",INDIRECT(C70&amp;ROW())),INDIRECT(C70&amp;ROW()))</f>
        <v>56512</v>
      </c>
      <c r="N272">
        <v>56512</v>
      </c>
      <c r="O272" t="s">
        <v>22</v>
      </c>
      <c r="P272" t="s">
        <v>598</v>
      </c>
      <c r="Q272" t="s">
        <v>25</v>
      </c>
      <c r="R272" t="s">
        <v>579</v>
      </c>
      <c r="S272" t="s">
        <v>552</v>
      </c>
      <c r="U272" s="6">
        <v>42052.332604166666</v>
      </c>
      <c r="V272" t="s">
        <v>18</v>
      </c>
      <c r="W272" t="s">
        <v>576</v>
      </c>
      <c r="X272" s="6">
        <v>42039.647303240738</v>
      </c>
      <c r="Y272" t="s">
        <v>535</v>
      </c>
      <c r="AB272" t="s">
        <v>201</v>
      </c>
      <c r="AC272" t="s">
        <v>247</v>
      </c>
      <c r="AD272" t="s">
        <v>222</v>
      </c>
      <c r="AE272" t="s">
        <v>221</v>
      </c>
      <c r="AG272" t="s">
        <v>121</v>
      </c>
      <c r="AH272" t="s">
        <v>327</v>
      </c>
      <c r="AI272" t="s">
        <v>121</v>
      </c>
      <c r="AJ272" t="s">
        <v>716</v>
      </c>
      <c r="AK272" t="s">
        <v>121</v>
      </c>
    </row>
    <row r="273" spans="9:37" x14ac:dyDescent="0.3">
      <c r="I273">
        <f ca="1">IF(OR(INDIRECT(A73&amp;ROW())=B93,INDIRECT(A73&amp;ROW())=B94),1,IF(AND(INDIRECT(A73&amp;ROW())=B95,INDIRECT(A96&amp;ROW())=C93),1,IF(AND(INDIRECT(A73&amp;ROW())=B95,INDIRECT(A96&amp;ROW())=C94),1,0)))</f>
        <v>0</v>
      </c>
      <c r="J273">
        <f ca="1">IF(AND(INDIRECT(A73&amp;ROW())=B95,INDIRECT(A96&amp;ROW())=C95),1,IF(AND(INDIRECT(A73&amp;ROW())=B95,INDIRECT(A96&amp;ROW())=C96),1,0))</f>
        <v>1</v>
      </c>
      <c r="K273">
        <f ca="1">DAYS360(INDIRECT(C68&amp;ROW()),TODAY())</f>
        <v>733</v>
      </c>
      <c r="L273">
        <f ca="1">DAYS360(INDIRECT(C69&amp;ROW()),TODAY())</f>
        <v>808</v>
      </c>
      <c r="M273">
        <f ca="1">HYPERLINK(CONCATENATE("https://bugzilla.houston.hp.com:1181/bugzilla/show_bug.cgi?id=",INDIRECT(C70&amp;ROW())),INDIRECT(C70&amp;ROW()))</f>
        <v>56513</v>
      </c>
      <c r="N273">
        <v>56513</v>
      </c>
      <c r="O273" t="s">
        <v>36</v>
      </c>
      <c r="P273" t="s">
        <v>597</v>
      </c>
      <c r="Q273" t="s">
        <v>25</v>
      </c>
      <c r="R273" t="s">
        <v>248</v>
      </c>
      <c r="S273" t="s">
        <v>552</v>
      </c>
      <c r="U273" s="6">
        <v>42113.619525462964</v>
      </c>
      <c r="V273" t="s">
        <v>18</v>
      </c>
      <c r="W273" t="s">
        <v>576</v>
      </c>
      <c r="X273" s="6">
        <v>42039.648113425923</v>
      </c>
      <c r="Y273" t="s">
        <v>535</v>
      </c>
      <c r="AB273" t="s">
        <v>201</v>
      </c>
      <c r="AC273" t="s">
        <v>247</v>
      </c>
      <c r="AD273" t="s">
        <v>222</v>
      </c>
      <c r="AE273" t="s">
        <v>221</v>
      </c>
      <c r="AG273" t="s">
        <v>121</v>
      </c>
      <c r="AH273" t="s">
        <v>327</v>
      </c>
      <c r="AI273" t="s">
        <v>121</v>
      </c>
      <c r="AJ273" t="s">
        <v>715</v>
      </c>
      <c r="AK273" t="s">
        <v>121</v>
      </c>
    </row>
    <row r="274" spans="9:37" x14ac:dyDescent="0.3">
      <c r="I274">
        <f ca="1">IF(OR(INDIRECT(A73&amp;ROW())=B93,INDIRECT(A73&amp;ROW())=B94),1,IF(AND(INDIRECT(A73&amp;ROW())=B95,INDIRECT(A96&amp;ROW())=C93),1,IF(AND(INDIRECT(A73&amp;ROW())=B95,INDIRECT(A96&amp;ROW())=C94),1,0)))</f>
        <v>0</v>
      </c>
      <c r="J274">
        <f ca="1">IF(AND(INDIRECT(A73&amp;ROW())=B95,INDIRECT(A96&amp;ROW())=C95),1,IF(AND(INDIRECT(A73&amp;ROW())=B95,INDIRECT(A96&amp;ROW())=C96),1,0))</f>
        <v>1</v>
      </c>
      <c r="K274">
        <f ca="1">DAYS360(INDIRECT(C68&amp;ROW()),TODAY())</f>
        <v>721</v>
      </c>
      <c r="L274">
        <f ca="1">DAYS360(INDIRECT(C69&amp;ROW()),TODAY())</f>
        <v>807</v>
      </c>
      <c r="M274">
        <f ca="1">HYPERLINK(CONCATENATE("https://bugzilla.houston.hp.com:1181/bugzilla/show_bug.cgi?id=",INDIRECT(C70&amp;ROW())),INDIRECT(C70&amp;ROW()))</f>
        <v>56586</v>
      </c>
      <c r="N274">
        <v>56586</v>
      </c>
      <c r="O274" t="s">
        <v>56</v>
      </c>
      <c r="P274" t="s">
        <v>601</v>
      </c>
      <c r="Q274" t="s">
        <v>25</v>
      </c>
      <c r="R274" t="s">
        <v>251</v>
      </c>
      <c r="S274" t="s">
        <v>22</v>
      </c>
      <c r="U274" s="6">
        <v>42125.452800925923</v>
      </c>
      <c r="V274" t="s">
        <v>18</v>
      </c>
      <c r="W274" t="s">
        <v>17</v>
      </c>
      <c r="X274" s="6">
        <v>42040.483576388891</v>
      </c>
      <c r="Y274" t="s">
        <v>122</v>
      </c>
      <c r="AB274" t="s">
        <v>201</v>
      </c>
      <c r="AC274" t="s">
        <v>247</v>
      </c>
      <c r="AD274" t="s">
        <v>220</v>
      </c>
      <c r="AE274" t="s">
        <v>219</v>
      </c>
      <c r="AG274" t="s">
        <v>121</v>
      </c>
      <c r="AH274" t="s">
        <v>327</v>
      </c>
      <c r="AI274" t="s">
        <v>121</v>
      </c>
      <c r="AJ274" t="s">
        <v>716</v>
      </c>
      <c r="AK274" t="s">
        <v>121</v>
      </c>
    </row>
    <row r="275" spans="9:37" x14ac:dyDescent="0.3">
      <c r="I275">
        <f ca="1">IF(OR(INDIRECT(A73&amp;ROW())=B93,INDIRECT(A73&amp;ROW())=B94),1,IF(AND(INDIRECT(A73&amp;ROW())=B95,INDIRECT(A96&amp;ROW())=C93),1,IF(AND(INDIRECT(A73&amp;ROW())=B95,INDIRECT(A96&amp;ROW())=C94),1,0)))</f>
        <v>0</v>
      </c>
      <c r="J275">
        <f ca="1">IF(AND(INDIRECT(A73&amp;ROW())=B95,INDIRECT(A96&amp;ROW())=C95),1,IF(AND(INDIRECT(A73&amp;ROW())=B95,INDIRECT(A96&amp;ROW())=C96),1,0))</f>
        <v>1</v>
      </c>
      <c r="K275">
        <f ca="1">DAYS360(INDIRECT(C68&amp;ROW()),TODAY())</f>
        <v>721</v>
      </c>
      <c r="L275">
        <f ca="1">DAYS360(INDIRECT(C69&amp;ROW()),TODAY())</f>
        <v>807</v>
      </c>
      <c r="M275">
        <f ca="1">HYPERLINK(CONCATENATE("https://bugzilla.houston.hp.com:1181/bugzilla/show_bug.cgi?id=",INDIRECT(C70&amp;ROW())),INDIRECT(C70&amp;ROW()))</f>
        <v>56589</v>
      </c>
      <c r="N275">
        <v>56589</v>
      </c>
      <c r="O275" t="s">
        <v>56</v>
      </c>
      <c r="P275" t="s">
        <v>600</v>
      </c>
      <c r="Q275" t="s">
        <v>25</v>
      </c>
      <c r="R275" t="s">
        <v>248</v>
      </c>
      <c r="S275" t="s">
        <v>552</v>
      </c>
      <c r="U275" s="6">
        <v>42125.452916666669</v>
      </c>
      <c r="V275" t="s">
        <v>18</v>
      </c>
      <c r="W275" t="s">
        <v>576</v>
      </c>
      <c r="X275" s="6">
        <v>42040.484780092593</v>
      </c>
      <c r="Y275" t="s">
        <v>122</v>
      </c>
      <c r="AB275" t="s">
        <v>201</v>
      </c>
      <c r="AC275" t="s">
        <v>247</v>
      </c>
      <c r="AD275" t="s">
        <v>220</v>
      </c>
      <c r="AE275" t="s">
        <v>219</v>
      </c>
      <c r="AG275" t="s">
        <v>121</v>
      </c>
      <c r="AH275" t="s">
        <v>327</v>
      </c>
      <c r="AI275" t="s">
        <v>121</v>
      </c>
      <c r="AJ275" t="s">
        <v>716</v>
      </c>
      <c r="AK275" t="s">
        <v>121</v>
      </c>
    </row>
    <row r="276" spans="9:37" x14ac:dyDescent="0.3">
      <c r="I276">
        <f ca="1">IF(OR(INDIRECT(A73&amp;ROW())=B93,INDIRECT(A73&amp;ROW())=B94),1,IF(AND(INDIRECT(A73&amp;ROW())=B95,INDIRECT(A96&amp;ROW())=C93),1,IF(AND(INDIRECT(A73&amp;ROW())=B95,INDIRECT(A96&amp;ROW())=C94),1,0)))</f>
        <v>1</v>
      </c>
      <c r="J276">
        <f ca="1">IF(AND(INDIRECT(A73&amp;ROW())=B95,INDIRECT(A96&amp;ROW())=C95),1,IF(AND(INDIRECT(A73&amp;ROW())=B95,INDIRECT(A96&amp;ROW())=C96),1,0))</f>
        <v>0</v>
      </c>
      <c r="K276">
        <f ca="1">DAYS360(INDIRECT(C68&amp;ROW()),TODAY())</f>
        <v>691</v>
      </c>
      <c r="L276">
        <f ca="1">DAYS360(INDIRECT(C69&amp;ROW()),TODAY())</f>
        <v>806</v>
      </c>
      <c r="M276">
        <f ca="1">HYPERLINK(CONCATENATE("https://bugzilla.houston.hp.com:1181/bugzilla/show_bug.cgi?id=",INDIRECT(C70&amp;ROW())),INDIRECT(C70&amp;ROW()))</f>
        <v>56687</v>
      </c>
      <c r="N276">
        <v>56687</v>
      </c>
      <c r="O276" t="s">
        <v>164</v>
      </c>
      <c r="P276" t="s">
        <v>602</v>
      </c>
      <c r="Q276" t="s">
        <v>25</v>
      </c>
      <c r="R276" t="s">
        <v>579</v>
      </c>
      <c r="S276" t="s">
        <v>236</v>
      </c>
      <c r="T276" t="s">
        <v>820</v>
      </c>
      <c r="U276" s="6">
        <v>42156.078865740739</v>
      </c>
      <c r="V276" t="s">
        <v>18</v>
      </c>
      <c r="W276" t="s">
        <v>57</v>
      </c>
      <c r="X276" s="6">
        <v>42041.700462962966</v>
      </c>
      <c r="Y276" t="s">
        <v>125</v>
      </c>
      <c r="AB276" t="s">
        <v>200</v>
      </c>
      <c r="AC276" t="s">
        <v>216</v>
      </c>
      <c r="AD276" t="s">
        <v>220</v>
      </c>
      <c r="AE276" t="s">
        <v>219</v>
      </c>
      <c r="AG276" t="s">
        <v>121</v>
      </c>
      <c r="AH276" t="s">
        <v>328</v>
      </c>
      <c r="AI276" t="s">
        <v>362</v>
      </c>
      <c r="AJ276" t="s">
        <v>715</v>
      </c>
      <c r="AK276" t="s">
        <v>121</v>
      </c>
    </row>
    <row r="277" spans="9:37" x14ac:dyDescent="0.3">
      <c r="I277">
        <f ca="1">IF(OR(INDIRECT(A73&amp;ROW())=B93,INDIRECT(A73&amp;ROW())=B94),1,IF(AND(INDIRECT(A73&amp;ROW())=B95,INDIRECT(A96&amp;ROW())=C93),1,IF(AND(INDIRECT(A73&amp;ROW())=B95,INDIRECT(A96&amp;ROW())=C94),1,0)))</f>
        <v>1</v>
      </c>
      <c r="J277">
        <f ca="1">IF(AND(INDIRECT(A73&amp;ROW())=B95,INDIRECT(A96&amp;ROW())=C95),1,IF(AND(INDIRECT(A73&amp;ROW())=B95,INDIRECT(A96&amp;ROW())=C96),1,0))</f>
        <v>0</v>
      </c>
      <c r="K277">
        <f ca="1">DAYS360(INDIRECT(C68&amp;ROW()),TODAY())</f>
        <v>723</v>
      </c>
      <c r="L277">
        <f ca="1">DAYS360(INDIRECT(C69&amp;ROW()),TODAY())</f>
        <v>803</v>
      </c>
      <c r="M277">
        <f ca="1">HYPERLINK(CONCATENATE("https://bugzilla.houston.hp.com:1181/bugzilla/show_bug.cgi?id=",INDIRECT(C70&amp;ROW())),INDIRECT(C70&amp;ROW()))</f>
        <v>56731</v>
      </c>
      <c r="N277">
        <v>56731</v>
      </c>
      <c r="O277" t="s">
        <v>94</v>
      </c>
      <c r="P277" t="s">
        <v>608</v>
      </c>
      <c r="Q277" t="s">
        <v>39</v>
      </c>
      <c r="R277" t="s">
        <v>579</v>
      </c>
      <c r="S277" t="s">
        <v>552</v>
      </c>
      <c r="T277" t="s">
        <v>820</v>
      </c>
      <c r="U277" s="6">
        <v>42123.396423611113</v>
      </c>
      <c r="V277" t="s">
        <v>40</v>
      </c>
      <c r="W277" t="s">
        <v>211</v>
      </c>
      <c r="X277" s="6">
        <v>42044.500763888886</v>
      </c>
      <c r="Y277" t="s">
        <v>119</v>
      </c>
      <c r="AB277" t="s">
        <v>201</v>
      </c>
      <c r="AC277" t="s">
        <v>121</v>
      </c>
      <c r="AD277" t="s">
        <v>227</v>
      </c>
      <c r="AE277" t="s">
        <v>231</v>
      </c>
      <c r="AG277" t="s">
        <v>121</v>
      </c>
      <c r="AH277" t="s">
        <v>64</v>
      </c>
      <c r="AI277" t="s">
        <v>362</v>
      </c>
      <c r="AJ277" t="s">
        <v>715</v>
      </c>
      <c r="AK277" t="s">
        <v>121</v>
      </c>
    </row>
    <row r="278" spans="9:37" x14ac:dyDescent="0.3">
      <c r="I278">
        <f ca="1">IF(OR(INDIRECT(A73&amp;ROW())=B93,INDIRECT(A73&amp;ROW())=B94),1,IF(AND(INDIRECT(A73&amp;ROW())=B95,INDIRECT(A96&amp;ROW())=C93),1,IF(AND(INDIRECT(A73&amp;ROW())=B95,INDIRECT(A96&amp;ROW())=C94),1,0)))</f>
        <v>1</v>
      </c>
      <c r="J278">
        <f ca="1">IF(AND(INDIRECT(A73&amp;ROW())=B95,INDIRECT(A96&amp;ROW())=C95),1,IF(AND(INDIRECT(A73&amp;ROW())=B95,INDIRECT(A96&amp;ROW())=C96),1,0))</f>
        <v>0</v>
      </c>
      <c r="K278">
        <f ca="1">DAYS360(INDIRECT(C68&amp;ROW()),TODAY())</f>
        <v>752</v>
      </c>
      <c r="L278">
        <f ca="1">DAYS360(INDIRECT(C69&amp;ROW()),TODAY())</f>
        <v>803</v>
      </c>
      <c r="M278">
        <f ca="1">HYPERLINK(CONCATENATE("https://bugzilla.houston.hp.com:1181/bugzilla/show_bug.cgi?id=",INDIRECT(C70&amp;ROW())),INDIRECT(C70&amp;ROW()))</f>
        <v>56735</v>
      </c>
      <c r="N278">
        <v>56735</v>
      </c>
      <c r="O278" t="s">
        <v>298</v>
      </c>
      <c r="P278" t="s">
        <v>606</v>
      </c>
      <c r="Q278" t="s">
        <v>39</v>
      </c>
      <c r="R278" t="s">
        <v>579</v>
      </c>
      <c r="S278" t="s">
        <v>552</v>
      </c>
      <c r="T278" t="s">
        <v>820</v>
      </c>
      <c r="U278" s="6">
        <v>42093.074259259258</v>
      </c>
      <c r="V278" t="s">
        <v>40</v>
      </c>
      <c r="W278" t="s">
        <v>343</v>
      </c>
      <c r="X278" s="6">
        <v>42044.506412037037</v>
      </c>
      <c r="Y278" t="s">
        <v>785</v>
      </c>
      <c r="AB278" t="s">
        <v>201</v>
      </c>
      <c r="AC278" t="s">
        <v>247</v>
      </c>
      <c r="AD278" t="s">
        <v>227</v>
      </c>
      <c r="AE278" t="s">
        <v>231</v>
      </c>
      <c r="AG278" t="s">
        <v>121</v>
      </c>
      <c r="AH278" t="s">
        <v>327</v>
      </c>
      <c r="AI278" t="s">
        <v>121</v>
      </c>
      <c r="AJ278" t="s">
        <v>715</v>
      </c>
      <c r="AK278" t="s">
        <v>121</v>
      </c>
    </row>
    <row r="279" spans="9:37" x14ac:dyDescent="0.3">
      <c r="I279">
        <f ca="1">IF(OR(INDIRECT(A73&amp;ROW())=B93,INDIRECT(A73&amp;ROW())=B94),1,IF(AND(INDIRECT(A73&amp;ROW())=B95,INDIRECT(A96&amp;ROW())=C93),1,IF(AND(INDIRECT(A73&amp;ROW())=B95,INDIRECT(A96&amp;ROW())=C94),1,0)))</f>
        <v>1</v>
      </c>
      <c r="J279">
        <f ca="1">IF(AND(INDIRECT(A73&amp;ROW())=B95,INDIRECT(A96&amp;ROW())=C95),1,IF(AND(INDIRECT(A73&amp;ROW())=B95,INDIRECT(A96&amp;ROW())=C96),1,0))</f>
        <v>0</v>
      </c>
      <c r="K279">
        <f ca="1">DAYS360(INDIRECT(C68&amp;ROW()),TODAY())</f>
        <v>728</v>
      </c>
      <c r="L279">
        <f ca="1">DAYS360(INDIRECT(C69&amp;ROW()),TODAY())</f>
        <v>803</v>
      </c>
      <c r="M279">
        <f ca="1">HYPERLINK(CONCATENATE("https://bugzilla.houston.hp.com:1181/bugzilla/show_bug.cgi?id=",INDIRECT(C70&amp;ROW())),INDIRECT(C70&amp;ROW()))</f>
        <v>56736</v>
      </c>
      <c r="N279">
        <v>56736</v>
      </c>
      <c r="O279" t="s">
        <v>156</v>
      </c>
      <c r="P279" t="s">
        <v>605</v>
      </c>
      <c r="Q279" t="s">
        <v>25</v>
      </c>
      <c r="R279" t="s">
        <v>579</v>
      </c>
      <c r="S279" t="s">
        <v>552</v>
      </c>
      <c r="T279" t="s">
        <v>816</v>
      </c>
      <c r="U279" s="6">
        <v>42118.270856481482</v>
      </c>
      <c r="V279" t="s">
        <v>18</v>
      </c>
      <c r="W279" t="s">
        <v>17</v>
      </c>
      <c r="X279" s="6">
        <v>42044.507962962962</v>
      </c>
      <c r="Y279" t="s">
        <v>342</v>
      </c>
      <c r="AB279" t="s">
        <v>200</v>
      </c>
      <c r="AC279" t="s">
        <v>247</v>
      </c>
      <c r="AD279" t="s">
        <v>220</v>
      </c>
      <c r="AE279" t="s">
        <v>219</v>
      </c>
      <c r="AG279" t="s">
        <v>121</v>
      </c>
      <c r="AH279" t="s">
        <v>327</v>
      </c>
      <c r="AI279" t="s">
        <v>362</v>
      </c>
      <c r="AJ279" t="s">
        <v>715</v>
      </c>
      <c r="AK279" t="s">
        <v>121</v>
      </c>
    </row>
    <row r="280" spans="9:37" x14ac:dyDescent="0.3">
      <c r="I280">
        <f ca="1">IF(OR(INDIRECT(A73&amp;ROW())=B93,INDIRECT(A73&amp;ROW())=B94),1,IF(AND(INDIRECT(A73&amp;ROW())=B95,INDIRECT(A96&amp;ROW())=C93),1,IF(AND(INDIRECT(A73&amp;ROW())=B95,INDIRECT(A96&amp;ROW())=C94),1,0)))</f>
        <v>1</v>
      </c>
      <c r="J280">
        <f ca="1">IF(AND(INDIRECT(A73&amp;ROW())=B95,INDIRECT(A96&amp;ROW())=C95),1,IF(AND(INDIRECT(A73&amp;ROW())=B95,INDIRECT(A96&amp;ROW())=C96),1,0))</f>
        <v>0</v>
      </c>
      <c r="K280">
        <f ca="1">DAYS360(INDIRECT(C68&amp;ROW()),TODAY())</f>
        <v>732</v>
      </c>
      <c r="L280">
        <f ca="1">DAYS360(INDIRECT(C69&amp;ROW()),TODAY())</f>
        <v>803</v>
      </c>
      <c r="M280">
        <f ca="1">HYPERLINK(CONCATENATE("https://bugzilla.houston.hp.com:1181/bugzilla/show_bug.cgi?id=",INDIRECT(C70&amp;ROW())),INDIRECT(C70&amp;ROW()))</f>
        <v>56737</v>
      </c>
      <c r="N280">
        <v>56737</v>
      </c>
      <c r="O280" t="s">
        <v>22</v>
      </c>
      <c r="P280" t="s">
        <v>604</v>
      </c>
      <c r="Q280" t="s">
        <v>39</v>
      </c>
      <c r="R280" t="s">
        <v>579</v>
      </c>
      <c r="S280" t="s">
        <v>552</v>
      </c>
      <c r="T280" t="s">
        <v>820</v>
      </c>
      <c r="U280" s="6">
        <v>42114.896689814814</v>
      </c>
      <c r="V280" t="s">
        <v>18</v>
      </c>
      <c r="W280" t="s">
        <v>343</v>
      </c>
      <c r="X280" s="6">
        <v>42044.510810185187</v>
      </c>
      <c r="Y280" t="s">
        <v>245</v>
      </c>
      <c r="AB280" t="s">
        <v>201</v>
      </c>
      <c r="AC280" t="s">
        <v>247</v>
      </c>
      <c r="AD280" t="s">
        <v>222</v>
      </c>
      <c r="AE280" t="s">
        <v>221</v>
      </c>
      <c r="AG280" t="s">
        <v>121</v>
      </c>
      <c r="AH280" t="s">
        <v>327</v>
      </c>
      <c r="AI280" t="s">
        <v>362</v>
      </c>
      <c r="AJ280" t="s">
        <v>715</v>
      </c>
      <c r="AK280" t="s">
        <v>121</v>
      </c>
    </row>
    <row r="281" spans="9:37" x14ac:dyDescent="0.3">
      <c r="I281">
        <f ca="1">IF(OR(INDIRECT(A73&amp;ROW())=B93,INDIRECT(A73&amp;ROW())=B94),1,IF(AND(INDIRECT(A73&amp;ROW())=B95,INDIRECT(A96&amp;ROW())=C93),1,IF(AND(INDIRECT(A73&amp;ROW())=B95,INDIRECT(A96&amp;ROW())=C94),1,0)))</f>
        <v>0</v>
      </c>
      <c r="J281">
        <f ca="1">IF(AND(INDIRECT(A73&amp;ROW())=B95,INDIRECT(A96&amp;ROW())=C95),1,IF(AND(INDIRECT(A73&amp;ROW())=B95,INDIRECT(A96&amp;ROW())=C96),1,0))</f>
        <v>1</v>
      </c>
      <c r="K281">
        <f ca="1">DAYS360(INDIRECT(C68&amp;ROW()),TODAY())</f>
        <v>721</v>
      </c>
      <c r="L281">
        <f ca="1">DAYS360(INDIRECT(C69&amp;ROW()),TODAY())</f>
        <v>803</v>
      </c>
      <c r="M281">
        <f ca="1">HYPERLINK(CONCATENATE("https://bugzilla.houston.hp.com:1181/bugzilla/show_bug.cgi?id=",INDIRECT(C70&amp;ROW())),INDIRECT(C70&amp;ROW()))</f>
        <v>56784</v>
      </c>
      <c r="N281">
        <v>56784</v>
      </c>
      <c r="O281" t="s">
        <v>56</v>
      </c>
      <c r="P281" t="s">
        <v>603</v>
      </c>
      <c r="Q281" t="s">
        <v>25</v>
      </c>
      <c r="R281" t="s">
        <v>248</v>
      </c>
      <c r="S281" t="s">
        <v>552</v>
      </c>
      <c r="U281" s="6">
        <v>42125.451770833337</v>
      </c>
      <c r="V281" t="s">
        <v>18</v>
      </c>
      <c r="W281" t="s">
        <v>512</v>
      </c>
      <c r="X281" s="6">
        <v>42044.682280092595</v>
      </c>
      <c r="Y281" t="s">
        <v>122</v>
      </c>
      <c r="AB281" t="s">
        <v>201</v>
      </c>
      <c r="AC281" t="s">
        <v>247</v>
      </c>
      <c r="AD281" t="s">
        <v>220</v>
      </c>
      <c r="AE281" t="s">
        <v>219</v>
      </c>
      <c r="AG281" t="s">
        <v>121</v>
      </c>
      <c r="AH281" t="s">
        <v>327</v>
      </c>
      <c r="AI281" t="s">
        <v>121</v>
      </c>
      <c r="AJ281" t="s">
        <v>716</v>
      </c>
      <c r="AK281" t="s">
        <v>121</v>
      </c>
    </row>
    <row r="282" spans="9:37" x14ac:dyDescent="0.3">
      <c r="I282">
        <f ca="1">IF(OR(INDIRECT(A73&amp;ROW())=B93,INDIRECT(A73&amp;ROW())=B94),1,IF(AND(INDIRECT(A73&amp;ROW())=B95,INDIRECT(A96&amp;ROW())=C93),1,IF(AND(INDIRECT(A73&amp;ROW())=B95,INDIRECT(A96&amp;ROW())=C94),1,0)))</f>
        <v>0</v>
      </c>
      <c r="J282">
        <f ca="1">IF(AND(INDIRECT(A73&amp;ROW())=B95,INDIRECT(A96&amp;ROW())=C95),1,IF(AND(INDIRECT(A73&amp;ROW())=B95,INDIRECT(A96&amp;ROW())=C96),1,0))</f>
        <v>1</v>
      </c>
      <c r="K282">
        <f ca="1">DAYS360(INDIRECT(C68&amp;ROW()),TODAY())</f>
        <v>732</v>
      </c>
      <c r="L282">
        <f ca="1">DAYS360(INDIRECT(C69&amp;ROW()),TODAY())</f>
        <v>802</v>
      </c>
      <c r="M282">
        <f ca="1">HYPERLINK(CONCATENATE("https://bugzilla.houston.hp.com:1181/bugzilla/show_bug.cgi?id=",INDIRECT(C70&amp;ROW())),INDIRECT(C70&amp;ROW()))</f>
        <v>56829</v>
      </c>
      <c r="N282">
        <v>56829</v>
      </c>
      <c r="O282" t="s">
        <v>36</v>
      </c>
      <c r="P282" t="s">
        <v>672</v>
      </c>
      <c r="Q282" t="s">
        <v>25</v>
      </c>
      <c r="R282" t="s">
        <v>579</v>
      </c>
      <c r="S282" t="s">
        <v>552</v>
      </c>
      <c r="T282" t="s">
        <v>718</v>
      </c>
      <c r="U282" s="6">
        <v>42114.8983912037</v>
      </c>
      <c r="V282" t="s">
        <v>18</v>
      </c>
      <c r="W282" t="s">
        <v>576</v>
      </c>
      <c r="X282" s="6">
        <v>42045.437962962962</v>
      </c>
      <c r="Y282" t="s">
        <v>124</v>
      </c>
      <c r="AB282" t="s">
        <v>201</v>
      </c>
      <c r="AC282" t="s">
        <v>247</v>
      </c>
      <c r="AD282" t="s">
        <v>222</v>
      </c>
      <c r="AE282" t="s">
        <v>228</v>
      </c>
      <c r="AG282" t="s">
        <v>121</v>
      </c>
      <c r="AH282" t="s">
        <v>327</v>
      </c>
      <c r="AI282" t="s">
        <v>362</v>
      </c>
      <c r="AJ282" t="s">
        <v>716</v>
      </c>
      <c r="AK282" t="s">
        <v>121</v>
      </c>
    </row>
    <row r="283" spans="9:37" x14ac:dyDescent="0.3">
      <c r="I283">
        <f ca="1">IF(OR(INDIRECT(A73&amp;ROW())=B93,INDIRECT(A73&amp;ROW())=B94),1,IF(AND(INDIRECT(A73&amp;ROW())=B95,INDIRECT(A96&amp;ROW())=C93),1,IF(AND(INDIRECT(A73&amp;ROW())=B95,INDIRECT(A96&amp;ROW())=C94),1,0)))</f>
        <v>0</v>
      </c>
      <c r="J283">
        <f ca="1">IF(AND(INDIRECT(A73&amp;ROW())=B95,INDIRECT(A96&amp;ROW())=C95),1,IF(AND(INDIRECT(A73&amp;ROW())=B95,INDIRECT(A96&amp;ROW())=C96),1,0))</f>
        <v>1</v>
      </c>
      <c r="K283">
        <f ca="1">DAYS360(INDIRECT(C68&amp;ROW()),TODAY())</f>
        <v>799</v>
      </c>
      <c r="L283">
        <f ca="1">DAYS360(INDIRECT(C69&amp;ROW()),TODAY())</f>
        <v>802</v>
      </c>
      <c r="M283">
        <f ca="1">HYPERLINK(CONCATENATE("https://bugzilla.houston.hp.com:1181/bugzilla/show_bug.cgi?id=",INDIRECT(C70&amp;ROW())),INDIRECT(C70&amp;ROW()))</f>
        <v>56833</v>
      </c>
      <c r="N283">
        <v>56833</v>
      </c>
      <c r="O283" t="s">
        <v>36</v>
      </c>
      <c r="P283" t="s">
        <v>671</v>
      </c>
      <c r="Q283" t="s">
        <v>25</v>
      </c>
      <c r="R283" t="s">
        <v>579</v>
      </c>
      <c r="S283" t="s">
        <v>552</v>
      </c>
      <c r="T283" t="s">
        <v>719</v>
      </c>
      <c r="U283" s="6">
        <v>42048.010648148149</v>
      </c>
      <c r="V283" t="s">
        <v>18</v>
      </c>
      <c r="W283" t="s">
        <v>343</v>
      </c>
      <c r="X283" s="6">
        <v>42045.439618055556</v>
      </c>
      <c r="Y283" t="s">
        <v>246</v>
      </c>
      <c r="AB283" t="s">
        <v>201</v>
      </c>
      <c r="AC283" t="s">
        <v>247</v>
      </c>
      <c r="AD283" t="s">
        <v>222</v>
      </c>
      <c r="AE283" t="s">
        <v>221</v>
      </c>
      <c r="AG283" t="s">
        <v>121</v>
      </c>
      <c r="AH283" t="s">
        <v>327</v>
      </c>
      <c r="AI283" t="s">
        <v>121</v>
      </c>
      <c r="AJ283" t="s">
        <v>716</v>
      </c>
      <c r="AK283" t="s">
        <v>121</v>
      </c>
    </row>
    <row r="284" spans="9:37" x14ac:dyDescent="0.3">
      <c r="I284">
        <f ca="1">IF(OR(INDIRECT(A73&amp;ROW())=B93,INDIRECT(A73&amp;ROW())=B94),1,IF(AND(INDIRECT(A73&amp;ROW())=B95,INDIRECT(A96&amp;ROW())=C93),1,IF(AND(INDIRECT(A73&amp;ROW())=B95,INDIRECT(A96&amp;ROW())=C94),1,0)))</f>
        <v>1</v>
      </c>
      <c r="J284">
        <f ca="1">IF(AND(INDIRECT(A73&amp;ROW())=B95,INDIRECT(A96&amp;ROW())=C95),1,IF(AND(INDIRECT(A73&amp;ROW())=B95,INDIRECT(A96&amp;ROW())=C96),1,0))</f>
        <v>0</v>
      </c>
      <c r="K284">
        <f ca="1">DAYS360(INDIRECT(C68&amp;ROW()),TODAY())</f>
        <v>692</v>
      </c>
      <c r="L284">
        <f ca="1">DAYS360(INDIRECT(C69&amp;ROW()),TODAY())</f>
        <v>802</v>
      </c>
      <c r="M284">
        <f ca="1">HYPERLINK(CONCATENATE("https://bugzilla.houston.hp.com:1181/bugzilla/show_bug.cgi?id=",INDIRECT(C70&amp;ROW())),INDIRECT(C70&amp;ROW()))</f>
        <v>56836</v>
      </c>
      <c r="N284">
        <v>56836</v>
      </c>
      <c r="O284" t="s">
        <v>53</v>
      </c>
      <c r="P284" t="s">
        <v>670</v>
      </c>
      <c r="Q284" t="s">
        <v>39</v>
      </c>
      <c r="R284" t="s">
        <v>579</v>
      </c>
      <c r="S284" t="s">
        <v>552</v>
      </c>
      <c r="T284" t="s">
        <v>998</v>
      </c>
      <c r="U284" s="6">
        <v>42155.949664351851</v>
      </c>
      <c r="V284" t="s">
        <v>40</v>
      </c>
      <c r="W284" t="s">
        <v>258</v>
      </c>
      <c r="X284" s="6">
        <v>42045.447187500002</v>
      </c>
      <c r="Y284" t="s">
        <v>119</v>
      </c>
      <c r="AB284" t="s">
        <v>201</v>
      </c>
      <c r="AC284" t="s">
        <v>247</v>
      </c>
      <c r="AD284" t="s">
        <v>220</v>
      </c>
      <c r="AE284" t="s">
        <v>219</v>
      </c>
      <c r="AG284" t="s">
        <v>121</v>
      </c>
      <c r="AH284" t="s">
        <v>64</v>
      </c>
      <c r="AI284" t="s">
        <v>121</v>
      </c>
      <c r="AJ284" t="s">
        <v>715</v>
      </c>
      <c r="AK284" t="s">
        <v>121</v>
      </c>
    </row>
    <row r="285" spans="9:37" x14ac:dyDescent="0.3">
      <c r="I285">
        <f ca="1">IF(OR(INDIRECT(A73&amp;ROW())=B93,INDIRECT(A73&amp;ROW())=B94),1,IF(AND(INDIRECT(A73&amp;ROW())=B95,INDIRECT(A96&amp;ROW())=C93),1,IF(AND(INDIRECT(A73&amp;ROW())=B95,INDIRECT(A96&amp;ROW())=C94),1,0)))</f>
        <v>0</v>
      </c>
      <c r="J285">
        <f ca="1">IF(AND(INDIRECT(A73&amp;ROW())=B95,INDIRECT(A96&amp;ROW())=C95),1,IF(AND(INDIRECT(A73&amp;ROW())=B95,INDIRECT(A96&amp;ROW())=C96),1,0))</f>
        <v>1</v>
      </c>
      <c r="K285">
        <f ca="1">DAYS360(INDIRECT(C68&amp;ROW()),TODAY())</f>
        <v>752</v>
      </c>
      <c r="L285">
        <f ca="1">DAYS360(INDIRECT(C69&amp;ROW()),TODAY())</f>
        <v>802</v>
      </c>
      <c r="M285">
        <f ca="1">HYPERLINK(CONCATENATE("https://bugzilla.houston.hp.com:1181/bugzilla/show_bug.cgi?id=",INDIRECT(C70&amp;ROW())),INDIRECT(C70&amp;ROW()))</f>
        <v>56838</v>
      </c>
      <c r="N285">
        <v>56838</v>
      </c>
      <c r="O285" t="s">
        <v>36</v>
      </c>
      <c r="P285" t="s">
        <v>669</v>
      </c>
      <c r="Q285" t="s">
        <v>25</v>
      </c>
      <c r="R285" t="s">
        <v>579</v>
      </c>
      <c r="S285" t="s">
        <v>552</v>
      </c>
      <c r="T285" t="s">
        <v>610</v>
      </c>
      <c r="U285" s="6">
        <v>42093.996180555558</v>
      </c>
      <c r="V285" t="s">
        <v>18</v>
      </c>
      <c r="W285" t="s">
        <v>211</v>
      </c>
      <c r="X285" s="6">
        <v>42045.447858796295</v>
      </c>
      <c r="Y285" t="s">
        <v>119</v>
      </c>
      <c r="AB285" t="s">
        <v>201</v>
      </c>
      <c r="AC285" t="s">
        <v>121</v>
      </c>
      <c r="AD285" t="s">
        <v>222</v>
      </c>
      <c r="AE285" t="s">
        <v>240</v>
      </c>
      <c r="AG285" t="s">
        <v>121</v>
      </c>
      <c r="AH285" t="s">
        <v>64</v>
      </c>
      <c r="AI285" t="s">
        <v>121</v>
      </c>
      <c r="AJ285" t="s">
        <v>716</v>
      </c>
      <c r="AK285" t="s">
        <v>121</v>
      </c>
    </row>
    <row r="286" spans="9:37" x14ac:dyDescent="0.3">
      <c r="I286">
        <f ca="1">IF(OR(INDIRECT(A73&amp;ROW())=B93,INDIRECT(A73&amp;ROW())=B94),1,IF(AND(INDIRECT(A73&amp;ROW())=B95,INDIRECT(A96&amp;ROW())=C93),1,IF(AND(INDIRECT(A73&amp;ROW())=B95,INDIRECT(A96&amp;ROW())=C94),1,0)))</f>
        <v>0</v>
      </c>
      <c r="J286">
        <f ca="1">IF(AND(INDIRECT(A73&amp;ROW())=B95,INDIRECT(A96&amp;ROW())=C95),1,IF(AND(INDIRECT(A73&amp;ROW())=B95,INDIRECT(A96&amp;ROW())=C96),1,0))</f>
        <v>1</v>
      </c>
      <c r="K286">
        <f ca="1">DAYS360(INDIRECT(C68&amp;ROW()),TODAY())</f>
        <v>799</v>
      </c>
      <c r="L286">
        <f ca="1">DAYS360(INDIRECT(C69&amp;ROW()),TODAY())</f>
        <v>802</v>
      </c>
      <c r="M286">
        <f ca="1">HYPERLINK(CONCATENATE("https://bugzilla.houston.hp.com:1181/bugzilla/show_bug.cgi?id=",INDIRECT(C70&amp;ROW())),INDIRECT(C70&amp;ROW()))</f>
        <v>56839</v>
      </c>
      <c r="N286">
        <v>56839</v>
      </c>
      <c r="O286" t="s">
        <v>36</v>
      </c>
      <c r="P286" t="s">
        <v>668</v>
      </c>
      <c r="Q286" t="s">
        <v>25</v>
      </c>
      <c r="R286" t="s">
        <v>579</v>
      </c>
      <c r="S286" t="s">
        <v>552</v>
      </c>
      <c r="T286" t="s">
        <v>719</v>
      </c>
      <c r="U286" s="6">
        <v>42048.007557870369</v>
      </c>
      <c r="V286" t="s">
        <v>18</v>
      </c>
      <c r="W286" t="s">
        <v>341</v>
      </c>
      <c r="X286" s="6">
        <v>42045.448148148149</v>
      </c>
      <c r="Y286" t="s">
        <v>246</v>
      </c>
      <c r="AB286" t="s">
        <v>201</v>
      </c>
      <c r="AC286" t="s">
        <v>247</v>
      </c>
      <c r="AD286" t="s">
        <v>222</v>
      </c>
      <c r="AE286" t="s">
        <v>221</v>
      </c>
      <c r="AG286" t="s">
        <v>121</v>
      </c>
      <c r="AH286" t="s">
        <v>327</v>
      </c>
      <c r="AI286" t="s">
        <v>121</v>
      </c>
      <c r="AJ286" t="s">
        <v>716</v>
      </c>
      <c r="AK286" t="s">
        <v>121</v>
      </c>
    </row>
    <row r="287" spans="9:37" x14ac:dyDescent="0.3">
      <c r="I287">
        <f ca="1">IF(OR(INDIRECT(A73&amp;ROW())=B93,INDIRECT(A73&amp;ROW())=B94),1,IF(AND(INDIRECT(A73&amp;ROW())=B95,INDIRECT(A96&amp;ROW())=C93),1,IF(AND(INDIRECT(A73&amp;ROW())=B95,INDIRECT(A96&amp;ROW())=C94),1,0)))</f>
        <v>1</v>
      </c>
      <c r="J287">
        <f ca="1">IF(AND(INDIRECT(A73&amp;ROW())=B95,INDIRECT(A96&amp;ROW())=C95),1,IF(AND(INDIRECT(A73&amp;ROW())=B95,INDIRECT(A96&amp;ROW())=C96),1,0))</f>
        <v>0</v>
      </c>
      <c r="K287">
        <f ca="1">DAYS360(INDIRECT(C68&amp;ROW()),TODAY())</f>
        <v>692</v>
      </c>
      <c r="L287">
        <f ca="1">DAYS360(INDIRECT(C69&amp;ROW()),TODAY())</f>
        <v>802</v>
      </c>
      <c r="M287">
        <f ca="1">HYPERLINK(CONCATENATE("https://bugzilla.houston.hp.com:1181/bugzilla/show_bug.cgi?id=",INDIRECT(C70&amp;ROW())),INDIRECT(C70&amp;ROW()))</f>
        <v>56842</v>
      </c>
      <c r="N287">
        <v>56842</v>
      </c>
      <c r="O287" t="s">
        <v>53</v>
      </c>
      <c r="P287" t="s">
        <v>667</v>
      </c>
      <c r="Q287" t="s">
        <v>39</v>
      </c>
      <c r="R287" t="s">
        <v>579</v>
      </c>
      <c r="S287" t="s">
        <v>552</v>
      </c>
      <c r="T287" t="s">
        <v>999</v>
      </c>
      <c r="U287" s="6">
        <v>42155.948958333334</v>
      </c>
      <c r="V287" t="s">
        <v>40</v>
      </c>
      <c r="W287" t="s">
        <v>260</v>
      </c>
      <c r="X287" s="6">
        <v>42045.449675925927</v>
      </c>
      <c r="Y287" t="s">
        <v>793</v>
      </c>
      <c r="AB287" t="s">
        <v>201</v>
      </c>
      <c r="AC287" t="s">
        <v>121</v>
      </c>
      <c r="AD287" t="s">
        <v>220</v>
      </c>
      <c r="AE287" t="s">
        <v>219</v>
      </c>
      <c r="AG287" t="s">
        <v>121</v>
      </c>
      <c r="AH287" t="s">
        <v>327</v>
      </c>
      <c r="AI287" t="s">
        <v>121</v>
      </c>
      <c r="AJ287" t="s">
        <v>715</v>
      </c>
      <c r="AK287" t="s">
        <v>121</v>
      </c>
    </row>
    <row r="288" spans="9:37" x14ac:dyDescent="0.3">
      <c r="I288">
        <f ca="1">IF(OR(INDIRECT(A73&amp;ROW())=B93,INDIRECT(A73&amp;ROW())=B94),1,IF(AND(INDIRECT(A73&amp;ROW())=B95,INDIRECT(A96&amp;ROW())=C93),1,IF(AND(INDIRECT(A73&amp;ROW())=B95,INDIRECT(A96&amp;ROW())=C94),1,0)))</f>
        <v>0</v>
      </c>
      <c r="J288">
        <f ca="1">IF(AND(INDIRECT(A73&amp;ROW())=B95,INDIRECT(A96&amp;ROW())=C95),1,IF(AND(INDIRECT(A73&amp;ROW())=B95,INDIRECT(A96&amp;ROW())=C96),1,0))</f>
        <v>1</v>
      </c>
      <c r="K288">
        <f ca="1">DAYS360(INDIRECT(C68&amp;ROW()),TODAY())</f>
        <v>721</v>
      </c>
      <c r="L288">
        <f ca="1">DAYS360(INDIRECT(C69&amp;ROW()),TODAY())</f>
        <v>802</v>
      </c>
      <c r="M288">
        <f ca="1">HYPERLINK(CONCATENATE("https://bugzilla.houston.hp.com:1181/bugzilla/show_bug.cgi?id=",INDIRECT(C70&amp;ROW())),INDIRECT(C70&amp;ROW()))</f>
        <v>56847</v>
      </c>
      <c r="N288">
        <v>56847</v>
      </c>
      <c r="O288" t="s">
        <v>56</v>
      </c>
      <c r="P288" t="s">
        <v>666</v>
      </c>
      <c r="Q288" t="s">
        <v>25</v>
      </c>
      <c r="R288" t="s">
        <v>579</v>
      </c>
      <c r="S288" t="s">
        <v>552</v>
      </c>
      <c r="T288" t="s">
        <v>610</v>
      </c>
      <c r="U288" s="6">
        <v>42125.449641203704</v>
      </c>
      <c r="V288" t="s">
        <v>18</v>
      </c>
      <c r="W288" t="s">
        <v>372</v>
      </c>
      <c r="X288" s="6">
        <v>42045.459490740737</v>
      </c>
      <c r="Y288" t="s">
        <v>122</v>
      </c>
      <c r="AB288" t="s">
        <v>201</v>
      </c>
      <c r="AC288" t="s">
        <v>247</v>
      </c>
      <c r="AD288" t="s">
        <v>220</v>
      </c>
      <c r="AE288" t="s">
        <v>219</v>
      </c>
      <c r="AG288" t="s">
        <v>121</v>
      </c>
      <c r="AH288" t="s">
        <v>327</v>
      </c>
      <c r="AI288" t="s">
        <v>121</v>
      </c>
      <c r="AJ288" t="s">
        <v>716</v>
      </c>
      <c r="AK288" t="s">
        <v>121</v>
      </c>
    </row>
    <row r="289" spans="9:37" x14ac:dyDescent="0.3">
      <c r="I289">
        <f ca="1">IF(OR(INDIRECT(A73&amp;ROW())=B93,INDIRECT(A73&amp;ROW())=B94),1,IF(AND(INDIRECT(A73&amp;ROW())=B95,INDIRECT(A96&amp;ROW())=C93),1,IF(AND(INDIRECT(A73&amp;ROW())=B95,INDIRECT(A96&amp;ROW())=C94),1,0)))</f>
        <v>0</v>
      </c>
      <c r="J289">
        <f ca="1">IF(AND(INDIRECT(A73&amp;ROW())=B95,INDIRECT(A96&amp;ROW())=C95),1,IF(AND(INDIRECT(A73&amp;ROW())=B95,INDIRECT(A96&amp;ROW())=C96),1,0))</f>
        <v>1</v>
      </c>
      <c r="K289">
        <f ca="1">DAYS360(INDIRECT(C68&amp;ROW()),TODAY())</f>
        <v>802</v>
      </c>
      <c r="L289">
        <f ca="1">DAYS360(INDIRECT(C69&amp;ROW()),TODAY())</f>
        <v>802</v>
      </c>
      <c r="M289">
        <f ca="1">HYPERLINK(CONCATENATE("https://bugzilla.houston.hp.com:1181/bugzilla/show_bug.cgi?id=",INDIRECT(C70&amp;ROW())),INDIRECT(C70&amp;ROW()))</f>
        <v>56848</v>
      </c>
      <c r="N289">
        <v>56848</v>
      </c>
      <c r="O289" t="s">
        <v>36</v>
      </c>
      <c r="P289" t="s">
        <v>665</v>
      </c>
      <c r="Q289" t="s">
        <v>25</v>
      </c>
      <c r="R289" t="s">
        <v>248</v>
      </c>
      <c r="S289" t="s">
        <v>552</v>
      </c>
      <c r="U289" s="6">
        <v>42045.500856481478</v>
      </c>
      <c r="V289" t="s">
        <v>18</v>
      </c>
      <c r="W289" t="s">
        <v>576</v>
      </c>
      <c r="X289" s="6">
        <v>42045.465833333335</v>
      </c>
      <c r="Y289" t="s">
        <v>124</v>
      </c>
      <c r="AB289" t="s">
        <v>201</v>
      </c>
      <c r="AC289" t="s">
        <v>247</v>
      </c>
      <c r="AD289" t="s">
        <v>222</v>
      </c>
      <c r="AE289" t="s">
        <v>221</v>
      </c>
      <c r="AG289" t="s">
        <v>121</v>
      </c>
      <c r="AH289" t="s">
        <v>327</v>
      </c>
      <c r="AI289" t="s">
        <v>121</v>
      </c>
      <c r="AJ289" t="s">
        <v>716</v>
      </c>
      <c r="AK289" t="s">
        <v>121</v>
      </c>
    </row>
    <row r="290" spans="9:37" x14ac:dyDescent="0.3">
      <c r="I290">
        <f ca="1">IF(OR(INDIRECT(A73&amp;ROW())=B93,INDIRECT(A73&amp;ROW())=B94),1,IF(AND(INDIRECT(A73&amp;ROW())=B95,INDIRECT(A96&amp;ROW())=C93),1,IF(AND(INDIRECT(A73&amp;ROW())=B95,INDIRECT(A96&amp;ROW())=C94),1,0)))</f>
        <v>0</v>
      </c>
      <c r="J290">
        <f ca="1">IF(AND(INDIRECT(A73&amp;ROW())=B95,INDIRECT(A96&amp;ROW())=C95),1,IF(AND(INDIRECT(A73&amp;ROW())=B95,INDIRECT(A96&amp;ROW())=C96),1,0))</f>
        <v>1</v>
      </c>
      <c r="K290">
        <f ca="1">DAYS360(INDIRECT(C68&amp;ROW()),TODAY())</f>
        <v>721</v>
      </c>
      <c r="L290">
        <f ca="1">DAYS360(INDIRECT(C69&amp;ROW()),TODAY())</f>
        <v>802</v>
      </c>
      <c r="M290">
        <f ca="1">HYPERLINK(CONCATENATE("https://bugzilla.houston.hp.com:1181/bugzilla/show_bug.cgi?id=",INDIRECT(C70&amp;ROW())),INDIRECT(C70&amp;ROW()))</f>
        <v>56849</v>
      </c>
      <c r="N290">
        <v>56849</v>
      </c>
      <c r="O290" t="s">
        <v>56</v>
      </c>
      <c r="P290" t="s">
        <v>664</v>
      </c>
      <c r="Q290" t="s">
        <v>25</v>
      </c>
      <c r="R290" t="s">
        <v>248</v>
      </c>
      <c r="S290" t="s">
        <v>552</v>
      </c>
      <c r="U290" s="6">
        <v>42125.450856481482</v>
      </c>
      <c r="V290" t="s">
        <v>18</v>
      </c>
      <c r="W290" t="s">
        <v>324</v>
      </c>
      <c r="X290" s="6">
        <v>42045.466180555559</v>
      </c>
      <c r="Y290" t="s">
        <v>122</v>
      </c>
      <c r="AB290" t="s">
        <v>201</v>
      </c>
      <c r="AC290" t="s">
        <v>247</v>
      </c>
      <c r="AD290" t="s">
        <v>220</v>
      </c>
      <c r="AE290" t="s">
        <v>219</v>
      </c>
      <c r="AG290" t="s">
        <v>121</v>
      </c>
      <c r="AH290" t="s">
        <v>327</v>
      </c>
      <c r="AI290" t="s">
        <v>121</v>
      </c>
      <c r="AJ290" t="s">
        <v>716</v>
      </c>
      <c r="AK290" t="s">
        <v>121</v>
      </c>
    </row>
    <row r="291" spans="9:37" x14ac:dyDescent="0.3">
      <c r="I291">
        <f ca="1">IF(OR(INDIRECT(A73&amp;ROW())=B93,INDIRECT(A73&amp;ROW())=B94),1,IF(AND(INDIRECT(A73&amp;ROW())=B95,INDIRECT(A96&amp;ROW())=C93),1,IF(AND(INDIRECT(A73&amp;ROW())=B95,INDIRECT(A96&amp;ROW())=C94),1,0)))</f>
        <v>0</v>
      </c>
      <c r="J291">
        <f ca="1">IF(AND(INDIRECT(A73&amp;ROW())=B95,INDIRECT(A96&amp;ROW())=C95),1,IF(AND(INDIRECT(A73&amp;ROW())=B95,INDIRECT(A96&amp;ROW())=C96),1,0))</f>
        <v>1</v>
      </c>
      <c r="K291">
        <f ca="1">DAYS360(INDIRECT(C68&amp;ROW()),TODAY())</f>
        <v>802</v>
      </c>
      <c r="L291">
        <f ca="1">DAYS360(INDIRECT(C69&amp;ROW()),TODAY())</f>
        <v>802</v>
      </c>
      <c r="M291">
        <f ca="1">HYPERLINK(CONCATENATE("https://bugzilla.houston.hp.com:1181/bugzilla/show_bug.cgi?id=",INDIRECT(C70&amp;ROW())),INDIRECT(C70&amp;ROW()))</f>
        <v>56850</v>
      </c>
      <c r="N291">
        <v>56850</v>
      </c>
      <c r="O291" t="s">
        <v>36</v>
      </c>
      <c r="P291" t="s">
        <v>663</v>
      </c>
      <c r="Q291" t="s">
        <v>25</v>
      </c>
      <c r="R291" t="s">
        <v>248</v>
      </c>
      <c r="S291" t="s">
        <v>552</v>
      </c>
      <c r="U291" s="6">
        <v>42045.502245370371</v>
      </c>
      <c r="V291" t="s">
        <v>18</v>
      </c>
      <c r="W291" t="s">
        <v>171</v>
      </c>
      <c r="X291" s="6">
        <v>42045.466585648152</v>
      </c>
      <c r="Y291" t="s">
        <v>119</v>
      </c>
      <c r="AB291" t="s">
        <v>201</v>
      </c>
      <c r="AC291" t="s">
        <v>121</v>
      </c>
      <c r="AD291" t="s">
        <v>220</v>
      </c>
      <c r="AE291" t="s">
        <v>223</v>
      </c>
      <c r="AG291" t="s">
        <v>121</v>
      </c>
      <c r="AH291" t="s">
        <v>327</v>
      </c>
      <c r="AI291" t="s">
        <v>121</v>
      </c>
      <c r="AJ291" t="s">
        <v>716</v>
      </c>
      <c r="AK291" t="s">
        <v>121</v>
      </c>
    </row>
    <row r="292" spans="9:37" x14ac:dyDescent="0.3">
      <c r="I292">
        <f ca="1">IF(OR(INDIRECT(A73&amp;ROW())=B93,INDIRECT(A73&amp;ROW())=B94),1,IF(AND(INDIRECT(A73&amp;ROW())=B95,INDIRECT(A96&amp;ROW())=C93),1,IF(AND(INDIRECT(A73&amp;ROW())=B95,INDIRECT(A96&amp;ROW())=C94),1,0)))</f>
        <v>1</v>
      </c>
      <c r="J292">
        <f ca="1">IF(AND(INDIRECT(A73&amp;ROW())=B95,INDIRECT(A96&amp;ROW())=C95),1,IF(AND(INDIRECT(A73&amp;ROW())=B95,INDIRECT(A96&amp;ROW())=C96),1,0))</f>
        <v>0</v>
      </c>
      <c r="K292">
        <f ca="1">DAYS360(INDIRECT(C68&amp;ROW()),TODAY())</f>
        <v>718</v>
      </c>
      <c r="L292">
        <f ca="1">DAYS360(INDIRECT(C69&amp;ROW()),TODAY())</f>
        <v>802</v>
      </c>
      <c r="M292">
        <f ca="1">HYPERLINK(CONCATENATE("https://bugzilla.houston.hp.com:1181/bugzilla/show_bug.cgi?id=",INDIRECT(C70&amp;ROW())),INDIRECT(C70&amp;ROW()))</f>
        <v>56851</v>
      </c>
      <c r="N292">
        <v>56851</v>
      </c>
      <c r="O292" t="s">
        <v>53</v>
      </c>
      <c r="P292" t="s">
        <v>662</v>
      </c>
      <c r="Q292" t="s">
        <v>39</v>
      </c>
      <c r="R292" t="s">
        <v>248</v>
      </c>
      <c r="S292" t="s">
        <v>552</v>
      </c>
      <c r="U292" s="6">
        <v>42128.359606481485</v>
      </c>
      <c r="V292" t="s">
        <v>18</v>
      </c>
      <c r="W292" t="s">
        <v>258</v>
      </c>
      <c r="X292" s="6">
        <v>42045.466851851852</v>
      </c>
      <c r="Y292" t="s">
        <v>119</v>
      </c>
      <c r="AB292" t="s">
        <v>201</v>
      </c>
      <c r="AC292" t="s">
        <v>247</v>
      </c>
      <c r="AD292" t="s">
        <v>220</v>
      </c>
      <c r="AE292" t="s">
        <v>219</v>
      </c>
      <c r="AG292" t="s">
        <v>121</v>
      </c>
      <c r="AH292" t="s">
        <v>64</v>
      </c>
      <c r="AI292" t="s">
        <v>121</v>
      </c>
      <c r="AJ292" t="s">
        <v>716</v>
      </c>
      <c r="AK292" t="s">
        <v>121</v>
      </c>
    </row>
    <row r="293" spans="9:37" x14ac:dyDescent="0.3">
      <c r="I293">
        <f ca="1">IF(OR(INDIRECT(A73&amp;ROW())=B93,INDIRECT(A73&amp;ROW())=B94),1,IF(AND(INDIRECT(A73&amp;ROW())=B95,INDIRECT(A96&amp;ROW())=C93),1,IF(AND(INDIRECT(A73&amp;ROW())=B95,INDIRECT(A96&amp;ROW())=C94),1,0)))</f>
        <v>0</v>
      </c>
      <c r="J293">
        <f ca="1">IF(AND(INDIRECT(A73&amp;ROW())=B95,INDIRECT(A96&amp;ROW())=C95),1,IF(AND(INDIRECT(A73&amp;ROW())=B95,INDIRECT(A96&amp;ROW())=C96),1,0))</f>
        <v>1</v>
      </c>
      <c r="K293">
        <f ca="1">DAYS360(INDIRECT(C68&amp;ROW()),TODAY())</f>
        <v>802</v>
      </c>
      <c r="L293">
        <f ca="1">DAYS360(INDIRECT(C69&amp;ROW()),TODAY())</f>
        <v>802</v>
      </c>
      <c r="M293">
        <f ca="1">HYPERLINK(CONCATENATE("https://bugzilla.houston.hp.com:1181/bugzilla/show_bug.cgi?id=",INDIRECT(C70&amp;ROW())),INDIRECT(C70&amp;ROW()))</f>
        <v>56854</v>
      </c>
      <c r="N293">
        <v>56854</v>
      </c>
      <c r="O293" t="s">
        <v>56</v>
      </c>
      <c r="P293" t="s">
        <v>661</v>
      </c>
      <c r="Q293" t="s">
        <v>25</v>
      </c>
      <c r="R293" t="s">
        <v>248</v>
      </c>
      <c r="S293" t="s">
        <v>552</v>
      </c>
      <c r="U293" s="6">
        <v>42045.50408564815</v>
      </c>
      <c r="V293" t="s">
        <v>18</v>
      </c>
      <c r="W293" t="s">
        <v>288</v>
      </c>
      <c r="X293" s="6">
        <v>42045.467939814815</v>
      </c>
      <c r="Y293" t="s">
        <v>119</v>
      </c>
      <c r="AB293" t="s">
        <v>201</v>
      </c>
      <c r="AC293" t="s">
        <v>121</v>
      </c>
      <c r="AD293" t="s">
        <v>220</v>
      </c>
      <c r="AE293" t="s">
        <v>219</v>
      </c>
      <c r="AF293" s="13">
        <v>41901</v>
      </c>
      <c r="AG293" t="s">
        <v>121</v>
      </c>
      <c r="AH293" t="s">
        <v>327</v>
      </c>
      <c r="AI293" t="s">
        <v>121</v>
      </c>
      <c r="AJ293" t="s">
        <v>716</v>
      </c>
      <c r="AK293" t="s">
        <v>121</v>
      </c>
    </row>
    <row r="294" spans="9:37" x14ac:dyDescent="0.3">
      <c r="I294">
        <f ca="1">IF(OR(INDIRECT(A73&amp;ROW())=B93,INDIRECT(A73&amp;ROW())=B94),1,IF(AND(INDIRECT(A73&amp;ROW())=B95,INDIRECT(A96&amp;ROW())=C93),1,IF(AND(INDIRECT(A73&amp;ROW())=B95,INDIRECT(A96&amp;ROW())=C94),1,0)))</f>
        <v>1</v>
      </c>
      <c r="J294">
        <f ca="1">IF(AND(INDIRECT(A73&amp;ROW())=B95,INDIRECT(A96&amp;ROW())=C95),1,IF(AND(INDIRECT(A73&amp;ROW())=B95,INDIRECT(A96&amp;ROW())=C96),1,0))</f>
        <v>0</v>
      </c>
      <c r="K294">
        <f ca="1">DAYS360(INDIRECT(C68&amp;ROW()),TODAY())</f>
        <v>721</v>
      </c>
      <c r="L294">
        <f ca="1">DAYS360(INDIRECT(C69&amp;ROW()),TODAY())</f>
        <v>802</v>
      </c>
      <c r="M294">
        <f ca="1">HYPERLINK(CONCATENATE("https://bugzilla.houston.hp.com:1181/bugzilla/show_bug.cgi?id=",INDIRECT(C70&amp;ROW())),INDIRECT(C70&amp;ROW()))</f>
        <v>56855</v>
      </c>
      <c r="N294">
        <v>56855</v>
      </c>
      <c r="O294" t="s">
        <v>56</v>
      </c>
      <c r="P294" t="s">
        <v>660</v>
      </c>
      <c r="Q294" t="s">
        <v>39</v>
      </c>
      <c r="R294" t="s">
        <v>248</v>
      </c>
      <c r="S294" t="s">
        <v>552</v>
      </c>
      <c r="U294" s="6">
        <v>42125.44394675926</v>
      </c>
      <c r="V294" t="s">
        <v>18</v>
      </c>
      <c r="W294" t="s">
        <v>260</v>
      </c>
      <c r="X294" s="6">
        <v>42045.468252314815</v>
      </c>
      <c r="Y294" t="s">
        <v>122</v>
      </c>
      <c r="AB294" t="s">
        <v>201</v>
      </c>
      <c r="AC294" t="s">
        <v>121</v>
      </c>
      <c r="AD294" t="s">
        <v>220</v>
      </c>
      <c r="AE294" t="s">
        <v>219</v>
      </c>
      <c r="AG294" t="s">
        <v>121</v>
      </c>
      <c r="AH294" t="s">
        <v>327</v>
      </c>
      <c r="AI294" t="s">
        <v>121</v>
      </c>
      <c r="AJ294" t="s">
        <v>716</v>
      </c>
      <c r="AK294" t="s">
        <v>121</v>
      </c>
    </row>
    <row r="295" spans="9:37" x14ac:dyDescent="0.3">
      <c r="I295">
        <f ca="1">IF(OR(INDIRECT(A73&amp;ROW())=B93,INDIRECT(A73&amp;ROW())=B94),1,IF(AND(INDIRECT(A73&amp;ROW())=B95,INDIRECT(A96&amp;ROW())=C93),1,IF(AND(INDIRECT(A73&amp;ROW())=B95,INDIRECT(A96&amp;ROW())=C94),1,0)))</f>
        <v>0</v>
      </c>
      <c r="J295">
        <f ca="1">IF(AND(INDIRECT(A73&amp;ROW())=B95,INDIRECT(A96&amp;ROW())=C95),1,IF(AND(INDIRECT(A73&amp;ROW())=B95,INDIRECT(A96&amp;ROW())=C96),1,0))</f>
        <v>1</v>
      </c>
      <c r="K295">
        <f ca="1">DAYS360(INDIRECT(C68&amp;ROW()),TODAY())</f>
        <v>802</v>
      </c>
      <c r="L295">
        <f ca="1">DAYS360(INDIRECT(C69&amp;ROW()),TODAY())</f>
        <v>802</v>
      </c>
      <c r="M295">
        <f ca="1">HYPERLINK(CONCATENATE("https://bugzilla.houston.hp.com:1181/bugzilla/show_bug.cgi?id=",INDIRECT(C70&amp;ROW())),INDIRECT(C70&amp;ROW()))</f>
        <v>56857</v>
      </c>
      <c r="N295">
        <v>56857</v>
      </c>
      <c r="O295" t="s">
        <v>36</v>
      </c>
      <c r="P295" t="s">
        <v>659</v>
      </c>
      <c r="Q295" t="s">
        <v>25</v>
      </c>
      <c r="R295" t="s">
        <v>248</v>
      </c>
      <c r="S295" t="s">
        <v>552</v>
      </c>
      <c r="U295" s="6">
        <v>42045.499108796299</v>
      </c>
      <c r="V295" t="s">
        <v>18</v>
      </c>
      <c r="W295" t="s">
        <v>341</v>
      </c>
      <c r="X295" s="6">
        <v>42045.468923611108</v>
      </c>
      <c r="Y295" t="s">
        <v>246</v>
      </c>
      <c r="AB295" t="s">
        <v>201</v>
      </c>
      <c r="AC295" t="s">
        <v>247</v>
      </c>
      <c r="AD295" t="s">
        <v>222</v>
      </c>
      <c r="AE295" t="s">
        <v>221</v>
      </c>
      <c r="AG295" t="s">
        <v>121</v>
      </c>
      <c r="AH295" t="s">
        <v>327</v>
      </c>
      <c r="AI295" t="s">
        <v>121</v>
      </c>
      <c r="AJ295" t="s">
        <v>716</v>
      </c>
      <c r="AK295" t="s">
        <v>121</v>
      </c>
    </row>
    <row r="296" spans="9:37" x14ac:dyDescent="0.3">
      <c r="I296">
        <f ca="1">IF(OR(INDIRECT(A73&amp;ROW())=B93,INDIRECT(A73&amp;ROW())=B94),1,IF(AND(INDIRECT(A73&amp;ROW())=B95,INDIRECT(A96&amp;ROW())=C93),1,IF(AND(INDIRECT(A73&amp;ROW())=B95,INDIRECT(A96&amp;ROW())=C94),1,0)))</f>
        <v>0</v>
      </c>
      <c r="J296">
        <f ca="1">IF(AND(INDIRECT(A73&amp;ROW())=B95,INDIRECT(A96&amp;ROW())=C95),1,IF(AND(INDIRECT(A73&amp;ROW())=B95,INDIRECT(A96&amp;ROW())=C96),1,0))</f>
        <v>1</v>
      </c>
      <c r="K296">
        <f ca="1">DAYS360(INDIRECT(C68&amp;ROW()),TODAY())</f>
        <v>802</v>
      </c>
      <c r="L296">
        <f ca="1">DAYS360(INDIRECT(C69&amp;ROW()),TODAY())</f>
        <v>802</v>
      </c>
      <c r="M296">
        <f ca="1">HYPERLINK(CONCATENATE("https://bugzilla.houston.hp.com:1181/bugzilla/show_bug.cgi?id=",INDIRECT(C70&amp;ROW())),INDIRECT(C70&amp;ROW()))</f>
        <v>56860</v>
      </c>
      <c r="N296">
        <v>56860</v>
      </c>
      <c r="O296" t="s">
        <v>36</v>
      </c>
      <c r="P296" t="s">
        <v>658</v>
      </c>
      <c r="Q296" t="s">
        <v>25</v>
      </c>
      <c r="R296" t="s">
        <v>248</v>
      </c>
      <c r="S296" t="s">
        <v>552</v>
      </c>
      <c r="U296" s="6">
        <v>42045.504421296297</v>
      </c>
      <c r="V296" t="s">
        <v>18</v>
      </c>
      <c r="W296" t="s">
        <v>343</v>
      </c>
      <c r="X296" s="6">
        <v>42045.469652777778</v>
      </c>
      <c r="Y296" t="s">
        <v>246</v>
      </c>
      <c r="AB296" t="s">
        <v>201</v>
      </c>
      <c r="AC296" t="s">
        <v>247</v>
      </c>
      <c r="AD296" t="s">
        <v>222</v>
      </c>
      <c r="AE296" t="s">
        <v>221</v>
      </c>
      <c r="AG296" t="s">
        <v>121</v>
      </c>
      <c r="AH296" t="s">
        <v>327</v>
      </c>
      <c r="AI296" t="s">
        <v>121</v>
      </c>
      <c r="AJ296" t="s">
        <v>716</v>
      </c>
      <c r="AK296" t="s">
        <v>121</v>
      </c>
    </row>
    <row r="297" spans="9:37" x14ac:dyDescent="0.3">
      <c r="I297">
        <f ca="1">IF(OR(INDIRECT(A73&amp;ROW())=B93,INDIRECT(A73&amp;ROW())=B94),1,IF(AND(INDIRECT(A73&amp;ROW())=B95,INDIRECT(A96&amp;ROW())=C93),1,IF(AND(INDIRECT(A73&amp;ROW())=B95,INDIRECT(A96&amp;ROW())=C94),1,0)))</f>
        <v>0</v>
      </c>
      <c r="J297">
        <f ca="1">IF(AND(INDIRECT(A73&amp;ROW())=B95,INDIRECT(A96&amp;ROW())=C95),1,IF(AND(INDIRECT(A73&amp;ROW())=B95,INDIRECT(A96&amp;ROW())=C96),1,0))</f>
        <v>1</v>
      </c>
      <c r="K297">
        <f ca="1">DAYS360(INDIRECT(C68&amp;ROW()),TODAY())</f>
        <v>802</v>
      </c>
      <c r="L297">
        <f ca="1">DAYS360(INDIRECT(C69&amp;ROW()),TODAY())</f>
        <v>802</v>
      </c>
      <c r="M297">
        <f ca="1">HYPERLINK(CONCATENATE("https://bugzilla.houston.hp.com:1181/bugzilla/show_bug.cgi?id=",INDIRECT(C70&amp;ROW())),INDIRECT(C70&amp;ROW()))</f>
        <v>56861</v>
      </c>
      <c r="N297">
        <v>56861</v>
      </c>
      <c r="O297" t="s">
        <v>36</v>
      </c>
      <c r="P297" t="s">
        <v>657</v>
      </c>
      <c r="Q297" t="s">
        <v>25</v>
      </c>
      <c r="R297" t="s">
        <v>248</v>
      </c>
      <c r="S297" t="s">
        <v>552</v>
      </c>
      <c r="U297" s="6">
        <v>42045.500555555554</v>
      </c>
      <c r="V297" t="s">
        <v>18</v>
      </c>
      <c r="W297" t="s">
        <v>211</v>
      </c>
      <c r="X297" s="6">
        <v>42045.47</v>
      </c>
      <c r="Y297" t="s">
        <v>119</v>
      </c>
      <c r="AB297" t="s">
        <v>201</v>
      </c>
      <c r="AC297" t="s">
        <v>121</v>
      </c>
      <c r="AD297" t="s">
        <v>222</v>
      </c>
      <c r="AE297" t="s">
        <v>240</v>
      </c>
      <c r="AG297" t="s">
        <v>121</v>
      </c>
      <c r="AH297" t="s">
        <v>64</v>
      </c>
      <c r="AI297" t="s">
        <v>121</v>
      </c>
      <c r="AJ297" t="s">
        <v>716</v>
      </c>
      <c r="AK297" t="s">
        <v>121</v>
      </c>
    </row>
    <row r="298" spans="9:37" x14ac:dyDescent="0.3">
      <c r="I298">
        <f ca="1">IF(OR(INDIRECT(A73&amp;ROW())=B93,INDIRECT(A73&amp;ROW())=B94),1,IF(AND(INDIRECT(A73&amp;ROW())=B95,INDIRECT(A96&amp;ROW())=C93),1,IF(AND(INDIRECT(A73&amp;ROW())=B95,INDIRECT(A96&amp;ROW())=C94),1,0)))</f>
        <v>0</v>
      </c>
      <c r="J298">
        <f ca="1">IF(AND(INDIRECT(A73&amp;ROW())=B95,INDIRECT(A96&amp;ROW())=C95),1,IF(AND(INDIRECT(A73&amp;ROW())=B95,INDIRECT(A96&amp;ROW())=C96),1,0))</f>
        <v>1</v>
      </c>
      <c r="K298">
        <f ca="1">DAYS360(INDIRECT(C68&amp;ROW()),TODAY())</f>
        <v>721</v>
      </c>
      <c r="L298">
        <f ca="1">DAYS360(INDIRECT(C69&amp;ROW()),TODAY())</f>
        <v>802</v>
      </c>
      <c r="M298">
        <f ca="1">HYPERLINK(CONCATENATE("https://bugzilla.houston.hp.com:1181/bugzilla/show_bug.cgi?id=",INDIRECT(C70&amp;ROW())),INDIRECT(C70&amp;ROW()))</f>
        <v>56862</v>
      </c>
      <c r="N298">
        <v>56862</v>
      </c>
      <c r="O298" t="s">
        <v>56</v>
      </c>
      <c r="P298" t="s">
        <v>656</v>
      </c>
      <c r="Q298" t="s">
        <v>25</v>
      </c>
      <c r="R298" t="s">
        <v>248</v>
      </c>
      <c r="S298" t="s">
        <v>552</v>
      </c>
      <c r="U298" s="6">
        <v>42125.448622685188</v>
      </c>
      <c r="V298" t="s">
        <v>18</v>
      </c>
      <c r="W298" t="s">
        <v>339</v>
      </c>
      <c r="X298" s="6">
        <v>42045.470312500001</v>
      </c>
      <c r="Y298" t="s">
        <v>122</v>
      </c>
      <c r="AB298" t="s">
        <v>201</v>
      </c>
      <c r="AC298" t="s">
        <v>247</v>
      </c>
      <c r="AD298" t="s">
        <v>220</v>
      </c>
      <c r="AE298" t="s">
        <v>219</v>
      </c>
      <c r="AG298" t="s">
        <v>121</v>
      </c>
      <c r="AH298" t="s">
        <v>327</v>
      </c>
      <c r="AI298" t="s">
        <v>121</v>
      </c>
      <c r="AJ298" t="s">
        <v>716</v>
      </c>
      <c r="AK298" t="s">
        <v>121</v>
      </c>
    </row>
    <row r="299" spans="9:37" x14ac:dyDescent="0.3">
      <c r="I299">
        <f ca="1">IF(OR(INDIRECT(A73&amp;ROW())=B93,INDIRECT(A73&amp;ROW())=B94),1,IF(AND(INDIRECT(A73&amp;ROW())=B95,INDIRECT(A96&amp;ROW())=C93),1,IF(AND(INDIRECT(A73&amp;ROW())=B95,INDIRECT(A96&amp;ROW())=C94),1,0)))</f>
        <v>0</v>
      </c>
      <c r="J299">
        <f ca="1">IF(AND(INDIRECT(A73&amp;ROW())=B95,INDIRECT(A96&amp;ROW())=C95),1,IF(AND(INDIRECT(A73&amp;ROW())=B95,INDIRECT(A96&amp;ROW())=C96),1,0))</f>
        <v>1</v>
      </c>
      <c r="K299">
        <f ca="1">DAYS360(INDIRECT(C68&amp;ROW()),TODAY())</f>
        <v>802</v>
      </c>
      <c r="L299">
        <f ca="1">DAYS360(INDIRECT(C69&amp;ROW()),TODAY())</f>
        <v>802</v>
      </c>
      <c r="M299">
        <f ca="1">HYPERLINK(CONCATENATE("https://bugzilla.houston.hp.com:1181/bugzilla/show_bug.cgi?id=",INDIRECT(C70&amp;ROW())),INDIRECT(C70&amp;ROW()))</f>
        <v>56864</v>
      </c>
      <c r="N299">
        <v>56864</v>
      </c>
      <c r="O299" t="s">
        <v>56</v>
      </c>
      <c r="P299" t="s">
        <v>655</v>
      </c>
      <c r="Q299" t="s">
        <v>25</v>
      </c>
      <c r="R299" t="s">
        <v>248</v>
      </c>
      <c r="S299" t="s">
        <v>552</v>
      </c>
      <c r="U299" s="6">
        <v>42045.499976851854</v>
      </c>
      <c r="V299" t="s">
        <v>18</v>
      </c>
      <c r="W299" t="s">
        <v>172</v>
      </c>
      <c r="X299" s="6">
        <v>42045.471018518518</v>
      </c>
      <c r="Y299" t="s">
        <v>119</v>
      </c>
      <c r="AB299" t="s">
        <v>201</v>
      </c>
      <c r="AC299" t="s">
        <v>121</v>
      </c>
      <c r="AD299" t="s">
        <v>220</v>
      </c>
      <c r="AE299" t="s">
        <v>219</v>
      </c>
      <c r="AG299" t="s">
        <v>121</v>
      </c>
      <c r="AH299" t="s">
        <v>327</v>
      </c>
      <c r="AI299" t="s">
        <v>121</v>
      </c>
      <c r="AJ299" t="s">
        <v>716</v>
      </c>
      <c r="AK299" t="s">
        <v>121</v>
      </c>
    </row>
    <row r="300" spans="9:37" x14ac:dyDescent="0.3">
      <c r="I300">
        <f ca="1">IF(OR(INDIRECT(A73&amp;ROW())=B93,INDIRECT(A73&amp;ROW())=B94),1,IF(AND(INDIRECT(A73&amp;ROW())=B95,INDIRECT(A96&amp;ROW())=C93),1,IF(AND(INDIRECT(A73&amp;ROW())=B95,INDIRECT(A96&amp;ROW())=C94),1,0)))</f>
        <v>0</v>
      </c>
      <c r="J300">
        <f ca="1">IF(AND(INDIRECT(A73&amp;ROW())=B95,INDIRECT(A96&amp;ROW())=C95),1,IF(AND(INDIRECT(A73&amp;ROW())=B95,INDIRECT(A96&amp;ROW())=C96),1,0))</f>
        <v>1</v>
      </c>
      <c r="K300">
        <f ca="1">DAYS360(INDIRECT(C68&amp;ROW()),TODAY())</f>
        <v>721</v>
      </c>
      <c r="L300">
        <f ca="1">DAYS360(INDIRECT(C69&amp;ROW()),TODAY())</f>
        <v>802</v>
      </c>
      <c r="M300">
        <f ca="1">HYPERLINK(CONCATENATE("https://bugzilla.houston.hp.com:1181/bugzilla/show_bug.cgi?id=",INDIRECT(C70&amp;ROW())),INDIRECT(C70&amp;ROW()))</f>
        <v>56866</v>
      </c>
      <c r="N300">
        <v>56866</v>
      </c>
      <c r="O300" t="s">
        <v>56</v>
      </c>
      <c r="P300" t="s">
        <v>654</v>
      </c>
      <c r="Q300" t="s">
        <v>25</v>
      </c>
      <c r="R300" t="s">
        <v>248</v>
      </c>
      <c r="S300" t="s">
        <v>552</v>
      </c>
      <c r="U300" s="6">
        <v>42125.449675925927</v>
      </c>
      <c r="V300" t="s">
        <v>18</v>
      </c>
      <c r="W300" t="s">
        <v>372</v>
      </c>
      <c r="X300" s="6">
        <v>42045.471747685187</v>
      </c>
      <c r="Y300" t="s">
        <v>122</v>
      </c>
      <c r="AB300" t="s">
        <v>201</v>
      </c>
      <c r="AC300" t="s">
        <v>247</v>
      </c>
      <c r="AD300" t="s">
        <v>220</v>
      </c>
      <c r="AE300" t="s">
        <v>219</v>
      </c>
      <c r="AG300" t="s">
        <v>121</v>
      </c>
      <c r="AH300" t="s">
        <v>327</v>
      </c>
      <c r="AI300" t="s">
        <v>121</v>
      </c>
      <c r="AJ300" t="s">
        <v>716</v>
      </c>
      <c r="AK300" t="s">
        <v>121</v>
      </c>
    </row>
    <row r="301" spans="9:37" x14ac:dyDescent="0.3">
      <c r="I301">
        <f ca="1">IF(OR(INDIRECT(A73&amp;ROW())=B93,INDIRECT(A73&amp;ROW())=B94),1,IF(AND(INDIRECT(A73&amp;ROW())=B95,INDIRECT(A96&amp;ROW())=C93),1,IF(AND(INDIRECT(A73&amp;ROW())=B95,INDIRECT(A96&amp;ROW())=C94),1,0)))</f>
        <v>0</v>
      </c>
      <c r="J301">
        <f ca="1">IF(AND(INDIRECT(A73&amp;ROW())=B95,INDIRECT(A96&amp;ROW())=C95),1,IF(AND(INDIRECT(A73&amp;ROW())=B95,INDIRECT(A96&amp;ROW())=C96),1,0))</f>
        <v>1</v>
      </c>
      <c r="K301">
        <f ca="1">DAYS360(INDIRECT(C68&amp;ROW()),TODAY())</f>
        <v>728</v>
      </c>
      <c r="L301">
        <f ca="1">DAYS360(INDIRECT(C69&amp;ROW()),TODAY())</f>
        <v>802</v>
      </c>
      <c r="M301">
        <f ca="1">HYPERLINK(CONCATENATE("https://bugzilla.houston.hp.com:1181/bugzilla/show_bug.cgi?id=",INDIRECT(C70&amp;ROW())),INDIRECT(C70&amp;ROW()))</f>
        <v>56895</v>
      </c>
      <c r="N301">
        <v>56895</v>
      </c>
      <c r="O301" t="s">
        <v>52</v>
      </c>
      <c r="P301" t="s">
        <v>738</v>
      </c>
      <c r="Q301" t="s">
        <v>25</v>
      </c>
      <c r="R301" t="s">
        <v>251</v>
      </c>
      <c r="S301" t="s">
        <v>52</v>
      </c>
      <c r="T301" t="s">
        <v>48</v>
      </c>
      <c r="U301" s="6">
        <v>42118.341377314813</v>
      </c>
      <c r="V301" t="s">
        <v>35</v>
      </c>
      <c r="W301" t="s">
        <v>17</v>
      </c>
      <c r="X301" s="6">
        <v>42045.609618055554</v>
      </c>
      <c r="Y301" t="s">
        <v>535</v>
      </c>
      <c r="AB301" t="s">
        <v>201</v>
      </c>
      <c r="AC301" t="s">
        <v>247</v>
      </c>
      <c r="AD301" t="s">
        <v>220</v>
      </c>
      <c r="AE301" t="s">
        <v>219</v>
      </c>
      <c r="AG301" t="s">
        <v>121</v>
      </c>
      <c r="AH301" t="s">
        <v>327</v>
      </c>
      <c r="AI301" t="s">
        <v>121</v>
      </c>
      <c r="AJ301" t="s">
        <v>716</v>
      </c>
      <c r="AK301" t="s">
        <v>121</v>
      </c>
    </row>
    <row r="302" spans="9:37" x14ac:dyDescent="0.3">
      <c r="I302">
        <f ca="1">IF(OR(INDIRECT(A73&amp;ROW())=B93,INDIRECT(A73&amp;ROW())=B94),1,IF(AND(INDIRECT(A73&amp;ROW())=B95,INDIRECT(A96&amp;ROW())=C93),1,IF(AND(INDIRECT(A73&amp;ROW())=B95,INDIRECT(A96&amp;ROW())=C94),1,0)))</f>
        <v>0</v>
      </c>
      <c r="J302">
        <f ca="1">IF(AND(INDIRECT(A73&amp;ROW())=B95,INDIRECT(A96&amp;ROW())=C95),1,IF(AND(INDIRECT(A73&amp;ROW())=B95,INDIRECT(A96&amp;ROW())=C96),1,0))</f>
        <v>0</v>
      </c>
      <c r="K302">
        <f ca="1">DAYS360(INDIRECT(C68&amp;ROW()),TODAY())</f>
        <v>802</v>
      </c>
      <c r="L302">
        <f ca="1">DAYS360(INDIRECT(C69&amp;ROW()),TODAY())</f>
        <v>802</v>
      </c>
      <c r="M302">
        <f ca="1">HYPERLINK(CONCATENATE("https://bugzilla.houston.hp.com:1181/bugzilla/show_bug.cgi?id=",INDIRECT(C70&amp;ROW())),INDIRECT(C70&amp;ROW()))</f>
        <v>56896</v>
      </c>
      <c r="N302">
        <v>56896</v>
      </c>
      <c r="O302" t="s">
        <v>56</v>
      </c>
      <c r="P302" t="s">
        <v>653</v>
      </c>
      <c r="Q302" t="s">
        <v>16</v>
      </c>
      <c r="R302" t="s">
        <v>248</v>
      </c>
      <c r="S302" t="s">
        <v>552</v>
      </c>
      <c r="U302" s="6">
        <v>42045.648831018516</v>
      </c>
      <c r="V302" t="s">
        <v>18</v>
      </c>
      <c r="W302" t="s">
        <v>209</v>
      </c>
      <c r="X302" s="6">
        <v>42045.648240740738</v>
      </c>
      <c r="Y302" t="s">
        <v>119</v>
      </c>
      <c r="AB302" t="s">
        <v>200</v>
      </c>
      <c r="AC302" t="s">
        <v>121</v>
      </c>
      <c r="AD302" t="s">
        <v>220</v>
      </c>
      <c r="AE302" t="s">
        <v>219</v>
      </c>
      <c r="AG302" t="s">
        <v>121</v>
      </c>
      <c r="AH302" t="s">
        <v>327</v>
      </c>
      <c r="AI302" t="s">
        <v>121</v>
      </c>
      <c r="AJ302" t="s">
        <v>716</v>
      </c>
      <c r="AK302" t="s">
        <v>121</v>
      </c>
    </row>
    <row r="303" spans="9:37" x14ac:dyDescent="0.3">
      <c r="I303">
        <f ca="1">IF(OR(INDIRECT(A73&amp;ROW())=B93,INDIRECT(A73&amp;ROW())=B94),1,IF(AND(INDIRECT(A73&amp;ROW())=B95,INDIRECT(A96&amp;ROW())=C93),1,IF(AND(INDIRECT(A73&amp;ROW())=B95,INDIRECT(A96&amp;ROW())=C94),1,0)))</f>
        <v>0</v>
      </c>
      <c r="J303">
        <f ca="1">IF(AND(INDIRECT(A73&amp;ROW())=B95,INDIRECT(A96&amp;ROW())=C95),1,IF(AND(INDIRECT(A73&amp;ROW())=B95,INDIRECT(A96&amp;ROW())=C96),1,0))</f>
        <v>0</v>
      </c>
      <c r="K303">
        <f ca="1">DAYS360(INDIRECT(C68&amp;ROW()),TODAY())</f>
        <v>721</v>
      </c>
      <c r="L303">
        <f ca="1">DAYS360(INDIRECT(C69&amp;ROW()),TODAY())</f>
        <v>802</v>
      </c>
      <c r="M303">
        <f ca="1">HYPERLINK(CONCATENATE("https://bugzilla.houston.hp.com:1181/bugzilla/show_bug.cgi?id=",INDIRECT(C70&amp;ROW())),INDIRECT(C70&amp;ROW()))</f>
        <v>56897</v>
      </c>
      <c r="N303">
        <v>56897</v>
      </c>
      <c r="O303" t="s">
        <v>56</v>
      </c>
      <c r="P303" t="s">
        <v>652</v>
      </c>
      <c r="Q303" t="s">
        <v>16</v>
      </c>
      <c r="R303" t="s">
        <v>248</v>
      </c>
      <c r="S303" t="s">
        <v>552</v>
      </c>
      <c r="U303" s="6">
        <v>42125.44394675926</v>
      </c>
      <c r="V303" t="s">
        <v>18</v>
      </c>
      <c r="W303" t="s">
        <v>209</v>
      </c>
      <c r="X303" s="6">
        <v>42045.652754629627</v>
      </c>
      <c r="Y303" t="s">
        <v>122</v>
      </c>
      <c r="AB303" t="s">
        <v>200</v>
      </c>
      <c r="AC303" t="s">
        <v>121</v>
      </c>
      <c r="AD303" t="s">
        <v>220</v>
      </c>
      <c r="AE303" t="s">
        <v>219</v>
      </c>
      <c r="AG303" t="s">
        <v>121</v>
      </c>
      <c r="AH303" t="s">
        <v>64</v>
      </c>
      <c r="AI303" t="s">
        <v>121</v>
      </c>
      <c r="AJ303" t="s">
        <v>716</v>
      </c>
      <c r="AK303" t="s">
        <v>121</v>
      </c>
    </row>
    <row r="304" spans="9:37" x14ac:dyDescent="0.3">
      <c r="I304">
        <f ca="1">IF(OR(INDIRECT(A73&amp;ROW())=B93,INDIRECT(A73&amp;ROW())=B94),1,IF(AND(INDIRECT(A73&amp;ROW())=B95,INDIRECT(A96&amp;ROW())=C93),1,IF(AND(INDIRECT(A73&amp;ROW())=B95,INDIRECT(A96&amp;ROW())=C94),1,0)))</f>
        <v>0</v>
      </c>
      <c r="J304">
        <f ca="1">IF(AND(INDIRECT(A73&amp;ROW())=B95,INDIRECT(A96&amp;ROW())=C95),1,IF(AND(INDIRECT(A73&amp;ROW())=B95,INDIRECT(A96&amp;ROW())=C96),1,0))</f>
        <v>0</v>
      </c>
      <c r="K304">
        <f ca="1">DAYS360(INDIRECT(C68&amp;ROW()),TODAY())</f>
        <v>802</v>
      </c>
      <c r="L304">
        <f ca="1">DAYS360(INDIRECT(C69&amp;ROW()),TODAY())</f>
        <v>802</v>
      </c>
      <c r="M304">
        <f ca="1">HYPERLINK(CONCATENATE("https://bugzilla.houston.hp.com:1181/bugzilla/show_bug.cgi?id=",INDIRECT(C70&amp;ROW())),INDIRECT(C70&amp;ROW()))</f>
        <v>56898</v>
      </c>
      <c r="N304">
        <v>56898</v>
      </c>
      <c r="O304" t="s">
        <v>36</v>
      </c>
      <c r="P304" t="s">
        <v>651</v>
      </c>
      <c r="Q304" t="s">
        <v>16</v>
      </c>
      <c r="R304" t="s">
        <v>248</v>
      </c>
      <c r="S304" t="s">
        <v>552</v>
      </c>
      <c r="U304" s="6">
        <v>42045.654224537036</v>
      </c>
      <c r="V304" t="s">
        <v>18</v>
      </c>
      <c r="W304" t="s">
        <v>205</v>
      </c>
      <c r="X304" s="6">
        <v>42045.653796296298</v>
      </c>
      <c r="Y304" t="s">
        <v>244</v>
      </c>
      <c r="AB304" t="s">
        <v>201</v>
      </c>
      <c r="AC304" t="s">
        <v>121</v>
      </c>
      <c r="AD304" t="s">
        <v>222</v>
      </c>
      <c r="AE304" t="s">
        <v>225</v>
      </c>
      <c r="AG304" t="s">
        <v>121</v>
      </c>
      <c r="AH304" t="s">
        <v>327</v>
      </c>
      <c r="AI304" t="s">
        <v>121</v>
      </c>
      <c r="AJ304" t="s">
        <v>717</v>
      </c>
      <c r="AK304" t="s">
        <v>121</v>
      </c>
    </row>
    <row r="305" spans="9:37" x14ac:dyDescent="0.3">
      <c r="I305">
        <f ca="1">IF(OR(INDIRECT(A73&amp;ROW())=B93,INDIRECT(A73&amp;ROW())=B94),1,IF(AND(INDIRECT(A73&amp;ROW())=B95,INDIRECT(A96&amp;ROW())=C93),1,IF(AND(INDIRECT(A73&amp;ROW())=B95,INDIRECT(A96&amp;ROW())=C94),1,0)))</f>
        <v>0</v>
      </c>
      <c r="J305">
        <f ca="1">IF(AND(INDIRECT(A73&amp;ROW())=B95,INDIRECT(A96&amp;ROW())=C95),1,IF(AND(INDIRECT(A73&amp;ROW())=B95,INDIRECT(A96&amp;ROW())=C96),1,0))</f>
        <v>0</v>
      </c>
      <c r="K305">
        <f ca="1">DAYS360(INDIRECT(C68&amp;ROW()),TODAY())</f>
        <v>721</v>
      </c>
      <c r="L305">
        <f ca="1">DAYS360(INDIRECT(C69&amp;ROW()),TODAY())</f>
        <v>802</v>
      </c>
      <c r="M305">
        <f ca="1">HYPERLINK(CONCATENATE("https://bugzilla.houston.hp.com:1181/bugzilla/show_bug.cgi?id=",INDIRECT(C70&amp;ROW())),INDIRECT(C70&amp;ROW()))</f>
        <v>56899</v>
      </c>
      <c r="N305">
        <v>56899</v>
      </c>
      <c r="O305" t="s">
        <v>56</v>
      </c>
      <c r="P305" t="s">
        <v>650</v>
      </c>
      <c r="Q305" t="s">
        <v>16</v>
      </c>
      <c r="R305" t="s">
        <v>248</v>
      </c>
      <c r="S305" t="s">
        <v>552</v>
      </c>
      <c r="U305" s="6">
        <v>42125.446446759262</v>
      </c>
      <c r="V305" t="s">
        <v>18</v>
      </c>
      <c r="W305" t="s">
        <v>288</v>
      </c>
      <c r="X305" s="6">
        <v>42045.654699074075</v>
      </c>
      <c r="Y305" t="s">
        <v>122</v>
      </c>
      <c r="AA305" t="s">
        <v>184</v>
      </c>
      <c r="AB305" t="s">
        <v>200</v>
      </c>
      <c r="AC305" t="s">
        <v>121</v>
      </c>
      <c r="AD305" t="s">
        <v>220</v>
      </c>
      <c r="AE305" t="s">
        <v>219</v>
      </c>
      <c r="AG305" t="s">
        <v>121</v>
      </c>
      <c r="AH305" t="s">
        <v>64</v>
      </c>
      <c r="AI305" t="s">
        <v>121</v>
      </c>
      <c r="AJ305" t="s">
        <v>716</v>
      </c>
      <c r="AK305" t="s">
        <v>121</v>
      </c>
    </row>
    <row r="306" spans="9:37" x14ac:dyDescent="0.3">
      <c r="I306">
        <f ca="1">IF(OR(INDIRECT(A73&amp;ROW())=B93,INDIRECT(A73&amp;ROW())=B94),1,IF(AND(INDIRECT(A73&amp;ROW())=B95,INDIRECT(A96&amp;ROW())=C93),1,IF(AND(INDIRECT(A73&amp;ROW())=B95,INDIRECT(A96&amp;ROW())=C94),1,0)))</f>
        <v>0</v>
      </c>
      <c r="J306">
        <f ca="1">IF(AND(INDIRECT(A73&amp;ROW())=B95,INDIRECT(A96&amp;ROW())=C95),1,IF(AND(INDIRECT(A73&amp;ROW())=B95,INDIRECT(A96&amp;ROW())=C96),1,0))</f>
        <v>0</v>
      </c>
      <c r="K306">
        <f ca="1">DAYS360(INDIRECT(C68&amp;ROW()),TODAY())</f>
        <v>802</v>
      </c>
      <c r="L306">
        <f ca="1">DAYS360(INDIRECT(C69&amp;ROW()),TODAY())</f>
        <v>802</v>
      </c>
      <c r="M306">
        <f ca="1">HYPERLINK(CONCATENATE("https://bugzilla.houston.hp.com:1181/bugzilla/show_bug.cgi?id=",INDIRECT(C70&amp;ROW())),INDIRECT(C70&amp;ROW()))</f>
        <v>56900</v>
      </c>
      <c r="N306">
        <v>56900</v>
      </c>
      <c r="O306" t="s">
        <v>56</v>
      </c>
      <c r="P306" t="s">
        <v>649</v>
      </c>
      <c r="Q306" t="s">
        <v>16</v>
      </c>
      <c r="R306" t="s">
        <v>248</v>
      </c>
      <c r="S306" t="s">
        <v>552</v>
      </c>
      <c r="U306" s="6">
        <v>42045.655752314815</v>
      </c>
      <c r="V306" t="s">
        <v>18</v>
      </c>
      <c r="W306" t="s">
        <v>209</v>
      </c>
      <c r="X306" s="6">
        <v>42045.655081018522</v>
      </c>
      <c r="Y306" t="s">
        <v>122</v>
      </c>
      <c r="AB306" t="s">
        <v>201</v>
      </c>
      <c r="AC306" t="s">
        <v>121</v>
      </c>
      <c r="AD306" t="s">
        <v>220</v>
      </c>
      <c r="AE306" t="s">
        <v>219</v>
      </c>
      <c r="AG306" t="s">
        <v>121</v>
      </c>
      <c r="AH306" t="s">
        <v>327</v>
      </c>
      <c r="AI306" t="s">
        <v>121</v>
      </c>
      <c r="AJ306" t="s">
        <v>717</v>
      </c>
      <c r="AK306" t="s">
        <v>121</v>
      </c>
    </row>
    <row r="307" spans="9:37" x14ac:dyDescent="0.3">
      <c r="I307">
        <f ca="1">IF(OR(INDIRECT(A73&amp;ROW())=B93,INDIRECT(A73&amp;ROW())=B94),1,IF(AND(INDIRECT(A73&amp;ROW())=B95,INDIRECT(A96&amp;ROW())=C93),1,IF(AND(INDIRECT(A73&amp;ROW())=B95,INDIRECT(A96&amp;ROW())=C94),1,0)))</f>
        <v>0</v>
      </c>
      <c r="J307">
        <f ca="1">IF(AND(INDIRECT(A73&amp;ROW())=B95,INDIRECT(A96&amp;ROW())=C95),1,IF(AND(INDIRECT(A73&amp;ROW())=B95,INDIRECT(A96&amp;ROW())=C96),1,0))</f>
        <v>0</v>
      </c>
      <c r="K307">
        <f ca="1">DAYS360(INDIRECT(C68&amp;ROW()),TODAY())</f>
        <v>802</v>
      </c>
      <c r="L307">
        <f ca="1">DAYS360(INDIRECT(C69&amp;ROW()),TODAY())</f>
        <v>802</v>
      </c>
      <c r="M307">
        <f ca="1">HYPERLINK(CONCATENATE("https://bugzilla.houston.hp.com:1181/bugzilla/show_bug.cgi?id=",INDIRECT(C70&amp;ROW())),INDIRECT(C70&amp;ROW()))</f>
        <v>56902</v>
      </c>
      <c r="N307">
        <v>56902</v>
      </c>
      <c r="O307" t="s">
        <v>36</v>
      </c>
      <c r="P307" t="s">
        <v>626</v>
      </c>
      <c r="Q307" t="s">
        <v>16</v>
      </c>
      <c r="R307" t="s">
        <v>248</v>
      </c>
      <c r="S307" t="s">
        <v>552</v>
      </c>
      <c r="U307" s="6">
        <v>42045.708668981482</v>
      </c>
      <c r="V307" t="s">
        <v>18</v>
      </c>
      <c r="W307" t="s">
        <v>79</v>
      </c>
      <c r="X307" s="6">
        <v>42045.658090277779</v>
      </c>
      <c r="Y307" t="s">
        <v>119</v>
      </c>
      <c r="AB307" t="s">
        <v>200</v>
      </c>
      <c r="AC307" t="s">
        <v>121</v>
      </c>
      <c r="AD307" t="s">
        <v>222</v>
      </c>
      <c r="AE307" t="s">
        <v>225</v>
      </c>
      <c r="AG307" t="s">
        <v>121</v>
      </c>
      <c r="AH307" t="s">
        <v>327</v>
      </c>
      <c r="AI307" t="s">
        <v>121</v>
      </c>
      <c r="AJ307" t="s">
        <v>716</v>
      </c>
      <c r="AK307" t="s">
        <v>121</v>
      </c>
    </row>
    <row r="308" spans="9:37" x14ac:dyDescent="0.3">
      <c r="I308">
        <f ca="1">IF(OR(INDIRECT(A73&amp;ROW())=B93,INDIRECT(A73&amp;ROW())=B94),1,IF(AND(INDIRECT(A73&amp;ROW())=B95,INDIRECT(A96&amp;ROW())=C93),1,IF(AND(INDIRECT(A73&amp;ROW())=B95,INDIRECT(A96&amp;ROW())=C94),1,0)))</f>
        <v>0</v>
      </c>
      <c r="J308">
        <f ca="1">IF(AND(INDIRECT(A73&amp;ROW())=B95,INDIRECT(A96&amp;ROW())=C95),1,IF(AND(INDIRECT(A73&amp;ROW())=B95,INDIRECT(A96&amp;ROW())=C96),1,0))</f>
        <v>0</v>
      </c>
      <c r="K308">
        <f ca="1">DAYS360(INDIRECT(C68&amp;ROW()),TODAY())</f>
        <v>721</v>
      </c>
      <c r="L308">
        <f ca="1">DAYS360(INDIRECT(C69&amp;ROW()),TODAY())</f>
        <v>802</v>
      </c>
      <c r="M308">
        <f ca="1">HYPERLINK(CONCATENATE("https://bugzilla.houston.hp.com:1181/bugzilla/show_bug.cgi?id=",INDIRECT(C70&amp;ROW())),INDIRECT(C70&amp;ROW()))</f>
        <v>56903</v>
      </c>
      <c r="N308">
        <v>56903</v>
      </c>
      <c r="O308" t="s">
        <v>36</v>
      </c>
      <c r="P308" t="s">
        <v>648</v>
      </c>
      <c r="Q308" t="s">
        <v>16</v>
      </c>
      <c r="R308" t="s">
        <v>248</v>
      </c>
      <c r="S308" t="s">
        <v>552</v>
      </c>
      <c r="U308" s="6">
        <v>42125.448611111111</v>
      </c>
      <c r="V308" t="s">
        <v>18</v>
      </c>
      <c r="W308" t="s">
        <v>17</v>
      </c>
      <c r="X308" s="6">
        <v>42045.659398148149</v>
      </c>
      <c r="Y308" t="s">
        <v>122</v>
      </c>
      <c r="AB308" t="s">
        <v>201</v>
      </c>
      <c r="AC308" t="s">
        <v>247</v>
      </c>
      <c r="AD308" t="s">
        <v>222</v>
      </c>
      <c r="AE308" t="s">
        <v>221</v>
      </c>
      <c r="AG308" t="s">
        <v>121</v>
      </c>
      <c r="AH308" t="s">
        <v>327</v>
      </c>
      <c r="AI308" t="s">
        <v>121</v>
      </c>
      <c r="AJ308" t="s">
        <v>717</v>
      </c>
      <c r="AK308" t="s">
        <v>121</v>
      </c>
    </row>
    <row r="309" spans="9:37" x14ac:dyDescent="0.3">
      <c r="I309">
        <f ca="1">IF(OR(INDIRECT(A73&amp;ROW())=B93,INDIRECT(A73&amp;ROW())=B94),1,IF(AND(INDIRECT(A73&amp;ROW())=B95,INDIRECT(A96&amp;ROW())=C93),1,IF(AND(INDIRECT(A73&amp;ROW())=B95,INDIRECT(A96&amp;ROW())=C94),1,0)))</f>
        <v>0</v>
      </c>
      <c r="J309">
        <f ca="1">IF(AND(INDIRECT(A73&amp;ROW())=B95,INDIRECT(A96&amp;ROW())=C95),1,IF(AND(INDIRECT(A73&amp;ROW())=B95,INDIRECT(A96&amp;ROW())=C96),1,0))</f>
        <v>0</v>
      </c>
      <c r="K309">
        <f ca="1">DAYS360(INDIRECT(C68&amp;ROW()),TODAY())</f>
        <v>721</v>
      </c>
      <c r="L309">
        <f ca="1">DAYS360(INDIRECT(C69&amp;ROW()),TODAY())</f>
        <v>802</v>
      </c>
      <c r="M309">
        <f ca="1">HYPERLINK(CONCATENATE("https://bugzilla.houston.hp.com:1181/bugzilla/show_bug.cgi?id=",INDIRECT(C70&amp;ROW())),INDIRECT(C70&amp;ROW()))</f>
        <v>56904</v>
      </c>
      <c r="N309">
        <v>56904</v>
      </c>
      <c r="O309" t="s">
        <v>36</v>
      </c>
      <c r="P309" t="s">
        <v>633</v>
      </c>
      <c r="Q309" t="s">
        <v>16</v>
      </c>
      <c r="R309" t="s">
        <v>248</v>
      </c>
      <c r="S309" t="s">
        <v>552</v>
      </c>
      <c r="U309" s="6">
        <v>42125.447546296295</v>
      </c>
      <c r="V309" t="s">
        <v>18</v>
      </c>
      <c r="W309" t="s">
        <v>17</v>
      </c>
      <c r="X309" s="6">
        <v>42045.660127314812</v>
      </c>
      <c r="Y309" t="s">
        <v>122</v>
      </c>
      <c r="AB309" t="s">
        <v>201</v>
      </c>
      <c r="AC309" t="s">
        <v>247</v>
      </c>
      <c r="AD309" t="s">
        <v>220</v>
      </c>
      <c r="AE309" t="s">
        <v>223</v>
      </c>
      <c r="AG309" t="s">
        <v>121</v>
      </c>
      <c r="AH309" t="s">
        <v>64</v>
      </c>
      <c r="AI309" t="s">
        <v>121</v>
      </c>
      <c r="AJ309" t="s">
        <v>717</v>
      </c>
      <c r="AK309" t="s">
        <v>121</v>
      </c>
    </row>
    <row r="310" spans="9:37" x14ac:dyDescent="0.3">
      <c r="I310">
        <f ca="1">IF(OR(INDIRECT(A73&amp;ROW())=B93,INDIRECT(A73&amp;ROW())=B94),1,IF(AND(INDIRECT(A73&amp;ROW())=B95,INDIRECT(A96&amp;ROW())=C93),1,IF(AND(INDIRECT(A73&amp;ROW())=B95,INDIRECT(A96&amp;ROW())=C94),1,0)))</f>
        <v>0</v>
      </c>
      <c r="J310">
        <f ca="1">IF(AND(INDIRECT(A73&amp;ROW())=B95,INDIRECT(A96&amp;ROW())=C95),1,IF(AND(INDIRECT(A73&amp;ROW())=B95,INDIRECT(A96&amp;ROW())=C96),1,0))</f>
        <v>0</v>
      </c>
      <c r="K310">
        <f ca="1">DAYS360(INDIRECT(C68&amp;ROW()),TODAY())</f>
        <v>721</v>
      </c>
      <c r="L310">
        <f ca="1">DAYS360(INDIRECT(C69&amp;ROW()),TODAY())</f>
        <v>802</v>
      </c>
      <c r="M310">
        <f ca="1">HYPERLINK(CONCATENATE("https://bugzilla.houston.hp.com:1181/bugzilla/show_bug.cgi?id=",INDIRECT(C70&amp;ROW())),INDIRECT(C70&amp;ROW()))</f>
        <v>56905</v>
      </c>
      <c r="N310">
        <v>56905</v>
      </c>
      <c r="O310" t="s">
        <v>56</v>
      </c>
      <c r="P310" t="s">
        <v>634</v>
      </c>
      <c r="Q310" t="s">
        <v>16</v>
      </c>
      <c r="R310" t="s">
        <v>248</v>
      </c>
      <c r="S310" t="s">
        <v>552</v>
      </c>
      <c r="U310" s="6">
        <v>42125.443784722222</v>
      </c>
      <c r="V310" t="s">
        <v>18</v>
      </c>
      <c r="W310" t="s">
        <v>211</v>
      </c>
      <c r="X310" s="6">
        <v>42045.660474537035</v>
      </c>
      <c r="Y310" t="s">
        <v>122</v>
      </c>
      <c r="AB310" t="s">
        <v>201</v>
      </c>
      <c r="AC310" t="s">
        <v>121</v>
      </c>
      <c r="AD310" t="s">
        <v>220</v>
      </c>
      <c r="AE310" t="s">
        <v>219</v>
      </c>
      <c r="AG310" t="s">
        <v>121</v>
      </c>
      <c r="AH310" t="s">
        <v>64</v>
      </c>
      <c r="AI310" t="s">
        <v>121</v>
      </c>
      <c r="AJ310" t="s">
        <v>717</v>
      </c>
      <c r="AK310" t="s">
        <v>121</v>
      </c>
    </row>
    <row r="311" spans="9:37" x14ac:dyDescent="0.3">
      <c r="I311">
        <f ca="1">IF(OR(INDIRECT(A73&amp;ROW())=B93,INDIRECT(A73&amp;ROW())=B94),1,IF(AND(INDIRECT(A73&amp;ROW())=B95,INDIRECT(A96&amp;ROW())=C93),1,IF(AND(INDIRECT(A73&amp;ROW())=B95,INDIRECT(A96&amp;ROW())=C94),1,0)))</f>
        <v>0</v>
      </c>
      <c r="J311">
        <f ca="1">IF(AND(INDIRECT(A73&amp;ROW())=B95,INDIRECT(A96&amp;ROW())=C95),1,IF(AND(INDIRECT(A73&amp;ROW())=B95,INDIRECT(A96&amp;ROW())=C96),1,0))</f>
        <v>0</v>
      </c>
      <c r="K311">
        <f ca="1">DAYS360(INDIRECT(C68&amp;ROW()),TODAY())</f>
        <v>721</v>
      </c>
      <c r="L311">
        <f ca="1">DAYS360(INDIRECT(C69&amp;ROW()),TODAY())</f>
        <v>802</v>
      </c>
      <c r="M311">
        <f ca="1">HYPERLINK(CONCATENATE("https://bugzilla.houston.hp.com:1181/bugzilla/show_bug.cgi?id=",INDIRECT(C70&amp;ROW())),INDIRECT(C70&amp;ROW()))</f>
        <v>56906</v>
      </c>
      <c r="N311">
        <v>56906</v>
      </c>
      <c r="O311" t="s">
        <v>56</v>
      </c>
      <c r="P311" t="s">
        <v>630</v>
      </c>
      <c r="Q311" t="s">
        <v>16</v>
      </c>
      <c r="R311" t="s">
        <v>248</v>
      </c>
      <c r="S311" t="s">
        <v>552</v>
      </c>
      <c r="U311" s="6">
        <v>42125.445300925923</v>
      </c>
      <c r="V311" t="s">
        <v>18</v>
      </c>
      <c r="W311" t="s">
        <v>260</v>
      </c>
      <c r="X311" s="6">
        <v>42045.661574074074</v>
      </c>
      <c r="Y311" t="s">
        <v>122</v>
      </c>
      <c r="AB311" t="s">
        <v>201</v>
      </c>
      <c r="AC311" t="s">
        <v>121</v>
      </c>
      <c r="AD311" t="s">
        <v>220</v>
      </c>
      <c r="AE311" t="s">
        <v>219</v>
      </c>
      <c r="AG311" t="s">
        <v>121</v>
      </c>
      <c r="AH311" t="s">
        <v>327</v>
      </c>
      <c r="AI311" t="s">
        <v>121</v>
      </c>
      <c r="AJ311" t="s">
        <v>717</v>
      </c>
      <c r="AK311" t="s">
        <v>121</v>
      </c>
    </row>
    <row r="312" spans="9:37" x14ac:dyDescent="0.3">
      <c r="I312">
        <f ca="1">IF(OR(INDIRECT(A73&amp;ROW())=B93,INDIRECT(A73&amp;ROW())=B94),1,IF(AND(INDIRECT(A73&amp;ROW())=B95,INDIRECT(A96&amp;ROW())=C93),1,IF(AND(INDIRECT(A73&amp;ROW())=B95,INDIRECT(A96&amp;ROW())=C94),1,0)))</f>
        <v>0</v>
      </c>
      <c r="J312">
        <f ca="1">IF(AND(INDIRECT(A73&amp;ROW())=B95,INDIRECT(A96&amp;ROW())=C95),1,IF(AND(INDIRECT(A73&amp;ROW())=B95,INDIRECT(A96&amp;ROW())=C96),1,0))</f>
        <v>0</v>
      </c>
      <c r="K312">
        <f ca="1">DAYS360(INDIRECT(C68&amp;ROW()),TODAY())</f>
        <v>802</v>
      </c>
      <c r="L312">
        <f ca="1">DAYS360(INDIRECT(C69&amp;ROW()),TODAY())</f>
        <v>802</v>
      </c>
      <c r="M312">
        <f ca="1">HYPERLINK(CONCATENATE("https://bugzilla.houston.hp.com:1181/bugzilla/show_bug.cgi?id=",INDIRECT(C70&amp;ROW())),INDIRECT(C70&amp;ROW()))</f>
        <v>56908</v>
      </c>
      <c r="N312">
        <v>56908</v>
      </c>
      <c r="O312" t="s">
        <v>36</v>
      </c>
      <c r="P312" t="s">
        <v>636</v>
      </c>
      <c r="Q312" t="s">
        <v>16</v>
      </c>
      <c r="R312" t="s">
        <v>248</v>
      </c>
      <c r="S312" t="s">
        <v>552</v>
      </c>
      <c r="U312" s="6">
        <v>42045.686273148145</v>
      </c>
      <c r="V312" t="s">
        <v>18</v>
      </c>
      <c r="W312" t="s">
        <v>256</v>
      </c>
      <c r="X312" s="6">
        <v>42045.663506944446</v>
      </c>
      <c r="Y312" t="s">
        <v>123</v>
      </c>
      <c r="AB312" t="s">
        <v>200</v>
      </c>
      <c r="AC312" t="s">
        <v>247</v>
      </c>
      <c r="AD312" t="s">
        <v>227</v>
      </c>
      <c r="AE312" t="s">
        <v>226</v>
      </c>
      <c r="AG312" t="s">
        <v>121</v>
      </c>
      <c r="AH312" t="s">
        <v>64</v>
      </c>
      <c r="AI312" t="s">
        <v>121</v>
      </c>
      <c r="AJ312" t="s">
        <v>716</v>
      </c>
      <c r="AK312" t="s">
        <v>121</v>
      </c>
    </row>
    <row r="313" spans="9:37" x14ac:dyDescent="0.3">
      <c r="I313">
        <f ca="1">IF(OR(INDIRECT(A73&amp;ROW())=B93,INDIRECT(A73&amp;ROW())=B94),1,IF(AND(INDIRECT(A73&amp;ROW())=B95,INDIRECT(A96&amp;ROW())=C93),1,IF(AND(INDIRECT(A73&amp;ROW())=B95,INDIRECT(A96&amp;ROW())=C94),1,0)))</f>
        <v>0</v>
      </c>
      <c r="J313">
        <f ca="1">IF(AND(INDIRECT(A73&amp;ROW())=B95,INDIRECT(A96&amp;ROW())=C95),1,IF(AND(INDIRECT(A73&amp;ROW())=B95,INDIRECT(A96&amp;ROW())=C96),1,0))</f>
        <v>0</v>
      </c>
      <c r="K313">
        <f ca="1">DAYS360(INDIRECT(C68&amp;ROW()),TODAY())</f>
        <v>802</v>
      </c>
      <c r="L313">
        <f ca="1">DAYS360(INDIRECT(C69&amp;ROW()),TODAY())</f>
        <v>802</v>
      </c>
      <c r="M313">
        <f ca="1">HYPERLINK(CONCATENATE("https://bugzilla.houston.hp.com:1181/bugzilla/show_bug.cgi?id=",INDIRECT(C70&amp;ROW())),INDIRECT(C70&amp;ROW()))</f>
        <v>56909</v>
      </c>
      <c r="N313">
        <v>56909</v>
      </c>
      <c r="O313" t="s">
        <v>56</v>
      </c>
      <c r="P313" t="s">
        <v>635</v>
      </c>
      <c r="Q313" t="s">
        <v>16</v>
      </c>
      <c r="R313" t="s">
        <v>248</v>
      </c>
      <c r="S313" t="s">
        <v>552</v>
      </c>
      <c r="U313" s="6">
        <v>42045.687777777777</v>
      </c>
      <c r="V313" t="s">
        <v>18</v>
      </c>
      <c r="W313" t="s">
        <v>17</v>
      </c>
      <c r="X313" s="6">
        <v>42045.664699074077</v>
      </c>
      <c r="Y313" t="s">
        <v>371</v>
      </c>
      <c r="AB313" t="s">
        <v>199</v>
      </c>
      <c r="AC313" t="s">
        <v>247</v>
      </c>
      <c r="AD313" t="s">
        <v>220</v>
      </c>
      <c r="AE313" t="s">
        <v>219</v>
      </c>
      <c r="AG313" t="s">
        <v>121</v>
      </c>
      <c r="AH313" t="s">
        <v>327</v>
      </c>
      <c r="AI313" t="s">
        <v>121</v>
      </c>
      <c r="AJ313" t="s">
        <v>716</v>
      </c>
      <c r="AK313" t="s">
        <v>121</v>
      </c>
    </row>
    <row r="314" spans="9:37" x14ac:dyDescent="0.3">
      <c r="I314">
        <f ca="1">IF(OR(INDIRECT(A73&amp;ROW())=B93,INDIRECT(A73&amp;ROW())=B94),1,IF(AND(INDIRECT(A73&amp;ROW())=B95,INDIRECT(A96&amp;ROW())=C93),1,IF(AND(INDIRECT(A73&amp;ROW())=B95,INDIRECT(A96&amp;ROW())=C94),1,0)))</f>
        <v>0</v>
      </c>
      <c r="J314">
        <f ca="1">IF(AND(INDIRECT(A73&amp;ROW())=B95,INDIRECT(A96&amp;ROW())=C95),1,IF(AND(INDIRECT(A73&amp;ROW())=B95,INDIRECT(A96&amp;ROW())=C96),1,0))</f>
        <v>0</v>
      </c>
      <c r="K314">
        <f ca="1">DAYS360(INDIRECT(C68&amp;ROW()),TODAY())</f>
        <v>721</v>
      </c>
      <c r="L314">
        <f ca="1">DAYS360(INDIRECT(C69&amp;ROW()),TODAY())</f>
        <v>802</v>
      </c>
      <c r="M314">
        <f ca="1">HYPERLINK(CONCATENATE("https://bugzilla.houston.hp.com:1181/bugzilla/show_bug.cgi?id=",INDIRECT(C70&amp;ROW())),INDIRECT(C70&amp;ROW()))</f>
        <v>56910</v>
      </c>
      <c r="N314">
        <v>56910</v>
      </c>
      <c r="O314" t="s">
        <v>56</v>
      </c>
      <c r="P314" t="s">
        <v>638</v>
      </c>
      <c r="Q314" t="s">
        <v>16</v>
      </c>
      <c r="R314" t="s">
        <v>248</v>
      </c>
      <c r="S314" t="s">
        <v>552</v>
      </c>
      <c r="U314" s="6">
        <v>42125.44767361111</v>
      </c>
      <c r="V314" t="s">
        <v>18</v>
      </c>
      <c r="W314" t="s">
        <v>340</v>
      </c>
      <c r="X314" s="6">
        <v>42045.665069444447</v>
      </c>
      <c r="Y314" t="s">
        <v>122</v>
      </c>
      <c r="AB314" t="s">
        <v>200</v>
      </c>
      <c r="AC314" t="s">
        <v>247</v>
      </c>
      <c r="AD314" t="s">
        <v>220</v>
      </c>
      <c r="AE314" t="s">
        <v>219</v>
      </c>
      <c r="AG314" t="s">
        <v>121</v>
      </c>
      <c r="AH314" t="s">
        <v>64</v>
      </c>
      <c r="AI314" t="s">
        <v>121</v>
      </c>
      <c r="AJ314" t="s">
        <v>716</v>
      </c>
      <c r="AK314" t="s">
        <v>121</v>
      </c>
    </row>
    <row r="315" spans="9:37" x14ac:dyDescent="0.3">
      <c r="I315">
        <f ca="1">IF(OR(INDIRECT(A73&amp;ROW())=B93,INDIRECT(A73&amp;ROW())=B94),1,IF(AND(INDIRECT(A73&amp;ROW())=B95,INDIRECT(A96&amp;ROW())=C93),1,IF(AND(INDIRECT(A73&amp;ROW())=B95,INDIRECT(A96&amp;ROW())=C94),1,0)))</f>
        <v>0</v>
      </c>
      <c r="J315">
        <f ca="1">IF(AND(INDIRECT(A73&amp;ROW())=B95,INDIRECT(A96&amp;ROW())=C95),1,IF(AND(INDIRECT(A73&amp;ROW())=B95,INDIRECT(A96&amp;ROW())=C96),1,0))</f>
        <v>0</v>
      </c>
      <c r="K315">
        <f ca="1">DAYS360(INDIRECT(C68&amp;ROW()),TODAY())</f>
        <v>802</v>
      </c>
      <c r="L315">
        <f ca="1">DAYS360(INDIRECT(C69&amp;ROW()),TODAY())</f>
        <v>802</v>
      </c>
      <c r="M315">
        <f ca="1">HYPERLINK(CONCATENATE("https://bugzilla.houston.hp.com:1181/bugzilla/show_bug.cgi?id=",INDIRECT(C70&amp;ROW())),INDIRECT(C70&amp;ROW()))</f>
        <v>56911</v>
      </c>
      <c r="N315">
        <v>56911</v>
      </c>
      <c r="O315" t="s">
        <v>36</v>
      </c>
      <c r="P315" t="s">
        <v>625</v>
      </c>
      <c r="Q315" t="s">
        <v>16</v>
      </c>
      <c r="R315" t="s">
        <v>248</v>
      </c>
      <c r="S315" t="s">
        <v>552</v>
      </c>
      <c r="U315" s="6">
        <v>42045.70890046296</v>
      </c>
      <c r="V315" t="s">
        <v>18</v>
      </c>
      <c r="W315" t="s">
        <v>258</v>
      </c>
      <c r="X315" s="6">
        <v>42045.66615740741</v>
      </c>
      <c r="Y315" t="s">
        <v>120</v>
      </c>
      <c r="AB315" t="s">
        <v>200</v>
      </c>
      <c r="AC315" t="s">
        <v>121</v>
      </c>
      <c r="AD315" t="s">
        <v>222</v>
      </c>
      <c r="AE315" t="s">
        <v>240</v>
      </c>
      <c r="AG315" t="s">
        <v>121</v>
      </c>
      <c r="AH315" t="s">
        <v>64</v>
      </c>
      <c r="AI315" t="s">
        <v>121</v>
      </c>
      <c r="AJ315" t="s">
        <v>716</v>
      </c>
      <c r="AK315" t="s">
        <v>121</v>
      </c>
    </row>
    <row r="316" spans="9:37" x14ac:dyDescent="0.3">
      <c r="I316">
        <f ca="1">IF(OR(INDIRECT(A73&amp;ROW())=B93,INDIRECT(A73&amp;ROW())=B94),1,IF(AND(INDIRECT(A73&amp;ROW())=B95,INDIRECT(A96&amp;ROW())=C93),1,IF(AND(INDIRECT(A73&amp;ROW())=B95,INDIRECT(A96&amp;ROW())=C94),1,0)))</f>
        <v>0</v>
      </c>
      <c r="J316">
        <f ca="1">IF(AND(INDIRECT(A73&amp;ROW())=B95,INDIRECT(A96&amp;ROW())=C95),1,IF(AND(INDIRECT(A73&amp;ROW())=B95,INDIRECT(A96&amp;ROW())=C96),1,0))</f>
        <v>0</v>
      </c>
      <c r="K316">
        <f ca="1">DAYS360(INDIRECT(C68&amp;ROW()),TODAY())</f>
        <v>802</v>
      </c>
      <c r="L316">
        <f ca="1">DAYS360(INDIRECT(C69&amp;ROW()),TODAY())</f>
        <v>802</v>
      </c>
      <c r="M316">
        <f ca="1">HYPERLINK(CONCATENATE("https://bugzilla.houston.hp.com:1181/bugzilla/show_bug.cgi?id=",INDIRECT(C70&amp;ROW())),INDIRECT(C70&amp;ROW()))</f>
        <v>56912</v>
      </c>
      <c r="N316">
        <v>56912</v>
      </c>
      <c r="O316" t="s">
        <v>56</v>
      </c>
      <c r="P316" t="s">
        <v>623</v>
      </c>
      <c r="Q316" t="s">
        <v>16</v>
      </c>
      <c r="R316" t="s">
        <v>248</v>
      </c>
      <c r="S316" t="s">
        <v>552</v>
      </c>
      <c r="U316" s="6">
        <v>42045.710277777776</v>
      </c>
      <c r="V316" t="s">
        <v>18</v>
      </c>
      <c r="W316" t="s">
        <v>17</v>
      </c>
      <c r="X316" s="6">
        <v>42045.667037037034</v>
      </c>
      <c r="Y316" t="s">
        <v>786</v>
      </c>
      <c r="AB316" t="s">
        <v>200</v>
      </c>
      <c r="AC316" t="s">
        <v>247</v>
      </c>
      <c r="AD316" t="s">
        <v>220</v>
      </c>
      <c r="AE316" t="s">
        <v>219</v>
      </c>
      <c r="AG316" t="s">
        <v>121</v>
      </c>
      <c r="AH316" t="s">
        <v>327</v>
      </c>
      <c r="AI316" t="s">
        <v>121</v>
      </c>
      <c r="AJ316" t="s">
        <v>716</v>
      </c>
      <c r="AK316" t="s">
        <v>121</v>
      </c>
    </row>
    <row r="317" spans="9:37" x14ac:dyDescent="0.3">
      <c r="I317">
        <f ca="1">IF(OR(INDIRECT(A73&amp;ROW())=B93,INDIRECT(A73&amp;ROW())=B94),1,IF(AND(INDIRECT(A73&amp;ROW())=B95,INDIRECT(A96&amp;ROW())=C93),1,IF(AND(INDIRECT(A73&amp;ROW())=B95,INDIRECT(A96&amp;ROW())=C94),1,0)))</f>
        <v>0</v>
      </c>
      <c r="J317">
        <f ca="1">IF(AND(INDIRECT(A73&amp;ROW())=B95,INDIRECT(A96&amp;ROW())=C95),1,IF(AND(INDIRECT(A73&amp;ROW())=B95,INDIRECT(A96&amp;ROW())=C96),1,0))</f>
        <v>0</v>
      </c>
      <c r="K317">
        <f ca="1">DAYS360(INDIRECT(C68&amp;ROW()),TODAY())</f>
        <v>721</v>
      </c>
      <c r="L317">
        <f ca="1">DAYS360(INDIRECT(C69&amp;ROW()),TODAY())</f>
        <v>802</v>
      </c>
      <c r="M317">
        <f ca="1">HYPERLINK(CONCATENATE("https://bugzilla.houston.hp.com:1181/bugzilla/show_bug.cgi?id=",INDIRECT(C70&amp;ROW())),INDIRECT(C70&amp;ROW()))</f>
        <v>56913</v>
      </c>
      <c r="N317">
        <v>56913</v>
      </c>
      <c r="O317" t="s">
        <v>36</v>
      </c>
      <c r="P317" t="s">
        <v>622</v>
      </c>
      <c r="Q317" t="s">
        <v>16</v>
      </c>
      <c r="R317" t="s">
        <v>248</v>
      </c>
      <c r="S317" t="s">
        <v>552</v>
      </c>
      <c r="U317" s="6">
        <v>42125.446562500001</v>
      </c>
      <c r="V317" t="s">
        <v>18</v>
      </c>
      <c r="W317" t="s">
        <v>257</v>
      </c>
      <c r="X317" s="6">
        <v>42045.668935185182</v>
      </c>
      <c r="Y317" t="s">
        <v>122</v>
      </c>
      <c r="AB317" t="s">
        <v>200</v>
      </c>
      <c r="AC317" t="s">
        <v>121</v>
      </c>
      <c r="AD317" t="s">
        <v>227</v>
      </c>
      <c r="AE317" t="s">
        <v>226</v>
      </c>
      <c r="AG317" t="s">
        <v>121</v>
      </c>
      <c r="AH317" t="s">
        <v>64</v>
      </c>
      <c r="AI317" t="s">
        <v>121</v>
      </c>
      <c r="AJ317" t="s">
        <v>716</v>
      </c>
      <c r="AK317" t="s">
        <v>121</v>
      </c>
    </row>
    <row r="318" spans="9:37" x14ac:dyDescent="0.3">
      <c r="I318">
        <f ca="1">IF(OR(INDIRECT(A73&amp;ROW())=B93,INDIRECT(A73&amp;ROW())=B94),1,IF(AND(INDIRECT(A73&amp;ROW())=B95,INDIRECT(A96&amp;ROW())=C93),1,IF(AND(INDIRECT(A73&amp;ROW())=B95,INDIRECT(A96&amp;ROW())=C94),1,0)))</f>
        <v>0</v>
      </c>
      <c r="J318">
        <f ca="1">IF(AND(INDIRECT(A73&amp;ROW())=B95,INDIRECT(A96&amp;ROW())=C95),1,IF(AND(INDIRECT(A73&amp;ROW())=B95,INDIRECT(A96&amp;ROW())=C96),1,0))</f>
        <v>0</v>
      </c>
      <c r="K318">
        <f ca="1">DAYS360(INDIRECT(C68&amp;ROW()),TODAY())</f>
        <v>721</v>
      </c>
      <c r="L318">
        <f ca="1">DAYS360(INDIRECT(C69&amp;ROW()),TODAY())</f>
        <v>802</v>
      </c>
      <c r="M318">
        <f ca="1">HYPERLINK(CONCATENATE("https://bugzilla.houston.hp.com:1181/bugzilla/show_bug.cgi?id=",INDIRECT(C70&amp;ROW())),INDIRECT(C70&amp;ROW()))</f>
        <v>56914</v>
      </c>
      <c r="N318">
        <v>56914</v>
      </c>
      <c r="O318" t="s">
        <v>56</v>
      </c>
      <c r="P318" t="s">
        <v>628</v>
      </c>
      <c r="Q318" t="s">
        <v>16</v>
      </c>
      <c r="R318" t="s">
        <v>248</v>
      </c>
      <c r="S318" t="s">
        <v>552</v>
      </c>
      <c r="U318" s="6">
        <v>42125.448703703703</v>
      </c>
      <c r="V318" t="s">
        <v>18</v>
      </c>
      <c r="W318" t="s">
        <v>17</v>
      </c>
      <c r="X318" s="6">
        <v>42045.670347222222</v>
      </c>
      <c r="Y318" t="s">
        <v>122</v>
      </c>
      <c r="AB318" t="s">
        <v>201</v>
      </c>
      <c r="AC318" t="s">
        <v>247</v>
      </c>
      <c r="AD318" t="s">
        <v>220</v>
      </c>
      <c r="AE318" t="s">
        <v>219</v>
      </c>
      <c r="AG318" t="s">
        <v>121</v>
      </c>
      <c r="AH318" t="s">
        <v>327</v>
      </c>
      <c r="AI318" t="s">
        <v>121</v>
      </c>
      <c r="AJ318" t="s">
        <v>717</v>
      </c>
      <c r="AK318" t="s">
        <v>121</v>
      </c>
    </row>
    <row r="319" spans="9:37" x14ac:dyDescent="0.3">
      <c r="I319">
        <f ca="1">IF(OR(INDIRECT(A73&amp;ROW())=B93,INDIRECT(A73&amp;ROW())=B94),1,IF(AND(INDIRECT(A73&amp;ROW())=B95,INDIRECT(A96&amp;ROW())=C93),1,IF(AND(INDIRECT(A73&amp;ROW())=B95,INDIRECT(A96&amp;ROW())=C94),1,0)))</f>
        <v>0</v>
      </c>
      <c r="J319">
        <f ca="1">IF(AND(INDIRECT(A73&amp;ROW())=B95,INDIRECT(A96&amp;ROW())=C95),1,IF(AND(INDIRECT(A73&amp;ROW())=B95,INDIRECT(A96&amp;ROW())=C96),1,0))</f>
        <v>0</v>
      </c>
      <c r="K319">
        <f ca="1">DAYS360(INDIRECT(C68&amp;ROW()),TODAY())</f>
        <v>802</v>
      </c>
      <c r="L319">
        <f ca="1">DAYS360(INDIRECT(C69&amp;ROW()),TODAY())</f>
        <v>802</v>
      </c>
      <c r="M319">
        <f ca="1">HYPERLINK(CONCATENATE("https://bugzilla.houston.hp.com:1181/bugzilla/show_bug.cgi?id=",INDIRECT(C70&amp;ROW())),INDIRECT(C70&amp;ROW()))</f>
        <v>56916</v>
      </c>
      <c r="N319">
        <v>56916</v>
      </c>
      <c r="O319" t="s">
        <v>36</v>
      </c>
      <c r="P319" t="s">
        <v>627</v>
      </c>
      <c r="Q319" t="s">
        <v>16</v>
      </c>
      <c r="R319" t="s">
        <v>248</v>
      </c>
      <c r="S319" t="s">
        <v>552</v>
      </c>
      <c r="U319" s="6">
        <v>42045.708449074074</v>
      </c>
      <c r="V319" t="s">
        <v>18</v>
      </c>
      <c r="W319" t="s">
        <v>317</v>
      </c>
      <c r="X319" s="6">
        <v>42045.671898148146</v>
      </c>
      <c r="Y319" t="s">
        <v>119</v>
      </c>
      <c r="AB319" t="s">
        <v>201</v>
      </c>
      <c r="AC319" t="s">
        <v>247</v>
      </c>
      <c r="AD319" t="s">
        <v>222</v>
      </c>
      <c r="AE319" t="s">
        <v>240</v>
      </c>
      <c r="AG319" t="s">
        <v>121</v>
      </c>
      <c r="AH319" t="s">
        <v>327</v>
      </c>
      <c r="AI319" t="s">
        <v>121</v>
      </c>
      <c r="AJ319" t="s">
        <v>717</v>
      </c>
      <c r="AK319" t="s">
        <v>121</v>
      </c>
    </row>
    <row r="320" spans="9:37" x14ac:dyDescent="0.3">
      <c r="I320">
        <f ca="1">IF(OR(INDIRECT(A73&amp;ROW())=B93,INDIRECT(A73&amp;ROW())=B94),1,IF(AND(INDIRECT(A73&amp;ROW())=B95,INDIRECT(A96&amp;ROW())=C93),1,IF(AND(INDIRECT(A73&amp;ROW())=B95,INDIRECT(A96&amp;ROW())=C94),1,0)))</f>
        <v>0</v>
      </c>
      <c r="J320">
        <f ca="1">IF(AND(INDIRECT(A73&amp;ROW())=B95,INDIRECT(A96&amp;ROW())=C95),1,IF(AND(INDIRECT(A73&amp;ROW())=B95,INDIRECT(A96&amp;ROW())=C96),1,0))</f>
        <v>0</v>
      </c>
      <c r="K320">
        <f ca="1">DAYS360(INDIRECT(C68&amp;ROW()),TODAY())</f>
        <v>721</v>
      </c>
      <c r="L320">
        <f ca="1">DAYS360(INDIRECT(C69&amp;ROW()),TODAY())</f>
        <v>802</v>
      </c>
      <c r="M320">
        <f ca="1">HYPERLINK(CONCATENATE("https://bugzilla.houston.hp.com:1181/bugzilla/show_bug.cgi?id=",INDIRECT(C70&amp;ROW())),INDIRECT(C70&amp;ROW()))</f>
        <v>56917</v>
      </c>
      <c r="N320">
        <v>56917</v>
      </c>
      <c r="O320" t="s">
        <v>56</v>
      </c>
      <c r="P320" t="s">
        <v>629</v>
      </c>
      <c r="Q320" t="s">
        <v>16</v>
      </c>
      <c r="R320" t="s">
        <v>248</v>
      </c>
      <c r="S320" t="s">
        <v>552</v>
      </c>
      <c r="U320" s="6">
        <v>42125.446481481478</v>
      </c>
      <c r="V320" t="s">
        <v>18</v>
      </c>
      <c r="W320" t="s">
        <v>288</v>
      </c>
      <c r="X320" s="6">
        <v>42045.672708333332</v>
      </c>
      <c r="Y320" t="s">
        <v>122</v>
      </c>
      <c r="AB320" t="s">
        <v>201</v>
      </c>
      <c r="AC320" t="s">
        <v>247</v>
      </c>
      <c r="AD320" t="s">
        <v>220</v>
      </c>
      <c r="AE320" t="s">
        <v>219</v>
      </c>
      <c r="AG320" t="s">
        <v>121</v>
      </c>
      <c r="AH320" t="s">
        <v>64</v>
      </c>
      <c r="AI320" t="s">
        <v>121</v>
      </c>
      <c r="AJ320" t="s">
        <v>717</v>
      </c>
      <c r="AK320" t="s">
        <v>121</v>
      </c>
    </row>
    <row r="321" spans="9:37" x14ac:dyDescent="0.3">
      <c r="I321">
        <f ca="1">IF(OR(INDIRECT(A73&amp;ROW())=B93,INDIRECT(A73&amp;ROW())=B94),1,IF(AND(INDIRECT(A73&amp;ROW())=B95,INDIRECT(A96&amp;ROW())=C93),1,IF(AND(INDIRECT(A73&amp;ROW())=B95,INDIRECT(A96&amp;ROW())=C94),1,0)))</f>
        <v>0</v>
      </c>
      <c r="J321">
        <f ca="1">IF(AND(INDIRECT(A73&amp;ROW())=B95,INDIRECT(A96&amp;ROW())=C95),1,IF(AND(INDIRECT(A73&amp;ROW())=B95,INDIRECT(A96&amp;ROW())=C96),1,0))</f>
        <v>0</v>
      </c>
      <c r="K321">
        <f ca="1">DAYS360(INDIRECT(C68&amp;ROW()),TODAY())</f>
        <v>802</v>
      </c>
      <c r="L321">
        <f ca="1">DAYS360(INDIRECT(C69&amp;ROW()),TODAY())</f>
        <v>802</v>
      </c>
      <c r="M321">
        <f ca="1">HYPERLINK(CONCATENATE("https://bugzilla.houston.hp.com:1181/bugzilla/show_bug.cgi?id=",INDIRECT(C70&amp;ROW())),INDIRECT(C70&amp;ROW()))</f>
        <v>56918</v>
      </c>
      <c r="N321">
        <v>56918</v>
      </c>
      <c r="O321" t="s">
        <v>36</v>
      </c>
      <c r="P321" t="s">
        <v>631</v>
      </c>
      <c r="Q321" t="s">
        <v>16</v>
      </c>
      <c r="R321" t="s">
        <v>248</v>
      </c>
      <c r="S321" t="s">
        <v>552</v>
      </c>
      <c r="U321" s="6">
        <v>42045.702314814815</v>
      </c>
      <c r="V321" t="s">
        <v>18</v>
      </c>
      <c r="W321" t="s">
        <v>341</v>
      </c>
      <c r="X321" s="6">
        <v>42045.673090277778</v>
      </c>
      <c r="Y321" t="s">
        <v>118</v>
      </c>
      <c r="AB321" t="s">
        <v>201</v>
      </c>
      <c r="AC321" t="s">
        <v>121</v>
      </c>
      <c r="AD321" t="s">
        <v>222</v>
      </c>
      <c r="AE321" t="s">
        <v>240</v>
      </c>
      <c r="AG321" t="s">
        <v>121</v>
      </c>
      <c r="AH321" t="s">
        <v>327</v>
      </c>
      <c r="AI321" t="s">
        <v>121</v>
      </c>
      <c r="AJ321" t="s">
        <v>717</v>
      </c>
      <c r="AK321" t="s">
        <v>121</v>
      </c>
    </row>
    <row r="322" spans="9:37" x14ac:dyDescent="0.3">
      <c r="I322">
        <f ca="1">IF(OR(INDIRECT(A73&amp;ROW())=B93,INDIRECT(A73&amp;ROW())=B94),1,IF(AND(INDIRECT(A73&amp;ROW())=B95,INDIRECT(A96&amp;ROW())=C93),1,IF(AND(INDIRECT(A73&amp;ROW())=B95,INDIRECT(A96&amp;ROW())=C94),1,0)))</f>
        <v>0</v>
      </c>
      <c r="J322">
        <f ca="1">IF(AND(INDIRECT(A73&amp;ROW())=B95,INDIRECT(A96&amp;ROW())=C95),1,IF(AND(INDIRECT(A73&amp;ROW())=B95,INDIRECT(A96&amp;ROW())=C96),1,0))</f>
        <v>0</v>
      </c>
      <c r="K322">
        <f ca="1">DAYS360(INDIRECT(C68&amp;ROW()),TODAY())</f>
        <v>769</v>
      </c>
      <c r="L322">
        <f ca="1">DAYS360(INDIRECT(C69&amp;ROW()),TODAY())</f>
        <v>802</v>
      </c>
      <c r="M322">
        <f ca="1">HYPERLINK(CONCATENATE("https://bugzilla.houston.hp.com:1181/bugzilla/show_bug.cgi?id=",INDIRECT(C70&amp;ROW())),INDIRECT(C70&amp;ROW()))</f>
        <v>56919</v>
      </c>
      <c r="N322">
        <v>56919</v>
      </c>
      <c r="O322" t="s">
        <v>56</v>
      </c>
      <c r="P322" t="s">
        <v>624</v>
      </c>
      <c r="Q322" t="s">
        <v>16</v>
      </c>
      <c r="R322" t="s">
        <v>248</v>
      </c>
      <c r="S322" t="s">
        <v>552</v>
      </c>
      <c r="U322" s="6">
        <v>42076.531307870369</v>
      </c>
      <c r="V322" t="s">
        <v>18</v>
      </c>
      <c r="W322" t="s">
        <v>260</v>
      </c>
      <c r="X322" s="6">
        <v>42045.674270833333</v>
      </c>
      <c r="Y322" t="s">
        <v>793</v>
      </c>
      <c r="AB322" t="s">
        <v>199</v>
      </c>
      <c r="AC322" t="s">
        <v>247</v>
      </c>
      <c r="AD322" t="s">
        <v>220</v>
      </c>
      <c r="AE322" t="s">
        <v>219</v>
      </c>
      <c r="AG322" t="s">
        <v>121</v>
      </c>
      <c r="AH322" t="s">
        <v>64</v>
      </c>
      <c r="AI322" t="s">
        <v>121</v>
      </c>
      <c r="AJ322" t="s">
        <v>716</v>
      </c>
      <c r="AK322" t="s">
        <v>121</v>
      </c>
    </row>
    <row r="323" spans="9:37" x14ac:dyDescent="0.3">
      <c r="I323">
        <f ca="1">IF(OR(INDIRECT(A73&amp;ROW())=B93,INDIRECT(A73&amp;ROW())=B94),1,IF(AND(INDIRECT(A73&amp;ROW())=B95,INDIRECT(A96&amp;ROW())=C93),1,IF(AND(INDIRECT(A73&amp;ROW())=B95,INDIRECT(A96&amp;ROW())=C94),1,0)))</f>
        <v>0</v>
      </c>
      <c r="J323">
        <f ca="1">IF(AND(INDIRECT(A73&amp;ROW())=B95,INDIRECT(A96&amp;ROW())=C95),1,IF(AND(INDIRECT(A73&amp;ROW())=B95,INDIRECT(A96&amp;ROW())=C96),1,0))</f>
        <v>0</v>
      </c>
      <c r="K323">
        <f ca="1">DAYS360(INDIRECT(C68&amp;ROW()),TODAY())</f>
        <v>802</v>
      </c>
      <c r="L323">
        <f ca="1">DAYS360(INDIRECT(C69&amp;ROW()),TODAY())</f>
        <v>802</v>
      </c>
      <c r="M323">
        <f ca="1">HYPERLINK(CONCATENATE("https://bugzilla.houston.hp.com:1181/bugzilla/show_bug.cgi?id=",INDIRECT(C70&amp;ROW())),INDIRECT(C70&amp;ROW()))</f>
        <v>56920</v>
      </c>
      <c r="N323">
        <v>56920</v>
      </c>
      <c r="O323" t="s">
        <v>36</v>
      </c>
      <c r="P323" t="s">
        <v>637</v>
      </c>
      <c r="Q323" t="s">
        <v>16</v>
      </c>
      <c r="R323" t="s">
        <v>248</v>
      </c>
      <c r="S323" t="s">
        <v>552</v>
      </c>
      <c r="U323" s="6">
        <v>42045.685949074075</v>
      </c>
      <c r="V323" t="s">
        <v>18</v>
      </c>
      <c r="W323" t="s">
        <v>339</v>
      </c>
      <c r="X323" s="6">
        <v>42045.674618055556</v>
      </c>
      <c r="Y323" t="s">
        <v>342</v>
      </c>
      <c r="AB323" t="s">
        <v>201</v>
      </c>
      <c r="AC323" t="s">
        <v>217</v>
      </c>
      <c r="AD323" t="s">
        <v>222</v>
      </c>
      <c r="AE323" t="s">
        <v>225</v>
      </c>
      <c r="AG323" t="s">
        <v>121</v>
      </c>
      <c r="AH323" t="s">
        <v>327</v>
      </c>
      <c r="AI323" t="s">
        <v>121</v>
      </c>
      <c r="AJ323" t="s">
        <v>717</v>
      </c>
      <c r="AK323" t="s">
        <v>121</v>
      </c>
    </row>
    <row r="324" spans="9:37" x14ac:dyDescent="0.3">
      <c r="I324">
        <f ca="1">IF(OR(INDIRECT(A73&amp;ROW())=B93,INDIRECT(A73&amp;ROW())=B94),1,IF(AND(INDIRECT(A73&amp;ROW())=B95,INDIRECT(A96&amp;ROW())=C93),1,IF(AND(INDIRECT(A73&amp;ROW())=B95,INDIRECT(A96&amp;ROW())=C94),1,0)))</f>
        <v>0</v>
      </c>
      <c r="J324">
        <f ca="1">IF(AND(INDIRECT(A73&amp;ROW())=B95,INDIRECT(A96&amp;ROW())=C95),1,IF(AND(INDIRECT(A73&amp;ROW())=B95,INDIRECT(A96&amp;ROW())=C96),1,0))</f>
        <v>0</v>
      </c>
      <c r="K324">
        <f ca="1">DAYS360(INDIRECT(C68&amp;ROW()),TODAY())</f>
        <v>721</v>
      </c>
      <c r="L324">
        <f ca="1">DAYS360(INDIRECT(C69&amp;ROW()),TODAY())</f>
        <v>802</v>
      </c>
      <c r="M324">
        <f ca="1">HYPERLINK(CONCATENATE("https://bugzilla.houston.hp.com:1181/bugzilla/show_bug.cgi?id=",INDIRECT(C70&amp;ROW())),INDIRECT(C70&amp;ROW()))</f>
        <v>56921</v>
      </c>
      <c r="N324">
        <v>56921</v>
      </c>
      <c r="O324" t="s">
        <v>56</v>
      </c>
      <c r="P324" t="s">
        <v>647</v>
      </c>
      <c r="Q324" t="s">
        <v>16</v>
      </c>
      <c r="R324" t="s">
        <v>248</v>
      </c>
      <c r="S324" t="s">
        <v>552</v>
      </c>
      <c r="U324" s="6">
        <v>42125.443981481483</v>
      </c>
      <c r="V324" t="s">
        <v>18</v>
      </c>
      <c r="W324" t="s">
        <v>211</v>
      </c>
      <c r="X324" s="6">
        <v>42045.675682870373</v>
      </c>
      <c r="Y324" t="s">
        <v>122</v>
      </c>
      <c r="AB324" t="s">
        <v>200</v>
      </c>
      <c r="AC324" t="s">
        <v>121</v>
      </c>
      <c r="AD324" t="s">
        <v>220</v>
      </c>
      <c r="AE324" t="s">
        <v>219</v>
      </c>
      <c r="AG324" t="s">
        <v>121</v>
      </c>
      <c r="AH324" t="s">
        <v>327</v>
      </c>
      <c r="AI324" t="s">
        <v>121</v>
      </c>
      <c r="AJ324" t="s">
        <v>716</v>
      </c>
      <c r="AK324" t="s">
        <v>121</v>
      </c>
    </row>
    <row r="325" spans="9:37" x14ac:dyDescent="0.3">
      <c r="I325">
        <f ca="1">IF(OR(INDIRECT(A73&amp;ROW())=B93,INDIRECT(A73&amp;ROW())=B94),1,IF(AND(INDIRECT(A73&amp;ROW())=B95,INDIRECT(A96&amp;ROW())=C93),1,IF(AND(INDIRECT(A73&amp;ROW())=B95,INDIRECT(A96&amp;ROW())=C94),1,0)))</f>
        <v>0</v>
      </c>
      <c r="J325">
        <f ca="1">IF(AND(INDIRECT(A73&amp;ROW())=B95,INDIRECT(A96&amp;ROW())=C95),1,IF(AND(INDIRECT(A73&amp;ROW())=B95,INDIRECT(A96&amp;ROW())=C96),1,0))</f>
        <v>0</v>
      </c>
      <c r="K325">
        <f ca="1">DAYS360(INDIRECT(C68&amp;ROW()),TODAY())</f>
        <v>802</v>
      </c>
      <c r="L325">
        <f ca="1">DAYS360(INDIRECT(C69&amp;ROW()),TODAY())</f>
        <v>802</v>
      </c>
      <c r="M325">
        <f ca="1">HYPERLINK(CONCATENATE("https://bugzilla.houston.hp.com:1181/bugzilla/show_bug.cgi?id=",INDIRECT(C70&amp;ROW())),INDIRECT(C70&amp;ROW()))</f>
        <v>56922</v>
      </c>
      <c r="N325">
        <v>56922</v>
      </c>
      <c r="O325" t="s">
        <v>56</v>
      </c>
      <c r="P325" t="s">
        <v>632</v>
      </c>
      <c r="Q325" t="s">
        <v>16</v>
      </c>
      <c r="R325" t="s">
        <v>248</v>
      </c>
      <c r="S325" t="s">
        <v>552</v>
      </c>
      <c r="U325" s="6">
        <v>42045.701967592591</v>
      </c>
      <c r="V325" t="s">
        <v>18</v>
      </c>
      <c r="W325" t="s">
        <v>343</v>
      </c>
      <c r="X325" s="6">
        <v>42045.676111111112</v>
      </c>
      <c r="Y325" t="s">
        <v>124</v>
      </c>
      <c r="AB325" t="s">
        <v>201</v>
      </c>
      <c r="AC325" t="s">
        <v>247</v>
      </c>
      <c r="AD325" t="s">
        <v>220</v>
      </c>
      <c r="AE325" t="s">
        <v>219</v>
      </c>
      <c r="AG325" t="s">
        <v>121</v>
      </c>
      <c r="AH325" t="s">
        <v>327</v>
      </c>
      <c r="AI325" t="s">
        <v>121</v>
      </c>
      <c r="AJ325" t="s">
        <v>717</v>
      </c>
      <c r="AK325" t="s">
        <v>121</v>
      </c>
    </row>
    <row r="326" spans="9:37" x14ac:dyDescent="0.3">
      <c r="I326">
        <f ca="1">IF(OR(INDIRECT(A73&amp;ROW())=B93,INDIRECT(A73&amp;ROW())=B94),1,IF(AND(INDIRECT(A73&amp;ROW())=B95,INDIRECT(A96&amp;ROW())=C93),1,IF(AND(INDIRECT(A73&amp;ROW())=B95,INDIRECT(A96&amp;ROW())=C94),1,0)))</f>
        <v>0</v>
      </c>
      <c r="J326">
        <f ca="1">IF(AND(INDIRECT(A73&amp;ROW())=B95,INDIRECT(A96&amp;ROW())=C95),1,IF(AND(INDIRECT(A73&amp;ROW())=B95,INDIRECT(A96&amp;ROW())=C96),1,0))</f>
        <v>0</v>
      </c>
      <c r="K326">
        <f ca="1">DAYS360(INDIRECT(C68&amp;ROW()),TODAY())</f>
        <v>721</v>
      </c>
      <c r="L326">
        <f ca="1">DAYS360(INDIRECT(C69&amp;ROW()),TODAY())</f>
        <v>802</v>
      </c>
      <c r="M326">
        <f ca="1">HYPERLINK(CONCATENATE("https://bugzilla.houston.hp.com:1181/bugzilla/show_bug.cgi?id=",INDIRECT(C70&amp;ROW())),INDIRECT(C70&amp;ROW()))</f>
        <v>56923</v>
      </c>
      <c r="N326">
        <v>56923</v>
      </c>
      <c r="O326" t="s">
        <v>56</v>
      </c>
      <c r="P326" t="s">
        <v>646</v>
      </c>
      <c r="Q326" t="s">
        <v>16</v>
      </c>
      <c r="R326" t="s">
        <v>248</v>
      </c>
      <c r="S326" t="s">
        <v>552</v>
      </c>
      <c r="U326" s="6">
        <v>42125.446423611109</v>
      </c>
      <c r="V326" t="s">
        <v>18</v>
      </c>
      <c r="W326" t="s">
        <v>256</v>
      </c>
      <c r="X326" s="6">
        <v>42045.677118055559</v>
      </c>
      <c r="Y326" t="s">
        <v>122</v>
      </c>
      <c r="AB326" t="s">
        <v>200</v>
      </c>
      <c r="AC326" t="s">
        <v>247</v>
      </c>
      <c r="AD326" t="s">
        <v>220</v>
      </c>
      <c r="AE326" t="s">
        <v>219</v>
      </c>
      <c r="AF326" s="13">
        <v>41904</v>
      </c>
      <c r="AG326" t="s">
        <v>121</v>
      </c>
      <c r="AH326" t="s">
        <v>64</v>
      </c>
      <c r="AI326" t="s">
        <v>121</v>
      </c>
      <c r="AJ326" t="s">
        <v>716</v>
      </c>
      <c r="AK326" t="s">
        <v>121</v>
      </c>
    </row>
    <row r="327" spans="9:37" x14ac:dyDescent="0.3">
      <c r="I327">
        <f ca="1">IF(OR(INDIRECT(A73&amp;ROW())=B93,INDIRECT(A73&amp;ROW())=B94),1,IF(AND(INDIRECT(A73&amp;ROW())=B95,INDIRECT(A96&amp;ROW())=C93),1,IF(AND(INDIRECT(A73&amp;ROW())=B95,INDIRECT(A96&amp;ROW())=C94),1,0)))</f>
        <v>0</v>
      </c>
      <c r="J327">
        <f ca="1">IF(AND(INDIRECT(A73&amp;ROW())=B95,INDIRECT(A96&amp;ROW())=C95),1,IF(AND(INDIRECT(A73&amp;ROW())=B95,INDIRECT(A96&amp;ROW())=C96),1,0))</f>
        <v>0</v>
      </c>
      <c r="K327">
        <f ca="1">DAYS360(INDIRECT(C68&amp;ROW()),TODAY())</f>
        <v>721</v>
      </c>
      <c r="L327">
        <f ca="1">DAYS360(INDIRECT(C69&amp;ROW()),TODAY())</f>
        <v>802</v>
      </c>
      <c r="M327">
        <f ca="1">HYPERLINK(CONCATENATE("https://bugzilla.houston.hp.com:1181/bugzilla/show_bug.cgi?id=",INDIRECT(C70&amp;ROW())),INDIRECT(C70&amp;ROW()))</f>
        <v>56924</v>
      </c>
      <c r="N327">
        <v>56924</v>
      </c>
      <c r="O327" t="s">
        <v>56</v>
      </c>
      <c r="P327" t="s">
        <v>645</v>
      </c>
      <c r="Q327" t="s">
        <v>16</v>
      </c>
      <c r="R327" t="s">
        <v>248</v>
      </c>
      <c r="S327" t="s">
        <v>552</v>
      </c>
      <c r="U327" s="6">
        <v>42125.445127314815</v>
      </c>
      <c r="V327" t="s">
        <v>18</v>
      </c>
      <c r="W327" t="s">
        <v>260</v>
      </c>
      <c r="X327" s="6">
        <v>42045.677986111114</v>
      </c>
      <c r="Y327" t="s">
        <v>122</v>
      </c>
      <c r="AB327" t="s">
        <v>200</v>
      </c>
      <c r="AC327" t="s">
        <v>121</v>
      </c>
      <c r="AD327" t="s">
        <v>220</v>
      </c>
      <c r="AE327" t="s">
        <v>219</v>
      </c>
      <c r="AG327" t="s">
        <v>121</v>
      </c>
      <c r="AH327" t="s">
        <v>327</v>
      </c>
      <c r="AI327" t="s">
        <v>121</v>
      </c>
      <c r="AJ327" t="s">
        <v>716</v>
      </c>
      <c r="AK327" t="s">
        <v>121</v>
      </c>
    </row>
    <row r="328" spans="9:37" x14ac:dyDescent="0.3">
      <c r="I328">
        <f ca="1">IF(OR(INDIRECT(A73&amp;ROW())=B93,INDIRECT(A73&amp;ROW())=B94),1,IF(AND(INDIRECT(A73&amp;ROW())=B95,INDIRECT(A96&amp;ROW())=C93),1,IF(AND(INDIRECT(A73&amp;ROW())=B95,INDIRECT(A96&amp;ROW())=C94),1,0)))</f>
        <v>0</v>
      </c>
      <c r="J328">
        <f ca="1">IF(AND(INDIRECT(A73&amp;ROW())=B95,INDIRECT(A96&amp;ROW())=C95),1,IF(AND(INDIRECT(A73&amp;ROW())=B95,INDIRECT(A96&amp;ROW())=C96),1,0))</f>
        <v>0</v>
      </c>
      <c r="K328">
        <f ca="1">DAYS360(INDIRECT(C68&amp;ROW()),TODAY())</f>
        <v>721</v>
      </c>
      <c r="L328">
        <f ca="1">DAYS360(INDIRECT(C69&amp;ROW()),TODAY())</f>
        <v>802</v>
      </c>
      <c r="M328">
        <f ca="1">HYPERLINK(CONCATENATE("https://bugzilla.houston.hp.com:1181/bugzilla/show_bug.cgi?id=",INDIRECT(C70&amp;ROW())),INDIRECT(C70&amp;ROW()))</f>
        <v>56925</v>
      </c>
      <c r="N328">
        <v>56925</v>
      </c>
      <c r="O328" t="s">
        <v>56</v>
      </c>
      <c r="P328" t="s">
        <v>644</v>
      </c>
      <c r="Q328" t="s">
        <v>16</v>
      </c>
      <c r="R328" t="s">
        <v>248</v>
      </c>
      <c r="S328" t="s">
        <v>552</v>
      </c>
      <c r="U328" s="6">
        <v>42125.443888888891</v>
      </c>
      <c r="V328" t="s">
        <v>18</v>
      </c>
      <c r="W328" t="s">
        <v>209</v>
      </c>
      <c r="X328" s="6">
        <v>42045.678368055553</v>
      </c>
      <c r="Y328" t="s">
        <v>122</v>
      </c>
      <c r="AB328" t="s">
        <v>200</v>
      </c>
      <c r="AC328" t="s">
        <v>121</v>
      </c>
      <c r="AD328" t="s">
        <v>220</v>
      </c>
      <c r="AE328" t="s">
        <v>219</v>
      </c>
      <c r="AG328" t="s">
        <v>121</v>
      </c>
      <c r="AH328" t="s">
        <v>327</v>
      </c>
      <c r="AI328" t="s">
        <v>121</v>
      </c>
      <c r="AJ328" t="s">
        <v>716</v>
      </c>
      <c r="AK328" t="s">
        <v>121</v>
      </c>
    </row>
    <row r="329" spans="9:37" x14ac:dyDescent="0.3">
      <c r="I329">
        <f ca="1">IF(OR(INDIRECT(A73&amp;ROW())=B93,INDIRECT(A73&amp;ROW())=B94),1,IF(AND(INDIRECT(A73&amp;ROW())=B95,INDIRECT(A96&amp;ROW())=C93),1,IF(AND(INDIRECT(A73&amp;ROW())=B95,INDIRECT(A96&amp;ROW())=C94),1,0)))</f>
        <v>0</v>
      </c>
      <c r="J329">
        <f ca="1">IF(AND(INDIRECT(A73&amp;ROW())=B95,INDIRECT(A96&amp;ROW())=C95),1,IF(AND(INDIRECT(A73&amp;ROW())=B95,INDIRECT(A96&amp;ROW())=C96),1,0))</f>
        <v>0</v>
      </c>
      <c r="K329">
        <f ca="1">DAYS360(INDIRECT(C68&amp;ROW()),TODAY())</f>
        <v>721</v>
      </c>
      <c r="L329">
        <f ca="1">DAYS360(INDIRECT(C69&amp;ROW()),TODAY())</f>
        <v>802</v>
      </c>
      <c r="M329">
        <f ca="1">HYPERLINK(CONCATENATE("https://bugzilla.houston.hp.com:1181/bugzilla/show_bug.cgi?id=",INDIRECT(C70&amp;ROW())),INDIRECT(C70&amp;ROW()))</f>
        <v>56926</v>
      </c>
      <c r="N329">
        <v>56926</v>
      </c>
      <c r="O329" t="s">
        <v>56</v>
      </c>
      <c r="P329" t="s">
        <v>643</v>
      </c>
      <c r="Q329" t="s">
        <v>16</v>
      </c>
      <c r="R329" t="s">
        <v>248</v>
      </c>
      <c r="S329" t="s">
        <v>552</v>
      </c>
      <c r="U329" s="6">
        <v>42125.447511574072</v>
      </c>
      <c r="V329" t="s">
        <v>18</v>
      </c>
      <c r="W329" t="s">
        <v>343</v>
      </c>
      <c r="X329" s="6">
        <v>42045.679282407407</v>
      </c>
      <c r="Y329" t="s">
        <v>122</v>
      </c>
      <c r="AB329" t="s">
        <v>200</v>
      </c>
      <c r="AC329" t="s">
        <v>247</v>
      </c>
      <c r="AD329" t="s">
        <v>220</v>
      </c>
      <c r="AE329" t="s">
        <v>219</v>
      </c>
      <c r="AG329" t="s">
        <v>121</v>
      </c>
      <c r="AH329" t="s">
        <v>64</v>
      </c>
      <c r="AI329" t="s">
        <v>121</v>
      </c>
      <c r="AJ329" t="s">
        <v>716</v>
      </c>
      <c r="AK329" t="s">
        <v>121</v>
      </c>
    </row>
    <row r="330" spans="9:37" x14ac:dyDescent="0.3">
      <c r="I330">
        <f ca="1">IF(OR(INDIRECT(A73&amp;ROW())=B93,INDIRECT(A73&amp;ROW())=B94),1,IF(AND(INDIRECT(A73&amp;ROW())=B95,INDIRECT(A96&amp;ROW())=C93),1,IF(AND(INDIRECT(A73&amp;ROW())=B95,INDIRECT(A96&amp;ROW())=C94),1,0)))</f>
        <v>0</v>
      </c>
      <c r="J330">
        <f ca="1">IF(AND(INDIRECT(A73&amp;ROW())=B95,INDIRECT(A96&amp;ROW())=C95),1,IF(AND(INDIRECT(A73&amp;ROW())=B95,INDIRECT(A96&amp;ROW())=C96),1,0))</f>
        <v>0</v>
      </c>
      <c r="K330">
        <f ca="1">DAYS360(INDIRECT(C68&amp;ROW()),TODAY())</f>
        <v>802</v>
      </c>
      <c r="L330">
        <f ca="1">DAYS360(INDIRECT(C69&amp;ROW()),TODAY())</f>
        <v>802</v>
      </c>
      <c r="M330">
        <f ca="1">HYPERLINK(CONCATENATE("https://bugzilla.houston.hp.com:1181/bugzilla/show_bug.cgi?id=",INDIRECT(C70&amp;ROW())),INDIRECT(C70&amp;ROW()))</f>
        <v>56927</v>
      </c>
      <c r="N330">
        <v>56927</v>
      </c>
      <c r="O330" t="s">
        <v>56</v>
      </c>
      <c r="P330" t="s">
        <v>642</v>
      </c>
      <c r="Q330" t="s">
        <v>16</v>
      </c>
      <c r="R330" t="s">
        <v>248</v>
      </c>
      <c r="S330" t="s">
        <v>552</v>
      </c>
      <c r="U330" s="6">
        <v>42045.680243055554</v>
      </c>
      <c r="V330" t="s">
        <v>18</v>
      </c>
      <c r="W330" t="s">
        <v>288</v>
      </c>
      <c r="X330" s="6">
        <v>42045.679618055554</v>
      </c>
      <c r="Y330" t="s">
        <v>787</v>
      </c>
      <c r="AB330" t="s">
        <v>201</v>
      </c>
      <c r="AC330" t="s">
        <v>247</v>
      </c>
      <c r="AD330" t="s">
        <v>220</v>
      </c>
      <c r="AE330" t="s">
        <v>219</v>
      </c>
      <c r="AG330" t="s">
        <v>121</v>
      </c>
      <c r="AH330" t="s">
        <v>327</v>
      </c>
      <c r="AI330" t="s">
        <v>121</v>
      </c>
      <c r="AJ330" t="s">
        <v>717</v>
      </c>
      <c r="AK330" t="s">
        <v>121</v>
      </c>
    </row>
    <row r="331" spans="9:37" x14ac:dyDescent="0.3">
      <c r="I331">
        <f ca="1">IF(OR(INDIRECT(A73&amp;ROW())=B93,INDIRECT(A73&amp;ROW())=B94),1,IF(AND(INDIRECT(A73&amp;ROW())=B95,INDIRECT(A96&amp;ROW())=C93),1,IF(AND(INDIRECT(A73&amp;ROW())=B95,INDIRECT(A96&amp;ROW())=C94),1,0)))</f>
        <v>0</v>
      </c>
      <c r="J331">
        <f ca="1">IF(AND(INDIRECT(A73&amp;ROW())=B95,INDIRECT(A96&amp;ROW())=C95),1,IF(AND(INDIRECT(A73&amp;ROW())=B95,INDIRECT(A96&amp;ROW())=C96),1,0))</f>
        <v>0</v>
      </c>
      <c r="K331">
        <f ca="1">DAYS360(INDIRECT(C68&amp;ROW()),TODAY())</f>
        <v>721</v>
      </c>
      <c r="L331">
        <f ca="1">DAYS360(INDIRECT(C69&amp;ROW()),TODAY())</f>
        <v>802</v>
      </c>
      <c r="M331">
        <f ca="1">HYPERLINK(CONCATENATE("https://bugzilla.houston.hp.com:1181/bugzilla/show_bug.cgi?id=",INDIRECT(C70&amp;ROW())),INDIRECT(C70&amp;ROW()))</f>
        <v>56928</v>
      </c>
      <c r="N331">
        <v>56928</v>
      </c>
      <c r="O331" t="s">
        <v>56</v>
      </c>
      <c r="P331" t="s">
        <v>641</v>
      </c>
      <c r="Q331" t="s">
        <v>16</v>
      </c>
      <c r="R331" t="s">
        <v>248</v>
      </c>
      <c r="S331" t="s">
        <v>552</v>
      </c>
      <c r="U331" s="6">
        <v>42125.442418981482</v>
      </c>
      <c r="V331" t="s">
        <v>18</v>
      </c>
      <c r="W331" t="s">
        <v>89</v>
      </c>
      <c r="X331" s="6">
        <v>42045.680694444447</v>
      </c>
      <c r="Y331" t="s">
        <v>122</v>
      </c>
      <c r="AB331" t="s">
        <v>201</v>
      </c>
      <c r="AC331" t="s">
        <v>121</v>
      </c>
      <c r="AD331" t="s">
        <v>220</v>
      </c>
      <c r="AE331" t="s">
        <v>219</v>
      </c>
      <c r="AG331" t="s">
        <v>121</v>
      </c>
      <c r="AH331" t="s">
        <v>327</v>
      </c>
      <c r="AI331" t="s">
        <v>121</v>
      </c>
      <c r="AJ331" t="s">
        <v>717</v>
      </c>
      <c r="AK331" t="s">
        <v>121</v>
      </c>
    </row>
    <row r="332" spans="9:37" x14ac:dyDescent="0.3">
      <c r="I332">
        <f ca="1">IF(OR(INDIRECT(A73&amp;ROW())=B93,INDIRECT(A73&amp;ROW())=B94),1,IF(AND(INDIRECT(A73&amp;ROW())=B95,INDIRECT(A96&amp;ROW())=C93),1,IF(AND(INDIRECT(A73&amp;ROW())=B95,INDIRECT(A96&amp;ROW())=C94),1,0)))</f>
        <v>0</v>
      </c>
      <c r="J332">
        <f ca="1">IF(AND(INDIRECT(A73&amp;ROW())=B95,INDIRECT(A96&amp;ROW())=C95),1,IF(AND(INDIRECT(A73&amp;ROW())=B95,INDIRECT(A96&amp;ROW())=C96),1,0))</f>
        <v>0</v>
      </c>
      <c r="K332">
        <f ca="1">DAYS360(INDIRECT(C68&amp;ROW()),TODAY())</f>
        <v>721</v>
      </c>
      <c r="L332">
        <f ca="1">DAYS360(INDIRECT(C69&amp;ROW()),TODAY())</f>
        <v>802</v>
      </c>
      <c r="M332">
        <f ca="1">HYPERLINK(CONCATENATE("https://bugzilla.houston.hp.com:1181/bugzilla/show_bug.cgi?id=",INDIRECT(C70&amp;ROW())),INDIRECT(C70&amp;ROW()))</f>
        <v>56929</v>
      </c>
      <c r="N332">
        <v>56929</v>
      </c>
      <c r="O332" t="s">
        <v>36</v>
      </c>
      <c r="P332" t="s">
        <v>640</v>
      </c>
      <c r="Q332" t="s">
        <v>16</v>
      </c>
      <c r="R332" t="s">
        <v>248</v>
      </c>
      <c r="S332" t="s">
        <v>552</v>
      </c>
      <c r="U332" s="6">
        <v>42125.442106481481</v>
      </c>
      <c r="V332" t="s">
        <v>18</v>
      </c>
      <c r="W332" t="s">
        <v>206</v>
      </c>
      <c r="X332" s="6">
        <v>42045.681006944447</v>
      </c>
      <c r="Y332" t="s">
        <v>122</v>
      </c>
      <c r="AB332" t="s">
        <v>199</v>
      </c>
      <c r="AC332" t="s">
        <v>121</v>
      </c>
      <c r="AD332" t="s">
        <v>222</v>
      </c>
      <c r="AE332" t="s">
        <v>233</v>
      </c>
      <c r="AG332" t="s">
        <v>121</v>
      </c>
      <c r="AH332" t="s">
        <v>327</v>
      </c>
      <c r="AI332" t="s">
        <v>121</v>
      </c>
      <c r="AJ332" t="s">
        <v>716</v>
      </c>
      <c r="AK332" t="s">
        <v>121</v>
      </c>
    </row>
    <row r="333" spans="9:37" x14ac:dyDescent="0.3">
      <c r="I333">
        <f ca="1">IF(OR(INDIRECT(A73&amp;ROW())=B93,INDIRECT(A73&amp;ROW())=B94),1,IF(AND(INDIRECT(A73&amp;ROW())=B95,INDIRECT(A96&amp;ROW())=C93),1,IF(AND(INDIRECT(A73&amp;ROW())=B95,INDIRECT(A96&amp;ROW())=C94),1,0)))</f>
        <v>0</v>
      </c>
      <c r="J333">
        <f ca="1">IF(AND(INDIRECT(A73&amp;ROW())=B95,INDIRECT(A96&amp;ROW())=C95),1,IF(AND(INDIRECT(A73&amp;ROW())=B95,INDIRECT(A96&amp;ROW())=C96),1,0))</f>
        <v>0</v>
      </c>
      <c r="K333">
        <f ca="1">DAYS360(INDIRECT(C68&amp;ROW()),TODAY())</f>
        <v>802</v>
      </c>
      <c r="L333">
        <f ca="1">DAYS360(INDIRECT(C69&amp;ROW()),TODAY())</f>
        <v>802</v>
      </c>
      <c r="M333">
        <f ca="1">HYPERLINK(CONCATENATE("https://bugzilla.houston.hp.com:1181/bugzilla/show_bug.cgi?id=",INDIRECT(C70&amp;ROW())),INDIRECT(C70&amp;ROW()))</f>
        <v>56930</v>
      </c>
      <c r="N333">
        <v>56930</v>
      </c>
      <c r="O333" t="s">
        <v>56</v>
      </c>
      <c r="P333" t="s">
        <v>639</v>
      </c>
      <c r="Q333" t="s">
        <v>16</v>
      </c>
      <c r="R333" t="s">
        <v>248</v>
      </c>
      <c r="S333" t="s">
        <v>552</v>
      </c>
      <c r="U333" s="6">
        <v>42045.682615740741</v>
      </c>
      <c r="V333" t="s">
        <v>18</v>
      </c>
      <c r="W333" t="s">
        <v>205</v>
      </c>
      <c r="X333" s="6">
        <v>42045.68204861111</v>
      </c>
      <c r="Y333" t="s">
        <v>245</v>
      </c>
      <c r="AB333" t="s">
        <v>201</v>
      </c>
      <c r="AC333" t="s">
        <v>121</v>
      </c>
      <c r="AD333" t="s">
        <v>220</v>
      </c>
      <c r="AE333" t="s">
        <v>219</v>
      </c>
      <c r="AG333" t="s">
        <v>121</v>
      </c>
      <c r="AH333" t="s">
        <v>327</v>
      </c>
      <c r="AI333" t="s">
        <v>121</v>
      </c>
      <c r="AJ333" t="s">
        <v>717</v>
      </c>
      <c r="AK333" t="s">
        <v>121</v>
      </c>
    </row>
    <row r="334" spans="9:37" x14ac:dyDescent="0.3">
      <c r="I334">
        <f ca="1">IF(OR(INDIRECT(A73&amp;ROW())=B93,INDIRECT(A73&amp;ROW())=B94),1,IF(AND(INDIRECT(A73&amp;ROW())=B95,INDIRECT(A96&amp;ROW())=C93),1,IF(AND(INDIRECT(A73&amp;ROW())=B95,INDIRECT(A96&amp;ROW())=C94),1,0)))</f>
        <v>0</v>
      </c>
      <c r="J334">
        <f ca="1">IF(AND(INDIRECT(A73&amp;ROW())=B95,INDIRECT(A96&amp;ROW())=C95),1,IF(AND(INDIRECT(A73&amp;ROW())=B95,INDIRECT(A96&amp;ROW())=C96),1,0))</f>
        <v>0</v>
      </c>
      <c r="K334">
        <f ca="1">DAYS360(INDIRECT(C68&amp;ROW()),TODAY())</f>
        <v>731</v>
      </c>
      <c r="L334">
        <f ca="1">DAYS360(INDIRECT(C69&amp;ROW()),TODAY())</f>
        <v>802</v>
      </c>
      <c r="M334">
        <f ca="1">HYPERLINK(CONCATENATE("https://bugzilla.houston.hp.com:1181/bugzilla/show_bug.cgi?id=",INDIRECT(C70&amp;ROW())),INDIRECT(C70&amp;ROW()))</f>
        <v>56931</v>
      </c>
      <c r="N334">
        <v>56931</v>
      </c>
      <c r="O334" t="s">
        <v>56</v>
      </c>
      <c r="P334" t="s">
        <v>974</v>
      </c>
      <c r="Q334" t="s">
        <v>16</v>
      </c>
      <c r="R334" t="s">
        <v>783</v>
      </c>
      <c r="S334" t="s">
        <v>552</v>
      </c>
      <c r="U334" s="6">
        <v>42115.828506944446</v>
      </c>
      <c r="V334" t="s">
        <v>18</v>
      </c>
      <c r="W334" t="s">
        <v>340</v>
      </c>
      <c r="X334" s="6">
        <v>42045.684733796297</v>
      </c>
      <c r="Y334" t="s">
        <v>122</v>
      </c>
      <c r="AB334" t="s">
        <v>200</v>
      </c>
      <c r="AC334" t="s">
        <v>247</v>
      </c>
      <c r="AD334" t="s">
        <v>220</v>
      </c>
      <c r="AE334" t="s">
        <v>219</v>
      </c>
      <c r="AG334" t="s">
        <v>121</v>
      </c>
      <c r="AH334" t="s">
        <v>64</v>
      </c>
      <c r="AI334" t="s">
        <v>121</v>
      </c>
      <c r="AJ334" t="s">
        <v>716</v>
      </c>
      <c r="AK334" t="s">
        <v>121</v>
      </c>
    </row>
    <row r="335" spans="9:37" x14ac:dyDescent="0.3">
      <c r="I335">
        <f ca="1">IF(OR(INDIRECT(A73&amp;ROW())=B93,INDIRECT(A73&amp;ROW())=B94),1,IF(AND(INDIRECT(A73&amp;ROW())=B95,INDIRECT(A96&amp;ROW())=C93),1,IF(AND(INDIRECT(A73&amp;ROW())=B95,INDIRECT(A96&amp;ROW())=C94),1,0)))</f>
        <v>0</v>
      </c>
      <c r="J335">
        <f ca="1">IF(AND(INDIRECT(A73&amp;ROW())=B95,INDIRECT(A96&amp;ROW())=C95),1,IF(AND(INDIRECT(A73&amp;ROW())=B95,INDIRECT(A96&amp;ROW())=C96),1,0))</f>
        <v>0</v>
      </c>
      <c r="K335">
        <f ca="1">DAYS360(INDIRECT(C68&amp;ROW()),TODAY())</f>
        <v>802</v>
      </c>
      <c r="L335">
        <f ca="1">DAYS360(INDIRECT(C69&amp;ROW()),TODAY())</f>
        <v>802</v>
      </c>
      <c r="M335">
        <f ca="1">HYPERLINK(CONCATENATE("https://bugzilla.houston.hp.com:1181/bugzilla/show_bug.cgi?id=",INDIRECT(C70&amp;ROW())),INDIRECT(C70&amp;ROW()))</f>
        <v>56932</v>
      </c>
      <c r="N335">
        <v>56932</v>
      </c>
      <c r="O335" t="s">
        <v>36</v>
      </c>
      <c r="P335" t="s">
        <v>637</v>
      </c>
      <c r="Q335" t="s">
        <v>16</v>
      </c>
      <c r="R335" t="s">
        <v>248</v>
      </c>
      <c r="S335" t="s">
        <v>552</v>
      </c>
      <c r="U335" s="6">
        <v>42045.685949074075</v>
      </c>
      <c r="V335" t="s">
        <v>18</v>
      </c>
      <c r="W335" t="s">
        <v>339</v>
      </c>
      <c r="X335" s="6">
        <v>42045.685069444444</v>
      </c>
      <c r="Y335" t="s">
        <v>342</v>
      </c>
      <c r="AB335" t="s">
        <v>201</v>
      </c>
      <c r="AC335" t="s">
        <v>217</v>
      </c>
      <c r="AD335" t="s">
        <v>222</v>
      </c>
      <c r="AE335" t="s">
        <v>225</v>
      </c>
      <c r="AG335" t="s">
        <v>121</v>
      </c>
      <c r="AH335" t="s">
        <v>327</v>
      </c>
      <c r="AI335" t="s">
        <v>121</v>
      </c>
      <c r="AJ335" t="s">
        <v>717</v>
      </c>
      <c r="AK335" t="s">
        <v>121</v>
      </c>
    </row>
    <row r="336" spans="9:37" x14ac:dyDescent="0.3">
      <c r="I336">
        <f ca="1">IF(OR(INDIRECT(A73&amp;ROW())=B93,INDIRECT(A73&amp;ROW())=B94),1,IF(AND(INDIRECT(A73&amp;ROW())=B95,INDIRECT(A96&amp;ROW())=C93),1,IF(AND(INDIRECT(A73&amp;ROW())=B95,INDIRECT(A96&amp;ROW())=C94),1,0)))</f>
        <v>0</v>
      </c>
      <c r="J336">
        <f ca="1">IF(AND(INDIRECT(A73&amp;ROW())=B95,INDIRECT(A96&amp;ROW())=C95),1,IF(AND(INDIRECT(A73&amp;ROW())=B95,INDIRECT(A96&amp;ROW())=C96),1,0))</f>
        <v>0</v>
      </c>
      <c r="K336">
        <f ca="1">DAYS360(INDIRECT(C68&amp;ROW()),TODAY())</f>
        <v>731</v>
      </c>
      <c r="L336">
        <f ca="1">DAYS360(INDIRECT(C69&amp;ROW()),TODAY())</f>
        <v>802</v>
      </c>
      <c r="M336">
        <f ca="1">HYPERLINK(CONCATENATE("https://bugzilla.houston.hp.com:1181/bugzilla/show_bug.cgi?id=",INDIRECT(C70&amp;ROW())),INDIRECT(C70&amp;ROW()))</f>
        <v>56933</v>
      </c>
      <c r="N336">
        <v>56933</v>
      </c>
      <c r="O336" t="s">
        <v>36</v>
      </c>
      <c r="P336" t="s">
        <v>973</v>
      </c>
      <c r="Q336" t="s">
        <v>16</v>
      </c>
      <c r="R336" t="s">
        <v>783</v>
      </c>
      <c r="S336" t="s">
        <v>552</v>
      </c>
      <c r="U336" s="6">
        <v>42115.825787037036</v>
      </c>
      <c r="V336" t="s">
        <v>18</v>
      </c>
      <c r="W336" t="s">
        <v>256</v>
      </c>
      <c r="X336" s="6">
        <v>42045.685358796298</v>
      </c>
      <c r="Y336" t="s">
        <v>123</v>
      </c>
      <c r="AB336" t="s">
        <v>200</v>
      </c>
      <c r="AC336" t="s">
        <v>247</v>
      </c>
      <c r="AD336" t="s">
        <v>227</v>
      </c>
      <c r="AE336" t="s">
        <v>226</v>
      </c>
      <c r="AG336" t="s">
        <v>121</v>
      </c>
      <c r="AH336" t="s">
        <v>64</v>
      </c>
      <c r="AI336" t="s">
        <v>121</v>
      </c>
      <c r="AJ336" t="s">
        <v>716</v>
      </c>
      <c r="AK336" t="s">
        <v>121</v>
      </c>
    </row>
    <row r="337" spans="9:37" x14ac:dyDescent="0.3">
      <c r="I337">
        <f ca="1">IF(OR(INDIRECT(A73&amp;ROW())=B93,INDIRECT(A73&amp;ROW())=B94),1,IF(AND(INDIRECT(A73&amp;ROW())=B95,INDIRECT(A96&amp;ROW())=C93),1,IF(AND(INDIRECT(A73&amp;ROW())=B95,INDIRECT(A96&amp;ROW())=C94),1,0)))</f>
        <v>0</v>
      </c>
      <c r="J337">
        <f ca="1">IF(AND(INDIRECT(A73&amp;ROW())=B95,INDIRECT(A96&amp;ROW())=C95),1,IF(AND(INDIRECT(A73&amp;ROW())=B95,INDIRECT(A96&amp;ROW())=C96),1,0))</f>
        <v>0</v>
      </c>
      <c r="K337">
        <f ca="1">DAYS360(INDIRECT(C68&amp;ROW()),TODAY())</f>
        <v>731</v>
      </c>
      <c r="L337">
        <f ca="1">DAYS360(INDIRECT(C69&amp;ROW()),TODAY())</f>
        <v>802</v>
      </c>
      <c r="M337">
        <f ca="1">HYPERLINK(CONCATENATE("https://bugzilla.houston.hp.com:1181/bugzilla/show_bug.cgi?id=",INDIRECT(C70&amp;ROW())),INDIRECT(C70&amp;ROW()))</f>
        <v>56935</v>
      </c>
      <c r="N337">
        <v>56935</v>
      </c>
      <c r="O337" t="s">
        <v>56</v>
      </c>
      <c r="P337" t="s">
        <v>972</v>
      </c>
      <c r="Q337" t="s">
        <v>16</v>
      </c>
      <c r="R337" t="s">
        <v>783</v>
      </c>
      <c r="S337" t="s">
        <v>552</v>
      </c>
      <c r="U337" s="6">
        <v>42115.900138888886</v>
      </c>
      <c r="V337" t="s">
        <v>18</v>
      </c>
      <c r="W337" t="s">
        <v>17</v>
      </c>
      <c r="X337" s="6">
        <v>42045.687013888892</v>
      </c>
      <c r="Y337" t="s">
        <v>371</v>
      </c>
      <c r="AB337" t="s">
        <v>199</v>
      </c>
      <c r="AC337" t="s">
        <v>247</v>
      </c>
      <c r="AD337" t="s">
        <v>220</v>
      </c>
      <c r="AE337" t="s">
        <v>219</v>
      </c>
      <c r="AG337" t="s">
        <v>121</v>
      </c>
      <c r="AH337" t="s">
        <v>327</v>
      </c>
      <c r="AI337" t="s">
        <v>121</v>
      </c>
      <c r="AJ337" t="s">
        <v>716</v>
      </c>
      <c r="AK337" t="s">
        <v>121</v>
      </c>
    </row>
    <row r="338" spans="9:37" x14ac:dyDescent="0.3">
      <c r="I338">
        <f ca="1">IF(OR(INDIRECT(A73&amp;ROW())=B93,INDIRECT(A73&amp;ROW())=B94),1,IF(AND(INDIRECT(A73&amp;ROW())=B95,INDIRECT(A96&amp;ROW())=C93),1,IF(AND(INDIRECT(A73&amp;ROW())=B95,INDIRECT(A96&amp;ROW())=C94),1,0)))</f>
        <v>0</v>
      </c>
      <c r="J338">
        <f ca="1">IF(AND(INDIRECT(A73&amp;ROW())=B95,INDIRECT(A96&amp;ROW())=C95),1,IF(AND(INDIRECT(A73&amp;ROW())=B95,INDIRECT(A96&amp;ROW())=C96),1,0))</f>
        <v>0</v>
      </c>
      <c r="K338">
        <f ca="1">DAYS360(INDIRECT(C68&amp;ROW()),TODAY())</f>
        <v>721</v>
      </c>
      <c r="L338">
        <f ca="1">DAYS360(INDIRECT(C69&amp;ROW()),TODAY())</f>
        <v>802</v>
      </c>
      <c r="M338">
        <f ca="1">HYPERLINK(CONCATENATE("https://bugzilla.houston.hp.com:1181/bugzilla/show_bug.cgi?id=",INDIRECT(C70&amp;ROW())),INDIRECT(C70&amp;ROW()))</f>
        <v>56936</v>
      </c>
      <c r="N338">
        <v>56936</v>
      </c>
      <c r="O338" t="s">
        <v>56</v>
      </c>
      <c r="P338" t="s">
        <v>634</v>
      </c>
      <c r="Q338" t="s">
        <v>16</v>
      </c>
      <c r="R338" t="s">
        <v>248</v>
      </c>
      <c r="S338" t="s">
        <v>552</v>
      </c>
      <c r="U338" s="6">
        <v>42125.443796296298</v>
      </c>
      <c r="V338" t="s">
        <v>18</v>
      </c>
      <c r="W338" t="s">
        <v>211</v>
      </c>
      <c r="X338" s="6">
        <v>42045.687418981484</v>
      </c>
      <c r="Y338" t="s">
        <v>122</v>
      </c>
      <c r="AB338" t="s">
        <v>201</v>
      </c>
      <c r="AC338" t="s">
        <v>121</v>
      </c>
      <c r="AD338" t="s">
        <v>220</v>
      </c>
      <c r="AE338" t="s">
        <v>219</v>
      </c>
      <c r="AG338" t="s">
        <v>121</v>
      </c>
      <c r="AH338" t="s">
        <v>64</v>
      </c>
      <c r="AI338" t="s">
        <v>121</v>
      </c>
      <c r="AJ338" t="s">
        <v>717</v>
      </c>
      <c r="AK338" t="s">
        <v>121</v>
      </c>
    </row>
    <row r="339" spans="9:37" x14ac:dyDescent="0.3">
      <c r="I339">
        <f ca="1">IF(OR(INDIRECT(A73&amp;ROW())=B93,INDIRECT(A73&amp;ROW())=B94),1,IF(AND(INDIRECT(A73&amp;ROW())=B95,INDIRECT(A96&amp;ROW())=C93),1,IF(AND(INDIRECT(A73&amp;ROW())=B95,INDIRECT(A96&amp;ROW())=C94),1,0)))</f>
        <v>0</v>
      </c>
      <c r="J339">
        <f ca="1">IF(AND(INDIRECT(A73&amp;ROW())=B95,INDIRECT(A96&amp;ROW())=C95),1,IF(AND(INDIRECT(A73&amp;ROW())=B95,INDIRECT(A96&amp;ROW())=C96),1,0))</f>
        <v>0</v>
      </c>
      <c r="K339">
        <f ca="1">DAYS360(INDIRECT(C68&amp;ROW()),TODAY())</f>
        <v>721</v>
      </c>
      <c r="L339">
        <f ca="1">DAYS360(INDIRECT(C69&amp;ROW()),TODAY())</f>
        <v>802</v>
      </c>
      <c r="M339">
        <f ca="1">HYPERLINK(CONCATENATE("https://bugzilla.houston.hp.com:1181/bugzilla/show_bug.cgi?id=",INDIRECT(C70&amp;ROW())),INDIRECT(C70&amp;ROW()))</f>
        <v>56937</v>
      </c>
      <c r="N339">
        <v>56937</v>
      </c>
      <c r="O339" t="s">
        <v>36</v>
      </c>
      <c r="P339" t="s">
        <v>633</v>
      </c>
      <c r="Q339" t="s">
        <v>16</v>
      </c>
      <c r="R339" t="s">
        <v>248</v>
      </c>
      <c r="S339" t="s">
        <v>552</v>
      </c>
      <c r="U339" s="6">
        <v>42125.447685185187</v>
      </c>
      <c r="V339" t="s">
        <v>18</v>
      </c>
      <c r="W339" t="s">
        <v>17</v>
      </c>
      <c r="X339" s="6">
        <v>42045.688657407409</v>
      </c>
      <c r="Y339" t="s">
        <v>122</v>
      </c>
      <c r="AB339" t="s">
        <v>201</v>
      </c>
      <c r="AC339" t="s">
        <v>247</v>
      </c>
      <c r="AD339" t="s">
        <v>220</v>
      </c>
      <c r="AE339" t="s">
        <v>223</v>
      </c>
      <c r="AG339" t="s">
        <v>121</v>
      </c>
      <c r="AH339" t="s">
        <v>64</v>
      </c>
      <c r="AI339" t="s">
        <v>121</v>
      </c>
      <c r="AJ339" t="s">
        <v>717</v>
      </c>
      <c r="AK339" t="s">
        <v>121</v>
      </c>
    </row>
    <row r="340" spans="9:37" x14ac:dyDescent="0.3">
      <c r="I340">
        <f ca="1">IF(OR(INDIRECT(A73&amp;ROW())=B93,INDIRECT(A73&amp;ROW())=B94),1,IF(AND(INDIRECT(A73&amp;ROW())=B95,INDIRECT(A96&amp;ROW())=C93),1,IF(AND(INDIRECT(A73&amp;ROW())=B95,INDIRECT(A96&amp;ROW())=C94),1,0)))</f>
        <v>0</v>
      </c>
      <c r="J340">
        <f ca="1">IF(AND(INDIRECT(A73&amp;ROW())=B95,INDIRECT(A96&amp;ROW())=C95),1,IF(AND(INDIRECT(A73&amp;ROW())=B95,INDIRECT(A96&amp;ROW())=C96),1,0))</f>
        <v>0</v>
      </c>
      <c r="K340">
        <f ca="1">DAYS360(INDIRECT(C68&amp;ROW()),TODAY())</f>
        <v>802</v>
      </c>
      <c r="L340">
        <f ca="1">DAYS360(INDIRECT(C69&amp;ROW()),TODAY())</f>
        <v>802</v>
      </c>
      <c r="M340">
        <f ca="1">HYPERLINK(CONCATENATE("https://bugzilla.houston.hp.com:1181/bugzilla/show_bug.cgi?id=",INDIRECT(C70&amp;ROW())),INDIRECT(C70&amp;ROW()))</f>
        <v>56939</v>
      </c>
      <c r="N340">
        <v>56939</v>
      </c>
      <c r="O340" t="s">
        <v>56</v>
      </c>
      <c r="P340" t="s">
        <v>632</v>
      </c>
      <c r="Q340" t="s">
        <v>16</v>
      </c>
      <c r="R340" t="s">
        <v>248</v>
      </c>
      <c r="S340" t="s">
        <v>552</v>
      </c>
      <c r="U340" s="6">
        <v>42045.701967592591</v>
      </c>
      <c r="V340" t="s">
        <v>18</v>
      </c>
      <c r="W340" t="s">
        <v>343</v>
      </c>
      <c r="X340" s="6">
        <v>42045.701157407406</v>
      </c>
      <c r="Y340" t="s">
        <v>124</v>
      </c>
      <c r="AB340" t="s">
        <v>201</v>
      </c>
      <c r="AC340" t="s">
        <v>247</v>
      </c>
      <c r="AD340" t="s">
        <v>220</v>
      </c>
      <c r="AE340" t="s">
        <v>219</v>
      </c>
      <c r="AG340" t="s">
        <v>121</v>
      </c>
      <c r="AH340" t="s">
        <v>327</v>
      </c>
      <c r="AI340" t="s">
        <v>121</v>
      </c>
      <c r="AJ340" t="s">
        <v>717</v>
      </c>
      <c r="AK340" t="s">
        <v>121</v>
      </c>
    </row>
    <row r="341" spans="9:37" x14ac:dyDescent="0.3">
      <c r="I341">
        <f ca="1">IF(OR(INDIRECT(A73&amp;ROW())=B93,INDIRECT(A73&amp;ROW())=B94),1,IF(AND(INDIRECT(A73&amp;ROW())=B95,INDIRECT(A96&amp;ROW())=C93),1,IF(AND(INDIRECT(A73&amp;ROW())=B95,INDIRECT(A96&amp;ROW())=C94),1,0)))</f>
        <v>0</v>
      </c>
      <c r="J341">
        <f ca="1">IF(AND(INDIRECT(A73&amp;ROW())=B95,INDIRECT(A96&amp;ROW())=C95),1,IF(AND(INDIRECT(A73&amp;ROW())=B95,INDIRECT(A96&amp;ROW())=C96),1,0))</f>
        <v>0</v>
      </c>
      <c r="K341">
        <f ca="1">DAYS360(INDIRECT(C68&amp;ROW()),TODAY())</f>
        <v>802</v>
      </c>
      <c r="L341">
        <f ca="1">DAYS360(INDIRECT(C69&amp;ROW()),TODAY())</f>
        <v>802</v>
      </c>
      <c r="M341">
        <f ca="1">HYPERLINK(CONCATENATE("https://bugzilla.houston.hp.com:1181/bugzilla/show_bug.cgi?id=",INDIRECT(C70&amp;ROW())),INDIRECT(C70&amp;ROW()))</f>
        <v>56940</v>
      </c>
      <c r="N341">
        <v>56940</v>
      </c>
      <c r="O341" t="s">
        <v>36</v>
      </c>
      <c r="P341" t="s">
        <v>631</v>
      </c>
      <c r="Q341" t="s">
        <v>16</v>
      </c>
      <c r="R341" t="s">
        <v>248</v>
      </c>
      <c r="S341" t="s">
        <v>552</v>
      </c>
      <c r="U341" s="6">
        <v>42045.702314814815</v>
      </c>
      <c r="V341" t="s">
        <v>18</v>
      </c>
      <c r="W341" t="s">
        <v>339</v>
      </c>
      <c r="X341" s="6">
        <v>42045.701620370368</v>
      </c>
      <c r="Y341" t="s">
        <v>118</v>
      </c>
      <c r="AB341" t="s">
        <v>201</v>
      </c>
      <c r="AC341" t="s">
        <v>121</v>
      </c>
      <c r="AD341" t="s">
        <v>222</v>
      </c>
      <c r="AE341" t="s">
        <v>240</v>
      </c>
      <c r="AG341" t="s">
        <v>121</v>
      </c>
      <c r="AH341" t="s">
        <v>327</v>
      </c>
      <c r="AI341" t="s">
        <v>121</v>
      </c>
      <c r="AJ341" t="s">
        <v>717</v>
      </c>
      <c r="AK341" t="s">
        <v>121</v>
      </c>
    </row>
    <row r="342" spans="9:37" x14ac:dyDescent="0.3">
      <c r="I342">
        <f ca="1">IF(OR(INDIRECT(A73&amp;ROW())=B93,INDIRECT(A73&amp;ROW())=B94),1,IF(AND(INDIRECT(A73&amp;ROW())=B95,INDIRECT(A96&amp;ROW())=C93),1,IF(AND(INDIRECT(A73&amp;ROW())=B95,INDIRECT(A96&amp;ROW())=C94),1,0)))</f>
        <v>0</v>
      </c>
      <c r="J342">
        <f ca="1">IF(AND(INDIRECT(A73&amp;ROW())=B95,INDIRECT(A96&amp;ROW())=C95),1,IF(AND(INDIRECT(A73&amp;ROW())=B95,INDIRECT(A96&amp;ROW())=C96),1,0))</f>
        <v>0</v>
      </c>
      <c r="K342">
        <f ca="1">DAYS360(INDIRECT(C68&amp;ROW()),TODAY())</f>
        <v>721</v>
      </c>
      <c r="L342">
        <f ca="1">DAYS360(INDIRECT(C69&amp;ROW()),TODAY())</f>
        <v>802</v>
      </c>
      <c r="M342">
        <f ca="1">HYPERLINK(CONCATENATE("https://bugzilla.houston.hp.com:1181/bugzilla/show_bug.cgi?id=",INDIRECT(C70&amp;ROW())),INDIRECT(C70&amp;ROW()))</f>
        <v>56942</v>
      </c>
      <c r="N342">
        <v>56942</v>
      </c>
      <c r="O342" t="s">
        <v>56</v>
      </c>
      <c r="P342" t="s">
        <v>630</v>
      </c>
      <c r="Q342" t="s">
        <v>16</v>
      </c>
      <c r="R342" t="s">
        <v>248</v>
      </c>
      <c r="S342" t="s">
        <v>552</v>
      </c>
      <c r="U342" s="6">
        <v>42125.445092592592</v>
      </c>
      <c r="V342" t="s">
        <v>18</v>
      </c>
      <c r="W342" t="s">
        <v>260</v>
      </c>
      <c r="X342" s="6">
        <v>42045.702800925923</v>
      </c>
      <c r="Y342" t="s">
        <v>122</v>
      </c>
      <c r="AB342" t="s">
        <v>201</v>
      </c>
      <c r="AC342" t="s">
        <v>121</v>
      </c>
      <c r="AD342" t="s">
        <v>220</v>
      </c>
      <c r="AE342" t="s">
        <v>219</v>
      </c>
      <c r="AG342" t="s">
        <v>121</v>
      </c>
      <c r="AH342" t="s">
        <v>327</v>
      </c>
      <c r="AI342" t="s">
        <v>121</v>
      </c>
      <c r="AJ342" t="s">
        <v>717</v>
      </c>
      <c r="AK342" t="s">
        <v>121</v>
      </c>
    </row>
    <row r="343" spans="9:37" x14ac:dyDescent="0.3">
      <c r="I343">
        <f ca="1">IF(OR(INDIRECT(A73&amp;ROW())=B93,INDIRECT(A73&amp;ROW())=B94),1,IF(AND(INDIRECT(A73&amp;ROW())=B95,INDIRECT(A96&amp;ROW())=C93),1,IF(AND(INDIRECT(A73&amp;ROW())=B95,INDIRECT(A96&amp;ROW())=C94),1,0)))</f>
        <v>0</v>
      </c>
      <c r="J343">
        <f ca="1">IF(AND(INDIRECT(A73&amp;ROW())=B95,INDIRECT(A96&amp;ROW())=C95),1,IF(AND(INDIRECT(A73&amp;ROW())=B95,INDIRECT(A96&amp;ROW())=C96),1,0))</f>
        <v>0</v>
      </c>
      <c r="K343">
        <f ca="1">DAYS360(INDIRECT(C68&amp;ROW()),TODAY())</f>
        <v>721</v>
      </c>
      <c r="L343">
        <f ca="1">DAYS360(INDIRECT(C69&amp;ROW()),TODAY())</f>
        <v>802</v>
      </c>
      <c r="M343">
        <f ca="1">HYPERLINK(CONCATENATE("https://bugzilla.houston.hp.com:1181/bugzilla/show_bug.cgi?id=",INDIRECT(C70&amp;ROW())),INDIRECT(C70&amp;ROW()))</f>
        <v>56943</v>
      </c>
      <c r="N343">
        <v>56943</v>
      </c>
      <c r="O343" t="s">
        <v>56</v>
      </c>
      <c r="P343" t="s">
        <v>629</v>
      </c>
      <c r="Q343" t="s">
        <v>16</v>
      </c>
      <c r="R343" t="s">
        <v>248</v>
      </c>
      <c r="S343" t="s">
        <v>552</v>
      </c>
      <c r="U343" s="6">
        <v>42125.446377314816</v>
      </c>
      <c r="V343" t="s">
        <v>18</v>
      </c>
      <c r="W343" t="s">
        <v>288</v>
      </c>
      <c r="X343" s="6">
        <v>42045.703252314815</v>
      </c>
      <c r="Y343" t="s">
        <v>122</v>
      </c>
      <c r="AB343" t="s">
        <v>201</v>
      </c>
      <c r="AC343" t="s">
        <v>247</v>
      </c>
      <c r="AD343" t="s">
        <v>220</v>
      </c>
      <c r="AE343" t="s">
        <v>219</v>
      </c>
      <c r="AG343" t="s">
        <v>121</v>
      </c>
      <c r="AH343" t="s">
        <v>64</v>
      </c>
      <c r="AI343" t="s">
        <v>121</v>
      </c>
      <c r="AJ343" t="s">
        <v>717</v>
      </c>
      <c r="AK343" t="s">
        <v>121</v>
      </c>
    </row>
    <row r="344" spans="9:37" x14ac:dyDescent="0.3">
      <c r="I344">
        <f ca="1">IF(OR(INDIRECT(A73&amp;ROW())=B93,INDIRECT(A73&amp;ROW())=B94),1,IF(AND(INDIRECT(A73&amp;ROW())=B95,INDIRECT(A96&amp;ROW())=C93),1,IF(AND(INDIRECT(A73&amp;ROW())=B95,INDIRECT(A96&amp;ROW())=C94),1,0)))</f>
        <v>0</v>
      </c>
      <c r="J344">
        <f ca="1">IF(AND(INDIRECT(A73&amp;ROW())=B95,INDIRECT(A96&amp;ROW())=C95),1,IF(AND(INDIRECT(A73&amp;ROW())=B95,INDIRECT(A96&amp;ROW())=C96),1,0))</f>
        <v>0</v>
      </c>
      <c r="K344">
        <f ca="1">DAYS360(INDIRECT(C68&amp;ROW()),TODAY())</f>
        <v>721</v>
      </c>
      <c r="L344">
        <f ca="1">DAYS360(INDIRECT(C69&amp;ROW()),TODAY())</f>
        <v>802</v>
      </c>
      <c r="M344">
        <f ca="1">HYPERLINK(CONCATENATE("https://bugzilla.houston.hp.com:1181/bugzilla/show_bug.cgi?id=",INDIRECT(C70&amp;ROW())),INDIRECT(C70&amp;ROW()))</f>
        <v>56946</v>
      </c>
      <c r="N344">
        <v>56946</v>
      </c>
      <c r="O344" t="s">
        <v>56</v>
      </c>
      <c r="P344" t="s">
        <v>628</v>
      </c>
      <c r="Q344" t="s">
        <v>16</v>
      </c>
      <c r="R344" t="s">
        <v>248</v>
      </c>
      <c r="S344" t="s">
        <v>552</v>
      </c>
      <c r="U344" s="6">
        <v>42125.448599537034</v>
      </c>
      <c r="V344" t="s">
        <v>18</v>
      </c>
      <c r="W344" t="s">
        <v>17</v>
      </c>
      <c r="X344" s="6">
        <v>42045.706203703703</v>
      </c>
      <c r="Y344" t="s">
        <v>122</v>
      </c>
      <c r="AB344" t="s">
        <v>201</v>
      </c>
      <c r="AC344" t="s">
        <v>247</v>
      </c>
      <c r="AD344" t="s">
        <v>220</v>
      </c>
      <c r="AE344" t="s">
        <v>219</v>
      </c>
      <c r="AG344" t="s">
        <v>121</v>
      </c>
      <c r="AH344" t="s">
        <v>327</v>
      </c>
      <c r="AI344" t="s">
        <v>121</v>
      </c>
      <c r="AJ344" t="s">
        <v>717</v>
      </c>
      <c r="AK344" t="s">
        <v>121</v>
      </c>
    </row>
    <row r="345" spans="9:37" x14ac:dyDescent="0.3">
      <c r="I345">
        <f ca="1">IF(OR(INDIRECT(A73&amp;ROW())=B93,INDIRECT(A73&amp;ROW())=B94),1,IF(AND(INDIRECT(A73&amp;ROW())=B95,INDIRECT(A96&amp;ROW())=C93),1,IF(AND(INDIRECT(A73&amp;ROW())=B95,INDIRECT(A96&amp;ROW())=C94),1,0)))</f>
        <v>0</v>
      </c>
      <c r="J345">
        <f ca="1">IF(AND(INDIRECT(A73&amp;ROW())=B95,INDIRECT(A96&amp;ROW())=C95),1,IF(AND(INDIRECT(A73&amp;ROW())=B95,INDIRECT(A96&amp;ROW())=C96),1,0))</f>
        <v>0</v>
      </c>
      <c r="K345">
        <f ca="1">DAYS360(INDIRECT(C68&amp;ROW()),TODAY())</f>
        <v>802</v>
      </c>
      <c r="L345">
        <f ca="1">DAYS360(INDIRECT(C69&amp;ROW()),TODAY())</f>
        <v>802</v>
      </c>
      <c r="M345">
        <f ca="1">HYPERLINK(CONCATENATE("https://bugzilla.houston.hp.com:1181/bugzilla/show_bug.cgi?id=",INDIRECT(C70&amp;ROW())),INDIRECT(C70&amp;ROW()))</f>
        <v>56947</v>
      </c>
      <c r="N345">
        <v>56947</v>
      </c>
      <c r="O345" t="s">
        <v>36</v>
      </c>
      <c r="P345" t="s">
        <v>627</v>
      </c>
      <c r="Q345" t="s">
        <v>16</v>
      </c>
      <c r="R345" t="s">
        <v>248</v>
      </c>
      <c r="S345" t="s">
        <v>552</v>
      </c>
      <c r="U345" s="6">
        <v>42045.708449074074</v>
      </c>
      <c r="V345" t="s">
        <v>18</v>
      </c>
      <c r="W345" t="s">
        <v>317</v>
      </c>
      <c r="X345" s="6">
        <v>42045.706493055557</v>
      </c>
      <c r="Y345" t="s">
        <v>119</v>
      </c>
      <c r="AB345" t="s">
        <v>201</v>
      </c>
      <c r="AC345" t="s">
        <v>247</v>
      </c>
      <c r="AD345" t="s">
        <v>222</v>
      </c>
      <c r="AE345" t="s">
        <v>240</v>
      </c>
      <c r="AG345" t="s">
        <v>121</v>
      </c>
      <c r="AH345" t="s">
        <v>327</v>
      </c>
      <c r="AI345" t="s">
        <v>121</v>
      </c>
      <c r="AJ345" t="s">
        <v>717</v>
      </c>
      <c r="AK345" t="s">
        <v>121</v>
      </c>
    </row>
    <row r="346" spans="9:37" x14ac:dyDescent="0.3">
      <c r="I346">
        <f ca="1">IF(OR(INDIRECT(A73&amp;ROW())=B93,INDIRECT(A73&amp;ROW())=B94),1,IF(AND(INDIRECT(A73&amp;ROW())=B95,INDIRECT(A96&amp;ROW())=C93),1,IF(AND(INDIRECT(A73&amp;ROW())=B95,INDIRECT(A96&amp;ROW())=C94),1,0)))</f>
        <v>0</v>
      </c>
      <c r="J346">
        <f ca="1">IF(AND(INDIRECT(A73&amp;ROW())=B95,INDIRECT(A96&amp;ROW())=C95),1,IF(AND(INDIRECT(A73&amp;ROW())=B95,INDIRECT(A96&amp;ROW())=C96),1,0))</f>
        <v>0</v>
      </c>
      <c r="K346">
        <f ca="1">DAYS360(INDIRECT(C68&amp;ROW()),TODAY())</f>
        <v>731</v>
      </c>
      <c r="L346">
        <f ca="1">DAYS360(INDIRECT(C69&amp;ROW()),TODAY())</f>
        <v>802</v>
      </c>
      <c r="M346">
        <f ca="1">HYPERLINK(CONCATENATE("https://bugzilla.houston.hp.com:1181/bugzilla/show_bug.cgi?id=",INDIRECT(C70&amp;ROW())),INDIRECT(C70&amp;ROW()))</f>
        <v>56948</v>
      </c>
      <c r="N346">
        <v>56948</v>
      </c>
      <c r="O346" t="s">
        <v>36</v>
      </c>
      <c r="P346" t="s">
        <v>971</v>
      </c>
      <c r="Q346" t="s">
        <v>16</v>
      </c>
      <c r="R346" t="s">
        <v>783</v>
      </c>
      <c r="S346" t="s">
        <v>552</v>
      </c>
      <c r="U346" s="6">
        <v>42115.615405092591</v>
      </c>
      <c r="V346" t="s">
        <v>18</v>
      </c>
      <c r="W346" t="s">
        <v>79</v>
      </c>
      <c r="X346" s="6">
        <v>42045.70684027778</v>
      </c>
      <c r="Y346" t="s">
        <v>119</v>
      </c>
      <c r="AB346" t="s">
        <v>200</v>
      </c>
      <c r="AC346" t="s">
        <v>121</v>
      </c>
      <c r="AD346" t="s">
        <v>222</v>
      </c>
      <c r="AE346" t="s">
        <v>225</v>
      </c>
      <c r="AG346" t="s">
        <v>121</v>
      </c>
      <c r="AH346" t="s">
        <v>327</v>
      </c>
      <c r="AI346" t="s">
        <v>121</v>
      </c>
      <c r="AJ346" t="s">
        <v>716</v>
      </c>
      <c r="AK346" t="s">
        <v>121</v>
      </c>
    </row>
    <row r="347" spans="9:37" x14ac:dyDescent="0.3">
      <c r="I347">
        <f ca="1">IF(OR(INDIRECT(A73&amp;ROW())=B93,INDIRECT(A73&amp;ROW())=B94),1,IF(AND(INDIRECT(A73&amp;ROW())=B95,INDIRECT(A96&amp;ROW())=C93),1,IF(AND(INDIRECT(A73&amp;ROW())=B95,INDIRECT(A96&amp;ROW())=C94),1,0)))</f>
        <v>0</v>
      </c>
      <c r="J347">
        <f ca="1">IF(AND(INDIRECT(A73&amp;ROW())=B95,INDIRECT(A96&amp;ROW())=C95),1,IF(AND(INDIRECT(A73&amp;ROW())=B95,INDIRECT(A96&amp;ROW())=C96),1,0))</f>
        <v>0</v>
      </c>
      <c r="K347">
        <f ca="1">DAYS360(INDIRECT(C68&amp;ROW()),TODAY())</f>
        <v>731</v>
      </c>
      <c r="L347">
        <f ca="1">DAYS360(INDIRECT(C69&amp;ROW()),TODAY())</f>
        <v>802</v>
      </c>
      <c r="M347">
        <f ca="1">HYPERLINK(CONCATENATE("https://bugzilla.houston.hp.com:1181/bugzilla/show_bug.cgi?id=",INDIRECT(C70&amp;ROW())),INDIRECT(C70&amp;ROW()))</f>
        <v>56949</v>
      </c>
      <c r="N347">
        <v>56949</v>
      </c>
      <c r="O347" t="s">
        <v>36</v>
      </c>
      <c r="P347" t="s">
        <v>970</v>
      </c>
      <c r="Q347" t="s">
        <v>16</v>
      </c>
      <c r="R347" t="s">
        <v>783</v>
      </c>
      <c r="S347" t="s">
        <v>552</v>
      </c>
      <c r="U347" s="6">
        <v>42115.643750000003</v>
      </c>
      <c r="V347" t="s">
        <v>18</v>
      </c>
      <c r="W347" t="s">
        <v>258</v>
      </c>
      <c r="X347" s="6">
        <v>42045.707291666666</v>
      </c>
      <c r="Y347" t="s">
        <v>120</v>
      </c>
      <c r="AB347" t="s">
        <v>200</v>
      </c>
      <c r="AC347" t="s">
        <v>121</v>
      </c>
      <c r="AD347" t="s">
        <v>222</v>
      </c>
      <c r="AE347" t="s">
        <v>240</v>
      </c>
      <c r="AG347" t="s">
        <v>121</v>
      </c>
      <c r="AH347" t="s">
        <v>64</v>
      </c>
      <c r="AI347" t="s">
        <v>121</v>
      </c>
      <c r="AJ347" t="s">
        <v>716</v>
      </c>
      <c r="AK347" t="s">
        <v>121</v>
      </c>
    </row>
    <row r="348" spans="9:37" x14ac:dyDescent="0.3">
      <c r="I348">
        <f ca="1">IF(OR(INDIRECT(A73&amp;ROW())=B93,INDIRECT(A73&amp;ROW())=B94),1,IF(AND(INDIRECT(A73&amp;ROW())=B95,INDIRECT(A96&amp;ROW())=C93),1,IF(AND(INDIRECT(A73&amp;ROW())=B95,INDIRECT(A96&amp;ROW())=C94),1,0)))</f>
        <v>0</v>
      </c>
      <c r="J348">
        <f ca="1">IF(AND(INDIRECT(A73&amp;ROW())=B95,INDIRECT(A96&amp;ROW())=C95),1,IF(AND(INDIRECT(A73&amp;ROW())=B95,INDIRECT(A96&amp;ROW())=C96),1,0))</f>
        <v>0</v>
      </c>
      <c r="K348">
        <f ca="1">DAYS360(INDIRECT(C68&amp;ROW()),TODAY())</f>
        <v>731</v>
      </c>
      <c r="L348">
        <f ca="1">DAYS360(INDIRECT(C69&amp;ROW()),TODAY())</f>
        <v>802</v>
      </c>
      <c r="M348">
        <f ca="1">HYPERLINK(CONCATENATE("https://bugzilla.houston.hp.com:1181/bugzilla/show_bug.cgi?id=",INDIRECT(C70&amp;ROW())),INDIRECT(C70&amp;ROW()))</f>
        <v>56950</v>
      </c>
      <c r="N348">
        <v>56950</v>
      </c>
      <c r="O348" t="s">
        <v>56</v>
      </c>
      <c r="P348" t="s">
        <v>969</v>
      </c>
      <c r="Q348" t="s">
        <v>16</v>
      </c>
      <c r="R348" t="s">
        <v>783</v>
      </c>
      <c r="S348" t="s">
        <v>552</v>
      </c>
      <c r="U348" s="6">
        <v>42115.831550925926</v>
      </c>
      <c r="V348" t="s">
        <v>18</v>
      </c>
      <c r="W348" t="s">
        <v>260</v>
      </c>
      <c r="X348" s="6">
        <v>42045.707592592589</v>
      </c>
      <c r="Y348" t="s">
        <v>793</v>
      </c>
      <c r="AB348" t="s">
        <v>199</v>
      </c>
      <c r="AC348" t="s">
        <v>247</v>
      </c>
      <c r="AD348" t="s">
        <v>220</v>
      </c>
      <c r="AE348" t="s">
        <v>219</v>
      </c>
      <c r="AG348" t="s">
        <v>121</v>
      </c>
      <c r="AH348" t="s">
        <v>64</v>
      </c>
      <c r="AI348" t="s">
        <v>121</v>
      </c>
      <c r="AJ348" t="s">
        <v>716</v>
      </c>
      <c r="AK348" t="s">
        <v>121</v>
      </c>
    </row>
    <row r="349" spans="9:37" x14ac:dyDescent="0.3">
      <c r="I349">
        <f ca="1">IF(OR(INDIRECT(A73&amp;ROW())=B93,INDIRECT(A73&amp;ROW())=B94),1,IF(AND(INDIRECT(A73&amp;ROW())=B95,INDIRECT(A96&amp;ROW())=C93),1,IF(AND(INDIRECT(A73&amp;ROW())=B95,INDIRECT(A96&amp;ROW())=C94),1,0)))</f>
        <v>0</v>
      </c>
      <c r="J349">
        <f ca="1">IF(AND(INDIRECT(A73&amp;ROW())=B95,INDIRECT(A96&amp;ROW())=C95),1,IF(AND(INDIRECT(A73&amp;ROW())=B95,INDIRECT(A96&amp;ROW())=C96),1,0))</f>
        <v>0</v>
      </c>
      <c r="K349">
        <f ca="1">DAYS360(INDIRECT(C68&amp;ROW()),TODAY())</f>
        <v>731</v>
      </c>
      <c r="L349">
        <f ca="1">DAYS360(INDIRECT(C69&amp;ROW()),TODAY())</f>
        <v>802</v>
      </c>
      <c r="M349">
        <f ca="1">HYPERLINK(CONCATENATE("https://bugzilla.houston.hp.com:1181/bugzilla/show_bug.cgi?id=",INDIRECT(C70&amp;ROW())),INDIRECT(C70&amp;ROW()))</f>
        <v>56951</v>
      </c>
      <c r="N349">
        <v>56951</v>
      </c>
      <c r="O349" t="s">
        <v>56</v>
      </c>
      <c r="P349" t="s">
        <v>968</v>
      </c>
      <c r="Q349" t="s">
        <v>16</v>
      </c>
      <c r="R349" t="s">
        <v>783</v>
      </c>
      <c r="S349" t="s">
        <v>552</v>
      </c>
      <c r="U349" s="6">
        <v>42115.830393518518</v>
      </c>
      <c r="V349" t="s">
        <v>18</v>
      </c>
      <c r="W349" t="s">
        <v>17</v>
      </c>
      <c r="X349" s="6">
        <v>42045.707916666666</v>
      </c>
      <c r="Y349" t="s">
        <v>786</v>
      </c>
      <c r="AB349" t="s">
        <v>200</v>
      </c>
      <c r="AC349" t="s">
        <v>247</v>
      </c>
      <c r="AD349" t="s">
        <v>220</v>
      </c>
      <c r="AE349" t="s">
        <v>219</v>
      </c>
      <c r="AG349" t="s">
        <v>121</v>
      </c>
      <c r="AH349" t="s">
        <v>327</v>
      </c>
      <c r="AI349" t="s">
        <v>121</v>
      </c>
      <c r="AJ349" t="s">
        <v>716</v>
      </c>
      <c r="AK349" t="s">
        <v>121</v>
      </c>
    </row>
    <row r="350" spans="9:37" x14ac:dyDescent="0.3">
      <c r="I350">
        <f ca="1">IF(OR(INDIRECT(A73&amp;ROW())=B93,INDIRECT(A73&amp;ROW())=B94),1,IF(AND(INDIRECT(A73&amp;ROW())=B95,INDIRECT(A96&amp;ROW())=C93),1,IF(AND(INDIRECT(A73&amp;ROW())=B95,INDIRECT(A96&amp;ROW())=C94),1,0)))</f>
        <v>0</v>
      </c>
      <c r="J350">
        <f ca="1">IF(AND(INDIRECT(A73&amp;ROW())=B95,INDIRECT(A96&amp;ROW())=C95),1,IF(AND(INDIRECT(A73&amp;ROW())=B95,INDIRECT(A96&amp;ROW())=C96),1,0))</f>
        <v>0</v>
      </c>
      <c r="K350">
        <f ca="1">DAYS360(INDIRECT(C68&amp;ROW()),TODAY())</f>
        <v>731</v>
      </c>
      <c r="L350">
        <f ca="1">DAYS360(INDIRECT(C69&amp;ROW()),TODAY())</f>
        <v>802</v>
      </c>
      <c r="M350">
        <f ca="1">HYPERLINK(CONCATENATE("https://bugzilla.houston.hp.com:1181/bugzilla/show_bug.cgi?id=",INDIRECT(C70&amp;ROW())),INDIRECT(C70&amp;ROW()))</f>
        <v>56952</v>
      </c>
      <c r="N350">
        <v>56952</v>
      </c>
      <c r="O350" t="s">
        <v>36</v>
      </c>
      <c r="P350" t="s">
        <v>967</v>
      </c>
      <c r="Q350" t="s">
        <v>16</v>
      </c>
      <c r="R350" t="s">
        <v>783</v>
      </c>
      <c r="S350" t="s">
        <v>552</v>
      </c>
      <c r="U350" s="6">
        <v>42115.664293981485</v>
      </c>
      <c r="V350" t="s">
        <v>18</v>
      </c>
      <c r="W350" t="s">
        <v>257</v>
      </c>
      <c r="X350" s="6">
        <v>42045.709467592591</v>
      </c>
      <c r="Y350" t="s">
        <v>122</v>
      </c>
      <c r="AB350" t="s">
        <v>200</v>
      </c>
      <c r="AC350" t="s">
        <v>121</v>
      </c>
      <c r="AD350" t="s">
        <v>227</v>
      </c>
      <c r="AE350" t="s">
        <v>226</v>
      </c>
      <c r="AG350" t="s">
        <v>121</v>
      </c>
      <c r="AH350" t="s">
        <v>64</v>
      </c>
      <c r="AI350" t="s">
        <v>121</v>
      </c>
      <c r="AJ350" t="s">
        <v>716</v>
      </c>
      <c r="AK350" t="s">
        <v>121</v>
      </c>
    </row>
    <row r="351" spans="9:37" x14ac:dyDescent="0.3">
      <c r="I351">
        <f ca="1">IF(OR(INDIRECT(A73&amp;ROW())=B93,INDIRECT(A73&amp;ROW())=B94),1,IF(AND(INDIRECT(A73&amp;ROW())=B95,INDIRECT(A96&amp;ROW())=C93),1,IF(AND(INDIRECT(A73&amp;ROW())=B95,INDIRECT(A96&amp;ROW())=C94),1,0)))</f>
        <v>0</v>
      </c>
      <c r="J351">
        <f ca="1">IF(AND(INDIRECT(A73&amp;ROW())=B95,INDIRECT(A96&amp;ROW())=C95),1,IF(AND(INDIRECT(A73&amp;ROW())=B95,INDIRECT(A96&amp;ROW())=C96),1,0))</f>
        <v>0</v>
      </c>
      <c r="K351">
        <f ca="1">DAYS360(INDIRECT(C68&amp;ROW()),TODAY())</f>
        <v>721</v>
      </c>
      <c r="L351">
        <f ca="1">DAYS360(INDIRECT(C69&amp;ROW()),TODAY())</f>
        <v>802</v>
      </c>
      <c r="M351">
        <f ca="1">HYPERLINK(CONCATENATE("https://bugzilla.houston.hp.com:1181/bugzilla/show_bug.cgi?id=",INDIRECT(C70&amp;ROW())),INDIRECT(C70&amp;ROW()))</f>
        <v>56954</v>
      </c>
      <c r="N351">
        <v>56954</v>
      </c>
      <c r="O351" t="s">
        <v>56</v>
      </c>
      <c r="P351" t="s">
        <v>621</v>
      </c>
      <c r="Q351" t="s">
        <v>16</v>
      </c>
      <c r="R351" t="s">
        <v>248</v>
      </c>
      <c r="S351" t="s">
        <v>552</v>
      </c>
      <c r="U351" s="6">
        <v>42125.450914351852</v>
      </c>
      <c r="V351" t="s">
        <v>18</v>
      </c>
      <c r="W351" t="s">
        <v>372</v>
      </c>
      <c r="X351" s="6">
        <v>42045.895844907405</v>
      </c>
      <c r="Y351" t="s">
        <v>122</v>
      </c>
      <c r="AB351" t="s">
        <v>200</v>
      </c>
      <c r="AC351" t="s">
        <v>247</v>
      </c>
      <c r="AD351" t="s">
        <v>220</v>
      </c>
      <c r="AE351" t="s">
        <v>219</v>
      </c>
      <c r="AG351" t="s">
        <v>121</v>
      </c>
      <c r="AH351" t="s">
        <v>327</v>
      </c>
      <c r="AI351" t="s">
        <v>121</v>
      </c>
      <c r="AJ351" t="s">
        <v>716</v>
      </c>
      <c r="AK351" t="s">
        <v>121</v>
      </c>
    </row>
    <row r="352" spans="9:37" x14ac:dyDescent="0.3">
      <c r="I352">
        <f ca="1">IF(OR(INDIRECT(A73&amp;ROW())=B93,INDIRECT(A73&amp;ROW())=B94),1,IF(AND(INDIRECT(A73&amp;ROW())=B95,INDIRECT(A96&amp;ROW())=C93),1,IF(AND(INDIRECT(A73&amp;ROW())=B95,INDIRECT(A96&amp;ROW())=C94),1,0)))</f>
        <v>0</v>
      </c>
      <c r="J352">
        <f ca="1">IF(AND(INDIRECT(A73&amp;ROW())=B95,INDIRECT(A96&amp;ROW())=C95),1,IF(AND(INDIRECT(A73&amp;ROW())=B95,INDIRECT(A96&amp;ROW())=C96),1,0))</f>
        <v>0</v>
      </c>
      <c r="K352">
        <f ca="1">DAYS360(INDIRECT(C68&amp;ROW()),TODAY())</f>
        <v>802</v>
      </c>
      <c r="L352">
        <f ca="1">DAYS360(INDIRECT(C69&amp;ROW()),TODAY())</f>
        <v>802</v>
      </c>
      <c r="M352">
        <f ca="1">HYPERLINK(CONCATENATE("https://bugzilla.houston.hp.com:1181/bugzilla/show_bug.cgi?id=",INDIRECT(C70&amp;ROW())),INDIRECT(C70&amp;ROW()))</f>
        <v>56955</v>
      </c>
      <c r="N352">
        <v>56955</v>
      </c>
      <c r="O352" t="s">
        <v>36</v>
      </c>
      <c r="P352" t="s">
        <v>620</v>
      </c>
      <c r="Q352" t="s">
        <v>16</v>
      </c>
      <c r="R352" t="s">
        <v>248</v>
      </c>
      <c r="S352" t="s">
        <v>552</v>
      </c>
      <c r="U352" s="6">
        <v>42045.940196759257</v>
      </c>
      <c r="V352" t="s">
        <v>18</v>
      </c>
      <c r="W352" t="s">
        <v>372</v>
      </c>
      <c r="X352" s="6">
        <v>42045.89640046296</v>
      </c>
      <c r="Y352" t="s">
        <v>787</v>
      </c>
      <c r="AB352" t="s">
        <v>200</v>
      </c>
      <c r="AC352" t="s">
        <v>247</v>
      </c>
      <c r="AD352" t="s">
        <v>227</v>
      </c>
      <c r="AE352" t="s">
        <v>237</v>
      </c>
      <c r="AG352" t="s">
        <v>121</v>
      </c>
      <c r="AH352" t="s">
        <v>327</v>
      </c>
      <c r="AI352" t="s">
        <v>121</v>
      </c>
      <c r="AJ352" t="s">
        <v>716</v>
      </c>
      <c r="AK352" t="s">
        <v>121</v>
      </c>
    </row>
    <row r="353" spans="9:37" x14ac:dyDescent="0.3">
      <c r="I353">
        <f ca="1">IF(OR(INDIRECT(A73&amp;ROW())=B93,INDIRECT(A73&amp;ROW())=B94),1,IF(AND(INDIRECT(A73&amp;ROW())=B95,INDIRECT(A96&amp;ROW())=C93),1,IF(AND(INDIRECT(A73&amp;ROW())=B95,INDIRECT(A96&amp;ROW())=C94),1,0)))</f>
        <v>0</v>
      </c>
      <c r="J353">
        <f ca="1">IF(AND(INDIRECT(A73&amp;ROW())=B95,INDIRECT(A96&amp;ROW())=C95),1,IF(AND(INDIRECT(A73&amp;ROW())=B95,INDIRECT(A96&amp;ROW())=C96),1,0))</f>
        <v>0</v>
      </c>
      <c r="K353">
        <f ca="1">DAYS360(INDIRECT(C68&amp;ROW()),TODAY())</f>
        <v>802</v>
      </c>
      <c r="L353">
        <f ca="1">DAYS360(INDIRECT(C69&amp;ROW()),TODAY())</f>
        <v>802</v>
      </c>
      <c r="M353">
        <f ca="1">HYPERLINK(CONCATENATE("https://bugzilla.houston.hp.com:1181/bugzilla/show_bug.cgi?id=",INDIRECT(C70&amp;ROW())),INDIRECT(C70&amp;ROW()))</f>
        <v>56957</v>
      </c>
      <c r="N353">
        <v>56957</v>
      </c>
      <c r="O353" t="s">
        <v>56</v>
      </c>
      <c r="P353" t="s">
        <v>619</v>
      </c>
      <c r="Q353" t="s">
        <v>16</v>
      </c>
      <c r="R353" t="s">
        <v>248</v>
      </c>
      <c r="S353" t="s">
        <v>552</v>
      </c>
      <c r="U353" s="6">
        <v>42045.940879629627</v>
      </c>
      <c r="V353" t="s">
        <v>18</v>
      </c>
      <c r="W353" t="s">
        <v>248</v>
      </c>
      <c r="X353" s="6">
        <v>42045.898831018516</v>
      </c>
      <c r="Y353" t="s">
        <v>124</v>
      </c>
      <c r="AB353" t="s">
        <v>200</v>
      </c>
      <c r="AC353" t="s">
        <v>247</v>
      </c>
      <c r="AD353" t="s">
        <v>220</v>
      </c>
      <c r="AE353" t="s">
        <v>219</v>
      </c>
      <c r="AG353" t="s">
        <v>121</v>
      </c>
      <c r="AH353" t="s">
        <v>327</v>
      </c>
      <c r="AI353" t="s">
        <v>121</v>
      </c>
      <c r="AJ353" t="s">
        <v>716</v>
      </c>
      <c r="AK353" t="s">
        <v>121</v>
      </c>
    </row>
    <row r="354" spans="9:37" x14ac:dyDescent="0.3">
      <c r="I354">
        <f ca="1">IF(OR(INDIRECT(A73&amp;ROW())=B93,INDIRECT(A73&amp;ROW())=B94),1,IF(AND(INDIRECT(A73&amp;ROW())=B95,INDIRECT(A96&amp;ROW())=C93),1,IF(AND(INDIRECT(A73&amp;ROW())=B95,INDIRECT(A96&amp;ROW())=C94),1,0)))</f>
        <v>0</v>
      </c>
      <c r="J354">
        <f ca="1">IF(AND(INDIRECT(A73&amp;ROW())=B95,INDIRECT(A96&amp;ROW())=C95),1,IF(AND(INDIRECT(A73&amp;ROW())=B95,INDIRECT(A96&amp;ROW())=C96),1,0))</f>
        <v>0</v>
      </c>
      <c r="K354">
        <f ca="1">DAYS360(INDIRECT(C68&amp;ROW()),TODAY())</f>
        <v>802</v>
      </c>
      <c r="L354">
        <f ca="1">DAYS360(INDIRECT(C69&amp;ROW()),TODAY())</f>
        <v>802</v>
      </c>
      <c r="M354">
        <f ca="1">HYPERLINK(CONCATENATE("https://bugzilla.houston.hp.com:1181/bugzilla/show_bug.cgi?id=",INDIRECT(C70&amp;ROW())),INDIRECT(C70&amp;ROW()))</f>
        <v>56960</v>
      </c>
      <c r="N354">
        <v>56960</v>
      </c>
      <c r="O354" t="s">
        <v>36</v>
      </c>
      <c r="P354" t="s">
        <v>618</v>
      </c>
      <c r="Q354" t="s">
        <v>16</v>
      </c>
      <c r="R354" t="s">
        <v>248</v>
      </c>
      <c r="S354" t="s">
        <v>552</v>
      </c>
      <c r="U354" s="6">
        <v>42045.943298611113</v>
      </c>
      <c r="V354" t="s">
        <v>18</v>
      </c>
      <c r="W354" t="s">
        <v>372</v>
      </c>
      <c r="X354" s="6">
        <v>42045.904224537036</v>
      </c>
      <c r="Y354" t="s">
        <v>245</v>
      </c>
      <c r="AB354" t="s">
        <v>200</v>
      </c>
      <c r="AC354" t="s">
        <v>247</v>
      </c>
      <c r="AD354" t="s">
        <v>222</v>
      </c>
      <c r="AE354" t="s">
        <v>225</v>
      </c>
      <c r="AG354" t="s">
        <v>121</v>
      </c>
      <c r="AH354" t="s">
        <v>327</v>
      </c>
      <c r="AI354" t="s">
        <v>121</v>
      </c>
      <c r="AJ354" t="s">
        <v>717</v>
      </c>
      <c r="AK354" t="s">
        <v>121</v>
      </c>
    </row>
    <row r="355" spans="9:37" x14ac:dyDescent="0.3">
      <c r="I355">
        <f ca="1">IF(OR(INDIRECT(A73&amp;ROW())=B93,INDIRECT(A73&amp;ROW())=B94),1,IF(AND(INDIRECT(A73&amp;ROW())=B95,INDIRECT(A96&amp;ROW())=C93),1,IF(AND(INDIRECT(A73&amp;ROW())=B95,INDIRECT(A96&amp;ROW())=C94),1,0)))</f>
        <v>0</v>
      </c>
      <c r="J355">
        <f ca="1">IF(AND(INDIRECT(A73&amp;ROW())=B95,INDIRECT(A96&amp;ROW())=C95),1,IF(AND(INDIRECT(A73&amp;ROW())=B95,INDIRECT(A96&amp;ROW())=C96),1,0))</f>
        <v>0</v>
      </c>
      <c r="K355">
        <f ca="1">DAYS360(INDIRECT(C68&amp;ROW()),TODAY())</f>
        <v>721</v>
      </c>
      <c r="L355">
        <f ca="1">DAYS360(INDIRECT(C69&amp;ROW()),TODAY())</f>
        <v>802</v>
      </c>
      <c r="M355">
        <f ca="1">HYPERLINK(CONCATENATE("https://bugzilla.houston.hp.com:1181/bugzilla/show_bug.cgi?id=",INDIRECT(C70&amp;ROW())),INDIRECT(C70&amp;ROW()))</f>
        <v>56964</v>
      </c>
      <c r="N355">
        <v>56964</v>
      </c>
      <c r="O355" t="s">
        <v>250</v>
      </c>
      <c r="P355" t="s">
        <v>617</v>
      </c>
      <c r="Q355" t="s">
        <v>16</v>
      </c>
      <c r="R355" t="s">
        <v>248</v>
      </c>
      <c r="S355" t="s">
        <v>552</v>
      </c>
      <c r="U355" s="6">
        <v>42125.674618055556</v>
      </c>
      <c r="V355" t="s">
        <v>18</v>
      </c>
      <c r="W355" t="s">
        <v>17</v>
      </c>
      <c r="X355" s="6">
        <v>42045.907905092594</v>
      </c>
      <c r="Y355" t="s">
        <v>255</v>
      </c>
      <c r="AB355" t="s">
        <v>200</v>
      </c>
      <c r="AC355" t="s">
        <v>247</v>
      </c>
      <c r="AD355" t="s">
        <v>220</v>
      </c>
      <c r="AE355" t="s">
        <v>243</v>
      </c>
      <c r="AG355" t="s">
        <v>121</v>
      </c>
      <c r="AH355" t="s">
        <v>327</v>
      </c>
      <c r="AI355" t="s">
        <v>121</v>
      </c>
      <c r="AJ355" t="s">
        <v>716</v>
      </c>
      <c r="AK355" t="s">
        <v>121</v>
      </c>
    </row>
    <row r="356" spans="9:37" x14ac:dyDescent="0.3">
      <c r="I356">
        <f ca="1">IF(OR(INDIRECT(A73&amp;ROW())=B93,INDIRECT(A73&amp;ROW())=B94),1,IF(AND(INDIRECT(A73&amp;ROW())=B95,INDIRECT(A96&amp;ROW())=C93),1,IF(AND(INDIRECT(A73&amp;ROW())=B95,INDIRECT(A96&amp;ROW())=C94),1,0)))</f>
        <v>0</v>
      </c>
      <c r="J356">
        <f ca="1">IF(AND(INDIRECT(A73&amp;ROW())=B95,INDIRECT(A96&amp;ROW())=C95),1,IF(AND(INDIRECT(A73&amp;ROW())=B95,INDIRECT(A96&amp;ROW())=C96),1,0))</f>
        <v>0</v>
      </c>
      <c r="K356">
        <f ca="1">DAYS360(INDIRECT(C68&amp;ROW()),TODAY())</f>
        <v>721</v>
      </c>
      <c r="L356">
        <f ca="1">DAYS360(INDIRECT(C69&amp;ROW()),TODAY())</f>
        <v>802</v>
      </c>
      <c r="M356">
        <f ca="1">HYPERLINK(CONCATENATE("https://bugzilla.houston.hp.com:1181/bugzilla/show_bug.cgi?id=",INDIRECT(C70&amp;ROW())),INDIRECT(C70&amp;ROW()))</f>
        <v>56965</v>
      </c>
      <c r="N356">
        <v>56965</v>
      </c>
      <c r="O356" t="s">
        <v>21</v>
      </c>
      <c r="P356" t="s">
        <v>616</v>
      </c>
      <c r="Q356" t="s">
        <v>16</v>
      </c>
      <c r="R356" t="s">
        <v>248</v>
      </c>
      <c r="S356" t="s">
        <v>552</v>
      </c>
      <c r="U356" s="6">
        <v>42125.672951388886</v>
      </c>
      <c r="V356" t="s">
        <v>18</v>
      </c>
      <c r="W356" t="s">
        <v>372</v>
      </c>
      <c r="X356" s="6">
        <v>42045.909050925926</v>
      </c>
      <c r="Y356" t="s">
        <v>255</v>
      </c>
      <c r="AB356" t="s">
        <v>200</v>
      </c>
      <c r="AC356" t="s">
        <v>247</v>
      </c>
      <c r="AD356" t="s">
        <v>222</v>
      </c>
      <c r="AE356" t="s">
        <v>240</v>
      </c>
      <c r="AG356" t="s">
        <v>121</v>
      </c>
      <c r="AH356" t="s">
        <v>327</v>
      </c>
      <c r="AI356" t="s">
        <v>121</v>
      </c>
      <c r="AJ356" t="s">
        <v>716</v>
      </c>
      <c r="AK356" t="s">
        <v>121</v>
      </c>
    </row>
    <row r="357" spans="9:37" x14ac:dyDescent="0.3">
      <c r="I357">
        <f ca="1">IF(OR(INDIRECT(A73&amp;ROW())=B93,INDIRECT(A73&amp;ROW())=B94),1,IF(AND(INDIRECT(A73&amp;ROW())=B95,INDIRECT(A96&amp;ROW())=C93),1,IF(AND(INDIRECT(A73&amp;ROW())=B95,INDIRECT(A96&amp;ROW())=C94),1,0)))</f>
        <v>0</v>
      </c>
      <c r="J357">
        <f ca="1">IF(AND(INDIRECT(A73&amp;ROW())=B95,INDIRECT(A96&amp;ROW())=C95),1,IF(AND(INDIRECT(A73&amp;ROW())=B95,INDIRECT(A96&amp;ROW())=C96),1,0))</f>
        <v>0</v>
      </c>
      <c r="K357">
        <f ca="1">DAYS360(INDIRECT(C68&amp;ROW()),TODAY())</f>
        <v>721</v>
      </c>
      <c r="L357">
        <f ca="1">DAYS360(INDIRECT(C69&amp;ROW()),TODAY())</f>
        <v>802</v>
      </c>
      <c r="M357">
        <f ca="1">HYPERLINK(CONCATENATE("https://bugzilla.houston.hp.com:1181/bugzilla/show_bug.cgi?id=",INDIRECT(C70&amp;ROW())),INDIRECT(C70&amp;ROW()))</f>
        <v>56966</v>
      </c>
      <c r="N357">
        <v>56966</v>
      </c>
      <c r="O357" t="s">
        <v>59</v>
      </c>
      <c r="P357" t="s">
        <v>507</v>
      </c>
      <c r="Q357" t="s">
        <v>16</v>
      </c>
      <c r="R357" t="s">
        <v>248</v>
      </c>
      <c r="S357" t="s">
        <v>552</v>
      </c>
      <c r="U357" s="6">
        <v>42125.664664351854</v>
      </c>
      <c r="V357" t="s">
        <v>18</v>
      </c>
      <c r="W357" t="s">
        <v>258</v>
      </c>
      <c r="X357" s="6">
        <v>42045.910405092596</v>
      </c>
      <c r="Y357" t="s">
        <v>122</v>
      </c>
      <c r="AB357" t="s">
        <v>201</v>
      </c>
      <c r="AC357" t="s">
        <v>247</v>
      </c>
      <c r="AD357" t="s">
        <v>222</v>
      </c>
      <c r="AE357" t="s">
        <v>240</v>
      </c>
      <c r="AG357" t="s">
        <v>121</v>
      </c>
      <c r="AH357" t="s">
        <v>327</v>
      </c>
      <c r="AI357" t="s">
        <v>121</v>
      </c>
      <c r="AJ357" t="s">
        <v>717</v>
      </c>
      <c r="AK357" t="s">
        <v>121</v>
      </c>
    </row>
    <row r="358" spans="9:37" x14ac:dyDescent="0.3">
      <c r="I358">
        <f ca="1">IF(OR(INDIRECT(A73&amp;ROW())=B93,INDIRECT(A73&amp;ROW())=B94),1,IF(AND(INDIRECT(A73&amp;ROW())=B95,INDIRECT(A96&amp;ROW())=C93),1,IF(AND(INDIRECT(A73&amp;ROW())=B95,INDIRECT(A96&amp;ROW())=C94),1,0)))</f>
        <v>0</v>
      </c>
      <c r="J358">
        <f ca="1">IF(AND(INDIRECT(A73&amp;ROW())=B95,INDIRECT(A96&amp;ROW())=C95),1,IF(AND(INDIRECT(A73&amp;ROW())=B95,INDIRECT(A96&amp;ROW())=C96),1,0))</f>
        <v>0</v>
      </c>
      <c r="K358">
        <f ca="1">DAYS360(INDIRECT(C68&amp;ROW()),TODAY())</f>
        <v>721</v>
      </c>
      <c r="L358">
        <f ca="1">DAYS360(INDIRECT(C69&amp;ROW()),TODAY())</f>
        <v>802</v>
      </c>
      <c r="M358">
        <f ca="1">HYPERLINK(CONCATENATE("https://bugzilla.houston.hp.com:1181/bugzilla/show_bug.cgi?id=",INDIRECT(C70&amp;ROW())),INDIRECT(C70&amp;ROW()))</f>
        <v>56967</v>
      </c>
      <c r="N358">
        <v>56967</v>
      </c>
      <c r="O358" t="s">
        <v>56</v>
      </c>
      <c r="P358" t="s">
        <v>615</v>
      </c>
      <c r="Q358" t="s">
        <v>16</v>
      </c>
      <c r="R358" t="s">
        <v>248</v>
      </c>
      <c r="S358" t="s">
        <v>552</v>
      </c>
      <c r="U358" s="6">
        <v>42125.449629629627</v>
      </c>
      <c r="V358" t="s">
        <v>18</v>
      </c>
      <c r="W358" t="s">
        <v>343</v>
      </c>
      <c r="X358" s="6">
        <v>42045.912534722222</v>
      </c>
      <c r="Y358" t="s">
        <v>122</v>
      </c>
      <c r="AB358" t="s">
        <v>201</v>
      </c>
      <c r="AC358" t="s">
        <v>247</v>
      </c>
      <c r="AD358" t="s">
        <v>220</v>
      </c>
      <c r="AE358" t="s">
        <v>219</v>
      </c>
      <c r="AG358" t="s">
        <v>121</v>
      </c>
      <c r="AH358" t="s">
        <v>327</v>
      </c>
      <c r="AI358" t="s">
        <v>121</v>
      </c>
      <c r="AJ358" t="s">
        <v>717</v>
      </c>
      <c r="AK358" t="s">
        <v>121</v>
      </c>
    </row>
    <row r="359" spans="9:37" x14ac:dyDescent="0.3">
      <c r="I359">
        <f ca="1">IF(OR(INDIRECT(A73&amp;ROW())=B93,INDIRECT(A73&amp;ROW())=B94),1,IF(AND(INDIRECT(A73&amp;ROW())=B95,INDIRECT(A96&amp;ROW())=C93),1,IF(AND(INDIRECT(A73&amp;ROW())=B95,INDIRECT(A96&amp;ROW())=C94),1,0)))</f>
        <v>0</v>
      </c>
      <c r="J359">
        <f ca="1">IF(AND(INDIRECT(A73&amp;ROW())=B95,INDIRECT(A96&amp;ROW())=C95),1,IF(AND(INDIRECT(A73&amp;ROW())=B95,INDIRECT(A96&amp;ROW())=C96),1,0))</f>
        <v>0</v>
      </c>
      <c r="K359">
        <f ca="1">DAYS360(INDIRECT(C68&amp;ROW()),TODAY())</f>
        <v>802</v>
      </c>
      <c r="L359">
        <f ca="1">DAYS360(INDIRECT(C69&amp;ROW()),TODAY())</f>
        <v>802</v>
      </c>
      <c r="M359">
        <f ca="1">HYPERLINK(CONCATENATE("https://bugzilla.houston.hp.com:1181/bugzilla/show_bug.cgi?id=",INDIRECT(C70&amp;ROW())),INDIRECT(C70&amp;ROW()))</f>
        <v>56968</v>
      </c>
      <c r="N359">
        <v>56968</v>
      </c>
      <c r="O359" t="s">
        <v>36</v>
      </c>
      <c r="P359" t="s">
        <v>614</v>
      </c>
      <c r="Q359" t="s">
        <v>16</v>
      </c>
      <c r="R359" t="s">
        <v>248</v>
      </c>
      <c r="S359" t="s">
        <v>552</v>
      </c>
      <c r="U359" s="6">
        <v>42045.968078703707</v>
      </c>
      <c r="V359" t="s">
        <v>18</v>
      </c>
      <c r="W359" t="s">
        <v>341</v>
      </c>
      <c r="X359" s="6">
        <v>42045.915069444447</v>
      </c>
      <c r="Y359" t="s">
        <v>787</v>
      </c>
      <c r="AB359" t="s">
        <v>199</v>
      </c>
      <c r="AC359" t="s">
        <v>247</v>
      </c>
      <c r="AD359" t="s">
        <v>220</v>
      </c>
      <c r="AE359" t="s">
        <v>243</v>
      </c>
      <c r="AG359" t="s">
        <v>588</v>
      </c>
      <c r="AH359" t="s">
        <v>327</v>
      </c>
      <c r="AI359" t="s">
        <v>121</v>
      </c>
      <c r="AJ359" t="s">
        <v>716</v>
      </c>
      <c r="AK359" t="s">
        <v>121</v>
      </c>
    </row>
    <row r="360" spans="9:37" x14ac:dyDescent="0.3">
      <c r="I360">
        <f ca="1">IF(OR(INDIRECT(A73&amp;ROW())=B93,INDIRECT(A73&amp;ROW())=B94),1,IF(AND(INDIRECT(A73&amp;ROW())=B95,INDIRECT(A96&amp;ROW())=C93),1,IF(AND(INDIRECT(A73&amp;ROW())=B95,INDIRECT(A96&amp;ROW())=C94),1,0)))</f>
        <v>0</v>
      </c>
      <c r="J360">
        <f ca="1">IF(AND(INDIRECT(A73&amp;ROW())=B95,INDIRECT(A96&amp;ROW())=C95),1,IF(AND(INDIRECT(A73&amp;ROW())=B95,INDIRECT(A96&amp;ROW())=C96),1,0))</f>
        <v>0</v>
      </c>
      <c r="K360">
        <f ca="1">DAYS360(INDIRECT(C68&amp;ROW()),TODAY())</f>
        <v>721</v>
      </c>
      <c r="L360">
        <f ca="1">DAYS360(INDIRECT(C69&amp;ROW()),TODAY())</f>
        <v>802</v>
      </c>
      <c r="M360">
        <f ca="1">HYPERLINK(CONCATENATE("https://bugzilla.houston.hp.com:1181/bugzilla/show_bug.cgi?id=",INDIRECT(C70&amp;ROW())),INDIRECT(C70&amp;ROW()))</f>
        <v>56969</v>
      </c>
      <c r="N360">
        <v>56969</v>
      </c>
      <c r="O360" t="s">
        <v>56</v>
      </c>
      <c r="P360" t="s">
        <v>613</v>
      </c>
      <c r="Q360" t="s">
        <v>16</v>
      </c>
      <c r="R360" t="s">
        <v>248</v>
      </c>
      <c r="S360" t="s">
        <v>552</v>
      </c>
      <c r="U360" s="6">
        <v>42125.449675925927</v>
      </c>
      <c r="V360" t="s">
        <v>18</v>
      </c>
      <c r="W360" t="s">
        <v>372</v>
      </c>
      <c r="X360" s="6">
        <v>42045.918634259258</v>
      </c>
      <c r="Y360" t="s">
        <v>122</v>
      </c>
      <c r="AB360" t="s">
        <v>200</v>
      </c>
      <c r="AC360" t="s">
        <v>247</v>
      </c>
      <c r="AD360" t="s">
        <v>220</v>
      </c>
      <c r="AE360" t="s">
        <v>219</v>
      </c>
      <c r="AG360" t="s">
        <v>121</v>
      </c>
      <c r="AH360" t="s">
        <v>327</v>
      </c>
      <c r="AI360" t="s">
        <v>121</v>
      </c>
      <c r="AJ360" t="s">
        <v>716</v>
      </c>
      <c r="AK360" t="s">
        <v>121</v>
      </c>
    </row>
    <row r="361" spans="9:37" x14ac:dyDescent="0.3">
      <c r="I361">
        <f ca="1">IF(OR(INDIRECT(A73&amp;ROW())=B93,INDIRECT(A73&amp;ROW())=B94),1,IF(AND(INDIRECT(A73&amp;ROW())=B95,INDIRECT(A96&amp;ROW())=C93),1,IF(AND(INDIRECT(A73&amp;ROW())=B95,INDIRECT(A96&amp;ROW())=C94),1,0)))</f>
        <v>0</v>
      </c>
      <c r="J361">
        <f ca="1">IF(AND(INDIRECT(A73&amp;ROW())=B95,INDIRECT(A96&amp;ROW())=C95),1,IF(AND(INDIRECT(A73&amp;ROW())=B95,INDIRECT(A96&amp;ROW())=C96),1,0))</f>
        <v>0</v>
      </c>
      <c r="K361">
        <f ca="1">DAYS360(INDIRECT(C68&amp;ROW()),TODAY())</f>
        <v>802</v>
      </c>
      <c r="L361">
        <f ca="1">DAYS360(INDIRECT(C69&amp;ROW()),TODAY())</f>
        <v>802</v>
      </c>
      <c r="M361">
        <f ca="1">HYPERLINK(CONCATENATE("https://bugzilla.houston.hp.com:1181/bugzilla/show_bug.cgi?id=",INDIRECT(C70&amp;ROW())),INDIRECT(C70&amp;ROW()))</f>
        <v>56987</v>
      </c>
      <c r="N361">
        <v>56987</v>
      </c>
      <c r="O361" t="s">
        <v>36</v>
      </c>
      <c r="P361" t="s">
        <v>612</v>
      </c>
      <c r="Q361" t="s">
        <v>16</v>
      </c>
      <c r="R361" t="s">
        <v>248</v>
      </c>
      <c r="S361" t="s">
        <v>552</v>
      </c>
      <c r="U361" s="6">
        <v>42045.957476851851</v>
      </c>
      <c r="V361" t="s">
        <v>18</v>
      </c>
      <c r="W361" t="s">
        <v>372</v>
      </c>
      <c r="X361" s="6">
        <v>42045.956643518519</v>
      </c>
      <c r="Y361" t="s">
        <v>119</v>
      </c>
      <c r="AB361" t="s">
        <v>199</v>
      </c>
      <c r="AC361" t="s">
        <v>247</v>
      </c>
      <c r="AD361" t="s">
        <v>220</v>
      </c>
      <c r="AE361" t="s">
        <v>243</v>
      </c>
      <c r="AG361" t="s">
        <v>121</v>
      </c>
      <c r="AH361" t="s">
        <v>327</v>
      </c>
      <c r="AI361" t="s">
        <v>121</v>
      </c>
      <c r="AJ361" t="s">
        <v>716</v>
      </c>
      <c r="AK361" t="s">
        <v>121</v>
      </c>
    </row>
    <row r="362" spans="9:37" x14ac:dyDescent="0.3">
      <c r="I362">
        <f ca="1">IF(OR(INDIRECT(A73&amp;ROW())=B93,INDIRECT(A73&amp;ROW())=B94),1,IF(AND(INDIRECT(A73&amp;ROW())=B95,INDIRECT(A96&amp;ROW())=C93),1,IF(AND(INDIRECT(A73&amp;ROW())=B95,INDIRECT(A96&amp;ROW())=C94),1,0)))</f>
        <v>0</v>
      </c>
      <c r="J362">
        <f ca="1">IF(AND(INDIRECT(A73&amp;ROW())=B95,INDIRECT(A96&amp;ROW())=C95),1,IF(AND(INDIRECT(A73&amp;ROW())=B95,INDIRECT(A96&amp;ROW())=C96),1,0))</f>
        <v>0</v>
      </c>
      <c r="K362">
        <f ca="1">DAYS360(INDIRECT(C68&amp;ROW()),TODAY())</f>
        <v>721</v>
      </c>
      <c r="L362">
        <f ca="1">DAYS360(INDIRECT(C69&amp;ROW()),TODAY())</f>
        <v>801</v>
      </c>
      <c r="M362">
        <f ca="1">HYPERLINK(CONCATENATE("https://bugzilla.houston.hp.com:1181/bugzilla/show_bug.cgi?id=",INDIRECT(C70&amp;ROW())),INDIRECT(C70&amp;ROW()))</f>
        <v>56993</v>
      </c>
      <c r="N362">
        <v>56993</v>
      </c>
      <c r="O362" t="s">
        <v>36</v>
      </c>
      <c r="P362" t="s">
        <v>611</v>
      </c>
      <c r="Q362" t="s">
        <v>16</v>
      </c>
      <c r="R362" t="s">
        <v>248</v>
      </c>
      <c r="S362" t="s">
        <v>552</v>
      </c>
      <c r="U362" s="6">
        <v>42125.443865740737</v>
      </c>
      <c r="V362" t="s">
        <v>18</v>
      </c>
      <c r="W362" t="s">
        <v>211</v>
      </c>
      <c r="X362" s="6">
        <v>42046.006435185183</v>
      </c>
      <c r="Y362" t="s">
        <v>122</v>
      </c>
      <c r="AB362" t="s">
        <v>201</v>
      </c>
      <c r="AC362" t="s">
        <v>121</v>
      </c>
      <c r="AD362" t="s">
        <v>222</v>
      </c>
      <c r="AE362" t="s">
        <v>233</v>
      </c>
      <c r="AG362" t="s">
        <v>121</v>
      </c>
      <c r="AH362" t="s">
        <v>64</v>
      </c>
      <c r="AI362" t="s">
        <v>121</v>
      </c>
      <c r="AJ362" t="s">
        <v>717</v>
      </c>
      <c r="AK362" t="s">
        <v>121</v>
      </c>
    </row>
    <row r="363" spans="9:37" x14ac:dyDescent="0.3">
      <c r="I363">
        <f ca="1">IF(OR(INDIRECT(A73&amp;ROW())=B93,INDIRECT(A73&amp;ROW())=B94),1,IF(AND(INDIRECT(A73&amp;ROW())=B95,INDIRECT(A96&amp;ROW())=C93),1,IF(AND(INDIRECT(A73&amp;ROW())=B95,INDIRECT(A96&amp;ROW())=C94),1,0)))</f>
        <v>0</v>
      </c>
      <c r="J363">
        <f ca="1">IF(AND(INDIRECT(A73&amp;ROW())=B95,INDIRECT(A96&amp;ROW())=C95),1,IF(AND(INDIRECT(A73&amp;ROW())=B95,INDIRECT(A96&amp;ROW())=C96),1,0))</f>
        <v>0</v>
      </c>
      <c r="K363">
        <f ca="1">DAYS360(INDIRECT(C68&amp;ROW()),TODAY())</f>
        <v>729</v>
      </c>
      <c r="L363">
        <f ca="1">DAYS360(INDIRECT(C69&amp;ROW()),TODAY())</f>
        <v>801</v>
      </c>
      <c r="M363">
        <f ca="1">HYPERLINK(CONCATENATE("https://bugzilla.houston.hp.com:1181/bugzilla/show_bug.cgi?id=",INDIRECT(C70&amp;ROW())),INDIRECT(C70&amp;ROW()))</f>
        <v>57016</v>
      </c>
      <c r="N363">
        <v>57016</v>
      </c>
      <c r="O363" t="s">
        <v>241</v>
      </c>
      <c r="P363" t="s">
        <v>737</v>
      </c>
      <c r="Q363" t="s">
        <v>16</v>
      </c>
      <c r="R363" t="s">
        <v>251</v>
      </c>
      <c r="S363" t="s">
        <v>523</v>
      </c>
      <c r="U363" s="6">
        <v>42117.405578703707</v>
      </c>
      <c r="V363" t="s">
        <v>18</v>
      </c>
      <c r="W363" t="s">
        <v>17</v>
      </c>
      <c r="X363" s="6">
        <v>42046.158449074072</v>
      </c>
      <c r="Y363" t="s">
        <v>119</v>
      </c>
      <c r="AB363" t="s">
        <v>200</v>
      </c>
      <c r="AC363" t="s">
        <v>247</v>
      </c>
      <c r="AD363" t="s">
        <v>227</v>
      </c>
      <c r="AE363" t="s">
        <v>226</v>
      </c>
      <c r="AG363" t="s">
        <v>121</v>
      </c>
      <c r="AH363" t="s">
        <v>327</v>
      </c>
      <c r="AI363" t="s">
        <v>121</v>
      </c>
      <c r="AJ363" t="s">
        <v>716</v>
      </c>
      <c r="AK363" t="s">
        <v>121</v>
      </c>
    </row>
    <row r="364" spans="9:37" x14ac:dyDescent="0.3">
      <c r="I364">
        <f ca="1">IF(OR(INDIRECT(A73&amp;ROW())=B93,INDIRECT(A73&amp;ROW())=B94),1,IF(AND(INDIRECT(A73&amp;ROW())=B95,INDIRECT(A96&amp;ROW())=C93),1,IF(AND(INDIRECT(A73&amp;ROW())=B95,INDIRECT(A96&amp;ROW())=C94),1,0)))</f>
        <v>0</v>
      </c>
      <c r="J364">
        <f ca="1">IF(AND(INDIRECT(A73&amp;ROW())=B95,INDIRECT(A96&amp;ROW())=C95),1,IF(AND(INDIRECT(A73&amp;ROW())=B95,INDIRECT(A96&amp;ROW())=C96),1,0))</f>
        <v>0</v>
      </c>
      <c r="K364">
        <f ca="1">DAYS360(INDIRECT(C68&amp;ROW()),TODAY())</f>
        <v>792</v>
      </c>
      <c r="L364">
        <f ca="1">DAYS360(INDIRECT(C69&amp;ROW()),TODAY())</f>
        <v>801</v>
      </c>
      <c r="M364">
        <f ca="1">HYPERLINK(CONCATENATE("https://bugzilla.houston.hp.com:1181/bugzilla/show_bug.cgi?id=",INDIRECT(C70&amp;ROW())),INDIRECT(C70&amp;ROW()))</f>
        <v>57043</v>
      </c>
      <c r="N364">
        <v>57043</v>
      </c>
      <c r="O364" t="s">
        <v>241</v>
      </c>
      <c r="P364" t="s">
        <v>736</v>
      </c>
      <c r="Q364" t="s">
        <v>16</v>
      </c>
      <c r="R364" t="s">
        <v>248</v>
      </c>
      <c r="S364" t="s">
        <v>552</v>
      </c>
      <c r="U364" s="6">
        <v>42055.65824074074</v>
      </c>
      <c r="V364" t="s">
        <v>18</v>
      </c>
      <c r="W364" t="s">
        <v>576</v>
      </c>
      <c r="X364" s="6">
        <v>42046.50708333333</v>
      </c>
      <c r="Y364" t="s">
        <v>119</v>
      </c>
      <c r="AB364" t="s">
        <v>200</v>
      </c>
      <c r="AC364" t="s">
        <v>247</v>
      </c>
      <c r="AD364" t="s">
        <v>227</v>
      </c>
      <c r="AE364" t="s">
        <v>226</v>
      </c>
      <c r="AG364" t="s">
        <v>121</v>
      </c>
      <c r="AH364" t="s">
        <v>327</v>
      </c>
      <c r="AI364" t="s">
        <v>121</v>
      </c>
      <c r="AJ364" t="s">
        <v>716</v>
      </c>
      <c r="AK364" t="s">
        <v>121</v>
      </c>
    </row>
    <row r="365" spans="9:37" x14ac:dyDescent="0.3">
      <c r="I365">
        <f ca="1">IF(OR(INDIRECT(A73&amp;ROW())=B93,INDIRECT(A73&amp;ROW())=B94),1,IF(AND(INDIRECT(A73&amp;ROW())=B95,INDIRECT(A96&amp;ROW())=C93),1,IF(AND(INDIRECT(A73&amp;ROW())=B95,INDIRECT(A96&amp;ROW())=C94),1,0)))</f>
        <v>0</v>
      </c>
      <c r="J365">
        <f ca="1">IF(AND(INDIRECT(A73&amp;ROW())=B95,INDIRECT(A96&amp;ROW())=C95),1,IF(AND(INDIRECT(A73&amp;ROW())=B95,INDIRECT(A96&amp;ROW())=C96),1,0))</f>
        <v>0</v>
      </c>
      <c r="K365">
        <f ca="1">DAYS360(INDIRECT(C68&amp;ROW()),TODAY())</f>
        <v>801</v>
      </c>
      <c r="L365">
        <f ca="1">DAYS360(INDIRECT(C69&amp;ROW()),TODAY())</f>
        <v>801</v>
      </c>
      <c r="M365">
        <f ca="1">HYPERLINK(CONCATENATE("https://bugzilla.houston.hp.com:1181/bugzilla/show_bug.cgi?id=",INDIRECT(C70&amp;ROW())),INDIRECT(C70&amp;ROW()))</f>
        <v>57044</v>
      </c>
      <c r="N365">
        <v>57044</v>
      </c>
      <c r="O365" t="s">
        <v>56</v>
      </c>
      <c r="P365" t="s">
        <v>735</v>
      </c>
      <c r="Q365" t="s">
        <v>16</v>
      </c>
      <c r="R365" t="s">
        <v>248</v>
      </c>
      <c r="S365" t="s">
        <v>552</v>
      </c>
      <c r="U365" s="6">
        <v>42046.507962962962</v>
      </c>
      <c r="V365" t="s">
        <v>18</v>
      </c>
      <c r="W365" t="s">
        <v>173</v>
      </c>
      <c r="X365" s="6">
        <v>42046.507372685184</v>
      </c>
      <c r="Y365" t="s">
        <v>122</v>
      </c>
      <c r="AB365" t="s">
        <v>201</v>
      </c>
      <c r="AC365" t="s">
        <v>247</v>
      </c>
      <c r="AD365" t="s">
        <v>220</v>
      </c>
      <c r="AE365" t="s">
        <v>219</v>
      </c>
      <c r="AG365" t="s">
        <v>121</v>
      </c>
      <c r="AH365" t="s">
        <v>327</v>
      </c>
      <c r="AI365" t="s">
        <v>121</v>
      </c>
      <c r="AJ365" t="s">
        <v>717</v>
      </c>
      <c r="AK365" t="s">
        <v>121</v>
      </c>
    </row>
    <row r="366" spans="9:37" x14ac:dyDescent="0.3">
      <c r="I366">
        <f ca="1">IF(OR(INDIRECT(A73&amp;ROW())=B93,INDIRECT(A73&amp;ROW())=B94),1,IF(AND(INDIRECT(A73&amp;ROW())=B95,INDIRECT(A96&amp;ROW())=C93),1,IF(AND(INDIRECT(A73&amp;ROW())=B95,INDIRECT(A96&amp;ROW())=C94),1,0)))</f>
        <v>0</v>
      </c>
      <c r="J366">
        <f ca="1">IF(AND(INDIRECT(A73&amp;ROW())=B95,INDIRECT(A96&amp;ROW())=C95),1,IF(AND(INDIRECT(A73&amp;ROW())=B95,INDIRECT(A96&amp;ROW())=C96),1,0))</f>
        <v>1</v>
      </c>
      <c r="K366">
        <f ca="1">DAYS360(INDIRECT(C68&amp;ROW()),TODAY())</f>
        <v>778</v>
      </c>
      <c r="L366">
        <f ca="1">DAYS360(INDIRECT(C69&amp;ROW()),TODAY())</f>
        <v>801</v>
      </c>
      <c r="M366">
        <f ca="1">HYPERLINK(CONCATENATE("https://bugzilla.houston.hp.com:1181/bugzilla/show_bug.cgi?id=",INDIRECT(C70&amp;ROW())),INDIRECT(C70&amp;ROW()))</f>
        <v>57045</v>
      </c>
      <c r="N366">
        <v>57045</v>
      </c>
      <c r="O366" t="s">
        <v>36</v>
      </c>
      <c r="P366" t="s">
        <v>734</v>
      </c>
      <c r="Q366" t="s">
        <v>25</v>
      </c>
      <c r="R366" t="s">
        <v>248</v>
      </c>
      <c r="S366" t="s">
        <v>552</v>
      </c>
      <c r="U366" s="6">
        <v>42067.503865740742</v>
      </c>
      <c r="V366" t="s">
        <v>18</v>
      </c>
      <c r="W366" t="s">
        <v>514</v>
      </c>
      <c r="X366" s="6">
        <v>42046.528171296297</v>
      </c>
      <c r="Y366" t="s">
        <v>535</v>
      </c>
      <c r="AB366" t="s">
        <v>201</v>
      </c>
      <c r="AC366" t="s">
        <v>247</v>
      </c>
      <c r="AD366" t="s">
        <v>220</v>
      </c>
      <c r="AE366" t="s">
        <v>243</v>
      </c>
      <c r="AG366" t="s">
        <v>121</v>
      </c>
      <c r="AH366" t="s">
        <v>327</v>
      </c>
      <c r="AI366" t="s">
        <v>121</v>
      </c>
      <c r="AJ366" t="s">
        <v>716</v>
      </c>
      <c r="AK366" t="s">
        <v>121</v>
      </c>
    </row>
    <row r="367" spans="9:37" x14ac:dyDescent="0.3">
      <c r="I367">
        <f ca="1">IF(OR(INDIRECT(A73&amp;ROW())=B93,INDIRECT(A73&amp;ROW())=B94),1,IF(AND(INDIRECT(A73&amp;ROW())=B95,INDIRECT(A96&amp;ROW())=C93),1,IF(AND(INDIRECT(A73&amp;ROW())=B95,INDIRECT(A96&amp;ROW())=C94),1,0)))</f>
        <v>0</v>
      </c>
      <c r="J367">
        <f ca="1">IF(AND(INDIRECT(A73&amp;ROW())=B95,INDIRECT(A96&amp;ROW())=C95),1,IF(AND(INDIRECT(A73&amp;ROW())=B95,INDIRECT(A96&amp;ROW())=C96),1,0))</f>
        <v>1</v>
      </c>
      <c r="K367">
        <f ca="1">DAYS360(INDIRECT(C68&amp;ROW()),TODAY())</f>
        <v>801</v>
      </c>
      <c r="L367">
        <f ca="1">DAYS360(INDIRECT(C69&amp;ROW()),TODAY())</f>
        <v>801</v>
      </c>
      <c r="M367">
        <f ca="1">HYPERLINK(CONCATENATE("https://bugzilla.houston.hp.com:1181/bugzilla/show_bug.cgi?id=",INDIRECT(C70&amp;ROW())),INDIRECT(C70&amp;ROW()))</f>
        <v>57048</v>
      </c>
      <c r="N367">
        <v>57048</v>
      </c>
      <c r="O367" t="s">
        <v>36</v>
      </c>
      <c r="P367" t="s">
        <v>733</v>
      </c>
      <c r="Q367" t="s">
        <v>25</v>
      </c>
      <c r="R367" t="s">
        <v>248</v>
      </c>
      <c r="S367" t="s">
        <v>552</v>
      </c>
      <c r="U367" s="6">
        <v>42046.538124999999</v>
      </c>
      <c r="V367" t="s">
        <v>18</v>
      </c>
      <c r="W367" t="s">
        <v>525</v>
      </c>
      <c r="X367" s="6">
        <v>42046.529097222221</v>
      </c>
      <c r="Y367" t="s">
        <v>255</v>
      </c>
      <c r="AB367" t="s">
        <v>201</v>
      </c>
      <c r="AC367" t="s">
        <v>247</v>
      </c>
      <c r="AD367" t="s">
        <v>220</v>
      </c>
      <c r="AE367" t="s">
        <v>243</v>
      </c>
      <c r="AG367" t="s">
        <v>121</v>
      </c>
      <c r="AH367" t="s">
        <v>327</v>
      </c>
      <c r="AI367" t="s">
        <v>121</v>
      </c>
      <c r="AJ367" t="s">
        <v>716</v>
      </c>
      <c r="AK367" t="s">
        <v>121</v>
      </c>
    </row>
    <row r="368" spans="9:37" x14ac:dyDescent="0.3">
      <c r="I368">
        <f ca="1">IF(OR(INDIRECT(A73&amp;ROW())=B93,INDIRECT(A73&amp;ROW())=B94),1,IF(AND(INDIRECT(A73&amp;ROW())=B95,INDIRECT(A96&amp;ROW())=C93),1,IF(AND(INDIRECT(A73&amp;ROW())=B95,INDIRECT(A96&amp;ROW())=C94),1,0)))</f>
        <v>0</v>
      </c>
      <c r="J368">
        <f ca="1">IF(AND(INDIRECT(A73&amp;ROW())=B95,INDIRECT(A96&amp;ROW())=C95),1,IF(AND(INDIRECT(A73&amp;ROW())=B95,INDIRECT(A96&amp;ROW())=C96),1,0))</f>
        <v>0</v>
      </c>
      <c r="K368">
        <f ca="1">DAYS360(INDIRECT(C68&amp;ROW()),TODAY())</f>
        <v>801</v>
      </c>
      <c r="L368">
        <f ca="1">DAYS360(INDIRECT(C69&amp;ROW()),TODAY())</f>
        <v>801</v>
      </c>
      <c r="M368">
        <f ca="1">HYPERLINK(CONCATENATE("https://bugzilla.houston.hp.com:1181/bugzilla/show_bug.cgi?id=",INDIRECT(C70&amp;ROW())),INDIRECT(C70&amp;ROW()))</f>
        <v>57050</v>
      </c>
      <c r="N368">
        <v>57050</v>
      </c>
      <c r="O368" t="s">
        <v>36</v>
      </c>
      <c r="P368" t="s">
        <v>732</v>
      </c>
      <c r="Q368" t="s">
        <v>16</v>
      </c>
      <c r="R368" t="s">
        <v>248</v>
      </c>
      <c r="S368" t="s">
        <v>552</v>
      </c>
      <c r="U368" s="6">
        <v>42046.538854166669</v>
      </c>
      <c r="V368" t="s">
        <v>18</v>
      </c>
      <c r="W368" t="s">
        <v>248</v>
      </c>
      <c r="X368" s="6">
        <v>42046.529687499999</v>
      </c>
      <c r="Y368" t="s">
        <v>786</v>
      </c>
      <c r="AB368" t="s">
        <v>201</v>
      </c>
      <c r="AC368" t="s">
        <v>247</v>
      </c>
      <c r="AD368" t="s">
        <v>227</v>
      </c>
      <c r="AE368" t="s">
        <v>226</v>
      </c>
      <c r="AG368" t="s">
        <v>121</v>
      </c>
      <c r="AH368" t="s">
        <v>327</v>
      </c>
      <c r="AI368" t="s">
        <v>121</v>
      </c>
      <c r="AJ368" t="s">
        <v>717</v>
      </c>
      <c r="AK368" t="s">
        <v>121</v>
      </c>
    </row>
    <row r="369" spans="9:37" x14ac:dyDescent="0.3">
      <c r="I369">
        <f ca="1">IF(OR(INDIRECT(A73&amp;ROW())=B93,INDIRECT(A73&amp;ROW())=B94),1,IF(AND(INDIRECT(A73&amp;ROW())=B95,INDIRECT(A96&amp;ROW())=C93),1,IF(AND(INDIRECT(A73&amp;ROW())=B95,INDIRECT(A96&amp;ROW())=C94),1,0)))</f>
        <v>0</v>
      </c>
      <c r="J369">
        <f ca="1">IF(AND(INDIRECT(A73&amp;ROW())=B95,INDIRECT(A96&amp;ROW())=C95),1,IF(AND(INDIRECT(A73&amp;ROW())=B95,INDIRECT(A96&amp;ROW())=C96),1,0))</f>
        <v>0</v>
      </c>
      <c r="K369">
        <f ca="1">DAYS360(INDIRECT(C68&amp;ROW()),TODAY())</f>
        <v>769</v>
      </c>
      <c r="L369">
        <f ca="1">DAYS360(INDIRECT(C69&amp;ROW()),TODAY())</f>
        <v>801</v>
      </c>
      <c r="M369">
        <f ca="1">HYPERLINK(CONCATENATE("https://bugzilla.houston.hp.com:1181/bugzilla/show_bug.cgi?id=",INDIRECT(C70&amp;ROW())),INDIRECT(C70&amp;ROW()))</f>
        <v>57052</v>
      </c>
      <c r="N369">
        <v>57052</v>
      </c>
      <c r="O369" t="s">
        <v>56</v>
      </c>
      <c r="P369" t="s">
        <v>731</v>
      </c>
      <c r="Q369" t="s">
        <v>16</v>
      </c>
      <c r="R369" t="s">
        <v>248</v>
      </c>
      <c r="S369" t="s">
        <v>552</v>
      </c>
      <c r="U369" s="6">
        <v>42076.532280092593</v>
      </c>
      <c r="V369" t="s">
        <v>18</v>
      </c>
      <c r="W369" t="s">
        <v>248</v>
      </c>
      <c r="X369" s="6">
        <v>42046.530289351853</v>
      </c>
      <c r="Y369" t="s">
        <v>118</v>
      </c>
      <c r="AB369" t="s">
        <v>199</v>
      </c>
      <c r="AC369" t="s">
        <v>247</v>
      </c>
      <c r="AD369" t="s">
        <v>220</v>
      </c>
      <c r="AE369" t="s">
        <v>219</v>
      </c>
      <c r="AG369" t="s">
        <v>121</v>
      </c>
      <c r="AH369" t="s">
        <v>327</v>
      </c>
      <c r="AI369" t="s">
        <v>121</v>
      </c>
      <c r="AJ369" t="s">
        <v>716</v>
      </c>
      <c r="AK369" t="s">
        <v>121</v>
      </c>
    </row>
    <row r="370" spans="9:37" x14ac:dyDescent="0.3">
      <c r="I370">
        <f ca="1">IF(OR(INDIRECT(A73&amp;ROW())=B93,INDIRECT(A73&amp;ROW())=B94),1,IF(AND(INDIRECT(A73&amp;ROW())=B95,INDIRECT(A96&amp;ROW())=C93),1,IF(AND(INDIRECT(A73&amp;ROW())=B95,INDIRECT(A96&amp;ROW())=C94),1,0)))</f>
        <v>0</v>
      </c>
      <c r="J370">
        <f ca="1">IF(AND(INDIRECT(A73&amp;ROW())=B95,INDIRECT(A96&amp;ROW())=C95),1,IF(AND(INDIRECT(A73&amp;ROW())=B95,INDIRECT(A96&amp;ROW())=C96),1,0))</f>
        <v>0</v>
      </c>
      <c r="K370">
        <f ca="1">DAYS360(INDIRECT(C68&amp;ROW()),TODAY())</f>
        <v>801</v>
      </c>
      <c r="L370">
        <f ca="1">DAYS360(INDIRECT(C69&amp;ROW()),TODAY())</f>
        <v>801</v>
      </c>
      <c r="M370">
        <f ca="1">HYPERLINK(CONCATENATE("https://bugzilla.houston.hp.com:1181/bugzilla/show_bug.cgi?id=",INDIRECT(C70&amp;ROW())),INDIRECT(C70&amp;ROW()))</f>
        <v>57054</v>
      </c>
      <c r="N370">
        <v>57054</v>
      </c>
      <c r="O370" t="s">
        <v>56</v>
      </c>
      <c r="P370" t="s">
        <v>730</v>
      </c>
      <c r="Q370" t="s">
        <v>16</v>
      </c>
      <c r="R370" t="s">
        <v>248</v>
      </c>
      <c r="S370" t="s">
        <v>552</v>
      </c>
      <c r="U370" s="6">
        <v>42046.54010416667</v>
      </c>
      <c r="V370" t="s">
        <v>18</v>
      </c>
      <c r="W370" t="s">
        <v>343</v>
      </c>
      <c r="X370" s="6">
        <v>42046.532210648147</v>
      </c>
      <c r="Y370" t="s">
        <v>246</v>
      </c>
      <c r="AB370" t="s">
        <v>200</v>
      </c>
      <c r="AC370" t="s">
        <v>247</v>
      </c>
      <c r="AD370" t="s">
        <v>220</v>
      </c>
      <c r="AE370" t="s">
        <v>219</v>
      </c>
      <c r="AG370" t="s">
        <v>121</v>
      </c>
      <c r="AH370" t="s">
        <v>327</v>
      </c>
      <c r="AI370" t="s">
        <v>121</v>
      </c>
      <c r="AJ370" t="s">
        <v>716</v>
      </c>
      <c r="AK370" t="s">
        <v>121</v>
      </c>
    </row>
    <row r="371" spans="9:37" x14ac:dyDescent="0.3">
      <c r="I371">
        <f ca="1">IF(OR(INDIRECT(A73&amp;ROW())=B93,INDIRECT(A73&amp;ROW())=B94),1,IF(AND(INDIRECT(A73&amp;ROW())=B95,INDIRECT(A96&amp;ROW())=C93),1,IF(AND(INDIRECT(A73&amp;ROW())=B95,INDIRECT(A96&amp;ROW())=C94),1,0)))</f>
        <v>0</v>
      </c>
      <c r="J371">
        <f ca="1">IF(AND(INDIRECT(A73&amp;ROW())=B95,INDIRECT(A96&amp;ROW())=C95),1,IF(AND(INDIRECT(A73&amp;ROW())=B95,INDIRECT(A96&amp;ROW())=C96),1,0))</f>
        <v>1</v>
      </c>
      <c r="K371">
        <f ca="1">DAYS360(INDIRECT(C68&amp;ROW()),TODAY())</f>
        <v>801</v>
      </c>
      <c r="L371">
        <f ca="1">DAYS360(INDIRECT(C69&amp;ROW()),TODAY())</f>
        <v>801</v>
      </c>
      <c r="M371">
        <f ca="1">HYPERLINK(CONCATENATE("https://bugzilla.houston.hp.com:1181/bugzilla/show_bug.cgi?id=",INDIRECT(C70&amp;ROW())),INDIRECT(C70&amp;ROW()))</f>
        <v>57055</v>
      </c>
      <c r="N371">
        <v>57055</v>
      </c>
      <c r="O371" t="s">
        <v>56</v>
      </c>
      <c r="P371" t="s">
        <v>729</v>
      </c>
      <c r="Q371" t="s">
        <v>25</v>
      </c>
      <c r="R371" t="s">
        <v>248</v>
      </c>
      <c r="S371" t="s">
        <v>552</v>
      </c>
      <c r="U371" s="6">
        <v>42046.577997685185</v>
      </c>
      <c r="V371" t="s">
        <v>18</v>
      </c>
      <c r="W371" t="s">
        <v>288</v>
      </c>
      <c r="X371" s="6">
        <v>42046.533553240741</v>
      </c>
      <c r="Y371" t="s">
        <v>119</v>
      </c>
      <c r="AB371" t="s">
        <v>201</v>
      </c>
      <c r="AC371" t="s">
        <v>121</v>
      </c>
      <c r="AD371" t="s">
        <v>220</v>
      </c>
      <c r="AE371" t="s">
        <v>219</v>
      </c>
      <c r="AF371" s="13">
        <v>41901</v>
      </c>
      <c r="AG371" t="s">
        <v>121</v>
      </c>
      <c r="AH371" t="s">
        <v>64</v>
      </c>
      <c r="AI371" t="s">
        <v>363</v>
      </c>
      <c r="AJ371" t="s">
        <v>716</v>
      </c>
      <c r="AK371" t="s">
        <v>121</v>
      </c>
    </row>
    <row r="372" spans="9:37" x14ac:dyDescent="0.3">
      <c r="I372">
        <f ca="1">IF(OR(INDIRECT(A73&amp;ROW())=B93,INDIRECT(A73&amp;ROW())=B94),1,IF(AND(INDIRECT(A73&amp;ROW())=B95,INDIRECT(A96&amp;ROW())=C93),1,IF(AND(INDIRECT(A73&amp;ROW())=B95,INDIRECT(A96&amp;ROW())=C94),1,0)))</f>
        <v>1</v>
      </c>
      <c r="J372">
        <f ca="1">IF(AND(INDIRECT(A73&amp;ROW())=B95,INDIRECT(A96&amp;ROW())=C95),1,IF(AND(INDIRECT(A73&amp;ROW())=B95,INDIRECT(A96&amp;ROW())=C96),1,0))</f>
        <v>0</v>
      </c>
      <c r="K372">
        <f ca="1">DAYS360(INDIRECT(C68&amp;ROW()),TODAY())</f>
        <v>800</v>
      </c>
      <c r="L372">
        <f ca="1">DAYS360(INDIRECT(C69&amp;ROW()),TODAY())</f>
        <v>801</v>
      </c>
      <c r="M372">
        <f ca="1">HYPERLINK(CONCATENATE("https://bugzilla.houston.hp.com:1181/bugzilla/show_bug.cgi?id=",INDIRECT(C70&amp;ROW())),INDIRECT(C70&amp;ROW()))</f>
        <v>57057</v>
      </c>
      <c r="N372">
        <v>57057</v>
      </c>
      <c r="O372" t="s">
        <v>36</v>
      </c>
      <c r="P372" t="s">
        <v>728</v>
      </c>
      <c r="Q372" t="s">
        <v>25</v>
      </c>
      <c r="R372" t="s">
        <v>248</v>
      </c>
      <c r="S372" t="s">
        <v>552</v>
      </c>
      <c r="U372" s="6">
        <v>42047.953125</v>
      </c>
      <c r="V372" t="s">
        <v>18</v>
      </c>
      <c r="W372" t="s">
        <v>260</v>
      </c>
      <c r="X372" s="6">
        <v>42046.534212962964</v>
      </c>
      <c r="Y372" t="s">
        <v>119</v>
      </c>
      <c r="AB372" t="s">
        <v>200</v>
      </c>
      <c r="AC372" t="s">
        <v>121</v>
      </c>
      <c r="AD372" t="s">
        <v>222</v>
      </c>
      <c r="AE372" t="s">
        <v>233</v>
      </c>
      <c r="AF372" s="13">
        <v>41878</v>
      </c>
      <c r="AG372" t="s">
        <v>121</v>
      </c>
      <c r="AH372" t="s">
        <v>64</v>
      </c>
      <c r="AI372" t="s">
        <v>362</v>
      </c>
      <c r="AJ372" t="s">
        <v>715</v>
      </c>
      <c r="AK372" t="s">
        <v>121</v>
      </c>
    </row>
    <row r="373" spans="9:37" x14ac:dyDescent="0.3">
      <c r="I373">
        <f ca="1">IF(OR(INDIRECT(A73&amp;ROW())=B93,INDIRECT(A73&amp;ROW())=B94),1,IF(AND(INDIRECT(A73&amp;ROW())=B95,INDIRECT(A96&amp;ROW())=C93),1,IF(AND(INDIRECT(A73&amp;ROW())=B95,INDIRECT(A96&amp;ROW())=C94),1,0)))</f>
        <v>0</v>
      </c>
      <c r="J373">
        <f ca="1">IF(AND(INDIRECT(A73&amp;ROW())=B95,INDIRECT(A96&amp;ROW())=C95),1,IF(AND(INDIRECT(A73&amp;ROW())=B95,INDIRECT(A96&amp;ROW())=C96),1,0))</f>
        <v>0</v>
      </c>
      <c r="K373">
        <f ca="1">DAYS360(INDIRECT(C68&amp;ROW()),TODAY())</f>
        <v>721</v>
      </c>
      <c r="L373">
        <f ca="1">DAYS360(INDIRECT(C69&amp;ROW()),TODAY())</f>
        <v>801</v>
      </c>
      <c r="M373">
        <f ca="1">HYPERLINK(CONCATENATE("https://bugzilla.houston.hp.com:1181/bugzilla/show_bug.cgi?id=",INDIRECT(C70&amp;ROW())),INDIRECT(C70&amp;ROW()))</f>
        <v>57058</v>
      </c>
      <c r="N373">
        <v>57058</v>
      </c>
      <c r="O373" t="s">
        <v>56</v>
      </c>
      <c r="P373" t="s">
        <v>727</v>
      </c>
      <c r="Q373" t="s">
        <v>16</v>
      </c>
      <c r="R373" t="s">
        <v>248</v>
      </c>
      <c r="S373" t="s">
        <v>552</v>
      </c>
      <c r="U373" s="6">
        <v>42125.447685185187</v>
      </c>
      <c r="V373" t="s">
        <v>18</v>
      </c>
      <c r="W373" t="s">
        <v>343</v>
      </c>
      <c r="X373" s="6">
        <v>42046.534537037034</v>
      </c>
      <c r="Y373" t="s">
        <v>122</v>
      </c>
      <c r="AB373" t="s">
        <v>201</v>
      </c>
      <c r="AC373" t="s">
        <v>247</v>
      </c>
      <c r="AD373" t="s">
        <v>220</v>
      </c>
      <c r="AE373" t="s">
        <v>219</v>
      </c>
      <c r="AG373" t="s">
        <v>121</v>
      </c>
      <c r="AH373" t="s">
        <v>327</v>
      </c>
      <c r="AI373" t="s">
        <v>121</v>
      </c>
      <c r="AJ373" t="s">
        <v>717</v>
      </c>
      <c r="AK373" t="s">
        <v>121</v>
      </c>
    </row>
    <row r="374" spans="9:37" x14ac:dyDescent="0.3">
      <c r="I374">
        <f ca="1">IF(OR(INDIRECT(A73&amp;ROW())=B93,INDIRECT(A73&amp;ROW())=B94),1,IF(AND(INDIRECT(A73&amp;ROW())=B95,INDIRECT(A96&amp;ROW())=C93),1,IF(AND(INDIRECT(A73&amp;ROW())=B95,INDIRECT(A96&amp;ROW())=C94),1,0)))</f>
        <v>0</v>
      </c>
      <c r="J374">
        <f ca="1">IF(AND(INDIRECT(A73&amp;ROW())=B95,INDIRECT(A96&amp;ROW())=C95),1,IF(AND(INDIRECT(A73&amp;ROW())=B95,INDIRECT(A96&amp;ROW())=C96),1,0))</f>
        <v>0</v>
      </c>
      <c r="K374">
        <f ca="1">DAYS360(INDIRECT(C68&amp;ROW()),TODAY())</f>
        <v>721</v>
      </c>
      <c r="L374">
        <f ca="1">DAYS360(INDIRECT(C69&amp;ROW()),TODAY())</f>
        <v>801</v>
      </c>
      <c r="M374">
        <f ca="1">HYPERLINK(CONCATENATE("https://bugzilla.houston.hp.com:1181/bugzilla/show_bug.cgi?id=",INDIRECT(C70&amp;ROW())),INDIRECT(C70&amp;ROW()))</f>
        <v>57061</v>
      </c>
      <c r="N374">
        <v>57061</v>
      </c>
      <c r="O374" t="s">
        <v>56</v>
      </c>
      <c r="P374" t="s">
        <v>726</v>
      </c>
      <c r="Q374" t="s">
        <v>16</v>
      </c>
      <c r="R374" t="s">
        <v>248</v>
      </c>
      <c r="S374" t="s">
        <v>552</v>
      </c>
      <c r="U374" s="6">
        <v>42125.443958333337</v>
      </c>
      <c r="V374" t="s">
        <v>18</v>
      </c>
      <c r="W374" t="s">
        <v>355</v>
      </c>
      <c r="X374" s="6">
        <v>42046.535856481481</v>
      </c>
      <c r="Y374" t="s">
        <v>122</v>
      </c>
      <c r="AB374" t="s">
        <v>200</v>
      </c>
      <c r="AC374" t="s">
        <v>121</v>
      </c>
      <c r="AD374" t="s">
        <v>220</v>
      </c>
      <c r="AE374" t="s">
        <v>219</v>
      </c>
      <c r="AG374" t="s">
        <v>121</v>
      </c>
      <c r="AH374" t="s">
        <v>327</v>
      </c>
      <c r="AI374" t="s">
        <v>121</v>
      </c>
      <c r="AJ374" t="s">
        <v>716</v>
      </c>
      <c r="AK374" t="s">
        <v>121</v>
      </c>
    </row>
    <row r="375" spans="9:37" x14ac:dyDescent="0.3">
      <c r="I375">
        <f ca="1">IF(OR(INDIRECT(A73&amp;ROW())=B93,INDIRECT(A73&amp;ROW())=B94),1,IF(AND(INDIRECT(A73&amp;ROW())=B95,INDIRECT(A96&amp;ROW())=C93),1,IF(AND(INDIRECT(A73&amp;ROW())=B95,INDIRECT(A96&amp;ROW())=C94),1,0)))</f>
        <v>0</v>
      </c>
      <c r="J375">
        <f ca="1">IF(AND(INDIRECT(A73&amp;ROW())=B95,INDIRECT(A96&amp;ROW())=C95),1,IF(AND(INDIRECT(A73&amp;ROW())=B95,INDIRECT(A96&amp;ROW())=C96),1,0))</f>
        <v>0</v>
      </c>
      <c r="K375">
        <f ca="1">DAYS360(INDIRECT(C68&amp;ROW()),TODAY())</f>
        <v>721</v>
      </c>
      <c r="L375">
        <f ca="1">DAYS360(INDIRECT(C69&amp;ROW()),TODAY())</f>
        <v>801</v>
      </c>
      <c r="M375">
        <f ca="1">HYPERLINK(CONCATENATE("https://bugzilla.houston.hp.com:1181/bugzilla/show_bug.cgi?id=",INDIRECT(C70&amp;ROW())),INDIRECT(C70&amp;ROW()))</f>
        <v>57062</v>
      </c>
      <c r="N375">
        <v>57062</v>
      </c>
      <c r="O375" t="s">
        <v>56</v>
      </c>
      <c r="P375" t="s">
        <v>725</v>
      </c>
      <c r="Q375" t="s">
        <v>16</v>
      </c>
      <c r="R375" t="s">
        <v>248</v>
      </c>
      <c r="S375" t="s">
        <v>552</v>
      </c>
      <c r="U375" s="6">
        <v>42125.443865740737</v>
      </c>
      <c r="V375" t="s">
        <v>18</v>
      </c>
      <c r="W375" t="s">
        <v>215</v>
      </c>
      <c r="X375" s="6">
        <v>42046.536157407405</v>
      </c>
      <c r="Y375" t="s">
        <v>122</v>
      </c>
      <c r="AB375" t="s">
        <v>200</v>
      </c>
      <c r="AC375" t="s">
        <v>247</v>
      </c>
      <c r="AD375" t="s">
        <v>220</v>
      </c>
      <c r="AE375" t="s">
        <v>219</v>
      </c>
      <c r="AG375" t="s">
        <v>121</v>
      </c>
      <c r="AH375" t="s">
        <v>327</v>
      </c>
      <c r="AI375" t="s">
        <v>121</v>
      </c>
      <c r="AJ375" t="s">
        <v>716</v>
      </c>
      <c r="AK375" t="s">
        <v>121</v>
      </c>
    </row>
    <row r="376" spans="9:37" x14ac:dyDescent="0.3">
      <c r="I376">
        <f ca="1">IF(OR(INDIRECT(A73&amp;ROW())=B93,INDIRECT(A73&amp;ROW())=B94),1,IF(AND(INDIRECT(A73&amp;ROW())=B95,INDIRECT(A96&amp;ROW())=C93),1,IF(AND(INDIRECT(A73&amp;ROW())=B95,INDIRECT(A96&amp;ROW())=C94),1,0)))</f>
        <v>0</v>
      </c>
      <c r="J376">
        <f ca="1">IF(AND(INDIRECT(A73&amp;ROW())=B95,INDIRECT(A96&amp;ROW())=C95),1,IF(AND(INDIRECT(A73&amp;ROW())=B95,INDIRECT(A96&amp;ROW())=C96),1,0))</f>
        <v>0</v>
      </c>
      <c r="K376">
        <f ca="1">DAYS360(INDIRECT(C68&amp;ROW()),TODAY())</f>
        <v>714</v>
      </c>
      <c r="L376">
        <f ca="1">DAYS360(INDIRECT(C69&amp;ROW()),TODAY())</f>
        <v>801</v>
      </c>
      <c r="M376">
        <f ca="1">HYPERLINK(CONCATENATE("https://bugzilla.houston.hp.com:1181/bugzilla/show_bug.cgi?id=",INDIRECT(C70&amp;ROW())),INDIRECT(C70&amp;ROW()))</f>
        <v>57063</v>
      </c>
      <c r="N376">
        <v>57063</v>
      </c>
      <c r="O376" t="s">
        <v>56</v>
      </c>
      <c r="P376" t="s">
        <v>724</v>
      </c>
      <c r="Q376" t="s">
        <v>16</v>
      </c>
      <c r="R376" t="s">
        <v>248</v>
      </c>
      <c r="S376" t="s">
        <v>552</v>
      </c>
      <c r="T376" t="s">
        <v>842</v>
      </c>
      <c r="U376" s="6">
        <v>42132.553506944445</v>
      </c>
      <c r="V376" t="s">
        <v>18</v>
      </c>
      <c r="W376" t="s">
        <v>248</v>
      </c>
      <c r="X376" s="6">
        <v>42046.541284722225</v>
      </c>
      <c r="Y376" t="s">
        <v>785</v>
      </c>
      <c r="AB376" t="s">
        <v>200</v>
      </c>
      <c r="AC376" t="s">
        <v>247</v>
      </c>
      <c r="AD376" t="s">
        <v>220</v>
      </c>
      <c r="AE376" t="s">
        <v>219</v>
      </c>
      <c r="AG376" t="s">
        <v>121</v>
      </c>
      <c r="AH376" t="s">
        <v>327</v>
      </c>
      <c r="AI376" t="s">
        <v>121</v>
      </c>
      <c r="AJ376" t="s">
        <v>715</v>
      </c>
      <c r="AK376" t="s">
        <v>121</v>
      </c>
    </row>
    <row r="377" spans="9:37" x14ac:dyDescent="0.3">
      <c r="I377">
        <f ca="1">IF(OR(INDIRECT(A73&amp;ROW())=B93,INDIRECT(A73&amp;ROW())=B94),1,IF(AND(INDIRECT(A73&amp;ROW())=B95,INDIRECT(A96&amp;ROW())=C93),1,IF(AND(INDIRECT(A73&amp;ROW())=B95,INDIRECT(A96&amp;ROW())=C94),1,0)))</f>
        <v>1</v>
      </c>
      <c r="J377">
        <f ca="1">IF(AND(INDIRECT(A73&amp;ROW())=B95,INDIRECT(A96&amp;ROW())=C95),1,IF(AND(INDIRECT(A73&amp;ROW())=B95,INDIRECT(A96&amp;ROW())=C96),1,0))</f>
        <v>0</v>
      </c>
      <c r="K377">
        <f ca="1">DAYS360(INDIRECT(C68&amp;ROW()),TODAY())</f>
        <v>730</v>
      </c>
      <c r="L377">
        <f ca="1">DAYS360(INDIRECT(C69&amp;ROW()),TODAY())</f>
        <v>801</v>
      </c>
      <c r="M377">
        <f ca="1">HYPERLINK(CONCATENATE("https://bugzilla.houston.hp.com:1181/bugzilla/show_bug.cgi?id=",INDIRECT(C70&amp;ROW())),INDIRECT(C70&amp;ROW()))</f>
        <v>57072</v>
      </c>
      <c r="N377">
        <v>57072</v>
      </c>
      <c r="O377" t="s">
        <v>241</v>
      </c>
      <c r="P377" t="s">
        <v>723</v>
      </c>
      <c r="Q377" t="s">
        <v>39</v>
      </c>
      <c r="R377" t="s">
        <v>251</v>
      </c>
      <c r="S377" t="s">
        <v>24</v>
      </c>
      <c r="U377" s="6">
        <v>42116.453750000001</v>
      </c>
      <c r="V377" t="s">
        <v>18</v>
      </c>
      <c r="W377" t="s">
        <v>17</v>
      </c>
      <c r="X377" s="6">
        <v>42046.616006944445</v>
      </c>
      <c r="Y377" t="s">
        <v>535</v>
      </c>
      <c r="AB377" t="s">
        <v>201</v>
      </c>
      <c r="AC377" t="s">
        <v>247</v>
      </c>
      <c r="AD377" t="s">
        <v>222</v>
      </c>
      <c r="AE377" t="s">
        <v>221</v>
      </c>
      <c r="AG377" t="s">
        <v>121</v>
      </c>
      <c r="AH377" t="s">
        <v>327</v>
      </c>
      <c r="AI377" t="s">
        <v>121</v>
      </c>
      <c r="AJ377" t="s">
        <v>715</v>
      </c>
      <c r="AK377" t="s">
        <v>121</v>
      </c>
    </row>
    <row r="378" spans="9:37" x14ac:dyDescent="0.3">
      <c r="I378">
        <f ca="1">IF(OR(INDIRECT(A73&amp;ROW())=B93,INDIRECT(A73&amp;ROW())=B94),1,IF(AND(INDIRECT(A73&amp;ROW())=B95,INDIRECT(A96&amp;ROW())=C93),1,IF(AND(INDIRECT(A73&amp;ROW())=B95,INDIRECT(A96&amp;ROW())=C94),1,0)))</f>
        <v>1</v>
      </c>
      <c r="J378">
        <f ca="1">IF(AND(INDIRECT(A73&amp;ROW())=B95,INDIRECT(A96&amp;ROW())=C95),1,IF(AND(INDIRECT(A73&amp;ROW())=B95,INDIRECT(A96&amp;ROW())=C96),1,0))</f>
        <v>0</v>
      </c>
      <c r="K378">
        <f ca="1">DAYS360(INDIRECT(C68&amp;ROW()),TODAY())</f>
        <v>735</v>
      </c>
      <c r="L378">
        <f ca="1">DAYS360(INDIRECT(C69&amp;ROW()),TODAY())</f>
        <v>801</v>
      </c>
      <c r="M378">
        <f ca="1">HYPERLINK(CONCATENATE("https://bugzilla.houston.hp.com:1181/bugzilla/show_bug.cgi?id=",INDIRECT(C70&amp;ROW())),INDIRECT(C70&amp;ROW()))</f>
        <v>57075</v>
      </c>
      <c r="N378">
        <v>57075</v>
      </c>
      <c r="O378" t="s">
        <v>241</v>
      </c>
      <c r="P378" t="s">
        <v>722</v>
      </c>
      <c r="Q378" t="s">
        <v>39</v>
      </c>
      <c r="R378" t="s">
        <v>579</v>
      </c>
      <c r="S378" t="s">
        <v>552</v>
      </c>
      <c r="T378" t="s">
        <v>820</v>
      </c>
      <c r="U378" s="6">
        <v>42111.525648148148</v>
      </c>
      <c r="V378" t="s">
        <v>40</v>
      </c>
      <c r="W378" t="s">
        <v>576</v>
      </c>
      <c r="X378" s="6">
        <v>42046.66238425926</v>
      </c>
      <c r="Y378" t="s">
        <v>535</v>
      </c>
      <c r="AB378" t="s">
        <v>201</v>
      </c>
      <c r="AC378" t="s">
        <v>247</v>
      </c>
      <c r="AD378" t="s">
        <v>227</v>
      </c>
      <c r="AE378" t="s">
        <v>237</v>
      </c>
      <c r="AG378" t="s">
        <v>121</v>
      </c>
      <c r="AH378" t="s">
        <v>327</v>
      </c>
      <c r="AI378" t="s">
        <v>362</v>
      </c>
      <c r="AJ378" t="s">
        <v>715</v>
      </c>
      <c r="AK378" t="s">
        <v>121</v>
      </c>
    </row>
    <row r="379" spans="9:37" x14ac:dyDescent="0.3">
      <c r="I379">
        <f ca="1">IF(OR(INDIRECT(A73&amp;ROW())=B93,INDIRECT(A73&amp;ROW())=B94),1,IF(AND(INDIRECT(A73&amp;ROW())=B95,INDIRECT(A96&amp;ROW())=C93),1,IF(AND(INDIRECT(A73&amp;ROW())=B95,INDIRECT(A96&amp;ROW())=C94),1,0)))</f>
        <v>1</v>
      </c>
      <c r="J379">
        <f ca="1">IF(AND(INDIRECT(A73&amp;ROW())=B95,INDIRECT(A96&amp;ROW())=C95),1,IF(AND(INDIRECT(A73&amp;ROW())=B95,INDIRECT(A96&amp;ROW())=C96),1,0))</f>
        <v>0</v>
      </c>
      <c r="K379">
        <f ca="1">DAYS360(INDIRECT(C68&amp;ROW()),TODAY())</f>
        <v>764</v>
      </c>
      <c r="L379">
        <f ca="1">DAYS360(INDIRECT(C69&amp;ROW()),TODAY())</f>
        <v>801</v>
      </c>
      <c r="M379">
        <f ca="1">HYPERLINK(CONCATENATE("https://bugzilla.houston.hp.com:1181/bugzilla/show_bug.cgi?id=",INDIRECT(C70&amp;ROW())),INDIRECT(C70&amp;ROW()))</f>
        <v>57076</v>
      </c>
      <c r="N379">
        <v>57076</v>
      </c>
      <c r="O379" t="s">
        <v>241</v>
      </c>
      <c r="P379" t="s">
        <v>721</v>
      </c>
      <c r="Q379" t="s">
        <v>39</v>
      </c>
      <c r="R379" t="s">
        <v>248</v>
      </c>
      <c r="S379" t="s">
        <v>552</v>
      </c>
      <c r="U379" s="6">
        <v>42081.529675925929</v>
      </c>
      <c r="V379" t="s">
        <v>40</v>
      </c>
      <c r="W379" t="s">
        <v>248</v>
      </c>
      <c r="X379" s="6">
        <v>42046.666458333333</v>
      </c>
      <c r="Y379" t="s">
        <v>535</v>
      </c>
      <c r="AB379" t="s">
        <v>201</v>
      </c>
      <c r="AC379" t="s">
        <v>247</v>
      </c>
      <c r="AD379" t="s">
        <v>227</v>
      </c>
      <c r="AE379" t="s">
        <v>237</v>
      </c>
      <c r="AG379" t="s">
        <v>121</v>
      </c>
      <c r="AH379" t="s">
        <v>327</v>
      </c>
      <c r="AI379" t="s">
        <v>121</v>
      </c>
      <c r="AJ379" t="s">
        <v>715</v>
      </c>
      <c r="AK379" t="s">
        <v>121</v>
      </c>
    </row>
    <row r="380" spans="9:37" x14ac:dyDescent="0.3">
      <c r="I380">
        <f ca="1">IF(OR(INDIRECT(A73&amp;ROW())=B93,INDIRECT(A73&amp;ROW())=B94),1,IF(AND(INDIRECT(A73&amp;ROW())=B95,INDIRECT(A96&amp;ROW())=C93),1,IF(AND(INDIRECT(A73&amp;ROW())=B95,INDIRECT(A96&amp;ROW())=C94),1,0)))</f>
        <v>0</v>
      </c>
      <c r="J380">
        <f ca="1">IF(AND(INDIRECT(A73&amp;ROW())=B95,INDIRECT(A96&amp;ROW())=C95),1,IF(AND(INDIRECT(A73&amp;ROW())=B95,INDIRECT(A96&amp;ROW())=C96),1,0))</f>
        <v>1</v>
      </c>
      <c r="K380">
        <f ca="1">DAYS360(INDIRECT(C68&amp;ROW()),TODAY())</f>
        <v>703</v>
      </c>
      <c r="L380">
        <f ca="1">DAYS360(INDIRECT(C69&amp;ROW()),TODAY())</f>
        <v>800</v>
      </c>
      <c r="M380">
        <f ca="1">HYPERLINK(CONCATENATE("https://bugzilla.houston.hp.com:1181/bugzilla/show_bug.cgi?id=",INDIRECT(C70&amp;ROW())),INDIRECT(C70&amp;ROW()))</f>
        <v>57153</v>
      </c>
      <c r="N380">
        <v>57153</v>
      </c>
      <c r="O380" t="s">
        <v>53</v>
      </c>
      <c r="P380" t="s">
        <v>720</v>
      </c>
      <c r="Q380" t="s">
        <v>25</v>
      </c>
      <c r="R380" t="s">
        <v>251</v>
      </c>
      <c r="S380" t="s">
        <v>43</v>
      </c>
      <c r="U380" s="6">
        <v>42143.458402777775</v>
      </c>
      <c r="V380" t="s">
        <v>18</v>
      </c>
      <c r="W380" t="s">
        <v>17</v>
      </c>
      <c r="X380" s="6">
        <v>42047.550046296295</v>
      </c>
      <c r="Y380" t="s">
        <v>122</v>
      </c>
      <c r="Z380" t="s">
        <v>190</v>
      </c>
      <c r="AB380" t="s">
        <v>201</v>
      </c>
      <c r="AC380" t="s">
        <v>247</v>
      </c>
      <c r="AD380" t="s">
        <v>220</v>
      </c>
      <c r="AE380" t="s">
        <v>219</v>
      </c>
      <c r="AG380" t="s">
        <v>121</v>
      </c>
      <c r="AH380" t="s">
        <v>327</v>
      </c>
      <c r="AI380" t="s">
        <v>121</v>
      </c>
      <c r="AJ380" t="s">
        <v>716</v>
      </c>
      <c r="AK380" t="s">
        <v>121</v>
      </c>
    </row>
    <row r="381" spans="9:37" x14ac:dyDescent="0.3">
      <c r="I381">
        <f ca="1">IF(OR(INDIRECT(A73&amp;ROW())=B93,INDIRECT(A73&amp;ROW())=B94),1,IF(AND(INDIRECT(A73&amp;ROW())=B95,INDIRECT(A96&amp;ROW())=C93),1,IF(AND(INDIRECT(A73&amp;ROW())=B95,INDIRECT(A96&amp;ROW())=C94),1,0)))</f>
        <v>0</v>
      </c>
      <c r="J381">
        <f ca="1">IF(AND(INDIRECT(A73&amp;ROW())=B95,INDIRECT(A96&amp;ROW())=C95),1,IF(AND(INDIRECT(A73&amp;ROW())=B95,INDIRECT(A96&amp;ROW())=C96),1,0))</f>
        <v>1</v>
      </c>
      <c r="K381">
        <f ca="1">DAYS360(INDIRECT(C68&amp;ROW()),TODAY())</f>
        <v>721</v>
      </c>
      <c r="L381">
        <f ca="1">DAYS360(INDIRECT(C69&amp;ROW()),TODAY())</f>
        <v>795</v>
      </c>
      <c r="M381">
        <f ca="1">HYPERLINK(CONCATENATE("https://bugzilla.houston.hp.com:1181/bugzilla/show_bug.cgi?id=",INDIRECT(C70&amp;ROW())),INDIRECT(C70&amp;ROW()))</f>
        <v>57332</v>
      </c>
      <c r="N381">
        <v>57332</v>
      </c>
      <c r="O381" t="s">
        <v>43</v>
      </c>
      <c r="P381" t="s">
        <v>746</v>
      </c>
      <c r="Q381" t="s">
        <v>25</v>
      </c>
      <c r="R381" t="s">
        <v>251</v>
      </c>
      <c r="S381" t="s">
        <v>43</v>
      </c>
      <c r="U381" s="6">
        <v>42125.452824074076</v>
      </c>
      <c r="V381" t="s">
        <v>18</v>
      </c>
      <c r="W381" t="s">
        <v>17</v>
      </c>
      <c r="X381" s="6">
        <v>42052.75199074074</v>
      </c>
      <c r="Y381" t="s">
        <v>122</v>
      </c>
      <c r="AB381" t="s">
        <v>201</v>
      </c>
      <c r="AC381" t="s">
        <v>247</v>
      </c>
      <c r="AD381" t="s">
        <v>220</v>
      </c>
      <c r="AE381" t="s">
        <v>223</v>
      </c>
      <c r="AG381" t="s">
        <v>121</v>
      </c>
      <c r="AH381" t="s">
        <v>327</v>
      </c>
      <c r="AI381" t="s">
        <v>121</v>
      </c>
      <c r="AJ381" t="s">
        <v>716</v>
      </c>
      <c r="AK381" t="s">
        <v>121</v>
      </c>
    </row>
    <row r="382" spans="9:37" x14ac:dyDescent="0.3">
      <c r="I382">
        <f ca="1">IF(OR(INDIRECT(A73&amp;ROW())=B93,INDIRECT(A73&amp;ROW())=B94),1,IF(AND(INDIRECT(A73&amp;ROW())=B95,INDIRECT(A96&amp;ROW())=C93),1,IF(AND(INDIRECT(A73&amp;ROW())=B95,INDIRECT(A96&amp;ROW())=C94),1,0)))</f>
        <v>0</v>
      </c>
      <c r="J382">
        <f ca="1">IF(AND(INDIRECT(A73&amp;ROW())=B95,INDIRECT(A96&amp;ROW())=C95),1,IF(AND(INDIRECT(A73&amp;ROW())=B95,INDIRECT(A96&amp;ROW())=C96),1,0))</f>
        <v>1</v>
      </c>
      <c r="K382">
        <f ca="1">DAYS360(INDIRECT(C68&amp;ROW()),TODAY())</f>
        <v>752</v>
      </c>
      <c r="L382">
        <f ca="1">DAYS360(INDIRECT(C69&amp;ROW()),TODAY())</f>
        <v>795</v>
      </c>
      <c r="M382">
        <f ca="1">HYPERLINK(CONCATENATE("https://bugzilla.houston.hp.com:1181/bugzilla/show_bug.cgi?id=",INDIRECT(C70&amp;ROW())),INDIRECT(C70&amp;ROW()))</f>
        <v>57333</v>
      </c>
      <c r="N382">
        <v>57333</v>
      </c>
      <c r="O382" t="s">
        <v>56</v>
      </c>
      <c r="P382" t="s">
        <v>745</v>
      </c>
      <c r="Q382" t="s">
        <v>25</v>
      </c>
      <c r="R382" t="s">
        <v>579</v>
      </c>
      <c r="S382" t="s">
        <v>236</v>
      </c>
      <c r="T382" t="s">
        <v>610</v>
      </c>
      <c r="U382" s="6">
        <v>42093.363055555557</v>
      </c>
      <c r="V382" t="s">
        <v>18</v>
      </c>
      <c r="W382" t="s">
        <v>514</v>
      </c>
      <c r="X382" s="6">
        <v>42052.780381944445</v>
      </c>
      <c r="Y382" t="s">
        <v>535</v>
      </c>
      <c r="AB382" t="s">
        <v>201</v>
      </c>
      <c r="AC382" t="s">
        <v>247</v>
      </c>
      <c r="AD382" t="s">
        <v>220</v>
      </c>
      <c r="AE382" t="s">
        <v>219</v>
      </c>
      <c r="AG382" t="s">
        <v>121</v>
      </c>
      <c r="AH382" t="s">
        <v>327</v>
      </c>
      <c r="AI382" t="s">
        <v>362</v>
      </c>
      <c r="AJ382" t="s">
        <v>716</v>
      </c>
      <c r="AK382" t="s">
        <v>121</v>
      </c>
    </row>
    <row r="383" spans="9:37" x14ac:dyDescent="0.3">
      <c r="I383">
        <f ca="1">IF(OR(INDIRECT(A73&amp;ROW())=B93,INDIRECT(A73&amp;ROW())=B94),1,IF(AND(INDIRECT(A73&amp;ROW())=B95,INDIRECT(A96&amp;ROW())=C93),1,IF(AND(INDIRECT(A73&amp;ROW())=B95,INDIRECT(A96&amp;ROW())=C94),1,0)))</f>
        <v>0</v>
      </c>
      <c r="J383">
        <f ca="1">IF(AND(INDIRECT(A73&amp;ROW())=B95,INDIRECT(A96&amp;ROW())=C95),1,IF(AND(INDIRECT(A73&amp;ROW())=B95,INDIRECT(A96&amp;ROW())=C96),1,0))</f>
        <v>1</v>
      </c>
      <c r="K383">
        <f ca="1">DAYS360(INDIRECT(C68&amp;ROW()),TODAY())</f>
        <v>721</v>
      </c>
      <c r="L383">
        <f ca="1">DAYS360(INDIRECT(C69&amp;ROW()),TODAY())</f>
        <v>794</v>
      </c>
      <c r="M383">
        <f ca="1">HYPERLINK(CONCATENATE("https://bugzilla.houston.hp.com:1181/bugzilla/show_bug.cgi?id=",INDIRECT(C70&amp;ROW())),INDIRECT(C70&amp;ROW()))</f>
        <v>57398</v>
      </c>
      <c r="N383">
        <v>57398</v>
      </c>
      <c r="O383" t="s">
        <v>43</v>
      </c>
      <c r="P383" t="s">
        <v>747</v>
      </c>
      <c r="Q383" t="s">
        <v>25</v>
      </c>
      <c r="R383" t="s">
        <v>248</v>
      </c>
      <c r="S383" t="s">
        <v>552</v>
      </c>
      <c r="U383" s="6">
        <v>42125.450729166667</v>
      </c>
      <c r="V383" t="s">
        <v>18</v>
      </c>
      <c r="W383" t="s">
        <v>372</v>
      </c>
      <c r="X383" s="6">
        <v>42053.567245370374</v>
      </c>
      <c r="Y383" t="s">
        <v>122</v>
      </c>
      <c r="AB383" t="s">
        <v>201</v>
      </c>
      <c r="AC383" t="s">
        <v>247</v>
      </c>
      <c r="AD383" t="s">
        <v>220</v>
      </c>
      <c r="AE383" t="s">
        <v>219</v>
      </c>
      <c r="AG383" t="s">
        <v>121</v>
      </c>
      <c r="AH383" t="s">
        <v>327</v>
      </c>
      <c r="AI383" t="s">
        <v>121</v>
      </c>
      <c r="AJ383" t="s">
        <v>716</v>
      </c>
      <c r="AK383" t="s">
        <v>121</v>
      </c>
    </row>
    <row r="384" spans="9:37" x14ac:dyDescent="0.3">
      <c r="I384">
        <f ca="1">IF(OR(INDIRECT(A73&amp;ROW())=B93,INDIRECT(A73&amp;ROW())=B94),1,IF(AND(INDIRECT(A73&amp;ROW())=B95,INDIRECT(A96&amp;ROW())=C93),1,IF(AND(INDIRECT(A73&amp;ROW())=B95,INDIRECT(A96&amp;ROW())=C94),1,0)))</f>
        <v>0</v>
      </c>
      <c r="J384">
        <f ca="1">IF(AND(INDIRECT(A73&amp;ROW())=B95,INDIRECT(A96&amp;ROW())=C95),1,IF(AND(INDIRECT(A73&amp;ROW())=B95,INDIRECT(A96&amp;ROW())=C96),1,0))</f>
        <v>0</v>
      </c>
      <c r="K384">
        <f ca="1">DAYS360(INDIRECT(C68&amp;ROW()),TODAY())</f>
        <v>769</v>
      </c>
      <c r="L384">
        <f ca="1">DAYS360(INDIRECT(C69&amp;ROW()),TODAY())</f>
        <v>793</v>
      </c>
      <c r="M384">
        <f ca="1">HYPERLINK(CONCATENATE("https://bugzilla.houston.hp.com:1181/bugzilla/show_bug.cgi?id=",INDIRECT(C70&amp;ROW())),INDIRECT(C70&amp;ROW()))</f>
        <v>57448</v>
      </c>
      <c r="N384">
        <v>57448</v>
      </c>
      <c r="O384" t="s">
        <v>45</v>
      </c>
      <c r="P384" t="s">
        <v>759</v>
      </c>
      <c r="Q384" t="s">
        <v>16</v>
      </c>
      <c r="R384" t="s">
        <v>579</v>
      </c>
      <c r="S384" t="s">
        <v>45</v>
      </c>
      <c r="T384" t="s">
        <v>804</v>
      </c>
      <c r="U384" s="6">
        <v>42076.335775462961</v>
      </c>
      <c r="V384" t="s">
        <v>18</v>
      </c>
      <c r="W384" t="s">
        <v>17</v>
      </c>
      <c r="X384" s="6">
        <v>42054.39671296296</v>
      </c>
      <c r="Y384" t="s">
        <v>793</v>
      </c>
      <c r="AB384" t="s">
        <v>200</v>
      </c>
      <c r="AC384" t="s">
        <v>247</v>
      </c>
      <c r="AD384" t="s">
        <v>227</v>
      </c>
      <c r="AE384" t="s">
        <v>226</v>
      </c>
      <c r="AG384" t="s">
        <v>121</v>
      </c>
      <c r="AH384" t="s">
        <v>327</v>
      </c>
      <c r="AI384" t="s">
        <v>121</v>
      </c>
      <c r="AJ384" t="s">
        <v>716</v>
      </c>
      <c r="AK384" t="s">
        <v>121</v>
      </c>
    </row>
    <row r="385" spans="9:37" x14ac:dyDescent="0.3">
      <c r="I385">
        <f ca="1">IF(OR(INDIRECT(A73&amp;ROW())=B93,INDIRECT(A73&amp;ROW())=B94),1,IF(AND(INDIRECT(A73&amp;ROW())=B95,INDIRECT(A96&amp;ROW())=C93),1,IF(AND(INDIRECT(A73&amp;ROW())=B95,INDIRECT(A96&amp;ROW())=C94),1,0)))</f>
        <v>1</v>
      </c>
      <c r="J385">
        <f ca="1">IF(AND(INDIRECT(A73&amp;ROW())=B95,INDIRECT(A96&amp;ROW())=C95),1,IF(AND(INDIRECT(A73&amp;ROW())=B95,INDIRECT(A96&amp;ROW())=C96),1,0))</f>
        <v>0</v>
      </c>
      <c r="K385">
        <f ca="1">DAYS360(INDIRECT(C68&amp;ROW()),TODAY())</f>
        <v>714</v>
      </c>
      <c r="L385">
        <f ca="1">DAYS360(INDIRECT(C69&amp;ROW()),TODAY())</f>
        <v>793</v>
      </c>
      <c r="M385">
        <f ca="1">HYPERLINK(CONCATENATE("https://bugzilla.houston.hp.com:1181/bugzilla/show_bug.cgi?id=",INDIRECT(C70&amp;ROW())),INDIRECT(C70&amp;ROW()))</f>
        <v>57455</v>
      </c>
      <c r="N385">
        <v>57455</v>
      </c>
      <c r="O385" t="s">
        <v>241</v>
      </c>
      <c r="P385" t="s">
        <v>767</v>
      </c>
      <c r="Q385" t="s">
        <v>25</v>
      </c>
      <c r="R385" t="s">
        <v>251</v>
      </c>
      <c r="S385" t="s">
        <v>51</v>
      </c>
      <c r="U385" s="6">
        <v>42132.364224537036</v>
      </c>
      <c r="V385" t="s">
        <v>18</v>
      </c>
      <c r="W385" t="s">
        <v>764</v>
      </c>
      <c r="X385" s="6">
        <v>42054.467719907407</v>
      </c>
      <c r="Y385" t="s">
        <v>122</v>
      </c>
      <c r="AB385" t="s">
        <v>200</v>
      </c>
      <c r="AC385" t="s">
        <v>247</v>
      </c>
      <c r="AD385" t="s">
        <v>222</v>
      </c>
      <c r="AE385" t="s">
        <v>232</v>
      </c>
      <c r="AG385" t="s">
        <v>121</v>
      </c>
      <c r="AH385" t="s">
        <v>327</v>
      </c>
      <c r="AI385" t="s">
        <v>121</v>
      </c>
      <c r="AJ385" t="s">
        <v>715</v>
      </c>
      <c r="AK385" t="s">
        <v>121</v>
      </c>
    </row>
    <row r="386" spans="9:37" x14ac:dyDescent="0.3">
      <c r="I386">
        <f ca="1">IF(OR(INDIRECT(A73&amp;ROW())=B93,INDIRECT(A73&amp;ROW())=B94),1,IF(AND(INDIRECT(A73&amp;ROW())=B95,INDIRECT(A96&amp;ROW())=C93),1,IF(AND(INDIRECT(A73&amp;ROW())=B95,INDIRECT(A96&amp;ROW())=C94),1,0)))</f>
        <v>0</v>
      </c>
      <c r="J386">
        <f ca="1">IF(AND(INDIRECT(A73&amp;ROW())=B95,INDIRECT(A96&amp;ROW())=C95),1,IF(AND(INDIRECT(A73&amp;ROW())=B95,INDIRECT(A96&amp;ROW())=C96),1,0))</f>
        <v>0</v>
      </c>
      <c r="K386">
        <f ca="1">DAYS360(INDIRECT(C68&amp;ROW()),TODAY())</f>
        <v>721</v>
      </c>
      <c r="L386">
        <f ca="1">DAYS360(INDIRECT(C69&amp;ROW()),TODAY())</f>
        <v>793</v>
      </c>
      <c r="M386">
        <f ca="1">HYPERLINK(CONCATENATE("https://bugzilla.houston.hp.com:1181/bugzilla/show_bug.cgi?id=",INDIRECT(C70&amp;ROW())),INDIRECT(C70&amp;ROW()))</f>
        <v>57468</v>
      </c>
      <c r="N386">
        <v>57468</v>
      </c>
      <c r="O386" t="s">
        <v>56</v>
      </c>
      <c r="P386" t="s">
        <v>758</v>
      </c>
      <c r="Q386" t="s">
        <v>16</v>
      </c>
      <c r="R386" t="s">
        <v>251</v>
      </c>
      <c r="S386" t="s">
        <v>53</v>
      </c>
      <c r="U386" s="6">
        <v>42125.453761574077</v>
      </c>
      <c r="V386" t="s">
        <v>18</v>
      </c>
      <c r="W386" t="s">
        <v>17</v>
      </c>
      <c r="X386" s="6">
        <v>42054.521574074075</v>
      </c>
      <c r="Y386" t="s">
        <v>122</v>
      </c>
      <c r="AB386" t="s">
        <v>200</v>
      </c>
      <c r="AC386" t="s">
        <v>247</v>
      </c>
      <c r="AD386" t="s">
        <v>220</v>
      </c>
      <c r="AE386" t="s">
        <v>219</v>
      </c>
      <c r="AG386" t="s">
        <v>121</v>
      </c>
      <c r="AH386" t="s">
        <v>327</v>
      </c>
      <c r="AI386" t="s">
        <v>121</v>
      </c>
      <c r="AJ386" t="s">
        <v>716</v>
      </c>
      <c r="AK386" t="s">
        <v>121</v>
      </c>
    </row>
    <row r="387" spans="9:37" x14ac:dyDescent="0.3">
      <c r="I387">
        <f ca="1">IF(OR(INDIRECT(A73&amp;ROW())=B93,INDIRECT(A73&amp;ROW())=B94),1,IF(AND(INDIRECT(A73&amp;ROW())=B95,INDIRECT(A96&amp;ROW())=C93),1,IF(AND(INDIRECT(A73&amp;ROW())=B95,INDIRECT(A96&amp;ROW())=C94),1,0)))</f>
        <v>1</v>
      </c>
      <c r="J387">
        <f ca="1">IF(AND(INDIRECT(A73&amp;ROW())=B95,INDIRECT(A96&amp;ROW())=C95),1,IF(AND(INDIRECT(A73&amp;ROW())=B95,INDIRECT(A96&amp;ROW())=C96),1,0))</f>
        <v>0</v>
      </c>
      <c r="K387">
        <f ca="1">DAYS360(INDIRECT(C68&amp;ROW()),TODAY())</f>
        <v>728</v>
      </c>
      <c r="L387">
        <f ca="1">DAYS360(INDIRECT(C69&amp;ROW()),TODAY())</f>
        <v>793</v>
      </c>
      <c r="M387">
        <f ca="1">HYPERLINK(CONCATENATE("https://bugzilla.houston.hp.com:1181/bugzilla/show_bug.cgi?id=",INDIRECT(C70&amp;ROW())),INDIRECT(C70&amp;ROW()))</f>
        <v>57480</v>
      </c>
      <c r="N387">
        <v>57480</v>
      </c>
      <c r="O387" t="s">
        <v>241</v>
      </c>
      <c r="P387" t="s">
        <v>757</v>
      </c>
      <c r="Q387" t="s">
        <v>25</v>
      </c>
      <c r="R387" t="s">
        <v>579</v>
      </c>
      <c r="S387" t="s">
        <v>552</v>
      </c>
      <c r="T387" t="s">
        <v>820</v>
      </c>
      <c r="U387" s="6">
        <v>42118.292291666665</v>
      </c>
      <c r="V387" t="s">
        <v>18</v>
      </c>
      <c r="W387" t="s">
        <v>764</v>
      </c>
      <c r="X387" s="6">
        <v>42054.702291666668</v>
      </c>
      <c r="Y387" t="s">
        <v>122</v>
      </c>
      <c r="AB387" t="s">
        <v>200</v>
      </c>
      <c r="AC387" t="s">
        <v>247</v>
      </c>
      <c r="AD387" t="s">
        <v>222</v>
      </c>
      <c r="AE387" t="s">
        <v>221</v>
      </c>
      <c r="AG387" t="s">
        <v>121</v>
      </c>
      <c r="AH387" t="s">
        <v>327</v>
      </c>
      <c r="AI387" t="s">
        <v>121</v>
      </c>
      <c r="AJ387" t="s">
        <v>715</v>
      </c>
      <c r="AK387" t="s">
        <v>121</v>
      </c>
    </row>
    <row r="388" spans="9:37" x14ac:dyDescent="0.3">
      <c r="I388">
        <f ca="1">IF(OR(INDIRECT(A73&amp;ROW())=B93,INDIRECT(A73&amp;ROW())=B94),1,IF(AND(INDIRECT(A73&amp;ROW())=B95,INDIRECT(A96&amp;ROW())=C93),1,IF(AND(INDIRECT(A73&amp;ROW())=B95,INDIRECT(A96&amp;ROW())=C94),1,0)))</f>
        <v>1</v>
      </c>
      <c r="J388">
        <f ca="1">IF(AND(INDIRECT(A73&amp;ROW())=B95,INDIRECT(A96&amp;ROW())=C95),1,IF(AND(INDIRECT(A73&amp;ROW())=B95,INDIRECT(A96&amp;ROW())=C96),1,0))</f>
        <v>0</v>
      </c>
      <c r="K388">
        <f ca="1">DAYS360(INDIRECT(C68&amp;ROW()),TODAY())</f>
        <v>792</v>
      </c>
      <c r="L388">
        <f ca="1">DAYS360(INDIRECT(C69&amp;ROW()),TODAY())</f>
        <v>793</v>
      </c>
      <c r="M388">
        <f ca="1">HYPERLINK(CONCATENATE("https://bugzilla.houston.hp.com:1181/bugzilla/show_bug.cgi?id=",INDIRECT(C70&amp;ROW())),INDIRECT(C70&amp;ROW()))</f>
        <v>57481</v>
      </c>
      <c r="N388">
        <v>57481</v>
      </c>
      <c r="O388" t="s">
        <v>241</v>
      </c>
      <c r="P388" t="s">
        <v>756</v>
      </c>
      <c r="Q388" t="s">
        <v>25</v>
      </c>
      <c r="R388" t="s">
        <v>248</v>
      </c>
      <c r="S388" t="s">
        <v>552</v>
      </c>
      <c r="U388" s="6">
        <v>42055.636655092596</v>
      </c>
      <c r="V388" t="s">
        <v>18</v>
      </c>
      <c r="W388" t="s">
        <v>764</v>
      </c>
      <c r="X388" s="6">
        <v>42054.702337962961</v>
      </c>
      <c r="Y388" t="s">
        <v>122</v>
      </c>
      <c r="AB388" t="s">
        <v>200</v>
      </c>
      <c r="AC388" t="s">
        <v>247</v>
      </c>
      <c r="AD388" t="s">
        <v>222</v>
      </c>
      <c r="AE388" t="s">
        <v>221</v>
      </c>
      <c r="AG388" t="s">
        <v>121</v>
      </c>
      <c r="AH388" t="s">
        <v>327</v>
      </c>
      <c r="AI388" t="s">
        <v>121</v>
      </c>
      <c r="AJ388" t="s">
        <v>715</v>
      </c>
      <c r="AK388" t="s">
        <v>121</v>
      </c>
    </row>
    <row r="389" spans="9:37" x14ac:dyDescent="0.3">
      <c r="I389">
        <f ca="1">IF(OR(INDIRECT(A73&amp;ROW())=B93,INDIRECT(A73&amp;ROW())=B94),1,IF(AND(INDIRECT(A73&amp;ROW())=B95,INDIRECT(A96&amp;ROW())=C93),1,IF(AND(INDIRECT(A73&amp;ROW())=B95,INDIRECT(A96&amp;ROW())=C94),1,0)))</f>
        <v>0</v>
      </c>
      <c r="J389">
        <f ca="1">IF(AND(INDIRECT(A73&amp;ROW())=B95,INDIRECT(A96&amp;ROW())=C95),1,IF(AND(INDIRECT(A73&amp;ROW())=B95,INDIRECT(A96&amp;ROW())=C96),1,0))</f>
        <v>0</v>
      </c>
      <c r="K389">
        <f ca="1">DAYS360(INDIRECT(C68&amp;ROW()),TODAY())</f>
        <v>721</v>
      </c>
      <c r="L389">
        <f ca="1">DAYS360(INDIRECT(C69&amp;ROW()),TODAY())</f>
        <v>793</v>
      </c>
      <c r="M389">
        <f ca="1">HYPERLINK(CONCATENATE("https://bugzilla.houston.hp.com:1181/bugzilla/show_bug.cgi?id=",INDIRECT(C70&amp;ROW())),INDIRECT(C70&amp;ROW()))</f>
        <v>57493</v>
      </c>
      <c r="N389">
        <v>57493</v>
      </c>
      <c r="O389" t="s">
        <v>56</v>
      </c>
      <c r="P389" t="s">
        <v>755</v>
      </c>
      <c r="Q389" t="s">
        <v>16</v>
      </c>
      <c r="R389" t="s">
        <v>248</v>
      </c>
      <c r="S389" t="s">
        <v>552</v>
      </c>
      <c r="U389" s="6">
        <v>42125.453750000001</v>
      </c>
      <c r="V389" t="s">
        <v>18</v>
      </c>
      <c r="W389" t="s">
        <v>324</v>
      </c>
      <c r="X389" s="6">
        <v>42054.703506944446</v>
      </c>
      <c r="Y389" t="s">
        <v>122</v>
      </c>
      <c r="AB389" t="s">
        <v>200</v>
      </c>
      <c r="AC389" t="s">
        <v>247</v>
      </c>
      <c r="AD389" t="s">
        <v>220</v>
      </c>
      <c r="AE389" t="s">
        <v>219</v>
      </c>
      <c r="AG389" t="s">
        <v>121</v>
      </c>
      <c r="AH389" t="s">
        <v>327</v>
      </c>
      <c r="AI389" t="s">
        <v>121</v>
      </c>
      <c r="AJ389" t="s">
        <v>716</v>
      </c>
      <c r="AK389" t="s">
        <v>121</v>
      </c>
    </row>
    <row r="390" spans="9:37" x14ac:dyDescent="0.3">
      <c r="I390">
        <f ca="1">IF(OR(INDIRECT(A73&amp;ROW())=B93,INDIRECT(A73&amp;ROW())=B94),1,IF(AND(INDIRECT(A73&amp;ROW())=B95,INDIRECT(A96&amp;ROW())=C93),1,IF(AND(INDIRECT(A73&amp;ROW())=B95,INDIRECT(A96&amp;ROW())=C94),1,0)))</f>
        <v>1</v>
      </c>
      <c r="J390">
        <f ca="1">IF(AND(INDIRECT(A73&amp;ROW())=B95,INDIRECT(A96&amp;ROW())=C95),1,IF(AND(INDIRECT(A73&amp;ROW())=B95,INDIRECT(A96&amp;ROW())=C96),1,0))</f>
        <v>0</v>
      </c>
      <c r="K390">
        <f ca="1">DAYS360(INDIRECT(C68&amp;ROW()),TODAY())</f>
        <v>735</v>
      </c>
      <c r="L390">
        <f ca="1">DAYS360(INDIRECT(C69&amp;ROW()),TODAY())</f>
        <v>793</v>
      </c>
      <c r="M390">
        <f ca="1">HYPERLINK(CONCATENATE("https://bugzilla.houston.hp.com:1181/bugzilla/show_bug.cgi?id=",INDIRECT(C70&amp;ROW())),INDIRECT(C70&amp;ROW()))</f>
        <v>57494</v>
      </c>
      <c r="N390">
        <v>57494</v>
      </c>
      <c r="O390" t="s">
        <v>55</v>
      </c>
      <c r="P390" t="s">
        <v>754</v>
      </c>
      <c r="Q390" t="s">
        <v>25</v>
      </c>
      <c r="R390" t="s">
        <v>579</v>
      </c>
      <c r="S390" t="s">
        <v>59</v>
      </c>
      <c r="T390" t="s">
        <v>821</v>
      </c>
      <c r="U390" s="6">
        <v>42111.526689814818</v>
      </c>
      <c r="V390" t="s">
        <v>35</v>
      </c>
      <c r="W390" t="s">
        <v>215</v>
      </c>
      <c r="X390" s="6">
        <v>42054.733136574076</v>
      </c>
      <c r="Y390" t="s">
        <v>793</v>
      </c>
      <c r="AB390" t="s">
        <v>200</v>
      </c>
      <c r="AC390" t="s">
        <v>247</v>
      </c>
      <c r="AD390" t="s">
        <v>220</v>
      </c>
      <c r="AE390" t="s">
        <v>219</v>
      </c>
      <c r="AG390" t="s">
        <v>121</v>
      </c>
      <c r="AH390" t="s">
        <v>327</v>
      </c>
      <c r="AI390" t="s">
        <v>362</v>
      </c>
      <c r="AJ390" t="s">
        <v>715</v>
      </c>
      <c r="AK390" t="s">
        <v>121</v>
      </c>
    </row>
    <row r="391" spans="9:37" x14ac:dyDescent="0.3">
      <c r="I391">
        <f ca="1">IF(OR(INDIRECT(A73&amp;ROW())=B93,INDIRECT(A73&amp;ROW())=B94),1,IF(AND(INDIRECT(A73&amp;ROW())=B95,INDIRECT(A96&amp;ROW())=C93),1,IF(AND(INDIRECT(A73&amp;ROW())=B95,INDIRECT(A96&amp;ROW())=C94),1,0)))</f>
        <v>1</v>
      </c>
      <c r="J391">
        <f ca="1">IF(AND(INDIRECT(A73&amp;ROW())=B95,INDIRECT(A96&amp;ROW())=C95),1,IF(AND(INDIRECT(A73&amp;ROW())=B95,INDIRECT(A96&amp;ROW())=C96),1,0))</f>
        <v>0</v>
      </c>
      <c r="K391">
        <f ca="1">DAYS360(INDIRECT(C68&amp;ROW()),TODAY())</f>
        <v>776</v>
      </c>
      <c r="L391">
        <f ca="1">DAYS360(INDIRECT(C69&amp;ROW()),TODAY())</f>
        <v>793</v>
      </c>
      <c r="M391">
        <f ca="1">HYPERLINK(CONCATENATE("https://bugzilla.houston.hp.com:1181/bugzilla/show_bug.cgi?id=",INDIRECT(C70&amp;ROW())),INDIRECT(C70&amp;ROW()))</f>
        <v>57500</v>
      </c>
      <c r="N391">
        <v>57500</v>
      </c>
      <c r="O391" t="s">
        <v>43</v>
      </c>
      <c r="P391" t="s">
        <v>766</v>
      </c>
      <c r="Q391" t="s">
        <v>25</v>
      </c>
      <c r="R391" t="s">
        <v>251</v>
      </c>
      <c r="S391" t="s">
        <v>765</v>
      </c>
      <c r="U391" s="6">
        <v>42069.583437499998</v>
      </c>
      <c r="V391" t="s">
        <v>35</v>
      </c>
      <c r="W391" t="s">
        <v>764</v>
      </c>
      <c r="X391" s="6">
        <v>42054.964317129627</v>
      </c>
      <c r="Y391" t="s">
        <v>124</v>
      </c>
      <c r="AB391" t="s">
        <v>200</v>
      </c>
      <c r="AC391" t="s">
        <v>247</v>
      </c>
      <c r="AD391" t="s">
        <v>220</v>
      </c>
      <c r="AE391" t="s">
        <v>219</v>
      </c>
      <c r="AG391" t="s">
        <v>121</v>
      </c>
      <c r="AH391" t="s">
        <v>327</v>
      </c>
      <c r="AI391" t="s">
        <v>121</v>
      </c>
      <c r="AJ391" t="s">
        <v>715</v>
      </c>
      <c r="AK391" t="s">
        <v>121</v>
      </c>
    </row>
    <row r="392" spans="9:37" x14ac:dyDescent="0.3">
      <c r="I392">
        <f ca="1">IF(OR(INDIRECT(A73&amp;ROW())=B93,INDIRECT(A73&amp;ROW())=B94),1,IF(AND(INDIRECT(A73&amp;ROW())=B95,INDIRECT(A96&amp;ROW())=C93),1,IF(AND(INDIRECT(A73&amp;ROW())=B95,INDIRECT(A96&amp;ROW())=C94),1,0)))</f>
        <v>0</v>
      </c>
      <c r="J392">
        <f ca="1">IF(AND(INDIRECT(A73&amp;ROW())=B95,INDIRECT(A96&amp;ROW())=C95),1,IF(AND(INDIRECT(A73&amp;ROW())=B95,INDIRECT(A96&amp;ROW())=C96),1,0))</f>
        <v>1</v>
      </c>
      <c r="K392">
        <f ca="1">DAYS360(INDIRECT(C68&amp;ROW()),TODAY())</f>
        <v>721</v>
      </c>
      <c r="L392">
        <f ca="1">DAYS360(INDIRECT(C69&amp;ROW()),TODAY())</f>
        <v>792</v>
      </c>
      <c r="M392">
        <f ca="1">HYPERLINK(CONCATENATE("https://bugzilla.houston.hp.com:1181/bugzilla/show_bug.cgi?id=",INDIRECT(C70&amp;ROW())),INDIRECT(C70&amp;ROW()))</f>
        <v>57551</v>
      </c>
      <c r="N392">
        <v>57551</v>
      </c>
      <c r="O392" t="s">
        <v>53</v>
      </c>
      <c r="P392" t="s">
        <v>753</v>
      </c>
      <c r="Q392" t="s">
        <v>25</v>
      </c>
      <c r="R392" t="s">
        <v>248</v>
      </c>
      <c r="S392" t="s">
        <v>552</v>
      </c>
      <c r="U392" s="6">
        <v>42125.452893518515</v>
      </c>
      <c r="V392" t="s">
        <v>18</v>
      </c>
      <c r="W392" t="s">
        <v>343</v>
      </c>
      <c r="X392" s="6">
        <v>42055.264386574076</v>
      </c>
      <c r="Y392" t="s">
        <v>122</v>
      </c>
      <c r="AB392" t="s">
        <v>201</v>
      </c>
      <c r="AC392" t="s">
        <v>247</v>
      </c>
      <c r="AD392" t="s">
        <v>220</v>
      </c>
      <c r="AE392" t="s">
        <v>219</v>
      </c>
      <c r="AG392" t="s">
        <v>121</v>
      </c>
      <c r="AH392" t="s">
        <v>327</v>
      </c>
      <c r="AI392" t="s">
        <v>121</v>
      </c>
      <c r="AJ392" t="s">
        <v>716</v>
      </c>
      <c r="AK392" t="s">
        <v>121</v>
      </c>
    </row>
    <row r="393" spans="9:37" x14ac:dyDescent="0.3">
      <c r="I393">
        <f ca="1">IF(OR(INDIRECT(A73&amp;ROW())=B93,INDIRECT(A73&amp;ROW())=B94),1,IF(AND(INDIRECT(A73&amp;ROW())=B95,INDIRECT(A96&amp;ROW())=C93),1,IF(AND(INDIRECT(A73&amp;ROW())=B95,INDIRECT(A96&amp;ROW())=C94),1,0)))</f>
        <v>0</v>
      </c>
      <c r="J393">
        <f ca="1">IF(AND(INDIRECT(A73&amp;ROW())=B95,INDIRECT(A96&amp;ROW())=C95),1,IF(AND(INDIRECT(A73&amp;ROW())=B95,INDIRECT(A96&amp;ROW())=C96),1,0))</f>
        <v>0</v>
      </c>
      <c r="K393">
        <f ca="1">DAYS360(INDIRECT(C68&amp;ROW()),TODAY())</f>
        <v>721</v>
      </c>
      <c r="L393">
        <f ca="1">DAYS360(INDIRECT(C69&amp;ROW()),TODAY())</f>
        <v>792</v>
      </c>
      <c r="M393">
        <f ca="1">HYPERLINK(CONCATENATE("https://bugzilla.houston.hp.com:1181/bugzilla/show_bug.cgi?id=",INDIRECT(C70&amp;ROW())),INDIRECT(C70&amp;ROW()))</f>
        <v>57564</v>
      </c>
      <c r="N393">
        <v>57564</v>
      </c>
      <c r="O393" t="s">
        <v>36</v>
      </c>
      <c r="P393" t="s">
        <v>751</v>
      </c>
      <c r="Q393" t="s">
        <v>16</v>
      </c>
      <c r="R393" t="s">
        <v>248</v>
      </c>
      <c r="S393" t="s">
        <v>552</v>
      </c>
      <c r="U393" s="6">
        <v>42125.453009259261</v>
      </c>
      <c r="V393" t="s">
        <v>18</v>
      </c>
      <c r="W393" t="s">
        <v>372</v>
      </c>
      <c r="X393" s="6">
        <v>42055.2655787037</v>
      </c>
      <c r="Y393" t="s">
        <v>122</v>
      </c>
      <c r="AB393" t="s">
        <v>201</v>
      </c>
      <c r="AC393" t="s">
        <v>247</v>
      </c>
      <c r="AD393" t="s">
        <v>222</v>
      </c>
      <c r="AE393" t="s">
        <v>240</v>
      </c>
      <c r="AG393" t="s">
        <v>121</v>
      </c>
      <c r="AH393" t="s">
        <v>327</v>
      </c>
      <c r="AI393" t="s">
        <v>121</v>
      </c>
      <c r="AJ393" t="s">
        <v>716</v>
      </c>
      <c r="AK393" t="s">
        <v>121</v>
      </c>
    </row>
    <row r="394" spans="9:37" x14ac:dyDescent="0.3">
      <c r="I394">
        <f ca="1">IF(OR(INDIRECT(A73&amp;ROW())=B93,INDIRECT(A73&amp;ROW())=B94),1,IF(AND(INDIRECT(A73&amp;ROW())=B95,INDIRECT(A96&amp;ROW())=C93),1,IF(AND(INDIRECT(A73&amp;ROW())=B95,INDIRECT(A96&amp;ROW())=C94),1,0)))</f>
        <v>0</v>
      </c>
      <c r="J394">
        <f ca="1">IF(AND(INDIRECT(A73&amp;ROW())=B95,INDIRECT(A96&amp;ROW())=C95),1,IF(AND(INDIRECT(A73&amp;ROW())=B95,INDIRECT(A96&amp;ROW())=C96),1,0))</f>
        <v>0</v>
      </c>
      <c r="K394">
        <f ca="1">DAYS360(INDIRECT(C68&amp;ROW()),TODAY())</f>
        <v>792</v>
      </c>
      <c r="L394">
        <f ca="1">DAYS360(INDIRECT(C69&amp;ROW()),TODAY())</f>
        <v>792</v>
      </c>
      <c r="M394">
        <f ca="1">HYPERLINK(CONCATENATE("https://bugzilla.houston.hp.com:1181/bugzilla/show_bug.cgi?id=",INDIRECT(C70&amp;ROW())),INDIRECT(C70&amp;ROW()))</f>
        <v>57582</v>
      </c>
      <c r="N394">
        <v>57582</v>
      </c>
      <c r="O394" t="s">
        <v>66</v>
      </c>
      <c r="P394" t="s">
        <v>750</v>
      </c>
      <c r="Q394" t="s">
        <v>16</v>
      </c>
      <c r="R394" t="s">
        <v>248</v>
      </c>
      <c r="S394" t="s">
        <v>552</v>
      </c>
      <c r="U394" s="6">
        <v>42055.267337962963</v>
      </c>
      <c r="V394" t="s">
        <v>18</v>
      </c>
      <c r="W394" t="s">
        <v>322</v>
      </c>
      <c r="X394" s="6">
        <v>42055.267337962963</v>
      </c>
      <c r="Y394" t="s">
        <v>124</v>
      </c>
      <c r="AB394" t="s">
        <v>201</v>
      </c>
      <c r="AC394" t="s">
        <v>247</v>
      </c>
      <c r="AD394" t="s">
        <v>220</v>
      </c>
      <c r="AE394" t="s">
        <v>219</v>
      </c>
      <c r="AG394" t="s">
        <v>121</v>
      </c>
      <c r="AH394" t="s">
        <v>327</v>
      </c>
      <c r="AI394" t="s">
        <v>121</v>
      </c>
      <c r="AJ394" t="s">
        <v>717</v>
      </c>
      <c r="AK394" t="s">
        <v>121</v>
      </c>
    </row>
    <row r="395" spans="9:37" x14ac:dyDescent="0.3">
      <c r="I395">
        <f ca="1">IF(OR(INDIRECT(A73&amp;ROW())=B93,INDIRECT(A73&amp;ROW())=B94),1,IF(AND(INDIRECT(A73&amp;ROW())=B95,INDIRECT(A96&amp;ROW())=C93),1,IF(AND(INDIRECT(A73&amp;ROW())=B95,INDIRECT(A96&amp;ROW())=C94),1,0)))</f>
        <v>0</v>
      </c>
      <c r="J395">
        <f ca="1">IF(AND(INDIRECT(A73&amp;ROW())=B95,INDIRECT(A96&amp;ROW())=C95),1,IF(AND(INDIRECT(A73&amp;ROW())=B95,INDIRECT(A96&amp;ROW())=C96),1,0))</f>
        <v>1</v>
      </c>
      <c r="K395">
        <f ca="1">DAYS360(INDIRECT(C68&amp;ROW()),TODAY())</f>
        <v>721</v>
      </c>
      <c r="L395">
        <f ca="1">DAYS360(INDIRECT(C69&amp;ROW()),TODAY())</f>
        <v>792</v>
      </c>
      <c r="M395">
        <f ca="1">HYPERLINK(CONCATENATE("https://bugzilla.houston.hp.com:1181/bugzilla/show_bug.cgi?id=",INDIRECT(C70&amp;ROW())),INDIRECT(C70&amp;ROW()))</f>
        <v>57594</v>
      </c>
      <c r="N395">
        <v>57594</v>
      </c>
      <c r="O395" t="s">
        <v>66</v>
      </c>
      <c r="P395" t="s">
        <v>749</v>
      </c>
      <c r="Q395" t="s">
        <v>25</v>
      </c>
      <c r="R395" t="s">
        <v>248</v>
      </c>
      <c r="S395" t="s">
        <v>552</v>
      </c>
      <c r="U395" s="6">
        <v>42125.450868055559</v>
      </c>
      <c r="V395" t="s">
        <v>18</v>
      </c>
      <c r="W395" t="s">
        <v>372</v>
      </c>
      <c r="X395" s="6">
        <v>42055.268506944441</v>
      </c>
      <c r="Y395" t="s">
        <v>122</v>
      </c>
      <c r="AB395" t="s">
        <v>201</v>
      </c>
      <c r="AC395" t="s">
        <v>247</v>
      </c>
      <c r="AD395" t="s">
        <v>220</v>
      </c>
      <c r="AE395" t="s">
        <v>219</v>
      </c>
      <c r="AG395" t="s">
        <v>121</v>
      </c>
      <c r="AH395" t="s">
        <v>327</v>
      </c>
      <c r="AI395" t="s">
        <v>121</v>
      </c>
      <c r="AJ395" t="s">
        <v>716</v>
      </c>
      <c r="AK395" t="s">
        <v>121</v>
      </c>
    </row>
    <row r="396" spans="9:37" x14ac:dyDescent="0.3">
      <c r="I396">
        <f ca="1">IF(OR(INDIRECT(A73&amp;ROW())=B93,INDIRECT(A73&amp;ROW())=B94),1,IF(AND(INDIRECT(A73&amp;ROW())=B95,INDIRECT(A96&amp;ROW())=C93),1,IF(AND(INDIRECT(A73&amp;ROW())=B95,INDIRECT(A96&amp;ROW())=C94),1,0)))</f>
        <v>1</v>
      </c>
      <c r="J396">
        <f ca="1">IF(AND(INDIRECT(A73&amp;ROW())=B95,INDIRECT(A96&amp;ROW())=C95),1,IF(AND(INDIRECT(A73&amp;ROW())=B95,INDIRECT(A96&amp;ROW())=C96),1,0))</f>
        <v>0</v>
      </c>
      <c r="K396">
        <f ca="1">DAYS360(INDIRECT(C68&amp;ROW()),TODAY())</f>
        <v>735</v>
      </c>
      <c r="L396">
        <f ca="1">DAYS360(INDIRECT(C69&amp;ROW()),TODAY())</f>
        <v>792</v>
      </c>
      <c r="M396">
        <f ca="1">HYPERLINK(CONCATENATE("https://bugzilla.houston.hp.com:1181/bugzilla/show_bug.cgi?id=",INDIRECT(C70&amp;ROW())),INDIRECT(C70&amp;ROW()))</f>
        <v>57652</v>
      </c>
      <c r="N396">
        <v>57652</v>
      </c>
      <c r="O396" t="s">
        <v>50</v>
      </c>
      <c r="P396" t="s">
        <v>760</v>
      </c>
      <c r="Q396" t="s">
        <v>25</v>
      </c>
      <c r="R396" t="s">
        <v>579</v>
      </c>
      <c r="S396" t="s">
        <v>44</v>
      </c>
      <c r="T396" t="s">
        <v>820</v>
      </c>
      <c r="U396" s="6">
        <v>42111.527303240742</v>
      </c>
      <c r="V396" t="s">
        <v>18</v>
      </c>
      <c r="W396" t="s">
        <v>215</v>
      </c>
      <c r="X396" s="6">
        <v>42055.521377314813</v>
      </c>
      <c r="Y396" t="s">
        <v>119</v>
      </c>
      <c r="AB396" t="s">
        <v>200</v>
      </c>
      <c r="AC396" t="s">
        <v>121</v>
      </c>
      <c r="AD396" t="s">
        <v>227</v>
      </c>
      <c r="AE396" t="s">
        <v>226</v>
      </c>
      <c r="AG396" t="s">
        <v>121</v>
      </c>
      <c r="AH396" t="s">
        <v>327</v>
      </c>
      <c r="AI396" t="s">
        <v>362</v>
      </c>
      <c r="AJ396" t="s">
        <v>715</v>
      </c>
      <c r="AK396" t="s">
        <v>121</v>
      </c>
    </row>
    <row r="397" spans="9:37" x14ac:dyDescent="0.3">
      <c r="I397">
        <f ca="1">IF(OR(INDIRECT(A73&amp;ROW())=B93,INDIRECT(A73&amp;ROW())=B94),1,IF(AND(INDIRECT(A73&amp;ROW())=B95,INDIRECT(A96&amp;ROW())=C93),1,IF(AND(INDIRECT(A73&amp;ROW())=B95,INDIRECT(A96&amp;ROW())=C94),1,0)))</f>
        <v>1</v>
      </c>
      <c r="J397">
        <f ca="1">IF(AND(INDIRECT(A73&amp;ROW())=B95,INDIRECT(A96&amp;ROW())=C95),1,IF(AND(INDIRECT(A73&amp;ROW())=B95,INDIRECT(A96&amp;ROW())=C96),1,0))</f>
        <v>0</v>
      </c>
      <c r="K397">
        <f ca="1">DAYS360(INDIRECT(C68&amp;ROW()),TODAY())</f>
        <v>764</v>
      </c>
      <c r="L397">
        <f ca="1">DAYS360(INDIRECT(C69&amp;ROW()),TODAY())</f>
        <v>788</v>
      </c>
      <c r="M397">
        <f ca="1">HYPERLINK(CONCATENATE("https://bugzilla.houston.hp.com:1181/bugzilla/show_bug.cgi?id=",INDIRECT(C70&amp;ROW())),INDIRECT(C70&amp;ROW()))</f>
        <v>57749</v>
      </c>
      <c r="N397">
        <v>57749</v>
      </c>
      <c r="O397" t="s">
        <v>56</v>
      </c>
      <c r="P397" t="s">
        <v>763</v>
      </c>
      <c r="Q397" t="s">
        <v>25</v>
      </c>
      <c r="R397" t="s">
        <v>248</v>
      </c>
      <c r="S397" t="s">
        <v>552</v>
      </c>
      <c r="U397" s="6">
        <v>42081.374513888892</v>
      </c>
      <c r="V397" t="s">
        <v>18</v>
      </c>
      <c r="W397" t="s">
        <v>764</v>
      </c>
      <c r="X397" s="6">
        <v>42059.329548611109</v>
      </c>
      <c r="Y397" t="s">
        <v>124</v>
      </c>
      <c r="AB397" t="s">
        <v>200</v>
      </c>
      <c r="AC397" t="s">
        <v>247</v>
      </c>
      <c r="AD397" t="s">
        <v>220</v>
      </c>
      <c r="AE397" t="s">
        <v>219</v>
      </c>
      <c r="AG397" t="s">
        <v>121</v>
      </c>
      <c r="AH397" t="s">
        <v>327</v>
      </c>
      <c r="AI397" t="s">
        <v>121</v>
      </c>
      <c r="AJ397" t="s">
        <v>715</v>
      </c>
      <c r="AK397" t="s">
        <v>121</v>
      </c>
    </row>
    <row r="398" spans="9:37" x14ac:dyDescent="0.3">
      <c r="I398">
        <f ca="1">IF(OR(INDIRECT(A73&amp;ROW())=B93,INDIRECT(A73&amp;ROW())=B94),1,IF(AND(INDIRECT(A73&amp;ROW())=B95,INDIRECT(A96&amp;ROW())=C93),1,IF(AND(INDIRECT(A73&amp;ROW())=B95,INDIRECT(A96&amp;ROW())=C94),1,0)))</f>
        <v>1</v>
      </c>
      <c r="J398">
        <f ca="1">IF(AND(INDIRECT(A73&amp;ROW())=B95,INDIRECT(A96&amp;ROW())=C95),1,IF(AND(INDIRECT(A73&amp;ROW())=B95,INDIRECT(A96&amp;ROW())=C96),1,0))</f>
        <v>0</v>
      </c>
      <c r="K398">
        <f ca="1">DAYS360(INDIRECT(C68&amp;ROW()),TODAY())</f>
        <v>759</v>
      </c>
      <c r="L398">
        <f ca="1">DAYS360(INDIRECT(C69&amp;ROW()),TODAY())</f>
        <v>788</v>
      </c>
      <c r="M398">
        <f ca="1">HYPERLINK(CONCATENATE("https://bugzilla.houston.hp.com:1181/bugzilla/show_bug.cgi?id=",INDIRECT(C70&amp;ROW())),INDIRECT(C70&amp;ROW()))</f>
        <v>57752</v>
      </c>
      <c r="N398">
        <v>57752</v>
      </c>
      <c r="O398" t="s">
        <v>164</v>
      </c>
      <c r="P398" t="s">
        <v>762</v>
      </c>
      <c r="Q398" t="s">
        <v>25</v>
      </c>
      <c r="R398" t="s">
        <v>248</v>
      </c>
      <c r="S398" t="s">
        <v>552</v>
      </c>
      <c r="U398" s="6">
        <v>42086.241550925923</v>
      </c>
      <c r="V398" t="s">
        <v>18</v>
      </c>
      <c r="W398" t="s">
        <v>512</v>
      </c>
      <c r="X398" s="6">
        <v>42059.3596412037</v>
      </c>
      <c r="Y398" t="s">
        <v>255</v>
      </c>
      <c r="AB398" t="s">
        <v>200</v>
      </c>
      <c r="AC398" t="s">
        <v>247</v>
      </c>
      <c r="AD398" t="s">
        <v>220</v>
      </c>
      <c r="AE398" t="s">
        <v>219</v>
      </c>
      <c r="AG398" t="s">
        <v>121</v>
      </c>
      <c r="AH398" t="s">
        <v>327</v>
      </c>
      <c r="AI398" t="s">
        <v>121</v>
      </c>
      <c r="AJ398" t="s">
        <v>715</v>
      </c>
      <c r="AK398" t="s">
        <v>121</v>
      </c>
    </row>
    <row r="399" spans="9:37" x14ac:dyDescent="0.3">
      <c r="I399">
        <f ca="1">IF(OR(INDIRECT(A73&amp;ROW())=B93,INDIRECT(A73&amp;ROW())=B94),1,IF(AND(INDIRECT(A73&amp;ROW())=B95,INDIRECT(A96&amp;ROW())=C93),1,IF(AND(INDIRECT(A73&amp;ROW())=B95,INDIRECT(A96&amp;ROW())=C94),1,0)))</f>
        <v>0</v>
      </c>
      <c r="J399">
        <f ca="1">IF(AND(INDIRECT(A73&amp;ROW())=B95,INDIRECT(A96&amp;ROW())=C95),1,IF(AND(INDIRECT(A73&amp;ROW())=B95,INDIRECT(A96&amp;ROW())=C96),1,0))</f>
        <v>1</v>
      </c>
      <c r="K399">
        <f ca="1">DAYS360(INDIRECT(C68&amp;ROW()),TODAY())</f>
        <v>721</v>
      </c>
      <c r="L399">
        <f ca="1">DAYS360(INDIRECT(C69&amp;ROW()),TODAY())</f>
        <v>781</v>
      </c>
      <c r="M399">
        <f ca="1">HYPERLINK(CONCATENATE("https://bugzilla.houston.hp.com:1181/bugzilla/show_bug.cgi?id=",INDIRECT(C70&amp;ROW())),INDIRECT(C70&amp;ROW()))</f>
        <v>57963</v>
      </c>
      <c r="N399">
        <v>57963</v>
      </c>
      <c r="O399" t="s">
        <v>241</v>
      </c>
      <c r="P399" t="s">
        <v>778</v>
      </c>
      <c r="Q399" t="s">
        <v>25</v>
      </c>
      <c r="R399" t="s">
        <v>251</v>
      </c>
      <c r="S399" t="s">
        <v>236</v>
      </c>
      <c r="U399" s="6">
        <v>42125.683368055557</v>
      </c>
      <c r="V399" t="s">
        <v>18</v>
      </c>
      <c r="W399" t="s">
        <v>17</v>
      </c>
      <c r="X399" s="6">
        <v>42064.456296296295</v>
      </c>
      <c r="Y399" t="s">
        <v>255</v>
      </c>
      <c r="AB399" t="s">
        <v>201</v>
      </c>
      <c r="AC399" t="s">
        <v>247</v>
      </c>
      <c r="AD399" t="s">
        <v>227</v>
      </c>
      <c r="AE399" t="s">
        <v>237</v>
      </c>
      <c r="AG399" t="s">
        <v>121</v>
      </c>
      <c r="AH399" t="s">
        <v>327</v>
      </c>
      <c r="AI399" t="s">
        <v>121</v>
      </c>
      <c r="AJ399" t="s">
        <v>716</v>
      </c>
      <c r="AK399" t="s">
        <v>121</v>
      </c>
    </row>
    <row r="400" spans="9:37" x14ac:dyDescent="0.3">
      <c r="I400">
        <f ca="1">IF(OR(INDIRECT(A73&amp;ROW())=B93,INDIRECT(A73&amp;ROW())=B94),1,IF(AND(INDIRECT(A73&amp;ROW())=B95,INDIRECT(A96&amp;ROW())=C93),1,IF(AND(INDIRECT(A73&amp;ROW())=B95,INDIRECT(A96&amp;ROW())=C94),1,0)))</f>
        <v>0</v>
      </c>
      <c r="J400">
        <f ca="1">IF(AND(INDIRECT(A73&amp;ROW())=B95,INDIRECT(A96&amp;ROW())=C95),1,IF(AND(INDIRECT(A73&amp;ROW())=B95,INDIRECT(A96&amp;ROW())=C96),1,0))</f>
        <v>1</v>
      </c>
      <c r="K400">
        <f ca="1">DAYS360(INDIRECT(C68&amp;ROW()),TODAY())</f>
        <v>730</v>
      </c>
      <c r="L400">
        <f ca="1">DAYS360(INDIRECT(C69&amp;ROW()),TODAY())</f>
        <v>781</v>
      </c>
      <c r="M400">
        <f ca="1">HYPERLINK(CONCATENATE("https://bugzilla.houston.hp.com:1181/bugzilla/show_bug.cgi?id=",INDIRECT(C70&amp;ROW())),INDIRECT(C70&amp;ROW()))</f>
        <v>57964</v>
      </c>
      <c r="N400">
        <v>57964</v>
      </c>
      <c r="O400" t="s">
        <v>56</v>
      </c>
      <c r="P400" t="s">
        <v>777</v>
      </c>
      <c r="Q400" t="s">
        <v>25</v>
      </c>
      <c r="R400" t="s">
        <v>251</v>
      </c>
      <c r="S400" t="s">
        <v>236</v>
      </c>
      <c r="U400" s="6">
        <v>42116.736770833333</v>
      </c>
      <c r="V400" t="s">
        <v>18</v>
      </c>
      <c r="W400" t="s">
        <v>17</v>
      </c>
      <c r="X400" s="6">
        <v>42064.457870370374</v>
      </c>
      <c r="Y400" t="s">
        <v>255</v>
      </c>
      <c r="AB400" t="s">
        <v>201</v>
      </c>
      <c r="AC400" t="s">
        <v>247</v>
      </c>
      <c r="AD400" t="s">
        <v>220</v>
      </c>
      <c r="AE400" t="s">
        <v>219</v>
      </c>
      <c r="AG400" t="s">
        <v>121</v>
      </c>
      <c r="AH400" t="s">
        <v>327</v>
      </c>
      <c r="AI400" t="s">
        <v>121</v>
      </c>
      <c r="AJ400" t="s">
        <v>716</v>
      </c>
      <c r="AK400" t="s">
        <v>121</v>
      </c>
    </row>
    <row r="401" spans="9:37" x14ac:dyDescent="0.3">
      <c r="I401">
        <f ca="1">IF(OR(INDIRECT(A73&amp;ROW())=B93,INDIRECT(A73&amp;ROW())=B94),1,IF(AND(INDIRECT(A73&amp;ROW())=B95,INDIRECT(A96&amp;ROW())=C93),1,IF(AND(INDIRECT(A73&amp;ROW())=B95,INDIRECT(A96&amp;ROW())=C94),1,0)))</f>
        <v>0</v>
      </c>
      <c r="J401">
        <f ca="1">IF(AND(INDIRECT(A73&amp;ROW())=B95,INDIRECT(A96&amp;ROW())=C95),1,IF(AND(INDIRECT(A73&amp;ROW())=B95,INDIRECT(A96&amp;ROW())=C96),1,0))</f>
        <v>1</v>
      </c>
      <c r="K401">
        <f ca="1">DAYS360(INDIRECT(C68&amp;ROW()),TODAY())</f>
        <v>721</v>
      </c>
      <c r="L401">
        <f ca="1">DAYS360(INDIRECT(C69&amp;ROW()),TODAY())</f>
        <v>780</v>
      </c>
      <c r="M401">
        <f ca="1">HYPERLINK(CONCATENATE("https://bugzilla.houston.hp.com:1181/bugzilla/show_bug.cgi?id=",INDIRECT(C70&amp;ROW())),INDIRECT(C70&amp;ROW()))</f>
        <v>58013</v>
      </c>
      <c r="N401">
        <v>58013</v>
      </c>
      <c r="O401" t="s">
        <v>241</v>
      </c>
      <c r="P401" t="s">
        <v>776</v>
      </c>
      <c r="Q401" t="s">
        <v>25</v>
      </c>
      <c r="R401" t="s">
        <v>248</v>
      </c>
      <c r="S401" t="s">
        <v>552</v>
      </c>
      <c r="U401" s="6">
        <v>42125.683310185188</v>
      </c>
      <c r="V401" t="s">
        <v>18</v>
      </c>
      <c r="W401" t="s">
        <v>576</v>
      </c>
      <c r="X401" s="6">
        <v>42065.375162037039</v>
      </c>
      <c r="Y401" t="s">
        <v>255</v>
      </c>
      <c r="AB401" t="s">
        <v>201</v>
      </c>
      <c r="AC401" t="s">
        <v>247</v>
      </c>
      <c r="AD401" t="s">
        <v>227</v>
      </c>
      <c r="AE401" t="s">
        <v>237</v>
      </c>
      <c r="AG401" t="s">
        <v>121</v>
      </c>
      <c r="AH401" t="s">
        <v>327</v>
      </c>
      <c r="AI401" t="s">
        <v>121</v>
      </c>
      <c r="AJ401" t="s">
        <v>716</v>
      </c>
      <c r="AK401" t="s">
        <v>121</v>
      </c>
    </row>
    <row r="402" spans="9:37" x14ac:dyDescent="0.3">
      <c r="I402">
        <f ca="1">IF(OR(INDIRECT(A73&amp;ROW())=B93,INDIRECT(A73&amp;ROW())=B94),1,IF(AND(INDIRECT(A73&amp;ROW())=B95,INDIRECT(A96&amp;ROW())=C93),1,IF(AND(INDIRECT(A73&amp;ROW())=B95,INDIRECT(A96&amp;ROW())=C94),1,0)))</f>
        <v>0</v>
      </c>
      <c r="J402">
        <f ca="1">IF(AND(INDIRECT(A73&amp;ROW())=B95,INDIRECT(A96&amp;ROW())=C95),1,IF(AND(INDIRECT(A73&amp;ROW())=B95,INDIRECT(A96&amp;ROW())=C96),1,0))</f>
        <v>1</v>
      </c>
      <c r="K402">
        <f ca="1">DAYS360(INDIRECT(C68&amp;ROW()),TODAY())</f>
        <v>780</v>
      </c>
      <c r="L402">
        <f ca="1">DAYS360(INDIRECT(C69&amp;ROW()),TODAY())</f>
        <v>780</v>
      </c>
      <c r="M402">
        <f ca="1">HYPERLINK(CONCATENATE("https://bugzilla.houston.hp.com:1181/bugzilla/show_bug.cgi?id=",INDIRECT(C70&amp;ROW())),INDIRECT(C70&amp;ROW()))</f>
        <v>58015</v>
      </c>
      <c r="N402">
        <v>58015</v>
      </c>
      <c r="O402" t="s">
        <v>36</v>
      </c>
      <c r="P402" t="s">
        <v>775</v>
      </c>
      <c r="Q402" t="s">
        <v>25</v>
      </c>
      <c r="R402" t="s">
        <v>248</v>
      </c>
      <c r="S402" t="s">
        <v>552</v>
      </c>
      <c r="U402" s="6">
        <v>42065.375462962962</v>
      </c>
      <c r="V402" t="s">
        <v>18</v>
      </c>
      <c r="W402" t="s">
        <v>576</v>
      </c>
      <c r="X402" s="6">
        <v>42065.375462962962</v>
      </c>
      <c r="Y402" t="s">
        <v>255</v>
      </c>
      <c r="AB402" t="s">
        <v>201</v>
      </c>
      <c r="AC402" t="s">
        <v>247</v>
      </c>
      <c r="AD402" t="s">
        <v>220</v>
      </c>
      <c r="AE402" t="s">
        <v>243</v>
      </c>
      <c r="AG402" t="s">
        <v>121</v>
      </c>
      <c r="AH402" t="s">
        <v>327</v>
      </c>
      <c r="AI402" t="s">
        <v>121</v>
      </c>
      <c r="AJ402" t="s">
        <v>716</v>
      </c>
      <c r="AK402" t="s">
        <v>121</v>
      </c>
    </row>
    <row r="403" spans="9:37" x14ac:dyDescent="0.3">
      <c r="I403">
        <f ca="1">IF(OR(INDIRECT(A73&amp;ROW())=B93,INDIRECT(A73&amp;ROW())=B94),1,IF(AND(INDIRECT(A73&amp;ROW())=B95,INDIRECT(A96&amp;ROW())=C93),1,IF(AND(INDIRECT(A73&amp;ROW())=B95,INDIRECT(A96&amp;ROW())=C94),1,0)))</f>
        <v>0</v>
      </c>
      <c r="J403">
        <f ca="1">IF(AND(INDIRECT(A73&amp;ROW())=B95,INDIRECT(A96&amp;ROW())=C95),1,IF(AND(INDIRECT(A73&amp;ROW())=B95,INDIRECT(A96&amp;ROW())=C96),1,0))</f>
        <v>0</v>
      </c>
      <c r="K403">
        <f ca="1">DAYS360(INDIRECT(C68&amp;ROW()),TODAY())</f>
        <v>728</v>
      </c>
      <c r="L403">
        <f ca="1">DAYS360(INDIRECT(C69&amp;ROW()),TODAY())</f>
        <v>779</v>
      </c>
      <c r="M403">
        <f ca="1">HYPERLINK(CONCATENATE("https://bugzilla.houston.hp.com:1181/bugzilla/show_bug.cgi?id=",INDIRECT(C70&amp;ROW())),INDIRECT(C70&amp;ROW()))</f>
        <v>58074</v>
      </c>
      <c r="N403">
        <v>58074</v>
      </c>
      <c r="O403" t="s">
        <v>56</v>
      </c>
      <c r="P403" t="s">
        <v>774</v>
      </c>
      <c r="Q403" t="s">
        <v>16</v>
      </c>
      <c r="R403" t="s">
        <v>251</v>
      </c>
      <c r="S403" t="s">
        <v>292</v>
      </c>
      <c r="U403" s="6">
        <v>42118.524386574078</v>
      </c>
      <c r="V403" t="s">
        <v>18</v>
      </c>
      <c r="W403" t="s">
        <v>17</v>
      </c>
      <c r="X403" s="6">
        <v>42066.574571759258</v>
      </c>
      <c r="Y403" t="s">
        <v>785</v>
      </c>
      <c r="AB403" t="s">
        <v>201</v>
      </c>
      <c r="AC403" t="s">
        <v>247</v>
      </c>
      <c r="AD403" t="s">
        <v>220</v>
      </c>
      <c r="AE403" t="s">
        <v>219</v>
      </c>
      <c r="AG403" t="s">
        <v>121</v>
      </c>
      <c r="AH403" t="s">
        <v>768</v>
      </c>
      <c r="AI403" t="s">
        <v>121</v>
      </c>
      <c r="AJ403" t="s">
        <v>717</v>
      </c>
      <c r="AK403" t="s">
        <v>121</v>
      </c>
    </row>
    <row r="404" spans="9:37" x14ac:dyDescent="0.3">
      <c r="I404">
        <f ca="1">IF(OR(INDIRECT(A73&amp;ROW())=B93,INDIRECT(A73&amp;ROW())=B94),1,IF(AND(INDIRECT(A73&amp;ROW())=B95,INDIRECT(A96&amp;ROW())=C93),1,IF(AND(INDIRECT(A73&amp;ROW())=B95,INDIRECT(A96&amp;ROW())=C94),1,0)))</f>
        <v>1</v>
      </c>
      <c r="J404">
        <f ca="1">IF(AND(INDIRECT(A73&amp;ROW())=B95,INDIRECT(A96&amp;ROW())=C95),1,IF(AND(INDIRECT(A73&amp;ROW())=B95,INDIRECT(A96&amp;ROW())=C96),1,0))</f>
        <v>0</v>
      </c>
      <c r="K404">
        <f ca="1">DAYS360(INDIRECT(C68&amp;ROW()),TODAY())</f>
        <v>693</v>
      </c>
      <c r="L404">
        <f ca="1">DAYS360(INDIRECT(C69&amp;ROW()),TODAY())</f>
        <v>779</v>
      </c>
      <c r="M404">
        <f ca="1">HYPERLINK(CONCATENATE("https://bugzilla.houston.hp.com:1181/bugzilla/show_bug.cgi?id=",INDIRECT(C70&amp;ROW())),INDIRECT(C70&amp;ROW()))</f>
        <v>58079</v>
      </c>
      <c r="N404">
        <v>58079</v>
      </c>
      <c r="O404" t="s">
        <v>66</v>
      </c>
      <c r="P404" t="s">
        <v>772</v>
      </c>
      <c r="Q404" t="s">
        <v>39</v>
      </c>
      <c r="R404" t="s">
        <v>251</v>
      </c>
      <c r="S404" t="s">
        <v>66</v>
      </c>
      <c r="T404" t="s">
        <v>782</v>
      </c>
      <c r="U404" s="6">
        <v>42153.075069444443</v>
      </c>
      <c r="V404" t="s">
        <v>35</v>
      </c>
      <c r="W404" t="s">
        <v>17</v>
      </c>
      <c r="X404" s="6">
        <v>42066.752662037034</v>
      </c>
      <c r="Y404" t="s">
        <v>122</v>
      </c>
      <c r="AB404" t="s">
        <v>201</v>
      </c>
      <c r="AC404" t="s">
        <v>247</v>
      </c>
      <c r="AD404" t="s">
        <v>220</v>
      </c>
      <c r="AE404" t="s">
        <v>219</v>
      </c>
      <c r="AG404" t="s">
        <v>121</v>
      </c>
      <c r="AH404" t="s">
        <v>327</v>
      </c>
      <c r="AI404" t="s">
        <v>121</v>
      </c>
      <c r="AJ404" t="s">
        <v>715</v>
      </c>
      <c r="AK404" t="s">
        <v>121</v>
      </c>
    </row>
    <row r="405" spans="9:37" x14ac:dyDescent="0.3">
      <c r="I405">
        <f ca="1">IF(OR(INDIRECT(A73&amp;ROW())=B93,INDIRECT(A73&amp;ROW())=B94),1,IF(AND(INDIRECT(A73&amp;ROW())=B95,INDIRECT(A96&amp;ROW())=C93),1,IF(AND(INDIRECT(A73&amp;ROW())=B95,INDIRECT(A96&amp;ROW())=C94),1,0)))</f>
        <v>1</v>
      </c>
      <c r="J405">
        <f ca="1">IF(AND(INDIRECT(A73&amp;ROW())=B95,INDIRECT(A96&amp;ROW())=C95),1,IF(AND(INDIRECT(A73&amp;ROW())=B95,INDIRECT(A96&amp;ROW())=C96),1,0))</f>
        <v>0</v>
      </c>
      <c r="K405">
        <f ca="1">DAYS360(INDIRECT(C68&amp;ROW()),TODAY())</f>
        <v>735</v>
      </c>
      <c r="L405">
        <f ca="1">DAYS360(INDIRECT(C69&amp;ROW()),TODAY())</f>
        <v>778</v>
      </c>
      <c r="M405">
        <f ca="1">HYPERLINK(CONCATENATE("https://bugzilla.houston.hp.com:1181/bugzilla/show_bug.cgi?id=",INDIRECT(C70&amp;ROW())),INDIRECT(C70&amp;ROW()))</f>
        <v>58085</v>
      </c>
      <c r="N405">
        <v>58085</v>
      </c>
      <c r="O405" t="s">
        <v>66</v>
      </c>
      <c r="P405" t="s">
        <v>771</v>
      </c>
      <c r="Q405" t="s">
        <v>39</v>
      </c>
      <c r="R405" t="s">
        <v>579</v>
      </c>
      <c r="S405" t="s">
        <v>552</v>
      </c>
      <c r="T405" t="s">
        <v>820</v>
      </c>
      <c r="U405" s="6">
        <v>42111.527662037035</v>
      </c>
      <c r="V405" t="s">
        <v>18</v>
      </c>
      <c r="W405" t="s">
        <v>372</v>
      </c>
      <c r="X405" s="6">
        <v>42067.014606481483</v>
      </c>
      <c r="Y405" t="s">
        <v>122</v>
      </c>
      <c r="AB405" t="s">
        <v>201</v>
      </c>
      <c r="AC405" t="s">
        <v>247</v>
      </c>
      <c r="AD405" t="s">
        <v>220</v>
      </c>
      <c r="AE405" t="s">
        <v>219</v>
      </c>
      <c r="AG405" t="s">
        <v>121</v>
      </c>
      <c r="AH405" t="s">
        <v>327</v>
      </c>
      <c r="AI405" t="s">
        <v>362</v>
      </c>
      <c r="AJ405" t="s">
        <v>715</v>
      </c>
      <c r="AK405" t="s">
        <v>121</v>
      </c>
    </row>
    <row r="406" spans="9:37" x14ac:dyDescent="0.3">
      <c r="I406">
        <f ca="1">IF(OR(INDIRECT(A73&amp;ROW())=B93,INDIRECT(A73&amp;ROW())=B94),1,IF(AND(INDIRECT(A73&amp;ROW())=B95,INDIRECT(A96&amp;ROW())=C93),1,IF(AND(INDIRECT(A73&amp;ROW())=B95,INDIRECT(A96&amp;ROW())=C94),1,0)))</f>
        <v>1</v>
      </c>
      <c r="J406">
        <f ca="1">IF(AND(INDIRECT(A73&amp;ROW())=B95,INDIRECT(A96&amp;ROW())=C95),1,IF(AND(INDIRECT(A73&amp;ROW())=B95,INDIRECT(A96&amp;ROW())=C96),1,0))</f>
        <v>0</v>
      </c>
      <c r="K406">
        <f ca="1">DAYS360(INDIRECT(C68&amp;ROW()),TODAY())</f>
        <v>696</v>
      </c>
      <c r="L406">
        <f ca="1">DAYS360(INDIRECT(C69&amp;ROW()),TODAY())</f>
        <v>778</v>
      </c>
      <c r="M406">
        <f ca="1">HYPERLINK(CONCATENATE("https://bugzilla.houston.hp.com:1181/bugzilla/show_bug.cgi?id=",INDIRECT(C70&amp;ROW())),INDIRECT(C70&amp;ROW()))</f>
        <v>58086</v>
      </c>
      <c r="N406">
        <v>58086</v>
      </c>
      <c r="O406" t="s">
        <v>66</v>
      </c>
      <c r="P406" t="s">
        <v>770</v>
      </c>
      <c r="Q406" t="s">
        <v>39</v>
      </c>
      <c r="R406" t="s">
        <v>248</v>
      </c>
      <c r="S406" t="s">
        <v>552</v>
      </c>
      <c r="T406" t="s">
        <v>782</v>
      </c>
      <c r="U406" s="6">
        <v>42150.434467592589</v>
      </c>
      <c r="V406" t="s">
        <v>35</v>
      </c>
      <c r="W406" t="s">
        <v>372</v>
      </c>
      <c r="X406" s="6">
        <v>42067.014675925922</v>
      </c>
      <c r="Y406" t="s">
        <v>122</v>
      </c>
      <c r="AB406" t="s">
        <v>201</v>
      </c>
      <c r="AC406" t="s">
        <v>247</v>
      </c>
      <c r="AD406" t="s">
        <v>220</v>
      </c>
      <c r="AE406" t="s">
        <v>219</v>
      </c>
      <c r="AG406" t="s">
        <v>121</v>
      </c>
      <c r="AH406" t="s">
        <v>327</v>
      </c>
      <c r="AI406" t="s">
        <v>121</v>
      </c>
      <c r="AJ406" t="s">
        <v>716</v>
      </c>
      <c r="AK406" t="s">
        <v>121</v>
      </c>
    </row>
    <row r="407" spans="9:37" x14ac:dyDescent="0.3">
      <c r="I407">
        <f ca="1">IF(OR(INDIRECT(A73&amp;ROW())=B93,INDIRECT(A73&amp;ROW())=B94),1,IF(AND(INDIRECT(A73&amp;ROW())=B95,INDIRECT(A96&amp;ROW())=C93),1,IF(AND(INDIRECT(A73&amp;ROW())=B95,INDIRECT(A96&amp;ROW())=C94),1,0)))</f>
        <v>0</v>
      </c>
      <c r="J407">
        <f ca="1">IF(AND(INDIRECT(A73&amp;ROW())=B95,INDIRECT(A96&amp;ROW())=C95),1,IF(AND(INDIRECT(A73&amp;ROW())=B95,INDIRECT(A96&amp;ROW())=C96),1,0))</f>
        <v>0</v>
      </c>
      <c r="K407">
        <f ca="1">DAYS360(INDIRECT(C68&amp;ROW()),TODAY())</f>
        <v>778</v>
      </c>
      <c r="L407">
        <f ca="1">DAYS360(INDIRECT(C69&amp;ROW()),TODAY())</f>
        <v>778</v>
      </c>
      <c r="M407">
        <f ca="1">HYPERLINK(CONCATENATE("https://bugzilla.houston.hp.com:1181/bugzilla/show_bug.cgi?id=",INDIRECT(C70&amp;ROW())),INDIRECT(C70&amp;ROW()))</f>
        <v>58098</v>
      </c>
      <c r="N407">
        <v>58098</v>
      </c>
      <c r="O407" t="s">
        <v>36</v>
      </c>
      <c r="P407" t="s">
        <v>769</v>
      </c>
      <c r="Q407" t="s">
        <v>16</v>
      </c>
      <c r="R407" t="s">
        <v>248</v>
      </c>
      <c r="S407" t="s">
        <v>552</v>
      </c>
      <c r="U407" s="6">
        <v>42067.015717592592</v>
      </c>
      <c r="V407" t="s">
        <v>18</v>
      </c>
      <c r="W407" t="s">
        <v>372</v>
      </c>
      <c r="X407" s="6">
        <v>42067.015717592592</v>
      </c>
      <c r="Y407" t="s">
        <v>785</v>
      </c>
      <c r="AB407" t="s">
        <v>201</v>
      </c>
      <c r="AC407" t="s">
        <v>247</v>
      </c>
      <c r="AD407" t="s">
        <v>220</v>
      </c>
      <c r="AE407" t="s">
        <v>243</v>
      </c>
      <c r="AG407" t="s">
        <v>121</v>
      </c>
      <c r="AH407" t="s">
        <v>768</v>
      </c>
      <c r="AI407" t="s">
        <v>121</v>
      </c>
      <c r="AJ407" t="s">
        <v>717</v>
      </c>
      <c r="AK407" t="s">
        <v>121</v>
      </c>
    </row>
    <row r="408" spans="9:37" x14ac:dyDescent="0.3">
      <c r="I408">
        <f ca="1">IF(OR(INDIRECT(A73&amp;ROW())=B93,INDIRECT(A73&amp;ROW())=B94),1,IF(AND(INDIRECT(A73&amp;ROW())=B95,INDIRECT(A96&amp;ROW())=C93),1,IF(AND(INDIRECT(A73&amp;ROW())=B95,INDIRECT(A96&amp;ROW())=C94),1,0)))</f>
        <v>0</v>
      </c>
      <c r="J408">
        <f ca="1">IF(AND(INDIRECT(A73&amp;ROW())=B95,INDIRECT(A96&amp;ROW())=C95),1,IF(AND(INDIRECT(A73&amp;ROW())=B95,INDIRECT(A96&amp;ROW())=C96),1,0))</f>
        <v>1</v>
      </c>
      <c r="K408">
        <f ca="1">DAYS360(INDIRECT(C68&amp;ROW()),TODAY())</f>
        <v>730</v>
      </c>
      <c r="L408">
        <f ca="1">DAYS360(INDIRECT(C69&amp;ROW()),TODAY())</f>
        <v>776</v>
      </c>
      <c r="M408">
        <f ca="1">HYPERLINK(CONCATENATE("https://bugzilla.houston.hp.com:1181/bugzilla/show_bug.cgi?id=",INDIRECT(C70&amp;ROW())),INDIRECT(C70&amp;ROW()))</f>
        <v>58308</v>
      </c>
      <c r="N408">
        <v>58308</v>
      </c>
      <c r="O408" t="s">
        <v>22</v>
      </c>
      <c r="P408" t="s">
        <v>781</v>
      </c>
      <c r="Q408" t="s">
        <v>25</v>
      </c>
      <c r="R408" t="s">
        <v>251</v>
      </c>
      <c r="S408" t="s">
        <v>773</v>
      </c>
      <c r="U408" s="6">
        <v>42116.736956018518</v>
      </c>
      <c r="V408" t="s">
        <v>18</v>
      </c>
      <c r="W408" t="s">
        <v>17</v>
      </c>
      <c r="X408" s="6">
        <v>42069.514872685184</v>
      </c>
      <c r="Y408" t="s">
        <v>125</v>
      </c>
      <c r="AB408" t="s">
        <v>201</v>
      </c>
      <c r="AC408" t="s">
        <v>247</v>
      </c>
      <c r="AD408" t="s">
        <v>220</v>
      </c>
      <c r="AE408" t="s">
        <v>223</v>
      </c>
      <c r="AG408" t="s">
        <v>121</v>
      </c>
      <c r="AH408" t="s">
        <v>327</v>
      </c>
      <c r="AI408" t="s">
        <v>121</v>
      </c>
      <c r="AJ408" t="s">
        <v>716</v>
      </c>
      <c r="AK408" t="s">
        <v>121</v>
      </c>
    </row>
    <row r="409" spans="9:37" x14ac:dyDescent="0.3">
      <c r="I409">
        <f ca="1">IF(OR(INDIRECT(A73&amp;ROW())=B93,INDIRECT(A73&amp;ROW())=B94),1,IF(AND(INDIRECT(A73&amp;ROW())=B95,INDIRECT(A96&amp;ROW())=C93),1,IF(AND(INDIRECT(A73&amp;ROW())=B95,INDIRECT(A96&amp;ROW())=C94),1,0)))</f>
        <v>0</v>
      </c>
      <c r="J409">
        <f ca="1">IF(AND(INDIRECT(A73&amp;ROW())=B95,INDIRECT(A96&amp;ROW())=C95),1,IF(AND(INDIRECT(A73&amp;ROW())=B95,INDIRECT(A96&amp;ROW())=C96),1,0))</f>
        <v>1</v>
      </c>
      <c r="K409">
        <f ca="1">DAYS360(INDIRECT(C68&amp;ROW()),TODAY())</f>
        <v>738</v>
      </c>
      <c r="L409">
        <f ca="1">DAYS360(INDIRECT(C69&amp;ROW()),TODAY())</f>
        <v>776</v>
      </c>
      <c r="M409">
        <f ca="1">HYPERLINK(CONCATENATE("https://bugzilla.houston.hp.com:1181/bugzilla/show_bug.cgi?id=",INDIRECT(C70&amp;ROW())),INDIRECT(C70&amp;ROW()))</f>
        <v>58311</v>
      </c>
      <c r="N409">
        <v>58311</v>
      </c>
      <c r="O409" t="s">
        <v>22</v>
      </c>
      <c r="P409" t="s">
        <v>780</v>
      </c>
      <c r="Q409" t="s">
        <v>25</v>
      </c>
      <c r="R409" t="s">
        <v>248</v>
      </c>
      <c r="S409" t="s">
        <v>552</v>
      </c>
      <c r="U409" s="6">
        <v>42108.541238425925</v>
      </c>
      <c r="V409" t="s">
        <v>18</v>
      </c>
      <c r="W409" t="s">
        <v>576</v>
      </c>
      <c r="X409" s="6">
        <v>42069.57304398148</v>
      </c>
      <c r="Y409" t="s">
        <v>125</v>
      </c>
      <c r="AB409" t="s">
        <v>201</v>
      </c>
      <c r="AC409" t="s">
        <v>247</v>
      </c>
      <c r="AD409" t="s">
        <v>220</v>
      </c>
      <c r="AE409" t="s">
        <v>223</v>
      </c>
      <c r="AG409" t="s">
        <v>121</v>
      </c>
      <c r="AH409" t="s">
        <v>327</v>
      </c>
      <c r="AI409" t="s">
        <v>121</v>
      </c>
      <c r="AJ409" t="s">
        <v>716</v>
      </c>
      <c r="AK409" t="s">
        <v>121</v>
      </c>
    </row>
    <row r="410" spans="9:37" x14ac:dyDescent="0.3">
      <c r="I410">
        <f ca="1">IF(OR(INDIRECT(A73&amp;ROW())=B93,INDIRECT(A73&amp;ROW())=B94),1,IF(AND(INDIRECT(A73&amp;ROW())=B95,INDIRECT(A96&amp;ROW())=C93),1,IF(AND(INDIRECT(A73&amp;ROW())=B95,INDIRECT(A96&amp;ROW())=C94),1,0)))</f>
        <v>1</v>
      </c>
      <c r="J410">
        <f ca="1">IF(AND(INDIRECT(A73&amp;ROW())=B95,INDIRECT(A96&amp;ROW())=C95),1,IF(AND(INDIRECT(A73&amp;ROW())=B95,INDIRECT(A96&amp;ROW())=C96),1,0))</f>
        <v>0</v>
      </c>
      <c r="K410">
        <f ca="1">DAYS360(INDIRECT(C68&amp;ROW()),TODAY())</f>
        <v>735</v>
      </c>
      <c r="L410">
        <f ca="1">DAYS360(INDIRECT(C69&amp;ROW()),TODAY())</f>
        <v>772</v>
      </c>
      <c r="M410">
        <f ca="1">HYPERLINK(CONCATENATE("https://bugzilla.houston.hp.com:1181/bugzilla/show_bug.cgi?id=",INDIRECT(C70&amp;ROW())),INDIRECT(C70&amp;ROW()))</f>
        <v>58468</v>
      </c>
      <c r="N410">
        <v>58468</v>
      </c>
      <c r="O410" t="s">
        <v>68</v>
      </c>
      <c r="P410" t="s">
        <v>800</v>
      </c>
      <c r="Q410" t="s">
        <v>25</v>
      </c>
      <c r="R410" t="s">
        <v>579</v>
      </c>
      <c r="S410" t="s">
        <v>784</v>
      </c>
      <c r="T410" t="s">
        <v>816</v>
      </c>
      <c r="U410" s="6">
        <v>42111.528749999998</v>
      </c>
      <c r="V410" t="s">
        <v>35</v>
      </c>
      <c r="W410" t="s">
        <v>576</v>
      </c>
      <c r="X410" s="6">
        <v>42073.574074074073</v>
      </c>
      <c r="Y410" t="s">
        <v>255</v>
      </c>
      <c r="Z410" t="s">
        <v>125</v>
      </c>
      <c r="AB410" t="s">
        <v>200</v>
      </c>
      <c r="AC410" t="s">
        <v>247</v>
      </c>
      <c r="AD410" t="s">
        <v>220</v>
      </c>
      <c r="AE410" t="s">
        <v>229</v>
      </c>
      <c r="AG410" t="s">
        <v>121</v>
      </c>
      <c r="AH410" t="s">
        <v>327</v>
      </c>
      <c r="AI410" t="s">
        <v>362</v>
      </c>
      <c r="AJ410" t="s">
        <v>715</v>
      </c>
      <c r="AK410" t="s">
        <v>121</v>
      </c>
    </row>
    <row r="411" spans="9:37" x14ac:dyDescent="0.3">
      <c r="I411">
        <f ca="1">IF(OR(INDIRECT(A73&amp;ROW())=B93,INDIRECT(A73&amp;ROW())=B94),1,IF(AND(INDIRECT(A73&amp;ROW())=B95,INDIRECT(A96&amp;ROW())=C93),1,IF(AND(INDIRECT(A73&amp;ROW())=B95,INDIRECT(A96&amp;ROW())=C94),1,0)))</f>
        <v>0</v>
      </c>
      <c r="J411">
        <f ca="1">IF(AND(INDIRECT(A73&amp;ROW())=B95,INDIRECT(A96&amp;ROW())=C95),1,IF(AND(INDIRECT(A73&amp;ROW())=B95,INDIRECT(A96&amp;ROW())=C96),1,0))</f>
        <v>1</v>
      </c>
      <c r="K411">
        <f ca="1">DAYS360(INDIRECT(C68&amp;ROW()),TODAY())</f>
        <v>737</v>
      </c>
      <c r="L411">
        <f ca="1">DAYS360(INDIRECT(C69&amp;ROW()),TODAY())</f>
        <v>770</v>
      </c>
      <c r="M411">
        <f ca="1">HYPERLINK(CONCATENATE("https://bugzilla.houston.hp.com:1181/bugzilla/show_bug.cgi?id=",INDIRECT(C70&amp;ROW())),INDIRECT(C70&amp;ROW()))</f>
        <v>58612</v>
      </c>
      <c r="N411">
        <v>58612</v>
      </c>
      <c r="O411" t="s">
        <v>45</v>
      </c>
      <c r="P411" t="s">
        <v>799</v>
      </c>
      <c r="Q411" t="s">
        <v>25</v>
      </c>
      <c r="R411" t="s">
        <v>251</v>
      </c>
      <c r="S411" t="s">
        <v>33</v>
      </c>
      <c r="T411" t="s">
        <v>798</v>
      </c>
      <c r="U411" s="6">
        <v>42109.747708333336</v>
      </c>
      <c r="V411" t="s">
        <v>18</v>
      </c>
      <c r="W411" t="s">
        <v>783</v>
      </c>
      <c r="X411" s="6">
        <v>42075.22042824074</v>
      </c>
      <c r="Y411" t="s">
        <v>119</v>
      </c>
      <c r="AB411" t="s">
        <v>201</v>
      </c>
      <c r="AC411" t="s">
        <v>247</v>
      </c>
      <c r="AD411" t="s">
        <v>227</v>
      </c>
      <c r="AE411" t="s">
        <v>370</v>
      </c>
      <c r="AG411" t="s">
        <v>121</v>
      </c>
      <c r="AH411" t="s">
        <v>327</v>
      </c>
      <c r="AI411" t="s">
        <v>121</v>
      </c>
      <c r="AJ411" t="s">
        <v>716</v>
      </c>
      <c r="AK411" t="s">
        <v>121</v>
      </c>
    </row>
    <row r="412" spans="9:37" x14ac:dyDescent="0.3">
      <c r="I412">
        <f ca="1">IF(OR(INDIRECT(A73&amp;ROW())=B93,INDIRECT(A73&amp;ROW())=B94),1,IF(AND(INDIRECT(A73&amp;ROW())=B95,INDIRECT(A96&amp;ROW())=C93),1,IF(AND(INDIRECT(A73&amp;ROW())=B95,INDIRECT(A96&amp;ROW())=C94),1,0)))</f>
        <v>0</v>
      </c>
      <c r="J412">
        <f ca="1">IF(AND(INDIRECT(A73&amp;ROW())=B95,INDIRECT(A96&amp;ROW())=C95),1,IF(AND(INDIRECT(A73&amp;ROW())=B95,INDIRECT(A96&amp;ROW())=C96),1,0))</f>
        <v>1</v>
      </c>
      <c r="K412">
        <f ca="1">DAYS360(INDIRECT(C68&amp;ROW()),TODAY())</f>
        <v>765</v>
      </c>
      <c r="L412">
        <f ca="1">DAYS360(INDIRECT(C69&amp;ROW()),TODAY())</f>
        <v>770</v>
      </c>
      <c r="M412">
        <f ca="1">HYPERLINK(CONCATENATE("https://bugzilla.houston.hp.com:1181/bugzilla/show_bug.cgi?id=",INDIRECT(C70&amp;ROW())),INDIRECT(C70&amp;ROW()))</f>
        <v>58627</v>
      </c>
      <c r="N412">
        <v>58627</v>
      </c>
      <c r="O412" t="s">
        <v>36</v>
      </c>
      <c r="P412" t="s">
        <v>797</v>
      </c>
      <c r="Q412" t="s">
        <v>25</v>
      </c>
      <c r="R412" t="s">
        <v>579</v>
      </c>
      <c r="S412" t="s">
        <v>552</v>
      </c>
      <c r="T412" t="s">
        <v>798</v>
      </c>
      <c r="U412" s="6">
        <v>42080.334305555552</v>
      </c>
      <c r="V412" t="s">
        <v>18</v>
      </c>
      <c r="W412" t="s">
        <v>783</v>
      </c>
      <c r="X412" s="6">
        <v>42075.359710648147</v>
      </c>
      <c r="Y412" t="s">
        <v>119</v>
      </c>
      <c r="AB412" t="s">
        <v>201</v>
      </c>
      <c r="AC412" t="s">
        <v>247</v>
      </c>
      <c r="AD412" t="s">
        <v>227</v>
      </c>
      <c r="AE412" t="s">
        <v>370</v>
      </c>
      <c r="AG412" t="s">
        <v>121</v>
      </c>
      <c r="AH412" t="s">
        <v>327</v>
      </c>
      <c r="AI412" t="s">
        <v>121</v>
      </c>
      <c r="AJ412" t="s">
        <v>716</v>
      </c>
      <c r="AK412" t="s">
        <v>121</v>
      </c>
    </row>
    <row r="413" spans="9:37" x14ac:dyDescent="0.3">
      <c r="I413">
        <f ca="1">IF(OR(INDIRECT(A73&amp;ROW())=B93,INDIRECT(A73&amp;ROW())=B94),1,IF(AND(INDIRECT(A73&amp;ROW())=B95,INDIRECT(A96&amp;ROW())=C93),1,IF(AND(INDIRECT(A73&amp;ROW())=B95,INDIRECT(A96&amp;ROW())=C94),1,0)))</f>
        <v>0</v>
      </c>
      <c r="J413">
        <f ca="1">IF(AND(INDIRECT(A73&amp;ROW())=B95,INDIRECT(A96&amp;ROW())=C95),1,IF(AND(INDIRECT(A73&amp;ROW())=B95,INDIRECT(A96&amp;ROW())=C96),1,0))</f>
        <v>1</v>
      </c>
      <c r="K413">
        <f ca="1">DAYS360(INDIRECT(C68&amp;ROW()),TODAY())</f>
        <v>770</v>
      </c>
      <c r="L413">
        <f ca="1">DAYS360(INDIRECT(C69&amp;ROW()),TODAY())</f>
        <v>770</v>
      </c>
      <c r="M413">
        <f ca="1">HYPERLINK(CONCATENATE("https://bugzilla.houston.hp.com:1181/bugzilla/show_bug.cgi?id=",INDIRECT(C70&amp;ROW())),INDIRECT(C70&amp;ROW()))</f>
        <v>58628</v>
      </c>
      <c r="N413">
        <v>58628</v>
      </c>
      <c r="O413" t="s">
        <v>36</v>
      </c>
      <c r="P413" t="s">
        <v>796</v>
      </c>
      <c r="Q413" t="s">
        <v>25</v>
      </c>
      <c r="R413" t="s">
        <v>248</v>
      </c>
      <c r="S413" t="s">
        <v>552</v>
      </c>
      <c r="U413" s="6">
        <v>42075.360277777778</v>
      </c>
      <c r="V413" t="s">
        <v>18</v>
      </c>
      <c r="W413" t="s">
        <v>783</v>
      </c>
      <c r="X413" s="6">
        <v>42075.360277777778</v>
      </c>
      <c r="Y413" t="s">
        <v>119</v>
      </c>
      <c r="AB413" t="s">
        <v>201</v>
      </c>
      <c r="AC413" t="s">
        <v>247</v>
      </c>
      <c r="AD413" t="s">
        <v>227</v>
      </c>
      <c r="AE413" t="s">
        <v>370</v>
      </c>
      <c r="AG413" t="s">
        <v>121</v>
      </c>
      <c r="AH413" t="s">
        <v>327</v>
      </c>
      <c r="AI413" t="s">
        <v>121</v>
      </c>
      <c r="AJ413" t="s">
        <v>716</v>
      </c>
      <c r="AK413" t="s">
        <v>121</v>
      </c>
    </row>
    <row r="414" spans="9:37" x14ac:dyDescent="0.3">
      <c r="I414">
        <f ca="1">IF(OR(INDIRECT(A73&amp;ROW())=B93,INDIRECT(A73&amp;ROW())=B94),1,IF(AND(INDIRECT(A73&amp;ROW())=B95,INDIRECT(A96&amp;ROW())=C93),1,IF(AND(INDIRECT(A73&amp;ROW())=B95,INDIRECT(A96&amp;ROW())=C94),1,0)))</f>
        <v>1</v>
      </c>
      <c r="J414">
        <f ca="1">IF(AND(INDIRECT(A73&amp;ROW())=B95,INDIRECT(A96&amp;ROW())=C95),1,IF(AND(INDIRECT(A73&amp;ROW())=B95,INDIRECT(A96&amp;ROW())=C96),1,0))</f>
        <v>0</v>
      </c>
      <c r="K414">
        <f ca="1">DAYS360(INDIRECT(C68&amp;ROW()),TODAY())</f>
        <v>696</v>
      </c>
      <c r="L414">
        <f ca="1">DAYS360(INDIRECT(C69&amp;ROW()),TODAY())</f>
        <v>769</v>
      </c>
      <c r="M414">
        <f ca="1">HYPERLINK(CONCATENATE("https://bugzilla.houston.hp.com:1181/bugzilla/show_bug.cgi?id=",INDIRECT(C70&amp;ROW())),INDIRECT(C70&amp;ROW()))</f>
        <v>58713</v>
      </c>
      <c r="N414">
        <v>58713</v>
      </c>
      <c r="O414" t="s">
        <v>21</v>
      </c>
      <c r="P414" t="s">
        <v>808</v>
      </c>
      <c r="Q414" t="s">
        <v>39</v>
      </c>
      <c r="R414" t="s">
        <v>251</v>
      </c>
      <c r="S414" t="s">
        <v>336</v>
      </c>
      <c r="U414" s="6">
        <v>42150.368900462963</v>
      </c>
      <c r="V414" t="s">
        <v>18</v>
      </c>
      <c r="W414" t="s">
        <v>17</v>
      </c>
      <c r="X414" s="6">
        <v>42076.621111111112</v>
      </c>
      <c r="Y414" t="s">
        <v>122</v>
      </c>
      <c r="Z414" t="s">
        <v>255</v>
      </c>
      <c r="AB414" t="s">
        <v>201</v>
      </c>
      <c r="AC414" t="s">
        <v>247</v>
      </c>
      <c r="AD414" t="s">
        <v>222</v>
      </c>
      <c r="AE414" t="s">
        <v>221</v>
      </c>
      <c r="AG414" t="s">
        <v>121</v>
      </c>
      <c r="AH414" t="s">
        <v>327</v>
      </c>
      <c r="AI414" t="s">
        <v>121</v>
      </c>
      <c r="AJ414" t="s">
        <v>715</v>
      </c>
      <c r="AK414" t="s">
        <v>121</v>
      </c>
    </row>
    <row r="415" spans="9:37" x14ac:dyDescent="0.3">
      <c r="I415">
        <f ca="1">IF(OR(INDIRECT(A73&amp;ROW())=B93,INDIRECT(A73&amp;ROW())=B94),1,IF(AND(INDIRECT(A73&amp;ROW())=B95,INDIRECT(A96&amp;ROW())=C93),1,IF(AND(INDIRECT(A73&amp;ROW())=B95,INDIRECT(A96&amp;ROW())=C94),1,0)))</f>
        <v>1</v>
      </c>
      <c r="J415">
        <f ca="1">IF(AND(INDIRECT(A73&amp;ROW())=B95,INDIRECT(A96&amp;ROW())=C95),1,IF(AND(INDIRECT(A73&amp;ROW())=B95,INDIRECT(A96&amp;ROW())=C96),1,0))</f>
        <v>0</v>
      </c>
      <c r="K415">
        <f ca="1">DAYS360(INDIRECT(C68&amp;ROW()),TODAY())</f>
        <v>696</v>
      </c>
      <c r="L415">
        <f ca="1">DAYS360(INDIRECT(C69&amp;ROW()),TODAY())</f>
        <v>769</v>
      </c>
      <c r="M415">
        <f ca="1">HYPERLINK(CONCATENATE("https://bugzilla.houston.hp.com:1181/bugzilla/show_bug.cgi?id=",INDIRECT(C70&amp;ROW())),INDIRECT(C70&amp;ROW()))</f>
        <v>58715</v>
      </c>
      <c r="N415">
        <v>58715</v>
      </c>
      <c r="O415" t="s">
        <v>21</v>
      </c>
      <c r="P415" t="s">
        <v>807</v>
      </c>
      <c r="Q415" t="s">
        <v>39</v>
      </c>
      <c r="R415" t="s">
        <v>579</v>
      </c>
      <c r="S415" t="s">
        <v>552</v>
      </c>
      <c r="T415" t="s">
        <v>822</v>
      </c>
      <c r="U415" s="6">
        <v>42150.36886574074</v>
      </c>
      <c r="V415" t="s">
        <v>18</v>
      </c>
      <c r="W415" t="s">
        <v>17</v>
      </c>
      <c r="X415" s="6">
        <v>42076.630497685182</v>
      </c>
      <c r="Y415" t="s">
        <v>122</v>
      </c>
      <c r="AB415" t="s">
        <v>201</v>
      </c>
      <c r="AC415" t="s">
        <v>247</v>
      </c>
      <c r="AD415" t="s">
        <v>222</v>
      </c>
      <c r="AE415" t="s">
        <v>221</v>
      </c>
      <c r="AG415" t="s">
        <v>121</v>
      </c>
      <c r="AH415" t="s">
        <v>327</v>
      </c>
      <c r="AI415" t="s">
        <v>362</v>
      </c>
      <c r="AJ415" t="s">
        <v>715</v>
      </c>
      <c r="AK415" t="s">
        <v>121</v>
      </c>
    </row>
    <row r="416" spans="9:37" x14ac:dyDescent="0.3">
      <c r="I416">
        <f ca="1">IF(OR(INDIRECT(A73&amp;ROW())=B93,INDIRECT(A73&amp;ROW())=B94),1,IF(AND(INDIRECT(A73&amp;ROW())=B95,INDIRECT(A96&amp;ROW())=C93),1,IF(AND(INDIRECT(A73&amp;ROW())=B95,INDIRECT(A96&amp;ROW())=C94),1,0)))</f>
        <v>1</v>
      </c>
      <c r="J416">
        <f ca="1">IF(AND(INDIRECT(A73&amp;ROW())=B95,INDIRECT(A96&amp;ROW())=C95),1,IF(AND(INDIRECT(A73&amp;ROW())=B95,INDIRECT(A96&amp;ROW())=C96),1,0))</f>
        <v>0</v>
      </c>
      <c r="K416">
        <f ca="1">DAYS360(INDIRECT(C68&amp;ROW()),TODAY())</f>
        <v>696</v>
      </c>
      <c r="L416">
        <f ca="1">DAYS360(INDIRECT(C69&amp;ROW()),TODAY())</f>
        <v>769</v>
      </c>
      <c r="M416">
        <f ca="1">HYPERLINK(CONCATENATE("https://bugzilla.houston.hp.com:1181/bugzilla/show_bug.cgi?id=",INDIRECT(C70&amp;ROW())),INDIRECT(C70&amp;ROW()))</f>
        <v>58716</v>
      </c>
      <c r="N416">
        <v>58716</v>
      </c>
      <c r="O416" t="s">
        <v>21</v>
      </c>
      <c r="P416" t="s">
        <v>806</v>
      </c>
      <c r="Q416" t="s">
        <v>39</v>
      </c>
      <c r="R416" t="s">
        <v>248</v>
      </c>
      <c r="S416" t="s">
        <v>552</v>
      </c>
      <c r="U416" s="6">
        <v>42150.368888888886</v>
      </c>
      <c r="V416" t="s">
        <v>18</v>
      </c>
      <c r="W416" t="s">
        <v>17</v>
      </c>
      <c r="X416" s="6">
        <v>42076.630567129629</v>
      </c>
      <c r="Y416" t="s">
        <v>122</v>
      </c>
      <c r="AB416" t="s">
        <v>201</v>
      </c>
      <c r="AC416" t="s">
        <v>247</v>
      </c>
      <c r="AD416" t="s">
        <v>222</v>
      </c>
      <c r="AE416" t="s">
        <v>221</v>
      </c>
      <c r="AG416" t="s">
        <v>121</v>
      </c>
      <c r="AH416" t="s">
        <v>327</v>
      </c>
      <c r="AI416" t="s">
        <v>121</v>
      </c>
      <c r="AJ416" t="s">
        <v>715</v>
      </c>
      <c r="AK416" t="s">
        <v>121</v>
      </c>
    </row>
    <row r="417" spans="9:37" x14ac:dyDescent="0.3">
      <c r="I417">
        <f ca="1">IF(OR(INDIRECT(A73&amp;ROW())=B93,INDIRECT(A73&amp;ROW())=B94),1,IF(AND(INDIRECT(A73&amp;ROW())=B95,INDIRECT(A96&amp;ROW())=C93),1,IF(AND(INDIRECT(A73&amp;ROW())=B95,INDIRECT(A96&amp;ROW())=C94),1,0)))</f>
        <v>1</v>
      </c>
      <c r="J417">
        <f ca="1">IF(AND(INDIRECT(A73&amp;ROW())=B95,INDIRECT(A96&amp;ROW())=C95),1,IF(AND(INDIRECT(A73&amp;ROW())=B95,INDIRECT(A96&amp;ROW())=C96),1,0))</f>
        <v>0</v>
      </c>
      <c r="K417">
        <f ca="1">DAYS360(INDIRECT(C68&amp;ROW()),TODAY())</f>
        <v>769</v>
      </c>
      <c r="L417">
        <f ca="1">DAYS360(INDIRECT(C69&amp;ROW()),TODAY())</f>
        <v>769</v>
      </c>
      <c r="M417">
        <f ca="1">HYPERLINK(CONCATENATE("https://bugzilla.houston.hp.com:1181/bugzilla/show_bug.cgi?id=",INDIRECT(C70&amp;ROW())),INDIRECT(C70&amp;ROW()))</f>
        <v>58720</v>
      </c>
      <c r="N417">
        <v>58720</v>
      </c>
      <c r="O417" t="s">
        <v>56</v>
      </c>
      <c r="P417" t="s">
        <v>805</v>
      </c>
      <c r="Q417" t="s">
        <v>25</v>
      </c>
      <c r="R417" t="s">
        <v>248</v>
      </c>
      <c r="S417" t="s">
        <v>552</v>
      </c>
      <c r="U417" s="6">
        <v>42076.652650462966</v>
      </c>
      <c r="V417" t="s">
        <v>18</v>
      </c>
      <c r="W417" t="s">
        <v>248</v>
      </c>
      <c r="X417" s="6">
        <v>42076.652650462966</v>
      </c>
      <c r="Y417" t="s">
        <v>123</v>
      </c>
      <c r="AB417" t="s">
        <v>200</v>
      </c>
      <c r="AC417" t="s">
        <v>247</v>
      </c>
      <c r="AD417" t="s">
        <v>220</v>
      </c>
      <c r="AE417" t="s">
        <v>219</v>
      </c>
      <c r="AG417" t="s">
        <v>121</v>
      </c>
      <c r="AH417" t="s">
        <v>327</v>
      </c>
      <c r="AI417" t="s">
        <v>121</v>
      </c>
      <c r="AJ417" t="s">
        <v>715</v>
      </c>
      <c r="AK417" t="s">
        <v>121</v>
      </c>
    </row>
    <row r="418" spans="9:37" x14ac:dyDescent="0.3">
      <c r="I418">
        <f ca="1">IF(OR(INDIRECT(A73&amp;ROW())=B93,INDIRECT(A73&amp;ROW())=B94),1,IF(AND(INDIRECT(A73&amp;ROW())=B95,INDIRECT(A96&amp;ROW())=C93),1,IF(AND(INDIRECT(A73&amp;ROW())=B95,INDIRECT(A96&amp;ROW())=C94),1,0)))</f>
        <v>0</v>
      </c>
      <c r="J418">
        <f ca="1">IF(AND(INDIRECT(A73&amp;ROW())=B95,INDIRECT(A96&amp;ROW())=C95),1,IF(AND(INDIRECT(A73&amp;ROW())=B95,INDIRECT(A96&amp;ROW())=C96),1,0))</f>
        <v>0</v>
      </c>
      <c r="K418">
        <f ca="1">DAYS360(INDIRECT(C68&amp;ROW()),TODAY())</f>
        <v>737</v>
      </c>
      <c r="L418">
        <f ca="1">DAYS360(INDIRECT(C69&amp;ROW()),TODAY())</f>
        <v>765</v>
      </c>
      <c r="M418">
        <f ca="1">HYPERLINK(CONCATENATE("https://bugzilla.houston.hp.com:1181/bugzilla/show_bug.cgi?id=",INDIRECT(C70&amp;ROW())),INDIRECT(C70&amp;ROW()))</f>
        <v>58905</v>
      </c>
      <c r="N418">
        <v>58905</v>
      </c>
      <c r="O418" t="s">
        <v>22</v>
      </c>
      <c r="P418" t="s">
        <v>812</v>
      </c>
      <c r="Q418" t="s">
        <v>16</v>
      </c>
      <c r="R418" t="s">
        <v>251</v>
      </c>
      <c r="S418" t="s">
        <v>24</v>
      </c>
      <c r="T418" t="s">
        <v>809</v>
      </c>
      <c r="U418" s="6">
        <v>42109.74800925926</v>
      </c>
      <c r="V418" t="s">
        <v>18</v>
      </c>
      <c r="W418" t="s">
        <v>764</v>
      </c>
      <c r="X418" s="6">
        <v>42080.415046296293</v>
      </c>
      <c r="Y418" t="s">
        <v>810</v>
      </c>
      <c r="AB418" t="s">
        <v>199</v>
      </c>
      <c r="AC418" t="s">
        <v>247</v>
      </c>
      <c r="AD418" t="s">
        <v>222</v>
      </c>
      <c r="AE418" t="s">
        <v>221</v>
      </c>
      <c r="AG418" t="s">
        <v>121</v>
      </c>
      <c r="AH418" t="s">
        <v>327</v>
      </c>
      <c r="AI418" t="s">
        <v>121</v>
      </c>
      <c r="AJ418" t="s">
        <v>716</v>
      </c>
      <c r="AK418" t="s">
        <v>121</v>
      </c>
    </row>
    <row r="419" spans="9:37" x14ac:dyDescent="0.3">
      <c r="I419">
        <f ca="1">IF(OR(INDIRECT(A73&amp;ROW())=B93,INDIRECT(A73&amp;ROW())=B94),1,IF(AND(INDIRECT(A73&amp;ROW())=B95,INDIRECT(A96&amp;ROW())=C93),1,IF(AND(INDIRECT(A73&amp;ROW())=B95,INDIRECT(A96&amp;ROW())=C94),1,0)))</f>
        <v>0</v>
      </c>
      <c r="J419">
        <f ca="1">IF(AND(INDIRECT(A73&amp;ROW())=B95,INDIRECT(A96&amp;ROW())=C95),1,IF(AND(INDIRECT(A73&amp;ROW())=B95,INDIRECT(A96&amp;ROW())=C96),1,0))</f>
        <v>0</v>
      </c>
      <c r="K419">
        <f ca="1">DAYS360(INDIRECT(C68&amp;ROW()),TODAY())</f>
        <v>733</v>
      </c>
      <c r="L419">
        <f ca="1">DAYS360(INDIRECT(C69&amp;ROW()),TODAY())</f>
        <v>765</v>
      </c>
      <c r="M419">
        <f ca="1">HYPERLINK(CONCATENATE("https://bugzilla.houston.hp.com:1181/bugzilla/show_bug.cgi?id=",INDIRECT(C70&amp;ROW())),INDIRECT(C70&amp;ROW()))</f>
        <v>58914</v>
      </c>
      <c r="N419">
        <v>58914</v>
      </c>
      <c r="O419" t="s">
        <v>36</v>
      </c>
      <c r="P419" t="s">
        <v>811</v>
      </c>
      <c r="Q419" t="s">
        <v>16</v>
      </c>
      <c r="R419" t="s">
        <v>248</v>
      </c>
      <c r="S419" t="s">
        <v>552</v>
      </c>
      <c r="T419" t="s">
        <v>809</v>
      </c>
      <c r="U419" s="6">
        <v>42113.630682870367</v>
      </c>
      <c r="V419" t="s">
        <v>18</v>
      </c>
      <c r="W419" t="s">
        <v>764</v>
      </c>
      <c r="X419" s="6">
        <v>42080.545231481483</v>
      </c>
      <c r="Y419" t="s">
        <v>810</v>
      </c>
      <c r="AB419" t="s">
        <v>199</v>
      </c>
      <c r="AC419" t="s">
        <v>247</v>
      </c>
      <c r="AD419" t="s">
        <v>222</v>
      </c>
      <c r="AE419" t="s">
        <v>221</v>
      </c>
      <c r="AG419" t="s">
        <v>121</v>
      </c>
      <c r="AH419" t="s">
        <v>327</v>
      </c>
      <c r="AI419" t="s">
        <v>121</v>
      </c>
      <c r="AJ419" t="s">
        <v>715</v>
      </c>
      <c r="AK419" t="s">
        <v>121</v>
      </c>
    </row>
    <row r="420" spans="9:37" x14ac:dyDescent="0.3">
      <c r="I420">
        <f ca="1">IF(OR(INDIRECT(A73&amp;ROW())=B93,INDIRECT(A73&amp;ROW())=B94),1,IF(AND(INDIRECT(A73&amp;ROW())=B95,INDIRECT(A96&amp;ROW())=C93),1,IF(AND(INDIRECT(A73&amp;ROW())=B95,INDIRECT(A96&amp;ROW())=C94),1,0)))</f>
        <v>1</v>
      </c>
      <c r="J420">
        <f ca="1">IF(AND(INDIRECT(A73&amp;ROW())=B95,INDIRECT(A96&amp;ROW())=C95),1,IF(AND(INDIRECT(A73&amp;ROW())=B95,INDIRECT(A96&amp;ROW())=C96),1,0))</f>
        <v>0</v>
      </c>
      <c r="K420">
        <f ca="1">DAYS360(INDIRECT(C68&amp;ROW()),TODAY())</f>
        <v>730</v>
      </c>
      <c r="L420">
        <f ca="1">DAYS360(INDIRECT(C69&amp;ROW()),TODAY())</f>
        <v>765</v>
      </c>
      <c r="M420">
        <f ca="1">HYPERLINK(CONCATENATE("https://bugzilla.houston.hp.com:1181/bugzilla/show_bug.cgi?id=",INDIRECT(C70&amp;ROW())),INDIRECT(C70&amp;ROW()))</f>
        <v>58924</v>
      </c>
      <c r="N420">
        <v>58924</v>
      </c>
      <c r="O420" t="s">
        <v>56</v>
      </c>
      <c r="P420" t="s">
        <v>813</v>
      </c>
      <c r="Q420" t="s">
        <v>39</v>
      </c>
      <c r="R420" t="s">
        <v>251</v>
      </c>
      <c r="S420" t="s">
        <v>53</v>
      </c>
      <c r="U420" s="6">
        <v>42116.737164351849</v>
      </c>
      <c r="V420" t="s">
        <v>18</v>
      </c>
      <c r="W420" t="s">
        <v>17</v>
      </c>
      <c r="X420" s="6">
        <v>42080.683611111112</v>
      </c>
      <c r="Y420" t="s">
        <v>801</v>
      </c>
      <c r="AB420" t="s">
        <v>201</v>
      </c>
      <c r="AC420" t="s">
        <v>247</v>
      </c>
      <c r="AD420" t="s">
        <v>220</v>
      </c>
      <c r="AE420" t="s">
        <v>219</v>
      </c>
      <c r="AG420" t="s">
        <v>121</v>
      </c>
      <c r="AH420" t="s">
        <v>327</v>
      </c>
      <c r="AI420" t="s">
        <v>121</v>
      </c>
      <c r="AJ420" t="s">
        <v>715</v>
      </c>
      <c r="AK420" t="s">
        <v>121</v>
      </c>
    </row>
    <row r="421" spans="9:37" x14ac:dyDescent="0.3">
      <c r="I421">
        <f ca="1">IF(OR(INDIRECT(A73&amp;ROW())=B93,INDIRECT(A73&amp;ROW())=B94),1,IF(AND(INDIRECT(A73&amp;ROW())=B95,INDIRECT(A96&amp;ROW())=C93),1,IF(AND(INDIRECT(A73&amp;ROW())=B95,INDIRECT(A96&amp;ROW())=C94),1,0)))</f>
        <v>1</v>
      </c>
      <c r="J421">
        <f ca="1">IF(AND(INDIRECT(A73&amp;ROW())=B95,INDIRECT(A96&amp;ROW())=C95),1,IF(AND(INDIRECT(A73&amp;ROW())=B95,INDIRECT(A96&amp;ROW())=C96),1,0))</f>
        <v>0</v>
      </c>
      <c r="K421">
        <f ca="1">DAYS360(INDIRECT(C68&amp;ROW()),TODAY())</f>
        <v>703</v>
      </c>
      <c r="L421">
        <f ca="1">DAYS360(INDIRECT(C69&amp;ROW()),TODAY())</f>
        <v>764</v>
      </c>
      <c r="M421">
        <f ca="1">HYPERLINK(CONCATENATE("https://bugzilla.houston.hp.com:1181/bugzilla/show_bug.cgi?id=",INDIRECT(C70&amp;ROW())),INDIRECT(C70&amp;ROW()))</f>
        <v>59002</v>
      </c>
      <c r="N421">
        <v>59002</v>
      </c>
      <c r="O421" t="s">
        <v>188</v>
      </c>
      <c r="P421" t="s">
        <v>814</v>
      </c>
      <c r="Q421" t="s">
        <v>39</v>
      </c>
      <c r="R421" t="s">
        <v>251</v>
      </c>
      <c r="S421" t="s">
        <v>43</v>
      </c>
      <c r="U421" s="6">
        <v>42143.458402777775</v>
      </c>
      <c r="V421" t="s">
        <v>18</v>
      </c>
      <c r="W421" t="s">
        <v>17</v>
      </c>
      <c r="X421" s="6">
        <v>42081.485729166663</v>
      </c>
      <c r="Y421" t="s">
        <v>793</v>
      </c>
      <c r="AB421" t="s">
        <v>201</v>
      </c>
      <c r="AC421" t="s">
        <v>247</v>
      </c>
      <c r="AD421" t="s">
        <v>220</v>
      </c>
      <c r="AE421" t="s">
        <v>229</v>
      </c>
      <c r="AG421" t="s">
        <v>121</v>
      </c>
      <c r="AH421" t="s">
        <v>327</v>
      </c>
      <c r="AI421" t="s">
        <v>121</v>
      </c>
      <c r="AJ421" t="s">
        <v>715</v>
      </c>
      <c r="AK421" t="s">
        <v>121</v>
      </c>
    </row>
    <row r="422" spans="9:37" x14ac:dyDescent="0.3">
      <c r="I422">
        <f ca="1">IF(OR(INDIRECT(A73&amp;ROW())=B93,INDIRECT(A73&amp;ROW())=B94),1,IF(AND(INDIRECT(A73&amp;ROW())=B95,INDIRECT(A96&amp;ROW())=C93),1,IF(AND(INDIRECT(A73&amp;ROW())=B95,INDIRECT(A96&amp;ROW())=C94),1,0)))</f>
        <v>0</v>
      </c>
      <c r="J422">
        <f ca="1">IF(AND(INDIRECT(A73&amp;ROW())=B95,INDIRECT(A96&amp;ROW())=C95),1,IF(AND(INDIRECT(A73&amp;ROW())=B95,INDIRECT(A96&amp;ROW())=C96),1,0))</f>
        <v>1</v>
      </c>
      <c r="K422">
        <f ca="1">DAYS360(INDIRECT(C68&amp;ROW()),TODAY())</f>
        <v>710</v>
      </c>
      <c r="L422">
        <f ca="1">DAYS360(INDIRECT(C69&amp;ROW()),TODAY())</f>
        <v>759</v>
      </c>
      <c r="M422">
        <f ca="1">HYPERLINK(CONCATENATE("https://bugzilla.houston.hp.com:1181/bugzilla/show_bug.cgi?id=",INDIRECT(C70&amp;ROW())),INDIRECT(C70&amp;ROW()))</f>
        <v>59164</v>
      </c>
      <c r="N422">
        <v>59164</v>
      </c>
      <c r="O422" t="s">
        <v>53</v>
      </c>
      <c r="P422" t="s">
        <v>1011</v>
      </c>
      <c r="Q422" t="s">
        <v>25</v>
      </c>
      <c r="R422" t="s">
        <v>251</v>
      </c>
      <c r="S422" t="s">
        <v>773</v>
      </c>
      <c r="U422" s="6">
        <v>42136.465115740742</v>
      </c>
      <c r="V422" t="s">
        <v>18</v>
      </c>
      <c r="W422" t="s">
        <v>17</v>
      </c>
      <c r="X422" s="6">
        <v>42086.240844907406</v>
      </c>
      <c r="Y422" t="s">
        <v>125</v>
      </c>
      <c r="AB422" t="s">
        <v>201</v>
      </c>
      <c r="AC422" t="s">
        <v>247</v>
      </c>
      <c r="AD422" t="s">
        <v>222</v>
      </c>
      <c r="AE422" t="s">
        <v>221</v>
      </c>
      <c r="AG422" t="s">
        <v>121</v>
      </c>
      <c r="AH422" t="s">
        <v>327</v>
      </c>
      <c r="AI422" t="s">
        <v>121</v>
      </c>
      <c r="AJ422" t="s">
        <v>716</v>
      </c>
      <c r="AK422" t="s">
        <v>121</v>
      </c>
    </row>
    <row r="423" spans="9:37" x14ac:dyDescent="0.3">
      <c r="I423">
        <f ca="1">IF(OR(INDIRECT(A73&amp;ROW())=B93,INDIRECT(A73&amp;ROW())=B94),1,IF(AND(INDIRECT(A73&amp;ROW())=B95,INDIRECT(A96&amp;ROW())=C93),1,IF(AND(INDIRECT(A73&amp;ROW())=B95,INDIRECT(A96&amp;ROW())=C94),1,0)))</f>
        <v>0</v>
      </c>
      <c r="J423">
        <f ca="1">IF(AND(INDIRECT(A73&amp;ROW())=B95,INDIRECT(A96&amp;ROW())=C95),1,IF(AND(INDIRECT(A73&amp;ROW())=B95,INDIRECT(A96&amp;ROW())=C96),1,0))</f>
        <v>1</v>
      </c>
      <c r="K423">
        <f ca="1">DAYS360(INDIRECT(C68&amp;ROW()),TODAY())</f>
        <v>710</v>
      </c>
      <c r="L423">
        <f ca="1">DAYS360(INDIRECT(C69&amp;ROW()),TODAY())</f>
        <v>758</v>
      </c>
      <c r="M423">
        <f ca="1">HYPERLINK(CONCATENATE("https://bugzilla.houston.hp.com:1181/bugzilla/show_bug.cgi?id=",INDIRECT(C70&amp;ROW())),INDIRECT(C70&amp;ROW()))</f>
        <v>59208</v>
      </c>
      <c r="N423">
        <v>59208</v>
      </c>
      <c r="O423" t="s">
        <v>53</v>
      </c>
      <c r="P423" t="s">
        <v>1048</v>
      </c>
      <c r="Q423" t="s">
        <v>25</v>
      </c>
      <c r="R423" t="s">
        <v>783</v>
      </c>
      <c r="S423" t="s">
        <v>1045</v>
      </c>
      <c r="U423" s="6">
        <v>42136.46534722222</v>
      </c>
      <c r="V423" t="s">
        <v>18</v>
      </c>
      <c r="W423" t="s">
        <v>17</v>
      </c>
      <c r="X423" s="6">
        <v>42087.026030092595</v>
      </c>
      <c r="Y423" t="s">
        <v>125</v>
      </c>
      <c r="AB423" t="s">
        <v>201</v>
      </c>
      <c r="AC423" t="s">
        <v>247</v>
      </c>
      <c r="AD423" t="s">
        <v>222</v>
      </c>
      <c r="AE423" t="s">
        <v>221</v>
      </c>
      <c r="AG423" t="s">
        <v>121</v>
      </c>
      <c r="AH423" t="s">
        <v>327</v>
      </c>
      <c r="AI423" t="s">
        <v>121</v>
      </c>
      <c r="AJ423" t="s">
        <v>716</v>
      </c>
      <c r="AK423" t="s">
        <v>121</v>
      </c>
    </row>
    <row r="424" spans="9:37" x14ac:dyDescent="0.3">
      <c r="I424">
        <f ca="1">IF(OR(INDIRECT(A73&amp;ROW())=B93,INDIRECT(A73&amp;ROW())=B94),1,IF(AND(INDIRECT(A73&amp;ROW())=B95,INDIRECT(A96&amp;ROW())=C93),1,IF(AND(INDIRECT(A73&amp;ROW())=B95,INDIRECT(A96&amp;ROW())=C94),1,0)))</f>
        <v>0</v>
      </c>
      <c r="J424">
        <f ca="1">IF(AND(INDIRECT(A73&amp;ROW())=B95,INDIRECT(A96&amp;ROW())=C95),1,IF(AND(INDIRECT(A73&amp;ROW())=B95,INDIRECT(A96&amp;ROW())=C96),1,0))</f>
        <v>1</v>
      </c>
      <c r="K424">
        <f ca="1">DAYS360(INDIRECT(C68&amp;ROW()),TODAY())</f>
        <v>710</v>
      </c>
      <c r="L424">
        <f ca="1">DAYS360(INDIRECT(C69&amp;ROW()),TODAY())</f>
        <v>758</v>
      </c>
      <c r="M424">
        <f ca="1">HYPERLINK(CONCATENATE("https://bugzilla.houston.hp.com:1181/bugzilla/show_bug.cgi?id=",INDIRECT(C70&amp;ROW())),INDIRECT(C70&amp;ROW()))</f>
        <v>59209</v>
      </c>
      <c r="N424">
        <v>59209</v>
      </c>
      <c r="O424" t="s">
        <v>53</v>
      </c>
      <c r="P424" t="s">
        <v>1047</v>
      </c>
      <c r="Q424" t="s">
        <v>25</v>
      </c>
      <c r="R424" t="s">
        <v>579</v>
      </c>
      <c r="S424" t="s">
        <v>1045</v>
      </c>
      <c r="T424" t="s">
        <v>1025</v>
      </c>
      <c r="U424" s="6">
        <v>42136.458599537036</v>
      </c>
      <c r="V424" t="s">
        <v>18</v>
      </c>
      <c r="W424" t="s">
        <v>17</v>
      </c>
      <c r="X424" s="6">
        <v>42087.026145833333</v>
      </c>
      <c r="Y424" t="s">
        <v>125</v>
      </c>
      <c r="AB424" t="s">
        <v>201</v>
      </c>
      <c r="AC424" t="s">
        <v>247</v>
      </c>
      <c r="AD424" t="s">
        <v>222</v>
      </c>
      <c r="AE424" t="s">
        <v>221</v>
      </c>
      <c r="AG424" t="s">
        <v>121</v>
      </c>
      <c r="AH424" t="s">
        <v>327</v>
      </c>
      <c r="AI424" t="s">
        <v>121</v>
      </c>
      <c r="AJ424" t="s">
        <v>716</v>
      </c>
      <c r="AK424" t="s">
        <v>121</v>
      </c>
    </row>
    <row r="425" spans="9:37" x14ac:dyDescent="0.3">
      <c r="I425">
        <f ca="1">IF(OR(INDIRECT(A73&amp;ROW())=B93,INDIRECT(A73&amp;ROW())=B94),1,IF(AND(INDIRECT(A73&amp;ROW())=B95,INDIRECT(A96&amp;ROW())=C93),1,IF(AND(INDIRECT(A73&amp;ROW())=B95,INDIRECT(A96&amp;ROW())=C94),1,0)))</f>
        <v>0</v>
      </c>
      <c r="J425">
        <f ca="1">IF(AND(INDIRECT(A73&amp;ROW())=B95,INDIRECT(A96&amp;ROW())=C95),1,IF(AND(INDIRECT(A73&amp;ROW())=B95,INDIRECT(A96&amp;ROW())=C96),1,0))</f>
        <v>1</v>
      </c>
      <c r="K425">
        <f ca="1">DAYS360(INDIRECT(C68&amp;ROW()),TODAY())</f>
        <v>710</v>
      </c>
      <c r="L425">
        <f ca="1">DAYS360(INDIRECT(C69&amp;ROW()),TODAY())</f>
        <v>758</v>
      </c>
      <c r="M425">
        <f ca="1">HYPERLINK(CONCATENATE("https://bugzilla.houston.hp.com:1181/bugzilla/show_bug.cgi?id=",INDIRECT(C70&amp;ROW())),INDIRECT(C70&amp;ROW()))</f>
        <v>59210</v>
      </c>
      <c r="N425">
        <v>59210</v>
      </c>
      <c r="O425" t="s">
        <v>53</v>
      </c>
      <c r="P425" t="s">
        <v>1046</v>
      </c>
      <c r="Q425" t="s">
        <v>25</v>
      </c>
      <c r="R425" t="s">
        <v>248</v>
      </c>
      <c r="S425" t="s">
        <v>1045</v>
      </c>
      <c r="U425" s="6">
        <v>42136.465567129628</v>
      </c>
      <c r="V425" t="s">
        <v>18</v>
      </c>
      <c r="W425" t="s">
        <v>17</v>
      </c>
      <c r="X425" s="6">
        <v>42087.026250000003</v>
      </c>
      <c r="Y425" t="s">
        <v>125</v>
      </c>
      <c r="AB425" t="s">
        <v>201</v>
      </c>
      <c r="AC425" t="s">
        <v>247</v>
      </c>
      <c r="AD425" t="s">
        <v>222</v>
      </c>
      <c r="AE425" t="s">
        <v>221</v>
      </c>
      <c r="AG425" t="s">
        <v>121</v>
      </c>
      <c r="AH425" t="s">
        <v>327</v>
      </c>
      <c r="AI425" t="s">
        <v>121</v>
      </c>
      <c r="AJ425" t="s">
        <v>716</v>
      </c>
      <c r="AK425" t="s">
        <v>121</v>
      </c>
    </row>
    <row r="426" spans="9:37" x14ac:dyDescent="0.3">
      <c r="I426">
        <f ca="1">IF(OR(INDIRECT(A73&amp;ROW())=B93,INDIRECT(A73&amp;ROW())=B94),1,IF(AND(INDIRECT(A73&amp;ROW())=B95,INDIRECT(A96&amp;ROW())=C93),1,IF(AND(INDIRECT(A73&amp;ROW())=B95,INDIRECT(A96&amp;ROW())=C94),1,0)))</f>
        <v>1</v>
      </c>
      <c r="J426">
        <f ca="1">IF(AND(INDIRECT(A73&amp;ROW())=B95,INDIRECT(A96&amp;ROW())=C95),1,IF(AND(INDIRECT(A73&amp;ROW())=B95,INDIRECT(A96&amp;ROW())=C96),1,0))</f>
        <v>0</v>
      </c>
      <c r="K426">
        <f ca="1">DAYS360(INDIRECT(C68&amp;ROW()),TODAY())</f>
        <v>714</v>
      </c>
      <c r="L426">
        <f ca="1">DAYS360(INDIRECT(C69&amp;ROW()),TODAY())</f>
        <v>758</v>
      </c>
      <c r="M426">
        <f ca="1">HYPERLINK(CONCATENATE("https://bugzilla.houston.hp.com:1181/bugzilla/show_bug.cgi?id=",INDIRECT(C70&amp;ROW())),INDIRECT(C70&amp;ROW()))</f>
        <v>59230</v>
      </c>
      <c r="N426">
        <v>59230</v>
      </c>
      <c r="O426" t="s">
        <v>33</v>
      </c>
      <c r="P426" t="s">
        <v>819</v>
      </c>
      <c r="Q426" t="s">
        <v>25</v>
      </c>
      <c r="R426" t="s">
        <v>251</v>
      </c>
      <c r="S426" t="s">
        <v>33</v>
      </c>
      <c r="U426" s="6">
        <v>42132.36142361111</v>
      </c>
      <c r="V426" t="s">
        <v>18</v>
      </c>
      <c r="W426" t="s">
        <v>783</v>
      </c>
      <c r="X426" s="6">
        <v>42087.257743055554</v>
      </c>
      <c r="Y426" t="s">
        <v>119</v>
      </c>
      <c r="AB426" t="s">
        <v>200</v>
      </c>
      <c r="AC426" t="s">
        <v>247</v>
      </c>
      <c r="AD426" t="s">
        <v>220</v>
      </c>
      <c r="AE426" t="s">
        <v>223</v>
      </c>
      <c r="AG426" t="s">
        <v>121</v>
      </c>
      <c r="AH426" t="s">
        <v>327</v>
      </c>
      <c r="AI426" t="s">
        <v>121</v>
      </c>
      <c r="AJ426" t="s">
        <v>715</v>
      </c>
      <c r="AK426" t="s">
        <v>121</v>
      </c>
    </row>
    <row r="427" spans="9:37" x14ac:dyDescent="0.3">
      <c r="I427">
        <f ca="1">IF(OR(INDIRECT(A73&amp;ROW())=B93,INDIRECT(A73&amp;ROW())=B94),1,IF(AND(INDIRECT(A73&amp;ROW())=B95,INDIRECT(A96&amp;ROW())=C93),1,IF(AND(INDIRECT(A73&amp;ROW())=B95,INDIRECT(A96&amp;ROW())=C94),1,0)))</f>
        <v>1</v>
      </c>
      <c r="J427">
        <f ca="1">IF(AND(INDIRECT(A73&amp;ROW())=B95,INDIRECT(A96&amp;ROW())=C95),1,IF(AND(INDIRECT(A73&amp;ROW())=B95,INDIRECT(A96&amp;ROW())=C96),1,0))</f>
        <v>0</v>
      </c>
      <c r="K427">
        <f ca="1">DAYS360(INDIRECT(C68&amp;ROW()),TODAY())</f>
        <v>732</v>
      </c>
      <c r="L427">
        <f ca="1">DAYS360(INDIRECT(C69&amp;ROW()),TODAY())</f>
        <v>758</v>
      </c>
      <c r="M427">
        <f ca="1">HYPERLINK(CONCATENATE("https://bugzilla.houston.hp.com:1181/bugzilla/show_bug.cgi?id=",INDIRECT(C70&amp;ROW())),INDIRECT(C70&amp;ROW()))</f>
        <v>59259</v>
      </c>
      <c r="N427">
        <v>59259</v>
      </c>
      <c r="O427" t="s">
        <v>22</v>
      </c>
      <c r="P427" t="s">
        <v>818</v>
      </c>
      <c r="Q427" t="s">
        <v>25</v>
      </c>
      <c r="R427" t="s">
        <v>579</v>
      </c>
      <c r="S427" t="s">
        <v>552</v>
      </c>
      <c r="T427" t="s">
        <v>822</v>
      </c>
      <c r="U427" s="6">
        <v>42114.901689814818</v>
      </c>
      <c r="V427" t="s">
        <v>18</v>
      </c>
      <c r="W427" t="s">
        <v>783</v>
      </c>
      <c r="X427" s="6">
        <v>42087.716736111113</v>
      </c>
      <c r="Y427" t="s">
        <v>119</v>
      </c>
      <c r="AB427" t="s">
        <v>200</v>
      </c>
      <c r="AC427" t="s">
        <v>247</v>
      </c>
      <c r="AD427" t="s">
        <v>220</v>
      </c>
      <c r="AE427" t="s">
        <v>223</v>
      </c>
      <c r="AG427" t="s">
        <v>121</v>
      </c>
      <c r="AH427" t="s">
        <v>327</v>
      </c>
      <c r="AI427" t="s">
        <v>362</v>
      </c>
      <c r="AJ427" t="s">
        <v>715</v>
      </c>
      <c r="AK427" t="s">
        <v>121</v>
      </c>
    </row>
    <row r="428" spans="9:37" x14ac:dyDescent="0.3">
      <c r="I428">
        <f ca="1">IF(OR(INDIRECT(A73&amp;ROW())=B93,INDIRECT(A73&amp;ROW())=B94),1,IF(AND(INDIRECT(A73&amp;ROW())=B95,INDIRECT(A96&amp;ROW())=C93),1,IF(AND(INDIRECT(A73&amp;ROW())=B95,INDIRECT(A96&amp;ROW())=C94),1,0)))</f>
        <v>1</v>
      </c>
      <c r="J428">
        <f ca="1">IF(AND(INDIRECT(A73&amp;ROW())=B95,INDIRECT(A96&amp;ROW())=C95),1,IF(AND(INDIRECT(A73&amp;ROW())=B95,INDIRECT(A96&amp;ROW())=C96),1,0))</f>
        <v>0</v>
      </c>
      <c r="K428">
        <f ca="1">DAYS360(INDIRECT(C68&amp;ROW()),TODAY())</f>
        <v>758</v>
      </c>
      <c r="L428">
        <f ca="1">DAYS360(INDIRECT(C69&amp;ROW()),TODAY())</f>
        <v>758</v>
      </c>
      <c r="M428">
        <f ca="1">HYPERLINK(CONCATENATE("https://bugzilla.houston.hp.com:1181/bugzilla/show_bug.cgi?id=",INDIRECT(C70&amp;ROW())),INDIRECT(C70&amp;ROW()))</f>
        <v>59260</v>
      </c>
      <c r="N428">
        <v>59260</v>
      </c>
      <c r="O428" t="s">
        <v>22</v>
      </c>
      <c r="P428" t="s">
        <v>817</v>
      </c>
      <c r="Q428" t="s">
        <v>25</v>
      </c>
      <c r="R428" t="s">
        <v>248</v>
      </c>
      <c r="S428" t="s">
        <v>552</v>
      </c>
      <c r="U428" s="6">
        <v>42087.716840277775</v>
      </c>
      <c r="V428" t="s">
        <v>18</v>
      </c>
      <c r="W428" t="s">
        <v>783</v>
      </c>
      <c r="X428" s="6">
        <v>42087.716840277775</v>
      </c>
      <c r="Y428" t="s">
        <v>119</v>
      </c>
      <c r="AB428" t="s">
        <v>200</v>
      </c>
      <c r="AC428" t="s">
        <v>247</v>
      </c>
      <c r="AD428" t="s">
        <v>220</v>
      </c>
      <c r="AE428" t="s">
        <v>223</v>
      </c>
      <c r="AG428" t="s">
        <v>121</v>
      </c>
      <c r="AH428" t="s">
        <v>327</v>
      </c>
      <c r="AI428" t="s">
        <v>121</v>
      </c>
      <c r="AJ428" t="s">
        <v>715</v>
      </c>
      <c r="AK428" t="s">
        <v>121</v>
      </c>
    </row>
    <row r="429" spans="9:37" x14ac:dyDescent="0.3">
      <c r="I429">
        <f ca="1">IF(OR(INDIRECT(A73&amp;ROW())=B93,INDIRECT(A73&amp;ROW())=B94),1,IF(AND(INDIRECT(A73&amp;ROW())=B95,INDIRECT(A96&amp;ROW())=C93),1,IF(AND(INDIRECT(A73&amp;ROW())=B95,INDIRECT(A96&amp;ROW())=C94),1,0)))</f>
        <v>0</v>
      </c>
      <c r="J429">
        <f ca="1">IF(AND(INDIRECT(A73&amp;ROW())=B95,INDIRECT(A96&amp;ROW())=C95),1,IF(AND(INDIRECT(A73&amp;ROW())=B95,INDIRECT(A96&amp;ROW())=C96),1,0))</f>
        <v>1</v>
      </c>
      <c r="K429">
        <f ca="1">DAYS360(INDIRECT(C68&amp;ROW()),TODAY())</f>
        <v>753</v>
      </c>
      <c r="L429">
        <f ca="1">DAYS360(INDIRECT(C69&amp;ROW()),TODAY())</f>
        <v>757</v>
      </c>
      <c r="M429">
        <f ca="1">HYPERLINK(CONCATENATE("https://bugzilla.houston.hp.com:1181/bugzilla/show_bug.cgi?id=",INDIRECT(C70&amp;ROW())),INDIRECT(C70&amp;ROW()))</f>
        <v>59347</v>
      </c>
      <c r="N429">
        <v>59347</v>
      </c>
      <c r="O429" t="s">
        <v>22</v>
      </c>
      <c r="P429" t="s">
        <v>830</v>
      </c>
      <c r="Q429" t="s">
        <v>25</v>
      </c>
      <c r="R429" t="s">
        <v>251</v>
      </c>
      <c r="S429" t="s">
        <v>253</v>
      </c>
      <c r="U429" s="6">
        <v>42092.969606481478</v>
      </c>
      <c r="V429" t="s">
        <v>18</v>
      </c>
      <c r="W429" t="s">
        <v>17</v>
      </c>
      <c r="X429" s="6">
        <v>42088.711562500001</v>
      </c>
      <c r="Y429" t="s">
        <v>246</v>
      </c>
      <c r="AB429" t="s">
        <v>201</v>
      </c>
      <c r="AC429" t="s">
        <v>247</v>
      </c>
      <c r="AD429" t="s">
        <v>222</v>
      </c>
      <c r="AE429" t="s">
        <v>225</v>
      </c>
      <c r="AG429" t="s">
        <v>121</v>
      </c>
      <c r="AH429" t="s">
        <v>327</v>
      </c>
      <c r="AI429" t="s">
        <v>121</v>
      </c>
      <c r="AJ429" t="s">
        <v>716</v>
      </c>
      <c r="AK429" t="s">
        <v>121</v>
      </c>
    </row>
    <row r="430" spans="9:37" x14ac:dyDescent="0.3">
      <c r="I430">
        <f ca="1">IF(OR(INDIRECT(A73&amp;ROW())=B93,INDIRECT(A73&amp;ROW())=B94),1,IF(AND(INDIRECT(A73&amp;ROW())=B95,INDIRECT(A96&amp;ROW())=C93),1,IF(AND(INDIRECT(A73&amp;ROW())=B95,INDIRECT(A96&amp;ROW())=C94),1,0)))</f>
        <v>0</v>
      </c>
      <c r="J430">
        <f ca="1">IF(AND(INDIRECT(A73&amp;ROW())=B95,INDIRECT(A96&amp;ROW())=C95),1,IF(AND(INDIRECT(A73&amp;ROW())=B95,INDIRECT(A96&amp;ROW())=C96),1,0))</f>
        <v>1</v>
      </c>
      <c r="K430">
        <f ca="1">DAYS360(INDIRECT(C68&amp;ROW()),TODAY())</f>
        <v>737</v>
      </c>
      <c r="L430">
        <f ca="1">DAYS360(INDIRECT(C69&amp;ROW()),TODAY())</f>
        <v>757</v>
      </c>
      <c r="M430">
        <f ca="1">HYPERLINK(CONCATENATE("https://bugzilla.houston.hp.com:1181/bugzilla/show_bug.cgi?id=",INDIRECT(C70&amp;ROW())),INDIRECT(C70&amp;ROW()))</f>
        <v>59348</v>
      </c>
      <c r="N430">
        <v>59348</v>
      </c>
      <c r="O430" t="s">
        <v>22</v>
      </c>
      <c r="P430" t="s">
        <v>829</v>
      </c>
      <c r="Q430" t="s">
        <v>25</v>
      </c>
      <c r="R430" t="s">
        <v>251</v>
      </c>
      <c r="S430" t="s">
        <v>253</v>
      </c>
      <c r="U430" s="6">
        <v>42109.748472222222</v>
      </c>
      <c r="V430" t="s">
        <v>18</v>
      </c>
      <c r="W430" t="s">
        <v>17</v>
      </c>
      <c r="X430" s="6">
        <v>42088.71303240741</v>
      </c>
      <c r="Y430" t="s">
        <v>246</v>
      </c>
      <c r="AB430" t="s">
        <v>201</v>
      </c>
      <c r="AC430" t="s">
        <v>247</v>
      </c>
      <c r="AD430" t="s">
        <v>222</v>
      </c>
      <c r="AE430" t="s">
        <v>232</v>
      </c>
      <c r="AG430" t="s">
        <v>121</v>
      </c>
      <c r="AH430" t="s">
        <v>327</v>
      </c>
      <c r="AI430" t="s">
        <v>121</v>
      </c>
      <c r="AJ430" t="s">
        <v>716</v>
      </c>
      <c r="AK430" t="s">
        <v>121</v>
      </c>
    </row>
    <row r="431" spans="9:37" x14ac:dyDescent="0.3">
      <c r="I431">
        <f ca="1">IF(OR(INDIRECT(A73&amp;ROW())=B93,INDIRECT(A73&amp;ROW())=B94),1,IF(AND(INDIRECT(A73&amp;ROW())=B95,INDIRECT(A96&amp;ROW())=C93),1,IF(AND(INDIRECT(A73&amp;ROW())=B95,INDIRECT(A96&amp;ROW())=C94),1,0)))</f>
        <v>0</v>
      </c>
      <c r="J431">
        <f ca="1">IF(AND(INDIRECT(A73&amp;ROW())=B95,INDIRECT(A96&amp;ROW())=C95),1,IF(AND(INDIRECT(A73&amp;ROW())=B95,INDIRECT(A96&amp;ROW())=C96),1,0))</f>
        <v>1</v>
      </c>
      <c r="K431">
        <f ca="1">DAYS360(INDIRECT(C68&amp;ROW()),TODAY())</f>
        <v>752</v>
      </c>
      <c r="L431">
        <f ca="1">DAYS360(INDIRECT(C69&amp;ROW()),TODAY())</f>
        <v>756</v>
      </c>
      <c r="M431">
        <f ca="1">HYPERLINK(CONCATENATE("https://bugzilla.houston.hp.com:1181/bugzilla/show_bug.cgi?id=",INDIRECT(C70&amp;ROW())),INDIRECT(C70&amp;ROW()))</f>
        <v>59359</v>
      </c>
      <c r="N431">
        <v>59359</v>
      </c>
      <c r="O431" t="s">
        <v>22</v>
      </c>
      <c r="P431" t="s">
        <v>828</v>
      </c>
      <c r="Q431" t="s">
        <v>25</v>
      </c>
      <c r="R431" t="s">
        <v>579</v>
      </c>
      <c r="S431" t="s">
        <v>552</v>
      </c>
      <c r="T431" t="s">
        <v>835</v>
      </c>
      <c r="U431" s="6">
        <v>42094.334027777775</v>
      </c>
      <c r="V431" t="s">
        <v>18</v>
      </c>
      <c r="W431" t="s">
        <v>17</v>
      </c>
      <c r="X431" s="6">
        <v>42089.015092592592</v>
      </c>
      <c r="Y431" t="s">
        <v>246</v>
      </c>
      <c r="AB431" t="s">
        <v>201</v>
      </c>
      <c r="AC431" t="s">
        <v>247</v>
      </c>
      <c r="AD431" t="s">
        <v>222</v>
      </c>
      <c r="AE431" t="s">
        <v>232</v>
      </c>
      <c r="AG431" t="s">
        <v>121</v>
      </c>
      <c r="AH431" t="s">
        <v>327</v>
      </c>
      <c r="AI431" t="s">
        <v>121</v>
      </c>
      <c r="AJ431" t="s">
        <v>716</v>
      </c>
      <c r="AK431" t="s">
        <v>121</v>
      </c>
    </row>
    <row r="432" spans="9:37" x14ac:dyDescent="0.3">
      <c r="I432">
        <f ca="1">IF(OR(INDIRECT(A73&amp;ROW())=B93,INDIRECT(A73&amp;ROW())=B94),1,IF(AND(INDIRECT(A73&amp;ROW())=B95,INDIRECT(A96&amp;ROW())=C93),1,IF(AND(INDIRECT(A73&amp;ROW())=B95,INDIRECT(A96&amp;ROW())=C94),1,0)))</f>
        <v>0</v>
      </c>
      <c r="J432">
        <f ca="1">IF(AND(INDIRECT(A73&amp;ROW())=B95,INDIRECT(A96&amp;ROW())=C95),1,IF(AND(INDIRECT(A73&amp;ROW())=B95,INDIRECT(A96&amp;ROW())=C96),1,0))</f>
        <v>1</v>
      </c>
      <c r="K432">
        <f ca="1">DAYS360(INDIRECT(C68&amp;ROW()),TODAY())</f>
        <v>752</v>
      </c>
      <c r="L432">
        <f ca="1">DAYS360(INDIRECT(C69&amp;ROW()),TODAY())</f>
        <v>756</v>
      </c>
      <c r="M432">
        <f ca="1">HYPERLINK(CONCATENATE("https://bugzilla.houston.hp.com:1181/bugzilla/show_bug.cgi?id=",INDIRECT(C70&amp;ROW())),INDIRECT(C70&amp;ROW()))</f>
        <v>59360</v>
      </c>
      <c r="N432">
        <v>59360</v>
      </c>
      <c r="O432" t="s">
        <v>22</v>
      </c>
      <c r="P432" t="s">
        <v>827</v>
      </c>
      <c r="Q432" t="s">
        <v>25</v>
      </c>
      <c r="R432" t="s">
        <v>248</v>
      </c>
      <c r="S432" t="s">
        <v>552</v>
      </c>
      <c r="U432" s="6">
        <v>42093.311527777776</v>
      </c>
      <c r="V432" t="s">
        <v>18</v>
      </c>
      <c r="W432" t="s">
        <v>17</v>
      </c>
      <c r="X432" s="6">
        <v>42089.015150462961</v>
      </c>
      <c r="Y432" t="s">
        <v>246</v>
      </c>
      <c r="AB432" t="s">
        <v>201</v>
      </c>
      <c r="AC432" t="s">
        <v>247</v>
      </c>
      <c r="AD432" t="s">
        <v>222</v>
      </c>
      <c r="AE432" t="s">
        <v>232</v>
      </c>
      <c r="AG432" t="s">
        <v>121</v>
      </c>
      <c r="AH432" t="s">
        <v>327</v>
      </c>
      <c r="AI432" t="s">
        <v>121</v>
      </c>
      <c r="AJ432" t="s">
        <v>716</v>
      </c>
      <c r="AK432" t="s">
        <v>121</v>
      </c>
    </row>
    <row r="433" spans="9:37" x14ac:dyDescent="0.3">
      <c r="I433">
        <f ca="1">IF(OR(INDIRECT(A73&amp;ROW())=B93,INDIRECT(A73&amp;ROW())=B94),1,IF(AND(INDIRECT(A73&amp;ROW())=B95,INDIRECT(A96&amp;ROW())=C93),1,IF(AND(INDIRECT(A73&amp;ROW())=B95,INDIRECT(A96&amp;ROW())=C94),1,0)))</f>
        <v>0</v>
      </c>
      <c r="J433">
        <f ca="1">IF(AND(INDIRECT(A73&amp;ROW())=B95,INDIRECT(A96&amp;ROW())=C95),1,IF(AND(INDIRECT(A73&amp;ROW())=B95,INDIRECT(A96&amp;ROW())=C96),1,0))</f>
        <v>1</v>
      </c>
      <c r="K433">
        <f ca="1">DAYS360(INDIRECT(C68&amp;ROW()),TODAY())</f>
        <v>731</v>
      </c>
      <c r="L433">
        <f ca="1">DAYS360(INDIRECT(C69&amp;ROW()),TODAY())</f>
        <v>756</v>
      </c>
      <c r="M433">
        <f ca="1">HYPERLINK(CONCATENATE("https://bugzilla.houston.hp.com:1181/bugzilla/show_bug.cgi?id=",INDIRECT(C70&amp;ROW())),INDIRECT(C70&amp;ROW()))</f>
        <v>59366</v>
      </c>
      <c r="N433">
        <v>59366</v>
      </c>
      <c r="O433" t="s">
        <v>66</v>
      </c>
      <c r="P433" t="s">
        <v>826</v>
      </c>
      <c r="Q433" t="s">
        <v>25</v>
      </c>
      <c r="R433" t="s">
        <v>251</v>
      </c>
      <c r="S433" t="s">
        <v>187</v>
      </c>
      <c r="U433" s="6">
        <v>42115.687002314815</v>
      </c>
      <c r="V433" t="s">
        <v>35</v>
      </c>
      <c r="W433" t="s">
        <v>17</v>
      </c>
      <c r="X433" s="6">
        <v>42089.027627314812</v>
      </c>
      <c r="Y433" t="s">
        <v>792</v>
      </c>
      <c r="AB433" t="s">
        <v>201</v>
      </c>
      <c r="AC433" t="s">
        <v>247</v>
      </c>
      <c r="AD433" t="s">
        <v>220</v>
      </c>
      <c r="AE433" t="s">
        <v>219</v>
      </c>
      <c r="AG433" t="s">
        <v>121</v>
      </c>
      <c r="AH433" t="s">
        <v>327</v>
      </c>
      <c r="AI433" t="s">
        <v>121</v>
      </c>
      <c r="AJ433" t="s">
        <v>717</v>
      </c>
      <c r="AK433" t="s">
        <v>121</v>
      </c>
    </row>
    <row r="434" spans="9:37" x14ac:dyDescent="0.3">
      <c r="I434">
        <f ca="1">IF(OR(INDIRECT(A73&amp;ROW())=B93,INDIRECT(A73&amp;ROW())=B94),1,IF(AND(INDIRECT(A73&amp;ROW())=B95,INDIRECT(A96&amp;ROW())=C93),1,IF(AND(INDIRECT(A73&amp;ROW())=B95,INDIRECT(A96&amp;ROW())=C94),1,0)))</f>
        <v>1</v>
      </c>
      <c r="J434">
        <f ca="1">IF(AND(INDIRECT(A73&amp;ROW())=B95,INDIRECT(A96&amp;ROW())=C95),1,IF(AND(INDIRECT(A73&amp;ROW())=B95,INDIRECT(A96&amp;ROW())=C96),1,0))</f>
        <v>0</v>
      </c>
      <c r="K434">
        <f ca="1">DAYS360(INDIRECT(C68&amp;ROW()),TODAY())</f>
        <v>707</v>
      </c>
      <c r="L434">
        <f ca="1">DAYS360(INDIRECT(C69&amp;ROW()),TODAY())</f>
        <v>756</v>
      </c>
      <c r="M434">
        <f ca="1">HYPERLINK(CONCATENATE("https://bugzilla.houston.hp.com:1181/bugzilla/show_bug.cgi?id=",INDIRECT(C70&amp;ROW())),INDIRECT(C70&amp;ROW()))</f>
        <v>59407</v>
      </c>
      <c r="N434">
        <v>59407</v>
      </c>
      <c r="O434" t="s">
        <v>53</v>
      </c>
      <c r="P434" t="s">
        <v>825</v>
      </c>
      <c r="Q434" t="s">
        <v>39</v>
      </c>
      <c r="R434" t="s">
        <v>579</v>
      </c>
      <c r="S434" t="s">
        <v>784</v>
      </c>
      <c r="T434" t="s">
        <v>822</v>
      </c>
      <c r="U434" s="6">
        <v>42139.368287037039</v>
      </c>
      <c r="V434" t="s">
        <v>18</v>
      </c>
      <c r="W434" t="s">
        <v>343</v>
      </c>
      <c r="X434" s="6">
        <v>42089.50372685185</v>
      </c>
      <c r="Y434" t="s">
        <v>793</v>
      </c>
      <c r="AB434" t="s">
        <v>201</v>
      </c>
      <c r="AC434" t="s">
        <v>247</v>
      </c>
      <c r="AD434" t="s">
        <v>220</v>
      </c>
      <c r="AE434" t="s">
        <v>229</v>
      </c>
      <c r="AG434" t="s">
        <v>121</v>
      </c>
      <c r="AH434" t="s">
        <v>327</v>
      </c>
      <c r="AI434" t="s">
        <v>121</v>
      </c>
      <c r="AJ434" t="s">
        <v>715</v>
      </c>
      <c r="AK434" t="s">
        <v>121</v>
      </c>
    </row>
    <row r="435" spans="9:37" x14ac:dyDescent="0.3">
      <c r="I435">
        <f ca="1">IF(OR(INDIRECT(A73&amp;ROW())=B93,INDIRECT(A73&amp;ROW())=B94),1,IF(AND(INDIRECT(A73&amp;ROW())=B95,INDIRECT(A96&amp;ROW())=C93),1,IF(AND(INDIRECT(A73&amp;ROW())=B95,INDIRECT(A96&amp;ROW())=C94),1,0)))</f>
        <v>0</v>
      </c>
      <c r="J435">
        <f ca="1">IF(AND(INDIRECT(A73&amp;ROW())=B95,INDIRECT(A96&amp;ROW())=C95),1,IF(AND(INDIRECT(A73&amp;ROW())=B95,INDIRECT(A96&amp;ROW())=C96),1,0))</f>
        <v>1</v>
      </c>
      <c r="K435">
        <f ca="1">DAYS360(INDIRECT(C68&amp;ROW()),TODAY())</f>
        <v>752</v>
      </c>
      <c r="L435">
        <f ca="1">DAYS360(INDIRECT(C69&amp;ROW()),TODAY())</f>
        <v>755</v>
      </c>
      <c r="M435">
        <f ca="1">HYPERLINK(CONCATENATE("https://bugzilla.houston.hp.com:1181/bugzilla/show_bug.cgi?id=",INDIRECT(C70&amp;ROW())),INDIRECT(C70&amp;ROW()))</f>
        <v>59450</v>
      </c>
      <c r="N435">
        <v>59450</v>
      </c>
      <c r="O435" t="s">
        <v>22</v>
      </c>
      <c r="P435" t="s">
        <v>824</v>
      </c>
      <c r="Q435" t="s">
        <v>25</v>
      </c>
      <c r="R435" t="s">
        <v>248</v>
      </c>
      <c r="S435" t="s">
        <v>552</v>
      </c>
      <c r="U435" s="6">
        <v>42093.311597222222</v>
      </c>
      <c r="V435" t="s">
        <v>18</v>
      </c>
      <c r="W435" t="s">
        <v>17</v>
      </c>
      <c r="X435" s="6">
        <v>42090.015208333331</v>
      </c>
      <c r="Y435" t="s">
        <v>246</v>
      </c>
      <c r="AB435" t="s">
        <v>201</v>
      </c>
      <c r="AC435" t="s">
        <v>247</v>
      </c>
      <c r="AD435" t="s">
        <v>222</v>
      </c>
      <c r="AE435" t="s">
        <v>232</v>
      </c>
      <c r="AG435" t="s">
        <v>121</v>
      </c>
      <c r="AH435" t="s">
        <v>327</v>
      </c>
      <c r="AI435" t="s">
        <v>121</v>
      </c>
      <c r="AJ435" t="s">
        <v>716</v>
      </c>
      <c r="AK435" t="s">
        <v>121</v>
      </c>
    </row>
    <row r="436" spans="9:37" x14ac:dyDescent="0.3">
      <c r="I436">
        <f ca="1">IF(OR(INDIRECT(A73&amp;ROW())=B93,INDIRECT(A73&amp;ROW())=B94),1,IF(AND(INDIRECT(A73&amp;ROW())=B95,INDIRECT(A96&amp;ROW())=C93),1,IF(AND(INDIRECT(A73&amp;ROW())=B95,INDIRECT(A96&amp;ROW())=C94),1,0)))</f>
        <v>0</v>
      </c>
      <c r="J436">
        <f ca="1">IF(AND(INDIRECT(A73&amp;ROW())=B95,INDIRECT(A96&amp;ROW())=C95),1,IF(AND(INDIRECT(A73&amp;ROW())=B95,INDIRECT(A96&amp;ROW())=C96),1,0))</f>
        <v>0</v>
      </c>
      <c r="K436">
        <f ca="1">DAYS360(INDIRECT(C68&amp;ROW()),TODAY())</f>
        <v>724</v>
      </c>
      <c r="L436">
        <f ca="1">DAYS360(INDIRECT(C69&amp;ROW()),TODAY())</f>
        <v>755</v>
      </c>
      <c r="M436">
        <f ca="1">HYPERLINK(CONCATENATE("https://bugzilla.houston.hp.com:1181/bugzilla/show_bug.cgi?id=",INDIRECT(C70&amp;ROW())),INDIRECT(C70&amp;ROW()))</f>
        <v>59484</v>
      </c>
      <c r="N436">
        <v>59484</v>
      </c>
      <c r="O436" t="s">
        <v>164</v>
      </c>
      <c r="P436" t="s">
        <v>845</v>
      </c>
      <c r="Q436" t="s">
        <v>16</v>
      </c>
      <c r="R436" t="s">
        <v>251</v>
      </c>
      <c r="S436" t="s">
        <v>823</v>
      </c>
      <c r="T436" t="s">
        <v>181</v>
      </c>
      <c r="U436" s="6">
        <v>42122.283194444448</v>
      </c>
      <c r="V436" t="s">
        <v>35</v>
      </c>
      <c r="W436" t="s">
        <v>17</v>
      </c>
      <c r="X436" s="6">
        <v>42090.238715277781</v>
      </c>
      <c r="Y436" t="s">
        <v>123</v>
      </c>
      <c r="AB436" t="s">
        <v>201</v>
      </c>
      <c r="AC436" t="s">
        <v>247</v>
      </c>
      <c r="AD436" t="s">
        <v>220</v>
      </c>
      <c r="AE436" t="s">
        <v>219</v>
      </c>
      <c r="AG436" t="s">
        <v>121</v>
      </c>
      <c r="AH436" t="s">
        <v>327</v>
      </c>
      <c r="AI436" t="s">
        <v>121</v>
      </c>
      <c r="AJ436" t="s">
        <v>717</v>
      </c>
      <c r="AK436" t="s">
        <v>121</v>
      </c>
    </row>
    <row r="437" spans="9:37" x14ac:dyDescent="0.3">
      <c r="I437">
        <f ca="1">IF(OR(INDIRECT(A73&amp;ROW())=B93,INDIRECT(A73&amp;ROW())=B94),1,IF(AND(INDIRECT(A73&amp;ROW())=B95,INDIRECT(A96&amp;ROW())=C93),1,IF(AND(INDIRECT(A73&amp;ROW())=B95,INDIRECT(A96&amp;ROW())=C94),1,0)))</f>
        <v>0</v>
      </c>
      <c r="J437">
        <f ca="1">IF(AND(INDIRECT(A73&amp;ROW())=B95,INDIRECT(A96&amp;ROW())=C95),1,IF(AND(INDIRECT(A73&amp;ROW())=B95,INDIRECT(A96&amp;ROW())=C96),1,0))</f>
        <v>0</v>
      </c>
      <c r="K437">
        <f ca="1">DAYS360(INDIRECT(C68&amp;ROW()),TODAY())</f>
        <v>732</v>
      </c>
      <c r="L437">
        <f ca="1">DAYS360(INDIRECT(C69&amp;ROW()),TODAY())</f>
        <v>755</v>
      </c>
      <c r="M437">
        <f ca="1">HYPERLINK(CONCATENATE("https://bugzilla.houston.hp.com:1181/bugzilla/show_bug.cgi?id=",INDIRECT(C70&amp;ROW())),INDIRECT(C70&amp;ROW()))</f>
        <v>59501</v>
      </c>
      <c r="N437">
        <v>59501</v>
      </c>
      <c r="O437" t="s">
        <v>164</v>
      </c>
      <c r="P437" t="s">
        <v>834</v>
      </c>
      <c r="Q437" t="s">
        <v>16</v>
      </c>
      <c r="R437" t="s">
        <v>248</v>
      </c>
      <c r="S437" t="s">
        <v>552</v>
      </c>
      <c r="T437" t="s">
        <v>181</v>
      </c>
      <c r="U437" s="6">
        <v>42114.053287037037</v>
      </c>
      <c r="V437" t="s">
        <v>18</v>
      </c>
      <c r="W437" t="s">
        <v>372</v>
      </c>
      <c r="X437" s="6">
        <v>42090.44153935185</v>
      </c>
      <c r="Y437" t="s">
        <v>123</v>
      </c>
      <c r="AB437" t="s">
        <v>201</v>
      </c>
      <c r="AC437" t="s">
        <v>247</v>
      </c>
      <c r="AD437" t="s">
        <v>220</v>
      </c>
      <c r="AE437" t="s">
        <v>219</v>
      </c>
      <c r="AG437" t="s">
        <v>121</v>
      </c>
      <c r="AH437" t="s">
        <v>327</v>
      </c>
      <c r="AI437" t="s">
        <v>121</v>
      </c>
      <c r="AJ437" t="s">
        <v>717</v>
      </c>
      <c r="AK437" t="s">
        <v>121</v>
      </c>
    </row>
    <row r="438" spans="9:37" x14ac:dyDescent="0.3">
      <c r="I438">
        <f ca="1">IF(OR(INDIRECT(A73&amp;ROW())=B93,INDIRECT(A73&amp;ROW())=B94),1,IF(AND(INDIRECT(A73&amp;ROW())=B95,INDIRECT(A96&amp;ROW())=C93),1,IF(AND(INDIRECT(A73&amp;ROW())=B95,INDIRECT(A96&amp;ROW())=C94),1,0)))</f>
        <v>0</v>
      </c>
      <c r="J438">
        <f ca="1">IF(AND(INDIRECT(A73&amp;ROW())=B95,INDIRECT(A96&amp;ROW())=C95),1,IF(AND(INDIRECT(A73&amp;ROW())=B95,INDIRECT(A96&amp;ROW())=C96),1,0))</f>
        <v>0</v>
      </c>
      <c r="K438">
        <f ca="1">DAYS360(INDIRECT(C68&amp;ROW()),TODAY())</f>
        <v>737</v>
      </c>
      <c r="L438">
        <f ca="1">DAYS360(INDIRECT(C69&amp;ROW()),TODAY())</f>
        <v>752</v>
      </c>
      <c r="M438">
        <f ca="1">HYPERLINK(CONCATENATE("https://bugzilla.houston.hp.com:1181/bugzilla/show_bug.cgi?id=",INDIRECT(C70&amp;ROW())),INDIRECT(C70&amp;ROW()))</f>
        <v>59551</v>
      </c>
      <c r="N438">
        <v>59551</v>
      </c>
      <c r="O438" t="s">
        <v>56</v>
      </c>
      <c r="P438" t="s">
        <v>833</v>
      </c>
      <c r="Q438" t="s">
        <v>16</v>
      </c>
      <c r="R438" t="s">
        <v>251</v>
      </c>
      <c r="S438" t="s">
        <v>62</v>
      </c>
      <c r="U438" s="6">
        <v>42109.748993055553</v>
      </c>
      <c r="V438" t="s">
        <v>18</v>
      </c>
      <c r="W438" t="s">
        <v>783</v>
      </c>
      <c r="X438" s="6">
        <v>42093.142777777779</v>
      </c>
      <c r="Y438" t="s">
        <v>119</v>
      </c>
      <c r="AB438" t="s">
        <v>200</v>
      </c>
      <c r="AC438" t="s">
        <v>247</v>
      </c>
      <c r="AD438" t="s">
        <v>220</v>
      </c>
      <c r="AE438" t="s">
        <v>219</v>
      </c>
      <c r="AG438" t="s">
        <v>121</v>
      </c>
      <c r="AH438" t="s">
        <v>327</v>
      </c>
      <c r="AI438" t="s">
        <v>121</v>
      </c>
      <c r="AJ438" t="s">
        <v>716</v>
      </c>
      <c r="AK438" t="s">
        <v>121</v>
      </c>
    </row>
    <row r="439" spans="9:37" x14ac:dyDescent="0.3">
      <c r="I439">
        <f ca="1">IF(OR(INDIRECT(A73&amp;ROW())=B93,INDIRECT(A73&amp;ROW())=B94),1,IF(AND(INDIRECT(A73&amp;ROW())=B95,INDIRECT(A96&amp;ROW())=C93),1,IF(AND(INDIRECT(A73&amp;ROW())=B95,INDIRECT(A96&amp;ROW())=C94),1,0)))</f>
        <v>0</v>
      </c>
      <c r="J439">
        <f ca="1">IF(AND(INDIRECT(A73&amp;ROW())=B95,INDIRECT(A96&amp;ROW())=C95),1,IF(AND(INDIRECT(A73&amp;ROW())=B95,INDIRECT(A96&amp;ROW())=C96),1,0))</f>
        <v>0</v>
      </c>
      <c r="K439">
        <f ca="1">DAYS360(INDIRECT(C68&amp;ROW()),TODAY())</f>
        <v>743</v>
      </c>
      <c r="L439">
        <f ca="1">DAYS360(INDIRECT(C69&amp;ROW()),TODAY())</f>
        <v>752</v>
      </c>
      <c r="M439">
        <f ca="1">HYPERLINK(CONCATENATE("https://bugzilla.houston.hp.com:1181/bugzilla/show_bug.cgi?id=",INDIRECT(C70&amp;ROW())),INDIRECT(C70&amp;ROW()))</f>
        <v>59562</v>
      </c>
      <c r="N439">
        <v>59562</v>
      </c>
      <c r="O439" t="s">
        <v>56</v>
      </c>
      <c r="P439" t="s">
        <v>832</v>
      </c>
      <c r="Q439" t="s">
        <v>16</v>
      </c>
      <c r="R439" t="s">
        <v>579</v>
      </c>
      <c r="S439" t="s">
        <v>552</v>
      </c>
      <c r="T439" t="s">
        <v>858</v>
      </c>
      <c r="U439" s="6">
        <v>42103.321122685185</v>
      </c>
      <c r="V439" t="s">
        <v>18</v>
      </c>
      <c r="W439" t="s">
        <v>783</v>
      </c>
      <c r="X439" s="6">
        <v>42093.306562500002</v>
      </c>
      <c r="Y439" t="s">
        <v>119</v>
      </c>
      <c r="AB439" t="s">
        <v>200</v>
      </c>
      <c r="AC439" t="s">
        <v>247</v>
      </c>
      <c r="AD439" t="s">
        <v>220</v>
      </c>
      <c r="AE439" t="s">
        <v>219</v>
      </c>
      <c r="AG439" t="s">
        <v>121</v>
      </c>
      <c r="AH439" t="s">
        <v>327</v>
      </c>
      <c r="AI439" t="s">
        <v>121</v>
      </c>
      <c r="AJ439" t="s">
        <v>716</v>
      </c>
      <c r="AK439" t="s">
        <v>121</v>
      </c>
    </row>
    <row r="440" spans="9:37" x14ac:dyDescent="0.3">
      <c r="I440">
        <f ca="1">IF(OR(INDIRECT(A73&amp;ROW())=B93,INDIRECT(A73&amp;ROW())=B94),1,IF(AND(INDIRECT(A73&amp;ROW())=B95,INDIRECT(A96&amp;ROW())=C93),1,IF(AND(INDIRECT(A73&amp;ROW())=B95,INDIRECT(A96&amp;ROW())=C94),1,0)))</f>
        <v>0</v>
      </c>
      <c r="J440">
        <f ca="1">IF(AND(INDIRECT(A73&amp;ROW())=B95,INDIRECT(A96&amp;ROW())=C95),1,IF(AND(INDIRECT(A73&amp;ROW())=B95,INDIRECT(A96&amp;ROW())=C96),1,0))</f>
        <v>0</v>
      </c>
      <c r="K440">
        <f ca="1">DAYS360(INDIRECT(C68&amp;ROW()),TODAY())</f>
        <v>752</v>
      </c>
      <c r="L440">
        <f ca="1">DAYS360(INDIRECT(C69&amp;ROW()),TODAY())</f>
        <v>752</v>
      </c>
      <c r="M440">
        <f ca="1">HYPERLINK(CONCATENATE("https://bugzilla.houston.hp.com:1181/bugzilla/show_bug.cgi?id=",INDIRECT(C70&amp;ROW())),INDIRECT(C70&amp;ROW()))</f>
        <v>59563</v>
      </c>
      <c r="N440">
        <v>59563</v>
      </c>
      <c r="O440" t="s">
        <v>56</v>
      </c>
      <c r="P440" t="s">
        <v>831</v>
      </c>
      <c r="Q440" t="s">
        <v>16</v>
      </c>
      <c r="R440" t="s">
        <v>248</v>
      </c>
      <c r="S440" t="s">
        <v>552</v>
      </c>
      <c r="U440" s="6">
        <v>42093.306689814817</v>
      </c>
      <c r="V440" t="s">
        <v>18</v>
      </c>
      <c r="W440" t="s">
        <v>783</v>
      </c>
      <c r="X440" s="6">
        <v>42093.306689814817</v>
      </c>
      <c r="Y440" t="s">
        <v>119</v>
      </c>
      <c r="AB440" t="s">
        <v>200</v>
      </c>
      <c r="AC440" t="s">
        <v>247</v>
      </c>
      <c r="AD440" t="s">
        <v>220</v>
      </c>
      <c r="AE440" t="s">
        <v>219</v>
      </c>
      <c r="AG440" t="s">
        <v>121</v>
      </c>
      <c r="AH440" t="s">
        <v>327</v>
      </c>
      <c r="AI440" t="s">
        <v>121</v>
      </c>
      <c r="AJ440" t="s">
        <v>716</v>
      </c>
      <c r="AK440" t="s">
        <v>121</v>
      </c>
    </row>
    <row r="441" spans="9:37" x14ac:dyDescent="0.3">
      <c r="I441">
        <f ca="1">IF(OR(INDIRECT(A73&amp;ROW())=B93,INDIRECT(A73&amp;ROW())=B94),1,IF(AND(INDIRECT(A73&amp;ROW())=B95,INDIRECT(A96&amp;ROW())=C93),1,IF(AND(INDIRECT(A73&amp;ROW())=B95,INDIRECT(A96&amp;ROW())=C94),1,0)))</f>
        <v>0</v>
      </c>
      <c r="J441">
        <f ca="1">IF(AND(INDIRECT(A73&amp;ROW())=B95,INDIRECT(A96&amp;ROW())=C95),1,IF(AND(INDIRECT(A73&amp;ROW())=B95,INDIRECT(A96&amp;ROW())=C96),1,0))</f>
        <v>1</v>
      </c>
      <c r="K441">
        <f ca="1">DAYS360(INDIRECT(C68&amp;ROW()),TODAY())</f>
        <v>717</v>
      </c>
      <c r="L441">
        <f ca="1">DAYS360(INDIRECT(C69&amp;ROW()),TODAY())</f>
        <v>752</v>
      </c>
      <c r="M441">
        <f ca="1">HYPERLINK(CONCATENATE("https://bugzilla.houston.hp.com:1181/bugzilla/show_bug.cgi?id=",INDIRECT(C70&amp;ROW())),INDIRECT(C70&amp;ROW()))</f>
        <v>59637</v>
      </c>
      <c r="N441">
        <v>59637</v>
      </c>
      <c r="O441" t="s">
        <v>241</v>
      </c>
      <c r="P441" t="s">
        <v>838</v>
      </c>
      <c r="Q441" t="s">
        <v>25</v>
      </c>
      <c r="R441" t="s">
        <v>251</v>
      </c>
      <c r="S441" t="s">
        <v>52</v>
      </c>
      <c r="U441" s="6">
        <v>42129.686469907407</v>
      </c>
      <c r="V441" t="s">
        <v>18</v>
      </c>
      <c r="W441" t="s">
        <v>783</v>
      </c>
      <c r="X441" s="6">
        <v>42094.465636574074</v>
      </c>
      <c r="Y441" t="s">
        <v>255</v>
      </c>
      <c r="AB441" t="s">
        <v>201</v>
      </c>
      <c r="AC441" t="s">
        <v>247</v>
      </c>
      <c r="AD441" t="s">
        <v>222</v>
      </c>
      <c r="AE441" t="s">
        <v>232</v>
      </c>
      <c r="AG441" t="s">
        <v>121</v>
      </c>
      <c r="AH441" t="s">
        <v>327</v>
      </c>
      <c r="AI441" t="s">
        <v>121</v>
      </c>
      <c r="AJ441" t="s">
        <v>716</v>
      </c>
      <c r="AK441" t="s">
        <v>121</v>
      </c>
    </row>
    <row r="442" spans="9:37" x14ac:dyDescent="0.3">
      <c r="I442">
        <f ca="1">IF(OR(INDIRECT(A73&amp;ROW())=B93,INDIRECT(A73&amp;ROW())=B94),1,IF(AND(INDIRECT(A73&amp;ROW())=B95,INDIRECT(A96&amp;ROW())=C93),1,IF(AND(INDIRECT(A73&amp;ROW())=B95,INDIRECT(A96&amp;ROW())=C94),1,0)))</f>
        <v>0</v>
      </c>
      <c r="J442">
        <f ca="1">IF(AND(INDIRECT(A73&amp;ROW())=B95,INDIRECT(A96&amp;ROW())=C95),1,IF(AND(INDIRECT(A73&amp;ROW())=B95,INDIRECT(A96&amp;ROW())=C96),1,0))</f>
        <v>1</v>
      </c>
      <c r="K442">
        <f ca="1">DAYS360(INDIRECT(C68&amp;ROW()),TODAY())</f>
        <v>717</v>
      </c>
      <c r="L442">
        <f ca="1">DAYS360(INDIRECT(C69&amp;ROW()),TODAY())</f>
        <v>752</v>
      </c>
      <c r="M442">
        <f ca="1">HYPERLINK(CONCATENATE("https://bugzilla.houston.hp.com:1181/bugzilla/show_bug.cgi?id=",INDIRECT(C70&amp;ROW())),INDIRECT(C70&amp;ROW()))</f>
        <v>59641</v>
      </c>
      <c r="N442">
        <v>59641</v>
      </c>
      <c r="O442" t="s">
        <v>241</v>
      </c>
      <c r="P442" t="s">
        <v>837</v>
      </c>
      <c r="Q442" t="s">
        <v>25</v>
      </c>
      <c r="R442" t="s">
        <v>579</v>
      </c>
      <c r="S442" t="s">
        <v>552</v>
      </c>
      <c r="T442" t="s">
        <v>1000</v>
      </c>
      <c r="U442" s="6">
        <v>42129.653993055559</v>
      </c>
      <c r="V442" t="s">
        <v>18</v>
      </c>
      <c r="W442" t="s">
        <v>783</v>
      </c>
      <c r="X442" s="6">
        <v>42094.498935185184</v>
      </c>
      <c r="Y442" t="s">
        <v>255</v>
      </c>
      <c r="AB442" t="s">
        <v>201</v>
      </c>
      <c r="AC442" t="s">
        <v>247</v>
      </c>
      <c r="AD442" t="s">
        <v>222</v>
      </c>
      <c r="AE442" t="s">
        <v>232</v>
      </c>
      <c r="AG442" t="s">
        <v>121</v>
      </c>
      <c r="AH442" t="s">
        <v>327</v>
      </c>
      <c r="AI442" t="s">
        <v>362</v>
      </c>
      <c r="AJ442" t="s">
        <v>716</v>
      </c>
      <c r="AK442" t="s">
        <v>121</v>
      </c>
    </row>
    <row r="443" spans="9:37" x14ac:dyDescent="0.3">
      <c r="I443">
        <f ca="1">IF(OR(INDIRECT(A73&amp;ROW())=B93,INDIRECT(A73&amp;ROW())=B94),1,IF(AND(INDIRECT(A73&amp;ROW())=B95,INDIRECT(A96&amp;ROW())=C93),1,IF(AND(INDIRECT(A73&amp;ROW())=B95,INDIRECT(A96&amp;ROW())=C94),1,0)))</f>
        <v>0</v>
      </c>
      <c r="J443">
        <f ca="1">IF(AND(INDIRECT(A73&amp;ROW())=B95,INDIRECT(A96&amp;ROW())=C95),1,IF(AND(INDIRECT(A73&amp;ROW())=B95,INDIRECT(A96&amp;ROW())=C96),1,0))</f>
        <v>1</v>
      </c>
      <c r="K443">
        <f ca="1">DAYS360(INDIRECT(C68&amp;ROW()),TODAY())</f>
        <v>717</v>
      </c>
      <c r="L443">
        <f ca="1">DAYS360(INDIRECT(C69&amp;ROW()),TODAY())</f>
        <v>752</v>
      </c>
      <c r="M443">
        <f ca="1">HYPERLINK(CONCATENATE("https://bugzilla.houston.hp.com:1181/bugzilla/show_bug.cgi?id=",INDIRECT(C70&amp;ROW())),INDIRECT(C70&amp;ROW()))</f>
        <v>59642</v>
      </c>
      <c r="N443">
        <v>59642</v>
      </c>
      <c r="O443" t="s">
        <v>241</v>
      </c>
      <c r="P443" t="s">
        <v>836</v>
      </c>
      <c r="Q443" t="s">
        <v>25</v>
      </c>
      <c r="R443" t="s">
        <v>248</v>
      </c>
      <c r="S443" t="s">
        <v>552</v>
      </c>
      <c r="U443" s="6">
        <v>42129.606840277775</v>
      </c>
      <c r="V443" t="s">
        <v>18</v>
      </c>
      <c r="W443" t="s">
        <v>783</v>
      </c>
      <c r="X443" s="6">
        <v>42094.499027777776</v>
      </c>
      <c r="Y443" t="s">
        <v>255</v>
      </c>
      <c r="AB443" t="s">
        <v>201</v>
      </c>
      <c r="AC443" t="s">
        <v>247</v>
      </c>
      <c r="AD443" t="s">
        <v>222</v>
      </c>
      <c r="AE443" t="s">
        <v>232</v>
      </c>
      <c r="AG443" t="s">
        <v>121</v>
      </c>
      <c r="AH443" t="s">
        <v>327</v>
      </c>
      <c r="AI443" t="s">
        <v>121</v>
      </c>
      <c r="AJ443" t="s">
        <v>716</v>
      </c>
      <c r="AK443" t="s">
        <v>121</v>
      </c>
    </row>
    <row r="444" spans="9:37" x14ac:dyDescent="0.3">
      <c r="I444">
        <f ca="1">IF(OR(INDIRECT(A73&amp;ROW())=B93,INDIRECT(A73&amp;ROW())=B94),1,IF(AND(INDIRECT(A73&amp;ROW())=B95,INDIRECT(A96&amp;ROW())=C93),1,IF(AND(INDIRECT(A73&amp;ROW())=B95,INDIRECT(A96&amp;ROW())=C94),1,0)))</f>
        <v>0</v>
      </c>
      <c r="J444">
        <f ca="1">IF(AND(INDIRECT(A73&amp;ROW())=B95,INDIRECT(A96&amp;ROW())=C95),1,IF(AND(INDIRECT(A73&amp;ROW())=B95,INDIRECT(A96&amp;ROW())=C96),1,0))</f>
        <v>1</v>
      </c>
      <c r="K444">
        <f ca="1">DAYS360(INDIRECT(C68&amp;ROW()),TODAY())</f>
        <v>737</v>
      </c>
      <c r="L444">
        <f ca="1">DAYS360(INDIRECT(C69&amp;ROW()),TODAY())</f>
        <v>752</v>
      </c>
      <c r="M444">
        <f ca="1">HYPERLINK(CONCATENATE("https://bugzilla.houston.hp.com:1181/bugzilla/show_bug.cgi?id=",INDIRECT(C70&amp;ROW())),INDIRECT(C70&amp;ROW()))</f>
        <v>59659</v>
      </c>
      <c r="N444">
        <v>59659</v>
      </c>
      <c r="O444" t="s">
        <v>22</v>
      </c>
      <c r="P444" t="s">
        <v>844</v>
      </c>
      <c r="Q444" t="s">
        <v>25</v>
      </c>
      <c r="R444" t="s">
        <v>251</v>
      </c>
      <c r="S444" t="s">
        <v>49</v>
      </c>
      <c r="U444" s="6">
        <v>42109.749872685185</v>
      </c>
      <c r="V444" t="s">
        <v>18</v>
      </c>
      <c r="W444" t="s">
        <v>764</v>
      </c>
      <c r="X444" s="6">
        <v>42094.688078703701</v>
      </c>
      <c r="Y444" t="s">
        <v>246</v>
      </c>
      <c r="AB444" t="s">
        <v>201</v>
      </c>
      <c r="AC444" t="s">
        <v>247</v>
      </c>
      <c r="AD444" t="s">
        <v>222</v>
      </c>
      <c r="AE444" t="s">
        <v>221</v>
      </c>
      <c r="AG444" t="s">
        <v>121</v>
      </c>
      <c r="AH444" t="s">
        <v>327</v>
      </c>
      <c r="AI444" t="s">
        <v>121</v>
      </c>
      <c r="AJ444" t="s">
        <v>716</v>
      </c>
      <c r="AK444" t="s">
        <v>121</v>
      </c>
    </row>
    <row r="445" spans="9:37" x14ac:dyDescent="0.3">
      <c r="I445">
        <f ca="1">IF(OR(INDIRECT(A73&amp;ROW())=B93,INDIRECT(A73&amp;ROW())=B94),1,IF(AND(INDIRECT(A73&amp;ROW())=B95,INDIRECT(A96&amp;ROW())=C93),1,IF(AND(INDIRECT(A73&amp;ROW())=B95,INDIRECT(A96&amp;ROW())=C94),1,0)))</f>
        <v>1</v>
      </c>
      <c r="J445">
        <f ca="1">IF(AND(INDIRECT(A73&amp;ROW())=B95,INDIRECT(A96&amp;ROW())=C95),1,IF(AND(INDIRECT(A73&amp;ROW())=B95,INDIRECT(A96&amp;ROW())=C96),1,0))</f>
        <v>0</v>
      </c>
      <c r="K445">
        <f ca="1">DAYS360(INDIRECT(C68&amp;ROW()),TODAY())</f>
        <v>718</v>
      </c>
      <c r="L445">
        <f ca="1">DAYS360(INDIRECT(C69&amp;ROW()),TODAY())</f>
        <v>752</v>
      </c>
      <c r="M445">
        <f ca="1">HYPERLINK(CONCATENATE("https://bugzilla.houston.hp.com:1181/bugzilla/show_bug.cgi?id=",INDIRECT(C70&amp;ROW())),INDIRECT(C70&amp;ROW()))</f>
        <v>59661</v>
      </c>
      <c r="N445">
        <v>59661</v>
      </c>
      <c r="O445" t="s">
        <v>21</v>
      </c>
      <c r="P445" t="s">
        <v>843</v>
      </c>
      <c r="Q445" t="s">
        <v>25</v>
      </c>
      <c r="R445" t="s">
        <v>579</v>
      </c>
      <c r="S445" t="s">
        <v>236</v>
      </c>
      <c r="T445" t="s">
        <v>839</v>
      </c>
      <c r="U445" s="6">
        <v>42128.237893518519</v>
      </c>
      <c r="V445" t="s">
        <v>18</v>
      </c>
      <c r="W445" t="s">
        <v>207</v>
      </c>
      <c r="X445" s="6">
        <v>42094.697835648149</v>
      </c>
      <c r="Y445" t="s">
        <v>120</v>
      </c>
      <c r="AB445" t="s">
        <v>200</v>
      </c>
      <c r="AC445" t="s">
        <v>121</v>
      </c>
      <c r="AD445" t="s">
        <v>220</v>
      </c>
      <c r="AE445" t="s">
        <v>219</v>
      </c>
      <c r="AG445" t="s">
        <v>121</v>
      </c>
      <c r="AH445" t="s">
        <v>327</v>
      </c>
      <c r="AI445" t="s">
        <v>362</v>
      </c>
      <c r="AJ445" t="s">
        <v>715</v>
      </c>
      <c r="AK445" t="s">
        <v>121</v>
      </c>
    </row>
    <row r="446" spans="9:37" x14ac:dyDescent="0.3">
      <c r="I446">
        <f ca="1">IF(OR(INDIRECT(A73&amp;ROW())=B93,INDIRECT(A73&amp;ROW())=B94),1,IF(AND(INDIRECT(A73&amp;ROW())=B95,INDIRECT(A96&amp;ROW())=C93),1,IF(AND(INDIRECT(A73&amp;ROW())=B95,INDIRECT(A96&amp;ROW())=C94),1,0)))</f>
        <v>0</v>
      </c>
      <c r="J446">
        <f ca="1">IF(AND(INDIRECT(A73&amp;ROW())=B95,INDIRECT(A96&amp;ROW())=C95),1,IF(AND(INDIRECT(A73&amp;ROW())=B95,INDIRECT(A96&amp;ROW())=C96),1,0))</f>
        <v>1</v>
      </c>
      <c r="K446">
        <f ca="1">DAYS360(INDIRECT(C68&amp;ROW()),TODAY())</f>
        <v>746</v>
      </c>
      <c r="L446">
        <f ca="1">DAYS360(INDIRECT(C69&amp;ROW()),TODAY())</f>
        <v>751</v>
      </c>
      <c r="M446">
        <f ca="1">HYPERLINK(CONCATENATE("https://bugzilla.houston.hp.com:1181/bugzilla/show_bug.cgi?id=",INDIRECT(C70&amp;ROW())),INDIRECT(C70&amp;ROW()))</f>
        <v>59736</v>
      </c>
      <c r="N446">
        <v>59736</v>
      </c>
      <c r="O446" t="s">
        <v>22</v>
      </c>
      <c r="P446" t="s">
        <v>841</v>
      </c>
      <c r="Q446" t="s">
        <v>25</v>
      </c>
      <c r="R446" t="s">
        <v>579</v>
      </c>
      <c r="S446" t="s">
        <v>552</v>
      </c>
      <c r="T446" t="s">
        <v>851</v>
      </c>
      <c r="U446" s="6">
        <v>42100.318692129629</v>
      </c>
      <c r="V446" t="s">
        <v>18</v>
      </c>
      <c r="W446" t="s">
        <v>764</v>
      </c>
      <c r="X446" s="6">
        <v>42095.512280092589</v>
      </c>
      <c r="Y446" t="s">
        <v>246</v>
      </c>
      <c r="AB446" t="s">
        <v>201</v>
      </c>
      <c r="AC446" t="s">
        <v>247</v>
      </c>
      <c r="AD446" t="s">
        <v>222</v>
      </c>
      <c r="AE446" t="s">
        <v>221</v>
      </c>
      <c r="AG446" t="s">
        <v>121</v>
      </c>
      <c r="AH446" t="s">
        <v>327</v>
      </c>
      <c r="AI446" t="s">
        <v>121</v>
      </c>
      <c r="AJ446" t="s">
        <v>716</v>
      </c>
      <c r="AK446" t="s">
        <v>121</v>
      </c>
    </row>
    <row r="447" spans="9:37" x14ac:dyDescent="0.3">
      <c r="I447">
        <f ca="1">IF(OR(INDIRECT(A73&amp;ROW())=B93,INDIRECT(A73&amp;ROW())=B94),1,IF(AND(INDIRECT(A73&amp;ROW())=B95,INDIRECT(A96&amp;ROW())=C93),1,IF(AND(INDIRECT(A73&amp;ROW())=B95,INDIRECT(A96&amp;ROW())=C94),1,0)))</f>
        <v>0</v>
      </c>
      <c r="J447">
        <f ca="1">IF(AND(INDIRECT(A73&amp;ROW())=B95,INDIRECT(A96&amp;ROW())=C95),1,IF(AND(INDIRECT(A73&amp;ROW())=B95,INDIRECT(A96&amp;ROW())=C96),1,0))</f>
        <v>1</v>
      </c>
      <c r="K447">
        <f ca="1">DAYS360(INDIRECT(C68&amp;ROW()),TODAY())</f>
        <v>751</v>
      </c>
      <c r="L447">
        <f ca="1">DAYS360(INDIRECT(C69&amp;ROW()),TODAY())</f>
        <v>751</v>
      </c>
      <c r="M447">
        <f ca="1">HYPERLINK(CONCATENATE("https://bugzilla.houston.hp.com:1181/bugzilla/show_bug.cgi?id=",INDIRECT(C70&amp;ROW())),INDIRECT(C70&amp;ROW()))</f>
        <v>59737</v>
      </c>
      <c r="N447">
        <v>59737</v>
      </c>
      <c r="O447" t="s">
        <v>22</v>
      </c>
      <c r="P447" t="s">
        <v>840</v>
      </c>
      <c r="Q447" t="s">
        <v>25</v>
      </c>
      <c r="R447" t="s">
        <v>248</v>
      </c>
      <c r="S447" t="s">
        <v>552</v>
      </c>
      <c r="U447" s="6">
        <v>42095.512372685182</v>
      </c>
      <c r="V447" t="s">
        <v>18</v>
      </c>
      <c r="W447" t="s">
        <v>764</v>
      </c>
      <c r="X447" s="6">
        <v>42095.512372685182</v>
      </c>
      <c r="Y447" t="s">
        <v>246</v>
      </c>
      <c r="AB447" t="s">
        <v>201</v>
      </c>
      <c r="AC447" t="s">
        <v>247</v>
      </c>
      <c r="AD447" t="s">
        <v>222</v>
      </c>
      <c r="AE447" t="s">
        <v>221</v>
      </c>
      <c r="AG447" t="s">
        <v>121</v>
      </c>
      <c r="AH447" t="s">
        <v>327</v>
      </c>
      <c r="AI447" t="s">
        <v>121</v>
      </c>
      <c r="AJ447" t="s">
        <v>716</v>
      </c>
      <c r="AK447" t="s">
        <v>121</v>
      </c>
    </row>
    <row r="448" spans="9:37" x14ac:dyDescent="0.3">
      <c r="I448">
        <f ca="1">IF(OR(INDIRECT(A73&amp;ROW())=B93,INDIRECT(A73&amp;ROW())=B94),1,IF(AND(INDIRECT(A73&amp;ROW())=B95,INDIRECT(A96&amp;ROW())=C93),1,IF(AND(INDIRECT(A73&amp;ROW())=B95,INDIRECT(A96&amp;ROW())=C94),1,0)))</f>
        <v>0</v>
      </c>
      <c r="J448">
        <f ca="1">IF(AND(INDIRECT(A73&amp;ROW())=B95,INDIRECT(A96&amp;ROW())=C95),1,IF(AND(INDIRECT(A73&amp;ROW())=B95,INDIRECT(A96&amp;ROW())=C96),1,0))</f>
        <v>1</v>
      </c>
      <c r="K448">
        <f ca="1">DAYS360(INDIRECT(C68&amp;ROW()),TODAY())</f>
        <v>737</v>
      </c>
      <c r="L448">
        <f ca="1">DAYS360(INDIRECT(C69&amp;ROW()),TODAY())</f>
        <v>751</v>
      </c>
      <c r="M448">
        <f ca="1">HYPERLINK(CONCATENATE("https://bugzilla.houston.hp.com:1181/bugzilla/show_bug.cgi?id=",INDIRECT(C70&amp;ROW())),INDIRECT(C70&amp;ROW()))</f>
        <v>59751</v>
      </c>
      <c r="N448">
        <v>59751</v>
      </c>
      <c r="O448" t="s">
        <v>241</v>
      </c>
      <c r="P448" t="s">
        <v>850</v>
      </c>
      <c r="Q448" t="s">
        <v>25</v>
      </c>
      <c r="R448" t="s">
        <v>251</v>
      </c>
      <c r="S448" t="s">
        <v>45</v>
      </c>
      <c r="U448" s="6">
        <v>42109.750057870369</v>
      </c>
      <c r="V448" t="s">
        <v>18</v>
      </c>
      <c r="W448" t="s">
        <v>764</v>
      </c>
      <c r="X448" s="6">
        <v>42095.656273148146</v>
      </c>
      <c r="Y448" t="s">
        <v>122</v>
      </c>
      <c r="AB448" t="s">
        <v>201</v>
      </c>
      <c r="AC448" t="s">
        <v>247</v>
      </c>
      <c r="AD448" t="s">
        <v>220</v>
      </c>
      <c r="AE448" t="s">
        <v>219</v>
      </c>
      <c r="AG448" t="s">
        <v>121</v>
      </c>
      <c r="AH448" t="s">
        <v>327</v>
      </c>
      <c r="AI448" t="s">
        <v>121</v>
      </c>
      <c r="AJ448" t="s">
        <v>716</v>
      </c>
      <c r="AK448" t="s">
        <v>121</v>
      </c>
    </row>
    <row r="449" spans="9:37" x14ac:dyDescent="0.3">
      <c r="I449">
        <f ca="1">IF(OR(INDIRECT(A73&amp;ROW())=B93,INDIRECT(A73&amp;ROW())=B94),1,IF(AND(INDIRECT(A73&amp;ROW())=B95,INDIRECT(A96&amp;ROW())=C93),1,IF(AND(INDIRECT(A73&amp;ROW())=B95,INDIRECT(A96&amp;ROW())=C94),1,0)))</f>
        <v>0</v>
      </c>
      <c r="J449">
        <f ca="1">IF(AND(INDIRECT(A73&amp;ROW())=B95,INDIRECT(A96&amp;ROW())=C95),1,IF(AND(INDIRECT(A73&amp;ROW())=B95,INDIRECT(A96&amp;ROW())=C96),1,0))</f>
        <v>0</v>
      </c>
      <c r="K449">
        <f ca="1">DAYS360(INDIRECT(C68&amp;ROW()),TODAY())</f>
        <v>721</v>
      </c>
      <c r="L449">
        <f ca="1">DAYS360(INDIRECT(C69&amp;ROW()),TODAY())</f>
        <v>751</v>
      </c>
      <c r="M449">
        <f ca="1">HYPERLINK(CONCATENATE("https://bugzilla.houston.hp.com:1181/bugzilla/show_bug.cgi?id=",INDIRECT(C70&amp;ROW())),INDIRECT(C70&amp;ROW()))</f>
        <v>59756</v>
      </c>
      <c r="N449">
        <v>59756</v>
      </c>
      <c r="O449" t="s">
        <v>21</v>
      </c>
      <c r="P449" t="s">
        <v>849</v>
      </c>
      <c r="Q449" t="s">
        <v>16</v>
      </c>
      <c r="R449" t="s">
        <v>248</v>
      </c>
      <c r="S449" t="s">
        <v>552</v>
      </c>
      <c r="U449" s="6">
        <v>42125.685798611114</v>
      </c>
      <c r="V449" t="s">
        <v>18</v>
      </c>
      <c r="W449" t="s">
        <v>248</v>
      </c>
      <c r="X449" s="6">
        <v>42095.699733796297</v>
      </c>
      <c r="Y449" t="s">
        <v>846</v>
      </c>
      <c r="AB449" t="s">
        <v>200</v>
      </c>
      <c r="AC449" t="s">
        <v>247</v>
      </c>
      <c r="AD449" t="s">
        <v>222</v>
      </c>
      <c r="AE449" t="s">
        <v>240</v>
      </c>
      <c r="AG449" t="s">
        <v>121</v>
      </c>
      <c r="AH449" t="s">
        <v>327</v>
      </c>
      <c r="AI449" t="s">
        <v>121</v>
      </c>
      <c r="AJ449" t="s">
        <v>716</v>
      </c>
      <c r="AK449" t="s">
        <v>121</v>
      </c>
    </row>
    <row r="450" spans="9:37" x14ac:dyDescent="0.3">
      <c r="I450">
        <f ca="1">IF(OR(INDIRECT(A73&amp;ROW())=B93,INDIRECT(A73&amp;ROW())=B94),1,IF(AND(INDIRECT(A73&amp;ROW())=B95,INDIRECT(A96&amp;ROW())=C93),1,IF(AND(INDIRECT(A73&amp;ROW())=B95,INDIRECT(A96&amp;ROW())=C94),1,0)))</f>
        <v>0</v>
      </c>
      <c r="J450">
        <f ca="1">IF(AND(INDIRECT(A73&amp;ROW())=B95,INDIRECT(A96&amp;ROW())=C95),1,IF(AND(INDIRECT(A73&amp;ROW())=B95,INDIRECT(A96&amp;ROW())=C96),1,0))</f>
        <v>1</v>
      </c>
      <c r="K450">
        <f ca="1">DAYS360(INDIRECT(C68&amp;ROW()),TODAY())</f>
        <v>743</v>
      </c>
      <c r="L450">
        <f ca="1">DAYS360(INDIRECT(C69&amp;ROW()),TODAY())</f>
        <v>751</v>
      </c>
      <c r="M450">
        <f ca="1">HYPERLINK(CONCATENATE("https://bugzilla.houston.hp.com:1181/bugzilla/show_bug.cgi?id=",INDIRECT(C70&amp;ROW())),INDIRECT(C70&amp;ROW()))</f>
        <v>59757</v>
      </c>
      <c r="N450">
        <v>59757</v>
      </c>
      <c r="O450" t="s">
        <v>56</v>
      </c>
      <c r="P450" t="s">
        <v>848</v>
      </c>
      <c r="Q450" t="s">
        <v>25</v>
      </c>
      <c r="R450" t="s">
        <v>579</v>
      </c>
      <c r="S450" t="s">
        <v>552</v>
      </c>
      <c r="T450" t="s">
        <v>858</v>
      </c>
      <c r="U450" s="6">
        <v>42103.325578703705</v>
      </c>
      <c r="V450" t="s">
        <v>18</v>
      </c>
      <c r="W450" t="s">
        <v>764</v>
      </c>
      <c r="X450" s="6">
        <v>42095.701284722221</v>
      </c>
      <c r="Y450" t="s">
        <v>122</v>
      </c>
      <c r="AB450" t="s">
        <v>201</v>
      </c>
      <c r="AC450" t="s">
        <v>247</v>
      </c>
      <c r="AD450" t="s">
        <v>220</v>
      </c>
      <c r="AE450" t="s">
        <v>219</v>
      </c>
      <c r="AG450" t="s">
        <v>121</v>
      </c>
      <c r="AH450" t="s">
        <v>327</v>
      </c>
      <c r="AI450" t="s">
        <v>121</v>
      </c>
      <c r="AJ450" t="s">
        <v>716</v>
      </c>
      <c r="AK450" t="s">
        <v>121</v>
      </c>
    </row>
    <row r="451" spans="9:37" x14ac:dyDescent="0.3">
      <c r="I451">
        <f ca="1">IF(OR(INDIRECT(A73&amp;ROW())=B93,INDIRECT(A73&amp;ROW())=B94),1,IF(AND(INDIRECT(A73&amp;ROW())=B95,INDIRECT(A96&amp;ROW())=C93),1,IF(AND(INDIRECT(A73&amp;ROW())=B95,INDIRECT(A96&amp;ROW())=C94),1,0)))</f>
        <v>0</v>
      </c>
      <c r="J451">
        <f ca="1">IF(AND(INDIRECT(A73&amp;ROW())=B95,INDIRECT(A96&amp;ROW())=C95),1,IF(AND(INDIRECT(A73&amp;ROW())=B95,INDIRECT(A96&amp;ROW())=C96),1,0))</f>
        <v>1</v>
      </c>
      <c r="K451">
        <f ca="1">DAYS360(INDIRECT(C68&amp;ROW()),TODAY())</f>
        <v>724</v>
      </c>
      <c r="L451">
        <f ca="1">DAYS360(INDIRECT(C69&amp;ROW()),TODAY())</f>
        <v>751</v>
      </c>
      <c r="M451">
        <f ca="1">HYPERLINK(CONCATENATE("https://bugzilla.houston.hp.com:1181/bugzilla/show_bug.cgi?id=",INDIRECT(C70&amp;ROW())),INDIRECT(C70&amp;ROW()))</f>
        <v>59758</v>
      </c>
      <c r="N451">
        <v>59758</v>
      </c>
      <c r="O451" t="s">
        <v>56</v>
      </c>
      <c r="P451" t="s">
        <v>847</v>
      </c>
      <c r="Q451" t="s">
        <v>25</v>
      </c>
      <c r="R451" t="s">
        <v>248</v>
      </c>
      <c r="S451" t="s">
        <v>552</v>
      </c>
      <c r="U451" s="6">
        <v>42122.3203587963</v>
      </c>
      <c r="V451" t="s">
        <v>18</v>
      </c>
      <c r="W451" t="s">
        <v>764</v>
      </c>
      <c r="X451" s="6">
        <v>42095.701365740744</v>
      </c>
      <c r="Y451" t="s">
        <v>122</v>
      </c>
      <c r="AB451" t="s">
        <v>201</v>
      </c>
      <c r="AC451" t="s">
        <v>247</v>
      </c>
      <c r="AD451" t="s">
        <v>220</v>
      </c>
      <c r="AE451" t="s">
        <v>219</v>
      </c>
      <c r="AG451" t="s">
        <v>121</v>
      </c>
      <c r="AH451" t="s">
        <v>327</v>
      </c>
      <c r="AI451" t="s">
        <v>121</v>
      </c>
      <c r="AJ451" t="s">
        <v>716</v>
      </c>
      <c r="AK451" t="s">
        <v>121</v>
      </c>
    </row>
    <row r="452" spans="9:37" x14ac:dyDescent="0.3">
      <c r="I452">
        <f ca="1">IF(OR(INDIRECT(A73&amp;ROW())=B93,INDIRECT(A73&amp;ROW())=B94),1,IF(AND(INDIRECT(A73&amp;ROW())=B95,INDIRECT(A96&amp;ROW())=C93),1,IF(AND(INDIRECT(A73&amp;ROW())=B95,INDIRECT(A96&amp;ROW())=C94),1,0)))</f>
        <v>0</v>
      </c>
      <c r="J452">
        <f ca="1">IF(AND(INDIRECT(A73&amp;ROW())=B95,INDIRECT(A96&amp;ROW())=C95),1,IF(AND(INDIRECT(A73&amp;ROW())=B95,INDIRECT(A96&amp;ROW())=C96),1,0))</f>
        <v>1</v>
      </c>
      <c r="K452">
        <f ca="1">DAYS360(INDIRECT(C68&amp;ROW()),TODAY())</f>
        <v>718</v>
      </c>
      <c r="L452">
        <f ca="1">DAYS360(INDIRECT(C69&amp;ROW()),TODAY())</f>
        <v>748</v>
      </c>
      <c r="M452">
        <f ca="1">HYPERLINK(CONCATENATE("https://bugzilla.houston.hp.com:1181/bugzilla/show_bug.cgi?id=",INDIRECT(C70&amp;ROW())),INDIRECT(C70&amp;ROW()))</f>
        <v>59909</v>
      </c>
      <c r="N452">
        <v>59909</v>
      </c>
      <c r="O452" t="s">
        <v>22</v>
      </c>
      <c r="P452" t="s">
        <v>855</v>
      </c>
      <c r="Q452" t="s">
        <v>25</v>
      </c>
      <c r="R452" t="s">
        <v>251</v>
      </c>
      <c r="S452" t="s">
        <v>854</v>
      </c>
      <c r="U452" s="6">
        <v>42128.417187500003</v>
      </c>
      <c r="V452" t="s">
        <v>18</v>
      </c>
      <c r="W452" t="s">
        <v>764</v>
      </c>
      <c r="X452" s="6">
        <v>42098.086689814816</v>
      </c>
      <c r="Y452" t="s">
        <v>810</v>
      </c>
      <c r="AB452" t="s">
        <v>201</v>
      </c>
      <c r="AC452" t="s">
        <v>247</v>
      </c>
      <c r="AD452" t="s">
        <v>222</v>
      </c>
      <c r="AE452" t="s">
        <v>232</v>
      </c>
      <c r="AG452" t="s">
        <v>121</v>
      </c>
      <c r="AH452" t="s">
        <v>327</v>
      </c>
      <c r="AI452" t="s">
        <v>121</v>
      </c>
      <c r="AJ452" t="s">
        <v>716</v>
      </c>
      <c r="AK452" t="s">
        <v>121</v>
      </c>
    </row>
    <row r="453" spans="9:37" x14ac:dyDescent="0.3">
      <c r="I453">
        <f ca="1">IF(OR(INDIRECT(A73&amp;ROW())=B93,INDIRECT(A73&amp;ROW())=B94),1,IF(AND(INDIRECT(A73&amp;ROW())=B95,INDIRECT(A96&amp;ROW())=C93),1,IF(AND(INDIRECT(A73&amp;ROW())=B95,INDIRECT(A96&amp;ROW())=C94),1,0)))</f>
        <v>0</v>
      </c>
      <c r="J453">
        <f ca="1">IF(AND(INDIRECT(A73&amp;ROW())=B95,INDIRECT(A96&amp;ROW())=C95),1,IF(AND(INDIRECT(A73&amp;ROW())=B95,INDIRECT(A96&amp;ROW())=C96),1,0))</f>
        <v>1</v>
      </c>
      <c r="K453">
        <f ca="1">DAYS360(INDIRECT(C68&amp;ROW()),TODAY())</f>
        <v>742</v>
      </c>
      <c r="L453">
        <f ca="1">DAYS360(INDIRECT(C69&amp;ROW()),TODAY())</f>
        <v>748</v>
      </c>
      <c r="M453">
        <f ca="1">HYPERLINK(CONCATENATE("https://bugzilla.houston.hp.com:1181/bugzilla/show_bug.cgi?id=",INDIRECT(C70&amp;ROW())),INDIRECT(C70&amp;ROW()))</f>
        <v>59915</v>
      </c>
      <c r="N453">
        <v>59915</v>
      </c>
      <c r="O453" t="s">
        <v>22</v>
      </c>
      <c r="P453" t="s">
        <v>853</v>
      </c>
      <c r="Q453" t="s">
        <v>25</v>
      </c>
      <c r="R453" t="s">
        <v>579</v>
      </c>
      <c r="S453" t="s">
        <v>552</v>
      </c>
      <c r="T453" t="s">
        <v>859</v>
      </c>
      <c r="U453" s="6">
        <v>42104.311307870368</v>
      </c>
      <c r="V453" t="s">
        <v>18</v>
      </c>
      <c r="W453" t="s">
        <v>764</v>
      </c>
      <c r="X453" s="6">
        <v>42098.515439814815</v>
      </c>
      <c r="Y453" t="s">
        <v>810</v>
      </c>
      <c r="AB453" t="s">
        <v>201</v>
      </c>
      <c r="AC453" t="s">
        <v>247</v>
      </c>
      <c r="AD453" t="s">
        <v>222</v>
      </c>
      <c r="AE453" t="s">
        <v>232</v>
      </c>
      <c r="AG453" t="s">
        <v>121</v>
      </c>
      <c r="AH453" t="s">
        <v>327</v>
      </c>
      <c r="AI453" t="s">
        <v>121</v>
      </c>
      <c r="AJ453" t="s">
        <v>716</v>
      </c>
      <c r="AK453" t="s">
        <v>121</v>
      </c>
    </row>
    <row r="454" spans="9:37" x14ac:dyDescent="0.3">
      <c r="I454">
        <f ca="1">IF(OR(INDIRECT(A73&amp;ROW())=B93,INDIRECT(A73&amp;ROW())=B94),1,IF(AND(INDIRECT(A73&amp;ROW())=B95,INDIRECT(A96&amp;ROW())=C93),1,IF(AND(INDIRECT(A73&amp;ROW())=B95,INDIRECT(A96&amp;ROW())=C94),1,0)))</f>
        <v>0</v>
      </c>
      <c r="J454">
        <f ca="1">IF(AND(INDIRECT(A73&amp;ROW())=B95,INDIRECT(A96&amp;ROW())=C95),1,IF(AND(INDIRECT(A73&amp;ROW())=B95,INDIRECT(A96&amp;ROW())=C96),1,0))</f>
        <v>1</v>
      </c>
      <c r="K454">
        <f ca="1">DAYS360(INDIRECT(C68&amp;ROW()),TODAY())</f>
        <v>724</v>
      </c>
      <c r="L454">
        <f ca="1">DAYS360(INDIRECT(C69&amp;ROW()),TODAY())</f>
        <v>748</v>
      </c>
      <c r="M454">
        <f ca="1">HYPERLINK(CONCATENATE("https://bugzilla.houston.hp.com:1181/bugzilla/show_bug.cgi?id=",INDIRECT(C70&amp;ROW())),INDIRECT(C70&amp;ROW()))</f>
        <v>59916</v>
      </c>
      <c r="N454">
        <v>59916</v>
      </c>
      <c r="O454" t="s">
        <v>22</v>
      </c>
      <c r="P454" t="s">
        <v>852</v>
      </c>
      <c r="Q454" t="s">
        <v>25</v>
      </c>
      <c r="R454" t="s">
        <v>248</v>
      </c>
      <c r="S454" t="s">
        <v>552</v>
      </c>
      <c r="U454" s="6">
        <v>42122.321238425924</v>
      </c>
      <c r="V454" t="s">
        <v>18</v>
      </c>
      <c r="W454" t="s">
        <v>764</v>
      </c>
      <c r="X454" s="6">
        <v>42098.515509259261</v>
      </c>
      <c r="Y454" t="s">
        <v>810</v>
      </c>
      <c r="AB454" t="s">
        <v>201</v>
      </c>
      <c r="AC454" t="s">
        <v>247</v>
      </c>
      <c r="AD454" t="s">
        <v>222</v>
      </c>
      <c r="AE454" t="s">
        <v>232</v>
      </c>
      <c r="AG454" t="s">
        <v>121</v>
      </c>
      <c r="AH454" t="s">
        <v>327</v>
      </c>
      <c r="AI454" t="s">
        <v>121</v>
      </c>
      <c r="AJ454" t="s">
        <v>716</v>
      </c>
      <c r="AK454" t="s">
        <v>121</v>
      </c>
    </row>
    <row r="455" spans="9:37" x14ac:dyDescent="0.3">
      <c r="I455">
        <f ca="1">IF(OR(INDIRECT(A73&amp;ROW())=B93,INDIRECT(A73&amp;ROW())=B94),1,IF(AND(INDIRECT(A73&amp;ROW())=B95,INDIRECT(A96&amp;ROW())=C93),1,IF(AND(INDIRECT(A73&amp;ROW())=B95,INDIRECT(A96&amp;ROW())=C94),1,0)))</f>
        <v>0</v>
      </c>
      <c r="J455">
        <f ca="1">IF(AND(INDIRECT(A73&amp;ROW())=B95,INDIRECT(A96&amp;ROW())=C95),1,IF(AND(INDIRECT(A73&amp;ROW())=B95,INDIRECT(A96&amp;ROW())=C96),1,0))</f>
        <v>1</v>
      </c>
      <c r="K455">
        <f ca="1">DAYS360(INDIRECT(C68&amp;ROW()),TODAY())</f>
        <v>705</v>
      </c>
      <c r="L455">
        <f ca="1">DAYS360(INDIRECT(C69&amp;ROW()),TODAY())</f>
        <v>744</v>
      </c>
      <c r="M455">
        <f ca="1">HYPERLINK(CONCATENATE("https://bugzilla.houston.hp.com:1181/bugzilla/show_bug.cgi?id=",INDIRECT(C70&amp;ROW())),INDIRECT(C70&amp;ROW()))</f>
        <v>60118</v>
      </c>
      <c r="N455">
        <v>60118</v>
      </c>
      <c r="O455" t="s">
        <v>56</v>
      </c>
      <c r="P455" t="s">
        <v>864</v>
      </c>
      <c r="Q455" t="s">
        <v>25</v>
      </c>
      <c r="R455" t="s">
        <v>251</v>
      </c>
      <c r="S455" t="s">
        <v>253</v>
      </c>
      <c r="U455" s="6">
        <v>42141.688692129632</v>
      </c>
      <c r="V455" t="s">
        <v>40</v>
      </c>
      <c r="W455" t="s">
        <v>764</v>
      </c>
      <c r="X455" s="6">
        <v>42102.500810185185</v>
      </c>
      <c r="Y455" t="s">
        <v>246</v>
      </c>
      <c r="AB455" t="s">
        <v>201</v>
      </c>
      <c r="AC455" t="s">
        <v>247</v>
      </c>
      <c r="AD455" t="s">
        <v>220</v>
      </c>
      <c r="AE455" t="s">
        <v>219</v>
      </c>
      <c r="AG455" t="s">
        <v>121</v>
      </c>
      <c r="AH455" t="s">
        <v>768</v>
      </c>
      <c r="AI455" t="s">
        <v>121</v>
      </c>
      <c r="AJ455" t="s">
        <v>716</v>
      </c>
      <c r="AK455" t="s">
        <v>121</v>
      </c>
    </row>
    <row r="456" spans="9:37" x14ac:dyDescent="0.3">
      <c r="I456">
        <f ca="1">IF(OR(INDIRECT(A73&amp;ROW())=B93,INDIRECT(A73&amp;ROW())=B94),1,IF(AND(INDIRECT(A73&amp;ROW())=B95,INDIRECT(A96&amp;ROW())=C93),1,IF(AND(INDIRECT(A73&amp;ROW())=B95,INDIRECT(A96&amp;ROW())=C94),1,0)))</f>
        <v>0</v>
      </c>
      <c r="J456">
        <f ca="1">IF(AND(INDIRECT(A73&amp;ROW())=B95,INDIRECT(A96&amp;ROW())=C95),1,IF(AND(INDIRECT(A73&amp;ROW())=B95,INDIRECT(A96&amp;ROW())=C96),1,0))</f>
        <v>1</v>
      </c>
      <c r="K456">
        <f ca="1">DAYS360(INDIRECT(C68&amp;ROW()),TODAY())</f>
        <v>707</v>
      </c>
      <c r="L456">
        <f ca="1">DAYS360(INDIRECT(C69&amp;ROW()),TODAY())</f>
        <v>743</v>
      </c>
      <c r="M456">
        <f ca="1">HYPERLINK(CONCATENATE("https://bugzilla.houston.hp.com:1181/bugzilla/show_bug.cgi?id=",INDIRECT(C70&amp;ROW())),INDIRECT(C70&amp;ROW()))</f>
        <v>60198</v>
      </c>
      <c r="N456">
        <v>60198</v>
      </c>
      <c r="O456" t="s">
        <v>21</v>
      </c>
      <c r="P456" t="s">
        <v>918</v>
      </c>
      <c r="Q456" t="s">
        <v>25</v>
      </c>
      <c r="R456" t="s">
        <v>251</v>
      </c>
      <c r="S456" t="s">
        <v>917</v>
      </c>
      <c r="U456" s="6">
        <v>42139.420844907407</v>
      </c>
      <c r="V456" t="s">
        <v>18</v>
      </c>
      <c r="W456" t="s">
        <v>783</v>
      </c>
      <c r="X456" s="6">
        <v>42103.399004629631</v>
      </c>
      <c r="Y456" t="s">
        <v>846</v>
      </c>
      <c r="AB456" t="s">
        <v>201</v>
      </c>
      <c r="AC456" t="s">
        <v>247</v>
      </c>
      <c r="AD456" t="s">
        <v>222</v>
      </c>
      <c r="AE456" t="s">
        <v>221</v>
      </c>
      <c r="AG456" t="s">
        <v>121</v>
      </c>
      <c r="AH456" t="s">
        <v>327</v>
      </c>
      <c r="AI456" t="s">
        <v>121</v>
      </c>
      <c r="AJ456" t="s">
        <v>716</v>
      </c>
      <c r="AK456" t="s">
        <v>121</v>
      </c>
    </row>
    <row r="457" spans="9:37" x14ac:dyDescent="0.3">
      <c r="I457">
        <f ca="1">IF(OR(INDIRECT(A73&amp;ROW())=B93,INDIRECT(A73&amp;ROW())=B94),1,IF(AND(INDIRECT(A73&amp;ROW())=B95,INDIRECT(A96&amp;ROW())=C93),1,IF(AND(INDIRECT(A73&amp;ROW())=B95,INDIRECT(A96&amp;ROW())=C94),1,0)))</f>
        <v>0</v>
      </c>
      <c r="J457">
        <f ca="1">IF(AND(INDIRECT(A73&amp;ROW())=B95,INDIRECT(A96&amp;ROW())=C95),1,IF(AND(INDIRECT(A73&amp;ROW())=B95,INDIRECT(A96&amp;ROW())=C96),1,0))</f>
        <v>0</v>
      </c>
      <c r="K457">
        <f ca="1">DAYS360(INDIRECT(C68&amp;ROW()),TODAY())</f>
        <v>737</v>
      </c>
      <c r="L457">
        <f ca="1">DAYS360(INDIRECT(C69&amp;ROW()),TODAY())</f>
        <v>742</v>
      </c>
      <c r="M457" t="s">
        <v>547</v>
      </c>
      <c r="N457">
        <v>60262</v>
      </c>
      <c r="O457" t="s">
        <v>56</v>
      </c>
      <c r="P457" t="s">
        <v>863</v>
      </c>
      <c r="Q457" t="s">
        <v>16</v>
      </c>
      <c r="R457" t="s">
        <v>251</v>
      </c>
      <c r="S457" t="s">
        <v>854</v>
      </c>
      <c r="U457" s="6">
        <v>42109.751527777778</v>
      </c>
      <c r="V457" t="s">
        <v>18</v>
      </c>
      <c r="W457" t="s">
        <v>764</v>
      </c>
      <c r="X457" s="6">
        <v>42104.244039351855</v>
      </c>
      <c r="Y457" t="s">
        <v>810</v>
      </c>
      <c r="AB457" t="s">
        <v>201</v>
      </c>
      <c r="AC457" t="s">
        <v>247</v>
      </c>
      <c r="AD457" t="s">
        <v>220</v>
      </c>
      <c r="AE457" t="s">
        <v>223</v>
      </c>
      <c r="AG457" t="s">
        <v>121</v>
      </c>
      <c r="AH457" t="s">
        <v>327</v>
      </c>
      <c r="AI457" t="s">
        <v>121</v>
      </c>
      <c r="AJ457" t="s">
        <v>717</v>
      </c>
      <c r="AK457" t="s">
        <v>121</v>
      </c>
    </row>
    <row r="458" spans="9:37" x14ac:dyDescent="0.3">
      <c r="I458">
        <f ca="1">IF(OR(INDIRECT(A73&amp;ROW())=B93,INDIRECT(A73&amp;ROW())=B94),1,IF(AND(INDIRECT(A73&amp;ROW())=B95,INDIRECT(A96&amp;ROW())=C93),1,IF(AND(INDIRECT(A73&amp;ROW())=B95,INDIRECT(A96&amp;ROW())=C94),1,0)))</f>
        <v>1</v>
      </c>
      <c r="J458">
        <f ca="1">IF(AND(INDIRECT(A73&amp;ROW())=B95,INDIRECT(A96&amp;ROW())=C95),1,IF(AND(INDIRECT(A73&amp;ROW())=B95,INDIRECT(A96&amp;ROW())=C96),1,0))</f>
        <v>0</v>
      </c>
      <c r="K458">
        <f ca="1">DAYS360(INDIRECT(C68&amp;ROW()),TODAY())</f>
        <v>691</v>
      </c>
      <c r="L458">
        <f ca="1">DAYS360(INDIRECT(C69&amp;ROW()),TODAY())</f>
        <v>742</v>
      </c>
      <c r="M458">
        <f ca="1">HYPERLINK(CONCATENATE("https://bugzilla.houston.hp.com:1181/bugzilla/show_bug.cgi?id=",INDIRECT(C70&amp;ROW())),INDIRECT(C70&amp;ROW()))</f>
        <v>60271</v>
      </c>
      <c r="N458">
        <v>60271</v>
      </c>
      <c r="O458" t="s">
        <v>55</v>
      </c>
      <c r="P458" t="s">
        <v>862</v>
      </c>
      <c r="Q458" t="s">
        <v>25</v>
      </c>
      <c r="R458" t="s">
        <v>579</v>
      </c>
      <c r="S458" t="s">
        <v>552</v>
      </c>
      <c r="T458" t="s">
        <v>861</v>
      </c>
      <c r="U458" s="6">
        <v>42156.077268518522</v>
      </c>
      <c r="V458" t="s">
        <v>18</v>
      </c>
      <c r="W458" t="s">
        <v>372</v>
      </c>
      <c r="X458" s="6">
        <v>42104.315185185187</v>
      </c>
      <c r="Y458" t="s">
        <v>342</v>
      </c>
      <c r="Z458" t="s">
        <v>810</v>
      </c>
      <c r="AB458" t="s">
        <v>200</v>
      </c>
      <c r="AC458" t="s">
        <v>247</v>
      </c>
      <c r="AD458" t="s">
        <v>220</v>
      </c>
      <c r="AE458" t="s">
        <v>219</v>
      </c>
      <c r="AG458" t="s">
        <v>121</v>
      </c>
      <c r="AH458" t="s">
        <v>327</v>
      </c>
      <c r="AI458" t="s">
        <v>362</v>
      </c>
      <c r="AJ458" t="s">
        <v>715</v>
      </c>
      <c r="AK458" t="s">
        <v>121</v>
      </c>
    </row>
    <row r="459" spans="9:37" x14ac:dyDescent="0.3">
      <c r="I459">
        <f ca="1">IF(OR(INDIRECT(A73&amp;ROW())=B93,INDIRECT(A73&amp;ROW())=B94),1,IF(AND(INDIRECT(A73&amp;ROW())=B95,INDIRECT(A96&amp;ROW())=C93),1,IF(AND(INDIRECT(A73&amp;ROW())=B95,INDIRECT(A96&amp;ROW())=C94),1,0)))</f>
        <v>0</v>
      </c>
      <c r="J459">
        <f ca="1">IF(AND(INDIRECT(A73&amp;ROW())=B95,INDIRECT(A96&amp;ROW())=C95),1,IF(AND(INDIRECT(A73&amp;ROW())=B95,INDIRECT(A96&amp;ROW())=C96),1,0))</f>
        <v>0</v>
      </c>
      <c r="K459">
        <f ca="1">DAYS360(INDIRECT(C68&amp;ROW()),TODAY())</f>
        <v>742</v>
      </c>
      <c r="L459">
        <f ca="1">DAYS360(INDIRECT(C69&amp;ROW()),TODAY())</f>
        <v>742</v>
      </c>
      <c r="M459">
        <f ca="1">HYPERLINK(CONCATENATE("https://bugzilla.houston.hp.com:1181/bugzilla/show_bug.cgi?id=",INDIRECT(C70&amp;ROW())),INDIRECT(C70&amp;ROW()))</f>
        <v>60274</v>
      </c>
      <c r="N459">
        <v>60274</v>
      </c>
      <c r="O459" t="s">
        <v>36</v>
      </c>
      <c r="P459" t="s">
        <v>860</v>
      </c>
      <c r="Q459" t="s">
        <v>16</v>
      </c>
      <c r="R459" t="s">
        <v>248</v>
      </c>
      <c r="S459" t="s">
        <v>552</v>
      </c>
      <c r="U459" s="6">
        <v>42104.325960648152</v>
      </c>
      <c r="V459" t="s">
        <v>18</v>
      </c>
      <c r="W459" t="s">
        <v>764</v>
      </c>
      <c r="X459" s="6">
        <v>42104.325960648152</v>
      </c>
      <c r="Y459" t="s">
        <v>810</v>
      </c>
      <c r="AB459" t="s">
        <v>201</v>
      </c>
      <c r="AC459" t="s">
        <v>247</v>
      </c>
      <c r="AD459" t="s">
        <v>220</v>
      </c>
      <c r="AE459" t="s">
        <v>223</v>
      </c>
      <c r="AG459" t="s">
        <v>121</v>
      </c>
      <c r="AH459" t="s">
        <v>327</v>
      </c>
      <c r="AI459" t="s">
        <v>121</v>
      </c>
      <c r="AJ459" t="s">
        <v>717</v>
      </c>
      <c r="AK459" t="s">
        <v>121</v>
      </c>
    </row>
    <row r="460" spans="9:37" x14ac:dyDescent="0.3">
      <c r="I460">
        <f ca="1">IF(OR(INDIRECT(A73&amp;ROW())=B93,INDIRECT(A73&amp;ROW())=B94),1,IF(AND(INDIRECT(A73&amp;ROW())=B95,INDIRECT(A96&amp;ROW())=C93),1,IF(AND(INDIRECT(A73&amp;ROW())=B95,INDIRECT(A96&amp;ROW())=C94),1,0)))</f>
        <v>1</v>
      </c>
      <c r="J460">
        <f ca="1">IF(AND(INDIRECT(A73&amp;ROW())=B95,INDIRECT(A96&amp;ROW())=C95),1,IF(AND(INDIRECT(A73&amp;ROW())=B95,INDIRECT(A96&amp;ROW())=C96),1,0))</f>
        <v>0</v>
      </c>
      <c r="K460">
        <f ca="1">DAYS360(INDIRECT(C68&amp;ROW()),TODAY())</f>
        <v>729</v>
      </c>
      <c r="L460">
        <f ca="1">DAYS360(INDIRECT(C69&amp;ROW()),TODAY())</f>
        <v>742</v>
      </c>
      <c r="M460">
        <f ca="1">HYPERLINK(CONCATENATE("https://bugzilla.houston.hp.com:1181/bugzilla/show_bug.cgi?id=",INDIRECT(C70&amp;ROW())),INDIRECT(C70&amp;ROW()))</f>
        <v>60285</v>
      </c>
      <c r="N460">
        <v>60285</v>
      </c>
      <c r="O460" t="s">
        <v>320</v>
      </c>
      <c r="P460" t="s">
        <v>916</v>
      </c>
      <c r="Q460" t="s">
        <v>39</v>
      </c>
      <c r="R460" t="s">
        <v>251</v>
      </c>
      <c r="S460" t="s">
        <v>52</v>
      </c>
      <c r="U460" s="6">
        <v>42117.057210648149</v>
      </c>
      <c r="V460" t="s">
        <v>18</v>
      </c>
      <c r="W460" t="s">
        <v>783</v>
      </c>
      <c r="X460" s="6">
        <v>42104.574594907404</v>
      </c>
      <c r="Y460" t="s">
        <v>255</v>
      </c>
      <c r="AB460" t="s">
        <v>200</v>
      </c>
      <c r="AC460" t="s">
        <v>247</v>
      </c>
      <c r="AD460" t="s">
        <v>227</v>
      </c>
      <c r="AE460" t="s">
        <v>226</v>
      </c>
      <c r="AG460" t="s">
        <v>121</v>
      </c>
      <c r="AH460" t="s">
        <v>327</v>
      </c>
      <c r="AI460" t="s">
        <v>121</v>
      </c>
      <c r="AJ460" t="s">
        <v>715</v>
      </c>
      <c r="AK460" t="s">
        <v>121</v>
      </c>
    </row>
    <row r="461" spans="9:37" x14ac:dyDescent="0.3">
      <c r="I461">
        <f ca="1">IF(OR(INDIRECT(A73&amp;ROW())=B93,INDIRECT(A73&amp;ROW())=B94),1,IF(AND(INDIRECT(A73&amp;ROW())=B95,INDIRECT(A96&amp;ROW())=C93),1,IF(AND(INDIRECT(A73&amp;ROW())=B95,INDIRECT(A96&amp;ROW())=C94),1,0)))</f>
        <v>1</v>
      </c>
      <c r="J461">
        <f ca="1">IF(AND(INDIRECT(A73&amp;ROW())=B95,INDIRECT(A96&amp;ROW())=C95),1,IF(AND(INDIRECT(A73&amp;ROW())=B95,INDIRECT(A96&amp;ROW())=C96),1,0))</f>
        <v>0</v>
      </c>
      <c r="K461">
        <f ca="1">DAYS360(INDIRECT(C68&amp;ROW()),TODAY())</f>
        <v>718</v>
      </c>
      <c r="L461">
        <f ca="1">DAYS360(INDIRECT(C69&amp;ROW()),TODAY())</f>
        <v>742</v>
      </c>
      <c r="M461">
        <f ca="1">HYPERLINK(CONCATENATE("https://bugzilla.houston.hp.com:1181/bugzilla/show_bug.cgi?id=",INDIRECT(C70&amp;ROW())),INDIRECT(C70&amp;ROW()))</f>
        <v>60287</v>
      </c>
      <c r="N461">
        <v>60287</v>
      </c>
      <c r="O461" t="s">
        <v>45</v>
      </c>
      <c r="P461" t="s">
        <v>915</v>
      </c>
      <c r="Q461" t="s">
        <v>39</v>
      </c>
      <c r="R461" t="s">
        <v>579</v>
      </c>
      <c r="S461" t="s">
        <v>552</v>
      </c>
      <c r="T461" t="s">
        <v>920</v>
      </c>
      <c r="U461" s="6">
        <v>42128.230034722219</v>
      </c>
      <c r="V461" t="s">
        <v>18</v>
      </c>
      <c r="W461" t="s">
        <v>783</v>
      </c>
      <c r="X461" s="6">
        <v>42104.609548611108</v>
      </c>
      <c r="Y461" t="s">
        <v>255</v>
      </c>
      <c r="AB461" t="s">
        <v>200</v>
      </c>
      <c r="AC461" t="s">
        <v>247</v>
      </c>
      <c r="AD461" t="s">
        <v>227</v>
      </c>
      <c r="AE461" t="s">
        <v>226</v>
      </c>
      <c r="AG461" t="s">
        <v>121</v>
      </c>
      <c r="AH461" t="s">
        <v>327</v>
      </c>
      <c r="AI461" t="s">
        <v>362</v>
      </c>
      <c r="AJ461" t="s">
        <v>715</v>
      </c>
      <c r="AK461" t="s">
        <v>121</v>
      </c>
    </row>
    <row r="462" spans="9:37" x14ac:dyDescent="0.3">
      <c r="I462">
        <f ca="1">IF(OR(INDIRECT(A73&amp;ROW())=B93,INDIRECT(A73&amp;ROW())=B94),1,IF(AND(INDIRECT(A73&amp;ROW())=B95,INDIRECT(A96&amp;ROW())=C93),1,IF(AND(INDIRECT(A73&amp;ROW())=B95,INDIRECT(A96&amp;ROW())=C94),1,0)))</f>
        <v>0</v>
      </c>
      <c r="J462">
        <f ca="1">IF(AND(INDIRECT(A73&amp;ROW())=B95,INDIRECT(A96&amp;ROW())=C95),1,IF(AND(INDIRECT(A73&amp;ROW())=B95,INDIRECT(A96&amp;ROW())=C96),1,0))</f>
        <v>1</v>
      </c>
      <c r="K462">
        <f ca="1">DAYS360(INDIRECT(C68&amp;ROW()),TODAY())</f>
        <v>710</v>
      </c>
      <c r="L462">
        <f ca="1">DAYS360(INDIRECT(C69&amp;ROW()),TODAY())</f>
        <v>739</v>
      </c>
      <c r="M462">
        <f ca="1">HYPERLINK(CONCATENATE("https://bugzilla.houston.hp.com:1181/bugzilla/show_bug.cgi?id=",INDIRECT(C70&amp;ROW())),INDIRECT(C70&amp;ROW()))</f>
        <v>60382</v>
      </c>
      <c r="N462">
        <v>60382</v>
      </c>
      <c r="O462" t="s">
        <v>68</v>
      </c>
      <c r="P462" t="s">
        <v>893</v>
      </c>
      <c r="Q462" t="s">
        <v>25</v>
      </c>
      <c r="R462" t="s">
        <v>251</v>
      </c>
      <c r="S462" t="s">
        <v>52</v>
      </c>
      <c r="U462" s="6">
        <v>42136.572372685187</v>
      </c>
      <c r="V462" t="s">
        <v>40</v>
      </c>
      <c r="W462" t="s">
        <v>764</v>
      </c>
      <c r="X462" s="6">
        <v>42107.538043981483</v>
      </c>
      <c r="Y462" t="s">
        <v>255</v>
      </c>
      <c r="AB462" t="s">
        <v>201</v>
      </c>
      <c r="AC462" t="s">
        <v>247</v>
      </c>
      <c r="AD462" t="s">
        <v>220</v>
      </c>
      <c r="AE462" t="s">
        <v>229</v>
      </c>
      <c r="AG462" t="s">
        <v>121</v>
      </c>
      <c r="AH462" t="s">
        <v>327</v>
      </c>
      <c r="AI462" t="s">
        <v>121</v>
      </c>
      <c r="AJ462" t="s">
        <v>716</v>
      </c>
      <c r="AK462" t="s">
        <v>121</v>
      </c>
    </row>
    <row r="463" spans="9:37" x14ac:dyDescent="0.3">
      <c r="I463">
        <f ca="1">IF(OR(INDIRECT(A73&amp;ROW())=B93,INDIRECT(A73&amp;ROW())=B94),1,IF(AND(INDIRECT(A73&amp;ROW())=B95,INDIRECT(A96&amp;ROW())=C93),1,IF(AND(INDIRECT(A73&amp;ROW())=B95,INDIRECT(A96&amp;ROW())=C94),1,0)))</f>
        <v>0</v>
      </c>
      <c r="J463">
        <f ca="1">IF(AND(INDIRECT(A73&amp;ROW())=B95,INDIRECT(A96&amp;ROW())=C95),1,IF(AND(INDIRECT(A73&amp;ROW())=B95,INDIRECT(A96&amp;ROW())=C96),1,0))</f>
        <v>1</v>
      </c>
      <c r="K463">
        <f ca="1">DAYS360(INDIRECT(C68&amp;ROW()),TODAY())</f>
        <v>724</v>
      </c>
      <c r="L463">
        <f ca="1">DAYS360(INDIRECT(C69&amp;ROW()),TODAY())</f>
        <v>739</v>
      </c>
      <c r="M463">
        <f ca="1">HYPERLINK(CONCATENATE("https://bugzilla.houston.hp.com:1181/bugzilla/show_bug.cgi?id=",INDIRECT(C70&amp;ROW())),INDIRECT(C70&amp;ROW()))</f>
        <v>60392</v>
      </c>
      <c r="N463">
        <v>60392</v>
      </c>
      <c r="O463" t="s">
        <v>68</v>
      </c>
      <c r="P463" t="s">
        <v>892</v>
      </c>
      <c r="Q463" t="s">
        <v>25</v>
      </c>
      <c r="R463" t="s">
        <v>579</v>
      </c>
      <c r="S463" t="s">
        <v>552</v>
      </c>
      <c r="T463" t="s">
        <v>889</v>
      </c>
      <c r="U463" s="6">
        <v>42122.591226851851</v>
      </c>
      <c r="V463" t="s">
        <v>40</v>
      </c>
      <c r="W463" t="s">
        <v>764</v>
      </c>
      <c r="X463" s="6">
        <v>42107.680706018517</v>
      </c>
      <c r="Y463" t="s">
        <v>255</v>
      </c>
      <c r="AB463" t="s">
        <v>201</v>
      </c>
      <c r="AC463" t="s">
        <v>247</v>
      </c>
      <c r="AD463" t="s">
        <v>220</v>
      </c>
      <c r="AE463" t="s">
        <v>229</v>
      </c>
      <c r="AG463" t="s">
        <v>121</v>
      </c>
      <c r="AH463" t="s">
        <v>327</v>
      </c>
      <c r="AI463" t="s">
        <v>362</v>
      </c>
      <c r="AJ463" t="s">
        <v>716</v>
      </c>
      <c r="AK463" t="s">
        <v>121</v>
      </c>
    </row>
    <row r="464" spans="9:37" x14ac:dyDescent="0.3">
      <c r="I464">
        <f ca="1">IF(OR(INDIRECT(A73&amp;ROW())=B93,INDIRECT(A73&amp;ROW())=B94),1,IF(AND(INDIRECT(A73&amp;ROW())=B95,INDIRECT(A96&amp;ROW())=C93),1,IF(AND(INDIRECT(A73&amp;ROW())=B95,INDIRECT(A96&amp;ROW())=C94),1,0)))</f>
        <v>0</v>
      </c>
      <c r="J464">
        <f ca="1">IF(AND(INDIRECT(A73&amp;ROW())=B95,INDIRECT(A96&amp;ROW())=C95),1,IF(AND(INDIRECT(A73&amp;ROW())=B95,INDIRECT(A96&amp;ROW())=C96),1,0))</f>
        <v>0</v>
      </c>
      <c r="K464">
        <f ca="1">DAYS360(INDIRECT(C68&amp;ROW()),TODAY())</f>
        <v>722</v>
      </c>
      <c r="L464">
        <f ca="1">DAYS360(INDIRECT(C69&amp;ROW()),TODAY())</f>
        <v>738</v>
      </c>
      <c r="M464">
        <f ca="1">HYPERLINK(CONCATENATE("https://bugzilla.houston.hp.com:1181/bugzilla/show_bug.cgi?id=",INDIRECT(C70&amp;ROW())),INDIRECT(C70&amp;ROW()))</f>
        <v>60424</v>
      </c>
      <c r="N464">
        <v>60424</v>
      </c>
      <c r="O464" t="s">
        <v>59</v>
      </c>
      <c r="P464" t="s">
        <v>871</v>
      </c>
      <c r="Q464" t="s">
        <v>16</v>
      </c>
      <c r="R464" t="s">
        <v>251</v>
      </c>
      <c r="S464" t="s">
        <v>870</v>
      </c>
      <c r="T464" t="s">
        <v>865</v>
      </c>
      <c r="U464" s="6">
        <v>42124.724745370368</v>
      </c>
      <c r="V464" t="s">
        <v>40</v>
      </c>
      <c r="W464" t="s">
        <v>764</v>
      </c>
      <c r="X464" s="6">
        <v>42108.167349537034</v>
      </c>
      <c r="Y464" t="s">
        <v>810</v>
      </c>
      <c r="AB464" t="s">
        <v>200</v>
      </c>
      <c r="AC464" t="s">
        <v>247</v>
      </c>
      <c r="AD464" t="s">
        <v>220</v>
      </c>
      <c r="AE464" t="s">
        <v>223</v>
      </c>
      <c r="AG464" t="s">
        <v>121</v>
      </c>
      <c r="AH464" t="s">
        <v>327</v>
      </c>
      <c r="AI464" t="s">
        <v>121</v>
      </c>
      <c r="AJ464" t="s">
        <v>716</v>
      </c>
      <c r="AK464" t="s">
        <v>121</v>
      </c>
    </row>
    <row r="465" spans="9:37" x14ac:dyDescent="0.3">
      <c r="I465">
        <f ca="1">IF(OR(INDIRECT(A73&amp;ROW())=B93,INDIRECT(A73&amp;ROW())=B94),1,IF(AND(INDIRECT(A73&amp;ROW())=B95,INDIRECT(A96&amp;ROW())=C93),1,IF(AND(INDIRECT(A73&amp;ROW())=B95,INDIRECT(A96&amp;ROW())=C94),1,0)))</f>
        <v>0</v>
      </c>
      <c r="J465">
        <f ca="1">IF(AND(INDIRECT(A73&amp;ROW())=B95,INDIRECT(A96&amp;ROW())=C95),1,IF(AND(INDIRECT(A73&amp;ROW())=B95,INDIRECT(A96&amp;ROW())=C96),1,0))</f>
        <v>0</v>
      </c>
      <c r="K465">
        <f ca="1">DAYS360(INDIRECT(C68&amp;ROW()),TODAY())</f>
        <v>717</v>
      </c>
      <c r="L465">
        <f ca="1">DAYS360(INDIRECT(C69&amp;ROW()),TODAY())</f>
        <v>738</v>
      </c>
      <c r="M465">
        <f ca="1">HYPERLINK(CONCATENATE("https://bugzilla.houston.hp.com:1181/bugzilla/show_bug.cgi?id=",INDIRECT(C70&amp;ROW())),INDIRECT(C70&amp;ROW()))</f>
        <v>60438</v>
      </c>
      <c r="N465">
        <v>60438</v>
      </c>
      <c r="O465" t="s">
        <v>59</v>
      </c>
      <c r="P465" t="s">
        <v>869</v>
      </c>
      <c r="Q465" t="s">
        <v>16</v>
      </c>
      <c r="R465" t="s">
        <v>579</v>
      </c>
      <c r="S465" t="s">
        <v>552</v>
      </c>
      <c r="U465" s="6">
        <v>42129.472060185188</v>
      </c>
      <c r="V465" t="s">
        <v>40</v>
      </c>
      <c r="W465" t="s">
        <v>764</v>
      </c>
      <c r="X465" s="6">
        <v>42108.32603009259</v>
      </c>
      <c r="Y465" t="s">
        <v>810</v>
      </c>
      <c r="AB465" t="s">
        <v>200</v>
      </c>
      <c r="AC465" t="s">
        <v>247</v>
      </c>
      <c r="AD465" t="s">
        <v>220</v>
      </c>
      <c r="AE465" t="s">
        <v>223</v>
      </c>
      <c r="AG465" t="s">
        <v>121</v>
      </c>
      <c r="AH465" t="s">
        <v>327</v>
      </c>
      <c r="AI465" t="s">
        <v>121</v>
      </c>
      <c r="AJ465" t="s">
        <v>716</v>
      </c>
      <c r="AK465" t="s">
        <v>121</v>
      </c>
    </row>
    <row r="466" spans="9:37" x14ac:dyDescent="0.3">
      <c r="I466">
        <f ca="1">IF(OR(INDIRECT(A73&amp;ROW())=B93,INDIRECT(A73&amp;ROW())=B94),1,IF(AND(INDIRECT(A73&amp;ROW())=B95,INDIRECT(A96&amp;ROW())=C93),1,IF(AND(INDIRECT(A73&amp;ROW())=B95,INDIRECT(A96&amp;ROW())=C94),1,0)))</f>
        <v>0</v>
      </c>
      <c r="J466">
        <f ca="1">IF(AND(INDIRECT(A73&amp;ROW())=B95,INDIRECT(A96&amp;ROW())=C95),1,IF(AND(INDIRECT(A73&amp;ROW())=B95,INDIRECT(A96&amp;ROW())=C96),1,0))</f>
        <v>0</v>
      </c>
      <c r="K466">
        <f ca="1">DAYS360(INDIRECT(C68&amp;ROW()),TODAY())</f>
        <v>717</v>
      </c>
      <c r="L466">
        <f ca="1">DAYS360(INDIRECT(C69&amp;ROW()),TODAY())</f>
        <v>738</v>
      </c>
      <c r="M466">
        <f ca="1">HYPERLINK(CONCATENATE("https://bugzilla.houston.hp.com:1181/bugzilla/show_bug.cgi?id=",INDIRECT(C70&amp;ROW())),INDIRECT(C70&amp;ROW()))</f>
        <v>60439</v>
      </c>
      <c r="N466">
        <v>60439</v>
      </c>
      <c r="O466" t="s">
        <v>59</v>
      </c>
      <c r="P466" t="s">
        <v>868</v>
      </c>
      <c r="Q466" t="s">
        <v>16</v>
      </c>
      <c r="R466" t="s">
        <v>248</v>
      </c>
      <c r="S466" t="s">
        <v>552</v>
      </c>
      <c r="U466" s="6">
        <v>42129.472037037034</v>
      </c>
      <c r="V466" t="s">
        <v>40</v>
      </c>
      <c r="W466" t="s">
        <v>764</v>
      </c>
      <c r="X466" s="6">
        <v>42108.326099537036</v>
      </c>
      <c r="Y466" t="s">
        <v>810</v>
      </c>
      <c r="AB466" t="s">
        <v>200</v>
      </c>
      <c r="AC466" t="s">
        <v>247</v>
      </c>
      <c r="AD466" t="s">
        <v>220</v>
      </c>
      <c r="AE466" t="s">
        <v>223</v>
      </c>
      <c r="AG466" t="s">
        <v>121</v>
      </c>
      <c r="AH466" t="s">
        <v>327</v>
      </c>
      <c r="AI466" t="s">
        <v>121</v>
      </c>
      <c r="AJ466" t="s">
        <v>716</v>
      </c>
      <c r="AK466" t="s">
        <v>121</v>
      </c>
    </row>
    <row r="467" spans="9:37" x14ac:dyDescent="0.3">
      <c r="I467">
        <f ca="1">IF(OR(INDIRECT(A73&amp;ROW())=B93,INDIRECT(A73&amp;ROW())=B94),1,IF(AND(INDIRECT(A73&amp;ROW())=B95,INDIRECT(A96&amp;ROW())=C93),1,IF(AND(INDIRECT(A73&amp;ROW())=B95,INDIRECT(A96&amp;ROW())=C94),1,0)))</f>
        <v>0</v>
      </c>
      <c r="J467">
        <f ca="1">IF(AND(INDIRECT(A73&amp;ROW())=B95,INDIRECT(A96&amp;ROW())=C95),1,IF(AND(INDIRECT(A73&amp;ROW())=B95,INDIRECT(A96&amp;ROW())=C96),1,0))</f>
        <v>1</v>
      </c>
      <c r="K467">
        <f ca="1">DAYS360(INDIRECT(C68&amp;ROW()),TODAY())</f>
        <v>696</v>
      </c>
      <c r="L467">
        <f ca="1">DAYS360(INDIRECT(C69&amp;ROW()),TODAY())</f>
        <v>738</v>
      </c>
      <c r="M467">
        <f ca="1">HYPERLINK(CONCATENATE("https://bugzilla.houston.hp.com:1181/bugzilla/show_bug.cgi?id=",INDIRECT(C70&amp;ROW())),INDIRECT(C70&amp;ROW()))</f>
        <v>60453</v>
      </c>
      <c r="N467">
        <v>60453</v>
      </c>
      <c r="O467" t="s">
        <v>45</v>
      </c>
      <c r="P467" t="s">
        <v>928</v>
      </c>
      <c r="Q467" t="s">
        <v>25</v>
      </c>
      <c r="R467" t="s">
        <v>251</v>
      </c>
      <c r="S467" t="s">
        <v>365</v>
      </c>
      <c r="T467" t="s">
        <v>48</v>
      </c>
      <c r="U467" s="6">
        <v>42150.966608796298</v>
      </c>
      <c r="V467" t="s">
        <v>35</v>
      </c>
      <c r="W467" t="s">
        <v>783</v>
      </c>
      <c r="X467" s="6">
        <v>42108.482164351852</v>
      </c>
      <c r="Y467" t="s">
        <v>246</v>
      </c>
      <c r="AB467" t="s">
        <v>201</v>
      </c>
      <c r="AC467" t="s">
        <v>247</v>
      </c>
      <c r="AD467" t="s">
        <v>227</v>
      </c>
      <c r="AE467" t="s">
        <v>226</v>
      </c>
      <c r="AG467" t="s">
        <v>121</v>
      </c>
      <c r="AH467" t="s">
        <v>327</v>
      </c>
      <c r="AI467" t="s">
        <v>121</v>
      </c>
      <c r="AJ467" t="s">
        <v>715</v>
      </c>
      <c r="AK467" t="s">
        <v>121</v>
      </c>
    </row>
    <row r="468" spans="9:37" x14ac:dyDescent="0.3">
      <c r="I468">
        <f ca="1">IF(OR(INDIRECT(A73&amp;ROW())=B93,INDIRECT(A73&amp;ROW())=B94),1,IF(AND(INDIRECT(A73&amp;ROW())=B95,INDIRECT(A96&amp;ROW())=C93),1,IF(AND(INDIRECT(A73&amp;ROW())=B95,INDIRECT(A96&amp;ROW())=C94),1,0)))</f>
        <v>0</v>
      </c>
      <c r="J468">
        <f ca="1">IF(AND(INDIRECT(A73&amp;ROW())=B95,INDIRECT(A96&amp;ROW())=C95),1,IF(AND(INDIRECT(A73&amp;ROW())=B95,INDIRECT(A96&amp;ROW())=C96),1,0))</f>
        <v>1</v>
      </c>
      <c r="K468">
        <f ca="1">DAYS360(INDIRECT(C68&amp;ROW()),TODAY())</f>
        <v>731</v>
      </c>
      <c r="L468">
        <f ca="1">DAYS360(INDIRECT(C69&amp;ROW()),TODAY())</f>
        <v>738</v>
      </c>
      <c r="M468">
        <f ca="1">HYPERLINK(CONCATENATE("https://bugzilla.houston.hp.com:1181/bugzilla/show_bug.cgi?id=",INDIRECT(C70&amp;ROW())),INDIRECT(C70&amp;ROW()))</f>
        <v>60454</v>
      </c>
      <c r="N468">
        <v>60454</v>
      </c>
      <c r="O468" t="s">
        <v>45</v>
      </c>
      <c r="P468" t="s">
        <v>891</v>
      </c>
      <c r="Q468" t="s">
        <v>25</v>
      </c>
      <c r="R468" t="s">
        <v>579</v>
      </c>
      <c r="S468" t="s">
        <v>552</v>
      </c>
      <c r="T468" t="s">
        <v>930</v>
      </c>
      <c r="U468" s="6">
        <v>42115.320833333331</v>
      </c>
      <c r="V468" t="s">
        <v>18</v>
      </c>
      <c r="W468" t="s">
        <v>783</v>
      </c>
      <c r="X468" s="6">
        <v>42108.498101851852</v>
      </c>
      <c r="Y468" t="s">
        <v>246</v>
      </c>
      <c r="AB468" t="s">
        <v>201</v>
      </c>
      <c r="AC468" t="s">
        <v>247</v>
      </c>
      <c r="AD468" t="s">
        <v>227</v>
      </c>
      <c r="AE468" t="s">
        <v>226</v>
      </c>
      <c r="AG468" t="s">
        <v>121</v>
      </c>
      <c r="AH468" t="s">
        <v>327</v>
      </c>
      <c r="AI468" t="s">
        <v>121</v>
      </c>
      <c r="AJ468" t="s">
        <v>716</v>
      </c>
      <c r="AK468" t="s">
        <v>121</v>
      </c>
    </row>
    <row r="469" spans="9:37" x14ac:dyDescent="0.3">
      <c r="I469">
        <f ca="1">IF(OR(INDIRECT(A73&amp;ROW())=B93,INDIRECT(A73&amp;ROW())=B94),1,IF(AND(INDIRECT(A73&amp;ROW())=B95,INDIRECT(A96&amp;ROW())=C93),1,IF(AND(INDIRECT(A73&amp;ROW())=B95,INDIRECT(A96&amp;ROW())=C94),1,0)))</f>
        <v>0</v>
      </c>
      <c r="J469">
        <f ca="1">IF(AND(INDIRECT(A73&amp;ROW())=B95,INDIRECT(A96&amp;ROW())=C95),1,IF(AND(INDIRECT(A73&amp;ROW())=B95,INDIRECT(A96&amp;ROW())=C96),1,0))</f>
        <v>1</v>
      </c>
      <c r="K469">
        <f ca="1">DAYS360(INDIRECT(C68&amp;ROW()),TODAY())</f>
        <v>735</v>
      </c>
      <c r="L469">
        <f ca="1">DAYS360(INDIRECT(C69&amp;ROW()),TODAY())</f>
        <v>738</v>
      </c>
      <c r="M469">
        <f ca="1">HYPERLINK(CONCATENATE("https://bugzilla.houston.hp.com:1181/bugzilla/show_bug.cgi?id=",INDIRECT(C70&amp;ROW())),INDIRECT(C70&amp;ROW()))</f>
        <v>60459</v>
      </c>
      <c r="N469">
        <v>60459</v>
      </c>
      <c r="O469" t="s">
        <v>36</v>
      </c>
      <c r="P469" t="s">
        <v>914</v>
      </c>
      <c r="Q469" t="s">
        <v>25</v>
      </c>
      <c r="R469" t="s">
        <v>579</v>
      </c>
      <c r="S469" t="s">
        <v>552</v>
      </c>
      <c r="T469" t="s">
        <v>921</v>
      </c>
      <c r="U469" s="6">
        <v>42111.313831018517</v>
      </c>
      <c r="V469" t="s">
        <v>18</v>
      </c>
      <c r="W469" t="s">
        <v>783</v>
      </c>
      <c r="X469" s="6">
        <v>42108.516365740739</v>
      </c>
      <c r="Y469" t="s">
        <v>846</v>
      </c>
      <c r="AB469" t="s">
        <v>201</v>
      </c>
      <c r="AC469" t="s">
        <v>247</v>
      </c>
      <c r="AD469" t="s">
        <v>222</v>
      </c>
      <c r="AE469" t="s">
        <v>221</v>
      </c>
      <c r="AG469" t="s">
        <v>121</v>
      </c>
      <c r="AH469" t="s">
        <v>327</v>
      </c>
      <c r="AI469" t="s">
        <v>121</v>
      </c>
      <c r="AJ469" t="s">
        <v>716</v>
      </c>
      <c r="AK469" t="s">
        <v>121</v>
      </c>
    </row>
    <row r="470" spans="9:37" x14ac:dyDescent="0.3">
      <c r="I470">
        <f ca="1">IF(OR(INDIRECT(A73&amp;ROW())=B93,INDIRECT(A73&amp;ROW())=B94),1,IF(AND(INDIRECT(A73&amp;ROW())=B95,INDIRECT(A96&amp;ROW())=C93),1,IF(AND(INDIRECT(A73&amp;ROW())=B95,INDIRECT(A96&amp;ROW())=C94),1,0)))</f>
        <v>0</v>
      </c>
      <c r="J470">
        <f ca="1">IF(AND(INDIRECT(A73&amp;ROW())=B95,INDIRECT(A96&amp;ROW())=C95),1,IF(AND(INDIRECT(A73&amp;ROW())=B95,INDIRECT(A96&amp;ROW())=C96),1,0))</f>
        <v>1</v>
      </c>
      <c r="K470">
        <f ca="1">DAYS360(INDIRECT(C68&amp;ROW()),TODAY())</f>
        <v>736</v>
      </c>
      <c r="L470">
        <f ca="1">DAYS360(INDIRECT(C69&amp;ROW()),TODAY())</f>
        <v>737</v>
      </c>
      <c r="M470">
        <f ca="1">HYPERLINK(CONCATENATE("https://bugzilla.houston.hp.com:1181/bugzilla/show_bug.cgi?id=",INDIRECT(C70&amp;ROW())),INDIRECT(C70&amp;ROW()))</f>
        <v>60556</v>
      </c>
      <c r="N470">
        <v>60556</v>
      </c>
      <c r="O470" t="s">
        <v>22</v>
      </c>
      <c r="P470" t="s">
        <v>913</v>
      </c>
      <c r="Q470" t="s">
        <v>25</v>
      </c>
      <c r="R470" t="s">
        <v>251</v>
      </c>
      <c r="S470" t="s">
        <v>253</v>
      </c>
      <c r="U470" s="6">
        <v>42110.727951388886</v>
      </c>
      <c r="V470" t="s">
        <v>18</v>
      </c>
      <c r="W470" t="s">
        <v>764</v>
      </c>
      <c r="X470" s="6">
        <v>42109.729837962965</v>
      </c>
      <c r="Y470" t="s">
        <v>246</v>
      </c>
      <c r="AB470" t="s">
        <v>201</v>
      </c>
      <c r="AC470" t="s">
        <v>247</v>
      </c>
      <c r="AD470" t="s">
        <v>222</v>
      </c>
      <c r="AE470" t="s">
        <v>232</v>
      </c>
      <c r="AG470" t="s">
        <v>121</v>
      </c>
      <c r="AH470" t="s">
        <v>327</v>
      </c>
      <c r="AI470" t="s">
        <v>121</v>
      </c>
      <c r="AJ470" t="s">
        <v>716</v>
      </c>
      <c r="AK470" t="s">
        <v>121</v>
      </c>
    </row>
    <row r="471" spans="9:37" x14ac:dyDescent="0.3">
      <c r="I471">
        <f ca="1">IF(OR(INDIRECT(A73&amp;ROW())=B93,INDIRECT(A73&amp;ROW())=B94),1,IF(AND(INDIRECT(A73&amp;ROW())=B95,INDIRECT(A96&amp;ROW())=C93),1,IF(AND(INDIRECT(A73&amp;ROW())=B95,INDIRECT(A96&amp;ROW())=C94),1,0)))</f>
        <v>1</v>
      </c>
      <c r="J471">
        <f ca="1">IF(AND(INDIRECT(A73&amp;ROW())=B95,INDIRECT(A96&amp;ROW())=C95),1,IF(AND(INDIRECT(A73&amp;ROW())=B95,INDIRECT(A96&amp;ROW())=C96),1,0))</f>
        <v>0</v>
      </c>
      <c r="K471">
        <f ca="1">DAYS360(INDIRECT(C68&amp;ROW()),TODAY())</f>
        <v>693</v>
      </c>
      <c r="L471">
        <f ca="1">DAYS360(INDIRECT(C69&amp;ROW()),TODAY())</f>
        <v>737</v>
      </c>
      <c r="M471">
        <f ca="1">HYPERLINK(CONCATENATE("https://bugzilla.houston.hp.com:1181/bugzilla/show_bug.cgi?id=",INDIRECT(C70&amp;ROW())),INDIRECT(C70&amp;ROW()))</f>
        <v>60557</v>
      </c>
      <c r="N471">
        <v>60557</v>
      </c>
      <c r="O471" t="s">
        <v>164</v>
      </c>
      <c r="P471" t="s">
        <v>912</v>
      </c>
      <c r="Q471" t="s">
        <v>25</v>
      </c>
      <c r="R471" t="s">
        <v>783</v>
      </c>
      <c r="S471" t="s">
        <v>552</v>
      </c>
      <c r="T471" t="s">
        <v>48</v>
      </c>
      <c r="U471" s="6">
        <v>42153.555891203701</v>
      </c>
      <c r="V471" t="s">
        <v>18</v>
      </c>
      <c r="W471" t="s">
        <v>57</v>
      </c>
      <c r="X471" s="6">
        <v>42109.740752314814</v>
      </c>
      <c r="Y471" t="s">
        <v>125</v>
      </c>
      <c r="AB471" t="s">
        <v>200</v>
      </c>
      <c r="AC471" t="s">
        <v>216</v>
      </c>
      <c r="AD471" t="s">
        <v>220</v>
      </c>
      <c r="AE471" t="s">
        <v>219</v>
      </c>
      <c r="AG471" t="s">
        <v>1082</v>
      </c>
      <c r="AH471" t="s">
        <v>328</v>
      </c>
      <c r="AI471" t="s">
        <v>121</v>
      </c>
      <c r="AJ471" t="s">
        <v>715</v>
      </c>
      <c r="AK471" t="s">
        <v>121</v>
      </c>
    </row>
    <row r="472" spans="9:37" x14ac:dyDescent="0.3">
      <c r="I472">
        <f ca="1">IF(OR(INDIRECT(A73&amp;ROW())=B93,INDIRECT(A73&amp;ROW())=B94),1,IF(AND(INDIRECT(A73&amp;ROW())=B95,INDIRECT(A96&amp;ROW())=C93),1,IF(AND(INDIRECT(A73&amp;ROW())=B95,INDIRECT(A96&amp;ROW())=C94),1,0)))</f>
        <v>0</v>
      </c>
      <c r="J472">
        <f ca="1">IF(AND(INDIRECT(A73&amp;ROW())=B95,INDIRECT(A96&amp;ROW())=C95),1,IF(AND(INDIRECT(A73&amp;ROW())=B95,INDIRECT(A96&amp;ROW())=C96),1,0))</f>
        <v>0</v>
      </c>
      <c r="K472">
        <f ca="1">DAYS360(INDIRECT(C68&amp;ROW()),TODAY())</f>
        <v>721</v>
      </c>
      <c r="L472">
        <f ca="1">DAYS360(INDIRECT(C69&amp;ROW()),TODAY())</f>
        <v>737</v>
      </c>
      <c r="M472">
        <f ca="1">HYPERLINK(CONCATENATE("https://bugzilla.houston.hp.com:1181/bugzilla/show_bug.cgi?id=",INDIRECT(C70&amp;ROW())),INDIRECT(C70&amp;ROW()))</f>
        <v>60559</v>
      </c>
      <c r="N472">
        <v>60559</v>
      </c>
      <c r="O472" t="s">
        <v>45</v>
      </c>
      <c r="P472" t="s">
        <v>911</v>
      </c>
      <c r="Q472" t="s">
        <v>16</v>
      </c>
      <c r="R472" t="s">
        <v>783</v>
      </c>
      <c r="S472" t="s">
        <v>552</v>
      </c>
      <c r="U472" s="6">
        <v>42125.449733796297</v>
      </c>
      <c r="V472" t="s">
        <v>18</v>
      </c>
      <c r="W472" t="s">
        <v>17</v>
      </c>
      <c r="X472" s="6">
        <v>42109.744675925926</v>
      </c>
      <c r="Y472" t="s">
        <v>122</v>
      </c>
      <c r="AB472" t="s">
        <v>200</v>
      </c>
      <c r="AC472" t="s">
        <v>247</v>
      </c>
      <c r="AD472" t="s">
        <v>227</v>
      </c>
      <c r="AE472" t="s">
        <v>226</v>
      </c>
      <c r="AG472" t="s">
        <v>121</v>
      </c>
      <c r="AH472" t="s">
        <v>327</v>
      </c>
      <c r="AI472" t="s">
        <v>121</v>
      </c>
      <c r="AJ472" t="s">
        <v>717</v>
      </c>
      <c r="AK472" t="s">
        <v>121</v>
      </c>
    </row>
    <row r="473" spans="9:37" x14ac:dyDescent="0.3">
      <c r="I473">
        <f ca="1">IF(OR(INDIRECT(A73&amp;ROW())=B93,INDIRECT(A73&amp;ROW())=B94),1,IF(AND(INDIRECT(A73&amp;ROW())=B95,INDIRECT(A96&amp;ROW())=C93),1,IF(AND(INDIRECT(A73&amp;ROW())=B95,INDIRECT(A96&amp;ROW())=C94),1,0)))</f>
        <v>1</v>
      </c>
      <c r="J473">
        <f ca="1">IF(AND(INDIRECT(A73&amp;ROW())=B95,INDIRECT(A96&amp;ROW())=C95),1,IF(AND(INDIRECT(A73&amp;ROW())=B95,INDIRECT(A96&amp;ROW())=C96),1,0))</f>
        <v>0</v>
      </c>
      <c r="K473">
        <f ca="1">DAYS360(INDIRECT(C68&amp;ROW()),TODAY())</f>
        <v>695</v>
      </c>
      <c r="L473">
        <f ca="1">DAYS360(INDIRECT(C69&amp;ROW()),TODAY())</f>
        <v>737</v>
      </c>
      <c r="M473">
        <f ca="1">HYPERLINK(CONCATENATE("https://bugzilla.houston.hp.com:1181/bugzilla/show_bug.cgi?id=",INDIRECT(C70&amp;ROW())),INDIRECT(C70&amp;ROW()))</f>
        <v>60560</v>
      </c>
      <c r="N473">
        <v>60560</v>
      </c>
      <c r="O473" t="s">
        <v>241</v>
      </c>
      <c r="P473" t="s">
        <v>910</v>
      </c>
      <c r="Q473" t="s">
        <v>25</v>
      </c>
      <c r="R473" t="s">
        <v>783</v>
      </c>
      <c r="S473" t="s">
        <v>552</v>
      </c>
      <c r="U473" s="6">
        <v>42151.347118055557</v>
      </c>
      <c r="V473" t="s">
        <v>18</v>
      </c>
      <c r="W473" t="s">
        <v>764</v>
      </c>
      <c r="X473" s="6">
        <v>42109.74486111111</v>
      </c>
      <c r="Y473" t="s">
        <v>122</v>
      </c>
      <c r="AB473" t="s">
        <v>200</v>
      </c>
      <c r="AC473" t="s">
        <v>247</v>
      </c>
      <c r="AD473" t="s">
        <v>222</v>
      </c>
      <c r="AE473" t="s">
        <v>232</v>
      </c>
      <c r="AG473" t="s">
        <v>337</v>
      </c>
      <c r="AH473" t="s">
        <v>327</v>
      </c>
      <c r="AI473" t="s">
        <v>121</v>
      </c>
      <c r="AJ473" t="s">
        <v>715</v>
      </c>
      <c r="AK473" t="s">
        <v>121</v>
      </c>
    </row>
    <row r="474" spans="9:37" x14ac:dyDescent="0.3">
      <c r="I474">
        <f ca="1">IF(OR(INDIRECT(A73&amp;ROW())=B93,INDIRECT(A73&amp;ROW())=B94),1,IF(AND(INDIRECT(A73&amp;ROW())=B95,INDIRECT(A96&amp;ROW())=C93),1,IF(AND(INDIRECT(A73&amp;ROW())=B95,INDIRECT(A96&amp;ROW())=C94),1,0)))</f>
        <v>0</v>
      </c>
      <c r="J474">
        <f ca="1">IF(AND(INDIRECT(A73&amp;ROW())=B95,INDIRECT(A96&amp;ROW())=C95),1,IF(AND(INDIRECT(A73&amp;ROW())=B95,INDIRECT(A96&amp;ROW())=C96),1,0))</f>
        <v>1</v>
      </c>
      <c r="K474">
        <f ca="1">DAYS360(INDIRECT(C68&amp;ROW()),TODAY())</f>
        <v>737</v>
      </c>
      <c r="L474">
        <f ca="1">DAYS360(INDIRECT(C69&amp;ROW()),TODAY())</f>
        <v>737</v>
      </c>
      <c r="M474">
        <f ca="1">HYPERLINK(CONCATENATE("https://bugzilla.houston.hp.com:1181/bugzilla/show_bug.cgi?id=",INDIRECT(C70&amp;ROW())),INDIRECT(C70&amp;ROW()))</f>
        <v>60562</v>
      </c>
      <c r="N474">
        <v>60562</v>
      </c>
      <c r="O474" t="s">
        <v>45</v>
      </c>
      <c r="P474" t="s">
        <v>909</v>
      </c>
      <c r="Q474" t="s">
        <v>25</v>
      </c>
      <c r="R474" t="s">
        <v>783</v>
      </c>
      <c r="S474" t="s">
        <v>552</v>
      </c>
      <c r="T474" t="s">
        <v>798</v>
      </c>
      <c r="U474" s="6">
        <v>42109.747708333336</v>
      </c>
      <c r="V474" t="s">
        <v>18</v>
      </c>
      <c r="W474" t="s">
        <v>783</v>
      </c>
      <c r="X474" s="6">
        <v>42109.747708333336</v>
      </c>
      <c r="Y474" t="s">
        <v>119</v>
      </c>
      <c r="AB474" t="s">
        <v>201</v>
      </c>
      <c r="AC474" t="s">
        <v>247</v>
      </c>
      <c r="AD474" t="s">
        <v>227</v>
      </c>
      <c r="AE474" t="s">
        <v>370</v>
      </c>
      <c r="AG474" t="s">
        <v>121</v>
      </c>
      <c r="AH474" t="s">
        <v>327</v>
      </c>
      <c r="AI474" t="s">
        <v>121</v>
      </c>
      <c r="AJ474" t="s">
        <v>716</v>
      </c>
      <c r="AK474" t="s">
        <v>121</v>
      </c>
    </row>
    <row r="475" spans="9:37" x14ac:dyDescent="0.3">
      <c r="I475">
        <f ca="1">IF(OR(INDIRECT(A73&amp;ROW())=B93,INDIRECT(A73&amp;ROW())=B94),1,IF(AND(INDIRECT(A73&amp;ROW())=B95,INDIRECT(A96&amp;ROW())=C93),1,IF(AND(INDIRECT(A73&amp;ROW())=B95,INDIRECT(A96&amp;ROW())=C94),1,0)))</f>
        <v>1</v>
      </c>
      <c r="J475">
        <f ca="1">IF(AND(INDIRECT(A73&amp;ROW())=B95,INDIRECT(A96&amp;ROW())=C95),1,IF(AND(INDIRECT(A73&amp;ROW())=B95,INDIRECT(A96&amp;ROW())=C96),1,0))</f>
        <v>0</v>
      </c>
      <c r="K475">
        <f ca="1">DAYS360(INDIRECT(C68&amp;ROW()),TODAY())</f>
        <v>693</v>
      </c>
      <c r="L475">
        <f ca="1">DAYS360(INDIRECT(C69&amp;ROW()),TODAY())</f>
        <v>737</v>
      </c>
      <c r="M475">
        <f ca="1">HYPERLINK(CONCATENATE("https://bugzilla.houston.hp.com:1181/bugzilla/show_bug.cgi?id=",INDIRECT(C70&amp;ROW())),INDIRECT(C70&amp;ROW()))</f>
        <v>60563</v>
      </c>
      <c r="N475">
        <v>60563</v>
      </c>
      <c r="O475" t="s">
        <v>21</v>
      </c>
      <c r="P475" t="s">
        <v>908</v>
      </c>
      <c r="Q475" t="s">
        <v>39</v>
      </c>
      <c r="R475" t="s">
        <v>783</v>
      </c>
      <c r="S475" t="s">
        <v>552</v>
      </c>
      <c r="U475" s="6">
        <v>42153.443287037036</v>
      </c>
      <c r="V475" t="s">
        <v>18</v>
      </c>
      <c r="W475" t="s">
        <v>17</v>
      </c>
      <c r="X475" s="6">
        <v>42109.747881944444</v>
      </c>
      <c r="Y475" t="s">
        <v>122</v>
      </c>
      <c r="Z475" t="s">
        <v>255</v>
      </c>
      <c r="AB475" t="s">
        <v>201</v>
      </c>
      <c r="AC475" t="s">
        <v>247</v>
      </c>
      <c r="AD475" t="s">
        <v>222</v>
      </c>
      <c r="AE475" t="s">
        <v>221</v>
      </c>
      <c r="AG475" t="s">
        <v>337</v>
      </c>
      <c r="AH475" t="s">
        <v>327</v>
      </c>
      <c r="AI475" t="s">
        <v>121</v>
      </c>
      <c r="AJ475" t="s">
        <v>715</v>
      </c>
      <c r="AK475" t="s">
        <v>1133</v>
      </c>
    </row>
    <row r="476" spans="9:37" x14ac:dyDescent="0.3">
      <c r="I476">
        <f ca="1">IF(OR(INDIRECT(A73&amp;ROW())=B93,INDIRECT(A73&amp;ROW())=B94),1,IF(AND(INDIRECT(A73&amp;ROW())=B95,INDIRECT(A96&amp;ROW())=C93),1,IF(AND(INDIRECT(A73&amp;ROW())=B95,INDIRECT(A96&amp;ROW())=C94),1,0)))</f>
        <v>0</v>
      </c>
      <c r="J476">
        <f ca="1">IF(AND(INDIRECT(A73&amp;ROW())=B95,INDIRECT(A96&amp;ROW())=C95),1,IF(AND(INDIRECT(A73&amp;ROW())=B95,INDIRECT(A96&amp;ROW())=C96),1,0))</f>
        <v>0</v>
      </c>
      <c r="K476">
        <f ca="1">DAYS360(INDIRECT(C68&amp;ROW()),TODAY())</f>
        <v>737</v>
      </c>
      <c r="L476">
        <f ca="1">DAYS360(INDIRECT(C69&amp;ROW()),TODAY())</f>
        <v>737</v>
      </c>
      <c r="M476">
        <f ca="1">HYPERLINK(CONCATENATE("https://bugzilla.houston.hp.com:1181/bugzilla/show_bug.cgi?id=",INDIRECT(C70&amp;ROW())),INDIRECT(C70&amp;ROW()))</f>
        <v>60564</v>
      </c>
      <c r="N476">
        <v>60564</v>
      </c>
      <c r="O476" t="s">
        <v>22</v>
      </c>
      <c r="P476" t="s">
        <v>907</v>
      </c>
      <c r="Q476" t="s">
        <v>16</v>
      </c>
      <c r="R476" t="s">
        <v>783</v>
      </c>
      <c r="S476" t="s">
        <v>552</v>
      </c>
      <c r="T476" t="s">
        <v>809</v>
      </c>
      <c r="U476" s="6">
        <v>42109.74800925926</v>
      </c>
      <c r="V476" t="s">
        <v>18</v>
      </c>
      <c r="W476" t="s">
        <v>764</v>
      </c>
      <c r="X476" s="6">
        <v>42109.74800925926</v>
      </c>
      <c r="Y476" t="s">
        <v>810</v>
      </c>
      <c r="AB476" t="s">
        <v>199</v>
      </c>
      <c r="AC476" t="s">
        <v>247</v>
      </c>
      <c r="AD476" t="s">
        <v>222</v>
      </c>
      <c r="AE476" t="s">
        <v>221</v>
      </c>
      <c r="AG476" t="s">
        <v>121</v>
      </c>
      <c r="AH476" t="s">
        <v>327</v>
      </c>
      <c r="AI476" t="s">
        <v>121</v>
      </c>
      <c r="AJ476" t="s">
        <v>716</v>
      </c>
      <c r="AK476" t="s">
        <v>121</v>
      </c>
    </row>
    <row r="477" spans="9:37" x14ac:dyDescent="0.3">
      <c r="I477">
        <f ca="1">IF(OR(INDIRECT(A73&amp;ROW())=B93,INDIRECT(A73&amp;ROW())=B94),1,IF(AND(INDIRECT(A73&amp;ROW())=B95,INDIRECT(A96&amp;ROW())=C93),1,IF(AND(INDIRECT(A73&amp;ROW())=B95,INDIRECT(A96&amp;ROW())=C94),1,0)))</f>
        <v>1</v>
      </c>
      <c r="J477">
        <f ca="1">IF(AND(INDIRECT(A73&amp;ROW())=B95,INDIRECT(A96&amp;ROW())=C95),1,IF(AND(INDIRECT(A73&amp;ROW())=B95,INDIRECT(A96&amp;ROW())=C96),1,0))</f>
        <v>0</v>
      </c>
      <c r="K477">
        <f ca="1">DAYS360(INDIRECT(C68&amp;ROW()),TODAY())</f>
        <v>695</v>
      </c>
      <c r="L477">
        <f ca="1">DAYS360(INDIRECT(C69&amp;ROW()),TODAY())</f>
        <v>737</v>
      </c>
      <c r="M477">
        <f ca="1">HYPERLINK(CONCATENATE("https://bugzilla.houston.hp.com:1181/bugzilla/show_bug.cgi?id=",INDIRECT(C70&amp;ROW())),INDIRECT(C70&amp;ROW()))</f>
        <v>60565</v>
      </c>
      <c r="N477">
        <v>60565</v>
      </c>
      <c r="O477" t="s">
        <v>22</v>
      </c>
      <c r="P477" t="s">
        <v>906</v>
      </c>
      <c r="Q477" t="s">
        <v>25</v>
      </c>
      <c r="R477" t="s">
        <v>783</v>
      </c>
      <c r="S477" t="s">
        <v>552</v>
      </c>
      <c r="T477" t="s">
        <v>1017</v>
      </c>
      <c r="U477" s="6">
        <v>42151.352835648147</v>
      </c>
      <c r="V477" t="s">
        <v>18</v>
      </c>
      <c r="W477" t="s">
        <v>783</v>
      </c>
      <c r="X477" s="6">
        <v>42109.748171296298</v>
      </c>
      <c r="Y477" t="s">
        <v>119</v>
      </c>
      <c r="AB477" t="s">
        <v>200</v>
      </c>
      <c r="AC477" t="s">
        <v>247</v>
      </c>
      <c r="AD477" t="s">
        <v>220</v>
      </c>
      <c r="AE477" t="s">
        <v>223</v>
      </c>
      <c r="AG477" t="s">
        <v>337</v>
      </c>
      <c r="AH477" t="s">
        <v>327</v>
      </c>
      <c r="AI477" t="s">
        <v>121</v>
      </c>
      <c r="AJ477" t="s">
        <v>715</v>
      </c>
      <c r="AK477" t="s">
        <v>121</v>
      </c>
    </row>
    <row r="478" spans="9:37" x14ac:dyDescent="0.3">
      <c r="I478">
        <f ca="1">IF(OR(INDIRECT(A73&amp;ROW())=B93,INDIRECT(A73&amp;ROW())=B94),1,IF(AND(INDIRECT(A73&amp;ROW())=B95,INDIRECT(A96&amp;ROW())=C93),1,IF(AND(INDIRECT(A73&amp;ROW())=B95,INDIRECT(A96&amp;ROW())=C94),1,0)))</f>
        <v>0</v>
      </c>
      <c r="J478">
        <f ca="1">IF(AND(INDIRECT(A73&amp;ROW())=B95,INDIRECT(A96&amp;ROW())=C95),1,IF(AND(INDIRECT(A73&amp;ROW())=B95,INDIRECT(A96&amp;ROW())=C96),1,0))</f>
        <v>1</v>
      </c>
      <c r="K478">
        <f ca="1">DAYS360(INDIRECT(C68&amp;ROW()),TODAY())</f>
        <v>737</v>
      </c>
      <c r="L478">
        <f ca="1">DAYS360(INDIRECT(C69&amp;ROW()),TODAY())</f>
        <v>737</v>
      </c>
      <c r="M478">
        <f ca="1">HYPERLINK(CONCATENATE("https://bugzilla.houston.hp.com:1181/bugzilla/show_bug.cgi?id=",INDIRECT(C70&amp;ROW())),INDIRECT(C70&amp;ROW()))</f>
        <v>60566</v>
      </c>
      <c r="N478">
        <v>60566</v>
      </c>
      <c r="O478" t="s">
        <v>22</v>
      </c>
      <c r="P478" t="s">
        <v>905</v>
      </c>
      <c r="Q478" t="s">
        <v>25</v>
      </c>
      <c r="R478" t="s">
        <v>783</v>
      </c>
      <c r="S478" t="s">
        <v>552</v>
      </c>
      <c r="U478" s="6">
        <v>42109.748472222222</v>
      </c>
      <c r="V478" t="s">
        <v>18</v>
      </c>
      <c r="W478" t="s">
        <v>17</v>
      </c>
      <c r="X478" s="6">
        <v>42109.748472222222</v>
      </c>
      <c r="Y478" t="s">
        <v>246</v>
      </c>
      <c r="AB478" t="s">
        <v>201</v>
      </c>
      <c r="AC478" t="s">
        <v>247</v>
      </c>
      <c r="AD478" t="s">
        <v>222</v>
      </c>
      <c r="AE478" t="s">
        <v>232</v>
      </c>
      <c r="AG478" t="s">
        <v>121</v>
      </c>
      <c r="AH478" t="s">
        <v>327</v>
      </c>
      <c r="AI478" t="s">
        <v>121</v>
      </c>
      <c r="AJ478" t="s">
        <v>716</v>
      </c>
      <c r="AK478" t="s">
        <v>121</v>
      </c>
    </row>
    <row r="479" spans="9:37" x14ac:dyDescent="0.3">
      <c r="I479">
        <f ca="1">IF(OR(INDIRECT(A73&amp;ROW())=B93,INDIRECT(A73&amp;ROW())=B94),1,IF(AND(INDIRECT(A73&amp;ROW())=B95,INDIRECT(A96&amp;ROW())=C93),1,IF(AND(INDIRECT(A73&amp;ROW())=B95,INDIRECT(A96&amp;ROW())=C94),1,0)))</f>
        <v>0</v>
      </c>
      <c r="J479">
        <f ca="1">IF(AND(INDIRECT(A73&amp;ROW())=B95,INDIRECT(A96&amp;ROW())=C95),1,IF(AND(INDIRECT(A73&amp;ROW())=B95,INDIRECT(A96&amp;ROW())=C96),1,0))</f>
        <v>1</v>
      </c>
      <c r="K479">
        <f ca="1">DAYS360(INDIRECT(C68&amp;ROW()),TODAY())</f>
        <v>736</v>
      </c>
      <c r="L479">
        <f ca="1">DAYS360(INDIRECT(C69&amp;ROW()),TODAY())</f>
        <v>737</v>
      </c>
      <c r="M479">
        <f ca="1">HYPERLINK(CONCATENATE("https://bugzilla.houston.hp.com:1181/bugzilla/show_bug.cgi?id=",INDIRECT(C70&amp;ROW())),INDIRECT(C70&amp;ROW()))</f>
        <v>60567</v>
      </c>
      <c r="N479">
        <v>60567</v>
      </c>
      <c r="O479" t="s">
        <v>66</v>
      </c>
      <c r="P479" t="s">
        <v>904</v>
      </c>
      <c r="Q479" t="s">
        <v>25</v>
      </c>
      <c r="R479" t="s">
        <v>783</v>
      </c>
      <c r="S479" t="s">
        <v>552</v>
      </c>
      <c r="U479" s="6">
        <v>42110.603171296294</v>
      </c>
      <c r="V479" t="s">
        <v>18</v>
      </c>
      <c r="W479" t="s">
        <v>17</v>
      </c>
      <c r="X479" s="6">
        <v>42109.748726851853</v>
      </c>
      <c r="Y479" t="s">
        <v>792</v>
      </c>
      <c r="AB479" t="s">
        <v>201</v>
      </c>
      <c r="AC479" t="s">
        <v>247</v>
      </c>
      <c r="AD479" t="s">
        <v>220</v>
      </c>
      <c r="AE479" t="s">
        <v>219</v>
      </c>
      <c r="AG479" t="s">
        <v>121</v>
      </c>
      <c r="AH479" t="s">
        <v>327</v>
      </c>
      <c r="AI479" t="s">
        <v>121</v>
      </c>
      <c r="AJ479" t="s">
        <v>717</v>
      </c>
      <c r="AK479" t="s">
        <v>121</v>
      </c>
    </row>
    <row r="480" spans="9:37" x14ac:dyDescent="0.3">
      <c r="I480">
        <f ca="1">IF(OR(INDIRECT(A73&amp;ROW())=B93,INDIRECT(A73&amp;ROW())=B94),1,IF(AND(INDIRECT(A73&amp;ROW())=B95,INDIRECT(A96&amp;ROW())=C93),1,IF(AND(INDIRECT(A73&amp;ROW())=B95,INDIRECT(A96&amp;ROW())=C94),1,0)))</f>
        <v>0</v>
      </c>
      <c r="J480">
        <f ca="1">IF(AND(INDIRECT(A73&amp;ROW())=B95,INDIRECT(A96&amp;ROW())=C95),1,IF(AND(INDIRECT(A73&amp;ROW())=B95,INDIRECT(A96&amp;ROW())=C96),1,0))</f>
        <v>0</v>
      </c>
      <c r="K480">
        <f ca="1">DAYS360(INDIRECT(C68&amp;ROW()),TODAY())</f>
        <v>737</v>
      </c>
      <c r="L480">
        <f ca="1">DAYS360(INDIRECT(C69&amp;ROW()),TODAY())</f>
        <v>737</v>
      </c>
      <c r="M480">
        <f ca="1">HYPERLINK(CONCATENATE("https://bugzilla.houston.hp.com:1181/bugzilla/show_bug.cgi?id=",INDIRECT(C70&amp;ROW())),INDIRECT(C70&amp;ROW()))</f>
        <v>60568</v>
      </c>
      <c r="N480">
        <v>60568</v>
      </c>
      <c r="O480" t="s">
        <v>56</v>
      </c>
      <c r="P480" t="s">
        <v>903</v>
      </c>
      <c r="Q480" t="s">
        <v>16</v>
      </c>
      <c r="R480" t="s">
        <v>783</v>
      </c>
      <c r="S480" t="s">
        <v>552</v>
      </c>
      <c r="U480" s="6">
        <v>42109.748993055553</v>
      </c>
      <c r="V480" t="s">
        <v>18</v>
      </c>
      <c r="W480" t="s">
        <v>783</v>
      </c>
      <c r="X480" s="6">
        <v>42109.748993055553</v>
      </c>
      <c r="Y480" t="s">
        <v>119</v>
      </c>
      <c r="AB480" t="s">
        <v>200</v>
      </c>
      <c r="AC480" t="s">
        <v>247</v>
      </c>
      <c r="AD480" t="s">
        <v>220</v>
      </c>
      <c r="AE480" t="s">
        <v>219</v>
      </c>
      <c r="AG480" t="s">
        <v>121</v>
      </c>
      <c r="AH480" t="s">
        <v>327</v>
      </c>
      <c r="AI480" t="s">
        <v>121</v>
      </c>
      <c r="AJ480" t="s">
        <v>716</v>
      </c>
      <c r="AK480" t="s">
        <v>121</v>
      </c>
    </row>
    <row r="481" spans="9:37" x14ac:dyDescent="0.3">
      <c r="I481">
        <f ca="1">IF(OR(INDIRECT(A73&amp;ROW())=B93,INDIRECT(A73&amp;ROW())=B94),1,IF(AND(INDIRECT(A73&amp;ROW())=B95,INDIRECT(A96&amp;ROW())=C93),1,IF(AND(INDIRECT(A73&amp;ROW())=B95,INDIRECT(A96&amp;ROW())=C94),1,0)))</f>
        <v>0</v>
      </c>
      <c r="J481">
        <f ca="1">IF(AND(INDIRECT(A73&amp;ROW())=B95,INDIRECT(A96&amp;ROW())=C95),1,IF(AND(INDIRECT(A73&amp;ROW())=B95,INDIRECT(A96&amp;ROW())=C96),1,0))</f>
        <v>1</v>
      </c>
      <c r="K481">
        <f ca="1">DAYS360(INDIRECT(C68&amp;ROW()),TODAY())</f>
        <v>717</v>
      </c>
      <c r="L481">
        <f ca="1">DAYS360(INDIRECT(C69&amp;ROW()),TODAY())</f>
        <v>737</v>
      </c>
      <c r="M481">
        <f ca="1">HYPERLINK(CONCATENATE("https://bugzilla.houston.hp.com:1181/bugzilla/show_bug.cgi?id=",INDIRECT(C70&amp;ROW())),INDIRECT(C70&amp;ROW()))</f>
        <v>60570</v>
      </c>
      <c r="N481">
        <v>60570</v>
      </c>
      <c r="O481" t="s">
        <v>241</v>
      </c>
      <c r="P481" t="s">
        <v>902</v>
      </c>
      <c r="Q481" t="s">
        <v>25</v>
      </c>
      <c r="R481" t="s">
        <v>783</v>
      </c>
      <c r="S481" t="s">
        <v>552</v>
      </c>
      <c r="U481" s="6">
        <v>42129.606886574074</v>
      </c>
      <c r="V481" t="s">
        <v>18</v>
      </c>
      <c r="W481" t="s">
        <v>783</v>
      </c>
      <c r="X481" s="6">
        <v>42109.749328703707</v>
      </c>
      <c r="Y481" t="s">
        <v>255</v>
      </c>
      <c r="AB481" t="s">
        <v>201</v>
      </c>
      <c r="AC481" t="s">
        <v>247</v>
      </c>
      <c r="AD481" t="s">
        <v>222</v>
      </c>
      <c r="AE481" t="s">
        <v>232</v>
      </c>
      <c r="AG481" t="s">
        <v>121</v>
      </c>
      <c r="AH481" t="s">
        <v>327</v>
      </c>
      <c r="AI481" t="s">
        <v>121</v>
      </c>
      <c r="AJ481" t="s">
        <v>716</v>
      </c>
      <c r="AK481" t="s">
        <v>121</v>
      </c>
    </row>
    <row r="482" spans="9:37" x14ac:dyDescent="0.3">
      <c r="I482">
        <f ca="1">IF(OR(INDIRECT(A73&amp;ROW())=B93,INDIRECT(A73&amp;ROW())=B94),1,IF(AND(INDIRECT(A73&amp;ROW())=B95,INDIRECT(A96&amp;ROW())=C93),1,IF(AND(INDIRECT(A73&amp;ROW())=B95,INDIRECT(A96&amp;ROW())=C94),1,0)))</f>
        <v>0</v>
      </c>
      <c r="J482">
        <f ca="1">IF(AND(INDIRECT(A73&amp;ROW())=B95,INDIRECT(A96&amp;ROW())=C95),1,IF(AND(INDIRECT(A73&amp;ROW())=B95,INDIRECT(A96&amp;ROW())=C96),1,0))</f>
        <v>1</v>
      </c>
      <c r="K482">
        <f ca="1">DAYS360(INDIRECT(C68&amp;ROW()),TODAY())</f>
        <v>737</v>
      </c>
      <c r="L482">
        <f ca="1">DAYS360(INDIRECT(C69&amp;ROW()),TODAY())</f>
        <v>737</v>
      </c>
      <c r="M482">
        <f ca="1">HYPERLINK(CONCATENATE("https://bugzilla.houston.hp.com:1181/bugzilla/show_bug.cgi?id=",INDIRECT(C70&amp;ROW())),INDIRECT(C70&amp;ROW()))</f>
        <v>60571</v>
      </c>
      <c r="N482">
        <v>60571</v>
      </c>
      <c r="O482" t="s">
        <v>22</v>
      </c>
      <c r="P482" t="s">
        <v>901</v>
      </c>
      <c r="Q482" t="s">
        <v>25</v>
      </c>
      <c r="R482" t="s">
        <v>783</v>
      </c>
      <c r="S482" t="s">
        <v>552</v>
      </c>
      <c r="U482" s="6">
        <v>42109.749872685185</v>
      </c>
      <c r="V482" t="s">
        <v>18</v>
      </c>
      <c r="W482" t="s">
        <v>764</v>
      </c>
      <c r="X482" s="6">
        <v>42109.749872685185</v>
      </c>
      <c r="Y482" t="s">
        <v>246</v>
      </c>
      <c r="AB482" t="s">
        <v>201</v>
      </c>
      <c r="AC482" t="s">
        <v>247</v>
      </c>
      <c r="AD482" t="s">
        <v>222</v>
      </c>
      <c r="AE482" t="s">
        <v>221</v>
      </c>
      <c r="AG482" t="s">
        <v>121</v>
      </c>
      <c r="AH482" t="s">
        <v>327</v>
      </c>
      <c r="AI482" t="s">
        <v>121</v>
      </c>
      <c r="AJ482" t="s">
        <v>716</v>
      </c>
      <c r="AK482" t="s">
        <v>121</v>
      </c>
    </row>
    <row r="483" spans="9:37" x14ac:dyDescent="0.3">
      <c r="I483">
        <f ca="1">IF(OR(INDIRECT(A73&amp;ROW())=B93,INDIRECT(A73&amp;ROW())=B94),1,IF(AND(INDIRECT(A73&amp;ROW())=B95,INDIRECT(A96&amp;ROW())=C93),1,IF(AND(INDIRECT(A73&amp;ROW())=B95,INDIRECT(A96&amp;ROW())=C94),1,0)))</f>
        <v>0</v>
      </c>
      <c r="J483">
        <f ca="1">IF(AND(INDIRECT(A73&amp;ROW())=B95,INDIRECT(A96&amp;ROW())=C95),1,IF(AND(INDIRECT(A73&amp;ROW())=B95,INDIRECT(A96&amp;ROW())=C96),1,0))</f>
        <v>1</v>
      </c>
      <c r="K483">
        <f ca="1">DAYS360(INDIRECT(C68&amp;ROW()),TODAY())</f>
        <v>737</v>
      </c>
      <c r="L483">
        <f ca="1">DAYS360(INDIRECT(C69&amp;ROW()),TODAY())</f>
        <v>737</v>
      </c>
      <c r="M483">
        <f ca="1">HYPERLINK(CONCATENATE("https://bugzilla.houston.hp.com:1181/bugzilla/show_bug.cgi?id=",INDIRECT(C70&amp;ROW())),INDIRECT(C70&amp;ROW()))</f>
        <v>60572</v>
      </c>
      <c r="N483">
        <v>60572</v>
      </c>
      <c r="O483" t="s">
        <v>241</v>
      </c>
      <c r="P483" t="s">
        <v>900</v>
      </c>
      <c r="Q483" t="s">
        <v>25</v>
      </c>
      <c r="R483" t="s">
        <v>783</v>
      </c>
      <c r="S483" t="s">
        <v>552</v>
      </c>
      <c r="U483" s="6">
        <v>42109.750057870369</v>
      </c>
      <c r="V483" t="s">
        <v>18</v>
      </c>
      <c r="W483" t="s">
        <v>764</v>
      </c>
      <c r="X483" s="6">
        <v>42109.750057870369</v>
      </c>
      <c r="Y483" t="s">
        <v>122</v>
      </c>
      <c r="AB483" t="s">
        <v>201</v>
      </c>
      <c r="AC483" t="s">
        <v>247</v>
      </c>
      <c r="AD483" t="s">
        <v>220</v>
      </c>
      <c r="AE483" t="s">
        <v>219</v>
      </c>
      <c r="AG483" t="s">
        <v>121</v>
      </c>
      <c r="AH483" t="s">
        <v>327</v>
      </c>
      <c r="AI483" t="s">
        <v>121</v>
      </c>
      <c r="AJ483" t="s">
        <v>716</v>
      </c>
      <c r="AK483" t="s">
        <v>121</v>
      </c>
    </row>
    <row r="484" spans="9:37" x14ac:dyDescent="0.3">
      <c r="I484">
        <f ca="1">IF(OR(INDIRECT(A73&amp;ROW())=B93,INDIRECT(A73&amp;ROW())=B94),1,IF(AND(INDIRECT(A73&amp;ROW())=B95,INDIRECT(A96&amp;ROW())=C93),1,IF(AND(INDIRECT(A73&amp;ROW())=B95,INDIRECT(A96&amp;ROW())=C94),1,0)))</f>
        <v>0</v>
      </c>
      <c r="J484">
        <f ca="1">IF(AND(INDIRECT(A73&amp;ROW())=B95,INDIRECT(A96&amp;ROW())=C95),1,IF(AND(INDIRECT(A73&amp;ROW())=B95,INDIRECT(A96&amp;ROW())=C96),1,0))</f>
        <v>1</v>
      </c>
      <c r="K484">
        <f ca="1">DAYS360(INDIRECT(C68&amp;ROW()),TODAY())</f>
        <v>733</v>
      </c>
      <c r="L484">
        <f ca="1">DAYS360(INDIRECT(C69&amp;ROW()),TODAY())</f>
        <v>737</v>
      </c>
      <c r="M484">
        <f ca="1">HYPERLINK(CONCATENATE("https://bugzilla.houston.hp.com:1181/bugzilla/show_bug.cgi?id=",INDIRECT(C70&amp;ROW())),INDIRECT(C70&amp;ROW()))</f>
        <v>60574</v>
      </c>
      <c r="N484">
        <v>60574</v>
      </c>
      <c r="O484" t="s">
        <v>22</v>
      </c>
      <c r="P484" t="s">
        <v>899</v>
      </c>
      <c r="Q484" t="s">
        <v>25</v>
      </c>
      <c r="R484" t="s">
        <v>783</v>
      </c>
      <c r="S484" t="s">
        <v>552</v>
      </c>
      <c r="U484" s="6">
        <v>42113.690659722219</v>
      </c>
      <c r="V484" t="s">
        <v>18</v>
      </c>
      <c r="W484" t="s">
        <v>764</v>
      </c>
      <c r="X484" s="6">
        <v>42109.750763888886</v>
      </c>
      <c r="Y484" t="s">
        <v>810</v>
      </c>
      <c r="AB484" t="s">
        <v>201</v>
      </c>
      <c r="AC484" t="s">
        <v>247</v>
      </c>
      <c r="AD484" t="s">
        <v>222</v>
      </c>
      <c r="AE484" t="s">
        <v>232</v>
      </c>
      <c r="AG484" t="s">
        <v>121</v>
      </c>
      <c r="AH484" t="s">
        <v>327</v>
      </c>
      <c r="AI484" t="s">
        <v>121</v>
      </c>
      <c r="AJ484" t="s">
        <v>717</v>
      </c>
      <c r="AK484" t="s">
        <v>121</v>
      </c>
    </row>
    <row r="485" spans="9:37" x14ac:dyDescent="0.3">
      <c r="I485">
        <f ca="1">IF(OR(INDIRECT(A73&amp;ROW())=B93,INDIRECT(A73&amp;ROW())=B94),1,IF(AND(INDIRECT(A73&amp;ROW())=B95,INDIRECT(A96&amp;ROW())=C93),1,IF(AND(INDIRECT(A73&amp;ROW())=B95,INDIRECT(A96&amp;ROW())=C94),1,0)))</f>
        <v>0</v>
      </c>
      <c r="J485">
        <f ca="1">IF(AND(INDIRECT(A73&amp;ROW())=B95,INDIRECT(A96&amp;ROW())=C95),1,IF(AND(INDIRECT(A73&amp;ROW())=B95,INDIRECT(A96&amp;ROW())=C96),1,0))</f>
        <v>0</v>
      </c>
      <c r="K485">
        <f ca="1">DAYS360(INDIRECT(C68&amp;ROW()),TODAY())</f>
        <v>737</v>
      </c>
      <c r="L485">
        <f ca="1">DAYS360(INDIRECT(C69&amp;ROW()),TODAY())</f>
        <v>737</v>
      </c>
      <c r="M485">
        <f ca="1">HYPERLINK(CONCATENATE("https://bugzilla.houston.hp.com:1181/bugzilla/show_bug.cgi?id=",INDIRECT(C70&amp;ROW())),INDIRECT(C70&amp;ROW()))</f>
        <v>60576</v>
      </c>
      <c r="N485">
        <v>60576</v>
      </c>
      <c r="O485" t="s">
        <v>56</v>
      </c>
      <c r="P485" t="s">
        <v>898</v>
      </c>
      <c r="Q485" t="s">
        <v>16</v>
      </c>
      <c r="R485" t="s">
        <v>783</v>
      </c>
      <c r="S485" t="s">
        <v>552</v>
      </c>
      <c r="U485" s="6">
        <v>42109.751527777778</v>
      </c>
      <c r="V485" t="s">
        <v>18</v>
      </c>
      <c r="W485" t="s">
        <v>764</v>
      </c>
      <c r="X485" s="6">
        <v>42109.751527777778</v>
      </c>
      <c r="Y485" t="s">
        <v>810</v>
      </c>
      <c r="AB485" t="s">
        <v>201</v>
      </c>
      <c r="AC485" t="s">
        <v>247</v>
      </c>
      <c r="AD485" t="s">
        <v>220</v>
      </c>
      <c r="AE485" t="s">
        <v>223</v>
      </c>
      <c r="AG485" t="s">
        <v>121</v>
      </c>
      <c r="AH485" t="s">
        <v>327</v>
      </c>
      <c r="AI485" t="s">
        <v>121</v>
      </c>
      <c r="AJ485" t="s">
        <v>717</v>
      </c>
      <c r="AK485" t="s">
        <v>121</v>
      </c>
    </row>
    <row r="486" spans="9:37" x14ac:dyDescent="0.3">
      <c r="I486">
        <f ca="1">IF(OR(INDIRECT(A73&amp;ROW())=B93,INDIRECT(A73&amp;ROW())=B94),1,IF(AND(INDIRECT(A73&amp;ROW())=B95,INDIRECT(A96&amp;ROW())=C93),1,IF(AND(INDIRECT(A73&amp;ROW())=B95,INDIRECT(A96&amp;ROW())=C94),1,0)))</f>
        <v>0</v>
      </c>
      <c r="J486">
        <f ca="1">IF(AND(INDIRECT(A73&amp;ROW())=B95,INDIRECT(A96&amp;ROW())=C95),1,IF(AND(INDIRECT(A73&amp;ROW())=B95,INDIRECT(A96&amp;ROW())=C96),1,0))</f>
        <v>1</v>
      </c>
      <c r="K486">
        <f ca="1">DAYS360(INDIRECT(C68&amp;ROW()),TODAY())</f>
        <v>735</v>
      </c>
      <c r="L486">
        <f ca="1">DAYS360(INDIRECT(C69&amp;ROW()),TODAY())</f>
        <v>736</v>
      </c>
      <c r="M486">
        <f ca="1">HYPERLINK(CONCATENATE("https://bugzilla.houston.hp.com:1181/bugzilla/show_bug.cgi?id=",INDIRECT(C70&amp;ROW())),INDIRECT(C70&amp;ROW()))</f>
        <v>60594</v>
      </c>
      <c r="N486">
        <v>60594</v>
      </c>
      <c r="O486" t="s">
        <v>36</v>
      </c>
      <c r="P486" t="s">
        <v>897</v>
      </c>
      <c r="Q486" t="s">
        <v>25</v>
      </c>
      <c r="R486" t="s">
        <v>579</v>
      </c>
      <c r="S486" t="s">
        <v>552</v>
      </c>
      <c r="T486" t="s">
        <v>922</v>
      </c>
      <c r="U486" s="6">
        <v>42111.314699074072</v>
      </c>
      <c r="V486" t="s">
        <v>18</v>
      </c>
      <c r="W486" t="s">
        <v>764</v>
      </c>
      <c r="X486" s="6">
        <v>42110.0156712963</v>
      </c>
      <c r="Y486" t="s">
        <v>246</v>
      </c>
      <c r="AB486" t="s">
        <v>201</v>
      </c>
      <c r="AC486" t="s">
        <v>247</v>
      </c>
      <c r="AD486" t="s">
        <v>222</v>
      </c>
      <c r="AE486" t="s">
        <v>232</v>
      </c>
      <c r="AG486" t="s">
        <v>121</v>
      </c>
      <c r="AH486" t="s">
        <v>327</v>
      </c>
      <c r="AI486" t="s">
        <v>121</v>
      </c>
      <c r="AJ486" t="s">
        <v>716</v>
      </c>
      <c r="AK486" t="s">
        <v>121</v>
      </c>
    </row>
    <row r="487" spans="9:37" x14ac:dyDescent="0.3">
      <c r="I487">
        <f ca="1">IF(OR(INDIRECT(A73&amp;ROW())=B93,INDIRECT(A73&amp;ROW())=B94),1,IF(AND(INDIRECT(A73&amp;ROW())=B95,INDIRECT(A96&amp;ROW())=C93),1,IF(AND(INDIRECT(A73&amp;ROW())=B95,INDIRECT(A96&amp;ROW())=C94),1,0)))</f>
        <v>0</v>
      </c>
      <c r="J487">
        <f ca="1">IF(AND(INDIRECT(A73&amp;ROW())=B95,INDIRECT(A96&amp;ROW())=C95),1,IF(AND(INDIRECT(A73&amp;ROW())=B95,INDIRECT(A96&amp;ROW())=C96),1,0))</f>
        <v>1</v>
      </c>
      <c r="K487">
        <f ca="1">DAYS360(INDIRECT(C68&amp;ROW()),TODAY())</f>
        <v>736</v>
      </c>
      <c r="L487">
        <f ca="1">DAYS360(INDIRECT(C69&amp;ROW()),TODAY())</f>
        <v>736</v>
      </c>
      <c r="M487">
        <f ca="1">HYPERLINK(CONCATENATE("https://bugzilla.houston.hp.com:1181/bugzilla/show_bug.cgi?id=",INDIRECT(C70&amp;ROW())),INDIRECT(C70&amp;ROW()))</f>
        <v>60595</v>
      </c>
      <c r="N487">
        <v>60595</v>
      </c>
      <c r="O487" t="s">
        <v>36</v>
      </c>
      <c r="P487" t="s">
        <v>896</v>
      </c>
      <c r="Q487" t="s">
        <v>25</v>
      </c>
      <c r="R487" t="s">
        <v>248</v>
      </c>
      <c r="S487" t="s">
        <v>552</v>
      </c>
      <c r="U487" s="6">
        <v>42110.564016203702</v>
      </c>
      <c r="V487" t="s">
        <v>18</v>
      </c>
      <c r="W487" t="s">
        <v>764</v>
      </c>
      <c r="X487" s="6">
        <v>42110.015717592592</v>
      </c>
      <c r="Y487" t="s">
        <v>246</v>
      </c>
      <c r="AB487" t="s">
        <v>201</v>
      </c>
      <c r="AC487" t="s">
        <v>247</v>
      </c>
      <c r="AD487" t="s">
        <v>222</v>
      </c>
      <c r="AE487" t="s">
        <v>232</v>
      </c>
      <c r="AG487" t="s">
        <v>121</v>
      </c>
      <c r="AH487" t="s">
        <v>327</v>
      </c>
      <c r="AI487" t="s">
        <v>121</v>
      </c>
      <c r="AJ487" t="s">
        <v>715</v>
      </c>
      <c r="AK487" t="s">
        <v>121</v>
      </c>
    </row>
    <row r="488" spans="9:37" x14ac:dyDescent="0.3">
      <c r="I488">
        <f ca="1">IF(OR(INDIRECT(A73&amp;ROW())=B93,INDIRECT(A73&amp;ROW())=B94),1,IF(AND(INDIRECT(A73&amp;ROW())=B95,INDIRECT(A96&amp;ROW())=C93),1,IF(AND(INDIRECT(A73&amp;ROW())=B95,INDIRECT(A96&amp;ROW())=C94),1,0)))</f>
        <v>0</v>
      </c>
      <c r="J488">
        <f ca="1">IF(AND(INDIRECT(A73&amp;ROW())=B95,INDIRECT(A96&amp;ROW())=C95),1,IF(AND(INDIRECT(A73&amp;ROW())=B95,INDIRECT(A96&amp;ROW())=C96),1,0))</f>
        <v>0</v>
      </c>
      <c r="K488">
        <f ca="1">DAYS360(INDIRECT(C68&amp;ROW()),TODAY())</f>
        <v>717</v>
      </c>
      <c r="L488">
        <f ca="1">DAYS360(INDIRECT(C69&amp;ROW()),TODAY())</f>
        <v>736</v>
      </c>
      <c r="M488">
        <f ca="1">HYPERLINK(CONCATENATE("https://bugzilla.houston.hp.com:1181/bugzilla/show_bug.cgi?id=",INDIRECT(C70&amp;ROW())),INDIRECT(C70&amp;ROW()))</f>
        <v>60601</v>
      </c>
      <c r="N488">
        <v>60601</v>
      </c>
      <c r="O488" t="s">
        <v>66</v>
      </c>
      <c r="P488" t="s">
        <v>895</v>
      </c>
      <c r="Q488" t="s">
        <v>16</v>
      </c>
      <c r="R488" t="s">
        <v>251</v>
      </c>
      <c r="S488" t="s">
        <v>516</v>
      </c>
      <c r="U488" s="6">
        <v>42129.381342592591</v>
      </c>
      <c r="V488" t="s">
        <v>35</v>
      </c>
      <c r="W488" t="s">
        <v>783</v>
      </c>
      <c r="X488" s="6">
        <v>42110.021886574075</v>
      </c>
      <c r="Y488" t="s">
        <v>786</v>
      </c>
      <c r="AB488" t="s">
        <v>200</v>
      </c>
      <c r="AC488" t="s">
        <v>247</v>
      </c>
      <c r="AD488" t="s">
        <v>220</v>
      </c>
      <c r="AE488" t="s">
        <v>219</v>
      </c>
      <c r="AG488" t="s">
        <v>121</v>
      </c>
      <c r="AH488" t="s">
        <v>327</v>
      </c>
      <c r="AI488" t="s">
        <v>121</v>
      </c>
      <c r="AJ488" t="s">
        <v>716</v>
      </c>
      <c r="AK488" t="s">
        <v>121</v>
      </c>
    </row>
    <row r="489" spans="9:37" x14ac:dyDescent="0.3">
      <c r="I489">
        <f ca="1">IF(OR(INDIRECT(A73&amp;ROW())=B93,INDIRECT(A73&amp;ROW())=B94),1,IF(AND(INDIRECT(A73&amp;ROW())=B95,INDIRECT(A96&amp;ROW())=C93),1,IF(AND(INDIRECT(A73&amp;ROW())=B95,INDIRECT(A96&amp;ROW())=C94),1,0)))</f>
        <v>0</v>
      </c>
      <c r="J489">
        <f ca="1">IF(AND(INDIRECT(A73&amp;ROW())=B95,INDIRECT(A96&amp;ROW())=C95),1,IF(AND(INDIRECT(A73&amp;ROW())=B95,INDIRECT(A96&amp;ROW())=C96),1,0))</f>
        <v>0</v>
      </c>
      <c r="K489">
        <f ca="1">DAYS360(INDIRECT(C68&amp;ROW()),TODAY())</f>
        <v>717</v>
      </c>
      <c r="L489">
        <f ca="1">DAYS360(INDIRECT(C69&amp;ROW()),TODAY())</f>
        <v>736</v>
      </c>
      <c r="M489">
        <f ca="1">HYPERLINK(CONCATENATE("https://bugzilla.houston.hp.com:1181/bugzilla/show_bug.cgi?id=",INDIRECT(C70&amp;ROW())),INDIRECT(C70&amp;ROW()))</f>
        <v>60668</v>
      </c>
      <c r="N489">
        <v>60668</v>
      </c>
      <c r="O489" t="s">
        <v>56</v>
      </c>
      <c r="P489" t="s">
        <v>894</v>
      </c>
      <c r="Q489" t="s">
        <v>16</v>
      </c>
      <c r="R489" t="s">
        <v>248</v>
      </c>
      <c r="S489" t="s">
        <v>552</v>
      </c>
      <c r="U489" s="6">
        <v>42129.317453703705</v>
      </c>
      <c r="V489" t="s">
        <v>18</v>
      </c>
      <c r="W489" t="s">
        <v>783</v>
      </c>
      <c r="X489" s="6">
        <v>42110.515844907408</v>
      </c>
      <c r="Y489" t="s">
        <v>786</v>
      </c>
      <c r="AB489" t="s">
        <v>200</v>
      </c>
      <c r="AC489" t="s">
        <v>247</v>
      </c>
      <c r="AD489" t="s">
        <v>220</v>
      </c>
      <c r="AE489" t="s">
        <v>219</v>
      </c>
      <c r="AG489" t="s">
        <v>121</v>
      </c>
      <c r="AH489" t="s">
        <v>327</v>
      </c>
      <c r="AI489" t="s">
        <v>121</v>
      </c>
      <c r="AJ489" t="s">
        <v>716</v>
      </c>
      <c r="AK489" t="s">
        <v>121</v>
      </c>
    </row>
    <row r="490" spans="9:37" x14ac:dyDescent="0.3">
      <c r="I490">
        <f ca="1">IF(OR(INDIRECT(A73&amp;ROW())=B93,INDIRECT(A73&amp;ROW())=B94),1,IF(AND(INDIRECT(A73&amp;ROW())=B95,INDIRECT(A96&amp;ROW())=C93),1,IF(AND(INDIRECT(A73&amp;ROW())=B95,INDIRECT(A96&amp;ROW())=C94),1,0)))</f>
        <v>0</v>
      </c>
      <c r="J490">
        <f ca="1">IF(AND(INDIRECT(A73&amp;ROW())=B95,INDIRECT(A96&amp;ROW())=C95),1,IF(AND(INDIRECT(A73&amp;ROW())=B95,INDIRECT(A96&amp;ROW())=C96),1,0))</f>
        <v>0</v>
      </c>
      <c r="K490">
        <f ca="1">DAYS360(INDIRECT(C68&amp;ROW()),TODAY())</f>
        <v>723</v>
      </c>
      <c r="L490">
        <f ca="1">DAYS360(INDIRECT(C69&amp;ROW()),TODAY())</f>
        <v>735</v>
      </c>
      <c r="M490">
        <f ca="1">HYPERLINK(CONCATENATE("https://bugzilla.houston.hp.com:1181/bugzilla/show_bug.cgi?id=",INDIRECT(C70&amp;ROW())),INDIRECT(C70&amp;ROW()))</f>
        <v>60724</v>
      </c>
      <c r="N490">
        <v>60724</v>
      </c>
      <c r="O490" t="s">
        <v>66</v>
      </c>
      <c r="P490" t="s">
        <v>926</v>
      </c>
      <c r="Q490" t="s">
        <v>16</v>
      </c>
      <c r="R490" t="s">
        <v>251</v>
      </c>
      <c r="S490" t="s">
        <v>33</v>
      </c>
      <c r="T490" t="s">
        <v>966</v>
      </c>
      <c r="U490" s="6">
        <v>42123.410983796297</v>
      </c>
      <c r="V490" t="s">
        <v>18</v>
      </c>
      <c r="W490" t="s">
        <v>783</v>
      </c>
      <c r="X490" s="6">
        <v>42111.162210648145</v>
      </c>
      <c r="Y490" t="s">
        <v>119</v>
      </c>
      <c r="AB490" t="s">
        <v>200</v>
      </c>
      <c r="AC490" t="s">
        <v>247</v>
      </c>
      <c r="AD490" t="s">
        <v>220</v>
      </c>
      <c r="AE490" t="s">
        <v>223</v>
      </c>
      <c r="AG490" t="s">
        <v>121</v>
      </c>
      <c r="AH490" t="s">
        <v>327</v>
      </c>
      <c r="AI490" t="s">
        <v>121</v>
      </c>
      <c r="AJ490" t="s">
        <v>716</v>
      </c>
      <c r="AK490" t="s">
        <v>121</v>
      </c>
    </row>
    <row r="491" spans="9:37" x14ac:dyDescent="0.3">
      <c r="I491">
        <f ca="1">IF(OR(INDIRECT(A73&amp;ROW())=B93,INDIRECT(A73&amp;ROW())=B94),1,IF(AND(INDIRECT(A73&amp;ROW())=B95,INDIRECT(A96&amp;ROW())=C93),1,IF(AND(INDIRECT(A73&amp;ROW())=B95,INDIRECT(A96&amp;ROW())=C94),1,0)))</f>
        <v>0</v>
      </c>
      <c r="J491">
        <f ca="1">IF(AND(INDIRECT(A73&amp;ROW())=B95,INDIRECT(A96&amp;ROW())=C95),1,IF(AND(INDIRECT(A73&amp;ROW())=B95,INDIRECT(A96&amp;ROW())=C96),1,0))</f>
        <v>0</v>
      </c>
      <c r="K491">
        <f ca="1">DAYS360(INDIRECT(C68&amp;ROW()),TODAY())</f>
        <v>722</v>
      </c>
      <c r="L491">
        <f ca="1">DAYS360(INDIRECT(C69&amp;ROW()),TODAY())</f>
        <v>735</v>
      </c>
      <c r="M491">
        <f ca="1">HYPERLINK(CONCATENATE("https://bugzilla.houston.hp.com:1181/bugzilla/show_bug.cgi?id=",INDIRECT(C70&amp;ROW())),INDIRECT(C70&amp;ROW()))</f>
        <v>60736</v>
      </c>
      <c r="N491">
        <v>60736</v>
      </c>
      <c r="O491" t="s">
        <v>59</v>
      </c>
      <c r="P491" t="s">
        <v>925</v>
      </c>
      <c r="Q491" t="s">
        <v>16</v>
      </c>
      <c r="R491" t="s">
        <v>579</v>
      </c>
      <c r="S491" t="s">
        <v>552</v>
      </c>
      <c r="T491" t="s">
        <v>931</v>
      </c>
      <c r="U491" s="6">
        <v>42124.682789351849</v>
      </c>
      <c r="V491" t="s">
        <v>18</v>
      </c>
      <c r="W491" t="s">
        <v>783</v>
      </c>
      <c r="X491" s="6">
        <v>42111.305185185185</v>
      </c>
      <c r="Y491" t="s">
        <v>119</v>
      </c>
      <c r="AB491" t="s">
        <v>200</v>
      </c>
      <c r="AC491" t="s">
        <v>247</v>
      </c>
      <c r="AD491" t="s">
        <v>220</v>
      </c>
      <c r="AE491" t="s">
        <v>223</v>
      </c>
      <c r="AG491" t="s">
        <v>121</v>
      </c>
      <c r="AH491" t="s">
        <v>327</v>
      </c>
      <c r="AI491" t="s">
        <v>121</v>
      </c>
      <c r="AJ491" t="s">
        <v>716</v>
      </c>
      <c r="AK491" t="s">
        <v>121</v>
      </c>
    </row>
    <row r="492" spans="9:37" x14ac:dyDescent="0.3">
      <c r="I492">
        <f ca="1">IF(OR(INDIRECT(A73&amp;ROW())=B93,INDIRECT(A73&amp;ROW())=B94),1,IF(AND(INDIRECT(A73&amp;ROW())=B95,INDIRECT(A96&amp;ROW())=C93),1,IF(AND(INDIRECT(A73&amp;ROW())=B95,INDIRECT(A96&amp;ROW())=C94),1,0)))</f>
        <v>0</v>
      </c>
      <c r="J492">
        <f ca="1">IF(AND(INDIRECT(A73&amp;ROW())=B95,INDIRECT(A96&amp;ROW())=C95),1,IF(AND(INDIRECT(A73&amp;ROW())=B95,INDIRECT(A96&amp;ROW())=C96),1,0))</f>
        <v>0</v>
      </c>
      <c r="K492">
        <f ca="1">DAYS360(INDIRECT(C68&amp;ROW()),TODAY())</f>
        <v>722</v>
      </c>
      <c r="L492">
        <f ca="1">DAYS360(INDIRECT(C69&amp;ROW()),TODAY())</f>
        <v>735</v>
      </c>
      <c r="M492">
        <f ca="1">HYPERLINK(CONCATENATE("https://bugzilla.houston.hp.com:1181/bugzilla/show_bug.cgi?id=",INDIRECT(C70&amp;ROW())),INDIRECT(C70&amp;ROW()))</f>
        <v>60737</v>
      </c>
      <c r="N492">
        <v>60737</v>
      </c>
      <c r="O492" t="s">
        <v>36</v>
      </c>
      <c r="P492" t="s">
        <v>924</v>
      </c>
      <c r="Q492" t="s">
        <v>16</v>
      </c>
      <c r="R492" t="s">
        <v>783</v>
      </c>
      <c r="S492" t="s">
        <v>552</v>
      </c>
      <c r="U492" s="6">
        <v>42124.682754629626</v>
      </c>
      <c r="V492" t="s">
        <v>18</v>
      </c>
      <c r="W492" t="s">
        <v>783</v>
      </c>
      <c r="X492" s="6">
        <v>42111.305277777778</v>
      </c>
      <c r="Y492" t="s">
        <v>119</v>
      </c>
      <c r="AB492" t="s">
        <v>200</v>
      </c>
      <c r="AC492" t="s">
        <v>247</v>
      </c>
      <c r="AD492" t="s">
        <v>220</v>
      </c>
      <c r="AE492" t="s">
        <v>223</v>
      </c>
      <c r="AG492" t="s">
        <v>121</v>
      </c>
      <c r="AH492" t="s">
        <v>327</v>
      </c>
      <c r="AI492" t="s">
        <v>121</v>
      </c>
      <c r="AJ492" t="s">
        <v>716</v>
      </c>
      <c r="AK492" t="s">
        <v>121</v>
      </c>
    </row>
    <row r="493" spans="9:37" x14ac:dyDescent="0.3">
      <c r="I493">
        <f ca="1">IF(OR(INDIRECT(A73&amp;ROW())=B93,INDIRECT(A73&amp;ROW())=B94),1,IF(AND(INDIRECT(A73&amp;ROW())=B95,INDIRECT(A96&amp;ROW())=C93),1,IF(AND(INDIRECT(A73&amp;ROW())=B95,INDIRECT(A96&amp;ROW())=C94),1,0)))</f>
        <v>0</v>
      </c>
      <c r="J493">
        <f ca="1">IF(AND(INDIRECT(A73&amp;ROW())=B95,INDIRECT(A96&amp;ROW())=C95),1,IF(AND(INDIRECT(A73&amp;ROW())=B95,INDIRECT(A96&amp;ROW())=C96),1,0))</f>
        <v>0</v>
      </c>
      <c r="K493">
        <f ca="1">DAYS360(INDIRECT(C68&amp;ROW()),TODAY())</f>
        <v>722</v>
      </c>
      <c r="L493">
        <f ca="1">DAYS360(INDIRECT(C69&amp;ROW()),TODAY())</f>
        <v>735</v>
      </c>
      <c r="M493">
        <f ca="1">HYPERLINK(CONCATENATE("https://bugzilla.houston.hp.com:1181/bugzilla/show_bug.cgi?id=",INDIRECT(C70&amp;ROW())),INDIRECT(C70&amp;ROW()))</f>
        <v>60738</v>
      </c>
      <c r="N493">
        <v>60738</v>
      </c>
      <c r="O493" t="s">
        <v>36</v>
      </c>
      <c r="P493" t="s">
        <v>923</v>
      </c>
      <c r="Q493" t="s">
        <v>16</v>
      </c>
      <c r="R493" t="s">
        <v>248</v>
      </c>
      <c r="S493" t="s">
        <v>552</v>
      </c>
      <c r="U493" s="6">
        <v>42124.68277777778</v>
      </c>
      <c r="V493" t="s">
        <v>18</v>
      </c>
      <c r="W493" t="s">
        <v>783</v>
      </c>
      <c r="X493" s="6">
        <v>42111.305381944447</v>
      </c>
      <c r="Y493" t="s">
        <v>119</v>
      </c>
      <c r="AB493" t="s">
        <v>200</v>
      </c>
      <c r="AC493" t="s">
        <v>247</v>
      </c>
      <c r="AD493" t="s">
        <v>220</v>
      </c>
      <c r="AE493" t="s">
        <v>223</v>
      </c>
      <c r="AG493" t="s">
        <v>121</v>
      </c>
      <c r="AH493" t="s">
        <v>327</v>
      </c>
      <c r="AI493" t="s">
        <v>121</v>
      </c>
      <c r="AJ493" t="s">
        <v>716</v>
      </c>
      <c r="AK493" t="s">
        <v>121</v>
      </c>
    </row>
    <row r="494" spans="9:37" x14ac:dyDescent="0.3">
      <c r="I494">
        <f ca="1">IF(OR(INDIRECT(A73&amp;ROW())=B93,INDIRECT(A73&amp;ROW())=B94),1,IF(AND(INDIRECT(A73&amp;ROW())=B95,INDIRECT(A96&amp;ROW())=C93),1,IF(AND(INDIRECT(A73&amp;ROW())=B95,INDIRECT(A96&amp;ROW())=C94),1,0)))</f>
        <v>0</v>
      </c>
      <c r="J494">
        <f ca="1">IF(AND(INDIRECT(A73&amp;ROW())=B95,INDIRECT(A96&amp;ROW())=C95),1,IF(AND(INDIRECT(A73&amp;ROW())=B95,INDIRECT(A96&amp;ROW())=C96),1,0))</f>
        <v>1</v>
      </c>
      <c r="K494">
        <f ca="1">DAYS360(INDIRECT(C68&amp;ROW()),TODAY())</f>
        <v>731</v>
      </c>
      <c r="L494">
        <f ca="1">DAYS360(INDIRECT(C69&amp;ROW()),TODAY())</f>
        <v>731</v>
      </c>
      <c r="M494">
        <f ca="1">HYPERLINK(CONCATENATE("https://bugzilla.houston.hp.com:1181/bugzilla/show_bug.cgi?id=",INDIRECT(C70&amp;ROW())),INDIRECT(C70&amp;ROW()))</f>
        <v>60985</v>
      </c>
      <c r="N494">
        <v>60985</v>
      </c>
      <c r="O494" t="s">
        <v>56</v>
      </c>
      <c r="P494" t="s">
        <v>965</v>
      </c>
      <c r="Q494" t="s">
        <v>25</v>
      </c>
      <c r="R494" t="s">
        <v>783</v>
      </c>
      <c r="S494" t="s">
        <v>552</v>
      </c>
      <c r="U494" s="6">
        <v>42115.683530092596</v>
      </c>
      <c r="V494" t="s">
        <v>18</v>
      </c>
      <c r="W494" t="s">
        <v>173</v>
      </c>
      <c r="X494" s="6">
        <v>42115.683530092596</v>
      </c>
      <c r="Y494" t="s">
        <v>255</v>
      </c>
      <c r="AB494" t="s">
        <v>201</v>
      </c>
      <c r="AC494" t="s">
        <v>216</v>
      </c>
      <c r="AD494" t="s">
        <v>222</v>
      </c>
      <c r="AE494" t="s">
        <v>221</v>
      </c>
      <c r="AG494" t="s">
        <v>121</v>
      </c>
      <c r="AH494" t="s">
        <v>327</v>
      </c>
      <c r="AI494" t="s">
        <v>362</v>
      </c>
      <c r="AJ494" t="s">
        <v>716</v>
      </c>
      <c r="AK494" t="s">
        <v>121</v>
      </c>
    </row>
    <row r="495" spans="9:37" x14ac:dyDescent="0.3">
      <c r="I495">
        <f ca="1">IF(OR(INDIRECT(A73&amp;ROW())=B93,INDIRECT(A73&amp;ROW())=B94),1,IF(AND(INDIRECT(A73&amp;ROW())=B95,INDIRECT(A96&amp;ROW())=C93),1,IF(AND(INDIRECT(A73&amp;ROW())=B95,INDIRECT(A96&amp;ROW())=C94),1,0)))</f>
        <v>0</v>
      </c>
      <c r="J495">
        <f ca="1">IF(AND(INDIRECT(A73&amp;ROW())=B95,INDIRECT(A96&amp;ROW())=C95),1,IF(AND(INDIRECT(A73&amp;ROW())=B95,INDIRECT(A96&amp;ROW())=C96),1,0))</f>
        <v>1</v>
      </c>
      <c r="K495">
        <f ca="1">DAYS360(INDIRECT(C68&amp;ROW()),TODAY())</f>
        <v>724</v>
      </c>
      <c r="L495">
        <f ca="1">DAYS360(INDIRECT(C69&amp;ROW()),TODAY())</f>
        <v>731</v>
      </c>
      <c r="M495">
        <f ca="1">HYPERLINK(CONCATENATE("https://bugzilla.houston.hp.com:1181/bugzilla/show_bug.cgi?id=",INDIRECT(C70&amp;ROW())),INDIRECT(C70&amp;ROW()))</f>
        <v>60997</v>
      </c>
      <c r="N495">
        <v>60997</v>
      </c>
      <c r="O495" t="s">
        <v>42</v>
      </c>
      <c r="P495" t="s">
        <v>964</v>
      </c>
      <c r="Q495" t="s">
        <v>25</v>
      </c>
      <c r="R495" t="s">
        <v>783</v>
      </c>
      <c r="S495" t="s">
        <v>552</v>
      </c>
      <c r="U495" s="6">
        <v>42122.35119212963</v>
      </c>
      <c r="V495" t="s">
        <v>18</v>
      </c>
      <c r="W495" t="s">
        <v>17</v>
      </c>
      <c r="X495" s="6">
        <v>42115.90828703704</v>
      </c>
      <c r="Y495" t="s">
        <v>122</v>
      </c>
      <c r="AB495" t="s">
        <v>201</v>
      </c>
      <c r="AC495" t="s">
        <v>247</v>
      </c>
      <c r="AD495" t="s">
        <v>220</v>
      </c>
      <c r="AE495" t="s">
        <v>219</v>
      </c>
      <c r="AG495" t="s">
        <v>121</v>
      </c>
      <c r="AH495" t="s">
        <v>64</v>
      </c>
      <c r="AI495" t="s">
        <v>121</v>
      </c>
      <c r="AJ495" t="s">
        <v>716</v>
      </c>
      <c r="AK495" t="s">
        <v>121</v>
      </c>
    </row>
    <row r="496" spans="9:37" x14ac:dyDescent="0.3">
      <c r="I496">
        <f ca="1">IF(OR(INDIRECT(A73&amp;ROW())=B93,INDIRECT(A73&amp;ROW())=B94),1,IF(AND(INDIRECT(A73&amp;ROW())=B95,INDIRECT(A96&amp;ROW())=C93),1,IF(AND(INDIRECT(A73&amp;ROW())=B95,INDIRECT(A96&amp;ROW())=C94),1,0)))</f>
        <v>0</v>
      </c>
      <c r="J496">
        <f ca="1">IF(AND(INDIRECT(A73&amp;ROW())=B95,INDIRECT(A96&amp;ROW())=C95),1,IF(AND(INDIRECT(A73&amp;ROW())=B95,INDIRECT(A96&amp;ROW())=C96),1,0))</f>
        <v>1</v>
      </c>
      <c r="K496">
        <f ca="1">DAYS360(INDIRECT(C68&amp;ROW()),TODAY())</f>
        <v>731</v>
      </c>
      <c r="L496">
        <f ca="1">DAYS360(INDIRECT(C69&amp;ROW()),TODAY())</f>
        <v>731</v>
      </c>
      <c r="M496">
        <f ca="1">HYPERLINK(CONCATENATE("https://bugzilla.houston.hp.com:1181/bugzilla/show_bug.cgi?id=",INDIRECT(C70&amp;ROW())),INDIRECT(C70&amp;ROW()))</f>
        <v>61003</v>
      </c>
      <c r="N496">
        <v>61003</v>
      </c>
      <c r="O496" t="s">
        <v>50</v>
      </c>
      <c r="P496" t="s">
        <v>963</v>
      </c>
      <c r="Q496" t="s">
        <v>25</v>
      </c>
      <c r="R496" t="s">
        <v>783</v>
      </c>
      <c r="S496" t="s">
        <v>552</v>
      </c>
      <c r="U496" s="6">
        <v>42115.913449074076</v>
      </c>
      <c r="V496" t="s">
        <v>18</v>
      </c>
      <c r="W496" t="s">
        <v>17</v>
      </c>
      <c r="X496" s="6">
        <v>42115.913449074076</v>
      </c>
      <c r="Y496" t="s">
        <v>119</v>
      </c>
      <c r="AA496" t="s">
        <v>184</v>
      </c>
      <c r="AB496" t="s">
        <v>201</v>
      </c>
      <c r="AC496" t="s">
        <v>247</v>
      </c>
      <c r="AD496" t="s">
        <v>227</v>
      </c>
      <c r="AE496" t="s">
        <v>370</v>
      </c>
      <c r="AG496" t="s">
        <v>121</v>
      </c>
      <c r="AH496" t="s">
        <v>327</v>
      </c>
      <c r="AI496" t="s">
        <v>121</v>
      </c>
      <c r="AJ496" t="s">
        <v>716</v>
      </c>
      <c r="AK496" t="s">
        <v>121</v>
      </c>
    </row>
    <row r="497" spans="9:37" x14ac:dyDescent="0.3">
      <c r="I497">
        <f ca="1">IF(OR(INDIRECT(A73&amp;ROW())=B93,INDIRECT(A73&amp;ROW())=B94),1,IF(AND(INDIRECT(A73&amp;ROW())=B95,INDIRECT(A96&amp;ROW())=C93),1,IF(AND(INDIRECT(A73&amp;ROW())=B95,INDIRECT(A96&amp;ROW())=C94),1,0)))</f>
        <v>1</v>
      </c>
      <c r="J497">
        <f ca="1">IF(AND(INDIRECT(A73&amp;ROW())=B95,INDIRECT(A96&amp;ROW())=C95),1,IF(AND(INDIRECT(A73&amp;ROW())=B95,INDIRECT(A96&amp;ROW())=C96),1,0))</f>
        <v>0</v>
      </c>
      <c r="K497">
        <f ca="1">DAYS360(INDIRECT(C68&amp;ROW()),TODAY())</f>
        <v>702</v>
      </c>
      <c r="L497">
        <f ca="1">DAYS360(INDIRECT(C69&amp;ROW()),TODAY())</f>
        <v>730</v>
      </c>
      <c r="M497">
        <f ca="1">HYPERLINK(CONCATENATE("https://bugzilla.houston.hp.com:1181/bugzilla/show_bug.cgi?id=",INDIRECT(C70&amp;ROW())),INDIRECT(C70&amp;ROW()))</f>
        <v>61076</v>
      </c>
      <c r="N497">
        <v>61076</v>
      </c>
      <c r="O497" t="s">
        <v>94</v>
      </c>
      <c r="P497" t="s">
        <v>962</v>
      </c>
      <c r="Q497" t="s">
        <v>39</v>
      </c>
      <c r="R497" t="s">
        <v>783</v>
      </c>
      <c r="S497" t="s">
        <v>552</v>
      </c>
      <c r="T497" t="s">
        <v>782</v>
      </c>
      <c r="U497" s="6">
        <v>42144.539004629631</v>
      </c>
      <c r="V497" t="s">
        <v>18</v>
      </c>
      <c r="W497" t="s">
        <v>17</v>
      </c>
      <c r="X497" s="6">
        <v>42116.453148148146</v>
      </c>
      <c r="Y497" t="s">
        <v>119</v>
      </c>
      <c r="AB497" t="s">
        <v>201</v>
      </c>
      <c r="AC497" t="s">
        <v>121</v>
      </c>
      <c r="AD497" t="s">
        <v>227</v>
      </c>
      <c r="AE497" t="s">
        <v>231</v>
      </c>
      <c r="AG497" t="s">
        <v>337</v>
      </c>
      <c r="AH497" t="s">
        <v>64</v>
      </c>
      <c r="AI497" t="s">
        <v>121</v>
      </c>
      <c r="AJ497" t="s">
        <v>715</v>
      </c>
      <c r="AK497" t="s">
        <v>121</v>
      </c>
    </row>
    <row r="498" spans="9:37" x14ac:dyDescent="0.3">
      <c r="I498">
        <f ca="1">IF(OR(INDIRECT(A73&amp;ROW())=B93,INDIRECT(A73&amp;ROW())=B94),1,IF(AND(INDIRECT(A73&amp;ROW())=B95,INDIRECT(A96&amp;ROW())=C93),1,IF(AND(INDIRECT(A73&amp;ROW())=B95,INDIRECT(A96&amp;ROW())=C94),1,0)))</f>
        <v>1</v>
      </c>
      <c r="J498">
        <f ca="1">IF(AND(INDIRECT(A73&amp;ROW())=B95,INDIRECT(A96&amp;ROW())=C95),1,IF(AND(INDIRECT(A73&amp;ROW())=B95,INDIRECT(A96&amp;ROW())=C96),1,0))</f>
        <v>0</v>
      </c>
      <c r="K498">
        <f ca="1">DAYS360(INDIRECT(C68&amp;ROW()),TODAY())</f>
        <v>702</v>
      </c>
      <c r="L498">
        <f ca="1">DAYS360(INDIRECT(C69&amp;ROW()),TODAY())</f>
        <v>730</v>
      </c>
      <c r="M498">
        <f ca="1">HYPERLINK(CONCATENATE("https://bugzilla.houston.hp.com:1181/bugzilla/show_bug.cgi?id=",INDIRECT(C70&amp;ROW())),INDIRECT(C70&amp;ROW()))</f>
        <v>61077</v>
      </c>
      <c r="N498">
        <v>61077</v>
      </c>
      <c r="O498" t="s">
        <v>298</v>
      </c>
      <c r="P498" t="s">
        <v>961</v>
      </c>
      <c r="Q498" t="s">
        <v>39</v>
      </c>
      <c r="R498" t="s">
        <v>783</v>
      </c>
      <c r="S498" t="s">
        <v>552</v>
      </c>
      <c r="U498" s="6">
        <v>42144.523518518516</v>
      </c>
      <c r="V498" t="s">
        <v>18</v>
      </c>
      <c r="W498" t="s">
        <v>17</v>
      </c>
      <c r="X498" s="6">
        <v>42116.453344907408</v>
      </c>
      <c r="Y498" t="s">
        <v>119</v>
      </c>
      <c r="AB498" t="s">
        <v>201</v>
      </c>
      <c r="AC498" t="s">
        <v>247</v>
      </c>
      <c r="AD498" t="s">
        <v>227</v>
      </c>
      <c r="AE498" t="s">
        <v>231</v>
      </c>
      <c r="AG498" t="s">
        <v>337</v>
      </c>
      <c r="AH498" t="s">
        <v>327</v>
      </c>
      <c r="AI498" t="s">
        <v>121</v>
      </c>
      <c r="AJ498" t="s">
        <v>715</v>
      </c>
      <c r="AK498" t="s">
        <v>121</v>
      </c>
    </row>
    <row r="499" spans="9:37" x14ac:dyDescent="0.3">
      <c r="I499">
        <f ca="1">IF(OR(INDIRECT(A73&amp;ROW())=B93,INDIRECT(A73&amp;ROW())=B94),1,IF(AND(INDIRECT(A73&amp;ROW())=B95,INDIRECT(A96&amp;ROW())=C93),1,IF(AND(INDIRECT(A73&amp;ROW())=B95,INDIRECT(A96&amp;ROW())=C94),1,0)))</f>
        <v>1</v>
      </c>
      <c r="J499">
        <f ca="1">IF(AND(INDIRECT(A73&amp;ROW())=B95,INDIRECT(A96&amp;ROW())=C95),1,IF(AND(INDIRECT(A73&amp;ROW())=B95,INDIRECT(A96&amp;ROW())=C96),1,0))</f>
        <v>0</v>
      </c>
      <c r="K499">
        <f ca="1">DAYS360(INDIRECT(C68&amp;ROW()),TODAY())</f>
        <v>702</v>
      </c>
      <c r="L499">
        <f ca="1">DAYS360(INDIRECT(C69&amp;ROW()),TODAY())</f>
        <v>730</v>
      </c>
      <c r="M499">
        <f ca="1">HYPERLINK(CONCATENATE("https://bugzilla.houston.hp.com:1181/bugzilla/show_bug.cgi?id=",INDIRECT(C70&amp;ROW())),INDIRECT(C70&amp;ROW()))</f>
        <v>61079</v>
      </c>
      <c r="N499">
        <v>61079</v>
      </c>
      <c r="O499" t="s">
        <v>241</v>
      </c>
      <c r="P499" t="s">
        <v>960</v>
      </c>
      <c r="Q499" t="s">
        <v>39</v>
      </c>
      <c r="R499" t="s">
        <v>783</v>
      </c>
      <c r="S499" t="s">
        <v>552</v>
      </c>
      <c r="T499" t="s">
        <v>932</v>
      </c>
      <c r="U499" s="6">
        <v>42144.52003472222</v>
      </c>
      <c r="V499" t="s">
        <v>18</v>
      </c>
      <c r="W499" t="s">
        <v>17</v>
      </c>
      <c r="X499" s="6">
        <v>42116.453750000001</v>
      </c>
      <c r="Y499" t="s">
        <v>535</v>
      </c>
      <c r="AB499" t="s">
        <v>201</v>
      </c>
      <c r="AC499" t="s">
        <v>247</v>
      </c>
      <c r="AD499" t="s">
        <v>222</v>
      </c>
      <c r="AE499" t="s">
        <v>221</v>
      </c>
      <c r="AG499" t="s">
        <v>588</v>
      </c>
      <c r="AH499" t="s">
        <v>327</v>
      </c>
      <c r="AI499" t="s">
        <v>121</v>
      </c>
      <c r="AJ499" t="s">
        <v>715</v>
      </c>
      <c r="AK499" t="s">
        <v>121</v>
      </c>
    </row>
    <row r="500" spans="9:37" x14ac:dyDescent="0.3">
      <c r="I500">
        <f ca="1">IF(OR(INDIRECT(A73&amp;ROW())=B93,INDIRECT(A73&amp;ROW())=B94),1,IF(AND(INDIRECT(A73&amp;ROW())=B95,INDIRECT(A96&amp;ROW())=C93),1,IF(AND(INDIRECT(A73&amp;ROW())=B95,INDIRECT(A96&amp;ROW())=C94),1,0)))</f>
        <v>1</v>
      </c>
      <c r="J500">
        <f ca="1">IF(AND(INDIRECT(A73&amp;ROW())=B95,INDIRECT(A96&amp;ROW())=C95),1,IF(AND(INDIRECT(A73&amp;ROW())=B95,INDIRECT(A96&amp;ROW())=C96),1,0))</f>
        <v>0</v>
      </c>
      <c r="K500">
        <f ca="1">DAYS360(INDIRECT(C68&amp;ROW()),TODAY())</f>
        <v>702</v>
      </c>
      <c r="L500">
        <f ca="1">DAYS360(INDIRECT(C69&amp;ROW()),TODAY())</f>
        <v>730</v>
      </c>
      <c r="M500">
        <f ca="1">HYPERLINK(CONCATENATE("https://bugzilla.houston.hp.com:1181/bugzilla/show_bug.cgi?id=",INDIRECT(C70&amp;ROW())),INDIRECT(C70&amp;ROW()))</f>
        <v>61082</v>
      </c>
      <c r="N500">
        <v>61082</v>
      </c>
      <c r="O500" t="s">
        <v>50</v>
      </c>
      <c r="P500" t="s">
        <v>959</v>
      </c>
      <c r="Q500" t="s">
        <v>25</v>
      </c>
      <c r="R500" t="s">
        <v>783</v>
      </c>
      <c r="S500" t="s">
        <v>552</v>
      </c>
      <c r="T500" t="s">
        <v>782</v>
      </c>
      <c r="U500" s="6">
        <v>42144.538310185184</v>
      </c>
      <c r="V500" t="s">
        <v>18</v>
      </c>
      <c r="W500" t="s">
        <v>17</v>
      </c>
      <c r="X500" s="6">
        <v>42116.454432870371</v>
      </c>
      <c r="Y500" t="s">
        <v>119</v>
      </c>
      <c r="AB500" t="s">
        <v>200</v>
      </c>
      <c r="AC500" t="s">
        <v>121</v>
      </c>
      <c r="AD500" t="s">
        <v>227</v>
      </c>
      <c r="AE500" t="s">
        <v>226</v>
      </c>
      <c r="AG500" t="s">
        <v>337</v>
      </c>
      <c r="AH500" t="s">
        <v>327</v>
      </c>
      <c r="AI500" t="s">
        <v>362</v>
      </c>
      <c r="AJ500" t="s">
        <v>715</v>
      </c>
      <c r="AK500" t="s">
        <v>121</v>
      </c>
    </row>
    <row r="501" spans="9:37" x14ac:dyDescent="0.3">
      <c r="I501">
        <f ca="1">IF(OR(INDIRECT(A73&amp;ROW())=B93,INDIRECT(A73&amp;ROW())=B94),1,IF(AND(INDIRECT(A73&amp;ROW())=B95,INDIRECT(A96&amp;ROW())=C93),1,IF(AND(INDIRECT(A73&amp;ROW())=B95,INDIRECT(A96&amp;ROW())=C94),1,0)))</f>
        <v>1</v>
      </c>
      <c r="J501">
        <f ca="1">IF(AND(INDIRECT(A73&amp;ROW())=B95,INDIRECT(A96&amp;ROW())=C95),1,IF(AND(INDIRECT(A73&amp;ROW())=B95,INDIRECT(A96&amp;ROW())=C96),1,0))</f>
        <v>0</v>
      </c>
      <c r="K501">
        <f ca="1">DAYS360(INDIRECT(C68&amp;ROW()),TODAY())</f>
        <v>694</v>
      </c>
      <c r="L501">
        <f ca="1">DAYS360(INDIRECT(C69&amp;ROW()),TODAY())</f>
        <v>730</v>
      </c>
      <c r="M501">
        <f ca="1">HYPERLINK(CONCATENATE("https://bugzilla.houston.hp.com:1181/bugzilla/show_bug.cgi?id=",INDIRECT(C70&amp;ROW())),INDIRECT(C70&amp;ROW()))</f>
        <v>61083</v>
      </c>
      <c r="N501">
        <v>61083</v>
      </c>
      <c r="O501" t="s">
        <v>66</v>
      </c>
      <c r="P501" t="s">
        <v>958</v>
      </c>
      <c r="Q501" t="s">
        <v>39</v>
      </c>
      <c r="R501" t="s">
        <v>783</v>
      </c>
      <c r="S501" t="s">
        <v>552</v>
      </c>
      <c r="T501" t="s">
        <v>782</v>
      </c>
      <c r="U501" s="6">
        <v>42152.526944444442</v>
      </c>
      <c r="V501" t="s">
        <v>18</v>
      </c>
      <c r="W501" t="s">
        <v>17</v>
      </c>
      <c r="X501" s="6">
        <v>42116.454814814817</v>
      </c>
      <c r="Y501" t="s">
        <v>122</v>
      </c>
      <c r="AB501" t="s">
        <v>201</v>
      </c>
      <c r="AC501" t="s">
        <v>247</v>
      </c>
      <c r="AD501" t="s">
        <v>220</v>
      </c>
      <c r="AE501" t="s">
        <v>219</v>
      </c>
      <c r="AG501" t="s">
        <v>588</v>
      </c>
      <c r="AH501" t="s">
        <v>327</v>
      </c>
      <c r="AI501" t="s">
        <v>121</v>
      </c>
      <c r="AJ501" t="s">
        <v>715</v>
      </c>
      <c r="AK501" t="s">
        <v>121</v>
      </c>
    </row>
    <row r="502" spans="9:37" x14ac:dyDescent="0.3">
      <c r="I502">
        <f ca="1">IF(OR(INDIRECT(A73&amp;ROW())=B93,INDIRECT(A73&amp;ROW())=B94),1,IF(AND(INDIRECT(A73&amp;ROW())=B95,INDIRECT(A96&amp;ROW())=C93),1,IF(AND(INDIRECT(A73&amp;ROW())=B95,INDIRECT(A96&amp;ROW())=C94),1,0)))</f>
        <v>1</v>
      </c>
      <c r="J502">
        <f ca="1">IF(AND(INDIRECT(A73&amp;ROW())=B95,INDIRECT(A96&amp;ROW())=C95),1,IF(AND(INDIRECT(A73&amp;ROW())=B95,INDIRECT(A96&amp;ROW())=C96),1,0))</f>
        <v>0</v>
      </c>
      <c r="K502">
        <f ca="1">DAYS360(INDIRECT(C68&amp;ROW()),TODAY())</f>
        <v>700</v>
      </c>
      <c r="L502">
        <f ca="1">DAYS360(INDIRECT(C69&amp;ROW()),TODAY())</f>
        <v>729</v>
      </c>
      <c r="M502">
        <f ca="1">HYPERLINK(CONCATENATE("https://bugzilla.houston.hp.com:1181/bugzilla/show_bug.cgi?id=",INDIRECT(C70&amp;ROW())),INDIRECT(C70&amp;ROW()))</f>
        <v>61184</v>
      </c>
      <c r="N502">
        <v>61184</v>
      </c>
      <c r="O502" t="s">
        <v>177</v>
      </c>
      <c r="P502" t="s">
        <v>1062</v>
      </c>
      <c r="Q502" t="s">
        <v>39</v>
      </c>
      <c r="R502" t="s">
        <v>251</v>
      </c>
      <c r="S502" t="s">
        <v>177</v>
      </c>
      <c r="T502" t="s">
        <v>1058</v>
      </c>
      <c r="U502" s="6">
        <v>42146.427511574075</v>
      </c>
      <c r="V502" t="s">
        <v>18</v>
      </c>
      <c r="W502" t="s">
        <v>783</v>
      </c>
      <c r="X502" s="6">
        <v>42117.455983796295</v>
      </c>
      <c r="Y502" t="s">
        <v>245</v>
      </c>
      <c r="AB502" t="s">
        <v>201</v>
      </c>
      <c r="AC502" t="s">
        <v>247</v>
      </c>
      <c r="AD502" t="s">
        <v>227</v>
      </c>
      <c r="AE502" t="s">
        <v>237</v>
      </c>
      <c r="AG502" t="s">
        <v>121</v>
      </c>
      <c r="AH502" t="s">
        <v>327</v>
      </c>
      <c r="AI502" t="s">
        <v>121</v>
      </c>
      <c r="AJ502" t="s">
        <v>715</v>
      </c>
      <c r="AK502" t="s">
        <v>121</v>
      </c>
    </row>
    <row r="503" spans="9:37" x14ac:dyDescent="0.3">
      <c r="I503">
        <f ca="1">IF(OR(INDIRECT(A73&amp;ROW())=B93,INDIRECT(A73&amp;ROW())=B94),1,IF(AND(INDIRECT(A73&amp;ROW())=B95,INDIRECT(A96&amp;ROW())=C93),1,IF(AND(INDIRECT(A73&amp;ROW())=B95,INDIRECT(A96&amp;ROW())=C94),1,0)))</f>
        <v>0</v>
      </c>
      <c r="J503">
        <f ca="1">IF(AND(INDIRECT(A73&amp;ROW())=B95,INDIRECT(A96&amp;ROW())=C95),1,IF(AND(INDIRECT(A73&amp;ROW())=B95,INDIRECT(A96&amp;ROW())=C96),1,0))</f>
        <v>1</v>
      </c>
      <c r="K503">
        <f ca="1">DAYS360(INDIRECT(C68&amp;ROW()),TODAY())</f>
        <v>728</v>
      </c>
      <c r="L503">
        <f ca="1">DAYS360(INDIRECT(C69&amp;ROW()),TODAY())</f>
        <v>728</v>
      </c>
      <c r="M503">
        <f ca="1">HYPERLINK(CONCATENATE("https://bugzilla.houston.hp.com:1181/bugzilla/show_bug.cgi?id=",INDIRECT(C70&amp;ROW())),INDIRECT(C70&amp;ROW()))</f>
        <v>61236</v>
      </c>
      <c r="N503">
        <v>61236</v>
      </c>
      <c r="O503" t="s">
        <v>66</v>
      </c>
      <c r="P503" t="s">
        <v>956</v>
      </c>
      <c r="Q503" t="s">
        <v>25</v>
      </c>
      <c r="R503" t="s">
        <v>783</v>
      </c>
      <c r="S503" t="s">
        <v>552</v>
      </c>
      <c r="U503" s="6">
        <v>42118.33730324074</v>
      </c>
      <c r="V503" t="s">
        <v>18</v>
      </c>
      <c r="W503" t="s">
        <v>17</v>
      </c>
      <c r="X503" s="6">
        <v>42118.33730324074</v>
      </c>
      <c r="Y503" t="s">
        <v>124</v>
      </c>
      <c r="AB503" t="s">
        <v>201</v>
      </c>
      <c r="AC503" t="s">
        <v>247</v>
      </c>
      <c r="AD503" t="s">
        <v>220</v>
      </c>
      <c r="AE503" t="s">
        <v>219</v>
      </c>
      <c r="AG503" t="s">
        <v>121</v>
      </c>
      <c r="AH503" t="s">
        <v>327</v>
      </c>
      <c r="AI503" t="s">
        <v>121</v>
      </c>
      <c r="AJ503" t="s">
        <v>716</v>
      </c>
      <c r="AK503" t="s">
        <v>121</v>
      </c>
    </row>
    <row r="504" spans="9:37" x14ac:dyDescent="0.3">
      <c r="I504">
        <f ca="1">IF(OR(INDIRECT(A73&amp;ROW())=B93,INDIRECT(A73&amp;ROW())=B94),1,IF(AND(INDIRECT(A73&amp;ROW())=B95,INDIRECT(A96&amp;ROW())=C93),1,IF(AND(INDIRECT(A73&amp;ROW())=B95,INDIRECT(A96&amp;ROW())=C94),1,0)))</f>
        <v>0</v>
      </c>
      <c r="J504">
        <f ca="1">IF(AND(INDIRECT(A73&amp;ROW())=B95,INDIRECT(A96&amp;ROW())=C95),1,IF(AND(INDIRECT(A73&amp;ROW())=B95,INDIRECT(A96&amp;ROW())=C96),1,0))</f>
        <v>1</v>
      </c>
      <c r="K504">
        <f ca="1">DAYS360(INDIRECT(C68&amp;ROW()),TODAY())</f>
        <v>721</v>
      </c>
      <c r="L504">
        <f ca="1">DAYS360(INDIRECT(C69&amp;ROW()),TODAY())</f>
        <v>728</v>
      </c>
      <c r="M504">
        <f ca="1">HYPERLINK(CONCATENATE("https://bugzilla.houston.hp.com:1181/bugzilla/show_bug.cgi?id=",INDIRECT(C70&amp;ROW())),INDIRECT(C70&amp;ROW()))</f>
        <v>61237</v>
      </c>
      <c r="N504">
        <v>61237</v>
      </c>
      <c r="O504" t="s">
        <v>56</v>
      </c>
      <c r="P504" t="s">
        <v>955</v>
      </c>
      <c r="Q504" t="s">
        <v>25</v>
      </c>
      <c r="R504" t="s">
        <v>783</v>
      </c>
      <c r="S504" t="s">
        <v>552</v>
      </c>
      <c r="U504" s="6">
        <v>42125.451805555553</v>
      </c>
      <c r="V504" t="s">
        <v>18</v>
      </c>
      <c r="W504" t="s">
        <v>17</v>
      </c>
      <c r="X504" s="6">
        <v>42118.337488425925</v>
      </c>
      <c r="Y504" t="s">
        <v>122</v>
      </c>
      <c r="AB504" t="s">
        <v>201</v>
      </c>
      <c r="AC504" t="s">
        <v>247</v>
      </c>
      <c r="AD504" t="s">
        <v>220</v>
      </c>
      <c r="AE504" t="s">
        <v>219</v>
      </c>
      <c r="AG504" t="s">
        <v>121</v>
      </c>
      <c r="AH504" t="s">
        <v>327</v>
      </c>
      <c r="AI504" t="s">
        <v>121</v>
      </c>
      <c r="AJ504" t="s">
        <v>716</v>
      </c>
      <c r="AK504" t="s">
        <v>121</v>
      </c>
    </row>
    <row r="505" spans="9:37" x14ac:dyDescent="0.3">
      <c r="I505">
        <f ca="1">IF(OR(INDIRECT(A73&amp;ROW())=B93,INDIRECT(A73&amp;ROW())=B94),1,IF(AND(INDIRECT(A73&amp;ROW())=B95,INDIRECT(A96&amp;ROW())=C93),1,IF(AND(INDIRECT(A73&amp;ROW())=B95,INDIRECT(A96&amp;ROW())=C94),1,0)))</f>
        <v>0</v>
      </c>
      <c r="J505">
        <f ca="1">IF(AND(INDIRECT(A73&amp;ROW())=B95,INDIRECT(A96&amp;ROW())=C95),1,IF(AND(INDIRECT(A73&amp;ROW())=B95,INDIRECT(A96&amp;ROW())=C96),1,0))</f>
        <v>1</v>
      </c>
      <c r="K505">
        <f ca="1">DAYS360(INDIRECT(C68&amp;ROW()),TODAY())</f>
        <v>721</v>
      </c>
      <c r="L505">
        <f ca="1">DAYS360(INDIRECT(C69&amp;ROW()),TODAY())</f>
        <v>728</v>
      </c>
      <c r="M505">
        <f ca="1">HYPERLINK(CONCATENATE("https://bugzilla.houston.hp.com:1181/bugzilla/show_bug.cgi?id=",INDIRECT(C70&amp;ROW())),INDIRECT(C70&amp;ROW()))</f>
        <v>61238</v>
      </c>
      <c r="N505">
        <v>61238</v>
      </c>
      <c r="O505" t="s">
        <v>56</v>
      </c>
      <c r="P505" t="s">
        <v>954</v>
      </c>
      <c r="Q505" t="s">
        <v>25</v>
      </c>
      <c r="R505" t="s">
        <v>783</v>
      </c>
      <c r="S505" t="s">
        <v>552</v>
      </c>
      <c r="U505" s="6">
        <v>42125.451863425929</v>
      </c>
      <c r="V505" t="s">
        <v>18</v>
      </c>
      <c r="W505" t="s">
        <v>17</v>
      </c>
      <c r="X505" s="6">
        <v>42118.337650462963</v>
      </c>
      <c r="Y505" t="s">
        <v>122</v>
      </c>
      <c r="AB505" t="s">
        <v>201</v>
      </c>
      <c r="AC505" t="s">
        <v>247</v>
      </c>
      <c r="AD505" t="s">
        <v>220</v>
      </c>
      <c r="AE505" t="s">
        <v>219</v>
      </c>
      <c r="AG505" t="s">
        <v>121</v>
      </c>
      <c r="AH505" t="s">
        <v>327</v>
      </c>
      <c r="AI505" t="s">
        <v>121</v>
      </c>
      <c r="AJ505" t="s">
        <v>716</v>
      </c>
      <c r="AK505" t="s">
        <v>121</v>
      </c>
    </row>
    <row r="506" spans="9:37" x14ac:dyDescent="0.3">
      <c r="I506">
        <f ca="1">IF(OR(INDIRECT(A73&amp;ROW())=B93,INDIRECT(A73&amp;ROW())=B94),1,IF(AND(INDIRECT(A73&amp;ROW())=B95,INDIRECT(A96&amp;ROW())=C93),1,IF(AND(INDIRECT(A73&amp;ROW())=B95,INDIRECT(A96&amp;ROW())=C94),1,0)))</f>
        <v>0</v>
      </c>
      <c r="J506">
        <f ca="1">IF(AND(INDIRECT(A73&amp;ROW())=B95,INDIRECT(A96&amp;ROW())=C95),1,IF(AND(INDIRECT(A73&amp;ROW())=B95,INDIRECT(A96&amp;ROW())=C96),1,0))</f>
        <v>1</v>
      </c>
      <c r="K506">
        <f ca="1">DAYS360(INDIRECT(C68&amp;ROW()),TODAY())</f>
        <v>721</v>
      </c>
      <c r="L506">
        <f ca="1">DAYS360(INDIRECT(C69&amp;ROW()),TODAY())</f>
        <v>728</v>
      </c>
      <c r="M506">
        <f ca="1">HYPERLINK(CONCATENATE("https://bugzilla.houston.hp.com:1181/bugzilla/show_bug.cgi?id=",INDIRECT(C70&amp;ROW())),INDIRECT(C70&amp;ROW()))</f>
        <v>61239</v>
      </c>
      <c r="N506">
        <v>61239</v>
      </c>
      <c r="O506" t="s">
        <v>56</v>
      </c>
      <c r="P506" t="s">
        <v>953</v>
      </c>
      <c r="Q506" t="s">
        <v>25</v>
      </c>
      <c r="R506" t="s">
        <v>783</v>
      </c>
      <c r="S506" t="s">
        <v>552</v>
      </c>
      <c r="U506" s="6">
        <v>42125.452974537038</v>
      </c>
      <c r="V506" t="s">
        <v>18</v>
      </c>
      <c r="W506" t="s">
        <v>17</v>
      </c>
      <c r="X506" s="6">
        <v>42118.337824074071</v>
      </c>
      <c r="Y506" t="s">
        <v>122</v>
      </c>
      <c r="AB506" t="s">
        <v>201</v>
      </c>
      <c r="AC506" t="s">
        <v>247</v>
      </c>
      <c r="AD506" t="s">
        <v>220</v>
      </c>
      <c r="AE506" t="s">
        <v>219</v>
      </c>
      <c r="AG506" t="s">
        <v>121</v>
      </c>
      <c r="AH506" t="s">
        <v>327</v>
      </c>
      <c r="AI506" t="s">
        <v>121</v>
      </c>
      <c r="AJ506" t="s">
        <v>716</v>
      </c>
      <c r="AK506" t="s">
        <v>121</v>
      </c>
    </row>
    <row r="507" spans="9:37" x14ac:dyDescent="0.3">
      <c r="I507">
        <f ca="1">IF(OR(INDIRECT(A73&amp;ROW())=B93,INDIRECT(A73&amp;ROW())=B94),1,IF(AND(INDIRECT(A73&amp;ROW())=B95,INDIRECT(A96&amp;ROW())=C93),1,IF(AND(INDIRECT(A73&amp;ROW())=B95,INDIRECT(A96&amp;ROW())=C94),1,0)))</f>
        <v>0</v>
      </c>
      <c r="J507">
        <f ca="1">IF(AND(INDIRECT(A73&amp;ROW())=B95,INDIRECT(A96&amp;ROW())=C95),1,IF(AND(INDIRECT(A73&amp;ROW())=B95,INDIRECT(A96&amp;ROW())=C96),1,0))</f>
        <v>1</v>
      </c>
      <c r="K507">
        <f ca="1">DAYS360(INDIRECT(C68&amp;ROW()),TODAY())</f>
        <v>721</v>
      </c>
      <c r="L507">
        <f ca="1">DAYS360(INDIRECT(C69&amp;ROW()),TODAY())</f>
        <v>728</v>
      </c>
      <c r="M507">
        <f ca="1">HYPERLINK(CONCATENATE("https://bugzilla.houston.hp.com:1181/bugzilla/show_bug.cgi?id=",INDIRECT(C70&amp;ROW())),INDIRECT(C70&amp;ROW()))</f>
        <v>61240</v>
      </c>
      <c r="N507">
        <v>61240</v>
      </c>
      <c r="O507" t="s">
        <v>56</v>
      </c>
      <c r="P507" t="s">
        <v>952</v>
      </c>
      <c r="Q507" t="s">
        <v>25</v>
      </c>
      <c r="R507" t="s">
        <v>783</v>
      </c>
      <c r="S507" t="s">
        <v>552</v>
      </c>
      <c r="U507" s="6">
        <v>42125.452939814815</v>
      </c>
      <c r="V507" t="s">
        <v>18</v>
      </c>
      <c r="W507" t="s">
        <v>17</v>
      </c>
      <c r="X507" s="6">
        <v>42118.33797453704</v>
      </c>
      <c r="Y507" t="s">
        <v>122</v>
      </c>
      <c r="AB507" t="s">
        <v>201</v>
      </c>
      <c r="AC507" t="s">
        <v>247</v>
      </c>
      <c r="AD507" t="s">
        <v>220</v>
      </c>
      <c r="AE507" t="s">
        <v>219</v>
      </c>
      <c r="AG507" t="s">
        <v>121</v>
      </c>
      <c r="AH507" t="s">
        <v>327</v>
      </c>
      <c r="AI507" t="s">
        <v>121</v>
      </c>
      <c r="AJ507" t="s">
        <v>716</v>
      </c>
      <c r="AK507" t="s">
        <v>121</v>
      </c>
    </row>
    <row r="508" spans="9:37" x14ac:dyDescent="0.3">
      <c r="I508">
        <f ca="1">IF(OR(INDIRECT(A73&amp;ROW())=B93,INDIRECT(A73&amp;ROW())=B94),1,IF(AND(INDIRECT(A73&amp;ROW())=B95,INDIRECT(A96&amp;ROW())=C93),1,IF(AND(INDIRECT(A73&amp;ROW())=B95,INDIRECT(A96&amp;ROW())=C94),1,0)))</f>
        <v>0</v>
      </c>
      <c r="J508">
        <f ca="1">IF(AND(INDIRECT(A73&amp;ROW())=B95,INDIRECT(A96&amp;ROW())=C95),1,IF(AND(INDIRECT(A73&amp;ROW())=B95,INDIRECT(A96&amp;ROW())=C96),1,0))</f>
        <v>1</v>
      </c>
      <c r="K508">
        <f ca="1">DAYS360(INDIRECT(C68&amp;ROW()),TODAY())</f>
        <v>728</v>
      </c>
      <c r="L508">
        <f ca="1">DAYS360(INDIRECT(C69&amp;ROW()),TODAY())</f>
        <v>728</v>
      </c>
      <c r="M508">
        <f ca="1">HYPERLINK(CONCATENATE("https://bugzilla.houston.hp.com:1181/bugzilla/show_bug.cgi?id=",INDIRECT(C70&amp;ROW())),INDIRECT(C70&amp;ROW()))</f>
        <v>61241</v>
      </c>
      <c r="N508">
        <v>61241</v>
      </c>
      <c r="O508" t="s">
        <v>56</v>
      </c>
      <c r="P508" t="s">
        <v>951</v>
      </c>
      <c r="Q508" t="s">
        <v>25</v>
      </c>
      <c r="R508" t="s">
        <v>783</v>
      </c>
      <c r="S508" t="s">
        <v>552</v>
      </c>
      <c r="U508" s="6">
        <v>42118.338229166664</v>
      </c>
      <c r="V508" t="s">
        <v>18</v>
      </c>
      <c r="W508" t="s">
        <v>17</v>
      </c>
      <c r="X508" s="6">
        <v>42118.338229166664</v>
      </c>
      <c r="Y508" t="s">
        <v>788</v>
      </c>
      <c r="AB508" t="s">
        <v>201</v>
      </c>
      <c r="AC508" t="s">
        <v>247</v>
      </c>
      <c r="AD508" t="s">
        <v>220</v>
      </c>
      <c r="AE508" t="s">
        <v>219</v>
      </c>
      <c r="AG508" t="s">
        <v>121</v>
      </c>
      <c r="AH508" t="s">
        <v>327</v>
      </c>
      <c r="AI508" t="s">
        <v>121</v>
      </c>
      <c r="AJ508" t="s">
        <v>716</v>
      </c>
      <c r="AK508" t="s">
        <v>121</v>
      </c>
    </row>
    <row r="509" spans="9:37" x14ac:dyDescent="0.3">
      <c r="I509">
        <f ca="1">IF(OR(INDIRECT(A73&amp;ROW())=B93,INDIRECT(A73&amp;ROW())=B94),1,IF(AND(INDIRECT(A73&amp;ROW())=B95,INDIRECT(A96&amp;ROW())=C93),1,IF(AND(INDIRECT(A73&amp;ROW())=B95,INDIRECT(A96&amp;ROW())=C94),1,0)))</f>
        <v>0</v>
      </c>
      <c r="J509">
        <f ca="1">IF(AND(INDIRECT(A73&amp;ROW())=B95,INDIRECT(A96&amp;ROW())=C95),1,IF(AND(INDIRECT(A73&amp;ROW())=B95,INDIRECT(A96&amp;ROW())=C96),1,0))</f>
        <v>1</v>
      </c>
      <c r="K509">
        <f ca="1">DAYS360(INDIRECT(C68&amp;ROW()),TODAY())</f>
        <v>721</v>
      </c>
      <c r="L509">
        <f ca="1">DAYS360(INDIRECT(C69&amp;ROW()),TODAY())</f>
        <v>728</v>
      </c>
      <c r="M509">
        <f ca="1">HYPERLINK(CONCATENATE("https://bugzilla.houston.hp.com:1181/bugzilla/show_bug.cgi?id=",INDIRECT(C70&amp;ROW())),INDIRECT(C70&amp;ROW()))</f>
        <v>61242</v>
      </c>
      <c r="N509">
        <v>61242</v>
      </c>
      <c r="O509" t="s">
        <v>56</v>
      </c>
      <c r="P509" t="s">
        <v>950</v>
      </c>
      <c r="Q509" t="s">
        <v>25</v>
      </c>
      <c r="R509" t="s">
        <v>783</v>
      </c>
      <c r="S509" t="s">
        <v>552</v>
      </c>
      <c r="U509" s="6">
        <v>42125.45175925926</v>
      </c>
      <c r="V509" t="s">
        <v>18</v>
      </c>
      <c r="W509" t="s">
        <v>17</v>
      </c>
      <c r="X509" s="6">
        <v>42118.338460648149</v>
      </c>
      <c r="Y509" t="s">
        <v>122</v>
      </c>
      <c r="AB509" t="s">
        <v>201</v>
      </c>
      <c r="AC509" t="s">
        <v>247</v>
      </c>
      <c r="AD509" t="s">
        <v>220</v>
      </c>
      <c r="AE509" t="s">
        <v>219</v>
      </c>
      <c r="AG509" t="s">
        <v>121</v>
      </c>
      <c r="AH509" t="s">
        <v>327</v>
      </c>
      <c r="AI509" t="s">
        <v>121</v>
      </c>
      <c r="AJ509" t="s">
        <v>716</v>
      </c>
      <c r="AK509" t="s">
        <v>121</v>
      </c>
    </row>
    <row r="510" spans="9:37" x14ac:dyDescent="0.3">
      <c r="I510">
        <f ca="1">IF(OR(INDIRECT(A73&amp;ROW())=B93,INDIRECT(A73&amp;ROW())=B94),1,IF(AND(INDIRECT(A73&amp;ROW())=B95,INDIRECT(A96&amp;ROW())=C93),1,IF(AND(INDIRECT(A73&amp;ROW())=B95,INDIRECT(A96&amp;ROW())=C94),1,0)))</f>
        <v>0</v>
      </c>
      <c r="J510">
        <f ca="1">IF(AND(INDIRECT(A73&amp;ROW())=B95,INDIRECT(A96&amp;ROW())=C95),1,IF(AND(INDIRECT(A73&amp;ROW())=B95,INDIRECT(A96&amp;ROW())=C96),1,0))</f>
        <v>1</v>
      </c>
      <c r="K510">
        <f ca="1">DAYS360(INDIRECT(C68&amp;ROW()),TODAY())</f>
        <v>728</v>
      </c>
      <c r="L510">
        <f ca="1">DAYS360(INDIRECT(C69&amp;ROW()),TODAY())</f>
        <v>728</v>
      </c>
      <c r="M510">
        <f ca="1">HYPERLINK(CONCATENATE("https://bugzilla.houston.hp.com:1181/bugzilla/show_bug.cgi?id=",INDIRECT(C70&amp;ROW())),INDIRECT(C70&amp;ROW()))</f>
        <v>61243</v>
      </c>
      <c r="N510">
        <v>61243</v>
      </c>
      <c r="O510" t="s">
        <v>53</v>
      </c>
      <c r="P510" t="s">
        <v>949</v>
      </c>
      <c r="Q510" t="s">
        <v>25</v>
      </c>
      <c r="R510" t="s">
        <v>783</v>
      </c>
      <c r="S510" t="s">
        <v>552</v>
      </c>
      <c r="U510" s="6">
        <v>42118.33866898148</v>
      </c>
      <c r="V510" t="s">
        <v>18</v>
      </c>
      <c r="W510" t="s">
        <v>17</v>
      </c>
      <c r="X510" s="6">
        <v>42118.33866898148</v>
      </c>
      <c r="Y510" t="s">
        <v>119</v>
      </c>
      <c r="AB510" t="s">
        <v>201</v>
      </c>
      <c r="AC510" t="s">
        <v>121</v>
      </c>
      <c r="AD510" t="s">
        <v>220</v>
      </c>
      <c r="AE510" t="s">
        <v>219</v>
      </c>
      <c r="AG510" t="s">
        <v>121</v>
      </c>
      <c r="AH510" t="s">
        <v>327</v>
      </c>
      <c r="AI510" t="s">
        <v>121</v>
      </c>
      <c r="AJ510" t="s">
        <v>716</v>
      </c>
      <c r="AK510" t="s">
        <v>121</v>
      </c>
    </row>
    <row r="511" spans="9:37" x14ac:dyDescent="0.3">
      <c r="I511">
        <f ca="1">IF(OR(INDIRECT(A73&amp;ROW())=B93,INDIRECT(A73&amp;ROW())=B94),1,IF(AND(INDIRECT(A73&amp;ROW())=B95,INDIRECT(A96&amp;ROW())=C93),1,IF(AND(INDIRECT(A73&amp;ROW())=B95,INDIRECT(A96&amp;ROW())=C94),1,0)))</f>
        <v>0</v>
      </c>
      <c r="J511">
        <f ca="1">IF(AND(INDIRECT(A73&amp;ROW())=B95,INDIRECT(A96&amp;ROW())=C95),1,IF(AND(INDIRECT(A73&amp;ROW())=B95,INDIRECT(A96&amp;ROW())=C96),1,0))</f>
        <v>1</v>
      </c>
      <c r="K511">
        <f ca="1">DAYS360(INDIRECT(C68&amp;ROW()),TODAY())</f>
        <v>721</v>
      </c>
      <c r="L511">
        <f ca="1">DAYS360(INDIRECT(C69&amp;ROW()),TODAY())</f>
        <v>728</v>
      </c>
      <c r="M511">
        <f ca="1">HYPERLINK(CONCATENATE("https://bugzilla.houston.hp.com:1181/bugzilla/show_bug.cgi?id=",INDIRECT(C70&amp;ROW())),INDIRECT(C70&amp;ROW()))</f>
        <v>61244</v>
      </c>
      <c r="N511">
        <v>61244</v>
      </c>
      <c r="O511" t="s">
        <v>53</v>
      </c>
      <c r="P511" t="s">
        <v>948</v>
      </c>
      <c r="Q511" t="s">
        <v>25</v>
      </c>
      <c r="R511" t="s">
        <v>783</v>
      </c>
      <c r="S511" t="s">
        <v>552</v>
      </c>
      <c r="U511" s="6">
        <v>42125.45071759259</v>
      </c>
      <c r="V511" t="s">
        <v>18</v>
      </c>
      <c r="W511" t="s">
        <v>17</v>
      </c>
      <c r="X511" s="6">
        <v>42118.338923611111</v>
      </c>
      <c r="Y511" t="s">
        <v>122</v>
      </c>
      <c r="AB511" t="s">
        <v>201</v>
      </c>
      <c r="AC511" t="s">
        <v>247</v>
      </c>
      <c r="AD511" t="s">
        <v>220</v>
      </c>
      <c r="AE511" t="s">
        <v>219</v>
      </c>
      <c r="AG511" t="s">
        <v>121</v>
      </c>
      <c r="AH511" t="s">
        <v>327</v>
      </c>
      <c r="AI511" t="s">
        <v>121</v>
      </c>
      <c r="AJ511" t="s">
        <v>716</v>
      </c>
      <c r="AK511" t="s">
        <v>121</v>
      </c>
    </row>
    <row r="512" spans="9:37" x14ac:dyDescent="0.3">
      <c r="I512">
        <f ca="1">IF(OR(INDIRECT(A73&amp;ROW())=B93,INDIRECT(A73&amp;ROW())=B94),1,IF(AND(INDIRECT(A73&amp;ROW())=B95,INDIRECT(A96&amp;ROW())=C93),1,IF(AND(INDIRECT(A73&amp;ROW())=B95,INDIRECT(A96&amp;ROW())=C94),1,0)))</f>
        <v>0</v>
      </c>
      <c r="J512">
        <f ca="1">IF(AND(INDIRECT(A73&amp;ROW())=B95,INDIRECT(A96&amp;ROW())=C95),1,IF(AND(INDIRECT(A73&amp;ROW())=B95,INDIRECT(A96&amp;ROW())=C96),1,0))</f>
        <v>1</v>
      </c>
      <c r="K512">
        <f ca="1">DAYS360(INDIRECT(C68&amp;ROW()),TODAY())</f>
        <v>728</v>
      </c>
      <c r="L512">
        <f ca="1">DAYS360(INDIRECT(C69&amp;ROW()),TODAY())</f>
        <v>728</v>
      </c>
      <c r="M512">
        <f ca="1">HYPERLINK(CONCATENATE("https://bugzilla.houston.hp.com:1181/bugzilla/show_bug.cgi?id=",INDIRECT(C70&amp;ROW())),INDIRECT(C70&amp;ROW()))</f>
        <v>61245</v>
      </c>
      <c r="N512">
        <v>61245</v>
      </c>
      <c r="O512" t="s">
        <v>66</v>
      </c>
      <c r="P512" t="s">
        <v>947</v>
      </c>
      <c r="Q512" t="s">
        <v>25</v>
      </c>
      <c r="R512" t="s">
        <v>783</v>
      </c>
      <c r="S512" t="s">
        <v>552</v>
      </c>
      <c r="U512" s="6">
        <v>42118.339166666665</v>
      </c>
      <c r="V512" t="s">
        <v>18</v>
      </c>
      <c r="W512" t="s">
        <v>17</v>
      </c>
      <c r="X512" s="6">
        <v>42118.339166666665</v>
      </c>
      <c r="Y512" t="s">
        <v>119</v>
      </c>
      <c r="AB512" t="s">
        <v>201</v>
      </c>
      <c r="AC512" t="s">
        <v>121</v>
      </c>
      <c r="AD512" t="s">
        <v>220</v>
      </c>
      <c r="AE512" t="s">
        <v>219</v>
      </c>
      <c r="AF512" s="13">
        <v>41901</v>
      </c>
      <c r="AG512" t="s">
        <v>121</v>
      </c>
      <c r="AH512" t="s">
        <v>327</v>
      </c>
      <c r="AI512" t="s">
        <v>121</v>
      </c>
      <c r="AJ512" t="s">
        <v>716</v>
      </c>
      <c r="AK512" t="s">
        <v>121</v>
      </c>
    </row>
    <row r="513" spans="9:37" x14ac:dyDescent="0.3">
      <c r="I513">
        <f ca="1">IF(OR(INDIRECT(A73&amp;ROW())=B93,INDIRECT(A73&amp;ROW())=B94),1,IF(AND(INDIRECT(A73&amp;ROW())=B95,INDIRECT(A96&amp;ROW())=C93),1,IF(AND(INDIRECT(A73&amp;ROW())=B95,INDIRECT(A96&amp;ROW())=C94),1,0)))</f>
        <v>1</v>
      </c>
      <c r="J513">
        <f ca="1">IF(AND(INDIRECT(A73&amp;ROW())=B95,INDIRECT(A96&amp;ROW())=C95),1,IF(AND(INDIRECT(A73&amp;ROW())=B95,INDIRECT(A96&amp;ROW())=C96),1,0))</f>
        <v>0</v>
      </c>
      <c r="K513">
        <f ca="1">DAYS360(INDIRECT(C68&amp;ROW()),TODAY())</f>
        <v>694</v>
      </c>
      <c r="L513">
        <f ca="1">DAYS360(INDIRECT(C69&amp;ROW()),TODAY())</f>
        <v>728</v>
      </c>
      <c r="M513">
        <f ca="1">HYPERLINK(CONCATENATE("https://bugzilla.houston.hp.com:1181/bugzilla/show_bug.cgi?id=",INDIRECT(C70&amp;ROW())),INDIRECT(C70&amp;ROW()))</f>
        <v>61246</v>
      </c>
      <c r="N513">
        <v>61246</v>
      </c>
      <c r="O513" t="s">
        <v>53</v>
      </c>
      <c r="P513" t="s">
        <v>946</v>
      </c>
      <c r="Q513" t="s">
        <v>39</v>
      </c>
      <c r="R513" t="s">
        <v>783</v>
      </c>
      <c r="S513" t="s">
        <v>552</v>
      </c>
      <c r="U513" s="6">
        <v>42152.31659722222</v>
      </c>
      <c r="V513" t="s">
        <v>18</v>
      </c>
      <c r="W513" t="s">
        <v>17</v>
      </c>
      <c r="X513" s="6">
        <v>42118.339432870373</v>
      </c>
      <c r="Y513" t="s">
        <v>119</v>
      </c>
      <c r="AB513" t="s">
        <v>201</v>
      </c>
      <c r="AC513" t="s">
        <v>247</v>
      </c>
      <c r="AD513" t="s">
        <v>220</v>
      </c>
      <c r="AE513" t="s">
        <v>219</v>
      </c>
      <c r="AG513" t="s">
        <v>588</v>
      </c>
      <c r="AH513" t="s">
        <v>64</v>
      </c>
      <c r="AI513" t="s">
        <v>121</v>
      </c>
      <c r="AJ513" t="s">
        <v>715</v>
      </c>
      <c r="AK513" t="s">
        <v>121</v>
      </c>
    </row>
    <row r="514" spans="9:37" x14ac:dyDescent="0.3">
      <c r="I514">
        <f ca="1">IF(OR(INDIRECT(A73&amp;ROW())=B93,INDIRECT(A73&amp;ROW())=B94),1,IF(AND(INDIRECT(A73&amp;ROW())=B95,INDIRECT(A96&amp;ROW())=C93),1,IF(AND(INDIRECT(A73&amp;ROW())=B95,INDIRECT(A96&amp;ROW())=C94),1,0)))</f>
        <v>0</v>
      </c>
      <c r="J514">
        <f ca="1">IF(AND(INDIRECT(A73&amp;ROW())=B95,INDIRECT(A96&amp;ROW())=C95),1,IF(AND(INDIRECT(A73&amp;ROW())=B95,INDIRECT(A96&amp;ROW())=C96),1,0))</f>
        <v>1</v>
      </c>
      <c r="K514">
        <f ca="1">DAYS360(INDIRECT(C68&amp;ROW()),TODAY())</f>
        <v>728</v>
      </c>
      <c r="L514">
        <f ca="1">DAYS360(INDIRECT(C69&amp;ROW()),TODAY())</f>
        <v>728</v>
      </c>
      <c r="M514">
        <f ca="1">HYPERLINK(CONCATENATE("https://bugzilla.houston.hp.com:1181/bugzilla/show_bug.cgi?id=",INDIRECT(C70&amp;ROW())),INDIRECT(C70&amp;ROW()))</f>
        <v>61247</v>
      </c>
      <c r="N514">
        <v>61247</v>
      </c>
      <c r="O514" t="s">
        <v>204</v>
      </c>
      <c r="P514" t="s">
        <v>945</v>
      </c>
      <c r="Q514" t="s">
        <v>25</v>
      </c>
      <c r="R514" t="s">
        <v>783</v>
      </c>
      <c r="S514" t="s">
        <v>552</v>
      </c>
      <c r="U514" s="6">
        <v>42118.33965277778</v>
      </c>
      <c r="V514" t="s">
        <v>18</v>
      </c>
      <c r="W514" t="s">
        <v>17</v>
      </c>
      <c r="X514" s="6">
        <v>42118.33965277778</v>
      </c>
      <c r="Y514" t="s">
        <v>119</v>
      </c>
      <c r="AB514" t="s">
        <v>201</v>
      </c>
      <c r="AC514" t="s">
        <v>121</v>
      </c>
      <c r="AD514" t="s">
        <v>220</v>
      </c>
      <c r="AE514" t="s">
        <v>223</v>
      </c>
      <c r="AG514" t="s">
        <v>121</v>
      </c>
      <c r="AH514" t="s">
        <v>327</v>
      </c>
      <c r="AI514" t="s">
        <v>121</v>
      </c>
      <c r="AJ514" t="s">
        <v>716</v>
      </c>
      <c r="AK514" t="s">
        <v>121</v>
      </c>
    </row>
    <row r="515" spans="9:37" x14ac:dyDescent="0.3">
      <c r="I515">
        <f ca="1">IF(OR(INDIRECT(A73&amp;ROW())=B93,INDIRECT(A73&amp;ROW())=B94),1,IF(AND(INDIRECT(A73&amp;ROW())=B95,INDIRECT(A96&amp;ROW())=C93),1,IF(AND(INDIRECT(A73&amp;ROW())=B95,INDIRECT(A96&amp;ROW())=C94),1,0)))</f>
        <v>0</v>
      </c>
      <c r="J515">
        <f ca="1">IF(AND(INDIRECT(A73&amp;ROW())=B95,INDIRECT(A96&amp;ROW())=C95),1,IF(AND(INDIRECT(A73&amp;ROW())=B95,INDIRECT(A96&amp;ROW())=C96),1,0))</f>
        <v>1</v>
      </c>
      <c r="K515">
        <f ca="1">DAYS360(INDIRECT(C68&amp;ROW()),TODAY())</f>
        <v>721</v>
      </c>
      <c r="L515">
        <f ca="1">DAYS360(INDIRECT(C69&amp;ROW()),TODAY())</f>
        <v>728</v>
      </c>
      <c r="M515">
        <f ca="1">HYPERLINK(CONCATENATE("https://bugzilla.houston.hp.com:1181/bugzilla/show_bug.cgi?id=",INDIRECT(C70&amp;ROW())),INDIRECT(C70&amp;ROW()))</f>
        <v>61248</v>
      </c>
      <c r="N515">
        <v>61248</v>
      </c>
      <c r="O515" t="s">
        <v>56</v>
      </c>
      <c r="P515" t="s">
        <v>944</v>
      </c>
      <c r="Q515" t="s">
        <v>25</v>
      </c>
      <c r="R515" t="s">
        <v>783</v>
      </c>
      <c r="S515" t="s">
        <v>552</v>
      </c>
      <c r="U515" s="6">
        <v>42125.448645833334</v>
      </c>
      <c r="V515" t="s">
        <v>18</v>
      </c>
      <c r="W515" t="s">
        <v>17</v>
      </c>
      <c r="X515" s="6">
        <v>42118.339907407404</v>
      </c>
      <c r="Y515" t="s">
        <v>122</v>
      </c>
      <c r="AB515" t="s">
        <v>201</v>
      </c>
      <c r="AC515" t="s">
        <v>247</v>
      </c>
      <c r="AD515" t="s">
        <v>220</v>
      </c>
      <c r="AE515" t="s">
        <v>219</v>
      </c>
      <c r="AG515" t="s">
        <v>121</v>
      </c>
      <c r="AH515" t="s">
        <v>327</v>
      </c>
      <c r="AI515" t="s">
        <v>121</v>
      </c>
      <c r="AJ515" t="s">
        <v>716</v>
      </c>
      <c r="AK515" t="s">
        <v>121</v>
      </c>
    </row>
    <row r="516" spans="9:37" x14ac:dyDescent="0.3">
      <c r="I516">
        <f ca="1">IF(OR(INDIRECT(A73&amp;ROW())=B93,INDIRECT(A73&amp;ROW())=B94),1,IF(AND(INDIRECT(A73&amp;ROW())=B95,INDIRECT(A96&amp;ROW())=C93),1,IF(AND(INDIRECT(A73&amp;ROW())=B95,INDIRECT(A96&amp;ROW())=C94),1,0)))</f>
        <v>0</v>
      </c>
      <c r="J516">
        <f ca="1">IF(AND(INDIRECT(A73&amp;ROW())=B95,INDIRECT(A96&amp;ROW())=C95),1,IF(AND(INDIRECT(A73&amp;ROW())=B95,INDIRECT(A96&amp;ROW())=C96),1,0))</f>
        <v>1</v>
      </c>
      <c r="K516">
        <f ca="1">DAYS360(INDIRECT(C68&amp;ROW()),TODAY())</f>
        <v>721</v>
      </c>
      <c r="L516">
        <f ca="1">DAYS360(INDIRECT(C69&amp;ROW()),TODAY())</f>
        <v>728</v>
      </c>
      <c r="M516">
        <f ca="1">HYPERLINK(CONCATENATE("https://bugzilla.houston.hp.com:1181/bugzilla/show_bug.cgi?id=",INDIRECT(C70&amp;ROW())),INDIRECT(C70&amp;ROW()))</f>
        <v>61252</v>
      </c>
      <c r="N516">
        <v>61252</v>
      </c>
      <c r="O516" t="s">
        <v>66</v>
      </c>
      <c r="P516" t="s">
        <v>943</v>
      </c>
      <c r="Q516" t="s">
        <v>25</v>
      </c>
      <c r="R516" t="s">
        <v>783</v>
      </c>
      <c r="S516" t="s">
        <v>552</v>
      </c>
      <c r="U516" s="6">
        <v>42125.449594907404</v>
      </c>
      <c r="V516" t="s">
        <v>18</v>
      </c>
      <c r="W516" t="s">
        <v>17</v>
      </c>
      <c r="X516" s="6">
        <v>42118.341203703705</v>
      </c>
      <c r="Y516" t="s">
        <v>122</v>
      </c>
      <c r="AB516" t="s">
        <v>201</v>
      </c>
      <c r="AC516" t="s">
        <v>247</v>
      </c>
      <c r="AD516" t="s">
        <v>220</v>
      </c>
      <c r="AE516" t="s">
        <v>219</v>
      </c>
      <c r="AG516" t="s">
        <v>121</v>
      </c>
      <c r="AH516" t="s">
        <v>327</v>
      </c>
      <c r="AI516" t="s">
        <v>121</v>
      </c>
      <c r="AJ516" t="s">
        <v>716</v>
      </c>
      <c r="AK516" t="s">
        <v>121</v>
      </c>
    </row>
    <row r="517" spans="9:37" x14ac:dyDescent="0.3">
      <c r="I517">
        <f ca="1">IF(OR(INDIRECT(A73&amp;ROW())=B93,INDIRECT(A73&amp;ROW())=B94),1,IF(AND(INDIRECT(A73&amp;ROW())=B95,INDIRECT(A96&amp;ROW())=C93),1,IF(AND(INDIRECT(A73&amp;ROW())=B95,INDIRECT(A96&amp;ROW())=C94),1,0)))</f>
        <v>0</v>
      </c>
      <c r="J517">
        <f ca="1">IF(AND(INDIRECT(A73&amp;ROW())=B95,INDIRECT(A96&amp;ROW())=C95),1,IF(AND(INDIRECT(A73&amp;ROW())=B95,INDIRECT(A96&amp;ROW())=C96),1,0))</f>
        <v>1</v>
      </c>
      <c r="K517">
        <f ca="1">DAYS360(INDIRECT(C68&amp;ROW()),TODAY())</f>
        <v>728</v>
      </c>
      <c r="L517">
        <f ca="1">DAYS360(INDIRECT(C69&amp;ROW()),TODAY())</f>
        <v>728</v>
      </c>
      <c r="M517">
        <f ca="1">HYPERLINK(CONCATENATE("https://bugzilla.houston.hp.com:1181/bugzilla/show_bug.cgi?id=",INDIRECT(C70&amp;ROW())),INDIRECT(C70&amp;ROW()))</f>
        <v>61253</v>
      </c>
      <c r="N517">
        <v>61253</v>
      </c>
      <c r="O517" t="s">
        <v>52</v>
      </c>
      <c r="P517" t="s">
        <v>942</v>
      </c>
      <c r="Q517" t="s">
        <v>25</v>
      </c>
      <c r="R517" t="s">
        <v>783</v>
      </c>
      <c r="S517" t="s">
        <v>552</v>
      </c>
      <c r="T517" t="s">
        <v>48</v>
      </c>
      <c r="U517" s="6">
        <v>42118.341377314813</v>
      </c>
      <c r="V517" t="s">
        <v>18</v>
      </c>
      <c r="W517" t="s">
        <v>17</v>
      </c>
      <c r="X517" s="6">
        <v>42118.341377314813</v>
      </c>
      <c r="Y517" t="s">
        <v>535</v>
      </c>
      <c r="AB517" t="s">
        <v>201</v>
      </c>
      <c r="AC517" t="s">
        <v>247</v>
      </c>
      <c r="AD517" t="s">
        <v>220</v>
      </c>
      <c r="AE517" t="s">
        <v>219</v>
      </c>
      <c r="AG517" t="s">
        <v>121</v>
      </c>
      <c r="AH517" t="s">
        <v>327</v>
      </c>
      <c r="AI517" t="s">
        <v>121</v>
      </c>
      <c r="AJ517" t="s">
        <v>716</v>
      </c>
      <c r="AK517" t="s">
        <v>121</v>
      </c>
    </row>
    <row r="518" spans="9:37" x14ac:dyDescent="0.3">
      <c r="I518">
        <f ca="1">IF(OR(INDIRECT(A73&amp;ROW())=B93,INDIRECT(A73&amp;ROW())=B94),1,IF(AND(INDIRECT(A73&amp;ROW())=B95,INDIRECT(A96&amp;ROW())=C93),1,IF(AND(INDIRECT(A73&amp;ROW())=B95,INDIRECT(A96&amp;ROW())=C94),1,0)))</f>
        <v>0</v>
      </c>
      <c r="J518">
        <f ca="1">IF(AND(INDIRECT(A73&amp;ROW())=B95,INDIRECT(A96&amp;ROW())=C95),1,IF(AND(INDIRECT(A73&amp;ROW())=B95,INDIRECT(A96&amp;ROW())=C96),1,0))</f>
        <v>1</v>
      </c>
      <c r="K518">
        <f ca="1">DAYS360(INDIRECT(C68&amp;ROW()),TODAY())</f>
        <v>721</v>
      </c>
      <c r="L518">
        <f ca="1">DAYS360(INDIRECT(C69&amp;ROW()),TODAY())</f>
        <v>728</v>
      </c>
      <c r="M518">
        <f ca="1">HYPERLINK(CONCATENATE("https://bugzilla.houston.hp.com:1181/bugzilla/show_bug.cgi?id=",INDIRECT(C70&amp;ROW())),INDIRECT(C70&amp;ROW()))</f>
        <v>61254</v>
      </c>
      <c r="N518">
        <v>61254</v>
      </c>
      <c r="O518" t="s">
        <v>43</v>
      </c>
      <c r="P518" t="s">
        <v>941</v>
      </c>
      <c r="Q518" t="s">
        <v>25</v>
      </c>
      <c r="R518" t="s">
        <v>783</v>
      </c>
      <c r="S518" t="s">
        <v>552</v>
      </c>
      <c r="U518" s="6">
        <v>42125.450752314813</v>
      </c>
      <c r="V518" t="s">
        <v>18</v>
      </c>
      <c r="W518" t="s">
        <v>17</v>
      </c>
      <c r="X518" s="6">
        <v>42118.341643518521</v>
      </c>
      <c r="Y518" t="s">
        <v>122</v>
      </c>
      <c r="AB518" t="s">
        <v>201</v>
      </c>
      <c r="AC518" t="s">
        <v>247</v>
      </c>
      <c r="AD518" t="s">
        <v>220</v>
      </c>
      <c r="AE518" t="s">
        <v>219</v>
      </c>
      <c r="AG518" t="s">
        <v>121</v>
      </c>
      <c r="AH518" t="s">
        <v>327</v>
      </c>
      <c r="AI518" t="s">
        <v>121</v>
      </c>
      <c r="AJ518" t="s">
        <v>716</v>
      </c>
      <c r="AK518" t="s">
        <v>121</v>
      </c>
    </row>
    <row r="519" spans="9:37" x14ac:dyDescent="0.3">
      <c r="I519">
        <f ca="1">IF(OR(INDIRECT(A73&amp;ROW())=B93,INDIRECT(A73&amp;ROW())=B94),1,IF(AND(INDIRECT(A73&amp;ROW())=B95,INDIRECT(A96&amp;ROW())=C93),1,IF(AND(INDIRECT(A73&amp;ROW())=B95,INDIRECT(A96&amp;ROW())=C94),1,0)))</f>
        <v>0</v>
      </c>
      <c r="J519">
        <f ca="1">IF(AND(INDIRECT(A73&amp;ROW())=B95,INDIRECT(A96&amp;ROW())=C95),1,IF(AND(INDIRECT(A73&amp;ROW())=B95,INDIRECT(A96&amp;ROW())=C96),1,0))</f>
        <v>1</v>
      </c>
      <c r="K519">
        <f ca="1">DAYS360(INDIRECT(C68&amp;ROW()),TODAY())</f>
        <v>721</v>
      </c>
      <c r="L519">
        <f ca="1">DAYS360(INDIRECT(C69&amp;ROW()),TODAY())</f>
        <v>728</v>
      </c>
      <c r="M519">
        <f ca="1">HYPERLINK(CONCATENATE("https://bugzilla.houston.hp.com:1181/bugzilla/show_bug.cgi?id=",INDIRECT(C70&amp;ROW())),INDIRECT(C70&amp;ROW()))</f>
        <v>61256</v>
      </c>
      <c r="N519">
        <v>61256</v>
      </c>
      <c r="O519" t="s">
        <v>66</v>
      </c>
      <c r="P519" t="s">
        <v>940</v>
      </c>
      <c r="Q519" t="s">
        <v>25</v>
      </c>
      <c r="R519" t="s">
        <v>783</v>
      </c>
      <c r="S519" t="s">
        <v>552</v>
      </c>
      <c r="U519" s="6">
        <v>42125.45076388889</v>
      </c>
      <c r="V519" t="s">
        <v>18</v>
      </c>
      <c r="W519" t="s">
        <v>17</v>
      </c>
      <c r="X519" s="6">
        <v>42118.342280092591</v>
      </c>
      <c r="Y519" t="s">
        <v>122</v>
      </c>
      <c r="AB519" t="s">
        <v>201</v>
      </c>
      <c r="AC519" t="s">
        <v>247</v>
      </c>
      <c r="AD519" t="s">
        <v>220</v>
      </c>
      <c r="AE519" t="s">
        <v>219</v>
      </c>
      <c r="AG519" t="s">
        <v>121</v>
      </c>
      <c r="AH519" t="s">
        <v>327</v>
      </c>
      <c r="AI519" t="s">
        <v>121</v>
      </c>
      <c r="AJ519" t="s">
        <v>716</v>
      </c>
      <c r="AK519" t="s">
        <v>121</v>
      </c>
    </row>
    <row r="520" spans="9:37" x14ac:dyDescent="0.3">
      <c r="I520">
        <f ca="1">IF(OR(INDIRECT(A73&amp;ROW())=B93,INDIRECT(A73&amp;ROW())=B94),1,IF(AND(INDIRECT(A73&amp;ROW())=B95,INDIRECT(A96&amp;ROW())=C93),1,IF(AND(INDIRECT(A73&amp;ROW())=B95,INDIRECT(A96&amp;ROW())=C94),1,0)))</f>
        <v>0</v>
      </c>
      <c r="J520">
        <f ca="1">IF(AND(INDIRECT(A73&amp;ROW())=B95,INDIRECT(A96&amp;ROW())=C95),1,IF(AND(INDIRECT(A73&amp;ROW())=B95,INDIRECT(A96&amp;ROW())=C96),1,0))</f>
        <v>1</v>
      </c>
      <c r="K520">
        <f ca="1">DAYS360(INDIRECT(C68&amp;ROW()),TODAY())</f>
        <v>728</v>
      </c>
      <c r="L520">
        <f ca="1">DAYS360(INDIRECT(C69&amp;ROW()),TODAY())</f>
        <v>728</v>
      </c>
      <c r="M520">
        <f ca="1">HYPERLINK(CONCATENATE("https://bugzilla.houston.hp.com:1181/bugzilla/show_bug.cgi?id=",INDIRECT(C70&amp;ROW())),INDIRECT(C70&amp;ROW()))</f>
        <v>61257</v>
      </c>
      <c r="N520">
        <v>61257</v>
      </c>
      <c r="O520" t="s">
        <v>56</v>
      </c>
      <c r="P520" t="s">
        <v>939</v>
      </c>
      <c r="Q520" t="s">
        <v>25</v>
      </c>
      <c r="R520" t="s">
        <v>783</v>
      </c>
      <c r="S520" t="s">
        <v>552</v>
      </c>
      <c r="U520" s="6">
        <v>42118.342569444445</v>
      </c>
      <c r="V520" t="s">
        <v>18</v>
      </c>
      <c r="W520" t="s">
        <v>17</v>
      </c>
      <c r="X520" s="6">
        <v>42118.342569444445</v>
      </c>
      <c r="Y520" t="s">
        <v>119</v>
      </c>
      <c r="AB520" t="s">
        <v>201</v>
      </c>
      <c r="AC520" t="s">
        <v>247</v>
      </c>
      <c r="AD520" t="s">
        <v>220</v>
      </c>
      <c r="AE520" t="s">
        <v>219</v>
      </c>
      <c r="AG520" t="s">
        <v>121</v>
      </c>
      <c r="AH520" t="s">
        <v>327</v>
      </c>
      <c r="AI520" t="s">
        <v>121</v>
      </c>
      <c r="AJ520" t="s">
        <v>716</v>
      </c>
      <c r="AK520" t="s">
        <v>121</v>
      </c>
    </row>
    <row r="521" spans="9:37" x14ac:dyDescent="0.3">
      <c r="I521">
        <f ca="1">IF(OR(INDIRECT(A73&amp;ROW())=B93,INDIRECT(A73&amp;ROW())=B94),1,IF(AND(INDIRECT(A73&amp;ROW())=B95,INDIRECT(A96&amp;ROW())=C93),1,IF(AND(INDIRECT(A73&amp;ROW())=B95,INDIRECT(A96&amp;ROW())=C94),1,0)))</f>
        <v>0</v>
      </c>
      <c r="J521">
        <f ca="1">IF(AND(INDIRECT(A73&amp;ROW())=B95,INDIRECT(A96&amp;ROW())=C95),1,IF(AND(INDIRECT(A73&amp;ROW())=B95,INDIRECT(A96&amp;ROW())=C96),1,0))</f>
        <v>0</v>
      </c>
      <c r="K521">
        <f ca="1">DAYS360(INDIRECT(C68&amp;ROW()),TODAY())</f>
        <v>717</v>
      </c>
      <c r="L521">
        <f ca="1">DAYS360(INDIRECT(C69&amp;ROW()),TODAY())</f>
        <v>728</v>
      </c>
      <c r="M521">
        <f ca="1">HYPERLINK(CONCATENATE("https://bugzilla.houston.hp.com:1181/bugzilla/show_bug.cgi?id=",INDIRECT(C70&amp;ROW())),INDIRECT(C70&amp;ROW()))</f>
        <v>61258</v>
      </c>
      <c r="N521">
        <v>61258</v>
      </c>
      <c r="O521" t="s">
        <v>66</v>
      </c>
      <c r="P521" t="s">
        <v>938</v>
      </c>
      <c r="Q521" t="s">
        <v>16</v>
      </c>
      <c r="R521" t="s">
        <v>783</v>
      </c>
      <c r="S521" t="s">
        <v>552</v>
      </c>
      <c r="U521" s="6">
        <v>42129.317418981482</v>
      </c>
      <c r="V521" t="s">
        <v>18</v>
      </c>
      <c r="W521" t="s">
        <v>783</v>
      </c>
      <c r="X521" s="6">
        <v>42118.342928240738</v>
      </c>
      <c r="Y521" t="s">
        <v>786</v>
      </c>
      <c r="AB521" t="s">
        <v>200</v>
      </c>
      <c r="AC521" t="s">
        <v>247</v>
      </c>
      <c r="AD521" t="s">
        <v>220</v>
      </c>
      <c r="AE521" t="s">
        <v>219</v>
      </c>
      <c r="AG521" t="s">
        <v>121</v>
      </c>
      <c r="AH521" t="s">
        <v>327</v>
      </c>
      <c r="AI521" t="s">
        <v>121</v>
      </c>
      <c r="AJ521" t="s">
        <v>716</v>
      </c>
      <c r="AK521" t="s">
        <v>121</v>
      </c>
    </row>
    <row r="522" spans="9:37" x14ac:dyDescent="0.3">
      <c r="I522">
        <f ca="1">IF(OR(INDIRECT(A73&amp;ROW())=B93,INDIRECT(A73&amp;ROW())=B94),1,IF(AND(INDIRECT(A73&amp;ROW())=B95,INDIRECT(A96&amp;ROW())=C93),1,IF(AND(INDIRECT(A73&amp;ROW())=B95,INDIRECT(A96&amp;ROW())=C94),1,0)))</f>
        <v>0</v>
      </c>
      <c r="J522">
        <f ca="1">IF(AND(INDIRECT(A73&amp;ROW())=B95,INDIRECT(A96&amp;ROW())=C95),1,IF(AND(INDIRECT(A73&amp;ROW())=B95,INDIRECT(A96&amp;ROW())=C96),1,0))</f>
        <v>1</v>
      </c>
      <c r="K522">
        <f ca="1">DAYS360(INDIRECT(C68&amp;ROW()),TODAY())</f>
        <v>721</v>
      </c>
      <c r="L522">
        <f ca="1">DAYS360(INDIRECT(C69&amp;ROW()),TODAY())</f>
        <v>728</v>
      </c>
      <c r="M522">
        <f ca="1">HYPERLINK(CONCATENATE("https://bugzilla.houston.hp.com:1181/bugzilla/show_bug.cgi?id=",INDIRECT(C70&amp;ROW())),INDIRECT(C70&amp;ROW()))</f>
        <v>61259</v>
      </c>
      <c r="N522">
        <v>61259</v>
      </c>
      <c r="O522" t="s">
        <v>53</v>
      </c>
      <c r="P522" t="s">
        <v>937</v>
      </c>
      <c r="Q522" t="s">
        <v>25</v>
      </c>
      <c r="R522" t="s">
        <v>783</v>
      </c>
      <c r="S522" t="s">
        <v>552</v>
      </c>
      <c r="U522" s="6">
        <v>42125.453009259261</v>
      </c>
      <c r="V522" t="s">
        <v>18</v>
      </c>
      <c r="W522" t="s">
        <v>17</v>
      </c>
      <c r="X522" s="6">
        <v>42118.343217592592</v>
      </c>
      <c r="Y522" t="s">
        <v>122</v>
      </c>
      <c r="AB522" t="s">
        <v>201</v>
      </c>
      <c r="AC522" t="s">
        <v>247</v>
      </c>
      <c r="AD522" t="s">
        <v>220</v>
      </c>
      <c r="AE522" t="s">
        <v>219</v>
      </c>
      <c r="AG522" t="s">
        <v>121</v>
      </c>
      <c r="AH522" t="s">
        <v>327</v>
      </c>
      <c r="AI522" t="s">
        <v>121</v>
      </c>
      <c r="AJ522" t="s">
        <v>716</v>
      </c>
      <c r="AK522" t="s">
        <v>121</v>
      </c>
    </row>
    <row r="523" spans="9:37" x14ac:dyDescent="0.3">
      <c r="I523">
        <f ca="1">IF(OR(INDIRECT(A73&amp;ROW())=B93,INDIRECT(A73&amp;ROW())=B94),1,IF(AND(INDIRECT(A73&amp;ROW())=B95,INDIRECT(A96&amp;ROW())=C93),1,IF(AND(INDIRECT(A73&amp;ROW())=B95,INDIRECT(A96&amp;ROW())=C94),1,0)))</f>
        <v>0</v>
      </c>
      <c r="J523">
        <f ca="1">IF(AND(INDIRECT(A73&amp;ROW())=B95,INDIRECT(A96&amp;ROW())=C95),1,IF(AND(INDIRECT(A73&amp;ROW())=B95,INDIRECT(A96&amp;ROW())=C96),1,0))</f>
        <v>0</v>
      </c>
      <c r="K523">
        <f ca="1">DAYS360(INDIRECT(C68&amp;ROW()),TODAY())</f>
        <v>721</v>
      </c>
      <c r="L523">
        <f ca="1">DAYS360(INDIRECT(C69&amp;ROW()),TODAY())</f>
        <v>728</v>
      </c>
      <c r="M523">
        <f ca="1">HYPERLINK(CONCATENATE("https://bugzilla.houston.hp.com:1181/bugzilla/show_bug.cgi?id=",INDIRECT(C70&amp;ROW())),INDIRECT(C70&amp;ROW()))</f>
        <v>61271</v>
      </c>
      <c r="N523">
        <v>61271</v>
      </c>
      <c r="O523" t="s">
        <v>241</v>
      </c>
      <c r="P523" t="s">
        <v>936</v>
      </c>
      <c r="Q523" t="s">
        <v>16</v>
      </c>
      <c r="R523" t="s">
        <v>251</v>
      </c>
      <c r="S523" t="s">
        <v>296</v>
      </c>
      <c r="U523" s="6">
        <v>42125.494571759256</v>
      </c>
      <c r="V523" t="s">
        <v>18</v>
      </c>
      <c r="W523" t="s">
        <v>17</v>
      </c>
      <c r="X523" s="6">
        <v>42118.46429398148</v>
      </c>
      <c r="Y523" t="s">
        <v>122</v>
      </c>
      <c r="AB523" t="s">
        <v>200</v>
      </c>
      <c r="AC523" t="s">
        <v>247</v>
      </c>
      <c r="AD523" t="s">
        <v>227</v>
      </c>
      <c r="AE523" t="s">
        <v>238</v>
      </c>
      <c r="AG523" t="s">
        <v>121</v>
      </c>
      <c r="AH523" t="s">
        <v>327</v>
      </c>
      <c r="AI523" t="s">
        <v>121</v>
      </c>
      <c r="AJ523" t="s">
        <v>716</v>
      </c>
      <c r="AK523" t="s">
        <v>121</v>
      </c>
    </row>
    <row r="524" spans="9:37" x14ac:dyDescent="0.3">
      <c r="I524">
        <f ca="1">IF(OR(INDIRECT(A73&amp;ROW())=B93,INDIRECT(A73&amp;ROW())=B94),1,IF(AND(INDIRECT(A73&amp;ROW())=B95,INDIRECT(A96&amp;ROW())=C93),1,IF(AND(INDIRECT(A73&amp;ROW())=B95,INDIRECT(A96&amp;ROW())=C94),1,0)))</f>
        <v>0</v>
      </c>
      <c r="J524">
        <f ca="1">IF(AND(INDIRECT(A73&amp;ROW())=B95,INDIRECT(A96&amp;ROW())=C95),1,IF(AND(INDIRECT(A73&amp;ROW())=B95,INDIRECT(A96&amp;ROW())=C96),1,0))</f>
        <v>0</v>
      </c>
      <c r="K524">
        <f ca="1">DAYS360(INDIRECT(C68&amp;ROW()),TODAY())</f>
        <v>721</v>
      </c>
      <c r="L524">
        <f ca="1">DAYS360(INDIRECT(C69&amp;ROW()),TODAY())</f>
        <v>728</v>
      </c>
      <c r="M524">
        <f ca="1">HYPERLINK(CONCATENATE("https://bugzilla.houston.hp.com:1181/bugzilla/show_bug.cgi?id=",INDIRECT(C70&amp;ROW())),INDIRECT(C70&amp;ROW()))</f>
        <v>61285</v>
      </c>
      <c r="N524">
        <v>61285</v>
      </c>
      <c r="O524" t="s">
        <v>241</v>
      </c>
      <c r="P524" t="s">
        <v>935</v>
      </c>
      <c r="Q524" t="s">
        <v>16</v>
      </c>
      <c r="R524" t="s">
        <v>579</v>
      </c>
      <c r="S524" t="s">
        <v>552</v>
      </c>
      <c r="T524" t="s">
        <v>980</v>
      </c>
      <c r="U524" s="6">
        <v>42125.494745370372</v>
      </c>
      <c r="V524" t="s">
        <v>18</v>
      </c>
      <c r="W524" t="s">
        <v>17</v>
      </c>
      <c r="X524" s="6">
        <v>42118.515902777777</v>
      </c>
      <c r="Y524" t="s">
        <v>122</v>
      </c>
      <c r="AB524" t="s">
        <v>200</v>
      </c>
      <c r="AC524" t="s">
        <v>247</v>
      </c>
      <c r="AD524" t="s">
        <v>227</v>
      </c>
      <c r="AE524" t="s">
        <v>238</v>
      </c>
      <c r="AG524" t="s">
        <v>121</v>
      </c>
      <c r="AH524" t="s">
        <v>327</v>
      </c>
      <c r="AI524" t="s">
        <v>121</v>
      </c>
      <c r="AJ524" t="s">
        <v>716</v>
      </c>
      <c r="AK524" t="s">
        <v>121</v>
      </c>
    </row>
    <row r="525" spans="9:37" x14ac:dyDescent="0.3">
      <c r="I525">
        <f ca="1">IF(OR(INDIRECT(A73&amp;ROW())=B93,INDIRECT(A73&amp;ROW())=B94),1,IF(AND(INDIRECT(A73&amp;ROW())=B95,INDIRECT(A96&amp;ROW())=C93),1,IF(AND(INDIRECT(A73&amp;ROW())=B95,INDIRECT(A96&amp;ROW())=C94),1,0)))</f>
        <v>0</v>
      </c>
      <c r="J525">
        <f ca="1">IF(AND(INDIRECT(A73&amp;ROW())=B95,INDIRECT(A96&amp;ROW())=C95),1,IF(AND(INDIRECT(A73&amp;ROW())=B95,INDIRECT(A96&amp;ROW())=C96),1,0))</f>
        <v>0</v>
      </c>
      <c r="K525">
        <f ca="1">DAYS360(INDIRECT(C68&amp;ROW()),TODAY())</f>
        <v>724</v>
      </c>
      <c r="L525">
        <f ca="1">DAYS360(INDIRECT(C69&amp;ROW()),TODAY())</f>
        <v>728</v>
      </c>
      <c r="M525">
        <f ca="1">HYPERLINK(CONCATENATE("https://bugzilla.houston.hp.com:1181/bugzilla/show_bug.cgi?id=",INDIRECT(C70&amp;ROW())),INDIRECT(C70&amp;ROW()))</f>
        <v>61286</v>
      </c>
      <c r="N525">
        <v>61286</v>
      </c>
      <c r="O525" t="s">
        <v>36</v>
      </c>
      <c r="P525" t="s">
        <v>934</v>
      </c>
      <c r="Q525" t="s">
        <v>16</v>
      </c>
      <c r="R525" t="s">
        <v>248</v>
      </c>
      <c r="S525" t="s">
        <v>552</v>
      </c>
      <c r="U525" s="6">
        <v>42122.323900462965</v>
      </c>
      <c r="V525" t="s">
        <v>18</v>
      </c>
      <c r="W525" t="s">
        <v>17</v>
      </c>
      <c r="X525" s="6">
        <v>42118.516018518516</v>
      </c>
      <c r="Y525" t="s">
        <v>122</v>
      </c>
      <c r="AB525" t="s">
        <v>200</v>
      </c>
      <c r="AC525" t="s">
        <v>247</v>
      </c>
      <c r="AD525" t="s">
        <v>227</v>
      </c>
      <c r="AE525" t="s">
        <v>238</v>
      </c>
      <c r="AG525" t="s">
        <v>121</v>
      </c>
      <c r="AH525" t="s">
        <v>327</v>
      </c>
      <c r="AI525" t="s">
        <v>121</v>
      </c>
      <c r="AJ525" t="s">
        <v>716</v>
      </c>
      <c r="AK525" t="s">
        <v>121</v>
      </c>
    </row>
    <row r="526" spans="9:37" x14ac:dyDescent="0.3">
      <c r="I526">
        <f ca="1">IF(OR(INDIRECT(A73&amp;ROW())=B93,INDIRECT(A73&amp;ROW())=B94),1,IF(AND(INDIRECT(A73&amp;ROW())=B95,INDIRECT(A96&amp;ROW())=C93),1,IF(AND(INDIRECT(A73&amp;ROW())=B95,INDIRECT(A96&amp;ROW())=C94),1,0)))</f>
        <v>0</v>
      </c>
      <c r="J526">
        <f ca="1">IF(AND(INDIRECT(A73&amp;ROW())=B95,INDIRECT(A96&amp;ROW())=C95),1,IF(AND(INDIRECT(A73&amp;ROW())=B95,INDIRECT(A96&amp;ROW())=C96),1,0))</f>
        <v>1</v>
      </c>
      <c r="K526">
        <f ca="1">DAYS360(INDIRECT(C68&amp;ROW()),TODAY())</f>
        <v>716</v>
      </c>
      <c r="L526">
        <f ca="1">DAYS360(INDIRECT(C69&amp;ROW()),TODAY())</f>
        <v>725</v>
      </c>
      <c r="M526">
        <f ca="1">HYPERLINK(CONCATENATE("https://bugzilla.houston.hp.com:1181/bugzilla/show_bug.cgi?id=",INDIRECT(C70&amp;ROW())),INDIRECT(C70&amp;ROW()))</f>
        <v>61403</v>
      </c>
      <c r="N526">
        <v>61403</v>
      </c>
      <c r="O526" t="s">
        <v>241</v>
      </c>
      <c r="P526" t="s">
        <v>978</v>
      </c>
      <c r="Q526" t="s">
        <v>25</v>
      </c>
      <c r="R526" t="s">
        <v>251</v>
      </c>
      <c r="S526" t="s">
        <v>52</v>
      </c>
      <c r="U526" s="6">
        <v>42130.354027777779</v>
      </c>
      <c r="V526" t="s">
        <v>18</v>
      </c>
      <c r="W526" t="s">
        <v>783</v>
      </c>
      <c r="X526" s="6">
        <v>42121.557916666665</v>
      </c>
      <c r="Y526" t="s">
        <v>119</v>
      </c>
      <c r="AB526" t="s">
        <v>201</v>
      </c>
      <c r="AC526" t="s">
        <v>247</v>
      </c>
      <c r="AD526" t="s">
        <v>222</v>
      </c>
      <c r="AE526" t="s">
        <v>221</v>
      </c>
      <c r="AG526" t="s">
        <v>121</v>
      </c>
      <c r="AH526" t="s">
        <v>327</v>
      </c>
      <c r="AI526" t="s">
        <v>121</v>
      </c>
      <c r="AJ526" t="s">
        <v>716</v>
      </c>
      <c r="AK526" t="s">
        <v>121</v>
      </c>
    </row>
    <row r="527" spans="9:37" x14ac:dyDescent="0.3">
      <c r="I527">
        <f ca="1">IF(OR(INDIRECT(A73&amp;ROW())=B93,INDIRECT(A73&amp;ROW())=B94),1,IF(AND(INDIRECT(A73&amp;ROW())=B95,INDIRECT(A96&amp;ROW())=C93),1,IF(AND(INDIRECT(A73&amp;ROW())=B95,INDIRECT(A96&amp;ROW())=C94),1,0)))</f>
        <v>0</v>
      </c>
      <c r="J527">
        <f ca="1">IF(AND(INDIRECT(A73&amp;ROW())=B95,INDIRECT(A96&amp;ROW())=C95),1,IF(AND(INDIRECT(A73&amp;ROW())=B95,INDIRECT(A96&amp;ROW())=C96),1,0))</f>
        <v>1</v>
      </c>
      <c r="K527">
        <f ca="1">DAYS360(INDIRECT(C68&amp;ROW()),TODAY())</f>
        <v>716</v>
      </c>
      <c r="L527">
        <f ca="1">DAYS360(INDIRECT(C69&amp;ROW()),TODAY())</f>
        <v>724</v>
      </c>
      <c r="M527">
        <f ca="1">HYPERLINK(CONCATENATE("https://bugzilla.houston.hp.com:1181/bugzilla/show_bug.cgi?id=",INDIRECT(C70&amp;ROW())),INDIRECT(C70&amp;ROW()))</f>
        <v>61422</v>
      </c>
      <c r="N527">
        <v>61422</v>
      </c>
      <c r="O527" t="s">
        <v>241</v>
      </c>
      <c r="P527" t="s">
        <v>977</v>
      </c>
      <c r="Q527" t="s">
        <v>25</v>
      </c>
      <c r="R527" t="s">
        <v>579</v>
      </c>
      <c r="S527" t="s">
        <v>552</v>
      </c>
      <c r="T527" t="s">
        <v>1007</v>
      </c>
      <c r="U527" s="6">
        <v>42130.313888888886</v>
      </c>
      <c r="V527" t="s">
        <v>18</v>
      </c>
      <c r="W527" t="s">
        <v>783</v>
      </c>
      <c r="X527" s="6">
        <v>42122.016122685185</v>
      </c>
      <c r="Y527" t="s">
        <v>119</v>
      </c>
      <c r="AB527" t="s">
        <v>201</v>
      </c>
      <c r="AC527" t="s">
        <v>247</v>
      </c>
      <c r="AD527" t="s">
        <v>222</v>
      </c>
      <c r="AE527" t="s">
        <v>221</v>
      </c>
      <c r="AG527" t="s">
        <v>121</v>
      </c>
      <c r="AH527" t="s">
        <v>327</v>
      </c>
      <c r="AI527" t="s">
        <v>121</v>
      </c>
      <c r="AJ527" t="s">
        <v>716</v>
      </c>
      <c r="AK527" t="s">
        <v>121</v>
      </c>
    </row>
    <row r="528" spans="9:37" x14ac:dyDescent="0.3">
      <c r="I528">
        <f ca="1">IF(OR(INDIRECT(A73&amp;ROW())=B93,INDIRECT(A73&amp;ROW())=B94),1,IF(AND(INDIRECT(A73&amp;ROW())=B95,INDIRECT(A96&amp;ROW())=C93),1,IF(AND(INDIRECT(A73&amp;ROW())=B95,INDIRECT(A96&amp;ROW())=C94),1,0)))</f>
        <v>0</v>
      </c>
      <c r="J528">
        <f ca="1">IF(AND(INDIRECT(A73&amp;ROW())=B95,INDIRECT(A96&amp;ROW())=C95),1,IF(AND(INDIRECT(A73&amp;ROW())=B95,INDIRECT(A96&amp;ROW())=C96),1,0))</f>
        <v>1</v>
      </c>
      <c r="K528">
        <f ca="1">DAYS360(INDIRECT(C68&amp;ROW()),TODAY())</f>
        <v>716</v>
      </c>
      <c r="L528">
        <f ca="1">DAYS360(INDIRECT(C69&amp;ROW()),TODAY())</f>
        <v>724</v>
      </c>
      <c r="M528">
        <f ca="1">HYPERLINK(CONCATENATE("https://bugzilla.houston.hp.com:1181/bugzilla/show_bug.cgi?id=",INDIRECT(C70&amp;ROW())),INDIRECT(C70&amp;ROW()))</f>
        <v>61423</v>
      </c>
      <c r="N528">
        <v>61423</v>
      </c>
      <c r="O528" t="s">
        <v>241</v>
      </c>
      <c r="P528" t="s">
        <v>976</v>
      </c>
      <c r="Q528" t="s">
        <v>25</v>
      </c>
      <c r="R528" t="s">
        <v>783</v>
      </c>
      <c r="S528" t="s">
        <v>552</v>
      </c>
      <c r="U528" s="6">
        <v>42130.354027777779</v>
      </c>
      <c r="V528" t="s">
        <v>18</v>
      </c>
      <c r="W528" t="s">
        <v>783</v>
      </c>
      <c r="X528" s="6">
        <v>42122.016192129631</v>
      </c>
      <c r="Y528" t="s">
        <v>119</v>
      </c>
      <c r="AB528" t="s">
        <v>201</v>
      </c>
      <c r="AC528" t="s">
        <v>247</v>
      </c>
      <c r="AD528" t="s">
        <v>222</v>
      </c>
      <c r="AE528" t="s">
        <v>221</v>
      </c>
      <c r="AG528" t="s">
        <v>121</v>
      </c>
      <c r="AH528" t="s">
        <v>327</v>
      </c>
      <c r="AI528" t="s">
        <v>121</v>
      </c>
      <c r="AJ528" t="s">
        <v>716</v>
      </c>
      <c r="AK528" t="s">
        <v>121</v>
      </c>
    </row>
    <row r="529" spans="9:37" x14ac:dyDescent="0.3">
      <c r="I529">
        <f ca="1">IF(OR(INDIRECT(A73&amp;ROW())=B93,INDIRECT(A73&amp;ROW())=B94),1,IF(AND(INDIRECT(A73&amp;ROW())=B95,INDIRECT(A96&amp;ROW())=C93),1,IF(AND(INDIRECT(A73&amp;ROW())=B95,INDIRECT(A96&amp;ROW())=C94),1,0)))</f>
        <v>0</v>
      </c>
      <c r="J529">
        <f ca="1">IF(AND(INDIRECT(A73&amp;ROW())=B95,INDIRECT(A96&amp;ROW())=C95),1,IF(AND(INDIRECT(A73&amp;ROW())=B95,INDIRECT(A96&amp;ROW())=C96),1,0))</f>
        <v>1</v>
      </c>
      <c r="K529">
        <f ca="1">DAYS360(INDIRECT(C68&amp;ROW()),TODAY())</f>
        <v>716</v>
      </c>
      <c r="L529">
        <f ca="1">DAYS360(INDIRECT(C69&amp;ROW()),TODAY())</f>
        <v>724</v>
      </c>
      <c r="M529">
        <f ca="1">HYPERLINK(CONCATENATE("https://bugzilla.houston.hp.com:1181/bugzilla/show_bug.cgi?id=",INDIRECT(C70&amp;ROW())),INDIRECT(C70&amp;ROW()))</f>
        <v>61424</v>
      </c>
      <c r="N529">
        <v>61424</v>
      </c>
      <c r="O529" t="s">
        <v>241</v>
      </c>
      <c r="P529" t="s">
        <v>975</v>
      </c>
      <c r="Q529" t="s">
        <v>25</v>
      </c>
      <c r="R529" t="s">
        <v>248</v>
      </c>
      <c r="S529" t="s">
        <v>552</v>
      </c>
      <c r="U529" s="6">
        <v>42130.354004629633</v>
      </c>
      <c r="V529" t="s">
        <v>18</v>
      </c>
      <c r="W529" t="s">
        <v>783</v>
      </c>
      <c r="X529" s="6">
        <v>42122.016284722224</v>
      </c>
      <c r="Y529" t="s">
        <v>119</v>
      </c>
      <c r="AB529" t="s">
        <v>201</v>
      </c>
      <c r="AC529" t="s">
        <v>247</v>
      </c>
      <c r="AD529" t="s">
        <v>222</v>
      </c>
      <c r="AE529" t="s">
        <v>221</v>
      </c>
      <c r="AG529" t="s">
        <v>121</v>
      </c>
      <c r="AH529" t="s">
        <v>327</v>
      </c>
      <c r="AI529" t="s">
        <v>121</v>
      </c>
      <c r="AJ529" t="s">
        <v>716</v>
      </c>
      <c r="AK529" t="s">
        <v>121</v>
      </c>
    </row>
    <row r="530" spans="9:37" x14ac:dyDescent="0.3">
      <c r="I530">
        <f ca="1">IF(OR(INDIRECT(A73&amp;ROW())=B93,INDIRECT(A73&amp;ROW())=B94),1,IF(AND(INDIRECT(A73&amp;ROW())=B95,INDIRECT(A96&amp;ROW())=C93),1,IF(AND(INDIRECT(A73&amp;ROW())=B95,INDIRECT(A96&amp;ROW())=C94),1,0)))</f>
        <v>0</v>
      </c>
      <c r="J530">
        <f ca="1">IF(AND(INDIRECT(A73&amp;ROW())=B95,INDIRECT(A96&amp;ROW())=C95),1,IF(AND(INDIRECT(A73&amp;ROW())=B95,INDIRECT(A96&amp;ROW())=C96),1,0))</f>
        <v>1</v>
      </c>
      <c r="K530">
        <f ca="1">DAYS360(INDIRECT(C68&amp;ROW()),TODAY())</f>
        <v>724</v>
      </c>
      <c r="L530">
        <f ca="1">DAYS360(INDIRECT(C69&amp;ROW()),TODAY())</f>
        <v>724</v>
      </c>
      <c r="M530">
        <f ca="1">HYPERLINK(CONCATENATE("https://bugzilla.houston.hp.com:1181/bugzilla/show_bug.cgi?id=",INDIRECT(C70&amp;ROW())),INDIRECT(C70&amp;ROW()))</f>
        <v>61468</v>
      </c>
      <c r="N530">
        <v>61468</v>
      </c>
      <c r="O530" t="s">
        <v>21</v>
      </c>
      <c r="P530" t="s">
        <v>988</v>
      </c>
      <c r="Q530" t="s">
        <v>25</v>
      </c>
      <c r="R530" t="s">
        <v>251</v>
      </c>
      <c r="S530" t="s">
        <v>177</v>
      </c>
      <c r="U530" s="6">
        <v>42122.649826388886</v>
      </c>
      <c r="V530" t="s">
        <v>18</v>
      </c>
      <c r="W530" t="s">
        <v>764</v>
      </c>
      <c r="X530" s="6">
        <v>42122.558807870373</v>
      </c>
      <c r="Y530" t="s">
        <v>245</v>
      </c>
      <c r="AB530" t="s">
        <v>201</v>
      </c>
      <c r="AC530" t="s">
        <v>247</v>
      </c>
      <c r="AD530" t="s">
        <v>222</v>
      </c>
      <c r="AE530" t="s">
        <v>232</v>
      </c>
      <c r="AG530" t="s">
        <v>121</v>
      </c>
      <c r="AH530" t="s">
        <v>327</v>
      </c>
      <c r="AI530" t="s">
        <v>121</v>
      </c>
      <c r="AJ530" t="s">
        <v>716</v>
      </c>
      <c r="AK530" t="s">
        <v>121</v>
      </c>
    </row>
    <row r="531" spans="9:37" x14ac:dyDescent="0.3">
      <c r="I531">
        <f ca="1">IF(OR(INDIRECT(A73&amp;ROW())=B93,INDIRECT(A73&amp;ROW())=B94),1,IF(AND(INDIRECT(A73&amp;ROW())=B95,INDIRECT(A96&amp;ROW())=C93),1,IF(AND(INDIRECT(A73&amp;ROW())=B95,INDIRECT(A96&amp;ROW())=C94),1,0)))</f>
        <v>0</v>
      </c>
      <c r="J531">
        <f ca="1">IF(AND(INDIRECT(A73&amp;ROW())=B95,INDIRECT(A96&amp;ROW())=C95),1,IF(AND(INDIRECT(A73&amp;ROW())=B95,INDIRECT(A96&amp;ROW())=C96),1,0))</f>
        <v>1</v>
      </c>
      <c r="K531">
        <f ca="1">DAYS360(INDIRECT(C68&amp;ROW()),TODAY())</f>
        <v>724</v>
      </c>
      <c r="L531">
        <f ca="1">DAYS360(INDIRECT(C69&amp;ROW()),TODAY())</f>
        <v>724</v>
      </c>
      <c r="M531">
        <f ca="1">HYPERLINK(CONCATENATE("https://bugzilla.houston.hp.com:1181/bugzilla/show_bug.cgi?id=",INDIRECT(C70&amp;ROW())),INDIRECT(C70&amp;ROW()))</f>
        <v>61474</v>
      </c>
      <c r="N531">
        <v>61474</v>
      </c>
      <c r="O531" t="s">
        <v>21</v>
      </c>
      <c r="P531" t="s">
        <v>987</v>
      </c>
      <c r="Q531" t="s">
        <v>25</v>
      </c>
      <c r="R531" t="s">
        <v>783</v>
      </c>
      <c r="S531" t="s">
        <v>552</v>
      </c>
      <c r="U531" s="6">
        <v>42122.649710648147</v>
      </c>
      <c r="V531" t="s">
        <v>18</v>
      </c>
      <c r="W531" t="s">
        <v>764</v>
      </c>
      <c r="X531" s="6">
        <v>42122.649710648147</v>
      </c>
      <c r="Y531" t="s">
        <v>245</v>
      </c>
      <c r="AB531" t="s">
        <v>201</v>
      </c>
      <c r="AC531" t="s">
        <v>247</v>
      </c>
      <c r="AD531" t="s">
        <v>222</v>
      </c>
      <c r="AE531" t="s">
        <v>232</v>
      </c>
      <c r="AG531" t="s">
        <v>121</v>
      </c>
      <c r="AH531" t="s">
        <v>327</v>
      </c>
      <c r="AI531" t="s">
        <v>121</v>
      </c>
      <c r="AJ531" t="s">
        <v>716</v>
      </c>
      <c r="AK531" t="s">
        <v>121</v>
      </c>
    </row>
    <row r="532" spans="9:37" x14ac:dyDescent="0.3">
      <c r="I532">
        <f ca="1">IF(OR(INDIRECT(A73&amp;ROW())=B93,INDIRECT(A73&amp;ROW())=B94),1,IF(AND(INDIRECT(A73&amp;ROW())=B95,INDIRECT(A96&amp;ROW())=C93),1,IF(AND(INDIRECT(A73&amp;ROW())=B95,INDIRECT(A96&amp;ROW())=C94),1,0)))</f>
        <v>0</v>
      </c>
      <c r="J532">
        <f ca="1">IF(AND(INDIRECT(A73&amp;ROW())=B95,INDIRECT(A96&amp;ROW())=C95),1,IF(AND(INDIRECT(A73&amp;ROW())=B95,INDIRECT(A96&amp;ROW())=C96),1,0))</f>
        <v>1</v>
      </c>
      <c r="K532">
        <f ca="1">DAYS360(INDIRECT(C68&amp;ROW()),TODAY())</f>
        <v>724</v>
      </c>
      <c r="L532">
        <f ca="1">DAYS360(INDIRECT(C69&amp;ROW()),TODAY())</f>
        <v>724</v>
      </c>
      <c r="M532">
        <f ca="1">HYPERLINK(CONCATENATE("https://bugzilla.houston.hp.com:1181/bugzilla/show_bug.cgi?id=",INDIRECT(C70&amp;ROW())),INDIRECT(C70&amp;ROW()))</f>
        <v>61475</v>
      </c>
      <c r="N532">
        <v>61475</v>
      </c>
      <c r="O532" t="s">
        <v>21</v>
      </c>
      <c r="P532" t="s">
        <v>986</v>
      </c>
      <c r="Q532" t="s">
        <v>25</v>
      </c>
      <c r="R532" t="s">
        <v>248</v>
      </c>
      <c r="S532" t="s">
        <v>552</v>
      </c>
      <c r="U532" s="6">
        <v>42122.649768518517</v>
      </c>
      <c r="V532" t="s">
        <v>18</v>
      </c>
      <c r="W532" t="s">
        <v>764</v>
      </c>
      <c r="X532" s="6">
        <v>42122.649768518517</v>
      </c>
      <c r="Y532" t="s">
        <v>245</v>
      </c>
      <c r="AB532" t="s">
        <v>201</v>
      </c>
      <c r="AC532" t="s">
        <v>247</v>
      </c>
      <c r="AD532" t="s">
        <v>222</v>
      </c>
      <c r="AE532" t="s">
        <v>232</v>
      </c>
      <c r="AG532" t="s">
        <v>121</v>
      </c>
      <c r="AH532" t="s">
        <v>327</v>
      </c>
      <c r="AI532" t="s">
        <v>121</v>
      </c>
      <c r="AJ532" t="s">
        <v>716</v>
      </c>
      <c r="AK532" t="s">
        <v>121</v>
      </c>
    </row>
    <row r="533" spans="9:37" x14ac:dyDescent="0.3">
      <c r="I533">
        <f ca="1">IF(OR(INDIRECT(A73&amp;ROW())=B93,INDIRECT(A73&amp;ROW())=B94),1,IF(AND(INDIRECT(A73&amp;ROW())=B95,INDIRECT(A96&amp;ROW())=C93),1,IF(AND(INDIRECT(A73&amp;ROW())=B95,INDIRECT(A96&amp;ROW())=C94),1,0)))</f>
        <v>0</v>
      </c>
      <c r="J533">
        <f ca="1">IF(AND(INDIRECT(A73&amp;ROW())=B95,INDIRECT(A96&amp;ROW())=C95),1,IF(AND(INDIRECT(A73&amp;ROW())=B95,INDIRECT(A96&amp;ROW())=C96),1,0))</f>
        <v>0</v>
      </c>
      <c r="K533">
        <f ca="1">DAYS360(INDIRECT(C68&amp;ROW()),TODAY())</f>
        <v>701</v>
      </c>
      <c r="L533">
        <f ca="1">DAYS360(INDIRECT(C69&amp;ROW()),TODAY())</f>
        <v>723</v>
      </c>
      <c r="M533">
        <f ca="1">HYPERLINK(CONCATENATE("https://bugzilla.houston.hp.com:1181/bugzilla/show_bug.cgi?id=",INDIRECT(C70&amp;ROW())),INDIRECT(C70&amp;ROW()))</f>
        <v>61486</v>
      </c>
      <c r="N533">
        <v>61486</v>
      </c>
      <c r="O533" t="s">
        <v>36</v>
      </c>
      <c r="P533" t="s">
        <v>985</v>
      </c>
      <c r="Q533" t="s">
        <v>16</v>
      </c>
      <c r="R533" t="s">
        <v>783</v>
      </c>
      <c r="S533" t="s">
        <v>552</v>
      </c>
      <c r="U533" s="6">
        <v>42145.312928240739</v>
      </c>
      <c r="V533" t="s">
        <v>18</v>
      </c>
      <c r="W533" t="s">
        <v>764</v>
      </c>
      <c r="X533" s="6">
        <v>42123.016064814816</v>
      </c>
      <c r="Y533" t="s">
        <v>124</v>
      </c>
      <c r="AB533" t="s">
        <v>200</v>
      </c>
      <c r="AC533" t="s">
        <v>247</v>
      </c>
      <c r="AD533" t="s">
        <v>220</v>
      </c>
      <c r="AE533" t="s">
        <v>219</v>
      </c>
      <c r="AG533" t="s">
        <v>121</v>
      </c>
      <c r="AH533" t="s">
        <v>327</v>
      </c>
      <c r="AI533" t="s">
        <v>121</v>
      </c>
      <c r="AJ533" t="s">
        <v>716</v>
      </c>
      <c r="AK533" t="s">
        <v>121</v>
      </c>
    </row>
    <row r="534" spans="9:37" x14ac:dyDescent="0.3">
      <c r="I534">
        <f ca="1">IF(OR(INDIRECT(A73&amp;ROW())=B93,INDIRECT(A73&amp;ROW())=B94),1,IF(AND(INDIRECT(A73&amp;ROW())=B95,INDIRECT(A96&amp;ROW())=C93),1,IF(AND(INDIRECT(A73&amp;ROW())=B95,INDIRECT(A96&amp;ROW())=C94),1,0)))</f>
        <v>0</v>
      </c>
      <c r="J534">
        <f ca="1">IF(AND(INDIRECT(A73&amp;ROW())=B95,INDIRECT(A96&amp;ROW())=C95),1,IF(AND(INDIRECT(A73&amp;ROW())=B95,INDIRECT(A96&amp;ROW())=C96),1,0))</f>
        <v>0</v>
      </c>
      <c r="K534">
        <f ca="1">DAYS360(INDIRECT(C68&amp;ROW()),TODAY())</f>
        <v>721</v>
      </c>
      <c r="L534">
        <f ca="1">DAYS360(INDIRECT(C69&amp;ROW()),TODAY())</f>
        <v>723</v>
      </c>
      <c r="M534">
        <f ca="1">HYPERLINK(CONCATENATE("https://bugzilla.houston.hp.com:1181/bugzilla/show_bug.cgi?id=",INDIRECT(C70&amp;ROW())),INDIRECT(C70&amp;ROW()))</f>
        <v>61487</v>
      </c>
      <c r="N534">
        <v>61487</v>
      </c>
      <c r="O534" t="s">
        <v>36</v>
      </c>
      <c r="P534" t="s">
        <v>984</v>
      </c>
      <c r="Q534" t="s">
        <v>16</v>
      </c>
      <c r="R534" t="s">
        <v>248</v>
      </c>
      <c r="S534" t="s">
        <v>552</v>
      </c>
      <c r="U534" s="6">
        <v>42125.423750000002</v>
      </c>
      <c r="V534" t="s">
        <v>18</v>
      </c>
      <c r="W534" t="s">
        <v>764</v>
      </c>
      <c r="X534" s="6">
        <v>42123.016111111108</v>
      </c>
      <c r="Y534" t="s">
        <v>124</v>
      </c>
      <c r="AB534" t="s">
        <v>200</v>
      </c>
      <c r="AC534" t="s">
        <v>247</v>
      </c>
      <c r="AD534" t="s">
        <v>220</v>
      </c>
      <c r="AE534" t="s">
        <v>243</v>
      </c>
      <c r="AG534" t="s">
        <v>121</v>
      </c>
      <c r="AH534" t="s">
        <v>327</v>
      </c>
      <c r="AI534" t="s">
        <v>121</v>
      </c>
      <c r="AJ534" t="s">
        <v>716</v>
      </c>
      <c r="AK534" t="s">
        <v>121</v>
      </c>
    </row>
    <row r="535" spans="9:37" x14ac:dyDescent="0.3">
      <c r="I535">
        <f ca="1">IF(OR(INDIRECT(A73&amp;ROW())=B93,INDIRECT(A73&amp;ROW())=B94),1,IF(AND(INDIRECT(A73&amp;ROW())=B95,INDIRECT(A96&amp;ROW())=C93),1,IF(AND(INDIRECT(A73&amp;ROW())=B95,INDIRECT(A96&amp;ROW())=C94),1,0)))</f>
        <v>1</v>
      </c>
      <c r="J535">
        <f ca="1">IF(AND(INDIRECT(A73&amp;ROW())=B95,INDIRECT(A96&amp;ROW())=C95),1,IF(AND(INDIRECT(A73&amp;ROW())=B95,INDIRECT(A96&amp;ROW())=C96),1,0))</f>
        <v>0</v>
      </c>
      <c r="K535">
        <f ca="1">DAYS360(INDIRECT(C68&amp;ROW()),TODAY())</f>
        <v>691</v>
      </c>
      <c r="L535">
        <f ca="1">DAYS360(INDIRECT(C69&amp;ROW()),TODAY())</f>
        <v>723</v>
      </c>
      <c r="M535">
        <f ca="1">HYPERLINK(CONCATENATE("https://bugzilla.houston.hp.com:1181/bugzilla/show_bug.cgi?id=",INDIRECT(C70&amp;ROW())),INDIRECT(C70&amp;ROW()))</f>
        <v>61543</v>
      </c>
      <c r="N535">
        <v>61543</v>
      </c>
      <c r="O535" t="s">
        <v>59</v>
      </c>
      <c r="P535" t="s">
        <v>983</v>
      </c>
      <c r="Q535" t="s">
        <v>25</v>
      </c>
      <c r="R535" t="s">
        <v>251</v>
      </c>
      <c r="S535" t="s">
        <v>296</v>
      </c>
      <c r="T535" t="s">
        <v>1122</v>
      </c>
      <c r="U535" s="6">
        <v>42156.243402777778</v>
      </c>
      <c r="V535" t="s">
        <v>35</v>
      </c>
      <c r="W535" t="s">
        <v>17</v>
      </c>
      <c r="X535" s="6">
        <v>42123.449548611112</v>
      </c>
      <c r="Y535" t="s">
        <v>125</v>
      </c>
      <c r="AB535" t="s">
        <v>200</v>
      </c>
      <c r="AC535" t="s">
        <v>247</v>
      </c>
      <c r="AD535" t="s">
        <v>220</v>
      </c>
      <c r="AE535" t="s">
        <v>224</v>
      </c>
      <c r="AG535" t="s">
        <v>121</v>
      </c>
      <c r="AH535" t="s">
        <v>327</v>
      </c>
      <c r="AI535" t="s">
        <v>121</v>
      </c>
      <c r="AJ535" t="s">
        <v>715</v>
      </c>
      <c r="AK535" t="s">
        <v>121</v>
      </c>
    </row>
    <row r="536" spans="9:37" x14ac:dyDescent="0.3">
      <c r="I536">
        <f ca="1">IF(OR(INDIRECT(A73&amp;ROW())=B93,INDIRECT(A73&amp;ROW())=B94),1,IF(AND(INDIRECT(A73&amp;ROW())=B95,INDIRECT(A96&amp;ROW())=C93),1,IF(AND(INDIRECT(A73&amp;ROW())=B95,INDIRECT(A96&amp;ROW())=C94),1,0)))</f>
        <v>1</v>
      </c>
      <c r="J536">
        <f ca="1">IF(AND(INDIRECT(A73&amp;ROW())=B95,INDIRECT(A96&amp;ROW())=C95),1,IF(AND(INDIRECT(A73&amp;ROW())=B95,INDIRECT(A96&amp;ROW())=C96),1,0))</f>
        <v>0</v>
      </c>
      <c r="K536">
        <f ca="1">DAYS360(INDIRECT(C68&amp;ROW()),TODAY())</f>
        <v>695</v>
      </c>
      <c r="L536">
        <f ca="1">DAYS360(INDIRECT(C69&amp;ROW()),TODAY())</f>
        <v>723</v>
      </c>
      <c r="M536">
        <f ca="1">HYPERLINK(CONCATENATE("https://bugzilla.houston.hp.com:1181/bugzilla/show_bug.cgi?id=",INDIRECT(C70&amp;ROW())),INDIRECT(C70&amp;ROW()))</f>
        <v>61546</v>
      </c>
      <c r="N536">
        <v>61546</v>
      </c>
      <c r="O536" t="s">
        <v>59</v>
      </c>
      <c r="P536" t="s">
        <v>982</v>
      </c>
      <c r="Q536" t="s">
        <v>25</v>
      </c>
      <c r="R536" t="s">
        <v>783</v>
      </c>
      <c r="S536" t="s">
        <v>552</v>
      </c>
      <c r="U536" s="6">
        <v>42151.313148148147</v>
      </c>
      <c r="V536" t="s">
        <v>18</v>
      </c>
      <c r="W536" t="s">
        <v>17</v>
      </c>
      <c r="X536" s="6">
        <v>42123.465462962966</v>
      </c>
      <c r="Y536" t="s">
        <v>125</v>
      </c>
      <c r="AB536" t="s">
        <v>200</v>
      </c>
      <c r="AC536" t="s">
        <v>247</v>
      </c>
      <c r="AD536" t="s">
        <v>220</v>
      </c>
      <c r="AE536" t="s">
        <v>224</v>
      </c>
      <c r="AG536" t="s">
        <v>337</v>
      </c>
      <c r="AH536" t="s">
        <v>327</v>
      </c>
      <c r="AI536" t="s">
        <v>121</v>
      </c>
      <c r="AJ536" t="s">
        <v>715</v>
      </c>
      <c r="AK536" t="s">
        <v>1098</v>
      </c>
    </row>
    <row r="537" spans="9:37" x14ac:dyDescent="0.3">
      <c r="I537">
        <f ca="1">IF(OR(INDIRECT(A73&amp;ROW())=B93,INDIRECT(A73&amp;ROW())=B94),1,IF(AND(INDIRECT(A73&amp;ROW())=B95,INDIRECT(A96&amp;ROW())=C93),1,IF(AND(INDIRECT(A73&amp;ROW())=B95,INDIRECT(A96&amp;ROW())=C94),1,0)))</f>
        <v>1</v>
      </c>
      <c r="J537">
        <f ca="1">IF(AND(INDIRECT(A73&amp;ROW())=B95,INDIRECT(A96&amp;ROW())=C95),1,IF(AND(INDIRECT(A73&amp;ROW())=B95,INDIRECT(A96&amp;ROW())=C96),1,0))</f>
        <v>0</v>
      </c>
      <c r="K537">
        <f ca="1">DAYS360(INDIRECT(C68&amp;ROW()),TODAY())</f>
        <v>703</v>
      </c>
      <c r="L537">
        <f ca="1">DAYS360(INDIRECT(C69&amp;ROW()),TODAY())</f>
        <v>723</v>
      </c>
      <c r="M537">
        <f ca="1">HYPERLINK(CONCATENATE("https://bugzilla.houston.hp.com:1181/bugzilla/show_bug.cgi?id=",INDIRECT(C70&amp;ROW())),INDIRECT(C70&amp;ROW()))</f>
        <v>61547</v>
      </c>
      <c r="N537">
        <v>61547</v>
      </c>
      <c r="O537" t="s">
        <v>43</v>
      </c>
      <c r="P537" t="s">
        <v>981</v>
      </c>
      <c r="Q537" t="s">
        <v>25</v>
      </c>
      <c r="R537" t="s">
        <v>248</v>
      </c>
      <c r="S537" t="s">
        <v>552</v>
      </c>
      <c r="U537" s="6">
        <v>42143.45590277778</v>
      </c>
      <c r="V537" t="s">
        <v>18</v>
      </c>
      <c r="W537" t="s">
        <v>17</v>
      </c>
      <c r="X537" s="6">
        <v>42123.465532407405</v>
      </c>
      <c r="Y537" t="s">
        <v>125</v>
      </c>
      <c r="AB537" t="s">
        <v>200</v>
      </c>
      <c r="AC537" t="s">
        <v>247</v>
      </c>
      <c r="AD537" t="s">
        <v>220</v>
      </c>
      <c r="AE537" t="s">
        <v>224</v>
      </c>
      <c r="AG537" t="s">
        <v>121</v>
      </c>
      <c r="AH537" t="s">
        <v>327</v>
      </c>
      <c r="AI537" t="s">
        <v>121</v>
      </c>
      <c r="AJ537" t="s">
        <v>715</v>
      </c>
      <c r="AK537" t="s">
        <v>121</v>
      </c>
    </row>
    <row r="538" spans="9:37" x14ac:dyDescent="0.3">
      <c r="I538">
        <f ca="1">IF(OR(INDIRECT(A73&amp;ROW())=B93,INDIRECT(A73&amp;ROW())=B94),1,IF(AND(INDIRECT(A73&amp;ROW())=B95,INDIRECT(A96&amp;ROW())=C93),1,IF(AND(INDIRECT(A73&amp;ROW())=B95,INDIRECT(A96&amp;ROW())=C94),1,0)))</f>
        <v>0</v>
      </c>
      <c r="J538">
        <f ca="1">IF(AND(INDIRECT(A73&amp;ROW())=B95,INDIRECT(A96&amp;ROW())=C95),1,IF(AND(INDIRECT(A73&amp;ROW())=B95,INDIRECT(A96&amp;ROW())=C96),1,0))</f>
        <v>1</v>
      </c>
      <c r="K538">
        <f ca="1">DAYS360(INDIRECT(C68&amp;ROW()),TODAY())</f>
        <v>711</v>
      </c>
      <c r="L538">
        <f ca="1">DAYS360(INDIRECT(C69&amp;ROW()),TODAY())</f>
        <v>723</v>
      </c>
      <c r="M538">
        <f ca="1">HYPERLINK(CONCATENATE("https://bugzilla.houston.hp.com:1181/bugzilla/show_bug.cgi?id=",INDIRECT(C70&amp;ROW())),INDIRECT(C70&amp;ROW()))</f>
        <v>61555</v>
      </c>
      <c r="N538">
        <v>61555</v>
      </c>
      <c r="O538" t="s">
        <v>21</v>
      </c>
      <c r="P538" t="s">
        <v>997</v>
      </c>
      <c r="Q538" t="s">
        <v>25</v>
      </c>
      <c r="R538" t="s">
        <v>251</v>
      </c>
      <c r="S538" t="s">
        <v>365</v>
      </c>
      <c r="U538" s="6">
        <v>42135.357233796298</v>
      </c>
      <c r="V538" t="s">
        <v>18</v>
      </c>
      <c r="W538" t="s">
        <v>783</v>
      </c>
      <c r="X538" s="6">
        <v>42123.566493055558</v>
      </c>
      <c r="Y538" t="s">
        <v>246</v>
      </c>
      <c r="AB538" t="s">
        <v>201</v>
      </c>
      <c r="AC538" t="s">
        <v>247</v>
      </c>
      <c r="AD538" t="s">
        <v>227</v>
      </c>
      <c r="AE538" t="s">
        <v>237</v>
      </c>
      <c r="AG538" t="s">
        <v>121</v>
      </c>
      <c r="AH538" t="s">
        <v>327</v>
      </c>
      <c r="AI538" t="s">
        <v>121</v>
      </c>
      <c r="AJ538" t="s">
        <v>716</v>
      </c>
      <c r="AK538" t="s">
        <v>121</v>
      </c>
    </row>
    <row r="539" spans="9:37" x14ac:dyDescent="0.3">
      <c r="I539">
        <f ca="1">IF(OR(INDIRECT(A73&amp;ROW())=B93,INDIRECT(A73&amp;ROW())=B94),1,IF(AND(INDIRECT(A73&amp;ROW())=B95,INDIRECT(A96&amp;ROW())=C93),1,IF(AND(INDIRECT(A73&amp;ROW())=B95,INDIRECT(A96&amp;ROW())=C94),1,0)))</f>
        <v>0</v>
      </c>
      <c r="J539">
        <f ca="1">IF(AND(INDIRECT(A73&amp;ROW())=B95,INDIRECT(A96&amp;ROW())=C95),1,IF(AND(INDIRECT(A73&amp;ROW())=B95,INDIRECT(A96&amp;ROW())=C96),1,0))</f>
        <v>1</v>
      </c>
      <c r="K539">
        <f ca="1">DAYS360(INDIRECT(C68&amp;ROW()),TODAY())</f>
        <v>723</v>
      </c>
      <c r="L539">
        <f ca="1">DAYS360(INDIRECT(C69&amp;ROW()),TODAY())</f>
        <v>723</v>
      </c>
      <c r="M539">
        <f ca="1">HYPERLINK(CONCATENATE("https://bugzilla.houston.hp.com:1181/bugzilla/show_bug.cgi?id=",INDIRECT(C70&amp;ROW())),INDIRECT(C70&amp;ROW()))</f>
        <v>61557</v>
      </c>
      <c r="N539">
        <v>61557</v>
      </c>
      <c r="O539" t="s">
        <v>45</v>
      </c>
      <c r="P539" t="s">
        <v>996</v>
      </c>
      <c r="Q539" t="s">
        <v>25</v>
      </c>
      <c r="R539" t="s">
        <v>783</v>
      </c>
      <c r="S539" t="s">
        <v>552</v>
      </c>
      <c r="U539" s="6">
        <v>42123.621203703704</v>
      </c>
      <c r="V539" t="s">
        <v>18</v>
      </c>
      <c r="W539" t="s">
        <v>783</v>
      </c>
      <c r="X539" s="6">
        <v>42123.621203703704</v>
      </c>
      <c r="Y539" t="s">
        <v>246</v>
      </c>
      <c r="AB539" t="s">
        <v>201</v>
      </c>
      <c r="AC539" t="s">
        <v>247</v>
      </c>
      <c r="AD539" t="s">
        <v>227</v>
      </c>
      <c r="AE539" t="s">
        <v>237</v>
      </c>
      <c r="AG539" t="s">
        <v>121</v>
      </c>
      <c r="AH539" t="s">
        <v>327</v>
      </c>
      <c r="AI539" t="s">
        <v>121</v>
      </c>
      <c r="AJ539" t="s">
        <v>716</v>
      </c>
      <c r="AK539" t="s">
        <v>121</v>
      </c>
    </row>
    <row r="540" spans="9:37" x14ac:dyDescent="0.3">
      <c r="I540">
        <f ca="1">IF(OR(INDIRECT(A73&amp;ROW())=B93,INDIRECT(A73&amp;ROW())=B94),1,IF(AND(INDIRECT(A73&amp;ROW())=B95,INDIRECT(A96&amp;ROW())=C93),1,IF(AND(INDIRECT(A73&amp;ROW())=B95,INDIRECT(A96&amp;ROW())=C94),1,0)))</f>
        <v>0</v>
      </c>
      <c r="J540">
        <f ca="1">IF(AND(INDIRECT(A73&amp;ROW())=B95,INDIRECT(A96&amp;ROW())=C95),1,IF(AND(INDIRECT(A73&amp;ROW())=B95,INDIRECT(A96&amp;ROW())=C96),1,0))</f>
        <v>1</v>
      </c>
      <c r="K540">
        <f ca="1">DAYS360(INDIRECT(C68&amp;ROW()),TODAY())</f>
        <v>723</v>
      </c>
      <c r="L540">
        <f ca="1">DAYS360(INDIRECT(C69&amp;ROW()),TODAY())</f>
        <v>723</v>
      </c>
      <c r="M540">
        <f ca="1">HYPERLINK(CONCATENATE("https://bugzilla.houston.hp.com:1181/bugzilla/show_bug.cgi?id=",INDIRECT(C70&amp;ROW())),INDIRECT(C70&amp;ROW()))</f>
        <v>61558</v>
      </c>
      <c r="N540">
        <v>61558</v>
      </c>
      <c r="O540" t="s">
        <v>45</v>
      </c>
      <c r="P540" t="s">
        <v>995</v>
      </c>
      <c r="Q540" t="s">
        <v>25</v>
      </c>
      <c r="R540" t="s">
        <v>248</v>
      </c>
      <c r="S540" t="s">
        <v>552</v>
      </c>
      <c r="U540" s="6">
        <v>42123.621261574073</v>
      </c>
      <c r="V540" t="s">
        <v>18</v>
      </c>
      <c r="W540" t="s">
        <v>783</v>
      </c>
      <c r="X540" s="6">
        <v>42123.621261574073</v>
      </c>
      <c r="Y540" t="s">
        <v>246</v>
      </c>
      <c r="AB540" t="s">
        <v>201</v>
      </c>
      <c r="AC540" t="s">
        <v>247</v>
      </c>
      <c r="AD540" t="s">
        <v>227</v>
      </c>
      <c r="AE540" t="s">
        <v>237</v>
      </c>
      <c r="AG540" t="s">
        <v>121</v>
      </c>
      <c r="AH540" t="s">
        <v>327</v>
      </c>
      <c r="AI540" t="s">
        <v>121</v>
      </c>
      <c r="AJ540" t="s">
        <v>716</v>
      </c>
      <c r="AK540" t="s">
        <v>121</v>
      </c>
    </row>
    <row r="541" spans="9:37" x14ac:dyDescent="0.3">
      <c r="I541">
        <f ca="1">IF(OR(INDIRECT(A73&amp;ROW())=B93,INDIRECT(A73&amp;ROW())=B94),1,IF(AND(INDIRECT(A73&amp;ROW())=B95,INDIRECT(A96&amp;ROW())=C93),1,IF(AND(INDIRECT(A73&amp;ROW())=B95,INDIRECT(A96&amp;ROW())=C94),1,0)))</f>
        <v>0</v>
      </c>
      <c r="J541">
        <f ca="1">IF(AND(INDIRECT(A73&amp;ROW())=B95,INDIRECT(A96&amp;ROW())=C95),1,IF(AND(INDIRECT(A73&amp;ROW())=B95,INDIRECT(A96&amp;ROW())=C96),1,0))</f>
        <v>0</v>
      </c>
      <c r="K541">
        <f ca="1">DAYS360(INDIRECT(C68&amp;ROW()),TODAY())</f>
        <v>717</v>
      </c>
      <c r="L541">
        <f ca="1">DAYS360(INDIRECT(C69&amp;ROW()),TODAY())</f>
        <v>723</v>
      </c>
      <c r="M541">
        <f ca="1">HYPERLINK(CONCATENATE("https://bugzilla.houston.hp.com:1181/bugzilla/show_bug.cgi?id=",INDIRECT(C70&amp;ROW())),INDIRECT(C70&amp;ROW()))</f>
        <v>61563</v>
      </c>
      <c r="N541">
        <v>61563</v>
      </c>
      <c r="O541" t="s">
        <v>19</v>
      </c>
      <c r="P541" t="s">
        <v>994</v>
      </c>
      <c r="Q541" t="s">
        <v>16</v>
      </c>
      <c r="R541" t="s">
        <v>251</v>
      </c>
      <c r="S541" t="s">
        <v>917</v>
      </c>
      <c r="U541" s="6">
        <v>42129.601030092592</v>
      </c>
      <c r="V541" t="s">
        <v>18</v>
      </c>
      <c r="W541" t="s">
        <v>783</v>
      </c>
      <c r="X541" s="6">
        <v>42123.659282407411</v>
      </c>
      <c r="Y541" t="s">
        <v>846</v>
      </c>
      <c r="AB541" t="s">
        <v>201</v>
      </c>
      <c r="AC541" t="s">
        <v>247</v>
      </c>
      <c r="AD541" t="s">
        <v>220</v>
      </c>
      <c r="AE541" t="s">
        <v>290</v>
      </c>
      <c r="AG541" t="s">
        <v>121</v>
      </c>
      <c r="AH541" t="s">
        <v>327</v>
      </c>
      <c r="AI541" t="s">
        <v>121</v>
      </c>
      <c r="AJ541" t="s">
        <v>717</v>
      </c>
      <c r="AK541" t="s">
        <v>121</v>
      </c>
    </row>
    <row r="542" spans="9:37" x14ac:dyDescent="0.3">
      <c r="I542">
        <f ca="1">IF(OR(INDIRECT(A73&amp;ROW())=B93,INDIRECT(A73&amp;ROW())=B94),1,IF(AND(INDIRECT(A73&amp;ROW())=B95,INDIRECT(A96&amp;ROW())=C93),1,IF(AND(INDIRECT(A73&amp;ROW())=B95,INDIRECT(A96&amp;ROW())=C94),1,0)))</f>
        <v>0</v>
      </c>
      <c r="J542">
        <f ca="1">IF(AND(INDIRECT(A73&amp;ROW())=B95,INDIRECT(A96&amp;ROW())=C95),1,IF(AND(INDIRECT(A73&amp;ROW())=B95,INDIRECT(A96&amp;ROW())=C96),1,0))</f>
        <v>0</v>
      </c>
      <c r="K542">
        <f ca="1">DAYS360(INDIRECT(C68&amp;ROW()),TODAY())</f>
        <v>722</v>
      </c>
      <c r="L542">
        <f ca="1">DAYS360(INDIRECT(C69&amp;ROW()),TODAY())</f>
        <v>722</v>
      </c>
      <c r="M542">
        <f ca="1">HYPERLINK(CONCATENATE("https://bugzilla.houston.hp.com:1181/bugzilla/show_bug.cgi?id=",INDIRECT(C70&amp;ROW())),INDIRECT(C70&amp;ROW()))</f>
        <v>61617</v>
      </c>
      <c r="N542">
        <v>61617</v>
      </c>
      <c r="O542" t="s">
        <v>19</v>
      </c>
      <c r="P542" t="s">
        <v>993</v>
      </c>
      <c r="Q542" t="s">
        <v>16</v>
      </c>
      <c r="R542" t="s">
        <v>783</v>
      </c>
      <c r="S542" t="s">
        <v>552</v>
      </c>
      <c r="U542" s="6">
        <v>42124.327418981484</v>
      </c>
      <c r="V542" t="s">
        <v>18</v>
      </c>
      <c r="W542" t="s">
        <v>783</v>
      </c>
      <c r="X542" s="6">
        <v>42124.327418981484</v>
      </c>
      <c r="Y542" t="s">
        <v>846</v>
      </c>
      <c r="AB542" t="s">
        <v>201</v>
      </c>
      <c r="AC542" t="s">
        <v>247</v>
      </c>
      <c r="AD542" t="s">
        <v>220</v>
      </c>
      <c r="AE542" t="s">
        <v>290</v>
      </c>
      <c r="AG542" t="s">
        <v>121</v>
      </c>
      <c r="AH542" t="s">
        <v>327</v>
      </c>
      <c r="AI542" t="s">
        <v>121</v>
      </c>
      <c r="AJ542" t="s">
        <v>717</v>
      </c>
      <c r="AK542" t="s">
        <v>121</v>
      </c>
    </row>
    <row r="543" spans="9:37" x14ac:dyDescent="0.3">
      <c r="I543">
        <f ca="1">IF(OR(INDIRECT(A73&amp;ROW())=B93,INDIRECT(A73&amp;ROW())=B94),1,IF(AND(INDIRECT(A73&amp;ROW())=B95,INDIRECT(A96&amp;ROW())=C93),1,IF(AND(INDIRECT(A73&amp;ROW())=B95,INDIRECT(A96&amp;ROW())=C94),1,0)))</f>
        <v>0</v>
      </c>
      <c r="J543">
        <f ca="1">IF(AND(INDIRECT(A73&amp;ROW())=B95,INDIRECT(A96&amp;ROW())=C95),1,IF(AND(INDIRECT(A73&amp;ROW())=B95,INDIRECT(A96&amp;ROW())=C96),1,0))</f>
        <v>0</v>
      </c>
      <c r="K543">
        <f ca="1">DAYS360(INDIRECT(C68&amp;ROW()),TODAY())</f>
        <v>722</v>
      </c>
      <c r="L543">
        <f ca="1">DAYS360(INDIRECT(C69&amp;ROW()),TODAY())</f>
        <v>722</v>
      </c>
      <c r="M543">
        <f ca="1">HYPERLINK(CONCATENATE("https://bugzilla.houston.hp.com:1181/bugzilla/show_bug.cgi?id=",INDIRECT(C70&amp;ROW())),INDIRECT(C70&amp;ROW()))</f>
        <v>61618</v>
      </c>
      <c r="N543">
        <v>61618</v>
      </c>
      <c r="O543" t="s">
        <v>19</v>
      </c>
      <c r="P543" t="s">
        <v>992</v>
      </c>
      <c r="Q543" t="s">
        <v>16</v>
      </c>
      <c r="R543" t="s">
        <v>248</v>
      </c>
      <c r="S543" t="s">
        <v>552</v>
      </c>
      <c r="U543" s="6">
        <v>42124.327488425923</v>
      </c>
      <c r="V543" t="s">
        <v>18</v>
      </c>
      <c r="W543" t="s">
        <v>783</v>
      </c>
      <c r="X543" s="6">
        <v>42124.327488425923</v>
      </c>
      <c r="Y543" t="s">
        <v>846</v>
      </c>
      <c r="AB543" t="s">
        <v>201</v>
      </c>
      <c r="AC543" t="s">
        <v>247</v>
      </c>
      <c r="AD543" t="s">
        <v>220</v>
      </c>
      <c r="AE543" t="s">
        <v>290</v>
      </c>
      <c r="AG543" t="s">
        <v>121</v>
      </c>
      <c r="AH543" t="s">
        <v>327</v>
      </c>
      <c r="AI543" t="s">
        <v>121</v>
      </c>
      <c r="AJ543" t="s">
        <v>717</v>
      </c>
      <c r="AK543" t="s">
        <v>121</v>
      </c>
    </row>
    <row r="544" spans="9:37" x14ac:dyDescent="0.3">
      <c r="I544">
        <f ca="1">IF(OR(INDIRECT(A73&amp;ROW())=B93,INDIRECT(A73&amp;ROW())=B94),1,IF(AND(INDIRECT(A73&amp;ROW())=B95,INDIRECT(A96&amp;ROW())=C93),1,IF(AND(INDIRECT(A73&amp;ROW())=B95,INDIRECT(A96&amp;ROW())=C94),1,0)))</f>
        <v>0</v>
      </c>
      <c r="J544">
        <f ca="1">IF(AND(INDIRECT(A73&amp;ROW())=B95,INDIRECT(A96&amp;ROW())=C95),1,IF(AND(INDIRECT(A73&amp;ROW())=B95,INDIRECT(A96&amp;ROW())=C96),1,0))</f>
        <v>0</v>
      </c>
      <c r="K544">
        <f ca="1">DAYS360(INDIRECT(C68&amp;ROW()),TODAY())</f>
        <v>721</v>
      </c>
      <c r="L544">
        <f ca="1">DAYS360(INDIRECT(C69&amp;ROW()),TODAY())</f>
        <v>722</v>
      </c>
      <c r="M544">
        <f ca="1">HYPERLINK(CONCATENATE("https://bugzilla.houston.hp.com:1181/bugzilla/show_bug.cgi?id=",INDIRECT(C70&amp;ROW())),INDIRECT(C70&amp;ROW()))</f>
        <v>61626</v>
      </c>
      <c r="N544">
        <v>61626</v>
      </c>
      <c r="O544" t="s">
        <v>241</v>
      </c>
      <c r="P544" t="s">
        <v>991</v>
      </c>
      <c r="Q544" t="s">
        <v>16</v>
      </c>
      <c r="R544" t="s">
        <v>251</v>
      </c>
      <c r="S544" t="s">
        <v>296</v>
      </c>
      <c r="T544" t="s">
        <v>794</v>
      </c>
      <c r="U544" s="6">
        <v>42125.283425925925</v>
      </c>
      <c r="V544" t="s">
        <v>18</v>
      </c>
      <c r="W544" t="s">
        <v>17</v>
      </c>
      <c r="X544" s="6">
        <v>42124.338078703702</v>
      </c>
      <c r="Y544" t="s">
        <v>122</v>
      </c>
      <c r="AB544" t="s">
        <v>200</v>
      </c>
      <c r="AC544" t="s">
        <v>933</v>
      </c>
      <c r="AD544" t="s">
        <v>222</v>
      </c>
      <c r="AE544" t="s">
        <v>221</v>
      </c>
      <c r="AG544" t="s">
        <v>121</v>
      </c>
      <c r="AH544" t="s">
        <v>327</v>
      </c>
      <c r="AI544" t="s">
        <v>121</v>
      </c>
      <c r="AJ544" t="s">
        <v>716</v>
      </c>
      <c r="AK544" t="s">
        <v>121</v>
      </c>
    </row>
    <row r="545" spans="9:37" x14ac:dyDescent="0.3">
      <c r="I545">
        <f ca="1">IF(OR(INDIRECT(A73&amp;ROW())=B93,INDIRECT(A73&amp;ROW())=B94),1,IF(AND(INDIRECT(A73&amp;ROW())=B95,INDIRECT(A96&amp;ROW())=C93),1,IF(AND(INDIRECT(A73&amp;ROW())=B95,INDIRECT(A96&amp;ROW())=C94),1,0)))</f>
        <v>0</v>
      </c>
      <c r="J545">
        <f ca="1">IF(AND(INDIRECT(A73&amp;ROW())=B95,INDIRECT(A96&amp;ROW())=C95),1,IF(AND(INDIRECT(A73&amp;ROW())=B95,INDIRECT(A96&amp;ROW())=C96),1,0))</f>
        <v>0</v>
      </c>
      <c r="K545">
        <f ca="1">DAYS360(INDIRECT(C68&amp;ROW()),TODAY())</f>
        <v>721</v>
      </c>
      <c r="L545">
        <f ca="1">DAYS360(INDIRECT(C69&amp;ROW()),TODAY())</f>
        <v>722</v>
      </c>
      <c r="M545">
        <f ca="1">HYPERLINK(CONCATENATE("https://bugzilla.houston.hp.com:1181/bugzilla/show_bug.cgi?id=",INDIRECT(C70&amp;ROW())),INDIRECT(C70&amp;ROW()))</f>
        <v>61630</v>
      </c>
      <c r="N545">
        <v>61630</v>
      </c>
      <c r="O545" t="s">
        <v>241</v>
      </c>
      <c r="P545" t="s">
        <v>990</v>
      </c>
      <c r="Q545" t="s">
        <v>16</v>
      </c>
      <c r="R545" t="s">
        <v>783</v>
      </c>
      <c r="S545" t="s">
        <v>552</v>
      </c>
      <c r="T545" t="s">
        <v>794</v>
      </c>
      <c r="U545" s="6">
        <v>42125.283414351848</v>
      </c>
      <c r="V545" t="s">
        <v>18</v>
      </c>
      <c r="W545" t="s">
        <v>17</v>
      </c>
      <c r="X545" s="6">
        <v>42124.355034722219</v>
      </c>
      <c r="Y545" t="s">
        <v>122</v>
      </c>
      <c r="AB545" t="s">
        <v>200</v>
      </c>
      <c r="AC545" t="s">
        <v>933</v>
      </c>
      <c r="AD545" t="s">
        <v>222</v>
      </c>
      <c r="AE545" t="s">
        <v>221</v>
      </c>
      <c r="AG545" t="s">
        <v>121</v>
      </c>
      <c r="AH545" t="s">
        <v>327</v>
      </c>
      <c r="AI545" t="s">
        <v>121</v>
      </c>
      <c r="AJ545" t="s">
        <v>716</v>
      </c>
      <c r="AK545" t="s">
        <v>121</v>
      </c>
    </row>
    <row r="546" spans="9:37" x14ac:dyDescent="0.3">
      <c r="I546">
        <f ca="1">IF(OR(INDIRECT(A73&amp;ROW())=B93,INDIRECT(A73&amp;ROW())=B94),1,IF(AND(INDIRECT(A73&amp;ROW())=B95,INDIRECT(A96&amp;ROW())=C93),1,IF(AND(INDIRECT(A73&amp;ROW())=B95,INDIRECT(A96&amp;ROW())=C94),1,0)))</f>
        <v>0</v>
      </c>
      <c r="J546">
        <f ca="1">IF(AND(INDIRECT(A73&amp;ROW())=B95,INDIRECT(A96&amp;ROW())=C95),1,IF(AND(INDIRECT(A73&amp;ROW())=B95,INDIRECT(A96&amp;ROW())=C96),1,0))</f>
        <v>0</v>
      </c>
      <c r="K546">
        <f ca="1">DAYS360(INDIRECT(C68&amp;ROW()),TODAY())</f>
        <v>721</v>
      </c>
      <c r="L546">
        <f ca="1">DAYS360(INDIRECT(C69&amp;ROW()),TODAY())</f>
        <v>722</v>
      </c>
      <c r="M546">
        <f ca="1">HYPERLINK(CONCATENATE("https://bugzilla.houston.hp.com:1181/bugzilla/show_bug.cgi?id=",INDIRECT(C70&amp;ROW())),INDIRECT(C70&amp;ROW()))</f>
        <v>61631</v>
      </c>
      <c r="N546">
        <v>61631</v>
      </c>
      <c r="O546" t="s">
        <v>241</v>
      </c>
      <c r="P546" t="s">
        <v>989</v>
      </c>
      <c r="Q546" t="s">
        <v>16</v>
      </c>
      <c r="R546" t="s">
        <v>248</v>
      </c>
      <c r="S546" t="s">
        <v>552</v>
      </c>
      <c r="T546" t="s">
        <v>794</v>
      </c>
      <c r="U546" s="6">
        <v>42125.283402777779</v>
      </c>
      <c r="V546" t="s">
        <v>18</v>
      </c>
      <c r="W546" t="s">
        <v>17</v>
      </c>
      <c r="X546" s="6">
        <v>42124.355138888888</v>
      </c>
      <c r="Y546" t="s">
        <v>122</v>
      </c>
      <c r="AB546" t="s">
        <v>200</v>
      </c>
      <c r="AC546" t="s">
        <v>933</v>
      </c>
      <c r="AD546" t="s">
        <v>222</v>
      </c>
      <c r="AE546" t="s">
        <v>221</v>
      </c>
      <c r="AG546" t="s">
        <v>121</v>
      </c>
      <c r="AH546" t="s">
        <v>327</v>
      </c>
      <c r="AI546" t="s">
        <v>121</v>
      </c>
      <c r="AJ546" t="s">
        <v>716</v>
      </c>
      <c r="AK546" t="s">
        <v>121</v>
      </c>
    </row>
    <row r="547" spans="9:37" x14ac:dyDescent="0.3">
      <c r="I547">
        <f ca="1">IF(OR(INDIRECT(A73&amp;ROW())=B93,INDIRECT(A73&amp;ROW())=B94),1,IF(AND(INDIRECT(A73&amp;ROW())=B95,INDIRECT(A96&amp;ROW())=C93),1,IF(AND(INDIRECT(A73&amp;ROW())=B95,INDIRECT(A96&amp;ROW())=C94),1,0)))</f>
        <v>1</v>
      </c>
      <c r="J547">
        <f ca="1">IF(AND(INDIRECT(A73&amp;ROW())=B95,INDIRECT(A96&amp;ROW())=C95),1,IF(AND(INDIRECT(A73&amp;ROW())=B95,INDIRECT(A96&amp;ROW())=C96),1,0))</f>
        <v>0</v>
      </c>
      <c r="K547">
        <f ca="1">DAYS360(INDIRECT(C68&amp;ROW()),TODAY())</f>
        <v>721</v>
      </c>
      <c r="L547">
        <f ca="1">DAYS360(INDIRECT(C69&amp;ROW()),TODAY())</f>
        <v>721</v>
      </c>
      <c r="M547">
        <f ca="1">HYPERLINK(CONCATENATE("https://bugzilla.houston.hp.com:1181/bugzilla/show_bug.cgi?id=",INDIRECT(C70&amp;ROW())),INDIRECT(C70&amp;ROW()))</f>
        <v>61690</v>
      </c>
      <c r="N547">
        <v>61690</v>
      </c>
      <c r="O547" t="s">
        <v>45</v>
      </c>
      <c r="P547" t="s">
        <v>1006</v>
      </c>
      <c r="Q547" t="s">
        <v>38</v>
      </c>
      <c r="R547" t="s">
        <v>248</v>
      </c>
      <c r="S547" t="s">
        <v>552</v>
      </c>
      <c r="U547" s="6">
        <v>42125.427094907405</v>
      </c>
      <c r="V547" t="s">
        <v>18</v>
      </c>
      <c r="W547" t="s">
        <v>248</v>
      </c>
      <c r="X547" s="6">
        <v>42125.427094907405</v>
      </c>
      <c r="Y547" t="s">
        <v>793</v>
      </c>
      <c r="AB547" t="s">
        <v>200</v>
      </c>
      <c r="AC547" t="s">
        <v>247</v>
      </c>
      <c r="AD547" t="s">
        <v>227</v>
      </c>
      <c r="AE547" t="s">
        <v>226</v>
      </c>
      <c r="AG547" t="s">
        <v>121</v>
      </c>
      <c r="AH547" t="s">
        <v>327</v>
      </c>
      <c r="AI547" t="s">
        <v>121</v>
      </c>
      <c r="AJ547" t="s">
        <v>715</v>
      </c>
      <c r="AK547" t="s">
        <v>121</v>
      </c>
    </row>
    <row r="548" spans="9:37" x14ac:dyDescent="0.3">
      <c r="I548">
        <f ca="1">IF(OR(INDIRECT(A73&amp;ROW())=B93,INDIRECT(A73&amp;ROW())=B94),1,IF(AND(INDIRECT(A73&amp;ROW())=B95,INDIRECT(A96&amp;ROW())=C93),1,IF(AND(INDIRECT(A73&amp;ROW())=B95,INDIRECT(A96&amp;ROW())=C94),1,0)))</f>
        <v>0</v>
      </c>
      <c r="J548">
        <f ca="1">IF(AND(INDIRECT(A73&amp;ROW())=B95,INDIRECT(A96&amp;ROW())=C95),1,IF(AND(INDIRECT(A73&amp;ROW())=B95,INDIRECT(A96&amp;ROW())=C96),1,0))</f>
        <v>1</v>
      </c>
      <c r="K548">
        <f ca="1">DAYS360(INDIRECT(C68&amp;ROW()),TODAY())</f>
        <v>700</v>
      </c>
      <c r="L548">
        <f ca="1">DAYS360(INDIRECT(C69&amp;ROW()),TODAY())</f>
        <v>721</v>
      </c>
      <c r="M548">
        <f ca="1">HYPERLINK(CONCATENATE("https://bugzilla.houston.hp.com:1181/bugzilla/show_bug.cgi?id=",INDIRECT(C70&amp;ROW())),INDIRECT(C70&amp;ROW()))</f>
        <v>61692</v>
      </c>
      <c r="N548">
        <v>61692</v>
      </c>
      <c r="O548" t="s">
        <v>856</v>
      </c>
      <c r="P548" t="s">
        <v>1005</v>
      </c>
      <c r="Q548" t="s">
        <v>25</v>
      </c>
      <c r="R548" t="s">
        <v>251</v>
      </c>
      <c r="S548" t="s">
        <v>296</v>
      </c>
      <c r="U548" s="6">
        <v>42146.324849537035</v>
      </c>
      <c r="V548" t="s">
        <v>18</v>
      </c>
      <c r="W548" t="s">
        <v>17</v>
      </c>
      <c r="X548" s="6">
        <v>42125.429236111115</v>
      </c>
      <c r="Y548" t="s">
        <v>122</v>
      </c>
      <c r="AB548" t="s">
        <v>201</v>
      </c>
      <c r="AC548" t="s">
        <v>247</v>
      </c>
      <c r="AD548" t="s">
        <v>220</v>
      </c>
      <c r="AE548" t="s">
        <v>223</v>
      </c>
      <c r="AG548" t="s">
        <v>121</v>
      </c>
      <c r="AH548" t="s">
        <v>327</v>
      </c>
      <c r="AI548" t="s">
        <v>121</v>
      </c>
      <c r="AJ548" t="s">
        <v>716</v>
      </c>
      <c r="AK548" t="s">
        <v>121</v>
      </c>
    </row>
    <row r="549" spans="9:37" x14ac:dyDescent="0.3">
      <c r="I549">
        <f ca="1">IF(OR(INDIRECT(A73&amp;ROW())=B93,INDIRECT(A73&amp;ROW())=B94),1,IF(AND(INDIRECT(A73&amp;ROW())=B95,INDIRECT(A96&amp;ROW())=C93),1,IF(AND(INDIRECT(A73&amp;ROW())=B95,INDIRECT(A96&amp;ROW())=C94),1,0)))</f>
        <v>1</v>
      </c>
      <c r="J549">
        <f ca="1">IF(AND(INDIRECT(A73&amp;ROW())=B95,INDIRECT(A96&amp;ROW())=C95),1,IF(AND(INDIRECT(A73&amp;ROW())=B95,INDIRECT(A96&amp;ROW())=C96),1,0))</f>
        <v>0</v>
      </c>
      <c r="K549">
        <f ca="1">DAYS360(INDIRECT(C68&amp;ROW()),TODAY())</f>
        <v>709</v>
      </c>
      <c r="L549">
        <f ca="1">DAYS360(INDIRECT(C69&amp;ROW()),TODAY())</f>
        <v>721</v>
      </c>
      <c r="M549">
        <f ca="1">HYPERLINK(CONCATENATE("https://bugzilla.houston.hp.com:1181/bugzilla/show_bug.cgi?id=",INDIRECT(C70&amp;ROW())),INDIRECT(C70&amp;ROW()))</f>
        <v>61696</v>
      </c>
      <c r="N549">
        <v>61696</v>
      </c>
      <c r="O549" t="s">
        <v>45</v>
      </c>
      <c r="P549" t="s">
        <v>1021</v>
      </c>
      <c r="Q549" t="s">
        <v>39</v>
      </c>
      <c r="R549" t="s">
        <v>251</v>
      </c>
      <c r="S549" t="s">
        <v>52</v>
      </c>
      <c r="T549" t="s">
        <v>48</v>
      </c>
      <c r="U549" s="6">
        <v>42137.676296296297</v>
      </c>
      <c r="V549" t="s">
        <v>35</v>
      </c>
      <c r="W549" t="s">
        <v>783</v>
      </c>
      <c r="X549" s="6">
        <v>42125.491550925923</v>
      </c>
      <c r="Y549" t="s">
        <v>119</v>
      </c>
      <c r="AB549" t="s">
        <v>201</v>
      </c>
      <c r="AC549" t="s">
        <v>247</v>
      </c>
      <c r="AD549" t="s">
        <v>227</v>
      </c>
      <c r="AE549" t="s">
        <v>226</v>
      </c>
      <c r="AG549" t="s">
        <v>121</v>
      </c>
      <c r="AH549" t="s">
        <v>327</v>
      </c>
      <c r="AI549" t="s">
        <v>121</v>
      </c>
      <c r="AJ549" t="s">
        <v>715</v>
      </c>
      <c r="AK549" t="s">
        <v>121</v>
      </c>
    </row>
    <row r="550" spans="9:37" x14ac:dyDescent="0.3">
      <c r="I550">
        <f ca="1">IF(OR(INDIRECT(A73&amp;ROW())=B93,INDIRECT(A73&amp;ROW())=B94),1,IF(AND(INDIRECT(A73&amp;ROW())=B95,INDIRECT(A96&amp;ROW())=C93),1,IF(AND(INDIRECT(A73&amp;ROW())=B95,INDIRECT(A96&amp;ROW())=C94),1,0)))</f>
        <v>0</v>
      </c>
      <c r="J550">
        <f ca="1">IF(AND(INDIRECT(A73&amp;ROW())=B95,INDIRECT(A96&amp;ROW())=C95),1,IF(AND(INDIRECT(A73&amp;ROW())=B95,INDIRECT(A96&amp;ROW())=C96),1,0))</f>
        <v>1</v>
      </c>
      <c r="K550">
        <f ca="1">DAYS360(INDIRECT(C68&amp;ROW()),TODAY())</f>
        <v>721</v>
      </c>
      <c r="L550">
        <f ca="1">DAYS360(INDIRECT(C69&amp;ROW()),TODAY())</f>
        <v>721</v>
      </c>
      <c r="M550">
        <f ca="1">HYPERLINK(CONCATENATE("https://bugzilla.houston.hp.com:1181/bugzilla/show_bug.cgi?id=",INDIRECT(C70&amp;ROW())),INDIRECT(C70&amp;ROW()))</f>
        <v>61705</v>
      </c>
      <c r="N550">
        <v>61705</v>
      </c>
      <c r="O550" t="s">
        <v>43</v>
      </c>
      <c r="P550" t="s">
        <v>1004</v>
      </c>
      <c r="Q550" t="s">
        <v>25</v>
      </c>
      <c r="R550" t="s">
        <v>579</v>
      </c>
      <c r="S550" t="s">
        <v>552</v>
      </c>
      <c r="U550" s="6">
        <v>42125.545543981483</v>
      </c>
      <c r="V550" t="s">
        <v>18</v>
      </c>
      <c r="W550" t="s">
        <v>17</v>
      </c>
      <c r="X550" s="6">
        <v>42125.516134259262</v>
      </c>
      <c r="Y550" t="s">
        <v>122</v>
      </c>
      <c r="AB550" t="s">
        <v>201</v>
      </c>
      <c r="AC550" t="s">
        <v>247</v>
      </c>
      <c r="AD550" t="s">
        <v>220</v>
      </c>
      <c r="AE550" t="s">
        <v>223</v>
      </c>
      <c r="AG550" t="s">
        <v>121</v>
      </c>
      <c r="AH550" t="s">
        <v>327</v>
      </c>
      <c r="AI550" t="s">
        <v>121</v>
      </c>
      <c r="AJ550" t="s">
        <v>716</v>
      </c>
      <c r="AK550" t="s">
        <v>121</v>
      </c>
    </row>
    <row r="551" spans="9:37" x14ac:dyDescent="0.3">
      <c r="I551">
        <f ca="1">IF(OR(INDIRECT(A73&amp;ROW())=B93,INDIRECT(A73&amp;ROW())=B94),1,IF(AND(INDIRECT(A73&amp;ROW())=B95,INDIRECT(A96&amp;ROW())=C93),1,IF(AND(INDIRECT(A73&amp;ROW())=B95,INDIRECT(A96&amp;ROW())=C94),1,0)))</f>
        <v>0</v>
      </c>
      <c r="J551">
        <f ca="1">IF(AND(INDIRECT(A73&amp;ROW())=B95,INDIRECT(A96&amp;ROW())=C95),1,IF(AND(INDIRECT(A73&amp;ROW())=B95,INDIRECT(A96&amp;ROW())=C96),1,0))</f>
        <v>1</v>
      </c>
      <c r="K551">
        <f ca="1">DAYS360(INDIRECT(C68&amp;ROW()),TODAY())</f>
        <v>721</v>
      </c>
      <c r="L551">
        <f ca="1">DAYS360(INDIRECT(C69&amp;ROW()),TODAY())</f>
        <v>721</v>
      </c>
      <c r="M551">
        <f ca="1">HYPERLINK(CONCATENATE("https://bugzilla.houston.hp.com:1181/bugzilla/show_bug.cgi?id=",INDIRECT(C70&amp;ROW())),INDIRECT(C70&amp;ROW()))</f>
        <v>61706</v>
      </c>
      <c r="N551">
        <v>61706</v>
      </c>
      <c r="O551" t="s">
        <v>43</v>
      </c>
      <c r="P551" t="s">
        <v>1003</v>
      </c>
      <c r="Q551" t="s">
        <v>25</v>
      </c>
      <c r="R551" t="s">
        <v>783</v>
      </c>
      <c r="S551" t="s">
        <v>552</v>
      </c>
      <c r="U551" s="6">
        <v>42125.545532407406</v>
      </c>
      <c r="V551" t="s">
        <v>18</v>
      </c>
      <c r="W551" t="s">
        <v>17</v>
      </c>
      <c r="X551" s="6">
        <v>42125.516192129631</v>
      </c>
      <c r="Y551" t="s">
        <v>122</v>
      </c>
      <c r="AB551" t="s">
        <v>201</v>
      </c>
      <c r="AC551" t="s">
        <v>247</v>
      </c>
      <c r="AD551" t="s">
        <v>220</v>
      </c>
      <c r="AE551" t="s">
        <v>223</v>
      </c>
      <c r="AG551" t="s">
        <v>121</v>
      </c>
      <c r="AH551" t="s">
        <v>327</v>
      </c>
      <c r="AI551" t="s">
        <v>121</v>
      </c>
      <c r="AJ551" t="s">
        <v>716</v>
      </c>
      <c r="AK551" t="s">
        <v>121</v>
      </c>
    </row>
    <row r="552" spans="9:37" x14ac:dyDescent="0.3">
      <c r="I552">
        <f ca="1">IF(OR(INDIRECT(A73&amp;ROW())=B93,INDIRECT(A73&amp;ROW())=B94),1,IF(AND(INDIRECT(A73&amp;ROW())=B95,INDIRECT(A96&amp;ROW())=C93),1,IF(AND(INDIRECT(A73&amp;ROW())=B95,INDIRECT(A96&amp;ROW())=C94),1,0)))</f>
        <v>0</v>
      </c>
      <c r="J552">
        <f ca="1">IF(AND(INDIRECT(A73&amp;ROW())=B95,INDIRECT(A96&amp;ROW())=C95),1,IF(AND(INDIRECT(A73&amp;ROW())=B95,INDIRECT(A96&amp;ROW())=C96),1,0))</f>
        <v>1</v>
      </c>
      <c r="K552">
        <f ca="1">DAYS360(INDIRECT(C68&amp;ROW()),TODAY())</f>
        <v>721</v>
      </c>
      <c r="L552">
        <f ca="1">DAYS360(INDIRECT(C69&amp;ROW()),TODAY())</f>
        <v>721</v>
      </c>
      <c r="M552">
        <f ca="1">HYPERLINK(CONCATENATE("https://bugzilla.houston.hp.com:1181/bugzilla/show_bug.cgi?id=",INDIRECT(C70&amp;ROW())),INDIRECT(C70&amp;ROW()))</f>
        <v>61707</v>
      </c>
      <c r="N552">
        <v>61707</v>
      </c>
      <c r="O552" t="s">
        <v>43</v>
      </c>
      <c r="P552" t="s">
        <v>1002</v>
      </c>
      <c r="Q552" t="s">
        <v>25</v>
      </c>
      <c r="R552" t="s">
        <v>248</v>
      </c>
      <c r="S552" t="s">
        <v>552</v>
      </c>
      <c r="U552" s="6">
        <v>42125.545532407406</v>
      </c>
      <c r="V552" t="s">
        <v>18</v>
      </c>
      <c r="W552" t="s">
        <v>17</v>
      </c>
      <c r="X552" s="6">
        <v>42125.516250000001</v>
      </c>
      <c r="Y552" t="s">
        <v>122</v>
      </c>
      <c r="AB552" t="s">
        <v>201</v>
      </c>
      <c r="AC552" t="s">
        <v>247</v>
      </c>
      <c r="AD552" t="s">
        <v>220</v>
      </c>
      <c r="AE552" t="s">
        <v>223</v>
      </c>
      <c r="AG552" t="s">
        <v>121</v>
      </c>
      <c r="AH552" t="s">
        <v>327</v>
      </c>
      <c r="AI552" t="s">
        <v>121</v>
      </c>
      <c r="AJ552" t="s">
        <v>716</v>
      </c>
      <c r="AK552" t="s">
        <v>121</v>
      </c>
    </row>
    <row r="553" spans="9:37" x14ac:dyDescent="0.3">
      <c r="I553">
        <f ca="1">IF(OR(INDIRECT(A73&amp;ROW())=B93,INDIRECT(A73&amp;ROW())=B94),1,IF(AND(INDIRECT(A73&amp;ROW())=B95,INDIRECT(A96&amp;ROW())=C93),1,IF(AND(INDIRECT(A73&amp;ROW())=B95,INDIRECT(A96&amp;ROW())=C94),1,0)))</f>
        <v>1</v>
      </c>
      <c r="J553">
        <f ca="1">IF(AND(INDIRECT(A73&amp;ROW())=B95,INDIRECT(A96&amp;ROW())=C95),1,IF(AND(INDIRECT(A73&amp;ROW())=B95,INDIRECT(A96&amp;ROW())=C96),1,0))</f>
        <v>0</v>
      </c>
      <c r="K553">
        <f ca="1">DAYS360(INDIRECT(C68&amp;ROW()),TODAY())</f>
        <v>707</v>
      </c>
      <c r="L553">
        <f ca="1">DAYS360(INDIRECT(C69&amp;ROW()),TODAY())</f>
        <v>721</v>
      </c>
      <c r="M553">
        <f ca="1">HYPERLINK(CONCATENATE("https://bugzilla.houston.hp.com:1181/bugzilla/show_bug.cgi?id=",INDIRECT(C70&amp;ROW())),INDIRECT(C70&amp;ROW()))</f>
        <v>61712</v>
      </c>
      <c r="N553">
        <v>61712</v>
      </c>
      <c r="O553" t="s">
        <v>45</v>
      </c>
      <c r="P553" t="s">
        <v>1001</v>
      </c>
      <c r="Q553" t="s">
        <v>39</v>
      </c>
      <c r="R553" t="s">
        <v>579</v>
      </c>
      <c r="S553" t="s">
        <v>552</v>
      </c>
      <c r="T553" t="s">
        <v>1024</v>
      </c>
      <c r="U553" s="6">
        <v>42139.527569444443</v>
      </c>
      <c r="V553" t="s">
        <v>40</v>
      </c>
      <c r="W553" t="s">
        <v>783</v>
      </c>
      <c r="X553" s="6">
        <v>42125.516759259262</v>
      </c>
      <c r="Y553" t="s">
        <v>119</v>
      </c>
      <c r="AB553" t="s">
        <v>201</v>
      </c>
      <c r="AC553" t="s">
        <v>247</v>
      </c>
      <c r="AD553" t="s">
        <v>227</v>
      </c>
      <c r="AE553" t="s">
        <v>226</v>
      </c>
      <c r="AG553" t="s">
        <v>121</v>
      </c>
      <c r="AH553" t="s">
        <v>327</v>
      </c>
      <c r="AI553" t="s">
        <v>362</v>
      </c>
      <c r="AJ553" t="s">
        <v>715</v>
      </c>
      <c r="AK553" t="s">
        <v>121</v>
      </c>
    </row>
    <row r="554" spans="9:37" x14ac:dyDescent="0.3">
      <c r="I554">
        <f ca="1">IF(OR(INDIRECT(A73&amp;ROW())=B93,INDIRECT(A73&amp;ROW())=B94),1,IF(AND(INDIRECT(A73&amp;ROW())=B95,INDIRECT(A96&amp;ROW())=C93),1,IF(AND(INDIRECT(A73&amp;ROW())=B95,INDIRECT(A96&amp;ROW())=C94),1,0)))</f>
        <v>0</v>
      </c>
      <c r="J554">
        <f ca="1">IF(AND(INDIRECT(A73&amp;ROW())=B95,INDIRECT(A96&amp;ROW())=C95),1,IF(AND(INDIRECT(A73&amp;ROW())=B95,INDIRECT(A96&amp;ROW())=C96),1,0))</f>
        <v>0</v>
      </c>
      <c r="K554">
        <f ca="1">DAYS360(INDIRECT(C68&amp;ROW()),TODAY())</f>
        <v>710</v>
      </c>
      <c r="L554">
        <f ca="1">DAYS360(INDIRECT(C69&amp;ROW()),TODAY())</f>
        <v>716</v>
      </c>
      <c r="M554">
        <f ca="1">HYPERLINK(CONCATENATE("https://bugzilla.houston.hp.com:1181/bugzilla/show_bug.cgi?id=",INDIRECT(C70&amp;ROW())),INDIRECT(C70&amp;ROW()))</f>
        <v>61875</v>
      </c>
      <c r="N554">
        <v>61875</v>
      </c>
      <c r="O554" t="s">
        <v>59</v>
      </c>
      <c r="P554" t="s">
        <v>1010</v>
      </c>
      <c r="Q554" t="s">
        <v>16</v>
      </c>
      <c r="R554" t="s">
        <v>251</v>
      </c>
      <c r="S554" t="s">
        <v>296</v>
      </c>
      <c r="U554" s="6">
        <v>42136.418356481481</v>
      </c>
      <c r="V554" t="s">
        <v>18</v>
      </c>
      <c r="W554" t="s">
        <v>17</v>
      </c>
      <c r="X554" s="6">
        <v>42130.171030092592</v>
      </c>
      <c r="Y554" t="s">
        <v>122</v>
      </c>
      <c r="AB554" t="s">
        <v>201</v>
      </c>
      <c r="AC554" t="s">
        <v>247</v>
      </c>
      <c r="AD554" t="s">
        <v>222</v>
      </c>
      <c r="AE554" t="s">
        <v>228</v>
      </c>
      <c r="AG554" t="s">
        <v>121</v>
      </c>
      <c r="AH554" t="s">
        <v>327</v>
      </c>
      <c r="AI554" t="s">
        <v>121</v>
      </c>
      <c r="AJ554" t="s">
        <v>717</v>
      </c>
      <c r="AK554" t="s">
        <v>121</v>
      </c>
    </row>
    <row r="555" spans="9:37" x14ac:dyDescent="0.3">
      <c r="I555">
        <f ca="1">IF(OR(INDIRECT(A73&amp;ROW())=B93,INDIRECT(A73&amp;ROW())=B94),1,IF(AND(INDIRECT(A73&amp;ROW())=B95,INDIRECT(A96&amp;ROW())=C93),1,IF(AND(INDIRECT(A73&amp;ROW())=B95,INDIRECT(A96&amp;ROW())=C94),1,0)))</f>
        <v>0</v>
      </c>
      <c r="J555">
        <f ca="1">IF(AND(INDIRECT(A73&amp;ROW())=B95,INDIRECT(A96&amp;ROW())=C95),1,IF(AND(INDIRECT(A73&amp;ROW())=B95,INDIRECT(A96&amp;ROW())=C96),1,0))</f>
        <v>0</v>
      </c>
      <c r="K555">
        <f ca="1">DAYS360(INDIRECT(C68&amp;ROW()),TODAY())</f>
        <v>710</v>
      </c>
      <c r="L555">
        <f ca="1">DAYS360(INDIRECT(C69&amp;ROW()),TODAY())</f>
        <v>716</v>
      </c>
      <c r="M555">
        <f ca="1">HYPERLINK(CONCATENATE("https://bugzilla.houston.hp.com:1181/bugzilla/show_bug.cgi?id=",INDIRECT(C70&amp;ROW())),INDIRECT(C70&amp;ROW()))</f>
        <v>61891</v>
      </c>
      <c r="N555">
        <v>61891</v>
      </c>
      <c r="O555" t="s">
        <v>59</v>
      </c>
      <c r="P555" t="s">
        <v>1009</v>
      </c>
      <c r="Q555" t="s">
        <v>16</v>
      </c>
      <c r="R555" t="s">
        <v>783</v>
      </c>
      <c r="S555" t="s">
        <v>552</v>
      </c>
      <c r="U555" s="6">
        <v>42136.418379629627</v>
      </c>
      <c r="V555" t="s">
        <v>18</v>
      </c>
      <c r="W555" t="s">
        <v>17</v>
      </c>
      <c r="X555" s="6">
        <v>42130.330787037034</v>
      </c>
      <c r="Y555" t="s">
        <v>122</v>
      </c>
      <c r="AB555" t="s">
        <v>201</v>
      </c>
      <c r="AC555" t="s">
        <v>247</v>
      </c>
      <c r="AD555" t="s">
        <v>222</v>
      </c>
      <c r="AE555" t="s">
        <v>228</v>
      </c>
      <c r="AG555" t="s">
        <v>121</v>
      </c>
      <c r="AH555" t="s">
        <v>327</v>
      </c>
      <c r="AI555" t="s">
        <v>121</v>
      </c>
      <c r="AJ555" t="s">
        <v>717</v>
      </c>
      <c r="AK555" t="s">
        <v>121</v>
      </c>
    </row>
    <row r="556" spans="9:37" x14ac:dyDescent="0.3">
      <c r="I556">
        <f ca="1">IF(OR(INDIRECT(A73&amp;ROW())=B93,INDIRECT(A73&amp;ROW())=B94),1,IF(AND(INDIRECT(A73&amp;ROW())=B95,INDIRECT(A96&amp;ROW())=C93),1,IF(AND(INDIRECT(A73&amp;ROW())=B95,INDIRECT(A96&amp;ROW())=C94),1,0)))</f>
        <v>0</v>
      </c>
      <c r="J556">
        <f ca="1">IF(AND(INDIRECT(A73&amp;ROW())=B95,INDIRECT(A96&amp;ROW())=C95),1,IF(AND(INDIRECT(A73&amp;ROW())=B95,INDIRECT(A96&amp;ROW())=C96),1,0))</f>
        <v>0</v>
      </c>
      <c r="K556">
        <f ca="1">DAYS360(INDIRECT(C68&amp;ROW()),TODAY())</f>
        <v>710</v>
      </c>
      <c r="L556">
        <f ca="1">DAYS360(INDIRECT(C69&amp;ROW()),TODAY())</f>
        <v>716</v>
      </c>
      <c r="M556">
        <f ca="1">HYPERLINK(CONCATENATE("https://bugzilla.houston.hp.com:1181/bugzilla/show_bug.cgi?id=",INDIRECT(C70&amp;ROW())),INDIRECT(C70&amp;ROW()))</f>
        <v>61892</v>
      </c>
      <c r="N556">
        <v>61892</v>
      </c>
      <c r="O556" t="s">
        <v>59</v>
      </c>
      <c r="P556" t="s">
        <v>1008</v>
      </c>
      <c r="Q556" t="s">
        <v>16</v>
      </c>
      <c r="R556" t="s">
        <v>248</v>
      </c>
      <c r="S556" t="s">
        <v>552</v>
      </c>
      <c r="U556" s="6">
        <v>42136.418391203704</v>
      </c>
      <c r="V556" t="s">
        <v>18</v>
      </c>
      <c r="W556" t="s">
        <v>17</v>
      </c>
      <c r="X556" s="6">
        <v>42130.330891203703</v>
      </c>
      <c r="Y556" t="s">
        <v>122</v>
      </c>
      <c r="AB556" t="s">
        <v>201</v>
      </c>
      <c r="AC556" t="s">
        <v>247</v>
      </c>
      <c r="AD556" t="s">
        <v>222</v>
      </c>
      <c r="AE556" t="s">
        <v>228</v>
      </c>
      <c r="AG556" t="s">
        <v>121</v>
      </c>
      <c r="AH556" t="s">
        <v>327</v>
      </c>
      <c r="AI556" t="s">
        <v>121</v>
      </c>
      <c r="AJ556" t="s">
        <v>717</v>
      </c>
      <c r="AK556" t="s">
        <v>121</v>
      </c>
    </row>
    <row r="557" spans="9:37" x14ac:dyDescent="0.3">
      <c r="I557">
        <f ca="1">IF(OR(INDIRECT(A73&amp;ROW())=B93,INDIRECT(A73&amp;ROW())=B94),1,IF(AND(INDIRECT(A73&amp;ROW())=B95,INDIRECT(A96&amp;ROW())=C93),1,IF(AND(INDIRECT(A73&amp;ROW())=B95,INDIRECT(A96&amp;ROW())=C94),1,0)))</f>
        <v>1</v>
      </c>
      <c r="J557">
        <f ca="1">IF(AND(INDIRECT(A73&amp;ROW())=B95,INDIRECT(A96&amp;ROW())=C95),1,IF(AND(INDIRECT(A73&amp;ROW())=B95,INDIRECT(A96&amp;ROW())=C96),1,0))</f>
        <v>0</v>
      </c>
      <c r="K557">
        <f ca="1">DAYS360(INDIRECT(C68&amp;ROW()),TODAY())</f>
        <v>711</v>
      </c>
      <c r="L557">
        <f ca="1">DAYS360(INDIRECT(C69&amp;ROW()),TODAY())</f>
        <v>716</v>
      </c>
      <c r="M557">
        <f ca="1">HYPERLINK(CONCATENATE("https://bugzilla.houston.hp.com:1181/bugzilla/show_bug.cgi?id=",INDIRECT(C70&amp;ROW())),INDIRECT(C70&amp;ROW()))</f>
        <v>61956</v>
      </c>
      <c r="N557">
        <v>61956</v>
      </c>
      <c r="O557" t="s">
        <v>94</v>
      </c>
      <c r="P557" t="s">
        <v>1013</v>
      </c>
      <c r="Q557" t="s">
        <v>39</v>
      </c>
      <c r="R557" t="s">
        <v>251</v>
      </c>
      <c r="S557" t="s">
        <v>65</v>
      </c>
      <c r="U557" s="6">
        <v>42135.376747685186</v>
      </c>
      <c r="V557" t="s">
        <v>40</v>
      </c>
      <c r="W557" t="s">
        <v>783</v>
      </c>
      <c r="X557" s="6">
        <v>42130.945879629631</v>
      </c>
      <c r="Y557" t="s">
        <v>793</v>
      </c>
      <c r="AB557" t="s">
        <v>201</v>
      </c>
      <c r="AC557" t="s">
        <v>247</v>
      </c>
      <c r="AD557" t="s">
        <v>220</v>
      </c>
      <c r="AE557" t="s">
        <v>219</v>
      </c>
      <c r="AG557" t="s">
        <v>121</v>
      </c>
      <c r="AH557" t="s">
        <v>327</v>
      </c>
      <c r="AI557" t="s">
        <v>121</v>
      </c>
      <c r="AJ557" t="s">
        <v>715</v>
      </c>
      <c r="AK557" t="s">
        <v>121</v>
      </c>
    </row>
    <row r="558" spans="9:37" x14ac:dyDescent="0.3">
      <c r="I558">
        <f ca="1">IF(OR(INDIRECT(A73&amp;ROW())=B93,INDIRECT(A73&amp;ROW())=B94),1,IF(AND(INDIRECT(A73&amp;ROW())=B95,INDIRECT(A96&amp;ROW())=C93),1,IF(AND(INDIRECT(A73&amp;ROW())=B95,INDIRECT(A96&amp;ROW())=C94),1,0)))</f>
        <v>1</v>
      </c>
      <c r="J558">
        <f ca="1">IF(AND(INDIRECT(A73&amp;ROW())=B95,INDIRECT(A96&amp;ROW())=C95),1,IF(AND(INDIRECT(A73&amp;ROW())=B95,INDIRECT(A96&amp;ROW())=C96),1,0))</f>
        <v>0</v>
      </c>
      <c r="K558">
        <f ca="1">DAYS360(INDIRECT(C68&amp;ROW()),TODAY())</f>
        <v>711</v>
      </c>
      <c r="L558">
        <f ca="1">DAYS360(INDIRECT(C69&amp;ROW()),TODAY())</f>
        <v>715</v>
      </c>
      <c r="M558">
        <f ca="1">HYPERLINK(CONCATENATE("https://bugzilla.houston.hp.com:1181/bugzilla/show_bug.cgi?id=",INDIRECT(C70&amp;ROW())),INDIRECT(C70&amp;ROW()))</f>
        <v>61959</v>
      </c>
      <c r="N558">
        <v>61959</v>
      </c>
      <c r="O558" t="s">
        <v>65</v>
      </c>
      <c r="P558" t="s">
        <v>1012</v>
      </c>
      <c r="Q558" t="s">
        <v>39</v>
      </c>
      <c r="R558" t="s">
        <v>579</v>
      </c>
      <c r="S558" t="s">
        <v>552</v>
      </c>
      <c r="T558" t="s">
        <v>1018</v>
      </c>
      <c r="U558" s="6">
        <v>42135.558923611112</v>
      </c>
      <c r="V558" t="s">
        <v>18</v>
      </c>
      <c r="W558" t="s">
        <v>783</v>
      </c>
      <c r="X558" s="6">
        <v>42131.016284722224</v>
      </c>
      <c r="Y558" t="s">
        <v>793</v>
      </c>
      <c r="AB558" t="s">
        <v>201</v>
      </c>
      <c r="AC558" t="s">
        <v>247</v>
      </c>
      <c r="AD558" t="s">
        <v>220</v>
      </c>
      <c r="AE558" t="s">
        <v>219</v>
      </c>
      <c r="AG558" t="s">
        <v>121</v>
      </c>
      <c r="AH558" t="s">
        <v>327</v>
      </c>
      <c r="AI558" t="s">
        <v>362</v>
      </c>
      <c r="AJ558" t="s">
        <v>715</v>
      </c>
      <c r="AK558" t="s">
        <v>121</v>
      </c>
    </row>
    <row r="559" spans="9:37" x14ac:dyDescent="0.3">
      <c r="I559">
        <f ca="1">IF(OR(INDIRECT(A73&amp;ROW())=B93,INDIRECT(A73&amp;ROW())=B94),1,IF(AND(INDIRECT(A73&amp;ROW())=B95,INDIRECT(A96&amp;ROW())=C93),1,IF(AND(INDIRECT(A73&amp;ROW())=B95,INDIRECT(A96&amp;ROW())=C94),1,0)))</f>
        <v>1</v>
      </c>
      <c r="J559">
        <f ca="1">IF(AND(INDIRECT(A73&amp;ROW())=B95,INDIRECT(A96&amp;ROW())=C95),1,IF(AND(INDIRECT(A73&amp;ROW())=B95,INDIRECT(A96&amp;ROW())=C96),1,0))</f>
        <v>0</v>
      </c>
      <c r="K559">
        <f ca="1">DAYS360(INDIRECT(C68&amp;ROW()),TODAY())</f>
        <v>694</v>
      </c>
      <c r="L559">
        <f ca="1">DAYS360(INDIRECT(C69&amp;ROW()),TODAY())</f>
        <v>715</v>
      </c>
      <c r="M559">
        <f ca="1">HYPERLINK(CONCATENATE("https://bugzilla.houston.hp.com:1181/bugzilla/show_bug.cgi?id=",INDIRECT(C70&amp;ROW())),INDIRECT(C70&amp;ROW()))</f>
        <v>62036</v>
      </c>
      <c r="N559">
        <v>62036</v>
      </c>
      <c r="O559" t="s">
        <v>53</v>
      </c>
      <c r="P559" t="s">
        <v>1016</v>
      </c>
      <c r="Q559" t="s">
        <v>39</v>
      </c>
      <c r="R559" t="s">
        <v>783</v>
      </c>
      <c r="S559" t="s">
        <v>552</v>
      </c>
      <c r="U559" s="6">
        <v>42152.22179398148</v>
      </c>
      <c r="V559" t="s">
        <v>18</v>
      </c>
      <c r="W559" t="s">
        <v>17</v>
      </c>
      <c r="X559" s="6">
        <v>42131.714918981481</v>
      </c>
      <c r="Y559" t="s">
        <v>793</v>
      </c>
      <c r="AB559" t="s">
        <v>201</v>
      </c>
      <c r="AC559" t="s">
        <v>121</v>
      </c>
      <c r="AD559" t="s">
        <v>220</v>
      </c>
      <c r="AE559" t="s">
        <v>219</v>
      </c>
      <c r="AG559" t="s">
        <v>337</v>
      </c>
      <c r="AH559" t="s">
        <v>327</v>
      </c>
      <c r="AI559" t="s">
        <v>121</v>
      </c>
      <c r="AJ559" t="s">
        <v>715</v>
      </c>
      <c r="AK559" t="s">
        <v>121</v>
      </c>
    </row>
    <row r="560" spans="9:37" x14ac:dyDescent="0.3">
      <c r="I560">
        <f ca="1">IF(OR(INDIRECT(A73&amp;ROW())=B93,INDIRECT(A73&amp;ROW())=B94),1,IF(AND(INDIRECT(A73&amp;ROW())=B95,INDIRECT(A96&amp;ROW())=C93),1,IF(AND(INDIRECT(A73&amp;ROW())=B95,INDIRECT(A96&amp;ROW())=C94),1,0)))</f>
        <v>0</v>
      </c>
      <c r="J560">
        <f ca="1">IF(AND(INDIRECT(A73&amp;ROW())=B95,INDIRECT(A96&amp;ROW())=C95),1,IF(AND(INDIRECT(A73&amp;ROW())=B95,INDIRECT(A96&amp;ROW())=C96),1,0))</f>
        <v>1</v>
      </c>
      <c r="K560">
        <f ca="1">DAYS360(INDIRECT(C68&amp;ROW()),TODAY())</f>
        <v>711</v>
      </c>
      <c r="L560">
        <f ca="1">DAYS360(INDIRECT(C69&amp;ROW()),TODAY())</f>
        <v>714</v>
      </c>
      <c r="M560">
        <f ca="1">HYPERLINK(CONCATENATE("https://bugzilla.houston.hp.com:1181/bugzilla/show_bug.cgi?id=",INDIRECT(C70&amp;ROW())),INDIRECT(C70&amp;ROW()))</f>
        <v>62084</v>
      </c>
      <c r="N560">
        <v>62084</v>
      </c>
      <c r="O560" t="s">
        <v>204</v>
      </c>
      <c r="P560" t="s">
        <v>1020</v>
      </c>
      <c r="Q560" t="s">
        <v>25</v>
      </c>
      <c r="R560" t="s">
        <v>579</v>
      </c>
      <c r="S560" t="s">
        <v>236</v>
      </c>
      <c r="T560" t="s">
        <v>1019</v>
      </c>
      <c r="U560" s="6">
        <v>42135.319016203706</v>
      </c>
      <c r="V560" t="s">
        <v>18</v>
      </c>
      <c r="W560" t="s">
        <v>17</v>
      </c>
      <c r="X560" s="6">
        <v>42132.41542824074</v>
      </c>
      <c r="Y560" t="s">
        <v>119</v>
      </c>
      <c r="AB560" t="s">
        <v>201</v>
      </c>
      <c r="AC560" t="s">
        <v>247</v>
      </c>
      <c r="AD560" t="s">
        <v>222</v>
      </c>
      <c r="AE560" t="s">
        <v>221</v>
      </c>
      <c r="AG560" t="s">
        <v>121</v>
      </c>
      <c r="AH560" t="s">
        <v>64</v>
      </c>
      <c r="AI560" t="s">
        <v>121</v>
      </c>
      <c r="AJ560" t="s">
        <v>716</v>
      </c>
      <c r="AK560" t="s">
        <v>121</v>
      </c>
    </row>
    <row r="561" spans="9:37" x14ac:dyDescent="0.3">
      <c r="I561">
        <f ca="1">IF(OR(INDIRECT(A73&amp;ROW())=B93,INDIRECT(A73&amp;ROW())=B94),1,IF(AND(INDIRECT(A73&amp;ROW())=B95,INDIRECT(A96&amp;ROW())=C93),1,IF(AND(INDIRECT(A73&amp;ROW())=B95,INDIRECT(A96&amp;ROW())=C94),1,0)))</f>
        <v>0</v>
      </c>
      <c r="J561">
        <f ca="1">IF(AND(INDIRECT(A73&amp;ROW())=B95,INDIRECT(A96&amp;ROW())=C95),1,IF(AND(INDIRECT(A73&amp;ROW())=B95,INDIRECT(A96&amp;ROW())=C96),1,0))</f>
        <v>1</v>
      </c>
      <c r="K561">
        <f ca="1">DAYS360(INDIRECT(C68&amp;ROW()),TODAY())</f>
        <v>704</v>
      </c>
      <c r="L561">
        <f ca="1">DAYS360(INDIRECT(C69&amp;ROW()),TODAY())</f>
        <v>714</v>
      </c>
      <c r="M561">
        <f ca="1">HYPERLINK(CONCATENATE("https://bugzilla.houston.hp.com:1181/bugzilla/show_bug.cgi?id=",INDIRECT(C70&amp;ROW())),INDIRECT(C70&amp;ROW()))</f>
        <v>62099</v>
      </c>
      <c r="N561">
        <v>62099</v>
      </c>
      <c r="O561" t="s">
        <v>188</v>
      </c>
      <c r="P561" t="s">
        <v>1044</v>
      </c>
      <c r="Q561" t="s">
        <v>25</v>
      </c>
      <c r="R561" t="s">
        <v>251</v>
      </c>
      <c r="S561" t="s">
        <v>1043</v>
      </c>
      <c r="U561" s="6">
        <v>42142.374212962961</v>
      </c>
      <c r="V561" t="s">
        <v>18</v>
      </c>
      <c r="W561" t="s">
        <v>783</v>
      </c>
      <c r="X561" s="6">
        <v>42132.553414351853</v>
      </c>
      <c r="Y561" t="s">
        <v>119</v>
      </c>
      <c r="AB561" t="s">
        <v>201</v>
      </c>
      <c r="AC561" t="s">
        <v>247</v>
      </c>
      <c r="AD561" t="s">
        <v>220</v>
      </c>
      <c r="AE561" t="s">
        <v>219</v>
      </c>
      <c r="AG561" t="s">
        <v>121</v>
      </c>
      <c r="AH561" t="s">
        <v>327</v>
      </c>
      <c r="AI561" t="s">
        <v>121</v>
      </c>
      <c r="AJ561" t="s">
        <v>716</v>
      </c>
      <c r="AK561" t="s">
        <v>121</v>
      </c>
    </row>
    <row r="562" spans="9:37" x14ac:dyDescent="0.3">
      <c r="I562">
        <f ca="1">IF(OR(INDIRECT(A73&amp;ROW())=B93,INDIRECT(A73&amp;ROW())=B94),1,IF(AND(INDIRECT(A73&amp;ROW())=B95,INDIRECT(A96&amp;ROW())=C93),1,IF(AND(INDIRECT(A73&amp;ROW())=B95,INDIRECT(A96&amp;ROW())=C94),1,0)))</f>
        <v>0</v>
      </c>
      <c r="J562">
        <f ca="1">IF(AND(INDIRECT(A73&amp;ROW())=B95,INDIRECT(A96&amp;ROW())=C95),1,IF(AND(INDIRECT(A73&amp;ROW())=B95,INDIRECT(A96&amp;ROW())=C96),1,0))</f>
        <v>0</v>
      </c>
      <c r="K562">
        <f ca="1">DAYS360(INDIRECT(C68&amp;ROW()),TODAY())</f>
        <v>711</v>
      </c>
      <c r="L562">
        <f ca="1">DAYS360(INDIRECT(C69&amp;ROW()),TODAY())</f>
        <v>711</v>
      </c>
      <c r="M562">
        <f ca="1">HYPERLINK(CONCATENATE("https://bugzilla.houston.hp.com:1181/bugzilla/show_bug.cgi?id=",INDIRECT(C70&amp;ROW())),INDIRECT(C70&amp;ROW()))</f>
        <v>62177</v>
      </c>
      <c r="N562">
        <v>62177</v>
      </c>
      <c r="O562" t="s">
        <v>56</v>
      </c>
      <c r="P562" t="s">
        <v>1023</v>
      </c>
      <c r="Q562" t="s">
        <v>16</v>
      </c>
      <c r="R562" t="s">
        <v>783</v>
      </c>
      <c r="S562" t="s">
        <v>552</v>
      </c>
      <c r="U562" s="6">
        <v>42135.590312499997</v>
      </c>
      <c r="V562" t="s">
        <v>18</v>
      </c>
      <c r="W562" t="s">
        <v>248</v>
      </c>
      <c r="X562" s="6">
        <v>42135.590312499997</v>
      </c>
      <c r="Y562" t="s">
        <v>793</v>
      </c>
      <c r="AB562" t="s">
        <v>200</v>
      </c>
      <c r="AC562" t="s">
        <v>247</v>
      </c>
      <c r="AD562" t="s">
        <v>220</v>
      </c>
      <c r="AE562" t="s">
        <v>219</v>
      </c>
      <c r="AG562" t="s">
        <v>121</v>
      </c>
      <c r="AH562" t="s">
        <v>327</v>
      </c>
      <c r="AI562" t="s">
        <v>121</v>
      </c>
      <c r="AJ562" t="s">
        <v>716</v>
      </c>
      <c r="AK562" t="s">
        <v>121</v>
      </c>
    </row>
    <row r="563" spans="9:37" x14ac:dyDescent="0.3">
      <c r="I563">
        <f ca="1">IF(OR(INDIRECT(A73&amp;ROW())=B93,INDIRECT(A73&amp;ROW())=B94),1,IF(AND(INDIRECT(A73&amp;ROW())=B95,INDIRECT(A96&amp;ROW())=C93),1,IF(AND(INDIRECT(A73&amp;ROW())=B95,INDIRECT(A96&amp;ROW())=C94),1,0)))</f>
        <v>0</v>
      </c>
      <c r="J563">
        <f ca="1">IF(AND(INDIRECT(A73&amp;ROW())=B95,INDIRECT(A96&amp;ROW())=C95),1,IF(AND(INDIRECT(A73&amp;ROW())=B95,INDIRECT(A96&amp;ROW())=C96),1,0))</f>
        <v>0</v>
      </c>
      <c r="K563">
        <f ca="1">DAYS360(INDIRECT(C68&amp;ROW()),TODAY())</f>
        <v>711</v>
      </c>
      <c r="L563">
        <f ca="1">DAYS360(INDIRECT(C69&amp;ROW()),TODAY())</f>
        <v>711</v>
      </c>
      <c r="M563">
        <f ca="1">HYPERLINK(CONCATENATE("https://bugzilla.houston.hp.com:1181/bugzilla/show_bug.cgi?id=",INDIRECT(C70&amp;ROW())),INDIRECT(C70&amp;ROW()))</f>
        <v>62178</v>
      </c>
      <c r="N563">
        <v>62178</v>
      </c>
      <c r="O563" t="s">
        <v>56</v>
      </c>
      <c r="P563" t="s">
        <v>1022</v>
      </c>
      <c r="Q563" t="s">
        <v>16</v>
      </c>
      <c r="R563" t="s">
        <v>248</v>
      </c>
      <c r="S563" t="s">
        <v>552</v>
      </c>
      <c r="U563" s="6">
        <v>42135.59039351852</v>
      </c>
      <c r="V563" t="s">
        <v>18</v>
      </c>
      <c r="W563" t="s">
        <v>248</v>
      </c>
      <c r="X563" s="6">
        <v>42135.59039351852</v>
      </c>
      <c r="Y563" t="s">
        <v>793</v>
      </c>
      <c r="AB563" t="s">
        <v>200</v>
      </c>
      <c r="AC563" t="s">
        <v>247</v>
      </c>
      <c r="AD563" t="s">
        <v>220</v>
      </c>
      <c r="AE563" t="s">
        <v>219</v>
      </c>
      <c r="AG563" t="s">
        <v>121</v>
      </c>
      <c r="AH563" t="s">
        <v>327</v>
      </c>
      <c r="AI563" t="s">
        <v>121</v>
      </c>
      <c r="AJ563" t="s">
        <v>716</v>
      </c>
      <c r="AK563" t="s">
        <v>121</v>
      </c>
    </row>
    <row r="564" spans="9:37" x14ac:dyDescent="0.3">
      <c r="I564">
        <f ca="1">IF(OR(INDIRECT(A73&amp;ROW())=B93,INDIRECT(A73&amp;ROW())=B94),1,IF(AND(INDIRECT(A73&amp;ROW())=B95,INDIRECT(A96&amp;ROW())=C93),1,IF(AND(INDIRECT(A73&amp;ROW())=B95,INDIRECT(A96&amp;ROW())=C94),1,0)))</f>
        <v>1</v>
      </c>
      <c r="J564">
        <f ca="1">IF(AND(INDIRECT(A73&amp;ROW())=B95,INDIRECT(A96&amp;ROW())=C95),1,IF(AND(INDIRECT(A73&amp;ROW())=B95,INDIRECT(A96&amp;ROW())=C96),1,0))</f>
        <v>0</v>
      </c>
      <c r="K564">
        <f ca="1">DAYS360(INDIRECT(C68&amp;ROW()),TODAY())</f>
        <v>708</v>
      </c>
      <c r="L564">
        <f ca="1">DAYS360(INDIRECT(C69&amp;ROW()),TODAY())</f>
        <v>710</v>
      </c>
      <c r="M564">
        <f ca="1">HYPERLINK(CONCATENATE("https://bugzilla.houston.hp.com:1181/bugzilla/show_bug.cgi?id=",INDIRECT(C70&amp;ROW())),INDIRECT(C70&amp;ROW()))</f>
        <v>62223</v>
      </c>
      <c r="N564">
        <v>62223</v>
      </c>
      <c r="O564" t="s">
        <v>177</v>
      </c>
      <c r="P564" t="s">
        <v>1061</v>
      </c>
      <c r="Q564" t="s">
        <v>39</v>
      </c>
      <c r="R564" t="s">
        <v>579</v>
      </c>
      <c r="S564" t="s">
        <v>236</v>
      </c>
      <c r="T564" t="s">
        <v>1058</v>
      </c>
      <c r="U564" s="6">
        <v>42138.11515046296</v>
      </c>
      <c r="V564" t="s">
        <v>35</v>
      </c>
      <c r="W564" t="s">
        <v>783</v>
      </c>
      <c r="X564" s="6">
        <v>42136.32916666667</v>
      </c>
      <c r="Y564" t="s">
        <v>245</v>
      </c>
      <c r="AB564" t="s">
        <v>201</v>
      </c>
      <c r="AC564" t="s">
        <v>247</v>
      </c>
      <c r="AD564" t="s">
        <v>227</v>
      </c>
      <c r="AE564" t="s">
        <v>237</v>
      </c>
      <c r="AG564" t="s">
        <v>121</v>
      </c>
      <c r="AH564" t="s">
        <v>327</v>
      </c>
      <c r="AI564" t="s">
        <v>121</v>
      </c>
      <c r="AJ564" t="s">
        <v>715</v>
      </c>
      <c r="AK564" t="s">
        <v>121</v>
      </c>
    </row>
    <row r="565" spans="9:37" x14ac:dyDescent="0.3">
      <c r="I565">
        <f ca="1">IF(OR(INDIRECT(A73&amp;ROW())=B93,INDIRECT(A73&amp;ROW())=B94),1,IF(AND(INDIRECT(A73&amp;ROW())=B95,INDIRECT(A96&amp;ROW())=C93),1,IF(AND(INDIRECT(A73&amp;ROW())=B95,INDIRECT(A96&amp;ROW())=C94),1,0)))</f>
        <v>1</v>
      </c>
      <c r="J565">
        <f ca="1">IF(AND(INDIRECT(A73&amp;ROW())=B95,INDIRECT(A96&amp;ROW())=C95),1,IF(AND(INDIRECT(A73&amp;ROW())=B95,INDIRECT(A96&amp;ROW())=C96),1,0))</f>
        <v>0</v>
      </c>
      <c r="K565">
        <f ca="1">DAYS360(INDIRECT(C68&amp;ROW()),TODAY())</f>
        <v>694</v>
      </c>
      <c r="L565">
        <f ca="1">DAYS360(INDIRECT(C69&amp;ROW()),TODAY())</f>
        <v>710</v>
      </c>
      <c r="M565">
        <f ca="1">HYPERLINK(CONCATENATE("https://bugzilla.houston.hp.com:1181/bugzilla/show_bug.cgi?id=",INDIRECT(C70&amp;ROW())),INDIRECT(C70&amp;ROW()))</f>
        <v>62224</v>
      </c>
      <c r="N565">
        <v>62224</v>
      </c>
      <c r="O565" t="s">
        <v>177</v>
      </c>
      <c r="P565" t="s">
        <v>1060</v>
      </c>
      <c r="Q565" t="s">
        <v>39</v>
      </c>
      <c r="R565" t="s">
        <v>783</v>
      </c>
      <c r="S565" t="s">
        <v>236</v>
      </c>
      <c r="T565" t="s">
        <v>1058</v>
      </c>
      <c r="U565" s="6">
        <v>42152.314583333333</v>
      </c>
      <c r="V565" t="s">
        <v>35</v>
      </c>
      <c r="W565" t="s">
        <v>783</v>
      </c>
      <c r="X565" s="6">
        <v>42136.329282407409</v>
      </c>
      <c r="Y565" t="s">
        <v>245</v>
      </c>
      <c r="AB565" t="s">
        <v>201</v>
      </c>
      <c r="AC565" t="s">
        <v>247</v>
      </c>
      <c r="AD565" t="s">
        <v>227</v>
      </c>
      <c r="AE565" t="s">
        <v>237</v>
      </c>
      <c r="AG565" t="s">
        <v>588</v>
      </c>
      <c r="AH565" t="s">
        <v>327</v>
      </c>
      <c r="AI565" t="s">
        <v>121</v>
      </c>
      <c r="AJ565" t="s">
        <v>715</v>
      </c>
      <c r="AK565" t="s">
        <v>121</v>
      </c>
    </row>
    <row r="566" spans="9:37" x14ac:dyDescent="0.3">
      <c r="I566">
        <f ca="1">IF(OR(INDIRECT(A73&amp;ROW())=B93,INDIRECT(A73&amp;ROW())=B94),1,IF(AND(INDIRECT(A73&amp;ROW())=B95,INDIRECT(A96&amp;ROW())=C93),1,IF(AND(INDIRECT(A73&amp;ROW())=B95,INDIRECT(A96&amp;ROW())=C94),1,0)))</f>
        <v>1</v>
      </c>
      <c r="J566">
        <f ca="1">IF(AND(INDIRECT(A73&amp;ROW())=B95,INDIRECT(A96&amp;ROW())=C95),1,IF(AND(INDIRECT(A73&amp;ROW())=B95,INDIRECT(A96&amp;ROW())=C96),1,0))</f>
        <v>0</v>
      </c>
      <c r="K566">
        <f ca="1">DAYS360(INDIRECT(C68&amp;ROW()),TODAY())</f>
        <v>708</v>
      </c>
      <c r="L566">
        <f ca="1">DAYS360(INDIRECT(C69&amp;ROW()),TODAY())</f>
        <v>710</v>
      </c>
      <c r="M566">
        <f ca="1">HYPERLINK(CONCATENATE("https://bugzilla.houston.hp.com:1181/bugzilla/show_bug.cgi?id=",INDIRECT(C70&amp;ROW())),INDIRECT(C70&amp;ROW()))</f>
        <v>62225</v>
      </c>
      <c r="N566">
        <v>62225</v>
      </c>
      <c r="O566" t="s">
        <v>177</v>
      </c>
      <c r="P566" t="s">
        <v>1059</v>
      </c>
      <c r="Q566" t="s">
        <v>39</v>
      </c>
      <c r="R566" t="s">
        <v>248</v>
      </c>
      <c r="S566" t="s">
        <v>236</v>
      </c>
      <c r="T566" t="s">
        <v>1058</v>
      </c>
      <c r="U566" s="6">
        <v>42138.115671296298</v>
      </c>
      <c r="V566" t="s">
        <v>35</v>
      </c>
      <c r="W566" t="s">
        <v>783</v>
      </c>
      <c r="X566" s="6">
        <v>42136.329375000001</v>
      </c>
      <c r="Y566" t="s">
        <v>245</v>
      </c>
      <c r="AB566" t="s">
        <v>201</v>
      </c>
      <c r="AC566" t="s">
        <v>247</v>
      </c>
      <c r="AD566" t="s">
        <v>227</v>
      </c>
      <c r="AE566" t="s">
        <v>237</v>
      </c>
      <c r="AG566" t="s">
        <v>121</v>
      </c>
      <c r="AH566" t="s">
        <v>327</v>
      </c>
      <c r="AI566" t="s">
        <v>121</v>
      </c>
      <c r="AJ566" t="s">
        <v>715</v>
      </c>
      <c r="AK566" t="s">
        <v>121</v>
      </c>
    </row>
    <row r="567" spans="9:37" x14ac:dyDescent="0.3">
      <c r="I567">
        <f ca="1">IF(OR(INDIRECT(A73&amp;ROW())=B93,INDIRECT(A73&amp;ROW())=B94),1,IF(AND(INDIRECT(A73&amp;ROW())=B95,INDIRECT(A96&amp;ROW())=C93),1,IF(AND(INDIRECT(A73&amp;ROW())=B95,INDIRECT(A96&amp;ROW())=C94),1,0)))</f>
        <v>0</v>
      </c>
      <c r="J567">
        <f ca="1">IF(AND(INDIRECT(A73&amp;ROW())=B95,INDIRECT(A96&amp;ROW())=C95),1,IF(AND(INDIRECT(A73&amp;ROW())=B95,INDIRECT(A96&amp;ROW())=C96),1,0))</f>
        <v>1</v>
      </c>
      <c r="K567">
        <f ca="1">DAYS360(INDIRECT(C68&amp;ROW()),TODAY())</f>
        <v>708</v>
      </c>
      <c r="L567">
        <f ca="1">DAYS360(INDIRECT(C69&amp;ROW()),TODAY())</f>
        <v>710</v>
      </c>
      <c r="M567">
        <f ca="1">HYPERLINK(CONCATENATE("https://bugzilla.houston.hp.com:1181/bugzilla/show_bug.cgi?id=",INDIRECT(C70&amp;ROW())),INDIRECT(C70&amp;ROW()))</f>
        <v>62236</v>
      </c>
      <c r="N567">
        <v>62236</v>
      </c>
      <c r="O567" t="s">
        <v>66</v>
      </c>
      <c r="P567" t="s">
        <v>1042</v>
      </c>
      <c r="Q567" t="s">
        <v>25</v>
      </c>
      <c r="R567" t="s">
        <v>579</v>
      </c>
      <c r="S567" t="s">
        <v>552</v>
      </c>
      <c r="T567" t="s">
        <v>1054</v>
      </c>
      <c r="U567" s="6">
        <v>42138.317337962966</v>
      </c>
      <c r="V567" t="s">
        <v>18</v>
      </c>
      <c r="W567" t="s">
        <v>783</v>
      </c>
      <c r="X567" s="6">
        <v>42136.380937499998</v>
      </c>
      <c r="Y567" t="s">
        <v>119</v>
      </c>
      <c r="AB567" t="s">
        <v>201</v>
      </c>
      <c r="AC567" t="s">
        <v>247</v>
      </c>
      <c r="AD567" t="s">
        <v>220</v>
      </c>
      <c r="AE567" t="s">
        <v>219</v>
      </c>
      <c r="AG567" t="s">
        <v>121</v>
      </c>
      <c r="AH567" t="s">
        <v>327</v>
      </c>
      <c r="AI567" t="s">
        <v>121</v>
      </c>
      <c r="AJ567" t="s">
        <v>716</v>
      </c>
      <c r="AK567" t="s">
        <v>121</v>
      </c>
    </row>
    <row r="568" spans="9:37" x14ac:dyDescent="0.3">
      <c r="I568">
        <f ca="1">IF(OR(INDIRECT(A73&amp;ROW())=B93,INDIRECT(A73&amp;ROW())=B94),1,IF(AND(INDIRECT(A73&amp;ROW())=B95,INDIRECT(A96&amp;ROW())=C93),1,IF(AND(INDIRECT(A73&amp;ROW())=B95,INDIRECT(A96&amp;ROW())=C94),1,0)))</f>
        <v>0</v>
      </c>
      <c r="J568">
        <f ca="1">IF(AND(INDIRECT(A73&amp;ROW())=B95,INDIRECT(A96&amp;ROW())=C95),1,IF(AND(INDIRECT(A73&amp;ROW())=B95,INDIRECT(A96&amp;ROW())=C96),1,0))</f>
        <v>1</v>
      </c>
      <c r="K568">
        <f ca="1">DAYS360(INDIRECT(C68&amp;ROW()),TODAY())</f>
        <v>708</v>
      </c>
      <c r="L568">
        <f ca="1">DAYS360(INDIRECT(C69&amp;ROW()),TODAY())</f>
        <v>710</v>
      </c>
      <c r="M568">
        <f ca="1">HYPERLINK(CONCATENATE("https://bugzilla.houston.hp.com:1181/bugzilla/show_bug.cgi?id=",INDIRECT(C70&amp;ROW())),INDIRECT(C70&amp;ROW()))</f>
        <v>62237</v>
      </c>
      <c r="N568">
        <v>62237</v>
      </c>
      <c r="O568" t="s">
        <v>66</v>
      </c>
      <c r="P568" t="s">
        <v>1041</v>
      </c>
      <c r="Q568" t="s">
        <v>25</v>
      </c>
      <c r="R568" t="s">
        <v>783</v>
      </c>
      <c r="S568" t="s">
        <v>552</v>
      </c>
      <c r="U568" s="6">
        <v>42138.97246527778</v>
      </c>
      <c r="V568" t="s">
        <v>18</v>
      </c>
      <c r="W568" t="s">
        <v>783</v>
      </c>
      <c r="X568" s="6">
        <v>42136.381041666667</v>
      </c>
      <c r="Y568" t="s">
        <v>119</v>
      </c>
      <c r="AB568" t="s">
        <v>201</v>
      </c>
      <c r="AC568" t="s">
        <v>247</v>
      </c>
      <c r="AD568" t="s">
        <v>220</v>
      </c>
      <c r="AE568" t="s">
        <v>219</v>
      </c>
      <c r="AG568" t="s">
        <v>121</v>
      </c>
      <c r="AH568" t="s">
        <v>327</v>
      </c>
      <c r="AI568" t="s">
        <v>121</v>
      </c>
      <c r="AJ568" t="s">
        <v>716</v>
      </c>
      <c r="AK568" t="s">
        <v>121</v>
      </c>
    </row>
    <row r="569" spans="9:37" x14ac:dyDescent="0.3">
      <c r="I569">
        <f ca="1">IF(OR(INDIRECT(A73&amp;ROW())=B93,INDIRECT(A73&amp;ROW())=B94),1,IF(AND(INDIRECT(A73&amp;ROW())=B95,INDIRECT(A96&amp;ROW())=C93),1,IF(AND(INDIRECT(A73&amp;ROW())=B95,INDIRECT(A96&amp;ROW())=C94),1,0)))</f>
        <v>0</v>
      </c>
      <c r="J569">
        <f ca="1">IF(AND(INDIRECT(A73&amp;ROW())=B95,INDIRECT(A96&amp;ROW())=C95),1,IF(AND(INDIRECT(A73&amp;ROW())=B95,INDIRECT(A96&amp;ROW())=C96),1,0))</f>
        <v>1</v>
      </c>
      <c r="K569">
        <f ca="1">DAYS360(INDIRECT(C68&amp;ROW()),TODAY())</f>
        <v>708</v>
      </c>
      <c r="L569">
        <f ca="1">DAYS360(INDIRECT(C69&amp;ROW()),TODAY())</f>
        <v>710</v>
      </c>
      <c r="M569">
        <f ca="1">HYPERLINK(CONCATENATE("https://bugzilla.houston.hp.com:1181/bugzilla/show_bug.cgi?id=",INDIRECT(C70&amp;ROW())),INDIRECT(C70&amp;ROW()))</f>
        <v>62238</v>
      </c>
      <c r="N569">
        <v>62238</v>
      </c>
      <c r="O569" t="s">
        <v>66</v>
      </c>
      <c r="P569" t="s">
        <v>1040</v>
      </c>
      <c r="Q569" t="s">
        <v>25</v>
      </c>
      <c r="R569" t="s">
        <v>248</v>
      </c>
      <c r="S569" t="s">
        <v>552</v>
      </c>
      <c r="U569" s="6">
        <v>42138.317372685182</v>
      </c>
      <c r="V569" t="s">
        <v>18</v>
      </c>
      <c r="W569" t="s">
        <v>783</v>
      </c>
      <c r="X569" s="6">
        <v>42136.381157407406</v>
      </c>
      <c r="Y569" t="s">
        <v>119</v>
      </c>
      <c r="AB569" t="s">
        <v>201</v>
      </c>
      <c r="AC569" t="s">
        <v>247</v>
      </c>
      <c r="AD569" t="s">
        <v>220</v>
      </c>
      <c r="AE569" t="s">
        <v>219</v>
      </c>
      <c r="AG569" t="s">
        <v>121</v>
      </c>
      <c r="AH569" t="s">
        <v>327</v>
      </c>
      <c r="AI569" t="s">
        <v>121</v>
      </c>
      <c r="AJ569" t="s">
        <v>716</v>
      </c>
      <c r="AK569" t="s">
        <v>121</v>
      </c>
    </row>
    <row r="570" spans="9:37" x14ac:dyDescent="0.3">
      <c r="I570">
        <f ca="1">IF(OR(INDIRECT(A73&amp;ROW())=B93,INDIRECT(A73&amp;ROW())=B94),1,IF(AND(INDIRECT(A73&amp;ROW())=B95,INDIRECT(A96&amp;ROW())=C93),1,IF(AND(INDIRECT(A73&amp;ROW())=B95,INDIRECT(A96&amp;ROW())=C94),1,0)))</f>
        <v>1</v>
      </c>
      <c r="J570">
        <f ca="1">IF(AND(INDIRECT(A73&amp;ROW())=B95,INDIRECT(A96&amp;ROW())=C95),1,IF(AND(INDIRECT(A73&amp;ROW())=B95,INDIRECT(A96&amp;ROW())=C96),1,0))</f>
        <v>0</v>
      </c>
      <c r="K570">
        <f ca="1">DAYS360(INDIRECT(C68&amp;ROW()),TODAY())</f>
        <v>691</v>
      </c>
      <c r="L570">
        <f ca="1">DAYS360(INDIRECT(C69&amp;ROW()),TODAY())</f>
        <v>710</v>
      </c>
      <c r="M570">
        <f ca="1">HYPERLINK(CONCATENATE("https://bugzilla.houston.hp.com:1181/bugzilla/show_bug.cgi?id=",INDIRECT(C70&amp;ROW())),INDIRECT(C70&amp;ROW()))</f>
        <v>62267</v>
      </c>
      <c r="N570">
        <v>62267</v>
      </c>
      <c r="O570" t="s">
        <v>45</v>
      </c>
      <c r="P570" t="s">
        <v>1039</v>
      </c>
      <c r="Q570" t="s">
        <v>25</v>
      </c>
      <c r="R570" t="s">
        <v>579</v>
      </c>
      <c r="S570" t="s">
        <v>552</v>
      </c>
      <c r="U570" s="6">
        <v>42156.076747685183</v>
      </c>
      <c r="V570" t="s">
        <v>18</v>
      </c>
      <c r="W570" t="s">
        <v>57</v>
      </c>
      <c r="X570" s="6">
        <v>42136.578518518516</v>
      </c>
      <c r="Y570" t="s">
        <v>1026</v>
      </c>
      <c r="AB570" t="s">
        <v>200</v>
      </c>
      <c r="AC570" t="s">
        <v>247</v>
      </c>
      <c r="AD570" t="s">
        <v>220</v>
      </c>
      <c r="AE570" t="s">
        <v>290</v>
      </c>
      <c r="AG570" t="s">
        <v>121</v>
      </c>
      <c r="AH570" t="s">
        <v>327</v>
      </c>
      <c r="AI570" t="s">
        <v>121</v>
      </c>
      <c r="AJ570" t="s">
        <v>715</v>
      </c>
      <c r="AK570" t="s">
        <v>121</v>
      </c>
    </row>
    <row r="571" spans="9:37" x14ac:dyDescent="0.3">
      <c r="I571">
        <f ca="1">IF(OR(INDIRECT(A73&amp;ROW())=B93,INDIRECT(A73&amp;ROW())=B94),1,IF(AND(INDIRECT(A73&amp;ROW())=B95,INDIRECT(A96&amp;ROW())=C93),1,IF(AND(INDIRECT(A73&amp;ROW())=B95,INDIRECT(A96&amp;ROW())=C94),1,0)))</f>
        <v>1</v>
      </c>
      <c r="J571">
        <f ca="1">IF(AND(INDIRECT(A73&amp;ROW())=B95,INDIRECT(A96&amp;ROW())=C95),1,IF(AND(INDIRECT(A73&amp;ROW())=B95,INDIRECT(A96&amp;ROW())=C96),1,0))</f>
        <v>0</v>
      </c>
      <c r="K571">
        <f ca="1">DAYS360(INDIRECT(C68&amp;ROW()),TODAY())</f>
        <v>694</v>
      </c>
      <c r="L571">
        <f ca="1">DAYS360(INDIRECT(C69&amp;ROW()),TODAY())</f>
        <v>710</v>
      </c>
      <c r="M571">
        <f ca="1">HYPERLINK(CONCATENATE("https://bugzilla.houston.hp.com:1181/bugzilla/show_bug.cgi?id=",INDIRECT(C70&amp;ROW())),INDIRECT(C70&amp;ROW()))</f>
        <v>62268</v>
      </c>
      <c r="N571">
        <v>62268</v>
      </c>
      <c r="O571" t="s">
        <v>45</v>
      </c>
      <c r="P571" t="s">
        <v>1038</v>
      </c>
      <c r="Q571" t="s">
        <v>25</v>
      </c>
      <c r="R571" t="s">
        <v>783</v>
      </c>
      <c r="S571" t="s">
        <v>552</v>
      </c>
      <c r="T571" t="s">
        <v>1122</v>
      </c>
      <c r="U571" s="6">
        <v>42152.95045138889</v>
      </c>
      <c r="V571" t="s">
        <v>35</v>
      </c>
      <c r="W571" t="s">
        <v>57</v>
      </c>
      <c r="X571" s="6">
        <v>42136.578576388885</v>
      </c>
      <c r="Y571" t="s">
        <v>1026</v>
      </c>
      <c r="AB571" t="s">
        <v>200</v>
      </c>
      <c r="AC571" t="s">
        <v>247</v>
      </c>
      <c r="AD571" t="s">
        <v>220</v>
      </c>
      <c r="AE571" t="s">
        <v>290</v>
      </c>
      <c r="AG571" t="s">
        <v>337</v>
      </c>
      <c r="AH571" t="s">
        <v>327</v>
      </c>
      <c r="AI571" t="s">
        <v>121</v>
      </c>
      <c r="AJ571" t="s">
        <v>715</v>
      </c>
      <c r="AK571" t="s">
        <v>1104</v>
      </c>
    </row>
    <row r="572" spans="9:37" x14ac:dyDescent="0.3">
      <c r="I572">
        <f ca="1">IF(OR(INDIRECT(A73&amp;ROW())=B93,INDIRECT(A73&amp;ROW())=B94),1,IF(AND(INDIRECT(A73&amp;ROW())=B95,INDIRECT(A96&amp;ROW())=C93),1,IF(AND(INDIRECT(A73&amp;ROW())=B95,INDIRECT(A96&amp;ROW())=C94),1,0)))</f>
        <v>1</v>
      </c>
      <c r="J572">
        <f ca="1">IF(AND(INDIRECT(A73&amp;ROW())=B95,INDIRECT(A96&amp;ROW())=C95),1,IF(AND(INDIRECT(A73&amp;ROW())=B95,INDIRECT(A96&amp;ROW())=C96),1,0))</f>
        <v>0</v>
      </c>
      <c r="K572">
        <f ca="1">DAYS360(INDIRECT(C68&amp;ROW()),TODAY())</f>
        <v>703</v>
      </c>
      <c r="L572">
        <f ca="1">DAYS360(INDIRECT(C69&amp;ROW()),TODAY())</f>
        <v>710</v>
      </c>
      <c r="M572">
        <f ca="1">HYPERLINK(CONCATENATE("https://bugzilla.houston.hp.com:1181/bugzilla/show_bug.cgi?id=",INDIRECT(C70&amp;ROW())),INDIRECT(C70&amp;ROW()))</f>
        <v>62269</v>
      </c>
      <c r="N572">
        <v>62269</v>
      </c>
      <c r="O572" t="s">
        <v>53</v>
      </c>
      <c r="P572" t="s">
        <v>1037</v>
      </c>
      <c r="Q572" t="s">
        <v>25</v>
      </c>
      <c r="R572" t="s">
        <v>248</v>
      </c>
      <c r="S572" t="s">
        <v>552</v>
      </c>
      <c r="U572" s="6">
        <v>42143.410810185182</v>
      </c>
      <c r="V572" t="s">
        <v>18</v>
      </c>
      <c r="W572" t="s">
        <v>57</v>
      </c>
      <c r="X572" s="6">
        <v>42136.578622685185</v>
      </c>
      <c r="Y572" t="s">
        <v>1026</v>
      </c>
      <c r="AB572" t="s">
        <v>200</v>
      </c>
      <c r="AC572" t="s">
        <v>247</v>
      </c>
      <c r="AD572" t="s">
        <v>220</v>
      </c>
      <c r="AE572" t="s">
        <v>290</v>
      </c>
      <c r="AG572" t="s">
        <v>121</v>
      </c>
      <c r="AH572" t="s">
        <v>327</v>
      </c>
      <c r="AI572" t="s">
        <v>121</v>
      </c>
      <c r="AJ572" t="s">
        <v>715</v>
      </c>
      <c r="AK572" t="s">
        <v>121</v>
      </c>
    </row>
    <row r="573" spans="9:37" x14ac:dyDescent="0.3">
      <c r="I573">
        <f ca="1">IF(OR(INDIRECT(A73&amp;ROW())=B93,INDIRECT(A73&amp;ROW())=B94),1,IF(AND(INDIRECT(A73&amp;ROW())=B95,INDIRECT(A96&amp;ROW())=C93),1,IF(AND(INDIRECT(A73&amp;ROW())=B95,INDIRECT(A96&amp;ROW())=C94),1,0)))</f>
        <v>1</v>
      </c>
      <c r="J573">
        <f ca="1">IF(AND(INDIRECT(A73&amp;ROW())=B95,INDIRECT(A96&amp;ROW())=C95),1,IF(AND(INDIRECT(A73&amp;ROW())=B95,INDIRECT(A96&amp;ROW())=C96),1,0))</f>
        <v>0</v>
      </c>
      <c r="K573">
        <f ca="1">DAYS360(INDIRECT(C68&amp;ROW()),TODAY())</f>
        <v>710</v>
      </c>
      <c r="L573">
        <f ca="1">DAYS360(INDIRECT(C69&amp;ROW()),TODAY())</f>
        <v>710</v>
      </c>
      <c r="M573">
        <f ca="1">HYPERLINK(CONCATENATE("https://bugzilla.houston.hp.com:1181/bugzilla/show_bug.cgi?id=",INDIRECT(C70&amp;ROW())),INDIRECT(C70&amp;ROW()))</f>
        <v>62279</v>
      </c>
      <c r="N573">
        <v>62279</v>
      </c>
      <c r="O573" t="s">
        <v>45</v>
      </c>
      <c r="P573" t="s">
        <v>1036</v>
      </c>
      <c r="Q573" t="s">
        <v>38</v>
      </c>
      <c r="R573" t="s">
        <v>248</v>
      </c>
      <c r="S573" t="s">
        <v>552</v>
      </c>
      <c r="U573" s="6">
        <v>42136.598391203705</v>
      </c>
      <c r="V573" t="s">
        <v>18</v>
      </c>
      <c r="W573" t="s">
        <v>248</v>
      </c>
      <c r="X573" s="6">
        <v>42136.598391203705</v>
      </c>
      <c r="Y573" t="s">
        <v>793</v>
      </c>
      <c r="AB573" t="s">
        <v>201</v>
      </c>
      <c r="AC573" t="s">
        <v>247</v>
      </c>
      <c r="AD573" t="s">
        <v>227</v>
      </c>
      <c r="AE573" t="s">
        <v>226</v>
      </c>
      <c r="AG573" t="s">
        <v>121</v>
      </c>
      <c r="AH573" t="s">
        <v>327</v>
      </c>
      <c r="AI573" t="s">
        <v>121</v>
      </c>
      <c r="AJ573" t="s">
        <v>715</v>
      </c>
      <c r="AK573" t="s">
        <v>121</v>
      </c>
    </row>
    <row r="574" spans="9:37" x14ac:dyDescent="0.3">
      <c r="I574">
        <f ca="1">IF(OR(INDIRECT(A73&amp;ROW())=B93,INDIRECT(A73&amp;ROW())=B94),1,IF(AND(INDIRECT(A73&amp;ROW())=B95,INDIRECT(A96&amp;ROW())=C93),1,IF(AND(INDIRECT(A73&amp;ROW())=B95,INDIRECT(A96&amp;ROW())=C94),1,0)))</f>
        <v>0</v>
      </c>
      <c r="J574">
        <f ca="1">IF(AND(INDIRECT(A73&amp;ROW())=B95,INDIRECT(A96&amp;ROW())=C95),1,IF(AND(INDIRECT(A73&amp;ROW())=B95,INDIRECT(A96&amp;ROW())=C96),1,0))</f>
        <v>1</v>
      </c>
      <c r="K574">
        <f ca="1">DAYS360(INDIRECT(C68&amp;ROW()),TODAY())</f>
        <v>710</v>
      </c>
      <c r="L574">
        <f ca="1">DAYS360(INDIRECT(C69&amp;ROW()),TODAY())</f>
        <v>710</v>
      </c>
      <c r="M574">
        <f ca="1">HYPERLINK(CONCATENATE("https://bugzilla.houston.hp.com:1181/bugzilla/show_bug.cgi?id=",INDIRECT(C70&amp;ROW())),INDIRECT(C70&amp;ROW()))</f>
        <v>62282</v>
      </c>
      <c r="N574">
        <v>62282</v>
      </c>
      <c r="O574" t="s">
        <v>53</v>
      </c>
      <c r="P574" t="s">
        <v>1035</v>
      </c>
      <c r="Q574" t="s">
        <v>25</v>
      </c>
      <c r="R574" t="s">
        <v>248</v>
      </c>
      <c r="S574" t="s">
        <v>552</v>
      </c>
      <c r="U574" s="6">
        <v>42136.615694444445</v>
      </c>
      <c r="V574" t="s">
        <v>18</v>
      </c>
      <c r="W574" t="s">
        <v>17</v>
      </c>
      <c r="X574" s="6">
        <v>42136.615694444445</v>
      </c>
      <c r="Y574" t="s">
        <v>118</v>
      </c>
      <c r="AB574" t="s">
        <v>201</v>
      </c>
      <c r="AC574" t="s">
        <v>1027</v>
      </c>
      <c r="AD574" t="s">
        <v>220</v>
      </c>
      <c r="AE574" t="s">
        <v>219</v>
      </c>
      <c r="AG574" t="s">
        <v>121</v>
      </c>
      <c r="AH574" t="s">
        <v>327</v>
      </c>
      <c r="AI574" t="s">
        <v>121</v>
      </c>
      <c r="AJ574" t="s">
        <v>716</v>
      </c>
      <c r="AK574" t="s">
        <v>121</v>
      </c>
    </row>
    <row r="575" spans="9:37" x14ac:dyDescent="0.3">
      <c r="I575">
        <f ca="1">IF(OR(INDIRECT(A73&amp;ROW())=B93,INDIRECT(A73&amp;ROW())=B94),1,IF(AND(INDIRECT(A73&amp;ROW())=B95,INDIRECT(A96&amp;ROW())=C93),1,IF(AND(INDIRECT(A73&amp;ROW())=B95,INDIRECT(A96&amp;ROW())=C94),1,0)))</f>
        <v>0</v>
      </c>
      <c r="J575">
        <f ca="1">IF(AND(INDIRECT(A73&amp;ROW())=B95,INDIRECT(A96&amp;ROW())=C95),1,IF(AND(INDIRECT(A73&amp;ROW())=B95,INDIRECT(A96&amp;ROW())=C96),1,0))</f>
        <v>1</v>
      </c>
      <c r="K575">
        <f ca="1">DAYS360(INDIRECT(C68&amp;ROW()),TODAY())</f>
        <v>710</v>
      </c>
      <c r="L575">
        <f ca="1">DAYS360(INDIRECT(C69&amp;ROW()),TODAY())</f>
        <v>710</v>
      </c>
      <c r="M575">
        <f ca="1">HYPERLINK(CONCATENATE("https://bugzilla.houston.hp.com:1181/bugzilla/show_bug.cgi?id=",INDIRECT(C70&amp;ROW())),INDIRECT(C70&amp;ROW()))</f>
        <v>62284</v>
      </c>
      <c r="N575">
        <v>62284</v>
      </c>
      <c r="O575" t="s">
        <v>66</v>
      </c>
      <c r="P575" t="s">
        <v>1034</v>
      </c>
      <c r="Q575" t="s">
        <v>25</v>
      </c>
      <c r="R575" t="s">
        <v>783</v>
      </c>
      <c r="S575" t="s">
        <v>552</v>
      </c>
      <c r="T575" t="s">
        <v>794</v>
      </c>
      <c r="U575" s="6">
        <v>42136.619583333333</v>
      </c>
      <c r="V575" t="s">
        <v>18</v>
      </c>
      <c r="W575" t="s">
        <v>17</v>
      </c>
      <c r="X575" s="6">
        <v>42136.619583333333</v>
      </c>
      <c r="Y575" t="s">
        <v>119</v>
      </c>
      <c r="AB575" t="s">
        <v>201</v>
      </c>
      <c r="AC575" t="s">
        <v>247</v>
      </c>
      <c r="AD575" t="s">
        <v>220</v>
      </c>
      <c r="AE575" t="s">
        <v>223</v>
      </c>
      <c r="AG575" t="s">
        <v>121</v>
      </c>
      <c r="AH575" t="s">
        <v>64</v>
      </c>
      <c r="AI575" t="s">
        <v>121</v>
      </c>
      <c r="AJ575" t="s">
        <v>716</v>
      </c>
      <c r="AK575" t="s">
        <v>121</v>
      </c>
    </row>
    <row r="576" spans="9:37" x14ac:dyDescent="0.3">
      <c r="I576">
        <f ca="1">IF(OR(INDIRECT(A73&amp;ROW())=B93,INDIRECT(A73&amp;ROW())=B94),1,IF(AND(INDIRECT(A73&amp;ROW())=B95,INDIRECT(A96&amp;ROW())=C93),1,IF(AND(INDIRECT(A73&amp;ROW())=B95,INDIRECT(A96&amp;ROW())=C94),1,0)))</f>
        <v>0</v>
      </c>
      <c r="J576">
        <f ca="1">IF(AND(INDIRECT(A73&amp;ROW())=B95,INDIRECT(A96&amp;ROW())=C95),1,IF(AND(INDIRECT(A73&amp;ROW())=B95,INDIRECT(A96&amp;ROW())=C96),1,0))</f>
        <v>1</v>
      </c>
      <c r="K576">
        <f ca="1">DAYS360(INDIRECT(C68&amp;ROW()),TODAY())</f>
        <v>710</v>
      </c>
      <c r="L576">
        <f ca="1">DAYS360(INDIRECT(C69&amp;ROW()),TODAY())</f>
        <v>710</v>
      </c>
      <c r="M576">
        <f ca="1">HYPERLINK(CONCATENATE("https://bugzilla.houston.hp.com:1181/bugzilla/show_bug.cgi?id=",INDIRECT(C70&amp;ROW())),INDIRECT(C70&amp;ROW()))</f>
        <v>62285</v>
      </c>
      <c r="N576">
        <v>62285</v>
      </c>
      <c r="O576" t="s">
        <v>66</v>
      </c>
      <c r="P576" t="s">
        <v>1033</v>
      </c>
      <c r="Q576" t="s">
        <v>25</v>
      </c>
      <c r="R576" t="s">
        <v>248</v>
      </c>
      <c r="S576" t="s">
        <v>552</v>
      </c>
      <c r="T576" t="s">
        <v>794</v>
      </c>
      <c r="U576" s="6">
        <v>42136.619699074072</v>
      </c>
      <c r="V576" t="s">
        <v>18</v>
      </c>
      <c r="W576" t="s">
        <v>17</v>
      </c>
      <c r="X576" s="6">
        <v>42136.619699074072</v>
      </c>
      <c r="Y576" t="s">
        <v>119</v>
      </c>
      <c r="AB576" t="s">
        <v>201</v>
      </c>
      <c r="AC576" t="s">
        <v>247</v>
      </c>
      <c r="AD576" t="s">
        <v>220</v>
      </c>
      <c r="AE576" t="s">
        <v>223</v>
      </c>
      <c r="AG576" t="s">
        <v>121</v>
      </c>
      <c r="AH576" t="s">
        <v>64</v>
      </c>
      <c r="AI576" t="s">
        <v>121</v>
      </c>
      <c r="AJ576" t="s">
        <v>716</v>
      </c>
      <c r="AK576" t="s">
        <v>121</v>
      </c>
    </row>
    <row r="577" spans="9:37" x14ac:dyDescent="0.3">
      <c r="I577">
        <f ca="1">IF(OR(INDIRECT(A73&amp;ROW())=B93,INDIRECT(A73&amp;ROW())=B94),1,IF(AND(INDIRECT(A73&amp;ROW())=B95,INDIRECT(A96&amp;ROW())=C93),1,IF(AND(INDIRECT(A73&amp;ROW())=B95,INDIRECT(A96&amp;ROW())=C94),1,0)))</f>
        <v>0</v>
      </c>
      <c r="J577">
        <f ca="1">IF(AND(INDIRECT(A73&amp;ROW())=B95,INDIRECT(A96&amp;ROW())=C95),1,IF(AND(INDIRECT(A73&amp;ROW())=B95,INDIRECT(A96&amp;ROW())=C96),1,0))</f>
        <v>0</v>
      </c>
      <c r="K577">
        <f ca="1">DAYS360(INDIRECT(C68&amp;ROW()),TODAY())</f>
        <v>710</v>
      </c>
      <c r="L577">
        <f ca="1">DAYS360(INDIRECT(C69&amp;ROW()),TODAY())</f>
        <v>710</v>
      </c>
      <c r="M577">
        <f ca="1">HYPERLINK(CONCATENATE("https://bugzilla.houston.hp.com:1181/bugzilla/show_bug.cgi?id=",INDIRECT(C70&amp;ROW())),INDIRECT(C70&amp;ROW()))</f>
        <v>62294</v>
      </c>
      <c r="N577">
        <v>62294</v>
      </c>
      <c r="O577" t="s">
        <v>66</v>
      </c>
      <c r="P577" t="s">
        <v>1032</v>
      </c>
      <c r="Q577" t="s">
        <v>16</v>
      </c>
      <c r="R577" t="s">
        <v>248</v>
      </c>
      <c r="S577" t="s">
        <v>552</v>
      </c>
      <c r="U577" s="6">
        <v>42136.635416666664</v>
      </c>
      <c r="V577" t="s">
        <v>18</v>
      </c>
      <c r="W577" t="s">
        <v>17</v>
      </c>
      <c r="X577" s="6">
        <v>42136.635416666664</v>
      </c>
      <c r="Y577" t="s">
        <v>255</v>
      </c>
      <c r="AB577" t="s">
        <v>201</v>
      </c>
      <c r="AC577" t="s">
        <v>247</v>
      </c>
      <c r="AD577" t="s">
        <v>220</v>
      </c>
      <c r="AE577" t="s">
        <v>219</v>
      </c>
      <c r="AG577" t="s">
        <v>121</v>
      </c>
      <c r="AH577" t="s">
        <v>327</v>
      </c>
      <c r="AI577" t="s">
        <v>121</v>
      </c>
      <c r="AJ577" t="s">
        <v>716</v>
      </c>
      <c r="AK577" t="s">
        <v>121</v>
      </c>
    </row>
    <row r="578" spans="9:37" x14ac:dyDescent="0.3">
      <c r="I578">
        <f ca="1">IF(OR(INDIRECT(A73&amp;ROW())=B93,INDIRECT(A73&amp;ROW())=B94),1,IF(AND(INDIRECT(A73&amp;ROW())=B95,INDIRECT(A96&amp;ROW())=C93),1,IF(AND(INDIRECT(A73&amp;ROW())=B95,INDIRECT(A96&amp;ROW())=C94),1,0)))</f>
        <v>0</v>
      </c>
      <c r="J578">
        <f ca="1">IF(AND(INDIRECT(A73&amp;ROW())=B95,INDIRECT(A96&amp;ROW())=C95),1,IF(AND(INDIRECT(A73&amp;ROW())=B95,INDIRECT(A96&amp;ROW())=C96),1,0))</f>
        <v>0</v>
      </c>
      <c r="K578">
        <f ca="1">DAYS360(INDIRECT(C68&amp;ROW()),TODAY())</f>
        <v>710</v>
      </c>
      <c r="L578">
        <f ca="1">DAYS360(INDIRECT(C69&amp;ROW()),TODAY())</f>
        <v>710</v>
      </c>
      <c r="M578">
        <f ca="1">HYPERLINK(CONCATENATE("https://bugzilla.houston.hp.com:1181/bugzilla/show_bug.cgi?id=",INDIRECT(C70&amp;ROW())),INDIRECT(C70&amp;ROW()))</f>
        <v>62296</v>
      </c>
      <c r="N578">
        <v>62296</v>
      </c>
      <c r="O578" t="s">
        <v>43</v>
      </c>
      <c r="P578" t="s">
        <v>1031</v>
      </c>
      <c r="Q578" t="s">
        <v>16</v>
      </c>
      <c r="R578" t="s">
        <v>248</v>
      </c>
      <c r="S578" t="s">
        <v>552</v>
      </c>
      <c r="T578" t="s">
        <v>794</v>
      </c>
      <c r="U578" s="6">
        <v>42136.636666666665</v>
      </c>
      <c r="V578" t="s">
        <v>18</v>
      </c>
      <c r="W578" t="s">
        <v>17</v>
      </c>
      <c r="X578" s="6">
        <v>42136.636666666665</v>
      </c>
      <c r="Y578" t="s">
        <v>124</v>
      </c>
      <c r="AB578" t="s">
        <v>201</v>
      </c>
      <c r="AC578" t="s">
        <v>247</v>
      </c>
      <c r="AD578" t="s">
        <v>220</v>
      </c>
      <c r="AE578" t="s">
        <v>219</v>
      </c>
      <c r="AG578" t="s">
        <v>121</v>
      </c>
      <c r="AH578" t="s">
        <v>327</v>
      </c>
      <c r="AI578" t="s">
        <v>121</v>
      </c>
      <c r="AJ578" t="s">
        <v>717</v>
      </c>
      <c r="AK578" t="s">
        <v>121</v>
      </c>
    </row>
    <row r="579" spans="9:37" x14ac:dyDescent="0.3">
      <c r="I579">
        <f ca="1">IF(OR(INDIRECT(A73&amp;ROW())=B93,INDIRECT(A73&amp;ROW())=B94),1,IF(AND(INDIRECT(A73&amp;ROW())=B95,INDIRECT(A96&amp;ROW())=C93),1,IF(AND(INDIRECT(A73&amp;ROW())=B95,INDIRECT(A96&amp;ROW())=C94),1,0)))</f>
        <v>0</v>
      </c>
      <c r="J579">
        <f ca="1">IF(AND(INDIRECT(A73&amp;ROW())=B95,INDIRECT(A96&amp;ROW())=C95),1,IF(AND(INDIRECT(A73&amp;ROW())=B95,INDIRECT(A96&amp;ROW())=C96),1,0))</f>
        <v>0</v>
      </c>
      <c r="K579">
        <f ca="1">DAYS360(INDIRECT(C68&amp;ROW()),TODAY())</f>
        <v>710</v>
      </c>
      <c r="L579">
        <f ca="1">DAYS360(INDIRECT(C69&amp;ROW()),TODAY())</f>
        <v>710</v>
      </c>
      <c r="M579">
        <f ca="1">HYPERLINK(CONCATENATE("https://bugzilla.houston.hp.com:1181/bugzilla/show_bug.cgi?id=",INDIRECT(C70&amp;ROW())),INDIRECT(C70&amp;ROW()))</f>
        <v>62298</v>
      </c>
      <c r="N579">
        <v>62298</v>
      </c>
      <c r="O579" t="s">
        <v>66</v>
      </c>
      <c r="P579" t="s">
        <v>1030</v>
      </c>
      <c r="Q579" t="s">
        <v>16</v>
      </c>
      <c r="R579" t="s">
        <v>248</v>
      </c>
      <c r="S579" t="s">
        <v>552</v>
      </c>
      <c r="U579" s="6">
        <v>42136.646863425929</v>
      </c>
      <c r="V579" t="s">
        <v>18</v>
      </c>
      <c r="W579" t="s">
        <v>17</v>
      </c>
      <c r="X579" s="6">
        <v>42136.646863425929</v>
      </c>
      <c r="Y579" t="s">
        <v>122</v>
      </c>
      <c r="AB579" t="s">
        <v>201</v>
      </c>
      <c r="AC579" t="s">
        <v>247</v>
      </c>
      <c r="AD579" t="s">
        <v>220</v>
      </c>
      <c r="AE579" t="s">
        <v>290</v>
      </c>
      <c r="AG579" t="s">
        <v>121</v>
      </c>
      <c r="AH579" t="s">
        <v>1029</v>
      </c>
      <c r="AI579" t="s">
        <v>121</v>
      </c>
      <c r="AJ579" t="s">
        <v>717</v>
      </c>
      <c r="AK579" t="s">
        <v>121</v>
      </c>
    </row>
    <row r="580" spans="9:37" x14ac:dyDescent="0.3">
      <c r="I580">
        <f ca="1">IF(OR(INDIRECT(A73&amp;ROW())=B93,INDIRECT(A73&amp;ROW())=B94),1,IF(AND(INDIRECT(A73&amp;ROW())=B95,INDIRECT(A96&amp;ROW())=C93),1,IF(AND(INDIRECT(A73&amp;ROW())=B95,INDIRECT(A96&amp;ROW())=C94),1,0)))</f>
        <v>1</v>
      </c>
      <c r="J580">
        <f ca="1">IF(AND(INDIRECT(A73&amp;ROW())=B95,INDIRECT(A96&amp;ROW())=C95),1,IF(AND(INDIRECT(A73&amp;ROW())=B95,INDIRECT(A96&amp;ROW())=C96),1,0))</f>
        <v>0</v>
      </c>
      <c r="K580">
        <f ca="1">DAYS360(INDIRECT(C68&amp;ROW()),TODAY())</f>
        <v>703</v>
      </c>
      <c r="L580">
        <f ca="1">DAYS360(INDIRECT(C69&amp;ROW()),TODAY())</f>
        <v>709</v>
      </c>
      <c r="M580">
        <f ca="1">HYPERLINK(CONCATENATE("https://bugzilla.houston.hp.com:1181/bugzilla/show_bug.cgi?id=",INDIRECT(C70&amp;ROW())),INDIRECT(C70&amp;ROW()))</f>
        <v>62330</v>
      </c>
      <c r="N580">
        <v>62330</v>
      </c>
      <c r="O580" t="s">
        <v>56</v>
      </c>
      <c r="P580" t="s">
        <v>1028</v>
      </c>
      <c r="Q580" t="s">
        <v>25</v>
      </c>
      <c r="R580" t="s">
        <v>579</v>
      </c>
      <c r="S580" t="s">
        <v>552</v>
      </c>
      <c r="U580" s="6">
        <v>42143.455914351849</v>
      </c>
      <c r="V580" t="s">
        <v>18</v>
      </c>
      <c r="W580" t="s">
        <v>17</v>
      </c>
      <c r="X580" s="6">
        <v>42137.214143518519</v>
      </c>
      <c r="Y580" t="s">
        <v>125</v>
      </c>
      <c r="AB580" t="s">
        <v>200</v>
      </c>
      <c r="AC580" t="s">
        <v>247</v>
      </c>
      <c r="AD580" t="s">
        <v>220</v>
      </c>
      <c r="AE580" t="s">
        <v>224</v>
      </c>
      <c r="AG580" t="s">
        <v>121</v>
      </c>
      <c r="AH580" t="s">
        <v>327</v>
      </c>
      <c r="AI580" t="s">
        <v>121</v>
      </c>
      <c r="AJ580" t="s">
        <v>715</v>
      </c>
      <c r="AK580" t="s">
        <v>121</v>
      </c>
    </row>
    <row r="581" spans="9:37" x14ac:dyDescent="0.3">
      <c r="I581">
        <f ca="1">IF(OR(INDIRECT(A73&amp;ROW())=B93,INDIRECT(A73&amp;ROW())=B94),1,IF(AND(INDIRECT(A73&amp;ROW())=B95,INDIRECT(A96&amp;ROW())=C93),1,IF(AND(INDIRECT(A73&amp;ROW())=B95,INDIRECT(A96&amp;ROW())=C94),1,0)))</f>
        <v>0</v>
      </c>
      <c r="J581">
        <f ca="1">IF(AND(INDIRECT(A73&amp;ROW())=B95,INDIRECT(A96&amp;ROW())=C95),1,IF(AND(INDIRECT(A73&amp;ROW())=B95,INDIRECT(A96&amp;ROW())=C96),1,0))</f>
        <v>1</v>
      </c>
      <c r="K581">
        <f ca="1">DAYS360(INDIRECT(C68&amp;ROW()),TODAY())</f>
        <v>709</v>
      </c>
      <c r="L581">
        <f ca="1">DAYS360(INDIRECT(C69&amp;ROW()),TODAY())</f>
        <v>709</v>
      </c>
      <c r="M581">
        <f ca="1">HYPERLINK(CONCATENATE("https://bugzilla.houston.hp.com:1181/bugzilla/show_bug.cgi?id=",INDIRECT(C70&amp;ROW())),INDIRECT(C70&amp;ROW()))</f>
        <v>62359</v>
      </c>
      <c r="N581">
        <v>62359</v>
      </c>
      <c r="O581" t="s">
        <v>22</v>
      </c>
      <c r="P581" t="s">
        <v>1057</v>
      </c>
      <c r="Q581" t="s">
        <v>25</v>
      </c>
      <c r="R581" t="s">
        <v>251</v>
      </c>
      <c r="S581" t="s">
        <v>44</v>
      </c>
      <c r="U581" s="6">
        <v>42137.510567129626</v>
      </c>
      <c r="V581" t="s">
        <v>18</v>
      </c>
      <c r="W581" t="s">
        <v>783</v>
      </c>
      <c r="X581" s="6">
        <v>42137.476770833331</v>
      </c>
      <c r="Y581" t="s">
        <v>118</v>
      </c>
      <c r="AB581" t="s">
        <v>201</v>
      </c>
      <c r="AC581" t="s">
        <v>247</v>
      </c>
      <c r="AD581" t="s">
        <v>222</v>
      </c>
      <c r="AE581" t="s">
        <v>221</v>
      </c>
      <c r="AG581" t="s">
        <v>121</v>
      </c>
      <c r="AH581" t="s">
        <v>327</v>
      </c>
      <c r="AI581" t="s">
        <v>121</v>
      </c>
      <c r="AJ581" t="s">
        <v>716</v>
      </c>
      <c r="AK581" t="s">
        <v>121</v>
      </c>
    </row>
    <row r="582" spans="9:37" x14ac:dyDescent="0.3">
      <c r="I582">
        <f ca="1">IF(OR(INDIRECT(A73&amp;ROW())=B93,INDIRECT(A73&amp;ROW())=B94),1,IF(AND(INDIRECT(A73&amp;ROW())=B95,INDIRECT(A96&amp;ROW())=C93),1,IF(AND(INDIRECT(A73&amp;ROW())=B95,INDIRECT(A96&amp;ROW())=C94),1,0)))</f>
        <v>0</v>
      </c>
      <c r="J582">
        <f ca="1">IF(AND(INDIRECT(A73&amp;ROW())=B95,INDIRECT(A96&amp;ROW())=C95),1,IF(AND(INDIRECT(A73&amp;ROW())=B95,INDIRECT(A96&amp;ROW())=C96),1,0))</f>
        <v>1</v>
      </c>
      <c r="K582">
        <f ca="1">DAYS360(INDIRECT(C68&amp;ROW()),TODAY())</f>
        <v>709</v>
      </c>
      <c r="L582">
        <f ca="1">DAYS360(INDIRECT(C69&amp;ROW()),TODAY())</f>
        <v>709</v>
      </c>
      <c r="M582">
        <f ca="1">HYPERLINK(CONCATENATE("https://bugzilla.houston.hp.com:1181/bugzilla/show_bug.cgi?id=",INDIRECT(C70&amp;ROW())),INDIRECT(C70&amp;ROW()))</f>
        <v>62363</v>
      </c>
      <c r="N582">
        <v>62363</v>
      </c>
      <c r="O582" t="s">
        <v>22</v>
      </c>
      <c r="P582" t="s">
        <v>1056</v>
      </c>
      <c r="Q582" t="s">
        <v>25</v>
      </c>
      <c r="R582" t="s">
        <v>783</v>
      </c>
      <c r="S582" t="s">
        <v>552</v>
      </c>
      <c r="U582" s="6">
        <v>42137.500509259262</v>
      </c>
      <c r="V582" t="s">
        <v>18</v>
      </c>
      <c r="W582" t="s">
        <v>783</v>
      </c>
      <c r="X582" s="6">
        <v>42137.500509259262</v>
      </c>
      <c r="Y582" t="s">
        <v>118</v>
      </c>
      <c r="AB582" t="s">
        <v>201</v>
      </c>
      <c r="AC582" t="s">
        <v>247</v>
      </c>
      <c r="AD582" t="s">
        <v>222</v>
      </c>
      <c r="AE582" t="s">
        <v>221</v>
      </c>
      <c r="AG582" t="s">
        <v>121</v>
      </c>
      <c r="AH582" t="s">
        <v>327</v>
      </c>
      <c r="AI582" t="s">
        <v>121</v>
      </c>
      <c r="AJ582" t="s">
        <v>716</v>
      </c>
      <c r="AK582" t="s">
        <v>121</v>
      </c>
    </row>
    <row r="583" spans="9:37" x14ac:dyDescent="0.3">
      <c r="I583">
        <f ca="1">IF(OR(INDIRECT(A73&amp;ROW())=B93,INDIRECT(A73&amp;ROW())=B94),1,IF(AND(INDIRECT(A73&amp;ROW())=B95,INDIRECT(A96&amp;ROW())=C93),1,IF(AND(INDIRECT(A73&amp;ROW())=B95,INDIRECT(A96&amp;ROW())=C94),1,0)))</f>
        <v>0</v>
      </c>
      <c r="J583">
        <f ca="1">IF(AND(INDIRECT(A73&amp;ROW())=B95,INDIRECT(A96&amp;ROW())=C95),1,IF(AND(INDIRECT(A73&amp;ROW())=B95,INDIRECT(A96&amp;ROW())=C96),1,0))</f>
        <v>1</v>
      </c>
      <c r="K583">
        <f ca="1">DAYS360(INDIRECT(C68&amp;ROW()),TODAY())</f>
        <v>709</v>
      </c>
      <c r="L583">
        <f ca="1">DAYS360(INDIRECT(C69&amp;ROW()),TODAY())</f>
        <v>709</v>
      </c>
      <c r="M583">
        <f ca="1">HYPERLINK(CONCATENATE("https://bugzilla.houston.hp.com:1181/bugzilla/show_bug.cgi?id=",INDIRECT(C70&amp;ROW())),INDIRECT(C70&amp;ROW()))</f>
        <v>62364</v>
      </c>
      <c r="N583">
        <v>62364</v>
      </c>
      <c r="O583" t="s">
        <v>22</v>
      </c>
      <c r="P583" t="s">
        <v>1055</v>
      </c>
      <c r="Q583" t="s">
        <v>25</v>
      </c>
      <c r="R583" t="s">
        <v>248</v>
      </c>
      <c r="S583" t="s">
        <v>552</v>
      </c>
      <c r="U583" s="6">
        <v>42137.500567129631</v>
      </c>
      <c r="V583" t="s">
        <v>18</v>
      </c>
      <c r="W583" t="s">
        <v>783</v>
      </c>
      <c r="X583" s="6">
        <v>42137.500567129631</v>
      </c>
      <c r="Y583" t="s">
        <v>118</v>
      </c>
      <c r="AB583" t="s">
        <v>201</v>
      </c>
      <c r="AC583" t="s">
        <v>247</v>
      </c>
      <c r="AD583" t="s">
        <v>222</v>
      </c>
      <c r="AE583" t="s">
        <v>221</v>
      </c>
      <c r="AG583" t="s">
        <v>121</v>
      </c>
      <c r="AH583" t="s">
        <v>327</v>
      </c>
      <c r="AI583" t="s">
        <v>121</v>
      </c>
      <c r="AJ583" t="s">
        <v>716</v>
      </c>
      <c r="AK583" t="s">
        <v>121</v>
      </c>
    </row>
    <row r="584" spans="9:37" x14ac:dyDescent="0.3">
      <c r="I584">
        <f ca="1">IF(OR(INDIRECT(A73&amp;ROW())=B93,INDIRECT(A73&amp;ROW())=B94),1,IF(AND(INDIRECT(A73&amp;ROW())=B95,INDIRECT(A96&amp;ROW())=C93),1,IF(AND(INDIRECT(A73&amp;ROW())=B95,INDIRECT(A96&amp;ROW())=C94),1,0)))</f>
        <v>0</v>
      </c>
      <c r="J584">
        <f ca="1">IF(AND(INDIRECT(A73&amp;ROW())=B95,INDIRECT(A96&amp;ROW())=C95),1,IF(AND(INDIRECT(A73&amp;ROW())=B95,INDIRECT(A96&amp;ROW())=C96),1,0))</f>
        <v>1</v>
      </c>
      <c r="K584">
        <f ca="1">DAYS360(INDIRECT(C68&amp;ROW()),TODAY())</f>
        <v>703</v>
      </c>
      <c r="L584">
        <f ca="1">DAYS360(INDIRECT(C69&amp;ROW()),TODAY())</f>
        <v>708</v>
      </c>
      <c r="M584">
        <f ca="1">HYPERLINK(CONCATENATE("https://bugzilla.houston.hp.com:1181/bugzilla/show_bug.cgi?id=",INDIRECT(C70&amp;ROW())),INDIRECT(C70&amp;ROW()))</f>
        <v>62437</v>
      </c>
      <c r="N584">
        <v>62437</v>
      </c>
      <c r="O584" t="s">
        <v>56</v>
      </c>
      <c r="P584" t="s">
        <v>1065</v>
      </c>
      <c r="Q584" t="s">
        <v>25</v>
      </c>
      <c r="R584" t="s">
        <v>783</v>
      </c>
      <c r="S584" t="s">
        <v>552</v>
      </c>
      <c r="U584" s="6">
        <v>42143.448611111111</v>
      </c>
      <c r="V584" t="s">
        <v>18</v>
      </c>
      <c r="W584" t="s">
        <v>248</v>
      </c>
      <c r="X584" s="6">
        <v>42138.516631944447</v>
      </c>
      <c r="Y584" t="s">
        <v>123</v>
      </c>
      <c r="AB584" t="s">
        <v>201</v>
      </c>
      <c r="AC584" t="s">
        <v>247</v>
      </c>
      <c r="AD584" t="s">
        <v>220</v>
      </c>
      <c r="AE584" t="s">
        <v>219</v>
      </c>
      <c r="AG584" t="s">
        <v>121</v>
      </c>
      <c r="AH584" t="s">
        <v>327</v>
      </c>
      <c r="AI584" t="s">
        <v>121</v>
      </c>
      <c r="AJ584" t="s">
        <v>716</v>
      </c>
      <c r="AK584" t="s">
        <v>121</v>
      </c>
    </row>
    <row r="585" spans="9:37" x14ac:dyDescent="0.3">
      <c r="I585">
        <f ca="1">IF(OR(INDIRECT(A73&amp;ROW())=B93,INDIRECT(A73&amp;ROW())=B94),1,IF(AND(INDIRECT(A73&amp;ROW())=B95,INDIRECT(A96&amp;ROW())=C93),1,IF(AND(INDIRECT(A73&amp;ROW())=B95,INDIRECT(A96&amp;ROW())=C94),1,0)))</f>
        <v>0</v>
      </c>
      <c r="J585">
        <f ca="1">IF(AND(INDIRECT(A73&amp;ROW())=B95,INDIRECT(A96&amp;ROW())=C95),1,IF(AND(INDIRECT(A73&amp;ROW())=B95,INDIRECT(A96&amp;ROW())=C96),1,0))</f>
        <v>1</v>
      </c>
      <c r="K585">
        <f ca="1">DAYS360(INDIRECT(C68&amp;ROW()),TODAY())</f>
        <v>703</v>
      </c>
      <c r="L585">
        <f ca="1">DAYS360(INDIRECT(C69&amp;ROW()),TODAY())</f>
        <v>708</v>
      </c>
      <c r="M585">
        <f ca="1">HYPERLINK(CONCATENATE("https://bugzilla.houston.hp.com:1181/bugzilla/show_bug.cgi?id=",INDIRECT(C70&amp;ROW())),INDIRECT(C70&amp;ROW()))</f>
        <v>62438</v>
      </c>
      <c r="N585">
        <v>62438</v>
      </c>
      <c r="O585" t="s">
        <v>56</v>
      </c>
      <c r="P585" t="s">
        <v>1064</v>
      </c>
      <c r="Q585" t="s">
        <v>25</v>
      </c>
      <c r="R585" t="s">
        <v>248</v>
      </c>
      <c r="S585" t="s">
        <v>552</v>
      </c>
      <c r="U585" s="6">
        <v>42143.448645833334</v>
      </c>
      <c r="V585" t="s">
        <v>18</v>
      </c>
      <c r="W585" t="s">
        <v>248</v>
      </c>
      <c r="X585" s="6">
        <v>42138.516712962963</v>
      </c>
      <c r="Y585" t="s">
        <v>123</v>
      </c>
      <c r="AB585" t="s">
        <v>201</v>
      </c>
      <c r="AC585" t="s">
        <v>247</v>
      </c>
      <c r="AD585" t="s">
        <v>220</v>
      </c>
      <c r="AE585" t="s">
        <v>219</v>
      </c>
      <c r="AG585" t="s">
        <v>121</v>
      </c>
      <c r="AH585" t="s">
        <v>327</v>
      </c>
      <c r="AI585" t="s">
        <v>121</v>
      </c>
      <c r="AJ585" t="s">
        <v>716</v>
      </c>
      <c r="AK585" t="s">
        <v>121</v>
      </c>
    </row>
    <row r="586" spans="9:37" x14ac:dyDescent="0.3">
      <c r="I586">
        <f ca="1">IF(OR(INDIRECT(A73&amp;ROW())=B93,INDIRECT(A73&amp;ROW())=B94),1,IF(AND(INDIRECT(A73&amp;ROW())=B95,INDIRECT(A96&amp;ROW())=C93),1,IF(AND(INDIRECT(A73&amp;ROW())=B95,INDIRECT(A96&amp;ROW())=C94),1,0)))</f>
        <v>0</v>
      </c>
      <c r="J586">
        <f ca="1">IF(AND(INDIRECT(A73&amp;ROW())=B95,INDIRECT(A96&amp;ROW())=C95),1,IF(AND(INDIRECT(A73&amp;ROW())=B95,INDIRECT(A96&amp;ROW())=C96),1,0))</f>
        <v>1</v>
      </c>
      <c r="K586">
        <f ca="1">DAYS360(INDIRECT(C68&amp;ROW()),TODAY())</f>
        <v>705</v>
      </c>
      <c r="L586">
        <f ca="1">DAYS360(INDIRECT(C69&amp;ROW()),TODAY())</f>
        <v>705</v>
      </c>
      <c r="M586">
        <f ca="1">HYPERLINK(CONCATENATE("https://bugzilla.houston.hp.com:1181/bugzilla/show_bug.cgi?id=",INDIRECT(C70&amp;ROW())),INDIRECT(C70&amp;ROW()))</f>
        <v>62508</v>
      </c>
      <c r="N586">
        <v>62508</v>
      </c>
      <c r="O586" t="s">
        <v>56</v>
      </c>
      <c r="P586" t="s">
        <v>1063</v>
      </c>
      <c r="Q586" t="s">
        <v>25</v>
      </c>
      <c r="R586" t="s">
        <v>783</v>
      </c>
      <c r="S586" t="s">
        <v>236</v>
      </c>
      <c r="U586" s="6">
        <v>42141.688692129632</v>
      </c>
      <c r="V586" t="s">
        <v>35</v>
      </c>
      <c r="W586" t="s">
        <v>764</v>
      </c>
      <c r="X586" s="6">
        <v>42141.688692129632</v>
      </c>
      <c r="Y586" t="s">
        <v>246</v>
      </c>
      <c r="AB586" t="s">
        <v>201</v>
      </c>
      <c r="AC586" t="s">
        <v>247</v>
      </c>
      <c r="AD586" t="s">
        <v>220</v>
      </c>
      <c r="AE586" t="s">
        <v>219</v>
      </c>
      <c r="AG586" t="s">
        <v>121</v>
      </c>
      <c r="AH586" t="s">
        <v>768</v>
      </c>
      <c r="AI586" t="s">
        <v>121</v>
      </c>
      <c r="AJ586" t="s">
        <v>716</v>
      </c>
      <c r="AK586" t="s">
        <v>121</v>
      </c>
    </row>
    <row r="587" spans="9:37" x14ac:dyDescent="0.3">
      <c r="I587">
        <f ca="1">IF(OR(INDIRECT(A73&amp;ROW())=B93,INDIRECT(A73&amp;ROW())=B94),1,IF(AND(INDIRECT(A73&amp;ROW())=B95,INDIRECT(A96&amp;ROW())=C93),1,IF(AND(INDIRECT(A73&amp;ROW())=B95,INDIRECT(A96&amp;ROW())=C94),1,0)))</f>
        <v>1</v>
      </c>
      <c r="J587">
        <f ca="1">IF(AND(INDIRECT(A73&amp;ROW())=B95,INDIRECT(A96&amp;ROW())=C95),1,IF(AND(INDIRECT(A73&amp;ROW())=B95,INDIRECT(A96&amp;ROW())=C96),1,0))</f>
        <v>0</v>
      </c>
      <c r="K587">
        <f ca="1">DAYS360(INDIRECT(C68&amp;ROW()),TODAY())</f>
        <v>694</v>
      </c>
      <c r="L587">
        <f ca="1">DAYS360(INDIRECT(C69&amp;ROW()),TODAY())</f>
        <v>704</v>
      </c>
      <c r="M587">
        <f ca="1">HYPERLINK(CONCATENATE("https://bugzilla.houston.hp.com:1181/bugzilla/show_bug.cgi?id=",INDIRECT(C70&amp;ROW())),INDIRECT(C70&amp;ROW()))</f>
        <v>62559</v>
      </c>
      <c r="N587">
        <v>62559</v>
      </c>
      <c r="O587" t="s">
        <v>241</v>
      </c>
      <c r="P587" t="s">
        <v>1081</v>
      </c>
      <c r="Q587" t="s">
        <v>25</v>
      </c>
      <c r="R587" t="s">
        <v>251</v>
      </c>
      <c r="S587" t="s">
        <v>1080</v>
      </c>
      <c r="U587" s="6">
        <v>42152.503506944442</v>
      </c>
      <c r="V587" t="s">
        <v>18</v>
      </c>
      <c r="W587" t="s">
        <v>764</v>
      </c>
      <c r="X587" s="6">
        <v>42142.621620370373</v>
      </c>
      <c r="Y587" t="s">
        <v>123</v>
      </c>
      <c r="Z587" t="s">
        <v>123</v>
      </c>
      <c r="AB587" t="s">
        <v>200</v>
      </c>
      <c r="AC587" t="s">
        <v>247</v>
      </c>
      <c r="AD587" t="s">
        <v>227</v>
      </c>
      <c r="AE587" t="s">
        <v>237</v>
      </c>
      <c r="AG587" t="s">
        <v>121</v>
      </c>
      <c r="AH587" t="s">
        <v>327</v>
      </c>
      <c r="AI587" t="s">
        <v>121</v>
      </c>
      <c r="AJ587" t="s">
        <v>715</v>
      </c>
      <c r="AK587" t="s">
        <v>121</v>
      </c>
    </row>
    <row r="588" spans="9:37" x14ac:dyDescent="0.3">
      <c r="I588">
        <f ca="1">IF(OR(INDIRECT(A73&amp;ROW())=B93,INDIRECT(A73&amp;ROW())=B94),1,IF(AND(INDIRECT(A73&amp;ROW())=B95,INDIRECT(A96&amp;ROW())=C93),1,IF(AND(INDIRECT(A73&amp;ROW())=B95,INDIRECT(A96&amp;ROW())=C94),1,0)))</f>
        <v>1</v>
      </c>
      <c r="J588">
        <f ca="1">IF(AND(INDIRECT(A73&amp;ROW())=B95,INDIRECT(A96&amp;ROW())=C95),1,IF(AND(INDIRECT(A73&amp;ROW())=B95,INDIRECT(A96&amp;ROW())=C96),1,0))</f>
        <v>0</v>
      </c>
      <c r="K588">
        <f ca="1">DAYS360(INDIRECT(C68&amp;ROW()),TODAY())</f>
        <v>703</v>
      </c>
      <c r="L588">
        <f ca="1">DAYS360(INDIRECT(C69&amp;ROW()),TODAY())</f>
        <v>703</v>
      </c>
      <c r="M588">
        <f ca="1">HYPERLINK(CONCATENATE("https://bugzilla.houston.hp.com:1181/bugzilla/show_bug.cgi?id=",INDIRECT(C70&amp;ROW())),INDIRECT(C70&amp;ROW()))</f>
        <v>62575</v>
      </c>
      <c r="N588">
        <v>62575</v>
      </c>
      <c r="O588" t="s">
        <v>241</v>
      </c>
      <c r="P588" t="s">
        <v>1079</v>
      </c>
      <c r="Q588" t="s">
        <v>25</v>
      </c>
      <c r="R588" t="s">
        <v>579</v>
      </c>
      <c r="S588" t="s">
        <v>552</v>
      </c>
      <c r="U588" s="6">
        <v>42143.309745370374</v>
      </c>
      <c r="V588" t="s">
        <v>18</v>
      </c>
      <c r="W588" t="s">
        <v>764</v>
      </c>
      <c r="X588" s="6">
        <v>42143.016516203701</v>
      </c>
      <c r="Y588" t="s">
        <v>123</v>
      </c>
      <c r="Z588" t="s">
        <v>123</v>
      </c>
      <c r="AB588" t="s">
        <v>200</v>
      </c>
      <c r="AC588" t="s">
        <v>247</v>
      </c>
      <c r="AD588" t="s">
        <v>227</v>
      </c>
      <c r="AE588" t="s">
        <v>231</v>
      </c>
      <c r="AG588" t="s">
        <v>121</v>
      </c>
      <c r="AH588" t="s">
        <v>327</v>
      </c>
      <c r="AI588" t="s">
        <v>121</v>
      </c>
      <c r="AJ588" t="s">
        <v>715</v>
      </c>
      <c r="AK588" t="s">
        <v>1066</v>
      </c>
    </row>
    <row r="589" spans="9:37" x14ac:dyDescent="0.3">
      <c r="I589">
        <f ca="1">IF(OR(INDIRECT(A73&amp;ROW())=B93,INDIRECT(A73&amp;ROW())=B94),1,IF(AND(INDIRECT(A73&amp;ROW())=B95,INDIRECT(A96&amp;ROW())=C93),1,IF(AND(INDIRECT(A73&amp;ROW())=B95,INDIRECT(A96&amp;ROW())=C94),1,0)))</f>
        <v>1</v>
      </c>
      <c r="J589">
        <f ca="1">IF(AND(INDIRECT(A73&amp;ROW())=B95,INDIRECT(A96&amp;ROW())=C95),1,IF(AND(INDIRECT(A73&amp;ROW())=B95,INDIRECT(A96&amp;ROW())=C96),1,0))</f>
        <v>0</v>
      </c>
      <c r="K589">
        <f ca="1">DAYS360(INDIRECT(C68&amp;ROW()),TODAY())</f>
        <v>703</v>
      </c>
      <c r="L589">
        <f ca="1">DAYS360(INDIRECT(C69&amp;ROW()),TODAY())</f>
        <v>703</v>
      </c>
      <c r="M589">
        <f ca="1">HYPERLINK(CONCATENATE("https://bugzilla.houston.hp.com:1181/bugzilla/show_bug.cgi?id=",INDIRECT(C70&amp;ROW())),INDIRECT(C70&amp;ROW()))</f>
        <v>62576</v>
      </c>
      <c r="N589">
        <v>62576</v>
      </c>
      <c r="O589" t="s">
        <v>241</v>
      </c>
      <c r="P589" t="s">
        <v>1078</v>
      </c>
      <c r="Q589" t="s">
        <v>25</v>
      </c>
      <c r="R589" t="s">
        <v>248</v>
      </c>
      <c r="S589" t="s">
        <v>552</v>
      </c>
      <c r="U589" s="6">
        <v>42143.30976851852</v>
      </c>
      <c r="V589" t="s">
        <v>18</v>
      </c>
      <c r="W589" t="s">
        <v>764</v>
      </c>
      <c r="X589" s="6">
        <v>42143.016574074078</v>
      </c>
      <c r="Y589" t="s">
        <v>123</v>
      </c>
      <c r="Z589" t="s">
        <v>123</v>
      </c>
      <c r="AB589" t="s">
        <v>200</v>
      </c>
      <c r="AC589" t="s">
        <v>247</v>
      </c>
      <c r="AD589" t="s">
        <v>227</v>
      </c>
      <c r="AE589" t="s">
        <v>231</v>
      </c>
      <c r="AG589" t="s">
        <v>121</v>
      </c>
      <c r="AH589" t="s">
        <v>327</v>
      </c>
      <c r="AI589" t="s">
        <v>121</v>
      </c>
      <c r="AJ589" t="s">
        <v>715</v>
      </c>
      <c r="AK589" t="s">
        <v>1066</v>
      </c>
    </row>
    <row r="590" spans="9:37" x14ac:dyDescent="0.3">
      <c r="I590">
        <f ca="1">IF(OR(INDIRECT(A73&amp;ROW())=B93,INDIRECT(A73&amp;ROW())=B94),1,IF(AND(INDIRECT(A73&amp;ROW())=B95,INDIRECT(A96&amp;ROW())=C93),1,IF(AND(INDIRECT(A73&amp;ROW())=B95,INDIRECT(A96&amp;ROW())=C94),1,0)))</f>
        <v>1</v>
      </c>
      <c r="J590">
        <f ca="1">IF(AND(INDIRECT(A73&amp;ROW())=B95,INDIRECT(A96&amp;ROW())=C95),1,IF(AND(INDIRECT(A73&amp;ROW())=B95,INDIRECT(A96&amp;ROW())=C96),1,0))</f>
        <v>0</v>
      </c>
      <c r="K590">
        <f ca="1">DAYS360(INDIRECT(C68&amp;ROW()),TODAY())</f>
        <v>694</v>
      </c>
      <c r="L590">
        <f ca="1">DAYS360(INDIRECT(C69&amp;ROW()),TODAY())</f>
        <v>703</v>
      </c>
      <c r="M590">
        <f ca="1">HYPERLINK(CONCATENATE("https://bugzilla.houston.hp.com:1181/bugzilla/show_bug.cgi?id=",INDIRECT(C70&amp;ROW())),INDIRECT(C70&amp;ROW()))</f>
        <v>62607</v>
      </c>
      <c r="N590">
        <v>62607</v>
      </c>
      <c r="O590" t="s">
        <v>53</v>
      </c>
      <c r="P590" t="s">
        <v>1077</v>
      </c>
      <c r="Q590" t="s">
        <v>39</v>
      </c>
      <c r="R590" t="s">
        <v>251</v>
      </c>
      <c r="S590" t="s">
        <v>24</v>
      </c>
      <c r="U590" s="6">
        <v>42152.326643518521</v>
      </c>
      <c r="V590" t="s">
        <v>18</v>
      </c>
      <c r="W590" t="s">
        <v>764</v>
      </c>
      <c r="X590" s="6">
        <v>42143.354687500003</v>
      </c>
      <c r="Y590" t="s">
        <v>119</v>
      </c>
      <c r="AB590" t="s">
        <v>201</v>
      </c>
      <c r="AC590" t="s">
        <v>247</v>
      </c>
      <c r="AD590" t="s">
        <v>220</v>
      </c>
      <c r="AE590" t="s">
        <v>219</v>
      </c>
      <c r="AG590" t="s">
        <v>121</v>
      </c>
      <c r="AH590" t="s">
        <v>327</v>
      </c>
      <c r="AI590" t="s">
        <v>121</v>
      </c>
      <c r="AJ590" t="s">
        <v>715</v>
      </c>
      <c r="AK590" t="s">
        <v>121</v>
      </c>
    </row>
    <row r="591" spans="9:37" x14ac:dyDescent="0.3">
      <c r="I591">
        <f ca="1">IF(OR(INDIRECT(A73&amp;ROW())=B93,INDIRECT(A73&amp;ROW())=B94),1,IF(AND(INDIRECT(A73&amp;ROW())=B95,INDIRECT(A96&amp;ROW())=C93),1,IF(AND(INDIRECT(A73&amp;ROW())=B95,INDIRECT(A96&amp;ROW())=C94),1,0)))</f>
        <v>1</v>
      </c>
      <c r="J591">
        <f ca="1">IF(AND(INDIRECT(A73&amp;ROW())=B95,INDIRECT(A96&amp;ROW())=C95),1,IF(AND(INDIRECT(A73&amp;ROW())=B95,INDIRECT(A96&amp;ROW())=C96),1,0))</f>
        <v>0</v>
      </c>
      <c r="K591">
        <f ca="1">DAYS360(INDIRECT(C68&amp;ROW()),TODAY())</f>
        <v>703</v>
      </c>
      <c r="L591">
        <f ca="1">DAYS360(INDIRECT(C69&amp;ROW()),TODAY())</f>
        <v>703</v>
      </c>
      <c r="M591">
        <f ca="1">HYPERLINK(CONCATENATE("https://bugzilla.houston.hp.com:1181/bugzilla/show_bug.cgi?id=",INDIRECT(C70&amp;ROW())),INDIRECT(C70&amp;ROW()))</f>
        <v>62608</v>
      </c>
      <c r="N591">
        <v>62608</v>
      </c>
      <c r="O591" t="s">
        <v>53</v>
      </c>
      <c r="P591" t="s">
        <v>1076</v>
      </c>
      <c r="Q591" t="s">
        <v>39</v>
      </c>
      <c r="R591" t="s">
        <v>579</v>
      </c>
      <c r="S591" t="s">
        <v>552</v>
      </c>
      <c r="U591" s="6">
        <v>42143.376076388886</v>
      </c>
      <c r="V591" t="s">
        <v>18</v>
      </c>
      <c r="W591" t="s">
        <v>764</v>
      </c>
      <c r="X591" s="6">
        <v>42143.376076388886</v>
      </c>
      <c r="Y591" t="s">
        <v>119</v>
      </c>
      <c r="AB591" t="s">
        <v>201</v>
      </c>
      <c r="AC591" t="s">
        <v>247</v>
      </c>
      <c r="AD591" t="s">
        <v>220</v>
      </c>
      <c r="AE591" t="s">
        <v>219</v>
      </c>
      <c r="AG591" t="s">
        <v>121</v>
      </c>
      <c r="AH591" t="s">
        <v>327</v>
      </c>
      <c r="AI591" t="s">
        <v>121</v>
      </c>
      <c r="AJ591" t="s">
        <v>715</v>
      </c>
      <c r="AK591" t="s">
        <v>121</v>
      </c>
    </row>
    <row r="592" spans="9:37" x14ac:dyDescent="0.3">
      <c r="I592">
        <f ca="1">IF(OR(INDIRECT(A73&amp;ROW())=B93,INDIRECT(A73&amp;ROW())=B94),1,IF(AND(INDIRECT(A73&amp;ROW())=B95,INDIRECT(A96&amp;ROW())=C93),1,IF(AND(INDIRECT(A73&amp;ROW())=B95,INDIRECT(A96&amp;ROW())=C94),1,0)))</f>
        <v>1</v>
      </c>
      <c r="J592">
        <f ca="1">IF(AND(INDIRECT(A73&amp;ROW())=B95,INDIRECT(A96&amp;ROW())=C95),1,IF(AND(INDIRECT(A73&amp;ROW())=B95,INDIRECT(A96&amp;ROW())=C96),1,0))</f>
        <v>0</v>
      </c>
      <c r="K592">
        <f ca="1">DAYS360(INDIRECT(C68&amp;ROW()),TODAY())</f>
        <v>693</v>
      </c>
      <c r="L592">
        <f ca="1">DAYS360(INDIRECT(C69&amp;ROW()),TODAY())</f>
        <v>703</v>
      </c>
      <c r="M592">
        <f ca="1">HYPERLINK(CONCATENATE("https://bugzilla.houston.hp.com:1181/bugzilla/show_bug.cgi?id=",INDIRECT(C70&amp;ROW())),INDIRECT(C70&amp;ROW()))</f>
        <v>62609</v>
      </c>
      <c r="N592">
        <v>62609</v>
      </c>
      <c r="O592" t="s">
        <v>53</v>
      </c>
      <c r="P592" t="s">
        <v>1075</v>
      </c>
      <c r="Q592" t="s">
        <v>39</v>
      </c>
      <c r="R592" t="s">
        <v>783</v>
      </c>
      <c r="S592" t="s">
        <v>552</v>
      </c>
      <c r="U592" s="6">
        <v>42153.378182870372</v>
      </c>
      <c r="V592" t="s">
        <v>18</v>
      </c>
      <c r="W592" t="s">
        <v>764</v>
      </c>
      <c r="X592" s="6">
        <v>42143.376168981478</v>
      </c>
      <c r="Y592" t="s">
        <v>119</v>
      </c>
      <c r="AB592" t="s">
        <v>201</v>
      </c>
      <c r="AC592" t="s">
        <v>247</v>
      </c>
      <c r="AD592" t="s">
        <v>220</v>
      </c>
      <c r="AE592" t="s">
        <v>219</v>
      </c>
      <c r="AG592" t="s">
        <v>337</v>
      </c>
      <c r="AH592" t="s">
        <v>327</v>
      </c>
      <c r="AI592" t="s">
        <v>121</v>
      </c>
      <c r="AJ592" t="s">
        <v>715</v>
      </c>
      <c r="AK592" t="s">
        <v>121</v>
      </c>
    </row>
    <row r="593" spans="9:37" x14ac:dyDescent="0.3">
      <c r="I593">
        <f ca="1">IF(OR(INDIRECT(A73&amp;ROW())=B93,INDIRECT(A73&amp;ROW())=B94),1,IF(AND(INDIRECT(A73&amp;ROW())=B95,INDIRECT(A96&amp;ROW())=C93),1,IF(AND(INDIRECT(A73&amp;ROW())=B95,INDIRECT(A96&amp;ROW())=C94),1,0)))</f>
        <v>1</v>
      </c>
      <c r="J593">
        <f ca="1">IF(AND(INDIRECT(A73&amp;ROW())=B95,INDIRECT(A96&amp;ROW())=C95),1,IF(AND(INDIRECT(A73&amp;ROW())=B95,INDIRECT(A96&amp;ROW())=C96),1,0))</f>
        <v>0</v>
      </c>
      <c r="K593">
        <f ca="1">DAYS360(INDIRECT(C68&amp;ROW()),TODAY())</f>
        <v>703</v>
      </c>
      <c r="L593">
        <f ca="1">DAYS360(INDIRECT(C69&amp;ROW()),TODAY())</f>
        <v>703</v>
      </c>
      <c r="M593">
        <f ca="1">HYPERLINK(CONCATENATE("https://bugzilla.houston.hp.com:1181/bugzilla/show_bug.cgi?id=",INDIRECT(C70&amp;ROW())),INDIRECT(C70&amp;ROW()))</f>
        <v>62610</v>
      </c>
      <c r="N593">
        <v>62610</v>
      </c>
      <c r="O593" t="s">
        <v>53</v>
      </c>
      <c r="P593" t="s">
        <v>1074</v>
      </c>
      <c r="Q593" t="s">
        <v>39</v>
      </c>
      <c r="R593" t="s">
        <v>248</v>
      </c>
      <c r="S593" t="s">
        <v>552</v>
      </c>
      <c r="U593" s="6">
        <v>42143.376250000001</v>
      </c>
      <c r="V593" t="s">
        <v>18</v>
      </c>
      <c r="W593" t="s">
        <v>764</v>
      </c>
      <c r="X593" s="6">
        <v>42143.376250000001</v>
      </c>
      <c r="Y593" t="s">
        <v>119</v>
      </c>
      <c r="AB593" t="s">
        <v>201</v>
      </c>
      <c r="AC593" t="s">
        <v>247</v>
      </c>
      <c r="AD593" t="s">
        <v>220</v>
      </c>
      <c r="AE593" t="s">
        <v>219</v>
      </c>
      <c r="AG593" t="s">
        <v>121</v>
      </c>
      <c r="AH593" t="s">
        <v>327</v>
      </c>
      <c r="AI593" t="s">
        <v>121</v>
      </c>
      <c r="AJ593" t="s">
        <v>715</v>
      </c>
      <c r="AK593" t="s">
        <v>121</v>
      </c>
    </row>
    <row r="594" spans="9:37" x14ac:dyDescent="0.3">
      <c r="I594">
        <f ca="1">IF(OR(INDIRECT(A73&amp;ROW())=B93,INDIRECT(A73&amp;ROW())=B94),1,IF(AND(INDIRECT(A73&amp;ROW())=B95,INDIRECT(A96&amp;ROW())=C93),1,IF(AND(INDIRECT(A73&amp;ROW())=B95,INDIRECT(A96&amp;ROW())=C94),1,0)))</f>
        <v>0</v>
      </c>
      <c r="J594">
        <f ca="1">IF(AND(INDIRECT(A73&amp;ROW())=B95,INDIRECT(A96&amp;ROW())=C95),1,IF(AND(INDIRECT(A73&amp;ROW())=B95,INDIRECT(A96&amp;ROW())=C96),1,0))</f>
        <v>1</v>
      </c>
      <c r="K594">
        <f ca="1">DAYS360(INDIRECT(C68&amp;ROW()),TODAY())</f>
        <v>694</v>
      </c>
      <c r="L594">
        <f ca="1">DAYS360(INDIRECT(C69&amp;ROW()),TODAY())</f>
        <v>703</v>
      </c>
      <c r="M594">
        <f ca="1">HYPERLINK(CONCATENATE("https://bugzilla.houston.hp.com:1181/bugzilla/show_bug.cgi?id=",INDIRECT(C70&amp;ROW())),INDIRECT(C70&amp;ROW()))</f>
        <v>62618</v>
      </c>
      <c r="N594">
        <v>62618</v>
      </c>
      <c r="O594" t="s">
        <v>188</v>
      </c>
      <c r="P594" t="s">
        <v>1132</v>
      </c>
      <c r="Q594" t="s">
        <v>25</v>
      </c>
      <c r="R594" t="s">
        <v>251</v>
      </c>
      <c r="S594" t="s">
        <v>24</v>
      </c>
      <c r="U594" s="6">
        <v>42152.407824074071</v>
      </c>
      <c r="V594" t="s">
        <v>18</v>
      </c>
      <c r="W594" t="s">
        <v>764</v>
      </c>
      <c r="X594" s="6">
        <v>42143.454618055555</v>
      </c>
      <c r="Y594" t="s">
        <v>119</v>
      </c>
      <c r="AB594" t="s">
        <v>201</v>
      </c>
      <c r="AC594" t="s">
        <v>247</v>
      </c>
      <c r="AD594" t="s">
        <v>220</v>
      </c>
      <c r="AE594" t="s">
        <v>229</v>
      </c>
      <c r="AG594" t="s">
        <v>121</v>
      </c>
      <c r="AH594" t="s">
        <v>327</v>
      </c>
      <c r="AI594" t="s">
        <v>362</v>
      </c>
      <c r="AJ594" t="s">
        <v>716</v>
      </c>
      <c r="AK594" t="s">
        <v>121</v>
      </c>
    </row>
    <row r="595" spans="9:37" x14ac:dyDescent="0.3">
      <c r="I595">
        <f ca="1">IF(OR(INDIRECT(A73&amp;ROW())=B93,INDIRECT(A73&amp;ROW())=B94),1,IF(AND(INDIRECT(A73&amp;ROW())=B95,INDIRECT(A96&amp;ROW())=C93),1,IF(AND(INDIRECT(A73&amp;ROW())=B95,INDIRECT(A96&amp;ROW())=C94),1,0)))</f>
        <v>0</v>
      </c>
      <c r="J595">
        <f ca="1">IF(AND(INDIRECT(A73&amp;ROW())=B95,INDIRECT(A96&amp;ROW())=C95),1,IF(AND(INDIRECT(A73&amp;ROW())=B95,INDIRECT(A96&amp;ROW())=C96),1,0))</f>
        <v>0</v>
      </c>
      <c r="K595">
        <f ca="1">DAYS360(INDIRECT(C68&amp;ROW()),TODAY())</f>
        <v>700</v>
      </c>
      <c r="L595">
        <f ca="1">DAYS360(INDIRECT(C69&amp;ROW()),TODAY())</f>
        <v>703</v>
      </c>
      <c r="M595">
        <f ca="1">HYPERLINK(CONCATENATE("https://bugzilla.houston.hp.com:1181/bugzilla/show_bug.cgi?id=",INDIRECT(C70&amp;ROW())),INDIRECT(C70&amp;ROW()))</f>
        <v>62620</v>
      </c>
      <c r="N595">
        <v>62620</v>
      </c>
      <c r="O595" t="s">
        <v>21</v>
      </c>
      <c r="P595" t="s">
        <v>1093</v>
      </c>
      <c r="Q595" t="s">
        <v>16</v>
      </c>
      <c r="R595" t="s">
        <v>251</v>
      </c>
      <c r="S595" t="s">
        <v>917</v>
      </c>
      <c r="U595" s="6">
        <v>42146.473414351851</v>
      </c>
      <c r="V595" t="s">
        <v>18</v>
      </c>
      <c r="W595" t="s">
        <v>783</v>
      </c>
      <c r="X595" s="6">
        <v>42143.486145833333</v>
      </c>
      <c r="Y595" t="s">
        <v>846</v>
      </c>
      <c r="AB595" t="s">
        <v>201</v>
      </c>
      <c r="AC595" t="s">
        <v>247</v>
      </c>
      <c r="AD595" t="s">
        <v>222</v>
      </c>
      <c r="AE595" t="s">
        <v>1073</v>
      </c>
      <c r="AG595" t="s">
        <v>121</v>
      </c>
      <c r="AH595" t="s">
        <v>327</v>
      </c>
      <c r="AI595" t="s">
        <v>121</v>
      </c>
      <c r="AJ595" t="s">
        <v>717</v>
      </c>
      <c r="AK595" t="s">
        <v>121</v>
      </c>
    </row>
    <row r="596" spans="9:37" x14ac:dyDescent="0.3">
      <c r="I596">
        <f ca="1">IF(OR(INDIRECT(A73&amp;ROW())=B93,INDIRECT(A73&amp;ROW())=B94),1,IF(AND(INDIRECT(A73&amp;ROW())=B95,INDIRECT(A96&amp;ROW())=C93),1,IF(AND(INDIRECT(A73&amp;ROW())=B95,INDIRECT(A96&amp;ROW())=C94),1,0)))</f>
        <v>0</v>
      </c>
      <c r="J596">
        <f ca="1">IF(AND(INDIRECT(A73&amp;ROW())=B95,INDIRECT(A96&amp;ROW())=C95),1,IF(AND(INDIRECT(A73&amp;ROW())=B95,INDIRECT(A96&amp;ROW())=C96),1,0))</f>
        <v>0</v>
      </c>
      <c r="K596">
        <f ca="1">DAYS360(INDIRECT(C68&amp;ROW()),TODAY())</f>
        <v>703</v>
      </c>
      <c r="L596">
        <f ca="1">DAYS360(INDIRECT(C69&amp;ROW()),TODAY())</f>
        <v>703</v>
      </c>
      <c r="M596">
        <f ca="1">HYPERLINK(CONCATENATE("https://bugzilla.houston.hp.com:1181/bugzilla/show_bug.cgi?id=",INDIRECT(C70&amp;ROW())),INDIRECT(C70&amp;ROW()))</f>
        <v>62623</v>
      </c>
      <c r="N596">
        <v>62623</v>
      </c>
      <c r="O596" t="s">
        <v>21</v>
      </c>
      <c r="P596" t="s">
        <v>1092</v>
      </c>
      <c r="Q596" t="s">
        <v>16</v>
      </c>
      <c r="R596" t="s">
        <v>579</v>
      </c>
      <c r="S596" t="s">
        <v>552</v>
      </c>
      <c r="U596" s="6">
        <v>42143.606388888889</v>
      </c>
      <c r="V596" t="s">
        <v>18</v>
      </c>
      <c r="W596" t="s">
        <v>783</v>
      </c>
      <c r="X596" s="6">
        <v>42143.516631944447</v>
      </c>
      <c r="Y596" t="s">
        <v>846</v>
      </c>
      <c r="AB596" t="s">
        <v>201</v>
      </c>
      <c r="AC596" t="s">
        <v>247</v>
      </c>
      <c r="AD596" t="s">
        <v>222</v>
      </c>
      <c r="AE596" t="s">
        <v>1073</v>
      </c>
      <c r="AG596" t="s">
        <v>121</v>
      </c>
      <c r="AH596" t="s">
        <v>327</v>
      </c>
      <c r="AI596" t="s">
        <v>121</v>
      </c>
      <c r="AJ596" t="s">
        <v>717</v>
      </c>
      <c r="AK596" t="s">
        <v>121</v>
      </c>
    </row>
    <row r="597" spans="9:37" x14ac:dyDescent="0.3">
      <c r="I597">
        <f ca="1">IF(OR(INDIRECT(A73&amp;ROW())=B93,INDIRECT(A73&amp;ROW())=B94),1,IF(AND(INDIRECT(A73&amp;ROW())=B95,INDIRECT(A96&amp;ROW())=C93),1,IF(AND(INDIRECT(A73&amp;ROW())=B95,INDIRECT(A96&amp;ROW())=C94),1,0)))</f>
        <v>0</v>
      </c>
      <c r="J597">
        <f ca="1">IF(AND(INDIRECT(A73&amp;ROW())=B95,INDIRECT(A96&amp;ROW())=C95),1,IF(AND(INDIRECT(A73&amp;ROW())=B95,INDIRECT(A96&amp;ROW())=C96),1,0))</f>
        <v>0</v>
      </c>
      <c r="K597">
        <f ca="1">DAYS360(INDIRECT(C68&amp;ROW()),TODAY())</f>
        <v>703</v>
      </c>
      <c r="L597">
        <f ca="1">DAYS360(INDIRECT(C69&amp;ROW()),TODAY())</f>
        <v>703</v>
      </c>
      <c r="M597">
        <f ca="1">HYPERLINK(CONCATENATE("https://bugzilla.houston.hp.com:1181/bugzilla/show_bug.cgi?id=",INDIRECT(C70&amp;ROW())),INDIRECT(C70&amp;ROW()))</f>
        <v>62624</v>
      </c>
      <c r="N597">
        <v>62624</v>
      </c>
      <c r="O597" t="s">
        <v>21</v>
      </c>
      <c r="P597" t="s">
        <v>1091</v>
      </c>
      <c r="Q597" t="s">
        <v>16</v>
      </c>
      <c r="R597" t="s">
        <v>783</v>
      </c>
      <c r="S597" t="s">
        <v>552</v>
      </c>
      <c r="U597" s="6">
        <v>42143.606377314813</v>
      </c>
      <c r="V597" t="s">
        <v>18</v>
      </c>
      <c r="W597" t="s">
        <v>783</v>
      </c>
      <c r="X597" s="6">
        <v>42143.51667824074</v>
      </c>
      <c r="Y597" t="s">
        <v>846</v>
      </c>
      <c r="AB597" t="s">
        <v>201</v>
      </c>
      <c r="AC597" t="s">
        <v>247</v>
      </c>
      <c r="AD597" t="s">
        <v>222</v>
      </c>
      <c r="AE597" t="s">
        <v>1073</v>
      </c>
      <c r="AG597" t="s">
        <v>121</v>
      </c>
      <c r="AH597" t="s">
        <v>327</v>
      </c>
      <c r="AI597" t="s">
        <v>121</v>
      </c>
      <c r="AJ597" t="s">
        <v>717</v>
      </c>
      <c r="AK597" t="s">
        <v>121</v>
      </c>
    </row>
    <row r="598" spans="9:37" x14ac:dyDescent="0.3">
      <c r="I598">
        <f ca="1">IF(OR(INDIRECT(A73&amp;ROW())=B93,INDIRECT(A73&amp;ROW())=B94),1,IF(AND(INDIRECT(A73&amp;ROW())=B95,INDIRECT(A96&amp;ROW())=C93),1,IF(AND(INDIRECT(A73&amp;ROW())=B95,INDIRECT(A96&amp;ROW())=C94),1,0)))</f>
        <v>0</v>
      </c>
      <c r="J598">
        <f ca="1">IF(AND(INDIRECT(A73&amp;ROW())=B95,INDIRECT(A96&amp;ROW())=C95),1,IF(AND(INDIRECT(A73&amp;ROW())=B95,INDIRECT(A96&amp;ROW())=C96),1,0))</f>
        <v>0</v>
      </c>
      <c r="K598">
        <f ca="1">DAYS360(INDIRECT(C68&amp;ROW()),TODAY())</f>
        <v>701</v>
      </c>
      <c r="L598">
        <f ca="1">DAYS360(INDIRECT(C69&amp;ROW()),TODAY())</f>
        <v>703</v>
      </c>
      <c r="M598">
        <f ca="1">HYPERLINK(CONCATENATE("https://bugzilla.houston.hp.com:1181/bugzilla/show_bug.cgi?id=",INDIRECT(C70&amp;ROW())),INDIRECT(C70&amp;ROW()))</f>
        <v>62625</v>
      </c>
      <c r="N598">
        <v>62625</v>
      </c>
      <c r="O598" t="s">
        <v>21</v>
      </c>
      <c r="P598" t="s">
        <v>1090</v>
      </c>
      <c r="Q598" t="s">
        <v>16</v>
      </c>
      <c r="R598" t="s">
        <v>248</v>
      </c>
      <c r="S598" t="s">
        <v>552</v>
      </c>
      <c r="U598" s="6">
        <v>42145.452256944445</v>
      </c>
      <c r="V598" t="s">
        <v>18</v>
      </c>
      <c r="W598" t="s">
        <v>783</v>
      </c>
      <c r="X598" s="6">
        <v>42143.516736111109</v>
      </c>
      <c r="Y598" t="s">
        <v>846</v>
      </c>
      <c r="AB598" t="s">
        <v>201</v>
      </c>
      <c r="AC598" t="s">
        <v>247</v>
      </c>
      <c r="AD598" t="s">
        <v>222</v>
      </c>
      <c r="AE598" t="s">
        <v>1073</v>
      </c>
      <c r="AG598" t="s">
        <v>121</v>
      </c>
      <c r="AH598" t="s">
        <v>327</v>
      </c>
      <c r="AI598" t="s">
        <v>121</v>
      </c>
      <c r="AJ598" t="s">
        <v>717</v>
      </c>
      <c r="AK598" t="s">
        <v>121</v>
      </c>
    </row>
    <row r="599" spans="9:37" x14ac:dyDescent="0.3">
      <c r="I599">
        <f ca="1">IF(OR(INDIRECT(A73&amp;ROW())=B93,INDIRECT(A73&amp;ROW())=B94),1,IF(AND(INDIRECT(A73&amp;ROW())=B95,INDIRECT(A96&amp;ROW())=C93),1,IF(AND(INDIRECT(A73&amp;ROW())=B95,INDIRECT(A96&amp;ROW())=C94),1,0)))</f>
        <v>0</v>
      </c>
      <c r="J599">
        <f ca="1">IF(AND(INDIRECT(A73&amp;ROW())=B95,INDIRECT(A96&amp;ROW())=C95),1,IF(AND(INDIRECT(A73&amp;ROW())=B95,INDIRECT(A96&amp;ROW())=C96),1,0))</f>
        <v>1</v>
      </c>
      <c r="K599">
        <f ca="1">DAYS360(INDIRECT(C68&amp;ROW()),TODAY())</f>
        <v>692</v>
      </c>
      <c r="L599">
        <f ca="1">DAYS360(INDIRECT(C69&amp;ROW()),TODAY())</f>
        <v>703</v>
      </c>
      <c r="M599">
        <f ca="1">HYPERLINK(CONCATENATE("https://bugzilla.houston.hp.com:1181/bugzilla/show_bug.cgi?id=",INDIRECT(C70&amp;ROW())),INDIRECT(C70&amp;ROW()))</f>
        <v>62632</v>
      </c>
      <c r="N599">
        <v>62632</v>
      </c>
      <c r="O599" t="s">
        <v>188</v>
      </c>
      <c r="P599" t="s">
        <v>1089</v>
      </c>
      <c r="Q599" t="s">
        <v>25</v>
      </c>
      <c r="R599" t="s">
        <v>579</v>
      </c>
      <c r="S599" t="s">
        <v>552</v>
      </c>
      <c r="U599" s="6">
        <v>42154.899027777778</v>
      </c>
      <c r="V599" t="s">
        <v>18</v>
      </c>
      <c r="W599" t="s">
        <v>764</v>
      </c>
      <c r="X599" s="6">
        <v>42143.549502314818</v>
      </c>
      <c r="Y599" t="s">
        <v>119</v>
      </c>
      <c r="AB599" t="s">
        <v>201</v>
      </c>
      <c r="AC599" t="s">
        <v>247</v>
      </c>
      <c r="AD599" t="s">
        <v>220</v>
      </c>
      <c r="AE599" t="s">
        <v>229</v>
      </c>
      <c r="AG599" t="s">
        <v>121</v>
      </c>
      <c r="AH599" t="s">
        <v>327</v>
      </c>
      <c r="AI599" t="s">
        <v>121</v>
      </c>
      <c r="AJ599" t="s">
        <v>716</v>
      </c>
      <c r="AK599" t="s">
        <v>121</v>
      </c>
    </row>
    <row r="600" spans="9:37" x14ac:dyDescent="0.3">
      <c r="I600">
        <f ca="1">IF(OR(INDIRECT(A73&amp;ROW())=B93,INDIRECT(A73&amp;ROW())=B94),1,IF(AND(INDIRECT(A73&amp;ROW())=B95,INDIRECT(A96&amp;ROW())=C93),1,IF(AND(INDIRECT(A73&amp;ROW())=B95,INDIRECT(A96&amp;ROW())=C94),1,0)))</f>
        <v>1</v>
      </c>
      <c r="J600">
        <f ca="1">IF(AND(INDIRECT(A73&amp;ROW())=B95,INDIRECT(A96&amp;ROW())=C95),1,IF(AND(INDIRECT(A73&amp;ROW())=B95,INDIRECT(A96&amp;ROW())=C96),1,0))</f>
        <v>0</v>
      </c>
      <c r="K600">
        <f ca="1">DAYS360(INDIRECT(C68&amp;ROW()),TODAY())</f>
        <v>700</v>
      </c>
      <c r="L600">
        <f ca="1">DAYS360(INDIRECT(C69&amp;ROW()),TODAY())</f>
        <v>702</v>
      </c>
      <c r="M600">
        <f ca="1">HYPERLINK(CONCATENATE("https://bugzilla.houston.hp.com:1181/bugzilla/show_bug.cgi?id=",INDIRECT(C70&amp;ROW())),INDIRECT(C70&amp;ROW()))</f>
        <v>62690</v>
      </c>
      <c r="N600">
        <v>62690</v>
      </c>
      <c r="O600" t="s">
        <v>188</v>
      </c>
      <c r="P600" t="s">
        <v>1088</v>
      </c>
      <c r="Q600" t="s">
        <v>25</v>
      </c>
      <c r="R600" t="s">
        <v>251</v>
      </c>
      <c r="S600" t="s">
        <v>24</v>
      </c>
      <c r="U600" s="6">
        <v>42146.633530092593</v>
      </c>
      <c r="V600" t="s">
        <v>18</v>
      </c>
      <c r="W600" t="s">
        <v>783</v>
      </c>
      <c r="X600" s="6">
        <v>42144.307511574072</v>
      </c>
      <c r="Y600" t="s">
        <v>119</v>
      </c>
      <c r="AB600" t="s">
        <v>200</v>
      </c>
      <c r="AC600" t="s">
        <v>247</v>
      </c>
      <c r="AD600" t="s">
        <v>220</v>
      </c>
      <c r="AE600" t="s">
        <v>229</v>
      </c>
      <c r="AG600" t="s">
        <v>121</v>
      </c>
      <c r="AH600" t="s">
        <v>327</v>
      </c>
      <c r="AI600" t="s">
        <v>121</v>
      </c>
      <c r="AJ600" t="s">
        <v>715</v>
      </c>
      <c r="AK600" t="s">
        <v>121</v>
      </c>
    </row>
    <row r="601" spans="9:37" x14ac:dyDescent="0.3">
      <c r="I601">
        <f ca="1">IF(OR(INDIRECT(A73&amp;ROW())=B93,INDIRECT(A73&amp;ROW())=B94),1,IF(AND(INDIRECT(A73&amp;ROW())=B95,INDIRECT(A96&amp;ROW())=C93),1,IF(AND(INDIRECT(A73&amp;ROW())=B95,INDIRECT(A96&amp;ROW())=C94),1,0)))</f>
        <v>1</v>
      </c>
      <c r="J601">
        <f ca="1">IF(AND(INDIRECT(A73&amp;ROW())=B95,INDIRECT(A96&amp;ROW())=C95),1,IF(AND(INDIRECT(A73&amp;ROW())=B95,INDIRECT(A96&amp;ROW())=C96),1,0))</f>
        <v>0</v>
      </c>
      <c r="K601">
        <f ca="1">DAYS360(INDIRECT(C68&amp;ROW()),TODAY())</f>
        <v>702</v>
      </c>
      <c r="L601">
        <f ca="1">DAYS360(INDIRECT(C69&amp;ROW()),TODAY())</f>
        <v>702</v>
      </c>
      <c r="M601">
        <f ca="1">HYPERLINK(CONCATENATE("https://bugzilla.houston.hp.com:1181/bugzilla/show_bug.cgi?id=",INDIRECT(C70&amp;ROW())),INDIRECT(C70&amp;ROW()))</f>
        <v>62693</v>
      </c>
      <c r="N601">
        <v>62693</v>
      </c>
      <c r="O601" t="s">
        <v>188</v>
      </c>
      <c r="P601" t="s">
        <v>1087</v>
      </c>
      <c r="Q601" t="s">
        <v>25</v>
      </c>
      <c r="R601" t="s">
        <v>579</v>
      </c>
      <c r="S601" t="s">
        <v>552</v>
      </c>
      <c r="U601" s="6">
        <v>42144.365254629629</v>
      </c>
      <c r="V601" t="s">
        <v>18</v>
      </c>
      <c r="W601" t="s">
        <v>783</v>
      </c>
      <c r="X601" s="6">
        <v>42144.365254629629</v>
      </c>
      <c r="Y601" t="s">
        <v>119</v>
      </c>
      <c r="AB601" t="s">
        <v>200</v>
      </c>
      <c r="AC601" t="s">
        <v>247</v>
      </c>
      <c r="AD601" t="s">
        <v>220</v>
      </c>
      <c r="AE601" t="s">
        <v>229</v>
      </c>
      <c r="AG601" t="s">
        <v>121</v>
      </c>
      <c r="AH601" t="s">
        <v>327</v>
      </c>
      <c r="AI601" t="s">
        <v>121</v>
      </c>
      <c r="AJ601" t="s">
        <v>715</v>
      </c>
      <c r="AK601" t="s">
        <v>121</v>
      </c>
    </row>
    <row r="602" spans="9:37" x14ac:dyDescent="0.3">
      <c r="I602">
        <f ca="1">IF(OR(INDIRECT(A73&amp;ROW())=B93,INDIRECT(A73&amp;ROW())=B94),1,IF(AND(INDIRECT(A73&amp;ROW())=B95,INDIRECT(A96&amp;ROW())=C93),1,IF(AND(INDIRECT(A73&amp;ROW())=B95,INDIRECT(A96&amp;ROW())=C94),1,0)))</f>
        <v>1</v>
      </c>
      <c r="J602">
        <f ca="1">IF(AND(INDIRECT(A73&amp;ROW())=B95,INDIRECT(A96&amp;ROW())=C95),1,IF(AND(INDIRECT(A73&amp;ROW())=B95,INDIRECT(A96&amp;ROW())=C96),1,0))</f>
        <v>0</v>
      </c>
      <c r="K602">
        <f ca="1">DAYS360(INDIRECT(C68&amp;ROW()),TODAY())</f>
        <v>694</v>
      </c>
      <c r="L602">
        <f ca="1">DAYS360(INDIRECT(C69&amp;ROW()),TODAY())</f>
        <v>702</v>
      </c>
      <c r="M602">
        <f ca="1">HYPERLINK(CONCATENATE("https://bugzilla.houston.hp.com:1181/bugzilla/show_bug.cgi?id=",INDIRECT(C70&amp;ROW())),INDIRECT(C70&amp;ROW()))</f>
        <v>62719</v>
      </c>
      <c r="N602">
        <v>62719</v>
      </c>
      <c r="O602" t="s">
        <v>55</v>
      </c>
      <c r="P602" t="s">
        <v>1086</v>
      </c>
      <c r="Q602" t="s">
        <v>25</v>
      </c>
      <c r="R602" t="s">
        <v>251</v>
      </c>
      <c r="S602" t="s">
        <v>52</v>
      </c>
      <c r="U602" s="6">
        <v>42152.655914351853</v>
      </c>
      <c r="V602" t="s">
        <v>35</v>
      </c>
      <c r="W602" t="s">
        <v>783</v>
      </c>
      <c r="X602" s="6">
        <v>42144.602094907408</v>
      </c>
      <c r="Y602" t="s">
        <v>119</v>
      </c>
      <c r="AB602" t="s">
        <v>200</v>
      </c>
      <c r="AC602" t="s">
        <v>247</v>
      </c>
      <c r="AD602" t="s">
        <v>222</v>
      </c>
      <c r="AE602" t="s">
        <v>221</v>
      </c>
      <c r="AG602" t="s">
        <v>121</v>
      </c>
      <c r="AH602" t="s">
        <v>327</v>
      </c>
      <c r="AI602" t="s">
        <v>121</v>
      </c>
      <c r="AJ602" t="s">
        <v>715</v>
      </c>
      <c r="AK602" t="s">
        <v>121</v>
      </c>
    </row>
    <row r="603" spans="9:37" x14ac:dyDescent="0.3">
      <c r="I603">
        <f ca="1">IF(OR(INDIRECT(A73&amp;ROW())=B93,INDIRECT(A73&amp;ROW())=B94),1,IF(AND(INDIRECT(A73&amp;ROW())=B95,INDIRECT(A96&amp;ROW())=C93),1,IF(AND(INDIRECT(A73&amp;ROW())=B95,INDIRECT(A96&amp;ROW())=C94),1,0)))</f>
        <v>1</v>
      </c>
      <c r="J603">
        <f ca="1">IF(AND(INDIRECT(A73&amp;ROW())=B95,INDIRECT(A96&amp;ROW())=C95),1,IF(AND(INDIRECT(A73&amp;ROW())=B95,INDIRECT(A96&amp;ROW())=C96),1,0))</f>
        <v>0</v>
      </c>
      <c r="K603">
        <f ca="1">DAYS360(INDIRECT(C68&amp;ROW()),TODAY())</f>
        <v>702</v>
      </c>
      <c r="L603">
        <f ca="1">DAYS360(INDIRECT(C69&amp;ROW()),TODAY())</f>
        <v>702</v>
      </c>
      <c r="M603">
        <f ca="1">HYPERLINK(CONCATENATE("https://bugzilla.houston.hp.com:1181/bugzilla/show_bug.cgi?id=",INDIRECT(C70&amp;ROW())),INDIRECT(C70&amp;ROW()))</f>
        <v>62721</v>
      </c>
      <c r="N603">
        <v>62721</v>
      </c>
      <c r="O603" t="s">
        <v>55</v>
      </c>
      <c r="P603" t="s">
        <v>1085</v>
      </c>
      <c r="Q603" t="s">
        <v>25</v>
      </c>
      <c r="R603" t="s">
        <v>579</v>
      </c>
      <c r="S603" t="s">
        <v>552</v>
      </c>
      <c r="U603" s="6">
        <v>42144.633113425924</v>
      </c>
      <c r="V603" t="s">
        <v>18</v>
      </c>
      <c r="W603" t="s">
        <v>783</v>
      </c>
      <c r="X603" s="6">
        <v>42144.633113425924</v>
      </c>
      <c r="Y603" t="s">
        <v>119</v>
      </c>
      <c r="AB603" t="s">
        <v>200</v>
      </c>
      <c r="AC603" t="s">
        <v>247</v>
      </c>
      <c r="AD603" t="s">
        <v>222</v>
      </c>
      <c r="AE603" t="s">
        <v>221</v>
      </c>
      <c r="AG603" t="s">
        <v>121</v>
      </c>
      <c r="AH603" t="s">
        <v>327</v>
      </c>
      <c r="AI603" t="s">
        <v>121</v>
      </c>
      <c r="AJ603" t="s">
        <v>715</v>
      </c>
      <c r="AK603" t="s">
        <v>121</v>
      </c>
    </row>
    <row r="604" spans="9:37" x14ac:dyDescent="0.3">
      <c r="I604">
        <f ca="1">IF(OR(INDIRECT(A73&amp;ROW())=B93,INDIRECT(A73&amp;ROW())=B94),1,IF(AND(INDIRECT(A73&amp;ROW())=B95,INDIRECT(A96&amp;ROW())=C93),1,IF(AND(INDIRECT(A73&amp;ROW())=B95,INDIRECT(A96&amp;ROW())=C94),1,0)))</f>
        <v>1</v>
      </c>
      <c r="J604">
        <f ca="1">IF(AND(INDIRECT(A73&amp;ROW())=B95,INDIRECT(A96&amp;ROW())=C95),1,IF(AND(INDIRECT(A73&amp;ROW())=B95,INDIRECT(A96&amp;ROW())=C96),1,0))</f>
        <v>0</v>
      </c>
      <c r="K604">
        <f ca="1">DAYS360(INDIRECT(C68&amp;ROW()),TODAY())</f>
        <v>693</v>
      </c>
      <c r="L604">
        <f ca="1">DAYS360(INDIRECT(C69&amp;ROW()),TODAY())</f>
        <v>702</v>
      </c>
      <c r="M604">
        <f ca="1">HYPERLINK(CONCATENATE("https://bugzilla.houston.hp.com:1181/bugzilla/show_bug.cgi?id=",INDIRECT(C70&amp;ROW())),INDIRECT(C70&amp;ROW()))</f>
        <v>62722</v>
      </c>
      <c r="N604">
        <v>62722</v>
      </c>
      <c r="O604" t="s">
        <v>55</v>
      </c>
      <c r="P604" t="s">
        <v>1084</v>
      </c>
      <c r="Q604" t="s">
        <v>25</v>
      </c>
      <c r="R604" t="s">
        <v>783</v>
      </c>
      <c r="S604" t="s">
        <v>552</v>
      </c>
      <c r="U604" s="6">
        <v>42153.37909722222</v>
      </c>
      <c r="V604" t="s">
        <v>18</v>
      </c>
      <c r="W604" t="s">
        <v>783</v>
      </c>
      <c r="X604" s="6">
        <v>42144.633206018516</v>
      </c>
      <c r="Y604" t="s">
        <v>119</v>
      </c>
      <c r="AB604" t="s">
        <v>200</v>
      </c>
      <c r="AC604" t="s">
        <v>247</v>
      </c>
      <c r="AD604" t="s">
        <v>222</v>
      </c>
      <c r="AE604" t="s">
        <v>221</v>
      </c>
      <c r="AG604" t="s">
        <v>588</v>
      </c>
      <c r="AH604" t="s">
        <v>327</v>
      </c>
      <c r="AI604" t="s">
        <v>121</v>
      </c>
      <c r="AJ604" t="s">
        <v>715</v>
      </c>
      <c r="AK604" t="s">
        <v>121</v>
      </c>
    </row>
    <row r="605" spans="9:37" x14ac:dyDescent="0.3">
      <c r="I605">
        <f ca="1">IF(OR(INDIRECT(A73&amp;ROW())=B93,INDIRECT(A73&amp;ROW())=B94),1,IF(AND(INDIRECT(A73&amp;ROW())=B95,INDIRECT(A96&amp;ROW())=C93),1,IF(AND(INDIRECT(A73&amp;ROW())=B95,INDIRECT(A96&amp;ROW())=C94),1,0)))</f>
        <v>1</v>
      </c>
      <c r="J605">
        <f ca="1">IF(AND(INDIRECT(A73&amp;ROW())=B95,INDIRECT(A96&amp;ROW())=C95),1,IF(AND(INDIRECT(A73&amp;ROW())=B95,INDIRECT(A96&amp;ROW())=C96),1,0))</f>
        <v>0</v>
      </c>
      <c r="K605">
        <f ca="1">DAYS360(INDIRECT(C68&amp;ROW()),TODAY())</f>
        <v>702</v>
      </c>
      <c r="L605">
        <f ca="1">DAYS360(INDIRECT(C69&amp;ROW()),TODAY())</f>
        <v>702</v>
      </c>
      <c r="M605">
        <f ca="1">HYPERLINK(CONCATENATE("https://bugzilla.houston.hp.com:1181/bugzilla/show_bug.cgi?id=",INDIRECT(C70&amp;ROW())),INDIRECT(C70&amp;ROW()))</f>
        <v>62723</v>
      </c>
      <c r="N605">
        <v>62723</v>
      </c>
      <c r="O605" t="s">
        <v>55</v>
      </c>
      <c r="P605" t="s">
        <v>1083</v>
      </c>
      <c r="Q605" t="s">
        <v>25</v>
      </c>
      <c r="R605" t="s">
        <v>248</v>
      </c>
      <c r="S605" t="s">
        <v>552</v>
      </c>
      <c r="U605" s="6">
        <v>42144.633287037039</v>
      </c>
      <c r="V605" t="s">
        <v>18</v>
      </c>
      <c r="W605" t="s">
        <v>783</v>
      </c>
      <c r="X605" s="6">
        <v>42144.633287037039</v>
      </c>
      <c r="Y605" t="s">
        <v>119</v>
      </c>
      <c r="AB605" t="s">
        <v>200</v>
      </c>
      <c r="AC605" t="s">
        <v>247</v>
      </c>
      <c r="AD605" t="s">
        <v>222</v>
      </c>
      <c r="AE605" t="s">
        <v>221</v>
      </c>
      <c r="AG605" t="s">
        <v>121</v>
      </c>
      <c r="AH605" t="s">
        <v>327</v>
      </c>
      <c r="AI605" t="s">
        <v>121</v>
      </c>
      <c r="AJ605" t="s">
        <v>715</v>
      </c>
      <c r="AK605" t="s">
        <v>121</v>
      </c>
    </row>
    <row r="606" spans="9:37" x14ac:dyDescent="0.3">
      <c r="I606">
        <f ca="1">IF(OR(INDIRECT(A73&amp;ROW())=B93,INDIRECT(A73&amp;ROW())=B94),1,IF(AND(INDIRECT(A73&amp;ROW())=B95,INDIRECT(A96&amp;ROW())=C93),1,IF(AND(INDIRECT(A73&amp;ROW())=B95,INDIRECT(A96&amp;ROW())=C94),1,0)))</f>
        <v>0</v>
      </c>
      <c r="J606">
        <f ca="1">IF(AND(INDIRECT(A73&amp;ROW())=B95,INDIRECT(A96&amp;ROW())=C95),1,IF(AND(INDIRECT(A73&amp;ROW())=B95,INDIRECT(A96&amp;ROW())=C96),1,0))</f>
        <v>0</v>
      </c>
      <c r="K606">
        <f ca="1">DAYS360(INDIRECT(C68&amp;ROW()),TODAY())</f>
        <v>696</v>
      </c>
      <c r="L606">
        <f ca="1">DAYS360(INDIRECT(C69&amp;ROW()),TODAY())</f>
        <v>702</v>
      </c>
      <c r="M606">
        <f ca="1">HYPERLINK(CONCATENATE("https://bugzilla.houston.hp.com:1181/bugzilla/show_bug.cgi?id=",INDIRECT(C70&amp;ROW())),INDIRECT(C70&amp;ROW()))</f>
        <v>62730</v>
      </c>
      <c r="N606">
        <v>62730</v>
      </c>
      <c r="O606" t="s">
        <v>94</v>
      </c>
      <c r="P606" t="s">
        <v>1097</v>
      </c>
      <c r="Q606" t="s">
        <v>16</v>
      </c>
      <c r="R606" t="s">
        <v>251</v>
      </c>
      <c r="S606" t="s">
        <v>253</v>
      </c>
      <c r="U606" s="6">
        <v>42150.418379629627</v>
      </c>
      <c r="V606" t="s">
        <v>18</v>
      </c>
      <c r="W606" t="s">
        <v>783</v>
      </c>
      <c r="X606" s="6">
        <v>42144.689155092594</v>
      </c>
      <c r="Y606" t="s">
        <v>246</v>
      </c>
      <c r="AB606" t="s">
        <v>200</v>
      </c>
      <c r="AC606" t="s">
        <v>247</v>
      </c>
      <c r="AD606" t="s">
        <v>227</v>
      </c>
      <c r="AE606" t="s">
        <v>226</v>
      </c>
      <c r="AG606" t="s">
        <v>121</v>
      </c>
      <c r="AH606" t="s">
        <v>327</v>
      </c>
      <c r="AI606" t="s">
        <v>121</v>
      </c>
      <c r="AJ606" t="s">
        <v>716</v>
      </c>
      <c r="AK606" t="s">
        <v>121</v>
      </c>
    </row>
    <row r="607" spans="9:37" x14ac:dyDescent="0.3">
      <c r="I607">
        <f ca="1">IF(OR(INDIRECT(A73&amp;ROW())=B93,INDIRECT(A73&amp;ROW())=B94),1,IF(AND(INDIRECT(A73&amp;ROW())=B95,INDIRECT(A96&amp;ROW())=C93),1,IF(AND(INDIRECT(A73&amp;ROW())=B95,INDIRECT(A96&amp;ROW())=C94),1,0)))</f>
        <v>0</v>
      </c>
      <c r="J607">
        <f ca="1">IF(AND(INDIRECT(A73&amp;ROW())=B95,INDIRECT(A96&amp;ROW())=C95),1,IF(AND(INDIRECT(A73&amp;ROW())=B95,INDIRECT(A96&amp;ROW())=C96),1,0))</f>
        <v>0</v>
      </c>
      <c r="K607">
        <f ca="1">DAYS360(INDIRECT(C68&amp;ROW()),TODAY())</f>
        <v>701</v>
      </c>
      <c r="L607">
        <f ca="1">DAYS360(INDIRECT(C69&amp;ROW()),TODAY())</f>
        <v>701</v>
      </c>
      <c r="M607">
        <f ca="1">HYPERLINK(CONCATENATE("https://bugzilla.houston.hp.com:1181/bugzilla/show_bug.cgi?id=",INDIRECT(C70&amp;ROW())),INDIRECT(C70&amp;ROW()))</f>
        <v>62748</v>
      </c>
      <c r="N607">
        <v>62748</v>
      </c>
      <c r="O607" t="s">
        <v>45</v>
      </c>
      <c r="P607" t="s">
        <v>1096</v>
      </c>
      <c r="Q607" t="s">
        <v>16</v>
      </c>
      <c r="R607" t="s">
        <v>579</v>
      </c>
      <c r="S607" t="s">
        <v>552</v>
      </c>
      <c r="U607" s="6">
        <v>42145.377592592595</v>
      </c>
      <c r="V607" t="s">
        <v>18</v>
      </c>
      <c r="W607" t="s">
        <v>783</v>
      </c>
      <c r="X607" s="6">
        <v>42145.016631944447</v>
      </c>
      <c r="Y607" t="s">
        <v>246</v>
      </c>
      <c r="AB607" t="s">
        <v>200</v>
      </c>
      <c r="AC607" t="s">
        <v>247</v>
      </c>
      <c r="AD607" t="s">
        <v>227</v>
      </c>
      <c r="AE607" t="s">
        <v>226</v>
      </c>
      <c r="AG607" t="s">
        <v>121</v>
      </c>
      <c r="AH607" t="s">
        <v>327</v>
      </c>
      <c r="AI607" t="s">
        <v>121</v>
      </c>
      <c r="AJ607" t="s">
        <v>716</v>
      </c>
      <c r="AK607" t="s">
        <v>121</v>
      </c>
    </row>
    <row r="608" spans="9:37" x14ac:dyDescent="0.3">
      <c r="I608">
        <f ca="1">IF(OR(INDIRECT(A73&amp;ROW())=B93,INDIRECT(A73&amp;ROW())=B94),1,IF(AND(INDIRECT(A73&amp;ROW())=B95,INDIRECT(A96&amp;ROW())=C93),1,IF(AND(INDIRECT(A73&amp;ROW())=B95,INDIRECT(A96&amp;ROW())=C94),1,0)))</f>
        <v>0</v>
      </c>
      <c r="J608">
        <f ca="1">IF(AND(INDIRECT(A73&amp;ROW())=B95,INDIRECT(A96&amp;ROW())=C95),1,IF(AND(INDIRECT(A73&amp;ROW())=B95,INDIRECT(A96&amp;ROW())=C96),1,0))</f>
        <v>0</v>
      </c>
      <c r="K608">
        <f ca="1">DAYS360(INDIRECT(C68&amp;ROW()),TODAY())</f>
        <v>701</v>
      </c>
      <c r="L608">
        <f ca="1">DAYS360(INDIRECT(C69&amp;ROW()),TODAY())</f>
        <v>701</v>
      </c>
      <c r="M608">
        <f ca="1">HYPERLINK(CONCATENATE("https://bugzilla.houston.hp.com:1181/bugzilla/show_bug.cgi?id=",INDIRECT(C70&amp;ROW())),INDIRECT(C70&amp;ROW()))</f>
        <v>62749</v>
      </c>
      <c r="N608">
        <v>62749</v>
      </c>
      <c r="O608" t="s">
        <v>45</v>
      </c>
      <c r="P608" t="s">
        <v>1095</v>
      </c>
      <c r="Q608" t="s">
        <v>16</v>
      </c>
      <c r="R608" t="s">
        <v>783</v>
      </c>
      <c r="S608" t="s">
        <v>552</v>
      </c>
      <c r="U608" s="6">
        <v>42145.37871527778</v>
      </c>
      <c r="V608" t="s">
        <v>18</v>
      </c>
      <c r="W608" t="s">
        <v>783</v>
      </c>
      <c r="X608" s="6">
        <v>42145.016689814816</v>
      </c>
      <c r="Y608" t="s">
        <v>246</v>
      </c>
      <c r="AB608" t="s">
        <v>200</v>
      </c>
      <c r="AC608" t="s">
        <v>247</v>
      </c>
      <c r="AD608" t="s">
        <v>227</v>
      </c>
      <c r="AE608" t="s">
        <v>226</v>
      </c>
      <c r="AG608" t="s">
        <v>121</v>
      </c>
      <c r="AH608" t="s">
        <v>327</v>
      </c>
      <c r="AI608" t="s">
        <v>121</v>
      </c>
      <c r="AJ608" t="s">
        <v>716</v>
      </c>
      <c r="AK608" t="s">
        <v>121</v>
      </c>
    </row>
    <row r="609" spans="9:37" x14ac:dyDescent="0.3">
      <c r="I609">
        <f ca="1">IF(OR(INDIRECT(A73&amp;ROW())=B93,INDIRECT(A73&amp;ROW())=B94),1,IF(AND(INDIRECT(A73&amp;ROW())=B95,INDIRECT(A96&amp;ROW())=C93),1,IF(AND(INDIRECT(A73&amp;ROW())=B95,INDIRECT(A96&amp;ROW())=C94),1,0)))</f>
        <v>0</v>
      </c>
      <c r="J609">
        <f ca="1">IF(AND(INDIRECT(A73&amp;ROW())=B95,INDIRECT(A96&amp;ROW())=C95),1,IF(AND(INDIRECT(A73&amp;ROW())=B95,INDIRECT(A96&amp;ROW())=C96),1,0))</f>
        <v>0</v>
      </c>
      <c r="K609">
        <f ca="1">DAYS360(INDIRECT(C68&amp;ROW()),TODAY())</f>
        <v>701</v>
      </c>
      <c r="L609">
        <f ca="1">DAYS360(INDIRECT(C69&amp;ROW()),TODAY())</f>
        <v>701</v>
      </c>
      <c r="M609">
        <f ca="1">HYPERLINK(CONCATENATE("https://bugzilla.houston.hp.com:1181/bugzilla/show_bug.cgi?id=",INDIRECT(C70&amp;ROW())),INDIRECT(C70&amp;ROW()))</f>
        <v>62750</v>
      </c>
      <c r="N609">
        <v>62750</v>
      </c>
      <c r="O609" t="s">
        <v>45</v>
      </c>
      <c r="P609" t="s">
        <v>1094</v>
      </c>
      <c r="Q609" t="s">
        <v>16</v>
      </c>
      <c r="R609" t="s">
        <v>248</v>
      </c>
      <c r="S609" t="s">
        <v>552</v>
      </c>
      <c r="U609" s="6">
        <v>42145.379259259258</v>
      </c>
      <c r="V609" t="s">
        <v>18</v>
      </c>
      <c r="W609" t="s">
        <v>783</v>
      </c>
      <c r="X609" s="6">
        <v>42145.016747685186</v>
      </c>
      <c r="Y609" t="s">
        <v>246</v>
      </c>
      <c r="AB609" t="s">
        <v>200</v>
      </c>
      <c r="AC609" t="s">
        <v>247</v>
      </c>
      <c r="AD609" t="s">
        <v>227</v>
      </c>
      <c r="AE609" t="s">
        <v>226</v>
      </c>
      <c r="AG609" t="s">
        <v>121</v>
      </c>
      <c r="AH609" t="s">
        <v>327</v>
      </c>
      <c r="AI609" t="s">
        <v>121</v>
      </c>
      <c r="AJ609" t="s">
        <v>716</v>
      </c>
      <c r="AK609" t="s">
        <v>121</v>
      </c>
    </row>
    <row r="610" spans="9:37" x14ac:dyDescent="0.3">
      <c r="I610">
        <f ca="1">IF(OR(INDIRECT(A73&amp;ROW())=B93,INDIRECT(A73&amp;ROW())=B94),1,IF(AND(INDIRECT(A73&amp;ROW())=B95,INDIRECT(A96&amp;ROW())=C93),1,IF(AND(INDIRECT(A73&amp;ROW())=B95,INDIRECT(A96&amp;ROW())=C94),1,0)))</f>
        <v>1</v>
      </c>
      <c r="J610">
        <f ca="1">IF(AND(INDIRECT(A73&amp;ROW())=B95,INDIRECT(A96&amp;ROW())=C95),1,IF(AND(INDIRECT(A73&amp;ROW())=B95,INDIRECT(A96&amp;ROW())=C96),1,0))</f>
        <v>0</v>
      </c>
      <c r="K610">
        <f ca="1">DAYS360(INDIRECT(C68&amp;ROW()),TODAY())</f>
        <v>694</v>
      </c>
      <c r="L610">
        <f ca="1">DAYS360(INDIRECT(C69&amp;ROW()),TODAY())</f>
        <v>701</v>
      </c>
      <c r="M610">
        <f ca="1">HYPERLINK(CONCATENATE("https://bugzilla.houston.hp.com:1181/bugzilla/show_bug.cgi?id=",INDIRECT(C70&amp;ROW())),INDIRECT(C70&amp;ROW()))</f>
        <v>62785</v>
      </c>
      <c r="N610">
        <v>62785</v>
      </c>
      <c r="O610" t="s">
        <v>21</v>
      </c>
      <c r="P610" t="s">
        <v>1128</v>
      </c>
      <c r="Q610" t="s">
        <v>25</v>
      </c>
      <c r="R610" t="s">
        <v>251</v>
      </c>
      <c r="S610" t="s">
        <v>24</v>
      </c>
      <c r="U610" s="6">
        <v>42152.809120370373</v>
      </c>
      <c r="V610" t="s">
        <v>40</v>
      </c>
      <c r="W610" t="s">
        <v>783</v>
      </c>
      <c r="X610" s="6">
        <v>42145.392812500002</v>
      </c>
      <c r="Y610" t="s">
        <v>119</v>
      </c>
      <c r="AB610" t="s">
        <v>200</v>
      </c>
      <c r="AC610" t="s">
        <v>247</v>
      </c>
      <c r="AD610" t="s">
        <v>222</v>
      </c>
      <c r="AE610" t="s">
        <v>225</v>
      </c>
      <c r="AG610" t="s">
        <v>121</v>
      </c>
      <c r="AH610" t="s">
        <v>327</v>
      </c>
      <c r="AI610" t="s">
        <v>121</v>
      </c>
      <c r="AJ610" t="s">
        <v>715</v>
      </c>
      <c r="AK610" t="s">
        <v>121</v>
      </c>
    </row>
    <row r="611" spans="9:37" x14ac:dyDescent="0.3">
      <c r="I611">
        <f ca="1">IF(OR(INDIRECT(A73&amp;ROW())=B93,INDIRECT(A73&amp;ROW())=B94),1,IF(AND(INDIRECT(A73&amp;ROW())=B95,INDIRECT(A96&amp;ROW())=C93),1,IF(AND(INDIRECT(A73&amp;ROW())=B95,INDIRECT(A96&amp;ROW())=C94),1,0)))</f>
        <v>0</v>
      </c>
      <c r="J611">
        <f ca="1">IF(AND(INDIRECT(A73&amp;ROW())=B95,INDIRECT(A96&amp;ROW())=C95),1,IF(AND(INDIRECT(A73&amp;ROW())=B95,INDIRECT(A96&amp;ROW())=C96),1,0))</f>
        <v>0</v>
      </c>
      <c r="K611">
        <f ca="1">DAYS360(INDIRECT(C68&amp;ROW()),TODAY())</f>
        <v>695</v>
      </c>
      <c r="L611">
        <f ca="1">DAYS360(INDIRECT(C69&amp;ROW()),TODAY())</f>
        <v>701</v>
      </c>
      <c r="M611">
        <f ca="1">HYPERLINK(CONCATENATE("https://bugzilla.houston.hp.com:1181/bugzilla/show_bug.cgi?id=",INDIRECT(C70&amp;ROW())),INDIRECT(C70&amp;ROW()))</f>
        <v>62801</v>
      </c>
      <c r="N611">
        <v>62801</v>
      </c>
      <c r="O611" t="s">
        <v>323</v>
      </c>
      <c r="P611" t="s">
        <v>1103</v>
      </c>
      <c r="Q611" t="s">
        <v>16</v>
      </c>
      <c r="R611" t="s">
        <v>251</v>
      </c>
      <c r="S611" t="s">
        <v>1102</v>
      </c>
      <c r="U611" s="6">
        <v>42151.441192129627</v>
      </c>
      <c r="V611" t="s">
        <v>35</v>
      </c>
      <c r="W611" t="s">
        <v>764</v>
      </c>
      <c r="X611" s="6">
        <v>42145.5387962963</v>
      </c>
      <c r="Y611" t="s">
        <v>125</v>
      </c>
      <c r="AB611" t="s">
        <v>199</v>
      </c>
      <c r="AC611" t="s">
        <v>247</v>
      </c>
      <c r="AD611" t="s">
        <v>220</v>
      </c>
      <c r="AE611" t="s">
        <v>243</v>
      </c>
      <c r="AG611" t="s">
        <v>121</v>
      </c>
      <c r="AH611" t="s">
        <v>327</v>
      </c>
      <c r="AI611" t="s">
        <v>121</v>
      </c>
      <c r="AJ611" t="s">
        <v>716</v>
      </c>
      <c r="AK611" t="s">
        <v>121</v>
      </c>
    </row>
    <row r="612" spans="9:37" x14ac:dyDescent="0.3">
      <c r="I612">
        <f ca="1">IF(OR(INDIRECT(A73&amp;ROW())=B93,INDIRECT(A73&amp;ROW())=B94),1,IF(AND(INDIRECT(A73&amp;ROW())=B95,INDIRECT(A96&amp;ROW())=C93),1,IF(AND(INDIRECT(A73&amp;ROW())=B95,INDIRECT(A96&amp;ROW())=C94),1,0)))</f>
        <v>0</v>
      </c>
      <c r="J612">
        <f ca="1">IF(AND(INDIRECT(A73&amp;ROW())=B95,INDIRECT(A96&amp;ROW())=C95),1,IF(AND(INDIRECT(A73&amp;ROW())=B95,INDIRECT(A96&amp;ROW())=C96),1,0))</f>
        <v>0</v>
      </c>
      <c r="K612">
        <f ca="1">DAYS360(INDIRECT(C68&amp;ROW()),TODAY())</f>
        <v>701</v>
      </c>
      <c r="L612">
        <f ca="1">DAYS360(INDIRECT(C69&amp;ROW()),TODAY())</f>
        <v>701</v>
      </c>
      <c r="M612">
        <f ca="1">HYPERLINK(CONCATENATE("https://bugzilla.houston.hp.com:1181/bugzilla/show_bug.cgi?id=",INDIRECT(C70&amp;ROW())),INDIRECT(C70&amp;ROW()))</f>
        <v>62804</v>
      </c>
      <c r="N612">
        <v>62804</v>
      </c>
      <c r="O612" t="s">
        <v>19</v>
      </c>
      <c r="P612" t="s">
        <v>1101</v>
      </c>
      <c r="Q612" t="s">
        <v>16</v>
      </c>
      <c r="R612" t="s">
        <v>579</v>
      </c>
      <c r="S612" t="s">
        <v>552</v>
      </c>
      <c r="U612" s="6">
        <v>42145.633622685185</v>
      </c>
      <c r="V612" t="s">
        <v>18</v>
      </c>
      <c r="W612" t="s">
        <v>764</v>
      </c>
      <c r="X612" s="6">
        <v>42145.633622685185</v>
      </c>
      <c r="Y612" t="s">
        <v>125</v>
      </c>
      <c r="AB612" t="s">
        <v>199</v>
      </c>
      <c r="AC612" t="s">
        <v>247</v>
      </c>
      <c r="AD612" t="s">
        <v>220</v>
      </c>
      <c r="AE612" t="s">
        <v>243</v>
      </c>
      <c r="AG612" t="s">
        <v>121</v>
      </c>
      <c r="AH612" t="s">
        <v>327</v>
      </c>
      <c r="AI612" t="s">
        <v>121</v>
      </c>
      <c r="AJ612" t="s">
        <v>716</v>
      </c>
      <c r="AK612" t="s">
        <v>121</v>
      </c>
    </row>
    <row r="613" spans="9:37" x14ac:dyDescent="0.3">
      <c r="I613">
        <f ca="1">IF(OR(INDIRECT(A73&amp;ROW())=B93,INDIRECT(A73&amp;ROW())=B94),1,IF(AND(INDIRECT(A73&amp;ROW())=B95,INDIRECT(A96&amp;ROW())=C93),1,IF(AND(INDIRECT(A73&amp;ROW())=B95,INDIRECT(A96&amp;ROW())=C94),1,0)))</f>
        <v>0</v>
      </c>
      <c r="J613">
        <f ca="1">IF(AND(INDIRECT(A73&amp;ROW())=B95,INDIRECT(A96&amp;ROW())=C95),1,IF(AND(INDIRECT(A73&amp;ROW())=B95,INDIRECT(A96&amp;ROW())=C96),1,0))</f>
        <v>0</v>
      </c>
      <c r="K613">
        <f ca="1">DAYS360(INDIRECT(C68&amp;ROW()),TODAY())</f>
        <v>700</v>
      </c>
      <c r="L613">
        <f ca="1">DAYS360(INDIRECT(C69&amp;ROW()),TODAY())</f>
        <v>701</v>
      </c>
      <c r="M613">
        <f ca="1">HYPERLINK(CONCATENATE("https://bugzilla.houston.hp.com:1181/bugzilla/show_bug.cgi?id=",INDIRECT(C70&amp;ROW())),INDIRECT(C70&amp;ROW()))</f>
        <v>62805</v>
      </c>
      <c r="N613">
        <v>62805</v>
      </c>
      <c r="O613" t="s">
        <v>19</v>
      </c>
      <c r="P613" t="s">
        <v>1100</v>
      </c>
      <c r="Q613" t="s">
        <v>16</v>
      </c>
      <c r="R613" t="s">
        <v>783</v>
      </c>
      <c r="S613" t="s">
        <v>552</v>
      </c>
      <c r="U613" s="6">
        <v>42146.364895833336</v>
      </c>
      <c r="V613" t="s">
        <v>18</v>
      </c>
      <c r="W613" t="s">
        <v>764</v>
      </c>
      <c r="X613" s="6">
        <v>42145.633680555555</v>
      </c>
      <c r="Y613" t="s">
        <v>125</v>
      </c>
      <c r="AB613" t="s">
        <v>199</v>
      </c>
      <c r="AC613" t="s">
        <v>247</v>
      </c>
      <c r="AD613" t="s">
        <v>220</v>
      </c>
      <c r="AE613" t="s">
        <v>219</v>
      </c>
      <c r="AG613" t="s">
        <v>121</v>
      </c>
      <c r="AH613" t="s">
        <v>327</v>
      </c>
      <c r="AI613" t="s">
        <v>121</v>
      </c>
      <c r="AJ613" t="s">
        <v>716</v>
      </c>
      <c r="AK613" t="s">
        <v>121</v>
      </c>
    </row>
    <row r="614" spans="9:37" x14ac:dyDescent="0.3">
      <c r="I614">
        <f ca="1">IF(OR(INDIRECT(A73&amp;ROW())=B93,INDIRECT(A73&amp;ROW())=B94),1,IF(AND(INDIRECT(A73&amp;ROW())=B95,INDIRECT(A96&amp;ROW())=C93),1,IF(AND(INDIRECT(A73&amp;ROW())=B95,INDIRECT(A96&amp;ROW())=C94),1,0)))</f>
        <v>0</v>
      </c>
      <c r="J614">
        <f ca="1">IF(AND(INDIRECT(A73&amp;ROW())=B95,INDIRECT(A96&amp;ROW())=C95),1,IF(AND(INDIRECT(A73&amp;ROW())=B95,INDIRECT(A96&amp;ROW())=C96),1,0))</f>
        <v>0</v>
      </c>
      <c r="K614">
        <f ca="1">DAYS360(INDIRECT(C68&amp;ROW()),TODAY())</f>
        <v>701</v>
      </c>
      <c r="L614">
        <f ca="1">DAYS360(INDIRECT(C69&amp;ROW()),TODAY())</f>
        <v>701</v>
      </c>
      <c r="M614">
        <f ca="1">HYPERLINK(CONCATENATE("https://bugzilla.houston.hp.com:1181/bugzilla/show_bug.cgi?id=",INDIRECT(C70&amp;ROW())),INDIRECT(C70&amp;ROW()))</f>
        <v>62806</v>
      </c>
      <c r="N614">
        <v>62806</v>
      </c>
      <c r="O614" t="s">
        <v>19</v>
      </c>
      <c r="P614" t="s">
        <v>1099</v>
      </c>
      <c r="Q614" t="s">
        <v>16</v>
      </c>
      <c r="R614" t="s">
        <v>248</v>
      </c>
      <c r="S614" t="s">
        <v>552</v>
      </c>
      <c r="U614" s="6">
        <v>42145.633726851855</v>
      </c>
      <c r="V614" t="s">
        <v>18</v>
      </c>
      <c r="W614" t="s">
        <v>764</v>
      </c>
      <c r="X614" s="6">
        <v>42145.633726851855</v>
      </c>
      <c r="Y614" t="s">
        <v>125</v>
      </c>
      <c r="AB614" t="s">
        <v>199</v>
      </c>
      <c r="AC614" t="s">
        <v>247</v>
      </c>
      <c r="AD614" t="s">
        <v>220</v>
      </c>
      <c r="AE614" t="s">
        <v>243</v>
      </c>
      <c r="AG614" t="s">
        <v>121</v>
      </c>
      <c r="AH614" t="s">
        <v>327</v>
      </c>
      <c r="AI614" t="s">
        <v>121</v>
      </c>
      <c r="AJ614" t="s">
        <v>716</v>
      </c>
      <c r="AK614" t="s">
        <v>121</v>
      </c>
    </row>
    <row r="615" spans="9:37" x14ac:dyDescent="0.3">
      <c r="I615">
        <f ca="1">IF(OR(INDIRECT(A73&amp;ROW())=B93,INDIRECT(A73&amp;ROW())=B94),1,IF(AND(INDIRECT(A73&amp;ROW())=B95,INDIRECT(A96&amp;ROW())=C93),1,IF(AND(INDIRECT(A73&amp;ROW())=B95,INDIRECT(A96&amp;ROW())=C94),1,0)))</f>
        <v>0</v>
      </c>
      <c r="J615">
        <f ca="1">IF(AND(INDIRECT(A73&amp;ROW())=B95,INDIRECT(A96&amp;ROW())=C95),1,IF(AND(INDIRECT(A73&amp;ROW())=B95,INDIRECT(A96&amp;ROW())=C96),1,0))</f>
        <v>1</v>
      </c>
      <c r="K615">
        <f ca="1">DAYS360(INDIRECT(C68&amp;ROW()),TODAY())</f>
        <v>697</v>
      </c>
      <c r="L615">
        <f ca="1">DAYS360(INDIRECT(C69&amp;ROW()),TODAY())</f>
        <v>700</v>
      </c>
      <c r="M615">
        <f ca="1">HYPERLINK(CONCATENATE("https://bugzilla.houston.hp.com:1181/bugzilla/show_bug.cgi?id=",INDIRECT(C70&amp;ROW())),INDIRECT(C70&amp;ROW()))</f>
        <v>62876</v>
      </c>
      <c r="N615">
        <v>62876</v>
      </c>
      <c r="O615" t="s">
        <v>55</v>
      </c>
      <c r="P615" t="s">
        <v>1121</v>
      </c>
      <c r="Q615" t="s">
        <v>25</v>
      </c>
      <c r="R615" t="s">
        <v>251</v>
      </c>
      <c r="S615" t="s">
        <v>88</v>
      </c>
      <c r="U615" s="6">
        <v>42149.624652777777</v>
      </c>
      <c r="V615" t="s">
        <v>18</v>
      </c>
      <c r="W615" t="s">
        <v>783</v>
      </c>
      <c r="X615" s="6">
        <v>42146.710370370369</v>
      </c>
      <c r="Y615" t="s">
        <v>125</v>
      </c>
      <c r="AB615" t="s">
        <v>201</v>
      </c>
      <c r="AC615" t="s">
        <v>247</v>
      </c>
      <c r="AD615" t="s">
        <v>222</v>
      </c>
      <c r="AE615" t="s">
        <v>221</v>
      </c>
      <c r="AG615" t="s">
        <v>121</v>
      </c>
      <c r="AH615" t="s">
        <v>327</v>
      </c>
      <c r="AI615" t="s">
        <v>121</v>
      </c>
      <c r="AJ615" t="s">
        <v>716</v>
      </c>
      <c r="AK615" t="s">
        <v>121</v>
      </c>
    </row>
    <row r="616" spans="9:37" x14ac:dyDescent="0.3">
      <c r="I616">
        <f ca="1">IF(OR(INDIRECT(A73&amp;ROW())=B93,INDIRECT(A73&amp;ROW())=B94),1,IF(AND(INDIRECT(A73&amp;ROW())=B95,INDIRECT(A96&amp;ROW())=C93),1,IF(AND(INDIRECT(A73&amp;ROW())=B95,INDIRECT(A96&amp;ROW())=C94),1,0)))</f>
        <v>0</v>
      </c>
      <c r="J616">
        <f ca="1">IF(AND(INDIRECT(A73&amp;ROW())=B95,INDIRECT(A96&amp;ROW())=C95),1,IF(AND(INDIRECT(A73&amp;ROW())=B95,INDIRECT(A96&amp;ROW())=C96),1,0))</f>
        <v>1</v>
      </c>
      <c r="K616">
        <f ca="1">DAYS360(INDIRECT(C68&amp;ROW()),TODAY())</f>
        <v>697</v>
      </c>
      <c r="L616">
        <f ca="1">DAYS360(INDIRECT(C69&amp;ROW()),TODAY())</f>
        <v>699</v>
      </c>
      <c r="M616">
        <f ca="1">HYPERLINK(CONCATENATE("https://bugzilla.houston.hp.com:1181/bugzilla/show_bug.cgi?id=",INDIRECT(C70&amp;ROW())),INDIRECT(C70&amp;ROW()))</f>
        <v>62879</v>
      </c>
      <c r="N616">
        <v>62879</v>
      </c>
      <c r="O616" t="s">
        <v>55</v>
      </c>
      <c r="P616" t="s">
        <v>1120</v>
      </c>
      <c r="Q616" t="s">
        <v>25</v>
      </c>
      <c r="R616" t="s">
        <v>579</v>
      </c>
      <c r="S616" t="s">
        <v>552</v>
      </c>
      <c r="U616" s="6">
        <v>42149.626400462963</v>
      </c>
      <c r="V616" t="s">
        <v>18</v>
      </c>
      <c r="W616" t="s">
        <v>783</v>
      </c>
      <c r="X616" s="6">
        <v>42147.016736111109</v>
      </c>
      <c r="Y616" t="s">
        <v>125</v>
      </c>
      <c r="AB616" t="s">
        <v>201</v>
      </c>
      <c r="AC616" t="s">
        <v>247</v>
      </c>
      <c r="AD616" t="s">
        <v>222</v>
      </c>
      <c r="AE616" t="s">
        <v>221</v>
      </c>
      <c r="AG616" t="s">
        <v>121</v>
      </c>
      <c r="AH616" t="s">
        <v>327</v>
      </c>
      <c r="AI616" t="s">
        <v>121</v>
      </c>
      <c r="AJ616" t="s">
        <v>716</v>
      </c>
      <c r="AK616" t="s">
        <v>121</v>
      </c>
    </row>
    <row r="617" spans="9:37" x14ac:dyDescent="0.3">
      <c r="I617">
        <f ca="1">IF(OR(INDIRECT(A73&amp;ROW())=B93,INDIRECT(A73&amp;ROW())=B94),1,IF(AND(INDIRECT(A73&amp;ROW())=B95,INDIRECT(A96&amp;ROW())=C93),1,IF(AND(INDIRECT(A73&amp;ROW())=B95,INDIRECT(A96&amp;ROW())=C94),1,0)))</f>
        <v>0</v>
      </c>
      <c r="J617">
        <f ca="1">IF(AND(INDIRECT(A73&amp;ROW())=B95,INDIRECT(A96&amp;ROW())=C95),1,IF(AND(INDIRECT(A73&amp;ROW())=B95,INDIRECT(A96&amp;ROW())=C96),1,0))</f>
        <v>1</v>
      </c>
      <c r="K617">
        <f ca="1">DAYS360(INDIRECT(C68&amp;ROW()),TODAY())</f>
        <v>697</v>
      </c>
      <c r="L617">
        <f ca="1">DAYS360(INDIRECT(C69&amp;ROW()),TODAY())</f>
        <v>699</v>
      </c>
      <c r="M617">
        <f ca="1">HYPERLINK(CONCATENATE("https://bugzilla.houston.hp.com:1181/bugzilla/show_bug.cgi?id=",INDIRECT(C70&amp;ROW())),INDIRECT(C70&amp;ROW()))</f>
        <v>62880</v>
      </c>
      <c r="N617">
        <v>62880</v>
      </c>
      <c r="O617" t="s">
        <v>55</v>
      </c>
      <c r="P617" t="s">
        <v>1119</v>
      </c>
      <c r="Q617" t="s">
        <v>25</v>
      </c>
      <c r="R617" t="s">
        <v>783</v>
      </c>
      <c r="S617" t="s">
        <v>552</v>
      </c>
      <c r="U617" s="6">
        <v>42149.626423611109</v>
      </c>
      <c r="V617" t="s">
        <v>18</v>
      </c>
      <c r="W617" t="s">
        <v>783</v>
      </c>
      <c r="X617" s="6">
        <v>42147.016828703701</v>
      </c>
      <c r="Y617" t="s">
        <v>125</v>
      </c>
      <c r="AB617" t="s">
        <v>201</v>
      </c>
      <c r="AC617" t="s">
        <v>247</v>
      </c>
      <c r="AD617" t="s">
        <v>222</v>
      </c>
      <c r="AE617" t="s">
        <v>221</v>
      </c>
      <c r="AG617" t="s">
        <v>121</v>
      </c>
      <c r="AH617" t="s">
        <v>327</v>
      </c>
      <c r="AI617" t="s">
        <v>121</v>
      </c>
      <c r="AJ617" t="s">
        <v>716</v>
      </c>
      <c r="AK617" t="s">
        <v>121</v>
      </c>
    </row>
    <row r="618" spans="9:37" x14ac:dyDescent="0.3">
      <c r="I618">
        <f ca="1">IF(OR(INDIRECT(A73&amp;ROW())=B93,INDIRECT(A73&amp;ROW())=B94),1,IF(AND(INDIRECT(A73&amp;ROW())=B95,INDIRECT(A96&amp;ROW())=C93),1,IF(AND(INDIRECT(A73&amp;ROW())=B95,INDIRECT(A96&amp;ROW())=C94),1,0)))</f>
        <v>0</v>
      </c>
      <c r="J618">
        <f ca="1">IF(AND(INDIRECT(A73&amp;ROW())=B95,INDIRECT(A96&amp;ROW())=C95),1,IF(AND(INDIRECT(A73&amp;ROW())=B95,INDIRECT(A96&amp;ROW())=C96),1,0))</f>
        <v>1</v>
      </c>
      <c r="K618">
        <f ca="1">DAYS360(INDIRECT(C68&amp;ROW()),TODAY())</f>
        <v>697</v>
      </c>
      <c r="L618">
        <f ca="1">DAYS360(INDIRECT(C69&amp;ROW()),TODAY())</f>
        <v>699</v>
      </c>
      <c r="M618">
        <f ca="1">HYPERLINK(CONCATENATE("https://bugzilla.houston.hp.com:1181/bugzilla/show_bug.cgi?id=",INDIRECT(C70&amp;ROW())),INDIRECT(C70&amp;ROW()))</f>
        <v>62881</v>
      </c>
      <c r="N618">
        <v>62881</v>
      </c>
      <c r="O618" t="s">
        <v>55</v>
      </c>
      <c r="P618" t="s">
        <v>1118</v>
      </c>
      <c r="Q618" t="s">
        <v>25</v>
      </c>
      <c r="R618" t="s">
        <v>248</v>
      </c>
      <c r="S618" t="s">
        <v>552</v>
      </c>
      <c r="U618" s="6">
        <v>42149.626388888886</v>
      </c>
      <c r="V618" t="s">
        <v>18</v>
      </c>
      <c r="W618" t="s">
        <v>783</v>
      </c>
      <c r="X618" s="6">
        <v>42147.016898148147</v>
      </c>
      <c r="Y618" t="s">
        <v>125</v>
      </c>
      <c r="AB618" t="s">
        <v>201</v>
      </c>
      <c r="AC618" t="s">
        <v>247</v>
      </c>
      <c r="AD618" t="s">
        <v>222</v>
      </c>
      <c r="AE618" t="s">
        <v>221</v>
      </c>
      <c r="AG618" t="s">
        <v>121</v>
      </c>
      <c r="AH618" t="s">
        <v>327</v>
      </c>
      <c r="AI618" t="s">
        <v>121</v>
      </c>
      <c r="AJ618" t="s">
        <v>716</v>
      </c>
      <c r="AK618" t="s">
        <v>121</v>
      </c>
    </row>
    <row r="619" spans="9:37" x14ac:dyDescent="0.3">
      <c r="I619">
        <f ca="1">IF(OR(INDIRECT(A73&amp;ROW())=B93,INDIRECT(A73&amp;ROW())=B94),1,IF(AND(INDIRECT(A73&amp;ROW())=B95,INDIRECT(A96&amp;ROW())=C93),1,IF(AND(INDIRECT(A73&amp;ROW())=B95,INDIRECT(A96&amp;ROW())=C94),1,0)))</f>
        <v>1</v>
      </c>
      <c r="J619">
        <f ca="1">IF(AND(INDIRECT(A73&amp;ROW())=B95,INDIRECT(A96&amp;ROW())=C95),1,IF(AND(INDIRECT(A73&amp;ROW())=B95,INDIRECT(A96&amp;ROW())=C96),1,0))</f>
        <v>0</v>
      </c>
      <c r="K619">
        <f ca="1">DAYS360(INDIRECT(C68&amp;ROW()),TODAY())</f>
        <v>695</v>
      </c>
      <c r="L619">
        <f ca="1">DAYS360(INDIRECT(C69&amp;ROW()),TODAY())</f>
        <v>697</v>
      </c>
      <c r="M619">
        <f ca="1">HYPERLINK(CONCATENATE("https://bugzilla.houston.hp.com:1181/bugzilla/show_bug.cgi?id=",INDIRECT(C70&amp;ROW())),INDIRECT(C70&amp;ROW()))</f>
        <v>62918</v>
      </c>
      <c r="N619">
        <v>62918</v>
      </c>
      <c r="O619" t="s">
        <v>62</v>
      </c>
      <c r="P619" t="s">
        <v>1117</v>
      </c>
      <c r="Q619" t="s">
        <v>25</v>
      </c>
      <c r="R619" t="s">
        <v>251</v>
      </c>
      <c r="S619" t="s">
        <v>62</v>
      </c>
      <c r="U619" s="6">
        <v>42151.514780092592</v>
      </c>
      <c r="V619" t="s">
        <v>18</v>
      </c>
      <c r="W619" t="s">
        <v>783</v>
      </c>
      <c r="X619" s="6">
        <v>42149.972442129627</v>
      </c>
      <c r="Y619" t="s">
        <v>119</v>
      </c>
      <c r="AB619" t="s">
        <v>199</v>
      </c>
      <c r="AC619" t="s">
        <v>247</v>
      </c>
      <c r="AD619" t="s">
        <v>220</v>
      </c>
      <c r="AE619" t="s">
        <v>219</v>
      </c>
      <c r="AG619" t="s">
        <v>121</v>
      </c>
      <c r="AH619" t="s">
        <v>327</v>
      </c>
      <c r="AI619" t="s">
        <v>121</v>
      </c>
      <c r="AJ619" t="s">
        <v>715</v>
      </c>
      <c r="AK619" t="s">
        <v>121</v>
      </c>
    </row>
    <row r="620" spans="9:37" x14ac:dyDescent="0.3">
      <c r="I620">
        <f ca="1">IF(OR(INDIRECT(A73&amp;ROW())=B93,INDIRECT(A73&amp;ROW())=B94),1,IF(AND(INDIRECT(A73&amp;ROW())=B95,INDIRECT(A96&amp;ROW())=C93),1,IF(AND(INDIRECT(A73&amp;ROW())=B95,INDIRECT(A96&amp;ROW())=C94),1,0)))</f>
        <v>1</v>
      </c>
      <c r="J620">
        <f ca="1">IF(AND(INDIRECT(A73&amp;ROW())=B95,INDIRECT(A96&amp;ROW())=C95),1,IF(AND(INDIRECT(A73&amp;ROW())=B95,INDIRECT(A96&amp;ROW())=C96),1,0))</f>
        <v>0</v>
      </c>
      <c r="K620">
        <f ca="1">DAYS360(INDIRECT(C68&amp;ROW()),TODAY())</f>
        <v>696</v>
      </c>
      <c r="L620">
        <f ca="1">DAYS360(INDIRECT(C69&amp;ROW()),TODAY())</f>
        <v>696</v>
      </c>
      <c r="M620">
        <f ca="1">HYPERLINK(CONCATENATE("https://bugzilla.houston.hp.com:1181/bugzilla/show_bug.cgi?id=",INDIRECT(C70&amp;ROW())),INDIRECT(C70&amp;ROW()))</f>
        <v>62923</v>
      </c>
      <c r="N620">
        <v>62923</v>
      </c>
      <c r="O620" t="s">
        <v>56</v>
      </c>
      <c r="P620" t="s">
        <v>1116</v>
      </c>
      <c r="Q620" t="s">
        <v>25</v>
      </c>
      <c r="R620" t="s">
        <v>248</v>
      </c>
      <c r="S620" t="s">
        <v>552</v>
      </c>
      <c r="U620" s="6">
        <v>42150.01703703704</v>
      </c>
      <c r="V620" t="s">
        <v>18</v>
      </c>
      <c r="W620" t="s">
        <v>783</v>
      </c>
      <c r="X620" s="6">
        <v>42150.01703703704</v>
      </c>
      <c r="Y620" t="s">
        <v>119</v>
      </c>
      <c r="AB620" t="s">
        <v>199</v>
      </c>
      <c r="AC620" t="s">
        <v>247</v>
      </c>
      <c r="AD620" t="s">
        <v>220</v>
      </c>
      <c r="AE620" t="s">
        <v>219</v>
      </c>
      <c r="AG620" t="s">
        <v>121</v>
      </c>
      <c r="AH620" t="s">
        <v>327</v>
      </c>
      <c r="AI620" t="s">
        <v>121</v>
      </c>
      <c r="AJ620" t="s">
        <v>715</v>
      </c>
      <c r="AK620" t="s">
        <v>121</v>
      </c>
    </row>
    <row r="621" spans="9:37" x14ac:dyDescent="0.3">
      <c r="I621">
        <f ca="1">IF(OR(INDIRECT(A73&amp;ROW())=B93,INDIRECT(A73&amp;ROW())=B94),1,IF(AND(INDIRECT(A73&amp;ROW())=B95,INDIRECT(A96&amp;ROW())=C93),1,IF(AND(INDIRECT(A73&amp;ROW())=B95,INDIRECT(A96&amp;ROW())=C94),1,0)))</f>
        <v>1</v>
      </c>
      <c r="J621">
        <f ca="1">IF(AND(INDIRECT(A73&amp;ROW())=B95,INDIRECT(A96&amp;ROW())=C95),1,IF(AND(INDIRECT(A73&amp;ROW())=B95,INDIRECT(A96&amp;ROW())=C96),1,0))</f>
        <v>0</v>
      </c>
      <c r="K621">
        <f ca="1">DAYS360(INDIRECT(C68&amp;ROW()),TODAY())</f>
        <v>694</v>
      </c>
      <c r="L621">
        <f ca="1">DAYS360(INDIRECT(C69&amp;ROW()),TODAY())</f>
        <v>696</v>
      </c>
      <c r="M621">
        <f ca="1">HYPERLINK(CONCATENATE("https://bugzilla.houston.hp.com:1181/bugzilla/show_bug.cgi?id=",INDIRECT(C70&amp;ROW())),INDIRECT(C70&amp;ROW()))</f>
        <v>62950</v>
      </c>
      <c r="N621">
        <v>62950</v>
      </c>
      <c r="O621" t="s">
        <v>94</v>
      </c>
      <c r="P621" t="s">
        <v>1115</v>
      </c>
      <c r="Q621" t="s">
        <v>25</v>
      </c>
      <c r="R621" t="s">
        <v>251</v>
      </c>
      <c r="S621" t="s">
        <v>52</v>
      </c>
      <c r="T621" t="s">
        <v>1122</v>
      </c>
      <c r="U621" s="6">
        <v>42152.630520833336</v>
      </c>
      <c r="V621" t="s">
        <v>35</v>
      </c>
      <c r="W621" t="s">
        <v>783</v>
      </c>
      <c r="X621" s="6">
        <v>42150.291273148148</v>
      </c>
      <c r="Y621" t="s">
        <v>119</v>
      </c>
      <c r="AB621" t="s">
        <v>200</v>
      </c>
      <c r="AC621" t="s">
        <v>247</v>
      </c>
      <c r="AD621" t="s">
        <v>227</v>
      </c>
      <c r="AE621" t="s">
        <v>226</v>
      </c>
      <c r="AG621" t="s">
        <v>121</v>
      </c>
      <c r="AH621" t="s">
        <v>327</v>
      </c>
      <c r="AI621" t="s">
        <v>121</v>
      </c>
      <c r="AJ621" t="s">
        <v>715</v>
      </c>
      <c r="AK621" t="s">
        <v>121</v>
      </c>
    </row>
    <row r="622" spans="9:37" x14ac:dyDescent="0.3">
      <c r="I622">
        <f ca="1">IF(OR(INDIRECT(A73&amp;ROW())=B93,INDIRECT(A73&amp;ROW())=B94),1,IF(AND(INDIRECT(A73&amp;ROW())=B95,INDIRECT(A96&amp;ROW())=C93),1,IF(AND(INDIRECT(A73&amp;ROW())=B95,INDIRECT(A96&amp;ROW())=C94),1,0)))</f>
        <v>0</v>
      </c>
      <c r="J622">
        <f ca="1">IF(AND(INDIRECT(A73&amp;ROW())=B95,INDIRECT(A96&amp;ROW())=C95),1,IF(AND(INDIRECT(A73&amp;ROW())=B95,INDIRECT(A96&amp;ROW())=C96),1,0))</f>
        <v>0</v>
      </c>
      <c r="K622">
        <f ca="1">DAYS360(INDIRECT(C68&amp;ROW()),TODAY())</f>
        <v>693</v>
      </c>
      <c r="L622">
        <f ca="1">DAYS360(INDIRECT(C69&amp;ROW()),TODAY())</f>
        <v>696</v>
      </c>
      <c r="M622">
        <f ca="1">HYPERLINK(CONCATENATE("https://bugzilla.houston.hp.com:1181/bugzilla/show_bug.cgi?id=",INDIRECT(C70&amp;ROW())),INDIRECT(C70&amp;ROW()))</f>
        <v>62959</v>
      </c>
      <c r="N622">
        <v>62959</v>
      </c>
      <c r="O622" t="s">
        <v>21</v>
      </c>
      <c r="P622" t="s">
        <v>1114</v>
      </c>
      <c r="Q622" t="s">
        <v>16</v>
      </c>
      <c r="R622" t="s">
        <v>251</v>
      </c>
      <c r="S622" t="s">
        <v>24</v>
      </c>
      <c r="U622" s="6">
        <v>42153.555069444446</v>
      </c>
      <c r="V622" t="s">
        <v>18</v>
      </c>
      <c r="W622" t="s">
        <v>783</v>
      </c>
      <c r="X622" s="6">
        <v>42150.384166666663</v>
      </c>
      <c r="Y622" t="s">
        <v>119</v>
      </c>
      <c r="AB622" t="s">
        <v>200</v>
      </c>
      <c r="AC622" t="s">
        <v>247</v>
      </c>
      <c r="AD622" t="s">
        <v>222</v>
      </c>
      <c r="AE622" t="s">
        <v>221</v>
      </c>
      <c r="AG622" t="s">
        <v>121</v>
      </c>
      <c r="AH622" t="s">
        <v>327</v>
      </c>
      <c r="AI622" t="s">
        <v>121</v>
      </c>
      <c r="AJ622" t="s">
        <v>716</v>
      </c>
      <c r="AK622" t="s">
        <v>121</v>
      </c>
    </row>
    <row r="623" spans="9:37" x14ac:dyDescent="0.3">
      <c r="I623">
        <f ca="1">IF(OR(INDIRECT(A73&amp;ROW())=B93,INDIRECT(A73&amp;ROW())=B94),1,IF(AND(INDIRECT(A73&amp;ROW())=B95,INDIRECT(A96&amp;ROW())=C93),1,IF(AND(INDIRECT(A73&amp;ROW())=B95,INDIRECT(A96&amp;ROW())=C94),1,0)))</f>
        <v>1</v>
      </c>
      <c r="J623">
        <f ca="1">IF(AND(INDIRECT(A73&amp;ROW())=B95,INDIRECT(A96&amp;ROW())=C95),1,IF(AND(INDIRECT(A73&amp;ROW())=B95,INDIRECT(A96&amp;ROW())=C96),1,0))</f>
        <v>0</v>
      </c>
      <c r="K623">
        <f ca="1">DAYS360(INDIRECT(C68&amp;ROW()),TODAY())</f>
        <v>696</v>
      </c>
      <c r="L623">
        <f ca="1">DAYS360(INDIRECT(C69&amp;ROW()),TODAY())</f>
        <v>696</v>
      </c>
      <c r="M623">
        <f ca="1">HYPERLINK(CONCATENATE("https://bugzilla.houston.hp.com:1181/bugzilla/show_bug.cgi?id=",INDIRECT(C70&amp;ROW())),INDIRECT(C70&amp;ROW()))</f>
        <v>62972</v>
      </c>
      <c r="N623">
        <v>62972</v>
      </c>
      <c r="O623" t="s">
        <v>45</v>
      </c>
      <c r="P623" t="s">
        <v>1113</v>
      </c>
      <c r="Q623" t="s">
        <v>25</v>
      </c>
      <c r="R623" t="s">
        <v>248</v>
      </c>
      <c r="S623" t="s">
        <v>552</v>
      </c>
      <c r="U623" s="6">
        <v>42150.455312500002</v>
      </c>
      <c r="V623" t="s">
        <v>18</v>
      </c>
      <c r="W623" t="s">
        <v>248</v>
      </c>
      <c r="X623" s="6">
        <v>42150.455312500002</v>
      </c>
      <c r="Y623" t="s">
        <v>793</v>
      </c>
      <c r="AB623" t="s">
        <v>199</v>
      </c>
      <c r="AC623" t="s">
        <v>247</v>
      </c>
      <c r="AD623" t="s">
        <v>220</v>
      </c>
      <c r="AE623" t="s">
        <v>219</v>
      </c>
      <c r="AG623" t="s">
        <v>121</v>
      </c>
      <c r="AH623" t="s">
        <v>328</v>
      </c>
      <c r="AI623" t="s">
        <v>121</v>
      </c>
      <c r="AJ623" t="s">
        <v>715</v>
      </c>
      <c r="AK623" t="s">
        <v>121</v>
      </c>
    </row>
    <row r="624" spans="9:37" x14ac:dyDescent="0.3">
      <c r="I624">
        <f ca="1">IF(OR(INDIRECT(A73&amp;ROW())=B93,INDIRECT(A73&amp;ROW())=B94),1,IF(AND(INDIRECT(A73&amp;ROW())=B95,INDIRECT(A96&amp;ROW())=C93),1,IF(AND(INDIRECT(A73&amp;ROW())=B95,INDIRECT(A96&amp;ROW())=C94),1,0)))</f>
        <v>1</v>
      </c>
      <c r="J624">
        <f ca="1">IF(AND(INDIRECT(A73&amp;ROW())=B95,INDIRECT(A96&amp;ROW())=C95),1,IF(AND(INDIRECT(A73&amp;ROW())=B95,INDIRECT(A96&amp;ROW())=C96),1,0))</f>
        <v>0</v>
      </c>
      <c r="K624">
        <f ca="1">DAYS360(INDIRECT(C68&amp;ROW()),TODAY())</f>
        <v>694</v>
      </c>
      <c r="L624">
        <f ca="1">DAYS360(INDIRECT(C69&amp;ROW()),TODAY())</f>
        <v>696</v>
      </c>
      <c r="M624">
        <f ca="1">HYPERLINK(CONCATENATE("https://bugzilla.houston.hp.com:1181/bugzilla/show_bug.cgi?id=",INDIRECT(C70&amp;ROW())),INDIRECT(C70&amp;ROW()))</f>
        <v>62973</v>
      </c>
      <c r="N624">
        <v>62973</v>
      </c>
      <c r="O624" t="s">
        <v>94</v>
      </c>
      <c r="P624" t="s">
        <v>1112</v>
      </c>
      <c r="Q624" t="s">
        <v>25</v>
      </c>
      <c r="R624" t="s">
        <v>783</v>
      </c>
      <c r="S624" t="s">
        <v>552</v>
      </c>
      <c r="U624" s="6">
        <v>42152.667141203703</v>
      </c>
      <c r="V624" t="s">
        <v>18</v>
      </c>
      <c r="W624" t="s">
        <v>783</v>
      </c>
      <c r="X624" s="6">
        <v>42150.456238425926</v>
      </c>
      <c r="Y624" t="s">
        <v>119</v>
      </c>
      <c r="AB624" t="s">
        <v>200</v>
      </c>
      <c r="AC624" t="s">
        <v>247</v>
      </c>
      <c r="AD624" t="s">
        <v>227</v>
      </c>
      <c r="AE624" t="s">
        <v>226</v>
      </c>
      <c r="AG624" t="s">
        <v>121</v>
      </c>
      <c r="AH624" t="s">
        <v>327</v>
      </c>
      <c r="AI624" t="s">
        <v>121</v>
      </c>
      <c r="AJ624" t="s">
        <v>715</v>
      </c>
      <c r="AK624" t="s">
        <v>121</v>
      </c>
    </row>
    <row r="625" spans="9:37" x14ac:dyDescent="0.3">
      <c r="I625">
        <f ca="1">IF(OR(INDIRECT(A73&amp;ROW())=B93,INDIRECT(A73&amp;ROW())=B94),1,IF(AND(INDIRECT(A73&amp;ROW())=B95,INDIRECT(A96&amp;ROW())=C93),1,IF(AND(INDIRECT(A73&amp;ROW())=B95,INDIRECT(A96&amp;ROW())=C94),1,0)))</f>
        <v>1</v>
      </c>
      <c r="J625">
        <f ca="1">IF(AND(INDIRECT(A73&amp;ROW())=B95,INDIRECT(A96&amp;ROW())=C95),1,IF(AND(INDIRECT(A73&amp;ROW())=B95,INDIRECT(A96&amp;ROW())=C96),1,0))</f>
        <v>0</v>
      </c>
      <c r="K625">
        <f ca="1">DAYS360(INDIRECT(C68&amp;ROW()),TODAY())</f>
        <v>694</v>
      </c>
      <c r="L625">
        <f ca="1">DAYS360(INDIRECT(C69&amp;ROW()),TODAY())</f>
        <v>696</v>
      </c>
      <c r="M625">
        <f ca="1">HYPERLINK(CONCATENATE("https://bugzilla.houston.hp.com:1181/bugzilla/show_bug.cgi?id=",INDIRECT(C70&amp;ROW())),INDIRECT(C70&amp;ROW()))</f>
        <v>62974</v>
      </c>
      <c r="N625">
        <v>62974</v>
      </c>
      <c r="O625" t="s">
        <v>94</v>
      </c>
      <c r="P625" t="s">
        <v>1111</v>
      </c>
      <c r="Q625" t="s">
        <v>25</v>
      </c>
      <c r="R625" t="s">
        <v>248</v>
      </c>
      <c r="S625" t="s">
        <v>552</v>
      </c>
      <c r="U625" s="6">
        <v>42152.66778935185</v>
      </c>
      <c r="V625" t="s">
        <v>18</v>
      </c>
      <c r="W625" t="s">
        <v>783</v>
      </c>
      <c r="X625" s="6">
        <v>42150.456342592595</v>
      </c>
      <c r="Y625" t="s">
        <v>119</v>
      </c>
      <c r="AB625" t="s">
        <v>200</v>
      </c>
      <c r="AC625" t="s">
        <v>247</v>
      </c>
      <c r="AD625" t="s">
        <v>227</v>
      </c>
      <c r="AE625" t="s">
        <v>226</v>
      </c>
      <c r="AG625" t="s">
        <v>121</v>
      </c>
      <c r="AH625" t="s">
        <v>327</v>
      </c>
      <c r="AI625" t="s">
        <v>121</v>
      </c>
      <c r="AJ625" t="s">
        <v>715</v>
      </c>
      <c r="AK625" t="s">
        <v>121</v>
      </c>
    </row>
    <row r="626" spans="9:37" x14ac:dyDescent="0.3">
      <c r="I626">
        <f ca="1">IF(OR(INDIRECT(A73&amp;ROW())=B93,INDIRECT(A73&amp;ROW())=B94),1,IF(AND(INDIRECT(A73&amp;ROW())=B95,INDIRECT(A96&amp;ROW())=C93),1,IF(AND(INDIRECT(A73&amp;ROW())=B95,INDIRECT(A96&amp;ROW())=C94),1,0)))</f>
        <v>0</v>
      </c>
      <c r="J626">
        <f ca="1">IF(AND(INDIRECT(A73&amp;ROW())=B95,INDIRECT(A96&amp;ROW())=C95),1,IF(AND(INDIRECT(A73&amp;ROW())=B95,INDIRECT(A96&amp;ROW())=C96),1,0))</f>
        <v>0</v>
      </c>
      <c r="K626">
        <f ca="1">DAYS360(INDIRECT(C68&amp;ROW()),TODAY())</f>
        <v>696</v>
      </c>
      <c r="L626">
        <f ca="1">DAYS360(INDIRECT(C69&amp;ROW()),TODAY())</f>
        <v>696</v>
      </c>
      <c r="M626">
        <f ca="1">HYPERLINK(CONCATENATE("https://bugzilla.houston.hp.com:1181/bugzilla/show_bug.cgi?id=",INDIRECT(C70&amp;ROW())),INDIRECT(C70&amp;ROW()))</f>
        <v>62976</v>
      </c>
      <c r="N626">
        <v>62976</v>
      </c>
      <c r="O626" t="s">
        <v>21</v>
      </c>
      <c r="P626" t="s">
        <v>1110</v>
      </c>
      <c r="Q626" t="s">
        <v>16</v>
      </c>
      <c r="R626" t="s">
        <v>783</v>
      </c>
      <c r="S626" t="s">
        <v>552</v>
      </c>
      <c r="U626" s="6">
        <v>42150.457615740743</v>
      </c>
      <c r="V626" t="s">
        <v>18</v>
      </c>
      <c r="W626" t="s">
        <v>783</v>
      </c>
      <c r="X626" s="6">
        <v>42150.457615740743</v>
      </c>
      <c r="Y626" t="s">
        <v>119</v>
      </c>
      <c r="AB626" t="s">
        <v>200</v>
      </c>
      <c r="AC626" t="s">
        <v>247</v>
      </c>
      <c r="AD626" t="s">
        <v>222</v>
      </c>
      <c r="AE626" t="s">
        <v>221</v>
      </c>
      <c r="AG626" t="s">
        <v>121</v>
      </c>
      <c r="AH626" t="s">
        <v>327</v>
      </c>
      <c r="AI626" t="s">
        <v>121</v>
      </c>
      <c r="AJ626" t="s">
        <v>716</v>
      </c>
      <c r="AK626" t="s">
        <v>121</v>
      </c>
    </row>
    <row r="627" spans="9:37" x14ac:dyDescent="0.3">
      <c r="I627">
        <f ca="1">IF(OR(INDIRECT(A73&amp;ROW())=B93,INDIRECT(A73&amp;ROW())=B94),1,IF(AND(INDIRECT(A73&amp;ROW())=B95,INDIRECT(A96&amp;ROW())=C93),1,IF(AND(INDIRECT(A73&amp;ROW())=B95,INDIRECT(A96&amp;ROW())=C94),1,0)))</f>
        <v>0</v>
      </c>
      <c r="J627">
        <f ca="1">IF(AND(INDIRECT(A73&amp;ROW())=B95,INDIRECT(A96&amp;ROW())=C95),1,IF(AND(INDIRECT(A73&amp;ROW())=B95,INDIRECT(A96&amp;ROW())=C96),1,0))</f>
        <v>0</v>
      </c>
      <c r="K627">
        <f ca="1">DAYS360(INDIRECT(C68&amp;ROW()),TODAY())</f>
        <v>696</v>
      </c>
      <c r="L627">
        <f ca="1">DAYS360(INDIRECT(C69&amp;ROW()),TODAY())</f>
        <v>696</v>
      </c>
      <c r="M627">
        <f ca="1">HYPERLINK(CONCATENATE("https://bugzilla.houston.hp.com:1181/bugzilla/show_bug.cgi?id=",INDIRECT(C70&amp;ROW())),INDIRECT(C70&amp;ROW()))</f>
        <v>62977</v>
      </c>
      <c r="N627">
        <v>62977</v>
      </c>
      <c r="O627" t="s">
        <v>21</v>
      </c>
      <c r="P627" t="s">
        <v>1109</v>
      </c>
      <c r="Q627" t="s">
        <v>16</v>
      </c>
      <c r="R627" t="s">
        <v>248</v>
      </c>
      <c r="S627" t="s">
        <v>552</v>
      </c>
      <c r="U627" s="6">
        <v>42150.457673611112</v>
      </c>
      <c r="V627" t="s">
        <v>18</v>
      </c>
      <c r="W627" t="s">
        <v>783</v>
      </c>
      <c r="X627" s="6">
        <v>42150.457673611112</v>
      </c>
      <c r="Y627" t="s">
        <v>119</v>
      </c>
      <c r="AB627" t="s">
        <v>200</v>
      </c>
      <c r="AC627" t="s">
        <v>247</v>
      </c>
      <c r="AD627" t="s">
        <v>222</v>
      </c>
      <c r="AE627" t="s">
        <v>221</v>
      </c>
      <c r="AG627" t="s">
        <v>121</v>
      </c>
      <c r="AH627" t="s">
        <v>327</v>
      </c>
      <c r="AI627" t="s">
        <v>121</v>
      </c>
      <c r="AJ627" t="s">
        <v>716</v>
      </c>
      <c r="AK627" t="s">
        <v>121</v>
      </c>
    </row>
    <row r="628" spans="9:37" x14ac:dyDescent="0.3">
      <c r="I628">
        <f ca="1">IF(OR(INDIRECT(A73&amp;ROW())=B93,INDIRECT(A73&amp;ROW())=B94),1,IF(AND(INDIRECT(A73&amp;ROW())=B95,INDIRECT(A96&amp;ROW())=C93),1,IF(AND(INDIRECT(A73&amp;ROW())=B95,INDIRECT(A96&amp;ROW())=C94),1,0)))</f>
        <v>1</v>
      </c>
      <c r="J628">
        <f ca="1">IF(AND(INDIRECT(A73&amp;ROW())=B95,INDIRECT(A96&amp;ROW())=C95),1,IF(AND(INDIRECT(A73&amp;ROW())=B95,INDIRECT(A96&amp;ROW())=C96),1,0))</f>
        <v>0</v>
      </c>
      <c r="K628">
        <f ca="1">DAYS360(INDIRECT(C68&amp;ROW()),TODAY())</f>
        <v>691</v>
      </c>
      <c r="L628">
        <f ca="1">DAYS360(INDIRECT(C69&amp;ROW()),TODAY())</f>
        <v>696</v>
      </c>
      <c r="M628">
        <f ca="1">HYPERLINK(CONCATENATE("https://bugzilla.houston.hp.com:1181/bugzilla/show_bug.cgi?id=",INDIRECT(C70&amp;ROW())),INDIRECT(C70&amp;ROW()))</f>
        <v>62999</v>
      </c>
      <c r="N628">
        <v>62999</v>
      </c>
      <c r="O628" t="s">
        <v>66</v>
      </c>
      <c r="P628" t="s">
        <v>1108</v>
      </c>
      <c r="Q628" t="s">
        <v>39</v>
      </c>
      <c r="R628" t="s">
        <v>251</v>
      </c>
      <c r="S628" t="s">
        <v>587</v>
      </c>
      <c r="U628" s="6">
        <v>42156.238437499997</v>
      </c>
      <c r="V628" t="s">
        <v>18</v>
      </c>
      <c r="W628" t="s">
        <v>783</v>
      </c>
      <c r="X628" s="6">
        <v>42150.971064814818</v>
      </c>
      <c r="Y628" t="s">
        <v>119</v>
      </c>
      <c r="AB628" t="s">
        <v>199</v>
      </c>
      <c r="AC628" t="s">
        <v>247</v>
      </c>
      <c r="AD628" t="s">
        <v>220</v>
      </c>
      <c r="AE628" t="s">
        <v>219</v>
      </c>
      <c r="AG628" t="s">
        <v>121</v>
      </c>
      <c r="AH628" t="s">
        <v>327</v>
      </c>
      <c r="AI628" t="s">
        <v>121</v>
      </c>
      <c r="AJ628" t="s">
        <v>715</v>
      </c>
      <c r="AK628" t="s">
        <v>121</v>
      </c>
    </row>
    <row r="629" spans="9:37" x14ac:dyDescent="0.3">
      <c r="I629">
        <f ca="1">IF(OR(INDIRECT(A73&amp;ROW())=B93,INDIRECT(A73&amp;ROW())=B94),1,IF(AND(INDIRECT(A73&amp;ROW())=B95,INDIRECT(A96&amp;ROW())=C93),1,IF(AND(INDIRECT(A73&amp;ROW())=B95,INDIRECT(A96&amp;ROW())=C94),1,0)))</f>
        <v>1</v>
      </c>
      <c r="J629">
        <f ca="1">IF(AND(INDIRECT(A73&amp;ROW())=B95,INDIRECT(A96&amp;ROW())=C95),1,IF(AND(INDIRECT(A73&amp;ROW())=B95,INDIRECT(A96&amp;ROW())=C96),1,0))</f>
        <v>0</v>
      </c>
      <c r="K629">
        <f ca="1">DAYS360(INDIRECT(C68&amp;ROW()),TODAY())</f>
        <v>691</v>
      </c>
      <c r="L629">
        <f ca="1">DAYS360(INDIRECT(C69&amp;ROW()),TODAY())</f>
        <v>695</v>
      </c>
      <c r="M629">
        <f ca="1">HYPERLINK(CONCATENATE("https://bugzilla.houston.hp.com:1181/bugzilla/show_bug.cgi?id=",INDIRECT(C70&amp;ROW())),INDIRECT(C70&amp;ROW()))</f>
        <v>63011</v>
      </c>
      <c r="N629">
        <v>63011</v>
      </c>
      <c r="O629" t="s">
        <v>66</v>
      </c>
      <c r="P629" t="s">
        <v>1107</v>
      </c>
      <c r="Q629" t="s">
        <v>39</v>
      </c>
      <c r="R629" t="s">
        <v>579</v>
      </c>
      <c r="S629" t="s">
        <v>552</v>
      </c>
      <c r="U629" s="6">
        <v>42156.076863425929</v>
      </c>
      <c r="V629" t="s">
        <v>18</v>
      </c>
      <c r="W629" t="s">
        <v>783</v>
      </c>
      <c r="X629" s="6">
        <v>42151.016956018517</v>
      </c>
      <c r="Y629" t="s">
        <v>119</v>
      </c>
      <c r="AB629" t="s">
        <v>199</v>
      </c>
      <c r="AC629" t="s">
        <v>247</v>
      </c>
      <c r="AD629" t="s">
        <v>220</v>
      </c>
      <c r="AE629" t="s">
        <v>219</v>
      </c>
      <c r="AG629" t="s">
        <v>121</v>
      </c>
      <c r="AH629" t="s">
        <v>327</v>
      </c>
      <c r="AI629" t="s">
        <v>121</v>
      </c>
      <c r="AJ629" t="s">
        <v>715</v>
      </c>
      <c r="AK629" t="s">
        <v>121</v>
      </c>
    </row>
    <row r="630" spans="9:37" x14ac:dyDescent="0.3">
      <c r="I630">
        <f ca="1">IF(OR(INDIRECT(A73&amp;ROW())=B93,INDIRECT(A73&amp;ROW())=B94),1,IF(AND(INDIRECT(A73&amp;ROW())=B95,INDIRECT(A96&amp;ROW())=C93),1,IF(AND(INDIRECT(A73&amp;ROW())=B95,INDIRECT(A96&amp;ROW())=C94),1,0)))</f>
        <v>1</v>
      </c>
      <c r="J630">
        <f ca="1">IF(AND(INDIRECT(A73&amp;ROW())=B95,INDIRECT(A96&amp;ROW())=C95),1,IF(AND(INDIRECT(A73&amp;ROW())=B95,INDIRECT(A96&amp;ROW())=C96),1,0))</f>
        <v>0</v>
      </c>
      <c r="K630">
        <f ca="1">DAYS360(INDIRECT(C68&amp;ROW()),TODAY())</f>
        <v>693</v>
      </c>
      <c r="L630">
        <f ca="1">DAYS360(INDIRECT(C69&amp;ROW()),TODAY())</f>
        <v>695</v>
      </c>
      <c r="M630">
        <f ca="1">HYPERLINK(CONCATENATE("https://bugzilla.houston.hp.com:1181/bugzilla/show_bug.cgi?id=",INDIRECT(C70&amp;ROW())),INDIRECT(C70&amp;ROW()))</f>
        <v>63012</v>
      </c>
      <c r="N630">
        <v>63012</v>
      </c>
      <c r="O630" t="s">
        <v>66</v>
      </c>
      <c r="P630" t="s">
        <v>1106</v>
      </c>
      <c r="Q630" t="s">
        <v>39</v>
      </c>
      <c r="R630" t="s">
        <v>783</v>
      </c>
      <c r="S630" t="s">
        <v>552</v>
      </c>
      <c r="U630" s="6">
        <v>42153.4065162037</v>
      </c>
      <c r="V630" t="s">
        <v>18</v>
      </c>
      <c r="W630" t="s">
        <v>783</v>
      </c>
      <c r="X630" s="6">
        <v>42151.01703703704</v>
      </c>
      <c r="Y630" t="s">
        <v>119</v>
      </c>
      <c r="AB630" t="s">
        <v>199</v>
      </c>
      <c r="AC630" t="s">
        <v>247</v>
      </c>
      <c r="AD630" t="s">
        <v>220</v>
      </c>
      <c r="AE630" t="s">
        <v>219</v>
      </c>
      <c r="AG630" t="s">
        <v>121</v>
      </c>
      <c r="AH630" t="s">
        <v>327</v>
      </c>
      <c r="AI630" t="s">
        <v>121</v>
      </c>
      <c r="AJ630" t="s">
        <v>715</v>
      </c>
      <c r="AK630" t="s">
        <v>121</v>
      </c>
    </row>
    <row r="631" spans="9:37" x14ac:dyDescent="0.3">
      <c r="I631">
        <f ca="1">IF(OR(INDIRECT(A73&amp;ROW())=B93,INDIRECT(A73&amp;ROW())=B94),1,IF(AND(INDIRECT(A73&amp;ROW())=B95,INDIRECT(A96&amp;ROW())=C93),1,IF(AND(INDIRECT(A73&amp;ROW())=B95,INDIRECT(A96&amp;ROW())=C94),1,0)))</f>
        <v>1</v>
      </c>
      <c r="J631">
        <f ca="1">IF(AND(INDIRECT(A73&amp;ROW())=B95,INDIRECT(A96&amp;ROW())=C95),1,IF(AND(INDIRECT(A73&amp;ROW())=B95,INDIRECT(A96&amp;ROW())=C96),1,0))</f>
        <v>0</v>
      </c>
      <c r="K631">
        <f ca="1">DAYS360(INDIRECT(C68&amp;ROW()),TODAY())</f>
        <v>695</v>
      </c>
      <c r="L631">
        <f ca="1">DAYS360(INDIRECT(C69&amp;ROW()),TODAY())</f>
        <v>695</v>
      </c>
      <c r="M631">
        <f ca="1">HYPERLINK(CONCATENATE("https://bugzilla.houston.hp.com:1181/bugzilla/show_bug.cgi?id=",INDIRECT(C70&amp;ROW())),INDIRECT(C70&amp;ROW()))</f>
        <v>63013</v>
      </c>
      <c r="N631">
        <v>63013</v>
      </c>
      <c r="O631" t="s">
        <v>56</v>
      </c>
      <c r="P631" t="s">
        <v>1105</v>
      </c>
      <c r="Q631" t="s">
        <v>39</v>
      </c>
      <c r="R631" t="s">
        <v>248</v>
      </c>
      <c r="S631" t="s">
        <v>552</v>
      </c>
      <c r="U631" s="6">
        <v>42151.356874999998</v>
      </c>
      <c r="V631" t="s">
        <v>18</v>
      </c>
      <c r="W631" t="s">
        <v>783</v>
      </c>
      <c r="X631" s="6">
        <v>42151.017129629632</v>
      </c>
      <c r="Y631" t="s">
        <v>119</v>
      </c>
      <c r="AB631" t="s">
        <v>199</v>
      </c>
      <c r="AC631" t="s">
        <v>247</v>
      </c>
      <c r="AD631" t="s">
        <v>220</v>
      </c>
      <c r="AE631" t="s">
        <v>219</v>
      </c>
      <c r="AG631" t="s">
        <v>121</v>
      </c>
      <c r="AH631" t="s">
        <v>327</v>
      </c>
      <c r="AI631" t="s">
        <v>121</v>
      </c>
      <c r="AJ631" t="s">
        <v>715</v>
      </c>
      <c r="AK631" t="s">
        <v>121</v>
      </c>
    </row>
    <row r="632" spans="9:37" x14ac:dyDescent="0.3">
      <c r="I632">
        <f ca="1">IF(OR(INDIRECT(A73&amp;ROW())=B93,INDIRECT(A73&amp;ROW())=B94),1,IF(AND(INDIRECT(A73&amp;ROW())=B95,INDIRECT(A96&amp;ROW())=C93),1,IF(AND(INDIRECT(A73&amp;ROW())=B95,INDIRECT(A96&amp;ROW())=C94),1,0)))</f>
        <v>1</v>
      </c>
      <c r="J632">
        <f ca="1">IF(AND(INDIRECT(A73&amp;ROW())=B95,INDIRECT(A96&amp;ROW())=C95),1,IF(AND(INDIRECT(A73&amp;ROW())=B95,INDIRECT(A96&amp;ROW())=C96),1,0))</f>
        <v>0</v>
      </c>
      <c r="K632">
        <f ca="1">DAYS360(INDIRECT(C68&amp;ROW()),TODAY())</f>
        <v>694</v>
      </c>
      <c r="L632">
        <f ca="1">DAYS360(INDIRECT(C69&amp;ROW()),TODAY())</f>
        <v>694</v>
      </c>
      <c r="M632">
        <f ca="1">HYPERLINK(CONCATENATE("https://bugzilla.houston.hp.com:1181/bugzilla/show_bug.cgi?id=",INDIRECT(C70&amp;ROW())),INDIRECT(C70&amp;ROW()))</f>
        <v>63097</v>
      </c>
      <c r="N632">
        <v>63097</v>
      </c>
      <c r="O632" t="s">
        <v>21</v>
      </c>
      <c r="P632" t="s">
        <v>1127</v>
      </c>
      <c r="Q632" t="s">
        <v>25</v>
      </c>
      <c r="R632" t="s">
        <v>783</v>
      </c>
      <c r="S632" t="s">
        <v>552</v>
      </c>
      <c r="U632" s="6">
        <v>42152.296724537038</v>
      </c>
      <c r="V632" t="s">
        <v>18</v>
      </c>
      <c r="W632" t="s">
        <v>783</v>
      </c>
      <c r="X632" s="6">
        <v>42152.296724537038</v>
      </c>
      <c r="Y632" t="s">
        <v>119</v>
      </c>
      <c r="AB632" t="s">
        <v>200</v>
      </c>
      <c r="AC632" t="s">
        <v>247</v>
      </c>
      <c r="AD632" t="s">
        <v>222</v>
      </c>
      <c r="AE632" t="s">
        <v>225</v>
      </c>
      <c r="AG632" t="s">
        <v>121</v>
      </c>
      <c r="AH632" t="s">
        <v>327</v>
      </c>
      <c r="AI632" t="s">
        <v>121</v>
      </c>
      <c r="AJ632" t="s">
        <v>715</v>
      </c>
      <c r="AK632" t="s">
        <v>121</v>
      </c>
    </row>
    <row r="633" spans="9:37" x14ac:dyDescent="0.3">
      <c r="I633">
        <f ca="1">IF(OR(INDIRECT(A73&amp;ROW())=B93,INDIRECT(A73&amp;ROW())=B94),1,IF(AND(INDIRECT(A73&amp;ROW())=B95,INDIRECT(A96&amp;ROW())=C93),1,IF(AND(INDIRECT(A73&amp;ROW())=B95,INDIRECT(A96&amp;ROW())=C94),1,0)))</f>
        <v>1</v>
      </c>
      <c r="J633">
        <f ca="1">IF(AND(INDIRECT(A73&amp;ROW())=B95,INDIRECT(A96&amp;ROW())=C95),1,IF(AND(INDIRECT(A73&amp;ROW())=B95,INDIRECT(A96&amp;ROW())=C96),1,0))</f>
        <v>0</v>
      </c>
      <c r="K633">
        <f ca="1">DAYS360(INDIRECT(C68&amp;ROW()),TODAY())</f>
        <v>694</v>
      </c>
      <c r="L633">
        <f ca="1">DAYS360(INDIRECT(C69&amp;ROW()),TODAY())</f>
        <v>694</v>
      </c>
      <c r="M633">
        <f ca="1">HYPERLINK(CONCATENATE("https://bugzilla.houston.hp.com:1181/bugzilla/show_bug.cgi?id=",INDIRECT(C70&amp;ROW())),INDIRECT(C70&amp;ROW()))</f>
        <v>63098</v>
      </c>
      <c r="N633">
        <v>63098</v>
      </c>
      <c r="O633" t="s">
        <v>21</v>
      </c>
      <c r="P633" t="s">
        <v>1126</v>
      </c>
      <c r="Q633" t="s">
        <v>25</v>
      </c>
      <c r="R633" t="s">
        <v>248</v>
      </c>
      <c r="S633" t="s">
        <v>552</v>
      </c>
      <c r="U633" s="6">
        <v>42152.296817129631</v>
      </c>
      <c r="V633" t="s">
        <v>18</v>
      </c>
      <c r="W633" t="s">
        <v>783</v>
      </c>
      <c r="X633" s="6">
        <v>42152.296817129631</v>
      </c>
      <c r="Y633" t="s">
        <v>119</v>
      </c>
      <c r="AB633" t="s">
        <v>200</v>
      </c>
      <c r="AC633" t="s">
        <v>247</v>
      </c>
      <c r="AD633" t="s">
        <v>222</v>
      </c>
      <c r="AE633" t="s">
        <v>225</v>
      </c>
      <c r="AG633" t="s">
        <v>121</v>
      </c>
      <c r="AH633" t="s">
        <v>327</v>
      </c>
      <c r="AI633" t="s">
        <v>121</v>
      </c>
      <c r="AJ633" t="s">
        <v>715</v>
      </c>
      <c r="AK633" t="s">
        <v>121</v>
      </c>
    </row>
    <row r="634" spans="9:37" x14ac:dyDescent="0.3">
      <c r="I634">
        <f ca="1">IF(OR(INDIRECT(A73&amp;ROW())=B93,INDIRECT(A73&amp;ROW())=B94),1,IF(AND(INDIRECT(A73&amp;ROW())=B95,INDIRECT(A96&amp;ROW())=C93),1,IF(AND(INDIRECT(A73&amp;ROW())=B95,INDIRECT(A96&amp;ROW())=C94),1,0)))</f>
        <v>1</v>
      </c>
      <c r="J634">
        <f ca="1">IF(AND(INDIRECT(A73&amp;ROW())=B95,INDIRECT(A96&amp;ROW())=C95),1,IF(AND(INDIRECT(A73&amp;ROW())=B95,INDIRECT(A96&amp;ROW())=C96),1,0))</f>
        <v>0</v>
      </c>
      <c r="K634">
        <f ca="1">DAYS360(INDIRECT(C68&amp;ROW()),TODAY())</f>
        <v>694</v>
      </c>
      <c r="L634">
        <f ca="1">DAYS360(INDIRECT(C69&amp;ROW()),TODAY())</f>
        <v>694</v>
      </c>
      <c r="M634">
        <f ca="1">HYPERLINK(CONCATENATE("https://bugzilla.houston.hp.com:1181/bugzilla/show_bug.cgi?id=",INDIRECT(C70&amp;ROW())),INDIRECT(C70&amp;ROW()))</f>
        <v>63100</v>
      </c>
      <c r="N634">
        <v>63100</v>
      </c>
      <c r="O634" t="s">
        <v>22</v>
      </c>
      <c r="P634" t="s">
        <v>1125</v>
      </c>
      <c r="Q634" t="s">
        <v>39</v>
      </c>
      <c r="R634" t="s">
        <v>248</v>
      </c>
      <c r="S634" t="s">
        <v>552</v>
      </c>
      <c r="U634" s="6">
        <v>42152.329837962963</v>
      </c>
      <c r="V634" t="s">
        <v>18</v>
      </c>
      <c r="W634" t="s">
        <v>248</v>
      </c>
      <c r="X634" s="6">
        <v>42152.329837962963</v>
      </c>
      <c r="Y634" t="s">
        <v>793</v>
      </c>
      <c r="AB634" t="s">
        <v>199</v>
      </c>
      <c r="AC634" t="s">
        <v>1124</v>
      </c>
      <c r="AD634" t="s">
        <v>222</v>
      </c>
      <c r="AE634" t="s">
        <v>221</v>
      </c>
      <c r="AG634" t="s">
        <v>121</v>
      </c>
      <c r="AH634" t="s">
        <v>327</v>
      </c>
      <c r="AI634" t="s">
        <v>121</v>
      </c>
      <c r="AJ634" t="s">
        <v>715</v>
      </c>
      <c r="AK634" t="s">
        <v>121</v>
      </c>
    </row>
    <row r="635" spans="9:37" x14ac:dyDescent="0.3">
      <c r="I635">
        <f ca="1">IF(OR(INDIRECT(A73&amp;ROW())=B93,INDIRECT(A73&amp;ROW())=B94),1,IF(AND(INDIRECT(A73&amp;ROW())=B95,INDIRECT(A96&amp;ROW())=C93),1,IF(AND(INDIRECT(A73&amp;ROW())=B95,INDIRECT(A96&amp;ROW())=C94),1,0)))</f>
        <v>0</v>
      </c>
      <c r="J635">
        <f ca="1">IF(AND(INDIRECT(A73&amp;ROW())=B95,INDIRECT(A96&amp;ROW())=C95),1,IF(AND(INDIRECT(A73&amp;ROW())=B95,INDIRECT(A96&amp;ROW())=C96),1,0))</f>
        <v>0</v>
      </c>
      <c r="K635">
        <f ca="1">DAYS360(INDIRECT(C68&amp;ROW()),TODAY())</f>
        <v>694</v>
      </c>
      <c r="L635">
        <f ca="1">DAYS360(INDIRECT(C69&amp;ROW()),TODAY())</f>
        <v>694</v>
      </c>
      <c r="M635">
        <f ca="1">HYPERLINK(CONCATENATE("https://bugzilla.houston.hp.com:1181/bugzilla/show_bug.cgi?id=",INDIRECT(C70&amp;ROW())),INDIRECT(C70&amp;ROW()))</f>
        <v>63108</v>
      </c>
      <c r="N635">
        <v>63108</v>
      </c>
      <c r="O635" t="s">
        <v>56</v>
      </c>
      <c r="P635" t="s">
        <v>1131</v>
      </c>
      <c r="Q635" t="s">
        <v>16</v>
      </c>
      <c r="R635" t="s">
        <v>248</v>
      </c>
      <c r="S635" t="s">
        <v>204</v>
      </c>
      <c r="U635" s="6">
        <v>42152.501250000001</v>
      </c>
      <c r="V635" t="s">
        <v>18</v>
      </c>
      <c r="W635" t="s">
        <v>248</v>
      </c>
      <c r="X635" s="6">
        <v>42152.411643518521</v>
      </c>
      <c r="Y635" t="s">
        <v>788</v>
      </c>
      <c r="AB635" t="s">
        <v>201</v>
      </c>
      <c r="AC635" t="s">
        <v>247</v>
      </c>
      <c r="AD635" t="s">
        <v>220</v>
      </c>
      <c r="AE635" t="s">
        <v>219</v>
      </c>
      <c r="AG635" t="s">
        <v>121</v>
      </c>
      <c r="AH635" t="s">
        <v>327</v>
      </c>
      <c r="AI635" t="s">
        <v>121</v>
      </c>
      <c r="AJ635" t="s">
        <v>717</v>
      </c>
      <c r="AK635" t="s">
        <v>121</v>
      </c>
    </row>
    <row r="636" spans="9:37" x14ac:dyDescent="0.3">
      <c r="I636">
        <f ca="1">IF(OR(INDIRECT(A73&amp;ROW())=B93,INDIRECT(A73&amp;ROW())=B94),1,IF(AND(INDIRECT(A73&amp;ROW())=B95,INDIRECT(A96&amp;ROW())=C93),1,IF(AND(INDIRECT(A73&amp;ROW())=B95,INDIRECT(A96&amp;ROW())=C94),1,0)))</f>
        <v>0</v>
      </c>
      <c r="J636">
        <f ca="1">IF(AND(INDIRECT(A73&amp;ROW())=B95,INDIRECT(A96&amp;ROW())=C95),1,IF(AND(INDIRECT(A73&amp;ROW())=B95,INDIRECT(A96&amp;ROW())=C96),1,0))</f>
        <v>1</v>
      </c>
      <c r="K636">
        <f ca="1">DAYS360(INDIRECT(C68&amp;ROW()),TODAY())</f>
        <v>694</v>
      </c>
      <c r="L636">
        <f ca="1">DAYS360(INDIRECT(C69&amp;ROW()),TODAY())</f>
        <v>694</v>
      </c>
      <c r="M636">
        <f ca="1">HYPERLINK(CONCATENATE("https://bugzilla.houston.hp.com:1181/bugzilla/show_bug.cgi?id=",INDIRECT(C70&amp;ROW())),INDIRECT(C70&amp;ROW()))</f>
        <v>63109</v>
      </c>
      <c r="N636">
        <v>63109</v>
      </c>
      <c r="O636" t="s">
        <v>45</v>
      </c>
      <c r="P636" t="s">
        <v>1130</v>
      </c>
      <c r="Q636" t="s">
        <v>25</v>
      </c>
      <c r="R636" t="s">
        <v>579</v>
      </c>
      <c r="S636" t="s">
        <v>552</v>
      </c>
      <c r="T636" t="s">
        <v>48</v>
      </c>
      <c r="U636" s="6">
        <v>42152.419120370374</v>
      </c>
      <c r="V636" t="s">
        <v>18</v>
      </c>
      <c r="W636" t="s">
        <v>248</v>
      </c>
      <c r="X636" s="6">
        <v>42152.419120370374</v>
      </c>
      <c r="Y636" t="s">
        <v>792</v>
      </c>
      <c r="AB636" t="s">
        <v>201</v>
      </c>
      <c r="AC636" t="s">
        <v>247</v>
      </c>
      <c r="AD636" t="s">
        <v>220</v>
      </c>
      <c r="AE636" t="s">
        <v>219</v>
      </c>
      <c r="AG636" t="s">
        <v>121</v>
      </c>
      <c r="AH636" t="s">
        <v>327</v>
      </c>
      <c r="AI636" t="s">
        <v>121</v>
      </c>
      <c r="AJ636" t="s">
        <v>715</v>
      </c>
      <c r="AK636" t="s">
        <v>121</v>
      </c>
    </row>
    <row r="637" spans="9:37" x14ac:dyDescent="0.3">
      <c r="I637">
        <f ca="1">IF(OR(INDIRECT(A73&amp;ROW())=B93,INDIRECT(A73&amp;ROW())=B94),1,IF(AND(INDIRECT(A73&amp;ROW())=B95,INDIRECT(A96&amp;ROW())=C93),1,IF(AND(INDIRECT(A73&amp;ROW())=B95,INDIRECT(A96&amp;ROW())=C94),1,0)))</f>
        <v>0</v>
      </c>
      <c r="J637">
        <f ca="1">IF(AND(INDIRECT(A73&amp;ROW())=B95,INDIRECT(A96&amp;ROW())=C95),1,IF(AND(INDIRECT(A73&amp;ROW())=B95,INDIRECT(A96&amp;ROW())=C96),1,0))</f>
        <v>1</v>
      </c>
      <c r="K637">
        <f ca="1">DAYS360(INDIRECT(C68&amp;ROW()),TODAY())</f>
        <v>694</v>
      </c>
      <c r="L637">
        <f ca="1">DAYS360(INDIRECT(C69&amp;ROW()),TODAY())</f>
        <v>694</v>
      </c>
      <c r="M637">
        <f ca="1">HYPERLINK(CONCATENATE("https://bugzilla.houston.hp.com:1181/bugzilla/show_bug.cgi?id=",INDIRECT(C70&amp;ROW())),INDIRECT(C70&amp;ROW()))</f>
        <v>63110</v>
      </c>
      <c r="N637">
        <v>63110</v>
      </c>
      <c r="O637" t="s">
        <v>45</v>
      </c>
      <c r="P637" t="s">
        <v>1129</v>
      </c>
      <c r="Q637" t="s">
        <v>25</v>
      </c>
      <c r="R637" t="s">
        <v>783</v>
      </c>
      <c r="S637" t="s">
        <v>552</v>
      </c>
      <c r="T637" t="s">
        <v>48</v>
      </c>
      <c r="U637" s="6">
        <v>42152.419247685182</v>
      </c>
      <c r="V637" t="s">
        <v>18</v>
      </c>
      <c r="W637" t="s">
        <v>248</v>
      </c>
      <c r="X637" s="6">
        <v>42152.419247685182</v>
      </c>
      <c r="Y637" t="s">
        <v>792</v>
      </c>
      <c r="AB637" t="s">
        <v>201</v>
      </c>
      <c r="AC637" t="s">
        <v>247</v>
      </c>
      <c r="AD637" t="s">
        <v>220</v>
      </c>
      <c r="AE637" t="s">
        <v>219</v>
      </c>
      <c r="AG637" t="s">
        <v>121</v>
      </c>
      <c r="AH637" t="s">
        <v>327</v>
      </c>
      <c r="AI637" t="s">
        <v>121</v>
      </c>
      <c r="AJ637" t="s">
        <v>715</v>
      </c>
      <c r="AK637" t="s">
        <v>121</v>
      </c>
    </row>
    <row r="638" spans="9:37" x14ac:dyDescent="0.3">
      <c r="I638">
        <f ca="1">IF(OR(INDIRECT(A73&amp;ROW())=B93,INDIRECT(A73&amp;ROW())=B94),1,IF(AND(INDIRECT(A73&amp;ROW())=B95,INDIRECT(A96&amp;ROW())=C93),1,IF(AND(INDIRECT(A73&amp;ROW())=B95,INDIRECT(A96&amp;ROW())=C94),1,0)))</f>
        <v>1</v>
      </c>
      <c r="J638">
        <f ca="1">IF(AND(INDIRECT(A73&amp;ROW())=B95,INDIRECT(A96&amp;ROW())=C95),1,IF(AND(INDIRECT(A73&amp;ROW())=B95,INDIRECT(A96&amp;ROW())=C96),1,0))</f>
        <v>0</v>
      </c>
      <c r="K638">
        <f ca="1">DAYS360(INDIRECT(C68&amp;ROW()),TODAY())</f>
        <v>693</v>
      </c>
      <c r="L638">
        <f ca="1">DAYS360(INDIRECT(C69&amp;ROW()),TODAY())</f>
        <v>693</v>
      </c>
      <c r="M638">
        <f ca="1">HYPERLINK(CONCATENATE("https://bugzilla.houston.hp.com:1181/bugzilla/show_bug.cgi?id=",INDIRECT(C70&amp;ROW())),INDIRECT(C70&amp;ROW()))</f>
        <v>63161</v>
      </c>
      <c r="N638">
        <v>63161</v>
      </c>
      <c r="O638" t="s">
        <v>36</v>
      </c>
      <c r="P638" t="s">
        <v>1148</v>
      </c>
      <c r="Q638" t="s">
        <v>39</v>
      </c>
      <c r="R638" t="s">
        <v>251</v>
      </c>
      <c r="S638" t="s">
        <v>24</v>
      </c>
      <c r="U638" s="6">
        <v>42153.402638888889</v>
      </c>
      <c r="V638" t="s">
        <v>18</v>
      </c>
      <c r="W638" t="s">
        <v>783</v>
      </c>
      <c r="X638" s="6">
        <v>42153.347361111111</v>
      </c>
      <c r="Y638" t="s">
        <v>119</v>
      </c>
      <c r="AB638" t="s">
        <v>201</v>
      </c>
      <c r="AC638" t="s">
        <v>247</v>
      </c>
      <c r="AD638" t="s">
        <v>220</v>
      </c>
      <c r="AE638" t="s">
        <v>224</v>
      </c>
      <c r="AG638" t="s">
        <v>121</v>
      </c>
      <c r="AH638" t="s">
        <v>327</v>
      </c>
      <c r="AI638" t="s">
        <v>121</v>
      </c>
      <c r="AJ638" t="s">
        <v>715</v>
      </c>
      <c r="AK638" t="s">
        <v>121</v>
      </c>
    </row>
    <row r="639" spans="9:37" x14ac:dyDescent="0.3">
      <c r="I639">
        <f ca="1">IF(OR(INDIRECT(A73&amp;ROW())=B93,INDIRECT(A73&amp;ROW())=B94),1,IF(AND(INDIRECT(A73&amp;ROW())=B95,INDIRECT(A96&amp;ROW())=C93),1,IF(AND(INDIRECT(A73&amp;ROW())=B95,INDIRECT(A96&amp;ROW())=C94),1,0)))</f>
        <v>0</v>
      </c>
      <c r="J639">
        <f ca="1">IF(AND(INDIRECT(A73&amp;ROW())=B95,INDIRECT(A96&amp;ROW())=C95),1,IF(AND(INDIRECT(A73&amp;ROW())=B95,INDIRECT(A96&amp;ROW())=C96),1,0))</f>
        <v>1</v>
      </c>
      <c r="K639">
        <f ca="1">DAYS360(INDIRECT(C68&amp;ROW()),TODAY())</f>
        <v>693</v>
      </c>
      <c r="L639">
        <f ca="1">DAYS360(INDIRECT(C69&amp;ROW()),TODAY())</f>
        <v>693</v>
      </c>
      <c r="M639">
        <f ca="1">HYPERLINK(CONCATENATE("https://bugzilla.houston.hp.com:1181/bugzilla/show_bug.cgi?id=",INDIRECT(C70&amp;ROW())),INDIRECT(C70&amp;ROW()))</f>
        <v>63164</v>
      </c>
      <c r="N639">
        <v>63164</v>
      </c>
      <c r="O639" t="s">
        <v>36</v>
      </c>
      <c r="P639" t="s">
        <v>1147</v>
      </c>
      <c r="Q639" t="s">
        <v>25</v>
      </c>
      <c r="R639" t="s">
        <v>251</v>
      </c>
      <c r="S639" t="s">
        <v>24</v>
      </c>
      <c r="U639" s="6">
        <v>42153.499016203707</v>
      </c>
      <c r="V639" t="s">
        <v>18</v>
      </c>
      <c r="W639" t="s">
        <v>783</v>
      </c>
      <c r="X639" s="6">
        <v>42153.384872685187</v>
      </c>
      <c r="Y639" t="s">
        <v>119</v>
      </c>
      <c r="AB639" t="s">
        <v>201</v>
      </c>
      <c r="AC639" t="s">
        <v>247</v>
      </c>
      <c r="AD639" t="s">
        <v>222</v>
      </c>
      <c r="AE639" t="s">
        <v>225</v>
      </c>
      <c r="AG639" t="s">
        <v>121</v>
      </c>
      <c r="AH639" t="s">
        <v>327</v>
      </c>
      <c r="AI639" t="s">
        <v>121</v>
      </c>
      <c r="AJ639" t="s">
        <v>716</v>
      </c>
      <c r="AK639" t="s">
        <v>121</v>
      </c>
    </row>
    <row r="640" spans="9:37" x14ac:dyDescent="0.3">
      <c r="I640">
        <f ca="1">IF(OR(INDIRECT(A73&amp;ROW())=B93,INDIRECT(A73&amp;ROW())=B94),1,IF(AND(INDIRECT(A73&amp;ROW())=B95,INDIRECT(A96&amp;ROW())=C93),1,IF(AND(INDIRECT(A73&amp;ROW())=B95,INDIRECT(A96&amp;ROW())=C94),1,0)))</f>
        <v>0</v>
      </c>
      <c r="J640">
        <f ca="1">IF(AND(INDIRECT(A73&amp;ROW())=B95,INDIRECT(A96&amp;ROW())=C95),1,IF(AND(INDIRECT(A73&amp;ROW())=B95,INDIRECT(A96&amp;ROW())=C96),1,0))</f>
        <v>0</v>
      </c>
      <c r="K640">
        <f ca="1">DAYS360(INDIRECT(C68&amp;ROW()),TODAY())</f>
        <v>693</v>
      </c>
      <c r="L640">
        <f ca="1">DAYS360(INDIRECT(C69&amp;ROW()),TODAY())</f>
        <v>693</v>
      </c>
      <c r="M640">
        <f ca="1">HYPERLINK(CONCATENATE("https://bugzilla.houston.hp.com:1181/bugzilla/show_bug.cgi?id=",INDIRECT(C70&amp;ROW())),INDIRECT(C70&amp;ROW()))</f>
        <v>63165</v>
      </c>
      <c r="N640">
        <v>63165</v>
      </c>
      <c r="O640" t="s">
        <v>56</v>
      </c>
      <c r="P640" t="s">
        <v>1146</v>
      </c>
      <c r="Q640" t="s">
        <v>16</v>
      </c>
      <c r="R640" t="s">
        <v>248</v>
      </c>
      <c r="S640" t="s">
        <v>204</v>
      </c>
      <c r="U640" s="6">
        <v>42153.414699074077</v>
      </c>
      <c r="V640" t="s">
        <v>18</v>
      </c>
      <c r="W640" t="s">
        <v>248</v>
      </c>
      <c r="X640" s="6">
        <v>42153.396770833337</v>
      </c>
      <c r="Y640" t="s">
        <v>788</v>
      </c>
      <c r="AB640" t="s">
        <v>201</v>
      </c>
      <c r="AC640" t="s">
        <v>247</v>
      </c>
      <c r="AD640" t="s">
        <v>220</v>
      </c>
      <c r="AE640" t="s">
        <v>219</v>
      </c>
      <c r="AG640" t="s">
        <v>121</v>
      </c>
      <c r="AH640" t="s">
        <v>327</v>
      </c>
      <c r="AI640" t="s">
        <v>121</v>
      </c>
      <c r="AJ640" t="s">
        <v>717</v>
      </c>
      <c r="AK640" t="s">
        <v>121</v>
      </c>
    </row>
    <row r="641" spans="9:37" x14ac:dyDescent="0.3">
      <c r="I641">
        <f ca="1">IF(OR(INDIRECT(A73&amp;ROW())=B93,INDIRECT(A73&amp;ROW())=B94),1,IF(AND(INDIRECT(A73&amp;ROW())=B95,INDIRECT(A96&amp;ROW())=C93),1,IF(AND(INDIRECT(A73&amp;ROW())=B95,INDIRECT(A96&amp;ROW())=C94),1,0)))</f>
        <v>1</v>
      </c>
      <c r="J641">
        <f ca="1">IF(AND(INDIRECT(A73&amp;ROW())=B95,INDIRECT(A96&amp;ROW())=C95),1,IF(AND(INDIRECT(A73&amp;ROW())=B95,INDIRECT(A96&amp;ROW())=C96),1,0))</f>
        <v>0</v>
      </c>
      <c r="K641">
        <f ca="1">DAYS360(INDIRECT(C68&amp;ROW()),TODAY())</f>
        <v>693</v>
      </c>
      <c r="L641">
        <f ca="1">DAYS360(INDIRECT(C69&amp;ROW()),TODAY())</f>
        <v>693</v>
      </c>
      <c r="M641">
        <f ca="1">HYPERLINK(CONCATENATE("https://bugzilla.houston.hp.com:1181/bugzilla/show_bug.cgi?id=",INDIRECT(C70&amp;ROW())),INDIRECT(C70&amp;ROW()))</f>
        <v>63170</v>
      </c>
      <c r="N641">
        <v>63170</v>
      </c>
      <c r="O641" t="s">
        <v>66</v>
      </c>
      <c r="P641" t="s">
        <v>1145</v>
      </c>
      <c r="Q641" t="s">
        <v>39</v>
      </c>
      <c r="R641" t="s">
        <v>579</v>
      </c>
      <c r="S641" t="s">
        <v>552</v>
      </c>
      <c r="U641" s="6">
        <v>42153.420277777775</v>
      </c>
      <c r="V641" t="s">
        <v>18</v>
      </c>
      <c r="W641" t="s">
        <v>783</v>
      </c>
      <c r="X641" s="6">
        <v>42153.40253472222</v>
      </c>
      <c r="Y641" t="s">
        <v>119</v>
      </c>
      <c r="AB641" t="s">
        <v>201</v>
      </c>
      <c r="AC641" t="s">
        <v>247</v>
      </c>
      <c r="AD641" t="s">
        <v>220</v>
      </c>
      <c r="AE641" t="s">
        <v>224</v>
      </c>
      <c r="AG641" t="s">
        <v>121</v>
      </c>
      <c r="AH641" t="s">
        <v>327</v>
      </c>
      <c r="AI641" t="s">
        <v>121</v>
      </c>
      <c r="AJ641" t="s">
        <v>715</v>
      </c>
      <c r="AK641" t="s">
        <v>121</v>
      </c>
    </row>
    <row r="642" spans="9:37" x14ac:dyDescent="0.3">
      <c r="I642">
        <f ca="1">IF(OR(INDIRECT(A73&amp;ROW())=B93,INDIRECT(A73&amp;ROW())=B94),1,IF(AND(INDIRECT(A73&amp;ROW())=B95,INDIRECT(A96&amp;ROW())=C93),1,IF(AND(INDIRECT(A73&amp;ROW())=B95,INDIRECT(A96&amp;ROW())=C94),1,0)))</f>
        <v>1</v>
      </c>
      <c r="J642">
        <f ca="1">IF(AND(INDIRECT(A73&amp;ROW())=B95,INDIRECT(A96&amp;ROW())=C95),1,IF(AND(INDIRECT(A73&amp;ROW())=B95,INDIRECT(A96&amp;ROW())=C96),1,0))</f>
        <v>0</v>
      </c>
      <c r="K642">
        <f ca="1">DAYS360(INDIRECT(C68&amp;ROW()),TODAY())</f>
        <v>693</v>
      </c>
      <c r="L642">
        <f ca="1">DAYS360(INDIRECT(C69&amp;ROW()),TODAY())</f>
        <v>693</v>
      </c>
      <c r="M642">
        <f ca="1">HYPERLINK(CONCATENATE("https://bugzilla.houston.hp.com:1181/bugzilla/show_bug.cgi?id=",INDIRECT(C70&amp;ROW())),INDIRECT(C70&amp;ROW()))</f>
        <v>63171</v>
      </c>
      <c r="N642">
        <v>63171</v>
      </c>
      <c r="O642" t="s">
        <v>66</v>
      </c>
      <c r="P642" t="s">
        <v>1144</v>
      </c>
      <c r="Q642" t="s">
        <v>39</v>
      </c>
      <c r="R642" t="s">
        <v>783</v>
      </c>
      <c r="S642" t="s">
        <v>552</v>
      </c>
      <c r="U642" s="6">
        <v>42153.453877314816</v>
      </c>
      <c r="V642" t="s">
        <v>18</v>
      </c>
      <c r="W642" t="s">
        <v>783</v>
      </c>
      <c r="X642" s="6">
        <v>42153.402592592596</v>
      </c>
      <c r="Y642" t="s">
        <v>119</v>
      </c>
      <c r="AB642" t="s">
        <v>201</v>
      </c>
      <c r="AC642" t="s">
        <v>247</v>
      </c>
      <c r="AD642" t="s">
        <v>220</v>
      </c>
      <c r="AE642" t="s">
        <v>224</v>
      </c>
      <c r="AG642" t="s">
        <v>588</v>
      </c>
      <c r="AH642" t="s">
        <v>327</v>
      </c>
      <c r="AI642" t="s">
        <v>121</v>
      </c>
      <c r="AJ642" t="s">
        <v>715</v>
      </c>
      <c r="AK642" t="s">
        <v>1098</v>
      </c>
    </row>
    <row r="643" spans="9:37" x14ac:dyDescent="0.3">
      <c r="I643">
        <f ca="1">IF(OR(INDIRECT(A73&amp;ROW())=B93,INDIRECT(A73&amp;ROW())=B94),1,IF(AND(INDIRECT(A73&amp;ROW())=B95,INDIRECT(A96&amp;ROW())=C93),1,IF(AND(INDIRECT(A73&amp;ROW())=B95,INDIRECT(A96&amp;ROW())=C94),1,0)))</f>
        <v>1</v>
      </c>
      <c r="J643">
        <f ca="1">IF(AND(INDIRECT(A73&amp;ROW())=B95,INDIRECT(A96&amp;ROW())=C95),1,IF(AND(INDIRECT(A73&amp;ROW())=B95,INDIRECT(A96&amp;ROW())=C96),1,0))</f>
        <v>0</v>
      </c>
      <c r="K643">
        <f ca="1">DAYS360(INDIRECT(C68&amp;ROW()),TODAY())</f>
        <v>693</v>
      </c>
      <c r="L643">
        <f ca="1">DAYS360(INDIRECT(C69&amp;ROW()),TODAY())</f>
        <v>693</v>
      </c>
      <c r="M643">
        <f ca="1">HYPERLINK(CONCATENATE("https://bugzilla.houston.hp.com:1181/bugzilla/show_bug.cgi?id=",INDIRECT(C70&amp;ROW())),INDIRECT(C70&amp;ROW()))</f>
        <v>63172</v>
      </c>
      <c r="N643">
        <v>63172</v>
      </c>
      <c r="O643" t="s">
        <v>66</v>
      </c>
      <c r="P643" t="s">
        <v>1143</v>
      </c>
      <c r="Q643" t="s">
        <v>39</v>
      </c>
      <c r="R643" t="s">
        <v>248</v>
      </c>
      <c r="S643" t="s">
        <v>552</v>
      </c>
      <c r="U643" s="6">
        <v>42153.420254629629</v>
      </c>
      <c r="V643" t="s">
        <v>18</v>
      </c>
      <c r="W643" t="s">
        <v>783</v>
      </c>
      <c r="X643" s="6">
        <v>42153.402638888889</v>
      </c>
      <c r="Y643" t="s">
        <v>119</v>
      </c>
      <c r="AB643" t="s">
        <v>201</v>
      </c>
      <c r="AC643" t="s">
        <v>247</v>
      </c>
      <c r="AD643" t="s">
        <v>220</v>
      </c>
      <c r="AE643" t="s">
        <v>224</v>
      </c>
      <c r="AG643" t="s">
        <v>121</v>
      </c>
      <c r="AH643" t="s">
        <v>327</v>
      </c>
      <c r="AI643" t="s">
        <v>121</v>
      </c>
      <c r="AJ643" t="s">
        <v>715</v>
      </c>
      <c r="AK643" t="s">
        <v>121</v>
      </c>
    </row>
    <row r="644" spans="9:37" x14ac:dyDescent="0.3">
      <c r="I644">
        <f ca="1">IF(OR(INDIRECT(A73&amp;ROW())=B93,INDIRECT(A73&amp;ROW())=B94),1,IF(AND(INDIRECT(A73&amp;ROW())=B95,INDIRECT(A96&amp;ROW())=C93),1,IF(AND(INDIRECT(A73&amp;ROW())=B95,INDIRECT(A96&amp;ROW())=C94),1,0)))</f>
        <v>0</v>
      </c>
      <c r="J644">
        <f ca="1">IF(AND(INDIRECT(A73&amp;ROW())=B95,INDIRECT(A96&amp;ROW())=C95),1,IF(AND(INDIRECT(A73&amp;ROW())=B95,INDIRECT(A96&amp;ROW())=C96),1,0))</f>
        <v>1</v>
      </c>
      <c r="K644">
        <f ca="1">DAYS360(INDIRECT(C68&amp;ROW()),TODAY())</f>
        <v>693</v>
      </c>
      <c r="L644">
        <f ca="1">DAYS360(INDIRECT(C69&amp;ROW()),TODAY())</f>
        <v>693</v>
      </c>
      <c r="M644">
        <f ca="1">HYPERLINK(CONCATENATE("https://bugzilla.houston.hp.com:1181/bugzilla/show_bug.cgi?id=",INDIRECT(C70&amp;ROW())),INDIRECT(C70&amp;ROW()))</f>
        <v>63173</v>
      </c>
      <c r="N644">
        <v>63173</v>
      </c>
      <c r="O644" t="s">
        <v>66</v>
      </c>
      <c r="P644" t="s">
        <v>1142</v>
      </c>
      <c r="Q644" t="s">
        <v>25</v>
      </c>
      <c r="R644" t="s">
        <v>579</v>
      </c>
      <c r="S644" t="s">
        <v>552</v>
      </c>
      <c r="U644" s="6">
        <v>42153.420266203706</v>
      </c>
      <c r="V644" t="s">
        <v>18</v>
      </c>
      <c r="W644" t="s">
        <v>783</v>
      </c>
      <c r="X644" s="6">
        <v>42153.402858796297</v>
      </c>
      <c r="Y644" t="s">
        <v>119</v>
      </c>
      <c r="AB644" t="s">
        <v>201</v>
      </c>
      <c r="AC644" t="s">
        <v>247</v>
      </c>
      <c r="AD644" t="s">
        <v>222</v>
      </c>
      <c r="AE644" t="s">
        <v>225</v>
      </c>
      <c r="AG644" t="s">
        <v>121</v>
      </c>
      <c r="AH644" t="s">
        <v>327</v>
      </c>
      <c r="AI644" t="s">
        <v>121</v>
      </c>
      <c r="AJ644" t="s">
        <v>716</v>
      </c>
      <c r="AK644" t="s">
        <v>121</v>
      </c>
    </row>
    <row r="645" spans="9:37" x14ac:dyDescent="0.3">
      <c r="I645">
        <f ca="1">IF(OR(INDIRECT(A73&amp;ROW())=B93,INDIRECT(A73&amp;ROW())=B94),1,IF(AND(INDIRECT(A73&amp;ROW())=B95,INDIRECT(A96&amp;ROW())=C93),1,IF(AND(INDIRECT(A73&amp;ROW())=B95,INDIRECT(A96&amp;ROW())=C94),1,0)))</f>
        <v>0</v>
      </c>
      <c r="J645">
        <f ca="1">IF(AND(INDIRECT(A73&amp;ROW())=B95,INDIRECT(A96&amp;ROW())=C95),1,IF(AND(INDIRECT(A73&amp;ROW())=B95,INDIRECT(A96&amp;ROW())=C96),1,0))</f>
        <v>1</v>
      </c>
      <c r="K645">
        <f ca="1">DAYS360(INDIRECT(C68&amp;ROW()),TODAY())</f>
        <v>693</v>
      </c>
      <c r="L645">
        <f ca="1">DAYS360(INDIRECT(C69&amp;ROW()),TODAY())</f>
        <v>693</v>
      </c>
      <c r="M645">
        <f ca="1">HYPERLINK(CONCATENATE("https://bugzilla.houston.hp.com:1181/bugzilla/show_bug.cgi?id=",INDIRECT(C70&amp;ROW())),INDIRECT(C70&amp;ROW()))</f>
        <v>63174</v>
      </c>
      <c r="N645">
        <v>63174</v>
      </c>
      <c r="O645" t="s">
        <v>66</v>
      </c>
      <c r="P645" t="s">
        <v>1141</v>
      </c>
      <c r="Q645" t="s">
        <v>25</v>
      </c>
      <c r="R645" t="s">
        <v>783</v>
      </c>
      <c r="S645" t="s">
        <v>552</v>
      </c>
      <c r="U645" s="6">
        <v>42153.420266203706</v>
      </c>
      <c r="V645" t="s">
        <v>18</v>
      </c>
      <c r="W645" t="s">
        <v>783</v>
      </c>
      <c r="X645" s="6">
        <v>42153.402905092589</v>
      </c>
      <c r="Y645" t="s">
        <v>119</v>
      </c>
      <c r="AB645" t="s">
        <v>201</v>
      </c>
      <c r="AC645" t="s">
        <v>247</v>
      </c>
      <c r="AD645" t="s">
        <v>222</v>
      </c>
      <c r="AE645" t="s">
        <v>225</v>
      </c>
      <c r="AG645" t="s">
        <v>121</v>
      </c>
      <c r="AH645" t="s">
        <v>327</v>
      </c>
      <c r="AI645" t="s">
        <v>121</v>
      </c>
      <c r="AJ645" t="s">
        <v>716</v>
      </c>
      <c r="AK645" t="s">
        <v>121</v>
      </c>
    </row>
    <row r="646" spans="9:37" x14ac:dyDescent="0.3">
      <c r="I646">
        <f ca="1">IF(OR(INDIRECT(A73&amp;ROW())=B93,INDIRECT(A73&amp;ROW())=B94),1,IF(AND(INDIRECT(A73&amp;ROW())=B95,INDIRECT(A96&amp;ROW())=C93),1,IF(AND(INDIRECT(A73&amp;ROW())=B95,INDIRECT(A96&amp;ROW())=C94),1,0)))</f>
        <v>0</v>
      </c>
      <c r="J646">
        <f ca="1">IF(AND(INDIRECT(A73&amp;ROW())=B95,INDIRECT(A96&amp;ROW())=C95),1,IF(AND(INDIRECT(A73&amp;ROW())=B95,INDIRECT(A96&amp;ROW())=C96),1,0))</f>
        <v>1</v>
      </c>
      <c r="K646">
        <f ca="1">DAYS360(INDIRECT(C68&amp;ROW()),TODAY())</f>
        <v>693</v>
      </c>
      <c r="L646">
        <f ca="1">DAYS360(INDIRECT(C69&amp;ROW()),TODAY())</f>
        <v>693</v>
      </c>
      <c r="M646">
        <f ca="1">HYPERLINK(CONCATENATE("https://bugzilla.houston.hp.com:1181/bugzilla/show_bug.cgi?id=",INDIRECT(C70&amp;ROW())),INDIRECT(C70&amp;ROW()))</f>
        <v>63175</v>
      </c>
      <c r="N646">
        <v>63175</v>
      </c>
      <c r="O646" t="s">
        <v>66</v>
      </c>
      <c r="P646" t="s">
        <v>1140</v>
      </c>
      <c r="Q646" t="s">
        <v>25</v>
      </c>
      <c r="R646" t="s">
        <v>248</v>
      </c>
      <c r="S646" t="s">
        <v>552</v>
      </c>
      <c r="U646" s="6">
        <v>42153.420266203706</v>
      </c>
      <c r="V646" t="s">
        <v>18</v>
      </c>
      <c r="W646" t="s">
        <v>783</v>
      </c>
      <c r="X646" s="6">
        <v>42153.402962962966</v>
      </c>
      <c r="Y646" t="s">
        <v>119</v>
      </c>
      <c r="AB646" t="s">
        <v>201</v>
      </c>
      <c r="AC646" t="s">
        <v>247</v>
      </c>
      <c r="AD646" t="s">
        <v>222</v>
      </c>
      <c r="AE646" t="s">
        <v>225</v>
      </c>
      <c r="AG646" t="s">
        <v>121</v>
      </c>
      <c r="AH646" t="s">
        <v>327</v>
      </c>
      <c r="AI646" t="s">
        <v>121</v>
      </c>
      <c r="AJ646" t="s">
        <v>716</v>
      </c>
      <c r="AK646" t="s">
        <v>121</v>
      </c>
    </row>
    <row r="647" spans="9:37" x14ac:dyDescent="0.3">
      <c r="I647">
        <f ca="1">IF(OR(INDIRECT(A73&amp;ROW())=B93,INDIRECT(A73&amp;ROW())=B94),1,IF(AND(INDIRECT(A73&amp;ROW())=B95,INDIRECT(A96&amp;ROW())=C93),1,IF(AND(INDIRECT(A73&amp;ROW())=B95,INDIRECT(A96&amp;ROW())=C94),1,0)))</f>
        <v>1</v>
      </c>
      <c r="J647">
        <f ca="1">IF(AND(INDIRECT(A73&amp;ROW())=B95,INDIRECT(A96&amp;ROW())=C95),1,IF(AND(INDIRECT(A73&amp;ROW())=B95,INDIRECT(A96&amp;ROW())=C96),1,0))</f>
        <v>0</v>
      </c>
      <c r="K647">
        <f ca="1">DAYS360(INDIRECT(C68&amp;ROW()),TODAY())</f>
        <v>693</v>
      </c>
      <c r="L647">
        <f ca="1">DAYS360(INDIRECT(C69&amp;ROW()),TODAY())</f>
        <v>693</v>
      </c>
      <c r="M647">
        <f ca="1">HYPERLINK(CONCATENATE("https://bugzilla.houston.hp.com:1181/bugzilla/show_bug.cgi?id=",INDIRECT(C70&amp;ROW())),INDIRECT(C70&amp;ROW()))</f>
        <v>63176</v>
      </c>
      <c r="N647">
        <v>63176</v>
      </c>
      <c r="O647" t="s">
        <v>21</v>
      </c>
      <c r="P647" t="s">
        <v>1139</v>
      </c>
      <c r="Q647" t="s">
        <v>39</v>
      </c>
      <c r="R647" t="s">
        <v>248</v>
      </c>
      <c r="S647" t="s">
        <v>552</v>
      </c>
      <c r="U647" s="6">
        <v>42153.671944444446</v>
      </c>
      <c r="V647" t="s">
        <v>18</v>
      </c>
      <c r="W647" t="s">
        <v>248</v>
      </c>
      <c r="X647" s="6">
        <v>42153.413738425923</v>
      </c>
      <c r="Y647" t="s">
        <v>793</v>
      </c>
      <c r="AB647" t="s">
        <v>199</v>
      </c>
      <c r="AC647" t="s">
        <v>1124</v>
      </c>
      <c r="AD647" t="s">
        <v>222</v>
      </c>
      <c r="AE647" t="s">
        <v>221</v>
      </c>
      <c r="AG647" t="s">
        <v>121</v>
      </c>
      <c r="AH647" t="s">
        <v>327</v>
      </c>
      <c r="AI647" t="s">
        <v>121</v>
      </c>
      <c r="AJ647" t="s">
        <v>715</v>
      </c>
      <c r="AK647" t="s">
        <v>121</v>
      </c>
    </row>
    <row r="648" spans="9:37" x14ac:dyDescent="0.3">
      <c r="I648">
        <f ca="1">IF(OR(INDIRECT(A73&amp;ROW())=B93,INDIRECT(A73&amp;ROW())=B94),1,IF(AND(INDIRECT(A73&amp;ROW())=B95,INDIRECT(A96&amp;ROW())=C93),1,IF(AND(INDIRECT(A73&amp;ROW())=B95,INDIRECT(A96&amp;ROW())=C94),1,0)))</f>
        <v>1</v>
      </c>
      <c r="J648">
        <f ca="1">IF(AND(INDIRECT(A73&amp;ROW())=B95,INDIRECT(A96&amp;ROW())=C95),1,IF(AND(INDIRECT(A73&amp;ROW())=B95,INDIRECT(A96&amp;ROW())=C96),1,0))</f>
        <v>0</v>
      </c>
      <c r="K648">
        <f ca="1">DAYS360(INDIRECT(C68&amp;ROW()),TODAY())</f>
        <v>693</v>
      </c>
      <c r="L648">
        <f ca="1">DAYS360(INDIRECT(C69&amp;ROW()),TODAY())</f>
        <v>693</v>
      </c>
      <c r="M648">
        <f ca="1">HYPERLINK(CONCATENATE("https://bugzilla.houston.hp.com:1181/bugzilla/show_bug.cgi?id=",INDIRECT(C70&amp;ROW())),INDIRECT(C70&amp;ROW()))</f>
        <v>63181</v>
      </c>
      <c r="N648">
        <v>63181</v>
      </c>
      <c r="O648" t="s">
        <v>21</v>
      </c>
      <c r="P648" t="s">
        <v>1138</v>
      </c>
      <c r="Q648" t="s">
        <v>38</v>
      </c>
      <c r="R648" t="s">
        <v>251</v>
      </c>
      <c r="S648" t="s">
        <v>21</v>
      </c>
      <c r="U648" s="6">
        <v>42153.771134259259</v>
      </c>
      <c r="V648" t="s">
        <v>18</v>
      </c>
      <c r="W648" t="s">
        <v>783</v>
      </c>
      <c r="X648" s="6">
        <v>42153.538506944446</v>
      </c>
      <c r="Y648" t="s">
        <v>122</v>
      </c>
      <c r="AB648" t="s">
        <v>199</v>
      </c>
      <c r="AC648" t="s">
        <v>247</v>
      </c>
      <c r="AD648" t="s">
        <v>222</v>
      </c>
      <c r="AE648" t="s">
        <v>225</v>
      </c>
      <c r="AG648" t="s">
        <v>121</v>
      </c>
      <c r="AH648" t="s">
        <v>327</v>
      </c>
      <c r="AI648" t="s">
        <v>121</v>
      </c>
      <c r="AJ648" t="s">
        <v>715</v>
      </c>
      <c r="AK648" t="s">
        <v>121</v>
      </c>
    </row>
    <row r="649" spans="9:37" x14ac:dyDescent="0.3">
      <c r="I649">
        <f ca="1">IF(OR(INDIRECT(A73&amp;ROW())=B93,INDIRECT(A73&amp;ROW())=B94),1,IF(AND(INDIRECT(A73&amp;ROW())=B95,INDIRECT(A96&amp;ROW())=C93),1,IF(AND(INDIRECT(A73&amp;ROW())=B95,INDIRECT(A96&amp;ROW())=C94),1,0)))</f>
        <v>1</v>
      </c>
      <c r="J649">
        <f ca="1">IF(AND(INDIRECT(A73&amp;ROW())=B95,INDIRECT(A96&amp;ROW())=C95),1,IF(AND(INDIRECT(A73&amp;ROW())=B95,INDIRECT(A96&amp;ROW())=C96),1,0))</f>
        <v>0</v>
      </c>
      <c r="K649">
        <f ca="1">DAYS360(INDIRECT(C68&amp;ROW()),TODAY())</f>
        <v>693</v>
      </c>
      <c r="L649">
        <f ca="1">DAYS360(INDIRECT(C69&amp;ROW()),TODAY())</f>
        <v>693</v>
      </c>
      <c r="M649">
        <f ca="1">HYPERLINK(CONCATENATE("https://bugzilla.houston.hp.com:1181/bugzilla/show_bug.cgi?id=",INDIRECT(C70&amp;ROW())),INDIRECT(C70&amp;ROW()))</f>
        <v>63190</v>
      </c>
      <c r="N649">
        <v>63190</v>
      </c>
      <c r="O649" t="s">
        <v>21</v>
      </c>
      <c r="P649" t="s">
        <v>1137</v>
      </c>
      <c r="Q649" t="s">
        <v>38</v>
      </c>
      <c r="R649" t="s">
        <v>783</v>
      </c>
      <c r="S649" t="s">
        <v>552</v>
      </c>
      <c r="T649" t="s">
        <v>1134</v>
      </c>
      <c r="U649" s="6">
        <v>42153.771273148152</v>
      </c>
      <c r="V649" t="s">
        <v>18</v>
      </c>
      <c r="W649" t="s">
        <v>783</v>
      </c>
      <c r="X649" s="6">
        <v>42153.709282407406</v>
      </c>
      <c r="Y649" t="s">
        <v>122</v>
      </c>
      <c r="AB649" t="s">
        <v>199</v>
      </c>
      <c r="AC649" t="s">
        <v>247</v>
      </c>
      <c r="AD649" t="s">
        <v>222</v>
      </c>
      <c r="AE649" t="s">
        <v>225</v>
      </c>
      <c r="AG649" t="s">
        <v>588</v>
      </c>
      <c r="AH649" t="s">
        <v>327</v>
      </c>
      <c r="AI649" t="s">
        <v>121</v>
      </c>
      <c r="AJ649" t="s">
        <v>715</v>
      </c>
      <c r="AK649" t="s">
        <v>1098</v>
      </c>
    </row>
    <row r="650" spans="9:37" x14ac:dyDescent="0.3">
      <c r="I650">
        <f ca="1">IF(OR(INDIRECT(A73&amp;ROW())=B93,INDIRECT(A73&amp;ROW())=B94),1,IF(AND(INDIRECT(A73&amp;ROW())=B95,INDIRECT(A96&amp;ROW())=C93),1,IF(AND(INDIRECT(A73&amp;ROW())=B95,INDIRECT(A96&amp;ROW())=C94),1,0)))</f>
        <v>1</v>
      </c>
      <c r="J650">
        <f ca="1">IF(AND(INDIRECT(A73&amp;ROW())=B95,INDIRECT(A96&amp;ROW())=C95),1,IF(AND(INDIRECT(A73&amp;ROW())=B95,INDIRECT(A96&amp;ROW())=C96),1,0))</f>
        <v>0</v>
      </c>
      <c r="K650">
        <f ca="1">DAYS360(INDIRECT(C68&amp;ROW()),TODAY())</f>
        <v>693</v>
      </c>
      <c r="L650">
        <f ca="1">DAYS360(INDIRECT(C69&amp;ROW()),TODAY())</f>
        <v>693</v>
      </c>
      <c r="M650">
        <f ca="1">HYPERLINK(CONCATENATE("https://bugzilla.houston.hp.com:1181/bugzilla/show_bug.cgi?id=",INDIRECT(C70&amp;ROW())),INDIRECT(C70&amp;ROW()))</f>
        <v>63194</v>
      </c>
      <c r="N650">
        <v>63194</v>
      </c>
      <c r="O650" t="s">
        <v>56</v>
      </c>
      <c r="P650" t="s">
        <v>1152</v>
      </c>
      <c r="Q650" t="s">
        <v>39</v>
      </c>
      <c r="R650" t="s">
        <v>251</v>
      </c>
      <c r="S650" t="s">
        <v>177</v>
      </c>
      <c r="U650" s="6">
        <v>42153.776805555557</v>
      </c>
      <c r="V650" t="s">
        <v>18</v>
      </c>
      <c r="W650" t="s">
        <v>783</v>
      </c>
      <c r="X650" s="6">
        <v>42153.744305555556</v>
      </c>
      <c r="Y650" t="s">
        <v>245</v>
      </c>
      <c r="AB650" t="s">
        <v>201</v>
      </c>
      <c r="AC650" t="s">
        <v>247</v>
      </c>
      <c r="AD650" t="s">
        <v>220</v>
      </c>
      <c r="AE650" t="s">
        <v>219</v>
      </c>
      <c r="AG650" t="s">
        <v>121</v>
      </c>
      <c r="AH650" t="s">
        <v>327</v>
      </c>
      <c r="AI650" t="s">
        <v>121</v>
      </c>
      <c r="AJ650" t="s">
        <v>715</v>
      </c>
      <c r="AK650" t="s">
        <v>121</v>
      </c>
    </row>
    <row r="651" spans="9:37" x14ac:dyDescent="0.3">
      <c r="I651">
        <f ca="1">IF(OR(INDIRECT(A73&amp;ROW())=B93,INDIRECT(A73&amp;ROW())=B94),1,IF(AND(INDIRECT(A73&amp;ROW())=B95,INDIRECT(A96&amp;ROW())=C93),1,IF(AND(INDIRECT(A73&amp;ROW())=B95,INDIRECT(A96&amp;ROW())=C94),1,0)))</f>
        <v>1</v>
      </c>
      <c r="J651">
        <f ca="1">IF(AND(INDIRECT(A73&amp;ROW())=B95,INDIRECT(A96&amp;ROW())=C95),1,IF(AND(INDIRECT(A73&amp;ROW())=B95,INDIRECT(A96&amp;ROW())=C96),1,0))</f>
        <v>0</v>
      </c>
      <c r="K651">
        <f ca="1">DAYS360(INDIRECT(C68&amp;ROW()),TODAY())</f>
        <v>693</v>
      </c>
      <c r="L651">
        <f ca="1">DAYS360(INDIRECT(C69&amp;ROW()),TODAY())</f>
        <v>693</v>
      </c>
      <c r="M651">
        <f ca="1">HYPERLINK(CONCATENATE("https://bugzilla.houston.hp.com:1181/bugzilla/show_bug.cgi?id=",INDIRECT(C70&amp;ROW())),INDIRECT(C70&amp;ROW()))</f>
        <v>63195</v>
      </c>
      <c r="N651">
        <v>63195</v>
      </c>
      <c r="O651" t="s">
        <v>53</v>
      </c>
      <c r="P651" t="s">
        <v>1136</v>
      </c>
      <c r="Q651" t="s">
        <v>39</v>
      </c>
      <c r="R651" t="s">
        <v>783</v>
      </c>
      <c r="S651" t="s">
        <v>552</v>
      </c>
      <c r="U651" s="6">
        <v>42153.776805555557</v>
      </c>
      <c r="V651" t="s">
        <v>18</v>
      </c>
      <c r="W651" t="s">
        <v>783</v>
      </c>
      <c r="X651" s="6">
        <v>42153.756840277776</v>
      </c>
      <c r="Y651" t="s">
        <v>245</v>
      </c>
      <c r="AB651" t="s">
        <v>201</v>
      </c>
      <c r="AC651" t="s">
        <v>247</v>
      </c>
      <c r="AD651" t="s">
        <v>220</v>
      </c>
      <c r="AE651" t="s">
        <v>219</v>
      </c>
      <c r="AG651" t="s">
        <v>121</v>
      </c>
      <c r="AH651" t="s">
        <v>327</v>
      </c>
      <c r="AI651" t="s">
        <v>121</v>
      </c>
      <c r="AJ651" t="s">
        <v>715</v>
      </c>
      <c r="AK651" t="s">
        <v>121</v>
      </c>
    </row>
    <row r="652" spans="9:37" x14ac:dyDescent="0.3">
      <c r="I652">
        <f ca="1">IF(OR(INDIRECT(A73&amp;ROW())=B93,INDIRECT(A73&amp;ROW())=B94),1,IF(AND(INDIRECT(A73&amp;ROW())=B95,INDIRECT(A96&amp;ROW())=C93),1,IF(AND(INDIRECT(A73&amp;ROW())=B95,INDIRECT(A96&amp;ROW())=C94),1,0)))</f>
        <v>1</v>
      </c>
      <c r="J652">
        <f ca="1">IF(AND(INDIRECT(A73&amp;ROW())=B95,INDIRECT(A96&amp;ROW())=C95),1,IF(AND(INDIRECT(A73&amp;ROW())=B95,INDIRECT(A96&amp;ROW())=C96),1,0))</f>
        <v>0</v>
      </c>
      <c r="K652">
        <f ca="1">DAYS360(INDIRECT(C68&amp;ROW()),TODAY())</f>
        <v>693</v>
      </c>
      <c r="L652">
        <f ca="1">DAYS360(INDIRECT(C69&amp;ROW()),TODAY())</f>
        <v>693</v>
      </c>
      <c r="M652">
        <f ca="1">HYPERLINK(CONCATENATE("https://bugzilla.houston.hp.com:1181/bugzilla/show_bug.cgi?id=",INDIRECT(C70&amp;ROW())),INDIRECT(C70&amp;ROW()))</f>
        <v>63196</v>
      </c>
      <c r="N652">
        <v>63196</v>
      </c>
      <c r="O652" t="s">
        <v>53</v>
      </c>
      <c r="P652" t="s">
        <v>1135</v>
      </c>
      <c r="Q652" t="s">
        <v>39</v>
      </c>
      <c r="R652" t="s">
        <v>248</v>
      </c>
      <c r="S652" t="s">
        <v>552</v>
      </c>
      <c r="U652" s="6">
        <v>42153.776805555557</v>
      </c>
      <c r="V652" t="s">
        <v>18</v>
      </c>
      <c r="W652" t="s">
        <v>783</v>
      </c>
      <c r="X652" s="6">
        <v>42153.756909722222</v>
      </c>
      <c r="Y652" t="s">
        <v>245</v>
      </c>
      <c r="AB652" t="s">
        <v>201</v>
      </c>
      <c r="AC652" t="s">
        <v>247</v>
      </c>
      <c r="AD652" t="s">
        <v>220</v>
      </c>
      <c r="AE652" t="s">
        <v>219</v>
      </c>
      <c r="AG652" t="s">
        <v>121</v>
      </c>
      <c r="AH652" t="s">
        <v>327</v>
      </c>
      <c r="AI652" t="s">
        <v>121</v>
      </c>
      <c r="AJ652" t="s">
        <v>715</v>
      </c>
      <c r="AK652" t="s">
        <v>121</v>
      </c>
    </row>
    <row r="653" spans="9:37" x14ac:dyDescent="0.3">
      <c r="I653">
        <f ca="1">IF(OR(INDIRECT(A73&amp;ROW())=B93,INDIRECT(A73&amp;ROW())=B94),1,IF(AND(INDIRECT(A73&amp;ROW())=B95,INDIRECT(A96&amp;ROW())=C93),1,IF(AND(INDIRECT(A73&amp;ROW())=B95,INDIRECT(A96&amp;ROW())=C94),1,0)))</f>
        <v>1</v>
      </c>
      <c r="J653">
        <f ca="1">IF(AND(INDIRECT(A73&amp;ROW())=B95,INDIRECT(A96&amp;ROW())=C95),1,IF(AND(INDIRECT(A73&amp;ROW())=B95,INDIRECT(A96&amp;ROW())=C96),1,0))</f>
        <v>0</v>
      </c>
      <c r="K653">
        <f ca="1">DAYS360(INDIRECT(C68&amp;ROW()),TODAY())</f>
        <v>692</v>
      </c>
      <c r="L653">
        <f ca="1">DAYS360(INDIRECT(C69&amp;ROW()),TODAY())</f>
        <v>693</v>
      </c>
      <c r="M653">
        <f ca="1">HYPERLINK(CONCATENATE("https://bugzilla.houston.hp.com:1181/bugzilla/show_bug.cgi?id=",INDIRECT(C70&amp;ROW())),INDIRECT(C70&amp;ROW()))</f>
        <v>63197</v>
      </c>
      <c r="N653">
        <v>63197</v>
      </c>
      <c r="O653" t="s">
        <v>241</v>
      </c>
      <c r="P653" t="s">
        <v>1151</v>
      </c>
      <c r="Q653" t="s">
        <v>39</v>
      </c>
      <c r="R653" t="s">
        <v>251</v>
      </c>
      <c r="S653" t="s">
        <v>177</v>
      </c>
      <c r="U653" s="6">
        <v>42154.913425925923</v>
      </c>
      <c r="V653" t="s">
        <v>18</v>
      </c>
      <c r="W653" t="s">
        <v>764</v>
      </c>
      <c r="X653" s="6">
        <v>42153.768229166664</v>
      </c>
      <c r="Y653" t="s">
        <v>245</v>
      </c>
      <c r="AB653" t="s">
        <v>199</v>
      </c>
      <c r="AC653" t="s">
        <v>247</v>
      </c>
      <c r="AD653" t="s">
        <v>227</v>
      </c>
      <c r="AE653" t="s">
        <v>370</v>
      </c>
      <c r="AG653" t="s">
        <v>121</v>
      </c>
      <c r="AH653" t="s">
        <v>327</v>
      </c>
      <c r="AI653" t="s">
        <v>121</v>
      </c>
      <c r="AJ653" t="s">
        <v>715</v>
      </c>
      <c r="AK653" t="s">
        <v>121</v>
      </c>
    </row>
    <row r="654" spans="9:37" x14ac:dyDescent="0.3">
      <c r="I654">
        <f ca="1">IF(OR(INDIRECT(A73&amp;ROW())=B93,INDIRECT(A73&amp;ROW())=B94),1,IF(AND(INDIRECT(A73&amp;ROW())=B95,INDIRECT(A96&amp;ROW())=C93),1,IF(AND(INDIRECT(A73&amp;ROW())=B95,INDIRECT(A96&amp;ROW())=C94),1,0)))</f>
        <v>1</v>
      </c>
      <c r="J654">
        <f ca="1">IF(AND(INDIRECT(A73&amp;ROW())=B95,INDIRECT(A96&amp;ROW())=C95),1,IF(AND(INDIRECT(A73&amp;ROW())=B95,INDIRECT(A96&amp;ROW())=C96),1,0))</f>
        <v>0</v>
      </c>
      <c r="K654">
        <f ca="1">DAYS360(INDIRECT(C68&amp;ROW()),TODAY())</f>
        <v>692</v>
      </c>
      <c r="L654">
        <f ca="1">DAYS360(INDIRECT(C69&amp;ROW()),TODAY())</f>
        <v>692</v>
      </c>
      <c r="M654">
        <f ca="1">HYPERLINK(CONCATENATE("https://bugzilla.houston.hp.com:1181/bugzilla/show_bug.cgi?id=",INDIRECT(C70&amp;ROW())),INDIRECT(C70&amp;ROW()))</f>
        <v>63199</v>
      </c>
      <c r="N654">
        <v>63199</v>
      </c>
      <c r="O654" t="s">
        <v>241</v>
      </c>
      <c r="P654" t="s">
        <v>1150</v>
      </c>
      <c r="Q654" t="s">
        <v>39</v>
      </c>
      <c r="R654" t="s">
        <v>579</v>
      </c>
      <c r="S654" t="s">
        <v>552</v>
      </c>
      <c r="U654" s="6">
        <v>42154.914398148147</v>
      </c>
      <c r="V654" t="s">
        <v>18</v>
      </c>
      <c r="W654" t="s">
        <v>764</v>
      </c>
      <c r="X654" s="6">
        <v>42154.016817129632</v>
      </c>
      <c r="Y654" t="s">
        <v>245</v>
      </c>
      <c r="AB654" t="s">
        <v>199</v>
      </c>
      <c r="AC654" t="s">
        <v>247</v>
      </c>
      <c r="AD654" t="s">
        <v>227</v>
      </c>
      <c r="AE654" t="s">
        <v>370</v>
      </c>
      <c r="AG654" t="s">
        <v>121</v>
      </c>
      <c r="AH654" t="s">
        <v>327</v>
      </c>
      <c r="AI654" t="s">
        <v>121</v>
      </c>
      <c r="AJ654" t="s">
        <v>715</v>
      </c>
      <c r="AK654" t="s">
        <v>121</v>
      </c>
    </row>
    <row r="655" spans="9:37" x14ac:dyDescent="0.3">
      <c r="I655">
        <f ca="1">IF(OR(INDIRECT(A73&amp;ROW())=B93,INDIRECT(A73&amp;ROW())=B94),1,IF(AND(INDIRECT(A73&amp;ROW())=B95,INDIRECT(A96&amp;ROW())=C93),1,IF(AND(INDIRECT(A73&amp;ROW())=B95,INDIRECT(A96&amp;ROW())=C94),1,0)))</f>
        <v>1</v>
      </c>
      <c r="J655">
        <f ca="1">IF(AND(INDIRECT(A73&amp;ROW())=B95,INDIRECT(A96&amp;ROW())=C95),1,IF(AND(INDIRECT(A73&amp;ROW())=B95,INDIRECT(A96&amp;ROW())=C96),1,0))</f>
        <v>0</v>
      </c>
      <c r="K655">
        <f ca="1">DAYS360(INDIRECT(C68&amp;ROW()),TODAY())</f>
        <v>692</v>
      </c>
      <c r="L655">
        <f ca="1">DAYS360(INDIRECT(C69&amp;ROW()),TODAY())</f>
        <v>692</v>
      </c>
      <c r="M655">
        <f ca="1">HYPERLINK(CONCATENATE("https://bugzilla.houston.hp.com:1181/bugzilla/show_bug.cgi?id=",INDIRECT(C70&amp;ROW())),INDIRECT(C70&amp;ROW()))</f>
        <v>63200</v>
      </c>
      <c r="N655">
        <v>63200</v>
      </c>
      <c r="O655" t="s">
        <v>241</v>
      </c>
      <c r="P655" t="s">
        <v>1149</v>
      </c>
      <c r="Q655" t="s">
        <v>39</v>
      </c>
      <c r="R655" t="s">
        <v>248</v>
      </c>
      <c r="S655" t="s">
        <v>552</v>
      </c>
      <c r="U655" s="6">
        <v>42154.914386574077</v>
      </c>
      <c r="V655" t="s">
        <v>18</v>
      </c>
      <c r="W655" t="s">
        <v>764</v>
      </c>
      <c r="X655" s="6">
        <v>42154.016875000001</v>
      </c>
      <c r="Y655" t="s">
        <v>245</v>
      </c>
      <c r="AB655" t="s">
        <v>199</v>
      </c>
      <c r="AC655" t="s">
        <v>247</v>
      </c>
      <c r="AD655" t="s">
        <v>227</v>
      </c>
      <c r="AE655" t="s">
        <v>370</v>
      </c>
      <c r="AG655" t="s">
        <v>121</v>
      </c>
      <c r="AH655" t="s">
        <v>327</v>
      </c>
      <c r="AI655" t="s">
        <v>121</v>
      </c>
      <c r="AJ655" t="s">
        <v>715</v>
      </c>
      <c r="AK655" t="s">
        <v>121</v>
      </c>
    </row>
    <row r="656" spans="9:37" x14ac:dyDescent="0.3">
      <c r="I656">
        <f ca="1">IF(OR(INDIRECT(A73&amp;ROW())=B93,INDIRECT(A73&amp;ROW())=B94),1,IF(AND(INDIRECT(A73&amp;ROW())=B95,INDIRECT(A96&amp;ROW())=C93),1,IF(AND(INDIRECT(A73&amp;ROW())=B95,INDIRECT(A96&amp;ROW())=C94),1,0)))</f>
        <v>1</v>
      </c>
      <c r="J656">
        <f ca="1">IF(AND(INDIRECT(A73&amp;ROW())=B95,INDIRECT(A96&amp;ROW())=C95),1,IF(AND(INDIRECT(A73&amp;ROW())=B95,INDIRECT(A96&amp;ROW())=C96),1,0))</f>
        <v>0</v>
      </c>
      <c r="K656">
        <f ca="1">DAYS360(INDIRECT(C68&amp;ROW()),TODAY())</f>
        <v>691</v>
      </c>
      <c r="L656">
        <f ca="1">DAYS360(INDIRECT(C69&amp;ROW()),TODAY())</f>
        <v>691</v>
      </c>
      <c r="M656">
        <f ca="1">HYPERLINK(CONCATENATE("https://bugzilla.houston.hp.com:1181/bugzilla/show_bug.cgi?id=",INDIRECT(C70&amp;ROW())),INDIRECT(C70&amp;ROW()))</f>
        <v>63227</v>
      </c>
      <c r="N656">
        <v>63227</v>
      </c>
      <c r="O656" t="s">
        <v>66</v>
      </c>
      <c r="P656" t="s">
        <v>1155</v>
      </c>
      <c r="Q656" t="s">
        <v>25</v>
      </c>
      <c r="R656" t="s">
        <v>251</v>
      </c>
      <c r="S656" t="s">
        <v>62</v>
      </c>
      <c r="U656" s="6">
        <v>42156.306354166663</v>
      </c>
      <c r="V656" t="s">
        <v>18</v>
      </c>
      <c r="W656" t="s">
        <v>783</v>
      </c>
      <c r="X656" s="6">
        <v>42156.199236111112</v>
      </c>
      <c r="Y656" t="s">
        <v>119</v>
      </c>
      <c r="AB656" t="s">
        <v>199</v>
      </c>
      <c r="AC656" t="s">
        <v>247</v>
      </c>
      <c r="AD656" t="s">
        <v>220</v>
      </c>
      <c r="AE656" t="s">
        <v>219</v>
      </c>
      <c r="AG656" t="s">
        <v>121</v>
      </c>
      <c r="AH656" t="s">
        <v>327</v>
      </c>
      <c r="AI656" t="s">
        <v>121</v>
      </c>
      <c r="AJ656" t="s">
        <v>715</v>
      </c>
      <c r="AK656" t="s">
        <v>121</v>
      </c>
    </row>
    <row r="657" spans="9:37" x14ac:dyDescent="0.3">
      <c r="I657">
        <f ca="1">IF(OR(INDIRECT(A73&amp;ROW())=B93,INDIRECT(A73&amp;ROW())=B94),1,IF(AND(INDIRECT(A73&amp;ROW())=B95,INDIRECT(A96&amp;ROW())=C93),1,IF(AND(INDIRECT(A73&amp;ROW())=B95,INDIRECT(A96&amp;ROW())=C94),1,0)))</f>
        <v>1</v>
      </c>
      <c r="J657">
        <f ca="1">IF(AND(INDIRECT(A73&amp;ROW())=B95,INDIRECT(A96&amp;ROW())=C95),1,IF(AND(INDIRECT(A73&amp;ROW())=B95,INDIRECT(A96&amp;ROW())=C96),1,0))</f>
        <v>0</v>
      </c>
      <c r="K657">
        <f ca="1">DAYS360(INDIRECT(C68&amp;ROW()),TODAY())</f>
        <v>691</v>
      </c>
      <c r="L657">
        <f ca="1">DAYS360(INDIRECT(C69&amp;ROW()),TODAY())</f>
        <v>691</v>
      </c>
      <c r="M657">
        <f ca="1">HYPERLINK(CONCATENATE("https://bugzilla.houston.hp.com:1181/bugzilla/show_bug.cgi?id=",INDIRECT(C70&amp;ROW())),INDIRECT(C70&amp;ROW()))</f>
        <v>63248</v>
      </c>
      <c r="N657">
        <v>63248</v>
      </c>
      <c r="O657" t="s">
        <v>66</v>
      </c>
      <c r="P657" t="s">
        <v>1154</v>
      </c>
      <c r="Q657" t="s">
        <v>25</v>
      </c>
      <c r="R657" t="s">
        <v>783</v>
      </c>
      <c r="S657" t="s">
        <v>552</v>
      </c>
      <c r="U657" s="6">
        <v>42156.306250000001</v>
      </c>
      <c r="V657" t="s">
        <v>18</v>
      </c>
      <c r="W657" t="s">
        <v>783</v>
      </c>
      <c r="X657" s="6">
        <v>42156.306250000001</v>
      </c>
      <c r="Y657" t="s">
        <v>119</v>
      </c>
      <c r="AB657" t="s">
        <v>199</v>
      </c>
      <c r="AC657" t="s">
        <v>247</v>
      </c>
      <c r="AD657" t="s">
        <v>220</v>
      </c>
      <c r="AE657" t="s">
        <v>219</v>
      </c>
      <c r="AG657" t="s">
        <v>121</v>
      </c>
      <c r="AH657" t="s">
        <v>327</v>
      </c>
      <c r="AI657" t="s">
        <v>121</v>
      </c>
      <c r="AJ657" t="s">
        <v>715</v>
      </c>
      <c r="AK657" t="s">
        <v>121</v>
      </c>
    </row>
    <row r="658" spans="9:37" x14ac:dyDescent="0.3">
      <c r="I658">
        <f ca="1">IF(OR(INDIRECT(A73&amp;ROW())=B93,INDIRECT(A73&amp;ROW())=B94),1,IF(AND(INDIRECT(A73&amp;ROW())=B95,INDIRECT(A96&amp;ROW())=C93),1,IF(AND(INDIRECT(A73&amp;ROW())=B95,INDIRECT(A96&amp;ROW())=C94),1,0)))</f>
        <v>1</v>
      </c>
      <c r="J658">
        <f ca="1">IF(AND(INDIRECT(A73&amp;ROW())=B95,INDIRECT(A96&amp;ROW())=C95),1,IF(AND(INDIRECT(A73&amp;ROW())=B95,INDIRECT(A96&amp;ROW())=C96),1,0))</f>
        <v>0</v>
      </c>
      <c r="K658">
        <f ca="1">DAYS360(INDIRECT(C68&amp;ROW()),TODAY())</f>
        <v>691</v>
      </c>
      <c r="L658">
        <f ca="1">DAYS360(INDIRECT(C69&amp;ROW()),TODAY())</f>
        <v>691</v>
      </c>
      <c r="M658">
        <f ca="1">HYPERLINK(CONCATENATE("https://bugzilla.houston.hp.com:1181/bugzilla/show_bug.cgi?id=",INDIRECT(C70&amp;ROW())),INDIRECT(C70&amp;ROW()))</f>
        <v>63249</v>
      </c>
      <c r="N658">
        <v>63249</v>
      </c>
      <c r="O658" t="s">
        <v>66</v>
      </c>
      <c r="P658" t="s">
        <v>1153</v>
      </c>
      <c r="Q658" t="s">
        <v>25</v>
      </c>
      <c r="R658" t="s">
        <v>248</v>
      </c>
      <c r="S658" t="s">
        <v>552</v>
      </c>
      <c r="U658" s="6">
        <v>42156.306354166663</v>
      </c>
      <c r="V658" t="s">
        <v>18</v>
      </c>
      <c r="W658" t="s">
        <v>783</v>
      </c>
      <c r="X658" s="6">
        <v>42156.306354166663</v>
      </c>
      <c r="Y658" t="s">
        <v>119</v>
      </c>
      <c r="AB658" t="s">
        <v>199</v>
      </c>
      <c r="AC658" t="s">
        <v>247</v>
      </c>
      <c r="AD658" t="s">
        <v>220</v>
      </c>
      <c r="AE658" t="s">
        <v>219</v>
      </c>
      <c r="AG658" t="s">
        <v>121</v>
      </c>
      <c r="AH658" t="s">
        <v>327</v>
      </c>
      <c r="AI658" t="s">
        <v>121</v>
      </c>
      <c r="AJ658" t="s">
        <v>715</v>
      </c>
      <c r="AK658" t="s">
        <v>121</v>
      </c>
    </row>
    <row r="659" spans="9:37" x14ac:dyDescent="0.3">
      <c r="I659">
        <f ca="1">IF(OR(INDIRECT(A73&amp;ROW())=B93,INDIRECT(A73&amp;ROW())=B94),1,IF(AND(INDIRECT(A73&amp;ROW())=B95,INDIRECT(A96&amp;ROW())=C93),1,IF(AND(INDIRECT(A73&amp;ROW())=B95,INDIRECT(A96&amp;ROW())=C94),1,0)))</f>
        <v>0</v>
      </c>
      <c r="J659">
        <f ca="1">IF(AND(INDIRECT(A73&amp;ROW())=B95,INDIRECT(A96&amp;ROW())=C95),1,IF(AND(INDIRECT(A73&amp;ROW())=B95,INDIRECT(A96&amp;ROW())=C96),1,0))</f>
        <v>0</v>
      </c>
      <c r="K659">
        <f ca="1">DAYS360(INDIRECT(C68&amp;ROW()),TODAY())</f>
        <v>42242</v>
      </c>
      <c r="L659">
        <f ca="1">DAYS360(INDIRECT(C69&amp;ROW()),TODAY())</f>
        <v>42242</v>
      </c>
      <c r="M659">
        <f ca="1">HYPERLINK(CONCATENATE("https://bugzilla.houston.hp.com:1181/bugzilla/show_bug.cgi?id=",INDIRECT(C70&amp;ROW())),INDIRECT(C70&amp;ROW()))</f>
        <v>0</v>
      </c>
    </row>
    <row r="660" spans="9:37" x14ac:dyDescent="0.3">
      <c r="I660">
        <f ca="1">IF(OR(INDIRECT(A73&amp;ROW())=B93,INDIRECT(A73&amp;ROW())=B94),1,IF(AND(INDIRECT(A73&amp;ROW())=B95,INDIRECT(A96&amp;ROW())=C93),1,IF(AND(INDIRECT(A73&amp;ROW())=B95,INDIRECT(A96&amp;ROW())=C94),1,0)))</f>
        <v>0</v>
      </c>
      <c r="J660">
        <f ca="1">IF(AND(INDIRECT(A73&amp;ROW())=B95,INDIRECT(A96&amp;ROW())=C95),1,IF(AND(INDIRECT(A73&amp;ROW())=B95,INDIRECT(A96&amp;ROW())=C96),1,0))</f>
        <v>0</v>
      </c>
      <c r="K660">
        <f ca="1">DAYS360(INDIRECT(C68&amp;ROW()),TODAY())</f>
        <v>42242</v>
      </c>
      <c r="L660">
        <f ca="1">DAYS360(INDIRECT(C69&amp;ROW()),TODAY())</f>
        <v>42242</v>
      </c>
      <c r="M660">
        <f ca="1">HYPERLINK(CONCATENATE("https://bugzilla.houston.hp.com:1181/bugzilla/show_bug.cgi?id=",INDIRECT(C70&amp;ROW())),INDIRECT(C70&amp;ROW()))</f>
        <v>0</v>
      </c>
    </row>
    <row r="661" spans="9:37" x14ac:dyDescent="0.3">
      <c r="I661">
        <f ca="1">IF(OR(INDIRECT(A73&amp;ROW())=B93,INDIRECT(A73&amp;ROW())=B94),1,IF(AND(INDIRECT(A73&amp;ROW())=B95,INDIRECT(A96&amp;ROW())=C93),1,IF(AND(INDIRECT(A73&amp;ROW())=B95,INDIRECT(A96&amp;ROW())=C94),1,0)))</f>
        <v>0</v>
      </c>
      <c r="J661">
        <f ca="1">IF(AND(INDIRECT(A73&amp;ROW())=B95,INDIRECT(A96&amp;ROW())=C95),1,IF(AND(INDIRECT(A73&amp;ROW())=B95,INDIRECT(A96&amp;ROW())=C96),1,0))</f>
        <v>0</v>
      </c>
      <c r="K661">
        <f ca="1">DAYS360(INDIRECT(C68&amp;ROW()),TODAY())</f>
        <v>42242</v>
      </c>
      <c r="L661">
        <f ca="1">DAYS360(INDIRECT(C69&amp;ROW()),TODAY())</f>
        <v>42242</v>
      </c>
      <c r="M661">
        <f ca="1">HYPERLINK(CONCATENATE("https://bugzilla.houston.hp.com:1181/bugzilla/show_bug.cgi?id=",INDIRECT(C70&amp;ROW())),INDIRECT(C70&amp;ROW()))</f>
        <v>0</v>
      </c>
    </row>
    <row r="662" spans="9:37" x14ac:dyDescent="0.3">
      <c r="I662">
        <f ca="1">IF(OR(INDIRECT(A73&amp;ROW())=B93,INDIRECT(A73&amp;ROW())=B94),1,IF(AND(INDIRECT(A73&amp;ROW())=B95,INDIRECT(A96&amp;ROW())=C93),1,IF(AND(INDIRECT(A73&amp;ROW())=B95,INDIRECT(A96&amp;ROW())=C94),1,0)))</f>
        <v>0</v>
      </c>
      <c r="J662">
        <f ca="1">IF(AND(INDIRECT(A73&amp;ROW())=B95,INDIRECT(A96&amp;ROW())=C95),1,IF(AND(INDIRECT(A73&amp;ROW())=B95,INDIRECT(A96&amp;ROW())=C96),1,0))</f>
        <v>0</v>
      </c>
      <c r="K662">
        <f ca="1">DAYS360(INDIRECT(C68&amp;ROW()),TODAY())</f>
        <v>42242</v>
      </c>
      <c r="L662">
        <f ca="1">DAYS360(INDIRECT(C69&amp;ROW()),TODAY())</f>
        <v>42242</v>
      </c>
      <c r="M662">
        <f ca="1">HYPERLINK(CONCATENATE("https://bugzilla.houston.hp.com:1181/bugzilla/show_bug.cgi?id=",INDIRECT(C70&amp;ROW())),INDIRECT(C70&amp;ROW()))</f>
        <v>0</v>
      </c>
    </row>
    <row r="663" spans="9:37" x14ac:dyDescent="0.3">
      <c r="I663">
        <f ca="1">IF(OR(INDIRECT(A73&amp;ROW())=B93,INDIRECT(A73&amp;ROW())=B94),1,IF(AND(INDIRECT(A73&amp;ROW())=B95,INDIRECT(A96&amp;ROW())=C93),1,IF(AND(INDIRECT(A73&amp;ROW())=B95,INDIRECT(A96&amp;ROW())=C94),1,0)))</f>
        <v>0</v>
      </c>
      <c r="J663">
        <f ca="1">IF(AND(INDIRECT(A73&amp;ROW())=B95,INDIRECT(A96&amp;ROW())=C95),1,IF(AND(INDIRECT(A73&amp;ROW())=B95,INDIRECT(A96&amp;ROW())=C96),1,0))</f>
        <v>0</v>
      </c>
      <c r="K663">
        <f ca="1">DAYS360(INDIRECT(C68&amp;ROW()),TODAY())</f>
        <v>42242</v>
      </c>
      <c r="L663">
        <f ca="1">DAYS360(INDIRECT(C69&amp;ROW()),TODAY())</f>
        <v>42242</v>
      </c>
      <c r="M663">
        <f ca="1">HYPERLINK(CONCATENATE("https://bugzilla.houston.hp.com:1181/bugzilla/show_bug.cgi?id=",INDIRECT(C70&amp;ROW())),INDIRECT(C70&amp;ROW()))</f>
        <v>0</v>
      </c>
    </row>
    <row r="664" spans="9:37" x14ac:dyDescent="0.3">
      <c r="I664">
        <f ca="1">IF(OR(INDIRECT(A73&amp;ROW())=B93,INDIRECT(A73&amp;ROW())=B94),1,IF(AND(INDIRECT(A73&amp;ROW())=B95,INDIRECT(A96&amp;ROW())=C93),1,IF(AND(INDIRECT(A73&amp;ROW())=B95,INDIRECT(A96&amp;ROW())=C94),1,0)))</f>
        <v>0</v>
      </c>
      <c r="J664">
        <f ca="1">IF(AND(INDIRECT(A73&amp;ROW())=B95,INDIRECT(A96&amp;ROW())=C95),1,IF(AND(INDIRECT(A73&amp;ROW())=B95,INDIRECT(A96&amp;ROW())=C96),1,0))</f>
        <v>0</v>
      </c>
      <c r="K664">
        <f ca="1">DAYS360(INDIRECT(C68&amp;ROW()),TODAY())</f>
        <v>42242</v>
      </c>
      <c r="L664">
        <f ca="1">DAYS360(INDIRECT(C69&amp;ROW()),TODAY())</f>
        <v>42242</v>
      </c>
      <c r="M664">
        <f ca="1">HYPERLINK(CONCATENATE("https://bugzilla.houston.hp.com:1181/bugzilla/show_bug.cgi?id=",INDIRECT(C70&amp;ROW())),INDIRECT(C70&amp;ROW()))</f>
        <v>0</v>
      </c>
    </row>
    <row r="665" spans="9:37" x14ac:dyDescent="0.3">
      <c r="I665">
        <f ca="1">IF(OR(INDIRECT(A73&amp;ROW())=B93,INDIRECT(A73&amp;ROW())=B94),1,IF(AND(INDIRECT(A73&amp;ROW())=B95,INDIRECT(A96&amp;ROW())=C93),1,IF(AND(INDIRECT(A73&amp;ROW())=B95,INDIRECT(A96&amp;ROW())=C94),1,0)))</f>
        <v>0</v>
      </c>
      <c r="J665">
        <f ca="1">IF(AND(INDIRECT(A73&amp;ROW())=B95,INDIRECT(A96&amp;ROW())=C95),1,IF(AND(INDIRECT(A73&amp;ROW())=B95,INDIRECT(A96&amp;ROW())=C96),1,0))</f>
        <v>0</v>
      </c>
      <c r="K665">
        <f ca="1">DAYS360(INDIRECT(C68&amp;ROW()),TODAY())</f>
        <v>42242</v>
      </c>
      <c r="L665">
        <f ca="1">DAYS360(INDIRECT(C69&amp;ROW()),TODAY())</f>
        <v>42242</v>
      </c>
      <c r="M665">
        <f ca="1">HYPERLINK(CONCATENATE("https://bugzilla.houston.hp.com:1181/bugzilla/show_bug.cgi?id=",INDIRECT(C70&amp;ROW())),INDIRECT(C70&amp;ROW()))</f>
        <v>0</v>
      </c>
    </row>
    <row r="666" spans="9:37" x14ac:dyDescent="0.3">
      <c r="I666">
        <f ca="1">IF(OR(INDIRECT(A73&amp;ROW())=B93,INDIRECT(A73&amp;ROW())=B94),1,IF(AND(INDIRECT(A73&amp;ROW())=B95,INDIRECT(A96&amp;ROW())=C93),1,IF(AND(INDIRECT(A73&amp;ROW())=B95,INDIRECT(A96&amp;ROW())=C94),1,0)))</f>
        <v>0</v>
      </c>
      <c r="J666">
        <f ca="1">IF(AND(INDIRECT(A73&amp;ROW())=B95,INDIRECT(A96&amp;ROW())=C95),1,IF(AND(INDIRECT(A73&amp;ROW())=B95,INDIRECT(A96&amp;ROW())=C96),1,0))</f>
        <v>0</v>
      </c>
      <c r="K666">
        <f ca="1">DAYS360(INDIRECT(C68&amp;ROW()),TODAY())</f>
        <v>42242</v>
      </c>
      <c r="L666">
        <f ca="1">DAYS360(INDIRECT(C69&amp;ROW()),TODAY())</f>
        <v>42242</v>
      </c>
      <c r="M666">
        <f ca="1">HYPERLINK(CONCATENATE("https://bugzilla.houston.hp.com:1181/bugzilla/show_bug.cgi?id=",INDIRECT(C70&amp;ROW())),INDIRECT(C70&amp;ROW()))</f>
        <v>0</v>
      </c>
    </row>
    <row r="667" spans="9:37" x14ac:dyDescent="0.3">
      <c r="I667">
        <f ca="1">IF(OR(INDIRECT(A73&amp;ROW())=B93,INDIRECT(A73&amp;ROW())=B94),1,IF(AND(INDIRECT(A73&amp;ROW())=B95,INDIRECT(A96&amp;ROW())=C93),1,IF(AND(INDIRECT(A73&amp;ROW())=B95,INDIRECT(A96&amp;ROW())=C94),1,0)))</f>
        <v>0</v>
      </c>
      <c r="J667">
        <f ca="1">IF(AND(INDIRECT(A73&amp;ROW())=B95,INDIRECT(A96&amp;ROW())=C95),1,IF(AND(INDIRECT(A73&amp;ROW())=B95,INDIRECT(A96&amp;ROW())=C96),1,0))</f>
        <v>0</v>
      </c>
      <c r="K667">
        <f ca="1">DAYS360(INDIRECT(C68&amp;ROW()),TODAY())</f>
        <v>42242</v>
      </c>
      <c r="L667">
        <f ca="1">DAYS360(INDIRECT(C69&amp;ROW()),TODAY())</f>
        <v>42242</v>
      </c>
      <c r="M667">
        <f ca="1">HYPERLINK(CONCATENATE("https://bugzilla.houston.hp.com:1181/bugzilla/show_bug.cgi?id=",INDIRECT(C70&amp;ROW())),INDIRECT(C70&amp;ROW()))</f>
        <v>0</v>
      </c>
    </row>
    <row r="668" spans="9:37" x14ac:dyDescent="0.3">
      <c r="I668">
        <f ca="1">IF(OR(INDIRECT(A73&amp;ROW())=B93,INDIRECT(A73&amp;ROW())=B94),1,IF(AND(INDIRECT(A73&amp;ROW())=B95,INDIRECT(A96&amp;ROW())=C93),1,IF(AND(INDIRECT(A73&amp;ROW())=B95,INDIRECT(A96&amp;ROW())=C94),1,0)))</f>
        <v>0</v>
      </c>
      <c r="J668">
        <f ca="1">IF(AND(INDIRECT(A73&amp;ROW())=B95,INDIRECT(A96&amp;ROW())=C95),1,IF(AND(INDIRECT(A73&amp;ROW())=B95,INDIRECT(A96&amp;ROW())=C96),1,0))</f>
        <v>0</v>
      </c>
      <c r="K668">
        <f ca="1">DAYS360(INDIRECT(C68&amp;ROW()),TODAY())</f>
        <v>42242</v>
      </c>
      <c r="L668">
        <f ca="1">DAYS360(INDIRECT(C69&amp;ROW()),TODAY())</f>
        <v>42242</v>
      </c>
      <c r="M668">
        <f ca="1">HYPERLINK(CONCATENATE("https://bugzilla.houston.hp.com:1181/bugzilla/show_bug.cgi?id=",INDIRECT(C70&amp;ROW())),INDIRECT(C70&amp;ROW()))</f>
        <v>0</v>
      </c>
    </row>
    <row r="669" spans="9:37" x14ac:dyDescent="0.3">
      <c r="I669">
        <f ca="1">IF(OR(INDIRECT(A73&amp;ROW())=B93,INDIRECT(A73&amp;ROW())=B94),1,IF(AND(INDIRECT(A73&amp;ROW())=B95,INDIRECT(A96&amp;ROW())=C93),1,IF(AND(INDIRECT(A73&amp;ROW())=B95,INDIRECT(A96&amp;ROW())=C94),1,0)))</f>
        <v>0</v>
      </c>
      <c r="J669">
        <f ca="1">IF(AND(INDIRECT(A73&amp;ROW())=B95,INDIRECT(A96&amp;ROW())=C95),1,IF(AND(INDIRECT(A73&amp;ROW())=B95,INDIRECT(A96&amp;ROW())=C96),1,0))</f>
        <v>0</v>
      </c>
      <c r="K669">
        <f ca="1">DAYS360(INDIRECT(C68&amp;ROW()),TODAY())</f>
        <v>42242</v>
      </c>
      <c r="L669">
        <f ca="1">DAYS360(INDIRECT(C69&amp;ROW()),TODAY())</f>
        <v>42242</v>
      </c>
      <c r="M669">
        <f ca="1">HYPERLINK(CONCATENATE("https://bugzilla.houston.hp.com:1181/bugzilla/show_bug.cgi?id=",INDIRECT(C70&amp;ROW())),INDIRECT(C70&amp;ROW()))</f>
        <v>0</v>
      </c>
    </row>
    <row r="670" spans="9:37" x14ac:dyDescent="0.3">
      <c r="I670">
        <f ca="1">IF(OR(INDIRECT(A73&amp;ROW())=B93,INDIRECT(A73&amp;ROW())=B94),1,IF(AND(INDIRECT(A73&amp;ROW())=B95,INDIRECT(A96&amp;ROW())=C93),1,IF(AND(INDIRECT(A73&amp;ROW())=B95,INDIRECT(A96&amp;ROW())=C94),1,0)))</f>
        <v>0</v>
      </c>
      <c r="J670">
        <f ca="1">IF(AND(INDIRECT(A73&amp;ROW())=B95,INDIRECT(A96&amp;ROW())=C95),1,IF(AND(INDIRECT(A73&amp;ROW())=B95,INDIRECT(A96&amp;ROW())=C96),1,0))</f>
        <v>0</v>
      </c>
      <c r="K670">
        <f ca="1">DAYS360(INDIRECT(C68&amp;ROW()),TODAY())</f>
        <v>42242</v>
      </c>
      <c r="L670">
        <f ca="1">DAYS360(INDIRECT(C69&amp;ROW()),TODAY())</f>
        <v>42242</v>
      </c>
      <c r="M670">
        <f ca="1">HYPERLINK(CONCATENATE("https://bugzilla.houston.hp.com:1181/bugzilla/show_bug.cgi?id=",INDIRECT(C70&amp;ROW())),INDIRECT(C70&amp;ROW()))</f>
        <v>0</v>
      </c>
    </row>
    <row r="671" spans="9:37" x14ac:dyDescent="0.3">
      <c r="I671">
        <f ca="1">IF(OR(INDIRECT(A73&amp;ROW())=B93,INDIRECT(A73&amp;ROW())=B94),1,IF(AND(INDIRECT(A73&amp;ROW())=B95,INDIRECT(A96&amp;ROW())=C93),1,IF(AND(INDIRECT(A73&amp;ROW())=B95,INDIRECT(A96&amp;ROW())=C94),1,0)))</f>
        <v>0</v>
      </c>
      <c r="J671">
        <f ca="1">IF(AND(INDIRECT(A73&amp;ROW())=B95,INDIRECT(A96&amp;ROW())=C95),1,IF(AND(INDIRECT(A73&amp;ROW())=B95,INDIRECT(A96&amp;ROW())=C96),1,0))</f>
        <v>0</v>
      </c>
      <c r="K671">
        <f ca="1">DAYS360(INDIRECT(C68&amp;ROW()),TODAY())</f>
        <v>42242</v>
      </c>
      <c r="L671">
        <f ca="1">DAYS360(INDIRECT(C69&amp;ROW()),TODAY())</f>
        <v>42242</v>
      </c>
      <c r="M671">
        <f ca="1">HYPERLINK(CONCATENATE("https://bugzilla.houston.hp.com:1181/bugzilla/show_bug.cgi?id=",INDIRECT(C70&amp;ROW())),INDIRECT(C70&amp;ROW()))</f>
        <v>0</v>
      </c>
    </row>
    <row r="672" spans="9:37" x14ac:dyDescent="0.3">
      <c r="I672">
        <f ca="1">IF(OR(INDIRECT(A73&amp;ROW())=B93,INDIRECT(A73&amp;ROW())=B94),1,IF(AND(INDIRECT(A73&amp;ROW())=B95,INDIRECT(A96&amp;ROW())=C93),1,IF(AND(INDIRECT(A73&amp;ROW())=B95,INDIRECT(A96&amp;ROW())=C94),1,0)))</f>
        <v>0</v>
      </c>
      <c r="J672">
        <f ca="1">IF(AND(INDIRECT(A73&amp;ROW())=B95,INDIRECT(A96&amp;ROW())=C95),1,IF(AND(INDIRECT(A73&amp;ROW())=B95,INDIRECT(A96&amp;ROW())=C96),1,0))</f>
        <v>0</v>
      </c>
      <c r="K672">
        <f ca="1">DAYS360(INDIRECT(C68&amp;ROW()),TODAY())</f>
        <v>42242</v>
      </c>
      <c r="L672">
        <f ca="1">DAYS360(INDIRECT(C69&amp;ROW()),TODAY())</f>
        <v>42242</v>
      </c>
      <c r="M672">
        <f ca="1">HYPERLINK(CONCATENATE("https://bugzilla.houston.hp.com:1181/bugzilla/show_bug.cgi?id=",INDIRECT(C70&amp;ROW())),INDIRECT(C70&amp;ROW()))</f>
        <v>0</v>
      </c>
    </row>
    <row r="673" spans="9:13" x14ac:dyDescent="0.3">
      <c r="I673">
        <f ca="1">IF(OR(INDIRECT(A73&amp;ROW())=B93,INDIRECT(A73&amp;ROW())=B94),1,IF(AND(INDIRECT(A73&amp;ROW())=B95,INDIRECT(A96&amp;ROW())=C93),1,IF(AND(INDIRECT(A73&amp;ROW())=B95,INDIRECT(A96&amp;ROW())=C94),1,0)))</f>
        <v>0</v>
      </c>
      <c r="J673">
        <f ca="1">IF(AND(INDIRECT(A73&amp;ROW())=B95,INDIRECT(A96&amp;ROW())=C95),1,IF(AND(INDIRECT(A73&amp;ROW())=B95,INDIRECT(A96&amp;ROW())=C96),1,0))</f>
        <v>0</v>
      </c>
      <c r="K673">
        <f ca="1">DAYS360(INDIRECT(C68&amp;ROW()),TODAY())</f>
        <v>42242</v>
      </c>
      <c r="L673">
        <f ca="1">DAYS360(INDIRECT(C69&amp;ROW()),TODAY())</f>
        <v>42242</v>
      </c>
      <c r="M673">
        <f ca="1">HYPERLINK(CONCATENATE("https://bugzilla.houston.hp.com:1181/bugzilla/show_bug.cgi?id=",INDIRECT(C70&amp;ROW())),INDIRECT(C70&amp;ROW()))</f>
        <v>0</v>
      </c>
    </row>
    <row r="674" spans="9:13" x14ac:dyDescent="0.3">
      <c r="I674">
        <f ca="1">IF(OR(INDIRECT(A73&amp;ROW())=B93,INDIRECT(A73&amp;ROW())=B94),1,IF(AND(INDIRECT(A73&amp;ROW())=B95,INDIRECT(A96&amp;ROW())=C93),1,IF(AND(INDIRECT(A73&amp;ROW())=B95,INDIRECT(A96&amp;ROW())=C94),1,0)))</f>
        <v>0</v>
      </c>
      <c r="J674">
        <f ca="1">IF(AND(INDIRECT(A73&amp;ROW())=B95,INDIRECT(A96&amp;ROW())=C95),1,IF(AND(INDIRECT(A73&amp;ROW())=B95,INDIRECT(A96&amp;ROW())=C96),1,0))</f>
        <v>0</v>
      </c>
      <c r="K674">
        <f ca="1">DAYS360(INDIRECT(C68&amp;ROW()),TODAY())</f>
        <v>42242</v>
      </c>
      <c r="L674">
        <f ca="1">DAYS360(INDIRECT(C69&amp;ROW()),TODAY())</f>
        <v>42242</v>
      </c>
      <c r="M674">
        <f ca="1">HYPERLINK(CONCATENATE("https://bugzilla.houston.hp.com:1181/bugzilla/show_bug.cgi?id=",INDIRECT(C70&amp;ROW())),INDIRECT(C70&amp;ROW()))</f>
        <v>0</v>
      </c>
    </row>
    <row r="675" spans="9:13" x14ac:dyDescent="0.3">
      <c r="I675">
        <f ca="1">IF(OR(INDIRECT(A73&amp;ROW())=B93,INDIRECT(A73&amp;ROW())=B94),1,IF(AND(INDIRECT(A73&amp;ROW())=B95,INDIRECT(A96&amp;ROW())=C93),1,IF(AND(INDIRECT(A73&amp;ROW())=B95,INDIRECT(A96&amp;ROW())=C94),1,0)))</f>
        <v>0</v>
      </c>
      <c r="J675">
        <f ca="1">IF(AND(INDIRECT(A73&amp;ROW())=B95,INDIRECT(A96&amp;ROW())=C95),1,IF(AND(INDIRECT(A73&amp;ROW())=B95,INDIRECT(A96&amp;ROW())=C96),1,0))</f>
        <v>0</v>
      </c>
      <c r="K675">
        <f ca="1">DAYS360(INDIRECT(C68&amp;ROW()),TODAY())</f>
        <v>42242</v>
      </c>
      <c r="L675">
        <f ca="1">DAYS360(INDIRECT(C69&amp;ROW()),TODAY())</f>
        <v>42242</v>
      </c>
      <c r="M675">
        <f ca="1">HYPERLINK(CONCATENATE("https://bugzilla.houston.hp.com:1181/bugzilla/show_bug.cgi?id=",INDIRECT(C70&amp;ROW())),INDIRECT(C70&amp;ROW()))</f>
        <v>0</v>
      </c>
    </row>
    <row r="676" spans="9:13" x14ac:dyDescent="0.3">
      <c r="I676">
        <f ca="1">IF(OR(INDIRECT(A73&amp;ROW())=B93,INDIRECT(A73&amp;ROW())=B94),1,IF(AND(INDIRECT(A73&amp;ROW())=B95,INDIRECT(A96&amp;ROW())=C93),1,IF(AND(INDIRECT(A73&amp;ROW())=B95,INDIRECT(A96&amp;ROW())=C94),1,0)))</f>
        <v>0</v>
      </c>
      <c r="J676">
        <f ca="1">IF(AND(INDIRECT(A73&amp;ROW())=B95,INDIRECT(A96&amp;ROW())=C95),1,IF(AND(INDIRECT(A73&amp;ROW())=B95,INDIRECT(A96&amp;ROW())=C96),1,0))</f>
        <v>0</v>
      </c>
      <c r="K676">
        <f ca="1">DAYS360(INDIRECT(C68&amp;ROW()),TODAY())</f>
        <v>42242</v>
      </c>
      <c r="L676">
        <f ca="1">DAYS360(INDIRECT(C69&amp;ROW()),TODAY())</f>
        <v>42242</v>
      </c>
      <c r="M676">
        <f ca="1">HYPERLINK(CONCATENATE("https://bugzilla.houston.hp.com:1181/bugzilla/show_bug.cgi?id=",INDIRECT(C70&amp;ROW())),INDIRECT(C70&amp;ROW()))</f>
        <v>0</v>
      </c>
    </row>
    <row r="677" spans="9:13" x14ac:dyDescent="0.3">
      <c r="I677">
        <f ca="1">IF(OR(INDIRECT(A73&amp;ROW())=B93,INDIRECT(A73&amp;ROW())=B94),1,IF(AND(INDIRECT(A73&amp;ROW())=B95,INDIRECT(A96&amp;ROW())=C93),1,IF(AND(INDIRECT(A73&amp;ROW())=B95,INDIRECT(A96&amp;ROW())=C94),1,0)))</f>
        <v>0</v>
      </c>
      <c r="J677">
        <f ca="1">IF(AND(INDIRECT(A73&amp;ROW())=B95,INDIRECT(A96&amp;ROW())=C95),1,IF(AND(INDIRECT(A73&amp;ROW())=B95,INDIRECT(A96&amp;ROW())=C96),1,0))</f>
        <v>0</v>
      </c>
      <c r="K677">
        <f ca="1">DAYS360(INDIRECT(C68&amp;ROW()),TODAY())</f>
        <v>42242</v>
      </c>
      <c r="L677">
        <f ca="1">DAYS360(INDIRECT(C69&amp;ROW()),TODAY())</f>
        <v>42242</v>
      </c>
      <c r="M677">
        <f ca="1">HYPERLINK(CONCATENATE("https://bugzilla.houston.hp.com:1181/bugzilla/show_bug.cgi?id=",INDIRECT(C70&amp;ROW())),INDIRECT(C70&amp;ROW()))</f>
        <v>0</v>
      </c>
    </row>
    <row r="678" spans="9:13" x14ac:dyDescent="0.3">
      <c r="I678">
        <f ca="1">IF(OR(INDIRECT(A73&amp;ROW())=B93,INDIRECT(A73&amp;ROW())=B94),1,IF(AND(INDIRECT(A73&amp;ROW())=B95,INDIRECT(A96&amp;ROW())=C93),1,IF(AND(INDIRECT(A73&amp;ROW())=B95,INDIRECT(A96&amp;ROW())=C94),1,0)))</f>
        <v>0</v>
      </c>
      <c r="J678">
        <f ca="1">IF(AND(INDIRECT(A73&amp;ROW())=B95,INDIRECT(A96&amp;ROW())=C95),1,IF(AND(INDIRECT(A73&amp;ROW())=B95,INDIRECT(A96&amp;ROW())=C96),1,0))</f>
        <v>0</v>
      </c>
      <c r="K678">
        <f ca="1">DAYS360(INDIRECT(C68&amp;ROW()),TODAY())</f>
        <v>42242</v>
      </c>
      <c r="L678">
        <f ca="1">DAYS360(INDIRECT(C69&amp;ROW()),TODAY())</f>
        <v>42242</v>
      </c>
      <c r="M678">
        <f ca="1">HYPERLINK(CONCATENATE("https://bugzilla.houston.hp.com:1181/bugzilla/show_bug.cgi?id=",INDIRECT(C70&amp;ROW())),INDIRECT(C70&amp;ROW()))</f>
        <v>0</v>
      </c>
    </row>
    <row r="679" spans="9:13" x14ac:dyDescent="0.3">
      <c r="I679">
        <f ca="1">IF(OR(INDIRECT(A73&amp;ROW())=B93,INDIRECT(A73&amp;ROW())=B94),1,IF(AND(INDIRECT(A73&amp;ROW())=B95,INDIRECT(A96&amp;ROW())=C93),1,IF(AND(INDIRECT(A73&amp;ROW())=B95,INDIRECT(A96&amp;ROW())=C94),1,0)))</f>
        <v>0</v>
      </c>
      <c r="J679">
        <f ca="1">IF(AND(INDIRECT(A73&amp;ROW())=B95,INDIRECT(A96&amp;ROW())=C95),1,IF(AND(INDIRECT(A73&amp;ROW())=B95,INDIRECT(A96&amp;ROW())=C96),1,0))</f>
        <v>0</v>
      </c>
      <c r="K679">
        <f ca="1">DAYS360(INDIRECT(C68&amp;ROW()),TODAY())</f>
        <v>42242</v>
      </c>
      <c r="L679">
        <f ca="1">DAYS360(INDIRECT(C69&amp;ROW()),TODAY())</f>
        <v>42242</v>
      </c>
      <c r="M679">
        <f ca="1">HYPERLINK(CONCATENATE("https://bugzilla.houston.hp.com:1181/bugzilla/show_bug.cgi?id=",INDIRECT(C70&amp;ROW())),INDIRECT(C70&amp;ROW()))</f>
        <v>0</v>
      </c>
    </row>
    <row r="680" spans="9:13" x14ac:dyDescent="0.3">
      <c r="I680">
        <f ca="1">IF(OR(INDIRECT(A73&amp;ROW())=B93,INDIRECT(A73&amp;ROW())=B94),1,IF(AND(INDIRECT(A73&amp;ROW())=B95,INDIRECT(A96&amp;ROW())=C93),1,IF(AND(INDIRECT(A73&amp;ROW())=B95,INDIRECT(A96&amp;ROW())=C94),1,0)))</f>
        <v>0</v>
      </c>
      <c r="J680">
        <f ca="1">IF(AND(INDIRECT(A73&amp;ROW())=B95,INDIRECT(A96&amp;ROW())=C95),1,IF(AND(INDIRECT(A73&amp;ROW())=B95,INDIRECT(A96&amp;ROW())=C96),1,0))</f>
        <v>0</v>
      </c>
      <c r="K680">
        <f ca="1">DAYS360(INDIRECT(C68&amp;ROW()),TODAY())</f>
        <v>42242</v>
      </c>
      <c r="L680">
        <f ca="1">DAYS360(INDIRECT(C69&amp;ROW()),TODAY())</f>
        <v>42242</v>
      </c>
      <c r="M680">
        <f ca="1">HYPERLINK(CONCATENATE("https://bugzilla.houston.hp.com:1181/bugzilla/show_bug.cgi?id=",INDIRECT(C70&amp;ROW())),INDIRECT(C70&amp;ROW()))</f>
        <v>0</v>
      </c>
    </row>
    <row r="681" spans="9:13" x14ac:dyDescent="0.3">
      <c r="I681">
        <f ca="1">IF(OR(INDIRECT(A73&amp;ROW())=B93,INDIRECT(A73&amp;ROW())=B94),1,IF(AND(INDIRECT(A73&amp;ROW())=B95,INDIRECT(A96&amp;ROW())=C93),1,IF(AND(INDIRECT(A73&amp;ROW())=B95,INDIRECT(A96&amp;ROW())=C94),1,0)))</f>
        <v>0</v>
      </c>
      <c r="J681">
        <f ca="1">IF(AND(INDIRECT(A73&amp;ROW())=B95,INDIRECT(A96&amp;ROW())=C95),1,IF(AND(INDIRECT(A73&amp;ROW())=B95,INDIRECT(A96&amp;ROW())=C96),1,0))</f>
        <v>0</v>
      </c>
      <c r="K681">
        <f ca="1">DAYS360(INDIRECT(C68&amp;ROW()),TODAY())</f>
        <v>42242</v>
      </c>
      <c r="L681">
        <f ca="1">DAYS360(INDIRECT(C69&amp;ROW()),TODAY())</f>
        <v>42242</v>
      </c>
      <c r="M681">
        <f ca="1">HYPERLINK(CONCATENATE("https://bugzilla.houston.hp.com:1181/bugzilla/show_bug.cgi?id=",INDIRECT(C70&amp;ROW())),INDIRECT(C70&amp;ROW()))</f>
        <v>0</v>
      </c>
    </row>
    <row r="682" spans="9:13" x14ac:dyDescent="0.3">
      <c r="I682">
        <f ca="1">IF(OR(INDIRECT(A73&amp;ROW())=B93,INDIRECT(A73&amp;ROW())=B94),1,IF(AND(INDIRECT(A73&amp;ROW())=B95,INDIRECT(A96&amp;ROW())=C93),1,IF(AND(INDIRECT(A73&amp;ROW())=B95,INDIRECT(A96&amp;ROW())=C94),1,0)))</f>
        <v>0</v>
      </c>
      <c r="J682">
        <f ca="1">IF(AND(INDIRECT(A73&amp;ROW())=B95,INDIRECT(A96&amp;ROW())=C95),1,IF(AND(INDIRECT(A73&amp;ROW())=B95,INDIRECT(A96&amp;ROW())=C96),1,0))</f>
        <v>0</v>
      </c>
      <c r="K682">
        <f ca="1">DAYS360(INDIRECT(C68&amp;ROW()),TODAY())</f>
        <v>42242</v>
      </c>
      <c r="L682">
        <f ca="1">DAYS360(INDIRECT(C69&amp;ROW()),TODAY())</f>
        <v>42242</v>
      </c>
      <c r="M682">
        <f ca="1">HYPERLINK(CONCATENATE("https://bugzilla.houston.hp.com:1181/bugzilla/show_bug.cgi?id=",INDIRECT(C70&amp;ROW())),INDIRECT(C70&amp;ROW()))</f>
        <v>0</v>
      </c>
    </row>
    <row r="683" spans="9:13" x14ac:dyDescent="0.3">
      <c r="I683">
        <f ca="1">IF(OR(INDIRECT(A73&amp;ROW())=B93,INDIRECT(A73&amp;ROW())=B94),1,IF(AND(INDIRECT(A73&amp;ROW())=B95,INDIRECT(A96&amp;ROW())=C93),1,IF(AND(INDIRECT(A73&amp;ROW())=B95,INDIRECT(A96&amp;ROW())=C94),1,0)))</f>
        <v>0</v>
      </c>
      <c r="J683">
        <f ca="1">IF(AND(INDIRECT(A73&amp;ROW())=B95,INDIRECT(A96&amp;ROW())=C95),1,IF(AND(INDIRECT(A73&amp;ROW())=B95,INDIRECT(A96&amp;ROW())=C96),1,0))</f>
        <v>0</v>
      </c>
      <c r="K683">
        <f ca="1">DAYS360(INDIRECT(C68&amp;ROW()),TODAY())</f>
        <v>42242</v>
      </c>
      <c r="L683">
        <f ca="1">DAYS360(INDIRECT(C69&amp;ROW()),TODAY())</f>
        <v>42242</v>
      </c>
      <c r="M683">
        <f ca="1">HYPERLINK(CONCATENATE("https://bugzilla.houston.hp.com:1181/bugzilla/show_bug.cgi?id=",INDIRECT(C70&amp;ROW())),INDIRECT(C70&amp;ROW()))</f>
        <v>0</v>
      </c>
    </row>
    <row r="684" spans="9:13" x14ac:dyDescent="0.3">
      <c r="I684">
        <f ca="1">IF(OR(INDIRECT(A73&amp;ROW())=B93,INDIRECT(A73&amp;ROW())=B94),1,IF(AND(INDIRECT(A73&amp;ROW())=B95,INDIRECT(A96&amp;ROW())=C93),1,IF(AND(INDIRECT(A73&amp;ROW())=B95,INDIRECT(A96&amp;ROW())=C94),1,0)))</f>
        <v>0</v>
      </c>
      <c r="J684">
        <f ca="1">IF(AND(INDIRECT(A73&amp;ROW())=B95,INDIRECT(A96&amp;ROW())=C95),1,IF(AND(INDIRECT(A73&amp;ROW())=B95,INDIRECT(A96&amp;ROW())=C96),1,0))</f>
        <v>0</v>
      </c>
      <c r="K684">
        <f ca="1">DAYS360(INDIRECT(C68&amp;ROW()),TODAY())</f>
        <v>42242</v>
      </c>
      <c r="L684">
        <f ca="1">DAYS360(INDIRECT(C69&amp;ROW()),TODAY())</f>
        <v>42242</v>
      </c>
      <c r="M684">
        <f ca="1">HYPERLINK(CONCATENATE("https://bugzilla.houston.hp.com:1181/bugzilla/show_bug.cgi?id=",INDIRECT(C70&amp;ROW())),INDIRECT(C70&amp;ROW()))</f>
        <v>0</v>
      </c>
    </row>
    <row r="685" spans="9:13" x14ac:dyDescent="0.3">
      <c r="I685">
        <f ca="1">IF(OR(INDIRECT(A73&amp;ROW())=B93,INDIRECT(A73&amp;ROW())=B94),1,IF(AND(INDIRECT(A73&amp;ROW())=B95,INDIRECT(A96&amp;ROW())=C93),1,IF(AND(INDIRECT(A73&amp;ROW())=B95,INDIRECT(A96&amp;ROW())=C94),1,0)))</f>
        <v>0</v>
      </c>
      <c r="J685">
        <f ca="1">IF(AND(INDIRECT(A73&amp;ROW())=B95,INDIRECT(A96&amp;ROW())=C95),1,IF(AND(INDIRECT(A73&amp;ROW())=B95,INDIRECT(A96&amp;ROW())=C96),1,0))</f>
        <v>0</v>
      </c>
      <c r="K685">
        <f ca="1">DAYS360(INDIRECT(C68&amp;ROW()),TODAY())</f>
        <v>42242</v>
      </c>
      <c r="L685">
        <f ca="1">DAYS360(INDIRECT(C69&amp;ROW()),TODAY())</f>
        <v>42242</v>
      </c>
      <c r="M685">
        <f ca="1">HYPERLINK(CONCATENATE("https://bugzilla.houston.hp.com:1181/bugzilla/show_bug.cgi?id=",INDIRECT(C70&amp;ROW())),INDIRECT(C70&amp;ROW()))</f>
        <v>0</v>
      </c>
    </row>
    <row r="686" spans="9:13" x14ac:dyDescent="0.3">
      <c r="I686">
        <f ca="1">IF(OR(INDIRECT(A73&amp;ROW())=B93,INDIRECT(A73&amp;ROW())=B94),1,IF(AND(INDIRECT(A73&amp;ROW())=B95,INDIRECT(A96&amp;ROW())=C93),1,IF(AND(INDIRECT(A73&amp;ROW())=B95,INDIRECT(A96&amp;ROW())=C94),1,0)))</f>
        <v>0</v>
      </c>
      <c r="J686">
        <f ca="1">IF(AND(INDIRECT(A73&amp;ROW())=B95,INDIRECT(A96&amp;ROW())=C95),1,IF(AND(INDIRECT(A73&amp;ROW())=B95,INDIRECT(A96&amp;ROW())=C96),1,0))</f>
        <v>0</v>
      </c>
      <c r="K686">
        <f ca="1">DAYS360(INDIRECT(C68&amp;ROW()),TODAY())</f>
        <v>42242</v>
      </c>
      <c r="L686">
        <f ca="1">DAYS360(INDIRECT(C69&amp;ROW()),TODAY())</f>
        <v>42242</v>
      </c>
      <c r="M686">
        <f ca="1">HYPERLINK(CONCATENATE("https://bugzilla.houston.hp.com:1181/bugzilla/show_bug.cgi?id=",INDIRECT(C70&amp;ROW())),INDIRECT(C70&amp;ROW()))</f>
        <v>0</v>
      </c>
    </row>
    <row r="687" spans="9:13" x14ac:dyDescent="0.3">
      <c r="I687">
        <f ca="1">IF(OR(INDIRECT(A73&amp;ROW())=B93,INDIRECT(A73&amp;ROW())=B94),1,IF(AND(INDIRECT(A73&amp;ROW())=B95,INDIRECT(A96&amp;ROW())=C93),1,IF(AND(INDIRECT(A73&amp;ROW())=B95,INDIRECT(A96&amp;ROW())=C94),1,0)))</f>
        <v>0</v>
      </c>
      <c r="J687">
        <f ca="1">IF(AND(INDIRECT(A73&amp;ROW())=B95,INDIRECT(A96&amp;ROW())=C95),1,IF(AND(INDIRECT(A73&amp;ROW())=B95,INDIRECT(A96&amp;ROW())=C96),1,0))</f>
        <v>0</v>
      </c>
      <c r="K687">
        <f ca="1">DAYS360(INDIRECT(C68&amp;ROW()),TODAY())</f>
        <v>42242</v>
      </c>
      <c r="L687">
        <f ca="1">DAYS360(INDIRECT(C69&amp;ROW()),TODAY())</f>
        <v>42242</v>
      </c>
      <c r="M687">
        <f ca="1">HYPERLINK(CONCATENATE("https://bugzilla.houston.hp.com:1181/bugzilla/show_bug.cgi?id=",INDIRECT(C70&amp;ROW())),INDIRECT(C70&amp;ROW()))</f>
        <v>0</v>
      </c>
    </row>
    <row r="688" spans="9:13" x14ac:dyDescent="0.3">
      <c r="I688">
        <f ca="1">IF(OR(INDIRECT(A73&amp;ROW())=B93,INDIRECT(A73&amp;ROW())=B94),1,IF(AND(INDIRECT(A73&amp;ROW())=B95,INDIRECT(A96&amp;ROW())=C93),1,IF(AND(INDIRECT(A73&amp;ROW())=B95,INDIRECT(A96&amp;ROW())=C94),1,0)))</f>
        <v>0</v>
      </c>
      <c r="J688">
        <f ca="1">IF(AND(INDIRECT(A73&amp;ROW())=B95,INDIRECT(A96&amp;ROW())=C95),1,IF(AND(INDIRECT(A73&amp;ROW())=B95,INDIRECT(A96&amp;ROW())=C96),1,0))</f>
        <v>0</v>
      </c>
      <c r="K688">
        <f ca="1">DAYS360(INDIRECT(C68&amp;ROW()),TODAY())</f>
        <v>42242</v>
      </c>
      <c r="L688">
        <f ca="1">DAYS360(INDIRECT(C69&amp;ROW()),TODAY())</f>
        <v>42242</v>
      </c>
      <c r="M688">
        <f ca="1">HYPERLINK(CONCATENATE("https://bugzilla.houston.hp.com:1181/bugzilla/show_bug.cgi?id=",INDIRECT(C70&amp;ROW())),INDIRECT(C70&amp;ROW()))</f>
        <v>0</v>
      </c>
    </row>
    <row r="689" spans="9:13" x14ac:dyDescent="0.3">
      <c r="I689">
        <f ca="1">IF(OR(INDIRECT(A73&amp;ROW())=B93,INDIRECT(A73&amp;ROW())=B94),1,IF(AND(INDIRECT(A73&amp;ROW())=B95,INDIRECT(A96&amp;ROW())=C93),1,IF(AND(INDIRECT(A73&amp;ROW())=B95,INDIRECT(A96&amp;ROW())=C94),1,0)))</f>
        <v>0</v>
      </c>
      <c r="J689">
        <f ca="1">IF(AND(INDIRECT(A73&amp;ROW())=B95,INDIRECT(A96&amp;ROW())=C95),1,IF(AND(INDIRECT(A73&amp;ROW())=B95,INDIRECT(A96&amp;ROW())=C96),1,0))</f>
        <v>0</v>
      </c>
      <c r="K689">
        <f ca="1">DAYS360(INDIRECT(C68&amp;ROW()),TODAY())</f>
        <v>42242</v>
      </c>
      <c r="L689">
        <f ca="1">DAYS360(INDIRECT(C69&amp;ROW()),TODAY())</f>
        <v>42242</v>
      </c>
      <c r="M689">
        <f ca="1">HYPERLINK(CONCATENATE("https://bugzilla.houston.hp.com:1181/bugzilla/show_bug.cgi?id=",INDIRECT(C70&amp;ROW())),INDIRECT(C70&amp;ROW()))</f>
        <v>0</v>
      </c>
    </row>
    <row r="690" spans="9:13" x14ac:dyDescent="0.3">
      <c r="I690">
        <f ca="1">IF(OR(INDIRECT(A73&amp;ROW())=B93,INDIRECT(A73&amp;ROW())=B94),1,IF(AND(INDIRECT(A73&amp;ROW())=B95,INDIRECT(A96&amp;ROW())=C93),1,IF(AND(INDIRECT(A73&amp;ROW())=B95,INDIRECT(A96&amp;ROW())=C94),1,0)))</f>
        <v>0</v>
      </c>
      <c r="J690">
        <f ca="1">IF(AND(INDIRECT(A73&amp;ROW())=B95,INDIRECT(A96&amp;ROW())=C95),1,IF(AND(INDIRECT(A73&amp;ROW())=B95,INDIRECT(A96&amp;ROW())=C96),1,0))</f>
        <v>0</v>
      </c>
      <c r="K690">
        <f ca="1">DAYS360(INDIRECT(C68&amp;ROW()),TODAY())</f>
        <v>42242</v>
      </c>
      <c r="L690">
        <f ca="1">DAYS360(INDIRECT(C69&amp;ROW()),TODAY())</f>
        <v>42242</v>
      </c>
      <c r="M690">
        <f ca="1">HYPERLINK(CONCATENATE("https://bugzilla.houston.hp.com:1181/bugzilla/show_bug.cgi?id=",INDIRECT(C70&amp;ROW())),INDIRECT(C70&amp;ROW()))</f>
        <v>0</v>
      </c>
    </row>
  </sheetData>
  <autoFilter ref="I1:AK800"/>
  <hyperlinks>
    <hyperlink ref="B64" location="Assignees!A1" display="Assignees"/>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Assigned to">
          <x14:formula1>
            <xm:f>[4]Assignees!#REF!</xm:f>
          </x14:formula1>
          <xm:sqref>B39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R54"/>
  <sheetViews>
    <sheetView topLeftCell="A25" workbookViewId="0">
      <selection activeCell="B1" sqref="B1"/>
    </sheetView>
  </sheetViews>
  <sheetFormatPr defaultRowHeight="14.4" x14ac:dyDescent="0.3"/>
  <cols>
    <col min="1" max="1" width="29.44140625" bestFit="1" customWidth="1"/>
    <col min="2" max="2" width="8.109375" customWidth="1"/>
    <col min="3" max="3" width="19" bestFit="1" customWidth="1"/>
    <col min="4" max="4" width="28.5546875" customWidth="1"/>
    <col min="5" max="5" width="23.109375" customWidth="1"/>
    <col min="6" max="6" width="22.44140625" customWidth="1"/>
    <col min="14" max="14" width="14.77734375" bestFit="1" customWidth="1"/>
    <col min="15" max="15" width="15.44140625" bestFit="1" customWidth="1"/>
  </cols>
  <sheetData>
    <row r="1" spans="1:18" x14ac:dyDescent="0.3">
      <c r="A1" t="s">
        <v>187</v>
      </c>
      <c r="B1" t="e">
        <f ca="1">COUNTIF(INDIRECT("'"&amp;O46&amp;"'!"&amp;P46):INDIRECT("'"&amp;O46&amp;"'!"&amp;Q46),INDIRECT("a"&amp;ROW()))</f>
        <v>#REF!</v>
      </c>
      <c r="C1" t="s">
        <v>17</v>
      </c>
      <c r="D1" t="s">
        <v>17</v>
      </c>
      <c r="F1" t="s">
        <v>69</v>
      </c>
      <c r="O1" t="str">
        <f ca="1">N54</f>
        <v>bugs-2017-05-02</v>
      </c>
      <c r="P1" t="str">
        <f ca="1">CONCATENATE(INDIRECT("o48"),"2")</f>
        <v>o2</v>
      </c>
      <c r="Q1" t="e">
        <f ca="1">CONCATENATE(INDIRECT("o48"),INDIRECT("'"&amp;O1&amp;"'!a66"))</f>
        <v>#REF!</v>
      </c>
      <c r="R1" t="s">
        <v>99</v>
      </c>
    </row>
    <row r="2" spans="1:18" x14ac:dyDescent="0.3">
      <c r="A2" t="s">
        <v>33</v>
      </c>
      <c r="B2" t="e">
        <f ca="1">COUNTIF(INDIRECT("'"&amp;O46&amp;"'!"&amp;P46):INDIRECT("'"&amp;O46&amp;"'!"&amp;Q46),INDIRECT("a"&amp;ROW()))</f>
        <v>#REF!</v>
      </c>
      <c r="C2" t="s">
        <v>32</v>
      </c>
      <c r="D2" t="s">
        <v>248</v>
      </c>
      <c r="O2" t="str">
        <f ca="1">N54</f>
        <v>bugs-2017-05-02</v>
      </c>
      <c r="P2" t="str">
        <f ca="1">CONCATENATE(INDIRECT("o48"),"2")</f>
        <v>o2</v>
      </c>
      <c r="Q2" t="e">
        <f t="shared" ref="Q2:Q46" ca="1" si="0">CONCATENATE(INDIRECT("o48"),INDIRECT("'"&amp;O2&amp;"'!a66"))</f>
        <v>#REF!</v>
      </c>
      <c r="R2" t="s">
        <v>129</v>
      </c>
    </row>
    <row r="3" spans="1:18" x14ac:dyDescent="0.3">
      <c r="A3" t="s">
        <v>194</v>
      </c>
      <c r="B3" t="e">
        <f ca="1">COUNTIF(INDIRECT("'"&amp;O46&amp;"'!"&amp;P46):INDIRECT("'"&amp;O46&amp;"'!"&amp;Q46),INDIRECT("a"&amp;ROW()))</f>
        <v>#REF!</v>
      </c>
      <c r="C3" t="s">
        <v>20</v>
      </c>
      <c r="D3" t="s">
        <v>252</v>
      </c>
      <c r="F3" t="s">
        <v>70</v>
      </c>
      <c r="G3" t="s">
        <v>357</v>
      </c>
      <c r="O3" t="str">
        <f ca="1">N54</f>
        <v>bugs-2017-05-02</v>
      </c>
      <c r="P3" t="str">
        <f t="shared" ref="P3:P46" ca="1" si="1">CONCATENATE(INDIRECT("o48"),"2")</f>
        <v>o2</v>
      </c>
      <c r="Q3" t="e">
        <f t="shared" ca="1" si="0"/>
        <v>#REF!</v>
      </c>
      <c r="R3" t="s">
        <v>130</v>
      </c>
    </row>
    <row r="4" spans="1:18" x14ac:dyDescent="0.3">
      <c r="A4" t="s">
        <v>156</v>
      </c>
      <c r="B4" t="e">
        <f ca="1">COUNTIF(INDIRECT("'"&amp;O46&amp;"'!"&amp;P46):INDIRECT("'"&amp;O46&amp;"'!"&amp;Q46),INDIRECT("a"&amp;ROW()))</f>
        <v>#REF!</v>
      </c>
      <c r="C4" t="s">
        <v>27</v>
      </c>
      <c r="D4" t="s">
        <v>251</v>
      </c>
      <c r="F4" t="s">
        <v>71</v>
      </c>
      <c r="G4" t="s">
        <v>358</v>
      </c>
      <c r="O4" t="str">
        <f ca="1">N54</f>
        <v>bugs-2017-05-02</v>
      </c>
      <c r="P4" t="str">
        <f t="shared" ca="1" si="1"/>
        <v>o2</v>
      </c>
      <c r="Q4" t="e">
        <f t="shared" ca="1" si="0"/>
        <v>#REF!</v>
      </c>
      <c r="R4" t="s">
        <v>131</v>
      </c>
    </row>
    <row r="5" spans="1:18" x14ac:dyDescent="0.3">
      <c r="A5" t="s">
        <v>320</v>
      </c>
      <c r="B5" t="e">
        <f ca="1">COUNTIF(INDIRECT("'"&amp;O46&amp;"'!"&amp;P46):INDIRECT("'"&amp;O46&amp;"'!"&amp;Q46),INDIRECT("a"&amp;ROW()))</f>
        <v>#REF!</v>
      </c>
      <c r="C5" t="s">
        <v>89</v>
      </c>
      <c r="D5" t="s">
        <v>289</v>
      </c>
      <c r="F5" t="s">
        <v>72</v>
      </c>
      <c r="G5" t="s">
        <v>359</v>
      </c>
      <c r="O5" t="str">
        <f ca="1">N54</f>
        <v>bugs-2017-05-02</v>
      </c>
      <c r="P5" t="str">
        <f t="shared" ca="1" si="1"/>
        <v>o2</v>
      </c>
      <c r="Q5" t="e">
        <f t="shared" ca="1" si="0"/>
        <v>#REF!</v>
      </c>
      <c r="R5" t="s">
        <v>132</v>
      </c>
    </row>
    <row r="6" spans="1:18" x14ac:dyDescent="0.3">
      <c r="A6" t="s">
        <v>59</v>
      </c>
      <c r="B6" t="e">
        <f ca="1">COUNTIF(INDIRECT("'"&amp;O46&amp;"'!"&amp;P46):INDIRECT("'"&amp;O46&amp;"'!"&amp;Q46),INDIRECT("a"&amp;ROW()))</f>
        <v>#REF!</v>
      </c>
      <c r="C6" t="s">
        <v>79</v>
      </c>
      <c r="D6" t="s">
        <v>579</v>
      </c>
      <c r="O6" t="str">
        <f ca="1">N54</f>
        <v>bugs-2017-05-02</v>
      </c>
      <c r="P6" t="str">
        <f t="shared" ca="1" si="1"/>
        <v>o2</v>
      </c>
      <c r="Q6" t="e">
        <f t="shared" ca="1" si="0"/>
        <v>#REF!</v>
      </c>
      <c r="R6" t="s">
        <v>133</v>
      </c>
    </row>
    <row r="7" spans="1:18" x14ac:dyDescent="0.3">
      <c r="A7" t="s">
        <v>61</v>
      </c>
      <c r="B7" t="e">
        <f ca="1">COUNTIF(INDIRECT("'"&amp;O46&amp;"'!"&amp;P46):INDIRECT("'"&amp;O46&amp;"'!"&amp;Q46),INDIRECT("a"&amp;ROW()))</f>
        <v>#REF!</v>
      </c>
      <c r="C7" t="s">
        <v>171</v>
      </c>
      <c r="D7" t="s">
        <v>783</v>
      </c>
      <c r="F7" t="s">
        <v>73</v>
      </c>
      <c r="G7" t="s">
        <v>74</v>
      </c>
      <c r="O7" t="str">
        <f ca="1">N54</f>
        <v>bugs-2017-05-02</v>
      </c>
      <c r="P7" t="str">
        <f t="shared" ca="1" si="1"/>
        <v>o2</v>
      </c>
      <c r="Q7" t="e">
        <f t="shared" ca="1" si="0"/>
        <v>#REF!</v>
      </c>
      <c r="R7" t="s">
        <v>134</v>
      </c>
    </row>
    <row r="8" spans="1:18" x14ac:dyDescent="0.3">
      <c r="A8" t="s">
        <v>155</v>
      </c>
      <c r="B8" t="e">
        <f ca="1">COUNTIF(INDIRECT("'"&amp;O46&amp;"'!"&amp;P46):INDIRECT("'"&amp;O46&amp;"'!"&amp;Q46),INDIRECT("a"&amp;ROW()))</f>
        <v>#REF!</v>
      </c>
      <c r="C8" t="s">
        <v>172</v>
      </c>
      <c r="F8" t="s">
        <v>75</v>
      </c>
      <c r="G8" t="s">
        <v>76</v>
      </c>
      <c r="O8" t="str">
        <f ca="1">N54</f>
        <v>bugs-2017-05-02</v>
      </c>
      <c r="P8" t="str">
        <f t="shared" ca="1" si="1"/>
        <v>o2</v>
      </c>
      <c r="Q8" t="e">
        <f t="shared" ca="1" si="0"/>
        <v>#REF!</v>
      </c>
      <c r="R8" t="s">
        <v>135</v>
      </c>
    </row>
    <row r="9" spans="1:18" x14ac:dyDescent="0.3">
      <c r="A9" t="s">
        <v>192</v>
      </c>
      <c r="B9" t="e">
        <f ca="1">COUNTIF(INDIRECT("'"&amp;O46&amp;"'!"&amp;P46):INDIRECT("'"&amp;O46&amp;"'!"&amp;Q46),INDIRECT("a"&amp;ROW()))</f>
        <v>#REF!</v>
      </c>
      <c r="C9" t="s">
        <v>206</v>
      </c>
      <c r="F9" t="s">
        <v>77</v>
      </c>
      <c r="G9" t="s">
        <v>78</v>
      </c>
      <c r="O9" t="str">
        <f ca="1">N54</f>
        <v>bugs-2017-05-02</v>
      </c>
      <c r="P9" t="str">
        <f t="shared" ca="1" si="1"/>
        <v>o2</v>
      </c>
      <c r="Q9" t="e">
        <f t="shared" ca="1" si="0"/>
        <v>#REF!</v>
      </c>
      <c r="R9" t="s">
        <v>136</v>
      </c>
    </row>
    <row r="10" spans="1:18" x14ac:dyDescent="0.3">
      <c r="A10" t="s">
        <v>19</v>
      </c>
      <c r="B10" t="e">
        <f ca="1">COUNTIF(INDIRECT("'"&amp;O46&amp;"'!"&amp;P46):INDIRECT("'"&amp;O46&amp;"'!"&amp;Q46),INDIRECT("a"&amp;ROW()))</f>
        <v>#REF!</v>
      </c>
      <c r="C10" t="s">
        <v>205</v>
      </c>
      <c r="O10" t="str">
        <f ca="1">N54</f>
        <v>bugs-2017-05-02</v>
      </c>
      <c r="P10" t="str">
        <f t="shared" ca="1" si="1"/>
        <v>o2</v>
      </c>
      <c r="Q10" t="e">
        <f t="shared" ca="1" si="0"/>
        <v>#REF!</v>
      </c>
      <c r="R10" t="s">
        <v>137</v>
      </c>
    </row>
    <row r="11" spans="1:18" x14ac:dyDescent="0.3">
      <c r="A11" t="s">
        <v>65</v>
      </c>
      <c r="B11" t="e">
        <f ca="1">COUNTIF(INDIRECT("'"&amp;O46&amp;"'!"&amp;P46):INDIRECT("'"&amp;O46&amp;"'!"&amp;Q46),INDIRECT("a"&amp;ROW()))</f>
        <v>#REF!</v>
      </c>
      <c r="C11" t="s">
        <v>207</v>
      </c>
      <c r="O11" t="str">
        <f ca="1">N54</f>
        <v>bugs-2017-05-02</v>
      </c>
      <c r="P11" t="str">
        <f t="shared" ca="1" si="1"/>
        <v>o2</v>
      </c>
      <c r="Q11" t="e">
        <f t="shared" ca="1" si="0"/>
        <v>#REF!</v>
      </c>
      <c r="R11" t="s">
        <v>138</v>
      </c>
    </row>
    <row r="12" spans="1:18" x14ac:dyDescent="0.3">
      <c r="A12" t="s">
        <v>21</v>
      </c>
      <c r="B12" t="e">
        <f ca="1">COUNTIF(INDIRECT("'"&amp;O46&amp;"'!"&amp;P46):INDIRECT("'"&amp;O46&amp;"'!"&amp;Q46),INDIRECT("a"&amp;ROW()))</f>
        <v>#REF!</v>
      </c>
      <c r="C12" t="s">
        <v>215</v>
      </c>
      <c r="O12" t="str">
        <f ca="1">N54</f>
        <v>bugs-2017-05-02</v>
      </c>
      <c r="P12" t="str">
        <f t="shared" ca="1" si="1"/>
        <v>o2</v>
      </c>
      <c r="Q12" t="e">
        <f t="shared" ca="1" si="0"/>
        <v>#REF!</v>
      </c>
      <c r="R12" t="s">
        <v>139</v>
      </c>
    </row>
    <row r="13" spans="1:18" x14ac:dyDescent="0.3">
      <c r="A13" t="s">
        <v>241</v>
      </c>
      <c r="B13" t="e">
        <f ca="1">COUNTIF(INDIRECT("'"&amp;O46&amp;"'!"&amp;P46):INDIRECT("'"&amp;O46&amp;"'!"&amp;Q46),INDIRECT("a"&amp;ROW()))</f>
        <v>#REF!</v>
      </c>
      <c r="C13" t="s">
        <v>209</v>
      </c>
      <c r="O13" t="str">
        <f ca="1">N54</f>
        <v>bugs-2017-05-02</v>
      </c>
      <c r="P13" t="str">
        <f t="shared" ca="1" si="1"/>
        <v>o2</v>
      </c>
      <c r="Q13" t="e">
        <f t="shared" ca="1" si="0"/>
        <v>#REF!</v>
      </c>
      <c r="R13" t="s">
        <v>140</v>
      </c>
    </row>
    <row r="14" spans="1:18" x14ac:dyDescent="0.3">
      <c r="A14" t="s">
        <v>36</v>
      </c>
      <c r="B14" t="e">
        <f ca="1">COUNTIF(INDIRECT("'"&amp;O46&amp;"'!"&amp;P46):INDIRECT("'"&amp;O46&amp;"'!"&amp;Q46),INDIRECT("a"&amp;ROW()))</f>
        <v>#REF!</v>
      </c>
      <c r="C14" t="s">
        <v>211</v>
      </c>
      <c r="O14" t="str">
        <f ca="1">N54</f>
        <v>bugs-2017-05-02</v>
      </c>
      <c r="P14" t="str">
        <f t="shared" ca="1" si="1"/>
        <v>o2</v>
      </c>
      <c r="Q14" t="e">
        <f t="shared" ca="1" si="0"/>
        <v>#REF!</v>
      </c>
      <c r="R14" t="s">
        <v>141</v>
      </c>
    </row>
    <row r="15" spans="1:18" x14ac:dyDescent="0.3">
      <c r="A15" t="s">
        <v>193</v>
      </c>
      <c r="B15" t="e">
        <f ca="1">COUNTIF(INDIRECT("'"&amp;O46&amp;"'!"&amp;P46):INDIRECT("'"&amp;O46&amp;"'!"&amp;Q46),INDIRECT("a"&amp;ROW()))</f>
        <v>#REF!</v>
      </c>
      <c r="C15" t="s">
        <v>258</v>
      </c>
      <c r="F15" s="18" t="s">
        <v>176</v>
      </c>
      <c r="O15" t="str">
        <f ca="1">N54</f>
        <v>bugs-2017-05-02</v>
      </c>
      <c r="P15" t="str">
        <f t="shared" ca="1" si="1"/>
        <v>o2</v>
      </c>
      <c r="Q15" t="e">
        <f t="shared" ca="1" si="0"/>
        <v>#REF!</v>
      </c>
      <c r="R15" t="s">
        <v>142</v>
      </c>
    </row>
    <row r="16" spans="1:18" x14ac:dyDescent="0.3">
      <c r="A16" t="s">
        <v>210</v>
      </c>
      <c r="B16" t="e">
        <f ca="1">COUNTIF(INDIRECT("'"&amp;O46&amp;"'!"&amp;P46):INDIRECT("'"&amp;O46&amp;"'!"&amp;Q46),INDIRECT("a"&amp;ROW()))</f>
        <v>#REF!</v>
      </c>
      <c r="C16" t="s">
        <v>260</v>
      </c>
      <c r="O16" t="str">
        <f ca="1">N54</f>
        <v>bugs-2017-05-02</v>
      </c>
      <c r="P16" t="str">
        <f t="shared" ca="1" si="1"/>
        <v>o2</v>
      </c>
      <c r="Q16" t="e">
        <f t="shared" ca="1" si="0"/>
        <v>#REF!</v>
      </c>
      <c r="R16" t="s">
        <v>143</v>
      </c>
    </row>
    <row r="17" spans="1:18" x14ac:dyDescent="0.3">
      <c r="A17" t="s">
        <v>24</v>
      </c>
      <c r="B17" t="e">
        <f ca="1">COUNTIF(INDIRECT("'"&amp;O46&amp;"'!"&amp;P46):INDIRECT("'"&amp;O46&amp;"'!"&amp;Q46),INDIRECT("a"&amp;ROW()))</f>
        <v>#REF!</v>
      </c>
      <c r="C17" t="s">
        <v>257</v>
      </c>
      <c r="O17" t="str">
        <f ca="1">N54</f>
        <v>bugs-2017-05-02</v>
      </c>
      <c r="P17" t="str">
        <f t="shared" ca="1" si="1"/>
        <v>o2</v>
      </c>
      <c r="Q17" t="e">
        <f t="shared" ca="1" si="0"/>
        <v>#REF!</v>
      </c>
      <c r="R17" t="s">
        <v>144</v>
      </c>
    </row>
    <row r="18" spans="1:18" x14ac:dyDescent="0.3">
      <c r="A18" t="s">
        <v>42</v>
      </c>
      <c r="B18" t="e">
        <f ca="1">COUNTIF(INDIRECT("'"&amp;O46&amp;"'!"&amp;P46):INDIRECT("'"&amp;O46&amp;"'!"&amp;Q46),INDIRECT("a"&amp;ROW()))</f>
        <v>#REF!</v>
      </c>
      <c r="C18" t="s">
        <v>288</v>
      </c>
      <c r="F18" s="11" t="str">
        <f>HYPERLINK("file:\\\c:\users\mwroberts\downloads\AstraBugs.xlsm")</f>
        <v>file:\\\c:\users\mwroberts\downloads\AstraBugs.xlsm</v>
      </c>
      <c r="O18" t="str">
        <f ca="1">N54</f>
        <v>bugs-2017-05-02</v>
      </c>
      <c r="P18" t="str">
        <f t="shared" ca="1" si="1"/>
        <v>o2</v>
      </c>
      <c r="Q18" t="e">
        <f t="shared" ca="1" si="0"/>
        <v>#REF!</v>
      </c>
      <c r="R18" t="s">
        <v>145</v>
      </c>
    </row>
    <row r="19" spans="1:18" x14ac:dyDescent="0.3">
      <c r="A19" t="s">
        <v>212</v>
      </c>
      <c r="B19" t="e">
        <f ca="1">COUNTIF(INDIRECT("'"&amp;O46&amp;"'!"&amp;P46):INDIRECT("'"&amp;O46&amp;"'!"&amp;Q46),INDIRECT("a"&amp;ROW()))</f>
        <v>#REF!</v>
      </c>
      <c r="C19" t="s">
        <v>256</v>
      </c>
      <c r="F19" s="11"/>
      <c r="O19" t="str">
        <f ca="1">N54</f>
        <v>bugs-2017-05-02</v>
      </c>
      <c r="P19" t="str">
        <f t="shared" ca="1" si="1"/>
        <v>o2</v>
      </c>
      <c r="Q19" t="e">
        <f t="shared" ca="1" si="0"/>
        <v>#REF!</v>
      </c>
      <c r="R19" t="s">
        <v>146</v>
      </c>
    </row>
    <row r="20" spans="1:18" x14ac:dyDescent="0.3">
      <c r="A20" t="s">
        <v>250</v>
      </c>
      <c r="B20" t="e">
        <f ca="1">COUNTIF(INDIRECT("'"&amp;O46&amp;"'!"&amp;P46):INDIRECT("'"&amp;O46&amp;"'!"&amp;Q46),INDIRECT("a"&amp;ROW()))</f>
        <v>#REF!</v>
      </c>
      <c r="C20" t="s">
        <v>317</v>
      </c>
      <c r="O20" t="str">
        <f ca="1">N54</f>
        <v>bugs-2017-05-02</v>
      </c>
      <c r="P20" t="str">
        <f t="shared" ca="1" si="1"/>
        <v>o2</v>
      </c>
      <c r="Q20" t="e">
        <f t="shared" ca="1" si="0"/>
        <v>#REF!</v>
      </c>
      <c r="R20" t="s">
        <v>147</v>
      </c>
    </row>
    <row r="21" spans="1:18" ht="15" x14ac:dyDescent="0.3">
      <c r="A21" t="s">
        <v>88</v>
      </c>
      <c r="B21" t="e">
        <f ca="1">COUNTIF(INDIRECT("'"&amp;O46&amp;"'!"&amp;P46):INDIRECT("'"&amp;O46&amp;"'!"&amp;Q46),INDIRECT("a"&amp;ROW()))</f>
        <v>#REF!</v>
      </c>
      <c r="C21" t="s">
        <v>324</v>
      </c>
      <c r="F21" s="17"/>
      <c r="O21" t="str">
        <f ca="1">N54</f>
        <v>bugs-2017-05-02</v>
      </c>
      <c r="P21" t="str">
        <f t="shared" ca="1" si="1"/>
        <v>o2</v>
      </c>
      <c r="Q21" t="e">
        <f t="shared" ca="1" si="0"/>
        <v>#REF!</v>
      </c>
      <c r="R21" t="s">
        <v>148</v>
      </c>
    </row>
    <row r="22" spans="1:18" x14ac:dyDescent="0.3">
      <c r="A22" t="s">
        <v>43</v>
      </c>
      <c r="B22" t="e">
        <f ca="1">COUNTIF(INDIRECT("'"&amp;O46&amp;"'!"&amp;P46):INDIRECT("'"&amp;O46&amp;"'!"&amp;Q46),INDIRECT("a"&amp;ROW()))</f>
        <v>#REF!</v>
      </c>
      <c r="C22" t="s">
        <v>295</v>
      </c>
      <c r="O22" t="str">
        <f ca="1">N54</f>
        <v>bugs-2017-05-02</v>
      </c>
      <c r="P22" t="str">
        <f t="shared" ca="1" si="1"/>
        <v>o2</v>
      </c>
      <c r="Q22" t="e">
        <f t="shared" ca="1" si="0"/>
        <v>#REF!</v>
      </c>
      <c r="R22" t="s">
        <v>149</v>
      </c>
    </row>
    <row r="23" spans="1:18" x14ac:dyDescent="0.3">
      <c r="A23" t="s">
        <v>249</v>
      </c>
      <c r="B23" t="e">
        <f ca="1">COUNTIF(INDIRECT("'"&amp;O46&amp;"'!"&amp;P46):INDIRECT("'"&amp;O46&amp;"'!"&amp;Q46),INDIRECT("a"&amp;ROW()))</f>
        <v>#REF!</v>
      </c>
      <c r="C23" t="s">
        <v>322</v>
      </c>
      <c r="O23" t="str">
        <f ca="1">N54</f>
        <v>bugs-2017-05-02</v>
      </c>
      <c r="P23" t="str">
        <f t="shared" ca="1" si="1"/>
        <v>o2</v>
      </c>
      <c r="Q23" t="e">
        <f t="shared" ca="1" si="0"/>
        <v>#REF!</v>
      </c>
      <c r="R23" t="s">
        <v>150</v>
      </c>
    </row>
    <row r="24" spans="1:18" x14ac:dyDescent="0.3">
      <c r="A24" t="s">
        <v>44</v>
      </c>
      <c r="B24" t="e">
        <f ca="1">COUNTIF(INDIRECT("'"&amp;O46&amp;"'!"&amp;P46):INDIRECT("'"&amp;O46&amp;"'!"&amp;Q46),INDIRECT("a"&amp;ROW()))</f>
        <v>#REF!</v>
      </c>
      <c r="C24" t="s">
        <v>340</v>
      </c>
      <c r="O24" t="str">
        <f ca="1">N54</f>
        <v>bugs-2017-05-02</v>
      </c>
      <c r="P24" t="str">
        <f t="shared" ca="1" si="1"/>
        <v>o2</v>
      </c>
      <c r="Q24" t="e">
        <f t="shared" ca="1" si="0"/>
        <v>#REF!</v>
      </c>
      <c r="R24" t="s">
        <v>151</v>
      </c>
    </row>
    <row r="25" spans="1:18" x14ac:dyDescent="0.3">
      <c r="A25" s="11" t="s">
        <v>45</v>
      </c>
      <c r="B25" t="e">
        <f ca="1">COUNTIF(INDIRECT("'"&amp;O46&amp;"'!"&amp;P46):INDIRECT("'"&amp;O46&amp;"'!"&amp;Q46),INDIRECT("a"&amp;ROW()))</f>
        <v>#REF!</v>
      </c>
      <c r="C25" t="s">
        <v>343</v>
      </c>
      <c r="O25" t="str">
        <f ca="1">N54</f>
        <v>bugs-2017-05-02</v>
      </c>
      <c r="P25" t="str">
        <f t="shared" ca="1" si="1"/>
        <v>o2</v>
      </c>
      <c r="Q25" t="e">
        <f t="shared" ca="1" si="0"/>
        <v>#REF!</v>
      </c>
      <c r="R25" t="s">
        <v>152</v>
      </c>
    </row>
    <row r="26" spans="1:18" x14ac:dyDescent="0.3">
      <c r="A26" t="s">
        <v>321</v>
      </c>
      <c r="B26" t="e">
        <f ca="1">COUNTIF(INDIRECT("'"&amp;O46&amp;"'!"&amp;P46):INDIRECT("'"&amp;O46&amp;"'!"&amp;Q46),INDIRECT("a"&amp;ROW()))</f>
        <v>#REF!</v>
      </c>
      <c r="C26" t="s">
        <v>341</v>
      </c>
      <c r="O26" t="str">
        <f ca="1">N54</f>
        <v>bugs-2017-05-02</v>
      </c>
      <c r="P26" t="str">
        <f t="shared" ca="1" si="1"/>
        <v>o2</v>
      </c>
      <c r="Q26" t="e">
        <f t="shared" ca="1" si="0"/>
        <v>#REF!</v>
      </c>
      <c r="R26" t="s">
        <v>153</v>
      </c>
    </row>
    <row r="27" spans="1:18" x14ac:dyDescent="0.3">
      <c r="A27" t="s">
        <v>50</v>
      </c>
      <c r="B27" t="e">
        <f ca="1">COUNTIF(INDIRECT("'"&amp;O46&amp;"'!"&amp;P46):INDIRECT("'"&amp;O46&amp;"'!"&amp;Q46),INDIRECT("a"&amp;ROW()))</f>
        <v>#REF!</v>
      </c>
      <c r="C27" t="s">
        <v>355</v>
      </c>
      <c r="O27" t="str">
        <f ca="1">N54</f>
        <v>bugs-2017-05-02</v>
      </c>
      <c r="P27" t="str">
        <f t="shared" ca="1" si="1"/>
        <v>o2</v>
      </c>
      <c r="Q27" t="e">
        <f t="shared" ca="1" si="0"/>
        <v>#REF!</v>
      </c>
      <c r="R27" t="s">
        <v>178</v>
      </c>
    </row>
    <row r="28" spans="1:18" x14ac:dyDescent="0.3">
      <c r="A28" t="s">
        <v>62</v>
      </c>
      <c r="B28" t="e">
        <f ca="1">COUNTIF(INDIRECT("'"&amp;O46&amp;"'!"&amp;P46):INDIRECT("'"&amp;O46&amp;"'!"&amp;Q46),INDIRECT("a"&amp;ROW()))</f>
        <v>#REF!</v>
      </c>
      <c r="C28" t="s">
        <v>58</v>
      </c>
      <c r="O28" t="str">
        <f ca="1">N54</f>
        <v>bugs-2017-05-02</v>
      </c>
      <c r="P28" t="str">
        <f t="shared" ca="1" si="1"/>
        <v>o2</v>
      </c>
      <c r="Q28" t="e">
        <f t="shared" ca="1" si="0"/>
        <v>#REF!</v>
      </c>
      <c r="R28" t="s">
        <v>179</v>
      </c>
    </row>
    <row r="29" spans="1:18" x14ac:dyDescent="0.3">
      <c r="A29" t="s">
        <v>67</v>
      </c>
      <c r="B29" t="e">
        <f ca="1">COUNTIF(INDIRECT("'"&amp;O46&amp;"'!"&amp;P46):INDIRECT("'"&amp;O46&amp;"'!"&amp;Q46),INDIRECT("a"&amp;ROW()))</f>
        <v>#REF!</v>
      </c>
      <c r="C29" t="s">
        <v>60</v>
      </c>
      <c r="O29" t="str">
        <f ca="1">N54</f>
        <v>bugs-2017-05-02</v>
      </c>
      <c r="P29" t="str">
        <f t="shared" ca="1" si="1"/>
        <v>o2</v>
      </c>
      <c r="Q29" t="e">
        <f t="shared" ca="1" si="0"/>
        <v>#REF!</v>
      </c>
      <c r="R29" t="s">
        <v>195</v>
      </c>
    </row>
    <row r="30" spans="1:18" x14ac:dyDescent="0.3">
      <c r="A30" t="s">
        <v>213</v>
      </c>
      <c r="B30" t="e">
        <f ca="1">COUNTIF(INDIRECT("'"&amp;O46&amp;"'!"&amp;P46):INDIRECT("'"&amp;O46&amp;"'!"&amp;Q46),INDIRECT("a"&amp;ROW()))</f>
        <v>#REF!</v>
      </c>
      <c r="C30" t="s">
        <v>57</v>
      </c>
      <c r="O30" t="str">
        <f ca="1">N54</f>
        <v>bugs-2017-05-02</v>
      </c>
      <c r="P30" t="str">
        <f t="shared" ca="1" si="1"/>
        <v>o2</v>
      </c>
      <c r="Q30" t="e">
        <f t="shared" ca="1" si="0"/>
        <v>#REF!</v>
      </c>
      <c r="R30" t="s">
        <v>196</v>
      </c>
    </row>
    <row r="31" spans="1:18" x14ac:dyDescent="0.3">
      <c r="A31" t="s">
        <v>51</v>
      </c>
      <c r="B31" t="e">
        <f ca="1">COUNTIF(INDIRECT("'"&amp;O46&amp;"'!"&amp;P46):INDIRECT("'"&amp;O46&amp;"'!"&amp;Q46),INDIRECT("a"&amp;ROW()))</f>
        <v>#REF!</v>
      </c>
      <c r="C31" t="s">
        <v>173</v>
      </c>
      <c r="O31" t="str">
        <f ca="1">N54</f>
        <v>bugs-2017-05-02</v>
      </c>
      <c r="P31" t="str">
        <f t="shared" ca="1" si="1"/>
        <v>o2</v>
      </c>
      <c r="Q31" t="e">
        <f t="shared" ca="1" si="0"/>
        <v>#REF!</v>
      </c>
      <c r="R31" t="s">
        <v>197</v>
      </c>
    </row>
    <row r="32" spans="1:18" x14ac:dyDescent="0.3">
      <c r="A32" t="s">
        <v>204</v>
      </c>
      <c r="B32" t="e">
        <f ca="1">COUNTIF(INDIRECT("'"&amp;O46&amp;"'!"&amp;P46):INDIRECT("'"&amp;O46&amp;"'!"&amp;Q46),INDIRECT("a"&amp;ROW()))</f>
        <v>#REF!</v>
      </c>
      <c r="C32" t="s">
        <v>186</v>
      </c>
      <c r="O32" t="str">
        <f ca="1">N54</f>
        <v>bugs-2017-05-02</v>
      </c>
      <c r="P32" t="str">
        <f t="shared" ca="1" si="1"/>
        <v>o2</v>
      </c>
      <c r="Q32" t="e">
        <f t="shared" ca="1" si="0"/>
        <v>#REF!</v>
      </c>
      <c r="R32" t="s">
        <v>198</v>
      </c>
    </row>
    <row r="33" spans="1:18" x14ac:dyDescent="0.3">
      <c r="A33" t="s">
        <v>214</v>
      </c>
      <c r="B33" t="e">
        <f ca="1">COUNTIF(INDIRECT("'"&amp;O46&amp;"'!"&amp;P46):INDIRECT("'"&amp;O46&amp;"'!"&amp;Q46),INDIRECT("a"&amp;ROW()))</f>
        <v>#REF!</v>
      </c>
      <c r="C33" t="s">
        <v>63</v>
      </c>
      <c r="O33" t="str">
        <f ca="1">N54</f>
        <v>bugs-2017-05-02</v>
      </c>
      <c r="P33" t="str">
        <f t="shared" ca="1" si="1"/>
        <v>o2</v>
      </c>
      <c r="Q33" t="e">
        <f t="shared" ca="1" si="0"/>
        <v>#REF!</v>
      </c>
      <c r="R33" t="s">
        <v>299</v>
      </c>
    </row>
    <row r="34" spans="1:18" x14ac:dyDescent="0.3">
      <c r="A34" t="s">
        <v>53</v>
      </c>
      <c r="B34" t="e">
        <f ca="1">COUNTIF(INDIRECT("'"&amp;O46&amp;"'!"&amp;P46):INDIRECT("'"&amp;O46&amp;"'!"&amp;Q46),INDIRECT("a"&amp;ROW()))</f>
        <v>#REF!</v>
      </c>
      <c r="C34" t="s">
        <v>248</v>
      </c>
      <c r="O34" t="str">
        <f ca="1">N54</f>
        <v>bugs-2017-05-02</v>
      </c>
      <c r="P34" t="str">
        <f t="shared" ca="1" si="1"/>
        <v>o2</v>
      </c>
      <c r="Q34" t="e">
        <f t="shared" ca="1" si="0"/>
        <v>#REF!</v>
      </c>
      <c r="R34" t="s">
        <v>300</v>
      </c>
    </row>
    <row r="35" spans="1:18" x14ac:dyDescent="0.3">
      <c r="A35" t="s">
        <v>55</v>
      </c>
      <c r="B35" t="e">
        <f ca="1">COUNTIF(INDIRECT("'"&amp;O46&amp;"'!"&amp;P46):INDIRECT("'"&amp;O46&amp;"'!"&amp;Q46),INDIRECT("a"&amp;ROW()))</f>
        <v>#REF!</v>
      </c>
      <c r="O35" t="str">
        <f ca="1">N54</f>
        <v>bugs-2017-05-02</v>
      </c>
      <c r="P35" t="str">
        <f t="shared" ca="1" si="1"/>
        <v>o2</v>
      </c>
      <c r="Q35" t="e">
        <f t="shared" ca="1" si="0"/>
        <v>#REF!</v>
      </c>
      <c r="R35" t="s">
        <v>301</v>
      </c>
    </row>
    <row r="36" spans="1:18" x14ac:dyDescent="0.3">
      <c r="A36" t="s">
        <v>180</v>
      </c>
      <c r="B36" t="e">
        <f ca="1">COUNTIF(INDIRECT("'"&amp;O46&amp;"'!"&amp;P46):INDIRECT("'"&amp;O46&amp;"'!"&amp;Q46),INDIRECT("a"&amp;ROW()))</f>
        <v>#REF!</v>
      </c>
      <c r="O36" t="str">
        <f ca="1">N54</f>
        <v>bugs-2017-05-02</v>
      </c>
      <c r="P36" t="str">
        <f t="shared" ca="1" si="1"/>
        <v>o2</v>
      </c>
      <c r="Q36" t="e">
        <f t="shared" ca="1" si="0"/>
        <v>#REF!</v>
      </c>
      <c r="R36" t="s">
        <v>302</v>
      </c>
    </row>
    <row r="37" spans="1:18" x14ac:dyDescent="0.3">
      <c r="A37" t="s">
        <v>319</v>
      </c>
      <c r="B37" t="e">
        <f ca="1">COUNTIF(INDIRECT("'"&amp;O46&amp;"'!"&amp;P46):INDIRECT("'"&amp;O46&amp;"'!"&amp;Q46),INDIRECT("a"&amp;ROW()))</f>
        <v>#REF!</v>
      </c>
      <c r="O37" t="str">
        <f ca="1">N54</f>
        <v>bugs-2017-05-02</v>
      </c>
      <c r="P37" t="str">
        <f t="shared" ca="1" si="1"/>
        <v>o2</v>
      </c>
      <c r="Q37" t="e">
        <f t="shared" ca="1" si="0"/>
        <v>#REF!</v>
      </c>
      <c r="R37" t="s">
        <v>303</v>
      </c>
    </row>
    <row r="38" spans="1:18" x14ac:dyDescent="0.3">
      <c r="A38" t="s">
        <v>56</v>
      </c>
      <c r="B38" t="e">
        <f ca="1">COUNTIF(INDIRECT("'"&amp;O46&amp;"'!"&amp;P46):INDIRECT("'"&amp;O46&amp;"'!"&amp;Q46),INDIRECT("a"&amp;ROW()))</f>
        <v>#REF!</v>
      </c>
      <c r="O38" t="str">
        <f ca="1">N54</f>
        <v>bugs-2017-05-02</v>
      </c>
      <c r="P38" t="str">
        <f t="shared" ca="1" si="1"/>
        <v>o2</v>
      </c>
      <c r="Q38" t="e">
        <f t="shared" ca="1" si="0"/>
        <v>#REF!</v>
      </c>
      <c r="R38" t="s">
        <v>304</v>
      </c>
    </row>
    <row r="39" spans="1:18" x14ac:dyDescent="0.3">
      <c r="A39" t="s">
        <v>174</v>
      </c>
      <c r="B39" t="e">
        <f ca="1">COUNTIF(INDIRECT("'"&amp;O46&amp;"'!"&amp;P46):INDIRECT("'"&amp;O46&amp;"'!"&amp;Q46),INDIRECT("a"&amp;ROW()))</f>
        <v>#REF!</v>
      </c>
      <c r="O39" t="str">
        <f ca="1">N54</f>
        <v>bugs-2017-05-02</v>
      </c>
      <c r="P39" t="str">
        <f t="shared" ca="1" si="1"/>
        <v>o2</v>
      </c>
      <c r="Q39" t="e">
        <f t="shared" ca="1" si="0"/>
        <v>#REF!</v>
      </c>
      <c r="R39" t="s">
        <v>305</v>
      </c>
    </row>
    <row r="40" spans="1:18" x14ac:dyDescent="0.3">
      <c r="A40" t="s">
        <v>66</v>
      </c>
      <c r="B40" t="e">
        <f ca="1">COUNTIF(INDIRECT("'"&amp;O46&amp;"'!"&amp;P46):INDIRECT("'"&amp;O46&amp;"'!"&amp;Q46),INDIRECT("a"&amp;ROW()))</f>
        <v>#REF!</v>
      </c>
      <c r="O40" t="str">
        <f ca="1">N54</f>
        <v>bugs-2017-05-02</v>
      </c>
      <c r="P40" t="str">
        <f t="shared" ca="1" si="1"/>
        <v>o2</v>
      </c>
      <c r="Q40" t="e">
        <f t="shared" ca="1" si="0"/>
        <v>#REF!</v>
      </c>
      <c r="R40" t="s">
        <v>306</v>
      </c>
    </row>
    <row r="41" spans="1:18" x14ac:dyDescent="0.3">
      <c r="A41" t="s">
        <v>177</v>
      </c>
      <c r="B41" t="e">
        <f ca="1">COUNTIF(INDIRECT("'"&amp;O46&amp;"'!"&amp;P46):INDIRECT("'"&amp;O46&amp;"'!"&amp;Q46),INDIRECT("a"&amp;ROW()))</f>
        <v>#REF!</v>
      </c>
      <c r="O41" t="str">
        <f ca="1">N54</f>
        <v>bugs-2017-05-02</v>
      </c>
      <c r="P41" t="str">
        <f t="shared" ca="1" si="1"/>
        <v>o2</v>
      </c>
      <c r="Q41" t="e">
        <f t="shared" ca="1" si="0"/>
        <v>#REF!</v>
      </c>
      <c r="R41" t="s">
        <v>307</v>
      </c>
    </row>
    <row r="42" spans="1:18" x14ac:dyDescent="0.3">
      <c r="A42" t="s">
        <v>49</v>
      </c>
      <c r="B42" t="e">
        <f ca="1">COUNTIF(INDIRECT("'"&amp;O46&amp;"'!"&amp;P46):INDIRECT("'"&amp;O46&amp;"'!"&amp;Q46),INDIRECT("a"&amp;ROW()))</f>
        <v>#REF!</v>
      </c>
      <c r="O42" t="str">
        <f ca="1">N54</f>
        <v>bugs-2017-05-02</v>
      </c>
      <c r="P42" t="str">
        <f t="shared" ca="1" si="1"/>
        <v>o2</v>
      </c>
      <c r="Q42" t="e">
        <f t="shared" ca="1" si="0"/>
        <v>#REF!</v>
      </c>
      <c r="R42" t="s">
        <v>308</v>
      </c>
    </row>
    <row r="43" spans="1:18" x14ac:dyDescent="0.3">
      <c r="A43" t="s">
        <v>203</v>
      </c>
      <c r="B43" t="e">
        <f ca="1">COUNTIF(INDIRECT("'"&amp;O46&amp;"'!"&amp;P46):INDIRECT("'"&amp;O46&amp;"'!"&amp;Q46),INDIRECT("a"&amp;ROW()))</f>
        <v>#REF!</v>
      </c>
      <c r="O43" t="str">
        <f ca="1">N54</f>
        <v>bugs-2017-05-02</v>
      </c>
      <c r="P43" t="str">
        <f t="shared" ca="1" si="1"/>
        <v>o2</v>
      </c>
      <c r="Q43" t="e">
        <f t="shared" ca="1" si="0"/>
        <v>#REF!</v>
      </c>
      <c r="R43" t="s">
        <v>309</v>
      </c>
    </row>
    <row r="44" spans="1:18" x14ac:dyDescent="0.3">
      <c r="A44" t="s">
        <v>52</v>
      </c>
      <c r="B44" t="e">
        <f ca="1">COUNTIF(INDIRECT("'"&amp;O46&amp;"'!"&amp;P46):INDIRECT("'"&amp;O46&amp;"'!"&amp;Q46),INDIRECT("a"&amp;ROW()))</f>
        <v>#REF!</v>
      </c>
      <c r="O44" t="str">
        <f ca="1">N54</f>
        <v>bugs-2017-05-02</v>
      </c>
      <c r="P44" t="str">
        <f t="shared" ca="1" si="1"/>
        <v>o2</v>
      </c>
      <c r="Q44" t="e">
        <f t="shared" ca="1" si="0"/>
        <v>#REF!</v>
      </c>
      <c r="R44" t="s">
        <v>310</v>
      </c>
    </row>
    <row r="45" spans="1:18" x14ac:dyDescent="0.3">
      <c r="A45" t="s">
        <v>189</v>
      </c>
      <c r="B45" t="e">
        <f ca="1">COUNTIF(INDIRECT("'"&amp;O46&amp;"'!"&amp;P46):INDIRECT("'"&amp;O46&amp;"'!"&amp;Q46),INDIRECT("a"&amp;ROW()))</f>
        <v>#REF!</v>
      </c>
      <c r="O45" t="str">
        <f ca="1">N54</f>
        <v>bugs-2017-05-02</v>
      </c>
      <c r="P45" t="str">
        <f t="shared" ca="1" si="1"/>
        <v>o2</v>
      </c>
      <c r="Q45" t="e">
        <f t="shared" ca="1" si="0"/>
        <v>#REF!</v>
      </c>
      <c r="R45" t="s">
        <v>311</v>
      </c>
    </row>
    <row r="46" spans="1:18" x14ac:dyDescent="0.3">
      <c r="A46" t="s">
        <v>22</v>
      </c>
      <c r="B46" t="e">
        <f ca="1">COUNTIF(INDIRECT("'"&amp;O46&amp;"'!"&amp;P46):INDIRECT("'"&amp;O46&amp;"'!"&amp;Q46),INDIRECT("a"&amp;ROW()))</f>
        <v>#REF!</v>
      </c>
      <c r="O46" t="str">
        <f ca="1">N54</f>
        <v>bugs-2017-05-02</v>
      </c>
      <c r="P46" t="str">
        <f t="shared" ca="1" si="1"/>
        <v>o2</v>
      </c>
      <c r="Q46" t="e">
        <f t="shared" ca="1" si="0"/>
        <v>#REF!</v>
      </c>
      <c r="R46" t="s">
        <v>312</v>
      </c>
    </row>
    <row r="47" spans="1:18" x14ac:dyDescent="0.3">
      <c r="A47" t="s">
        <v>296</v>
      </c>
      <c r="B47" t="e">
        <f ca="1">COUNTIF(INDIRECT("'"&amp;O46&amp;"'!"&amp;P46):INDIRECT("'"&amp;O46&amp;"'!"&amp;Q46),INDIRECT("a"&amp;ROW()))</f>
        <v>#REF!</v>
      </c>
    </row>
    <row r="48" spans="1:18" x14ac:dyDescent="0.3">
      <c r="A48" t="s">
        <v>94</v>
      </c>
      <c r="B48" t="e">
        <f ca="1">COUNTIF(INDIRECT("'"&amp;O46&amp;"'!"&amp;P46):INDIRECT("'"&amp;O46&amp;"'!"&amp;Q46),INDIRECT("a"&amp;ROW()))</f>
        <v>#REF!</v>
      </c>
      <c r="N48" t="str">
        <f ca="1">RIGHT(CELL("filename",INDIRECT("r1")),LEN(CELL("filename",INDIRECT("r1")))-FIND("]",CELL("filename",INDIRECT("r1"))))</f>
        <v>Assignees</v>
      </c>
      <c r="O48" t="s">
        <v>102</v>
      </c>
    </row>
    <row r="49" spans="2:14" x14ac:dyDescent="0.3">
      <c r="N49" s="13">
        <f ca="1">TODAY()</f>
        <v>42857</v>
      </c>
    </row>
    <row r="50" spans="2:14" x14ac:dyDescent="0.3">
      <c r="N50" s="15">
        <f ca="1">MONTH(TODAY())</f>
        <v>5</v>
      </c>
    </row>
    <row r="51" spans="2:14" x14ac:dyDescent="0.3">
      <c r="J51" t="s">
        <v>167</v>
      </c>
      <c r="L51">
        <v>42759</v>
      </c>
      <c r="N51">
        <f ca="1">YEAR(TODAY())</f>
        <v>2017</v>
      </c>
    </row>
    <row r="52" spans="2:14" x14ac:dyDescent="0.3">
      <c r="B52" t="e">
        <f ca="1">SUM(B1:B50)</f>
        <v>#REF!</v>
      </c>
      <c r="L52" s="11">
        <f>HYPERLINK(CONCATENATE("https://bugzilla.houston.hp.com:1181/bugzilla/show_bug.cgi?id=",L51),L51)</f>
        <v>42759</v>
      </c>
      <c r="N52" s="15">
        <f ca="1">DAY(TODAY())</f>
        <v>2</v>
      </c>
    </row>
    <row r="53" spans="2:14" x14ac:dyDescent="0.3">
      <c r="N53" t="str">
        <f ca="1">CONCATENATE("bugs-",N51,"-",TEXT(N50,"0#"),"-",TEXT(N52,"0#"))</f>
        <v>bugs-2017-05-02</v>
      </c>
    </row>
    <row r="54" spans="2:14" x14ac:dyDescent="0.3">
      <c r="N54" t="str">
        <f ca="1">CONCATENATE("bugs-",YEAR(TODAY()),TEXT(MONTH(TODAY()),"-0#"),TEXT(DAY(TODAY()),"-0#"))</f>
        <v>bugs-2017-05-02</v>
      </c>
    </row>
  </sheetData>
  <sortState ref="E1:E29">
    <sortCondition ref="E1"/>
  </sortState>
  <hyperlinks>
    <hyperlink ref="F15" location="'bugs-2014-04-01'!A1" display="bugs-2014-04-0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2:L87"/>
  <sheetViews>
    <sheetView zoomScaleNormal="100" workbookViewId="0">
      <selection activeCell="N236" sqref="N236"/>
    </sheetView>
  </sheetViews>
  <sheetFormatPr defaultColWidth="127" defaultRowHeight="14.4" x14ac:dyDescent="0.3"/>
  <cols>
    <col min="1" max="1" width="8.109375" customWidth="1"/>
    <col min="2" max="2" width="6" style="20" hidden="1" customWidth="1"/>
    <col min="3" max="3" width="32.88671875" bestFit="1" customWidth="1"/>
    <col min="4" max="4" width="192" bestFit="1" customWidth="1"/>
    <col min="5" max="5" width="8.33203125" bestFit="1" customWidth="1"/>
    <col min="6" max="6" width="23.33203125" bestFit="1" customWidth="1"/>
    <col min="7" max="7" width="33.5546875" bestFit="1" customWidth="1"/>
    <col min="8" max="8" width="24.44140625" bestFit="1" customWidth="1"/>
    <col min="9" max="9" width="14.88671875" bestFit="1" customWidth="1"/>
    <col min="10" max="10" width="10.44140625" bestFit="1" customWidth="1"/>
    <col min="11" max="11" width="23.33203125" bestFit="1" customWidth="1"/>
    <col min="12" max="12" width="14.88671875" bestFit="1" customWidth="1"/>
    <col min="13" max="13" width="18.109375" bestFit="1" customWidth="1"/>
    <col min="14" max="14" width="18" bestFit="1" customWidth="1"/>
    <col min="15" max="15" width="16.88671875" bestFit="1" customWidth="1"/>
    <col min="16" max="16" width="18.5546875" bestFit="1" customWidth="1"/>
    <col min="17" max="17" width="11.5546875" bestFit="1" customWidth="1"/>
    <col min="18" max="18" width="15.6640625" bestFit="1" customWidth="1"/>
    <col min="19" max="19" width="20.88671875" bestFit="1" customWidth="1"/>
  </cols>
  <sheetData>
    <row r="2" spans="1:12" x14ac:dyDescent="0.3">
      <c r="A2" s="11"/>
      <c r="B2" s="19"/>
      <c r="I2" s="6"/>
      <c r="L2" s="6"/>
    </row>
    <row r="3" spans="1:12" x14ac:dyDescent="0.3">
      <c r="A3" s="11"/>
      <c r="B3" s="19"/>
      <c r="I3" s="6"/>
      <c r="L3" s="6"/>
    </row>
    <row r="4" spans="1:12" x14ac:dyDescent="0.3">
      <c r="A4" s="11"/>
      <c r="B4" s="19"/>
      <c r="I4" s="6"/>
      <c r="L4" s="6"/>
    </row>
    <row r="5" spans="1:12" x14ac:dyDescent="0.3">
      <c r="A5" s="11"/>
      <c r="B5" s="19"/>
      <c r="I5" s="6"/>
      <c r="L5" s="6"/>
    </row>
    <row r="6" spans="1:12" x14ac:dyDescent="0.3">
      <c r="A6" s="11"/>
      <c r="B6" s="19"/>
      <c r="I6" s="6"/>
      <c r="L6" s="6"/>
    </row>
    <row r="7" spans="1:12" x14ac:dyDescent="0.3">
      <c r="A7" s="11"/>
      <c r="B7" s="19"/>
      <c r="I7" s="6"/>
      <c r="L7" s="6"/>
    </row>
    <row r="8" spans="1:12" x14ac:dyDescent="0.3">
      <c r="A8" s="11"/>
      <c r="B8" s="19"/>
      <c r="I8" s="6"/>
      <c r="L8" s="6"/>
    </row>
    <row r="9" spans="1:12" x14ac:dyDescent="0.3">
      <c r="A9" s="11"/>
      <c r="B9" s="19"/>
      <c r="I9" s="6"/>
      <c r="L9" s="6"/>
    </row>
    <row r="10" spans="1:12" x14ac:dyDescent="0.3">
      <c r="A10" s="11"/>
      <c r="B10" s="19"/>
      <c r="I10" s="6"/>
      <c r="L10" s="6"/>
    </row>
    <row r="11" spans="1:12" x14ac:dyDescent="0.3">
      <c r="A11" s="11"/>
      <c r="B11" s="19"/>
      <c r="I11" s="6"/>
      <c r="L11" s="6"/>
    </row>
    <row r="12" spans="1:12" x14ac:dyDescent="0.3">
      <c r="A12" s="11"/>
      <c r="B12" s="19"/>
      <c r="I12" s="6"/>
      <c r="L12" s="6"/>
    </row>
    <row r="13" spans="1:12" x14ac:dyDescent="0.3">
      <c r="A13" s="11"/>
      <c r="B13" s="19"/>
      <c r="I13" s="6"/>
      <c r="L13" s="6"/>
    </row>
    <row r="14" spans="1:12" x14ac:dyDescent="0.3">
      <c r="A14" s="11"/>
      <c r="B14" s="19"/>
      <c r="I14" s="6"/>
      <c r="L14" s="6"/>
    </row>
    <row r="15" spans="1:12" x14ac:dyDescent="0.3">
      <c r="A15" s="11"/>
      <c r="B15" s="19"/>
      <c r="I15" s="6"/>
      <c r="L15" s="6"/>
    </row>
    <row r="16" spans="1:12" x14ac:dyDescent="0.3">
      <c r="A16" s="11"/>
      <c r="B16" s="19"/>
      <c r="I16" s="6"/>
      <c r="L16" s="6"/>
    </row>
    <row r="17" spans="1:12" x14ac:dyDescent="0.3">
      <c r="A17" s="11"/>
      <c r="B17" s="19"/>
      <c r="I17" s="6"/>
      <c r="L17" s="6"/>
    </row>
    <row r="18" spans="1:12" x14ac:dyDescent="0.3">
      <c r="A18" s="11"/>
      <c r="B18" s="19"/>
      <c r="I18" s="6"/>
      <c r="L18" s="6"/>
    </row>
    <row r="19" spans="1:12" x14ac:dyDescent="0.3">
      <c r="A19" s="11"/>
      <c r="B19" s="19"/>
      <c r="I19" s="6"/>
      <c r="L19" s="6"/>
    </row>
    <row r="20" spans="1:12" x14ac:dyDescent="0.3">
      <c r="A20" s="11"/>
      <c r="B20" s="19"/>
      <c r="I20" s="6"/>
      <c r="L20" s="6"/>
    </row>
    <row r="21" spans="1:12" x14ac:dyDescent="0.3">
      <c r="A21" s="11"/>
      <c r="B21" s="19"/>
      <c r="I21" s="6"/>
      <c r="L21" s="6"/>
    </row>
    <row r="22" spans="1:12" x14ac:dyDescent="0.3">
      <c r="A22" s="11"/>
      <c r="B22" s="19"/>
      <c r="I22" s="6"/>
      <c r="L22" s="6"/>
    </row>
    <row r="23" spans="1:12" x14ac:dyDescent="0.3">
      <c r="A23" s="11"/>
      <c r="B23" s="19"/>
      <c r="I23" s="6"/>
      <c r="L23" s="6"/>
    </row>
    <row r="24" spans="1:12" x14ac:dyDescent="0.3">
      <c r="A24" s="11"/>
      <c r="B24" s="19"/>
      <c r="I24" s="6"/>
      <c r="L24" s="6"/>
    </row>
    <row r="25" spans="1:12" x14ac:dyDescent="0.3">
      <c r="A25" s="11"/>
      <c r="B25" s="19"/>
      <c r="I25" s="6"/>
      <c r="L25" s="6"/>
    </row>
    <row r="26" spans="1:12" x14ac:dyDescent="0.3">
      <c r="B26" s="19"/>
      <c r="I26" s="6"/>
      <c r="L26" s="6"/>
    </row>
    <row r="27" spans="1:12" x14ac:dyDescent="0.3">
      <c r="B27" s="19"/>
      <c r="I27" s="6"/>
      <c r="L27" s="6"/>
    </row>
    <row r="28" spans="1:12" x14ac:dyDescent="0.3">
      <c r="B28" s="19"/>
      <c r="I28" s="6"/>
      <c r="L28" s="6"/>
    </row>
    <row r="29" spans="1:12" x14ac:dyDescent="0.3">
      <c r="B29" s="19"/>
      <c r="I29" s="6"/>
      <c r="L29" s="6"/>
    </row>
    <row r="30" spans="1:12" x14ac:dyDescent="0.3">
      <c r="B30" s="19"/>
      <c r="I30" s="6"/>
      <c r="L30" s="6"/>
    </row>
    <row r="31" spans="1:12" x14ac:dyDescent="0.3">
      <c r="B31" s="19"/>
      <c r="I31" s="6"/>
      <c r="L31" s="6"/>
    </row>
    <row r="32" spans="1:12" x14ac:dyDescent="0.3">
      <c r="B32" s="19"/>
      <c r="I32" s="6"/>
      <c r="L32" s="6"/>
    </row>
    <row r="33" spans="2:12" x14ac:dyDescent="0.3">
      <c r="B33" s="19"/>
      <c r="I33" s="6"/>
      <c r="L33" s="6"/>
    </row>
    <row r="34" spans="2:12" x14ac:dyDescent="0.3">
      <c r="B34" s="19"/>
      <c r="I34" s="6"/>
      <c r="L34" s="6"/>
    </row>
    <row r="35" spans="2:12" x14ac:dyDescent="0.3">
      <c r="B35" s="19"/>
      <c r="I35" s="6"/>
      <c r="L35" s="6"/>
    </row>
    <row r="36" spans="2:12" x14ac:dyDescent="0.3">
      <c r="B36" s="19"/>
      <c r="I36" s="6"/>
      <c r="L36" s="6"/>
    </row>
    <row r="37" spans="2:12" x14ac:dyDescent="0.3">
      <c r="B37" s="19"/>
      <c r="I37" s="6"/>
      <c r="L37" s="6"/>
    </row>
    <row r="38" spans="2:12" x14ac:dyDescent="0.3">
      <c r="B38" s="19"/>
      <c r="I38" s="6"/>
      <c r="L38" s="6"/>
    </row>
    <row r="39" spans="2:12" x14ac:dyDescent="0.3">
      <c r="B39" s="19"/>
      <c r="I39" s="6"/>
      <c r="L39" s="6"/>
    </row>
    <row r="40" spans="2:12" x14ac:dyDescent="0.3">
      <c r="B40" s="19"/>
      <c r="I40" s="6"/>
      <c r="L40" s="6"/>
    </row>
    <row r="41" spans="2:12" x14ac:dyDescent="0.3">
      <c r="B41" s="19"/>
      <c r="I41" s="6"/>
      <c r="L41" s="6"/>
    </row>
    <row r="42" spans="2:12" x14ac:dyDescent="0.3">
      <c r="B42" s="19"/>
      <c r="I42" s="6"/>
      <c r="L42" s="6"/>
    </row>
    <row r="43" spans="2:12" x14ac:dyDescent="0.3">
      <c r="B43" s="19"/>
      <c r="I43" s="6"/>
      <c r="L43" s="6"/>
    </row>
    <row r="44" spans="2:12" x14ac:dyDescent="0.3">
      <c r="B44" s="19"/>
      <c r="I44" s="6"/>
      <c r="L44" s="6"/>
    </row>
    <row r="45" spans="2:12" x14ac:dyDescent="0.3">
      <c r="B45" s="19"/>
      <c r="I45" s="6"/>
      <c r="L45" s="6"/>
    </row>
    <row r="46" spans="2:12" x14ac:dyDescent="0.3">
      <c r="B46" s="19"/>
      <c r="I46" s="6"/>
      <c r="L46" s="6"/>
    </row>
    <row r="47" spans="2:12" x14ac:dyDescent="0.3">
      <c r="B47" s="19"/>
      <c r="C47" s="11"/>
      <c r="I47" s="6"/>
      <c r="L47" s="6"/>
    </row>
    <row r="48" spans="2:12" x14ac:dyDescent="0.3">
      <c r="B48" s="19"/>
      <c r="I48" s="6"/>
      <c r="L48" s="6"/>
    </row>
    <row r="49" spans="2:12" x14ac:dyDescent="0.3">
      <c r="B49" s="19"/>
      <c r="I49" s="6"/>
      <c r="L49" s="6"/>
    </row>
    <row r="50" spans="2:12" x14ac:dyDescent="0.3">
      <c r="B50" s="19"/>
      <c r="I50" s="6"/>
      <c r="L50" s="6"/>
    </row>
    <row r="51" spans="2:12" x14ac:dyDescent="0.3">
      <c r="B51" s="19"/>
      <c r="I51" s="6"/>
      <c r="L51" s="6"/>
    </row>
    <row r="52" spans="2:12" x14ac:dyDescent="0.3">
      <c r="B52" s="19"/>
      <c r="I52" s="6"/>
      <c r="L52" s="6"/>
    </row>
    <row r="53" spans="2:12" x14ac:dyDescent="0.3">
      <c r="B53" s="19"/>
      <c r="I53" s="6"/>
      <c r="L53" s="6"/>
    </row>
    <row r="54" spans="2:12" x14ac:dyDescent="0.3">
      <c r="B54" s="19"/>
      <c r="I54" s="6"/>
      <c r="L54" s="6"/>
    </row>
    <row r="55" spans="2:12" x14ac:dyDescent="0.3">
      <c r="B55" s="19"/>
      <c r="I55" s="6"/>
      <c r="L55" s="6"/>
    </row>
    <row r="56" spans="2:12" x14ac:dyDescent="0.3">
      <c r="B56" s="19"/>
      <c r="I56" s="6"/>
      <c r="L56" s="6"/>
    </row>
    <row r="57" spans="2:12" x14ac:dyDescent="0.3">
      <c r="B57" s="19"/>
      <c r="I57" s="6"/>
      <c r="L57" s="6"/>
    </row>
    <row r="58" spans="2:12" x14ac:dyDescent="0.3">
      <c r="B58" s="19"/>
      <c r="I58" s="6"/>
      <c r="L58" s="6"/>
    </row>
    <row r="59" spans="2:12" x14ac:dyDescent="0.3">
      <c r="B59" s="19"/>
      <c r="I59" s="6"/>
      <c r="L59" s="6"/>
    </row>
    <row r="60" spans="2:12" x14ac:dyDescent="0.3">
      <c r="B60" s="19"/>
      <c r="I60" s="6"/>
      <c r="L60" s="6"/>
    </row>
    <row r="61" spans="2:12" x14ac:dyDescent="0.3">
      <c r="B61" s="19"/>
      <c r="I61" s="6"/>
      <c r="L61" s="6"/>
    </row>
    <row r="62" spans="2:12" x14ac:dyDescent="0.3">
      <c r="B62" s="19"/>
      <c r="I62" s="6"/>
      <c r="L62" s="6"/>
    </row>
    <row r="63" spans="2:12" x14ac:dyDescent="0.3">
      <c r="B63" s="19"/>
      <c r="I63" s="6"/>
      <c r="L63" s="6"/>
    </row>
    <row r="64" spans="2:12" x14ac:dyDescent="0.3">
      <c r="B64" s="19"/>
      <c r="I64" s="6"/>
      <c r="L64" s="6"/>
    </row>
    <row r="65" spans="2:12" x14ac:dyDescent="0.3">
      <c r="B65" s="19"/>
      <c r="I65" s="6"/>
      <c r="L65" s="6"/>
    </row>
    <row r="66" spans="2:12" x14ac:dyDescent="0.3">
      <c r="B66" s="19"/>
      <c r="I66" s="6"/>
      <c r="L66" s="6"/>
    </row>
    <row r="67" spans="2:12" x14ac:dyDescent="0.3">
      <c r="B67" s="19"/>
      <c r="I67" s="6"/>
      <c r="L67" s="6"/>
    </row>
    <row r="68" spans="2:12" x14ac:dyDescent="0.3">
      <c r="B68" s="19"/>
      <c r="I68" s="6"/>
      <c r="L68" s="6"/>
    </row>
    <row r="69" spans="2:12" x14ac:dyDescent="0.3">
      <c r="B69" s="19"/>
      <c r="I69" s="6"/>
      <c r="L69" s="6"/>
    </row>
    <row r="70" spans="2:12" x14ac:dyDescent="0.3">
      <c r="B70" s="19"/>
      <c r="I70" s="6"/>
      <c r="L70" s="6"/>
    </row>
    <row r="71" spans="2:12" x14ac:dyDescent="0.3">
      <c r="B71" s="19"/>
      <c r="I71" s="6"/>
      <c r="L71" s="6"/>
    </row>
    <row r="72" spans="2:12" x14ac:dyDescent="0.3">
      <c r="B72" s="19"/>
      <c r="I72" s="6"/>
      <c r="L72" s="6"/>
    </row>
    <row r="73" spans="2:12" x14ac:dyDescent="0.3">
      <c r="B73" s="19"/>
      <c r="I73" s="6"/>
      <c r="L73" s="6"/>
    </row>
    <row r="74" spans="2:12" x14ac:dyDescent="0.3">
      <c r="B74" s="19"/>
      <c r="I74" s="6"/>
      <c r="L74" s="6"/>
    </row>
    <row r="75" spans="2:12" x14ac:dyDescent="0.3">
      <c r="B75" s="19"/>
      <c r="I75" s="6"/>
      <c r="L75" s="6"/>
    </row>
    <row r="76" spans="2:12" x14ac:dyDescent="0.3">
      <c r="B76" s="19"/>
      <c r="I76" s="6"/>
      <c r="L76" s="6"/>
    </row>
    <row r="77" spans="2:12" x14ac:dyDescent="0.3">
      <c r="B77" s="19"/>
      <c r="I77" s="6"/>
      <c r="L77" s="6"/>
    </row>
    <row r="78" spans="2:12" x14ac:dyDescent="0.3">
      <c r="B78" s="19"/>
      <c r="I78" s="6"/>
      <c r="L78" s="6"/>
    </row>
    <row r="79" spans="2:12" x14ac:dyDescent="0.3">
      <c r="B79" s="19"/>
      <c r="I79" s="6"/>
      <c r="L79" s="6"/>
    </row>
    <row r="80" spans="2:12" x14ac:dyDescent="0.3">
      <c r="B80" s="19"/>
      <c r="I80" s="6"/>
      <c r="L80" s="6"/>
    </row>
    <row r="81" spans="2:12" x14ac:dyDescent="0.3">
      <c r="B81" s="19"/>
      <c r="I81" s="6"/>
      <c r="L81" s="6"/>
    </row>
    <row r="82" spans="2:12" x14ac:dyDescent="0.3">
      <c r="B82" s="19"/>
      <c r="I82" s="6"/>
      <c r="L82" s="6"/>
    </row>
    <row r="83" spans="2:12" x14ac:dyDescent="0.3">
      <c r="B83" s="19"/>
      <c r="I83" s="6"/>
      <c r="L83" s="6"/>
    </row>
    <row r="84" spans="2:12" x14ac:dyDescent="0.3">
      <c r="B84" s="19"/>
      <c r="I84" s="6"/>
      <c r="L84" s="6"/>
    </row>
    <row r="87" spans="2:12" x14ac:dyDescent="0.3">
      <c r="B87"/>
    </row>
  </sheetData>
  <sortState ref="A1:S24">
    <sortCondition ref="H1:H24"/>
    <sortCondition ref="O1:O2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LiveBugData</vt:lpstr>
      <vt:lpstr>1.1.0ReWaiverBillPhil</vt:lpstr>
      <vt:lpstr>CRB</vt:lpstr>
      <vt:lpstr>bugs-2015-08-20</vt:lpstr>
      <vt:lpstr>bugs-2015-06-29</vt:lpstr>
      <vt:lpstr>bugs-2015-06-17</vt:lpstr>
      <vt:lpstr>bugs-2015-06-16</vt:lpstr>
      <vt:lpstr>bugs-2015-06-05</vt:lpstr>
      <vt:lpstr>bugs-2015-06-01-1</vt:lpstr>
      <vt:lpstr>Assignees</vt:lpstr>
      <vt:lpstr>Sheet2</vt:lpstr>
      <vt:lpstr>LiveBugData!openProtNewDev</vt:lpstr>
      <vt:lpstr>top</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W. Roberts</dc:creator>
  <cp:lastModifiedBy>Michael W. Roberts</cp:lastModifiedBy>
  <dcterms:created xsi:type="dcterms:W3CDTF">2014-03-03T17:12:19Z</dcterms:created>
  <dcterms:modified xsi:type="dcterms:W3CDTF">2017-05-02T18:02:36Z</dcterms:modified>
</cp:coreProperties>
</file>